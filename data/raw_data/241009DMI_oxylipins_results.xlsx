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1DBE170C-D489-0D43-84D1-A905BDE96288}" xr6:coauthVersionLast="47" xr6:coauthVersionMax="47" xr10:uidLastSave="{00000000-0000-0000-0000-000000000000}"/>
  <bookViews>
    <workbookView xWindow="140" yWindow="660" windowWidth="25920" windowHeight="17880" xr2:uid="{00000000-000D-0000-FFFF-FFFF00000000}"/>
  </bookViews>
  <sheets>
    <sheet name="Results" sheetId="14" r:id="rId1"/>
    <sheet name="Feuil1" sheetId="20" r:id="rId2"/>
    <sheet name="Feuil2" sheetId="21" r:id="rId3"/>
    <sheet name="Feuil3" sheetId="22" r:id="rId4"/>
    <sheet name="Raw Datas" sheetId="17" r:id="rId5"/>
    <sheet name="Identifiants" sheetId="18" r:id="rId6"/>
    <sheet name="PUFA's metabolismes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2" l="1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U15" i="22"/>
  <c r="AV15" i="22"/>
  <c r="AW15" i="22"/>
  <c r="AX15" i="22"/>
  <c r="AY15" i="22"/>
  <c r="AZ15" i="22"/>
  <c r="BA15" i="22"/>
  <c r="BB15" i="22"/>
  <c r="BC15" i="22"/>
  <c r="BD15" i="22"/>
  <c r="BE15" i="22"/>
  <c r="BF15" i="22"/>
  <c r="BG15" i="22"/>
  <c r="BH15" i="22"/>
  <c r="BI15" i="22"/>
  <c r="BJ15" i="22"/>
  <c r="BK15" i="22"/>
  <c r="BL15" i="22"/>
  <c r="BM15" i="22"/>
  <c r="BN15" i="22"/>
  <c r="BO15" i="22"/>
  <c r="BP15" i="22"/>
  <c r="BQ15" i="22"/>
  <c r="BR15" i="22"/>
  <c r="BS15" i="22"/>
  <c r="BT15" i="22"/>
  <c r="BU15" i="22"/>
  <c r="BV15" i="22"/>
  <c r="BW15" i="22"/>
  <c r="BX15" i="22"/>
  <c r="BY15" i="22"/>
  <c r="BZ15" i="22"/>
  <c r="CA15" i="22"/>
  <c r="CB15" i="22"/>
  <c r="CC15" i="22"/>
  <c r="CD15" i="22"/>
  <c r="CE15" i="22"/>
  <c r="CF15" i="22"/>
  <c r="CG15" i="22"/>
  <c r="CH15" i="22"/>
  <c r="CI15" i="22"/>
  <c r="CJ15" i="22"/>
  <c r="CK15" i="22"/>
  <c r="CL15" i="22"/>
  <c r="CM15" i="22"/>
  <c r="CN15" i="22"/>
  <c r="CO15" i="22"/>
  <c r="CP15" i="22"/>
  <c r="CQ15" i="22"/>
  <c r="CR15" i="22"/>
  <c r="CS15" i="22"/>
  <c r="CT15" i="22"/>
  <c r="CU15" i="22"/>
  <c r="CV15" i="22"/>
  <c r="CW15" i="22"/>
  <c r="CX15" i="22"/>
  <c r="CY15" i="22"/>
  <c r="CZ15" i="22"/>
  <c r="DA15" i="22"/>
  <c r="DB15" i="22"/>
  <c r="DC15" i="22"/>
  <c r="DD15" i="22"/>
  <c r="DE15" i="22"/>
  <c r="DF15" i="22"/>
  <c r="DG15" i="22"/>
  <c r="DH15" i="22"/>
  <c r="DI15" i="22"/>
  <c r="DJ15" i="22"/>
  <c r="DK15" i="22"/>
  <c r="DL15" i="22"/>
  <c r="DM15" i="22"/>
  <c r="DN15" i="22"/>
  <c r="DO15" i="22"/>
  <c r="DP15" i="22"/>
  <c r="DQ15" i="22"/>
  <c r="DR15" i="22"/>
  <c r="DS15" i="22"/>
  <c r="DT15" i="22"/>
  <c r="DU15" i="22"/>
  <c r="DV15" i="22"/>
  <c r="DW15" i="22"/>
  <c r="DX15" i="22"/>
  <c r="DY15" i="22"/>
  <c r="DZ15" i="22"/>
  <c r="EA15" i="22"/>
  <c r="EB15" i="22"/>
  <c r="EC15" i="22"/>
  <c r="ED15" i="22"/>
  <c r="EE15" i="22"/>
  <c r="EF15" i="22"/>
  <c r="EG15" i="22"/>
  <c r="EH15" i="22"/>
  <c r="EI15" i="22"/>
  <c r="EJ15" i="22"/>
  <c r="EK15" i="22"/>
  <c r="EL15" i="22"/>
  <c r="EM15" i="22"/>
  <c r="EN15" i="22"/>
  <c r="EO15" i="22"/>
  <c r="EP15" i="22"/>
  <c r="EQ15" i="22"/>
  <c r="ER15" i="22"/>
  <c r="ES15" i="22"/>
  <c r="ET15" i="22"/>
  <c r="EU15" i="22"/>
  <c r="EV15" i="22"/>
  <c r="EW15" i="22"/>
  <c r="EX15" i="22"/>
  <c r="EY15" i="22"/>
  <c r="EZ15" i="22"/>
  <c r="FA15" i="22"/>
  <c r="FB15" i="22"/>
  <c r="FC15" i="22"/>
  <c r="FD15" i="22"/>
  <c r="FE15" i="22"/>
  <c r="FF15" i="22"/>
  <c r="FG15" i="22"/>
  <c r="FH15" i="22"/>
  <c r="FI15" i="22"/>
  <c r="FJ15" i="22"/>
  <c r="FK15" i="22"/>
  <c r="FL15" i="22"/>
  <c r="FM15" i="22"/>
  <c r="FN15" i="22"/>
  <c r="FO15" i="22"/>
  <c r="FP15" i="22"/>
  <c r="B1" i="20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H1" i="20"/>
  <c r="AI1" i="20"/>
  <c r="AJ1" i="20"/>
  <c r="AK1" i="20"/>
  <c r="AL1" i="20"/>
  <c r="AM1" i="20"/>
  <c r="AN1" i="20"/>
  <c r="AO1" i="20"/>
  <c r="AP1" i="20"/>
  <c r="AQ1" i="20"/>
  <c r="AR1" i="20"/>
  <c r="AS1" i="20"/>
  <c r="AT1" i="20"/>
  <c r="AU1" i="20"/>
  <c r="AV1" i="20"/>
  <c r="AW1" i="20"/>
  <c r="AX1" i="20"/>
  <c r="AY1" i="20"/>
  <c r="AZ1" i="20"/>
  <c r="BA1" i="20"/>
  <c r="BB1" i="20"/>
  <c r="BC1" i="20"/>
  <c r="BD1" i="20"/>
  <c r="BE1" i="20"/>
  <c r="BF1" i="20"/>
  <c r="BG1" i="20"/>
  <c r="BH1" i="20"/>
  <c r="BI1" i="20"/>
  <c r="BJ1" i="20"/>
  <c r="BK1" i="20"/>
  <c r="BL1" i="20"/>
  <c r="BM1" i="20"/>
  <c r="BN1" i="20"/>
  <c r="BO1" i="20"/>
  <c r="BP1" i="20"/>
  <c r="BQ1" i="20"/>
  <c r="BR1" i="20"/>
  <c r="BS1" i="20"/>
  <c r="BT1" i="20"/>
  <c r="BU1" i="20"/>
  <c r="BV1" i="20"/>
  <c r="BW1" i="20"/>
  <c r="BX1" i="20"/>
  <c r="BY1" i="20"/>
  <c r="BZ1" i="20"/>
  <c r="CA1" i="20"/>
  <c r="CB1" i="20"/>
  <c r="CC1" i="20"/>
  <c r="CD1" i="20"/>
  <c r="CE1" i="20"/>
  <c r="CF1" i="20"/>
  <c r="CG1" i="20"/>
  <c r="CH1" i="20"/>
  <c r="CI1" i="20"/>
  <c r="CJ1" i="20"/>
  <c r="CK1" i="20"/>
  <c r="CL1" i="20"/>
  <c r="CM1" i="20"/>
  <c r="CN1" i="20"/>
  <c r="CO1" i="20"/>
  <c r="CP1" i="20"/>
  <c r="CQ1" i="20"/>
  <c r="CR1" i="20"/>
  <c r="CS1" i="20"/>
  <c r="CT1" i="20"/>
  <c r="CU1" i="20"/>
  <c r="CV1" i="20"/>
  <c r="CW1" i="20"/>
  <c r="CX1" i="20"/>
  <c r="CY1" i="20"/>
  <c r="CZ1" i="20"/>
  <c r="DA1" i="20"/>
  <c r="DB1" i="20"/>
  <c r="DC1" i="20"/>
  <c r="DD1" i="20"/>
  <c r="DE1" i="20"/>
  <c r="DF1" i="20"/>
  <c r="DG1" i="20"/>
  <c r="DH1" i="20"/>
  <c r="DI1" i="20"/>
  <c r="DJ1" i="20"/>
  <c r="DK1" i="20"/>
  <c r="DL1" i="20"/>
  <c r="DM1" i="20"/>
  <c r="DN1" i="20"/>
  <c r="DO1" i="20"/>
  <c r="DP1" i="20"/>
  <c r="DQ1" i="20"/>
  <c r="DR1" i="20"/>
  <c r="DS1" i="20"/>
  <c r="DT1" i="20"/>
  <c r="DU1" i="20"/>
  <c r="DV1" i="20"/>
  <c r="DW1" i="20"/>
  <c r="DX1" i="20"/>
  <c r="DY1" i="20"/>
  <c r="DZ1" i="20"/>
  <c r="EA1" i="20"/>
  <c r="EB1" i="20"/>
  <c r="EC1" i="20"/>
  <c r="ED1" i="20"/>
  <c r="EE1" i="20"/>
  <c r="EF1" i="20"/>
  <c r="EG1" i="20"/>
  <c r="EH1" i="20"/>
  <c r="EI1" i="20"/>
  <c r="EJ1" i="20"/>
  <c r="EK1" i="20"/>
  <c r="EL1" i="20"/>
  <c r="EM1" i="20"/>
  <c r="EN1" i="20"/>
  <c r="EO1" i="20"/>
  <c r="EP1" i="20"/>
  <c r="EQ1" i="20"/>
  <c r="ER1" i="20"/>
  <c r="ES1" i="20"/>
  <c r="ET1" i="20"/>
  <c r="EU1" i="20"/>
  <c r="EV1" i="20"/>
  <c r="EW1" i="20"/>
  <c r="EX1" i="20"/>
  <c r="EY1" i="20"/>
  <c r="EZ1" i="20"/>
  <c r="FA1" i="20"/>
  <c r="FB1" i="20"/>
  <c r="FC1" i="20"/>
  <c r="FD1" i="20"/>
  <c r="FE1" i="20"/>
  <c r="FF1" i="20"/>
  <c r="FG1" i="20"/>
  <c r="FH1" i="20"/>
  <c r="FI1" i="20"/>
  <c r="FJ1" i="20"/>
  <c r="FK1" i="20"/>
  <c r="FL1" i="20"/>
  <c r="FM1" i="20"/>
  <c r="FN1" i="20"/>
  <c r="FQ17" i="22"/>
  <c r="FP17" i="22"/>
  <c r="FO17" i="22"/>
  <c r="FN17" i="22"/>
  <c r="FM17" i="22"/>
  <c r="FL17" i="22"/>
  <c r="FK17" i="22"/>
  <c r="FJ17" i="22"/>
  <c r="FI17" i="22"/>
  <c r="FH17" i="22"/>
  <c r="FG17" i="22"/>
  <c r="FF17" i="22"/>
  <c r="FE17" i="22"/>
  <c r="FD17" i="22"/>
  <c r="FC17" i="22"/>
  <c r="FB17" i="22"/>
  <c r="FA17" i="22"/>
  <c r="EZ17" i="22"/>
  <c r="EY17" i="22"/>
  <c r="EX17" i="22"/>
  <c r="EW17" i="22"/>
  <c r="EV17" i="22"/>
  <c r="EU17" i="22"/>
  <c r="ET17" i="22"/>
  <c r="ES17" i="22"/>
  <c r="ER17" i="22"/>
  <c r="EQ17" i="22"/>
  <c r="EP17" i="22"/>
  <c r="EO17" i="22"/>
  <c r="EN17" i="22"/>
  <c r="EM17" i="22"/>
  <c r="EL17" i="22"/>
  <c r="EK17" i="22"/>
  <c r="EJ17" i="22"/>
  <c r="EI17" i="22"/>
  <c r="EH17" i="22"/>
  <c r="EG17" i="22"/>
  <c r="EF17" i="22"/>
  <c r="EE17" i="22"/>
  <c r="ED17" i="22"/>
  <c r="EC17" i="22"/>
  <c r="EB17" i="22"/>
  <c r="EA17" i="22"/>
  <c r="DZ17" i="22"/>
  <c r="DY17" i="22"/>
  <c r="DX17" i="22"/>
  <c r="DW17" i="22"/>
  <c r="DV17" i="22"/>
  <c r="DU17" i="22"/>
  <c r="DT17" i="22"/>
  <c r="DS17" i="22"/>
  <c r="DR17" i="22"/>
  <c r="DQ17" i="22"/>
  <c r="DP17" i="22"/>
  <c r="DO17" i="22"/>
  <c r="DN17" i="22"/>
  <c r="DM17" i="22"/>
  <c r="DL17" i="22"/>
  <c r="DK17" i="22"/>
  <c r="DJ17" i="22"/>
  <c r="DI17" i="22"/>
  <c r="DH17" i="22"/>
  <c r="DG17" i="22"/>
  <c r="DF17" i="22"/>
  <c r="DE17" i="22"/>
  <c r="DD17" i="22"/>
  <c r="DC17" i="22"/>
  <c r="DB17" i="22"/>
  <c r="DA17" i="22"/>
  <c r="CZ17" i="22"/>
  <c r="CY17" i="22"/>
  <c r="CX17" i="22"/>
  <c r="CW17" i="22"/>
  <c r="CV17" i="22"/>
  <c r="CU17" i="22"/>
  <c r="CT17" i="22"/>
  <c r="CS17" i="22"/>
  <c r="CR17" i="22"/>
  <c r="CQ17" i="22"/>
  <c r="CP17" i="22"/>
  <c r="CO17" i="22"/>
  <c r="CN17" i="22"/>
  <c r="CM17" i="22"/>
  <c r="CL17" i="22"/>
  <c r="CK17" i="22"/>
  <c r="CJ17" i="22"/>
  <c r="CI17" i="22"/>
  <c r="CH17" i="22"/>
  <c r="CG17" i="22"/>
  <c r="CF17" i="22"/>
  <c r="CE17" i="22"/>
  <c r="CD17" i="22"/>
  <c r="CC17" i="22"/>
  <c r="CB17" i="22"/>
  <c r="CA17" i="22"/>
  <c r="BZ17" i="22"/>
  <c r="BY17" i="22"/>
  <c r="BX17" i="22"/>
  <c r="BW17" i="22"/>
  <c r="BV17" i="22"/>
  <c r="BU17" i="22"/>
  <c r="BT17" i="22"/>
  <c r="BS17" i="22"/>
  <c r="BR17" i="22"/>
  <c r="BQ17" i="22"/>
  <c r="BP17" i="22"/>
  <c r="BO17" i="22"/>
  <c r="BN17" i="22"/>
  <c r="BM17" i="22"/>
  <c r="BL17" i="22"/>
  <c r="BK17" i="22"/>
  <c r="BJ17" i="22"/>
  <c r="BI17" i="22"/>
  <c r="BH17" i="22"/>
  <c r="BG17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FQ16" i="22"/>
  <c r="FP16" i="22"/>
  <c r="FO16" i="22"/>
  <c r="FN16" i="22"/>
  <c r="FM16" i="22"/>
  <c r="FL16" i="22"/>
  <c r="FK16" i="22"/>
  <c r="FJ16" i="22"/>
  <c r="FI16" i="22"/>
  <c r="FH16" i="22"/>
  <c r="FG16" i="22"/>
  <c r="FF16" i="22"/>
  <c r="FE16" i="22"/>
  <c r="FD16" i="22"/>
  <c r="FC16" i="22"/>
  <c r="FB16" i="22"/>
  <c r="FA16" i="22"/>
  <c r="EZ16" i="22"/>
  <c r="EY16" i="22"/>
  <c r="EX16" i="22"/>
  <c r="EW16" i="22"/>
  <c r="EV16" i="22"/>
  <c r="EU16" i="22"/>
  <c r="ET16" i="22"/>
  <c r="ES16" i="22"/>
  <c r="ER16" i="22"/>
  <c r="EQ16" i="22"/>
  <c r="EP16" i="22"/>
  <c r="EO16" i="22"/>
  <c r="EN16" i="22"/>
  <c r="EM16" i="22"/>
  <c r="EL16" i="22"/>
  <c r="EK16" i="22"/>
  <c r="EJ16" i="22"/>
  <c r="EI16" i="22"/>
  <c r="EH16" i="22"/>
  <c r="EG16" i="22"/>
  <c r="EF16" i="22"/>
  <c r="EE16" i="22"/>
  <c r="ED16" i="22"/>
  <c r="EC16" i="22"/>
  <c r="EB16" i="22"/>
  <c r="EA16" i="22"/>
  <c r="DZ16" i="22"/>
  <c r="DY16" i="22"/>
  <c r="DX16" i="22"/>
  <c r="DW16" i="22"/>
  <c r="DV16" i="22"/>
  <c r="DU16" i="22"/>
  <c r="DT16" i="22"/>
  <c r="DS16" i="22"/>
  <c r="DR16" i="22"/>
  <c r="DQ16" i="22"/>
  <c r="DP16" i="22"/>
  <c r="DO16" i="22"/>
  <c r="DN16" i="22"/>
  <c r="DM16" i="22"/>
  <c r="DL16" i="22"/>
  <c r="DK16" i="22"/>
  <c r="DJ16" i="22"/>
  <c r="DI16" i="22"/>
  <c r="DH16" i="22"/>
  <c r="DG16" i="22"/>
  <c r="DF16" i="22"/>
  <c r="DE16" i="22"/>
  <c r="DD16" i="22"/>
  <c r="DC16" i="22"/>
  <c r="DB16" i="22"/>
  <c r="DA16" i="22"/>
  <c r="CZ16" i="22"/>
  <c r="CY16" i="22"/>
  <c r="CX16" i="22"/>
  <c r="CW16" i="22"/>
  <c r="CV16" i="22"/>
  <c r="CU16" i="22"/>
  <c r="CT16" i="22"/>
  <c r="CS16" i="22"/>
  <c r="CR16" i="22"/>
  <c r="CQ16" i="22"/>
  <c r="CP16" i="22"/>
  <c r="CO16" i="22"/>
  <c r="CN16" i="22"/>
  <c r="CM16" i="22"/>
  <c r="CL16" i="22"/>
  <c r="CK16" i="22"/>
  <c r="CJ16" i="22"/>
  <c r="CI16" i="22"/>
  <c r="CH16" i="22"/>
  <c r="CG16" i="22"/>
  <c r="CF16" i="22"/>
  <c r="CE16" i="22"/>
  <c r="CD16" i="22"/>
  <c r="CC16" i="22"/>
  <c r="CB16" i="22"/>
  <c r="CA16" i="22"/>
  <c r="BZ16" i="22"/>
  <c r="BY16" i="22"/>
  <c r="BX16" i="22"/>
  <c r="BW16" i="22"/>
  <c r="BV16" i="22"/>
  <c r="BU16" i="22"/>
  <c r="BT16" i="22"/>
  <c r="BS16" i="22"/>
  <c r="BR16" i="22"/>
  <c r="BQ16" i="22"/>
  <c r="BP16" i="22"/>
  <c r="BO16" i="22"/>
  <c r="BN16" i="22"/>
  <c r="BM16" i="22"/>
  <c r="BL16" i="22"/>
  <c r="BK16" i="22"/>
  <c r="BJ16" i="22"/>
  <c r="BI16" i="22"/>
  <c r="BH16" i="22"/>
  <c r="BG16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FO25" i="22"/>
  <c r="FE25" i="22"/>
  <c r="EU25" i="22"/>
  <c r="EK25" i="22"/>
  <c r="EA25" i="22"/>
  <c r="DQ25" i="22"/>
  <c r="DG25" i="22"/>
  <c r="CW25" i="22"/>
  <c r="CM25" i="22"/>
  <c r="CC25" i="22"/>
  <c r="BS25" i="22"/>
  <c r="BI25" i="22"/>
  <c r="AY25" i="22"/>
  <c r="AO25" i="22"/>
  <c r="AE25" i="22"/>
  <c r="U25" i="22"/>
  <c r="K25" i="22"/>
  <c r="FQ14" i="22"/>
  <c r="FP14" i="22"/>
  <c r="FO14" i="22"/>
  <c r="FN14" i="22"/>
  <c r="FM14" i="22"/>
  <c r="FL14" i="22"/>
  <c r="FK14" i="22"/>
  <c r="FJ14" i="22"/>
  <c r="FI14" i="22"/>
  <c r="FH14" i="22"/>
  <c r="FG14" i="22"/>
  <c r="FF14" i="22"/>
  <c r="FE14" i="22"/>
  <c r="FD14" i="22"/>
  <c r="FC14" i="22"/>
  <c r="FB14" i="22"/>
  <c r="FA14" i="22"/>
  <c r="EZ14" i="22"/>
  <c r="EY14" i="22"/>
  <c r="EX14" i="22"/>
  <c r="EW14" i="22"/>
  <c r="EV14" i="22"/>
  <c r="EU14" i="22"/>
  <c r="ET14" i="22"/>
  <c r="ES14" i="22"/>
  <c r="ER14" i="22"/>
  <c r="EQ14" i="22"/>
  <c r="EP14" i="22"/>
  <c r="EO14" i="22"/>
  <c r="EN14" i="22"/>
  <c r="EM14" i="22"/>
  <c r="EL14" i="22"/>
  <c r="EK14" i="22"/>
  <c r="EJ14" i="22"/>
  <c r="EI14" i="22"/>
  <c r="EH14" i="22"/>
  <c r="EG14" i="22"/>
  <c r="EF14" i="22"/>
  <c r="EE14" i="22"/>
  <c r="ED14" i="22"/>
  <c r="EC14" i="22"/>
  <c r="EB14" i="22"/>
  <c r="EA14" i="22"/>
  <c r="DZ14" i="22"/>
  <c r="DY14" i="22"/>
  <c r="DX14" i="22"/>
  <c r="DW14" i="22"/>
  <c r="DV14" i="22"/>
  <c r="DU14" i="22"/>
  <c r="DT14" i="22"/>
  <c r="DS14" i="22"/>
  <c r="DR14" i="22"/>
  <c r="DQ14" i="22"/>
  <c r="DP14" i="22"/>
  <c r="DO14" i="22"/>
  <c r="DN14" i="22"/>
  <c r="DM14" i="22"/>
  <c r="DL14" i="22"/>
  <c r="DK14" i="22"/>
  <c r="DJ14" i="22"/>
  <c r="DI14" i="22"/>
  <c r="DH14" i="22"/>
  <c r="DG14" i="22"/>
  <c r="DF14" i="22"/>
  <c r="DE14" i="22"/>
  <c r="DD14" i="22"/>
  <c r="DC14" i="22"/>
  <c r="DB14" i="22"/>
  <c r="DA14" i="22"/>
  <c r="CZ14" i="22"/>
  <c r="CY14" i="22"/>
  <c r="CX14" i="22"/>
  <c r="CW14" i="22"/>
  <c r="CV14" i="22"/>
  <c r="CU14" i="22"/>
  <c r="CT14" i="22"/>
  <c r="CS14" i="22"/>
  <c r="CR14" i="22"/>
  <c r="CQ14" i="22"/>
  <c r="CP14" i="22"/>
  <c r="CO14" i="22"/>
  <c r="CN14" i="22"/>
  <c r="CM14" i="22"/>
  <c r="CL14" i="22"/>
  <c r="CK14" i="22"/>
  <c r="CJ14" i="22"/>
  <c r="CI14" i="22"/>
  <c r="CH14" i="22"/>
  <c r="CG14" i="22"/>
  <c r="CF14" i="22"/>
  <c r="CE14" i="22"/>
  <c r="CD14" i="22"/>
  <c r="CC14" i="22"/>
  <c r="CB14" i="22"/>
  <c r="CA14" i="22"/>
  <c r="BZ14" i="22"/>
  <c r="BY14" i="22"/>
  <c r="BX14" i="22"/>
  <c r="BW14" i="22"/>
  <c r="BV14" i="22"/>
  <c r="BU14" i="22"/>
  <c r="BT14" i="22"/>
  <c r="BS14" i="22"/>
  <c r="BR14" i="22"/>
  <c r="BQ14" i="22"/>
  <c r="BP14" i="22"/>
  <c r="BO14" i="22"/>
  <c r="BN14" i="22"/>
  <c r="BM14" i="22"/>
  <c r="BL14" i="22"/>
  <c r="BK14" i="22"/>
  <c r="BJ14" i="22"/>
  <c r="BI14" i="22"/>
  <c r="BH14" i="22"/>
  <c r="BG14" i="22"/>
  <c r="BF14" i="22"/>
  <c r="BE14" i="22"/>
  <c r="BD14" i="22"/>
  <c r="BC14" i="22"/>
  <c r="BB14" i="22"/>
  <c r="BA14" i="22"/>
  <c r="AZ14" i="22"/>
  <c r="AY14" i="22"/>
  <c r="AX14" i="22"/>
  <c r="AW14" i="22"/>
  <c r="AV14" i="22"/>
  <c r="AU14" i="22"/>
  <c r="AT14" i="22"/>
  <c r="AS14" i="22"/>
  <c r="AR14" i="22"/>
  <c r="AQ14" i="22"/>
  <c r="AP14" i="22"/>
  <c r="AO14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FQ13" i="22"/>
  <c r="FP13" i="22"/>
  <c r="FO13" i="22"/>
  <c r="FN13" i="22"/>
  <c r="FM13" i="22"/>
  <c r="FL13" i="22"/>
  <c r="FK13" i="22"/>
  <c r="FJ13" i="22"/>
  <c r="FI13" i="22"/>
  <c r="FH13" i="22"/>
  <c r="FG13" i="22"/>
  <c r="FF13" i="22"/>
  <c r="FE13" i="22"/>
  <c r="FD13" i="22"/>
  <c r="FC13" i="22"/>
  <c r="FB13" i="22"/>
  <c r="FA13" i="22"/>
  <c r="EZ13" i="22"/>
  <c r="EY13" i="22"/>
  <c r="EX13" i="22"/>
  <c r="EW13" i="22"/>
  <c r="EV13" i="22"/>
  <c r="EU13" i="22"/>
  <c r="ET13" i="22"/>
  <c r="ES13" i="22"/>
  <c r="ER13" i="22"/>
  <c r="EQ13" i="22"/>
  <c r="EP13" i="22"/>
  <c r="EO13" i="22"/>
  <c r="EN13" i="22"/>
  <c r="EM13" i="22"/>
  <c r="EL13" i="22"/>
  <c r="EK13" i="22"/>
  <c r="EJ13" i="22"/>
  <c r="EI13" i="22"/>
  <c r="EH13" i="22"/>
  <c r="EG13" i="22"/>
  <c r="EF13" i="22"/>
  <c r="EE13" i="22"/>
  <c r="ED13" i="22"/>
  <c r="EC13" i="22"/>
  <c r="EB13" i="22"/>
  <c r="EA13" i="22"/>
  <c r="DZ13" i="22"/>
  <c r="DY13" i="22"/>
  <c r="DX13" i="22"/>
  <c r="DW13" i="22"/>
  <c r="DV13" i="22"/>
  <c r="DU13" i="22"/>
  <c r="DT13" i="22"/>
  <c r="DS13" i="22"/>
  <c r="DR13" i="22"/>
  <c r="DQ13" i="22"/>
  <c r="DP13" i="22"/>
  <c r="DO13" i="22"/>
  <c r="DN13" i="22"/>
  <c r="DM13" i="22"/>
  <c r="DL13" i="22"/>
  <c r="DK13" i="22"/>
  <c r="DJ13" i="22"/>
  <c r="DI13" i="22"/>
  <c r="DH13" i="22"/>
  <c r="DG13" i="22"/>
  <c r="DF13" i="22"/>
  <c r="DE13" i="22"/>
  <c r="DD13" i="22"/>
  <c r="DC13" i="22"/>
  <c r="DB13" i="22"/>
  <c r="DA13" i="22"/>
  <c r="CZ13" i="22"/>
  <c r="CY13" i="22"/>
  <c r="CX13" i="22"/>
  <c r="CW13" i="22"/>
  <c r="CV13" i="22"/>
  <c r="CU13" i="22"/>
  <c r="CT13" i="22"/>
  <c r="CS13" i="22"/>
  <c r="CR13" i="22"/>
  <c r="CQ13" i="22"/>
  <c r="CP13" i="22"/>
  <c r="CO13" i="22"/>
  <c r="CN13" i="22"/>
  <c r="CM13" i="22"/>
  <c r="CL13" i="22"/>
  <c r="CK13" i="22"/>
  <c r="CJ13" i="22"/>
  <c r="CI13" i="22"/>
  <c r="CH13" i="22"/>
  <c r="CG13" i="22"/>
  <c r="CF13" i="22"/>
  <c r="CE13" i="22"/>
  <c r="CD13" i="22"/>
  <c r="CC13" i="22"/>
  <c r="CB13" i="22"/>
  <c r="CA13" i="22"/>
  <c r="BZ13" i="22"/>
  <c r="BY13" i="22"/>
  <c r="BX13" i="22"/>
  <c r="BW13" i="22"/>
  <c r="BV13" i="22"/>
  <c r="BU13" i="22"/>
  <c r="BT13" i="22"/>
  <c r="BS13" i="22"/>
  <c r="BR13" i="22"/>
  <c r="BQ13" i="22"/>
  <c r="BP13" i="22"/>
  <c r="BO13" i="22"/>
  <c r="BN13" i="22"/>
  <c r="BM13" i="22"/>
  <c r="BL13" i="22"/>
  <c r="BK13" i="22"/>
  <c r="BJ13" i="22"/>
  <c r="BI13" i="22"/>
  <c r="BH13" i="22"/>
  <c r="BG13" i="22"/>
  <c r="BF13" i="22"/>
  <c r="BE13" i="22"/>
  <c r="BD13" i="22"/>
  <c r="BC13" i="22"/>
  <c r="BB13" i="22"/>
  <c r="BA13" i="22"/>
  <c r="AZ13" i="22"/>
  <c r="AY13" i="22"/>
  <c r="AX13" i="22"/>
  <c r="AW13" i="22"/>
  <c r="AV13" i="22"/>
  <c r="AU13" i="22"/>
  <c r="AT13" i="22"/>
  <c r="AS13" i="22"/>
  <c r="AR13" i="22"/>
  <c r="AQ13" i="22"/>
  <c r="AP13" i="22"/>
  <c r="AO13" i="22"/>
  <c r="AN13" i="22"/>
  <c r="AM13" i="22"/>
  <c r="AL13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FQ12" i="22"/>
  <c r="FP12" i="22"/>
  <c r="FO12" i="22"/>
  <c r="FN12" i="22"/>
  <c r="FM12" i="22"/>
  <c r="FL12" i="22"/>
  <c r="FK12" i="22"/>
  <c r="FJ12" i="22"/>
  <c r="FI12" i="22"/>
  <c r="FH12" i="22"/>
  <c r="FG12" i="22"/>
  <c r="FF12" i="22"/>
  <c r="FE12" i="22"/>
  <c r="FD12" i="22"/>
  <c r="FC12" i="22"/>
  <c r="FB12" i="22"/>
  <c r="FA12" i="22"/>
  <c r="EZ12" i="22"/>
  <c r="EY12" i="22"/>
  <c r="EX12" i="22"/>
  <c r="EW12" i="22"/>
  <c r="EV12" i="22"/>
  <c r="EU12" i="22"/>
  <c r="ET12" i="22"/>
  <c r="ES12" i="22"/>
  <c r="ER12" i="22"/>
  <c r="EQ12" i="22"/>
  <c r="EP12" i="22"/>
  <c r="EO12" i="22"/>
  <c r="EN12" i="22"/>
  <c r="EM12" i="22"/>
  <c r="EL12" i="22"/>
  <c r="EK12" i="22"/>
  <c r="EJ12" i="22"/>
  <c r="EI12" i="22"/>
  <c r="EH12" i="22"/>
  <c r="EG12" i="22"/>
  <c r="EF12" i="22"/>
  <c r="EE12" i="22"/>
  <c r="ED12" i="22"/>
  <c r="EC12" i="22"/>
  <c r="EB12" i="22"/>
  <c r="EA12" i="22"/>
  <c r="DZ12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L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X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J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V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H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T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FQ11" i="22"/>
  <c r="FP11" i="22"/>
  <c r="FO11" i="22"/>
  <c r="FN11" i="22"/>
  <c r="FM11" i="22"/>
  <c r="FL11" i="22"/>
  <c r="FK11" i="22"/>
  <c r="FJ11" i="22"/>
  <c r="FI11" i="22"/>
  <c r="FH11" i="22"/>
  <c r="FG11" i="22"/>
  <c r="FF11" i="22"/>
  <c r="FE11" i="22"/>
  <c r="FD11" i="22"/>
  <c r="FC11" i="22"/>
  <c r="FB11" i="22"/>
  <c r="FA11" i="22"/>
  <c r="EZ11" i="22"/>
  <c r="EY11" i="22"/>
  <c r="EX11" i="22"/>
  <c r="EW11" i="22"/>
  <c r="EV11" i="22"/>
  <c r="EU11" i="22"/>
  <c r="ET11" i="22"/>
  <c r="ES11" i="22"/>
  <c r="ER11" i="22"/>
  <c r="EQ11" i="22"/>
  <c r="EP11" i="22"/>
  <c r="EO11" i="22"/>
  <c r="EN11" i="22"/>
  <c r="EM11" i="22"/>
  <c r="EL11" i="22"/>
  <c r="EK11" i="22"/>
  <c r="EJ11" i="22"/>
  <c r="EI11" i="22"/>
  <c r="EH11" i="22"/>
  <c r="EG11" i="22"/>
  <c r="EF11" i="22"/>
  <c r="EE11" i="22"/>
  <c r="ED11" i="22"/>
  <c r="EC11" i="22"/>
  <c r="EB11" i="22"/>
  <c r="EA11" i="22"/>
  <c r="DZ11" i="22"/>
  <c r="DY11" i="22"/>
  <c r="DX11" i="22"/>
  <c r="DW11" i="22"/>
  <c r="DV11" i="22"/>
  <c r="DU11" i="22"/>
  <c r="DT11" i="22"/>
  <c r="DS11" i="22"/>
  <c r="DR11" i="22"/>
  <c r="DQ11" i="22"/>
  <c r="DP11" i="22"/>
  <c r="DO11" i="22"/>
  <c r="DN11" i="22"/>
  <c r="DM11" i="22"/>
  <c r="DL11" i="22"/>
  <c r="DK11" i="22"/>
  <c r="DJ11" i="22"/>
  <c r="DI11" i="22"/>
  <c r="DH11" i="22"/>
  <c r="DG11" i="22"/>
  <c r="DF11" i="22"/>
  <c r="DE11" i="22"/>
  <c r="DD11" i="22"/>
  <c r="DC11" i="22"/>
  <c r="DB11" i="22"/>
  <c r="DA11" i="22"/>
  <c r="CZ11" i="22"/>
  <c r="CY11" i="22"/>
  <c r="CX11" i="22"/>
  <c r="CW11" i="22"/>
  <c r="CV11" i="22"/>
  <c r="CU11" i="22"/>
  <c r="CT11" i="22"/>
  <c r="CS11" i="22"/>
  <c r="CR11" i="22"/>
  <c r="CQ11" i="22"/>
  <c r="CP11" i="22"/>
  <c r="CO11" i="22"/>
  <c r="CN11" i="22"/>
  <c r="CM11" i="22"/>
  <c r="CL11" i="22"/>
  <c r="CK11" i="22"/>
  <c r="CJ11" i="22"/>
  <c r="CI11" i="22"/>
  <c r="CH11" i="22"/>
  <c r="CG11" i="22"/>
  <c r="CF11" i="22"/>
  <c r="CE11" i="22"/>
  <c r="CD11" i="22"/>
  <c r="CC11" i="22"/>
  <c r="CB11" i="22"/>
  <c r="CA11" i="22"/>
  <c r="BZ11" i="22"/>
  <c r="BY11" i="22"/>
  <c r="BX11" i="22"/>
  <c r="BW11" i="22"/>
  <c r="BV11" i="22"/>
  <c r="BU11" i="22"/>
  <c r="BT11" i="22"/>
  <c r="BS11" i="22"/>
  <c r="BR11" i="22"/>
  <c r="BQ11" i="22"/>
  <c r="BP11" i="22"/>
  <c r="BO11" i="22"/>
  <c r="BN11" i="22"/>
  <c r="BM11" i="22"/>
  <c r="BL11" i="22"/>
  <c r="BK11" i="22"/>
  <c r="BJ11" i="22"/>
  <c r="BI11" i="22"/>
  <c r="BH11" i="22"/>
  <c r="BG11" i="22"/>
  <c r="BF11" i="22"/>
  <c r="BE11" i="22"/>
  <c r="BD11" i="22"/>
  <c r="BC11" i="22"/>
  <c r="BB11" i="22"/>
  <c r="BA11" i="22"/>
  <c r="AZ11" i="22"/>
  <c r="AY11" i="22"/>
  <c r="AX11" i="22"/>
  <c r="AW11" i="22"/>
  <c r="AV11" i="22"/>
  <c r="AU11" i="22"/>
  <c r="AT11" i="22"/>
  <c r="AS11" i="22"/>
  <c r="AR11" i="22"/>
  <c r="AQ11" i="22"/>
  <c r="AP11" i="22"/>
  <c r="AO11" i="22"/>
  <c r="AN11" i="22"/>
  <c r="AM11" i="22"/>
  <c r="AL11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FQ10" i="22"/>
  <c r="FP10" i="22"/>
  <c r="FO10" i="22"/>
  <c r="FN10" i="22"/>
  <c r="FM10" i="22"/>
  <c r="FL10" i="22"/>
  <c r="FK10" i="22"/>
  <c r="FJ10" i="22"/>
  <c r="FI10" i="22"/>
  <c r="FH10" i="22"/>
  <c r="FG10" i="22"/>
  <c r="FF10" i="22"/>
  <c r="FE10" i="22"/>
  <c r="FD10" i="22"/>
  <c r="FC10" i="22"/>
  <c r="FB10" i="22"/>
  <c r="FA10" i="22"/>
  <c r="EZ10" i="22"/>
  <c r="EY10" i="22"/>
  <c r="EX10" i="22"/>
  <c r="EW10" i="22"/>
  <c r="EV10" i="22"/>
  <c r="EU10" i="22"/>
  <c r="ET10" i="22"/>
  <c r="ES10" i="22"/>
  <c r="ER10" i="22"/>
  <c r="EQ10" i="22"/>
  <c r="EP10" i="22"/>
  <c r="EO10" i="22"/>
  <c r="EN10" i="22"/>
  <c r="EM10" i="22"/>
  <c r="EL10" i="22"/>
  <c r="EK10" i="22"/>
  <c r="EJ10" i="22"/>
  <c r="EI10" i="22"/>
  <c r="EH10" i="22"/>
  <c r="EG10" i="22"/>
  <c r="EF10" i="22"/>
  <c r="EE10" i="22"/>
  <c r="ED10" i="22"/>
  <c r="EC10" i="22"/>
  <c r="EB10" i="22"/>
  <c r="EA10" i="22"/>
  <c r="DZ10" i="22"/>
  <c r="DY10" i="22"/>
  <c r="DX10" i="22"/>
  <c r="DW10" i="22"/>
  <c r="DV10" i="22"/>
  <c r="DU10" i="22"/>
  <c r="DT10" i="22"/>
  <c r="DS10" i="22"/>
  <c r="DR10" i="22"/>
  <c r="DQ10" i="22"/>
  <c r="DP10" i="22"/>
  <c r="DO10" i="22"/>
  <c r="DN10" i="22"/>
  <c r="DM10" i="22"/>
  <c r="DL10" i="22"/>
  <c r="DK10" i="22"/>
  <c r="DJ10" i="22"/>
  <c r="DI10" i="22"/>
  <c r="DH10" i="22"/>
  <c r="DG10" i="22"/>
  <c r="DF10" i="22"/>
  <c r="DE10" i="22"/>
  <c r="DD10" i="22"/>
  <c r="DC10" i="22"/>
  <c r="DB10" i="22"/>
  <c r="DA10" i="22"/>
  <c r="CZ10" i="22"/>
  <c r="CY10" i="22"/>
  <c r="CX10" i="22"/>
  <c r="CW10" i="22"/>
  <c r="CV10" i="22"/>
  <c r="CU10" i="22"/>
  <c r="CT10" i="22"/>
  <c r="CS10" i="22"/>
  <c r="CR10" i="22"/>
  <c r="CQ10" i="22"/>
  <c r="CP10" i="22"/>
  <c r="CO10" i="22"/>
  <c r="CN10" i="22"/>
  <c r="CM10" i="22"/>
  <c r="CL10" i="22"/>
  <c r="CK10" i="22"/>
  <c r="CJ10" i="22"/>
  <c r="CI10" i="22"/>
  <c r="CH10" i="22"/>
  <c r="CG10" i="22"/>
  <c r="CF10" i="22"/>
  <c r="CE10" i="22"/>
  <c r="CD10" i="22"/>
  <c r="CC10" i="22"/>
  <c r="CB10" i="22"/>
  <c r="CA10" i="22"/>
  <c r="BZ10" i="22"/>
  <c r="BY10" i="22"/>
  <c r="BX10" i="22"/>
  <c r="BW10" i="22"/>
  <c r="BV10" i="22"/>
  <c r="BU10" i="22"/>
  <c r="BT10" i="22"/>
  <c r="BS10" i="22"/>
  <c r="BR10" i="22"/>
  <c r="BQ10" i="22"/>
  <c r="BP10" i="22"/>
  <c r="BO10" i="22"/>
  <c r="BN10" i="22"/>
  <c r="BM10" i="22"/>
  <c r="BL10" i="22"/>
  <c r="BK10" i="22"/>
  <c r="BJ10" i="22"/>
  <c r="BI10" i="22"/>
  <c r="BH10" i="22"/>
  <c r="BG10" i="22"/>
  <c r="BF10" i="22"/>
  <c r="BE10" i="22"/>
  <c r="BD10" i="22"/>
  <c r="BC10" i="22"/>
  <c r="BB10" i="22"/>
  <c r="BA10" i="22"/>
  <c r="AZ10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FQ9" i="22"/>
  <c r="FP9" i="22"/>
  <c r="FO9" i="22"/>
  <c r="FN9" i="22"/>
  <c r="FM9" i="22"/>
  <c r="FL9" i="22"/>
  <c r="FK9" i="22"/>
  <c r="FJ9" i="22"/>
  <c r="FI9" i="22"/>
  <c r="FH9" i="22"/>
  <c r="FG9" i="22"/>
  <c r="FF9" i="22"/>
  <c r="FE9" i="22"/>
  <c r="FD9" i="22"/>
  <c r="FC9" i="22"/>
  <c r="FB9" i="22"/>
  <c r="FA9" i="22"/>
  <c r="EZ9" i="22"/>
  <c r="EY9" i="22"/>
  <c r="EX9" i="22"/>
  <c r="EW9" i="22"/>
  <c r="EV9" i="22"/>
  <c r="EU9" i="22"/>
  <c r="ET9" i="22"/>
  <c r="ES9" i="22"/>
  <c r="ER9" i="22"/>
  <c r="EQ9" i="22"/>
  <c r="EP9" i="22"/>
  <c r="EO9" i="22"/>
  <c r="EN9" i="22"/>
  <c r="EM9" i="22"/>
  <c r="EL9" i="22"/>
  <c r="EK9" i="22"/>
  <c r="EJ9" i="22"/>
  <c r="EI9" i="22"/>
  <c r="EH9" i="22"/>
  <c r="EG9" i="22"/>
  <c r="EF9" i="22"/>
  <c r="EE9" i="22"/>
  <c r="ED9" i="22"/>
  <c r="EC9" i="22"/>
  <c r="EB9" i="22"/>
  <c r="EA9" i="22"/>
  <c r="DZ9" i="22"/>
  <c r="DY9" i="22"/>
  <c r="DX9" i="22"/>
  <c r="DW9" i="22"/>
  <c r="DV9" i="22"/>
  <c r="DU9" i="22"/>
  <c r="DT9" i="22"/>
  <c r="DS9" i="22"/>
  <c r="DR9" i="22"/>
  <c r="DQ9" i="22"/>
  <c r="DP9" i="22"/>
  <c r="DO9" i="22"/>
  <c r="DN9" i="22"/>
  <c r="DM9" i="22"/>
  <c r="DL9" i="22"/>
  <c r="DK9" i="22"/>
  <c r="DJ9" i="22"/>
  <c r="DI9" i="22"/>
  <c r="DH9" i="22"/>
  <c r="DG9" i="22"/>
  <c r="DF9" i="22"/>
  <c r="DE9" i="22"/>
  <c r="DD9" i="22"/>
  <c r="DC9" i="22"/>
  <c r="DB9" i="22"/>
  <c r="DA9" i="22"/>
  <c r="CZ9" i="22"/>
  <c r="CY9" i="22"/>
  <c r="CX9" i="22"/>
  <c r="CW9" i="22"/>
  <c r="CV9" i="22"/>
  <c r="CU9" i="22"/>
  <c r="CT9" i="22"/>
  <c r="CS9" i="22"/>
  <c r="CR9" i="22"/>
  <c r="CQ9" i="22"/>
  <c r="CP9" i="22"/>
  <c r="CO9" i="22"/>
  <c r="CN9" i="22"/>
  <c r="CM9" i="22"/>
  <c r="CL9" i="22"/>
  <c r="CK9" i="22"/>
  <c r="CJ9" i="22"/>
  <c r="CI9" i="22"/>
  <c r="CH9" i="22"/>
  <c r="CG9" i="22"/>
  <c r="CF9" i="22"/>
  <c r="CE9" i="22"/>
  <c r="CD9" i="22"/>
  <c r="CC9" i="22"/>
  <c r="CB9" i="22"/>
  <c r="CA9" i="22"/>
  <c r="BZ9" i="22"/>
  <c r="BY9" i="22"/>
  <c r="BX9" i="22"/>
  <c r="BW9" i="22"/>
  <c r="BV9" i="22"/>
  <c r="BU9" i="22"/>
  <c r="BT9" i="22"/>
  <c r="BS9" i="22"/>
  <c r="BR9" i="22"/>
  <c r="BQ9" i="22"/>
  <c r="BP9" i="22"/>
  <c r="BO9" i="22"/>
  <c r="BN9" i="22"/>
  <c r="BM9" i="22"/>
  <c r="BL9" i="22"/>
  <c r="BK9" i="22"/>
  <c r="BJ9" i="22"/>
  <c r="BI9" i="22"/>
  <c r="BH9" i="22"/>
  <c r="BG9" i="22"/>
  <c r="BF9" i="22"/>
  <c r="BE9" i="22"/>
  <c r="BD9" i="22"/>
  <c r="BC9" i="22"/>
  <c r="BB9" i="22"/>
  <c r="BA9" i="22"/>
  <c r="AZ9" i="22"/>
  <c r="AY9" i="22"/>
  <c r="AX9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FQ22" i="22"/>
  <c r="FP22" i="22"/>
  <c r="FO22" i="22"/>
  <c r="FN22" i="22"/>
  <c r="FM22" i="22"/>
  <c r="FL22" i="22"/>
  <c r="FK22" i="22"/>
  <c r="FJ22" i="22"/>
  <c r="FI22" i="22"/>
  <c r="FH22" i="22"/>
  <c r="FG22" i="22"/>
  <c r="FF22" i="22"/>
  <c r="FE22" i="22"/>
  <c r="FD22" i="22"/>
  <c r="FC22" i="22"/>
  <c r="FB22" i="22"/>
  <c r="FA22" i="22"/>
  <c r="EZ22" i="22"/>
  <c r="EY22" i="22"/>
  <c r="EX22" i="22"/>
  <c r="EW22" i="22"/>
  <c r="EV22" i="22"/>
  <c r="EU22" i="22"/>
  <c r="ET22" i="22"/>
  <c r="ES22" i="22"/>
  <c r="ER22" i="22"/>
  <c r="EQ22" i="22"/>
  <c r="EP22" i="22"/>
  <c r="EO22" i="22"/>
  <c r="EN22" i="22"/>
  <c r="EM22" i="22"/>
  <c r="EL22" i="22"/>
  <c r="EK22" i="22"/>
  <c r="EJ22" i="22"/>
  <c r="EI22" i="22"/>
  <c r="EH22" i="22"/>
  <c r="EG22" i="22"/>
  <c r="EF22" i="22"/>
  <c r="EE22" i="22"/>
  <c r="ED22" i="22"/>
  <c r="EC22" i="22"/>
  <c r="EB22" i="22"/>
  <c r="EA22" i="22"/>
  <c r="DZ22" i="22"/>
  <c r="DY22" i="22"/>
  <c r="DX22" i="22"/>
  <c r="DW22" i="22"/>
  <c r="DV22" i="22"/>
  <c r="DU22" i="22"/>
  <c r="DT22" i="22"/>
  <c r="DS22" i="22"/>
  <c r="DR22" i="22"/>
  <c r="DQ22" i="22"/>
  <c r="DP22" i="22"/>
  <c r="DO22" i="22"/>
  <c r="DN22" i="22"/>
  <c r="DM22" i="22"/>
  <c r="DL22" i="22"/>
  <c r="DK22" i="22"/>
  <c r="DJ22" i="22"/>
  <c r="DI22" i="22"/>
  <c r="DH22" i="22"/>
  <c r="DG22" i="22"/>
  <c r="DF22" i="22"/>
  <c r="DE22" i="22"/>
  <c r="DD22" i="22"/>
  <c r="DC22" i="22"/>
  <c r="DB22" i="22"/>
  <c r="DA22" i="22"/>
  <c r="CZ22" i="22"/>
  <c r="CY22" i="22"/>
  <c r="CX22" i="22"/>
  <c r="CW22" i="22"/>
  <c r="CV22" i="22"/>
  <c r="CU22" i="22"/>
  <c r="CT22" i="22"/>
  <c r="CS22" i="22"/>
  <c r="CR22" i="22"/>
  <c r="CQ22" i="22"/>
  <c r="CP22" i="22"/>
  <c r="CO22" i="22"/>
  <c r="CN22" i="22"/>
  <c r="CM22" i="22"/>
  <c r="CL22" i="22"/>
  <c r="CK22" i="22"/>
  <c r="CJ22" i="22"/>
  <c r="CI22" i="22"/>
  <c r="CH22" i="22"/>
  <c r="CG22" i="22"/>
  <c r="CF22" i="22"/>
  <c r="CE22" i="22"/>
  <c r="CD22" i="22"/>
  <c r="CC22" i="22"/>
  <c r="CB22" i="22"/>
  <c r="CA22" i="22"/>
  <c r="BZ22" i="22"/>
  <c r="BY22" i="22"/>
  <c r="BX22" i="22"/>
  <c r="BW22" i="22"/>
  <c r="BV22" i="22"/>
  <c r="BU22" i="22"/>
  <c r="BT22" i="22"/>
  <c r="BS22" i="22"/>
  <c r="BR22" i="22"/>
  <c r="BQ22" i="22"/>
  <c r="BP22" i="22"/>
  <c r="BO22" i="22"/>
  <c r="BN22" i="22"/>
  <c r="BM22" i="22"/>
  <c r="BL22" i="22"/>
  <c r="BK22" i="22"/>
  <c r="BJ22" i="22"/>
  <c r="BI22" i="22"/>
  <c r="BH22" i="22"/>
  <c r="BG22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FQ7" i="22"/>
  <c r="FQ20" i="22" s="1"/>
  <c r="FP7" i="22"/>
  <c r="FP20" i="22" s="1"/>
  <c r="FO7" i="22"/>
  <c r="FO20" i="22" s="1"/>
  <c r="FN7" i="22"/>
  <c r="FN20" i="22" s="1"/>
  <c r="FM7" i="22"/>
  <c r="FM20" i="22" s="1"/>
  <c r="FL7" i="22"/>
  <c r="FL20" i="22" s="1"/>
  <c r="FK7" i="22"/>
  <c r="FK20" i="22" s="1"/>
  <c r="FJ7" i="22"/>
  <c r="FJ20" i="22" s="1"/>
  <c r="FI7" i="22"/>
  <c r="FI20" i="22" s="1"/>
  <c r="FH7" i="22"/>
  <c r="FH20" i="22" s="1"/>
  <c r="FG7" i="22"/>
  <c r="FG20" i="22" s="1"/>
  <c r="FF7" i="22"/>
  <c r="FF20" i="22" s="1"/>
  <c r="FE7" i="22"/>
  <c r="FE20" i="22" s="1"/>
  <c r="FD7" i="22"/>
  <c r="FD20" i="22" s="1"/>
  <c r="FC7" i="22"/>
  <c r="FC20" i="22" s="1"/>
  <c r="FB7" i="22"/>
  <c r="FB20" i="22" s="1"/>
  <c r="FA7" i="22"/>
  <c r="FA20" i="22" s="1"/>
  <c r="EZ7" i="22"/>
  <c r="EZ20" i="22" s="1"/>
  <c r="EY7" i="22"/>
  <c r="EY20" i="22" s="1"/>
  <c r="EX7" i="22"/>
  <c r="EX20" i="22" s="1"/>
  <c r="EW7" i="22"/>
  <c r="EW20" i="22" s="1"/>
  <c r="EV7" i="22"/>
  <c r="EV20" i="22" s="1"/>
  <c r="EU7" i="22"/>
  <c r="EU20" i="22" s="1"/>
  <c r="ET7" i="22"/>
  <c r="ET20" i="22" s="1"/>
  <c r="ES7" i="22"/>
  <c r="ES20" i="22" s="1"/>
  <c r="ER7" i="22"/>
  <c r="ER20" i="22" s="1"/>
  <c r="EQ7" i="22"/>
  <c r="EQ20" i="22" s="1"/>
  <c r="EP7" i="22"/>
  <c r="EP20" i="22" s="1"/>
  <c r="EO7" i="22"/>
  <c r="EO20" i="22" s="1"/>
  <c r="EN7" i="22"/>
  <c r="EN20" i="22" s="1"/>
  <c r="EM7" i="22"/>
  <c r="EM20" i="22" s="1"/>
  <c r="EL7" i="22"/>
  <c r="EL20" i="22" s="1"/>
  <c r="EK7" i="22"/>
  <c r="EK20" i="22" s="1"/>
  <c r="EJ7" i="22"/>
  <c r="EJ20" i="22" s="1"/>
  <c r="EI7" i="22"/>
  <c r="EI20" i="22" s="1"/>
  <c r="EH7" i="22"/>
  <c r="EH20" i="22" s="1"/>
  <c r="EG7" i="22"/>
  <c r="EG20" i="22" s="1"/>
  <c r="EF7" i="22"/>
  <c r="EF20" i="22" s="1"/>
  <c r="EE7" i="22"/>
  <c r="EE20" i="22" s="1"/>
  <c r="ED7" i="22"/>
  <c r="ED20" i="22" s="1"/>
  <c r="EC7" i="22"/>
  <c r="EC20" i="22" s="1"/>
  <c r="EB7" i="22"/>
  <c r="EB20" i="22" s="1"/>
  <c r="EA7" i="22"/>
  <c r="EA20" i="22" s="1"/>
  <c r="DZ7" i="22"/>
  <c r="DZ20" i="22" s="1"/>
  <c r="DY7" i="22"/>
  <c r="DY20" i="22" s="1"/>
  <c r="DX7" i="22"/>
  <c r="DX20" i="22" s="1"/>
  <c r="DW7" i="22"/>
  <c r="DW20" i="22" s="1"/>
  <c r="DV7" i="22"/>
  <c r="DV20" i="22" s="1"/>
  <c r="DU7" i="22"/>
  <c r="DU20" i="22" s="1"/>
  <c r="DT7" i="22"/>
  <c r="DT20" i="22" s="1"/>
  <c r="DS7" i="22"/>
  <c r="DS20" i="22" s="1"/>
  <c r="DR7" i="22"/>
  <c r="DR20" i="22" s="1"/>
  <c r="DQ7" i="22"/>
  <c r="DQ20" i="22" s="1"/>
  <c r="DP7" i="22"/>
  <c r="DP20" i="22" s="1"/>
  <c r="DO7" i="22"/>
  <c r="DO20" i="22" s="1"/>
  <c r="DN7" i="22"/>
  <c r="DN20" i="22" s="1"/>
  <c r="DM7" i="22"/>
  <c r="DM20" i="22" s="1"/>
  <c r="DL7" i="22"/>
  <c r="DL20" i="22" s="1"/>
  <c r="DK7" i="22"/>
  <c r="DK20" i="22" s="1"/>
  <c r="DJ7" i="22"/>
  <c r="DJ20" i="22" s="1"/>
  <c r="DI7" i="22"/>
  <c r="DI20" i="22" s="1"/>
  <c r="DH7" i="22"/>
  <c r="DH20" i="22" s="1"/>
  <c r="DG7" i="22"/>
  <c r="DG20" i="22" s="1"/>
  <c r="DF7" i="22"/>
  <c r="DF20" i="22" s="1"/>
  <c r="DE7" i="22"/>
  <c r="DE20" i="22" s="1"/>
  <c r="DD7" i="22"/>
  <c r="DD20" i="22" s="1"/>
  <c r="DC7" i="22"/>
  <c r="DC20" i="22" s="1"/>
  <c r="DB7" i="22"/>
  <c r="DB20" i="22" s="1"/>
  <c r="DA7" i="22"/>
  <c r="DA20" i="22" s="1"/>
  <c r="CZ7" i="22"/>
  <c r="CZ20" i="22" s="1"/>
  <c r="CY7" i="22"/>
  <c r="CY20" i="22" s="1"/>
  <c r="CX7" i="22"/>
  <c r="CX20" i="22" s="1"/>
  <c r="CW7" i="22"/>
  <c r="CW20" i="22" s="1"/>
  <c r="CV7" i="22"/>
  <c r="CV20" i="22" s="1"/>
  <c r="CU7" i="22"/>
  <c r="CU20" i="22" s="1"/>
  <c r="CT7" i="22"/>
  <c r="CT20" i="22" s="1"/>
  <c r="CS7" i="22"/>
  <c r="CS20" i="22" s="1"/>
  <c r="CR7" i="22"/>
  <c r="CR20" i="22" s="1"/>
  <c r="CQ7" i="22"/>
  <c r="CQ20" i="22" s="1"/>
  <c r="CP7" i="22"/>
  <c r="CP20" i="22" s="1"/>
  <c r="CO7" i="22"/>
  <c r="CO20" i="22" s="1"/>
  <c r="CN7" i="22"/>
  <c r="CN20" i="22" s="1"/>
  <c r="CM7" i="22"/>
  <c r="CM20" i="22" s="1"/>
  <c r="CL7" i="22"/>
  <c r="CL20" i="22" s="1"/>
  <c r="CK7" i="22"/>
  <c r="CK20" i="22" s="1"/>
  <c r="CJ7" i="22"/>
  <c r="CJ20" i="22" s="1"/>
  <c r="CI7" i="22"/>
  <c r="CI20" i="22" s="1"/>
  <c r="CH7" i="22"/>
  <c r="CH20" i="22" s="1"/>
  <c r="CG7" i="22"/>
  <c r="CG20" i="22" s="1"/>
  <c r="CF7" i="22"/>
  <c r="CF20" i="22" s="1"/>
  <c r="CE7" i="22"/>
  <c r="CE20" i="22" s="1"/>
  <c r="CD7" i="22"/>
  <c r="CD20" i="22" s="1"/>
  <c r="CC7" i="22"/>
  <c r="CC20" i="22" s="1"/>
  <c r="CB7" i="22"/>
  <c r="CB20" i="22" s="1"/>
  <c r="CA7" i="22"/>
  <c r="CA20" i="22" s="1"/>
  <c r="BZ7" i="22"/>
  <c r="BZ20" i="22" s="1"/>
  <c r="BY7" i="22"/>
  <c r="BY20" i="22" s="1"/>
  <c r="BX7" i="22"/>
  <c r="BX20" i="22" s="1"/>
  <c r="BW7" i="22"/>
  <c r="BW20" i="22" s="1"/>
  <c r="BV7" i="22"/>
  <c r="BV20" i="22" s="1"/>
  <c r="BU7" i="22"/>
  <c r="BU20" i="22" s="1"/>
  <c r="BT7" i="22"/>
  <c r="BT20" i="22" s="1"/>
  <c r="BS7" i="22"/>
  <c r="BS20" i="22" s="1"/>
  <c r="BR7" i="22"/>
  <c r="BR20" i="22" s="1"/>
  <c r="BQ7" i="22"/>
  <c r="BQ20" i="22" s="1"/>
  <c r="BP7" i="22"/>
  <c r="BP20" i="22" s="1"/>
  <c r="BO7" i="22"/>
  <c r="BO20" i="22" s="1"/>
  <c r="BN7" i="22"/>
  <c r="BN20" i="22" s="1"/>
  <c r="BM7" i="22"/>
  <c r="BM20" i="22" s="1"/>
  <c r="BL7" i="22"/>
  <c r="BL20" i="22" s="1"/>
  <c r="BK7" i="22"/>
  <c r="BK20" i="22" s="1"/>
  <c r="BJ7" i="22"/>
  <c r="BJ20" i="22" s="1"/>
  <c r="BI7" i="22"/>
  <c r="BI20" i="22" s="1"/>
  <c r="BH7" i="22"/>
  <c r="BH20" i="22" s="1"/>
  <c r="BG7" i="22"/>
  <c r="BG20" i="22" s="1"/>
  <c r="BF7" i="22"/>
  <c r="BF20" i="22" s="1"/>
  <c r="BE7" i="22"/>
  <c r="BE20" i="22" s="1"/>
  <c r="BD7" i="22"/>
  <c r="BD20" i="22" s="1"/>
  <c r="BC7" i="22"/>
  <c r="BC20" i="22" s="1"/>
  <c r="BB7" i="22"/>
  <c r="BB20" i="22" s="1"/>
  <c r="BA7" i="22"/>
  <c r="BA20" i="22" s="1"/>
  <c r="AZ7" i="22"/>
  <c r="AZ20" i="22" s="1"/>
  <c r="AY7" i="22"/>
  <c r="AY20" i="22" s="1"/>
  <c r="AX7" i="22"/>
  <c r="AX20" i="22" s="1"/>
  <c r="AW7" i="22"/>
  <c r="AW20" i="22" s="1"/>
  <c r="AV7" i="22"/>
  <c r="AV20" i="22" s="1"/>
  <c r="AU7" i="22"/>
  <c r="AU20" i="22" s="1"/>
  <c r="AT7" i="22"/>
  <c r="AT20" i="22" s="1"/>
  <c r="AS7" i="22"/>
  <c r="AS20" i="22" s="1"/>
  <c r="AR7" i="22"/>
  <c r="AR20" i="22" s="1"/>
  <c r="AQ7" i="22"/>
  <c r="AQ20" i="22" s="1"/>
  <c r="AP7" i="22"/>
  <c r="AP20" i="22" s="1"/>
  <c r="AO7" i="22"/>
  <c r="AO20" i="22" s="1"/>
  <c r="AN7" i="22"/>
  <c r="AN20" i="22" s="1"/>
  <c r="AM7" i="22"/>
  <c r="AM20" i="22" s="1"/>
  <c r="AL7" i="22"/>
  <c r="AL20" i="22" s="1"/>
  <c r="AK7" i="22"/>
  <c r="AK20" i="22" s="1"/>
  <c r="AJ7" i="22"/>
  <c r="AJ20" i="22" s="1"/>
  <c r="AI7" i="22"/>
  <c r="AI20" i="22" s="1"/>
  <c r="AH7" i="22"/>
  <c r="AH20" i="22" s="1"/>
  <c r="AG7" i="22"/>
  <c r="AG20" i="22" s="1"/>
  <c r="AF7" i="22"/>
  <c r="AF20" i="22" s="1"/>
  <c r="AE7" i="22"/>
  <c r="AE20" i="22" s="1"/>
  <c r="AD7" i="22"/>
  <c r="AD20" i="22" s="1"/>
  <c r="AC7" i="22"/>
  <c r="AC20" i="22" s="1"/>
  <c r="AB7" i="22"/>
  <c r="AB20" i="22" s="1"/>
  <c r="AA7" i="22"/>
  <c r="AA20" i="22" s="1"/>
  <c r="Z7" i="22"/>
  <c r="Z20" i="22" s="1"/>
  <c r="Y7" i="22"/>
  <c r="Y20" i="22" s="1"/>
  <c r="X7" i="22"/>
  <c r="X20" i="22" s="1"/>
  <c r="W7" i="22"/>
  <c r="W20" i="22" s="1"/>
  <c r="V7" i="22"/>
  <c r="V20" i="22" s="1"/>
  <c r="U7" i="22"/>
  <c r="U20" i="22" s="1"/>
  <c r="T7" i="22"/>
  <c r="T20" i="22" s="1"/>
  <c r="S7" i="22"/>
  <c r="S20" i="22" s="1"/>
  <c r="R7" i="22"/>
  <c r="R20" i="22" s="1"/>
  <c r="Q7" i="22"/>
  <c r="Q20" i="22" s="1"/>
  <c r="P7" i="22"/>
  <c r="P20" i="22" s="1"/>
  <c r="O7" i="22"/>
  <c r="O20" i="22" s="1"/>
  <c r="N7" i="22"/>
  <c r="N20" i="22" s="1"/>
  <c r="M7" i="22"/>
  <c r="M20" i="22" s="1"/>
  <c r="L7" i="22"/>
  <c r="L20" i="22" s="1"/>
  <c r="K7" i="22"/>
  <c r="K20" i="22" s="1"/>
  <c r="J7" i="22"/>
  <c r="J20" i="22" s="1"/>
  <c r="I7" i="22"/>
  <c r="I20" i="22" s="1"/>
  <c r="H7" i="22"/>
  <c r="H20" i="22" s="1"/>
  <c r="G7" i="22"/>
  <c r="G20" i="22" s="1"/>
  <c r="F7" i="22"/>
  <c r="F20" i="22" s="1"/>
  <c r="E7" i="22"/>
  <c r="E20" i="22" s="1"/>
  <c r="B7" i="22"/>
  <c r="B20" i="22" s="1"/>
  <c r="FO27" i="21"/>
  <c r="FN27" i="21"/>
  <c r="FM27" i="21"/>
  <c r="FL27" i="21"/>
  <c r="FK27" i="21"/>
  <c r="FJ27" i="21"/>
  <c r="FI27" i="21"/>
  <c r="FH27" i="21"/>
  <c r="FG27" i="21"/>
  <c r="FF27" i="21"/>
  <c r="FE27" i="21"/>
  <c r="FD27" i="21"/>
  <c r="FC27" i="21"/>
  <c r="FB27" i="21"/>
  <c r="FA27" i="21"/>
  <c r="EZ27" i="21"/>
  <c r="EY27" i="21"/>
  <c r="EX27" i="21"/>
  <c r="EW27" i="21"/>
  <c r="EV27" i="21"/>
  <c r="EU27" i="21"/>
  <c r="ET27" i="21"/>
  <c r="ES27" i="21"/>
  <c r="ER27" i="21"/>
  <c r="EQ27" i="21"/>
  <c r="EP27" i="21"/>
  <c r="EO27" i="21"/>
  <c r="EN27" i="21"/>
  <c r="EM27" i="21"/>
  <c r="EL27" i="21"/>
  <c r="EK27" i="21"/>
  <c r="EJ27" i="21"/>
  <c r="EI27" i="21"/>
  <c r="EH27" i="21"/>
  <c r="EG27" i="21"/>
  <c r="EF27" i="21"/>
  <c r="EE27" i="21"/>
  <c r="ED27" i="21"/>
  <c r="EC27" i="21"/>
  <c r="EB27" i="21"/>
  <c r="EA27" i="21"/>
  <c r="DZ27" i="21"/>
  <c r="DY27" i="21"/>
  <c r="DX27" i="21"/>
  <c r="DW27" i="21"/>
  <c r="DV27" i="21"/>
  <c r="DU27" i="21"/>
  <c r="DT27" i="21"/>
  <c r="DS27" i="21"/>
  <c r="DR27" i="21"/>
  <c r="DQ27" i="21"/>
  <c r="DP27" i="21"/>
  <c r="DO27" i="21"/>
  <c r="DN27" i="21"/>
  <c r="DM27" i="21"/>
  <c r="DL27" i="21"/>
  <c r="DK27" i="21"/>
  <c r="DJ27" i="21"/>
  <c r="DI27" i="21"/>
  <c r="DH27" i="21"/>
  <c r="DG27" i="21"/>
  <c r="DF27" i="21"/>
  <c r="DE27" i="21"/>
  <c r="DD27" i="21"/>
  <c r="DC27" i="21"/>
  <c r="DB27" i="21"/>
  <c r="DA27" i="21"/>
  <c r="CZ27" i="21"/>
  <c r="CY27" i="21"/>
  <c r="CX27" i="21"/>
  <c r="CW27" i="21"/>
  <c r="CV27" i="21"/>
  <c r="CU27" i="21"/>
  <c r="CT27" i="21"/>
  <c r="CS27" i="21"/>
  <c r="CR27" i="21"/>
  <c r="CQ27" i="21"/>
  <c r="CP27" i="21"/>
  <c r="CO27" i="21"/>
  <c r="CN27" i="21"/>
  <c r="CM27" i="21"/>
  <c r="CL27" i="21"/>
  <c r="CK27" i="21"/>
  <c r="CJ27" i="21"/>
  <c r="CI27" i="21"/>
  <c r="CH27" i="21"/>
  <c r="CG27" i="21"/>
  <c r="CF27" i="21"/>
  <c r="CE27" i="21"/>
  <c r="CD27" i="21"/>
  <c r="CC27" i="21"/>
  <c r="CB27" i="21"/>
  <c r="CA27" i="21"/>
  <c r="BZ27" i="21"/>
  <c r="BY27" i="21"/>
  <c r="BX27" i="21"/>
  <c r="BW27" i="21"/>
  <c r="BV27" i="21"/>
  <c r="BU27" i="21"/>
  <c r="BT27" i="21"/>
  <c r="BS27" i="21"/>
  <c r="BR27" i="21"/>
  <c r="BQ27" i="21"/>
  <c r="BP27" i="21"/>
  <c r="BO27" i="21"/>
  <c r="BN27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FO22" i="21"/>
  <c r="FN22" i="21"/>
  <c r="FM22" i="21"/>
  <c r="FL22" i="21"/>
  <c r="FK22" i="21"/>
  <c r="FJ22" i="21"/>
  <c r="FI22" i="21"/>
  <c r="FH22" i="21"/>
  <c r="FG22" i="21"/>
  <c r="FF22" i="21"/>
  <c r="FE22" i="21"/>
  <c r="FD22" i="21"/>
  <c r="FC22" i="21"/>
  <c r="FB22" i="21"/>
  <c r="FA22" i="21"/>
  <c r="EZ22" i="21"/>
  <c r="EY22" i="21"/>
  <c r="EX22" i="21"/>
  <c r="EW22" i="21"/>
  <c r="EV22" i="21"/>
  <c r="EU22" i="21"/>
  <c r="ET22" i="21"/>
  <c r="ES22" i="21"/>
  <c r="ER22" i="21"/>
  <c r="EQ22" i="21"/>
  <c r="EP22" i="21"/>
  <c r="EO22" i="21"/>
  <c r="EN22" i="21"/>
  <c r="EM22" i="21"/>
  <c r="EL22" i="21"/>
  <c r="EK22" i="21"/>
  <c r="EJ22" i="21"/>
  <c r="EI22" i="21"/>
  <c r="EH22" i="21"/>
  <c r="EG22" i="21"/>
  <c r="EF22" i="21"/>
  <c r="EE22" i="21"/>
  <c r="ED22" i="21"/>
  <c r="EC22" i="21"/>
  <c r="EB22" i="21"/>
  <c r="EA22" i="21"/>
  <c r="DZ22" i="21"/>
  <c r="DY22" i="21"/>
  <c r="DX22" i="21"/>
  <c r="DW22" i="21"/>
  <c r="DV22" i="21"/>
  <c r="DU22" i="21"/>
  <c r="DT22" i="21"/>
  <c r="DS22" i="21"/>
  <c r="DR22" i="21"/>
  <c r="DQ22" i="21"/>
  <c r="DP22" i="21"/>
  <c r="DO22" i="21"/>
  <c r="DN22" i="21"/>
  <c r="DM22" i="21"/>
  <c r="DL22" i="21"/>
  <c r="DK22" i="21"/>
  <c r="DJ22" i="21"/>
  <c r="DI22" i="21"/>
  <c r="DH22" i="21"/>
  <c r="DG22" i="21"/>
  <c r="DF22" i="21"/>
  <c r="DE22" i="21"/>
  <c r="DD22" i="21"/>
  <c r="DC22" i="21"/>
  <c r="DB22" i="21"/>
  <c r="DA22" i="21"/>
  <c r="CZ22" i="21"/>
  <c r="CY22" i="21"/>
  <c r="CX22" i="21"/>
  <c r="CW22" i="21"/>
  <c r="CV22" i="21"/>
  <c r="CU22" i="21"/>
  <c r="CT22" i="21"/>
  <c r="CS22" i="21"/>
  <c r="CR22" i="21"/>
  <c r="CQ22" i="21"/>
  <c r="CP22" i="21"/>
  <c r="CO22" i="21"/>
  <c r="CN22" i="21"/>
  <c r="CM22" i="21"/>
  <c r="CL22" i="21"/>
  <c r="CK22" i="21"/>
  <c r="CJ22" i="21"/>
  <c r="CI22" i="21"/>
  <c r="CH22" i="21"/>
  <c r="CG22" i="21"/>
  <c r="CF22" i="21"/>
  <c r="CE22" i="21"/>
  <c r="CD22" i="21"/>
  <c r="CC22" i="21"/>
  <c r="CB22" i="21"/>
  <c r="CA22" i="21"/>
  <c r="BZ22" i="21"/>
  <c r="BY22" i="21"/>
  <c r="BX22" i="21"/>
  <c r="BW22" i="21"/>
  <c r="BV22" i="21"/>
  <c r="BU22" i="21"/>
  <c r="BT22" i="21"/>
  <c r="BS22" i="21"/>
  <c r="BR22" i="21"/>
  <c r="BQ22" i="21"/>
  <c r="BP22" i="21"/>
  <c r="BO22" i="21"/>
  <c r="BN22" i="21"/>
  <c r="BM22" i="21"/>
  <c r="BL22" i="21"/>
  <c r="BK22" i="21"/>
  <c r="BJ22" i="21"/>
  <c r="BI22" i="21"/>
  <c r="BH22" i="21"/>
  <c r="BG22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FO20" i="21"/>
  <c r="FO30" i="21" s="1"/>
  <c r="FN20" i="21"/>
  <c r="FN30" i="21" s="1"/>
  <c r="FM20" i="21"/>
  <c r="FM30" i="21" s="1"/>
  <c r="FL20" i="21"/>
  <c r="FL30" i="21" s="1"/>
  <c r="FK20" i="21"/>
  <c r="FK30" i="21" s="1"/>
  <c r="FJ20" i="21"/>
  <c r="FJ30" i="21" s="1"/>
  <c r="FI20" i="21"/>
  <c r="FI30" i="21" s="1"/>
  <c r="FH20" i="21"/>
  <c r="FH30" i="21" s="1"/>
  <c r="FG20" i="21"/>
  <c r="FG30" i="21" s="1"/>
  <c r="FF20" i="21"/>
  <c r="FF30" i="21" s="1"/>
  <c r="FE20" i="21"/>
  <c r="FE30" i="21" s="1"/>
  <c r="FD20" i="21"/>
  <c r="FD30" i="21" s="1"/>
  <c r="FC20" i="21"/>
  <c r="FC30" i="21" s="1"/>
  <c r="FB20" i="21"/>
  <c r="FB30" i="21" s="1"/>
  <c r="FA20" i="21"/>
  <c r="FA30" i="21" s="1"/>
  <c r="EZ20" i="21"/>
  <c r="EZ30" i="21" s="1"/>
  <c r="EY20" i="21"/>
  <c r="EY30" i="21" s="1"/>
  <c r="EX20" i="21"/>
  <c r="EX30" i="21" s="1"/>
  <c r="EW20" i="21"/>
  <c r="EW30" i="21" s="1"/>
  <c r="EV20" i="21"/>
  <c r="EV30" i="21" s="1"/>
  <c r="EU20" i="21"/>
  <c r="EU30" i="21" s="1"/>
  <c r="ET20" i="21"/>
  <c r="ET30" i="21" s="1"/>
  <c r="ES20" i="21"/>
  <c r="ES30" i="21" s="1"/>
  <c r="ER20" i="21"/>
  <c r="ER30" i="21" s="1"/>
  <c r="EQ20" i="21"/>
  <c r="EQ30" i="21" s="1"/>
  <c r="EP20" i="21"/>
  <c r="EP30" i="21" s="1"/>
  <c r="EO20" i="21"/>
  <c r="EO30" i="21" s="1"/>
  <c r="EN20" i="21"/>
  <c r="EN30" i="21" s="1"/>
  <c r="EM20" i="21"/>
  <c r="EM30" i="21" s="1"/>
  <c r="EL20" i="21"/>
  <c r="EL30" i="21" s="1"/>
  <c r="EK20" i="21"/>
  <c r="EK30" i="21" s="1"/>
  <c r="EJ20" i="21"/>
  <c r="EJ30" i="21" s="1"/>
  <c r="EI20" i="21"/>
  <c r="EI30" i="21" s="1"/>
  <c r="EH20" i="21"/>
  <c r="EH30" i="21" s="1"/>
  <c r="EG20" i="21"/>
  <c r="EG30" i="21" s="1"/>
  <c r="EF20" i="21"/>
  <c r="EF30" i="21" s="1"/>
  <c r="EE20" i="21"/>
  <c r="EE30" i="21" s="1"/>
  <c r="ED20" i="21"/>
  <c r="ED30" i="21" s="1"/>
  <c r="EC20" i="21"/>
  <c r="EC30" i="21" s="1"/>
  <c r="EB20" i="21"/>
  <c r="EB30" i="21" s="1"/>
  <c r="EA20" i="21"/>
  <c r="EA30" i="21" s="1"/>
  <c r="DZ20" i="21"/>
  <c r="DZ30" i="21" s="1"/>
  <c r="DY20" i="21"/>
  <c r="DY30" i="21" s="1"/>
  <c r="DX20" i="21"/>
  <c r="DX30" i="21" s="1"/>
  <c r="DW20" i="21"/>
  <c r="DW30" i="21" s="1"/>
  <c r="DV20" i="21"/>
  <c r="DV30" i="21" s="1"/>
  <c r="DU20" i="21"/>
  <c r="DU30" i="21" s="1"/>
  <c r="DT20" i="21"/>
  <c r="DT30" i="21" s="1"/>
  <c r="DS20" i="21"/>
  <c r="DS30" i="21" s="1"/>
  <c r="DR20" i="21"/>
  <c r="DR30" i="21" s="1"/>
  <c r="DQ20" i="21"/>
  <c r="DQ30" i="21" s="1"/>
  <c r="DP20" i="21"/>
  <c r="DP30" i="21" s="1"/>
  <c r="DO20" i="21"/>
  <c r="DO30" i="21" s="1"/>
  <c r="DN20" i="21"/>
  <c r="DN30" i="21" s="1"/>
  <c r="DM20" i="21"/>
  <c r="DM30" i="21" s="1"/>
  <c r="DL20" i="21"/>
  <c r="DL30" i="21" s="1"/>
  <c r="DK20" i="21"/>
  <c r="DK30" i="21" s="1"/>
  <c r="DJ20" i="21"/>
  <c r="DJ30" i="21" s="1"/>
  <c r="DI20" i="21"/>
  <c r="DI30" i="21" s="1"/>
  <c r="DH20" i="21"/>
  <c r="DH30" i="21" s="1"/>
  <c r="DG20" i="21"/>
  <c r="DG30" i="21" s="1"/>
  <c r="DF20" i="21"/>
  <c r="DF30" i="21" s="1"/>
  <c r="DE20" i="21"/>
  <c r="DE30" i="21" s="1"/>
  <c r="DD20" i="21"/>
  <c r="DD30" i="21" s="1"/>
  <c r="DC20" i="21"/>
  <c r="DC30" i="21" s="1"/>
  <c r="DB20" i="21"/>
  <c r="DB30" i="21" s="1"/>
  <c r="DA20" i="21"/>
  <c r="DA30" i="21" s="1"/>
  <c r="CZ20" i="21"/>
  <c r="CZ30" i="21" s="1"/>
  <c r="CY20" i="21"/>
  <c r="CY30" i="21" s="1"/>
  <c r="CX20" i="21"/>
  <c r="CX30" i="21" s="1"/>
  <c r="CW20" i="21"/>
  <c r="CW30" i="21" s="1"/>
  <c r="CV20" i="21"/>
  <c r="CV30" i="21" s="1"/>
  <c r="CU20" i="21"/>
  <c r="CU30" i="21" s="1"/>
  <c r="CT20" i="21"/>
  <c r="CT30" i="21" s="1"/>
  <c r="CS20" i="21"/>
  <c r="CS30" i="21" s="1"/>
  <c r="CR20" i="21"/>
  <c r="CR30" i="21" s="1"/>
  <c r="CQ20" i="21"/>
  <c r="CQ30" i="21" s="1"/>
  <c r="CP20" i="21"/>
  <c r="CP30" i="21" s="1"/>
  <c r="CO20" i="21"/>
  <c r="CO30" i="21" s="1"/>
  <c r="CN20" i="21"/>
  <c r="CN30" i="21" s="1"/>
  <c r="CM20" i="21"/>
  <c r="CM30" i="21" s="1"/>
  <c r="CL20" i="21"/>
  <c r="CL30" i="21" s="1"/>
  <c r="CK20" i="21"/>
  <c r="CK30" i="21" s="1"/>
  <c r="CJ20" i="21"/>
  <c r="CJ30" i="21" s="1"/>
  <c r="CI20" i="21"/>
  <c r="CI30" i="21" s="1"/>
  <c r="CH20" i="21"/>
  <c r="CH30" i="21" s="1"/>
  <c r="CG20" i="21"/>
  <c r="CG30" i="21" s="1"/>
  <c r="CF20" i="21"/>
  <c r="CF30" i="21" s="1"/>
  <c r="CE20" i="21"/>
  <c r="CE30" i="21" s="1"/>
  <c r="CD20" i="21"/>
  <c r="CD30" i="21" s="1"/>
  <c r="CC20" i="21"/>
  <c r="CC30" i="21" s="1"/>
  <c r="CB20" i="21"/>
  <c r="CB30" i="21" s="1"/>
  <c r="CA20" i="21"/>
  <c r="CA30" i="21" s="1"/>
  <c r="BZ20" i="21"/>
  <c r="BZ30" i="21" s="1"/>
  <c r="BY20" i="21"/>
  <c r="BY30" i="21" s="1"/>
  <c r="BX20" i="21"/>
  <c r="BX30" i="21" s="1"/>
  <c r="BW20" i="21"/>
  <c r="BW30" i="21" s="1"/>
  <c r="BV20" i="21"/>
  <c r="BV30" i="21" s="1"/>
  <c r="BU20" i="21"/>
  <c r="BU30" i="21" s="1"/>
  <c r="BT20" i="21"/>
  <c r="BT30" i="21" s="1"/>
  <c r="BS20" i="21"/>
  <c r="BS30" i="21" s="1"/>
  <c r="BR20" i="21"/>
  <c r="BR30" i="21" s="1"/>
  <c r="BQ20" i="21"/>
  <c r="BQ30" i="21" s="1"/>
  <c r="BP20" i="21"/>
  <c r="BP30" i="21" s="1"/>
  <c r="BO20" i="21"/>
  <c r="BO30" i="21" s="1"/>
  <c r="BN20" i="21"/>
  <c r="BN30" i="21" s="1"/>
  <c r="BM20" i="21"/>
  <c r="BM30" i="21" s="1"/>
  <c r="BL20" i="21"/>
  <c r="BL30" i="21" s="1"/>
  <c r="BK20" i="21"/>
  <c r="BK30" i="21" s="1"/>
  <c r="BJ20" i="21"/>
  <c r="BJ30" i="21" s="1"/>
  <c r="BI20" i="21"/>
  <c r="BI30" i="21" s="1"/>
  <c r="BH20" i="21"/>
  <c r="BH30" i="21" s="1"/>
  <c r="BG20" i="21"/>
  <c r="BG30" i="21" s="1"/>
  <c r="BF20" i="21"/>
  <c r="BF30" i="21" s="1"/>
  <c r="BE20" i="21"/>
  <c r="BE30" i="21" s="1"/>
  <c r="BD20" i="21"/>
  <c r="BD30" i="21" s="1"/>
  <c r="BC20" i="21"/>
  <c r="BC30" i="21" s="1"/>
  <c r="BB20" i="21"/>
  <c r="BB30" i="21" s="1"/>
  <c r="BA20" i="21"/>
  <c r="BA30" i="21" s="1"/>
  <c r="AZ20" i="21"/>
  <c r="AZ30" i="21" s="1"/>
  <c r="AY20" i="21"/>
  <c r="AY30" i="21" s="1"/>
  <c r="AX20" i="21"/>
  <c r="AX30" i="21" s="1"/>
  <c r="AW20" i="21"/>
  <c r="AW30" i="21" s="1"/>
  <c r="AV20" i="21"/>
  <c r="AV30" i="21" s="1"/>
  <c r="AU20" i="21"/>
  <c r="AU30" i="21" s="1"/>
  <c r="AT20" i="21"/>
  <c r="AT30" i="21" s="1"/>
  <c r="AS20" i="21"/>
  <c r="AS30" i="21" s="1"/>
  <c r="AR20" i="21"/>
  <c r="AR30" i="21" s="1"/>
  <c r="AQ20" i="21"/>
  <c r="AQ30" i="21" s="1"/>
  <c r="AP20" i="21"/>
  <c r="AP30" i="21" s="1"/>
  <c r="AO20" i="21"/>
  <c r="AO30" i="21" s="1"/>
  <c r="AN20" i="21"/>
  <c r="AN30" i="21" s="1"/>
  <c r="AM20" i="21"/>
  <c r="AM30" i="21" s="1"/>
  <c r="AL20" i="21"/>
  <c r="AL30" i="21" s="1"/>
  <c r="AK20" i="21"/>
  <c r="AK30" i="21" s="1"/>
  <c r="AJ20" i="21"/>
  <c r="AJ30" i="21" s="1"/>
  <c r="AI20" i="21"/>
  <c r="AI30" i="21" s="1"/>
  <c r="AH20" i="21"/>
  <c r="AH30" i="21" s="1"/>
  <c r="AG20" i="21"/>
  <c r="AG30" i="21" s="1"/>
  <c r="AF20" i="21"/>
  <c r="AF30" i="21" s="1"/>
  <c r="AE20" i="21"/>
  <c r="AE30" i="21" s="1"/>
  <c r="AD20" i="21"/>
  <c r="AD30" i="21" s="1"/>
  <c r="AC20" i="21"/>
  <c r="AC30" i="21" s="1"/>
  <c r="AB20" i="21"/>
  <c r="AB30" i="21" s="1"/>
  <c r="AA20" i="21"/>
  <c r="AA30" i="21" s="1"/>
  <c r="Z20" i="21"/>
  <c r="Z30" i="21" s="1"/>
  <c r="Y20" i="21"/>
  <c r="Y30" i="21" s="1"/>
  <c r="X20" i="21"/>
  <c r="X30" i="21" s="1"/>
  <c r="W20" i="21"/>
  <c r="W30" i="21" s="1"/>
  <c r="V20" i="21"/>
  <c r="V30" i="21" s="1"/>
  <c r="U20" i="21"/>
  <c r="U30" i="21" s="1"/>
  <c r="T20" i="21"/>
  <c r="T30" i="21" s="1"/>
  <c r="S20" i="21"/>
  <c r="S30" i="21" s="1"/>
  <c r="R20" i="21"/>
  <c r="R30" i="21" s="1"/>
  <c r="Q20" i="21"/>
  <c r="Q30" i="21" s="1"/>
  <c r="P20" i="21"/>
  <c r="P30" i="21" s="1"/>
  <c r="O20" i="21"/>
  <c r="O30" i="21" s="1"/>
  <c r="N20" i="21"/>
  <c r="N30" i="21" s="1"/>
  <c r="M20" i="21"/>
  <c r="M30" i="21" s="1"/>
  <c r="L20" i="21"/>
  <c r="L30" i="21" s="1"/>
  <c r="K20" i="21"/>
  <c r="K30" i="21" s="1"/>
  <c r="J20" i="21"/>
  <c r="J30" i="21" s="1"/>
  <c r="I20" i="21"/>
  <c r="I30" i="21" s="1"/>
  <c r="H20" i="21"/>
  <c r="H30" i="21" s="1"/>
  <c r="G20" i="21"/>
  <c r="G30" i="21" s="1"/>
  <c r="F20" i="21"/>
  <c r="F30" i="21" s="1"/>
  <c r="E20" i="21"/>
  <c r="E30" i="21" s="1"/>
  <c r="D20" i="21"/>
  <c r="D30" i="21" s="1"/>
  <c r="C20" i="21"/>
  <c r="C30" i="21" s="1"/>
  <c r="FO18" i="21"/>
  <c r="FN18" i="21"/>
  <c r="FM18" i="21"/>
  <c r="FL18" i="21"/>
  <c r="FK18" i="21"/>
  <c r="FJ18" i="21"/>
  <c r="FI18" i="21"/>
  <c r="FH18" i="21"/>
  <c r="FG18" i="21"/>
  <c r="FF18" i="21"/>
  <c r="FE18" i="21"/>
  <c r="FD18" i="21"/>
  <c r="FC18" i="21"/>
  <c r="FB18" i="21"/>
  <c r="FA18" i="21"/>
  <c r="EZ18" i="21"/>
  <c r="EY18" i="21"/>
  <c r="EX18" i="21"/>
  <c r="EW18" i="21"/>
  <c r="EV18" i="21"/>
  <c r="EU18" i="21"/>
  <c r="ET18" i="21"/>
  <c r="ES18" i="21"/>
  <c r="ER18" i="21"/>
  <c r="EQ18" i="21"/>
  <c r="EP18" i="21"/>
  <c r="EO18" i="21"/>
  <c r="EN18" i="21"/>
  <c r="EM18" i="21"/>
  <c r="EL18" i="21"/>
  <c r="EK18" i="21"/>
  <c r="EJ18" i="21"/>
  <c r="EI18" i="21"/>
  <c r="EH18" i="21"/>
  <c r="EG18" i="21"/>
  <c r="EF18" i="21"/>
  <c r="EE18" i="21"/>
  <c r="ED18" i="21"/>
  <c r="EC18" i="21"/>
  <c r="EB18" i="21"/>
  <c r="EA18" i="21"/>
  <c r="DZ18" i="21"/>
  <c r="DY18" i="21"/>
  <c r="DX18" i="21"/>
  <c r="DW18" i="21"/>
  <c r="DV18" i="21"/>
  <c r="DU18" i="21"/>
  <c r="DT18" i="21"/>
  <c r="DS18" i="21"/>
  <c r="DR18" i="21"/>
  <c r="DQ18" i="21"/>
  <c r="DP18" i="21"/>
  <c r="DO18" i="21"/>
  <c r="DN18" i="21"/>
  <c r="DM18" i="21"/>
  <c r="DL18" i="21"/>
  <c r="DK18" i="21"/>
  <c r="DJ18" i="21"/>
  <c r="DI18" i="21"/>
  <c r="DH18" i="21"/>
  <c r="DG18" i="21"/>
  <c r="DF18" i="21"/>
  <c r="DE18" i="21"/>
  <c r="DD18" i="21"/>
  <c r="DC18" i="21"/>
  <c r="DB18" i="21"/>
  <c r="DA18" i="21"/>
  <c r="CZ18" i="21"/>
  <c r="CY18" i="21"/>
  <c r="CX18" i="21"/>
  <c r="CW18" i="21"/>
  <c r="CV18" i="21"/>
  <c r="CU18" i="21"/>
  <c r="CT18" i="21"/>
  <c r="CS18" i="21"/>
  <c r="CR18" i="21"/>
  <c r="CQ18" i="21"/>
  <c r="CP18" i="21"/>
  <c r="CP29" i="21" s="1"/>
  <c r="CO18" i="21"/>
  <c r="CN18" i="21"/>
  <c r="CM18" i="21"/>
  <c r="CL18" i="21"/>
  <c r="CK18" i="21"/>
  <c r="CJ18" i="21"/>
  <c r="CI18" i="21"/>
  <c r="CH18" i="21"/>
  <c r="CG18" i="21"/>
  <c r="CF18" i="21"/>
  <c r="CE18" i="21"/>
  <c r="CD18" i="21"/>
  <c r="CC18" i="21"/>
  <c r="CB18" i="21"/>
  <c r="CA18" i="21"/>
  <c r="BZ18" i="21"/>
  <c r="BY18" i="21"/>
  <c r="BX18" i="21"/>
  <c r="BW18" i="21"/>
  <c r="BV18" i="21"/>
  <c r="BU18" i="21"/>
  <c r="BT18" i="21"/>
  <c r="BS18" i="21"/>
  <c r="BR18" i="21"/>
  <c r="BQ18" i="21"/>
  <c r="BP18" i="21"/>
  <c r="BO18" i="21"/>
  <c r="BN18" i="21"/>
  <c r="BM18" i="21"/>
  <c r="BL18" i="21"/>
  <c r="BK18" i="21"/>
  <c r="BJ18" i="21"/>
  <c r="BI18" i="21"/>
  <c r="BH18" i="21"/>
  <c r="BG18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R29" i="21" s="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FO16" i="21"/>
  <c r="FN16" i="21"/>
  <c r="FM16" i="21"/>
  <c r="FL16" i="21"/>
  <c r="FK16" i="21"/>
  <c r="FJ16" i="21"/>
  <c r="FI16" i="21"/>
  <c r="FH16" i="21"/>
  <c r="FG16" i="21"/>
  <c r="FF16" i="21"/>
  <c r="FE16" i="21"/>
  <c r="FD16" i="21"/>
  <c r="FC16" i="21"/>
  <c r="FB16" i="21"/>
  <c r="FA16" i="21"/>
  <c r="EZ16" i="21"/>
  <c r="EY16" i="21"/>
  <c r="EX16" i="21"/>
  <c r="EW16" i="21"/>
  <c r="EV16" i="21"/>
  <c r="EU16" i="21"/>
  <c r="ET16" i="21"/>
  <c r="ES16" i="21"/>
  <c r="ER16" i="21"/>
  <c r="EQ16" i="21"/>
  <c r="EP16" i="21"/>
  <c r="EO16" i="21"/>
  <c r="EN16" i="21"/>
  <c r="EM16" i="21"/>
  <c r="EL16" i="21"/>
  <c r="EK16" i="21"/>
  <c r="EJ16" i="21"/>
  <c r="EI16" i="21"/>
  <c r="EH16" i="21"/>
  <c r="EG16" i="21"/>
  <c r="EF16" i="21"/>
  <c r="EE16" i="21"/>
  <c r="ED16" i="21"/>
  <c r="EC16" i="21"/>
  <c r="EB16" i="21"/>
  <c r="EA16" i="21"/>
  <c r="DZ16" i="21"/>
  <c r="DY16" i="21"/>
  <c r="DX16" i="21"/>
  <c r="DW16" i="21"/>
  <c r="DV16" i="21"/>
  <c r="DU16" i="21"/>
  <c r="DT16" i="21"/>
  <c r="DS16" i="21"/>
  <c r="DR16" i="21"/>
  <c r="DQ16" i="21"/>
  <c r="DP16" i="21"/>
  <c r="DO16" i="21"/>
  <c r="DN16" i="21"/>
  <c r="DM16" i="21"/>
  <c r="DL16" i="21"/>
  <c r="DK16" i="21"/>
  <c r="DJ16" i="21"/>
  <c r="DI16" i="21"/>
  <c r="DH16" i="21"/>
  <c r="DG16" i="21"/>
  <c r="DF16" i="21"/>
  <c r="DE16" i="21"/>
  <c r="DD16" i="21"/>
  <c r="DC16" i="21"/>
  <c r="DB16" i="21"/>
  <c r="DA16" i="21"/>
  <c r="CZ16" i="21"/>
  <c r="CY16" i="21"/>
  <c r="CX16" i="21"/>
  <c r="CW16" i="21"/>
  <c r="CV16" i="21"/>
  <c r="CU16" i="21"/>
  <c r="CT16" i="21"/>
  <c r="CS16" i="21"/>
  <c r="CR16" i="21"/>
  <c r="CQ16" i="21"/>
  <c r="CP16" i="21"/>
  <c r="CO16" i="21"/>
  <c r="CN16" i="21"/>
  <c r="CM16" i="21"/>
  <c r="CL16" i="21"/>
  <c r="CK16" i="21"/>
  <c r="CJ16" i="21"/>
  <c r="CI16" i="21"/>
  <c r="CH16" i="21"/>
  <c r="CG16" i="21"/>
  <c r="CF16" i="21"/>
  <c r="CE16" i="21"/>
  <c r="CD16" i="21"/>
  <c r="CC16" i="21"/>
  <c r="CB16" i="21"/>
  <c r="CA16" i="21"/>
  <c r="BZ16" i="21"/>
  <c r="BY16" i="21"/>
  <c r="BX16" i="21"/>
  <c r="BW16" i="21"/>
  <c r="BV16" i="21"/>
  <c r="BU16" i="21"/>
  <c r="BT16" i="21"/>
  <c r="BS16" i="21"/>
  <c r="BR16" i="21"/>
  <c r="BQ16" i="21"/>
  <c r="BP16" i="21"/>
  <c r="BO16" i="21"/>
  <c r="BN16" i="21"/>
  <c r="BM16" i="21"/>
  <c r="BL16" i="21"/>
  <c r="BK16" i="21"/>
  <c r="BJ16" i="21"/>
  <c r="BI16" i="21"/>
  <c r="BH16" i="21"/>
  <c r="BG16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FO15" i="21"/>
  <c r="FN15" i="21"/>
  <c r="FM15" i="21"/>
  <c r="FL15" i="21"/>
  <c r="FK15" i="21"/>
  <c r="FJ15" i="21"/>
  <c r="FI15" i="21"/>
  <c r="FH15" i="21"/>
  <c r="FG15" i="21"/>
  <c r="FF15" i="21"/>
  <c r="FE15" i="21"/>
  <c r="FD15" i="21"/>
  <c r="FC15" i="21"/>
  <c r="FB15" i="21"/>
  <c r="FA15" i="21"/>
  <c r="EZ15" i="21"/>
  <c r="EY15" i="21"/>
  <c r="EX15" i="21"/>
  <c r="EW15" i="21"/>
  <c r="EV15" i="21"/>
  <c r="EU15" i="21"/>
  <c r="ET15" i="21"/>
  <c r="ES15" i="21"/>
  <c r="ER15" i="21"/>
  <c r="EQ15" i="21"/>
  <c r="EP15" i="21"/>
  <c r="EO15" i="21"/>
  <c r="EN15" i="21"/>
  <c r="EM15" i="21"/>
  <c r="EL15" i="21"/>
  <c r="EK15" i="21"/>
  <c r="EJ15" i="21"/>
  <c r="EI15" i="21"/>
  <c r="EH15" i="21"/>
  <c r="EG15" i="21"/>
  <c r="EF15" i="21"/>
  <c r="EE15" i="21"/>
  <c r="ED15" i="21"/>
  <c r="EC15" i="21"/>
  <c r="EB15" i="21"/>
  <c r="EA15" i="21"/>
  <c r="DZ15" i="21"/>
  <c r="DY15" i="21"/>
  <c r="DX15" i="21"/>
  <c r="DW15" i="21"/>
  <c r="DV15" i="21"/>
  <c r="DU15" i="21"/>
  <c r="DT15" i="21"/>
  <c r="DS15" i="21"/>
  <c r="DR15" i="21"/>
  <c r="DQ15" i="21"/>
  <c r="DP15" i="21"/>
  <c r="DO15" i="21"/>
  <c r="DN15" i="21"/>
  <c r="DM15" i="21"/>
  <c r="DL15" i="21"/>
  <c r="DK15" i="21"/>
  <c r="DJ15" i="21"/>
  <c r="DI15" i="21"/>
  <c r="DH15" i="21"/>
  <c r="DG15" i="21"/>
  <c r="DF15" i="21"/>
  <c r="DE15" i="21"/>
  <c r="DD15" i="21"/>
  <c r="DC15" i="21"/>
  <c r="DB15" i="21"/>
  <c r="DA15" i="21"/>
  <c r="CZ15" i="21"/>
  <c r="CY15" i="21"/>
  <c r="CX15" i="21"/>
  <c r="CW15" i="21"/>
  <c r="CV15" i="21"/>
  <c r="CU15" i="21"/>
  <c r="CT15" i="21"/>
  <c r="CS15" i="21"/>
  <c r="CR15" i="21"/>
  <c r="CQ15" i="21"/>
  <c r="CP15" i="21"/>
  <c r="CO15" i="21"/>
  <c r="CN15" i="21"/>
  <c r="CM15" i="21"/>
  <c r="CL15" i="21"/>
  <c r="CK15" i="21"/>
  <c r="CJ15" i="21"/>
  <c r="CI15" i="21"/>
  <c r="CH15" i="21"/>
  <c r="CG15" i="21"/>
  <c r="CF15" i="21"/>
  <c r="CE15" i="21"/>
  <c r="CD15" i="21"/>
  <c r="CC15" i="21"/>
  <c r="CB15" i="21"/>
  <c r="CA15" i="21"/>
  <c r="BZ15" i="21"/>
  <c r="BY15" i="21"/>
  <c r="BX15" i="21"/>
  <c r="BW15" i="21"/>
  <c r="BV15" i="21"/>
  <c r="BU15" i="21"/>
  <c r="BT15" i="21"/>
  <c r="BS15" i="21"/>
  <c r="BR15" i="21"/>
  <c r="BQ15" i="21"/>
  <c r="BP15" i="21"/>
  <c r="BO15" i="21"/>
  <c r="BN15" i="21"/>
  <c r="BM15" i="21"/>
  <c r="BL15" i="21"/>
  <c r="BK15" i="21"/>
  <c r="BJ15" i="21"/>
  <c r="BI15" i="21"/>
  <c r="BH15" i="21"/>
  <c r="BG15" i="21"/>
  <c r="BF15" i="21"/>
  <c r="BE15" i="21"/>
  <c r="BD15" i="21"/>
  <c r="BC15" i="21"/>
  <c r="BB15" i="21"/>
  <c r="BA15" i="21"/>
  <c r="AZ15" i="21"/>
  <c r="AY15" i="21"/>
  <c r="AX15" i="21"/>
  <c r="AW15" i="21"/>
  <c r="AV15" i="21"/>
  <c r="AU15" i="21"/>
  <c r="AT15" i="21"/>
  <c r="AS15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FO12" i="21"/>
  <c r="FN12" i="21"/>
  <c r="FM12" i="21"/>
  <c r="FL12" i="21"/>
  <c r="FK12" i="21"/>
  <c r="FJ12" i="21"/>
  <c r="FI12" i="21"/>
  <c r="FH12" i="21"/>
  <c r="FG12" i="21"/>
  <c r="FF12" i="21"/>
  <c r="FE12" i="21"/>
  <c r="FD12" i="21"/>
  <c r="FC12" i="21"/>
  <c r="FB12" i="21"/>
  <c r="FA12" i="21"/>
  <c r="EZ12" i="21"/>
  <c r="EY12" i="21"/>
  <c r="EX12" i="21"/>
  <c r="EW12" i="21"/>
  <c r="EV12" i="21"/>
  <c r="EU12" i="21"/>
  <c r="ET12" i="21"/>
  <c r="ES12" i="21"/>
  <c r="ER12" i="21"/>
  <c r="EQ12" i="21"/>
  <c r="EP12" i="21"/>
  <c r="EO12" i="21"/>
  <c r="EN12" i="21"/>
  <c r="EM12" i="21"/>
  <c r="EL12" i="21"/>
  <c r="EK12" i="21"/>
  <c r="EJ12" i="21"/>
  <c r="EI12" i="21"/>
  <c r="EH12" i="21"/>
  <c r="EG12" i="21"/>
  <c r="EF12" i="21"/>
  <c r="EE12" i="21"/>
  <c r="ED12" i="21"/>
  <c r="EC12" i="21"/>
  <c r="EB12" i="21"/>
  <c r="EA12" i="21"/>
  <c r="DZ12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L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X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J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V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H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FO11" i="21"/>
  <c r="FN11" i="21"/>
  <c r="FM11" i="21"/>
  <c r="FL11" i="21"/>
  <c r="FK11" i="21"/>
  <c r="FJ11" i="21"/>
  <c r="FI11" i="21"/>
  <c r="FH11" i="21"/>
  <c r="FG11" i="21"/>
  <c r="FF11" i="21"/>
  <c r="FE11" i="21"/>
  <c r="FD11" i="21"/>
  <c r="FC11" i="21"/>
  <c r="FB11" i="21"/>
  <c r="FA11" i="21"/>
  <c r="EZ11" i="21"/>
  <c r="EY11" i="21"/>
  <c r="EX11" i="21"/>
  <c r="EW11" i="21"/>
  <c r="EV11" i="21"/>
  <c r="EU11" i="21"/>
  <c r="ET11" i="21"/>
  <c r="ES11" i="21"/>
  <c r="ER11" i="21"/>
  <c r="EQ11" i="21"/>
  <c r="EP11" i="21"/>
  <c r="EO11" i="21"/>
  <c r="EN11" i="21"/>
  <c r="EM11" i="21"/>
  <c r="EL11" i="21"/>
  <c r="EK11" i="21"/>
  <c r="EJ11" i="21"/>
  <c r="EI11" i="21"/>
  <c r="EH11" i="21"/>
  <c r="EG11" i="21"/>
  <c r="EF11" i="21"/>
  <c r="EE11" i="21"/>
  <c r="ED11" i="21"/>
  <c r="EC11" i="21"/>
  <c r="EB11" i="21"/>
  <c r="EA11" i="21"/>
  <c r="DZ11" i="21"/>
  <c r="DY11" i="21"/>
  <c r="DX11" i="21"/>
  <c r="DW11" i="21"/>
  <c r="DV11" i="21"/>
  <c r="DU11" i="21"/>
  <c r="DT11" i="21"/>
  <c r="DS11" i="21"/>
  <c r="DR11" i="21"/>
  <c r="DQ11" i="21"/>
  <c r="DP11" i="21"/>
  <c r="DO11" i="21"/>
  <c r="DN11" i="21"/>
  <c r="DM11" i="21"/>
  <c r="DL11" i="21"/>
  <c r="DK11" i="21"/>
  <c r="DJ11" i="21"/>
  <c r="DI11" i="21"/>
  <c r="DH11" i="21"/>
  <c r="DG11" i="21"/>
  <c r="DF11" i="21"/>
  <c r="DE11" i="21"/>
  <c r="DD11" i="21"/>
  <c r="DC11" i="21"/>
  <c r="DB11" i="21"/>
  <c r="DA11" i="21"/>
  <c r="CZ11" i="21"/>
  <c r="CY11" i="21"/>
  <c r="CX11" i="21"/>
  <c r="CW11" i="21"/>
  <c r="CV11" i="21"/>
  <c r="CU11" i="21"/>
  <c r="CT11" i="21"/>
  <c r="CS11" i="21"/>
  <c r="CR11" i="21"/>
  <c r="CQ11" i="21"/>
  <c r="CP11" i="21"/>
  <c r="CO11" i="21"/>
  <c r="CN11" i="21"/>
  <c r="CM11" i="21"/>
  <c r="CL11" i="21"/>
  <c r="CK11" i="21"/>
  <c r="CJ11" i="21"/>
  <c r="CI11" i="21"/>
  <c r="CH11" i="21"/>
  <c r="CG11" i="21"/>
  <c r="CF11" i="21"/>
  <c r="CE11" i="21"/>
  <c r="CD11" i="21"/>
  <c r="CC11" i="21"/>
  <c r="CB11" i="21"/>
  <c r="CA11" i="21"/>
  <c r="BZ11" i="21"/>
  <c r="BY11" i="21"/>
  <c r="BX11" i="21"/>
  <c r="BW11" i="21"/>
  <c r="BV11" i="21"/>
  <c r="BU11" i="21"/>
  <c r="BT11" i="21"/>
  <c r="BS11" i="21"/>
  <c r="BR11" i="21"/>
  <c r="BQ11" i="21"/>
  <c r="BP11" i="21"/>
  <c r="BO11" i="21"/>
  <c r="BN11" i="21"/>
  <c r="BM11" i="21"/>
  <c r="BL11" i="21"/>
  <c r="BK11" i="21"/>
  <c r="BJ11" i="21"/>
  <c r="BI11" i="21"/>
  <c r="BH11" i="21"/>
  <c r="BG11" i="21"/>
  <c r="BF11" i="21"/>
  <c r="BE11" i="21"/>
  <c r="BD11" i="21"/>
  <c r="BC11" i="21"/>
  <c r="BB11" i="21"/>
  <c r="BA11" i="21"/>
  <c r="AZ11" i="21"/>
  <c r="AY11" i="21"/>
  <c r="AX11" i="21"/>
  <c r="AW11" i="21"/>
  <c r="AV11" i="21"/>
  <c r="AU11" i="2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FO10" i="21"/>
  <c r="FN10" i="21"/>
  <c r="FM10" i="21"/>
  <c r="FL10" i="21"/>
  <c r="FK10" i="21"/>
  <c r="FJ10" i="21"/>
  <c r="FI10" i="21"/>
  <c r="FH10" i="21"/>
  <c r="FG10" i="21"/>
  <c r="FF10" i="21"/>
  <c r="FE10" i="21"/>
  <c r="FD10" i="21"/>
  <c r="FC10" i="21"/>
  <c r="FB10" i="21"/>
  <c r="FA10" i="21"/>
  <c r="EZ10" i="21"/>
  <c r="EY10" i="21"/>
  <c r="EX10" i="21"/>
  <c r="EW10" i="21"/>
  <c r="EV10" i="21"/>
  <c r="EU10" i="21"/>
  <c r="ET10" i="21"/>
  <c r="ES10" i="21"/>
  <c r="ER10" i="21"/>
  <c r="EQ10" i="21"/>
  <c r="EP10" i="21"/>
  <c r="EO10" i="21"/>
  <c r="EN10" i="21"/>
  <c r="EM10" i="21"/>
  <c r="EL10" i="21"/>
  <c r="EK10" i="21"/>
  <c r="EJ10" i="21"/>
  <c r="EI10" i="21"/>
  <c r="EH10" i="21"/>
  <c r="EG10" i="21"/>
  <c r="EF10" i="21"/>
  <c r="EE10" i="21"/>
  <c r="ED10" i="21"/>
  <c r="EC10" i="21"/>
  <c r="EB10" i="21"/>
  <c r="EA10" i="21"/>
  <c r="DZ10" i="21"/>
  <c r="DY10" i="21"/>
  <c r="DX10" i="21"/>
  <c r="DW10" i="21"/>
  <c r="DV10" i="21"/>
  <c r="DU10" i="21"/>
  <c r="DT10" i="21"/>
  <c r="DS10" i="21"/>
  <c r="DR10" i="21"/>
  <c r="DQ10" i="21"/>
  <c r="DP10" i="21"/>
  <c r="DO10" i="21"/>
  <c r="DN10" i="21"/>
  <c r="DM10" i="21"/>
  <c r="DL10" i="21"/>
  <c r="DK10" i="21"/>
  <c r="DJ10" i="21"/>
  <c r="DI10" i="21"/>
  <c r="DH10" i="21"/>
  <c r="DG10" i="21"/>
  <c r="DF10" i="21"/>
  <c r="DE10" i="21"/>
  <c r="DD10" i="21"/>
  <c r="DC10" i="21"/>
  <c r="DB10" i="21"/>
  <c r="DA10" i="21"/>
  <c r="CZ10" i="21"/>
  <c r="CY10" i="21"/>
  <c r="CX10" i="21"/>
  <c r="CW10" i="21"/>
  <c r="CV10" i="21"/>
  <c r="CU10" i="21"/>
  <c r="CT10" i="21"/>
  <c r="CS10" i="21"/>
  <c r="CR10" i="21"/>
  <c r="CQ10" i="21"/>
  <c r="CP10" i="21"/>
  <c r="CO10" i="21"/>
  <c r="CN10" i="21"/>
  <c r="CM10" i="21"/>
  <c r="CL10" i="21"/>
  <c r="CK10" i="21"/>
  <c r="CJ10" i="21"/>
  <c r="CI10" i="21"/>
  <c r="CH10" i="21"/>
  <c r="CG10" i="21"/>
  <c r="CF10" i="21"/>
  <c r="CE10" i="21"/>
  <c r="CD10" i="21"/>
  <c r="CC10" i="21"/>
  <c r="CB10" i="21"/>
  <c r="CA10" i="21"/>
  <c r="BZ10" i="21"/>
  <c r="BY10" i="21"/>
  <c r="BX10" i="21"/>
  <c r="BW10" i="21"/>
  <c r="BV10" i="21"/>
  <c r="BU10" i="21"/>
  <c r="BT10" i="21"/>
  <c r="BS10" i="21"/>
  <c r="BR10" i="21"/>
  <c r="BQ10" i="21"/>
  <c r="BP10" i="21"/>
  <c r="BO10" i="21"/>
  <c r="BN10" i="21"/>
  <c r="BM10" i="21"/>
  <c r="BL10" i="21"/>
  <c r="BK10" i="21"/>
  <c r="BJ10" i="21"/>
  <c r="BI10" i="21"/>
  <c r="BH10" i="21"/>
  <c r="BG10" i="21"/>
  <c r="BF10" i="21"/>
  <c r="BE10" i="21"/>
  <c r="BD10" i="21"/>
  <c r="BC10" i="21"/>
  <c r="BB10" i="21"/>
  <c r="BA10" i="21"/>
  <c r="AZ10" i="21"/>
  <c r="AY10" i="21"/>
  <c r="AX10" i="21"/>
  <c r="AW10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FO9" i="21"/>
  <c r="FN9" i="21"/>
  <c r="FM9" i="21"/>
  <c r="FL9" i="21"/>
  <c r="FK9" i="21"/>
  <c r="FJ9" i="21"/>
  <c r="FI9" i="21"/>
  <c r="FH9" i="21"/>
  <c r="FG9" i="21"/>
  <c r="FF9" i="21"/>
  <c r="FE9" i="21"/>
  <c r="FD9" i="21"/>
  <c r="FC9" i="21"/>
  <c r="FB9" i="21"/>
  <c r="FA9" i="21"/>
  <c r="EZ9" i="21"/>
  <c r="EY9" i="21"/>
  <c r="EX9" i="21"/>
  <c r="EW9" i="21"/>
  <c r="EV9" i="21"/>
  <c r="EU9" i="21"/>
  <c r="ET9" i="21"/>
  <c r="ES9" i="21"/>
  <c r="ER9" i="21"/>
  <c r="EQ9" i="21"/>
  <c r="EP9" i="21"/>
  <c r="EO9" i="21"/>
  <c r="EN9" i="21"/>
  <c r="EM9" i="21"/>
  <c r="EL9" i="21"/>
  <c r="EK9" i="21"/>
  <c r="EJ9" i="21"/>
  <c r="EI9" i="21"/>
  <c r="EH9" i="21"/>
  <c r="EG9" i="21"/>
  <c r="EF9" i="21"/>
  <c r="EE9" i="21"/>
  <c r="ED9" i="21"/>
  <c r="EC9" i="21"/>
  <c r="EB9" i="21"/>
  <c r="EA9" i="21"/>
  <c r="DZ9" i="21"/>
  <c r="DY9" i="21"/>
  <c r="DX9" i="21"/>
  <c r="DW9" i="21"/>
  <c r="DV9" i="21"/>
  <c r="DU9" i="21"/>
  <c r="DT9" i="21"/>
  <c r="DS9" i="21"/>
  <c r="DR9" i="21"/>
  <c r="DQ9" i="21"/>
  <c r="DP9" i="21"/>
  <c r="DO9" i="21"/>
  <c r="DN9" i="21"/>
  <c r="DM9" i="21"/>
  <c r="DL9" i="21"/>
  <c r="DK9" i="21"/>
  <c r="DJ9" i="21"/>
  <c r="DI9" i="21"/>
  <c r="DH9" i="21"/>
  <c r="DG9" i="21"/>
  <c r="DF9" i="21"/>
  <c r="DE9" i="21"/>
  <c r="DD9" i="21"/>
  <c r="DC9" i="21"/>
  <c r="DB9" i="21"/>
  <c r="DA9" i="21"/>
  <c r="CZ9" i="21"/>
  <c r="CY9" i="21"/>
  <c r="CX9" i="21"/>
  <c r="CW9" i="21"/>
  <c r="CV9" i="21"/>
  <c r="CU9" i="21"/>
  <c r="CT9" i="21"/>
  <c r="CS9" i="21"/>
  <c r="CR9" i="21"/>
  <c r="CQ9" i="21"/>
  <c r="CP9" i="21"/>
  <c r="CO9" i="21"/>
  <c r="CN9" i="21"/>
  <c r="CM9" i="21"/>
  <c r="CL9" i="21"/>
  <c r="CK9" i="21"/>
  <c r="CJ9" i="21"/>
  <c r="CI9" i="21"/>
  <c r="CH9" i="21"/>
  <c r="CG9" i="21"/>
  <c r="CF9" i="21"/>
  <c r="CE9" i="21"/>
  <c r="CD9" i="21"/>
  <c r="CC9" i="21"/>
  <c r="CB9" i="21"/>
  <c r="CA9" i="21"/>
  <c r="BZ9" i="21"/>
  <c r="BY9" i="21"/>
  <c r="BX9" i="21"/>
  <c r="BW9" i="21"/>
  <c r="BV9" i="21"/>
  <c r="BU9" i="21"/>
  <c r="BT9" i="21"/>
  <c r="BS9" i="21"/>
  <c r="BR9" i="21"/>
  <c r="BQ9" i="21"/>
  <c r="BP9" i="21"/>
  <c r="BO9" i="21"/>
  <c r="BN9" i="21"/>
  <c r="BM9" i="21"/>
  <c r="BL9" i="21"/>
  <c r="BK9" i="21"/>
  <c r="BJ9" i="21"/>
  <c r="BI9" i="21"/>
  <c r="BH9" i="21"/>
  <c r="BG9" i="21"/>
  <c r="BF9" i="21"/>
  <c r="BE9" i="21"/>
  <c r="BD9" i="21"/>
  <c r="BC9" i="21"/>
  <c r="BB9" i="21"/>
  <c r="BA9" i="21"/>
  <c r="AZ9" i="21"/>
  <c r="AY9" i="21"/>
  <c r="AX9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FO7" i="21"/>
  <c r="FO25" i="21" s="1"/>
  <c r="FN7" i="21"/>
  <c r="FN25" i="21" s="1"/>
  <c r="FM7" i="21"/>
  <c r="FM25" i="21" s="1"/>
  <c r="FL7" i="21"/>
  <c r="FL25" i="21" s="1"/>
  <c r="FK7" i="21"/>
  <c r="FK25" i="21" s="1"/>
  <c r="FJ7" i="21"/>
  <c r="FJ25" i="21" s="1"/>
  <c r="FI7" i="21"/>
  <c r="FI25" i="21" s="1"/>
  <c r="FH7" i="21"/>
  <c r="FH25" i="21" s="1"/>
  <c r="FG7" i="21"/>
  <c r="FG25" i="21" s="1"/>
  <c r="FF7" i="21"/>
  <c r="FF25" i="21" s="1"/>
  <c r="FE7" i="21"/>
  <c r="FE25" i="21" s="1"/>
  <c r="FD7" i="21"/>
  <c r="FD25" i="21" s="1"/>
  <c r="FC7" i="21"/>
  <c r="FC25" i="21" s="1"/>
  <c r="FB7" i="21"/>
  <c r="FB25" i="21" s="1"/>
  <c r="FA7" i="21"/>
  <c r="FA25" i="21" s="1"/>
  <c r="EZ7" i="21"/>
  <c r="EZ25" i="21" s="1"/>
  <c r="EY7" i="21"/>
  <c r="EY25" i="21" s="1"/>
  <c r="EX7" i="21"/>
  <c r="EX25" i="21" s="1"/>
  <c r="EW7" i="21"/>
  <c r="EW25" i="21" s="1"/>
  <c r="EV7" i="21"/>
  <c r="EV25" i="21" s="1"/>
  <c r="EU7" i="21"/>
  <c r="EU25" i="21" s="1"/>
  <c r="ET7" i="21"/>
  <c r="ET25" i="21" s="1"/>
  <c r="ES7" i="21"/>
  <c r="ES25" i="21" s="1"/>
  <c r="ER7" i="21"/>
  <c r="ER25" i="21" s="1"/>
  <c r="EQ7" i="21"/>
  <c r="EQ25" i="21" s="1"/>
  <c r="EP7" i="21"/>
  <c r="EP25" i="21" s="1"/>
  <c r="EO7" i="21"/>
  <c r="EO25" i="21" s="1"/>
  <c r="EN7" i="21"/>
  <c r="EN25" i="21" s="1"/>
  <c r="EM7" i="21"/>
  <c r="EM25" i="21" s="1"/>
  <c r="EL7" i="21"/>
  <c r="EL25" i="21" s="1"/>
  <c r="EK7" i="21"/>
  <c r="EK25" i="21" s="1"/>
  <c r="EJ7" i="21"/>
  <c r="EJ25" i="21" s="1"/>
  <c r="EI7" i="21"/>
  <c r="EI25" i="21" s="1"/>
  <c r="EH7" i="21"/>
  <c r="EH25" i="21" s="1"/>
  <c r="EG7" i="21"/>
  <c r="EG25" i="21" s="1"/>
  <c r="EF7" i="21"/>
  <c r="EF25" i="21" s="1"/>
  <c r="EE7" i="21"/>
  <c r="EE25" i="21" s="1"/>
  <c r="ED7" i="21"/>
  <c r="ED25" i="21" s="1"/>
  <c r="EC7" i="21"/>
  <c r="EC25" i="21" s="1"/>
  <c r="EB7" i="21"/>
  <c r="EB25" i="21" s="1"/>
  <c r="EA7" i="21"/>
  <c r="EA25" i="21" s="1"/>
  <c r="DZ7" i="21"/>
  <c r="DZ25" i="21" s="1"/>
  <c r="DY7" i="21"/>
  <c r="DY25" i="21" s="1"/>
  <c r="DX7" i="21"/>
  <c r="DX25" i="21" s="1"/>
  <c r="DW7" i="21"/>
  <c r="DW25" i="21" s="1"/>
  <c r="DV7" i="21"/>
  <c r="DV25" i="21" s="1"/>
  <c r="DU7" i="21"/>
  <c r="DU25" i="21" s="1"/>
  <c r="DT7" i="21"/>
  <c r="DT25" i="21" s="1"/>
  <c r="DS7" i="21"/>
  <c r="DS25" i="21" s="1"/>
  <c r="DR7" i="21"/>
  <c r="DR25" i="21" s="1"/>
  <c r="DQ7" i="21"/>
  <c r="DQ25" i="21" s="1"/>
  <c r="DP7" i="21"/>
  <c r="DP25" i="21" s="1"/>
  <c r="DO7" i="21"/>
  <c r="DO25" i="21" s="1"/>
  <c r="DN7" i="21"/>
  <c r="DN25" i="21" s="1"/>
  <c r="DM7" i="21"/>
  <c r="DM25" i="21" s="1"/>
  <c r="DL7" i="21"/>
  <c r="DL25" i="21" s="1"/>
  <c r="DK7" i="21"/>
  <c r="DK25" i="21" s="1"/>
  <c r="DJ7" i="21"/>
  <c r="DJ25" i="21" s="1"/>
  <c r="DI7" i="21"/>
  <c r="DI25" i="21" s="1"/>
  <c r="DH7" i="21"/>
  <c r="DH25" i="21" s="1"/>
  <c r="DG7" i="21"/>
  <c r="DG25" i="21" s="1"/>
  <c r="DF7" i="21"/>
  <c r="DF25" i="21" s="1"/>
  <c r="DE7" i="21"/>
  <c r="DE25" i="21" s="1"/>
  <c r="DD7" i="21"/>
  <c r="DD25" i="21" s="1"/>
  <c r="DC7" i="21"/>
  <c r="DC25" i="21" s="1"/>
  <c r="DB7" i="21"/>
  <c r="DB25" i="21" s="1"/>
  <c r="DA7" i="21"/>
  <c r="DA25" i="21" s="1"/>
  <c r="CZ7" i="21"/>
  <c r="CZ25" i="21" s="1"/>
  <c r="CY7" i="21"/>
  <c r="CY25" i="21" s="1"/>
  <c r="CX7" i="21"/>
  <c r="CX25" i="21" s="1"/>
  <c r="CW7" i="21"/>
  <c r="CW25" i="21" s="1"/>
  <c r="CV7" i="21"/>
  <c r="CV25" i="21" s="1"/>
  <c r="CU7" i="21"/>
  <c r="CU25" i="21" s="1"/>
  <c r="CT7" i="21"/>
  <c r="CT25" i="21" s="1"/>
  <c r="CS7" i="21"/>
  <c r="CS25" i="21" s="1"/>
  <c r="CR7" i="21"/>
  <c r="CR25" i="21" s="1"/>
  <c r="CQ7" i="21"/>
  <c r="CQ25" i="21" s="1"/>
  <c r="CP7" i="21"/>
  <c r="CP25" i="21" s="1"/>
  <c r="CO7" i="21"/>
  <c r="CO25" i="21" s="1"/>
  <c r="CN7" i="21"/>
  <c r="CN25" i="21" s="1"/>
  <c r="CM7" i="21"/>
  <c r="CM25" i="21" s="1"/>
  <c r="CL7" i="21"/>
  <c r="CL25" i="21" s="1"/>
  <c r="CK7" i="21"/>
  <c r="CK25" i="21" s="1"/>
  <c r="CJ7" i="21"/>
  <c r="CJ25" i="21" s="1"/>
  <c r="CI7" i="21"/>
  <c r="CI25" i="21" s="1"/>
  <c r="CH7" i="21"/>
  <c r="CH25" i="21" s="1"/>
  <c r="CG7" i="21"/>
  <c r="CG25" i="21" s="1"/>
  <c r="CF7" i="21"/>
  <c r="CF25" i="21" s="1"/>
  <c r="CE7" i="21"/>
  <c r="CE25" i="21" s="1"/>
  <c r="CD7" i="21"/>
  <c r="CD25" i="21" s="1"/>
  <c r="CC7" i="21"/>
  <c r="CC25" i="21" s="1"/>
  <c r="CB7" i="21"/>
  <c r="CB25" i="21" s="1"/>
  <c r="CA7" i="21"/>
  <c r="CA25" i="21" s="1"/>
  <c r="BZ7" i="21"/>
  <c r="BZ25" i="21" s="1"/>
  <c r="BY7" i="21"/>
  <c r="BY25" i="21" s="1"/>
  <c r="BX7" i="21"/>
  <c r="BX25" i="21" s="1"/>
  <c r="BW7" i="21"/>
  <c r="BW25" i="21" s="1"/>
  <c r="BV7" i="21"/>
  <c r="BV25" i="21" s="1"/>
  <c r="BU7" i="21"/>
  <c r="BU25" i="21" s="1"/>
  <c r="BT7" i="21"/>
  <c r="BT25" i="21" s="1"/>
  <c r="BS7" i="21"/>
  <c r="BS25" i="21" s="1"/>
  <c r="BR7" i="21"/>
  <c r="BR25" i="21" s="1"/>
  <c r="BQ7" i="21"/>
  <c r="BQ25" i="21" s="1"/>
  <c r="BP7" i="21"/>
  <c r="BP25" i="21" s="1"/>
  <c r="BO7" i="21"/>
  <c r="BO25" i="21" s="1"/>
  <c r="BN7" i="21"/>
  <c r="BN25" i="21" s="1"/>
  <c r="BM7" i="21"/>
  <c r="BM25" i="21" s="1"/>
  <c r="BL7" i="21"/>
  <c r="BL25" i="21" s="1"/>
  <c r="BK7" i="21"/>
  <c r="BK25" i="21" s="1"/>
  <c r="BJ7" i="21"/>
  <c r="BJ25" i="21" s="1"/>
  <c r="BI7" i="21"/>
  <c r="BI25" i="21" s="1"/>
  <c r="BH7" i="21"/>
  <c r="BH25" i="21" s="1"/>
  <c r="BG7" i="21"/>
  <c r="BG25" i="21" s="1"/>
  <c r="BF7" i="21"/>
  <c r="BF25" i="21" s="1"/>
  <c r="BE7" i="21"/>
  <c r="BE25" i="21" s="1"/>
  <c r="BD7" i="21"/>
  <c r="BD25" i="21" s="1"/>
  <c r="BC7" i="21"/>
  <c r="BC25" i="21" s="1"/>
  <c r="BB7" i="21"/>
  <c r="BB25" i="21" s="1"/>
  <c r="BA7" i="21"/>
  <c r="BA25" i="21" s="1"/>
  <c r="AZ7" i="21"/>
  <c r="AZ25" i="21" s="1"/>
  <c r="AY7" i="21"/>
  <c r="AY25" i="21" s="1"/>
  <c r="AX7" i="21"/>
  <c r="AX25" i="21" s="1"/>
  <c r="AW7" i="21"/>
  <c r="AW25" i="21" s="1"/>
  <c r="AV7" i="21"/>
  <c r="AV25" i="21" s="1"/>
  <c r="AU7" i="21"/>
  <c r="AU25" i="21" s="1"/>
  <c r="AT7" i="21"/>
  <c r="AT25" i="21" s="1"/>
  <c r="AS7" i="21"/>
  <c r="AS25" i="21" s="1"/>
  <c r="AR7" i="21"/>
  <c r="AR25" i="21" s="1"/>
  <c r="AQ7" i="21"/>
  <c r="AQ25" i="21" s="1"/>
  <c r="AP7" i="21"/>
  <c r="AP25" i="21" s="1"/>
  <c r="AO7" i="21"/>
  <c r="AO25" i="21" s="1"/>
  <c r="AN7" i="21"/>
  <c r="AN25" i="21" s="1"/>
  <c r="AM7" i="21"/>
  <c r="AM25" i="21" s="1"/>
  <c r="AL7" i="21"/>
  <c r="AL25" i="21" s="1"/>
  <c r="AK7" i="21"/>
  <c r="AK25" i="21" s="1"/>
  <c r="AJ7" i="21"/>
  <c r="AJ25" i="21" s="1"/>
  <c r="AI7" i="21"/>
  <c r="AI25" i="21" s="1"/>
  <c r="AH7" i="21"/>
  <c r="AH25" i="21" s="1"/>
  <c r="AG7" i="21"/>
  <c r="AG25" i="21" s="1"/>
  <c r="AF7" i="21"/>
  <c r="AF25" i="21" s="1"/>
  <c r="AE7" i="21"/>
  <c r="AE25" i="21" s="1"/>
  <c r="AD7" i="21"/>
  <c r="AD25" i="21" s="1"/>
  <c r="AC7" i="21"/>
  <c r="AC25" i="21" s="1"/>
  <c r="AB7" i="21"/>
  <c r="AB25" i="21" s="1"/>
  <c r="AA7" i="21"/>
  <c r="AA25" i="21" s="1"/>
  <c r="Z7" i="21"/>
  <c r="Z25" i="21" s="1"/>
  <c r="Y7" i="21"/>
  <c r="Y25" i="21" s="1"/>
  <c r="X7" i="21"/>
  <c r="X25" i="21" s="1"/>
  <c r="W7" i="21"/>
  <c r="W25" i="21" s="1"/>
  <c r="V7" i="21"/>
  <c r="V25" i="21" s="1"/>
  <c r="U7" i="21"/>
  <c r="U25" i="21" s="1"/>
  <c r="T7" i="21"/>
  <c r="T25" i="21" s="1"/>
  <c r="S7" i="21"/>
  <c r="S25" i="21" s="1"/>
  <c r="R7" i="21"/>
  <c r="R25" i="21" s="1"/>
  <c r="Q7" i="21"/>
  <c r="Q25" i="21" s="1"/>
  <c r="P7" i="21"/>
  <c r="P25" i="21" s="1"/>
  <c r="O7" i="21"/>
  <c r="O25" i="21" s="1"/>
  <c r="N7" i="21"/>
  <c r="N25" i="21" s="1"/>
  <c r="M7" i="21"/>
  <c r="M25" i="21" s="1"/>
  <c r="L7" i="21"/>
  <c r="L25" i="21" s="1"/>
  <c r="K7" i="21"/>
  <c r="K25" i="21" s="1"/>
  <c r="J7" i="21"/>
  <c r="J25" i="21" s="1"/>
  <c r="I7" i="21"/>
  <c r="I25" i="21" s="1"/>
  <c r="H7" i="21"/>
  <c r="H25" i="21" s="1"/>
  <c r="G7" i="21"/>
  <c r="G25" i="21" s="1"/>
  <c r="F7" i="21"/>
  <c r="F25" i="21" s="1"/>
  <c r="E7" i="21"/>
  <c r="E25" i="21" s="1"/>
  <c r="D7" i="21"/>
  <c r="D25" i="21" s="1"/>
  <c r="C7" i="21"/>
  <c r="C25" i="21" s="1"/>
  <c r="B7" i="21"/>
  <c r="B25" i="21" s="1"/>
  <c r="FN13" i="20"/>
  <c r="FM13" i="20"/>
  <c r="FL13" i="20"/>
  <c r="FK13" i="20"/>
  <c r="FJ13" i="20"/>
  <c r="FI13" i="20"/>
  <c r="FH13" i="20"/>
  <c r="FG13" i="20"/>
  <c r="FF13" i="20"/>
  <c r="FE13" i="20"/>
  <c r="FD13" i="20"/>
  <c r="FC13" i="20"/>
  <c r="FB13" i="20"/>
  <c r="FA13" i="20"/>
  <c r="EZ13" i="20"/>
  <c r="EY13" i="20"/>
  <c r="EX13" i="20"/>
  <c r="EW13" i="20"/>
  <c r="EV13" i="20"/>
  <c r="EU13" i="20"/>
  <c r="ET13" i="20"/>
  <c r="ES13" i="20"/>
  <c r="ER13" i="20"/>
  <c r="EQ13" i="20"/>
  <c r="EP13" i="20"/>
  <c r="EO13" i="20"/>
  <c r="EN13" i="20"/>
  <c r="EM13" i="20"/>
  <c r="EL13" i="20"/>
  <c r="EK13" i="20"/>
  <c r="EJ13" i="20"/>
  <c r="EI13" i="20"/>
  <c r="EH13" i="20"/>
  <c r="EG13" i="20"/>
  <c r="EF13" i="20"/>
  <c r="EE13" i="20"/>
  <c r="ED13" i="20"/>
  <c r="EC13" i="20"/>
  <c r="EB13" i="20"/>
  <c r="EA13" i="20"/>
  <c r="DZ13" i="20"/>
  <c r="DY13" i="20"/>
  <c r="DX13" i="20"/>
  <c r="DW13" i="20"/>
  <c r="DV13" i="20"/>
  <c r="DU13" i="20"/>
  <c r="DT13" i="20"/>
  <c r="DS13" i="20"/>
  <c r="DR13" i="20"/>
  <c r="DQ13" i="20"/>
  <c r="DP13" i="20"/>
  <c r="DO13" i="20"/>
  <c r="DN13" i="20"/>
  <c r="DM13" i="20"/>
  <c r="DL13" i="20"/>
  <c r="DK13" i="20"/>
  <c r="DJ13" i="20"/>
  <c r="DI13" i="20"/>
  <c r="DH13" i="20"/>
  <c r="DG13" i="20"/>
  <c r="DF13" i="20"/>
  <c r="DE13" i="20"/>
  <c r="DD13" i="20"/>
  <c r="DC13" i="20"/>
  <c r="DB13" i="20"/>
  <c r="DA13" i="20"/>
  <c r="CZ13" i="20"/>
  <c r="CY13" i="20"/>
  <c r="CX13" i="20"/>
  <c r="CW13" i="20"/>
  <c r="CV13" i="20"/>
  <c r="CU13" i="20"/>
  <c r="CT13" i="20"/>
  <c r="CS13" i="20"/>
  <c r="CR13" i="20"/>
  <c r="CQ13" i="20"/>
  <c r="CP13" i="20"/>
  <c r="CO13" i="20"/>
  <c r="CN13" i="20"/>
  <c r="CM13" i="20"/>
  <c r="CL13" i="20"/>
  <c r="CK13" i="20"/>
  <c r="CJ13" i="20"/>
  <c r="CI13" i="20"/>
  <c r="CH13" i="20"/>
  <c r="CG13" i="20"/>
  <c r="CF13" i="20"/>
  <c r="CE13" i="20"/>
  <c r="CD13" i="20"/>
  <c r="CC13" i="20"/>
  <c r="CB13" i="20"/>
  <c r="CA13" i="20"/>
  <c r="BZ13" i="20"/>
  <c r="BY13" i="20"/>
  <c r="BX13" i="20"/>
  <c r="BW13" i="20"/>
  <c r="BV13" i="20"/>
  <c r="BU13" i="20"/>
  <c r="BT13" i="20"/>
  <c r="BS13" i="20"/>
  <c r="BR13" i="20"/>
  <c r="BQ13" i="20"/>
  <c r="BP13" i="20"/>
  <c r="BO13" i="20"/>
  <c r="BN13" i="20"/>
  <c r="BM13" i="20"/>
  <c r="BL13" i="20"/>
  <c r="BK13" i="20"/>
  <c r="BJ13" i="20"/>
  <c r="BI13" i="20"/>
  <c r="BH13" i="20"/>
  <c r="BG13" i="20"/>
  <c r="BF13" i="20"/>
  <c r="BE13" i="20"/>
  <c r="BD13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FN12" i="20"/>
  <c r="FM12" i="20"/>
  <c r="FL12" i="20"/>
  <c r="FK12" i="20"/>
  <c r="FJ12" i="20"/>
  <c r="FI12" i="20"/>
  <c r="FH12" i="20"/>
  <c r="FG12" i="20"/>
  <c r="FF12" i="20"/>
  <c r="FE12" i="20"/>
  <c r="FD12" i="20"/>
  <c r="FC12" i="20"/>
  <c r="FB12" i="20"/>
  <c r="FA12" i="20"/>
  <c r="EZ12" i="20"/>
  <c r="EY12" i="20"/>
  <c r="EX12" i="20"/>
  <c r="EW12" i="20"/>
  <c r="EV12" i="20"/>
  <c r="EU12" i="20"/>
  <c r="ET12" i="20"/>
  <c r="ES12" i="20"/>
  <c r="ER12" i="20"/>
  <c r="EQ12" i="20"/>
  <c r="EP12" i="20"/>
  <c r="EO12" i="20"/>
  <c r="EN12" i="20"/>
  <c r="EM12" i="20"/>
  <c r="EL12" i="20"/>
  <c r="EK12" i="20"/>
  <c r="EJ12" i="20"/>
  <c r="EI12" i="20"/>
  <c r="EH12" i="20"/>
  <c r="EG12" i="20"/>
  <c r="EF12" i="20"/>
  <c r="EE12" i="20"/>
  <c r="ED12" i="20"/>
  <c r="EC12" i="20"/>
  <c r="EB12" i="20"/>
  <c r="EA12" i="20"/>
  <c r="DZ12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L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X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J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V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FN11" i="20"/>
  <c r="FM11" i="20"/>
  <c r="FL11" i="20"/>
  <c r="FK11" i="20"/>
  <c r="FJ11" i="20"/>
  <c r="FI11" i="20"/>
  <c r="FH11" i="20"/>
  <c r="FG11" i="20"/>
  <c r="FF11" i="20"/>
  <c r="FE11" i="20"/>
  <c r="FD11" i="20"/>
  <c r="FC11" i="20"/>
  <c r="FB11" i="20"/>
  <c r="FA11" i="20"/>
  <c r="EZ11" i="20"/>
  <c r="EY11" i="20"/>
  <c r="EX11" i="20"/>
  <c r="EW11" i="20"/>
  <c r="EV11" i="20"/>
  <c r="EU11" i="20"/>
  <c r="ET11" i="20"/>
  <c r="ES11" i="20"/>
  <c r="ER11" i="20"/>
  <c r="EQ11" i="20"/>
  <c r="EP11" i="20"/>
  <c r="EO11" i="20"/>
  <c r="EN11" i="20"/>
  <c r="EM11" i="20"/>
  <c r="EL11" i="20"/>
  <c r="EK11" i="20"/>
  <c r="EJ11" i="20"/>
  <c r="EI11" i="20"/>
  <c r="EH11" i="20"/>
  <c r="EG11" i="20"/>
  <c r="EF11" i="20"/>
  <c r="EE11" i="20"/>
  <c r="ED11" i="20"/>
  <c r="EC11" i="20"/>
  <c r="EB11" i="20"/>
  <c r="EA11" i="20"/>
  <c r="DZ11" i="20"/>
  <c r="DY11" i="20"/>
  <c r="DX11" i="20"/>
  <c r="DW11" i="20"/>
  <c r="DV11" i="20"/>
  <c r="DU11" i="20"/>
  <c r="DT11" i="20"/>
  <c r="DS11" i="20"/>
  <c r="DR11" i="20"/>
  <c r="DQ11" i="20"/>
  <c r="DP11" i="20"/>
  <c r="DO11" i="20"/>
  <c r="DN11" i="20"/>
  <c r="DM11" i="20"/>
  <c r="DL11" i="20"/>
  <c r="DK11" i="20"/>
  <c r="DJ11" i="20"/>
  <c r="DI11" i="20"/>
  <c r="DH11" i="20"/>
  <c r="DG11" i="20"/>
  <c r="DF11" i="20"/>
  <c r="DE11" i="20"/>
  <c r="DD11" i="20"/>
  <c r="DC11" i="20"/>
  <c r="DB11" i="20"/>
  <c r="DA11" i="20"/>
  <c r="CZ11" i="20"/>
  <c r="CY11" i="20"/>
  <c r="CX11" i="20"/>
  <c r="CW11" i="20"/>
  <c r="CV11" i="20"/>
  <c r="CU11" i="20"/>
  <c r="CT11" i="20"/>
  <c r="CS11" i="20"/>
  <c r="CR11" i="20"/>
  <c r="CQ11" i="20"/>
  <c r="CP11" i="20"/>
  <c r="CO11" i="20"/>
  <c r="CN11" i="20"/>
  <c r="CM11" i="20"/>
  <c r="CL11" i="20"/>
  <c r="CK11" i="20"/>
  <c r="CJ11" i="20"/>
  <c r="CI11" i="20"/>
  <c r="CH11" i="20"/>
  <c r="CG11" i="20"/>
  <c r="CF11" i="20"/>
  <c r="CE11" i="20"/>
  <c r="CD11" i="20"/>
  <c r="CC11" i="20"/>
  <c r="CB11" i="20"/>
  <c r="CA11" i="20"/>
  <c r="BZ11" i="20"/>
  <c r="BY11" i="20"/>
  <c r="BX11" i="20"/>
  <c r="BW11" i="20"/>
  <c r="BV11" i="20"/>
  <c r="BU11" i="20"/>
  <c r="BT11" i="20"/>
  <c r="BS11" i="20"/>
  <c r="BR11" i="20"/>
  <c r="BQ11" i="20"/>
  <c r="BP11" i="20"/>
  <c r="BO11" i="20"/>
  <c r="BN11" i="20"/>
  <c r="BM11" i="20"/>
  <c r="BL11" i="20"/>
  <c r="BK11" i="20"/>
  <c r="BJ11" i="20"/>
  <c r="BI11" i="20"/>
  <c r="BH11" i="20"/>
  <c r="BG11" i="20"/>
  <c r="BF11" i="20"/>
  <c r="BE11" i="20"/>
  <c r="BD11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FN10" i="20"/>
  <c r="FM10" i="20"/>
  <c r="FL10" i="20"/>
  <c r="FK10" i="20"/>
  <c r="FJ10" i="20"/>
  <c r="FI10" i="20"/>
  <c r="FH10" i="20"/>
  <c r="FG10" i="20"/>
  <c r="FF10" i="20"/>
  <c r="FE10" i="20"/>
  <c r="FD10" i="20"/>
  <c r="FC10" i="20"/>
  <c r="FB10" i="20"/>
  <c r="FA10" i="20"/>
  <c r="EZ10" i="20"/>
  <c r="EY10" i="20"/>
  <c r="EX10" i="20"/>
  <c r="EW10" i="20"/>
  <c r="EV10" i="20"/>
  <c r="EU10" i="20"/>
  <c r="ET10" i="20"/>
  <c r="ES10" i="20"/>
  <c r="ER10" i="20"/>
  <c r="EQ10" i="20"/>
  <c r="EP10" i="20"/>
  <c r="EO10" i="20"/>
  <c r="EN10" i="20"/>
  <c r="EM10" i="20"/>
  <c r="EL10" i="20"/>
  <c r="EK10" i="20"/>
  <c r="EJ10" i="20"/>
  <c r="EI10" i="20"/>
  <c r="EH10" i="20"/>
  <c r="EG10" i="20"/>
  <c r="EF10" i="20"/>
  <c r="EE10" i="20"/>
  <c r="ED10" i="20"/>
  <c r="EC10" i="20"/>
  <c r="EB10" i="20"/>
  <c r="EA10" i="20"/>
  <c r="DZ10" i="20"/>
  <c r="DY10" i="20"/>
  <c r="DX10" i="20"/>
  <c r="DW10" i="20"/>
  <c r="DV10" i="20"/>
  <c r="DU10" i="20"/>
  <c r="DT10" i="20"/>
  <c r="DS10" i="20"/>
  <c r="DR10" i="20"/>
  <c r="DQ10" i="20"/>
  <c r="DP10" i="20"/>
  <c r="DO10" i="20"/>
  <c r="DN10" i="20"/>
  <c r="DM10" i="20"/>
  <c r="DL10" i="20"/>
  <c r="DK10" i="20"/>
  <c r="DJ10" i="20"/>
  <c r="DI10" i="20"/>
  <c r="DH10" i="20"/>
  <c r="DG10" i="20"/>
  <c r="DF10" i="20"/>
  <c r="DE10" i="20"/>
  <c r="DD10" i="20"/>
  <c r="DC10" i="20"/>
  <c r="DB10" i="20"/>
  <c r="DA10" i="20"/>
  <c r="CZ10" i="20"/>
  <c r="CY10" i="20"/>
  <c r="CX10" i="20"/>
  <c r="CW10" i="20"/>
  <c r="CV10" i="20"/>
  <c r="CU10" i="20"/>
  <c r="CT10" i="20"/>
  <c r="CS10" i="20"/>
  <c r="CR10" i="20"/>
  <c r="CQ10" i="20"/>
  <c r="CP10" i="20"/>
  <c r="CO10" i="20"/>
  <c r="CN10" i="20"/>
  <c r="CM10" i="20"/>
  <c r="CL10" i="20"/>
  <c r="CK10" i="20"/>
  <c r="CJ10" i="20"/>
  <c r="CI10" i="20"/>
  <c r="CH10" i="20"/>
  <c r="CG10" i="20"/>
  <c r="CF10" i="20"/>
  <c r="CE10" i="20"/>
  <c r="CD10" i="20"/>
  <c r="CC10" i="20"/>
  <c r="CB10" i="20"/>
  <c r="CA10" i="20"/>
  <c r="BZ10" i="20"/>
  <c r="BY10" i="20"/>
  <c r="BX10" i="20"/>
  <c r="BW10" i="20"/>
  <c r="BV10" i="20"/>
  <c r="BU10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H10" i="20"/>
  <c r="BG10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FN9" i="20"/>
  <c r="FM9" i="20"/>
  <c r="FL9" i="20"/>
  <c r="FK9" i="20"/>
  <c r="FJ9" i="20"/>
  <c r="FI9" i="20"/>
  <c r="FH9" i="20"/>
  <c r="FG9" i="20"/>
  <c r="FF9" i="20"/>
  <c r="FE9" i="20"/>
  <c r="FD9" i="20"/>
  <c r="FC9" i="20"/>
  <c r="FB9" i="20"/>
  <c r="FA9" i="20"/>
  <c r="EZ9" i="20"/>
  <c r="EY9" i="20"/>
  <c r="EX9" i="20"/>
  <c r="EW9" i="20"/>
  <c r="EV9" i="20"/>
  <c r="EU9" i="20"/>
  <c r="ET9" i="20"/>
  <c r="ES9" i="20"/>
  <c r="ER9" i="20"/>
  <c r="EQ9" i="20"/>
  <c r="EP9" i="20"/>
  <c r="EO9" i="20"/>
  <c r="EN9" i="20"/>
  <c r="EM9" i="20"/>
  <c r="EL9" i="20"/>
  <c r="EK9" i="20"/>
  <c r="EJ9" i="20"/>
  <c r="EI9" i="20"/>
  <c r="EH9" i="20"/>
  <c r="EG9" i="20"/>
  <c r="EF9" i="20"/>
  <c r="EE9" i="20"/>
  <c r="ED9" i="20"/>
  <c r="EC9" i="20"/>
  <c r="EB9" i="20"/>
  <c r="EA9" i="20"/>
  <c r="DZ9" i="20"/>
  <c r="DY9" i="20"/>
  <c r="DX9" i="20"/>
  <c r="DW9" i="20"/>
  <c r="DV9" i="20"/>
  <c r="DU9" i="20"/>
  <c r="DT9" i="20"/>
  <c r="DS9" i="20"/>
  <c r="DR9" i="20"/>
  <c r="DQ9" i="20"/>
  <c r="DP9" i="20"/>
  <c r="DO9" i="20"/>
  <c r="DN9" i="20"/>
  <c r="DM9" i="20"/>
  <c r="DL9" i="20"/>
  <c r="DK9" i="20"/>
  <c r="DJ9" i="20"/>
  <c r="DI9" i="20"/>
  <c r="DH9" i="20"/>
  <c r="DG9" i="20"/>
  <c r="DF9" i="20"/>
  <c r="DE9" i="20"/>
  <c r="DD9" i="20"/>
  <c r="DC9" i="20"/>
  <c r="DB9" i="20"/>
  <c r="DA9" i="20"/>
  <c r="CZ9" i="20"/>
  <c r="CY9" i="20"/>
  <c r="CX9" i="20"/>
  <c r="CW9" i="20"/>
  <c r="CV9" i="20"/>
  <c r="CU9" i="20"/>
  <c r="CT9" i="20"/>
  <c r="CS9" i="20"/>
  <c r="CR9" i="20"/>
  <c r="CQ9" i="20"/>
  <c r="CP9" i="20"/>
  <c r="CO9" i="20"/>
  <c r="CN9" i="20"/>
  <c r="CM9" i="20"/>
  <c r="CL9" i="20"/>
  <c r="CK9" i="20"/>
  <c r="CJ9" i="20"/>
  <c r="CI9" i="20"/>
  <c r="CH9" i="20"/>
  <c r="CG9" i="20"/>
  <c r="CF9" i="20"/>
  <c r="CE9" i="20"/>
  <c r="CD9" i="20"/>
  <c r="CC9" i="20"/>
  <c r="CB9" i="20"/>
  <c r="CA9" i="20"/>
  <c r="BZ9" i="20"/>
  <c r="BY9" i="20"/>
  <c r="BX9" i="20"/>
  <c r="BW9" i="20"/>
  <c r="BV9" i="20"/>
  <c r="BU9" i="20"/>
  <c r="BT9" i="20"/>
  <c r="BS9" i="20"/>
  <c r="BR9" i="20"/>
  <c r="BQ9" i="20"/>
  <c r="BP9" i="20"/>
  <c r="BO9" i="20"/>
  <c r="BN9" i="20"/>
  <c r="BM9" i="20"/>
  <c r="BL9" i="20"/>
  <c r="BK9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FN8" i="20"/>
  <c r="FM8" i="20"/>
  <c r="FL8" i="20"/>
  <c r="FK8" i="20"/>
  <c r="FJ8" i="20"/>
  <c r="FI8" i="20"/>
  <c r="FH8" i="20"/>
  <c r="FG8" i="20"/>
  <c r="FF8" i="20"/>
  <c r="FE8" i="20"/>
  <c r="FD8" i="20"/>
  <c r="FC8" i="20"/>
  <c r="FB8" i="20"/>
  <c r="FA8" i="20"/>
  <c r="EZ8" i="20"/>
  <c r="EY8" i="20"/>
  <c r="EX8" i="20"/>
  <c r="EW8" i="20"/>
  <c r="EV8" i="20"/>
  <c r="EU8" i="20"/>
  <c r="ET8" i="20"/>
  <c r="ES8" i="20"/>
  <c r="ER8" i="20"/>
  <c r="EQ8" i="20"/>
  <c r="EP8" i="20"/>
  <c r="EO8" i="20"/>
  <c r="EN8" i="20"/>
  <c r="EM8" i="20"/>
  <c r="EL8" i="20"/>
  <c r="EK8" i="20"/>
  <c r="EJ8" i="20"/>
  <c r="EI8" i="20"/>
  <c r="EH8" i="20"/>
  <c r="EG8" i="20"/>
  <c r="EF8" i="20"/>
  <c r="EE8" i="20"/>
  <c r="ED8" i="20"/>
  <c r="EC8" i="20"/>
  <c r="EB8" i="20"/>
  <c r="EA8" i="20"/>
  <c r="DZ8" i="20"/>
  <c r="DY8" i="20"/>
  <c r="DX8" i="20"/>
  <c r="DW8" i="20"/>
  <c r="DV8" i="20"/>
  <c r="DU8" i="20"/>
  <c r="DT8" i="20"/>
  <c r="DS8" i="20"/>
  <c r="DR8" i="20"/>
  <c r="DQ8" i="20"/>
  <c r="DP8" i="20"/>
  <c r="DO8" i="20"/>
  <c r="DN8" i="20"/>
  <c r="DM8" i="20"/>
  <c r="DL8" i="20"/>
  <c r="DK8" i="20"/>
  <c r="DJ8" i="20"/>
  <c r="DI8" i="20"/>
  <c r="DH8" i="20"/>
  <c r="DG8" i="20"/>
  <c r="DF8" i="20"/>
  <c r="DE8" i="20"/>
  <c r="DD8" i="20"/>
  <c r="DC8" i="20"/>
  <c r="DB8" i="20"/>
  <c r="DA8" i="20"/>
  <c r="CZ8" i="20"/>
  <c r="CY8" i="20"/>
  <c r="CX8" i="20"/>
  <c r="CW8" i="20"/>
  <c r="CV8" i="20"/>
  <c r="CU8" i="20"/>
  <c r="CT8" i="20"/>
  <c r="CS8" i="20"/>
  <c r="CR8" i="20"/>
  <c r="CQ8" i="20"/>
  <c r="CP8" i="20"/>
  <c r="CO8" i="20"/>
  <c r="CN8" i="20"/>
  <c r="CM8" i="20"/>
  <c r="CL8" i="20"/>
  <c r="CK8" i="20"/>
  <c r="CJ8" i="20"/>
  <c r="CI8" i="20"/>
  <c r="CH8" i="20"/>
  <c r="CG8" i="20"/>
  <c r="CF8" i="20"/>
  <c r="CE8" i="20"/>
  <c r="CD8" i="20"/>
  <c r="CC8" i="20"/>
  <c r="CB8" i="20"/>
  <c r="CA8" i="20"/>
  <c r="BZ8" i="20"/>
  <c r="BY8" i="20"/>
  <c r="BX8" i="20"/>
  <c r="BW8" i="20"/>
  <c r="BV8" i="20"/>
  <c r="BU8" i="20"/>
  <c r="BT8" i="20"/>
  <c r="BS8" i="20"/>
  <c r="BR8" i="20"/>
  <c r="BQ8" i="20"/>
  <c r="BP8" i="20"/>
  <c r="BO8" i="20"/>
  <c r="BN8" i="20"/>
  <c r="BM8" i="20"/>
  <c r="BL8" i="20"/>
  <c r="BK8" i="20"/>
  <c r="BJ8" i="20"/>
  <c r="BI8" i="20"/>
  <c r="BH8" i="20"/>
  <c r="BG8" i="20"/>
  <c r="BF8" i="20"/>
  <c r="BE8" i="20"/>
  <c r="BD8" i="20"/>
  <c r="BC8" i="20"/>
  <c r="BB8" i="20"/>
  <c r="BA8" i="20"/>
  <c r="AZ8" i="20"/>
  <c r="AY8" i="20"/>
  <c r="AX8" i="20"/>
  <c r="AW8" i="20"/>
  <c r="AV8" i="20"/>
  <c r="AU8" i="20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/>
  <c r="FN5" i="20"/>
  <c r="FM5" i="20"/>
  <c r="FL5" i="20"/>
  <c r="FK5" i="20"/>
  <c r="FJ5" i="20"/>
  <c r="FI5" i="20"/>
  <c r="FH5" i="20"/>
  <c r="FG5" i="20"/>
  <c r="FF5" i="20"/>
  <c r="FE5" i="20"/>
  <c r="FD5" i="20"/>
  <c r="FC5" i="20"/>
  <c r="FB5" i="20"/>
  <c r="FA5" i="20"/>
  <c r="EZ5" i="20"/>
  <c r="EY5" i="20"/>
  <c r="EX5" i="20"/>
  <c r="EW5" i="20"/>
  <c r="EV5" i="20"/>
  <c r="EU5" i="20"/>
  <c r="ET5" i="20"/>
  <c r="ES5" i="20"/>
  <c r="ER5" i="20"/>
  <c r="EQ5" i="20"/>
  <c r="EP5" i="20"/>
  <c r="EO5" i="20"/>
  <c r="EN5" i="20"/>
  <c r="EM5" i="20"/>
  <c r="EL5" i="20"/>
  <c r="EK5" i="20"/>
  <c r="EJ5" i="20"/>
  <c r="EI5" i="20"/>
  <c r="EH5" i="20"/>
  <c r="EG5" i="20"/>
  <c r="EF5" i="20"/>
  <c r="EE5" i="20"/>
  <c r="ED5" i="20"/>
  <c r="EC5" i="20"/>
  <c r="EB5" i="20"/>
  <c r="EA5" i="20"/>
  <c r="DZ5" i="20"/>
  <c r="DY5" i="20"/>
  <c r="DX5" i="20"/>
  <c r="DW5" i="20"/>
  <c r="DV5" i="20"/>
  <c r="DU5" i="20"/>
  <c r="DT5" i="20"/>
  <c r="DS5" i="20"/>
  <c r="DR5" i="20"/>
  <c r="DQ5" i="20"/>
  <c r="DP5" i="20"/>
  <c r="DO5" i="20"/>
  <c r="DN5" i="20"/>
  <c r="DM5" i="20"/>
  <c r="DL5" i="20"/>
  <c r="DK5" i="20"/>
  <c r="DJ5" i="20"/>
  <c r="DI5" i="20"/>
  <c r="DH5" i="20"/>
  <c r="DG5" i="20"/>
  <c r="DF5" i="20"/>
  <c r="DE5" i="20"/>
  <c r="DD5" i="20"/>
  <c r="DC5" i="20"/>
  <c r="DB5" i="20"/>
  <c r="DA5" i="20"/>
  <c r="CZ5" i="20"/>
  <c r="CY5" i="20"/>
  <c r="CX5" i="20"/>
  <c r="CW5" i="20"/>
  <c r="CV5" i="20"/>
  <c r="CU5" i="20"/>
  <c r="CT5" i="20"/>
  <c r="CS5" i="20"/>
  <c r="CR5" i="20"/>
  <c r="CQ5" i="20"/>
  <c r="CP5" i="20"/>
  <c r="CO5" i="20"/>
  <c r="CN5" i="20"/>
  <c r="CM5" i="20"/>
  <c r="CL5" i="20"/>
  <c r="CK5" i="20"/>
  <c r="CJ5" i="20"/>
  <c r="CI5" i="20"/>
  <c r="CH5" i="20"/>
  <c r="CG5" i="20"/>
  <c r="CF5" i="20"/>
  <c r="CE5" i="20"/>
  <c r="CD5" i="20"/>
  <c r="CC5" i="20"/>
  <c r="CB5" i="20"/>
  <c r="CA5" i="20"/>
  <c r="BZ5" i="20"/>
  <c r="BY5" i="20"/>
  <c r="BX5" i="20"/>
  <c r="BW5" i="20"/>
  <c r="BV5" i="20"/>
  <c r="BU5" i="20"/>
  <c r="BT5" i="20"/>
  <c r="BS5" i="20"/>
  <c r="BR5" i="20"/>
  <c r="BQ5" i="20"/>
  <c r="BP5" i="20"/>
  <c r="BO5" i="20"/>
  <c r="BN5" i="20"/>
  <c r="BM5" i="20"/>
  <c r="BL5" i="20"/>
  <c r="BK5" i="20"/>
  <c r="BJ5" i="20"/>
  <c r="BI5" i="20"/>
  <c r="BH5" i="20"/>
  <c r="BG5" i="20"/>
  <c r="BF5" i="20"/>
  <c r="BE5" i="20"/>
  <c r="BD5" i="20"/>
  <c r="BC5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FN4" i="20"/>
  <c r="FM4" i="20"/>
  <c r="FL4" i="20"/>
  <c r="FK4" i="20"/>
  <c r="FJ4" i="20"/>
  <c r="FI4" i="20"/>
  <c r="FH4" i="20"/>
  <c r="FG4" i="20"/>
  <c r="FF4" i="20"/>
  <c r="FE4" i="20"/>
  <c r="FD4" i="20"/>
  <c r="FC4" i="20"/>
  <c r="FB4" i="20"/>
  <c r="FA4" i="20"/>
  <c r="EZ4" i="20"/>
  <c r="EY4" i="20"/>
  <c r="EX4" i="20"/>
  <c r="EW4" i="20"/>
  <c r="EV4" i="20"/>
  <c r="EU4" i="20"/>
  <c r="ET4" i="20"/>
  <c r="ES4" i="20"/>
  <c r="ER4" i="20"/>
  <c r="EQ4" i="20"/>
  <c r="EP4" i="20"/>
  <c r="EO4" i="20"/>
  <c r="EN4" i="20"/>
  <c r="EM4" i="20"/>
  <c r="EL4" i="20"/>
  <c r="EK4" i="20"/>
  <c r="EJ4" i="20"/>
  <c r="EI4" i="20"/>
  <c r="EH4" i="20"/>
  <c r="EG4" i="20"/>
  <c r="EF4" i="20"/>
  <c r="EE4" i="20"/>
  <c r="ED4" i="20"/>
  <c r="EC4" i="20"/>
  <c r="EB4" i="20"/>
  <c r="EA4" i="20"/>
  <c r="DZ4" i="20"/>
  <c r="DY4" i="20"/>
  <c r="DX4" i="20"/>
  <c r="DW4" i="20"/>
  <c r="DV4" i="20"/>
  <c r="DU4" i="20"/>
  <c r="DT4" i="20"/>
  <c r="DS4" i="20"/>
  <c r="DR4" i="20"/>
  <c r="DQ4" i="20"/>
  <c r="DP4" i="20"/>
  <c r="DO4" i="20"/>
  <c r="DN4" i="20"/>
  <c r="DM4" i="20"/>
  <c r="DL4" i="20"/>
  <c r="DK4" i="20"/>
  <c r="DJ4" i="20"/>
  <c r="DI4" i="20"/>
  <c r="DH4" i="20"/>
  <c r="DG4" i="20"/>
  <c r="DF4" i="20"/>
  <c r="DE4" i="20"/>
  <c r="DD4" i="20"/>
  <c r="DC4" i="20"/>
  <c r="DB4" i="20"/>
  <c r="DA4" i="20"/>
  <c r="CZ4" i="20"/>
  <c r="CY4" i="20"/>
  <c r="CX4" i="20"/>
  <c r="CW4" i="20"/>
  <c r="CV4" i="20"/>
  <c r="CU4" i="20"/>
  <c r="CT4" i="20"/>
  <c r="CS4" i="20"/>
  <c r="CR4" i="20"/>
  <c r="CQ4" i="20"/>
  <c r="CP4" i="20"/>
  <c r="CO4" i="20"/>
  <c r="CN4" i="20"/>
  <c r="CM4" i="20"/>
  <c r="CL4" i="20"/>
  <c r="CK4" i="20"/>
  <c r="CJ4" i="20"/>
  <c r="CI4" i="20"/>
  <c r="CH4" i="20"/>
  <c r="CG4" i="20"/>
  <c r="CF4" i="20"/>
  <c r="CE4" i="20"/>
  <c r="CD4" i="20"/>
  <c r="CC4" i="20"/>
  <c r="CB4" i="20"/>
  <c r="CA4" i="20"/>
  <c r="BZ4" i="20"/>
  <c r="BY4" i="20"/>
  <c r="BX4" i="20"/>
  <c r="BW4" i="20"/>
  <c r="BV4" i="20"/>
  <c r="BU4" i="20"/>
  <c r="BT4" i="20"/>
  <c r="BS4" i="20"/>
  <c r="BR4" i="20"/>
  <c r="BQ4" i="20"/>
  <c r="BP4" i="20"/>
  <c r="BO4" i="20"/>
  <c r="BN4" i="20"/>
  <c r="BM4" i="20"/>
  <c r="BL4" i="20"/>
  <c r="BK4" i="20"/>
  <c r="BJ4" i="20"/>
  <c r="BI4" i="20"/>
  <c r="BH4" i="20"/>
  <c r="BG4" i="20"/>
  <c r="BF4" i="20"/>
  <c r="BE4" i="20"/>
  <c r="BD4" i="20"/>
  <c r="BC4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FN3" i="20"/>
  <c r="FM3" i="20"/>
  <c r="FL3" i="20"/>
  <c r="FK3" i="20"/>
  <c r="FJ3" i="20"/>
  <c r="FI3" i="20"/>
  <c r="FH3" i="20"/>
  <c r="FG3" i="20"/>
  <c r="FF3" i="20"/>
  <c r="FE3" i="20"/>
  <c r="FD3" i="20"/>
  <c r="FC3" i="20"/>
  <c r="FB3" i="20"/>
  <c r="FA3" i="20"/>
  <c r="EZ3" i="20"/>
  <c r="EY3" i="20"/>
  <c r="EX3" i="20"/>
  <c r="EW3" i="20"/>
  <c r="EV3" i="20"/>
  <c r="EU3" i="20"/>
  <c r="ET3" i="20"/>
  <c r="ES3" i="20"/>
  <c r="ER3" i="20"/>
  <c r="EQ3" i="20"/>
  <c r="EP3" i="20"/>
  <c r="EO3" i="20"/>
  <c r="EN3" i="20"/>
  <c r="EM3" i="20"/>
  <c r="EL3" i="20"/>
  <c r="EK3" i="20"/>
  <c r="EJ3" i="20"/>
  <c r="EI3" i="20"/>
  <c r="EH3" i="20"/>
  <c r="EG3" i="20"/>
  <c r="EF3" i="20"/>
  <c r="EE3" i="20"/>
  <c r="ED3" i="20"/>
  <c r="EC3" i="20"/>
  <c r="EB3" i="20"/>
  <c r="EA3" i="20"/>
  <c r="DZ3" i="20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L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X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J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V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FN2" i="20"/>
  <c r="FM2" i="20"/>
  <c r="FL2" i="20"/>
  <c r="FK2" i="20"/>
  <c r="FJ2" i="20"/>
  <c r="FI2" i="20"/>
  <c r="FH2" i="20"/>
  <c r="FG2" i="20"/>
  <c r="FF2" i="20"/>
  <c r="FE2" i="20"/>
  <c r="FD2" i="20"/>
  <c r="FC2" i="20"/>
  <c r="FB2" i="20"/>
  <c r="FA2" i="20"/>
  <c r="EZ2" i="20"/>
  <c r="EY2" i="20"/>
  <c r="EX2" i="20"/>
  <c r="EW2" i="20"/>
  <c r="EV2" i="20"/>
  <c r="EU2" i="20"/>
  <c r="ET2" i="20"/>
  <c r="ES2" i="20"/>
  <c r="ER2" i="20"/>
  <c r="EQ2" i="20"/>
  <c r="EP2" i="20"/>
  <c r="EO2" i="20"/>
  <c r="EN2" i="20"/>
  <c r="EM2" i="20"/>
  <c r="EL2" i="20"/>
  <c r="EK2" i="20"/>
  <c r="EJ2" i="20"/>
  <c r="EI2" i="20"/>
  <c r="EH2" i="20"/>
  <c r="EG2" i="20"/>
  <c r="EF2" i="20"/>
  <c r="EE2" i="20"/>
  <c r="ED2" i="20"/>
  <c r="EC2" i="20"/>
  <c r="EB2" i="20"/>
  <c r="EA2" i="20"/>
  <c r="DZ2" i="20"/>
  <c r="DY2" i="20"/>
  <c r="DX2" i="20"/>
  <c r="DW2" i="20"/>
  <c r="DV2" i="20"/>
  <c r="DU2" i="20"/>
  <c r="DT2" i="20"/>
  <c r="DS2" i="20"/>
  <c r="DR2" i="20"/>
  <c r="DQ2" i="20"/>
  <c r="DP2" i="20"/>
  <c r="DO2" i="20"/>
  <c r="DN2" i="20"/>
  <c r="DM2" i="20"/>
  <c r="DL2" i="20"/>
  <c r="DK2" i="20"/>
  <c r="DJ2" i="20"/>
  <c r="DI2" i="20"/>
  <c r="DH2" i="20"/>
  <c r="DG2" i="20"/>
  <c r="DF2" i="20"/>
  <c r="DE2" i="20"/>
  <c r="DD2" i="20"/>
  <c r="DC2" i="20"/>
  <c r="DB2" i="20"/>
  <c r="DA2" i="20"/>
  <c r="CZ2" i="20"/>
  <c r="CY2" i="20"/>
  <c r="CX2" i="20"/>
  <c r="CW2" i="20"/>
  <c r="CV2" i="20"/>
  <c r="CU2" i="20"/>
  <c r="CT2" i="20"/>
  <c r="CS2" i="20"/>
  <c r="CR2" i="20"/>
  <c r="CQ2" i="20"/>
  <c r="CP2" i="20"/>
  <c r="CO2" i="20"/>
  <c r="CN2" i="20"/>
  <c r="CM2" i="20"/>
  <c r="CL2" i="20"/>
  <c r="CK2" i="20"/>
  <c r="CJ2" i="20"/>
  <c r="CI2" i="20"/>
  <c r="CH2" i="20"/>
  <c r="CG2" i="20"/>
  <c r="CF2" i="20"/>
  <c r="CE2" i="20"/>
  <c r="CD2" i="20"/>
  <c r="CC2" i="20"/>
  <c r="CB2" i="20"/>
  <c r="CA2" i="20"/>
  <c r="BZ2" i="20"/>
  <c r="BY2" i="20"/>
  <c r="BX2" i="20"/>
  <c r="BW2" i="20"/>
  <c r="BV2" i="20"/>
  <c r="BU2" i="20"/>
  <c r="BT2" i="20"/>
  <c r="BS2" i="20"/>
  <c r="BR2" i="20"/>
  <c r="BQ2" i="20"/>
  <c r="BP2" i="20"/>
  <c r="BO2" i="20"/>
  <c r="BN2" i="20"/>
  <c r="BM2" i="20"/>
  <c r="BL2" i="20"/>
  <c r="BK2" i="20"/>
  <c r="BJ2" i="20"/>
  <c r="BI2" i="20"/>
  <c r="BH2" i="20"/>
  <c r="BG2" i="20"/>
  <c r="BF2" i="20"/>
  <c r="BE2" i="20"/>
  <c r="BD2" i="20"/>
  <c r="BC2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2" i="20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AX56" i="17"/>
  <c r="AY56" i="17"/>
  <c r="AZ56" i="17"/>
  <c r="BA56" i="17"/>
  <c r="BB56" i="17"/>
  <c r="BC56" i="17"/>
  <c r="BD56" i="17"/>
  <c r="BE56" i="17"/>
  <c r="BF56" i="17"/>
  <c r="BG56" i="17"/>
  <c r="BH56" i="17"/>
  <c r="BI56" i="17"/>
  <c r="BJ56" i="17"/>
  <c r="BK56" i="17"/>
  <c r="BL56" i="17"/>
  <c r="BM56" i="17"/>
  <c r="BN56" i="17"/>
  <c r="BO56" i="17"/>
  <c r="BP56" i="17"/>
  <c r="BQ56" i="17"/>
  <c r="BR56" i="17"/>
  <c r="BS56" i="17"/>
  <c r="BT56" i="17"/>
  <c r="BU56" i="17"/>
  <c r="BV56" i="17"/>
  <c r="BW56" i="17"/>
  <c r="BX56" i="17"/>
  <c r="BY56" i="17"/>
  <c r="BZ56" i="17"/>
  <c r="CA56" i="17"/>
  <c r="CB56" i="17"/>
  <c r="CC56" i="17"/>
  <c r="CD56" i="17"/>
  <c r="CE56" i="17"/>
  <c r="CF56" i="17"/>
  <c r="CG56" i="17"/>
  <c r="CH56" i="17"/>
  <c r="CI56" i="17"/>
  <c r="CJ56" i="17"/>
  <c r="CK56" i="17"/>
  <c r="CL56" i="17"/>
  <c r="CM56" i="17"/>
  <c r="CN56" i="17"/>
  <c r="CO56" i="17"/>
  <c r="CP56" i="17"/>
  <c r="CQ56" i="17"/>
  <c r="CR56" i="17"/>
  <c r="CS56" i="17"/>
  <c r="CT56" i="17"/>
  <c r="CU56" i="17"/>
  <c r="CV56" i="17"/>
  <c r="CW56" i="17"/>
  <c r="CX56" i="17"/>
  <c r="CY56" i="17"/>
  <c r="CZ56" i="17"/>
  <c r="DA56" i="17"/>
  <c r="DB56" i="17"/>
  <c r="DC56" i="17"/>
  <c r="DD56" i="17"/>
  <c r="DE56" i="17"/>
  <c r="DF56" i="17"/>
  <c r="DG56" i="17"/>
  <c r="DH56" i="17"/>
  <c r="DI56" i="17"/>
  <c r="DJ56" i="17"/>
  <c r="DK56" i="17"/>
  <c r="DL56" i="17"/>
  <c r="DM56" i="17"/>
  <c r="DN56" i="17"/>
  <c r="DO56" i="17"/>
  <c r="DP56" i="17"/>
  <c r="DQ56" i="17"/>
  <c r="DR56" i="17"/>
  <c r="DS56" i="17"/>
  <c r="DT56" i="17"/>
  <c r="DU56" i="17"/>
  <c r="DV56" i="17"/>
  <c r="DW56" i="17"/>
  <c r="DX56" i="17"/>
  <c r="DY56" i="17"/>
  <c r="DZ56" i="17"/>
  <c r="EA56" i="17"/>
  <c r="EB56" i="17"/>
  <c r="EC56" i="17"/>
  <c r="ED56" i="17"/>
  <c r="EE56" i="17"/>
  <c r="EF56" i="17"/>
  <c r="EG56" i="17"/>
  <c r="EH56" i="17"/>
  <c r="EI56" i="17"/>
  <c r="EJ56" i="17"/>
  <c r="EK56" i="17"/>
  <c r="EL56" i="17"/>
  <c r="EM56" i="17"/>
  <c r="EN56" i="17"/>
  <c r="EO56" i="17"/>
  <c r="EP56" i="17"/>
  <c r="EQ56" i="17"/>
  <c r="ER56" i="17"/>
  <c r="ES56" i="17"/>
  <c r="ET56" i="17"/>
  <c r="EU56" i="17"/>
  <c r="EV56" i="17"/>
  <c r="EW56" i="17"/>
  <c r="EX56" i="17"/>
  <c r="EY56" i="17"/>
  <c r="EZ56" i="17"/>
  <c r="FA56" i="17"/>
  <c r="FB56" i="17"/>
  <c r="FC56" i="17"/>
  <c r="FD56" i="17"/>
  <c r="FE56" i="17"/>
  <c r="FF56" i="17"/>
  <c r="FG56" i="17"/>
  <c r="FH56" i="17"/>
  <c r="FI56" i="17"/>
  <c r="FJ56" i="17"/>
  <c r="FK56" i="17"/>
  <c r="FL56" i="17"/>
  <c r="FM56" i="17"/>
  <c r="FN56" i="17"/>
  <c r="FO56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AM57" i="17"/>
  <c r="AN57" i="17"/>
  <c r="AO57" i="17"/>
  <c r="AP57" i="17"/>
  <c r="AQ57" i="17"/>
  <c r="AR57" i="17"/>
  <c r="AS57" i="17"/>
  <c r="AT57" i="17"/>
  <c r="AU57" i="17"/>
  <c r="AV57" i="17"/>
  <c r="AW57" i="17"/>
  <c r="AX57" i="17"/>
  <c r="AY57" i="17"/>
  <c r="AZ57" i="17"/>
  <c r="BA57" i="17"/>
  <c r="BB57" i="17"/>
  <c r="BC57" i="17"/>
  <c r="BD57" i="17"/>
  <c r="BE57" i="17"/>
  <c r="BF57" i="17"/>
  <c r="BG57" i="17"/>
  <c r="BH57" i="17"/>
  <c r="BI57" i="17"/>
  <c r="BJ57" i="17"/>
  <c r="BK57" i="17"/>
  <c r="BL57" i="17"/>
  <c r="BM57" i="17"/>
  <c r="BN57" i="17"/>
  <c r="BO57" i="17"/>
  <c r="BP57" i="17"/>
  <c r="BQ57" i="17"/>
  <c r="BR57" i="17"/>
  <c r="BS57" i="17"/>
  <c r="BT57" i="17"/>
  <c r="BU57" i="17"/>
  <c r="BV57" i="17"/>
  <c r="BW57" i="17"/>
  <c r="BX57" i="17"/>
  <c r="BY57" i="17"/>
  <c r="BZ57" i="17"/>
  <c r="CA57" i="17"/>
  <c r="CB57" i="17"/>
  <c r="CC57" i="17"/>
  <c r="CD57" i="17"/>
  <c r="CE57" i="17"/>
  <c r="CF57" i="17"/>
  <c r="CG57" i="17"/>
  <c r="CH57" i="17"/>
  <c r="CI57" i="17"/>
  <c r="CJ57" i="17"/>
  <c r="CK57" i="17"/>
  <c r="CL57" i="17"/>
  <c r="CM57" i="17"/>
  <c r="CN57" i="17"/>
  <c r="CO57" i="17"/>
  <c r="CP57" i="17"/>
  <c r="CQ57" i="17"/>
  <c r="CR57" i="17"/>
  <c r="CS57" i="17"/>
  <c r="CT57" i="17"/>
  <c r="CU57" i="17"/>
  <c r="CV57" i="17"/>
  <c r="CW57" i="17"/>
  <c r="CX57" i="17"/>
  <c r="CY57" i="17"/>
  <c r="CZ57" i="17"/>
  <c r="DA57" i="17"/>
  <c r="DB57" i="17"/>
  <c r="DC57" i="17"/>
  <c r="DD57" i="17"/>
  <c r="DE57" i="17"/>
  <c r="DF57" i="17"/>
  <c r="DG57" i="17"/>
  <c r="DH57" i="17"/>
  <c r="DI57" i="17"/>
  <c r="DJ57" i="17"/>
  <c r="DK57" i="17"/>
  <c r="DL57" i="17"/>
  <c r="DM57" i="17"/>
  <c r="DN57" i="17"/>
  <c r="DO57" i="17"/>
  <c r="DP57" i="17"/>
  <c r="DQ57" i="17"/>
  <c r="DR57" i="17"/>
  <c r="DS57" i="17"/>
  <c r="DT57" i="17"/>
  <c r="DU57" i="17"/>
  <c r="DV57" i="17"/>
  <c r="DW57" i="17"/>
  <c r="DX57" i="17"/>
  <c r="DY57" i="17"/>
  <c r="DZ57" i="17"/>
  <c r="EA57" i="17"/>
  <c r="EB57" i="17"/>
  <c r="EC57" i="17"/>
  <c r="ED57" i="17"/>
  <c r="EE57" i="17"/>
  <c r="EF57" i="17"/>
  <c r="EG57" i="17"/>
  <c r="EH57" i="17"/>
  <c r="EI57" i="17"/>
  <c r="EJ57" i="17"/>
  <c r="EK57" i="17"/>
  <c r="EL57" i="17"/>
  <c r="EM57" i="17"/>
  <c r="EN57" i="17"/>
  <c r="EO57" i="17"/>
  <c r="EP57" i="17"/>
  <c r="EQ57" i="17"/>
  <c r="ER57" i="17"/>
  <c r="ES57" i="17"/>
  <c r="ET57" i="17"/>
  <c r="EU57" i="17"/>
  <c r="EV57" i="17"/>
  <c r="EW57" i="17"/>
  <c r="EX57" i="17"/>
  <c r="EY57" i="17"/>
  <c r="EZ57" i="17"/>
  <c r="FA57" i="17"/>
  <c r="FB57" i="17"/>
  <c r="FC57" i="17"/>
  <c r="FD57" i="17"/>
  <c r="FE57" i="17"/>
  <c r="FF57" i="17"/>
  <c r="FG57" i="17"/>
  <c r="FH57" i="17"/>
  <c r="FI57" i="17"/>
  <c r="FJ57" i="17"/>
  <c r="FK57" i="17"/>
  <c r="FL57" i="17"/>
  <c r="FM57" i="17"/>
  <c r="FN57" i="17"/>
  <c r="FO57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AH58" i="17"/>
  <c r="AI58" i="17"/>
  <c r="AJ58" i="17"/>
  <c r="AK58" i="17"/>
  <c r="AL58" i="17"/>
  <c r="AM58" i="17"/>
  <c r="AN58" i="17"/>
  <c r="AO58" i="17"/>
  <c r="AP58" i="17"/>
  <c r="AQ58" i="17"/>
  <c r="AR58" i="17"/>
  <c r="AS58" i="17"/>
  <c r="AT58" i="17"/>
  <c r="AU58" i="17"/>
  <c r="AV58" i="17"/>
  <c r="AW58" i="17"/>
  <c r="AX58" i="17"/>
  <c r="AY58" i="17"/>
  <c r="AZ58" i="17"/>
  <c r="BA58" i="17"/>
  <c r="BB58" i="17"/>
  <c r="BC58" i="17"/>
  <c r="BD58" i="17"/>
  <c r="BE58" i="17"/>
  <c r="BF58" i="17"/>
  <c r="BG58" i="17"/>
  <c r="BH58" i="17"/>
  <c r="BI58" i="17"/>
  <c r="BJ58" i="17"/>
  <c r="BK58" i="17"/>
  <c r="BL58" i="17"/>
  <c r="BM58" i="17"/>
  <c r="BN58" i="17"/>
  <c r="BO58" i="17"/>
  <c r="BP58" i="17"/>
  <c r="BQ58" i="17"/>
  <c r="BR58" i="17"/>
  <c r="BS58" i="17"/>
  <c r="BT58" i="17"/>
  <c r="BU58" i="17"/>
  <c r="BV58" i="17"/>
  <c r="BW58" i="17"/>
  <c r="BX58" i="17"/>
  <c r="BY58" i="17"/>
  <c r="BZ58" i="17"/>
  <c r="CA58" i="17"/>
  <c r="CB58" i="17"/>
  <c r="CC58" i="17"/>
  <c r="CD58" i="17"/>
  <c r="CE58" i="17"/>
  <c r="CF58" i="17"/>
  <c r="CG58" i="17"/>
  <c r="CH58" i="17"/>
  <c r="CI58" i="17"/>
  <c r="CJ58" i="17"/>
  <c r="CK58" i="17"/>
  <c r="CL58" i="17"/>
  <c r="CM58" i="17"/>
  <c r="CN58" i="17"/>
  <c r="CO58" i="17"/>
  <c r="CP58" i="17"/>
  <c r="CQ58" i="17"/>
  <c r="CR58" i="17"/>
  <c r="CS58" i="17"/>
  <c r="CT58" i="17"/>
  <c r="CU58" i="17"/>
  <c r="CV58" i="17"/>
  <c r="CW58" i="17"/>
  <c r="CX58" i="17"/>
  <c r="CY58" i="17"/>
  <c r="CZ58" i="17"/>
  <c r="DA58" i="17"/>
  <c r="DB58" i="17"/>
  <c r="DC58" i="17"/>
  <c r="DD58" i="17"/>
  <c r="DE58" i="17"/>
  <c r="DF58" i="17"/>
  <c r="DG58" i="17"/>
  <c r="DH58" i="17"/>
  <c r="DI58" i="17"/>
  <c r="DJ58" i="17"/>
  <c r="DK58" i="17"/>
  <c r="DL58" i="17"/>
  <c r="DM58" i="17"/>
  <c r="DN58" i="17"/>
  <c r="DO58" i="17"/>
  <c r="DP58" i="17"/>
  <c r="DQ58" i="17"/>
  <c r="DR58" i="17"/>
  <c r="DS58" i="17"/>
  <c r="DT58" i="17"/>
  <c r="DU58" i="17"/>
  <c r="DV58" i="17"/>
  <c r="DW58" i="17"/>
  <c r="DX58" i="17"/>
  <c r="DY58" i="17"/>
  <c r="DZ58" i="17"/>
  <c r="EA58" i="17"/>
  <c r="EB58" i="17"/>
  <c r="EC58" i="17"/>
  <c r="ED58" i="17"/>
  <c r="EE58" i="17"/>
  <c r="EF58" i="17"/>
  <c r="EG58" i="17"/>
  <c r="EH58" i="17"/>
  <c r="EI58" i="17"/>
  <c r="EJ58" i="17"/>
  <c r="EK58" i="17"/>
  <c r="EL58" i="17"/>
  <c r="EM58" i="17"/>
  <c r="EN58" i="17"/>
  <c r="EO58" i="17"/>
  <c r="EP58" i="17"/>
  <c r="EQ58" i="17"/>
  <c r="ER58" i="17"/>
  <c r="ES58" i="17"/>
  <c r="ET58" i="17"/>
  <c r="EU58" i="17"/>
  <c r="EV58" i="17"/>
  <c r="EW58" i="17"/>
  <c r="EX58" i="17"/>
  <c r="EY58" i="17"/>
  <c r="EZ58" i="17"/>
  <c r="FA58" i="17"/>
  <c r="FB58" i="17"/>
  <c r="FC58" i="17"/>
  <c r="FD58" i="17"/>
  <c r="FE58" i="17"/>
  <c r="FF58" i="17"/>
  <c r="FG58" i="17"/>
  <c r="FH58" i="17"/>
  <c r="FI58" i="17"/>
  <c r="FJ58" i="17"/>
  <c r="FK58" i="17"/>
  <c r="FL58" i="17"/>
  <c r="FM58" i="17"/>
  <c r="FN58" i="17"/>
  <c r="FO58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AF59" i="17"/>
  <c r="AG59" i="17"/>
  <c r="AH59" i="17"/>
  <c r="AI59" i="17"/>
  <c r="AJ59" i="17"/>
  <c r="AK59" i="17"/>
  <c r="AL59" i="17"/>
  <c r="AM59" i="17"/>
  <c r="AN59" i="17"/>
  <c r="AO59" i="17"/>
  <c r="AP59" i="17"/>
  <c r="AQ59" i="17"/>
  <c r="AR59" i="17"/>
  <c r="AS59" i="17"/>
  <c r="AT59" i="17"/>
  <c r="AU59" i="17"/>
  <c r="AV59" i="17"/>
  <c r="AW59" i="17"/>
  <c r="AX59" i="17"/>
  <c r="AY59" i="17"/>
  <c r="AZ59" i="17"/>
  <c r="BA59" i="17"/>
  <c r="BB59" i="17"/>
  <c r="BC59" i="17"/>
  <c r="BD59" i="17"/>
  <c r="BE59" i="17"/>
  <c r="BF59" i="17"/>
  <c r="BG59" i="17"/>
  <c r="BH59" i="17"/>
  <c r="BI59" i="17"/>
  <c r="BJ59" i="17"/>
  <c r="BK59" i="17"/>
  <c r="BL59" i="17"/>
  <c r="BM59" i="17"/>
  <c r="BN59" i="17"/>
  <c r="BO59" i="17"/>
  <c r="BP59" i="17"/>
  <c r="BQ59" i="17"/>
  <c r="BR59" i="17"/>
  <c r="BS59" i="17"/>
  <c r="BT59" i="17"/>
  <c r="BU59" i="17"/>
  <c r="BV59" i="17"/>
  <c r="BW59" i="17"/>
  <c r="BX59" i="17"/>
  <c r="BY59" i="17"/>
  <c r="BZ59" i="17"/>
  <c r="CA59" i="17"/>
  <c r="CB59" i="17"/>
  <c r="CC59" i="17"/>
  <c r="CD59" i="17"/>
  <c r="CE59" i="17"/>
  <c r="CF59" i="17"/>
  <c r="CG59" i="17"/>
  <c r="CH59" i="17"/>
  <c r="CI59" i="17"/>
  <c r="CJ59" i="17"/>
  <c r="CK59" i="17"/>
  <c r="CL59" i="17"/>
  <c r="CM59" i="17"/>
  <c r="CN59" i="17"/>
  <c r="CO59" i="17"/>
  <c r="CP59" i="17"/>
  <c r="CQ59" i="17"/>
  <c r="CR59" i="17"/>
  <c r="CS59" i="17"/>
  <c r="CT59" i="17"/>
  <c r="CU59" i="17"/>
  <c r="CV59" i="17"/>
  <c r="CW59" i="17"/>
  <c r="CX59" i="17"/>
  <c r="CY59" i="17"/>
  <c r="CZ59" i="17"/>
  <c r="DA59" i="17"/>
  <c r="DB59" i="17"/>
  <c r="DC59" i="17"/>
  <c r="DD59" i="17"/>
  <c r="DE59" i="17"/>
  <c r="DF59" i="17"/>
  <c r="DG59" i="17"/>
  <c r="DH59" i="17"/>
  <c r="DI59" i="17"/>
  <c r="DJ59" i="17"/>
  <c r="DK59" i="17"/>
  <c r="DL59" i="17"/>
  <c r="DM59" i="17"/>
  <c r="DN59" i="17"/>
  <c r="DO59" i="17"/>
  <c r="DP59" i="17"/>
  <c r="DQ59" i="17"/>
  <c r="DR59" i="17"/>
  <c r="DS59" i="17"/>
  <c r="DT59" i="17"/>
  <c r="DU59" i="17"/>
  <c r="DV59" i="17"/>
  <c r="DW59" i="17"/>
  <c r="DX59" i="17"/>
  <c r="DY59" i="17"/>
  <c r="DZ59" i="17"/>
  <c r="EA59" i="17"/>
  <c r="EB59" i="17"/>
  <c r="EC59" i="17"/>
  <c r="ED59" i="17"/>
  <c r="EE59" i="17"/>
  <c r="EF59" i="17"/>
  <c r="EG59" i="17"/>
  <c r="EH59" i="17"/>
  <c r="EI59" i="17"/>
  <c r="EJ59" i="17"/>
  <c r="EK59" i="17"/>
  <c r="EL59" i="17"/>
  <c r="EM59" i="17"/>
  <c r="EN59" i="17"/>
  <c r="EO59" i="17"/>
  <c r="EP59" i="17"/>
  <c r="EQ59" i="17"/>
  <c r="ER59" i="17"/>
  <c r="ES59" i="17"/>
  <c r="ET59" i="17"/>
  <c r="EU59" i="17"/>
  <c r="EV59" i="17"/>
  <c r="EW59" i="17"/>
  <c r="EX59" i="17"/>
  <c r="EY59" i="17"/>
  <c r="EZ59" i="17"/>
  <c r="FA59" i="17"/>
  <c r="FB59" i="17"/>
  <c r="FC59" i="17"/>
  <c r="FD59" i="17"/>
  <c r="FE59" i="17"/>
  <c r="FF59" i="17"/>
  <c r="FG59" i="17"/>
  <c r="FH59" i="17"/>
  <c r="FI59" i="17"/>
  <c r="FJ59" i="17"/>
  <c r="FK59" i="17"/>
  <c r="FL59" i="17"/>
  <c r="FM59" i="17"/>
  <c r="FN59" i="17"/>
  <c r="FO59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Y60" i="17"/>
  <c r="Z60" i="17"/>
  <c r="AA60" i="17"/>
  <c r="AB60" i="17"/>
  <c r="AC60" i="17"/>
  <c r="AD60" i="17"/>
  <c r="AE60" i="17"/>
  <c r="AF60" i="17"/>
  <c r="AG60" i="17"/>
  <c r="AH60" i="17"/>
  <c r="AI60" i="17"/>
  <c r="AJ60" i="17"/>
  <c r="AK60" i="17"/>
  <c r="AL60" i="17"/>
  <c r="AM60" i="17"/>
  <c r="AN60" i="17"/>
  <c r="AO60" i="17"/>
  <c r="AP60" i="17"/>
  <c r="AQ60" i="17"/>
  <c r="AR60" i="17"/>
  <c r="AS60" i="17"/>
  <c r="AT60" i="17"/>
  <c r="AU60" i="17"/>
  <c r="AV60" i="17"/>
  <c r="AW60" i="17"/>
  <c r="AX60" i="17"/>
  <c r="AY60" i="17"/>
  <c r="AZ60" i="17"/>
  <c r="BA60" i="17"/>
  <c r="BB60" i="17"/>
  <c r="BC60" i="17"/>
  <c r="BD60" i="17"/>
  <c r="BE60" i="17"/>
  <c r="BF60" i="17"/>
  <c r="BG60" i="17"/>
  <c r="BH60" i="17"/>
  <c r="BI60" i="17"/>
  <c r="BJ60" i="17"/>
  <c r="BK60" i="17"/>
  <c r="BL60" i="17"/>
  <c r="BM60" i="17"/>
  <c r="BN60" i="17"/>
  <c r="BO60" i="17"/>
  <c r="BP60" i="17"/>
  <c r="BQ60" i="17"/>
  <c r="BR60" i="17"/>
  <c r="BS60" i="17"/>
  <c r="BT60" i="17"/>
  <c r="BU60" i="17"/>
  <c r="BV60" i="17"/>
  <c r="BW60" i="17"/>
  <c r="BX60" i="17"/>
  <c r="BY60" i="17"/>
  <c r="BZ60" i="17"/>
  <c r="CA60" i="17"/>
  <c r="CB60" i="17"/>
  <c r="CC60" i="17"/>
  <c r="CD60" i="17"/>
  <c r="CE60" i="17"/>
  <c r="CF60" i="17"/>
  <c r="CG60" i="17"/>
  <c r="CH60" i="17"/>
  <c r="CI60" i="17"/>
  <c r="CJ60" i="17"/>
  <c r="CK60" i="17"/>
  <c r="CL60" i="17"/>
  <c r="CM60" i="17"/>
  <c r="CN60" i="17"/>
  <c r="CO60" i="17"/>
  <c r="CP60" i="17"/>
  <c r="CQ60" i="17"/>
  <c r="CR60" i="17"/>
  <c r="CS60" i="17"/>
  <c r="CT60" i="17"/>
  <c r="CU60" i="17"/>
  <c r="CV60" i="17"/>
  <c r="CW60" i="17"/>
  <c r="CX60" i="17"/>
  <c r="CY60" i="17"/>
  <c r="CZ60" i="17"/>
  <c r="DA60" i="17"/>
  <c r="DB60" i="17"/>
  <c r="DC60" i="17"/>
  <c r="DD60" i="17"/>
  <c r="DE60" i="17"/>
  <c r="DF60" i="17"/>
  <c r="DG60" i="17"/>
  <c r="DH60" i="17"/>
  <c r="DI60" i="17"/>
  <c r="DJ60" i="17"/>
  <c r="DK60" i="17"/>
  <c r="DL60" i="17"/>
  <c r="DM60" i="17"/>
  <c r="DN60" i="17"/>
  <c r="DO60" i="17"/>
  <c r="DP60" i="17"/>
  <c r="DQ60" i="17"/>
  <c r="DR60" i="17"/>
  <c r="DS60" i="17"/>
  <c r="DT60" i="17"/>
  <c r="DU60" i="17"/>
  <c r="DV60" i="17"/>
  <c r="DW60" i="17"/>
  <c r="DX60" i="17"/>
  <c r="DY60" i="17"/>
  <c r="DZ60" i="17"/>
  <c r="EA60" i="17"/>
  <c r="EB60" i="17"/>
  <c r="EC60" i="17"/>
  <c r="ED60" i="17"/>
  <c r="EE60" i="17"/>
  <c r="EF60" i="17"/>
  <c r="EG60" i="17"/>
  <c r="EH60" i="17"/>
  <c r="EI60" i="17"/>
  <c r="EJ60" i="17"/>
  <c r="EK60" i="17"/>
  <c r="EL60" i="17"/>
  <c r="EM60" i="17"/>
  <c r="EN60" i="17"/>
  <c r="EO60" i="17"/>
  <c r="EP60" i="17"/>
  <c r="EQ60" i="17"/>
  <c r="ER60" i="17"/>
  <c r="ES60" i="17"/>
  <c r="ET60" i="17"/>
  <c r="EU60" i="17"/>
  <c r="EV60" i="17"/>
  <c r="EW60" i="17"/>
  <c r="EX60" i="17"/>
  <c r="EY60" i="17"/>
  <c r="EZ60" i="17"/>
  <c r="FA60" i="17"/>
  <c r="FB60" i="17"/>
  <c r="FC60" i="17"/>
  <c r="FD60" i="17"/>
  <c r="FE60" i="17"/>
  <c r="FF60" i="17"/>
  <c r="FG60" i="17"/>
  <c r="FH60" i="17"/>
  <c r="FI60" i="17"/>
  <c r="FJ60" i="17"/>
  <c r="FK60" i="17"/>
  <c r="FL60" i="17"/>
  <c r="FM60" i="17"/>
  <c r="FN60" i="17"/>
  <c r="FO60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G61" i="17"/>
  <c r="BH61" i="17"/>
  <c r="BI61" i="17"/>
  <c r="BJ61" i="17"/>
  <c r="BK61" i="17"/>
  <c r="BL61" i="17"/>
  <c r="BM61" i="17"/>
  <c r="BN61" i="17"/>
  <c r="BO61" i="17"/>
  <c r="BP61" i="17"/>
  <c r="BQ61" i="17"/>
  <c r="BR61" i="17"/>
  <c r="BS61" i="17"/>
  <c r="BT61" i="17"/>
  <c r="BU61" i="17"/>
  <c r="BV61" i="17"/>
  <c r="BW61" i="17"/>
  <c r="BX61" i="17"/>
  <c r="BY61" i="17"/>
  <c r="BZ61" i="17"/>
  <c r="CA61" i="17"/>
  <c r="CB61" i="17"/>
  <c r="CC61" i="17"/>
  <c r="CD61" i="17"/>
  <c r="CE61" i="17"/>
  <c r="CF61" i="17"/>
  <c r="CG61" i="17"/>
  <c r="CH61" i="17"/>
  <c r="CI61" i="17"/>
  <c r="CJ61" i="17"/>
  <c r="CK61" i="17"/>
  <c r="CL61" i="17"/>
  <c r="CM61" i="17"/>
  <c r="CN61" i="17"/>
  <c r="CO61" i="17"/>
  <c r="CP61" i="17"/>
  <c r="CQ61" i="17"/>
  <c r="CR61" i="17"/>
  <c r="CS61" i="17"/>
  <c r="CT61" i="17"/>
  <c r="CU61" i="17"/>
  <c r="CV61" i="17"/>
  <c r="CW61" i="17"/>
  <c r="CX61" i="17"/>
  <c r="CY61" i="17"/>
  <c r="CZ61" i="17"/>
  <c r="DA61" i="17"/>
  <c r="DB61" i="17"/>
  <c r="DC61" i="17"/>
  <c r="DD61" i="17"/>
  <c r="DE61" i="17"/>
  <c r="DF61" i="17"/>
  <c r="DG61" i="17"/>
  <c r="DH61" i="17"/>
  <c r="DI61" i="17"/>
  <c r="DJ61" i="17"/>
  <c r="DK61" i="17"/>
  <c r="DL61" i="17"/>
  <c r="DM61" i="17"/>
  <c r="DN61" i="17"/>
  <c r="DO61" i="17"/>
  <c r="DP61" i="17"/>
  <c r="DQ61" i="17"/>
  <c r="DR61" i="17"/>
  <c r="DS61" i="17"/>
  <c r="DT61" i="17"/>
  <c r="DU61" i="17"/>
  <c r="DV61" i="17"/>
  <c r="DW61" i="17"/>
  <c r="DX61" i="17"/>
  <c r="DY61" i="17"/>
  <c r="DZ61" i="17"/>
  <c r="EA61" i="17"/>
  <c r="EB61" i="17"/>
  <c r="EC61" i="17"/>
  <c r="ED61" i="17"/>
  <c r="EE61" i="17"/>
  <c r="EF61" i="17"/>
  <c r="EG61" i="17"/>
  <c r="EH61" i="17"/>
  <c r="EI61" i="17"/>
  <c r="EJ61" i="17"/>
  <c r="EK61" i="17"/>
  <c r="EL61" i="17"/>
  <c r="EM61" i="17"/>
  <c r="EN61" i="17"/>
  <c r="EO61" i="17"/>
  <c r="EP61" i="17"/>
  <c r="EQ61" i="17"/>
  <c r="ER61" i="17"/>
  <c r="ES61" i="17"/>
  <c r="ET61" i="17"/>
  <c r="EU61" i="17"/>
  <c r="EV61" i="17"/>
  <c r="EW61" i="17"/>
  <c r="EX61" i="17"/>
  <c r="EY61" i="17"/>
  <c r="EZ61" i="17"/>
  <c r="FA61" i="17"/>
  <c r="FB61" i="17"/>
  <c r="FC61" i="17"/>
  <c r="FD61" i="17"/>
  <c r="FE61" i="17"/>
  <c r="FF61" i="17"/>
  <c r="FG61" i="17"/>
  <c r="FH61" i="17"/>
  <c r="FI61" i="17"/>
  <c r="FJ61" i="17"/>
  <c r="FK61" i="17"/>
  <c r="FL61" i="17"/>
  <c r="FM61" i="17"/>
  <c r="FN61" i="17"/>
  <c r="FO61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G62" i="17"/>
  <c r="BH62" i="17"/>
  <c r="BI62" i="17"/>
  <c r="BJ62" i="17"/>
  <c r="BK62" i="17"/>
  <c r="BL62" i="17"/>
  <c r="BM62" i="17"/>
  <c r="BN62" i="17"/>
  <c r="BO62" i="17"/>
  <c r="BP62" i="17"/>
  <c r="BQ62" i="17"/>
  <c r="BR62" i="17"/>
  <c r="BS62" i="17"/>
  <c r="BT62" i="17"/>
  <c r="BU62" i="17"/>
  <c r="BV62" i="17"/>
  <c r="BW62" i="17"/>
  <c r="BX62" i="17"/>
  <c r="BY62" i="17"/>
  <c r="BZ62" i="17"/>
  <c r="CA62" i="17"/>
  <c r="CB62" i="17"/>
  <c r="CC62" i="17"/>
  <c r="CD62" i="17"/>
  <c r="CE62" i="17"/>
  <c r="CF62" i="17"/>
  <c r="CG62" i="17"/>
  <c r="CH62" i="17"/>
  <c r="CI62" i="17"/>
  <c r="CJ62" i="17"/>
  <c r="CK62" i="17"/>
  <c r="CL62" i="17"/>
  <c r="CM62" i="17"/>
  <c r="CN62" i="17"/>
  <c r="CO62" i="17"/>
  <c r="CP62" i="17"/>
  <c r="CQ62" i="17"/>
  <c r="CR62" i="17"/>
  <c r="CS62" i="17"/>
  <c r="CT62" i="17"/>
  <c r="CU62" i="17"/>
  <c r="CV62" i="17"/>
  <c r="CW62" i="17"/>
  <c r="CX62" i="17"/>
  <c r="CY62" i="17"/>
  <c r="CZ62" i="17"/>
  <c r="DA62" i="17"/>
  <c r="DB62" i="17"/>
  <c r="DC62" i="17"/>
  <c r="DD62" i="17"/>
  <c r="DE62" i="17"/>
  <c r="DF62" i="17"/>
  <c r="DG62" i="17"/>
  <c r="DH62" i="17"/>
  <c r="DI62" i="17"/>
  <c r="DJ62" i="17"/>
  <c r="DK62" i="17"/>
  <c r="DL62" i="17"/>
  <c r="DM62" i="17"/>
  <c r="DN62" i="17"/>
  <c r="DO62" i="17"/>
  <c r="DP62" i="17"/>
  <c r="DQ62" i="17"/>
  <c r="DR62" i="17"/>
  <c r="DS62" i="17"/>
  <c r="DT62" i="17"/>
  <c r="DU62" i="17"/>
  <c r="DV62" i="17"/>
  <c r="DW62" i="17"/>
  <c r="DX62" i="17"/>
  <c r="DY62" i="17"/>
  <c r="DZ62" i="17"/>
  <c r="EA62" i="17"/>
  <c r="EB62" i="17"/>
  <c r="EC62" i="17"/>
  <c r="ED62" i="17"/>
  <c r="EE62" i="17"/>
  <c r="EF62" i="17"/>
  <c r="EG62" i="17"/>
  <c r="EH62" i="17"/>
  <c r="EI62" i="17"/>
  <c r="EJ62" i="17"/>
  <c r="EK62" i="17"/>
  <c r="EL62" i="17"/>
  <c r="EM62" i="17"/>
  <c r="EN62" i="17"/>
  <c r="EO62" i="17"/>
  <c r="EP62" i="17"/>
  <c r="EQ62" i="17"/>
  <c r="ER62" i="17"/>
  <c r="ES62" i="17"/>
  <c r="ET62" i="17"/>
  <c r="EU62" i="17"/>
  <c r="EV62" i="17"/>
  <c r="EW62" i="17"/>
  <c r="EX62" i="17"/>
  <c r="EY62" i="17"/>
  <c r="EZ62" i="17"/>
  <c r="FA62" i="17"/>
  <c r="FB62" i="17"/>
  <c r="FC62" i="17"/>
  <c r="FD62" i="17"/>
  <c r="FE62" i="17"/>
  <c r="FF62" i="17"/>
  <c r="FG62" i="17"/>
  <c r="FH62" i="17"/>
  <c r="FI62" i="17"/>
  <c r="FJ62" i="17"/>
  <c r="FK62" i="17"/>
  <c r="FL62" i="17"/>
  <c r="FM62" i="17"/>
  <c r="FN62" i="17"/>
  <c r="FO62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G63" i="17"/>
  <c r="BH63" i="17"/>
  <c r="BI63" i="17"/>
  <c r="BJ63" i="17"/>
  <c r="BK63" i="17"/>
  <c r="BL63" i="17"/>
  <c r="BM63" i="17"/>
  <c r="BN63" i="17"/>
  <c r="BO63" i="17"/>
  <c r="BP63" i="17"/>
  <c r="BQ63" i="17"/>
  <c r="BR63" i="17"/>
  <c r="BS63" i="17"/>
  <c r="BT63" i="17"/>
  <c r="BU63" i="17"/>
  <c r="BV63" i="17"/>
  <c r="BW63" i="17"/>
  <c r="BX63" i="17"/>
  <c r="BY63" i="17"/>
  <c r="BZ63" i="17"/>
  <c r="CA63" i="17"/>
  <c r="CB63" i="17"/>
  <c r="CC63" i="17"/>
  <c r="CD63" i="17"/>
  <c r="CE63" i="17"/>
  <c r="CF63" i="17"/>
  <c r="CG63" i="17"/>
  <c r="CH63" i="17"/>
  <c r="CI63" i="17"/>
  <c r="CJ63" i="17"/>
  <c r="CK63" i="17"/>
  <c r="CL63" i="17"/>
  <c r="CM63" i="17"/>
  <c r="CN63" i="17"/>
  <c r="CO63" i="17"/>
  <c r="CP63" i="17"/>
  <c r="CQ63" i="17"/>
  <c r="CR63" i="17"/>
  <c r="CS63" i="17"/>
  <c r="CT63" i="17"/>
  <c r="CU63" i="17"/>
  <c r="CV63" i="17"/>
  <c r="CW63" i="17"/>
  <c r="CX63" i="17"/>
  <c r="CY63" i="17"/>
  <c r="CZ63" i="17"/>
  <c r="DA63" i="17"/>
  <c r="DB63" i="17"/>
  <c r="DC63" i="17"/>
  <c r="DD63" i="17"/>
  <c r="DE63" i="17"/>
  <c r="DF63" i="17"/>
  <c r="DG63" i="17"/>
  <c r="DH63" i="17"/>
  <c r="DI63" i="17"/>
  <c r="DJ63" i="17"/>
  <c r="DK63" i="17"/>
  <c r="DL63" i="17"/>
  <c r="DM63" i="17"/>
  <c r="DN63" i="17"/>
  <c r="DO63" i="17"/>
  <c r="DP63" i="17"/>
  <c r="DQ63" i="17"/>
  <c r="DR63" i="17"/>
  <c r="DS63" i="17"/>
  <c r="DT63" i="17"/>
  <c r="DU63" i="17"/>
  <c r="DV63" i="17"/>
  <c r="DW63" i="17"/>
  <c r="DX63" i="17"/>
  <c r="DY63" i="17"/>
  <c r="DZ63" i="17"/>
  <c r="EA63" i="17"/>
  <c r="EB63" i="17"/>
  <c r="EC63" i="17"/>
  <c r="ED63" i="17"/>
  <c r="EE63" i="17"/>
  <c r="EF63" i="17"/>
  <c r="EG63" i="17"/>
  <c r="EH63" i="17"/>
  <c r="EI63" i="17"/>
  <c r="EJ63" i="17"/>
  <c r="EK63" i="17"/>
  <c r="EL63" i="17"/>
  <c r="EM63" i="17"/>
  <c r="EN63" i="17"/>
  <c r="EO63" i="17"/>
  <c r="EP63" i="17"/>
  <c r="EQ63" i="17"/>
  <c r="ER63" i="17"/>
  <c r="ES63" i="17"/>
  <c r="ET63" i="17"/>
  <c r="EU63" i="17"/>
  <c r="EV63" i="17"/>
  <c r="EW63" i="17"/>
  <c r="EX63" i="17"/>
  <c r="EY63" i="17"/>
  <c r="EZ63" i="17"/>
  <c r="FA63" i="17"/>
  <c r="FB63" i="17"/>
  <c r="FC63" i="17"/>
  <c r="FD63" i="17"/>
  <c r="FE63" i="17"/>
  <c r="FF63" i="17"/>
  <c r="FG63" i="17"/>
  <c r="FH63" i="17"/>
  <c r="FI63" i="17"/>
  <c r="FJ63" i="17"/>
  <c r="FK63" i="17"/>
  <c r="FL63" i="17"/>
  <c r="FM63" i="17"/>
  <c r="FN63" i="17"/>
  <c r="FO63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G64" i="17"/>
  <c r="BH64" i="17"/>
  <c r="BI64" i="17"/>
  <c r="BJ64" i="17"/>
  <c r="BK64" i="17"/>
  <c r="BL64" i="17"/>
  <c r="BM64" i="17"/>
  <c r="BN64" i="17"/>
  <c r="BO64" i="17"/>
  <c r="BP64" i="17"/>
  <c r="BQ64" i="17"/>
  <c r="BR64" i="17"/>
  <c r="BS64" i="17"/>
  <c r="BT64" i="17"/>
  <c r="BU64" i="17"/>
  <c r="BV64" i="17"/>
  <c r="BW64" i="17"/>
  <c r="BX64" i="17"/>
  <c r="BY64" i="17"/>
  <c r="BZ64" i="17"/>
  <c r="CA64" i="17"/>
  <c r="CB64" i="17"/>
  <c r="CC64" i="17"/>
  <c r="CD64" i="17"/>
  <c r="CE64" i="17"/>
  <c r="CF64" i="17"/>
  <c r="CG64" i="17"/>
  <c r="CH64" i="17"/>
  <c r="CI64" i="17"/>
  <c r="CJ64" i="17"/>
  <c r="CK64" i="17"/>
  <c r="CL64" i="17"/>
  <c r="CM64" i="17"/>
  <c r="CN64" i="17"/>
  <c r="CO64" i="17"/>
  <c r="CP64" i="17"/>
  <c r="CQ64" i="17"/>
  <c r="CR64" i="17"/>
  <c r="CS64" i="17"/>
  <c r="CT64" i="17"/>
  <c r="CU64" i="17"/>
  <c r="CV64" i="17"/>
  <c r="CW64" i="17"/>
  <c r="CX64" i="17"/>
  <c r="CY64" i="17"/>
  <c r="CZ64" i="17"/>
  <c r="DA64" i="17"/>
  <c r="DB64" i="17"/>
  <c r="DC64" i="17"/>
  <c r="DD64" i="17"/>
  <c r="DE64" i="17"/>
  <c r="DF64" i="17"/>
  <c r="DG64" i="17"/>
  <c r="DH64" i="17"/>
  <c r="DI64" i="17"/>
  <c r="DJ64" i="17"/>
  <c r="DK64" i="17"/>
  <c r="DL64" i="17"/>
  <c r="DM64" i="17"/>
  <c r="DN64" i="17"/>
  <c r="DO64" i="17"/>
  <c r="DP64" i="17"/>
  <c r="DQ64" i="17"/>
  <c r="DR64" i="17"/>
  <c r="DS64" i="17"/>
  <c r="DT64" i="17"/>
  <c r="DU64" i="17"/>
  <c r="DV64" i="17"/>
  <c r="DW64" i="17"/>
  <c r="DX64" i="17"/>
  <c r="DY64" i="17"/>
  <c r="DZ64" i="17"/>
  <c r="EA64" i="17"/>
  <c r="EB64" i="17"/>
  <c r="EC64" i="17"/>
  <c r="ED64" i="17"/>
  <c r="EE64" i="17"/>
  <c r="EF64" i="17"/>
  <c r="EG64" i="17"/>
  <c r="EH64" i="17"/>
  <c r="EI64" i="17"/>
  <c r="EJ64" i="17"/>
  <c r="EK64" i="17"/>
  <c r="EL64" i="17"/>
  <c r="EM64" i="17"/>
  <c r="EN64" i="17"/>
  <c r="EO64" i="17"/>
  <c r="EP64" i="17"/>
  <c r="EQ64" i="17"/>
  <c r="ER64" i="17"/>
  <c r="ES64" i="17"/>
  <c r="ET64" i="17"/>
  <c r="EU64" i="17"/>
  <c r="EV64" i="17"/>
  <c r="EW64" i="17"/>
  <c r="EX64" i="17"/>
  <c r="EY64" i="17"/>
  <c r="EZ64" i="17"/>
  <c r="FA64" i="17"/>
  <c r="FB64" i="17"/>
  <c r="FC64" i="17"/>
  <c r="FD64" i="17"/>
  <c r="FE64" i="17"/>
  <c r="FF64" i="17"/>
  <c r="FG64" i="17"/>
  <c r="FH64" i="17"/>
  <c r="FI64" i="17"/>
  <c r="FJ64" i="17"/>
  <c r="FK64" i="17"/>
  <c r="FL64" i="17"/>
  <c r="FM64" i="17"/>
  <c r="FN64" i="17"/>
  <c r="FO64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G65" i="17"/>
  <c r="BH65" i="17"/>
  <c r="BI65" i="17"/>
  <c r="BJ65" i="17"/>
  <c r="BK65" i="17"/>
  <c r="BL65" i="17"/>
  <c r="BM65" i="17"/>
  <c r="BN65" i="17"/>
  <c r="BO65" i="17"/>
  <c r="BP65" i="17"/>
  <c r="BQ65" i="17"/>
  <c r="BR65" i="17"/>
  <c r="BS65" i="17"/>
  <c r="BT65" i="17"/>
  <c r="BU65" i="17"/>
  <c r="BV65" i="17"/>
  <c r="BW65" i="17"/>
  <c r="BX65" i="17"/>
  <c r="BY65" i="17"/>
  <c r="BZ65" i="17"/>
  <c r="CA65" i="17"/>
  <c r="CB65" i="17"/>
  <c r="CC65" i="17"/>
  <c r="CD65" i="17"/>
  <c r="CE65" i="17"/>
  <c r="CF65" i="17"/>
  <c r="CG65" i="17"/>
  <c r="CH65" i="17"/>
  <c r="CI65" i="17"/>
  <c r="CJ65" i="17"/>
  <c r="CK65" i="17"/>
  <c r="CL65" i="17"/>
  <c r="CM65" i="17"/>
  <c r="CN65" i="17"/>
  <c r="CO65" i="17"/>
  <c r="CP65" i="17"/>
  <c r="CQ65" i="17"/>
  <c r="CR65" i="17"/>
  <c r="CS65" i="17"/>
  <c r="CT65" i="17"/>
  <c r="CU65" i="17"/>
  <c r="CV65" i="17"/>
  <c r="CW65" i="17"/>
  <c r="CX65" i="17"/>
  <c r="CY65" i="17"/>
  <c r="CZ65" i="17"/>
  <c r="DA65" i="17"/>
  <c r="DB65" i="17"/>
  <c r="DC65" i="17"/>
  <c r="DD65" i="17"/>
  <c r="DE65" i="17"/>
  <c r="DF65" i="17"/>
  <c r="DG65" i="17"/>
  <c r="DH65" i="17"/>
  <c r="DI65" i="17"/>
  <c r="DJ65" i="17"/>
  <c r="DK65" i="17"/>
  <c r="DL65" i="17"/>
  <c r="DM65" i="17"/>
  <c r="DN65" i="17"/>
  <c r="DO65" i="17"/>
  <c r="DP65" i="17"/>
  <c r="DQ65" i="17"/>
  <c r="DR65" i="17"/>
  <c r="DS65" i="17"/>
  <c r="DT65" i="17"/>
  <c r="DU65" i="17"/>
  <c r="DV65" i="17"/>
  <c r="DW65" i="17"/>
  <c r="DX65" i="17"/>
  <c r="DY65" i="17"/>
  <c r="DZ65" i="17"/>
  <c r="EA65" i="17"/>
  <c r="EB65" i="17"/>
  <c r="EC65" i="17"/>
  <c r="ED65" i="17"/>
  <c r="EE65" i="17"/>
  <c r="EF65" i="17"/>
  <c r="EG65" i="17"/>
  <c r="EH65" i="17"/>
  <c r="EI65" i="17"/>
  <c r="EJ65" i="17"/>
  <c r="EK65" i="17"/>
  <c r="EL65" i="17"/>
  <c r="EM65" i="17"/>
  <c r="EN65" i="17"/>
  <c r="EO65" i="17"/>
  <c r="EP65" i="17"/>
  <c r="EQ65" i="17"/>
  <c r="ER65" i="17"/>
  <c r="ES65" i="17"/>
  <c r="ET65" i="17"/>
  <c r="EU65" i="17"/>
  <c r="EV65" i="17"/>
  <c r="EW65" i="17"/>
  <c r="EX65" i="17"/>
  <c r="EY65" i="17"/>
  <c r="EZ65" i="17"/>
  <c r="FA65" i="17"/>
  <c r="FB65" i="17"/>
  <c r="FC65" i="17"/>
  <c r="FD65" i="17"/>
  <c r="FE65" i="17"/>
  <c r="FF65" i="17"/>
  <c r="FG65" i="17"/>
  <c r="FH65" i="17"/>
  <c r="FI65" i="17"/>
  <c r="FJ65" i="17"/>
  <c r="FK65" i="17"/>
  <c r="FL65" i="17"/>
  <c r="FM65" i="17"/>
  <c r="FN65" i="17"/>
  <c r="FO65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G66" i="17"/>
  <c r="BH66" i="17"/>
  <c r="BI66" i="17"/>
  <c r="BJ66" i="17"/>
  <c r="BK66" i="17"/>
  <c r="BL66" i="17"/>
  <c r="BM66" i="17"/>
  <c r="BN66" i="17"/>
  <c r="BO66" i="17"/>
  <c r="BP66" i="17"/>
  <c r="BQ66" i="17"/>
  <c r="BR66" i="17"/>
  <c r="BS66" i="17"/>
  <c r="BT66" i="17"/>
  <c r="BU66" i="17"/>
  <c r="BV66" i="17"/>
  <c r="BW66" i="17"/>
  <c r="BX66" i="17"/>
  <c r="BY66" i="17"/>
  <c r="BZ66" i="17"/>
  <c r="CA66" i="17"/>
  <c r="CB66" i="17"/>
  <c r="CC66" i="17"/>
  <c r="CD66" i="17"/>
  <c r="CE66" i="17"/>
  <c r="CF66" i="17"/>
  <c r="CG66" i="17"/>
  <c r="CH66" i="17"/>
  <c r="CI66" i="17"/>
  <c r="CJ66" i="17"/>
  <c r="CK66" i="17"/>
  <c r="CL66" i="17"/>
  <c r="CM66" i="17"/>
  <c r="CN66" i="17"/>
  <c r="CO66" i="17"/>
  <c r="CP66" i="17"/>
  <c r="CQ66" i="17"/>
  <c r="CR66" i="17"/>
  <c r="CS66" i="17"/>
  <c r="CT66" i="17"/>
  <c r="CU66" i="17"/>
  <c r="CV66" i="17"/>
  <c r="CW66" i="17"/>
  <c r="CX66" i="17"/>
  <c r="CY66" i="17"/>
  <c r="CZ66" i="17"/>
  <c r="DA66" i="17"/>
  <c r="DB66" i="17"/>
  <c r="DC66" i="17"/>
  <c r="DD66" i="17"/>
  <c r="DE66" i="17"/>
  <c r="DF66" i="17"/>
  <c r="DG66" i="17"/>
  <c r="DH66" i="17"/>
  <c r="DI66" i="17"/>
  <c r="DJ66" i="17"/>
  <c r="DK66" i="17"/>
  <c r="DL66" i="17"/>
  <c r="DM66" i="17"/>
  <c r="DN66" i="17"/>
  <c r="DO66" i="17"/>
  <c r="DP66" i="17"/>
  <c r="DQ66" i="17"/>
  <c r="DR66" i="17"/>
  <c r="DS66" i="17"/>
  <c r="DT66" i="17"/>
  <c r="DU66" i="17"/>
  <c r="DV66" i="17"/>
  <c r="DW66" i="17"/>
  <c r="DX66" i="17"/>
  <c r="DY66" i="17"/>
  <c r="DZ66" i="17"/>
  <c r="EA66" i="17"/>
  <c r="EB66" i="17"/>
  <c r="EC66" i="17"/>
  <c r="ED66" i="17"/>
  <c r="EE66" i="17"/>
  <c r="EF66" i="17"/>
  <c r="EG66" i="17"/>
  <c r="EH66" i="17"/>
  <c r="EI66" i="17"/>
  <c r="EJ66" i="17"/>
  <c r="EK66" i="17"/>
  <c r="EL66" i="17"/>
  <c r="EM66" i="17"/>
  <c r="EN66" i="17"/>
  <c r="EO66" i="17"/>
  <c r="EP66" i="17"/>
  <c r="EQ66" i="17"/>
  <c r="ER66" i="17"/>
  <c r="ES66" i="17"/>
  <c r="ET66" i="17"/>
  <c r="EU66" i="17"/>
  <c r="EV66" i="17"/>
  <c r="EW66" i="17"/>
  <c r="EX66" i="17"/>
  <c r="EY66" i="17"/>
  <c r="EZ66" i="17"/>
  <c r="FA66" i="17"/>
  <c r="FB66" i="17"/>
  <c r="FC66" i="17"/>
  <c r="FD66" i="17"/>
  <c r="FE66" i="17"/>
  <c r="FF66" i="17"/>
  <c r="FG66" i="17"/>
  <c r="FH66" i="17"/>
  <c r="FI66" i="17"/>
  <c r="FJ66" i="17"/>
  <c r="FK66" i="17"/>
  <c r="FL66" i="17"/>
  <c r="FM66" i="17"/>
  <c r="FN66" i="17"/>
  <c r="FO66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G67" i="17"/>
  <c r="BH67" i="17"/>
  <c r="BI67" i="17"/>
  <c r="BJ67" i="17"/>
  <c r="BK67" i="17"/>
  <c r="BL67" i="17"/>
  <c r="BM67" i="17"/>
  <c r="BN67" i="17"/>
  <c r="BO67" i="17"/>
  <c r="BP67" i="17"/>
  <c r="BQ67" i="17"/>
  <c r="BR67" i="17"/>
  <c r="BS67" i="17"/>
  <c r="BT67" i="17"/>
  <c r="BU67" i="17"/>
  <c r="BV67" i="17"/>
  <c r="BW67" i="17"/>
  <c r="BX67" i="17"/>
  <c r="BY67" i="17"/>
  <c r="BZ67" i="17"/>
  <c r="CA67" i="17"/>
  <c r="CB67" i="17"/>
  <c r="CC67" i="17"/>
  <c r="CD67" i="17"/>
  <c r="CE67" i="17"/>
  <c r="CF67" i="17"/>
  <c r="CG67" i="17"/>
  <c r="CH67" i="17"/>
  <c r="CI67" i="17"/>
  <c r="CJ67" i="17"/>
  <c r="CK67" i="17"/>
  <c r="CL67" i="17"/>
  <c r="CM67" i="17"/>
  <c r="CN67" i="17"/>
  <c r="CO67" i="17"/>
  <c r="CP67" i="17"/>
  <c r="CQ67" i="17"/>
  <c r="CR67" i="17"/>
  <c r="CS67" i="17"/>
  <c r="CT67" i="17"/>
  <c r="CU67" i="17"/>
  <c r="CV67" i="17"/>
  <c r="CW67" i="17"/>
  <c r="CX67" i="17"/>
  <c r="CY67" i="17"/>
  <c r="CZ67" i="17"/>
  <c r="DA67" i="17"/>
  <c r="DB67" i="17"/>
  <c r="DC67" i="17"/>
  <c r="DD67" i="17"/>
  <c r="DE67" i="17"/>
  <c r="DF67" i="17"/>
  <c r="DG67" i="17"/>
  <c r="DH67" i="17"/>
  <c r="DI67" i="17"/>
  <c r="DJ67" i="17"/>
  <c r="DK67" i="17"/>
  <c r="DL67" i="17"/>
  <c r="DM67" i="17"/>
  <c r="DN67" i="17"/>
  <c r="DO67" i="17"/>
  <c r="DP67" i="17"/>
  <c r="DQ67" i="17"/>
  <c r="DR67" i="17"/>
  <c r="DS67" i="17"/>
  <c r="DT67" i="17"/>
  <c r="DU67" i="17"/>
  <c r="DV67" i="17"/>
  <c r="DW67" i="17"/>
  <c r="DX67" i="17"/>
  <c r="DY67" i="17"/>
  <c r="DZ67" i="17"/>
  <c r="EA67" i="17"/>
  <c r="EB67" i="17"/>
  <c r="EC67" i="17"/>
  <c r="ED67" i="17"/>
  <c r="EE67" i="17"/>
  <c r="EF67" i="17"/>
  <c r="EG67" i="17"/>
  <c r="EH67" i="17"/>
  <c r="EI67" i="17"/>
  <c r="EJ67" i="17"/>
  <c r="EK67" i="17"/>
  <c r="EL67" i="17"/>
  <c r="EM67" i="17"/>
  <c r="EN67" i="17"/>
  <c r="EO67" i="17"/>
  <c r="EP67" i="17"/>
  <c r="EQ67" i="17"/>
  <c r="ER67" i="17"/>
  <c r="ES67" i="17"/>
  <c r="ET67" i="17"/>
  <c r="EU67" i="17"/>
  <c r="EV67" i="17"/>
  <c r="EW67" i="17"/>
  <c r="EX67" i="17"/>
  <c r="EY67" i="17"/>
  <c r="EZ67" i="17"/>
  <c r="FA67" i="17"/>
  <c r="FB67" i="17"/>
  <c r="FC67" i="17"/>
  <c r="FD67" i="17"/>
  <c r="FE67" i="17"/>
  <c r="FF67" i="17"/>
  <c r="FG67" i="17"/>
  <c r="FH67" i="17"/>
  <c r="FI67" i="17"/>
  <c r="FJ67" i="17"/>
  <c r="FK67" i="17"/>
  <c r="FL67" i="17"/>
  <c r="FM67" i="17"/>
  <c r="FN67" i="17"/>
  <c r="FO67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AW68" i="17"/>
  <c r="AX68" i="17"/>
  <c r="AY68" i="17"/>
  <c r="AZ68" i="17"/>
  <c r="BA68" i="17"/>
  <c r="BB68" i="17"/>
  <c r="BC68" i="17"/>
  <c r="BD68" i="17"/>
  <c r="BE68" i="17"/>
  <c r="BF68" i="17"/>
  <c r="BG68" i="17"/>
  <c r="BH68" i="17"/>
  <c r="BI68" i="17"/>
  <c r="BJ68" i="17"/>
  <c r="BK68" i="17"/>
  <c r="BL68" i="17"/>
  <c r="BM68" i="17"/>
  <c r="BN68" i="17"/>
  <c r="BO68" i="17"/>
  <c r="BP68" i="17"/>
  <c r="BQ68" i="17"/>
  <c r="BR68" i="17"/>
  <c r="BS68" i="17"/>
  <c r="BT68" i="17"/>
  <c r="BU68" i="17"/>
  <c r="BV68" i="17"/>
  <c r="BW68" i="17"/>
  <c r="BX68" i="17"/>
  <c r="BY68" i="17"/>
  <c r="BZ68" i="17"/>
  <c r="CA68" i="17"/>
  <c r="CB68" i="17"/>
  <c r="CC68" i="17"/>
  <c r="CD68" i="17"/>
  <c r="CE68" i="17"/>
  <c r="CF68" i="17"/>
  <c r="CG68" i="17"/>
  <c r="CH68" i="17"/>
  <c r="CI68" i="17"/>
  <c r="CJ68" i="17"/>
  <c r="CK68" i="17"/>
  <c r="CL68" i="17"/>
  <c r="CM68" i="17"/>
  <c r="CN68" i="17"/>
  <c r="CO68" i="17"/>
  <c r="CP68" i="17"/>
  <c r="CQ68" i="17"/>
  <c r="CR68" i="17"/>
  <c r="CS68" i="17"/>
  <c r="CT68" i="17"/>
  <c r="CU68" i="17"/>
  <c r="CV68" i="17"/>
  <c r="CW68" i="17"/>
  <c r="CX68" i="17"/>
  <c r="CY68" i="17"/>
  <c r="CZ68" i="17"/>
  <c r="DA68" i="17"/>
  <c r="DB68" i="17"/>
  <c r="DC68" i="17"/>
  <c r="DD68" i="17"/>
  <c r="DE68" i="17"/>
  <c r="DF68" i="17"/>
  <c r="DG68" i="17"/>
  <c r="DH68" i="17"/>
  <c r="DI68" i="17"/>
  <c r="DJ68" i="17"/>
  <c r="DK68" i="17"/>
  <c r="DL68" i="17"/>
  <c r="DM68" i="17"/>
  <c r="DN68" i="17"/>
  <c r="DO68" i="17"/>
  <c r="DP68" i="17"/>
  <c r="DQ68" i="17"/>
  <c r="DR68" i="17"/>
  <c r="DS68" i="17"/>
  <c r="DT68" i="17"/>
  <c r="DU68" i="17"/>
  <c r="DV68" i="17"/>
  <c r="DW68" i="17"/>
  <c r="DX68" i="17"/>
  <c r="DY68" i="17"/>
  <c r="DZ68" i="17"/>
  <c r="EA68" i="17"/>
  <c r="EB68" i="17"/>
  <c r="EC68" i="17"/>
  <c r="ED68" i="17"/>
  <c r="EE68" i="17"/>
  <c r="EF68" i="17"/>
  <c r="EG68" i="17"/>
  <c r="EH68" i="17"/>
  <c r="EI68" i="17"/>
  <c r="EJ68" i="17"/>
  <c r="EK68" i="17"/>
  <c r="EL68" i="17"/>
  <c r="EM68" i="17"/>
  <c r="EN68" i="17"/>
  <c r="EO68" i="17"/>
  <c r="EP68" i="17"/>
  <c r="EQ68" i="17"/>
  <c r="ER68" i="17"/>
  <c r="ES68" i="17"/>
  <c r="ET68" i="17"/>
  <c r="EU68" i="17"/>
  <c r="EV68" i="17"/>
  <c r="EW68" i="17"/>
  <c r="EX68" i="17"/>
  <c r="EY68" i="17"/>
  <c r="EZ68" i="17"/>
  <c r="FA68" i="17"/>
  <c r="FB68" i="17"/>
  <c r="FC68" i="17"/>
  <c r="FD68" i="17"/>
  <c r="FE68" i="17"/>
  <c r="FF68" i="17"/>
  <c r="FG68" i="17"/>
  <c r="FH68" i="17"/>
  <c r="FI68" i="17"/>
  <c r="FJ68" i="17"/>
  <c r="FK68" i="17"/>
  <c r="FL68" i="17"/>
  <c r="FM68" i="17"/>
  <c r="FN68" i="17"/>
  <c r="FO68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AW69" i="17"/>
  <c r="AX69" i="17"/>
  <c r="AY69" i="17"/>
  <c r="AZ69" i="17"/>
  <c r="BA69" i="17"/>
  <c r="BB69" i="17"/>
  <c r="BC69" i="17"/>
  <c r="BD69" i="17"/>
  <c r="BE69" i="17"/>
  <c r="BF69" i="17"/>
  <c r="BG69" i="17"/>
  <c r="BH69" i="17"/>
  <c r="BI69" i="17"/>
  <c r="BJ69" i="17"/>
  <c r="BK69" i="17"/>
  <c r="BL69" i="17"/>
  <c r="BM69" i="17"/>
  <c r="BN69" i="17"/>
  <c r="BO69" i="17"/>
  <c r="BP69" i="17"/>
  <c r="BQ69" i="17"/>
  <c r="BR69" i="17"/>
  <c r="BS69" i="17"/>
  <c r="BT69" i="17"/>
  <c r="BU69" i="17"/>
  <c r="BV69" i="17"/>
  <c r="BW69" i="17"/>
  <c r="BX69" i="17"/>
  <c r="BY69" i="17"/>
  <c r="BZ69" i="17"/>
  <c r="CA69" i="17"/>
  <c r="CB69" i="17"/>
  <c r="CC69" i="17"/>
  <c r="CD69" i="17"/>
  <c r="CE69" i="17"/>
  <c r="CF69" i="17"/>
  <c r="CG69" i="17"/>
  <c r="CH69" i="17"/>
  <c r="CI69" i="17"/>
  <c r="CJ69" i="17"/>
  <c r="CK69" i="17"/>
  <c r="CL69" i="17"/>
  <c r="CM69" i="17"/>
  <c r="CN69" i="17"/>
  <c r="CO69" i="17"/>
  <c r="CP69" i="17"/>
  <c r="CQ69" i="17"/>
  <c r="CR69" i="17"/>
  <c r="CS69" i="17"/>
  <c r="CT69" i="17"/>
  <c r="CU69" i="17"/>
  <c r="CV69" i="17"/>
  <c r="CW69" i="17"/>
  <c r="CX69" i="17"/>
  <c r="CY69" i="17"/>
  <c r="CZ69" i="17"/>
  <c r="DA69" i="17"/>
  <c r="DB69" i="17"/>
  <c r="DC69" i="17"/>
  <c r="DD69" i="17"/>
  <c r="DE69" i="17"/>
  <c r="DF69" i="17"/>
  <c r="DG69" i="17"/>
  <c r="DH69" i="17"/>
  <c r="DI69" i="17"/>
  <c r="DJ69" i="17"/>
  <c r="DK69" i="17"/>
  <c r="DL69" i="17"/>
  <c r="DM69" i="17"/>
  <c r="DN69" i="17"/>
  <c r="DO69" i="17"/>
  <c r="DP69" i="17"/>
  <c r="DQ69" i="17"/>
  <c r="DR69" i="17"/>
  <c r="DS69" i="17"/>
  <c r="DT69" i="17"/>
  <c r="DU69" i="17"/>
  <c r="DV69" i="17"/>
  <c r="DW69" i="17"/>
  <c r="DX69" i="17"/>
  <c r="DY69" i="17"/>
  <c r="DZ69" i="17"/>
  <c r="EA69" i="17"/>
  <c r="EB69" i="17"/>
  <c r="EC69" i="17"/>
  <c r="ED69" i="17"/>
  <c r="EE69" i="17"/>
  <c r="EF69" i="17"/>
  <c r="EG69" i="17"/>
  <c r="EH69" i="17"/>
  <c r="EI69" i="17"/>
  <c r="EJ69" i="17"/>
  <c r="EK69" i="17"/>
  <c r="EL69" i="17"/>
  <c r="EM69" i="17"/>
  <c r="EN69" i="17"/>
  <c r="EO69" i="17"/>
  <c r="EP69" i="17"/>
  <c r="EQ69" i="17"/>
  <c r="ER69" i="17"/>
  <c r="ES69" i="17"/>
  <c r="ET69" i="17"/>
  <c r="EU69" i="17"/>
  <c r="EV69" i="17"/>
  <c r="EW69" i="17"/>
  <c r="EX69" i="17"/>
  <c r="EY69" i="17"/>
  <c r="EZ69" i="17"/>
  <c r="FA69" i="17"/>
  <c r="FB69" i="17"/>
  <c r="FC69" i="17"/>
  <c r="FD69" i="17"/>
  <c r="FE69" i="17"/>
  <c r="FF69" i="17"/>
  <c r="FG69" i="17"/>
  <c r="FH69" i="17"/>
  <c r="FI69" i="17"/>
  <c r="FJ69" i="17"/>
  <c r="FK69" i="17"/>
  <c r="FL69" i="17"/>
  <c r="FM69" i="17"/>
  <c r="FN69" i="17"/>
  <c r="FO69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AM70" i="17"/>
  <c r="AN70" i="17"/>
  <c r="AO70" i="17"/>
  <c r="AP70" i="17"/>
  <c r="AQ70" i="17"/>
  <c r="AR70" i="17"/>
  <c r="AS70" i="17"/>
  <c r="AT70" i="17"/>
  <c r="AU70" i="17"/>
  <c r="AV70" i="17"/>
  <c r="AW70" i="17"/>
  <c r="AX70" i="17"/>
  <c r="AY70" i="17"/>
  <c r="AZ70" i="17"/>
  <c r="BA70" i="17"/>
  <c r="BB70" i="17"/>
  <c r="BC70" i="17"/>
  <c r="BD70" i="17"/>
  <c r="BE70" i="17"/>
  <c r="BF70" i="17"/>
  <c r="BG70" i="17"/>
  <c r="BH70" i="17"/>
  <c r="BI70" i="17"/>
  <c r="BJ70" i="17"/>
  <c r="BK70" i="17"/>
  <c r="BL70" i="17"/>
  <c r="BM70" i="17"/>
  <c r="BN70" i="17"/>
  <c r="BO70" i="17"/>
  <c r="BP70" i="17"/>
  <c r="BQ70" i="17"/>
  <c r="BR70" i="17"/>
  <c r="BS70" i="17"/>
  <c r="BT70" i="17"/>
  <c r="BU70" i="17"/>
  <c r="BV70" i="17"/>
  <c r="BW70" i="17"/>
  <c r="BX70" i="17"/>
  <c r="BY70" i="17"/>
  <c r="BZ70" i="17"/>
  <c r="CA70" i="17"/>
  <c r="CB70" i="17"/>
  <c r="CC70" i="17"/>
  <c r="CD70" i="17"/>
  <c r="CE70" i="17"/>
  <c r="CF70" i="17"/>
  <c r="CG70" i="17"/>
  <c r="CH70" i="17"/>
  <c r="CI70" i="17"/>
  <c r="CJ70" i="17"/>
  <c r="CK70" i="17"/>
  <c r="CL70" i="17"/>
  <c r="CM70" i="17"/>
  <c r="CN70" i="17"/>
  <c r="CO70" i="17"/>
  <c r="CP70" i="17"/>
  <c r="CQ70" i="17"/>
  <c r="CR70" i="17"/>
  <c r="CS70" i="17"/>
  <c r="CT70" i="17"/>
  <c r="CU70" i="17"/>
  <c r="CV70" i="17"/>
  <c r="CW70" i="17"/>
  <c r="CX70" i="17"/>
  <c r="CY70" i="17"/>
  <c r="CZ70" i="17"/>
  <c r="DA70" i="17"/>
  <c r="DB70" i="17"/>
  <c r="DC70" i="17"/>
  <c r="DD70" i="17"/>
  <c r="DE70" i="17"/>
  <c r="DF70" i="17"/>
  <c r="DG70" i="17"/>
  <c r="DH70" i="17"/>
  <c r="DI70" i="17"/>
  <c r="DJ70" i="17"/>
  <c r="DK70" i="17"/>
  <c r="DL70" i="17"/>
  <c r="DM70" i="17"/>
  <c r="DN70" i="17"/>
  <c r="DO70" i="17"/>
  <c r="DP70" i="17"/>
  <c r="DQ70" i="17"/>
  <c r="DR70" i="17"/>
  <c r="DS70" i="17"/>
  <c r="DT70" i="17"/>
  <c r="DU70" i="17"/>
  <c r="DV70" i="17"/>
  <c r="DW70" i="17"/>
  <c r="DX70" i="17"/>
  <c r="DY70" i="17"/>
  <c r="DZ70" i="17"/>
  <c r="EA70" i="17"/>
  <c r="EB70" i="17"/>
  <c r="EC70" i="17"/>
  <c r="ED70" i="17"/>
  <c r="EE70" i="17"/>
  <c r="EF70" i="17"/>
  <c r="EG70" i="17"/>
  <c r="EH70" i="17"/>
  <c r="EI70" i="17"/>
  <c r="EJ70" i="17"/>
  <c r="EK70" i="17"/>
  <c r="EL70" i="17"/>
  <c r="EM70" i="17"/>
  <c r="EN70" i="17"/>
  <c r="EO70" i="17"/>
  <c r="EP70" i="17"/>
  <c r="EQ70" i="17"/>
  <c r="ER70" i="17"/>
  <c r="ES70" i="17"/>
  <c r="ET70" i="17"/>
  <c r="EU70" i="17"/>
  <c r="EV70" i="17"/>
  <c r="EW70" i="17"/>
  <c r="EX70" i="17"/>
  <c r="EY70" i="17"/>
  <c r="EZ70" i="17"/>
  <c r="FA70" i="17"/>
  <c r="FB70" i="17"/>
  <c r="FC70" i="17"/>
  <c r="FD70" i="17"/>
  <c r="FE70" i="17"/>
  <c r="FF70" i="17"/>
  <c r="FG70" i="17"/>
  <c r="FH70" i="17"/>
  <c r="FI70" i="17"/>
  <c r="FJ70" i="17"/>
  <c r="FK70" i="17"/>
  <c r="FL70" i="17"/>
  <c r="FM70" i="17"/>
  <c r="FN70" i="17"/>
  <c r="FO70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R71" i="17"/>
  <c r="AS71" i="17"/>
  <c r="AT71" i="17"/>
  <c r="AU71" i="17"/>
  <c r="AV71" i="17"/>
  <c r="AW71" i="17"/>
  <c r="AX71" i="17"/>
  <c r="AY71" i="17"/>
  <c r="AZ71" i="17"/>
  <c r="BA71" i="17"/>
  <c r="BB71" i="17"/>
  <c r="BC71" i="17"/>
  <c r="BD71" i="17"/>
  <c r="BE71" i="17"/>
  <c r="BF71" i="17"/>
  <c r="BG71" i="17"/>
  <c r="BH71" i="17"/>
  <c r="BI71" i="17"/>
  <c r="BJ71" i="17"/>
  <c r="BK71" i="17"/>
  <c r="BL71" i="17"/>
  <c r="BM71" i="17"/>
  <c r="BN71" i="17"/>
  <c r="BO71" i="17"/>
  <c r="BP71" i="17"/>
  <c r="BQ71" i="17"/>
  <c r="BR71" i="17"/>
  <c r="BS71" i="17"/>
  <c r="BT71" i="17"/>
  <c r="BU71" i="17"/>
  <c r="BV71" i="17"/>
  <c r="BW71" i="17"/>
  <c r="BX71" i="17"/>
  <c r="BY71" i="17"/>
  <c r="BZ71" i="17"/>
  <c r="CA71" i="17"/>
  <c r="CB71" i="17"/>
  <c r="CC71" i="17"/>
  <c r="CD71" i="17"/>
  <c r="CE71" i="17"/>
  <c r="CF71" i="17"/>
  <c r="CG71" i="17"/>
  <c r="CH71" i="17"/>
  <c r="CI71" i="17"/>
  <c r="CJ71" i="17"/>
  <c r="CK71" i="17"/>
  <c r="CL71" i="17"/>
  <c r="CM71" i="17"/>
  <c r="CN71" i="17"/>
  <c r="CO71" i="17"/>
  <c r="CP71" i="17"/>
  <c r="CQ71" i="17"/>
  <c r="CR71" i="17"/>
  <c r="CS71" i="17"/>
  <c r="CT71" i="17"/>
  <c r="CU71" i="17"/>
  <c r="CV71" i="17"/>
  <c r="CW71" i="17"/>
  <c r="CX71" i="17"/>
  <c r="CY71" i="17"/>
  <c r="CZ71" i="17"/>
  <c r="DA71" i="17"/>
  <c r="DB71" i="17"/>
  <c r="DC71" i="17"/>
  <c r="DD71" i="17"/>
  <c r="DE71" i="17"/>
  <c r="DF71" i="17"/>
  <c r="DG71" i="17"/>
  <c r="DH71" i="17"/>
  <c r="DI71" i="17"/>
  <c r="DJ71" i="17"/>
  <c r="DK71" i="17"/>
  <c r="DL71" i="17"/>
  <c r="DM71" i="17"/>
  <c r="DN71" i="17"/>
  <c r="DO71" i="17"/>
  <c r="DP71" i="17"/>
  <c r="DQ71" i="17"/>
  <c r="DR71" i="17"/>
  <c r="DS71" i="17"/>
  <c r="DT71" i="17"/>
  <c r="DU71" i="17"/>
  <c r="DV71" i="17"/>
  <c r="DW71" i="17"/>
  <c r="DX71" i="17"/>
  <c r="DY71" i="17"/>
  <c r="DZ71" i="17"/>
  <c r="EA71" i="17"/>
  <c r="EB71" i="17"/>
  <c r="EC71" i="17"/>
  <c r="ED71" i="17"/>
  <c r="EE71" i="17"/>
  <c r="EF71" i="17"/>
  <c r="EG71" i="17"/>
  <c r="EH71" i="17"/>
  <c r="EI71" i="17"/>
  <c r="EJ71" i="17"/>
  <c r="EK71" i="17"/>
  <c r="EL71" i="17"/>
  <c r="EM71" i="17"/>
  <c r="EN71" i="17"/>
  <c r="EO71" i="17"/>
  <c r="EP71" i="17"/>
  <c r="EQ71" i="17"/>
  <c r="ER71" i="17"/>
  <c r="ES71" i="17"/>
  <c r="ET71" i="17"/>
  <c r="EU71" i="17"/>
  <c r="EV71" i="17"/>
  <c r="EW71" i="17"/>
  <c r="EX71" i="17"/>
  <c r="EY71" i="17"/>
  <c r="EZ71" i="17"/>
  <c r="FA71" i="17"/>
  <c r="FB71" i="17"/>
  <c r="FC71" i="17"/>
  <c r="FD71" i="17"/>
  <c r="FE71" i="17"/>
  <c r="FF71" i="17"/>
  <c r="FG71" i="17"/>
  <c r="FH71" i="17"/>
  <c r="FI71" i="17"/>
  <c r="FJ71" i="17"/>
  <c r="FK71" i="17"/>
  <c r="FL71" i="17"/>
  <c r="FM71" i="17"/>
  <c r="FN71" i="17"/>
  <c r="FO71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R72" i="17"/>
  <c r="AS72" i="17"/>
  <c r="AT72" i="17"/>
  <c r="AU72" i="17"/>
  <c r="AV72" i="17"/>
  <c r="AW72" i="17"/>
  <c r="AX72" i="17"/>
  <c r="AY72" i="17"/>
  <c r="AZ72" i="17"/>
  <c r="BA72" i="17"/>
  <c r="BB72" i="17"/>
  <c r="BC72" i="17"/>
  <c r="BD72" i="17"/>
  <c r="BE72" i="17"/>
  <c r="BF72" i="17"/>
  <c r="BG72" i="17"/>
  <c r="BH72" i="17"/>
  <c r="BI72" i="17"/>
  <c r="BJ72" i="17"/>
  <c r="BK72" i="17"/>
  <c r="BL72" i="17"/>
  <c r="BM72" i="17"/>
  <c r="BN72" i="17"/>
  <c r="BO72" i="17"/>
  <c r="BP72" i="17"/>
  <c r="BQ72" i="17"/>
  <c r="BR72" i="17"/>
  <c r="BS72" i="17"/>
  <c r="BT72" i="17"/>
  <c r="BU72" i="17"/>
  <c r="BV72" i="17"/>
  <c r="BW72" i="17"/>
  <c r="BX72" i="17"/>
  <c r="BY72" i="17"/>
  <c r="BZ72" i="17"/>
  <c r="CA72" i="17"/>
  <c r="CB72" i="17"/>
  <c r="CC72" i="17"/>
  <c r="CD72" i="17"/>
  <c r="CE72" i="17"/>
  <c r="CF72" i="17"/>
  <c r="CG72" i="17"/>
  <c r="CH72" i="17"/>
  <c r="CI72" i="17"/>
  <c r="CJ72" i="17"/>
  <c r="CK72" i="17"/>
  <c r="CL72" i="17"/>
  <c r="CM72" i="17"/>
  <c r="CN72" i="17"/>
  <c r="CO72" i="17"/>
  <c r="CP72" i="17"/>
  <c r="CQ72" i="17"/>
  <c r="CR72" i="17"/>
  <c r="CS72" i="17"/>
  <c r="CT72" i="17"/>
  <c r="CU72" i="17"/>
  <c r="CV72" i="17"/>
  <c r="CW72" i="17"/>
  <c r="CX72" i="17"/>
  <c r="CY72" i="17"/>
  <c r="CZ72" i="17"/>
  <c r="DA72" i="17"/>
  <c r="DB72" i="17"/>
  <c r="DC72" i="17"/>
  <c r="DD72" i="17"/>
  <c r="DE72" i="17"/>
  <c r="DF72" i="17"/>
  <c r="DG72" i="17"/>
  <c r="DH72" i="17"/>
  <c r="DI72" i="17"/>
  <c r="DJ72" i="17"/>
  <c r="DK72" i="17"/>
  <c r="DL72" i="17"/>
  <c r="DM72" i="17"/>
  <c r="DN72" i="17"/>
  <c r="DO72" i="17"/>
  <c r="DP72" i="17"/>
  <c r="DQ72" i="17"/>
  <c r="DR72" i="17"/>
  <c r="DS72" i="17"/>
  <c r="DT72" i="17"/>
  <c r="DU72" i="17"/>
  <c r="DV72" i="17"/>
  <c r="DW72" i="17"/>
  <c r="DX72" i="17"/>
  <c r="DY72" i="17"/>
  <c r="DZ72" i="17"/>
  <c r="EA72" i="17"/>
  <c r="EB72" i="17"/>
  <c r="EC72" i="17"/>
  <c r="ED72" i="17"/>
  <c r="EE72" i="17"/>
  <c r="EF72" i="17"/>
  <c r="EG72" i="17"/>
  <c r="EH72" i="17"/>
  <c r="EI72" i="17"/>
  <c r="EJ72" i="17"/>
  <c r="EK72" i="17"/>
  <c r="EL72" i="17"/>
  <c r="EM72" i="17"/>
  <c r="EN72" i="17"/>
  <c r="EO72" i="17"/>
  <c r="EP72" i="17"/>
  <c r="EQ72" i="17"/>
  <c r="ER72" i="17"/>
  <c r="ES72" i="17"/>
  <c r="ET72" i="17"/>
  <c r="EU72" i="17"/>
  <c r="EV72" i="17"/>
  <c r="EW72" i="17"/>
  <c r="EX72" i="17"/>
  <c r="EY72" i="17"/>
  <c r="EZ72" i="17"/>
  <c r="FA72" i="17"/>
  <c r="FB72" i="17"/>
  <c r="FC72" i="17"/>
  <c r="FD72" i="17"/>
  <c r="FE72" i="17"/>
  <c r="FF72" i="17"/>
  <c r="FG72" i="17"/>
  <c r="FH72" i="17"/>
  <c r="FI72" i="17"/>
  <c r="FJ72" i="17"/>
  <c r="FK72" i="17"/>
  <c r="FL72" i="17"/>
  <c r="FM72" i="17"/>
  <c r="FN72" i="17"/>
  <c r="FO72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R73" i="17"/>
  <c r="AS73" i="17"/>
  <c r="AT73" i="17"/>
  <c r="AU73" i="17"/>
  <c r="AV73" i="17"/>
  <c r="AW73" i="17"/>
  <c r="AX73" i="17"/>
  <c r="AY73" i="17"/>
  <c r="AZ73" i="17"/>
  <c r="BA73" i="17"/>
  <c r="BB73" i="17"/>
  <c r="BC73" i="17"/>
  <c r="BD73" i="17"/>
  <c r="BE73" i="17"/>
  <c r="BF73" i="17"/>
  <c r="BG73" i="17"/>
  <c r="BH73" i="17"/>
  <c r="BI73" i="17"/>
  <c r="BJ73" i="17"/>
  <c r="BK73" i="17"/>
  <c r="BL73" i="17"/>
  <c r="BM73" i="17"/>
  <c r="BN73" i="17"/>
  <c r="BO73" i="17"/>
  <c r="BP73" i="17"/>
  <c r="BQ73" i="17"/>
  <c r="BR73" i="17"/>
  <c r="BS73" i="17"/>
  <c r="BT73" i="17"/>
  <c r="BU73" i="17"/>
  <c r="BV73" i="17"/>
  <c r="BW73" i="17"/>
  <c r="BX73" i="17"/>
  <c r="BY73" i="17"/>
  <c r="BZ73" i="17"/>
  <c r="CA73" i="17"/>
  <c r="CB73" i="17"/>
  <c r="CC73" i="17"/>
  <c r="CD73" i="17"/>
  <c r="CE73" i="17"/>
  <c r="CF73" i="17"/>
  <c r="CG73" i="17"/>
  <c r="CH73" i="17"/>
  <c r="CI73" i="17"/>
  <c r="CJ73" i="17"/>
  <c r="CK73" i="17"/>
  <c r="CL73" i="17"/>
  <c r="CM73" i="17"/>
  <c r="CN73" i="17"/>
  <c r="CO73" i="17"/>
  <c r="CP73" i="17"/>
  <c r="CQ73" i="17"/>
  <c r="CR73" i="17"/>
  <c r="CS73" i="17"/>
  <c r="CT73" i="17"/>
  <c r="CU73" i="17"/>
  <c r="CV73" i="17"/>
  <c r="CW73" i="17"/>
  <c r="CX73" i="17"/>
  <c r="CY73" i="17"/>
  <c r="CZ73" i="17"/>
  <c r="DA73" i="17"/>
  <c r="DB73" i="17"/>
  <c r="DC73" i="17"/>
  <c r="DD73" i="17"/>
  <c r="DE73" i="17"/>
  <c r="DF73" i="17"/>
  <c r="DG73" i="17"/>
  <c r="DH73" i="17"/>
  <c r="DI73" i="17"/>
  <c r="DJ73" i="17"/>
  <c r="DK73" i="17"/>
  <c r="DL73" i="17"/>
  <c r="DM73" i="17"/>
  <c r="DN73" i="17"/>
  <c r="DO73" i="17"/>
  <c r="DP73" i="17"/>
  <c r="DQ73" i="17"/>
  <c r="DR73" i="17"/>
  <c r="DS73" i="17"/>
  <c r="DT73" i="17"/>
  <c r="DU73" i="17"/>
  <c r="DV73" i="17"/>
  <c r="DW73" i="17"/>
  <c r="DX73" i="17"/>
  <c r="DY73" i="17"/>
  <c r="DZ73" i="17"/>
  <c r="EA73" i="17"/>
  <c r="EB73" i="17"/>
  <c r="EC73" i="17"/>
  <c r="ED73" i="17"/>
  <c r="EE73" i="17"/>
  <c r="EF73" i="17"/>
  <c r="EG73" i="17"/>
  <c r="EH73" i="17"/>
  <c r="EI73" i="17"/>
  <c r="EJ73" i="17"/>
  <c r="EK73" i="17"/>
  <c r="EL73" i="17"/>
  <c r="EM73" i="17"/>
  <c r="EN73" i="17"/>
  <c r="EO73" i="17"/>
  <c r="EP73" i="17"/>
  <c r="EQ73" i="17"/>
  <c r="ER73" i="17"/>
  <c r="ES73" i="17"/>
  <c r="ET73" i="17"/>
  <c r="EU73" i="17"/>
  <c r="EV73" i="17"/>
  <c r="EW73" i="17"/>
  <c r="EX73" i="17"/>
  <c r="EY73" i="17"/>
  <c r="EZ73" i="17"/>
  <c r="FA73" i="17"/>
  <c r="FB73" i="17"/>
  <c r="FC73" i="17"/>
  <c r="FD73" i="17"/>
  <c r="FE73" i="17"/>
  <c r="FF73" i="17"/>
  <c r="FG73" i="17"/>
  <c r="FH73" i="17"/>
  <c r="FI73" i="17"/>
  <c r="FJ73" i="17"/>
  <c r="FK73" i="17"/>
  <c r="FL73" i="17"/>
  <c r="FM73" i="17"/>
  <c r="FN73" i="17"/>
  <c r="FO73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AW74" i="17"/>
  <c r="AX74" i="17"/>
  <c r="AY74" i="17"/>
  <c r="AZ74" i="17"/>
  <c r="BA74" i="17"/>
  <c r="BB74" i="17"/>
  <c r="BC74" i="17"/>
  <c r="BD74" i="17"/>
  <c r="BE74" i="17"/>
  <c r="BF74" i="17"/>
  <c r="BG74" i="17"/>
  <c r="BH74" i="17"/>
  <c r="BI74" i="17"/>
  <c r="BJ74" i="17"/>
  <c r="BK74" i="17"/>
  <c r="BL74" i="17"/>
  <c r="BM74" i="17"/>
  <c r="BN74" i="17"/>
  <c r="BO74" i="17"/>
  <c r="BP74" i="17"/>
  <c r="BQ74" i="17"/>
  <c r="BR74" i="17"/>
  <c r="BS74" i="17"/>
  <c r="BT74" i="17"/>
  <c r="BU74" i="17"/>
  <c r="BV74" i="17"/>
  <c r="BW74" i="17"/>
  <c r="BX74" i="17"/>
  <c r="BY74" i="17"/>
  <c r="BZ74" i="17"/>
  <c r="CA74" i="17"/>
  <c r="CB74" i="17"/>
  <c r="CC74" i="17"/>
  <c r="CD74" i="17"/>
  <c r="CE74" i="17"/>
  <c r="CF74" i="17"/>
  <c r="CG74" i="17"/>
  <c r="CH74" i="17"/>
  <c r="CI74" i="17"/>
  <c r="CJ74" i="17"/>
  <c r="CK74" i="17"/>
  <c r="CL74" i="17"/>
  <c r="CM74" i="17"/>
  <c r="CN74" i="17"/>
  <c r="CO74" i="17"/>
  <c r="CP74" i="17"/>
  <c r="CQ74" i="17"/>
  <c r="CR74" i="17"/>
  <c r="CS74" i="17"/>
  <c r="CT74" i="17"/>
  <c r="CU74" i="17"/>
  <c r="CV74" i="17"/>
  <c r="CW74" i="17"/>
  <c r="CX74" i="17"/>
  <c r="CY74" i="17"/>
  <c r="CZ74" i="17"/>
  <c r="DA74" i="17"/>
  <c r="DB74" i="17"/>
  <c r="DC74" i="17"/>
  <c r="DD74" i="17"/>
  <c r="DE74" i="17"/>
  <c r="DF74" i="17"/>
  <c r="DG74" i="17"/>
  <c r="DH74" i="17"/>
  <c r="DI74" i="17"/>
  <c r="DJ74" i="17"/>
  <c r="DK74" i="17"/>
  <c r="DL74" i="17"/>
  <c r="DM74" i="17"/>
  <c r="DN74" i="17"/>
  <c r="DO74" i="17"/>
  <c r="DP74" i="17"/>
  <c r="DQ74" i="17"/>
  <c r="DR74" i="17"/>
  <c r="DS74" i="17"/>
  <c r="DT74" i="17"/>
  <c r="DU74" i="17"/>
  <c r="DV74" i="17"/>
  <c r="DW74" i="17"/>
  <c r="DX74" i="17"/>
  <c r="DY74" i="17"/>
  <c r="DZ74" i="17"/>
  <c r="EA74" i="17"/>
  <c r="EB74" i="17"/>
  <c r="EC74" i="17"/>
  <c r="ED74" i="17"/>
  <c r="EE74" i="17"/>
  <c r="EF74" i="17"/>
  <c r="EG74" i="17"/>
  <c r="EH74" i="17"/>
  <c r="EI74" i="17"/>
  <c r="EJ74" i="17"/>
  <c r="EK74" i="17"/>
  <c r="EL74" i="17"/>
  <c r="EM74" i="17"/>
  <c r="EN74" i="17"/>
  <c r="EO74" i="17"/>
  <c r="EP74" i="17"/>
  <c r="EQ74" i="17"/>
  <c r="ER74" i="17"/>
  <c r="ES74" i="17"/>
  <c r="ET74" i="17"/>
  <c r="EU74" i="17"/>
  <c r="EV74" i="17"/>
  <c r="EW74" i="17"/>
  <c r="EX74" i="17"/>
  <c r="EY74" i="17"/>
  <c r="EZ74" i="17"/>
  <c r="FA74" i="17"/>
  <c r="FB74" i="17"/>
  <c r="FC74" i="17"/>
  <c r="FD74" i="17"/>
  <c r="FE74" i="17"/>
  <c r="FF74" i="17"/>
  <c r="FG74" i="17"/>
  <c r="FH74" i="17"/>
  <c r="FI74" i="17"/>
  <c r="FJ74" i="17"/>
  <c r="FK74" i="17"/>
  <c r="FL74" i="17"/>
  <c r="FM74" i="17"/>
  <c r="FN74" i="17"/>
  <c r="FO74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R75" i="17"/>
  <c r="AS75" i="17"/>
  <c r="AT75" i="17"/>
  <c r="AU75" i="17"/>
  <c r="AV75" i="17"/>
  <c r="AW75" i="17"/>
  <c r="AX75" i="17"/>
  <c r="AY75" i="17"/>
  <c r="AZ75" i="17"/>
  <c r="BA75" i="17"/>
  <c r="BB75" i="17"/>
  <c r="BC75" i="17"/>
  <c r="BD75" i="17"/>
  <c r="BE75" i="17"/>
  <c r="BF75" i="17"/>
  <c r="BG75" i="17"/>
  <c r="BH75" i="17"/>
  <c r="BI75" i="17"/>
  <c r="BJ75" i="17"/>
  <c r="BK75" i="17"/>
  <c r="BL75" i="17"/>
  <c r="BM75" i="17"/>
  <c r="BN75" i="17"/>
  <c r="BO75" i="17"/>
  <c r="BP75" i="17"/>
  <c r="BQ75" i="17"/>
  <c r="BR75" i="17"/>
  <c r="BS75" i="17"/>
  <c r="BT75" i="17"/>
  <c r="BU75" i="17"/>
  <c r="BV75" i="17"/>
  <c r="BW75" i="17"/>
  <c r="BX75" i="17"/>
  <c r="BY75" i="17"/>
  <c r="BZ75" i="17"/>
  <c r="CA75" i="17"/>
  <c r="CB75" i="17"/>
  <c r="CC75" i="17"/>
  <c r="CD75" i="17"/>
  <c r="CE75" i="17"/>
  <c r="CF75" i="17"/>
  <c r="CG75" i="17"/>
  <c r="CH75" i="17"/>
  <c r="CI75" i="17"/>
  <c r="CJ75" i="17"/>
  <c r="CK75" i="17"/>
  <c r="CL75" i="17"/>
  <c r="CM75" i="17"/>
  <c r="CN75" i="17"/>
  <c r="CO75" i="17"/>
  <c r="CP75" i="17"/>
  <c r="CQ75" i="17"/>
  <c r="CR75" i="17"/>
  <c r="CS75" i="17"/>
  <c r="CT75" i="17"/>
  <c r="CU75" i="17"/>
  <c r="CV75" i="17"/>
  <c r="CW75" i="17"/>
  <c r="CX75" i="17"/>
  <c r="CY75" i="17"/>
  <c r="CZ75" i="17"/>
  <c r="DA75" i="17"/>
  <c r="DB75" i="17"/>
  <c r="DC75" i="17"/>
  <c r="DD75" i="17"/>
  <c r="DE75" i="17"/>
  <c r="DF75" i="17"/>
  <c r="DG75" i="17"/>
  <c r="DH75" i="17"/>
  <c r="DI75" i="17"/>
  <c r="DJ75" i="17"/>
  <c r="DK75" i="17"/>
  <c r="DL75" i="17"/>
  <c r="DM75" i="17"/>
  <c r="DN75" i="17"/>
  <c r="DO75" i="17"/>
  <c r="DP75" i="17"/>
  <c r="DQ75" i="17"/>
  <c r="DR75" i="17"/>
  <c r="DS75" i="17"/>
  <c r="DT75" i="17"/>
  <c r="DU75" i="17"/>
  <c r="DV75" i="17"/>
  <c r="DW75" i="17"/>
  <c r="DX75" i="17"/>
  <c r="DY75" i="17"/>
  <c r="DZ75" i="17"/>
  <c r="EA75" i="17"/>
  <c r="EB75" i="17"/>
  <c r="EC75" i="17"/>
  <c r="ED75" i="17"/>
  <c r="EE75" i="17"/>
  <c r="EF75" i="17"/>
  <c r="EG75" i="17"/>
  <c r="EH75" i="17"/>
  <c r="EI75" i="17"/>
  <c r="EJ75" i="17"/>
  <c r="EK75" i="17"/>
  <c r="EL75" i="17"/>
  <c r="EM75" i="17"/>
  <c r="EN75" i="17"/>
  <c r="EO75" i="17"/>
  <c r="EP75" i="17"/>
  <c r="EQ75" i="17"/>
  <c r="ER75" i="17"/>
  <c r="ES75" i="17"/>
  <c r="ET75" i="17"/>
  <c r="EU75" i="17"/>
  <c r="EV75" i="17"/>
  <c r="EW75" i="17"/>
  <c r="EX75" i="17"/>
  <c r="EY75" i="17"/>
  <c r="EZ75" i="17"/>
  <c r="FA75" i="17"/>
  <c r="FB75" i="17"/>
  <c r="FC75" i="17"/>
  <c r="FD75" i="17"/>
  <c r="FE75" i="17"/>
  <c r="FF75" i="17"/>
  <c r="FG75" i="17"/>
  <c r="FH75" i="17"/>
  <c r="FI75" i="17"/>
  <c r="FJ75" i="17"/>
  <c r="FK75" i="17"/>
  <c r="FL75" i="17"/>
  <c r="FM75" i="17"/>
  <c r="FN75" i="17"/>
  <c r="FO75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AM76" i="17"/>
  <c r="AN76" i="17"/>
  <c r="AO76" i="17"/>
  <c r="AP76" i="17"/>
  <c r="AQ76" i="17"/>
  <c r="AR76" i="17"/>
  <c r="AS76" i="17"/>
  <c r="AT76" i="17"/>
  <c r="AU76" i="17"/>
  <c r="AV76" i="17"/>
  <c r="AW76" i="17"/>
  <c r="AX76" i="17"/>
  <c r="AY76" i="17"/>
  <c r="AZ76" i="17"/>
  <c r="BA76" i="17"/>
  <c r="BB76" i="17"/>
  <c r="BC76" i="17"/>
  <c r="BD76" i="17"/>
  <c r="BE76" i="17"/>
  <c r="BF76" i="17"/>
  <c r="BG76" i="17"/>
  <c r="BH76" i="17"/>
  <c r="BI76" i="17"/>
  <c r="BJ76" i="17"/>
  <c r="BK76" i="17"/>
  <c r="BL76" i="17"/>
  <c r="BM76" i="17"/>
  <c r="BN76" i="17"/>
  <c r="BO76" i="17"/>
  <c r="BP76" i="17"/>
  <c r="BQ76" i="17"/>
  <c r="BR76" i="17"/>
  <c r="BS76" i="17"/>
  <c r="BT76" i="17"/>
  <c r="BU76" i="17"/>
  <c r="BV76" i="17"/>
  <c r="BW76" i="17"/>
  <c r="BX76" i="17"/>
  <c r="BY76" i="17"/>
  <c r="BZ76" i="17"/>
  <c r="CA76" i="17"/>
  <c r="CB76" i="17"/>
  <c r="CC76" i="17"/>
  <c r="CD76" i="17"/>
  <c r="CE76" i="17"/>
  <c r="CF76" i="17"/>
  <c r="CG76" i="17"/>
  <c r="CH76" i="17"/>
  <c r="CI76" i="17"/>
  <c r="CJ76" i="17"/>
  <c r="CK76" i="17"/>
  <c r="CL76" i="17"/>
  <c r="CM76" i="17"/>
  <c r="CN76" i="17"/>
  <c r="CO76" i="17"/>
  <c r="CP76" i="17"/>
  <c r="CQ76" i="17"/>
  <c r="CR76" i="17"/>
  <c r="CS76" i="17"/>
  <c r="CT76" i="17"/>
  <c r="CU76" i="17"/>
  <c r="CV76" i="17"/>
  <c r="CW76" i="17"/>
  <c r="CX76" i="17"/>
  <c r="CY76" i="17"/>
  <c r="CZ76" i="17"/>
  <c r="DA76" i="17"/>
  <c r="DB76" i="17"/>
  <c r="DC76" i="17"/>
  <c r="DD76" i="17"/>
  <c r="DE76" i="17"/>
  <c r="DF76" i="17"/>
  <c r="DG76" i="17"/>
  <c r="DH76" i="17"/>
  <c r="DI76" i="17"/>
  <c r="DJ76" i="17"/>
  <c r="DK76" i="17"/>
  <c r="DL76" i="17"/>
  <c r="DM76" i="17"/>
  <c r="DN76" i="17"/>
  <c r="DO76" i="17"/>
  <c r="DP76" i="17"/>
  <c r="DQ76" i="17"/>
  <c r="DR76" i="17"/>
  <c r="DS76" i="17"/>
  <c r="DT76" i="17"/>
  <c r="DU76" i="17"/>
  <c r="DV76" i="17"/>
  <c r="DW76" i="17"/>
  <c r="DX76" i="17"/>
  <c r="DY76" i="17"/>
  <c r="DZ76" i="17"/>
  <c r="EA76" i="17"/>
  <c r="EB76" i="17"/>
  <c r="EC76" i="17"/>
  <c r="ED76" i="17"/>
  <c r="EE76" i="17"/>
  <c r="EF76" i="17"/>
  <c r="EG76" i="17"/>
  <c r="EH76" i="17"/>
  <c r="EI76" i="17"/>
  <c r="EJ76" i="17"/>
  <c r="EK76" i="17"/>
  <c r="EL76" i="17"/>
  <c r="EM76" i="17"/>
  <c r="EN76" i="17"/>
  <c r="EO76" i="17"/>
  <c r="EP76" i="17"/>
  <c r="EQ76" i="17"/>
  <c r="ER76" i="17"/>
  <c r="ES76" i="17"/>
  <c r="ET76" i="17"/>
  <c r="EU76" i="17"/>
  <c r="EV76" i="17"/>
  <c r="EW76" i="17"/>
  <c r="EX76" i="17"/>
  <c r="EY76" i="17"/>
  <c r="EZ76" i="17"/>
  <c r="FA76" i="17"/>
  <c r="FB76" i="17"/>
  <c r="FC76" i="17"/>
  <c r="FD76" i="17"/>
  <c r="FE76" i="17"/>
  <c r="FF76" i="17"/>
  <c r="FG76" i="17"/>
  <c r="FH76" i="17"/>
  <c r="FI76" i="17"/>
  <c r="FJ76" i="17"/>
  <c r="FK76" i="17"/>
  <c r="FL76" i="17"/>
  <c r="FM76" i="17"/>
  <c r="FN76" i="17"/>
  <c r="FO76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AM77" i="17"/>
  <c r="AN77" i="17"/>
  <c r="AO77" i="17"/>
  <c r="AP77" i="17"/>
  <c r="AQ77" i="17"/>
  <c r="AR77" i="17"/>
  <c r="AS77" i="17"/>
  <c r="AT77" i="17"/>
  <c r="AU77" i="17"/>
  <c r="AV77" i="17"/>
  <c r="AW77" i="17"/>
  <c r="AX77" i="17"/>
  <c r="AY77" i="17"/>
  <c r="AZ77" i="17"/>
  <c r="BA77" i="17"/>
  <c r="BB77" i="17"/>
  <c r="BC77" i="17"/>
  <c r="BD77" i="17"/>
  <c r="BE77" i="17"/>
  <c r="BF77" i="17"/>
  <c r="BG77" i="17"/>
  <c r="BH77" i="17"/>
  <c r="BI77" i="17"/>
  <c r="BJ77" i="17"/>
  <c r="BK77" i="17"/>
  <c r="BL77" i="17"/>
  <c r="BM77" i="17"/>
  <c r="BN77" i="17"/>
  <c r="BO77" i="17"/>
  <c r="BP77" i="17"/>
  <c r="BQ77" i="17"/>
  <c r="BR77" i="17"/>
  <c r="BS77" i="17"/>
  <c r="BT77" i="17"/>
  <c r="BU77" i="17"/>
  <c r="BV77" i="17"/>
  <c r="BW77" i="17"/>
  <c r="BX77" i="17"/>
  <c r="BY77" i="17"/>
  <c r="BZ77" i="17"/>
  <c r="CA77" i="17"/>
  <c r="CB77" i="17"/>
  <c r="CC77" i="17"/>
  <c r="CD77" i="17"/>
  <c r="CE77" i="17"/>
  <c r="CF77" i="17"/>
  <c r="CG77" i="17"/>
  <c r="CH77" i="17"/>
  <c r="CI77" i="17"/>
  <c r="CJ77" i="17"/>
  <c r="CK77" i="17"/>
  <c r="CL77" i="17"/>
  <c r="CM77" i="17"/>
  <c r="CN77" i="17"/>
  <c r="CO77" i="17"/>
  <c r="CP77" i="17"/>
  <c r="CQ77" i="17"/>
  <c r="CR77" i="17"/>
  <c r="CS77" i="17"/>
  <c r="CT77" i="17"/>
  <c r="CU77" i="17"/>
  <c r="CV77" i="17"/>
  <c r="CW77" i="17"/>
  <c r="CX77" i="17"/>
  <c r="CY77" i="17"/>
  <c r="CZ77" i="17"/>
  <c r="DA77" i="17"/>
  <c r="DB77" i="17"/>
  <c r="DC77" i="17"/>
  <c r="DD77" i="17"/>
  <c r="DE77" i="17"/>
  <c r="DF77" i="17"/>
  <c r="DG77" i="17"/>
  <c r="DH77" i="17"/>
  <c r="DI77" i="17"/>
  <c r="DJ77" i="17"/>
  <c r="DK77" i="17"/>
  <c r="DL77" i="17"/>
  <c r="DM77" i="17"/>
  <c r="DN77" i="17"/>
  <c r="DO77" i="17"/>
  <c r="DP77" i="17"/>
  <c r="DQ77" i="17"/>
  <c r="DR77" i="17"/>
  <c r="DS77" i="17"/>
  <c r="DT77" i="17"/>
  <c r="DU77" i="17"/>
  <c r="DV77" i="17"/>
  <c r="DW77" i="17"/>
  <c r="DX77" i="17"/>
  <c r="DY77" i="17"/>
  <c r="DZ77" i="17"/>
  <c r="EA77" i="17"/>
  <c r="EB77" i="17"/>
  <c r="EC77" i="17"/>
  <c r="ED77" i="17"/>
  <c r="EE77" i="17"/>
  <c r="EF77" i="17"/>
  <c r="EG77" i="17"/>
  <c r="EH77" i="17"/>
  <c r="EI77" i="17"/>
  <c r="EJ77" i="17"/>
  <c r="EK77" i="17"/>
  <c r="EL77" i="17"/>
  <c r="EM77" i="17"/>
  <c r="EN77" i="17"/>
  <c r="EO77" i="17"/>
  <c r="EP77" i="17"/>
  <c r="EQ77" i="17"/>
  <c r="ER77" i="17"/>
  <c r="ES77" i="17"/>
  <c r="ET77" i="17"/>
  <c r="EU77" i="17"/>
  <c r="EV77" i="17"/>
  <c r="EW77" i="17"/>
  <c r="EX77" i="17"/>
  <c r="EY77" i="17"/>
  <c r="EZ77" i="17"/>
  <c r="FA77" i="17"/>
  <c r="FB77" i="17"/>
  <c r="FC77" i="17"/>
  <c r="FD77" i="17"/>
  <c r="FE77" i="17"/>
  <c r="FF77" i="17"/>
  <c r="FG77" i="17"/>
  <c r="FH77" i="17"/>
  <c r="FI77" i="17"/>
  <c r="FJ77" i="17"/>
  <c r="FK77" i="17"/>
  <c r="FL77" i="17"/>
  <c r="FM77" i="17"/>
  <c r="FN77" i="17"/>
  <c r="FO77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R78" i="17"/>
  <c r="AS78" i="17"/>
  <c r="AT78" i="17"/>
  <c r="AU78" i="17"/>
  <c r="AV78" i="17"/>
  <c r="AW78" i="17"/>
  <c r="AX78" i="17"/>
  <c r="AY78" i="17"/>
  <c r="AZ78" i="17"/>
  <c r="BA78" i="17"/>
  <c r="BB78" i="17"/>
  <c r="BC78" i="17"/>
  <c r="BD78" i="17"/>
  <c r="BE78" i="17"/>
  <c r="BF78" i="17"/>
  <c r="BG78" i="17"/>
  <c r="BH78" i="17"/>
  <c r="BI78" i="17"/>
  <c r="BJ78" i="17"/>
  <c r="BK78" i="17"/>
  <c r="BL78" i="17"/>
  <c r="BM78" i="17"/>
  <c r="BN78" i="17"/>
  <c r="BO78" i="17"/>
  <c r="BP78" i="17"/>
  <c r="BQ78" i="17"/>
  <c r="BR78" i="17"/>
  <c r="BS78" i="17"/>
  <c r="BT78" i="17"/>
  <c r="BU78" i="17"/>
  <c r="BV78" i="17"/>
  <c r="BW78" i="17"/>
  <c r="BX78" i="17"/>
  <c r="BY78" i="17"/>
  <c r="BZ78" i="17"/>
  <c r="CA78" i="17"/>
  <c r="CB78" i="17"/>
  <c r="CC78" i="17"/>
  <c r="CD78" i="17"/>
  <c r="CE78" i="17"/>
  <c r="CF78" i="17"/>
  <c r="CG78" i="17"/>
  <c r="CH78" i="17"/>
  <c r="CI78" i="17"/>
  <c r="CJ78" i="17"/>
  <c r="CK78" i="17"/>
  <c r="CL78" i="17"/>
  <c r="CM78" i="17"/>
  <c r="CN78" i="17"/>
  <c r="CO78" i="17"/>
  <c r="CP78" i="17"/>
  <c r="CQ78" i="17"/>
  <c r="CR78" i="17"/>
  <c r="CS78" i="17"/>
  <c r="CT78" i="17"/>
  <c r="CU78" i="17"/>
  <c r="CV78" i="17"/>
  <c r="CW78" i="17"/>
  <c r="CX78" i="17"/>
  <c r="CY78" i="17"/>
  <c r="CZ78" i="17"/>
  <c r="DA78" i="17"/>
  <c r="DB78" i="17"/>
  <c r="DC78" i="17"/>
  <c r="DD78" i="17"/>
  <c r="DE78" i="17"/>
  <c r="DF78" i="17"/>
  <c r="DG78" i="17"/>
  <c r="DH78" i="17"/>
  <c r="DI78" i="17"/>
  <c r="DJ78" i="17"/>
  <c r="DK78" i="17"/>
  <c r="DL78" i="17"/>
  <c r="DM78" i="17"/>
  <c r="DN78" i="17"/>
  <c r="DO78" i="17"/>
  <c r="DP78" i="17"/>
  <c r="DQ78" i="17"/>
  <c r="DR78" i="17"/>
  <c r="DS78" i="17"/>
  <c r="DT78" i="17"/>
  <c r="DU78" i="17"/>
  <c r="DV78" i="17"/>
  <c r="DW78" i="17"/>
  <c r="DX78" i="17"/>
  <c r="DY78" i="17"/>
  <c r="DZ78" i="17"/>
  <c r="EA78" i="17"/>
  <c r="EB78" i="17"/>
  <c r="EC78" i="17"/>
  <c r="ED78" i="17"/>
  <c r="EE78" i="17"/>
  <c r="EF78" i="17"/>
  <c r="EG78" i="17"/>
  <c r="EH78" i="17"/>
  <c r="EI78" i="17"/>
  <c r="EJ78" i="17"/>
  <c r="EK78" i="17"/>
  <c r="EL78" i="17"/>
  <c r="EM78" i="17"/>
  <c r="EN78" i="17"/>
  <c r="EO78" i="17"/>
  <c r="EP78" i="17"/>
  <c r="EQ78" i="17"/>
  <c r="ER78" i="17"/>
  <c r="ES78" i="17"/>
  <c r="ET78" i="17"/>
  <c r="EU78" i="17"/>
  <c r="EV78" i="17"/>
  <c r="EW78" i="17"/>
  <c r="EX78" i="17"/>
  <c r="EY78" i="17"/>
  <c r="EZ78" i="17"/>
  <c r="FA78" i="17"/>
  <c r="FB78" i="17"/>
  <c r="FC78" i="17"/>
  <c r="FD78" i="17"/>
  <c r="FE78" i="17"/>
  <c r="FF78" i="17"/>
  <c r="FG78" i="17"/>
  <c r="FH78" i="17"/>
  <c r="FI78" i="17"/>
  <c r="FJ78" i="17"/>
  <c r="FK78" i="17"/>
  <c r="FL78" i="17"/>
  <c r="FM78" i="17"/>
  <c r="FN78" i="17"/>
  <c r="FO78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AW79" i="17"/>
  <c r="AX79" i="17"/>
  <c r="AY79" i="17"/>
  <c r="AZ79" i="17"/>
  <c r="BA79" i="17"/>
  <c r="BB79" i="17"/>
  <c r="BC79" i="17"/>
  <c r="BD79" i="17"/>
  <c r="BE79" i="17"/>
  <c r="BF79" i="17"/>
  <c r="BG79" i="17"/>
  <c r="BH79" i="17"/>
  <c r="BI79" i="17"/>
  <c r="BJ79" i="17"/>
  <c r="BK79" i="17"/>
  <c r="BL79" i="17"/>
  <c r="BM79" i="17"/>
  <c r="BN79" i="17"/>
  <c r="BO79" i="17"/>
  <c r="BP79" i="17"/>
  <c r="BQ79" i="17"/>
  <c r="BR79" i="17"/>
  <c r="BS79" i="17"/>
  <c r="BT79" i="17"/>
  <c r="BU79" i="17"/>
  <c r="BV79" i="17"/>
  <c r="BW79" i="17"/>
  <c r="BX79" i="17"/>
  <c r="BY79" i="17"/>
  <c r="BZ79" i="17"/>
  <c r="CA79" i="17"/>
  <c r="CB79" i="17"/>
  <c r="CC79" i="17"/>
  <c r="CD79" i="17"/>
  <c r="CE79" i="17"/>
  <c r="CF79" i="17"/>
  <c r="CG79" i="17"/>
  <c r="CH79" i="17"/>
  <c r="CI79" i="17"/>
  <c r="CJ79" i="17"/>
  <c r="CK79" i="17"/>
  <c r="CL79" i="17"/>
  <c r="CM79" i="17"/>
  <c r="CN79" i="17"/>
  <c r="CO79" i="17"/>
  <c r="CP79" i="17"/>
  <c r="CQ79" i="17"/>
  <c r="CR79" i="17"/>
  <c r="CS79" i="17"/>
  <c r="CT79" i="17"/>
  <c r="CU79" i="17"/>
  <c r="CV79" i="17"/>
  <c r="CW79" i="17"/>
  <c r="CX79" i="17"/>
  <c r="CY79" i="17"/>
  <c r="CZ79" i="17"/>
  <c r="DA79" i="17"/>
  <c r="DB79" i="17"/>
  <c r="DC79" i="17"/>
  <c r="DD79" i="17"/>
  <c r="DE79" i="17"/>
  <c r="DF79" i="17"/>
  <c r="DG79" i="17"/>
  <c r="DH79" i="17"/>
  <c r="DI79" i="17"/>
  <c r="DJ79" i="17"/>
  <c r="DK79" i="17"/>
  <c r="DL79" i="17"/>
  <c r="DM79" i="17"/>
  <c r="DN79" i="17"/>
  <c r="DO79" i="17"/>
  <c r="DP79" i="17"/>
  <c r="DQ79" i="17"/>
  <c r="DR79" i="17"/>
  <c r="DS79" i="17"/>
  <c r="DT79" i="17"/>
  <c r="DU79" i="17"/>
  <c r="DV79" i="17"/>
  <c r="DW79" i="17"/>
  <c r="DX79" i="17"/>
  <c r="DY79" i="17"/>
  <c r="DZ79" i="17"/>
  <c r="EA79" i="17"/>
  <c r="EB79" i="17"/>
  <c r="EC79" i="17"/>
  <c r="ED79" i="17"/>
  <c r="EE79" i="17"/>
  <c r="EF79" i="17"/>
  <c r="EG79" i="17"/>
  <c r="EH79" i="17"/>
  <c r="EI79" i="17"/>
  <c r="EJ79" i="17"/>
  <c r="EK79" i="17"/>
  <c r="EL79" i="17"/>
  <c r="EM79" i="17"/>
  <c r="EN79" i="17"/>
  <c r="EO79" i="17"/>
  <c r="EP79" i="17"/>
  <c r="EQ79" i="17"/>
  <c r="ER79" i="17"/>
  <c r="ES79" i="17"/>
  <c r="ET79" i="17"/>
  <c r="EU79" i="17"/>
  <c r="EV79" i="17"/>
  <c r="EW79" i="17"/>
  <c r="EX79" i="17"/>
  <c r="EY79" i="17"/>
  <c r="EZ79" i="17"/>
  <c r="FA79" i="17"/>
  <c r="FB79" i="17"/>
  <c r="FC79" i="17"/>
  <c r="FD79" i="17"/>
  <c r="FE79" i="17"/>
  <c r="FF79" i="17"/>
  <c r="FG79" i="17"/>
  <c r="FH79" i="17"/>
  <c r="FI79" i="17"/>
  <c r="FJ79" i="17"/>
  <c r="FK79" i="17"/>
  <c r="FL79" i="17"/>
  <c r="FM79" i="17"/>
  <c r="FN79" i="17"/>
  <c r="FO79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AW80" i="17"/>
  <c r="AX80" i="17"/>
  <c r="AY80" i="17"/>
  <c r="AZ80" i="17"/>
  <c r="BA80" i="17"/>
  <c r="BB80" i="17"/>
  <c r="BC80" i="17"/>
  <c r="BD80" i="17"/>
  <c r="BE80" i="17"/>
  <c r="BF80" i="17"/>
  <c r="BG80" i="17"/>
  <c r="BH80" i="17"/>
  <c r="BI80" i="17"/>
  <c r="BJ80" i="17"/>
  <c r="BK80" i="17"/>
  <c r="BL80" i="17"/>
  <c r="BM80" i="17"/>
  <c r="BN80" i="17"/>
  <c r="BO80" i="17"/>
  <c r="BP80" i="17"/>
  <c r="BQ80" i="17"/>
  <c r="BR80" i="17"/>
  <c r="BS80" i="17"/>
  <c r="BT80" i="17"/>
  <c r="BU80" i="17"/>
  <c r="BV80" i="17"/>
  <c r="BW80" i="17"/>
  <c r="BX80" i="17"/>
  <c r="BY80" i="17"/>
  <c r="BZ80" i="17"/>
  <c r="CA80" i="17"/>
  <c r="CB80" i="17"/>
  <c r="CC80" i="17"/>
  <c r="CD80" i="17"/>
  <c r="CE80" i="17"/>
  <c r="CF80" i="17"/>
  <c r="CG80" i="17"/>
  <c r="CH80" i="17"/>
  <c r="CI80" i="17"/>
  <c r="CJ80" i="17"/>
  <c r="CK80" i="17"/>
  <c r="CL80" i="17"/>
  <c r="CM80" i="17"/>
  <c r="CN80" i="17"/>
  <c r="CO80" i="17"/>
  <c r="CP80" i="17"/>
  <c r="CQ80" i="17"/>
  <c r="CR80" i="17"/>
  <c r="CS80" i="17"/>
  <c r="CT80" i="17"/>
  <c r="CU80" i="17"/>
  <c r="CV80" i="17"/>
  <c r="CW80" i="17"/>
  <c r="CX80" i="17"/>
  <c r="CY80" i="17"/>
  <c r="CZ80" i="17"/>
  <c r="DA80" i="17"/>
  <c r="DB80" i="17"/>
  <c r="DC80" i="17"/>
  <c r="DD80" i="17"/>
  <c r="DE80" i="17"/>
  <c r="DF80" i="17"/>
  <c r="DG80" i="17"/>
  <c r="DH80" i="17"/>
  <c r="DI80" i="17"/>
  <c r="DJ80" i="17"/>
  <c r="DK80" i="17"/>
  <c r="DL80" i="17"/>
  <c r="DM80" i="17"/>
  <c r="DN80" i="17"/>
  <c r="DO80" i="17"/>
  <c r="DP80" i="17"/>
  <c r="DQ80" i="17"/>
  <c r="DR80" i="17"/>
  <c r="DS80" i="17"/>
  <c r="DT80" i="17"/>
  <c r="DU80" i="17"/>
  <c r="DV80" i="17"/>
  <c r="DW80" i="17"/>
  <c r="DX80" i="17"/>
  <c r="DY80" i="17"/>
  <c r="DZ80" i="17"/>
  <c r="EA80" i="17"/>
  <c r="EB80" i="17"/>
  <c r="EC80" i="17"/>
  <c r="ED80" i="17"/>
  <c r="EE80" i="17"/>
  <c r="EF80" i="17"/>
  <c r="EG80" i="17"/>
  <c r="EH80" i="17"/>
  <c r="EI80" i="17"/>
  <c r="EJ80" i="17"/>
  <c r="EK80" i="17"/>
  <c r="EL80" i="17"/>
  <c r="EM80" i="17"/>
  <c r="EN80" i="17"/>
  <c r="EO80" i="17"/>
  <c r="EP80" i="17"/>
  <c r="EQ80" i="17"/>
  <c r="ER80" i="17"/>
  <c r="ES80" i="17"/>
  <c r="ET80" i="17"/>
  <c r="EU80" i="17"/>
  <c r="EV80" i="17"/>
  <c r="EW80" i="17"/>
  <c r="EX80" i="17"/>
  <c r="EY80" i="17"/>
  <c r="EZ80" i="17"/>
  <c r="FA80" i="17"/>
  <c r="FB80" i="17"/>
  <c r="FC80" i="17"/>
  <c r="FD80" i="17"/>
  <c r="FE80" i="17"/>
  <c r="FF80" i="17"/>
  <c r="FG80" i="17"/>
  <c r="FH80" i="17"/>
  <c r="FI80" i="17"/>
  <c r="FJ80" i="17"/>
  <c r="FK80" i="17"/>
  <c r="FL80" i="17"/>
  <c r="FM80" i="17"/>
  <c r="FN80" i="17"/>
  <c r="FO80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R81" i="17"/>
  <c r="AS81" i="17"/>
  <c r="AT81" i="17"/>
  <c r="AU81" i="17"/>
  <c r="AV81" i="17"/>
  <c r="AW81" i="17"/>
  <c r="AX81" i="17"/>
  <c r="AY81" i="17"/>
  <c r="AZ81" i="17"/>
  <c r="BA81" i="17"/>
  <c r="BB81" i="17"/>
  <c r="BC81" i="17"/>
  <c r="BD81" i="17"/>
  <c r="BE81" i="17"/>
  <c r="BF81" i="17"/>
  <c r="BG81" i="17"/>
  <c r="BH81" i="17"/>
  <c r="BI81" i="17"/>
  <c r="BJ81" i="17"/>
  <c r="BK81" i="17"/>
  <c r="BL81" i="17"/>
  <c r="BM81" i="17"/>
  <c r="BN81" i="17"/>
  <c r="BO81" i="17"/>
  <c r="BP81" i="17"/>
  <c r="BQ81" i="17"/>
  <c r="BR81" i="17"/>
  <c r="BS81" i="17"/>
  <c r="BT81" i="17"/>
  <c r="BU81" i="17"/>
  <c r="BV81" i="17"/>
  <c r="BW81" i="17"/>
  <c r="BX81" i="17"/>
  <c r="BY81" i="17"/>
  <c r="BZ81" i="17"/>
  <c r="CA81" i="17"/>
  <c r="CB81" i="17"/>
  <c r="CC81" i="17"/>
  <c r="CD81" i="17"/>
  <c r="CE81" i="17"/>
  <c r="CF81" i="17"/>
  <c r="CG81" i="17"/>
  <c r="CH81" i="17"/>
  <c r="CI81" i="17"/>
  <c r="CJ81" i="17"/>
  <c r="CK81" i="17"/>
  <c r="CL81" i="17"/>
  <c r="CM81" i="17"/>
  <c r="CN81" i="17"/>
  <c r="CO81" i="17"/>
  <c r="CP81" i="17"/>
  <c r="CQ81" i="17"/>
  <c r="CR81" i="17"/>
  <c r="CS81" i="17"/>
  <c r="CT81" i="17"/>
  <c r="CU81" i="17"/>
  <c r="CV81" i="17"/>
  <c r="CW81" i="17"/>
  <c r="CX81" i="17"/>
  <c r="CY81" i="17"/>
  <c r="CZ81" i="17"/>
  <c r="DA81" i="17"/>
  <c r="DB81" i="17"/>
  <c r="DC81" i="17"/>
  <c r="DD81" i="17"/>
  <c r="DE81" i="17"/>
  <c r="DF81" i="17"/>
  <c r="DG81" i="17"/>
  <c r="DH81" i="17"/>
  <c r="DI81" i="17"/>
  <c r="DJ81" i="17"/>
  <c r="DK81" i="17"/>
  <c r="DL81" i="17"/>
  <c r="DM81" i="17"/>
  <c r="DN81" i="17"/>
  <c r="DO81" i="17"/>
  <c r="DP81" i="17"/>
  <c r="DQ81" i="17"/>
  <c r="DR81" i="17"/>
  <c r="DS81" i="17"/>
  <c r="DT81" i="17"/>
  <c r="DU81" i="17"/>
  <c r="DV81" i="17"/>
  <c r="DW81" i="17"/>
  <c r="DX81" i="17"/>
  <c r="DY81" i="17"/>
  <c r="DZ81" i="17"/>
  <c r="EA81" i="17"/>
  <c r="EB81" i="17"/>
  <c r="EC81" i="17"/>
  <c r="ED81" i="17"/>
  <c r="EE81" i="17"/>
  <c r="EF81" i="17"/>
  <c r="EG81" i="17"/>
  <c r="EH81" i="17"/>
  <c r="EI81" i="17"/>
  <c r="EJ81" i="17"/>
  <c r="EK81" i="17"/>
  <c r="EL81" i="17"/>
  <c r="EM81" i="17"/>
  <c r="EN81" i="17"/>
  <c r="EO81" i="17"/>
  <c r="EP81" i="17"/>
  <c r="EQ81" i="17"/>
  <c r="ER81" i="17"/>
  <c r="ES81" i="17"/>
  <c r="ET81" i="17"/>
  <c r="EU81" i="17"/>
  <c r="EV81" i="17"/>
  <c r="EW81" i="17"/>
  <c r="EX81" i="17"/>
  <c r="EY81" i="17"/>
  <c r="EZ81" i="17"/>
  <c r="FA81" i="17"/>
  <c r="FB81" i="17"/>
  <c r="FC81" i="17"/>
  <c r="FD81" i="17"/>
  <c r="FE81" i="17"/>
  <c r="FF81" i="17"/>
  <c r="FG81" i="17"/>
  <c r="FH81" i="17"/>
  <c r="FI81" i="17"/>
  <c r="FJ81" i="17"/>
  <c r="FK81" i="17"/>
  <c r="FL81" i="17"/>
  <c r="FM81" i="17"/>
  <c r="FN81" i="17"/>
  <c r="FO81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R82" i="17"/>
  <c r="AS82" i="17"/>
  <c r="AT82" i="17"/>
  <c r="AU82" i="17"/>
  <c r="AV82" i="17"/>
  <c r="AW82" i="17"/>
  <c r="AX82" i="17"/>
  <c r="AY82" i="17"/>
  <c r="AZ82" i="17"/>
  <c r="BA82" i="17"/>
  <c r="BB82" i="17"/>
  <c r="BC82" i="17"/>
  <c r="BD82" i="17"/>
  <c r="BE82" i="17"/>
  <c r="BF82" i="17"/>
  <c r="BG82" i="17"/>
  <c r="BH82" i="17"/>
  <c r="BI82" i="17"/>
  <c r="BJ82" i="17"/>
  <c r="BK82" i="17"/>
  <c r="BL82" i="17"/>
  <c r="BM82" i="17"/>
  <c r="BN82" i="17"/>
  <c r="BO82" i="17"/>
  <c r="BP82" i="17"/>
  <c r="BQ82" i="17"/>
  <c r="BR82" i="17"/>
  <c r="BS82" i="17"/>
  <c r="BT82" i="17"/>
  <c r="BU82" i="17"/>
  <c r="BV82" i="17"/>
  <c r="BW82" i="17"/>
  <c r="BX82" i="17"/>
  <c r="BY82" i="17"/>
  <c r="BZ82" i="17"/>
  <c r="CA82" i="17"/>
  <c r="CB82" i="17"/>
  <c r="CC82" i="17"/>
  <c r="CD82" i="17"/>
  <c r="CE82" i="17"/>
  <c r="CF82" i="17"/>
  <c r="CG82" i="17"/>
  <c r="CH82" i="17"/>
  <c r="CI82" i="17"/>
  <c r="CJ82" i="17"/>
  <c r="CK82" i="17"/>
  <c r="CL82" i="17"/>
  <c r="CM82" i="17"/>
  <c r="CN82" i="17"/>
  <c r="CO82" i="17"/>
  <c r="CP82" i="17"/>
  <c r="CQ82" i="17"/>
  <c r="CR82" i="17"/>
  <c r="CS82" i="17"/>
  <c r="CT82" i="17"/>
  <c r="CU82" i="17"/>
  <c r="CV82" i="17"/>
  <c r="CW82" i="17"/>
  <c r="CX82" i="17"/>
  <c r="CY82" i="17"/>
  <c r="CZ82" i="17"/>
  <c r="DA82" i="17"/>
  <c r="DB82" i="17"/>
  <c r="DC82" i="17"/>
  <c r="DD82" i="17"/>
  <c r="DE82" i="17"/>
  <c r="DF82" i="17"/>
  <c r="DG82" i="17"/>
  <c r="DH82" i="17"/>
  <c r="DI82" i="17"/>
  <c r="DJ82" i="17"/>
  <c r="DK82" i="17"/>
  <c r="DL82" i="17"/>
  <c r="DM82" i="17"/>
  <c r="DN82" i="17"/>
  <c r="DO82" i="17"/>
  <c r="DP82" i="17"/>
  <c r="DQ82" i="17"/>
  <c r="DR82" i="17"/>
  <c r="DS82" i="17"/>
  <c r="DT82" i="17"/>
  <c r="DU82" i="17"/>
  <c r="DV82" i="17"/>
  <c r="DW82" i="17"/>
  <c r="DX82" i="17"/>
  <c r="DY82" i="17"/>
  <c r="DZ82" i="17"/>
  <c r="EA82" i="17"/>
  <c r="EB82" i="17"/>
  <c r="EC82" i="17"/>
  <c r="ED82" i="17"/>
  <c r="EE82" i="17"/>
  <c r="EF82" i="17"/>
  <c r="EG82" i="17"/>
  <c r="EH82" i="17"/>
  <c r="EI82" i="17"/>
  <c r="EJ82" i="17"/>
  <c r="EK82" i="17"/>
  <c r="EL82" i="17"/>
  <c r="EM82" i="17"/>
  <c r="EN82" i="17"/>
  <c r="EO82" i="17"/>
  <c r="EP82" i="17"/>
  <c r="EQ82" i="17"/>
  <c r="ER82" i="17"/>
  <c r="ES82" i="17"/>
  <c r="ET82" i="17"/>
  <c r="EU82" i="17"/>
  <c r="EV82" i="17"/>
  <c r="EW82" i="17"/>
  <c r="EX82" i="17"/>
  <c r="EY82" i="17"/>
  <c r="EZ82" i="17"/>
  <c r="FA82" i="17"/>
  <c r="FB82" i="17"/>
  <c r="FC82" i="17"/>
  <c r="FD82" i="17"/>
  <c r="FE82" i="17"/>
  <c r="FF82" i="17"/>
  <c r="FG82" i="17"/>
  <c r="FH82" i="17"/>
  <c r="FI82" i="17"/>
  <c r="FJ82" i="17"/>
  <c r="FK82" i="17"/>
  <c r="FL82" i="17"/>
  <c r="FM82" i="17"/>
  <c r="FN82" i="17"/>
  <c r="FO82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R83" i="17"/>
  <c r="AS83" i="17"/>
  <c r="AT83" i="17"/>
  <c r="AU83" i="17"/>
  <c r="AV83" i="17"/>
  <c r="AW83" i="17"/>
  <c r="AX83" i="17"/>
  <c r="AY83" i="17"/>
  <c r="AZ83" i="17"/>
  <c r="BA83" i="17"/>
  <c r="BB83" i="17"/>
  <c r="BC83" i="17"/>
  <c r="BD83" i="17"/>
  <c r="BE83" i="17"/>
  <c r="BF83" i="17"/>
  <c r="BG83" i="17"/>
  <c r="BH83" i="17"/>
  <c r="BI83" i="17"/>
  <c r="BJ83" i="17"/>
  <c r="BK83" i="17"/>
  <c r="BL83" i="17"/>
  <c r="BM83" i="17"/>
  <c r="BN83" i="17"/>
  <c r="BO83" i="17"/>
  <c r="BP83" i="17"/>
  <c r="BQ83" i="17"/>
  <c r="BR83" i="17"/>
  <c r="BS83" i="17"/>
  <c r="BT83" i="17"/>
  <c r="BU83" i="17"/>
  <c r="BV83" i="17"/>
  <c r="BW83" i="17"/>
  <c r="BX83" i="17"/>
  <c r="BY83" i="17"/>
  <c r="BZ83" i="17"/>
  <c r="CA83" i="17"/>
  <c r="CB83" i="17"/>
  <c r="CC83" i="17"/>
  <c r="CD83" i="17"/>
  <c r="CE83" i="17"/>
  <c r="CF83" i="17"/>
  <c r="CG83" i="17"/>
  <c r="CH83" i="17"/>
  <c r="CI83" i="17"/>
  <c r="CJ83" i="17"/>
  <c r="CK83" i="17"/>
  <c r="CL83" i="17"/>
  <c r="CM83" i="17"/>
  <c r="CN83" i="17"/>
  <c r="CO83" i="17"/>
  <c r="CP83" i="17"/>
  <c r="CQ83" i="17"/>
  <c r="CR83" i="17"/>
  <c r="CS83" i="17"/>
  <c r="CT83" i="17"/>
  <c r="CU83" i="17"/>
  <c r="CV83" i="17"/>
  <c r="CW83" i="17"/>
  <c r="CX83" i="17"/>
  <c r="CY83" i="17"/>
  <c r="CZ83" i="17"/>
  <c r="DA83" i="17"/>
  <c r="DB83" i="17"/>
  <c r="DC83" i="17"/>
  <c r="DD83" i="17"/>
  <c r="DE83" i="17"/>
  <c r="DF83" i="17"/>
  <c r="DG83" i="17"/>
  <c r="DH83" i="17"/>
  <c r="DI83" i="17"/>
  <c r="DJ83" i="17"/>
  <c r="DK83" i="17"/>
  <c r="DL83" i="17"/>
  <c r="DM83" i="17"/>
  <c r="DN83" i="17"/>
  <c r="DO83" i="17"/>
  <c r="DP83" i="17"/>
  <c r="DQ83" i="17"/>
  <c r="DR83" i="17"/>
  <c r="DS83" i="17"/>
  <c r="DT83" i="17"/>
  <c r="DU83" i="17"/>
  <c r="DV83" i="17"/>
  <c r="DW83" i="17"/>
  <c r="DX83" i="17"/>
  <c r="DY83" i="17"/>
  <c r="DZ83" i="17"/>
  <c r="EA83" i="17"/>
  <c r="EB83" i="17"/>
  <c r="EC83" i="17"/>
  <c r="ED83" i="17"/>
  <c r="EE83" i="17"/>
  <c r="EF83" i="17"/>
  <c r="EG83" i="17"/>
  <c r="EH83" i="17"/>
  <c r="EI83" i="17"/>
  <c r="EJ83" i="17"/>
  <c r="EK83" i="17"/>
  <c r="EL83" i="17"/>
  <c r="EM83" i="17"/>
  <c r="EN83" i="17"/>
  <c r="EO83" i="17"/>
  <c r="EP83" i="17"/>
  <c r="EQ83" i="17"/>
  <c r="ER83" i="17"/>
  <c r="ES83" i="17"/>
  <c r="ET83" i="17"/>
  <c r="EU83" i="17"/>
  <c r="EV83" i="17"/>
  <c r="EW83" i="17"/>
  <c r="EX83" i="17"/>
  <c r="EY83" i="17"/>
  <c r="EZ83" i="17"/>
  <c r="FA83" i="17"/>
  <c r="FB83" i="17"/>
  <c r="FC83" i="17"/>
  <c r="FD83" i="17"/>
  <c r="FE83" i="17"/>
  <c r="FF83" i="17"/>
  <c r="FG83" i="17"/>
  <c r="FH83" i="17"/>
  <c r="FI83" i="17"/>
  <c r="FJ83" i="17"/>
  <c r="FK83" i="17"/>
  <c r="FL83" i="17"/>
  <c r="FM83" i="17"/>
  <c r="FN83" i="17"/>
  <c r="FO83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R84" i="17"/>
  <c r="AS84" i="17"/>
  <c r="AT84" i="17"/>
  <c r="AU84" i="17"/>
  <c r="AV84" i="17"/>
  <c r="AW84" i="17"/>
  <c r="AX84" i="17"/>
  <c r="AY84" i="17"/>
  <c r="AZ84" i="17"/>
  <c r="BA84" i="17"/>
  <c r="BB84" i="17"/>
  <c r="BC84" i="17"/>
  <c r="BD84" i="17"/>
  <c r="BE84" i="17"/>
  <c r="BF84" i="17"/>
  <c r="BG84" i="17"/>
  <c r="BH84" i="17"/>
  <c r="BI84" i="17"/>
  <c r="BJ84" i="17"/>
  <c r="BK84" i="17"/>
  <c r="BL84" i="17"/>
  <c r="BM84" i="17"/>
  <c r="BN84" i="17"/>
  <c r="BO84" i="17"/>
  <c r="BP84" i="17"/>
  <c r="BQ84" i="17"/>
  <c r="BR84" i="17"/>
  <c r="BS84" i="17"/>
  <c r="BT84" i="17"/>
  <c r="BU84" i="17"/>
  <c r="BV84" i="17"/>
  <c r="BW84" i="17"/>
  <c r="BX84" i="17"/>
  <c r="BY84" i="17"/>
  <c r="BZ84" i="17"/>
  <c r="CA84" i="17"/>
  <c r="CB84" i="17"/>
  <c r="CC84" i="17"/>
  <c r="CD84" i="17"/>
  <c r="CE84" i="17"/>
  <c r="CF84" i="17"/>
  <c r="CG84" i="17"/>
  <c r="CH84" i="17"/>
  <c r="CI84" i="17"/>
  <c r="CJ84" i="17"/>
  <c r="CK84" i="17"/>
  <c r="CL84" i="17"/>
  <c r="CM84" i="17"/>
  <c r="CN84" i="17"/>
  <c r="CO84" i="17"/>
  <c r="CP84" i="17"/>
  <c r="CQ84" i="17"/>
  <c r="CR84" i="17"/>
  <c r="CS84" i="17"/>
  <c r="CT84" i="17"/>
  <c r="CU84" i="17"/>
  <c r="CV84" i="17"/>
  <c r="CW84" i="17"/>
  <c r="CX84" i="17"/>
  <c r="CY84" i="17"/>
  <c r="CZ84" i="17"/>
  <c r="DA84" i="17"/>
  <c r="DB84" i="17"/>
  <c r="DC84" i="17"/>
  <c r="DD84" i="17"/>
  <c r="DE84" i="17"/>
  <c r="DF84" i="17"/>
  <c r="DG84" i="17"/>
  <c r="DH84" i="17"/>
  <c r="DI84" i="17"/>
  <c r="DJ84" i="17"/>
  <c r="DK84" i="17"/>
  <c r="DL84" i="17"/>
  <c r="DM84" i="17"/>
  <c r="DN84" i="17"/>
  <c r="DO84" i="17"/>
  <c r="DP84" i="17"/>
  <c r="DQ84" i="17"/>
  <c r="DR84" i="17"/>
  <c r="DS84" i="17"/>
  <c r="DT84" i="17"/>
  <c r="DU84" i="17"/>
  <c r="DV84" i="17"/>
  <c r="DW84" i="17"/>
  <c r="DX84" i="17"/>
  <c r="DY84" i="17"/>
  <c r="DZ84" i="17"/>
  <c r="EA84" i="17"/>
  <c r="EB84" i="17"/>
  <c r="EC84" i="17"/>
  <c r="ED84" i="17"/>
  <c r="EE84" i="17"/>
  <c r="EF84" i="17"/>
  <c r="EG84" i="17"/>
  <c r="EH84" i="17"/>
  <c r="EI84" i="17"/>
  <c r="EJ84" i="17"/>
  <c r="EK84" i="17"/>
  <c r="EL84" i="17"/>
  <c r="EM84" i="17"/>
  <c r="EN84" i="17"/>
  <c r="EO84" i="17"/>
  <c r="EP84" i="17"/>
  <c r="EQ84" i="17"/>
  <c r="ER84" i="17"/>
  <c r="ES84" i="17"/>
  <c r="ET84" i="17"/>
  <c r="EU84" i="17"/>
  <c r="EV84" i="17"/>
  <c r="EW84" i="17"/>
  <c r="EX84" i="17"/>
  <c r="EY84" i="17"/>
  <c r="EZ84" i="17"/>
  <c r="FA84" i="17"/>
  <c r="FB84" i="17"/>
  <c r="FC84" i="17"/>
  <c r="FD84" i="17"/>
  <c r="FE84" i="17"/>
  <c r="FF84" i="17"/>
  <c r="FG84" i="17"/>
  <c r="FH84" i="17"/>
  <c r="FI84" i="17"/>
  <c r="FJ84" i="17"/>
  <c r="FK84" i="17"/>
  <c r="FL84" i="17"/>
  <c r="FM84" i="17"/>
  <c r="FN84" i="17"/>
  <c r="FO84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AW85" i="17"/>
  <c r="AX85" i="17"/>
  <c r="AY85" i="17"/>
  <c r="AZ85" i="17"/>
  <c r="BA85" i="17"/>
  <c r="BB85" i="17"/>
  <c r="BC85" i="17"/>
  <c r="BD85" i="17"/>
  <c r="BE85" i="17"/>
  <c r="BF85" i="17"/>
  <c r="BG85" i="17"/>
  <c r="BH85" i="17"/>
  <c r="BI85" i="17"/>
  <c r="BJ85" i="17"/>
  <c r="BK85" i="17"/>
  <c r="BL85" i="17"/>
  <c r="BM85" i="17"/>
  <c r="BN85" i="17"/>
  <c r="BO85" i="17"/>
  <c r="BP85" i="17"/>
  <c r="BQ85" i="17"/>
  <c r="BR85" i="17"/>
  <c r="BS85" i="17"/>
  <c r="BT85" i="17"/>
  <c r="BU85" i="17"/>
  <c r="BV85" i="17"/>
  <c r="BW85" i="17"/>
  <c r="BX85" i="17"/>
  <c r="BY85" i="17"/>
  <c r="BZ85" i="17"/>
  <c r="CA85" i="17"/>
  <c r="CB85" i="17"/>
  <c r="CC85" i="17"/>
  <c r="CD85" i="17"/>
  <c r="CE85" i="17"/>
  <c r="CF85" i="17"/>
  <c r="CG85" i="17"/>
  <c r="CH85" i="17"/>
  <c r="CI85" i="17"/>
  <c r="CJ85" i="17"/>
  <c r="CK85" i="17"/>
  <c r="CL85" i="17"/>
  <c r="CM85" i="17"/>
  <c r="CN85" i="17"/>
  <c r="CO85" i="17"/>
  <c r="CP85" i="17"/>
  <c r="CQ85" i="17"/>
  <c r="CR85" i="17"/>
  <c r="CS85" i="17"/>
  <c r="CT85" i="17"/>
  <c r="CU85" i="17"/>
  <c r="CV85" i="17"/>
  <c r="CW85" i="17"/>
  <c r="CX85" i="17"/>
  <c r="CY85" i="17"/>
  <c r="CZ85" i="17"/>
  <c r="DA85" i="17"/>
  <c r="DB85" i="17"/>
  <c r="DC85" i="17"/>
  <c r="DD85" i="17"/>
  <c r="DE85" i="17"/>
  <c r="DF85" i="17"/>
  <c r="DG85" i="17"/>
  <c r="DH85" i="17"/>
  <c r="DI85" i="17"/>
  <c r="DJ85" i="17"/>
  <c r="DK85" i="17"/>
  <c r="DL85" i="17"/>
  <c r="DM85" i="17"/>
  <c r="DN85" i="17"/>
  <c r="DO85" i="17"/>
  <c r="DP85" i="17"/>
  <c r="DQ85" i="17"/>
  <c r="DR85" i="17"/>
  <c r="DS85" i="17"/>
  <c r="DT85" i="17"/>
  <c r="DU85" i="17"/>
  <c r="DV85" i="17"/>
  <c r="DW85" i="17"/>
  <c r="DX85" i="17"/>
  <c r="DY85" i="17"/>
  <c r="DZ85" i="17"/>
  <c r="EA85" i="17"/>
  <c r="EB85" i="17"/>
  <c r="EC85" i="17"/>
  <c r="ED85" i="17"/>
  <c r="EE85" i="17"/>
  <c r="EF85" i="17"/>
  <c r="EG85" i="17"/>
  <c r="EH85" i="17"/>
  <c r="EI85" i="17"/>
  <c r="EJ85" i="17"/>
  <c r="EK85" i="17"/>
  <c r="EL85" i="17"/>
  <c r="EM85" i="17"/>
  <c r="EN85" i="17"/>
  <c r="EO85" i="17"/>
  <c r="EP85" i="17"/>
  <c r="EQ85" i="17"/>
  <c r="ER85" i="17"/>
  <c r="ES85" i="17"/>
  <c r="ET85" i="17"/>
  <c r="EU85" i="17"/>
  <c r="EV85" i="17"/>
  <c r="EW85" i="17"/>
  <c r="EX85" i="17"/>
  <c r="EY85" i="17"/>
  <c r="EZ85" i="17"/>
  <c r="FA85" i="17"/>
  <c r="FB85" i="17"/>
  <c r="FC85" i="17"/>
  <c r="FD85" i="17"/>
  <c r="FE85" i="17"/>
  <c r="FF85" i="17"/>
  <c r="FG85" i="17"/>
  <c r="FH85" i="17"/>
  <c r="FI85" i="17"/>
  <c r="FJ85" i="17"/>
  <c r="FK85" i="17"/>
  <c r="FL85" i="17"/>
  <c r="FM85" i="17"/>
  <c r="FN85" i="17"/>
  <c r="FO85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R86" i="17"/>
  <c r="AS86" i="17"/>
  <c r="AT86" i="17"/>
  <c r="AU86" i="17"/>
  <c r="AV86" i="17"/>
  <c r="AW86" i="17"/>
  <c r="AX86" i="17"/>
  <c r="AY86" i="17"/>
  <c r="AZ86" i="17"/>
  <c r="BA86" i="17"/>
  <c r="BB86" i="17"/>
  <c r="BC86" i="17"/>
  <c r="BD86" i="17"/>
  <c r="BE86" i="17"/>
  <c r="BF86" i="17"/>
  <c r="BG86" i="17"/>
  <c r="BH86" i="17"/>
  <c r="BI86" i="17"/>
  <c r="BJ86" i="17"/>
  <c r="BK86" i="17"/>
  <c r="BL86" i="17"/>
  <c r="BM86" i="17"/>
  <c r="BN86" i="17"/>
  <c r="BO86" i="17"/>
  <c r="BP86" i="17"/>
  <c r="BQ86" i="17"/>
  <c r="BR86" i="17"/>
  <c r="BS86" i="17"/>
  <c r="BT86" i="17"/>
  <c r="BU86" i="17"/>
  <c r="BV86" i="17"/>
  <c r="BW86" i="17"/>
  <c r="BX86" i="17"/>
  <c r="BY86" i="17"/>
  <c r="BZ86" i="17"/>
  <c r="CA86" i="17"/>
  <c r="CB86" i="17"/>
  <c r="CC86" i="17"/>
  <c r="CD86" i="17"/>
  <c r="CE86" i="17"/>
  <c r="CF86" i="17"/>
  <c r="CG86" i="17"/>
  <c r="CH86" i="17"/>
  <c r="CI86" i="17"/>
  <c r="CJ86" i="17"/>
  <c r="CK86" i="17"/>
  <c r="CL86" i="17"/>
  <c r="CM86" i="17"/>
  <c r="CN86" i="17"/>
  <c r="CO86" i="17"/>
  <c r="CP86" i="17"/>
  <c r="CQ86" i="17"/>
  <c r="CR86" i="17"/>
  <c r="CS86" i="17"/>
  <c r="CT86" i="17"/>
  <c r="CU86" i="17"/>
  <c r="CV86" i="17"/>
  <c r="CW86" i="17"/>
  <c r="CX86" i="17"/>
  <c r="CY86" i="17"/>
  <c r="CZ86" i="17"/>
  <c r="DA86" i="17"/>
  <c r="DB86" i="17"/>
  <c r="DC86" i="17"/>
  <c r="DD86" i="17"/>
  <c r="DE86" i="17"/>
  <c r="DF86" i="17"/>
  <c r="DG86" i="17"/>
  <c r="DH86" i="17"/>
  <c r="DI86" i="17"/>
  <c r="DJ86" i="17"/>
  <c r="DK86" i="17"/>
  <c r="DL86" i="17"/>
  <c r="DM86" i="17"/>
  <c r="DN86" i="17"/>
  <c r="DO86" i="17"/>
  <c r="DP86" i="17"/>
  <c r="DQ86" i="17"/>
  <c r="DR86" i="17"/>
  <c r="DS86" i="17"/>
  <c r="DT86" i="17"/>
  <c r="DU86" i="17"/>
  <c r="DV86" i="17"/>
  <c r="DW86" i="17"/>
  <c r="DX86" i="17"/>
  <c r="DY86" i="17"/>
  <c r="DZ86" i="17"/>
  <c r="EA86" i="17"/>
  <c r="EB86" i="17"/>
  <c r="EC86" i="17"/>
  <c r="ED86" i="17"/>
  <c r="EE86" i="17"/>
  <c r="EF86" i="17"/>
  <c r="EG86" i="17"/>
  <c r="EH86" i="17"/>
  <c r="EI86" i="17"/>
  <c r="EJ86" i="17"/>
  <c r="EK86" i="17"/>
  <c r="EL86" i="17"/>
  <c r="EM86" i="17"/>
  <c r="EN86" i="17"/>
  <c r="EO86" i="17"/>
  <c r="EP86" i="17"/>
  <c r="EQ86" i="17"/>
  <c r="ER86" i="17"/>
  <c r="ES86" i="17"/>
  <c r="ET86" i="17"/>
  <c r="EU86" i="17"/>
  <c r="EV86" i="17"/>
  <c r="EW86" i="17"/>
  <c r="EX86" i="17"/>
  <c r="EY86" i="17"/>
  <c r="EZ86" i="17"/>
  <c r="FA86" i="17"/>
  <c r="FB86" i="17"/>
  <c r="FC86" i="17"/>
  <c r="FD86" i="17"/>
  <c r="FE86" i="17"/>
  <c r="FF86" i="17"/>
  <c r="FG86" i="17"/>
  <c r="FH86" i="17"/>
  <c r="FI86" i="17"/>
  <c r="FJ86" i="17"/>
  <c r="FK86" i="17"/>
  <c r="FL86" i="17"/>
  <c r="FM86" i="17"/>
  <c r="FN86" i="17"/>
  <c r="FO86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R87" i="17"/>
  <c r="AS87" i="17"/>
  <c r="AT87" i="17"/>
  <c r="AU87" i="17"/>
  <c r="AV87" i="17"/>
  <c r="AW87" i="17"/>
  <c r="AX87" i="17"/>
  <c r="AY87" i="17"/>
  <c r="AZ87" i="17"/>
  <c r="BA87" i="17"/>
  <c r="BB87" i="17"/>
  <c r="BC87" i="17"/>
  <c r="BD87" i="17"/>
  <c r="BE87" i="17"/>
  <c r="BF87" i="17"/>
  <c r="BG87" i="17"/>
  <c r="BH87" i="17"/>
  <c r="BI87" i="17"/>
  <c r="BJ87" i="17"/>
  <c r="BK87" i="17"/>
  <c r="BL87" i="17"/>
  <c r="BM87" i="17"/>
  <c r="BN87" i="17"/>
  <c r="BO87" i="17"/>
  <c r="BP87" i="17"/>
  <c r="BQ87" i="17"/>
  <c r="BR87" i="17"/>
  <c r="BS87" i="17"/>
  <c r="BT87" i="17"/>
  <c r="BU87" i="17"/>
  <c r="BV87" i="17"/>
  <c r="BW87" i="17"/>
  <c r="BX87" i="17"/>
  <c r="BY87" i="17"/>
  <c r="BZ87" i="17"/>
  <c r="CA87" i="17"/>
  <c r="CB87" i="17"/>
  <c r="CC87" i="17"/>
  <c r="CD87" i="17"/>
  <c r="CE87" i="17"/>
  <c r="CF87" i="17"/>
  <c r="CG87" i="17"/>
  <c r="CH87" i="17"/>
  <c r="CI87" i="17"/>
  <c r="CJ87" i="17"/>
  <c r="CK87" i="17"/>
  <c r="CL87" i="17"/>
  <c r="CM87" i="17"/>
  <c r="CN87" i="17"/>
  <c r="CO87" i="17"/>
  <c r="CP87" i="17"/>
  <c r="CQ87" i="17"/>
  <c r="CR87" i="17"/>
  <c r="CS87" i="17"/>
  <c r="CT87" i="17"/>
  <c r="CU87" i="17"/>
  <c r="CV87" i="17"/>
  <c r="CW87" i="17"/>
  <c r="CX87" i="17"/>
  <c r="CY87" i="17"/>
  <c r="CZ87" i="17"/>
  <c r="DA87" i="17"/>
  <c r="DB87" i="17"/>
  <c r="DC87" i="17"/>
  <c r="DD87" i="17"/>
  <c r="DE87" i="17"/>
  <c r="DF87" i="17"/>
  <c r="DG87" i="17"/>
  <c r="DH87" i="17"/>
  <c r="DI87" i="17"/>
  <c r="DJ87" i="17"/>
  <c r="DK87" i="17"/>
  <c r="DL87" i="17"/>
  <c r="DM87" i="17"/>
  <c r="DN87" i="17"/>
  <c r="DO87" i="17"/>
  <c r="DP87" i="17"/>
  <c r="DQ87" i="17"/>
  <c r="DR87" i="17"/>
  <c r="DS87" i="17"/>
  <c r="DT87" i="17"/>
  <c r="DU87" i="17"/>
  <c r="DV87" i="17"/>
  <c r="DW87" i="17"/>
  <c r="DX87" i="17"/>
  <c r="DY87" i="17"/>
  <c r="DZ87" i="17"/>
  <c r="EA87" i="17"/>
  <c r="EB87" i="17"/>
  <c r="EC87" i="17"/>
  <c r="ED87" i="17"/>
  <c r="EE87" i="17"/>
  <c r="EF87" i="17"/>
  <c r="EG87" i="17"/>
  <c r="EH87" i="17"/>
  <c r="EI87" i="17"/>
  <c r="EJ87" i="17"/>
  <c r="EK87" i="17"/>
  <c r="EL87" i="17"/>
  <c r="EM87" i="17"/>
  <c r="EN87" i="17"/>
  <c r="EO87" i="17"/>
  <c r="EP87" i="17"/>
  <c r="EQ87" i="17"/>
  <c r="ER87" i="17"/>
  <c r="ES87" i="17"/>
  <c r="ET87" i="17"/>
  <c r="EU87" i="17"/>
  <c r="EV87" i="17"/>
  <c r="EW87" i="17"/>
  <c r="EX87" i="17"/>
  <c r="EY87" i="17"/>
  <c r="EZ87" i="17"/>
  <c r="FA87" i="17"/>
  <c r="FB87" i="17"/>
  <c r="FC87" i="17"/>
  <c r="FD87" i="17"/>
  <c r="FE87" i="17"/>
  <c r="FF87" i="17"/>
  <c r="FG87" i="17"/>
  <c r="FH87" i="17"/>
  <c r="FI87" i="17"/>
  <c r="FJ87" i="17"/>
  <c r="FK87" i="17"/>
  <c r="FL87" i="17"/>
  <c r="FM87" i="17"/>
  <c r="FN87" i="17"/>
  <c r="FO87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R88" i="17"/>
  <c r="AS88" i="17"/>
  <c r="AT88" i="17"/>
  <c r="AU88" i="17"/>
  <c r="AV88" i="17"/>
  <c r="AW88" i="17"/>
  <c r="AX88" i="17"/>
  <c r="AY88" i="17"/>
  <c r="AZ88" i="17"/>
  <c r="BA88" i="17"/>
  <c r="BB88" i="17"/>
  <c r="BC88" i="17"/>
  <c r="BD88" i="17"/>
  <c r="BE88" i="17"/>
  <c r="BF88" i="17"/>
  <c r="BG88" i="17"/>
  <c r="BH88" i="17"/>
  <c r="BI88" i="17"/>
  <c r="BJ88" i="17"/>
  <c r="BK88" i="17"/>
  <c r="BL88" i="17"/>
  <c r="BM88" i="17"/>
  <c r="BN88" i="17"/>
  <c r="BO88" i="17"/>
  <c r="BP88" i="17"/>
  <c r="BQ88" i="17"/>
  <c r="BR88" i="17"/>
  <c r="BS88" i="17"/>
  <c r="BT88" i="17"/>
  <c r="BU88" i="17"/>
  <c r="BV88" i="17"/>
  <c r="BW88" i="17"/>
  <c r="BX88" i="17"/>
  <c r="BY88" i="17"/>
  <c r="BZ88" i="17"/>
  <c r="CA88" i="17"/>
  <c r="CB88" i="17"/>
  <c r="CC88" i="17"/>
  <c r="CD88" i="17"/>
  <c r="CE88" i="17"/>
  <c r="CF88" i="17"/>
  <c r="CG88" i="17"/>
  <c r="CH88" i="17"/>
  <c r="CI88" i="17"/>
  <c r="CJ88" i="17"/>
  <c r="CK88" i="17"/>
  <c r="CL88" i="17"/>
  <c r="CM88" i="17"/>
  <c r="CN88" i="17"/>
  <c r="CO88" i="17"/>
  <c r="CP88" i="17"/>
  <c r="CQ88" i="17"/>
  <c r="CR88" i="17"/>
  <c r="CS88" i="17"/>
  <c r="CT88" i="17"/>
  <c r="CU88" i="17"/>
  <c r="CV88" i="17"/>
  <c r="CW88" i="17"/>
  <c r="CX88" i="17"/>
  <c r="CY88" i="17"/>
  <c r="CZ88" i="17"/>
  <c r="DA88" i="17"/>
  <c r="DB88" i="17"/>
  <c r="DC88" i="17"/>
  <c r="DD88" i="17"/>
  <c r="DE88" i="17"/>
  <c r="DF88" i="17"/>
  <c r="DG88" i="17"/>
  <c r="DH88" i="17"/>
  <c r="DI88" i="17"/>
  <c r="DJ88" i="17"/>
  <c r="DK88" i="17"/>
  <c r="DL88" i="17"/>
  <c r="DM88" i="17"/>
  <c r="DN88" i="17"/>
  <c r="DO88" i="17"/>
  <c r="DP88" i="17"/>
  <c r="DQ88" i="17"/>
  <c r="DR88" i="17"/>
  <c r="DS88" i="17"/>
  <c r="DT88" i="17"/>
  <c r="DU88" i="17"/>
  <c r="DV88" i="17"/>
  <c r="DW88" i="17"/>
  <c r="DX88" i="17"/>
  <c r="DY88" i="17"/>
  <c r="DZ88" i="17"/>
  <c r="EA88" i="17"/>
  <c r="EB88" i="17"/>
  <c r="EC88" i="17"/>
  <c r="ED88" i="17"/>
  <c r="EE88" i="17"/>
  <c r="EF88" i="17"/>
  <c r="EG88" i="17"/>
  <c r="EH88" i="17"/>
  <c r="EI88" i="17"/>
  <c r="EJ88" i="17"/>
  <c r="EK88" i="17"/>
  <c r="EL88" i="17"/>
  <c r="EM88" i="17"/>
  <c r="EN88" i="17"/>
  <c r="EO88" i="17"/>
  <c r="EP88" i="17"/>
  <c r="EQ88" i="17"/>
  <c r="ER88" i="17"/>
  <c r="ES88" i="17"/>
  <c r="ET88" i="17"/>
  <c r="EU88" i="17"/>
  <c r="EV88" i="17"/>
  <c r="EW88" i="17"/>
  <c r="EX88" i="17"/>
  <c r="EY88" i="17"/>
  <c r="EZ88" i="17"/>
  <c r="FA88" i="17"/>
  <c r="FB88" i="17"/>
  <c r="FC88" i="17"/>
  <c r="FD88" i="17"/>
  <c r="FE88" i="17"/>
  <c r="FF88" i="17"/>
  <c r="FG88" i="17"/>
  <c r="FH88" i="17"/>
  <c r="FI88" i="17"/>
  <c r="FJ88" i="17"/>
  <c r="FK88" i="17"/>
  <c r="FL88" i="17"/>
  <c r="FM88" i="17"/>
  <c r="FN88" i="17"/>
  <c r="FO88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R89" i="17"/>
  <c r="AS89" i="17"/>
  <c r="AT89" i="17"/>
  <c r="AU89" i="17"/>
  <c r="AV89" i="17"/>
  <c r="AW89" i="17"/>
  <c r="AX89" i="17"/>
  <c r="AY89" i="17"/>
  <c r="AZ89" i="17"/>
  <c r="BA89" i="17"/>
  <c r="BB89" i="17"/>
  <c r="BC89" i="17"/>
  <c r="BD89" i="17"/>
  <c r="BE89" i="17"/>
  <c r="BF89" i="17"/>
  <c r="BG89" i="17"/>
  <c r="BH89" i="17"/>
  <c r="BI89" i="17"/>
  <c r="BJ89" i="17"/>
  <c r="BK89" i="17"/>
  <c r="BL89" i="17"/>
  <c r="BM89" i="17"/>
  <c r="BN89" i="17"/>
  <c r="BO89" i="17"/>
  <c r="BP89" i="17"/>
  <c r="BQ89" i="17"/>
  <c r="BR89" i="17"/>
  <c r="BS89" i="17"/>
  <c r="BT89" i="17"/>
  <c r="BU89" i="17"/>
  <c r="BV89" i="17"/>
  <c r="BW89" i="17"/>
  <c r="BX89" i="17"/>
  <c r="BY89" i="17"/>
  <c r="BZ89" i="17"/>
  <c r="CA89" i="17"/>
  <c r="CB89" i="17"/>
  <c r="CC89" i="17"/>
  <c r="CD89" i="17"/>
  <c r="CE89" i="17"/>
  <c r="CF89" i="17"/>
  <c r="CG89" i="17"/>
  <c r="CH89" i="17"/>
  <c r="CI89" i="17"/>
  <c r="CJ89" i="17"/>
  <c r="CK89" i="17"/>
  <c r="CL89" i="17"/>
  <c r="CM89" i="17"/>
  <c r="CN89" i="17"/>
  <c r="CO89" i="17"/>
  <c r="CP89" i="17"/>
  <c r="CQ89" i="17"/>
  <c r="CR89" i="17"/>
  <c r="CS89" i="17"/>
  <c r="CT89" i="17"/>
  <c r="CU89" i="17"/>
  <c r="CV89" i="17"/>
  <c r="CW89" i="17"/>
  <c r="CX89" i="17"/>
  <c r="CY89" i="17"/>
  <c r="CZ89" i="17"/>
  <c r="DA89" i="17"/>
  <c r="DB89" i="17"/>
  <c r="DC89" i="17"/>
  <c r="DD89" i="17"/>
  <c r="DE89" i="17"/>
  <c r="DF89" i="17"/>
  <c r="DG89" i="17"/>
  <c r="DH89" i="17"/>
  <c r="DI89" i="17"/>
  <c r="DJ89" i="17"/>
  <c r="DK89" i="17"/>
  <c r="DL89" i="17"/>
  <c r="DM89" i="17"/>
  <c r="DN89" i="17"/>
  <c r="DO89" i="17"/>
  <c r="DP89" i="17"/>
  <c r="DQ89" i="17"/>
  <c r="DR89" i="17"/>
  <c r="DS89" i="17"/>
  <c r="DT89" i="17"/>
  <c r="DU89" i="17"/>
  <c r="DV89" i="17"/>
  <c r="DW89" i="17"/>
  <c r="DX89" i="17"/>
  <c r="DY89" i="17"/>
  <c r="DZ89" i="17"/>
  <c r="EA89" i="17"/>
  <c r="EB89" i="17"/>
  <c r="EC89" i="17"/>
  <c r="ED89" i="17"/>
  <c r="EE89" i="17"/>
  <c r="EF89" i="17"/>
  <c r="EG89" i="17"/>
  <c r="EH89" i="17"/>
  <c r="EI89" i="17"/>
  <c r="EJ89" i="17"/>
  <c r="EK89" i="17"/>
  <c r="EL89" i="17"/>
  <c r="EM89" i="17"/>
  <c r="EN89" i="17"/>
  <c r="EO89" i="17"/>
  <c r="EP89" i="17"/>
  <c r="EQ89" i="17"/>
  <c r="ER89" i="17"/>
  <c r="ES89" i="17"/>
  <c r="ET89" i="17"/>
  <c r="EU89" i="17"/>
  <c r="EV89" i="17"/>
  <c r="EW89" i="17"/>
  <c r="EX89" i="17"/>
  <c r="EY89" i="17"/>
  <c r="EZ89" i="17"/>
  <c r="FA89" i="17"/>
  <c r="FB89" i="17"/>
  <c r="FC89" i="17"/>
  <c r="FD89" i="17"/>
  <c r="FE89" i="17"/>
  <c r="FF89" i="17"/>
  <c r="FG89" i="17"/>
  <c r="FH89" i="17"/>
  <c r="FI89" i="17"/>
  <c r="FJ89" i="17"/>
  <c r="FK89" i="17"/>
  <c r="FL89" i="17"/>
  <c r="FM89" i="17"/>
  <c r="FN89" i="17"/>
  <c r="FO89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Y90" i="17"/>
  <c r="Z90" i="17"/>
  <c r="AA90" i="17"/>
  <c r="AB90" i="17"/>
  <c r="AC90" i="17"/>
  <c r="AD90" i="17"/>
  <c r="AE90" i="17"/>
  <c r="AF90" i="17"/>
  <c r="AG90" i="17"/>
  <c r="AH90" i="17"/>
  <c r="AI90" i="17"/>
  <c r="AJ90" i="17"/>
  <c r="AK90" i="17"/>
  <c r="AL90" i="17"/>
  <c r="AM90" i="17"/>
  <c r="AN90" i="17"/>
  <c r="AO90" i="17"/>
  <c r="AP90" i="17"/>
  <c r="AQ90" i="17"/>
  <c r="AR90" i="17"/>
  <c r="AS90" i="17"/>
  <c r="AT90" i="17"/>
  <c r="AU90" i="17"/>
  <c r="AV90" i="17"/>
  <c r="AW90" i="17"/>
  <c r="AX90" i="17"/>
  <c r="AY90" i="17"/>
  <c r="AZ90" i="17"/>
  <c r="BA90" i="17"/>
  <c r="BB90" i="17"/>
  <c r="BC90" i="17"/>
  <c r="BD90" i="17"/>
  <c r="BE90" i="17"/>
  <c r="BF90" i="17"/>
  <c r="BG90" i="17"/>
  <c r="BH90" i="17"/>
  <c r="BI90" i="17"/>
  <c r="BJ90" i="17"/>
  <c r="BK90" i="17"/>
  <c r="BL90" i="17"/>
  <c r="BM90" i="17"/>
  <c r="BN90" i="17"/>
  <c r="BO90" i="17"/>
  <c r="BP90" i="17"/>
  <c r="BQ90" i="17"/>
  <c r="BR90" i="17"/>
  <c r="BS90" i="17"/>
  <c r="BT90" i="17"/>
  <c r="BU90" i="17"/>
  <c r="BV90" i="17"/>
  <c r="BW90" i="17"/>
  <c r="BX90" i="17"/>
  <c r="BY90" i="17"/>
  <c r="BZ90" i="17"/>
  <c r="CA90" i="17"/>
  <c r="CB90" i="17"/>
  <c r="CC90" i="17"/>
  <c r="CD90" i="17"/>
  <c r="CE90" i="17"/>
  <c r="CF90" i="17"/>
  <c r="CG90" i="17"/>
  <c r="CH90" i="17"/>
  <c r="CI90" i="17"/>
  <c r="CJ90" i="17"/>
  <c r="CK90" i="17"/>
  <c r="CL90" i="17"/>
  <c r="CM90" i="17"/>
  <c r="CN90" i="17"/>
  <c r="CO90" i="17"/>
  <c r="CP90" i="17"/>
  <c r="CQ90" i="17"/>
  <c r="CR90" i="17"/>
  <c r="CS90" i="17"/>
  <c r="CT90" i="17"/>
  <c r="CU90" i="17"/>
  <c r="CV90" i="17"/>
  <c r="CW90" i="17"/>
  <c r="CX90" i="17"/>
  <c r="CY90" i="17"/>
  <c r="CZ90" i="17"/>
  <c r="DA90" i="17"/>
  <c r="DB90" i="17"/>
  <c r="DC90" i="17"/>
  <c r="DD90" i="17"/>
  <c r="DE90" i="17"/>
  <c r="DF90" i="17"/>
  <c r="DG90" i="17"/>
  <c r="DH90" i="17"/>
  <c r="DI90" i="17"/>
  <c r="DJ90" i="17"/>
  <c r="DK90" i="17"/>
  <c r="DL90" i="17"/>
  <c r="DM90" i="17"/>
  <c r="DN90" i="17"/>
  <c r="DO90" i="17"/>
  <c r="DP90" i="17"/>
  <c r="DQ90" i="17"/>
  <c r="DR90" i="17"/>
  <c r="DS90" i="17"/>
  <c r="DT90" i="17"/>
  <c r="DU90" i="17"/>
  <c r="DV90" i="17"/>
  <c r="DW90" i="17"/>
  <c r="DX90" i="17"/>
  <c r="DY90" i="17"/>
  <c r="DZ90" i="17"/>
  <c r="EA90" i="17"/>
  <c r="EB90" i="17"/>
  <c r="EC90" i="17"/>
  <c r="ED90" i="17"/>
  <c r="EE90" i="17"/>
  <c r="EF90" i="17"/>
  <c r="EG90" i="17"/>
  <c r="EH90" i="17"/>
  <c r="EI90" i="17"/>
  <c r="EJ90" i="17"/>
  <c r="EK90" i="17"/>
  <c r="EL90" i="17"/>
  <c r="EM90" i="17"/>
  <c r="EN90" i="17"/>
  <c r="EO90" i="17"/>
  <c r="EP90" i="17"/>
  <c r="EQ90" i="17"/>
  <c r="ER90" i="17"/>
  <c r="ES90" i="17"/>
  <c r="ET90" i="17"/>
  <c r="EU90" i="17"/>
  <c r="EV90" i="17"/>
  <c r="EW90" i="17"/>
  <c r="EX90" i="17"/>
  <c r="EY90" i="17"/>
  <c r="EZ90" i="17"/>
  <c r="FA90" i="17"/>
  <c r="FB90" i="17"/>
  <c r="FC90" i="17"/>
  <c r="FD90" i="17"/>
  <c r="FE90" i="17"/>
  <c r="FF90" i="17"/>
  <c r="FG90" i="17"/>
  <c r="FH90" i="17"/>
  <c r="FI90" i="17"/>
  <c r="FJ90" i="17"/>
  <c r="FK90" i="17"/>
  <c r="FL90" i="17"/>
  <c r="FM90" i="17"/>
  <c r="FN90" i="17"/>
  <c r="FO90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Y91" i="17"/>
  <c r="Z91" i="17"/>
  <c r="AA91" i="17"/>
  <c r="AB91" i="17"/>
  <c r="AC91" i="17"/>
  <c r="AD91" i="17"/>
  <c r="AE91" i="17"/>
  <c r="AF91" i="17"/>
  <c r="AG91" i="17"/>
  <c r="AH91" i="17"/>
  <c r="AI91" i="17"/>
  <c r="AJ91" i="17"/>
  <c r="AK91" i="17"/>
  <c r="AL91" i="17"/>
  <c r="AM91" i="17"/>
  <c r="AN91" i="17"/>
  <c r="AO91" i="17"/>
  <c r="AP91" i="17"/>
  <c r="AQ91" i="17"/>
  <c r="AR91" i="17"/>
  <c r="AS91" i="17"/>
  <c r="AT91" i="17"/>
  <c r="AU91" i="17"/>
  <c r="AV91" i="17"/>
  <c r="AW91" i="17"/>
  <c r="AX91" i="17"/>
  <c r="AY91" i="17"/>
  <c r="AZ91" i="17"/>
  <c r="BA91" i="17"/>
  <c r="BB91" i="17"/>
  <c r="BC91" i="17"/>
  <c r="BD91" i="17"/>
  <c r="BE91" i="17"/>
  <c r="BF91" i="17"/>
  <c r="BG91" i="17"/>
  <c r="BH91" i="17"/>
  <c r="BI91" i="17"/>
  <c r="BJ91" i="17"/>
  <c r="BK91" i="17"/>
  <c r="BL91" i="17"/>
  <c r="BM91" i="17"/>
  <c r="BN91" i="17"/>
  <c r="BO91" i="17"/>
  <c r="BP91" i="17"/>
  <c r="BQ91" i="17"/>
  <c r="BR91" i="17"/>
  <c r="BS91" i="17"/>
  <c r="BT91" i="17"/>
  <c r="BU91" i="17"/>
  <c r="BV91" i="17"/>
  <c r="BW91" i="17"/>
  <c r="BX91" i="17"/>
  <c r="BY91" i="17"/>
  <c r="BZ91" i="17"/>
  <c r="CA91" i="17"/>
  <c r="CB91" i="17"/>
  <c r="CC91" i="17"/>
  <c r="CD91" i="17"/>
  <c r="CE91" i="17"/>
  <c r="CF91" i="17"/>
  <c r="CG91" i="17"/>
  <c r="CH91" i="17"/>
  <c r="CI91" i="17"/>
  <c r="CJ91" i="17"/>
  <c r="CK91" i="17"/>
  <c r="CL91" i="17"/>
  <c r="CM91" i="17"/>
  <c r="CN91" i="17"/>
  <c r="CO91" i="17"/>
  <c r="CP91" i="17"/>
  <c r="CQ91" i="17"/>
  <c r="CR91" i="17"/>
  <c r="CS91" i="17"/>
  <c r="CT91" i="17"/>
  <c r="CU91" i="17"/>
  <c r="CV91" i="17"/>
  <c r="CW91" i="17"/>
  <c r="CX91" i="17"/>
  <c r="CY91" i="17"/>
  <c r="CZ91" i="17"/>
  <c r="DA91" i="17"/>
  <c r="DB91" i="17"/>
  <c r="DC91" i="17"/>
  <c r="DD91" i="17"/>
  <c r="DE91" i="17"/>
  <c r="DF91" i="17"/>
  <c r="DG91" i="17"/>
  <c r="DH91" i="17"/>
  <c r="DI91" i="17"/>
  <c r="DJ91" i="17"/>
  <c r="DK91" i="17"/>
  <c r="DL91" i="17"/>
  <c r="DM91" i="17"/>
  <c r="DN91" i="17"/>
  <c r="DO91" i="17"/>
  <c r="DP91" i="17"/>
  <c r="DQ91" i="17"/>
  <c r="DR91" i="17"/>
  <c r="DS91" i="17"/>
  <c r="DT91" i="17"/>
  <c r="DU91" i="17"/>
  <c r="DV91" i="17"/>
  <c r="DW91" i="17"/>
  <c r="DX91" i="17"/>
  <c r="DY91" i="17"/>
  <c r="DZ91" i="17"/>
  <c r="EA91" i="17"/>
  <c r="EB91" i="17"/>
  <c r="EC91" i="17"/>
  <c r="ED91" i="17"/>
  <c r="EE91" i="17"/>
  <c r="EF91" i="17"/>
  <c r="EG91" i="17"/>
  <c r="EH91" i="17"/>
  <c r="EI91" i="17"/>
  <c r="EJ91" i="17"/>
  <c r="EK91" i="17"/>
  <c r="EL91" i="17"/>
  <c r="EM91" i="17"/>
  <c r="EN91" i="17"/>
  <c r="EO91" i="17"/>
  <c r="EP91" i="17"/>
  <c r="EQ91" i="17"/>
  <c r="ER91" i="17"/>
  <c r="ES91" i="17"/>
  <c r="ET91" i="17"/>
  <c r="EU91" i="17"/>
  <c r="EV91" i="17"/>
  <c r="EW91" i="17"/>
  <c r="EX91" i="17"/>
  <c r="EY91" i="17"/>
  <c r="EZ91" i="17"/>
  <c r="FA91" i="17"/>
  <c r="FB91" i="17"/>
  <c r="FC91" i="17"/>
  <c r="FD91" i="17"/>
  <c r="FE91" i="17"/>
  <c r="FF91" i="17"/>
  <c r="FG91" i="17"/>
  <c r="FH91" i="17"/>
  <c r="FI91" i="17"/>
  <c r="FJ91" i="17"/>
  <c r="FK91" i="17"/>
  <c r="FL91" i="17"/>
  <c r="FM91" i="17"/>
  <c r="FN91" i="17"/>
  <c r="FO91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Y92" i="17"/>
  <c r="Z92" i="17"/>
  <c r="AA92" i="17"/>
  <c r="AB92" i="17"/>
  <c r="AC92" i="17"/>
  <c r="AD92" i="17"/>
  <c r="AE92" i="17"/>
  <c r="AF92" i="17"/>
  <c r="AG92" i="17"/>
  <c r="AH92" i="17"/>
  <c r="AI92" i="17"/>
  <c r="AJ92" i="17"/>
  <c r="AK92" i="17"/>
  <c r="AL92" i="17"/>
  <c r="AM92" i="17"/>
  <c r="AN92" i="17"/>
  <c r="AO92" i="17"/>
  <c r="AP92" i="17"/>
  <c r="AQ92" i="17"/>
  <c r="AR92" i="17"/>
  <c r="AS92" i="17"/>
  <c r="AT92" i="17"/>
  <c r="AU92" i="17"/>
  <c r="AV92" i="17"/>
  <c r="AW92" i="17"/>
  <c r="AX92" i="17"/>
  <c r="AY92" i="17"/>
  <c r="AZ92" i="17"/>
  <c r="BA92" i="17"/>
  <c r="BB92" i="17"/>
  <c r="BC92" i="17"/>
  <c r="BD92" i="17"/>
  <c r="BE92" i="17"/>
  <c r="BF92" i="17"/>
  <c r="BG92" i="17"/>
  <c r="BH92" i="17"/>
  <c r="BI92" i="17"/>
  <c r="BJ92" i="17"/>
  <c r="BK92" i="17"/>
  <c r="BL92" i="17"/>
  <c r="BM92" i="17"/>
  <c r="BN92" i="17"/>
  <c r="BO92" i="17"/>
  <c r="BP92" i="17"/>
  <c r="BQ92" i="17"/>
  <c r="BR92" i="17"/>
  <c r="BS92" i="17"/>
  <c r="BT92" i="17"/>
  <c r="BU92" i="17"/>
  <c r="BV92" i="17"/>
  <c r="BW92" i="17"/>
  <c r="BX92" i="17"/>
  <c r="BY92" i="17"/>
  <c r="BZ92" i="17"/>
  <c r="CA92" i="17"/>
  <c r="CB92" i="17"/>
  <c r="CC92" i="17"/>
  <c r="CD92" i="17"/>
  <c r="CE92" i="17"/>
  <c r="CF92" i="17"/>
  <c r="CG92" i="17"/>
  <c r="CH92" i="17"/>
  <c r="CI92" i="17"/>
  <c r="CJ92" i="17"/>
  <c r="CK92" i="17"/>
  <c r="CL92" i="17"/>
  <c r="CM92" i="17"/>
  <c r="CN92" i="17"/>
  <c r="CO92" i="17"/>
  <c r="CP92" i="17"/>
  <c r="CQ92" i="17"/>
  <c r="CR92" i="17"/>
  <c r="CS92" i="17"/>
  <c r="CT92" i="17"/>
  <c r="CU92" i="17"/>
  <c r="CV92" i="17"/>
  <c r="CW92" i="17"/>
  <c r="CX92" i="17"/>
  <c r="CY92" i="17"/>
  <c r="CZ92" i="17"/>
  <c r="DA92" i="17"/>
  <c r="DB92" i="17"/>
  <c r="DC92" i="17"/>
  <c r="DD92" i="17"/>
  <c r="DE92" i="17"/>
  <c r="DF92" i="17"/>
  <c r="DG92" i="17"/>
  <c r="DH92" i="17"/>
  <c r="DI92" i="17"/>
  <c r="DJ92" i="17"/>
  <c r="DK92" i="17"/>
  <c r="DL92" i="17"/>
  <c r="DM92" i="17"/>
  <c r="DN92" i="17"/>
  <c r="DO92" i="17"/>
  <c r="DP92" i="17"/>
  <c r="DQ92" i="17"/>
  <c r="DR92" i="17"/>
  <c r="DS92" i="17"/>
  <c r="DT92" i="17"/>
  <c r="DU92" i="17"/>
  <c r="DV92" i="17"/>
  <c r="DW92" i="17"/>
  <c r="DX92" i="17"/>
  <c r="DY92" i="17"/>
  <c r="DZ92" i="17"/>
  <c r="EA92" i="17"/>
  <c r="EB92" i="17"/>
  <c r="EC92" i="17"/>
  <c r="ED92" i="17"/>
  <c r="EE92" i="17"/>
  <c r="EF92" i="17"/>
  <c r="EG92" i="17"/>
  <c r="EH92" i="17"/>
  <c r="EI92" i="17"/>
  <c r="EJ92" i="17"/>
  <c r="EK92" i="17"/>
  <c r="EL92" i="17"/>
  <c r="EM92" i="17"/>
  <c r="EN92" i="17"/>
  <c r="EO92" i="17"/>
  <c r="EP92" i="17"/>
  <c r="EQ92" i="17"/>
  <c r="ER92" i="17"/>
  <c r="ES92" i="17"/>
  <c r="ET92" i="17"/>
  <c r="EU92" i="17"/>
  <c r="EV92" i="17"/>
  <c r="EW92" i="17"/>
  <c r="EX92" i="17"/>
  <c r="EY92" i="17"/>
  <c r="EZ92" i="17"/>
  <c r="FA92" i="17"/>
  <c r="FB92" i="17"/>
  <c r="FC92" i="17"/>
  <c r="FD92" i="17"/>
  <c r="FE92" i="17"/>
  <c r="FF92" i="17"/>
  <c r="FG92" i="17"/>
  <c r="FH92" i="17"/>
  <c r="FI92" i="17"/>
  <c r="FJ92" i="17"/>
  <c r="FK92" i="17"/>
  <c r="FL92" i="17"/>
  <c r="FM92" i="17"/>
  <c r="FN92" i="17"/>
  <c r="FO92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Y93" i="17"/>
  <c r="Z93" i="17"/>
  <c r="AA93" i="17"/>
  <c r="AB93" i="17"/>
  <c r="AC93" i="17"/>
  <c r="AD93" i="17"/>
  <c r="AE93" i="17"/>
  <c r="AF93" i="17"/>
  <c r="AG93" i="17"/>
  <c r="AH93" i="17"/>
  <c r="AI93" i="17"/>
  <c r="AJ93" i="17"/>
  <c r="AK93" i="17"/>
  <c r="AL93" i="17"/>
  <c r="AM93" i="17"/>
  <c r="AN93" i="17"/>
  <c r="AO93" i="17"/>
  <c r="AP93" i="17"/>
  <c r="AQ93" i="17"/>
  <c r="AR93" i="17"/>
  <c r="AS93" i="17"/>
  <c r="AT93" i="17"/>
  <c r="AU93" i="17"/>
  <c r="AV93" i="17"/>
  <c r="AW93" i="17"/>
  <c r="AX93" i="17"/>
  <c r="AY93" i="17"/>
  <c r="AZ93" i="17"/>
  <c r="BA93" i="17"/>
  <c r="BB93" i="17"/>
  <c r="BC93" i="17"/>
  <c r="BD93" i="17"/>
  <c r="BE93" i="17"/>
  <c r="BF93" i="17"/>
  <c r="BG93" i="17"/>
  <c r="BH93" i="17"/>
  <c r="BI93" i="17"/>
  <c r="BJ93" i="17"/>
  <c r="BK93" i="17"/>
  <c r="BL93" i="17"/>
  <c r="BM93" i="17"/>
  <c r="BN93" i="17"/>
  <c r="BO93" i="17"/>
  <c r="BP93" i="17"/>
  <c r="BQ93" i="17"/>
  <c r="BR93" i="17"/>
  <c r="BS93" i="17"/>
  <c r="BT93" i="17"/>
  <c r="BU93" i="17"/>
  <c r="BV93" i="17"/>
  <c r="BW93" i="17"/>
  <c r="BX93" i="17"/>
  <c r="BY93" i="17"/>
  <c r="BZ93" i="17"/>
  <c r="CA93" i="17"/>
  <c r="CB93" i="17"/>
  <c r="CC93" i="17"/>
  <c r="CD93" i="17"/>
  <c r="CE93" i="17"/>
  <c r="CF93" i="17"/>
  <c r="CG93" i="17"/>
  <c r="CH93" i="17"/>
  <c r="CI93" i="17"/>
  <c r="CJ93" i="17"/>
  <c r="CK93" i="17"/>
  <c r="CL93" i="17"/>
  <c r="CM93" i="17"/>
  <c r="CN93" i="17"/>
  <c r="CO93" i="17"/>
  <c r="CP93" i="17"/>
  <c r="CQ93" i="17"/>
  <c r="CR93" i="17"/>
  <c r="CS93" i="17"/>
  <c r="CT93" i="17"/>
  <c r="CU93" i="17"/>
  <c r="CV93" i="17"/>
  <c r="CW93" i="17"/>
  <c r="CX93" i="17"/>
  <c r="CY93" i="17"/>
  <c r="CZ93" i="17"/>
  <c r="DA93" i="17"/>
  <c r="DB93" i="17"/>
  <c r="DC93" i="17"/>
  <c r="DD93" i="17"/>
  <c r="DE93" i="17"/>
  <c r="DF93" i="17"/>
  <c r="DG93" i="17"/>
  <c r="DH93" i="17"/>
  <c r="DI93" i="17"/>
  <c r="DJ93" i="17"/>
  <c r="DK93" i="17"/>
  <c r="DL93" i="17"/>
  <c r="DM93" i="17"/>
  <c r="DN93" i="17"/>
  <c r="DO93" i="17"/>
  <c r="DP93" i="17"/>
  <c r="DQ93" i="17"/>
  <c r="DR93" i="17"/>
  <c r="DS93" i="17"/>
  <c r="DT93" i="17"/>
  <c r="DU93" i="17"/>
  <c r="DV93" i="17"/>
  <c r="DW93" i="17"/>
  <c r="DX93" i="17"/>
  <c r="DY93" i="17"/>
  <c r="DZ93" i="17"/>
  <c r="EA93" i="17"/>
  <c r="EB93" i="17"/>
  <c r="EC93" i="17"/>
  <c r="ED93" i="17"/>
  <c r="EE93" i="17"/>
  <c r="EF93" i="17"/>
  <c r="EG93" i="17"/>
  <c r="EH93" i="17"/>
  <c r="EI93" i="17"/>
  <c r="EJ93" i="17"/>
  <c r="EK93" i="17"/>
  <c r="EL93" i="17"/>
  <c r="EM93" i="17"/>
  <c r="EN93" i="17"/>
  <c r="EO93" i="17"/>
  <c r="EP93" i="17"/>
  <c r="EQ93" i="17"/>
  <c r="ER93" i="17"/>
  <c r="ES93" i="17"/>
  <c r="ET93" i="17"/>
  <c r="EU93" i="17"/>
  <c r="EV93" i="17"/>
  <c r="EW93" i="17"/>
  <c r="EX93" i="17"/>
  <c r="EY93" i="17"/>
  <c r="EZ93" i="17"/>
  <c r="FA93" i="17"/>
  <c r="FB93" i="17"/>
  <c r="FC93" i="17"/>
  <c r="FD93" i="17"/>
  <c r="FE93" i="17"/>
  <c r="FF93" i="17"/>
  <c r="FG93" i="17"/>
  <c r="FH93" i="17"/>
  <c r="FI93" i="17"/>
  <c r="FJ93" i="17"/>
  <c r="FK93" i="17"/>
  <c r="FL93" i="17"/>
  <c r="FM93" i="17"/>
  <c r="FN93" i="17"/>
  <c r="FO93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Y94" i="17"/>
  <c r="Z94" i="17"/>
  <c r="AA94" i="17"/>
  <c r="AB94" i="17"/>
  <c r="AC94" i="17"/>
  <c r="AD94" i="17"/>
  <c r="AE94" i="17"/>
  <c r="AF94" i="17"/>
  <c r="AG94" i="17"/>
  <c r="AH94" i="17"/>
  <c r="AI94" i="17"/>
  <c r="AJ94" i="17"/>
  <c r="AK94" i="17"/>
  <c r="AL94" i="17"/>
  <c r="AM94" i="17"/>
  <c r="AN94" i="17"/>
  <c r="AO94" i="17"/>
  <c r="AP94" i="17"/>
  <c r="AQ94" i="17"/>
  <c r="AR94" i="17"/>
  <c r="AS94" i="17"/>
  <c r="AT94" i="17"/>
  <c r="AU94" i="17"/>
  <c r="AV94" i="17"/>
  <c r="AW94" i="17"/>
  <c r="AX94" i="17"/>
  <c r="AY94" i="17"/>
  <c r="AZ94" i="17"/>
  <c r="BA94" i="17"/>
  <c r="BB94" i="17"/>
  <c r="BC94" i="17"/>
  <c r="BD94" i="17"/>
  <c r="BE94" i="17"/>
  <c r="BF94" i="17"/>
  <c r="BG94" i="17"/>
  <c r="BH94" i="17"/>
  <c r="BI94" i="17"/>
  <c r="BJ94" i="17"/>
  <c r="BK94" i="17"/>
  <c r="BL94" i="17"/>
  <c r="BM94" i="17"/>
  <c r="BN94" i="17"/>
  <c r="BO94" i="17"/>
  <c r="BP94" i="17"/>
  <c r="BQ94" i="17"/>
  <c r="BR94" i="17"/>
  <c r="BS94" i="17"/>
  <c r="BT94" i="17"/>
  <c r="BU94" i="17"/>
  <c r="BV94" i="17"/>
  <c r="BW94" i="17"/>
  <c r="BX94" i="17"/>
  <c r="BY94" i="17"/>
  <c r="BZ94" i="17"/>
  <c r="CA94" i="17"/>
  <c r="CB94" i="17"/>
  <c r="CC94" i="17"/>
  <c r="CD94" i="17"/>
  <c r="CE94" i="17"/>
  <c r="CF94" i="17"/>
  <c r="CG94" i="17"/>
  <c r="CH94" i="17"/>
  <c r="CI94" i="17"/>
  <c r="CJ94" i="17"/>
  <c r="CK94" i="17"/>
  <c r="CL94" i="17"/>
  <c r="CM94" i="17"/>
  <c r="CN94" i="17"/>
  <c r="CO94" i="17"/>
  <c r="CP94" i="17"/>
  <c r="CQ94" i="17"/>
  <c r="CR94" i="17"/>
  <c r="CS94" i="17"/>
  <c r="CT94" i="17"/>
  <c r="CU94" i="17"/>
  <c r="CV94" i="17"/>
  <c r="CW94" i="17"/>
  <c r="CX94" i="17"/>
  <c r="CY94" i="17"/>
  <c r="CZ94" i="17"/>
  <c r="DA94" i="17"/>
  <c r="DB94" i="17"/>
  <c r="DC94" i="17"/>
  <c r="DD94" i="17"/>
  <c r="DE94" i="17"/>
  <c r="DF94" i="17"/>
  <c r="DG94" i="17"/>
  <c r="DH94" i="17"/>
  <c r="DI94" i="17"/>
  <c r="DJ94" i="17"/>
  <c r="DK94" i="17"/>
  <c r="DL94" i="17"/>
  <c r="DM94" i="17"/>
  <c r="DN94" i="17"/>
  <c r="DO94" i="17"/>
  <c r="DP94" i="17"/>
  <c r="DQ94" i="17"/>
  <c r="DR94" i="17"/>
  <c r="DS94" i="17"/>
  <c r="DT94" i="17"/>
  <c r="DU94" i="17"/>
  <c r="DV94" i="17"/>
  <c r="DW94" i="17"/>
  <c r="DX94" i="17"/>
  <c r="DY94" i="17"/>
  <c r="DZ94" i="17"/>
  <c r="EA94" i="17"/>
  <c r="EB94" i="17"/>
  <c r="EC94" i="17"/>
  <c r="ED94" i="17"/>
  <c r="EE94" i="17"/>
  <c r="EF94" i="17"/>
  <c r="EG94" i="17"/>
  <c r="EH94" i="17"/>
  <c r="EI94" i="17"/>
  <c r="EJ94" i="17"/>
  <c r="EK94" i="17"/>
  <c r="EL94" i="17"/>
  <c r="EM94" i="17"/>
  <c r="EN94" i="17"/>
  <c r="EO94" i="17"/>
  <c r="EP94" i="17"/>
  <c r="EQ94" i="17"/>
  <c r="ER94" i="17"/>
  <c r="ES94" i="17"/>
  <c r="ET94" i="17"/>
  <c r="EU94" i="17"/>
  <c r="EV94" i="17"/>
  <c r="EW94" i="17"/>
  <c r="EX94" i="17"/>
  <c r="EY94" i="17"/>
  <c r="EZ94" i="17"/>
  <c r="FA94" i="17"/>
  <c r="FB94" i="17"/>
  <c r="FC94" i="17"/>
  <c r="FD94" i="17"/>
  <c r="FE94" i="17"/>
  <c r="FF94" i="17"/>
  <c r="FG94" i="17"/>
  <c r="FH94" i="17"/>
  <c r="FI94" i="17"/>
  <c r="FJ94" i="17"/>
  <c r="FK94" i="17"/>
  <c r="FL94" i="17"/>
  <c r="FM94" i="17"/>
  <c r="FN94" i="17"/>
  <c r="FO94" i="17"/>
  <c r="D95" i="17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U95" i="17"/>
  <c r="V95" i="17"/>
  <c r="W95" i="17"/>
  <c r="X95" i="17"/>
  <c r="Y95" i="17"/>
  <c r="Z95" i="17"/>
  <c r="AA95" i="17"/>
  <c r="AB95" i="17"/>
  <c r="AC95" i="17"/>
  <c r="AD95" i="17"/>
  <c r="AE95" i="17"/>
  <c r="AF95" i="17"/>
  <c r="AG95" i="17"/>
  <c r="AH95" i="17"/>
  <c r="AI95" i="17"/>
  <c r="AJ95" i="17"/>
  <c r="AK95" i="17"/>
  <c r="AL95" i="17"/>
  <c r="AM95" i="17"/>
  <c r="AN95" i="17"/>
  <c r="AO95" i="17"/>
  <c r="AP95" i="17"/>
  <c r="AQ95" i="17"/>
  <c r="AR95" i="17"/>
  <c r="AS95" i="17"/>
  <c r="AT95" i="17"/>
  <c r="AU95" i="17"/>
  <c r="AV95" i="17"/>
  <c r="AW95" i="17"/>
  <c r="AX95" i="17"/>
  <c r="AY95" i="17"/>
  <c r="AZ95" i="17"/>
  <c r="BA95" i="17"/>
  <c r="BB95" i="17"/>
  <c r="BC95" i="17"/>
  <c r="BD95" i="17"/>
  <c r="BE95" i="17"/>
  <c r="BF95" i="17"/>
  <c r="BG95" i="17"/>
  <c r="BH95" i="17"/>
  <c r="BI95" i="17"/>
  <c r="BJ95" i="17"/>
  <c r="BK95" i="17"/>
  <c r="BL95" i="17"/>
  <c r="BM95" i="17"/>
  <c r="BN95" i="17"/>
  <c r="BO95" i="17"/>
  <c r="BP95" i="17"/>
  <c r="BQ95" i="17"/>
  <c r="BR95" i="17"/>
  <c r="BS95" i="17"/>
  <c r="BT95" i="17"/>
  <c r="BU95" i="17"/>
  <c r="BV95" i="17"/>
  <c r="BW95" i="17"/>
  <c r="BX95" i="17"/>
  <c r="BY95" i="17"/>
  <c r="BZ95" i="17"/>
  <c r="CA95" i="17"/>
  <c r="CB95" i="17"/>
  <c r="CC95" i="17"/>
  <c r="CD95" i="17"/>
  <c r="CE95" i="17"/>
  <c r="CF95" i="17"/>
  <c r="CG95" i="17"/>
  <c r="CH95" i="17"/>
  <c r="CI95" i="17"/>
  <c r="CJ95" i="17"/>
  <c r="CK95" i="17"/>
  <c r="CL95" i="17"/>
  <c r="CM95" i="17"/>
  <c r="CN95" i="17"/>
  <c r="CO95" i="17"/>
  <c r="CP95" i="17"/>
  <c r="CQ95" i="17"/>
  <c r="CR95" i="17"/>
  <c r="CS95" i="17"/>
  <c r="CT95" i="17"/>
  <c r="CU95" i="17"/>
  <c r="CV95" i="17"/>
  <c r="CW95" i="17"/>
  <c r="CX95" i="17"/>
  <c r="CY95" i="17"/>
  <c r="CZ95" i="17"/>
  <c r="DA95" i="17"/>
  <c r="DB95" i="17"/>
  <c r="DC95" i="17"/>
  <c r="DD95" i="17"/>
  <c r="DE95" i="17"/>
  <c r="DF95" i="17"/>
  <c r="DG95" i="17"/>
  <c r="DH95" i="17"/>
  <c r="DI95" i="17"/>
  <c r="DJ95" i="17"/>
  <c r="DK95" i="17"/>
  <c r="DL95" i="17"/>
  <c r="DM95" i="17"/>
  <c r="DN95" i="17"/>
  <c r="DO95" i="17"/>
  <c r="DP95" i="17"/>
  <c r="DQ95" i="17"/>
  <c r="DR95" i="17"/>
  <c r="DS95" i="17"/>
  <c r="DT95" i="17"/>
  <c r="DU95" i="17"/>
  <c r="DV95" i="17"/>
  <c r="DW95" i="17"/>
  <c r="DX95" i="17"/>
  <c r="DY95" i="17"/>
  <c r="DZ95" i="17"/>
  <c r="EA95" i="17"/>
  <c r="EB95" i="17"/>
  <c r="EC95" i="17"/>
  <c r="ED95" i="17"/>
  <c r="EE95" i="17"/>
  <c r="EF95" i="17"/>
  <c r="EG95" i="17"/>
  <c r="EH95" i="17"/>
  <c r="EI95" i="17"/>
  <c r="EJ95" i="17"/>
  <c r="EK95" i="17"/>
  <c r="EL95" i="17"/>
  <c r="EM95" i="17"/>
  <c r="EN95" i="17"/>
  <c r="EO95" i="17"/>
  <c r="EP95" i="17"/>
  <c r="EQ95" i="17"/>
  <c r="ER95" i="17"/>
  <c r="ES95" i="17"/>
  <c r="ET95" i="17"/>
  <c r="EU95" i="17"/>
  <c r="EV95" i="17"/>
  <c r="EW95" i="17"/>
  <c r="EX95" i="17"/>
  <c r="EY95" i="17"/>
  <c r="EZ95" i="17"/>
  <c r="FA95" i="17"/>
  <c r="FB95" i="17"/>
  <c r="FC95" i="17"/>
  <c r="FD95" i="17"/>
  <c r="FE95" i="17"/>
  <c r="FF95" i="17"/>
  <c r="FG95" i="17"/>
  <c r="FH95" i="17"/>
  <c r="FI95" i="17"/>
  <c r="FJ95" i="17"/>
  <c r="FK95" i="17"/>
  <c r="FL95" i="17"/>
  <c r="FM95" i="17"/>
  <c r="FN95" i="17"/>
  <c r="FO95" i="17"/>
  <c r="D96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U96" i="17"/>
  <c r="V96" i="17"/>
  <c r="W96" i="17"/>
  <c r="X96" i="17"/>
  <c r="Y96" i="17"/>
  <c r="Z96" i="17"/>
  <c r="AA96" i="17"/>
  <c r="AB96" i="17"/>
  <c r="AC96" i="17"/>
  <c r="AD96" i="17"/>
  <c r="AE96" i="17"/>
  <c r="AF96" i="17"/>
  <c r="AG96" i="17"/>
  <c r="AH96" i="17"/>
  <c r="AI96" i="17"/>
  <c r="AJ96" i="17"/>
  <c r="AK96" i="17"/>
  <c r="AL96" i="17"/>
  <c r="AM96" i="17"/>
  <c r="AN96" i="17"/>
  <c r="AO96" i="17"/>
  <c r="AP96" i="17"/>
  <c r="AQ96" i="17"/>
  <c r="AR96" i="17"/>
  <c r="AS96" i="17"/>
  <c r="AT96" i="17"/>
  <c r="AU96" i="17"/>
  <c r="AV96" i="17"/>
  <c r="AW96" i="17"/>
  <c r="AX96" i="17"/>
  <c r="AY96" i="17"/>
  <c r="AZ96" i="17"/>
  <c r="BA96" i="17"/>
  <c r="BB96" i="17"/>
  <c r="BC96" i="17"/>
  <c r="BD96" i="17"/>
  <c r="BE96" i="17"/>
  <c r="BF96" i="17"/>
  <c r="BG96" i="17"/>
  <c r="BH96" i="17"/>
  <c r="BI96" i="17"/>
  <c r="BJ96" i="17"/>
  <c r="BK96" i="17"/>
  <c r="BL96" i="17"/>
  <c r="BM96" i="17"/>
  <c r="BN96" i="17"/>
  <c r="BO96" i="17"/>
  <c r="BP96" i="17"/>
  <c r="BQ96" i="17"/>
  <c r="BR96" i="17"/>
  <c r="BS96" i="17"/>
  <c r="BT96" i="17"/>
  <c r="BU96" i="17"/>
  <c r="BV96" i="17"/>
  <c r="BW96" i="17"/>
  <c r="BX96" i="17"/>
  <c r="BY96" i="17"/>
  <c r="BZ96" i="17"/>
  <c r="CA96" i="17"/>
  <c r="CB96" i="17"/>
  <c r="CC96" i="17"/>
  <c r="CD96" i="17"/>
  <c r="CE96" i="17"/>
  <c r="CF96" i="17"/>
  <c r="CG96" i="17"/>
  <c r="CH96" i="17"/>
  <c r="CI96" i="17"/>
  <c r="CJ96" i="17"/>
  <c r="CK96" i="17"/>
  <c r="CL96" i="17"/>
  <c r="CM96" i="17"/>
  <c r="CN96" i="17"/>
  <c r="CO96" i="17"/>
  <c r="CP96" i="17"/>
  <c r="CQ96" i="17"/>
  <c r="CR96" i="17"/>
  <c r="CS96" i="17"/>
  <c r="CT96" i="17"/>
  <c r="CU96" i="17"/>
  <c r="CV96" i="17"/>
  <c r="CW96" i="17"/>
  <c r="CX96" i="17"/>
  <c r="CY96" i="17"/>
  <c r="CZ96" i="17"/>
  <c r="DA96" i="17"/>
  <c r="DB96" i="17"/>
  <c r="DC96" i="17"/>
  <c r="DD96" i="17"/>
  <c r="DE96" i="17"/>
  <c r="DF96" i="17"/>
  <c r="DG96" i="17"/>
  <c r="DH96" i="17"/>
  <c r="DI96" i="17"/>
  <c r="DJ96" i="17"/>
  <c r="DK96" i="17"/>
  <c r="DL96" i="17"/>
  <c r="DM96" i="17"/>
  <c r="DN96" i="17"/>
  <c r="DO96" i="17"/>
  <c r="DP96" i="17"/>
  <c r="DQ96" i="17"/>
  <c r="DR96" i="17"/>
  <c r="DS96" i="17"/>
  <c r="DT96" i="17"/>
  <c r="DU96" i="17"/>
  <c r="DV96" i="17"/>
  <c r="DW96" i="17"/>
  <c r="DX96" i="17"/>
  <c r="DY96" i="17"/>
  <c r="DZ96" i="17"/>
  <c r="EA96" i="17"/>
  <c r="EB96" i="17"/>
  <c r="EC96" i="17"/>
  <c r="ED96" i="17"/>
  <c r="EE96" i="17"/>
  <c r="EF96" i="17"/>
  <c r="EG96" i="17"/>
  <c r="EH96" i="17"/>
  <c r="EI96" i="17"/>
  <c r="EJ96" i="17"/>
  <c r="EK96" i="17"/>
  <c r="EL96" i="17"/>
  <c r="EM96" i="17"/>
  <c r="EN96" i="17"/>
  <c r="EO96" i="17"/>
  <c r="EP96" i="17"/>
  <c r="EQ96" i="17"/>
  <c r="ER96" i="17"/>
  <c r="ES96" i="17"/>
  <c r="ET96" i="17"/>
  <c r="EU96" i="17"/>
  <c r="EV96" i="17"/>
  <c r="EW96" i="17"/>
  <c r="EX96" i="17"/>
  <c r="EY96" i="17"/>
  <c r="EZ96" i="17"/>
  <c r="FA96" i="17"/>
  <c r="FB96" i="17"/>
  <c r="FC96" i="17"/>
  <c r="FD96" i="17"/>
  <c r="FE96" i="17"/>
  <c r="FF96" i="17"/>
  <c r="FG96" i="17"/>
  <c r="FH96" i="17"/>
  <c r="FI96" i="17"/>
  <c r="FJ96" i="17"/>
  <c r="FK96" i="17"/>
  <c r="FL96" i="17"/>
  <c r="FM96" i="17"/>
  <c r="FN96" i="17"/>
  <c r="FO96" i="17"/>
  <c r="D97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U97" i="17"/>
  <c r="V97" i="17"/>
  <c r="W97" i="17"/>
  <c r="X97" i="17"/>
  <c r="Y97" i="17"/>
  <c r="Z97" i="17"/>
  <c r="AA97" i="17"/>
  <c r="AB97" i="17"/>
  <c r="AC97" i="17"/>
  <c r="AD97" i="17"/>
  <c r="AE97" i="17"/>
  <c r="AF97" i="17"/>
  <c r="AG97" i="17"/>
  <c r="AH97" i="17"/>
  <c r="AI97" i="17"/>
  <c r="AJ97" i="17"/>
  <c r="AK97" i="17"/>
  <c r="AL97" i="17"/>
  <c r="AM97" i="17"/>
  <c r="AN97" i="17"/>
  <c r="AO97" i="17"/>
  <c r="AP97" i="17"/>
  <c r="AQ97" i="17"/>
  <c r="AR97" i="17"/>
  <c r="AS97" i="17"/>
  <c r="AT97" i="17"/>
  <c r="AU97" i="17"/>
  <c r="AV97" i="17"/>
  <c r="AW97" i="17"/>
  <c r="AX97" i="17"/>
  <c r="AY97" i="17"/>
  <c r="AZ97" i="17"/>
  <c r="BA97" i="17"/>
  <c r="BB97" i="17"/>
  <c r="BC97" i="17"/>
  <c r="BD97" i="17"/>
  <c r="BE97" i="17"/>
  <c r="BF97" i="17"/>
  <c r="BG97" i="17"/>
  <c r="BH97" i="17"/>
  <c r="BI97" i="17"/>
  <c r="BJ97" i="17"/>
  <c r="BK97" i="17"/>
  <c r="BL97" i="17"/>
  <c r="BM97" i="17"/>
  <c r="BN97" i="17"/>
  <c r="BO97" i="17"/>
  <c r="BP97" i="17"/>
  <c r="BQ97" i="17"/>
  <c r="BR97" i="17"/>
  <c r="BS97" i="17"/>
  <c r="BT97" i="17"/>
  <c r="BU97" i="17"/>
  <c r="BV97" i="17"/>
  <c r="BW97" i="17"/>
  <c r="BX97" i="17"/>
  <c r="BY97" i="17"/>
  <c r="BZ97" i="17"/>
  <c r="CA97" i="17"/>
  <c r="CB97" i="17"/>
  <c r="CC97" i="17"/>
  <c r="CD97" i="17"/>
  <c r="CE97" i="17"/>
  <c r="CF97" i="17"/>
  <c r="CG97" i="17"/>
  <c r="CH97" i="17"/>
  <c r="CI97" i="17"/>
  <c r="CJ97" i="17"/>
  <c r="CK97" i="17"/>
  <c r="CL97" i="17"/>
  <c r="CM97" i="17"/>
  <c r="CN97" i="17"/>
  <c r="CO97" i="17"/>
  <c r="CP97" i="17"/>
  <c r="CQ97" i="17"/>
  <c r="CR97" i="17"/>
  <c r="CS97" i="17"/>
  <c r="CT97" i="17"/>
  <c r="CU97" i="17"/>
  <c r="CV97" i="17"/>
  <c r="CW97" i="17"/>
  <c r="CX97" i="17"/>
  <c r="CY97" i="17"/>
  <c r="CZ97" i="17"/>
  <c r="DA97" i="17"/>
  <c r="DB97" i="17"/>
  <c r="DC97" i="17"/>
  <c r="DD97" i="17"/>
  <c r="DE97" i="17"/>
  <c r="DF97" i="17"/>
  <c r="DG97" i="17"/>
  <c r="DH97" i="17"/>
  <c r="DI97" i="17"/>
  <c r="DJ97" i="17"/>
  <c r="DK97" i="17"/>
  <c r="DL97" i="17"/>
  <c r="DM97" i="17"/>
  <c r="DN97" i="17"/>
  <c r="DO97" i="17"/>
  <c r="DP97" i="17"/>
  <c r="DQ97" i="17"/>
  <c r="DR97" i="17"/>
  <c r="DS97" i="17"/>
  <c r="DT97" i="17"/>
  <c r="DU97" i="17"/>
  <c r="DV97" i="17"/>
  <c r="DW97" i="17"/>
  <c r="DX97" i="17"/>
  <c r="DY97" i="17"/>
  <c r="DZ97" i="17"/>
  <c r="EA97" i="17"/>
  <c r="EB97" i="17"/>
  <c r="EC97" i="17"/>
  <c r="ED97" i="17"/>
  <c r="EE97" i="17"/>
  <c r="EF97" i="17"/>
  <c r="EG97" i="17"/>
  <c r="EH97" i="17"/>
  <c r="EI97" i="17"/>
  <c r="EJ97" i="17"/>
  <c r="EK97" i="17"/>
  <c r="EL97" i="17"/>
  <c r="EM97" i="17"/>
  <c r="EN97" i="17"/>
  <c r="EO97" i="17"/>
  <c r="EP97" i="17"/>
  <c r="EQ97" i="17"/>
  <c r="ER97" i="17"/>
  <c r="ES97" i="17"/>
  <c r="ET97" i="17"/>
  <c r="EU97" i="17"/>
  <c r="EV97" i="17"/>
  <c r="EW97" i="17"/>
  <c r="EX97" i="17"/>
  <c r="EY97" i="17"/>
  <c r="EZ97" i="17"/>
  <c r="FA97" i="17"/>
  <c r="FB97" i="17"/>
  <c r="FC97" i="17"/>
  <c r="FD97" i="17"/>
  <c r="FE97" i="17"/>
  <c r="FF97" i="17"/>
  <c r="FG97" i="17"/>
  <c r="FH97" i="17"/>
  <c r="FI97" i="17"/>
  <c r="FJ97" i="17"/>
  <c r="FK97" i="17"/>
  <c r="FL97" i="17"/>
  <c r="FM97" i="17"/>
  <c r="FN97" i="17"/>
  <c r="FO97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AA98" i="17"/>
  <c r="AB98" i="17"/>
  <c r="AC98" i="17"/>
  <c r="AD98" i="17"/>
  <c r="AE98" i="17"/>
  <c r="AF98" i="17"/>
  <c r="AG98" i="17"/>
  <c r="AH98" i="17"/>
  <c r="AI98" i="17"/>
  <c r="AJ98" i="17"/>
  <c r="AK98" i="17"/>
  <c r="AL98" i="17"/>
  <c r="AM98" i="17"/>
  <c r="AN98" i="17"/>
  <c r="AO98" i="17"/>
  <c r="AP98" i="17"/>
  <c r="AQ98" i="17"/>
  <c r="AR98" i="17"/>
  <c r="AS98" i="17"/>
  <c r="AT98" i="17"/>
  <c r="AU98" i="17"/>
  <c r="AV98" i="17"/>
  <c r="AW98" i="17"/>
  <c r="AX98" i="17"/>
  <c r="AY98" i="17"/>
  <c r="AZ98" i="17"/>
  <c r="BA98" i="17"/>
  <c r="BB98" i="17"/>
  <c r="BC98" i="17"/>
  <c r="BD98" i="17"/>
  <c r="BE98" i="17"/>
  <c r="BF98" i="17"/>
  <c r="BG98" i="17"/>
  <c r="BH98" i="17"/>
  <c r="BI98" i="17"/>
  <c r="BJ98" i="17"/>
  <c r="BK98" i="17"/>
  <c r="BL98" i="17"/>
  <c r="BM98" i="17"/>
  <c r="BN98" i="17"/>
  <c r="BO98" i="17"/>
  <c r="BP98" i="17"/>
  <c r="BQ98" i="17"/>
  <c r="BR98" i="17"/>
  <c r="BS98" i="17"/>
  <c r="BT98" i="17"/>
  <c r="BU98" i="17"/>
  <c r="BV98" i="17"/>
  <c r="BW98" i="17"/>
  <c r="BX98" i="17"/>
  <c r="BY98" i="17"/>
  <c r="BZ98" i="17"/>
  <c r="CA98" i="17"/>
  <c r="CB98" i="17"/>
  <c r="CC98" i="17"/>
  <c r="CD98" i="17"/>
  <c r="CE98" i="17"/>
  <c r="CF98" i="17"/>
  <c r="CG98" i="17"/>
  <c r="CH98" i="17"/>
  <c r="CI98" i="17"/>
  <c r="CJ98" i="17"/>
  <c r="CK98" i="17"/>
  <c r="CL98" i="17"/>
  <c r="CM98" i="17"/>
  <c r="CN98" i="17"/>
  <c r="CO98" i="17"/>
  <c r="CP98" i="17"/>
  <c r="CQ98" i="17"/>
  <c r="CR98" i="17"/>
  <c r="CS98" i="17"/>
  <c r="CT98" i="17"/>
  <c r="CU98" i="17"/>
  <c r="CV98" i="17"/>
  <c r="CW98" i="17"/>
  <c r="CX98" i="17"/>
  <c r="CY98" i="17"/>
  <c r="CZ98" i="17"/>
  <c r="DA98" i="17"/>
  <c r="DB98" i="17"/>
  <c r="DC98" i="17"/>
  <c r="DD98" i="17"/>
  <c r="DE98" i="17"/>
  <c r="DF98" i="17"/>
  <c r="DG98" i="17"/>
  <c r="DH98" i="17"/>
  <c r="DI98" i="17"/>
  <c r="DJ98" i="17"/>
  <c r="DK98" i="17"/>
  <c r="DL98" i="17"/>
  <c r="DM98" i="17"/>
  <c r="DN98" i="17"/>
  <c r="DO98" i="17"/>
  <c r="DP98" i="17"/>
  <c r="DQ98" i="17"/>
  <c r="DR98" i="17"/>
  <c r="DS98" i="17"/>
  <c r="DT98" i="17"/>
  <c r="DU98" i="17"/>
  <c r="DV98" i="17"/>
  <c r="DW98" i="17"/>
  <c r="DX98" i="17"/>
  <c r="DY98" i="17"/>
  <c r="DZ98" i="17"/>
  <c r="EA98" i="17"/>
  <c r="EB98" i="17"/>
  <c r="EC98" i="17"/>
  <c r="ED98" i="17"/>
  <c r="EE98" i="17"/>
  <c r="EF98" i="17"/>
  <c r="EG98" i="17"/>
  <c r="EH98" i="17"/>
  <c r="EI98" i="17"/>
  <c r="EJ98" i="17"/>
  <c r="EK98" i="17"/>
  <c r="EL98" i="17"/>
  <c r="EM98" i="17"/>
  <c r="EN98" i="17"/>
  <c r="EO98" i="17"/>
  <c r="EP98" i="17"/>
  <c r="EQ98" i="17"/>
  <c r="ER98" i="17"/>
  <c r="ES98" i="17"/>
  <c r="ET98" i="17"/>
  <c r="EU98" i="17"/>
  <c r="EV98" i="17"/>
  <c r="EW98" i="17"/>
  <c r="EX98" i="17"/>
  <c r="EY98" i="17"/>
  <c r="EZ98" i="17"/>
  <c r="FA98" i="17"/>
  <c r="FB98" i="17"/>
  <c r="FC98" i="17"/>
  <c r="FD98" i="17"/>
  <c r="FE98" i="17"/>
  <c r="FF98" i="17"/>
  <c r="FG98" i="17"/>
  <c r="FH98" i="17"/>
  <c r="FI98" i="17"/>
  <c r="FJ98" i="17"/>
  <c r="FK98" i="17"/>
  <c r="FL98" i="17"/>
  <c r="FM98" i="17"/>
  <c r="FN98" i="17"/>
  <c r="FO98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U99" i="17"/>
  <c r="V99" i="17"/>
  <c r="W99" i="17"/>
  <c r="X99" i="17"/>
  <c r="Y99" i="17"/>
  <c r="Z99" i="17"/>
  <c r="AA99" i="17"/>
  <c r="AB99" i="17"/>
  <c r="AC99" i="17"/>
  <c r="AD99" i="17"/>
  <c r="AE99" i="17"/>
  <c r="AF99" i="17"/>
  <c r="AG99" i="17"/>
  <c r="AH99" i="17"/>
  <c r="AI99" i="17"/>
  <c r="AJ99" i="17"/>
  <c r="AK99" i="17"/>
  <c r="AL99" i="17"/>
  <c r="AM99" i="17"/>
  <c r="AN99" i="17"/>
  <c r="AO99" i="17"/>
  <c r="AP99" i="17"/>
  <c r="AQ99" i="17"/>
  <c r="AR99" i="17"/>
  <c r="AS99" i="17"/>
  <c r="AT99" i="17"/>
  <c r="AU99" i="17"/>
  <c r="AV99" i="17"/>
  <c r="AW99" i="17"/>
  <c r="AX99" i="17"/>
  <c r="AY99" i="17"/>
  <c r="AZ99" i="17"/>
  <c r="BA99" i="17"/>
  <c r="BB99" i="17"/>
  <c r="BC99" i="17"/>
  <c r="BD99" i="17"/>
  <c r="BE99" i="17"/>
  <c r="BF99" i="17"/>
  <c r="BG99" i="17"/>
  <c r="BH99" i="17"/>
  <c r="BI99" i="17"/>
  <c r="BJ99" i="17"/>
  <c r="BK99" i="17"/>
  <c r="BL99" i="17"/>
  <c r="BM99" i="17"/>
  <c r="BN99" i="17"/>
  <c r="BO99" i="17"/>
  <c r="BP99" i="17"/>
  <c r="BQ99" i="17"/>
  <c r="BR99" i="17"/>
  <c r="BS99" i="17"/>
  <c r="BT99" i="17"/>
  <c r="BU99" i="17"/>
  <c r="BV99" i="17"/>
  <c r="BW99" i="17"/>
  <c r="BX99" i="17"/>
  <c r="BY99" i="17"/>
  <c r="BZ99" i="17"/>
  <c r="CA99" i="17"/>
  <c r="CB99" i="17"/>
  <c r="CC99" i="17"/>
  <c r="CD99" i="17"/>
  <c r="CE99" i="17"/>
  <c r="CF99" i="17"/>
  <c r="CG99" i="17"/>
  <c r="CH99" i="17"/>
  <c r="CI99" i="17"/>
  <c r="CJ99" i="17"/>
  <c r="CK99" i="17"/>
  <c r="CL99" i="17"/>
  <c r="CM99" i="17"/>
  <c r="CN99" i="17"/>
  <c r="CO99" i="17"/>
  <c r="CP99" i="17"/>
  <c r="CQ99" i="17"/>
  <c r="CR99" i="17"/>
  <c r="CS99" i="17"/>
  <c r="CT99" i="17"/>
  <c r="CU99" i="17"/>
  <c r="CV99" i="17"/>
  <c r="CW99" i="17"/>
  <c r="CX99" i="17"/>
  <c r="CY99" i="17"/>
  <c r="CZ99" i="17"/>
  <c r="DA99" i="17"/>
  <c r="DB99" i="17"/>
  <c r="DC99" i="17"/>
  <c r="DD99" i="17"/>
  <c r="DE99" i="17"/>
  <c r="DF99" i="17"/>
  <c r="DG99" i="17"/>
  <c r="DH99" i="17"/>
  <c r="DI99" i="17"/>
  <c r="DJ99" i="17"/>
  <c r="DK99" i="17"/>
  <c r="DL99" i="17"/>
  <c r="DM99" i="17"/>
  <c r="DN99" i="17"/>
  <c r="DO99" i="17"/>
  <c r="DP99" i="17"/>
  <c r="DQ99" i="17"/>
  <c r="DR99" i="17"/>
  <c r="DS99" i="17"/>
  <c r="DT99" i="17"/>
  <c r="DU99" i="17"/>
  <c r="DV99" i="17"/>
  <c r="DW99" i="17"/>
  <c r="DX99" i="17"/>
  <c r="DY99" i="17"/>
  <c r="DZ99" i="17"/>
  <c r="EA99" i="17"/>
  <c r="EB99" i="17"/>
  <c r="EC99" i="17"/>
  <c r="ED99" i="17"/>
  <c r="EE99" i="17"/>
  <c r="EF99" i="17"/>
  <c r="EG99" i="17"/>
  <c r="EH99" i="17"/>
  <c r="EI99" i="17"/>
  <c r="EJ99" i="17"/>
  <c r="EK99" i="17"/>
  <c r="EL99" i="17"/>
  <c r="EM99" i="17"/>
  <c r="EN99" i="17"/>
  <c r="EO99" i="17"/>
  <c r="EP99" i="17"/>
  <c r="EQ99" i="17"/>
  <c r="ER99" i="17"/>
  <c r="ES99" i="17"/>
  <c r="ET99" i="17"/>
  <c r="EU99" i="17"/>
  <c r="EV99" i="17"/>
  <c r="EW99" i="17"/>
  <c r="EX99" i="17"/>
  <c r="EY99" i="17"/>
  <c r="EZ99" i="17"/>
  <c r="FA99" i="17"/>
  <c r="FB99" i="17"/>
  <c r="FC99" i="17"/>
  <c r="FD99" i="17"/>
  <c r="FE99" i="17"/>
  <c r="FF99" i="17"/>
  <c r="FG99" i="17"/>
  <c r="FH99" i="17"/>
  <c r="FI99" i="17"/>
  <c r="FJ99" i="17"/>
  <c r="FK99" i="17"/>
  <c r="FL99" i="17"/>
  <c r="FM99" i="17"/>
  <c r="FN99" i="17"/>
  <c r="FO99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U100" i="17"/>
  <c r="V100" i="17"/>
  <c r="W100" i="17"/>
  <c r="X100" i="17"/>
  <c r="Y100" i="17"/>
  <c r="Z100" i="17"/>
  <c r="AA100" i="17"/>
  <c r="AB100" i="17"/>
  <c r="AC100" i="17"/>
  <c r="AD100" i="17"/>
  <c r="AE100" i="17"/>
  <c r="AF100" i="17"/>
  <c r="AG100" i="17"/>
  <c r="AH100" i="17"/>
  <c r="AI100" i="17"/>
  <c r="AJ100" i="17"/>
  <c r="AK100" i="17"/>
  <c r="AL100" i="17"/>
  <c r="AM100" i="17"/>
  <c r="AN100" i="17"/>
  <c r="AO100" i="17"/>
  <c r="AP100" i="17"/>
  <c r="AQ100" i="17"/>
  <c r="AR100" i="17"/>
  <c r="AS100" i="17"/>
  <c r="AT100" i="17"/>
  <c r="AU100" i="17"/>
  <c r="AV100" i="17"/>
  <c r="AW100" i="17"/>
  <c r="AX100" i="17"/>
  <c r="AY100" i="17"/>
  <c r="AZ100" i="17"/>
  <c r="BA100" i="17"/>
  <c r="BB100" i="17"/>
  <c r="BC100" i="17"/>
  <c r="BD100" i="17"/>
  <c r="BE100" i="17"/>
  <c r="BF100" i="17"/>
  <c r="BG100" i="17"/>
  <c r="BH100" i="17"/>
  <c r="BI100" i="17"/>
  <c r="BJ100" i="17"/>
  <c r="BK100" i="17"/>
  <c r="BL100" i="17"/>
  <c r="BM100" i="17"/>
  <c r="BN100" i="17"/>
  <c r="BO100" i="17"/>
  <c r="BP100" i="17"/>
  <c r="BQ100" i="17"/>
  <c r="BR100" i="17"/>
  <c r="BS100" i="17"/>
  <c r="BT100" i="17"/>
  <c r="BU100" i="17"/>
  <c r="BV100" i="17"/>
  <c r="BW100" i="17"/>
  <c r="BX100" i="17"/>
  <c r="BY100" i="17"/>
  <c r="BZ100" i="17"/>
  <c r="CA100" i="17"/>
  <c r="CB100" i="17"/>
  <c r="CC100" i="17"/>
  <c r="CD100" i="17"/>
  <c r="CE100" i="17"/>
  <c r="CF100" i="17"/>
  <c r="CG100" i="17"/>
  <c r="CH100" i="17"/>
  <c r="CI100" i="17"/>
  <c r="CJ100" i="17"/>
  <c r="CK100" i="17"/>
  <c r="CL100" i="17"/>
  <c r="CM100" i="17"/>
  <c r="CN100" i="17"/>
  <c r="CO100" i="17"/>
  <c r="CP100" i="17"/>
  <c r="CQ100" i="17"/>
  <c r="CR100" i="17"/>
  <c r="CS100" i="17"/>
  <c r="CT100" i="17"/>
  <c r="CU100" i="17"/>
  <c r="CV100" i="17"/>
  <c r="CW100" i="17"/>
  <c r="CX100" i="17"/>
  <c r="CY100" i="17"/>
  <c r="CZ100" i="17"/>
  <c r="DA100" i="17"/>
  <c r="DB100" i="17"/>
  <c r="DC100" i="17"/>
  <c r="DD100" i="17"/>
  <c r="DE100" i="17"/>
  <c r="DF100" i="17"/>
  <c r="DG100" i="17"/>
  <c r="DH100" i="17"/>
  <c r="DI100" i="17"/>
  <c r="DJ100" i="17"/>
  <c r="DK100" i="17"/>
  <c r="DL100" i="17"/>
  <c r="DM100" i="17"/>
  <c r="DN100" i="17"/>
  <c r="DO100" i="17"/>
  <c r="DP100" i="17"/>
  <c r="DQ100" i="17"/>
  <c r="DR100" i="17"/>
  <c r="DS100" i="17"/>
  <c r="DT100" i="17"/>
  <c r="DU100" i="17"/>
  <c r="DV100" i="17"/>
  <c r="DW100" i="17"/>
  <c r="DX100" i="17"/>
  <c r="DY100" i="17"/>
  <c r="DZ100" i="17"/>
  <c r="EA100" i="17"/>
  <c r="EB100" i="17"/>
  <c r="EC100" i="17"/>
  <c r="ED100" i="17"/>
  <c r="EE100" i="17"/>
  <c r="EF100" i="17"/>
  <c r="EG100" i="17"/>
  <c r="EH100" i="17"/>
  <c r="EI100" i="17"/>
  <c r="EJ100" i="17"/>
  <c r="EK100" i="17"/>
  <c r="EL100" i="17"/>
  <c r="EM100" i="17"/>
  <c r="EN100" i="17"/>
  <c r="EO100" i="17"/>
  <c r="EP100" i="17"/>
  <c r="EQ100" i="17"/>
  <c r="ER100" i="17"/>
  <c r="ES100" i="17"/>
  <c r="ET100" i="17"/>
  <c r="EU100" i="17"/>
  <c r="EV100" i="17"/>
  <c r="EW100" i="17"/>
  <c r="EX100" i="17"/>
  <c r="EY100" i="17"/>
  <c r="EZ100" i="17"/>
  <c r="FA100" i="17"/>
  <c r="FB100" i="17"/>
  <c r="FC100" i="17"/>
  <c r="FD100" i="17"/>
  <c r="FE100" i="17"/>
  <c r="FF100" i="17"/>
  <c r="FG100" i="17"/>
  <c r="FH100" i="17"/>
  <c r="FI100" i="17"/>
  <c r="FJ100" i="17"/>
  <c r="FK100" i="17"/>
  <c r="FL100" i="17"/>
  <c r="FM100" i="17"/>
  <c r="FN100" i="17"/>
  <c r="FO100" i="17"/>
  <c r="D101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U101" i="17"/>
  <c r="V101" i="17"/>
  <c r="W101" i="17"/>
  <c r="X101" i="17"/>
  <c r="Y101" i="17"/>
  <c r="Z101" i="17"/>
  <c r="AA101" i="17"/>
  <c r="AB101" i="17"/>
  <c r="AC101" i="17"/>
  <c r="AD101" i="17"/>
  <c r="AE101" i="17"/>
  <c r="AF101" i="17"/>
  <c r="AG101" i="17"/>
  <c r="AH101" i="17"/>
  <c r="AI101" i="17"/>
  <c r="AJ101" i="17"/>
  <c r="AK101" i="17"/>
  <c r="AL101" i="17"/>
  <c r="AM101" i="17"/>
  <c r="AN101" i="17"/>
  <c r="AO101" i="17"/>
  <c r="AP101" i="17"/>
  <c r="AQ101" i="17"/>
  <c r="AR101" i="17"/>
  <c r="AS101" i="17"/>
  <c r="AT101" i="17"/>
  <c r="AU101" i="17"/>
  <c r="AV101" i="17"/>
  <c r="AW101" i="17"/>
  <c r="AX101" i="17"/>
  <c r="AY101" i="17"/>
  <c r="AZ101" i="17"/>
  <c r="BA101" i="17"/>
  <c r="BB101" i="17"/>
  <c r="BC101" i="17"/>
  <c r="BD101" i="17"/>
  <c r="BE101" i="17"/>
  <c r="BF101" i="17"/>
  <c r="BG101" i="17"/>
  <c r="BH101" i="17"/>
  <c r="BI101" i="17"/>
  <c r="BJ101" i="17"/>
  <c r="BK101" i="17"/>
  <c r="BL101" i="17"/>
  <c r="BM101" i="17"/>
  <c r="BN101" i="17"/>
  <c r="BO101" i="17"/>
  <c r="BP101" i="17"/>
  <c r="BQ101" i="17"/>
  <c r="BR101" i="17"/>
  <c r="BS101" i="17"/>
  <c r="BT101" i="17"/>
  <c r="BU101" i="17"/>
  <c r="BV101" i="17"/>
  <c r="BW101" i="17"/>
  <c r="BX101" i="17"/>
  <c r="BY101" i="17"/>
  <c r="BZ101" i="17"/>
  <c r="CA101" i="17"/>
  <c r="CB101" i="17"/>
  <c r="CC101" i="17"/>
  <c r="CD101" i="17"/>
  <c r="CE101" i="17"/>
  <c r="CF101" i="17"/>
  <c r="CG101" i="17"/>
  <c r="CH101" i="17"/>
  <c r="CI101" i="17"/>
  <c r="CJ101" i="17"/>
  <c r="CK101" i="17"/>
  <c r="CL101" i="17"/>
  <c r="CM101" i="17"/>
  <c r="CN101" i="17"/>
  <c r="CO101" i="17"/>
  <c r="CP101" i="17"/>
  <c r="CQ101" i="17"/>
  <c r="CR101" i="17"/>
  <c r="CS101" i="17"/>
  <c r="CT101" i="17"/>
  <c r="CU101" i="17"/>
  <c r="CV101" i="17"/>
  <c r="CW101" i="17"/>
  <c r="CX101" i="17"/>
  <c r="CY101" i="17"/>
  <c r="CZ101" i="17"/>
  <c r="DA101" i="17"/>
  <c r="DB101" i="17"/>
  <c r="DC101" i="17"/>
  <c r="DD101" i="17"/>
  <c r="DE101" i="17"/>
  <c r="DF101" i="17"/>
  <c r="DG101" i="17"/>
  <c r="DH101" i="17"/>
  <c r="DI101" i="17"/>
  <c r="DJ101" i="17"/>
  <c r="DK101" i="17"/>
  <c r="DL101" i="17"/>
  <c r="DM101" i="17"/>
  <c r="DN101" i="17"/>
  <c r="DO101" i="17"/>
  <c r="DP101" i="17"/>
  <c r="DQ101" i="17"/>
  <c r="DR101" i="17"/>
  <c r="DS101" i="17"/>
  <c r="DT101" i="17"/>
  <c r="DU101" i="17"/>
  <c r="DV101" i="17"/>
  <c r="DW101" i="17"/>
  <c r="DX101" i="17"/>
  <c r="DY101" i="17"/>
  <c r="DZ101" i="17"/>
  <c r="EA101" i="17"/>
  <c r="EB101" i="17"/>
  <c r="EC101" i="17"/>
  <c r="ED101" i="17"/>
  <c r="EE101" i="17"/>
  <c r="EF101" i="17"/>
  <c r="EG101" i="17"/>
  <c r="EH101" i="17"/>
  <c r="EI101" i="17"/>
  <c r="EJ101" i="17"/>
  <c r="EK101" i="17"/>
  <c r="EL101" i="17"/>
  <c r="EM101" i="17"/>
  <c r="EN101" i="17"/>
  <c r="EO101" i="17"/>
  <c r="EP101" i="17"/>
  <c r="EQ101" i="17"/>
  <c r="ER101" i="17"/>
  <c r="ES101" i="17"/>
  <c r="ET101" i="17"/>
  <c r="EU101" i="17"/>
  <c r="EV101" i="17"/>
  <c r="EW101" i="17"/>
  <c r="EX101" i="17"/>
  <c r="EY101" i="17"/>
  <c r="EZ101" i="17"/>
  <c r="FA101" i="17"/>
  <c r="FB101" i="17"/>
  <c r="FC101" i="17"/>
  <c r="FD101" i="17"/>
  <c r="FE101" i="17"/>
  <c r="FF101" i="17"/>
  <c r="FG101" i="17"/>
  <c r="FH101" i="17"/>
  <c r="FI101" i="17"/>
  <c r="FJ101" i="17"/>
  <c r="FK101" i="17"/>
  <c r="FL101" i="17"/>
  <c r="FM101" i="17"/>
  <c r="FN101" i="17"/>
  <c r="FO101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U102" i="17"/>
  <c r="V102" i="17"/>
  <c r="W102" i="17"/>
  <c r="X102" i="17"/>
  <c r="Y102" i="17"/>
  <c r="Z102" i="17"/>
  <c r="AA102" i="17"/>
  <c r="AB102" i="17"/>
  <c r="AC102" i="17"/>
  <c r="AD102" i="17"/>
  <c r="AE102" i="17"/>
  <c r="AF102" i="17"/>
  <c r="AG102" i="17"/>
  <c r="AH102" i="17"/>
  <c r="AI102" i="17"/>
  <c r="AJ102" i="17"/>
  <c r="AK102" i="17"/>
  <c r="AL102" i="17"/>
  <c r="AM102" i="17"/>
  <c r="AN102" i="17"/>
  <c r="AO102" i="17"/>
  <c r="AP102" i="17"/>
  <c r="AQ102" i="17"/>
  <c r="AR102" i="17"/>
  <c r="AS102" i="17"/>
  <c r="AT102" i="17"/>
  <c r="AU102" i="17"/>
  <c r="AV102" i="17"/>
  <c r="AW102" i="17"/>
  <c r="AX102" i="17"/>
  <c r="AY102" i="17"/>
  <c r="AZ102" i="17"/>
  <c r="BA102" i="17"/>
  <c r="BB102" i="17"/>
  <c r="BC102" i="17"/>
  <c r="BD102" i="17"/>
  <c r="BE102" i="17"/>
  <c r="BF102" i="17"/>
  <c r="BG102" i="17"/>
  <c r="BH102" i="17"/>
  <c r="BI102" i="17"/>
  <c r="BJ102" i="17"/>
  <c r="BK102" i="17"/>
  <c r="BL102" i="17"/>
  <c r="BM102" i="17"/>
  <c r="BN102" i="17"/>
  <c r="BO102" i="17"/>
  <c r="BP102" i="17"/>
  <c r="BQ102" i="17"/>
  <c r="BR102" i="17"/>
  <c r="BS102" i="17"/>
  <c r="BT102" i="17"/>
  <c r="BU102" i="17"/>
  <c r="BV102" i="17"/>
  <c r="BW102" i="17"/>
  <c r="BX102" i="17"/>
  <c r="BY102" i="17"/>
  <c r="BZ102" i="17"/>
  <c r="CA102" i="17"/>
  <c r="CB102" i="17"/>
  <c r="CC102" i="17"/>
  <c r="CD102" i="17"/>
  <c r="CE102" i="17"/>
  <c r="CF102" i="17"/>
  <c r="CG102" i="17"/>
  <c r="CH102" i="17"/>
  <c r="CI102" i="17"/>
  <c r="CJ102" i="17"/>
  <c r="CK102" i="17"/>
  <c r="CL102" i="17"/>
  <c r="CM102" i="17"/>
  <c r="CN102" i="17"/>
  <c r="CO102" i="17"/>
  <c r="CP102" i="17"/>
  <c r="CQ102" i="17"/>
  <c r="CR102" i="17"/>
  <c r="CS102" i="17"/>
  <c r="CT102" i="17"/>
  <c r="CU102" i="17"/>
  <c r="CV102" i="17"/>
  <c r="CW102" i="17"/>
  <c r="CX102" i="17"/>
  <c r="CY102" i="17"/>
  <c r="CZ102" i="17"/>
  <c r="DA102" i="17"/>
  <c r="DB102" i="17"/>
  <c r="DC102" i="17"/>
  <c r="DD102" i="17"/>
  <c r="DE102" i="17"/>
  <c r="DF102" i="17"/>
  <c r="DG102" i="17"/>
  <c r="DH102" i="17"/>
  <c r="DI102" i="17"/>
  <c r="DJ102" i="17"/>
  <c r="DK102" i="17"/>
  <c r="DL102" i="17"/>
  <c r="DM102" i="17"/>
  <c r="DN102" i="17"/>
  <c r="DO102" i="17"/>
  <c r="DP102" i="17"/>
  <c r="DQ102" i="17"/>
  <c r="DR102" i="17"/>
  <c r="DS102" i="17"/>
  <c r="DT102" i="17"/>
  <c r="DU102" i="17"/>
  <c r="DV102" i="17"/>
  <c r="DW102" i="17"/>
  <c r="DX102" i="17"/>
  <c r="DY102" i="17"/>
  <c r="DZ102" i="17"/>
  <c r="EA102" i="17"/>
  <c r="EB102" i="17"/>
  <c r="EC102" i="17"/>
  <c r="ED102" i="17"/>
  <c r="EE102" i="17"/>
  <c r="EF102" i="17"/>
  <c r="EG102" i="17"/>
  <c r="EH102" i="17"/>
  <c r="EI102" i="17"/>
  <c r="EJ102" i="17"/>
  <c r="EK102" i="17"/>
  <c r="EL102" i="17"/>
  <c r="EM102" i="17"/>
  <c r="EN102" i="17"/>
  <c r="EO102" i="17"/>
  <c r="EP102" i="17"/>
  <c r="EQ102" i="17"/>
  <c r="ER102" i="17"/>
  <c r="ES102" i="17"/>
  <c r="ET102" i="17"/>
  <c r="EU102" i="17"/>
  <c r="EV102" i="17"/>
  <c r="EW102" i="17"/>
  <c r="EX102" i="17"/>
  <c r="EY102" i="17"/>
  <c r="EZ102" i="17"/>
  <c r="FA102" i="17"/>
  <c r="FB102" i="17"/>
  <c r="FC102" i="17"/>
  <c r="FD102" i="17"/>
  <c r="FE102" i="17"/>
  <c r="FF102" i="17"/>
  <c r="FG102" i="17"/>
  <c r="FH102" i="17"/>
  <c r="FI102" i="17"/>
  <c r="FJ102" i="17"/>
  <c r="FK102" i="17"/>
  <c r="FL102" i="17"/>
  <c r="FM102" i="17"/>
  <c r="FN102" i="17"/>
  <c r="FO102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56" i="17"/>
  <c r="F26" i="22" l="1"/>
  <c r="P26" i="22"/>
  <c r="Z26" i="22"/>
  <c r="AJ26" i="22"/>
  <c r="AT26" i="22"/>
  <c r="BD26" i="22"/>
  <c r="BN26" i="22"/>
  <c r="BX26" i="22"/>
  <c r="CH26" i="22"/>
  <c r="CR26" i="22"/>
  <c r="DB26" i="22"/>
  <c r="DL26" i="22"/>
  <c r="DV26" i="22"/>
  <c r="EF26" i="22"/>
  <c r="EP26" i="22"/>
  <c r="EZ26" i="22"/>
  <c r="FJ26" i="22"/>
  <c r="I24" i="22"/>
  <c r="S24" i="22"/>
  <c r="AC24" i="22"/>
  <c r="AM24" i="22"/>
  <c r="AW24" i="22"/>
  <c r="BG24" i="22"/>
  <c r="BQ24" i="22"/>
  <c r="CA24" i="22"/>
  <c r="CK24" i="22"/>
  <c r="CU24" i="22"/>
  <c r="DE24" i="22"/>
  <c r="DO24" i="22"/>
  <c r="DY24" i="22"/>
  <c r="EI24" i="22"/>
  <c r="ES24" i="22"/>
  <c r="FC24" i="22"/>
  <c r="FM24" i="22"/>
  <c r="E24" i="22"/>
  <c r="O24" i="22"/>
  <c r="Y24" i="22"/>
  <c r="AI24" i="22"/>
  <c r="AS24" i="22"/>
  <c r="BC24" i="22"/>
  <c r="BM24" i="22"/>
  <c r="BW24" i="22"/>
  <c r="CG24" i="22"/>
  <c r="CQ24" i="22"/>
  <c r="DA24" i="22"/>
  <c r="DK24" i="22"/>
  <c r="DU24" i="22"/>
  <c r="EE24" i="22"/>
  <c r="EO24" i="22"/>
  <c r="EY24" i="22"/>
  <c r="FI24" i="22"/>
  <c r="CK23" i="22"/>
  <c r="CA23" i="22"/>
  <c r="H24" i="22"/>
  <c r="R24" i="22"/>
  <c r="AB24" i="22"/>
  <c r="AL24" i="22"/>
  <c r="AV24" i="22"/>
  <c r="BF24" i="22"/>
  <c r="BP24" i="22"/>
  <c r="BZ24" i="22"/>
  <c r="CJ24" i="22"/>
  <c r="CT24" i="22"/>
  <c r="DD24" i="22"/>
  <c r="DN24" i="22"/>
  <c r="DX24" i="22"/>
  <c r="EH24" i="22"/>
  <c r="ER24" i="22"/>
  <c r="FB24" i="22"/>
  <c r="I23" i="22"/>
  <c r="DE23" i="22"/>
  <c r="CU23" i="22"/>
  <c r="AC23" i="22"/>
  <c r="AM23" i="22"/>
  <c r="AW23" i="22"/>
  <c r="BG23" i="22"/>
  <c r="BQ23" i="22"/>
  <c r="EI23" i="22"/>
  <c r="S23" i="22"/>
  <c r="DY23" i="22"/>
  <c r="ES23" i="22"/>
  <c r="DF23" i="22"/>
  <c r="DP23" i="22"/>
  <c r="DZ23" i="22"/>
  <c r="EJ23" i="22"/>
  <c r="ET23" i="22"/>
  <c r="FD23" i="22"/>
  <c r="FN23" i="22"/>
  <c r="J24" i="22"/>
  <c r="T24" i="22"/>
  <c r="AD24" i="22"/>
  <c r="AN24" i="22"/>
  <c r="AX24" i="22"/>
  <c r="BH24" i="22"/>
  <c r="BR24" i="22"/>
  <c r="CB24" i="22"/>
  <c r="CL24" i="22"/>
  <c r="CV24" i="22"/>
  <c r="L25" i="22"/>
  <c r="V25" i="22"/>
  <c r="AF25" i="22"/>
  <c r="AP25" i="22"/>
  <c r="AZ25" i="22"/>
  <c r="DO23" i="22"/>
  <c r="FC23" i="22"/>
  <c r="FM23" i="22"/>
  <c r="BR23" i="22"/>
  <c r="T23" i="22"/>
  <c r="AD23" i="22"/>
  <c r="AN23" i="22"/>
  <c r="BH23" i="22"/>
  <c r="CB23" i="22"/>
  <c r="CL23" i="22"/>
  <c r="CV23" i="22"/>
  <c r="J23" i="22"/>
  <c r="AX23" i="22"/>
  <c r="N24" i="22"/>
  <c r="X24" i="22"/>
  <c r="AH24" i="22"/>
  <c r="AR24" i="22"/>
  <c r="BB24" i="22"/>
  <c r="BL24" i="22"/>
  <c r="BV24" i="22"/>
  <c r="CF24" i="22"/>
  <c r="CP24" i="22"/>
  <c r="CZ24" i="22"/>
  <c r="DJ24" i="22"/>
  <c r="DT24" i="22"/>
  <c r="ED24" i="22"/>
  <c r="EN24" i="22"/>
  <c r="EX24" i="22"/>
  <c r="FH24" i="22"/>
  <c r="G24" i="22"/>
  <c r="Q24" i="22"/>
  <c r="AA24" i="22"/>
  <c r="AK24" i="22"/>
  <c r="AU24" i="22"/>
  <c r="BE24" i="22"/>
  <c r="BO24" i="22"/>
  <c r="BY24" i="22"/>
  <c r="CI24" i="22"/>
  <c r="CS24" i="22"/>
  <c r="DC24" i="22"/>
  <c r="DM24" i="22"/>
  <c r="DW24" i="22"/>
  <c r="EG24" i="22"/>
  <c r="EQ24" i="22"/>
  <c r="FA24" i="22"/>
  <c r="FK24" i="22"/>
  <c r="FL24" i="22"/>
  <c r="CV21" i="22"/>
  <c r="DF24" i="22"/>
  <c r="DP24" i="22"/>
  <c r="DZ24" i="22"/>
  <c r="EJ24" i="22"/>
  <c r="ET24" i="22"/>
  <c r="FD24" i="22"/>
  <c r="FN24" i="22"/>
  <c r="BJ25" i="22"/>
  <c r="BT25" i="22"/>
  <c r="CD25" i="22"/>
  <c r="CN25" i="22"/>
  <c r="CX25" i="22"/>
  <c r="DH25" i="22"/>
  <c r="DR25" i="22"/>
  <c r="EB25" i="22"/>
  <c r="EL25" i="22"/>
  <c r="EV25" i="22"/>
  <c r="FF25" i="22"/>
  <c r="FP25" i="22"/>
  <c r="G26" i="22"/>
  <c r="Q26" i="22"/>
  <c r="AA26" i="22"/>
  <c r="BE26" i="22"/>
  <c r="CI26" i="22"/>
  <c r="DM26" i="22"/>
  <c r="DW26" i="22"/>
  <c r="FA26" i="22"/>
  <c r="J21" i="22"/>
  <c r="AB26" i="22"/>
  <c r="BF26" i="22"/>
  <c r="BP26" i="22"/>
  <c r="BZ26" i="22"/>
  <c r="CJ26" i="22"/>
  <c r="CT26" i="22"/>
  <c r="DX26" i="22"/>
  <c r="FB26" i="22"/>
  <c r="EJ21" i="22"/>
  <c r="L24" i="22"/>
  <c r="V24" i="22"/>
  <c r="AF24" i="22"/>
  <c r="AP24" i="22"/>
  <c r="AZ24" i="22"/>
  <c r="CD24" i="22"/>
  <c r="DH24" i="22"/>
  <c r="DR24" i="22"/>
  <c r="EB24" i="22"/>
  <c r="EL24" i="22"/>
  <c r="EV24" i="22"/>
  <c r="BQ26" i="22"/>
  <c r="CU26" i="22"/>
  <c r="DY26" i="22"/>
  <c r="FC26" i="22"/>
  <c r="FM26" i="22"/>
  <c r="AX21" i="22"/>
  <c r="BR21" i="22"/>
  <c r="CL21" i="22"/>
  <c r="FD21" i="22"/>
  <c r="M24" i="22"/>
  <c r="W24" i="22"/>
  <c r="AG24" i="22"/>
  <c r="AQ24" i="22"/>
  <c r="BA24" i="22"/>
  <c r="BK24" i="22"/>
  <c r="BU24" i="22"/>
  <c r="CE24" i="22"/>
  <c r="CO24" i="22"/>
  <c r="CY24" i="22"/>
  <c r="DI24" i="22"/>
  <c r="DS24" i="22"/>
  <c r="EC24" i="22"/>
  <c r="EM24" i="22"/>
  <c r="EW24" i="22"/>
  <c r="FG24" i="22"/>
  <c r="FQ24" i="22"/>
  <c r="EO25" i="22"/>
  <c r="EY25" i="22"/>
  <c r="FI25" i="22"/>
  <c r="J26" i="22"/>
  <c r="T26" i="22"/>
  <c r="AD26" i="22"/>
  <c r="AN26" i="22"/>
  <c r="BH21" i="22"/>
  <c r="F25" i="22"/>
  <c r="P25" i="22"/>
  <c r="Z25" i="22"/>
  <c r="AJ25" i="22"/>
  <c r="AT25" i="22"/>
  <c r="BD25" i="22"/>
  <c r="BN25" i="22"/>
  <c r="BX25" i="22"/>
  <c r="CH25" i="22"/>
  <c r="CR25" i="22"/>
  <c r="DB25" i="22"/>
  <c r="DL25" i="22"/>
  <c r="DV25" i="22"/>
  <c r="EF25" i="22"/>
  <c r="EP25" i="22"/>
  <c r="EZ25" i="22"/>
  <c r="FJ25" i="22"/>
  <c r="K26" i="22"/>
  <c r="U26" i="22"/>
  <c r="AE26" i="22"/>
  <c r="AO26" i="22"/>
  <c r="AY26" i="22"/>
  <c r="BI26" i="22"/>
  <c r="BS26" i="22"/>
  <c r="CC26" i="22"/>
  <c r="CM26" i="22"/>
  <c r="CW26" i="22"/>
  <c r="DG26" i="22"/>
  <c r="DQ26" i="22"/>
  <c r="EA26" i="22"/>
  <c r="EK26" i="22"/>
  <c r="EU26" i="22"/>
  <c r="FE26" i="22"/>
  <c r="FO26" i="22"/>
  <c r="CB21" i="22"/>
  <c r="DP21" i="22"/>
  <c r="ET21" i="22"/>
  <c r="G25" i="22"/>
  <c r="Q25" i="22"/>
  <c r="AK25" i="22"/>
  <c r="AU25" i="22"/>
  <c r="BE25" i="22"/>
  <c r="BO25" i="22"/>
  <c r="BY25" i="22"/>
  <c r="CI25" i="22"/>
  <c r="CS25" i="22"/>
  <c r="DC25" i="22"/>
  <c r="DM25" i="22"/>
  <c r="DW25" i="22"/>
  <c r="EG25" i="22"/>
  <c r="EQ25" i="22"/>
  <c r="FA25" i="22"/>
  <c r="FK25" i="22"/>
  <c r="L26" i="22"/>
  <c r="V26" i="22"/>
  <c r="AF26" i="22"/>
  <c r="AP26" i="22"/>
  <c r="AZ26" i="22"/>
  <c r="BJ26" i="22"/>
  <c r="BT26" i="22"/>
  <c r="CD26" i="22"/>
  <c r="CX26" i="22"/>
  <c r="DH26" i="22"/>
  <c r="DR26" i="22"/>
  <c r="EB26" i="22"/>
  <c r="EL26" i="22"/>
  <c r="EV26" i="22"/>
  <c r="FF26" i="22"/>
  <c r="FP26" i="22"/>
  <c r="AD21" i="22"/>
  <c r="AD27" i="22" s="1"/>
  <c r="FN21" i="22"/>
  <c r="AA25" i="22"/>
  <c r="AN21" i="22"/>
  <c r="AN27" i="22" s="1"/>
  <c r="DZ21" i="22"/>
  <c r="DZ27" i="22" s="1"/>
  <c r="CN26" i="22"/>
  <c r="T21" i="22"/>
  <c r="DF21" i="22"/>
  <c r="H23" i="22"/>
  <c r="R23" i="22"/>
  <c r="AB23" i="22"/>
  <c r="AL23" i="22"/>
  <c r="AV23" i="22"/>
  <c r="BF23" i="22"/>
  <c r="BP23" i="22"/>
  <c r="BZ23" i="22"/>
  <c r="CJ23" i="22"/>
  <c r="CT23" i="22"/>
  <c r="DD23" i="22"/>
  <c r="DN23" i="22"/>
  <c r="DX23" i="22"/>
  <c r="EH23" i="22"/>
  <c r="ER23" i="22"/>
  <c r="FB23" i="22"/>
  <c r="FL23" i="22"/>
  <c r="I21" i="22"/>
  <c r="S21" i="22"/>
  <c r="AC21" i="22"/>
  <c r="AM21" i="22"/>
  <c r="AW21" i="22"/>
  <c r="BG21" i="22"/>
  <c r="BQ21" i="22"/>
  <c r="CA21" i="22"/>
  <c r="CK21" i="22"/>
  <c r="CU21" i="22"/>
  <c r="DE21" i="22"/>
  <c r="DO21" i="22"/>
  <c r="DY21" i="22"/>
  <c r="EI21" i="22"/>
  <c r="ES21" i="22"/>
  <c r="FC21" i="22"/>
  <c r="FM21" i="22"/>
  <c r="DQ21" i="22"/>
  <c r="FE21" i="22"/>
  <c r="U23" i="22"/>
  <c r="AO23" i="22"/>
  <c r="BI23" i="22"/>
  <c r="CW23" i="22"/>
  <c r="EA23" i="22"/>
  <c r="FE23" i="22"/>
  <c r="K24" i="22"/>
  <c r="U24" i="22"/>
  <c r="AE24" i="22"/>
  <c r="AO24" i="22"/>
  <c r="AY24" i="22"/>
  <c r="BI24" i="22"/>
  <c r="BS24" i="22"/>
  <c r="CC24" i="22"/>
  <c r="CM24" i="22"/>
  <c r="CW24" i="22"/>
  <c r="DG24" i="22"/>
  <c r="DQ24" i="22"/>
  <c r="EA24" i="22"/>
  <c r="EK24" i="22"/>
  <c r="EU24" i="22"/>
  <c r="FE24" i="22"/>
  <c r="FO24" i="22"/>
  <c r="M25" i="22"/>
  <c r="AQ25" i="22"/>
  <c r="BA25" i="22"/>
  <c r="BK25" i="22"/>
  <c r="BU25" i="22"/>
  <c r="CE25" i="22"/>
  <c r="DI25" i="22"/>
  <c r="EM25" i="22"/>
  <c r="EW25" i="22"/>
  <c r="FG25" i="22"/>
  <c r="FQ25" i="22"/>
  <c r="U21" i="22"/>
  <c r="BI21" i="22"/>
  <c r="BI27" i="22" s="1"/>
  <c r="CW21" i="22"/>
  <c r="CW27" i="22" s="1"/>
  <c r="EA21" i="22"/>
  <c r="EA27" i="22" s="1"/>
  <c r="FO21" i="22"/>
  <c r="K23" i="22"/>
  <c r="AE23" i="22"/>
  <c r="AY23" i="22"/>
  <c r="BS23" i="22"/>
  <c r="CC23" i="22"/>
  <c r="CM23" i="22"/>
  <c r="DG23" i="22"/>
  <c r="DQ23" i="22"/>
  <c r="EK23" i="22"/>
  <c r="EU23" i="22"/>
  <c r="FO23" i="22"/>
  <c r="L21" i="22"/>
  <c r="V21" i="22"/>
  <c r="V27" i="22" s="1"/>
  <c r="AF21" i="22"/>
  <c r="AF27" i="22" s="1"/>
  <c r="AP21" i="22"/>
  <c r="AP27" i="22" s="1"/>
  <c r="AZ21" i="22"/>
  <c r="AZ27" i="22" s="1"/>
  <c r="BJ21" i="22"/>
  <c r="BT21" i="22"/>
  <c r="BT27" i="22" s="1"/>
  <c r="CD21" i="22"/>
  <c r="CD27" i="22" s="1"/>
  <c r="CN21" i="22"/>
  <c r="CX21" i="22"/>
  <c r="DH21" i="22"/>
  <c r="DR21" i="22"/>
  <c r="DR27" i="22" s="1"/>
  <c r="EB21" i="22"/>
  <c r="EB27" i="22" s="1"/>
  <c r="EL21" i="22"/>
  <c r="EL27" i="22" s="1"/>
  <c r="EV21" i="22"/>
  <c r="EV27" i="22" s="1"/>
  <c r="FF21" i="22"/>
  <c r="FF27" i="22" s="1"/>
  <c r="FP21" i="22"/>
  <c r="FP27" i="22" s="1"/>
  <c r="L23" i="22"/>
  <c r="V23" i="22"/>
  <c r="AF23" i="22"/>
  <c r="AP23" i="22"/>
  <c r="AZ23" i="22"/>
  <c r="BJ23" i="22"/>
  <c r="BT23" i="22"/>
  <c r="CD23" i="22"/>
  <c r="CN23" i="22"/>
  <c r="CX23" i="22"/>
  <c r="DH23" i="22"/>
  <c r="DR23" i="22"/>
  <c r="EB23" i="22"/>
  <c r="EL23" i="22"/>
  <c r="EV23" i="22"/>
  <c r="FF23" i="22"/>
  <c r="FP23" i="22"/>
  <c r="N25" i="22"/>
  <c r="X25" i="22"/>
  <c r="AH25" i="22"/>
  <c r="AR25" i="22"/>
  <c r="BB25" i="22"/>
  <c r="CF25" i="22"/>
  <c r="DJ25" i="22"/>
  <c r="DT25" i="22"/>
  <c r="ED25" i="22"/>
  <c r="EN25" i="22"/>
  <c r="EX25" i="22"/>
  <c r="AC26" i="22"/>
  <c r="AM26" i="22"/>
  <c r="AW26" i="22"/>
  <c r="BG26" i="22"/>
  <c r="AO21" i="22"/>
  <c r="AO27" i="22" s="1"/>
  <c r="BS21" i="22"/>
  <c r="BS27" i="22" s="1"/>
  <c r="CM21" i="22"/>
  <c r="EK21" i="22"/>
  <c r="M21" i="22"/>
  <c r="W21" i="22"/>
  <c r="AG21" i="22"/>
  <c r="AQ21" i="22"/>
  <c r="BA21" i="22"/>
  <c r="BK21" i="22"/>
  <c r="BU21" i="22"/>
  <c r="CE21" i="22"/>
  <c r="CO21" i="22"/>
  <c r="CY21" i="22"/>
  <c r="DI21" i="22"/>
  <c r="DS21" i="22"/>
  <c r="EC21" i="22"/>
  <c r="EM21" i="22"/>
  <c r="EW21" i="22"/>
  <c r="FG21" i="22"/>
  <c r="FQ21" i="22"/>
  <c r="M23" i="22"/>
  <c r="W23" i="22"/>
  <c r="AG23" i="22"/>
  <c r="AQ23" i="22"/>
  <c r="BA23" i="22"/>
  <c r="BK23" i="22"/>
  <c r="BU23" i="22"/>
  <c r="CE23" i="22"/>
  <c r="CO23" i="22"/>
  <c r="CY23" i="22"/>
  <c r="DI23" i="22"/>
  <c r="DS23" i="22"/>
  <c r="EC23" i="22"/>
  <c r="EM23" i="22"/>
  <c r="EW23" i="22"/>
  <c r="FG23" i="22"/>
  <c r="FQ23" i="22"/>
  <c r="E25" i="22"/>
  <c r="O25" i="22"/>
  <c r="Y25" i="22"/>
  <c r="AI25" i="22"/>
  <c r="AS25" i="22"/>
  <c r="BC25" i="22"/>
  <c r="BM25" i="22"/>
  <c r="BW25" i="22"/>
  <c r="CG25" i="22"/>
  <c r="CQ25" i="22"/>
  <c r="DA25" i="22"/>
  <c r="DK25" i="22"/>
  <c r="DU25" i="22"/>
  <c r="EE25" i="22"/>
  <c r="K21" i="22"/>
  <c r="AY21" i="22"/>
  <c r="AY27" i="22" s="1"/>
  <c r="CC21" i="22"/>
  <c r="CC27" i="22" s="1"/>
  <c r="DG21" i="22"/>
  <c r="DG27" i="22" s="1"/>
  <c r="EU21" i="22"/>
  <c r="EU27" i="22" s="1"/>
  <c r="N21" i="22"/>
  <c r="X21" i="22"/>
  <c r="AH21" i="22"/>
  <c r="AR21" i="22"/>
  <c r="BB21" i="22"/>
  <c r="BL21" i="22"/>
  <c r="BV21" i="22"/>
  <c r="CF21" i="22"/>
  <c r="CF27" i="22" s="1"/>
  <c r="CP21" i="22"/>
  <c r="CZ21" i="22"/>
  <c r="DJ21" i="22"/>
  <c r="DT21" i="22"/>
  <c r="ED21" i="22"/>
  <c r="EN21" i="22"/>
  <c r="EX21" i="22"/>
  <c r="FH21" i="22"/>
  <c r="N23" i="22"/>
  <c r="X23" i="22"/>
  <c r="AH23" i="22"/>
  <c r="AR23" i="22"/>
  <c r="BB23" i="22"/>
  <c r="BL23" i="22"/>
  <c r="BV23" i="22"/>
  <c r="CF23" i="22"/>
  <c r="CP23" i="22"/>
  <c r="CZ23" i="22"/>
  <c r="DJ23" i="22"/>
  <c r="DT23" i="22"/>
  <c r="ED23" i="22"/>
  <c r="EN23" i="22"/>
  <c r="EX23" i="22"/>
  <c r="FH23" i="22"/>
  <c r="AE21" i="22"/>
  <c r="E21" i="22"/>
  <c r="O21" i="22"/>
  <c r="Y21" i="22"/>
  <c r="AI21" i="22"/>
  <c r="AS21" i="22"/>
  <c r="AS27" i="22" s="1"/>
  <c r="BC21" i="22"/>
  <c r="BC27" i="22" s="1"/>
  <c r="BM21" i="22"/>
  <c r="BW21" i="22"/>
  <c r="CG21" i="22"/>
  <c r="CQ21" i="22"/>
  <c r="DA21" i="22"/>
  <c r="DK21" i="22"/>
  <c r="DU21" i="22"/>
  <c r="EE21" i="22"/>
  <c r="EO21" i="22"/>
  <c r="EO27" i="22" s="1"/>
  <c r="EY21" i="22"/>
  <c r="EY27" i="22" s="1"/>
  <c r="FI21" i="22"/>
  <c r="E23" i="22"/>
  <c r="O23" i="22"/>
  <c r="Y23" i="22"/>
  <c r="AI23" i="22"/>
  <c r="AS23" i="22"/>
  <c r="BC23" i="22"/>
  <c r="BM23" i="22"/>
  <c r="BW23" i="22"/>
  <c r="CG23" i="22"/>
  <c r="CQ23" i="22"/>
  <c r="DA23" i="22"/>
  <c r="DK23" i="22"/>
  <c r="DU23" i="22"/>
  <c r="EE23" i="22"/>
  <c r="EO23" i="22"/>
  <c r="EY23" i="22"/>
  <c r="FI23" i="22"/>
  <c r="F21" i="22"/>
  <c r="F27" i="22" s="1"/>
  <c r="P21" i="22"/>
  <c r="P27" i="22" s="1"/>
  <c r="Z21" i="22"/>
  <c r="AJ21" i="22"/>
  <c r="AT21" i="22"/>
  <c r="BD21" i="22"/>
  <c r="BN21" i="22"/>
  <c r="BX21" i="22"/>
  <c r="CH21" i="22"/>
  <c r="CH27" i="22" s="1"/>
  <c r="CR21" i="22"/>
  <c r="CR27" i="22" s="1"/>
  <c r="DB21" i="22"/>
  <c r="DB27" i="22" s="1"/>
  <c r="DL21" i="22"/>
  <c r="DL27" i="22" s="1"/>
  <c r="DV21" i="22"/>
  <c r="EF21" i="22"/>
  <c r="EP21" i="22"/>
  <c r="EZ21" i="22"/>
  <c r="FJ21" i="22"/>
  <c r="F23" i="22"/>
  <c r="P23" i="22"/>
  <c r="Z23" i="22"/>
  <c r="AJ23" i="22"/>
  <c r="AT23" i="22"/>
  <c r="BD23" i="22"/>
  <c r="BN23" i="22"/>
  <c r="BX23" i="22"/>
  <c r="CH23" i="22"/>
  <c r="CR23" i="22"/>
  <c r="DB23" i="22"/>
  <c r="DL23" i="22"/>
  <c r="DV23" i="22"/>
  <c r="EF23" i="22"/>
  <c r="EP23" i="22"/>
  <c r="EZ23" i="22"/>
  <c r="FJ23" i="22"/>
  <c r="F24" i="22"/>
  <c r="P24" i="22"/>
  <c r="Z24" i="22"/>
  <c r="AJ24" i="22"/>
  <c r="AT24" i="22"/>
  <c r="BD24" i="22"/>
  <c r="BN24" i="22"/>
  <c r="BX24" i="22"/>
  <c r="CH24" i="22"/>
  <c r="CR24" i="22"/>
  <c r="DB24" i="22"/>
  <c r="DL24" i="22"/>
  <c r="DV24" i="22"/>
  <c r="EF24" i="22"/>
  <c r="EP24" i="22"/>
  <c r="EZ24" i="22"/>
  <c r="FJ24" i="22"/>
  <c r="H25" i="22"/>
  <c r="R25" i="22"/>
  <c r="AB25" i="22"/>
  <c r="AL25" i="22"/>
  <c r="AV25" i="22"/>
  <c r="BF25" i="22"/>
  <c r="BP25" i="22"/>
  <c r="BZ25" i="22"/>
  <c r="CJ25" i="22"/>
  <c r="CT25" i="22"/>
  <c r="DD25" i="22"/>
  <c r="DN25" i="22"/>
  <c r="DX25" i="22"/>
  <c r="EH25" i="22"/>
  <c r="ER25" i="22"/>
  <c r="FB25" i="22"/>
  <c r="FL25" i="22"/>
  <c r="M26" i="22"/>
  <c r="W26" i="22"/>
  <c r="AG26" i="22"/>
  <c r="AQ26" i="22"/>
  <c r="BA26" i="22"/>
  <c r="BK26" i="22"/>
  <c r="BU26" i="22"/>
  <c r="CE26" i="22"/>
  <c r="CO26" i="22"/>
  <c r="CY26" i="22"/>
  <c r="DI26" i="22"/>
  <c r="DS26" i="22"/>
  <c r="EC26" i="22"/>
  <c r="EM26" i="22"/>
  <c r="EW26" i="22"/>
  <c r="FG26" i="22"/>
  <c r="FQ26" i="22"/>
  <c r="G21" i="22"/>
  <c r="G27" i="22" s="1"/>
  <c r="Q21" i="22"/>
  <c r="Q27" i="22" s="1"/>
  <c r="AA21" i="22"/>
  <c r="AA27" i="22" s="1"/>
  <c r="AK21" i="22"/>
  <c r="AK27" i="22" s="1"/>
  <c r="AU21" i="22"/>
  <c r="AU27" i="22" s="1"/>
  <c r="BE21" i="22"/>
  <c r="BE27" i="22" s="1"/>
  <c r="BO21" i="22"/>
  <c r="BY21" i="22"/>
  <c r="CI21" i="22"/>
  <c r="CS21" i="22"/>
  <c r="DC21" i="22"/>
  <c r="DC27" i="22" s="1"/>
  <c r="DM21" i="22"/>
  <c r="DM27" i="22" s="1"/>
  <c r="DW21" i="22"/>
  <c r="DW27" i="22" s="1"/>
  <c r="EG21" i="22"/>
  <c r="EG27" i="22" s="1"/>
  <c r="EQ21" i="22"/>
  <c r="EQ27" i="22" s="1"/>
  <c r="FA21" i="22"/>
  <c r="FA27" i="22" s="1"/>
  <c r="FK21" i="22"/>
  <c r="G23" i="22"/>
  <c r="Q23" i="22"/>
  <c r="AA23" i="22"/>
  <c r="AK23" i="22"/>
  <c r="AU23" i="22"/>
  <c r="BE23" i="22"/>
  <c r="BO23" i="22"/>
  <c r="BY23" i="22"/>
  <c r="CI23" i="22"/>
  <c r="CS23" i="22"/>
  <c r="DC23" i="22"/>
  <c r="DM23" i="22"/>
  <c r="DW23" i="22"/>
  <c r="EG23" i="22"/>
  <c r="EQ23" i="22"/>
  <c r="FA23" i="22"/>
  <c r="FK23" i="22"/>
  <c r="I25" i="22"/>
  <c r="S25" i="22"/>
  <c r="AC25" i="22"/>
  <c r="AM25" i="22"/>
  <c r="AW25" i="22"/>
  <c r="BG25" i="22"/>
  <c r="BQ25" i="22"/>
  <c r="CA25" i="22"/>
  <c r="CK25" i="22"/>
  <c r="CU25" i="22"/>
  <c r="DE25" i="22"/>
  <c r="DO25" i="22"/>
  <c r="DY25" i="22"/>
  <c r="EI25" i="22"/>
  <c r="ES25" i="22"/>
  <c r="FC25" i="22"/>
  <c r="FM25" i="22"/>
  <c r="N26" i="22"/>
  <c r="X26" i="22"/>
  <c r="AH26" i="22"/>
  <c r="AR26" i="22"/>
  <c r="BB26" i="22"/>
  <c r="BL26" i="22"/>
  <c r="BV26" i="22"/>
  <c r="CF26" i="22"/>
  <c r="CP26" i="22"/>
  <c r="CZ26" i="22"/>
  <c r="DJ26" i="22"/>
  <c r="DT26" i="22"/>
  <c r="ED26" i="22"/>
  <c r="EN26" i="22"/>
  <c r="EX26" i="22"/>
  <c r="FH26" i="22"/>
  <c r="H21" i="22"/>
  <c r="R21" i="22"/>
  <c r="R27" i="22" s="1"/>
  <c r="AB21" i="22"/>
  <c r="AB27" i="22" s="1"/>
  <c r="AL21" i="22"/>
  <c r="AL27" i="22" s="1"/>
  <c r="AV21" i="22"/>
  <c r="BF21" i="22"/>
  <c r="BF27" i="22" s="1"/>
  <c r="BP21" i="22"/>
  <c r="BP27" i="22" s="1"/>
  <c r="BZ21" i="22"/>
  <c r="BZ27" i="22" s="1"/>
  <c r="CJ21" i="22"/>
  <c r="CT21" i="22"/>
  <c r="DD21" i="22"/>
  <c r="DN21" i="22"/>
  <c r="DX21" i="22"/>
  <c r="DX27" i="22" s="1"/>
  <c r="EH21" i="22"/>
  <c r="ER21" i="22"/>
  <c r="FB21" i="22"/>
  <c r="FB27" i="22" s="1"/>
  <c r="FL21" i="22"/>
  <c r="J25" i="22"/>
  <c r="T25" i="22"/>
  <c r="AD25" i="22"/>
  <c r="AN25" i="22"/>
  <c r="AX25" i="22"/>
  <c r="AX27" i="22" s="1"/>
  <c r="BH25" i="22"/>
  <c r="BH27" i="22" s="1"/>
  <c r="BR25" i="22"/>
  <c r="BR27" i="22" s="1"/>
  <c r="CB25" i="22"/>
  <c r="CL25" i="22"/>
  <c r="CL27" i="22" s="1"/>
  <c r="CV25" i="22"/>
  <c r="CV27" i="22" s="1"/>
  <c r="DF25" i="22"/>
  <c r="DP25" i="22"/>
  <c r="DZ25" i="22"/>
  <c r="EJ25" i="22"/>
  <c r="ET25" i="22"/>
  <c r="FD25" i="22"/>
  <c r="FN25" i="22"/>
  <c r="E26" i="22"/>
  <c r="O26" i="22"/>
  <c r="Y26" i="22"/>
  <c r="AI26" i="22"/>
  <c r="AS26" i="22"/>
  <c r="BC26" i="22"/>
  <c r="BM26" i="22"/>
  <c r="BW26" i="22"/>
  <c r="CG26" i="22"/>
  <c r="CQ26" i="22"/>
  <c r="DA26" i="22"/>
  <c r="DK26" i="22"/>
  <c r="DU26" i="22"/>
  <c r="EE26" i="22"/>
  <c r="EO26" i="22"/>
  <c r="EY26" i="22"/>
  <c r="FI26" i="22"/>
  <c r="AX26" i="22"/>
  <c r="BH26" i="22"/>
  <c r="BR26" i="22"/>
  <c r="CB26" i="22"/>
  <c r="CL26" i="22"/>
  <c r="CV26" i="22"/>
  <c r="DF26" i="22"/>
  <c r="DP26" i="22"/>
  <c r="DZ26" i="22"/>
  <c r="EJ26" i="22"/>
  <c r="ET26" i="22"/>
  <c r="FD26" i="22"/>
  <c r="FN26" i="22"/>
  <c r="AK26" i="22"/>
  <c r="AU26" i="22"/>
  <c r="BO26" i="22"/>
  <c r="BY26" i="22"/>
  <c r="CS26" i="22"/>
  <c r="DC26" i="22"/>
  <c r="EG26" i="22"/>
  <c r="EQ26" i="22"/>
  <c r="FK26" i="22"/>
  <c r="W25" i="22"/>
  <c r="AG25" i="22"/>
  <c r="CO25" i="22"/>
  <c r="CY25" i="22"/>
  <c r="DS25" i="22"/>
  <c r="EC25" i="22"/>
  <c r="H26" i="22"/>
  <c r="R26" i="22"/>
  <c r="AL26" i="22"/>
  <c r="AV26" i="22"/>
  <c r="DD26" i="22"/>
  <c r="DN26" i="22"/>
  <c r="EH26" i="22"/>
  <c r="ER26" i="22"/>
  <c r="FL26" i="22"/>
  <c r="BJ24" i="22"/>
  <c r="BT24" i="22"/>
  <c r="CN24" i="22"/>
  <c r="CX24" i="22"/>
  <c r="FF24" i="22"/>
  <c r="FP24" i="22"/>
  <c r="BL25" i="22"/>
  <c r="BV25" i="22"/>
  <c r="CP25" i="22"/>
  <c r="CZ25" i="22"/>
  <c r="FH25" i="22"/>
  <c r="I26" i="22"/>
  <c r="S26" i="22"/>
  <c r="CA26" i="22"/>
  <c r="CK26" i="22"/>
  <c r="DE26" i="22"/>
  <c r="DO26" i="22"/>
  <c r="EI26" i="22"/>
  <c r="ES26" i="22"/>
  <c r="DJ26" i="21"/>
  <c r="X26" i="21"/>
  <c r="ED26" i="21"/>
  <c r="BB26" i="21"/>
  <c r="Y26" i="21"/>
  <c r="Y32" i="21" s="1"/>
  <c r="BW26" i="21"/>
  <c r="BW32" i="21" s="1"/>
  <c r="DU26" i="21"/>
  <c r="DU32" i="21" s="1"/>
  <c r="EY26" i="21"/>
  <c r="EY32" i="21" s="1"/>
  <c r="E26" i="21"/>
  <c r="E32" i="21" s="1"/>
  <c r="BM26" i="21"/>
  <c r="BM32" i="21" s="1"/>
  <c r="DK26" i="21"/>
  <c r="DK32" i="21" s="1"/>
  <c r="EO26" i="21"/>
  <c r="EO32" i="21" s="1"/>
  <c r="AI26" i="21"/>
  <c r="AI32" i="21" s="1"/>
  <c r="BC26" i="21"/>
  <c r="BC32" i="21" s="1"/>
  <c r="CG26" i="21"/>
  <c r="CG32" i="21" s="1"/>
  <c r="CQ26" i="21"/>
  <c r="CQ32" i="21" s="1"/>
  <c r="EE26" i="21"/>
  <c r="EE32" i="21" s="1"/>
  <c r="O26" i="21"/>
  <c r="O32" i="21" s="1"/>
  <c r="AS26" i="21"/>
  <c r="AS32" i="21" s="1"/>
  <c r="DA26" i="21"/>
  <c r="DA32" i="21" s="1"/>
  <c r="FI26" i="21"/>
  <c r="FI32" i="21" s="1"/>
  <c r="BX26" i="21"/>
  <c r="BX32" i="21" s="1"/>
  <c r="CM31" i="21"/>
  <c r="EA31" i="21"/>
  <c r="FC29" i="21"/>
  <c r="BJ31" i="21"/>
  <c r="J29" i="21"/>
  <c r="T29" i="21"/>
  <c r="AD29" i="21"/>
  <c r="AN29" i="21"/>
  <c r="AX29" i="21"/>
  <c r="BH29" i="21"/>
  <c r="BR29" i="21"/>
  <c r="CB29" i="21"/>
  <c r="CL29" i="21"/>
  <c r="CV29" i="21"/>
  <c r="DF29" i="21"/>
  <c r="DP29" i="21"/>
  <c r="DZ29" i="21"/>
  <c r="EJ29" i="21"/>
  <c r="ET29" i="21"/>
  <c r="FD29" i="21"/>
  <c r="FN29" i="21"/>
  <c r="C31" i="21"/>
  <c r="M31" i="21"/>
  <c r="W31" i="21"/>
  <c r="AG31" i="21"/>
  <c r="AQ31" i="21"/>
  <c r="BA31" i="21"/>
  <c r="BK31" i="21"/>
  <c r="BU31" i="21"/>
  <c r="CE31" i="21"/>
  <c r="CO31" i="21"/>
  <c r="CY31" i="21"/>
  <c r="DI31" i="21"/>
  <c r="DN26" i="21"/>
  <c r="DN32" i="21" s="1"/>
  <c r="BS29" i="21"/>
  <c r="EA29" i="21"/>
  <c r="AR31" i="21"/>
  <c r="CP31" i="21"/>
  <c r="BB32" i="21"/>
  <c r="E29" i="21"/>
  <c r="O29" i="21"/>
  <c r="AS29" i="21"/>
  <c r="BC29" i="21"/>
  <c r="D26" i="21"/>
  <c r="D32" i="21" s="1"/>
  <c r="AH26" i="21"/>
  <c r="AH32" i="21" s="1"/>
  <c r="AR26" i="21"/>
  <c r="AR32" i="21" s="1"/>
  <c r="DT26" i="21"/>
  <c r="DT32" i="21" s="1"/>
  <c r="EN26" i="21"/>
  <c r="EN32" i="21" s="1"/>
  <c r="FH26" i="21"/>
  <c r="FH32" i="21" s="1"/>
  <c r="F29" i="21"/>
  <c r="Z29" i="21"/>
  <c r="BD29" i="21"/>
  <c r="BX29" i="21"/>
  <c r="DB29" i="21"/>
  <c r="DV29" i="21"/>
  <c r="I31" i="21"/>
  <c r="AC31" i="21"/>
  <c r="AW31" i="21"/>
  <c r="BG31" i="21"/>
  <c r="BD26" i="21"/>
  <c r="BD32" i="21" s="1"/>
  <c r="S29" i="21"/>
  <c r="DY29" i="21"/>
  <c r="L31" i="21"/>
  <c r="AP31" i="21"/>
  <c r="CN31" i="21"/>
  <c r="DH31" i="21"/>
  <c r="EL31" i="21"/>
  <c r="FF31" i="21"/>
  <c r="Q26" i="21"/>
  <c r="Q32" i="21" s="1"/>
  <c r="AK26" i="21"/>
  <c r="AK32" i="21" s="1"/>
  <c r="BE26" i="21"/>
  <c r="BE32" i="21" s="1"/>
  <c r="BO26" i="21"/>
  <c r="BO32" i="21" s="1"/>
  <c r="CI26" i="21"/>
  <c r="CI32" i="21" s="1"/>
  <c r="DC26" i="21"/>
  <c r="DC32" i="21" s="1"/>
  <c r="DW26" i="21"/>
  <c r="DW32" i="21" s="1"/>
  <c r="CS26" i="21"/>
  <c r="CS32" i="21" s="1"/>
  <c r="U29" i="21"/>
  <c r="DS31" i="21"/>
  <c r="DJ32" i="21"/>
  <c r="AA26" i="21"/>
  <c r="AA32" i="21" s="1"/>
  <c r="AU26" i="21"/>
  <c r="AU32" i="21" s="1"/>
  <c r="DM26" i="21"/>
  <c r="DM32" i="21" s="1"/>
  <c r="G26" i="21"/>
  <c r="G32" i="21" s="1"/>
  <c r="BY26" i="21"/>
  <c r="BY32" i="21" s="1"/>
  <c r="CT26" i="21"/>
  <c r="CT32" i="21" s="1"/>
  <c r="ER26" i="21"/>
  <c r="ER32" i="21" s="1"/>
  <c r="L28" i="21"/>
  <c r="V28" i="21"/>
  <c r="AF28" i="21"/>
  <c r="AP28" i="21"/>
  <c r="AZ28" i="21"/>
  <c r="BJ28" i="21"/>
  <c r="BT28" i="21"/>
  <c r="CD28" i="21"/>
  <c r="CN28" i="21"/>
  <c r="CX28" i="21"/>
  <c r="DH28" i="21"/>
  <c r="DR28" i="21"/>
  <c r="EB28" i="21"/>
  <c r="EL28" i="21"/>
  <c r="EV28" i="21"/>
  <c r="FF28" i="21"/>
  <c r="L29" i="21"/>
  <c r="V29" i="21"/>
  <c r="AF29" i="21"/>
  <c r="AP29" i="21"/>
  <c r="AZ29" i="21"/>
  <c r="BJ29" i="21"/>
  <c r="BT29" i="21"/>
  <c r="CD29" i="21"/>
  <c r="CN29" i="21"/>
  <c r="CX29" i="21"/>
  <c r="DH29" i="21"/>
  <c r="DR29" i="21"/>
  <c r="EB29" i="21"/>
  <c r="EL29" i="21"/>
  <c r="EV29" i="21"/>
  <c r="FF29" i="21"/>
  <c r="E31" i="21"/>
  <c r="O31" i="21"/>
  <c r="Y31" i="21"/>
  <c r="AI31" i="21"/>
  <c r="AS31" i="21"/>
  <c r="BC31" i="21"/>
  <c r="BM31" i="21"/>
  <c r="BW31" i="21"/>
  <c r="CG31" i="21"/>
  <c r="CQ31" i="21"/>
  <c r="DA31" i="21"/>
  <c r="DK31" i="21"/>
  <c r="DU31" i="21"/>
  <c r="EE31" i="21"/>
  <c r="EO31" i="21"/>
  <c r="EY31" i="21"/>
  <c r="FI31" i="21"/>
  <c r="AB26" i="21"/>
  <c r="AB32" i="21" s="1"/>
  <c r="AV26" i="21"/>
  <c r="AV32" i="21" s="1"/>
  <c r="BP26" i="21"/>
  <c r="BP32" i="21" s="1"/>
  <c r="EH26" i="21"/>
  <c r="EH32" i="21" s="1"/>
  <c r="FL26" i="21"/>
  <c r="FL32" i="21" s="1"/>
  <c r="H26" i="21"/>
  <c r="H32" i="21" s="1"/>
  <c r="AL26" i="21"/>
  <c r="AL32" i="21" s="1"/>
  <c r="BF26" i="21"/>
  <c r="BF32" i="21" s="1"/>
  <c r="BZ26" i="21"/>
  <c r="BZ32" i="21" s="1"/>
  <c r="CJ26" i="21"/>
  <c r="CJ32" i="21" s="1"/>
  <c r="DD26" i="21"/>
  <c r="DD32" i="21" s="1"/>
  <c r="DX26" i="21"/>
  <c r="DX32" i="21" s="1"/>
  <c r="FB26" i="21"/>
  <c r="FB32" i="21" s="1"/>
  <c r="W28" i="21"/>
  <c r="CJ28" i="21"/>
  <c r="EH28" i="21"/>
  <c r="C29" i="21"/>
  <c r="M29" i="21"/>
  <c r="W29" i="21"/>
  <c r="AG29" i="21"/>
  <c r="AQ29" i="21"/>
  <c r="BA29" i="21"/>
  <c r="BK29" i="21"/>
  <c r="BU29" i="21"/>
  <c r="CE29" i="21"/>
  <c r="CO29" i="21"/>
  <c r="CY29" i="21"/>
  <c r="DI29" i="21"/>
  <c r="DS29" i="21"/>
  <c r="EC29" i="21"/>
  <c r="EM29" i="21"/>
  <c r="EW29" i="21"/>
  <c r="FG29" i="21"/>
  <c r="F31" i="21"/>
  <c r="P31" i="21"/>
  <c r="Z31" i="21"/>
  <c r="AJ31" i="21"/>
  <c r="AT31" i="21"/>
  <c r="BD31" i="21"/>
  <c r="BN31" i="21"/>
  <c r="BX31" i="21"/>
  <c r="CH31" i="21"/>
  <c r="CR31" i="21"/>
  <c r="DB31" i="21"/>
  <c r="DL31" i="21"/>
  <c r="DV31" i="21"/>
  <c r="EF31" i="21"/>
  <c r="EP31" i="21"/>
  <c r="EZ31" i="21"/>
  <c r="FJ31" i="21"/>
  <c r="CR26" i="21"/>
  <c r="CR32" i="21" s="1"/>
  <c r="ED32" i="21"/>
  <c r="BM29" i="21"/>
  <c r="DA29" i="21"/>
  <c r="DK29" i="21"/>
  <c r="AJ26" i="21"/>
  <c r="AJ32" i="21" s="1"/>
  <c r="DL26" i="21"/>
  <c r="DL32" i="21" s="1"/>
  <c r="EZ26" i="21"/>
  <c r="EZ32" i="21" s="1"/>
  <c r="N26" i="21"/>
  <c r="N32" i="21" s="1"/>
  <c r="BL26" i="21"/>
  <c r="BL32" i="21" s="1"/>
  <c r="CF26" i="21"/>
  <c r="CF32" i="21" s="1"/>
  <c r="CZ26" i="21"/>
  <c r="CZ32" i="21" s="1"/>
  <c r="EX26" i="21"/>
  <c r="EX32" i="21" s="1"/>
  <c r="G29" i="21"/>
  <c r="Q29" i="21"/>
  <c r="AA29" i="21"/>
  <c r="AK29" i="21"/>
  <c r="AU29" i="21"/>
  <c r="BE29" i="21"/>
  <c r="BO29" i="21"/>
  <c r="BY29" i="21"/>
  <c r="CI29" i="21"/>
  <c r="CS29" i="21"/>
  <c r="EF26" i="21"/>
  <c r="EF32" i="21" s="1"/>
  <c r="X32" i="21"/>
  <c r="BV26" i="21"/>
  <c r="BV32" i="21" s="1"/>
  <c r="CP26" i="21"/>
  <c r="CP32" i="21" s="1"/>
  <c r="AL28" i="21"/>
  <c r="BQ29" i="21"/>
  <c r="FM29" i="21"/>
  <c r="DI28" i="21"/>
  <c r="M28" i="21"/>
  <c r="BA28" i="21"/>
  <c r="CY28" i="21"/>
  <c r="EW28" i="21"/>
  <c r="R26" i="21"/>
  <c r="R32" i="21" s="1"/>
  <c r="C28" i="21"/>
  <c r="BU28" i="21"/>
  <c r="CO28" i="21"/>
  <c r="EC28" i="21"/>
  <c r="EM28" i="21"/>
  <c r="Y28" i="21"/>
  <c r="AS28" i="21"/>
  <c r="BW28" i="21"/>
  <c r="CQ28" i="21"/>
  <c r="DU28" i="21"/>
  <c r="EO28" i="21"/>
  <c r="AQ28" i="21"/>
  <c r="CE28" i="21"/>
  <c r="FG28" i="21"/>
  <c r="CA31" i="21"/>
  <c r="CK31" i="21"/>
  <c r="CU31" i="21"/>
  <c r="DE31" i="21"/>
  <c r="DY31" i="21"/>
  <c r="AG28" i="21"/>
  <c r="BK28" i="21"/>
  <c r="DS28" i="21"/>
  <c r="DC29" i="21"/>
  <c r="DM29" i="21"/>
  <c r="DW29" i="21"/>
  <c r="EG29" i="21"/>
  <c r="EQ29" i="21"/>
  <c r="FA29" i="21"/>
  <c r="FK29" i="21"/>
  <c r="J31" i="21"/>
  <c r="T31" i="21"/>
  <c r="AD31" i="21"/>
  <c r="AN31" i="21"/>
  <c r="AX31" i="21"/>
  <c r="BH31" i="21"/>
  <c r="BR31" i="21"/>
  <c r="CB31" i="21"/>
  <c r="CL31" i="21"/>
  <c r="CV31" i="21"/>
  <c r="DF31" i="21"/>
  <c r="DP31" i="21"/>
  <c r="DZ31" i="21"/>
  <c r="EJ31" i="21"/>
  <c r="ET31" i="21"/>
  <c r="FD31" i="21"/>
  <c r="FN31" i="21"/>
  <c r="BZ28" i="21"/>
  <c r="ER28" i="21"/>
  <c r="H29" i="21"/>
  <c r="R29" i="21"/>
  <c r="AB29" i="21"/>
  <c r="AL29" i="21"/>
  <c r="AV29" i="21"/>
  <c r="BF29" i="21"/>
  <c r="BP29" i="21"/>
  <c r="BZ29" i="21"/>
  <c r="CJ29" i="21"/>
  <c r="CT29" i="21"/>
  <c r="DD29" i="21"/>
  <c r="DN29" i="21"/>
  <c r="DX29" i="21"/>
  <c r="EH29" i="21"/>
  <c r="ER29" i="21"/>
  <c r="FB29" i="21"/>
  <c r="FL29" i="21"/>
  <c r="K31" i="21"/>
  <c r="U31" i="21"/>
  <c r="AE31" i="21"/>
  <c r="AO31" i="21"/>
  <c r="AY31" i="21"/>
  <c r="BI31" i="21"/>
  <c r="BS31" i="21"/>
  <c r="CC31" i="21"/>
  <c r="CW31" i="21"/>
  <c r="DG31" i="21"/>
  <c r="DQ31" i="21"/>
  <c r="EK31" i="21"/>
  <c r="EU31" i="21"/>
  <c r="FE31" i="21"/>
  <c r="FO31" i="21"/>
  <c r="AV28" i="21"/>
  <c r="I29" i="21"/>
  <c r="AC29" i="21"/>
  <c r="BG29" i="21"/>
  <c r="CA29" i="21"/>
  <c r="DO29" i="21"/>
  <c r="V31" i="21"/>
  <c r="AF31" i="21"/>
  <c r="AZ31" i="21"/>
  <c r="BT31" i="21"/>
  <c r="CD31" i="21"/>
  <c r="CX31" i="21"/>
  <c r="DR31" i="21"/>
  <c r="EB31" i="21"/>
  <c r="EV31" i="21"/>
  <c r="AB28" i="21"/>
  <c r="CT28" i="21"/>
  <c r="J28" i="21"/>
  <c r="AN28" i="21"/>
  <c r="AX28" i="21"/>
  <c r="BH28" i="21"/>
  <c r="CL28" i="21"/>
  <c r="CV28" i="21"/>
  <c r="DF28" i="21"/>
  <c r="EJ28" i="21"/>
  <c r="ET28" i="21"/>
  <c r="FD28" i="21"/>
  <c r="EC31" i="21"/>
  <c r="EM31" i="21"/>
  <c r="EW31" i="21"/>
  <c r="FG31" i="21"/>
  <c r="DX28" i="21"/>
  <c r="U28" i="21"/>
  <c r="AY28" i="21"/>
  <c r="BS28" i="21"/>
  <c r="CW28" i="21"/>
  <c r="DQ28" i="21"/>
  <c r="EU28" i="21"/>
  <c r="FO28" i="21"/>
  <c r="K29" i="21"/>
  <c r="AE29" i="21"/>
  <c r="AO29" i="21"/>
  <c r="AY29" i="21"/>
  <c r="BI29" i="21"/>
  <c r="CC29" i="21"/>
  <c r="CM29" i="21"/>
  <c r="CW29" i="21"/>
  <c r="DG29" i="21"/>
  <c r="DQ29" i="21"/>
  <c r="EK29" i="21"/>
  <c r="EU29" i="21"/>
  <c r="FE29" i="21"/>
  <c r="FO29" i="21"/>
  <c r="D31" i="21"/>
  <c r="N31" i="21"/>
  <c r="X31" i="21"/>
  <c r="AH31" i="21"/>
  <c r="BB31" i="21"/>
  <c r="BL31" i="21"/>
  <c r="BV31" i="21"/>
  <c r="CF31" i="21"/>
  <c r="CZ31" i="21"/>
  <c r="DJ31" i="21"/>
  <c r="DT31" i="21"/>
  <c r="ED31" i="21"/>
  <c r="EN31" i="21"/>
  <c r="EX31" i="21"/>
  <c r="FH31" i="21"/>
  <c r="I26" i="21"/>
  <c r="I32" i="21" s="1"/>
  <c r="S26" i="21"/>
  <c r="S32" i="21" s="1"/>
  <c r="AC26" i="21"/>
  <c r="AC32" i="21" s="1"/>
  <c r="AM26" i="21"/>
  <c r="AM32" i="21" s="1"/>
  <c r="AW26" i="21"/>
  <c r="AW32" i="21" s="1"/>
  <c r="BG26" i="21"/>
  <c r="BG32" i="21" s="1"/>
  <c r="BQ26" i="21"/>
  <c r="BQ32" i="21" s="1"/>
  <c r="CA26" i="21"/>
  <c r="CA32" i="21" s="1"/>
  <c r="CK26" i="21"/>
  <c r="CK32" i="21" s="1"/>
  <c r="CU26" i="21"/>
  <c r="CU32" i="21" s="1"/>
  <c r="DE26" i="21"/>
  <c r="DE32" i="21" s="1"/>
  <c r="DO26" i="21"/>
  <c r="DO32" i="21" s="1"/>
  <c r="DY26" i="21"/>
  <c r="DY32" i="21" s="1"/>
  <c r="EI26" i="21"/>
  <c r="EI32" i="21" s="1"/>
  <c r="ES26" i="21"/>
  <c r="ES32" i="21" s="1"/>
  <c r="FC26" i="21"/>
  <c r="FC32" i="21" s="1"/>
  <c r="FM26" i="21"/>
  <c r="FM32" i="21" s="1"/>
  <c r="J26" i="21"/>
  <c r="J32" i="21" s="1"/>
  <c r="T26" i="21"/>
  <c r="T32" i="21" s="1"/>
  <c r="AD26" i="21"/>
  <c r="AD32" i="21" s="1"/>
  <c r="AN26" i="21"/>
  <c r="AN32" i="21" s="1"/>
  <c r="AX26" i="21"/>
  <c r="AX32" i="21" s="1"/>
  <c r="BH26" i="21"/>
  <c r="BH32" i="21" s="1"/>
  <c r="BR26" i="21"/>
  <c r="BR32" i="21" s="1"/>
  <c r="CB26" i="21"/>
  <c r="CB32" i="21" s="1"/>
  <c r="CL26" i="21"/>
  <c r="CL32" i="21" s="1"/>
  <c r="CV26" i="21"/>
  <c r="CV32" i="21" s="1"/>
  <c r="DF26" i="21"/>
  <c r="DF32" i="21" s="1"/>
  <c r="DP26" i="21"/>
  <c r="DP32" i="21" s="1"/>
  <c r="DZ26" i="21"/>
  <c r="DZ32" i="21" s="1"/>
  <c r="EJ26" i="21"/>
  <c r="EJ32" i="21" s="1"/>
  <c r="ET26" i="21"/>
  <c r="ET32" i="21" s="1"/>
  <c r="FD26" i="21"/>
  <c r="FD32" i="21" s="1"/>
  <c r="FN26" i="21"/>
  <c r="FN32" i="21" s="1"/>
  <c r="K26" i="21"/>
  <c r="K32" i="21" s="1"/>
  <c r="U26" i="21"/>
  <c r="U32" i="21" s="1"/>
  <c r="I28" i="21"/>
  <c r="BG28" i="21"/>
  <c r="DE28" i="21"/>
  <c r="FC28" i="21"/>
  <c r="F26" i="21"/>
  <c r="F32" i="21" s="1"/>
  <c r="P26" i="21"/>
  <c r="P32" i="21" s="1"/>
  <c r="Z26" i="21"/>
  <c r="Z32" i="21" s="1"/>
  <c r="AT26" i="21"/>
  <c r="AT32" i="21" s="1"/>
  <c r="BN26" i="21"/>
  <c r="BN32" i="21" s="1"/>
  <c r="CH26" i="21"/>
  <c r="CH32" i="21" s="1"/>
  <c r="DB26" i="21"/>
  <c r="DB32" i="21" s="1"/>
  <c r="DV26" i="21"/>
  <c r="DV32" i="21" s="1"/>
  <c r="EP26" i="21"/>
  <c r="EP32" i="21" s="1"/>
  <c r="FJ26" i="21"/>
  <c r="FJ32" i="21" s="1"/>
  <c r="D28" i="21"/>
  <c r="N28" i="21"/>
  <c r="X28" i="21"/>
  <c r="AH28" i="21"/>
  <c r="BL28" i="21"/>
  <c r="BV28" i="21"/>
  <c r="CF28" i="21"/>
  <c r="DJ28" i="21"/>
  <c r="DT28" i="21"/>
  <c r="ED28" i="21"/>
  <c r="FH28" i="21"/>
  <c r="AM28" i="21"/>
  <c r="CK28" i="21"/>
  <c r="EI28" i="21"/>
  <c r="N29" i="21"/>
  <c r="BL29" i="21"/>
  <c r="DJ29" i="21"/>
  <c r="EN29" i="21"/>
  <c r="EX29" i="21"/>
  <c r="AR28" i="21"/>
  <c r="BB28" i="21"/>
  <c r="CP28" i="21"/>
  <c r="CZ28" i="21"/>
  <c r="EN28" i="21"/>
  <c r="EX28" i="21"/>
  <c r="D29" i="21"/>
  <c r="X29" i="21"/>
  <c r="AH29" i="21"/>
  <c r="BB29" i="21"/>
  <c r="BV29" i="21"/>
  <c r="CF29" i="21"/>
  <c r="CZ29" i="21"/>
  <c r="DT29" i="21"/>
  <c r="ED29" i="21"/>
  <c r="FH29" i="21"/>
  <c r="G31" i="21"/>
  <c r="Q31" i="21"/>
  <c r="AA31" i="21"/>
  <c r="AK31" i="21"/>
  <c r="AU31" i="21"/>
  <c r="BE31" i="21"/>
  <c r="BO31" i="21"/>
  <c r="BY31" i="21"/>
  <c r="CI31" i="21"/>
  <c r="CS31" i="21"/>
  <c r="DC31" i="21"/>
  <c r="DM31" i="21"/>
  <c r="DW31" i="21"/>
  <c r="EG31" i="21"/>
  <c r="EQ31" i="21"/>
  <c r="FA31" i="21"/>
  <c r="FK31" i="21"/>
  <c r="EG26" i="21"/>
  <c r="EG32" i="21" s="1"/>
  <c r="EQ26" i="21"/>
  <c r="EQ32" i="21" s="1"/>
  <c r="FA26" i="21"/>
  <c r="FA32" i="21" s="1"/>
  <c r="FK26" i="21"/>
  <c r="FK32" i="21" s="1"/>
  <c r="E28" i="21"/>
  <c r="O28" i="21"/>
  <c r="AI28" i="21"/>
  <c r="BC28" i="21"/>
  <c r="BM28" i="21"/>
  <c r="CG28" i="21"/>
  <c r="DA28" i="21"/>
  <c r="DK28" i="21"/>
  <c r="EE28" i="21"/>
  <c r="EY28" i="21"/>
  <c r="FI28" i="21"/>
  <c r="Y29" i="21"/>
  <c r="AI29" i="21"/>
  <c r="BW29" i="21"/>
  <c r="CG29" i="21"/>
  <c r="CQ29" i="21"/>
  <c r="DU29" i="21"/>
  <c r="EE29" i="21"/>
  <c r="EO29" i="21"/>
  <c r="EY29" i="21"/>
  <c r="FI29" i="21"/>
  <c r="H31" i="21"/>
  <c r="R31" i="21"/>
  <c r="AB31" i="21"/>
  <c r="AL31" i="21"/>
  <c r="AV31" i="21"/>
  <c r="BF31" i="21"/>
  <c r="BP31" i="21"/>
  <c r="BZ31" i="21"/>
  <c r="CJ31" i="21"/>
  <c r="CT31" i="21"/>
  <c r="DD31" i="21"/>
  <c r="DN31" i="21"/>
  <c r="DX31" i="21"/>
  <c r="EH31" i="21"/>
  <c r="ER31" i="21"/>
  <c r="FB31" i="21"/>
  <c r="FL31" i="21"/>
  <c r="F28" i="21"/>
  <c r="P28" i="21"/>
  <c r="Z28" i="21"/>
  <c r="AJ28" i="21"/>
  <c r="AT28" i="21"/>
  <c r="BD28" i="21"/>
  <c r="BN28" i="21"/>
  <c r="BX28" i="21"/>
  <c r="CH28" i="21"/>
  <c r="CR28" i="21"/>
  <c r="DB28" i="21"/>
  <c r="DL28" i="21"/>
  <c r="DV28" i="21"/>
  <c r="EF28" i="21"/>
  <c r="EP28" i="21"/>
  <c r="EZ28" i="21"/>
  <c r="FJ28" i="21"/>
  <c r="P29" i="21"/>
  <c r="AJ29" i="21"/>
  <c r="AT29" i="21"/>
  <c r="BN29" i="21"/>
  <c r="CH29" i="21"/>
  <c r="CR29" i="21"/>
  <c r="DL29" i="21"/>
  <c r="EF29" i="21"/>
  <c r="EP29" i="21"/>
  <c r="EZ29" i="21"/>
  <c r="FJ29" i="21"/>
  <c r="S31" i="21"/>
  <c r="AM31" i="21"/>
  <c r="BQ31" i="21"/>
  <c r="DO31" i="21"/>
  <c r="EI31" i="21"/>
  <c r="ES31" i="21"/>
  <c r="FC31" i="21"/>
  <c r="FM31" i="21"/>
  <c r="G28" i="21"/>
  <c r="Q28" i="21"/>
  <c r="AA28" i="21"/>
  <c r="AK28" i="21"/>
  <c r="AU28" i="21"/>
  <c r="BE28" i="21"/>
  <c r="BO28" i="21"/>
  <c r="BY28" i="21"/>
  <c r="CI28" i="21"/>
  <c r="CS28" i="21"/>
  <c r="DC28" i="21"/>
  <c r="DM28" i="21"/>
  <c r="DW28" i="21"/>
  <c r="EG28" i="21"/>
  <c r="EQ28" i="21"/>
  <c r="FA28" i="21"/>
  <c r="FK28" i="21"/>
  <c r="H28" i="21"/>
  <c r="R28" i="21"/>
  <c r="BF28" i="21"/>
  <c r="BP28" i="21"/>
  <c r="DD28" i="21"/>
  <c r="DN28" i="21"/>
  <c r="FB28" i="21"/>
  <c r="FL28" i="21"/>
  <c r="AE26" i="21"/>
  <c r="AE32" i="21" s="1"/>
  <c r="AO26" i="21"/>
  <c r="AO32" i="21" s="1"/>
  <c r="AY26" i="21"/>
  <c r="AY32" i="21" s="1"/>
  <c r="BI26" i="21"/>
  <c r="BI32" i="21" s="1"/>
  <c r="BS26" i="21"/>
  <c r="BS32" i="21" s="1"/>
  <c r="CC26" i="21"/>
  <c r="CC32" i="21" s="1"/>
  <c r="CM26" i="21"/>
  <c r="CM32" i="21" s="1"/>
  <c r="CW26" i="21"/>
  <c r="CW32" i="21" s="1"/>
  <c r="DG26" i="21"/>
  <c r="DG32" i="21" s="1"/>
  <c r="DQ26" i="21"/>
  <c r="DQ32" i="21" s="1"/>
  <c r="EA26" i="21"/>
  <c r="EA32" i="21" s="1"/>
  <c r="EK26" i="21"/>
  <c r="EK32" i="21" s="1"/>
  <c r="EU26" i="21"/>
  <c r="EU32" i="21" s="1"/>
  <c r="FE26" i="21"/>
  <c r="FE32" i="21" s="1"/>
  <c r="FO26" i="21"/>
  <c r="FO32" i="21" s="1"/>
  <c r="S28" i="21"/>
  <c r="AC28" i="21"/>
  <c r="AW28" i="21"/>
  <c r="BQ28" i="21"/>
  <c r="CA28" i="21"/>
  <c r="CU28" i="21"/>
  <c r="DO28" i="21"/>
  <c r="DY28" i="21"/>
  <c r="ES28" i="21"/>
  <c r="FM28" i="21"/>
  <c r="AM29" i="21"/>
  <c r="AW29" i="21"/>
  <c r="CK29" i="21"/>
  <c r="CU29" i="21"/>
  <c r="DE29" i="21"/>
  <c r="EI29" i="21"/>
  <c r="ES29" i="21"/>
  <c r="L26" i="21"/>
  <c r="L32" i="21" s="1"/>
  <c r="V26" i="21"/>
  <c r="V32" i="21" s="1"/>
  <c r="AF26" i="21"/>
  <c r="AF32" i="21" s="1"/>
  <c r="AP26" i="21"/>
  <c r="AP32" i="21" s="1"/>
  <c r="AZ26" i="21"/>
  <c r="AZ32" i="21" s="1"/>
  <c r="BJ26" i="21"/>
  <c r="BJ32" i="21" s="1"/>
  <c r="BT26" i="21"/>
  <c r="BT32" i="21" s="1"/>
  <c r="CD26" i="21"/>
  <c r="CD32" i="21" s="1"/>
  <c r="CN26" i="21"/>
  <c r="CN32" i="21" s="1"/>
  <c r="CX26" i="21"/>
  <c r="CX32" i="21" s="1"/>
  <c r="DH26" i="21"/>
  <c r="DH32" i="21" s="1"/>
  <c r="DR26" i="21"/>
  <c r="DR32" i="21" s="1"/>
  <c r="EB26" i="21"/>
  <c r="EB32" i="21" s="1"/>
  <c r="EL26" i="21"/>
  <c r="EL32" i="21" s="1"/>
  <c r="EV26" i="21"/>
  <c r="EV32" i="21" s="1"/>
  <c r="FF26" i="21"/>
  <c r="FF32" i="21" s="1"/>
  <c r="T28" i="21"/>
  <c r="AD28" i="21"/>
  <c r="BR28" i="21"/>
  <c r="CB28" i="21"/>
  <c r="DP28" i="21"/>
  <c r="DZ28" i="21"/>
  <c r="FN28" i="21"/>
  <c r="C26" i="21"/>
  <c r="C32" i="21" s="1"/>
  <c r="M26" i="21"/>
  <c r="M32" i="21" s="1"/>
  <c r="W26" i="21"/>
  <c r="W32" i="21" s="1"/>
  <c r="AG26" i="21"/>
  <c r="AG32" i="21" s="1"/>
  <c r="AQ26" i="21"/>
  <c r="AQ32" i="21" s="1"/>
  <c r="BA26" i="21"/>
  <c r="BA32" i="21" s="1"/>
  <c r="BK26" i="21"/>
  <c r="BK32" i="21" s="1"/>
  <c r="BU26" i="21"/>
  <c r="BU32" i="21" s="1"/>
  <c r="CE26" i="21"/>
  <c r="CE32" i="21" s="1"/>
  <c r="CO26" i="21"/>
  <c r="CO32" i="21" s="1"/>
  <c r="CY26" i="21"/>
  <c r="CY32" i="21" s="1"/>
  <c r="DI26" i="21"/>
  <c r="DI32" i="21" s="1"/>
  <c r="DS26" i="21"/>
  <c r="DS32" i="21" s="1"/>
  <c r="EC26" i="21"/>
  <c r="EC32" i="21" s="1"/>
  <c r="EM26" i="21"/>
  <c r="EM32" i="21" s="1"/>
  <c r="EW26" i="21"/>
  <c r="EW32" i="21" s="1"/>
  <c r="FG26" i="21"/>
  <c r="FG32" i="21" s="1"/>
  <c r="K28" i="21"/>
  <c r="AE28" i="21"/>
  <c r="AO28" i="21"/>
  <c r="BI28" i="21"/>
  <c r="CC28" i="21"/>
  <c r="CM28" i="21"/>
  <c r="DG28" i="21"/>
  <c r="EA28" i="21"/>
  <c r="EK28" i="21"/>
  <c r="FE28" i="21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CN7" i="14"/>
  <c r="CO7" i="14"/>
  <c r="CP7" i="14"/>
  <c r="CQ7" i="14"/>
  <c r="CR7" i="14"/>
  <c r="CS7" i="14"/>
  <c r="CT7" i="14"/>
  <c r="CU7" i="14"/>
  <c r="CV7" i="14"/>
  <c r="CW7" i="14"/>
  <c r="CX7" i="14"/>
  <c r="CY7" i="14"/>
  <c r="CZ7" i="14"/>
  <c r="DA7" i="14"/>
  <c r="DB7" i="14"/>
  <c r="DC7" i="14"/>
  <c r="DD7" i="14"/>
  <c r="DE7" i="14"/>
  <c r="DF7" i="14"/>
  <c r="DG7" i="14"/>
  <c r="DH7" i="14"/>
  <c r="DI7" i="14"/>
  <c r="DJ7" i="14"/>
  <c r="DK7" i="14"/>
  <c r="DL7" i="14"/>
  <c r="DM7" i="14"/>
  <c r="DN7" i="14"/>
  <c r="DO7" i="14"/>
  <c r="DP7" i="14"/>
  <c r="DQ7" i="14"/>
  <c r="DR7" i="14"/>
  <c r="DS7" i="14"/>
  <c r="DT7" i="14"/>
  <c r="DU7" i="14"/>
  <c r="DV7" i="14"/>
  <c r="DW7" i="14"/>
  <c r="DX7" i="14"/>
  <c r="DY7" i="14"/>
  <c r="DZ7" i="14"/>
  <c r="EA7" i="14"/>
  <c r="EB7" i="14"/>
  <c r="EC7" i="14"/>
  <c r="ED7" i="14"/>
  <c r="EE7" i="14"/>
  <c r="EF7" i="14"/>
  <c r="EG7" i="14"/>
  <c r="EH7" i="14"/>
  <c r="EI7" i="14"/>
  <c r="EJ7" i="14"/>
  <c r="EK7" i="14"/>
  <c r="EL7" i="14"/>
  <c r="EM7" i="14"/>
  <c r="EN7" i="14"/>
  <c r="EO7" i="14"/>
  <c r="EP7" i="14"/>
  <c r="EQ7" i="14"/>
  <c r="ER7" i="14"/>
  <c r="ES7" i="14"/>
  <c r="ET7" i="14"/>
  <c r="EU7" i="14"/>
  <c r="EV7" i="14"/>
  <c r="EW7" i="14"/>
  <c r="EX7" i="14"/>
  <c r="EY7" i="14"/>
  <c r="EZ7" i="14"/>
  <c r="FA7" i="14"/>
  <c r="FB7" i="14"/>
  <c r="FC7" i="14"/>
  <c r="FD7" i="14"/>
  <c r="FE7" i="14"/>
  <c r="FF7" i="14"/>
  <c r="FG7" i="14"/>
  <c r="FH7" i="14"/>
  <c r="FI7" i="14"/>
  <c r="FJ7" i="14"/>
  <c r="FK7" i="14"/>
  <c r="FL7" i="14"/>
  <c r="FM7" i="14"/>
  <c r="FN7" i="14"/>
  <c r="FO7" i="14"/>
  <c r="FP7" i="14"/>
  <c r="FQ7" i="14"/>
  <c r="E7" i="14"/>
  <c r="DF27" i="22" l="1"/>
  <c r="FD27" i="22"/>
  <c r="CB27" i="22"/>
  <c r="ET27" i="22"/>
  <c r="EJ27" i="22"/>
  <c r="DP27" i="22"/>
  <c r="T27" i="22"/>
  <c r="J27" i="22"/>
  <c r="FN27" i="22"/>
  <c r="CJ27" i="22"/>
  <c r="CZ27" i="22"/>
  <c r="EM27" i="22"/>
  <c r="AQ27" i="22"/>
  <c r="DQ27" i="22"/>
  <c r="CU27" i="22"/>
  <c r="CP27" i="22"/>
  <c r="EC27" i="22"/>
  <c r="AG27" i="22"/>
  <c r="CK27" i="22"/>
  <c r="EE27" i="22"/>
  <c r="AI27" i="22"/>
  <c r="DS27" i="22"/>
  <c r="W27" i="22"/>
  <c r="BJ27" i="22"/>
  <c r="CA27" i="22"/>
  <c r="DU27" i="22"/>
  <c r="Y27" i="22"/>
  <c r="BV27" i="22"/>
  <c r="DI27" i="22"/>
  <c r="M27" i="22"/>
  <c r="U27" i="22"/>
  <c r="FM27" i="22"/>
  <c r="BQ27" i="22"/>
  <c r="ER27" i="22"/>
  <c r="AV27" i="22"/>
  <c r="BX27" i="22"/>
  <c r="DK27" i="22"/>
  <c r="O27" i="22"/>
  <c r="FH27" i="22"/>
  <c r="BL27" i="22"/>
  <c r="K27" i="22"/>
  <c r="CY27" i="22"/>
  <c r="EK27" i="22"/>
  <c r="FC27" i="22"/>
  <c r="BG27" i="22"/>
  <c r="EH27" i="22"/>
  <c r="FJ27" i="22"/>
  <c r="BN27" i="22"/>
  <c r="DA27" i="22"/>
  <c r="E27" i="22"/>
  <c r="EX27" i="22"/>
  <c r="BB27" i="22"/>
  <c r="CO27" i="22"/>
  <c r="CM27" i="22"/>
  <c r="ES27" i="22"/>
  <c r="AW27" i="22"/>
  <c r="CS27" i="22"/>
  <c r="EZ27" i="22"/>
  <c r="BD27" i="22"/>
  <c r="CQ27" i="22"/>
  <c r="AE27" i="22"/>
  <c r="EN27" i="22"/>
  <c r="AR27" i="22"/>
  <c r="CE27" i="22"/>
  <c r="EI27" i="22"/>
  <c r="AM27" i="22"/>
  <c r="FL27" i="22"/>
  <c r="DN27" i="22"/>
  <c r="CI27" i="22"/>
  <c r="EP27" i="22"/>
  <c r="AT27" i="22"/>
  <c r="CG27" i="22"/>
  <c r="ED27" i="22"/>
  <c r="AH27" i="22"/>
  <c r="FQ27" i="22"/>
  <c r="BU27" i="22"/>
  <c r="DH27" i="22"/>
  <c r="L27" i="22"/>
  <c r="DY27" i="22"/>
  <c r="AC27" i="22"/>
  <c r="DD27" i="22"/>
  <c r="H27" i="22"/>
  <c r="BY27" i="22"/>
  <c r="EF27" i="22"/>
  <c r="AJ27" i="22"/>
  <c r="BW27" i="22"/>
  <c r="DT27" i="22"/>
  <c r="X27" i="22"/>
  <c r="FG27" i="22"/>
  <c r="BK27" i="22"/>
  <c r="CX27" i="22"/>
  <c r="DO27" i="22"/>
  <c r="S27" i="22"/>
  <c r="CT27" i="22"/>
  <c r="FK27" i="22"/>
  <c r="BO27" i="22"/>
  <c r="DV27" i="22"/>
  <c r="Z27" i="22"/>
  <c r="FI27" i="22"/>
  <c r="BM27" i="22"/>
  <c r="DJ27" i="22"/>
  <c r="N27" i="22"/>
  <c r="EW27" i="22"/>
  <c r="BA27" i="22"/>
  <c r="CN27" i="22"/>
  <c r="FO27" i="22"/>
  <c r="FE27" i="22"/>
  <c r="DE27" i="22"/>
  <c r="I27" i="22"/>
  <c r="FO63" i="14"/>
  <c r="FP63" i="14"/>
  <c r="FQ63" i="14"/>
  <c r="FF63" i="14"/>
  <c r="FG63" i="14"/>
  <c r="FH63" i="14"/>
  <c r="FI63" i="14"/>
  <c r="FJ63" i="14"/>
  <c r="FK63" i="14"/>
  <c r="FL63" i="14"/>
  <c r="FN63" i="14"/>
  <c r="FE63" i="14"/>
  <c r="FM63" i="14"/>
  <c r="ET63" i="14"/>
  <c r="EX63" i="14"/>
  <c r="EZ63" i="14"/>
  <c r="FA63" i="14"/>
  <c r="FB63" i="14"/>
  <c r="FD63" i="14"/>
  <c r="ES63" i="14"/>
  <c r="EU63" i="14"/>
  <c r="EV63" i="14"/>
  <c r="EW63" i="14"/>
  <c r="EY63" i="14"/>
  <c r="FC63" i="14"/>
  <c r="EC63" i="14"/>
  <c r="ED63" i="14"/>
  <c r="EE63" i="14"/>
  <c r="EF63" i="14"/>
  <c r="EG63" i="14"/>
  <c r="EH63" i="14"/>
  <c r="EI63" i="14"/>
  <c r="EJ63" i="14"/>
  <c r="EK63" i="14"/>
  <c r="EL63" i="14"/>
  <c r="EM63" i="14"/>
  <c r="EN63" i="14"/>
  <c r="EO63" i="14"/>
  <c r="EP63" i="14"/>
  <c r="EQ63" i="14"/>
  <c r="ER63" i="14"/>
  <c r="DM63" i="14"/>
  <c r="DN63" i="14"/>
  <c r="DO63" i="14"/>
  <c r="DV63" i="14"/>
  <c r="DW63" i="14"/>
  <c r="DY63" i="14"/>
  <c r="DP63" i="14"/>
  <c r="DQ63" i="14"/>
  <c r="DR63" i="14"/>
  <c r="DS63" i="14"/>
  <c r="DT63" i="14"/>
  <c r="DU63" i="14"/>
  <c r="DX63" i="14"/>
  <c r="DZ63" i="14"/>
  <c r="EA63" i="14"/>
  <c r="EB63" i="14"/>
  <c r="CH63" i="14"/>
  <c r="CJ63" i="14"/>
  <c r="CL63" i="14"/>
  <c r="CP63" i="14"/>
  <c r="CR63" i="14"/>
  <c r="CT63" i="14"/>
  <c r="CX63" i="14"/>
  <c r="CZ63" i="14"/>
  <c r="DB63" i="14"/>
  <c r="DF63" i="14"/>
  <c r="DH63" i="14"/>
  <c r="DJ63" i="14"/>
  <c r="CG63" i="14"/>
  <c r="CI63" i="14"/>
  <c r="CK63" i="14"/>
  <c r="CM63" i="14"/>
  <c r="CN63" i="14"/>
  <c r="CO63" i="14"/>
  <c r="CQ63" i="14"/>
  <c r="CS63" i="14"/>
  <c r="CU63" i="14"/>
  <c r="CV63" i="14"/>
  <c r="CW63" i="14"/>
  <c r="CY63" i="14"/>
  <c r="DA63" i="14"/>
  <c r="DC63" i="14"/>
  <c r="DD63" i="14"/>
  <c r="DE63" i="14"/>
  <c r="DG63" i="14"/>
  <c r="DI63" i="14"/>
  <c r="DK63" i="14"/>
  <c r="DL63" i="14"/>
  <c r="AK63" i="14"/>
  <c r="AQ63" i="14"/>
  <c r="AS63" i="14"/>
  <c r="AU63" i="14"/>
  <c r="AY63" i="14"/>
  <c r="BA63" i="14"/>
  <c r="BG63" i="14"/>
  <c r="BI63" i="14"/>
  <c r="BK63" i="14"/>
  <c r="BO63" i="14"/>
  <c r="BQ63" i="14"/>
  <c r="BW63" i="14"/>
  <c r="BY63" i="14"/>
  <c r="CA63" i="14"/>
  <c r="CE63" i="14"/>
  <c r="AJ63" i="14"/>
  <c r="AL63" i="14"/>
  <c r="AM63" i="14"/>
  <c r="AN63" i="14"/>
  <c r="AO63" i="14"/>
  <c r="AP63" i="14"/>
  <c r="AR63" i="14"/>
  <c r="AT63" i="14"/>
  <c r="AV63" i="14"/>
  <c r="AW63" i="14"/>
  <c r="AX63" i="14"/>
  <c r="AZ63" i="14"/>
  <c r="BB63" i="14"/>
  <c r="BC63" i="14"/>
  <c r="BD63" i="14"/>
  <c r="BE63" i="14"/>
  <c r="BF63" i="14"/>
  <c r="BH63" i="14"/>
  <c r="BJ63" i="14"/>
  <c r="BL63" i="14"/>
  <c r="BM63" i="14"/>
  <c r="BN63" i="14"/>
  <c r="BP63" i="14"/>
  <c r="BR63" i="14"/>
  <c r="BS63" i="14"/>
  <c r="BT63" i="14"/>
  <c r="BU63" i="14"/>
  <c r="BV63" i="14"/>
  <c r="BX63" i="14"/>
  <c r="BZ63" i="14"/>
  <c r="CB63" i="14"/>
  <c r="CC63" i="14"/>
  <c r="CD63" i="14"/>
  <c r="CF63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CW9" i="14"/>
  <c r="CX9" i="14"/>
  <c r="CY9" i="14"/>
  <c r="CZ9" i="14"/>
  <c r="DA9" i="14"/>
  <c r="DB9" i="14"/>
  <c r="DC9" i="14"/>
  <c r="DD9" i="14"/>
  <c r="DE9" i="14"/>
  <c r="DF9" i="14"/>
  <c r="DG9" i="14"/>
  <c r="DH9" i="14"/>
  <c r="DI9" i="14"/>
  <c r="DJ9" i="14"/>
  <c r="DK9" i="14"/>
  <c r="DL9" i="14"/>
  <c r="DM9" i="14"/>
  <c r="DN9" i="14"/>
  <c r="DO9" i="14"/>
  <c r="DP9" i="14"/>
  <c r="DQ9" i="14"/>
  <c r="DR9" i="14"/>
  <c r="DS9" i="14"/>
  <c r="DT9" i="14"/>
  <c r="DU9" i="14"/>
  <c r="DV9" i="14"/>
  <c r="DW9" i="14"/>
  <c r="DX9" i="14"/>
  <c r="DY9" i="14"/>
  <c r="DZ9" i="14"/>
  <c r="EA9" i="14"/>
  <c r="EB9" i="14"/>
  <c r="EC9" i="14"/>
  <c r="ED9" i="14"/>
  <c r="EE9" i="14"/>
  <c r="EF9" i="14"/>
  <c r="EG9" i="14"/>
  <c r="EH9" i="14"/>
  <c r="EI9" i="14"/>
  <c r="EJ9" i="14"/>
  <c r="EK9" i="14"/>
  <c r="EL9" i="14"/>
  <c r="EM9" i="14"/>
  <c r="EN9" i="14"/>
  <c r="EO9" i="14"/>
  <c r="EP9" i="14"/>
  <c r="EQ9" i="14"/>
  <c r="ER9" i="14"/>
  <c r="ES9" i="14"/>
  <c r="ET9" i="14"/>
  <c r="EU9" i="14"/>
  <c r="EV9" i="14"/>
  <c r="EW9" i="14"/>
  <c r="EX9" i="14"/>
  <c r="EY9" i="14"/>
  <c r="EZ9" i="14"/>
  <c r="FA9" i="14"/>
  <c r="FB9" i="14"/>
  <c r="FC9" i="14"/>
  <c r="FD9" i="14"/>
  <c r="FE9" i="14"/>
  <c r="FF9" i="14"/>
  <c r="FG9" i="14"/>
  <c r="FH9" i="14"/>
  <c r="FI9" i="14"/>
  <c r="FJ9" i="14"/>
  <c r="FK9" i="14"/>
  <c r="FL9" i="14"/>
  <c r="FM9" i="14"/>
  <c r="FN9" i="14"/>
  <c r="FO9" i="14"/>
  <c r="FP9" i="14"/>
  <c r="FQ9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CN10" i="14"/>
  <c r="CO10" i="14"/>
  <c r="CP10" i="14"/>
  <c r="CQ10" i="14"/>
  <c r="CR10" i="14"/>
  <c r="CS10" i="14"/>
  <c r="CT10" i="14"/>
  <c r="CU10" i="14"/>
  <c r="CV10" i="14"/>
  <c r="CW10" i="14"/>
  <c r="CX10" i="14"/>
  <c r="CY10" i="14"/>
  <c r="CZ10" i="14"/>
  <c r="DA10" i="14"/>
  <c r="DB10" i="14"/>
  <c r="DC10" i="14"/>
  <c r="DD10" i="14"/>
  <c r="DE10" i="14"/>
  <c r="DF10" i="14"/>
  <c r="DG10" i="14"/>
  <c r="DH10" i="14"/>
  <c r="DI10" i="14"/>
  <c r="DJ10" i="14"/>
  <c r="DK10" i="14"/>
  <c r="DL10" i="14"/>
  <c r="DM10" i="14"/>
  <c r="DN10" i="14"/>
  <c r="DO10" i="14"/>
  <c r="DP10" i="14"/>
  <c r="DQ10" i="14"/>
  <c r="DR10" i="14"/>
  <c r="DS10" i="14"/>
  <c r="DT10" i="14"/>
  <c r="DU10" i="14"/>
  <c r="DV10" i="14"/>
  <c r="DW10" i="14"/>
  <c r="DX10" i="14"/>
  <c r="DY10" i="14"/>
  <c r="DZ10" i="14"/>
  <c r="EA10" i="14"/>
  <c r="EB10" i="14"/>
  <c r="EC10" i="14"/>
  <c r="ED10" i="14"/>
  <c r="EE10" i="14"/>
  <c r="EF10" i="14"/>
  <c r="EG10" i="14"/>
  <c r="EH10" i="14"/>
  <c r="EI10" i="14"/>
  <c r="EJ10" i="14"/>
  <c r="EK10" i="14"/>
  <c r="EL10" i="14"/>
  <c r="EM10" i="14"/>
  <c r="EN10" i="14"/>
  <c r="EO10" i="14"/>
  <c r="EP10" i="14"/>
  <c r="EQ10" i="14"/>
  <c r="ER10" i="14"/>
  <c r="ES10" i="14"/>
  <c r="ET10" i="14"/>
  <c r="EU10" i="14"/>
  <c r="EV10" i="14"/>
  <c r="EW10" i="14"/>
  <c r="EX10" i="14"/>
  <c r="EY10" i="14"/>
  <c r="EZ10" i="14"/>
  <c r="FA10" i="14"/>
  <c r="FB10" i="14"/>
  <c r="FC10" i="14"/>
  <c r="FD10" i="14"/>
  <c r="FE10" i="14"/>
  <c r="FF10" i="14"/>
  <c r="FG10" i="14"/>
  <c r="FH10" i="14"/>
  <c r="FI10" i="14"/>
  <c r="FJ10" i="14"/>
  <c r="FK10" i="14"/>
  <c r="FL10" i="14"/>
  <c r="FM10" i="14"/>
  <c r="FN10" i="14"/>
  <c r="FO10" i="14"/>
  <c r="FP10" i="14"/>
  <c r="FQ10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BS11" i="14"/>
  <c r="BT11" i="14"/>
  <c r="BU11" i="14"/>
  <c r="BV11" i="14"/>
  <c r="BW11" i="14"/>
  <c r="BX11" i="14"/>
  <c r="BY11" i="14"/>
  <c r="BZ11" i="14"/>
  <c r="CA11" i="14"/>
  <c r="CB11" i="14"/>
  <c r="CC11" i="14"/>
  <c r="CD11" i="14"/>
  <c r="CE11" i="14"/>
  <c r="CF11" i="14"/>
  <c r="CG11" i="14"/>
  <c r="CH11" i="14"/>
  <c r="CI11" i="14"/>
  <c r="CJ11" i="14"/>
  <c r="CK11" i="14"/>
  <c r="CL11" i="14"/>
  <c r="CM11" i="14"/>
  <c r="CN11" i="14"/>
  <c r="CO11" i="14"/>
  <c r="CP11" i="14"/>
  <c r="CQ11" i="14"/>
  <c r="CR11" i="14"/>
  <c r="CS11" i="14"/>
  <c r="CT11" i="14"/>
  <c r="CU11" i="14"/>
  <c r="CV11" i="14"/>
  <c r="CW11" i="14"/>
  <c r="CX11" i="14"/>
  <c r="CY11" i="14"/>
  <c r="CZ11" i="14"/>
  <c r="DA11" i="14"/>
  <c r="DB11" i="14"/>
  <c r="DC11" i="14"/>
  <c r="DD11" i="14"/>
  <c r="DE11" i="14"/>
  <c r="DF11" i="14"/>
  <c r="DG11" i="14"/>
  <c r="DH11" i="14"/>
  <c r="DI11" i="14"/>
  <c r="DJ11" i="14"/>
  <c r="DK11" i="14"/>
  <c r="DL11" i="14"/>
  <c r="DM11" i="14"/>
  <c r="DN11" i="14"/>
  <c r="DO11" i="14"/>
  <c r="DP11" i="14"/>
  <c r="DQ11" i="14"/>
  <c r="DR11" i="14"/>
  <c r="DS11" i="14"/>
  <c r="DT11" i="14"/>
  <c r="DU11" i="14"/>
  <c r="DV11" i="14"/>
  <c r="DW11" i="14"/>
  <c r="DX11" i="14"/>
  <c r="DY11" i="14"/>
  <c r="DZ11" i="14"/>
  <c r="EA11" i="14"/>
  <c r="EB11" i="14"/>
  <c r="EC11" i="14"/>
  <c r="ED11" i="14"/>
  <c r="EE11" i="14"/>
  <c r="EF11" i="14"/>
  <c r="EG11" i="14"/>
  <c r="EH11" i="14"/>
  <c r="EI11" i="14"/>
  <c r="EJ11" i="14"/>
  <c r="EK11" i="14"/>
  <c r="EL11" i="14"/>
  <c r="EM11" i="14"/>
  <c r="EN11" i="14"/>
  <c r="EO11" i="14"/>
  <c r="EP11" i="14"/>
  <c r="EQ11" i="14"/>
  <c r="ER11" i="14"/>
  <c r="ES11" i="14"/>
  <c r="ET11" i="14"/>
  <c r="EU11" i="14"/>
  <c r="EV11" i="14"/>
  <c r="EW11" i="14"/>
  <c r="EX11" i="14"/>
  <c r="EY11" i="14"/>
  <c r="EZ11" i="14"/>
  <c r="FA11" i="14"/>
  <c r="FB11" i="14"/>
  <c r="FC11" i="14"/>
  <c r="FD11" i="14"/>
  <c r="FE11" i="14"/>
  <c r="FF11" i="14"/>
  <c r="FG11" i="14"/>
  <c r="FH11" i="14"/>
  <c r="FI11" i="14"/>
  <c r="FJ11" i="14"/>
  <c r="FK11" i="14"/>
  <c r="FL11" i="14"/>
  <c r="FM11" i="14"/>
  <c r="FN11" i="14"/>
  <c r="FO11" i="14"/>
  <c r="FP11" i="14"/>
  <c r="FQ11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BS12" i="14"/>
  <c r="BT12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CN12" i="14"/>
  <c r="CO12" i="14"/>
  <c r="CP12" i="14"/>
  <c r="CQ12" i="14"/>
  <c r="CR12" i="14"/>
  <c r="CS12" i="14"/>
  <c r="CT12" i="14"/>
  <c r="CU12" i="14"/>
  <c r="CV12" i="14"/>
  <c r="CW12" i="14"/>
  <c r="CX12" i="14"/>
  <c r="CY12" i="14"/>
  <c r="CZ12" i="14"/>
  <c r="DA12" i="14"/>
  <c r="DB12" i="14"/>
  <c r="DC12" i="14"/>
  <c r="DD12" i="14"/>
  <c r="DE12" i="14"/>
  <c r="DF12" i="14"/>
  <c r="DG12" i="14"/>
  <c r="DH12" i="14"/>
  <c r="DI12" i="14"/>
  <c r="DJ12" i="14"/>
  <c r="DK12" i="14"/>
  <c r="DL12" i="14"/>
  <c r="DM12" i="14"/>
  <c r="DN12" i="14"/>
  <c r="DO12" i="14"/>
  <c r="DP12" i="14"/>
  <c r="DQ12" i="14"/>
  <c r="DR12" i="14"/>
  <c r="DS12" i="14"/>
  <c r="DT12" i="14"/>
  <c r="DU12" i="14"/>
  <c r="DV12" i="14"/>
  <c r="DW12" i="14"/>
  <c r="DX12" i="14"/>
  <c r="DY12" i="14"/>
  <c r="DZ12" i="14"/>
  <c r="EA12" i="14"/>
  <c r="EB12" i="14"/>
  <c r="EC12" i="14"/>
  <c r="ED12" i="14"/>
  <c r="EE12" i="14"/>
  <c r="EF12" i="14"/>
  <c r="EG12" i="14"/>
  <c r="EH12" i="14"/>
  <c r="EI12" i="14"/>
  <c r="EJ12" i="14"/>
  <c r="EK12" i="14"/>
  <c r="EL12" i="14"/>
  <c r="EM12" i="14"/>
  <c r="EN12" i="14"/>
  <c r="EO12" i="14"/>
  <c r="EP12" i="14"/>
  <c r="EQ12" i="14"/>
  <c r="ER12" i="14"/>
  <c r="ES12" i="14"/>
  <c r="ET12" i="14"/>
  <c r="EU12" i="14"/>
  <c r="EV12" i="14"/>
  <c r="EW12" i="14"/>
  <c r="EX12" i="14"/>
  <c r="EY12" i="14"/>
  <c r="EZ12" i="14"/>
  <c r="FA12" i="14"/>
  <c r="FB12" i="14"/>
  <c r="FC12" i="14"/>
  <c r="FD12" i="14"/>
  <c r="FE12" i="14"/>
  <c r="FF12" i="14"/>
  <c r="FG12" i="14"/>
  <c r="FH12" i="14"/>
  <c r="FI12" i="14"/>
  <c r="FJ12" i="14"/>
  <c r="FK12" i="14"/>
  <c r="FL12" i="14"/>
  <c r="FM12" i="14"/>
  <c r="FN12" i="14"/>
  <c r="FO12" i="14"/>
  <c r="FP12" i="14"/>
  <c r="FQ12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CN13" i="14"/>
  <c r="CO13" i="14"/>
  <c r="CP13" i="14"/>
  <c r="CQ13" i="14"/>
  <c r="CR13" i="14"/>
  <c r="CS13" i="14"/>
  <c r="CT13" i="14"/>
  <c r="CU13" i="14"/>
  <c r="CV13" i="14"/>
  <c r="CW13" i="14"/>
  <c r="CX13" i="14"/>
  <c r="CY13" i="14"/>
  <c r="CZ13" i="14"/>
  <c r="DA13" i="14"/>
  <c r="DB13" i="14"/>
  <c r="DC13" i="14"/>
  <c r="DD13" i="14"/>
  <c r="DE13" i="14"/>
  <c r="DF13" i="14"/>
  <c r="DG13" i="14"/>
  <c r="DH13" i="14"/>
  <c r="DI13" i="14"/>
  <c r="DJ13" i="14"/>
  <c r="DK13" i="14"/>
  <c r="DL13" i="14"/>
  <c r="DM13" i="14"/>
  <c r="DN13" i="14"/>
  <c r="DO13" i="14"/>
  <c r="DP13" i="14"/>
  <c r="DQ13" i="14"/>
  <c r="DR13" i="14"/>
  <c r="DS13" i="14"/>
  <c r="DT13" i="14"/>
  <c r="DU13" i="14"/>
  <c r="DV13" i="14"/>
  <c r="DW13" i="14"/>
  <c r="DX13" i="14"/>
  <c r="DY13" i="14"/>
  <c r="DZ13" i="14"/>
  <c r="EA13" i="14"/>
  <c r="EB13" i="14"/>
  <c r="EC13" i="14"/>
  <c r="ED13" i="14"/>
  <c r="EE13" i="14"/>
  <c r="EF13" i="14"/>
  <c r="EG13" i="14"/>
  <c r="EH13" i="14"/>
  <c r="EI13" i="14"/>
  <c r="EJ13" i="14"/>
  <c r="EK13" i="14"/>
  <c r="EL13" i="14"/>
  <c r="EM13" i="14"/>
  <c r="EN13" i="14"/>
  <c r="EO13" i="14"/>
  <c r="EP13" i="14"/>
  <c r="EQ13" i="14"/>
  <c r="ER13" i="14"/>
  <c r="ES13" i="14"/>
  <c r="ET13" i="14"/>
  <c r="EU13" i="14"/>
  <c r="EV13" i="14"/>
  <c r="EW13" i="14"/>
  <c r="EX13" i="14"/>
  <c r="EY13" i="14"/>
  <c r="EZ13" i="14"/>
  <c r="FA13" i="14"/>
  <c r="FB13" i="14"/>
  <c r="FC13" i="14"/>
  <c r="FD13" i="14"/>
  <c r="FE13" i="14"/>
  <c r="FF13" i="14"/>
  <c r="FG13" i="14"/>
  <c r="FH13" i="14"/>
  <c r="FI13" i="14"/>
  <c r="FJ13" i="14"/>
  <c r="FK13" i="14"/>
  <c r="FL13" i="14"/>
  <c r="FM13" i="14"/>
  <c r="FN13" i="14"/>
  <c r="FO13" i="14"/>
  <c r="FP13" i="14"/>
  <c r="FQ13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CN14" i="14"/>
  <c r="CO14" i="14"/>
  <c r="CP14" i="14"/>
  <c r="CQ14" i="14"/>
  <c r="CR14" i="14"/>
  <c r="CS14" i="14"/>
  <c r="CT14" i="14"/>
  <c r="CU14" i="14"/>
  <c r="CV14" i="14"/>
  <c r="CW14" i="14"/>
  <c r="CX14" i="14"/>
  <c r="CY14" i="14"/>
  <c r="CZ14" i="14"/>
  <c r="DA14" i="14"/>
  <c r="DB14" i="14"/>
  <c r="DC14" i="14"/>
  <c r="DD14" i="14"/>
  <c r="DE14" i="14"/>
  <c r="DF14" i="14"/>
  <c r="DG14" i="14"/>
  <c r="DH14" i="14"/>
  <c r="DI14" i="14"/>
  <c r="DJ14" i="14"/>
  <c r="DK14" i="14"/>
  <c r="DL14" i="14"/>
  <c r="DM14" i="14"/>
  <c r="DN14" i="14"/>
  <c r="DO14" i="14"/>
  <c r="DP14" i="14"/>
  <c r="DQ14" i="14"/>
  <c r="DR14" i="14"/>
  <c r="DS14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EF14" i="14"/>
  <c r="EG14" i="14"/>
  <c r="EH14" i="14"/>
  <c r="EI14" i="14"/>
  <c r="EJ14" i="14"/>
  <c r="EK14" i="14"/>
  <c r="EL14" i="14"/>
  <c r="EM14" i="14"/>
  <c r="EN14" i="14"/>
  <c r="EO14" i="14"/>
  <c r="EP14" i="14"/>
  <c r="EQ14" i="14"/>
  <c r="ER14" i="14"/>
  <c r="ES14" i="14"/>
  <c r="ET14" i="14"/>
  <c r="EU14" i="14"/>
  <c r="EV14" i="14"/>
  <c r="EW14" i="14"/>
  <c r="EX14" i="14"/>
  <c r="EY14" i="14"/>
  <c r="EZ14" i="14"/>
  <c r="FA14" i="14"/>
  <c r="FB14" i="14"/>
  <c r="FC14" i="14"/>
  <c r="FD14" i="14"/>
  <c r="FE14" i="14"/>
  <c r="FF14" i="14"/>
  <c r="FG14" i="14"/>
  <c r="FH14" i="14"/>
  <c r="FI14" i="14"/>
  <c r="FJ14" i="14"/>
  <c r="FK14" i="14"/>
  <c r="FL14" i="14"/>
  <c r="FM14" i="14"/>
  <c r="FN14" i="14"/>
  <c r="FO14" i="14"/>
  <c r="FP14" i="14"/>
  <c r="FQ14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CN15" i="14"/>
  <c r="CO15" i="14"/>
  <c r="CP15" i="14"/>
  <c r="CQ15" i="14"/>
  <c r="CR15" i="14"/>
  <c r="CS15" i="14"/>
  <c r="CT15" i="14"/>
  <c r="CU15" i="14"/>
  <c r="CV15" i="14"/>
  <c r="CW15" i="14"/>
  <c r="CX15" i="14"/>
  <c r="CY15" i="14"/>
  <c r="CZ15" i="14"/>
  <c r="DA15" i="14"/>
  <c r="DB15" i="14"/>
  <c r="DC15" i="14"/>
  <c r="DD15" i="14"/>
  <c r="DE15" i="14"/>
  <c r="DF15" i="14"/>
  <c r="DG15" i="14"/>
  <c r="DH15" i="14"/>
  <c r="DI15" i="14"/>
  <c r="DJ15" i="14"/>
  <c r="DK15" i="14"/>
  <c r="DL15" i="14"/>
  <c r="DM15" i="14"/>
  <c r="DN15" i="14"/>
  <c r="DO15" i="14"/>
  <c r="DP15" i="14"/>
  <c r="DQ15" i="14"/>
  <c r="DR15" i="14"/>
  <c r="DS15" i="14"/>
  <c r="DT15" i="14"/>
  <c r="DU15" i="14"/>
  <c r="DV15" i="14"/>
  <c r="DW15" i="14"/>
  <c r="DX15" i="14"/>
  <c r="DY15" i="14"/>
  <c r="DZ15" i="14"/>
  <c r="EA15" i="14"/>
  <c r="EB15" i="14"/>
  <c r="EC15" i="14"/>
  <c r="ED15" i="14"/>
  <c r="EE15" i="14"/>
  <c r="EF15" i="14"/>
  <c r="EG15" i="14"/>
  <c r="EH15" i="14"/>
  <c r="EI15" i="14"/>
  <c r="EJ15" i="14"/>
  <c r="EK15" i="14"/>
  <c r="EL15" i="14"/>
  <c r="EM15" i="14"/>
  <c r="EN15" i="14"/>
  <c r="EO15" i="14"/>
  <c r="EP15" i="14"/>
  <c r="EQ15" i="14"/>
  <c r="ER15" i="14"/>
  <c r="ES15" i="14"/>
  <c r="ET15" i="14"/>
  <c r="EU15" i="14"/>
  <c r="EV15" i="14"/>
  <c r="EW15" i="14"/>
  <c r="EX15" i="14"/>
  <c r="EY15" i="14"/>
  <c r="EZ15" i="14"/>
  <c r="FA15" i="14"/>
  <c r="FB15" i="14"/>
  <c r="FC15" i="14"/>
  <c r="FD15" i="14"/>
  <c r="FE15" i="14"/>
  <c r="FF15" i="14"/>
  <c r="FG15" i="14"/>
  <c r="FH15" i="14"/>
  <c r="FI15" i="14"/>
  <c r="FJ15" i="14"/>
  <c r="FK15" i="14"/>
  <c r="FL15" i="14"/>
  <c r="FM15" i="14"/>
  <c r="FN15" i="14"/>
  <c r="FO15" i="14"/>
  <c r="FP15" i="14"/>
  <c r="FQ15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W16" i="14"/>
  <c r="CX16" i="14"/>
  <c r="CY16" i="14"/>
  <c r="CZ16" i="14"/>
  <c r="DA16" i="14"/>
  <c r="DB16" i="14"/>
  <c r="DC16" i="14"/>
  <c r="DD16" i="14"/>
  <c r="DE16" i="14"/>
  <c r="DF16" i="14"/>
  <c r="DG16" i="14"/>
  <c r="DH16" i="14"/>
  <c r="DI16" i="14"/>
  <c r="DJ16" i="14"/>
  <c r="DK16" i="14"/>
  <c r="DL16" i="14"/>
  <c r="DM16" i="14"/>
  <c r="DN16" i="14"/>
  <c r="DO16" i="14"/>
  <c r="DP16" i="14"/>
  <c r="DQ16" i="14"/>
  <c r="DR16" i="14"/>
  <c r="DS16" i="14"/>
  <c r="DT16" i="14"/>
  <c r="DU16" i="14"/>
  <c r="DV16" i="14"/>
  <c r="DW16" i="14"/>
  <c r="DX16" i="14"/>
  <c r="DY16" i="14"/>
  <c r="DZ16" i="14"/>
  <c r="EA16" i="14"/>
  <c r="EB16" i="14"/>
  <c r="EC16" i="14"/>
  <c r="ED16" i="14"/>
  <c r="EE16" i="14"/>
  <c r="EF16" i="14"/>
  <c r="EG16" i="14"/>
  <c r="EH16" i="14"/>
  <c r="EI16" i="14"/>
  <c r="EJ16" i="14"/>
  <c r="EK16" i="14"/>
  <c r="EL16" i="14"/>
  <c r="EM16" i="14"/>
  <c r="EN16" i="14"/>
  <c r="EO16" i="14"/>
  <c r="EP16" i="14"/>
  <c r="EQ16" i="14"/>
  <c r="ER16" i="14"/>
  <c r="ES16" i="14"/>
  <c r="ET16" i="14"/>
  <c r="EU16" i="14"/>
  <c r="EV16" i="14"/>
  <c r="EW16" i="14"/>
  <c r="EX16" i="14"/>
  <c r="EY16" i="14"/>
  <c r="EZ16" i="14"/>
  <c r="FA16" i="14"/>
  <c r="FB16" i="14"/>
  <c r="FC16" i="14"/>
  <c r="FD16" i="14"/>
  <c r="FE16" i="14"/>
  <c r="FF16" i="14"/>
  <c r="FG16" i="14"/>
  <c r="FH16" i="14"/>
  <c r="FI16" i="14"/>
  <c r="FJ16" i="14"/>
  <c r="FK16" i="14"/>
  <c r="FL16" i="14"/>
  <c r="FM16" i="14"/>
  <c r="FN16" i="14"/>
  <c r="FO16" i="14"/>
  <c r="FP16" i="14"/>
  <c r="FQ16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BS17" i="14"/>
  <c r="BT17" i="14"/>
  <c r="BU17" i="14"/>
  <c r="BV17" i="14"/>
  <c r="BW17" i="14"/>
  <c r="BX17" i="14"/>
  <c r="BY17" i="14"/>
  <c r="BZ17" i="14"/>
  <c r="CA17" i="14"/>
  <c r="CB17" i="14"/>
  <c r="CC17" i="14"/>
  <c r="CD17" i="14"/>
  <c r="CE17" i="14"/>
  <c r="CF17" i="14"/>
  <c r="CG17" i="14"/>
  <c r="CH17" i="14"/>
  <c r="CI17" i="14"/>
  <c r="CJ17" i="14"/>
  <c r="CK17" i="14"/>
  <c r="CL17" i="14"/>
  <c r="CM17" i="14"/>
  <c r="CN17" i="14"/>
  <c r="CO17" i="14"/>
  <c r="CP17" i="14"/>
  <c r="CQ17" i="14"/>
  <c r="CR17" i="14"/>
  <c r="CS17" i="14"/>
  <c r="CT17" i="14"/>
  <c r="CU17" i="14"/>
  <c r="CV17" i="14"/>
  <c r="CW17" i="14"/>
  <c r="CX17" i="14"/>
  <c r="CY17" i="14"/>
  <c r="CZ17" i="14"/>
  <c r="DA17" i="14"/>
  <c r="DB17" i="14"/>
  <c r="DC17" i="14"/>
  <c r="DD17" i="14"/>
  <c r="DE17" i="14"/>
  <c r="DF17" i="14"/>
  <c r="DG17" i="14"/>
  <c r="DH17" i="14"/>
  <c r="DI17" i="14"/>
  <c r="DJ17" i="14"/>
  <c r="DK17" i="14"/>
  <c r="DL17" i="14"/>
  <c r="DM17" i="14"/>
  <c r="DN17" i="14"/>
  <c r="DO17" i="14"/>
  <c r="DP17" i="14"/>
  <c r="DQ17" i="14"/>
  <c r="DR17" i="14"/>
  <c r="DS17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EF17" i="14"/>
  <c r="EG17" i="14"/>
  <c r="EH17" i="14"/>
  <c r="EI17" i="14"/>
  <c r="EJ17" i="14"/>
  <c r="EK17" i="14"/>
  <c r="EL17" i="14"/>
  <c r="EM17" i="14"/>
  <c r="EN17" i="14"/>
  <c r="EO17" i="14"/>
  <c r="EP17" i="14"/>
  <c r="EQ17" i="14"/>
  <c r="ER17" i="14"/>
  <c r="ES17" i="14"/>
  <c r="ET17" i="14"/>
  <c r="EU17" i="14"/>
  <c r="EV17" i="14"/>
  <c r="EW17" i="14"/>
  <c r="EX17" i="14"/>
  <c r="EY17" i="14"/>
  <c r="EZ17" i="14"/>
  <c r="FA17" i="14"/>
  <c r="FB17" i="14"/>
  <c r="FC17" i="14"/>
  <c r="FD17" i="14"/>
  <c r="FE17" i="14"/>
  <c r="FF17" i="14"/>
  <c r="FG17" i="14"/>
  <c r="FH17" i="14"/>
  <c r="FI17" i="14"/>
  <c r="FJ17" i="14"/>
  <c r="FK17" i="14"/>
  <c r="FL17" i="14"/>
  <c r="FM17" i="14"/>
  <c r="FN17" i="14"/>
  <c r="FO17" i="14"/>
  <c r="FP17" i="14"/>
  <c r="FQ17" i="14"/>
  <c r="AJ19" i="14"/>
  <c r="AJ65" i="14" s="1"/>
  <c r="AK19" i="14"/>
  <c r="AK65" i="14" s="1"/>
  <c r="AL19" i="14"/>
  <c r="AL65" i="14" s="1"/>
  <c r="AM19" i="14"/>
  <c r="AM65" i="14" s="1"/>
  <c r="AN19" i="14"/>
  <c r="AN65" i="14" s="1"/>
  <c r="AO19" i="14"/>
  <c r="AO65" i="14" s="1"/>
  <c r="AP19" i="14"/>
  <c r="AP65" i="14" s="1"/>
  <c r="AQ19" i="14"/>
  <c r="AQ65" i="14" s="1"/>
  <c r="AR19" i="14"/>
  <c r="AR65" i="14" s="1"/>
  <c r="AS19" i="14"/>
  <c r="AS65" i="14" s="1"/>
  <c r="AT19" i="14"/>
  <c r="AT65" i="14" s="1"/>
  <c r="AU19" i="14"/>
  <c r="AU65" i="14" s="1"/>
  <c r="AV19" i="14"/>
  <c r="AV65" i="14" s="1"/>
  <c r="AW19" i="14"/>
  <c r="AW65" i="14" s="1"/>
  <c r="AX19" i="14"/>
  <c r="AX65" i="14" s="1"/>
  <c r="AY19" i="14"/>
  <c r="AY65" i="14" s="1"/>
  <c r="AZ19" i="14"/>
  <c r="AZ65" i="14" s="1"/>
  <c r="BA19" i="14"/>
  <c r="BA65" i="14" s="1"/>
  <c r="BB19" i="14"/>
  <c r="BB65" i="14" s="1"/>
  <c r="BC19" i="14"/>
  <c r="BC65" i="14" s="1"/>
  <c r="BD19" i="14"/>
  <c r="BD65" i="14" s="1"/>
  <c r="BE19" i="14"/>
  <c r="BE65" i="14" s="1"/>
  <c r="BF19" i="14"/>
  <c r="BF65" i="14" s="1"/>
  <c r="BG19" i="14"/>
  <c r="BG65" i="14" s="1"/>
  <c r="BH19" i="14"/>
  <c r="BH65" i="14" s="1"/>
  <c r="BI19" i="14"/>
  <c r="BI65" i="14" s="1"/>
  <c r="BJ19" i="14"/>
  <c r="BJ65" i="14" s="1"/>
  <c r="BK19" i="14"/>
  <c r="BK65" i="14" s="1"/>
  <c r="BL19" i="14"/>
  <c r="BL65" i="14" s="1"/>
  <c r="BM19" i="14"/>
  <c r="BM65" i="14" s="1"/>
  <c r="BN19" i="14"/>
  <c r="BN65" i="14" s="1"/>
  <c r="BO19" i="14"/>
  <c r="BO65" i="14" s="1"/>
  <c r="BP19" i="14"/>
  <c r="BP65" i="14" s="1"/>
  <c r="BQ19" i="14"/>
  <c r="BQ65" i="14" s="1"/>
  <c r="BR19" i="14"/>
  <c r="BR65" i="14" s="1"/>
  <c r="BS19" i="14"/>
  <c r="BS65" i="14" s="1"/>
  <c r="BT19" i="14"/>
  <c r="BT65" i="14" s="1"/>
  <c r="BU19" i="14"/>
  <c r="BU65" i="14" s="1"/>
  <c r="BV19" i="14"/>
  <c r="BV65" i="14" s="1"/>
  <c r="BW19" i="14"/>
  <c r="BW65" i="14" s="1"/>
  <c r="BX19" i="14"/>
  <c r="BX65" i="14" s="1"/>
  <c r="BY19" i="14"/>
  <c r="BY65" i="14" s="1"/>
  <c r="BZ19" i="14"/>
  <c r="BZ65" i="14" s="1"/>
  <c r="CA19" i="14"/>
  <c r="CA65" i="14" s="1"/>
  <c r="CB19" i="14"/>
  <c r="CB65" i="14" s="1"/>
  <c r="CC19" i="14"/>
  <c r="CC65" i="14" s="1"/>
  <c r="CD19" i="14"/>
  <c r="CD65" i="14" s="1"/>
  <c r="CE19" i="14"/>
  <c r="CE65" i="14" s="1"/>
  <c r="CF19" i="14"/>
  <c r="CF65" i="14" s="1"/>
  <c r="CG19" i="14"/>
  <c r="CG65" i="14" s="1"/>
  <c r="CH19" i="14"/>
  <c r="CH65" i="14" s="1"/>
  <c r="CI19" i="14"/>
  <c r="CI65" i="14" s="1"/>
  <c r="CJ19" i="14"/>
  <c r="CJ65" i="14" s="1"/>
  <c r="CK19" i="14"/>
  <c r="CK65" i="14" s="1"/>
  <c r="CL19" i="14"/>
  <c r="CL65" i="14" s="1"/>
  <c r="CM19" i="14"/>
  <c r="CM65" i="14" s="1"/>
  <c r="CN19" i="14"/>
  <c r="CN65" i="14" s="1"/>
  <c r="CO19" i="14"/>
  <c r="CO65" i="14" s="1"/>
  <c r="CP19" i="14"/>
  <c r="CP65" i="14" s="1"/>
  <c r="CQ19" i="14"/>
  <c r="CQ65" i="14" s="1"/>
  <c r="CR19" i="14"/>
  <c r="CR65" i="14" s="1"/>
  <c r="CS19" i="14"/>
  <c r="CS65" i="14" s="1"/>
  <c r="CT19" i="14"/>
  <c r="CT65" i="14" s="1"/>
  <c r="CU19" i="14"/>
  <c r="CU65" i="14" s="1"/>
  <c r="CV19" i="14"/>
  <c r="CV65" i="14" s="1"/>
  <c r="CW19" i="14"/>
  <c r="CW65" i="14" s="1"/>
  <c r="CX19" i="14"/>
  <c r="CX65" i="14" s="1"/>
  <c r="CY19" i="14"/>
  <c r="CY65" i="14" s="1"/>
  <c r="CZ19" i="14"/>
  <c r="CZ65" i="14" s="1"/>
  <c r="DA19" i="14"/>
  <c r="DA65" i="14" s="1"/>
  <c r="DB19" i="14"/>
  <c r="DB65" i="14" s="1"/>
  <c r="DC19" i="14"/>
  <c r="DC65" i="14" s="1"/>
  <c r="DD19" i="14"/>
  <c r="DD65" i="14" s="1"/>
  <c r="DE19" i="14"/>
  <c r="DE65" i="14" s="1"/>
  <c r="DF19" i="14"/>
  <c r="DF65" i="14" s="1"/>
  <c r="DG19" i="14"/>
  <c r="DG65" i="14" s="1"/>
  <c r="DH19" i="14"/>
  <c r="DH65" i="14" s="1"/>
  <c r="DI19" i="14"/>
  <c r="DI65" i="14" s="1"/>
  <c r="DJ19" i="14"/>
  <c r="DJ65" i="14" s="1"/>
  <c r="DK19" i="14"/>
  <c r="DK65" i="14" s="1"/>
  <c r="DL19" i="14"/>
  <c r="DL65" i="14" s="1"/>
  <c r="DM19" i="14"/>
  <c r="DM65" i="14" s="1"/>
  <c r="DN19" i="14"/>
  <c r="DN65" i="14" s="1"/>
  <c r="DO19" i="14"/>
  <c r="DO65" i="14" s="1"/>
  <c r="DP19" i="14"/>
  <c r="DP65" i="14" s="1"/>
  <c r="DQ19" i="14"/>
  <c r="DQ65" i="14" s="1"/>
  <c r="DR19" i="14"/>
  <c r="DR65" i="14" s="1"/>
  <c r="DS19" i="14"/>
  <c r="DS65" i="14" s="1"/>
  <c r="DT19" i="14"/>
  <c r="DT65" i="14" s="1"/>
  <c r="DU19" i="14"/>
  <c r="DU65" i="14" s="1"/>
  <c r="DV19" i="14"/>
  <c r="DV65" i="14" s="1"/>
  <c r="DW19" i="14"/>
  <c r="DW65" i="14" s="1"/>
  <c r="DX19" i="14"/>
  <c r="DX65" i="14" s="1"/>
  <c r="DY19" i="14"/>
  <c r="DY65" i="14" s="1"/>
  <c r="DZ19" i="14"/>
  <c r="DZ65" i="14" s="1"/>
  <c r="EA19" i="14"/>
  <c r="EA65" i="14" s="1"/>
  <c r="EB19" i="14"/>
  <c r="EB65" i="14" s="1"/>
  <c r="EC19" i="14"/>
  <c r="EC65" i="14" s="1"/>
  <c r="ED19" i="14"/>
  <c r="ED65" i="14" s="1"/>
  <c r="EE19" i="14"/>
  <c r="EE65" i="14" s="1"/>
  <c r="EF19" i="14"/>
  <c r="EF65" i="14" s="1"/>
  <c r="EG19" i="14"/>
  <c r="EG65" i="14" s="1"/>
  <c r="EH19" i="14"/>
  <c r="EH65" i="14" s="1"/>
  <c r="EI19" i="14"/>
  <c r="EI65" i="14" s="1"/>
  <c r="EJ19" i="14"/>
  <c r="EJ65" i="14" s="1"/>
  <c r="EK19" i="14"/>
  <c r="EK65" i="14" s="1"/>
  <c r="EL19" i="14"/>
  <c r="EL65" i="14" s="1"/>
  <c r="EM19" i="14"/>
  <c r="EM65" i="14" s="1"/>
  <c r="EN19" i="14"/>
  <c r="EN65" i="14" s="1"/>
  <c r="EO19" i="14"/>
  <c r="EO65" i="14" s="1"/>
  <c r="EP19" i="14"/>
  <c r="EP65" i="14" s="1"/>
  <c r="EQ19" i="14"/>
  <c r="EQ65" i="14" s="1"/>
  <c r="ER19" i="14"/>
  <c r="ER65" i="14" s="1"/>
  <c r="ES19" i="14"/>
  <c r="ES65" i="14" s="1"/>
  <c r="ET19" i="14"/>
  <c r="ET65" i="14" s="1"/>
  <c r="EU19" i="14"/>
  <c r="EU65" i="14" s="1"/>
  <c r="EV19" i="14"/>
  <c r="EV65" i="14" s="1"/>
  <c r="EW19" i="14"/>
  <c r="EW65" i="14" s="1"/>
  <c r="EX19" i="14"/>
  <c r="EX65" i="14" s="1"/>
  <c r="EY19" i="14"/>
  <c r="EY65" i="14" s="1"/>
  <c r="EZ19" i="14"/>
  <c r="EZ65" i="14" s="1"/>
  <c r="FA19" i="14"/>
  <c r="FA65" i="14" s="1"/>
  <c r="FB19" i="14"/>
  <c r="FB65" i="14" s="1"/>
  <c r="FC19" i="14"/>
  <c r="FC65" i="14" s="1"/>
  <c r="FD19" i="14"/>
  <c r="FD65" i="14" s="1"/>
  <c r="FE19" i="14"/>
  <c r="FE65" i="14" s="1"/>
  <c r="FF19" i="14"/>
  <c r="FF65" i="14" s="1"/>
  <c r="FG19" i="14"/>
  <c r="FG65" i="14" s="1"/>
  <c r="FH19" i="14"/>
  <c r="FH65" i="14" s="1"/>
  <c r="FI19" i="14"/>
  <c r="FI65" i="14" s="1"/>
  <c r="FJ19" i="14"/>
  <c r="FJ65" i="14" s="1"/>
  <c r="FK19" i="14"/>
  <c r="FK65" i="14" s="1"/>
  <c r="FL19" i="14"/>
  <c r="FL65" i="14" s="1"/>
  <c r="FM19" i="14"/>
  <c r="FM65" i="14" s="1"/>
  <c r="FN19" i="14"/>
  <c r="FN65" i="14" s="1"/>
  <c r="FO19" i="14"/>
  <c r="FO65" i="14" s="1"/>
  <c r="FP19" i="14"/>
  <c r="FP65" i="14" s="1"/>
  <c r="FQ19" i="14"/>
  <c r="FQ65" i="14" s="1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CN21" i="14"/>
  <c r="CO21" i="14"/>
  <c r="CP21" i="14"/>
  <c r="CQ21" i="14"/>
  <c r="CR21" i="14"/>
  <c r="CS21" i="14"/>
  <c r="CT21" i="14"/>
  <c r="CU21" i="14"/>
  <c r="CV21" i="14"/>
  <c r="CW21" i="14"/>
  <c r="CX21" i="14"/>
  <c r="CY21" i="14"/>
  <c r="CZ21" i="14"/>
  <c r="DA21" i="14"/>
  <c r="DB21" i="14"/>
  <c r="DC21" i="14"/>
  <c r="DD21" i="14"/>
  <c r="DE21" i="14"/>
  <c r="DF21" i="14"/>
  <c r="DG21" i="14"/>
  <c r="DH21" i="14"/>
  <c r="DI21" i="14"/>
  <c r="DJ21" i="14"/>
  <c r="DK21" i="14"/>
  <c r="DL21" i="14"/>
  <c r="DM21" i="14"/>
  <c r="DN21" i="14"/>
  <c r="DO21" i="14"/>
  <c r="DP21" i="14"/>
  <c r="DQ21" i="14"/>
  <c r="DR21" i="14"/>
  <c r="DS21" i="14"/>
  <c r="DT21" i="14"/>
  <c r="DU21" i="14"/>
  <c r="DV21" i="14"/>
  <c r="DW21" i="14"/>
  <c r="DX21" i="14"/>
  <c r="DY21" i="14"/>
  <c r="DZ21" i="14"/>
  <c r="EA21" i="14"/>
  <c r="EB21" i="14"/>
  <c r="EC21" i="14"/>
  <c r="ED21" i="14"/>
  <c r="EE21" i="14"/>
  <c r="EF21" i="14"/>
  <c r="EG21" i="14"/>
  <c r="EH21" i="14"/>
  <c r="EI21" i="14"/>
  <c r="EJ21" i="14"/>
  <c r="EK21" i="14"/>
  <c r="EL21" i="14"/>
  <c r="EM21" i="14"/>
  <c r="EN21" i="14"/>
  <c r="EO21" i="14"/>
  <c r="EP21" i="14"/>
  <c r="EQ21" i="14"/>
  <c r="ER21" i="14"/>
  <c r="ES21" i="14"/>
  <c r="ET21" i="14"/>
  <c r="EU21" i="14"/>
  <c r="EV21" i="14"/>
  <c r="EW21" i="14"/>
  <c r="EX21" i="14"/>
  <c r="EY21" i="14"/>
  <c r="EZ21" i="14"/>
  <c r="FA21" i="14"/>
  <c r="FB21" i="14"/>
  <c r="FC21" i="14"/>
  <c r="FD21" i="14"/>
  <c r="FE21" i="14"/>
  <c r="FF21" i="14"/>
  <c r="FG21" i="14"/>
  <c r="FH21" i="14"/>
  <c r="FI21" i="14"/>
  <c r="FJ21" i="14"/>
  <c r="FK21" i="14"/>
  <c r="FL21" i="14"/>
  <c r="FM21" i="14"/>
  <c r="FN21" i="14"/>
  <c r="FO21" i="14"/>
  <c r="FP21" i="14"/>
  <c r="FQ21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BQ22" i="14"/>
  <c r="BR22" i="14"/>
  <c r="BS22" i="14"/>
  <c r="BT22" i="14"/>
  <c r="BU22" i="14"/>
  <c r="BV22" i="14"/>
  <c r="BW22" i="14"/>
  <c r="BX22" i="14"/>
  <c r="BY22" i="14"/>
  <c r="BZ22" i="14"/>
  <c r="CA22" i="14"/>
  <c r="CB22" i="14"/>
  <c r="CC22" i="14"/>
  <c r="CD22" i="14"/>
  <c r="CE22" i="14"/>
  <c r="CF22" i="14"/>
  <c r="CG22" i="14"/>
  <c r="CH22" i="14"/>
  <c r="CI22" i="14"/>
  <c r="CJ22" i="14"/>
  <c r="CK22" i="14"/>
  <c r="CL22" i="14"/>
  <c r="CM22" i="14"/>
  <c r="CN22" i="14"/>
  <c r="CO22" i="14"/>
  <c r="CP22" i="14"/>
  <c r="CQ22" i="14"/>
  <c r="CR22" i="14"/>
  <c r="CS22" i="14"/>
  <c r="CT22" i="14"/>
  <c r="CU22" i="14"/>
  <c r="CV22" i="14"/>
  <c r="CW22" i="14"/>
  <c r="CX22" i="14"/>
  <c r="CY22" i="14"/>
  <c r="CZ22" i="14"/>
  <c r="DA22" i="14"/>
  <c r="DB22" i="14"/>
  <c r="DC22" i="14"/>
  <c r="DD22" i="14"/>
  <c r="DE22" i="14"/>
  <c r="DF22" i="14"/>
  <c r="DG22" i="14"/>
  <c r="DH22" i="14"/>
  <c r="DI22" i="14"/>
  <c r="DJ22" i="14"/>
  <c r="DK22" i="14"/>
  <c r="DL22" i="14"/>
  <c r="DM22" i="14"/>
  <c r="DN22" i="14"/>
  <c r="DO22" i="14"/>
  <c r="DP22" i="14"/>
  <c r="DQ22" i="14"/>
  <c r="DR22" i="14"/>
  <c r="DS22" i="14"/>
  <c r="DT22" i="14"/>
  <c r="DU22" i="14"/>
  <c r="DV22" i="14"/>
  <c r="DW22" i="14"/>
  <c r="DX22" i="14"/>
  <c r="DY22" i="14"/>
  <c r="DZ22" i="14"/>
  <c r="EA22" i="14"/>
  <c r="EB22" i="14"/>
  <c r="EC22" i="14"/>
  <c r="ED22" i="14"/>
  <c r="EE22" i="14"/>
  <c r="EF22" i="14"/>
  <c r="EG22" i="14"/>
  <c r="EH22" i="14"/>
  <c r="EI22" i="14"/>
  <c r="EJ22" i="14"/>
  <c r="EK22" i="14"/>
  <c r="EL22" i="14"/>
  <c r="EM22" i="14"/>
  <c r="EN22" i="14"/>
  <c r="EO22" i="14"/>
  <c r="EP22" i="14"/>
  <c r="EQ22" i="14"/>
  <c r="ER22" i="14"/>
  <c r="ES22" i="14"/>
  <c r="ET22" i="14"/>
  <c r="EU22" i="14"/>
  <c r="EV22" i="14"/>
  <c r="EW22" i="14"/>
  <c r="EX22" i="14"/>
  <c r="EY22" i="14"/>
  <c r="EZ22" i="14"/>
  <c r="FA22" i="14"/>
  <c r="FB22" i="14"/>
  <c r="FC22" i="14"/>
  <c r="FD22" i="14"/>
  <c r="FE22" i="14"/>
  <c r="FF22" i="14"/>
  <c r="FG22" i="14"/>
  <c r="FH22" i="14"/>
  <c r="FI22" i="14"/>
  <c r="FJ22" i="14"/>
  <c r="FK22" i="14"/>
  <c r="FL22" i="14"/>
  <c r="FM22" i="14"/>
  <c r="FN22" i="14"/>
  <c r="FO22" i="14"/>
  <c r="FP22" i="14"/>
  <c r="FQ22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CN23" i="14"/>
  <c r="CO23" i="14"/>
  <c r="CP23" i="14"/>
  <c r="CQ23" i="14"/>
  <c r="CR23" i="14"/>
  <c r="CS23" i="14"/>
  <c r="CT23" i="14"/>
  <c r="CU23" i="14"/>
  <c r="CV23" i="14"/>
  <c r="CW23" i="14"/>
  <c r="CX23" i="14"/>
  <c r="CY23" i="14"/>
  <c r="CZ23" i="14"/>
  <c r="DA23" i="14"/>
  <c r="DB23" i="14"/>
  <c r="DC23" i="14"/>
  <c r="DD23" i="14"/>
  <c r="DE23" i="14"/>
  <c r="DF23" i="14"/>
  <c r="DG23" i="14"/>
  <c r="DH23" i="14"/>
  <c r="DI23" i="14"/>
  <c r="DJ23" i="14"/>
  <c r="DK23" i="14"/>
  <c r="DL23" i="14"/>
  <c r="DM23" i="14"/>
  <c r="DN23" i="14"/>
  <c r="DO23" i="14"/>
  <c r="DP23" i="14"/>
  <c r="DQ23" i="14"/>
  <c r="DR23" i="14"/>
  <c r="DS23" i="14"/>
  <c r="DT23" i="14"/>
  <c r="DU23" i="14"/>
  <c r="DV23" i="14"/>
  <c r="DW23" i="14"/>
  <c r="DX23" i="14"/>
  <c r="DY23" i="14"/>
  <c r="DZ23" i="14"/>
  <c r="EA23" i="14"/>
  <c r="EB23" i="14"/>
  <c r="EC23" i="14"/>
  <c r="ED23" i="14"/>
  <c r="EE23" i="14"/>
  <c r="EF23" i="14"/>
  <c r="EG23" i="14"/>
  <c r="EH23" i="14"/>
  <c r="EI23" i="14"/>
  <c r="EJ23" i="14"/>
  <c r="EK23" i="14"/>
  <c r="EL23" i="14"/>
  <c r="EM23" i="14"/>
  <c r="EN23" i="14"/>
  <c r="EO23" i="14"/>
  <c r="EP23" i="14"/>
  <c r="EQ23" i="14"/>
  <c r="ER23" i="14"/>
  <c r="ES23" i="14"/>
  <c r="ET23" i="14"/>
  <c r="EU23" i="14"/>
  <c r="EV23" i="14"/>
  <c r="EW23" i="14"/>
  <c r="EX23" i="14"/>
  <c r="EY23" i="14"/>
  <c r="EZ23" i="14"/>
  <c r="FA23" i="14"/>
  <c r="FB23" i="14"/>
  <c r="FC23" i="14"/>
  <c r="FD23" i="14"/>
  <c r="FE23" i="14"/>
  <c r="FF23" i="14"/>
  <c r="FG23" i="14"/>
  <c r="FH23" i="14"/>
  <c r="FI23" i="14"/>
  <c r="FJ23" i="14"/>
  <c r="FK23" i="14"/>
  <c r="FL23" i="14"/>
  <c r="FM23" i="14"/>
  <c r="FN23" i="14"/>
  <c r="FO23" i="14"/>
  <c r="FP23" i="14"/>
  <c r="FQ23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O24" i="14"/>
  <c r="CP24" i="14"/>
  <c r="CQ24" i="14"/>
  <c r="CR24" i="14"/>
  <c r="CS24" i="14"/>
  <c r="CT24" i="14"/>
  <c r="CU24" i="14"/>
  <c r="CV24" i="14"/>
  <c r="CW24" i="14"/>
  <c r="CX24" i="14"/>
  <c r="CY24" i="14"/>
  <c r="CZ24" i="14"/>
  <c r="DA24" i="14"/>
  <c r="DB24" i="14"/>
  <c r="DC24" i="14"/>
  <c r="DD24" i="14"/>
  <c r="DE24" i="14"/>
  <c r="DF24" i="14"/>
  <c r="DG24" i="14"/>
  <c r="DH24" i="14"/>
  <c r="DI24" i="14"/>
  <c r="DJ24" i="14"/>
  <c r="DK24" i="14"/>
  <c r="DL24" i="14"/>
  <c r="DM24" i="14"/>
  <c r="DN24" i="14"/>
  <c r="DO24" i="14"/>
  <c r="DP24" i="14"/>
  <c r="DQ24" i="14"/>
  <c r="DR24" i="14"/>
  <c r="DS24" i="14"/>
  <c r="DT24" i="14"/>
  <c r="DU24" i="14"/>
  <c r="DV24" i="14"/>
  <c r="DW24" i="14"/>
  <c r="DX24" i="14"/>
  <c r="DY24" i="14"/>
  <c r="DZ24" i="14"/>
  <c r="EA24" i="14"/>
  <c r="EB24" i="14"/>
  <c r="EC24" i="14"/>
  <c r="ED24" i="14"/>
  <c r="EE24" i="14"/>
  <c r="EF24" i="14"/>
  <c r="EG24" i="14"/>
  <c r="EH24" i="14"/>
  <c r="EI24" i="14"/>
  <c r="EJ24" i="14"/>
  <c r="EK24" i="14"/>
  <c r="EL24" i="14"/>
  <c r="EM24" i="14"/>
  <c r="EN24" i="14"/>
  <c r="EO24" i="14"/>
  <c r="EP24" i="14"/>
  <c r="EQ24" i="14"/>
  <c r="ER24" i="14"/>
  <c r="ES24" i="14"/>
  <c r="ET24" i="14"/>
  <c r="EU24" i="14"/>
  <c r="EV24" i="14"/>
  <c r="EW24" i="14"/>
  <c r="EX24" i="14"/>
  <c r="EY24" i="14"/>
  <c r="EZ24" i="14"/>
  <c r="FA24" i="14"/>
  <c r="FB24" i="14"/>
  <c r="FC24" i="14"/>
  <c r="FD24" i="14"/>
  <c r="FE24" i="14"/>
  <c r="FF24" i="14"/>
  <c r="FG24" i="14"/>
  <c r="FH24" i="14"/>
  <c r="FI24" i="14"/>
  <c r="FJ24" i="14"/>
  <c r="FK24" i="14"/>
  <c r="FL24" i="14"/>
  <c r="FM24" i="14"/>
  <c r="FN24" i="14"/>
  <c r="FO24" i="14"/>
  <c r="FP24" i="14"/>
  <c r="FQ24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BS25" i="14"/>
  <c r="BT25" i="14"/>
  <c r="BU25" i="14"/>
  <c r="BV25" i="14"/>
  <c r="BW25" i="14"/>
  <c r="BX25" i="14"/>
  <c r="BY25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CN25" i="14"/>
  <c r="CO25" i="14"/>
  <c r="CP25" i="14"/>
  <c r="CQ25" i="14"/>
  <c r="CR25" i="14"/>
  <c r="CS25" i="14"/>
  <c r="CT25" i="14"/>
  <c r="CU25" i="14"/>
  <c r="CV25" i="14"/>
  <c r="CW25" i="14"/>
  <c r="CX25" i="14"/>
  <c r="CY25" i="14"/>
  <c r="CZ25" i="14"/>
  <c r="DA25" i="14"/>
  <c r="DB25" i="14"/>
  <c r="DC25" i="14"/>
  <c r="DD25" i="14"/>
  <c r="DE25" i="14"/>
  <c r="DF25" i="14"/>
  <c r="DG25" i="14"/>
  <c r="DH25" i="14"/>
  <c r="DI25" i="14"/>
  <c r="DJ25" i="14"/>
  <c r="DK25" i="14"/>
  <c r="DL25" i="14"/>
  <c r="DM25" i="14"/>
  <c r="DN25" i="14"/>
  <c r="DO25" i="14"/>
  <c r="DP25" i="14"/>
  <c r="DQ25" i="14"/>
  <c r="DR25" i="14"/>
  <c r="DS25" i="14"/>
  <c r="DT25" i="14"/>
  <c r="DU25" i="14"/>
  <c r="DV25" i="14"/>
  <c r="DW25" i="14"/>
  <c r="DX25" i="14"/>
  <c r="DY25" i="14"/>
  <c r="DZ25" i="14"/>
  <c r="EA25" i="14"/>
  <c r="EB25" i="14"/>
  <c r="EC25" i="14"/>
  <c r="ED25" i="14"/>
  <c r="EE25" i="14"/>
  <c r="EF25" i="14"/>
  <c r="EG25" i="14"/>
  <c r="EH25" i="14"/>
  <c r="EI25" i="14"/>
  <c r="EJ25" i="14"/>
  <c r="EK25" i="14"/>
  <c r="EL25" i="14"/>
  <c r="EM25" i="14"/>
  <c r="EN25" i="14"/>
  <c r="EO25" i="14"/>
  <c r="EP25" i="14"/>
  <c r="EQ25" i="14"/>
  <c r="ER25" i="14"/>
  <c r="ES25" i="14"/>
  <c r="ET25" i="14"/>
  <c r="EU25" i="14"/>
  <c r="EV25" i="14"/>
  <c r="EW25" i="14"/>
  <c r="EX25" i="14"/>
  <c r="EY25" i="14"/>
  <c r="EZ25" i="14"/>
  <c r="FA25" i="14"/>
  <c r="FB25" i="14"/>
  <c r="FC25" i="14"/>
  <c r="FD25" i="14"/>
  <c r="FE25" i="14"/>
  <c r="FF25" i="14"/>
  <c r="FG25" i="14"/>
  <c r="FH25" i="14"/>
  <c r="FI25" i="14"/>
  <c r="FJ25" i="14"/>
  <c r="FK25" i="14"/>
  <c r="FL25" i="14"/>
  <c r="FM25" i="14"/>
  <c r="FN25" i="14"/>
  <c r="FO25" i="14"/>
  <c r="FP25" i="14"/>
  <c r="FQ25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BS26" i="14"/>
  <c r="BT26" i="14"/>
  <c r="BU26" i="14"/>
  <c r="BV26" i="14"/>
  <c r="BW26" i="14"/>
  <c r="BX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CN26" i="14"/>
  <c r="CO26" i="14"/>
  <c r="CP26" i="14"/>
  <c r="CQ26" i="14"/>
  <c r="CR26" i="14"/>
  <c r="CS26" i="14"/>
  <c r="CT26" i="14"/>
  <c r="CU26" i="14"/>
  <c r="CV26" i="14"/>
  <c r="CW26" i="14"/>
  <c r="CX26" i="14"/>
  <c r="CY26" i="14"/>
  <c r="CZ26" i="14"/>
  <c r="DA26" i="14"/>
  <c r="DB26" i="14"/>
  <c r="DC26" i="14"/>
  <c r="DD26" i="14"/>
  <c r="DE26" i="14"/>
  <c r="DF26" i="14"/>
  <c r="DG26" i="14"/>
  <c r="DH26" i="14"/>
  <c r="DI26" i="14"/>
  <c r="DJ26" i="14"/>
  <c r="DK26" i="14"/>
  <c r="DL26" i="14"/>
  <c r="DM26" i="14"/>
  <c r="DN26" i="14"/>
  <c r="DO26" i="14"/>
  <c r="DP26" i="14"/>
  <c r="DQ26" i="14"/>
  <c r="DR26" i="14"/>
  <c r="DS26" i="14"/>
  <c r="DT26" i="14"/>
  <c r="DU26" i="14"/>
  <c r="DV26" i="14"/>
  <c r="DW26" i="14"/>
  <c r="DX26" i="14"/>
  <c r="DY26" i="14"/>
  <c r="DZ26" i="14"/>
  <c r="EA26" i="14"/>
  <c r="EB26" i="14"/>
  <c r="EC26" i="14"/>
  <c r="ED26" i="14"/>
  <c r="EE26" i="14"/>
  <c r="EF26" i="14"/>
  <c r="EG26" i="14"/>
  <c r="EH26" i="14"/>
  <c r="EI26" i="14"/>
  <c r="EJ26" i="14"/>
  <c r="EK26" i="14"/>
  <c r="EL26" i="14"/>
  <c r="EM26" i="14"/>
  <c r="EN26" i="14"/>
  <c r="EO26" i="14"/>
  <c r="EP26" i="14"/>
  <c r="EQ26" i="14"/>
  <c r="ER26" i="14"/>
  <c r="ES26" i="14"/>
  <c r="ET26" i="14"/>
  <c r="EU26" i="14"/>
  <c r="EV26" i="14"/>
  <c r="EW26" i="14"/>
  <c r="EX26" i="14"/>
  <c r="EY26" i="14"/>
  <c r="EZ26" i="14"/>
  <c r="FA26" i="14"/>
  <c r="FB26" i="14"/>
  <c r="FC26" i="14"/>
  <c r="FD26" i="14"/>
  <c r="FE26" i="14"/>
  <c r="FF26" i="14"/>
  <c r="FG26" i="14"/>
  <c r="FH26" i="14"/>
  <c r="FI26" i="14"/>
  <c r="FJ26" i="14"/>
  <c r="FK26" i="14"/>
  <c r="FL26" i="14"/>
  <c r="FM26" i="14"/>
  <c r="FN26" i="14"/>
  <c r="FO26" i="14"/>
  <c r="FP26" i="14"/>
  <c r="FQ26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U27" i="14"/>
  <c r="CV27" i="14"/>
  <c r="CW27" i="14"/>
  <c r="CX27" i="14"/>
  <c r="CY27" i="14"/>
  <c r="CZ27" i="14"/>
  <c r="DA27" i="14"/>
  <c r="DB27" i="14"/>
  <c r="DC27" i="14"/>
  <c r="DD27" i="14"/>
  <c r="DE27" i="14"/>
  <c r="DF27" i="14"/>
  <c r="DG27" i="14"/>
  <c r="DH27" i="14"/>
  <c r="DI27" i="14"/>
  <c r="DJ27" i="14"/>
  <c r="DK27" i="14"/>
  <c r="DL27" i="14"/>
  <c r="DM27" i="14"/>
  <c r="DN27" i="14"/>
  <c r="DO27" i="14"/>
  <c r="DP27" i="14"/>
  <c r="DQ27" i="14"/>
  <c r="DR27" i="14"/>
  <c r="DS27" i="14"/>
  <c r="DT27" i="14"/>
  <c r="DU27" i="14"/>
  <c r="DV27" i="14"/>
  <c r="DW27" i="14"/>
  <c r="DX27" i="14"/>
  <c r="DY27" i="14"/>
  <c r="DZ27" i="14"/>
  <c r="EA27" i="14"/>
  <c r="EB27" i="14"/>
  <c r="EC27" i="14"/>
  <c r="ED27" i="14"/>
  <c r="EE27" i="14"/>
  <c r="EF27" i="14"/>
  <c r="EG27" i="14"/>
  <c r="EH27" i="14"/>
  <c r="EI27" i="14"/>
  <c r="EJ27" i="14"/>
  <c r="EK27" i="14"/>
  <c r="EL27" i="14"/>
  <c r="EM27" i="14"/>
  <c r="EN27" i="14"/>
  <c r="EO27" i="14"/>
  <c r="EP27" i="14"/>
  <c r="EQ27" i="14"/>
  <c r="ER27" i="14"/>
  <c r="ES27" i="14"/>
  <c r="ET27" i="14"/>
  <c r="EU27" i="14"/>
  <c r="EV27" i="14"/>
  <c r="EW27" i="14"/>
  <c r="EX27" i="14"/>
  <c r="EY27" i="14"/>
  <c r="EZ27" i="14"/>
  <c r="FA27" i="14"/>
  <c r="FB27" i="14"/>
  <c r="FC27" i="14"/>
  <c r="FD27" i="14"/>
  <c r="FE27" i="14"/>
  <c r="FF27" i="14"/>
  <c r="FG27" i="14"/>
  <c r="FH27" i="14"/>
  <c r="FI27" i="14"/>
  <c r="FJ27" i="14"/>
  <c r="FK27" i="14"/>
  <c r="FL27" i="14"/>
  <c r="FM27" i="14"/>
  <c r="FN27" i="14"/>
  <c r="FO27" i="14"/>
  <c r="FP27" i="14"/>
  <c r="FQ27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U28" i="14"/>
  <c r="CV28" i="14"/>
  <c r="CW28" i="14"/>
  <c r="CX28" i="14"/>
  <c r="CY28" i="14"/>
  <c r="CZ28" i="14"/>
  <c r="DA28" i="14"/>
  <c r="DB28" i="14"/>
  <c r="DC28" i="14"/>
  <c r="DD28" i="14"/>
  <c r="DE28" i="14"/>
  <c r="DF28" i="14"/>
  <c r="DG28" i="14"/>
  <c r="DH28" i="14"/>
  <c r="DI28" i="14"/>
  <c r="DJ28" i="14"/>
  <c r="DK28" i="14"/>
  <c r="DL28" i="14"/>
  <c r="DM28" i="14"/>
  <c r="DN28" i="14"/>
  <c r="DO28" i="14"/>
  <c r="DP28" i="14"/>
  <c r="DQ28" i="14"/>
  <c r="DR28" i="14"/>
  <c r="DS28" i="14"/>
  <c r="DT28" i="14"/>
  <c r="DU28" i="14"/>
  <c r="DV28" i="14"/>
  <c r="DW28" i="14"/>
  <c r="DX28" i="14"/>
  <c r="DY28" i="14"/>
  <c r="DZ28" i="14"/>
  <c r="EA28" i="14"/>
  <c r="EB28" i="14"/>
  <c r="EC28" i="14"/>
  <c r="ED28" i="14"/>
  <c r="EE28" i="14"/>
  <c r="EF28" i="14"/>
  <c r="EG28" i="14"/>
  <c r="EH28" i="14"/>
  <c r="EI28" i="14"/>
  <c r="EJ28" i="14"/>
  <c r="EK28" i="14"/>
  <c r="EL28" i="14"/>
  <c r="EM28" i="14"/>
  <c r="EN28" i="14"/>
  <c r="EO28" i="14"/>
  <c r="EP28" i="14"/>
  <c r="EQ28" i="14"/>
  <c r="ER28" i="14"/>
  <c r="ES28" i="14"/>
  <c r="ET28" i="14"/>
  <c r="EU28" i="14"/>
  <c r="EV28" i="14"/>
  <c r="EW28" i="14"/>
  <c r="EX28" i="14"/>
  <c r="EY28" i="14"/>
  <c r="EZ28" i="14"/>
  <c r="FA28" i="14"/>
  <c r="FB28" i="14"/>
  <c r="FC28" i="14"/>
  <c r="FD28" i="14"/>
  <c r="FE28" i="14"/>
  <c r="FF28" i="14"/>
  <c r="FG28" i="14"/>
  <c r="FH28" i="14"/>
  <c r="FI28" i="14"/>
  <c r="FJ28" i="14"/>
  <c r="FK28" i="14"/>
  <c r="FL28" i="14"/>
  <c r="FM28" i="14"/>
  <c r="FN28" i="14"/>
  <c r="FO28" i="14"/>
  <c r="FP28" i="14"/>
  <c r="FQ28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BQ29" i="14"/>
  <c r="BR29" i="14"/>
  <c r="BS29" i="14"/>
  <c r="BT29" i="14"/>
  <c r="BU29" i="14"/>
  <c r="BV29" i="14"/>
  <c r="BW29" i="14"/>
  <c r="BX29" i="14"/>
  <c r="BY29" i="14"/>
  <c r="BZ29" i="14"/>
  <c r="CA29" i="14"/>
  <c r="CB29" i="14"/>
  <c r="CC29" i="14"/>
  <c r="CD29" i="14"/>
  <c r="CE29" i="14"/>
  <c r="CF29" i="14"/>
  <c r="CG29" i="14"/>
  <c r="CH29" i="14"/>
  <c r="CI29" i="14"/>
  <c r="CJ29" i="14"/>
  <c r="CK29" i="14"/>
  <c r="CL29" i="14"/>
  <c r="CM29" i="14"/>
  <c r="CN29" i="14"/>
  <c r="CO29" i="14"/>
  <c r="CP29" i="14"/>
  <c r="CQ29" i="14"/>
  <c r="CR29" i="14"/>
  <c r="CS29" i="14"/>
  <c r="CT29" i="14"/>
  <c r="CU29" i="14"/>
  <c r="CV29" i="14"/>
  <c r="CW29" i="14"/>
  <c r="CX29" i="14"/>
  <c r="CY29" i="14"/>
  <c r="CZ29" i="14"/>
  <c r="DA29" i="14"/>
  <c r="DB29" i="14"/>
  <c r="DC29" i="14"/>
  <c r="DD29" i="14"/>
  <c r="DE29" i="14"/>
  <c r="DF29" i="14"/>
  <c r="DG29" i="14"/>
  <c r="DH29" i="14"/>
  <c r="DI29" i="14"/>
  <c r="DJ29" i="14"/>
  <c r="DK29" i="14"/>
  <c r="DL29" i="14"/>
  <c r="DM29" i="14"/>
  <c r="DN29" i="14"/>
  <c r="DO29" i="14"/>
  <c r="DP29" i="14"/>
  <c r="DQ29" i="14"/>
  <c r="DR29" i="14"/>
  <c r="DS29" i="14"/>
  <c r="DT29" i="14"/>
  <c r="DU29" i="14"/>
  <c r="DV29" i="14"/>
  <c r="DW29" i="14"/>
  <c r="DX29" i="14"/>
  <c r="DY29" i="14"/>
  <c r="DZ29" i="14"/>
  <c r="EA29" i="14"/>
  <c r="EB29" i="14"/>
  <c r="EC29" i="14"/>
  <c r="ED29" i="14"/>
  <c r="EE29" i="14"/>
  <c r="EF29" i="14"/>
  <c r="EG29" i="14"/>
  <c r="EH29" i="14"/>
  <c r="EI29" i="14"/>
  <c r="EJ29" i="14"/>
  <c r="EK29" i="14"/>
  <c r="EL29" i="14"/>
  <c r="EM29" i="14"/>
  <c r="EN29" i="14"/>
  <c r="EO29" i="14"/>
  <c r="EP29" i="14"/>
  <c r="EQ29" i="14"/>
  <c r="ER29" i="14"/>
  <c r="ES29" i="14"/>
  <c r="ET29" i="14"/>
  <c r="EU29" i="14"/>
  <c r="EV29" i="14"/>
  <c r="EW29" i="14"/>
  <c r="EX29" i="14"/>
  <c r="EY29" i="14"/>
  <c r="EZ29" i="14"/>
  <c r="FA29" i="14"/>
  <c r="FB29" i="14"/>
  <c r="FC29" i="14"/>
  <c r="FD29" i="14"/>
  <c r="FE29" i="14"/>
  <c r="FF29" i="14"/>
  <c r="FG29" i="14"/>
  <c r="FH29" i="14"/>
  <c r="FI29" i="14"/>
  <c r="FJ29" i="14"/>
  <c r="FK29" i="14"/>
  <c r="FL29" i="14"/>
  <c r="FM29" i="14"/>
  <c r="FN29" i="14"/>
  <c r="FO29" i="14"/>
  <c r="FP29" i="14"/>
  <c r="FQ29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CN30" i="14"/>
  <c r="CO30" i="14"/>
  <c r="CP30" i="14"/>
  <c r="CQ30" i="14"/>
  <c r="CR30" i="14"/>
  <c r="CS30" i="14"/>
  <c r="CT30" i="14"/>
  <c r="CU30" i="14"/>
  <c r="CV30" i="14"/>
  <c r="CW30" i="14"/>
  <c r="CX30" i="14"/>
  <c r="CY30" i="14"/>
  <c r="CZ30" i="14"/>
  <c r="DA30" i="14"/>
  <c r="DB30" i="14"/>
  <c r="DC30" i="14"/>
  <c r="DD30" i="14"/>
  <c r="DE30" i="14"/>
  <c r="DF30" i="14"/>
  <c r="DG30" i="14"/>
  <c r="DH30" i="14"/>
  <c r="DI30" i="14"/>
  <c r="DJ30" i="14"/>
  <c r="DK30" i="14"/>
  <c r="DL30" i="14"/>
  <c r="DM30" i="14"/>
  <c r="DN30" i="14"/>
  <c r="DO30" i="14"/>
  <c r="DP30" i="14"/>
  <c r="DQ30" i="14"/>
  <c r="DR30" i="14"/>
  <c r="DS30" i="14"/>
  <c r="DT30" i="14"/>
  <c r="DU30" i="14"/>
  <c r="DV30" i="14"/>
  <c r="DW30" i="14"/>
  <c r="DX30" i="14"/>
  <c r="DY30" i="14"/>
  <c r="DZ30" i="14"/>
  <c r="EA30" i="14"/>
  <c r="EB30" i="14"/>
  <c r="EC30" i="14"/>
  <c r="ED30" i="14"/>
  <c r="EE30" i="14"/>
  <c r="EF30" i="14"/>
  <c r="EG30" i="14"/>
  <c r="EH30" i="14"/>
  <c r="EI30" i="14"/>
  <c r="EJ30" i="14"/>
  <c r="EK30" i="14"/>
  <c r="EL30" i="14"/>
  <c r="EM30" i="14"/>
  <c r="EN30" i="14"/>
  <c r="EO30" i="14"/>
  <c r="EP30" i="14"/>
  <c r="EQ30" i="14"/>
  <c r="ER30" i="14"/>
  <c r="ES30" i="14"/>
  <c r="ET30" i="14"/>
  <c r="EU30" i="14"/>
  <c r="EV30" i="14"/>
  <c r="EW30" i="14"/>
  <c r="EX30" i="14"/>
  <c r="EY30" i="14"/>
  <c r="EZ30" i="14"/>
  <c r="FA30" i="14"/>
  <c r="FB30" i="14"/>
  <c r="FC30" i="14"/>
  <c r="FD30" i="14"/>
  <c r="FE30" i="14"/>
  <c r="FF30" i="14"/>
  <c r="FG30" i="14"/>
  <c r="FH30" i="14"/>
  <c r="FI30" i="14"/>
  <c r="FJ30" i="14"/>
  <c r="FK30" i="14"/>
  <c r="FL30" i="14"/>
  <c r="FM30" i="14"/>
  <c r="FN30" i="14"/>
  <c r="FO30" i="14"/>
  <c r="FP30" i="14"/>
  <c r="FQ30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N31" i="14"/>
  <c r="CO31" i="14"/>
  <c r="CP31" i="14"/>
  <c r="CQ31" i="14"/>
  <c r="CR31" i="14"/>
  <c r="CS31" i="14"/>
  <c r="CT31" i="14"/>
  <c r="CU31" i="14"/>
  <c r="CV31" i="14"/>
  <c r="CW31" i="14"/>
  <c r="CX31" i="14"/>
  <c r="CY31" i="14"/>
  <c r="CZ31" i="14"/>
  <c r="DA31" i="14"/>
  <c r="DB31" i="14"/>
  <c r="DC31" i="14"/>
  <c r="DD31" i="14"/>
  <c r="DE31" i="14"/>
  <c r="DF31" i="14"/>
  <c r="DG31" i="14"/>
  <c r="DH31" i="14"/>
  <c r="DI31" i="14"/>
  <c r="DJ31" i="14"/>
  <c r="DK31" i="14"/>
  <c r="DL31" i="14"/>
  <c r="DM31" i="14"/>
  <c r="DN31" i="14"/>
  <c r="DO31" i="14"/>
  <c r="DP31" i="14"/>
  <c r="DQ31" i="14"/>
  <c r="DR31" i="14"/>
  <c r="DS31" i="14"/>
  <c r="DT31" i="14"/>
  <c r="DU31" i="14"/>
  <c r="DV31" i="14"/>
  <c r="DW31" i="14"/>
  <c r="DX31" i="14"/>
  <c r="DY31" i="14"/>
  <c r="DZ31" i="14"/>
  <c r="EA31" i="14"/>
  <c r="EB31" i="14"/>
  <c r="EC31" i="14"/>
  <c r="ED31" i="14"/>
  <c r="EE31" i="14"/>
  <c r="EF31" i="14"/>
  <c r="EG31" i="14"/>
  <c r="EH31" i="14"/>
  <c r="EI31" i="14"/>
  <c r="EJ31" i="14"/>
  <c r="EK31" i="14"/>
  <c r="EL31" i="14"/>
  <c r="EM31" i="14"/>
  <c r="EN31" i="14"/>
  <c r="EO31" i="14"/>
  <c r="EP31" i="14"/>
  <c r="EQ31" i="14"/>
  <c r="ER31" i="14"/>
  <c r="ES31" i="14"/>
  <c r="ET31" i="14"/>
  <c r="EU31" i="14"/>
  <c r="EV31" i="14"/>
  <c r="EW31" i="14"/>
  <c r="EX31" i="14"/>
  <c r="EY31" i="14"/>
  <c r="EZ31" i="14"/>
  <c r="FA31" i="14"/>
  <c r="FB31" i="14"/>
  <c r="FC31" i="14"/>
  <c r="FD31" i="14"/>
  <c r="FE31" i="14"/>
  <c r="FF31" i="14"/>
  <c r="FG31" i="14"/>
  <c r="FH31" i="14"/>
  <c r="FI31" i="14"/>
  <c r="FJ31" i="14"/>
  <c r="FK31" i="14"/>
  <c r="FL31" i="14"/>
  <c r="FM31" i="14"/>
  <c r="FN31" i="14"/>
  <c r="FO31" i="14"/>
  <c r="FP31" i="14"/>
  <c r="FQ31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CO32" i="14"/>
  <c r="CP32" i="14"/>
  <c r="CQ32" i="14"/>
  <c r="CR32" i="14"/>
  <c r="CS32" i="14"/>
  <c r="CT32" i="14"/>
  <c r="CU32" i="14"/>
  <c r="CV32" i="14"/>
  <c r="CW32" i="14"/>
  <c r="CX32" i="14"/>
  <c r="CY32" i="14"/>
  <c r="CZ32" i="14"/>
  <c r="DA32" i="14"/>
  <c r="DB32" i="14"/>
  <c r="DC32" i="14"/>
  <c r="DD32" i="14"/>
  <c r="DE32" i="14"/>
  <c r="DF32" i="14"/>
  <c r="DG32" i="14"/>
  <c r="DH32" i="14"/>
  <c r="DI32" i="14"/>
  <c r="DJ32" i="14"/>
  <c r="DK32" i="14"/>
  <c r="DL32" i="14"/>
  <c r="DM32" i="14"/>
  <c r="DN32" i="14"/>
  <c r="DO32" i="14"/>
  <c r="DP32" i="14"/>
  <c r="DQ32" i="14"/>
  <c r="DR32" i="14"/>
  <c r="DS32" i="14"/>
  <c r="DT32" i="14"/>
  <c r="DU32" i="14"/>
  <c r="DV32" i="14"/>
  <c r="DW32" i="14"/>
  <c r="DX32" i="14"/>
  <c r="DY32" i="14"/>
  <c r="DZ32" i="14"/>
  <c r="EA32" i="14"/>
  <c r="EB32" i="14"/>
  <c r="EC32" i="14"/>
  <c r="ED32" i="14"/>
  <c r="EE32" i="14"/>
  <c r="EF32" i="14"/>
  <c r="EG32" i="14"/>
  <c r="EH32" i="14"/>
  <c r="EI32" i="14"/>
  <c r="EJ32" i="14"/>
  <c r="EK32" i="14"/>
  <c r="EL32" i="14"/>
  <c r="EM32" i="14"/>
  <c r="EN32" i="14"/>
  <c r="EO32" i="14"/>
  <c r="EP32" i="14"/>
  <c r="EQ32" i="14"/>
  <c r="ER32" i="14"/>
  <c r="ES32" i="14"/>
  <c r="ET32" i="14"/>
  <c r="EU32" i="14"/>
  <c r="EV32" i="14"/>
  <c r="EW32" i="14"/>
  <c r="EX32" i="14"/>
  <c r="EY32" i="14"/>
  <c r="EZ32" i="14"/>
  <c r="FA32" i="14"/>
  <c r="FB32" i="14"/>
  <c r="FC32" i="14"/>
  <c r="FD32" i="14"/>
  <c r="FE32" i="14"/>
  <c r="FF32" i="14"/>
  <c r="FG32" i="14"/>
  <c r="FH32" i="14"/>
  <c r="FI32" i="14"/>
  <c r="FJ32" i="14"/>
  <c r="FK32" i="14"/>
  <c r="FL32" i="14"/>
  <c r="FM32" i="14"/>
  <c r="FN32" i="14"/>
  <c r="FO32" i="14"/>
  <c r="FP32" i="14"/>
  <c r="FQ32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BQ33" i="14"/>
  <c r="BR33" i="14"/>
  <c r="BS33" i="14"/>
  <c r="BT33" i="14"/>
  <c r="BU33" i="14"/>
  <c r="BV33" i="14"/>
  <c r="BW33" i="14"/>
  <c r="BX33" i="14"/>
  <c r="BY33" i="14"/>
  <c r="BZ33" i="14"/>
  <c r="CA33" i="14"/>
  <c r="CB33" i="14"/>
  <c r="CC33" i="14"/>
  <c r="CD33" i="14"/>
  <c r="CE33" i="14"/>
  <c r="CF33" i="14"/>
  <c r="CG33" i="14"/>
  <c r="CH33" i="14"/>
  <c r="CI33" i="14"/>
  <c r="CJ33" i="14"/>
  <c r="CK33" i="14"/>
  <c r="CL33" i="14"/>
  <c r="CM33" i="14"/>
  <c r="CN33" i="14"/>
  <c r="CO33" i="14"/>
  <c r="CP33" i="14"/>
  <c r="CQ33" i="14"/>
  <c r="CR33" i="14"/>
  <c r="CS33" i="14"/>
  <c r="CT33" i="14"/>
  <c r="CU33" i="14"/>
  <c r="CV33" i="14"/>
  <c r="CW33" i="14"/>
  <c r="CX33" i="14"/>
  <c r="CY33" i="14"/>
  <c r="CZ33" i="14"/>
  <c r="DA33" i="14"/>
  <c r="DB33" i="14"/>
  <c r="DC33" i="14"/>
  <c r="DD33" i="14"/>
  <c r="DE33" i="14"/>
  <c r="DF33" i="14"/>
  <c r="DG33" i="14"/>
  <c r="DH33" i="14"/>
  <c r="DI33" i="14"/>
  <c r="DJ33" i="14"/>
  <c r="DK33" i="14"/>
  <c r="DL33" i="14"/>
  <c r="DM33" i="14"/>
  <c r="DN33" i="14"/>
  <c r="DO33" i="14"/>
  <c r="DP33" i="14"/>
  <c r="DQ33" i="14"/>
  <c r="DR33" i="14"/>
  <c r="DS33" i="14"/>
  <c r="DT33" i="14"/>
  <c r="DU33" i="14"/>
  <c r="DV33" i="14"/>
  <c r="DW33" i="14"/>
  <c r="DX33" i="14"/>
  <c r="DY33" i="14"/>
  <c r="DZ33" i="14"/>
  <c r="EA33" i="14"/>
  <c r="EB33" i="14"/>
  <c r="EC33" i="14"/>
  <c r="ED33" i="14"/>
  <c r="EE33" i="14"/>
  <c r="EF33" i="14"/>
  <c r="EG33" i="14"/>
  <c r="EH33" i="14"/>
  <c r="EI33" i="14"/>
  <c r="EJ33" i="14"/>
  <c r="EK33" i="14"/>
  <c r="EL33" i="14"/>
  <c r="EM33" i="14"/>
  <c r="EN33" i="14"/>
  <c r="EO33" i="14"/>
  <c r="EP33" i="14"/>
  <c r="EQ33" i="14"/>
  <c r="ER33" i="14"/>
  <c r="ES33" i="14"/>
  <c r="ET33" i="14"/>
  <c r="EU33" i="14"/>
  <c r="EV33" i="14"/>
  <c r="EW33" i="14"/>
  <c r="EX33" i="14"/>
  <c r="EY33" i="14"/>
  <c r="EZ33" i="14"/>
  <c r="FA33" i="14"/>
  <c r="FB33" i="14"/>
  <c r="FC33" i="14"/>
  <c r="FD33" i="14"/>
  <c r="FE33" i="14"/>
  <c r="FF33" i="14"/>
  <c r="FG33" i="14"/>
  <c r="FH33" i="14"/>
  <c r="FI33" i="14"/>
  <c r="FJ33" i="14"/>
  <c r="FK33" i="14"/>
  <c r="FL33" i="14"/>
  <c r="FM33" i="14"/>
  <c r="FN33" i="14"/>
  <c r="FO33" i="14"/>
  <c r="FP33" i="14"/>
  <c r="FQ33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BS34" i="14"/>
  <c r="BT34" i="14"/>
  <c r="BU34" i="14"/>
  <c r="BV34" i="14"/>
  <c r="BW34" i="14"/>
  <c r="BX34" i="14"/>
  <c r="BY34" i="14"/>
  <c r="BZ34" i="14"/>
  <c r="CA34" i="14"/>
  <c r="CB34" i="14"/>
  <c r="CC34" i="14"/>
  <c r="CD34" i="14"/>
  <c r="CE34" i="14"/>
  <c r="CF34" i="14"/>
  <c r="CG34" i="14"/>
  <c r="CH34" i="14"/>
  <c r="CI34" i="14"/>
  <c r="CJ34" i="14"/>
  <c r="CK34" i="14"/>
  <c r="CL34" i="14"/>
  <c r="CM34" i="14"/>
  <c r="CN34" i="14"/>
  <c r="CO34" i="14"/>
  <c r="CP34" i="14"/>
  <c r="CQ34" i="14"/>
  <c r="CR34" i="14"/>
  <c r="CS34" i="14"/>
  <c r="CT34" i="14"/>
  <c r="CU34" i="14"/>
  <c r="CV34" i="14"/>
  <c r="CW34" i="14"/>
  <c r="CX34" i="14"/>
  <c r="CY34" i="14"/>
  <c r="CZ34" i="14"/>
  <c r="DA34" i="14"/>
  <c r="DB34" i="14"/>
  <c r="DC34" i="14"/>
  <c r="DD34" i="14"/>
  <c r="DE34" i="14"/>
  <c r="DF34" i="14"/>
  <c r="DG34" i="14"/>
  <c r="DH34" i="14"/>
  <c r="DI34" i="14"/>
  <c r="DJ34" i="14"/>
  <c r="DK34" i="14"/>
  <c r="DL34" i="14"/>
  <c r="DM34" i="14"/>
  <c r="DN34" i="14"/>
  <c r="DO34" i="14"/>
  <c r="DP34" i="14"/>
  <c r="DQ34" i="14"/>
  <c r="DR34" i="14"/>
  <c r="DS34" i="14"/>
  <c r="DT34" i="14"/>
  <c r="DU34" i="14"/>
  <c r="DV34" i="14"/>
  <c r="DW34" i="14"/>
  <c r="DX34" i="14"/>
  <c r="DY34" i="14"/>
  <c r="DZ34" i="14"/>
  <c r="EA34" i="14"/>
  <c r="EB34" i="14"/>
  <c r="EC34" i="14"/>
  <c r="ED34" i="14"/>
  <c r="EE34" i="14"/>
  <c r="EF34" i="14"/>
  <c r="EG34" i="14"/>
  <c r="EH34" i="14"/>
  <c r="EI34" i="14"/>
  <c r="EJ34" i="14"/>
  <c r="EK34" i="14"/>
  <c r="EL34" i="14"/>
  <c r="EM34" i="14"/>
  <c r="EN34" i="14"/>
  <c r="EO34" i="14"/>
  <c r="EP34" i="14"/>
  <c r="EQ34" i="14"/>
  <c r="ER34" i="14"/>
  <c r="ES34" i="14"/>
  <c r="ET34" i="14"/>
  <c r="EU34" i="14"/>
  <c r="EV34" i="14"/>
  <c r="EW34" i="14"/>
  <c r="EX34" i="14"/>
  <c r="EY34" i="14"/>
  <c r="EZ34" i="14"/>
  <c r="FA34" i="14"/>
  <c r="FB34" i="14"/>
  <c r="FC34" i="14"/>
  <c r="FD34" i="14"/>
  <c r="FE34" i="14"/>
  <c r="FF34" i="14"/>
  <c r="FG34" i="14"/>
  <c r="FH34" i="14"/>
  <c r="FI34" i="14"/>
  <c r="FJ34" i="14"/>
  <c r="FK34" i="14"/>
  <c r="FL34" i="14"/>
  <c r="FM34" i="14"/>
  <c r="FN34" i="14"/>
  <c r="FO34" i="14"/>
  <c r="FP34" i="14"/>
  <c r="FQ34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BS35" i="14"/>
  <c r="BT35" i="14"/>
  <c r="BU35" i="14"/>
  <c r="BV35" i="14"/>
  <c r="BW35" i="14"/>
  <c r="BX35" i="14"/>
  <c r="BY35" i="14"/>
  <c r="BZ35" i="14"/>
  <c r="CA35" i="14"/>
  <c r="CB35" i="14"/>
  <c r="CC35" i="14"/>
  <c r="CD35" i="14"/>
  <c r="CE35" i="14"/>
  <c r="CF35" i="14"/>
  <c r="CG35" i="14"/>
  <c r="CH35" i="14"/>
  <c r="CI35" i="14"/>
  <c r="CJ35" i="14"/>
  <c r="CK35" i="14"/>
  <c r="CL35" i="14"/>
  <c r="CM35" i="14"/>
  <c r="CN35" i="14"/>
  <c r="CO35" i="14"/>
  <c r="CP35" i="14"/>
  <c r="CQ35" i="14"/>
  <c r="CR35" i="14"/>
  <c r="CS35" i="14"/>
  <c r="CT35" i="14"/>
  <c r="CU35" i="14"/>
  <c r="CV35" i="14"/>
  <c r="CW35" i="14"/>
  <c r="CX35" i="14"/>
  <c r="CY35" i="14"/>
  <c r="CZ35" i="14"/>
  <c r="DA35" i="14"/>
  <c r="DB35" i="14"/>
  <c r="DC35" i="14"/>
  <c r="DD35" i="14"/>
  <c r="DE35" i="14"/>
  <c r="DF35" i="14"/>
  <c r="DG35" i="14"/>
  <c r="DH35" i="14"/>
  <c r="DI35" i="14"/>
  <c r="DJ35" i="14"/>
  <c r="DK35" i="14"/>
  <c r="DL35" i="14"/>
  <c r="DM35" i="14"/>
  <c r="DN35" i="14"/>
  <c r="DO35" i="14"/>
  <c r="DP35" i="14"/>
  <c r="DQ35" i="14"/>
  <c r="DR35" i="14"/>
  <c r="DS35" i="14"/>
  <c r="DT35" i="14"/>
  <c r="DU35" i="14"/>
  <c r="DV35" i="14"/>
  <c r="DW35" i="14"/>
  <c r="DX35" i="14"/>
  <c r="DY35" i="14"/>
  <c r="DZ35" i="14"/>
  <c r="EA35" i="14"/>
  <c r="EB35" i="14"/>
  <c r="EC35" i="14"/>
  <c r="ED35" i="14"/>
  <c r="EE35" i="14"/>
  <c r="EF35" i="14"/>
  <c r="EG35" i="14"/>
  <c r="EH35" i="14"/>
  <c r="EI35" i="14"/>
  <c r="EJ35" i="14"/>
  <c r="EK35" i="14"/>
  <c r="EL35" i="14"/>
  <c r="EM35" i="14"/>
  <c r="EN35" i="14"/>
  <c r="EO35" i="14"/>
  <c r="EP35" i="14"/>
  <c r="EQ35" i="14"/>
  <c r="ER35" i="14"/>
  <c r="ES35" i="14"/>
  <c r="ET35" i="14"/>
  <c r="EU35" i="14"/>
  <c r="EV35" i="14"/>
  <c r="EW35" i="14"/>
  <c r="EX35" i="14"/>
  <c r="EY35" i="14"/>
  <c r="EZ35" i="14"/>
  <c r="FA35" i="14"/>
  <c r="FB35" i="14"/>
  <c r="FC35" i="14"/>
  <c r="FD35" i="14"/>
  <c r="FE35" i="14"/>
  <c r="FF35" i="14"/>
  <c r="FG35" i="14"/>
  <c r="FH35" i="14"/>
  <c r="FI35" i="14"/>
  <c r="FJ35" i="14"/>
  <c r="FK35" i="14"/>
  <c r="FL35" i="14"/>
  <c r="FM35" i="14"/>
  <c r="FN35" i="14"/>
  <c r="FO35" i="14"/>
  <c r="FP35" i="14"/>
  <c r="FQ35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DA36" i="14"/>
  <c r="DB36" i="14"/>
  <c r="DC36" i="14"/>
  <c r="DD36" i="14"/>
  <c r="DE36" i="14"/>
  <c r="DF36" i="14"/>
  <c r="DG36" i="14"/>
  <c r="DH36" i="14"/>
  <c r="DI36" i="14"/>
  <c r="DJ36" i="14"/>
  <c r="DK36" i="14"/>
  <c r="DL36" i="14"/>
  <c r="DM36" i="14"/>
  <c r="DN36" i="14"/>
  <c r="DO36" i="14"/>
  <c r="DP36" i="14"/>
  <c r="DQ36" i="14"/>
  <c r="DR36" i="14"/>
  <c r="DS36" i="14"/>
  <c r="DT36" i="14"/>
  <c r="DU36" i="14"/>
  <c r="DV36" i="14"/>
  <c r="DW36" i="14"/>
  <c r="DX36" i="14"/>
  <c r="DY36" i="14"/>
  <c r="DZ36" i="14"/>
  <c r="EA36" i="14"/>
  <c r="EB36" i="14"/>
  <c r="EC36" i="14"/>
  <c r="ED36" i="14"/>
  <c r="EE36" i="14"/>
  <c r="EF36" i="14"/>
  <c r="EG36" i="14"/>
  <c r="EH36" i="14"/>
  <c r="EI36" i="14"/>
  <c r="EJ36" i="14"/>
  <c r="EK36" i="14"/>
  <c r="EL36" i="14"/>
  <c r="EM36" i="14"/>
  <c r="EN36" i="14"/>
  <c r="EO36" i="14"/>
  <c r="EP36" i="14"/>
  <c r="EQ36" i="14"/>
  <c r="ER36" i="14"/>
  <c r="ES36" i="14"/>
  <c r="ET36" i="14"/>
  <c r="EU36" i="14"/>
  <c r="EV36" i="14"/>
  <c r="EW36" i="14"/>
  <c r="EX36" i="14"/>
  <c r="EY36" i="14"/>
  <c r="EZ36" i="14"/>
  <c r="FA36" i="14"/>
  <c r="FB36" i="14"/>
  <c r="FC36" i="14"/>
  <c r="FD36" i="14"/>
  <c r="FE36" i="14"/>
  <c r="FF36" i="14"/>
  <c r="FG36" i="14"/>
  <c r="FH36" i="14"/>
  <c r="FI36" i="14"/>
  <c r="FJ36" i="14"/>
  <c r="FK36" i="14"/>
  <c r="FL36" i="14"/>
  <c r="FM36" i="14"/>
  <c r="FN36" i="14"/>
  <c r="FO36" i="14"/>
  <c r="FP36" i="14"/>
  <c r="FQ36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BS37" i="14"/>
  <c r="BT37" i="14"/>
  <c r="BU37" i="14"/>
  <c r="BV37" i="14"/>
  <c r="BW37" i="14"/>
  <c r="BX37" i="14"/>
  <c r="BY37" i="14"/>
  <c r="BZ37" i="14"/>
  <c r="CA37" i="14"/>
  <c r="CB37" i="14"/>
  <c r="CC37" i="14"/>
  <c r="CD37" i="14"/>
  <c r="CE37" i="14"/>
  <c r="CF37" i="14"/>
  <c r="CG37" i="14"/>
  <c r="CH37" i="14"/>
  <c r="CI37" i="14"/>
  <c r="CJ37" i="14"/>
  <c r="CK37" i="14"/>
  <c r="CL37" i="14"/>
  <c r="CM37" i="14"/>
  <c r="CN37" i="14"/>
  <c r="CO37" i="14"/>
  <c r="CP37" i="14"/>
  <c r="CQ37" i="14"/>
  <c r="CR37" i="14"/>
  <c r="CS37" i="14"/>
  <c r="CT37" i="14"/>
  <c r="CU37" i="14"/>
  <c r="CV37" i="14"/>
  <c r="CW37" i="14"/>
  <c r="CX37" i="14"/>
  <c r="CY37" i="14"/>
  <c r="CZ37" i="14"/>
  <c r="DA37" i="14"/>
  <c r="DB37" i="14"/>
  <c r="DC37" i="14"/>
  <c r="DD37" i="14"/>
  <c r="DE37" i="14"/>
  <c r="DF37" i="14"/>
  <c r="DG37" i="14"/>
  <c r="DH37" i="14"/>
  <c r="DI37" i="14"/>
  <c r="DJ37" i="14"/>
  <c r="DK37" i="14"/>
  <c r="DL37" i="14"/>
  <c r="DM37" i="14"/>
  <c r="DN37" i="14"/>
  <c r="DO37" i="14"/>
  <c r="DP37" i="14"/>
  <c r="DQ37" i="14"/>
  <c r="DR37" i="14"/>
  <c r="DS37" i="14"/>
  <c r="DT37" i="14"/>
  <c r="DU37" i="14"/>
  <c r="DV37" i="14"/>
  <c r="DW37" i="14"/>
  <c r="DX37" i="14"/>
  <c r="DY37" i="14"/>
  <c r="DZ37" i="14"/>
  <c r="EA37" i="14"/>
  <c r="EB37" i="14"/>
  <c r="EC37" i="14"/>
  <c r="ED37" i="14"/>
  <c r="EE37" i="14"/>
  <c r="EF37" i="14"/>
  <c r="EG37" i="14"/>
  <c r="EH37" i="14"/>
  <c r="EI37" i="14"/>
  <c r="EJ37" i="14"/>
  <c r="EK37" i="14"/>
  <c r="EL37" i="14"/>
  <c r="EM37" i="14"/>
  <c r="EN37" i="14"/>
  <c r="EO37" i="14"/>
  <c r="EP37" i="14"/>
  <c r="EQ37" i="14"/>
  <c r="ER37" i="14"/>
  <c r="ES37" i="14"/>
  <c r="ET37" i="14"/>
  <c r="EU37" i="14"/>
  <c r="EV37" i="14"/>
  <c r="EW37" i="14"/>
  <c r="EX37" i="14"/>
  <c r="EY37" i="14"/>
  <c r="EZ37" i="14"/>
  <c r="FA37" i="14"/>
  <c r="FB37" i="14"/>
  <c r="FC37" i="14"/>
  <c r="FD37" i="14"/>
  <c r="FE37" i="14"/>
  <c r="FF37" i="14"/>
  <c r="FG37" i="14"/>
  <c r="FH37" i="14"/>
  <c r="FI37" i="14"/>
  <c r="FJ37" i="14"/>
  <c r="FK37" i="14"/>
  <c r="FL37" i="14"/>
  <c r="FM37" i="14"/>
  <c r="FN37" i="14"/>
  <c r="FO37" i="14"/>
  <c r="FP37" i="14"/>
  <c r="FQ37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BS39" i="14"/>
  <c r="BT39" i="14"/>
  <c r="BU39" i="14"/>
  <c r="BV39" i="14"/>
  <c r="BW39" i="14"/>
  <c r="BX39" i="14"/>
  <c r="BY39" i="14"/>
  <c r="BZ39" i="14"/>
  <c r="CA39" i="14"/>
  <c r="CB39" i="14"/>
  <c r="CC39" i="14"/>
  <c r="CD39" i="14"/>
  <c r="CE39" i="14"/>
  <c r="CF39" i="14"/>
  <c r="CG39" i="14"/>
  <c r="CH39" i="14"/>
  <c r="CI39" i="14"/>
  <c r="CJ39" i="14"/>
  <c r="CK39" i="14"/>
  <c r="CL39" i="14"/>
  <c r="CM39" i="14"/>
  <c r="CN39" i="14"/>
  <c r="CO39" i="14"/>
  <c r="CP39" i="14"/>
  <c r="CQ39" i="14"/>
  <c r="CR39" i="14"/>
  <c r="CS39" i="14"/>
  <c r="CT39" i="14"/>
  <c r="CU39" i="14"/>
  <c r="CV39" i="14"/>
  <c r="CW39" i="14"/>
  <c r="CX39" i="14"/>
  <c r="CY39" i="14"/>
  <c r="CZ39" i="14"/>
  <c r="DA39" i="14"/>
  <c r="DB39" i="14"/>
  <c r="DC39" i="14"/>
  <c r="DD39" i="14"/>
  <c r="DE39" i="14"/>
  <c r="DF39" i="14"/>
  <c r="DG39" i="14"/>
  <c r="DH39" i="14"/>
  <c r="DI39" i="14"/>
  <c r="DJ39" i="14"/>
  <c r="DK39" i="14"/>
  <c r="DL39" i="14"/>
  <c r="DM39" i="14"/>
  <c r="DN39" i="14"/>
  <c r="DO39" i="14"/>
  <c r="DP39" i="14"/>
  <c r="DQ39" i="14"/>
  <c r="DR39" i="14"/>
  <c r="DS39" i="14"/>
  <c r="DT39" i="14"/>
  <c r="DU39" i="14"/>
  <c r="DV39" i="14"/>
  <c r="DW39" i="14"/>
  <c r="DX39" i="14"/>
  <c r="DY39" i="14"/>
  <c r="DZ39" i="14"/>
  <c r="EA39" i="14"/>
  <c r="EB39" i="14"/>
  <c r="EC39" i="14"/>
  <c r="ED39" i="14"/>
  <c r="EE39" i="14"/>
  <c r="EF39" i="14"/>
  <c r="EG39" i="14"/>
  <c r="EH39" i="14"/>
  <c r="EI39" i="14"/>
  <c r="EJ39" i="14"/>
  <c r="EK39" i="14"/>
  <c r="EL39" i="14"/>
  <c r="EM39" i="14"/>
  <c r="EN39" i="14"/>
  <c r="EO39" i="14"/>
  <c r="EP39" i="14"/>
  <c r="EQ39" i="14"/>
  <c r="ER39" i="14"/>
  <c r="ES39" i="14"/>
  <c r="ET39" i="14"/>
  <c r="EU39" i="14"/>
  <c r="EV39" i="14"/>
  <c r="EW39" i="14"/>
  <c r="EX39" i="14"/>
  <c r="EY39" i="14"/>
  <c r="EZ39" i="14"/>
  <c r="FA39" i="14"/>
  <c r="FB39" i="14"/>
  <c r="FC39" i="14"/>
  <c r="FD39" i="14"/>
  <c r="FE39" i="14"/>
  <c r="FF39" i="14"/>
  <c r="FG39" i="14"/>
  <c r="FH39" i="14"/>
  <c r="FI39" i="14"/>
  <c r="FJ39" i="14"/>
  <c r="FK39" i="14"/>
  <c r="FL39" i="14"/>
  <c r="FM39" i="14"/>
  <c r="FN39" i="14"/>
  <c r="FO39" i="14"/>
  <c r="FP39" i="14"/>
  <c r="FQ39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BQ40" i="14"/>
  <c r="BR40" i="14"/>
  <c r="BS40" i="14"/>
  <c r="BT40" i="14"/>
  <c r="BU40" i="14"/>
  <c r="BV40" i="14"/>
  <c r="BW40" i="14"/>
  <c r="BX40" i="14"/>
  <c r="BY40" i="14"/>
  <c r="BZ40" i="14"/>
  <c r="CA40" i="14"/>
  <c r="CB40" i="14"/>
  <c r="CC40" i="14"/>
  <c r="CD40" i="14"/>
  <c r="CE40" i="14"/>
  <c r="CF40" i="14"/>
  <c r="CG40" i="14"/>
  <c r="CH40" i="14"/>
  <c r="CI40" i="14"/>
  <c r="CJ40" i="14"/>
  <c r="CK40" i="14"/>
  <c r="CL40" i="14"/>
  <c r="CM40" i="14"/>
  <c r="CN40" i="14"/>
  <c r="CO40" i="14"/>
  <c r="CP40" i="14"/>
  <c r="CQ40" i="14"/>
  <c r="CR40" i="14"/>
  <c r="CS40" i="14"/>
  <c r="CT40" i="14"/>
  <c r="CU40" i="14"/>
  <c r="CV40" i="14"/>
  <c r="CW40" i="14"/>
  <c r="CX40" i="14"/>
  <c r="CY40" i="14"/>
  <c r="CZ40" i="14"/>
  <c r="DA40" i="14"/>
  <c r="DB40" i="14"/>
  <c r="DC40" i="14"/>
  <c r="DD40" i="14"/>
  <c r="DE40" i="14"/>
  <c r="DF40" i="14"/>
  <c r="DG40" i="14"/>
  <c r="DH40" i="14"/>
  <c r="DI40" i="14"/>
  <c r="DJ40" i="14"/>
  <c r="DK40" i="14"/>
  <c r="DL40" i="14"/>
  <c r="DM40" i="14"/>
  <c r="DN40" i="14"/>
  <c r="DO40" i="14"/>
  <c r="DP40" i="14"/>
  <c r="DQ40" i="14"/>
  <c r="DR40" i="14"/>
  <c r="DS40" i="14"/>
  <c r="DT40" i="14"/>
  <c r="DU40" i="14"/>
  <c r="DV40" i="14"/>
  <c r="DW40" i="14"/>
  <c r="DX40" i="14"/>
  <c r="DY40" i="14"/>
  <c r="DZ40" i="14"/>
  <c r="EA40" i="14"/>
  <c r="EB40" i="14"/>
  <c r="EC40" i="14"/>
  <c r="ED40" i="14"/>
  <c r="EE40" i="14"/>
  <c r="EF40" i="14"/>
  <c r="EG40" i="14"/>
  <c r="EH40" i="14"/>
  <c r="EI40" i="14"/>
  <c r="EJ40" i="14"/>
  <c r="EK40" i="14"/>
  <c r="EL40" i="14"/>
  <c r="EM40" i="14"/>
  <c r="EN40" i="14"/>
  <c r="EO40" i="14"/>
  <c r="EP40" i="14"/>
  <c r="EQ40" i="14"/>
  <c r="ER40" i="14"/>
  <c r="ES40" i="14"/>
  <c r="ET40" i="14"/>
  <c r="EU40" i="14"/>
  <c r="EV40" i="14"/>
  <c r="EW40" i="14"/>
  <c r="EX40" i="14"/>
  <c r="EY40" i="14"/>
  <c r="EZ40" i="14"/>
  <c r="FA40" i="14"/>
  <c r="FB40" i="14"/>
  <c r="FC40" i="14"/>
  <c r="FD40" i="14"/>
  <c r="FE40" i="14"/>
  <c r="FF40" i="14"/>
  <c r="FG40" i="14"/>
  <c r="FH40" i="14"/>
  <c r="FI40" i="14"/>
  <c r="FJ40" i="14"/>
  <c r="FK40" i="14"/>
  <c r="FL40" i="14"/>
  <c r="FM40" i="14"/>
  <c r="FN40" i="14"/>
  <c r="FO40" i="14"/>
  <c r="FP40" i="14"/>
  <c r="FQ40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BQ41" i="14"/>
  <c r="BR41" i="14"/>
  <c r="BS41" i="14"/>
  <c r="BT41" i="14"/>
  <c r="BU41" i="14"/>
  <c r="BV41" i="14"/>
  <c r="BW41" i="14"/>
  <c r="BX41" i="14"/>
  <c r="BY41" i="14"/>
  <c r="BZ41" i="14"/>
  <c r="CA41" i="14"/>
  <c r="CB41" i="14"/>
  <c r="CC41" i="14"/>
  <c r="CD41" i="14"/>
  <c r="CE41" i="14"/>
  <c r="CF41" i="14"/>
  <c r="CG41" i="14"/>
  <c r="CH41" i="14"/>
  <c r="CI41" i="14"/>
  <c r="CJ41" i="14"/>
  <c r="CK41" i="14"/>
  <c r="CL41" i="14"/>
  <c r="CM41" i="14"/>
  <c r="CN41" i="14"/>
  <c r="CO41" i="14"/>
  <c r="CP41" i="14"/>
  <c r="CQ41" i="14"/>
  <c r="CR41" i="14"/>
  <c r="CS41" i="14"/>
  <c r="CT41" i="14"/>
  <c r="CU41" i="14"/>
  <c r="CV41" i="14"/>
  <c r="CW41" i="14"/>
  <c r="CX41" i="14"/>
  <c r="CY41" i="14"/>
  <c r="CZ41" i="14"/>
  <c r="DA41" i="14"/>
  <c r="DB41" i="14"/>
  <c r="DC41" i="14"/>
  <c r="DD41" i="14"/>
  <c r="DE41" i="14"/>
  <c r="DF41" i="14"/>
  <c r="DG41" i="14"/>
  <c r="DH41" i="14"/>
  <c r="DI41" i="14"/>
  <c r="DJ41" i="14"/>
  <c r="DK41" i="14"/>
  <c r="DL41" i="14"/>
  <c r="DM41" i="14"/>
  <c r="DN41" i="14"/>
  <c r="DO41" i="14"/>
  <c r="DP41" i="14"/>
  <c r="DQ41" i="14"/>
  <c r="DR41" i="14"/>
  <c r="DS41" i="14"/>
  <c r="DT41" i="14"/>
  <c r="DU41" i="14"/>
  <c r="DV41" i="14"/>
  <c r="DW41" i="14"/>
  <c r="DX41" i="14"/>
  <c r="DY41" i="14"/>
  <c r="DZ41" i="14"/>
  <c r="EA41" i="14"/>
  <c r="EB41" i="14"/>
  <c r="EC41" i="14"/>
  <c r="ED41" i="14"/>
  <c r="EE41" i="14"/>
  <c r="EF41" i="14"/>
  <c r="EG41" i="14"/>
  <c r="EH41" i="14"/>
  <c r="EI41" i="14"/>
  <c r="EJ41" i="14"/>
  <c r="EK41" i="14"/>
  <c r="EL41" i="14"/>
  <c r="EM41" i="14"/>
  <c r="EN41" i="14"/>
  <c r="EO41" i="14"/>
  <c r="EP41" i="14"/>
  <c r="EQ41" i="14"/>
  <c r="ER41" i="14"/>
  <c r="ES41" i="14"/>
  <c r="ET41" i="14"/>
  <c r="EU41" i="14"/>
  <c r="EV41" i="14"/>
  <c r="EW41" i="14"/>
  <c r="EX41" i="14"/>
  <c r="EY41" i="14"/>
  <c r="EZ41" i="14"/>
  <c r="FA41" i="14"/>
  <c r="FB41" i="14"/>
  <c r="FC41" i="14"/>
  <c r="FD41" i="14"/>
  <c r="FE41" i="14"/>
  <c r="FF41" i="14"/>
  <c r="FG41" i="14"/>
  <c r="FH41" i="14"/>
  <c r="FI41" i="14"/>
  <c r="FJ41" i="14"/>
  <c r="FK41" i="14"/>
  <c r="FL41" i="14"/>
  <c r="FM41" i="14"/>
  <c r="FN41" i="14"/>
  <c r="FO41" i="14"/>
  <c r="FP41" i="14"/>
  <c r="FQ41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O43" i="14"/>
  <c r="BP43" i="14"/>
  <c r="BQ43" i="14"/>
  <c r="BR43" i="14"/>
  <c r="BS43" i="14"/>
  <c r="BT43" i="14"/>
  <c r="BU43" i="14"/>
  <c r="BV43" i="14"/>
  <c r="BW43" i="14"/>
  <c r="BX43" i="14"/>
  <c r="BY43" i="14"/>
  <c r="BZ43" i="14"/>
  <c r="CA43" i="14"/>
  <c r="CB43" i="14"/>
  <c r="CC43" i="14"/>
  <c r="CD43" i="14"/>
  <c r="CE43" i="14"/>
  <c r="CF43" i="14"/>
  <c r="CG43" i="14"/>
  <c r="CH43" i="14"/>
  <c r="CI43" i="14"/>
  <c r="CJ43" i="14"/>
  <c r="CK43" i="14"/>
  <c r="CL43" i="14"/>
  <c r="CM43" i="14"/>
  <c r="CN43" i="14"/>
  <c r="CO43" i="14"/>
  <c r="CP43" i="14"/>
  <c r="CQ43" i="14"/>
  <c r="CR43" i="14"/>
  <c r="CS43" i="14"/>
  <c r="CT43" i="14"/>
  <c r="CU43" i="14"/>
  <c r="CV43" i="14"/>
  <c r="CW43" i="14"/>
  <c r="CX43" i="14"/>
  <c r="CY43" i="14"/>
  <c r="CZ43" i="14"/>
  <c r="DA43" i="14"/>
  <c r="DB43" i="14"/>
  <c r="DC43" i="14"/>
  <c r="DD43" i="14"/>
  <c r="DE43" i="14"/>
  <c r="DF43" i="14"/>
  <c r="DG43" i="14"/>
  <c r="DH43" i="14"/>
  <c r="DI43" i="14"/>
  <c r="DJ43" i="14"/>
  <c r="DK43" i="14"/>
  <c r="DL43" i="14"/>
  <c r="DM43" i="14"/>
  <c r="DN43" i="14"/>
  <c r="DO43" i="14"/>
  <c r="DP43" i="14"/>
  <c r="DQ43" i="14"/>
  <c r="DR43" i="14"/>
  <c r="DS43" i="14"/>
  <c r="DT43" i="14"/>
  <c r="DU43" i="14"/>
  <c r="DV43" i="14"/>
  <c r="DW43" i="14"/>
  <c r="DX43" i="14"/>
  <c r="DY43" i="14"/>
  <c r="DZ43" i="14"/>
  <c r="EA43" i="14"/>
  <c r="EB43" i="14"/>
  <c r="EC43" i="14"/>
  <c r="ED43" i="14"/>
  <c r="EE43" i="14"/>
  <c r="EF43" i="14"/>
  <c r="EG43" i="14"/>
  <c r="EH43" i="14"/>
  <c r="EI43" i="14"/>
  <c r="EJ43" i="14"/>
  <c r="EK43" i="14"/>
  <c r="EL43" i="14"/>
  <c r="EM43" i="14"/>
  <c r="EN43" i="14"/>
  <c r="EO43" i="14"/>
  <c r="EP43" i="14"/>
  <c r="EQ43" i="14"/>
  <c r="ER43" i="14"/>
  <c r="ES43" i="14"/>
  <c r="ET43" i="14"/>
  <c r="EU43" i="14"/>
  <c r="EV43" i="14"/>
  <c r="EW43" i="14"/>
  <c r="EX43" i="14"/>
  <c r="EY43" i="14"/>
  <c r="EZ43" i="14"/>
  <c r="FA43" i="14"/>
  <c r="FB43" i="14"/>
  <c r="FC43" i="14"/>
  <c r="FD43" i="14"/>
  <c r="FE43" i="14"/>
  <c r="FF43" i="14"/>
  <c r="FG43" i="14"/>
  <c r="FH43" i="14"/>
  <c r="FI43" i="14"/>
  <c r="FJ43" i="14"/>
  <c r="FK43" i="14"/>
  <c r="FL43" i="14"/>
  <c r="FM43" i="14"/>
  <c r="FN43" i="14"/>
  <c r="FO43" i="14"/>
  <c r="FP43" i="14"/>
  <c r="FQ43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BQ44" i="14"/>
  <c r="BR44" i="14"/>
  <c r="BS44" i="14"/>
  <c r="BT44" i="14"/>
  <c r="BU44" i="14"/>
  <c r="BV44" i="14"/>
  <c r="BW44" i="14"/>
  <c r="BX44" i="14"/>
  <c r="BY44" i="14"/>
  <c r="BZ44" i="14"/>
  <c r="CA44" i="14"/>
  <c r="CB44" i="14"/>
  <c r="CC44" i="14"/>
  <c r="CD44" i="14"/>
  <c r="CE44" i="14"/>
  <c r="CF44" i="14"/>
  <c r="CG44" i="14"/>
  <c r="CH44" i="14"/>
  <c r="CI44" i="14"/>
  <c r="CJ44" i="14"/>
  <c r="CK44" i="14"/>
  <c r="CL44" i="14"/>
  <c r="CM44" i="14"/>
  <c r="CN44" i="14"/>
  <c r="CO44" i="14"/>
  <c r="CP44" i="14"/>
  <c r="CQ44" i="14"/>
  <c r="CR44" i="14"/>
  <c r="CS44" i="14"/>
  <c r="CT44" i="14"/>
  <c r="CU44" i="14"/>
  <c r="CV44" i="14"/>
  <c r="CW44" i="14"/>
  <c r="CX44" i="14"/>
  <c r="CY44" i="14"/>
  <c r="CZ44" i="14"/>
  <c r="DA44" i="14"/>
  <c r="DB44" i="14"/>
  <c r="DC44" i="14"/>
  <c r="DD44" i="14"/>
  <c r="DE44" i="14"/>
  <c r="DF44" i="14"/>
  <c r="DG44" i="14"/>
  <c r="DH44" i="14"/>
  <c r="DI44" i="14"/>
  <c r="DJ44" i="14"/>
  <c r="DK44" i="14"/>
  <c r="DL44" i="14"/>
  <c r="DM44" i="14"/>
  <c r="DN44" i="14"/>
  <c r="DO44" i="14"/>
  <c r="DP44" i="14"/>
  <c r="DQ44" i="14"/>
  <c r="DR44" i="14"/>
  <c r="DS44" i="14"/>
  <c r="DT44" i="14"/>
  <c r="DU44" i="14"/>
  <c r="DV44" i="14"/>
  <c r="DW44" i="14"/>
  <c r="DX44" i="14"/>
  <c r="DY44" i="14"/>
  <c r="DZ44" i="14"/>
  <c r="EA44" i="14"/>
  <c r="EB44" i="14"/>
  <c r="EC44" i="14"/>
  <c r="ED44" i="14"/>
  <c r="EE44" i="14"/>
  <c r="EF44" i="14"/>
  <c r="EG44" i="14"/>
  <c r="EH44" i="14"/>
  <c r="EI44" i="14"/>
  <c r="EJ44" i="14"/>
  <c r="EK44" i="14"/>
  <c r="EL44" i="14"/>
  <c r="EM44" i="14"/>
  <c r="EN44" i="14"/>
  <c r="EO44" i="14"/>
  <c r="EP44" i="14"/>
  <c r="EQ44" i="14"/>
  <c r="ER44" i="14"/>
  <c r="ES44" i="14"/>
  <c r="ET44" i="14"/>
  <c r="EU44" i="14"/>
  <c r="EU67" i="14" s="1"/>
  <c r="EV44" i="14"/>
  <c r="EW44" i="14"/>
  <c r="EX44" i="14"/>
  <c r="EY44" i="14"/>
  <c r="EZ44" i="14"/>
  <c r="FA44" i="14"/>
  <c r="FB44" i="14"/>
  <c r="FC44" i="14"/>
  <c r="FD44" i="14"/>
  <c r="FE44" i="14"/>
  <c r="FF44" i="14"/>
  <c r="FG44" i="14"/>
  <c r="FH44" i="14"/>
  <c r="FI44" i="14"/>
  <c r="FJ44" i="14"/>
  <c r="FK44" i="14"/>
  <c r="FL44" i="14"/>
  <c r="FM44" i="14"/>
  <c r="FN44" i="14"/>
  <c r="FO44" i="14"/>
  <c r="FP44" i="14"/>
  <c r="FQ44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BO46" i="14"/>
  <c r="BP46" i="14"/>
  <c r="BQ46" i="14"/>
  <c r="BR46" i="14"/>
  <c r="BS46" i="14"/>
  <c r="BT46" i="14"/>
  <c r="BU46" i="14"/>
  <c r="BV46" i="14"/>
  <c r="BW46" i="14"/>
  <c r="BX46" i="14"/>
  <c r="BY46" i="14"/>
  <c r="BZ46" i="14"/>
  <c r="CA46" i="14"/>
  <c r="CB46" i="14"/>
  <c r="CC46" i="14"/>
  <c r="CD46" i="14"/>
  <c r="CE46" i="14"/>
  <c r="CF46" i="14"/>
  <c r="CG46" i="14"/>
  <c r="CH46" i="14"/>
  <c r="CI46" i="14"/>
  <c r="CJ46" i="14"/>
  <c r="CK46" i="14"/>
  <c r="CL46" i="14"/>
  <c r="CM46" i="14"/>
  <c r="CN46" i="14"/>
  <c r="CO46" i="14"/>
  <c r="CP46" i="14"/>
  <c r="CQ46" i="14"/>
  <c r="CR46" i="14"/>
  <c r="CS46" i="14"/>
  <c r="CT46" i="14"/>
  <c r="CU46" i="14"/>
  <c r="CV46" i="14"/>
  <c r="CW46" i="14"/>
  <c r="CX46" i="14"/>
  <c r="CY46" i="14"/>
  <c r="CZ46" i="14"/>
  <c r="DA46" i="14"/>
  <c r="DB46" i="14"/>
  <c r="DC46" i="14"/>
  <c r="DD46" i="14"/>
  <c r="DE46" i="14"/>
  <c r="DF46" i="14"/>
  <c r="DG46" i="14"/>
  <c r="DH46" i="14"/>
  <c r="DI46" i="14"/>
  <c r="DJ46" i="14"/>
  <c r="DK46" i="14"/>
  <c r="DL46" i="14"/>
  <c r="DM46" i="14"/>
  <c r="DN46" i="14"/>
  <c r="DO46" i="14"/>
  <c r="DP46" i="14"/>
  <c r="DQ46" i="14"/>
  <c r="DR46" i="14"/>
  <c r="DS46" i="14"/>
  <c r="DT46" i="14"/>
  <c r="DU46" i="14"/>
  <c r="DV46" i="14"/>
  <c r="DW46" i="14"/>
  <c r="DX46" i="14"/>
  <c r="DY46" i="14"/>
  <c r="DZ46" i="14"/>
  <c r="EA46" i="14"/>
  <c r="EB46" i="14"/>
  <c r="EC46" i="14"/>
  <c r="ED46" i="14"/>
  <c r="EE46" i="14"/>
  <c r="EF46" i="14"/>
  <c r="EG46" i="14"/>
  <c r="EH46" i="14"/>
  <c r="EI46" i="14"/>
  <c r="EJ46" i="14"/>
  <c r="EK46" i="14"/>
  <c r="EL46" i="14"/>
  <c r="EM46" i="14"/>
  <c r="EN46" i="14"/>
  <c r="EO46" i="14"/>
  <c r="EP46" i="14"/>
  <c r="EQ46" i="14"/>
  <c r="ER46" i="14"/>
  <c r="ES46" i="14"/>
  <c r="ET46" i="14"/>
  <c r="EU46" i="14"/>
  <c r="EV46" i="14"/>
  <c r="EW46" i="14"/>
  <c r="EX46" i="14"/>
  <c r="EY46" i="14"/>
  <c r="EZ46" i="14"/>
  <c r="FA46" i="14"/>
  <c r="FB46" i="14"/>
  <c r="FC46" i="14"/>
  <c r="FD46" i="14"/>
  <c r="FE46" i="14"/>
  <c r="FF46" i="14"/>
  <c r="FG46" i="14"/>
  <c r="FH46" i="14"/>
  <c r="FI46" i="14"/>
  <c r="FJ46" i="14"/>
  <c r="FK46" i="14"/>
  <c r="FL46" i="14"/>
  <c r="FM46" i="14"/>
  <c r="FN46" i="14"/>
  <c r="FO46" i="14"/>
  <c r="FP46" i="14"/>
  <c r="FQ46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BS47" i="14"/>
  <c r="BT47" i="14"/>
  <c r="BU47" i="14"/>
  <c r="BV47" i="14"/>
  <c r="BW47" i="14"/>
  <c r="BX47" i="14"/>
  <c r="BY47" i="14"/>
  <c r="BZ47" i="14"/>
  <c r="CA47" i="14"/>
  <c r="CB47" i="14"/>
  <c r="CC47" i="14"/>
  <c r="CD47" i="14"/>
  <c r="CE47" i="14"/>
  <c r="CF47" i="14"/>
  <c r="CG47" i="14"/>
  <c r="CH47" i="14"/>
  <c r="CI47" i="14"/>
  <c r="CJ47" i="14"/>
  <c r="CK47" i="14"/>
  <c r="CL47" i="14"/>
  <c r="CM47" i="14"/>
  <c r="CN47" i="14"/>
  <c r="CO47" i="14"/>
  <c r="CP47" i="14"/>
  <c r="CQ47" i="14"/>
  <c r="CR47" i="14"/>
  <c r="CS47" i="14"/>
  <c r="CT47" i="14"/>
  <c r="CU47" i="14"/>
  <c r="CV47" i="14"/>
  <c r="CW47" i="14"/>
  <c r="CX47" i="14"/>
  <c r="CY47" i="14"/>
  <c r="CZ47" i="14"/>
  <c r="DA47" i="14"/>
  <c r="DB47" i="14"/>
  <c r="DC47" i="14"/>
  <c r="DD47" i="14"/>
  <c r="DE47" i="14"/>
  <c r="DF47" i="14"/>
  <c r="DG47" i="14"/>
  <c r="DH47" i="14"/>
  <c r="DI47" i="14"/>
  <c r="DJ47" i="14"/>
  <c r="DK47" i="14"/>
  <c r="DL47" i="14"/>
  <c r="DM47" i="14"/>
  <c r="DN47" i="14"/>
  <c r="DO47" i="14"/>
  <c r="DP47" i="14"/>
  <c r="DQ47" i="14"/>
  <c r="DR47" i="14"/>
  <c r="DS47" i="14"/>
  <c r="DT47" i="14"/>
  <c r="DU47" i="14"/>
  <c r="DV47" i="14"/>
  <c r="DW47" i="14"/>
  <c r="DX47" i="14"/>
  <c r="DY47" i="14"/>
  <c r="DZ47" i="14"/>
  <c r="EA47" i="14"/>
  <c r="EB47" i="14"/>
  <c r="EC47" i="14"/>
  <c r="ED47" i="14"/>
  <c r="EE47" i="14"/>
  <c r="EF47" i="14"/>
  <c r="EG47" i="14"/>
  <c r="EH47" i="14"/>
  <c r="EI47" i="14"/>
  <c r="EJ47" i="14"/>
  <c r="EK47" i="14"/>
  <c r="EL47" i="14"/>
  <c r="EM47" i="14"/>
  <c r="EN47" i="14"/>
  <c r="EO47" i="14"/>
  <c r="EP47" i="14"/>
  <c r="EQ47" i="14"/>
  <c r="ER47" i="14"/>
  <c r="ES47" i="14"/>
  <c r="ET47" i="14"/>
  <c r="EU47" i="14"/>
  <c r="EV47" i="14"/>
  <c r="EW47" i="14"/>
  <c r="EX47" i="14"/>
  <c r="EY47" i="14"/>
  <c r="EZ47" i="14"/>
  <c r="FA47" i="14"/>
  <c r="FB47" i="14"/>
  <c r="FC47" i="14"/>
  <c r="FD47" i="14"/>
  <c r="FE47" i="14"/>
  <c r="FF47" i="14"/>
  <c r="FG47" i="14"/>
  <c r="FH47" i="14"/>
  <c r="FI47" i="14"/>
  <c r="FJ47" i="14"/>
  <c r="FK47" i="14"/>
  <c r="FL47" i="14"/>
  <c r="FM47" i="14"/>
  <c r="FN47" i="14"/>
  <c r="FO47" i="14"/>
  <c r="FP47" i="14"/>
  <c r="FQ47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L48" i="14"/>
  <c r="BM48" i="14"/>
  <c r="BN48" i="14"/>
  <c r="BO48" i="14"/>
  <c r="BP48" i="14"/>
  <c r="BQ48" i="14"/>
  <c r="BR48" i="14"/>
  <c r="BS48" i="14"/>
  <c r="BT48" i="14"/>
  <c r="BU48" i="14"/>
  <c r="BV48" i="14"/>
  <c r="BW48" i="14"/>
  <c r="BX48" i="14"/>
  <c r="BY48" i="14"/>
  <c r="BZ48" i="14"/>
  <c r="CA48" i="14"/>
  <c r="CB48" i="14"/>
  <c r="CC48" i="14"/>
  <c r="CD48" i="14"/>
  <c r="CE48" i="14"/>
  <c r="CF48" i="14"/>
  <c r="CG48" i="14"/>
  <c r="CH48" i="14"/>
  <c r="CI48" i="14"/>
  <c r="CJ48" i="14"/>
  <c r="CK48" i="14"/>
  <c r="CL48" i="14"/>
  <c r="CM48" i="14"/>
  <c r="CN48" i="14"/>
  <c r="CO48" i="14"/>
  <c r="CP48" i="14"/>
  <c r="CQ48" i="14"/>
  <c r="CR48" i="14"/>
  <c r="CS48" i="14"/>
  <c r="CT48" i="14"/>
  <c r="CU48" i="14"/>
  <c r="CV48" i="14"/>
  <c r="CW48" i="14"/>
  <c r="CX48" i="14"/>
  <c r="CY48" i="14"/>
  <c r="CZ48" i="14"/>
  <c r="DA48" i="14"/>
  <c r="DB48" i="14"/>
  <c r="DC48" i="14"/>
  <c r="DD48" i="14"/>
  <c r="DE48" i="14"/>
  <c r="DF48" i="14"/>
  <c r="DG48" i="14"/>
  <c r="DH48" i="14"/>
  <c r="DI48" i="14"/>
  <c r="DJ48" i="14"/>
  <c r="DK48" i="14"/>
  <c r="DL48" i="14"/>
  <c r="DM48" i="14"/>
  <c r="DN48" i="14"/>
  <c r="DO48" i="14"/>
  <c r="DP48" i="14"/>
  <c r="DQ48" i="14"/>
  <c r="DR48" i="14"/>
  <c r="DS48" i="14"/>
  <c r="DT48" i="14"/>
  <c r="DU48" i="14"/>
  <c r="DV48" i="14"/>
  <c r="DW48" i="14"/>
  <c r="DX48" i="14"/>
  <c r="DY48" i="14"/>
  <c r="DZ48" i="14"/>
  <c r="EA48" i="14"/>
  <c r="EB48" i="14"/>
  <c r="EC48" i="14"/>
  <c r="ED48" i="14"/>
  <c r="EE48" i="14"/>
  <c r="EF48" i="14"/>
  <c r="EG48" i="14"/>
  <c r="EH48" i="14"/>
  <c r="EI48" i="14"/>
  <c r="EJ48" i="14"/>
  <c r="EK48" i="14"/>
  <c r="EL48" i="14"/>
  <c r="EM48" i="14"/>
  <c r="EN48" i="14"/>
  <c r="EO48" i="14"/>
  <c r="EP48" i="14"/>
  <c r="EQ48" i="14"/>
  <c r="ER48" i="14"/>
  <c r="ES48" i="14"/>
  <c r="ET48" i="14"/>
  <c r="EU48" i="14"/>
  <c r="EV48" i="14"/>
  <c r="EW48" i="14"/>
  <c r="EX48" i="14"/>
  <c r="EY48" i="14"/>
  <c r="EZ48" i="14"/>
  <c r="FA48" i="14"/>
  <c r="FB48" i="14"/>
  <c r="FC48" i="14"/>
  <c r="FD48" i="14"/>
  <c r="FE48" i="14"/>
  <c r="FF48" i="14"/>
  <c r="FG48" i="14"/>
  <c r="FH48" i="14"/>
  <c r="FI48" i="14"/>
  <c r="FJ48" i="14"/>
  <c r="FK48" i="14"/>
  <c r="FL48" i="14"/>
  <c r="FM48" i="14"/>
  <c r="FN48" i="14"/>
  <c r="FO48" i="14"/>
  <c r="FP48" i="14"/>
  <c r="FQ48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Y49" i="14"/>
  <c r="AZ49" i="14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O49" i="14"/>
  <c r="BP49" i="14"/>
  <c r="BQ49" i="14"/>
  <c r="BR49" i="14"/>
  <c r="BS49" i="14"/>
  <c r="BT49" i="14"/>
  <c r="BU49" i="14"/>
  <c r="BV49" i="14"/>
  <c r="BW49" i="14"/>
  <c r="BX49" i="14"/>
  <c r="BY49" i="14"/>
  <c r="BZ49" i="14"/>
  <c r="CA49" i="14"/>
  <c r="CB49" i="14"/>
  <c r="CC49" i="14"/>
  <c r="CD49" i="14"/>
  <c r="CE49" i="14"/>
  <c r="CF49" i="14"/>
  <c r="CG49" i="14"/>
  <c r="CH49" i="14"/>
  <c r="CI49" i="14"/>
  <c r="CJ49" i="14"/>
  <c r="CK49" i="14"/>
  <c r="CL49" i="14"/>
  <c r="CM49" i="14"/>
  <c r="CN49" i="14"/>
  <c r="CO49" i="14"/>
  <c r="CP49" i="14"/>
  <c r="CQ49" i="14"/>
  <c r="CR49" i="14"/>
  <c r="CS49" i="14"/>
  <c r="CT49" i="14"/>
  <c r="CU49" i="14"/>
  <c r="CV49" i="14"/>
  <c r="CW49" i="14"/>
  <c r="CX49" i="14"/>
  <c r="CY49" i="14"/>
  <c r="CZ49" i="14"/>
  <c r="DA49" i="14"/>
  <c r="DB49" i="14"/>
  <c r="DC49" i="14"/>
  <c r="DD49" i="14"/>
  <c r="DE49" i="14"/>
  <c r="DF49" i="14"/>
  <c r="DG49" i="14"/>
  <c r="DH49" i="14"/>
  <c r="DI49" i="14"/>
  <c r="DJ49" i="14"/>
  <c r="DK49" i="14"/>
  <c r="DL49" i="14"/>
  <c r="DM49" i="14"/>
  <c r="DN49" i="14"/>
  <c r="DO49" i="14"/>
  <c r="DP49" i="14"/>
  <c r="DQ49" i="14"/>
  <c r="DR49" i="14"/>
  <c r="DS49" i="14"/>
  <c r="DT49" i="14"/>
  <c r="DU49" i="14"/>
  <c r="DV49" i="14"/>
  <c r="DW49" i="14"/>
  <c r="DX49" i="14"/>
  <c r="DY49" i="14"/>
  <c r="DZ49" i="14"/>
  <c r="EA49" i="14"/>
  <c r="EB49" i="14"/>
  <c r="EC49" i="14"/>
  <c r="ED49" i="14"/>
  <c r="EE49" i="14"/>
  <c r="EF49" i="14"/>
  <c r="EG49" i="14"/>
  <c r="EH49" i="14"/>
  <c r="EI49" i="14"/>
  <c r="EJ49" i="14"/>
  <c r="EK49" i="14"/>
  <c r="EL49" i="14"/>
  <c r="EM49" i="14"/>
  <c r="EN49" i="14"/>
  <c r="EO49" i="14"/>
  <c r="EP49" i="14"/>
  <c r="EQ49" i="14"/>
  <c r="ER49" i="14"/>
  <c r="ES49" i="14"/>
  <c r="ET49" i="14"/>
  <c r="EU49" i="14"/>
  <c r="EV49" i="14"/>
  <c r="EW49" i="14"/>
  <c r="EX49" i="14"/>
  <c r="EY49" i="14"/>
  <c r="EZ49" i="14"/>
  <c r="FA49" i="14"/>
  <c r="FB49" i="14"/>
  <c r="FC49" i="14"/>
  <c r="FD49" i="14"/>
  <c r="FE49" i="14"/>
  <c r="FF49" i="14"/>
  <c r="FG49" i="14"/>
  <c r="FH49" i="14"/>
  <c r="FI49" i="14"/>
  <c r="FJ49" i="14"/>
  <c r="FK49" i="14"/>
  <c r="FL49" i="14"/>
  <c r="FM49" i="14"/>
  <c r="FN49" i="14"/>
  <c r="FO49" i="14"/>
  <c r="FP49" i="14"/>
  <c r="FQ49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L50" i="14"/>
  <c r="BM50" i="14"/>
  <c r="BN50" i="14"/>
  <c r="BO50" i="14"/>
  <c r="BP50" i="14"/>
  <c r="BQ50" i="14"/>
  <c r="BR50" i="14"/>
  <c r="BS50" i="14"/>
  <c r="BT50" i="14"/>
  <c r="BU50" i="14"/>
  <c r="BV50" i="14"/>
  <c r="BW50" i="14"/>
  <c r="BX50" i="14"/>
  <c r="BY50" i="14"/>
  <c r="BZ50" i="14"/>
  <c r="CA50" i="14"/>
  <c r="CB50" i="14"/>
  <c r="CC50" i="14"/>
  <c r="CD50" i="14"/>
  <c r="CE50" i="14"/>
  <c r="CF50" i="14"/>
  <c r="CG50" i="14"/>
  <c r="CH50" i="14"/>
  <c r="CI50" i="14"/>
  <c r="CJ50" i="14"/>
  <c r="CK50" i="14"/>
  <c r="CL50" i="14"/>
  <c r="CM50" i="14"/>
  <c r="CN50" i="14"/>
  <c r="CO50" i="14"/>
  <c r="CP50" i="14"/>
  <c r="CQ50" i="14"/>
  <c r="CR50" i="14"/>
  <c r="CS50" i="14"/>
  <c r="CT50" i="14"/>
  <c r="CU50" i="14"/>
  <c r="CV50" i="14"/>
  <c r="CW50" i="14"/>
  <c r="CX50" i="14"/>
  <c r="CY50" i="14"/>
  <c r="CZ50" i="14"/>
  <c r="DA50" i="14"/>
  <c r="DB50" i="14"/>
  <c r="DC50" i="14"/>
  <c r="DD50" i="14"/>
  <c r="DE50" i="14"/>
  <c r="DF50" i="14"/>
  <c r="DG50" i="14"/>
  <c r="DH50" i="14"/>
  <c r="DI50" i="14"/>
  <c r="DJ50" i="14"/>
  <c r="DK50" i="14"/>
  <c r="DL50" i="14"/>
  <c r="DM50" i="14"/>
  <c r="DN50" i="14"/>
  <c r="DO50" i="14"/>
  <c r="DP50" i="14"/>
  <c r="DQ50" i="14"/>
  <c r="DR50" i="14"/>
  <c r="DS50" i="14"/>
  <c r="DT50" i="14"/>
  <c r="DU50" i="14"/>
  <c r="DV50" i="14"/>
  <c r="DW50" i="14"/>
  <c r="DX50" i="14"/>
  <c r="DY50" i="14"/>
  <c r="DZ50" i="14"/>
  <c r="EA50" i="14"/>
  <c r="EB50" i="14"/>
  <c r="EC50" i="14"/>
  <c r="ED50" i="14"/>
  <c r="EE50" i="14"/>
  <c r="EF50" i="14"/>
  <c r="EG50" i="14"/>
  <c r="EH50" i="14"/>
  <c r="EI50" i="14"/>
  <c r="EJ50" i="14"/>
  <c r="EK50" i="14"/>
  <c r="EL50" i="14"/>
  <c r="EM50" i="14"/>
  <c r="EN50" i="14"/>
  <c r="EO50" i="14"/>
  <c r="EP50" i="14"/>
  <c r="EQ50" i="14"/>
  <c r="ER50" i="14"/>
  <c r="ES50" i="14"/>
  <c r="ET50" i="14"/>
  <c r="EU50" i="14"/>
  <c r="EV50" i="14"/>
  <c r="EW50" i="14"/>
  <c r="EX50" i="14"/>
  <c r="EY50" i="14"/>
  <c r="EZ50" i="14"/>
  <c r="FA50" i="14"/>
  <c r="FB50" i="14"/>
  <c r="FC50" i="14"/>
  <c r="FD50" i="14"/>
  <c r="FE50" i="14"/>
  <c r="FF50" i="14"/>
  <c r="FG50" i="14"/>
  <c r="FH50" i="14"/>
  <c r="FI50" i="14"/>
  <c r="FJ50" i="14"/>
  <c r="FK50" i="14"/>
  <c r="FL50" i="14"/>
  <c r="FM50" i="14"/>
  <c r="FN50" i="14"/>
  <c r="FO50" i="14"/>
  <c r="FP50" i="14"/>
  <c r="FQ50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L52" i="14"/>
  <c r="BM52" i="14"/>
  <c r="BN52" i="14"/>
  <c r="BO52" i="14"/>
  <c r="BP52" i="14"/>
  <c r="BQ52" i="14"/>
  <c r="BR52" i="14"/>
  <c r="BS52" i="14"/>
  <c r="BT52" i="14"/>
  <c r="BU52" i="14"/>
  <c r="BV52" i="14"/>
  <c r="BW52" i="14"/>
  <c r="BX52" i="14"/>
  <c r="BY52" i="14"/>
  <c r="BZ52" i="14"/>
  <c r="CA52" i="14"/>
  <c r="CB52" i="14"/>
  <c r="CC52" i="14"/>
  <c r="CD52" i="14"/>
  <c r="CE52" i="14"/>
  <c r="CF52" i="14"/>
  <c r="CG52" i="14"/>
  <c r="CH52" i="14"/>
  <c r="CI52" i="14"/>
  <c r="CJ52" i="14"/>
  <c r="CK52" i="14"/>
  <c r="CL52" i="14"/>
  <c r="CM52" i="14"/>
  <c r="CN52" i="14"/>
  <c r="CO52" i="14"/>
  <c r="CP52" i="14"/>
  <c r="CQ52" i="14"/>
  <c r="CR52" i="14"/>
  <c r="CS52" i="14"/>
  <c r="CT52" i="14"/>
  <c r="CU52" i="14"/>
  <c r="CV52" i="14"/>
  <c r="CW52" i="14"/>
  <c r="CX52" i="14"/>
  <c r="CY52" i="14"/>
  <c r="CZ52" i="14"/>
  <c r="DA52" i="14"/>
  <c r="DB52" i="14"/>
  <c r="DC52" i="14"/>
  <c r="DD52" i="14"/>
  <c r="DE52" i="14"/>
  <c r="DF52" i="14"/>
  <c r="DG52" i="14"/>
  <c r="DH52" i="14"/>
  <c r="DI52" i="14"/>
  <c r="DJ52" i="14"/>
  <c r="DK52" i="14"/>
  <c r="DL52" i="14"/>
  <c r="DM52" i="14"/>
  <c r="DN52" i="14"/>
  <c r="DO52" i="14"/>
  <c r="DP52" i="14"/>
  <c r="DQ52" i="14"/>
  <c r="DR52" i="14"/>
  <c r="DS52" i="14"/>
  <c r="DT52" i="14"/>
  <c r="DU52" i="14"/>
  <c r="DV52" i="14"/>
  <c r="DW52" i="14"/>
  <c r="DX52" i="14"/>
  <c r="DY52" i="14"/>
  <c r="DZ52" i="14"/>
  <c r="EA52" i="14"/>
  <c r="EB52" i="14"/>
  <c r="EC52" i="14"/>
  <c r="ED52" i="14"/>
  <c r="EE52" i="14"/>
  <c r="EF52" i="14"/>
  <c r="EG52" i="14"/>
  <c r="EH52" i="14"/>
  <c r="EI52" i="14"/>
  <c r="EJ52" i="14"/>
  <c r="EK52" i="14"/>
  <c r="EL52" i="14"/>
  <c r="EM52" i="14"/>
  <c r="EN52" i="14"/>
  <c r="EO52" i="14"/>
  <c r="EP52" i="14"/>
  <c r="EQ52" i="14"/>
  <c r="ER52" i="14"/>
  <c r="ES52" i="14"/>
  <c r="ET52" i="14"/>
  <c r="EU52" i="14"/>
  <c r="EV52" i="14"/>
  <c r="EW52" i="14"/>
  <c r="EX52" i="14"/>
  <c r="EY52" i="14"/>
  <c r="EZ52" i="14"/>
  <c r="FA52" i="14"/>
  <c r="FB52" i="14"/>
  <c r="FC52" i="14"/>
  <c r="FD52" i="14"/>
  <c r="FE52" i="14"/>
  <c r="FF52" i="14"/>
  <c r="FG52" i="14"/>
  <c r="FH52" i="14"/>
  <c r="FI52" i="14"/>
  <c r="FJ52" i="14"/>
  <c r="FK52" i="14"/>
  <c r="FL52" i="14"/>
  <c r="FM52" i="14"/>
  <c r="FN52" i="14"/>
  <c r="FO52" i="14"/>
  <c r="FP52" i="14"/>
  <c r="FQ52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O53" i="14"/>
  <c r="BP53" i="14"/>
  <c r="BQ53" i="14"/>
  <c r="BR53" i="14"/>
  <c r="BS53" i="14"/>
  <c r="BT53" i="14"/>
  <c r="BU53" i="14"/>
  <c r="BV53" i="14"/>
  <c r="BW53" i="14"/>
  <c r="BX53" i="14"/>
  <c r="BY53" i="14"/>
  <c r="BZ53" i="14"/>
  <c r="CA53" i="14"/>
  <c r="CB53" i="14"/>
  <c r="CC53" i="14"/>
  <c r="CD53" i="14"/>
  <c r="CE53" i="14"/>
  <c r="CF53" i="14"/>
  <c r="CG53" i="14"/>
  <c r="CH53" i="14"/>
  <c r="CI53" i="14"/>
  <c r="CJ53" i="14"/>
  <c r="CK53" i="14"/>
  <c r="CL53" i="14"/>
  <c r="CM53" i="14"/>
  <c r="CN53" i="14"/>
  <c r="CO53" i="14"/>
  <c r="CP53" i="14"/>
  <c r="CQ53" i="14"/>
  <c r="CR53" i="14"/>
  <c r="CS53" i="14"/>
  <c r="CT53" i="14"/>
  <c r="CU53" i="14"/>
  <c r="CV53" i="14"/>
  <c r="CW53" i="14"/>
  <c r="CX53" i="14"/>
  <c r="CY53" i="14"/>
  <c r="CZ53" i="14"/>
  <c r="DA53" i="14"/>
  <c r="DB53" i="14"/>
  <c r="DC53" i="14"/>
  <c r="DD53" i="14"/>
  <c r="DE53" i="14"/>
  <c r="DF53" i="14"/>
  <c r="DG53" i="14"/>
  <c r="DH53" i="14"/>
  <c r="DI53" i="14"/>
  <c r="DJ53" i="14"/>
  <c r="DK53" i="14"/>
  <c r="DL53" i="14"/>
  <c r="DM53" i="14"/>
  <c r="DN53" i="14"/>
  <c r="DO53" i="14"/>
  <c r="DP53" i="14"/>
  <c r="DQ53" i="14"/>
  <c r="DR53" i="14"/>
  <c r="DS53" i="14"/>
  <c r="DT53" i="14"/>
  <c r="DU53" i="14"/>
  <c r="DV53" i="14"/>
  <c r="DW53" i="14"/>
  <c r="DX53" i="14"/>
  <c r="DY53" i="14"/>
  <c r="DZ53" i="14"/>
  <c r="EA53" i="14"/>
  <c r="EB53" i="14"/>
  <c r="EC53" i="14"/>
  <c r="ED53" i="14"/>
  <c r="EE53" i="14"/>
  <c r="EF53" i="14"/>
  <c r="EG53" i="14"/>
  <c r="EH53" i="14"/>
  <c r="EI53" i="14"/>
  <c r="EJ53" i="14"/>
  <c r="EK53" i="14"/>
  <c r="EL53" i="14"/>
  <c r="EM53" i="14"/>
  <c r="EN53" i="14"/>
  <c r="EO53" i="14"/>
  <c r="EP53" i="14"/>
  <c r="EQ53" i="14"/>
  <c r="ER53" i="14"/>
  <c r="ES53" i="14"/>
  <c r="ET53" i="14"/>
  <c r="EU53" i="14"/>
  <c r="EV53" i="14"/>
  <c r="EW53" i="14"/>
  <c r="EX53" i="14"/>
  <c r="EY53" i="14"/>
  <c r="EZ53" i="14"/>
  <c r="FA53" i="14"/>
  <c r="FB53" i="14"/>
  <c r="FC53" i="14"/>
  <c r="FD53" i="14"/>
  <c r="FE53" i="14"/>
  <c r="FF53" i="14"/>
  <c r="FG53" i="14"/>
  <c r="FH53" i="14"/>
  <c r="FI53" i="14"/>
  <c r="FJ53" i="14"/>
  <c r="FK53" i="14"/>
  <c r="FL53" i="14"/>
  <c r="FM53" i="14"/>
  <c r="FN53" i="14"/>
  <c r="FO53" i="14"/>
  <c r="FP53" i="14"/>
  <c r="FQ53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BN54" i="14"/>
  <c r="BO54" i="14"/>
  <c r="BP54" i="14"/>
  <c r="BQ54" i="14"/>
  <c r="BR54" i="14"/>
  <c r="BS54" i="14"/>
  <c r="BT54" i="14"/>
  <c r="BU54" i="14"/>
  <c r="BV54" i="14"/>
  <c r="BW54" i="14"/>
  <c r="BX54" i="14"/>
  <c r="BY54" i="14"/>
  <c r="BZ54" i="14"/>
  <c r="CA54" i="14"/>
  <c r="CB54" i="14"/>
  <c r="CC54" i="14"/>
  <c r="CD54" i="14"/>
  <c r="CE54" i="14"/>
  <c r="CF54" i="14"/>
  <c r="CG54" i="14"/>
  <c r="CH54" i="14"/>
  <c r="CI54" i="14"/>
  <c r="CJ54" i="14"/>
  <c r="CK54" i="14"/>
  <c r="CL54" i="14"/>
  <c r="CM54" i="14"/>
  <c r="CN54" i="14"/>
  <c r="CO54" i="14"/>
  <c r="CP54" i="14"/>
  <c r="CQ54" i="14"/>
  <c r="CR54" i="14"/>
  <c r="CS54" i="14"/>
  <c r="CT54" i="14"/>
  <c r="CU54" i="14"/>
  <c r="CV54" i="14"/>
  <c r="CW54" i="14"/>
  <c r="CX54" i="14"/>
  <c r="CY54" i="14"/>
  <c r="CZ54" i="14"/>
  <c r="DA54" i="14"/>
  <c r="DB54" i="14"/>
  <c r="DC54" i="14"/>
  <c r="DD54" i="14"/>
  <c r="DE54" i="14"/>
  <c r="DF54" i="14"/>
  <c r="DG54" i="14"/>
  <c r="DH54" i="14"/>
  <c r="DI54" i="14"/>
  <c r="DJ54" i="14"/>
  <c r="DK54" i="14"/>
  <c r="DL54" i="14"/>
  <c r="DM54" i="14"/>
  <c r="DN54" i="14"/>
  <c r="DO54" i="14"/>
  <c r="DP54" i="14"/>
  <c r="DQ54" i="14"/>
  <c r="DR54" i="14"/>
  <c r="DS54" i="14"/>
  <c r="DT54" i="14"/>
  <c r="DU54" i="14"/>
  <c r="DV54" i="14"/>
  <c r="DW54" i="14"/>
  <c r="DX54" i="14"/>
  <c r="DY54" i="14"/>
  <c r="DZ54" i="14"/>
  <c r="EA54" i="14"/>
  <c r="EB54" i="14"/>
  <c r="EC54" i="14"/>
  <c r="ED54" i="14"/>
  <c r="EE54" i="14"/>
  <c r="EF54" i="14"/>
  <c r="EG54" i="14"/>
  <c r="EH54" i="14"/>
  <c r="EI54" i="14"/>
  <c r="EJ54" i="14"/>
  <c r="EK54" i="14"/>
  <c r="EL54" i="14"/>
  <c r="EM54" i="14"/>
  <c r="EN54" i="14"/>
  <c r="EO54" i="14"/>
  <c r="EP54" i="14"/>
  <c r="EQ54" i="14"/>
  <c r="ER54" i="14"/>
  <c r="ES54" i="14"/>
  <c r="ET54" i="14"/>
  <c r="EU54" i="14"/>
  <c r="EV54" i="14"/>
  <c r="EW54" i="14"/>
  <c r="EX54" i="14"/>
  <c r="EY54" i="14"/>
  <c r="EZ54" i="14"/>
  <c r="FA54" i="14"/>
  <c r="FB54" i="14"/>
  <c r="FC54" i="14"/>
  <c r="FD54" i="14"/>
  <c r="FE54" i="14"/>
  <c r="FF54" i="14"/>
  <c r="FG54" i="14"/>
  <c r="FH54" i="14"/>
  <c r="FI54" i="14"/>
  <c r="FJ54" i="14"/>
  <c r="FK54" i="14"/>
  <c r="FL54" i="14"/>
  <c r="FM54" i="14"/>
  <c r="FN54" i="14"/>
  <c r="FO54" i="14"/>
  <c r="FP54" i="14"/>
  <c r="FQ54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O55" i="14"/>
  <c r="BP55" i="14"/>
  <c r="BQ55" i="14"/>
  <c r="BR55" i="14"/>
  <c r="BS55" i="14"/>
  <c r="BT55" i="14"/>
  <c r="BU55" i="14"/>
  <c r="BV55" i="14"/>
  <c r="BW55" i="14"/>
  <c r="BX55" i="14"/>
  <c r="BY55" i="14"/>
  <c r="BZ55" i="14"/>
  <c r="CA55" i="14"/>
  <c r="CB55" i="14"/>
  <c r="CC55" i="14"/>
  <c r="CD55" i="14"/>
  <c r="CE55" i="14"/>
  <c r="CF55" i="14"/>
  <c r="CG55" i="14"/>
  <c r="CH55" i="14"/>
  <c r="CI55" i="14"/>
  <c r="CJ55" i="14"/>
  <c r="CK55" i="14"/>
  <c r="CL55" i="14"/>
  <c r="CM55" i="14"/>
  <c r="CN55" i="14"/>
  <c r="CO55" i="14"/>
  <c r="CP55" i="14"/>
  <c r="CQ55" i="14"/>
  <c r="CR55" i="14"/>
  <c r="CS55" i="14"/>
  <c r="CT55" i="14"/>
  <c r="CU55" i="14"/>
  <c r="CV55" i="14"/>
  <c r="CW55" i="14"/>
  <c r="CX55" i="14"/>
  <c r="CY55" i="14"/>
  <c r="CZ55" i="14"/>
  <c r="DA55" i="14"/>
  <c r="DB55" i="14"/>
  <c r="DC55" i="14"/>
  <c r="DD55" i="14"/>
  <c r="DE55" i="14"/>
  <c r="DF55" i="14"/>
  <c r="DG55" i="14"/>
  <c r="DH55" i="14"/>
  <c r="DI55" i="14"/>
  <c r="DJ55" i="14"/>
  <c r="DK55" i="14"/>
  <c r="DL55" i="14"/>
  <c r="DM55" i="14"/>
  <c r="DN55" i="14"/>
  <c r="DO55" i="14"/>
  <c r="DP55" i="14"/>
  <c r="DQ55" i="14"/>
  <c r="DR55" i="14"/>
  <c r="DS55" i="14"/>
  <c r="DT55" i="14"/>
  <c r="DU55" i="14"/>
  <c r="DV55" i="14"/>
  <c r="DW55" i="14"/>
  <c r="DX55" i="14"/>
  <c r="DY55" i="14"/>
  <c r="DZ55" i="14"/>
  <c r="EA55" i="14"/>
  <c r="EB55" i="14"/>
  <c r="EC55" i="14"/>
  <c r="ED55" i="14"/>
  <c r="EE55" i="14"/>
  <c r="EF55" i="14"/>
  <c r="EG55" i="14"/>
  <c r="EH55" i="14"/>
  <c r="EI55" i="14"/>
  <c r="EJ55" i="14"/>
  <c r="EK55" i="14"/>
  <c r="EL55" i="14"/>
  <c r="EM55" i="14"/>
  <c r="EN55" i="14"/>
  <c r="EO55" i="14"/>
  <c r="EP55" i="14"/>
  <c r="EQ55" i="14"/>
  <c r="ER55" i="14"/>
  <c r="ES55" i="14"/>
  <c r="ET55" i="14"/>
  <c r="EU55" i="14"/>
  <c r="EV55" i="14"/>
  <c r="EW55" i="14"/>
  <c r="EX55" i="14"/>
  <c r="EY55" i="14"/>
  <c r="EZ55" i="14"/>
  <c r="FA55" i="14"/>
  <c r="FB55" i="14"/>
  <c r="FC55" i="14"/>
  <c r="FD55" i="14"/>
  <c r="FE55" i="14"/>
  <c r="FF55" i="14"/>
  <c r="FG55" i="14"/>
  <c r="FH55" i="14"/>
  <c r="FI55" i="14"/>
  <c r="FJ55" i="14"/>
  <c r="FK55" i="14"/>
  <c r="FL55" i="14"/>
  <c r="FM55" i="14"/>
  <c r="FN55" i="14"/>
  <c r="FO55" i="14"/>
  <c r="FP55" i="14"/>
  <c r="FQ55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L56" i="14"/>
  <c r="BM56" i="14"/>
  <c r="BN56" i="14"/>
  <c r="BO56" i="14"/>
  <c r="BP56" i="14"/>
  <c r="BQ56" i="14"/>
  <c r="BR56" i="14"/>
  <c r="BS56" i="14"/>
  <c r="BT56" i="14"/>
  <c r="BU56" i="14"/>
  <c r="BV56" i="14"/>
  <c r="BW56" i="14"/>
  <c r="BX56" i="14"/>
  <c r="BY56" i="14"/>
  <c r="BZ56" i="14"/>
  <c r="CA56" i="14"/>
  <c r="CB56" i="14"/>
  <c r="CC56" i="14"/>
  <c r="CD56" i="14"/>
  <c r="CE56" i="14"/>
  <c r="CF56" i="14"/>
  <c r="CG56" i="14"/>
  <c r="CH56" i="14"/>
  <c r="CI56" i="14"/>
  <c r="CJ56" i="14"/>
  <c r="CK56" i="14"/>
  <c r="CL56" i="14"/>
  <c r="CM56" i="14"/>
  <c r="CN56" i="14"/>
  <c r="CO56" i="14"/>
  <c r="CP56" i="14"/>
  <c r="CQ56" i="14"/>
  <c r="CR56" i="14"/>
  <c r="CS56" i="14"/>
  <c r="CT56" i="14"/>
  <c r="CU56" i="14"/>
  <c r="CV56" i="14"/>
  <c r="CW56" i="14"/>
  <c r="CX56" i="14"/>
  <c r="CY56" i="14"/>
  <c r="CZ56" i="14"/>
  <c r="DA56" i="14"/>
  <c r="DB56" i="14"/>
  <c r="DC56" i="14"/>
  <c r="DD56" i="14"/>
  <c r="DE56" i="14"/>
  <c r="DF56" i="14"/>
  <c r="DG56" i="14"/>
  <c r="DH56" i="14"/>
  <c r="DI56" i="14"/>
  <c r="DJ56" i="14"/>
  <c r="DK56" i="14"/>
  <c r="DL56" i="14"/>
  <c r="DM56" i="14"/>
  <c r="DN56" i="14"/>
  <c r="DO56" i="14"/>
  <c r="DP56" i="14"/>
  <c r="DQ56" i="14"/>
  <c r="DR56" i="14"/>
  <c r="DS56" i="14"/>
  <c r="DT56" i="14"/>
  <c r="DU56" i="14"/>
  <c r="DV56" i="14"/>
  <c r="DW56" i="14"/>
  <c r="DX56" i="14"/>
  <c r="DY56" i="14"/>
  <c r="DZ56" i="14"/>
  <c r="EA56" i="14"/>
  <c r="EB56" i="14"/>
  <c r="EC56" i="14"/>
  <c r="ED56" i="14"/>
  <c r="EE56" i="14"/>
  <c r="EF56" i="14"/>
  <c r="EG56" i="14"/>
  <c r="EH56" i="14"/>
  <c r="EI56" i="14"/>
  <c r="EJ56" i="14"/>
  <c r="EK56" i="14"/>
  <c r="EL56" i="14"/>
  <c r="EM56" i="14"/>
  <c r="EN56" i="14"/>
  <c r="EO56" i="14"/>
  <c r="EP56" i="14"/>
  <c r="EQ56" i="14"/>
  <c r="ER56" i="14"/>
  <c r="ES56" i="14"/>
  <c r="ET56" i="14"/>
  <c r="EU56" i="14"/>
  <c r="EV56" i="14"/>
  <c r="EW56" i="14"/>
  <c r="EX56" i="14"/>
  <c r="EY56" i="14"/>
  <c r="EZ56" i="14"/>
  <c r="FA56" i="14"/>
  <c r="FB56" i="14"/>
  <c r="FC56" i="14"/>
  <c r="FD56" i="14"/>
  <c r="FE56" i="14"/>
  <c r="FF56" i="14"/>
  <c r="FG56" i="14"/>
  <c r="FH56" i="14"/>
  <c r="FI56" i="14"/>
  <c r="FJ56" i="14"/>
  <c r="FK56" i="14"/>
  <c r="FL56" i="14"/>
  <c r="FM56" i="14"/>
  <c r="FN56" i="14"/>
  <c r="FO56" i="14"/>
  <c r="FP56" i="14"/>
  <c r="FQ56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L57" i="14"/>
  <c r="BM57" i="14"/>
  <c r="BN57" i="14"/>
  <c r="BO57" i="14"/>
  <c r="BP57" i="14"/>
  <c r="BQ57" i="14"/>
  <c r="BR57" i="14"/>
  <c r="BS57" i="14"/>
  <c r="BT57" i="14"/>
  <c r="BU57" i="14"/>
  <c r="BV57" i="14"/>
  <c r="BW57" i="14"/>
  <c r="BX57" i="14"/>
  <c r="BY57" i="14"/>
  <c r="BZ57" i="14"/>
  <c r="CA57" i="14"/>
  <c r="CB57" i="14"/>
  <c r="CC57" i="14"/>
  <c r="CD57" i="14"/>
  <c r="CE57" i="14"/>
  <c r="CF57" i="14"/>
  <c r="CG57" i="14"/>
  <c r="CH57" i="14"/>
  <c r="CI57" i="14"/>
  <c r="CJ57" i="14"/>
  <c r="CK57" i="14"/>
  <c r="CL57" i="14"/>
  <c r="CM57" i="14"/>
  <c r="CN57" i="14"/>
  <c r="CO57" i="14"/>
  <c r="CP57" i="14"/>
  <c r="CQ57" i="14"/>
  <c r="CR57" i="14"/>
  <c r="CS57" i="14"/>
  <c r="CT57" i="14"/>
  <c r="CU57" i="14"/>
  <c r="CV57" i="14"/>
  <c r="CW57" i="14"/>
  <c r="CX57" i="14"/>
  <c r="CY57" i="14"/>
  <c r="CZ57" i="14"/>
  <c r="DA57" i="14"/>
  <c r="DB57" i="14"/>
  <c r="DC57" i="14"/>
  <c r="DD57" i="14"/>
  <c r="DE57" i="14"/>
  <c r="DF57" i="14"/>
  <c r="DG57" i="14"/>
  <c r="DH57" i="14"/>
  <c r="DI57" i="14"/>
  <c r="DJ57" i="14"/>
  <c r="DK57" i="14"/>
  <c r="DL57" i="14"/>
  <c r="DM57" i="14"/>
  <c r="DN57" i="14"/>
  <c r="DO57" i="14"/>
  <c r="DP57" i="14"/>
  <c r="DQ57" i="14"/>
  <c r="DR57" i="14"/>
  <c r="DS57" i="14"/>
  <c r="DT57" i="14"/>
  <c r="DU57" i="14"/>
  <c r="DV57" i="14"/>
  <c r="DW57" i="14"/>
  <c r="DX57" i="14"/>
  <c r="DY57" i="14"/>
  <c r="DZ57" i="14"/>
  <c r="EA57" i="14"/>
  <c r="EB57" i="14"/>
  <c r="EC57" i="14"/>
  <c r="ED57" i="14"/>
  <c r="EE57" i="14"/>
  <c r="EF57" i="14"/>
  <c r="EG57" i="14"/>
  <c r="EH57" i="14"/>
  <c r="EI57" i="14"/>
  <c r="EJ57" i="14"/>
  <c r="EK57" i="14"/>
  <c r="EL57" i="14"/>
  <c r="EM57" i="14"/>
  <c r="EN57" i="14"/>
  <c r="EO57" i="14"/>
  <c r="EP57" i="14"/>
  <c r="EQ57" i="14"/>
  <c r="ER57" i="14"/>
  <c r="ES57" i="14"/>
  <c r="ET57" i="14"/>
  <c r="EU57" i="14"/>
  <c r="EV57" i="14"/>
  <c r="EW57" i="14"/>
  <c r="EX57" i="14"/>
  <c r="EY57" i="14"/>
  <c r="EZ57" i="14"/>
  <c r="FA57" i="14"/>
  <c r="FB57" i="14"/>
  <c r="FC57" i="14"/>
  <c r="FD57" i="14"/>
  <c r="FE57" i="14"/>
  <c r="FF57" i="14"/>
  <c r="FG57" i="14"/>
  <c r="FH57" i="14"/>
  <c r="FI57" i="14"/>
  <c r="FJ57" i="14"/>
  <c r="FK57" i="14"/>
  <c r="FL57" i="14"/>
  <c r="FM57" i="14"/>
  <c r="FN57" i="14"/>
  <c r="FO57" i="14"/>
  <c r="FP57" i="14"/>
  <c r="FQ57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O58" i="14"/>
  <c r="BP58" i="14"/>
  <c r="BQ58" i="14"/>
  <c r="BR58" i="14"/>
  <c r="BS58" i="14"/>
  <c r="BT58" i="14"/>
  <c r="BU58" i="14"/>
  <c r="BV58" i="14"/>
  <c r="BW58" i="14"/>
  <c r="BX58" i="14"/>
  <c r="BY58" i="14"/>
  <c r="BZ58" i="14"/>
  <c r="CA58" i="14"/>
  <c r="CB58" i="14"/>
  <c r="CC58" i="14"/>
  <c r="CD58" i="14"/>
  <c r="CE58" i="14"/>
  <c r="CF58" i="14"/>
  <c r="CG58" i="14"/>
  <c r="CH58" i="14"/>
  <c r="CI58" i="14"/>
  <c r="CJ58" i="14"/>
  <c r="CK58" i="14"/>
  <c r="CL58" i="14"/>
  <c r="CM58" i="14"/>
  <c r="CN58" i="14"/>
  <c r="CO58" i="14"/>
  <c r="CP58" i="14"/>
  <c r="CQ58" i="14"/>
  <c r="CR58" i="14"/>
  <c r="CS58" i="14"/>
  <c r="CT58" i="14"/>
  <c r="CU58" i="14"/>
  <c r="CV58" i="14"/>
  <c r="CW58" i="14"/>
  <c r="CX58" i="14"/>
  <c r="CY58" i="14"/>
  <c r="CZ58" i="14"/>
  <c r="DA58" i="14"/>
  <c r="DB58" i="14"/>
  <c r="DC58" i="14"/>
  <c r="DD58" i="14"/>
  <c r="DE58" i="14"/>
  <c r="DF58" i="14"/>
  <c r="DG58" i="14"/>
  <c r="DH58" i="14"/>
  <c r="DI58" i="14"/>
  <c r="DJ58" i="14"/>
  <c r="DK58" i="14"/>
  <c r="DL58" i="14"/>
  <c r="DM58" i="14"/>
  <c r="DN58" i="14"/>
  <c r="DO58" i="14"/>
  <c r="DP58" i="14"/>
  <c r="DQ58" i="14"/>
  <c r="DR58" i="14"/>
  <c r="DS58" i="14"/>
  <c r="DT58" i="14"/>
  <c r="DU58" i="14"/>
  <c r="DV58" i="14"/>
  <c r="DW58" i="14"/>
  <c r="DX58" i="14"/>
  <c r="DY58" i="14"/>
  <c r="DZ58" i="14"/>
  <c r="EA58" i="14"/>
  <c r="EB58" i="14"/>
  <c r="EC58" i="14"/>
  <c r="ED58" i="14"/>
  <c r="EE58" i="14"/>
  <c r="EF58" i="14"/>
  <c r="EG58" i="14"/>
  <c r="EH58" i="14"/>
  <c r="EI58" i="14"/>
  <c r="EJ58" i="14"/>
  <c r="EK58" i="14"/>
  <c r="EL58" i="14"/>
  <c r="EM58" i="14"/>
  <c r="EN58" i="14"/>
  <c r="EO58" i="14"/>
  <c r="EP58" i="14"/>
  <c r="EQ58" i="14"/>
  <c r="ER58" i="14"/>
  <c r="ES58" i="14"/>
  <c r="ET58" i="14"/>
  <c r="EU58" i="14"/>
  <c r="EV58" i="14"/>
  <c r="EW58" i="14"/>
  <c r="EX58" i="14"/>
  <c r="EY58" i="14"/>
  <c r="EZ58" i="14"/>
  <c r="FA58" i="14"/>
  <c r="FB58" i="14"/>
  <c r="FC58" i="14"/>
  <c r="FD58" i="14"/>
  <c r="FE58" i="14"/>
  <c r="FF58" i="14"/>
  <c r="FG58" i="14"/>
  <c r="FH58" i="14"/>
  <c r="FI58" i="14"/>
  <c r="FJ58" i="14"/>
  <c r="FK58" i="14"/>
  <c r="FL58" i="14"/>
  <c r="FM58" i="14"/>
  <c r="FN58" i="14"/>
  <c r="FO58" i="14"/>
  <c r="FP58" i="14"/>
  <c r="FQ58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O59" i="14"/>
  <c r="BP59" i="14"/>
  <c r="BQ59" i="14"/>
  <c r="BR59" i="14"/>
  <c r="BS59" i="14"/>
  <c r="BT59" i="14"/>
  <c r="BU59" i="14"/>
  <c r="BV59" i="14"/>
  <c r="BW59" i="14"/>
  <c r="BX59" i="14"/>
  <c r="BY59" i="14"/>
  <c r="BZ59" i="14"/>
  <c r="CA59" i="14"/>
  <c r="CB59" i="14"/>
  <c r="CC59" i="14"/>
  <c r="CD59" i="14"/>
  <c r="CE59" i="14"/>
  <c r="CF59" i="14"/>
  <c r="CG59" i="14"/>
  <c r="CH59" i="14"/>
  <c r="CI59" i="14"/>
  <c r="CJ59" i="14"/>
  <c r="CK59" i="14"/>
  <c r="CL59" i="14"/>
  <c r="CM59" i="14"/>
  <c r="CN59" i="14"/>
  <c r="CO59" i="14"/>
  <c r="CP59" i="14"/>
  <c r="CQ59" i="14"/>
  <c r="CR59" i="14"/>
  <c r="CS59" i="14"/>
  <c r="CT59" i="14"/>
  <c r="CU59" i="14"/>
  <c r="CV59" i="14"/>
  <c r="CW59" i="14"/>
  <c r="CX59" i="14"/>
  <c r="CY59" i="14"/>
  <c r="CZ59" i="14"/>
  <c r="DA59" i="14"/>
  <c r="DB59" i="14"/>
  <c r="DC59" i="14"/>
  <c r="DD59" i="14"/>
  <c r="DE59" i="14"/>
  <c r="DF59" i="14"/>
  <c r="DG59" i="14"/>
  <c r="DH59" i="14"/>
  <c r="DI59" i="14"/>
  <c r="DJ59" i="14"/>
  <c r="DK59" i="14"/>
  <c r="DL59" i="14"/>
  <c r="DM59" i="14"/>
  <c r="DN59" i="14"/>
  <c r="DO59" i="14"/>
  <c r="DP59" i="14"/>
  <c r="DQ59" i="14"/>
  <c r="DR59" i="14"/>
  <c r="DS59" i="14"/>
  <c r="DT59" i="14"/>
  <c r="DU59" i="14"/>
  <c r="DV59" i="14"/>
  <c r="DW59" i="14"/>
  <c r="DX59" i="14"/>
  <c r="DY59" i="14"/>
  <c r="DZ59" i="14"/>
  <c r="EA59" i="14"/>
  <c r="EB59" i="14"/>
  <c r="EC59" i="14"/>
  <c r="ED59" i="14"/>
  <c r="EE59" i="14"/>
  <c r="EF59" i="14"/>
  <c r="EG59" i="14"/>
  <c r="EH59" i="14"/>
  <c r="EI59" i="14"/>
  <c r="EJ59" i="14"/>
  <c r="EK59" i="14"/>
  <c r="EL59" i="14"/>
  <c r="EM59" i="14"/>
  <c r="EN59" i="14"/>
  <c r="EO59" i="14"/>
  <c r="EP59" i="14"/>
  <c r="EQ59" i="14"/>
  <c r="ER59" i="14"/>
  <c r="ES59" i="14"/>
  <c r="ET59" i="14"/>
  <c r="EU59" i="14"/>
  <c r="EV59" i="14"/>
  <c r="EW59" i="14"/>
  <c r="EX59" i="14"/>
  <c r="EY59" i="14"/>
  <c r="EZ59" i="14"/>
  <c r="FA59" i="14"/>
  <c r="FB59" i="14"/>
  <c r="FC59" i="14"/>
  <c r="FD59" i="14"/>
  <c r="FE59" i="14"/>
  <c r="FF59" i="14"/>
  <c r="FG59" i="14"/>
  <c r="FH59" i="14"/>
  <c r="FI59" i="14"/>
  <c r="FJ59" i="14"/>
  <c r="FK59" i="14"/>
  <c r="FL59" i="14"/>
  <c r="FM59" i="14"/>
  <c r="FN59" i="14"/>
  <c r="FO59" i="14"/>
  <c r="FP59" i="14"/>
  <c r="FQ59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O60" i="14"/>
  <c r="BP60" i="14"/>
  <c r="BQ60" i="14"/>
  <c r="BR60" i="14"/>
  <c r="BS60" i="14"/>
  <c r="BT60" i="14"/>
  <c r="BU60" i="14"/>
  <c r="BV60" i="14"/>
  <c r="BW60" i="14"/>
  <c r="BX60" i="14"/>
  <c r="BY60" i="14"/>
  <c r="BZ60" i="14"/>
  <c r="CA60" i="14"/>
  <c r="CB60" i="14"/>
  <c r="CC60" i="14"/>
  <c r="CD60" i="14"/>
  <c r="CE60" i="14"/>
  <c r="CF60" i="14"/>
  <c r="CG60" i="14"/>
  <c r="CH60" i="14"/>
  <c r="CI60" i="14"/>
  <c r="CJ60" i="14"/>
  <c r="CK60" i="14"/>
  <c r="CL60" i="14"/>
  <c r="CM60" i="14"/>
  <c r="CN60" i="14"/>
  <c r="CO60" i="14"/>
  <c r="CP60" i="14"/>
  <c r="CQ60" i="14"/>
  <c r="CR60" i="14"/>
  <c r="CS60" i="14"/>
  <c r="CT60" i="14"/>
  <c r="CU60" i="14"/>
  <c r="CV60" i="14"/>
  <c r="CW60" i="14"/>
  <c r="CX60" i="14"/>
  <c r="CY60" i="14"/>
  <c r="CZ60" i="14"/>
  <c r="DA60" i="14"/>
  <c r="DB60" i="14"/>
  <c r="DC60" i="14"/>
  <c r="DD60" i="14"/>
  <c r="DE60" i="14"/>
  <c r="DF60" i="14"/>
  <c r="DG60" i="14"/>
  <c r="DH60" i="14"/>
  <c r="DI60" i="14"/>
  <c r="DJ60" i="14"/>
  <c r="DK60" i="14"/>
  <c r="DL60" i="14"/>
  <c r="DM60" i="14"/>
  <c r="DN60" i="14"/>
  <c r="DO60" i="14"/>
  <c r="DP60" i="14"/>
  <c r="DQ60" i="14"/>
  <c r="DR60" i="14"/>
  <c r="DS60" i="14"/>
  <c r="DT60" i="14"/>
  <c r="DU60" i="14"/>
  <c r="DV60" i="14"/>
  <c r="DW60" i="14"/>
  <c r="DX60" i="14"/>
  <c r="DY60" i="14"/>
  <c r="DZ60" i="14"/>
  <c r="EA60" i="14"/>
  <c r="EB60" i="14"/>
  <c r="EC60" i="14"/>
  <c r="ED60" i="14"/>
  <c r="EE60" i="14"/>
  <c r="EF60" i="14"/>
  <c r="EG60" i="14"/>
  <c r="EH60" i="14"/>
  <c r="EI60" i="14"/>
  <c r="EJ60" i="14"/>
  <c r="EK60" i="14"/>
  <c r="EL60" i="14"/>
  <c r="EM60" i="14"/>
  <c r="EN60" i="14"/>
  <c r="EO60" i="14"/>
  <c r="EP60" i="14"/>
  <c r="EQ60" i="14"/>
  <c r="ER60" i="14"/>
  <c r="ES60" i="14"/>
  <c r="ET60" i="14"/>
  <c r="EU60" i="14"/>
  <c r="EV60" i="14"/>
  <c r="EW60" i="14"/>
  <c r="EX60" i="14"/>
  <c r="EY60" i="14"/>
  <c r="EZ60" i="14"/>
  <c r="FA60" i="14"/>
  <c r="FB60" i="14"/>
  <c r="FC60" i="14"/>
  <c r="FD60" i="14"/>
  <c r="FE60" i="14"/>
  <c r="FF60" i="14"/>
  <c r="FG60" i="14"/>
  <c r="FH60" i="14"/>
  <c r="FI60" i="14"/>
  <c r="FJ60" i="14"/>
  <c r="FK60" i="14"/>
  <c r="FL60" i="14"/>
  <c r="FM60" i="14"/>
  <c r="FN60" i="14"/>
  <c r="FO60" i="14"/>
  <c r="FP60" i="14"/>
  <c r="FQ60" i="14"/>
  <c r="AY67" i="14" l="1"/>
  <c r="FC67" i="14"/>
  <c r="BG67" i="14"/>
  <c r="EZ67" i="14"/>
  <c r="CE67" i="14"/>
  <c r="BO67" i="14"/>
  <c r="BW67" i="14"/>
  <c r="AQ67" i="14"/>
  <c r="FL67" i="14"/>
  <c r="EW67" i="14"/>
  <c r="ES64" i="14"/>
  <c r="DF64" i="14"/>
  <c r="BK67" i="14"/>
  <c r="CK64" i="14"/>
  <c r="BT64" i="14"/>
  <c r="AN64" i="14"/>
  <c r="CA68" i="14"/>
  <c r="AU68" i="14"/>
  <c r="CA67" i="14"/>
  <c r="BS67" i="14"/>
  <c r="BC67" i="14"/>
  <c r="AU67" i="14"/>
  <c r="AM67" i="14"/>
  <c r="CE64" i="14"/>
  <c r="BW64" i="14"/>
  <c r="BO64" i="14"/>
  <c r="AQ64" i="14"/>
  <c r="BV67" i="14"/>
  <c r="BF67" i="14"/>
  <c r="AP67" i="14"/>
  <c r="BM66" i="14"/>
  <c r="BJ69" i="14"/>
  <c r="DN69" i="14"/>
  <c r="FL69" i="14"/>
  <c r="CB69" i="14"/>
  <c r="BL69" i="14"/>
  <c r="AV69" i="14"/>
  <c r="FD69" i="14"/>
  <c r="EN69" i="14"/>
  <c r="DX69" i="14"/>
  <c r="DH69" i="14"/>
  <c r="CR69" i="14"/>
  <c r="BT68" i="14"/>
  <c r="BD68" i="14"/>
  <c r="AN68" i="14"/>
  <c r="FD68" i="14"/>
  <c r="EN68" i="14"/>
  <c r="DP68" i="14"/>
  <c r="DH68" i="14"/>
  <c r="CZ68" i="14"/>
  <c r="FD67" i="14"/>
  <c r="EN67" i="14"/>
  <c r="DX67" i="14"/>
  <c r="DH67" i="14"/>
  <c r="CR67" i="14"/>
  <c r="CB67" i="14"/>
  <c r="BL67" i="14"/>
  <c r="AV67" i="14"/>
  <c r="FK69" i="14"/>
  <c r="FC69" i="14"/>
  <c r="EU69" i="14"/>
  <c r="EM69" i="14"/>
  <c r="EE69" i="14"/>
  <c r="DW69" i="14"/>
  <c r="DO69" i="14"/>
  <c r="DG69" i="14"/>
  <c r="CY69" i="14"/>
  <c r="CQ69" i="14"/>
  <c r="CI69" i="14"/>
  <c r="CA69" i="14"/>
  <c r="BS69" i="14"/>
  <c r="BK69" i="14"/>
  <c r="BC69" i="14"/>
  <c r="AU69" i="14"/>
  <c r="AM69" i="14"/>
  <c r="FK68" i="14"/>
  <c r="FC68" i="14"/>
  <c r="EU68" i="14"/>
  <c r="EM68" i="14"/>
  <c r="EE68" i="14"/>
  <c r="DW68" i="14"/>
  <c r="DO68" i="14"/>
  <c r="DG68" i="14"/>
  <c r="CY68" i="14"/>
  <c r="CQ68" i="14"/>
  <c r="CI68" i="14"/>
  <c r="BS68" i="14"/>
  <c r="BK68" i="14"/>
  <c r="BC68" i="14"/>
  <c r="AM68" i="14"/>
  <c r="FK67" i="14"/>
  <c r="EM67" i="14"/>
  <c r="EE67" i="14"/>
  <c r="DW67" i="14"/>
  <c r="DO67" i="14"/>
  <c r="DG67" i="14"/>
  <c r="CY67" i="14"/>
  <c r="CQ67" i="14"/>
  <c r="CI67" i="14"/>
  <c r="CA66" i="14"/>
  <c r="BS66" i="14"/>
  <c r="BK66" i="14"/>
  <c r="BC66" i="14"/>
  <c r="AU66" i="14"/>
  <c r="AM66" i="14"/>
  <c r="FK66" i="14"/>
  <c r="FC66" i="14"/>
  <c r="EU66" i="14"/>
  <c r="EM66" i="14"/>
  <c r="EE66" i="14"/>
  <c r="DW66" i="14"/>
  <c r="ED69" i="14"/>
  <c r="CH69" i="14"/>
  <c r="FJ68" i="14"/>
  <c r="DV68" i="14"/>
  <c r="CP68" i="14"/>
  <c r="EL67" i="14"/>
  <c r="CX67" i="14"/>
  <c r="BZ67" i="14"/>
  <c r="AL67" i="14"/>
  <c r="DV66" i="14"/>
  <c r="AL66" i="14"/>
  <c r="BB66" i="14"/>
  <c r="FQ69" i="14"/>
  <c r="FI69" i="14"/>
  <c r="FA69" i="14"/>
  <c r="ES69" i="14"/>
  <c r="EK69" i="14"/>
  <c r="EC69" i="14"/>
  <c r="DU69" i="14"/>
  <c r="DM69" i="14"/>
  <c r="DE69" i="14"/>
  <c r="CW69" i="14"/>
  <c r="CO69" i="14"/>
  <c r="CG69" i="14"/>
  <c r="BY69" i="14"/>
  <c r="BQ69" i="14"/>
  <c r="BI69" i="14"/>
  <c r="BA69" i="14"/>
  <c r="AS69" i="14"/>
  <c r="AK69" i="14"/>
  <c r="BY68" i="14"/>
  <c r="BQ68" i="14"/>
  <c r="BI68" i="14"/>
  <c r="BA68" i="14"/>
  <c r="AS68" i="14"/>
  <c r="AK68" i="14"/>
  <c r="FQ68" i="14"/>
  <c r="FI68" i="14"/>
  <c r="FA68" i="14"/>
  <c r="ES68" i="14"/>
  <c r="EK68" i="14"/>
  <c r="EC68" i="14"/>
  <c r="DU68" i="14"/>
  <c r="DM68" i="14"/>
  <c r="DE68" i="14"/>
  <c r="CW68" i="14"/>
  <c r="CO68" i="14"/>
  <c r="CG68" i="14"/>
  <c r="FQ67" i="14"/>
  <c r="FI67" i="14"/>
  <c r="FA67" i="14"/>
  <c r="ES67" i="14"/>
  <c r="EK67" i="14"/>
  <c r="EC67" i="14"/>
  <c r="DU67" i="14"/>
  <c r="DM67" i="14"/>
  <c r="DE67" i="14"/>
  <c r="CW67" i="14"/>
  <c r="CO67" i="14"/>
  <c r="CG67" i="14"/>
  <c r="BY67" i="14"/>
  <c r="BQ67" i="14"/>
  <c r="BI67" i="14"/>
  <c r="BA67" i="14"/>
  <c r="AS67" i="14"/>
  <c r="AK67" i="14"/>
  <c r="FQ66" i="14"/>
  <c r="BY66" i="14"/>
  <c r="BQ66" i="14"/>
  <c r="BI66" i="14"/>
  <c r="BA66" i="14"/>
  <c r="AS66" i="14"/>
  <c r="AK66" i="14"/>
  <c r="FA66" i="14"/>
  <c r="ES66" i="14"/>
  <c r="FI66" i="14"/>
  <c r="EK66" i="14"/>
  <c r="EC66" i="14"/>
  <c r="DU66" i="14"/>
  <c r="DM66" i="14"/>
  <c r="DE66" i="14"/>
  <c r="CW66" i="14"/>
  <c r="CO66" i="14"/>
  <c r="CG66" i="14"/>
  <c r="FJ69" i="14"/>
  <c r="DF69" i="14"/>
  <c r="AT69" i="14"/>
  <c r="BZ68" i="14"/>
  <c r="AT68" i="14"/>
  <c r="ET68" i="14"/>
  <c r="DF68" i="14"/>
  <c r="ED67" i="14"/>
  <c r="CH67" i="14"/>
  <c r="AT67" i="14"/>
  <c r="FJ66" i="14"/>
  <c r="ET66" i="14"/>
  <c r="BR66" i="14"/>
  <c r="CF69" i="14"/>
  <c r="BX69" i="14"/>
  <c r="BP69" i="14"/>
  <c r="BH69" i="14"/>
  <c r="AZ69" i="14"/>
  <c r="AR69" i="14"/>
  <c r="AJ69" i="14"/>
  <c r="FP69" i="14"/>
  <c r="FH69" i="14"/>
  <c r="EZ69" i="14"/>
  <c r="ER69" i="14"/>
  <c r="EJ69" i="14"/>
  <c r="EB69" i="14"/>
  <c r="DT69" i="14"/>
  <c r="DL69" i="14"/>
  <c r="DD69" i="14"/>
  <c r="CV69" i="14"/>
  <c r="CN69" i="14"/>
  <c r="FH68" i="14"/>
  <c r="FP68" i="14"/>
  <c r="EZ68" i="14"/>
  <c r="ER68" i="14"/>
  <c r="EJ68" i="14"/>
  <c r="EB68" i="14"/>
  <c r="DT68" i="14"/>
  <c r="DL68" i="14"/>
  <c r="DD68" i="14"/>
  <c r="CV68" i="14"/>
  <c r="CN68" i="14"/>
  <c r="CF68" i="14"/>
  <c r="BX68" i="14"/>
  <c r="BP68" i="14"/>
  <c r="BH68" i="14"/>
  <c r="AZ68" i="14"/>
  <c r="AR68" i="14"/>
  <c r="AJ68" i="14"/>
  <c r="FP67" i="14"/>
  <c r="FH67" i="14"/>
  <c r="ER67" i="14"/>
  <c r="EJ67" i="14"/>
  <c r="EB67" i="14"/>
  <c r="DT67" i="14"/>
  <c r="DL67" i="14"/>
  <c r="DD67" i="14"/>
  <c r="CV67" i="14"/>
  <c r="CN67" i="14"/>
  <c r="CF67" i="14"/>
  <c r="BX67" i="14"/>
  <c r="BP67" i="14"/>
  <c r="BH67" i="14"/>
  <c r="AZ67" i="14"/>
  <c r="AR67" i="14"/>
  <c r="AJ67" i="14"/>
  <c r="AR66" i="14"/>
  <c r="AJ66" i="14"/>
  <c r="FP66" i="14"/>
  <c r="CF66" i="14"/>
  <c r="BX66" i="14"/>
  <c r="BP66" i="14"/>
  <c r="BH66" i="14"/>
  <c r="AZ66" i="14"/>
  <c r="FH66" i="14"/>
  <c r="EZ66" i="14"/>
  <c r="ER66" i="14"/>
  <c r="EJ66" i="14"/>
  <c r="EB66" i="14"/>
  <c r="DT66" i="14"/>
  <c r="DL66" i="14"/>
  <c r="DD66" i="14"/>
  <c r="CV66" i="14"/>
  <c r="CN66" i="14"/>
  <c r="DV69" i="14"/>
  <c r="BR69" i="14"/>
  <c r="BJ68" i="14"/>
  <c r="EL68" i="14"/>
  <c r="CX68" i="14"/>
  <c r="FJ67" i="14"/>
  <c r="DV67" i="14"/>
  <c r="CP67" i="14"/>
  <c r="BB67" i="14"/>
  <c r="ED66" i="14"/>
  <c r="BZ66" i="14"/>
  <c r="DS69" i="14"/>
  <c r="FO69" i="14"/>
  <c r="FG69" i="14"/>
  <c r="EY69" i="14"/>
  <c r="EQ69" i="14"/>
  <c r="EI69" i="14"/>
  <c r="EA69" i="14"/>
  <c r="DK69" i="14"/>
  <c r="DC69" i="14"/>
  <c r="CU69" i="14"/>
  <c r="CM69" i="14"/>
  <c r="CE69" i="14"/>
  <c r="BW69" i="14"/>
  <c r="BO69" i="14"/>
  <c r="BG69" i="14"/>
  <c r="AY69" i="14"/>
  <c r="AQ69" i="14"/>
  <c r="FO68" i="14"/>
  <c r="CE68" i="14"/>
  <c r="BW68" i="14"/>
  <c r="BO68" i="14"/>
  <c r="BG68" i="14"/>
  <c r="AY68" i="14"/>
  <c r="AQ68" i="14"/>
  <c r="FG68" i="14"/>
  <c r="EY68" i="14"/>
  <c r="EQ68" i="14"/>
  <c r="EI68" i="14"/>
  <c r="EA68" i="14"/>
  <c r="DS68" i="14"/>
  <c r="DK68" i="14"/>
  <c r="DC68" i="14"/>
  <c r="CU68" i="14"/>
  <c r="CM68" i="14"/>
  <c r="FO67" i="14"/>
  <c r="FG67" i="14"/>
  <c r="EY67" i="14"/>
  <c r="EQ67" i="14"/>
  <c r="EI67" i="14"/>
  <c r="EA67" i="14"/>
  <c r="DS67" i="14"/>
  <c r="DK67" i="14"/>
  <c r="DC67" i="14"/>
  <c r="CU67" i="14"/>
  <c r="CM67" i="14"/>
  <c r="CE66" i="14"/>
  <c r="BW66" i="14"/>
  <c r="BO66" i="14"/>
  <c r="BG66" i="14"/>
  <c r="AY66" i="14"/>
  <c r="AQ66" i="14"/>
  <c r="FO66" i="14"/>
  <c r="FG66" i="14"/>
  <c r="EY66" i="14"/>
  <c r="EQ66" i="14"/>
  <c r="EI66" i="14"/>
  <c r="EA66" i="14"/>
  <c r="DS66" i="14"/>
  <c r="DK66" i="14"/>
  <c r="DC66" i="14"/>
  <c r="CU66" i="14"/>
  <c r="CM66" i="14"/>
  <c r="BG64" i="14"/>
  <c r="AY64" i="14"/>
  <c r="EL69" i="14"/>
  <c r="BZ69" i="14"/>
  <c r="BB68" i="14"/>
  <c r="FB68" i="14"/>
  <c r="DN68" i="14"/>
  <c r="FB67" i="14"/>
  <c r="DF67" i="14"/>
  <c r="BJ67" i="14"/>
  <c r="FB66" i="14"/>
  <c r="DN66" i="14"/>
  <c r="BJ66" i="14"/>
  <c r="FN69" i="14"/>
  <c r="FF69" i="14"/>
  <c r="EX69" i="14"/>
  <c r="EP69" i="14"/>
  <c r="EH69" i="14"/>
  <c r="DZ69" i="14"/>
  <c r="DR69" i="14"/>
  <c r="DJ69" i="14"/>
  <c r="DB69" i="14"/>
  <c r="CT69" i="14"/>
  <c r="CL69" i="14"/>
  <c r="CD69" i="14"/>
  <c r="BV69" i="14"/>
  <c r="BN69" i="14"/>
  <c r="BF69" i="14"/>
  <c r="AX69" i="14"/>
  <c r="AP69" i="14"/>
  <c r="FN68" i="14"/>
  <c r="FF68" i="14"/>
  <c r="EX68" i="14"/>
  <c r="EP68" i="14"/>
  <c r="EH68" i="14"/>
  <c r="DZ68" i="14"/>
  <c r="DR68" i="14"/>
  <c r="DJ68" i="14"/>
  <c r="DB68" i="14"/>
  <c r="CT68" i="14"/>
  <c r="CL68" i="14"/>
  <c r="CD68" i="14"/>
  <c r="BV68" i="14"/>
  <c r="BN68" i="14"/>
  <c r="BF68" i="14"/>
  <c r="AX68" i="14"/>
  <c r="AP68" i="14"/>
  <c r="FN67" i="14"/>
  <c r="FF67" i="14"/>
  <c r="EX67" i="14"/>
  <c r="EP67" i="14"/>
  <c r="EH67" i="14"/>
  <c r="DZ67" i="14"/>
  <c r="DR67" i="14"/>
  <c r="DJ67" i="14"/>
  <c r="DB67" i="14"/>
  <c r="CT67" i="14"/>
  <c r="CL67" i="14"/>
  <c r="CD67" i="14"/>
  <c r="BN67" i="14"/>
  <c r="AX67" i="14"/>
  <c r="FN66" i="14"/>
  <c r="FF66" i="14"/>
  <c r="EX66" i="14"/>
  <c r="EP66" i="14"/>
  <c r="EH66" i="14"/>
  <c r="DZ66" i="14"/>
  <c r="DR66" i="14"/>
  <c r="DJ66" i="14"/>
  <c r="DB66" i="14"/>
  <c r="CT66" i="14"/>
  <c r="CL66" i="14"/>
  <c r="CD66" i="14"/>
  <c r="BV66" i="14"/>
  <c r="BN66" i="14"/>
  <c r="BF66" i="14"/>
  <c r="AX66" i="14"/>
  <c r="AP66" i="14"/>
  <c r="ET69" i="14"/>
  <c r="CP69" i="14"/>
  <c r="AL69" i="14"/>
  <c r="BR68" i="14"/>
  <c r="AL68" i="14"/>
  <c r="ED68" i="14"/>
  <c r="ET67" i="14"/>
  <c r="DN67" i="14"/>
  <c r="BR67" i="14"/>
  <c r="EL66" i="14"/>
  <c r="DF66" i="14"/>
  <c r="AT66" i="14"/>
  <c r="CC69" i="14"/>
  <c r="BU69" i="14"/>
  <c r="BM69" i="14"/>
  <c r="BE69" i="14"/>
  <c r="AW69" i="14"/>
  <c r="AO69" i="14"/>
  <c r="FM69" i="14"/>
  <c r="FE69" i="14"/>
  <c r="EW69" i="14"/>
  <c r="EO69" i="14"/>
  <c r="EG69" i="14"/>
  <c r="DY69" i="14"/>
  <c r="DQ69" i="14"/>
  <c r="DI69" i="14"/>
  <c r="DA69" i="14"/>
  <c r="CS69" i="14"/>
  <c r="CK69" i="14"/>
  <c r="CC68" i="14"/>
  <c r="BU68" i="14"/>
  <c r="BM68" i="14"/>
  <c r="BE68" i="14"/>
  <c r="AW68" i="14"/>
  <c r="AO68" i="14"/>
  <c r="FM68" i="14"/>
  <c r="FE68" i="14"/>
  <c r="EW68" i="14"/>
  <c r="EO68" i="14"/>
  <c r="EG68" i="14"/>
  <c r="DY68" i="14"/>
  <c r="DQ68" i="14"/>
  <c r="DI68" i="14"/>
  <c r="DA68" i="14"/>
  <c r="CS68" i="14"/>
  <c r="CK68" i="14"/>
  <c r="FM67" i="14"/>
  <c r="FE67" i="14"/>
  <c r="EO67" i="14"/>
  <c r="EG67" i="14"/>
  <c r="DY67" i="14"/>
  <c r="DQ67" i="14"/>
  <c r="DI67" i="14"/>
  <c r="DA67" i="14"/>
  <c r="CS67" i="14"/>
  <c r="CK67" i="14"/>
  <c r="CC67" i="14"/>
  <c r="BU67" i="14"/>
  <c r="BM67" i="14"/>
  <c r="BE67" i="14"/>
  <c r="AW67" i="14"/>
  <c r="AO67" i="14"/>
  <c r="FM66" i="14"/>
  <c r="FE66" i="14"/>
  <c r="EW66" i="14"/>
  <c r="EO66" i="14"/>
  <c r="EG66" i="14"/>
  <c r="DY66" i="14"/>
  <c r="DQ66" i="14"/>
  <c r="DI66" i="14"/>
  <c r="DA66" i="14"/>
  <c r="CS66" i="14"/>
  <c r="CK66" i="14"/>
  <c r="CC66" i="14"/>
  <c r="BU66" i="14"/>
  <c r="BE66" i="14"/>
  <c r="AW66" i="14"/>
  <c r="AO66" i="14"/>
  <c r="FB69" i="14"/>
  <c r="CX69" i="14"/>
  <c r="BB69" i="14"/>
  <c r="CH68" i="14"/>
  <c r="BT69" i="14"/>
  <c r="BD69" i="14"/>
  <c r="AN69" i="14"/>
  <c r="EV69" i="14"/>
  <c r="EF69" i="14"/>
  <c r="DP69" i="14"/>
  <c r="CZ69" i="14"/>
  <c r="CJ69" i="14"/>
  <c r="CB68" i="14"/>
  <c r="BL68" i="14"/>
  <c r="AV68" i="14"/>
  <c r="FL68" i="14"/>
  <c r="EV68" i="14"/>
  <c r="EF68" i="14"/>
  <c r="DX68" i="14"/>
  <c r="CR68" i="14"/>
  <c r="CJ68" i="14"/>
  <c r="EV67" i="14"/>
  <c r="EF67" i="14"/>
  <c r="DP67" i="14"/>
  <c r="CZ67" i="14"/>
  <c r="CJ67" i="14"/>
  <c r="BT67" i="14"/>
  <c r="BD67" i="14"/>
  <c r="AN67" i="14"/>
  <c r="FL66" i="14"/>
  <c r="FD66" i="14"/>
  <c r="EV66" i="14"/>
  <c r="EN66" i="14"/>
  <c r="EF66" i="14"/>
  <c r="DX66" i="14"/>
  <c r="DP66" i="14"/>
  <c r="DH66" i="14"/>
  <c r="CZ66" i="14"/>
  <c r="CR66" i="14"/>
  <c r="CJ66" i="14"/>
  <c r="CB66" i="14"/>
  <c r="BT66" i="14"/>
  <c r="BL66" i="14"/>
  <c r="BD66" i="14"/>
  <c r="AV66" i="14"/>
  <c r="AN66" i="14"/>
  <c r="FL64" i="14"/>
  <c r="FD64" i="14"/>
  <c r="EV64" i="14"/>
  <c r="EN64" i="14"/>
  <c r="EF64" i="14"/>
  <c r="DX64" i="14"/>
  <c r="DP64" i="14"/>
  <c r="DH64" i="14"/>
  <c r="CZ64" i="14"/>
  <c r="CR64" i="14"/>
  <c r="CJ64" i="14"/>
  <c r="CB64" i="14"/>
  <c r="BL64" i="14"/>
  <c r="BD64" i="14"/>
  <c r="AV64" i="14"/>
  <c r="CC64" i="14"/>
  <c r="BU64" i="14"/>
  <c r="BM64" i="14"/>
  <c r="BE64" i="14"/>
  <c r="AW64" i="14"/>
  <c r="AO64" i="14"/>
  <c r="FM64" i="14"/>
  <c r="FE64" i="14"/>
  <c r="EW64" i="14"/>
  <c r="EO64" i="14"/>
  <c r="EG64" i="14"/>
  <c r="DY64" i="14"/>
  <c r="DQ64" i="14"/>
  <c r="DI64" i="14"/>
  <c r="DA64" i="14"/>
  <c r="CS64" i="14"/>
  <c r="DO66" i="14"/>
  <c r="DG66" i="14"/>
  <c r="CY66" i="14"/>
  <c r="CQ66" i="14"/>
  <c r="CI66" i="14"/>
  <c r="CA64" i="14"/>
  <c r="BS64" i="14"/>
  <c r="BK64" i="14"/>
  <c r="BC64" i="14"/>
  <c r="AU64" i="14"/>
  <c r="AM64" i="14"/>
  <c r="FK64" i="14"/>
  <c r="FC64" i="14"/>
  <c r="EU64" i="14"/>
  <c r="EM64" i="14"/>
  <c r="EE64" i="14"/>
  <c r="DW64" i="14"/>
  <c r="DO64" i="14"/>
  <c r="DG64" i="14"/>
  <c r="CY64" i="14"/>
  <c r="CQ64" i="14"/>
  <c r="CI64" i="14"/>
  <c r="CX66" i="14"/>
  <c r="CP66" i="14"/>
  <c r="CH66" i="14"/>
  <c r="BZ64" i="14"/>
  <c r="BR64" i="14"/>
  <c r="BJ64" i="14"/>
  <c r="BB64" i="14"/>
  <c r="AT64" i="14"/>
  <c r="AL64" i="14"/>
  <c r="FJ64" i="14"/>
  <c r="FB64" i="14"/>
  <c r="ET64" i="14"/>
  <c r="EL64" i="14"/>
  <c r="ED64" i="14"/>
  <c r="DV64" i="14"/>
  <c r="DN64" i="14"/>
  <c r="CX64" i="14"/>
  <c r="CP64" i="14"/>
  <c r="CH64" i="14"/>
  <c r="BY64" i="14"/>
  <c r="BQ64" i="14"/>
  <c r="BI64" i="14"/>
  <c r="BA64" i="14"/>
  <c r="AS64" i="14"/>
  <c r="AK64" i="14"/>
  <c r="FQ64" i="14"/>
  <c r="FI64" i="14"/>
  <c r="FA64" i="14"/>
  <c r="EK64" i="14"/>
  <c r="EC64" i="14"/>
  <c r="DU64" i="14"/>
  <c r="DM64" i="14"/>
  <c r="DE64" i="14"/>
  <c r="CW64" i="14"/>
  <c r="CO64" i="14"/>
  <c r="CG64" i="14"/>
  <c r="CF64" i="14"/>
  <c r="BX64" i="14"/>
  <c r="BP64" i="14"/>
  <c r="BH64" i="14"/>
  <c r="AZ64" i="14"/>
  <c r="AR64" i="14"/>
  <c r="AJ64" i="14"/>
  <c r="FP64" i="14"/>
  <c r="FH64" i="14"/>
  <c r="EZ64" i="14"/>
  <c r="ER64" i="14"/>
  <c r="EJ64" i="14"/>
  <c r="EB64" i="14"/>
  <c r="DT64" i="14"/>
  <c r="DL64" i="14"/>
  <c r="DD64" i="14"/>
  <c r="CV64" i="14"/>
  <c r="CN64" i="14"/>
  <c r="EY64" i="14"/>
  <c r="FO64" i="14"/>
  <c r="FG64" i="14"/>
  <c r="EQ64" i="14"/>
  <c r="EI64" i="14"/>
  <c r="EA64" i="14"/>
  <c r="DS64" i="14"/>
  <c r="DK64" i="14"/>
  <c r="DC64" i="14"/>
  <c r="CU64" i="14"/>
  <c r="CM64" i="14"/>
  <c r="FN64" i="14"/>
  <c r="FF64" i="14"/>
  <c r="EX64" i="14"/>
  <c r="EP64" i="14"/>
  <c r="EH64" i="14"/>
  <c r="DZ64" i="14"/>
  <c r="DR64" i="14"/>
  <c r="DJ64" i="14"/>
  <c r="DB64" i="14"/>
  <c r="CT64" i="14"/>
  <c r="CL64" i="14"/>
  <c r="CD64" i="14"/>
  <c r="BV64" i="14"/>
  <c r="BN64" i="14"/>
  <c r="BF64" i="14"/>
  <c r="AX64" i="14"/>
  <c r="AP64" i="14"/>
  <c r="I9" i="14"/>
  <c r="J9" i="14"/>
  <c r="L9" i="14"/>
  <c r="Q9" i="14"/>
  <c r="R9" i="14"/>
  <c r="S9" i="14"/>
  <c r="T9" i="14"/>
  <c r="Y9" i="14"/>
  <c r="Z9" i="14"/>
  <c r="AA9" i="14"/>
  <c r="AB9" i="14"/>
  <c r="AG9" i="14"/>
  <c r="AH9" i="14"/>
  <c r="AI9" i="14"/>
  <c r="E10" i="14"/>
  <c r="J10" i="14"/>
  <c r="K10" i="14"/>
  <c r="L10" i="14"/>
  <c r="M10" i="14"/>
  <c r="R10" i="14"/>
  <c r="S10" i="14"/>
  <c r="T10" i="14"/>
  <c r="U10" i="14"/>
  <c r="Z10" i="14"/>
  <c r="AA10" i="14"/>
  <c r="AB10" i="14"/>
  <c r="AC10" i="14"/>
  <c r="AH10" i="14"/>
  <c r="AI10" i="14"/>
  <c r="E11" i="14"/>
  <c r="F11" i="14"/>
  <c r="K11" i="14"/>
  <c r="L11" i="14"/>
  <c r="M11" i="14"/>
  <c r="N11" i="14"/>
  <c r="S11" i="14"/>
  <c r="T11" i="14"/>
  <c r="U11" i="14"/>
  <c r="V11" i="14"/>
  <c r="W11" i="14"/>
  <c r="X11" i="14"/>
  <c r="AA11" i="14"/>
  <c r="AB11" i="14"/>
  <c r="AC11" i="14"/>
  <c r="AD11" i="14"/>
  <c r="AI11" i="14"/>
  <c r="E12" i="14"/>
  <c r="F12" i="14"/>
  <c r="G12" i="14"/>
  <c r="L12" i="14"/>
  <c r="M12" i="14"/>
  <c r="N12" i="14"/>
  <c r="O12" i="14"/>
  <c r="T12" i="14"/>
  <c r="U12" i="14"/>
  <c r="V12" i="14"/>
  <c r="W12" i="14"/>
  <c r="X12" i="14"/>
  <c r="AB12" i="14"/>
  <c r="AC12" i="14"/>
  <c r="AD12" i="14"/>
  <c r="AE12" i="14"/>
  <c r="E13" i="14"/>
  <c r="F13" i="14"/>
  <c r="G13" i="14"/>
  <c r="H13" i="14"/>
  <c r="M13" i="14"/>
  <c r="N13" i="14"/>
  <c r="O13" i="14"/>
  <c r="P13" i="14"/>
  <c r="U13" i="14"/>
  <c r="V13" i="14"/>
  <c r="W13" i="14"/>
  <c r="X13" i="14"/>
  <c r="AB13" i="14"/>
  <c r="AC13" i="14"/>
  <c r="AD13" i="14"/>
  <c r="AE13" i="14"/>
  <c r="AF13" i="14"/>
  <c r="F14" i="14"/>
  <c r="G14" i="14"/>
  <c r="H14" i="14"/>
  <c r="I14" i="14"/>
  <c r="M14" i="14"/>
  <c r="N14" i="14"/>
  <c r="O14" i="14"/>
  <c r="P14" i="14"/>
  <c r="Q14" i="14"/>
  <c r="V14" i="14"/>
  <c r="W14" i="14"/>
  <c r="X14" i="14"/>
  <c r="Y14" i="14"/>
  <c r="AD14" i="14"/>
  <c r="AE14" i="14"/>
  <c r="AF14" i="14"/>
  <c r="AG14" i="14"/>
  <c r="F15" i="14"/>
  <c r="G15" i="14"/>
  <c r="H15" i="14"/>
  <c r="I15" i="14"/>
  <c r="J15" i="14"/>
  <c r="O15" i="14"/>
  <c r="P15" i="14"/>
  <c r="Q15" i="14"/>
  <c r="R15" i="14"/>
  <c r="W15" i="14"/>
  <c r="X15" i="14"/>
  <c r="Y15" i="14"/>
  <c r="Z15" i="14"/>
  <c r="AD15" i="14"/>
  <c r="AE15" i="14"/>
  <c r="AF15" i="14"/>
  <c r="AG15" i="14"/>
  <c r="AH15" i="14"/>
  <c r="E16" i="14"/>
  <c r="H16" i="14"/>
  <c r="I16" i="14"/>
  <c r="J16" i="14"/>
  <c r="K16" i="14"/>
  <c r="O16" i="14"/>
  <c r="P16" i="14"/>
  <c r="Q16" i="14"/>
  <c r="R16" i="14"/>
  <c r="S16" i="14"/>
  <c r="X16" i="14"/>
  <c r="Y16" i="14"/>
  <c r="Z16" i="14"/>
  <c r="AA16" i="14"/>
  <c r="AF16" i="14"/>
  <c r="AG16" i="14"/>
  <c r="AH16" i="14"/>
  <c r="AI16" i="14"/>
  <c r="E17" i="14"/>
  <c r="I17" i="14"/>
  <c r="J17" i="14"/>
  <c r="K17" i="14"/>
  <c r="L17" i="14"/>
  <c r="Q17" i="14"/>
  <c r="R17" i="14"/>
  <c r="S17" i="14"/>
  <c r="T17" i="14"/>
  <c r="Y17" i="14"/>
  <c r="Z17" i="14"/>
  <c r="AA17" i="14"/>
  <c r="AB17" i="14"/>
  <c r="AF17" i="14"/>
  <c r="AG17" i="14"/>
  <c r="AH17" i="14"/>
  <c r="AI17" i="14"/>
  <c r="E19" i="14"/>
  <c r="E65" i="14" s="1"/>
  <c r="F19" i="14"/>
  <c r="F65" i="14" s="1"/>
  <c r="J19" i="14"/>
  <c r="J65" i="14" s="1"/>
  <c r="K19" i="14"/>
  <c r="K65" i="14" s="1"/>
  <c r="L19" i="14"/>
  <c r="L65" i="14" s="1"/>
  <c r="M19" i="14"/>
  <c r="M65" i="14" s="1"/>
  <c r="Q19" i="14"/>
  <c r="Q65" i="14" s="1"/>
  <c r="R19" i="14"/>
  <c r="R65" i="14" s="1"/>
  <c r="S19" i="14"/>
  <c r="S65" i="14" s="1"/>
  <c r="T19" i="14"/>
  <c r="T65" i="14" s="1"/>
  <c r="U19" i="14"/>
  <c r="U65" i="14" s="1"/>
  <c r="Z19" i="14"/>
  <c r="Z65" i="14" s="1"/>
  <c r="AA19" i="14"/>
  <c r="AA65" i="14" s="1"/>
  <c r="AB19" i="14"/>
  <c r="AB65" i="14" s="1"/>
  <c r="AC19" i="14"/>
  <c r="AC65" i="14" s="1"/>
  <c r="AH19" i="14"/>
  <c r="AH65" i="14" s="1"/>
  <c r="AI19" i="14"/>
  <c r="AI65" i="14" s="1"/>
  <c r="E21" i="14"/>
  <c r="F21" i="14"/>
  <c r="K21" i="14"/>
  <c r="L21" i="14"/>
  <c r="M21" i="14"/>
  <c r="N21" i="14"/>
  <c r="S21" i="14"/>
  <c r="T21" i="14"/>
  <c r="U21" i="14"/>
  <c r="V21" i="14"/>
  <c r="X21" i="14"/>
  <c r="AA21" i="14"/>
  <c r="AB21" i="14"/>
  <c r="AC21" i="14"/>
  <c r="AD21" i="14"/>
  <c r="AI21" i="14"/>
  <c r="E22" i="14"/>
  <c r="F22" i="14"/>
  <c r="G22" i="14"/>
  <c r="M22" i="14"/>
  <c r="N22" i="14"/>
  <c r="O22" i="14"/>
  <c r="V22" i="14"/>
  <c r="W22" i="14"/>
  <c r="X22" i="14"/>
  <c r="AB22" i="14"/>
  <c r="AD22" i="14"/>
  <c r="AE22" i="14"/>
  <c r="E23" i="14"/>
  <c r="F23" i="14"/>
  <c r="G23" i="14"/>
  <c r="H23" i="14"/>
  <c r="L23" i="14"/>
  <c r="N23" i="14"/>
  <c r="O23" i="14"/>
  <c r="P23" i="14"/>
  <c r="U23" i="14"/>
  <c r="V23" i="14"/>
  <c r="W23" i="14"/>
  <c r="X23" i="14"/>
  <c r="AB23" i="14"/>
  <c r="AD23" i="14"/>
  <c r="AE23" i="14"/>
  <c r="AF23" i="14"/>
  <c r="E24" i="14"/>
  <c r="G24" i="14"/>
  <c r="H24" i="14"/>
  <c r="I24" i="14"/>
  <c r="N24" i="14"/>
  <c r="O24" i="14"/>
  <c r="P24" i="14"/>
  <c r="Q24" i="14"/>
  <c r="W24" i="14"/>
  <c r="X24" i="14"/>
  <c r="Y24" i="14"/>
  <c r="AF24" i="14"/>
  <c r="AG24" i="14"/>
  <c r="F25" i="14"/>
  <c r="G25" i="14"/>
  <c r="H25" i="14"/>
  <c r="I25" i="14"/>
  <c r="J25" i="14"/>
  <c r="N25" i="14"/>
  <c r="P25" i="14"/>
  <c r="Q25" i="14"/>
  <c r="R25" i="14"/>
  <c r="S25" i="14"/>
  <c r="W25" i="14"/>
  <c r="X25" i="14"/>
  <c r="Y25" i="14"/>
  <c r="Z25" i="14"/>
  <c r="AA25" i="14"/>
  <c r="AD25" i="14"/>
  <c r="AF25" i="14"/>
  <c r="AG25" i="14"/>
  <c r="AH25" i="14"/>
  <c r="E26" i="14"/>
  <c r="H26" i="14"/>
  <c r="I26" i="14"/>
  <c r="J26" i="14"/>
  <c r="K26" i="14"/>
  <c r="L26" i="14"/>
  <c r="Q26" i="14"/>
  <c r="R26" i="14"/>
  <c r="S26" i="14"/>
  <c r="T26" i="14"/>
  <c r="W26" i="14"/>
  <c r="X26" i="14"/>
  <c r="Z26" i="14"/>
  <c r="AA26" i="14"/>
  <c r="AF26" i="14"/>
  <c r="AG26" i="14"/>
  <c r="AH26" i="14"/>
  <c r="AI26" i="14"/>
  <c r="E27" i="14"/>
  <c r="K27" i="14"/>
  <c r="L27" i="14"/>
  <c r="M27" i="14"/>
  <c r="P27" i="14"/>
  <c r="Q27" i="14"/>
  <c r="R27" i="14"/>
  <c r="S27" i="14"/>
  <c r="T27" i="14"/>
  <c r="X27" i="14"/>
  <c r="Z27" i="14"/>
  <c r="AA27" i="14"/>
  <c r="AB27" i="14"/>
  <c r="AC27" i="14"/>
  <c r="AF27" i="14"/>
  <c r="AG27" i="14"/>
  <c r="AH27" i="14"/>
  <c r="AI27" i="14"/>
  <c r="E28" i="14"/>
  <c r="F28" i="14"/>
  <c r="I28" i="14"/>
  <c r="J28" i="14"/>
  <c r="K28" i="14"/>
  <c r="L28" i="14"/>
  <c r="M28" i="14"/>
  <c r="N28" i="14"/>
  <c r="Q28" i="14"/>
  <c r="R28" i="14"/>
  <c r="S28" i="14"/>
  <c r="T28" i="14"/>
  <c r="U28" i="14"/>
  <c r="V28" i="14"/>
  <c r="Y28" i="14"/>
  <c r="Z28" i="14"/>
  <c r="AA28" i="14"/>
  <c r="AB28" i="14"/>
  <c r="AC28" i="14"/>
  <c r="AD28" i="14"/>
  <c r="AG28" i="14"/>
  <c r="AH28" i="14"/>
  <c r="AI28" i="14"/>
  <c r="E29" i="14"/>
  <c r="F29" i="14"/>
  <c r="G29" i="14"/>
  <c r="J29" i="14"/>
  <c r="L29" i="14"/>
  <c r="M29" i="14"/>
  <c r="N29" i="14"/>
  <c r="O29" i="14"/>
  <c r="R29" i="14"/>
  <c r="S29" i="14"/>
  <c r="T29" i="14"/>
  <c r="U29" i="14"/>
  <c r="V29" i="14"/>
  <c r="W29" i="14"/>
  <c r="X29" i="14"/>
  <c r="Z29" i="14"/>
  <c r="AA29" i="14"/>
  <c r="AB29" i="14"/>
  <c r="AC29" i="14"/>
  <c r="AD29" i="14"/>
  <c r="AE29" i="14"/>
  <c r="AH29" i="14"/>
  <c r="E30" i="14"/>
  <c r="F30" i="14"/>
  <c r="G30" i="14"/>
  <c r="H30" i="14"/>
  <c r="K30" i="14"/>
  <c r="L30" i="14"/>
  <c r="M30" i="14"/>
  <c r="N30" i="14"/>
  <c r="O30" i="14"/>
  <c r="P30" i="14"/>
  <c r="S30" i="14"/>
  <c r="T30" i="14"/>
  <c r="U30" i="14"/>
  <c r="V30" i="14"/>
  <c r="W30" i="14"/>
  <c r="X30" i="14"/>
  <c r="AA30" i="14"/>
  <c r="AB30" i="14"/>
  <c r="AC30" i="14"/>
  <c r="AD30" i="14"/>
  <c r="AE30" i="14"/>
  <c r="AF30" i="14"/>
  <c r="AI30" i="14"/>
  <c r="E31" i="14"/>
  <c r="F31" i="14"/>
  <c r="G31" i="14"/>
  <c r="H31" i="14"/>
  <c r="I31" i="14"/>
  <c r="L31" i="14"/>
  <c r="M31" i="14"/>
  <c r="N31" i="14"/>
  <c r="O31" i="14"/>
  <c r="P31" i="14"/>
  <c r="Q31" i="14"/>
  <c r="T31" i="14"/>
  <c r="U31" i="14"/>
  <c r="V31" i="14"/>
  <c r="W31" i="14"/>
  <c r="X31" i="14"/>
  <c r="Y31" i="14"/>
  <c r="AB31" i="14"/>
  <c r="AC31" i="14"/>
  <c r="AD31" i="14"/>
  <c r="AE31" i="14"/>
  <c r="AF31" i="14"/>
  <c r="AG31" i="14"/>
  <c r="E32" i="14"/>
  <c r="F32" i="14"/>
  <c r="G32" i="14"/>
  <c r="H32" i="14"/>
  <c r="I32" i="14"/>
  <c r="J32" i="14"/>
  <c r="M32" i="14"/>
  <c r="N32" i="14"/>
  <c r="O32" i="14"/>
  <c r="P32" i="14"/>
  <c r="Q32" i="14"/>
  <c r="R32" i="14"/>
  <c r="U32" i="14"/>
  <c r="V32" i="14"/>
  <c r="W32" i="14"/>
  <c r="X32" i="14"/>
  <c r="Y32" i="14"/>
  <c r="Z32" i="14"/>
  <c r="AC32" i="14"/>
  <c r="AD32" i="14"/>
  <c r="AE32" i="14"/>
  <c r="AF32" i="14"/>
  <c r="AG32" i="14"/>
  <c r="AH32" i="14"/>
  <c r="E33" i="14"/>
  <c r="F33" i="14"/>
  <c r="G33" i="14"/>
  <c r="H33" i="14"/>
  <c r="I33" i="14"/>
  <c r="J33" i="14"/>
  <c r="K33" i="14"/>
  <c r="N33" i="14"/>
  <c r="P33" i="14"/>
  <c r="Q33" i="14"/>
  <c r="R33" i="14"/>
  <c r="S33" i="14"/>
  <c r="V33" i="14"/>
  <c r="W33" i="14"/>
  <c r="X33" i="14"/>
  <c r="Y33" i="14"/>
  <c r="Z33" i="14"/>
  <c r="AA33" i="14"/>
  <c r="AD33" i="14"/>
  <c r="AE33" i="14"/>
  <c r="AF33" i="14"/>
  <c r="AG33" i="14"/>
  <c r="AH33" i="14"/>
  <c r="AI33" i="14"/>
  <c r="E34" i="14"/>
  <c r="G34" i="14"/>
  <c r="J34" i="14"/>
  <c r="K34" i="14"/>
  <c r="L34" i="14"/>
  <c r="O34" i="14"/>
  <c r="P34" i="14"/>
  <c r="Q34" i="14"/>
  <c r="R34" i="14"/>
  <c r="S34" i="14"/>
  <c r="T34" i="14"/>
  <c r="W34" i="14"/>
  <c r="X34" i="14"/>
  <c r="Y34" i="14"/>
  <c r="Z34" i="14"/>
  <c r="AA34" i="14"/>
  <c r="AB34" i="14"/>
  <c r="AE34" i="14"/>
  <c r="AF34" i="14"/>
  <c r="AG34" i="14"/>
  <c r="AH34" i="14"/>
  <c r="AI34" i="14"/>
  <c r="E35" i="14"/>
  <c r="H35" i="14"/>
  <c r="I35" i="14"/>
  <c r="J35" i="14"/>
  <c r="K35" i="14"/>
  <c r="L35" i="14"/>
  <c r="M35" i="14"/>
  <c r="P35" i="14"/>
  <c r="R35" i="14"/>
  <c r="S35" i="14"/>
  <c r="T35" i="14"/>
  <c r="U35" i="14"/>
  <c r="X35" i="14"/>
  <c r="Y35" i="14"/>
  <c r="Z35" i="14"/>
  <c r="AA35" i="14"/>
  <c r="AB35" i="14"/>
  <c r="AC35" i="14"/>
  <c r="AF35" i="14"/>
  <c r="AG35" i="14"/>
  <c r="AH35" i="14"/>
  <c r="AI35" i="14"/>
  <c r="E36" i="14"/>
  <c r="F36" i="14"/>
  <c r="I36" i="14"/>
  <c r="K36" i="14"/>
  <c r="L36" i="14"/>
  <c r="M36" i="14"/>
  <c r="N36" i="14"/>
  <c r="Q36" i="14"/>
  <c r="R36" i="14"/>
  <c r="S36" i="14"/>
  <c r="T36" i="14"/>
  <c r="U36" i="14"/>
  <c r="V36" i="14"/>
  <c r="Y36" i="14"/>
  <c r="Z36" i="14"/>
  <c r="AA36" i="14"/>
  <c r="AB36" i="14"/>
  <c r="AC36" i="14"/>
  <c r="AD36" i="14"/>
  <c r="AG36" i="14"/>
  <c r="AH36" i="14"/>
  <c r="AI36" i="14"/>
  <c r="E37" i="14"/>
  <c r="F37" i="14"/>
  <c r="G37" i="14"/>
  <c r="J37" i="14"/>
  <c r="K37" i="14"/>
  <c r="L37" i="14"/>
  <c r="M37" i="14"/>
  <c r="N37" i="14"/>
  <c r="O37" i="14"/>
  <c r="R37" i="14"/>
  <c r="S37" i="14"/>
  <c r="T37" i="14"/>
  <c r="U37" i="14"/>
  <c r="V37" i="14"/>
  <c r="W37" i="14"/>
  <c r="X37" i="14"/>
  <c r="Z37" i="14"/>
  <c r="AB37" i="14"/>
  <c r="AC37" i="14"/>
  <c r="AD37" i="14"/>
  <c r="AE37" i="14"/>
  <c r="AH37" i="14"/>
  <c r="AI37" i="14"/>
  <c r="E39" i="14"/>
  <c r="F39" i="14"/>
  <c r="G39" i="14"/>
  <c r="H39" i="14"/>
  <c r="I39" i="14"/>
  <c r="L39" i="14"/>
  <c r="M39" i="14"/>
  <c r="N39" i="14"/>
  <c r="O39" i="14"/>
  <c r="P39" i="14"/>
  <c r="Q39" i="14"/>
  <c r="T39" i="14"/>
  <c r="U39" i="14"/>
  <c r="V39" i="14"/>
  <c r="W39" i="14"/>
  <c r="X39" i="14"/>
  <c r="AB39" i="14"/>
  <c r="AC39" i="14"/>
  <c r="AD39" i="14"/>
  <c r="AE39" i="14"/>
  <c r="AF39" i="14"/>
  <c r="AG39" i="14"/>
  <c r="E40" i="14"/>
  <c r="F40" i="14"/>
  <c r="G40" i="14"/>
  <c r="H40" i="14"/>
  <c r="I40" i="14"/>
  <c r="J40" i="14"/>
  <c r="M40" i="14"/>
  <c r="N40" i="14"/>
  <c r="O40" i="14"/>
  <c r="P40" i="14"/>
  <c r="Q40" i="14"/>
  <c r="R40" i="14"/>
  <c r="U40" i="14"/>
  <c r="V40" i="14"/>
  <c r="W40" i="14"/>
  <c r="X40" i="14"/>
  <c r="Y40" i="14"/>
  <c r="Z40" i="14"/>
  <c r="AC40" i="14"/>
  <c r="AE40" i="14"/>
  <c r="AF40" i="14"/>
  <c r="AG40" i="14"/>
  <c r="AH40" i="14"/>
  <c r="E41" i="14"/>
  <c r="F41" i="14"/>
  <c r="G41" i="14"/>
  <c r="H41" i="14"/>
  <c r="I41" i="14"/>
  <c r="J41" i="14"/>
  <c r="K41" i="14"/>
  <c r="N41" i="14"/>
  <c r="O41" i="14"/>
  <c r="P41" i="14"/>
  <c r="Q41" i="14"/>
  <c r="R41" i="14"/>
  <c r="S41" i="14"/>
  <c r="V41" i="14"/>
  <c r="W41" i="14"/>
  <c r="X41" i="14"/>
  <c r="Y41" i="14"/>
  <c r="Z41" i="14"/>
  <c r="AA41" i="14"/>
  <c r="AD41" i="14"/>
  <c r="AE41" i="14"/>
  <c r="AF41" i="14"/>
  <c r="AG41" i="14"/>
  <c r="AH41" i="14"/>
  <c r="AI41" i="14"/>
  <c r="E43" i="14"/>
  <c r="G43" i="14"/>
  <c r="H43" i="14"/>
  <c r="I43" i="14"/>
  <c r="J43" i="14"/>
  <c r="K43" i="14"/>
  <c r="L43" i="14"/>
  <c r="M43" i="14"/>
  <c r="O43" i="14"/>
  <c r="P43" i="14"/>
  <c r="Q43" i="14"/>
  <c r="R43" i="14"/>
  <c r="S43" i="14"/>
  <c r="T43" i="14"/>
  <c r="W43" i="14"/>
  <c r="X43" i="14"/>
  <c r="Y43" i="14"/>
  <c r="Z43" i="14"/>
  <c r="AA43" i="14"/>
  <c r="AB43" i="14"/>
  <c r="AE43" i="14"/>
  <c r="AF43" i="14"/>
  <c r="AG43" i="14"/>
  <c r="AH43" i="14"/>
  <c r="AI43" i="14"/>
  <c r="E44" i="14"/>
  <c r="F44" i="14"/>
  <c r="H44" i="14"/>
  <c r="I44" i="14"/>
  <c r="J44" i="14"/>
  <c r="K44" i="14"/>
  <c r="L44" i="14"/>
  <c r="M44" i="14"/>
  <c r="N44" i="14"/>
  <c r="Q44" i="14"/>
  <c r="R44" i="14"/>
  <c r="S44" i="14"/>
  <c r="T44" i="14"/>
  <c r="U44" i="14"/>
  <c r="V44" i="14"/>
  <c r="X44" i="14"/>
  <c r="Y44" i="14"/>
  <c r="Z44" i="14"/>
  <c r="AA44" i="14"/>
  <c r="AB44" i="14"/>
  <c r="AC44" i="14"/>
  <c r="AF44" i="14"/>
  <c r="AG44" i="14"/>
  <c r="AH44" i="14"/>
  <c r="AI44" i="14"/>
  <c r="E46" i="14"/>
  <c r="F46" i="14"/>
  <c r="I46" i="14"/>
  <c r="J46" i="14"/>
  <c r="K46" i="14"/>
  <c r="L46" i="14"/>
  <c r="M46" i="14"/>
  <c r="N46" i="14"/>
  <c r="O46" i="14"/>
  <c r="Q46" i="14"/>
  <c r="R46" i="14"/>
  <c r="S46" i="14"/>
  <c r="T46" i="14"/>
  <c r="U46" i="14"/>
  <c r="V46" i="14"/>
  <c r="W46" i="14"/>
  <c r="Z46" i="14"/>
  <c r="AA46" i="14"/>
  <c r="AB46" i="14"/>
  <c r="AC46" i="14"/>
  <c r="AD46" i="14"/>
  <c r="AG46" i="14"/>
  <c r="AH46" i="14"/>
  <c r="AI46" i="14"/>
  <c r="E47" i="14"/>
  <c r="F47" i="14"/>
  <c r="G47" i="14"/>
  <c r="H47" i="14"/>
  <c r="J47" i="14"/>
  <c r="K47" i="14"/>
  <c r="L47" i="14"/>
  <c r="M47" i="14"/>
  <c r="N47" i="14"/>
  <c r="O47" i="14"/>
  <c r="P47" i="14"/>
  <c r="R47" i="14"/>
  <c r="S47" i="14"/>
  <c r="T47" i="14"/>
  <c r="U47" i="14"/>
  <c r="V47" i="14"/>
  <c r="W47" i="14"/>
  <c r="X47" i="14"/>
  <c r="Z47" i="14"/>
  <c r="AA47" i="14"/>
  <c r="AB47" i="14"/>
  <c r="AC47" i="14"/>
  <c r="AD47" i="14"/>
  <c r="AE47" i="14"/>
  <c r="AF47" i="14"/>
  <c r="AI47" i="14"/>
  <c r="E48" i="14"/>
  <c r="F48" i="14"/>
  <c r="G48" i="14"/>
  <c r="H48" i="14"/>
  <c r="K48" i="14"/>
  <c r="L48" i="14"/>
  <c r="M48" i="14"/>
  <c r="N48" i="14"/>
  <c r="O48" i="14"/>
  <c r="P48" i="14"/>
  <c r="S48" i="14"/>
  <c r="T48" i="14"/>
  <c r="U48" i="14"/>
  <c r="V48" i="14"/>
  <c r="W48" i="14"/>
  <c r="X48" i="14"/>
  <c r="Y48" i="14"/>
  <c r="AA48" i="14"/>
  <c r="AC48" i="14"/>
  <c r="AD48" i="14"/>
  <c r="AE48" i="14"/>
  <c r="AF48" i="14"/>
  <c r="AG48" i="14"/>
  <c r="AI48" i="14"/>
  <c r="E49" i="14"/>
  <c r="F49" i="14"/>
  <c r="G49" i="14"/>
  <c r="H49" i="14"/>
  <c r="I49" i="14"/>
  <c r="J49" i="14"/>
  <c r="L49" i="14"/>
  <c r="M49" i="14"/>
  <c r="N49" i="14"/>
  <c r="O49" i="14"/>
  <c r="P49" i="14"/>
  <c r="Q49" i="14"/>
  <c r="R49" i="14"/>
  <c r="T49" i="14"/>
  <c r="U49" i="14"/>
  <c r="V49" i="14"/>
  <c r="W49" i="14"/>
  <c r="X49" i="14"/>
  <c r="Y49" i="14"/>
  <c r="AC49" i="14"/>
  <c r="AD49" i="14"/>
  <c r="AE49" i="14"/>
  <c r="AF49" i="14"/>
  <c r="AG49" i="14"/>
  <c r="AH49" i="14"/>
  <c r="E50" i="14"/>
  <c r="F50" i="14"/>
  <c r="G50" i="14"/>
  <c r="H50" i="14"/>
  <c r="I50" i="14"/>
  <c r="J50" i="14"/>
  <c r="K50" i="14"/>
  <c r="M50" i="14"/>
  <c r="N50" i="14"/>
  <c r="O50" i="14"/>
  <c r="P50" i="14"/>
  <c r="Q50" i="14"/>
  <c r="R50" i="14"/>
  <c r="V50" i="14"/>
  <c r="W50" i="14"/>
  <c r="X50" i="14"/>
  <c r="Y50" i="14"/>
  <c r="Z50" i="14"/>
  <c r="AC50" i="14"/>
  <c r="AD50" i="14"/>
  <c r="AE50" i="14"/>
  <c r="AF50" i="14"/>
  <c r="AG50" i="14"/>
  <c r="AH50" i="14"/>
  <c r="AI50" i="14"/>
  <c r="F52" i="14"/>
  <c r="G52" i="14"/>
  <c r="H52" i="14"/>
  <c r="I52" i="14"/>
  <c r="J52" i="14"/>
  <c r="K52" i="14"/>
  <c r="L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D52" i="14"/>
  <c r="AE52" i="14"/>
  <c r="AF52" i="14"/>
  <c r="AG52" i="14"/>
  <c r="AH52" i="14"/>
  <c r="AI52" i="14"/>
  <c r="G53" i="14"/>
  <c r="H53" i="14"/>
  <c r="I53" i="14"/>
  <c r="J53" i="14"/>
  <c r="K53" i="14"/>
  <c r="L53" i="14"/>
  <c r="M53" i="14"/>
  <c r="O53" i="14"/>
  <c r="P53" i="14"/>
  <c r="Q53" i="14"/>
  <c r="R53" i="14"/>
  <c r="S53" i="14"/>
  <c r="T53" i="14"/>
  <c r="U53" i="14"/>
  <c r="W53" i="14"/>
  <c r="X53" i="14"/>
  <c r="Y53" i="14"/>
  <c r="Z53" i="14"/>
  <c r="AA53" i="14"/>
  <c r="AB53" i="14"/>
  <c r="AE53" i="14"/>
  <c r="AF53" i="14"/>
  <c r="AG53" i="14"/>
  <c r="AH53" i="14"/>
  <c r="AI53" i="14"/>
  <c r="E54" i="14"/>
  <c r="H54" i="14"/>
  <c r="I54" i="14"/>
  <c r="J54" i="14"/>
  <c r="K54" i="14"/>
  <c r="L54" i="14"/>
  <c r="M54" i="14"/>
  <c r="N54" i="14"/>
  <c r="Q54" i="14"/>
  <c r="R54" i="14"/>
  <c r="S54" i="14"/>
  <c r="T54" i="14"/>
  <c r="U54" i="14"/>
  <c r="V54" i="14"/>
  <c r="X54" i="14"/>
  <c r="Y54" i="14"/>
  <c r="Z54" i="14"/>
  <c r="AA54" i="14"/>
  <c r="AB54" i="14"/>
  <c r="AC54" i="14"/>
  <c r="AD54" i="14"/>
  <c r="AF54" i="14"/>
  <c r="AG54" i="14"/>
  <c r="AH54" i="14"/>
  <c r="AI54" i="14"/>
  <c r="E55" i="14"/>
  <c r="F55" i="14"/>
  <c r="I55" i="14"/>
  <c r="J55" i="14"/>
  <c r="K55" i="14"/>
  <c r="L55" i="14"/>
  <c r="M55" i="14"/>
  <c r="N55" i="14"/>
  <c r="Q55" i="14"/>
  <c r="R55" i="14"/>
  <c r="S55" i="14"/>
  <c r="T55" i="14"/>
  <c r="U55" i="14"/>
  <c r="V55" i="14"/>
  <c r="W55" i="14"/>
  <c r="Y55" i="14"/>
  <c r="Z55" i="14"/>
  <c r="AA55" i="14"/>
  <c r="AB55" i="14"/>
  <c r="AC55" i="14"/>
  <c r="AD55" i="14"/>
  <c r="AE55" i="14"/>
  <c r="AG55" i="14"/>
  <c r="AH55" i="14"/>
  <c r="AI55" i="14"/>
  <c r="E56" i="14"/>
  <c r="F56" i="14"/>
  <c r="G56" i="14"/>
  <c r="J56" i="14"/>
  <c r="K56" i="14"/>
  <c r="L56" i="14"/>
  <c r="M56" i="14"/>
  <c r="N56" i="14"/>
  <c r="O56" i="14"/>
  <c r="P56" i="14"/>
  <c r="R56" i="14"/>
  <c r="S56" i="14"/>
  <c r="T56" i="14"/>
  <c r="U56" i="14"/>
  <c r="V56" i="14"/>
  <c r="W56" i="14"/>
  <c r="X56" i="14"/>
  <c r="Z56" i="14"/>
  <c r="AA56" i="14"/>
  <c r="AB56" i="14"/>
  <c r="AC56" i="14"/>
  <c r="AD56" i="14"/>
  <c r="AE56" i="14"/>
  <c r="AF56" i="14"/>
  <c r="AH56" i="14"/>
  <c r="AI56" i="14"/>
  <c r="E57" i="14"/>
  <c r="F57" i="14"/>
  <c r="G57" i="14"/>
  <c r="H57" i="14"/>
  <c r="I57" i="14"/>
  <c r="L57" i="14"/>
  <c r="M57" i="14"/>
  <c r="N57" i="14"/>
  <c r="O57" i="14"/>
  <c r="P57" i="14"/>
  <c r="S57" i="14"/>
  <c r="T57" i="14"/>
  <c r="U57" i="14"/>
  <c r="V57" i="14"/>
  <c r="W57" i="14"/>
  <c r="AC57" i="14"/>
  <c r="AD57" i="14"/>
  <c r="AE57" i="14"/>
  <c r="AG57" i="14"/>
  <c r="AI57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R58" i="14"/>
  <c r="S58" i="14"/>
  <c r="T58" i="14"/>
  <c r="U58" i="14"/>
  <c r="V58" i="14"/>
  <c r="W58" i="14"/>
  <c r="X58" i="14"/>
  <c r="Z58" i="14"/>
  <c r="AB58" i="14"/>
  <c r="AF58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Y59" i="14"/>
  <c r="AE59" i="14"/>
  <c r="AF59" i="14"/>
  <c r="AG59" i="14"/>
  <c r="E60" i="14"/>
  <c r="F60" i="14"/>
  <c r="G60" i="14"/>
  <c r="H60" i="14"/>
  <c r="I60" i="14"/>
  <c r="J60" i="14"/>
  <c r="L60" i="14"/>
  <c r="N60" i="14"/>
  <c r="O60" i="14"/>
  <c r="P60" i="14"/>
  <c r="Q60" i="14"/>
  <c r="R60" i="14"/>
  <c r="S60" i="14"/>
  <c r="T60" i="14"/>
  <c r="U60" i="14"/>
  <c r="V60" i="14"/>
  <c r="W60" i="14"/>
  <c r="X60" i="14"/>
  <c r="Z60" i="14"/>
  <c r="AB60" i="14"/>
  <c r="AD60" i="14"/>
  <c r="AG60" i="14"/>
  <c r="AH60" i="14"/>
  <c r="F63" i="14"/>
  <c r="G63" i="14"/>
  <c r="H63" i="14"/>
  <c r="I63" i="14"/>
  <c r="K63" i="14"/>
  <c r="L63" i="14"/>
  <c r="M63" i="14"/>
  <c r="N63" i="14"/>
  <c r="O63" i="14"/>
  <c r="P63" i="14"/>
  <c r="Q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G63" i="14"/>
  <c r="AI63" i="14"/>
  <c r="E9" i="14"/>
  <c r="F9" i="14"/>
  <c r="G9" i="14"/>
  <c r="H9" i="14"/>
  <c r="K9" i="14"/>
  <c r="M9" i="14"/>
  <c r="N9" i="14"/>
  <c r="O9" i="14"/>
  <c r="P9" i="14"/>
  <c r="U9" i="14"/>
  <c r="V9" i="14"/>
  <c r="W9" i="14"/>
  <c r="X9" i="14"/>
  <c r="AC9" i="14"/>
  <c r="AD9" i="14"/>
  <c r="AE9" i="14"/>
  <c r="AF9" i="14"/>
  <c r="F10" i="14"/>
  <c r="G10" i="14"/>
  <c r="H10" i="14"/>
  <c r="I10" i="14"/>
  <c r="N10" i="14"/>
  <c r="O10" i="14"/>
  <c r="P10" i="14"/>
  <c r="Q10" i="14"/>
  <c r="V10" i="14"/>
  <c r="W10" i="14"/>
  <c r="X10" i="14"/>
  <c r="Y10" i="14"/>
  <c r="AD10" i="14"/>
  <c r="AE10" i="14"/>
  <c r="AF10" i="14"/>
  <c r="AG10" i="14"/>
  <c r="G11" i="14"/>
  <c r="H11" i="14"/>
  <c r="I11" i="14"/>
  <c r="J11" i="14"/>
  <c r="O11" i="14"/>
  <c r="P11" i="14"/>
  <c r="Q11" i="14"/>
  <c r="R11" i="14"/>
  <c r="Y11" i="14"/>
  <c r="Z11" i="14"/>
  <c r="AE11" i="14"/>
  <c r="AF11" i="14"/>
  <c r="AG11" i="14"/>
  <c r="AH11" i="14"/>
  <c r="H12" i="14"/>
  <c r="I12" i="14"/>
  <c r="J12" i="14"/>
  <c r="K12" i="14"/>
  <c r="P12" i="14"/>
  <c r="Q12" i="14"/>
  <c r="R12" i="14"/>
  <c r="S12" i="14"/>
  <c r="Y12" i="14"/>
  <c r="Z12" i="14"/>
  <c r="AA12" i="14"/>
  <c r="AF12" i="14"/>
  <c r="AG12" i="14"/>
  <c r="AH12" i="14"/>
  <c r="AI12" i="14"/>
  <c r="I13" i="14"/>
  <c r="J13" i="14"/>
  <c r="K13" i="14"/>
  <c r="L13" i="14"/>
  <c r="Q13" i="14"/>
  <c r="R13" i="14"/>
  <c r="S13" i="14"/>
  <c r="T13" i="14"/>
  <c r="Y13" i="14"/>
  <c r="Z13" i="14"/>
  <c r="AA13" i="14"/>
  <c r="AG13" i="14"/>
  <c r="AH13" i="14"/>
  <c r="AI13" i="14"/>
  <c r="E14" i="14"/>
  <c r="J14" i="14"/>
  <c r="K14" i="14"/>
  <c r="L14" i="14"/>
  <c r="R14" i="14"/>
  <c r="S14" i="14"/>
  <c r="T14" i="14"/>
  <c r="U14" i="14"/>
  <c r="Z14" i="14"/>
  <c r="AA14" i="14"/>
  <c r="AB14" i="14"/>
  <c r="AC14" i="14"/>
  <c r="AH14" i="14"/>
  <c r="AI14" i="14"/>
  <c r="E15" i="14"/>
  <c r="K15" i="14"/>
  <c r="L15" i="14"/>
  <c r="M15" i="14"/>
  <c r="N15" i="14"/>
  <c r="S15" i="14"/>
  <c r="T15" i="14"/>
  <c r="U15" i="14"/>
  <c r="V15" i="14"/>
  <c r="AA15" i="14"/>
  <c r="AB15" i="14"/>
  <c r="AC15" i="14"/>
  <c r="AI15" i="14"/>
  <c r="F16" i="14"/>
  <c r="G16" i="14"/>
  <c r="L16" i="14"/>
  <c r="M16" i="14"/>
  <c r="N16" i="14"/>
  <c r="T16" i="14"/>
  <c r="U16" i="14"/>
  <c r="V16" i="14"/>
  <c r="W16" i="14"/>
  <c r="AB16" i="14"/>
  <c r="AC16" i="14"/>
  <c r="AD16" i="14"/>
  <c r="AE16" i="14"/>
  <c r="F17" i="14"/>
  <c r="G17" i="14"/>
  <c r="H17" i="14"/>
  <c r="M17" i="14"/>
  <c r="N17" i="14"/>
  <c r="O17" i="14"/>
  <c r="P17" i="14"/>
  <c r="U17" i="14"/>
  <c r="V17" i="14"/>
  <c r="W17" i="14"/>
  <c r="X17" i="14"/>
  <c r="AC17" i="14"/>
  <c r="AD17" i="14"/>
  <c r="AE17" i="14"/>
  <c r="G19" i="14"/>
  <c r="G65" i="14" s="1"/>
  <c r="H19" i="14"/>
  <c r="H65" i="14" s="1"/>
  <c r="I19" i="14"/>
  <c r="I65" i="14" s="1"/>
  <c r="N19" i="14"/>
  <c r="N65" i="14" s="1"/>
  <c r="O19" i="14"/>
  <c r="O65" i="14" s="1"/>
  <c r="P19" i="14"/>
  <c r="P65" i="14" s="1"/>
  <c r="V19" i="14"/>
  <c r="V65" i="14" s="1"/>
  <c r="W19" i="14"/>
  <c r="W65" i="14" s="1"/>
  <c r="X19" i="14"/>
  <c r="X65" i="14" s="1"/>
  <c r="Y19" i="14"/>
  <c r="Y65" i="14" s="1"/>
  <c r="AD19" i="14"/>
  <c r="AD65" i="14" s="1"/>
  <c r="AE19" i="14"/>
  <c r="AE65" i="14" s="1"/>
  <c r="AF19" i="14"/>
  <c r="AF65" i="14" s="1"/>
  <c r="AG19" i="14"/>
  <c r="AG65" i="14" s="1"/>
  <c r="G21" i="14"/>
  <c r="H21" i="14"/>
  <c r="I21" i="14"/>
  <c r="J21" i="14"/>
  <c r="O21" i="14"/>
  <c r="P21" i="14"/>
  <c r="Q21" i="14"/>
  <c r="R21" i="14"/>
  <c r="W21" i="14"/>
  <c r="Y21" i="14"/>
  <c r="Z21" i="14"/>
  <c r="AE21" i="14"/>
  <c r="AF21" i="14"/>
  <c r="AG21" i="14"/>
  <c r="AH21" i="14"/>
  <c r="H22" i="14"/>
  <c r="I22" i="14"/>
  <c r="J22" i="14"/>
  <c r="K22" i="14"/>
  <c r="L22" i="14"/>
  <c r="P22" i="14"/>
  <c r="Q22" i="14"/>
  <c r="R22" i="14"/>
  <c r="S22" i="14"/>
  <c r="T22" i="14"/>
  <c r="U22" i="14"/>
  <c r="Y22" i="14"/>
  <c r="Z22" i="14"/>
  <c r="AA22" i="14"/>
  <c r="AC22" i="14"/>
  <c r="AF22" i="14"/>
  <c r="AG22" i="14"/>
  <c r="AH22" i="14"/>
  <c r="AI22" i="14"/>
  <c r="I23" i="14"/>
  <c r="J23" i="14"/>
  <c r="K23" i="14"/>
  <c r="M23" i="14"/>
  <c r="Q23" i="14"/>
  <c r="R23" i="14"/>
  <c r="S23" i="14"/>
  <c r="T23" i="14"/>
  <c r="Y23" i="14"/>
  <c r="Z23" i="14"/>
  <c r="AA23" i="14"/>
  <c r="AC23" i="14"/>
  <c r="AG23" i="14"/>
  <c r="AH23" i="14"/>
  <c r="AI23" i="14"/>
  <c r="F24" i="14"/>
  <c r="J24" i="14"/>
  <c r="K24" i="14"/>
  <c r="L24" i="14"/>
  <c r="M24" i="14"/>
  <c r="R24" i="14"/>
  <c r="S24" i="14"/>
  <c r="T24" i="14"/>
  <c r="U24" i="14"/>
  <c r="V24" i="14"/>
  <c r="Z24" i="14"/>
  <c r="AA24" i="14"/>
  <c r="AB24" i="14"/>
  <c r="AC24" i="14"/>
  <c r="AD24" i="14"/>
  <c r="AE24" i="14"/>
  <c r="AH24" i="14"/>
  <c r="AI24" i="14"/>
  <c r="E25" i="14"/>
  <c r="K25" i="14"/>
  <c r="L25" i="14"/>
  <c r="M25" i="14"/>
  <c r="O25" i="14"/>
  <c r="T25" i="14"/>
  <c r="U25" i="14"/>
  <c r="V25" i="14"/>
  <c r="AB25" i="14"/>
  <c r="AC25" i="14"/>
  <c r="AE25" i="14"/>
  <c r="AI25" i="14"/>
  <c r="F26" i="14"/>
  <c r="G26" i="14"/>
  <c r="M26" i="14"/>
  <c r="N26" i="14"/>
  <c r="O26" i="14"/>
  <c r="P26" i="14"/>
  <c r="U26" i="14"/>
  <c r="V26" i="14"/>
  <c r="Y26" i="14"/>
  <c r="AB26" i="14"/>
  <c r="AC26" i="14"/>
  <c r="AD26" i="14"/>
  <c r="AE26" i="14"/>
  <c r="F27" i="14"/>
  <c r="G27" i="14"/>
  <c r="H27" i="14"/>
  <c r="I27" i="14"/>
  <c r="J27" i="14"/>
  <c r="N27" i="14"/>
  <c r="O27" i="14"/>
  <c r="U27" i="14"/>
  <c r="V27" i="14"/>
  <c r="W27" i="14"/>
  <c r="Y27" i="14"/>
  <c r="AD27" i="14"/>
  <c r="AE27" i="14"/>
  <c r="G28" i="14"/>
  <c r="H28" i="14"/>
  <c r="O28" i="14"/>
  <c r="P28" i="14"/>
  <c r="W28" i="14"/>
  <c r="X28" i="14"/>
  <c r="AE28" i="14"/>
  <c r="AF28" i="14"/>
  <c r="H29" i="14"/>
  <c r="I29" i="14"/>
  <c r="K29" i="14"/>
  <c r="P29" i="14"/>
  <c r="Q29" i="14"/>
  <c r="Y29" i="14"/>
  <c r="AF29" i="14"/>
  <c r="AG29" i="14"/>
  <c r="AI29" i="14"/>
  <c r="I30" i="14"/>
  <c r="J30" i="14"/>
  <c r="Q30" i="14"/>
  <c r="R30" i="14"/>
  <c r="Y30" i="14"/>
  <c r="Z30" i="14"/>
  <c r="AG30" i="14"/>
  <c r="AH30" i="14"/>
  <c r="J31" i="14"/>
  <c r="K31" i="14"/>
  <c r="R31" i="14"/>
  <c r="S31" i="14"/>
  <c r="Z31" i="14"/>
  <c r="AA31" i="14"/>
  <c r="AH31" i="14"/>
  <c r="AI31" i="14"/>
  <c r="K32" i="14"/>
  <c r="L32" i="14"/>
  <c r="S32" i="14"/>
  <c r="T32" i="14"/>
  <c r="AA32" i="14"/>
  <c r="AB32" i="14"/>
  <c r="AI32" i="14"/>
  <c r="L33" i="14"/>
  <c r="M33" i="14"/>
  <c r="O33" i="14"/>
  <c r="T33" i="14"/>
  <c r="U33" i="14"/>
  <c r="AB33" i="14"/>
  <c r="AC33" i="14"/>
  <c r="F34" i="14"/>
  <c r="H34" i="14"/>
  <c r="I34" i="14"/>
  <c r="M34" i="14"/>
  <c r="N34" i="14"/>
  <c r="U34" i="14"/>
  <c r="V34" i="14"/>
  <c r="AC34" i="14"/>
  <c r="AD34" i="14"/>
  <c r="F35" i="14"/>
  <c r="G35" i="14"/>
  <c r="N35" i="14"/>
  <c r="O35" i="14"/>
  <c r="Q35" i="14"/>
  <c r="V35" i="14"/>
  <c r="W35" i="14"/>
  <c r="AD35" i="14"/>
  <c r="AE35" i="14"/>
  <c r="G36" i="14"/>
  <c r="H36" i="14"/>
  <c r="J36" i="14"/>
  <c r="O36" i="14"/>
  <c r="P36" i="14"/>
  <c r="W36" i="14"/>
  <c r="X36" i="14"/>
  <c r="AE36" i="14"/>
  <c r="AF36" i="14"/>
  <c r="H37" i="14"/>
  <c r="I37" i="14"/>
  <c r="P37" i="14"/>
  <c r="Q37" i="14"/>
  <c r="Y37" i="14"/>
  <c r="AA37" i="14"/>
  <c r="AF37" i="14"/>
  <c r="AG37" i="14"/>
  <c r="J39" i="14"/>
  <c r="K39" i="14"/>
  <c r="R39" i="14"/>
  <c r="S39" i="14"/>
  <c r="Y39" i="14"/>
  <c r="Z39" i="14"/>
  <c r="AA39" i="14"/>
  <c r="AH39" i="14"/>
  <c r="AI39" i="14"/>
  <c r="K40" i="14"/>
  <c r="L40" i="14"/>
  <c r="S40" i="14"/>
  <c r="T40" i="14"/>
  <c r="AA40" i="14"/>
  <c r="AB40" i="14"/>
  <c r="AD40" i="14"/>
  <c r="AI40" i="14"/>
  <c r="L41" i="14"/>
  <c r="M41" i="14"/>
  <c r="T41" i="14"/>
  <c r="U41" i="14"/>
  <c r="AB41" i="14"/>
  <c r="AC41" i="14"/>
  <c r="F43" i="14"/>
  <c r="N43" i="14"/>
  <c r="U43" i="14"/>
  <c r="V43" i="14"/>
  <c r="AC43" i="14"/>
  <c r="AD43" i="14"/>
  <c r="G44" i="14"/>
  <c r="O44" i="14"/>
  <c r="P44" i="14"/>
  <c r="W44" i="14"/>
  <c r="AD44" i="14"/>
  <c r="AE44" i="14"/>
  <c r="G46" i="14"/>
  <c r="H46" i="14"/>
  <c r="P46" i="14"/>
  <c r="X46" i="14"/>
  <c r="Y46" i="14"/>
  <c r="AE46" i="14"/>
  <c r="AF46" i="14"/>
  <c r="I47" i="14"/>
  <c r="Q47" i="14"/>
  <c r="Y47" i="14"/>
  <c r="AG47" i="14"/>
  <c r="AH47" i="14"/>
  <c r="I48" i="14"/>
  <c r="J48" i="14"/>
  <c r="Q48" i="14"/>
  <c r="R48" i="14"/>
  <c r="Z48" i="14"/>
  <c r="AB48" i="14"/>
  <c r="AH48" i="14"/>
  <c r="K49" i="14"/>
  <c r="S49" i="14"/>
  <c r="Z49" i="14"/>
  <c r="AA49" i="14"/>
  <c r="AB49" i="14"/>
  <c r="AI49" i="14"/>
  <c r="L50" i="14"/>
  <c r="S50" i="14"/>
  <c r="T50" i="14"/>
  <c r="U50" i="14"/>
  <c r="AA50" i="14"/>
  <c r="AB50" i="14"/>
  <c r="E52" i="14"/>
  <c r="M52" i="14"/>
  <c r="AB52" i="14"/>
  <c r="AC52" i="14"/>
  <c r="E53" i="14"/>
  <c r="F53" i="14"/>
  <c r="N53" i="14"/>
  <c r="V53" i="14"/>
  <c r="AC53" i="14"/>
  <c r="AD53" i="14"/>
  <c r="F54" i="14"/>
  <c r="G54" i="14"/>
  <c r="O54" i="14"/>
  <c r="P54" i="14"/>
  <c r="W54" i="14"/>
  <c r="AE54" i="14"/>
  <c r="G55" i="14"/>
  <c r="H55" i="14"/>
  <c r="O55" i="14"/>
  <c r="P55" i="14"/>
  <c r="X55" i="14"/>
  <c r="AF55" i="14"/>
  <c r="H56" i="14"/>
  <c r="I56" i="14"/>
  <c r="Q56" i="14"/>
  <c r="Y56" i="14"/>
  <c r="AG56" i="14"/>
  <c r="J57" i="14"/>
  <c r="K57" i="14"/>
  <c r="Q57" i="14"/>
  <c r="R57" i="14"/>
  <c r="X57" i="14"/>
  <c r="Y57" i="14"/>
  <c r="Z57" i="14"/>
  <c r="AA57" i="14"/>
  <c r="AB57" i="14"/>
  <c r="AF57" i="14"/>
  <c r="AH57" i="14"/>
  <c r="Q58" i="14"/>
  <c r="Y58" i="14"/>
  <c r="AA58" i="14"/>
  <c r="AC58" i="14"/>
  <c r="AD58" i="14"/>
  <c r="AE58" i="14"/>
  <c r="AG58" i="14"/>
  <c r="AH58" i="14"/>
  <c r="AI58" i="14"/>
  <c r="X59" i="14"/>
  <c r="Z59" i="14"/>
  <c r="AA59" i="14"/>
  <c r="AB59" i="14"/>
  <c r="AC59" i="14"/>
  <c r="AD59" i="14"/>
  <c r="AH59" i="14"/>
  <c r="AI59" i="14"/>
  <c r="K60" i="14"/>
  <c r="M60" i="14"/>
  <c r="Y60" i="14"/>
  <c r="AA60" i="14"/>
  <c r="AC60" i="14"/>
  <c r="AE60" i="14"/>
  <c r="AF60" i="14"/>
  <c r="AI60" i="14"/>
  <c r="E63" i="14"/>
  <c r="J63" i="14"/>
  <c r="R63" i="14"/>
  <c r="AF63" i="14"/>
  <c r="AH63" i="14"/>
  <c r="A55" i="17"/>
  <c r="CO70" i="14" l="1"/>
  <c r="AT70" i="14"/>
  <c r="DF70" i="14"/>
  <c r="AX70" i="14"/>
  <c r="DX70" i="14"/>
  <c r="EZ70" i="14"/>
  <c r="BX70" i="14"/>
  <c r="CG70" i="14"/>
  <c r="BE70" i="14"/>
  <c r="AP70" i="14"/>
  <c r="DJ70" i="14"/>
  <c r="EB70" i="14"/>
  <c r="FM70" i="14"/>
  <c r="DU70" i="14"/>
  <c r="CZ70" i="14"/>
  <c r="FD70" i="14"/>
  <c r="AW70" i="14"/>
  <c r="BP70" i="14"/>
  <c r="ES70" i="14"/>
  <c r="BB70" i="14"/>
  <c r="BT70" i="14"/>
  <c r="AQ70" i="14"/>
  <c r="FG70" i="14"/>
  <c r="AZ70" i="14"/>
  <c r="AK70" i="14"/>
  <c r="AL70" i="14"/>
  <c r="DM70" i="14"/>
  <c r="DC70" i="14"/>
  <c r="CD70" i="14"/>
  <c r="FL70" i="14"/>
  <c r="BV70" i="14"/>
  <c r="BZ70" i="14"/>
  <c r="AJ70" i="14"/>
  <c r="BM70" i="14"/>
  <c r="CF70" i="14"/>
  <c r="BA70" i="14"/>
  <c r="AM70" i="14"/>
  <c r="BC70" i="14"/>
  <c r="BL70" i="14"/>
  <c r="BW70" i="14"/>
  <c r="BS70" i="14"/>
  <c r="BO70" i="14"/>
  <c r="BR70" i="14"/>
  <c r="BI70" i="14"/>
  <c r="BK70" i="14"/>
  <c r="BJ70" i="14"/>
  <c r="CE70" i="14"/>
  <c r="AN70" i="14"/>
  <c r="BF70" i="14"/>
  <c r="FO70" i="14"/>
  <c r="CI70" i="14"/>
  <c r="EP70" i="14"/>
  <c r="FH70" i="14"/>
  <c r="EL70" i="14"/>
  <c r="EG70" i="14"/>
  <c r="CL70" i="14"/>
  <c r="EX70" i="14"/>
  <c r="DD70" i="14"/>
  <c r="FP70" i="14"/>
  <c r="FA70" i="14"/>
  <c r="BY70" i="14"/>
  <c r="ET70" i="14"/>
  <c r="DO70" i="14"/>
  <c r="AU70" i="14"/>
  <c r="EO70" i="14"/>
  <c r="BU70" i="14"/>
  <c r="CR70" i="14"/>
  <c r="EV70" i="14"/>
  <c r="AO70" i="14"/>
  <c r="EW70" i="14"/>
  <c r="CC70" i="14"/>
  <c r="BN70" i="14"/>
  <c r="AY70" i="14"/>
  <c r="EY70" i="14"/>
  <c r="BH70" i="14"/>
  <c r="AR70" i="14"/>
  <c r="BQ70" i="14"/>
  <c r="FQ70" i="14"/>
  <c r="AS70" i="14"/>
  <c r="EU70" i="14"/>
  <c r="CA70" i="14"/>
  <c r="FC70" i="14"/>
  <c r="CT70" i="14"/>
  <c r="FF70" i="14"/>
  <c r="EI70" i="14"/>
  <c r="FI70" i="14"/>
  <c r="FB70" i="14"/>
  <c r="DW70" i="14"/>
  <c r="DB70" i="14"/>
  <c r="FN70" i="14"/>
  <c r="DT70" i="14"/>
  <c r="CW70" i="14"/>
  <c r="EE70" i="14"/>
  <c r="DH70" i="14"/>
  <c r="ER70" i="14"/>
  <c r="DV70" i="14"/>
  <c r="DQ70" i="14"/>
  <c r="CK70" i="14"/>
  <c r="EC70" i="14"/>
  <c r="DY70" i="14"/>
  <c r="CB70" i="14"/>
  <c r="CV70" i="14"/>
  <c r="EK70" i="14"/>
  <c r="DG70" i="14"/>
  <c r="CJ70" i="14"/>
  <c r="DL70" i="14"/>
  <c r="CH70" i="14"/>
  <c r="DS70" i="14"/>
  <c r="CP70" i="14"/>
  <c r="FJ70" i="14"/>
  <c r="CS70" i="14"/>
  <c r="FE70" i="14"/>
  <c r="CN70" i="14"/>
  <c r="CM70" i="14"/>
  <c r="DE70" i="14"/>
  <c r="CX70" i="14"/>
  <c r="EM70" i="14"/>
  <c r="DA70" i="14"/>
  <c r="AV70" i="14"/>
  <c r="DP70" i="14"/>
  <c r="BG70" i="14"/>
  <c r="EA70" i="14"/>
  <c r="DR70" i="14"/>
  <c r="CU70" i="14"/>
  <c r="EJ70" i="14"/>
  <c r="DN70" i="14"/>
  <c r="DI70" i="14"/>
  <c r="BD70" i="14"/>
  <c r="DZ70" i="14"/>
  <c r="CQ70" i="14"/>
  <c r="EF70" i="14"/>
  <c r="EQ70" i="14"/>
  <c r="EH70" i="14"/>
  <c r="DK70" i="14"/>
  <c r="ED70" i="14"/>
  <c r="CY70" i="14"/>
  <c r="FK70" i="14"/>
  <c r="EN70" i="14"/>
  <c r="AF67" i="14"/>
  <c r="T67" i="14"/>
  <c r="W67" i="14"/>
  <c r="AB67" i="14"/>
  <c r="AE67" i="14"/>
  <c r="L67" i="14"/>
  <c r="P67" i="14"/>
  <c r="H67" i="14"/>
  <c r="AC67" i="14"/>
  <c r="AD67" i="14"/>
  <c r="AH68" i="14"/>
  <c r="N67" i="14"/>
  <c r="V68" i="14"/>
  <c r="AA64" i="14"/>
  <c r="Z64" i="14"/>
  <c r="Y64" i="14"/>
  <c r="AF64" i="14"/>
  <c r="X64" i="14"/>
  <c r="AE64" i="14"/>
  <c r="AD64" i="14"/>
  <c r="F64" i="14"/>
  <c r="AD69" i="14"/>
  <c r="AB69" i="14"/>
  <c r="AI64" i="14"/>
  <c r="AH64" i="14"/>
  <c r="AG64" i="14"/>
  <c r="H64" i="14"/>
  <c r="V64" i="14"/>
  <c r="J64" i="14"/>
  <c r="O64" i="14"/>
  <c r="S64" i="14"/>
  <c r="R64" i="14"/>
  <c r="I64" i="14"/>
  <c r="P64" i="14"/>
  <c r="G64" i="14"/>
  <c r="N64" i="14"/>
  <c r="I68" i="14"/>
  <c r="K64" i="14"/>
  <c r="Q64" i="14"/>
  <c r="W64" i="14"/>
  <c r="AG68" i="14"/>
  <c r="X68" i="14"/>
  <c r="G67" i="14"/>
  <c r="E67" i="14"/>
  <c r="P68" i="14"/>
  <c r="AI67" i="14"/>
  <c r="AA67" i="14"/>
  <c r="S67" i="14"/>
  <c r="Z68" i="14"/>
  <c r="F67" i="14"/>
  <c r="AI68" i="14"/>
  <c r="O67" i="14"/>
  <c r="AF69" i="14"/>
  <c r="L68" i="14"/>
  <c r="AA68" i="14"/>
  <c r="K68" i="14"/>
  <c r="AH67" i="14"/>
  <c r="J67" i="14"/>
  <c r="Y67" i="14"/>
  <c r="Q67" i="14"/>
  <c r="I67" i="14"/>
  <c r="X67" i="14"/>
  <c r="AG67" i="14"/>
  <c r="M67" i="14"/>
  <c r="J68" i="14"/>
  <c r="T68" i="14"/>
  <c r="U67" i="14"/>
  <c r="V67" i="14"/>
  <c r="E69" i="14"/>
  <c r="S68" i="14"/>
  <c r="F66" i="14"/>
  <c r="Q69" i="14"/>
  <c r="Y66" i="14"/>
  <c r="F69" i="14"/>
  <c r="AE68" i="14"/>
  <c r="N69" i="14"/>
  <c r="O69" i="14"/>
  <c r="E68" i="14"/>
  <c r="W69" i="14"/>
  <c r="X69" i="14"/>
  <c r="M69" i="14"/>
  <c r="G68" i="14"/>
  <c r="N68" i="14"/>
  <c r="R68" i="14"/>
  <c r="AH66" i="14"/>
  <c r="P66" i="14"/>
  <c r="V69" i="14"/>
  <c r="AC68" i="14"/>
  <c r="E66" i="14"/>
  <c r="S66" i="14"/>
  <c r="Q66" i="14"/>
  <c r="V66" i="14"/>
  <c r="T69" i="14"/>
  <c r="AA69" i="14"/>
  <c r="T66" i="14"/>
  <c r="AF66" i="14"/>
  <c r="AF68" i="14"/>
  <c r="U66" i="14"/>
  <c r="K66" i="14"/>
  <c r="I66" i="14"/>
  <c r="AB64" i="14"/>
  <c r="Y69" i="14"/>
  <c r="AE69" i="14"/>
  <c r="S69" i="14"/>
  <c r="Y68" i="14"/>
  <c r="W68" i="14"/>
  <c r="AB66" i="14"/>
  <c r="Z66" i="14"/>
  <c r="H66" i="14"/>
  <c r="N66" i="14"/>
  <c r="T64" i="14"/>
  <c r="I69" i="14"/>
  <c r="H69" i="14"/>
  <c r="O68" i="14"/>
  <c r="F68" i="14"/>
  <c r="M66" i="14"/>
  <c r="AA66" i="14"/>
  <c r="R66" i="14"/>
  <c r="K69" i="14"/>
  <c r="Q68" i="14"/>
  <c r="U68" i="14"/>
  <c r="R67" i="14"/>
  <c r="AC66" i="14"/>
  <c r="AI66" i="14"/>
  <c r="AG66" i="14"/>
  <c r="AD66" i="14"/>
  <c r="G69" i="14"/>
  <c r="AC69" i="14"/>
  <c r="L69" i="14"/>
  <c r="AD68" i="14"/>
  <c r="AB68" i="14"/>
  <c r="Z67" i="14"/>
  <c r="L66" i="14"/>
  <c r="J66" i="14"/>
  <c r="X66" i="14"/>
  <c r="AG69" i="14"/>
  <c r="P69" i="14"/>
  <c r="U69" i="14"/>
  <c r="AI69" i="14"/>
  <c r="H68" i="14"/>
  <c r="J69" i="14"/>
  <c r="R69" i="14"/>
  <c r="M68" i="14"/>
  <c r="Z69" i="14"/>
  <c r="K67" i="14"/>
  <c r="L64" i="14"/>
  <c r="AH69" i="14"/>
  <c r="AE66" i="14"/>
  <c r="W66" i="14"/>
  <c r="O66" i="14"/>
  <c r="G66" i="14"/>
  <c r="AC64" i="14"/>
  <c r="U64" i="14"/>
  <c r="M64" i="14"/>
  <c r="E64" i="14"/>
  <c r="E70" i="14" l="1"/>
  <c r="AA70" i="14"/>
  <c r="G70" i="14"/>
  <c r="AH70" i="14"/>
  <c r="F70" i="14"/>
  <c r="X70" i="14"/>
  <c r="I70" i="14"/>
  <c r="V70" i="14"/>
  <c r="S70" i="14"/>
  <c r="P70" i="14"/>
  <c r="W70" i="14"/>
  <c r="J70" i="14"/>
  <c r="Z70" i="14"/>
  <c r="T70" i="14"/>
  <c r="AB70" i="14"/>
  <c r="Q70" i="14"/>
  <c r="U70" i="14"/>
  <c r="K70" i="14"/>
  <c r="M70" i="14"/>
  <c r="AC70" i="14"/>
  <c r="AD70" i="14"/>
  <c r="AF70" i="14"/>
  <c r="AG70" i="14"/>
  <c r="N70" i="14"/>
  <c r="Y70" i="14"/>
  <c r="H70" i="14"/>
  <c r="AI70" i="14"/>
  <c r="AE70" i="14"/>
  <c r="L70" i="14"/>
  <c r="O70" i="14"/>
  <c r="R70" i="14"/>
  <c r="A83" i="17" l="1"/>
  <c r="A57" i="17" l="1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9" i="17"/>
  <c r="A100" i="17"/>
  <c r="A101" i="17"/>
  <c r="A102" i="17"/>
  <c r="A56" i="17" l="1"/>
  <c r="B7" i="14" l="1"/>
  <c r="B63" i="14" l="1"/>
</calcChain>
</file>

<file path=xl/sharedStrings.xml><?xml version="1.0" encoding="utf-8"?>
<sst xmlns="http://schemas.openxmlformats.org/spreadsheetml/2006/main" count="1016" uniqueCount="784">
  <si>
    <t>Matrix:</t>
  </si>
  <si>
    <t>Normalize:</t>
  </si>
  <si>
    <t xml:space="preserve">11,12-EET </t>
  </si>
  <si>
    <t xml:space="preserve">11B-PGF2a </t>
  </si>
  <si>
    <t>12-HETE</t>
  </si>
  <si>
    <t>14,15-EET</t>
  </si>
  <si>
    <t xml:space="preserve">15dPGJ2 </t>
  </si>
  <si>
    <t xml:space="preserve">15-HETE </t>
  </si>
  <si>
    <t>5,6-DiHETE</t>
  </si>
  <si>
    <t>5,6-EET</t>
  </si>
  <si>
    <t>5-HETE</t>
  </si>
  <si>
    <t>5-oxo-ETE</t>
  </si>
  <si>
    <t xml:space="preserve">6kPGF1a </t>
  </si>
  <si>
    <t xml:space="preserve">8,9-EET </t>
  </si>
  <si>
    <t>8-HETE</t>
  </si>
  <si>
    <t xml:space="preserve">8isoPGA2 </t>
  </si>
  <si>
    <t xml:space="preserve">LTB4 </t>
  </si>
  <si>
    <t xml:space="preserve">LxA4 </t>
  </si>
  <si>
    <t xml:space="preserve">LXB4 </t>
  </si>
  <si>
    <t xml:space="preserve">PGD2 </t>
  </si>
  <si>
    <t xml:space="preserve">PGE2 </t>
  </si>
  <si>
    <t xml:space="preserve">PGF2a </t>
  </si>
  <si>
    <t xml:space="preserve">TXB2 </t>
  </si>
  <si>
    <t xml:space="preserve">14-HDoHE </t>
  </si>
  <si>
    <t xml:space="preserve">17-HDoHE </t>
  </si>
  <si>
    <t xml:space="preserve">PDx </t>
  </si>
  <si>
    <t xml:space="preserve">RVD1 </t>
  </si>
  <si>
    <t xml:space="preserve">RvD2 </t>
  </si>
  <si>
    <t xml:space="preserve">RvD3 </t>
  </si>
  <si>
    <t xml:space="preserve">RvD5 </t>
  </si>
  <si>
    <t>PGA1</t>
  </si>
  <si>
    <t>18-HEPE</t>
  </si>
  <si>
    <t xml:space="preserve">LTB5 </t>
  </si>
  <si>
    <t xml:space="preserve">PGE3 </t>
  </si>
  <si>
    <t xml:space="preserve">RvE1 </t>
  </si>
  <si>
    <t xml:space="preserve">13-HODE </t>
  </si>
  <si>
    <t xml:space="preserve">9-HODE </t>
  </si>
  <si>
    <t>Total oxylipins issued from AA cascade</t>
  </si>
  <si>
    <t>Total oxylipins issued from DGLA cascade</t>
  </si>
  <si>
    <t>Total oxylipins issued from DHA cascade</t>
  </si>
  <si>
    <t>Total oxylipins issued from EPA cascade</t>
  </si>
  <si>
    <t>Total oxylipins issued from LA cascade</t>
  </si>
  <si>
    <t>mg</t>
  </si>
  <si>
    <t>Protein weight</t>
  </si>
  <si>
    <t>Vial volume</t>
  </si>
  <si>
    <t>Tissue weight / Cells number</t>
  </si>
  <si>
    <t>12,13-DiHOME</t>
  </si>
  <si>
    <t>9,10-DiHOME</t>
  </si>
  <si>
    <t>13-oxo-ODE</t>
  </si>
  <si>
    <t>9-oxo-ODE</t>
  </si>
  <si>
    <t>9,10,13-TriHOME</t>
  </si>
  <si>
    <t>9,12,13-TriHOME</t>
  </si>
  <si>
    <t>5,6-EpETrE</t>
  </si>
  <si>
    <t>InChiKEY</t>
  </si>
  <si>
    <t>VBQNSZQZRAGRIX-GSKBNKFLSA-N</t>
  </si>
  <si>
    <t>InChi</t>
  </si>
  <si>
    <t>InChI=1S/C20H32O3/c1-2-3-4-5-6-7-8-9-10-11-12-13-15-18-19(23-18)16-14-17-20(21)22/h6-7,9-10,12-13,18-19H,2-5,8,11,14-17H2,1H3,(H,21,22)/b7-6-,10-9-,13-12-/t18-,19+/m1/s1</t>
  </si>
  <si>
    <t>CHEBI</t>
  </si>
  <si>
    <t>8,9-EpETrE</t>
  </si>
  <si>
    <t>DBWQSCSXHFNTMO-TYAUOURKSA-N</t>
  </si>
  <si>
    <t>1S/C20H32O3/c1-2-3-4-5-6-7-8-9-12-15-18-19(23-18)16-13-10-11-14-17-20(21)22/h6-7,9-10,12-13,18-19H,2-5,8,11,14-17H2,1H3,(H,21,22)/b7-6-,12-9-,13-10-</t>
  </si>
  <si>
    <t>11,12-EpETrE</t>
  </si>
  <si>
    <t>DXOYQVHGIODESM-KROJNAHFSA-N</t>
  </si>
  <si>
    <t>1S/C20H32O3/c1-2-3-4-5-9-12-15-18-19(23-18)16-13-10-7-6-8-11-14-17-20(21)22/h6,8-10,12-13,18-19H,2-5,7,11,14-17H2,1H3,(H,21,22)/b8-6-,12-9-,13-10-</t>
  </si>
  <si>
    <t>14,15-EpETrE</t>
  </si>
  <si>
    <t>JBSCUHKPLGKXKH-ILYOTBPNSA-N</t>
  </si>
  <si>
    <t>1S/C20H32O3/c1-2-3-12-15-18-19(23-18)16-13-10-8-6-4-5-7-9-11-14-17-20(21)22/h4,6-7,9-10,13,18-19H,2-3,5,8,11-12,14-17H2,1H3,(H,21,22)/b6-4-,9-7-,13-10-</t>
  </si>
  <si>
    <t>KGIJOOYOSFUGPC-JGKLHWIESA-N</t>
  </si>
  <si>
    <t>1S/C20H32O3/c1-2-3-4-5-6-7-8-9-10-11-12-13-14-16-19(21)17-15-18-20(22)23/h6-7,9-10,12-14,16,19,21H,2-5,8,11,15,17-18H2,1H3,(H,22,23)/b7-6-,10-9-,13-12-,16-14+/t19-/m1/s1</t>
  </si>
  <si>
    <t>5-Hydroxyeicosatetraenoic Acid</t>
  </si>
  <si>
    <t>NLUNAYAEIJYXRB-HEJOTXCHSA-N</t>
  </si>
  <si>
    <t>1S/C20H32O3/c1-2-3-4-5-6-7-8-9-10-13-16-19(21)17-14-11-12-15-18-20(22)23/h6-7,9-11,13-14,16,19,21H,2-5,8,12,15,17-18H2,1H3,(H,22,23)/b7-6-,10-9-,14-11-,16-13+</t>
  </si>
  <si>
    <t>ZNHVWPKMFKADKW-VXBMJZGYSA-N</t>
  </si>
  <si>
    <t>1S/C20H32O3/c1-2-3-4-5-10-13-16-19(21)17-14-11-8-6-7-9-12-15-18-20(22)23/h7-11,13-14,17,19,21H,2-6,12,15-16,18H2,1H3,(H,22,23)/b9-7-,11-8-,13-10-,17-14+</t>
  </si>
  <si>
    <t>JSFATNQSLKRBCI-USWFWKISSA-N</t>
  </si>
  <si>
    <t>1S/C20H32O3/c1-2-3-13-16-19(21)17-14-11-9-7-5-4-6-8-10-12-15-18-20(22)23/h4-5,8-11,14,17,19,21H,2-3,6-7,12-13,15-16,18H2,1H3,(H,22,23)/b5-4-,10-8-,11-9-,17-14+</t>
  </si>
  <si>
    <t>8-Hydroxyeicosatetraenoic Acid</t>
  </si>
  <si>
    <t>12-Hydroxyeicosatetraenoic Acid</t>
  </si>
  <si>
    <t>15-Hydroxyeicosatetraenoic Acid</t>
  </si>
  <si>
    <t>VPXVODYVPILPRC-CLQAUIESSA-N</t>
  </si>
  <si>
    <t>1S/C20H32O4/c1-2-3-4-5-6-7-8-9-10-11-12-13-15-18(21)19(22)16-14-17-20(23)24/h3-4,6-7,9-10,12-13,18-19,21-22H,2,5,8,11,14-17H2,1H3,(H,23,24)/b4-3-,7-6-,10-9-,13-12-/t18-,19+/m1/s1</t>
  </si>
  <si>
    <t>MEASLHGILYBXFO-XTDASVJISA-N</t>
  </si>
  <si>
    <t>1S/C20H30O3/c1-2-3-4-5-6-7-8-9-10-11-12-13-14-16-19(21)17-15-18-20(22)23/h6-7,9-10,12-14,16H,2-5,8,11,15,17-18H2,1H3,(H,22,23)/b7-6-,10-9-,13-12-,16-14+</t>
  </si>
  <si>
    <t>5-oxo-6E,8Z,11Z,14Z-eicosatetraenoic acid</t>
  </si>
  <si>
    <t>VNYSSYRCGWBHLG-AMOLWHMGSA-N</t>
  </si>
  <si>
    <t>1S/C20H32O4/c1-2-3-4-5-6-9-13-18(21)14-10-7-8-11-15-19(22)16-12-17-20(23)2
 4/h6-11,14-15,18-19,21-22H,2-5,12-13,16-17H2,1H3,(H,23,24)/b8-7+,9-6-,14-10+,15-
 11-/t18-,19-/m1/s1</t>
  </si>
  <si>
    <t>5S,12R-dihydroxy-6Z,8E,10E,14Z-eicosatetraenoic acid</t>
  </si>
  <si>
    <t>IXAQOQZEOGMIQS-SSQFXEBMSA-N</t>
  </si>
  <si>
    <t>1S/C20H32O5/c1-2-3-8-12-17(21)13-9-6-4-5-7-10-14-18(22)19(23)15-11-16-20(2
 4)25/h4-7,9-10,13-14,17-19,21-23H,2-3,8,11-12,15-16H2,1H3,(H,24,25)/b6-4-,7-5+,1
 3-9+,14-10+/t17-,18+,19-/m0/s1</t>
  </si>
  <si>
    <t>5S,6R,15S-trihydroxy-7E,9E,11Z,13E-eicosatetraenoic acid</t>
  </si>
  <si>
    <t>Synonymes</t>
  </si>
  <si>
    <t>5(S),6(R),15(S)-TriHETE</t>
  </si>
  <si>
    <t>UXVRTOKOJOMENI-WLPVFMORSA-N</t>
  </si>
  <si>
    <t>InChI=1S/C20H32O5/c1-2-3-8-14-18(22)19(23)15-10-7-5-4-6-9-12-17(21)13-11-16-20(24)25/h4-7,9-10,12,15,17-19,21-23H,2-3,8,11,13-14,16H2,1H3,(H,24,25)/b6-4-,7-5+,12-9+,15-10+/t17-,18+,19-/m1/s1</t>
  </si>
  <si>
    <t>5S,14R,15S-trihydroxy-6E,8Z,10E,12E-eicosatetraenoic acid</t>
  </si>
  <si>
    <t>Lipoxin B4</t>
  </si>
  <si>
    <t>Lipoxin A4</t>
  </si>
  <si>
    <r>
      <t>8-epi PGA</t>
    </r>
    <r>
      <rPr>
        <vertAlign val="subscript"/>
        <sz val="11"/>
        <color theme="1"/>
        <rFont val="Calibri"/>
        <family val="2"/>
        <scheme val="minor"/>
      </rPr>
      <t>2</t>
    </r>
  </si>
  <si>
    <t>9-oxo-15S-hydroxy-(8β)-prosta-5Z,10,13E-trien-1-oic acid</t>
  </si>
  <si>
    <t>MYHXHCUNDDAEOZ-UKUWKSPLSA-N</t>
  </si>
  <si>
    <t>nChI=1S/C20H30O4/c1-2-3-6-9-17(21)14-12-16-13-15-19(22)18(16)10-7-4-5-8-11-20(23)24/h4,7,12-18,21H,2-3,5-6,8-11H2,1H3,(H,23,24)/b7-4-,14-12+/t16-,17-,18-/m0/s1</t>
  </si>
  <si>
    <t>9α,15S-dihydroxy-11-oxo-prosta-5Z,13E-dien-1-oic acid</t>
  </si>
  <si>
    <t>BHMBVRSPMRCCGG-OUTUXVNYSA-N</t>
  </si>
  <si>
    <t>InChI=1S/C20H32O5/c1-2-3-6-9-15(21)12-13-17-16(18(22)14-19(17)23)10-7-4-5-8-11-20(24)25/h4,7,12-13,15-18,21-22H,2-3,5-6,8-11,14H2,1H3,(H,24,25)/b7-4-,13-12+/t15-,16+,17+,18-/m0/s1</t>
  </si>
  <si>
    <t>9-oxo-11α,15S-dihydroxy-prosta-5Z,13E-dien-1-oic acid</t>
  </si>
  <si>
    <t>XEYBRNLFEZDVAW-ARSRFYASSA-N</t>
  </si>
  <si>
    <t>InChI=1S/C20H32O5/c1-2-3-6-9-15(21)12-13-17-16(18(22)14-19(17)23)10-7-4-5-8-11-20(24)25/h4,7,12-13,15-17,19,21,23H,2-3,5-6,8-11,14H2,1H3,(H,24,25)/b7-4-,13-12+/t15-,16+,17+,19+/m0/s1</t>
  </si>
  <si>
    <t>9α,11α,15S-trihydroxy-prosta-5Z,13E-dien-1-oic acid</t>
  </si>
  <si>
    <t>PXGPLTODNUVGFL-YNNPMVKQSA-N</t>
  </si>
  <si>
    <t>1S/C20H34O5/c1-2-3-6-9-15(21)12-13-17-16(18(22)14-19(17)23)10-7-4-5-8-11-2
 0(24)25/h4,7,12-13,15-19,21-23H,2-3,5-6,8-11,14H2,1H3,(H,24,25)/b7-4-,13-12+/t15
 -,16+,17+,18-,19+/m0/s1</t>
  </si>
  <si>
    <t>11-oxo-prosta-5Z,9,12E,14E-tetraen-1-oic acid</t>
  </si>
  <si>
    <t>VHRUMKCAEVRUBK-GODQJPCRSA-N</t>
  </si>
  <si>
    <t>InChI=1S/C20H28O3/c1-2-3-4-5-6-10-13-18-17(15-16-19(18)21)12-9-7-8-11-14-20(22)23/h6-7,9-10,13,15-17H,2-5,8,11-12,14H2,1H3,(H,22,23)/b9-7-,10-6+,18-13+/t17-/m0/s1</t>
  </si>
  <si>
    <t>Tromboxane B2</t>
  </si>
  <si>
    <t>9α,11,15S-trihydroxythromba-5Z,13E-dien-1-oic acid</t>
  </si>
  <si>
    <t>XNRNNGPBEPRNAR-JQBLCGNGSA-N</t>
  </si>
  <si>
    <t>InChI=1S/C20H34O6/c1-2-3-6-9-15(21)12-13-18-16(17(22)14-20(25)26-18)10-7-4-5-8-11-19(23)24/h4,7,12-13,15-18,20-22,25H,2-3,5-6,8-11,14H2,1H3,(H,23,24)/b7-4-,13-12+/t15-,16-,17-,18+,20?/m0/s1</t>
  </si>
  <si>
    <t>PXGPLTODNUVGFL-ZWAKLXPCSA-N</t>
  </si>
  <si>
    <t>InChI=1S/C20H34O5/c1-2-3-6-9-15(21)12-13-17-16(18(22)14-19(17)23)10-7-4-5-8-11-20(24)25/h4,7,12-13,15-19,21-23H,2-3,5-6,8-11,14H2,1H3,(H,24,25)/b7-4-,13-12+/t15-,16+,17+,18-,19-/m0/s1</t>
  </si>
  <si>
    <t>9-oxo-15S-hydroxy-prosta-10,13E-dien-1-oic acid</t>
  </si>
  <si>
    <t>BGKHCLZFGPIKKU-LDDQNKHRSA-N</t>
  </si>
  <si>
    <t>InChI=1S/C20H32O4/c1-2-3-6-9-17(21)14-12-16-13-15-19(22)18(16)10-7-4-5-8-11-20(23)24/h12-18,21H,2-11H2,1H3,(H,23,24)/b14-12+/t16-,17-,18+/m0/s1</t>
  </si>
  <si>
    <t>14-HDHA</t>
  </si>
  <si>
    <t>14-hydroxy Docosahexaenoic Acid</t>
  </si>
  <si>
    <t>17-hydroxy Docosahexaenoic Acid</t>
  </si>
  <si>
    <t>17-HDHA</t>
  </si>
  <si>
    <t>14-hydroxy-4Z,7Z,10Z,12E,16Z,19Z-docosahexaenoic acid</t>
  </si>
  <si>
    <t>ZNEBXONKCYFJAF-BGKMTWLOSA-N</t>
  </si>
  <si>
    <t>1S/C22H32O3/c1-2-3-4-5-12-15-18-21(23)19-16-13-10-8-6-7-9-11-14-17-20-22(24)25/h3-4,6-7,10-16,19,21,23H,2,5,8-9,17-18,20H2,1H3,(H,24,25)/b4-3-,7-6-,13-10-,14-11-,15-12-,19-16+</t>
  </si>
  <si>
    <t>SWTYBBUBEPPYCX-VIIQGJSXSA-N</t>
  </si>
  <si>
    <t>1S/C22H32O3/c1-2-3-15-18-21(23)19-16-13-11-9-7-5-4-6-8-10-12-14-17-20-22(24)25/h3,5-8,11-16,19,21,23H,2,4,9-10,17-18,20H2,1H3,(H,24,25)/b7-5-,8-6-,13-11-,14-12-,15-3-,19-16+</t>
  </si>
  <si>
    <t>17-hydroxy-4Z,7Z,10Z,13Z,15E,19Z-docosahexaenoic acid</t>
  </si>
  <si>
    <t>7-epi-MaR1</t>
  </si>
  <si>
    <t>7S,14S-dihydroxy-4Z,8E,10E,12Z,16Z,19Z-docosahexaenoic acid</t>
  </si>
  <si>
    <t>HLHYXXBCQOUTGK-NVFVPEJPSA-N</t>
  </si>
  <si>
    <t>InChI=1S/C22H32O4/c1-2-3-4-5-6-10-15-20(23)16-11-7-8-12-17-21(24)18-13-9-14-19-22(25)26/h3-4,6-13,16-17,20-21,23-24H,2,5,14-15,18-19H2,1H3,(H,25,26)/b4-3-,8-7+,10-6-,13-9-,16-11-,17-12+/t20-,21+/m0/s1</t>
  </si>
  <si>
    <t>10(S),17(S)-DiHDHA</t>
  </si>
  <si>
    <t>CRDZYJSQHCXHEG-XLBFCUQGSA-N</t>
  </si>
  <si>
    <t>InChI=1S/C22H32O4/c1-2-3-10-15-20(23)17-12-8-9-13-18-21(24)16-11-6-4-5-7-14-19-22(25)26/h3,5-13,17-18,20-21,23-24H,2,4,14-16,19H2,1H3,(H,25,26)/b7-5-,9-8-,10-3-,11-6-,17-12+,18-13+/t20-,21-/m0/s1</t>
  </si>
  <si>
    <t>10(S),17(S)-dihydroxy-4Z,7Z,11E,13Z,15E,19Z-docosahexaenoic acid</t>
  </si>
  <si>
    <t>Resolvin D1</t>
  </si>
  <si>
    <t>7S,8R,17S-trihydroxy-4Z,9E,11E,13Z,15E,19Z-docosahexaenoic acid</t>
  </si>
  <si>
    <t>OIWTWACQMDFHJG-CCFUIAGSSA-N</t>
  </si>
  <si>
    <t>InChI=1S/C22H32O5/c1-2-3-9-14-19(23)15-10-6-4-5-7-11-16-20(24)21(25)17-12-8-13-18-22(26)27/h3-12,15-16,19-21,23-25H,2,13-14,17-18H2,1H3,(H,26,27)/b6-4-,7-5+,9-3-,12-8-,15-10+,16-11+/t19-,20+,21-/m0/s1</t>
  </si>
  <si>
    <t>Resolvin D2</t>
  </si>
  <si>
    <t>Resolvin D3</t>
  </si>
  <si>
    <t>Resolvin D5</t>
  </si>
  <si>
    <t>7(S),17(S)-diHDHA</t>
  </si>
  <si>
    <t>7(S),16(R),17(S)-Resolvin D2</t>
  </si>
  <si>
    <t>17(S)-Resolvin D1</t>
  </si>
  <si>
    <t>7S,16R,17S-trihydroxy-4Z,8E,10Z,12E,14E,19Z-docosahexaenoic acid</t>
  </si>
  <si>
    <t>4S,11R,17S-trihydroxy-5Z,7E,9E,13Z,15E,19Z-docosahexaenoic acid</t>
  </si>
  <si>
    <t>7S,17S-dihydroxy-4Z,8E,10Z,13Z,15E,19Z-docosahexaenoic acid</t>
  </si>
  <si>
    <t>IKFAUGXNBOBQDM-XFMPMKITSA-N</t>
  </si>
  <si>
    <t>InChI=1S/C22H32O5/c1-2-3-9-16-20(24)21(25)17-12-7-5-4-6-10-14-19(23)15-11-8-13-18-22(26)27/h3-12,14,17,19-21,23-25H,2,13,15-16,18H2,1H3,(H,26,27)/b6-4-,7-5+,9-3-,11-8-,14-10+,17-12+/t19-,20+,21-/m1/s1</t>
  </si>
  <si>
    <t>QBTJOLCUKWLTIC-UZAFJXHNSA-N</t>
  </si>
  <si>
    <t>InChI=1S/C22H32O5/c1-2-3-7-12-19(23)14-10-6-11-15-20(24)13-8-4-5-9-16-21(25)17-18-22(26)27/h3-11,13-14,16,19-21,23-25H,2,12,15,17-18H2,1H3,(H,26,27)/b5-4+,7-3-,11-6-,13-8+,14-10+,16-9-/t19-,20-,21+/m0/s1</t>
  </si>
  <si>
    <t>CFOFZYMMJZILHE-XGTWDWJNSA-N</t>
  </si>
  <si>
    <t>InChI=1S/C22H32O4/c1-2-3-10-15-20(23)16-11-7-5-4-6-8-12-17-21(24)18-13-9-14-19-22(25)26/h3,5-13,16-17,20-21,23-24H,2,4,14-15,18-19H2,1H3,(H,25,26)/b7-5-,8-6-,10-3-,13-9-,16-11+,17-12+/t20-,21+/m0/s1</t>
  </si>
  <si>
    <t>LRWYBGFSVUBWMO-UXNZXXPISA-N</t>
  </si>
  <si>
    <t>1S/C20H30O3/c1-2-19(21)17-15-13-11-9-7-5-3-4-6-8-10-12-14-16-18-20(22)23/h
 4-7,10-13,15,17,19,21H,2-3,8-9,14,16,18H2,1H3,(H,22,23)/b6-4-,7-5-,12-10-,13-11-
 ,17-15+</t>
  </si>
  <si>
    <t>(±)-18-hydroxy-5Z,8Z,11Z,14Z,16E-eicosapentaenoic acid</t>
  </si>
  <si>
    <t>5S,12R-dihydroxy-6Z,8E,10E,14Z,17Z-eicosapentaenoic acid</t>
  </si>
  <si>
    <t>BISQPGCQOHLHQK-HDNPQISLSA-N</t>
  </si>
  <si>
    <t>InChI=1S/C20H30O4/c1-2-3-4-5-6-9-13-18(21)14-10-7-8-11-15-19(22)16-12-17-20(23)24/h3-4,6-11,14-15,18-19,21-22H,2,5,12-13,16-17H2,1H3,(H,23,24)/b4-3-,8-7+,9-6-,14-10+,15-11-/t18-,19-/m1/s1</t>
  </si>
  <si>
    <t>Resolvin E1</t>
  </si>
  <si>
    <t>9-oxo-11α,15S-dihydroxy-prosta-5Z,13E,17Z-trien-1-oic acid</t>
  </si>
  <si>
    <t>CBOMORHDRONZRN-QLOYDKTKSA-N</t>
  </si>
  <si>
    <t>InChI=1S/C20H30O5/c1-2-3-6-9-15(21)12-13-17-16(18(22)14-19(17)23)10-7-4-5-8-11-20(24)25/h3-4,6-7,12-13,15-17,19,21,23H,2,5,8-11,14H2,1H3,(H,24,25)/b6-3-,7-4-,13-12+/t15-,16+,17+,19+/m0/s1</t>
  </si>
  <si>
    <t>5,12,18R-triHEPE</t>
  </si>
  <si>
    <t>5S,12R,18R-trihydroxy-6Z,8E,10E,14Z,16E-eicosapentaenoic acid</t>
  </si>
  <si>
    <t>AOPOCGPBAIARAV-OTBJXLELSA-N</t>
  </si>
  <si>
    <t>InChI=1S/C20H30O5/c1-2-17(21)11-8-5-9-14-18(22)12-6-3-4-7-13-19(23)15-10-16-20(24)25/h3-9,11-13,17-19,21-23H,2,10,14-16H2,1H3,(H,24,25)/b4-3+,9-5-,11-8+,12-6+,13-7-/t17-,18+,19-/m1/s1</t>
  </si>
  <si>
    <t>(±)5,6-dihydroxy-8Z,11Z,14Z,17Z-eicosatetraenoic acid</t>
  </si>
  <si>
    <t>HNICUWMFWZBIFP-IRQZEAMPSA-N</t>
  </si>
  <si>
    <t>1S/C18H32O3/c1-2-3-11-14-17(19)15-12-9-7-5-4-6-8-10-13-16-18(20)21/h7,9,12,15,17,19H,2-6,8,10-11,13-14,16H2,1H3,(H,20,21)/b9-7-,15-12+/t17-/m0/s1</t>
  </si>
  <si>
    <t>(±)-13-hydroxy-9Z,11E-octadecadienoic acid</t>
  </si>
  <si>
    <t>(±)-9-hydroxy-10E,12Z-octadecadienoic acid</t>
  </si>
  <si>
    <t>NPDSHTNEKLQQIJ-ZJHFMPGASA-N</t>
  </si>
  <si>
    <t>1S/C18H32O3/c1-2-3-4-5-6-8-11-14-17(19)15-12-9-7-10-13-16-18(20)21/h6,8,11,14,17,19H,2-5,7,9-10,12-13,15-16H2,1H3,(H,20,21)/b8-6-,14-11+</t>
  </si>
  <si>
    <t>CQSLTKIXAJTQGA-FLIBITNWSA-N</t>
  </si>
  <si>
    <t>1S/C18H34O4/c1-2-3-10-13-16(19)17(20)14-11-8-6-4-5-7-9-12-15-18(21)22/h8,11,16-17,19-20H,2-7,9-10,12-15H2,1H3,(H,21,22)/b11-8-</t>
  </si>
  <si>
    <t>Isoleukotoxin diol</t>
  </si>
  <si>
    <t>12,13-dihydroxy-9Z-octadecenoic acid</t>
  </si>
  <si>
    <t>(±)9,10-dihydroxy-12Z-octadecenoic acid</t>
  </si>
  <si>
    <t>13-kode</t>
  </si>
  <si>
    <t>Leukotoxin diol</t>
  </si>
  <si>
    <t>9-KODE</t>
  </si>
  <si>
    <t>9-oxo-10E,12Z-octadecadienoic acid</t>
  </si>
  <si>
    <t>LUZSWWYKKLTDHU-ZJHFMPGASA-N</t>
  </si>
  <si>
    <t>1S/C18H30O3/c1-2-3-4-5-6-8-11-14-17(19)15-12-9-7-10-13-16-18(20)21/h6,8,11,14H,2-5,7,9-10,12-13,15-16H2,1H3,(H,20,21)/b8-6-,14-11+</t>
  </si>
  <si>
    <t>JHXAZBBVQSRKJR-BSZOFBHHSA-N</t>
  </si>
  <si>
    <t>1S/C18H30O3/c1-2-3-11-14-17(19)15-12-9-7-5-4-6-8-10-13-16-18(20)21/h7,9,12,15H,2-6,8,10-11,13-14,16H2,1H3,(H,20,21)/b9-7-,15-12+</t>
  </si>
  <si>
    <t>13-oxo-9Z,11E-octadecadienoic acid</t>
  </si>
  <si>
    <t>XEBKSQSGNGRGDW-YFHOEESVSA-N</t>
  </si>
  <si>
    <t>1S/C18H34O4/c1-2-3-4-5-7-10-13-16(19)17(20)14-11-8-6-9-12-15-18(21)22/h7,10,16-17,19-20H,2-6,8-9,11-15H2,1H3,(H,21,22)/b10-7-</t>
  </si>
  <si>
    <t>NTVFQBIHLSPEGQ-BUHFOSPRSA-N</t>
  </si>
  <si>
    <t>1S/C18H34O5/c1-2-3-7-10-15(19)13-14-17(21)16(20)11-8-5-4-6-9-12-18(22)23/h13-17,19-21H,2-12H2,1H3,(H,22,23)/b14-13+</t>
  </si>
  <si>
    <t>MDIUMSLCYIJBQC-MVFSOIOZSA-N</t>
  </si>
  <si>
    <t>1S/C18H34O5/c1-2-3-7-11-16(20)17(21)14-13-15(19)10-8-5-4-6-9-12-18(22)23/h13-17,19-21H,2-12H2,1H3,(H,22,23)/b14-13+/t15-,16-,17-/m0/s1</t>
  </si>
  <si>
    <t>9S,12S,13S-trihydroxy-10E-octadecenoic acid</t>
  </si>
  <si>
    <t>9S,10S,13S-trihydroxy-11E-octadecenoic acid</t>
  </si>
  <si>
    <t>9S,12S,13S-Pinellic Acid</t>
  </si>
  <si>
    <t>9(S)-HOTrE</t>
  </si>
  <si>
    <t>9S-hydroxy-10E,12Z,15Z-octadecatrienoic acid</t>
  </si>
  <si>
    <t>RIGGEAZDTKMXSI-MEBVTJQTSA-N</t>
  </si>
  <si>
    <t>1S/C18H30O3/c1-2-3-4-5-6-8-11-14-17(19)15-12-9-7-10-13-16-18(20)21/h3-4,6,8,11,14,17,19H,2,5,7,9-10,12-13,15-16H2,1H3,(H,20,21)/b4-3-,8-6-,14-11+/t17-/m1/s1</t>
  </si>
  <si>
    <t>KLLGGGQNRTVBSU-FQSPHKRJSA-N</t>
  </si>
  <si>
    <t>1S/C18H30O3/c1-2-3-11-14-17(19)15-12-9-7-5-4-6-8-10-13-16-18(20)21/h3,7,9,11-12,15,17,19H,2,4-6,8,10,13-14,16H2,1H3,(H,20,21)/b9-7-,11-3-,15-12+/t17-/m0/s1</t>
  </si>
  <si>
    <t>13S-hydroxy-9Z,11E,15Z-octadecatrienoic acid</t>
  </si>
  <si>
    <t>6-oxo-9α,11α,15S-trihydroxy-prost-13E-en-1-oic acid</t>
  </si>
  <si>
    <t>KFGOFTHODYBSGM-ZUNNJUQCSA-N</t>
  </si>
  <si>
    <t>InChI=1S/C20H34O6/c1-2-3-4-7-14(21)10-11-16-17(19(24)13-18(16)23)12-15(22)8-5-6-9-20(25)26/h10-11,14,16-19,21,23-24H,2-9,12-13H2,1H3,(H,25,26)/b11-10+/t14-,16+,17+,18+,19-/m0/s1</t>
  </si>
  <si>
    <t>(5Z,9α,11β,13E,15S)-9,11,15-trihydroxy-prosta-5,13-dien-1-oic acid</t>
  </si>
  <si>
    <t>5-KETE</t>
  </si>
  <si>
    <r>
      <t>15-deoxy-Δ</t>
    </r>
    <r>
      <rPr>
        <vertAlign val="superscript"/>
        <sz val="11"/>
        <color theme="1"/>
        <rFont val="Calibri"/>
        <family val="2"/>
        <scheme val="minor"/>
      </rPr>
      <t>12,14</t>
    </r>
    <r>
      <rPr>
        <sz val="11"/>
        <color theme="1"/>
        <rFont val="Calibri"/>
        <family val="2"/>
        <scheme val="minor"/>
      </rPr>
      <t>-Prostaglandin J</t>
    </r>
    <r>
      <rPr>
        <vertAlign val="subscript"/>
        <sz val="11"/>
        <color theme="1"/>
        <rFont val="Calibri"/>
        <family val="2"/>
        <scheme val="minor"/>
      </rPr>
      <t>2</t>
    </r>
  </si>
  <si>
    <t>6-keto-Prostaglandin-F1-alpha</t>
  </si>
  <si>
    <t>11-beta-Prostaglandin F2 alpha</t>
  </si>
  <si>
    <t>8-iso-Prostaglandin A2</t>
  </si>
  <si>
    <t>Prostaglandin D2</t>
  </si>
  <si>
    <t>Prostaglandin E2</t>
  </si>
  <si>
    <t>Prostaglandin F2 alpha</t>
  </si>
  <si>
    <t>Leuktriene B4</t>
  </si>
  <si>
    <t>Prostaglandin A1</t>
  </si>
  <si>
    <t>Leuktriene B5</t>
  </si>
  <si>
    <t>Prostaglandin E3</t>
  </si>
  <si>
    <r>
      <t>15-deoxy-Δ</t>
    </r>
    <r>
      <rPr>
        <vertAlign val="superscript"/>
        <sz val="11"/>
        <color theme="1"/>
        <rFont val="Calibri"/>
        <family val="2"/>
        <scheme val="minor"/>
      </rPr>
      <t>12,14</t>
    </r>
    <r>
      <rPr>
        <sz val="11"/>
        <color theme="1"/>
        <rFont val="Calibri"/>
        <family val="2"/>
        <scheme val="minor"/>
      </rPr>
      <t>-PGJ</t>
    </r>
    <r>
      <rPr>
        <vertAlign val="subscript"/>
        <sz val="11"/>
        <color theme="1"/>
        <rFont val="Calibri"/>
        <family val="2"/>
        <scheme val="minor"/>
      </rPr>
      <t>2</t>
    </r>
  </si>
  <si>
    <t>-</t>
  </si>
  <si>
    <t>C16-2OH</t>
  </si>
  <si>
    <t>C16-3OH</t>
  </si>
  <si>
    <t>C16:1-3OH</t>
  </si>
  <si>
    <t>C18-2OH</t>
  </si>
  <si>
    <t>C18-3OH</t>
  </si>
  <si>
    <t>C18:1-3OH</t>
  </si>
  <si>
    <t>C8-3OH</t>
  </si>
  <si>
    <t>PGFM</t>
  </si>
  <si>
    <t>10-HODE</t>
  </si>
  <si>
    <t>C10-3OH</t>
  </si>
  <si>
    <t>C12-3OH</t>
  </si>
  <si>
    <t>C14-3OH</t>
  </si>
  <si>
    <t>10S-hydroxy-8E,12Z-octadecadienoic acid</t>
  </si>
  <si>
    <t>XUDNDTZOWNNWHA-NDTUJAEZSA-N</t>
  </si>
  <si>
    <t>InChI=1S/C18H32O3/c1-2-3-4-5-8-11-14-17(19)15-12-9-6-7-10-13-16-18(20)21/h8,11-12,15,17,19H,2-7,9-10,13-14,16H2,1H3,(H,20,21)/b11-8-,15-12+/t17-/m0/s1</t>
  </si>
  <si>
    <t>9α,11α-dihydroxy-15-oxo-prost-5Z-en-1-oic acid</t>
  </si>
  <si>
    <t>VKTIONYPMSCHQI-XAGFEHLVSA-N</t>
  </si>
  <si>
    <t>InChI=1S/C20H34O5/c1-2-3-6-9-15(21)12-13-17-16(18(22)14-19(17)23)10-7-4-5-8-11-20(24)25/h4,7,16-19,22-23H,2-3,5-6,8-14H2,1H3,(H,24,25)/b7-4-/t16-,17-,18+,19-/m1/s1</t>
  </si>
  <si>
    <r>
      <t>13,14-dihydro-15-keto PGF</t>
    </r>
    <r>
      <rPr>
        <vertAlign val="subscript"/>
        <sz val="11"/>
        <color theme="1"/>
        <rFont val="Calibri"/>
        <family val="2"/>
        <scheme val="minor"/>
      </rPr>
      <t>2α</t>
    </r>
  </si>
  <si>
    <t>13(S)-HOTrE</t>
  </si>
  <si>
    <t>10(S)-HODE</t>
  </si>
  <si>
    <t>3-Hydroxyoctadecanoic acid</t>
  </si>
  <si>
    <t>2-Hydroxyhexadecanoic acid</t>
  </si>
  <si>
    <t>3-Hydroxyhexadecanoic acid</t>
  </si>
  <si>
    <t>2-hydroxypalmitic acid</t>
  </si>
  <si>
    <t>InChI=1S/C16H32O3/c1-2-3-4-5-6-7-8-9-10-11-12-13-14-15(17)16(18)19/h15,17H,2-14H2,1H3,(H,18,19)</t>
  </si>
  <si>
    <t>JGHSBPIZNUXPLA-UHFFFAOYSA-N</t>
  </si>
  <si>
    <t>InChI=1S/C16H32O3/c1-2-3-4-5-6-7-8-9-10-11-12-13-15(17)14-16(18)19/h15,17H,2-14H2,1H3,(H,18,19)</t>
  </si>
  <si>
    <t>CBWALJHXHCJYTE-UHFFFAOYSA-N</t>
  </si>
  <si>
    <t>3-hydroxypalmitic acid</t>
  </si>
  <si>
    <t>InChI=1S/C18H36O3/c1-2-3-4-5-6-7-8-9-10-11-12-13-14-15-17(19)16-18(20)21/h17,19H,2-16H2,1H3,(H,20,21)</t>
  </si>
  <si>
    <t>POMQYTSPMKEQNB-UHFFFAOYSA-N</t>
  </si>
  <si>
    <t>3-hydroxystearic acid</t>
  </si>
  <si>
    <t>2-Hydroxyoctadecanoic acid</t>
  </si>
  <si>
    <t>2-hydroxystearic acid</t>
  </si>
  <si>
    <t>InChI=1S/C18H36O3/c1-2-3-4-5-6-7-8-9-10-11-12-13-14-15-16-17(19)18(20)21/h17,19H,2-16H2,1H3,(H,20,21)</t>
  </si>
  <si>
    <t>KIHBGTRZFAVZRV-UHFFFAOYSA-N</t>
  </si>
  <si>
    <t>3-hydroxyoctanoic acid</t>
  </si>
  <si>
    <t>InChI=1S/C8H16O3/c1-2-3-4-5-7(9)6-8(10)11/h7,9H,2-6H2,1H3,(H,10,11)</t>
  </si>
  <si>
    <t>NDPLAKGOSZHTPH-UHFFFAOYSA-N</t>
  </si>
  <si>
    <t>3-hydroxycaprylic acid</t>
  </si>
  <si>
    <t>3-hydroxydecanoic acid</t>
  </si>
  <si>
    <t>InChI=1S/C10H20O3/c1-2-3-4-5-6-7-9(11)8-10(12)13/h9,11H,2-8H2,1H3,(H,12,13)</t>
  </si>
  <si>
    <t>FYSSBMZUBSBFJL-UHFFFAOYSA-N</t>
  </si>
  <si>
    <t>3-Hydroxycapric acid</t>
  </si>
  <si>
    <t>3-hydroxylauric acid</t>
  </si>
  <si>
    <t>InChI=1S/C12H24O3/c1-2-3-4-5-6-7-8-9-11(13)10-12(14)15/h11,13H,2-10H2,1H3,(H,14,15)</t>
  </si>
  <si>
    <t>MUCMKTPAZLSKTL-UHFFFAOYSA-N</t>
  </si>
  <si>
    <t>3-hydroxydodecanoic acid</t>
  </si>
  <si>
    <t>3-hydroxytetradecanoic acid</t>
  </si>
  <si>
    <t>InChI=1S/C14H28O3/c1-2-3-4-5-6-7-8-9-10-11-13(15)12-14(16)17/h13,15H,2-12H2,1H3,(H,16,17)</t>
  </si>
  <si>
    <t>ATRNZOYKSNPPBF-UHFFFAOYSA-N</t>
  </si>
  <si>
    <t>3-hydroxymyristic acid</t>
  </si>
  <si>
    <t>IUPAC name</t>
  </si>
  <si>
    <t>(±)5,6-epoxy-8Z,11Z,14Z-eicosatrienoic acid</t>
  </si>
  <si>
    <t>(±)8,9-epoxy-5Z,11Z,14Z-eicosatrienoic acid</t>
  </si>
  <si>
    <t>(±)11,(12)-epoxy-5Z,8Z,14Z-eicosatrienoic acid</t>
  </si>
  <si>
    <t>13-HODE</t>
  </si>
  <si>
    <t>↑</t>
  </si>
  <si>
    <t>PGE3</t>
  </si>
  <si>
    <t>←</t>
  </si>
  <si>
    <t>PGH3</t>
  </si>
  <si>
    <t>PGG3</t>
  </si>
  <si>
    <t>COX</t>
  </si>
  <si>
    <t>Eicosapentaenoic acid (EPA)</t>
  </si>
  <si>
    <t>5-HpEPE</t>
  </si>
  <si>
    <t>→</t>
  </si>
  <si>
    <t>LTA5</t>
  </si>
  <si>
    <t>LTB5</t>
  </si>
  <si>
    <t>9-OxoODE</t>
  </si>
  <si>
    <t>9-HODE</t>
  </si>
  <si>
    <t>9-HpODE</t>
  </si>
  <si>
    <t>LOX</t>
  </si>
  <si>
    <t>Linoleic acid (LA)</t>
  </si>
  <si>
    <t>CYP450</t>
  </si>
  <si>
    <t>12(13)-EpOME</t>
  </si>
  <si>
    <t>9(10)-EpOME</t>
  </si>
  <si>
    <t>RvE1</t>
  </si>
  <si>
    <t>18R-HpEPE</t>
  </si>
  <si>
    <t>13-OxoODE</t>
  </si>
  <si>
    <t>13-HpODE</t>
  </si>
  <si>
    <t>5(6)-EpETE</t>
  </si>
  <si>
    <t>↓</t>
  </si>
  <si>
    <t>PGH1</t>
  </si>
  <si>
    <t>PGE1</t>
  </si>
  <si>
    <t>8-HpETE</t>
  </si>
  <si>
    <t>RvD1</t>
  </si>
  <si>
    <t>TXB2</t>
  </si>
  <si>
    <t>14S-HDHA</t>
  </si>
  <si>
    <t>14S-HpDHA</t>
  </si>
  <si>
    <t>Docohexaenoic acid (DHA)</t>
  </si>
  <si>
    <t>17S-HpDHA</t>
  </si>
  <si>
    <t>17S-HDHA</t>
  </si>
  <si>
    <t>RvD2</t>
  </si>
  <si>
    <t>RvD3</t>
  </si>
  <si>
    <t>TXA2</t>
  </si>
  <si>
    <t>↗</t>
  </si>
  <si>
    <t>RvD5</t>
  </si>
  <si>
    <t>5-HpETE</t>
  </si>
  <si>
    <t>LTA4</t>
  </si>
  <si>
    <t>LTB4</t>
  </si>
  <si>
    <r>
      <t>6-keto-PGE1</t>
    </r>
    <r>
      <rPr>
        <sz val="12"/>
        <color theme="1"/>
        <rFont val="Calibri"/>
        <family val="2"/>
      </rPr>
      <t>α</t>
    </r>
  </si>
  <si>
    <r>
      <t>6-keto-PGF1</t>
    </r>
    <r>
      <rPr>
        <sz val="12"/>
        <color theme="1"/>
        <rFont val="Calibri"/>
        <family val="2"/>
      </rPr>
      <t>α</t>
    </r>
  </si>
  <si>
    <t>PGI2</t>
  </si>
  <si>
    <t>PGH2</t>
  </si>
  <si>
    <t>PGG2</t>
  </si>
  <si>
    <t>Arachidonic acid (AA)</t>
  </si>
  <si>
    <t>↘</t>
  </si>
  <si>
    <t>↙</t>
  </si>
  <si>
    <t>LXB4</t>
  </si>
  <si>
    <t>LXA4</t>
  </si>
  <si>
    <t>PGE2</t>
  </si>
  <si>
    <t>PGF2α</t>
  </si>
  <si>
    <t>PGD2</t>
  </si>
  <si>
    <t>15-HpETE</t>
  </si>
  <si>
    <t>15(S)-HETE</t>
  </si>
  <si>
    <t>15-keto-PGF2α</t>
  </si>
  <si>
    <t>9-HOTrE</t>
  </si>
  <si>
    <t>12-HpETE</t>
  </si>
  <si>
    <t>13-HOTrE</t>
  </si>
  <si>
    <t>5(6)-EpETrE</t>
  </si>
  <si>
    <t>8(9)-EpETrE</t>
  </si>
  <si>
    <t>11(12)-EpETrE</t>
  </si>
  <si>
    <t>14(15)-EpETrE</t>
  </si>
  <si>
    <t>8,9-DiHETrE</t>
  </si>
  <si>
    <t>11,12-DiHETrE</t>
  </si>
  <si>
    <t>14,15-DiHETrE</t>
  </si>
  <si>
    <t>5,6-DiHETrE</t>
  </si>
  <si>
    <r>
      <t>11</t>
    </r>
    <r>
      <rPr>
        <sz val="12"/>
        <color theme="1"/>
        <rFont val="Calibri"/>
        <family val="2"/>
      </rPr>
      <t>β-PGF2α</t>
    </r>
  </si>
  <si>
    <r>
      <rPr>
        <b/>
        <sz val="14"/>
        <color theme="1"/>
        <rFont val="Calibri"/>
        <family val="2"/>
      </rPr>
      <t>α-linolenic</t>
    </r>
    <r>
      <rPr>
        <b/>
        <sz val="14"/>
        <color theme="1"/>
        <rFont val="Calibri"/>
        <family val="2"/>
        <scheme val="minor"/>
      </rPr>
      <t xml:space="preserve"> acid (ALA)</t>
    </r>
  </si>
  <si>
    <r>
      <t>Dihomo-</t>
    </r>
    <r>
      <rPr>
        <b/>
        <sz val="14"/>
        <color theme="1"/>
        <rFont val="Calibri"/>
        <family val="2"/>
      </rPr>
      <t>γ-linolenic acid (DGLA)</t>
    </r>
  </si>
  <si>
    <t>10-HpODE</t>
  </si>
  <si>
    <t>Neuro Protectin DX</t>
  </si>
  <si>
    <t>PDX (NPDX)</t>
  </si>
  <si>
    <t>8-iso-PGF2α</t>
  </si>
  <si>
    <t>(Non-enzymatic)</t>
  </si>
  <si>
    <t>5(S),14(R),15(S)-TriHETE</t>
  </si>
  <si>
    <t>Peroxidation</t>
  </si>
  <si>
    <t>Epoxidase/hydrolase</t>
  </si>
  <si>
    <t>↖</t>
  </si>
  <si>
    <t xml:space="preserve">Arachidonic acid C20:4ꙍ6
</t>
  </si>
  <si>
    <t>Dihomo-gamma-linoleic acid C20:3ꙍ6</t>
  </si>
  <si>
    <t>Docosahexaenoic acid C22:6ꙍ3</t>
  </si>
  <si>
    <t>Alpha-linolenic acid C18:3ꙍ3</t>
  </si>
  <si>
    <t>Eicosapentaenoic acid C20:5ꙍ3</t>
  </si>
  <si>
    <t>Linoleic acid C18:2ꙍ6</t>
  </si>
  <si>
    <t>NPD1</t>
  </si>
  <si>
    <t>8,9-EET</t>
  </si>
  <si>
    <t>11,12-EET</t>
  </si>
  <si>
    <t>Maresin1</t>
  </si>
  <si>
    <t>Maresin 1 - 7(S)-MaR1</t>
  </si>
  <si>
    <t>7(S)-MaR1</t>
  </si>
  <si>
    <t>Total oxylipins issued from alpha-LA cascade</t>
  </si>
  <si>
    <t>µl</t>
  </si>
  <si>
    <t>Fluid volume</t>
  </si>
  <si>
    <t>PD1</t>
  </si>
  <si>
    <t>Sample name</t>
  </si>
  <si>
    <t>Precursor</t>
  </si>
  <si>
    <t>Absolute quantification of enzymatic oxyilipins profil with HPLC-QqQ</t>
  </si>
  <si>
    <t>Fluid</t>
  </si>
  <si>
    <t>Volume</t>
  </si>
  <si>
    <t>µL</t>
  </si>
  <si>
    <t>Total</t>
  </si>
  <si>
    <t>241008GMI_oxy_001_19</t>
  </si>
  <si>
    <t>241008GMI_oxy_002_20</t>
  </si>
  <si>
    <t>241008GMI_oxy_003_21</t>
  </si>
  <si>
    <t>241008GMI_oxy_004_22</t>
  </si>
  <si>
    <t>241008GMI_oxy_005_23</t>
  </si>
  <si>
    <t>241008GMI_oxy_006_24</t>
  </si>
  <si>
    <t>241008GMI_oxy_007_25</t>
  </si>
  <si>
    <t>241008GMI_oxy_008_26</t>
  </si>
  <si>
    <t>241008GMI_oxy_009_27</t>
  </si>
  <si>
    <t>241008GMI_oxy_010_28</t>
  </si>
  <si>
    <t>241008GMI_oxy_011_29</t>
  </si>
  <si>
    <t>241008GMI_oxy_012_30</t>
  </si>
  <si>
    <t>241008GMI_oxy_013_31</t>
  </si>
  <si>
    <t>241008GMI_oxy_014_32</t>
  </si>
  <si>
    <t>241008GMI_oxy_015_33</t>
  </si>
  <si>
    <t>241008GMI_oxy_016_34</t>
  </si>
  <si>
    <t>241008GMI_oxy_017_35</t>
  </si>
  <si>
    <t>241008GMI_oxy_018_36</t>
  </si>
  <si>
    <t>241008GMI_oxy_019_37</t>
  </si>
  <si>
    <t>241008GMI_oxy_020_38</t>
  </si>
  <si>
    <t>241008GMI_oxy_021_39</t>
  </si>
  <si>
    <t>241008GMI_oxy_022_40</t>
  </si>
  <si>
    <t>241008GMI_oxy_023_41</t>
  </si>
  <si>
    <t>241008GMI_oxy_024bis_188</t>
  </si>
  <si>
    <t>241008GMI_oxy_025_43</t>
  </si>
  <si>
    <t>241008GMI_oxy_026_44</t>
  </si>
  <si>
    <t>241008GMI_oxy_027_45</t>
  </si>
  <si>
    <t>241008GMI_oxy_028_46</t>
  </si>
  <si>
    <t>241008GMI_oxy_029_47</t>
  </si>
  <si>
    <t>241008GMI_oxy_030_48</t>
  </si>
  <si>
    <t>241008GMI_oxy_031_49</t>
  </si>
  <si>
    <t>241008GMI_oxy_032</t>
  </si>
  <si>
    <t>241008GMI_oxy_033_51</t>
  </si>
  <si>
    <t>241008GMI_oxy_034_52</t>
  </si>
  <si>
    <t>241008GMI_oxy_035_53</t>
  </si>
  <si>
    <t>241008GMI_oxy_036_54</t>
  </si>
  <si>
    <t>241008GMI_oxy_037_55</t>
  </si>
  <si>
    <t>241008GMI_oxy_038_56</t>
  </si>
  <si>
    <t>241008GMI_oxy_039_57</t>
  </si>
  <si>
    <t>241008GMI_oxy_040_58</t>
  </si>
  <si>
    <t>241008GMI_oxy_041_59</t>
  </si>
  <si>
    <t>241008GMI_oxy_042_60</t>
  </si>
  <si>
    <t>241008GMI_oxy_043_61</t>
  </si>
  <si>
    <t>241008GMI_oxy_044_62</t>
  </si>
  <si>
    <t>241008GMI_oxy_045_63</t>
  </si>
  <si>
    <t>241008GMI_oxy_046_64</t>
  </si>
  <si>
    <t>241008GMI_oxy_047_65</t>
  </si>
  <si>
    <t>241008GMI_oxy_049_66</t>
  </si>
  <si>
    <t>241008GMI_oxy_050_67</t>
  </si>
  <si>
    <t>241008GMI_oxy_051_68</t>
  </si>
  <si>
    <t>241008GMI_oxy_052_69</t>
  </si>
  <si>
    <t>241008GMI_oxy_053_70</t>
  </si>
  <si>
    <t>241008GMI_oxy_054_71</t>
  </si>
  <si>
    <t>241008GMI_oxy_055_72</t>
  </si>
  <si>
    <t>241008GMI_oxy_056_73</t>
  </si>
  <si>
    <t>241008GMI_oxy_057_74</t>
  </si>
  <si>
    <t>241008GMI_oxy_058_75</t>
  </si>
  <si>
    <t>241008GMI_oxy_059_76</t>
  </si>
  <si>
    <t>241008GMI_oxy_061_77</t>
  </si>
  <si>
    <t>241008GMI_oxy_062_78</t>
  </si>
  <si>
    <t>241008GMI_oxy_063_79</t>
  </si>
  <si>
    <t>241008GMI_oxy_064_80</t>
  </si>
  <si>
    <t>241008GMI_oxy_065_81</t>
  </si>
  <si>
    <t>241008GMI_oxy_066_82</t>
  </si>
  <si>
    <t>241008GMI_oxy_067_83</t>
  </si>
  <si>
    <t>241008GMI_oxy_068_84</t>
  </si>
  <si>
    <t>241008GMI_oxy_069_85</t>
  </si>
  <si>
    <t>241008GMI_oxy_070_86</t>
  </si>
  <si>
    <t>241008GMI_oxy_071_87</t>
  </si>
  <si>
    <t>241008GMI_oxy_072_88</t>
  </si>
  <si>
    <t>241008GMI_oxy_073_89</t>
  </si>
  <si>
    <t>241008GMI_oxy_074_90</t>
  </si>
  <si>
    <t>241008GMI_oxy_075_91</t>
  </si>
  <si>
    <t>241008GMI_oxy_076_92</t>
  </si>
  <si>
    <t>241008GMI_oxy_077_93</t>
  </si>
  <si>
    <t>241008GMI_oxy_078_94</t>
  </si>
  <si>
    <t>241008GMI_oxy_079_95</t>
  </si>
  <si>
    <t>241008GMI_oxy_080_96</t>
  </si>
  <si>
    <t>241008GMI_oxy_081_97</t>
  </si>
  <si>
    <t>241008GMI_oxy_082_98</t>
  </si>
  <si>
    <t>241008GMI_oxy_083_99</t>
  </si>
  <si>
    <t>241008GMI_oxy_084_100</t>
  </si>
  <si>
    <t>241008GMI_oxy_085_101</t>
  </si>
  <si>
    <t>241008GMI_oxy_086_102</t>
  </si>
  <si>
    <t>241008GMI_oxy_087_103</t>
  </si>
  <si>
    <t>241008GMI_oxy_088_104</t>
  </si>
  <si>
    <t>241008GMI_oxy_090_105</t>
  </si>
  <si>
    <t>241008GMI_oxy_091_106</t>
  </si>
  <si>
    <t>241008GMI_oxy_092_107</t>
  </si>
  <si>
    <t>241008GMI_oxy_093_108</t>
  </si>
  <si>
    <t>241008GMI_oxy_094_109</t>
  </si>
  <si>
    <t>241008GMI_oxy_095_110</t>
  </si>
  <si>
    <t>241008GMI_oxy_096_111</t>
  </si>
  <si>
    <t>241008GMI_oxy_097_112</t>
  </si>
  <si>
    <t>241009GMI_oxy_098_113</t>
  </si>
  <si>
    <t>241009GMI_oxy_099_114</t>
  </si>
  <si>
    <t>241009GMI_oxy_100_115</t>
  </si>
  <si>
    <t>241009GMI_oxy_101_116</t>
  </si>
  <si>
    <t>241009GMI_oxy_102_117</t>
  </si>
  <si>
    <t>241009GMI_oxy_103_118</t>
  </si>
  <si>
    <t>241009GMI_oxy_104_119</t>
  </si>
  <si>
    <t>241009GMI_oxy_105_120</t>
  </si>
  <si>
    <t>241009GMI_oxy_106_121</t>
  </si>
  <si>
    <t>241009GMI_oxy_107_122</t>
  </si>
  <si>
    <t>241009GMI_oxy_108_123</t>
  </si>
  <si>
    <t>241009GMI_oxy_109_124</t>
  </si>
  <si>
    <t>241009GMI_oxy_110_125</t>
  </si>
  <si>
    <t>241009GMI_oxy_111_126</t>
  </si>
  <si>
    <t>241009GMI_oxy_112_127</t>
  </si>
  <si>
    <t>241009GMI_oxy_113_128</t>
  </si>
  <si>
    <t>241009GMI_oxy_114_129</t>
  </si>
  <si>
    <t>241009GMI_oxy_115_130</t>
  </si>
  <si>
    <t>241009GMI_oxy_116_131</t>
  </si>
  <si>
    <t>241009GMI_oxy_117_132</t>
  </si>
  <si>
    <t>241009GMI_oxy_118_133</t>
  </si>
  <si>
    <t>241009GMI_oxy_119_134</t>
  </si>
  <si>
    <t>241009GMI_oxy_120_135</t>
  </si>
  <si>
    <t>241009GMI_oxy_121_136</t>
  </si>
  <si>
    <t>241009GMI_oxy_122_137</t>
  </si>
  <si>
    <t>241009GMI_oxy_123_138</t>
  </si>
  <si>
    <t>241009GMI_oxy_124_139</t>
  </si>
  <si>
    <t>241009GMI_oxy_125_140</t>
  </si>
  <si>
    <t>241009GMI_oxy_126_141</t>
  </si>
  <si>
    <t>241009GMI_oxy_127_142</t>
  </si>
  <si>
    <t>241009GMI_oxy_128_143</t>
  </si>
  <si>
    <t>241009GMI_oxy_129_144</t>
  </si>
  <si>
    <t>241009GMI_oxy_130_145</t>
  </si>
  <si>
    <t>241009GMI_oxy_131_146</t>
  </si>
  <si>
    <t>241009GMI_oxy_132_147</t>
  </si>
  <si>
    <t>241009GMI_oxy_133_148</t>
  </si>
  <si>
    <t>241009GMI_oxy_134_149</t>
  </si>
  <si>
    <t>241009GMI_oxy_135_150</t>
  </si>
  <si>
    <t>241009GMI_oxy_136_151</t>
  </si>
  <si>
    <t>241009GMI_oxy_137_152</t>
  </si>
  <si>
    <t>241009GMI_oxy_138_153</t>
  </si>
  <si>
    <t>241009GMI_oxy_139_154</t>
  </si>
  <si>
    <t>241009GMI_oxy_140_155</t>
  </si>
  <si>
    <t>241009GMI_oxy_141_156</t>
  </si>
  <si>
    <t>241009GMI_oxy_142_157</t>
  </si>
  <si>
    <t>241009GMI_oxy_143_158</t>
  </si>
  <si>
    <t>241009GMI_oxy_144_159</t>
  </si>
  <si>
    <t>241009GMI_oxy_145_160</t>
  </si>
  <si>
    <t>241009GMI_oxy_146_161</t>
  </si>
  <si>
    <t>241009GMI_oxy_147_162</t>
  </si>
  <si>
    <t>241009GMI_oxy_148_163</t>
  </si>
  <si>
    <t>241009GMI_oxy_149_164</t>
  </si>
  <si>
    <t>241009GMI_oxy_150_165</t>
  </si>
  <si>
    <t>241009GMI_oxy_151_166</t>
  </si>
  <si>
    <t>241009GMI_oxy_152_167</t>
  </si>
  <si>
    <t>241009GMI_oxy_153_168</t>
  </si>
  <si>
    <t>241009GMI_oxy_154_169</t>
  </si>
  <si>
    <t>241009GMI_oxy_155_170</t>
  </si>
  <si>
    <t>241009GMI_oxy_156_171</t>
  </si>
  <si>
    <t>241009GMI_oxy_157_172</t>
  </si>
  <si>
    <t>241009GMI_oxy_158_173</t>
  </si>
  <si>
    <t>241009GMI_oxy_159_174</t>
  </si>
  <si>
    <t>241009GMI_oxy_160_175</t>
  </si>
  <si>
    <t>241009GMI_oxy_161_176</t>
  </si>
  <si>
    <t>241009GMI_oxy_162_177</t>
  </si>
  <si>
    <t>241009GMI_oxy_163_178</t>
  </si>
  <si>
    <t>241009GMI_oxy_164_179</t>
  </si>
  <si>
    <t>241009GMI_oxy_165_180</t>
  </si>
  <si>
    <t>241009GMI_oxy_166_181</t>
  </si>
  <si>
    <t>241009GMI_oxy_167_182</t>
  </si>
  <si>
    <t>241009GMI_oxy_168_183</t>
  </si>
  <si>
    <t>241009GMI_oxy_169_184</t>
  </si>
  <si>
    <t>241009GMI_oxy_170_185</t>
  </si>
  <si>
    <t>241009GMI_oxy_171_186</t>
  </si>
  <si>
    <t>241009GMI_oxy_172_187</t>
  </si>
  <si>
    <t>KT-312D10</t>
  </si>
  <si>
    <t>BS-364D0</t>
  </si>
  <si>
    <t>KT-412D60</t>
  </si>
  <si>
    <t>KT-974D03</t>
  </si>
  <si>
    <t>JV-138D0</t>
  </si>
  <si>
    <t>BS-671D03</t>
  </si>
  <si>
    <t>KT-723D10</t>
  </si>
  <si>
    <t>KT-705D60</t>
  </si>
  <si>
    <t>KT-434D03</t>
  </si>
  <si>
    <t>BS-082D60</t>
  </si>
  <si>
    <t>BS-064D0</t>
  </si>
  <si>
    <t>BS-336D10</t>
  </si>
  <si>
    <t>KT-723D60</t>
  </si>
  <si>
    <t>KT-612D10</t>
  </si>
  <si>
    <t>KT-705D03</t>
  </si>
  <si>
    <t>JV-157D0</t>
  </si>
  <si>
    <t>JV-148D60</t>
  </si>
  <si>
    <t>KT-663D0</t>
  </si>
  <si>
    <t>BS-346D03</t>
  </si>
  <si>
    <t>JV-048D10</t>
  </si>
  <si>
    <t>BS-351D0</t>
  </si>
  <si>
    <t>JV-148D10</t>
  </si>
  <si>
    <t>KT-929D60</t>
  </si>
  <si>
    <t>BS-336D03</t>
  </si>
  <si>
    <t>KT-771D10</t>
  </si>
  <si>
    <t>KT-695D03</t>
  </si>
  <si>
    <t>KT-612D0</t>
  </si>
  <si>
    <t>KT-312D60</t>
  </si>
  <si>
    <t>KT-927D03</t>
  </si>
  <si>
    <t>JV-071D60</t>
  </si>
  <si>
    <t>KT-193D10</t>
  </si>
  <si>
    <t>KT-247D0</t>
  </si>
  <si>
    <t>BS-064D03</t>
  </si>
  <si>
    <t>KT-537D60</t>
  </si>
  <si>
    <t>BS-377D0</t>
  </si>
  <si>
    <t>KT-347D10</t>
  </si>
  <si>
    <t>JV-138D60</t>
  </si>
  <si>
    <t>JV-138D10</t>
  </si>
  <si>
    <t>KT-247D03</t>
  </si>
  <si>
    <t>KT-718D0</t>
  </si>
  <si>
    <t>BS-082D10</t>
  </si>
  <si>
    <t>KT-445D0</t>
  </si>
  <si>
    <t>KT-716D60</t>
  </si>
  <si>
    <t>KT-347D03</t>
  </si>
  <si>
    <t>KT-805D0</t>
  </si>
  <si>
    <t>BS-351D03</t>
  </si>
  <si>
    <t>KT-538D10</t>
  </si>
  <si>
    <t>JV-035D60</t>
  </si>
  <si>
    <t>KT-718D03</t>
  </si>
  <si>
    <t>KT-723D0</t>
  </si>
  <si>
    <t>KT-515D10</t>
  </si>
  <si>
    <t>KT-412D03</t>
  </si>
  <si>
    <t>KT-313D10</t>
  </si>
  <si>
    <t>BS-377D60</t>
  </si>
  <si>
    <t>KT-417D0</t>
  </si>
  <si>
    <t>KT-412D10</t>
  </si>
  <si>
    <t>KT-515D0</t>
  </si>
  <si>
    <t>JV-148D03</t>
  </si>
  <si>
    <t>KT-313D0</t>
  </si>
  <si>
    <t>KT-445D60</t>
  </si>
  <si>
    <t>KT-434D10</t>
  </si>
  <si>
    <t>BS-082D03</t>
  </si>
  <si>
    <t>KT-880D03</t>
  </si>
  <si>
    <t>KT-247D60</t>
  </si>
  <si>
    <t>KT-705D10</t>
  </si>
  <si>
    <t>BS-082D0</t>
  </si>
  <si>
    <t>JV-157D60</t>
  </si>
  <si>
    <t>KT-312D0</t>
  </si>
  <si>
    <t>KT-445D03</t>
  </si>
  <si>
    <t>BS-377D10</t>
  </si>
  <si>
    <t>KT-695D0</t>
  </si>
  <si>
    <t>BS-351D10</t>
  </si>
  <si>
    <t>KT-417D60</t>
  </si>
  <si>
    <t>JV-138D03</t>
  </si>
  <si>
    <t>KT-805D10</t>
  </si>
  <si>
    <t>JV-048D03</t>
  </si>
  <si>
    <t>KT-705D0</t>
  </si>
  <si>
    <t>BS-671D60</t>
  </si>
  <si>
    <t>JV-157D03</t>
  </si>
  <si>
    <t>KT-974D0</t>
  </si>
  <si>
    <t>BS-364D60</t>
  </si>
  <si>
    <t>KT-716D10</t>
  </si>
  <si>
    <t>KT-538D0</t>
  </si>
  <si>
    <t>KT-718D10</t>
  </si>
  <si>
    <t>KT-538D03</t>
  </si>
  <si>
    <t>KT-805D60</t>
  </si>
  <si>
    <t>KT-612D60</t>
  </si>
  <si>
    <t>KT-926D0</t>
  </si>
  <si>
    <t>KT-193D03</t>
  </si>
  <si>
    <t>KT-663D60</t>
  </si>
  <si>
    <t>KT-352D03</t>
  </si>
  <si>
    <t>KT-537D10</t>
  </si>
  <si>
    <t>JV-035D0</t>
  </si>
  <si>
    <t>KT-522D60</t>
  </si>
  <si>
    <t>KT-352D10</t>
  </si>
  <si>
    <t>KT-716D03</t>
  </si>
  <si>
    <t>KT-716D0</t>
  </si>
  <si>
    <t>BS-346D10</t>
  </si>
  <si>
    <t>KT-347D0</t>
  </si>
  <si>
    <t>BS-336D60</t>
  </si>
  <si>
    <t>KT-515D03</t>
  </si>
  <si>
    <t>KT-352D0</t>
  </si>
  <si>
    <t>KT-771D03</t>
  </si>
  <si>
    <t>BS-364D10</t>
  </si>
  <si>
    <t>BS-064D60</t>
  </si>
  <si>
    <t>KT-723D03</t>
  </si>
  <si>
    <t>KT-538D60</t>
  </si>
  <si>
    <t>KT-193D0</t>
  </si>
  <si>
    <t>KT-445D10</t>
  </si>
  <si>
    <t>KT-771D0</t>
  </si>
  <si>
    <t>KT-247D10</t>
  </si>
  <si>
    <t>KT-515D60</t>
  </si>
  <si>
    <t>JV-071D03</t>
  </si>
  <si>
    <t>KT-525D10</t>
  </si>
  <si>
    <t>KT-522D03</t>
  </si>
  <si>
    <t>KT-525D0</t>
  </si>
  <si>
    <t>BS-346D60</t>
  </si>
  <si>
    <t>KT-525D03</t>
  </si>
  <si>
    <t>KT-771D60</t>
  </si>
  <si>
    <t>KT-417D10</t>
  </si>
  <si>
    <t>JV-048D0</t>
  </si>
  <si>
    <t>KT-539D60</t>
  </si>
  <si>
    <t>KT-880D0</t>
  </si>
  <si>
    <t>KT-805D03</t>
  </si>
  <si>
    <t>KT-565D10</t>
  </si>
  <si>
    <t>BS-351D60</t>
  </si>
  <si>
    <t>KT-663D03</t>
  </si>
  <si>
    <t>KT-695D10</t>
  </si>
  <si>
    <t>KT-539D0</t>
  </si>
  <si>
    <t>KT-539D03</t>
  </si>
  <si>
    <t>BS-671D0</t>
  </si>
  <si>
    <t>KT-313D60</t>
  </si>
  <si>
    <t>BS-064D10</t>
  </si>
  <si>
    <t>BS-346D0</t>
  </si>
  <si>
    <t>KT-522D10</t>
  </si>
  <si>
    <t>KT-565D03</t>
  </si>
  <si>
    <t>KT-695D60</t>
  </si>
  <si>
    <t>KT-928D10</t>
  </si>
  <si>
    <t>KT-347D60</t>
  </si>
  <si>
    <t>KT-522D0</t>
  </si>
  <si>
    <t>BS-364D03</t>
  </si>
  <si>
    <t>KT-352D60</t>
  </si>
  <si>
    <t>JV-157D10</t>
  </si>
  <si>
    <t>KT-565D0</t>
  </si>
  <si>
    <t>KT-612D03</t>
  </si>
  <si>
    <t>KT-974D10</t>
  </si>
  <si>
    <t>KT-537D03</t>
  </si>
  <si>
    <t>KT-718D60</t>
  </si>
  <si>
    <t>JV-071D0</t>
  </si>
  <si>
    <t>KT-312D03</t>
  </si>
  <si>
    <t>BS-336D0</t>
  </si>
  <si>
    <t>KT-880D10</t>
  </si>
  <si>
    <t>KT-193D60</t>
  </si>
  <si>
    <t>JV-148D0</t>
  </si>
  <si>
    <t>KT-434D60</t>
  </si>
  <si>
    <t>KT-417D03</t>
  </si>
  <si>
    <t>KT-663D10</t>
  </si>
  <si>
    <t>KT-525D60</t>
  </si>
  <si>
    <t>KT-539D10</t>
  </si>
  <si>
    <t>KT-537D0</t>
  </si>
  <si>
    <t>KT-313D03</t>
  </si>
  <si>
    <t>JV-035D10</t>
  </si>
  <si>
    <t>BS-377D03</t>
  </si>
  <si>
    <t>KT-880D60</t>
  </si>
  <si>
    <t>KT-434D0</t>
  </si>
  <si>
    <t>JV-035D03</t>
  </si>
  <si>
    <t>KT-412D0</t>
  </si>
  <si>
    <t>BS-671D10</t>
  </si>
  <si>
    <t>KT-974D60</t>
  </si>
  <si>
    <t>FA 18:2;O(12Z)</t>
  </si>
  <si>
    <t>FA 18:2;O(9Z)</t>
  </si>
  <si>
    <t>FA 18:1;O2(12Z)</t>
  </si>
  <si>
    <t>FA 18:1;O2(9Z)</t>
  </si>
  <si>
    <t>FA 18:3;O(12E)</t>
  </si>
  <si>
    <t>FA 18:3;O(9Z)</t>
  </si>
  <si>
    <t>FA 18:1;O3(10E)</t>
  </si>
  <si>
    <t>FA 18:1;O3(11E)</t>
  </si>
  <si>
    <t>FA 20:4;O(5Z,11Z,14Z)</t>
  </si>
  <si>
    <t>FA 20:4;O(8Z,11Z,14Z)</t>
  </si>
  <si>
    <t>FA 20:4;O(5Z,8Z,14Z)</t>
  </si>
  <si>
    <t>(±)14,(15)-epoxy-5Z,8Z,11Z-eicosatrienoic acid</t>
  </si>
  <si>
    <t>FA 20:4;O(5Z,8Z,11Z)</t>
  </si>
  <si>
    <t>FA 20:4;O(6E,8Z,11Z,14Z)</t>
  </si>
  <si>
    <t>FA 20:4;O(5Z,9E,11Z,14Z)</t>
  </si>
  <si>
    <t>FA 20:4;O(5Z,8Z,10E,14Z)</t>
  </si>
  <si>
    <t>FA 20:4;O(5E,8Z,11Z,13Z)</t>
  </si>
  <si>
    <t>FA 20:5(6E,8Z,11Z,14Z)</t>
  </si>
  <si>
    <t>FA 20:4;O2(6Z,8E,10E,14Z)</t>
  </si>
  <si>
    <t>FA 20:5;O2(5Z,10Z,13E)</t>
  </si>
  <si>
    <t>FA 20:3;O3</t>
  </si>
  <si>
    <t>Prostaglandin F2alpha</t>
  </si>
  <si>
    <t>11beta-Prostaglandin F2alpha-d4</t>
  </si>
  <si>
    <t>FA 20:6;O</t>
  </si>
  <si>
    <t>FA 20:3;O4(5Z,13E)</t>
  </si>
  <si>
    <t>FA 20:3;O4(13E)</t>
  </si>
  <si>
    <t>FA 18:3;O(10E,12Z,15Z)</t>
  </si>
  <si>
    <t>FA 18:3;O(9Z,11E,15Z)</t>
  </si>
  <si>
    <t>FA 20:5;O(5Z,8Z,11Z,14Z,16E)</t>
  </si>
  <si>
    <t>FA 20:5;O2</t>
  </si>
  <si>
    <t>FA 20:5;O3(6Z,8E,10E,14Z,16E)</t>
  </si>
  <si>
    <t>FA 20:5;O3(5Z,13E,17Z)</t>
  </si>
  <si>
    <t>FA 22:6;O2(4Z,8E,10E,12Z,16Z,19Z)</t>
  </si>
  <si>
    <t>FA 22:6;O2(4Z,7Z,11E,13Z,15E,19Z)</t>
  </si>
  <si>
    <t>FA 22:6;O2(4Z,7Z,11E,13E,15Z,19Z)</t>
  </si>
  <si>
    <t>FA 22:6;O3(4Z,9E,11E,13Z,15E,19Z)</t>
  </si>
  <si>
    <t>FA 22:6;O3(4Z,8E,10Z,12E,14E,19Z)</t>
  </si>
  <si>
    <t>FA 22:6;O3(5Z,7E,9E,13Z,15E,19Z)</t>
  </si>
  <si>
    <t>FA 22:6;O3(4Z,8E,10Z,13Z,15E,19Z)</t>
  </si>
  <si>
    <t>FA 22:6;O(4Z,7Z,10Z,13Z,15E,19Z)</t>
  </si>
  <si>
    <t>FA 22:6;O(4Z,7Z,10Z,12E,16Z,19Z)</t>
  </si>
  <si>
    <t>FA 20:4;O3(5Z,13E)</t>
  </si>
  <si>
    <t>FA 20:4;O3(6E,8Z,10E,12E)</t>
  </si>
  <si>
    <t>FA 20:4;O3(7E,9E,11Z,13E)</t>
  </si>
  <si>
    <t>FA 18:2;O</t>
  </si>
  <si>
    <t>FA 18:1;O2</t>
  </si>
  <si>
    <t>FA 18:3;O</t>
  </si>
  <si>
    <t>FA 18:1;O3</t>
  </si>
  <si>
    <t>FA 20:4;O</t>
  </si>
  <si>
    <t>FA 20:5</t>
  </si>
  <si>
    <t>FA 20:4;O3</t>
  </si>
  <si>
    <t>FA 20:3;O4</t>
  </si>
  <si>
    <t>FA 20:5;O</t>
  </si>
  <si>
    <t>FA 22:6;O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</si>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</sst>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theme="8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2"/>
      <color theme="8"/>
      <name val="Calibri"/>
      <family val="2"/>
    </font>
    <font>
      <sz val="8"/>
      <color indexed="64"/>
      <name val="Microsoft Sans Serif"/>
      <family val="2"/>
    </font>
    <font>
      <b/>
      <sz val="11"/>
      <color rgb="FFFF0000"/>
      <name val="Calibri"/>
      <family val="2"/>
      <charset val="1"/>
    </font>
    <font>
      <sz val="11"/>
      <color theme="1"/>
      <name val="Calibri (Corps)"/>
    </font>
    <font>
      <sz val="16"/>
      <color theme="1"/>
      <name val="Calibri (Corps)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BAB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2" fillId="0" borderId="0" applyBorder="0" applyProtection="0"/>
    <xf numFmtId="0" fontId="1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7" xfId="2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6" xfId="2" applyNumberFormat="1" applyFont="1" applyBorder="1" applyAlignment="1">
      <alignment horizontal="center" vertical="center"/>
    </xf>
    <xf numFmtId="164" fontId="5" fillId="0" borderId="9" xfId="1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center" vertical="center"/>
    </xf>
    <xf numFmtId="4" fontId="3" fillId="5" borderId="5" xfId="2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9" fillId="0" borderId="0" xfId="0" applyFont="1"/>
    <xf numFmtId="2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8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0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21" fillId="6" borderId="0" xfId="2" applyFont="1" applyFill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10" borderId="0" xfId="0" applyFill="1"/>
    <xf numFmtId="0" fontId="14" fillId="10" borderId="0" xfId="0" applyFont="1" applyFill="1"/>
    <xf numFmtId="0" fontId="15" fillId="10" borderId="0" xfId="0" applyFont="1" applyFill="1"/>
    <xf numFmtId="0" fontId="18" fillId="10" borderId="0" xfId="0" applyFont="1" applyFill="1"/>
    <xf numFmtId="0" fontId="19" fillId="10" borderId="0" xfId="0" applyFont="1" applyFill="1"/>
    <xf numFmtId="0" fontId="8" fillId="11" borderId="0" xfId="0" applyFont="1" applyFill="1" applyAlignment="1">
      <alignment horizontal="center" vertical="center"/>
    </xf>
    <xf numFmtId="0" fontId="0" fillId="4" borderId="0" xfId="0" applyFill="1"/>
    <xf numFmtId="0" fontId="14" fillId="4" borderId="0" xfId="0" applyFont="1" applyFill="1" applyAlignment="1">
      <alignment wrapText="1"/>
    </xf>
    <xf numFmtId="0" fontId="15" fillId="4" borderId="0" xfId="0" applyFont="1" applyFill="1" applyAlignment="1">
      <alignment wrapText="1"/>
    </xf>
    <xf numFmtId="0" fontId="18" fillId="4" borderId="0" xfId="0" applyFont="1" applyFill="1"/>
    <xf numFmtId="0" fontId="19" fillId="4" borderId="0" xfId="0" applyFont="1" applyFill="1" applyAlignment="1">
      <alignment wrapText="1"/>
    </xf>
    <xf numFmtId="0" fontId="8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6" fillId="13" borderId="0" xfId="2" applyFont="1" applyFill="1" applyAlignment="1">
      <alignment horizontal="center" vertical="center"/>
    </xf>
    <xf numFmtId="0" fontId="3" fillId="13" borderId="0" xfId="2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3" fillId="0" borderId="9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4" fontId="5" fillId="0" borderId="15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16" xfId="0" applyNumberFormat="1" applyFont="1" applyBorder="1" applyAlignment="1">
      <alignment horizontal="center" vertical="center"/>
    </xf>
    <xf numFmtId="164" fontId="5" fillId="0" borderId="15" xfId="1" applyFont="1" applyFill="1" applyBorder="1" applyAlignment="1">
      <alignment horizontal="center" vertical="center"/>
    </xf>
    <xf numFmtId="164" fontId="5" fillId="0" borderId="16" xfId="1" applyFont="1" applyFill="1" applyBorder="1" applyAlignment="1">
      <alignment horizontal="center" vertical="center"/>
    </xf>
    <xf numFmtId="164" fontId="5" fillId="0" borderId="4" xfId="1" applyFont="1" applyFill="1" applyBorder="1" applyAlignment="1">
      <alignment horizontal="center" vertical="center"/>
    </xf>
    <xf numFmtId="164" fontId="5" fillId="0" borderId="17" xfId="1" applyFont="1" applyFill="1" applyBorder="1" applyAlignment="1">
      <alignment horizontal="center" vertical="center"/>
    </xf>
    <xf numFmtId="164" fontId="5" fillId="0" borderId="18" xfId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3" fillId="14" borderId="0" xfId="0" applyFont="1" applyFill="1" applyAlignment="1">
      <alignment horizont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wrapText="1"/>
    </xf>
    <xf numFmtId="0" fontId="23" fillId="0" borderId="0" xfId="0" applyFont="1"/>
    <xf numFmtId="0" fontId="22" fillId="14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5" fontId="13" fillId="14" borderId="0" xfId="0" quotePrefix="1" applyNumberFormat="1" applyFont="1" applyFill="1" applyAlignment="1">
      <alignment horizontal="center"/>
    </xf>
    <xf numFmtId="0" fontId="27" fillId="15" borderId="0" xfId="0" applyFont="1" applyFill="1" applyAlignment="1">
      <alignment horizontal="center"/>
    </xf>
    <xf numFmtId="0" fontId="28" fillId="15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15" fontId="20" fillId="0" borderId="0" xfId="2" applyNumberFormat="1" applyFont="1" applyAlignment="1">
      <alignment horizontal="center" vertical="center"/>
    </xf>
    <xf numFmtId="4" fontId="6" fillId="0" borderId="15" xfId="2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9" fontId="0" fillId="0" borderId="0" xfId="5" applyFont="1" applyAlignment="1">
      <alignment horizontal="center" vertical="center"/>
    </xf>
    <xf numFmtId="165" fontId="32" fillId="0" borderId="29" xfId="0" applyNumberFormat="1" applyFont="1" applyBorder="1" applyAlignment="1">
      <alignment horizontal="right" vertical="top"/>
    </xf>
    <xf numFmtId="0" fontId="33" fillId="0" borderId="9" xfId="2" applyFont="1" applyBorder="1" applyAlignment="1">
      <alignment horizontal="center" vertical="center"/>
    </xf>
    <xf numFmtId="0" fontId="33" fillId="0" borderId="16" xfId="2" applyFont="1" applyBorder="1" applyAlignment="1">
      <alignment horizontal="center" vertical="center"/>
    </xf>
    <xf numFmtId="0" fontId="33" fillId="0" borderId="7" xfId="2" applyFont="1" applyBorder="1" applyAlignment="1">
      <alignment horizontal="center" vertical="center"/>
    </xf>
    <xf numFmtId="0" fontId="33" fillId="0" borderId="15" xfId="2" applyFont="1" applyBorder="1" applyAlignment="1">
      <alignment horizontal="center" vertical="center"/>
    </xf>
    <xf numFmtId="0" fontId="33" fillId="0" borderId="8" xfId="2" applyFont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/>
    </xf>
    <xf numFmtId="0" fontId="34" fillId="0" borderId="7" xfId="2" applyFont="1" applyBorder="1" applyAlignment="1">
      <alignment horizontal="center" vertical="center"/>
    </xf>
    <xf numFmtId="0" fontId="34" fillId="0" borderId="15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34" fillId="0" borderId="16" xfId="2" applyFont="1" applyBorder="1" applyAlignment="1">
      <alignment horizontal="center" vertical="center"/>
    </xf>
    <xf numFmtId="0" fontId="34" fillId="0" borderId="9" xfId="2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0" borderId="30" xfId="2" applyFont="1" applyBorder="1" applyAlignment="1">
      <alignment horizontal="center" vertical="center" wrapText="1"/>
    </xf>
    <xf numFmtId="0" fontId="34" fillId="5" borderId="2" xfId="2" applyFont="1" applyFill="1" applyBorder="1" applyAlignment="1">
      <alignment horizontal="center" vertical="center"/>
    </xf>
    <xf numFmtId="0" fontId="34" fillId="0" borderId="30" xfId="2" applyFont="1" applyBorder="1" applyAlignment="1">
      <alignment horizontal="center" vertical="center"/>
    </xf>
    <xf numFmtId="0" fontId="34" fillId="0" borderId="31" xfId="2" applyFont="1" applyBorder="1" applyAlignment="1">
      <alignment horizontal="center" vertical="center"/>
    </xf>
    <xf numFmtId="0" fontId="34" fillId="0" borderId="6" xfId="2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26" fillId="0" borderId="19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2" fontId="5" fillId="0" borderId="15" xfId="1" applyNumberFormat="1" applyFont="1" applyFill="1" applyBorder="1" applyAlignment="1">
      <alignment horizontal="center" vertical="center"/>
    </xf>
  </cellXfs>
  <cellStyles count="6">
    <cellStyle name="Milliers" xfId="1" builtinId="3"/>
    <cellStyle name="Normal" xfId="0" builtinId="0"/>
    <cellStyle name="Normal 2" xfId="2" xr:uid="{00000000-0005-0000-0000-000002000000}"/>
    <cellStyle name="Normal 3" xfId="4" xr:uid="{00000000-0005-0000-0000-000003000000}"/>
    <cellStyle name="Pourcentage" xfId="5" builtinId="5"/>
    <cellStyle name="Pourcentage 2" xfId="3" xr:uid="{00000000-0005-0000-0000-000005000000}"/>
  </cellStyles>
  <dxfs count="0"/>
  <tableStyles count="0" defaultTableStyle="TableStyleMedium2" defaultPivotStyle="PivotStyleLight16"/>
  <colors>
    <mruColors>
      <color rgb="FFFFC1C1"/>
      <color rgb="FFFEBABA"/>
      <color rgb="FFFF8F8F"/>
      <color rgb="FF1548A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2" name="Image 1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40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15</xdr:row>
      <xdr:rowOff>0</xdr:rowOff>
    </xdr:from>
    <xdr:to>
      <xdr:col>6</xdr:col>
      <xdr:colOff>28575</xdr:colOff>
      <xdr:row>15</xdr:row>
      <xdr:rowOff>9525</xdr:rowOff>
    </xdr:to>
    <xdr:pic>
      <xdr:nvPicPr>
        <xdr:cNvPr id="3" name="Image 2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15</xdr:row>
      <xdr:rowOff>0</xdr:rowOff>
    </xdr:from>
    <xdr:to>
      <xdr:col>6</xdr:col>
      <xdr:colOff>47625</xdr:colOff>
      <xdr:row>15</xdr:row>
      <xdr:rowOff>9525</xdr:rowOff>
    </xdr:to>
    <xdr:pic>
      <xdr:nvPicPr>
        <xdr:cNvPr id="4" name="Image 3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15</xdr:row>
      <xdr:rowOff>0</xdr:rowOff>
    </xdr:from>
    <xdr:to>
      <xdr:col>6</xdr:col>
      <xdr:colOff>66675</xdr:colOff>
      <xdr:row>15</xdr:row>
      <xdr:rowOff>9525</xdr:rowOff>
    </xdr:to>
    <xdr:pic>
      <xdr:nvPicPr>
        <xdr:cNvPr id="5" name="Image 4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15</xdr:row>
      <xdr:rowOff>0</xdr:rowOff>
    </xdr:from>
    <xdr:to>
      <xdr:col>6</xdr:col>
      <xdr:colOff>85725</xdr:colOff>
      <xdr:row>15</xdr:row>
      <xdr:rowOff>9525</xdr:rowOff>
    </xdr:to>
    <xdr:pic>
      <xdr:nvPicPr>
        <xdr:cNvPr id="6" name="Image 5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15</xdr:row>
      <xdr:rowOff>0</xdr:rowOff>
    </xdr:from>
    <xdr:to>
      <xdr:col>6</xdr:col>
      <xdr:colOff>104775</xdr:colOff>
      <xdr:row>15</xdr:row>
      <xdr:rowOff>9525</xdr:rowOff>
    </xdr:to>
    <xdr:pic>
      <xdr:nvPicPr>
        <xdr:cNvPr id="7" name="Image 6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5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15</xdr:row>
      <xdr:rowOff>0</xdr:rowOff>
    </xdr:from>
    <xdr:to>
      <xdr:col>6</xdr:col>
      <xdr:colOff>123825</xdr:colOff>
      <xdr:row>15</xdr:row>
      <xdr:rowOff>9525</xdr:rowOff>
    </xdr:to>
    <xdr:pic>
      <xdr:nvPicPr>
        <xdr:cNvPr id="8" name="Image 7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54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15</xdr:row>
      <xdr:rowOff>0</xdr:rowOff>
    </xdr:from>
    <xdr:to>
      <xdr:col>6</xdr:col>
      <xdr:colOff>142875</xdr:colOff>
      <xdr:row>15</xdr:row>
      <xdr:rowOff>9525</xdr:rowOff>
    </xdr:to>
    <xdr:pic>
      <xdr:nvPicPr>
        <xdr:cNvPr id="9" name="Image 8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3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15</xdr:row>
      <xdr:rowOff>0</xdr:rowOff>
    </xdr:from>
    <xdr:to>
      <xdr:col>6</xdr:col>
      <xdr:colOff>161925</xdr:colOff>
      <xdr:row>15</xdr:row>
      <xdr:rowOff>9525</xdr:rowOff>
    </xdr:to>
    <xdr:pic>
      <xdr:nvPicPr>
        <xdr:cNvPr id="10" name="Image 9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15</xdr:row>
      <xdr:rowOff>0</xdr:rowOff>
    </xdr:from>
    <xdr:to>
      <xdr:col>6</xdr:col>
      <xdr:colOff>180975</xdr:colOff>
      <xdr:row>15</xdr:row>
      <xdr:rowOff>9525</xdr:rowOff>
    </xdr:to>
    <xdr:pic>
      <xdr:nvPicPr>
        <xdr:cNvPr id="11" name="Image 10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2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15</xdr:row>
      <xdr:rowOff>0</xdr:rowOff>
    </xdr:from>
    <xdr:to>
      <xdr:col>6</xdr:col>
      <xdr:colOff>200025</xdr:colOff>
      <xdr:row>15</xdr:row>
      <xdr:rowOff>9525</xdr:rowOff>
    </xdr:to>
    <xdr:pic>
      <xdr:nvPicPr>
        <xdr:cNvPr id="12" name="Image 11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311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15</xdr:row>
      <xdr:rowOff>0</xdr:rowOff>
    </xdr:from>
    <xdr:to>
      <xdr:col>6</xdr:col>
      <xdr:colOff>219075</xdr:colOff>
      <xdr:row>15</xdr:row>
      <xdr:rowOff>9525</xdr:rowOff>
    </xdr:to>
    <xdr:pic>
      <xdr:nvPicPr>
        <xdr:cNvPr id="13" name="Image 12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501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15</xdr:row>
      <xdr:rowOff>0</xdr:rowOff>
    </xdr:from>
    <xdr:to>
      <xdr:col>6</xdr:col>
      <xdr:colOff>238125</xdr:colOff>
      <xdr:row>15</xdr:row>
      <xdr:rowOff>9525</xdr:rowOff>
    </xdr:to>
    <xdr:pic>
      <xdr:nvPicPr>
        <xdr:cNvPr id="14" name="Image 13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92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15</xdr:row>
      <xdr:rowOff>0</xdr:rowOff>
    </xdr:from>
    <xdr:to>
      <xdr:col>6</xdr:col>
      <xdr:colOff>257175</xdr:colOff>
      <xdr:row>15</xdr:row>
      <xdr:rowOff>9525</xdr:rowOff>
    </xdr:to>
    <xdr:pic>
      <xdr:nvPicPr>
        <xdr:cNvPr id="15" name="Image 14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15</xdr:row>
      <xdr:rowOff>0</xdr:rowOff>
    </xdr:from>
    <xdr:to>
      <xdr:col>6</xdr:col>
      <xdr:colOff>276225</xdr:colOff>
      <xdr:row>15</xdr:row>
      <xdr:rowOff>9525</xdr:rowOff>
    </xdr:to>
    <xdr:pic>
      <xdr:nvPicPr>
        <xdr:cNvPr id="16" name="Image 15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73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15</xdr:row>
      <xdr:rowOff>0</xdr:rowOff>
    </xdr:from>
    <xdr:to>
      <xdr:col>6</xdr:col>
      <xdr:colOff>295275</xdr:colOff>
      <xdr:row>15</xdr:row>
      <xdr:rowOff>9525</xdr:rowOff>
    </xdr:to>
    <xdr:pic>
      <xdr:nvPicPr>
        <xdr:cNvPr id="17" name="Image 16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63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15</xdr:row>
      <xdr:rowOff>0</xdr:rowOff>
    </xdr:from>
    <xdr:to>
      <xdr:col>6</xdr:col>
      <xdr:colOff>314325</xdr:colOff>
      <xdr:row>15</xdr:row>
      <xdr:rowOff>9525</xdr:rowOff>
    </xdr:to>
    <xdr:pic>
      <xdr:nvPicPr>
        <xdr:cNvPr id="18" name="Image 17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15</xdr:row>
      <xdr:rowOff>0</xdr:rowOff>
    </xdr:from>
    <xdr:to>
      <xdr:col>6</xdr:col>
      <xdr:colOff>333375</xdr:colOff>
      <xdr:row>15</xdr:row>
      <xdr:rowOff>9525</xdr:rowOff>
    </xdr:to>
    <xdr:pic>
      <xdr:nvPicPr>
        <xdr:cNvPr id="19" name="Image 18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44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15</xdr:row>
      <xdr:rowOff>0</xdr:rowOff>
    </xdr:from>
    <xdr:to>
      <xdr:col>6</xdr:col>
      <xdr:colOff>352425</xdr:colOff>
      <xdr:row>15</xdr:row>
      <xdr:rowOff>9525</xdr:rowOff>
    </xdr:to>
    <xdr:pic>
      <xdr:nvPicPr>
        <xdr:cNvPr id="20" name="Image 19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15</xdr:row>
      <xdr:rowOff>0</xdr:rowOff>
    </xdr:from>
    <xdr:to>
      <xdr:col>6</xdr:col>
      <xdr:colOff>371475</xdr:colOff>
      <xdr:row>15</xdr:row>
      <xdr:rowOff>9525</xdr:rowOff>
    </xdr:to>
    <xdr:pic>
      <xdr:nvPicPr>
        <xdr:cNvPr id="21" name="Image 20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025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15</xdr:row>
      <xdr:rowOff>0</xdr:rowOff>
    </xdr:from>
    <xdr:to>
      <xdr:col>6</xdr:col>
      <xdr:colOff>390525</xdr:colOff>
      <xdr:row>15</xdr:row>
      <xdr:rowOff>9525</xdr:rowOff>
    </xdr:to>
    <xdr:pic>
      <xdr:nvPicPr>
        <xdr:cNvPr id="22" name="Image 21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400050</xdr:colOff>
      <xdr:row>15</xdr:row>
      <xdr:rowOff>0</xdr:rowOff>
    </xdr:from>
    <xdr:to>
      <xdr:col>6</xdr:col>
      <xdr:colOff>409575</xdr:colOff>
      <xdr:row>15</xdr:row>
      <xdr:rowOff>9525</xdr:rowOff>
    </xdr:to>
    <xdr:pic>
      <xdr:nvPicPr>
        <xdr:cNvPr id="23" name="Image 22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06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419100</xdr:colOff>
      <xdr:row>15</xdr:row>
      <xdr:rowOff>0</xdr:rowOff>
    </xdr:from>
    <xdr:to>
      <xdr:col>6</xdr:col>
      <xdr:colOff>428625</xdr:colOff>
      <xdr:row>15</xdr:row>
      <xdr:rowOff>9525</xdr:rowOff>
    </xdr:to>
    <xdr:pic>
      <xdr:nvPicPr>
        <xdr:cNvPr id="24" name="Image 23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597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438150</xdr:colOff>
      <xdr:row>15</xdr:row>
      <xdr:rowOff>0</xdr:rowOff>
    </xdr:from>
    <xdr:to>
      <xdr:col>6</xdr:col>
      <xdr:colOff>447675</xdr:colOff>
      <xdr:row>15</xdr:row>
      <xdr:rowOff>9525</xdr:rowOff>
    </xdr:to>
    <xdr:pic>
      <xdr:nvPicPr>
        <xdr:cNvPr id="25" name="Image 24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15</xdr:row>
      <xdr:rowOff>0</xdr:rowOff>
    </xdr:from>
    <xdr:to>
      <xdr:col>6</xdr:col>
      <xdr:colOff>466725</xdr:colOff>
      <xdr:row>15</xdr:row>
      <xdr:rowOff>9525</xdr:rowOff>
    </xdr:to>
    <xdr:pic>
      <xdr:nvPicPr>
        <xdr:cNvPr id="26" name="Image 25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78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476250</xdr:colOff>
      <xdr:row>15</xdr:row>
      <xdr:rowOff>0</xdr:rowOff>
    </xdr:from>
    <xdr:to>
      <xdr:col>6</xdr:col>
      <xdr:colOff>485775</xdr:colOff>
      <xdr:row>15</xdr:row>
      <xdr:rowOff>9525</xdr:rowOff>
    </xdr:to>
    <xdr:pic>
      <xdr:nvPicPr>
        <xdr:cNvPr id="27" name="Image 26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168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495300</xdr:colOff>
      <xdr:row>15</xdr:row>
      <xdr:rowOff>0</xdr:rowOff>
    </xdr:from>
    <xdr:to>
      <xdr:col>6</xdr:col>
      <xdr:colOff>504825</xdr:colOff>
      <xdr:row>15</xdr:row>
      <xdr:rowOff>9525</xdr:rowOff>
    </xdr:to>
    <xdr:pic>
      <xdr:nvPicPr>
        <xdr:cNvPr id="28" name="Image 27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59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514350</xdr:colOff>
      <xdr:row>15</xdr:row>
      <xdr:rowOff>0</xdr:rowOff>
    </xdr:from>
    <xdr:to>
      <xdr:col>6</xdr:col>
      <xdr:colOff>523875</xdr:colOff>
      <xdr:row>15</xdr:row>
      <xdr:rowOff>9525</xdr:rowOff>
    </xdr:to>
    <xdr:pic>
      <xdr:nvPicPr>
        <xdr:cNvPr id="29" name="Image 28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549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533400</xdr:colOff>
      <xdr:row>15</xdr:row>
      <xdr:rowOff>0</xdr:rowOff>
    </xdr:from>
    <xdr:to>
      <xdr:col>6</xdr:col>
      <xdr:colOff>542925</xdr:colOff>
      <xdr:row>15</xdr:row>
      <xdr:rowOff>9525</xdr:rowOff>
    </xdr:to>
    <xdr:pic>
      <xdr:nvPicPr>
        <xdr:cNvPr id="30" name="Image 29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552450</xdr:colOff>
      <xdr:row>15</xdr:row>
      <xdr:rowOff>0</xdr:rowOff>
    </xdr:from>
    <xdr:to>
      <xdr:col>6</xdr:col>
      <xdr:colOff>561975</xdr:colOff>
      <xdr:row>15</xdr:row>
      <xdr:rowOff>9525</xdr:rowOff>
    </xdr:to>
    <xdr:pic>
      <xdr:nvPicPr>
        <xdr:cNvPr id="31" name="Image 30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3050" y="4803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9525</xdr:rowOff>
    </xdr:to>
    <xdr:pic>
      <xdr:nvPicPr>
        <xdr:cNvPr id="32" name="Image 31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51</xdr:row>
      <xdr:rowOff>0</xdr:rowOff>
    </xdr:from>
    <xdr:to>
      <xdr:col>6</xdr:col>
      <xdr:colOff>28575</xdr:colOff>
      <xdr:row>51</xdr:row>
      <xdr:rowOff>9525</xdr:rowOff>
    </xdr:to>
    <xdr:pic>
      <xdr:nvPicPr>
        <xdr:cNvPr id="33" name="Image 32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51</xdr:row>
      <xdr:rowOff>0</xdr:rowOff>
    </xdr:from>
    <xdr:to>
      <xdr:col>6</xdr:col>
      <xdr:colOff>47625</xdr:colOff>
      <xdr:row>51</xdr:row>
      <xdr:rowOff>9525</xdr:rowOff>
    </xdr:to>
    <xdr:pic>
      <xdr:nvPicPr>
        <xdr:cNvPr id="34" name="Image 33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51</xdr:row>
      <xdr:rowOff>0</xdr:rowOff>
    </xdr:from>
    <xdr:to>
      <xdr:col>6</xdr:col>
      <xdr:colOff>66675</xdr:colOff>
      <xdr:row>51</xdr:row>
      <xdr:rowOff>9525</xdr:rowOff>
    </xdr:to>
    <xdr:pic>
      <xdr:nvPicPr>
        <xdr:cNvPr id="35" name="Image 34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51</xdr:row>
      <xdr:rowOff>0</xdr:rowOff>
    </xdr:from>
    <xdr:to>
      <xdr:col>6</xdr:col>
      <xdr:colOff>85725</xdr:colOff>
      <xdr:row>51</xdr:row>
      <xdr:rowOff>9525</xdr:rowOff>
    </xdr:to>
    <xdr:pic>
      <xdr:nvPicPr>
        <xdr:cNvPr id="36" name="Image 35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51</xdr:row>
      <xdr:rowOff>0</xdr:rowOff>
    </xdr:from>
    <xdr:to>
      <xdr:col>6</xdr:col>
      <xdr:colOff>104775</xdr:colOff>
      <xdr:row>51</xdr:row>
      <xdr:rowOff>9525</xdr:rowOff>
    </xdr:to>
    <xdr:pic>
      <xdr:nvPicPr>
        <xdr:cNvPr id="37" name="Image 36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51</xdr:row>
      <xdr:rowOff>0</xdr:rowOff>
    </xdr:from>
    <xdr:to>
      <xdr:col>6</xdr:col>
      <xdr:colOff>123825</xdr:colOff>
      <xdr:row>51</xdr:row>
      <xdr:rowOff>9525</xdr:rowOff>
    </xdr:to>
    <xdr:pic>
      <xdr:nvPicPr>
        <xdr:cNvPr id="38" name="Image 37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51</xdr:row>
      <xdr:rowOff>0</xdr:rowOff>
    </xdr:from>
    <xdr:to>
      <xdr:col>6</xdr:col>
      <xdr:colOff>142875</xdr:colOff>
      <xdr:row>51</xdr:row>
      <xdr:rowOff>9525</xdr:rowOff>
    </xdr:to>
    <xdr:pic>
      <xdr:nvPicPr>
        <xdr:cNvPr id="39" name="Image 38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51</xdr:row>
      <xdr:rowOff>0</xdr:rowOff>
    </xdr:from>
    <xdr:to>
      <xdr:col>6</xdr:col>
      <xdr:colOff>161925</xdr:colOff>
      <xdr:row>51</xdr:row>
      <xdr:rowOff>9525</xdr:rowOff>
    </xdr:to>
    <xdr:pic>
      <xdr:nvPicPr>
        <xdr:cNvPr id="40" name="Image 39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51</xdr:row>
      <xdr:rowOff>0</xdr:rowOff>
    </xdr:from>
    <xdr:to>
      <xdr:col>6</xdr:col>
      <xdr:colOff>180975</xdr:colOff>
      <xdr:row>51</xdr:row>
      <xdr:rowOff>9525</xdr:rowOff>
    </xdr:to>
    <xdr:pic>
      <xdr:nvPicPr>
        <xdr:cNvPr id="41" name="Image 40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20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51</xdr:row>
      <xdr:rowOff>0</xdr:rowOff>
    </xdr:from>
    <xdr:to>
      <xdr:col>6</xdr:col>
      <xdr:colOff>200025</xdr:colOff>
      <xdr:row>51</xdr:row>
      <xdr:rowOff>9525</xdr:rowOff>
    </xdr:to>
    <xdr:pic>
      <xdr:nvPicPr>
        <xdr:cNvPr id="42" name="Image 41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51</xdr:row>
      <xdr:rowOff>0</xdr:rowOff>
    </xdr:from>
    <xdr:to>
      <xdr:col>6</xdr:col>
      <xdr:colOff>219075</xdr:colOff>
      <xdr:row>51</xdr:row>
      <xdr:rowOff>9525</xdr:rowOff>
    </xdr:to>
    <xdr:pic>
      <xdr:nvPicPr>
        <xdr:cNvPr id="43" name="Image 42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51</xdr:row>
      <xdr:rowOff>0</xdr:rowOff>
    </xdr:from>
    <xdr:to>
      <xdr:col>6</xdr:col>
      <xdr:colOff>238125</xdr:colOff>
      <xdr:row>51</xdr:row>
      <xdr:rowOff>9525</xdr:rowOff>
    </xdr:to>
    <xdr:pic>
      <xdr:nvPicPr>
        <xdr:cNvPr id="44" name="Image 43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92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51</xdr:row>
      <xdr:rowOff>0</xdr:rowOff>
    </xdr:from>
    <xdr:to>
      <xdr:col>6</xdr:col>
      <xdr:colOff>257175</xdr:colOff>
      <xdr:row>51</xdr:row>
      <xdr:rowOff>9525</xdr:rowOff>
    </xdr:to>
    <xdr:pic>
      <xdr:nvPicPr>
        <xdr:cNvPr id="45" name="Image 44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82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51</xdr:row>
      <xdr:rowOff>0</xdr:rowOff>
    </xdr:from>
    <xdr:to>
      <xdr:col>6</xdr:col>
      <xdr:colOff>276225</xdr:colOff>
      <xdr:row>51</xdr:row>
      <xdr:rowOff>9525</xdr:rowOff>
    </xdr:to>
    <xdr:pic>
      <xdr:nvPicPr>
        <xdr:cNvPr id="46" name="Image 45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73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51</xdr:row>
      <xdr:rowOff>0</xdr:rowOff>
    </xdr:from>
    <xdr:to>
      <xdr:col>6</xdr:col>
      <xdr:colOff>295275</xdr:colOff>
      <xdr:row>51</xdr:row>
      <xdr:rowOff>9525</xdr:rowOff>
    </xdr:to>
    <xdr:pic>
      <xdr:nvPicPr>
        <xdr:cNvPr id="47" name="Image 46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63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51</xdr:row>
      <xdr:rowOff>0</xdr:rowOff>
    </xdr:from>
    <xdr:to>
      <xdr:col>6</xdr:col>
      <xdr:colOff>314325</xdr:colOff>
      <xdr:row>51</xdr:row>
      <xdr:rowOff>9525</xdr:rowOff>
    </xdr:to>
    <xdr:pic>
      <xdr:nvPicPr>
        <xdr:cNvPr id="48" name="Image 47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54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51</xdr:row>
      <xdr:rowOff>0</xdr:rowOff>
    </xdr:from>
    <xdr:to>
      <xdr:col>6</xdr:col>
      <xdr:colOff>333375</xdr:colOff>
      <xdr:row>51</xdr:row>
      <xdr:rowOff>9525</xdr:rowOff>
    </xdr:to>
    <xdr:pic>
      <xdr:nvPicPr>
        <xdr:cNvPr id="49" name="Image 48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51</xdr:row>
      <xdr:rowOff>0</xdr:rowOff>
    </xdr:from>
    <xdr:to>
      <xdr:col>6</xdr:col>
      <xdr:colOff>352425</xdr:colOff>
      <xdr:row>51</xdr:row>
      <xdr:rowOff>9525</xdr:rowOff>
    </xdr:to>
    <xdr:pic>
      <xdr:nvPicPr>
        <xdr:cNvPr id="50" name="Image 49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361950</xdr:colOff>
      <xdr:row>51</xdr:row>
      <xdr:rowOff>0</xdr:rowOff>
    </xdr:from>
    <xdr:to>
      <xdr:col>6</xdr:col>
      <xdr:colOff>371475</xdr:colOff>
      <xdr:row>51</xdr:row>
      <xdr:rowOff>9525</xdr:rowOff>
    </xdr:to>
    <xdr:pic>
      <xdr:nvPicPr>
        <xdr:cNvPr id="51" name="Image 50" descr="https://www.ebi.ac.uk/chebi/images/invisible_space.gif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1109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13</xdr:col>
      <xdr:colOff>0</xdr:colOff>
      <xdr:row>6</xdr:row>
      <xdr:rowOff>0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8858250" y="1200150"/>
          <a:ext cx="1009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</xdr:row>
      <xdr:rowOff>0</xdr:rowOff>
    </xdr:from>
    <xdr:to>
      <xdr:col>15</xdr:col>
      <xdr:colOff>0</xdr:colOff>
      <xdr:row>6</xdr:row>
      <xdr:rowOff>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1572875" y="1200150"/>
          <a:ext cx="11144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830038</xdr:colOff>
      <xdr:row>7</xdr:row>
      <xdr:rowOff>17690</xdr:rowOff>
    </xdr:from>
    <xdr:to>
      <xdr:col>13</xdr:col>
      <xdr:colOff>831273</xdr:colOff>
      <xdr:row>11</xdr:row>
      <xdr:rowOff>17318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0632129" y="1472417"/>
          <a:ext cx="1235" cy="830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825954</xdr:colOff>
      <xdr:row>15</xdr:row>
      <xdr:rowOff>34636</xdr:rowOff>
    </xdr:from>
    <xdr:to>
      <xdr:col>13</xdr:col>
      <xdr:colOff>825954</xdr:colOff>
      <xdr:row>19</xdr:row>
      <xdr:rowOff>202749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10628045" y="3186545"/>
          <a:ext cx="0" cy="9993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1469572</xdr:colOff>
      <xdr:row>21</xdr:row>
      <xdr:rowOff>0</xdr:rowOff>
    </xdr:from>
    <xdr:to>
      <xdr:col>13</xdr:col>
      <xdr:colOff>0</xdr:colOff>
      <xdr:row>21</xdr:row>
      <xdr:rowOff>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8155215" y="4227286"/>
          <a:ext cx="22134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19050</xdr:colOff>
      <xdr:row>13</xdr:row>
      <xdr:rowOff>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V="1">
          <a:off x="11572875" y="2600325"/>
          <a:ext cx="1133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32</xdr:row>
      <xdr:rowOff>0</xdr:rowOff>
    </xdr:from>
    <xdr:to>
      <xdr:col>15</xdr:col>
      <xdr:colOff>537883</xdr:colOff>
      <xdr:row>32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>
          <a:off x="8429625" y="6600825"/>
          <a:ext cx="368113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550526</xdr:colOff>
      <xdr:row>32</xdr:row>
      <xdr:rowOff>9525</xdr:rowOff>
    </xdr:from>
    <xdr:to>
      <xdr:col>15</xdr:col>
      <xdr:colOff>550526</xdr:colOff>
      <xdr:row>32</xdr:row>
      <xdr:rowOff>189525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/>
      </xdr:nvCxnSpPr>
      <xdr:spPr>
        <a:xfrm flipH="1">
          <a:off x="13245990" y="6540954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32</xdr:row>
      <xdr:rowOff>9525</xdr:rowOff>
    </xdr:from>
    <xdr:to>
      <xdr:col>14</xdr:col>
      <xdr:colOff>457200</xdr:colOff>
      <xdr:row>32</xdr:row>
      <xdr:rowOff>189525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H="1">
          <a:off x="10325100" y="6610350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638175</xdr:colOff>
      <xdr:row>32</xdr:row>
      <xdr:rowOff>0</xdr:rowOff>
    </xdr:from>
    <xdr:to>
      <xdr:col>13</xdr:col>
      <xdr:colOff>638175</xdr:colOff>
      <xdr:row>32</xdr:row>
      <xdr:rowOff>180000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 flipH="1">
          <a:off x="9496425" y="6600825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581025</xdr:colOff>
      <xdr:row>32</xdr:row>
      <xdr:rowOff>0</xdr:rowOff>
    </xdr:from>
    <xdr:to>
      <xdr:col>12</xdr:col>
      <xdr:colOff>581025</xdr:colOff>
      <xdr:row>32</xdr:row>
      <xdr:rowOff>180000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flipH="1">
          <a:off x="8429625" y="6600825"/>
          <a:ext cx="0" cy="180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789215</xdr:colOff>
      <xdr:row>15</xdr:row>
      <xdr:rowOff>85272</xdr:rowOff>
    </xdr:from>
    <xdr:to>
      <xdr:col>15</xdr:col>
      <xdr:colOff>789215</xdr:colOff>
      <xdr:row>25</xdr:row>
      <xdr:rowOff>109925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>
          <a:off x="14713858" y="3115129"/>
          <a:ext cx="0" cy="20566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752475</xdr:colOff>
      <xdr:row>4</xdr:row>
      <xdr:rowOff>0</xdr:rowOff>
    </xdr:from>
    <xdr:to>
      <xdr:col>33</xdr:col>
      <xdr:colOff>1</xdr:colOff>
      <xdr:row>4</xdr:row>
      <xdr:rowOff>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flipH="1">
          <a:off x="23898225" y="800100"/>
          <a:ext cx="7715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</xdr:row>
      <xdr:rowOff>0</xdr:rowOff>
    </xdr:from>
    <xdr:to>
      <xdr:col>37</xdr:col>
      <xdr:colOff>9526</xdr:colOff>
      <xdr:row>4</xdr:row>
      <xdr:rowOff>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26955750" y="800100"/>
          <a:ext cx="7715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217714</xdr:colOff>
      <xdr:row>5</xdr:row>
      <xdr:rowOff>27214</xdr:rowOff>
    </xdr:from>
    <xdr:to>
      <xdr:col>36</xdr:col>
      <xdr:colOff>748393</xdr:colOff>
      <xdr:row>7</xdr:row>
      <xdr:rowOff>27214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>
          <a:off x="26452285" y="1047750"/>
          <a:ext cx="1292679" cy="4082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9525</xdr:colOff>
      <xdr:row>17</xdr:row>
      <xdr:rowOff>0</xdr:rowOff>
    </xdr:from>
    <xdr:to>
      <xdr:col>37</xdr:col>
      <xdr:colOff>9525</xdr:colOff>
      <xdr:row>17</xdr:row>
      <xdr:rowOff>0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26965275" y="3400425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95252</xdr:colOff>
      <xdr:row>5</xdr:row>
      <xdr:rowOff>0</xdr:rowOff>
    </xdr:from>
    <xdr:to>
      <xdr:col>33</xdr:col>
      <xdr:colOff>0</xdr:colOff>
      <xdr:row>6</xdr:row>
      <xdr:rowOff>66675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/>
      </xdr:nvCxnSpPr>
      <xdr:spPr>
        <a:xfrm flipH="1">
          <a:off x="24043823" y="1020536"/>
          <a:ext cx="666748" cy="2707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14</xdr:row>
      <xdr:rowOff>100853</xdr:rowOff>
    </xdr:from>
    <xdr:to>
      <xdr:col>40</xdr:col>
      <xdr:colOff>190500</xdr:colOff>
      <xdr:row>16</xdr:row>
      <xdr:rowOff>85726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V="1">
          <a:off x="29463066" y="2924735"/>
          <a:ext cx="142875" cy="3882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28575</xdr:colOff>
      <xdr:row>15</xdr:row>
      <xdr:rowOff>145677</xdr:rowOff>
    </xdr:from>
    <xdr:to>
      <xdr:col>41</xdr:col>
      <xdr:colOff>78441</xdr:colOff>
      <xdr:row>16</xdr:row>
      <xdr:rowOff>95250</xdr:rowOff>
    </xdr:to>
    <xdr:cxnSp macro="">
      <xdr:nvCxnSpPr>
        <xdr:cNvPr id="27" name="Connecteur droit avec flèch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 flipV="1">
          <a:off x="29444016" y="3171265"/>
          <a:ext cx="251572" cy="1512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76200</xdr:colOff>
      <xdr:row>16</xdr:row>
      <xdr:rowOff>104775</xdr:rowOff>
    </xdr:from>
    <xdr:to>
      <xdr:col>41</xdr:col>
      <xdr:colOff>89647</xdr:colOff>
      <xdr:row>16</xdr:row>
      <xdr:rowOff>123265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29491641" y="3332069"/>
          <a:ext cx="215153" cy="18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16</xdr:row>
      <xdr:rowOff>85725</xdr:rowOff>
    </xdr:from>
    <xdr:to>
      <xdr:col>41</xdr:col>
      <xdr:colOff>0</xdr:colOff>
      <xdr:row>17</xdr:row>
      <xdr:rowOff>145676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/>
      </xdr:nvCxnSpPr>
      <xdr:spPr>
        <a:xfrm>
          <a:off x="29463066" y="3313019"/>
          <a:ext cx="154081" cy="2616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</xdr:colOff>
      <xdr:row>17</xdr:row>
      <xdr:rowOff>0</xdr:rowOff>
    </xdr:from>
    <xdr:to>
      <xdr:col>32</xdr:col>
      <xdr:colOff>742950</xdr:colOff>
      <xdr:row>17</xdr:row>
      <xdr:rowOff>0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/>
      </xdr:nvCxnSpPr>
      <xdr:spPr>
        <a:xfrm flipH="1">
          <a:off x="23926800" y="3400425"/>
          <a:ext cx="723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25</xdr:row>
      <xdr:rowOff>0</xdr:rowOff>
    </xdr:from>
    <xdr:to>
      <xdr:col>37</xdr:col>
      <xdr:colOff>19050</xdr:colOff>
      <xdr:row>25</xdr:row>
      <xdr:rowOff>1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V="1">
          <a:off x="26955750" y="5200650"/>
          <a:ext cx="7810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1823357</xdr:colOff>
      <xdr:row>7</xdr:row>
      <xdr:rowOff>0</xdr:rowOff>
    </xdr:from>
    <xdr:to>
      <xdr:col>15</xdr:col>
      <xdr:colOff>13607</xdr:colOff>
      <xdr:row>9</xdr:row>
      <xdr:rowOff>13607</xdr:rowOff>
    </xdr:to>
    <xdr:cxnSp macro="">
      <xdr:nvCxnSpPr>
        <xdr:cNvPr id="19" name="Connecteur en 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/>
      </xdr:nvCxnSpPr>
      <xdr:spPr>
        <a:xfrm>
          <a:off x="12192000" y="1397000"/>
          <a:ext cx="1746250" cy="412750"/>
        </a:xfrm>
        <a:prstGeom prst="bentConnector3">
          <a:avLst>
            <a:gd name="adj1" fmla="val 86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1387930</xdr:colOff>
      <xdr:row>23</xdr:row>
      <xdr:rowOff>-1</xdr:rowOff>
    </xdr:from>
    <xdr:to>
      <xdr:col>13</xdr:col>
      <xdr:colOff>27215</xdr:colOff>
      <xdr:row>29</xdr:row>
      <xdr:rowOff>108856</xdr:rowOff>
    </xdr:to>
    <xdr:cxnSp macro="">
      <xdr:nvCxnSpPr>
        <xdr:cNvPr id="37" name="Connecteur en 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/>
      </xdr:nvCxnSpPr>
      <xdr:spPr>
        <a:xfrm rot="10800000" flipV="1">
          <a:off x="7769680" y="4735285"/>
          <a:ext cx="2136321" cy="1374321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508000</xdr:colOff>
      <xdr:row>17</xdr:row>
      <xdr:rowOff>45357</xdr:rowOff>
    </xdr:from>
    <xdr:to>
      <xdr:col>37</xdr:col>
      <xdr:colOff>508000</xdr:colOff>
      <xdr:row>19</xdr:row>
      <xdr:rowOff>163286</xdr:rowOff>
    </xdr:to>
    <xdr:cxnSp macro="">
      <xdr:nvCxnSpPr>
        <xdr:cNvPr id="34" name="Connecteur droit avec flèch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30198786" y="3474357"/>
          <a:ext cx="0" cy="5170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417286</xdr:colOff>
      <xdr:row>17</xdr:row>
      <xdr:rowOff>36286</xdr:rowOff>
    </xdr:from>
    <xdr:to>
      <xdr:col>37</xdr:col>
      <xdr:colOff>190500</xdr:colOff>
      <xdr:row>19</xdr:row>
      <xdr:rowOff>117928</xdr:rowOff>
    </xdr:to>
    <xdr:cxnSp macro="">
      <xdr:nvCxnSpPr>
        <xdr:cNvPr id="38" name="Connecteur droit avec flèch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/>
      </xdr:nvCxnSpPr>
      <xdr:spPr>
        <a:xfrm flipH="1">
          <a:off x="29309786" y="3465286"/>
          <a:ext cx="571500" cy="480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9071</xdr:colOff>
      <xdr:row>21</xdr:row>
      <xdr:rowOff>63500</xdr:rowOff>
    </xdr:from>
    <xdr:to>
      <xdr:col>15</xdr:col>
      <xdr:colOff>789214</xdr:colOff>
      <xdr:row>21</xdr:row>
      <xdr:rowOff>63500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V="1">
          <a:off x="12763500" y="4290786"/>
          <a:ext cx="195035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786946</xdr:colOff>
      <xdr:row>15</xdr:row>
      <xdr:rowOff>72572</xdr:rowOff>
    </xdr:from>
    <xdr:to>
      <xdr:col>16</xdr:col>
      <xdr:colOff>45358</xdr:colOff>
      <xdr:row>15</xdr:row>
      <xdr:rowOff>72572</xdr:rowOff>
    </xdr:to>
    <xdr:cxnSp macro="">
      <xdr:nvCxnSpPr>
        <xdr:cNvPr id="39" name="Connecteur droit avec flèch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14711589" y="3102429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794204</xdr:colOff>
      <xdr:row>19</xdr:row>
      <xdr:rowOff>134258</xdr:rowOff>
    </xdr:from>
    <xdr:to>
      <xdr:col>16</xdr:col>
      <xdr:colOff>52616</xdr:colOff>
      <xdr:row>19</xdr:row>
      <xdr:rowOff>134258</xdr:rowOff>
    </xdr:to>
    <xdr:cxnSp macro="">
      <xdr:nvCxnSpPr>
        <xdr:cNvPr id="41" name="Connecteur droit avec flèch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/>
      </xdr:nvCxnSpPr>
      <xdr:spPr>
        <a:xfrm flipV="1">
          <a:off x="14718847" y="3962401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792390</xdr:colOff>
      <xdr:row>23</xdr:row>
      <xdr:rowOff>141515</xdr:rowOff>
    </xdr:from>
    <xdr:to>
      <xdr:col>16</xdr:col>
      <xdr:colOff>50802</xdr:colOff>
      <xdr:row>23</xdr:row>
      <xdr:rowOff>141515</xdr:rowOff>
    </xdr:to>
    <xdr:cxnSp macro="">
      <xdr:nvCxnSpPr>
        <xdr:cNvPr id="42" name="Connecteur droit avec flèch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/>
      </xdr:nvCxnSpPr>
      <xdr:spPr>
        <a:xfrm flipV="1">
          <a:off x="14717033" y="4767944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799647</xdr:colOff>
      <xdr:row>25</xdr:row>
      <xdr:rowOff>103415</xdr:rowOff>
    </xdr:from>
    <xdr:to>
      <xdr:col>16</xdr:col>
      <xdr:colOff>58059</xdr:colOff>
      <xdr:row>25</xdr:row>
      <xdr:rowOff>103415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 flipV="1">
          <a:off x="14724290" y="5165272"/>
          <a:ext cx="428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852714</xdr:colOff>
      <xdr:row>23</xdr:row>
      <xdr:rowOff>9071</xdr:rowOff>
    </xdr:from>
    <xdr:to>
      <xdr:col>13</xdr:col>
      <xdr:colOff>852714</xdr:colOff>
      <xdr:row>32</xdr:row>
      <xdr:rowOff>9072</xdr:rowOff>
    </xdr:to>
    <xdr:cxnSp macro="">
      <xdr:nvCxnSpPr>
        <xdr:cNvPr id="45" name="Connecteur droit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/>
      </xdr:nvCxnSpPr>
      <xdr:spPr>
        <a:xfrm flipH="1">
          <a:off x="10377714" y="4635500"/>
          <a:ext cx="0" cy="18324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WTX74"/>
  <sheetViews>
    <sheetView tabSelected="1" topLeftCell="A16" zoomScale="160" zoomScaleNormal="160" workbookViewId="0">
      <selection activeCell="B35" sqref="B35"/>
    </sheetView>
  </sheetViews>
  <sheetFormatPr baseColWidth="10" defaultColWidth="19" defaultRowHeight="15" x14ac:dyDescent="0.2"/>
  <cols>
    <col min="1" max="1" width="32" style="15" bestFit="1" customWidth="1"/>
    <col min="2" max="2" width="38" style="15" bestFit="1" customWidth="1"/>
    <col min="3" max="4" width="38" style="100" customWidth="1"/>
    <col min="5" max="5" width="35.5" style="15" bestFit="1" customWidth="1"/>
    <col min="6" max="6" width="33.1640625" style="15" bestFit="1" customWidth="1"/>
    <col min="7" max="7" width="38.6640625" style="15" bestFit="1" customWidth="1"/>
    <col min="8" max="9" width="39.33203125" style="15" bestFit="1" customWidth="1"/>
    <col min="10" max="10" width="35" style="15" bestFit="1" customWidth="1"/>
    <col min="11" max="11" width="40.33203125" style="15" bestFit="1" customWidth="1"/>
    <col min="12" max="12" width="40" style="15" bestFit="1" customWidth="1"/>
    <col min="13" max="13" width="35.5" style="15" bestFit="1" customWidth="1"/>
    <col min="14" max="14" width="33.1640625" style="15" bestFit="1" customWidth="1"/>
    <col min="15" max="15" width="24.5" style="15" bestFit="1" customWidth="1"/>
    <col min="16" max="16" width="32.83203125" style="15" bestFit="1" customWidth="1"/>
    <col min="17" max="18" width="35.5" style="15" bestFit="1" customWidth="1"/>
    <col min="19" max="19" width="35" style="15" bestFit="1" customWidth="1"/>
    <col min="20" max="20" width="35.5" style="15" bestFit="1" customWidth="1"/>
    <col min="21" max="21" width="33.1640625" style="15" bestFit="1" customWidth="1"/>
    <col min="22" max="22" width="40.33203125" style="15" bestFit="1" customWidth="1"/>
    <col min="23" max="23" width="35.5" style="15" bestFit="1" customWidth="1"/>
    <col min="24" max="24" width="14.33203125" style="15" bestFit="1" customWidth="1"/>
    <col min="25" max="25" width="13.83203125" style="15" bestFit="1" customWidth="1"/>
    <col min="26" max="34" width="14.33203125" style="15" bestFit="1" customWidth="1"/>
    <col min="35" max="35" width="13.83203125" style="15" bestFit="1" customWidth="1"/>
    <col min="36" max="16384" width="19" style="15"/>
  </cols>
  <sheetData>
    <row r="1" spans="1:173" ht="21" x14ac:dyDescent="0.2">
      <c r="B1" s="119" t="s">
        <v>386</v>
      </c>
      <c r="C1" s="119"/>
      <c r="D1" s="119"/>
      <c r="E1" s="119"/>
      <c r="F1" s="119"/>
      <c r="G1" s="119"/>
      <c r="H1" s="119"/>
      <c r="I1" s="119"/>
      <c r="J1" s="119"/>
    </row>
    <row r="2" spans="1:173" ht="21" x14ac:dyDescent="0.2">
      <c r="B2" s="16"/>
      <c r="C2" s="101"/>
      <c r="D2" s="101"/>
      <c r="E2" s="16"/>
      <c r="F2" s="16"/>
      <c r="G2" s="16"/>
      <c r="H2" s="16"/>
      <c r="I2" s="16"/>
    </row>
    <row r="4" spans="1:173" x14ac:dyDescent="0.2">
      <c r="B4" s="17" t="s">
        <v>0</v>
      </c>
      <c r="C4" s="99"/>
      <c r="D4" s="99"/>
      <c r="E4" s="15" t="s">
        <v>387</v>
      </c>
    </row>
    <row r="5" spans="1:173" x14ac:dyDescent="0.2">
      <c r="B5" s="17" t="s">
        <v>1</v>
      </c>
      <c r="C5" s="99"/>
      <c r="D5" s="99"/>
      <c r="E5" s="15" t="s">
        <v>388</v>
      </c>
    </row>
    <row r="6" spans="1:173" ht="16" thickBot="1" x14ac:dyDescent="0.25"/>
    <row r="7" spans="1:173" ht="16" thickBot="1" x14ac:dyDescent="0.25">
      <c r="B7" s="5" t="str">
        <f>'Raw Datas'!A55</f>
        <v>pg/µL of fluid</v>
      </c>
      <c r="C7" s="102"/>
      <c r="D7" s="102"/>
      <c r="E7" s="6" t="str">
        <f>'Raw Datas'!C1</f>
        <v>KT-312D10</v>
      </c>
      <c r="F7" s="6" t="str">
        <f>'Raw Datas'!D1</f>
        <v>BS-364D0</v>
      </c>
      <c r="G7" s="6" t="str">
        <f>'Raw Datas'!E1</f>
        <v>KT-412D60</v>
      </c>
      <c r="H7" s="6" t="str">
        <f>'Raw Datas'!F1</f>
        <v>KT-974D03</v>
      </c>
      <c r="I7" s="6" t="str">
        <f>'Raw Datas'!G1</f>
        <v>JV-138D0</v>
      </c>
      <c r="J7" s="6" t="str">
        <f>'Raw Datas'!H1</f>
        <v>BS-671D03</v>
      </c>
      <c r="K7" s="6" t="str">
        <f>'Raw Datas'!I1</f>
        <v>KT-723D10</v>
      </c>
      <c r="L7" s="6" t="str">
        <f>'Raw Datas'!J1</f>
        <v>KT-705D60</v>
      </c>
      <c r="M7" s="6" t="str">
        <f>'Raw Datas'!K1</f>
        <v>KT-434D03</v>
      </c>
      <c r="N7" s="6" t="str">
        <f>'Raw Datas'!L1</f>
        <v>BS-082D60</v>
      </c>
      <c r="O7" s="6" t="str">
        <f>'Raw Datas'!M1</f>
        <v>BS-064D0</v>
      </c>
      <c r="P7" s="6" t="str">
        <f>'Raw Datas'!N1</f>
        <v>BS-336D10</v>
      </c>
      <c r="Q7" s="6" t="str">
        <f>'Raw Datas'!O1</f>
        <v>KT-723D60</v>
      </c>
      <c r="R7" s="6" t="str">
        <f>'Raw Datas'!P1</f>
        <v>KT-612D10</v>
      </c>
      <c r="S7" s="6" t="str">
        <f>'Raw Datas'!Q1</f>
        <v>KT-705D03</v>
      </c>
      <c r="T7" s="6" t="str">
        <f>'Raw Datas'!R1</f>
        <v>JV-157D0</v>
      </c>
      <c r="U7" s="6" t="str">
        <f>'Raw Datas'!S1</f>
        <v>JV-148D60</v>
      </c>
      <c r="V7" s="6" t="str">
        <f>'Raw Datas'!T1</f>
        <v>KT-663D0</v>
      </c>
      <c r="W7" s="6" t="str">
        <f>'Raw Datas'!U1</f>
        <v>BS-346D03</v>
      </c>
      <c r="X7" s="6" t="str">
        <f>'Raw Datas'!V1</f>
        <v>JV-048D10</v>
      </c>
      <c r="Y7" s="6" t="str">
        <f>'Raw Datas'!W1</f>
        <v>BS-351D0</v>
      </c>
      <c r="Z7" s="6" t="str">
        <f>'Raw Datas'!X1</f>
        <v>JV-148D10</v>
      </c>
      <c r="AA7" s="6" t="str">
        <f>'Raw Datas'!Y1</f>
        <v>KT-929D60</v>
      </c>
      <c r="AB7" s="6" t="str">
        <f>'Raw Datas'!Z1</f>
        <v>BS-336D03</v>
      </c>
      <c r="AC7" s="6" t="str">
        <f>'Raw Datas'!AA1</f>
        <v>KT-771D10</v>
      </c>
      <c r="AD7" s="6" t="str">
        <f>'Raw Datas'!AB1</f>
        <v>KT-695D03</v>
      </c>
      <c r="AE7" s="6" t="str">
        <f>'Raw Datas'!AC1</f>
        <v>KT-612D0</v>
      </c>
      <c r="AF7" s="6" t="str">
        <f>'Raw Datas'!AD1</f>
        <v>KT-312D60</v>
      </c>
      <c r="AG7" s="6" t="str">
        <f>'Raw Datas'!AE1</f>
        <v>KT-927D03</v>
      </c>
      <c r="AH7" s="6" t="str">
        <f>'Raw Datas'!AF1</f>
        <v>JV-071D60</v>
      </c>
      <c r="AI7" s="6" t="str">
        <f>'Raw Datas'!AG1</f>
        <v>KT-193D10</v>
      </c>
      <c r="AJ7" s="6" t="str">
        <f>'Raw Datas'!AH1</f>
        <v>KT-247D0</v>
      </c>
      <c r="AK7" s="6" t="str">
        <f>'Raw Datas'!AI1</f>
        <v>BS-064D03</v>
      </c>
      <c r="AL7" s="6" t="str">
        <f>'Raw Datas'!AJ1</f>
        <v>KT-537D60</v>
      </c>
      <c r="AM7" s="6" t="str">
        <f>'Raw Datas'!AK1</f>
        <v>BS-377D0</v>
      </c>
      <c r="AN7" s="6" t="str">
        <f>'Raw Datas'!AL1</f>
        <v>KT-347D10</v>
      </c>
      <c r="AO7" s="6" t="str">
        <f>'Raw Datas'!AM1</f>
        <v>JV-138D60</v>
      </c>
      <c r="AP7" s="6" t="str">
        <f>'Raw Datas'!AN1</f>
        <v>JV-138D10</v>
      </c>
      <c r="AQ7" s="6" t="str">
        <f>'Raw Datas'!AO1</f>
        <v>KT-247D03</v>
      </c>
      <c r="AR7" s="6" t="str">
        <f>'Raw Datas'!AP1</f>
        <v>KT-718D0</v>
      </c>
      <c r="AS7" s="6" t="str">
        <f>'Raw Datas'!AQ1</f>
        <v>BS-082D10</v>
      </c>
      <c r="AT7" s="6" t="str">
        <f>'Raw Datas'!AR1</f>
        <v>KT-445D0</v>
      </c>
      <c r="AU7" s="6" t="str">
        <f>'Raw Datas'!AS1</f>
        <v>KT-716D60</v>
      </c>
      <c r="AV7" s="6" t="str">
        <f>'Raw Datas'!AT1</f>
        <v>KT-347D03</v>
      </c>
      <c r="AW7" s="6" t="str">
        <f>'Raw Datas'!AU1</f>
        <v>KT-805D0</v>
      </c>
      <c r="AX7" s="6" t="str">
        <f>'Raw Datas'!AV1</f>
        <v>BS-351D03</v>
      </c>
      <c r="AY7" s="6" t="str">
        <f>'Raw Datas'!AW1</f>
        <v>KT-538D10</v>
      </c>
      <c r="AZ7" s="6" t="str">
        <f>'Raw Datas'!AX1</f>
        <v>JV-035D60</v>
      </c>
      <c r="BA7" s="6" t="str">
        <f>'Raw Datas'!AY1</f>
        <v>KT-718D03</v>
      </c>
      <c r="BB7" s="6" t="str">
        <f>'Raw Datas'!AZ1</f>
        <v>KT-723D0</v>
      </c>
      <c r="BC7" s="6" t="str">
        <f>'Raw Datas'!BA1</f>
        <v>KT-515D10</v>
      </c>
      <c r="BD7" s="6" t="str">
        <f>'Raw Datas'!BB1</f>
        <v>KT-412D03</v>
      </c>
      <c r="BE7" s="6" t="str">
        <f>'Raw Datas'!BC1</f>
        <v>KT-313D10</v>
      </c>
      <c r="BF7" s="6" t="str">
        <f>'Raw Datas'!BD1</f>
        <v>BS-377D60</v>
      </c>
      <c r="BG7" s="6" t="str">
        <f>'Raw Datas'!BE1</f>
        <v>KT-417D0</v>
      </c>
      <c r="BH7" s="6" t="str">
        <f>'Raw Datas'!BF1</f>
        <v>KT-412D10</v>
      </c>
      <c r="BI7" s="6" t="str">
        <f>'Raw Datas'!BG1</f>
        <v>KT-515D0</v>
      </c>
      <c r="BJ7" s="6" t="str">
        <f>'Raw Datas'!BH1</f>
        <v>JV-148D03</v>
      </c>
      <c r="BK7" s="6" t="str">
        <f>'Raw Datas'!BI1</f>
        <v>KT-313D0</v>
      </c>
      <c r="BL7" s="6" t="str">
        <f>'Raw Datas'!BJ1</f>
        <v>KT-445D60</v>
      </c>
      <c r="BM7" s="6" t="str">
        <f>'Raw Datas'!BK1</f>
        <v>KT-434D10</v>
      </c>
      <c r="BN7" s="6" t="str">
        <f>'Raw Datas'!BL1</f>
        <v>BS-082D03</v>
      </c>
      <c r="BO7" s="6" t="str">
        <f>'Raw Datas'!BM1</f>
        <v>KT-880D03</v>
      </c>
      <c r="BP7" s="6" t="str">
        <f>'Raw Datas'!BN1</f>
        <v>KT-247D60</v>
      </c>
      <c r="BQ7" s="6" t="str">
        <f>'Raw Datas'!BO1</f>
        <v>KT-705D10</v>
      </c>
      <c r="BR7" s="6" t="str">
        <f>'Raw Datas'!BP1</f>
        <v>BS-082D0</v>
      </c>
      <c r="BS7" s="6" t="str">
        <f>'Raw Datas'!BQ1</f>
        <v>JV-157D60</v>
      </c>
      <c r="BT7" s="6" t="str">
        <f>'Raw Datas'!BR1</f>
        <v>KT-312D0</v>
      </c>
      <c r="BU7" s="6" t="str">
        <f>'Raw Datas'!BS1</f>
        <v>KT-445D03</v>
      </c>
      <c r="BV7" s="6" t="str">
        <f>'Raw Datas'!BT1</f>
        <v>BS-377D10</v>
      </c>
      <c r="BW7" s="6" t="str">
        <f>'Raw Datas'!BU1</f>
        <v>KT-695D0</v>
      </c>
      <c r="BX7" s="6" t="str">
        <f>'Raw Datas'!BV1</f>
        <v>BS-351D10</v>
      </c>
      <c r="BY7" s="6" t="str">
        <f>'Raw Datas'!BW1</f>
        <v>KT-417D60</v>
      </c>
      <c r="BZ7" s="6" t="str">
        <f>'Raw Datas'!BX1</f>
        <v>JV-138D03</v>
      </c>
      <c r="CA7" s="6" t="str">
        <f>'Raw Datas'!BY1</f>
        <v>KT-805D10</v>
      </c>
      <c r="CB7" s="6" t="str">
        <f>'Raw Datas'!BZ1</f>
        <v>JV-048D03</v>
      </c>
      <c r="CC7" s="6" t="str">
        <f>'Raw Datas'!CA1</f>
        <v>KT-705D0</v>
      </c>
      <c r="CD7" s="6" t="str">
        <f>'Raw Datas'!CB1</f>
        <v>BS-671D60</v>
      </c>
      <c r="CE7" s="6" t="str">
        <f>'Raw Datas'!CC1</f>
        <v>JV-157D03</v>
      </c>
      <c r="CF7" s="6" t="str">
        <f>'Raw Datas'!CD1</f>
        <v>KT-974D0</v>
      </c>
      <c r="CG7" s="6" t="str">
        <f>'Raw Datas'!CE1</f>
        <v>BS-364D60</v>
      </c>
      <c r="CH7" s="6" t="str">
        <f>'Raw Datas'!CF1</f>
        <v>KT-716D10</v>
      </c>
      <c r="CI7" s="6" t="str">
        <f>'Raw Datas'!CG1</f>
        <v>KT-538D0</v>
      </c>
      <c r="CJ7" s="6" t="str">
        <f>'Raw Datas'!CH1</f>
        <v>KT-718D10</v>
      </c>
      <c r="CK7" s="6" t="str">
        <f>'Raw Datas'!CI1</f>
        <v>KT-538D03</v>
      </c>
      <c r="CL7" s="6" t="str">
        <f>'Raw Datas'!CJ1</f>
        <v>KT-805D60</v>
      </c>
      <c r="CM7" s="6" t="str">
        <f>'Raw Datas'!CK1</f>
        <v>KT-612D60</v>
      </c>
      <c r="CN7" s="6" t="str">
        <f>'Raw Datas'!CL1</f>
        <v>KT-926D0</v>
      </c>
      <c r="CO7" s="6" t="str">
        <f>'Raw Datas'!CM1</f>
        <v>KT-193D03</v>
      </c>
      <c r="CP7" s="6" t="str">
        <f>'Raw Datas'!CN1</f>
        <v>KT-663D60</v>
      </c>
      <c r="CQ7" s="6" t="str">
        <f>'Raw Datas'!CO1</f>
        <v>KT-352D03</v>
      </c>
      <c r="CR7" s="6" t="str">
        <f>'Raw Datas'!CP1</f>
        <v>KT-537D10</v>
      </c>
      <c r="CS7" s="6" t="str">
        <f>'Raw Datas'!CQ1</f>
        <v>JV-035D0</v>
      </c>
      <c r="CT7" s="6" t="str">
        <f>'Raw Datas'!CR1</f>
        <v>KT-522D60</v>
      </c>
      <c r="CU7" s="6" t="str">
        <f>'Raw Datas'!CS1</f>
        <v>KT-352D10</v>
      </c>
      <c r="CV7" s="6" t="str">
        <f>'Raw Datas'!CT1</f>
        <v>KT-716D03</v>
      </c>
      <c r="CW7" s="6" t="str">
        <f>'Raw Datas'!CU1</f>
        <v>KT-716D0</v>
      </c>
      <c r="CX7" s="6" t="str">
        <f>'Raw Datas'!CV1</f>
        <v>BS-346D10</v>
      </c>
      <c r="CY7" s="6" t="str">
        <f>'Raw Datas'!CW1</f>
        <v>KT-347D0</v>
      </c>
      <c r="CZ7" s="6" t="str">
        <f>'Raw Datas'!CX1</f>
        <v>BS-336D60</v>
      </c>
      <c r="DA7" s="6" t="str">
        <f>'Raw Datas'!CY1</f>
        <v>KT-515D03</v>
      </c>
      <c r="DB7" s="6" t="str">
        <f>'Raw Datas'!CZ1</f>
        <v>KT-352D0</v>
      </c>
      <c r="DC7" s="6" t="str">
        <f>'Raw Datas'!DA1</f>
        <v>KT-771D03</v>
      </c>
      <c r="DD7" s="6" t="str">
        <f>'Raw Datas'!DB1</f>
        <v>BS-364D10</v>
      </c>
      <c r="DE7" s="6" t="str">
        <f>'Raw Datas'!DC1</f>
        <v>BS-064D60</v>
      </c>
      <c r="DF7" s="6" t="str">
        <f>'Raw Datas'!DD1</f>
        <v>KT-723D03</v>
      </c>
      <c r="DG7" s="6" t="str">
        <f>'Raw Datas'!DE1</f>
        <v>KT-538D60</v>
      </c>
      <c r="DH7" s="6" t="str">
        <f>'Raw Datas'!DF1</f>
        <v>KT-193D0</v>
      </c>
      <c r="DI7" s="6" t="str">
        <f>'Raw Datas'!DG1</f>
        <v>KT-445D10</v>
      </c>
      <c r="DJ7" s="6" t="str">
        <f>'Raw Datas'!DH1</f>
        <v>KT-771D0</v>
      </c>
      <c r="DK7" s="6" t="str">
        <f>'Raw Datas'!DI1</f>
        <v>KT-247D10</v>
      </c>
      <c r="DL7" s="6" t="str">
        <f>'Raw Datas'!DJ1</f>
        <v>KT-515D60</v>
      </c>
      <c r="DM7" s="6" t="str">
        <f>'Raw Datas'!DK1</f>
        <v>JV-071D03</v>
      </c>
      <c r="DN7" s="6" t="str">
        <f>'Raw Datas'!DL1</f>
        <v>KT-525D10</v>
      </c>
      <c r="DO7" s="6" t="str">
        <f>'Raw Datas'!DM1</f>
        <v>KT-522D03</v>
      </c>
      <c r="DP7" s="6" t="str">
        <f>'Raw Datas'!DN1</f>
        <v>KT-525D0</v>
      </c>
      <c r="DQ7" s="6" t="str">
        <f>'Raw Datas'!DO1</f>
        <v>BS-346D60</v>
      </c>
      <c r="DR7" s="6" t="str">
        <f>'Raw Datas'!DP1</f>
        <v>KT-525D03</v>
      </c>
      <c r="DS7" s="6" t="str">
        <f>'Raw Datas'!DQ1</f>
        <v>KT-771D60</v>
      </c>
      <c r="DT7" s="6" t="str">
        <f>'Raw Datas'!DR1</f>
        <v>KT-417D10</v>
      </c>
      <c r="DU7" s="6" t="str">
        <f>'Raw Datas'!DS1</f>
        <v>JV-048D0</v>
      </c>
      <c r="DV7" s="6" t="str">
        <f>'Raw Datas'!DT1</f>
        <v>KT-539D60</v>
      </c>
      <c r="DW7" s="6" t="str">
        <f>'Raw Datas'!DU1</f>
        <v>KT-880D0</v>
      </c>
      <c r="DX7" s="6" t="str">
        <f>'Raw Datas'!DV1</f>
        <v>KT-805D03</v>
      </c>
      <c r="DY7" s="6" t="str">
        <f>'Raw Datas'!DW1</f>
        <v>KT-565D10</v>
      </c>
      <c r="DZ7" s="6" t="str">
        <f>'Raw Datas'!DX1</f>
        <v>BS-351D60</v>
      </c>
      <c r="EA7" s="6" t="str">
        <f>'Raw Datas'!DY1</f>
        <v>KT-663D03</v>
      </c>
      <c r="EB7" s="6" t="str">
        <f>'Raw Datas'!DZ1</f>
        <v>KT-695D10</v>
      </c>
      <c r="EC7" s="6" t="str">
        <f>'Raw Datas'!EA1</f>
        <v>KT-539D0</v>
      </c>
      <c r="ED7" s="6" t="str">
        <f>'Raw Datas'!EB1</f>
        <v>KT-539D03</v>
      </c>
      <c r="EE7" s="6" t="str">
        <f>'Raw Datas'!EC1</f>
        <v>BS-671D0</v>
      </c>
      <c r="EF7" s="6" t="str">
        <f>'Raw Datas'!ED1</f>
        <v>KT-313D60</v>
      </c>
      <c r="EG7" s="6" t="str">
        <f>'Raw Datas'!EE1</f>
        <v>BS-064D10</v>
      </c>
      <c r="EH7" s="6" t="str">
        <f>'Raw Datas'!EF1</f>
        <v>BS-346D0</v>
      </c>
      <c r="EI7" s="6" t="str">
        <f>'Raw Datas'!EG1</f>
        <v>KT-522D10</v>
      </c>
      <c r="EJ7" s="6" t="str">
        <f>'Raw Datas'!EH1</f>
        <v>KT-565D03</v>
      </c>
      <c r="EK7" s="6" t="str">
        <f>'Raw Datas'!EI1</f>
        <v>KT-695D60</v>
      </c>
      <c r="EL7" s="6" t="str">
        <f>'Raw Datas'!EJ1</f>
        <v>KT-928D10</v>
      </c>
      <c r="EM7" s="6" t="str">
        <f>'Raw Datas'!EK1</f>
        <v>KT-347D60</v>
      </c>
      <c r="EN7" s="6" t="str">
        <f>'Raw Datas'!EL1</f>
        <v>KT-522D0</v>
      </c>
      <c r="EO7" s="6" t="str">
        <f>'Raw Datas'!EM1</f>
        <v>BS-364D03</v>
      </c>
      <c r="EP7" s="6" t="str">
        <f>'Raw Datas'!EN1</f>
        <v>KT-352D60</v>
      </c>
      <c r="EQ7" s="6" t="str">
        <f>'Raw Datas'!EO1</f>
        <v>JV-157D10</v>
      </c>
      <c r="ER7" s="6" t="str">
        <f>'Raw Datas'!EP1</f>
        <v>KT-565D0</v>
      </c>
      <c r="ES7" s="6" t="str">
        <f>'Raw Datas'!EQ1</f>
        <v>KT-612D03</v>
      </c>
      <c r="ET7" s="6" t="str">
        <f>'Raw Datas'!ER1</f>
        <v>KT-974D10</v>
      </c>
      <c r="EU7" s="6" t="str">
        <f>'Raw Datas'!ES1</f>
        <v>KT-537D03</v>
      </c>
      <c r="EV7" s="6" t="str">
        <f>'Raw Datas'!ET1</f>
        <v>KT-718D60</v>
      </c>
      <c r="EW7" s="6" t="str">
        <f>'Raw Datas'!EU1</f>
        <v>JV-071D0</v>
      </c>
      <c r="EX7" s="6" t="str">
        <f>'Raw Datas'!EV1</f>
        <v>KT-312D03</v>
      </c>
      <c r="EY7" s="6" t="str">
        <f>'Raw Datas'!EW1</f>
        <v>BS-336D0</v>
      </c>
      <c r="EZ7" s="6" t="str">
        <f>'Raw Datas'!EX1</f>
        <v>KT-880D10</v>
      </c>
      <c r="FA7" s="6" t="str">
        <f>'Raw Datas'!EY1</f>
        <v>KT-193D60</v>
      </c>
      <c r="FB7" s="6" t="str">
        <f>'Raw Datas'!EZ1</f>
        <v>JV-148D0</v>
      </c>
      <c r="FC7" s="6" t="str">
        <f>'Raw Datas'!FA1</f>
        <v>KT-434D60</v>
      </c>
      <c r="FD7" s="6" t="str">
        <f>'Raw Datas'!FB1</f>
        <v>KT-417D03</v>
      </c>
      <c r="FE7" s="6" t="str">
        <f>'Raw Datas'!FC1</f>
        <v>KT-663D10</v>
      </c>
      <c r="FF7" s="6" t="str">
        <f>'Raw Datas'!FD1</f>
        <v>KT-525D60</v>
      </c>
      <c r="FG7" s="6" t="str">
        <f>'Raw Datas'!FE1</f>
        <v>KT-539D10</v>
      </c>
      <c r="FH7" s="6" t="str">
        <f>'Raw Datas'!FF1</f>
        <v>KT-537D0</v>
      </c>
      <c r="FI7" s="6" t="str">
        <f>'Raw Datas'!FG1</f>
        <v>KT-313D03</v>
      </c>
      <c r="FJ7" s="6" t="str">
        <f>'Raw Datas'!FH1</f>
        <v>JV-035D10</v>
      </c>
      <c r="FK7" s="6" t="str">
        <f>'Raw Datas'!FI1</f>
        <v>BS-377D03</v>
      </c>
      <c r="FL7" s="6" t="str">
        <f>'Raw Datas'!FJ1</f>
        <v>KT-880D60</v>
      </c>
      <c r="FM7" s="6" t="str">
        <f>'Raw Datas'!FK1</f>
        <v>KT-434D0</v>
      </c>
      <c r="FN7" s="6" t="str">
        <f>'Raw Datas'!FL1</f>
        <v>JV-035D03</v>
      </c>
      <c r="FO7" s="6" t="str">
        <f>'Raw Datas'!FM1</f>
        <v>KT-412D0</v>
      </c>
      <c r="FP7" s="6" t="str">
        <f>'Raw Datas'!FN1</f>
        <v>BS-671D10</v>
      </c>
      <c r="FQ7" s="6" t="str">
        <f>'Raw Datas'!FO1</f>
        <v>KT-974D60</v>
      </c>
    </row>
    <row r="8" spans="1:173" ht="16" thickBot="1" x14ac:dyDescent="0.25">
      <c r="A8" s="21" t="s">
        <v>385</v>
      </c>
      <c r="B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</row>
    <row r="9" spans="1:173" ht="15.75" customHeight="1" x14ac:dyDescent="0.2">
      <c r="A9" s="116" t="s">
        <v>373</v>
      </c>
      <c r="B9" s="96" t="s">
        <v>36</v>
      </c>
      <c r="C9" s="107" t="s">
        <v>729</v>
      </c>
      <c r="D9" s="103"/>
      <c r="E9" s="59">
        <f>'Raw Datas'!C56</f>
        <v>14.865283333333332</v>
      </c>
      <c r="F9" s="59">
        <f>'Raw Datas'!D56</f>
        <v>21.497566666666668</v>
      </c>
      <c r="G9" s="59">
        <f>'Raw Datas'!E56</f>
        <v>10.846900000000002</v>
      </c>
      <c r="H9" s="59">
        <f>'Raw Datas'!F56</f>
        <v>89.558500000000009</v>
      </c>
      <c r="I9" s="59">
        <f>'Raw Datas'!G56</f>
        <v>35.857650000000007</v>
      </c>
      <c r="J9" s="59">
        <f>'Raw Datas'!H56</f>
        <v>27.483216666666671</v>
      </c>
      <c r="K9" s="59">
        <f>'Raw Datas'!I56</f>
        <v>14.128983333333334</v>
      </c>
      <c r="L9" s="59">
        <f>'Raw Datas'!J56</f>
        <v>7.4184000000000001</v>
      </c>
      <c r="M9" s="59">
        <f>'Raw Datas'!K56</f>
        <v>28.676300000000001</v>
      </c>
      <c r="N9" s="59">
        <f>'Raw Datas'!L56</f>
        <v>70.185199999999995</v>
      </c>
      <c r="O9" s="59">
        <f>'Raw Datas'!M56</f>
        <v>11.494316666666668</v>
      </c>
      <c r="P9" s="59">
        <f>'Raw Datas'!N56</f>
        <v>34.034333333333329</v>
      </c>
      <c r="Q9" s="59">
        <f>'Raw Datas'!O56</f>
        <v>22.904800000000002</v>
      </c>
      <c r="R9" s="59">
        <f>'Raw Datas'!P56</f>
        <v>45.295016666666669</v>
      </c>
      <c r="S9" s="59">
        <f>'Raw Datas'!Q56</f>
        <v>80.797899999999998</v>
      </c>
      <c r="T9" s="59">
        <f>'Raw Datas'!R56</f>
        <v>396.45018333333337</v>
      </c>
      <c r="U9" s="59">
        <f>'Raw Datas'!S56</f>
        <v>34.563733333333332</v>
      </c>
      <c r="V9" s="59">
        <f>'Raw Datas'!T56</f>
        <v>18.438033333333337</v>
      </c>
      <c r="W9" s="59">
        <f>'Raw Datas'!U56</f>
        <v>26.82225</v>
      </c>
      <c r="X9" s="59">
        <f>'Raw Datas'!V56</f>
        <v>21.271933333333333</v>
      </c>
      <c r="Y9" s="59">
        <f>'Raw Datas'!W56</f>
        <v>56.125828571428571</v>
      </c>
      <c r="Z9" s="59">
        <f>'Raw Datas'!X56</f>
        <v>46.872640000000004</v>
      </c>
      <c r="AA9" s="59">
        <f>'Raw Datas'!Y56</f>
        <v>25.615300000000001</v>
      </c>
      <c r="AB9" s="59">
        <f>'Raw Datas'!Z56</f>
        <v>395.94661999999994</v>
      </c>
      <c r="AC9" s="59">
        <f>'Raw Datas'!AA56</f>
        <v>21.365116666666665</v>
      </c>
      <c r="AD9" s="59">
        <f>'Raw Datas'!AB56</f>
        <v>25.239183333333337</v>
      </c>
      <c r="AE9" s="59">
        <f>'Raw Datas'!AC56</f>
        <v>17.645566666666664</v>
      </c>
      <c r="AF9" s="59">
        <f>'Raw Datas'!AD56</f>
        <v>19.137549999999997</v>
      </c>
      <c r="AG9" s="59">
        <f>'Raw Datas'!AE56</f>
        <v>11.294483333333336</v>
      </c>
      <c r="AH9" s="59">
        <f>'Raw Datas'!AF56</f>
        <v>30.486666666666665</v>
      </c>
      <c r="AI9" s="59">
        <f>'Raw Datas'!AG56</f>
        <v>104.03021666666667</v>
      </c>
      <c r="AJ9" s="59">
        <f>'Raw Datas'!AH56</f>
        <v>22.337499999999999</v>
      </c>
      <c r="AK9" s="59">
        <f>'Raw Datas'!AI56</f>
        <v>89.397950000000009</v>
      </c>
      <c r="AL9" s="59">
        <f>'Raw Datas'!AJ56</f>
        <v>38.191083333333339</v>
      </c>
      <c r="AM9" s="59">
        <f>'Raw Datas'!AK56</f>
        <v>16.308899999999998</v>
      </c>
      <c r="AN9" s="59">
        <f>'Raw Datas'!AL56</f>
        <v>42.715366666666661</v>
      </c>
      <c r="AO9" s="59">
        <f>'Raw Datas'!AM56</f>
        <v>116.79686666666666</v>
      </c>
      <c r="AP9" s="59">
        <f>'Raw Datas'!AN56</f>
        <v>27.011733333333336</v>
      </c>
      <c r="AQ9" s="59">
        <f>'Raw Datas'!AO56</f>
        <v>8.4545666666666666</v>
      </c>
      <c r="AR9" s="59">
        <f>'Raw Datas'!AP56</f>
        <v>32.305950000000003</v>
      </c>
      <c r="AS9" s="59">
        <f>'Raw Datas'!AQ56</f>
        <v>78.800916666666666</v>
      </c>
      <c r="AT9" s="59">
        <f>'Raw Datas'!AR56</f>
        <v>12.216316666666668</v>
      </c>
      <c r="AU9" s="59">
        <f>'Raw Datas'!AS56</f>
        <v>123.50891666666666</v>
      </c>
      <c r="AV9" s="59">
        <f>'Raw Datas'!AT56</f>
        <v>83.946950000000001</v>
      </c>
      <c r="AW9" s="59">
        <f>'Raw Datas'!AU56</f>
        <v>9.0578000000000003</v>
      </c>
      <c r="AX9" s="59">
        <f>'Raw Datas'!AV56</f>
        <v>9.9452800000000003</v>
      </c>
      <c r="AY9" s="59">
        <f>'Raw Datas'!AW56</f>
        <v>11.460850000000001</v>
      </c>
      <c r="AZ9" s="59">
        <f>'Raw Datas'!AX56</f>
        <v>16.784683333333334</v>
      </c>
      <c r="BA9" s="59">
        <f>'Raw Datas'!AY56</f>
        <v>21.6768</v>
      </c>
      <c r="BB9" s="59">
        <f>'Raw Datas'!AZ56</f>
        <v>6.5119666666666669</v>
      </c>
      <c r="BC9" s="59">
        <f>'Raw Datas'!BA56</f>
        <v>23.429283333333334</v>
      </c>
      <c r="BD9" s="59">
        <f>'Raw Datas'!BB56</f>
        <v>14.116066666666665</v>
      </c>
      <c r="BE9" s="59">
        <f>'Raw Datas'!BC56</f>
        <v>11.718250000000001</v>
      </c>
      <c r="BF9" s="59">
        <f>'Raw Datas'!BD56</f>
        <v>18.022550000000003</v>
      </c>
      <c r="BG9" s="59">
        <f>'Raw Datas'!BE56</f>
        <v>24.628049999999998</v>
      </c>
      <c r="BH9" s="59">
        <f>'Raw Datas'!BF56</f>
        <v>114.56484999999999</v>
      </c>
      <c r="BI9" s="59">
        <f>'Raw Datas'!BG56</f>
        <v>6.3579833333333333</v>
      </c>
      <c r="BJ9" s="59">
        <f>'Raw Datas'!BH56</f>
        <v>96.28179999999999</v>
      </c>
      <c r="BK9" s="59">
        <f>'Raw Datas'!BI56</f>
        <v>229.18998333333332</v>
      </c>
      <c r="BL9" s="59">
        <f>'Raw Datas'!BJ56</f>
        <v>304.71876666666668</v>
      </c>
      <c r="BM9" s="59">
        <f>'Raw Datas'!BK56</f>
        <v>59.238799999999998</v>
      </c>
      <c r="BN9" s="59">
        <f>'Raw Datas'!BL56</f>
        <v>1486.8453666666669</v>
      </c>
      <c r="BO9" s="59">
        <f>'Raw Datas'!BM56</f>
        <v>1132.426057142857</v>
      </c>
      <c r="BP9" s="59">
        <f>'Raw Datas'!BN56</f>
        <v>1140.9824166666667</v>
      </c>
      <c r="BQ9" s="59">
        <f>'Raw Datas'!BO56</f>
        <v>1626.6825333333331</v>
      </c>
      <c r="BR9" s="59">
        <f>'Raw Datas'!BP56</f>
        <v>863.48431666666659</v>
      </c>
      <c r="BS9" s="59">
        <f>'Raw Datas'!BQ56</f>
        <v>84.513350000000003</v>
      </c>
      <c r="BT9" s="59">
        <f>'Raw Datas'!BR56</f>
        <v>29.096800000000002</v>
      </c>
      <c r="BU9" s="59">
        <f>'Raw Datas'!BS56</f>
        <v>910.37908333333337</v>
      </c>
      <c r="BV9" s="59">
        <f>'Raw Datas'!BT56</f>
        <v>303.77690000000001</v>
      </c>
      <c r="BW9" s="59">
        <f>'Raw Datas'!BU56</f>
        <v>150.93463333333332</v>
      </c>
      <c r="BX9" s="59">
        <f>'Raw Datas'!BV56</f>
        <v>129.56854999999999</v>
      </c>
      <c r="BY9" s="59">
        <f>'Raw Datas'!BW56</f>
        <v>71.605833333333337</v>
      </c>
      <c r="BZ9" s="59">
        <f>'Raw Datas'!BX56</f>
        <v>15.8028</v>
      </c>
      <c r="CA9" s="59">
        <f>'Raw Datas'!BY56</f>
        <v>136.51528333333331</v>
      </c>
      <c r="CB9" s="59">
        <f>'Raw Datas'!BZ56</f>
        <v>81.480566666666661</v>
      </c>
      <c r="CC9" s="59">
        <f>'Raw Datas'!CA56</f>
        <v>93.669699999999992</v>
      </c>
      <c r="CD9" s="59">
        <f>'Raw Datas'!CB56</f>
        <v>27.8492</v>
      </c>
      <c r="CE9" s="59">
        <f>'Raw Datas'!CC56</f>
        <v>25.058383333333335</v>
      </c>
      <c r="CF9" s="59">
        <f>'Raw Datas'!CD56</f>
        <v>25.914033333333332</v>
      </c>
      <c r="CG9" s="59">
        <f>'Raw Datas'!CE56</f>
        <v>196.77831666666668</v>
      </c>
      <c r="CH9" s="59">
        <f>'Raw Datas'!CF56</f>
        <v>15.764766666666667</v>
      </c>
      <c r="CI9" s="59">
        <f>'Raw Datas'!CG56</f>
        <v>34.763550000000002</v>
      </c>
      <c r="CJ9" s="59">
        <f>'Raw Datas'!CH56</f>
        <v>25.924166666666665</v>
      </c>
      <c r="CK9" s="59">
        <f>'Raw Datas'!CI56</f>
        <v>74.220966666666669</v>
      </c>
      <c r="CL9" s="59">
        <f>'Raw Datas'!CJ56</f>
        <v>16.62971111111111</v>
      </c>
      <c r="CM9" s="59">
        <f>'Raw Datas'!CK56</f>
        <v>21.617383333333333</v>
      </c>
      <c r="CN9" s="59">
        <f>'Raw Datas'!CL56</f>
        <v>42.224883333333331</v>
      </c>
      <c r="CO9" s="59">
        <f>'Raw Datas'!CM56</f>
        <v>20.078116666666666</v>
      </c>
      <c r="CP9" s="59">
        <f>'Raw Datas'!CN56</f>
        <v>16.228383333333333</v>
      </c>
      <c r="CQ9" s="59">
        <f>'Raw Datas'!CO56</f>
        <v>11.099649999999999</v>
      </c>
      <c r="CR9" s="59">
        <f>'Raw Datas'!CP56</f>
        <v>41.323583333333332</v>
      </c>
      <c r="CS9" s="59">
        <f>'Raw Datas'!CQ56</f>
        <v>41.992650000000005</v>
      </c>
      <c r="CT9" s="59">
        <f>'Raw Datas'!CR56</f>
        <v>62.700900000000004</v>
      </c>
      <c r="CU9" s="59">
        <f>'Raw Datas'!CS56</f>
        <v>11.305250000000001</v>
      </c>
      <c r="CV9" s="59">
        <f>'Raw Datas'!CT56</f>
        <v>47.366216666666666</v>
      </c>
      <c r="CW9" s="59">
        <f>'Raw Datas'!CU56</f>
        <v>26.661999999999999</v>
      </c>
      <c r="CX9" s="59">
        <f>'Raw Datas'!CV56</f>
        <v>11.234433333333333</v>
      </c>
      <c r="CY9" s="59">
        <f>'Raw Datas'!CW56</f>
        <v>33.1417</v>
      </c>
      <c r="CZ9" s="59">
        <f>'Raw Datas'!CX56</f>
        <v>21.887383333333332</v>
      </c>
      <c r="DA9" s="59">
        <f>'Raw Datas'!CY56</f>
        <v>13.703983333333333</v>
      </c>
      <c r="DB9" s="59">
        <f>'Raw Datas'!CZ56</f>
        <v>6.3587666666666669</v>
      </c>
      <c r="DC9" s="59">
        <f>'Raw Datas'!DA56</f>
        <v>10.002916666666666</v>
      </c>
      <c r="DD9" s="59">
        <f>'Raw Datas'!DB56</f>
        <v>37.912033333333326</v>
      </c>
      <c r="DE9" s="59">
        <f>'Raw Datas'!DC56</f>
        <v>30.905633333333334</v>
      </c>
      <c r="DF9" s="59">
        <f>'Raw Datas'!DD56</f>
        <v>21.333183333333334</v>
      </c>
      <c r="DG9" s="59">
        <f>'Raw Datas'!DE56</f>
        <v>21.579216666666671</v>
      </c>
      <c r="DH9" s="59">
        <f>'Raw Datas'!DF56</f>
        <v>41.023816666666669</v>
      </c>
      <c r="DI9" s="59">
        <f>'Raw Datas'!DG56</f>
        <v>56.222833333333334</v>
      </c>
      <c r="DJ9" s="59">
        <f>'Raw Datas'!DH56</f>
        <v>6.1019000000000005</v>
      </c>
      <c r="DK9" s="59">
        <f>'Raw Datas'!DI56</f>
        <v>26.572166666666664</v>
      </c>
      <c r="DL9" s="59">
        <f>'Raw Datas'!DJ56</f>
        <v>120.48031666666665</v>
      </c>
      <c r="DM9" s="59">
        <f>'Raw Datas'!DK56</f>
        <v>131.62139999999999</v>
      </c>
      <c r="DN9" s="59">
        <f>'Raw Datas'!DL56</f>
        <v>11.968566666666668</v>
      </c>
      <c r="DO9" s="59">
        <f>'Raw Datas'!DM56</f>
        <v>28.135816666666663</v>
      </c>
      <c r="DP9" s="59">
        <f>'Raw Datas'!DN56</f>
        <v>71.202950000000001</v>
      </c>
      <c r="DQ9" s="59">
        <f>'Raw Datas'!DO56</f>
        <v>32.987216666666669</v>
      </c>
      <c r="DR9" s="59">
        <f>'Raw Datas'!DP56</f>
        <v>20.902916666666666</v>
      </c>
      <c r="DS9" s="59">
        <f>'Raw Datas'!DQ56</f>
        <v>37.483183333333336</v>
      </c>
      <c r="DT9" s="59">
        <f>'Raw Datas'!DR56</f>
        <v>16.916266666666669</v>
      </c>
      <c r="DU9" s="59">
        <f>'Raw Datas'!DS56</f>
        <v>14.760483333333333</v>
      </c>
      <c r="DV9" s="59">
        <f>'Raw Datas'!DT56</f>
        <v>9.5843500000000006</v>
      </c>
      <c r="DW9" s="59">
        <f>'Raw Datas'!DU56</f>
        <v>116.49933333333334</v>
      </c>
      <c r="DX9" s="59">
        <f>'Raw Datas'!DV56</f>
        <v>17.027649999999998</v>
      </c>
      <c r="DY9" s="59">
        <f>'Raw Datas'!DW56</f>
        <v>33.684683333333332</v>
      </c>
      <c r="DZ9" s="59">
        <f>'Raw Datas'!DX56</f>
        <v>10.787983333333333</v>
      </c>
      <c r="EA9" s="59">
        <f>'Raw Datas'!DY56</f>
        <v>22.036016666666669</v>
      </c>
      <c r="EB9" s="59">
        <f>'Raw Datas'!DZ56</f>
        <v>33.660716666666666</v>
      </c>
      <c r="EC9" s="59">
        <f>'Raw Datas'!EA56</f>
        <v>17.972233333333335</v>
      </c>
      <c r="ED9" s="59">
        <f>'Raw Datas'!EB56</f>
        <v>33.116566666666664</v>
      </c>
      <c r="EE9" s="59">
        <f>'Raw Datas'!EC56</f>
        <v>23.196133333333329</v>
      </c>
      <c r="EF9" s="59">
        <f>'Raw Datas'!ED56</f>
        <v>21.019816666666664</v>
      </c>
      <c r="EG9" s="59">
        <f>'Raw Datas'!EE56</f>
        <v>8.6994666666666678</v>
      </c>
      <c r="EH9" s="59">
        <f>'Raw Datas'!EF56</f>
        <v>40.523616666666662</v>
      </c>
      <c r="EI9" s="59">
        <f>'Raw Datas'!EG56</f>
        <v>34.283683333333336</v>
      </c>
      <c r="EJ9" s="59">
        <f>'Raw Datas'!EH56</f>
        <v>25.457333333333334</v>
      </c>
      <c r="EK9" s="59">
        <f>'Raw Datas'!EI56</f>
        <v>7.0682166666666673</v>
      </c>
      <c r="EL9" s="59">
        <f>'Raw Datas'!EJ56</f>
        <v>34.569316666666666</v>
      </c>
      <c r="EM9" s="59">
        <f>'Raw Datas'!EK56</f>
        <v>30.847766666666665</v>
      </c>
      <c r="EN9" s="59">
        <f>'Raw Datas'!EL56</f>
        <v>27.351849999999999</v>
      </c>
      <c r="EO9" s="59">
        <f>'Raw Datas'!EM56</f>
        <v>69.274900000000017</v>
      </c>
      <c r="EP9" s="59">
        <f>'Raw Datas'!EN56</f>
        <v>56.327850000000005</v>
      </c>
      <c r="EQ9" s="59">
        <f>'Raw Datas'!EO56</f>
        <v>43.206949999999999</v>
      </c>
      <c r="ER9" s="59">
        <f>'Raw Datas'!EP56</f>
        <v>49.832250000000002</v>
      </c>
      <c r="ES9" s="59">
        <f>'Raw Datas'!EQ56</f>
        <v>11.9724</v>
      </c>
      <c r="ET9" s="59">
        <f>'Raw Datas'!ER56</f>
        <v>11.114266666666667</v>
      </c>
      <c r="EU9" s="59">
        <f>'Raw Datas'!ES56</f>
        <v>18.962150000000001</v>
      </c>
      <c r="EV9" s="59">
        <f>'Raw Datas'!ET56</f>
        <v>23.692833333333336</v>
      </c>
      <c r="EW9" s="59">
        <f>'Raw Datas'!EU56</f>
        <v>24.650683333333333</v>
      </c>
      <c r="EX9" s="59">
        <f>'Raw Datas'!EV56</f>
        <v>27.849350000000001</v>
      </c>
      <c r="EY9" s="59">
        <f>'Raw Datas'!EW56</f>
        <v>25.537166666666668</v>
      </c>
      <c r="EZ9" s="59">
        <f>'Raw Datas'!EX56</f>
        <v>19.308466666666668</v>
      </c>
      <c r="FA9" s="59">
        <f>'Raw Datas'!EY56</f>
        <v>58.787416666666665</v>
      </c>
      <c r="FB9" s="59">
        <f>'Raw Datas'!EZ56</f>
        <v>40.742133333333328</v>
      </c>
      <c r="FC9" s="59">
        <f>'Raw Datas'!FA56</f>
        <v>11.570666666666666</v>
      </c>
      <c r="FD9" s="59">
        <f>'Raw Datas'!FB56</f>
        <v>14.673166666666667</v>
      </c>
      <c r="FE9" s="59">
        <f>'Raw Datas'!FC56</f>
        <v>36.874483333333337</v>
      </c>
      <c r="FF9" s="59">
        <f>'Raw Datas'!FD56</f>
        <v>13.128133333333333</v>
      </c>
      <c r="FG9" s="59">
        <f>'Raw Datas'!FE56</f>
        <v>15.932416666666665</v>
      </c>
      <c r="FH9" s="59">
        <f>'Raw Datas'!FF56</f>
        <v>22.163550000000001</v>
      </c>
      <c r="FI9" s="59">
        <f>'Raw Datas'!FG56</f>
        <v>10.877283333333333</v>
      </c>
      <c r="FJ9" s="59">
        <f>'Raw Datas'!FH56</f>
        <v>23.70065</v>
      </c>
      <c r="FK9" s="59">
        <f>'Raw Datas'!FI56</f>
        <v>39.977683333333331</v>
      </c>
      <c r="FL9" s="59">
        <f>'Raw Datas'!FJ56</f>
        <v>30.411150000000003</v>
      </c>
      <c r="FM9" s="59">
        <f>'Raw Datas'!FK56</f>
        <v>13.210949999999999</v>
      </c>
      <c r="FN9" s="59">
        <f>'Raw Datas'!FL56</f>
        <v>20.56165</v>
      </c>
      <c r="FO9" s="59">
        <f>'Raw Datas'!FM56</f>
        <v>13.65385</v>
      </c>
      <c r="FP9" s="59">
        <f>'Raw Datas'!FN56</f>
        <v>13.947750000000001</v>
      </c>
      <c r="FQ9" s="59">
        <f>'Raw Datas'!FO56</f>
        <v>17.897416666666668</v>
      </c>
    </row>
    <row r="10" spans="1:173" ht="15.75" customHeight="1" x14ac:dyDescent="0.2">
      <c r="A10" s="117"/>
      <c r="B10" s="57" t="s">
        <v>236</v>
      </c>
      <c r="C10" s="104" t="s">
        <v>729</v>
      </c>
      <c r="D10" s="104"/>
      <c r="E10" s="60" t="str">
        <f>'Raw Datas'!C57</f>
        <v>0</v>
      </c>
      <c r="F10" s="60" t="str">
        <f>'Raw Datas'!D57</f>
        <v>0</v>
      </c>
      <c r="G10" s="60" t="str">
        <f>'Raw Datas'!E57</f>
        <v>0</v>
      </c>
      <c r="H10" s="60" t="str">
        <f>'Raw Datas'!F57</f>
        <v>0</v>
      </c>
      <c r="I10" s="60" t="str">
        <f>'Raw Datas'!G57</f>
        <v>0</v>
      </c>
      <c r="J10" s="60" t="str">
        <f>'Raw Datas'!H57</f>
        <v>0</v>
      </c>
      <c r="K10" s="60" t="str">
        <f>'Raw Datas'!I57</f>
        <v>0</v>
      </c>
      <c r="L10" s="60" t="str">
        <f>'Raw Datas'!J57</f>
        <v>0</v>
      </c>
      <c r="M10" s="60" t="str">
        <f>'Raw Datas'!K57</f>
        <v>0</v>
      </c>
      <c r="N10" s="60" t="str">
        <f>'Raw Datas'!L57</f>
        <v>0</v>
      </c>
      <c r="O10" s="60" t="str">
        <f>'Raw Datas'!M57</f>
        <v>0</v>
      </c>
      <c r="P10" s="60" t="str">
        <f>'Raw Datas'!N57</f>
        <v>0</v>
      </c>
      <c r="Q10" s="60" t="str">
        <f>'Raw Datas'!O57</f>
        <v>0</v>
      </c>
      <c r="R10" s="60" t="str">
        <f>'Raw Datas'!P57</f>
        <v>0</v>
      </c>
      <c r="S10" s="60" t="str">
        <f>'Raw Datas'!Q57</f>
        <v>0</v>
      </c>
      <c r="T10" s="60" t="str">
        <f>'Raw Datas'!R57</f>
        <v>0</v>
      </c>
      <c r="U10" s="60" t="str">
        <f>'Raw Datas'!S57</f>
        <v>0</v>
      </c>
      <c r="V10" s="60" t="str">
        <f>'Raw Datas'!T57</f>
        <v>0</v>
      </c>
      <c r="W10" s="60" t="str">
        <f>'Raw Datas'!U57</f>
        <v>0</v>
      </c>
      <c r="X10" s="60" t="str">
        <f>'Raw Datas'!V57</f>
        <v>0</v>
      </c>
      <c r="Y10" s="60" t="str">
        <f>'Raw Datas'!W57</f>
        <v>0</v>
      </c>
      <c r="Z10" s="60" t="str">
        <f>'Raw Datas'!X57</f>
        <v>0</v>
      </c>
      <c r="AA10" s="60" t="str">
        <f>'Raw Datas'!Y57</f>
        <v>0</v>
      </c>
      <c r="AB10" s="60" t="str">
        <f>'Raw Datas'!Z57</f>
        <v>0</v>
      </c>
      <c r="AC10" s="60" t="str">
        <f>'Raw Datas'!AA57</f>
        <v>0</v>
      </c>
      <c r="AD10" s="60" t="str">
        <f>'Raw Datas'!AB57</f>
        <v>0</v>
      </c>
      <c r="AE10" s="60" t="str">
        <f>'Raw Datas'!AC57</f>
        <v>0</v>
      </c>
      <c r="AF10" s="60" t="str">
        <f>'Raw Datas'!AD57</f>
        <v>0</v>
      </c>
      <c r="AG10" s="60" t="str">
        <f>'Raw Datas'!AE57</f>
        <v>0</v>
      </c>
      <c r="AH10" s="60" t="str">
        <f>'Raw Datas'!AF57</f>
        <v>0</v>
      </c>
      <c r="AI10" s="60" t="str">
        <f>'Raw Datas'!AG57</f>
        <v>0</v>
      </c>
      <c r="AJ10" s="60" t="str">
        <f>'Raw Datas'!AH57</f>
        <v>0</v>
      </c>
      <c r="AK10" s="60" t="str">
        <f>'Raw Datas'!AI57</f>
        <v>0</v>
      </c>
      <c r="AL10" s="60" t="str">
        <f>'Raw Datas'!AJ57</f>
        <v>0</v>
      </c>
      <c r="AM10" s="60" t="str">
        <f>'Raw Datas'!AK57</f>
        <v>0</v>
      </c>
      <c r="AN10" s="60" t="str">
        <f>'Raw Datas'!AL57</f>
        <v>0</v>
      </c>
      <c r="AO10" s="60" t="str">
        <f>'Raw Datas'!AM57</f>
        <v>0</v>
      </c>
      <c r="AP10" s="60" t="str">
        <f>'Raw Datas'!AN57</f>
        <v>0</v>
      </c>
      <c r="AQ10" s="60" t="str">
        <f>'Raw Datas'!AO57</f>
        <v>0</v>
      </c>
      <c r="AR10" s="60" t="str">
        <f>'Raw Datas'!AP57</f>
        <v>0</v>
      </c>
      <c r="AS10" s="60" t="str">
        <f>'Raw Datas'!AQ57</f>
        <v>0</v>
      </c>
      <c r="AT10" s="60" t="str">
        <f>'Raw Datas'!AR57</f>
        <v>0</v>
      </c>
      <c r="AU10" s="60" t="str">
        <f>'Raw Datas'!AS57</f>
        <v>0</v>
      </c>
      <c r="AV10" s="60" t="str">
        <f>'Raw Datas'!AT57</f>
        <v>0</v>
      </c>
      <c r="AW10" s="60" t="str">
        <f>'Raw Datas'!AU57</f>
        <v>0</v>
      </c>
      <c r="AX10" s="60" t="str">
        <f>'Raw Datas'!AV57</f>
        <v>0</v>
      </c>
      <c r="AY10" s="60" t="str">
        <f>'Raw Datas'!AW57</f>
        <v>0</v>
      </c>
      <c r="AZ10" s="60" t="str">
        <f>'Raw Datas'!AX57</f>
        <v>0</v>
      </c>
      <c r="BA10" s="60" t="str">
        <f>'Raw Datas'!AY57</f>
        <v>0</v>
      </c>
      <c r="BB10" s="60" t="str">
        <f>'Raw Datas'!AZ57</f>
        <v>0</v>
      </c>
      <c r="BC10" s="60" t="str">
        <f>'Raw Datas'!BA57</f>
        <v>0</v>
      </c>
      <c r="BD10" s="60" t="str">
        <f>'Raw Datas'!BB57</f>
        <v>0</v>
      </c>
      <c r="BE10" s="60" t="str">
        <f>'Raw Datas'!BC57</f>
        <v>0</v>
      </c>
      <c r="BF10" s="60" t="str">
        <f>'Raw Datas'!BD57</f>
        <v>0</v>
      </c>
      <c r="BG10" s="60" t="str">
        <f>'Raw Datas'!BE57</f>
        <v>0</v>
      </c>
      <c r="BH10" s="60" t="str">
        <f>'Raw Datas'!BF57</f>
        <v>0</v>
      </c>
      <c r="BI10" s="60" t="str">
        <f>'Raw Datas'!BG57</f>
        <v>0</v>
      </c>
      <c r="BJ10" s="60" t="str">
        <f>'Raw Datas'!BH57</f>
        <v>0</v>
      </c>
      <c r="BK10" s="60" t="str">
        <f>'Raw Datas'!BI57</f>
        <v>0</v>
      </c>
      <c r="BL10" s="60" t="str">
        <f>'Raw Datas'!BJ57</f>
        <v>0</v>
      </c>
      <c r="BM10" s="60" t="str">
        <f>'Raw Datas'!BK57</f>
        <v>0</v>
      </c>
      <c r="BN10" s="60" t="str">
        <f>'Raw Datas'!BL57</f>
        <v>0</v>
      </c>
      <c r="BO10" s="60" t="str">
        <f>'Raw Datas'!BM57</f>
        <v>0</v>
      </c>
      <c r="BP10" s="60" t="str">
        <f>'Raw Datas'!BN57</f>
        <v>0</v>
      </c>
      <c r="BQ10" s="60" t="str">
        <f>'Raw Datas'!BO57</f>
        <v>0</v>
      </c>
      <c r="BR10" s="60" t="str">
        <f>'Raw Datas'!BP57</f>
        <v>0</v>
      </c>
      <c r="BS10" s="60" t="str">
        <f>'Raw Datas'!BQ57</f>
        <v>0</v>
      </c>
      <c r="BT10" s="60" t="str">
        <f>'Raw Datas'!BR57</f>
        <v>0</v>
      </c>
      <c r="BU10" s="60" t="str">
        <f>'Raw Datas'!BS57</f>
        <v>0</v>
      </c>
      <c r="BV10" s="60" t="str">
        <f>'Raw Datas'!BT57</f>
        <v>0</v>
      </c>
      <c r="BW10" s="60" t="str">
        <f>'Raw Datas'!BU57</f>
        <v>0</v>
      </c>
      <c r="BX10" s="60" t="str">
        <f>'Raw Datas'!BV57</f>
        <v>0</v>
      </c>
      <c r="BY10" s="60" t="str">
        <f>'Raw Datas'!BW57</f>
        <v>0</v>
      </c>
      <c r="BZ10" s="60" t="str">
        <f>'Raw Datas'!BX57</f>
        <v>0</v>
      </c>
      <c r="CA10" s="60" t="str">
        <f>'Raw Datas'!BY57</f>
        <v>0</v>
      </c>
      <c r="CB10" s="60" t="str">
        <f>'Raw Datas'!BZ57</f>
        <v>0</v>
      </c>
      <c r="CC10" s="60" t="str">
        <f>'Raw Datas'!CA57</f>
        <v>0</v>
      </c>
      <c r="CD10" s="60" t="str">
        <f>'Raw Datas'!CB57</f>
        <v>0</v>
      </c>
      <c r="CE10" s="60" t="str">
        <f>'Raw Datas'!CC57</f>
        <v>0</v>
      </c>
      <c r="CF10" s="60" t="str">
        <f>'Raw Datas'!CD57</f>
        <v>0</v>
      </c>
      <c r="CG10" s="60" t="str">
        <f>'Raw Datas'!CE57</f>
        <v>0</v>
      </c>
      <c r="CH10" s="60" t="str">
        <f>'Raw Datas'!CF57</f>
        <v>0</v>
      </c>
      <c r="CI10" s="60" t="str">
        <f>'Raw Datas'!CG57</f>
        <v>0</v>
      </c>
      <c r="CJ10" s="60" t="str">
        <f>'Raw Datas'!CH57</f>
        <v>0</v>
      </c>
      <c r="CK10" s="60" t="str">
        <f>'Raw Datas'!CI57</f>
        <v>0</v>
      </c>
      <c r="CL10" s="60" t="str">
        <f>'Raw Datas'!CJ57</f>
        <v>0</v>
      </c>
      <c r="CM10" s="60" t="str">
        <f>'Raw Datas'!CK57</f>
        <v>0</v>
      </c>
      <c r="CN10" s="60" t="str">
        <f>'Raw Datas'!CL57</f>
        <v>0</v>
      </c>
      <c r="CO10" s="60" t="str">
        <f>'Raw Datas'!CM57</f>
        <v>0</v>
      </c>
      <c r="CP10" s="60" t="str">
        <f>'Raw Datas'!CN57</f>
        <v>0</v>
      </c>
      <c r="CQ10" s="60" t="str">
        <f>'Raw Datas'!CO57</f>
        <v>0</v>
      </c>
      <c r="CR10" s="60" t="str">
        <f>'Raw Datas'!CP57</f>
        <v>0</v>
      </c>
      <c r="CS10" s="60" t="str">
        <f>'Raw Datas'!CQ57</f>
        <v>0</v>
      </c>
      <c r="CT10" s="60" t="str">
        <f>'Raw Datas'!CR57</f>
        <v>0</v>
      </c>
      <c r="CU10" s="60" t="str">
        <f>'Raw Datas'!CS57</f>
        <v>0</v>
      </c>
      <c r="CV10" s="60" t="str">
        <f>'Raw Datas'!CT57</f>
        <v>0</v>
      </c>
      <c r="CW10" s="60" t="str">
        <f>'Raw Datas'!CU57</f>
        <v>0</v>
      </c>
      <c r="CX10" s="60" t="str">
        <f>'Raw Datas'!CV57</f>
        <v>0</v>
      </c>
      <c r="CY10" s="60" t="str">
        <f>'Raw Datas'!CW57</f>
        <v>0</v>
      </c>
      <c r="CZ10" s="60" t="str">
        <f>'Raw Datas'!CX57</f>
        <v>0</v>
      </c>
      <c r="DA10" s="60" t="str">
        <f>'Raw Datas'!CY57</f>
        <v>0</v>
      </c>
      <c r="DB10" s="60" t="str">
        <f>'Raw Datas'!CZ57</f>
        <v>0</v>
      </c>
      <c r="DC10" s="60" t="str">
        <f>'Raw Datas'!DA57</f>
        <v>0</v>
      </c>
      <c r="DD10" s="60" t="str">
        <f>'Raw Datas'!DB57</f>
        <v>0</v>
      </c>
      <c r="DE10" s="60" t="str">
        <f>'Raw Datas'!DC57</f>
        <v>0</v>
      </c>
      <c r="DF10" s="60" t="str">
        <f>'Raw Datas'!DD57</f>
        <v>0</v>
      </c>
      <c r="DG10" s="60" t="str">
        <f>'Raw Datas'!DE57</f>
        <v>0</v>
      </c>
      <c r="DH10" s="60" t="str">
        <f>'Raw Datas'!DF57</f>
        <v>0</v>
      </c>
      <c r="DI10" s="60" t="str">
        <f>'Raw Datas'!DG57</f>
        <v>0</v>
      </c>
      <c r="DJ10" s="60" t="str">
        <f>'Raw Datas'!DH57</f>
        <v>0</v>
      </c>
      <c r="DK10" s="60" t="str">
        <f>'Raw Datas'!DI57</f>
        <v>0</v>
      </c>
      <c r="DL10" s="60" t="str">
        <f>'Raw Datas'!DJ57</f>
        <v>0</v>
      </c>
      <c r="DM10" s="60" t="str">
        <f>'Raw Datas'!DK57</f>
        <v>0</v>
      </c>
      <c r="DN10" s="60" t="str">
        <f>'Raw Datas'!DL57</f>
        <v>0</v>
      </c>
      <c r="DO10" s="60" t="str">
        <f>'Raw Datas'!DM57</f>
        <v>0</v>
      </c>
      <c r="DP10" s="60" t="str">
        <f>'Raw Datas'!DN57</f>
        <v>0</v>
      </c>
      <c r="DQ10" s="60" t="str">
        <f>'Raw Datas'!DO57</f>
        <v>0</v>
      </c>
      <c r="DR10" s="60" t="str">
        <f>'Raw Datas'!DP57</f>
        <v>0</v>
      </c>
      <c r="DS10" s="60" t="str">
        <f>'Raw Datas'!DQ57</f>
        <v>0</v>
      </c>
      <c r="DT10" s="60" t="str">
        <f>'Raw Datas'!DR57</f>
        <v>0</v>
      </c>
      <c r="DU10" s="60" t="str">
        <f>'Raw Datas'!DS57</f>
        <v>0</v>
      </c>
      <c r="DV10" s="60" t="str">
        <f>'Raw Datas'!DT57</f>
        <v>0</v>
      </c>
      <c r="DW10" s="60" t="str">
        <f>'Raw Datas'!DU57</f>
        <v>0</v>
      </c>
      <c r="DX10" s="60" t="str">
        <f>'Raw Datas'!DV57</f>
        <v>0</v>
      </c>
      <c r="DY10" s="60" t="str">
        <f>'Raw Datas'!DW57</f>
        <v>0</v>
      </c>
      <c r="DZ10" s="60" t="str">
        <f>'Raw Datas'!DX57</f>
        <v>0</v>
      </c>
      <c r="EA10" s="60" t="str">
        <f>'Raw Datas'!DY57</f>
        <v>0</v>
      </c>
      <c r="EB10" s="60" t="str">
        <f>'Raw Datas'!DZ57</f>
        <v>0</v>
      </c>
      <c r="EC10" s="60" t="str">
        <f>'Raw Datas'!EA57</f>
        <v>0</v>
      </c>
      <c r="ED10" s="60" t="str">
        <f>'Raw Datas'!EB57</f>
        <v>0</v>
      </c>
      <c r="EE10" s="60" t="str">
        <f>'Raw Datas'!EC57</f>
        <v>0</v>
      </c>
      <c r="EF10" s="60" t="str">
        <f>'Raw Datas'!ED57</f>
        <v>0</v>
      </c>
      <c r="EG10" s="60" t="str">
        <f>'Raw Datas'!EE57</f>
        <v>0</v>
      </c>
      <c r="EH10" s="60" t="str">
        <f>'Raw Datas'!EF57</f>
        <v>0</v>
      </c>
      <c r="EI10" s="60" t="str">
        <f>'Raw Datas'!EG57</f>
        <v>0</v>
      </c>
      <c r="EJ10" s="60" t="str">
        <f>'Raw Datas'!EH57</f>
        <v>0</v>
      </c>
      <c r="EK10" s="60" t="str">
        <f>'Raw Datas'!EI57</f>
        <v>0</v>
      </c>
      <c r="EL10" s="60" t="str">
        <f>'Raw Datas'!EJ57</f>
        <v>0</v>
      </c>
      <c r="EM10" s="60" t="str">
        <f>'Raw Datas'!EK57</f>
        <v>0</v>
      </c>
      <c r="EN10" s="60" t="str">
        <f>'Raw Datas'!EL57</f>
        <v>0</v>
      </c>
      <c r="EO10" s="60" t="str">
        <f>'Raw Datas'!EM57</f>
        <v>0</v>
      </c>
      <c r="EP10" s="60" t="str">
        <f>'Raw Datas'!EN57</f>
        <v>0</v>
      </c>
      <c r="EQ10" s="60" t="str">
        <f>'Raw Datas'!EO57</f>
        <v>0</v>
      </c>
      <c r="ER10" s="60" t="str">
        <f>'Raw Datas'!EP57</f>
        <v>0</v>
      </c>
      <c r="ES10" s="60" t="str">
        <f>'Raw Datas'!EQ57</f>
        <v>0</v>
      </c>
      <c r="ET10" s="60" t="str">
        <f>'Raw Datas'!ER57</f>
        <v>0</v>
      </c>
      <c r="EU10" s="60" t="str">
        <f>'Raw Datas'!ES57</f>
        <v>0</v>
      </c>
      <c r="EV10" s="60" t="str">
        <f>'Raw Datas'!ET57</f>
        <v>0</v>
      </c>
      <c r="EW10" s="60" t="str">
        <f>'Raw Datas'!EU57</f>
        <v>0</v>
      </c>
      <c r="EX10" s="60" t="str">
        <f>'Raw Datas'!EV57</f>
        <v>0</v>
      </c>
      <c r="EY10" s="60" t="str">
        <f>'Raw Datas'!EW57</f>
        <v>0</v>
      </c>
      <c r="EZ10" s="60" t="str">
        <f>'Raw Datas'!EX57</f>
        <v>0</v>
      </c>
      <c r="FA10" s="60" t="str">
        <f>'Raw Datas'!EY57</f>
        <v>0</v>
      </c>
      <c r="FB10" s="60" t="str">
        <f>'Raw Datas'!EZ57</f>
        <v>0</v>
      </c>
      <c r="FC10" s="60" t="str">
        <f>'Raw Datas'!FA57</f>
        <v>0</v>
      </c>
      <c r="FD10" s="60" t="str">
        <f>'Raw Datas'!FB57</f>
        <v>0</v>
      </c>
      <c r="FE10" s="60" t="str">
        <f>'Raw Datas'!FC57</f>
        <v>0</v>
      </c>
      <c r="FF10" s="60" t="str">
        <f>'Raw Datas'!FD57</f>
        <v>0</v>
      </c>
      <c r="FG10" s="60" t="str">
        <f>'Raw Datas'!FE57</f>
        <v>0</v>
      </c>
      <c r="FH10" s="60" t="str">
        <f>'Raw Datas'!FF57</f>
        <v>0</v>
      </c>
      <c r="FI10" s="60" t="str">
        <f>'Raw Datas'!FG57</f>
        <v>0</v>
      </c>
      <c r="FJ10" s="60" t="str">
        <f>'Raw Datas'!FH57</f>
        <v>0</v>
      </c>
      <c r="FK10" s="60" t="str">
        <f>'Raw Datas'!FI57</f>
        <v>0</v>
      </c>
      <c r="FL10" s="60" t="str">
        <f>'Raw Datas'!FJ57</f>
        <v>0</v>
      </c>
      <c r="FM10" s="60" t="str">
        <f>'Raw Datas'!FK57</f>
        <v>0</v>
      </c>
      <c r="FN10" s="60" t="str">
        <f>'Raw Datas'!FL57</f>
        <v>0</v>
      </c>
      <c r="FO10" s="60" t="str">
        <f>'Raw Datas'!FM57</f>
        <v>0</v>
      </c>
      <c r="FP10" s="60" t="str">
        <f>'Raw Datas'!FN57</f>
        <v>0</v>
      </c>
      <c r="FQ10" s="60" t="str">
        <f>'Raw Datas'!FO57</f>
        <v>0</v>
      </c>
    </row>
    <row r="11" spans="1:173" ht="15.75" customHeight="1" x14ac:dyDescent="0.2">
      <c r="A11" s="117"/>
      <c r="B11" s="97" t="s">
        <v>285</v>
      </c>
      <c r="C11" s="104" t="s">
        <v>730</v>
      </c>
      <c r="D11" s="104"/>
      <c r="E11" s="60">
        <f>'Raw Datas'!C58</f>
        <v>27.323333333333334</v>
      </c>
      <c r="F11" s="60">
        <f>'Raw Datas'!D58</f>
        <v>47.252866666666669</v>
      </c>
      <c r="G11" s="60">
        <f>'Raw Datas'!E58</f>
        <v>13.739849999999999</v>
      </c>
      <c r="H11" s="60">
        <f>'Raw Datas'!F58</f>
        <v>108.00115</v>
      </c>
      <c r="I11" s="60">
        <f>'Raw Datas'!G58</f>
        <v>46.803066666666673</v>
      </c>
      <c r="J11" s="60">
        <f>'Raw Datas'!H58</f>
        <v>33.524733333333337</v>
      </c>
      <c r="K11" s="60">
        <f>'Raw Datas'!I58</f>
        <v>47.747449999999994</v>
      </c>
      <c r="L11" s="60">
        <f>'Raw Datas'!J58</f>
        <v>19.417933333333334</v>
      </c>
      <c r="M11" s="60">
        <f>'Raw Datas'!K58</f>
        <v>87.156266666666667</v>
      </c>
      <c r="N11" s="60">
        <f>'Raw Datas'!L58</f>
        <v>67.187950000000001</v>
      </c>
      <c r="O11" s="60">
        <f>'Raw Datas'!M58</f>
        <v>35.312466666666666</v>
      </c>
      <c r="P11" s="60">
        <f>'Raw Datas'!N58</f>
        <v>41.724900000000005</v>
      </c>
      <c r="Q11" s="60">
        <f>'Raw Datas'!O58</f>
        <v>40.887483333333336</v>
      </c>
      <c r="R11" s="60">
        <f>'Raw Datas'!P58</f>
        <v>71.254633333333331</v>
      </c>
      <c r="S11" s="60">
        <f>'Raw Datas'!Q58</f>
        <v>126.50246666666666</v>
      </c>
      <c r="T11" s="60">
        <f>'Raw Datas'!R58</f>
        <v>474.80809999999997</v>
      </c>
      <c r="U11" s="60">
        <f>'Raw Datas'!S58</f>
        <v>100.18928333333334</v>
      </c>
      <c r="V11" s="60">
        <f>'Raw Datas'!T58</f>
        <v>23.101733333333335</v>
      </c>
      <c r="W11" s="60">
        <f>'Raw Datas'!U58</f>
        <v>38.264400000000002</v>
      </c>
      <c r="X11" s="60">
        <f>'Raw Datas'!V58</f>
        <v>62.14693333333333</v>
      </c>
      <c r="Y11" s="60">
        <f>'Raw Datas'!W58</f>
        <v>95.641942857142851</v>
      </c>
      <c r="Z11" s="60">
        <f>'Raw Datas'!X58</f>
        <v>55.691879999999998</v>
      </c>
      <c r="AA11" s="60">
        <f>'Raw Datas'!Y58</f>
        <v>92.295266666666677</v>
      </c>
      <c r="AB11" s="60">
        <f>'Raw Datas'!Z58</f>
        <v>433.13182</v>
      </c>
      <c r="AC11" s="60">
        <f>'Raw Datas'!AA58</f>
        <v>43.866916666666675</v>
      </c>
      <c r="AD11" s="60">
        <f>'Raw Datas'!AB58</f>
        <v>61.129800000000003</v>
      </c>
      <c r="AE11" s="60">
        <f>'Raw Datas'!AC58</f>
        <v>25.797083333333333</v>
      </c>
      <c r="AF11" s="60">
        <f>'Raw Datas'!AD58</f>
        <v>32.76553333333333</v>
      </c>
      <c r="AG11" s="60">
        <f>'Raw Datas'!AE58</f>
        <v>23.128049999999998</v>
      </c>
      <c r="AH11" s="60">
        <f>'Raw Datas'!AF58</f>
        <v>26.397433333333332</v>
      </c>
      <c r="AI11" s="60">
        <f>'Raw Datas'!AG58</f>
        <v>105.10051666666668</v>
      </c>
      <c r="AJ11" s="60">
        <f>'Raw Datas'!AH58</f>
        <v>43.270083333333332</v>
      </c>
      <c r="AK11" s="60">
        <f>'Raw Datas'!AI58</f>
        <v>89.960566666666665</v>
      </c>
      <c r="AL11" s="60">
        <f>'Raw Datas'!AJ58</f>
        <v>88.017299999999992</v>
      </c>
      <c r="AM11" s="60">
        <f>'Raw Datas'!AK58</f>
        <v>28.074733333333331</v>
      </c>
      <c r="AN11" s="60">
        <f>'Raw Datas'!AL58</f>
        <v>53.489216666666671</v>
      </c>
      <c r="AO11" s="60">
        <f>'Raw Datas'!AM58</f>
        <v>155.10811666666666</v>
      </c>
      <c r="AP11" s="60">
        <f>'Raw Datas'!AN58</f>
        <v>51.056566666666669</v>
      </c>
      <c r="AQ11" s="60">
        <f>'Raw Datas'!AO58</f>
        <v>28.556649999999998</v>
      </c>
      <c r="AR11" s="60">
        <f>'Raw Datas'!AP58</f>
        <v>35.767916666666665</v>
      </c>
      <c r="AS11" s="60">
        <f>'Raw Datas'!AQ58</f>
        <v>273.04338333333334</v>
      </c>
      <c r="AT11" s="60">
        <f>'Raw Datas'!AR58</f>
        <v>21.213700000000003</v>
      </c>
      <c r="AU11" s="60">
        <f>'Raw Datas'!AS58</f>
        <v>131.14041666666665</v>
      </c>
      <c r="AV11" s="60">
        <f>'Raw Datas'!AT58</f>
        <v>76.885950000000008</v>
      </c>
      <c r="AW11" s="60">
        <f>'Raw Datas'!AU58</f>
        <v>15.338919999999998</v>
      </c>
      <c r="AX11" s="60">
        <f>'Raw Datas'!AV58</f>
        <v>23.596520000000002</v>
      </c>
      <c r="AY11" s="60">
        <f>'Raw Datas'!AW58</f>
        <v>17.635716666666667</v>
      </c>
      <c r="AZ11" s="60">
        <f>'Raw Datas'!AX58</f>
        <v>25.642033333333337</v>
      </c>
      <c r="BA11" s="60">
        <f>'Raw Datas'!AY58</f>
        <v>32.111499999999999</v>
      </c>
      <c r="BB11" s="60">
        <f>'Raw Datas'!AZ58</f>
        <v>12.123950000000001</v>
      </c>
      <c r="BC11" s="60">
        <f>'Raw Datas'!BA58</f>
        <v>32.001316666666668</v>
      </c>
      <c r="BD11" s="60">
        <f>'Raw Datas'!BB58</f>
        <v>23.555383333333335</v>
      </c>
      <c r="BE11" s="60">
        <f>'Raw Datas'!BC58</f>
        <v>28.731883333333332</v>
      </c>
      <c r="BF11" s="60">
        <f>'Raw Datas'!BD58</f>
        <v>23.771483333333329</v>
      </c>
      <c r="BG11" s="60">
        <f>'Raw Datas'!BE58</f>
        <v>50.383450000000003</v>
      </c>
      <c r="BH11" s="60">
        <f>'Raw Datas'!BF58</f>
        <v>154.70228333333336</v>
      </c>
      <c r="BI11" s="60">
        <f>'Raw Datas'!BG58</f>
        <v>16.124983333333333</v>
      </c>
      <c r="BJ11" s="60">
        <f>'Raw Datas'!BH58</f>
        <v>132.33066666666667</v>
      </c>
      <c r="BK11" s="60">
        <f>'Raw Datas'!BI58</f>
        <v>294.43033333333335</v>
      </c>
      <c r="BL11" s="60">
        <f>'Raw Datas'!BJ58</f>
        <v>455.29175000000004</v>
      </c>
      <c r="BM11" s="60">
        <f>'Raw Datas'!BK58</f>
        <v>114.18851666666666</v>
      </c>
      <c r="BN11" s="60">
        <f>'Raw Datas'!BL58</f>
        <v>1486.2688833333334</v>
      </c>
      <c r="BO11" s="60">
        <f>'Raw Datas'!BM58</f>
        <v>1065.6721714285713</v>
      </c>
      <c r="BP11" s="60">
        <f>'Raw Datas'!BN58</f>
        <v>1284.4288999999999</v>
      </c>
      <c r="BQ11" s="60">
        <f>'Raw Datas'!BO58</f>
        <v>2022.7481666666667</v>
      </c>
      <c r="BR11" s="60">
        <f>'Raw Datas'!BP58</f>
        <v>902.61896666666678</v>
      </c>
      <c r="BS11" s="60">
        <f>'Raw Datas'!BQ58</f>
        <v>113.56841666666666</v>
      </c>
      <c r="BT11" s="60">
        <f>'Raw Datas'!BR58</f>
        <v>36.488199999999999</v>
      </c>
      <c r="BU11" s="60">
        <f>'Raw Datas'!BS58</f>
        <v>1024.8181166666666</v>
      </c>
      <c r="BV11" s="60">
        <f>'Raw Datas'!BT58</f>
        <v>317.65976666666666</v>
      </c>
      <c r="BW11" s="60">
        <f>'Raw Datas'!BU58</f>
        <v>180.46478333333334</v>
      </c>
      <c r="BX11" s="60">
        <f>'Raw Datas'!BV58</f>
        <v>141.8466333333333</v>
      </c>
      <c r="BY11" s="60">
        <f>'Raw Datas'!BW58</f>
        <v>103.70816666666666</v>
      </c>
      <c r="BZ11" s="60">
        <f>'Raw Datas'!BX58</f>
        <v>29.363966666666666</v>
      </c>
      <c r="CA11" s="60">
        <f>'Raw Datas'!BY58</f>
        <v>156.76478333333336</v>
      </c>
      <c r="CB11" s="60">
        <f>'Raw Datas'!BZ58</f>
        <v>97.586983333333322</v>
      </c>
      <c r="CC11" s="60">
        <f>'Raw Datas'!CA58</f>
        <v>122.07736666666666</v>
      </c>
      <c r="CD11" s="60">
        <f>'Raw Datas'!CB58</f>
        <v>26.971450000000001</v>
      </c>
      <c r="CE11" s="60">
        <f>'Raw Datas'!CC58</f>
        <v>48.404666666666664</v>
      </c>
      <c r="CF11" s="60">
        <f>'Raw Datas'!CD58</f>
        <v>42.177933333333335</v>
      </c>
      <c r="CG11" s="60">
        <f>'Raw Datas'!CE58</f>
        <v>251.81126666666665</v>
      </c>
      <c r="CH11" s="60">
        <f>'Raw Datas'!CF58</f>
        <v>32.006133333333331</v>
      </c>
      <c r="CI11" s="60">
        <f>'Raw Datas'!CG58</f>
        <v>62.545850000000002</v>
      </c>
      <c r="CJ11" s="60">
        <f>'Raw Datas'!CH58</f>
        <v>45.624333333333333</v>
      </c>
      <c r="CK11" s="60">
        <f>'Raw Datas'!CI58</f>
        <v>76.323966666666664</v>
      </c>
      <c r="CL11" s="60">
        <f>'Raw Datas'!CJ58</f>
        <v>23.537866666666666</v>
      </c>
      <c r="CM11" s="60">
        <f>'Raw Datas'!CK58</f>
        <v>24.651499999999999</v>
      </c>
      <c r="CN11" s="60">
        <f>'Raw Datas'!CL58</f>
        <v>46.300766666666661</v>
      </c>
      <c r="CO11" s="60">
        <f>'Raw Datas'!CM58</f>
        <v>32.768999999999998</v>
      </c>
      <c r="CP11" s="60">
        <f>'Raw Datas'!CN58</f>
        <v>39.385716666666667</v>
      </c>
      <c r="CQ11" s="60">
        <f>'Raw Datas'!CO58</f>
        <v>25.650766666666662</v>
      </c>
      <c r="CR11" s="60">
        <f>'Raw Datas'!CP58</f>
        <v>63.830750000000002</v>
      </c>
      <c r="CS11" s="60">
        <f>'Raw Datas'!CQ58</f>
        <v>62.122200000000007</v>
      </c>
      <c r="CT11" s="60">
        <f>'Raw Datas'!CR58</f>
        <v>71.237116666666665</v>
      </c>
      <c r="CU11" s="60">
        <f>'Raw Datas'!CS58</f>
        <v>25.849366666666665</v>
      </c>
      <c r="CV11" s="60">
        <f>'Raw Datas'!CT58</f>
        <v>79.201133333333331</v>
      </c>
      <c r="CW11" s="60">
        <f>'Raw Datas'!CU58</f>
        <v>35.132050000000007</v>
      </c>
      <c r="CX11" s="60">
        <f>'Raw Datas'!CV58</f>
        <v>33.251799999999996</v>
      </c>
      <c r="CY11" s="60">
        <f>'Raw Datas'!CW58</f>
        <v>91.9148</v>
      </c>
      <c r="CZ11" s="60">
        <f>'Raw Datas'!CX58</f>
        <v>44.696216666666672</v>
      </c>
      <c r="DA11" s="60">
        <f>'Raw Datas'!CY58</f>
        <v>19.774133333333335</v>
      </c>
      <c r="DB11" s="60">
        <f>'Raw Datas'!CZ58</f>
        <v>14.164916666666668</v>
      </c>
      <c r="DC11" s="60">
        <f>'Raw Datas'!DA58</f>
        <v>28.473716666666668</v>
      </c>
      <c r="DD11" s="60">
        <f>'Raw Datas'!DB58</f>
        <v>54.840850000000003</v>
      </c>
      <c r="DE11" s="60">
        <f>'Raw Datas'!DC58</f>
        <v>49.263400000000004</v>
      </c>
      <c r="DF11" s="60">
        <f>'Raw Datas'!DD58</f>
        <v>48.840683333333338</v>
      </c>
      <c r="DG11" s="60">
        <f>'Raw Datas'!DE58</f>
        <v>30.569533333333332</v>
      </c>
      <c r="DH11" s="60">
        <f>'Raw Datas'!DF58</f>
        <v>54.16245</v>
      </c>
      <c r="DI11" s="60">
        <f>'Raw Datas'!DG58</f>
        <v>56.221916666666665</v>
      </c>
      <c r="DJ11" s="60">
        <f>'Raw Datas'!DH58</f>
        <v>12.184166666666668</v>
      </c>
      <c r="DK11" s="60">
        <f>'Raw Datas'!DI58</f>
        <v>55.727766666666668</v>
      </c>
      <c r="DL11" s="60">
        <f>'Raw Datas'!DJ58</f>
        <v>150.87026666666668</v>
      </c>
      <c r="DM11" s="60">
        <f>'Raw Datas'!DK58</f>
        <v>98.359316666666658</v>
      </c>
      <c r="DN11" s="60">
        <f>'Raw Datas'!DL58</f>
        <v>14.852416666666668</v>
      </c>
      <c r="DO11" s="60">
        <f>'Raw Datas'!DM58</f>
        <v>81.423133333333325</v>
      </c>
      <c r="DP11" s="60">
        <f>'Raw Datas'!DN58</f>
        <v>90.343149999999994</v>
      </c>
      <c r="DQ11" s="60">
        <f>'Raw Datas'!DO58</f>
        <v>61.549733333333343</v>
      </c>
      <c r="DR11" s="60">
        <f>'Raw Datas'!DP58</f>
        <v>41.554583333333326</v>
      </c>
      <c r="DS11" s="60">
        <f>'Raw Datas'!DQ58</f>
        <v>60.515033333333335</v>
      </c>
      <c r="DT11" s="60">
        <f>'Raw Datas'!DR58</f>
        <v>60.843566666666668</v>
      </c>
      <c r="DU11" s="60">
        <f>'Raw Datas'!DS58</f>
        <v>25.840250000000005</v>
      </c>
      <c r="DV11" s="60">
        <f>'Raw Datas'!DT58</f>
        <v>21.92281666666667</v>
      </c>
      <c r="DW11" s="60">
        <f>'Raw Datas'!DU58</f>
        <v>133.68653333333333</v>
      </c>
      <c r="DX11" s="60">
        <f>'Raw Datas'!DV58</f>
        <v>35.072833333333328</v>
      </c>
      <c r="DY11" s="60">
        <f>'Raw Datas'!DW58</f>
        <v>46.498366666666669</v>
      </c>
      <c r="DZ11" s="60">
        <f>'Raw Datas'!DX58</f>
        <v>20.925833333333337</v>
      </c>
      <c r="EA11" s="60">
        <f>'Raw Datas'!DY58</f>
        <v>63.75931666666667</v>
      </c>
      <c r="EB11" s="60">
        <f>'Raw Datas'!DZ58</f>
        <v>56.155100000000012</v>
      </c>
      <c r="EC11" s="60">
        <f>'Raw Datas'!EA58</f>
        <v>42.308783333333331</v>
      </c>
      <c r="ED11" s="60">
        <f>'Raw Datas'!EB58</f>
        <v>54.117349999999995</v>
      </c>
      <c r="EE11" s="60">
        <f>'Raw Datas'!EC58</f>
        <v>28.063266666666667</v>
      </c>
      <c r="EF11" s="60">
        <f>'Raw Datas'!ED58</f>
        <v>42.84503333333334</v>
      </c>
      <c r="EG11" s="60">
        <f>'Raw Datas'!EE58</f>
        <v>14.793533333333334</v>
      </c>
      <c r="EH11" s="60">
        <f>'Raw Datas'!EF58</f>
        <v>53.088700000000003</v>
      </c>
      <c r="EI11" s="60">
        <f>'Raw Datas'!EG58</f>
        <v>51.925283333333333</v>
      </c>
      <c r="EJ11" s="60">
        <f>'Raw Datas'!EH58</f>
        <v>26.80456666666667</v>
      </c>
      <c r="EK11" s="60">
        <f>'Raw Datas'!EI58</f>
        <v>15.592350000000001</v>
      </c>
      <c r="EL11" s="60">
        <f>'Raw Datas'!EJ58</f>
        <v>68.602466666666672</v>
      </c>
      <c r="EM11" s="60">
        <f>'Raw Datas'!EK58</f>
        <v>32.602416666666663</v>
      </c>
      <c r="EN11" s="60">
        <f>'Raw Datas'!EL58</f>
        <v>38.719683333333336</v>
      </c>
      <c r="EO11" s="60">
        <f>'Raw Datas'!EM58</f>
        <v>60.000783333333331</v>
      </c>
      <c r="EP11" s="60">
        <f>'Raw Datas'!EN58</f>
        <v>73.314266666666668</v>
      </c>
      <c r="EQ11" s="60">
        <f>'Raw Datas'!EO58</f>
        <v>49.746033333333337</v>
      </c>
      <c r="ER11" s="60">
        <f>'Raw Datas'!EP58</f>
        <v>56.451000000000008</v>
      </c>
      <c r="ES11" s="60">
        <f>'Raw Datas'!EQ58</f>
        <v>23.865866666666665</v>
      </c>
      <c r="ET11" s="60">
        <f>'Raw Datas'!ER58</f>
        <v>27.34183333333333</v>
      </c>
      <c r="EU11" s="60">
        <f>'Raw Datas'!ES58</f>
        <v>28.633433333333336</v>
      </c>
      <c r="EV11" s="60">
        <f>'Raw Datas'!ET58</f>
        <v>24.401966666666667</v>
      </c>
      <c r="EW11" s="60">
        <f>'Raw Datas'!EU58</f>
        <v>43.035783333333335</v>
      </c>
      <c r="EX11" s="60">
        <f>'Raw Datas'!EV58</f>
        <v>37.070799999999998</v>
      </c>
      <c r="EY11" s="60">
        <f>'Raw Datas'!EW58</f>
        <v>35.424883333333334</v>
      </c>
      <c r="EZ11" s="60">
        <f>'Raw Datas'!EX58</f>
        <v>65.265749999999997</v>
      </c>
      <c r="FA11" s="60">
        <f>'Raw Datas'!EY58</f>
        <v>142.61836666666665</v>
      </c>
      <c r="FB11" s="60">
        <f>'Raw Datas'!EZ58</f>
        <v>82.463116666666664</v>
      </c>
      <c r="FC11" s="60">
        <f>'Raw Datas'!FA58</f>
        <v>23.478149999999996</v>
      </c>
      <c r="FD11" s="60">
        <f>'Raw Datas'!FB58</f>
        <v>20.876466666666666</v>
      </c>
      <c r="FE11" s="60">
        <f>'Raw Datas'!FC58</f>
        <v>44.406449999999992</v>
      </c>
      <c r="FF11" s="60">
        <f>'Raw Datas'!FD58</f>
        <v>20.013483333333333</v>
      </c>
      <c r="FG11" s="60">
        <f>'Raw Datas'!FE58</f>
        <v>26.833666666666666</v>
      </c>
      <c r="FH11" s="60">
        <f>'Raw Datas'!FF58</f>
        <v>33.607199999999999</v>
      </c>
      <c r="FI11" s="60">
        <f>'Raw Datas'!FG58</f>
        <v>20.156766666666666</v>
      </c>
      <c r="FJ11" s="60">
        <f>'Raw Datas'!FH58</f>
        <v>47.817766666666671</v>
      </c>
      <c r="FK11" s="60">
        <f>'Raw Datas'!FI58</f>
        <v>39.3536</v>
      </c>
      <c r="FL11" s="60">
        <f>'Raw Datas'!FJ58</f>
        <v>63.388833333333338</v>
      </c>
      <c r="FM11" s="60">
        <f>'Raw Datas'!FK58</f>
        <v>67.179216666666676</v>
      </c>
      <c r="FN11" s="60">
        <f>'Raw Datas'!FL58</f>
        <v>82.700816666666668</v>
      </c>
      <c r="FO11" s="60">
        <f>'Raw Datas'!FM58</f>
        <v>66.622749999999996</v>
      </c>
      <c r="FP11" s="60">
        <f>'Raw Datas'!FN58</f>
        <v>89.898633333333322</v>
      </c>
      <c r="FQ11" s="60">
        <f>'Raw Datas'!FO58</f>
        <v>29.086749999999999</v>
      </c>
    </row>
    <row r="12" spans="1:173" x14ac:dyDescent="0.2">
      <c r="A12" s="117"/>
      <c r="B12" s="97" t="s">
        <v>47</v>
      </c>
      <c r="C12" s="112" t="s">
        <v>731</v>
      </c>
      <c r="D12" s="112"/>
      <c r="E12" s="60">
        <f>'Raw Datas'!C59</f>
        <v>1.97035</v>
      </c>
      <c r="F12" s="60">
        <f>'Raw Datas'!D59</f>
        <v>2.8201000000000005</v>
      </c>
      <c r="G12" s="60">
        <f>'Raw Datas'!E59</f>
        <v>4.6212333333333335</v>
      </c>
      <c r="H12" s="60">
        <f>'Raw Datas'!F59</f>
        <v>13.86495</v>
      </c>
      <c r="I12" s="60">
        <f>'Raw Datas'!G59</f>
        <v>2.5101666666666671</v>
      </c>
      <c r="J12" s="60">
        <f>'Raw Datas'!H59</f>
        <v>0.59873333333333334</v>
      </c>
      <c r="K12" s="60">
        <f>'Raw Datas'!I59</f>
        <v>2.7499333333333333</v>
      </c>
      <c r="L12" s="60">
        <f>'Raw Datas'!J59</f>
        <v>1.2010333333333334</v>
      </c>
      <c r="M12" s="60">
        <f>'Raw Datas'!K59</f>
        <v>2.399866666666667</v>
      </c>
      <c r="N12" s="60">
        <f>'Raw Datas'!L59</f>
        <v>4.1738833333333334</v>
      </c>
      <c r="O12" s="60">
        <f>'Raw Datas'!M59</f>
        <v>2.9720333333333335</v>
      </c>
      <c r="P12" s="60">
        <f>'Raw Datas'!N59</f>
        <v>0.62801666666666667</v>
      </c>
      <c r="Q12" s="60">
        <f>'Raw Datas'!O59</f>
        <v>2.2531666666666665</v>
      </c>
      <c r="R12" s="60">
        <f>'Raw Datas'!P59</f>
        <v>3.1404333333333336</v>
      </c>
      <c r="S12" s="60">
        <f>'Raw Datas'!Q59</f>
        <v>23.216133333333332</v>
      </c>
      <c r="T12" s="60">
        <f>'Raw Datas'!R59</f>
        <v>11.742133333333333</v>
      </c>
      <c r="U12" s="60">
        <f>'Raw Datas'!S59</f>
        <v>5.239116666666666</v>
      </c>
      <c r="V12" s="60">
        <f>'Raw Datas'!T59</f>
        <v>2.6868499999999997</v>
      </c>
      <c r="W12" s="60">
        <f>'Raw Datas'!U59</f>
        <v>3.6566333333333336</v>
      </c>
      <c r="X12" s="60">
        <f>'Raw Datas'!V59</f>
        <v>10.1729</v>
      </c>
      <c r="Y12" s="60">
        <f>'Raw Datas'!W59</f>
        <v>3.3265428571428566</v>
      </c>
      <c r="Z12" s="60">
        <f>'Raw Datas'!X59</f>
        <v>0.87312000000000001</v>
      </c>
      <c r="AA12" s="60">
        <f>'Raw Datas'!Y59</f>
        <v>3.5385</v>
      </c>
      <c r="AB12" s="60">
        <f>'Raw Datas'!Z59</f>
        <v>5.6610799999999992</v>
      </c>
      <c r="AC12" s="60">
        <f>'Raw Datas'!AA59</f>
        <v>2.2273333333333336</v>
      </c>
      <c r="AD12" s="60">
        <f>'Raw Datas'!AB59</f>
        <v>2.1396666666666664</v>
      </c>
      <c r="AE12" s="60">
        <f>'Raw Datas'!AC59</f>
        <v>1.8446999999999998</v>
      </c>
      <c r="AF12" s="60">
        <f>'Raw Datas'!AD59</f>
        <v>3.1956666666666669</v>
      </c>
      <c r="AG12" s="60">
        <f>'Raw Datas'!AE59</f>
        <v>1.7353666666666667</v>
      </c>
      <c r="AH12" s="60">
        <f>'Raw Datas'!AF59</f>
        <v>0.95716666666666683</v>
      </c>
      <c r="AI12" s="60">
        <f>'Raw Datas'!AG59</f>
        <v>3.7167999999999997</v>
      </c>
      <c r="AJ12" s="60">
        <f>'Raw Datas'!AH59</f>
        <v>8.7478333333333342</v>
      </c>
      <c r="AK12" s="60">
        <f>'Raw Datas'!AI59</f>
        <v>1.6728166666666666</v>
      </c>
      <c r="AL12" s="60">
        <f>'Raw Datas'!AJ59</f>
        <v>4.9473000000000003</v>
      </c>
      <c r="AM12" s="60">
        <f>'Raw Datas'!AK59</f>
        <v>2.9336000000000002</v>
      </c>
      <c r="AN12" s="60">
        <f>'Raw Datas'!AL59</f>
        <v>4.8443666666666667</v>
      </c>
      <c r="AO12" s="60">
        <f>'Raw Datas'!AM59</f>
        <v>2.7741500000000001</v>
      </c>
      <c r="AP12" s="60">
        <f>'Raw Datas'!AN59</f>
        <v>2.6827166666666664</v>
      </c>
      <c r="AQ12" s="60">
        <f>'Raw Datas'!AO59</f>
        <v>6.6607166666666675</v>
      </c>
      <c r="AR12" s="60">
        <f>'Raw Datas'!AP59</f>
        <v>2.6439333333333335</v>
      </c>
      <c r="AS12" s="60">
        <f>'Raw Datas'!AQ59</f>
        <v>40.076116666666664</v>
      </c>
      <c r="AT12" s="60">
        <f>'Raw Datas'!AR59</f>
        <v>1.1377166666666667</v>
      </c>
      <c r="AU12" s="60">
        <f>'Raw Datas'!AS59</f>
        <v>1.2701833333333332</v>
      </c>
      <c r="AV12" s="60">
        <f>'Raw Datas'!AT59</f>
        <v>1.0575666666666665</v>
      </c>
      <c r="AW12" s="60">
        <f>'Raw Datas'!AU59</f>
        <v>1.7927600000000001</v>
      </c>
      <c r="AX12" s="60">
        <f>'Raw Datas'!AV59</f>
        <v>4.3552400000000002</v>
      </c>
      <c r="AY12" s="60">
        <f>'Raw Datas'!AW59</f>
        <v>1.1713833333333334</v>
      </c>
      <c r="AZ12" s="60">
        <f>'Raw Datas'!AX59</f>
        <v>1.3413499999999998</v>
      </c>
      <c r="BA12" s="60">
        <f>'Raw Datas'!AY59</f>
        <v>3.4016833333333332</v>
      </c>
      <c r="BB12" s="60">
        <f>'Raw Datas'!AZ59</f>
        <v>2.2772833333333335</v>
      </c>
      <c r="BC12" s="60">
        <f>'Raw Datas'!BA59</f>
        <v>2.067333333333333</v>
      </c>
      <c r="BD12" s="60">
        <f>'Raw Datas'!BB59</f>
        <v>3.4213833333333334</v>
      </c>
      <c r="BE12" s="60">
        <f>'Raw Datas'!BC59</f>
        <v>6.9767833333333336</v>
      </c>
      <c r="BF12" s="60">
        <f>'Raw Datas'!BD59</f>
        <v>1.6849833333333331</v>
      </c>
      <c r="BG12" s="60">
        <f>'Raw Datas'!BE59</f>
        <v>1.2938666666666667</v>
      </c>
      <c r="BH12" s="60">
        <f>'Raw Datas'!BF59</f>
        <v>4.6411666666666669</v>
      </c>
      <c r="BI12" s="60">
        <f>'Raw Datas'!BG59</f>
        <v>5.4310499999999999</v>
      </c>
      <c r="BJ12" s="60">
        <f>'Raw Datas'!BH59</f>
        <v>3.0496666666666665</v>
      </c>
      <c r="BK12" s="60">
        <f>'Raw Datas'!BI59</f>
        <v>2.1193333333333331</v>
      </c>
      <c r="BL12" s="60">
        <f>'Raw Datas'!BJ59</f>
        <v>4.3571666666666671</v>
      </c>
      <c r="BM12" s="60">
        <f>'Raw Datas'!BK59</f>
        <v>11.925750000000001</v>
      </c>
      <c r="BN12" s="60">
        <f>'Raw Datas'!BL59</f>
        <v>2.6804666666666663</v>
      </c>
      <c r="BO12" s="60">
        <f>'Raw Datas'!BM59</f>
        <v>1.0063142857142857</v>
      </c>
      <c r="BP12" s="60">
        <f>'Raw Datas'!BN59</f>
        <v>1.5087999999999999</v>
      </c>
      <c r="BQ12" s="60">
        <f>'Raw Datas'!BO59</f>
        <v>21.210883333333335</v>
      </c>
      <c r="BR12" s="60">
        <f>'Raw Datas'!BP59</f>
        <v>2.96915</v>
      </c>
      <c r="BS12" s="60">
        <f>'Raw Datas'!BQ59</f>
        <v>3.1626833333333333</v>
      </c>
      <c r="BT12" s="60">
        <f>'Raw Datas'!BR59</f>
        <v>4.2713142857142863</v>
      </c>
      <c r="BU12" s="60">
        <f>'Raw Datas'!BS59</f>
        <v>0.86849999999999994</v>
      </c>
      <c r="BV12" s="60">
        <f>'Raw Datas'!BT59</f>
        <v>2.4814166666666666</v>
      </c>
      <c r="BW12" s="60">
        <f>'Raw Datas'!BU59</f>
        <v>2.8624500000000004</v>
      </c>
      <c r="BX12" s="60">
        <f>'Raw Datas'!BV59</f>
        <v>1.5097500000000001</v>
      </c>
      <c r="BY12" s="60">
        <f>'Raw Datas'!BW59</f>
        <v>16.837466666666668</v>
      </c>
      <c r="BZ12" s="60">
        <f>'Raw Datas'!BX59</f>
        <v>8.883933333333335</v>
      </c>
      <c r="CA12" s="60">
        <f>'Raw Datas'!BY59</f>
        <v>1.5223666666666666</v>
      </c>
      <c r="CB12" s="60">
        <f>'Raw Datas'!BZ59</f>
        <v>1.5619500000000002</v>
      </c>
      <c r="CC12" s="60">
        <f>'Raw Datas'!CA59</f>
        <v>2.0450333333333335</v>
      </c>
      <c r="CD12" s="60">
        <f>'Raw Datas'!CB59</f>
        <v>1.5419666666666667</v>
      </c>
      <c r="CE12" s="60">
        <f>'Raw Datas'!CC59</f>
        <v>3.2395666666666667</v>
      </c>
      <c r="CF12" s="60">
        <f>'Raw Datas'!CD59</f>
        <v>2.1869999999999998</v>
      </c>
      <c r="CG12" s="60">
        <f>'Raw Datas'!CE59</f>
        <v>7.6256999999999993</v>
      </c>
      <c r="CH12" s="60">
        <f>'Raw Datas'!CF59</f>
        <v>1.7934166666666667</v>
      </c>
      <c r="CI12" s="60">
        <f>'Raw Datas'!CG59</f>
        <v>5.6175499999999996</v>
      </c>
      <c r="CJ12" s="60">
        <f>'Raw Datas'!CH59</f>
        <v>9.4741999999999997</v>
      </c>
      <c r="CK12" s="60">
        <f>'Raw Datas'!CI59</f>
        <v>4.4940666666666669</v>
      </c>
      <c r="CL12" s="60">
        <f>'Raw Datas'!CJ59</f>
        <v>2.8744444444444444</v>
      </c>
      <c r="CM12" s="60">
        <f>'Raw Datas'!CK59</f>
        <v>1.2020333333333333</v>
      </c>
      <c r="CN12" s="60">
        <f>'Raw Datas'!CL59</f>
        <v>3.1870333333333329</v>
      </c>
      <c r="CO12" s="60">
        <f>'Raw Datas'!CM59</f>
        <v>5.3676499999999994</v>
      </c>
      <c r="CP12" s="60">
        <f>'Raw Datas'!CN59</f>
        <v>5.4428333333333319</v>
      </c>
      <c r="CQ12" s="60">
        <f>'Raw Datas'!CO59</f>
        <v>1.4317500000000001</v>
      </c>
      <c r="CR12" s="60">
        <f>'Raw Datas'!CP59</f>
        <v>3.9306166666666664</v>
      </c>
      <c r="CS12" s="60">
        <f>'Raw Datas'!CQ59</f>
        <v>8.4843999999999991</v>
      </c>
      <c r="CT12" s="60">
        <f>'Raw Datas'!CR59</f>
        <v>5.9641000000000002</v>
      </c>
      <c r="CU12" s="60">
        <f>'Raw Datas'!CS59</f>
        <v>2.5257833333333335</v>
      </c>
      <c r="CV12" s="60">
        <f>'Raw Datas'!CT59</f>
        <v>2.6032333333333337</v>
      </c>
      <c r="CW12" s="60">
        <f>'Raw Datas'!CU59</f>
        <v>2.8224</v>
      </c>
      <c r="CX12" s="60">
        <f>'Raw Datas'!CV59</f>
        <v>3.4681833333333336</v>
      </c>
      <c r="CY12" s="60">
        <f>'Raw Datas'!CW59</f>
        <v>2.9177999999999997</v>
      </c>
      <c r="CZ12" s="60">
        <f>'Raw Datas'!CX59</f>
        <v>7.8216166666666664</v>
      </c>
      <c r="DA12" s="60">
        <f>'Raw Datas'!CY59</f>
        <v>2.5720499999999999</v>
      </c>
      <c r="DB12" s="60">
        <f>'Raw Datas'!CZ59</f>
        <v>1.3804333333333334</v>
      </c>
      <c r="DC12" s="60">
        <f>'Raw Datas'!DA59</f>
        <v>2.8023333333333329</v>
      </c>
      <c r="DD12" s="60">
        <f>'Raw Datas'!DB59</f>
        <v>1.24535</v>
      </c>
      <c r="DE12" s="60">
        <f>'Raw Datas'!DC59</f>
        <v>2.4250166666666666</v>
      </c>
      <c r="DF12" s="60">
        <f>'Raw Datas'!DD59</f>
        <v>1.2470833333333333</v>
      </c>
      <c r="DG12" s="60">
        <f>'Raw Datas'!DE59</f>
        <v>9.9307499999999997</v>
      </c>
      <c r="DH12" s="60">
        <f>'Raw Datas'!DF59</f>
        <v>0.58029999999999993</v>
      </c>
      <c r="DI12" s="60">
        <f>'Raw Datas'!DG59</f>
        <v>4.4380166666666669</v>
      </c>
      <c r="DJ12" s="60">
        <f>'Raw Datas'!DH59</f>
        <v>1.08175</v>
      </c>
      <c r="DK12" s="60">
        <f>'Raw Datas'!DI59</f>
        <v>5.1071000000000009</v>
      </c>
      <c r="DL12" s="60">
        <f>'Raw Datas'!DJ59</f>
        <v>6.0272000000000014</v>
      </c>
      <c r="DM12" s="60">
        <f>'Raw Datas'!DK59</f>
        <v>12.824083333333334</v>
      </c>
      <c r="DN12" s="60">
        <f>'Raw Datas'!DL59</f>
        <v>1.4985333333333333</v>
      </c>
      <c r="DO12" s="60">
        <f>'Raw Datas'!DM59</f>
        <v>3.4078666666666662</v>
      </c>
      <c r="DP12" s="60">
        <f>'Raw Datas'!DN59</f>
        <v>2.39845</v>
      </c>
      <c r="DQ12" s="60">
        <f>'Raw Datas'!DO59</f>
        <v>1.5858833333333331</v>
      </c>
      <c r="DR12" s="60">
        <f>'Raw Datas'!DP59</f>
        <v>6.3333666666666666</v>
      </c>
      <c r="DS12" s="60">
        <f>'Raw Datas'!DQ59</f>
        <v>1.8768833333333332</v>
      </c>
      <c r="DT12" s="60">
        <f>'Raw Datas'!DR59</f>
        <v>1.5706166666666665</v>
      </c>
      <c r="DU12" s="60">
        <f>'Raw Datas'!DS59</f>
        <v>6.801333333333333</v>
      </c>
      <c r="DV12" s="60">
        <f>'Raw Datas'!DT59</f>
        <v>3.396733333333334</v>
      </c>
      <c r="DW12" s="60">
        <f>'Raw Datas'!DU59</f>
        <v>0.85051666666666681</v>
      </c>
      <c r="DX12" s="60">
        <f>'Raw Datas'!DV59</f>
        <v>3.6794166666666666</v>
      </c>
      <c r="DY12" s="60">
        <f>'Raw Datas'!DW59</f>
        <v>4.4001333333333328</v>
      </c>
      <c r="DZ12" s="60">
        <f>'Raw Datas'!DX59</f>
        <v>5.9020166666666674</v>
      </c>
      <c r="EA12" s="60">
        <f>'Raw Datas'!DY59</f>
        <v>6.3194333333333343</v>
      </c>
      <c r="EB12" s="60">
        <f>'Raw Datas'!DZ59</f>
        <v>2.2854999999999999</v>
      </c>
      <c r="EC12" s="60">
        <f>'Raw Datas'!EA59</f>
        <v>2.7411999999999996</v>
      </c>
      <c r="ED12" s="60">
        <f>'Raw Datas'!EB59</f>
        <v>2.5364500000000003</v>
      </c>
      <c r="EE12" s="60">
        <f>'Raw Datas'!EC59</f>
        <v>1.4846333333333335</v>
      </c>
      <c r="EF12" s="60">
        <f>'Raw Datas'!ED59</f>
        <v>5.9529500000000004</v>
      </c>
      <c r="EG12" s="60">
        <f>'Raw Datas'!EE59</f>
        <v>1.5850833333333334</v>
      </c>
      <c r="EH12" s="60">
        <f>'Raw Datas'!EF59</f>
        <v>2.1828166666666666</v>
      </c>
      <c r="EI12" s="60">
        <f>'Raw Datas'!EG59</f>
        <v>5.4764166666666663</v>
      </c>
      <c r="EJ12" s="60">
        <f>'Raw Datas'!EH59</f>
        <v>1.4197500000000001</v>
      </c>
      <c r="EK12" s="60">
        <f>'Raw Datas'!EI59</f>
        <v>2.8735166666666667</v>
      </c>
      <c r="EL12" s="60">
        <f>'Raw Datas'!EJ59</f>
        <v>8.8518500000000007</v>
      </c>
      <c r="EM12" s="60">
        <f>'Raw Datas'!EK59</f>
        <v>1.1879166666666667</v>
      </c>
      <c r="EN12" s="60">
        <f>'Raw Datas'!EL59</f>
        <v>4.2345333333333333</v>
      </c>
      <c r="EO12" s="60">
        <f>'Raw Datas'!EM59</f>
        <v>11.6495</v>
      </c>
      <c r="EP12" s="60">
        <f>'Raw Datas'!EN59</f>
        <v>1.3208666666666669</v>
      </c>
      <c r="EQ12" s="60">
        <f>'Raw Datas'!EO59</f>
        <v>1.0029166666666667</v>
      </c>
      <c r="ER12" s="60">
        <f>'Raw Datas'!EP59</f>
        <v>13.047750000000001</v>
      </c>
      <c r="ES12" s="60">
        <f>'Raw Datas'!EQ59</f>
        <v>2.1847666666666665</v>
      </c>
      <c r="ET12" s="60">
        <f>'Raw Datas'!ER59</f>
        <v>2.0962999999999998</v>
      </c>
      <c r="EU12" s="60">
        <f>'Raw Datas'!ES59</f>
        <v>1.5288833333333331</v>
      </c>
      <c r="EV12" s="60">
        <f>'Raw Datas'!ET59</f>
        <v>2.3033000000000001</v>
      </c>
      <c r="EW12" s="60">
        <f>'Raw Datas'!EU59</f>
        <v>3.3482333333333334</v>
      </c>
      <c r="EX12" s="60">
        <f>'Raw Datas'!EV59</f>
        <v>2.3097833333333337</v>
      </c>
      <c r="EY12" s="60">
        <f>'Raw Datas'!EW59</f>
        <v>5.0117333333333338</v>
      </c>
      <c r="EZ12" s="60">
        <f>'Raw Datas'!EX59</f>
        <v>3.0217999999999998</v>
      </c>
      <c r="FA12" s="60">
        <f>'Raw Datas'!EY59</f>
        <v>33.411216666666668</v>
      </c>
      <c r="FB12" s="60">
        <f>'Raw Datas'!EZ59</f>
        <v>2.6934833333333335</v>
      </c>
      <c r="FC12" s="60">
        <f>'Raw Datas'!FA59</f>
        <v>0.69899999999999995</v>
      </c>
      <c r="FD12" s="60">
        <f>'Raw Datas'!FB59</f>
        <v>2.4685833333333336</v>
      </c>
      <c r="FE12" s="60">
        <f>'Raw Datas'!FC59</f>
        <v>3.354916666666667</v>
      </c>
      <c r="FF12" s="60">
        <f>'Raw Datas'!FD59</f>
        <v>1.9660166666666663</v>
      </c>
      <c r="FG12" s="60">
        <f>'Raw Datas'!FE59</f>
        <v>1.6273000000000002</v>
      </c>
      <c r="FH12" s="60">
        <f>'Raw Datas'!FF59</f>
        <v>5.2726999999999995</v>
      </c>
      <c r="FI12" s="60">
        <f>'Raw Datas'!FG59</f>
        <v>1.5317499999999999</v>
      </c>
      <c r="FJ12" s="60">
        <f>'Raw Datas'!FH59</f>
        <v>3.21455</v>
      </c>
      <c r="FK12" s="60">
        <f>'Raw Datas'!FI59</f>
        <v>0.7060833333333334</v>
      </c>
      <c r="FL12" s="60">
        <f>'Raw Datas'!FJ59</f>
        <v>4.1467166666666664</v>
      </c>
      <c r="FM12" s="60">
        <f>'Raw Datas'!FK59</f>
        <v>11.880800000000001</v>
      </c>
      <c r="FN12" s="60">
        <f>'Raw Datas'!FL59</f>
        <v>4.4038500000000003</v>
      </c>
      <c r="FO12" s="60">
        <f>'Raw Datas'!FM59</f>
        <v>7.9403333333333332</v>
      </c>
      <c r="FP12" s="60">
        <f>'Raw Datas'!FN59</f>
        <v>7.0061333333333335</v>
      </c>
      <c r="FQ12" s="60">
        <f>'Raw Datas'!FO59</f>
        <v>1.6691166666666666</v>
      </c>
    </row>
    <row r="13" spans="1:173" x14ac:dyDescent="0.2">
      <c r="A13" s="117"/>
      <c r="B13" s="97" t="s">
        <v>46</v>
      </c>
      <c r="C13" s="111" t="s">
        <v>732</v>
      </c>
      <c r="D13" s="111"/>
      <c r="E13" s="60">
        <f>'Raw Datas'!C60</f>
        <v>2.4824333333333333</v>
      </c>
      <c r="F13" s="60">
        <f>'Raw Datas'!D60</f>
        <v>2.25685</v>
      </c>
      <c r="G13" s="60">
        <f>'Raw Datas'!E60</f>
        <v>4.9767499999999991</v>
      </c>
      <c r="H13" s="60">
        <f>'Raw Datas'!F60</f>
        <v>19.789066666666667</v>
      </c>
      <c r="I13" s="60">
        <f>'Raw Datas'!G60</f>
        <v>2.1857333333333333</v>
      </c>
      <c r="J13" s="60">
        <f>'Raw Datas'!H60</f>
        <v>0.61314999999999997</v>
      </c>
      <c r="K13" s="60">
        <f>'Raw Datas'!I60</f>
        <v>3.6336500000000003</v>
      </c>
      <c r="L13" s="60">
        <f>'Raw Datas'!J60</f>
        <v>0.93754999999999999</v>
      </c>
      <c r="M13" s="60">
        <f>'Raw Datas'!K60</f>
        <v>2.5477833333333333</v>
      </c>
      <c r="N13" s="60">
        <f>'Raw Datas'!L60</f>
        <v>8.3659999999999997</v>
      </c>
      <c r="O13" s="60">
        <f>'Raw Datas'!M60</f>
        <v>3.406916666666667</v>
      </c>
      <c r="P13" s="60">
        <f>'Raw Datas'!N60</f>
        <v>0.37051666666666672</v>
      </c>
      <c r="Q13" s="60">
        <f>'Raw Datas'!O60</f>
        <v>2.0222666666666664</v>
      </c>
      <c r="R13" s="60">
        <f>'Raw Datas'!P60</f>
        <v>3.4411499999999999</v>
      </c>
      <c r="S13" s="60">
        <f>'Raw Datas'!Q60</f>
        <v>20.001466666666666</v>
      </c>
      <c r="T13" s="60">
        <f>'Raw Datas'!R60</f>
        <v>14.842666666666666</v>
      </c>
      <c r="U13" s="60">
        <f>'Raw Datas'!S60</f>
        <v>7.2191666666666663</v>
      </c>
      <c r="V13" s="60">
        <f>'Raw Datas'!T60</f>
        <v>2.3765666666666667</v>
      </c>
      <c r="W13" s="60">
        <f>'Raw Datas'!U60</f>
        <v>4.7912333333333335</v>
      </c>
      <c r="X13" s="60">
        <f>'Raw Datas'!V60</f>
        <v>16.914149999999999</v>
      </c>
      <c r="Y13" s="60">
        <f>'Raw Datas'!W60</f>
        <v>5.729914285714286</v>
      </c>
      <c r="Z13" s="60">
        <f>'Raw Datas'!X60</f>
        <v>1.4674400000000001</v>
      </c>
      <c r="AA13" s="60">
        <f>'Raw Datas'!Y60</f>
        <v>3.5728500000000003</v>
      </c>
      <c r="AB13" s="60">
        <f>'Raw Datas'!Z60</f>
        <v>10.133199999999999</v>
      </c>
      <c r="AC13" s="60">
        <f>'Raw Datas'!AA60</f>
        <v>2.7849166666666663</v>
      </c>
      <c r="AD13" s="60">
        <f>'Raw Datas'!AB60</f>
        <v>1.9558</v>
      </c>
      <c r="AE13" s="60">
        <f>'Raw Datas'!AC60</f>
        <v>2.30985</v>
      </c>
      <c r="AF13" s="60">
        <f>'Raw Datas'!AD60</f>
        <v>2.3611166666666668</v>
      </c>
      <c r="AG13" s="60">
        <f>'Raw Datas'!AE60</f>
        <v>2.208366666666667</v>
      </c>
      <c r="AH13" s="60">
        <f>'Raw Datas'!AF60</f>
        <v>1.8378166666666664</v>
      </c>
      <c r="AI13" s="60">
        <f>'Raw Datas'!AG60</f>
        <v>3.2000833333333336</v>
      </c>
      <c r="AJ13" s="60">
        <f>'Raw Datas'!AH60</f>
        <v>6.5037666666666665</v>
      </c>
      <c r="AK13" s="60">
        <f>'Raw Datas'!AI60</f>
        <v>1.5447500000000001</v>
      </c>
      <c r="AL13" s="60">
        <f>'Raw Datas'!AJ60</f>
        <v>1.6020666666666665</v>
      </c>
      <c r="AM13" s="60">
        <f>'Raw Datas'!AK60</f>
        <v>1.2364999999999999</v>
      </c>
      <c r="AN13" s="60">
        <f>'Raw Datas'!AL60</f>
        <v>8.3684833333333337</v>
      </c>
      <c r="AO13" s="60">
        <f>'Raw Datas'!AM60</f>
        <v>2.643733333333333</v>
      </c>
      <c r="AP13" s="60">
        <f>'Raw Datas'!AN60</f>
        <v>1.9548500000000002</v>
      </c>
      <c r="AQ13" s="60">
        <f>'Raw Datas'!AO60</f>
        <v>5.3184166666666668</v>
      </c>
      <c r="AR13" s="60">
        <f>'Raw Datas'!AP60</f>
        <v>2.0746833333333332</v>
      </c>
      <c r="AS13" s="60">
        <f>'Raw Datas'!AQ60</f>
        <v>28.753516666666663</v>
      </c>
      <c r="AT13" s="60">
        <f>'Raw Datas'!AR60</f>
        <v>0.94511666666666672</v>
      </c>
      <c r="AU13" s="60">
        <f>'Raw Datas'!AS60</f>
        <v>1.5195333333333332</v>
      </c>
      <c r="AV13" s="60">
        <f>'Raw Datas'!AT60</f>
        <v>1.3146166666666665</v>
      </c>
      <c r="AW13" s="60">
        <f>'Raw Datas'!AU60</f>
        <v>1.0094400000000001</v>
      </c>
      <c r="AX13" s="60">
        <f>'Raw Datas'!AV60</f>
        <v>2.5087999999999999</v>
      </c>
      <c r="AY13" s="60">
        <f>'Raw Datas'!AW60</f>
        <v>0.90468333333333328</v>
      </c>
      <c r="AZ13" s="60">
        <f>'Raw Datas'!AX60</f>
        <v>1.0623666666666667</v>
      </c>
      <c r="BA13" s="60">
        <f>'Raw Datas'!AY60</f>
        <v>8.1527499999999993</v>
      </c>
      <c r="BB13" s="60">
        <f>'Raw Datas'!AZ60</f>
        <v>2.2741500000000001</v>
      </c>
      <c r="BC13" s="60">
        <f>'Raw Datas'!BA60</f>
        <v>2.6966999999999999</v>
      </c>
      <c r="BD13" s="60">
        <f>'Raw Datas'!BB60</f>
        <v>4.0073166666666671</v>
      </c>
      <c r="BE13" s="60">
        <f>'Raw Datas'!BC60</f>
        <v>6.2987000000000002</v>
      </c>
      <c r="BF13" s="60">
        <f>'Raw Datas'!BD60</f>
        <v>1.4318333333333333</v>
      </c>
      <c r="BG13" s="60">
        <f>'Raw Datas'!BE60</f>
        <v>1.7105999999999999</v>
      </c>
      <c r="BH13" s="60">
        <f>'Raw Datas'!BF60</f>
        <v>4.7671666666666672</v>
      </c>
      <c r="BI13" s="60">
        <f>'Raw Datas'!BG60</f>
        <v>3.27285</v>
      </c>
      <c r="BJ13" s="60">
        <f>'Raw Datas'!BH60</f>
        <v>2.2715166666666664</v>
      </c>
      <c r="BK13" s="60">
        <f>'Raw Datas'!BI60</f>
        <v>1.6360166666666667</v>
      </c>
      <c r="BL13" s="60">
        <f>'Raw Datas'!BJ60</f>
        <v>3.9415333333333336</v>
      </c>
      <c r="BM13" s="60">
        <f>'Raw Datas'!BK60</f>
        <v>5.9544000000000006</v>
      </c>
      <c r="BN13" s="60">
        <f>'Raw Datas'!BL60</f>
        <v>2.0507166666666667</v>
      </c>
      <c r="BO13" s="60">
        <f>'Raw Datas'!BM60</f>
        <v>0.94671428571428562</v>
      </c>
      <c r="BP13" s="60">
        <f>'Raw Datas'!BN60</f>
        <v>1.1884166666666665</v>
      </c>
      <c r="BQ13" s="60">
        <f>'Raw Datas'!BO60</f>
        <v>18.326800000000002</v>
      </c>
      <c r="BR13" s="60">
        <f>'Raw Datas'!BP60</f>
        <v>2.2738</v>
      </c>
      <c r="BS13" s="60">
        <f>'Raw Datas'!BQ60</f>
        <v>3.2423000000000002</v>
      </c>
      <c r="BT13" s="60">
        <f>'Raw Datas'!BR60</f>
        <v>3.4618571428571432</v>
      </c>
      <c r="BU13" s="60">
        <f>'Raw Datas'!BS60</f>
        <v>0.81169999999999998</v>
      </c>
      <c r="BV13" s="60">
        <f>'Raw Datas'!BT60</f>
        <v>1.3383499999999997</v>
      </c>
      <c r="BW13" s="60">
        <f>'Raw Datas'!BU60</f>
        <v>2.0922333333333332</v>
      </c>
      <c r="BX13" s="60">
        <f>'Raw Datas'!BV60</f>
        <v>1.0315166666666666</v>
      </c>
      <c r="BY13" s="60">
        <f>'Raw Datas'!BW60</f>
        <v>13.761333333333333</v>
      </c>
      <c r="BZ13" s="60">
        <f>'Raw Datas'!BX60</f>
        <v>5.8702833333333331</v>
      </c>
      <c r="CA13" s="60">
        <f>'Raw Datas'!BY60</f>
        <v>1.9894000000000001</v>
      </c>
      <c r="CB13" s="60">
        <f>'Raw Datas'!BZ60</f>
        <v>1.2689999999999999</v>
      </c>
      <c r="CC13" s="60">
        <f>'Raw Datas'!CA60</f>
        <v>1.9005000000000001</v>
      </c>
      <c r="CD13" s="60">
        <f>'Raw Datas'!CB60</f>
        <v>0.6384333333333333</v>
      </c>
      <c r="CE13" s="60">
        <f>'Raw Datas'!CC60</f>
        <v>3.9367166666666669</v>
      </c>
      <c r="CF13" s="60">
        <f>'Raw Datas'!CD60</f>
        <v>2.16865</v>
      </c>
      <c r="CG13" s="60">
        <f>'Raw Datas'!CE60</f>
        <v>5.2502333333333331</v>
      </c>
      <c r="CH13" s="60">
        <f>'Raw Datas'!CF60</f>
        <v>2.4598500000000003</v>
      </c>
      <c r="CI13" s="60">
        <f>'Raw Datas'!CG60</f>
        <v>4.6652833333333339</v>
      </c>
      <c r="CJ13" s="60">
        <f>'Raw Datas'!CH60</f>
        <v>12.717700000000001</v>
      </c>
      <c r="CK13" s="60">
        <f>'Raw Datas'!CI60</f>
        <v>10.380683333333334</v>
      </c>
      <c r="CL13" s="60">
        <f>'Raw Datas'!CJ60</f>
        <v>3.0865111111111112</v>
      </c>
      <c r="CM13" s="60">
        <f>'Raw Datas'!CK60</f>
        <v>1.0974499999999998</v>
      </c>
      <c r="CN13" s="60">
        <f>'Raw Datas'!CL60</f>
        <v>2.2267833333333331</v>
      </c>
      <c r="CO13" s="60">
        <f>'Raw Datas'!CM60</f>
        <v>4.0452666666666666</v>
      </c>
      <c r="CP13" s="60">
        <f>'Raw Datas'!CN60</f>
        <v>2.8206333333333333</v>
      </c>
      <c r="CQ13" s="60">
        <f>'Raw Datas'!CO60</f>
        <v>2.1495333333333333</v>
      </c>
      <c r="CR13" s="60">
        <f>'Raw Datas'!CP60</f>
        <v>3.2200833333333332</v>
      </c>
      <c r="CS13" s="60">
        <f>'Raw Datas'!CQ60</f>
        <v>12.440733333333334</v>
      </c>
      <c r="CT13" s="60">
        <f>'Raw Datas'!CR60</f>
        <v>8.6179833333333349</v>
      </c>
      <c r="CU13" s="60">
        <f>'Raw Datas'!CS60</f>
        <v>2.5700166666666666</v>
      </c>
      <c r="CV13" s="60">
        <f>'Raw Datas'!CT60</f>
        <v>4.5895166666666665</v>
      </c>
      <c r="CW13" s="60">
        <f>'Raw Datas'!CU60</f>
        <v>1.9881166666666665</v>
      </c>
      <c r="CX13" s="60">
        <f>'Raw Datas'!CV60</f>
        <v>1.8176833333333335</v>
      </c>
      <c r="CY13" s="60">
        <f>'Raw Datas'!CW60</f>
        <v>3.2670999999999997</v>
      </c>
      <c r="CZ13" s="60">
        <f>'Raw Datas'!CX60</f>
        <v>5.218866666666667</v>
      </c>
      <c r="DA13" s="60">
        <f>'Raw Datas'!CY60</f>
        <v>2.1505833333333331</v>
      </c>
      <c r="DB13" s="60">
        <f>'Raw Datas'!CZ60</f>
        <v>1.0835666666666668</v>
      </c>
      <c r="DC13" s="60">
        <f>'Raw Datas'!DA60</f>
        <v>3.0396333333333332</v>
      </c>
      <c r="DD13" s="60">
        <f>'Raw Datas'!DB60</f>
        <v>0.6879333333333334</v>
      </c>
      <c r="DE13" s="60">
        <f>'Raw Datas'!DC60</f>
        <v>1.8708833333333337</v>
      </c>
      <c r="DF13" s="60">
        <f>'Raw Datas'!DD60</f>
        <v>1.2491333333333332</v>
      </c>
      <c r="DG13" s="60">
        <f>'Raw Datas'!DE60</f>
        <v>6.79155</v>
      </c>
      <c r="DH13" s="60">
        <f>'Raw Datas'!DF60</f>
        <v>0.45093333333333335</v>
      </c>
      <c r="DI13" s="60">
        <f>'Raw Datas'!DG60</f>
        <v>2.7001000000000004</v>
      </c>
      <c r="DJ13" s="60">
        <f>'Raw Datas'!DH60</f>
        <v>0.68399999999999994</v>
      </c>
      <c r="DK13" s="60">
        <f>'Raw Datas'!DI60</f>
        <v>5.9015666666666666</v>
      </c>
      <c r="DL13" s="60">
        <f>'Raw Datas'!DJ60</f>
        <v>4.5520666666666667</v>
      </c>
      <c r="DM13" s="60">
        <f>'Raw Datas'!DK60</f>
        <v>26.29623333333333</v>
      </c>
      <c r="DN13" s="60">
        <f>'Raw Datas'!DL60</f>
        <v>1.1548833333333333</v>
      </c>
      <c r="DO13" s="60">
        <f>'Raw Datas'!DM60</f>
        <v>4.2235500000000004</v>
      </c>
      <c r="DP13" s="60">
        <f>'Raw Datas'!DN60</f>
        <v>2.0501833333333335</v>
      </c>
      <c r="DQ13" s="60">
        <f>'Raw Datas'!DO60</f>
        <v>1.5254333333333332</v>
      </c>
      <c r="DR13" s="60">
        <f>'Raw Datas'!DP60</f>
        <v>10.295583333333333</v>
      </c>
      <c r="DS13" s="60">
        <f>'Raw Datas'!DQ60</f>
        <v>2.4192833333333335</v>
      </c>
      <c r="DT13" s="60">
        <f>'Raw Datas'!DR60</f>
        <v>1.3734666666666666</v>
      </c>
      <c r="DU13" s="60">
        <f>'Raw Datas'!DS60</f>
        <v>4.6083166666666662</v>
      </c>
      <c r="DV13" s="60">
        <f>'Raw Datas'!DT60</f>
        <v>8.0038999999999998</v>
      </c>
      <c r="DW13" s="60">
        <f>'Raw Datas'!DU60</f>
        <v>0.55554999999999999</v>
      </c>
      <c r="DX13" s="60">
        <f>'Raw Datas'!DV60</f>
        <v>2.6311166666666663</v>
      </c>
      <c r="DY13" s="60">
        <f>'Raw Datas'!DW60</f>
        <v>6.1408166666666668</v>
      </c>
      <c r="DZ13" s="60">
        <f>'Raw Datas'!DX60</f>
        <v>5.4051500000000008</v>
      </c>
      <c r="EA13" s="60">
        <f>'Raw Datas'!DY60</f>
        <v>3.3294000000000001</v>
      </c>
      <c r="EB13" s="60">
        <f>'Raw Datas'!DZ60</f>
        <v>1.7408499999999998</v>
      </c>
      <c r="EC13" s="60">
        <f>'Raw Datas'!EA60</f>
        <v>1.7896333333333334</v>
      </c>
      <c r="ED13" s="60">
        <f>'Raw Datas'!EB60</f>
        <v>2.5891499999999996</v>
      </c>
      <c r="EE13" s="60">
        <f>'Raw Datas'!EC60</f>
        <v>1.3482333333333332</v>
      </c>
      <c r="EF13" s="60">
        <f>'Raw Datas'!ED60</f>
        <v>5.2848166666666669</v>
      </c>
      <c r="EG13" s="60">
        <f>'Raw Datas'!EE60</f>
        <v>1.1072666666666668</v>
      </c>
      <c r="EH13" s="60">
        <f>'Raw Datas'!EF60</f>
        <v>2.5343166666666668</v>
      </c>
      <c r="EI13" s="60">
        <f>'Raw Datas'!EG60</f>
        <v>4.6315333333333335</v>
      </c>
      <c r="EJ13" s="60">
        <f>'Raw Datas'!EH60</f>
        <v>0.89990000000000003</v>
      </c>
      <c r="EK13" s="60">
        <f>'Raw Datas'!EI60</f>
        <v>1.5168666666666666</v>
      </c>
      <c r="EL13" s="60">
        <f>'Raw Datas'!EJ60</f>
        <v>10.573649999999999</v>
      </c>
      <c r="EM13" s="60">
        <f>'Raw Datas'!EK60</f>
        <v>1.0496833333333333</v>
      </c>
      <c r="EN13" s="60">
        <f>'Raw Datas'!EL60</f>
        <v>4.4422333333333333</v>
      </c>
      <c r="EO13" s="60">
        <f>'Raw Datas'!EM60</f>
        <v>26.979416666666665</v>
      </c>
      <c r="EP13" s="60">
        <f>'Raw Datas'!EN60</f>
        <v>1.1307666666666667</v>
      </c>
      <c r="EQ13" s="60">
        <f>'Raw Datas'!EO60</f>
        <v>0.85504999999999998</v>
      </c>
      <c r="ER13" s="60">
        <f>'Raw Datas'!EP60</f>
        <v>18.143050000000002</v>
      </c>
      <c r="ES13" s="60">
        <f>'Raw Datas'!EQ60</f>
        <v>1.6585666666666665</v>
      </c>
      <c r="ET13" s="60">
        <f>'Raw Datas'!ER60</f>
        <v>1.7807000000000002</v>
      </c>
      <c r="EU13" s="60">
        <f>'Raw Datas'!ES60</f>
        <v>1.4229166666666666</v>
      </c>
      <c r="EV13" s="60">
        <f>'Raw Datas'!ET60</f>
        <v>4.2159999999999993</v>
      </c>
      <c r="EW13" s="60">
        <f>'Raw Datas'!EU60</f>
        <v>3.1372333333333331</v>
      </c>
      <c r="EX13" s="60">
        <f>'Raw Datas'!EV60</f>
        <v>1.9058833333333332</v>
      </c>
      <c r="EY13" s="60">
        <f>'Raw Datas'!EW60</f>
        <v>4.0278999999999998</v>
      </c>
      <c r="EZ13" s="60">
        <f>'Raw Datas'!EX60</f>
        <v>2.8480500000000002</v>
      </c>
      <c r="FA13" s="60">
        <f>'Raw Datas'!EY60</f>
        <v>15.917216666666665</v>
      </c>
      <c r="FB13" s="60">
        <f>'Raw Datas'!EZ60</f>
        <v>3.0021166666666663</v>
      </c>
      <c r="FC13" s="60">
        <f>'Raw Datas'!FA60</f>
        <v>0.43641666666666673</v>
      </c>
      <c r="FD13" s="60">
        <f>'Raw Datas'!FB60</f>
        <v>1.6897666666666666</v>
      </c>
      <c r="FE13" s="60">
        <f>'Raw Datas'!FC60</f>
        <v>7.7181999999999995</v>
      </c>
      <c r="FF13" s="60">
        <f>'Raw Datas'!FD60</f>
        <v>1.4951666666666668</v>
      </c>
      <c r="FG13" s="60">
        <f>'Raw Datas'!FE60</f>
        <v>2.9089833333333335</v>
      </c>
      <c r="FH13" s="60">
        <f>'Raw Datas'!FF60</f>
        <v>9.6511999999999993</v>
      </c>
      <c r="FI13" s="60">
        <f>'Raw Datas'!FG60</f>
        <v>1.4154833333333334</v>
      </c>
      <c r="FJ13" s="60">
        <f>'Raw Datas'!FH60</f>
        <v>3.7048000000000001</v>
      </c>
      <c r="FK13" s="60">
        <f>'Raw Datas'!FI60</f>
        <v>0.77341666666666664</v>
      </c>
      <c r="FL13" s="60">
        <f>'Raw Datas'!FJ60</f>
        <v>4.887716666666666</v>
      </c>
      <c r="FM13" s="60">
        <f>'Raw Datas'!FK60</f>
        <v>14.942933333333334</v>
      </c>
      <c r="FN13" s="60">
        <f>'Raw Datas'!FL60</f>
        <v>4.2063999999999995</v>
      </c>
      <c r="FO13" s="60">
        <f>'Raw Datas'!FM60</f>
        <v>3.8973999999999998</v>
      </c>
      <c r="FP13" s="60">
        <f>'Raw Datas'!FN60</f>
        <v>6.5280499999999995</v>
      </c>
      <c r="FQ13" s="60">
        <f>'Raw Datas'!FO60</f>
        <v>2.8630500000000003</v>
      </c>
    </row>
    <row r="14" spans="1:173" x14ac:dyDescent="0.2">
      <c r="A14" s="117"/>
      <c r="B14" s="97" t="s">
        <v>297</v>
      </c>
      <c r="C14" s="104" t="s">
        <v>733</v>
      </c>
      <c r="D14" s="104"/>
      <c r="E14" s="60">
        <f>'Raw Datas'!C61</f>
        <v>1.7366166666666667</v>
      </c>
      <c r="F14" s="60">
        <f>'Raw Datas'!D61</f>
        <v>0.71836666666666671</v>
      </c>
      <c r="G14" s="60" t="str">
        <f>'Raw Datas'!E61</f>
        <v>0</v>
      </c>
      <c r="H14" s="60">
        <f>'Raw Datas'!F61</f>
        <v>6.3590499999999999</v>
      </c>
      <c r="I14" s="60">
        <f>'Raw Datas'!G61</f>
        <v>0.56305000000000005</v>
      </c>
      <c r="J14" s="60">
        <f>'Raw Datas'!H61</f>
        <v>0.18223333333333333</v>
      </c>
      <c r="K14" s="60">
        <f>'Raw Datas'!I61</f>
        <v>0.13431666666666667</v>
      </c>
      <c r="L14" s="60">
        <f>'Raw Datas'!J61</f>
        <v>0.13605</v>
      </c>
      <c r="M14" s="60">
        <f>'Raw Datas'!K61</f>
        <v>0.54538333333333333</v>
      </c>
      <c r="N14" s="60">
        <f>'Raw Datas'!L61</f>
        <v>1.8104</v>
      </c>
      <c r="O14" s="60">
        <f>'Raw Datas'!M61</f>
        <v>0.35443333333333332</v>
      </c>
      <c r="P14" s="60">
        <f>'Raw Datas'!N61</f>
        <v>0.16271666666666668</v>
      </c>
      <c r="Q14" s="60">
        <f>'Raw Datas'!O61</f>
        <v>0.12871666666666667</v>
      </c>
      <c r="R14" s="60">
        <f>'Raw Datas'!P61</f>
        <v>2.1054666666666666</v>
      </c>
      <c r="S14" s="60">
        <f>'Raw Datas'!Q61</f>
        <v>2.1631666666666667</v>
      </c>
      <c r="T14" s="60">
        <f>'Raw Datas'!R61</f>
        <v>22.376783333333336</v>
      </c>
      <c r="U14" s="60">
        <f>'Raw Datas'!S61</f>
        <v>1.25685</v>
      </c>
      <c r="V14" s="60">
        <f>'Raw Datas'!T61</f>
        <v>0.38958333333333334</v>
      </c>
      <c r="W14" s="60">
        <f>'Raw Datas'!U61</f>
        <v>1.9275333333333335</v>
      </c>
      <c r="X14" s="60">
        <f>'Raw Datas'!V61</f>
        <v>0.27506666666666668</v>
      </c>
      <c r="Y14" s="60">
        <f>'Raw Datas'!W61</f>
        <v>0.14605714285714286</v>
      </c>
      <c r="Z14" s="60" t="str">
        <f>'Raw Datas'!X61</f>
        <v>0</v>
      </c>
      <c r="AA14" s="60">
        <f>'Raw Datas'!Y61</f>
        <v>0.34534999999999993</v>
      </c>
      <c r="AB14" s="60">
        <f>'Raw Datas'!Z61</f>
        <v>0.55720000000000003</v>
      </c>
      <c r="AC14" s="60">
        <f>'Raw Datas'!AA61</f>
        <v>0.96995000000000009</v>
      </c>
      <c r="AD14" s="60">
        <f>'Raw Datas'!AB61</f>
        <v>0.22543333333333332</v>
      </c>
      <c r="AE14" s="60">
        <f>'Raw Datas'!AC61</f>
        <v>1.0232333333333334</v>
      </c>
      <c r="AF14" s="60">
        <f>'Raw Datas'!AD61</f>
        <v>0.37846666666666662</v>
      </c>
      <c r="AG14" s="60">
        <f>'Raw Datas'!AE61</f>
        <v>0.24938333333333332</v>
      </c>
      <c r="AH14" s="60">
        <f>'Raw Datas'!AF61</f>
        <v>0.19841666666666666</v>
      </c>
      <c r="AI14" s="60">
        <f>'Raw Datas'!AG61</f>
        <v>0.79700000000000004</v>
      </c>
      <c r="AJ14" s="60">
        <f>'Raw Datas'!AH61</f>
        <v>8.4783333333333349E-2</v>
      </c>
      <c r="AK14" s="60">
        <f>'Raw Datas'!AI61</f>
        <v>1.6158333333333335</v>
      </c>
      <c r="AL14" s="60">
        <f>'Raw Datas'!AJ61</f>
        <v>0.43701666666666666</v>
      </c>
      <c r="AM14" s="60">
        <f>'Raw Datas'!AK61</f>
        <v>0.16128333333333333</v>
      </c>
      <c r="AN14" s="60">
        <f>'Raw Datas'!AL61</f>
        <v>0.64639999999999997</v>
      </c>
      <c r="AO14" s="60">
        <f>'Raw Datas'!AM61</f>
        <v>0.6136166666666667</v>
      </c>
      <c r="AP14" s="60">
        <f>'Raw Datas'!AN61</f>
        <v>0.59200000000000008</v>
      </c>
      <c r="AQ14" s="60">
        <f>'Raw Datas'!AO61</f>
        <v>0.25989999999999996</v>
      </c>
      <c r="AR14" s="60">
        <f>'Raw Datas'!AP61</f>
        <v>0.25045000000000001</v>
      </c>
      <c r="AS14" s="60">
        <f>'Raw Datas'!AQ61</f>
        <v>3.4628666666666663</v>
      </c>
      <c r="AT14" s="60">
        <f>'Raw Datas'!AR61</f>
        <v>0.26078333333333331</v>
      </c>
      <c r="AU14" s="60">
        <f>'Raw Datas'!AS61</f>
        <v>1.5863</v>
      </c>
      <c r="AV14" s="60">
        <f>'Raw Datas'!AT61</f>
        <v>1.3319833333333333</v>
      </c>
      <c r="AW14" s="60" t="str">
        <f>'Raw Datas'!AU61</f>
        <v>0</v>
      </c>
      <c r="AX14" s="60">
        <f>'Raw Datas'!AV61</f>
        <v>0.38492000000000004</v>
      </c>
      <c r="AY14" s="60">
        <f>'Raw Datas'!AW61</f>
        <v>0.24148333333333336</v>
      </c>
      <c r="AZ14" s="60">
        <f>'Raw Datas'!AX61</f>
        <v>0.53986666666666661</v>
      </c>
      <c r="BA14" s="60">
        <f>'Raw Datas'!AY61</f>
        <v>0.76795000000000013</v>
      </c>
      <c r="BB14" s="60">
        <f>'Raw Datas'!AZ61</f>
        <v>0.54946666666666677</v>
      </c>
      <c r="BC14" s="60">
        <f>'Raw Datas'!BA61</f>
        <v>0.34111666666666662</v>
      </c>
      <c r="BD14" s="60">
        <f>'Raw Datas'!BB61</f>
        <v>0.32615000000000005</v>
      </c>
      <c r="BE14" s="60">
        <f>'Raw Datas'!BC61</f>
        <v>0.10641666666666666</v>
      </c>
      <c r="BF14" s="60">
        <f>'Raw Datas'!BD61</f>
        <v>0.45945000000000003</v>
      </c>
      <c r="BG14" s="60">
        <f>'Raw Datas'!BE61</f>
        <v>0.747</v>
      </c>
      <c r="BH14" s="60">
        <f>'Raw Datas'!BF61</f>
        <v>2.2762000000000002</v>
      </c>
      <c r="BI14" s="60">
        <f>'Raw Datas'!BG61</f>
        <v>0.11643333333333333</v>
      </c>
      <c r="BJ14" s="60">
        <f>'Raw Datas'!BH61</f>
        <v>0.3031166666666667</v>
      </c>
      <c r="BK14" s="60">
        <f>'Raw Datas'!BI61</f>
        <v>0.91311666666666669</v>
      </c>
      <c r="BL14" s="60">
        <f>'Raw Datas'!BJ61</f>
        <v>11.545350000000001</v>
      </c>
      <c r="BM14" s="60">
        <f>'Raw Datas'!BK61</f>
        <v>0.66601666666666659</v>
      </c>
      <c r="BN14" s="60">
        <f>'Raw Datas'!BL61</f>
        <v>6.5078333333333331</v>
      </c>
      <c r="BO14" s="60">
        <f>'Raw Datas'!BM61</f>
        <v>7.9515999999999991</v>
      </c>
      <c r="BP14" s="60">
        <f>'Raw Datas'!BN61</f>
        <v>12.03795</v>
      </c>
      <c r="BQ14" s="60">
        <f>'Raw Datas'!BO61</f>
        <v>5.4915333333333329</v>
      </c>
      <c r="BR14" s="60">
        <f>'Raw Datas'!BP61</f>
        <v>4.3374833333333331</v>
      </c>
      <c r="BS14" s="60">
        <f>'Raw Datas'!BQ61</f>
        <v>1.30985</v>
      </c>
      <c r="BT14" s="60">
        <f>'Raw Datas'!BR61</f>
        <v>0.13900000000000001</v>
      </c>
      <c r="BU14" s="60">
        <f>'Raw Datas'!BS61</f>
        <v>2.4260499999999996</v>
      </c>
      <c r="BV14" s="60">
        <f>'Raw Datas'!BT61</f>
        <v>1.0128999999999999</v>
      </c>
      <c r="BW14" s="60">
        <f>'Raw Datas'!BU61</f>
        <v>1.73855</v>
      </c>
      <c r="BX14" s="60">
        <f>'Raw Datas'!BV61</f>
        <v>1.2248666666666665</v>
      </c>
      <c r="BY14" s="60">
        <f>'Raw Datas'!BW61</f>
        <v>1.3663833333333335</v>
      </c>
      <c r="BZ14" s="60">
        <f>'Raw Datas'!BX61</f>
        <v>0.38970000000000005</v>
      </c>
      <c r="CA14" s="60">
        <f>'Raw Datas'!BY61</f>
        <v>0.95403333333333329</v>
      </c>
      <c r="CB14" s="60">
        <f>'Raw Datas'!BZ61</f>
        <v>0.97865000000000002</v>
      </c>
      <c r="CC14" s="60">
        <f>'Raw Datas'!CA61</f>
        <v>0.61681666666666668</v>
      </c>
      <c r="CD14" s="60">
        <f>'Raw Datas'!CB61</f>
        <v>0.7456666666666667</v>
      </c>
      <c r="CE14" s="60">
        <f>'Raw Datas'!CC61</f>
        <v>0.34073333333333333</v>
      </c>
      <c r="CF14" s="60">
        <f>'Raw Datas'!CD61</f>
        <v>0.53456666666666663</v>
      </c>
      <c r="CG14" s="60">
        <f>'Raw Datas'!CE61</f>
        <v>0.42699999999999994</v>
      </c>
      <c r="CH14" s="60">
        <f>'Raw Datas'!CF61</f>
        <v>0.51063333333333338</v>
      </c>
      <c r="CI14" s="60">
        <f>'Raw Datas'!CG61</f>
        <v>0.88746666666666663</v>
      </c>
      <c r="CJ14" s="60">
        <f>'Raw Datas'!CH61</f>
        <v>0.49783333333333335</v>
      </c>
      <c r="CK14" s="60">
        <f>'Raw Datas'!CI61</f>
        <v>1.9509666666666665</v>
      </c>
      <c r="CL14" s="60">
        <f>'Raw Datas'!CJ61</f>
        <v>0.28211111111111109</v>
      </c>
      <c r="CM14" s="60">
        <f>'Raw Datas'!CK61</f>
        <v>7.768333333333334E-2</v>
      </c>
      <c r="CN14" s="60">
        <f>'Raw Datas'!CL61</f>
        <v>0.16593333333333332</v>
      </c>
      <c r="CO14" s="60">
        <f>'Raw Datas'!CM61</f>
        <v>0.61809999999999998</v>
      </c>
      <c r="CP14" s="60">
        <f>'Raw Datas'!CN61</f>
        <v>0.34671666666666662</v>
      </c>
      <c r="CQ14" s="60">
        <f>'Raw Datas'!CO61</f>
        <v>0.15629999999999999</v>
      </c>
      <c r="CR14" s="60">
        <f>'Raw Datas'!CP61</f>
        <v>0.84433333333333327</v>
      </c>
      <c r="CS14" s="60">
        <f>'Raw Datas'!CQ61</f>
        <v>0.26824999999999999</v>
      </c>
      <c r="CT14" s="60">
        <f>'Raw Datas'!CR61</f>
        <v>4.9625833333333329</v>
      </c>
      <c r="CU14" s="60">
        <f>'Raw Datas'!CS61</f>
        <v>0.10801666666666666</v>
      </c>
      <c r="CV14" s="60">
        <f>'Raw Datas'!CT61</f>
        <v>0.96851666666666658</v>
      </c>
      <c r="CW14" s="60">
        <f>'Raw Datas'!CU61</f>
        <v>0.39220000000000005</v>
      </c>
      <c r="CX14" s="60" t="str">
        <f>'Raw Datas'!CV61</f>
        <v>0</v>
      </c>
      <c r="CY14" s="60">
        <f>'Raw Datas'!CW61</f>
        <v>1.1581333333333332</v>
      </c>
      <c r="CZ14" s="60">
        <f>'Raw Datas'!CX61</f>
        <v>0.76980000000000004</v>
      </c>
      <c r="DA14" s="60">
        <f>'Raw Datas'!CY61</f>
        <v>6.2233333333333335E-2</v>
      </c>
      <c r="DB14" s="60" t="str">
        <f>'Raw Datas'!CZ61</f>
        <v>0</v>
      </c>
      <c r="DC14" s="60" t="str">
        <f>'Raw Datas'!DA61</f>
        <v>0</v>
      </c>
      <c r="DD14" s="60">
        <f>'Raw Datas'!DB61</f>
        <v>7.3633333333333342E-2</v>
      </c>
      <c r="DE14" s="60">
        <f>'Raw Datas'!DC61</f>
        <v>0.87911666666666666</v>
      </c>
      <c r="DF14" s="60" t="str">
        <f>'Raw Datas'!DD61</f>
        <v>0</v>
      </c>
      <c r="DG14" s="60" t="str">
        <f>'Raw Datas'!DE61</f>
        <v>0</v>
      </c>
      <c r="DH14" s="60">
        <f>'Raw Datas'!DF61</f>
        <v>0.23559999999999998</v>
      </c>
      <c r="DI14" s="60">
        <f>'Raw Datas'!DG61</f>
        <v>1.4722833333333334</v>
      </c>
      <c r="DJ14" s="60">
        <f>'Raw Datas'!DH61</f>
        <v>0.18509999999999999</v>
      </c>
      <c r="DK14" s="60">
        <f>'Raw Datas'!DI61</f>
        <v>0.47636666666666666</v>
      </c>
      <c r="DL14" s="60">
        <f>'Raw Datas'!DJ61</f>
        <v>0.83828333333333327</v>
      </c>
      <c r="DM14" s="60">
        <f>'Raw Datas'!DK61</f>
        <v>2.2659499999999997</v>
      </c>
      <c r="DN14" s="60">
        <f>'Raw Datas'!DL61</f>
        <v>0.12746666666666667</v>
      </c>
      <c r="DO14" s="60">
        <f>'Raw Datas'!DM61</f>
        <v>0.41606666666666664</v>
      </c>
      <c r="DP14" s="60">
        <f>'Raw Datas'!DN61</f>
        <v>0.11513333333333332</v>
      </c>
      <c r="DQ14" s="60">
        <f>'Raw Datas'!DO61</f>
        <v>0.12051666666666666</v>
      </c>
      <c r="DR14" s="60">
        <f>'Raw Datas'!DP61</f>
        <v>0.38401666666666667</v>
      </c>
      <c r="DS14" s="60">
        <f>'Raw Datas'!DQ61</f>
        <v>1.1712166666666666</v>
      </c>
      <c r="DT14" s="60">
        <f>'Raw Datas'!DR61</f>
        <v>0.34128333333333327</v>
      </c>
      <c r="DU14" s="60" t="str">
        <f>'Raw Datas'!DS61</f>
        <v>0</v>
      </c>
      <c r="DV14" s="60">
        <f>'Raw Datas'!DT61</f>
        <v>9.9916666666666668E-2</v>
      </c>
      <c r="DW14" s="60">
        <f>'Raw Datas'!DU61</f>
        <v>0.52241666666666664</v>
      </c>
      <c r="DX14" s="60">
        <f>'Raw Datas'!DV61</f>
        <v>0.31688333333333329</v>
      </c>
      <c r="DY14" s="60">
        <f>'Raw Datas'!DW61</f>
        <v>0.3701666666666667</v>
      </c>
      <c r="DZ14" s="60" t="str">
        <f>'Raw Datas'!DX61</f>
        <v>0</v>
      </c>
      <c r="EA14" s="60" t="str">
        <f>'Raw Datas'!DY61</f>
        <v>0</v>
      </c>
      <c r="EB14" s="60">
        <f>'Raw Datas'!DZ61</f>
        <v>5.673333333333333E-2</v>
      </c>
      <c r="EC14" s="60">
        <f>'Raw Datas'!EA61</f>
        <v>0.50541666666666674</v>
      </c>
      <c r="ED14" s="60">
        <f>'Raw Datas'!EB61</f>
        <v>0.70714999999999995</v>
      </c>
      <c r="EE14" s="60">
        <f>'Raw Datas'!EC61</f>
        <v>1.03155</v>
      </c>
      <c r="EF14" s="60">
        <f>'Raw Datas'!ED61</f>
        <v>0.24031666666666668</v>
      </c>
      <c r="EG14" s="60" t="str">
        <f>'Raw Datas'!EE61</f>
        <v>0</v>
      </c>
      <c r="EH14" s="60">
        <f>'Raw Datas'!EF61</f>
        <v>1.9820833333333332</v>
      </c>
      <c r="EI14" s="60">
        <f>'Raw Datas'!EG61</f>
        <v>1.9154333333333331</v>
      </c>
      <c r="EJ14" s="60">
        <f>'Raw Datas'!EH61</f>
        <v>0.39228333333333332</v>
      </c>
      <c r="EK14" s="60">
        <f>'Raw Datas'!EI61</f>
        <v>0.1736</v>
      </c>
      <c r="EL14" s="60">
        <f>'Raw Datas'!EJ61</f>
        <v>0.71268333333333322</v>
      </c>
      <c r="EM14" s="60" t="str">
        <f>'Raw Datas'!EK61</f>
        <v>0</v>
      </c>
      <c r="EN14" s="60">
        <f>'Raw Datas'!EL61</f>
        <v>0.26565</v>
      </c>
      <c r="EO14" s="60">
        <f>'Raw Datas'!EM61</f>
        <v>2.1881166666666667</v>
      </c>
      <c r="EP14" s="60">
        <f>'Raw Datas'!EN61</f>
        <v>2.4951166666666666</v>
      </c>
      <c r="EQ14" s="60">
        <f>'Raw Datas'!EO61</f>
        <v>0.67448333333333332</v>
      </c>
      <c r="ER14" s="60">
        <f>'Raw Datas'!EP61</f>
        <v>0.55390000000000006</v>
      </c>
      <c r="ES14" s="60">
        <f>'Raw Datas'!EQ61</f>
        <v>0.20066666666666666</v>
      </c>
      <c r="ET14" s="60">
        <f>'Raw Datas'!ER61</f>
        <v>0.33578333333333332</v>
      </c>
      <c r="EU14" s="60">
        <f>'Raw Datas'!ES61</f>
        <v>0.28249999999999997</v>
      </c>
      <c r="EV14" s="60">
        <f>'Raw Datas'!ET61</f>
        <v>0.73066666666666669</v>
      </c>
      <c r="EW14" s="60">
        <f>'Raw Datas'!EU61</f>
        <v>0.56806666666666661</v>
      </c>
      <c r="EX14" s="60">
        <f>'Raw Datas'!EV61</f>
        <v>0.96340000000000003</v>
      </c>
      <c r="EY14" s="60">
        <f>'Raw Datas'!EW61</f>
        <v>0.66979999999999995</v>
      </c>
      <c r="EZ14" s="60">
        <f>'Raw Datas'!EX61</f>
        <v>0.31340000000000001</v>
      </c>
      <c r="FA14" s="60">
        <f>'Raw Datas'!EY61</f>
        <v>0.92658333333333331</v>
      </c>
      <c r="FB14" s="60">
        <f>'Raw Datas'!EZ61</f>
        <v>3.1274666666666673</v>
      </c>
      <c r="FC14" s="60" t="str">
        <f>'Raw Datas'!FA61</f>
        <v>0</v>
      </c>
      <c r="FD14" s="60">
        <f>'Raw Datas'!FB61</f>
        <v>0.18431666666666668</v>
      </c>
      <c r="FE14" s="60">
        <f>'Raw Datas'!FC61</f>
        <v>0.57535000000000003</v>
      </c>
      <c r="FF14" s="60">
        <f>'Raw Datas'!FD61</f>
        <v>0.31064999999999998</v>
      </c>
      <c r="FG14" s="60">
        <f>'Raw Datas'!FE61</f>
        <v>0.73578333333333334</v>
      </c>
      <c r="FH14" s="60">
        <f>'Raw Datas'!FF61</f>
        <v>0.30940000000000001</v>
      </c>
      <c r="FI14" s="60">
        <f>'Raw Datas'!FG61</f>
        <v>0.45686666666666664</v>
      </c>
      <c r="FJ14" s="60">
        <f>'Raw Datas'!FH61</f>
        <v>0.31839999999999996</v>
      </c>
      <c r="FK14" s="60">
        <f>'Raw Datas'!FI61</f>
        <v>0.86306666666666665</v>
      </c>
      <c r="FL14" s="60">
        <f>'Raw Datas'!FJ61</f>
        <v>0.71819999999999995</v>
      </c>
      <c r="FM14" s="60" t="str">
        <f>'Raw Datas'!FK61</f>
        <v>0</v>
      </c>
      <c r="FN14" s="60">
        <f>'Raw Datas'!FL61</f>
        <v>0.76518333333333333</v>
      </c>
      <c r="FO14" s="60">
        <f>'Raw Datas'!FM61</f>
        <v>0.82568333333333344</v>
      </c>
      <c r="FP14" s="60">
        <f>'Raw Datas'!FN61</f>
        <v>0.13568333333333332</v>
      </c>
      <c r="FQ14" s="60">
        <f>'Raw Datas'!FO61</f>
        <v>0.18566666666666667</v>
      </c>
    </row>
    <row r="15" spans="1:173" x14ac:dyDescent="0.2">
      <c r="A15" s="117"/>
      <c r="B15" s="97" t="s">
        <v>307</v>
      </c>
      <c r="C15" s="104" t="s">
        <v>734</v>
      </c>
      <c r="D15" s="104"/>
      <c r="E15" s="60">
        <f>'Raw Datas'!C62</f>
        <v>2.0874000000000001</v>
      </c>
      <c r="F15" s="60">
        <f>'Raw Datas'!D62</f>
        <v>0.94246666666666667</v>
      </c>
      <c r="G15" s="60" t="str">
        <f>'Raw Datas'!E62</f>
        <v>0</v>
      </c>
      <c r="H15" s="60">
        <f>'Raw Datas'!F62</f>
        <v>7.4809499999999991</v>
      </c>
      <c r="I15" s="60">
        <f>'Raw Datas'!G62</f>
        <v>2.3149500000000001</v>
      </c>
      <c r="J15" s="60">
        <f>'Raw Datas'!H62</f>
        <v>0.62655000000000005</v>
      </c>
      <c r="K15" s="60" t="str">
        <f>'Raw Datas'!I62</f>
        <v>0</v>
      </c>
      <c r="L15" s="60">
        <f>'Raw Datas'!J62</f>
        <v>0.23433333333333331</v>
      </c>
      <c r="M15" s="60">
        <f>'Raw Datas'!K62</f>
        <v>0.69608333333333339</v>
      </c>
      <c r="N15" s="60">
        <f>'Raw Datas'!L62</f>
        <v>1.7445333333333333</v>
      </c>
      <c r="O15" s="60">
        <f>'Raw Datas'!M62</f>
        <v>0.96788333333333321</v>
      </c>
      <c r="P15" s="60">
        <f>'Raw Datas'!N62</f>
        <v>0.36826666666666669</v>
      </c>
      <c r="Q15" s="60" t="str">
        <f>'Raw Datas'!O62</f>
        <v>0</v>
      </c>
      <c r="R15" s="60">
        <f>'Raw Datas'!P62</f>
        <v>2.5803833333333333</v>
      </c>
      <c r="S15" s="60">
        <f>'Raw Datas'!Q62</f>
        <v>2.3722666666666665</v>
      </c>
      <c r="T15" s="60">
        <f>'Raw Datas'!R62</f>
        <v>28.768883333333335</v>
      </c>
      <c r="U15" s="60">
        <f>'Raw Datas'!S62</f>
        <v>1.7806666666666664</v>
      </c>
      <c r="V15" s="60">
        <f>'Raw Datas'!T62</f>
        <v>0.5339166666666666</v>
      </c>
      <c r="W15" s="60">
        <f>'Raw Datas'!U62</f>
        <v>1.57395</v>
      </c>
      <c r="X15" s="60">
        <f>'Raw Datas'!V62</f>
        <v>0.80006666666666659</v>
      </c>
      <c r="Y15" s="60">
        <f>'Raw Datas'!W62</f>
        <v>0.7006</v>
      </c>
      <c r="Z15" s="60" t="str">
        <f>'Raw Datas'!X62</f>
        <v>0</v>
      </c>
      <c r="AA15" s="60" t="str">
        <f>'Raw Datas'!Y62</f>
        <v>0</v>
      </c>
      <c r="AB15" s="60">
        <f>'Raw Datas'!Z62</f>
        <v>1.6514800000000003</v>
      </c>
      <c r="AC15" s="60">
        <f>'Raw Datas'!AA62</f>
        <v>1.12435</v>
      </c>
      <c r="AD15" s="60" t="str">
        <f>'Raw Datas'!AB62</f>
        <v>0</v>
      </c>
      <c r="AE15" s="60">
        <f>'Raw Datas'!AC62</f>
        <v>0.84866666666666657</v>
      </c>
      <c r="AF15" s="60">
        <f>'Raw Datas'!AD62</f>
        <v>1.2844833333333334</v>
      </c>
      <c r="AG15" s="60" t="str">
        <f>'Raw Datas'!AE62</f>
        <v>0</v>
      </c>
      <c r="AH15" s="60">
        <f>'Raw Datas'!AF62</f>
        <v>2.8666166666666668</v>
      </c>
      <c r="AI15" s="60">
        <f>'Raw Datas'!AG62</f>
        <v>2.9718333333333335</v>
      </c>
      <c r="AJ15" s="60">
        <f>'Raw Datas'!AH62</f>
        <v>0.5259166666666667</v>
      </c>
      <c r="AK15" s="60">
        <f>'Raw Datas'!AI62</f>
        <v>4.0964833333333335</v>
      </c>
      <c r="AL15" s="60" t="str">
        <f>'Raw Datas'!AJ62</f>
        <v>0</v>
      </c>
      <c r="AM15" s="60">
        <f>'Raw Datas'!AK62</f>
        <v>0.24168333333333333</v>
      </c>
      <c r="AN15" s="60">
        <f>'Raw Datas'!AL62</f>
        <v>3.1710166666666666</v>
      </c>
      <c r="AO15" s="60" t="str">
        <f>'Raw Datas'!AM62</f>
        <v>0</v>
      </c>
      <c r="AP15" s="60">
        <f>'Raw Datas'!AN62</f>
        <v>1.0540166666666666</v>
      </c>
      <c r="AQ15" s="60">
        <f>'Raw Datas'!AO62</f>
        <v>0.36150000000000004</v>
      </c>
      <c r="AR15" s="60" t="str">
        <f>'Raw Datas'!AP62</f>
        <v>0</v>
      </c>
      <c r="AS15" s="60">
        <f>'Raw Datas'!AQ62</f>
        <v>3.9498833333333332</v>
      </c>
      <c r="AT15" s="60">
        <f>'Raw Datas'!AR62</f>
        <v>0.61403333333333332</v>
      </c>
      <c r="AU15" s="60">
        <f>'Raw Datas'!AS62</f>
        <v>18.822949999999999</v>
      </c>
      <c r="AV15" s="60">
        <f>'Raw Datas'!AT62</f>
        <v>12.503366666666667</v>
      </c>
      <c r="AW15" s="60" t="str">
        <f>'Raw Datas'!AU62</f>
        <v>0</v>
      </c>
      <c r="AX15" s="60" t="str">
        <f>'Raw Datas'!AV62</f>
        <v>0</v>
      </c>
      <c r="AY15" s="60">
        <f>'Raw Datas'!AW62</f>
        <v>0.54333333333333322</v>
      </c>
      <c r="AZ15" s="60">
        <f>'Raw Datas'!AX62</f>
        <v>1.9587333333333334</v>
      </c>
      <c r="BA15" s="60">
        <f>'Raw Datas'!AY62</f>
        <v>0.85115000000000007</v>
      </c>
      <c r="BB15" s="60">
        <f>'Raw Datas'!AZ62</f>
        <v>0.20793333333333336</v>
      </c>
      <c r="BC15" s="60">
        <f>'Raw Datas'!BA62</f>
        <v>3.7864</v>
      </c>
      <c r="BD15" s="60">
        <f>'Raw Datas'!BB62</f>
        <v>0.57716666666666672</v>
      </c>
      <c r="BE15" s="60" t="str">
        <f>'Raw Datas'!BC62</f>
        <v>0</v>
      </c>
      <c r="BF15" s="60">
        <f>'Raw Datas'!BD62</f>
        <v>0.64288333333333336</v>
      </c>
      <c r="BG15" s="60">
        <f>'Raw Datas'!BE62</f>
        <v>0.55271666666666663</v>
      </c>
      <c r="BH15" s="60">
        <f>'Raw Datas'!BF62</f>
        <v>6.6915166666666668</v>
      </c>
      <c r="BI15" s="60">
        <f>'Raw Datas'!BG62</f>
        <v>0.49513333333333337</v>
      </c>
      <c r="BJ15" s="60" t="str">
        <f>'Raw Datas'!BH62</f>
        <v>0</v>
      </c>
      <c r="BK15" s="60">
        <f>'Raw Datas'!BI62</f>
        <v>1.4092500000000001</v>
      </c>
      <c r="BL15" s="60">
        <f>'Raw Datas'!BJ62</f>
        <v>9.7644000000000002</v>
      </c>
      <c r="BM15" s="60">
        <f>'Raw Datas'!BK62</f>
        <v>1.8091999999999999</v>
      </c>
      <c r="BN15" s="60">
        <f>'Raw Datas'!BL62</f>
        <v>17.996166666666667</v>
      </c>
      <c r="BO15" s="60">
        <f>'Raw Datas'!BM62</f>
        <v>22.619914285714287</v>
      </c>
      <c r="BP15" s="60">
        <f>'Raw Datas'!BN62</f>
        <v>24.517833333333332</v>
      </c>
      <c r="BQ15" s="60">
        <f>'Raw Datas'!BO62</f>
        <v>21.198116666666667</v>
      </c>
      <c r="BR15" s="60">
        <f>'Raw Datas'!BP62</f>
        <v>19.414949999999997</v>
      </c>
      <c r="BS15" s="60">
        <f>'Raw Datas'!BQ62</f>
        <v>1.5157999999999998</v>
      </c>
      <c r="BT15" s="60">
        <f>'Raw Datas'!BR62</f>
        <v>0.31062857142857142</v>
      </c>
      <c r="BU15" s="60">
        <f>'Raw Datas'!BS62</f>
        <v>7.9348999999999998</v>
      </c>
      <c r="BV15" s="60">
        <f>'Raw Datas'!BT62</f>
        <v>3.8856666666666664</v>
      </c>
      <c r="BW15" s="60">
        <f>'Raw Datas'!BU62</f>
        <v>3.7905500000000005</v>
      </c>
      <c r="BX15" s="60">
        <f>'Raw Datas'!BV62</f>
        <v>1.84365</v>
      </c>
      <c r="BY15" s="60">
        <f>'Raw Datas'!BW62</f>
        <v>6.6251666666666669</v>
      </c>
      <c r="BZ15" s="60">
        <f>'Raw Datas'!BX62</f>
        <v>0.4216333333333333</v>
      </c>
      <c r="CA15" s="60">
        <f>'Raw Datas'!BY62</f>
        <v>2.1546333333333334</v>
      </c>
      <c r="CB15" s="60">
        <f>'Raw Datas'!BZ62</f>
        <v>1.5811333333333335</v>
      </c>
      <c r="CC15" s="60">
        <f>'Raw Datas'!CA62</f>
        <v>1.6207833333333332</v>
      </c>
      <c r="CD15" s="60">
        <f>'Raw Datas'!CB62</f>
        <v>1.62235</v>
      </c>
      <c r="CE15" s="60">
        <f>'Raw Datas'!CC62</f>
        <v>0.80251666666666677</v>
      </c>
      <c r="CF15" s="60">
        <f>'Raw Datas'!CD62</f>
        <v>1.486</v>
      </c>
      <c r="CG15" s="60">
        <f>'Raw Datas'!CE62</f>
        <v>3.3117333333333336</v>
      </c>
      <c r="CH15" s="60">
        <f>'Raw Datas'!CF62</f>
        <v>1.6281666666666665</v>
      </c>
      <c r="CI15" s="60">
        <f>'Raw Datas'!CG62</f>
        <v>0.9052</v>
      </c>
      <c r="CJ15" s="60">
        <f>'Raw Datas'!CH62</f>
        <v>0.78446666666666676</v>
      </c>
      <c r="CK15" s="60">
        <f>'Raw Datas'!CI62</f>
        <v>2.0768666666666666</v>
      </c>
      <c r="CL15" s="60">
        <f>'Raw Datas'!CJ62</f>
        <v>0.86257777777777789</v>
      </c>
      <c r="CM15" s="60" t="str">
        <f>'Raw Datas'!CK62</f>
        <v>0</v>
      </c>
      <c r="CN15" s="60">
        <f>'Raw Datas'!CL62</f>
        <v>0.61460000000000004</v>
      </c>
      <c r="CO15" s="60">
        <f>'Raw Datas'!CM62</f>
        <v>0.9503666666666668</v>
      </c>
      <c r="CP15" s="60" t="str">
        <f>'Raw Datas'!CN62</f>
        <v>0</v>
      </c>
      <c r="CQ15" s="60">
        <f>'Raw Datas'!CO62</f>
        <v>0.4699666666666667</v>
      </c>
      <c r="CR15" s="60">
        <f>'Raw Datas'!CP62</f>
        <v>1.6422166666666669</v>
      </c>
      <c r="CS15" s="60">
        <f>'Raw Datas'!CQ62</f>
        <v>1.2733833333333331</v>
      </c>
      <c r="CT15" s="60">
        <f>'Raw Datas'!CR62</f>
        <v>6.2250499999999995</v>
      </c>
      <c r="CU15" s="60">
        <f>'Raw Datas'!CS62</f>
        <v>0.45236666666666664</v>
      </c>
      <c r="CV15" s="60">
        <f>'Raw Datas'!CT62</f>
        <v>0.58261666666666667</v>
      </c>
      <c r="CW15" s="60">
        <f>'Raw Datas'!CU62</f>
        <v>1.0717333333333334</v>
      </c>
      <c r="CX15" s="60" t="str">
        <f>'Raw Datas'!CV62</f>
        <v>0</v>
      </c>
      <c r="CY15" s="60">
        <f>'Raw Datas'!CW62</f>
        <v>1.1210333333333333</v>
      </c>
      <c r="CZ15" s="60">
        <f>'Raw Datas'!CX62</f>
        <v>0.6375333333333334</v>
      </c>
      <c r="DA15" s="60">
        <f>'Raw Datas'!CY62</f>
        <v>0.45223333333333332</v>
      </c>
      <c r="DB15" s="60" t="str">
        <f>'Raw Datas'!CZ62</f>
        <v>0</v>
      </c>
      <c r="DC15" s="60" t="str">
        <f>'Raw Datas'!DA62</f>
        <v>0</v>
      </c>
      <c r="DD15" s="60">
        <f>'Raw Datas'!DB62</f>
        <v>0.45478333333333332</v>
      </c>
      <c r="DE15" s="60">
        <f>'Raw Datas'!DC62</f>
        <v>1.0929333333333333</v>
      </c>
      <c r="DF15" s="60" t="str">
        <f>'Raw Datas'!DD62</f>
        <v>0</v>
      </c>
      <c r="DG15" s="60">
        <f>'Raw Datas'!DE62</f>
        <v>0.28276666666666667</v>
      </c>
      <c r="DH15" s="60">
        <f>'Raw Datas'!DF62</f>
        <v>0.4029833333333333</v>
      </c>
      <c r="DI15" s="60">
        <f>'Raw Datas'!DG62</f>
        <v>3.5642500000000004</v>
      </c>
      <c r="DJ15" s="60" t="str">
        <f>'Raw Datas'!DH62</f>
        <v>0</v>
      </c>
      <c r="DK15" s="60">
        <f>'Raw Datas'!DI62</f>
        <v>0.58248333333333335</v>
      </c>
      <c r="DL15" s="60">
        <f>'Raw Datas'!DJ62</f>
        <v>2.3188999999999997</v>
      </c>
      <c r="DM15" s="60">
        <f>'Raw Datas'!DK62</f>
        <v>3.1005666666666665</v>
      </c>
      <c r="DN15" s="60">
        <f>'Raw Datas'!DL62</f>
        <v>0.56630000000000003</v>
      </c>
      <c r="DO15" s="60">
        <f>'Raw Datas'!DM62</f>
        <v>1.0833166666666665</v>
      </c>
      <c r="DP15" s="60">
        <f>'Raw Datas'!DN62</f>
        <v>1.3485</v>
      </c>
      <c r="DQ15" s="60">
        <f>'Raw Datas'!DO62</f>
        <v>1.2110166666666666</v>
      </c>
      <c r="DR15" s="60">
        <f>'Raw Datas'!DP62</f>
        <v>0.81661666666666666</v>
      </c>
      <c r="DS15" s="60">
        <f>'Raw Datas'!DQ62</f>
        <v>1.7734500000000002</v>
      </c>
      <c r="DT15" s="60">
        <f>'Raw Datas'!DR62</f>
        <v>0.31345000000000006</v>
      </c>
      <c r="DU15" s="60" t="str">
        <f>'Raw Datas'!DS62</f>
        <v>0</v>
      </c>
      <c r="DV15" s="60" t="str">
        <f>'Raw Datas'!DT62</f>
        <v>0</v>
      </c>
      <c r="DW15" s="60">
        <f>'Raw Datas'!DU62</f>
        <v>2.7236999999999996</v>
      </c>
      <c r="DX15" s="60">
        <f>'Raw Datas'!DV62</f>
        <v>0.77193333333333325</v>
      </c>
      <c r="DY15" s="60" t="str">
        <f>'Raw Datas'!DW62</f>
        <v>0</v>
      </c>
      <c r="DZ15" s="60">
        <f>'Raw Datas'!DX62</f>
        <v>0.65830000000000011</v>
      </c>
      <c r="EA15" s="60">
        <f>'Raw Datas'!DY62</f>
        <v>3.7216666666666669E-2</v>
      </c>
      <c r="EB15" s="60" t="str">
        <f>'Raw Datas'!DZ62</f>
        <v>0</v>
      </c>
      <c r="EC15" s="60">
        <f>'Raw Datas'!EA62</f>
        <v>0.41000000000000003</v>
      </c>
      <c r="ED15" s="60">
        <f>'Raw Datas'!EB62</f>
        <v>0.96230000000000004</v>
      </c>
      <c r="EE15" s="60">
        <f>'Raw Datas'!EC62</f>
        <v>1.7341333333333333</v>
      </c>
      <c r="EF15" s="60">
        <f>'Raw Datas'!ED62</f>
        <v>0.47466666666666663</v>
      </c>
      <c r="EG15" s="60" t="str">
        <f>'Raw Datas'!EE62</f>
        <v>0</v>
      </c>
      <c r="EH15" s="60">
        <f>'Raw Datas'!EF62</f>
        <v>2.0779833333333335</v>
      </c>
      <c r="EI15" s="60">
        <f>'Raw Datas'!EG62</f>
        <v>2.1427499999999999</v>
      </c>
      <c r="EJ15" s="60">
        <f>'Raw Datas'!EH62</f>
        <v>1.4476166666666666</v>
      </c>
      <c r="EK15" s="60">
        <f>'Raw Datas'!EI62</f>
        <v>0.33594999999999992</v>
      </c>
      <c r="EL15" s="60">
        <f>'Raw Datas'!EJ62</f>
        <v>0.78783333333333339</v>
      </c>
      <c r="EM15" s="60">
        <f>'Raw Datas'!EK62</f>
        <v>0.46676666666666666</v>
      </c>
      <c r="EN15" s="60">
        <f>'Raw Datas'!EL62</f>
        <v>1.3732666666666664</v>
      </c>
      <c r="EO15" s="60">
        <f>'Raw Datas'!EM62</f>
        <v>1.0620000000000001</v>
      </c>
      <c r="EP15" s="60">
        <f>'Raw Datas'!EN62</f>
        <v>2.8499833333333338</v>
      </c>
      <c r="EQ15" s="60">
        <f>'Raw Datas'!EO62</f>
        <v>0.67270000000000008</v>
      </c>
      <c r="ER15" s="60">
        <f>'Raw Datas'!EP62</f>
        <v>2.5001166666666665</v>
      </c>
      <c r="ES15" s="60">
        <f>'Raw Datas'!EQ62</f>
        <v>0.59053333333333335</v>
      </c>
      <c r="ET15" s="60">
        <f>'Raw Datas'!ER62</f>
        <v>0.33589999999999998</v>
      </c>
      <c r="EU15" s="60">
        <f>'Raw Datas'!ES62</f>
        <v>0.48510000000000003</v>
      </c>
      <c r="EV15" s="60">
        <f>'Raw Datas'!ET62</f>
        <v>1.0555666666666668</v>
      </c>
      <c r="EW15" s="60">
        <f>'Raw Datas'!EU62</f>
        <v>0.98583333333333334</v>
      </c>
      <c r="EX15" s="60">
        <f>'Raw Datas'!EV62</f>
        <v>1.5704500000000001</v>
      </c>
      <c r="EY15" s="60">
        <f>'Raw Datas'!EW62</f>
        <v>0.73290000000000011</v>
      </c>
      <c r="EZ15" s="60">
        <f>'Raw Datas'!EX62</f>
        <v>0.40406666666666669</v>
      </c>
      <c r="FA15" s="60">
        <f>'Raw Datas'!EY62</f>
        <v>1.4234833333333334</v>
      </c>
      <c r="FB15" s="60">
        <f>'Raw Datas'!EZ62</f>
        <v>2.4742999999999999</v>
      </c>
      <c r="FC15" s="60" t="str">
        <f>'Raw Datas'!FA62</f>
        <v>0</v>
      </c>
      <c r="FD15" s="60">
        <f>'Raw Datas'!FB62</f>
        <v>0.98353333333333337</v>
      </c>
      <c r="FE15" s="60" t="str">
        <f>'Raw Datas'!FC62</f>
        <v>0</v>
      </c>
      <c r="FF15" s="60">
        <f>'Raw Datas'!FD62</f>
        <v>0.44374999999999998</v>
      </c>
      <c r="FG15" s="60">
        <f>'Raw Datas'!FE62</f>
        <v>1.1992</v>
      </c>
      <c r="FH15" s="60" t="str">
        <f>'Raw Datas'!FF62</f>
        <v>0</v>
      </c>
      <c r="FI15" s="60" t="str">
        <f>'Raw Datas'!FG62</f>
        <v>0</v>
      </c>
      <c r="FJ15" s="60">
        <f>'Raw Datas'!FH62</f>
        <v>1.0377833333333333</v>
      </c>
      <c r="FK15" s="60">
        <f>'Raw Datas'!FI62</f>
        <v>5.6712166666666661</v>
      </c>
      <c r="FL15" s="60">
        <f>'Raw Datas'!FJ62</f>
        <v>1.4139166666666665</v>
      </c>
      <c r="FM15" s="60">
        <f>'Raw Datas'!FK62</f>
        <v>0.24531666666666666</v>
      </c>
      <c r="FN15" s="60">
        <f>'Raw Datas'!FL62</f>
        <v>0.68718333333333337</v>
      </c>
      <c r="FO15" s="60">
        <f>'Raw Datas'!FM62</f>
        <v>1.1314166666666667</v>
      </c>
      <c r="FP15" s="60">
        <f>'Raw Datas'!FN62</f>
        <v>0.43708333333333338</v>
      </c>
      <c r="FQ15" s="60" t="str">
        <f>'Raw Datas'!FO62</f>
        <v>0</v>
      </c>
    </row>
    <row r="16" spans="1:173" x14ac:dyDescent="0.2">
      <c r="A16" s="117"/>
      <c r="B16" s="97" t="s">
        <v>50</v>
      </c>
      <c r="C16" s="104" t="s">
        <v>736</v>
      </c>
      <c r="D16" s="104"/>
      <c r="E16" s="60">
        <f>'Raw Datas'!C63</f>
        <v>0.36576666666666663</v>
      </c>
      <c r="F16" s="60">
        <f>'Raw Datas'!D63</f>
        <v>0.30868333333333337</v>
      </c>
      <c r="G16" s="60">
        <f>'Raw Datas'!E63</f>
        <v>0.47098333333333336</v>
      </c>
      <c r="H16" s="60">
        <f>'Raw Datas'!F63</f>
        <v>5.4668833333333327</v>
      </c>
      <c r="I16" s="60" t="str">
        <f>'Raw Datas'!G63</f>
        <v>0</v>
      </c>
      <c r="J16" s="60">
        <f>'Raw Datas'!H63</f>
        <v>0.19869999999999999</v>
      </c>
      <c r="K16" s="60">
        <f>'Raw Datas'!I63</f>
        <v>0.14626666666666666</v>
      </c>
      <c r="L16" s="60">
        <f>'Raw Datas'!J63</f>
        <v>0.24529999999999999</v>
      </c>
      <c r="M16" s="60">
        <f>'Raw Datas'!K63</f>
        <v>0.92974999999999997</v>
      </c>
      <c r="N16" s="60">
        <f>'Raw Datas'!L63</f>
        <v>0.67130000000000001</v>
      </c>
      <c r="O16" s="60">
        <f>'Raw Datas'!M63</f>
        <v>0.13368333333333335</v>
      </c>
      <c r="P16" s="60">
        <f>'Raw Datas'!N63</f>
        <v>0.17493333333333333</v>
      </c>
      <c r="Q16" s="60">
        <f>'Raw Datas'!O63</f>
        <v>0.23824999999999999</v>
      </c>
      <c r="R16" s="60">
        <f>'Raw Datas'!P63</f>
        <v>0.78343333333333331</v>
      </c>
      <c r="S16" s="60">
        <f>'Raw Datas'!Q63</f>
        <v>0.90143333333333331</v>
      </c>
      <c r="T16" s="60">
        <f>'Raw Datas'!R63</f>
        <v>28.939383333333335</v>
      </c>
      <c r="U16" s="60">
        <f>'Raw Datas'!S63</f>
        <v>0.53074999999999994</v>
      </c>
      <c r="V16" s="60">
        <f>'Raw Datas'!T63</f>
        <v>0.20005000000000001</v>
      </c>
      <c r="W16" s="60">
        <f>'Raw Datas'!U63</f>
        <v>0.76186666666666669</v>
      </c>
      <c r="X16" s="60">
        <f>'Raw Datas'!V63</f>
        <v>0.23545000000000002</v>
      </c>
      <c r="Y16" s="60">
        <f>'Raw Datas'!W63</f>
        <v>0.46880000000000005</v>
      </c>
      <c r="Z16" s="60">
        <f>'Raw Datas'!X63</f>
        <v>0.98507999999999996</v>
      </c>
      <c r="AA16" s="60">
        <f>'Raw Datas'!Y63</f>
        <v>0.5071</v>
      </c>
      <c r="AB16" s="60">
        <f>'Raw Datas'!Z63</f>
        <v>0.32876</v>
      </c>
      <c r="AC16" s="60">
        <f>'Raw Datas'!AA63</f>
        <v>0.24095000000000003</v>
      </c>
      <c r="AD16" s="60">
        <f>'Raw Datas'!AB63</f>
        <v>0.4175166666666667</v>
      </c>
      <c r="AE16" s="60">
        <f>'Raw Datas'!AC63</f>
        <v>0.9385</v>
      </c>
      <c r="AF16" s="60">
        <f>'Raw Datas'!AD63</f>
        <v>1.0972166666666667</v>
      </c>
      <c r="AG16" s="60">
        <f>'Raw Datas'!AE63</f>
        <v>0.12671666666666667</v>
      </c>
      <c r="AH16" s="60" t="str">
        <f>'Raw Datas'!AF63</f>
        <v>0</v>
      </c>
      <c r="AI16" s="60">
        <f>'Raw Datas'!AG63</f>
        <v>0.24931666666666666</v>
      </c>
      <c r="AJ16" s="60">
        <f>'Raw Datas'!AH63</f>
        <v>0.59938333333333338</v>
      </c>
      <c r="AK16" s="60">
        <f>'Raw Datas'!AI63</f>
        <v>1.0427333333333333</v>
      </c>
      <c r="AL16" s="60">
        <f>'Raw Datas'!AJ63</f>
        <v>0.42113333333333336</v>
      </c>
      <c r="AM16" s="60" t="str">
        <f>'Raw Datas'!AK63</f>
        <v>0</v>
      </c>
      <c r="AN16" s="60">
        <f>'Raw Datas'!AL63</f>
        <v>0.38038333333333335</v>
      </c>
      <c r="AO16" s="60">
        <f>'Raw Datas'!AM63</f>
        <v>0.34188333333333332</v>
      </c>
      <c r="AP16" s="60">
        <f>'Raw Datas'!AN63</f>
        <v>0.36151666666666665</v>
      </c>
      <c r="AQ16" s="60">
        <f>'Raw Datas'!AO63</f>
        <v>0.22025</v>
      </c>
      <c r="AR16" s="60" t="str">
        <f>'Raw Datas'!AP63</f>
        <v>0</v>
      </c>
      <c r="AS16" s="60">
        <f>'Raw Datas'!AQ63</f>
        <v>6.8018333333333336</v>
      </c>
      <c r="AT16" s="60">
        <f>'Raw Datas'!AR63</f>
        <v>0.16738333333333333</v>
      </c>
      <c r="AU16" s="60" t="str">
        <f>'Raw Datas'!AS63</f>
        <v>0</v>
      </c>
      <c r="AV16" s="60">
        <f>'Raw Datas'!AT63</f>
        <v>0.48775000000000002</v>
      </c>
      <c r="AW16" s="60" t="str">
        <f>'Raw Datas'!AU63</f>
        <v>0</v>
      </c>
      <c r="AX16" s="60" t="str">
        <f>'Raw Datas'!AV63</f>
        <v>0</v>
      </c>
      <c r="AY16" s="60">
        <f>'Raw Datas'!AW63</f>
        <v>0.51501666666666668</v>
      </c>
      <c r="AZ16" s="60">
        <f>'Raw Datas'!AX63</f>
        <v>0.57478333333333331</v>
      </c>
      <c r="BA16" s="60">
        <f>'Raw Datas'!AY63</f>
        <v>0.42968333333333331</v>
      </c>
      <c r="BB16" s="60" t="str">
        <f>'Raw Datas'!AZ63</f>
        <v>0</v>
      </c>
      <c r="BC16" s="60" t="str">
        <f>'Raw Datas'!BA63</f>
        <v>0</v>
      </c>
      <c r="BD16" s="60">
        <f>'Raw Datas'!BB63</f>
        <v>0.16034999999999996</v>
      </c>
      <c r="BE16" s="60" t="str">
        <f>'Raw Datas'!BC63</f>
        <v>0</v>
      </c>
      <c r="BF16" s="60">
        <f>'Raw Datas'!BD63</f>
        <v>0.19013333333333335</v>
      </c>
      <c r="BG16" s="60">
        <f>'Raw Datas'!BE63</f>
        <v>0.25346666666666662</v>
      </c>
      <c r="BH16" s="60">
        <f>'Raw Datas'!BF63</f>
        <v>0.97073333333333334</v>
      </c>
      <c r="BI16" s="60">
        <f>'Raw Datas'!BG63</f>
        <v>0.15878333333333333</v>
      </c>
      <c r="BJ16" s="60" t="str">
        <f>'Raw Datas'!BH63</f>
        <v>0</v>
      </c>
      <c r="BK16" s="60">
        <f>'Raw Datas'!BI63</f>
        <v>1.3355833333333333</v>
      </c>
      <c r="BL16" s="60">
        <f>'Raw Datas'!BJ63</f>
        <v>7.2815166666666666</v>
      </c>
      <c r="BM16" s="60">
        <f>'Raw Datas'!BK63</f>
        <v>0.48931666666666668</v>
      </c>
      <c r="BN16" s="60">
        <f>'Raw Datas'!BL63</f>
        <v>2.6160500000000004</v>
      </c>
      <c r="BO16" s="60">
        <f>'Raw Datas'!BM63</f>
        <v>2.1169142857142855</v>
      </c>
      <c r="BP16" s="60">
        <f>'Raw Datas'!BN63</f>
        <v>7.3036166666666666</v>
      </c>
      <c r="BQ16" s="60">
        <f>'Raw Datas'!BO63</f>
        <v>1.25715</v>
      </c>
      <c r="BR16" s="60">
        <f>'Raw Datas'!BP63</f>
        <v>0.64318333333333333</v>
      </c>
      <c r="BS16" s="60">
        <f>'Raw Datas'!BQ63</f>
        <v>0.28236666666666665</v>
      </c>
      <c r="BT16" s="60">
        <f>'Raw Datas'!BR63</f>
        <v>0.27471428571428574</v>
      </c>
      <c r="BU16" s="60">
        <f>'Raw Datas'!BS63</f>
        <v>0.55401666666666671</v>
      </c>
      <c r="BV16" s="60">
        <f>'Raw Datas'!BT63</f>
        <v>0.3031833333333333</v>
      </c>
      <c r="BW16" s="60">
        <f>'Raw Datas'!BU63</f>
        <v>1.1958333333333333</v>
      </c>
      <c r="BX16" s="60">
        <f>'Raw Datas'!BV63</f>
        <v>0.63219999999999998</v>
      </c>
      <c r="BY16" s="60">
        <f>'Raw Datas'!BW63</f>
        <v>0.94569999999999999</v>
      </c>
      <c r="BZ16" s="60">
        <f>'Raw Datas'!BX63</f>
        <v>0.40155000000000002</v>
      </c>
      <c r="CA16" s="60">
        <f>'Raw Datas'!BY63</f>
        <v>0.46643333333333337</v>
      </c>
      <c r="CB16" s="60">
        <f>'Raw Datas'!BZ63</f>
        <v>0.47176666666666667</v>
      </c>
      <c r="CC16" s="60">
        <f>'Raw Datas'!CA63</f>
        <v>0.26530000000000004</v>
      </c>
      <c r="CD16" s="60">
        <f>'Raw Datas'!CB63</f>
        <v>0.20734999999999998</v>
      </c>
      <c r="CE16" s="60">
        <f>'Raw Datas'!CC63</f>
        <v>0.32223333333333332</v>
      </c>
      <c r="CF16" s="60" t="str">
        <f>'Raw Datas'!CD63</f>
        <v>0</v>
      </c>
      <c r="CG16" s="60">
        <f>'Raw Datas'!CE63</f>
        <v>0.5704499999999999</v>
      </c>
      <c r="CH16" s="60" t="str">
        <f>'Raw Datas'!CF63</f>
        <v>0</v>
      </c>
      <c r="CI16" s="60">
        <f>'Raw Datas'!CG63</f>
        <v>0.48080000000000001</v>
      </c>
      <c r="CJ16" s="60">
        <f>'Raw Datas'!CH63</f>
        <v>0.67520000000000002</v>
      </c>
      <c r="CK16" s="60">
        <f>'Raw Datas'!CI63</f>
        <v>1.3046166666666668</v>
      </c>
      <c r="CL16" s="60" t="str">
        <f>'Raw Datas'!CJ63</f>
        <v>0</v>
      </c>
      <c r="CM16" s="60">
        <f>'Raw Datas'!CK63</f>
        <v>0.33121666666666666</v>
      </c>
      <c r="CN16" s="60">
        <f>'Raw Datas'!CL63</f>
        <v>0.98088333333333333</v>
      </c>
      <c r="CO16" s="60">
        <f>'Raw Datas'!CM63</f>
        <v>0.79930000000000001</v>
      </c>
      <c r="CP16" s="60">
        <f>'Raw Datas'!CN63</f>
        <v>0.18515000000000001</v>
      </c>
      <c r="CQ16" s="60">
        <f>'Raw Datas'!CO63</f>
        <v>0.15228333333333335</v>
      </c>
      <c r="CR16" s="60">
        <f>'Raw Datas'!CP63</f>
        <v>0.2291</v>
      </c>
      <c r="CS16" s="60">
        <f>'Raw Datas'!CQ63</f>
        <v>0.53273333333333339</v>
      </c>
      <c r="CT16" s="60">
        <f>'Raw Datas'!CR63</f>
        <v>5.2944333333333331</v>
      </c>
      <c r="CU16" s="60">
        <f>'Raw Datas'!CS63</f>
        <v>0.2009</v>
      </c>
      <c r="CV16" s="60">
        <f>'Raw Datas'!CT63</f>
        <v>0.24480000000000002</v>
      </c>
      <c r="CW16" s="60">
        <f>'Raw Datas'!CU63</f>
        <v>0.33201666666666668</v>
      </c>
      <c r="CX16" s="60" t="str">
        <f>'Raw Datas'!CV63</f>
        <v>0</v>
      </c>
      <c r="CY16" s="60">
        <f>'Raw Datas'!CW63</f>
        <v>0.47240000000000004</v>
      </c>
      <c r="CZ16" s="60">
        <f>'Raw Datas'!CX63</f>
        <v>0.32116666666666666</v>
      </c>
      <c r="DA16" s="60">
        <f>'Raw Datas'!CY63</f>
        <v>0.13978333333333334</v>
      </c>
      <c r="DB16" s="60" t="str">
        <f>'Raw Datas'!CZ63</f>
        <v>0</v>
      </c>
      <c r="DC16" s="60" t="str">
        <f>'Raw Datas'!DA63</f>
        <v>0</v>
      </c>
      <c r="DD16" s="60">
        <f>'Raw Datas'!DB63</f>
        <v>0.16308333333333333</v>
      </c>
      <c r="DE16" s="60">
        <f>'Raw Datas'!DC63</f>
        <v>0.62563333333333326</v>
      </c>
      <c r="DF16" s="60" t="str">
        <f>'Raw Datas'!DD63</f>
        <v>0</v>
      </c>
      <c r="DG16" s="60">
        <f>'Raw Datas'!DE63</f>
        <v>0.82698333333333329</v>
      </c>
      <c r="DH16" s="60">
        <f>'Raw Datas'!DF63</f>
        <v>0.25198333333333334</v>
      </c>
      <c r="DI16" s="60">
        <f>'Raw Datas'!DG63</f>
        <v>0.75464999999999993</v>
      </c>
      <c r="DJ16" s="60" t="str">
        <f>'Raw Datas'!DH63</f>
        <v>0</v>
      </c>
      <c r="DK16" s="60">
        <f>'Raw Datas'!DI63</f>
        <v>1.1591833333333335</v>
      </c>
      <c r="DL16" s="60">
        <f>'Raw Datas'!DJ63</f>
        <v>0.68116666666666659</v>
      </c>
      <c r="DM16" s="60">
        <f>'Raw Datas'!DK63</f>
        <v>1.0739166666666666</v>
      </c>
      <c r="DN16" s="60" t="str">
        <f>'Raw Datas'!DL63</f>
        <v>0</v>
      </c>
      <c r="DO16" s="60">
        <f>'Raw Datas'!DM63</f>
        <v>0.1704</v>
      </c>
      <c r="DP16" s="60">
        <f>'Raw Datas'!DN63</f>
        <v>0.24998333333333334</v>
      </c>
      <c r="DQ16" s="60">
        <f>'Raw Datas'!DO63</f>
        <v>0.14573333333333333</v>
      </c>
      <c r="DR16" s="60">
        <f>'Raw Datas'!DP63</f>
        <v>0.40278333333333338</v>
      </c>
      <c r="DS16" s="60">
        <f>'Raw Datas'!DQ63</f>
        <v>0.34013333333333334</v>
      </c>
      <c r="DT16" s="60">
        <f>'Raw Datas'!DR63</f>
        <v>0.12915000000000001</v>
      </c>
      <c r="DU16" s="60" t="str">
        <f>'Raw Datas'!DS63</f>
        <v>0</v>
      </c>
      <c r="DV16" s="60">
        <f>'Raw Datas'!DT63</f>
        <v>0.25818333333333332</v>
      </c>
      <c r="DW16" s="60">
        <f>'Raw Datas'!DU63</f>
        <v>0.65203333333333335</v>
      </c>
      <c r="DX16" s="60">
        <f>'Raw Datas'!DV63</f>
        <v>0.26579999999999998</v>
      </c>
      <c r="DY16" s="60" t="str">
        <f>'Raw Datas'!DW63</f>
        <v>0</v>
      </c>
      <c r="DZ16" s="60">
        <f>'Raw Datas'!DX63</f>
        <v>0.37830000000000003</v>
      </c>
      <c r="EA16" s="60">
        <f>'Raw Datas'!DY63</f>
        <v>0.46928333333333333</v>
      </c>
      <c r="EB16" s="60" t="str">
        <f>'Raw Datas'!DZ63</f>
        <v>0</v>
      </c>
      <c r="EC16" s="60">
        <f>'Raw Datas'!EA63</f>
        <v>0.22305000000000003</v>
      </c>
      <c r="ED16" s="60">
        <f>'Raw Datas'!EB63</f>
        <v>0.29106666666666664</v>
      </c>
      <c r="EE16" s="60">
        <f>'Raw Datas'!EC63</f>
        <v>0.36621666666666663</v>
      </c>
      <c r="EF16" s="60">
        <f>'Raw Datas'!ED63</f>
        <v>0.22798333333333332</v>
      </c>
      <c r="EG16" s="60" t="str">
        <f>'Raw Datas'!EE63</f>
        <v>0</v>
      </c>
      <c r="EH16" s="60">
        <f>'Raw Datas'!EF63</f>
        <v>0.46651666666666664</v>
      </c>
      <c r="EI16" s="60">
        <f>'Raw Datas'!EG63</f>
        <v>0.47764999999999996</v>
      </c>
      <c r="EJ16" s="60" t="str">
        <f>'Raw Datas'!EH63</f>
        <v>0</v>
      </c>
      <c r="EK16" s="60" t="str">
        <f>'Raw Datas'!EI63</f>
        <v>0</v>
      </c>
      <c r="EL16" s="60" t="str">
        <f>'Raw Datas'!EJ63</f>
        <v>0</v>
      </c>
      <c r="EM16" s="60">
        <f>'Raw Datas'!EK63</f>
        <v>0.3723833333333334</v>
      </c>
      <c r="EN16" s="60">
        <f>'Raw Datas'!EL63</f>
        <v>0.23565</v>
      </c>
      <c r="EO16" s="60">
        <f>'Raw Datas'!EM63</f>
        <v>0.29203333333333331</v>
      </c>
      <c r="EP16" s="60">
        <f>'Raw Datas'!EN63</f>
        <v>0.61630000000000007</v>
      </c>
      <c r="EQ16" s="60" t="str">
        <f>'Raw Datas'!EO63</f>
        <v>0</v>
      </c>
      <c r="ER16" s="60">
        <f>'Raw Datas'!EP63</f>
        <v>1.0968333333333333</v>
      </c>
      <c r="ES16" s="60" t="str">
        <f>'Raw Datas'!EQ63</f>
        <v>0</v>
      </c>
      <c r="ET16" s="60">
        <f>'Raw Datas'!ER63</f>
        <v>0.62785000000000002</v>
      </c>
      <c r="EU16" s="60" t="str">
        <f>'Raw Datas'!ES63</f>
        <v>0</v>
      </c>
      <c r="EV16" s="60" t="str">
        <f>'Raw Datas'!ET63</f>
        <v>0</v>
      </c>
      <c r="EW16" s="60">
        <f>'Raw Datas'!EU63</f>
        <v>0.14793333333333333</v>
      </c>
      <c r="EX16" s="60">
        <f>'Raw Datas'!EV63</f>
        <v>0.18006666666666668</v>
      </c>
      <c r="EY16" s="60">
        <f>'Raw Datas'!EW63</f>
        <v>0.29006666666666664</v>
      </c>
      <c r="EZ16" s="60">
        <f>'Raw Datas'!EX63</f>
        <v>0.23531666666666667</v>
      </c>
      <c r="FA16" s="60">
        <f>'Raw Datas'!EY63</f>
        <v>0.60035000000000005</v>
      </c>
      <c r="FB16" s="60">
        <f>'Raw Datas'!EZ63</f>
        <v>0.71546666666666658</v>
      </c>
      <c r="FC16" s="60" t="str">
        <f>'Raw Datas'!FA63</f>
        <v>0</v>
      </c>
      <c r="FD16" s="60" t="str">
        <f>'Raw Datas'!FB63</f>
        <v>0</v>
      </c>
      <c r="FE16" s="60" t="str">
        <f>'Raw Datas'!FC63</f>
        <v>0</v>
      </c>
      <c r="FF16" s="60">
        <f>'Raw Datas'!FD63</f>
        <v>0.38874999999999998</v>
      </c>
      <c r="FG16" s="60">
        <f>'Raw Datas'!FE63</f>
        <v>0.95374999999999999</v>
      </c>
      <c r="FH16" s="60">
        <f>'Raw Datas'!FF63</f>
        <v>1.6238000000000001</v>
      </c>
      <c r="FI16" s="60">
        <f>'Raw Datas'!FG63</f>
        <v>0.6535333333333333</v>
      </c>
      <c r="FJ16" s="60">
        <f>'Raw Datas'!FH63</f>
        <v>0.44548333333333334</v>
      </c>
      <c r="FK16" s="60" t="str">
        <f>'Raw Datas'!FI63</f>
        <v>0</v>
      </c>
      <c r="FL16" s="60">
        <f>'Raw Datas'!FJ63</f>
        <v>0.85655000000000003</v>
      </c>
      <c r="FM16" s="60">
        <f>'Raw Datas'!FK63</f>
        <v>2.2131333333333334</v>
      </c>
      <c r="FN16" s="60">
        <f>'Raw Datas'!FL63</f>
        <v>0.25240000000000001</v>
      </c>
      <c r="FO16" s="60">
        <f>'Raw Datas'!FM63</f>
        <v>0.22411666666666666</v>
      </c>
      <c r="FP16" s="60">
        <f>'Raw Datas'!FN63</f>
        <v>0.35540000000000005</v>
      </c>
      <c r="FQ16" s="60" t="str">
        <f>'Raw Datas'!FO63</f>
        <v>0</v>
      </c>
    </row>
    <row r="17" spans="1:173" ht="16" thickBot="1" x14ac:dyDescent="0.25">
      <c r="A17" s="118"/>
      <c r="B17" s="98" t="s">
        <v>51</v>
      </c>
      <c r="C17" s="104" t="s">
        <v>735</v>
      </c>
      <c r="D17" s="113"/>
      <c r="E17" s="62">
        <f>'Raw Datas'!C64</f>
        <v>1.4444166666666665</v>
      </c>
      <c r="F17" s="62">
        <f>'Raw Datas'!D64</f>
        <v>1.2342666666666666</v>
      </c>
      <c r="G17" s="62">
        <f>'Raw Datas'!E64</f>
        <v>2.72865</v>
      </c>
      <c r="H17" s="62">
        <f>'Raw Datas'!F64</f>
        <v>15.297733333333333</v>
      </c>
      <c r="I17" s="62">
        <f>'Raw Datas'!G64</f>
        <v>0.48801666666666671</v>
      </c>
      <c r="J17" s="62">
        <f>'Raw Datas'!H64</f>
        <v>0.92513333333333325</v>
      </c>
      <c r="K17" s="62">
        <f>'Raw Datas'!I64</f>
        <v>1.8946833333333333</v>
      </c>
      <c r="L17" s="62">
        <f>'Raw Datas'!J64</f>
        <v>1.0618833333333333</v>
      </c>
      <c r="M17" s="62">
        <f>'Raw Datas'!K64</f>
        <v>2.8262666666666667</v>
      </c>
      <c r="N17" s="62">
        <f>'Raw Datas'!L64</f>
        <v>5.3909666666666665</v>
      </c>
      <c r="O17" s="62">
        <f>'Raw Datas'!M64</f>
        <v>0.82373333333333332</v>
      </c>
      <c r="P17" s="62">
        <f>'Raw Datas'!N64</f>
        <v>0.74958333333333327</v>
      </c>
      <c r="Q17" s="62">
        <f>'Raw Datas'!O64</f>
        <v>1.2711666666666666</v>
      </c>
      <c r="R17" s="62">
        <f>'Raw Datas'!P64</f>
        <v>3.0774499999999998</v>
      </c>
      <c r="S17" s="62">
        <f>'Raw Datas'!Q64</f>
        <v>5.4749166666666671</v>
      </c>
      <c r="T17" s="62">
        <f>'Raw Datas'!R64</f>
        <v>82.39276666666666</v>
      </c>
      <c r="U17" s="62">
        <f>'Raw Datas'!S64</f>
        <v>1.79525</v>
      </c>
      <c r="V17" s="62">
        <f>'Raw Datas'!T64</f>
        <v>0.82126666666666659</v>
      </c>
      <c r="W17" s="62">
        <f>'Raw Datas'!U64</f>
        <v>2.8563833333333335</v>
      </c>
      <c r="X17" s="62">
        <f>'Raw Datas'!V64</f>
        <v>1.3015000000000001</v>
      </c>
      <c r="Y17" s="62">
        <f>'Raw Datas'!W64</f>
        <v>2.5952285714285712</v>
      </c>
      <c r="Z17" s="62">
        <f>'Raw Datas'!X64</f>
        <v>5.1390799999999999</v>
      </c>
      <c r="AA17" s="62">
        <f>'Raw Datas'!Y64</f>
        <v>2.9107500000000002</v>
      </c>
      <c r="AB17" s="62">
        <f>'Raw Datas'!Z64</f>
        <v>1.6434799999999998</v>
      </c>
      <c r="AC17" s="62">
        <f>'Raw Datas'!AA64</f>
        <v>1.0036666666666667</v>
      </c>
      <c r="AD17" s="62">
        <f>'Raw Datas'!AB64</f>
        <v>2.3084000000000002</v>
      </c>
      <c r="AE17" s="62">
        <f>'Raw Datas'!AC64</f>
        <v>2.7577333333333334</v>
      </c>
      <c r="AF17" s="62">
        <f>'Raw Datas'!AD64</f>
        <v>1.8834500000000001</v>
      </c>
      <c r="AG17" s="62">
        <f>'Raw Datas'!AE64</f>
        <v>0.75166666666666659</v>
      </c>
      <c r="AH17" s="62">
        <f>'Raw Datas'!AF64</f>
        <v>2.436066666666667</v>
      </c>
      <c r="AI17" s="62">
        <f>'Raw Datas'!AG64</f>
        <v>1.8549666666666667</v>
      </c>
      <c r="AJ17" s="62">
        <f>'Raw Datas'!AH64</f>
        <v>2.7670499999999998</v>
      </c>
      <c r="AK17" s="62">
        <f>'Raw Datas'!AI64</f>
        <v>3.0566833333333334</v>
      </c>
      <c r="AL17" s="62">
        <f>'Raw Datas'!AJ64</f>
        <v>2.488</v>
      </c>
      <c r="AM17" s="62">
        <f>'Raw Datas'!AK64</f>
        <v>0.70400000000000007</v>
      </c>
      <c r="AN17" s="62">
        <f>'Raw Datas'!AL64</f>
        <v>4.2689833333333338</v>
      </c>
      <c r="AO17" s="62">
        <f>'Raw Datas'!AM64</f>
        <v>1.2144666666666668</v>
      </c>
      <c r="AP17" s="62">
        <f>'Raw Datas'!AN64</f>
        <v>1.7107999999999999</v>
      </c>
      <c r="AQ17" s="62">
        <f>'Raw Datas'!AO64</f>
        <v>1.7283500000000001</v>
      </c>
      <c r="AR17" s="62">
        <f>'Raw Datas'!AP64</f>
        <v>0.59829999999999994</v>
      </c>
      <c r="AS17" s="62">
        <f>'Raw Datas'!AQ64</f>
        <v>33.686500000000002</v>
      </c>
      <c r="AT17" s="62">
        <f>'Raw Datas'!AR64</f>
        <v>0.96405000000000007</v>
      </c>
      <c r="AU17" s="62">
        <f>'Raw Datas'!AS64</f>
        <v>0.86769999999999992</v>
      </c>
      <c r="AV17" s="62">
        <f>'Raw Datas'!AT64</f>
        <v>1.2428999999999999</v>
      </c>
      <c r="AW17" s="62">
        <f>'Raw Datas'!AU64</f>
        <v>1.2501199999999999</v>
      </c>
      <c r="AX17" s="62">
        <f>'Raw Datas'!AV64</f>
        <v>1.6569600000000002</v>
      </c>
      <c r="AY17" s="62">
        <f>'Raw Datas'!AW64</f>
        <v>2.0818500000000002</v>
      </c>
      <c r="AZ17" s="62">
        <f>'Raw Datas'!AX64</f>
        <v>2.41845</v>
      </c>
      <c r="BA17" s="62">
        <f>'Raw Datas'!AY64</f>
        <v>5.9681833333333332</v>
      </c>
      <c r="BB17" s="62">
        <f>'Raw Datas'!AZ64</f>
        <v>0.81719999999999993</v>
      </c>
      <c r="BC17" s="62">
        <f>'Raw Datas'!BA64</f>
        <v>0.40155000000000002</v>
      </c>
      <c r="BD17" s="62">
        <f>'Raw Datas'!BB64</f>
        <v>0.7436166666666667</v>
      </c>
      <c r="BE17" s="62">
        <f>'Raw Datas'!BC64</f>
        <v>1.0341666666666667</v>
      </c>
      <c r="BF17" s="62">
        <f>'Raw Datas'!BD64</f>
        <v>0.72476666666666678</v>
      </c>
      <c r="BG17" s="62">
        <f>'Raw Datas'!BE64</f>
        <v>0.85573333333333335</v>
      </c>
      <c r="BH17" s="62">
        <f>'Raw Datas'!BF64</f>
        <v>4.3787333333333329</v>
      </c>
      <c r="BI17" s="62">
        <f>'Raw Datas'!BG64</f>
        <v>1.0354166666666667</v>
      </c>
      <c r="BJ17" s="62">
        <f>'Raw Datas'!BH64</f>
        <v>0.82476666666666665</v>
      </c>
      <c r="BK17" s="62">
        <f>'Raw Datas'!BI64</f>
        <v>3.3801333333333332</v>
      </c>
      <c r="BL17" s="62">
        <f>'Raw Datas'!BJ64</f>
        <v>21.933083333333336</v>
      </c>
      <c r="BM17" s="62">
        <f>'Raw Datas'!BK64</f>
        <v>2.9081833333333336</v>
      </c>
      <c r="BN17" s="62">
        <f>'Raw Datas'!BL64</f>
        <v>7.1681833333333325</v>
      </c>
      <c r="BO17" s="62">
        <f>'Raw Datas'!BM64</f>
        <v>5.5120285714285719</v>
      </c>
      <c r="BP17" s="62">
        <f>'Raw Datas'!BN64</f>
        <v>23.092783333333333</v>
      </c>
      <c r="BQ17" s="62">
        <f>'Raw Datas'!BO64</f>
        <v>4.969733333333334</v>
      </c>
      <c r="BR17" s="62">
        <f>'Raw Datas'!BP64</f>
        <v>2.4889833333333331</v>
      </c>
      <c r="BS17" s="62">
        <f>'Raw Datas'!BQ64</f>
        <v>0.9693166666666666</v>
      </c>
      <c r="BT17" s="62">
        <f>'Raw Datas'!BR64</f>
        <v>1.7993142857142856</v>
      </c>
      <c r="BU17" s="62">
        <f>'Raw Datas'!BS64</f>
        <v>2.1726333333333332</v>
      </c>
      <c r="BV17" s="62">
        <f>'Raw Datas'!BT64</f>
        <v>1.1159833333333333</v>
      </c>
      <c r="BW17" s="62">
        <f>'Raw Datas'!BU64</f>
        <v>3.9515999999999996</v>
      </c>
      <c r="BX17" s="62">
        <f>'Raw Datas'!BV64</f>
        <v>2.5063499999999999</v>
      </c>
      <c r="BY17" s="62">
        <f>'Raw Datas'!BW64</f>
        <v>5.3281666666666663</v>
      </c>
      <c r="BZ17" s="62">
        <f>'Raw Datas'!BX64</f>
        <v>1.6335499999999998</v>
      </c>
      <c r="CA17" s="62">
        <f>'Raw Datas'!BY64</f>
        <v>2.0912166666666665</v>
      </c>
      <c r="CB17" s="62">
        <f>'Raw Datas'!BZ64</f>
        <v>2.0613666666666668</v>
      </c>
      <c r="CC17" s="62">
        <f>'Raw Datas'!CA64</f>
        <v>1.3229500000000001</v>
      </c>
      <c r="CD17" s="62">
        <f>'Raw Datas'!CB64</f>
        <v>1.1038666666666666</v>
      </c>
      <c r="CE17" s="62">
        <f>'Raw Datas'!CC64</f>
        <v>1.3573333333333333</v>
      </c>
      <c r="CF17" s="62">
        <f>'Raw Datas'!CD64</f>
        <v>0.57238333333333324</v>
      </c>
      <c r="CG17" s="62">
        <f>'Raw Datas'!CE64</f>
        <v>2.1070166666666665</v>
      </c>
      <c r="CH17" s="62">
        <f>'Raw Datas'!CF64</f>
        <v>0.7274166666666666</v>
      </c>
      <c r="CI17" s="62">
        <f>'Raw Datas'!CG64</f>
        <v>1.8836666666666666</v>
      </c>
      <c r="CJ17" s="62">
        <f>'Raw Datas'!CH64</f>
        <v>3.3347166666666661</v>
      </c>
      <c r="CK17" s="62">
        <f>'Raw Datas'!CI64</f>
        <v>6.4267833333333328</v>
      </c>
      <c r="CL17" s="62">
        <f>'Raw Datas'!CJ64</f>
        <v>1.0085111111111109</v>
      </c>
      <c r="CM17" s="62">
        <f>'Raw Datas'!CK64</f>
        <v>1.9231166666666666</v>
      </c>
      <c r="CN17" s="62">
        <f>'Raw Datas'!CL64</f>
        <v>4.0948499999999992</v>
      </c>
      <c r="CO17" s="62">
        <f>'Raw Datas'!CM64</f>
        <v>3.0093333333333332</v>
      </c>
      <c r="CP17" s="62">
        <f>'Raw Datas'!CN64</f>
        <v>1.5315333333333332</v>
      </c>
      <c r="CQ17" s="62">
        <f>'Raw Datas'!CO64</f>
        <v>0.87598333333333334</v>
      </c>
      <c r="CR17" s="62">
        <f>'Raw Datas'!CP64</f>
        <v>0.90378333333333327</v>
      </c>
      <c r="CS17" s="62">
        <f>'Raw Datas'!CQ64</f>
        <v>3.54135</v>
      </c>
      <c r="CT17" s="62">
        <f>'Raw Datas'!CR64</f>
        <v>21.788433333333334</v>
      </c>
      <c r="CU17" s="62">
        <f>'Raw Datas'!CS64</f>
        <v>1.0497666666666667</v>
      </c>
      <c r="CV17" s="62">
        <f>'Raw Datas'!CT64</f>
        <v>1.1312</v>
      </c>
      <c r="CW17" s="62">
        <f>'Raw Datas'!CU64</f>
        <v>1.2561166666666665</v>
      </c>
      <c r="CX17" s="62">
        <f>'Raw Datas'!CV64</f>
        <v>1.0304666666666666</v>
      </c>
      <c r="CY17" s="62">
        <f>'Raw Datas'!CW64</f>
        <v>2.0393833333333333</v>
      </c>
      <c r="CZ17" s="62">
        <f>'Raw Datas'!CX64</f>
        <v>1.4552166666666664</v>
      </c>
      <c r="DA17" s="62">
        <f>'Raw Datas'!CY64</f>
        <v>1.0753333333333333</v>
      </c>
      <c r="DB17" s="62">
        <f>'Raw Datas'!CZ64</f>
        <v>0.67835000000000001</v>
      </c>
      <c r="DC17" s="62" t="str">
        <f>'Raw Datas'!DA64</f>
        <v>0</v>
      </c>
      <c r="DD17" s="62">
        <f>'Raw Datas'!DB64</f>
        <v>1.0802333333333332</v>
      </c>
      <c r="DE17" s="62">
        <f>'Raw Datas'!DC64</f>
        <v>2.3903499999999998</v>
      </c>
      <c r="DF17" s="62">
        <f>'Raw Datas'!DD64</f>
        <v>1.2401333333333333</v>
      </c>
      <c r="DG17" s="62">
        <f>'Raw Datas'!DE64</f>
        <v>3.3721166666666664</v>
      </c>
      <c r="DH17" s="62">
        <f>'Raw Datas'!DF64</f>
        <v>0.81470000000000009</v>
      </c>
      <c r="DI17" s="62">
        <f>'Raw Datas'!DG64</f>
        <v>2.5902000000000003</v>
      </c>
      <c r="DJ17" s="62">
        <f>'Raw Datas'!DH64</f>
        <v>0.59506666666666663</v>
      </c>
      <c r="DK17" s="62">
        <f>'Raw Datas'!DI64</f>
        <v>6.0476666666666672</v>
      </c>
      <c r="DL17" s="62">
        <f>'Raw Datas'!DJ64</f>
        <v>1.4975500000000002</v>
      </c>
      <c r="DM17" s="62">
        <f>'Raw Datas'!DK64</f>
        <v>10.776483333333335</v>
      </c>
      <c r="DN17" s="62">
        <f>'Raw Datas'!DL64</f>
        <v>0.79171666666666662</v>
      </c>
      <c r="DO17" s="62">
        <f>'Raw Datas'!DM64</f>
        <v>1.2779666666666667</v>
      </c>
      <c r="DP17" s="62">
        <f>'Raw Datas'!DN64</f>
        <v>0.86151666666666671</v>
      </c>
      <c r="DQ17" s="62">
        <f>'Raw Datas'!DO64</f>
        <v>1.4338666666666666</v>
      </c>
      <c r="DR17" s="62">
        <f>'Raw Datas'!DP64</f>
        <v>4.8224999999999998</v>
      </c>
      <c r="DS17" s="62">
        <f>'Raw Datas'!DQ64</f>
        <v>1.3470166666666665</v>
      </c>
      <c r="DT17" s="62">
        <f>'Raw Datas'!DR64</f>
        <v>1.3323333333333334</v>
      </c>
      <c r="DU17" s="62">
        <f>'Raw Datas'!DS64</f>
        <v>0.73498333333333343</v>
      </c>
      <c r="DV17" s="62">
        <f>'Raw Datas'!DT64</f>
        <v>5.6375500000000001</v>
      </c>
      <c r="DW17" s="62">
        <f>'Raw Datas'!DU64</f>
        <v>1.8245</v>
      </c>
      <c r="DX17" s="62">
        <f>'Raw Datas'!DV64</f>
        <v>1.6431333333333336</v>
      </c>
      <c r="DY17" s="62">
        <f>'Raw Datas'!DW64</f>
        <v>1.2320333333333333</v>
      </c>
      <c r="DZ17" s="62">
        <f>'Raw Datas'!DX64</f>
        <v>1.9436333333333333</v>
      </c>
      <c r="EA17" s="62">
        <f>'Raw Datas'!DY64</f>
        <v>1.9772500000000002</v>
      </c>
      <c r="EB17" s="62">
        <f>'Raw Datas'!DZ64</f>
        <v>0.59098333333333342</v>
      </c>
      <c r="EC17" s="62">
        <f>'Raw Datas'!EA64</f>
        <v>1.5518666666666665</v>
      </c>
      <c r="ED17" s="62">
        <f>'Raw Datas'!EB64</f>
        <v>1.3859666666666663</v>
      </c>
      <c r="EE17" s="62">
        <f>'Raw Datas'!EC64</f>
        <v>1.4163500000000002</v>
      </c>
      <c r="EF17" s="62">
        <f>'Raw Datas'!ED64</f>
        <v>1.3013499999999998</v>
      </c>
      <c r="EG17" s="62">
        <f>'Raw Datas'!EE64</f>
        <v>0.62775000000000003</v>
      </c>
      <c r="EH17" s="62">
        <f>'Raw Datas'!EF64</f>
        <v>1.6190500000000001</v>
      </c>
      <c r="EI17" s="62">
        <f>'Raw Datas'!EG64</f>
        <v>1.85585</v>
      </c>
      <c r="EJ17" s="62">
        <f>'Raw Datas'!EH64</f>
        <v>0.57856666666666667</v>
      </c>
      <c r="EK17" s="62">
        <f>'Raw Datas'!EI64</f>
        <v>0.66044999999999987</v>
      </c>
      <c r="EL17" s="62">
        <f>'Raw Datas'!EJ64</f>
        <v>0.95960000000000001</v>
      </c>
      <c r="EM17" s="62">
        <f>'Raw Datas'!EK64</f>
        <v>1.2886666666666668</v>
      </c>
      <c r="EN17" s="62">
        <f>'Raw Datas'!EL64</f>
        <v>3.0521333333333329</v>
      </c>
      <c r="EO17" s="62">
        <f>'Raw Datas'!EM64</f>
        <v>3.4021666666666666</v>
      </c>
      <c r="EP17" s="62">
        <f>'Raw Datas'!EN64</f>
        <v>2.1049833333333332</v>
      </c>
      <c r="EQ17" s="62">
        <f>'Raw Datas'!EO64</f>
        <v>1.0959833333333333</v>
      </c>
      <c r="ER17" s="62">
        <f>'Raw Datas'!EP64</f>
        <v>12.229866666666664</v>
      </c>
      <c r="ES17" s="62">
        <f>'Raw Datas'!EQ64</f>
        <v>0.80236666666666656</v>
      </c>
      <c r="ET17" s="62">
        <f>'Raw Datas'!ER64</f>
        <v>2.8302166666666668</v>
      </c>
      <c r="EU17" s="62">
        <f>'Raw Datas'!ES64</f>
        <v>0.58043333333333336</v>
      </c>
      <c r="EV17" s="62">
        <f>'Raw Datas'!ET64</f>
        <v>0.74853333333333327</v>
      </c>
      <c r="EW17" s="62">
        <f>'Raw Datas'!EU64</f>
        <v>0.95923333333333338</v>
      </c>
      <c r="EX17" s="62">
        <f>'Raw Datas'!EV64</f>
        <v>1.0537166666666666</v>
      </c>
      <c r="EY17" s="62">
        <f>'Raw Datas'!EW64</f>
        <v>1.1603333333333334</v>
      </c>
      <c r="EZ17" s="62">
        <f>'Raw Datas'!EX64</f>
        <v>2.0029666666666666</v>
      </c>
      <c r="FA17" s="62">
        <f>'Raw Datas'!EY64</f>
        <v>3.3724500000000002</v>
      </c>
      <c r="FB17" s="62">
        <f>'Raw Datas'!EZ64</f>
        <v>2.6936499999999999</v>
      </c>
      <c r="FC17" s="62" t="str">
        <f>'Raw Datas'!FA64</f>
        <v>0</v>
      </c>
      <c r="FD17" s="62">
        <f>'Raw Datas'!FB64</f>
        <v>0.44706666666666661</v>
      </c>
      <c r="FE17" s="62">
        <f>'Raw Datas'!FC64</f>
        <v>1.2053499999999999</v>
      </c>
      <c r="FF17" s="62">
        <f>'Raw Datas'!FD64</f>
        <v>1.9685833333333336</v>
      </c>
      <c r="FG17" s="62">
        <f>'Raw Datas'!FE64</f>
        <v>2.7170333333333332</v>
      </c>
      <c r="FH17" s="62">
        <f>'Raw Datas'!FF64</f>
        <v>7.5913166666666667</v>
      </c>
      <c r="FI17" s="62">
        <f>'Raw Datas'!FG64</f>
        <v>2.2356166666666666</v>
      </c>
      <c r="FJ17" s="62">
        <f>'Raw Datas'!FH64</f>
        <v>1.8103333333333333</v>
      </c>
      <c r="FK17" s="62">
        <f>'Raw Datas'!FI64</f>
        <v>0.39906666666666674</v>
      </c>
      <c r="FL17" s="62">
        <f>'Raw Datas'!FJ64</f>
        <v>3.9326333333333334</v>
      </c>
      <c r="FM17" s="62">
        <f>'Raw Datas'!FK64</f>
        <v>7.0858499999999989</v>
      </c>
      <c r="FN17" s="62">
        <f>'Raw Datas'!FL64</f>
        <v>1.7776333333333336</v>
      </c>
      <c r="FO17" s="62">
        <f>'Raw Datas'!FM64</f>
        <v>1.3432833333333332</v>
      </c>
      <c r="FP17" s="62">
        <f>'Raw Datas'!FN64</f>
        <v>5.6345333333333336</v>
      </c>
      <c r="FQ17" s="62">
        <f>'Raw Datas'!FO64</f>
        <v>1.6807333333333334</v>
      </c>
    </row>
    <row r="18" spans="1:173" ht="16" thickBot="1" x14ac:dyDescent="0.25"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</row>
    <row r="19" spans="1:173" ht="63" customHeight="1" thickBot="1" x14ac:dyDescent="0.25">
      <c r="A19" s="24" t="s">
        <v>369</v>
      </c>
      <c r="B19" s="12" t="s">
        <v>30</v>
      </c>
      <c r="C19" s="105"/>
      <c r="D19" s="105"/>
      <c r="E19" s="89" t="str">
        <f>'Raw Datas'!C65</f>
        <v>0</v>
      </c>
      <c r="F19" s="14" t="str">
        <f>'Raw Datas'!D65</f>
        <v>0</v>
      </c>
      <c r="G19" s="14" t="str">
        <f>'Raw Datas'!E65</f>
        <v>0</v>
      </c>
      <c r="H19" s="14" t="str">
        <f>'Raw Datas'!F65</f>
        <v>0</v>
      </c>
      <c r="I19" s="14" t="str">
        <f>'Raw Datas'!G65</f>
        <v>0</v>
      </c>
      <c r="J19" s="14" t="str">
        <f>'Raw Datas'!H65</f>
        <v>0</v>
      </c>
      <c r="K19" s="14" t="str">
        <f>'Raw Datas'!I65</f>
        <v>0</v>
      </c>
      <c r="L19" s="14" t="str">
        <f>'Raw Datas'!J65</f>
        <v>0</v>
      </c>
      <c r="M19" s="14" t="str">
        <f>'Raw Datas'!K65</f>
        <v>0</v>
      </c>
      <c r="N19" s="14" t="str">
        <f>'Raw Datas'!L65</f>
        <v>0</v>
      </c>
      <c r="O19" s="14" t="str">
        <f>'Raw Datas'!M65</f>
        <v>0</v>
      </c>
      <c r="P19" s="14" t="str">
        <f>'Raw Datas'!N65</f>
        <v>0</v>
      </c>
      <c r="Q19" s="14" t="str">
        <f>'Raw Datas'!O65</f>
        <v>0</v>
      </c>
      <c r="R19" s="14" t="str">
        <f>'Raw Datas'!P65</f>
        <v>0</v>
      </c>
      <c r="S19" s="14" t="str">
        <f>'Raw Datas'!Q65</f>
        <v>0</v>
      </c>
      <c r="T19" s="14" t="str">
        <f>'Raw Datas'!R65</f>
        <v>0</v>
      </c>
      <c r="U19" s="14" t="str">
        <f>'Raw Datas'!S65</f>
        <v>0</v>
      </c>
      <c r="V19" s="14" t="str">
        <f>'Raw Datas'!T65</f>
        <v>0</v>
      </c>
      <c r="W19" s="14" t="str">
        <f>'Raw Datas'!U65</f>
        <v>0</v>
      </c>
      <c r="X19" s="14" t="str">
        <f>'Raw Datas'!V65</f>
        <v>0</v>
      </c>
      <c r="Y19" s="14" t="str">
        <f>'Raw Datas'!W65</f>
        <v>0</v>
      </c>
      <c r="Z19" s="14" t="str">
        <f>'Raw Datas'!X65</f>
        <v>0</v>
      </c>
      <c r="AA19" s="14" t="str">
        <f>'Raw Datas'!Y65</f>
        <v>0</v>
      </c>
      <c r="AB19" s="14" t="str">
        <f>'Raw Datas'!Z65</f>
        <v>0</v>
      </c>
      <c r="AC19" s="14" t="str">
        <f>'Raw Datas'!AA65</f>
        <v>0</v>
      </c>
      <c r="AD19" s="14" t="str">
        <f>'Raw Datas'!AB65</f>
        <v>0</v>
      </c>
      <c r="AE19" s="14" t="str">
        <f>'Raw Datas'!AC65</f>
        <v>0</v>
      </c>
      <c r="AF19" s="14" t="str">
        <f>'Raw Datas'!AD65</f>
        <v>0</v>
      </c>
      <c r="AG19" s="14" t="str">
        <f>'Raw Datas'!AE65</f>
        <v>0</v>
      </c>
      <c r="AH19" s="14" t="str">
        <f>'Raw Datas'!AF65</f>
        <v>0</v>
      </c>
      <c r="AI19" s="14" t="str">
        <f>'Raw Datas'!AG65</f>
        <v>0</v>
      </c>
      <c r="AJ19" s="14" t="str">
        <f>'Raw Datas'!AH65</f>
        <v>0</v>
      </c>
      <c r="AK19" s="14" t="str">
        <f>'Raw Datas'!AI65</f>
        <v>0</v>
      </c>
      <c r="AL19" s="14" t="str">
        <f>'Raw Datas'!AJ65</f>
        <v>0</v>
      </c>
      <c r="AM19" s="14" t="str">
        <f>'Raw Datas'!AK65</f>
        <v>0</v>
      </c>
      <c r="AN19" s="14" t="str">
        <f>'Raw Datas'!AL65</f>
        <v>0</v>
      </c>
      <c r="AO19" s="14" t="str">
        <f>'Raw Datas'!AM65</f>
        <v>0</v>
      </c>
      <c r="AP19" s="14" t="str">
        <f>'Raw Datas'!AN65</f>
        <v>0</v>
      </c>
      <c r="AQ19" s="14" t="str">
        <f>'Raw Datas'!AO65</f>
        <v>0</v>
      </c>
      <c r="AR19" s="14" t="str">
        <f>'Raw Datas'!AP65</f>
        <v>0</v>
      </c>
      <c r="AS19" s="14" t="str">
        <f>'Raw Datas'!AQ65</f>
        <v>0</v>
      </c>
      <c r="AT19" s="14" t="str">
        <f>'Raw Datas'!AR65</f>
        <v>0</v>
      </c>
      <c r="AU19" s="14" t="str">
        <f>'Raw Datas'!AS65</f>
        <v>0</v>
      </c>
      <c r="AV19" s="14" t="str">
        <f>'Raw Datas'!AT65</f>
        <v>0</v>
      </c>
      <c r="AW19" s="14" t="str">
        <f>'Raw Datas'!AU65</f>
        <v>0</v>
      </c>
      <c r="AX19" s="14" t="str">
        <f>'Raw Datas'!AV65</f>
        <v>0</v>
      </c>
      <c r="AY19" s="14" t="str">
        <f>'Raw Datas'!AW65</f>
        <v>0</v>
      </c>
      <c r="AZ19" s="14" t="str">
        <f>'Raw Datas'!AX65</f>
        <v>0</v>
      </c>
      <c r="BA19" s="14" t="str">
        <f>'Raw Datas'!AY65</f>
        <v>0</v>
      </c>
      <c r="BB19" s="14" t="str">
        <f>'Raw Datas'!AZ65</f>
        <v>0</v>
      </c>
      <c r="BC19" s="14" t="str">
        <f>'Raw Datas'!BA65</f>
        <v>0</v>
      </c>
      <c r="BD19" s="14" t="str">
        <f>'Raw Datas'!BB65</f>
        <v>0</v>
      </c>
      <c r="BE19" s="14" t="str">
        <f>'Raw Datas'!BC65</f>
        <v>0</v>
      </c>
      <c r="BF19" s="14" t="str">
        <f>'Raw Datas'!BD65</f>
        <v>0</v>
      </c>
      <c r="BG19" s="14" t="str">
        <f>'Raw Datas'!BE65</f>
        <v>0</v>
      </c>
      <c r="BH19" s="14" t="str">
        <f>'Raw Datas'!BF65</f>
        <v>0</v>
      </c>
      <c r="BI19" s="14" t="str">
        <f>'Raw Datas'!BG65</f>
        <v>0</v>
      </c>
      <c r="BJ19" s="14" t="str">
        <f>'Raw Datas'!BH65</f>
        <v>0</v>
      </c>
      <c r="BK19" s="14" t="str">
        <f>'Raw Datas'!BI65</f>
        <v>0</v>
      </c>
      <c r="BL19" s="14" t="str">
        <f>'Raw Datas'!BJ65</f>
        <v>0</v>
      </c>
      <c r="BM19" s="14" t="str">
        <f>'Raw Datas'!BK65</f>
        <v>0</v>
      </c>
      <c r="BN19" s="14" t="str">
        <f>'Raw Datas'!BL65</f>
        <v>0</v>
      </c>
      <c r="BO19" s="14" t="str">
        <f>'Raw Datas'!BM65</f>
        <v>0</v>
      </c>
      <c r="BP19" s="14" t="str">
        <f>'Raw Datas'!BN65</f>
        <v>0</v>
      </c>
      <c r="BQ19" s="14" t="str">
        <f>'Raw Datas'!BO65</f>
        <v>0</v>
      </c>
      <c r="BR19" s="14" t="str">
        <f>'Raw Datas'!BP65</f>
        <v>0</v>
      </c>
      <c r="BS19" s="14" t="str">
        <f>'Raw Datas'!BQ65</f>
        <v>0</v>
      </c>
      <c r="BT19" s="14" t="str">
        <f>'Raw Datas'!BR65</f>
        <v>0</v>
      </c>
      <c r="BU19" s="14" t="str">
        <f>'Raw Datas'!BS65</f>
        <v>0</v>
      </c>
      <c r="BV19" s="14" t="str">
        <f>'Raw Datas'!BT65</f>
        <v>0</v>
      </c>
      <c r="BW19" s="14" t="str">
        <f>'Raw Datas'!BU65</f>
        <v>0</v>
      </c>
      <c r="BX19" s="14" t="str">
        <f>'Raw Datas'!BV65</f>
        <v>0</v>
      </c>
      <c r="BY19" s="14" t="str">
        <f>'Raw Datas'!BW65</f>
        <v>0</v>
      </c>
      <c r="BZ19" s="14" t="str">
        <f>'Raw Datas'!BX65</f>
        <v>0</v>
      </c>
      <c r="CA19" s="14" t="str">
        <f>'Raw Datas'!BY65</f>
        <v>0</v>
      </c>
      <c r="CB19" s="14" t="str">
        <f>'Raw Datas'!BZ65</f>
        <v>0</v>
      </c>
      <c r="CC19" s="14" t="str">
        <f>'Raw Datas'!CA65</f>
        <v>0</v>
      </c>
      <c r="CD19" s="14" t="str">
        <f>'Raw Datas'!CB65</f>
        <v>0</v>
      </c>
      <c r="CE19" s="14" t="str">
        <f>'Raw Datas'!CC65</f>
        <v>0</v>
      </c>
      <c r="CF19" s="14" t="str">
        <f>'Raw Datas'!CD65</f>
        <v>0</v>
      </c>
      <c r="CG19" s="14" t="str">
        <f>'Raw Datas'!CE65</f>
        <v>0</v>
      </c>
      <c r="CH19" s="14" t="str">
        <f>'Raw Datas'!CF65</f>
        <v>0</v>
      </c>
      <c r="CI19" s="14" t="str">
        <f>'Raw Datas'!CG65</f>
        <v>0</v>
      </c>
      <c r="CJ19" s="14" t="str">
        <f>'Raw Datas'!CH65</f>
        <v>0</v>
      </c>
      <c r="CK19" s="14" t="str">
        <f>'Raw Datas'!CI65</f>
        <v>0</v>
      </c>
      <c r="CL19" s="14" t="str">
        <f>'Raw Datas'!CJ65</f>
        <v>0</v>
      </c>
      <c r="CM19" s="14" t="str">
        <f>'Raw Datas'!CK65</f>
        <v>0</v>
      </c>
      <c r="CN19" s="14" t="str">
        <f>'Raw Datas'!CL65</f>
        <v>0</v>
      </c>
      <c r="CO19" s="14" t="str">
        <f>'Raw Datas'!CM65</f>
        <v>0</v>
      </c>
      <c r="CP19" s="14" t="str">
        <f>'Raw Datas'!CN65</f>
        <v>0</v>
      </c>
      <c r="CQ19" s="14" t="str">
        <f>'Raw Datas'!CO65</f>
        <v>0</v>
      </c>
      <c r="CR19" s="14" t="str">
        <f>'Raw Datas'!CP65</f>
        <v>0</v>
      </c>
      <c r="CS19" s="14" t="str">
        <f>'Raw Datas'!CQ65</f>
        <v>0</v>
      </c>
      <c r="CT19" s="14" t="str">
        <f>'Raw Datas'!CR65</f>
        <v>0</v>
      </c>
      <c r="CU19" s="14" t="str">
        <f>'Raw Datas'!CS65</f>
        <v>0</v>
      </c>
      <c r="CV19" s="14" t="str">
        <f>'Raw Datas'!CT65</f>
        <v>0</v>
      </c>
      <c r="CW19" s="14" t="str">
        <f>'Raw Datas'!CU65</f>
        <v>0</v>
      </c>
      <c r="CX19" s="14" t="str">
        <f>'Raw Datas'!CV65</f>
        <v>0</v>
      </c>
      <c r="CY19" s="14" t="str">
        <f>'Raw Datas'!CW65</f>
        <v>0</v>
      </c>
      <c r="CZ19" s="14" t="str">
        <f>'Raw Datas'!CX65</f>
        <v>0</v>
      </c>
      <c r="DA19" s="14" t="str">
        <f>'Raw Datas'!CY65</f>
        <v>0</v>
      </c>
      <c r="DB19" s="14" t="str">
        <f>'Raw Datas'!CZ65</f>
        <v>0</v>
      </c>
      <c r="DC19" s="14" t="str">
        <f>'Raw Datas'!DA65</f>
        <v>0</v>
      </c>
      <c r="DD19" s="14" t="str">
        <f>'Raw Datas'!DB65</f>
        <v>0</v>
      </c>
      <c r="DE19" s="14" t="str">
        <f>'Raw Datas'!DC65</f>
        <v>0</v>
      </c>
      <c r="DF19" s="14" t="str">
        <f>'Raw Datas'!DD65</f>
        <v>0</v>
      </c>
      <c r="DG19" s="14" t="str">
        <f>'Raw Datas'!DE65</f>
        <v>0</v>
      </c>
      <c r="DH19" s="14" t="str">
        <f>'Raw Datas'!DF65</f>
        <v>0</v>
      </c>
      <c r="DI19" s="14" t="str">
        <f>'Raw Datas'!DG65</f>
        <v>0</v>
      </c>
      <c r="DJ19" s="14" t="str">
        <f>'Raw Datas'!DH65</f>
        <v>0</v>
      </c>
      <c r="DK19" s="14" t="str">
        <f>'Raw Datas'!DI65</f>
        <v>0</v>
      </c>
      <c r="DL19" s="14" t="str">
        <f>'Raw Datas'!DJ65</f>
        <v>0</v>
      </c>
      <c r="DM19" s="14" t="str">
        <f>'Raw Datas'!DK65</f>
        <v>0</v>
      </c>
      <c r="DN19" s="14" t="str">
        <f>'Raw Datas'!DL65</f>
        <v>0</v>
      </c>
      <c r="DO19" s="14" t="str">
        <f>'Raw Datas'!DM65</f>
        <v>0</v>
      </c>
      <c r="DP19" s="14" t="str">
        <f>'Raw Datas'!DN65</f>
        <v>0</v>
      </c>
      <c r="DQ19" s="14" t="str">
        <f>'Raw Datas'!DO65</f>
        <v>0</v>
      </c>
      <c r="DR19" s="14" t="str">
        <f>'Raw Datas'!DP65</f>
        <v>0</v>
      </c>
      <c r="DS19" s="14" t="str">
        <f>'Raw Datas'!DQ65</f>
        <v>0</v>
      </c>
      <c r="DT19" s="14" t="str">
        <f>'Raw Datas'!DR65</f>
        <v>0</v>
      </c>
      <c r="DU19" s="14" t="str">
        <f>'Raw Datas'!DS65</f>
        <v>0</v>
      </c>
      <c r="DV19" s="14" t="str">
        <f>'Raw Datas'!DT65</f>
        <v>0</v>
      </c>
      <c r="DW19" s="14" t="str">
        <f>'Raw Datas'!DU65</f>
        <v>0</v>
      </c>
      <c r="DX19" s="14" t="str">
        <f>'Raw Datas'!DV65</f>
        <v>0</v>
      </c>
      <c r="DY19" s="14" t="str">
        <f>'Raw Datas'!DW65</f>
        <v>0</v>
      </c>
      <c r="DZ19" s="14" t="str">
        <f>'Raw Datas'!DX65</f>
        <v>0</v>
      </c>
      <c r="EA19" s="14" t="str">
        <f>'Raw Datas'!DY65</f>
        <v>0</v>
      </c>
      <c r="EB19" s="14" t="str">
        <f>'Raw Datas'!DZ65</f>
        <v>0</v>
      </c>
      <c r="EC19" s="14" t="str">
        <f>'Raw Datas'!EA65</f>
        <v>0</v>
      </c>
      <c r="ED19" s="14" t="str">
        <f>'Raw Datas'!EB65</f>
        <v>0</v>
      </c>
      <c r="EE19" s="14" t="str">
        <f>'Raw Datas'!EC65</f>
        <v>0</v>
      </c>
      <c r="EF19" s="14" t="str">
        <f>'Raw Datas'!ED65</f>
        <v>0</v>
      </c>
      <c r="EG19" s="14" t="str">
        <f>'Raw Datas'!EE65</f>
        <v>0</v>
      </c>
      <c r="EH19" s="14" t="str">
        <f>'Raw Datas'!EF65</f>
        <v>0</v>
      </c>
      <c r="EI19" s="14" t="str">
        <f>'Raw Datas'!EG65</f>
        <v>0</v>
      </c>
      <c r="EJ19" s="14" t="str">
        <f>'Raw Datas'!EH65</f>
        <v>0</v>
      </c>
      <c r="EK19" s="14" t="str">
        <f>'Raw Datas'!EI65</f>
        <v>0</v>
      </c>
      <c r="EL19" s="14" t="str">
        <f>'Raw Datas'!EJ65</f>
        <v>0</v>
      </c>
      <c r="EM19" s="14" t="str">
        <f>'Raw Datas'!EK65</f>
        <v>0</v>
      </c>
      <c r="EN19" s="14" t="str">
        <f>'Raw Datas'!EL65</f>
        <v>0</v>
      </c>
      <c r="EO19" s="14" t="str">
        <f>'Raw Datas'!EM65</f>
        <v>0</v>
      </c>
      <c r="EP19" s="14" t="str">
        <f>'Raw Datas'!EN65</f>
        <v>0</v>
      </c>
      <c r="EQ19" s="14" t="str">
        <f>'Raw Datas'!EO65</f>
        <v>0</v>
      </c>
      <c r="ER19" s="14" t="str">
        <f>'Raw Datas'!EP65</f>
        <v>0</v>
      </c>
      <c r="ES19" s="14" t="str">
        <f>'Raw Datas'!EQ65</f>
        <v>0</v>
      </c>
      <c r="ET19" s="14" t="str">
        <f>'Raw Datas'!ER65</f>
        <v>0</v>
      </c>
      <c r="EU19" s="14" t="str">
        <f>'Raw Datas'!ES65</f>
        <v>0</v>
      </c>
      <c r="EV19" s="14" t="str">
        <f>'Raw Datas'!ET65</f>
        <v>0</v>
      </c>
      <c r="EW19" s="14" t="str">
        <f>'Raw Datas'!EU65</f>
        <v>0</v>
      </c>
      <c r="EX19" s="14" t="str">
        <f>'Raw Datas'!EV65</f>
        <v>0</v>
      </c>
      <c r="EY19" s="14" t="str">
        <f>'Raw Datas'!EW65</f>
        <v>0</v>
      </c>
      <c r="EZ19" s="14" t="str">
        <f>'Raw Datas'!EX65</f>
        <v>0</v>
      </c>
      <c r="FA19" s="14" t="str">
        <f>'Raw Datas'!EY65</f>
        <v>0</v>
      </c>
      <c r="FB19" s="14" t="str">
        <f>'Raw Datas'!EZ65</f>
        <v>0</v>
      </c>
      <c r="FC19" s="14" t="str">
        <f>'Raw Datas'!FA65</f>
        <v>0</v>
      </c>
      <c r="FD19" s="14" t="str">
        <f>'Raw Datas'!FB65</f>
        <v>0</v>
      </c>
      <c r="FE19" s="14" t="str">
        <f>'Raw Datas'!FC65</f>
        <v>0</v>
      </c>
      <c r="FF19" s="14" t="str">
        <f>'Raw Datas'!FD65</f>
        <v>0</v>
      </c>
      <c r="FG19" s="14" t="str">
        <f>'Raw Datas'!FE65</f>
        <v>0</v>
      </c>
      <c r="FH19" s="14" t="str">
        <f>'Raw Datas'!FF65</f>
        <v>0</v>
      </c>
      <c r="FI19" s="14" t="str">
        <f>'Raw Datas'!FG65</f>
        <v>0</v>
      </c>
      <c r="FJ19" s="14" t="str">
        <f>'Raw Datas'!FH65</f>
        <v>0</v>
      </c>
      <c r="FK19" s="14" t="str">
        <f>'Raw Datas'!FI65</f>
        <v>0</v>
      </c>
      <c r="FL19" s="14" t="str">
        <f>'Raw Datas'!FJ65</f>
        <v>0</v>
      </c>
      <c r="FM19" s="14" t="str">
        <f>'Raw Datas'!FK65</f>
        <v>0</v>
      </c>
      <c r="FN19" s="14" t="str">
        <f>'Raw Datas'!FL65</f>
        <v>0</v>
      </c>
      <c r="FO19" s="14" t="str">
        <f>'Raw Datas'!FM65</f>
        <v>0</v>
      </c>
      <c r="FP19" s="14" t="str">
        <f>'Raw Datas'!FN65</f>
        <v>0</v>
      </c>
      <c r="FQ19" s="14" t="str">
        <f>'Raw Datas'!FO65</f>
        <v>0</v>
      </c>
    </row>
    <row r="20" spans="1:173" ht="16" thickBot="1" x14ac:dyDescent="0.25"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</row>
    <row r="21" spans="1:173" ht="15.75" customHeight="1" x14ac:dyDescent="0.2">
      <c r="A21" s="116" t="s">
        <v>368</v>
      </c>
      <c r="B21" s="56" t="s">
        <v>9</v>
      </c>
      <c r="C21" s="107" t="s">
        <v>738</v>
      </c>
      <c r="D21" s="103"/>
      <c r="E21" s="59" t="str">
        <f>'Raw Datas'!C66</f>
        <v>0</v>
      </c>
      <c r="F21" s="9" t="str">
        <f>'Raw Datas'!D66</f>
        <v>0</v>
      </c>
      <c r="G21" s="9" t="str">
        <f>'Raw Datas'!E66</f>
        <v>0</v>
      </c>
      <c r="H21" s="9" t="str">
        <f>'Raw Datas'!F66</f>
        <v>0</v>
      </c>
      <c r="I21" s="9" t="str">
        <f>'Raw Datas'!G66</f>
        <v>0</v>
      </c>
      <c r="J21" s="9" t="str">
        <f>'Raw Datas'!H66</f>
        <v>0</v>
      </c>
      <c r="K21" s="9" t="str">
        <f>'Raw Datas'!I66</f>
        <v>0</v>
      </c>
      <c r="L21" s="9" t="str">
        <f>'Raw Datas'!J66</f>
        <v>0</v>
      </c>
      <c r="M21" s="9" t="str">
        <f>'Raw Datas'!K66</f>
        <v>0</v>
      </c>
      <c r="N21" s="9" t="str">
        <f>'Raw Datas'!L66</f>
        <v>0</v>
      </c>
      <c r="O21" s="9" t="str">
        <f>'Raw Datas'!M66</f>
        <v>0</v>
      </c>
      <c r="P21" s="9" t="str">
        <f>'Raw Datas'!N66</f>
        <v>0</v>
      </c>
      <c r="Q21" s="9" t="str">
        <f>'Raw Datas'!O66</f>
        <v>0</v>
      </c>
      <c r="R21" s="9" t="str">
        <f>'Raw Datas'!P66</f>
        <v>0</v>
      </c>
      <c r="S21" s="9" t="str">
        <f>'Raw Datas'!Q66</f>
        <v>0</v>
      </c>
      <c r="T21" s="9" t="str">
        <f>'Raw Datas'!R66</f>
        <v>0</v>
      </c>
      <c r="U21" s="9" t="str">
        <f>'Raw Datas'!S66</f>
        <v>0</v>
      </c>
      <c r="V21" s="9" t="str">
        <f>'Raw Datas'!T66</f>
        <v>0</v>
      </c>
      <c r="W21" s="9" t="str">
        <f>'Raw Datas'!U66</f>
        <v>0</v>
      </c>
      <c r="X21" s="9" t="str">
        <f>'Raw Datas'!V66</f>
        <v>0</v>
      </c>
      <c r="Y21" s="9" t="str">
        <f>'Raw Datas'!W66</f>
        <v>0</v>
      </c>
      <c r="Z21" s="9" t="str">
        <f>'Raw Datas'!X66</f>
        <v>0</v>
      </c>
      <c r="AA21" s="9" t="str">
        <f>'Raw Datas'!Y66</f>
        <v>0</v>
      </c>
      <c r="AB21" s="9" t="str">
        <f>'Raw Datas'!Z66</f>
        <v>0</v>
      </c>
      <c r="AC21" s="9" t="str">
        <f>'Raw Datas'!AA66</f>
        <v>0</v>
      </c>
      <c r="AD21" s="9" t="str">
        <f>'Raw Datas'!AB66</f>
        <v>0</v>
      </c>
      <c r="AE21" s="9" t="str">
        <f>'Raw Datas'!AC66</f>
        <v>0</v>
      </c>
      <c r="AF21" s="9" t="str">
        <f>'Raw Datas'!AD66</f>
        <v>0</v>
      </c>
      <c r="AG21" s="9" t="str">
        <f>'Raw Datas'!AE66</f>
        <v>0</v>
      </c>
      <c r="AH21" s="9" t="str">
        <f>'Raw Datas'!AF66</f>
        <v>0</v>
      </c>
      <c r="AI21" s="9" t="str">
        <f>'Raw Datas'!AG66</f>
        <v>0</v>
      </c>
      <c r="AJ21" s="9" t="str">
        <f>'Raw Datas'!AH66</f>
        <v>0</v>
      </c>
      <c r="AK21" s="9" t="str">
        <f>'Raw Datas'!AI66</f>
        <v>0</v>
      </c>
      <c r="AL21" s="9" t="str">
        <f>'Raw Datas'!AJ66</f>
        <v>0</v>
      </c>
      <c r="AM21" s="9" t="str">
        <f>'Raw Datas'!AK66</f>
        <v>0</v>
      </c>
      <c r="AN21" s="9" t="str">
        <f>'Raw Datas'!AL66</f>
        <v>0</v>
      </c>
      <c r="AO21" s="9" t="str">
        <f>'Raw Datas'!AM66</f>
        <v>0</v>
      </c>
      <c r="AP21" s="9" t="str">
        <f>'Raw Datas'!AN66</f>
        <v>0</v>
      </c>
      <c r="AQ21" s="9" t="str">
        <f>'Raw Datas'!AO66</f>
        <v>0</v>
      </c>
      <c r="AR21" s="9" t="str">
        <f>'Raw Datas'!AP66</f>
        <v>0</v>
      </c>
      <c r="AS21" s="9" t="str">
        <f>'Raw Datas'!AQ66</f>
        <v>0</v>
      </c>
      <c r="AT21" s="9" t="str">
        <f>'Raw Datas'!AR66</f>
        <v>0</v>
      </c>
      <c r="AU21" s="9" t="str">
        <f>'Raw Datas'!AS66</f>
        <v>0</v>
      </c>
      <c r="AV21" s="9" t="str">
        <f>'Raw Datas'!AT66</f>
        <v>0</v>
      </c>
      <c r="AW21" s="9" t="str">
        <f>'Raw Datas'!AU66</f>
        <v>0</v>
      </c>
      <c r="AX21" s="9" t="str">
        <f>'Raw Datas'!AV66</f>
        <v>0</v>
      </c>
      <c r="AY21" s="9" t="str">
        <f>'Raw Datas'!AW66</f>
        <v>0</v>
      </c>
      <c r="AZ21" s="9" t="str">
        <f>'Raw Datas'!AX66</f>
        <v>0</v>
      </c>
      <c r="BA21" s="9" t="str">
        <f>'Raw Datas'!AY66</f>
        <v>0</v>
      </c>
      <c r="BB21" s="9" t="str">
        <f>'Raw Datas'!AZ66</f>
        <v>0</v>
      </c>
      <c r="BC21" s="9" t="str">
        <f>'Raw Datas'!BA66</f>
        <v>0</v>
      </c>
      <c r="BD21" s="9" t="str">
        <f>'Raw Datas'!BB66</f>
        <v>0</v>
      </c>
      <c r="BE21" s="9" t="str">
        <f>'Raw Datas'!BC66</f>
        <v>0</v>
      </c>
      <c r="BF21" s="9" t="str">
        <f>'Raw Datas'!BD66</f>
        <v>0</v>
      </c>
      <c r="BG21" s="9" t="str">
        <f>'Raw Datas'!BE66</f>
        <v>0</v>
      </c>
      <c r="BH21" s="9" t="str">
        <f>'Raw Datas'!BF66</f>
        <v>0</v>
      </c>
      <c r="BI21" s="9" t="str">
        <f>'Raw Datas'!BG66</f>
        <v>0</v>
      </c>
      <c r="BJ21" s="9" t="str">
        <f>'Raw Datas'!BH66</f>
        <v>0</v>
      </c>
      <c r="BK21" s="9" t="str">
        <f>'Raw Datas'!BI66</f>
        <v>0</v>
      </c>
      <c r="BL21" s="9" t="str">
        <f>'Raw Datas'!BJ66</f>
        <v>0</v>
      </c>
      <c r="BM21" s="9" t="str">
        <f>'Raw Datas'!BK66</f>
        <v>0</v>
      </c>
      <c r="BN21" s="9" t="str">
        <f>'Raw Datas'!BL66</f>
        <v>0</v>
      </c>
      <c r="BO21" s="9" t="str">
        <f>'Raw Datas'!BM66</f>
        <v>0</v>
      </c>
      <c r="BP21" s="9" t="str">
        <f>'Raw Datas'!BN66</f>
        <v>0</v>
      </c>
      <c r="BQ21" s="9" t="str">
        <f>'Raw Datas'!BO66</f>
        <v>0</v>
      </c>
      <c r="BR21" s="9" t="str">
        <f>'Raw Datas'!BP66</f>
        <v>0</v>
      </c>
      <c r="BS21" s="9" t="str">
        <f>'Raw Datas'!BQ66</f>
        <v>0</v>
      </c>
      <c r="BT21" s="9" t="str">
        <f>'Raw Datas'!BR66</f>
        <v>0</v>
      </c>
      <c r="BU21" s="9" t="str">
        <f>'Raw Datas'!BS66</f>
        <v>0</v>
      </c>
      <c r="BV21" s="9" t="str">
        <f>'Raw Datas'!BT66</f>
        <v>0</v>
      </c>
      <c r="BW21" s="9" t="str">
        <f>'Raw Datas'!BU66</f>
        <v>0</v>
      </c>
      <c r="BX21" s="9" t="str">
        <f>'Raw Datas'!BV66</f>
        <v>0</v>
      </c>
      <c r="BY21" s="9" t="str">
        <f>'Raw Datas'!BW66</f>
        <v>0</v>
      </c>
      <c r="BZ21" s="9" t="str">
        <f>'Raw Datas'!BX66</f>
        <v>0</v>
      </c>
      <c r="CA21" s="9" t="str">
        <f>'Raw Datas'!BY66</f>
        <v>0</v>
      </c>
      <c r="CB21" s="9" t="str">
        <f>'Raw Datas'!BZ66</f>
        <v>0</v>
      </c>
      <c r="CC21" s="9" t="str">
        <f>'Raw Datas'!CA66</f>
        <v>0</v>
      </c>
      <c r="CD21" s="9" t="str">
        <f>'Raw Datas'!CB66</f>
        <v>0</v>
      </c>
      <c r="CE21" s="9" t="str">
        <f>'Raw Datas'!CC66</f>
        <v>0</v>
      </c>
      <c r="CF21" s="9" t="str">
        <f>'Raw Datas'!CD66</f>
        <v>0</v>
      </c>
      <c r="CG21" s="9" t="str">
        <f>'Raw Datas'!CE66</f>
        <v>0</v>
      </c>
      <c r="CH21" s="9" t="str">
        <f>'Raw Datas'!CF66</f>
        <v>0</v>
      </c>
      <c r="CI21" s="9" t="str">
        <f>'Raw Datas'!CG66</f>
        <v>0</v>
      </c>
      <c r="CJ21" s="9" t="str">
        <f>'Raw Datas'!CH66</f>
        <v>0</v>
      </c>
      <c r="CK21" s="9" t="str">
        <f>'Raw Datas'!CI66</f>
        <v>0</v>
      </c>
      <c r="CL21" s="9" t="str">
        <f>'Raw Datas'!CJ66</f>
        <v>0</v>
      </c>
      <c r="CM21" s="9" t="str">
        <f>'Raw Datas'!CK66</f>
        <v>0</v>
      </c>
      <c r="CN21" s="9" t="str">
        <f>'Raw Datas'!CL66</f>
        <v>0</v>
      </c>
      <c r="CO21" s="9" t="str">
        <f>'Raw Datas'!CM66</f>
        <v>0</v>
      </c>
      <c r="CP21" s="9" t="str">
        <f>'Raw Datas'!CN66</f>
        <v>0</v>
      </c>
      <c r="CQ21" s="9" t="str">
        <f>'Raw Datas'!CO66</f>
        <v>0</v>
      </c>
      <c r="CR21" s="9" t="str">
        <f>'Raw Datas'!CP66</f>
        <v>0</v>
      </c>
      <c r="CS21" s="9" t="str">
        <f>'Raw Datas'!CQ66</f>
        <v>0</v>
      </c>
      <c r="CT21" s="9" t="str">
        <f>'Raw Datas'!CR66</f>
        <v>0</v>
      </c>
      <c r="CU21" s="9" t="str">
        <f>'Raw Datas'!CS66</f>
        <v>0</v>
      </c>
      <c r="CV21" s="9" t="str">
        <f>'Raw Datas'!CT66</f>
        <v>0</v>
      </c>
      <c r="CW21" s="9" t="str">
        <f>'Raw Datas'!CU66</f>
        <v>0</v>
      </c>
      <c r="CX21" s="9" t="str">
        <f>'Raw Datas'!CV66</f>
        <v>0</v>
      </c>
      <c r="CY21" s="9" t="str">
        <f>'Raw Datas'!CW66</f>
        <v>0</v>
      </c>
      <c r="CZ21" s="9" t="str">
        <f>'Raw Datas'!CX66</f>
        <v>0</v>
      </c>
      <c r="DA21" s="9" t="str">
        <f>'Raw Datas'!CY66</f>
        <v>0</v>
      </c>
      <c r="DB21" s="9" t="str">
        <f>'Raw Datas'!CZ66</f>
        <v>0</v>
      </c>
      <c r="DC21" s="9" t="str">
        <f>'Raw Datas'!DA66</f>
        <v>0</v>
      </c>
      <c r="DD21" s="9" t="str">
        <f>'Raw Datas'!DB66</f>
        <v>0</v>
      </c>
      <c r="DE21" s="9" t="str">
        <f>'Raw Datas'!DC66</f>
        <v>0</v>
      </c>
      <c r="DF21" s="9" t="str">
        <f>'Raw Datas'!DD66</f>
        <v>0</v>
      </c>
      <c r="DG21" s="9" t="str">
        <f>'Raw Datas'!DE66</f>
        <v>0</v>
      </c>
      <c r="DH21" s="9" t="str">
        <f>'Raw Datas'!DF66</f>
        <v>0</v>
      </c>
      <c r="DI21" s="9" t="str">
        <f>'Raw Datas'!DG66</f>
        <v>0</v>
      </c>
      <c r="DJ21" s="9" t="str">
        <f>'Raw Datas'!DH66</f>
        <v>0</v>
      </c>
      <c r="DK21" s="9" t="str">
        <f>'Raw Datas'!DI66</f>
        <v>0</v>
      </c>
      <c r="DL21" s="9" t="str">
        <f>'Raw Datas'!DJ66</f>
        <v>0</v>
      </c>
      <c r="DM21" s="9" t="str">
        <f>'Raw Datas'!DK66</f>
        <v>0</v>
      </c>
      <c r="DN21" s="9" t="str">
        <f>'Raw Datas'!DL66</f>
        <v>0</v>
      </c>
      <c r="DO21" s="9" t="str">
        <f>'Raw Datas'!DM66</f>
        <v>0</v>
      </c>
      <c r="DP21" s="9" t="str">
        <f>'Raw Datas'!DN66</f>
        <v>0</v>
      </c>
      <c r="DQ21" s="9" t="str">
        <f>'Raw Datas'!DO66</f>
        <v>0</v>
      </c>
      <c r="DR21" s="9" t="str">
        <f>'Raw Datas'!DP66</f>
        <v>0</v>
      </c>
      <c r="DS21" s="9" t="str">
        <f>'Raw Datas'!DQ66</f>
        <v>0</v>
      </c>
      <c r="DT21" s="9" t="str">
        <f>'Raw Datas'!DR66</f>
        <v>0</v>
      </c>
      <c r="DU21" s="9" t="str">
        <f>'Raw Datas'!DS66</f>
        <v>0</v>
      </c>
      <c r="DV21" s="9" t="str">
        <f>'Raw Datas'!DT66</f>
        <v>0</v>
      </c>
      <c r="DW21" s="9" t="str">
        <f>'Raw Datas'!DU66</f>
        <v>0</v>
      </c>
      <c r="DX21" s="9" t="str">
        <f>'Raw Datas'!DV66</f>
        <v>0</v>
      </c>
      <c r="DY21" s="9" t="str">
        <f>'Raw Datas'!DW66</f>
        <v>0</v>
      </c>
      <c r="DZ21" s="9" t="str">
        <f>'Raw Datas'!DX66</f>
        <v>0</v>
      </c>
      <c r="EA21" s="9" t="str">
        <f>'Raw Datas'!DY66</f>
        <v>0</v>
      </c>
      <c r="EB21" s="9" t="str">
        <f>'Raw Datas'!DZ66</f>
        <v>0</v>
      </c>
      <c r="EC21" s="9" t="str">
        <f>'Raw Datas'!EA66</f>
        <v>0</v>
      </c>
      <c r="ED21" s="9" t="str">
        <f>'Raw Datas'!EB66</f>
        <v>0</v>
      </c>
      <c r="EE21" s="9" t="str">
        <f>'Raw Datas'!EC66</f>
        <v>0</v>
      </c>
      <c r="EF21" s="9" t="str">
        <f>'Raw Datas'!ED66</f>
        <v>0</v>
      </c>
      <c r="EG21" s="9" t="str">
        <f>'Raw Datas'!EE66</f>
        <v>0</v>
      </c>
      <c r="EH21" s="9" t="str">
        <f>'Raw Datas'!EF66</f>
        <v>0</v>
      </c>
      <c r="EI21" s="9" t="str">
        <f>'Raw Datas'!EG66</f>
        <v>0</v>
      </c>
      <c r="EJ21" s="9" t="str">
        <f>'Raw Datas'!EH66</f>
        <v>0</v>
      </c>
      <c r="EK21" s="9" t="str">
        <f>'Raw Datas'!EI66</f>
        <v>0</v>
      </c>
      <c r="EL21" s="9" t="str">
        <f>'Raw Datas'!EJ66</f>
        <v>0</v>
      </c>
      <c r="EM21" s="9" t="str">
        <f>'Raw Datas'!EK66</f>
        <v>0</v>
      </c>
      <c r="EN21" s="9" t="str">
        <f>'Raw Datas'!EL66</f>
        <v>0</v>
      </c>
      <c r="EO21" s="9" t="str">
        <f>'Raw Datas'!EM66</f>
        <v>0</v>
      </c>
      <c r="EP21" s="9" t="str">
        <f>'Raw Datas'!EN66</f>
        <v>0</v>
      </c>
      <c r="EQ21" s="9" t="str">
        <f>'Raw Datas'!EO66</f>
        <v>0</v>
      </c>
      <c r="ER21" s="9" t="str">
        <f>'Raw Datas'!EP66</f>
        <v>0</v>
      </c>
      <c r="ES21" s="9" t="str">
        <f>'Raw Datas'!EQ66</f>
        <v>0</v>
      </c>
      <c r="ET21" s="9" t="str">
        <f>'Raw Datas'!ER66</f>
        <v>0</v>
      </c>
      <c r="EU21" s="9" t="str">
        <f>'Raw Datas'!ES66</f>
        <v>0</v>
      </c>
      <c r="EV21" s="9" t="str">
        <f>'Raw Datas'!ET66</f>
        <v>0</v>
      </c>
      <c r="EW21" s="9" t="str">
        <f>'Raw Datas'!EU66</f>
        <v>0</v>
      </c>
      <c r="EX21" s="9" t="str">
        <f>'Raw Datas'!EV66</f>
        <v>0</v>
      </c>
      <c r="EY21" s="9" t="str">
        <f>'Raw Datas'!EW66</f>
        <v>0</v>
      </c>
      <c r="EZ21" s="9" t="str">
        <f>'Raw Datas'!EX66</f>
        <v>0</v>
      </c>
      <c r="FA21" s="9" t="str">
        <f>'Raw Datas'!EY66</f>
        <v>0</v>
      </c>
      <c r="FB21" s="9" t="str">
        <f>'Raw Datas'!EZ66</f>
        <v>0</v>
      </c>
      <c r="FC21" s="9" t="str">
        <f>'Raw Datas'!FA66</f>
        <v>0</v>
      </c>
      <c r="FD21" s="9" t="str">
        <f>'Raw Datas'!FB66</f>
        <v>0</v>
      </c>
      <c r="FE21" s="9" t="str">
        <f>'Raw Datas'!FC66</f>
        <v>0</v>
      </c>
      <c r="FF21" s="9" t="str">
        <f>'Raw Datas'!FD66</f>
        <v>0</v>
      </c>
      <c r="FG21" s="9" t="str">
        <f>'Raw Datas'!FE66</f>
        <v>0</v>
      </c>
      <c r="FH21" s="9" t="str">
        <f>'Raw Datas'!FF66</f>
        <v>0</v>
      </c>
      <c r="FI21" s="9" t="str">
        <f>'Raw Datas'!FG66</f>
        <v>0</v>
      </c>
      <c r="FJ21" s="9" t="str">
        <f>'Raw Datas'!FH66</f>
        <v>0</v>
      </c>
      <c r="FK21" s="9" t="str">
        <f>'Raw Datas'!FI66</f>
        <v>0</v>
      </c>
      <c r="FL21" s="9" t="str">
        <f>'Raw Datas'!FJ66</f>
        <v>0</v>
      </c>
      <c r="FM21" s="9" t="str">
        <f>'Raw Datas'!FK66</f>
        <v>0</v>
      </c>
      <c r="FN21" s="9" t="str">
        <f>'Raw Datas'!FL66</f>
        <v>0</v>
      </c>
      <c r="FO21" s="9" t="str">
        <f>'Raw Datas'!FM66</f>
        <v>0</v>
      </c>
      <c r="FP21" s="9" t="str">
        <f>'Raw Datas'!FN66</f>
        <v>0</v>
      </c>
      <c r="FQ21" s="9" t="str">
        <f>'Raw Datas'!FO66</f>
        <v>0</v>
      </c>
    </row>
    <row r="22" spans="1:173" ht="15.75" customHeight="1" x14ac:dyDescent="0.2">
      <c r="A22" s="117"/>
      <c r="B22" s="97" t="s">
        <v>375</v>
      </c>
      <c r="C22" s="104" t="s">
        <v>737</v>
      </c>
      <c r="D22" s="104"/>
      <c r="E22" s="60">
        <f>'Raw Datas'!C67</f>
        <v>0.76226666666666665</v>
      </c>
      <c r="F22" s="63">
        <f>'Raw Datas'!D67</f>
        <v>2.2586333333333335</v>
      </c>
      <c r="G22" s="63" t="str">
        <f>'Raw Datas'!E67</f>
        <v>0</v>
      </c>
      <c r="H22" s="63">
        <f>'Raw Datas'!F67</f>
        <v>2.6011333333333329</v>
      </c>
      <c r="I22" s="63">
        <f>'Raw Datas'!G67</f>
        <v>0.82863333333333344</v>
      </c>
      <c r="J22" s="63">
        <f>'Raw Datas'!H67</f>
        <v>1.5406000000000002</v>
      </c>
      <c r="K22" s="63">
        <f>'Raw Datas'!I67</f>
        <v>2.9791000000000003</v>
      </c>
      <c r="L22" s="63">
        <f>'Raw Datas'!J67</f>
        <v>1.6943000000000004</v>
      </c>
      <c r="M22" s="63">
        <f>'Raw Datas'!K67</f>
        <v>2.1067</v>
      </c>
      <c r="N22" s="63">
        <f>'Raw Datas'!L67</f>
        <v>3.0104333333333333</v>
      </c>
      <c r="O22" s="63">
        <f>'Raw Datas'!M67</f>
        <v>1.7687166666666665</v>
      </c>
      <c r="P22" s="63" t="str">
        <f>'Raw Datas'!N67</f>
        <v>0</v>
      </c>
      <c r="Q22" s="63">
        <f>'Raw Datas'!O67</f>
        <v>2.0067333333333335</v>
      </c>
      <c r="R22" s="63">
        <f>'Raw Datas'!P67</f>
        <v>1.9183166666666667</v>
      </c>
      <c r="S22" s="63">
        <f>'Raw Datas'!Q67</f>
        <v>1.5540833333333335</v>
      </c>
      <c r="T22" s="63">
        <f>'Raw Datas'!R67</f>
        <v>4.6751333333333331</v>
      </c>
      <c r="U22" s="63">
        <f>'Raw Datas'!S67</f>
        <v>3.2365166666666667</v>
      </c>
      <c r="V22" s="63">
        <f>'Raw Datas'!T67</f>
        <v>0.56718333333333326</v>
      </c>
      <c r="W22" s="63">
        <f>'Raw Datas'!U67</f>
        <v>1.2656666666666667</v>
      </c>
      <c r="X22" s="63" t="str">
        <f>'Raw Datas'!V67</f>
        <v>0</v>
      </c>
      <c r="Y22" s="63" t="str">
        <f>'Raw Datas'!W67</f>
        <v>0</v>
      </c>
      <c r="Z22" s="63" t="str">
        <f>'Raw Datas'!X67</f>
        <v>0</v>
      </c>
      <c r="AA22" s="63">
        <f>'Raw Datas'!Y67</f>
        <v>1.9705166666666665</v>
      </c>
      <c r="AB22" s="63" t="str">
        <f>'Raw Datas'!Z67</f>
        <v>0</v>
      </c>
      <c r="AC22" s="63">
        <f>'Raw Datas'!AA67</f>
        <v>1.1262000000000001</v>
      </c>
      <c r="AD22" s="63">
        <f>'Raw Datas'!AB67</f>
        <v>1.7968999999999999</v>
      </c>
      <c r="AE22" s="63">
        <f>'Raw Datas'!AC67</f>
        <v>2.3373500000000003</v>
      </c>
      <c r="AF22" s="63">
        <f>'Raw Datas'!AD67</f>
        <v>1.03725</v>
      </c>
      <c r="AG22" s="63">
        <f>'Raw Datas'!AE67</f>
        <v>1.2503333333333333</v>
      </c>
      <c r="AH22" s="63">
        <f>'Raw Datas'!AF67</f>
        <v>0.24400000000000002</v>
      </c>
      <c r="AI22" s="63">
        <f>'Raw Datas'!AG67</f>
        <v>1.0787499999999999</v>
      </c>
      <c r="AJ22" s="63">
        <f>'Raw Datas'!AH67</f>
        <v>0.84753333333333336</v>
      </c>
      <c r="AK22" s="63">
        <f>'Raw Datas'!AI67</f>
        <v>0.73925000000000007</v>
      </c>
      <c r="AL22" s="63" t="str">
        <f>'Raw Datas'!AJ67</f>
        <v>0</v>
      </c>
      <c r="AM22" s="63">
        <f>'Raw Datas'!AK67</f>
        <v>1.4956500000000001</v>
      </c>
      <c r="AN22" s="63" t="str">
        <f>'Raw Datas'!AL67</f>
        <v>0</v>
      </c>
      <c r="AO22" s="63" t="str">
        <f>'Raw Datas'!AM67</f>
        <v>0</v>
      </c>
      <c r="AP22" s="63">
        <f>'Raw Datas'!AN67</f>
        <v>1.7513833333333333</v>
      </c>
      <c r="AQ22" s="63">
        <f>'Raw Datas'!AO67</f>
        <v>1.2157333333333333</v>
      </c>
      <c r="AR22" s="63" t="str">
        <f>'Raw Datas'!AP67</f>
        <v>0</v>
      </c>
      <c r="AS22" s="63">
        <f>'Raw Datas'!AQ67</f>
        <v>1.1088166666666666</v>
      </c>
      <c r="AT22" s="63" t="str">
        <f>'Raw Datas'!AR67</f>
        <v>0</v>
      </c>
      <c r="AU22" s="63">
        <f>'Raw Datas'!AS67</f>
        <v>1.7926833333333334</v>
      </c>
      <c r="AV22" s="63">
        <f>'Raw Datas'!AT67</f>
        <v>0.58029999999999993</v>
      </c>
      <c r="AW22" s="63" t="str">
        <f>'Raw Datas'!AU67</f>
        <v>0</v>
      </c>
      <c r="AX22" s="63">
        <f>'Raw Datas'!AV67</f>
        <v>1.2223599999999999</v>
      </c>
      <c r="AY22" s="63" t="str">
        <f>'Raw Datas'!AW67</f>
        <v>0</v>
      </c>
      <c r="AZ22" s="63">
        <f>'Raw Datas'!AX67</f>
        <v>0.56568333333333343</v>
      </c>
      <c r="BA22" s="63">
        <f>'Raw Datas'!AY67</f>
        <v>2.4613999999999998</v>
      </c>
      <c r="BB22" s="63" t="str">
        <f>'Raw Datas'!AZ67</f>
        <v>0</v>
      </c>
      <c r="BC22" s="63">
        <f>'Raw Datas'!BA67</f>
        <v>0.66771666666666674</v>
      </c>
      <c r="BD22" s="63">
        <f>'Raw Datas'!BB67</f>
        <v>0.54123333333333323</v>
      </c>
      <c r="BE22" s="63">
        <f>'Raw Datas'!BC67</f>
        <v>1.25735</v>
      </c>
      <c r="BF22" s="63">
        <f>'Raw Datas'!BD67</f>
        <v>0.66425000000000012</v>
      </c>
      <c r="BG22" s="63" t="str">
        <f>'Raw Datas'!BE67</f>
        <v>0</v>
      </c>
      <c r="BH22" s="63">
        <f>'Raw Datas'!BF67</f>
        <v>0.35031666666666672</v>
      </c>
      <c r="BI22" s="63" t="str">
        <f>'Raw Datas'!BG67</f>
        <v>0</v>
      </c>
      <c r="BJ22" s="63" t="str">
        <f>'Raw Datas'!BH67</f>
        <v>0</v>
      </c>
      <c r="BK22" s="63">
        <f>'Raw Datas'!BI67</f>
        <v>0.39321666666666671</v>
      </c>
      <c r="BL22" s="63">
        <f>'Raw Datas'!BJ67</f>
        <v>3.0922333333333332</v>
      </c>
      <c r="BM22" s="63">
        <f>'Raw Datas'!BK67</f>
        <v>5.209316666666667</v>
      </c>
      <c r="BN22" s="63">
        <f>'Raw Datas'!BL67</f>
        <v>2.7296499999999999</v>
      </c>
      <c r="BO22" s="63">
        <f>'Raw Datas'!BM67</f>
        <v>3.5019999999999998</v>
      </c>
      <c r="BP22" s="63">
        <f>'Raw Datas'!BN67</f>
        <v>6.313083333333334</v>
      </c>
      <c r="BQ22" s="63">
        <f>'Raw Datas'!BO67</f>
        <v>2.0297000000000001</v>
      </c>
      <c r="BR22" s="63">
        <f>'Raw Datas'!BP67</f>
        <v>1.61555</v>
      </c>
      <c r="BS22" s="63">
        <f>'Raw Datas'!BQ67</f>
        <v>0.53649999999999998</v>
      </c>
      <c r="BT22" s="63" t="str">
        <f>'Raw Datas'!BR67</f>
        <v>0</v>
      </c>
      <c r="BU22" s="63">
        <f>'Raw Datas'!BS67</f>
        <v>1.9818166666666668</v>
      </c>
      <c r="BV22" s="63">
        <f>'Raw Datas'!BT67</f>
        <v>1.6108166666666668</v>
      </c>
      <c r="BW22" s="63" t="str">
        <f>'Raw Datas'!BU67</f>
        <v>0</v>
      </c>
      <c r="BX22" s="63">
        <f>'Raw Datas'!BV67</f>
        <v>1.3097500000000002</v>
      </c>
      <c r="BY22" s="63">
        <f>'Raw Datas'!BW67</f>
        <v>2.0626000000000002</v>
      </c>
      <c r="BZ22" s="63">
        <f>'Raw Datas'!BX67</f>
        <v>0.41833333333333328</v>
      </c>
      <c r="CA22" s="63">
        <f>'Raw Datas'!BY67</f>
        <v>3.0598999999999998</v>
      </c>
      <c r="CB22" s="63">
        <f>'Raw Datas'!BZ67</f>
        <v>1.2577</v>
      </c>
      <c r="CC22" s="63">
        <f>'Raw Datas'!CA67</f>
        <v>1.622166666666667</v>
      </c>
      <c r="CD22" s="63">
        <f>'Raw Datas'!CB67</f>
        <v>0.43714999999999998</v>
      </c>
      <c r="CE22" s="63">
        <f>'Raw Datas'!CC67</f>
        <v>0.62090000000000001</v>
      </c>
      <c r="CF22" s="63" t="str">
        <f>'Raw Datas'!CD67</f>
        <v>0</v>
      </c>
      <c r="CG22" s="63">
        <f>'Raw Datas'!CE67</f>
        <v>1.4082999999999999</v>
      </c>
      <c r="CH22" s="63" t="str">
        <f>'Raw Datas'!CF67</f>
        <v>0</v>
      </c>
      <c r="CI22" s="63" t="str">
        <f>'Raw Datas'!CG67</f>
        <v>0</v>
      </c>
      <c r="CJ22" s="63">
        <f>'Raw Datas'!CH67</f>
        <v>5.1285333333333334</v>
      </c>
      <c r="CK22" s="63" t="str">
        <f>'Raw Datas'!CI67</f>
        <v>0</v>
      </c>
      <c r="CL22" s="63">
        <f>'Raw Datas'!CJ67</f>
        <v>0.56486666666666663</v>
      </c>
      <c r="CM22" s="63" t="str">
        <f>'Raw Datas'!CK67</f>
        <v>0</v>
      </c>
      <c r="CN22" s="63" t="str">
        <f>'Raw Datas'!CL67</f>
        <v>0</v>
      </c>
      <c r="CO22" s="63">
        <f>'Raw Datas'!CM67</f>
        <v>1.7423499999999998</v>
      </c>
      <c r="CP22" s="63">
        <f>'Raw Datas'!CN67</f>
        <v>0.98731666666666662</v>
      </c>
      <c r="CQ22" s="63">
        <f>'Raw Datas'!CO67</f>
        <v>17.711383333333334</v>
      </c>
      <c r="CR22" s="63">
        <f>'Raw Datas'!CP67</f>
        <v>2.6013833333333332</v>
      </c>
      <c r="CS22" s="63">
        <f>'Raw Datas'!CQ67</f>
        <v>4.5282833333333334</v>
      </c>
      <c r="CT22" s="63">
        <f>'Raw Datas'!CR67</f>
        <v>3.1566333333333336</v>
      </c>
      <c r="CU22" s="63">
        <f>'Raw Datas'!CS67</f>
        <v>2.0075833333333337</v>
      </c>
      <c r="CV22" s="63" t="str">
        <f>'Raw Datas'!CT67</f>
        <v>0</v>
      </c>
      <c r="CW22" s="63">
        <f>'Raw Datas'!CU67</f>
        <v>1.3866166666666664</v>
      </c>
      <c r="CX22" s="63">
        <f>'Raw Datas'!CV67</f>
        <v>4.261916666666667</v>
      </c>
      <c r="CY22" s="63">
        <f>'Raw Datas'!CW67</f>
        <v>1.0163</v>
      </c>
      <c r="CZ22" s="63">
        <f>'Raw Datas'!CX67</f>
        <v>1.0815333333333332</v>
      </c>
      <c r="DA22" s="63">
        <f>'Raw Datas'!CY67</f>
        <v>0.38605</v>
      </c>
      <c r="DB22" s="63" t="str">
        <f>'Raw Datas'!CZ67</f>
        <v>0</v>
      </c>
      <c r="DC22" s="63">
        <f>'Raw Datas'!DA67</f>
        <v>0.40365000000000001</v>
      </c>
      <c r="DD22" s="63">
        <f>'Raw Datas'!DB67</f>
        <v>0.59740000000000004</v>
      </c>
      <c r="DE22" s="63">
        <f>'Raw Datas'!DC67</f>
        <v>2.7759499999999999</v>
      </c>
      <c r="DF22" s="63">
        <f>'Raw Datas'!DD67</f>
        <v>4.4661499999999998</v>
      </c>
      <c r="DG22" s="63">
        <f>'Raw Datas'!DE67</f>
        <v>0.9791333333333333</v>
      </c>
      <c r="DH22" s="63" t="str">
        <f>'Raw Datas'!DF67</f>
        <v>0</v>
      </c>
      <c r="DI22" s="63">
        <f>'Raw Datas'!DG67</f>
        <v>1.9403000000000001</v>
      </c>
      <c r="DJ22" s="63" t="str">
        <f>'Raw Datas'!DH67</f>
        <v>0</v>
      </c>
      <c r="DK22" s="63">
        <f>'Raw Datas'!DI67</f>
        <v>1.6078999999999999</v>
      </c>
      <c r="DL22" s="63">
        <f>'Raw Datas'!DJ67</f>
        <v>1.0328333333333333</v>
      </c>
      <c r="DM22" s="63">
        <f>'Raw Datas'!DK67</f>
        <v>1.5007666666666666</v>
      </c>
      <c r="DN22" s="63" t="str">
        <f>'Raw Datas'!DL67</f>
        <v>0</v>
      </c>
      <c r="DO22" s="63">
        <f>'Raw Datas'!DM67</f>
        <v>3.3772499999999996</v>
      </c>
      <c r="DP22" s="63">
        <f>'Raw Datas'!DN67</f>
        <v>2.0115166666666666</v>
      </c>
      <c r="DQ22" s="63">
        <f>'Raw Datas'!DO67</f>
        <v>5.2689500000000002</v>
      </c>
      <c r="DR22" s="63" t="str">
        <f>'Raw Datas'!DP67</f>
        <v>0</v>
      </c>
      <c r="DS22" s="63" t="str">
        <f>'Raw Datas'!DQ67</f>
        <v>0</v>
      </c>
      <c r="DT22" s="63">
        <f>'Raw Datas'!DR67</f>
        <v>1.5314833333333335</v>
      </c>
      <c r="DU22" s="63" t="str">
        <f>'Raw Datas'!DS67</f>
        <v>0</v>
      </c>
      <c r="DV22" s="63">
        <f>'Raw Datas'!DT67</f>
        <v>1.1598666666666666</v>
      </c>
      <c r="DW22" s="63">
        <f>'Raw Datas'!DU67</f>
        <v>3.8379666666666665</v>
      </c>
      <c r="DX22" s="63">
        <f>'Raw Datas'!DV67</f>
        <v>1.0676999999999999</v>
      </c>
      <c r="DY22" s="63">
        <f>'Raw Datas'!DW67</f>
        <v>0.999</v>
      </c>
      <c r="DZ22" s="63" t="str">
        <f>'Raw Datas'!DX67</f>
        <v>0</v>
      </c>
      <c r="EA22" s="63">
        <f>'Raw Datas'!DY67</f>
        <v>1.0488999999999999</v>
      </c>
      <c r="EB22" s="63">
        <f>'Raw Datas'!DZ67</f>
        <v>0.60068333333333324</v>
      </c>
      <c r="EC22" s="63">
        <f>'Raw Datas'!EA67</f>
        <v>1.1946666666666668</v>
      </c>
      <c r="ED22" s="63">
        <f>'Raw Datas'!EB67</f>
        <v>4.7552833333333338</v>
      </c>
      <c r="EE22" s="63">
        <f>'Raw Datas'!EC67</f>
        <v>0.36184999999999995</v>
      </c>
      <c r="EF22" s="63" t="str">
        <f>'Raw Datas'!ED67</f>
        <v>0</v>
      </c>
      <c r="EG22" s="63" t="str">
        <f>'Raw Datas'!EE67</f>
        <v>0</v>
      </c>
      <c r="EH22" s="63">
        <f>'Raw Datas'!EF67</f>
        <v>0.30360000000000004</v>
      </c>
      <c r="EI22" s="63">
        <f>'Raw Datas'!EG67</f>
        <v>0.46096666666666669</v>
      </c>
      <c r="EJ22" s="63">
        <f>'Raw Datas'!EH67</f>
        <v>0.60428333333333339</v>
      </c>
      <c r="EK22" s="63">
        <f>'Raw Datas'!EI67</f>
        <v>0.33565</v>
      </c>
      <c r="EL22" s="63">
        <f>'Raw Datas'!EJ67</f>
        <v>0.83050000000000002</v>
      </c>
      <c r="EM22" s="63" t="str">
        <f>'Raw Datas'!EK67</f>
        <v>0</v>
      </c>
      <c r="EN22" s="63">
        <f>'Raw Datas'!EL67</f>
        <v>0.4451</v>
      </c>
      <c r="EO22" s="63">
        <f>'Raw Datas'!EM67</f>
        <v>0.82550000000000001</v>
      </c>
      <c r="EP22" s="63">
        <f>'Raw Datas'!EN67</f>
        <v>0.55946666666666667</v>
      </c>
      <c r="EQ22" s="63" t="str">
        <f>'Raw Datas'!EO67</f>
        <v>0</v>
      </c>
      <c r="ER22" s="63">
        <f>'Raw Datas'!EP67</f>
        <v>0.43873333333333336</v>
      </c>
      <c r="ES22" s="63" t="str">
        <f>'Raw Datas'!EQ67</f>
        <v>0</v>
      </c>
      <c r="ET22" s="63">
        <f>'Raw Datas'!ER67</f>
        <v>2.2169499999999998</v>
      </c>
      <c r="EU22" s="63" t="str">
        <f>'Raw Datas'!ES67</f>
        <v>0</v>
      </c>
      <c r="EV22" s="63">
        <f>'Raw Datas'!ET67</f>
        <v>0.61759999999999993</v>
      </c>
      <c r="EW22" s="63">
        <f>'Raw Datas'!EU67</f>
        <v>1.8024999999999998</v>
      </c>
      <c r="EX22" s="63">
        <f>'Raw Datas'!EV67</f>
        <v>1.2998666666666667</v>
      </c>
      <c r="EY22" s="63" t="str">
        <f>'Raw Datas'!EW67</f>
        <v>0</v>
      </c>
      <c r="EZ22" s="63">
        <f>'Raw Datas'!EX67</f>
        <v>3.4348666666666667</v>
      </c>
      <c r="FA22" s="63">
        <f>'Raw Datas'!EY67</f>
        <v>1.5818166666666664</v>
      </c>
      <c r="FB22" s="63">
        <f>'Raw Datas'!EZ67</f>
        <v>3.8414166666666669</v>
      </c>
      <c r="FC22" s="63" t="str">
        <f>'Raw Datas'!FA67</f>
        <v>0</v>
      </c>
      <c r="FD22" s="63" t="str">
        <f>'Raw Datas'!FB67</f>
        <v>0</v>
      </c>
      <c r="FE22" s="63">
        <f>'Raw Datas'!FC67</f>
        <v>1.6433666666666666</v>
      </c>
      <c r="FF22" s="63" t="str">
        <f>'Raw Datas'!FD67</f>
        <v>0</v>
      </c>
      <c r="FG22" s="63">
        <f>'Raw Datas'!FE67</f>
        <v>0.82181666666666675</v>
      </c>
      <c r="FH22" s="63">
        <f>'Raw Datas'!FF67</f>
        <v>2.1832833333333337</v>
      </c>
      <c r="FI22" s="63">
        <f>'Raw Datas'!FG67</f>
        <v>0.4119166666666666</v>
      </c>
      <c r="FJ22" s="63">
        <f>'Raw Datas'!FH67</f>
        <v>0.42185</v>
      </c>
      <c r="FK22" s="63">
        <f>'Raw Datas'!FI67</f>
        <v>1.6161333333333332</v>
      </c>
      <c r="FL22" s="63">
        <f>'Raw Datas'!FJ67</f>
        <v>4.4556500000000003</v>
      </c>
      <c r="FM22" s="63">
        <f>'Raw Datas'!FK67</f>
        <v>10.225199999999999</v>
      </c>
      <c r="FN22" s="63">
        <f>'Raw Datas'!FL67</f>
        <v>0.44101666666666672</v>
      </c>
      <c r="FO22" s="63">
        <f>'Raw Datas'!FM67</f>
        <v>1.4871000000000001</v>
      </c>
      <c r="FP22" s="63">
        <f>'Raw Datas'!FN67</f>
        <v>0.42286666666666667</v>
      </c>
      <c r="FQ22" s="63" t="str">
        <f>'Raw Datas'!FO67</f>
        <v>0</v>
      </c>
    </row>
    <row r="23" spans="1:173" ht="15.75" customHeight="1" x14ac:dyDescent="0.2">
      <c r="A23" s="117"/>
      <c r="B23" s="57" t="s">
        <v>376</v>
      </c>
      <c r="C23" s="104" t="s">
        <v>739</v>
      </c>
      <c r="D23" s="104"/>
      <c r="E23" s="60" t="str">
        <f>'Raw Datas'!C68</f>
        <v>0</v>
      </c>
      <c r="F23" s="63" t="str">
        <f>'Raw Datas'!D68</f>
        <v>0</v>
      </c>
      <c r="G23" s="63" t="str">
        <f>'Raw Datas'!E68</f>
        <v>0</v>
      </c>
      <c r="H23" s="63" t="str">
        <f>'Raw Datas'!F68</f>
        <v>0</v>
      </c>
      <c r="I23" s="63" t="str">
        <f>'Raw Datas'!G68</f>
        <v>0</v>
      </c>
      <c r="J23" s="63" t="str">
        <f>'Raw Datas'!H68</f>
        <v>0</v>
      </c>
      <c r="K23" s="63" t="str">
        <f>'Raw Datas'!I68</f>
        <v>0</v>
      </c>
      <c r="L23" s="63" t="str">
        <f>'Raw Datas'!J68</f>
        <v>0</v>
      </c>
      <c r="M23" s="63" t="str">
        <f>'Raw Datas'!K68</f>
        <v>0</v>
      </c>
      <c r="N23" s="63" t="str">
        <f>'Raw Datas'!L68</f>
        <v>0</v>
      </c>
      <c r="O23" s="63" t="str">
        <f>'Raw Datas'!M68</f>
        <v>0</v>
      </c>
      <c r="P23" s="63" t="str">
        <f>'Raw Datas'!N68</f>
        <v>0</v>
      </c>
      <c r="Q23" s="63" t="str">
        <f>'Raw Datas'!O68</f>
        <v>0</v>
      </c>
      <c r="R23" s="63" t="str">
        <f>'Raw Datas'!P68</f>
        <v>0</v>
      </c>
      <c r="S23" s="63" t="str">
        <f>'Raw Datas'!Q68</f>
        <v>0</v>
      </c>
      <c r="T23" s="63" t="str">
        <f>'Raw Datas'!R68</f>
        <v>0</v>
      </c>
      <c r="U23" s="63" t="str">
        <f>'Raw Datas'!S68</f>
        <v>0</v>
      </c>
      <c r="V23" s="63" t="str">
        <f>'Raw Datas'!T68</f>
        <v>0</v>
      </c>
      <c r="W23" s="63" t="str">
        <f>'Raw Datas'!U68</f>
        <v>0</v>
      </c>
      <c r="X23" s="63" t="str">
        <f>'Raw Datas'!V68</f>
        <v>0</v>
      </c>
      <c r="Y23" s="63" t="str">
        <f>'Raw Datas'!W68</f>
        <v>0</v>
      </c>
      <c r="Z23" s="63" t="str">
        <f>'Raw Datas'!X68</f>
        <v>0</v>
      </c>
      <c r="AA23" s="63" t="str">
        <f>'Raw Datas'!Y68</f>
        <v>0</v>
      </c>
      <c r="AB23" s="63" t="str">
        <f>'Raw Datas'!Z68</f>
        <v>0</v>
      </c>
      <c r="AC23" s="63" t="str">
        <f>'Raw Datas'!AA68</f>
        <v>0</v>
      </c>
      <c r="AD23" s="63" t="str">
        <f>'Raw Datas'!AB68</f>
        <v>0</v>
      </c>
      <c r="AE23" s="63" t="str">
        <f>'Raw Datas'!AC68</f>
        <v>0</v>
      </c>
      <c r="AF23" s="63" t="str">
        <f>'Raw Datas'!AD68</f>
        <v>0</v>
      </c>
      <c r="AG23" s="63" t="str">
        <f>'Raw Datas'!AE68</f>
        <v>0</v>
      </c>
      <c r="AH23" s="63" t="str">
        <f>'Raw Datas'!AF68</f>
        <v>0</v>
      </c>
      <c r="AI23" s="63" t="str">
        <f>'Raw Datas'!AG68</f>
        <v>0</v>
      </c>
      <c r="AJ23" s="63" t="str">
        <f>'Raw Datas'!AH68</f>
        <v>0</v>
      </c>
      <c r="AK23" s="63" t="str">
        <f>'Raw Datas'!AI68</f>
        <v>0</v>
      </c>
      <c r="AL23" s="63" t="str">
        <f>'Raw Datas'!AJ68</f>
        <v>0</v>
      </c>
      <c r="AM23" s="63" t="str">
        <f>'Raw Datas'!AK68</f>
        <v>0</v>
      </c>
      <c r="AN23" s="63" t="str">
        <f>'Raw Datas'!AL68</f>
        <v>0</v>
      </c>
      <c r="AO23" s="63" t="str">
        <f>'Raw Datas'!AM68</f>
        <v>0</v>
      </c>
      <c r="AP23" s="63" t="str">
        <f>'Raw Datas'!AN68</f>
        <v>0</v>
      </c>
      <c r="AQ23" s="63" t="str">
        <f>'Raw Datas'!AO68</f>
        <v>0</v>
      </c>
      <c r="AR23" s="63" t="str">
        <f>'Raw Datas'!AP68</f>
        <v>0</v>
      </c>
      <c r="AS23" s="63" t="str">
        <f>'Raw Datas'!AQ68</f>
        <v>0</v>
      </c>
      <c r="AT23" s="63" t="str">
        <f>'Raw Datas'!AR68</f>
        <v>0</v>
      </c>
      <c r="AU23" s="63" t="str">
        <f>'Raw Datas'!AS68</f>
        <v>0</v>
      </c>
      <c r="AV23" s="63" t="str">
        <f>'Raw Datas'!AT68</f>
        <v>0</v>
      </c>
      <c r="AW23" s="63" t="str">
        <f>'Raw Datas'!AU68</f>
        <v>0</v>
      </c>
      <c r="AX23" s="63" t="str">
        <f>'Raw Datas'!AV68</f>
        <v>0</v>
      </c>
      <c r="AY23" s="63" t="str">
        <f>'Raw Datas'!AW68</f>
        <v>0</v>
      </c>
      <c r="AZ23" s="63" t="str">
        <f>'Raw Datas'!AX68</f>
        <v>0</v>
      </c>
      <c r="BA23" s="63" t="str">
        <f>'Raw Datas'!AY68</f>
        <v>0</v>
      </c>
      <c r="BB23" s="63" t="str">
        <f>'Raw Datas'!AZ68</f>
        <v>0</v>
      </c>
      <c r="BC23" s="63" t="str">
        <f>'Raw Datas'!BA68</f>
        <v>0</v>
      </c>
      <c r="BD23" s="63" t="str">
        <f>'Raw Datas'!BB68</f>
        <v>0</v>
      </c>
      <c r="BE23" s="63" t="str">
        <f>'Raw Datas'!BC68</f>
        <v>0</v>
      </c>
      <c r="BF23" s="63" t="str">
        <f>'Raw Datas'!BD68</f>
        <v>0</v>
      </c>
      <c r="BG23" s="63" t="str">
        <f>'Raw Datas'!BE68</f>
        <v>0</v>
      </c>
      <c r="BH23" s="63" t="str">
        <f>'Raw Datas'!BF68</f>
        <v>0</v>
      </c>
      <c r="BI23" s="63" t="str">
        <f>'Raw Datas'!BG68</f>
        <v>0</v>
      </c>
      <c r="BJ23" s="63" t="str">
        <f>'Raw Datas'!BH68</f>
        <v>0</v>
      </c>
      <c r="BK23" s="63" t="str">
        <f>'Raw Datas'!BI68</f>
        <v>0</v>
      </c>
      <c r="BL23" s="63" t="str">
        <f>'Raw Datas'!BJ68</f>
        <v>0</v>
      </c>
      <c r="BM23" s="63" t="str">
        <f>'Raw Datas'!BK68</f>
        <v>0</v>
      </c>
      <c r="BN23" s="63" t="str">
        <f>'Raw Datas'!BL68</f>
        <v>0</v>
      </c>
      <c r="BO23" s="63" t="str">
        <f>'Raw Datas'!BM68</f>
        <v>0</v>
      </c>
      <c r="BP23" s="63" t="str">
        <f>'Raw Datas'!BN68</f>
        <v>0</v>
      </c>
      <c r="BQ23" s="63" t="str">
        <f>'Raw Datas'!BO68</f>
        <v>0</v>
      </c>
      <c r="BR23" s="63" t="str">
        <f>'Raw Datas'!BP68</f>
        <v>0</v>
      </c>
      <c r="BS23" s="63" t="str">
        <f>'Raw Datas'!BQ68</f>
        <v>0</v>
      </c>
      <c r="BT23" s="63" t="str">
        <f>'Raw Datas'!BR68</f>
        <v>0</v>
      </c>
      <c r="BU23" s="63" t="str">
        <f>'Raw Datas'!BS68</f>
        <v>0</v>
      </c>
      <c r="BV23" s="63" t="str">
        <f>'Raw Datas'!BT68</f>
        <v>0</v>
      </c>
      <c r="BW23" s="63" t="str">
        <f>'Raw Datas'!BU68</f>
        <v>0</v>
      </c>
      <c r="BX23" s="63" t="str">
        <f>'Raw Datas'!BV68</f>
        <v>0</v>
      </c>
      <c r="BY23" s="63" t="str">
        <f>'Raw Datas'!BW68</f>
        <v>0</v>
      </c>
      <c r="BZ23" s="63" t="str">
        <f>'Raw Datas'!BX68</f>
        <v>0</v>
      </c>
      <c r="CA23" s="63" t="str">
        <f>'Raw Datas'!BY68</f>
        <v>0</v>
      </c>
      <c r="CB23" s="63" t="str">
        <f>'Raw Datas'!BZ68</f>
        <v>0</v>
      </c>
      <c r="CC23" s="63" t="str">
        <f>'Raw Datas'!CA68</f>
        <v>0</v>
      </c>
      <c r="CD23" s="63" t="str">
        <f>'Raw Datas'!CB68</f>
        <v>0</v>
      </c>
      <c r="CE23" s="63" t="str">
        <f>'Raw Datas'!CC68</f>
        <v>0</v>
      </c>
      <c r="CF23" s="63" t="str">
        <f>'Raw Datas'!CD68</f>
        <v>0</v>
      </c>
      <c r="CG23" s="63" t="str">
        <f>'Raw Datas'!CE68</f>
        <v>0</v>
      </c>
      <c r="CH23" s="63" t="str">
        <f>'Raw Datas'!CF68</f>
        <v>0</v>
      </c>
      <c r="CI23" s="63" t="str">
        <f>'Raw Datas'!CG68</f>
        <v>0</v>
      </c>
      <c r="CJ23" s="63" t="str">
        <f>'Raw Datas'!CH68</f>
        <v>0</v>
      </c>
      <c r="CK23" s="63" t="str">
        <f>'Raw Datas'!CI68</f>
        <v>0</v>
      </c>
      <c r="CL23" s="63" t="str">
        <f>'Raw Datas'!CJ68</f>
        <v>0</v>
      </c>
      <c r="CM23" s="63" t="str">
        <f>'Raw Datas'!CK68</f>
        <v>0</v>
      </c>
      <c r="CN23" s="63" t="str">
        <f>'Raw Datas'!CL68</f>
        <v>0</v>
      </c>
      <c r="CO23" s="63" t="str">
        <f>'Raw Datas'!CM68</f>
        <v>0</v>
      </c>
      <c r="CP23" s="63" t="str">
        <f>'Raw Datas'!CN68</f>
        <v>0</v>
      </c>
      <c r="CQ23" s="63" t="str">
        <f>'Raw Datas'!CO68</f>
        <v>0</v>
      </c>
      <c r="CR23" s="63" t="str">
        <f>'Raw Datas'!CP68</f>
        <v>0</v>
      </c>
      <c r="CS23" s="63" t="str">
        <f>'Raw Datas'!CQ68</f>
        <v>0</v>
      </c>
      <c r="CT23" s="63" t="str">
        <f>'Raw Datas'!CR68</f>
        <v>0</v>
      </c>
      <c r="CU23" s="63" t="str">
        <f>'Raw Datas'!CS68</f>
        <v>0</v>
      </c>
      <c r="CV23" s="63" t="str">
        <f>'Raw Datas'!CT68</f>
        <v>0</v>
      </c>
      <c r="CW23" s="63" t="str">
        <f>'Raw Datas'!CU68</f>
        <v>0</v>
      </c>
      <c r="CX23" s="63" t="str">
        <f>'Raw Datas'!CV68</f>
        <v>0</v>
      </c>
      <c r="CY23" s="63" t="str">
        <f>'Raw Datas'!CW68</f>
        <v>0</v>
      </c>
      <c r="CZ23" s="63" t="str">
        <f>'Raw Datas'!CX68</f>
        <v>0</v>
      </c>
      <c r="DA23" s="63" t="str">
        <f>'Raw Datas'!CY68</f>
        <v>0</v>
      </c>
      <c r="DB23" s="63" t="str">
        <f>'Raw Datas'!CZ68</f>
        <v>0</v>
      </c>
      <c r="DC23" s="63" t="str">
        <f>'Raw Datas'!DA68</f>
        <v>0</v>
      </c>
      <c r="DD23" s="63" t="str">
        <f>'Raw Datas'!DB68</f>
        <v>0</v>
      </c>
      <c r="DE23" s="63" t="str">
        <f>'Raw Datas'!DC68</f>
        <v>0</v>
      </c>
      <c r="DF23" s="63" t="str">
        <f>'Raw Datas'!DD68</f>
        <v>0</v>
      </c>
      <c r="DG23" s="63" t="str">
        <f>'Raw Datas'!DE68</f>
        <v>0</v>
      </c>
      <c r="DH23" s="63" t="str">
        <f>'Raw Datas'!DF68</f>
        <v>0</v>
      </c>
      <c r="DI23" s="63" t="str">
        <f>'Raw Datas'!DG68</f>
        <v>0</v>
      </c>
      <c r="DJ23" s="63" t="str">
        <f>'Raw Datas'!DH68</f>
        <v>0</v>
      </c>
      <c r="DK23" s="63" t="str">
        <f>'Raw Datas'!DI68</f>
        <v>0</v>
      </c>
      <c r="DL23" s="63" t="str">
        <f>'Raw Datas'!DJ68</f>
        <v>0</v>
      </c>
      <c r="DM23" s="63" t="str">
        <f>'Raw Datas'!DK68</f>
        <v>0</v>
      </c>
      <c r="DN23" s="63" t="str">
        <f>'Raw Datas'!DL68</f>
        <v>0</v>
      </c>
      <c r="DO23" s="63" t="str">
        <f>'Raw Datas'!DM68</f>
        <v>0</v>
      </c>
      <c r="DP23" s="63" t="str">
        <f>'Raw Datas'!DN68</f>
        <v>0</v>
      </c>
      <c r="DQ23" s="63" t="str">
        <f>'Raw Datas'!DO68</f>
        <v>0</v>
      </c>
      <c r="DR23" s="63" t="str">
        <f>'Raw Datas'!DP68</f>
        <v>0</v>
      </c>
      <c r="DS23" s="63" t="str">
        <f>'Raw Datas'!DQ68</f>
        <v>0</v>
      </c>
      <c r="DT23" s="63" t="str">
        <f>'Raw Datas'!DR68</f>
        <v>0</v>
      </c>
      <c r="DU23" s="63" t="str">
        <f>'Raw Datas'!DS68</f>
        <v>0</v>
      </c>
      <c r="DV23" s="63" t="str">
        <f>'Raw Datas'!DT68</f>
        <v>0</v>
      </c>
      <c r="DW23" s="63" t="str">
        <f>'Raw Datas'!DU68</f>
        <v>0</v>
      </c>
      <c r="DX23" s="63" t="str">
        <f>'Raw Datas'!DV68</f>
        <v>0</v>
      </c>
      <c r="DY23" s="63" t="str">
        <f>'Raw Datas'!DW68</f>
        <v>0</v>
      </c>
      <c r="DZ23" s="63" t="str">
        <f>'Raw Datas'!DX68</f>
        <v>0</v>
      </c>
      <c r="EA23" s="63" t="str">
        <f>'Raw Datas'!DY68</f>
        <v>0</v>
      </c>
      <c r="EB23" s="63" t="str">
        <f>'Raw Datas'!DZ68</f>
        <v>0</v>
      </c>
      <c r="EC23" s="63" t="str">
        <f>'Raw Datas'!EA68</f>
        <v>0</v>
      </c>
      <c r="ED23" s="63" t="str">
        <f>'Raw Datas'!EB68</f>
        <v>0</v>
      </c>
      <c r="EE23" s="63" t="str">
        <f>'Raw Datas'!EC68</f>
        <v>0</v>
      </c>
      <c r="EF23" s="63" t="str">
        <f>'Raw Datas'!ED68</f>
        <v>0</v>
      </c>
      <c r="EG23" s="63" t="str">
        <f>'Raw Datas'!EE68</f>
        <v>0</v>
      </c>
      <c r="EH23" s="63" t="str">
        <f>'Raw Datas'!EF68</f>
        <v>0</v>
      </c>
      <c r="EI23" s="63" t="str">
        <f>'Raw Datas'!EG68</f>
        <v>0</v>
      </c>
      <c r="EJ23" s="63" t="str">
        <f>'Raw Datas'!EH68</f>
        <v>0</v>
      </c>
      <c r="EK23" s="63" t="str">
        <f>'Raw Datas'!EI68</f>
        <v>0</v>
      </c>
      <c r="EL23" s="63" t="str">
        <f>'Raw Datas'!EJ68</f>
        <v>0</v>
      </c>
      <c r="EM23" s="63" t="str">
        <f>'Raw Datas'!EK68</f>
        <v>0</v>
      </c>
      <c r="EN23" s="63" t="str">
        <f>'Raw Datas'!EL68</f>
        <v>0</v>
      </c>
      <c r="EO23" s="63" t="str">
        <f>'Raw Datas'!EM68</f>
        <v>0</v>
      </c>
      <c r="EP23" s="63" t="str">
        <f>'Raw Datas'!EN68</f>
        <v>0</v>
      </c>
      <c r="EQ23" s="63" t="str">
        <f>'Raw Datas'!EO68</f>
        <v>0</v>
      </c>
      <c r="ER23" s="63" t="str">
        <f>'Raw Datas'!EP68</f>
        <v>0</v>
      </c>
      <c r="ES23" s="63" t="str">
        <f>'Raw Datas'!EQ68</f>
        <v>0</v>
      </c>
      <c r="ET23" s="63" t="str">
        <f>'Raw Datas'!ER68</f>
        <v>0</v>
      </c>
      <c r="EU23" s="63" t="str">
        <f>'Raw Datas'!ES68</f>
        <v>0</v>
      </c>
      <c r="EV23" s="63" t="str">
        <f>'Raw Datas'!ET68</f>
        <v>0</v>
      </c>
      <c r="EW23" s="63" t="str">
        <f>'Raw Datas'!EU68</f>
        <v>0</v>
      </c>
      <c r="EX23" s="63" t="str">
        <f>'Raw Datas'!EV68</f>
        <v>0</v>
      </c>
      <c r="EY23" s="63" t="str">
        <f>'Raw Datas'!EW68</f>
        <v>0</v>
      </c>
      <c r="EZ23" s="63" t="str">
        <f>'Raw Datas'!EX68</f>
        <v>0</v>
      </c>
      <c r="FA23" s="63" t="str">
        <f>'Raw Datas'!EY68</f>
        <v>0</v>
      </c>
      <c r="FB23" s="63" t="str">
        <f>'Raw Datas'!EZ68</f>
        <v>0</v>
      </c>
      <c r="FC23" s="63" t="str">
        <f>'Raw Datas'!FA68</f>
        <v>0</v>
      </c>
      <c r="FD23" s="63" t="str">
        <f>'Raw Datas'!FB68</f>
        <v>0</v>
      </c>
      <c r="FE23" s="63" t="str">
        <f>'Raw Datas'!FC68</f>
        <v>0</v>
      </c>
      <c r="FF23" s="63" t="str">
        <f>'Raw Datas'!FD68</f>
        <v>0</v>
      </c>
      <c r="FG23" s="63" t="str">
        <f>'Raw Datas'!FE68</f>
        <v>0</v>
      </c>
      <c r="FH23" s="63" t="str">
        <f>'Raw Datas'!FF68</f>
        <v>0</v>
      </c>
      <c r="FI23" s="63" t="str">
        <f>'Raw Datas'!FG68</f>
        <v>0</v>
      </c>
      <c r="FJ23" s="63" t="str">
        <f>'Raw Datas'!FH68</f>
        <v>0</v>
      </c>
      <c r="FK23" s="63" t="str">
        <f>'Raw Datas'!FI68</f>
        <v>0</v>
      </c>
      <c r="FL23" s="63" t="str">
        <f>'Raw Datas'!FJ68</f>
        <v>0</v>
      </c>
      <c r="FM23" s="63" t="str">
        <f>'Raw Datas'!FK68</f>
        <v>0</v>
      </c>
      <c r="FN23" s="63" t="str">
        <f>'Raw Datas'!FL68</f>
        <v>0</v>
      </c>
      <c r="FO23" s="63" t="str">
        <f>'Raw Datas'!FM68</f>
        <v>0</v>
      </c>
      <c r="FP23" s="63" t="str">
        <f>'Raw Datas'!FN68</f>
        <v>0</v>
      </c>
      <c r="FQ23" s="63" t="str">
        <f>'Raw Datas'!FO68</f>
        <v>0</v>
      </c>
    </row>
    <row r="24" spans="1:173" ht="15.75" customHeight="1" x14ac:dyDescent="0.2">
      <c r="A24" s="117"/>
      <c r="B24" s="57" t="s">
        <v>5</v>
      </c>
      <c r="C24" s="104" t="s">
        <v>741</v>
      </c>
      <c r="D24" s="104"/>
      <c r="E24" s="60" t="str">
        <f>'Raw Datas'!C69</f>
        <v>0</v>
      </c>
      <c r="F24" s="63" t="str">
        <f>'Raw Datas'!D69</f>
        <v>0</v>
      </c>
      <c r="G24" s="63" t="str">
        <f>'Raw Datas'!E69</f>
        <v>0</v>
      </c>
      <c r="H24" s="63" t="str">
        <f>'Raw Datas'!F69</f>
        <v>0</v>
      </c>
      <c r="I24" s="63" t="str">
        <f>'Raw Datas'!G69</f>
        <v>0</v>
      </c>
      <c r="J24" s="63" t="str">
        <f>'Raw Datas'!H69</f>
        <v>0</v>
      </c>
      <c r="K24" s="63" t="str">
        <f>'Raw Datas'!I69</f>
        <v>0</v>
      </c>
      <c r="L24" s="63" t="str">
        <f>'Raw Datas'!J69</f>
        <v>0</v>
      </c>
      <c r="M24" s="63" t="str">
        <f>'Raw Datas'!K69</f>
        <v>0</v>
      </c>
      <c r="N24" s="63" t="str">
        <f>'Raw Datas'!L69</f>
        <v>0</v>
      </c>
      <c r="O24" s="63" t="str">
        <f>'Raw Datas'!M69</f>
        <v>0</v>
      </c>
      <c r="P24" s="63" t="str">
        <f>'Raw Datas'!N69</f>
        <v>0</v>
      </c>
      <c r="Q24" s="63" t="str">
        <f>'Raw Datas'!O69</f>
        <v>0</v>
      </c>
      <c r="R24" s="63" t="str">
        <f>'Raw Datas'!P69</f>
        <v>0</v>
      </c>
      <c r="S24" s="63" t="str">
        <f>'Raw Datas'!Q69</f>
        <v>0</v>
      </c>
      <c r="T24" s="63" t="str">
        <f>'Raw Datas'!R69</f>
        <v>0</v>
      </c>
      <c r="U24" s="63" t="str">
        <f>'Raw Datas'!S69</f>
        <v>0</v>
      </c>
      <c r="V24" s="63" t="str">
        <f>'Raw Datas'!T69</f>
        <v>0</v>
      </c>
      <c r="W24" s="63" t="str">
        <f>'Raw Datas'!U69</f>
        <v>0</v>
      </c>
      <c r="X24" s="63" t="str">
        <f>'Raw Datas'!V69</f>
        <v>0</v>
      </c>
      <c r="Y24" s="63" t="str">
        <f>'Raw Datas'!W69</f>
        <v>0</v>
      </c>
      <c r="Z24" s="63" t="str">
        <f>'Raw Datas'!X69</f>
        <v>0</v>
      </c>
      <c r="AA24" s="63" t="str">
        <f>'Raw Datas'!Y69</f>
        <v>0</v>
      </c>
      <c r="AB24" s="63" t="str">
        <f>'Raw Datas'!Z69</f>
        <v>0</v>
      </c>
      <c r="AC24" s="63" t="str">
        <f>'Raw Datas'!AA69</f>
        <v>0</v>
      </c>
      <c r="AD24" s="63" t="str">
        <f>'Raw Datas'!AB69</f>
        <v>0</v>
      </c>
      <c r="AE24" s="63" t="str">
        <f>'Raw Datas'!AC69</f>
        <v>0</v>
      </c>
      <c r="AF24" s="63" t="str">
        <f>'Raw Datas'!AD69</f>
        <v>0</v>
      </c>
      <c r="AG24" s="63" t="str">
        <f>'Raw Datas'!AE69</f>
        <v>0</v>
      </c>
      <c r="AH24" s="63" t="str">
        <f>'Raw Datas'!AF69</f>
        <v>0</v>
      </c>
      <c r="AI24" s="63" t="str">
        <f>'Raw Datas'!AG69</f>
        <v>0</v>
      </c>
      <c r="AJ24" s="63" t="str">
        <f>'Raw Datas'!AH69</f>
        <v>0</v>
      </c>
      <c r="AK24" s="63" t="str">
        <f>'Raw Datas'!AI69</f>
        <v>0</v>
      </c>
      <c r="AL24" s="63" t="str">
        <f>'Raw Datas'!AJ69</f>
        <v>0</v>
      </c>
      <c r="AM24" s="63" t="str">
        <f>'Raw Datas'!AK69</f>
        <v>0</v>
      </c>
      <c r="AN24" s="63" t="str">
        <f>'Raw Datas'!AL69</f>
        <v>0</v>
      </c>
      <c r="AO24" s="63" t="str">
        <f>'Raw Datas'!AM69</f>
        <v>0</v>
      </c>
      <c r="AP24" s="63" t="str">
        <f>'Raw Datas'!AN69</f>
        <v>0</v>
      </c>
      <c r="AQ24" s="63" t="str">
        <f>'Raw Datas'!AO69</f>
        <v>0</v>
      </c>
      <c r="AR24" s="63" t="str">
        <f>'Raw Datas'!AP69</f>
        <v>0</v>
      </c>
      <c r="AS24" s="63" t="str">
        <f>'Raw Datas'!AQ69</f>
        <v>0</v>
      </c>
      <c r="AT24" s="63" t="str">
        <f>'Raw Datas'!AR69</f>
        <v>0</v>
      </c>
      <c r="AU24" s="63" t="str">
        <f>'Raw Datas'!AS69</f>
        <v>0</v>
      </c>
      <c r="AV24" s="63" t="str">
        <f>'Raw Datas'!AT69</f>
        <v>0</v>
      </c>
      <c r="AW24" s="63" t="str">
        <f>'Raw Datas'!AU69</f>
        <v>0</v>
      </c>
      <c r="AX24" s="63" t="str">
        <f>'Raw Datas'!AV69</f>
        <v>0</v>
      </c>
      <c r="AY24" s="63" t="str">
        <f>'Raw Datas'!AW69</f>
        <v>0</v>
      </c>
      <c r="AZ24" s="63" t="str">
        <f>'Raw Datas'!AX69</f>
        <v>0</v>
      </c>
      <c r="BA24" s="63" t="str">
        <f>'Raw Datas'!AY69</f>
        <v>0</v>
      </c>
      <c r="BB24" s="63" t="str">
        <f>'Raw Datas'!AZ69</f>
        <v>0</v>
      </c>
      <c r="BC24" s="63" t="str">
        <f>'Raw Datas'!BA69</f>
        <v>0</v>
      </c>
      <c r="BD24" s="63" t="str">
        <f>'Raw Datas'!BB69</f>
        <v>0</v>
      </c>
      <c r="BE24" s="63" t="str">
        <f>'Raw Datas'!BC69</f>
        <v>0</v>
      </c>
      <c r="BF24" s="63" t="str">
        <f>'Raw Datas'!BD69</f>
        <v>0</v>
      </c>
      <c r="BG24" s="63" t="str">
        <f>'Raw Datas'!BE69</f>
        <v>0</v>
      </c>
      <c r="BH24" s="63" t="str">
        <f>'Raw Datas'!BF69</f>
        <v>0</v>
      </c>
      <c r="BI24" s="63" t="str">
        <f>'Raw Datas'!BG69</f>
        <v>0</v>
      </c>
      <c r="BJ24" s="63" t="str">
        <f>'Raw Datas'!BH69</f>
        <v>0</v>
      </c>
      <c r="BK24" s="63" t="str">
        <f>'Raw Datas'!BI69</f>
        <v>0</v>
      </c>
      <c r="BL24" s="63" t="str">
        <f>'Raw Datas'!BJ69</f>
        <v>0</v>
      </c>
      <c r="BM24" s="63" t="str">
        <f>'Raw Datas'!BK69</f>
        <v>0</v>
      </c>
      <c r="BN24" s="63" t="str">
        <f>'Raw Datas'!BL69</f>
        <v>0</v>
      </c>
      <c r="BO24" s="63" t="str">
        <f>'Raw Datas'!BM69</f>
        <v>0</v>
      </c>
      <c r="BP24" s="63" t="str">
        <f>'Raw Datas'!BN69</f>
        <v>0</v>
      </c>
      <c r="BQ24" s="63" t="str">
        <f>'Raw Datas'!BO69</f>
        <v>0</v>
      </c>
      <c r="BR24" s="63" t="str">
        <f>'Raw Datas'!BP69</f>
        <v>0</v>
      </c>
      <c r="BS24" s="63" t="str">
        <f>'Raw Datas'!BQ69</f>
        <v>0</v>
      </c>
      <c r="BT24" s="63" t="str">
        <f>'Raw Datas'!BR69</f>
        <v>0</v>
      </c>
      <c r="BU24" s="63" t="str">
        <f>'Raw Datas'!BS69</f>
        <v>0</v>
      </c>
      <c r="BV24" s="63" t="str">
        <f>'Raw Datas'!BT69</f>
        <v>0</v>
      </c>
      <c r="BW24" s="63" t="str">
        <f>'Raw Datas'!BU69</f>
        <v>0</v>
      </c>
      <c r="BX24" s="63" t="str">
        <f>'Raw Datas'!BV69</f>
        <v>0</v>
      </c>
      <c r="BY24" s="63" t="str">
        <f>'Raw Datas'!BW69</f>
        <v>0</v>
      </c>
      <c r="BZ24" s="63" t="str">
        <f>'Raw Datas'!BX69</f>
        <v>0</v>
      </c>
      <c r="CA24" s="63" t="str">
        <f>'Raw Datas'!BY69</f>
        <v>0</v>
      </c>
      <c r="CB24" s="63" t="str">
        <f>'Raw Datas'!BZ69</f>
        <v>0</v>
      </c>
      <c r="CC24" s="63" t="str">
        <f>'Raw Datas'!CA69</f>
        <v>0</v>
      </c>
      <c r="CD24" s="63" t="str">
        <f>'Raw Datas'!CB69</f>
        <v>0</v>
      </c>
      <c r="CE24" s="63" t="str">
        <f>'Raw Datas'!CC69</f>
        <v>0</v>
      </c>
      <c r="CF24" s="63" t="str">
        <f>'Raw Datas'!CD69</f>
        <v>0</v>
      </c>
      <c r="CG24" s="63" t="str">
        <f>'Raw Datas'!CE69</f>
        <v>0</v>
      </c>
      <c r="CH24" s="63" t="str">
        <f>'Raw Datas'!CF69</f>
        <v>0</v>
      </c>
      <c r="CI24" s="63" t="str">
        <f>'Raw Datas'!CG69</f>
        <v>0</v>
      </c>
      <c r="CJ24" s="63" t="str">
        <f>'Raw Datas'!CH69</f>
        <v>0</v>
      </c>
      <c r="CK24" s="63" t="str">
        <f>'Raw Datas'!CI69</f>
        <v>0</v>
      </c>
      <c r="CL24" s="63" t="str">
        <f>'Raw Datas'!CJ69</f>
        <v>0</v>
      </c>
      <c r="CM24" s="63" t="str">
        <f>'Raw Datas'!CK69</f>
        <v>0</v>
      </c>
      <c r="CN24" s="63" t="str">
        <f>'Raw Datas'!CL69</f>
        <v>0</v>
      </c>
      <c r="CO24" s="63" t="str">
        <f>'Raw Datas'!CM69</f>
        <v>0</v>
      </c>
      <c r="CP24" s="63" t="str">
        <f>'Raw Datas'!CN69</f>
        <v>0</v>
      </c>
      <c r="CQ24" s="63" t="str">
        <f>'Raw Datas'!CO69</f>
        <v>0</v>
      </c>
      <c r="CR24" s="63" t="str">
        <f>'Raw Datas'!CP69</f>
        <v>0</v>
      </c>
      <c r="CS24" s="63" t="str">
        <f>'Raw Datas'!CQ69</f>
        <v>0</v>
      </c>
      <c r="CT24" s="63" t="str">
        <f>'Raw Datas'!CR69</f>
        <v>0</v>
      </c>
      <c r="CU24" s="63" t="str">
        <f>'Raw Datas'!CS69</f>
        <v>0</v>
      </c>
      <c r="CV24" s="63" t="str">
        <f>'Raw Datas'!CT69</f>
        <v>0</v>
      </c>
      <c r="CW24" s="63" t="str">
        <f>'Raw Datas'!CU69</f>
        <v>0</v>
      </c>
      <c r="CX24" s="63" t="str">
        <f>'Raw Datas'!CV69</f>
        <v>0</v>
      </c>
      <c r="CY24" s="63" t="str">
        <f>'Raw Datas'!CW69</f>
        <v>0</v>
      </c>
      <c r="CZ24" s="63" t="str">
        <f>'Raw Datas'!CX69</f>
        <v>0</v>
      </c>
      <c r="DA24" s="63" t="str">
        <f>'Raw Datas'!CY69</f>
        <v>0</v>
      </c>
      <c r="DB24" s="63" t="str">
        <f>'Raw Datas'!CZ69</f>
        <v>0</v>
      </c>
      <c r="DC24" s="63" t="str">
        <f>'Raw Datas'!DA69</f>
        <v>0</v>
      </c>
      <c r="DD24" s="63" t="str">
        <f>'Raw Datas'!DB69</f>
        <v>0</v>
      </c>
      <c r="DE24" s="63" t="str">
        <f>'Raw Datas'!DC69</f>
        <v>0</v>
      </c>
      <c r="DF24" s="63" t="str">
        <f>'Raw Datas'!DD69</f>
        <v>0</v>
      </c>
      <c r="DG24" s="63" t="str">
        <f>'Raw Datas'!DE69</f>
        <v>0</v>
      </c>
      <c r="DH24" s="63" t="str">
        <f>'Raw Datas'!DF69</f>
        <v>0</v>
      </c>
      <c r="DI24" s="63" t="str">
        <f>'Raw Datas'!DG69</f>
        <v>0</v>
      </c>
      <c r="DJ24" s="63" t="str">
        <f>'Raw Datas'!DH69</f>
        <v>0</v>
      </c>
      <c r="DK24" s="63" t="str">
        <f>'Raw Datas'!DI69</f>
        <v>0</v>
      </c>
      <c r="DL24" s="63" t="str">
        <f>'Raw Datas'!DJ69</f>
        <v>0</v>
      </c>
      <c r="DM24" s="63" t="str">
        <f>'Raw Datas'!DK69</f>
        <v>0</v>
      </c>
      <c r="DN24" s="63" t="str">
        <f>'Raw Datas'!DL69</f>
        <v>0</v>
      </c>
      <c r="DO24" s="63" t="str">
        <f>'Raw Datas'!DM69</f>
        <v>0</v>
      </c>
      <c r="DP24" s="63" t="str">
        <f>'Raw Datas'!DN69</f>
        <v>0</v>
      </c>
      <c r="DQ24" s="63" t="str">
        <f>'Raw Datas'!DO69</f>
        <v>0</v>
      </c>
      <c r="DR24" s="63" t="str">
        <f>'Raw Datas'!DP69</f>
        <v>0</v>
      </c>
      <c r="DS24" s="63" t="str">
        <f>'Raw Datas'!DQ69</f>
        <v>0</v>
      </c>
      <c r="DT24" s="63" t="str">
        <f>'Raw Datas'!DR69</f>
        <v>0</v>
      </c>
      <c r="DU24" s="63" t="str">
        <f>'Raw Datas'!DS69</f>
        <v>0</v>
      </c>
      <c r="DV24" s="63" t="str">
        <f>'Raw Datas'!DT69</f>
        <v>0</v>
      </c>
      <c r="DW24" s="63" t="str">
        <f>'Raw Datas'!DU69</f>
        <v>0</v>
      </c>
      <c r="DX24" s="63" t="str">
        <f>'Raw Datas'!DV69</f>
        <v>0</v>
      </c>
      <c r="DY24" s="63" t="str">
        <f>'Raw Datas'!DW69</f>
        <v>0</v>
      </c>
      <c r="DZ24" s="63" t="str">
        <f>'Raw Datas'!DX69</f>
        <v>0</v>
      </c>
      <c r="EA24" s="63" t="str">
        <f>'Raw Datas'!DY69</f>
        <v>0</v>
      </c>
      <c r="EB24" s="63" t="str">
        <f>'Raw Datas'!DZ69</f>
        <v>0</v>
      </c>
      <c r="EC24" s="63" t="str">
        <f>'Raw Datas'!EA69</f>
        <v>0</v>
      </c>
      <c r="ED24" s="63" t="str">
        <f>'Raw Datas'!EB69</f>
        <v>0</v>
      </c>
      <c r="EE24" s="63" t="str">
        <f>'Raw Datas'!EC69</f>
        <v>0</v>
      </c>
      <c r="EF24" s="63" t="str">
        <f>'Raw Datas'!ED69</f>
        <v>0</v>
      </c>
      <c r="EG24" s="63" t="str">
        <f>'Raw Datas'!EE69</f>
        <v>0</v>
      </c>
      <c r="EH24" s="63" t="str">
        <f>'Raw Datas'!EF69</f>
        <v>0</v>
      </c>
      <c r="EI24" s="63" t="str">
        <f>'Raw Datas'!EG69</f>
        <v>0</v>
      </c>
      <c r="EJ24" s="63" t="str">
        <f>'Raw Datas'!EH69</f>
        <v>0</v>
      </c>
      <c r="EK24" s="63" t="str">
        <f>'Raw Datas'!EI69</f>
        <v>0</v>
      </c>
      <c r="EL24" s="63" t="str">
        <f>'Raw Datas'!EJ69</f>
        <v>0</v>
      </c>
      <c r="EM24" s="63" t="str">
        <f>'Raw Datas'!EK69</f>
        <v>0</v>
      </c>
      <c r="EN24" s="63" t="str">
        <f>'Raw Datas'!EL69</f>
        <v>0</v>
      </c>
      <c r="EO24" s="63" t="str">
        <f>'Raw Datas'!EM69</f>
        <v>0</v>
      </c>
      <c r="EP24" s="63" t="str">
        <f>'Raw Datas'!EN69</f>
        <v>0</v>
      </c>
      <c r="EQ24" s="63" t="str">
        <f>'Raw Datas'!EO69</f>
        <v>0</v>
      </c>
      <c r="ER24" s="63" t="str">
        <f>'Raw Datas'!EP69</f>
        <v>0</v>
      </c>
      <c r="ES24" s="63" t="str">
        <f>'Raw Datas'!EQ69</f>
        <v>0</v>
      </c>
      <c r="ET24" s="63" t="str">
        <f>'Raw Datas'!ER69</f>
        <v>0</v>
      </c>
      <c r="EU24" s="63" t="str">
        <f>'Raw Datas'!ES69</f>
        <v>0</v>
      </c>
      <c r="EV24" s="63" t="str">
        <f>'Raw Datas'!ET69</f>
        <v>0</v>
      </c>
      <c r="EW24" s="63" t="str">
        <f>'Raw Datas'!EU69</f>
        <v>0</v>
      </c>
      <c r="EX24" s="63" t="str">
        <f>'Raw Datas'!EV69</f>
        <v>0</v>
      </c>
      <c r="EY24" s="63" t="str">
        <f>'Raw Datas'!EW69</f>
        <v>0</v>
      </c>
      <c r="EZ24" s="63" t="str">
        <f>'Raw Datas'!EX69</f>
        <v>0</v>
      </c>
      <c r="FA24" s="63" t="str">
        <f>'Raw Datas'!EY69</f>
        <v>0</v>
      </c>
      <c r="FB24" s="63" t="str">
        <f>'Raw Datas'!EZ69</f>
        <v>0</v>
      </c>
      <c r="FC24" s="63" t="str">
        <f>'Raw Datas'!FA69</f>
        <v>0</v>
      </c>
      <c r="FD24" s="63" t="str">
        <f>'Raw Datas'!FB69</f>
        <v>0</v>
      </c>
      <c r="FE24" s="63" t="str">
        <f>'Raw Datas'!FC69</f>
        <v>0</v>
      </c>
      <c r="FF24" s="63" t="str">
        <f>'Raw Datas'!FD69</f>
        <v>0</v>
      </c>
      <c r="FG24" s="63" t="str">
        <f>'Raw Datas'!FE69</f>
        <v>0</v>
      </c>
      <c r="FH24" s="63" t="str">
        <f>'Raw Datas'!FF69</f>
        <v>0</v>
      </c>
      <c r="FI24" s="63" t="str">
        <f>'Raw Datas'!FG69</f>
        <v>0</v>
      </c>
      <c r="FJ24" s="63" t="str">
        <f>'Raw Datas'!FH69</f>
        <v>0</v>
      </c>
      <c r="FK24" s="63" t="str">
        <f>'Raw Datas'!FI69</f>
        <v>0</v>
      </c>
      <c r="FL24" s="63" t="str">
        <f>'Raw Datas'!FJ69</f>
        <v>0</v>
      </c>
      <c r="FM24" s="63" t="str">
        <f>'Raw Datas'!FK69</f>
        <v>0</v>
      </c>
      <c r="FN24" s="63" t="str">
        <f>'Raw Datas'!FL69</f>
        <v>0</v>
      </c>
      <c r="FO24" s="63" t="str">
        <f>'Raw Datas'!FM69</f>
        <v>0</v>
      </c>
      <c r="FP24" s="63" t="str">
        <f>'Raw Datas'!FN69</f>
        <v>0</v>
      </c>
      <c r="FQ24" s="63" t="str">
        <f>'Raw Datas'!FO69</f>
        <v>0</v>
      </c>
    </row>
    <row r="25" spans="1:173" ht="15.75" customHeight="1" x14ac:dyDescent="0.2">
      <c r="A25" s="117"/>
      <c r="B25" s="97" t="s">
        <v>10</v>
      </c>
      <c r="C25" s="104" t="s">
        <v>742</v>
      </c>
      <c r="D25" s="104"/>
      <c r="E25" s="60">
        <f>'Raw Datas'!C70</f>
        <v>96.875466666666668</v>
      </c>
      <c r="F25" s="63">
        <f>'Raw Datas'!D70</f>
        <v>118.98988333333334</v>
      </c>
      <c r="G25" s="63">
        <f>'Raw Datas'!E70</f>
        <v>125.04509999999999</v>
      </c>
      <c r="H25" s="63">
        <f>'Raw Datas'!F70</f>
        <v>156.13639999999998</v>
      </c>
      <c r="I25" s="63">
        <f>'Raw Datas'!G70</f>
        <v>173.93033333333335</v>
      </c>
      <c r="J25" s="63">
        <f>'Raw Datas'!H70</f>
        <v>193.97865000000002</v>
      </c>
      <c r="K25" s="63">
        <f>'Raw Datas'!I70</f>
        <v>93.744783333333331</v>
      </c>
      <c r="L25" s="63">
        <f>'Raw Datas'!J70</f>
        <v>49.465500000000006</v>
      </c>
      <c r="M25" s="63">
        <f>'Raw Datas'!K70</f>
        <v>45.0702</v>
      </c>
      <c r="N25" s="63">
        <f>'Raw Datas'!L70</f>
        <v>145.09745000000001</v>
      </c>
      <c r="O25" s="63">
        <f>'Raw Datas'!M70</f>
        <v>40.642616666666669</v>
      </c>
      <c r="P25" s="63">
        <f>'Raw Datas'!N70</f>
        <v>225.31681666666671</v>
      </c>
      <c r="Q25" s="63">
        <f>'Raw Datas'!O70</f>
        <v>168.17400000000001</v>
      </c>
      <c r="R25" s="63">
        <f>'Raw Datas'!P70</f>
        <v>161.93221666666668</v>
      </c>
      <c r="S25" s="63">
        <f>'Raw Datas'!Q70</f>
        <v>196.14561666666668</v>
      </c>
      <c r="T25" s="63">
        <f>'Raw Datas'!R70</f>
        <v>1199.7205500000002</v>
      </c>
      <c r="U25" s="63">
        <f>'Raw Datas'!S70</f>
        <v>16.7148</v>
      </c>
      <c r="V25" s="63">
        <f>'Raw Datas'!T70</f>
        <v>63.4129</v>
      </c>
      <c r="W25" s="63">
        <f>'Raw Datas'!U70</f>
        <v>133.57703333333333</v>
      </c>
      <c r="X25" s="63">
        <f>'Raw Datas'!V70</f>
        <v>49.190466666666673</v>
      </c>
      <c r="Y25" s="63">
        <f>'Raw Datas'!W70</f>
        <v>431.78008571428569</v>
      </c>
      <c r="Z25" s="63">
        <f>'Raw Datas'!X70</f>
        <v>116.77408</v>
      </c>
      <c r="AA25" s="63">
        <f>'Raw Datas'!Y70</f>
        <v>116.19905</v>
      </c>
      <c r="AB25" s="63">
        <f>'Raw Datas'!Z70</f>
        <v>1025.1311600000001</v>
      </c>
      <c r="AC25" s="63">
        <f>'Raw Datas'!AA70</f>
        <v>46.039516666666671</v>
      </c>
      <c r="AD25" s="63">
        <f>'Raw Datas'!AB70</f>
        <v>98.415333333333336</v>
      </c>
      <c r="AE25" s="63">
        <f>'Raw Datas'!AC70</f>
        <v>69.51188333333333</v>
      </c>
      <c r="AF25" s="63">
        <f>'Raw Datas'!AD70</f>
        <v>162.15625</v>
      </c>
      <c r="AG25" s="63">
        <f>'Raw Datas'!AE70</f>
        <v>45.801699999999997</v>
      </c>
      <c r="AH25" s="63">
        <f>'Raw Datas'!AF70</f>
        <v>104.67716666666666</v>
      </c>
      <c r="AI25" s="63">
        <f>'Raw Datas'!AG70</f>
        <v>323.68610000000001</v>
      </c>
      <c r="AJ25" s="63">
        <f>'Raw Datas'!AH70</f>
        <v>65.459266666666664</v>
      </c>
      <c r="AK25" s="63">
        <f>'Raw Datas'!AI70</f>
        <v>308.17806666666667</v>
      </c>
      <c r="AL25" s="63">
        <f>'Raw Datas'!AJ70</f>
        <v>285.18389999999999</v>
      </c>
      <c r="AM25" s="63">
        <f>'Raw Datas'!AK70</f>
        <v>79.968649999999997</v>
      </c>
      <c r="AN25" s="63">
        <f>'Raw Datas'!AL70</f>
        <v>133.36949999999999</v>
      </c>
      <c r="AO25" s="63">
        <f>'Raw Datas'!AM70</f>
        <v>254.16910000000001</v>
      </c>
      <c r="AP25" s="63">
        <f>'Raw Datas'!AN70</f>
        <v>133.45201666666665</v>
      </c>
      <c r="AQ25" s="63">
        <f>'Raw Datas'!AO70</f>
        <v>30.750399999999999</v>
      </c>
      <c r="AR25" s="63">
        <f>'Raw Datas'!AP70</f>
        <v>179.95054999999999</v>
      </c>
      <c r="AS25" s="63">
        <f>'Raw Datas'!AQ70</f>
        <v>221.44746666666666</v>
      </c>
      <c r="AT25" s="63">
        <f>'Raw Datas'!AR70</f>
        <v>102.22284999999998</v>
      </c>
      <c r="AU25" s="63">
        <f>'Raw Datas'!AS70</f>
        <v>1541.3184833333335</v>
      </c>
      <c r="AV25" s="63">
        <f>'Raw Datas'!AT70</f>
        <v>348.89668333333333</v>
      </c>
      <c r="AW25" s="63">
        <f>'Raw Datas'!AU70</f>
        <v>59.576880000000003</v>
      </c>
      <c r="AX25" s="63">
        <f>'Raw Datas'!AV70</f>
        <v>18.45636</v>
      </c>
      <c r="AY25" s="63">
        <f>'Raw Datas'!AW70</f>
        <v>99.323816666666673</v>
      </c>
      <c r="AZ25" s="63">
        <f>'Raw Datas'!AX70</f>
        <v>154.27348333333333</v>
      </c>
      <c r="BA25" s="63">
        <f>'Raw Datas'!AY70</f>
        <v>336.14206666666666</v>
      </c>
      <c r="BB25" s="63">
        <f>'Raw Datas'!AZ70</f>
        <v>14.536016666666665</v>
      </c>
      <c r="BC25" s="63">
        <f>'Raw Datas'!BA70</f>
        <v>88.255700000000004</v>
      </c>
      <c r="BD25" s="63">
        <f>'Raw Datas'!BB70</f>
        <v>42.485900000000001</v>
      </c>
      <c r="BE25" s="63">
        <f>'Raw Datas'!BC70</f>
        <v>211.34151666666668</v>
      </c>
      <c r="BF25" s="63">
        <f>'Raw Datas'!BD70</f>
        <v>205.29680000000002</v>
      </c>
      <c r="BG25" s="63">
        <f>'Raw Datas'!BE70</f>
        <v>20.31015</v>
      </c>
      <c r="BH25" s="63">
        <f>'Raw Datas'!BF70</f>
        <v>438.77215000000001</v>
      </c>
      <c r="BI25" s="63">
        <f>'Raw Datas'!BG70</f>
        <v>42.308616666666666</v>
      </c>
      <c r="BJ25" s="63">
        <f>'Raw Datas'!BH70</f>
        <v>357.05779999999993</v>
      </c>
      <c r="BK25" s="63">
        <f>'Raw Datas'!BI70</f>
        <v>380.58443333333338</v>
      </c>
      <c r="BL25" s="63">
        <f>'Raw Datas'!BJ70</f>
        <v>743.57584999999995</v>
      </c>
      <c r="BM25" s="63">
        <f>'Raw Datas'!BK70</f>
        <v>388.68473333333338</v>
      </c>
      <c r="BN25" s="63">
        <f>'Raw Datas'!BL70</f>
        <v>2311.3289500000001</v>
      </c>
      <c r="BO25" s="63">
        <f>'Raw Datas'!BM70</f>
        <v>877.3998857142858</v>
      </c>
      <c r="BP25" s="63">
        <f>'Raw Datas'!BN70</f>
        <v>2309.7009666666663</v>
      </c>
      <c r="BQ25" s="63">
        <f>'Raw Datas'!BO70</f>
        <v>1768.2849999999999</v>
      </c>
      <c r="BR25" s="63">
        <f>'Raw Datas'!BP70</f>
        <v>1754.8267499999999</v>
      </c>
      <c r="BS25" s="63">
        <f>'Raw Datas'!BQ70</f>
        <v>518.75113333333331</v>
      </c>
      <c r="BT25" s="63">
        <f>'Raw Datas'!BR70</f>
        <v>113.59911428571429</v>
      </c>
      <c r="BU25" s="63">
        <f>'Raw Datas'!BS70</f>
        <v>1416.2715666666666</v>
      </c>
      <c r="BV25" s="63">
        <f>'Raw Datas'!BT70</f>
        <v>1005.6605333333333</v>
      </c>
      <c r="BW25" s="63">
        <f>'Raw Datas'!BU70</f>
        <v>344.64445000000001</v>
      </c>
      <c r="BX25" s="63">
        <f>'Raw Datas'!BV70</f>
        <v>245.23633333333331</v>
      </c>
      <c r="BY25" s="63">
        <f>'Raw Datas'!BW70</f>
        <v>390.09896666666668</v>
      </c>
      <c r="BZ25" s="63">
        <f>'Raw Datas'!BX70</f>
        <v>109.06278333333333</v>
      </c>
      <c r="CA25" s="63">
        <f>'Raw Datas'!BY70</f>
        <v>277.6807</v>
      </c>
      <c r="CB25" s="63">
        <f>'Raw Datas'!BZ70</f>
        <v>180.84933333333331</v>
      </c>
      <c r="CC25" s="63">
        <f>'Raw Datas'!CA70</f>
        <v>254.17478333333335</v>
      </c>
      <c r="CD25" s="63">
        <f>'Raw Datas'!CB70</f>
        <v>188.79878333333332</v>
      </c>
      <c r="CE25" s="63">
        <f>'Raw Datas'!CC70</f>
        <v>218.02423333333337</v>
      </c>
      <c r="CF25" s="63">
        <f>'Raw Datas'!CD70</f>
        <v>115.0843</v>
      </c>
      <c r="CG25" s="63">
        <f>'Raw Datas'!CE70</f>
        <v>790.79500000000007</v>
      </c>
      <c r="CH25" s="63">
        <f>'Raw Datas'!CF70</f>
        <v>73.402383333333333</v>
      </c>
      <c r="CI25" s="63">
        <f>'Raw Datas'!CG70</f>
        <v>81.481416666666675</v>
      </c>
      <c r="CJ25" s="63">
        <f>'Raw Datas'!CH70</f>
        <v>33.093499999999999</v>
      </c>
      <c r="CK25" s="63">
        <f>'Raw Datas'!CI70</f>
        <v>143.77553333333333</v>
      </c>
      <c r="CL25" s="63">
        <f>'Raw Datas'!CJ70</f>
        <v>202.09326666666666</v>
      </c>
      <c r="CM25" s="63">
        <f>'Raw Datas'!CK70</f>
        <v>22.660000000000004</v>
      </c>
      <c r="CN25" s="63">
        <f>'Raw Datas'!CL70</f>
        <v>87.073933333333329</v>
      </c>
      <c r="CO25" s="63">
        <f>'Raw Datas'!CM70</f>
        <v>45.765816666666666</v>
      </c>
      <c r="CP25" s="63">
        <f>'Raw Datas'!CN70</f>
        <v>19.923499999999997</v>
      </c>
      <c r="CQ25" s="63">
        <f>'Raw Datas'!CO70</f>
        <v>62.461699999999993</v>
      </c>
      <c r="CR25" s="63">
        <f>'Raw Datas'!CP70</f>
        <v>156.93019999999999</v>
      </c>
      <c r="CS25" s="63">
        <f>'Raw Datas'!CQ70</f>
        <v>230.30600000000001</v>
      </c>
      <c r="CT25" s="63">
        <f>'Raw Datas'!CR70</f>
        <v>104.69818333333335</v>
      </c>
      <c r="CU25" s="63">
        <f>'Raw Datas'!CS70</f>
        <v>26.097383333333333</v>
      </c>
      <c r="CV25" s="63">
        <f>'Raw Datas'!CT70</f>
        <v>23.582583333333332</v>
      </c>
      <c r="CW25" s="63">
        <f>'Raw Datas'!CU70</f>
        <v>117.50406666666667</v>
      </c>
      <c r="CX25" s="63">
        <f>'Raw Datas'!CV70</f>
        <v>546.16430000000003</v>
      </c>
      <c r="CY25" s="63">
        <f>'Raw Datas'!CW70</f>
        <v>70.250550000000004</v>
      </c>
      <c r="CZ25" s="63">
        <f>'Raw Datas'!CX70</f>
        <v>16.011599999999998</v>
      </c>
      <c r="DA25" s="63">
        <f>'Raw Datas'!CY70</f>
        <v>256.5185166666667</v>
      </c>
      <c r="DB25" s="63">
        <f>'Raw Datas'!CZ70</f>
        <v>91.768550000000005</v>
      </c>
      <c r="DC25" s="63">
        <f>'Raw Datas'!DA70</f>
        <v>24.089183333333335</v>
      </c>
      <c r="DD25" s="63">
        <f>'Raw Datas'!DB70</f>
        <v>262.94265000000001</v>
      </c>
      <c r="DE25" s="63">
        <f>'Raw Datas'!DC70</f>
        <v>163.02405000000002</v>
      </c>
      <c r="DF25" s="63">
        <f>'Raw Datas'!DD70</f>
        <v>32.755850000000002</v>
      </c>
      <c r="DG25" s="63">
        <f>'Raw Datas'!DE70</f>
        <v>129.58323333333334</v>
      </c>
      <c r="DH25" s="63">
        <f>'Raw Datas'!DF70</f>
        <v>83.315133333333335</v>
      </c>
      <c r="DI25" s="63">
        <f>'Raw Datas'!DG70</f>
        <v>306.97133333333329</v>
      </c>
      <c r="DJ25" s="63">
        <f>'Raw Datas'!DH70</f>
        <v>17.121316666666665</v>
      </c>
      <c r="DK25" s="63">
        <f>'Raw Datas'!DI70</f>
        <v>124.07951666666666</v>
      </c>
      <c r="DL25" s="63">
        <f>'Raw Datas'!DJ70</f>
        <v>394.17758333333336</v>
      </c>
      <c r="DM25" s="63">
        <f>'Raw Datas'!DK70</f>
        <v>325.74871666666667</v>
      </c>
      <c r="DN25" s="63">
        <f>'Raw Datas'!DL70</f>
        <v>55.981350000000006</v>
      </c>
      <c r="DO25" s="63">
        <f>'Raw Datas'!DM70</f>
        <v>61.475699999999996</v>
      </c>
      <c r="DP25" s="63">
        <f>'Raw Datas'!DN70</f>
        <v>271.40213333333332</v>
      </c>
      <c r="DQ25" s="63">
        <f>'Raw Datas'!DO70</f>
        <v>305.61849999999998</v>
      </c>
      <c r="DR25" s="63">
        <f>'Raw Datas'!DP70</f>
        <v>74.946416666666664</v>
      </c>
      <c r="DS25" s="63">
        <f>'Raw Datas'!DQ70</f>
        <v>63.543066666666661</v>
      </c>
      <c r="DT25" s="63">
        <f>'Raw Datas'!DR70</f>
        <v>31.706149999999997</v>
      </c>
      <c r="DU25" s="63">
        <f>'Raw Datas'!DS70</f>
        <v>73.040533333333329</v>
      </c>
      <c r="DV25" s="63">
        <f>'Raw Datas'!DT70</f>
        <v>105.61505000000001</v>
      </c>
      <c r="DW25" s="63">
        <f>'Raw Datas'!DU70</f>
        <v>249.49056666666669</v>
      </c>
      <c r="DX25" s="63">
        <f>'Raw Datas'!DV70</f>
        <v>83.291883333333331</v>
      </c>
      <c r="DY25" s="63">
        <f>'Raw Datas'!DW70</f>
        <v>74.94338333333333</v>
      </c>
      <c r="DZ25" s="63">
        <f>'Raw Datas'!DX70</f>
        <v>188.69903333333332</v>
      </c>
      <c r="EA25" s="63">
        <f>'Raw Datas'!DY70</f>
        <v>112.97154999999999</v>
      </c>
      <c r="EB25" s="63">
        <f>'Raw Datas'!DZ70</f>
        <v>248.91913333333332</v>
      </c>
      <c r="EC25" s="63">
        <f>'Raw Datas'!EA70</f>
        <v>83.908933333333337</v>
      </c>
      <c r="ED25" s="63">
        <f>'Raw Datas'!EB70</f>
        <v>23.078583333333331</v>
      </c>
      <c r="EE25" s="63">
        <f>'Raw Datas'!EC70</f>
        <v>85.300966666666667</v>
      </c>
      <c r="EF25" s="63">
        <f>'Raw Datas'!ED70</f>
        <v>101.32588333333334</v>
      </c>
      <c r="EG25" s="63">
        <f>'Raw Datas'!EE70</f>
        <v>82.642466666666664</v>
      </c>
      <c r="EH25" s="63">
        <f>'Raw Datas'!EF70</f>
        <v>113.31355000000001</v>
      </c>
      <c r="EI25" s="63">
        <f>'Raw Datas'!EG70</f>
        <v>142.68658333333332</v>
      </c>
      <c r="EJ25" s="63">
        <f>'Raw Datas'!EH70</f>
        <v>252.44239999999996</v>
      </c>
      <c r="EK25" s="63">
        <f>'Raw Datas'!EI70</f>
        <v>26.569366666666667</v>
      </c>
      <c r="EL25" s="63">
        <f>'Raw Datas'!EJ70</f>
        <v>144.53558333333334</v>
      </c>
      <c r="EM25" s="63">
        <f>'Raw Datas'!EK70</f>
        <v>252.17774999999997</v>
      </c>
      <c r="EN25" s="63">
        <f>'Raw Datas'!EL70</f>
        <v>313.73031666666668</v>
      </c>
      <c r="EO25" s="63">
        <f>'Raw Datas'!EM70</f>
        <v>20.819166666666668</v>
      </c>
      <c r="EP25" s="63">
        <f>'Raw Datas'!EN70</f>
        <v>229.30823333333333</v>
      </c>
      <c r="EQ25" s="63">
        <f>'Raw Datas'!EO70</f>
        <v>81.124916666666664</v>
      </c>
      <c r="ER25" s="63">
        <f>'Raw Datas'!EP70</f>
        <v>182.49086666666668</v>
      </c>
      <c r="ES25" s="63">
        <f>'Raw Datas'!EQ70</f>
        <v>55.233116666666668</v>
      </c>
      <c r="ET25" s="63">
        <f>'Raw Datas'!ER70</f>
        <v>82.242300000000014</v>
      </c>
      <c r="EU25" s="63">
        <f>'Raw Datas'!ES70</f>
        <v>76.975766666666672</v>
      </c>
      <c r="EV25" s="63">
        <f>'Raw Datas'!ET70</f>
        <v>142.31935000000001</v>
      </c>
      <c r="EW25" s="63">
        <f>'Raw Datas'!EU70</f>
        <v>198.57679999999999</v>
      </c>
      <c r="EX25" s="63">
        <f>'Raw Datas'!EV70</f>
        <v>133.25809999999998</v>
      </c>
      <c r="EY25" s="63">
        <f>'Raw Datas'!EW70</f>
        <v>122.38018333333335</v>
      </c>
      <c r="EZ25" s="63">
        <f>'Raw Datas'!EX70</f>
        <v>181.64563333333336</v>
      </c>
      <c r="FA25" s="63">
        <f>'Raw Datas'!EY70</f>
        <v>36.389483333333338</v>
      </c>
      <c r="FB25" s="63">
        <f>'Raw Datas'!EZ70</f>
        <v>19.331466666666664</v>
      </c>
      <c r="FC25" s="63">
        <f>'Raw Datas'!FA70</f>
        <v>29.214416666666661</v>
      </c>
      <c r="FD25" s="63">
        <f>'Raw Datas'!FB70</f>
        <v>85.616216666666659</v>
      </c>
      <c r="FE25" s="63">
        <f>'Raw Datas'!FC70</f>
        <v>59.616216666666666</v>
      </c>
      <c r="FF25" s="63">
        <f>'Raw Datas'!FD70</f>
        <v>218.3559166666667</v>
      </c>
      <c r="FG25" s="63">
        <f>'Raw Datas'!FE70</f>
        <v>111.68713333333334</v>
      </c>
      <c r="FH25" s="63">
        <f>'Raw Datas'!FF70</f>
        <v>204.27706666666666</v>
      </c>
      <c r="FI25" s="63">
        <f>'Raw Datas'!FG70</f>
        <v>41.275049999999993</v>
      </c>
      <c r="FJ25" s="63">
        <f>'Raw Datas'!FH70</f>
        <v>87.794900000000013</v>
      </c>
      <c r="FK25" s="63">
        <f>'Raw Datas'!FI70</f>
        <v>250.75799999999998</v>
      </c>
      <c r="FL25" s="63">
        <f>'Raw Datas'!FJ70</f>
        <v>50.098316666666662</v>
      </c>
      <c r="FM25" s="63">
        <f>'Raw Datas'!FK70</f>
        <v>34.865733333333331</v>
      </c>
      <c r="FN25" s="63">
        <f>'Raw Datas'!FL70</f>
        <v>5.5661166666666677</v>
      </c>
      <c r="FO25" s="63">
        <f>'Raw Datas'!FM70</f>
        <v>11.948700000000001</v>
      </c>
      <c r="FP25" s="63">
        <f>'Raw Datas'!FN70</f>
        <v>97.012750000000011</v>
      </c>
      <c r="FQ25" s="63">
        <f>'Raw Datas'!FO70</f>
        <v>28.531366666666667</v>
      </c>
    </row>
    <row r="26" spans="1:173" ht="15.75" customHeight="1" x14ac:dyDescent="0.2">
      <c r="A26" s="117"/>
      <c r="B26" s="97" t="s">
        <v>14</v>
      </c>
      <c r="C26" s="104" t="s">
        <v>743</v>
      </c>
      <c r="D26" s="104"/>
      <c r="E26" s="60">
        <f>'Raw Datas'!C71</f>
        <v>5.1227499999999999</v>
      </c>
      <c r="F26" s="63">
        <f>'Raw Datas'!D71</f>
        <v>11.544283333333333</v>
      </c>
      <c r="G26" s="63">
        <f>'Raw Datas'!E71</f>
        <v>3.9440499999999998</v>
      </c>
      <c r="H26" s="63">
        <f>'Raw Datas'!F71</f>
        <v>11.911616666666667</v>
      </c>
      <c r="I26" s="63">
        <f>'Raw Datas'!G71</f>
        <v>7.9660833333333336</v>
      </c>
      <c r="J26" s="63">
        <f>'Raw Datas'!H71</f>
        <v>12.411300000000001</v>
      </c>
      <c r="K26" s="63">
        <f>'Raw Datas'!I71</f>
        <v>13.142166666666666</v>
      </c>
      <c r="L26" s="63">
        <f>'Raw Datas'!J71</f>
        <v>7.8844666666666674</v>
      </c>
      <c r="M26" s="63">
        <f>'Raw Datas'!K71</f>
        <v>6.4571166666666668</v>
      </c>
      <c r="N26" s="63">
        <f>'Raw Datas'!L71</f>
        <v>16.568716666666667</v>
      </c>
      <c r="O26" s="63">
        <f>'Raw Datas'!M71</f>
        <v>4.7501666666666669</v>
      </c>
      <c r="P26" s="63">
        <f>'Raw Datas'!N71</f>
        <v>8.940316666666666</v>
      </c>
      <c r="Q26" s="63">
        <f>'Raw Datas'!O71</f>
        <v>10.454033333333335</v>
      </c>
      <c r="R26" s="63">
        <f>'Raw Datas'!P71</f>
        <v>11.161283333333332</v>
      </c>
      <c r="S26" s="63">
        <f>'Raw Datas'!Q71</f>
        <v>6.681116666666667</v>
      </c>
      <c r="T26" s="63">
        <f>'Raw Datas'!R71</f>
        <v>60.126549999999995</v>
      </c>
      <c r="U26" s="63">
        <f>'Raw Datas'!S71</f>
        <v>6.3704333333333336</v>
      </c>
      <c r="V26" s="63">
        <f>'Raw Datas'!T71</f>
        <v>3.0799500000000006</v>
      </c>
      <c r="W26" s="63">
        <f>'Raw Datas'!U71</f>
        <v>6.9404166666666658</v>
      </c>
      <c r="X26" s="63">
        <f>'Raw Datas'!V71</f>
        <v>2.8482500000000002</v>
      </c>
      <c r="Y26" s="63">
        <f>'Raw Datas'!W71</f>
        <v>22.416799999999999</v>
      </c>
      <c r="Z26" s="63">
        <f>'Raw Datas'!X71</f>
        <v>12.516439999999999</v>
      </c>
      <c r="AA26" s="63">
        <f>'Raw Datas'!Y71</f>
        <v>12.222900000000001</v>
      </c>
      <c r="AB26" s="63">
        <f>'Raw Datas'!Z71</f>
        <v>74.304540000000003</v>
      </c>
      <c r="AC26" s="63">
        <f>'Raw Datas'!AA71</f>
        <v>4.4564000000000004</v>
      </c>
      <c r="AD26" s="63">
        <f>'Raw Datas'!AB71</f>
        <v>13.414733333333334</v>
      </c>
      <c r="AE26" s="63">
        <f>'Raw Datas'!AC71</f>
        <v>10.789499999999999</v>
      </c>
      <c r="AF26" s="63">
        <f>'Raw Datas'!AD71</f>
        <v>5.0983000000000001</v>
      </c>
      <c r="AG26" s="63">
        <f>'Raw Datas'!AE71</f>
        <v>3.3539499999999998</v>
      </c>
      <c r="AH26" s="63">
        <f>'Raw Datas'!AF71</f>
        <v>5.9813999999999989</v>
      </c>
      <c r="AI26" s="63">
        <f>'Raw Datas'!AG71</f>
        <v>22.491933333333336</v>
      </c>
      <c r="AJ26" s="63">
        <f>'Raw Datas'!AH71</f>
        <v>4.7712166666666667</v>
      </c>
      <c r="AK26" s="63">
        <f>'Raw Datas'!AI71</f>
        <v>13.815850000000001</v>
      </c>
      <c r="AL26" s="63">
        <f>'Raw Datas'!AJ71</f>
        <v>13.566366666666665</v>
      </c>
      <c r="AM26" s="63">
        <f>'Raw Datas'!AK71</f>
        <v>6.9360999999999997</v>
      </c>
      <c r="AN26" s="63">
        <f>'Raw Datas'!AL71</f>
        <v>6.1569833333333328</v>
      </c>
      <c r="AO26" s="63">
        <f>'Raw Datas'!AM71</f>
        <v>19.323950000000004</v>
      </c>
      <c r="AP26" s="63">
        <f>'Raw Datas'!AN71</f>
        <v>9.3495666666666679</v>
      </c>
      <c r="AQ26" s="63">
        <f>'Raw Datas'!AO71</f>
        <v>4.8732499999999996</v>
      </c>
      <c r="AR26" s="63">
        <f>'Raw Datas'!AP71</f>
        <v>4.3388499999999999</v>
      </c>
      <c r="AS26" s="63">
        <f>'Raw Datas'!AQ71</f>
        <v>11.781883333333333</v>
      </c>
      <c r="AT26" s="63">
        <f>'Raw Datas'!AR71</f>
        <v>4.0019499999999999</v>
      </c>
      <c r="AU26" s="63">
        <f>'Raw Datas'!AS71</f>
        <v>30.702216666666668</v>
      </c>
      <c r="AV26" s="63">
        <f>'Raw Datas'!AT71</f>
        <v>14.598800000000001</v>
      </c>
      <c r="AW26" s="63">
        <f>'Raw Datas'!AU71</f>
        <v>1.9552800000000001</v>
      </c>
      <c r="AX26" s="63">
        <f>'Raw Datas'!AV71</f>
        <v>4.0258399999999996</v>
      </c>
      <c r="AY26" s="63">
        <f>'Raw Datas'!AW71</f>
        <v>3.6421333333333332</v>
      </c>
      <c r="AZ26" s="63">
        <f>'Raw Datas'!AX71</f>
        <v>4.8273333333333328</v>
      </c>
      <c r="BA26" s="63">
        <f>'Raw Datas'!AY71</f>
        <v>7.9563166666666669</v>
      </c>
      <c r="BB26" s="63">
        <f>'Raw Datas'!AZ71</f>
        <v>1.4800833333333332</v>
      </c>
      <c r="BC26" s="63">
        <f>'Raw Datas'!BA71</f>
        <v>5.4782833333333336</v>
      </c>
      <c r="BD26" s="63">
        <f>'Raw Datas'!BB71</f>
        <v>3.1761166666666667</v>
      </c>
      <c r="BE26" s="63">
        <f>'Raw Datas'!BC71</f>
        <v>4.2630166666666671</v>
      </c>
      <c r="BF26" s="63">
        <f>'Raw Datas'!BD71</f>
        <v>5.5551333333333339</v>
      </c>
      <c r="BG26" s="63">
        <f>'Raw Datas'!BE71</f>
        <v>2.863633333333333</v>
      </c>
      <c r="BH26" s="63">
        <f>'Raw Datas'!BF71</f>
        <v>9.0152999999999999</v>
      </c>
      <c r="BI26" s="63">
        <f>'Raw Datas'!BG71</f>
        <v>1.4133333333333336</v>
      </c>
      <c r="BJ26" s="63">
        <f>'Raw Datas'!BH71</f>
        <v>16.243649999999999</v>
      </c>
      <c r="BK26" s="63">
        <f>'Raw Datas'!BI71</f>
        <v>29.8309</v>
      </c>
      <c r="BL26" s="63">
        <f>'Raw Datas'!BJ71</f>
        <v>37.944383333333334</v>
      </c>
      <c r="BM26" s="63">
        <f>'Raw Datas'!BK71</f>
        <v>25.1311</v>
      </c>
      <c r="BN26" s="63">
        <f>'Raw Datas'!BL71</f>
        <v>258.91165000000001</v>
      </c>
      <c r="BO26" s="63">
        <f>'Raw Datas'!BM71</f>
        <v>229.25377142857141</v>
      </c>
      <c r="BP26" s="63">
        <f>'Raw Datas'!BN71</f>
        <v>258.38666666666666</v>
      </c>
      <c r="BQ26" s="63">
        <f>'Raw Datas'!BO71</f>
        <v>142.79788333333332</v>
      </c>
      <c r="BR26" s="63">
        <f>'Raw Datas'!BP71</f>
        <v>136.25606666666667</v>
      </c>
      <c r="BS26" s="63">
        <f>'Raw Datas'!BQ71</f>
        <v>33.309033333333332</v>
      </c>
      <c r="BT26" s="63">
        <f>'Raw Datas'!BR71</f>
        <v>9.6425714285714292</v>
      </c>
      <c r="BU26" s="63">
        <f>'Raw Datas'!BS71</f>
        <v>243.05183333333332</v>
      </c>
      <c r="BV26" s="63">
        <f>'Raw Datas'!BT71</f>
        <v>74.041250000000005</v>
      </c>
      <c r="BW26" s="63">
        <f>'Raw Datas'!BU71</f>
        <v>35.93085</v>
      </c>
      <c r="BX26" s="63">
        <f>'Raw Datas'!BV71</f>
        <v>36.27055</v>
      </c>
      <c r="BY26" s="63">
        <f>'Raw Datas'!BW71</f>
        <v>15.773099999999999</v>
      </c>
      <c r="BZ26" s="63">
        <f>'Raw Datas'!BX71</f>
        <v>4.3901833333333338</v>
      </c>
      <c r="CA26" s="63">
        <f>'Raw Datas'!BY71</f>
        <v>48.254466666666666</v>
      </c>
      <c r="CB26" s="63">
        <f>'Raw Datas'!BZ71</f>
        <v>24.431049999999995</v>
      </c>
      <c r="CC26" s="63">
        <f>'Raw Datas'!CA71</f>
        <v>20.681449999999998</v>
      </c>
      <c r="CD26" s="63">
        <f>'Raw Datas'!CB71</f>
        <v>8.5188500000000005</v>
      </c>
      <c r="CE26" s="63">
        <f>'Raw Datas'!CC71</f>
        <v>13.411966666666668</v>
      </c>
      <c r="CF26" s="63">
        <f>'Raw Datas'!CD71</f>
        <v>5.6875999999999998</v>
      </c>
      <c r="CG26" s="63">
        <f>'Raw Datas'!CE71</f>
        <v>46.346216666666663</v>
      </c>
      <c r="CH26" s="63">
        <f>'Raw Datas'!CF71</f>
        <v>3.4651666666666667</v>
      </c>
      <c r="CI26" s="63">
        <f>'Raw Datas'!CG71</f>
        <v>4.3594166666666663</v>
      </c>
      <c r="CJ26" s="63">
        <f>'Raw Datas'!CH71</f>
        <v>3.4619666666666666</v>
      </c>
      <c r="CK26" s="63">
        <f>'Raw Datas'!CI71</f>
        <v>14.682600000000001</v>
      </c>
      <c r="CL26" s="63">
        <f>'Raw Datas'!CJ71</f>
        <v>4.3516000000000004</v>
      </c>
      <c r="CM26" s="63">
        <f>'Raw Datas'!CK71</f>
        <v>6.1311666666666671</v>
      </c>
      <c r="CN26" s="63">
        <f>'Raw Datas'!CL71</f>
        <v>12.245216666666666</v>
      </c>
      <c r="CO26" s="63">
        <f>'Raw Datas'!CM71</f>
        <v>7.6308333333333325</v>
      </c>
      <c r="CP26" s="63">
        <f>'Raw Datas'!CN71</f>
        <v>3.1765666666666665</v>
      </c>
      <c r="CQ26" s="63">
        <f>'Raw Datas'!CO71</f>
        <v>6.6954333333333329</v>
      </c>
      <c r="CR26" s="63">
        <f>'Raw Datas'!CP71</f>
        <v>10.226166666666666</v>
      </c>
      <c r="CS26" s="63">
        <f>'Raw Datas'!CQ71</f>
        <v>17.604966666666666</v>
      </c>
      <c r="CT26" s="63">
        <f>'Raw Datas'!CR71</f>
        <v>14.423533333333333</v>
      </c>
      <c r="CU26" s="63">
        <f>'Raw Datas'!CS71</f>
        <v>5.0686833333333334</v>
      </c>
      <c r="CV26" s="63">
        <f>'Raw Datas'!CT71</f>
        <v>4.6686666666666667</v>
      </c>
      <c r="CW26" s="63">
        <f>'Raw Datas'!CU71</f>
        <v>10.534233333333333</v>
      </c>
      <c r="CX26" s="63">
        <f>'Raw Datas'!CV71</f>
        <v>10.077833333333333</v>
      </c>
      <c r="CY26" s="63">
        <f>'Raw Datas'!CW71</f>
        <v>6.6107833333333339</v>
      </c>
      <c r="CZ26" s="63">
        <f>'Raw Datas'!CX71</f>
        <v>2.1109833333333334</v>
      </c>
      <c r="DA26" s="63">
        <f>'Raw Datas'!CY71</f>
        <v>6.8549500000000005</v>
      </c>
      <c r="DB26" s="63">
        <f>'Raw Datas'!CZ71</f>
        <v>2.4981333333333335</v>
      </c>
      <c r="DC26" s="63">
        <f>'Raw Datas'!DA71</f>
        <v>2.4120833333333334</v>
      </c>
      <c r="DD26" s="63">
        <f>'Raw Datas'!DB71</f>
        <v>15.348050000000001</v>
      </c>
      <c r="DE26" s="63">
        <f>'Raw Datas'!DC71</f>
        <v>9.7645500000000016</v>
      </c>
      <c r="DF26" s="63">
        <f>'Raw Datas'!DD71</f>
        <v>9.8413000000000004</v>
      </c>
      <c r="DG26" s="63">
        <f>'Raw Datas'!DE71</f>
        <v>8.2931499999999989</v>
      </c>
      <c r="DH26" s="63">
        <f>'Raw Datas'!DF71</f>
        <v>6.5299333333333331</v>
      </c>
      <c r="DI26" s="63">
        <f>'Raw Datas'!DG71</f>
        <v>15.088516666666665</v>
      </c>
      <c r="DJ26" s="63">
        <f>'Raw Datas'!DH71</f>
        <v>1.7356833333333332</v>
      </c>
      <c r="DK26" s="63">
        <f>'Raw Datas'!DI71</f>
        <v>6.7020333333333335</v>
      </c>
      <c r="DL26" s="63">
        <f>'Raw Datas'!DJ71</f>
        <v>18.423199999999998</v>
      </c>
      <c r="DM26" s="63">
        <f>'Raw Datas'!DK71</f>
        <v>18.30855</v>
      </c>
      <c r="DN26" s="63">
        <f>'Raw Datas'!DL71</f>
        <v>4.4598500000000003</v>
      </c>
      <c r="DO26" s="63">
        <f>'Raw Datas'!DM71</f>
        <v>10.7155</v>
      </c>
      <c r="DP26" s="63">
        <f>'Raw Datas'!DN71</f>
        <v>21.414550000000002</v>
      </c>
      <c r="DQ26" s="63">
        <f>'Raw Datas'!DO71</f>
        <v>20.809816666666666</v>
      </c>
      <c r="DR26" s="63">
        <f>'Raw Datas'!DP71</f>
        <v>3.4028666666666672</v>
      </c>
      <c r="DS26" s="63">
        <f>'Raw Datas'!DQ71</f>
        <v>6.0826500000000001</v>
      </c>
      <c r="DT26" s="63">
        <f>'Raw Datas'!DR71</f>
        <v>5.1641333333333339</v>
      </c>
      <c r="DU26" s="63">
        <f>'Raw Datas'!DS71</f>
        <v>4.0095000000000001</v>
      </c>
      <c r="DV26" s="63">
        <f>'Raw Datas'!DT71</f>
        <v>6.2557666666666671</v>
      </c>
      <c r="DW26" s="63">
        <f>'Raw Datas'!DU71</f>
        <v>21.165416666666669</v>
      </c>
      <c r="DX26" s="63">
        <f>'Raw Datas'!DV71</f>
        <v>5.2678166666666666</v>
      </c>
      <c r="DY26" s="63">
        <f>'Raw Datas'!DW71</f>
        <v>5.4405500000000009</v>
      </c>
      <c r="DZ26" s="63">
        <f>'Raw Datas'!DX71</f>
        <v>4.6917833333333334</v>
      </c>
      <c r="EA26" s="63">
        <f>'Raw Datas'!DY71</f>
        <v>11.6869</v>
      </c>
      <c r="EB26" s="63">
        <f>'Raw Datas'!DZ71</f>
        <v>7.2564500000000001</v>
      </c>
      <c r="EC26" s="63">
        <f>'Raw Datas'!EA71</f>
        <v>6.8685166666666664</v>
      </c>
      <c r="ED26" s="63">
        <f>'Raw Datas'!EB71</f>
        <v>6.3657500000000002</v>
      </c>
      <c r="EE26" s="63">
        <f>'Raw Datas'!EC71</f>
        <v>5.0129999999999999</v>
      </c>
      <c r="EF26" s="63">
        <f>'Raw Datas'!ED71</f>
        <v>6.4125499999999995</v>
      </c>
      <c r="EG26" s="63">
        <f>'Raw Datas'!EE71</f>
        <v>3.4882833333333334</v>
      </c>
      <c r="EH26" s="63">
        <f>'Raw Datas'!EF71</f>
        <v>5.3078500000000002</v>
      </c>
      <c r="EI26" s="63">
        <f>'Raw Datas'!EG71</f>
        <v>4.4604999999999997</v>
      </c>
      <c r="EJ26" s="63">
        <f>'Raw Datas'!EH71</f>
        <v>6.6306833333333337</v>
      </c>
      <c r="EK26" s="63">
        <f>'Raw Datas'!EI71</f>
        <v>0.91484999999999994</v>
      </c>
      <c r="EL26" s="63">
        <f>'Raw Datas'!EJ71</f>
        <v>5.0029333333333339</v>
      </c>
      <c r="EM26" s="63">
        <f>'Raw Datas'!EK71</f>
        <v>11.142983333333332</v>
      </c>
      <c r="EN26" s="63">
        <f>'Raw Datas'!EL71</f>
        <v>9.515366666666667</v>
      </c>
      <c r="EO26" s="63">
        <f>'Raw Datas'!EM71</f>
        <v>3.0046999999999997</v>
      </c>
      <c r="EP26" s="63">
        <f>'Raw Datas'!EN71</f>
        <v>8.2377166666666657</v>
      </c>
      <c r="EQ26" s="63">
        <f>'Raw Datas'!EO71</f>
        <v>8.6413333333333338</v>
      </c>
      <c r="ER26" s="63">
        <f>'Raw Datas'!EP71</f>
        <v>6.4109166666666662</v>
      </c>
      <c r="ES26" s="63">
        <f>'Raw Datas'!EQ71</f>
        <v>5.9122500000000002</v>
      </c>
      <c r="ET26" s="63">
        <f>'Raw Datas'!ER71</f>
        <v>8.580916666666667</v>
      </c>
      <c r="EU26" s="63">
        <f>'Raw Datas'!ES71</f>
        <v>7.3613833333333334</v>
      </c>
      <c r="EV26" s="63">
        <f>'Raw Datas'!ET71</f>
        <v>6.1471666666666671</v>
      </c>
      <c r="EW26" s="63">
        <f>'Raw Datas'!EU71</f>
        <v>9.0227166666666658</v>
      </c>
      <c r="EX26" s="63">
        <f>'Raw Datas'!EV71</f>
        <v>6.9765833333333331</v>
      </c>
      <c r="EY26" s="63">
        <f>'Raw Datas'!EW71</f>
        <v>4.3586166666666664</v>
      </c>
      <c r="EZ26" s="63">
        <f>'Raw Datas'!EX71</f>
        <v>17.989316666666664</v>
      </c>
      <c r="FA26" s="63">
        <f>'Raw Datas'!EY71</f>
        <v>9.7361500000000003</v>
      </c>
      <c r="FB26" s="63">
        <f>'Raw Datas'!EZ71</f>
        <v>4.2618333333333336</v>
      </c>
      <c r="FC26" s="63">
        <f>'Raw Datas'!FA71</f>
        <v>3.3644166666666662</v>
      </c>
      <c r="FD26" s="63">
        <f>'Raw Datas'!FB71</f>
        <v>2.638233333333333</v>
      </c>
      <c r="FE26" s="63">
        <f>'Raw Datas'!FC71</f>
        <v>5.9695166666666672</v>
      </c>
      <c r="FF26" s="63">
        <f>'Raw Datas'!FD71</f>
        <v>3.9125500000000004</v>
      </c>
      <c r="FG26" s="63">
        <f>'Raw Datas'!FE71</f>
        <v>3.1000999999999999</v>
      </c>
      <c r="FH26" s="63">
        <f>'Raw Datas'!FF71</f>
        <v>12.643333333333334</v>
      </c>
      <c r="FI26" s="63">
        <f>'Raw Datas'!FG71</f>
        <v>3.5760666666666667</v>
      </c>
      <c r="FJ26" s="63">
        <f>'Raw Datas'!FH71</f>
        <v>5.9246166666666662</v>
      </c>
      <c r="FK26" s="63">
        <f>'Raw Datas'!FI71</f>
        <v>13.396283333333335</v>
      </c>
      <c r="FL26" s="63">
        <f>'Raw Datas'!FJ71</f>
        <v>13.592616666666666</v>
      </c>
      <c r="FM26" s="63">
        <f>'Raw Datas'!FK71</f>
        <v>16.789116666666665</v>
      </c>
      <c r="FN26" s="63">
        <f>'Raw Datas'!FL71</f>
        <v>5.4099666666666666</v>
      </c>
      <c r="FO26" s="63">
        <f>'Raw Datas'!FM71</f>
        <v>4.4873000000000003</v>
      </c>
      <c r="FP26" s="63">
        <f>'Raw Datas'!FN71</f>
        <v>2.6546333333333334</v>
      </c>
      <c r="FQ26" s="63">
        <f>'Raw Datas'!FO71</f>
        <v>2.1349833333333335</v>
      </c>
    </row>
    <row r="27" spans="1:173" ht="15.75" customHeight="1" x14ac:dyDescent="0.2">
      <c r="A27" s="117"/>
      <c r="B27" s="97" t="s">
        <v>4</v>
      </c>
      <c r="C27" s="104" t="s">
        <v>744</v>
      </c>
      <c r="D27" s="104"/>
      <c r="E27" s="60">
        <f>'Raw Datas'!C72</f>
        <v>208.29615000000001</v>
      </c>
      <c r="F27" s="63">
        <f>'Raw Datas'!D72</f>
        <v>954.2748499999999</v>
      </c>
      <c r="G27" s="63">
        <f>'Raw Datas'!E72</f>
        <v>138.65638333333334</v>
      </c>
      <c r="H27" s="63">
        <f>'Raw Datas'!F72</f>
        <v>927.74048333333337</v>
      </c>
      <c r="I27" s="63">
        <f>'Raw Datas'!G72</f>
        <v>399.92991666666666</v>
      </c>
      <c r="J27" s="63">
        <f>'Raw Datas'!H72</f>
        <v>444.51615000000004</v>
      </c>
      <c r="K27" s="63">
        <f>'Raw Datas'!I72</f>
        <v>1101.6004</v>
      </c>
      <c r="L27" s="63">
        <f>'Raw Datas'!J72</f>
        <v>594.95651666666663</v>
      </c>
      <c r="M27" s="63">
        <f>'Raw Datas'!K72</f>
        <v>569.94891666666661</v>
      </c>
      <c r="N27" s="63">
        <f>'Raw Datas'!L72</f>
        <v>989.11405000000002</v>
      </c>
      <c r="O27" s="63">
        <f>'Raw Datas'!M72</f>
        <v>480.37016666666665</v>
      </c>
      <c r="P27" s="63">
        <f>'Raw Datas'!N72</f>
        <v>167.75941666666668</v>
      </c>
      <c r="Q27" s="63">
        <f>'Raw Datas'!O72</f>
        <v>438.96519999999998</v>
      </c>
      <c r="R27" s="63">
        <f>'Raw Datas'!P72</f>
        <v>284.9972166666667</v>
      </c>
      <c r="S27" s="63">
        <f>'Raw Datas'!Q72</f>
        <v>221.90058333333334</v>
      </c>
      <c r="T27" s="63">
        <f>'Raw Datas'!R72</f>
        <v>770.84855000000005</v>
      </c>
      <c r="U27" s="63">
        <f>'Raw Datas'!S72</f>
        <v>544.62098333333336</v>
      </c>
      <c r="V27" s="63">
        <f>'Raw Datas'!T72</f>
        <v>118.16533333333334</v>
      </c>
      <c r="W27" s="63">
        <f>'Raw Datas'!U72</f>
        <v>368.46401666666668</v>
      </c>
      <c r="X27" s="63">
        <f>'Raw Datas'!V72</f>
        <v>133.47001666666668</v>
      </c>
      <c r="Y27" s="63">
        <f>'Raw Datas'!W72</f>
        <v>273.9361428571429</v>
      </c>
      <c r="Z27" s="63">
        <f>'Raw Datas'!X72</f>
        <v>74.394120000000001</v>
      </c>
      <c r="AA27" s="63">
        <f>'Raw Datas'!Y72</f>
        <v>813.87490000000003</v>
      </c>
      <c r="AB27" s="63">
        <f>'Raw Datas'!Z72</f>
        <v>307.59179999999998</v>
      </c>
      <c r="AC27" s="63">
        <f>'Raw Datas'!AA72</f>
        <v>316.31490000000002</v>
      </c>
      <c r="AD27" s="63">
        <f>'Raw Datas'!AB72</f>
        <v>777.52753333333339</v>
      </c>
      <c r="AE27" s="63">
        <f>'Raw Datas'!AC72</f>
        <v>1052.9700833333334</v>
      </c>
      <c r="AF27" s="63">
        <f>'Raw Datas'!AD72</f>
        <v>214.27083333333334</v>
      </c>
      <c r="AG27" s="63">
        <f>'Raw Datas'!AE72</f>
        <v>240.28228333333334</v>
      </c>
      <c r="AH27" s="63">
        <f>'Raw Datas'!AF72</f>
        <v>15.52295</v>
      </c>
      <c r="AI27" s="63">
        <f>'Raw Datas'!AG72</f>
        <v>278.60861666666665</v>
      </c>
      <c r="AJ27" s="63">
        <f>'Raw Datas'!AH72</f>
        <v>210.14044999999999</v>
      </c>
      <c r="AK27" s="63">
        <f>'Raw Datas'!AI72</f>
        <v>148.58415000000002</v>
      </c>
      <c r="AL27" s="63">
        <f>'Raw Datas'!AJ72</f>
        <v>485.25783333333334</v>
      </c>
      <c r="AM27" s="63">
        <f>'Raw Datas'!AK72</f>
        <v>640.53073333333327</v>
      </c>
      <c r="AN27" s="63">
        <f>'Raw Datas'!AL72</f>
        <v>146.02453333333332</v>
      </c>
      <c r="AO27" s="63">
        <f>'Raw Datas'!AM72</f>
        <v>235.06438333333332</v>
      </c>
      <c r="AP27" s="63">
        <f>'Raw Datas'!AN72</f>
        <v>593.0157333333334</v>
      </c>
      <c r="AQ27" s="63">
        <f>'Raw Datas'!AO72</f>
        <v>433.92586666666659</v>
      </c>
      <c r="AR27" s="63">
        <f>'Raw Datas'!AP72</f>
        <v>81.024766666666665</v>
      </c>
      <c r="AS27" s="63">
        <f>'Raw Datas'!AQ72</f>
        <v>399.07468333333333</v>
      </c>
      <c r="AT27" s="63">
        <f>'Raw Datas'!AR72</f>
        <v>233.64596666666665</v>
      </c>
      <c r="AU27" s="63">
        <f>'Raw Datas'!AS72</f>
        <v>172.69731666666667</v>
      </c>
      <c r="AV27" s="63">
        <f>'Raw Datas'!AT72</f>
        <v>148.85865000000001</v>
      </c>
      <c r="AW27" s="63">
        <f>'Raw Datas'!AU72</f>
        <v>169.42099999999999</v>
      </c>
      <c r="AX27" s="63">
        <f>'Raw Datas'!AV72</f>
        <v>413.76472000000001</v>
      </c>
      <c r="AY27" s="63">
        <f>'Raw Datas'!AW72</f>
        <v>54.729533333333329</v>
      </c>
      <c r="AZ27" s="63">
        <f>'Raw Datas'!AX72</f>
        <v>205.36454999999998</v>
      </c>
      <c r="BA27" s="63">
        <f>'Raw Datas'!AY72</f>
        <v>804.25903333333326</v>
      </c>
      <c r="BB27" s="63">
        <f>'Raw Datas'!AZ72</f>
        <v>181.32031666666668</v>
      </c>
      <c r="BC27" s="63">
        <f>'Raw Datas'!BA72</f>
        <v>299.41070000000002</v>
      </c>
      <c r="BD27" s="63">
        <f>'Raw Datas'!BB72</f>
        <v>205.26735000000002</v>
      </c>
      <c r="BE27" s="63">
        <f>'Raw Datas'!BC72</f>
        <v>529.3593166666667</v>
      </c>
      <c r="BF27" s="63">
        <f>'Raw Datas'!BD72</f>
        <v>483.73651666666666</v>
      </c>
      <c r="BG27" s="63">
        <f>'Raw Datas'!BE72</f>
        <v>249.89201666666668</v>
      </c>
      <c r="BH27" s="63">
        <f>'Raw Datas'!BF72</f>
        <v>70.007849999999991</v>
      </c>
      <c r="BI27" s="63">
        <f>'Raw Datas'!BG72</f>
        <v>97.022483333333341</v>
      </c>
      <c r="BJ27" s="63">
        <f>'Raw Datas'!BH72</f>
        <v>411.47064999999998</v>
      </c>
      <c r="BK27" s="63">
        <f>'Raw Datas'!BI72</f>
        <v>436.74831666666671</v>
      </c>
      <c r="BL27" s="63">
        <f>'Raw Datas'!BJ72</f>
        <v>634.75688333333335</v>
      </c>
      <c r="BM27" s="63">
        <f>'Raw Datas'!BK72</f>
        <v>1829.6059666666667</v>
      </c>
      <c r="BN27" s="63">
        <f>'Raw Datas'!BL72</f>
        <v>1049.3517166666668</v>
      </c>
      <c r="BO27" s="63">
        <f>'Raw Datas'!BM72</f>
        <v>601.78620000000001</v>
      </c>
      <c r="BP27" s="63">
        <f>'Raw Datas'!BN72</f>
        <v>1269.2368333333334</v>
      </c>
      <c r="BQ27" s="63">
        <f>'Raw Datas'!BO72</f>
        <v>439.25993333333338</v>
      </c>
      <c r="BR27" s="63">
        <f>'Raw Datas'!BP72</f>
        <v>881.73198333333323</v>
      </c>
      <c r="BS27" s="63">
        <f>'Raw Datas'!BQ72</f>
        <v>339.48826666666662</v>
      </c>
      <c r="BT27" s="63">
        <f>'Raw Datas'!BR72</f>
        <v>235.93308571428571</v>
      </c>
      <c r="BU27" s="63">
        <f>'Raw Datas'!BS72</f>
        <v>644.46969999999999</v>
      </c>
      <c r="BV27" s="63">
        <f>'Raw Datas'!BT72</f>
        <v>250.2911666666667</v>
      </c>
      <c r="BW27" s="63">
        <f>'Raw Datas'!BU72</f>
        <v>264.27896666666669</v>
      </c>
      <c r="BX27" s="63">
        <f>'Raw Datas'!BV72</f>
        <v>192.96975000000003</v>
      </c>
      <c r="BY27" s="63">
        <f>'Raw Datas'!BW72</f>
        <v>641.18976666666663</v>
      </c>
      <c r="BZ27" s="63">
        <f>'Raw Datas'!BX72</f>
        <v>252.69985</v>
      </c>
      <c r="CA27" s="63">
        <f>'Raw Datas'!BY72</f>
        <v>686.32090000000005</v>
      </c>
      <c r="CB27" s="63">
        <f>'Raw Datas'!BZ72</f>
        <v>227.21941666666666</v>
      </c>
      <c r="CC27" s="63">
        <f>'Raw Datas'!CA72</f>
        <v>382.31733333333335</v>
      </c>
      <c r="CD27" s="63">
        <f>'Raw Datas'!CB72</f>
        <v>167.24761666666666</v>
      </c>
      <c r="CE27" s="63">
        <f>'Raw Datas'!CC72</f>
        <v>499.15445</v>
      </c>
      <c r="CF27" s="63">
        <f>'Raw Datas'!CD72</f>
        <v>282.60433333333333</v>
      </c>
      <c r="CG27" s="63">
        <f>'Raw Datas'!CE72</f>
        <v>263.32364999999999</v>
      </c>
      <c r="CH27" s="63">
        <f>'Raw Datas'!CF72</f>
        <v>173.61765</v>
      </c>
      <c r="CI27" s="63">
        <f>'Raw Datas'!CG72</f>
        <v>161.65234999999998</v>
      </c>
      <c r="CJ27" s="63">
        <f>'Raw Datas'!CH72</f>
        <v>197.87791666666666</v>
      </c>
      <c r="CK27" s="63">
        <f>'Raw Datas'!CI72</f>
        <v>834.26673333333338</v>
      </c>
      <c r="CL27" s="63">
        <f>'Raw Datas'!CJ72</f>
        <v>133.41717777777779</v>
      </c>
      <c r="CM27" s="63">
        <f>'Raw Datas'!CK72</f>
        <v>19.222383333333333</v>
      </c>
      <c r="CN27" s="63">
        <f>'Raw Datas'!CL72</f>
        <v>30.136050000000001</v>
      </c>
      <c r="CO27" s="63">
        <f>'Raw Datas'!CM72</f>
        <v>605.2746166666667</v>
      </c>
      <c r="CP27" s="63">
        <f>'Raw Datas'!CN72</f>
        <v>273.56620000000004</v>
      </c>
      <c r="CQ27" s="63">
        <f>'Raw Datas'!CO72</f>
        <v>287.64508333333339</v>
      </c>
      <c r="CR27" s="63">
        <f>'Raw Datas'!CP72</f>
        <v>567.45931666666672</v>
      </c>
      <c r="CS27" s="63">
        <f>'Raw Datas'!CQ72</f>
        <v>658.19275000000005</v>
      </c>
      <c r="CT27" s="63">
        <f>'Raw Datas'!CR72</f>
        <v>276.65078333333332</v>
      </c>
      <c r="CU27" s="63">
        <f>'Raw Datas'!CS72</f>
        <v>417.77751666666671</v>
      </c>
      <c r="CV27" s="63">
        <f>'Raw Datas'!CT72</f>
        <v>483.97148333333337</v>
      </c>
      <c r="CW27" s="63">
        <f>'Raw Datas'!CU72</f>
        <v>740.55664999999999</v>
      </c>
      <c r="CX27" s="63">
        <f>'Raw Datas'!CV72</f>
        <v>1286.6532166666666</v>
      </c>
      <c r="CY27" s="63">
        <f>'Raw Datas'!CW72</f>
        <v>294.73301666666669</v>
      </c>
      <c r="CZ27" s="63">
        <f>'Raw Datas'!CX72</f>
        <v>159.16388333333333</v>
      </c>
      <c r="DA27" s="63">
        <f>'Raw Datas'!CY72</f>
        <v>291.71861666666666</v>
      </c>
      <c r="DB27" s="63">
        <f>'Raw Datas'!CZ72</f>
        <v>129.83494999999999</v>
      </c>
      <c r="DC27" s="63">
        <f>'Raw Datas'!DA72</f>
        <v>198.63013333333336</v>
      </c>
      <c r="DD27" s="63">
        <f>'Raw Datas'!DB72</f>
        <v>554.73765000000014</v>
      </c>
      <c r="DE27" s="63">
        <f>'Raw Datas'!DC72</f>
        <v>387.32173333333338</v>
      </c>
      <c r="DF27" s="63">
        <f>'Raw Datas'!DD72</f>
        <v>1126.4889499999999</v>
      </c>
      <c r="DG27" s="63">
        <f>'Raw Datas'!DE72</f>
        <v>280.00830000000002</v>
      </c>
      <c r="DH27" s="63">
        <f>'Raw Datas'!DF72</f>
        <v>86.494083333333336</v>
      </c>
      <c r="DI27" s="63">
        <f>'Raw Datas'!DG72</f>
        <v>199.03556666666671</v>
      </c>
      <c r="DJ27" s="63">
        <f>'Raw Datas'!DH72</f>
        <v>170.12871666666666</v>
      </c>
      <c r="DK27" s="63">
        <f>'Raw Datas'!DI72</f>
        <v>581.36626666666666</v>
      </c>
      <c r="DL27" s="63">
        <f>'Raw Datas'!DJ72</f>
        <v>299.46948333333336</v>
      </c>
      <c r="DM27" s="63">
        <f>'Raw Datas'!DK72</f>
        <v>202.76486666666668</v>
      </c>
      <c r="DN27" s="63">
        <f>'Raw Datas'!DL72</f>
        <v>206.79088333333337</v>
      </c>
      <c r="DO27" s="63">
        <f>'Raw Datas'!DM72</f>
        <v>943.42393333333337</v>
      </c>
      <c r="DP27" s="63">
        <f>'Raw Datas'!DN72</f>
        <v>637.18926666666664</v>
      </c>
      <c r="DQ27" s="63">
        <f>'Raw Datas'!DO72</f>
        <v>1046.1483833333334</v>
      </c>
      <c r="DR27" s="63">
        <f>'Raw Datas'!DP72</f>
        <v>135.34196666666668</v>
      </c>
      <c r="DS27" s="63">
        <f>'Raw Datas'!DQ72</f>
        <v>250.42771666666667</v>
      </c>
      <c r="DT27" s="63">
        <f>'Raw Datas'!DR72</f>
        <v>523.596</v>
      </c>
      <c r="DU27" s="63">
        <f>'Raw Datas'!DS72</f>
        <v>336.97891666666669</v>
      </c>
      <c r="DV27" s="63">
        <f>'Raw Datas'!DT72</f>
        <v>346.07214999999997</v>
      </c>
      <c r="DW27" s="63">
        <f>'Raw Datas'!DU72</f>
        <v>187.03519999999997</v>
      </c>
      <c r="DX27" s="63">
        <f>'Raw Datas'!DV72</f>
        <v>346.6533</v>
      </c>
      <c r="DY27" s="63">
        <f>'Raw Datas'!DW72</f>
        <v>422.35511666666667</v>
      </c>
      <c r="DZ27" s="63">
        <f>'Raw Datas'!DX72</f>
        <v>273.86118333333332</v>
      </c>
      <c r="EA27" s="63">
        <f>'Raw Datas'!DY72</f>
        <v>579.46629999999993</v>
      </c>
      <c r="EB27" s="63">
        <f>'Raw Datas'!DZ72</f>
        <v>169.36228333333335</v>
      </c>
      <c r="EC27" s="63">
        <f>'Raw Datas'!EA72</f>
        <v>567.53261666666674</v>
      </c>
      <c r="ED27" s="63">
        <f>'Raw Datas'!EB72</f>
        <v>621.53793333333329</v>
      </c>
      <c r="EE27" s="63">
        <f>'Raw Datas'!EC72</f>
        <v>78.02621666666667</v>
      </c>
      <c r="EF27" s="63">
        <f>'Raw Datas'!ED72</f>
        <v>542.14088333333336</v>
      </c>
      <c r="EG27" s="63">
        <f>'Raw Datas'!EE72</f>
        <v>180.71965</v>
      </c>
      <c r="EH27" s="63">
        <f>'Raw Datas'!EF72</f>
        <v>74.368300000000005</v>
      </c>
      <c r="EI27" s="63">
        <f>'Raw Datas'!EG72</f>
        <v>90.374266666666671</v>
      </c>
      <c r="EJ27" s="63">
        <f>'Raw Datas'!EH72</f>
        <v>149.26168333333334</v>
      </c>
      <c r="EK27" s="63">
        <f>'Raw Datas'!EI72</f>
        <v>88.996066666666664</v>
      </c>
      <c r="EL27" s="63">
        <f>'Raw Datas'!EJ72</f>
        <v>359.34456666666665</v>
      </c>
      <c r="EM27" s="63">
        <f>'Raw Datas'!EK72</f>
        <v>592.94796666666673</v>
      </c>
      <c r="EN27" s="63">
        <f>'Raw Datas'!EL72</f>
        <v>174.66626666666664</v>
      </c>
      <c r="EO27" s="63">
        <f>'Raw Datas'!EM72</f>
        <v>321.05681666666663</v>
      </c>
      <c r="EP27" s="63">
        <f>'Raw Datas'!EN72</f>
        <v>227.80636666666666</v>
      </c>
      <c r="EQ27" s="63">
        <f>'Raw Datas'!EO72</f>
        <v>60.341533333333331</v>
      </c>
      <c r="ER27" s="63">
        <f>'Raw Datas'!EP72</f>
        <v>151.71956666666668</v>
      </c>
      <c r="ES27" s="63">
        <f>'Raw Datas'!EQ72</f>
        <v>461.10658333333339</v>
      </c>
      <c r="ET27" s="63">
        <f>'Raw Datas'!ER72</f>
        <v>688.53324999999995</v>
      </c>
      <c r="EU27" s="63">
        <f>'Raw Datas'!ES72</f>
        <v>610.12779999999998</v>
      </c>
      <c r="EV27" s="63">
        <f>'Raw Datas'!ET72</f>
        <v>221.6979</v>
      </c>
      <c r="EW27" s="63">
        <f>'Raw Datas'!EU72</f>
        <v>818.36933333333343</v>
      </c>
      <c r="EX27" s="63">
        <f>'Raw Datas'!EV72</f>
        <v>370.36768333333328</v>
      </c>
      <c r="EY27" s="63">
        <f>'Raw Datas'!EW72</f>
        <v>153.40625</v>
      </c>
      <c r="EZ27" s="63">
        <f>'Raw Datas'!EX72</f>
        <v>2030.8532500000001</v>
      </c>
      <c r="FA27" s="63">
        <f>'Raw Datas'!EY72</f>
        <v>925.01698333333331</v>
      </c>
      <c r="FB27" s="63">
        <f>'Raw Datas'!EZ72</f>
        <v>459.84988333333331</v>
      </c>
      <c r="FC27" s="63">
        <f>'Raw Datas'!FA72</f>
        <v>269.64536666666669</v>
      </c>
      <c r="FD27" s="63">
        <f>'Raw Datas'!FB72</f>
        <v>67.82501666666667</v>
      </c>
      <c r="FE27" s="63">
        <f>'Raw Datas'!FC72</f>
        <v>553.69624999999985</v>
      </c>
      <c r="FF27" s="63">
        <f>'Raw Datas'!FD72</f>
        <v>148.64535000000004</v>
      </c>
      <c r="FG27" s="63">
        <f>'Raw Datas'!FE72</f>
        <v>101.91023333333334</v>
      </c>
      <c r="FH27" s="63">
        <f>'Raw Datas'!FF72</f>
        <v>602.13591666666662</v>
      </c>
      <c r="FI27" s="63">
        <f>'Raw Datas'!FG72</f>
        <v>239.15995000000004</v>
      </c>
      <c r="FJ27" s="63">
        <f>'Raw Datas'!FH72</f>
        <v>476.53466666666668</v>
      </c>
      <c r="FK27" s="63">
        <f>'Raw Datas'!FI72</f>
        <v>396.72839999999997</v>
      </c>
      <c r="FL27" s="63">
        <f>'Raw Datas'!FJ72</f>
        <v>1245.4189666666666</v>
      </c>
      <c r="FM27" s="63">
        <f>'Raw Datas'!FK72</f>
        <v>1847.8667666666665</v>
      </c>
      <c r="FN27" s="63">
        <f>'Raw Datas'!FL72</f>
        <v>694.18961666666667</v>
      </c>
      <c r="FO27" s="63">
        <f>'Raw Datas'!FM72</f>
        <v>497.23676666666665</v>
      </c>
      <c r="FP27" s="63">
        <f>'Raw Datas'!FN72</f>
        <v>214.04519999999999</v>
      </c>
      <c r="FQ27" s="63">
        <f>'Raw Datas'!FO72</f>
        <v>216.58351666666664</v>
      </c>
    </row>
    <row r="28" spans="1:173" ht="15.75" customHeight="1" x14ac:dyDescent="0.2">
      <c r="A28" s="117"/>
      <c r="B28" s="97" t="s">
        <v>7</v>
      </c>
      <c r="C28" s="104" t="s">
        <v>745</v>
      </c>
      <c r="D28" s="104"/>
      <c r="E28" s="60">
        <f>'Raw Datas'!C73</f>
        <v>2.6258166666666662</v>
      </c>
      <c r="F28" s="63">
        <f>'Raw Datas'!D73</f>
        <v>7.1346999999999996</v>
      </c>
      <c r="G28" s="63">
        <f>'Raw Datas'!E73</f>
        <v>1.6251</v>
      </c>
      <c r="H28" s="63">
        <f>'Raw Datas'!F73</f>
        <v>7.2202000000000002</v>
      </c>
      <c r="I28" s="63">
        <f>'Raw Datas'!G73</f>
        <v>4.5138500000000006</v>
      </c>
      <c r="J28" s="63">
        <f>'Raw Datas'!H73</f>
        <v>6.9961500000000001</v>
      </c>
      <c r="K28" s="63">
        <f>'Raw Datas'!I73</f>
        <v>8.9310166666666664</v>
      </c>
      <c r="L28" s="63">
        <f>'Raw Datas'!J73</f>
        <v>5.3078000000000003</v>
      </c>
      <c r="M28" s="63">
        <f>'Raw Datas'!K73</f>
        <v>3.8795500000000001</v>
      </c>
      <c r="N28" s="63">
        <f>'Raw Datas'!L73</f>
        <v>5.2875833333333331</v>
      </c>
      <c r="O28" s="63">
        <f>'Raw Datas'!M73</f>
        <v>2.8511333333333329</v>
      </c>
      <c r="P28" s="63">
        <f>'Raw Datas'!N73</f>
        <v>4.2226166666666662</v>
      </c>
      <c r="Q28" s="63">
        <f>'Raw Datas'!O73</f>
        <v>6.8487833333333334</v>
      </c>
      <c r="R28" s="63">
        <f>'Raw Datas'!P73</f>
        <v>5.5964166666666664</v>
      </c>
      <c r="S28" s="63">
        <f>'Raw Datas'!Q73</f>
        <v>3.4638833333333334</v>
      </c>
      <c r="T28" s="63">
        <f>'Raw Datas'!R73</f>
        <v>41.959966666666666</v>
      </c>
      <c r="U28" s="63">
        <f>'Raw Datas'!S73</f>
        <v>4.6123666666666656</v>
      </c>
      <c r="V28" s="63">
        <f>'Raw Datas'!T73</f>
        <v>1.7943166666666668</v>
      </c>
      <c r="W28" s="63">
        <f>'Raw Datas'!U73</f>
        <v>4.5547166666666667</v>
      </c>
      <c r="X28" s="63">
        <f>'Raw Datas'!V73</f>
        <v>2.1001833333333333</v>
      </c>
      <c r="Y28" s="63">
        <f>'Raw Datas'!W73</f>
        <v>14.07977142857143</v>
      </c>
      <c r="Z28" s="63">
        <f>'Raw Datas'!X73</f>
        <v>6.5048400000000006</v>
      </c>
      <c r="AA28" s="63">
        <f>'Raw Datas'!Y73</f>
        <v>8.7395166666666668</v>
      </c>
      <c r="AB28" s="63">
        <f>'Raw Datas'!Z73</f>
        <v>33.1252</v>
      </c>
      <c r="AC28" s="63">
        <f>'Raw Datas'!AA73</f>
        <v>3.7121666666666666</v>
      </c>
      <c r="AD28" s="63">
        <f>'Raw Datas'!AB73</f>
        <v>8.0690333333333335</v>
      </c>
      <c r="AE28" s="63">
        <f>'Raw Datas'!AC73</f>
        <v>5.9821000000000009</v>
      </c>
      <c r="AF28" s="63">
        <f>'Raw Datas'!AD73</f>
        <v>4.27745</v>
      </c>
      <c r="AG28" s="63">
        <f>'Raw Datas'!AE73</f>
        <v>2.0497333333333336</v>
      </c>
      <c r="AH28" s="63">
        <f>'Raw Datas'!AF73</f>
        <v>2.1131666666666669</v>
      </c>
      <c r="AI28" s="63">
        <f>'Raw Datas'!AG73</f>
        <v>8.383916666666666</v>
      </c>
      <c r="AJ28" s="63">
        <f>'Raw Datas'!AH73</f>
        <v>3.5447000000000002</v>
      </c>
      <c r="AK28" s="63">
        <f>'Raw Datas'!AI73</f>
        <v>5.6508833333333337</v>
      </c>
      <c r="AL28" s="63">
        <f>'Raw Datas'!AJ73</f>
        <v>6.2525666666666666</v>
      </c>
      <c r="AM28" s="63">
        <f>'Raw Datas'!AK73</f>
        <v>2.7878666666666665</v>
      </c>
      <c r="AN28" s="63">
        <f>'Raw Datas'!AL73</f>
        <v>2.7332833333333331</v>
      </c>
      <c r="AO28" s="63">
        <f>'Raw Datas'!AM73</f>
        <v>11.044016666666666</v>
      </c>
      <c r="AP28" s="63">
        <f>'Raw Datas'!AN73</f>
        <v>9.4727333333333341</v>
      </c>
      <c r="AQ28" s="63">
        <f>'Raw Datas'!AO73</f>
        <v>3.2707833333333336</v>
      </c>
      <c r="AR28" s="63">
        <f>'Raw Datas'!AP73</f>
        <v>1.9823333333333333</v>
      </c>
      <c r="AS28" s="63">
        <f>'Raw Datas'!AQ73</f>
        <v>5.3709333333333324</v>
      </c>
      <c r="AT28" s="63">
        <f>'Raw Datas'!AR73</f>
        <v>2.0381499999999999</v>
      </c>
      <c r="AU28" s="63">
        <f>'Raw Datas'!AS73</f>
        <v>16.983166666666666</v>
      </c>
      <c r="AV28" s="63">
        <f>'Raw Datas'!AT73</f>
        <v>6.2506000000000004</v>
      </c>
      <c r="AW28" s="63">
        <f>'Raw Datas'!AU73</f>
        <v>0.96796000000000004</v>
      </c>
      <c r="AX28" s="63">
        <f>'Raw Datas'!AV73</f>
        <v>3.1446800000000001</v>
      </c>
      <c r="AY28" s="63">
        <f>'Raw Datas'!AW73</f>
        <v>1.5491999999999999</v>
      </c>
      <c r="AZ28" s="63">
        <f>'Raw Datas'!AX73</f>
        <v>2.0534166666666662</v>
      </c>
      <c r="BA28" s="63">
        <f>'Raw Datas'!AY73</f>
        <v>5.5875000000000004</v>
      </c>
      <c r="BB28" s="63">
        <f>'Raw Datas'!AZ73</f>
        <v>1.0527833333333334</v>
      </c>
      <c r="BC28" s="63">
        <f>'Raw Datas'!BA73</f>
        <v>3.0940166666666666</v>
      </c>
      <c r="BD28" s="63">
        <f>'Raw Datas'!BB73</f>
        <v>1.5156666666666667</v>
      </c>
      <c r="BE28" s="63">
        <f>'Raw Datas'!BC73</f>
        <v>2.3218000000000001</v>
      </c>
      <c r="BF28" s="63">
        <f>'Raw Datas'!BD73</f>
        <v>4.8200833333333328</v>
      </c>
      <c r="BG28" s="63">
        <f>'Raw Datas'!BE73</f>
        <v>1.8058000000000001</v>
      </c>
      <c r="BH28" s="63">
        <f>'Raw Datas'!BF73</f>
        <v>4.0068833333333336</v>
      </c>
      <c r="BI28" s="63">
        <f>'Raw Datas'!BG73</f>
        <v>0.63331666666666675</v>
      </c>
      <c r="BJ28" s="63">
        <f>'Raw Datas'!BH73</f>
        <v>8.8280333333333338</v>
      </c>
      <c r="BK28" s="63">
        <f>'Raw Datas'!BI73</f>
        <v>15.588750000000001</v>
      </c>
      <c r="BL28" s="63">
        <f>'Raw Datas'!BJ73</f>
        <v>26.416150000000002</v>
      </c>
      <c r="BM28" s="63">
        <f>'Raw Datas'!BK73</f>
        <v>14.12655</v>
      </c>
      <c r="BN28" s="63">
        <f>'Raw Datas'!BL73</f>
        <v>128.57378333333332</v>
      </c>
      <c r="BO28" s="63">
        <f>'Raw Datas'!BM73</f>
        <v>121.50745714285713</v>
      </c>
      <c r="BP28" s="63">
        <f>'Raw Datas'!BN73</f>
        <v>165.56954999999999</v>
      </c>
      <c r="BQ28" s="63">
        <f>'Raw Datas'!BO73</f>
        <v>97.239516666666674</v>
      </c>
      <c r="BR28" s="63">
        <f>'Raw Datas'!BP73</f>
        <v>73.148316666666673</v>
      </c>
      <c r="BS28" s="63">
        <f>'Raw Datas'!BQ73</f>
        <v>19.176766666666666</v>
      </c>
      <c r="BT28" s="63">
        <f>'Raw Datas'!BR73</f>
        <v>5.1632857142857143</v>
      </c>
      <c r="BU28" s="63">
        <f>'Raw Datas'!BS73</f>
        <v>123.93554999999999</v>
      </c>
      <c r="BV28" s="63">
        <f>'Raw Datas'!BT73</f>
        <v>33.249549999999999</v>
      </c>
      <c r="BW28" s="63">
        <f>'Raw Datas'!BU73</f>
        <v>15.296483333333333</v>
      </c>
      <c r="BX28" s="63">
        <f>'Raw Datas'!BV73</f>
        <v>18.390833333333333</v>
      </c>
      <c r="BY28" s="63">
        <f>'Raw Datas'!BW73</f>
        <v>6.6035166666666667</v>
      </c>
      <c r="BZ28" s="63">
        <f>'Raw Datas'!BX73</f>
        <v>3.1821666666666668</v>
      </c>
      <c r="CA28" s="63">
        <f>'Raw Datas'!BY73</f>
        <v>22.218800000000002</v>
      </c>
      <c r="CB28" s="63">
        <f>'Raw Datas'!BZ73</f>
        <v>11.916066666666666</v>
      </c>
      <c r="CC28" s="63">
        <f>'Raw Datas'!CA73</f>
        <v>9.5396000000000001</v>
      </c>
      <c r="CD28" s="63">
        <f>'Raw Datas'!CB73</f>
        <v>3.4175666666666671</v>
      </c>
      <c r="CE28" s="63">
        <f>'Raw Datas'!CC73</f>
        <v>6.045583333333334</v>
      </c>
      <c r="CF28" s="63">
        <f>'Raw Datas'!CD73</f>
        <v>3.8154166666666662</v>
      </c>
      <c r="CG28" s="63">
        <f>'Raw Datas'!CE73</f>
        <v>23.247116666666667</v>
      </c>
      <c r="CH28" s="63">
        <f>'Raw Datas'!CF73</f>
        <v>3.4717166666666666</v>
      </c>
      <c r="CI28" s="63">
        <f>'Raw Datas'!CG73</f>
        <v>2.8163333333333331</v>
      </c>
      <c r="CJ28" s="63">
        <f>'Raw Datas'!CH73</f>
        <v>2.2328000000000001</v>
      </c>
      <c r="CK28" s="63">
        <f>'Raw Datas'!CI73</f>
        <v>9.1918166666666661</v>
      </c>
      <c r="CL28" s="63">
        <f>'Raw Datas'!CJ73</f>
        <v>1.8668444444444448</v>
      </c>
      <c r="CM28" s="63">
        <f>'Raw Datas'!CK73</f>
        <v>3.1640333333333337</v>
      </c>
      <c r="CN28" s="63">
        <f>'Raw Datas'!CL73</f>
        <v>6.9398000000000009</v>
      </c>
      <c r="CO28" s="63">
        <f>'Raw Datas'!CM73</f>
        <v>3.9220833333333331</v>
      </c>
      <c r="CP28" s="63">
        <f>'Raw Datas'!CN73</f>
        <v>2.6310999999999996</v>
      </c>
      <c r="CQ28" s="63">
        <f>'Raw Datas'!CO73</f>
        <v>3.7029333333333336</v>
      </c>
      <c r="CR28" s="63">
        <f>'Raw Datas'!CP73</f>
        <v>5.8373166666666663</v>
      </c>
      <c r="CS28" s="63">
        <f>'Raw Datas'!CQ73</f>
        <v>7.0821833333333331</v>
      </c>
      <c r="CT28" s="63">
        <f>'Raw Datas'!CR73</f>
        <v>8.7559500000000003</v>
      </c>
      <c r="CU28" s="63">
        <f>'Raw Datas'!CS73</f>
        <v>3.4745166666666667</v>
      </c>
      <c r="CV28" s="63">
        <f>'Raw Datas'!CT73</f>
        <v>3.1052666666666662</v>
      </c>
      <c r="CW28" s="63">
        <f>'Raw Datas'!CU73</f>
        <v>4.2114666666666665</v>
      </c>
      <c r="CX28" s="63">
        <f>'Raw Datas'!CV73</f>
        <v>7.3066333333333331</v>
      </c>
      <c r="CY28" s="63">
        <f>'Raw Datas'!CW73</f>
        <v>2.7003333333333335</v>
      </c>
      <c r="CZ28" s="63">
        <f>'Raw Datas'!CX73</f>
        <v>1.7725833333333334</v>
      </c>
      <c r="DA28" s="63">
        <f>'Raw Datas'!CY73</f>
        <v>2.8230500000000003</v>
      </c>
      <c r="DB28" s="63">
        <f>'Raw Datas'!CZ73</f>
        <v>1.2238666666666667</v>
      </c>
      <c r="DC28" s="63">
        <f>'Raw Datas'!DA73</f>
        <v>1.2123666666666668</v>
      </c>
      <c r="DD28" s="63">
        <f>'Raw Datas'!DB73</f>
        <v>7.1037166666666671</v>
      </c>
      <c r="DE28" s="63">
        <f>'Raw Datas'!DC73</f>
        <v>5.5661666666666658</v>
      </c>
      <c r="DF28" s="63">
        <f>'Raw Datas'!DD73</f>
        <v>6.3972166666666661</v>
      </c>
      <c r="DG28" s="63">
        <f>'Raw Datas'!DE73</f>
        <v>3.19075</v>
      </c>
      <c r="DH28" s="63">
        <f>'Raw Datas'!DF73</f>
        <v>3.291233333333333</v>
      </c>
      <c r="DI28" s="63">
        <f>'Raw Datas'!DG73</f>
        <v>5.4610833333333337</v>
      </c>
      <c r="DJ28" s="63">
        <f>'Raw Datas'!DH73</f>
        <v>1.7254166666666666</v>
      </c>
      <c r="DK28" s="63">
        <f>'Raw Datas'!DI73</f>
        <v>3.5508833333333332</v>
      </c>
      <c r="DL28" s="63">
        <f>'Raw Datas'!DJ73</f>
        <v>10.047216666666666</v>
      </c>
      <c r="DM28" s="63">
        <f>'Raw Datas'!DK73</f>
        <v>7.3690500000000005</v>
      </c>
      <c r="DN28" s="63">
        <f>'Raw Datas'!DL73</f>
        <v>1.8178000000000003</v>
      </c>
      <c r="DO28" s="63">
        <f>'Raw Datas'!DM73</f>
        <v>5.7406833333333331</v>
      </c>
      <c r="DP28" s="63">
        <f>'Raw Datas'!DN73</f>
        <v>9.9145000000000003</v>
      </c>
      <c r="DQ28" s="63">
        <f>'Raw Datas'!DO73</f>
        <v>10.631583333333333</v>
      </c>
      <c r="DR28" s="63">
        <f>'Raw Datas'!DP73</f>
        <v>2.5605333333333333</v>
      </c>
      <c r="DS28" s="63">
        <f>'Raw Datas'!DQ73</f>
        <v>2.7203500000000003</v>
      </c>
      <c r="DT28" s="63">
        <f>'Raw Datas'!DR73</f>
        <v>3.4193333333333329</v>
      </c>
      <c r="DU28" s="63">
        <f>'Raw Datas'!DS73</f>
        <v>2.6596166666666665</v>
      </c>
      <c r="DV28" s="63">
        <f>'Raw Datas'!DT73</f>
        <v>4.0940833333333329</v>
      </c>
      <c r="DW28" s="63">
        <f>'Raw Datas'!DU73</f>
        <v>12.596116666666667</v>
      </c>
      <c r="DX28" s="63">
        <f>'Raw Datas'!DV73</f>
        <v>3.1739666666666668</v>
      </c>
      <c r="DY28" s="63">
        <f>'Raw Datas'!DW73</f>
        <v>4.4525500000000005</v>
      </c>
      <c r="DZ28" s="63">
        <f>'Raw Datas'!DX73</f>
        <v>2.5810999999999997</v>
      </c>
      <c r="EA28" s="63">
        <f>'Raw Datas'!DY73</f>
        <v>8.1455000000000002</v>
      </c>
      <c r="EB28" s="63">
        <f>'Raw Datas'!DZ73</f>
        <v>3.0210999999999997</v>
      </c>
      <c r="EC28" s="63">
        <f>'Raw Datas'!EA73</f>
        <v>4.8428499999999994</v>
      </c>
      <c r="ED28" s="63">
        <f>'Raw Datas'!EB73</f>
        <v>4.8647333333333336</v>
      </c>
      <c r="EE28" s="63">
        <f>'Raw Datas'!EC73</f>
        <v>2.3014833333333331</v>
      </c>
      <c r="EF28" s="63">
        <f>'Raw Datas'!ED73</f>
        <v>3.0166666666666666</v>
      </c>
      <c r="EG28" s="63">
        <f>'Raw Datas'!EE73</f>
        <v>1.6075666666666668</v>
      </c>
      <c r="EH28" s="63">
        <f>'Raw Datas'!EF73</f>
        <v>2.1014166666666667</v>
      </c>
      <c r="EI28" s="63">
        <f>'Raw Datas'!EG73</f>
        <v>2.5827333333333331</v>
      </c>
      <c r="EJ28" s="63">
        <f>'Raw Datas'!EH73</f>
        <v>3.378716666666667</v>
      </c>
      <c r="EK28" s="63">
        <f>'Raw Datas'!EI73</f>
        <v>0.88926666666666665</v>
      </c>
      <c r="EL28" s="63">
        <f>'Raw Datas'!EJ73</f>
        <v>3.8810333333333338</v>
      </c>
      <c r="EM28" s="63">
        <f>'Raw Datas'!EK73</f>
        <v>5.7586166666666658</v>
      </c>
      <c r="EN28" s="63">
        <f>'Raw Datas'!EL73</f>
        <v>4.0647666666666664</v>
      </c>
      <c r="EO28" s="63">
        <f>'Raw Datas'!EM73</f>
        <v>2.0231666666666666</v>
      </c>
      <c r="EP28" s="63">
        <f>'Raw Datas'!EN73</f>
        <v>3.9239999999999999</v>
      </c>
      <c r="EQ28" s="63">
        <f>'Raw Datas'!EO73</f>
        <v>5.0020999999999995</v>
      </c>
      <c r="ER28" s="63">
        <f>'Raw Datas'!EP73</f>
        <v>2.8630500000000003</v>
      </c>
      <c r="ES28" s="63">
        <f>'Raw Datas'!EQ73</f>
        <v>4.1570333333333336</v>
      </c>
      <c r="ET28" s="63">
        <f>'Raw Datas'!ER73</f>
        <v>5.1044166666666664</v>
      </c>
      <c r="EU28" s="63">
        <f>'Raw Datas'!ES73</f>
        <v>4.258866666666667</v>
      </c>
      <c r="EV28" s="63">
        <f>'Raw Datas'!ET73</f>
        <v>2.3380000000000001</v>
      </c>
      <c r="EW28" s="63">
        <f>'Raw Datas'!EU73</f>
        <v>5.5884999999999998</v>
      </c>
      <c r="EX28" s="63">
        <f>'Raw Datas'!EV73</f>
        <v>3.0195999999999996</v>
      </c>
      <c r="EY28" s="63">
        <f>'Raw Datas'!EW73</f>
        <v>2.0664500000000001</v>
      </c>
      <c r="EZ28" s="63">
        <f>'Raw Datas'!EX73</f>
        <v>12.185283333333333</v>
      </c>
      <c r="FA28" s="63">
        <f>'Raw Datas'!EY73</f>
        <v>10.3817</v>
      </c>
      <c r="FB28" s="63">
        <f>'Raw Datas'!EZ73</f>
        <v>2.9693666666666663</v>
      </c>
      <c r="FC28" s="63">
        <f>'Raw Datas'!FA73</f>
        <v>1.6402499999999998</v>
      </c>
      <c r="FD28" s="63">
        <f>'Raw Datas'!FB73</f>
        <v>1.1818833333333336</v>
      </c>
      <c r="FE28" s="63">
        <f>'Raw Datas'!FC73</f>
        <v>4.1858333333333331</v>
      </c>
      <c r="FF28" s="63">
        <f>'Raw Datas'!FD73</f>
        <v>1.6731833333333332</v>
      </c>
      <c r="FG28" s="63">
        <f>'Raw Datas'!FE73</f>
        <v>1.8888333333333334</v>
      </c>
      <c r="FH28" s="63">
        <f>'Raw Datas'!FF73</f>
        <v>6.5149333333333326</v>
      </c>
      <c r="FI28" s="63">
        <f>'Raw Datas'!FG73</f>
        <v>1.8955166666666667</v>
      </c>
      <c r="FJ28" s="63">
        <f>'Raw Datas'!FH73</f>
        <v>3.4544000000000001</v>
      </c>
      <c r="FK28" s="63">
        <f>'Raw Datas'!FI73</f>
        <v>4.8866666666666667</v>
      </c>
      <c r="FL28" s="63">
        <f>'Raw Datas'!FJ73</f>
        <v>9.2325833333333325</v>
      </c>
      <c r="FM28" s="63">
        <f>'Raw Datas'!FK73</f>
        <v>9.8156999999999996</v>
      </c>
      <c r="FN28" s="63">
        <f>'Raw Datas'!FL73</f>
        <v>6.0565333333333333</v>
      </c>
      <c r="FO28" s="63">
        <f>'Raw Datas'!FM73</f>
        <v>5.1306833333333337</v>
      </c>
      <c r="FP28" s="63">
        <f>'Raw Datas'!FN73</f>
        <v>5.9866333333333337</v>
      </c>
      <c r="FQ28" s="63">
        <f>'Raw Datas'!FO73</f>
        <v>3.4712333333333332</v>
      </c>
    </row>
    <row r="29" spans="1:173" ht="15.75" customHeight="1" x14ac:dyDescent="0.2">
      <c r="A29" s="117"/>
      <c r="B29" s="97" t="s">
        <v>11</v>
      </c>
      <c r="C29" s="104" t="s">
        <v>746</v>
      </c>
      <c r="D29" s="104"/>
      <c r="E29" s="60">
        <f>'Raw Datas'!C74</f>
        <v>3.5515666666666665</v>
      </c>
      <c r="F29" s="63">
        <f>'Raw Datas'!D74</f>
        <v>1.8797333333333333</v>
      </c>
      <c r="G29" s="63">
        <f>'Raw Datas'!E74</f>
        <v>1.2228833333333333</v>
      </c>
      <c r="H29" s="63">
        <f>'Raw Datas'!F74</f>
        <v>7.4822333333333324</v>
      </c>
      <c r="I29" s="63">
        <f>'Raw Datas'!G74</f>
        <v>2.1341166666666664</v>
      </c>
      <c r="J29" s="63">
        <f>'Raw Datas'!H74</f>
        <v>1.47055</v>
      </c>
      <c r="K29" s="63">
        <f>'Raw Datas'!I74</f>
        <v>0.86285000000000001</v>
      </c>
      <c r="L29" s="63">
        <f>'Raw Datas'!J74</f>
        <v>0.69088333333333329</v>
      </c>
      <c r="M29" s="63">
        <f>'Raw Datas'!K74</f>
        <v>0.3575666666666667</v>
      </c>
      <c r="N29" s="63">
        <f>'Raw Datas'!L74</f>
        <v>2.6386499999999997</v>
      </c>
      <c r="O29" s="63">
        <f>'Raw Datas'!M74</f>
        <v>0.78569999999999995</v>
      </c>
      <c r="P29" s="63">
        <f>'Raw Datas'!N74</f>
        <v>0.87558333333333327</v>
      </c>
      <c r="Q29" s="63">
        <f>'Raw Datas'!O74</f>
        <v>0.83048333333333335</v>
      </c>
      <c r="R29" s="63">
        <f>'Raw Datas'!P74</f>
        <v>2.8135666666666665</v>
      </c>
      <c r="S29" s="63">
        <f>'Raw Datas'!Q74</f>
        <v>2.2576666666666663</v>
      </c>
      <c r="T29" s="63">
        <f>'Raw Datas'!R74</f>
        <v>15.032549999999999</v>
      </c>
      <c r="U29" s="63">
        <f>'Raw Datas'!S74</f>
        <v>0.66316666666666668</v>
      </c>
      <c r="V29" s="63">
        <f>'Raw Datas'!T74</f>
        <v>0.40048333333333325</v>
      </c>
      <c r="W29" s="63">
        <f>'Raw Datas'!U74</f>
        <v>2.1985166666666669</v>
      </c>
      <c r="X29" s="63">
        <f>'Raw Datas'!V74</f>
        <v>9.141666666666666E-2</v>
      </c>
      <c r="Y29" s="63">
        <f>'Raw Datas'!W74</f>
        <v>1.2348285714285714</v>
      </c>
      <c r="Z29" s="63">
        <f>'Raw Datas'!X74</f>
        <v>0.35627999999999999</v>
      </c>
      <c r="AA29" s="63">
        <f>'Raw Datas'!Y74</f>
        <v>0.46311666666666673</v>
      </c>
      <c r="AB29" s="63">
        <f>'Raw Datas'!Z74</f>
        <v>1.8527999999999998</v>
      </c>
      <c r="AC29" s="63">
        <f>'Raw Datas'!AA74</f>
        <v>0.72400000000000009</v>
      </c>
      <c r="AD29" s="63">
        <f>'Raw Datas'!AB74</f>
        <v>0.54874999999999996</v>
      </c>
      <c r="AE29" s="63">
        <f>'Raw Datas'!AC74</f>
        <v>2.3289833333333334</v>
      </c>
      <c r="AF29" s="63">
        <f>'Raw Datas'!AD74</f>
        <v>2.4383500000000002</v>
      </c>
      <c r="AG29" s="63">
        <f>'Raw Datas'!AE74</f>
        <v>0.16014999999999999</v>
      </c>
      <c r="AH29" s="63">
        <f>'Raw Datas'!AF74</f>
        <v>3.273566666666667</v>
      </c>
      <c r="AI29" s="63">
        <f>'Raw Datas'!AG74</f>
        <v>5.8166833333333336</v>
      </c>
      <c r="AJ29" s="63">
        <f>'Raw Datas'!AH74</f>
        <v>0.10206666666666668</v>
      </c>
      <c r="AK29" s="63">
        <f>'Raw Datas'!AI74</f>
        <v>5.1174333333333335</v>
      </c>
      <c r="AL29" s="63">
        <f>'Raw Datas'!AJ74</f>
        <v>0.95766666666666678</v>
      </c>
      <c r="AM29" s="63">
        <f>'Raw Datas'!AK74</f>
        <v>1.6960166666666665</v>
      </c>
      <c r="AN29" s="63">
        <f>'Raw Datas'!AL74</f>
        <v>3.3905833333333333</v>
      </c>
      <c r="AO29" s="63">
        <f>'Raw Datas'!AM74</f>
        <v>0.59011666666666673</v>
      </c>
      <c r="AP29" s="63">
        <f>'Raw Datas'!AN74</f>
        <v>2.593433333333333</v>
      </c>
      <c r="AQ29" s="63">
        <f>'Raw Datas'!AO74</f>
        <v>0.51773333333333338</v>
      </c>
      <c r="AR29" s="63">
        <f>'Raw Datas'!AP74</f>
        <v>3.8019333333333329</v>
      </c>
      <c r="AS29" s="63">
        <f>'Raw Datas'!AQ74</f>
        <v>4.4898333333333333</v>
      </c>
      <c r="AT29" s="63">
        <f>'Raw Datas'!AR74</f>
        <v>1.7323666666666666</v>
      </c>
      <c r="AU29" s="63">
        <f>'Raw Datas'!AS74</f>
        <v>68.604733333333328</v>
      </c>
      <c r="AV29" s="63">
        <f>'Raw Datas'!AT74</f>
        <v>19.713450000000002</v>
      </c>
      <c r="AW29" s="63">
        <f>'Raw Datas'!AU74</f>
        <v>1.7422799999999998</v>
      </c>
      <c r="AX29" s="63">
        <f>'Raw Datas'!AV74</f>
        <v>0.78835999999999995</v>
      </c>
      <c r="AY29" s="63">
        <f>'Raw Datas'!AW74</f>
        <v>2.1162666666666667</v>
      </c>
      <c r="AZ29" s="63">
        <f>'Raw Datas'!AX74</f>
        <v>2.8462499999999999</v>
      </c>
      <c r="BA29" s="63">
        <f>'Raw Datas'!AY74</f>
        <v>0.90778333333333328</v>
      </c>
      <c r="BB29" s="63">
        <f>'Raw Datas'!AZ74</f>
        <v>0.77790000000000004</v>
      </c>
      <c r="BC29" s="63">
        <f>'Raw Datas'!BA74</f>
        <v>2.2794499999999998</v>
      </c>
      <c r="BD29" s="63">
        <f>'Raw Datas'!BB74</f>
        <v>0.27904999999999996</v>
      </c>
      <c r="BE29" s="63">
        <f>'Raw Datas'!BC74</f>
        <v>8.1716666666666674E-2</v>
      </c>
      <c r="BF29" s="63">
        <f>'Raw Datas'!BD74</f>
        <v>0.40859999999999996</v>
      </c>
      <c r="BG29" s="63">
        <f>'Raw Datas'!BE74</f>
        <v>0.39374999999999999</v>
      </c>
      <c r="BH29" s="63">
        <f>'Raw Datas'!BF74</f>
        <v>10.742366666666667</v>
      </c>
      <c r="BI29" s="63">
        <f>'Raw Datas'!BG74</f>
        <v>0.67525000000000002</v>
      </c>
      <c r="BJ29" s="63">
        <f>'Raw Datas'!BH74</f>
        <v>1.7455166666666668</v>
      </c>
      <c r="BK29" s="63">
        <f>'Raw Datas'!BI74</f>
        <v>2.439516666666667</v>
      </c>
      <c r="BL29" s="63">
        <f>'Raw Datas'!BJ74</f>
        <v>13.402500000000002</v>
      </c>
      <c r="BM29" s="63">
        <f>'Raw Datas'!BK74</f>
        <v>6.0016999999999996</v>
      </c>
      <c r="BN29" s="63">
        <f>'Raw Datas'!BL74</f>
        <v>37.299083333333336</v>
      </c>
      <c r="BO29" s="63">
        <f>'Raw Datas'!BM74</f>
        <v>17.189857142857143</v>
      </c>
      <c r="BP29" s="63">
        <f>'Raw Datas'!BN74</f>
        <v>45.885766666666662</v>
      </c>
      <c r="BQ29" s="63">
        <f>'Raw Datas'!BO74</f>
        <v>42.103050000000003</v>
      </c>
      <c r="BR29" s="63">
        <f>'Raw Datas'!BP74</f>
        <v>29.012116666666664</v>
      </c>
      <c r="BS29" s="63">
        <f>'Raw Datas'!BQ74</f>
        <v>1.8921333333333334</v>
      </c>
      <c r="BT29" s="63">
        <f>'Raw Datas'!BR74</f>
        <v>0.26117142857142855</v>
      </c>
      <c r="BU29" s="63">
        <f>'Raw Datas'!BS74</f>
        <v>18.124000000000002</v>
      </c>
      <c r="BV29" s="63">
        <f>'Raw Datas'!BT74</f>
        <v>11.912583333333334</v>
      </c>
      <c r="BW29" s="63">
        <f>'Raw Datas'!BU74</f>
        <v>4.2499333333333338</v>
      </c>
      <c r="BX29" s="63">
        <f>'Raw Datas'!BV74</f>
        <v>1.4889999999999999</v>
      </c>
      <c r="BY29" s="63">
        <f>'Raw Datas'!BW74</f>
        <v>10.56865</v>
      </c>
      <c r="BZ29" s="63">
        <f>'Raw Datas'!BX74</f>
        <v>1.7334666666666669</v>
      </c>
      <c r="CA29" s="63">
        <f>'Raw Datas'!BY74</f>
        <v>1.7314333333333332</v>
      </c>
      <c r="CB29" s="63">
        <f>'Raw Datas'!BZ74</f>
        <v>1.1416499999999998</v>
      </c>
      <c r="CC29" s="63">
        <f>'Raw Datas'!CA74</f>
        <v>4.0058666666666669</v>
      </c>
      <c r="CD29" s="63">
        <f>'Raw Datas'!CB74</f>
        <v>3.4410666666666665</v>
      </c>
      <c r="CE29" s="63">
        <f>'Raw Datas'!CC74</f>
        <v>1.3267333333333333</v>
      </c>
      <c r="CF29" s="63">
        <f>'Raw Datas'!CD74</f>
        <v>0.51850000000000007</v>
      </c>
      <c r="CG29" s="63">
        <f>'Raw Datas'!CE74</f>
        <v>2.71455</v>
      </c>
      <c r="CH29" s="63">
        <f>'Raw Datas'!CF74</f>
        <v>1.8916999999999999</v>
      </c>
      <c r="CI29" s="63">
        <f>'Raw Datas'!CG74</f>
        <v>0.40425</v>
      </c>
      <c r="CJ29" s="63">
        <f>'Raw Datas'!CH74</f>
        <v>0.42481666666666668</v>
      </c>
      <c r="CK29" s="63">
        <f>'Raw Datas'!CI74</f>
        <v>2.5935666666666668</v>
      </c>
      <c r="CL29" s="63">
        <f>'Raw Datas'!CJ74</f>
        <v>3.0512444444444449</v>
      </c>
      <c r="CM29" s="63">
        <f>'Raw Datas'!CK74</f>
        <v>4.9566666666666669E-2</v>
      </c>
      <c r="CN29" s="63">
        <f>'Raw Datas'!CL74</f>
        <v>0.26516666666666666</v>
      </c>
      <c r="CO29" s="63">
        <f>'Raw Datas'!CM74</f>
        <v>1.1201000000000001</v>
      </c>
      <c r="CP29" s="63">
        <f>'Raw Datas'!CN74</f>
        <v>0.32083333333333336</v>
      </c>
      <c r="CQ29" s="63">
        <f>'Raw Datas'!CO74</f>
        <v>0.40166666666666667</v>
      </c>
      <c r="CR29" s="63">
        <f>'Raw Datas'!CP74</f>
        <v>1.5260833333333332</v>
      </c>
      <c r="CS29" s="63">
        <f>'Raw Datas'!CQ74</f>
        <v>1.8708666666666667</v>
      </c>
      <c r="CT29" s="63">
        <f>'Raw Datas'!CR74</f>
        <v>6.2833499999999995</v>
      </c>
      <c r="CU29" s="63">
        <f>'Raw Datas'!CS74</f>
        <v>0.19511666666666669</v>
      </c>
      <c r="CV29" s="63">
        <f>'Raw Datas'!CT74</f>
        <v>0.10238333333333333</v>
      </c>
      <c r="CW29" s="63">
        <f>'Raw Datas'!CU74</f>
        <v>2.2044833333333336</v>
      </c>
      <c r="CX29" s="63">
        <f>'Raw Datas'!CV74</f>
        <v>0.42814999999999998</v>
      </c>
      <c r="CY29" s="63">
        <f>'Raw Datas'!CW74</f>
        <v>2.1862666666666666</v>
      </c>
      <c r="CZ29" s="63">
        <f>'Raw Datas'!CX74</f>
        <v>0.31973333333333337</v>
      </c>
      <c r="DA29" s="63">
        <f>'Raw Datas'!CY74</f>
        <v>4.1179000000000006</v>
      </c>
      <c r="DB29" s="63">
        <f>'Raw Datas'!CZ74</f>
        <v>1.0131666666666665</v>
      </c>
      <c r="DC29" s="63">
        <f>'Raw Datas'!DA74</f>
        <v>0.26373333333333332</v>
      </c>
      <c r="DD29" s="63">
        <f>'Raw Datas'!DB74</f>
        <v>0.91751666666666654</v>
      </c>
      <c r="DE29" s="63">
        <f>'Raw Datas'!DC74</f>
        <v>3.2697833333333337</v>
      </c>
      <c r="DF29" s="63">
        <f>'Raw Datas'!DD74</f>
        <v>0.52324999999999999</v>
      </c>
      <c r="DG29" s="63">
        <f>'Raw Datas'!DE74</f>
        <v>0.2820833333333333</v>
      </c>
      <c r="DH29" s="63">
        <f>'Raw Datas'!DF74</f>
        <v>0.40841666666666665</v>
      </c>
      <c r="DI29" s="63">
        <f>'Raw Datas'!DG74</f>
        <v>6.5539500000000004</v>
      </c>
      <c r="DJ29" s="63">
        <f>'Raw Datas'!DH74</f>
        <v>0.17119999999999996</v>
      </c>
      <c r="DK29" s="63">
        <f>'Raw Datas'!DI74</f>
        <v>0.42381666666666662</v>
      </c>
      <c r="DL29" s="63">
        <f>'Raw Datas'!DJ74</f>
        <v>2.62405</v>
      </c>
      <c r="DM29" s="63">
        <f>'Raw Datas'!DK74</f>
        <v>7.0392666666666663</v>
      </c>
      <c r="DN29" s="63">
        <f>'Raw Datas'!DL74</f>
        <v>1.5568</v>
      </c>
      <c r="DO29" s="63">
        <f>'Raw Datas'!DM74</f>
        <v>0.16716666666666666</v>
      </c>
      <c r="DP29" s="63">
        <f>'Raw Datas'!DN74</f>
        <v>1.4819833333333332</v>
      </c>
      <c r="DQ29" s="63">
        <f>'Raw Datas'!DO74</f>
        <v>4.1026499999999997</v>
      </c>
      <c r="DR29" s="63">
        <f>'Raw Datas'!DP74</f>
        <v>3.162266666666667</v>
      </c>
      <c r="DS29" s="63">
        <f>'Raw Datas'!DQ74</f>
        <v>1.3182833333333333</v>
      </c>
      <c r="DT29" s="63">
        <f>'Raw Datas'!DR74</f>
        <v>0.3843833333333333</v>
      </c>
      <c r="DU29" s="63">
        <f>'Raw Datas'!DS74</f>
        <v>0.94391666666666663</v>
      </c>
      <c r="DV29" s="63">
        <f>'Raw Datas'!DT74</f>
        <v>0.61043333333333327</v>
      </c>
      <c r="DW29" s="63">
        <f>'Raw Datas'!DU74</f>
        <v>3.0274999999999994</v>
      </c>
      <c r="DX29" s="63">
        <f>'Raw Datas'!DV74</f>
        <v>1.2035666666666667</v>
      </c>
      <c r="DY29" s="63">
        <f>'Raw Datas'!DW74</f>
        <v>0.37911666666666666</v>
      </c>
      <c r="DZ29" s="63">
        <f>'Raw Datas'!DX74</f>
        <v>1.5260666666666665</v>
      </c>
      <c r="EA29" s="63">
        <f>'Raw Datas'!DY74</f>
        <v>0.68130000000000002</v>
      </c>
      <c r="EB29" s="63">
        <f>'Raw Datas'!DZ74</f>
        <v>1.5365666666666666</v>
      </c>
      <c r="EC29" s="63">
        <f>'Raw Datas'!EA74</f>
        <v>0.75319999999999987</v>
      </c>
      <c r="ED29" s="63">
        <f>'Raw Datas'!EB74</f>
        <v>0.71640000000000004</v>
      </c>
      <c r="EE29" s="63">
        <f>'Raw Datas'!EC74</f>
        <v>1.8983166666666667</v>
      </c>
      <c r="EF29" s="63">
        <f>'Raw Datas'!ED74</f>
        <v>0.79349999999999998</v>
      </c>
      <c r="EG29" s="63">
        <f>'Raw Datas'!EE74</f>
        <v>1.2323999999999999</v>
      </c>
      <c r="EH29" s="63">
        <f>'Raw Datas'!EF74</f>
        <v>2.65985</v>
      </c>
      <c r="EI29" s="63">
        <f>'Raw Datas'!EG74</f>
        <v>2.0132333333333334</v>
      </c>
      <c r="EJ29" s="63">
        <f>'Raw Datas'!EH74</f>
        <v>3.7483666666666671</v>
      </c>
      <c r="EK29" s="63">
        <f>'Raw Datas'!EI74</f>
        <v>0.3736666666666667</v>
      </c>
      <c r="EL29" s="63">
        <f>'Raw Datas'!EJ74</f>
        <v>0.53664999999999996</v>
      </c>
      <c r="EM29" s="63">
        <f>'Raw Datas'!EK74</f>
        <v>1.1930499999999999</v>
      </c>
      <c r="EN29" s="63">
        <f>'Raw Datas'!EL74</f>
        <v>3.515333333333333</v>
      </c>
      <c r="EO29" s="63">
        <f>'Raw Datas'!EM74</f>
        <v>0.19061666666666666</v>
      </c>
      <c r="EP29" s="63">
        <f>'Raw Datas'!EN74</f>
        <v>6.6026500000000006</v>
      </c>
      <c r="EQ29" s="63">
        <f>'Raw Datas'!EO74</f>
        <v>0.72756666666666669</v>
      </c>
      <c r="ER29" s="63">
        <f>'Raw Datas'!EP74</f>
        <v>2.8988500000000004</v>
      </c>
      <c r="ES29" s="63">
        <f>'Raw Datas'!EQ74</f>
        <v>0.82565</v>
      </c>
      <c r="ET29" s="63">
        <f>'Raw Datas'!ER74</f>
        <v>0.39766666666666667</v>
      </c>
      <c r="EU29" s="63">
        <f>'Raw Datas'!ES74</f>
        <v>1.1470833333333335</v>
      </c>
      <c r="EV29" s="63">
        <f>'Raw Datas'!ET74</f>
        <v>3.4865333333333335</v>
      </c>
      <c r="EW29" s="63">
        <f>'Raw Datas'!EU74</f>
        <v>1.3916666666666666</v>
      </c>
      <c r="EX29" s="63">
        <f>'Raw Datas'!EV74</f>
        <v>2.6642166666666669</v>
      </c>
      <c r="EY29" s="63">
        <f>'Raw Datas'!EW74</f>
        <v>0.53015000000000001</v>
      </c>
      <c r="EZ29" s="63">
        <f>'Raw Datas'!EX74</f>
        <v>1.6353499999999999</v>
      </c>
      <c r="FA29" s="63">
        <f>'Raw Datas'!EY74</f>
        <v>0.79088333333333338</v>
      </c>
      <c r="FB29" s="63">
        <f>'Raw Datas'!EZ74</f>
        <v>1.1988666666666667</v>
      </c>
      <c r="FC29" s="63">
        <f>'Raw Datas'!FA74</f>
        <v>0.20331666666666667</v>
      </c>
      <c r="FD29" s="63">
        <f>'Raw Datas'!FB74</f>
        <v>0.95839999999999992</v>
      </c>
      <c r="FE29" s="63">
        <f>'Raw Datas'!FC74</f>
        <v>0.32028333333333331</v>
      </c>
      <c r="FF29" s="63">
        <f>'Raw Datas'!FD74</f>
        <v>3.9123000000000001</v>
      </c>
      <c r="FG29" s="63">
        <f>'Raw Datas'!FE74</f>
        <v>1.2454500000000002</v>
      </c>
      <c r="FH29" s="63">
        <f>'Raw Datas'!FF74</f>
        <v>1.6130833333333332</v>
      </c>
      <c r="FI29" s="63">
        <f>'Raw Datas'!FG74</f>
        <v>0.57353333333333334</v>
      </c>
      <c r="FJ29" s="63">
        <f>'Raw Datas'!FH74</f>
        <v>1.2690166666666665</v>
      </c>
      <c r="FK29" s="63">
        <f>'Raw Datas'!FI74</f>
        <v>9.3750666666666671</v>
      </c>
      <c r="FL29" s="63">
        <f>'Raw Datas'!FJ74</f>
        <v>2.0926499999999999</v>
      </c>
      <c r="FM29" s="63">
        <f>'Raw Datas'!FK74</f>
        <v>0.36200000000000004</v>
      </c>
      <c r="FN29" s="63">
        <f>'Raw Datas'!FL74</f>
        <v>0.21674999999999997</v>
      </c>
      <c r="FO29" s="63">
        <f>'Raw Datas'!FM74</f>
        <v>0.37361666666666665</v>
      </c>
      <c r="FP29" s="63">
        <f>'Raw Datas'!FN74</f>
        <v>1.5116000000000001</v>
      </c>
      <c r="FQ29" s="63">
        <f>'Raw Datas'!FO74</f>
        <v>0.18694999999999998</v>
      </c>
    </row>
    <row r="30" spans="1:173" ht="15.75" customHeight="1" x14ac:dyDescent="0.2">
      <c r="A30" s="117"/>
      <c r="B30" s="57" t="s">
        <v>16</v>
      </c>
      <c r="C30" s="104" t="s">
        <v>747</v>
      </c>
      <c r="D30" s="104"/>
      <c r="E30" s="60" t="str">
        <f>'Raw Datas'!C75</f>
        <v>0</v>
      </c>
      <c r="F30" s="63" t="str">
        <f>'Raw Datas'!D75</f>
        <v>0</v>
      </c>
      <c r="G30" s="63" t="str">
        <f>'Raw Datas'!E75</f>
        <v>0</v>
      </c>
      <c r="H30" s="63" t="str">
        <f>'Raw Datas'!F75</f>
        <v>0</v>
      </c>
      <c r="I30" s="63" t="str">
        <f>'Raw Datas'!G75</f>
        <v>0</v>
      </c>
      <c r="J30" s="63" t="str">
        <f>'Raw Datas'!H75</f>
        <v>0</v>
      </c>
      <c r="K30" s="63" t="str">
        <f>'Raw Datas'!I75</f>
        <v>0</v>
      </c>
      <c r="L30" s="63" t="str">
        <f>'Raw Datas'!J75</f>
        <v>0</v>
      </c>
      <c r="M30" s="63" t="str">
        <f>'Raw Datas'!K75</f>
        <v>0</v>
      </c>
      <c r="N30" s="63" t="str">
        <f>'Raw Datas'!L75</f>
        <v>0</v>
      </c>
      <c r="O30" s="63" t="str">
        <f>'Raw Datas'!M75</f>
        <v>0</v>
      </c>
      <c r="P30" s="63" t="str">
        <f>'Raw Datas'!N75</f>
        <v>0</v>
      </c>
      <c r="Q30" s="63" t="str">
        <f>'Raw Datas'!O75</f>
        <v>0</v>
      </c>
      <c r="R30" s="63" t="str">
        <f>'Raw Datas'!P75</f>
        <v>0</v>
      </c>
      <c r="S30" s="63" t="str">
        <f>'Raw Datas'!Q75</f>
        <v>0</v>
      </c>
      <c r="T30" s="63" t="str">
        <f>'Raw Datas'!R75</f>
        <v>0</v>
      </c>
      <c r="U30" s="63" t="str">
        <f>'Raw Datas'!S75</f>
        <v>0</v>
      </c>
      <c r="V30" s="63" t="str">
        <f>'Raw Datas'!T75</f>
        <v>0</v>
      </c>
      <c r="W30" s="63" t="str">
        <f>'Raw Datas'!U75</f>
        <v>0</v>
      </c>
      <c r="X30" s="63" t="str">
        <f>'Raw Datas'!V75</f>
        <v>0</v>
      </c>
      <c r="Y30" s="63" t="str">
        <f>'Raw Datas'!W75</f>
        <v>0</v>
      </c>
      <c r="Z30" s="63" t="str">
        <f>'Raw Datas'!X75</f>
        <v>0</v>
      </c>
      <c r="AA30" s="63" t="str">
        <f>'Raw Datas'!Y75</f>
        <v>0</v>
      </c>
      <c r="AB30" s="63" t="str">
        <f>'Raw Datas'!Z75</f>
        <v>0</v>
      </c>
      <c r="AC30" s="63" t="str">
        <f>'Raw Datas'!AA75</f>
        <v>0</v>
      </c>
      <c r="AD30" s="63" t="str">
        <f>'Raw Datas'!AB75</f>
        <v>0</v>
      </c>
      <c r="AE30" s="63" t="str">
        <f>'Raw Datas'!AC75</f>
        <v>0</v>
      </c>
      <c r="AF30" s="63" t="str">
        <f>'Raw Datas'!AD75</f>
        <v>0</v>
      </c>
      <c r="AG30" s="63" t="str">
        <f>'Raw Datas'!AE75</f>
        <v>0</v>
      </c>
      <c r="AH30" s="63" t="str">
        <f>'Raw Datas'!AF75</f>
        <v>0</v>
      </c>
      <c r="AI30" s="63" t="str">
        <f>'Raw Datas'!AG75</f>
        <v>0</v>
      </c>
      <c r="AJ30" s="63" t="str">
        <f>'Raw Datas'!AH75</f>
        <v>0</v>
      </c>
      <c r="AK30" s="63" t="str">
        <f>'Raw Datas'!AI75</f>
        <v>0</v>
      </c>
      <c r="AL30" s="63" t="str">
        <f>'Raw Datas'!AJ75</f>
        <v>0</v>
      </c>
      <c r="AM30" s="63" t="str">
        <f>'Raw Datas'!AK75</f>
        <v>0</v>
      </c>
      <c r="AN30" s="63" t="str">
        <f>'Raw Datas'!AL75</f>
        <v>0</v>
      </c>
      <c r="AO30" s="63" t="str">
        <f>'Raw Datas'!AM75</f>
        <v>0</v>
      </c>
      <c r="AP30" s="63" t="str">
        <f>'Raw Datas'!AN75</f>
        <v>0</v>
      </c>
      <c r="AQ30" s="63" t="str">
        <f>'Raw Datas'!AO75</f>
        <v>0</v>
      </c>
      <c r="AR30" s="63" t="str">
        <f>'Raw Datas'!AP75</f>
        <v>0</v>
      </c>
      <c r="AS30" s="63" t="str">
        <f>'Raw Datas'!AQ75</f>
        <v>0</v>
      </c>
      <c r="AT30" s="63" t="str">
        <f>'Raw Datas'!AR75</f>
        <v>0</v>
      </c>
      <c r="AU30" s="63" t="str">
        <f>'Raw Datas'!AS75</f>
        <v>0</v>
      </c>
      <c r="AV30" s="63" t="str">
        <f>'Raw Datas'!AT75</f>
        <v>0</v>
      </c>
      <c r="AW30" s="63" t="str">
        <f>'Raw Datas'!AU75</f>
        <v>0</v>
      </c>
      <c r="AX30" s="63" t="str">
        <f>'Raw Datas'!AV75</f>
        <v>0</v>
      </c>
      <c r="AY30" s="63" t="str">
        <f>'Raw Datas'!AW75</f>
        <v>0</v>
      </c>
      <c r="AZ30" s="63" t="str">
        <f>'Raw Datas'!AX75</f>
        <v>0</v>
      </c>
      <c r="BA30" s="63" t="str">
        <f>'Raw Datas'!AY75</f>
        <v>0</v>
      </c>
      <c r="BB30" s="63" t="str">
        <f>'Raw Datas'!AZ75</f>
        <v>0</v>
      </c>
      <c r="BC30" s="63" t="str">
        <f>'Raw Datas'!BA75</f>
        <v>0</v>
      </c>
      <c r="BD30" s="63" t="str">
        <f>'Raw Datas'!BB75</f>
        <v>0</v>
      </c>
      <c r="BE30" s="63" t="str">
        <f>'Raw Datas'!BC75</f>
        <v>0</v>
      </c>
      <c r="BF30" s="63" t="str">
        <f>'Raw Datas'!BD75</f>
        <v>0</v>
      </c>
      <c r="BG30" s="63" t="str">
        <f>'Raw Datas'!BE75</f>
        <v>0</v>
      </c>
      <c r="BH30" s="63" t="str">
        <f>'Raw Datas'!BF75</f>
        <v>0</v>
      </c>
      <c r="BI30" s="63" t="str">
        <f>'Raw Datas'!BG75</f>
        <v>0</v>
      </c>
      <c r="BJ30" s="63" t="str">
        <f>'Raw Datas'!BH75</f>
        <v>0</v>
      </c>
      <c r="BK30" s="63" t="str">
        <f>'Raw Datas'!BI75</f>
        <v>0</v>
      </c>
      <c r="BL30" s="63" t="str">
        <f>'Raw Datas'!BJ75</f>
        <v>0</v>
      </c>
      <c r="BM30" s="63" t="str">
        <f>'Raw Datas'!BK75</f>
        <v>0</v>
      </c>
      <c r="BN30" s="63" t="str">
        <f>'Raw Datas'!BL75</f>
        <v>0</v>
      </c>
      <c r="BO30" s="63" t="str">
        <f>'Raw Datas'!BM75</f>
        <v>0</v>
      </c>
      <c r="BP30" s="63" t="str">
        <f>'Raw Datas'!BN75</f>
        <v>0</v>
      </c>
      <c r="BQ30" s="63" t="str">
        <f>'Raw Datas'!BO75</f>
        <v>0</v>
      </c>
      <c r="BR30" s="63" t="str">
        <f>'Raw Datas'!BP75</f>
        <v>0</v>
      </c>
      <c r="BS30" s="63" t="str">
        <f>'Raw Datas'!BQ75</f>
        <v>0</v>
      </c>
      <c r="BT30" s="63" t="str">
        <f>'Raw Datas'!BR75</f>
        <v>0</v>
      </c>
      <c r="BU30" s="63" t="str">
        <f>'Raw Datas'!BS75</f>
        <v>0</v>
      </c>
      <c r="BV30" s="63" t="str">
        <f>'Raw Datas'!BT75</f>
        <v>0</v>
      </c>
      <c r="BW30" s="63" t="str">
        <f>'Raw Datas'!BU75</f>
        <v>0</v>
      </c>
      <c r="BX30" s="63" t="str">
        <f>'Raw Datas'!BV75</f>
        <v>0</v>
      </c>
      <c r="BY30" s="63" t="str">
        <f>'Raw Datas'!BW75</f>
        <v>0</v>
      </c>
      <c r="BZ30" s="63" t="str">
        <f>'Raw Datas'!BX75</f>
        <v>0</v>
      </c>
      <c r="CA30" s="63" t="str">
        <f>'Raw Datas'!BY75</f>
        <v>0</v>
      </c>
      <c r="CB30" s="63" t="str">
        <f>'Raw Datas'!BZ75</f>
        <v>0</v>
      </c>
      <c r="CC30" s="63" t="str">
        <f>'Raw Datas'!CA75</f>
        <v>0</v>
      </c>
      <c r="CD30" s="63" t="str">
        <f>'Raw Datas'!CB75</f>
        <v>0</v>
      </c>
      <c r="CE30" s="63" t="str">
        <f>'Raw Datas'!CC75</f>
        <v>0</v>
      </c>
      <c r="CF30" s="63" t="str">
        <f>'Raw Datas'!CD75</f>
        <v>0</v>
      </c>
      <c r="CG30" s="63" t="str">
        <f>'Raw Datas'!CE75</f>
        <v>0</v>
      </c>
      <c r="CH30" s="63" t="str">
        <f>'Raw Datas'!CF75</f>
        <v>0</v>
      </c>
      <c r="CI30" s="63" t="str">
        <f>'Raw Datas'!CG75</f>
        <v>0</v>
      </c>
      <c r="CJ30" s="63" t="str">
        <f>'Raw Datas'!CH75</f>
        <v>0</v>
      </c>
      <c r="CK30" s="63" t="str">
        <f>'Raw Datas'!CI75</f>
        <v>0</v>
      </c>
      <c r="CL30" s="63" t="str">
        <f>'Raw Datas'!CJ75</f>
        <v>0</v>
      </c>
      <c r="CM30" s="63" t="str">
        <f>'Raw Datas'!CK75</f>
        <v>0</v>
      </c>
      <c r="CN30" s="63" t="str">
        <f>'Raw Datas'!CL75</f>
        <v>0</v>
      </c>
      <c r="CO30" s="63" t="str">
        <f>'Raw Datas'!CM75</f>
        <v>0</v>
      </c>
      <c r="CP30" s="63" t="str">
        <f>'Raw Datas'!CN75</f>
        <v>0</v>
      </c>
      <c r="CQ30" s="63" t="str">
        <f>'Raw Datas'!CO75</f>
        <v>0</v>
      </c>
      <c r="CR30" s="63" t="str">
        <f>'Raw Datas'!CP75</f>
        <v>0</v>
      </c>
      <c r="CS30" s="63" t="str">
        <f>'Raw Datas'!CQ75</f>
        <v>0</v>
      </c>
      <c r="CT30" s="63" t="str">
        <f>'Raw Datas'!CR75</f>
        <v>0</v>
      </c>
      <c r="CU30" s="63" t="str">
        <f>'Raw Datas'!CS75</f>
        <v>0</v>
      </c>
      <c r="CV30" s="63" t="str">
        <f>'Raw Datas'!CT75</f>
        <v>0</v>
      </c>
      <c r="CW30" s="63" t="str">
        <f>'Raw Datas'!CU75</f>
        <v>0</v>
      </c>
      <c r="CX30" s="63" t="str">
        <f>'Raw Datas'!CV75</f>
        <v>0</v>
      </c>
      <c r="CY30" s="63" t="str">
        <f>'Raw Datas'!CW75</f>
        <v>0</v>
      </c>
      <c r="CZ30" s="63" t="str">
        <f>'Raw Datas'!CX75</f>
        <v>0</v>
      </c>
      <c r="DA30" s="63" t="str">
        <f>'Raw Datas'!CY75</f>
        <v>0</v>
      </c>
      <c r="DB30" s="63" t="str">
        <f>'Raw Datas'!CZ75</f>
        <v>0</v>
      </c>
      <c r="DC30" s="63" t="str">
        <f>'Raw Datas'!DA75</f>
        <v>0</v>
      </c>
      <c r="DD30" s="63" t="str">
        <f>'Raw Datas'!DB75</f>
        <v>0</v>
      </c>
      <c r="DE30" s="63" t="str">
        <f>'Raw Datas'!DC75</f>
        <v>0</v>
      </c>
      <c r="DF30" s="63" t="str">
        <f>'Raw Datas'!DD75</f>
        <v>0</v>
      </c>
      <c r="DG30" s="63" t="str">
        <f>'Raw Datas'!DE75</f>
        <v>0</v>
      </c>
      <c r="DH30" s="63" t="str">
        <f>'Raw Datas'!DF75</f>
        <v>0</v>
      </c>
      <c r="DI30" s="63" t="str">
        <f>'Raw Datas'!DG75</f>
        <v>0</v>
      </c>
      <c r="DJ30" s="63" t="str">
        <f>'Raw Datas'!DH75</f>
        <v>0</v>
      </c>
      <c r="DK30" s="63" t="str">
        <f>'Raw Datas'!DI75</f>
        <v>0</v>
      </c>
      <c r="DL30" s="63" t="str">
        <f>'Raw Datas'!DJ75</f>
        <v>0</v>
      </c>
      <c r="DM30" s="63" t="str">
        <f>'Raw Datas'!DK75</f>
        <v>0</v>
      </c>
      <c r="DN30" s="63" t="str">
        <f>'Raw Datas'!DL75</f>
        <v>0</v>
      </c>
      <c r="DO30" s="63" t="str">
        <f>'Raw Datas'!DM75</f>
        <v>0</v>
      </c>
      <c r="DP30" s="63" t="str">
        <f>'Raw Datas'!DN75</f>
        <v>0</v>
      </c>
      <c r="DQ30" s="63" t="str">
        <f>'Raw Datas'!DO75</f>
        <v>0</v>
      </c>
      <c r="DR30" s="63" t="str">
        <f>'Raw Datas'!DP75</f>
        <v>0</v>
      </c>
      <c r="DS30" s="63" t="str">
        <f>'Raw Datas'!DQ75</f>
        <v>0</v>
      </c>
      <c r="DT30" s="63" t="str">
        <f>'Raw Datas'!DR75</f>
        <v>0</v>
      </c>
      <c r="DU30" s="63" t="str">
        <f>'Raw Datas'!DS75</f>
        <v>0</v>
      </c>
      <c r="DV30" s="63" t="str">
        <f>'Raw Datas'!DT75</f>
        <v>0</v>
      </c>
      <c r="DW30" s="63" t="str">
        <f>'Raw Datas'!DU75</f>
        <v>0</v>
      </c>
      <c r="DX30" s="63" t="str">
        <f>'Raw Datas'!DV75</f>
        <v>0</v>
      </c>
      <c r="DY30" s="63" t="str">
        <f>'Raw Datas'!DW75</f>
        <v>0</v>
      </c>
      <c r="DZ30" s="63" t="str">
        <f>'Raw Datas'!DX75</f>
        <v>0</v>
      </c>
      <c r="EA30" s="63" t="str">
        <f>'Raw Datas'!DY75</f>
        <v>0</v>
      </c>
      <c r="EB30" s="63" t="str">
        <f>'Raw Datas'!DZ75</f>
        <v>0</v>
      </c>
      <c r="EC30" s="63" t="str">
        <f>'Raw Datas'!EA75</f>
        <v>0</v>
      </c>
      <c r="ED30" s="63" t="str">
        <f>'Raw Datas'!EB75</f>
        <v>0</v>
      </c>
      <c r="EE30" s="63" t="str">
        <f>'Raw Datas'!EC75</f>
        <v>0</v>
      </c>
      <c r="EF30" s="63" t="str">
        <f>'Raw Datas'!ED75</f>
        <v>0</v>
      </c>
      <c r="EG30" s="63" t="str">
        <f>'Raw Datas'!EE75</f>
        <v>0</v>
      </c>
      <c r="EH30" s="63" t="str">
        <f>'Raw Datas'!EF75</f>
        <v>0</v>
      </c>
      <c r="EI30" s="63" t="str">
        <f>'Raw Datas'!EG75</f>
        <v>0</v>
      </c>
      <c r="EJ30" s="63" t="str">
        <f>'Raw Datas'!EH75</f>
        <v>0</v>
      </c>
      <c r="EK30" s="63" t="str">
        <f>'Raw Datas'!EI75</f>
        <v>0</v>
      </c>
      <c r="EL30" s="63" t="str">
        <f>'Raw Datas'!EJ75</f>
        <v>0</v>
      </c>
      <c r="EM30" s="63" t="str">
        <f>'Raw Datas'!EK75</f>
        <v>0</v>
      </c>
      <c r="EN30" s="63" t="str">
        <f>'Raw Datas'!EL75</f>
        <v>0</v>
      </c>
      <c r="EO30" s="63" t="str">
        <f>'Raw Datas'!EM75</f>
        <v>0</v>
      </c>
      <c r="EP30" s="63" t="str">
        <f>'Raw Datas'!EN75</f>
        <v>0</v>
      </c>
      <c r="EQ30" s="63" t="str">
        <f>'Raw Datas'!EO75</f>
        <v>0</v>
      </c>
      <c r="ER30" s="63" t="str">
        <f>'Raw Datas'!EP75</f>
        <v>0</v>
      </c>
      <c r="ES30" s="63" t="str">
        <f>'Raw Datas'!EQ75</f>
        <v>0</v>
      </c>
      <c r="ET30" s="63" t="str">
        <f>'Raw Datas'!ER75</f>
        <v>0</v>
      </c>
      <c r="EU30" s="63" t="str">
        <f>'Raw Datas'!ES75</f>
        <v>0</v>
      </c>
      <c r="EV30" s="63" t="str">
        <f>'Raw Datas'!ET75</f>
        <v>0</v>
      </c>
      <c r="EW30" s="63" t="str">
        <f>'Raw Datas'!EU75</f>
        <v>0</v>
      </c>
      <c r="EX30" s="63" t="str">
        <f>'Raw Datas'!EV75</f>
        <v>0</v>
      </c>
      <c r="EY30" s="63" t="str">
        <f>'Raw Datas'!EW75</f>
        <v>0</v>
      </c>
      <c r="EZ30" s="63" t="str">
        <f>'Raw Datas'!EX75</f>
        <v>0</v>
      </c>
      <c r="FA30" s="63" t="str">
        <f>'Raw Datas'!EY75</f>
        <v>0</v>
      </c>
      <c r="FB30" s="63" t="str">
        <f>'Raw Datas'!EZ75</f>
        <v>0</v>
      </c>
      <c r="FC30" s="63" t="str">
        <f>'Raw Datas'!FA75</f>
        <v>0</v>
      </c>
      <c r="FD30" s="63" t="str">
        <f>'Raw Datas'!FB75</f>
        <v>0</v>
      </c>
      <c r="FE30" s="63" t="str">
        <f>'Raw Datas'!FC75</f>
        <v>0</v>
      </c>
      <c r="FF30" s="63" t="str">
        <f>'Raw Datas'!FD75</f>
        <v>0</v>
      </c>
      <c r="FG30" s="63" t="str">
        <f>'Raw Datas'!FE75</f>
        <v>0</v>
      </c>
      <c r="FH30" s="63" t="str">
        <f>'Raw Datas'!FF75</f>
        <v>0</v>
      </c>
      <c r="FI30" s="63" t="str">
        <f>'Raw Datas'!FG75</f>
        <v>0</v>
      </c>
      <c r="FJ30" s="63" t="str">
        <f>'Raw Datas'!FH75</f>
        <v>0</v>
      </c>
      <c r="FK30" s="63" t="str">
        <f>'Raw Datas'!FI75</f>
        <v>0</v>
      </c>
      <c r="FL30" s="63" t="str">
        <f>'Raw Datas'!FJ75</f>
        <v>0</v>
      </c>
      <c r="FM30" s="63" t="str">
        <f>'Raw Datas'!FK75</f>
        <v>0</v>
      </c>
      <c r="FN30" s="63" t="str">
        <f>'Raw Datas'!FL75</f>
        <v>0</v>
      </c>
      <c r="FO30" s="63" t="str">
        <f>'Raw Datas'!FM75</f>
        <v>0</v>
      </c>
      <c r="FP30" s="63" t="str">
        <f>'Raw Datas'!FN75</f>
        <v>0</v>
      </c>
      <c r="FQ30" s="63" t="str">
        <f>'Raw Datas'!FO75</f>
        <v>0</v>
      </c>
    </row>
    <row r="31" spans="1:173" ht="15.75" customHeight="1" x14ac:dyDescent="0.2">
      <c r="A31" s="117"/>
      <c r="B31" s="97" t="s">
        <v>17</v>
      </c>
      <c r="C31" s="104" t="s">
        <v>772</v>
      </c>
      <c r="D31" s="104"/>
      <c r="E31" s="60">
        <f>'Raw Datas'!C76</f>
        <v>0.46458333333333335</v>
      </c>
      <c r="F31" s="63">
        <f>'Raw Datas'!D76</f>
        <v>0.90194999999999992</v>
      </c>
      <c r="G31" s="63">
        <f>'Raw Datas'!E76</f>
        <v>1.21435</v>
      </c>
      <c r="H31" s="63">
        <f>'Raw Datas'!F76</f>
        <v>5.6536166666666663</v>
      </c>
      <c r="I31" s="63">
        <f>'Raw Datas'!G76</f>
        <v>1.0921166666666666</v>
      </c>
      <c r="J31" s="63">
        <f>'Raw Datas'!H76</f>
        <v>2.0305499999999999</v>
      </c>
      <c r="K31" s="63">
        <f>'Raw Datas'!I76</f>
        <v>0.68046666666666655</v>
      </c>
      <c r="L31" s="63" t="str">
        <f>'Raw Datas'!J76</f>
        <v>0</v>
      </c>
      <c r="M31" s="63">
        <f>'Raw Datas'!K76</f>
        <v>0.24193333333333333</v>
      </c>
      <c r="N31" s="63">
        <f>'Raw Datas'!L76</f>
        <v>1.46905</v>
      </c>
      <c r="O31" s="63" t="str">
        <f>'Raw Datas'!M76</f>
        <v>0</v>
      </c>
      <c r="P31" s="63">
        <f>'Raw Datas'!N76</f>
        <v>1.8282666666666667</v>
      </c>
      <c r="Q31" s="63">
        <f>'Raw Datas'!O76</f>
        <v>1.6001666666666667</v>
      </c>
      <c r="R31" s="63">
        <f>'Raw Datas'!P76</f>
        <v>1.2433666666666667</v>
      </c>
      <c r="S31" s="63">
        <f>'Raw Datas'!Q76</f>
        <v>2.0568666666666666</v>
      </c>
      <c r="T31" s="63">
        <f>'Raw Datas'!R76</f>
        <v>29.350883333333332</v>
      </c>
      <c r="U31" s="63">
        <f>'Raw Datas'!S76</f>
        <v>0.17413333333333333</v>
      </c>
      <c r="V31" s="63">
        <f>'Raw Datas'!T76</f>
        <v>0.38796666666666663</v>
      </c>
      <c r="W31" s="63">
        <f>'Raw Datas'!U76</f>
        <v>1.6592833333333334</v>
      </c>
      <c r="X31" s="63">
        <f>'Raw Datas'!V76</f>
        <v>0.44460000000000005</v>
      </c>
      <c r="Y31" s="63">
        <f>'Raw Datas'!W76</f>
        <v>2.3193999999999999</v>
      </c>
      <c r="Z31" s="63" t="str">
        <f>'Raw Datas'!X76</f>
        <v>0</v>
      </c>
      <c r="AA31" s="63">
        <f>'Raw Datas'!Y76</f>
        <v>0.78618333333333346</v>
      </c>
      <c r="AB31" s="63">
        <f>'Raw Datas'!Z76</f>
        <v>8.1737599999999997</v>
      </c>
      <c r="AC31" s="63">
        <f>'Raw Datas'!AA76</f>
        <v>0.19846666666666668</v>
      </c>
      <c r="AD31" s="63">
        <f>'Raw Datas'!AB76</f>
        <v>0.92841666666666667</v>
      </c>
      <c r="AE31" s="63">
        <f>'Raw Datas'!AC76</f>
        <v>1.1166000000000003</v>
      </c>
      <c r="AF31" s="63">
        <f>'Raw Datas'!AD76</f>
        <v>1.2274666666666667</v>
      </c>
      <c r="AG31" s="63" t="str">
        <f>'Raw Datas'!AE76</f>
        <v>0</v>
      </c>
      <c r="AH31" s="63">
        <f>'Raw Datas'!AF76</f>
        <v>0.58521666666666661</v>
      </c>
      <c r="AI31" s="63">
        <f>'Raw Datas'!AG76</f>
        <v>2.6840833333333336</v>
      </c>
      <c r="AJ31" s="63">
        <f>'Raw Datas'!AH76</f>
        <v>0.63178333333333336</v>
      </c>
      <c r="AK31" s="63">
        <f>'Raw Datas'!AI76</f>
        <v>3.238466666666667</v>
      </c>
      <c r="AL31" s="63">
        <f>'Raw Datas'!AJ76</f>
        <v>1.6343999999999999</v>
      </c>
      <c r="AM31" s="63">
        <f>'Raw Datas'!AK76</f>
        <v>0.63880000000000003</v>
      </c>
      <c r="AN31" s="63">
        <f>'Raw Datas'!AL76</f>
        <v>1.2262666666666666</v>
      </c>
      <c r="AO31" s="63">
        <f>'Raw Datas'!AM76</f>
        <v>1.2297</v>
      </c>
      <c r="AP31" s="63">
        <f>'Raw Datas'!AN76</f>
        <v>1.2309333333333332</v>
      </c>
      <c r="AQ31" s="63" t="str">
        <f>'Raw Datas'!AO76</f>
        <v>0</v>
      </c>
      <c r="AR31" s="63">
        <f>'Raw Datas'!AP76</f>
        <v>1.1752833333333332</v>
      </c>
      <c r="AS31" s="63">
        <f>'Raw Datas'!AQ76</f>
        <v>1.7554666666666667</v>
      </c>
      <c r="AT31" s="63">
        <f>'Raw Datas'!AR76</f>
        <v>0.55680000000000007</v>
      </c>
      <c r="AU31" s="63">
        <f>'Raw Datas'!AS76</f>
        <v>14.269433333333334</v>
      </c>
      <c r="AV31" s="63">
        <f>'Raw Datas'!AT76</f>
        <v>4.5469166666666663</v>
      </c>
      <c r="AW31" s="63" t="str">
        <f>'Raw Datas'!AU76</f>
        <v>0</v>
      </c>
      <c r="AX31" s="63" t="str">
        <f>'Raw Datas'!AV76</f>
        <v>0</v>
      </c>
      <c r="AY31" s="63" t="str">
        <f>'Raw Datas'!AW76</f>
        <v>0</v>
      </c>
      <c r="AZ31" s="63">
        <f>'Raw Datas'!AX76</f>
        <v>1.0313000000000001</v>
      </c>
      <c r="BA31" s="63">
        <f>'Raw Datas'!AY76</f>
        <v>0.15261666666666668</v>
      </c>
      <c r="BB31" s="63" t="str">
        <f>'Raw Datas'!AZ76</f>
        <v>0</v>
      </c>
      <c r="BC31" s="63">
        <f>'Raw Datas'!BA76</f>
        <v>0.41921666666666663</v>
      </c>
      <c r="BD31" s="63">
        <f>'Raw Datas'!BB76</f>
        <v>0.23538333333333336</v>
      </c>
      <c r="BE31" s="63" t="str">
        <f>'Raw Datas'!BC76</f>
        <v>0</v>
      </c>
      <c r="BF31" s="63" t="str">
        <f>'Raw Datas'!BD76</f>
        <v>0</v>
      </c>
      <c r="BG31" s="63" t="str">
        <f>'Raw Datas'!BE76</f>
        <v>0</v>
      </c>
      <c r="BH31" s="63">
        <f>'Raw Datas'!BF76</f>
        <v>4.6592000000000002</v>
      </c>
      <c r="BI31" s="63" t="str">
        <f>'Raw Datas'!BG76</f>
        <v>0</v>
      </c>
      <c r="BJ31" s="63">
        <f>'Raw Datas'!BH76</f>
        <v>2.6139833333333331</v>
      </c>
      <c r="BK31" s="63">
        <f>'Raw Datas'!BI76</f>
        <v>2.5124166666666667</v>
      </c>
      <c r="BL31" s="63">
        <f>'Raw Datas'!BJ76</f>
        <v>7.8987166666666671</v>
      </c>
      <c r="BM31" s="63">
        <f>'Raw Datas'!BK76</f>
        <v>2.4972333333333334</v>
      </c>
      <c r="BN31" s="63">
        <f>'Raw Datas'!BL76</f>
        <v>16.595333333333333</v>
      </c>
      <c r="BO31" s="63">
        <f>'Raw Datas'!BM76</f>
        <v>7.1669428571428568</v>
      </c>
      <c r="BP31" s="63">
        <f>'Raw Datas'!BN76</f>
        <v>30.100583333333329</v>
      </c>
      <c r="BQ31" s="63">
        <f>'Raw Datas'!BO76</f>
        <v>11.893733333333332</v>
      </c>
      <c r="BR31" s="63">
        <f>'Raw Datas'!BP76</f>
        <v>14.796600000000002</v>
      </c>
      <c r="BS31" s="63">
        <f>'Raw Datas'!BQ76</f>
        <v>2.740933333333333</v>
      </c>
      <c r="BT31" s="63">
        <f>'Raw Datas'!BR76</f>
        <v>0.43125714285714289</v>
      </c>
      <c r="BU31" s="63">
        <f>'Raw Datas'!BS76</f>
        <v>8.0312666666666672</v>
      </c>
      <c r="BV31" s="63">
        <f>'Raw Datas'!BT76</f>
        <v>8.0448833333333329</v>
      </c>
      <c r="BW31" s="63">
        <f>'Raw Datas'!BU76</f>
        <v>2.9572333333333338</v>
      </c>
      <c r="BX31" s="63">
        <f>'Raw Datas'!BV76</f>
        <v>1.4378833333333332</v>
      </c>
      <c r="BY31" s="63">
        <f>'Raw Datas'!BW76</f>
        <v>3.4052833333333337</v>
      </c>
      <c r="BZ31" s="63">
        <f>'Raw Datas'!BX76</f>
        <v>1.0003500000000001</v>
      </c>
      <c r="CA31" s="63">
        <f>'Raw Datas'!BY76</f>
        <v>1.7591000000000001</v>
      </c>
      <c r="CB31" s="63">
        <f>'Raw Datas'!BZ76</f>
        <v>1.3127666666666664</v>
      </c>
      <c r="CC31" s="63">
        <f>'Raw Datas'!CA76</f>
        <v>2.604916666666667</v>
      </c>
      <c r="CD31" s="63">
        <f>'Raw Datas'!CB76</f>
        <v>2.6385166666666664</v>
      </c>
      <c r="CE31" s="63">
        <f>'Raw Datas'!CC76</f>
        <v>1.3348500000000001</v>
      </c>
      <c r="CF31" s="63">
        <f>'Raw Datas'!CD76</f>
        <v>0.74483333333333346</v>
      </c>
      <c r="CG31" s="63">
        <f>'Raw Datas'!CE76</f>
        <v>8.4230333333333345</v>
      </c>
      <c r="CH31" s="63">
        <f>'Raw Datas'!CF76</f>
        <v>0.48153333333333337</v>
      </c>
      <c r="CI31" s="63">
        <f>'Raw Datas'!CG76</f>
        <v>0.63343333333333329</v>
      </c>
      <c r="CJ31" s="63">
        <f>'Raw Datas'!CH76</f>
        <v>0.4451</v>
      </c>
      <c r="CK31" s="63">
        <f>'Raw Datas'!CI76</f>
        <v>1.8382833333333333</v>
      </c>
      <c r="CL31" s="63">
        <f>'Raw Datas'!CJ76</f>
        <v>1.8436444444444444</v>
      </c>
      <c r="CM31" s="63" t="str">
        <f>'Raw Datas'!CK76</f>
        <v>0</v>
      </c>
      <c r="CN31" s="63">
        <f>'Raw Datas'!CL76</f>
        <v>0.92214999999999991</v>
      </c>
      <c r="CO31" s="63">
        <f>'Raw Datas'!CM76</f>
        <v>0.49251666666666666</v>
      </c>
      <c r="CP31" s="63" t="str">
        <f>'Raw Datas'!CN76</f>
        <v>0</v>
      </c>
      <c r="CQ31" s="63">
        <f>'Raw Datas'!CO76</f>
        <v>0.30936666666666668</v>
      </c>
      <c r="CR31" s="63">
        <f>'Raw Datas'!CP76</f>
        <v>1.2778666666666667</v>
      </c>
      <c r="CS31" s="63">
        <f>'Raw Datas'!CQ76</f>
        <v>2.6540166666666662</v>
      </c>
      <c r="CT31" s="63">
        <f>'Raw Datas'!CR76</f>
        <v>6.6844833333333336</v>
      </c>
      <c r="CU31" s="63">
        <f>'Raw Datas'!CS76</f>
        <v>0.19966666666666669</v>
      </c>
      <c r="CV31" s="63">
        <f>'Raw Datas'!CT76</f>
        <v>0.14601666666666666</v>
      </c>
      <c r="CW31" s="63">
        <f>'Raw Datas'!CU76</f>
        <v>1.0203833333333334</v>
      </c>
      <c r="CX31" s="63" t="str">
        <f>'Raw Datas'!CV76</f>
        <v>0</v>
      </c>
      <c r="CY31" s="63">
        <f>'Raw Datas'!CW76</f>
        <v>0.63044999999999995</v>
      </c>
      <c r="CZ31" s="63" t="str">
        <f>'Raw Datas'!CX76</f>
        <v>0</v>
      </c>
      <c r="DA31" s="63">
        <f>'Raw Datas'!CY76</f>
        <v>2.5199833333333332</v>
      </c>
      <c r="DB31" s="63">
        <f>'Raw Datas'!CZ76</f>
        <v>0.59628333333333339</v>
      </c>
      <c r="DC31" s="63">
        <f>'Raw Datas'!DA76</f>
        <v>0.15811666666666666</v>
      </c>
      <c r="DD31" s="63">
        <f>'Raw Datas'!DB76</f>
        <v>1.4204833333333333</v>
      </c>
      <c r="DE31" s="63">
        <f>'Raw Datas'!DC76</f>
        <v>1.9972666666666663</v>
      </c>
      <c r="DF31" s="63">
        <f>'Raw Datas'!DD76</f>
        <v>0.36270000000000002</v>
      </c>
      <c r="DG31" s="63">
        <f>'Raw Datas'!DE76</f>
        <v>0.96915000000000007</v>
      </c>
      <c r="DH31" s="63">
        <f>'Raw Datas'!DF76</f>
        <v>0.44743333333333335</v>
      </c>
      <c r="DI31" s="63">
        <f>'Raw Datas'!DG76</f>
        <v>4.0343333333333335</v>
      </c>
      <c r="DJ31" s="63" t="str">
        <f>'Raw Datas'!DH76</f>
        <v>0</v>
      </c>
      <c r="DK31" s="63">
        <f>'Raw Datas'!DI76</f>
        <v>0.6808833333333334</v>
      </c>
      <c r="DL31" s="63">
        <f>'Raw Datas'!DJ76</f>
        <v>4.0781999999999998</v>
      </c>
      <c r="DM31" s="63">
        <f>'Raw Datas'!DK76</f>
        <v>2.9774999999999996</v>
      </c>
      <c r="DN31" s="63">
        <f>'Raw Datas'!DL76</f>
        <v>0.91431666666666667</v>
      </c>
      <c r="DO31" s="63">
        <f>'Raw Datas'!DM76</f>
        <v>0.46265000000000001</v>
      </c>
      <c r="DP31" s="63">
        <f>'Raw Datas'!DN76</f>
        <v>2.1691500000000001</v>
      </c>
      <c r="DQ31" s="63">
        <f>'Raw Datas'!DO76</f>
        <v>3.008033333333334</v>
      </c>
      <c r="DR31" s="63">
        <f>'Raw Datas'!DP76</f>
        <v>0.70706666666666662</v>
      </c>
      <c r="DS31" s="63">
        <f>'Raw Datas'!DQ76</f>
        <v>0.45119999999999999</v>
      </c>
      <c r="DT31" s="63">
        <f>'Raw Datas'!DR76</f>
        <v>0.15308333333333335</v>
      </c>
      <c r="DU31" s="63">
        <f>'Raw Datas'!DS76</f>
        <v>0.51493333333333335</v>
      </c>
      <c r="DV31" s="63" t="str">
        <f>'Raw Datas'!DT76</f>
        <v>0</v>
      </c>
      <c r="DW31" s="63">
        <f>'Raw Datas'!DU76</f>
        <v>1.3974666666666666</v>
      </c>
      <c r="DX31" s="63">
        <f>'Raw Datas'!DV76</f>
        <v>0.43776666666666664</v>
      </c>
      <c r="DY31" s="63">
        <f>'Raw Datas'!DW76</f>
        <v>0.67368333333333319</v>
      </c>
      <c r="DZ31" s="63">
        <f>'Raw Datas'!DX76</f>
        <v>1.2328666666666666</v>
      </c>
      <c r="EA31" s="63">
        <f>'Raw Datas'!DY76</f>
        <v>0.6735000000000001</v>
      </c>
      <c r="EB31" s="63">
        <f>'Raw Datas'!DZ76</f>
        <v>2.2971500000000002</v>
      </c>
      <c r="EC31" s="63">
        <f>'Raw Datas'!EA76</f>
        <v>0.77434999999999998</v>
      </c>
      <c r="ED31" s="63">
        <f>'Raw Datas'!EB76</f>
        <v>0.22716666666666666</v>
      </c>
      <c r="EE31" s="63">
        <f>'Raw Datas'!EC76</f>
        <v>0.44658333333333339</v>
      </c>
      <c r="EF31" s="63">
        <f>'Raw Datas'!ED76</f>
        <v>0.64408333333333334</v>
      </c>
      <c r="EG31" s="63">
        <f>'Raw Datas'!EE76</f>
        <v>0.59786666666666666</v>
      </c>
      <c r="EH31" s="63">
        <f>'Raw Datas'!EF76</f>
        <v>0.9579333333333333</v>
      </c>
      <c r="EI31" s="63">
        <f>'Raw Datas'!EG76</f>
        <v>0.74171666666666669</v>
      </c>
      <c r="EJ31" s="63">
        <f>'Raw Datas'!EH76</f>
        <v>2.9496666666666669</v>
      </c>
      <c r="EK31" s="63" t="str">
        <f>'Raw Datas'!EI76</f>
        <v>0</v>
      </c>
      <c r="EL31" s="63">
        <f>'Raw Datas'!EJ76</f>
        <v>0.82321666666666671</v>
      </c>
      <c r="EM31" s="63">
        <f>'Raw Datas'!EK76</f>
        <v>2.3511499999999996</v>
      </c>
      <c r="EN31" s="63">
        <f>'Raw Datas'!EL76</f>
        <v>3.5039333333333333</v>
      </c>
      <c r="EO31" s="63" t="str">
        <f>'Raw Datas'!EM76</f>
        <v>0</v>
      </c>
      <c r="EP31" s="63">
        <f>'Raw Datas'!EN76</f>
        <v>2.0495833333333331</v>
      </c>
      <c r="EQ31" s="63">
        <f>'Raw Datas'!EO76</f>
        <v>1.7577166666666668</v>
      </c>
      <c r="ER31" s="63">
        <f>'Raw Datas'!EP76</f>
        <v>1.5848666666666666</v>
      </c>
      <c r="ES31" s="63">
        <f>'Raw Datas'!EQ76</f>
        <v>0.35011666666666663</v>
      </c>
      <c r="ET31" s="63">
        <f>'Raw Datas'!ER76</f>
        <v>0.43198333333333327</v>
      </c>
      <c r="EU31" s="63">
        <f>'Raw Datas'!ES76</f>
        <v>0.60303333333333342</v>
      </c>
      <c r="EV31" s="63">
        <f>'Raw Datas'!ET76</f>
        <v>0.7270833333333333</v>
      </c>
      <c r="EW31" s="63">
        <f>'Raw Datas'!EU76</f>
        <v>1.4694</v>
      </c>
      <c r="EX31" s="63">
        <f>'Raw Datas'!EV76</f>
        <v>1.2329000000000001</v>
      </c>
      <c r="EY31" s="63">
        <f>'Raw Datas'!EW76</f>
        <v>0.61003333333333343</v>
      </c>
      <c r="EZ31" s="63">
        <f>'Raw Datas'!EX76</f>
        <v>1.0279833333333335</v>
      </c>
      <c r="FA31" s="63">
        <f>'Raw Datas'!EY76</f>
        <v>0.37803333333333339</v>
      </c>
      <c r="FB31" s="63">
        <f>'Raw Datas'!EZ76</f>
        <v>0.24323333333333336</v>
      </c>
      <c r="FC31" s="63">
        <f>'Raw Datas'!FA76</f>
        <v>0.17671666666666666</v>
      </c>
      <c r="FD31" s="63">
        <f>'Raw Datas'!FB76</f>
        <v>0.57658333333333334</v>
      </c>
      <c r="FE31" s="63">
        <f>'Raw Datas'!FC76</f>
        <v>0.45821666666666666</v>
      </c>
      <c r="FF31" s="63">
        <f>'Raw Datas'!FD76</f>
        <v>1.2986166666666668</v>
      </c>
      <c r="FG31" s="63" t="str">
        <f>'Raw Datas'!FE76</f>
        <v>0</v>
      </c>
      <c r="FH31" s="63">
        <f>'Raw Datas'!FF76</f>
        <v>2.0124666666666666</v>
      </c>
      <c r="FI31" s="63">
        <f>'Raw Datas'!FG76</f>
        <v>0.15875</v>
      </c>
      <c r="FJ31" s="63">
        <f>'Raw Datas'!FH76</f>
        <v>0.78733333333333333</v>
      </c>
      <c r="FK31" s="63">
        <f>'Raw Datas'!FI76</f>
        <v>2.2865500000000001</v>
      </c>
      <c r="FL31" s="63">
        <f>'Raw Datas'!FJ76</f>
        <v>0.74108333333333343</v>
      </c>
      <c r="FM31" s="63">
        <f>'Raw Datas'!FK76</f>
        <v>0.28444999999999998</v>
      </c>
      <c r="FN31" s="63" t="str">
        <f>'Raw Datas'!FL76</f>
        <v>0</v>
      </c>
      <c r="FO31" s="63" t="str">
        <f>'Raw Datas'!FM76</f>
        <v>0</v>
      </c>
      <c r="FP31" s="63">
        <f>'Raw Datas'!FN76</f>
        <v>0.85479999999999989</v>
      </c>
      <c r="FQ31" s="63">
        <f>'Raw Datas'!FO76</f>
        <v>0.12246666666666667</v>
      </c>
    </row>
    <row r="32" spans="1:173" ht="15.75" customHeight="1" x14ac:dyDescent="0.2">
      <c r="A32" s="117"/>
      <c r="B32" s="57" t="s">
        <v>18</v>
      </c>
      <c r="C32" s="104" t="s">
        <v>771</v>
      </c>
      <c r="D32" s="104"/>
      <c r="E32" s="60" t="str">
        <f>'Raw Datas'!C77</f>
        <v>0</v>
      </c>
      <c r="F32" s="63" t="str">
        <f>'Raw Datas'!D77</f>
        <v>0</v>
      </c>
      <c r="G32" s="63" t="str">
        <f>'Raw Datas'!E77</f>
        <v>0</v>
      </c>
      <c r="H32" s="63" t="str">
        <f>'Raw Datas'!F77</f>
        <v>0</v>
      </c>
      <c r="I32" s="63" t="str">
        <f>'Raw Datas'!G77</f>
        <v>0</v>
      </c>
      <c r="J32" s="63" t="str">
        <f>'Raw Datas'!H77</f>
        <v>0</v>
      </c>
      <c r="K32" s="63" t="str">
        <f>'Raw Datas'!I77</f>
        <v>0</v>
      </c>
      <c r="L32" s="63" t="str">
        <f>'Raw Datas'!J77</f>
        <v>0</v>
      </c>
      <c r="M32" s="63" t="str">
        <f>'Raw Datas'!K77</f>
        <v>0</v>
      </c>
      <c r="N32" s="63" t="str">
        <f>'Raw Datas'!L77</f>
        <v>0</v>
      </c>
      <c r="O32" s="63" t="str">
        <f>'Raw Datas'!M77</f>
        <v>0</v>
      </c>
      <c r="P32" s="63" t="str">
        <f>'Raw Datas'!N77</f>
        <v>0</v>
      </c>
      <c r="Q32" s="63" t="str">
        <f>'Raw Datas'!O77</f>
        <v>0</v>
      </c>
      <c r="R32" s="63" t="str">
        <f>'Raw Datas'!P77</f>
        <v>0</v>
      </c>
      <c r="S32" s="63" t="str">
        <f>'Raw Datas'!Q77</f>
        <v>0</v>
      </c>
      <c r="T32" s="63" t="str">
        <f>'Raw Datas'!R77</f>
        <v>0</v>
      </c>
      <c r="U32" s="63" t="str">
        <f>'Raw Datas'!S77</f>
        <v>0</v>
      </c>
      <c r="V32" s="63" t="str">
        <f>'Raw Datas'!T77</f>
        <v>0</v>
      </c>
      <c r="W32" s="63" t="str">
        <f>'Raw Datas'!U77</f>
        <v>0</v>
      </c>
      <c r="X32" s="63" t="str">
        <f>'Raw Datas'!V77</f>
        <v>0</v>
      </c>
      <c r="Y32" s="63" t="str">
        <f>'Raw Datas'!W77</f>
        <v>0</v>
      </c>
      <c r="Z32" s="63" t="str">
        <f>'Raw Datas'!X77</f>
        <v>0</v>
      </c>
      <c r="AA32" s="63" t="str">
        <f>'Raw Datas'!Y77</f>
        <v>0</v>
      </c>
      <c r="AB32" s="63" t="str">
        <f>'Raw Datas'!Z77</f>
        <v>0</v>
      </c>
      <c r="AC32" s="63" t="str">
        <f>'Raw Datas'!AA77</f>
        <v>0</v>
      </c>
      <c r="AD32" s="63" t="str">
        <f>'Raw Datas'!AB77</f>
        <v>0</v>
      </c>
      <c r="AE32" s="63" t="str">
        <f>'Raw Datas'!AC77</f>
        <v>0</v>
      </c>
      <c r="AF32" s="63" t="str">
        <f>'Raw Datas'!AD77</f>
        <v>0</v>
      </c>
      <c r="AG32" s="63" t="str">
        <f>'Raw Datas'!AE77</f>
        <v>0</v>
      </c>
      <c r="AH32" s="63" t="str">
        <f>'Raw Datas'!AF77</f>
        <v>0</v>
      </c>
      <c r="AI32" s="63" t="str">
        <f>'Raw Datas'!AG77</f>
        <v>0</v>
      </c>
      <c r="AJ32" s="63" t="str">
        <f>'Raw Datas'!AH77</f>
        <v>0</v>
      </c>
      <c r="AK32" s="63" t="str">
        <f>'Raw Datas'!AI77</f>
        <v>0</v>
      </c>
      <c r="AL32" s="63" t="str">
        <f>'Raw Datas'!AJ77</f>
        <v>0</v>
      </c>
      <c r="AM32" s="63" t="str">
        <f>'Raw Datas'!AK77</f>
        <v>0</v>
      </c>
      <c r="AN32" s="63" t="str">
        <f>'Raw Datas'!AL77</f>
        <v>0</v>
      </c>
      <c r="AO32" s="63" t="str">
        <f>'Raw Datas'!AM77</f>
        <v>0</v>
      </c>
      <c r="AP32" s="63" t="str">
        <f>'Raw Datas'!AN77</f>
        <v>0</v>
      </c>
      <c r="AQ32" s="63" t="str">
        <f>'Raw Datas'!AO77</f>
        <v>0</v>
      </c>
      <c r="AR32" s="63" t="str">
        <f>'Raw Datas'!AP77</f>
        <v>0</v>
      </c>
      <c r="AS32" s="63" t="str">
        <f>'Raw Datas'!AQ77</f>
        <v>0</v>
      </c>
      <c r="AT32" s="63" t="str">
        <f>'Raw Datas'!AR77</f>
        <v>0</v>
      </c>
      <c r="AU32" s="63" t="str">
        <f>'Raw Datas'!AS77</f>
        <v>0</v>
      </c>
      <c r="AV32" s="63" t="str">
        <f>'Raw Datas'!AT77</f>
        <v>0</v>
      </c>
      <c r="AW32" s="63" t="str">
        <f>'Raw Datas'!AU77</f>
        <v>0</v>
      </c>
      <c r="AX32" s="63" t="str">
        <f>'Raw Datas'!AV77</f>
        <v>0</v>
      </c>
      <c r="AY32" s="63" t="str">
        <f>'Raw Datas'!AW77</f>
        <v>0</v>
      </c>
      <c r="AZ32" s="63" t="str">
        <f>'Raw Datas'!AX77</f>
        <v>0</v>
      </c>
      <c r="BA32" s="63" t="str">
        <f>'Raw Datas'!AY77</f>
        <v>0</v>
      </c>
      <c r="BB32" s="63" t="str">
        <f>'Raw Datas'!AZ77</f>
        <v>0</v>
      </c>
      <c r="BC32" s="63" t="str">
        <f>'Raw Datas'!BA77</f>
        <v>0</v>
      </c>
      <c r="BD32" s="63" t="str">
        <f>'Raw Datas'!BB77</f>
        <v>0</v>
      </c>
      <c r="BE32" s="63" t="str">
        <f>'Raw Datas'!BC77</f>
        <v>0</v>
      </c>
      <c r="BF32" s="63" t="str">
        <f>'Raw Datas'!BD77</f>
        <v>0</v>
      </c>
      <c r="BG32" s="63" t="str">
        <f>'Raw Datas'!BE77</f>
        <v>0</v>
      </c>
      <c r="BH32" s="63" t="str">
        <f>'Raw Datas'!BF77</f>
        <v>0</v>
      </c>
      <c r="BI32" s="63" t="str">
        <f>'Raw Datas'!BG77</f>
        <v>0</v>
      </c>
      <c r="BJ32" s="63" t="str">
        <f>'Raw Datas'!BH77</f>
        <v>0</v>
      </c>
      <c r="BK32" s="63" t="str">
        <f>'Raw Datas'!BI77</f>
        <v>0</v>
      </c>
      <c r="BL32" s="63" t="str">
        <f>'Raw Datas'!BJ77</f>
        <v>0</v>
      </c>
      <c r="BM32" s="63" t="str">
        <f>'Raw Datas'!BK77</f>
        <v>0</v>
      </c>
      <c r="BN32" s="63" t="str">
        <f>'Raw Datas'!BL77</f>
        <v>0</v>
      </c>
      <c r="BO32" s="63" t="str">
        <f>'Raw Datas'!BM77</f>
        <v>0</v>
      </c>
      <c r="BP32" s="63" t="str">
        <f>'Raw Datas'!BN77</f>
        <v>0</v>
      </c>
      <c r="BQ32" s="63" t="str">
        <f>'Raw Datas'!BO77</f>
        <v>0</v>
      </c>
      <c r="BR32" s="63" t="str">
        <f>'Raw Datas'!BP77</f>
        <v>0</v>
      </c>
      <c r="BS32" s="63" t="str">
        <f>'Raw Datas'!BQ77</f>
        <v>0</v>
      </c>
      <c r="BT32" s="63" t="str">
        <f>'Raw Datas'!BR77</f>
        <v>0</v>
      </c>
      <c r="BU32" s="63" t="str">
        <f>'Raw Datas'!BS77</f>
        <v>0</v>
      </c>
      <c r="BV32" s="63" t="str">
        <f>'Raw Datas'!BT77</f>
        <v>0</v>
      </c>
      <c r="BW32" s="63" t="str">
        <f>'Raw Datas'!BU77</f>
        <v>0</v>
      </c>
      <c r="BX32" s="63" t="str">
        <f>'Raw Datas'!BV77</f>
        <v>0</v>
      </c>
      <c r="BY32" s="63" t="str">
        <f>'Raw Datas'!BW77</f>
        <v>0</v>
      </c>
      <c r="BZ32" s="63" t="str">
        <f>'Raw Datas'!BX77</f>
        <v>0</v>
      </c>
      <c r="CA32" s="63" t="str">
        <f>'Raw Datas'!BY77</f>
        <v>0</v>
      </c>
      <c r="CB32" s="63" t="str">
        <f>'Raw Datas'!BZ77</f>
        <v>0</v>
      </c>
      <c r="CC32" s="63" t="str">
        <f>'Raw Datas'!CA77</f>
        <v>0</v>
      </c>
      <c r="CD32" s="63" t="str">
        <f>'Raw Datas'!CB77</f>
        <v>0</v>
      </c>
      <c r="CE32" s="63" t="str">
        <f>'Raw Datas'!CC77</f>
        <v>0</v>
      </c>
      <c r="CF32" s="63" t="str">
        <f>'Raw Datas'!CD77</f>
        <v>0</v>
      </c>
      <c r="CG32" s="63" t="str">
        <f>'Raw Datas'!CE77</f>
        <v>0</v>
      </c>
      <c r="CH32" s="63" t="str">
        <f>'Raw Datas'!CF77</f>
        <v>0</v>
      </c>
      <c r="CI32" s="63" t="str">
        <f>'Raw Datas'!CG77</f>
        <v>0</v>
      </c>
      <c r="CJ32" s="63" t="str">
        <f>'Raw Datas'!CH77</f>
        <v>0</v>
      </c>
      <c r="CK32" s="63" t="str">
        <f>'Raw Datas'!CI77</f>
        <v>0</v>
      </c>
      <c r="CL32" s="63" t="str">
        <f>'Raw Datas'!CJ77</f>
        <v>0</v>
      </c>
      <c r="CM32" s="63" t="str">
        <f>'Raw Datas'!CK77</f>
        <v>0</v>
      </c>
      <c r="CN32" s="63" t="str">
        <f>'Raw Datas'!CL77</f>
        <v>0</v>
      </c>
      <c r="CO32" s="63" t="str">
        <f>'Raw Datas'!CM77</f>
        <v>0</v>
      </c>
      <c r="CP32" s="63" t="str">
        <f>'Raw Datas'!CN77</f>
        <v>0</v>
      </c>
      <c r="CQ32" s="63" t="str">
        <f>'Raw Datas'!CO77</f>
        <v>0</v>
      </c>
      <c r="CR32" s="63" t="str">
        <f>'Raw Datas'!CP77</f>
        <v>0</v>
      </c>
      <c r="CS32" s="63" t="str">
        <f>'Raw Datas'!CQ77</f>
        <v>0</v>
      </c>
      <c r="CT32" s="63" t="str">
        <f>'Raw Datas'!CR77</f>
        <v>0</v>
      </c>
      <c r="CU32" s="63" t="str">
        <f>'Raw Datas'!CS77</f>
        <v>0</v>
      </c>
      <c r="CV32" s="63" t="str">
        <f>'Raw Datas'!CT77</f>
        <v>0</v>
      </c>
      <c r="CW32" s="63" t="str">
        <f>'Raw Datas'!CU77</f>
        <v>0</v>
      </c>
      <c r="CX32" s="63" t="str">
        <f>'Raw Datas'!CV77</f>
        <v>0</v>
      </c>
      <c r="CY32" s="63" t="str">
        <f>'Raw Datas'!CW77</f>
        <v>0</v>
      </c>
      <c r="CZ32" s="63" t="str">
        <f>'Raw Datas'!CX77</f>
        <v>0</v>
      </c>
      <c r="DA32" s="63" t="str">
        <f>'Raw Datas'!CY77</f>
        <v>0</v>
      </c>
      <c r="DB32" s="63" t="str">
        <f>'Raw Datas'!CZ77</f>
        <v>0</v>
      </c>
      <c r="DC32" s="63" t="str">
        <f>'Raw Datas'!DA77</f>
        <v>0</v>
      </c>
      <c r="DD32" s="63" t="str">
        <f>'Raw Datas'!DB77</f>
        <v>0</v>
      </c>
      <c r="DE32" s="63" t="str">
        <f>'Raw Datas'!DC77</f>
        <v>0</v>
      </c>
      <c r="DF32" s="63" t="str">
        <f>'Raw Datas'!DD77</f>
        <v>0</v>
      </c>
      <c r="DG32" s="63" t="str">
        <f>'Raw Datas'!DE77</f>
        <v>0</v>
      </c>
      <c r="DH32" s="63" t="str">
        <f>'Raw Datas'!DF77</f>
        <v>0</v>
      </c>
      <c r="DI32" s="63" t="str">
        <f>'Raw Datas'!DG77</f>
        <v>0</v>
      </c>
      <c r="DJ32" s="63" t="str">
        <f>'Raw Datas'!DH77</f>
        <v>0</v>
      </c>
      <c r="DK32" s="63" t="str">
        <f>'Raw Datas'!DI77</f>
        <v>0</v>
      </c>
      <c r="DL32" s="63" t="str">
        <f>'Raw Datas'!DJ77</f>
        <v>0</v>
      </c>
      <c r="DM32" s="63" t="str">
        <f>'Raw Datas'!DK77</f>
        <v>0</v>
      </c>
      <c r="DN32" s="63" t="str">
        <f>'Raw Datas'!DL77</f>
        <v>0</v>
      </c>
      <c r="DO32" s="63" t="str">
        <f>'Raw Datas'!DM77</f>
        <v>0</v>
      </c>
      <c r="DP32" s="63" t="str">
        <f>'Raw Datas'!DN77</f>
        <v>0</v>
      </c>
      <c r="DQ32" s="63" t="str">
        <f>'Raw Datas'!DO77</f>
        <v>0</v>
      </c>
      <c r="DR32" s="63" t="str">
        <f>'Raw Datas'!DP77</f>
        <v>0</v>
      </c>
      <c r="DS32" s="63" t="str">
        <f>'Raw Datas'!DQ77</f>
        <v>0</v>
      </c>
      <c r="DT32" s="63" t="str">
        <f>'Raw Datas'!DR77</f>
        <v>0</v>
      </c>
      <c r="DU32" s="63" t="str">
        <f>'Raw Datas'!DS77</f>
        <v>0</v>
      </c>
      <c r="DV32" s="63" t="str">
        <f>'Raw Datas'!DT77</f>
        <v>0</v>
      </c>
      <c r="DW32" s="63" t="str">
        <f>'Raw Datas'!DU77</f>
        <v>0</v>
      </c>
      <c r="DX32" s="63" t="str">
        <f>'Raw Datas'!DV77</f>
        <v>0</v>
      </c>
      <c r="DY32" s="63" t="str">
        <f>'Raw Datas'!DW77</f>
        <v>0</v>
      </c>
      <c r="DZ32" s="63" t="str">
        <f>'Raw Datas'!DX77</f>
        <v>0</v>
      </c>
      <c r="EA32" s="63" t="str">
        <f>'Raw Datas'!DY77</f>
        <v>0</v>
      </c>
      <c r="EB32" s="63" t="str">
        <f>'Raw Datas'!DZ77</f>
        <v>0</v>
      </c>
      <c r="EC32" s="63" t="str">
        <f>'Raw Datas'!EA77</f>
        <v>0</v>
      </c>
      <c r="ED32" s="63" t="str">
        <f>'Raw Datas'!EB77</f>
        <v>0</v>
      </c>
      <c r="EE32" s="63" t="str">
        <f>'Raw Datas'!EC77</f>
        <v>0</v>
      </c>
      <c r="EF32" s="63" t="str">
        <f>'Raw Datas'!ED77</f>
        <v>0</v>
      </c>
      <c r="EG32" s="63" t="str">
        <f>'Raw Datas'!EE77</f>
        <v>0</v>
      </c>
      <c r="EH32" s="63" t="str">
        <f>'Raw Datas'!EF77</f>
        <v>0</v>
      </c>
      <c r="EI32" s="63" t="str">
        <f>'Raw Datas'!EG77</f>
        <v>0</v>
      </c>
      <c r="EJ32" s="63" t="str">
        <f>'Raw Datas'!EH77</f>
        <v>0</v>
      </c>
      <c r="EK32" s="63" t="str">
        <f>'Raw Datas'!EI77</f>
        <v>0</v>
      </c>
      <c r="EL32" s="63" t="str">
        <f>'Raw Datas'!EJ77</f>
        <v>0</v>
      </c>
      <c r="EM32" s="63" t="str">
        <f>'Raw Datas'!EK77</f>
        <v>0</v>
      </c>
      <c r="EN32" s="63" t="str">
        <f>'Raw Datas'!EL77</f>
        <v>0</v>
      </c>
      <c r="EO32" s="63" t="str">
        <f>'Raw Datas'!EM77</f>
        <v>0</v>
      </c>
      <c r="EP32" s="63" t="str">
        <f>'Raw Datas'!EN77</f>
        <v>0</v>
      </c>
      <c r="EQ32" s="63" t="str">
        <f>'Raw Datas'!EO77</f>
        <v>0</v>
      </c>
      <c r="ER32" s="63" t="str">
        <f>'Raw Datas'!EP77</f>
        <v>0</v>
      </c>
      <c r="ES32" s="63" t="str">
        <f>'Raw Datas'!EQ77</f>
        <v>0</v>
      </c>
      <c r="ET32" s="63" t="str">
        <f>'Raw Datas'!ER77</f>
        <v>0</v>
      </c>
      <c r="EU32" s="63" t="str">
        <f>'Raw Datas'!ES77</f>
        <v>0</v>
      </c>
      <c r="EV32" s="63" t="str">
        <f>'Raw Datas'!ET77</f>
        <v>0</v>
      </c>
      <c r="EW32" s="63" t="str">
        <f>'Raw Datas'!EU77</f>
        <v>0</v>
      </c>
      <c r="EX32" s="63" t="str">
        <f>'Raw Datas'!EV77</f>
        <v>0</v>
      </c>
      <c r="EY32" s="63" t="str">
        <f>'Raw Datas'!EW77</f>
        <v>0</v>
      </c>
      <c r="EZ32" s="63" t="str">
        <f>'Raw Datas'!EX77</f>
        <v>0</v>
      </c>
      <c r="FA32" s="63" t="str">
        <f>'Raw Datas'!EY77</f>
        <v>0</v>
      </c>
      <c r="FB32" s="63" t="str">
        <f>'Raw Datas'!EZ77</f>
        <v>0</v>
      </c>
      <c r="FC32" s="63" t="str">
        <f>'Raw Datas'!FA77</f>
        <v>0</v>
      </c>
      <c r="FD32" s="63" t="str">
        <f>'Raw Datas'!FB77</f>
        <v>0</v>
      </c>
      <c r="FE32" s="63" t="str">
        <f>'Raw Datas'!FC77</f>
        <v>0</v>
      </c>
      <c r="FF32" s="63" t="str">
        <f>'Raw Datas'!FD77</f>
        <v>0</v>
      </c>
      <c r="FG32" s="63" t="str">
        <f>'Raw Datas'!FE77</f>
        <v>0</v>
      </c>
      <c r="FH32" s="63" t="str">
        <f>'Raw Datas'!FF77</f>
        <v>0</v>
      </c>
      <c r="FI32" s="63" t="str">
        <f>'Raw Datas'!FG77</f>
        <v>0</v>
      </c>
      <c r="FJ32" s="63" t="str">
        <f>'Raw Datas'!FH77</f>
        <v>0</v>
      </c>
      <c r="FK32" s="63" t="str">
        <f>'Raw Datas'!FI77</f>
        <v>0</v>
      </c>
      <c r="FL32" s="63" t="str">
        <f>'Raw Datas'!FJ77</f>
        <v>0</v>
      </c>
      <c r="FM32" s="63" t="str">
        <f>'Raw Datas'!FK77</f>
        <v>0</v>
      </c>
      <c r="FN32" s="63" t="str">
        <f>'Raw Datas'!FL77</f>
        <v>0</v>
      </c>
      <c r="FO32" s="63" t="str">
        <f>'Raw Datas'!FM77</f>
        <v>0</v>
      </c>
      <c r="FP32" s="63" t="str">
        <f>'Raw Datas'!FN77</f>
        <v>0</v>
      </c>
      <c r="FQ32" s="63" t="str">
        <f>'Raw Datas'!FO77</f>
        <v>0</v>
      </c>
    </row>
    <row r="33" spans="1:16092" ht="15.75" customHeight="1" x14ac:dyDescent="0.2">
      <c r="A33" s="117"/>
      <c r="B33" s="57" t="s">
        <v>15</v>
      </c>
      <c r="C33" s="104" t="s">
        <v>748</v>
      </c>
      <c r="D33" s="104"/>
      <c r="E33" s="60" t="str">
        <f>'Raw Datas'!C78</f>
        <v>0</v>
      </c>
      <c r="F33" s="63">
        <f>'Raw Datas'!D78</f>
        <v>0.17503333333333335</v>
      </c>
      <c r="G33" s="63" t="str">
        <f>'Raw Datas'!E78</f>
        <v>0</v>
      </c>
      <c r="H33" s="63">
        <f>'Raw Datas'!F78</f>
        <v>1.0163666666666666</v>
      </c>
      <c r="I33" s="63">
        <f>'Raw Datas'!G78</f>
        <v>0.11028333333333332</v>
      </c>
      <c r="J33" s="63">
        <f>'Raw Datas'!H78</f>
        <v>0.26415</v>
      </c>
      <c r="K33" s="63">
        <f>'Raw Datas'!I78</f>
        <v>0.20269999999999999</v>
      </c>
      <c r="L33" s="63">
        <f>'Raw Datas'!J78</f>
        <v>0.18293333333333331</v>
      </c>
      <c r="M33" s="63" t="str">
        <f>'Raw Datas'!K78</f>
        <v>0</v>
      </c>
      <c r="N33" s="63" t="str">
        <f>'Raw Datas'!L78</f>
        <v>0</v>
      </c>
      <c r="O33" s="63" t="str">
        <f>'Raw Datas'!M78</f>
        <v>0</v>
      </c>
      <c r="P33" s="63" t="str">
        <f>'Raw Datas'!N78</f>
        <v>0</v>
      </c>
      <c r="Q33" s="63" t="str">
        <f>'Raw Datas'!O78</f>
        <v>0</v>
      </c>
      <c r="R33" s="63" t="str">
        <f>'Raw Datas'!P78</f>
        <v>0</v>
      </c>
      <c r="S33" s="63" t="str">
        <f>'Raw Datas'!Q78</f>
        <v>0</v>
      </c>
      <c r="T33" s="63">
        <f>'Raw Datas'!R78</f>
        <v>3.9592666666666667</v>
      </c>
      <c r="U33" s="63" t="str">
        <f>'Raw Datas'!S78</f>
        <v>0</v>
      </c>
      <c r="V33" s="63" t="str">
        <f>'Raw Datas'!T78</f>
        <v>0</v>
      </c>
      <c r="W33" s="63">
        <f>'Raw Datas'!U78</f>
        <v>0.28851666666666664</v>
      </c>
      <c r="X33" s="63" t="str">
        <f>'Raw Datas'!V78</f>
        <v>0</v>
      </c>
      <c r="Y33" s="63">
        <f>'Raw Datas'!W78</f>
        <v>0.23374285714285717</v>
      </c>
      <c r="Z33" s="63" t="str">
        <f>'Raw Datas'!X78</f>
        <v>0</v>
      </c>
      <c r="AA33" s="63" t="str">
        <f>'Raw Datas'!Y78</f>
        <v>0</v>
      </c>
      <c r="AB33" s="63" t="str">
        <f>'Raw Datas'!Z78</f>
        <v>0</v>
      </c>
      <c r="AC33" s="63" t="str">
        <f>'Raw Datas'!AA78</f>
        <v>0</v>
      </c>
      <c r="AD33" s="63" t="str">
        <f>'Raw Datas'!AB78</f>
        <v>0</v>
      </c>
      <c r="AE33" s="63">
        <f>'Raw Datas'!AC78</f>
        <v>0.65368333333333328</v>
      </c>
      <c r="AF33" s="63">
        <f>'Raw Datas'!AD78</f>
        <v>0.34768333333333334</v>
      </c>
      <c r="AG33" s="63" t="str">
        <f>'Raw Datas'!AE78</f>
        <v>0</v>
      </c>
      <c r="AH33" s="63" t="str">
        <f>'Raw Datas'!AF78</f>
        <v>0</v>
      </c>
      <c r="AI33" s="63">
        <f>'Raw Datas'!AG78</f>
        <v>0.2769833333333333</v>
      </c>
      <c r="AJ33" s="63" t="str">
        <f>'Raw Datas'!AH78</f>
        <v>0</v>
      </c>
      <c r="AK33" s="63" t="str">
        <f>'Raw Datas'!AI78</f>
        <v>0</v>
      </c>
      <c r="AL33" s="63" t="str">
        <f>'Raw Datas'!AJ78</f>
        <v>0</v>
      </c>
      <c r="AM33" s="63">
        <f>'Raw Datas'!AK78</f>
        <v>0.24083333333333334</v>
      </c>
      <c r="AN33" s="63" t="str">
        <f>'Raw Datas'!AL78</f>
        <v>0</v>
      </c>
      <c r="AO33" s="63" t="str">
        <f>'Raw Datas'!AM78</f>
        <v>0</v>
      </c>
      <c r="AP33" s="63">
        <f>'Raw Datas'!AN78</f>
        <v>0.40183333333333332</v>
      </c>
      <c r="AQ33" s="63">
        <f>'Raw Datas'!AO78</f>
        <v>0.10483333333333333</v>
      </c>
      <c r="AR33" s="63" t="str">
        <f>'Raw Datas'!AP78</f>
        <v>0</v>
      </c>
      <c r="AS33" s="63">
        <f>'Raw Datas'!AQ78</f>
        <v>0.25495000000000001</v>
      </c>
      <c r="AT33" s="63">
        <f>'Raw Datas'!AR78</f>
        <v>2.7949999999999996E-2</v>
      </c>
      <c r="AU33" s="63">
        <f>'Raw Datas'!AS78</f>
        <v>1.0163</v>
      </c>
      <c r="AV33" s="63">
        <f>'Raw Datas'!AT78</f>
        <v>0.39296666666666674</v>
      </c>
      <c r="AW33" s="63" t="str">
        <f>'Raw Datas'!AU78</f>
        <v>0</v>
      </c>
      <c r="AX33" s="63">
        <f>'Raw Datas'!AV78</f>
        <v>0.20480000000000001</v>
      </c>
      <c r="AY33" s="63" t="str">
        <f>'Raw Datas'!AW78</f>
        <v>0</v>
      </c>
      <c r="AZ33" s="63" t="str">
        <f>'Raw Datas'!AX78</f>
        <v>0</v>
      </c>
      <c r="BA33" s="63">
        <f>'Raw Datas'!AY78</f>
        <v>0.28663333333333335</v>
      </c>
      <c r="BB33" s="63">
        <f>'Raw Datas'!AZ78</f>
        <v>5.2000000000000005E-2</v>
      </c>
      <c r="BC33" s="63">
        <f>'Raw Datas'!BA78</f>
        <v>6.0983333333333327E-2</v>
      </c>
      <c r="BD33" s="63" t="str">
        <f>'Raw Datas'!BB78</f>
        <v>0</v>
      </c>
      <c r="BE33" s="63">
        <f>'Raw Datas'!BC78</f>
        <v>0.13216666666666668</v>
      </c>
      <c r="BF33" s="63">
        <f>'Raw Datas'!BD78</f>
        <v>0.49054999999999999</v>
      </c>
      <c r="BG33" s="63" t="str">
        <f>'Raw Datas'!BE78</f>
        <v>0</v>
      </c>
      <c r="BH33" s="63" t="str">
        <f>'Raw Datas'!BF78</f>
        <v>0</v>
      </c>
      <c r="BI33" s="63" t="str">
        <f>'Raw Datas'!BG78</f>
        <v>0</v>
      </c>
      <c r="BJ33" s="63">
        <f>'Raw Datas'!BH78</f>
        <v>0.34548333333333336</v>
      </c>
      <c r="BK33" s="63" t="str">
        <f>'Raw Datas'!BI78</f>
        <v>0</v>
      </c>
      <c r="BL33" s="63" t="str">
        <f>'Raw Datas'!BJ78</f>
        <v>0</v>
      </c>
      <c r="BM33" s="63" t="str">
        <f>'Raw Datas'!BK78</f>
        <v>0</v>
      </c>
      <c r="BN33" s="63">
        <f>'Raw Datas'!BL78</f>
        <v>3.6180666666666665</v>
      </c>
      <c r="BO33" s="63">
        <f>'Raw Datas'!BM78</f>
        <v>1.2374857142857143</v>
      </c>
      <c r="BP33" s="63">
        <f>'Raw Datas'!BN78</f>
        <v>4.8739000000000008</v>
      </c>
      <c r="BQ33" s="63">
        <f>'Raw Datas'!BO78</f>
        <v>1.6492333333333336</v>
      </c>
      <c r="BR33" s="63">
        <f>'Raw Datas'!BP78</f>
        <v>1.9778166666666666</v>
      </c>
      <c r="BS33" s="63" t="str">
        <f>'Raw Datas'!BQ78</f>
        <v>0</v>
      </c>
      <c r="BT33" s="63" t="str">
        <f>'Raw Datas'!BR78</f>
        <v>0</v>
      </c>
      <c r="BU33" s="63">
        <f>'Raw Datas'!BS78</f>
        <v>1.1549833333333335</v>
      </c>
      <c r="BV33" s="63">
        <f>'Raw Datas'!BT78</f>
        <v>1.2461</v>
      </c>
      <c r="BW33" s="63">
        <f>'Raw Datas'!BU78</f>
        <v>0.5054833333333334</v>
      </c>
      <c r="BX33" s="63" t="str">
        <f>'Raw Datas'!BV78</f>
        <v>0</v>
      </c>
      <c r="BY33" s="63">
        <f>'Raw Datas'!BW78</f>
        <v>0.22511666666666666</v>
      </c>
      <c r="BZ33" s="63">
        <f>'Raw Datas'!BX78</f>
        <v>0.11828333333333332</v>
      </c>
      <c r="CA33" s="63" t="str">
        <f>'Raw Datas'!BY78</f>
        <v>0</v>
      </c>
      <c r="CB33" s="63" t="str">
        <f>'Raw Datas'!BZ78</f>
        <v>0</v>
      </c>
      <c r="CC33" s="63">
        <f>'Raw Datas'!CA78</f>
        <v>0.42509999999999998</v>
      </c>
      <c r="CD33" s="63" t="str">
        <f>'Raw Datas'!CB78</f>
        <v>0</v>
      </c>
      <c r="CE33" s="63">
        <f>'Raw Datas'!CC78</f>
        <v>0.14618333333333336</v>
      </c>
      <c r="CF33" s="63" t="str">
        <f>'Raw Datas'!CD78</f>
        <v>0</v>
      </c>
      <c r="CG33" s="63">
        <f>'Raw Datas'!CE78</f>
        <v>0.51119999999999999</v>
      </c>
      <c r="CH33" s="63">
        <f>'Raw Datas'!CF78</f>
        <v>6.5033333333333332E-2</v>
      </c>
      <c r="CI33" s="63" t="str">
        <f>'Raw Datas'!CG78</f>
        <v>0</v>
      </c>
      <c r="CJ33" s="63" t="str">
        <f>'Raw Datas'!CH78</f>
        <v>0</v>
      </c>
      <c r="CK33" s="63" t="str">
        <f>'Raw Datas'!CI78</f>
        <v>0</v>
      </c>
      <c r="CL33" s="63" t="str">
        <f>'Raw Datas'!CJ78</f>
        <v>0</v>
      </c>
      <c r="CM33" s="63">
        <f>'Raw Datas'!CK78</f>
        <v>8.5933333333333334E-2</v>
      </c>
      <c r="CN33" s="63">
        <f>'Raw Datas'!CL78</f>
        <v>0.4343833333333334</v>
      </c>
      <c r="CO33" s="63">
        <f>'Raw Datas'!CM78</f>
        <v>0.3217166666666666</v>
      </c>
      <c r="CP33" s="63">
        <f>'Raw Datas'!CN78</f>
        <v>0.13675000000000001</v>
      </c>
      <c r="CQ33" s="63" t="str">
        <f>'Raw Datas'!CO78</f>
        <v>0</v>
      </c>
      <c r="CR33" s="63">
        <f>'Raw Datas'!CP78</f>
        <v>0.12281666666666666</v>
      </c>
      <c r="CS33" s="63">
        <f>'Raw Datas'!CQ78</f>
        <v>0.38356666666666672</v>
      </c>
      <c r="CT33" s="63">
        <f>'Raw Datas'!CR78</f>
        <v>1.1779166666666667</v>
      </c>
      <c r="CU33" s="63" t="str">
        <f>'Raw Datas'!CS78</f>
        <v>0</v>
      </c>
      <c r="CV33" s="63" t="str">
        <f>'Raw Datas'!CT78</f>
        <v>0</v>
      </c>
      <c r="CW33" s="63">
        <f>'Raw Datas'!CU78</f>
        <v>0.28238333333333332</v>
      </c>
      <c r="CX33" s="63">
        <f>'Raw Datas'!CV78</f>
        <v>0.32271666666666665</v>
      </c>
      <c r="CY33" s="63" t="str">
        <f>'Raw Datas'!CW78</f>
        <v>0</v>
      </c>
      <c r="CZ33" s="63" t="str">
        <f>'Raw Datas'!CX78</f>
        <v>0</v>
      </c>
      <c r="DA33" s="63" t="str">
        <f>'Raw Datas'!CY78</f>
        <v>0</v>
      </c>
      <c r="DB33" s="63">
        <f>'Raw Datas'!CZ78</f>
        <v>2.6249999999999999E-2</v>
      </c>
      <c r="DC33" s="63" t="str">
        <f>'Raw Datas'!DA78</f>
        <v>0</v>
      </c>
      <c r="DD33" s="63" t="str">
        <f>'Raw Datas'!DB78</f>
        <v>0</v>
      </c>
      <c r="DE33" s="63" t="str">
        <f>'Raw Datas'!DC78</f>
        <v>0</v>
      </c>
      <c r="DF33" s="63">
        <f>'Raw Datas'!DD78</f>
        <v>0.78856666666666664</v>
      </c>
      <c r="DG33" s="63" t="str">
        <f>'Raw Datas'!DE78</f>
        <v>0</v>
      </c>
      <c r="DH33" s="63" t="str">
        <f>'Raw Datas'!DF78</f>
        <v>0</v>
      </c>
      <c r="DI33" s="63">
        <f>'Raw Datas'!DG78</f>
        <v>0.48364999999999997</v>
      </c>
      <c r="DJ33" s="63">
        <f>'Raw Datas'!DH78</f>
        <v>5.0816666666666663E-2</v>
      </c>
      <c r="DK33" s="63" t="str">
        <f>'Raw Datas'!DI78</f>
        <v>0</v>
      </c>
      <c r="DL33" s="63" t="str">
        <f>'Raw Datas'!DJ78</f>
        <v>0</v>
      </c>
      <c r="DM33" s="63">
        <f>'Raw Datas'!DK78</f>
        <v>0.18053333333333332</v>
      </c>
      <c r="DN33" s="63" t="str">
        <f>'Raw Datas'!DL78</f>
        <v>0</v>
      </c>
      <c r="DO33" s="63" t="str">
        <f>'Raw Datas'!DM78</f>
        <v>0</v>
      </c>
      <c r="DP33" s="63" t="str">
        <f>'Raw Datas'!DN78</f>
        <v>0</v>
      </c>
      <c r="DQ33" s="63">
        <f>'Raw Datas'!DO78</f>
        <v>0.34984999999999999</v>
      </c>
      <c r="DR33" s="63">
        <f>'Raw Datas'!DP78</f>
        <v>8.2116666666666671E-2</v>
      </c>
      <c r="DS33" s="63" t="str">
        <f>'Raw Datas'!DQ78</f>
        <v>0</v>
      </c>
      <c r="DT33" s="63" t="str">
        <f>'Raw Datas'!DR78</f>
        <v>0</v>
      </c>
      <c r="DU33" s="63">
        <f>'Raw Datas'!DS78</f>
        <v>0.17476666666666668</v>
      </c>
      <c r="DV33" s="63" t="str">
        <f>'Raw Datas'!DT78</f>
        <v>0</v>
      </c>
      <c r="DW33" s="63" t="str">
        <f>'Raw Datas'!DU78</f>
        <v>0</v>
      </c>
      <c r="DX33" s="63">
        <f>'Raw Datas'!DV78</f>
        <v>0.13248333333333334</v>
      </c>
      <c r="DY33" s="63">
        <f>'Raw Datas'!DW78</f>
        <v>0.1844166666666667</v>
      </c>
      <c r="DZ33" s="63" t="str">
        <f>'Raw Datas'!DX78</f>
        <v>0</v>
      </c>
      <c r="EA33" s="63" t="str">
        <f>'Raw Datas'!DY78</f>
        <v>0</v>
      </c>
      <c r="EB33" s="63" t="str">
        <f>'Raw Datas'!DZ78</f>
        <v>0</v>
      </c>
      <c r="EC33" s="63">
        <f>'Raw Datas'!EA78</f>
        <v>0.25935000000000002</v>
      </c>
      <c r="ED33" s="63" t="str">
        <f>'Raw Datas'!EB78</f>
        <v>0</v>
      </c>
      <c r="EE33" s="63" t="str">
        <f>'Raw Datas'!EC78</f>
        <v>0</v>
      </c>
      <c r="EF33" s="63">
        <f>'Raw Datas'!ED78</f>
        <v>0.13276666666666664</v>
      </c>
      <c r="EG33" s="63" t="str">
        <f>'Raw Datas'!EE78</f>
        <v>0</v>
      </c>
      <c r="EH33" s="63" t="str">
        <f>'Raw Datas'!EF78</f>
        <v>0</v>
      </c>
      <c r="EI33" s="63" t="str">
        <f>'Raw Datas'!EG78</f>
        <v>0</v>
      </c>
      <c r="EJ33" s="63">
        <f>'Raw Datas'!EH78</f>
        <v>0.11183333333333335</v>
      </c>
      <c r="EK33" s="63" t="str">
        <f>'Raw Datas'!EI78</f>
        <v>0</v>
      </c>
      <c r="EL33" s="63" t="str">
        <f>'Raw Datas'!EJ78</f>
        <v>0</v>
      </c>
      <c r="EM33" s="63">
        <f>'Raw Datas'!EK78</f>
        <v>0.57071666666666665</v>
      </c>
      <c r="EN33" s="63">
        <f>'Raw Datas'!EL78</f>
        <v>9.9733333333333327E-2</v>
      </c>
      <c r="EO33" s="63" t="str">
        <f>'Raw Datas'!EM78</f>
        <v>0</v>
      </c>
      <c r="EP33" s="63" t="str">
        <f>'Raw Datas'!EN78</f>
        <v>0</v>
      </c>
      <c r="EQ33" s="63" t="str">
        <f>'Raw Datas'!EO78</f>
        <v>0</v>
      </c>
      <c r="ER33" s="63">
        <f>'Raw Datas'!EP78</f>
        <v>9.6966666666666659E-2</v>
      </c>
      <c r="ES33" s="63">
        <f>'Raw Datas'!EQ78</f>
        <v>0.29378333333333334</v>
      </c>
      <c r="ET33" s="63">
        <f>'Raw Datas'!ER78</f>
        <v>4.8183333333333335E-2</v>
      </c>
      <c r="EU33" s="63">
        <f>'Raw Datas'!ES78</f>
        <v>0.26056666666666667</v>
      </c>
      <c r="EV33" s="63">
        <f>'Raw Datas'!ET78</f>
        <v>6.8066666666666664E-2</v>
      </c>
      <c r="EW33" s="63">
        <f>'Raw Datas'!EU78</f>
        <v>0.28661666666666663</v>
      </c>
      <c r="EX33" s="63" t="str">
        <f>'Raw Datas'!EV78</f>
        <v>0</v>
      </c>
      <c r="EY33" s="63" t="str">
        <f>'Raw Datas'!EW78</f>
        <v>0</v>
      </c>
      <c r="EZ33" s="63">
        <f>'Raw Datas'!EX78</f>
        <v>0.47283333333333333</v>
      </c>
      <c r="FA33" s="63">
        <f>'Raw Datas'!EY78</f>
        <v>0.31393333333333329</v>
      </c>
      <c r="FB33" s="63" t="str">
        <f>'Raw Datas'!EZ78</f>
        <v>0</v>
      </c>
      <c r="FC33" s="63" t="str">
        <f>'Raw Datas'!FA78</f>
        <v>0</v>
      </c>
      <c r="FD33" s="63" t="str">
        <f>'Raw Datas'!FB78</f>
        <v>0</v>
      </c>
      <c r="FE33" s="63">
        <f>'Raw Datas'!FC78</f>
        <v>0.11863333333333334</v>
      </c>
      <c r="FF33" s="63" t="str">
        <f>'Raw Datas'!FD78</f>
        <v>0</v>
      </c>
      <c r="FG33" s="63" t="str">
        <f>'Raw Datas'!FE78</f>
        <v>0</v>
      </c>
      <c r="FH33" s="63">
        <f>'Raw Datas'!FF78</f>
        <v>0.61616666666666664</v>
      </c>
      <c r="FI33" s="63">
        <f>'Raw Datas'!FG78</f>
        <v>9.501666666666668E-2</v>
      </c>
      <c r="FJ33" s="63" t="str">
        <f>'Raw Datas'!FH78</f>
        <v>0</v>
      </c>
      <c r="FK33" s="63">
        <f>'Raw Datas'!FI78</f>
        <v>0.18573333333333333</v>
      </c>
      <c r="FL33" s="63">
        <f>'Raw Datas'!FJ78</f>
        <v>0.54249999999999998</v>
      </c>
      <c r="FM33" s="63" t="str">
        <f>'Raw Datas'!FK78</f>
        <v>0</v>
      </c>
      <c r="FN33" s="63" t="str">
        <f>'Raw Datas'!FL78</f>
        <v>0</v>
      </c>
      <c r="FO33" s="63" t="str">
        <f>'Raw Datas'!FM78</f>
        <v>0</v>
      </c>
      <c r="FP33" s="63" t="str">
        <f>'Raw Datas'!FN78</f>
        <v>0</v>
      </c>
      <c r="FQ33" s="63">
        <f>'Raw Datas'!FO78</f>
        <v>7.406666666666667E-2</v>
      </c>
    </row>
    <row r="34" spans="1:16092" ht="15.75" customHeight="1" x14ac:dyDescent="0.2">
      <c r="A34" s="117"/>
      <c r="B34" s="57" t="s">
        <v>19</v>
      </c>
      <c r="C34" s="104" t="s">
        <v>770</v>
      </c>
      <c r="D34" s="104" t="s">
        <v>219</v>
      </c>
      <c r="E34" s="60" t="str">
        <f>'Raw Datas'!C79</f>
        <v>0</v>
      </c>
      <c r="F34" s="63" t="str">
        <f>'Raw Datas'!D79</f>
        <v>0</v>
      </c>
      <c r="G34" s="63" t="str">
        <f>'Raw Datas'!E79</f>
        <v>0</v>
      </c>
      <c r="H34" s="63" t="str">
        <f>'Raw Datas'!F79</f>
        <v>0</v>
      </c>
      <c r="I34" s="63" t="str">
        <f>'Raw Datas'!G79</f>
        <v>0</v>
      </c>
      <c r="J34" s="63" t="str">
        <f>'Raw Datas'!H79</f>
        <v>0</v>
      </c>
      <c r="K34" s="63" t="str">
        <f>'Raw Datas'!I79</f>
        <v>0</v>
      </c>
      <c r="L34" s="63" t="str">
        <f>'Raw Datas'!J79</f>
        <v>0</v>
      </c>
      <c r="M34" s="63" t="str">
        <f>'Raw Datas'!K79</f>
        <v>0</v>
      </c>
      <c r="N34" s="63" t="str">
        <f>'Raw Datas'!L79</f>
        <v>0</v>
      </c>
      <c r="O34" s="63" t="str">
        <f>'Raw Datas'!M79</f>
        <v>0</v>
      </c>
      <c r="P34" s="63" t="str">
        <f>'Raw Datas'!N79</f>
        <v>0</v>
      </c>
      <c r="Q34" s="63" t="str">
        <f>'Raw Datas'!O79</f>
        <v>0</v>
      </c>
      <c r="R34" s="63" t="str">
        <f>'Raw Datas'!P79</f>
        <v>0</v>
      </c>
      <c r="S34" s="63" t="str">
        <f>'Raw Datas'!Q79</f>
        <v>0</v>
      </c>
      <c r="T34" s="63" t="str">
        <f>'Raw Datas'!R79</f>
        <v>0</v>
      </c>
      <c r="U34" s="63" t="str">
        <f>'Raw Datas'!S79</f>
        <v>0</v>
      </c>
      <c r="V34" s="63" t="str">
        <f>'Raw Datas'!T79</f>
        <v>0</v>
      </c>
      <c r="W34" s="63" t="str">
        <f>'Raw Datas'!U79</f>
        <v>0</v>
      </c>
      <c r="X34" s="63" t="str">
        <f>'Raw Datas'!V79</f>
        <v>0</v>
      </c>
      <c r="Y34" s="63" t="str">
        <f>'Raw Datas'!W79</f>
        <v>0</v>
      </c>
      <c r="Z34" s="63" t="str">
        <f>'Raw Datas'!X79</f>
        <v>0</v>
      </c>
      <c r="AA34" s="63" t="str">
        <f>'Raw Datas'!Y79</f>
        <v>0</v>
      </c>
      <c r="AB34" s="63" t="str">
        <f>'Raw Datas'!Z79</f>
        <v>0</v>
      </c>
      <c r="AC34" s="63" t="str">
        <f>'Raw Datas'!AA79</f>
        <v>0</v>
      </c>
      <c r="AD34" s="63" t="str">
        <f>'Raw Datas'!AB79</f>
        <v>0</v>
      </c>
      <c r="AE34" s="63" t="str">
        <f>'Raw Datas'!AC79</f>
        <v>0</v>
      </c>
      <c r="AF34" s="63" t="str">
        <f>'Raw Datas'!AD79</f>
        <v>0</v>
      </c>
      <c r="AG34" s="63" t="str">
        <f>'Raw Datas'!AE79</f>
        <v>0</v>
      </c>
      <c r="AH34" s="63" t="str">
        <f>'Raw Datas'!AF79</f>
        <v>0</v>
      </c>
      <c r="AI34" s="63" t="str">
        <f>'Raw Datas'!AG79</f>
        <v>0</v>
      </c>
      <c r="AJ34" s="63" t="str">
        <f>'Raw Datas'!AH79</f>
        <v>0</v>
      </c>
      <c r="AK34" s="63" t="str">
        <f>'Raw Datas'!AI79</f>
        <v>0</v>
      </c>
      <c r="AL34" s="63" t="str">
        <f>'Raw Datas'!AJ79</f>
        <v>0</v>
      </c>
      <c r="AM34" s="63" t="str">
        <f>'Raw Datas'!AK79</f>
        <v>0</v>
      </c>
      <c r="AN34" s="63" t="str">
        <f>'Raw Datas'!AL79</f>
        <v>0</v>
      </c>
      <c r="AO34" s="63" t="str">
        <f>'Raw Datas'!AM79</f>
        <v>0</v>
      </c>
      <c r="AP34" s="63" t="str">
        <f>'Raw Datas'!AN79</f>
        <v>0</v>
      </c>
      <c r="AQ34" s="63" t="str">
        <f>'Raw Datas'!AO79</f>
        <v>0</v>
      </c>
      <c r="AR34" s="63" t="str">
        <f>'Raw Datas'!AP79</f>
        <v>0</v>
      </c>
      <c r="AS34" s="63" t="str">
        <f>'Raw Datas'!AQ79</f>
        <v>0</v>
      </c>
      <c r="AT34" s="63" t="str">
        <f>'Raw Datas'!AR79</f>
        <v>0</v>
      </c>
      <c r="AU34" s="63" t="str">
        <f>'Raw Datas'!AS79</f>
        <v>0</v>
      </c>
      <c r="AV34" s="63" t="str">
        <f>'Raw Datas'!AT79</f>
        <v>0</v>
      </c>
      <c r="AW34" s="63" t="str">
        <f>'Raw Datas'!AU79</f>
        <v>0</v>
      </c>
      <c r="AX34" s="63" t="str">
        <f>'Raw Datas'!AV79</f>
        <v>0</v>
      </c>
      <c r="AY34" s="63" t="str">
        <f>'Raw Datas'!AW79</f>
        <v>0</v>
      </c>
      <c r="AZ34" s="63" t="str">
        <f>'Raw Datas'!AX79</f>
        <v>0</v>
      </c>
      <c r="BA34" s="63" t="str">
        <f>'Raw Datas'!AY79</f>
        <v>0</v>
      </c>
      <c r="BB34" s="63" t="str">
        <f>'Raw Datas'!AZ79</f>
        <v>0</v>
      </c>
      <c r="BC34" s="63" t="str">
        <f>'Raw Datas'!BA79</f>
        <v>0</v>
      </c>
      <c r="BD34" s="63" t="str">
        <f>'Raw Datas'!BB79</f>
        <v>0</v>
      </c>
      <c r="BE34" s="63" t="str">
        <f>'Raw Datas'!BC79</f>
        <v>0</v>
      </c>
      <c r="BF34" s="63" t="str">
        <f>'Raw Datas'!BD79</f>
        <v>0</v>
      </c>
      <c r="BG34" s="63" t="str">
        <f>'Raw Datas'!BE79</f>
        <v>0</v>
      </c>
      <c r="BH34" s="63" t="str">
        <f>'Raw Datas'!BF79</f>
        <v>0</v>
      </c>
      <c r="BI34" s="63" t="str">
        <f>'Raw Datas'!BG79</f>
        <v>0</v>
      </c>
      <c r="BJ34" s="63" t="str">
        <f>'Raw Datas'!BH79</f>
        <v>0</v>
      </c>
      <c r="BK34" s="63" t="str">
        <f>'Raw Datas'!BI79</f>
        <v>0</v>
      </c>
      <c r="BL34" s="63" t="str">
        <f>'Raw Datas'!BJ79</f>
        <v>0</v>
      </c>
      <c r="BM34" s="63" t="str">
        <f>'Raw Datas'!BK79</f>
        <v>0</v>
      </c>
      <c r="BN34" s="63" t="str">
        <f>'Raw Datas'!BL79</f>
        <v>0</v>
      </c>
      <c r="BO34" s="63" t="str">
        <f>'Raw Datas'!BM79</f>
        <v>0</v>
      </c>
      <c r="BP34" s="63" t="str">
        <f>'Raw Datas'!BN79</f>
        <v>0</v>
      </c>
      <c r="BQ34" s="63" t="str">
        <f>'Raw Datas'!BO79</f>
        <v>0</v>
      </c>
      <c r="BR34" s="63" t="str">
        <f>'Raw Datas'!BP79</f>
        <v>0</v>
      </c>
      <c r="BS34" s="63" t="str">
        <f>'Raw Datas'!BQ79</f>
        <v>0</v>
      </c>
      <c r="BT34" s="63" t="str">
        <f>'Raw Datas'!BR79</f>
        <v>0</v>
      </c>
      <c r="BU34" s="63" t="str">
        <f>'Raw Datas'!BS79</f>
        <v>0</v>
      </c>
      <c r="BV34" s="63" t="str">
        <f>'Raw Datas'!BT79</f>
        <v>0</v>
      </c>
      <c r="BW34" s="63" t="str">
        <f>'Raw Datas'!BU79</f>
        <v>0</v>
      </c>
      <c r="BX34" s="63" t="str">
        <f>'Raw Datas'!BV79</f>
        <v>0</v>
      </c>
      <c r="BY34" s="63" t="str">
        <f>'Raw Datas'!BW79</f>
        <v>0</v>
      </c>
      <c r="BZ34" s="63" t="str">
        <f>'Raw Datas'!BX79</f>
        <v>0</v>
      </c>
      <c r="CA34" s="63" t="str">
        <f>'Raw Datas'!BY79</f>
        <v>0</v>
      </c>
      <c r="CB34" s="63" t="str">
        <f>'Raw Datas'!BZ79</f>
        <v>0</v>
      </c>
      <c r="CC34" s="63" t="str">
        <f>'Raw Datas'!CA79</f>
        <v>0</v>
      </c>
      <c r="CD34" s="63" t="str">
        <f>'Raw Datas'!CB79</f>
        <v>0</v>
      </c>
      <c r="CE34" s="63" t="str">
        <f>'Raw Datas'!CC79</f>
        <v>0</v>
      </c>
      <c r="CF34" s="63" t="str">
        <f>'Raw Datas'!CD79</f>
        <v>0</v>
      </c>
      <c r="CG34" s="63" t="str">
        <f>'Raw Datas'!CE79</f>
        <v>0</v>
      </c>
      <c r="CH34" s="63" t="str">
        <f>'Raw Datas'!CF79</f>
        <v>0</v>
      </c>
      <c r="CI34" s="63" t="str">
        <f>'Raw Datas'!CG79</f>
        <v>0</v>
      </c>
      <c r="CJ34" s="63" t="str">
        <f>'Raw Datas'!CH79</f>
        <v>0</v>
      </c>
      <c r="CK34" s="63" t="str">
        <f>'Raw Datas'!CI79</f>
        <v>0</v>
      </c>
      <c r="CL34" s="63" t="str">
        <f>'Raw Datas'!CJ79</f>
        <v>0</v>
      </c>
      <c r="CM34" s="63" t="str">
        <f>'Raw Datas'!CK79</f>
        <v>0</v>
      </c>
      <c r="CN34" s="63" t="str">
        <f>'Raw Datas'!CL79</f>
        <v>0</v>
      </c>
      <c r="CO34" s="63" t="str">
        <f>'Raw Datas'!CM79</f>
        <v>0</v>
      </c>
      <c r="CP34" s="63" t="str">
        <f>'Raw Datas'!CN79</f>
        <v>0</v>
      </c>
      <c r="CQ34" s="63" t="str">
        <f>'Raw Datas'!CO79</f>
        <v>0</v>
      </c>
      <c r="CR34" s="63" t="str">
        <f>'Raw Datas'!CP79</f>
        <v>0</v>
      </c>
      <c r="CS34" s="63" t="str">
        <f>'Raw Datas'!CQ79</f>
        <v>0</v>
      </c>
      <c r="CT34" s="63" t="str">
        <f>'Raw Datas'!CR79</f>
        <v>0</v>
      </c>
      <c r="CU34" s="63" t="str">
        <f>'Raw Datas'!CS79</f>
        <v>0</v>
      </c>
      <c r="CV34" s="63" t="str">
        <f>'Raw Datas'!CT79</f>
        <v>0</v>
      </c>
      <c r="CW34" s="63" t="str">
        <f>'Raw Datas'!CU79</f>
        <v>0</v>
      </c>
      <c r="CX34" s="63" t="str">
        <f>'Raw Datas'!CV79</f>
        <v>0</v>
      </c>
      <c r="CY34" s="63" t="str">
        <f>'Raw Datas'!CW79</f>
        <v>0</v>
      </c>
      <c r="CZ34" s="63" t="str">
        <f>'Raw Datas'!CX79</f>
        <v>0</v>
      </c>
      <c r="DA34" s="63" t="str">
        <f>'Raw Datas'!CY79</f>
        <v>0</v>
      </c>
      <c r="DB34" s="63" t="str">
        <f>'Raw Datas'!CZ79</f>
        <v>0</v>
      </c>
      <c r="DC34" s="63" t="str">
        <f>'Raw Datas'!DA79</f>
        <v>0</v>
      </c>
      <c r="DD34" s="63" t="str">
        <f>'Raw Datas'!DB79</f>
        <v>0</v>
      </c>
      <c r="DE34" s="63" t="str">
        <f>'Raw Datas'!DC79</f>
        <v>0</v>
      </c>
      <c r="DF34" s="63" t="str">
        <f>'Raw Datas'!DD79</f>
        <v>0</v>
      </c>
      <c r="DG34" s="63" t="str">
        <f>'Raw Datas'!DE79</f>
        <v>0</v>
      </c>
      <c r="DH34" s="63" t="str">
        <f>'Raw Datas'!DF79</f>
        <v>0</v>
      </c>
      <c r="DI34" s="63" t="str">
        <f>'Raw Datas'!DG79</f>
        <v>0</v>
      </c>
      <c r="DJ34" s="63" t="str">
        <f>'Raw Datas'!DH79</f>
        <v>0</v>
      </c>
      <c r="DK34" s="63" t="str">
        <f>'Raw Datas'!DI79</f>
        <v>0</v>
      </c>
      <c r="DL34" s="63" t="str">
        <f>'Raw Datas'!DJ79</f>
        <v>0</v>
      </c>
      <c r="DM34" s="63" t="str">
        <f>'Raw Datas'!DK79</f>
        <v>0</v>
      </c>
      <c r="DN34" s="63" t="str">
        <f>'Raw Datas'!DL79</f>
        <v>0</v>
      </c>
      <c r="DO34" s="63" t="str">
        <f>'Raw Datas'!DM79</f>
        <v>0</v>
      </c>
      <c r="DP34" s="63" t="str">
        <f>'Raw Datas'!DN79</f>
        <v>0</v>
      </c>
      <c r="DQ34" s="63" t="str">
        <f>'Raw Datas'!DO79</f>
        <v>0</v>
      </c>
      <c r="DR34" s="63" t="str">
        <f>'Raw Datas'!DP79</f>
        <v>0</v>
      </c>
      <c r="DS34" s="63" t="str">
        <f>'Raw Datas'!DQ79</f>
        <v>0</v>
      </c>
      <c r="DT34" s="63" t="str">
        <f>'Raw Datas'!DR79</f>
        <v>0</v>
      </c>
      <c r="DU34" s="63" t="str">
        <f>'Raw Datas'!DS79</f>
        <v>0</v>
      </c>
      <c r="DV34" s="63" t="str">
        <f>'Raw Datas'!DT79</f>
        <v>0</v>
      </c>
      <c r="DW34" s="63" t="str">
        <f>'Raw Datas'!DU79</f>
        <v>0</v>
      </c>
      <c r="DX34" s="63" t="str">
        <f>'Raw Datas'!DV79</f>
        <v>0</v>
      </c>
      <c r="DY34" s="63" t="str">
        <f>'Raw Datas'!DW79</f>
        <v>0</v>
      </c>
      <c r="DZ34" s="63" t="str">
        <f>'Raw Datas'!DX79</f>
        <v>0</v>
      </c>
      <c r="EA34" s="63" t="str">
        <f>'Raw Datas'!DY79</f>
        <v>0</v>
      </c>
      <c r="EB34" s="63" t="str">
        <f>'Raw Datas'!DZ79</f>
        <v>0</v>
      </c>
      <c r="EC34" s="63" t="str">
        <f>'Raw Datas'!EA79</f>
        <v>0</v>
      </c>
      <c r="ED34" s="63" t="str">
        <f>'Raw Datas'!EB79</f>
        <v>0</v>
      </c>
      <c r="EE34" s="63" t="str">
        <f>'Raw Datas'!EC79</f>
        <v>0</v>
      </c>
      <c r="EF34" s="63" t="str">
        <f>'Raw Datas'!ED79</f>
        <v>0</v>
      </c>
      <c r="EG34" s="63" t="str">
        <f>'Raw Datas'!EE79</f>
        <v>0</v>
      </c>
      <c r="EH34" s="63" t="str">
        <f>'Raw Datas'!EF79</f>
        <v>0</v>
      </c>
      <c r="EI34" s="63" t="str">
        <f>'Raw Datas'!EG79</f>
        <v>0</v>
      </c>
      <c r="EJ34" s="63" t="str">
        <f>'Raw Datas'!EH79</f>
        <v>0</v>
      </c>
      <c r="EK34" s="63" t="str">
        <f>'Raw Datas'!EI79</f>
        <v>0</v>
      </c>
      <c r="EL34" s="63" t="str">
        <f>'Raw Datas'!EJ79</f>
        <v>0</v>
      </c>
      <c r="EM34" s="63" t="str">
        <f>'Raw Datas'!EK79</f>
        <v>0</v>
      </c>
      <c r="EN34" s="63" t="str">
        <f>'Raw Datas'!EL79</f>
        <v>0</v>
      </c>
      <c r="EO34" s="63" t="str">
        <f>'Raw Datas'!EM79</f>
        <v>0</v>
      </c>
      <c r="EP34" s="63" t="str">
        <f>'Raw Datas'!EN79</f>
        <v>0</v>
      </c>
      <c r="EQ34" s="63" t="str">
        <f>'Raw Datas'!EO79</f>
        <v>0</v>
      </c>
      <c r="ER34" s="63" t="str">
        <f>'Raw Datas'!EP79</f>
        <v>0</v>
      </c>
      <c r="ES34" s="63" t="str">
        <f>'Raw Datas'!EQ79</f>
        <v>0</v>
      </c>
      <c r="ET34" s="63" t="str">
        <f>'Raw Datas'!ER79</f>
        <v>0</v>
      </c>
      <c r="EU34" s="63" t="str">
        <f>'Raw Datas'!ES79</f>
        <v>0</v>
      </c>
      <c r="EV34" s="63" t="str">
        <f>'Raw Datas'!ET79</f>
        <v>0</v>
      </c>
      <c r="EW34" s="63" t="str">
        <f>'Raw Datas'!EU79</f>
        <v>0</v>
      </c>
      <c r="EX34" s="63" t="str">
        <f>'Raw Datas'!EV79</f>
        <v>0</v>
      </c>
      <c r="EY34" s="63" t="str">
        <f>'Raw Datas'!EW79</f>
        <v>0</v>
      </c>
      <c r="EZ34" s="63" t="str">
        <f>'Raw Datas'!EX79</f>
        <v>0</v>
      </c>
      <c r="FA34" s="63" t="str">
        <f>'Raw Datas'!EY79</f>
        <v>0</v>
      </c>
      <c r="FB34" s="63" t="str">
        <f>'Raw Datas'!EZ79</f>
        <v>0</v>
      </c>
      <c r="FC34" s="63" t="str">
        <f>'Raw Datas'!FA79</f>
        <v>0</v>
      </c>
      <c r="FD34" s="63" t="str">
        <f>'Raw Datas'!FB79</f>
        <v>0</v>
      </c>
      <c r="FE34" s="63" t="str">
        <f>'Raw Datas'!FC79</f>
        <v>0</v>
      </c>
      <c r="FF34" s="63" t="str">
        <f>'Raw Datas'!FD79</f>
        <v>0</v>
      </c>
      <c r="FG34" s="63" t="str">
        <f>'Raw Datas'!FE79</f>
        <v>0</v>
      </c>
      <c r="FH34" s="63" t="str">
        <f>'Raw Datas'!FF79</f>
        <v>0</v>
      </c>
      <c r="FI34" s="63" t="str">
        <f>'Raw Datas'!FG79</f>
        <v>0</v>
      </c>
      <c r="FJ34" s="63" t="str">
        <f>'Raw Datas'!FH79</f>
        <v>0</v>
      </c>
      <c r="FK34" s="63" t="str">
        <f>'Raw Datas'!FI79</f>
        <v>0</v>
      </c>
      <c r="FL34" s="63" t="str">
        <f>'Raw Datas'!FJ79</f>
        <v>0</v>
      </c>
      <c r="FM34" s="63" t="str">
        <f>'Raw Datas'!FK79</f>
        <v>0</v>
      </c>
      <c r="FN34" s="63" t="str">
        <f>'Raw Datas'!FL79</f>
        <v>0</v>
      </c>
      <c r="FO34" s="63" t="str">
        <f>'Raw Datas'!FM79</f>
        <v>0</v>
      </c>
      <c r="FP34" s="63" t="str">
        <f>'Raw Datas'!FN79</f>
        <v>0</v>
      </c>
      <c r="FQ34" s="63" t="str">
        <f>'Raw Datas'!FO79</f>
        <v>0</v>
      </c>
    </row>
    <row r="35" spans="1:16092" ht="15.75" customHeight="1" x14ac:dyDescent="0.2">
      <c r="A35" s="117"/>
      <c r="B35" s="97" t="s">
        <v>20</v>
      </c>
      <c r="C35" s="104" t="s">
        <v>770</v>
      </c>
      <c r="D35" s="104" t="s">
        <v>220</v>
      </c>
      <c r="E35" s="60" t="str">
        <f>'Raw Datas'!C80</f>
        <v>0</v>
      </c>
      <c r="F35" s="63" t="str">
        <f>'Raw Datas'!D80</f>
        <v>0</v>
      </c>
      <c r="G35" s="63" t="str">
        <f>'Raw Datas'!E80</f>
        <v>0</v>
      </c>
      <c r="H35" s="63">
        <f>'Raw Datas'!F80</f>
        <v>1.8032333333333335</v>
      </c>
      <c r="I35" s="63">
        <f>'Raw Datas'!G80</f>
        <v>0.4966166666666666</v>
      </c>
      <c r="J35" s="63">
        <f>'Raw Datas'!H80</f>
        <v>0.53221666666666667</v>
      </c>
      <c r="K35" s="63">
        <f>'Raw Datas'!I80</f>
        <v>0.54988333333333339</v>
      </c>
      <c r="L35" s="63">
        <f>'Raw Datas'!J80</f>
        <v>0.5723166666666667</v>
      </c>
      <c r="M35" s="63" t="str">
        <f>'Raw Datas'!K80</f>
        <v>0</v>
      </c>
      <c r="N35" s="63">
        <f>'Raw Datas'!L80</f>
        <v>1.1946333333333332</v>
      </c>
      <c r="O35" s="63" t="str">
        <f>'Raw Datas'!M80</f>
        <v>0</v>
      </c>
      <c r="P35" s="63">
        <f>'Raw Datas'!N80</f>
        <v>0.46243333333333331</v>
      </c>
      <c r="Q35" s="63">
        <f>'Raw Datas'!O80</f>
        <v>0.44046666666666662</v>
      </c>
      <c r="R35" s="63">
        <f>'Raw Datas'!P80</f>
        <v>0.47384999999999999</v>
      </c>
      <c r="S35" s="63">
        <f>'Raw Datas'!Q80</f>
        <v>0.28350000000000003</v>
      </c>
      <c r="T35" s="63">
        <f>'Raw Datas'!R80</f>
        <v>10.152099999999999</v>
      </c>
      <c r="U35" s="63" t="str">
        <f>'Raw Datas'!S80</f>
        <v>0</v>
      </c>
      <c r="V35" s="63" t="str">
        <f>'Raw Datas'!T80</f>
        <v>0</v>
      </c>
      <c r="W35" s="63">
        <f>'Raw Datas'!U80</f>
        <v>0.57499999999999996</v>
      </c>
      <c r="X35" s="63" t="str">
        <f>'Raw Datas'!V80</f>
        <v>0</v>
      </c>
      <c r="Y35" s="63" t="str">
        <f>'Raw Datas'!W80</f>
        <v>0</v>
      </c>
      <c r="Z35" s="63" t="str">
        <f>'Raw Datas'!X80</f>
        <v>0</v>
      </c>
      <c r="AA35" s="63" t="str">
        <f>'Raw Datas'!Y80</f>
        <v>0</v>
      </c>
      <c r="AB35" s="63">
        <f>'Raw Datas'!Z80</f>
        <v>1.9187399999999999</v>
      </c>
      <c r="AC35" s="63" t="str">
        <f>'Raw Datas'!AA80</f>
        <v>0</v>
      </c>
      <c r="AD35" s="63" t="str">
        <f>'Raw Datas'!AB80</f>
        <v>0</v>
      </c>
      <c r="AE35" s="63">
        <f>'Raw Datas'!AC80</f>
        <v>1.6557500000000001</v>
      </c>
      <c r="AF35" s="63">
        <f>'Raw Datas'!AD80</f>
        <v>0.83786666666666665</v>
      </c>
      <c r="AG35" s="63" t="str">
        <f>'Raw Datas'!AE80</f>
        <v>0</v>
      </c>
      <c r="AH35" s="63" t="str">
        <f>'Raw Datas'!AF80</f>
        <v>0</v>
      </c>
      <c r="AI35" s="63" t="str">
        <f>'Raw Datas'!AG80</f>
        <v>0</v>
      </c>
      <c r="AJ35" s="63">
        <f>'Raw Datas'!AH80</f>
        <v>0.48909999999999998</v>
      </c>
      <c r="AK35" s="63">
        <f>'Raw Datas'!AI80</f>
        <v>0.63815</v>
      </c>
      <c r="AL35" s="63" t="str">
        <f>'Raw Datas'!AJ80</f>
        <v>0</v>
      </c>
      <c r="AM35" s="63">
        <f>'Raw Datas'!AK80</f>
        <v>0.52998333333333336</v>
      </c>
      <c r="AN35" s="63" t="str">
        <f>'Raw Datas'!AL80</f>
        <v>0</v>
      </c>
      <c r="AO35" s="63" t="str">
        <f>'Raw Datas'!AM80</f>
        <v>0</v>
      </c>
      <c r="AP35" s="63">
        <f>'Raw Datas'!AN80</f>
        <v>0.88796666666666668</v>
      </c>
      <c r="AQ35" s="63" t="str">
        <f>'Raw Datas'!AO80</f>
        <v>0</v>
      </c>
      <c r="AR35" s="63" t="str">
        <f>'Raw Datas'!AP80</f>
        <v>0</v>
      </c>
      <c r="AS35" s="63" t="str">
        <f>'Raw Datas'!AQ80</f>
        <v>0</v>
      </c>
      <c r="AT35" s="63" t="str">
        <f>'Raw Datas'!AR80</f>
        <v>0</v>
      </c>
      <c r="AU35" s="63">
        <f>'Raw Datas'!AS80</f>
        <v>4.8669666666666664</v>
      </c>
      <c r="AV35" s="63">
        <f>'Raw Datas'!AT80</f>
        <v>1.0176666666666667</v>
      </c>
      <c r="AW35" s="63" t="str">
        <f>'Raw Datas'!AU80</f>
        <v>0</v>
      </c>
      <c r="AX35" s="63" t="str">
        <f>'Raw Datas'!AV80</f>
        <v>0</v>
      </c>
      <c r="AY35" s="63" t="str">
        <f>'Raw Datas'!AW80</f>
        <v>0</v>
      </c>
      <c r="AZ35" s="63" t="str">
        <f>'Raw Datas'!AX80</f>
        <v>0</v>
      </c>
      <c r="BA35" s="63">
        <f>'Raw Datas'!AY80</f>
        <v>0.72450000000000014</v>
      </c>
      <c r="BB35" s="63">
        <f>'Raw Datas'!AZ80</f>
        <v>0.15909999999999999</v>
      </c>
      <c r="BC35" s="63" t="str">
        <f>'Raw Datas'!BA80</f>
        <v>0</v>
      </c>
      <c r="BD35" s="63" t="str">
        <f>'Raw Datas'!BB80</f>
        <v>0</v>
      </c>
      <c r="BE35" s="63">
        <f>'Raw Datas'!BC80</f>
        <v>0.52443333333333331</v>
      </c>
      <c r="BF35" s="63">
        <f>'Raw Datas'!BD80</f>
        <v>2.0274999999999999</v>
      </c>
      <c r="BG35" s="63" t="str">
        <f>'Raw Datas'!BE80</f>
        <v>0</v>
      </c>
      <c r="BH35" s="63">
        <f>'Raw Datas'!BF80</f>
        <v>0.60921666666666663</v>
      </c>
      <c r="BI35" s="63" t="str">
        <f>'Raw Datas'!BG80</f>
        <v>0</v>
      </c>
      <c r="BJ35" s="63">
        <f>'Raw Datas'!BH80</f>
        <v>0.66021666666666667</v>
      </c>
      <c r="BK35" s="63" t="str">
        <f>'Raw Datas'!BI80</f>
        <v>0</v>
      </c>
      <c r="BL35" s="63">
        <f>'Raw Datas'!BJ80</f>
        <v>1.1996</v>
      </c>
      <c r="BM35" s="63">
        <f>'Raw Datas'!BK80</f>
        <v>0.65778333333333328</v>
      </c>
      <c r="BN35" s="63">
        <f>'Raw Datas'!BL80</f>
        <v>7.0185166666666667</v>
      </c>
      <c r="BO35" s="63">
        <f>'Raw Datas'!BM80</f>
        <v>2.2317428571428568</v>
      </c>
      <c r="BP35" s="63">
        <f>'Raw Datas'!BN80</f>
        <v>6.1523000000000003</v>
      </c>
      <c r="BQ35" s="63">
        <f>'Raw Datas'!BO80</f>
        <v>1.5463666666666667</v>
      </c>
      <c r="BR35" s="63">
        <f>'Raw Datas'!BP80</f>
        <v>4.6735333333333333</v>
      </c>
      <c r="BS35" s="63">
        <f>'Raw Datas'!BQ80</f>
        <v>0.44330000000000003</v>
      </c>
      <c r="BT35" s="63" t="str">
        <f>'Raw Datas'!BR80</f>
        <v>0</v>
      </c>
      <c r="BU35" s="63">
        <f>'Raw Datas'!BS80</f>
        <v>2.2117500000000003</v>
      </c>
      <c r="BV35" s="63">
        <f>'Raw Datas'!BT80</f>
        <v>2.1893333333333329</v>
      </c>
      <c r="BW35" s="63">
        <f>'Raw Datas'!BU80</f>
        <v>0.97051666666666669</v>
      </c>
      <c r="BX35" s="63">
        <f>'Raw Datas'!BV80</f>
        <v>0.56194999999999995</v>
      </c>
      <c r="BY35" s="63">
        <f>'Raw Datas'!BW80</f>
        <v>0.65749999999999997</v>
      </c>
      <c r="BZ35" s="63" t="str">
        <f>'Raw Datas'!BX80</f>
        <v>0</v>
      </c>
      <c r="CA35" s="63">
        <f>'Raw Datas'!BY80</f>
        <v>0.53966666666666674</v>
      </c>
      <c r="CB35" s="63">
        <f>'Raw Datas'!BZ80</f>
        <v>0.32306666666666667</v>
      </c>
      <c r="CC35" s="63">
        <f>'Raw Datas'!CA80</f>
        <v>0.95421666666666671</v>
      </c>
      <c r="CD35" s="63">
        <f>'Raw Datas'!CB80</f>
        <v>0.63403333333333334</v>
      </c>
      <c r="CE35" s="63">
        <f>'Raw Datas'!CC80</f>
        <v>0.62109999999999999</v>
      </c>
      <c r="CF35" s="63" t="str">
        <f>'Raw Datas'!CD80</f>
        <v>0</v>
      </c>
      <c r="CG35" s="63">
        <f>'Raw Datas'!CE80</f>
        <v>2.18405</v>
      </c>
      <c r="CH35" s="63" t="str">
        <f>'Raw Datas'!CF80</f>
        <v>0</v>
      </c>
      <c r="CI35" s="63" t="str">
        <f>'Raw Datas'!CG80</f>
        <v>0</v>
      </c>
      <c r="CJ35" s="63" t="str">
        <f>'Raw Datas'!CH80</f>
        <v>0</v>
      </c>
      <c r="CK35" s="63">
        <f>'Raw Datas'!CI80</f>
        <v>1.2604166666666667</v>
      </c>
      <c r="CL35" s="63" t="str">
        <f>'Raw Datas'!CJ80</f>
        <v>0</v>
      </c>
      <c r="CM35" s="63" t="str">
        <f>'Raw Datas'!CK80</f>
        <v>0</v>
      </c>
      <c r="CN35" s="63">
        <f>'Raw Datas'!CL80</f>
        <v>0.54663333333333342</v>
      </c>
      <c r="CO35" s="63">
        <f>'Raw Datas'!CM80</f>
        <v>0.63746666666666674</v>
      </c>
      <c r="CP35" s="63" t="str">
        <f>'Raw Datas'!CN80</f>
        <v>0</v>
      </c>
      <c r="CQ35" s="63" t="str">
        <f>'Raw Datas'!CO80</f>
        <v>0</v>
      </c>
      <c r="CR35" s="63" t="str">
        <f>'Raw Datas'!CP80</f>
        <v>0</v>
      </c>
      <c r="CS35" s="63">
        <f>'Raw Datas'!CQ80</f>
        <v>0.83483333333333343</v>
      </c>
      <c r="CT35" s="63">
        <f>'Raw Datas'!CR80</f>
        <v>2.9416333333333333</v>
      </c>
      <c r="CU35" s="63" t="str">
        <f>'Raw Datas'!CS80</f>
        <v>0</v>
      </c>
      <c r="CV35" s="63" t="str">
        <f>'Raw Datas'!CT80</f>
        <v>0</v>
      </c>
      <c r="CW35" s="63">
        <f>'Raw Datas'!CU80</f>
        <v>0.78821666666666679</v>
      </c>
      <c r="CX35" s="63">
        <f>'Raw Datas'!CV80</f>
        <v>0.75755000000000006</v>
      </c>
      <c r="CY35" s="63" t="str">
        <f>'Raw Datas'!CW80</f>
        <v>0</v>
      </c>
      <c r="CZ35" s="63" t="str">
        <f>'Raw Datas'!CX80</f>
        <v>0</v>
      </c>
      <c r="DA35" s="63" t="str">
        <f>'Raw Datas'!CY80</f>
        <v>0</v>
      </c>
      <c r="DB35" s="63" t="str">
        <f>'Raw Datas'!CZ80</f>
        <v>0</v>
      </c>
      <c r="DC35" s="63" t="str">
        <f>'Raw Datas'!DA80</f>
        <v>0</v>
      </c>
      <c r="DD35" s="63" t="str">
        <f>'Raw Datas'!DB80</f>
        <v>0</v>
      </c>
      <c r="DE35" s="63">
        <f>'Raw Datas'!DC80</f>
        <v>0.71896666666666664</v>
      </c>
      <c r="DF35" s="63">
        <f>'Raw Datas'!DD80</f>
        <v>2.1157666666666666</v>
      </c>
      <c r="DG35" s="63" t="str">
        <f>'Raw Datas'!DE80</f>
        <v>0</v>
      </c>
      <c r="DH35" s="63" t="str">
        <f>'Raw Datas'!DF80</f>
        <v>0</v>
      </c>
      <c r="DI35" s="63">
        <f>'Raw Datas'!DG80</f>
        <v>1.7373000000000001</v>
      </c>
      <c r="DJ35" s="63" t="str">
        <f>'Raw Datas'!DH80</f>
        <v>0</v>
      </c>
      <c r="DK35" s="63" t="str">
        <f>'Raw Datas'!DI80</f>
        <v>0</v>
      </c>
      <c r="DL35" s="63">
        <f>'Raw Datas'!DJ80</f>
        <v>1.2381833333333332</v>
      </c>
      <c r="DM35" s="63">
        <f>'Raw Datas'!DK80</f>
        <v>1.0291333333333335</v>
      </c>
      <c r="DN35" s="63" t="str">
        <f>'Raw Datas'!DL80</f>
        <v>0</v>
      </c>
      <c r="DO35" s="63" t="str">
        <f>'Raw Datas'!DM80</f>
        <v>0</v>
      </c>
      <c r="DP35" s="63">
        <f>'Raw Datas'!DN80</f>
        <v>0.27901666666666664</v>
      </c>
      <c r="DQ35" s="63">
        <f>'Raw Datas'!DO80</f>
        <v>2.1064333333333334</v>
      </c>
      <c r="DR35" s="63" t="str">
        <f>'Raw Datas'!DP80</f>
        <v>0</v>
      </c>
      <c r="DS35" s="63" t="str">
        <f>'Raw Datas'!DQ80</f>
        <v>0</v>
      </c>
      <c r="DT35" s="63" t="str">
        <f>'Raw Datas'!DR80</f>
        <v>0</v>
      </c>
      <c r="DU35" s="63">
        <f>'Raw Datas'!DS80</f>
        <v>0.32006666666666667</v>
      </c>
      <c r="DV35" s="63" t="str">
        <f>'Raw Datas'!DT80</f>
        <v>0</v>
      </c>
      <c r="DW35" s="63">
        <f>'Raw Datas'!DU80</f>
        <v>0.35649999999999993</v>
      </c>
      <c r="DX35" s="63">
        <f>'Raw Datas'!DV80</f>
        <v>0.45279999999999998</v>
      </c>
      <c r="DY35" s="63">
        <f>'Raw Datas'!DW80</f>
        <v>0.69799999999999995</v>
      </c>
      <c r="DZ35" s="63" t="str">
        <f>'Raw Datas'!DX80</f>
        <v>0</v>
      </c>
      <c r="EA35" s="63" t="str">
        <f>'Raw Datas'!DY80</f>
        <v>0</v>
      </c>
      <c r="EB35" s="63" t="str">
        <f>'Raw Datas'!DZ80</f>
        <v>0</v>
      </c>
      <c r="EC35" s="63" t="str">
        <f>'Raw Datas'!EA80</f>
        <v>0</v>
      </c>
      <c r="ED35" s="63" t="str">
        <f>'Raw Datas'!EB80</f>
        <v>0</v>
      </c>
      <c r="EE35" s="63" t="str">
        <f>'Raw Datas'!EC80</f>
        <v>0</v>
      </c>
      <c r="EF35" s="63" t="str">
        <f>'Raw Datas'!ED80</f>
        <v>0</v>
      </c>
      <c r="EG35" s="63" t="str">
        <f>'Raw Datas'!EE80</f>
        <v>0</v>
      </c>
      <c r="EH35" s="63" t="str">
        <f>'Raw Datas'!EF80</f>
        <v>0</v>
      </c>
      <c r="EI35" s="63" t="str">
        <f>'Raw Datas'!EG80</f>
        <v>0</v>
      </c>
      <c r="EJ35" s="63" t="str">
        <f>'Raw Datas'!EH80</f>
        <v>0</v>
      </c>
      <c r="EK35" s="63" t="str">
        <f>'Raw Datas'!EI80</f>
        <v>0</v>
      </c>
      <c r="EL35" s="63" t="str">
        <f>'Raw Datas'!EJ80</f>
        <v>0</v>
      </c>
      <c r="EM35" s="63">
        <f>'Raw Datas'!EK80</f>
        <v>0.57786666666666664</v>
      </c>
      <c r="EN35" s="63" t="str">
        <f>'Raw Datas'!EL80</f>
        <v>0</v>
      </c>
      <c r="EO35" s="63" t="str">
        <f>'Raw Datas'!EM80</f>
        <v>0</v>
      </c>
      <c r="EP35" s="63">
        <f>'Raw Datas'!EN80</f>
        <v>0.40488333333333332</v>
      </c>
      <c r="EQ35" s="63">
        <f>'Raw Datas'!EO80</f>
        <v>0.49440000000000001</v>
      </c>
      <c r="ER35" s="63">
        <f>'Raw Datas'!EP80</f>
        <v>0.46283333333333337</v>
      </c>
      <c r="ES35" s="63">
        <f>'Raw Datas'!EQ80</f>
        <v>1.409616666666667</v>
      </c>
      <c r="ET35" s="63" t="str">
        <f>'Raw Datas'!ER80</f>
        <v>0</v>
      </c>
      <c r="EU35" s="63" t="str">
        <f>'Raw Datas'!ES80</f>
        <v>0</v>
      </c>
      <c r="EV35" s="63" t="str">
        <f>'Raw Datas'!ET80</f>
        <v>0</v>
      </c>
      <c r="EW35" s="63">
        <f>'Raw Datas'!EU80</f>
        <v>1.2648666666666666</v>
      </c>
      <c r="EX35" s="63" t="str">
        <f>'Raw Datas'!EV80</f>
        <v>0</v>
      </c>
      <c r="EY35" s="63" t="str">
        <f>'Raw Datas'!EW80</f>
        <v>0</v>
      </c>
      <c r="EZ35" s="63">
        <f>'Raw Datas'!EX80</f>
        <v>0.92709999999999992</v>
      </c>
      <c r="FA35" s="63" t="str">
        <f>'Raw Datas'!EY80</f>
        <v>0</v>
      </c>
      <c r="FB35" s="63" t="str">
        <f>'Raw Datas'!EZ80</f>
        <v>0</v>
      </c>
      <c r="FC35" s="63" t="str">
        <f>'Raw Datas'!FA80</f>
        <v>0</v>
      </c>
      <c r="FD35" s="63" t="str">
        <f>'Raw Datas'!FB80</f>
        <v>0</v>
      </c>
      <c r="FE35" s="63">
        <f>'Raw Datas'!FC80</f>
        <v>0.6852166666666667</v>
      </c>
      <c r="FF35" s="63" t="str">
        <f>'Raw Datas'!FD80</f>
        <v>0</v>
      </c>
      <c r="FG35" s="63" t="str">
        <f>'Raw Datas'!FE80</f>
        <v>0</v>
      </c>
      <c r="FH35" s="63">
        <f>'Raw Datas'!FF80</f>
        <v>1.2788999999999999</v>
      </c>
      <c r="FI35" s="63">
        <f>'Raw Datas'!FG80</f>
        <v>0.42739999999999995</v>
      </c>
      <c r="FJ35" s="63">
        <f>'Raw Datas'!FH80</f>
        <v>0.36293333333333333</v>
      </c>
      <c r="FK35" s="63">
        <f>'Raw Datas'!FI80</f>
        <v>0.84398333333333342</v>
      </c>
      <c r="FL35" s="63">
        <f>'Raw Datas'!FJ80</f>
        <v>1.2928333333333333</v>
      </c>
      <c r="FM35" s="63" t="str">
        <f>'Raw Datas'!FK80</f>
        <v>0</v>
      </c>
      <c r="FN35" s="63" t="str">
        <f>'Raw Datas'!FL80</f>
        <v>0</v>
      </c>
      <c r="FO35" s="63" t="str">
        <f>'Raw Datas'!FM80</f>
        <v>0</v>
      </c>
      <c r="FP35" s="63" t="str">
        <f>'Raw Datas'!FN80</f>
        <v>0</v>
      </c>
      <c r="FQ35" s="63">
        <f>'Raw Datas'!FO80</f>
        <v>0.34343333333333337</v>
      </c>
    </row>
    <row r="36" spans="1:16092" ht="15.75" customHeight="1" x14ac:dyDescent="0.2">
      <c r="A36" s="117"/>
      <c r="B36" s="97" t="s">
        <v>21</v>
      </c>
      <c r="C36" s="104" t="s">
        <v>749</v>
      </c>
      <c r="D36" s="104" t="s">
        <v>750</v>
      </c>
      <c r="E36" s="60">
        <f>'Raw Datas'!C81</f>
        <v>0.81108333333333349</v>
      </c>
      <c r="F36" s="63">
        <f>'Raw Datas'!D81</f>
        <v>3.1465166666666664</v>
      </c>
      <c r="G36" s="63" t="str">
        <f>'Raw Datas'!E81</f>
        <v>0</v>
      </c>
      <c r="H36" s="63">
        <f>'Raw Datas'!F81</f>
        <v>11.769666666666666</v>
      </c>
      <c r="I36" s="63">
        <f>'Raw Datas'!G81</f>
        <v>1.9535499999999999</v>
      </c>
      <c r="J36" s="63">
        <f>'Raw Datas'!H81</f>
        <v>2.0054833333333333</v>
      </c>
      <c r="K36" s="63">
        <f>'Raw Datas'!I81</f>
        <v>5.8764333333333338</v>
      </c>
      <c r="L36" s="63">
        <f>'Raw Datas'!J81</f>
        <v>6.9467000000000008</v>
      </c>
      <c r="M36" s="63">
        <f>'Raw Datas'!K81</f>
        <v>1.7200166666666665</v>
      </c>
      <c r="N36" s="63">
        <f>'Raw Datas'!L81</f>
        <v>8.8204166666666666</v>
      </c>
      <c r="O36" s="63">
        <f>'Raw Datas'!M81</f>
        <v>2.1837499999999994</v>
      </c>
      <c r="P36" s="63">
        <f>'Raw Datas'!N81</f>
        <v>1.8338833333333331</v>
      </c>
      <c r="Q36" s="63" t="str">
        <f>'Raw Datas'!O81</f>
        <v>0</v>
      </c>
      <c r="R36" s="63" t="str">
        <f>'Raw Datas'!P81</f>
        <v>0</v>
      </c>
      <c r="S36" s="63">
        <f>'Raw Datas'!Q81</f>
        <v>1.0959333333333334</v>
      </c>
      <c r="T36" s="63" t="str">
        <f>'Raw Datas'!R81</f>
        <v>0</v>
      </c>
      <c r="U36" s="63">
        <f>'Raw Datas'!S81</f>
        <v>0.95136666666666658</v>
      </c>
      <c r="V36" s="63" t="str">
        <f>'Raw Datas'!T81</f>
        <v>0</v>
      </c>
      <c r="W36" s="63">
        <f>'Raw Datas'!U81</f>
        <v>3.9360166666666667</v>
      </c>
      <c r="X36" s="63" t="str">
        <f>'Raw Datas'!V81</f>
        <v>0</v>
      </c>
      <c r="Y36" s="63" t="str">
        <f>'Raw Datas'!W81</f>
        <v>0</v>
      </c>
      <c r="Z36" s="63" t="str">
        <f>'Raw Datas'!X81</f>
        <v>0</v>
      </c>
      <c r="AA36" s="63">
        <f>'Raw Datas'!Y81</f>
        <v>3.7842166666666666</v>
      </c>
      <c r="AB36" s="63" t="str">
        <f>'Raw Datas'!Z81</f>
        <v>0</v>
      </c>
      <c r="AC36" s="63">
        <f>'Raw Datas'!AA81</f>
        <v>1.2625</v>
      </c>
      <c r="AD36" s="63">
        <f>'Raw Datas'!AB81</f>
        <v>2.7008999999999999</v>
      </c>
      <c r="AE36" s="63">
        <f>'Raw Datas'!AC81</f>
        <v>8.3943500000000011</v>
      </c>
      <c r="AF36" s="63">
        <f>'Raw Datas'!AD81</f>
        <v>3.8487500000000003</v>
      </c>
      <c r="AG36" s="63" t="str">
        <f>'Raw Datas'!AE81</f>
        <v>0</v>
      </c>
      <c r="AH36" s="63" t="str">
        <f>'Raw Datas'!AF81</f>
        <v>0</v>
      </c>
      <c r="AI36" s="63">
        <f>'Raw Datas'!AG81</f>
        <v>2.4477500000000001</v>
      </c>
      <c r="AJ36" s="63" t="str">
        <f>'Raw Datas'!AH81</f>
        <v>0</v>
      </c>
      <c r="AK36" s="63" t="str">
        <f>'Raw Datas'!AI81</f>
        <v>0</v>
      </c>
      <c r="AL36" s="63" t="str">
        <f>'Raw Datas'!AJ81</f>
        <v>0</v>
      </c>
      <c r="AM36" s="63">
        <f>'Raw Datas'!AK81</f>
        <v>2.4838</v>
      </c>
      <c r="AN36" s="63" t="str">
        <f>'Raw Datas'!AL81</f>
        <v>0</v>
      </c>
      <c r="AO36" s="63" t="str">
        <f>'Raw Datas'!AM81</f>
        <v>0</v>
      </c>
      <c r="AP36" s="63">
        <f>'Raw Datas'!AN81</f>
        <v>7.1710166666666657</v>
      </c>
      <c r="AQ36" s="63">
        <f>'Raw Datas'!AO81</f>
        <v>2.4753500000000002</v>
      </c>
      <c r="AR36" s="63" t="str">
        <f>'Raw Datas'!AP81</f>
        <v>0</v>
      </c>
      <c r="AS36" s="63">
        <f>'Raw Datas'!AQ81</f>
        <v>1.2662499999999999</v>
      </c>
      <c r="AT36" s="63">
        <f>'Raw Datas'!AR81</f>
        <v>2.0163666666666669</v>
      </c>
      <c r="AU36" s="63" t="str">
        <f>'Raw Datas'!AS81</f>
        <v>0</v>
      </c>
      <c r="AV36" s="63" t="str">
        <f>'Raw Datas'!AT81</f>
        <v>0</v>
      </c>
      <c r="AW36" s="63">
        <f>'Raw Datas'!AU81</f>
        <v>1.4905200000000003</v>
      </c>
      <c r="AX36" s="63">
        <f>'Raw Datas'!AV81</f>
        <v>4.039159999999999</v>
      </c>
      <c r="AY36" s="63" t="str">
        <f>'Raw Datas'!AW81</f>
        <v>0</v>
      </c>
      <c r="AZ36" s="63" t="str">
        <f>'Raw Datas'!AX81</f>
        <v>0</v>
      </c>
      <c r="BA36" s="63">
        <f>'Raw Datas'!AY81</f>
        <v>7.3167833333333334</v>
      </c>
      <c r="BB36" s="63">
        <f>'Raw Datas'!AZ81</f>
        <v>1.3601166666666666</v>
      </c>
      <c r="BC36" s="63">
        <f>'Raw Datas'!BA81</f>
        <v>2.1952833333333333</v>
      </c>
      <c r="BD36" s="63">
        <f>'Raw Datas'!BB81</f>
        <v>0.51713333333333333</v>
      </c>
      <c r="BE36" s="63">
        <f>'Raw Datas'!BC81</f>
        <v>3.7424666666666666</v>
      </c>
      <c r="BF36" s="63">
        <f>'Raw Datas'!BD81</f>
        <v>8.8316000000000017</v>
      </c>
      <c r="BG36" s="63">
        <f>'Raw Datas'!BE81</f>
        <v>1.3700833333333333</v>
      </c>
      <c r="BH36" s="63" t="str">
        <f>'Raw Datas'!BF81</f>
        <v>0</v>
      </c>
      <c r="BI36" s="63" t="str">
        <f>'Raw Datas'!BG81</f>
        <v>0</v>
      </c>
      <c r="BJ36" s="63">
        <f>'Raw Datas'!BH81</f>
        <v>5.0181166666666668</v>
      </c>
      <c r="BK36" s="63" t="str">
        <f>'Raw Datas'!BI81</f>
        <v>0</v>
      </c>
      <c r="BL36" s="63">
        <f>'Raw Datas'!BJ81</f>
        <v>2.5586833333333336</v>
      </c>
      <c r="BM36" s="63">
        <f>'Raw Datas'!BK81</f>
        <v>10.336833333333335</v>
      </c>
      <c r="BN36" s="63">
        <f>'Raw Datas'!BL81</f>
        <v>8.0765333333333338</v>
      </c>
      <c r="BO36" s="63" t="str">
        <f>'Raw Datas'!BM81</f>
        <v>0</v>
      </c>
      <c r="BP36" s="63" t="str">
        <f>'Raw Datas'!BN81</f>
        <v>0</v>
      </c>
      <c r="BQ36" s="63" t="str">
        <f>'Raw Datas'!BO81</f>
        <v>0</v>
      </c>
      <c r="BR36" s="63">
        <f>'Raw Datas'!BP81</f>
        <v>10.097916666666666</v>
      </c>
      <c r="BS36" s="63" t="str">
        <f>'Raw Datas'!BQ81</f>
        <v>0</v>
      </c>
      <c r="BT36" s="63" t="str">
        <f>'Raw Datas'!BR81</f>
        <v>0</v>
      </c>
      <c r="BU36" s="63">
        <f>'Raw Datas'!BS81</f>
        <v>2.1078333333333332</v>
      </c>
      <c r="BV36" s="63" t="str">
        <f>'Raw Datas'!BT81</f>
        <v>0</v>
      </c>
      <c r="BW36" s="63" t="str">
        <f>'Raw Datas'!BU81</f>
        <v>0</v>
      </c>
      <c r="BX36" s="63" t="str">
        <f>'Raw Datas'!BV81</f>
        <v>0</v>
      </c>
      <c r="BY36" s="63">
        <f>'Raw Datas'!BW81</f>
        <v>2.4464166666666665</v>
      </c>
      <c r="BZ36" s="63">
        <f>'Raw Datas'!BX81</f>
        <v>2.6590166666666666</v>
      </c>
      <c r="CA36" s="63" t="str">
        <f>'Raw Datas'!BY81</f>
        <v>0</v>
      </c>
      <c r="CB36" s="63" t="str">
        <f>'Raw Datas'!BZ81</f>
        <v>0</v>
      </c>
      <c r="CC36" s="63" t="str">
        <f>'Raw Datas'!CA81</f>
        <v>0</v>
      </c>
      <c r="CD36" s="63">
        <f>'Raw Datas'!CB81</f>
        <v>2.1677833333333334</v>
      </c>
      <c r="CE36" s="63">
        <f>'Raw Datas'!CC81</f>
        <v>1.5627</v>
      </c>
      <c r="CF36" s="63">
        <f>'Raw Datas'!CD81</f>
        <v>1.0324333333333333</v>
      </c>
      <c r="CG36" s="63" t="str">
        <f>'Raw Datas'!CE81</f>
        <v>0</v>
      </c>
      <c r="CH36" s="63">
        <f>'Raw Datas'!CF81</f>
        <v>0.81991666666666663</v>
      </c>
      <c r="CI36" s="63" t="str">
        <f>'Raw Datas'!CG81</f>
        <v>0</v>
      </c>
      <c r="CJ36" s="63" t="str">
        <f>'Raw Datas'!CH81</f>
        <v>0</v>
      </c>
      <c r="CK36" s="63">
        <f>'Raw Datas'!CI81</f>
        <v>7.6003666666666678</v>
      </c>
      <c r="CL36" s="63" t="str">
        <f>'Raw Datas'!CJ81</f>
        <v>0</v>
      </c>
      <c r="CM36" s="63" t="str">
        <f>'Raw Datas'!CK81</f>
        <v>0</v>
      </c>
      <c r="CN36" s="63" t="str">
        <f>'Raw Datas'!CL81</f>
        <v>0</v>
      </c>
      <c r="CO36" s="63">
        <f>'Raw Datas'!CM81</f>
        <v>4.1228333333333333</v>
      </c>
      <c r="CP36" s="63">
        <f>'Raw Datas'!CN81</f>
        <v>3.6087166666666666</v>
      </c>
      <c r="CQ36" s="63" t="str">
        <f>'Raw Datas'!CO81</f>
        <v>0</v>
      </c>
      <c r="CR36" s="63">
        <f>'Raw Datas'!CP81</f>
        <v>2.1637166666666667</v>
      </c>
      <c r="CS36" s="63">
        <f>'Raw Datas'!CQ81</f>
        <v>2.3006666666666664</v>
      </c>
      <c r="CT36" s="63">
        <f>'Raw Datas'!CR81</f>
        <v>3.0596999999999999</v>
      </c>
      <c r="CU36" s="63">
        <f>'Raw Datas'!CS81</f>
        <v>1.27685</v>
      </c>
      <c r="CV36" s="63">
        <f>'Raw Datas'!CT81</f>
        <v>2.6612</v>
      </c>
      <c r="CW36" s="63">
        <f>'Raw Datas'!CU81</f>
        <v>4.6689999999999996</v>
      </c>
      <c r="CX36" s="63">
        <f>'Raw Datas'!CV81</f>
        <v>2.8646000000000003</v>
      </c>
      <c r="CY36" s="63" t="str">
        <f>'Raw Datas'!CW81</f>
        <v>0</v>
      </c>
      <c r="CZ36" s="63">
        <f>'Raw Datas'!CX81</f>
        <v>0.62243333333333328</v>
      </c>
      <c r="DA36" s="63">
        <f>'Raw Datas'!CY81</f>
        <v>2.6598833333333336</v>
      </c>
      <c r="DB36" s="63">
        <f>'Raw Datas'!CZ81</f>
        <v>1.0734833333333333</v>
      </c>
      <c r="DC36" s="63" t="str">
        <f>'Raw Datas'!DA81</f>
        <v>0</v>
      </c>
      <c r="DD36" s="63" t="str">
        <f>'Raw Datas'!DB81</f>
        <v>0</v>
      </c>
      <c r="DE36" s="63">
        <f>'Raw Datas'!DC81</f>
        <v>3.9828499999999996</v>
      </c>
      <c r="DF36" s="63">
        <f>'Raw Datas'!DD81</f>
        <v>9.4775166666666664</v>
      </c>
      <c r="DG36" s="63" t="str">
        <f>'Raw Datas'!DE81</f>
        <v>0</v>
      </c>
      <c r="DH36" s="63" t="str">
        <f>'Raw Datas'!DF81</f>
        <v>0</v>
      </c>
      <c r="DI36" s="63">
        <f>'Raw Datas'!DG81</f>
        <v>2.7706166666666667</v>
      </c>
      <c r="DJ36" s="63">
        <f>'Raw Datas'!DH81</f>
        <v>1.4110333333333334</v>
      </c>
      <c r="DK36" s="63" t="str">
        <f>'Raw Datas'!DI81</f>
        <v>0</v>
      </c>
      <c r="DL36" s="63">
        <f>'Raw Datas'!DJ81</f>
        <v>1.0654333333333335</v>
      </c>
      <c r="DM36" s="63">
        <f>'Raw Datas'!DK81</f>
        <v>1.8652666666666666</v>
      </c>
      <c r="DN36" s="63">
        <f>'Raw Datas'!DL81</f>
        <v>1.2272000000000001</v>
      </c>
      <c r="DO36" s="63">
        <f>'Raw Datas'!DM81</f>
        <v>3.7907500000000001</v>
      </c>
      <c r="DP36" s="63" t="str">
        <f>'Raw Datas'!DN81</f>
        <v>0</v>
      </c>
      <c r="DQ36" s="63">
        <f>'Raw Datas'!DO81</f>
        <v>5.8945499999999997</v>
      </c>
      <c r="DR36" s="63" t="str">
        <f>'Raw Datas'!DP81</f>
        <v>0</v>
      </c>
      <c r="DS36" s="63">
        <f>'Raw Datas'!DQ81</f>
        <v>2.0725666666666664</v>
      </c>
      <c r="DT36" s="63">
        <f>'Raw Datas'!DR81</f>
        <v>1.7430666666666665</v>
      </c>
      <c r="DU36" s="63">
        <f>'Raw Datas'!DS81</f>
        <v>3.7060833333333334</v>
      </c>
      <c r="DV36" s="63" t="str">
        <f>'Raw Datas'!DT81</f>
        <v>0</v>
      </c>
      <c r="DW36" s="63" t="str">
        <f>'Raw Datas'!DU81</f>
        <v>0</v>
      </c>
      <c r="DX36" s="63">
        <f>'Raw Datas'!DV81</f>
        <v>3.8067833333333332</v>
      </c>
      <c r="DY36" s="63">
        <f>'Raw Datas'!DW81</f>
        <v>4.7441500000000003</v>
      </c>
      <c r="DZ36" s="63">
        <f>'Raw Datas'!DX81</f>
        <v>0.87983333333333336</v>
      </c>
      <c r="EA36" s="63" t="str">
        <f>'Raw Datas'!DY81</f>
        <v>0</v>
      </c>
      <c r="EB36" s="63">
        <f>'Raw Datas'!DZ81</f>
        <v>0.7472833333333333</v>
      </c>
      <c r="EC36" s="63">
        <f>'Raw Datas'!EA81</f>
        <v>4.1116166666666665</v>
      </c>
      <c r="ED36" s="63">
        <f>'Raw Datas'!EB81</f>
        <v>3.2105833333333331</v>
      </c>
      <c r="EE36" s="63" t="str">
        <f>'Raw Datas'!EC81</f>
        <v>0</v>
      </c>
      <c r="EF36" s="63">
        <f>'Raw Datas'!ED81</f>
        <v>2.4615999999999998</v>
      </c>
      <c r="EG36" s="63">
        <f>'Raw Datas'!EE81</f>
        <v>0.39481666666666665</v>
      </c>
      <c r="EH36" s="63" t="str">
        <f>'Raw Datas'!EF81</f>
        <v>0</v>
      </c>
      <c r="EI36" s="63">
        <f>'Raw Datas'!EG81</f>
        <v>0.85196666666666654</v>
      </c>
      <c r="EJ36" s="63">
        <f>'Raw Datas'!EH81</f>
        <v>0.68035000000000001</v>
      </c>
      <c r="EK36" s="63">
        <f>'Raw Datas'!EI81</f>
        <v>0.85123333333333329</v>
      </c>
      <c r="EL36" s="63">
        <f>'Raw Datas'!EJ81</f>
        <v>1.4108166666666666</v>
      </c>
      <c r="EM36" s="63">
        <f>'Raw Datas'!EK81</f>
        <v>3.3922666666666665</v>
      </c>
      <c r="EN36" s="63" t="str">
        <f>'Raw Datas'!EL81</f>
        <v>0</v>
      </c>
      <c r="EO36" s="63">
        <f>'Raw Datas'!EM81</f>
        <v>2.3075999999999999</v>
      </c>
      <c r="EP36" s="63">
        <f>'Raw Datas'!EN81</f>
        <v>1.5876166666666667</v>
      </c>
      <c r="EQ36" s="63" t="str">
        <f>'Raw Datas'!EO81</f>
        <v>0</v>
      </c>
      <c r="ER36" s="63" t="str">
        <f>'Raw Datas'!EP81</f>
        <v>0</v>
      </c>
      <c r="ES36" s="63">
        <f>'Raw Datas'!EQ81</f>
        <v>6.3778833333333331</v>
      </c>
      <c r="ET36" s="63">
        <f>'Raw Datas'!ER81</f>
        <v>3.4591833333333333</v>
      </c>
      <c r="EU36" s="63">
        <f>'Raw Datas'!ES81</f>
        <v>3.4482499999999998</v>
      </c>
      <c r="EV36" s="63">
        <f>'Raw Datas'!ET81</f>
        <v>0.98724999999999996</v>
      </c>
      <c r="EW36" s="63">
        <f>'Raw Datas'!EU81</f>
        <v>10.427733333333332</v>
      </c>
      <c r="EX36" s="63">
        <f>'Raw Datas'!EV81</f>
        <v>1.2888500000000001</v>
      </c>
      <c r="EY36" s="63">
        <f>'Raw Datas'!EW81</f>
        <v>0.54178333333333339</v>
      </c>
      <c r="EZ36" s="63">
        <f>'Raw Datas'!EX81</f>
        <v>7.1046166666666668</v>
      </c>
      <c r="FA36" s="63">
        <f>'Raw Datas'!EY81</f>
        <v>8.7318333333333324</v>
      </c>
      <c r="FB36" s="63">
        <f>'Raw Datas'!EZ81</f>
        <v>2.6745333333333337</v>
      </c>
      <c r="FC36" s="63">
        <f>'Raw Datas'!FA81</f>
        <v>1.0346166666666667</v>
      </c>
      <c r="FD36" s="63" t="str">
        <f>'Raw Datas'!FB81</f>
        <v>0</v>
      </c>
      <c r="FE36" s="63">
        <f>'Raw Datas'!FC81</f>
        <v>2.4259666666666666</v>
      </c>
      <c r="FF36" s="63" t="str">
        <f>'Raw Datas'!FD81</f>
        <v>0</v>
      </c>
      <c r="FG36" s="63" t="str">
        <f>'Raw Datas'!FE81</f>
        <v>0</v>
      </c>
      <c r="FH36" s="63">
        <f>'Raw Datas'!FF81</f>
        <v>7.8145999999999995</v>
      </c>
      <c r="FI36" s="63">
        <f>'Raw Datas'!FG81</f>
        <v>1.7201333333333333</v>
      </c>
      <c r="FJ36" s="63">
        <f>'Raw Datas'!FH81</f>
        <v>1.9694</v>
      </c>
      <c r="FK36" s="63">
        <f>'Raw Datas'!FI81</f>
        <v>2.1083500000000002</v>
      </c>
      <c r="FL36" s="63">
        <f>'Raw Datas'!FJ81</f>
        <v>10.375333333333334</v>
      </c>
      <c r="FM36" s="63">
        <f>'Raw Datas'!FK81</f>
        <v>2.3200333333333334</v>
      </c>
      <c r="FN36" s="63">
        <f>'Raw Datas'!FL81</f>
        <v>1.8708</v>
      </c>
      <c r="FO36" s="63">
        <f>'Raw Datas'!FM81</f>
        <v>1.3322000000000001</v>
      </c>
      <c r="FP36" s="63" t="str">
        <f>'Raw Datas'!FN81</f>
        <v>0</v>
      </c>
      <c r="FQ36" s="63">
        <f>'Raw Datas'!FO81</f>
        <v>2.4813666666666667</v>
      </c>
    </row>
    <row r="37" spans="1:16092" ht="15.75" customHeight="1" x14ac:dyDescent="0.2">
      <c r="A37" s="117"/>
      <c r="B37" s="57" t="s">
        <v>3</v>
      </c>
      <c r="C37" s="104"/>
      <c r="D37" s="104" t="s">
        <v>751</v>
      </c>
      <c r="E37" s="60" t="str">
        <f>'Raw Datas'!C82</f>
        <v>0</v>
      </c>
      <c r="F37" s="63" t="str">
        <f>'Raw Datas'!D82</f>
        <v>0</v>
      </c>
      <c r="G37" s="63" t="str">
        <f>'Raw Datas'!E82</f>
        <v>0</v>
      </c>
      <c r="H37" s="63" t="str">
        <f>'Raw Datas'!F82</f>
        <v>0</v>
      </c>
      <c r="I37" s="63" t="str">
        <f>'Raw Datas'!G82</f>
        <v>0</v>
      </c>
      <c r="J37" s="63" t="str">
        <f>'Raw Datas'!H82</f>
        <v>0</v>
      </c>
      <c r="K37" s="63" t="str">
        <f>'Raw Datas'!I82</f>
        <v>0</v>
      </c>
      <c r="L37" s="63" t="str">
        <f>'Raw Datas'!J82</f>
        <v>0</v>
      </c>
      <c r="M37" s="63" t="str">
        <f>'Raw Datas'!K82</f>
        <v>0</v>
      </c>
      <c r="N37" s="63" t="str">
        <f>'Raw Datas'!L82</f>
        <v>0</v>
      </c>
      <c r="O37" s="63" t="str">
        <f>'Raw Datas'!M82</f>
        <v>0</v>
      </c>
      <c r="P37" s="63" t="str">
        <f>'Raw Datas'!N82</f>
        <v>0</v>
      </c>
      <c r="Q37" s="63" t="str">
        <f>'Raw Datas'!O82</f>
        <v>0</v>
      </c>
      <c r="R37" s="63" t="str">
        <f>'Raw Datas'!P82</f>
        <v>0</v>
      </c>
      <c r="S37" s="63" t="str">
        <f>'Raw Datas'!Q82</f>
        <v>0</v>
      </c>
      <c r="T37" s="63" t="str">
        <f>'Raw Datas'!R82</f>
        <v>0</v>
      </c>
      <c r="U37" s="63" t="str">
        <f>'Raw Datas'!S82</f>
        <v>0</v>
      </c>
      <c r="V37" s="63" t="str">
        <f>'Raw Datas'!T82</f>
        <v>0</v>
      </c>
      <c r="W37" s="63" t="str">
        <f>'Raw Datas'!U82</f>
        <v>0</v>
      </c>
      <c r="X37" s="63" t="str">
        <f>'Raw Datas'!V82</f>
        <v>0</v>
      </c>
      <c r="Y37" s="63" t="str">
        <f>'Raw Datas'!W82</f>
        <v>0</v>
      </c>
      <c r="Z37" s="63" t="str">
        <f>'Raw Datas'!X82</f>
        <v>0</v>
      </c>
      <c r="AA37" s="63" t="str">
        <f>'Raw Datas'!Y82</f>
        <v>0</v>
      </c>
      <c r="AB37" s="63" t="str">
        <f>'Raw Datas'!Z82</f>
        <v>0</v>
      </c>
      <c r="AC37" s="63" t="str">
        <f>'Raw Datas'!AA82</f>
        <v>0</v>
      </c>
      <c r="AD37" s="63" t="str">
        <f>'Raw Datas'!AB82</f>
        <v>0</v>
      </c>
      <c r="AE37" s="63" t="str">
        <f>'Raw Datas'!AC82</f>
        <v>0</v>
      </c>
      <c r="AF37" s="63" t="str">
        <f>'Raw Datas'!AD82</f>
        <v>0</v>
      </c>
      <c r="AG37" s="63" t="str">
        <f>'Raw Datas'!AE82</f>
        <v>0</v>
      </c>
      <c r="AH37" s="63" t="str">
        <f>'Raw Datas'!AF82</f>
        <v>0</v>
      </c>
      <c r="AI37" s="63" t="str">
        <f>'Raw Datas'!AG82</f>
        <v>0</v>
      </c>
      <c r="AJ37" s="63" t="str">
        <f>'Raw Datas'!AH82</f>
        <v>0</v>
      </c>
      <c r="AK37" s="63" t="str">
        <f>'Raw Datas'!AI82</f>
        <v>0</v>
      </c>
      <c r="AL37" s="63" t="str">
        <f>'Raw Datas'!AJ82</f>
        <v>0</v>
      </c>
      <c r="AM37" s="63" t="str">
        <f>'Raw Datas'!AK82</f>
        <v>0</v>
      </c>
      <c r="AN37" s="63" t="str">
        <f>'Raw Datas'!AL82</f>
        <v>0</v>
      </c>
      <c r="AO37" s="63" t="str">
        <f>'Raw Datas'!AM82</f>
        <v>0</v>
      </c>
      <c r="AP37" s="63" t="str">
        <f>'Raw Datas'!AN82</f>
        <v>0</v>
      </c>
      <c r="AQ37" s="63" t="str">
        <f>'Raw Datas'!AO82</f>
        <v>0</v>
      </c>
      <c r="AR37" s="63" t="str">
        <f>'Raw Datas'!AP82</f>
        <v>0</v>
      </c>
      <c r="AS37" s="63" t="str">
        <f>'Raw Datas'!AQ82</f>
        <v>0</v>
      </c>
      <c r="AT37" s="63" t="str">
        <f>'Raw Datas'!AR82</f>
        <v>0</v>
      </c>
      <c r="AU37" s="63" t="str">
        <f>'Raw Datas'!AS82</f>
        <v>0</v>
      </c>
      <c r="AV37" s="63" t="str">
        <f>'Raw Datas'!AT82</f>
        <v>0</v>
      </c>
      <c r="AW37" s="63" t="str">
        <f>'Raw Datas'!AU82</f>
        <v>0</v>
      </c>
      <c r="AX37" s="63" t="str">
        <f>'Raw Datas'!AV82</f>
        <v>0</v>
      </c>
      <c r="AY37" s="63" t="str">
        <f>'Raw Datas'!AW82</f>
        <v>0</v>
      </c>
      <c r="AZ37" s="63" t="str">
        <f>'Raw Datas'!AX82</f>
        <v>0</v>
      </c>
      <c r="BA37" s="63" t="str">
        <f>'Raw Datas'!AY82</f>
        <v>0</v>
      </c>
      <c r="BB37" s="63" t="str">
        <f>'Raw Datas'!AZ82</f>
        <v>0</v>
      </c>
      <c r="BC37" s="63" t="str">
        <f>'Raw Datas'!BA82</f>
        <v>0</v>
      </c>
      <c r="BD37" s="63" t="str">
        <f>'Raw Datas'!BB82</f>
        <v>0</v>
      </c>
      <c r="BE37" s="63" t="str">
        <f>'Raw Datas'!BC82</f>
        <v>0</v>
      </c>
      <c r="BF37" s="63" t="str">
        <f>'Raw Datas'!BD82</f>
        <v>0</v>
      </c>
      <c r="BG37" s="63" t="str">
        <f>'Raw Datas'!BE82</f>
        <v>0</v>
      </c>
      <c r="BH37" s="63" t="str">
        <f>'Raw Datas'!BF82</f>
        <v>0</v>
      </c>
      <c r="BI37" s="63" t="str">
        <f>'Raw Datas'!BG82</f>
        <v>0</v>
      </c>
      <c r="BJ37" s="63" t="str">
        <f>'Raw Datas'!BH82</f>
        <v>0</v>
      </c>
      <c r="BK37" s="63" t="str">
        <f>'Raw Datas'!BI82</f>
        <v>0</v>
      </c>
      <c r="BL37" s="63" t="str">
        <f>'Raw Datas'!BJ82</f>
        <v>0</v>
      </c>
      <c r="BM37" s="63" t="str">
        <f>'Raw Datas'!BK82</f>
        <v>0</v>
      </c>
      <c r="BN37" s="63" t="str">
        <f>'Raw Datas'!BL82</f>
        <v>0</v>
      </c>
      <c r="BO37" s="63" t="str">
        <f>'Raw Datas'!BM82</f>
        <v>0</v>
      </c>
      <c r="BP37" s="63" t="str">
        <f>'Raw Datas'!BN82</f>
        <v>0</v>
      </c>
      <c r="BQ37" s="63" t="str">
        <f>'Raw Datas'!BO82</f>
        <v>0</v>
      </c>
      <c r="BR37" s="63" t="str">
        <f>'Raw Datas'!BP82</f>
        <v>0</v>
      </c>
      <c r="BS37" s="63" t="str">
        <f>'Raw Datas'!BQ82</f>
        <v>0</v>
      </c>
      <c r="BT37" s="63" t="str">
        <f>'Raw Datas'!BR82</f>
        <v>0</v>
      </c>
      <c r="BU37" s="63" t="str">
        <f>'Raw Datas'!BS82</f>
        <v>0</v>
      </c>
      <c r="BV37" s="63" t="str">
        <f>'Raw Datas'!BT82</f>
        <v>0</v>
      </c>
      <c r="BW37" s="63" t="str">
        <f>'Raw Datas'!BU82</f>
        <v>0</v>
      </c>
      <c r="BX37" s="63" t="str">
        <f>'Raw Datas'!BV82</f>
        <v>0</v>
      </c>
      <c r="BY37" s="63" t="str">
        <f>'Raw Datas'!BW82</f>
        <v>0</v>
      </c>
      <c r="BZ37" s="63" t="str">
        <f>'Raw Datas'!BX82</f>
        <v>0</v>
      </c>
      <c r="CA37" s="63" t="str">
        <f>'Raw Datas'!BY82</f>
        <v>0</v>
      </c>
      <c r="CB37" s="63" t="str">
        <f>'Raw Datas'!BZ82</f>
        <v>0</v>
      </c>
      <c r="CC37" s="63" t="str">
        <f>'Raw Datas'!CA82</f>
        <v>0</v>
      </c>
      <c r="CD37" s="63" t="str">
        <f>'Raw Datas'!CB82</f>
        <v>0</v>
      </c>
      <c r="CE37" s="63" t="str">
        <f>'Raw Datas'!CC82</f>
        <v>0</v>
      </c>
      <c r="CF37" s="63" t="str">
        <f>'Raw Datas'!CD82</f>
        <v>0</v>
      </c>
      <c r="CG37" s="63" t="str">
        <f>'Raw Datas'!CE82</f>
        <v>0</v>
      </c>
      <c r="CH37" s="63" t="str">
        <f>'Raw Datas'!CF82</f>
        <v>0</v>
      </c>
      <c r="CI37" s="63" t="str">
        <f>'Raw Datas'!CG82</f>
        <v>0</v>
      </c>
      <c r="CJ37" s="63" t="str">
        <f>'Raw Datas'!CH82</f>
        <v>0</v>
      </c>
      <c r="CK37" s="63" t="str">
        <f>'Raw Datas'!CI82</f>
        <v>0</v>
      </c>
      <c r="CL37" s="63" t="str">
        <f>'Raw Datas'!CJ82</f>
        <v>0</v>
      </c>
      <c r="CM37" s="63" t="str">
        <f>'Raw Datas'!CK82</f>
        <v>0</v>
      </c>
      <c r="CN37" s="63" t="str">
        <f>'Raw Datas'!CL82</f>
        <v>0</v>
      </c>
      <c r="CO37" s="63" t="str">
        <f>'Raw Datas'!CM82</f>
        <v>0</v>
      </c>
      <c r="CP37" s="63" t="str">
        <f>'Raw Datas'!CN82</f>
        <v>0</v>
      </c>
      <c r="CQ37" s="63" t="str">
        <f>'Raw Datas'!CO82</f>
        <v>0</v>
      </c>
      <c r="CR37" s="63" t="str">
        <f>'Raw Datas'!CP82</f>
        <v>0</v>
      </c>
      <c r="CS37" s="63" t="str">
        <f>'Raw Datas'!CQ82</f>
        <v>0</v>
      </c>
      <c r="CT37" s="63" t="str">
        <f>'Raw Datas'!CR82</f>
        <v>0</v>
      </c>
      <c r="CU37" s="63" t="str">
        <f>'Raw Datas'!CS82</f>
        <v>0</v>
      </c>
      <c r="CV37" s="63" t="str">
        <f>'Raw Datas'!CT82</f>
        <v>0</v>
      </c>
      <c r="CW37" s="63" t="str">
        <f>'Raw Datas'!CU82</f>
        <v>0</v>
      </c>
      <c r="CX37" s="63" t="str">
        <f>'Raw Datas'!CV82</f>
        <v>0</v>
      </c>
      <c r="CY37" s="63" t="str">
        <f>'Raw Datas'!CW82</f>
        <v>0</v>
      </c>
      <c r="CZ37" s="63" t="str">
        <f>'Raw Datas'!CX82</f>
        <v>0</v>
      </c>
      <c r="DA37" s="63" t="str">
        <f>'Raw Datas'!CY82</f>
        <v>0</v>
      </c>
      <c r="DB37" s="63" t="str">
        <f>'Raw Datas'!CZ82</f>
        <v>0</v>
      </c>
      <c r="DC37" s="63" t="str">
        <f>'Raw Datas'!DA82</f>
        <v>0</v>
      </c>
      <c r="DD37" s="63" t="str">
        <f>'Raw Datas'!DB82</f>
        <v>0</v>
      </c>
      <c r="DE37" s="63" t="str">
        <f>'Raw Datas'!DC82</f>
        <v>0</v>
      </c>
      <c r="DF37" s="63" t="str">
        <f>'Raw Datas'!DD82</f>
        <v>0</v>
      </c>
      <c r="DG37" s="63" t="str">
        <f>'Raw Datas'!DE82</f>
        <v>0</v>
      </c>
      <c r="DH37" s="63" t="str">
        <f>'Raw Datas'!DF82</f>
        <v>0</v>
      </c>
      <c r="DI37" s="63" t="str">
        <f>'Raw Datas'!DG82</f>
        <v>0</v>
      </c>
      <c r="DJ37" s="63" t="str">
        <f>'Raw Datas'!DH82</f>
        <v>0</v>
      </c>
      <c r="DK37" s="63" t="str">
        <f>'Raw Datas'!DI82</f>
        <v>0</v>
      </c>
      <c r="DL37" s="63" t="str">
        <f>'Raw Datas'!DJ82</f>
        <v>0</v>
      </c>
      <c r="DM37" s="63" t="str">
        <f>'Raw Datas'!DK82</f>
        <v>0</v>
      </c>
      <c r="DN37" s="63" t="str">
        <f>'Raw Datas'!DL82</f>
        <v>0</v>
      </c>
      <c r="DO37" s="63" t="str">
        <f>'Raw Datas'!DM82</f>
        <v>0</v>
      </c>
      <c r="DP37" s="63" t="str">
        <f>'Raw Datas'!DN82</f>
        <v>0</v>
      </c>
      <c r="DQ37" s="63" t="str">
        <f>'Raw Datas'!DO82</f>
        <v>0</v>
      </c>
      <c r="DR37" s="63" t="str">
        <f>'Raw Datas'!DP82</f>
        <v>0</v>
      </c>
      <c r="DS37" s="63" t="str">
        <f>'Raw Datas'!DQ82</f>
        <v>0</v>
      </c>
      <c r="DT37" s="63" t="str">
        <f>'Raw Datas'!DR82</f>
        <v>0</v>
      </c>
      <c r="DU37" s="63" t="str">
        <f>'Raw Datas'!DS82</f>
        <v>0</v>
      </c>
      <c r="DV37" s="63" t="str">
        <f>'Raw Datas'!DT82</f>
        <v>0</v>
      </c>
      <c r="DW37" s="63" t="str">
        <f>'Raw Datas'!DU82</f>
        <v>0</v>
      </c>
      <c r="DX37" s="63" t="str">
        <f>'Raw Datas'!DV82</f>
        <v>0</v>
      </c>
      <c r="DY37" s="63" t="str">
        <f>'Raw Datas'!DW82</f>
        <v>0</v>
      </c>
      <c r="DZ37" s="63" t="str">
        <f>'Raw Datas'!DX82</f>
        <v>0</v>
      </c>
      <c r="EA37" s="63" t="str">
        <f>'Raw Datas'!DY82</f>
        <v>0</v>
      </c>
      <c r="EB37" s="63" t="str">
        <f>'Raw Datas'!DZ82</f>
        <v>0</v>
      </c>
      <c r="EC37" s="63" t="str">
        <f>'Raw Datas'!EA82</f>
        <v>0</v>
      </c>
      <c r="ED37" s="63" t="str">
        <f>'Raw Datas'!EB82</f>
        <v>0</v>
      </c>
      <c r="EE37" s="63" t="str">
        <f>'Raw Datas'!EC82</f>
        <v>0</v>
      </c>
      <c r="EF37" s="63" t="str">
        <f>'Raw Datas'!ED82</f>
        <v>0</v>
      </c>
      <c r="EG37" s="63" t="str">
        <f>'Raw Datas'!EE82</f>
        <v>0</v>
      </c>
      <c r="EH37" s="63" t="str">
        <f>'Raw Datas'!EF82</f>
        <v>0</v>
      </c>
      <c r="EI37" s="63" t="str">
        <f>'Raw Datas'!EG82</f>
        <v>0</v>
      </c>
      <c r="EJ37" s="63" t="str">
        <f>'Raw Datas'!EH82</f>
        <v>0</v>
      </c>
      <c r="EK37" s="63" t="str">
        <f>'Raw Datas'!EI82</f>
        <v>0</v>
      </c>
      <c r="EL37" s="63" t="str">
        <f>'Raw Datas'!EJ82</f>
        <v>0</v>
      </c>
      <c r="EM37" s="63" t="str">
        <f>'Raw Datas'!EK82</f>
        <v>0</v>
      </c>
      <c r="EN37" s="63" t="str">
        <f>'Raw Datas'!EL82</f>
        <v>0</v>
      </c>
      <c r="EO37" s="63" t="str">
        <f>'Raw Datas'!EM82</f>
        <v>0</v>
      </c>
      <c r="EP37" s="63" t="str">
        <f>'Raw Datas'!EN82</f>
        <v>0</v>
      </c>
      <c r="EQ37" s="63" t="str">
        <f>'Raw Datas'!EO82</f>
        <v>0</v>
      </c>
      <c r="ER37" s="63" t="str">
        <f>'Raw Datas'!EP82</f>
        <v>0</v>
      </c>
      <c r="ES37" s="63" t="str">
        <f>'Raw Datas'!EQ82</f>
        <v>0</v>
      </c>
      <c r="ET37" s="63" t="str">
        <f>'Raw Datas'!ER82</f>
        <v>0</v>
      </c>
      <c r="EU37" s="63" t="str">
        <f>'Raw Datas'!ES82</f>
        <v>0</v>
      </c>
      <c r="EV37" s="63" t="str">
        <f>'Raw Datas'!ET82</f>
        <v>0</v>
      </c>
      <c r="EW37" s="63" t="str">
        <f>'Raw Datas'!EU82</f>
        <v>0</v>
      </c>
      <c r="EX37" s="63" t="str">
        <f>'Raw Datas'!EV82</f>
        <v>0</v>
      </c>
      <c r="EY37" s="63" t="str">
        <f>'Raw Datas'!EW82</f>
        <v>0</v>
      </c>
      <c r="EZ37" s="63" t="str">
        <f>'Raw Datas'!EX82</f>
        <v>0</v>
      </c>
      <c r="FA37" s="63" t="str">
        <f>'Raw Datas'!EY82</f>
        <v>0</v>
      </c>
      <c r="FB37" s="63" t="str">
        <f>'Raw Datas'!EZ82</f>
        <v>0</v>
      </c>
      <c r="FC37" s="63" t="str">
        <f>'Raw Datas'!FA82</f>
        <v>0</v>
      </c>
      <c r="FD37" s="63" t="str">
        <f>'Raw Datas'!FB82</f>
        <v>0</v>
      </c>
      <c r="FE37" s="63" t="str">
        <f>'Raw Datas'!FC82</f>
        <v>0</v>
      </c>
      <c r="FF37" s="63" t="str">
        <f>'Raw Datas'!FD82</f>
        <v>0</v>
      </c>
      <c r="FG37" s="63" t="str">
        <f>'Raw Datas'!FE82</f>
        <v>0</v>
      </c>
      <c r="FH37" s="63" t="str">
        <f>'Raw Datas'!FF82</f>
        <v>0</v>
      </c>
      <c r="FI37" s="63" t="str">
        <f>'Raw Datas'!FG82</f>
        <v>0</v>
      </c>
      <c r="FJ37" s="63" t="str">
        <f>'Raw Datas'!FH82</f>
        <v>0</v>
      </c>
      <c r="FK37" s="63" t="str">
        <f>'Raw Datas'!FI82</f>
        <v>0</v>
      </c>
      <c r="FL37" s="63" t="str">
        <f>'Raw Datas'!FJ82</f>
        <v>0</v>
      </c>
      <c r="FM37" s="63" t="str">
        <f>'Raw Datas'!FK82</f>
        <v>0</v>
      </c>
      <c r="FN37" s="63" t="str">
        <f>'Raw Datas'!FL82</f>
        <v>0</v>
      </c>
      <c r="FO37" s="63" t="str">
        <f>'Raw Datas'!FM82</f>
        <v>0</v>
      </c>
      <c r="FP37" s="63" t="str">
        <f>'Raw Datas'!FN82</f>
        <v>0</v>
      </c>
      <c r="FQ37" s="63" t="str">
        <f>'Raw Datas'!FO82</f>
        <v>0</v>
      </c>
    </row>
    <row r="38" spans="1:16092" ht="15.75" customHeight="1" x14ac:dyDescent="0.2">
      <c r="A38" s="117"/>
      <c r="B38" s="57" t="s">
        <v>235</v>
      </c>
      <c r="C38" s="104" t="s">
        <v>749</v>
      </c>
      <c r="D38" s="104"/>
      <c r="E38" s="60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63"/>
      <c r="EX38" s="63"/>
      <c r="EY38" s="63"/>
      <c r="EZ38" s="63"/>
      <c r="FA38" s="63"/>
      <c r="FB38" s="63"/>
      <c r="FC38" s="63"/>
      <c r="FD38" s="63"/>
      <c r="FE38" s="63"/>
      <c r="FF38" s="63"/>
      <c r="FG38" s="63"/>
      <c r="FH38" s="63"/>
      <c r="FI38" s="63"/>
      <c r="FJ38" s="63"/>
      <c r="FK38" s="63"/>
      <c r="FL38" s="63"/>
      <c r="FM38" s="63"/>
      <c r="FN38" s="63"/>
      <c r="FO38" s="63"/>
      <c r="FP38" s="63"/>
      <c r="FQ38" s="63"/>
    </row>
    <row r="39" spans="1:16092" ht="15.75" customHeight="1" x14ac:dyDescent="0.2">
      <c r="A39" s="117"/>
      <c r="B39" s="57" t="s">
        <v>6</v>
      </c>
      <c r="C39" s="104" t="s">
        <v>752</v>
      </c>
      <c r="D39" s="104"/>
      <c r="E39" s="60" t="str">
        <f>'Raw Datas'!C84</f>
        <v>0</v>
      </c>
      <c r="F39" s="63" t="str">
        <f>'Raw Datas'!D84</f>
        <v>0</v>
      </c>
      <c r="G39" s="63" t="str">
        <f>'Raw Datas'!E84</f>
        <v>0</v>
      </c>
      <c r="H39" s="63" t="str">
        <f>'Raw Datas'!F84</f>
        <v>0</v>
      </c>
      <c r="I39" s="63" t="str">
        <f>'Raw Datas'!G84</f>
        <v>0</v>
      </c>
      <c r="J39" s="63" t="str">
        <f>'Raw Datas'!H84</f>
        <v>0</v>
      </c>
      <c r="K39" s="63" t="str">
        <f>'Raw Datas'!I84</f>
        <v>0</v>
      </c>
      <c r="L39" s="63" t="str">
        <f>'Raw Datas'!J84</f>
        <v>0</v>
      </c>
      <c r="M39" s="63" t="str">
        <f>'Raw Datas'!K84</f>
        <v>0</v>
      </c>
      <c r="N39" s="63" t="str">
        <f>'Raw Datas'!L84</f>
        <v>0</v>
      </c>
      <c r="O39" s="63" t="str">
        <f>'Raw Datas'!M84</f>
        <v>0</v>
      </c>
      <c r="P39" s="63" t="str">
        <f>'Raw Datas'!N84</f>
        <v>0</v>
      </c>
      <c r="Q39" s="63" t="str">
        <f>'Raw Datas'!O84</f>
        <v>0</v>
      </c>
      <c r="R39" s="63" t="str">
        <f>'Raw Datas'!P84</f>
        <v>0</v>
      </c>
      <c r="S39" s="63" t="str">
        <f>'Raw Datas'!Q84</f>
        <v>0</v>
      </c>
      <c r="T39" s="63" t="str">
        <f>'Raw Datas'!R84</f>
        <v>0</v>
      </c>
      <c r="U39" s="63" t="str">
        <f>'Raw Datas'!S84</f>
        <v>0</v>
      </c>
      <c r="V39" s="63" t="str">
        <f>'Raw Datas'!T84</f>
        <v>0</v>
      </c>
      <c r="W39" s="63" t="str">
        <f>'Raw Datas'!U84</f>
        <v>0</v>
      </c>
      <c r="X39" s="63" t="str">
        <f>'Raw Datas'!V84</f>
        <v>0</v>
      </c>
      <c r="Y39" s="63" t="str">
        <f>'Raw Datas'!W84</f>
        <v>0</v>
      </c>
      <c r="Z39" s="63" t="str">
        <f>'Raw Datas'!X84</f>
        <v>0</v>
      </c>
      <c r="AA39" s="63" t="str">
        <f>'Raw Datas'!Y84</f>
        <v>0</v>
      </c>
      <c r="AB39" s="63" t="str">
        <f>'Raw Datas'!Z84</f>
        <v>0</v>
      </c>
      <c r="AC39" s="63" t="str">
        <f>'Raw Datas'!AA84</f>
        <v>0</v>
      </c>
      <c r="AD39" s="63" t="str">
        <f>'Raw Datas'!AB84</f>
        <v>0</v>
      </c>
      <c r="AE39" s="63" t="str">
        <f>'Raw Datas'!AC84</f>
        <v>0</v>
      </c>
      <c r="AF39" s="63" t="str">
        <f>'Raw Datas'!AD84</f>
        <v>0</v>
      </c>
      <c r="AG39" s="63" t="str">
        <f>'Raw Datas'!AE84</f>
        <v>0</v>
      </c>
      <c r="AH39" s="63" t="str">
        <f>'Raw Datas'!AF84</f>
        <v>0</v>
      </c>
      <c r="AI39" s="63" t="str">
        <f>'Raw Datas'!AG84</f>
        <v>0</v>
      </c>
      <c r="AJ39" s="63" t="str">
        <f>'Raw Datas'!AH84</f>
        <v>0</v>
      </c>
      <c r="AK39" s="63" t="str">
        <f>'Raw Datas'!AI84</f>
        <v>0</v>
      </c>
      <c r="AL39" s="63" t="str">
        <f>'Raw Datas'!AJ84</f>
        <v>0</v>
      </c>
      <c r="AM39" s="63" t="str">
        <f>'Raw Datas'!AK84</f>
        <v>0</v>
      </c>
      <c r="AN39" s="63" t="str">
        <f>'Raw Datas'!AL84</f>
        <v>0</v>
      </c>
      <c r="AO39" s="63" t="str">
        <f>'Raw Datas'!AM84</f>
        <v>0</v>
      </c>
      <c r="AP39" s="63" t="str">
        <f>'Raw Datas'!AN84</f>
        <v>0</v>
      </c>
      <c r="AQ39" s="63" t="str">
        <f>'Raw Datas'!AO84</f>
        <v>0</v>
      </c>
      <c r="AR39" s="63" t="str">
        <f>'Raw Datas'!AP84</f>
        <v>0</v>
      </c>
      <c r="AS39" s="63" t="str">
        <f>'Raw Datas'!AQ84</f>
        <v>0</v>
      </c>
      <c r="AT39" s="63" t="str">
        <f>'Raw Datas'!AR84</f>
        <v>0</v>
      </c>
      <c r="AU39" s="63" t="str">
        <f>'Raw Datas'!AS84</f>
        <v>0</v>
      </c>
      <c r="AV39" s="63" t="str">
        <f>'Raw Datas'!AT84</f>
        <v>0</v>
      </c>
      <c r="AW39" s="63" t="str">
        <f>'Raw Datas'!AU84</f>
        <v>0</v>
      </c>
      <c r="AX39" s="63" t="str">
        <f>'Raw Datas'!AV84</f>
        <v>0</v>
      </c>
      <c r="AY39" s="63" t="str">
        <f>'Raw Datas'!AW84</f>
        <v>0</v>
      </c>
      <c r="AZ39" s="63" t="str">
        <f>'Raw Datas'!AX84</f>
        <v>0</v>
      </c>
      <c r="BA39" s="63" t="str">
        <f>'Raw Datas'!AY84</f>
        <v>0</v>
      </c>
      <c r="BB39" s="63" t="str">
        <f>'Raw Datas'!AZ84</f>
        <v>0</v>
      </c>
      <c r="BC39" s="63" t="str">
        <f>'Raw Datas'!BA84</f>
        <v>0</v>
      </c>
      <c r="BD39" s="63" t="str">
        <f>'Raw Datas'!BB84</f>
        <v>0</v>
      </c>
      <c r="BE39" s="63" t="str">
        <f>'Raw Datas'!BC84</f>
        <v>0</v>
      </c>
      <c r="BF39" s="63" t="str">
        <f>'Raw Datas'!BD84</f>
        <v>0</v>
      </c>
      <c r="BG39" s="63" t="str">
        <f>'Raw Datas'!BE84</f>
        <v>0</v>
      </c>
      <c r="BH39" s="63" t="str">
        <f>'Raw Datas'!BF84</f>
        <v>0</v>
      </c>
      <c r="BI39" s="63" t="str">
        <f>'Raw Datas'!BG84</f>
        <v>0</v>
      </c>
      <c r="BJ39" s="63" t="str">
        <f>'Raw Datas'!BH84</f>
        <v>0</v>
      </c>
      <c r="BK39" s="63" t="str">
        <f>'Raw Datas'!BI84</f>
        <v>0</v>
      </c>
      <c r="BL39" s="63" t="str">
        <f>'Raw Datas'!BJ84</f>
        <v>0</v>
      </c>
      <c r="BM39" s="63" t="str">
        <f>'Raw Datas'!BK84</f>
        <v>0</v>
      </c>
      <c r="BN39" s="63" t="str">
        <f>'Raw Datas'!BL84</f>
        <v>0</v>
      </c>
      <c r="BO39" s="63" t="str">
        <f>'Raw Datas'!BM84</f>
        <v>0</v>
      </c>
      <c r="BP39" s="63" t="str">
        <f>'Raw Datas'!BN84</f>
        <v>0</v>
      </c>
      <c r="BQ39" s="63" t="str">
        <f>'Raw Datas'!BO84</f>
        <v>0</v>
      </c>
      <c r="BR39" s="63" t="str">
        <f>'Raw Datas'!BP84</f>
        <v>0</v>
      </c>
      <c r="BS39" s="63" t="str">
        <f>'Raw Datas'!BQ84</f>
        <v>0</v>
      </c>
      <c r="BT39" s="63" t="str">
        <f>'Raw Datas'!BR84</f>
        <v>0</v>
      </c>
      <c r="BU39" s="63" t="str">
        <f>'Raw Datas'!BS84</f>
        <v>0</v>
      </c>
      <c r="BV39" s="63" t="str">
        <f>'Raw Datas'!BT84</f>
        <v>0</v>
      </c>
      <c r="BW39" s="63" t="str">
        <f>'Raw Datas'!BU84</f>
        <v>0</v>
      </c>
      <c r="BX39" s="63" t="str">
        <f>'Raw Datas'!BV84</f>
        <v>0</v>
      </c>
      <c r="BY39" s="63" t="str">
        <f>'Raw Datas'!BW84</f>
        <v>0</v>
      </c>
      <c r="BZ39" s="63" t="str">
        <f>'Raw Datas'!BX84</f>
        <v>0</v>
      </c>
      <c r="CA39" s="63" t="str">
        <f>'Raw Datas'!BY84</f>
        <v>0</v>
      </c>
      <c r="CB39" s="63" t="str">
        <f>'Raw Datas'!BZ84</f>
        <v>0</v>
      </c>
      <c r="CC39" s="63" t="str">
        <f>'Raw Datas'!CA84</f>
        <v>0</v>
      </c>
      <c r="CD39" s="63" t="str">
        <f>'Raw Datas'!CB84</f>
        <v>0</v>
      </c>
      <c r="CE39" s="63" t="str">
        <f>'Raw Datas'!CC84</f>
        <v>0</v>
      </c>
      <c r="CF39" s="63" t="str">
        <f>'Raw Datas'!CD84</f>
        <v>0</v>
      </c>
      <c r="CG39" s="63" t="str">
        <f>'Raw Datas'!CE84</f>
        <v>0</v>
      </c>
      <c r="CH39" s="63" t="str">
        <f>'Raw Datas'!CF84</f>
        <v>0</v>
      </c>
      <c r="CI39" s="63" t="str">
        <f>'Raw Datas'!CG84</f>
        <v>0</v>
      </c>
      <c r="CJ39" s="63" t="str">
        <f>'Raw Datas'!CH84</f>
        <v>0</v>
      </c>
      <c r="CK39" s="63" t="str">
        <f>'Raw Datas'!CI84</f>
        <v>0</v>
      </c>
      <c r="CL39" s="63" t="str">
        <f>'Raw Datas'!CJ84</f>
        <v>0</v>
      </c>
      <c r="CM39" s="63" t="str">
        <f>'Raw Datas'!CK84</f>
        <v>0</v>
      </c>
      <c r="CN39" s="63" t="str">
        <f>'Raw Datas'!CL84</f>
        <v>0</v>
      </c>
      <c r="CO39" s="63" t="str">
        <f>'Raw Datas'!CM84</f>
        <v>0</v>
      </c>
      <c r="CP39" s="63" t="str">
        <f>'Raw Datas'!CN84</f>
        <v>0</v>
      </c>
      <c r="CQ39" s="63" t="str">
        <f>'Raw Datas'!CO84</f>
        <v>0</v>
      </c>
      <c r="CR39" s="63" t="str">
        <f>'Raw Datas'!CP84</f>
        <v>0</v>
      </c>
      <c r="CS39" s="63" t="str">
        <f>'Raw Datas'!CQ84</f>
        <v>0</v>
      </c>
      <c r="CT39" s="63" t="str">
        <f>'Raw Datas'!CR84</f>
        <v>0</v>
      </c>
      <c r="CU39" s="63" t="str">
        <f>'Raw Datas'!CS84</f>
        <v>0</v>
      </c>
      <c r="CV39" s="63" t="str">
        <f>'Raw Datas'!CT84</f>
        <v>0</v>
      </c>
      <c r="CW39" s="63" t="str">
        <f>'Raw Datas'!CU84</f>
        <v>0</v>
      </c>
      <c r="CX39" s="63" t="str">
        <f>'Raw Datas'!CV84</f>
        <v>0</v>
      </c>
      <c r="CY39" s="63" t="str">
        <f>'Raw Datas'!CW84</f>
        <v>0</v>
      </c>
      <c r="CZ39" s="63" t="str">
        <f>'Raw Datas'!CX84</f>
        <v>0</v>
      </c>
      <c r="DA39" s="63" t="str">
        <f>'Raw Datas'!CY84</f>
        <v>0</v>
      </c>
      <c r="DB39" s="63" t="str">
        <f>'Raw Datas'!CZ84</f>
        <v>0</v>
      </c>
      <c r="DC39" s="63" t="str">
        <f>'Raw Datas'!DA84</f>
        <v>0</v>
      </c>
      <c r="DD39" s="63" t="str">
        <f>'Raw Datas'!DB84</f>
        <v>0</v>
      </c>
      <c r="DE39" s="63" t="str">
        <f>'Raw Datas'!DC84</f>
        <v>0</v>
      </c>
      <c r="DF39" s="63" t="str">
        <f>'Raw Datas'!DD84</f>
        <v>0</v>
      </c>
      <c r="DG39" s="63" t="str">
        <f>'Raw Datas'!DE84</f>
        <v>0</v>
      </c>
      <c r="DH39" s="63" t="str">
        <f>'Raw Datas'!DF84</f>
        <v>0</v>
      </c>
      <c r="DI39" s="63" t="str">
        <f>'Raw Datas'!DG84</f>
        <v>0</v>
      </c>
      <c r="DJ39" s="63" t="str">
        <f>'Raw Datas'!DH84</f>
        <v>0</v>
      </c>
      <c r="DK39" s="63" t="str">
        <f>'Raw Datas'!DI84</f>
        <v>0</v>
      </c>
      <c r="DL39" s="63" t="str">
        <f>'Raw Datas'!DJ84</f>
        <v>0</v>
      </c>
      <c r="DM39" s="63" t="str">
        <f>'Raw Datas'!DK84</f>
        <v>0</v>
      </c>
      <c r="DN39" s="63" t="str">
        <f>'Raw Datas'!DL84</f>
        <v>0</v>
      </c>
      <c r="DO39" s="63" t="str">
        <f>'Raw Datas'!DM84</f>
        <v>0</v>
      </c>
      <c r="DP39" s="63" t="str">
        <f>'Raw Datas'!DN84</f>
        <v>0</v>
      </c>
      <c r="DQ39" s="63" t="str">
        <f>'Raw Datas'!DO84</f>
        <v>0</v>
      </c>
      <c r="DR39" s="63" t="str">
        <f>'Raw Datas'!DP84</f>
        <v>0</v>
      </c>
      <c r="DS39" s="63" t="str">
        <f>'Raw Datas'!DQ84</f>
        <v>0</v>
      </c>
      <c r="DT39" s="63" t="str">
        <f>'Raw Datas'!DR84</f>
        <v>0</v>
      </c>
      <c r="DU39" s="63" t="str">
        <f>'Raw Datas'!DS84</f>
        <v>0</v>
      </c>
      <c r="DV39" s="63" t="str">
        <f>'Raw Datas'!DT84</f>
        <v>0</v>
      </c>
      <c r="DW39" s="63" t="str">
        <f>'Raw Datas'!DU84</f>
        <v>0</v>
      </c>
      <c r="DX39" s="63" t="str">
        <f>'Raw Datas'!DV84</f>
        <v>0</v>
      </c>
      <c r="DY39" s="63" t="str">
        <f>'Raw Datas'!DW84</f>
        <v>0</v>
      </c>
      <c r="DZ39" s="63" t="str">
        <f>'Raw Datas'!DX84</f>
        <v>0</v>
      </c>
      <c r="EA39" s="63" t="str">
        <f>'Raw Datas'!DY84</f>
        <v>0</v>
      </c>
      <c r="EB39" s="63" t="str">
        <f>'Raw Datas'!DZ84</f>
        <v>0</v>
      </c>
      <c r="EC39" s="63" t="str">
        <f>'Raw Datas'!EA84</f>
        <v>0</v>
      </c>
      <c r="ED39" s="63" t="str">
        <f>'Raw Datas'!EB84</f>
        <v>0</v>
      </c>
      <c r="EE39" s="63" t="str">
        <f>'Raw Datas'!EC84</f>
        <v>0</v>
      </c>
      <c r="EF39" s="63" t="str">
        <f>'Raw Datas'!ED84</f>
        <v>0</v>
      </c>
      <c r="EG39" s="63" t="str">
        <f>'Raw Datas'!EE84</f>
        <v>0</v>
      </c>
      <c r="EH39" s="63" t="str">
        <f>'Raw Datas'!EF84</f>
        <v>0</v>
      </c>
      <c r="EI39" s="63" t="str">
        <f>'Raw Datas'!EG84</f>
        <v>0</v>
      </c>
      <c r="EJ39" s="63" t="str">
        <f>'Raw Datas'!EH84</f>
        <v>0</v>
      </c>
      <c r="EK39" s="63" t="str">
        <f>'Raw Datas'!EI84</f>
        <v>0</v>
      </c>
      <c r="EL39" s="63" t="str">
        <f>'Raw Datas'!EJ84</f>
        <v>0</v>
      </c>
      <c r="EM39" s="63" t="str">
        <f>'Raw Datas'!EK84</f>
        <v>0</v>
      </c>
      <c r="EN39" s="63" t="str">
        <f>'Raw Datas'!EL84</f>
        <v>0</v>
      </c>
      <c r="EO39" s="63" t="str">
        <f>'Raw Datas'!EM84</f>
        <v>0</v>
      </c>
      <c r="EP39" s="63" t="str">
        <f>'Raw Datas'!EN84</f>
        <v>0</v>
      </c>
      <c r="EQ39" s="63" t="str">
        <f>'Raw Datas'!EO84</f>
        <v>0</v>
      </c>
      <c r="ER39" s="63" t="str">
        <f>'Raw Datas'!EP84</f>
        <v>0</v>
      </c>
      <c r="ES39" s="63" t="str">
        <f>'Raw Datas'!EQ84</f>
        <v>0</v>
      </c>
      <c r="ET39" s="63" t="str">
        <f>'Raw Datas'!ER84</f>
        <v>0</v>
      </c>
      <c r="EU39" s="63" t="str">
        <f>'Raw Datas'!ES84</f>
        <v>0</v>
      </c>
      <c r="EV39" s="63" t="str">
        <f>'Raw Datas'!ET84</f>
        <v>0</v>
      </c>
      <c r="EW39" s="63" t="str">
        <f>'Raw Datas'!EU84</f>
        <v>0</v>
      </c>
      <c r="EX39" s="63" t="str">
        <f>'Raw Datas'!EV84</f>
        <v>0</v>
      </c>
      <c r="EY39" s="63" t="str">
        <f>'Raw Datas'!EW84</f>
        <v>0</v>
      </c>
      <c r="EZ39" s="63" t="str">
        <f>'Raw Datas'!EX84</f>
        <v>0</v>
      </c>
      <c r="FA39" s="63" t="str">
        <f>'Raw Datas'!EY84</f>
        <v>0</v>
      </c>
      <c r="FB39" s="63" t="str">
        <f>'Raw Datas'!EZ84</f>
        <v>0</v>
      </c>
      <c r="FC39" s="63" t="str">
        <f>'Raw Datas'!FA84</f>
        <v>0</v>
      </c>
      <c r="FD39" s="63" t="str">
        <f>'Raw Datas'!FB84</f>
        <v>0</v>
      </c>
      <c r="FE39" s="63" t="str">
        <f>'Raw Datas'!FC84</f>
        <v>0</v>
      </c>
      <c r="FF39" s="63" t="str">
        <f>'Raw Datas'!FD84</f>
        <v>0</v>
      </c>
      <c r="FG39" s="63" t="str">
        <f>'Raw Datas'!FE84</f>
        <v>0</v>
      </c>
      <c r="FH39" s="63" t="str">
        <f>'Raw Datas'!FF84</f>
        <v>0</v>
      </c>
      <c r="FI39" s="63" t="str">
        <f>'Raw Datas'!FG84</f>
        <v>0</v>
      </c>
      <c r="FJ39" s="63" t="str">
        <f>'Raw Datas'!FH84</f>
        <v>0</v>
      </c>
      <c r="FK39" s="63" t="str">
        <f>'Raw Datas'!FI84</f>
        <v>0</v>
      </c>
      <c r="FL39" s="63" t="str">
        <f>'Raw Datas'!FJ84</f>
        <v>0</v>
      </c>
      <c r="FM39" s="63" t="str">
        <f>'Raw Datas'!FK84</f>
        <v>0</v>
      </c>
      <c r="FN39" s="63" t="str">
        <f>'Raw Datas'!FL84</f>
        <v>0</v>
      </c>
      <c r="FO39" s="63" t="str">
        <f>'Raw Datas'!FM84</f>
        <v>0</v>
      </c>
      <c r="FP39" s="63" t="str">
        <f>'Raw Datas'!FN84</f>
        <v>0</v>
      </c>
      <c r="FQ39" s="63" t="str">
        <f>'Raw Datas'!FO84</f>
        <v>0</v>
      </c>
    </row>
    <row r="40" spans="1:16092" ht="15.75" customHeight="1" x14ac:dyDescent="0.2">
      <c r="A40" s="117"/>
      <c r="B40" s="57" t="s">
        <v>12</v>
      </c>
      <c r="C40" s="104" t="s">
        <v>754</v>
      </c>
      <c r="D40" s="104"/>
      <c r="E40" s="60" t="str">
        <f>'Raw Datas'!C85</f>
        <v>0</v>
      </c>
      <c r="F40" s="63" t="str">
        <f>'Raw Datas'!D85</f>
        <v>0</v>
      </c>
      <c r="G40" s="63" t="str">
        <f>'Raw Datas'!E85</f>
        <v>0</v>
      </c>
      <c r="H40" s="63" t="str">
        <f>'Raw Datas'!F85</f>
        <v>0</v>
      </c>
      <c r="I40" s="63" t="str">
        <f>'Raw Datas'!G85</f>
        <v>0</v>
      </c>
      <c r="J40" s="63" t="str">
        <f>'Raw Datas'!H85</f>
        <v>0</v>
      </c>
      <c r="K40" s="63" t="str">
        <f>'Raw Datas'!I85</f>
        <v>0</v>
      </c>
      <c r="L40" s="63" t="str">
        <f>'Raw Datas'!J85</f>
        <v>0</v>
      </c>
      <c r="M40" s="63" t="str">
        <f>'Raw Datas'!K85</f>
        <v>0</v>
      </c>
      <c r="N40" s="63" t="str">
        <f>'Raw Datas'!L85</f>
        <v>0</v>
      </c>
      <c r="O40" s="63" t="str">
        <f>'Raw Datas'!M85</f>
        <v>0</v>
      </c>
      <c r="P40" s="63" t="str">
        <f>'Raw Datas'!N85</f>
        <v>0</v>
      </c>
      <c r="Q40" s="63" t="str">
        <f>'Raw Datas'!O85</f>
        <v>0</v>
      </c>
      <c r="R40" s="63" t="str">
        <f>'Raw Datas'!P85</f>
        <v>0</v>
      </c>
      <c r="S40" s="63" t="str">
        <f>'Raw Datas'!Q85</f>
        <v>0</v>
      </c>
      <c r="T40" s="63" t="str">
        <f>'Raw Datas'!R85</f>
        <v>0</v>
      </c>
      <c r="U40" s="63" t="str">
        <f>'Raw Datas'!S85</f>
        <v>0</v>
      </c>
      <c r="V40" s="63" t="str">
        <f>'Raw Datas'!T85</f>
        <v>0</v>
      </c>
      <c r="W40" s="63" t="str">
        <f>'Raw Datas'!U85</f>
        <v>0</v>
      </c>
      <c r="X40" s="63" t="str">
        <f>'Raw Datas'!V85</f>
        <v>0</v>
      </c>
      <c r="Y40" s="63" t="str">
        <f>'Raw Datas'!W85</f>
        <v>0</v>
      </c>
      <c r="Z40" s="63" t="str">
        <f>'Raw Datas'!X85</f>
        <v>0</v>
      </c>
      <c r="AA40" s="63" t="str">
        <f>'Raw Datas'!Y85</f>
        <v>0</v>
      </c>
      <c r="AB40" s="63" t="str">
        <f>'Raw Datas'!Z85</f>
        <v>0</v>
      </c>
      <c r="AC40" s="63" t="str">
        <f>'Raw Datas'!AA85</f>
        <v>0</v>
      </c>
      <c r="AD40" s="63" t="str">
        <f>'Raw Datas'!AB85</f>
        <v>0</v>
      </c>
      <c r="AE40" s="63" t="str">
        <f>'Raw Datas'!AC85</f>
        <v>0</v>
      </c>
      <c r="AF40" s="63" t="str">
        <f>'Raw Datas'!AD85</f>
        <v>0</v>
      </c>
      <c r="AG40" s="63" t="str">
        <f>'Raw Datas'!AE85</f>
        <v>0</v>
      </c>
      <c r="AH40" s="63" t="str">
        <f>'Raw Datas'!AF85</f>
        <v>0</v>
      </c>
      <c r="AI40" s="63" t="str">
        <f>'Raw Datas'!AG85</f>
        <v>0</v>
      </c>
      <c r="AJ40" s="63" t="str">
        <f>'Raw Datas'!AH85</f>
        <v>0</v>
      </c>
      <c r="AK40" s="63" t="str">
        <f>'Raw Datas'!AI85</f>
        <v>0</v>
      </c>
      <c r="AL40" s="63" t="str">
        <f>'Raw Datas'!AJ85</f>
        <v>0</v>
      </c>
      <c r="AM40" s="63" t="str">
        <f>'Raw Datas'!AK85</f>
        <v>0</v>
      </c>
      <c r="AN40" s="63" t="str">
        <f>'Raw Datas'!AL85</f>
        <v>0</v>
      </c>
      <c r="AO40" s="63" t="str">
        <f>'Raw Datas'!AM85</f>
        <v>0</v>
      </c>
      <c r="AP40" s="63" t="str">
        <f>'Raw Datas'!AN85</f>
        <v>0</v>
      </c>
      <c r="AQ40" s="63" t="str">
        <f>'Raw Datas'!AO85</f>
        <v>0</v>
      </c>
      <c r="AR40" s="63" t="str">
        <f>'Raw Datas'!AP85</f>
        <v>0</v>
      </c>
      <c r="AS40" s="63" t="str">
        <f>'Raw Datas'!AQ85</f>
        <v>0</v>
      </c>
      <c r="AT40" s="63" t="str">
        <f>'Raw Datas'!AR85</f>
        <v>0</v>
      </c>
      <c r="AU40" s="63" t="str">
        <f>'Raw Datas'!AS85</f>
        <v>0</v>
      </c>
      <c r="AV40" s="63" t="str">
        <f>'Raw Datas'!AT85</f>
        <v>0</v>
      </c>
      <c r="AW40" s="63" t="str">
        <f>'Raw Datas'!AU85</f>
        <v>0</v>
      </c>
      <c r="AX40" s="63" t="str">
        <f>'Raw Datas'!AV85</f>
        <v>0</v>
      </c>
      <c r="AY40" s="63" t="str">
        <f>'Raw Datas'!AW85</f>
        <v>0</v>
      </c>
      <c r="AZ40" s="63" t="str">
        <f>'Raw Datas'!AX85</f>
        <v>0</v>
      </c>
      <c r="BA40" s="63" t="str">
        <f>'Raw Datas'!AY85</f>
        <v>0</v>
      </c>
      <c r="BB40" s="63" t="str">
        <f>'Raw Datas'!AZ85</f>
        <v>0</v>
      </c>
      <c r="BC40" s="63" t="str">
        <f>'Raw Datas'!BA85</f>
        <v>0</v>
      </c>
      <c r="BD40" s="63" t="str">
        <f>'Raw Datas'!BB85</f>
        <v>0</v>
      </c>
      <c r="BE40" s="63" t="str">
        <f>'Raw Datas'!BC85</f>
        <v>0</v>
      </c>
      <c r="BF40" s="63" t="str">
        <f>'Raw Datas'!BD85</f>
        <v>0</v>
      </c>
      <c r="BG40" s="63" t="str">
        <f>'Raw Datas'!BE85</f>
        <v>0</v>
      </c>
      <c r="BH40" s="63" t="str">
        <f>'Raw Datas'!BF85</f>
        <v>0</v>
      </c>
      <c r="BI40" s="63" t="str">
        <f>'Raw Datas'!BG85</f>
        <v>0</v>
      </c>
      <c r="BJ40" s="63" t="str">
        <f>'Raw Datas'!BH85</f>
        <v>0</v>
      </c>
      <c r="BK40" s="63" t="str">
        <f>'Raw Datas'!BI85</f>
        <v>0</v>
      </c>
      <c r="BL40" s="63" t="str">
        <f>'Raw Datas'!BJ85</f>
        <v>0</v>
      </c>
      <c r="BM40" s="63" t="str">
        <f>'Raw Datas'!BK85</f>
        <v>0</v>
      </c>
      <c r="BN40" s="63" t="str">
        <f>'Raw Datas'!BL85</f>
        <v>0</v>
      </c>
      <c r="BO40" s="63" t="str">
        <f>'Raw Datas'!BM85</f>
        <v>0</v>
      </c>
      <c r="BP40" s="63" t="str">
        <f>'Raw Datas'!BN85</f>
        <v>0</v>
      </c>
      <c r="BQ40" s="63" t="str">
        <f>'Raw Datas'!BO85</f>
        <v>0</v>
      </c>
      <c r="BR40" s="63" t="str">
        <f>'Raw Datas'!BP85</f>
        <v>0</v>
      </c>
      <c r="BS40" s="63" t="str">
        <f>'Raw Datas'!BQ85</f>
        <v>0</v>
      </c>
      <c r="BT40" s="63" t="str">
        <f>'Raw Datas'!BR85</f>
        <v>0</v>
      </c>
      <c r="BU40" s="63" t="str">
        <f>'Raw Datas'!BS85</f>
        <v>0</v>
      </c>
      <c r="BV40" s="63" t="str">
        <f>'Raw Datas'!BT85</f>
        <v>0</v>
      </c>
      <c r="BW40" s="63" t="str">
        <f>'Raw Datas'!BU85</f>
        <v>0</v>
      </c>
      <c r="BX40" s="63" t="str">
        <f>'Raw Datas'!BV85</f>
        <v>0</v>
      </c>
      <c r="BY40" s="63" t="str">
        <f>'Raw Datas'!BW85</f>
        <v>0</v>
      </c>
      <c r="BZ40" s="63" t="str">
        <f>'Raw Datas'!BX85</f>
        <v>0</v>
      </c>
      <c r="CA40" s="63" t="str">
        <f>'Raw Datas'!BY85</f>
        <v>0</v>
      </c>
      <c r="CB40" s="63" t="str">
        <f>'Raw Datas'!BZ85</f>
        <v>0</v>
      </c>
      <c r="CC40" s="63" t="str">
        <f>'Raw Datas'!CA85</f>
        <v>0</v>
      </c>
      <c r="CD40" s="63" t="str">
        <f>'Raw Datas'!CB85</f>
        <v>0</v>
      </c>
      <c r="CE40" s="63" t="str">
        <f>'Raw Datas'!CC85</f>
        <v>0</v>
      </c>
      <c r="CF40" s="63" t="str">
        <f>'Raw Datas'!CD85</f>
        <v>0</v>
      </c>
      <c r="CG40" s="63" t="str">
        <f>'Raw Datas'!CE85</f>
        <v>0</v>
      </c>
      <c r="CH40" s="63" t="str">
        <f>'Raw Datas'!CF85</f>
        <v>0</v>
      </c>
      <c r="CI40" s="63" t="str">
        <f>'Raw Datas'!CG85</f>
        <v>0</v>
      </c>
      <c r="CJ40" s="63" t="str">
        <f>'Raw Datas'!CH85</f>
        <v>0</v>
      </c>
      <c r="CK40" s="63" t="str">
        <f>'Raw Datas'!CI85</f>
        <v>0</v>
      </c>
      <c r="CL40" s="63" t="str">
        <f>'Raw Datas'!CJ85</f>
        <v>0</v>
      </c>
      <c r="CM40" s="63" t="str">
        <f>'Raw Datas'!CK85</f>
        <v>0</v>
      </c>
      <c r="CN40" s="63" t="str">
        <f>'Raw Datas'!CL85</f>
        <v>0</v>
      </c>
      <c r="CO40" s="63" t="str">
        <f>'Raw Datas'!CM85</f>
        <v>0</v>
      </c>
      <c r="CP40" s="63" t="str">
        <f>'Raw Datas'!CN85</f>
        <v>0</v>
      </c>
      <c r="CQ40" s="63" t="str">
        <f>'Raw Datas'!CO85</f>
        <v>0</v>
      </c>
      <c r="CR40" s="63" t="str">
        <f>'Raw Datas'!CP85</f>
        <v>0</v>
      </c>
      <c r="CS40" s="63" t="str">
        <f>'Raw Datas'!CQ85</f>
        <v>0</v>
      </c>
      <c r="CT40" s="63" t="str">
        <f>'Raw Datas'!CR85</f>
        <v>0</v>
      </c>
      <c r="CU40" s="63" t="str">
        <f>'Raw Datas'!CS85</f>
        <v>0</v>
      </c>
      <c r="CV40" s="63" t="str">
        <f>'Raw Datas'!CT85</f>
        <v>0</v>
      </c>
      <c r="CW40" s="63" t="str">
        <f>'Raw Datas'!CU85</f>
        <v>0</v>
      </c>
      <c r="CX40" s="63" t="str">
        <f>'Raw Datas'!CV85</f>
        <v>0</v>
      </c>
      <c r="CY40" s="63" t="str">
        <f>'Raw Datas'!CW85</f>
        <v>0</v>
      </c>
      <c r="CZ40" s="63" t="str">
        <f>'Raw Datas'!CX85</f>
        <v>0</v>
      </c>
      <c r="DA40" s="63" t="str">
        <f>'Raw Datas'!CY85</f>
        <v>0</v>
      </c>
      <c r="DB40" s="63" t="str">
        <f>'Raw Datas'!CZ85</f>
        <v>0</v>
      </c>
      <c r="DC40" s="63" t="str">
        <f>'Raw Datas'!DA85</f>
        <v>0</v>
      </c>
      <c r="DD40" s="63" t="str">
        <f>'Raw Datas'!DB85</f>
        <v>0</v>
      </c>
      <c r="DE40" s="63" t="str">
        <f>'Raw Datas'!DC85</f>
        <v>0</v>
      </c>
      <c r="DF40" s="63" t="str">
        <f>'Raw Datas'!DD85</f>
        <v>0</v>
      </c>
      <c r="DG40" s="63" t="str">
        <f>'Raw Datas'!DE85</f>
        <v>0</v>
      </c>
      <c r="DH40" s="63" t="str">
        <f>'Raw Datas'!DF85</f>
        <v>0</v>
      </c>
      <c r="DI40" s="63" t="str">
        <f>'Raw Datas'!DG85</f>
        <v>0</v>
      </c>
      <c r="DJ40" s="63" t="str">
        <f>'Raw Datas'!DH85</f>
        <v>0</v>
      </c>
      <c r="DK40" s="63" t="str">
        <f>'Raw Datas'!DI85</f>
        <v>0</v>
      </c>
      <c r="DL40" s="63" t="str">
        <f>'Raw Datas'!DJ85</f>
        <v>0</v>
      </c>
      <c r="DM40" s="63" t="str">
        <f>'Raw Datas'!DK85</f>
        <v>0</v>
      </c>
      <c r="DN40" s="63" t="str">
        <f>'Raw Datas'!DL85</f>
        <v>0</v>
      </c>
      <c r="DO40" s="63" t="str">
        <f>'Raw Datas'!DM85</f>
        <v>0</v>
      </c>
      <c r="DP40" s="63" t="str">
        <f>'Raw Datas'!DN85</f>
        <v>0</v>
      </c>
      <c r="DQ40" s="63" t="str">
        <f>'Raw Datas'!DO85</f>
        <v>0</v>
      </c>
      <c r="DR40" s="63" t="str">
        <f>'Raw Datas'!DP85</f>
        <v>0</v>
      </c>
      <c r="DS40" s="63" t="str">
        <f>'Raw Datas'!DQ85</f>
        <v>0</v>
      </c>
      <c r="DT40" s="63" t="str">
        <f>'Raw Datas'!DR85</f>
        <v>0</v>
      </c>
      <c r="DU40" s="63" t="str">
        <f>'Raw Datas'!DS85</f>
        <v>0</v>
      </c>
      <c r="DV40" s="63" t="str">
        <f>'Raw Datas'!DT85</f>
        <v>0</v>
      </c>
      <c r="DW40" s="63" t="str">
        <f>'Raw Datas'!DU85</f>
        <v>0</v>
      </c>
      <c r="DX40" s="63" t="str">
        <f>'Raw Datas'!DV85</f>
        <v>0</v>
      </c>
      <c r="DY40" s="63" t="str">
        <f>'Raw Datas'!DW85</f>
        <v>0</v>
      </c>
      <c r="DZ40" s="63" t="str">
        <f>'Raw Datas'!DX85</f>
        <v>0</v>
      </c>
      <c r="EA40" s="63" t="str">
        <f>'Raw Datas'!DY85</f>
        <v>0</v>
      </c>
      <c r="EB40" s="63" t="str">
        <f>'Raw Datas'!DZ85</f>
        <v>0</v>
      </c>
      <c r="EC40" s="63" t="str">
        <f>'Raw Datas'!EA85</f>
        <v>0</v>
      </c>
      <c r="ED40" s="63" t="str">
        <f>'Raw Datas'!EB85</f>
        <v>0</v>
      </c>
      <c r="EE40" s="63" t="str">
        <f>'Raw Datas'!EC85</f>
        <v>0</v>
      </c>
      <c r="EF40" s="63" t="str">
        <f>'Raw Datas'!ED85</f>
        <v>0</v>
      </c>
      <c r="EG40" s="63" t="str">
        <f>'Raw Datas'!EE85</f>
        <v>0</v>
      </c>
      <c r="EH40" s="63" t="str">
        <f>'Raw Datas'!EF85</f>
        <v>0</v>
      </c>
      <c r="EI40" s="63" t="str">
        <f>'Raw Datas'!EG85</f>
        <v>0</v>
      </c>
      <c r="EJ40" s="63" t="str">
        <f>'Raw Datas'!EH85</f>
        <v>0</v>
      </c>
      <c r="EK40" s="63" t="str">
        <f>'Raw Datas'!EI85</f>
        <v>0</v>
      </c>
      <c r="EL40" s="63" t="str">
        <f>'Raw Datas'!EJ85</f>
        <v>0</v>
      </c>
      <c r="EM40" s="63" t="str">
        <f>'Raw Datas'!EK85</f>
        <v>0</v>
      </c>
      <c r="EN40" s="63" t="str">
        <f>'Raw Datas'!EL85</f>
        <v>0</v>
      </c>
      <c r="EO40" s="63" t="str">
        <f>'Raw Datas'!EM85</f>
        <v>0</v>
      </c>
      <c r="EP40" s="63" t="str">
        <f>'Raw Datas'!EN85</f>
        <v>0</v>
      </c>
      <c r="EQ40" s="63" t="str">
        <f>'Raw Datas'!EO85</f>
        <v>0</v>
      </c>
      <c r="ER40" s="63" t="str">
        <f>'Raw Datas'!EP85</f>
        <v>0</v>
      </c>
      <c r="ES40" s="63" t="str">
        <f>'Raw Datas'!EQ85</f>
        <v>0</v>
      </c>
      <c r="ET40" s="63" t="str">
        <f>'Raw Datas'!ER85</f>
        <v>0</v>
      </c>
      <c r="EU40" s="63" t="str">
        <f>'Raw Datas'!ES85</f>
        <v>0</v>
      </c>
      <c r="EV40" s="63" t="str">
        <f>'Raw Datas'!ET85</f>
        <v>0</v>
      </c>
      <c r="EW40" s="63" t="str">
        <f>'Raw Datas'!EU85</f>
        <v>0</v>
      </c>
      <c r="EX40" s="63" t="str">
        <f>'Raw Datas'!EV85</f>
        <v>0</v>
      </c>
      <c r="EY40" s="63" t="str">
        <f>'Raw Datas'!EW85</f>
        <v>0</v>
      </c>
      <c r="EZ40" s="63" t="str">
        <f>'Raw Datas'!EX85</f>
        <v>0</v>
      </c>
      <c r="FA40" s="63" t="str">
        <f>'Raw Datas'!EY85</f>
        <v>0</v>
      </c>
      <c r="FB40" s="63" t="str">
        <f>'Raw Datas'!EZ85</f>
        <v>0</v>
      </c>
      <c r="FC40" s="63" t="str">
        <f>'Raw Datas'!FA85</f>
        <v>0</v>
      </c>
      <c r="FD40" s="63" t="str">
        <f>'Raw Datas'!FB85</f>
        <v>0</v>
      </c>
      <c r="FE40" s="63" t="str">
        <f>'Raw Datas'!FC85</f>
        <v>0</v>
      </c>
      <c r="FF40" s="63" t="str">
        <f>'Raw Datas'!FD85</f>
        <v>0</v>
      </c>
      <c r="FG40" s="63" t="str">
        <f>'Raw Datas'!FE85</f>
        <v>0</v>
      </c>
      <c r="FH40" s="63" t="str">
        <f>'Raw Datas'!FF85</f>
        <v>0</v>
      </c>
      <c r="FI40" s="63" t="str">
        <f>'Raw Datas'!FG85</f>
        <v>0</v>
      </c>
      <c r="FJ40" s="63" t="str">
        <f>'Raw Datas'!FH85</f>
        <v>0</v>
      </c>
      <c r="FK40" s="63" t="str">
        <f>'Raw Datas'!FI85</f>
        <v>0</v>
      </c>
      <c r="FL40" s="63" t="str">
        <f>'Raw Datas'!FJ85</f>
        <v>0</v>
      </c>
      <c r="FM40" s="63" t="str">
        <f>'Raw Datas'!FK85</f>
        <v>0</v>
      </c>
      <c r="FN40" s="63" t="str">
        <f>'Raw Datas'!FL85</f>
        <v>0</v>
      </c>
      <c r="FO40" s="63" t="str">
        <f>'Raw Datas'!FM85</f>
        <v>0</v>
      </c>
      <c r="FP40" s="63" t="str">
        <f>'Raw Datas'!FN85</f>
        <v>0</v>
      </c>
      <c r="FQ40" s="63" t="str">
        <f>'Raw Datas'!FO85</f>
        <v>0</v>
      </c>
    </row>
    <row r="41" spans="1:16092" ht="15.75" customHeight="1" thickBot="1" x14ac:dyDescent="0.25">
      <c r="A41" s="118"/>
      <c r="B41" s="95" t="s">
        <v>22</v>
      </c>
      <c r="C41" s="106" t="s">
        <v>753</v>
      </c>
      <c r="D41" s="106"/>
      <c r="E41" s="62">
        <f>'Raw Datas'!C86</f>
        <v>11.630633333333332</v>
      </c>
      <c r="F41" s="64">
        <f>'Raw Datas'!D86</f>
        <v>21.740716666666668</v>
      </c>
      <c r="G41" s="64">
        <f>'Raw Datas'!E86</f>
        <v>3.3181999999999996</v>
      </c>
      <c r="H41" s="64">
        <f>'Raw Datas'!F86</f>
        <v>56.447400000000002</v>
      </c>
      <c r="I41" s="64">
        <f>'Raw Datas'!G86</f>
        <v>15.070783333333335</v>
      </c>
      <c r="J41" s="64">
        <f>'Raw Datas'!H86</f>
        <v>15.813233333333335</v>
      </c>
      <c r="K41" s="64">
        <f>'Raw Datas'!I86</f>
        <v>13.514316666666666</v>
      </c>
      <c r="L41" s="64">
        <f>'Raw Datas'!J86</f>
        <v>12.899650000000001</v>
      </c>
      <c r="M41" s="64">
        <f>'Raw Datas'!K86</f>
        <v>7.4378833333333327</v>
      </c>
      <c r="N41" s="64">
        <f>'Raw Datas'!L86</f>
        <v>46.136816666666661</v>
      </c>
      <c r="O41" s="64">
        <f>'Raw Datas'!M86</f>
        <v>11.6234</v>
      </c>
      <c r="P41" s="64">
        <f>'Raw Datas'!N86</f>
        <v>7.2766666666666664</v>
      </c>
      <c r="Q41" s="64">
        <f>'Raw Datas'!O86</f>
        <v>3.2640333333333329</v>
      </c>
      <c r="R41" s="64">
        <f>'Raw Datas'!P86</f>
        <v>7.3103000000000007</v>
      </c>
      <c r="S41" s="64">
        <f>'Raw Datas'!Q86</f>
        <v>6.3947499999999993</v>
      </c>
      <c r="T41" s="64">
        <f>'Raw Datas'!R86</f>
        <v>28.417950000000001</v>
      </c>
      <c r="U41" s="64">
        <f>'Raw Datas'!S86</f>
        <v>9.9231166666666653</v>
      </c>
      <c r="V41" s="64">
        <f>'Raw Datas'!T86</f>
        <v>3.5515833333333333</v>
      </c>
      <c r="W41" s="64">
        <f>'Raw Datas'!U86</f>
        <v>22.899799999999995</v>
      </c>
      <c r="X41" s="64">
        <f>'Raw Datas'!V86</f>
        <v>12.436816666666667</v>
      </c>
      <c r="Y41" s="64">
        <f>'Raw Datas'!W86</f>
        <v>1.2789428571428574</v>
      </c>
      <c r="Z41" s="64">
        <f>'Raw Datas'!X86</f>
        <v>0.45528000000000007</v>
      </c>
      <c r="AA41" s="64">
        <f>'Raw Datas'!Y86</f>
        <v>10.403333333333334</v>
      </c>
      <c r="AB41" s="64">
        <f>'Raw Datas'!Z86</f>
        <v>4.1745200000000002</v>
      </c>
      <c r="AC41" s="64">
        <f>'Raw Datas'!AA86</f>
        <v>2.5615000000000001</v>
      </c>
      <c r="AD41" s="64">
        <f>'Raw Datas'!AB86</f>
        <v>24.658966666666668</v>
      </c>
      <c r="AE41" s="64">
        <f>'Raw Datas'!AC86</f>
        <v>39.53841666666667</v>
      </c>
      <c r="AF41" s="64">
        <f>'Raw Datas'!AD86</f>
        <v>18.951750000000001</v>
      </c>
      <c r="AG41" s="64">
        <f>'Raw Datas'!AE86</f>
        <v>6.1028333333333329</v>
      </c>
      <c r="AH41" s="64">
        <f>'Raw Datas'!AF86</f>
        <v>0.92595000000000005</v>
      </c>
      <c r="AI41" s="64">
        <f>'Raw Datas'!AG86</f>
        <v>9.4377166666666668</v>
      </c>
      <c r="AJ41" s="64">
        <f>'Raw Datas'!AH86</f>
        <v>6.8115166666666669</v>
      </c>
      <c r="AK41" s="64">
        <f>'Raw Datas'!AI86</f>
        <v>7.2039</v>
      </c>
      <c r="AL41" s="64">
        <f>'Raw Datas'!AJ86</f>
        <v>2.0750666666666668</v>
      </c>
      <c r="AM41" s="64">
        <f>'Raw Datas'!AK86</f>
        <v>19.16641666666667</v>
      </c>
      <c r="AN41" s="64">
        <f>'Raw Datas'!AL86</f>
        <v>4.7368166666666669</v>
      </c>
      <c r="AO41" s="64">
        <f>'Raw Datas'!AM86</f>
        <v>0.20368333333333333</v>
      </c>
      <c r="AP41" s="64">
        <f>'Raw Datas'!AN86</f>
        <v>22.67486666666667</v>
      </c>
      <c r="AQ41" s="64">
        <f>'Raw Datas'!AO86</f>
        <v>9.147216666666667</v>
      </c>
      <c r="AR41" s="64">
        <f>'Raw Datas'!AP86</f>
        <v>0.90989999999999993</v>
      </c>
      <c r="AS41" s="64">
        <f>'Raw Datas'!AQ86</f>
        <v>7.9825000000000008</v>
      </c>
      <c r="AT41" s="64">
        <f>'Raw Datas'!AR86</f>
        <v>5.2208833333333331</v>
      </c>
      <c r="AU41" s="64">
        <f>'Raw Datas'!AS86</f>
        <v>0.27883333333333332</v>
      </c>
      <c r="AV41" s="64">
        <f>'Raw Datas'!AT86</f>
        <v>4.4530833333333337</v>
      </c>
      <c r="AW41" s="64">
        <f>'Raw Datas'!AU86</f>
        <v>3.9542000000000002</v>
      </c>
      <c r="AX41" s="64">
        <f>'Raw Datas'!AV86</f>
        <v>16.04524</v>
      </c>
      <c r="AY41" s="64">
        <f>'Raw Datas'!AW86</f>
        <v>0.71186666666666676</v>
      </c>
      <c r="AZ41" s="64">
        <f>'Raw Datas'!AX86</f>
        <v>3.285566666666667</v>
      </c>
      <c r="BA41" s="64">
        <f>'Raw Datas'!AY86</f>
        <v>15.035816666666667</v>
      </c>
      <c r="BB41" s="64">
        <f>'Raw Datas'!AZ86</f>
        <v>3.1983333333333333</v>
      </c>
      <c r="BC41" s="64">
        <f>'Raw Datas'!BA86</f>
        <v>21.553650000000001</v>
      </c>
      <c r="BD41" s="64">
        <f>'Raw Datas'!BB86</f>
        <v>6.7862666666666662</v>
      </c>
      <c r="BE41" s="64">
        <f>'Raw Datas'!BC86</f>
        <v>22.014300000000002</v>
      </c>
      <c r="BF41" s="64">
        <f>'Raw Datas'!BD86</f>
        <v>37.037483333333327</v>
      </c>
      <c r="BG41" s="64">
        <f>'Raw Datas'!BE86</f>
        <v>5.1648833333333339</v>
      </c>
      <c r="BH41" s="64">
        <f>'Raw Datas'!BF86</f>
        <v>1.4964999999999999</v>
      </c>
      <c r="BI41" s="64">
        <f>'Raw Datas'!BG86</f>
        <v>3.7897833333333333</v>
      </c>
      <c r="BJ41" s="64">
        <f>'Raw Datas'!BH86</f>
        <v>15.598983333333335</v>
      </c>
      <c r="BK41" s="64">
        <f>'Raw Datas'!BI86</f>
        <v>3.2774166666666669</v>
      </c>
      <c r="BL41" s="64">
        <f>'Raw Datas'!BJ86</f>
        <v>5.3867666666666674</v>
      </c>
      <c r="BM41" s="64">
        <f>'Raw Datas'!BK86</f>
        <v>52.609883333333329</v>
      </c>
      <c r="BN41" s="64">
        <f>'Raw Datas'!BL86</f>
        <v>35.871066666666671</v>
      </c>
      <c r="BO41" s="64">
        <f>'Raw Datas'!BM86</f>
        <v>5.0739714285714284</v>
      </c>
      <c r="BP41" s="64">
        <f>'Raw Datas'!BN86</f>
        <v>12.393633333333334</v>
      </c>
      <c r="BQ41" s="64">
        <f>'Raw Datas'!BO86</f>
        <v>2.5946166666666666</v>
      </c>
      <c r="BR41" s="64">
        <f>'Raw Datas'!BP86</f>
        <v>34.629116666666661</v>
      </c>
      <c r="BS41" s="64" t="str">
        <f>'Raw Datas'!BQ86</f>
        <v>0</v>
      </c>
      <c r="BT41" s="64">
        <f>'Raw Datas'!BR86</f>
        <v>0.41437142857142856</v>
      </c>
      <c r="BU41" s="64">
        <f>'Raw Datas'!BS86</f>
        <v>6.2191166666666673</v>
      </c>
      <c r="BV41" s="64">
        <f>'Raw Datas'!BT86</f>
        <v>4.0395500000000002</v>
      </c>
      <c r="BW41" s="64">
        <f>'Raw Datas'!BU86</f>
        <v>7.2727333333333339</v>
      </c>
      <c r="BX41" s="64">
        <f>'Raw Datas'!BV86</f>
        <v>4.4128500000000006</v>
      </c>
      <c r="BY41" s="64">
        <f>'Raw Datas'!BW86</f>
        <v>15.133000000000001</v>
      </c>
      <c r="BZ41" s="64">
        <f>'Raw Datas'!BX86</f>
        <v>8.7187166666666673</v>
      </c>
      <c r="CA41" s="64">
        <f>'Raw Datas'!BY86</f>
        <v>16.320566666666668</v>
      </c>
      <c r="CB41" s="64">
        <f>'Raw Datas'!BZ86</f>
        <v>5.2363</v>
      </c>
      <c r="CC41" s="64">
        <f>'Raw Datas'!CA86</f>
        <v>11.614116666666668</v>
      </c>
      <c r="CD41" s="64">
        <f>'Raw Datas'!CB86</f>
        <v>7.7537166666666666</v>
      </c>
      <c r="CE41" s="64">
        <f>'Raw Datas'!CC86</f>
        <v>10.656650000000001</v>
      </c>
      <c r="CF41" s="64">
        <f>'Raw Datas'!CD86</f>
        <v>10.155083333333334</v>
      </c>
      <c r="CG41" s="64">
        <f>'Raw Datas'!CE86</f>
        <v>9.6570333333333345</v>
      </c>
      <c r="CH41" s="64">
        <f>'Raw Datas'!CF86</f>
        <v>4.6548499999999997</v>
      </c>
      <c r="CI41" s="64">
        <f>'Raw Datas'!CG86</f>
        <v>0.32890000000000003</v>
      </c>
      <c r="CJ41" s="64">
        <f>'Raw Datas'!CH86</f>
        <v>1.093</v>
      </c>
      <c r="CK41" s="64">
        <f>'Raw Datas'!CI86</f>
        <v>51.940416666666664</v>
      </c>
      <c r="CL41" s="64">
        <f>'Raw Datas'!CJ86</f>
        <v>6.3094222222222216</v>
      </c>
      <c r="CM41" s="64">
        <f>'Raw Datas'!CK86</f>
        <v>0.16293333333333332</v>
      </c>
      <c r="CN41" s="64">
        <f>'Raw Datas'!CL86</f>
        <v>0.27315</v>
      </c>
      <c r="CO41" s="64">
        <f>'Raw Datas'!CM86</f>
        <v>36.889600000000002</v>
      </c>
      <c r="CP41" s="64">
        <f>'Raw Datas'!CN86</f>
        <v>20.179133333333333</v>
      </c>
      <c r="CQ41" s="64">
        <f>'Raw Datas'!CO86</f>
        <v>1.0384833333333332</v>
      </c>
      <c r="CR41" s="64">
        <f>'Raw Datas'!CP86</f>
        <v>10.308433333333333</v>
      </c>
      <c r="CS41" s="64">
        <f>'Raw Datas'!CQ86</f>
        <v>20.231850000000001</v>
      </c>
      <c r="CT41" s="64">
        <f>'Raw Datas'!CR86</f>
        <v>41.33443333333333</v>
      </c>
      <c r="CU41" s="64">
        <f>'Raw Datas'!CS86</f>
        <v>6.204366666666667</v>
      </c>
      <c r="CV41" s="64">
        <f>'Raw Datas'!CT86</f>
        <v>21.520883333333337</v>
      </c>
      <c r="CW41" s="64">
        <f>'Raw Datas'!CU86</f>
        <v>44.645133333333327</v>
      </c>
      <c r="CX41" s="64">
        <f>'Raw Datas'!CV86</f>
        <v>57.359850000000009</v>
      </c>
      <c r="CY41" s="64" t="str">
        <f>'Raw Datas'!CW86</f>
        <v>0</v>
      </c>
      <c r="CZ41" s="64">
        <f>'Raw Datas'!CX86</f>
        <v>3.7555000000000001</v>
      </c>
      <c r="DA41" s="64">
        <f>'Raw Datas'!CY86</f>
        <v>19.541049999999998</v>
      </c>
      <c r="DB41" s="64">
        <f>'Raw Datas'!CZ86</f>
        <v>3.2681833333333334</v>
      </c>
      <c r="DC41" s="64" t="str">
        <f>'Raw Datas'!DA86</f>
        <v>0</v>
      </c>
      <c r="DD41" s="64">
        <f>'Raw Datas'!DB86</f>
        <v>8.881333333333334</v>
      </c>
      <c r="DE41" s="64">
        <f>'Raw Datas'!DC86</f>
        <v>18.833816666666667</v>
      </c>
      <c r="DF41" s="64">
        <f>'Raw Datas'!DD86</f>
        <v>49.776966666666674</v>
      </c>
      <c r="DG41" s="64">
        <f>'Raw Datas'!DE86</f>
        <v>3.4343166666666662</v>
      </c>
      <c r="DH41" s="64">
        <f>'Raw Datas'!DF86</f>
        <v>2.8065333333333338</v>
      </c>
      <c r="DI41" s="64">
        <f>'Raw Datas'!DG86</f>
        <v>5.2702500000000008</v>
      </c>
      <c r="DJ41" s="64">
        <f>'Raw Datas'!DH86</f>
        <v>13.167083333333332</v>
      </c>
      <c r="DK41" s="64">
        <f>'Raw Datas'!DI86</f>
        <v>4.5872666666666664</v>
      </c>
      <c r="DL41" s="64">
        <f>'Raw Datas'!DJ86</f>
        <v>4.3364666666666665</v>
      </c>
      <c r="DM41" s="64">
        <f>'Raw Datas'!DK86</f>
        <v>4.6471</v>
      </c>
      <c r="DN41" s="64">
        <f>'Raw Datas'!DL86</f>
        <v>5.7600999999999996</v>
      </c>
      <c r="DO41" s="64">
        <f>'Raw Datas'!DM86</f>
        <v>14.007916666666667</v>
      </c>
      <c r="DP41" s="64">
        <f>'Raw Datas'!DN86</f>
        <v>22.077083333333334</v>
      </c>
      <c r="DQ41" s="64">
        <f>'Raw Datas'!DO86</f>
        <v>41.120466666666665</v>
      </c>
      <c r="DR41" s="64">
        <f>'Raw Datas'!DP86</f>
        <v>5.9980833333333328</v>
      </c>
      <c r="DS41" s="64">
        <f>'Raw Datas'!DQ86</f>
        <v>4.0332833333333333</v>
      </c>
      <c r="DT41" s="64">
        <f>'Raw Datas'!DR86</f>
        <v>8.1197166666666671</v>
      </c>
      <c r="DU41" s="64">
        <f>'Raw Datas'!DS86</f>
        <v>21.939983333333334</v>
      </c>
      <c r="DV41" s="64">
        <f>'Raw Datas'!DT86</f>
        <v>0.68779999999999997</v>
      </c>
      <c r="DW41" s="64">
        <f>'Raw Datas'!DU86</f>
        <v>3.4869500000000002</v>
      </c>
      <c r="DX41" s="64">
        <f>'Raw Datas'!DV86</f>
        <v>13.927433333333333</v>
      </c>
      <c r="DY41" s="64">
        <f>'Raw Datas'!DW86</f>
        <v>15.009099999999998</v>
      </c>
      <c r="DZ41" s="64">
        <f>'Raw Datas'!DX86</f>
        <v>17.124466666666663</v>
      </c>
      <c r="EA41" s="64">
        <f>'Raw Datas'!DY86</f>
        <v>0.74453333333333327</v>
      </c>
      <c r="EB41" s="64">
        <f>'Raw Datas'!DZ86</f>
        <v>4.460916666666666</v>
      </c>
      <c r="EC41" s="64">
        <f>'Raw Datas'!EA86</f>
        <v>20.170116666666669</v>
      </c>
      <c r="ED41" s="64">
        <f>'Raw Datas'!EB86</f>
        <v>21.534800000000001</v>
      </c>
      <c r="EE41" s="64">
        <f>'Raw Datas'!EC86</f>
        <v>1.7432166666666666</v>
      </c>
      <c r="EF41" s="64">
        <f>'Raw Datas'!ED86</f>
        <v>17.753166666666669</v>
      </c>
      <c r="EG41" s="64">
        <f>'Raw Datas'!EE86</f>
        <v>4.6029166666666672</v>
      </c>
      <c r="EH41" s="64">
        <f>'Raw Datas'!EF86</f>
        <v>1.5431999999999999</v>
      </c>
      <c r="EI41" s="64">
        <f>'Raw Datas'!EG86</f>
        <v>3.6987000000000001</v>
      </c>
      <c r="EJ41" s="64">
        <f>'Raw Datas'!EH86</f>
        <v>7.6371166666666666</v>
      </c>
      <c r="EK41" s="64">
        <f>'Raw Datas'!EI86</f>
        <v>5.1902166666666671</v>
      </c>
      <c r="EL41" s="64">
        <f>'Raw Datas'!EJ86</f>
        <v>3.8048833333333336</v>
      </c>
      <c r="EM41" s="64">
        <f>'Raw Datas'!EK86</f>
        <v>15.94675</v>
      </c>
      <c r="EN41" s="64">
        <f>'Raw Datas'!EL86</f>
        <v>3.1239166666666667</v>
      </c>
      <c r="EO41" s="64">
        <f>'Raw Datas'!EM86</f>
        <v>16.664533333333335</v>
      </c>
      <c r="EP41" s="64">
        <f>'Raw Datas'!EN86</f>
        <v>13.828016666666667</v>
      </c>
      <c r="EQ41" s="64">
        <f>'Raw Datas'!EO86</f>
        <v>5.5758999999999999</v>
      </c>
      <c r="ER41" s="64">
        <f>'Raw Datas'!EP86</f>
        <v>3.3475999999999999</v>
      </c>
      <c r="ES41" s="64">
        <f>'Raw Datas'!EQ86</f>
        <v>23.550216666666664</v>
      </c>
      <c r="ET41" s="64">
        <f>'Raw Datas'!ER86</f>
        <v>8.6441166666666653</v>
      </c>
      <c r="EU41" s="64">
        <f>'Raw Datas'!ES86</f>
        <v>30.076416666666663</v>
      </c>
      <c r="EV41" s="64">
        <f>'Raw Datas'!ET86</f>
        <v>6.4501833333333325</v>
      </c>
      <c r="EW41" s="64">
        <f>'Raw Datas'!EU86</f>
        <v>38.439949999999996</v>
      </c>
      <c r="EX41" s="64">
        <f>'Raw Datas'!EV86</f>
        <v>20.280316666666668</v>
      </c>
      <c r="EY41" s="64">
        <f>'Raw Datas'!EW86</f>
        <v>4.0983999999999998</v>
      </c>
      <c r="EZ41" s="64">
        <f>'Raw Datas'!EX86</f>
        <v>62.067399999999999</v>
      </c>
      <c r="FA41" s="64">
        <f>'Raw Datas'!EY86</f>
        <v>46.949399999999997</v>
      </c>
      <c r="FB41" s="64">
        <f>'Raw Datas'!EZ86</f>
        <v>5.2910833333333338</v>
      </c>
      <c r="FC41" s="64">
        <f>'Raw Datas'!FA86</f>
        <v>4.4891666666666659</v>
      </c>
      <c r="FD41" s="64">
        <f>'Raw Datas'!FB86</f>
        <v>2.5487333333333333</v>
      </c>
      <c r="FE41" s="64">
        <f>'Raw Datas'!FC86</f>
        <v>14.185116666666666</v>
      </c>
      <c r="FF41" s="64">
        <f>'Raw Datas'!FD86</f>
        <v>0.66839999999999999</v>
      </c>
      <c r="FG41" s="64">
        <f>'Raw Datas'!FE86</f>
        <v>1.1898500000000001</v>
      </c>
      <c r="FH41" s="64">
        <f>'Raw Datas'!FF86</f>
        <v>35.334533333333333</v>
      </c>
      <c r="FI41" s="64">
        <f>'Raw Datas'!FG86</f>
        <v>16.159983333333333</v>
      </c>
      <c r="FJ41" s="64">
        <f>'Raw Datas'!FH86</f>
        <v>21.632583333333333</v>
      </c>
      <c r="FK41" s="64">
        <f>'Raw Datas'!FI86</f>
        <v>14.141216666666669</v>
      </c>
      <c r="FL41" s="64">
        <f>'Raw Datas'!FJ86</f>
        <v>28.506433333333334</v>
      </c>
      <c r="FM41" s="64">
        <f>'Raw Datas'!FK86</f>
        <v>95.715766666666667</v>
      </c>
      <c r="FN41" s="64">
        <f>'Raw Datas'!FL86</f>
        <v>5.9485833333333327</v>
      </c>
      <c r="FO41" s="64">
        <f>'Raw Datas'!FM86</f>
        <v>8.3947333333333329</v>
      </c>
      <c r="FP41" s="64">
        <f>'Raw Datas'!FN86</f>
        <v>5.4581333333333344</v>
      </c>
      <c r="FQ41" s="64">
        <f>'Raw Datas'!FO86</f>
        <v>9.6633166666666668</v>
      </c>
    </row>
    <row r="42" spans="1:16092" ht="16" thickBot="1" x14ac:dyDescent="0.25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  <c r="QV42" s="13"/>
      <c r="QW42" s="13"/>
      <c r="QX42" s="13"/>
      <c r="QY42" s="13"/>
      <c r="QZ42" s="13"/>
      <c r="RA42" s="13"/>
      <c r="RB42" s="13"/>
      <c r="RC42" s="13"/>
      <c r="RD42" s="13"/>
      <c r="RE42" s="13"/>
      <c r="RF42" s="13"/>
      <c r="RG42" s="13"/>
      <c r="RH42" s="13"/>
      <c r="RI42" s="13"/>
      <c r="RJ42" s="13"/>
      <c r="RK42" s="13"/>
      <c r="RL42" s="13"/>
      <c r="RM42" s="13"/>
      <c r="RN42" s="13"/>
      <c r="RO42" s="13"/>
      <c r="RP42" s="13"/>
      <c r="RQ42" s="13"/>
      <c r="RR42" s="13"/>
      <c r="RS42" s="13"/>
      <c r="RT42" s="13"/>
      <c r="RU42" s="13"/>
      <c r="RV42" s="13"/>
      <c r="RW42" s="13"/>
      <c r="RX42" s="13"/>
      <c r="RY42" s="13"/>
      <c r="RZ42" s="13"/>
      <c r="SA42" s="13"/>
      <c r="SB42" s="13"/>
      <c r="SC42" s="13"/>
      <c r="SD42" s="13"/>
      <c r="SE42" s="13"/>
      <c r="SF42" s="13"/>
      <c r="SG42" s="13"/>
      <c r="SH42" s="13"/>
      <c r="SI42" s="13"/>
      <c r="SJ42" s="13"/>
      <c r="SK42" s="13"/>
      <c r="SL42" s="13"/>
      <c r="SM42" s="13"/>
      <c r="SN42" s="13"/>
      <c r="SO42" s="13"/>
      <c r="SP42" s="13"/>
      <c r="SQ42" s="13"/>
      <c r="SR42" s="13"/>
      <c r="SS42" s="13"/>
      <c r="ST42" s="13"/>
      <c r="SU42" s="13"/>
      <c r="SV42" s="13"/>
      <c r="SW42" s="13"/>
      <c r="SX42" s="13"/>
      <c r="SY42" s="13"/>
      <c r="SZ42" s="13"/>
      <c r="TA42" s="13"/>
      <c r="TB42" s="13"/>
      <c r="TC42" s="13"/>
      <c r="TD42" s="13"/>
      <c r="TE42" s="13"/>
      <c r="TF42" s="13"/>
      <c r="TG42" s="13"/>
      <c r="TH42" s="13"/>
      <c r="TI42" s="13"/>
      <c r="TJ42" s="13"/>
      <c r="TK42" s="13"/>
      <c r="TL42" s="13"/>
      <c r="TM42" s="13"/>
      <c r="TN42" s="13"/>
      <c r="TO42" s="13"/>
      <c r="TP42" s="13"/>
      <c r="TQ42" s="13"/>
      <c r="TR42" s="13"/>
      <c r="TS42" s="13"/>
      <c r="TT42" s="13"/>
      <c r="TU42" s="13"/>
      <c r="TV42" s="13"/>
      <c r="TW42" s="13"/>
      <c r="TX42" s="13"/>
      <c r="TY42" s="13"/>
      <c r="TZ42" s="13"/>
      <c r="UA42" s="13"/>
      <c r="UB42" s="13"/>
      <c r="UC42" s="13"/>
      <c r="UD42" s="13"/>
      <c r="UE42" s="13"/>
      <c r="UF42" s="13"/>
      <c r="UG42" s="13"/>
      <c r="UH42" s="13"/>
      <c r="UI42" s="13"/>
      <c r="UJ42" s="13"/>
      <c r="UK42" s="13"/>
      <c r="UL42" s="13"/>
      <c r="UM42" s="13"/>
      <c r="UN42" s="13"/>
      <c r="UO42" s="13"/>
      <c r="UP42" s="13"/>
      <c r="UQ42" s="13"/>
      <c r="UR42" s="13"/>
      <c r="US42" s="13"/>
      <c r="UT42" s="13"/>
      <c r="UU42" s="13"/>
      <c r="UV42" s="13"/>
      <c r="UW42" s="13"/>
      <c r="UX42" s="13"/>
      <c r="UY42" s="13"/>
      <c r="UZ42" s="13"/>
      <c r="VA42" s="13"/>
      <c r="VB42" s="13"/>
      <c r="VC42" s="13"/>
      <c r="VD42" s="13"/>
      <c r="VE42" s="13"/>
      <c r="VF42" s="13"/>
      <c r="VG42" s="13"/>
      <c r="VH42" s="13"/>
      <c r="VI42" s="13"/>
      <c r="VJ42" s="13"/>
      <c r="VK42" s="13"/>
      <c r="VL42" s="13"/>
      <c r="VM42" s="13"/>
      <c r="VN42" s="13"/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  <c r="AAM42" s="13"/>
      <c r="AAN42" s="13"/>
      <c r="AAO42" s="13"/>
      <c r="AAP42" s="13"/>
      <c r="AAQ42" s="13"/>
      <c r="AAR42" s="13"/>
      <c r="AAS42" s="13"/>
      <c r="AAT42" s="13"/>
      <c r="AAU42" s="13"/>
      <c r="AAV42" s="13"/>
      <c r="AAW42" s="13"/>
      <c r="AAX42" s="13"/>
      <c r="AAY42" s="13"/>
      <c r="AAZ42" s="13"/>
      <c r="ABA42" s="13"/>
      <c r="ABB42" s="13"/>
      <c r="ABC42" s="13"/>
      <c r="ABD42" s="13"/>
      <c r="ABE42" s="13"/>
      <c r="ABF42" s="13"/>
      <c r="ABG42" s="13"/>
      <c r="ABH42" s="13"/>
      <c r="ABI42" s="13"/>
      <c r="ABJ42" s="13"/>
      <c r="ABK42" s="13"/>
      <c r="ABL42" s="13"/>
      <c r="ABM42" s="13"/>
      <c r="ABN42" s="13"/>
      <c r="ABO42" s="13"/>
      <c r="ABP42" s="13"/>
      <c r="ABQ42" s="13"/>
      <c r="ABR42" s="13"/>
      <c r="ABS42" s="13"/>
      <c r="ABT42" s="13"/>
      <c r="ABU42" s="13"/>
      <c r="ABV42" s="13"/>
      <c r="ABW42" s="13"/>
      <c r="ABX42" s="13"/>
      <c r="ABY42" s="13"/>
      <c r="ABZ42" s="13"/>
      <c r="ACA42" s="13"/>
      <c r="ACB42" s="13"/>
      <c r="ACC42" s="13"/>
      <c r="ACD42" s="13"/>
      <c r="ACE42" s="13"/>
      <c r="ACF42" s="13"/>
      <c r="ACG42" s="13"/>
      <c r="ACH42" s="13"/>
      <c r="ACI42" s="13"/>
      <c r="ACJ42" s="13"/>
      <c r="ACK42" s="13"/>
      <c r="ACL42" s="13"/>
      <c r="ACM42" s="13"/>
      <c r="ACN42" s="13"/>
      <c r="ACO42" s="13"/>
      <c r="ACP42" s="13"/>
      <c r="ACQ42" s="13"/>
      <c r="ACR42" s="13"/>
      <c r="ACS42" s="13"/>
      <c r="ACT42" s="13"/>
      <c r="ACU42" s="13"/>
      <c r="ACV42" s="13"/>
      <c r="ACW42" s="13"/>
      <c r="ACX42" s="13"/>
      <c r="ACY42" s="13"/>
      <c r="ACZ42" s="13"/>
      <c r="ADA42" s="13"/>
      <c r="ADB42" s="13"/>
      <c r="ADC42" s="13"/>
      <c r="ADD42" s="13"/>
      <c r="ADE42" s="13"/>
      <c r="ADF42" s="13"/>
      <c r="ADG42" s="13"/>
      <c r="ADH42" s="13"/>
      <c r="ADI42" s="13"/>
      <c r="ADJ42" s="13"/>
      <c r="ADK42" s="13"/>
      <c r="ADL42" s="13"/>
      <c r="ADM42" s="13"/>
      <c r="ADN42" s="13"/>
      <c r="ADO42" s="13"/>
      <c r="ADP42" s="13"/>
      <c r="ADQ42" s="13"/>
      <c r="ADR42" s="13"/>
      <c r="ADS42" s="13"/>
      <c r="ADT42" s="13"/>
      <c r="ADU42" s="13"/>
      <c r="ADV42" s="13"/>
      <c r="ADW42" s="13"/>
      <c r="ADX42" s="13"/>
      <c r="ADY42" s="13"/>
      <c r="ADZ42" s="13"/>
      <c r="AEA42" s="13"/>
      <c r="AEB42" s="13"/>
      <c r="AEC42" s="13"/>
      <c r="AED42" s="13"/>
      <c r="AEE42" s="13"/>
      <c r="AEF42" s="13"/>
      <c r="AEG42" s="13"/>
      <c r="AEH42" s="13"/>
      <c r="AEI42" s="13"/>
      <c r="AEJ42" s="13"/>
      <c r="AEK42" s="13"/>
      <c r="AEL42" s="13"/>
      <c r="AEM42" s="13"/>
      <c r="AEN42" s="13"/>
      <c r="AEO42" s="13"/>
      <c r="AEP42" s="13"/>
      <c r="AEQ42" s="13"/>
      <c r="AER42" s="13"/>
      <c r="AES42" s="13"/>
      <c r="AET42" s="13"/>
      <c r="AEU42" s="13"/>
      <c r="AEV42" s="13"/>
      <c r="AEW42" s="13"/>
      <c r="AEX42" s="13"/>
      <c r="AEY42" s="13"/>
      <c r="AEZ42" s="13"/>
      <c r="AFA42" s="13"/>
      <c r="AFB42" s="13"/>
      <c r="AFC42" s="13"/>
      <c r="AFD42" s="13"/>
      <c r="AFE42" s="13"/>
      <c r="AFF42" s="13"/>
      <c r="AFG42" s="13"/>
      <c r="AFH42" s="13"/>
      <c r="AFI42" s="13"/>
      <c r="AFJ42" s="13"/>
      <c r="AFK42" s="13"/>
      <c r="AFL42" s="13"/>
      <c r="AFM42" s="13"/>
      <c r="AFN42" s="13"/>
      <c r="AFO42" s="13"/>
      <c r="AFP42" s="13"/>
      <c r="AFQ42" s="13"/>
      <c r="AFR42" s="13"/>
      <c r="AFS42" s="13"/>
      <c r="AFT42" s="13"/>
      <c r="AFU42" s="13"/>
      <c r="AFV42" s="13"/>
      <c r="AFW42" s="13"/>
      <c r="AFX42" s="13"/>
      <c r="AFY42" s="13"/>
      <c r="AFZ42" s="13"/>
      <c r="AGA42" s="13"/>
      <c r="AGB42" s="13"/>
      <c r="AGC42" s="13"/>
      <c r="AGD42" s="13"/>
      <c r="AGE42" s="13"/>
      <c r="AGF42" s="13"/>
      <c r="AGG42" s="13"/>
      <c r="AGH42" s="13"/>
      <c r="AGI42" s="13"/>
      <c r="AGJ42" s="13"/>
      <c r="AGK42" s="13"/>
      <c r="AGL42" s="13"/>
      <c r="AGM42" s="13"/>
      <c r="AGN42" s="13"/>
      <c r="AGO42" s="13"/>
      <c r="AGP42" s="13"/>
      <c r="AGQ42" s="13"/>
      <c r="AGR42" s="13"/>
      <c r="AGS42" s="13"/>
      <c r="AGT42" s="13"/>
      <c r="AGU42" s="13"/>
      <c r="AGV42" s="13"/>
      <c r="AGW42" s="13"/>
      <c r="AGX42" s="13"/>
      <c r="AGY42" s="13"/>
      <c r="AGZ42" s="13"/>
      <c r="AHA42" s="13"/>
      <c r="AHB42" s="13"/>
      <c r="AHC42" s="13"/>
      <c r="AHD42" s="13"/>
      <c r="AHE42" s="13"/>
      <c r="AHF42" s="13"/>
      <c r="AHG42" s="13"/>
      <c r="AHH42" s="13"/>
      <c r="AHI42" s="13"/>
      <c r="AHJ42" s="13"/>
      <c r="AHK42" s="13"/>
      <c r="AHL42" s="13"/>
      <c r="AHM42" s="13"/>
      <c r="AHN42" s="13"/>
      <c r="AHO42" s="13"/>
      <c r="AHP42" s="13"/>
      <c r="AHQ42" s="13"/>
      <c r="AHR42" s="13"/>
      <c r="AHS42" s="13"/>
      <c r="AHT42" s="13"/>
      <c r="AHU42" s="13"/>
      <c r="AHV42" s="13"/>
      <c r="AHW42" s="13"/>
      <c r="AHX42" s="13"/>
      <c r="AHY42" s="13"/>
      <c r="AHZ42" s="13"/>
      <c r="AIA42" s="13"/>
      <c r="AIB42" s="13"/>
      <c r="AIC42" s="13"/>
      <c r="AID42" s="13"/>
      <c r="AIE42" s="13"/>
      <c r="AIF42" s="13"/>
      <c r="AIG42" s="13"/>
      <c r="AIH42" s="13"/>
      <c r="AII42" s="13"/>
      <c r="AIJ42" s="13"/>
      <c r="AIK42" s="13"/>
      <c r="AIL42" s="13"/>
      <c r="AIM42" s="13"/>
      <c r="AIN42" s="13"/>
      <c r="AIO42" s="13"/>
      <c r="AIP42" s="13"/>
      <c r="AIQ42" s="13"/>
      <c r="AIR42" s="13"/>
      <c r="AIS42" s="13"/>
      <c r="AIT42" s="13"/>
      <c r="AIU42" s="13"/>
      <c r="AIV42" s="13"/>
      <c r="AIW42" s="13"/>
      <c r="AIX42" s="13"/>
      <c r="AIY42" s="13"/>
      <c r="AIZ42" s="13"/>
      <c r="AJA42" s="13"/>
      <c r="AJB42" s="13"/>
      <c r="AJC42" s="13"/>
      <c r="AJD42" s="13"/>
      <c r="AJE42" s="13"/>
      <c r="AJF42" s="13"/>
      <c r="AJG42" s="13"/>
      <c r="AJH42" s="13"/>
      <c r="AJI42" s="13"/>
      <c r="AJJ42" s="13"/>
      <c r="AJK42" s="13"/>
      <c r="AJL42" s="13"/>
      <c r="AJM42" s="13"/>
      <c r="AJN42" s="13"/>
      <c r="AJO42" s="13"/>
      <c r="AJP42" s="13"/>
      <c r="AJQ42" s="13"/>
      <c r="AJR42" s="13"/>
      <c r="AJS42" s="13"/>
      <c r="AJT42" s="13"/>
      <c r="AJU42" s="13"/>
      <c r="AJV42" s="13"/>
      <c r="AJW42" s="13"/>
      <c r="AJX42" s="13"/>
      <c r="AJY42" s="13"/>
      <c r="AJZ42" s="13"/>
      <c r="AKA42" s="13"/>
      <c r="AKB42" s="13"/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  <c r="AKR42" s="13"/>
      <c r="AKS42" s="13"/>
      <c r="AKT42" s="13"/>
      <c r="AKU42" s="13"/>
      <c r="AKV42" s="13"/>
      <c r="AKW42" s="13"/>
      <c r="AKX42" s="13"/>
      <c r="AKY42" s="13"/>
      <c r="AKZ42" s="13"/>
      <c r="ALA42" s="13"/>
      <c r="ALB42" s="13"/>
      <c r="ALC42" s="13"/>
      <c r="ALD42" s="13"/>
      <c r="ALE42" s="13"/>
      <c r="ALF42" s="13"/>
      <c r="ALG42" s="13"/>
      <c r="ALH42" s="13"/>
      <c r="ALI42" s="13"/>
      <c r="ALJ42" s="13"/>
      <c r="ALK42" s="13"/>
      <c r="ALL42" s="13"/>
      <c r="ALM42" s="13"/>
      <c r="ALN42" s="13"/>
      <c r="ALO42" s="13"/>
      <c r="ALP42" s="13"/>
      <c r="ALQ42" s="13"/>
      <c r="ALR42" s="13"/>
      <c r="ALS42" s="13"/>
      <c r="ALT42" s="13"/>
      <c r="ALU42" s="13"/>
      <c r="ALV42" s="13"/>
      <c r="ALW42" s="13"/>
      <c r="ALX42" s="13"/>
      <c r="ALY42" s="13"/>
      <c r="ALZ42" s="13"/>
      <c r="AMA42" s="13"/>
      <c r="AMB42" s="13"/>
      <c r="AMC42" s="13"/>
      <c r="AMD42" s="13"/>
      <c r="AME42" s="13"/>
      <c r="AMF42" s="13"/>
      <c r="AMG42" s="13"/>
      <c r="AMH42" s="13"/>
      <c r="AMI42" s="13"/>
      <c r="AMJ42" s="13"/>
      <c r="AMK42" s="13"/>
      <c r="AML42" s="13"/>
      <c r="AMM42" s="13"/>
      <c r="AMN42" s="13"/>
      <c r="AMO42" s="13"/>
      <c r="AMP42" s="13"/>
      <c r="AMQ42" s="13"/>
      <c r="AMR42" s="13"/>
      <c r="AMS42" s="13"/>
      <c r="AMT42" s="13"/>
      <c r="AMU42" s="13"/>
      <c r="AMV42" s="13"/>
      <c r="AMW42" s="13"/>
      <c r="AMX42" s="13"/>
      <c r="AMY42" s="13"/>
      <c r="AMZ42" s="13"/>
      <c r="ANA42" s="13"/>
      <c r="ANB42" s="13"/>
      <c r="ANC42" s="13"/>
      <c r="AND42" s="13"/>
      <c r="ANE42" s="13"/>
      <c r="ANF42" s="13"/>
      <c r="ANG42" s="13"/>
      <c r="ANH42" s="13"/>
      <c r="ANI42" s="13"/>
      <c r="ANJ42" s="13"/>
      <c r="ANK42" s="13"/>
      <c r="ANL42" s="13"/>
      <c r="ANM42" s="13"/>
      <c r="ANN42" s="13"/>
      <c r="ANO42" s="13"/>
      <c r="ANP42" s="13"/>
      <c r="ANQ42" s="13"/>
      <c r="ANR42" s="13"/>
      <c r="ANS42" s="13"/>
      <c r="ANT42" s="13"/>
      <c r="ANU42" s="13"/>
      <c r="ANV42" s="13"/>
      <c r="ANW42" s="13"/>
      <c r="ANX42" s="13"/>
      <c r="ANY42" s="13"/>
      <c r="ANZ42" s="13"/>
      <c r="AOA42" s="13"/>
      <c r="AOB42" s="13"/>
      <c r="AOC42" s="13"/>
      <c r="AOD42" s="13"/>
      <c r="AOE42" s="13"/>
      <c r="AOF42" s="13"/>
      <c r="AOG42" s="13"/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  <c r="APA42" s="13"/>
      <c r="APB42" s="13"/>
      <c r="APC42" s="13"/>
      <c r="APD42" s="13"/>
      <c r="APE42" s="13"/>
      <c r="APF42" s="13"/>
      <c r="APG42" s="13"/>
      <c r="APH42" s="13"/>
      <c r="API42" s="13"/>
      <c r="APJ42" s="13"/>
      <c r="APK42" s="13"/>
      <c r="APL42" s="13"/>
      <c r="APM42" s="13"/>
      <c r="APN42" s="13"/>
      <c r="APO42" s="13"/>
      <c r="APP42" s="13"/>
      <c r="APQ42" s="13"/>
      <c r="APR42" s="13"/>
      <c r="APS42" s="13"/>
      <c r="APT42" s="13"/>
      <c r="APU42" s="13"/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  <c r="ATC42" s="13"/>
      <c r="ATD42" s="13"/>
      <c r="ATE42" s="13"/>
      <c r="ATF42" s="13"/>
      <c r="ATG42" s="13"/>
      <c r="ATH42" s="13"/>
      <c r="ATI42" s="13"/>
      <c r="ATJ42" s="13"/>
      <c r="ATK42" s="13"/>
      <c r="ATL42" s="13"/>
      <c r="ATM42" s="13"/>
      <c r="ATN42" s="13"/>
      <c r="ATO42" s="13"/>
      <c r="ATP42" s="13"/>
      <c r="ATQ42" s="13"/>
      <c r="ATR42" s="13"/>
      <c r="ATS42" s="13"/>
      <c r="ATT42" s="13"/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  <c r="AUT42" s="13"/>
      <c r="AUU42" s="13"/>
      <c r="AUV42" s="13"/>
      <c r="AUW42" s="13"/>
      <c r="AUX42" s="13"/>
      <c r="AUY42" s="13"/>
      <c r="AUZ42" s="13"/>
      <c r="AVA42" s="13"/>
      <c r="AVB42" s="13"/>
      <c r="AVC42" s="13"/>
      <c r="AVD42" s="13"/>
      <c r="AVE42" s="13"/>
      <c r="AVF42" s="13"/>
      <c r="AVG42" s="13"/>
      <c r="AVH42" s="13"/>
      <c r="AVI42" s="13"/>
      <c r="AVJ42" s="13"/>
      <c r="AVK42" s="13"/>
      <c r="AVL42" s="13"/>
      <c r="AVM42" s="13"/>
      <c r="AVN42" s="13"/>
      <c r="AVO42" s="13"/>
      <c r="AVP42" s="13"/>
      <c r="AVQ42" s="13"/>
      <c r="AVR42" s="13"/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  <c r="BAQ42" s="13"/>
      <c r="BAR42" s="13"/>
      <c r="BAS42" s="13"/>
      <c r="BAT42" s="13"/>
      <c r="BAU42" s="13"/>
      <c r="BAV42" s="13"/>
      <c r="BAW42" s="13"/>
      <c r="BAX42" s="13"/>
      <c r="BAY42" s="13"/>
      <c r="BAZ42" s="13"/>
      <c r="BBA42" s="13"/>
      <c r="BBB42" s="13"/>
      <c r="BBC42" s="13"/>
      <c r="BBD42" s="13"/>
      <c r="BBE42" s="13"/>
      <c r="BBF42" s="13"/>
      <c r="BBG42" s="13"/>
      <c r="BBH42" s="13"/>
      <c r="BBI42" s="13"/>
      <c r="BBJ42" s="13"/>
      <c r="BBK42" s="13"/>
      <c r="BBL42" s="13"/>
      <c r="BBM42" s="13"/>
      <c r="BBN42" s="13"/>
      <c r="BBO42" s="13"/>
      <c r="BBP42" s="13"/>
      <c r="BBQ42" s="13"/>
      <c r="BBR42" s="13"/>
      <c r="BBS42" s="13"/>
      <c r="BBT42" s="13"/>
      <c r="BBU42" s="13"/>
      <c r="BBV42" s="13"/>
      <c r="BBW42" s="13"/>
      <c r="BBX42" s="13"/>
      <c r="BBY42" s="13"/>
      <c r="BBZ42" s="13"/>
      <c r="BCA42" s="13"/>
      <c r="BCB42" s="13"/>
      <c r="BCC42" s="13"/>
      <c r="BCD42" s="13"/>
      <c r="BCE42" s="13"/>
      <c r="BCF42" s="13"/>
      <c r="BCG42" s="13"/>
      <c r="BCH42" s="13"/>
      <c r="BCI42" s="13"/>
      <c r="BCJ42" s="13"/>
      <c r="BCK42" s="13"/>
      <c r="BCL42" s="13"/>
      <c r="BCM42" s="13"/>
      <c r="BCN42" s="13"/>
      <c r="BCO42" s="13"/>
      <c r="BCP42" s="13"/>
      <c r="BCQ42" s="13"/>
      <c r="BCR42" s="13"/>
      <c r="BCS42" s="13"/>
      <c r="BCT42" s="13"/>
      <c r="BCU42" s="13"/>
      <c r="BCV42" s="13"/>
      <c r="BCW42" s="13"/>
      <c r="BCX42" s="13"/>
      <c r="BCY42" s="13"/>
      <c r="BCZ42" s="13"/>
      <c r="BDA42" s="13"/>
      <c r="BDB42" s="13"/>
      <c r="BDC42" s="13"/>
      <c r="BDD42" s="13"/>
      <c r="BDE42" s="13"/>
      <c r="BDF42" s="13"/>
      <c r="BDG42" s="13"/>
      <c r="BDH42" s="13"/>
      <c r="BDI42" s="13"/>
      <c r="BDJ42" s="13"/>
      <c r="BDK42" s="13"/>
      <c r="BDL42" s="13"/>
      <c r="BDM42" s="13"/>
      <c r="BDN42" s="13"/>
      <c r="BDO42" s="13"/>
      <c r="BDP42" s="13"/>
      <c r="BDQ42" s="13"/>
      <c r="BDR42" s="13"/>
      <c r="BDS42" s="13"/>
      <c r="BDT42" s="13"/>
      <c r="BDU42" s="13"/>
      <c r="BDV42" s="13"/>
      <c r="BDW42" s="13"/>
      <c r="BDX42" s="13"/>
      <c r="BDY42" s="13"/>
      <c r="BDZ42" s="13"/>
      <c r="BEA42" s="13"/>
      <c r="BEB42" s="13"/>
      <c r="BEC42" s="13"/>
      <c r="BED42" s="13"/>
      <c r="BEE42" s="13"/>
      <c r="BEF42" s="13"/>
      <c r="BEG42" s="13"/>
      <c r="BEH42" s="13"/>
      <c r="BEI42" s="13"/>
      <c r="BEJ42" s="13"/>
      <c r="BEK42" s="13"/>
      <c r="BEL42" s="13"/>
      <c r="BEM42" s="13"/>
      <c r="BEN42" s="13"/>
      <c r="BEO42" s="13"/>
      <c r="BEP42" s="13"/>
      <c r="BEQ42" s="13"/>
      <c r="BER42" s="13"/>
      <c r="BES42" s="13"/>
      <c r="BET42" s="13"/>
      <c r="BEU42" s="13"/>
      <c r="BEV42" s="13"/>
      <c r="BEW42" s="13"/>
      <c r="BEX42" s="13"/>
      <c r="BEY42" s="13"/>
      <c r="BEZ42" s="13"/>
      <c r="BFA42" s="13"/>
      <c r="BFB42" s="13"/>
      <c r="BFC42" s="13"/>
      <c r="BFD42" s="13"/>
      <c r="BFE42" s="13"/>
      <c r="BFF42" s="13"/>
      <c r="BFG42" s="13"/>
      <c r="BFH42" s="13"/>
      <c r="BFI42" s="13"/>
      <c r="BFJ42" s="13"/>
      <c r="BFK42" s="13"/>
      <c r="BFL42" s="13"/>
      <c r="BFM42" s="13"/>
      <c r="BFN42" s="13"/>
      <c r="BFO42" s="13"/>
      <c r="BFP42" s="13"/>
      <c r="BFQ42" s="13"/>
      <c r="BFR42" s="13"/>
      <c r="BFS42" s="13"/>
      <c r="BFT42" s="13"/>
      <c r="BFU42" s="13"/>
      <c r="BFV42" s="13"/>
      <c r="BFW42" s="13"/>
      <c r="BFX42" s="13"/>
      <c r="BFY42" s="13"/>
      <c r="BFZ42" s="13"/>
      <c r="BGA42" s="13"/>
      <c r="BGB42" s="13"/>
      <c r="BGC42" s="13"/>
      <c r="BGD42" s="13"/>
      <c r="BGE42" s="13"/>
      <c r="BGF42" s="13"/>
      <c r="BGG42" s="13"/>
      <c r="BGH42" s="13"/>
      <c r="BGI42" s="13"/>
      <c r="BGJ42" s="13"/>
      <c r="BGK42" s="13"/>
      <c r="BGL42" s="13"/>
      <c r="BGM42" s="13"/>
      <c r="BGN42" s="13"/>
      <c r="BGO42" s="13"/>
      <c r="BGP42" s="13"/>
      <c r="BGQ42" s="13"/>
      <c r="BGR42" s="13"/>
      <c r="BGS42" s="13"/>
      <c r="BGT42" s="13"/>
      <c r="BGU42" s="13"/>
      <c r="BGV42" s="13"/>
      <c r="BGW42" s="13"/>
      <c r="BGX42" s="13"/>
      <c r="BGY42" s="13"/>
      <c r="BGZ42" s="13"/>
      <c r="BHA42" s="13"/>
      <c r="BHB42" s="13"/>
      <c r="BHC42" s="13"/>
      <c r="BHD42" s="13"/>
      <c r="BHE42" s="13"/>
      <c r="BHF42" s="13"/>
      <c r="BHG42" s="13"/>
      <c r="BHH42" s="13"/>
      <c r="BHI42" s="13"/>
      <c r="BHJ42" s="13"/>
      <c r="BHK42" s="13"/>
      <c r="BHL42" s="13"/>
      <c r="BHM42" s="13"/>
      <c r="BHN42" s="13"/>
      <c r="BHO42" s="13"/>
      <c r="BHP42" s="13"/>
      <c r="BHQ42" s="13"/>
      <c r="BHR42" s="13"/>
      <c r="BHS42" s="13"/>
      <c r="BHT42" s="13"/>
      <c r="BHU42" s="13"/>
      <c r="BHV42" s="13"/>
      <c r="BHW42" s="13"/>
      <c r="BHX42" s="13"/>
      <c r="BHY42" s="13"/>
      <c r="BHZ42" s="13"/>
      <c r="BIA42" s="13"/>
      <c r="BIB42" s="13"/>
      <c r="BIC42" s="13"/>
      <c r="BID42" s="13"/>
      <c r="BIE42" s="13"/>
      <c r="BIF42" s="13"/>
      <c r="BIG42" s="13"/>
      <c r="BIH42" s="13"/>
      <c r="BII42" s="13"/>
      <c r="BIJ42" s="13"/>
      <c r="BIK42" s="13"/>
      <c r="BIL42" s="13"/>
      <c r="BIM42" s="13"/>
      <c r="BIN42" s="13"/>
      <c r="BIO42" s="13"/>
      <c r="BIP42" s="13"/>
      <c r="BIQ42" s="13"/>
      <c r="BIR42" s="13"/>
      <c r="BIS42" s="13"/>
      <c r="BIT42" s="13"/>
      <c r="BIU42" s="13"/>
      <c r="BIV42" s="13"/>
      <c r="BIW42" s="13"/>
      <c r="BIX42" s="13"/>
      <c r="BIY42" s="13"/>
      <c r="BIZ42" s="13"/>
      <c r="BJA42" s="13"/>
      <c r="BJB42" s="13"/>
      <c r="BJC42" s="13"/>
      <c r="BJD42" s="13"/>
      <c r="BJE42" s="13"/>
      <c r="BJF42" s="13"/>
      <c r="BJG42" s="13"/>
      <c r="BJH42" s="13"/>
      <c r="BJI42" s="13"/>
      <c r="BJJ42" s="13"/>
      <c r="BJK42" s="13"/>
      <c r="BJL42" s="13"/>
      <c r="BJM42" s="13"/>
      <c r="BJN42" s="13"/>
      <c r="BJO42" s="13"/>
      <c r="BJP42" s="13"/>
      <c r="BJQ42" s="13"/>
      <c r="BJR42" s="13"/>
      <c r="BJS42" s="13"/>
      <c r="BJT42" s="13"/>
      <c r="BJU42" s="13"/>
      <c r="BJV42" s="13"/>
      <c r="BJW42" s="13"/>
      <c r="BJX42" s="13"/>
      <c r="BJY42" s="13"/>
      <c r="BJZ42" s="13"/>
      <c r="BKA42" s="13"/>
      <c r="BKB42" s="13"/>
      <c r="BKC42" s="13"/>
      <c r="BKD42" s="13"/>
      <c r="BKE42" s="13"/>
      <c r="BKF42" s="13"/>
      <c r="BKG42" s="13"/>
      <c r="BKH42" s="13"/>
      <c r="BKI42" s="13"/>
      <c r="BKJ42" s="13"/>
      <c r="BKK42" s="13"/>
      <c r="BKL42" s="13"/>
      <c r="BKM42" s="13"/>
      <c r="BKN42" s="13"/>
      <c r="BKO42" s="13"/>
      <c r="BKP42" s="13"/>
      <c r="BKQ42" s="13"/>
      <c r="BKR42" s="13"/>
      <c r="BKS42" s="13"/>
      <c r="BKT42" s="13"/>
      <c r="BKU42" s="13"/>
      <c r="BKV42" s="13"/>
      <c r="BKW42" s="13"/>
      <c r="BKX42" s="13"/>
      <c r="BKY42" s="13"/>
      <c r="BKZ42" s="13"/>
      <c r="BLA42" s="13"/>
      <c r="BLB42" s="13"/>
      <c r="BLC42" s="13"/>
      <c r="BLD42" s="13"/>
      <c r="BLE42" s="13"/>
      <c r="BLF42" s="13"/>
      <c r="BLG42" s="13"/>
      <c r="BLH42" s="13"/>
      <c r="BLI42" s="13"/>
      <c r="BLJ42" s="13"/>
      <c r="BLK42" s="13"/>
      <c r="BLL42" s="13"/>
      <c r="BLM42" s="13"/>
      <c r="BLN42" s="13"/>
      <c r="BLO42" s="13"/>
      <c r="BLP42" s="13"/>
      <c r="BLQ42" s="13"/>
      <c r="BLR42" s="13"/>
      <c r="BLS42" s="13"/>
      <c r="BLT42" s="13"/>
      <c r="BLU42" s="13"/>
      <c r="BLV42" s="13"/>
      <c r="BLW42" s="13"/>
      <c r="BLX42" s="13"/>
      <c r="BLY42" s="13"/>
      <c r="BLZ42" s="13"/>
      <c r="BMA42" s="13"/>
      <c r="BMB42" s="13"/>
      <c r="BMC42" s="13"/>
      <c r="BMD42" s="13"/>
      <c r="BME42" s="13"/>
      <c r="BMF42" s="13"/>
      <c r="BMG42" s="13"/>
      <c r="BMH42" s="13"/>
      <c r="BMI42" s="13"/>
      <c r="BMJ42" s="13"/>
      <c r="BMK42" s="13"/>
      <c r="BML42" s="13"/>
      <c r="BMM42" s="13"/>
      <c r="BMN42" s="13"/>
      <c r="BMO42" s="13"/>
      <c r="BMP42" s="13"/>
      <c r="BMQ42" s="13"/>
      <c r="BMR42" s="13"/>
      <c r="BMS42" s="13"/>
      <c r="BMT42" s="13"/>
      <c r="BMU42" s="13"/>
      <c r="BMV42" s="13"/>
      <c r="BMW42" s="13"/>
      <c r="BMX42" s="13"/>
      <c r="BMY42" s="13"/>
      <c r="BMZ42" s="13"/>
      <c r="BNA42" s="13"/>
      <c r="BNB42" s="13"/>
      <c r="BNC42" s="13"/>
      <c r="BND42" s="13"/>
      <c r="BNE42" s="13"/>
      <c r="BNF42" s="13"/>
      <c r="BNG42" s="13"/>
      <c r="BNH42" s="13"/>
      <c r="BNI42" s="13"/>
      <c r="BNJ42" s="13"/>
      <c r="BNK42" s="13"/>
      <c r="BNL42" s="13"/>
      <c r="BNM42" s="13"/>
      <c r="BNN42" s="13"/>
      <c r="BNO42" s="13"/>
      <c r="BNP42" s="13"/>
      <c r="BNQ42" s="13"/>
      <c r="BNR42" s="13"/>
      <c r="BNS42" s="13"/>
      <c r="BNT42" s="13"/>
      <c r="BNU42" s="13"/>
      <c r="BNV42" s="13"/>
      <c r="BNW42" s="13"/>
      <c r="BNX42" s="13"/>
      <c r="BNY42" s="13"/>
      <c r="BNZ42" s="13"/>
      <c r="BOA42" s="13"/>
      <c r="BOB42" s="13"/>
      <c r="BOC42" s="13"/>
      <c r="BOD42" s="13"/>
      <c r="BOE42" s="13"/>
      <c r="BOF42" s="13"/>
      <c r="BOG42" s="13"/>
      <c r="BOH42" s="13"/>
      <c r="BOI42" s="13"/>
      <c r="BOJ42" s="13"/>
      <c r="BOK42" s="13"/>
      <c r="BOL42" s="13"/>
      <c r="BOM42" s="13"/>
      <c r="BON42" s="13"/>
      <c r="BOO42" s="13"/>
      <c r="BOP42" s="13"/>
      <c r="BOQ42" s="13"/>
      <c r="BOR42" s="13"/>
      <c r="BOS42" s="13"/>
      <c r="BOT42" s="13"/>
      <c r="BOU42" s="13"/>
      <c r="BOV42" s="13"/>
      <c r="BOW42" s="13"/>
      <c r="BOX42" s="13"/>
      <c r="BOY42" s="13"/>
      <c r="BOZ42" s="13"/>
      <c r="BPA42" s="13"/>
      <c r="BPB42" s="13"/>
      <c r="BPC42" s="13"/>
      <c r="BPD42" s="13"/>
      <c r="BPE42" s="13"/>
      <c r="BPF42" s="13"/>
      <c r="BPG42" s="13"/>
      <c r="BPH42" s="13"/>
      <c r="BPI42" s="13"/>
      <c r="BPJ42" s="13"/>
      <c r="BPK42" s="13"/>
      <c r="BPL42" s="13"/>
      <c r="BPM42" s="13"/>
      <c r="BPN42" s="13"/>
      <c r="BPO42" s="13"/>
      <c r="BPP42" s="13"/>
      <c r="BPQ42" s="13"/>
      <c r="BPR42" s="13"/>
      <c r="BPS42" s="13"/>
      <c r="BPT42" s="13"/>
      <c r="BPU42" s="13"/>
      <c r="BPV42" s="13"/>
      <c r="BPW42" s="13"/>
      <c r="BPX42" s="13"/>
      <c r="BPY42" s="13"/>
      <c r="BPZ42" s="13"/>
      <c r="BQA42" s="13"/>
      <c r="BQB42" s="13"/>
      <c r="BQC42" s="13"/>
      <c r="BQD42" s="13"/>
      <c r="BQE42" s="13"/>
      <c r="BQF42" s="13"/>
      <c r="BQG42" s="13"/>
      <c r="BQH42" s="13"/>
      <c r="BQI42" s="13"/>
      <c r="BQJ42" s="13"/>
      <c r="BQK42" s="13"/>
      <c r="BQL42" s="13"/>
      <c r="BQM42" s="13"/>
      <c r="BQN42" s="13"/>
      <c r="BQO42" s="13"/>
      <c r="BQP42" s="13"/>
      <c r="BQQ42" s="13"/>
      <c r="BQR42" s="13"/>
      <c r="BQS42" s="13"/>
      <c r="BQT42" s="13"/>
      <c r="BQU42" s="13"/>
      <c r="BQV42" s="13"/>
      <c r="BQW42" s="13"/>
      <c r="BQX42" s="13"/>
      <c r="BQY42" s="13"/>
      <c r="BQZ42" s="13"/>
      <c r="BRA42" s="13"/>
      <c r="BRB42" s="13"/>
      <c r="BRC42" s="13"/>
      <c r="BRD42" s="13"/>
      <c r="BRE42" s="13"/>
      <c r="BRF42" s="13"/>
      <c r="BRG42" s="13"/>
      <c r="BRH42" s="13"/>
      <c r="BRI42" s="13"/>
      <c r="BRJ42" s="13"/>
      <c r="BRK42" s="13"/>
      <c r="BRL42" s="13"/>
      <c r="BRM42" s="13"/>
      <c r="BRN42" s="13"/>
      <c r="BRO42" s="13"/>
      <c r="BRP42" s="13"/>
      <c r="BRQ42" s="13"/>
      <c r="BRR42" s="13"/>
      <c r="BRS42" s="13"/>
      <c r="BRT42" s="13"/>
      <c r="BRU42" s="13"/>
      <c r="BRV42" s="13"/>
      <c r="BRW42" s="13"/>
      <c r="BRX42" s="13"/>
      <c r="BRY42" s="13"/>
      <c r="BRZ42" s="13"/>
      <c r="BSA42" s="13"/>
      <c r="BSB42" s="13"/>
      <c r="BSC42" s="13"/>
      <c r="BSD42" s="13"/>
      <c r="BSE42" s="13"/>
      <c r="BSF42" s="13"/>
      <c r="BSG42" s="13"/>
      <c r="BSH42" s="13"/>
      <c r="BSI42" s="13"/>
      <c r="BSJ42" s="13"/>
      <c r="BSK42" s="13"/>
      <c r="BSL42" s="13"/>
      <c r="BSM42" s="13"/>
      <c r="BSN42" s="13"/>
      <c r="BSO42" s="13"/>
      <c r="BSP42" s="13"/>
      <c r="BSQ42" s="13"/>
      <c r="BSR42" s="13"/>
      <c r="BSS42" s="13"/>
      <c r="BST42" s="13"/>
      <c r="BSU42" s="13"/>
      <c r="BSV42" s="13"/>
      <c r="BSW42" s="13"/>
      <c r="BSX42" s="13"/>
      <c r="BSY42" s="13"/>
      <c r="BSZ42" s="13"/>
      <c r="BTA42" s="13"/>
      <c r="BTB42" s="13"/>
      <c r="BTC42" s="13"/>
      <c r="BTD42" s="13"/>
      <c r="BTE42" s="13"/>
      <c r="BTF42" s="13"/>
      <c r="BTG42" s="13"/>
      <c r="BTH42" s="13"/>
      <c r="BTI42" s="13"/>
      <c r="BTJ42" s="13"/>
      <c r="BTK42" s="13"/>
      <c r="BTL42" s="13"/>
      <c r="BTM42" s="13"/>
      <c r="BTN42" s="13"/>
      <c r="BTO42" s="13"/>
      <c r="BTP42" s="13"/>
      <c r="BTQ42" s="13"/>
      <c r="BTR42" s="13"/>
      <c r="BTS42" s="13"/>
      <c r="BTT42" s="13"/>
      <c r="BTU42" s="13"/>
      <c r="BTV42" s="13"/>
      <c r="BTW42" s="13"/>
      <c r="BTX42" s="13"/>
      <c r="BTY42" s="13"/>
      <c r="BTZ42" s="13"/>
      <c r="BUA42" s="13"/>
      <c r="BUB42" s="13"/>
      <c r="BUC42" s="13"/>
      <c r="BUD42" s="13"/>
      <c r="BUE42" s="13"/>
      <c r="BUF42" s="13"/>
      <c r="BUG42" s="13"/>
      <c r="BUH42" s="13"/>
      <c r="BUI42" s="13"/>
      <c r="BUJ42" s="13"/>
      <c r="BUK42" s="13"/>
      <c r="BUL42" s="13"/>
      <c r="BUM42" s="13"/>
      <c r="BUN42" s="13"/>
      <c r="BUO42" s="13"/>
      <c r="BUP42" s="13"/>
      <c r="BUQ42" s="13"/>
      <c r="BUR42" s="13"/>
      <c r="BUS42" s="13"/>
      <c r="BUT42" s="13"/>
      <c r="BUU42" s="13"/>
      <c r="BUV42" s="13"/>
      <c r="BUW42" s="13"/>
      <c r="BUX42" s="13"/>
      <c r="BUY42" s="13"/>
      <c r="BUZ42" s="13"/>
      <c r="BVA42" s="13"/>
      <c r="BVB42" s="13"/>
      <c r="BVC42" s="13"/>
      <c r="BVD42" s="13"/>
      <c r="BVE42" s="13"/>
      <c r="BVF42" s="13"/>
      <c r="BVG42" s="13"/>
      <c r="BVH42" s="13"/>
      <c r="BVI42" s="13"/>
      <c r="BVJ42" s="13"/>
      <c r="BVK42" s="13"/>
      <c r="BVL42" s="13"/>
      <c r="BVM42" s="13"/>
      <c r="BVN42" s="13"/>
      <c r="BVO42" s="13"/>
      <c r="BVP42" s="13"/>
      <c r="BVQ42" s="13"/>
      <c r="BVR42" s="13"/>
      <c r="BVS42" s="13"/>
      <c r="BVT42" s="13"/>
      <c r="BVU42" s="13"/>
      <c r="BVV42" s="13"/>
      <c r="BVW42" s="13"/>
      <c r="BVX42" s="13"/>
      <c r="BVY42" s="13"/>
      <c r="BVZ42" s="13"/>
      <c r="BWA42" s="13"/>
      <c r="BWB42" s="13"/>
      <c r="BWC42" s="13"/>
      <c r="BWD42" s="13"/>
      <c r="BWE42" s="13"/>
      <c r="BWF42" s="13"/>
      <c r="BWG42" s="13"/>
      <c r="BWH42" s="13"/>
      <c r="BWI42" s="13"/>
      <c r="BWJ42" s="13"/>
      <c r="BWK42" s="13"/>
      <c r="BWL42" s="13"/>
      <c r="BWM42" s="13"/>
      <c r="BWN42" s="13"/>
      <c r="BWO42" s="13"/>
      <c r="BWP42" s="13"/>
      <c r="BWQ42" s="13"/>
      <c r="BWR42" s="13"/>
      <c r="BWS42" s="13"/>
      <c r="BWT42" s="13"/>
      <c r="BWU42" s="13"/>
      <c r="BWV42" s="13"/>
      <c r="BWW42" s="13"/>
      <c r="BWX42" s="13"/>
      <c r="BWY42" s="13"/>
      <c r="BWZ42" s="13"/>
      <c r="BXA42" s="13"/>
      <c r="BXB42" s="13"/>
      <c r="BXC42" s="13"/>
      <c r="BXD42" s="13"/>
      <c r="BXE42" s="13"/>
      <c r="BXF42" s="13"/>
      <c r="BXG42" s="13"/>
      <c r="BXH42" s="13"/>
      <c r="BXI42" s="13"/>
      <c r="BXJ42" s="13"/>
      <c r="BXK42" s="13"/>
      <c r="BXL42" s="13"/>
      <c r="BXM42" s="13"/>
      <c r="BXN42" s="13"/>
      <c r="BXO42" s="13"/>
      <c r="BXP42" s="13"/>
      <c r="BXQ42" s="13"/>
      <c r="BXR42" s="13"/>
      <c r="BXS42" s="13"/>
      <c r="BXT42" s="13"/>
      <c r="BXU42" s="13"/>
      <c r="BXV42" s="13"/>
      <c r="BXW42" s="13"/>
      <c r="BXX42" s="13"/>
      <c r="BXY42" s="13"/>
      <c r="BXZ42" s="13"/>
      <c r="BYA42" s="13"/>
      <c r="BYB42" s="13"/>
      <c r="BYC42" s="13"/>
      <c r="BYD42" s="13"/>
      <c r="BYE42" s="13"/>
      <c r="BYF42" s="13"/>
      <c r="BYG42" s="13"/>
      <c r="BYH42" s="13"/>
      <c r="BYI42" s="13"/>
      <c r="BYJ42" s="13"/>
      <c r="BYK42" s="13"/>
      <c r="BYL42" s="13"/>
      <c r="BYM42" s="13"/>
      <c r="BYN42" s="13"/>
      <c r="BYO42" s="13"/>
      <c r="BYP42" s="13"/>
      <c r="BYQ42" s="13"/>
      <c r="BYR42" s="13"/>
      <c r="BYS42" s="13"/>
      <c r="BYT42" s="13"/>
      <c r="BYU42" s="13"/>
      <c r="BYV42" s="13"/>
      <c r="BYW42" s="13"/>
      <c r="BYX42" s="13"/>
      <c r="BYY42" s="13"/>
      <c r="BYZ42" s="13"/>
      <c r="BZA42" s="13"/>
      <c r="BZB42" s="13"/>
      <c r="BZC42" s="13"/>
      <c r="BZD42" s="13"/>
      <c r="BZE42" s="13"/>
      <c r="BZF42" s="13"/>
      <c r="BZG42" s="13"/>
      <c r="BZH42" s="13"/>
      <c r="BZI42" s="13"/>
      <c r="BZJ42" s="13"/>
      <c r="BZK42" s="13"/>
      <c r="BZL42" s="13"/>
      <c r="BZM42" s="13"/>
      <c r="BZN42" s="13"/>
      <c r="BZO42" s="13"/>
      <c r="BZP42" s="13"/>
      <c r="BZQ42" s="13"/>
      <c r="BZR42" s="13"/>
      <c r="BZS42" s="13"/>
      <c r="BZT42" s="13"/>
      <c r="BZU42" s="13"/>
      <c r="BZV42" s="13"/>
      <c r="BZW42" s="13"/>
      <c r="BZX42" s="13"/>
      <c r="BZY42" s="13"/>
      <c r="BZZ42" s="13"/>
      <c r="CAA42" s="13"/>
      <c r="CAB42" s="13"/>
      <c r="CAC42" s="13"/>
      <c r="CAD42" s="13"/>
      <c r="CAE42" s="13"/>
      <c r="CAF42" s="13"/>
      <c r="CAG42" s="13"/>
      <c r="CAH42" s="13"/>
      <c r="CAI42" s="13"/>
      <c r="CAJ42" s="13"/>
      <c r="CAK42" s="13"/>
      <c r="CAL42" s="13"/>
      <c r="CAM42" s="13"/>
      <c r="CAN42" s="13"/>
      <c r="CAO42" s="13"/>
      <c r="CAP42" s="13"/>
      <c r="CAQ42" s="13"/>
      <c r="CAR42" s="13"/>
      <c r="CAS42" s="13"/>
      <c r="CAT42" s="13"/>
      <c r="CAU42" s="13"/>
      <c r="CAV42" s="13"/>
      <c r="CAW42" s="13"/>
      <c r="CAX42" s="13"/>
      <c r="CAY42" s="13"/>
      <c r="CAZ42" s="13"/>
      <c r="CBA42" s="13"/>
      <c r="CBB42" s="13"/>
      <c r="CBC42" s="13"/>
      <c r="CBD42" s="13"/>
      <c r="CBE42" s="13"/>
      <c r="CBF42" s="13"/>
      <c r="CBG42" s="13"/>
      <c r="CBH42" s="13"/>
      <c r="CBI42" s="13"/>
      <c r="CBJ42" s="13"/>
      <c r="CBK42" s="13"/>
      <c r="CBL42" s="13"/>
      <c r="CBM42" s="13"/>
      <c r="CBN42" s="13"/>
      <c r="CBO42" s="13"/>
      <c r="CBP42" s="13"/>
      <c r="CBQ42" s="13"/>
      <c r="CBR42" s="13"/>
      <c r="CBS42" s="13"/>
      <c r="CBT42" s="13"/>
      <c r="CBU42" s="13"/>
      <c r="CBV42" s="13"/>
      <c r="CBW42" s="13"/>
      <c r="CBX42" s="13"/>
      <c r="CBY42" s="13"/>
      <c r="CBZ42" s="13"/>
      <c r="CCA42" s="13"/>
      <c r="CCB42" s="13"/>
      <c r="CCC42" s="13"/>
      <c r="CCD42" s="13"/>
      <c r="CCE42" s="13"/>
      <c r="CCF42" s="13"/>
      <c r="CCG42" s="13"/>
      <c r="CCH42" s="13"/>
      <c r="CCI42" s="13"/>
      <c r="CCJ42" s="13"/>
      <c r="CCK42" s="13"/>
      <c r="CCL42" s="13"/>
      <c r="CCM42" s="13"/>
      <c r="CCN42" s="13"/>
      <c r="CCO42" s="13"/>
      <c r="CCP42" s="13"/>
      <c r="CCQ42" s="13"/>
      <c r="CCR42" s="13"/>
      <c r="CCS42" s="13"/>
      <c r="CCT42" s="13"/>
      <c r="CCU42" s="13"/>
      <c r="CCV42" s="13"/>
      <c r="CCW42" s="13"/>
      <c r="CCX42" s="13"/>
      <c r="CCY42" s="13"/>
      <c r="CCZ42" s="13"/>
      <c r="CDA42" s="13"/>
      <c r="CDB42" s="13"/>
      <c r="CDC42" s="13"/>
      <c r="CDD42" s="13"/>
      <c r="CDE42" s="13"/>
      <c r="CDF42" s="13"/>
      <c r="CDG42" s="13"/>
      <c r="CDH42" s="13"/>
      <c r="CDI42" s="13"/>
      <c r="CDJ42" s="13"/>
      <c r="CDK42" s="13"/>
      <c r="CDL42" s="13"/>
      <c r="CDM42" s="13"/>
      <c r="CDN42" s="13"/>
      <c r="CDO42" s="13"/>
      <c r="CDP42" s="13"/>
      <c r="CDQ42" s="13"/>
      <c r="CDR42" s="13"/>
      <c r="CDS42" s="13"/>
      <c r="CDT42" s="13"/>
      <c r="CDU42" s="13"/>
      <c r="CDV42" s="13"/>
      <c r="CDW42" s="13"/>
      <c r="CDX42" s="13"/>
      <c r="CDY42" s="13"/>
      <c r="CDZ42" s="13"/>
      <c r="CEA42" s="13"/>
      <c r="CEB42" s="13"/>
      <c r="CEC42" s="13"/>
      <c r="CED42" s="13"/>
      <c r="CEE42" s="13"/>
      <c r="CEF42" s="13"/>
      <c r="CEG42" s="13"/>
      <c r="CEH42" s="13"/>
      <c r="CEI42" s="13"/>
      <c r="CEJ42" s="13"/>
      <c r="CEK42" s="13"/>
      <c r="CEL42" s="13"/>
      <c r="CEM42" s="13"/>
      <c r="CEN42" s="13"/>
      <c r="CEO42" s="13"/>
      <c r="CEP42" s="13"/>
      <c r="CEQ42" s="13"/>
      <c r="CER42" s="13"/>
      <c r="CES42" s="13"/>
      <c r="CET42" s="13"/>
      <c r="CEU42" s="13"/>
      <c r="CEV42" s="13"/>
      <c r="CEW42" s="13"/>
      <c r="CEX42" s="13"/>
      <c r="CEY42" s="13"/>
      <c r="CEZ42" s="13"/>
      <c r="CFA42" s="13"/>
      <c r="CFB42" s="13"/>
      <c r="CFC42" s="13"/>
      <c r="CFD42" s="13"/>
      <c r="CFE42" s="13"/>
      <c r="CFF42" s="13"/>
      <c r="CFG42" s="13"/>
      <c r="CFH42" s="13"/>
      <c r="CFI42" s="13"/>
      <c r="CFJ42" s="13"/>
      <c r="CFK42" s="13"/>
      <c r="CFL42" s="13"/>
      <c r="CFM42" s="13"/>
      <c r="CFN42" s="13"/>
      <c r="CFO42" s="13"/>
      <c r="CFP42" s="13"/>
      <c r="CFQ42" s="13"/>
      <c r="CFR42" s="13"/>
      <c r="CFS42" s="13"/>
      <c r="CFT42" s="13"/>
      <c r="CFU42" s="13"/>
      <c r="CFV42" s="13"/>
      <c r="CFW42" s="13"/>
      <c r="CFX42" s="13"/>
      <c r="CFY42" s="13"/>
      <c r="CFZ42" s="13"/>
      <c r="CGA42" s="13"/>
      <c r="CGB42" s="13"/>
      <c r="CGC42" s="13"/>
      <c r="CGD42" s="13"/>
      <c r="CGE42" s="13"/>
      <c r="CGF42" s="13"/>
      <c r="CGG42" s="13"/>
      <c r="CGH42" s="13"/>
      <c r="CGI42" s="13"/>
      <c r="CGJ42" s="13"/>
      <c r="CGK42" s="13"/>
      <c r="CGL42" s="13"/>
      <c r="CGM42" s="13"/>
      <c r="CGN42" s="13"/>
      <c r="CGO42" s="13"/>
      <c r="CGP42" s="13"/>
      <c r="CGQ42" s="13"/>
      <c r="CGR42" s="13"/>
      <c r="CGS42" s="13"/>
      <c r="CGT42" s="13"/>
      <c r="CGU42" s="13"/>
      <c r="CGV42" s="13"/>
      <c r="CGW42" s="13"/>
      <c r="CGX42" s="13"/>
      <c r="CGY42" s="13"/>
      <c r="CGZ42" s="13"/>
      <c r="CHA42" s="13"/>
      <c r="CHB42" s="13"/>
      <c r="CHC42" s="13"/>
      <c r="CHD42" s="13"/>
      <c r="CHE42" s="13"/>
      <c r="CHF42" s="13"/>
      <c r="CHG42" s="13"/>
      <c r="CHH42" s="13"/>
      <c r="CHI42" s="13"/>
      <c r="CHJ42" s="13"/>
      <c r="CHK42" s="13"/>
      <c r="CHL42" s="13"/>
      <c r="CHM42" s="13"/>
      <c r="CHN42" s="13"/>
      <c r="CHO42" s="13"/>
      <c r="CHP42" s="13"/>
      <c r="CHQ42" s="13"/>
      <c r="CHR42" s="13"/>
      <c r="CHS42" s="13"/>
      <c r="CHT42" s="13"/>
      <c r="CHU42" s="13"/>
      <c r="CHV42" s="13"/>
      <c r="CHW42" s="13"/>
      <c r="CHX42" s="13"/>
      <c r="CHY42" s="13"/>
      <c r="CHZ42" s="13"/>
      <c r="CIA42" s="13"/>
      <c r="CIB42" s="13"/>
      <c r="CIC42" s="13"/>
      <c r="CID42" s="13"/>
      <c r="CIE42" s="13"/>
      <c r="CIF42" s="13"/>
      <c r="CIG42" s="13"/>
      <c r="CIH42" s="13"/>
      <c r="CII42" s="13"/>
      <c r="CIJ42" s="13"/>
      <c r="CIK42" s="13"/>
      <c r="CIL42" s="13"/>
      <c r="CIM42" s="13"/>
      <c r="CIN42" s="13"/>
      <c r="CIO42" s="13"/>
      <c r="CIP42" s="13"/>
      <c r="CIQ42" s="13"/>
      <c r="CIR42" s="13"/>
      <c r="CIS42" s="13"/>
      <c r="CIT42" s="13"/>
      <c r="CIU42" s="13"/>
      <c r="CIV42" s="13"/>
      <c r="CIW42" s="13"/>
      <c r="CIX42" s="13"/>
      <c r="CIY42" s="13"/>
      <c r="CIZ42" s="13"/>
      <c r="CJA42" s="13"/>
      <c r="CJB42" s="13"/>
      <c r="CJC42" s="13"/>
      <c r="CJD42" s="13"/>
      <c r="CJE42" s="13"/>
      <c r="CJF42" s="13"/>
      <c r="CJG42" s="13"/>
      <c r="CJH42" s="13"/>
      <c r="CJI42" s="13"/>
      <c r="CJJ42" s="13"/>
      <c r="CJK42" s="13"/>
      <c r="CJL42" s="13"/>
      <c r="CJM42" s="13"/>
      <c r="CJN42" s="13"/>
      <c r="CJO42" s="13"/>
      <c r="CJP42" s="13"/>
      <c r="CJQ42" s="13"/>
      <c r="CJR42" s="13"/>
      <c r="CJS42" s="13"/>
      <c r="CJT42" s="13"/>
      <c r="CJU42" s="13"/>
      <c r="CJV42" s="13"/>
      <c r="CJW42" s="13"/>
      <c r="CJX42" s="13"/>
      <c r="CJY42" s="13"/>
      <c r="CJZ42" s="13"/>
      <c r="CKA42" s="13"/>
      <c r="CKB42" s="13"/>
      <c r="CKC42" s="13"/>
      <c r="CKD42" s="13"/>
      <c r="CKE42" s="13"/>
      <c r="CKF42" s="13"/>
      <c r="CKG42" s="13"/>
      <c r="CKH42" s="13"/>
      <c r="CKI42" s="13"/>
      <c r="CKJ42" s="13"/>
      <c r="CKK42" s="13"/>
      <c r="CKL42" s="13"/>
      <c r="CKM42" s="13"/>
      <c r="CKN42" s="13"/>
      <c r="CKO42" s="13"/>
      <c r="CKP42" s="13"/>
      <c r="CKQ42" s="13"/>
      <c r="CKR42" s="13"/>
      <c r="CKS42" s="13"/>
      <c r="CKT42" s="13"/>
      <c r="CKU42" s="13"/>
      <c r="CKV42" s="13"/>
      <c r="CKW42" s="13"/>
      <c r="CKX42" s="13"/>
      <c r="CKY42" s="13"/>
      <c r="CKZ42" s="13"/>
      <c r="CLA42" s="13"/>
      <c r="CLB42" s="13"/>
      <c r="CLC42" s="13"/>
      <c r="CLD42" s="13"/>
      <c r="CLE42" s="13"/>
      <c r="CLF42" s="13"/>
      <c r="CLG42" s="13"/>
      <c r="CLH42" s="13"/>
      <c r="CLI42" s="13"/>
      <c r="CLJ42" s="13"/>
      <c r="CLK42" s="13"/>
      <c r="CLL42" s="13"/>
      <c r="CLM42" s="13"/>
      <c r="CLN42" s="13"/>
      <c r="CLO42" s="13"/>
      <c r="CLP42" s="13"/>
      <c r="CLQ42" s="13"/>
      <c r="CLR42" s="13"/>
      <c r="CLS42" s="13"/>
      <c r="CLT42" s="13"/>
      <c r="CLU42" s="13"/>
      <c r="CLV42" s="13"/>
      <c r="CLW42" s="13"/>
      <c r="CLX42" s="13"/>
      <c r="CLY42" s="13"/>
      <c r="CLZ42" s="13"/>
      <c r="CMA42" s="13"/>
      <c r="CMB42" s="13"/>
      <c r="CMC42" s="13"/>
      <c r="CMD42" s="13"/>
      <c r="CME42" s="13"/>
      <c r="CMF42" s="13"/>
      <c r="CMG42" s="13"/>
      <c r="CMH42" s="13"/>
      <c r="CMI42" s="13"/>
      <c r="CMJ42" s="13"/>
      <c r="CMK42" s="13"/>
      <c r="CML42" s="13"/>
      <c r="CMM42" s="13"/>
      <c r="CMN42" s="13"/>
      <c r="CMO42" s="13"/>
      <c r="CMP42" s="13"/>
      <c r="CMQ42" s="13"/>
      <c r="CMR42" s="13"/>
      <c r="CMS42" s="13"/>
      <c r="CMT42" s="13"/>
      <c r="CMU42" s="13"/>
      <c r="CMV42" s="13"/>
      <c r="CMW42" s="13"/>
      <c r="CMX42" s="13"/>
      <c r="CMY42" s="13"/>
      <c r="CMZ42" s="13"/>
      <c r="CNA42" s="13"/>
      <c r="CNB42" s="13"/>
      <c r="CNC42" s="13"/>
      <c r="CND42" s="13"/>
      <c r="CNE42" s="13"/>
      <c r="CNF42" s="13"/>
      <c r="CNG42" s="13"/>
      <c r="CNH42" s="13"/>
      <c r="CNI42" s="13"/>
      <c r="CNJ42" s="13"/>
      <c r="CNK42" s="13"/>
      <c r="CNL42" s="13"/>
      <c r="CNM42" s="13"/>
      <c r="CNN42" s="13"/>
      <c r="CNO42" s="13"/>
      <c r="CNP42" s="13"/>
      <c r="CNQ42" s="13"/>
      <c r="CNR42" s="13"/>
      <c r="CNS42" s="13"/>
      <c r="CNT42" s="13"/>
      <c r="CNU42" s="13"/>
      <c r="CNV42" s="13"/>
      <c r="CNW42" s="13"/>
      <c r="CNX42" s="13"/>
      <c r="CNY42" s="13"/>
      <c r="CNZ42" s="13"/>
      <c r="COA42" s="13"/>
      <c r="COB42" s="13"/>
      <c r="COC42" s="13"/>
      <c r="COD42" s="13"/>
      <c r="COE42" s="13"/>
      <c r="COF42" s="13"/>
      <c r="COG42" s="13"/>
      <c r="COH42" s="13"/>
      <c r="COI42" s="13"/>
      <c r="COJ42" s="13"/>
      <c r="COK42" s="13"/>
      <c r="COL42" s="13"/>
      <c r="COM42" s="13"/>
      <c r="CON42" s="13"/>
      <c r="COO42" s="13"/>
      <c r="COP42" s="13"/>
      <c r="COQ42" s="13"/>
      <c r="COR42" s="13"/>
      <c r="COS42" s="13"/>
      <c r="COT42" s="13"/>
      <c r="COU42" s="13"/>
      <c r="COV42" s="13"/>
      <c r="COW42" s="13"/>
      <c r="COX42" s="13"/>
      <c r="COY42" s="13"/>
      <c r="COZ42" s="13"/>
      <c r="CPA42" s="13"/>
      <c r="CPB42" s="13"/>
      <c r="CPC42" s="13"/>
      <c r="CPD42" s="13"/>
      <c r="CPE42" s="13"/>
      <c r="CPF42" s="13"/>
      <c r="CPG42" s="13"/>
      <c r="CPH42" s="13"/>
      <c r="CPI42" s="13"/>
      <c r="CPJ42" s="13"/>
      <c r="CPK42" s="13"/>
      <c r="CPL42" s="13"/>
      <c r="CPM42" s="13"/>
      <c r="CPN42" s="13"/>
      <c r="CPO42" s="13"/>
      <c r="CPP42" s="13"/>
      <c r="CPQ42" s="13"/>
      <c r="CPR42" s="13"/>
      <c r="CPS42" s="13"/>
      <c r="CPT42" s="13"/>
      <c r="CPU42" s="13"/>
      <c r="CPV42" s="13"/>
      <c r="CPW42" s="13"/>
      <c r="CPX42" s="13"/>
      <c r="CPY42" s="13"/>
      <c r="CPZ42" s="13"/>
      <c r="CQA42" s="13"/>
      <c r="CQB42" s="13"/>
      <c r="CQC42" s="13"/>
      <c r="CQD42" s="13"/>
      <c r="CQE42" s="13"/>
      <c r="CQF42" s="13"/>
      <c r="CQG42" s="13"/>
      <c r="CQH42" s="13"/>
      <c r="CQI42" s="13"/>
      <c r="CQJ42" s="13"/>
      <c r="CQK42" s="13"/>
      <c r="CQL42" s="13"/>
      <c r="CQM42" s="13"/>
      <c r="CQN42" s="13"/>
      <c r="CQO42" s="13"/>
      <c r="CQP42" s="13"/>
      <c r="CQQ42" s="13"/>
      <c r="CQR42" s="13"/>
      <c r="CQS42" s="13"/>
      <c r="CQT42" s="13"/>
      <c r="CQU42" s="13"/>
      <c r="CQV42" s="13"/>
      <c r="CQW42" s="13"/>
      <c r="CQX42" s="13"/>
      <c r="CQY42" s="13"/>
      <c r="CQZ42" s="13"/>
      <c r="CRA42" s="13"/>
      <c r="CRB42" s="13"/>
      <c r="CRC42" s="13"/>
      <c r="CRD42" s="13"/>
      <c r="CRE42" s="13"/>
      <c r="CRF42" s="13"/>
      <c r="CRG42" s="13"/>
      <c r="CRH42" s="13"/>
      <c r="CRI42" s="13"/>
      <c r="CRJ42" s="13"/>
      <c r="CRK42" s="13"/>
      <c r="CRL42" s="13"/>
      <c r="CRM42" s="13"/>
      <c r="CRN42" s="13"/>
      <c r="CRO42" s="13"/>
      <c r="CRP42" s="13"/>
      <c r="CRQ42" s="13"/>
      <c r="CRR42" s="13"/>
      <c r="CRS42" s="13"/>
      <c r="CRT42" s="13"/>
      <c r="CRU42" s="13"/>
      <c r="CRV42" s="13"/>
      <c r="CRW42" s="13"/>
      <c r="CRX42" s="13"/>
      <c r="CRY42" s="13"/>
      <c r="CRZ42" s="13"/>
      <c r="CSA42" s="13"/>
      <c r="CSB42" s="13"/>
      <c r="CSC42" s="13"/>
      <c r="CSD42" s="13"/>
      <c r="CSE42" s="13"/>
      <c r="CSF42" s="13"/>
      <c r="CSG42" s="13"/>
      <c r="CSH42" s="13"/>
      <c r="CSI42" s="13"/>
      <c r="CSJ42" s="13"/>
      <c r="CSK42" s="13"/>
      <c r="CSL42" s="13"/>
      <c r="CSM42" s="13"/>
      <c r="CSN42" s="13"/>
      <c r="CSO42" s="13"/>
      <c r="CSP42" s="13"/>
      <c r="CSQ42" s="13"/>
      <c r="CSR42" s="13"/>
      <c r="CSS42" s="13"/>
      <c r="CST42" s="13"/>
      <c r="CSU42" s="13"/>
      <c r="CSV42" s="13"/>
      <c r="CSW42" s="13"/>
      <c r="CSX42" s="13"/>
      <c r="CSY42" s="13"/>
      <c r="CSZ42" s="13"/>
      <c r="CTA42" s="13"/>
      <c r="CTB42" s="13"/>
      <c r="CTC42" s="13"/>
      <c r="CTD42" s="13"/>
      <c r="CTE42" s="13"/>
      <c r="CTF42" s="13"/>
      <c r="CTG42" s="13"/>
      <c r="CTH42" s="13"/>
      <c r="CTI42" s="13"/>
      <c r="CTJ42" s="13"/>
      <c r="CTK42" s="13"/>
      <c r="CTL42" s="13"/>
      <c r="CTM42" s="13"/>
      <c r="CTN42" s="13"/>
      <c r="CTO42" s="13"/>
      <c r="CTP42" s="13"/>
      <c r="CTQ42" s="13"/>
      <c r="CTR42" s="13"/>
      <c r="CTS42" s="13"/>
      <c r="CTT42" s="13"/>
      <c r="CTU42" s="13"/>
      <c r="CTV42" s="13"/>
      <c r="CTW42" s="13"/>
      <c r="CTX42" s="13"/>
      <c r="CTY42" s="13"/>
      <c r="CTZ42" s="13"/>
      <c r="CUA42" s="13"/>
      <c r="CUB42" s="13"/>
      <c r="CUC42" s="13"/>
      <c r="CUD42" s="13"/>
      <c r="CUE42" s="13"/>
      <c r="CUF42" s="13"/>
      <c r="CUG42" s="13"/>
      <c r="CUH42" s="13"/>
      <c r="CUI42" s="13"/>
      <c r="CUJ42" s="13"/>
      <c r="CUK42" s="13"/>
      <c r="CUL42" s="13"/>
      <c r="CUM42" s="13"/>
      <c r="CUN42" s="13"/>
      <c r="CUO42" s="13"/>
      <c r="CUP42" s="13"/>
      <c r="CUQ42" s="13"/>
      <c r="CUR42" s="13"/>
      <c r="CUS42" s="13"/>
      <c r="CUT42" s="13"/>
      <c r="CUU42" s="13"/>
      <c r="CUV42" s="13"/>
      <c r="CUW42" s="13"/>
      <c r="CUX42" s="13"/>
      <c r="CUY42" s="13"/>
      <c r="CUZ42" s="13"/>
      <c r="CVA42" s="13"/>
      <c r="CVB42" s="13"/>
      <c r="CVC42" s="13"/>
      <c r="CVD42" s="13"/>
      <c r="CVE42" s="13"/>
      <c r="CVF42" s="13"/>
      <c r="CVG42" s="13"/>
      <c r="CVH42" s="13"/>
      <c r="CVI42" s="13"/>
      <c r="CVJ42" s="13"/>
      <c r="CVK42" s="13"/>
      <c r="CVL42" s="13"/>
      <c r="CVM42" s="13"/>
      <c r="CVN42" s="13"/>
      <c r="CVO42" s="13"/>
      <c r="CVP42" s="13"/>
      <c r="CVQ42" s="13"/>
      <c r="CVR42" s="13"/>
      <c r="CVS42" s="13"/>
      <c r="CVT42" s="13"/>
      <c r="CVU42" s="13"/>
      <c r="CVV42" s="13"/>
      <c r="CVW42" s="13"/>
      <c r="CVX42" s="13"/>
      <c r="CVY42" s="13"/>
      <c r="CVZ42" s="13"/>
      <c r="CWA42" s="13"/>
      <c r="CWB42" s="13"/>
      <c r="CWC42" s="13"/>
      <c r="CWD42" s="13"/>
      <c r="CWE42" s="13"/>
      <c r="CWF42" s="13"/>
      <c r="CWG42" s="13"/>
      <c r="CWH42" s="13"/>
      <c r="CWI42" s="13"/>
      <c r="CWJ42" s="13"/>
      <c r="CWK42" s="13"/>
      <c r="CWL42" s="13"/>
      <c r="CWM42" s="13"/>
      <c r="CWN42" s="13"/>
      <c r="CWO42" s="13"/>
      <c r="CWP42" s="13"/>
      <c r="CWQ42" s="13"/>
      <c r="CWR42" s="13"/>
      <c r="CWS42" s="13"/>
      <c r="CWT42" s="13"/>
      <c r="CWU42" s="13"/>
      <c r="CWV42" s="13"/>
      <c r="CWW42" s="13"/>
      <c r="CWX42" s="13"/>
      <c r="CWY42" s="13"/>
      <c r="CWZ42" s="13"/>
      <c r="CXA42" s="13"/>
      <c r="CXB42" s="13"/>
      <c r="CXC42" s="13"/>
      <c r="CXD42" s="13"/>
      <c r="CXE42" s="13"/>
      <c r="CXF42" s="13"/>
      <c r="CXG42" s="13"/>
      <c r="CXH42" s="13"/>
      <c r="CXI42" s="13"/>
      <c r="CXJ42" s="13"/>
      <c r="CXK42" s="13"/>
      <c r="CXL42" s="13"/>
      <c r="CXM42" s="13"/>
      <c r="CXN42" s="13"/>
      <c r="CXO42" s="13"/>
      <c r="CXP42" s="13"/>
      <c r="CXQ42" s="13"/>
      <c r="CXR42" s="13"/>
      <c r="CXS42" s="13"/>
      <c r="CXT42" s="13"/>
      <c r="CXU42" s="13"/>
      <c r="CXV42" s="13"/>
      <c r="CXW42" s="13"/>
      <c r="CXX42" s="13"/>
      <c r="CXY42" s="13"/>
      <c r="CXZ42" s="13"/>
      <c r="CYA42" s="13"/>
      <c r="CYB42" s="13"/>
      <c r="CYC42" s="13"/>
      <c r="CYD42" s="13"/>
      <c r="CYE42" s="13"/>
      <c r="CYF42" s="13"/>
      <c r="CYG42" s="13"/>
      <c r="CYH42" s="13"/>
      <c r="CYI42" s="13"/>
      <c r="CYJ42" s="13"/>
      <c r="CYK42" s="13"/>
      <c r="CYL42" s="13"/>
      <c r="CYM42" s="13"/>
      <c r="CYN42" s="13"/>
      <c r="CYO42" s="13"/>
      <c r="CYP42" s="13"/>
      <c r="CYQ42" s="13"/>
      <c r="CYR42" s="13"/>
      <c r="CYS42" s="13"/>
      <c r="CYT42" s="13"/>
      <c r="CYU42" s="13"/>
      <c r="CYV42" s="13"/>
      <c r="CYW42" s="13"/>
      <c r="CYX42" s="13"/>
      <c r="CYY42" s="13"/>
      <c r="CYZ42" s="13"/>
      <c r="CZA42" s="13"/>
      <c r="CZB42" s="13"/>
      <c r="CZC42" s="13"/>
      <c r="CZD42" s="13"/>
      <c r="CZE42" s="13"/>
      <c r="CZF42" s="13"/>
      <c r="CZG42" s="13"/>
      <c r="CZH42" s="13"/>
      <c r="CZI42" s="13"/>
      <c r="CZJ42" s="13"/>
      <c r="CZK42" s="13"/>
      <c r="CZL42" s="13"/>
      <c r="CZM42" s="13"/>
      <c r="CZN42" s="13"/>
      <c r="CZO42" s="13"/>
      <c r="CZP42" s="13"/>
      <c r="CZQ42" s="13"/>
      <c r="CZR42" s="13"/>
      <c r="CZS42" s="13"/>
      <c r="CZT42" s="13"/>
      <c r="CZU42" s="13"/>
      <c r="CZV42" s="13"/>
      <c r="CZW42" s="13"/>
      <c r="CZX42" s="13"/>
      <c r="CZY42" s="13"/>
      <c r="CZZ42" s="13"/>
      <c r="DAA42" s="13"/>
      <c r="DAB42" s="13"/>
      <c r="DAC42" s="13"/>
      <c r="DAD42" s="13"/>
      <c r="DAE42" s="13"/>
      <c r="DAF42" s="13"/>
      <c r="DAG42" s="13"/>
      <c r="DAH42" s="13"/>
      <c r="DAI42" s="13"/>
      <c r="DAJ42" s="13"/>
      <c r="DAK42" s="13"/>
      <c r="DAL42" s="13"/>
      <c r="DAM42" s="13"/>
      <c r="DAN42" s="13"/>
      <c r="DAO42" s="13"/>
      <c r="DAP42" s="13"/>
      <c r="DAQ42" s="13"/>
      <c r="DAR42" s="13"/>
      <c r="DAS42" s="13"/>
      <c r="DAT42" s="13"/>
      <c r="DAU42" s="13"/>
      <c r="DAV42" s="13"/>
      <c r="DAW42" s="13"/>
      <c r="DAX42" s="13"/>
      <c r="DAY42" s="13"/>
      <c r="DAZ42" s="13"/>
      <c r="DBA42" s="13"/>
      <c r="DBB42" s="13"/>
      <c r="DBC42" s="13"/>
      <c r="DBD42" s="13"/>
      <c r="DBE42" s="13"/>
      <c r="DBF42" s="13"/>
      <c r="DBG42" s="13"/>
      <c r="DBH42" s="13"/>
      <c r="DBI42" s="13"/>
      <c r="DBJ42" s="13"/>
      <c r="DBK42" s="13"/>
      <c r="DBL42" s="13"/>
      <c r="DBM42" s="13"/>
      <c r="DBN42" s="13"/>
      <c r="DBO42" s="13"/>
      <c r="DBP42" s="13"/>
      <c r="DBQ42" s="13"/>
      <c r="DBR42" s="13"/>
      <c r="DBS42" s="13"/>
      <c r="DBT42" s="13"/>
      <c r="DBU42" s="13"/>
      <c r="DBV42" s="13"/>
      <c r="DBW42" s="13"/>
      <c r="DBX42" s="13"/>
      <c r="DBY42" s="13"/>
      <c r="DBZ42" s="13"/>
      <c r="DCA42" s="13"/>
      <c r="DCB42" s="13"/>
      <c r="DCC42" s="13"/>
      <c r="DCD42" s="13"/>
      <c r="DCE42" s="13"/>
      <c r="DCF42" s="13"/>
      <c r="DCG42" s="13"/>
      <c r="DCH42" s="13"/>
      <c r="DCI42" s="13"/>
      <c r="DCJ42" s="13"/>
      <c r="DCK42" s="13"/>
      <c r="DCL42" s="13"/>
      <c r="DCM42" s="13"/>
      <c r="DCN42" s="13"/>
      <c r="DCO42" s="13"/>
      <c r="DCP42" s="13"/>
      <c r="DCQ42" s="13"/>
      <c r="DCR42" s="13"/>
      <c r="DCS42" s="13"/>
      <c r="DCT42" s="13"/>
      <c r="DCU42" s="13"/>
      <c r="DCV42" s="13"/>
      <c r="DCW42" s="13"/>
      <c r="DCX42" s="13"/>
      <c r="DCY42" s="13"/>
      <c r="DCZ42" s="13"/>
      <c r="DDA42" s="13"/>
      <c r="DDB42" s="13"/>
      <c r="DDC42" s="13"/>
      <c r="DDD42" s="13"/>
      <c r="DDE42" s="13"/>
      <c r="DDF42" s="13"/>
      <c r="DDG42" s="13"/>
      <c r="DDH42" s="13"/>
      <c r="DDI42" s="13"/>
      <c r="DDJ42" s="13"/>
      <c r="DDK42" s="13"/>
      <c r="DDL42" s="13"/>
      <c r="DDM42" s="13"/>
      <c r="DDN42" s="13"/>
      <c r="DDO42" s="13"/>
      <c r="DDP42" s="13"/>
      <c r="DDQ42" s="13"/>
      <c r="DDR42" s="13"/>
      <c r="DDS42" s="13"/>
      <c r="DDT42" s="13"/>
      <c r="DDU42" s="13"/>
      <c r="DDV42" s="13"/>
      <c r="DDW42" s="13"/>
      <c r="DDX42" s="13"/>
      <c r="DDY42" s="13"/>
      <c r="DDZ42" s="13"/>
      <c r="DEA42" s="13"/>
      <c r="DEB42" s="13"/>
      <c r="DEC42" s="13"/>
      <c r="DED42" s="13"/>
      <c r="DEE42" s="13"/>
      <c r="DEF42" s="13"/>
      <c r="DEG42" s="13"/>
      <c r="DEH42" s="13"/>
      <c r="DEI42" s="13"/>
      <c r="DEJ42" s="13"/>
      <c r="DEK42" s="13"/>
      <c r="DEL42" s="13"/>
      <c r="DEM42" s="13"/>
      <c r="DEN42" s="13"/>
      <c r="DEO42" s="13"/>
      <c r="DEP42" s="13"/>
      <c r="DEQ42" s="13"/>
      <c r="DER42" s="13"/>
      <c r="DES42" s="13"/>
      <c r="DET42" s="13"/>
      <c r="DEU42" s="13"/>
      <c r="DEV42" s="13"/>
      <c r="DEW42" s="13"/>
      <c r="DEX42" s="13"/>
      <c r="DEY42" s="13"/>
      <c r="DEZ42" s="13"/>
      <c r="DFA42" s="13"/>
      <c r="DFB42" s="13"/>
      <c r="DFC42" s="13"/>
      <c r="DFD42" s="13"/>
      <c r="DFE42" s="13"/>
      <c r="DFF42" s="13"/>
      <c r="DFG42" s="13"/>
      <c r="DFH42" s="13"/>
      <c r="DFI42" s="13"/>
      <c r="DFJ42" s="13"/>
      <c r="DFK42" s="13"/>
      <c r="DFL42" s="13"/>
      <c r="DFM42" s="13"/>
      <c r="DFN42" s="13"/>
      <c r="DFO42" s="13"/>
      <c r="DFP42" s="13"/>
      <c r="DFQ42" s="13"/>
      <c r="DFR42" s="13"/>
      <c r="DFS42" s="13"/>
      <c r="DFT42" s="13"/>
      <c r="DFU42" s="13"/>
      <c r="DFV42" s="13"/>
      <c r="DFW42" s="13"/>
      <c r="DFX42" s="13"/>
      <c r="DFY42" s="13"/>
      <c r="DFZ42" s="13"/>
      <c r="DGA42" s="13"/>
      <c r="DGB42" s="13"/>
      <c r="DGC42" s="13"/>
      <c r="DGD42" s="13"/>
      <c r="DGE42" s="13"/>
      <c r="DGF42" s="13"/>
      <c r="DGG42" s="13"/>
      <c r="DGH42" s="13"/>
      <c r="DGI42" s="13"/>
      <c r="DGJ42" s="13"/>
      <c r="DGK42" s="13"/>
      <c r="DGL42" s="13"/>
      <c r="DGM42" s="13"/>
      <c r="DGN42" s="13"/>
      <c r="DGO42" s="13"/>
      <c r="DGP42" s="13"/>
      <c r="DGQ42" s="13"/>
      <c r="DGR42" s="13"/>
      <c r="DGS42" s="13"/>
      <c r="DGT42" s="13"/>
      <c r="DGU42" s="13"/>
      <c r="DGV42" s="13"/>
      <c r="DGW42" s="13"/>
      <c r="DGX42" s="13"/>
      <c r="DGY42" s="13"/>
      <c r="DGZ42" s="13"/>
      <c r="DHA42" s="13"/>
      <c r="DHB42" s="13"/>
      <c r="DHC42" s="13"/>
      <c r="DHD42" s="13"/>
      <c r="DHE42" s="13"/>
      <c r="DHF42" s="13"/>
      <c r="DHG42" s="13"/>
      <c r="DHH42" s="13"/>
      <c r="DHI42" s="13"/>
      <c r="DHJ42" s="13"/>
      <c r="DHK42" s="13"/>
      <c r="DHL42" s="13"/>
      <c r="DHM42" s="13"/>
      <c r="DHN42" s="13"/>
      <c r="DHO42" s="13"/>
      <c r="DHP42" s="13"/>
      <c r="DHQ42" s="13"/>
      <c r="DHR42" s="13"/>
      <c r="DHS42" s="13"/>
      <c r="DHT42" s="13"/>
      <c r="DHU42" s="13"/>
      <c r="DHV42" s="13"/>
      <c r="DHW42" s="13"/>
      <c r="DHX42" s="13"/>
      <c r="DHY42" s="13"/>
      <c r="DHZ42" s="13"/>
      <c r="DIA42" s="13"/>
      <c r="DIB42" s="13"/>
      <c r="DIC42" s="13"/>
      <c r="DID42" s="13"/>
      <c r="DIE42" s="13"/>
      <c r="DIF42" s="13"/>
      <c r="DIG42" s="13"/>
      <c r="DIH42" s="13"/>
      <c r="DII42" s="13"/>
      <c r="DIJ42" s="13"/>
      <c r="DIK42" s="13"/>
      <c r="DIL42" s="13"/>
      <c r="DIM42" s="13"/>
      <c r="DIN42" s="13"/>
      <c r="DIO42" s="13"/>
      <c r="DIP42" s="13"/>
      <c r="DIQ42" s="13"/>
      <c r="DIR42" s="13"/>
      <c r="DIS42" s="13"/>
      <c r="DIT42" s="13"/>
      <c r="DIU42" s="13"/>
      <c r="DIV42" s="13"/>
      <c r="DIW42" s="13"/>
      <c r="DIX42" s="13"/>
      <c r="DIY42" s="13"/>
      <c r="DIZ42" s="13"/>
      <c r="DJA42" s="13"/>
      <c r="DJB42" s="13"/>
      <c r="DJC42" s="13"/>
      <c r="DJD42" s="13"/>
      <c r="DJE42" s="13"/>
      <c r="DJF42" s="13"/>
      <c r="DJG42" s="13"/>
      <c r="DJH42" s="13"/>
      <c r="DJI42" s="13"/>
      <c r="DJJ42" s="13"/>
      <c r="DJK42" s="13"/>
      <c r="DJL42" s="13"/>
      <c r="DJM42" s="13"/>
      <c r="DJN42" s="13"/>
      <c r="DJO42" s="13"/>
      <c r="DJP42" s="13"/>
      <c r="DJQ42" s="13"/>
      <c r="DJR42" s="13"/>
      <c r="DJS42" s="13"/>
      <c r="DJT42" s="13"/>
      <c r="DJU42" s="13"/>
      <c r="DJV42" s="13"/>
      <c r="DJW42" s="13"/>
      <c r="DJX42" s="13"/>
      <c r="DJY42" s="13"/>
      <c r="DJZ42" s="13"/>
      <c r="DKA42" s="13"/>
      <c r="DKB42" s="13"/>
      <c r="DKC42" s="13"/>
      <c r="DKD42" s="13"/>
      <c r="DKE42" s="13"/>
      <c r="DKF42" s="13"/>
      <c r="DKG42" s="13"/>
      <c r="DKH42" s="13"/>
      <c r="DKI42" s="13"/>
      <c r="DKJ42" s="13"/>
      <c r="DKK42" s="13"/>
      <c r="DKL42" s="13"/>
      <c r="DKM42" s="13"/>
      <c r="DKN42" s="13"/>
      <c r="DKO42" s="13"/>
      <c r="DKP42" s="13"/>
      <c r="DKQ42" s="13"/>
      <c r="DKR42" s="13"/>
      <c r="DKS42" s="13"/>
      <c r="DKT42" s="13"/>
      <c r="DKU42" s="13"/>
      <c r="DKV42" s="13"/>
      <c r="DKW42" s="13"/>
      <c r="DKX42" s="13"/>
      <c r="DKY42" s="13"/>
      <c r="DKZ42" s="13"/>
      <c r="DLA42" s="13"/>
      <c r="DLB42" s="13"/>
      <c r="DLC42" s="13"/>
      <c r="DLD42" s="13"/>
      <c r="DLE42" s="13"/>
      <c r="DLF42" s="13"/>
      <c r="DLG42" s="13"/>
      <c r="DLH42" s="13"/>
      <c r="DLI42" s="13"/>
      <c r="DLJ42" s="13"/>
      <c r="DLK42" s="13"/>
      <c r="DLL42" s="13"/>
      <c r="DLM42" s="13"/>
      <c r="DLN42" s="13"/>
      <c r="DLO42" s="13"/>
      <c r="DLP42" s="13"/>
      <c r="DLQ42" s="13"/>
      <c r="DLR42" s="13"/>
      <c r="DLS42" s="13"/>
      <c r="DLT42" s="13"/>
      <c r="DLU42" s="13"/>
      <c r="DLV42" s="13"/>
      <c r="DLW42" s="13"/>
      <c r="DLX42" s="13"/>
      <c r="DLY42" s="13"/>
      <c r="DLZ42" s="13"/>
      <c r="DMA42" s="13"/>
      <c r="DMB42" s="13"/>
      <c r="DMC42" s="13"/>
      <c r="DMD42" s="13"/>
      <c r="DME42" s="13"/>
      <c r="DMF42" s="13"/>
      <c r="DMG42" s="13"/>
      <c r="DMH42" s="13"/>
      <c r="DMI42" s="13"/>
      <c r="DMJ42" s="13"/>
      <c r="DMK42" s="13"/>
      <c r="DML42" s="13"/>
      <c r="DMM42" s="13"/>
      <c r="DMN42" s="13"/>
      <c r="DMO42" s="13"/>
      <c r="DMP42" s="13"/>
      <c r="DMQ42" s="13"/>
      <c r="DMR42" s="13"/>
      <c r="DMS42" s="13"/>
      <c r="DMT42" s="13"/>
      <c r="DMU42" s="13"/>
      <c r="DMV42" s="13"/>
      <c r="DMW42" s="13"/>
      <c r="DMX42" s="13"/>
      <c r="DMY42" s="13"/>
      <c r="DMZ42" s="13"/>
      <c r="DNA42" s="13"/>
      <c r="DNB42" s="13"/>
      <c r="DNC42" s="13"/>
      <c r="DND42" s="13"/>
      <c r="DNE42" s="13"/>
      <c r="DNF42" s="13"/>
      <c r="DNG42" s="13"/>
      <c r="DNH42" s="13"/>
      <c r="DNI42" s="13"/>
      <c r="DNJ42" s="13"/>
      <c r="DNK42" s="13"/>
      <c r="DNL42" s="13"/>
      <c r="DNM42" s="13"/>
      <c r="DNN42" s="13"/>
      <c r="DNO42" s="13"/>
      <c r="DNP42" s="13"/>
      <c r="DNQ42" s="13"/>
      <c r="DNR42" s="13"/>
      <c r="DNS42" s="13"/>
      <c r="DNT42" s="13"/>
      <c r="DNU42" s="13"/>
      <c r="DNV42" s="13"/>
      <c r="DNW42" s="13"/>
      <c r="DNX42" s="13"/>
      <c r="DNY42" s="13"/>
      <c r="DNZ42" s="13"/>
      <c r="DOA42" s="13"/>
      <c r="DOB42" s="13"/>
      <c r="DOC42" s="13"/>
      <c r="DOD42" s="13"/>
      <c r="DOE42" s="13"/>
      <c r="DOF42" s="13"/>
      <c r="DOG42" s="13"/>
      <c r="DOH42" s="13"/>
      <c r="DOI42" s="13"/>
      <c r="DOJ42" s="13"/>
      <c r="DOK42" s="13"/>
      <c r="DOL42" s="13"/>
      <c r="DOM42" s="13"/>
      <c r="DON42" s="13"/>
      <c r="DOO42" s="13"/>
      <c r="DOP42" s="13"/>
      <c r="DOQ42" s="13"/>
      <c r="DOR42" s="13"/>
      <c r="DOS42" s="13"/>
      <c r="DOT42" s="13"/>
      <c r="DOU42" s="13"/>
      <c r="DOV42" s="13"/>
      <c r="DOW42" s="13"/>
      <c r="DOX42" s="13"/>
      <c r="DOY42" s="13"/>
      <c r="DOZ42" s="13"/>
      <c r="DPA42" s="13"/>
      <c r="DPB42" s="13"/>
      <c r="DPC42" s="13"/>
      <c r="DPD42" s="13"/>
      <c r="DPE42" s="13"/>
      <c r="DPF42" s="13"/>
      <c r="DPG42" s="13"/>
      <c r="DPH42" s="13"/>
      <c r="DPI42" s="13"/>
      <c r="DPJ42" s="13"/>
      <c r="DPK42" s="13"/>
      <c r="DPL42" s="13"/>
      <c r="DPM42" s="13"/>
      <c r="DPN42" s="13"/>
      <c r="DPO42" s="13"/>
      <c r="DPP42" s="13"/>
      <c r="DPQ42" s="13"/>
      <c r="DPR42" s="13"/>
      <c r="DPS42" s="13"/>
      <c r="DPT42" s="13"/>
      <c r="DPU42" s="13"/>
      <c r="DPV42" s="13"/>
      <c r="DPW42" s="13"/>
      <c r="DPX42" s="13"/>
      <c r="DPY42" s="13"/>
      <c r="DPZ42" s="13"/>
      <c r="DQA42" s="13"/>
      <c r="DQB42" s="13"/>
      <c r="DQC42" s="13"/>
      <c r="DQD42" s="13"/>
      <c r="DQE42" s="13"/>
      <c r="DQF42" s="13"/>
      <c r="DQG42" s="13"/>
      <c r="DQH42" s="13"/>
      <c r="DQI42" s="13"/>
      <c r="DQJ42" s="13"/>
      <c r="DQK42" s="13"/>
      <c r="DQL42" s="13"/>
      <c r="DQM42" s="13"/>
      <c r="DQN42" s="13"/>
      <c r="DQO42" s="13"/>
      <c r="DQP42" s="13"/>
      <c r="DQQ42" s="13"/>
      <c r="DQR42" s="13"/>
      <c r="DQS42" s="13"/>
      <c r="DQT42" s="13"/>
      <c r="DQU42" s="13"/>
      <c r="DQV42" s="13"/>
      <c r="DQW42" s="13"/>
      <c r="DQX42" s="13"/>
      <c r="DQY42" s="13"/>
      <c r="DQZ42" s="13"/>
      <c r="DRA42" s="13"/>
      <c r="DRB42" s="13"/>
      <c r="DRC42" s="13"/>
      <c r="DRD42" s="13"/>
      <c r="DRE42" s="13"/>
      <c r="DRF42" s="13"/>
      <c r="DRG42" s="13"/>
      <c r="DRH42" s="13"/>
      <c r="DRI42" s="13"/>
      <c r="DRJ42" s="13"/>
      <c r="DRK42" s="13"/>
      <c r="DRL42" s="13"/>
      <c r="DRM42" s="13"/>
      <c r="DRN42" s="13"/>
      <c r="DRO42" s="13"/>
      <c r="DRP42" s="13"/>
      <c r="DRQ42" s="13"/>
      <c r="DRR42" s="13"/>
      <c r="DRS42" s="13"/>
      <c r="DRT42" s="13"/>
      <c r="DRU42" s="13"/>
      <c r="DRV42" s="13"/>
      <c r="DRW42" s="13"/>
      <c r="DRX42" s="13"/>
      <c r="DRY42" s="13"/>
      <c r="DRZ42" s="13"/>
      <c r="DSA42" s="13"/>
      <c r="DSB42" s="13"/>
      <c r="DSC42" s="13"/>
      <c r="DSD42" s="13"/>
      <c r="DSE42" s="13"/>
      <c r="DSF42" s="13"/>
      <c r="DSG42" s="13"/>
      <c r="DSH42" s="13"/>
      <c r="DSI42" s="13"/>
      <c r="DSJ42" s="13"/>
      <c r="DSK42" s="13"/>
      <c r="DSL42" s="13"/>
      <c r="DSM42" s="13"/>
      <c r="DSN42" s="13"/>
      <c r="DSO42" s="13"/>
      <c r="DSP42" s="13"/>
      <c r="DSQ42" s="13"/>
      <c r="DSR42" s="13"/>
      <c r="DSS42" s="13"/>
      <c r="DST42" s="13"/>
      <c r="DSU42" s="13"/>
      <c r="DSV42" s="13"/>
      <c r="DSW42" s="13"/>
      <c r="DSX42" s="13"/>
      <c r="DSY42" s="13"/>
      <c r="DSZ42" s="13"/>
      <c r="DTA42" s="13"/>
      <c r="DTB42" s="13"/>
      <c r="DTC42" s="13"/>
      <c r="DTD42" s="13"/>
      <c r="DTE42" s="13"/>
      <c r="DTF42" s="13"/>
      <c r="DTG42" s="13"/>
      <c r="DTH42" s="13"/>
      <c r="DTI42" s="13"/>
      <c r="DTJ42" s="13"/>
      <c r="DTK42" s="13"/>
      <c r="DTL42" s="13"/>
      <c r="DTM42" s="13"/>
      <c r="DTN42" s="13"/>
      <c r="DTO42" s="13"/>
      <c r="DTP42" s="13"/>
      <c r="DTQ42" s="13"/>
      <c r="DTR42" s="13"/>
      <c r="DTS42" s="13"/>
      <c r="DTT42" s="13"/>
      <c r="DTU42" s="13"/>
      <c r="DTV42" s="13"/>
      <c r="DTW42" s="13"/>
      <c r="DTX42" s="13"/>
      <c r="DTY42" s="13"/>
      <c r="DTZ42" s="13"/>
      <c r="DUA42" s="13"/>
      <c r="DUB42" s="13"/>
      <c r="DUC42" s="13"/>
      <c r="DUD42" s="13"/>
      <c r="DUE42" s="13"/>
      <c r="DUF42" s="13"/>
      <c r="DUG42" s="13"/>
      <c r="DUH42" s="13"/>
      <c r="DUI42" s="13"/>
      <c r="DUJ42" s="13"/>
      <c r="DUK42" s="13"/>
      <c r="DUL42" s="13"/>
      <c r="DUM42" s="13"/>
      <c r="DUN42" s="13"/>
      <c r="DUO42" s="13"/>
      <c r="DUP42" s="13"/>
      <c r="DUQ42" s="13"/>
      <c r="DUR42" s="13"/>
      <c r="DUS42" s="13"/>
      <c r="DUT42" s="13"/>
      <c r="DUU42" s="13"/>
      <c r="DUV42" s="13"/>
      <c r="DUW42" s="13"/>
      <c r="DUX42" s="13"/>
      <c r="DUY42" s="13"/>
      <c r="DUZ42" s="13"/>
      <c r="DVA42" s="13"/>
      <c r="DVB42" s="13"/>
      <c r="DVC42" s="13"/>
      <c r="DVD42" s="13"/>
      <c r="DVE42" s="13"/>
      <c r="DVF42" s="13"/>
      <c r="DVG42" s="13"/>
      <c r="DVH42" s="13"/>
      <c r="DVI42" s="13"/>
      <c r="DVJ42" s="13"/>
      <c r="DVK42" s="13"/>
      <c r="DVL42" s="13"/>
      <c r="DVM42" s="13"/>
      <c r="DVN42" s="13"/>
      <c r="DVO42" s="13"/>
      <c r="DVP42" s="13"/>
      <c r="DVQ42" s="13"/>
      <c r="DVR42" s="13"/>
      <c r="DVS42" s="13"/>
      <c r="DVT42" s="13"/>
      <c r="DVU42" s="13"/>
      <c r="DVV42" s="13"/>
      <c r="DVW42" s="13"/>
      <c r="DVX42" s="13"/>
      <c r="DVY42" s="13"/>
      <c r="DVZ42" s="13"/>
      <c r="DWA42" s="13"/>
      <c r="DWB42" s="13"/>
      <c r="DWC42" s="13"/>
      <c r="DWD42" s="13"/>
      <c r="DWE42" s="13"/>
      <c r="DWF42" s="13"/>
      <c r="DWG42" s="13"/>
      <c r="DWH42" s="13"/>
      <c r="DWI42" s="13"/>
      <c r="DWJ42" s="13"/>
      <c r="DWK42" s="13"/>
      <c r="DWL42" s="13"/>
      <c r="DWM42" s="13"/>
      <c r="DWN42" s="13"/>
      <c r="DWO42" s="13"/>
      <c r="DWP42" s="13"/>
      <c r="DWQ42" s="13"/>
      <c r="DWR42" s="13"/>
      <c r="DWS42" s="13"/>
      <c r="DWT42" s="13"/>
      <c r="DWU42" s="13"/>
      <c r="DWV42" s="13"/>
      <c r="DWW42" s="13"/>
      <c r="DWX42" s="13"/>
      <c r="DWY42" s="13"/>
      <c r="DWZ42" s="13"/>
      <c r="DXA42" s="13"/>
      <c r="DXB42" s="13"/>
      <c r="DXC42" s="13"/>
      <c r="DXD42" s="13"/>
      <c r="DXE42" s="13"/>
      <c r="DXF42" s="13"/>
      <c r="DXG42" s="13"/>
      <c r="DXH42" s="13"/>
      <c r="DXI42" s="13"/>
      <c r="DXJ42" s="13"/>
      <c r="DXK42" s="13"/>
      <c r="DXL42" s="13"/>
      <c r="DXM42" s="13"/>
      <c r="DXN42" s="13"/>
      <c r="DXO42" s="13"/>
      <c r="DXP42" s="13"/>
      <c r="DXQ42" s="13"/>
      <c r="DXR42" s="13"/>
      <c r="DXS42" s="13"/>
      <c r="DXT42" s="13"/>
      <c r="DXU42" s="13"/>
      <c r="DXV42" s="13"/>
      <c r="DXW42" s="13"/>
      <c r="DXX42" s="13"/>
      <c r="DXY42" s="13"/>
      <c r="DXZ42" s="13"/>
      <c r="DYA42" s="13"/>
      <c r="DYB42" s="13"/>
      <c r="DYC42" s="13"/>
      <c r="DYD42" s="13"/>
      <c r="DYE42" s="13"/>
      <c r="DYF42" s="13"/>
      <c r="DYG42" s="13"/>
      <c r="DYH42" s="13"/>
      <c r="DYI42" s="13"/>
      <c r="DYJ42" s="13"/>
      <c r="DYK42" s="13"/>
      <c r="DYL42" s="13"/>
      <c r="DYM42" s="13"/>
      <c r="DYN42" s="13"/>
      <c r="DYO42" s="13"/>
      <c r="DYP42" s="13"/>
      <c r="DYQ42" s="13"/>
      <c r="DYR42" s="13"/>
      <c r="DYS42" s="13"/>
      <c r="DYT42" s="13"/>
      <c r="DYU42" s="13"/>
      <c r="DYV42" s="13"/>
      <c r="DYW42" s="13"/>
      <c r="DYX42" s="13"/>
      <c r="DYY42" s="13"/>
      <c r="DYZ42" s="13"/>
      <c r="DZA42" s="13"/>
      <c r="DZB42" s="13"/>
      <c r="DZC42" s="13"/>
      <c r="DZD42" s="13"/>
      <c r="DZE42" s="13"/>
      <c r="DZF42" s="13"/>
      <c r="DZG42" s="13"/>
      <c r="DZH42" s="13"/>
      <c r="DZI42" s="13"/>
      <c r="DZJ42" s="13"/>
      <c r="DZK42" s="13"/>
      <c r="DZL42" s="13"/>
      <c r="DZM42" s="13"/>
      <c r="DZN42" s="13"/>
      <c r="DZO42" s="13"/>
      <c r="DZP42" s="13"/>
      <c r="DZQ42" s="13"/>
      <c r="DZR42" s="13"/>
      <c r="DZS42" s="13"/>
      <c r="DZT42" s="13"/>
      <c r="DZU42" s="13"/>
      <c r="DZV42" s="13"/>
      <c r="DZW42" s="13"/>
      <c r="DZX42" s="13"/>
      <c r="DZY42" s="13"/>
      <c r="DZZ42" s="13"/>
      <c r="EAA42" s="13"/>
      <c r="EAB42" s="13"/>
      <c r="EAC42" s="13"/>
      <c r="EAD42" s="13"/>
      <c r="EAE42" s="13"/>
      <c r="EAF42" s="13"/>
      <c r="EAG42" s="13"/>
      <c r="EAH42" s="13"/>
      <c r="EAI42" s="13"/>
      <c r="EAJ42" s="13"/>
      <c r="EAK42" s="13"/>
      <c r="EAL42" s="13"/>
      <c r="EAM42" s="13"/>
      <c r="EAN42" s="13"/>
      <c r="EAO42" s="13"/>
      <c r="EAP42" s="13"/>
      <c r="EAQ42" s="13"/>
      <c r="EAR42" s="13"/>
      <c r="EAS42" s="13"/>
      <c r="EAT42" s="13"/>
      <c r="EAU42" s="13"/>
      <c r="EAV42" s="13"/>
      <c r="EAW42" s="13"/>
      <c r="EAX42" s="13"/>
      <c r="EAY42" s="13"/>
      <c r="EAZ42" s="13"/>
      <c r="EBA42" s="13"/>
      <c r="EBB42" s="13"/>
      <c r="EBC42" s="13"/>
      <c r="EBD42" s="13"/>
      <c r="EBE42" s="13"/>
      <c r="EBF42" s="13"/>
      <c r="EBG42" s="13"/>
      <c r="EBH42" s="13"/>
      <c r="EBI42" s="13"/>
      <c r="EBJ42" s="13"/>
      <c r="EBK42" s="13"/>
      <c r="EBL42" s="13"/>
      <c r="EBM42" s="13"/>
      <c r="EBN42" s="13"/>
      <c r="EBO42" s="13"/>
      <c r="EBP42" s="13"/>
      <c r="EBQ42" s="13"/>
      <c r="EBR42" s="13"/>
      <c r="EBS42" s="13"/>
      <c r="EBT42" s="13"/>
      <c r="EBU42" s="13"/>
      <c r="EBV42" s="13"/>
      <c r="EBW42" s="13"/>
      <c r="EBX42" s="13"/>
      <c r="EBY42" s="13"/>
      <c r="EBZ42" s="13"/>
      <c r="ECA42" s="13"/>
      <c r="ECB42" s="13"/>
      <c r="ECC42" s="13"/>
      <c r="ECD42" s="13"/>
      <c r="ECE42" s="13"/>
      <c r="ECF42" s="13"/>
      <c r="ECG42" s="13"/>
      <c r="ECH42" s="13"/>
      <c r="ECI42" s="13"/>
      <c r="ECJ42" s="13"/>
      <c r="ECK42" s="13"/>
      <c r="ECL42" s="13"/>
      <c r="ECM42" s="13"/>
      <c r="ECN42" s="13"/>
      <c r="ECO42" s="13"/>
      <c r="ECP42" s="13"/>
      <c r="ECQ42" s="13"/>
      <c r="ECR42" s="13"/>
      <c r="ECS42" s="13"/>
      <c r="ECT42" s="13"/>
      <c r="ECU42" s="13"/>
      <c r="ECV42" s="13"/>
      <c r="ECW42" s="13"/>
      <c r="ECX42" s="13"/>
      <c r="ECY42" s="13"/>
      <c r="ECZ42" s="13"/>
      <c r="EDA42" s="13"/>
      <c r="EDB42" s="13"/>
      <c r="EDC42" s="13"/>
      <c r="EDD42" s="13"/>
      <c r="EDE42" s="13"/>
      <c r="EDF42" s="13"/>
      <c r="EDG42" s="13"/>
      <c r="EDH42" s="13"/>
      <c r="EDI42" s="13"/>
      <c r="EDJ42" s="13"/>
      <c r="EDK42" s="13"/>
      <c r="EDL42" s="13"/>
      <c r="EDM42" s="13"/>
      <c r="EDN42" s="13"/>
      <c r="EDO42" s="13"/>
      <c r="EDP42" s="13"/>
      <c r="EDQ42" s="13"/>
      <c r="EDR42" s="13"/>
      <c r="EDS42" s="13"/>
      <c r="EDT42" s="13"/>
      <c r="EDU42" s="13"/>
      <c r="EDV42" s="13"/>
      <c r="EDW42" s="13"/>
      <c r="EDX42" s="13"/>
      <c r="EDY42" s="13"/>
      <c r="EDZ42" s="13"/>
      <c r="EEA42" s="13"/>
      <c r="EEB42" s="13"/>
      <c r="EEC42" s="13"/>
      <c r="EED42" s="13"/>
      <c r="EEE42" s="13"/>
      <c r="EEF42" s="13"/>
      <c r="EEG42" s="13"/>
      <c r="EEH42" s="13"/>
      <c r="EEI42" s="13"/>
      <c r="EEJ42" s="13"/>
      <c r="EEK42" s="13"/>
      <c r="EEL42" s="13"/>
      <c r="EEM42" s="13"/>
      <c r="EEN42" s="13"/>
      <c r="EEO42" s="13"/>
      <c r="EEP42" s="13"/>
      <c r="EEQ42" s="13"/>
      <c r="EER42" s="13"/>
      <c r="EES42" s="13"/>
      <c r="EET42" s="13"/>
      <c r="EEU42" s="13"/>
      <c r="EEV42" s="13"/>
      <c r="EEW42" s="13"/>
      <c r="EEX42" s="13"/>
      <c r="EEY42" s="13"/>
      <c r="EEZ42" s="13"/>
      <c r="EFA42" s="13"/>
      <c r="EFB42" s="13"/>
      <c r="EFC42" s="13"/>
      <c r="EFD42" s="13"/>
      <c r="EFE42" s="13"/>
      <c r="EFF42" s="13"/>
      <c r="EFG42" s="13"/>
      <c r="EFH42" s="13"/>
      <c r="EFI42" s="13"/>
      <c r="EFJ42" s="13"/>
      <c r="EFK42" s="13"/>
      <c r="EFL42" s="13"/>
      <c r="EFM42" s="13"/>
      <c r="EFN42" s="13"/>
      <c r="EFO42" s="13"/>
      <c r="EFP42" s="13"/>
      <c r="EFQ42" s="13"/>
      <c r="EFR42" s="13"/>
      <c r="EFS42" s="13"/>
      <c r="EFT42" s="13"/>
      <c r="EFU42" s="13"/>
      <c r="EFV42" s="13"/>
      <c r="EFW42" s="13"/>
      <c r="EFX42" s="13"/>
      <c r="EFY42" s="13"/>
      <c r="EFZ42" s="13"/>
      <c r="EGA42" s="13"/>
      <c r="EGB42" s="13"/>
      <c r="EGC42" s="13"/>
      <c r="EGD42" s="13"/>
      <c r="EGE42" s="13"/>
      <c r="EGF42" s="13"/>
      <c r="EGG42" s="13"/>
      <c r="EGH42" s="13"/>
      <c r="EGI42" s="13"/>
      <c r="EGJ42" s="13"/>
      <c r="EGK42" s="13"/>
      <c r="EGL42" s="13"/>
      <c r="EGM42" s="13"/>
      <c r="EGN42" s="13"/>
      <c r="EGO42" s="13"/>
      <c r="EGP42" s="13"/>
      <c r="EGQ42" s="13"/>
      <c r="EGR42" s="13"/>
      <c r="EGS42" s="13"/>
      <c r="EGT42" s="13"/>
      <c r="EGU42" s="13"/>
      <c r="EGV42" s="13"/>
      <c r="EGW42" s="13"/>
      <c r="EGX42" s="13"/>
      <c r="EGY42" s="13"/>
      <c r="EGZ42" s="13"/>
      <c r="EHA42" s="13"/>
      <c r="EHB42" s="13"/>
      <c r="EHC42" s="13"/>
      <c r="EHD42" s="13"/>
      <c r="EHE42" s="13"/>
      <c r="EHF42" s="13"/>
      <c r="EHG42" s="13"/>
      <c r="EHH42" s="13"/>
      <c r="EHI42" s="13"/>
      <c r="EHJ42" s="13"/>
      <c r="EHK42" s="13"/>
      <c r="EHL42" s="13"/>
      <c r="EHM42" s="13"/>
      <c r="EHN42" s="13"/>
      <c r="EHO42" s="13"/>
      <c r="EHP42" s="13"/>
      <c r="EHQ42" s="13"/>
      <c r="EHR42" s="13"/>
      <c r="EHS42" s="13"/>
      <c r="EHT42" s="13"/>
      <c r="EHU42" s="13"/>
      <c r="EHV42" s="13"/>
      <c r="EHW42" s="13"/>
      <c r="EHX42" s="13"/>
      <c r="EHY42" s="13"/>
      <c r="EHZ42" s="13"/>
      <c r="EIA42" s="13"/>
      <c r="EIB42" s="13"/>
      <c r="EIC42" s="13"/>
      <c r="EID42" s="13"/>
      <c r="EIE42" s="13"/>
      <c r="EIF42" s="13"/>
      <c r="EIG42" s="13"/>
      <c r="EIH42" s="13"/>
      <c r="EII42" s="13"/>
      <c r="EIJ42" s="13"/>
      <c r="EIK42" s="13"/>
      <c r="EIL42" s="13"/>
      <c r="EIM42" s="13"/>
      <c r="EIN42" s="13"/>
      <c r="EIO42" s="13"/>
      <c r="EIP42" s="13"/>
      <c r="EIQ42" s="13"/>
      <c r="EIR42" s="13"/>
      <c r="EIS42" s="13"/>
      <c r="EIT42" s="13"/>
      <c r="EIU42" s="13"/>
      <c r="EIV42" s="13"/>
      <c r="EIW42" s="13"/>
      <c r="EIX42" s="13"/>
      <c r="EIY42" s="13"/>
      <c r="EIZ42" s="13"/>
      <c r="EJA42" s="13"/>
      <c r="EJB42" s="13"/>
      <c r="EJC42" s="13"/>
      <c r="EJD42" s="13"/>
      <c r="EJE42" s="13"/>
      <c r="EJF42" s="13"/>
      <c r="EJG42" s="13"/>
      <c r="EJH42" s="13"/>
      <c r="EJI42" s="13"/>
      <c r="EJJ42" s="13"/>
      <c r="EJK42" s="13"/>
      <c r="EJL42" s="13"/>
      <c r="EJM42" s="13"/>
      <c r="EJN42" s="13"/>
      <c r="EJO42" s="13"/>
      <c r="EJP42" s="13"/>
      <c r="EJQ42" s="13"/>
      <c r="EJR42" s="13"/>
      <c r="EJS42" s="13"/>
      <c r="EJT42" s="13"/>
      <c r="EJU42" s="13"/>
      <c r="EJV42" s="13"/>
      <c r="EJW42" s="13"/>
      <c r="EJX42" s="13"/>
      <c r="EJY42" s="13"/>
      <c r="EJZ42" s="13"/>
      <c r="EKA42" s="13"/>
      <c r="EKB42" s="13"/>
      <c r="EKC42" s="13"/>
      <c r="EKD42" s="13"/>
      <c r="EKE42" s="13"/>
      <c r="EKF42" s="13"/>
      <c r="EKG42" s="13"/>
      <c r="EKH42" s="13"/>
      <c r="EKI42" s="13"/>
      <c r="EKJ42" s="13"/>
      <c r="EKK42" s="13"/>
      <c r="EKL42" s="13"/>
      <c r="EKM42" s="13"/>
      <c r="EKN42" s="13"/>
      <c r="EKO42" s="13"/>
      <c r="EKP42" s="13"/>
      <c r="EKQ42" s="13"/>
      <c r="EKR42" s="13"/>
      <c r="EKS42" s="13"/>
      <c r="EKT42" s="13"/>
      <c r="EKU42" s="13"/>
      <c r="EKV42" s="13"/>
      <c r="EKW42" s="13"/>
      <c r="EKX42" s="13"/>
      <c r="EKY42" s="13"/>
      <c r="EKZ42" s="13"/>
      <c r="ELA42" s="13"/>
      <c r="ELB42" s="13"/>
      <c r="ELC42" s="13"/>
      <c r="ELD42" s="13"/>
      <c r="ELE42" s="13"/>
      <c r="ELF42" s="13"/>
      <c r="ELG42" s="13"/>
      <c r="ELH42" s="13"/>
      <c r="ELI42" s="13"/>
      <c r="ELJ42" s="13"/>
      <c r="ELK42" s="13"/>
      <c r="ELL42" s="13"/>
      <c r="ELM42" s="13"/>
      <c r="ELN42" s="13"/>
      <c r="ELO42" s="13"/>
      <c r="ELP42" s="13"/>
      <c r="ELQ42" s="13"/>
      <c r="ELR42" s="13"/>
      <c r="ELS42" s="13"/>
      <c r="ELT42" s="13"/>
      <c r="ELU42" s="13"/>
      <c r="ELV42" s="13"/>
      <c r="ELW42" s="13"/>
      <c r="ELX42" s="13"/>
      <c r="ELY42" s="13"/>
      <c r="ELZ42" s="13"/>
      <c r="EMA42" s="13"/>
      <c r="EMB42" s="13"/>
      <c r="EMC42" s="13"/>
      <c r="EMD42" s="13"/>
      <c r="EME42" s="13"/>
      <c r="EMF42" s="13"/>
      <c r="EMG42" s="13"/>
      <c r="EMH42" s="13"/>
      <c r="EMI42" s="13"/>
      <c r="EMJ42" s="13"/>
      <c r="EMK42" s="13"/>
      <c r="EML42" s="13"/>
      <c r="EMM42" s="13"/>
      <c r="EMN42" s="13"/>
      <c r="EMO42" s="13"/>
      <c r="EMP42" s="13"/>
      <c r="EMQ42" s="13"/>
      <c r="EMR42" s="13"/>
      <c r="EMS42" s="13"/>
      <c r="EMT42" s="13"/>
      <c r="EMU42" s="13"/>
      <c r="EMV42" s="13"/>
      <c r="EMW42" s="13"/>
      <c r="EMX42" s="13"/>
      <c r="EMY42" s="13"/>
      <c r="EMZ42" s="13"/>
      <c r="ENA42" s="13"/>
      <c r="ENB42" s="13"/>
      <c r="ENC42" s="13"/>
      <c r="END42" s="13"/>
      <c r="ENE42" s="13"/>
      <c r="ENF42" s="13"/>
      <c r="ENG42" s="13"/>
      <c r="ENH42" s="13"/>
      <c r="ENI42" s="13"/>
      <c r="ENJ42" s="13"/>
      <c r="ENK42" s="13"/>
      <c r="ENL42" s="13"/>
      <c r="ENM42" s="13"/>
      <c r="ENN42" s="13"/>
      <c r="ENO42" s="13"/>
      <c r="ENP42" s="13"/>
      <c r="ENQ42" s="13"/>
      <c r="ENR42" s="13"/>
      <c r="ENS42" s="13"/>
      <c r="ENT42" s="13"/>
      <c r="ENU42" s="13"/>
      <c r="ENV42" s="13"/>
      <c r="ENW42" s="13"/>
      <c r="ENX42" s="13"/>
      <c r="ENY42" s="13"/>
      <c r="ENZ42" s="13"/>
      <c r="EOA42" s="13"/>
      <c r="EOB42" s="13"/>
      <c r="EOC42" s="13"/>
      <c r="EOD42" s="13"/>
      <c r="EOE42" s="13"/>
      <c r="EOF42" s="13"/>
      <c r="EOG42" s="13"/>
      <c r="EOH42" s="13"/>
      <c r="EOI42" s="13"/>
      <c r="EOJ42" s="13"/>
      <c r="EOK42" s="13"/>
      <c r="EOL42" s="13"/>
      <c r="EOM42" s="13"/>
      <c r="EON42" s="13"/>
      <c r="EOO42" s="13"/>
      <c r="EOP42" s="13"/>
      <c r="EOQ42" s="13"/>
      <c r="EOR42" s="13"/>
      <c r="EOS42" s="13"/>
      <c r="EOT42" s="13"/>
      <c r="EOU42" s="13"/>
      <c r="EOV42" s="13"/>
      <c r="EOW42" s="13"/>
      <c r="EOX42" s="13"/>
      <c r="EOY42" s="13"/>
      <c r="EOZ42" s="13"/>
      <c r="EPA42" s="13"/>
      <c r="EPB42" s="13"/>
      <c r="EPC42" s="13"/>
      <c r="EPD42" s="13"/>
      <c r="EPE42" s="13"/>
      <c r="EPF42" s="13"/>
      <c r="EPG42" s="13"/>
      <c r="EPH42" s="13"/>
      <c r="EPI42" s="13"/>
      <c r="EPJ42" s="13"/>
      <c r="EPK42" s="13"/>
      <c r="EPL42" s="13"/>
      <c r="EPM42" s="13"/>
      <c r="EPN42" s="13"/>
      <c r="EPO42" s="13"/>
      <c r="EPP42" s="13"/>
      <c r="EPQ42" s="13"/>
      <c r="EPR42" s="13"/>
      <c r="EPS42" s="13"/>
      <c r="EPT42" s="13"/>
      <c r="EPU42" s="13"/>
      <c r="EPV42" s="13"/>
      <c r="EPW42" s="13"/>
      <c r="EPX42" s="13"/>
      <c r="EPY42" s="13"/>
      <c r="EPZ42" s="13"/>
      <c r="EQA42" s="13"/>
      <c r="EQB42" s="13"/>
      <c r="EQC42" s="13"/>
      <c r="EQD42" s="13"/>
      <c r="EQE42" s="13"/>
      <c r="EQF42" s="13"/>
      <c r="EQG42" s="13"/>
      <c r="EQH42" s="13"/>
      <c r="EQI42" s="13"/>
      <c r="EQJ42" s="13"/>
      <c r="EQK42" s="13"/>
      <c r="EQL42" s="13"/>
      <c r="EQM42" s="13"/>
      <c r="EQN42" s="13"/>
      <c r="EQO42" s="13"/>
      <c r="EQP42" s="13"/>
      <c r="EQQ42" s="13"/>
      <c r="EQR42" s="13"/>
      <c r="EQS42" s="13"/>
      <c r="EQT42" s="13"/>
      <c r="EQU42" s="13"/>
      <c r="EQV42" s="13"/>
      <c r="EQW42" s="13"/>
      <c r="EQX42" s="13"/>
      <c r="EQY42" s="13"/>
      <c r="EQZ42" s="13"/>
      <c r="ERA42" s="13"/>
      <c r="ERB42" s="13"/>
      <c r="ERC42" s="13"/>
      <c r="ERD42" s="13"/>
      <c r="ERE42" s="13"/>
      <c r="ERF42" s="13"/>
      <c r="ERG42" s="13"/>
      <c r="ERH42" s="13"/>
      <c r="ERI42" s="13"/>
      <c r="ERJ42" s="13"/>
      <c r="ERK42" s="13"/>
      <c r="ERL42" s="13"/>
      <c r="ERM42" s="13"/>
      <c r="ERN42" s="13"/>
      <c r="ERO42" s="13"/>
      <c r="ERP42" s="13"/>
      <c r="ERQ42" s="13"/>
      <c r="ERR42" s="13"/>
      <c r="ERS42" s="13"/>
      <c r="ERT42" s="13"/>
      <c r="ERU42" s="13"/>
      <c r="ERV42" s="13"/>
      <c r="ERW42" s="13"/>
      <c r="ERX42" s="13"/>
      <c r="ERY42" s="13"/>
      <c r="ERZ42" s="13"/>
      <c r="ESA42" s="13"/>
      <c r="ESB42" s="13"/>
      <c r="ESC42" s="13"/>
      <c r="ESD42" s="13"/>
      <c r="ESE42" s="13"/>
      <c r="ESF42" s="13"/>
      <c r="ESG42" s="13"/>
      <c r="ESH42" s="13"/>
      <c r="ESI42" s="13"/>
      <c r="ESJ42" s="13"/>
      <c r="ESK42" s="13"/>
      <c r="ESL42" s="13"/>
      <c r="ESM42" s="13"/>
      <c r="ESN42" s="13"/>
      <c r="ESO42" s="13"/>
      <c r="ESP42" s="13"/>
      <c r="ESQ42" s="13"/>
      <c r="ESR42" s="13"/>
      <c r="ESS42" s="13"/>
      <c r="EST42" s="13"/>
      <c r="ESU42" s="13"/>
      <c r="ESV42" s="13"/>
      <c r="ESW42" s="13"/>
      <c r="ESX42" s="13"/>
      <c r="ESY42" s="13"/>
      <c r="ESZ42" s="13"/>
      <c r="ETA42" s="13"/>
      <c r="ETB42" s="13"/>
      <c r="ETC42" s="13"/>
      <c r="ETD42" s="13"/>
      <c r="ETE42" s="13"/>
      <c r="ETF42" s="13"/>
      <c r="ETG42" s="13"/>
      <c r="ETH42" s="13"/>
      <c r="ETI42" s="13"/>
      <c r="ETJ42" s="13"/>
      <c r="ETK42" s="13"/>
      <c r="ETL42" s="13"/>
      <c r="ETM42" s="13"/>
      <c r="ETN42" s="13"/>
      <c r="ETO42" s="13"/>
      <c r="ETP42" s="13"/>
      <c r="ETQ42" s="13"/>
      <c r="ETR42" s="13"/>
      <c r="ETS42" s="13"/>
      <c r="ETT42" s="13"/>
      <c r="ETU42" s="13"/>
      <c r="ETV42" s="13"/>
      <c r="ETW42" s="13"/>
      <c r="ETX42" s="13"/>
      <c r="ETY42" s="13"/>
      <c r="ETZ42" s="13"/>
      <c r="EUA42" s="13"/>
      <c r="EUB42" s="13"/>
      <c r="EUC42" s="13"/>
      <c r="EUD42" s="13"/>
      <c r="EUE42" s="13"/>
      <c r="EUF42" s="13"/>
      <c r="EUG42" s="13"/>
      <c r="EUH42" s="13"/>
      <c r="EUI42" s="13"/>
      <c r="EUJ42" s="13"/>
      <c r="EUK42" s="13"/>
      <c r="EUL42" s="13"/>
      <c r="EUM42" s="13"/>
      <c r="EUN42" s="13"/>
      <c r="EUO42" s="13"/>
      <c r="EUP42" s="13"/>
      <c r="EUQ42" s="13"/>
      <c r="EUR42" s="13"/>
      <c r="EUS42" s="13"/>
      <c r="EUT42" s="13"/>
      <c r="EUU42" s="13"/>
      <c r="EUV42" s="13"/>
      <c r="EUW42" s="13"/>
      <c r="EUX42" s="13"/>
      <c r="EUY42" s="13"/>
      <c r="EUZ42" s="13"/>
      <c r="EVA42" s="13"/>
      <c r="EVB42" s="13"/>
      <c r="EVC42" s="13"/>
      <c r="EVD42" s="13"/>
      <c r="EVE42" s="13"/>
      <c r="EVF42" s="13"/>
      <c r="EVG42" s="13"/>
      <c r="EVH42" s="13"/>
      <c r="EVI42" s="13"/>
      <c r="EVJ42" s="13"/>
      <c r="EVK42" s="13"/>
      <c r="EVL42" s="13"/>
      <c r="EVM42" s="13"/>
      <c r="EVN42" s="13"/>
      <c r="EVO42" s="13"/>
      <c r="EVP42" s="13"/>
      <c r="EVQ42" s="13"/>
      <c r="EVR42" s="13"/>
      <c r="EVS42" s="13"/>
      <c r="EVT42" s="13"/>
      <c r="EVU42" s="13"/>
      <c r="EVV42" s="13"/>
      <c r="EVW42" s="13"/>
      <c r="EVX42" s="13"/>
      <c r="EVY42" s="13"/>
      <c r="EVZ42" s="13"/>
      <c r="EWA42" s="13"/>
      <c r="EWB42" s="13"/>
      <c r="EWC42" s="13"/>
      <c r="EWD42" s="13"/>
      <c r="EWE42" s="13"/>
      <c r="EWF42" s="13"/>
      <c r="EWG42" s="13"/>
      <c r="EWH42" s="13"/>
      <c r="EWI42" s="13"/>
      <c r="EWJ42" s="13"/>
      <c r="EWK42" s="13"/>
      <c r="EWL42" s="13"/>
      <c r="EWM42" s="13"/>
      <c r="EWN42" s="13"/>
      <c r="EWO42" s="13"/>
      <c r="EWP42" s="13"/>
      <c r="EWQ42" s="13"/>
      <c r="EWR42" s="13"/>
      <c r="EWS42" s="13"/>
      <c r="EWT42" s="13"/>
      <c r="EWU42" s="13"/>
      <c r="EWV42" s="13"/>
      <c r="EWW42" s="13"/>
      <c r="EWX42" s="13"/>
      <c r="EWY42" s="13"/>
      <c r="EWZ42" s="13"/>
      <c r="EXA42" s="13"/>
      <c r="EXB42" s="13"/>
      <c r="EXC42" s="13"/>
      <c r="EXD42" s="13"/>
      <c r="EXE42" s="13"/>
      <c r="EXF42" s="13"/>
      <c r="EXG42" s="13"/>
      <c r="EXH42" s="13"/>
      <c r="EXI42" s="13"/>
      <c r="EXJ42" s="13"/>
      <c r="EXK42" s="13"/>
      <c r="EXL42" s="13"/>
      <c r="EXM42" s="13"/>
      <c r="EXN42" s="13"/>
      <c r="EXO42" s="13"/>
      <c r="EXP42" s="13"/>
      <c r="EXQ42" s="13"/>
      <c r="EXR42" s="13"/>
      <c r="EXS42" s="13"/>
      <c r="EXT42" s="13"/>
      <c r="EXU42" s="13"/>
      <c r="EXV42" s="13"/>
      <c r="EXW42" s="13"/>
      <c r="EXX42" s="13"/>
      <c r="EXY42" s="13"/>
      <c r="EXZ42" s="13"/>
      <c r="EYA42" s="13"/>
      <c r="EYB42" s="13"/>
      <c r="EYC42" s="13"/>
      <c r="EYD42" s="13"/>
      <c r="EYE42" s="13"/>
      <c r="EYF42" s="13"/>
      <c r="EYG42" s="13"/>
      <c r="EYH42" s="13"/>
      <c r="EYI42" s="13"/>
      <c r="EYJ42" s="13"/>
      <c r="EYK42" s="13"/>
      <c r="EYL42" s="13"/>
      <c r="EYM42" s="13"/>
      <c r="EYN42" s="13"/>
      <c r="EYO42" s="13"/>
      <c r="EYP42" s="13"/>
      <c r="EYQ42" s="13"/>
      <c r="EYR42" s="13"/>
      <c r="EYS42" s="13"/>
      <c r="EYT42" s="13"/>
      <c r="EYU42" s="13"/>
      <c r="EYV42" s="13"/>
      <c r="EYW42" s="13"/>
      <c r="EYX42" s="13"/>
      <c r="EYY42" s="13"/>
      <c r="EYZ42" s="13"/>
      <c r="EZA42" s="13"/>
      <c r="EZB42" s="13"/>
      <c r="EZC42" s="13"/>
      <c r="EZD42" s="13"/>
      <c r="EZE42" s="13"/>
      <c r="EZF42" s="13"/>
      <c r="EZG42" s="13"/>
      <c r="EZH42" s="13"/>
      <c r="EZI42" s="13"/>
      <c r="EZJ42" s="13"/>
      <c r="EZK42" s="13"/>
      <c r="EZL42" s="13"/>
      <c r="EZM42" s="13"/>
      <c r="EZN42" s="13"/>
      <c r="EZO42" s="13"/>
      <c r="EZP42" s="13"/>
      <c r="EZQ42" s="13"/>
      <c r="EZR42" s="13"/>
      <c r="EZS42" s="13"/>
      <c r="EZT42" s="13"/>
      <c r="EZU42" s="13"/>
      <c r="EZV42" s="13"/>
      <c r="EZW42" s="13"/>
      <c r="EZX42" s="13"/>
      <c r="EZY42" s="13"/>
      <c r="EZZ42" s="13"/>
      <c r="FAA42" s="13"/>
      <c r="FAB42" s="13"/>
      <c r="FAC42" s="13"/>
      <c r="FAD42" s="13"/>
      <c r="FAE42" s="13"/>
      <c r="FAF42" s="13"/>
      <c r="FAG42" s="13"/>
      <c r="FAH42" s="13"/>
      <c r="FAI42" s="13"/>
      <c r="FAJ42" s="13"/>
      <c r="FAK42" s="13"/>
      <c r="FAL42" s="13"/>
      <c r="FAM42" s="13"/>
      <c r="FAN42" s="13"/>
      <c r="FAO42" s="13"/>
      <c r="FAP42" s="13"/>
      <c r="FAQ42" s="13"/>
      <c r="FAR42" s="13"/>
      <c r="FAS42" s="13"/>
      <c r="FAT42" s="13"/>
      <c r="FAU42" s="13"/>
      <c r="FAV42" s="13"/>
      <c r="FAW42" s="13"/>
      <c r="FAX42" s="13"/>
      <c r="FAY42" s="13"/>
      <c r="FAZ42" s="13"/>
      <c r="FBA42" s="13"/>
      <c r="FBB42" s="13"/>
      <c r="FBC42" s="13"/>
      <c r="FBD42" s="13"/>
      <c r="FBE42" s="13"/>
      <c r="FBF42" s="13"/>
      <c r="FBG42" s="13"/>
      <c r="FBH42" s="13"/>
      <c r="FBI42" s="13"/>
      <c r="FBJ42" s="13"/>
      <c r="FBK42" s="13"/>
      <c r="FBL42" s="13"/>
      <c r="FBM42" s="13"/>
      <c r="FBN42" s="13"/>
      <c r="FBO42" s="13"/>
      <c r="FBP42" s="13"/>
      <c r="FBQ42" s="13"/>
      <c r="FBR42" s="13"/>
      <c r="FBS42" s="13"/>
      <c r="FBT42" s="13"/>
      <c r="FBU42" s="13"/>
      <c r="FBV42" s="13"/>
      <c r="FBW42" s="13"/>
      <c r="FBX42" s="13"/>
      <c r="FBY42" s="13"/>
      <c r="FBZ42" s="13"/>
      <c r="FCA42" s="13"/>
      <c r="FCB42" s="13"/>
      <c r="FCC42" s="13"/>
      <c r="FCD42" s="13"/>
      <c r="FCE42" s="13"/>
      <c r="FCF42" s="13"/>
      <c r="FCG42" s="13"/>
      <c r="FCH42" s="13"/>
      <c r="FCI42" s="13"/>
      <c r="FCJ42" s="13"/>
      <c r="FCK42" s="13"/>
      <c r="FCL42" s="13"/>
      <c r="FCM42" s="13"/>
      <c r="FCN42" s="13"/>
      <c r="FCO42" s="13"/>
      <c r="FCP42" s="13"/>
      <c r="FCQ42" s="13"/>
      <c r="FCR42" s="13"/>
      <c r="FCS42" s="13"/>
      <c r="FCT42" s="13"/>
      <c r="FCU42" s="13"/>
      <c r="FCV42" s="13"/>
      <c r="FCW42" s="13"/>
      <c r="FCX42" s="13"/>
      <c r="FCY42" s="13"/>
      <c r="FCZ42" s="13"/>
      <c r="FDA42" s="13"/>
      <c r="FDB42" s="13"/>
      <c r="FDC42" s="13"/>
      <c r="FDD42" s="13"/>
      <c r="FDE42" s="13"/>
      <c r="FDF42" s="13"/>
      <c r="FDG42" s="13"/>
      <c r="FDH42" s="13"/>
      <c r="FDI42" s="13"/>
      <c r="FDJ42" s="13"/>
      <c r="FDK42" s="13"/>
      <c r="FDL42" s="13"/>
      <c r="FDM42" s="13"/>
      <c r="FDN42" s="13"/>
      <c r="FDO42" s="13"/>
      <c r="FDP42" s="13"/>
      <c r="FDQ42" s="13"/>
      <c r="FDR42" s="13"/>
      <c r="FDS42" s="13"/>
      <c r="FDT42" s="13"/>
      <c r="FDU42" s="13"/>
      <c r="FDV42" s="13"/>
      <c r="FDW42" s="13"/>
      <c r="FDX42" s="13"/>
      <c r="FDY42" s="13"/>
      <c r="FDZ42" s="13"/>
      <c r="FEA42" s="13"/>
      <c r="FEB42" s="13"/>
      <c r="FEC42" s="13"/>
      <c r="FED42" s="13"/>
      <c r="FEE42" s="13"/>
      <c r="FEF42" s="13"/>
      <c r="FEG42" s="13"/>
      <c r="FEH42" s="13"/>
      <c r="FEI42" s="13"/>
      <c r="FEJ42" s="13"/>
      <c r="FEK42" s="13"/>
      <c r="FEL42" s="13"/>
      <c r="FEM42" s="13"/>
      <c r="FEN42" s="13"/>
      <c r="FEO42" s="13"/>
      <c r="FEP42" s="13"/>
      <c r="FEQ42" s="13"/>
      <c r="FER42" s="13"/>
      <c r="FES42" s="13"/>
      <c r="FET42" s="13"/>
      <c r="FEU42" s="13"/>
      <c r="FEV42" s="13"/>
      <c r="FEW42" s="13"/>
      <c r="FEX42" s="13"/>
      <c r="FEY42" s="13"/>
      <c r="FEZ42" s="13"/>
      <c r="FFA42" s="13"/>
      <c r="FFB42" s="13"/>
      <c r="FFC42" s="13"/>
      <c r="FFD42" s="13"/>
      <c r="FFE42" s="13"/>
      <c r="FFF42" s="13"/>
      <c r="FFG42" s="13"/>
      <c r="FFH42" s="13"/>
      <c r="FFI42" s="13"/>
      <c r="FFJ42" s="13"/>
      <c r="FFK42" s="13"/>
      <c r="FFL42" s="13"/>
      <c r="FFM42" s="13"/>
      <c r="FFN42" s="13"/>
      <c r="FFO42" s="13"/>
      <c r="FFP42" s="13"/>
      <c r="FFQ42" s="13"/>
      <c r="FFR42" s="13"/>
      <c r="FFS42" s="13"/>
      <c r="FFT42" s="13"/>
      <c r="FFU42" s="13"/>
      <c r="FFV42" s="13"/>
      <c r="FFW42" s="13"/>
      <c r="FFX42" s="13"/>
      <c r="FFY42" s="13"/>
      <c r="FFZ42" s="13"/>
      <c r="FGA42" s="13"/>
      <c r="FGB42" s="13"/>
      <c r="FGC42" s="13"/>
      <c r="FGD42" s="13"/>
      <c r="FGE42" s="13"/>
      <c r="FGF42" s="13"/>
      <c r="FGG42" s="13"/>
      <c r="FGH42" s="13"/>
      <c r="FGI42" s="13"/>
      <c r="FGJ42" s="13"/>
      <c r="FGK42" s="13"/>
      <c r="FGL42" s="13"/>
      <c r="FGM42" s="13"/>
      <c r="FGN42" s="13"/>
      <c r="FGO42" s="13"/>
      <c r="FGP42" s="13"/>
      <c r="FGQ42" s="13"/>
      <c r="FGR42" s="13"/>
      <c r="FGS42" s="13"/>
      <c r="FGT42" s="13"/>
      <c r="FGU42" s="13"/>
      <c r="FGV42" s="13"/>
      <c r="FGW42" s="13"/>
      <c r="FGX42" s="13"/>
      <c r="FGY42" s="13"/>
      <c r="FGZ42" s="13"/>
      <c r="FHA42" s="13"/>
      <c r="FHB42" s="13"/>
      <c r="FHC42" s="13"/>
      <c r="FHD42" s="13"/>
      <c r="FHE42" s="13"/>
      <c r="FHF42" s="13"/>
      <c r="FHG42" s="13"/>
      <c r="FHH42" s="13"/>
      <c r="FHI42" s="13"/>
      <c r="FHJ42" s="13"/>
      <c r="FHK42" s="13"/>
      <c r="FHL42" s="13"/>
      <c r="FHM42" s="13"/>
      <c r="FHN42" s="13"/>
      <c r="FHO42" s="13"/>
      <c r="FHP42" s="13"/>
      <c r="FHQ42" s="13"/>
      <c r="FHR42" s="13"/>
      <c r="FHS42" s="13"/>
      <c r="FHT42" s="13"/>
      <c r="FHU42" s="13"/>
      <c r="FHV42" s="13"/>
      <c r="FHW42" s="13"/>
      <c r="FHX42" s="13"/>
      <c r="FHY42" s="13"/>
      <c r="FHZ42" s="13"/>
      <c r="FIA42" s="13"/>
      <c r="FIB42" s="13"/>
      <c r="FIC42" s="13"/>
      <c r="FID42" s="13"/>
      <c r="FIE42" s="13"/>
      <c r="FIF42" s="13"/>
      <c r="FIG42" s="13"/>
      <c r="FIH42" s="13"/>
      <c r="FII42" s="13"/>
      <c r="FIJ42" s="13"/>
      <c r="FIK42" s="13"/>
      <c r="FIL42" s="13"/>
      <c r="FIM42" s="13"/>
      <c r="FIN42" s="13"/>
      <c r="FIO42" s="13"/>
      <c r="FIP42" s="13"/>
      <c r="FIQ42" s="13"/>
      <c r="FIR42" s="13"/>
      <c r="FIS42" s="13"/>
      <c r="FIT42" s="13"/>
      <c r="FIU42" s="13"/>
      <c r="FIV42" s="13"/>
      <c r="FIW42" s="13"/>
      <c r="FIX42" s="13"/>
      <c r="FIY42" s="13"/>
      <c r="FIZ42" s="13"/>
      <c r="FJA42" s="13"/>
      <c r="FJB42" s="13"/>
      <c r="FJC42" s="13"/>
      <c r="FJD42" s="13"/>
      <c r="FJE42" s="13"/>
      <c r="FJF42" s="13"/>
      <c r="FJG42" s="13"/>
      <c r="FJH42" s="13"/>
      <c r="FJI42" s="13"/>
      <c r="FJJ42" s="13"/>
      <c r="FJK42" s="13"/>
      <c r="FJL42" s="13"/>
      <c r="FJM42" s="13"/>
      <c r="FJN42" s="13"/>
      <c r="FJO42" s="13"/>
      <c r="FJP42" s="13"/>
      <c r="FJQ42" s="13"/>
      <c r="FJR42" s="13"/>
      <c r="FJS42" s="13"/>
      <c r="FJT42" s="13"/>
      <c r="FJU42" s="13"/>
      <c r="FJV42" s="13"/>
      <c r="FJW42" s="13"/>
      <c r="FJX42" s="13"/>
      <c r="FJY42" s="13"/>
      <c r="FJZ42" s="13"/>
      <c r="FKA42" s="13"/>
      <c r="FKB42" s="13"/>
      <c r="FKC42" s="13"/>
      <c r="FKD42" s="13"/>
      <c r="FKE42" s="13"/>
      <c r="FKF42" s="13"/>
      <c r="FKG42" s="13"/>
      <c r="FKH42" s="13"/>
      <c r="FKI42" s="13"/>
      <c r="FKJ42" s="13"/>
      <c r="FKK42" s="13"/>
      <c r="FKL42" s="13"/>
      <c r="FKM42" s="13"/>
      <c r="FKN42" s="13"/>
      <c r="FKO42" s="13"/>
      <c r="FKP42" s="13"/>
      <c r="FKQ42" s="13"/>
      <c r="FKR42" s="13"/>
      <c r="FKS42" s="13"/>
      <c r="FKT42" s="13"/>
      <c r="FKU42" s="13"/>
      <c r="FKV42" s="13"/>
      <c r="FKW42" s="13"/>
      <c r="FKX42" s="13"/>
      <c r="FKY42" s="13"/>
      <c r="FKZ42" s="13"/>
      <c r="FLA42" s="13"/>
      <c r="FLB42" s="13"/>
      <c r="FLC42" s="13"/>
      <c r="FLD42" s="13"/>
      <c r="FLE42" s="13"/>
      <c r="FLF42" s="13"/>
      <c r="FLG42" s="13"/>
      <c r="FLH42" s="13"/>
      <c r="FLI42" s="13"/>
      <c r="FLJ42" s="13"/>
      <c r="FLK42" s="13"/>
      <c r="FLL42" s="13"/>
      <c r="FLM42" s="13"/>
      <c r="FLN42" s="13"/>
      <c r="FLO42" s="13"/>
      <c r="FLP42" s="13"/>
      <c r="FLQ42" s="13"/>
      <c r="FLR42" s="13"/>
      <c r="FLS42" s="13"/>
      <c r="FLT42" s="13"/>
      <c r="FLU42" s="13"/>
      <c r="FLV42" s="13"/>
      <c r="FLW42" s="13"/>
      <c r="FLX42" s="13"/>
      <c r="FLY42" s="13"/>
      <c r="FLZ42" s="13"/>
      <c r="FMA42" s="13"/>
      <c r="FMB42" s="13"/>
      <c r="FMC42" s="13"/>
      <c r="FMD42" s="13"/>
      <c r="FME42" s="13"/>
      <c r="FMF42" s="13"/>
      <c r="FMG42" s="13"/>
      <c r="FMH42" s="13"/>
      <c r="FMI42" s="13"/>
      <c r="FMJ42" s="13"/>
      <c r="FMK42" s="13"/>
      <c r="FML42" s="13"/>
      <c r="FMM42" s="13"/>
      <c r="FMN42" s="13"/>
      <c r="FMO42" s="13"/>
      <c r="FMP42" s="13"/>
      <c r="FMQ42" s="13"/>
      <c r="FMR42" s="13"/>
      <c r="FMS42" s="13"/>
      <c r="FMT42" s="13"/>
      <c r="FMU42" s="13"/>
      <c r="FMV42" s="13"/>
      <c r="FMW42" s="13"/>
      <c r="FMX42" s="13"/>
      <c r="FMY42" s="13"/>
      <c r="FMZ42" s="13"/>
      <c r="FNA42" s="13"/>
      <c r="FNB42" s="13"/>
      <c r="FNC42" s="13"/>
      <c r="FND42" s="13"/>
      <c r="FNE42" s="13"/>
      <c r="FNF42" s="13"/>
      <c r="FNG42" s="13"/>
      <c r="FNH42" s="13"/>
      <c r="FNI42" s="13"/>
      <c r="FNJ42" s="13"/>
      <c r="FNK42" s="13"/>
      <c r="FNL42" s="13"/>
      <c r="FNM42" s="13"/>
      <c r="FNN42" s="13"/>
      <c r="FNO42" s="13"/>
      <c r="FNP42" s="13"/>
      <c r="FNQ42" s="13"/>
      <c r="FNR42" s="13"/>
      <c r="FNS42" s="13"/>
      <c r="FNT42" s="13"/>
      <c r="FNU42" s="13"/>
      <c r="FNV42" s="13"/>
      <c r="FNW42" s="13"/>
      <c r="FNX42" s="13"/>
      <c r="FNY42" s="13"/>
      <c r="FNZ42" s="13"/>
      <c r="FOA42" s="13"/>
      <c r="FOB42" s="13"/>
      <c r="FOC42" s="13"/>
      <c r="FOD42" s="13"/>
      <c r="FOE42" s="13"/>
      <c r="FOF42" s="13"/>
      <c r="FOG42" s="13"/>
      <c r="FOH42" s="13"/>
      <c r="FOI42" s="13"/>
      <c r="FOJ42" s="13"/>
      <c r="FOK42" s="13"/>
      <c r="FOL42" s="13"/>
      <c r="FOM42" s="13"/>
      <c r="FON42" s="13"/>
      <c r="FOO42" s="13"/>
      <c r="FOP42" s="13"/>
      <c r="FOQ42" s="13"/>
      <c r="FOR42" s="13"/>
      <c r="FOS42" s="13"/>
      <c r="FOT42" s="13"/>
      <c r="FOU42" s="13"/>
      <c r="FOV42" s="13"/>
      <c r="FOW42" s="13"/>
      <c r="FOX42" s="13"/>
      <c r="FOY42" s="13"/>
      <c r="FOZ42" s="13"/>
      <c r="FPA42" s="13"/>
      <c r="FPB42" s="13"/>
      <c r="FPC42" s="13"/>
      <c r="FPD42" s="13"/>
      <c r="FPE42" s="13"/>
      <c r="FPF42" s="13"/>
      <c r="FPG42" s="13"/>
      <c r="FPH42" s="13"/>
      <c r="FPI42" s="13"/>
      <c r="FPJ42" s="13"/>
      <c r="FPK42" s="13"/>
      <c r="FPL42" s="13"/>
      <c r="FPM42" s="13"/>
      <c r="FPN42" s="13"/>
      <c r="FPO42" s="13"/>
      <c r="FPP42" s="13"/>
      <c r="FPQ42" s="13"/>
      <c r="FPR42" s="13"/>
      <c r="FPS42" s="13"/>
      <c r="FPT42" s="13"/>
      <c r="FPU42" s="13"/>
      <c r="FPV42" s="13"/>
      <c r="FPW42" s="13"/>
      <c r="FPX42" s="13"/>
      <c r="FPY42" s="13"/>
      <c r="FPZ42" s="13"/>
      <c r="FQA42" s="13"/>
      <c r="FQB42" s="13"/>
      <c r="FQC42" s="13"/>
      <c r="FQD42" s="13"/>
      <c r="FQE42" s="13"/>
      <c r="FQF42" s="13"/>
      <c r="FQG42" s="13"/>
      <c r="FQH42" s="13"/>
      <c r="FQI42" s="13"/>
      <c r="FQJ42" s="13"/>
      <c r="FQK42" s="13"/>
      <c r="FQL42" s="13"/>
      <c r="FQM42" s="13"/>
      <c r="FQN42" s="13"/>
      <c r="FQO42" s="13"/>
      <c r="FQP42" s="13"/>
      <c r="FQQ42" s="13"/>
      <c r="FQR42" s="13"/>
      <c r="FQS42" s="13"/>
      <c r="FQT42" s="13"/>
      <c r="FQU42" s="13"/>
      <c r="FQV42" s="13"/>
      <c r="FQW42" s="13"/>
      <c r="FQX42" s="13"/>
      <c r="FQY42" s="13"/>
      <c r="FQZ42" s="13"/>
      <c r="FRA42" s="13"/>
      <c r="FRB42" s="13"/>
      <c r="FRC42" s="13"/>
      <c r="FRD42" s="13"/>
      <c r="FRE42" s="13"/>
      <c r="FRF42" s="13"/>
      <c r="FRG42" s="13"/>
      <c r="FRH42" s="13"/>
      <c r="FRI42" s="13"/>
      <c r="FRJ42" s="13"/>
      <c r="FRK42" s="13"/>
      <c r="FRL42" s="13"/>
      <c r="FRM42" s="13"/>
      <c r="FRN42" s="13"/>
      <c r="FRO42" s="13"/>
      <c r="FRP42" s="13"/>
      <c r="FRQ42" s="13"/>
      <c r="FRR42" s="13"/>
      <c r="FRS42" s="13"/>
      <c r="FRT42" s="13"/>
      <c r="FRU42" s="13"/>
      <c r="FRV42" s="13"/>
      <c r="FRW42" s="13"/>
      <c r="FRX42" s="13"/>
      <c r="FRY42" s="13"/>
      <c r="FRZ42" s="13"/>
      <c r="FSA42" s="13"/>
      <c r="FSB42" s="13"/>
      <c r="FSC42" s="13"/>
      <c r="FSD42" s="13"/>
      <c r="FSE42" s="13"/>
      <c r="FSF42" s="13"/>
      <c r="FSG42" s="13"/>
      <c r="FSH42" s="13"/>
      <c r="FSI42" s="13"/>
      <c r="FSJ42" s="13"/>
      <c r="FSK42" s="13"/>
      <c r="FSL42" s="13"/>
      <c r="FSM42" s="13"/>
      <c r="FSN42" s="13"/>
      <c r="FSO42" s="13"/>
      <c r="FSP42" s="13"/>
      <c r="FSQ42" s="13"/>
      <c r="FSR42" s="13"/>
      <c r="FSS42" s="13"/>
      <c r="FST42" s="13"/>
      <c r="FSU42" s="13"/>
      <c r="FSV42" s="13"/>
      <c r="FSW42" s="13"/>
      <c r="FSX42" s="13"/>
      <c r="FSY42" s="13"/>
      <c r="FSZ42" s="13"/>
      <c r="FTA42" s="13"/>
      <c r="FTB42" s="13"/>
      <c r="FTC42" s="13"/>
      <c r="FTD42" s="13"/>
      <c r="FTE42" s="13"/>
      <c r="FTF42" s="13"/>
      <c r="FTG42" s="13"/>
      <c r="FTH42" s="13"/>
      <c r="FTI42" s="13"/>
      <c r="FTJ42" s="13"/>
      <c r="FTK42" s="13"/>
      <c r="FTL42" s="13"/>
      <c r="FTM42" s="13"/>
      <c r="FTN42" s="13"/>
      <c r="FTO42" s="13"/>
      <c r="FTP42" s="13"/>
      <c r="FTQ42" s="13"/>
      <c r="FTR42" s="13"/>
      <c r="FTS42" s="13"/>
      <c r="FTT42" s="13"/>
      <c r="FTU42" s="13"/>
      <c r="FTV42" s="13"/>
      <c r="FTW42" s="13"/>
      <c r="FTX42" s="13"/>
      <c r="FTY42" s="13"/>
      <c r="FTZ42" s="13"/>
      <c r="FUA42" s="13"/>
      <c r="FUB42" s="13"/>
      <c r="FUC42" s="13"/>
      <c r="FUD42" s="13"/>
      <c r="FUE42" s="13"/>
      <c r="FUF42" s="13"/>
      <c r="FUG42" s="13"/>
      <c r="FUH42" s="13"/>
      <c r="FUI42" s="13"/>
      <c r="FUJ42" s="13"/>
      <c r="FUK42" s="13"/>
      <c r="FUL42" s="13"/>
      <c r="FUM42" s="13"/>
      <c r="FUN42" s="13"/>
      <c r="FUO42" s="13"/>
      <c r="FUP42" s="13"/>
      <c r="FUQ42" s="13"/>
      <c r="FUR42" s="13"/>
      <c r="FUS42" s="13"/>
      <c r="FUT42" s="13"/>
      <c r="FUU42" s="13"/>
      <c r="FUV42" s="13"/>
      <c r="FUW42" s="13"/>
      <c r="FUX42" s="13"/>
      <c r="FUY42" s="13"/>
      <c r="FUZ42" s="13"/>
      <c r="FVA42" s="13"/>
      <c r="FVB42" s="13"/>
      <c r="FVC42" s="13"/>
      <c r="FVD42" s="13"/>
      <c r="FVE42" s="13"/>
      <c r="FVF42" s="13"/>
      <c r="FVG42" s="13"/>
      <c r="FVH42" s="13"/>
      <c r="FVI42" s="13"/>
      <c r="FVJ42" s="13"/>
      <c r="FVK42" s="13"/>
      <c r="FVL42" s="13"/>
      <c r="FVM42" s="13"/>
      <c r="FVN42" s="13"/>
      <c r="FVO42" s="13"/>
      <c r="FVP42" s="13"/>
      <c r="FVQ42" s="13"/>
      <c r="FVR42" s="13"/>
      <c r="FVS42" s="13"/>
      <c r="FVT42" s="13"/>
      <c r="FVU42" s="13"/>
      <c r="FVV42" s="13"/>
      <c r="FVW42" s="13"/>
      <c r="FVX42" s="13"/>
      <c r="FVY42" s="13"/>
      <c r="FVZ42" s="13"/>
      <c r="FWA42" s="13"/>
      <c r="FWB42" s="13"/>
      <c r="FWC42" s="13"/>
      <c r="FWD42" s="13"/>
      <c r="FWE42" s="13"/>
      <c r="FWF42" s="13"/>
      <c r="FWG42" s="13"/>
      <c r="FWH42" s="13"/>
      <c r="FWI42" s="13"/>
      <c r="FWJ42" s="13"/>
      <c r="FWK42" s="13"/>
      <c r="FWL42" s="13"/>
      <c r="FWM42" s="13"/>
      <c r="FWN42" s="13"/>
      <c r="FWO42" s="13"/>
      <c r="FWP42" s="13"/>
      <c r="FWQ42" s="13"/>
      <c r="FWR42" s="13"/>
      <c r="FWS42" s="13"/>
      <c r="FWT42" s="13"/>
      <c r="FWU42" s="13"/>
      <c r="FWV42" s="13"/>
      <c r="FWW42" s="13"/>
      <c r="FWX42" s="13"/>
      <c r="FWY42" s="13"/>
      <c r="FWZ42" s="13"/>
      <c r="FXA42" s="13"/>
      <c r="FXB42" s="13"/>
      <c r="FXC42" s="13"/>
      <c r="FXD42" s="13"/>
      <c r="FXE42" s="13"/>
      <c r="FXF42" s="13"/>
      <c r="FXG42" s="13"/>
      <c r="FXH42" s="13"/>
      <c r="FXI42" s="13"/>
      <c r="FXJ42" s="13"/>
      <c r="FXK42" s="13"/>
      <c r="FXL42" s="13"/>
      <c r="FXM42" s="13"/>
      <c r="FXN42" s="13"/>
      <c r="FXO42" s="13"/>
      <c r="FXP42" s="13"/>
      <c r="FXQ42" s="13"/>
      <c r="FXR42" s="13"/>
      <c r="FXS42" s="13"/>
      <c r="FXT42" s="13"/>
      <c r="FXU42" s="13"/>
      <c r="FXV42" s="13"/>
      <c r="FXW42" s="13"/>
      <c r="FXX42" s="13"/>
      <c r="FXY42" s="13"/>
      <c r="FXZ42" s="13"/>
      <c r="FYA42" s="13"/>
      <c r="FYB42" s="13"/>
      <c r="FYC42" s="13"/>
      <c r="FYD42" s="13"/>
      <c r="FYE42" s="13"/>
      <c r="FYF42" s="13"/>
      <c r="FYG42" s="13"/>
      <c r="FYH42" s="13"/>
      <c r="FYI42" s="13"/>
      <c r="FYJ42" s="13"/>
      <c r="FYK42" s="13"/>
      <c r="FYL42" s="13"/>
      <c r="FYM42" s="13"/>
      <c r="FYN42" s="13"/>
      <c r="FYO42" s="13"/>
      <c r="FYP42" s="13"/>
      <c r="FYQ42" s="13"/>
      <c r="FYR42" s="13"/>
      <c r="FYS42" s="13"/>
      <c r="FYT42" s="13"/>
      <c r="FYU42" s="13"/>
      <c r="FYV42" s="13"/>
      <c r="FYW42" s="13"/>
      <c r="FYX42" s="13"/>
      <c r="FYY42" s="13"/>
      <c r="FYZ42" s="13"/>
      <c r="FZA42" s="13"/>
      <c r="FZB42" s="13"/>
      <c r="FZC42" s="13"/>
      <c r="FZD42" s="13"/>
      <c r="FZE42" s="13"/>
      <c r="FZF42" s="13"/>
      <c r="FZG42" s="13"/>
      <c r="FZH42" s="13"/>
      <c r="FZI42" s="13"/>
      <c r="FZJ42" s="13"/>
      <c r="FZK42" s="13"/>
      <c r="FZL42" s="13"/>
      <c r="FZM42" s="13"/>
      <c r="FZN42" s="13"/>
      <c r="FZO42" s="13"/>
      <c r="FZP42" s="13"/>
      <c r="FZQ42" s="13"/>
      <c r="FZR42" s="13"/>
      <c r="FZS42" s="13"/>
      <c r="FZT42" s="13"/>
      <c r="FZU42" s="13"/>
      <c r="FZV42" s="13"/>
      <c r="FZW42" s="13"/>
      <c r="FZX42" s="13"/>
      <c r="FZY42" s="13"/>
      <c r="FZZ42" s="13"/>
      <c r="GAA42" s="13"/>
      <c r="GAB42" s="13"/>
      <c r="GAC42" s="13"/>
      <c r="GAD42" s="13"/>
      <c r="GAE42" s="13"/>
      <c r="GAF42" s="13"/>
      <c r="GAG42" s="13"/>
      <c r="GAH42" s="13"/>
      <c r="GAI42" s="13"/>
      <c r="GAJ42" s="13"/>
      <c r="GAK42" s="13"/>
      <c r="GAL42" s="13"/>
      <c r="GAM42" s="13"/>
      <c r="GAN42" s="13"/>
      <c r="GAO42" s="13"/>
      <c r="GAP42" s="13"/>
      <c r="GAQ42" s="13"/>
      <c r="GAR42" s="13"/>
      <c r="GAS42" s="13"/>
      <c r="GAT42" s="13"/>
      <c r="GAU42" s="13"/>
      <c r="GAV42" s="13"/>
      <c r="GAW42" s="13"/>
      <c r="GAX42" s="13"/>
      <c r="GAY42" s="13"/>
      <c r="GAZ42" s="13"/>
      <c r="GBA42" s="13"/>
      <c r="GBB42" s="13"/>
      <c r="GBC42" s="13"/>
      <c r="GBD42" s="13"/>
      <c r="GBE42" s="13"/>
      <c r="GBF42" s="13"/>
      <c r="GBG42" s="13"/>
      <c r="GBH42" s="13"/>
      <c r="GBI42" s="13"/>
      <c r="GBJ42" s="13"/>
      <c r="GBK42" s="13"/>
      <c r="GBL42" s="13"/>
      <c r="GBM42" s="13"/>
      <c r="GBN42" s="13"/>
      <c r="GBO42" s="13"/>
      <c r="GBP42" s="13"/>
      <c r="GBQ42" s="13"/>
      <c r="GBR42" s="13"/>
      <c r="GBS42" s="13"/>
      <c r="GBT42" s="13"/>
      <c r="GBU42" s="13"/>
      <c r="GBV42" s="13"/>
      <c r="GBW42" s="13"/>
      <c r="GBX42" s="13"/>
      <c r="GBY42" s="13"/>
      <c r="GBZ42" s="13"/>
      <c r="GCA42" s="13"/>
      <c r="GCB42" s="13"/>
      <c r="GCC42" s="13"/>
      <c r="GCD42" s="13"/>
      <c r="GCE42" s="13"/>
      <c r="GCF42" s="13"/>
      <c r="GCG42" s="13"/>
      <c r="GCH42" s="13"/>
      <c r="GCI42" s="13"/>
      <c r="GCJ42" s="13"/>
      <c r="GCK42" s="13"/>
      <c r="GCL42" s="13"/>
      <c r="GCM42" s="13"/>
      <c r="GCN42" s="13"/>
      <c r="GCO42" s="13"/>
      <c r="GCP42" s="13"/>
      <c r="GCQ42" s="13"/>
      <c r="GCR42" s="13"/>
      <c r="GCS42" s="13"/>
      <c r="GCT42" s="13"/>
      <c r="GCU42" s="13"/>
      <c r="GCV42" s="13"/>
      <c r="GCW42" s="13"/>
      <c r="GCX42" s="13"/>
      <c r="GCY42" s="13"/>
      <c r="GCZ42" s="13"/>
      <c r="GDA42" s="13"/>
      <c r="GDB42" s="13"/>
      <c r="GDC42" s="13"/>
      <c r="GDD42" s="13"/>
      <c r="GDE42" s="13"/>
      <c r="GDF42" s="13"/>
      <c r="GDG42" s="13"/>
      <c r="GDH42" s="13"/>
      <c r="GDI42" s="13"/>
      <c r="GDJ42" s="13"/>
      <c r="GDK42" s="13"/>
      <c r="GDL42" s="13"/>
      <c r="GDM42" s="13"/>
      <c r="GDN42" s="13"/>
      <c r="GDO42" s="13"/>
      <c r="GDP42" s="13"/>
      <c r="GDQ42" s="13"/>
      <c r="GDR42" s="13"/>
      <c r="GDS42" s="13"/>
      <c r="GDT42" s="13"/>
      <c r="GDU42" s="13"/>
      <c r="GDV42" s="13"/>
      <c r="GDW42" s="13"/>
      <c r="GDX42" s="13"/>
      <c r="GDY42" s="13"/>
      <c r="GDZ42" s="13"/>
      <c r="GEA42" s="13"/>
      <c r="GEB42" s="13"/>
      <c r="GEC42" s="13"/>
      <c r="GED42" s="13"/>
      <c r="GEE42" s="13"/>
      <c r="GEF42" s="13"/>
      <c r="GEG42" s="13"/>
      <c r="GEH42" s="13"/>
      <c r="GEI42" s="13"/>
      <c r="GEJ42" s="13"/>
      <c r="GEK42" s="13"/>
      <c r="GEL42" s="13"/>
      <c r="GEM42" s="13"/>
      <c r="GEN42" s="13"/>
      <c r="GEO42" s="13"/>
      <c r="GEP42" s="13"/>
      <c r="GEQ42" s="13"/>
      <c r="GER42" s="13"/>
      <c r="GES42" s="13"/>
      <c r="GET42" s="13"/>
      <c r="GEU42" s="13"/>
      <c r="GEV42" s="13"/>
      <c r="GEW42" s="13"/>
      <c r="GEX42" s="13"/>
      <c r="GEY42" s="13"/>
      <c r="GEZ42" s="13"/>
      <c r="GFA42" s="13"/>
      <c r="GFB42" s="13"/>
      <c r="GFC42" s="13"/>
      <c r="GFD42" s="13"/>
      <c r="GFE42" s="13"/>
      <c r="GFF42" s="13"/>
      <c r="GFG42" s="13"/>
      <c r="GFH42" s="13"/>
      <c r="GFI42" s="13"/>
      <c r="GFJ42" s="13"/>
      <c r="GFK42" s="13"/>
      <c r="GFL42" s="13"/>
      <c r="GFM42" s="13"/>
      <c r="GFN42" s="13"/>
      <c r="GFO42" s="13"/>
      <c r="GFP42" s="13"/>
      <c r="GFQ42" s="13"/>
      <c r="GFR42" s="13"/>
      <c r="GFS42" s="13"/>
      <c r="GFT42" s="13"/>
      <c r="GFU42" s="13"/>
      <c r="GFV42" s="13"/>
      <c r="GFW42" s="13"/>
      <c r="GFX42" s="13"/>
      <c r="GFY42" s="13"/>
      <c r="GFZ42" s="13"/>
      <c r="GGA42" s="13"/>
      <c r="GGB42" s="13"/>
      <c r="GGC42" s="13"/>
      <c r="GGD42" s="13"/>
      <c r="GGE42" s="13"/>
      <c r="GGF42" s="13"/>
      <c r="GGG42" s="13"/>
      <c r="GGH42" s="13"/>
      <c r="GGI42" s="13"/>
      <c r="GGJ42" s="13"/>
      <c r="GGK42" s="13"/>
      <c r="GGL42" s="13"/>
      <c r="GGM42" s="13"/>
      <c r="GGN42" s="13"/>
      <c r="GGO42" s="13"/>
      <c r="GGP42" s="13"/>
      <c r="GGQ42" s="13"/>
      <c r="GGR42" s="13"/>
      <c r="GGS42" s="13"/>
      <c r="GGT42" s="13"/>
      <c r="GGU42" s="13"/>
      <c r="GGV42" s="13"/>
      <c r="GGW42" s="13"/>
      <c r="GGX42" s="13"/>
      <c r="GGY42" s="13"/>
      <c r="GGZ42" s="13"/>
      <c r="GHA42" s="13"/>
      <c r="GHB42" s="13"/>
      <c r="GHC42" s="13"/>
      <c r="GHD42" s="13"/>
      <c r="GHE42" s="13"/>
      <c r="GHF42" s="13"/>
      <c r="GHG42" s="13"/>
      <c r="GHH42" s="13"/>
      <c r="GHI42" s="13"/>
      <c r="GHJ42" s="13"/>
      <c r="GHK42" s="13"/>
      <c r="GHL42" s="13"/>
      <c r="GHM42" s="13"/>
      <c r="GHN42" s="13"/>
      <c r="GHO42" s="13"/>
      <c r="GHP42" s="13"/>
      <c r="GHQ42" s="13"/>
      <c r="GHR42" s="13"/>
      <c r="GHS42" s="13"/>
      <c r="GHT42" s="13"/>
      <c r="GHU42" s="13"/>
      <c r="GHV42" s="13"/>
      <c r="GHW42" s="13"/>
      <c r="GHX42" s="13"/>
      <c r="GHY42" s="13"/>
      <c r="GHZ42" s="13"/>
      <c r="GIA42" s="13"/>
      <c r="GIB42" s="13"/>
      <c r="GIC42" s="13"/>
      <c r="GID42" s="13"/>
      <c r="GIE42" s="13"/>
      <c r="GIF42" s="13"/>
      <c r="GIG42" s="13"/>
      <c r="GIH42" s="13"/>
      <c r="GII42" s="13"/>
      <c r="GIJ42" s="13"/>
      <c r="GIK42" s="13"/>
      <c r="GIL42" s="13"/>
      <c r="GIM42" s="13"/>
      <c r="GIN42" s="13"/>
      <c r="GIO42" s="13"/>
      <c r="GIP42" s="13"/>
      <c r="GIQ42" s="13"/>
      <c r="GIR42" s="13"/>
      <c r="GIS42" s="13"/>
      <c r="GIT42" s="13"/>
      <c r="GIU42" s="13"/>
      <c r="GIV42" s="13"/>
      <c r="GIW42" s="13"/>
      <c r="GIX42" s="13"/>
      <c r="GIY42" s="13"/>
      <c r="GIZ42" s="13"/>
      <c r="GJA42" s="13"/>
      <c r="GJB42" s="13"/>
      <c r="GJC42" s="13"/>
      <c r="GJD42" s="13"/>
      <c r="GJE42" s="13"/>
      <c r="GJF42" s="13"/>
      <c r="GJG42" s="13"/>
      <c r="GJH42" s="13"/>
      <c r="GJI42" s="13"/>
      <c r="GJJ42" s="13"/>
      <c r="GJK42" s="13"/>
      <c r="GJL42" s="13"/>
      <c r="GJM42" s="13"/>
      <c r="GJN42" s="13"/>
      <c r="GJO42" s="13"/>
      <c r="GJP42" s="13"/>
      <c r="GJQ42" s="13"/>
      <c r="GJR42" s="13"/>
      <c r="GJS42" s="13"/>
      <c r="GJT42" s="13"/>
      <c r="GJU42" s="13"/>
      <c r="GJV42" s="13"/>
      <c r="GJW42" s="13"/>
      <c r="GJX42" s="13"/>
      <c r="GJY42" s="13"/>
      <c r="GJZ42" s="13"/>
      <c r="GKA42" s="13"/>
      <c r="GKB42" s="13"/>
      <c r="GKC42" s="13"/>
      <c r="GKD42" s="13"/>
      <c r="GKE42" s="13"/>
      <c r="GKF42" s="13"/>
      <c r="GKG42" s="13"/>
      <c r="GKH42" s="13"/>
      <c r="GKI42" s="13"/>
      <c r="GKJ42" s="13"/>
      <c r="GKK42" s="13"/>
      <c r="GKL42" s="13"/>
      <c r="GKM42" s="13"/>
      <c r="GKN42" s="13"/>
      <c r="GKO42" s="13"/>
      <c r="GKP42" s="13"/>
      <c r="GKQ42" s="13"/>
      <c r="GKR42" s="13"/>
      <c r="GKS42" s="13"/>
      <c r="GKT42" s="13"/>
      <c r="GKU42" s="13"/>
      <c r="GKV42" s="13"/>
      <c r="GKW42" s="13"/>
      <c r="GKX42" s="13"/>
      <c r="GKY42" s="13"/>
      <c r="GKZ42" s="13"/>
      <c r="GLA42" s="13"/>
      <c r="GLB42" s="13"/>
      <c r="GLC42" s="13"/>
      <c r="GLD42" s="13"/>
      <c r="GLE42" s="13"/>
      <c r="GLF42" s="13"/>
      <c r="GLG42" s="13"/>
      <c r="GLH42" s="13"/>
      <c r="GLI42" s="13"/>
      <c r="GLJ42" s="13"/>
      <c r="GLK42" s="13"/>
      <c r="GLL42" s="13"/>
      <c r="GLM42" s="13"/>
      <c r="GLN42" s="13"/>
      <c r="GLO42" s="13"/>
      <c r="GLP42" s="13"/>
      <c r="GLQ42" s="13"/>
      <c r="GLR42" s="13"/>
      <c r="GLS42" s="13"/>
      <c r="GLT42" s="13"/>
      <c r="GLU42" s="13"/>
      <c r="GLV42" s="13"/>
      <c r="GLW42" s="13"/>
      <c r="GLX42" s="13"/>
      <c r="GLY42" s="13"/>
      <c r="GLZ42" s="13"/>
      <c r="GMA42" s="13"/>
      <c r="GMB42" s="13"/>
      <c r="GMC42" s="13"/>
      <c r="GMD42" s="13"/>
      <c r="GME42" s="13"/>
      <c r="GMF42" s="13"/>
      <c r="GMG42" s="13"/>
      <c r="GMH42" s="13"/>
      <c r="GMI42" s="13"/>
      <c r="GMJ42" s="13"/>
      <c r="GMK42" s="13"/>
      <c r="GML42" s="13"/>
      <c r="GMM42" s="13"/>
      <c r="GMN42" s="13"/>
      <c r="GMO42" s="13"/>
      <c r="GMP42" s="13"/>
      <c r="GMQ42" s="13"/>
      <c r="GMR42" s="13"/>
      <c r="GMS42" s="13"/>
      <c r="GMT42" s="13"/>
      <c r="GMU42" s="13"/>
      <c r="GMV42" s="13"/>
      <c r="GMW42" s="13"/>
      <c r="GMX42" s="13"/>
      <c r="GMY42" s="13"/>
      <c r="GMZ42" s="13"/>
      <c r="GNA42" s="13"/>
      <c r="GNB42" s="13"/>
      <c r="GNC42" s="13"/>
      <c r="GND42" s="13"/>
      <c r="GNE42" s="13"/>
      <c r="GNF42" s="13"/>
      <c r="GNG42" s="13"/>
      <c r="GNH42" s="13"/>
      <c r="GNI42" s="13"/>
      <c r="GNJ42" s="13"/>
      <c r="GNK42" s="13"/>
      <c r="GNL42" s="13"/>
      <c r="GNM42" s="13"/>
      <c r="GNN42" s="13"/>
      <c r="GNO42" s="13"/>
      <c r="GNP42" s="13"/>
      <c r="GNQ42" s="13"/>
      <c r="GNR42" s="13"/>
      <c r="GNS42" s="13"/>
      <c r="GNT42" s="13"/>
      <c r="GNU42" s="13"/>
      <c r="GNV42" s="13"/>
      <c r="GNW42" s="13"/>
      <c r="GNX42" s="13"/>
      <c r="GNY42" s="13"/>
      <c r="GNZ42" s="13"/>
      <c r="GOA42" s="13"/>
      <c r="GOB42" s="13"/>
      <c r="GOC42" s="13"/>
      <c r="GOD42" s="13"/>
      <c r="GOE42" s="13"/>
      <c r="GOF42" s="13"/>
      <c r="GOG42" s="13"/>
      <c r="GOH42" s="13"/>
      <c r="GOI42" s="13"/>
      <c r="GOJ42" s="13"/>
      <c r="GOK42" s="13"/>
      <c r="GOL42" s="13"/>
      <c r="GOM42" s="13"/>
      <c r="GON42" s="13"/>
      <c r="GOO42" s="13"/>
      <c r="GOP42" s="13"/>
      <c r="GOQ42" s="13"/>
      <c r="GOR42" s="13"/>
      <c r="GOS42" s="13"/>
      <c r="GOT42" s="13"/>
      <c r="GOU42" s="13"/>
      <c r="GOV42" s="13"/>
      <c r="GOW42" s="13"/>
      <c r="GOX42" s="13"/>
      <c r="GOY42" s="13"/>
      <c r="GOZ42" s="13"/>
      <c r="GPA42" s="13"/>
      <c r="GPB42" s="13"/>
      <c r="GPC42" s="13"/>
      <c r="GPD42" s="13"/>
      <c r="GPE42" s="13"/>
      <c r="GPF42" s="13"/>
      <c r="GPG42" s="13"/>
      <c r="GPH42" s="13"/>
      <c r="GPI42" s="13"/>
      <c r="GPJ42" s="13"/>
      <c r="GPK42" s="13"/>
      <c r="GPL42" s="13"/>
      <c r="GPM42" s="13"/>
      <c r="GPN42" s="13"/>
      <c r="GPO42" s="13"/>
      <c r="GPP42" s="13"/>
      <c r="GPQ42" s="13"/>
      <c r="GPR42" s="13"/>
      <c r="GPS42" s="13"/>
      <c r="GPT42" s="13"/>
      <c r="GPU42" s="13"/>
      <c r="GPV42" s="13"/>
      <c r="GPW42" s="13"/>
      <c r="GPX42" s="13"/>
      <c r="GPY42" s="13"/>
      <c r="GPZ42" s="13"/>
      <c r="GQA42" s="13"/>
      <c r="GQB42" s="13"/>
      <c r="GQC42" s="13"/>
      <c r="GQD42" s="13"/>
      <c r="GQE42" s="13"/>
      <c r="GQF42" s="13"/>
      <c r="GQG42" s="13"/>
      <c r="GQH42" s="13"/>
      <c r="GQI42" s="13"/>
      <c r="GQJ42" s="13"/>
      <c r="GQK42" s="13"/>
      <c r="GQL42" s="13"/>
      <c r="GQM42" s="13"/>
      <c r="GQN42" s="13"/>
      <c r="GQO42" s="13"/>
      <c r="GQP42" s="13"/>
      <c r="GQQ42" s="13"/>
      <c r="GQR42" s="13"/>
      <c r="GQS42" s="13"/>
      <c r="GQT42" s="13"/>
      <c r="GQU42" s="13"/>
      <c r="GQV42" s="13"/>
      <c r="GQW42" s="13"/>
      <c r="GQX42" s="13"/>
      <c r="GQY42" s="13"/>
      <c r="GQZ42" s="13"/>
      <c r="GRA42" s="13"/>
      <c r="GRB42" s="13"/>
      <c r="GRC42" s="13"/>
      <c r="GRD42" s="13"/>
      <c r="GRE42" s="13"/>
      <c r="GRF42" s="13"/>
      <c r="GRG42" s="13"/>
      <c r="GRH42" s="13"/>
      <c r="GRI42" s="13"/>
      <c r="GRJ42" s="13"/>
      <c r="GRK42" s="13"/>
      <c r="GRL42" s="13"/>
      <c r="GRM42" s="13"/>
      <c r="GRN42" s="13"/>
      <c r="GRO42" s="13"/>
      <c r="GRP42" s="13"/>
      <c r="GRQ42" s="13"/>
      <c r="GRR42" s="13"/>
      <c r="GRS42" s="13"/>
      <c r="GRT42" s="13"/>
      <c r="GRU42" s="13"/>
      <c r="GRV42" s="13"/>
      <c r="GRW42" s="13"/>
      <c r="GRX42" s="13"/>
      <c r="GRY42" s="13"/>
      <c r="GRZ42" s="13"/>
      <c r="GSA42" s="13"/>
      <c r="GSB42" s="13"/>
      <c r="GSC42" s="13"/>
      <c r="GSD42" s="13"/>
      <c r="GSE42" s="13"/>
      <c r="GSF42" s="13"/>
      <c r="GSG42" s="13"/>
      <c r="GSH42" s="13"/>
      <c r="GSI42" s="13"/>
      <c r="GSJ42" s="13"/>
      <c r="GSK42" s="13"/>
      <c r="GSL42" s="13"/>
      <c r="GSM42" s="13"/>
      <c r="GSN42" s="13"/>
      <c r="GSO42" s="13"/>
      <c r="GSP42" s="13"/>
      <c r="GSQ42" s="13"/>
      <c r="GSR42" s="13"/>
      <c r="GSS42" s="13"/>
      <c r="GST42" s="13"/>
      <c r="GSU42" s="13"/>
      <c r="GSV42" s="13"/>
      <c r="GSW42" s="13"/>
      <c r="GSX42" s="13"/>
      <c r="GSY42" s="13"/>
      <c r="GSZ42" s="13"/>
      <c r="GTA42" s="13"/>
      <c r="GTB42" s="13"/>
      <c r="GTC42" s="13"/>
      <c r="GTD42" s="13"/>
      <c r="GTE42" s="13"/>
      <c r="GTF42" s="13"/>
      <c r="GTG42" s="13"/>
      <c r="GTH42" s="13"/>
      <c r="GTI42" s="13"/>
      <c r="GTJ42" s="13"/>
      <c r="GTK42" s="13"/>
      <c r="GTL42" s="13"/>
      <c r="GTM42" s="13"/>
      <c r="GTN42" s="13"/>
      <c r="GTO42" s="13"/>
      <c r="GTP42" s="13"/>
      <c r="GTQ42" s="13"/>
      <c r="GTR42" s="13"/>
      <c r="GTS42" s="13"/>
      <c r="GTT42" s="13"/>
      <c r="GTU42" s="13"/>
      <c r="GTV42" s="13"/>
      <c r="GTW42" s="13"/>
      <c r="GTX42" s="13"/>
      <c r="GTY42" s="13"/>
      <c r="GTZ42" s="13"/>
      <c r="GUA42" s="13"/>
      <c r="GUB42" s="13"/>
      <c r="GUC42" s="13"/>
      <c r="GUD42" s="13"/>
      <c r="GUE42" s="13"/>
      <c r="GUF42" s="13"/>
      <c r="GUG42" s="13"/>
      <c r="GUH42" s="13"/>
      <c r="GUI42" s="13"/>
      <c r="GUJ42" s="13"/>
      <c r="GUK42" s="13"/>
      <c r="GUL42" s="13"/>
      <c r="GUM42" s="13"/>
      <c r="GUN42" s="13"/>
      <c r="GUO42" s="13"/>
      <c r="GUP42" s="13"/>
      <c r="GUQ42" s="13"/>
      <c r="GUR42" s="13"/>
      <c r="GUS42" s="13"/>
      <c r="GUT42" s="13"/>
      <c r="GUU42" s="13"/>
      <c r="GUV42" s="13"/>
      <c r="GUW42" s="13"/>
      <c r="GUX42" s="13"/>
      <c r="GUY42" s="13"/>
      <c r="GUZ42" s="13"/>
      <c r="GVA42" s="13"/>
      <c r="GVB42" s="13"/>
      <c r="GVC42" s="13"/>
      <c r="GVD42" s="13"/>
      <c r="GVE42" s="13"/>
      <c r="GVF42" s="13"/>
      <c r="GVG42" s="13"/>
      <c r="GVH42" s="13"/>
      <c r="GVI42" s="13"/>
      <c r="GVJ42" s="13"/>
      <c r="GVK42" s="13"/>
      <c r="GVL42" s="13"/>
      <c r="GVM42" s="13"/>
      <c r="GVN42" s="13"/>
      <c r="GVO42" s="13"/>
      <c r="GVP42" s="13"/>
      <c r="GVQ42" s="13"/>
      <c r="GVR42" s="13"/>
      <c r="GVS42" s="13"/>
      <c r="GVT42" s="13"/>
      <c r="GVU42" s="13"/>
      <c r="GVV42" s="13"/>
      <c r="GVW42" s="13"/>
      <c r="GVX42" s="13"/>
      <c r="GVY42" s="13"/>
      <c r="GVZ42" s="13"/>
      <c r="GWA42" s="13"/>
      <c r="GWB42" s="13"/>
      <c r="GWC42" s="13"/>
      <c r="GWD42" s="13"/>
      <c r="GWE42" s="13"/>
      <c r="GWF42" s="13"/>
      <c r="GWG42" s="13"/>
      <c r="GWH42" s="13"/>
      <c r="GWI42" s="13"/>
      <c r="GWJ42" s="13"/>
      <c r="GWK42" s="13"/>
      <c r="GWL42" s="13"/>
      <c r="GWM42" s="13"/>
      <c r="GWN42" s="13"/>
      <c r="GWO42" s="13"/>
      <c r="GWP42" s="13"/>
      <c r="GWQ42" s="13"/>
      <c r="GWR42" s="13"/>
      <c r="GWS42" s="13"/>
      <c r="GWT42" s="13"/>
      <c r="GWU42" s="13"/>
      <c r="GWV42" s="13"/>
      <c r="GWW42" s="13"/>
      <c r="GWX42" s="13"/>
      <c r="GWY42" s="13"/>
      <c r="GWZ42" s="13"/>
      <c r="GXA42" s="13"/>
      <c r="GXB42" s="13"/>
      <c r="GXC42" s="13"/>
      <c r="GXD42" s="13"/>
      <c r="GXE42" s="13"/>
      <c r="GXF42" s="13"/>
      <c r="GXG42" s="13"/>
      <c r="GXH42" s="13"/>
      <c r="GXI42" s="13"/>
      <c r="GXJ42" s="13"/>
      <c r="GXK42" s="13"/>
      <c r="GXL42" s="13"/>
      <c r="GXM42" s="13"/>
      <c r="GXN42" s="13"/>
      <c r="GXO42" s="13"/>
      <c r="GXP42" s="13"/>
      <c r="GXQ42" s="13"/>
      <c r="GXR42" s="13"/>
      <c r="GXS42" s="13"/>
      <c r="GXT42" s="13"/>
      <c r="GXU42" s="13"/>
      <c r="GXV42" s="13"/>
      <c r="GXW42" s="13"/>
      <c r="GXX42" s="13"/>
      <c r="GXY42" s="13"/>
      <c r="GXZ42" s="13"/>
      <c r="GYA42" s="13"/>
      <c r="GYB42" s="13"/>
      <c r="GYC42" s="13"/>
      <c r="GYD42" s="13"/>
      <c r="GYE42" s="13"/>
      <c r="GYF42" s="13"/>
      <c r="GYG42" s="13"/>
      <c r="GYH42" s="13"/>
      <c r="GYI42" s="13"/>
      <c r="GYJ42" s="13"/>
      <c r="GYK42" s="13"/>
      <c r="GYL42" s="13"/>
      <c r="GYM42" s="13"/>
      <c r="GYN42" s="13"/>
      <c r="GYO42" s="13"/>
      <c r="GYP42" s="13"/>
      <c r="GYQ42" s="13"/>
      <c r="GYR42" s="13"/>
      <c r="GYS42" s="13"/>
      <c r="GYT42" s="13"/>
      <c r="GYU42" s="13"/>
      <c r="GYV42" s="13"/>
      <c r="GYW42" s="13"/>
      <c r="GYX42" s="13"/>
      <c r="GYY42" s="13"/>
      <c r="GYZ42" s="13"/>
      <c r="GZA42" s="13"/>
      <c r="GZB42" s="13"/>
      <c r="GZC42" s="13"/>
      <c r="GZD42" s="13"/>
      <c r="GZE42" s="13"/>
      <c r="GZF42" s="13"/>
      <c r="GZG42" s="13"/>
      <c r="GZH42" s="13"/>
      <c r="GZI42" s="13"/>
      <c r="GZJ42" s="13"/>
      <c r="GZK42" s="13"/>
      <c r="GZL42" s="13"/>
      <c r="GZM42" s="13"/>
      <c r="GZN42" s="13"/>
      <c r="GZO42" s="13"/>
      <c r="GZP42" s="13"/>
      <c r="GZQ42" s="13"/>
      <c r="GZR42" s="13"/>
      <c r="GZS42" s="13"/>
      <c r="GZT42" s="13"/>
      <c r="GZU42" s="13"/>
      <c r="GZV42" s="13"/>
      <c r="GZW42" s="13"/>
      <c r="GZX42" s="13"/>
      <c r="GZY42" s="13"/>
      <c r="GZZ42" s="13"/>
      <c r="HAA42" s="13"/>
      <c r="HAB42" s="13"/>
      <c r="HAC42" s="13"/>
      <c r="HAD42" s="13"/>
      <c r="HAE42" s="13"/>
      <c r="HAF42" s="13"/>
      <c r="HAG42" s="13"/>
      <c r="HAH42" s="13"/>
      <c r="HAI42" s="13"/>
      <c r="HAJ42" s="13"/>
      <c r="HAK42" s="13"/>
      <c r="HAL42" s="13"/>
      <c r="HAM42" s="13"/>
      <c r="HAN42" s="13"/>
      <c r="HAO42" s="13"/>
      <c r="HAP42" s="13"/>
      <c r="HAQ42" s="13"/>
      <c r="HAR42" s="13"/>
      <c r="HAS42" s="13"/>
      <c r="HAT42" s="13"/>
      <c r="HAU42" s="13"/>
      <c r="HAV42" s="13"/>
      <c r="HAW42" s="13"/>
      <c r="HAX42" s="13"/>
      <c r="HAY42" s="13"/>
      <c r="HAZ42" s="13"/>
      <c r="HBA42" s="13"/>
      <c r="HBB42" s="13"/>
      <c r="HBC42" s="13"/>
      <c r="HBD42" s="13"/>
      <c r="HBE42" s="13"/>
      <c r="HBF42" s="13"/>
      <c r="HBG42" s="13"/>
      <c r="HBH42" s="13"/>
      <c r="HBI42" s="13"/>
      <c r="HBJ42" s="13"/>
      <c r="HBK42" s="13"/>
      <c r="HBL42" s="13"/>
      <c r="HBM42" s="13"/>
      <c r="HBN42" s="13"/>
      <c r="HBO42" s="13"/>
      <c r="HBP42" s="13"/>
      <c r="HBQ42" s="13"/>
      <c r="HBR42" s="13"/>
      <c r="HBS42" s="13"/>
      <c r="HBT42" s="13"/>
      <c r="HBU42" s="13"/>
      <c r="HBV42" s="13"/>
      <c r="HBW42" s="13"/>
      <c r="HBX42" s="13"/>
      <c r="HBY42" s="13"/>
      <c r="HBZ42" s="13"/>
      <c r="HCA42" s="13"/>
      <c r="HCB42" s="13"/>
      <c r="HCC42" s="13"/>
      <c r="HCD42" s="13"/>
      <c r="HCE42" s="13"/>
      <c r="HCF42" s="13"/>
      <c r="HCG42" s="13"/>
      <c r="HCH42" s="13"/>
      <c r="HCI42" s="13"/>
      <c r="HCJ42" s="13"/>
      <c r="HCK42" s="13"/>
      <c r="HCL42" s="13"/>
      <c r="HCM42" s="13"/>
      <c r="HCN42" s="13"/>
      <c r="HCO42" s="13"/>
      <c r="HCP42" s="13"/>
      <c r="HCQ42" s="13"/>
      <c r="HCR42" s="13"/>
      <c r="HCS42" s="13"/>
      <c r="HCT42" s="13"/>
      <c r="HCU42" s="13"/>
      <c r="HCV42" s="13"/>
      <c r="HCW42" s="13"/>
      <c r="HCX42" s="13"/>
      <c r="HCY42" s="13"/>
      <c r="HCZ42" s="13"/>
      <c r="HDA42" s="13"/>
      <c r="HDB42" s="13"/>
      <c r="HDC42" s="13"/>
      <c r="HDD42" s="13"/>
      <c r="HDE42" s="13"/>
      <c r="HDF42" s="13"/>
      <c r="HDG42" s="13"/>
      <c r="HDH42" s="13"/>
      <c r="HDI42" s="13"/>
      <c r="HDJ42" s="13"/>
      <c r="HDK42" s="13"/>
      <c r="HDL42" s="13"/>
      <c r="HDM42" s="13"/>
      <c r="HDN42" s="13"/>
      <c r="HDO42" s="13"/>
      <c r="HDP42" s="13"/>
      <c r="HDQ42" s="13"/>
      <c r="HDR42" s="13"/>
      <c r="HDS42" s="13"/>
      <c r="HDT42" s="13"/>
      <c r="HDU42" s="13"/>
      <c r="HDV42" s="13"/>
      <c r="HDW42" s="13"/>
      <c r="HDX42" s="13"/>
      <c r="HDY42" s="13"/>
      <c r="HDZ42" s="13"/>
      <c r="HEA42" s="13"/>
      <c r="HEB42" s="13"/>
      <c r="HEC42" s="13"/>
      <c r="HED42" s="13"/>
      <c r="HEE42" s="13"/>
      <c r="HEF42" s="13"/>
      <c r="HEG42" s="13"/>
      <c r="HEH42" s="13"/>
      <c r="HEI42" s="13"/>
      <c r="HEJ42" s="13"/>
      <c r="HEK42" s="13"/>
      <c r="HEL42" s="13"/>
      <c r="HEM42" s="13"/>
      <c r="HEN42" s="13"/>
      <c r="HEO42" s="13"/>
      <c r="HEP42" s="13"/>
      <c r="HEQ42" s="13"/>
      <c r="HER42" s="13"/>
      <c r="HES42" s="13"/>
      <c r="HET42" s="13"/>
      <c r="HEU42" s="13"/>
      <c r="HEV42" s="13"/>
      <c r="HEW42" s="13"/>
      <c r="HEX42" s="13"/>
      <c r="HEY42" s="13"/>
      <c r="HEZ42" s="13"/>
      <c r="HFA42" s="13"/>
      <c r="HFB42" s="13"/>
      <c r="HFC42" s="13"/>
      <c r="HFD42" s="13"/>
      <c r="HFE42" s="13"/>
      <c r="HFF42" s="13"/>
      <c r="HFG42" s="13"/>
      <c r="HFH42" s="13"/>
      <c r="HFI42" s="13"/>
      <c r="HFJ42" s="13"/>
      <c r="HFK42" s="13"/>
      <c r="HFL42" s="13"/>
      <c r="HFM42" s="13"/>
      <c r="HFN42" s="13"/>
      <c r="HFO42" s="13"/>
      <c r="HFP42" s="13"/>
      <c r="HFQ42" s="13"/>
      <c r="HFR42" s="13"/>
      <c r="HFS42" s="13"/>
      <c r="HFT42" s="13"/>
      <c r="HFU42" s="13"/>
      <c r="HFV42" s="13"/>
      <c r="HFW42" s="13"/>
      <c r="HFX42" s="13"/>
      <c r="HFY42" s="13"/>
      <c r="HFZ42" s="13"/>
      <c r="HGA42" s="13"/>
      <c r="HGB42" s="13"/>
      <c r="HGC42" s="13"/>
      <c r="HGD42" s="13"/>
      <c r="HGE42" s="13"/>
      <c r="HGF42" s="13"/>
      <c r="HGG42" s="13"/>
      <c r="HGH42" s="13"/>
      <c r="HGI42" s="13"/>
      <c r="HGJ42" s="13"/>
      <c r="HGK42" s="13"/>
      <c r="HGL42" s="13"/>
      <c r="HGM42" s="13"/>
      <c r="HGN42" s="13"/>
      <c r="HGO42" s="13"/>
      <c r="HGP42" s="13"/>
      <c r="HGQ42" s="13"/>
      <c r="HGR42" s="13"/>
      <c r="HGS42" s="13"/>
      <c r="HGT42" s="13"/>
      <c r="HGU42" s="13"/>
      <c r="HGV42" s="13"/>
      <c r="HGW42" s="13"/>
      <c r="HGX42" s="13"/>
      <c r="HGY42" s="13"/>
      <c r="HGZ42" s="13"/>
      <c r="HHA42" s="13"/>
      <c r="HHB42" s="13"/>
      <c r="HHC42" s="13"/>
      <c r="HHD42" s="13"/>
      <c r="HHE42" s="13"/>
      <c r="HHF42" s="13"/>
      <c r="HHG42" s="13"/>
      <c r="HHH42" s="13"/>
      <c r="HHI42" s="13"/>
      <c r="HHJ42" s="13"/>
      <c r="HHK42" s="13"/>
      <c r="HHL42" s="13"/>
      <c r="HHM42" s="13"/>
      <c r="HHN42" s="13"/>
      <c r="HHO42" s="13"/>
      <c r="HHP42" s="13"/>
      <c r="HHQ42" s="13"/>
      <c r="HHR42" s="13"/>
      <c r="HHS42" s="13"/>
      <c r="HHT42" s="13"/>
      <c r="HHU42" s="13"/>
      <c r="HHV42" s="13"/>
      <c r="HHW42" s="13"/>
      <c r="HHX42" s="13"/>
      <c r="HHY42" s="13"/>
      <c r="HHZ42" s="13"/>
      <c r="HIA42" s="13"/>
      <c r="HIB42" s="13"/>
      <c r="HIC42" s="13"/>
      <c r="HID42" s="13"/>
      <c r="HIE42" s="13"/>
      <c r="HIF42" s="13"/>
      <c r="HIG42" s="13"/>
      <c r="HIH42" s="13"/>
      <c r="HII42" s="13"/>
      <c r="HIJ42" s="13"/>
      <c r="HIK42" s="13"/>
      <c r="HIL42" s="13"/>
      <c r="HIM42" s="13"/>
      <c r="HIN42" s="13"/>
      <c r="HIO42" s="13"/>
      <c r="HIP42" s="13"/>
      <c r="HIQ42" s="13"/>
      <c r="HIR42" s="13"/>
      <c r="HIS42" s="13"/>
      <c r="HIT42" s="13"/>
      <c r="HIU42" s="13"/>
      <c r="HIV42" s="13"/>
      <c r="HIW42" s="13"/>
      <c r="HIX42" s="13"/>
      <c r="HIY42" s="13"/>
      <c r="HIZ42" s="13"/>
      <c r="HJA42" s="13"/>
      <c r="HJB42" s="13"/>
      <c r="HJC42" s="13"/>
      <c r="HJD42" s="13"/>
      <c r="HJE42" s="13"/>
      <c r="HJF42" s="13"/>
      <c r="HJG42" s="13"/>
      <c r="HJH42" s="13"/>
      <c r="HJI42" s="13"/>
      <c r="HJJ42" s="13"/>
      <c r="HJK42" s="13"/>
      <c r="HJL42" s="13"/>
      <c r="HJM42" s="13"/>
      <c r="HJN42" s="13"/>
      <c r="HJO42" s="13"/>
      <c r="HJP42" s="13"/>
      <c r="HJQ42" s="13"/>
      <c r="HJR42" s="13"/>
      <c r="HJS42" s="13"/>
      <c r="HJT42" s="13"/>
      <c r="HJU42" s="13"/>
      <c r="HJV42" s="13"/>
      <c r="HJW42" s="13"/>
      <c r="HJX42" s="13"/>
      <c r="HJY42" s="13"/>
      <c r="HJZ42" s="13"/>
      <c r="HKA42" s="13"/>
      <c r="HKB42" s="13"/>
      <c r="HKC42" s="13"/>
      <c r="HKD42" s="13"/>
      <c r="HKE42" s="13"/>
      <c r="HKF42" s="13"/>
      <c r="HKG42" s="13"/>
      <c r="HKH42" s="13"/>
      <c r="HKI42" s="13"/>
      <c r="HKJ42" s="13"/>
      <c r="HKK42" s="13"/>
      <c r="HKL42" s="13"/>
      <c r="HKM42" s="13"/>
      <c r="HKN42" s="13"/>
      <c r="HKO42" s="13"/>
      <c r="HKP42" s="13"/>
      <c r="HKQ42" s="13"/>
      <c r="HKR42" s="13"/>
      <c r="HKS42" s="13"/>
      <c r="HKT42" s="13"/>
      <c r="HKU42" s="13"/>
      <c r="HKV42" s="13"/>
      <c r="HKW42" s="13"/>
      <c r="HKX42" s="13"/>
      <c r="HKY42" s="13"/>
      <c r="HKZ42" s="13"/>
      <c r="HLA42" s="13"/>
      <c r="HLB42" s="13"/>
      <c r="HLC42" s="13"/>
      <c r="HLD42" s="13"/>
      <c r="HLE42" s="13"/>
      <c r="HLF42" s="13"/>
      <c r="HLG42" s="13"/>
      <c r="HLH42" s="13"/>
      <c r="HLI42" s="13"/>
      <c r="HLJ42" s="13"/>
      <c r="HLK42" s="13"/>
      <c r="HLL42" s="13"/>
      <c r="HLM42" s="13"/>
      <c r="HLN42" s="13"/>
      <c r="HLO42" s="13"/>
      <c r="HLP42" s="13"/>
      <c r="HLQ42" s="13"/>
      <c r="HLR42" s="13"/>
      <c r="HLS42" s="13"/>
      <c r="HLT42" s="13"/>
      <c r="HLU42" s="13"/>
      <c r="HLV42" s="13"/>
      <c r="HLW42" s="13"/>
      <c r="HLX42" s="13"/>
      <c r="HLY42" s="13"/>
      <c r="HLZ42" s="13"/>
      <c r="HMA42" s="13"/>
      <c r="HMB42" s="13"/>
      <c r="HMC42" s="13"/>
      <c r="HMD42" s="13"/>
      <c r="HME42" s="13"/>
      <c r="HMF42" s="13"/>
      <c r="HMG42" s="13"/>
      <c r="HMH42" s="13"/>
      <c r="HMI42" s="13"/>
      <c r="HMJ42" s="13"/>
      <c r="HMK42" s="13"/>
      <c r="HML42" s="13"/>
      <c r="HMM42" s="13"/>
      <c r="HMN42" s="13"/>
      <c r="HMO42" s="13"/>
      <c r="HMP42" s="13"/>
      <c r="HMQ42" s="13"/>
      <c r="HMR42" s="13"/>
      <c r="HMS42" s="13"/>
      <c r="HMT42" s="13"/>
      <c r="HMU42" s="13"/>
      <c r="HMV42" s="13"/>
      <c r="HMW42" s="13"/>
      <c r="HMX42" s="13"/>
      <c r="HMY42" s="13"/>
      <c r="HMZ42" s="13"/>
      <c r="HNA42" s="13"/>
      <c r="HNB42" s="13"/>
      <c r="HNC42" s="13"/>
      <c r="HND42" s="13"/>
      <c r="HNE42" s="13"/>
      <c r="HNF42" s="13"/>
      <c r="HNG42" s="13"/>
      <c r="HNH42" s="13"/>
      <c r="HNI42" s="13"/>
      <c r="HNJ42" s="13"/>
      <c r="HNK42" s="13"/>
      <c r="HNL42" s="13"/>
      <c r="HNM42" s="13"/>
      <c r="HNN42" s="13"/>
      <c r="HNO42" s="13"/>
      <c r="HNP42" s="13"/>
      <c r="HNQ42" s="13"/>
      <c r="HNR42" s="13"/>
      <c r="HNS42" s="13"/>
      <c r="HNT42" s="13"/>
      <c r="HNU42" s="13"/>
      <c r="HNV42" s="13"/>
      <c r="HNW42" s="13"/>
      <c r="HNX42" s="13"/>
      <c r="HNY42" s="13"/>
      <c r="HNZ42" s="13"/>
      <c r="HOA42" s="13"/>
      <c r="HOB42" s="13"/>
      <c r="HOC42" s="13"/>
      <c r="HOD42" s="13"/>
      <c r="HOE42" s="13"/>
      <c r="HOF42" s="13"/>
      <c r="HOG42" s="13"/>
      <c r="HOH42" s="13"/>
      <c r="HOI42" s="13"/>
      <c r="HOJ42" s="13"/>
      <c r="HOK42" s="13"/>
      <c r="HOL42" s="13"/>
      <c r="HOM42" s="13"/>
      <c r="HON42" s="13"/>
      <c r="HOO42" s="13"/>
      <c r="HOP42" s="13"/>
      <c r="HOQ42" s="13"/>
      <c r="HOR42" s="13"/>
      <c r="HOS42" s="13"/>
      <c r="HOT42" s="13"/>
      <c r="HOU42" s="13"/>
      <c r="HOV42" s="13"/>
      <c r="HOW42" s="13"/>
      <c r="HOX42" s="13"/>
      <c r="HOY42" s="13"/>
      <c r="HOZ42" s="13"/>
      <c r="HPA42" s="13"/>
      <c r="HPB42" s="13"/>
      <c r="HPC42" s="13"/>
      <c r="HPD42" s="13"/>
      <c r="HPE42" s="13"/>
      <c r="HPF42" s="13"/>
      <c r="HPG42" s="13"/>
      <c r="HPH42" s="13"/>
      <c r="HPI42" s="13"/>
      <c r="HPJ42" s="13"/>
      <c r="HPK42" s="13"/>
      <c r="HPL42" s="13"/>
      <c r="HPM42" s="13"/>
      <c r="HPN42" s="13"/>
      <c r="HPO42" s="13"/>
      <c r="HPP42" s="13"/>
      <c r="HPQ42" s="13"/>
      <c r="HPR42" s="13"/>
      <c r="HPS42" s="13"/>
      <c r="HPT42" s="13"/>
      <c r="HPU42" s="13"/>
      <c r="HPV42" s="13"/>
      <c r="HPW42" s="13"/>
      <c r="HPX42" s="13"/>
      <c r="HPY42" s="13"/>
      <c r="HPZ42" s="13"/>
      <c r="HQA42" s="13"/>
      <c r="HQB42" s="13"/>
      <c r="HQC42" s="13"/>
      <c r="HQD42" s="13"/>
      <c r="HQE42" s="13"/>
      <c r="HQF42" s="13"/>
      <c r="HQG42" s="13"/>
      <c r="HQH42" s="13"/>
      <c r="HQI42" s="13"/>
      <c r="HQJ42" s="13"/>
      <c r="HQK42" s="13"/>
      <c r="HQL42" s="13"/>
      <c r="HQM42" s="13"/>
      <c r="HQN42" s="13"/>
      <c r="HQO42" s="13"/>
      <c r="HQP42" s="13"/>
      <c r="HQQ42" s="13"/>
      <c r="HQR42" s="13"/>
      <c r="HQS42" s="13"/>
      <c r="HQT42" s="13"/>
      <c r="HQU42" s="13"/>
      <c r="HQV42" s="13"/>
      <c r="HQW42" s="13"/>
      <c r="HQX42" s="13"/>
      <c r="HQY42" s="13"/>
      <c r="HQZ42" s="13"/>
      <c r="HRA42" s="13"/>
      <c r="HRB42" s="13"/>
      <c r="HRC42" s="13"/>
      <c r="HRD42" s="13"/>
      <c r="HRE42" s="13"/>
      <c r="HRF42" s="13"/>
      <c r="HRG42" s="13"/>
      <c r="HRH42" s="13"/>
      <c r="HRI42" s="13"/>
      <c r="HRJ42" s="13"/>
      <c r="HRK42" s="13"/>
      <c r="HRL42" s="13"/>
      <c r="HRM42" s="13"/>
      <c r="HRN42" s="13"/>
      <c r="HRO42" s="13"/>
      <c r="HRP42" s="13"/>
      <c r="HRQ42" s="13"/>
      <c r="HRR42" s="13"/>
      <c r="HRS42" s="13"/>
      <c r="HRT42" s="13"/>
      <c r="HRU42" s="13"/>
      <c r="HRV42" s="13"/>
      <c r="HRW42" s="13"/>
      <c r="HRX42" s="13"/>
      <c r="HRY42" s="13"/>
      <c r="HRZ42" s="13"/>
      <c r="HSA42" s="13"/>
      <c r="HSB42" s="13"/>
      <c r="HSC42" s="13"/>
      <c r="HSD42" s="13"/>
      <c r="HSE42" s="13"/>
      <c r="HSF42" s="13"/>
      <c r="HSG42" s="13"/>
      <c r="HSH42" s="13"/>
      <c r="HSI42" s="13"/>
      <c r="HSJ42" s="13"/>
      <c r="HSK42" s="13"/>
      <c r="HSL42" s="13"/>
      <c r="HSM42" s="13"/>
      <c r="HSN42" s="13"/>
      <c r="HSO42" s="13"/>
      <c r="HSP42" s="13"/>
      <c r="HSQ42" s="13"/>
      <c r="HSR42" s="13"/>
      <c r="HSS42" s="13"/>
      <c r="HST42" s="13"/>
      <c r="HSU42" s="13"/>
      <c r="HSV42" s="13"/>
      <c r="HSW42" s="13"/>
      <c r="HSX42" s="13"/>
      <c r="HSY42" s="13"/>
      <c r="HSZ42" s="13"/>
      <c r="HTA42" s="13"/>
      <c r="HTB42" s="13"/>
      <c r="HTC42" s="13"/>
      <c r="HTD42" s="13"/>
      <c r="HTE42" s="13"/>
      <c r="HTF42" s="13"/>
      <c r="HTG42" s="13"/>
      <c r="HTH42" s="13"/>
      <c r="HTI42" s="13"/>
      <c r="HTJ42" s="13"/>
      <c r="HTK42" s="13"/>
      <c r="HTL42" s="13"/>
      <c r="HTM42" s="13"/>
      <c r="HTN42" s="13"/>
      <c r="HTO42" s="13"/>
      <c r="HTP42" s="13"/>
      <c r="HTQ42" s="13"/>
      <c r="HTR42" s="13"/>
      <c r="HTS42" s="13"/>
      <c r="HTT42" s="13"/>
      <c r="HTU42" s="13"/>
      <c r="HTV42" s="13"/>
      <c r="HTW42" s="13"/>
      <c r="HTX42" s="13"/>
      <c r="HTY42" s="13"/>
      <c r="HTZ42" s="13"/>
      <c r="HUA42" s="13"/>
      <c r="HUB42" s="13"/>
      <c r="HUC42" s="13"/>
      <c r="HUD42" s="13"/>
      <c r="HUE42" s="13"/>
      <c r="HUF42" s="13"/>
      <c r="HUG42" s="13"/>
      <c r="HUH42" s="13"/>
      <c r="HUI42" s="13"/>
      <c r="HUJ42" s="13"/>
      <c r="HUK42" s="13"/>
      <c r="HUL42" s="13"/>
      <c r="HUM42" s="13"/>
      <c r="HUN42" s="13"/>
      <c r="HUO42" s="13"/>
      <c r="HUP42" s="13"/>
      <c r="HUQ42" s="13"/>
      <c r="HUR42" s="13"/>
      <c r="HUS42" s="13"/>
      <c r="HUT42" s="13"/>
      <c r="HUU42" s="13"/>
      <c r="HUV42" s="13"/>
      <c r="HUW42" s="13"/>
      <c r="HUX42" s="13"/>
      <c r="HUY42" s="13"/>
      <c r="HUZ42" s="13"/>
      <c r="HVA42" s="13"/>
      <c r="HVB42" s="13"/>
      <c r="HVC42" s="13"/>
      <c r="HVD42" s="13"/>
      <c r="HVE42" s="13"/>
      <c r="HVF42" s="13"/>
      <c r="HVG42" s="13"/>
      <c r="HVH42" s="13"/>
      <c r="HVI42" s="13"/>
      <c r="HVJ42" s="13"/>
      <c r="HVK42" s="13"/>
      <c r="HVL42" s="13"/>
      <c r="HVM42" s="13"/>
      <c r="HVN42" s="13"/>
      <c r="HVO42" s="13"/>
      <c r="HVP42" s="13"/>
      <c r="HVQ42" s="13"/>
      <c r="HVR42" s="13"/>
      <c r="HVS42" s="13"/>
      <c r="HVT42" s="13"/>
      <c r="HVU42" s="13"/>
      <c r="HVV42" s="13"/>
      <c r="HVW42" s="13"/>
      <c r="HVX42" s="13"/>
      <c r="HVY42" s="13"/>
      <c r="HVZ42" s="13"/>
      <c r="HWA42" s="13"/>
      <c r="HWB42" s="13"/>
      <c r="HWC42" s="13"/>
      <c r="HWD42" s="13"/>
      <c r="HWE42" s="13"/>
      <c r="HWF42" s="13"/>
      <c r="HWG42" s="13"/>
      <c r="HWH42" s="13"/>
      <c r="HWI42" s="13"/>
      <c r="HWJ42" s="13"/>
      <c r="HWK42" s="13"/>
      <c r="HWL42" s="13"/>
      <c r="HWM42" s="13"/>
      <c r="HWN42" s="13"/>
      <c r="HWO42" s="13"/>
      <c r="HWP42" s="13"/>
      <c r="HWQ42" s="13"/>
      <c r="HWR42" s="13"/>
      <c r="HWS42" s="13"/>
      <c r="HWT42" s="13"/>
      <c r="HWU42" s="13"/>
      <c r="HWV42" s="13"/>
      <c r="HWW42" s="13"/>
      <c r="HWX42" s="13"/>
      <c r="HWY42" s="13"/>
      <c r="HWZ42" s="13"/>
      <c r="HXA42" s="13"/>
      <c r="HXB42" s="13"/>
      <c r="HXC42" s="13"/>
      <c r="HXD42" s="13"/>
      <c r="HXE42" s="13"/>
      <c r="HXF42" s="13"/>
      <c r="HXG42" s="13"/>
      <c r="HXH42" s="13"/>
      <c r="HXI42" s="13"/>
      <c r="HXJ42" s="13"/>
      <c r="HXK42" s="13"/>
      <c r="HXL42" s="13"/>
      <c r="HXM42" s="13"/>
      <c r="HXN42" s="13"/>
      <c r="HXO42" s="13"/>
      <c r="HXP42" s="13"/>
      <c r="HXQ42" s="13"/>
      <c r="HXR42" s="13"/>
      <c r="HXS42" s="13"/>
      <c r="HXT42" s="13"/>
      <c r="HXU42" s="13"/>
      <c r="HXV42" s="13"/>
      <c r="HXW42" s="13"/>
      <c r="HXX42" s="13"/>
      <c r="HXY42" s="13"/>
      <c r="HXZ42" s="13"/>
      <c r="HYA42" s="13"/>
      <c r="HYB42" s="13"/>
      <c r="HYC42" s="13"/>
      <c r="HYD42" s="13"/>
      <c r="HYE42" s="13"/>
      <c r="HYF42" s="13"/>
      <c r="HYG42" s="13"/>
      <c r="HYH42" s="13"/>
      <c r="HYI42" s="13"/>
      <c r="HYJ42" s="13"/>
      <c r="HYK42" s="13"/>
      <c r="HYL42" s="13"/>
      <c r="HYM42" s="13"/>
      <c r="HYN42" s="13"/>
      <c r="HYO42" s="13"/>
      <c r="HYP42" s="13"/>
      <c r="HYQ42" s="13"/>
      <c r="HYR42" s="13"/>
      <c r="HYS42" s="13"/>
      <c r="HYT42" s="13"/>
      <c r="HYU42" s="13"/>
      <c r="HYV42" s="13"/>
      <c r="HYW42" s="13"/>
      <c r="HYX42" s="13"/>
      <c r="HYY42" s="13"/>
      <c r="HYZ42" s="13"/>
      <c r="HZA42" s="13"/>
      <c r="HZB42" s="13"/>
      <c r="HZC42" s="13"/>
      <c r="HZD42" s="13"/>
      <c r="HZE42" s="13"/>
      <c r="HZF42" s="13"/>
      <c r="HZG42" s="13"/>
      <c r="HZH42" s="13"/>
      <c r="HZI42" s="13"/>
      <c r="HZJ42" s="13"/>
      <c r="HZK42" s="13"/>
      <c r="HZL42" s="13"/>
      <c r="HZM42" s="13"/>
      <c r="HZN42" s="13"/>
      <c r="HZO42" s="13"/>
      <c r="HZP42" s="13"/>
      <c r="HZQ42" s="13"/>
      <c r="HZR42" s="13"/>
      <c r="HZS42" s="13"/>
      <c r="HZT42" s="13"/>
      <c r="HZU42" s="13"/>
      <c r="HZV42" s="13"/>
      <c r="HZW42" s="13"/>
      <c r="HZX42" s="13"/>
      <c r="HZY42" s="13"/>
      <c r="HZZ42" s="13"/>
      <c r="IAA42" s="13"/>
      <c r="IAB42" s="13"/>
      <c r="IAC42" s="13"/>
      <c r="IAD42" s="13"/>
      <c r="IAE42" s="13"/>
      <c r="IAF42" s="13"/>
      <c r="IAG42" s="13"/>
      <c r="IAH42" s="13"/>
      <c r="IAI42" s="13"/>
      <c r="IAJ42" s="13"/>
      <c r="IAK42" s="13"/>
      <c r="IAL42" s="13"/>
      <c r="IAM42" s="13"/>
      <c r="IAN42" s="13"/>
      <c r="IAO42" s="13"/>
      <c r="IAP42" s="13"/>
      <c r="IAQ42" s="13"/>
      <c r="IAR42" s="13"/>
      <c r="IAS42" s="13"/>
      <c r="IAT42" s="13"/>
      <c r="IAU42" s="13"/>
      <c r="IAV42" s="13"/>
      <c r="IAW42" s="13"/>
      <c r="IAX42" s="13"/>
      <c r="IAY42" s="13"/>
      <c r="IAZ42" s="13"/>
      <c r="IBA42" s="13"/>
      <c r="IBB42" s="13"/>
      <c r="IBC42" s="13"/>
      <c r="IBD42" s="13"/>
      <c r="IBE42" s="13"/>
      <c r="IBF42" s="13"/>
      <c r="IBG42" s="13"/>
      <c r="IBH42" s="13"/>
      <c r="IBI42" s="13"/>
      <c r="IBJ42" s="13"/>
      <c r="IBK42" s="13"/>
      <c r="IBL42" s="13"/>
      <c r="IBM42" s="13"/>
      <c r="IBN42" s="13"/>
      <c r="IBO42" s="13"/>
      <c r="IBP42" s="13"/>
      <c r="IBQ42" s="13"/>
      <c r="IBR42" s="13"/>
      <c r="IBS42" s="13"/>
      <c r="IBT42" s="13"/>
      <c r="IBU42" s="13"/>
      <c r="IBV42" s="13"/>
      <c r="IBW42" s="13"/>
      <c r="IBX42" s="13"/>
      <c r="IBY42" s="13"/>
      <c r="IBZ42" s="13"/>
      <c r="ICA42" s="13"/>
      <c r="ICB42" s="13"/>
      <c r="ICC42" s="13"/>
      <c r="ICD42" s="13"/>
      <c r="ICE42" s="13"/>
      <c r="ICF42" s="13"/>
      <c r="ICG42" s="13"/>
      <c r="ICH42" s="13"/>
      <c r="ICI42" s="13"/>
      <c r="ICJ42" s="13"/>
      <c r="ICK42" s="13"/>
      <c r="ICL42" s="13"/>
      <c r="ICM42" s="13"/>
      <c r="ICN42" s="13"/>
      <c r="ICO42" s="13"/>
      <c r="ICP42" s="13"/>
      <c r="ICQ42" s="13"/>
      <c r="ICR42" s="13"/>
      <c r="ICS42" s="13"/>
      <c r="ICT42" s="13"/>
      <c r="ICU42" s="13"/>
      <c r="ICV42" s="13"/>
      <c r="ICW42" s="13"/>
      <c r="ICX42" s="13"/>
      <c r="ICY42" s="13"/>
      <c r="ICZ42" s="13"/>
      <c r="IDA42" s="13"/>
      <c r="IDB42" s="13"/>
      <c r="IDC42" s="13"/>
      <c r="IDD42" s="13"/>
      <c r="IDE42" s="13"/>
      <c r="IDF42" s="13"/>
      <c r="IDG42" s="13"/>
      <c r="IDH42" s="13"/>
      <c r="IDI42" s="13"/>
      <c r="IDJ42" s="13"/>
      <c r="IDK42" s="13"/>
      <c r="IDL42" s="13"/>
      <c r="IDM42" s="13"/>
      <c r="IDN42" s="13"/>
      <c r="IDO42" s="13"/>
      <c r="IDP42" s="13"/>
      <c r="IDQ42" s="13"/>
      <c r="IDR42" s="13"/>
      <c r="IDS42" s="13"/>
      <c r="IDT42" s="13"/>
      <c r="IDU42" s="13"/>
      <c r="IDV42" s="13"/>
      <c r="IDW42" s="13"/>
      <c r="IDX42" s="13"/>
      <c r="IDY42" s="13"/>
      <c r="IDZ42" s="13"/>
      <c r="IEA42" s="13"/>
      <c r="IEB42" s="13"/>
      <c r="IEC42" s="13"/>
      <c r="IED42" s="13"/>
      <c r="IEE42" s="13"/>
      <c r="IEF42" s="13"/>
      <c r="IEG42" s="13"/>
      <c r="IEH42" s="13"/>
      <c r="IEI42" s="13"/>
      <c r="IEJ42" s="13"/>
      <c r="IEK42" s="13"/>
      <c r="IEL42" s="13"/>
      <c r="IEM42" s="13"/>
      <c r="IEN42" s="13"/>
      <c r="IEO42" s="13"/>
      <c r="IEP42" s="13"/>
      <c r="IEQ42" s="13"/>
      <c r="IER42" s="13"/>
      <c r="IES42" s="13"/>
      <c r="IET42" s="13"/>
      <c r="IEU42" s="13"/>
      <c r="IEV42" s="13"/>
      <c r="IEW42" s="13"/>
      <c r="IEX42" s="13"/>
      <c r="IEY42" s="13"/>
      <c r="IEZ42" s="13"/>
      <c r="IFA42" s="13"/>
      <c r="IFB42" s="13"/>
      <c r="IFC42" s="13"/>
      <c r="IFD42" s="13"/>
      <c r="IFE42" s="13"/>
      <c r="IFF42" s="13"/>
      <c r="IFG42" s="13"/>
      <c r="IFH42" s="13"/>
      <c r="IFI42" s="13"/>
      <c r="IFJ42" s="13"/>
      <c r="IFK42" s="13"/>
      <c r="IFL42" s="13"/>
      <c r="IFM42" s="13"/>
      <c r="IFN42" s="13"/>
      <c r="IFO42" s="13"/>
      <c r="IFP42" s="13"/>
      <c r="IFQ42" s="13"/>
      <c r="IFR42" s="13"/>
      <c r="IFS42" s="13"/>
      <c r="IFT42" s="13"/>
      <c r="IFU42" s="13"/>
      <c r="IFV42" s="13"/>
      <c r="IFW42" s="13"/>
      <c r="IFX42" s="13"/>
      <c r="IFY42" s="13"/>
      <c r="IFZ42" s="13"/>
      <c r="IGA42" s="13"/>
      <c r="IGB42" s="13"/>
      <c r="IGC42" s="13"/>
      <c r="IGD42" s="13"/>
      <c r="IGE42" s="13"/>
      <c r="IGF42" s="13"/>
      <c r="IGG42" s="13"/>
      <c r="IGH42" s="13"/>
      <c r="IGI42" s="13"/>
      <c r="IGJ42" s="13"/>
      <c r="IGK42" s="13"/>
      <c r="IGL42" s="13"/>
      <c r="IGM42" s="13"/>
      <c r="IGN42" s="13"/>
      <c r="IGO42" s="13"/>
      <c r="IGP42" s="13"/>
      <c r="IGQ42" s="13"/>
      <c r="IGR42" s="13"/>
      <c r="IGS42" s="13"/>
      <c r="IGT42" s="13"/>
      <c r="IGU42" s="13"/>
      <c r="IGV42" s="13"/>
      <c r="IGW42" s="13"/>
      <c r="IGX42" s="13"/>
      <c r="IGY42" s="13"/>
      <c r="IGZ42" s="13"/>
      <c r="IHA42" s="13"/>
      <c r="IHB42" s="13"/>
      <c r="IHC42" s="13"/>
      <c r="IHD42" s="13"/>
      <c r="IHE42" s="13"/>
      <c r="IHF42" s="13"/>
      <c r="IHG42" s="13"/>
      <c r="IHH42" s="13"/>
      <c r="IHI42" s="13"/>
      <c r="IHJ42" s="13"/>
      <c r="IHK42" s="13"/>
      <c r="IHL42" s="13"/>
      <c r="IHM42" s="13"/>
      <c r="IHN42" s="13"/>
      <c r="IHO42" s="13"/>
      <c r="IHP42" s="13"/>
      <c r="IHQ42" s="13"/>
      <c r="IHR42" s="13"/>
      <c r="IHS42" s="13"/>
      <c r="IHT42" s="13"/>
      <c r="IHU42" s="13"/>
      <c r="IHV42" s="13"/>
      <c r="IHW42" s="13"/>
      <c r="IHX42" s="13"/>
      <c r="IHY42" s="13"/>
      <c r="IHZ42" s="13"/>
      <c r="IIA42" s="13"/>
      <c r="IIB42" s="13"/>
      <c r="IIC42" s="13"/>
      <c r="IID42" s="13"/>
      <c r="IIE42" s="13"/>
      <c r="IIF42" s="13"/>
      <c r="IIG42" s="13"/>
      <c r="IIH42" s="13"/>
      <c r="III42" s="13"/>
      <c r="IIJ42" s="13"/>
      <c r="IIK42" s="13"/>
      <c r="IIL42" s="13"/>
      <c r="IIM42" s="13"/>
      <c r="IIN42" s="13"/>
      <c r="IIO42" s="13"/>
      <c r="IIP42" s="13"/>
      <c r="IIQ42" s="13"/>
      <c r="IIR42" s="13"/>
      <c r="IIS42" s="13"/>
      <c r="IIT42" s="13"/>
      <c r="IIU42" s="13"/>
      <c r="IIV42" s="13"/>
      <c r="IIW42" s="13"/>
      <c r="IIX42" s="13"/>
      <c r="IIY42" s="13"/>
      <c r="IIZ42" s="13"/>
      <c r="IJA42" s="13"/>
      <c r="IJB42" s="13"/>
      <c r="IJC42" s="13"/>
      <c r="IJD42" s="13"/>
      <c r="IJE42" s="13"/>
      <c r="IJF42" s="13"/>
      <c r="IJG42" s="13"/>
      <c r="IJH42" s="13"/>
      <c r="IJI42" s="13"/>
      <c r="IJJ42" s="13"/>
      <c r="IJK42" s="13"/>
      <c r="IJL42" s="13"/>
      <c r="IJM42" s="13"/>
      <c r="IJN42" s="13"/>
      <c r="IJO42" s="13"/>
      <c r="IJP42" s="13"/>
      <c r="IJQ42" s="13"/>
      <c r="IJR42" s="13"/>
      <c r="IJS42" s="13"/>
      <c r="IJT42" s="13"/>
      <c r="IJU42" s="13"/>
      <c r="IJV42" s="13"/>
      <c r="IJW42" s="13"/>
      <c r="IJX42" s="13"/>
      <c r="IJY42" s="13"/>
      <c r="IJZ42" s="13"/>
      <c r="IKA42" s="13"/>
      <c r="IKB42" s="13"/>
      <c r="IKC42" s="13"/>
      <c r="IKD42" s="13"/>
      <c r="IKE42" s="13"/>
      <c r="IKF42" s="13"/>
      <c r="IKG42" s="13"/>
      <c r="IKH42" s="13"/>
      <c r="IKI42" s="13"/>
      <c r="IKJ42" s="13"/>
      <c r="IKK42" s="13"/>
      <c r="IKL42" s="13"/>
      <c r="IKM42" s="13"/>
      <c r="IKN42" s="13"/>
      <c r="IKO42" s="13"/>
      <c r="IKP42" s="13"/>
      <c r="IKQ42" s="13"/>
      <c r="IKR42" s="13"/>
      <c r="IKS42" s="13"/>
      <c r="IKT42" s="13"/>
      <c r="IKU42" s="13"/>
      <c r="IKV42" s="13"/>
      <c r="IKW42" s="13"/>
      <c r="IKX42" s="13"/>
      <c r="IKY42" s="13"/>
      <c r="IKZ42" s="13"/>
      <c r="ILA42" s="13"/>
      <c r="ILB42" s="13"/>
      <c r="ILC42" s="13"/>
      <c r="ILD42" s="13"/>
      <c r="ILE42" s="13"/>
      <c r="ILF42" s="13"/>
      <c r="ILG42" s="13"/>
      <c r="ILH42" s="13"/>
      <c r="ILI42" s="13"/>
      <c r="ILJ42" s="13"/>
      <c r="ILK42" s="13"/>
      <c r="ILL42" s="13"/>
      <c r="ILM42" s="13"/>
      <c r="ILN42" s="13"/>
      <c r="ILO42" s="13"/>
      <c r="ILP42" s="13"/>
      <c r="ILQ42" s="13"/>
      <c r="ILR42" s="13"/>
      <c r="ILS42" s="13"/>
      <c r="ILT42" s="13"/>
      <c r="ILU42" s="13"/>
      <c r="ILV42" s="13"/>
      <c r="ILW42" s="13"/>
      <c r="ILX42" s="13"/>
      <c r="ILY42" s="13"/>
      <c r="ILZ42" s="13"/>
      <c r="IMA42" s="13"/>
      <c r="IMB42" s="13"/>
      <c r="IMC42" s="13"/>
      <c r="IMD42" s="13"/>
      <c r="IME42" s="13"/>
      <c r="IMF42" s="13"/>
      <c r="IMG42" s="13"/>
      <c r="IMH42" s="13"/>
      <c r="IMI42" s="13"/>
      <c r="IMJ42" s="13"/>
      <c r="IMK42" s="13"/>
      <c r="IML42" s="13"/>
      <c r="IMM42" s="13"/>
      <c r="IMN42" s="13"/>
      <c r="IMO42" s="13"/>
      <c r="IMP42" s="13"/>
      <c r="IMQ42" s="13"/>
      <c r="IMR42" s="13"/>
      <c r="IMS42" s="13"/>
      <c r="IMT42" s="13"/>
      <c r="IMU42" s="13"/>
      <c r="IMV42" s="13"/>
      <c r="IMW42" s="13"/>
      <c r="IMX42" s="13"/>
      <c r="IMY42" s="13"/>
      <c r="IMZ42" s="13"/>
      <c r="INA42" s="13"/>
      <c r="INB42" s="13"/>
      <c r="INC42" s="13"/>
      <c r="IND42" s="13"/>
      <c r="INE42" s="13"/>
      <c r="INF42" s="13"/>
      <c r="ING42" s="13"/>
      <c r="INH42" s="13"/>
      <c r="INI42" s="13"/>
      <c r="INJ42" s="13"/>
      <c r="INK42" s="13"/>
      <c r="INL42" s="13"/>
      <c r="INM42" s="13"/>
      <c r="INN42" s="13"/>
      <c r="INO42" s="13"/>
      <c r="INP42" s="13"/>
      <c r="INQ42" s="13"/>
      <c r="INR42" s="13"/>
      <c r="INS42" s="13"/>
      <c r="INT42" s="13"/>
      <c r="INU42" s="13"/>
      <c r="INV42" s="13"/>
      <c r="INW42" s="13"/>
      <c r="INX42" s="13"/>
      <c r="INY42" s="13"/>
      <c r="INZ42" s="13"/>
      <c r="IOA42" s="13"/>
      <c r="IOB42" s="13"/>
      <c r="IOC42" s="13"/>
      <c r="IOD42" s="13"/>
      <c r="IOE42" s="13"/>
      <c r="IOF42" s="13"/>
      <c r="IOG42" s="13"/>
      <c r="IOH42" s="13"/>
      <c r="IOI42" s="13"/>
      <c r="IOJ42" s="13"/>
      <c r="IOK42" s="13"/>
      <c r="IOL42" s="13"/>
      <c r="IOM42" s="13"/>
      <c r="ION42" s="13"/>
      <c r="IOO42" s="13"/>
      <c r="IOP42" s="13"/>
      <c r="IOQ42" s="13"/>
      <c r="IOR42" s="13"/>
      <c r="IOS42" s="13"/>
      <c r="IOT42" s="13"/>
      <c r="IOU42" s="13"/>
      <c r="IOV42" s="13"/>
      <c r="IOW42" s="13"/>
      <c r="IOX42" s="13"/>
      <c r="IOY42" s="13"/>
      <c r="IOZ42" s="13"/>
      <c r="IPA42" s="13"/>
      <c r="IPB42" s="13"/>
      <c r="IPC42" s="13"/>
      <c r="IPD42" s="13"/>
      <c r="IPE42" s="13"/>
      <c r="IPF42" s="13"/>
      <c r="IPG42" s="13"/>
      <c r="IPH42" s="13"/>
      <c r="IPI42" s="13"/>
      <c r="IPJ42" s="13"/>
      <c r="IPK42" s="13"/>
      <c r="IPL42" s="13"/>
      <c r="IPM42" s="13"/>
      <c r="IPN42" s="13"/>
      <c r="IPO42" s="13"/>
      <c r="IPP42" s="13"/>
      <c r="IPQ42" s="13"/>
      <c r="IPR42" s="13"/>
      <c r="IPS42" s="13"/>
      <c r="IPT42" s="13"/>
      <c r="IPU42" s="13"/>
      <c r="IPV42" s="13"/>
      <c r="IPW42" s="13"/>
      <c r="IPX42" s="13"/>
      <c r="IPY42" s="13"/>
      <c r="IPZ42" s="13"/>
      <c r="IQA42" s="13"/>
      <c r="IQB42" s="13"/>
      <c r="IQC42" s="13"/>
      <c r="IQD42" s="13"/>
      <c r="IQE42" s="13"/>
      <c r="IQF42" s="13"/>
      <c r="IQG42" s="13"/>
      <c r="IQH42" s="13"/>
      <c r="IQI42" s="13"/>
      <c r="IQJ42" s="13"/>
      <c r="IQK42" s="13"/>
      <c r="IQL42" s="13"/>
      <c r="IQM42" s="13"/>
      <c r="IQN42" s="13"/>
      <c r="IQO42" s="13"/>
      <c r="IQP42" s="13"/>
      <c r="IQQ42" s="13"/>
      <c r="IQR42" s="13"/>
      <c r="IQS42" s="13"/>
      <c r="IQT42" s="13"/>
      <c r="IQU42" s="13"/>
      <c r="IQV42" s="13"/>
      <c r="IQW42" s="13"/>
      <c r="IQX42" s="13"/>
      <c r="IQY42" s="13"/>
      <c r="IQZ42" s="13"/>
      <c r="IRA42" s="13"/>
      <c r="IRB42" s="13"/>
      <c r="IRC42" s="13"/>
      <c r="IRD42" s="13"/>
      <c r="IRE42" s="13"/>
      <c r="IRF42" s="13"/>
      <c r="IRG42" s="13"/>
      <c r="IRH42" s="13"/>
      <c r="IRI42" s="13"/>
      <c r="IRJ42" s="13"/>
      <c r="IRK42" s="13"/>
      <c r="IRL42" s="13"/>
      <c r="IRM42" s="13"/>
      <c r="IRN42" s="13"/>
      <c r="IRO42" s="13"/>
      <c r="IRP42" s="13"/>
      <c r="IRQ42" s="13"/>
      <c r="IRR42" s="13"/>
      <c r="IRS42" s="13"/>
      <c r="IRT42" s="13"/>
      <c r="IRU42" s="13"/>
      <c r="IRV42" s="13"/>
      <c r="IRW42" s="13"/>
      <c r="IRX42" s="13"/>
      <c r="IRY42" s="13"/>
      <c r="IRZ42" s="13"/>
      <c r="ISA42" s="13"/>
      <c r="ISB42" s="13"/>
      <c r="ISC42" s="13"/>
      <c r="ISD42" s="13"/>
      <c r="ISE42" s="13"/>
      <c r="ISF42" s="13"/>
      <c r="ISG42" s="13"/>
      <c r="ISH42" s="13"/>
      <c r="ISI42" s="13"/>
      <c r="ISJ42" s="13"/>
      <c r="ISK42" s="13"/>
      <c r="ISL42" s="13"/>
      <c r="ISM42" s="13"/>
      <c r="ISN42" s="13"/>
      <c r="ISO42" s="13"/>
      <c r="ISP42" s="13"/>
      <c r="ISQ42" s="13"/>
      <c r="ISR42" s="13"/>
      <c r="ISS42" s="13"/>
      <c r="IST42" s="13"/>
      <c r="ISU42" s="13"/>
      <c r="ISV42" s="13"/>
      <c r="ISW42" s="13"/>
      <c r="ISX42" s="13"/>
      <c r="ISY42" s="13"/>
      <c r="ISZ42" s="13"/>
      <c r="ITA42" s="13"/>
      <c r="ITB42" s="13"/>
      <c r="ITC42" s="13"/>
      <c r="ITD42" s="13"/>
      <c r="ITE42" s="13"/>
      <c r="ITF42" s="13"/>
      <c r="ITG42" s="13"/>
      <c r="ITH42" s="13"/>
      <c r="ITI42" s="13"/>
      <c r="ITJ42" s="13"/>
      <c r="ITK42" s="13"/>
      <c r="ITL42" s="13"/>
      <c r="ITM42" s="13"/>
      <c r="ITN42" s="13"/>
      <c r="ITO42" s="13"/>
      <c r="ITP42" s="13"/>
      <c r="ITQ42" s="13"/>
      <c r="ITR42" s="13"/>
      <c r="ITS42" s="13"/>
      <c r="ITT42" s="13"/>
      <c r="ITU42" s="13"/>
      <c r="ITV42" s="13"/>
      <c r="ITW42" s="13"/>
      <c r="ITX42" s="13"/>
      <c r="ITY42" s="13"/>
      <c r="ITZ42" s="13"/>
      <c r="IUA42" s="13"/>
      <c r="IUB42" s="13"/>
      <c r="IUC42" s="13"/>
      <c r="IUD42" s="13"/>
      <c r="IUE42" s="13"/>
      <c r="IUF42" s="13"/>
      <c r="IUG42" s="13"/>
      <c r="IUH42" s="13"/>
      <c r="IUI42" s="13"/>
      <c r="IUJ42" s="13"/>
      <c r="IUK42" s="13"/>
      <c r="IUL42" s="13"/>
      <c r="IUM42" s="13"/>
      <c r="IUN42" s="13"/>
      <c r="IUO42" s="13"/>
      <c r="IUP42" s="13"/>
      <c r="IUQ42" s="13"/>
      <c r="IUR42" s="13"/>
      <c r="IUS42" s="13"/>
      <c r="IUT42" s="13"/>
      <c r="IUU42" s="13"/>
      <c r="IUV42" s="13"/>
      <c r="IUW42" s="13"/>
      <c r="IUX42" s="13"/>
      <c r="IUY42" s="13"/>
      <c r="IUZ42" s="13"/>
      <c r="IVA42" s="13"/>
      <c r="IVB42" s="13"/>
      <c r="IVC42" s="13"/>
      <c r="IVD42" s="13"/>
      <c r="IVE42" s="13"/>
      <c r="IVF42" s="13"/>
      <c r="IVG42" s="13"/>
      <c r="IVH42" s="13"/>
      <c r="IVI42" s="13"/>
      <c r="IVJ42" s="13"/>
      <c r="IVK42" s="13"/>
      <c r="IVL42" s="13"/>
      <c r="IVM42" s="13"/>
      <c r="IVN42" s="13"/>
      <c r="IVO42" s="13"/>
      <c r="IVP42" s="13"/>
      <c r="IVQ42" s="13"/>
      <c r="IVR42" s="13"/>
      <c r="IVS42" s="13"/>
      <c r="IVT42" s="13"/>
      <c r="IVU42" s="13"/>
      <c r="IVV42" s="13"/>
      <c r="IVW42" s="13"/>
      <c r="IVX42" s="13"/>
      <c r="IVY42" s="13"/>
      <c r="IVZ42" s="13"/>
      <c r="IWA42" s="13"/>
      <c r="IWB42" s="13"/>
      <c r="IWC42" s="13"/>
      <c r="IWD42" s="13"/>
      <c r="IWE42" s="13"/>
      <c r="IWF42" s="13"/>
      <c r="IWG42" s="13"/>
      <c r="IWH42" s="13"/>
      <c r="IWI42" s="13"/>
      <c r="IWJ42" s="13"/>
      <c r="IWK42" s="13"/>
      <c r="IWL42" s="13"/>
      <c r="IWM42" s="13"/>
      <c r="IWN42" s="13"/>
      <c r="IWO42" s="13"/>
      <c r="IWP42" s="13"/>
      <c r="IWQ42" s="13"/>
      <c r="IWR42" s="13"/>
      <c r="IWS42" s="13"/>
      <c r="IWT42" s="13"/>
      <c r="IWU42" s="13"/>
      <c r="IWV42" s="13"/>
      <c r="IWW42" s="13"/>
      <c r="IWX42" s="13"/>
      <c r="IWY42" s="13"/>
      <c r="IWZ42" s="13"/>
      <c r="IXA42" s="13"/>
      <c r="IXB42" s="13"/>
      <c r="IXC42" s="13"/>
      <c r="IXD42" s="13"/>
      <c r="IXE42" s="13"/>
      <c r="IXF42" s="13"/>
      <c r="IXG42" s="13"/>
      <c r="IXH42" s="13"/>
      <c r="IXI42" s="13"/>
      <c r="IXJ42" s="13"/>
      <c r="IXK42" s="13"/>
      <c r="IXL42" s="13"/>
      <c r="IXM42" s="13"/>
      <c r="IXN42" s="13"/>
      <c r="IXO42" s="13"/>
      <c r="IXP42" s="13"/>
      <c r="IXQ42" s="13"/>
      <c r="IXR42" s="13"/>
      <c r="IXS42" s="13"/>
      <c r="IXT42" s="13"/>
      <c r="IXU42" s="13"/>
      <c r="IXV42" s="13"/>
      <c r="IXW42" s="13"/>
      <c r="IXX42" s="13"/>
      <c r="IXY42" s="13"/>
      <c r="IXZ42" s="13"/>
      <c r="IYA42" s="13"/>
      <c r="IYB42" s="13"/>
      <c r="IYC42" s="13"/>
      <c r="IYD42" s="13"/>
      <c r="IYE42" s="13"/>
      <c r="IYF42" s="13"/>
      <c r="IYG42" s="13"/>
      <c r="IYH42" s="13"/>
      <c r="IYI42" s="13"/>
      <c r="IYJ42" s="13"/>
      <c r="IYK42" s="13"/>
      <c r="IYL42" s="13"/>
      <c r="IYM42" s="13"/>
      <c r="IYN42" s="13"/>
      <c r="IYO42" s="13"/>
      <c r="IYP42" s="13"/>
      <c r="IYQ42" s="13"/>
      <c r="IYR42" s="13"/>
      <c r="IYS42" s="13"/>
      <c r="IYT42" s="13"/>
      <c r="IYU42" s="13"/>
      <c r="IYV42" s="13"/>
      <c r="IYW42" s="13"/>
      <c r="IYX42" s="13"/>
      <c r="IYY42" s="13"/>
      <c r="IYZ42" s="13"/>
      <c r="IZA42" s="13"/>
      <c r="IZB42" s="13"/>
      <c r="IZC42" s="13"/>
      <c r="IZD42" s="13"/>
      <c r="IZE42" s="13"/>
      <c r="IZF42" s="13"/>
      <c r="IZG42" s="13"/>
      <c r="IZH42" s="13"/>
      <c r="IZI42" s="13"/>
      <c r="IZJ42" s="13"/>
      <c r="IZK42" s="13"/>
      <c r="IZL42" s="13"/>
      <c r="IZM42" s="13"/>
      <c r="IZN42" s="13"/>
      <c r="IZO42" s="13"/>
      <c r="IZP42" s="13"/>
      <c r="IZQ42" s="13"/>
      <c r="IZR42" s="13"/>
      <c r="IZS42" s="13"/>
      <c r="IZT42" s="13"/>
      <c r="IZU42" s="13"/>
      <c r="IZV42" s="13"/>
      <c r="IZW42" s="13"/>
      <c r="IZX42" s="13"/>
      <c r="IZY42" s="13"/>
      <c r="IZZ42" s="13"/>
      <c r="JAA42" s="13"/>
      <c r="JAB42" s="13"/>
      <c r="JAC42" s="13"/>
      <c r="JAD42" s="13"/>
      <c r="JAE42" s="13"/>
      <c r="JAF42" s="13"/>
      <c r="JAG42" s="13"/>
      <c r="JAH42" s="13"/>
      <c r="JAI42" s="13"/>
      <c r="JAJ42" s="13"/>
      <c r="JAK42" s="13"/>
      <c r="JAL42" s="13"/>
      <c r="JAM42" s="13"/>
      <c r="JAN42" s="13"/>
      <c r="JAO42" s="13"/>
      <c r="JAP42" s="13"/>
      <c r="JAQ42" s="13"/>
      <c r="JAR42" s="13"/>
      <c r="JAS42" s="13"/>
      <c r="JAT42" s="13"/>
      <c r="JAU42" s="13"/>
      <c r="JAV42" s="13"/>
      <c r="JAW42" s="13"/>
      <c r="JAX42" s="13"/>
      <c r="JAY42" s="13"/>
      <c r="JAZ42" s="13"/>
      <c r="JBA42" s="13"/>
      <c r="JBB42" s="13"/>
      <c r="JBC42" s="13"/>
      <c r="JBD42" s="13"/>
      <c r="JBE42" s="13"/>
      <c r="JBF42" s="13"/>
      <c r="JBG42" s="13"/>
      <c r="JBH42" s="13"/>
      <c r="JBI42" s="13"/>
      <c r="JBJ42" s="13"/>
      <c r="JBK42" s="13"/>
      <c r="JBL42" s="13"/>
      <c r="JBM42" s="13"/>
      <c r="JBN42" s="13"/>
      <c r="JBO42" s="13"/>
      <c r="JBP42" s="13"/>
      <c r="JBQ42" s="13"/>
      <c r="JBR42" s="13"/>
      <c r="JBS42" s="13"/>
      <c r="JBT42" s="13"/>
      <c r="JBU42" s="13"/>
      <c r="JBV42" s="13"/>
      <c r="JBW42" s="13"/>
      <c r="JBX42" s="13"/>
      <c r="JBY42" s="13"/>
      <c r="JBZ42" s="13"/>
      <c r="JCA42" s="13"/>
      <c r="JCB42" s="13"/>
      <c r="JCC42" s="13"/>
      <c r="JCD42" s="13"/>
      <c r="JCE42" s="13"/>
      <c r="JCF42" s="13"/>
      <c r="JCG42" s="13"/>
      <c r="JCH42" s="13"/>
      <c r="JCI42" s="13"/>
      <c r="JCJ42" s="13"/>
      <c r="JCK42" s="13"/>
      <c r="JCL42" s="13"/>
      <c r="JCM42" s="13"/>
      <c r="JCN42" s="13"/>
      <c r="JCO42" s="13"/>
      <c r="JCP42" s="13"/>
      <c r="JCQ42" s="13"/>
      <c r="JCR42" s="13"/>
      <c r="JCS42" s="13"/>
      <c r="JCT42" s="13"/>
      <c r="JCU42" s="13"/>
      <c r="JCV42" s="13"/>
      <c r="JCW42" s="13"/>
      <c r="JCX42" s="13"/>
      <c r="JCY42" s="13"/>
      <c r="JCZ42" s="13"/>
      <c r="JDA42" s="13"/>
      <c r="JDB42" s="13"/>
      <c r="JDC42" s="13"/>
      <c r="JDD42" s="13"/>
      <c r="JDE42" s="13"/>
      <c r="JDF42" s="13"/>
      <c r="JDG42" s="13"/>
      <c r="JDH42" s="13"/>
      <c r="JDI42" s="13"/>
      <c r="JDJ42" s="13"/>
      <c r="JDK42" s="13"/>
      <c r="JDL42" s="13"/>
      <c r="JDM42" s="13"/>
      <c r="JDN42" s="13"/>
      <c r="JDO42" s="13"/>
      <c r="JDP42" s="13"/>
      <c r="JDQ42" s="13"/>
      <c r="JDR42" s="13"/>
      <c r="JDS42" s="13"/>
      <c r="JDT42" s="13"/>
      <c r="JDU42" s="13"/>
      <c r="JDV42" s="13"/>
      <c r="JDW42" s="13"/>
      <c r="JDX42" s="13"/>
      <c r="JDY42" s="13"/>
      <c r="JDZ42" s="13"/>
      <c r="JEA42" s="13"/>
      <c r="JEB42" s="13"/>
      <c r="JEC42" s="13"/>
      <c r="JED42" s="13"/>
      <c r="JEE42" s="13"/>
      <c r="JEF42" s="13"/>
      <c r="JEG42" s="13"/>
      <c r="JEH42" s="13"/>
      <c r="JEI42" s="13"/>
      <c r="JEJ42" s="13"/>
      <c r="JEK42" s="13"/>
      <c r="JEL42" s="13"/>
      <c r="JEM42" s="13"/>
      <c r="JEN42" s="13"/>
      <c r="JEO42" s="13"/>
      <c r="JEP42" s="13"/>
      <c r="JEQ42" s="13"/>
      <c r="JER42" s="13"/>
      <c r="JES42" s="13"/>
      <c r="JET42" s="13"/>
      <c r="JEU42" s="13"/>
      <c r="JEV42" s="13"/>
      <c r="JEW42" s="13"/>
      <c r="JEX42" s="13"/>
      <c r="JEY42" s="13"/>
      <c r="JEZ42" s="13"/>
      <c r="JFA42" s="13"/>
      <c r="JFB42" s="13"/>
      <c r="JFC42" s="13"/>
      <c r="JFD42" s="13"/>
      <c r="JFE42" s="13"/>
      <c r="JFF42" s="13"/>
      <c r="JFG42" s="13"/>
      <c r="JFH42" s="13"/>
      <c r="JFI42" s="13"/>
      <c r="JFJ42" s="13"/>
      <c r="JFK42" s="13"/>
      <c r="JFL42" s="13"/>
      <c r="JFM42" s="13"/>
      <c r="JFN42" s="13"/>
      <c r="JFO42" s="13"/>
      <c r="JFP42" s="13"/>
      <c r="JFQ42" s="13"/>
      <c r="JFR42" s="13"/>
      <c r="JFS42" s="13"/>
      <c r="JFT42" s="13"/>
      <c r="JFU42" s="13"/>
      <c r="JFV42" s="13"/>
      <c r="JFW42" s="13"/>
      <c r="JFX42" s="13"/>
      <c r="JFY42" s="13"/>
      <c r="JFZ42" s="13"/>
      <c r="JGA42" s="13"/>
      <c r="JGB42" s="13"/>
      <c r="JGC42" s="13"/>
      <c r="JGD42" s="13"/>
      <c r="JGE42" s="13"/>
      <c r="JGF42" s="13"/>
      <c r="JGG42" s="13"/>
      <c r="JGH42" s="13"/>
      <c r="JGI42" s="13"/>
      <c r="JGJ42" s="13"/>
      <c r="JGK42" s="13"/>
      <c r="JGL42" s="13"/>
      <c r="JGM42" s="13"/>
      <c r="JGN42" s="13"/>
      <c r="JGO42" s="13"/>
      <c r="JGP42" s="13"/>
      <c r="JGQ42" s="13"/>
      <c r="JGR42" s="13"/>
      <c r="JGS42" s="13"/>
      <c r="JGT42" s="13"/>
      <c r="JGU42" s="13"/>
      <c r="JGV42" s="13"/>
      <c r="JGW42" s="13"/>
      <c r="JGX42" s="13"/>
      <c r="JGY42" s="13"/>
      <c r="JGZ42" s="13"/>
      <c r="JHA42" s="13"/>
      <c r="JHB42" s="13"/>
      <c r="JHC42" s="13"/>
      <c r="JHD42" s="13"/>
      <c r="JHE42" s="13"/>
      <c r="JHF42" s="13"/>
      <c r="JHG42" s="13"/>
      <c r="JHH42" s="13"/>
      <c r="JHI42" s="13"/>
      <c r="JHJ42" s="13"/>
      <c r="JHK42" s="13"/>
      <c r="JHL42" s="13"/>
      <c r="JHM42" s="13"/>
      <c r="JHN42" s="13"/>
      <c r="JHO42" s="13"/>
      <c r="JHP42" s="13"/>
      <c r="JHQ42" s="13"/>
      <c r="JHR42" s="13"/>
      <c r="JHS42" s="13"/>
      <c r="JHT42" s="13"/>
      <c r="JHU42" s="13"/>
      <c r="JHV42" s="13"/>
      <c r="JHW42" s="13"/>
      <c r="JHX42" s="13"/>
      <c r="JHY42" s="13"/>
      <c r="JHZ42" s="13"/>
      <c r="JIA42" s="13"/>
      <c r="JIB42" s="13"/>
      <c r="JIC42" s="13"/>
      <c r="JID42" s="13"/>
      <c r="JIE42" s="13"/>
      <c r="JIF42" s="13"/>
      <c r="JIG42" s="13"/>
      <c r="JIH42" s="13"/>
      <c r="JII42" s="13"/>
      <c r="JIJ42" s="13"/>
      <c r="JIK42" s="13"/>
      <c r="JIL42" s="13"/>
      <c r="JIM42" s="13"/>
      <c r="JIN42" s="13"/>
      <c r="JIO42" s="13"/>
      <c r="JIP42" s="13"/>
      <c r="JIQ42" s="13"/>
      <c r="JIR42" s="13"/>
      <c r="JIS42" s="13"/>
      <c r="JIT42" s="13"/>
      <c r="JIU42" s="13"/>
      <c r="JIV42" s="13"/>
      <c r="JIW42" s="13"/>
      <c r="JIX42" s="13"/>
      <c r="JIY42" s="13"/>
      <c r="JIZ42" s="13"/>
      <c r="JJA42" s="13"/>
      <c r="JJB42" s="13"/>
      <c r="JJC42" s="13"/>
      <c r="JJD42" s="13"/>
      <c r="JJE42" s="13"/>
      <c r="JJF42" s="13"/>
      <c r="JJG42" s="13"/>
      <c r="JJH42" s="13"/>
      <c r="JJI42" s="13"/>
      <c r="JJJ42" s="13"/>
      <c r="JJK42" s="13"/>
      <c r="JJL42" s="13"/>
      <c r="JJM42" s="13"/>
      <c r="JJN42" s="13"/>
      <c r="JJO42" s="13"/>
      <c r="JJP42" s="13"/>
      <c r="JJQ42" s="13"/>
      <c r="JJR42" s="13"/>
      <c r="JJS42" s="13"/>
      <c r="JJT42" s="13"/>
      <c r="JJU42" s="13"/>
      <c r="JJV42" s="13"/>
      <c r="JJW42" s="13"/>
      <c r="JJX42" s="13"/>
      <c r="JJY42" s="13"/>
      <c r="JJZ42" s="13"/>
      <c r="JKA42" s="13"/>
      <c r="JKB42" s="13"/>
      <c r="JKC42" s="13"/>
      <c r="JKD42" s="13"/>
      <c r="JKE42" s="13"/>
      <c r="JKF42" s="13"/>
      <c r="JKG42" s="13"/>
      <c r="JKH42" s="13"/>
      <c r="JKI42" s="13"/>
      <c r="JKJ42" s="13"/>
      <c r="JKK42" s="13"/>
      <c r="JKL42" s="13"/>
      <c r="JKM42" s="13"/>
      <c r="JKN42" s="13"/>
      <c r="JKO42" s="13"/>
      <c r="JKP42" s="13"/>
      <c r="JKQ42" s="13"/>
      <c r="JKR42" s="13"/>
      <c r="JKS42" s="13"/>
      <c r="JKT42" s="13"/>
      <c r="JKU42" s="13"/>
      <c r="JKV42" s="13"/>
      <c r="JKW42" s="13"/>
      <c r="JKX42" s="13"/>
      <c r="JKY42" s="13"/>
      <c r="JKZ42" s="13"/>
      <c r="JLA42" s="13"/>
      <c r="JLB42" s="13"/>
      <c r="JLC42" s="13"/>
      <c r="JLD42" s="13"/>
      <c r="JLE42" s="13"/>
      <c r="JLF42" s="13"/>
      <c r="JLG42" s="13"/>
      <c r="JLH42" s="13"/>
      <c r="JLI42" s="13"/>
      <c r="JLJ42" s="13"/>
      <c r="JLK42" s="13"/>
      <c r="JLL42" s="13"/>
      <c r="JLM42" s="13"/>
      <c r="JLN42" s="13"/>
      <c r="JLO42" s="13"/>
      <c r="JLP42" s="13"/>
      <c r="JLQ42" s="13"/>
      <c r="JLR42" s="13"/>
      <c r="JLS42" s="13"/>
      <c r="JLT42" s="13"/>
      <c r="JLU42" s="13"/>
      <c r="JLV42" s="13"/>
      <c r="JLW42" s="13"/>
      <c r="JLX42" s="13"/>
      <c r="JLY42" s="13"/>
      <c r="JLZ42" s="13"/>
      <c r="JMA42" s="13"/>
      <c r="JMB42" s="13"/>
      <c r="JMC42" s="13"/>
      <c r="JMD42" s="13"/>
      <c r="JME42" s="13"/>
      <c r="JMF42" s="13"/>
      <c r="JMG42" s="13"/>
      <c r="JMH42" s="13"/>
      <c r="JMI42" s="13"/>
      <c r="JMJ42" s="13"/>
      <c r="JMK42" s="13"/>
      <c r="JML42" s="13"/>
      <c r="JMM42" s="13"/>
      <c r="JMN42" s="13"/>
      <c r="JMO42" s="13"/>
      <c r="JMP42" s="13"/>
      <c r="JMQ42" s="13"/>
      <c r="JMR42" s="13"/>
      <c r="JMS42" s="13"/>
      <c r="JMT42" s="13"/>
      <c r="JMU42" s="13"/>
      <c r="JMV42" s="13"/>
      <c r="JMW42" s="13"/>
      <c r="JMX42" s="13"/>
      <c r="JMY42" s="13"/>
      <c r="JMZ42" s="13"/>
      <c r="JNA42" s="13"/>
      <c r="JNB42" s="13"/>
      <c r="JNC42" s="13"/>
      <c r="JND42" s="13"/>
      <c r="JNE42" s="13"/>
      <c r="JNF42" s="13"/>
      <c r="JNG42" s="13"/>
      <c r="JNH42" s="13"/>
      <c r="JNI42" s="13"/>
      <c r="JNJ42" s="13"/>
      <c r="JNK42" s="13"/>
      <c r="JNL42" s="13"/>
      <c r="JNM42" s="13"/>
      <c r="JNN42" s="13"/>
      <c r="JNO42" s="13"/>
      <c r="JNP42" s="13"/>
      <c r="JNQ42" s="13"/>
      <c r="JNR42" s="13"/>
      <c r="JNS42" s="13"/>
      <c r="JNT42" s="13"/>
      <c r="JNU42" s="13"/>
      <c r="JNV42" s="13"/>
      <c r="JNW42" s="13"/>
      <c r="JNX42" s="13"/>
      <c r="JNY42" s="13"/>
      <c r="JNZ42" s="13"/>
      <c r="JOA42" s="13"/>
      <c r="JOB42" s="13"/>
      <c r="JOC42" s="13"/>
      <c r="JOD42" s="13"/>
      <c r="JOE42" s="13"/>
      <c r="JOF42" s="13"/>
      <c r="JOG42" s="13"/>
      <c r="JOH42" s="13"/>
      <c r="JOI42" s="13"/>
      <c r="JOJ42" s="13"/>
      <c r="JOK42" s="13"/>
      <c r="JOL42" s="13"/>
      <c r="JOM42" s="13"/>
      <c r="JON42" s="13"/>
      <c r="JOO42" s="13"/>
      <c r="JOP42" s="13"/>
      <c r="JOQ42" s="13"/>
      <c r="JOR42" s="13"/>
      <c r="JOS42" s="13"/>
      <c r="JOT42" s="13"/>
      <c r="JOU42" s="13"/>
      <c r="JOV42" s="13"/>
      <c r="JOW42" s="13"/>
      <c r="JOX42" s="13"/>
      <c r="JOY42" s="13"/>
      <c r="JOZ42" s="13"/>
      <c r="JPA42" s="13"/>
      <c r="JPB42" s="13"/>
      <c r="JPC42" s="13"/>
      <c r="JPD42" s="13"/>
      <c r="JPE42" s="13"/>
      <c r="JPF42" s="13"/>
      <c r="JPG42" s="13"/>
      <c r="JPH42" s="13"/>
      <c r="JPI42" s="13"/>
      <c r="JPJ42" s="13"/>
      <c r="JPK42" s="13"/>
      <c r="JPL42" s="13"/>
      <c r="JPM42" s="13"/>
      <c r="JPN42" s="13"/>
      <c r="JPO42" s="13"/>
      <c r="JPP42" s="13"/>
      <c r="JPQ42" s="13"/>
      <c r="JPR42" s="13"/>
      <c r="JPS42" s="13"/>
      <c r="JPT42" s="13"/>
      <c r="JPU42" s="13"/>
      <c r="JPV42" s="13"/>
      <c r="JPW42" s="13"/>
      <c r="JPX42" s="13"/>
      <c r="JPY42" s="13"/>
      <c r="JPZ42" s="13"/>
      <c r="JQA42" s="13"/>
      <c r="JQB42" s="13"/>
      <c r="JQC42" s="13"/>
      <c r="JQD42" s="13"/>
      <c r="JQE42" s="13"/>
      <c r="JQF42" s="13"/>
      <c r="JQG42" s="13"/>
      <c r="JQH42" s="13"/>
      <c r="JQI42" s="13"/>
      <c r="JQJ42" s="13"/>
      <c r="JQK42" s="13"/>
      <c r="JQL42" s="13"/>
      <c r="JQM42" s="13"/>
      <c r="JQN42" s="13"/>
      <c r="JQO42" s="13"/>
      <c r="JQP42" s="13"/>
      <c r="JQQ42" s="13"/>
      <c r="JQR42" s="13"/>
      <c r="JQS42" s="13"/>
      <c r="JQT42" s="13"/>
      <c r="JQU42" s="13"/>
      <c r="JQV42" s="13"/>
      <c r="JQW42" s="13"/>
      <c r="JQX42" s="13"/>
      <c r="JQY42" s="13"/>
      <c r="JQZ42" s="13"/>
      <c r="JRA42" s="13"/>
      <c r="JRB42" s="13"/>
      <c r="JRC42" s="13"/>
      <c r="JRD42" s="13"/>
      <c r="JRE42" s="13"/>
      <c r="JRF42" s="13"/>
      <c r="JRG42" s="13"/>
      <c r="JRH42" s="13"/>
      <c r="JRI42" s="13"/>
      <c r="JRJ42" s="13"/>
      <c r="JRK42" s="13"/>
      <c r="JRL42" s="13"/>
      <c r="JRM42" s="13"/>
      <c r="JRN42" s="13"/>
      <c r="JRO42" s="13"/>
      <c r="JRP42" s="13"/>
      <c r="JRQ42" s="13"/>
      <c r="JRR42" s="13"/>
      <c r="JRS42" s="13"/>
      <c r="JRT42" s="13"/>
      <c r="JRU42" s="13"/>
      <c r="JRV42" s="13"/>
      <c r="JRW42" s="13"/>
      <c r="JRX42" s="13"/>
      <c r="JRY42" s="13"/>
      <c r="JRZ42" s="13"/>
      <c r="JSA42" s="13"/>
      <c r="JSB42" s="13"/>
      <c r="JSC42" s="13"/>
      <c r="JSD42" s="13"/>
      <c r="JSE42" s="13"/>
      <c r="JSF42" s="13"/>
      <c r="JSG42" s="13"/>
      <c r="JSH42" s="13"/>
      <c r="JSI42" s="13"/>
      <c r="JSJ42" s="13"/>
      <c r="JSK42" s="13"/>
      <c r="JSL42" s="13"/>
      <c r="JSM42" s="13"/>
      <c r="JSN42" s="13"/>
      <c r="JSO42" s="13"/>
      <c r="JSP42" s="13"/>
      <c r="JSQ42" s="13"/>
      <c r="JSR42" s="13"/>
      <c r="JSS42" s="13"/>
      <c r="JST42" s="13"/>
      <c r="JSU42" s="13"/>
      <c r="JSV42" s="13"/>
      <c r="JSW42" s="13"/>
      <c r="JSX42" s="13"/>
      <c r="JSY42" s="13"/>
      <c r="JSZ42" s="13"/>
      <c r="JTA42" s="13"/>
      <c r="JTB42" s="13"/>
      <c r="JTC42" s="13"/>
      <c r="JTD42" s="13"/>
      <c r="JTE42" s="13"/>
      <c r="JTF42" s="13"/>
      <c r="JTG42" s="13"/>
      <c r="JTH42" s="13"/>
      <c r="JTI42" s="13"/>
      <c r="JTJ42" s="13"/>
      <c r="JTK42" s="13"/>
      <c r="JTL42" s="13"/>
      <c r="JTM42" s="13"/>
      <c r="JTN42" s="13"/>
      <c r="JTO42" s="13"/>
      <c r="JTP42" s="13"/>
      <c r="JTQ42" s="13"/>
      <c r="JTR42" s="13"/>
      <c r="JTS42" s="13"/>
      <c r="JTT42" s="13"/>
      <c r="JTU42" s="13"/>
      <c r="JTV42" s="13"/>
      <c r="JTW42" s="13"/>
      <c r="JTX42" s="13"/>
      <c r="JTY42" s="13"/>
      <c r="JTZ42" s="13"/>
      <c r="JUA42" s="13"/>
      <c r="JUB42" s="13"/>
      <c r="JUC42" s="13"/>
      <c r="JUD42" s="13"/>
      <c r="JUE42" s="13"/>
      <c r="JUF42" s="13"/>
      <c r="JUG42" s="13"/>
      <c r="JUH42" s="13"/>
      <c r="JUI42" s="13"/>
      <c r="JUJ42" s="13"/>
      <c r="JUK42" s="13"/>
      <c r="JUL42" s="13"/>
      <c r="JUM42" s="13"/>
      <c r="JUN42" s="13"/>
      <c r="JUO42" s="13"/>
      <c r="JUP42" s="13"/>
      <c r="JUQ42" s="13"/>
      <c r="JUR42" s="13"/>
      <c r="JUS42" s="13"/>
      <c r="JUT42" s="13"/>
      <c r="JUU42" s="13"/>
      <c r="JUV42" s="13"/>
      <c r="JUW42" s="13"/>
      <c r="JUX42" s="13"/>
      <c r="JUY42" s="13"/>
      <c r="JUZ42" s="13"/>
      <c r="JVA42" s="13"/>
      <c r="JVB42" s="13"/>
      <c r="JVC42" s="13"/>
      <c r="JVD42" s="13"/>
      <c r="JVE42" s="13"/>
      <c r="JVF42" s="13"/>
      <c r="JVG42" s="13"/>
      <c r="JVH42" s="13"/>
      <c r="JVI42" s="13"/>
      <c r="JVJ42" s="13"/>
      <c r="JVK42" s="13"/>
      <c r="JVL42" s="13"/>
      <c r="JVM42" s="13"/>
      <c r="JVN42" s="13"/>
      <c r="JVO42" s="13"/>
      <c r="JVP42" s="13"/>
      <c r="JVQ42" s="13"/>
      <c r="JVR42" s="13"/>
      <c r="JVS42" s="13"/>
      <c r="JVT42" s="13"/>
      <c r="JVU42" s="13"/>
      <c r="JVV42" s="13"/>
      <c r="JVW42" s="13"/>
      <c r="JVX42" s="13"/>
      <c r="JVY42" s="13"/>
      <c r="JVZ42" s="13"/>
      <c r="JWA42" s="13"/>
      <c r="JWB42" s="13"/>
      <c r="JWC42" s="13"/>
      <c r="JWD42" s="13"/>
      <c r="JWE42" s="13"/>
      <c r="JWF42" s="13"/>
      <c r="JWG42" s="13"/>
      <c r="JWH42" s="13"/>
      <c r="JWI42" s="13"/>
      <c r="JWJ42" s="13"/>
      <c r="JWK42" s="13"/>
      <c r="JWL42" s="13"/>
      <c r="JWM42" s="13"/>
      <c r="JWN42" s="13"/>
      <c r="JWO42" s="13"/>
      <c r="JWP42" s="13"/>
      <c r="JWQ42" s="13"/>
      <c r="JWR42" s="13"/>
      <c r="JWS42" s="13"/>
      <c r="JWT42" s="13"/>
      <c r="JWU42" s="13"/>
      <c r="JWV42" s="13"/>
      <c r="JWW42" s="13"/>
      <c r="JWX42" s="13"/>
      <c r="JWY42" s="13"/>
      <c r="JWZ42" s="13"/>
      <c r="JXA42" s="13"/>
      <c r="JXB42" s="13"/>
      <c r="JXC42" s="13"/>
      <c r="JXD42" s="13"/>
      <c r="JXE42" s="13"/>
      <c r="JXF42" s="13"/>
      <c r="JXG42" s="13"/>
      <c r="JXH42" s="13"/>
      <c r="JXI42" s="13"/>
      <c r="JXJ42" s="13"/>
      <c r="JXK42" s="13"/>
      <c r="JXL42" s="13"/>
      <c r="JXM42" s="13"/>
      <c r="JXN42" s="13"/>
      <c r="JXO42" s="13"/>
      <c r="JXP42" s="13"/>
      <c r="JXQ42" s="13"/>
      <c r="JXR42" s="13"/>
      <c r="JXS42" s="13"/>
      <c r="JXT42" s="13"/>
      <c r="JXU42" s="13"/>
      <c r="JXV42" s="13"/>
      <c r="JXW42" s="13"/>
      <c r="JXX42" s="13"/>
      <c r="JXY42" s="13"/>
      <c r="JXZ42" s="13"/>
      <c r="JYA42" s="13"/>
      <c r="JYB42" s="13"/>
      <c r="JYC42" s="13"/>
      <c r="JYD42" s="13"/>
      <c r="JYE42" s="13"/>
      <c r="JYF42" s="13"/>
      <c r="JYG42" s="13"/>
      <c r="JYH42" s="13"/>
      <c r="JYI42" s="13"/>
      <c r="JYJ42" s="13"/>
      <c r="JYK42" s="13"/>
      <c r="JYL42" s="13"/>
      <c r="JYM42" s="13"/>
      <c r="JYN42" s="13"/>
      <c r="JYO42" s="13"/>
      <c r="JYP42" s="13"/>
      <c r="JYQ42" s="13"/>
      <c r="JYR42" s="13"/>
      <c r="JYS42" s="13"/>
      <c r="JYT42" s="13"/>
      <c r="JYU42" s="13"/>
      <c r="JYV42" s="13"/>
      <c r="JYW42" s="13"/>
      <c r="JYX42" s="13"/>
      <c r="JYY42" s="13"/>
      <c r="JYZ42" s="13"/>
      <c r="JZA42" s="13"/>
      <c r="JZB42" s="13"/>
      <c r="JZC42" s="13"/>
      <c r="JZD42" s="13"/>
      <c r="JZE42" s="13"/>
      <c r="JZF42" s="13"/>
      <c r="JZG42" s="13"/>
      <c r="JZH42" s="13"/>
      <c r="JZI42" s="13"/>
      <c r="JZJ42" s="13"/>
      <c r="JZK42" s="13"/>
      <c r="JZL42" s="13"/>
      <c r="JZM42" s="13"/>
      <c r="JZN42" s="13"/>
      <c r="JZO42" s="13"/>
      <c r="JZP42" s="13"/>
      <c r="JZQ42" s="13"/>
      <c r="JZR42" s="13"/>
      <c r="JZS42" s="13"/>
      <c r="JZT42" s="13"/>
      <c r="JZU42" s="13"/>
      <c r="JZV42" s="13"/>
      <c r="JZW42" s="13"/>
      <c r="JZX42" s="13"/>
      <c r="JZY42" s="13"/>
      <c r="JZZ42" s="13"/>
      <c r="KAA42" s="13"/>
      <c r="KAB42" s="13"/>
      <c r="KAC42" s="13"/>
      <c r="KAD42" s="13"/>
      <c r="KAE42" s="13"/>
      <c r="KAF42" s="13"/>
      <c r="KAG42" s="13"/>
      <c r="KAH42" s="13"/>
      <c r="KAI42" s="13"/>
      <c r="KAJ42" s="13"/>
      <c r="KAK42" s="13"/>
      <c r="KAL42" s="13"/>
      <c r="KAM42" s="13"/>
      <c r="KAN42" s="13"/>
      <c r="KAO42" s="13"/>
      <c r="KAP42" s="13"/>
      <c r="KAQ42" s="13"/>
      <c r="KAR42" s="13"/>
      <c r="KAS42" s="13"/>
      <c r="KAT42" s="13"/>
      <c r="KAU42" s="13"/>
      <c r="KAV42" s="13"/>
      <c r="KAW42" s="13"/>
      <c r="KAX42" s="13"/>
      <c r="KAY42" s="13"/>
      <c r="KAZ42" s="13"/>
      <c r="KBA42" s="13"/>
      <c r="KBB42" s="13"/>
      <c r="KBC42" s="13"/>
      <c r="KBD42" s="13"/>
      <c r="KBE42" s="13"/>
      <c r="KBF42" s="13"/>
      <c r="KBG42" s="13"/>
      <c r="KBH42" s="13"/>
      <c r="KBI42" s="13"/>
      <c r="KBJ42" s="13"/>
      <c r="KBK42" s="13"/>
      <c r="KBL42" s="13"/>
      <c r="KBM42" s="13"/>
      <c r="KBN42" s="13"/>
      <c r="KBO42" s="13"/>
      <c r="KBP42" s="13"/>
      <c r="KBQ42" s="13"/>
      <c r="KBR42" s="13"/>
      <c r="KBS42" s="13"/>
      <c r="KBT42" s="13"/>
      <c r="KBU42" s="13"/>
      <c r="KBV42" s="13"/>
      <c r="KBW42" s="13"/>
      <c r="KBX42" s="13"/>
      <c r="KBY42" s="13"/>
      <c r="KBZ42" s="13"/>
      <c r="KCA42" s="13"/>
      <c r="KCB42" s="13"/>
      <c r="KCC42" s="13"/>
      <c r="KCD42" s="13"/>
      <c r="KCE42" s="13"/>
      <c r="KCF42" s="13"/>
      <c r="KCG42" s="13"/>
      <c r="KCH42" s="13"/>
      <c r="KCI42" s="13"/>
      <c r="KCJ42" s="13"/>
      <c r="KCK42" s="13"/>
      <c r="KCL42" s="13"/>
      <c r="KCM42" s="13"/>
      <c r="KCN42" s="13"/>
      <c r="KCO42" s="13"/>
      <c r="KCP42" s="13"/>
      <c r="KCQ42" s="13"/>
      <c r="KCR42" s="13"/>
      <c r="KCS42" s="13"/>
      <c r="KCT42" s="13"/>
      <c r="KCU42" s="13"/>
      <c r="KCV42" s="13"/>
      <c r="KCW42" s="13"/>
      <c r="KCX42" s="13"/>
      <c r="KCY42" s="13"/>
      <c r="KCZ42" s="13"/>
      <c r="KDA42" s="13"/>
      <c r="KDB42" s="13"/>
      <c r="KDC42" s="13"/>
      <c r="KDD42" s="13"/>
      <c r="KDE42" s="13"/>
      <c r="KDF42" s="13"/>
      <c r="KDG42" s="13"/>
      <c r="KDH42" s="13"/>
      <c r="KDI42" s="13"/>
      <c r="KDJ42" s="13"/>
      <c r="KDK42" s="13"/>
      <c r="KDL42" s="13"/>
      <c r="KDM42" s="13"/>
      <c r="KDN42" s="13"/>
      <c r="KDO42" s="13"/>
      <c r="KDP42" s="13"/>
      <c r="KDQ42" s="13"/>
      <c r="KDR42" s="13"/>
      <c r="KDS42" s="13"/>
      <c r="KDT42" s="13"/>
      <c r="KDU42" s="13"/>
      <c r="KDV42" s="13"/>
      <c r="KDW42" s="13"/>
      <c r="KDX42" s="13"/>
      <c r="KDY42" s="13"/>
      <c r="KDZ42" s="13"/>
      <c r="KEA42" s="13"/>
      <c r="KEB42" s="13"/>
      <c r="KEC42" s="13"/>
      <c r="KED42" s="13"/>
      <c r="KEE42" s="13"/>
      <c r="KEF42" s="13"/>
      <c r="KEG42" s="13"/>
      <c r="KEH42" s="13"/>
      <c r="KEI42" s="13"/>
      <c r="KEJ42" s="13"/>
      <c r="KEK42" s="13"/>
      <c r="KEL42" s="13"/>
      <c r="KEM42" s="13"/>
      <c r="KEN42" s="13"/>
      <c r="KEO42" s="13"/>
      <c r="KEP42" s="13"/>
      <c r="KEQ42" s="13"/>
      <c r="KER42" s="13"/>
      <c r="KES42" s="13"/>
      <c r="KET42" s="13"/>
      <c r="KEU42" s="13"/>
      <c r="KEV42" s="13"/>
      <c r="KEW42" s="13"/>
      <c r="KEX42" s="13"/>
      <c r="KEY42" s="13"/>
      <c r="KEZ42" s="13"/>
      <c r="KFA42" s="13"/>
      <c r="KFB42" s="13"/>
      <c r="KFC42" s="13"/>
      <c r="KFD42" s="13"/>
      <c r="KFE42" s="13"/>
      <c r="KFF42" s="13"/>
      <c r="KFG42" s="13"/>
      <c r="KFH42" s="13"/>
      <c r="KFI42" s="13"/>
      <c r="KFJ42" s="13"/>
      <c r="KFK42" s="13"/>
      <c r="KFL42" s="13"/>
      <c r="KFM42" s="13"/>
      <c r="KFN42" s="13"/>
      <c r="KFO42" s="13"/>
      <c r="KFP42" s="13"/>
      <c r="KFQ42" s="13"/>
      <c r="KFR42" s="13"/>
      <c r="KFS42" s="13"/>
      <c r="KFT42" s="13"/>
      <c r="KFU42" s="13"/>
      <c r="KFV42" s="13"/>
      <c r="KFW42" s="13"/>
      <c r="KFX42" s="13"/>
      <c r="KFY42" s="13"/>
      <c r="KFZ42" s="13"/>
      <c r="KGA42" s="13"/>
      <c r="KGB42" s="13"/>
      <c r="KGC42" s="13"/>
      <c r="KGD42" s="13"/>
      <c r="KGE42" s="13"/>
      <c r="KGF42" s="13"/>
      <c r="KGG42" s="13"/>
      <c r="KGH42" s="13"/>
      <c r="KGI42" s="13"/>
      <c r="KGJ42" s="13"/>
      <c r="KGK42" s="13"/>
      <c r="KGL42" s="13"/>
      <c r="KGM42" s="13"/>
      <c r="KGN42" s="13"/>
      <c r="KGO42" s="13"/>
      <c r="KGP42" s="13"/>
      <c r="KGQ42" s="13"/>
      <c r="KGR42" s="13"/>
      <c r="KGS42" s="13"/>
      <c r="KGT42" s="13"/>
      <c r="KGU42" s="13"/>
      <c r="KGV42" s="13"/>
      <c r="KGW42" s="13"/>
      <c r="KGX42" s="13"/>
      <c r="KGY42" s="13"/>
      <c r="KGZ42" s="13"/>
      <c r="KHA42" s="13"/>
      <c r="KHB42" s="13"/>
      <c r="KHC42" s="13"/>
      <c r="KHD42" s="13"/>
      <c r="KHE42" s="13"/>
      <c r="KHF42" s="13"/>
      <c r="KHG42" s="13"/>
      <c r="KHH42" s="13"/>
      <c r="KHI42" s="13"/>
      <c r="KHJ42" s="13"/>
      <c r="KHK42" s="13"/>
      <c r="KHL42" s="13"/>
      <c r="KHM42" s="13"/>
      <c r="KHN42" s="13"/>
      <c r="KHO42" s="13"/>
      <c r="KHP42" s="13"/>
      <c r="KHQ42" s="13"/>
      <c r="KHR42" s="13"/>
      <c r="KHS42" s="13"/>
      <c r="KHT42" s="13"/>
      <c r="KHU42" s="13"/>
      <c r="KHV42" s="13"/>
      <c r="KHW42" s="13"/>
      <c r="KHX42" s="13"/>
      <c r="KHY42" s="13"/>
      <c r="KHZ42" s="13"/>
      <c r="KIA42" s="13"/>
      <c r="KIB42" s="13"/>
      <c r="KIC42" s="13"/>
      <c r="KID42" s="13"/>
      <c r="KIE42" s="13"/>
      <c r="KIF42" s="13"/>
      <c r="KIG42" s="13"/>
      <c r="KIH42" s="13"/>
      <c r="KII42" s="13"/>
      <c r="KIJ42" s="13"/>
      <c r="KIK42" s="13"/>
      <c r="KIL42" s="13"/>
      <c r="KIM42" s="13"/>
      <c r="KIN42" s="13"/>
      <c r="KIO42" s="13"/>
      <c r="KIP42" s="13"/>
      <c r="KIQ42" s="13"/>
      <c r="KIR42" s="13"/>
      <c r="KIS42" s="13"/>
      <c r="KIT42" s="13"/>
      <c r="KIU42" s="13"/>
      <c r="KIV42" s="13"/>
      <c r="KIW42" s="13"/>
      <c r="KIX42" s="13"/>
      <c r="KIY42" s="13"/>
      <c r="KIZ42" s="13"/>
      <c r="KJA42" s="13"/>
      <c r="KJB42" s="13"/>
      <c r="KJC42" s="13"/>
      <c r="KJD42" s="13"/>
      <c r="KJE42" s="13"/>
      <c r="KJF42" s="13"/>
      <c r="KJG42" s="13"/>
      <c r="KJH42" s="13"/>
      <c r="KJI42" s="13"/>
      <c r="KJJ42" s="13"/>
      <c r="KJK42" s="13"/>
      <c r="KJL42" s="13"/>
      <c r="KJM42" s="13"/>
      <c r="KJN42" s="13"/>
      <c r="KJO42" s="13"/>
      <c r="KJP42" s="13"/>
      <c r="KJQ42" s="13"/>
      <c r="KJR42" s="13"/>
      <c r="KJS42" s="13"/>
      <c r="KJT42" s="13"/>
      <c r="KJU42" s="13"/>
      <c r="KJV42" s="13"/>
      <c r="KJW42" s="13"/>
      <c r="KJX42" s="13"/>
      <c r="KJY42" s="13"/>
      <c r="KJZ42" s="13"/>
      <c r="KKA42" s="13"/>
      <c r="KKB42" s="13"/>
      <c r="KKC42" s="13"/>
      <c r="KKD42" s="13"/>
      <c r="KKE42" s="13"/>
      <c r="KKF42" s="13"/>
      <c r="KKG42" s="13"/>
      <c r="KKH42" s="13"/>
      <c r="KKI42" s="13"/>
      <c r="KKJ42" s="13"/>
      <c r="KKK42" s="13"/>
      <c r="KKL42" s="13"/>
      <c r="KKM42" s="13"/>
      <c r="KKN42" s="13"/>
      <c r="KKO42" s="13"/>
      <c r="KKP42" s="13"/>
      <c r="KKQ42" s="13"/>
      <c r="KKR42" s="13"/>
      <c r="KKS42" s="13"/>
      <c r="KKT42" s="13"/>
      <c r="KKU42" s="13"/>
      <c r="KKV42" s="13"/>
      <c r="KKW42" s="13"/>
      <c r="KKX42" s="13"/>
      <c r="KKY42" s="13"/>
      <c r="KKZ42" s="13"/>
      <c r="KLA42" s="13"/>
      <c r="KLB42" s="13"/>
      <c r="KLC42" s="13"/>
      <c r="KLD42" s="13"/>
      <c r="KLE42" s="13"/>
      <c r="KLF42" s="13"/>
      <c r="KLG42" s="13"/>
      <c r="KLH42" s="13"/>
      <c r="KLI42" s="13"/>
      <c r="KLJ42" s="13"/>
      <c r="KLK42" s="13"/>
      <c r="KLL42" s="13"/>
      <c r="KLM42" s="13"/>
      <c r="KLN42" s="13"/>
      <c r="KLO42" s="13"/>
      <c r="KLP42" s="13"/>
      <c r="KLQ42" s="13"/>
      <c r="KLR42" s="13"/>
      <c r="KLS42" s="13"/>
      <c r="KLT42" s="13"/>
      <c r="KLU42" s="13"/>
      <c r="KLV42" s="13"/>
      <c r="KLW42" s="13"/>
      <c r="KLX42" s="13"/>
      <c r="KLY42" s="13"/>
      <c r="KLZ42" s="13"/>
      <c r="KMA42" s="13"/>
      <c r="KMB42" s="13"/>
      <c r="KMC42" s="13"/>
      <c r="KMD42" s="13"/>
      <c r="KME42" s="13"/>
      <c r="KMF42" s="13"/>
      <c r="KMG42" s="13"/>
      <c r="KMH42" s="13"/>
      <c r="KMI42" s="13"/>
      <c r="KMJ42" s="13"/>
      <c r="KMK42" s="13"/>
      <c r="KML42" s="13"/>
      <c r="KMM42" s="13"/>
      <c r="KMN42" s="13"/>
      <c r="KMO42" s="13"/>
      <c r="KMP42" s="13"/>
      <c r="KMQ42" s="13"/>
      <c r="KMR42" s="13"/>
      <c r="KMS42" s="13"/>
      <c r="KMT42" s="13"/>
      <c r="KMU42" s="13"/>
      <c r="KMV42" s="13"/>
      <c r="KMW42" s="13"/>
      <c r="KMX42" s="13"/>
      <c r="KMY42" s="13"/>
      <c r="KMZ42" s="13"/>
      <c r="KNA42" s="13"/>
      <c r="KNB42" s="13"/>
      <c r="KNC42" s="13"/>
      <c r="KND42" s="13"/>
      <c r="KNE42" s="13"/>
      <c r="KNF42" s="13"/>
      <c r="KNG42" s="13"/>
      <c r="KNH42" s="13"/>
      <c r="KNI42" s="13"/>
      <c r="KNJ42" s="13"/>
      <c r="KNK42" s="13"/>
      <c r="KNL42" s="13"/>
      <c r="KNM42" s="13"/>
      <c r="KNN42" s="13"/>
      <c r="KNO42" s="13"/>
      <c r="KNP42" s="13"/>
      <c r="KNQ42" s="13"/>
      <c r="KNR42" s="13"/>
      <c r="KNS42" s="13"/>
      <c r="KNT42" s="13"/>
      <c r="KNU42" s="13"/>
      <c r="KNV42" s="13"/>
      <c r="KNW42" s="13"/>
      <c r="KNX42" s="13"/>
      <c r="KNY42" s="13"/>
      <c r="KNZ42" s="13"/>
      <c r="KOA42" s="13"/>
      <c r="KOB42" s="13"/>
      <c r="KOC42" s="13"/>
      <c r="KOD42" s="13"/>
      <c r="KOE42" s="13"/>
      <c r="KOF42" s="13"/>
      <c r="KOG42" s="13"/>
      <c r="KOH42" s="13"/>
      <c r="KOI42" s="13"/>
      <c r="KOJ42" s="13"/>
      <c r="KOK42" s="13"/>
      <c r="KOL42" s="13"/>
      <c r="KOM42" s="13"/>
      <c r="KON42" s="13"/>
      <c r="KOO42" s="13"/>
      <c r="KOP42" s="13"/>
      <c r="KOQ42" s="13"/>
      <c r="KOR42" s="13"/>
      <c r="KOS42" s="13"/>
      <c r="KOT42" s="13"/>
      <c r="KOU42" s="13"/>
      <c r="KOV42" s="13"/>
      <c r="KOW42" s="13"/>
      <c r="KOX42" s="13"/>
      <c r="KOY42" s="13"/>
      <c r="KOZ42" s="13"/>
      <c r="KPA42" s="13"/>
      <c r="KPB42" s="13"/>
      <c r="KPC42" s="13"/>
      <c r="KPD42" s="13"/>
      <c r="KPE42" s="13"/>
      <c r="KPF42" s="13"/>
      <c r="KPG42" s="13"/>
      <c r="KPH42" s="13"/>
      <c r="KPI42" s="13"/>
      <c r="KPJ42" s="13"/>
      <c r="KPK42" s="13"/>
      <c r="KPL42" s="13"/>
      <c r="KPM42" s="13"/>
      <c r="KPN42" s="13"/>
      <c r="KPO42" s="13"/>
      <c r="KPP42" s="13"/>
      <c r="KPQ42" s="13"/>
      <c r="KPR42" s="13"/>
      <c r="KPS42" s="13"/>
      <c r="KPT42" s="13"/>
      <c r="KPU42" s="13"/>
      <c r="KPV42" s="13"/>
      <c r="KPW42" s="13"/>
      <c r="KPX42" s="13"/>
      <c r="KPY42" s="13"/>
      <c r="KPZ42" s="13"/>
      <c r="KQA42" s="13"/>
      <c r="KQB42" s="13"/>
      <c r="KQC42" s="13"/>
      <c r="KQD42" s="13"/>
      <c r="KQE42" s="13"/>
      <c r="KQF42" s="13"/>
      <c r="KQG42" s="13"/>
      <c r="KQH42" s="13"/>
      <c r="KQI42" s="13"/>
      <c r="KQJ42" s="13"/>
      <c r="KQK42" s="13"/>
      <c r="KQL42" s="13"/>
      <c r="KQM42" s="13"/>
      <c r="KQN42" s="13"/>
      <c r="KQO42" s="13"/>
      <c r="KQP42" s="13"/>
      <c r="KQQ42" s="13"/>
      <c r="KQR42" s="13"/>
      <c r="KQS42" s="13"/>
      <c r="KQT42" s="13"/>
      <c r="KQU42" s="13"/>
      <c r="KQV42" s="13"/>
      <c r="KQW42" s="13"/>
      <c r="KQX42" s="13"/>
      <c r="KQY42" s="13"/>
      <c r="KQZ42" s="13"/>
      <c r="KRA42" s="13"/>
      <c r="KRB42" s="13"/>
      <c r="KRC42" s="13"/>
      <c r="KRD42" s="13"/>
      <c r="KRE42" s="13"/>
      <c r="KRF42" s="13"/>
      <c r="KRG42" s="13"/>
      <c r="KRH42" s="13"/>
      <c r="KRI42" s="13"/>
      <c r="KRJ42" s="13"/>
      <c r="KRK42" s="13"/>
      <c r="KRL42" s="13"/>
      <c r="KRM42" s="13"/>
      <c r="KRN42" s="13"/>
      <c r="KRO42" s="13"/>
      <c r="KRP42" s="13"/>
      <c r="KRQ42" s="13"/>
      <c r="KRR42" s="13"/>
      <c r="KRS42" s="13"/>
      <c r="KRT42" s="13"/>
      <c r="KRU42" s="13"/>
      <c r="KRV42" s="13"/>
      <c r="KRW42" s="13"/>
      <c r="KRX42" s="13"/>
      <c r="KRY42" s="13"/>
      <c r="KRZ42" s="13"/>
      <c r="KSA42" s="13"/>
      <c r="KSB42" s="13"/>
      <c r="KSC42" s="13"/>
      <c r="KSD42" s="13"/>
      <c r="KSE42" s="13"/>
      <c r="KSF42" s="13"/>
      <c r="KSG42" s="13"/>
      <c r="KSH42" s="13"/>
      <c r="KSI42" s="13"/>
      <c r="KSJ42" s="13"/>
      <c r="KSK42" s="13"/>
      <c r="KSL42" s="13"/>
      <c r="KSM42" s="13"/>
      <c r="KSN42" s="13"/>
      <c r="KSO42" s="13"/>
      <c r="KSP42" s="13"/>
      <c r="KSQ42" s="13"/>
      <c r="KSR42" s="13"/>
      <c r="KSS42" s="13"/>
      <c r="KST42" s="13"/>
      <c r="KSU42" s="13"/>
      <c r="KSV42" s="13"/>
      <c r="KSW42" s="13"/>
      <c r="KSX42" s="13"/>
      <c r="KSY42" s="13"/>
      <c r="KSZ42" s="13"/>
      <c r="KTA42" s="13"/>
      <c r="KTB42" s="13"/>
      <c r="KTC42" s="13"/>
      <c r="KTD42" s="13"/>
      <c r="KTE42" s="13"/>
      <c r="KTF42" s="13"/>
      <c r="KTG42" s="13"/>
      <c r="KTH42" s="13"/>
      <c r="KTI42" s="13"/>
      <c r="KTJ42" s="13"/>
      <c r="KTK42" s="13"/>
      <c r="KTL42" s="13"/>
      <c r="KTM42" s="13"/>
      <c r="KTN42" s="13"/>
      <c r="KTO42" s="13"/>
      <c r="KTP42" s="13"/>
      <c r="KTQ42" s="13"/>
      <c r="KTR42" s="13"/>
      <c r="KTS42" s="13"/>
      <c r="KTT42" s="13"/>
      <c r="KTU42" s="13"/>
      <c r="KTV42" s="13"/>
      <c r="KTW42" s="13"/>
      <c r="KTX42" s="13"/>
      <c r="KTY42" s="13"/>
      <c r="KTZ42" s="13"/>
      <c r="KUA42" s="13"/>
      <c r="KUB42" s="13"/>
      <c r="KUC42" s="13"/>
      <c r="KUD42" s="13"/>
      <c r="KUE42" s="13"/>
      <c r="KUF42" s="13"/>
      <c r="KUG42" s="13"/>
      <c r="KUH42" s="13"/>
      <c r="KUI42" s="13"/>
      <c r="KUJ42" s="13"/>
      <c r="KUK42" s="13"/>
      <c r="KUL42" s="13"/>
      <c r="KUM42" s="13"/>
      <c r="KUN42" s="13"/>
      <c r="KUO42" s="13"/>
      <c r="KUP42" s="13"/>
      <c r="KUQ42" s="13"/>
      <c r="KUR42" s="13"/>
      <c r="KUS42" s="13"/>
      <c r="KUT42" s="13"/>
      <c r="KUU42" s="13"/>
      <c r="KUV42" s="13"/>
      <c r="KUW42" s="13"/>
      <c r="KUX42" s="13"/>
      <c r="KUY42" s="13"/>
      <c r="KUZ42" s="13"/>
      <c r="KVA42" s="13"/>
      <c r="KVB42" s="13"/>
      <c r="KVC42" s="13"/>
      <c r="KVD42" s="13"/>
      <c r="KVE42" s="13"/>
      <c r="KVF42" s="13"/>
      <c r="KVG42" s="13"/>
      <c r="KVH42" s="13"/>
      <c r="KVI42" s="13"/>
      <c r="KVJ42" s="13"/>
      <c r="KVK42" s="13"/>
      <c r="KVL42" s="13"/>
      <c r="KVM42" s="13"/>
      <c r="KVN42" s="13"/>
      <c r="KVO42" s="13"/>
      <c r="KVP42" s="13"/>
      <c r="KVQ42" s="13"/>
      <c r="KVR42" s="13"/>
      <c r="KVS42" s="13"/>
      <c r="KVT42" s="13"/>
      <c r="KVU42" s="13"/>
      <c r="KVV42" s="13"/>
      <c r="KVW42" s="13"/>
      <c r="KVX42" s="13"/>
      <c r="KVY42" s="13"/>
      <c r="KVZ42" s="13"/>
      <c r="KWA42" s="13"/>
      <c r="KWB42" s="13"/>
      <c r="KWC42" s="13"/>
      <c r="KWD42" s="13"/>
      <c r="KWE42" s="13"/>
      <c r="KWF42" s="13"/>
      <c r="KWG42" s="13"/>
      <c r="KWH42" s="13"/>
      <c r="KWI42" s="13"/>
      <c r="KWJ42" s="13"/>
      <c r="KWK42" s="13"/>
      <c r="KWL42" s="13"/>
      <c r="KWM42" s="13"/>
      <c r="KWN42" s="13"/>
      <c r="KWO42" s="13"/>
      <c r="KWP42" s="13"/>
      <c r="KWQ42" s="13"/>
      <c r="KWR42" s="13"/>
      <c r="KWS42" s="13"/>
      <c r="KWT42" s="13"/>
      <c r="KWU42" s="13"/>
      <c r="KWV42" s="13"/>
      <c r="KWW42" s="13"/>
      <c r="KWX42" s="13"/>
      <c r="KWY42" s="13"/>
      <c r="KWZ42" s="13"/>
      <c r="KXA42" s="13"/>
      <c r="KXB42" s="13"/>
      <c r="KXC42" s="13"/>
      <c r="KXD42" s="13"/>
      <c r="KXE42" s="13"/>
      <c r="KXF42" s="13"/>
      <c r="KXG42" s="13"/>
      <c r="KXH42" s="13"/>
      <c r="KXI42" s="13"/>
      <c r="KXJ42" s="13"/>
      <c r="KXK42" s="13"/>
      <c r="KXL42" s="13"/>
      <c r="KXM42" s="13"/>
      <c r="KXN42" s="13"/>
      <c r="KXO42" s="13"/>
      <c r="KXP42" s="13"/>
      <c r="KXQ42" s="13"/>
      <c r="KXR42" s="13"/>
      <c r="KXS42" s="13"/>
      <c r="KXT42" s="13"/>
      <c r="KXU42" s="13"/>
      <c r="KXV42" s="13"/>
      <c r="KXW42" s="13"/>
      <c r="KXX42" s="13"/>
      <c r="KXY42" s="13"/>
      <c r="KXZ42" s="13"/>
      <c r="KYA42" s="13"/>
      <c r="KYB42" s="13"/>
      <c r="KYC42" s="13"/>
      <c r="KYD42" s="13"/>
      <c r="KYE42" s="13"/>
      <c r="KYF42" s="13"/>
      <c r="KYG42" s="13"/>
      <c r="KYH42" s="13"/>
      <c r="KYI42" s="13"/>
      <c r="KYJ42" s="13"/>
      <c r="KYK42" s="13"/>
      <c r="KYL42" s="13"/>
      <c r="KYM42" s="13"/>
      <c r="KYN42" s="13"/>
      <c r="KYO42" s="13"/>
      <c r="KYP42" s="13"/>
      <c r="KYQ42" s="13"/>
      <c r="KYR42" s="13"/>
      <c r="KYS42" s="13"/>
      <c r="KYT42" s="13"/>
      <c r="KYU42" s="13"/>
      <c r="KYV42" s="13"/>
      <c r="KYW42" s="13"/>
      <c r="KYX42" s="13"/>
      <c r="KYY42" s="13"/>
      <c r="KYZ42" s="13"/>
      <c r="KZA42" s="13"/>
      <c r="KZB42" s="13"/>
      <c r="KZC42" s="13"/>
      <c r="KZD42" s="13"/>
      <c r="KZE42" s="13"/>
      <c r="KZF42" s="13"/>
      <c r="KZG42" s="13"/>
      <c r="KZH42" s="13"/>
      <c r="KZI42" s="13"/>
      <c r="KZJ42" s="13"/>
      <c r="KZK42" s="13"/>
      <c r="KZL42" s="13"/>
      <c r="KZM42" s="13"/>
      <c r="KZN42" s="13"/>
      <c r="KZO42" s="13"/>
      <c r="KZP42" s="13"/>
      <c r="KZQ42" s="13"/>
      <c r="KZR42" s="13"/>
      <c r="KZS42" s="13"/>
      <c r="KZT42" s="13"/>
      <c r="KZU42" s="13"/>
      <c r="KZV42" s="13"/>
      <c r="KZW42" s="13"/>
      <c r="KZX42" s="13"/>
      <c r="KZY42" s="13"/>
      <c r="KZZ42" s="13"/>
      <c r="LAA42" s="13"/>
      <c r="LAB42" s="13"/>
      <c r="LAC42" s="13"/>
      <c r="LAD42" s="13"/>
      <c r="LAE42" s="13"/>
      <c r="LAF42" s="13"/>
      <c r="LAG42" s="13"/>
      <c r="LAH42" s="13"/>
      <c r="LAI42" s="13"/>
      <c r="LAJ42" s="13"/>
      <c r="LAK42" s="13"/>
      <c r="LAL42" s="13"/>
      <c r="LAM42" s="13"/>
      <c r="LAN42" s="13"/>
      <c r="LAO42" s="13"/>
      <c r="LAP42" s="13"/>
      <c r="LAQ42" s="13"/>
      <c r="LAR42" s="13"/>
      <c r="LAS42" s="13"/>
      <c r="LAT42" s="13"/>
      <c r="LAU42" s="13"/>
      <c r="LAV42" s="13"/>
      <c r="LAW42" s="13"/>
      <c r="LAX42" s="13"/>
      <c r="LAY42" s="13"/>
      <c r="LAZ42" s="13"/>
      <c r="LBA42" s="13"/>
      <c r="LBB42" s="13"/>
      <c r="LBC42" s="13"/>
      <c r="LBD42" s="13"/>
      <c r="LBE42" s="13"/>
      <c r="LBF42" s="13"/>
      <c r="LBG42" s="13"/>
      <c r="LBH42" s="13"/>
      <c r="LBI42" s="13"/>
      <c r="LBJ42" s="13"/>
      <c r="LBK42" s="13"/>
      <c r="LBL42" s="13"/>
      <c r="LBM42" s="13"/>
      <c r="LBN42" s="13"/>
      <c r="LBO42" s="13"/>
      <c r="LBP42" s="13"/>
      <c r="LBQ42" s="13"/>
      <c r="LBR42" s="13"/>
      <c r="LBS42" s="13"/>
      <c r="LBT42" s="13"/>
      <c r="LBU42" s="13"/>
      <c r="LBV42" s="13"/>
      <c r="LBW42" s="13"/>
      <c r="LBX42" s="13"/>
      <c r="LBY42" s="13"/>
      <c r="LBZ42" s="13"/>
      <c r="LCA42" s="13"/>
      <c r="LCB42" s="13"/>
      <c r="LCC42" s="13"/>
      <c r="LCD42" s="13"/>
      <c r="LCE42" s="13"/>
      <c r="LCF42" s="13"/>
      <c r="LCG42" s="13"/>
      <c r="LCH42" s="13"/>
      <c r="LCI42" s="13"/>
      <c r="LCJ42" s="13"/>
      <c r="LCK42" s="13"/>
      <c r="LCL42" s="13"/>
      <c r="LCM42" s="13"/>
      <c r="LCN42" s="13"/>
      <c r="LCO42" s="13"/>
      <c r="LCP42" s="13"/>
      <c r="LCQ42" s="13"/>
      <c r="LCR42" s="13"/>
      <c r="LCS42" s="13"/>
      <c r="LCT42" s="13"/>
      <c r="LCU42" s="13"/>
      <c r="LCV42" s="13"/>
      <c r="LCW42" s="13"/>
      <c r="LCX42" s="13"/>
      <c r="LCY42" s="13"/>
      <c r="LCZ42" s="13"/>
      <c r="LDA42" s="13"/>
      <c r="LDB42" s="13"/>
      <c r="LDC42" s="13"/>
      <c r="LDD42" s="13"/>
      <c r="LDE42" s="13"/>
      <c r="LDF42" s="13"/>
      <c r="LDG42" s="13"/>
      <c r="LDH42" s="13"/>
      <c r="LDI42" s="13"/>
      <c r="LDJ42" s="13"/>
      <c r="LDK42" s="13"/>
      <c r="LDL42" s="13"/>
      <c r="LDM42" s="13"/>
      <c r="LDN42" s="13"/>
      <c r="LDO42" s="13"/>
      <c r="LDP42" s="13"/>
      <c r="LDQ42" s="13"/>
      <c r="LDR42" s="13"/>
      <c r="LDS42" s="13"/>
      <c r="LDT42" s="13"/>
      <c r="LDU42" s="13"/>
      <c r="LDV42" s="13"/>
      <c r="LDW42" s="13"/>
      <c r="LDX42" s="13"/>
      <c r="LDY42" s="13"/>
      <c r="LDZ42" s="13"/>
      <c r="LEA42" s="13"/>
      <c r="LEB42" s="13"/>
      <c r="LEC42" s="13"/>
      <c r="LED42" s="13"/>
      <c r="LEE42" s="13"/>
      <c r="LEF42" s="13"/>
      <c r="LEG42" s="13"/>
      <c r="LEH42" s="13"/>
      <c r="LEI42" s="13"/>
      <c r="LEJ42" s="13"/>
      <c r="LEK42" s="13"/>
      <c r="LEL42" s="13"/>
      <c r="LEM42" s="13"/>
      <c r="LEN42" s="13"/>
      <c r="LEO42" s="13"/>
      <c r="LEP42" s="13"/>
      <c r="LEQ42" s="13"/>
      <c r="LER42" s="13"/>
      <c r="LES42" s="13"/>
      <c r="LET42" s="13"/>
      <c r="LEU42" s="13"/>
      <c r="LEV42" s="13"/>
      <c r="LEW42" s="13"/>
      <c r="LEX42" s="13"/>
      <c r="LEY42" s="13"/>
      <c r="LEZ42" s="13"/>
      <c r="LFA42" s="13"/>
      <c r="LFB42" s="13"/>
      <c r="LFC42" s="13"/>
      <c r="LFD42" s="13"/>
      <c r="LFE42" s="13"/>
      <c r="LFF42" s="13"/>
      <c r="LFG42" s="13"/>
      <c r="LFH42" s="13"/>
      <c r="LFI42" s="13"/>
      <c r="LFJ42" s="13"/>
      <c r="LFK42" s="13"/>
      <c r="LFL42" s="13"/>
      <c r="LFM42" s="13"/>
      <c r="LFN42" s="13"/>
      <c r="LFO42" s="13"/>
      <c r="LFP42" s="13"/>
      <c r="LFQ42" s="13"/>
      <c r="LFR42" s="13"/>
      <c r="LFS42" s="13"/>
      <c r="LFT42" s="13"/>
      <c r="LFU42" s="13"/>
      <c r="LFV42" s="13"/>
      <c r="LFW42" s="13"/>
      <c r="LFX42" s="13"/>
      <c r="LFY42" s="13"/>
      <c r="LFZ42" s="13"/>
      <c r="LGA42" s="13"/>
      <c r="LGB42" s="13"/>
      <c r="LGC42" s="13"/>
      <c r="LGD42" s="13"/>
      <c r="LGE42" s="13"/>
      <c r="LGF42" s="13"/>
      <c r="LGG42" s="13"/>
      <c r="LGH42" s="13"/>
      <c r="LGI42" s="13"/>
      <c r="LGJ42" s="13"/>
      <c r="LGK42" s="13"/>
      <c r="LGL42" s="13"/>
      <c r="LGM42" s="13"/>
      <c r="LGN42" s="13"/>
      <c r="LGO42" s="13"/>
      <c r="LGP42" s="13"/>
      <c r="LGQ42" s="13"/>
      <c r="LGR42" s="13"/>
      <c r="LGS42" s="13"/>
      <c r="LGT42" s="13"/>
      <c r="LGU42" s="13"/>
      <c r="LGV42" s="13"/>
      <c r="LGW42" s="13"/>
      <c r="LGX42" s="13"/>
      <c r="LGY42" s="13"/>
      <c r="LGZ42" s="13"/>
      <c r="LHA42" s="13"/>
      <c r="LHB42" s="13"/>
      <c r="LHC42" s="13"/>
      <c r="LHD42" s="13"/>
      <c r="LHE42" s="13"/>
      <c r="LHF42" s="13"/>
      <c r="LHG42" s="13"/>
      <c r="LHH42" s="13"/>
      <c r="LHI42" s="13"/>
      <c r="LHJ42" s="13"/>
      <c r="LHK42" s="13"/>
      <c r="LHL42" s="13"/>
      <c r="LHM42" s="13"/>
      <c r="LHN42" s="13"/>
      <c r="LHO42" s="13"/>
      <c r="LHP42" s="13"/>
      <c r="LHQ42" s="13"/>
      <c r="LHR42" s="13"/>
      <c r="LHS42" s="13"/>
      <c r="LHT42" s="13"/>
      <c r="LHU42" s="13"/>
      <c r="LHV42" s="13"/>
      <c r="LHW42" s="13"/>
      <c r="LHX42" s="13"/>
      <c r="LHY42" s="13"/>
      <c r="LHZ42" s="13"/>
      <c r="LIA42" s="13"/>
      <c r="LIB42" s="13"/>
      <c r="LIC42" s="13"/>
      <c r="LID42" s="13"/>
      <c r="LIE42" s="13"/>
      <c r="LIF42" s="13"/>
      <c r="LIG42" s="13"/>
      <c r="LIH42" s="13"/>
      <c r="LII42" s="13"/>
      <c r="LIJ42" s="13"/>
      <c r="LIK42" s="13"/>
      <c r="LIL42" s="13"/>
      <c r="LIM42" s="13"/>
      <c r="LIN42" s="13"/>
      <c r="LIO42" s="13"/>
      <c r="LIP42" s="13"/>
      <c r="LIQ42" s="13"/>
      <c r="LIR42" s="13"/>
      <c r="LIS42" s="13"/>
      <c r="LIT42" s="13"/>
      <c r="LIU42" s="13"/>
      <c r="LIV42" s="13"/>
      <c r="LIW42" s="13"/>
      <c r="LIX42" s="13"/>
      <c r="LIY42" s="13"/>
      <c r="LIZ42" s="13"/>
      <c r="LJA42" s="13"/>
      <c r="LJB42" s="13"/>
      <c r="LJC42" s="13"/>
      <c r="LJD42" s="13"/>
      <c r="LJE42" s="13"/>
      <c r="LJF42" s="13"/>
      <c r="LJG42" s="13"/>
      <c r="LJH42" s="13"/>
      <c r="LJI42" s="13"/>
      <c r="LJJ42" s="13"/>
      <c r="LJK42" s="13"/>
      <c r="LJL42" s="13"/>
      <c r="LJM42" s="13"/>
      <c r="LJN42" s="13"/>
      <c r="LJO42" s="13"/>
      <c r="LJP42" s="13"/>
      <c r="LJQ42" s="13"/>
      <c r="LJR42" s="13"/>
      <c r="LJS42" s="13"/>
      <c r="LJT42" s="13"/>
      <c r="LJU42" s="13"/>
      <c r="LJV42" s="13"/>
      <c r="LJW42" s="13"/>
      <c r="LJX42" s="13"/>
      <c r="LJY42" s="13"/>
      <c r="LJZ42" s="13"/>
      <c r="LKA42" s="13"/>
      <c r="LKB42" s="13"/>
      <c r="LKC42" s="13"/>
      <c r="LKD42" s="13"/>
      <c r="LKE42" s="13"/>
      <c r="LKF42" s="13"/>
      <c r="LKG42" s="13"/>
      <c r="LKH42" s="13"/>
      <c r="LKI42" s="13"/>
      <c r="LKJ42" s="13"/>
      <c r="LKK42" s="13"/>
      <c r="LKL42" s="13"/>
      <c r="LKM42" s="13"/>
      <c r="LKN42" s="13"/>
      <c r="LKO42" s="13"/>
      <c r="LKP42" s="13"/>
      <c r="LKQ42" s="13"/>
      <c r="LKR42" s="13"/>
      <c r="LKS42" s="13"/>
      <c r="LKT42" s="13"/>
      <c r="LKU42" s="13"/>
      <c r="LKV42" s="13"/>
      <c r="LKW42" s="13"/>
      <c r="LKX42" s="13"/>
      <c r="LKY42" s="13"/>
      <c r="LKZ42" s="13"/>
      <c r="LLA42" s="13"/>
      <c r="LLB42" s="13"/>
      <c r="LLC42" s="13"/>
      <c r="LLD42" s="13"/>
      <c r="LLE42" s="13"/>
      <c r="LLF42" s="13"/>
      <c r="LLG42" s="13"/>
      <c r="LLH42" s="13"/>
      <c r="LLI42" s="13"/>
      <c r="LLJ42" s="13"/>
      <c r="LLK42" s="13"/>
      <c r="LLL42" s="13"/>
      <c r="LLM42" s="13"/>
      <c r="LLN42" s="13"/>
      <c r="LLO42" s="13"/>
      <c r="LLP42" s="13"/>
      <c r="LLQ42" s="13"/>
      <c r="LLR42" s="13"/>
      <c r="LLS42" s="13"/>
      <c r="LLT42" s="13"/>
      <c r="LLU42" s="13"/>
      <c r="LLV42" s="13"/>
      <c r="LLW42" s="13"/>
      <c r="LLX42" s="13"/>
      <c r="LLY42" s="13"/>
      <c r="LLZ42" s="13"/>
      <c r="LMA42" s="13"/>
      <c r="LMB42" s="13"/>
      <c r="LMC42" s="13"/>
      <c r="LMD42" s="13"/>
      <c r="LME42" s="13"/>
      <c r="LMF42" s="13"/>
      <c r="LMG42" s="13"/>
      <c r="LMH42" s="13"/>
      <c r="LMI42" s="13"/>
      <c r="LMJ42" s="13"/>
      <c r="LMK42" s="13"/>
      <c r="LML42" s="13"/>
      <c r="LMM42" s="13"/>
      <c r="LMN42" s="13"/>
      <c r="LMO42" s="13"/>
      <c r="LMP42" s="13"/>
      <c r="LMQ42" s="13"/>
      <c r="LMR42" s="13"/>
      <c r="LMS42" s="13"/>
      <c r="LMT42" s="13"/>
      <c r="LMU42" s="13"/>
      <c r="LMV42" s="13"/>
      <c r="LMW42" s="13"/>
      <c r="LMX42" s="13"/>
      <c r="LMY42" s="13"/>
      <c r="LMZ42" s="13"/>
      <c r="LNA42" s="13"/>
      <c r="LNB42" s="13"/>
      <c r="LNC42" s="13"/>
      <c r="LND42" s="13"/>
      <c r="LNE42" s="13"/>
      <c r="LNF42" s="13"/>
      <c r="LNG42" s="13"/>
      <c r="LNH42" s="13"/>
      <c r="LNI42" s="13"/>
      <c r="LNJ42" s="13"/>
      <c r="LNK42" s="13"/>
      <c r="LNL42" s="13"/>
      <c r="LNM42" s="13"/>
      <c r="LNN42" s="13"/>
      <c r="LNO42" s="13"/>
      <c r="LNP42" s="13"/>
      <c r="LNQ42" s="13"/>
      <c r="LNR42" s="13"/>
      <c r="LNS42" s="13"/>
      <c r="LNT42" s="13"/>
      <c r="LNU42" s="13"/>
      <c r="LNV42" s="13"/>
      <c r="LNW42" s="13"/>
      <c r="LNX42" s="13"/>
      <c r="LNY42" s="13"/>
      <c r="LNZ42" s="13"/>
      <c r="LOA42" s="13"/>
      <c r="LOB42" s="13"/>
      <c r="LOC42" s="13"/>
      <c r="LOD42" s="13"/>
      <c r="LOE42" s="13"/>
      <c r="LOF42" s="13"/>
      <c r="LOG42" s="13"/>
      <c r="LOH42" s="13"/>
      <c r="LOI42" s="13"/>
      <c r="LOJ42" s="13"/>
      <c r="LOK42" s="13"/>
      <c r="LOL42" s="13"/>
      <c r="LOM42" s="13"/>
      <c r="LON42" s="13"/>
      <c r="LOO42" s="13"/>
      <c r="LOP42" s="13"/>
      <c r="LOQ42" s="13"/>
      <c r="LOR42" s="13"/>
      <c r="LOS42" s="13"/>
      <c r="LOT42" s="13"/>
      <c r="LOU42" s="13"/>
      <c r="LOV42" s="13"/>
      <c r="LOW42" s="13"/>
      <c r="LOX42" s="13"/>
      <c r="LOY42" s="13"/>
      <c r="LOZ42" s="13"/>
      <c r="LPA42" s="13"/>
      <c r="LPB42" s="13"/>
      <c r="LPC42" s="13"/>
      <c r="LPD42" s="13"/>
      <c r="LPE42" s="13"/>
      <c r="LPF42" s="13"/>
      <c r="LPG42" s="13"/>
      <c r="LPH42" s="13"/>
      <c r="LPI42" s="13"/>
      <c r="LPJ42" s="13"/>
      <c r="LPK42" s="13"/>
      <c r="LPL42" s="13"/>
      <c r="LPM42" s="13"/>
      <c r="LPN42" s="13"/>
      <c r="LPO42" s="13"/>
      <c r="LPP42" s="13"/>
      <c r="LPQ42" s="13"/>
      <c r="LPR42" s="13"/>
      <c r="LPS42" s="13"/>
      <c r="LPT42" s="13"/>
      <c r="LPU42" s="13"/>
      <c r="LPV42" s="13"/>
      <c r="LPW42" s="13"/>
      <c r="LPX42" s="13"/>
      <c r="LPY42" s="13"/>
      <c r="LPZ42" s="13"/>
      <c r="LQA42" s="13"/>
      <c r="LQB42" s="13"/>
      <c r="LQC42" s="13"/>
      <c r="LQD42" s="13"/>
      <c r="LQE42" s="13"/>
      <c r="LQF42" s="13"/>
      <c r="LQG42" s="13"/>
      <c r="LQH42" s="13"/>
      <c r="LQI42" s="13"/>
      <c r="LQJ42" s="13"/>
      <c r="LQK42" s="13"/>
      <c r="LQL42" s="13"/>
      <c r="LQM42" s="13"/>
      <c r="LQN42" s="13"/>
      <c r="LQO42" s="13"/>
      <c r="LQP42" s="13"/>
      <c r="LQQ42" s="13"/>
      <c r="LQR42" s="13"/>
      <c r="LQS42" s="13"/>
      <c r="LQT42" s="13"/>
      <c r="LQU42" s="13"/>
      <c r="LQV42" s="13"/>
      <c r="LQW42" s="13"/>
      <c r="LQX42" s="13"/>
      <c r="LQY42" s="13"/>
      <c r="LQZ42" s="13"/>
      <c r="LRA42" s="13"/>
      <c r="LRB42" s="13"/>
      <c r="LRC42" s="13"/>
      <c r="LRD42" s="13"/>
      <c r="LRE42" s="13"/>
      <c r="LRF42" s="13"/>
      <c r="LRG42" s="13"/>
      <c r="LRH42" s="13"/>
      <c r="LRI42" s="13"/>
      <c r="LRJ42" s="13"/>
      <c r="LRK42" s="13"/>
      <c r="LRL42" s="13"/>
      <c r="LRM42" s="13"/>
      <c r="LRN42" s="13"/>
      <c r="LRO42" s="13"/>
      <c r="LRP42" s="13"/>
      <c r="LRQ42" s="13"/>
      <c r="LRR42" s="13"/>
      <c r="LRS42" s="13"/>
      <c r="LRT42" s="13"/>
      <c r="LRU42" s="13"/>
      <c r="LRV42" s="13"/>
      <c r="LRW42" s="13"/>
      <c r="LRX42" s="13"/>
      <c r="LRY42" s="13"/>
      <c r="LRZ42" s="13"/>
      <c r="LSA42" s="13"/>
      <c r="LSB42" s="13"/>
      <c r="LSC42" s="13"/>
      <c r="LSD42" s="13"/>
      <c r="LSE42" s="13"/>
      <c r="LSF42" s="13"/>
      <c r="LSG42" s="13"/>
      <c r="LSH42" s="13"/>
      <c r="LSI42" s="13"/>
      <c r="LSJ42" s="13"/>
      <c r="LSK42" s="13"/>
      <c r="LSL42" s="13"/>
      <c r="LSM42" s="13"/>
      <c r="LSN42" s="13"/>
      <c r="LSO42" s="13"/>
      <c r="LSP42" s="13"/>
      <c r="LSQ42" s="13"/>
      <c r="LSR42" s="13"/>
      <c r="LSS42" s="13"/>
      <c r="LST42" s="13"/>
      <c r="LSU42" s="13"/>
      <c r="LSV42" s="13"/>
      <c r="LSW42" s="13"/>
      <c r="LSX42" s="13"/>
      <c r="LSY42" s="13"/>
      <c r="LSZ42" s="13"/>
      <c r="LTA42" s="13"/>
      <c r="LTB42" s="13"/>
      <c r="LTC42" s="13"/>
      <c r="LTD42" s="13"/>
      <c r="LTE42" s="13"/>
      <c r="LTF42" s="13"/>
      <c r="LTG42" s="13"/>
      <c r="LTH42" s="13"/>
      <c r="LTI42" s="13"/>
      <c r="LTJ42" s="13"/>
      <c r="LTK42" s="13"/>
      <c r="LTL42" s="13"/>
      <c r="LTM42" s="13"/>
      <c r="LTN42" s="13"/>
      <c r="LTO42" s="13"/>
      <c r="LTP42" s="13"/>
      <c r="LTQ42" s="13"/>
      <c r="LTR42" s="13"/>
      <c r="LTS42" s="13"/>
      <c r="LTT42" s="13"/>
      <c r="LTU42" s="13"/>
      <c r="LTV42" s="13"/>
      <c r="LTW42" s="13"/>
      <c r="LTX42" s="13"/>
      <c r="LTY42" s="13"/>
      <c r="LTZ42" s="13"/>
      <c r="LUA42" s="13"/>
      <c r="LUB42" s="13"/>
      <c r="LUC42" s="13"/>
      <c r="LUD42" s="13"/>
      <c r="LUE42" s="13"/>
      <c r="LUF42" s="13"/>
      <c r="LUG42" s="13"/>
      <c r="LUH42" s="13"/>
      <c r="LUI42" s="13"/>
      <c r="LUJ42" s="13"/>
      <c r="LUK42" s="13"/>
      <c r="LUL42" s="13"/>
      <c r="LUM42" s="13"/>
      <c r="LUN42" s="13"/>
      <c r="LUO42" s="13"/>
      <c r="LUP42" s="13"/>
      <c r="LUQ42" s="13"/>
      <c r="LUR42" s="13"/>
      <c r="LUS42" s="13"/>
      <c r="LUT42" s="13"/>
      <c r="LUU42" s="13"/>
      <c r="LUV42" s="13"/>
      <c r="LUW42" s="13"/>
      <c r="LUX42" s="13"/>
      <c r="LUY42" s="13"/>
      <c r="LUZ42" s="13"/>
      <c r="LVA42" s="13"/>
      <c r="LVB42" s="13"/>
      <c r="LVC42" s="13"/>
      <c r="LVD42" s="13"/>
      <c r="LVE42" s="13"/>
      <c r="LVF42" s="13"/>
      <c r="LVG42" s="13"/>
      <c r="LVH42" s="13"/>
      <c r="LVI42" s="13"/>
      <c r="LVJ42" s="13"/>
      <c r="LVK42" s="13"/>
      <c r="LVL42" s="13"/>
      <c r="LVM42" s="13"/>
      <c r="LVN42" s="13"/>
      <c r="LVO42" s="13"/>
      <c r="LVP42" s="13"/>
      <c r="LVQ42" s="13"/>
      <c r="LVR42" s="13"/>
      <c r="LVS42" s="13"/>
      <c r="LVT42" s="13"/>
      <c r="LVU42" s="13"/>
      <c r="LVV42" s="13"/>
      <c r="LVW42" s="13"/>
      <c r="LVX42" s="13"/>
      <c r="LVY42" s="13"/>
      <c r="LVZ42" s="13"/>
      <c r="LWA42" s="13"/>
      <c r="LWB42" s="13"/>
      <c r="LWC42" s="13"/>
      <c r="LWD42" s="13"/>
      <c r="LWE42" s="13"/>
      <c r="LWF42" s="13"/>
      <c r="LWG42" s="13"/>
      <c r="LWH42" s="13"/>
      <c r="LWI42" s="13"/>
      <c r="LWJ42" s="13"/>
      <c r="LWK42" s="13"/>
      <c r="LWL42" s="13"/>
      <c r="LWM42" s="13"/>
      <c r="LWN42" s="13"/>
      <c r="LWO42" s="13"/>
      <c r="LWP42" s="13"/>
      <c r="LWQ42" s="13"/>
      <c r="LWR42" s="13"/>
      <c r="LWS42" s="13"/>
      <c r="LWT42" s="13"/>
      <c r="LWU42" s="13"/>
      <c r="LWV42" s="13"/>
      <c r="LWW42" s="13"/>
      <c r="LWX42" s="13"/>
      <c r="LWY42" s="13"/>
      <c r="LWZ42" s="13"/>
      <c r="LXA42" s="13"/>
      <c r="LXB42" s="13"/>
      <c r="LXC42" s="13"/>
      <c r="LXD42" s="13"/>
      <c r="LXE42" s="13"/>
      <c r="LXF42" s="13"/>
      <c r="LXG42" s="13"/>
      <c r="LXH42" s="13"/>
      <c r="LXI42" s="13"/>
      <c r="LXJ42" s="13"/>
      <c r="LXK42" s="13"/>
      <c r="LXL42" s="13"/>
      <c r="LXM42" s="13"/>
      <c r="LXN42" s="13"/>
      <c r="LXO42" s="13"/>
      <c r="LXP42" s="13"/>
      <c r="LXQ42" s="13"/>
      <c r="LXR42" s="13"/>
      <c r="LXS42" s="13"/>
      <c r="LXT42" s="13"/>
      <c r="LXU42" s="13"/>
      <c r="LXV42" s="13"/>
      <c r="LXW42" s="13"/>
      <c r="LXX42" s="13"/>
      <c r="LXY42" s="13"/>
      <c r="LXZ42" s="13"/>
      <c r="LYA42" s="13"/>
      <c r="LYB42" s="13"/>
      <c r="LYC42" s="13"/>
      <c r="LYD42" s="13"/>
      <c r="LYE42" s="13"/>
      <c r="LYF42" s="13"/>
      <c r="LYG42" s="13"/>
      <c r="LYH42" s="13"/>
      <c r="LYI42" s="13"/>
      <c r="LYJ42" s="13"/>
      <c r="LYK42" s="13"/>
      <c r="LYL42" s="13"/>
      <c r="LYM42" s="13"/>
      <c r="LYN42" s="13"/>
      <c r="LYO42" s="13"/>
      <c r="LYP42" s="13"/>
      <c r="LYQ42" s="13"/>
      <c r="LYR42" s="13"/>
      <c r="LYS42" s="13"/>
      <c r="LYT42" s="13"/>
      <c r="LYU42" s="13"/>
      <c r="LYV42" s="13"/>
      <c r="LYW42" s="13"/>
      <c r="LYX42" s="13"/>
      <c r="LYY42" s="13"/>
      <c r="LYZ42" s="13"/>
      <c r="LZA42" s="13"/>
      <c r="LZB42" s="13"/>
      <c r="LZC42" s="13"/>
      <c r="LZD42" s="13"/>
      <c r="LZE42" s="13"/>
      <c r="LZF42" s="13"/>
      <c r="LZG42" s="13"/>
      <c r="LZH42" s="13"/>
      <c r="LZI42" s="13"/>
      <c r="LZJ42" s="13"/>
      <c r="LZK42" s="13"/>
      <c r="LZL42" s="13"/>
      <c r="LZM42" s="13"/>
      <c r="LZN42" s="13"/>
      <c r="LZO42" s="13"/>
      <c r="LZP42" s="13"/>
      <c r="LZQ42" s="13"/>
      <c r="LZR42" s="13"/>
      <c r="LZS42" s="13"/>
      <c r="LZT42" s="13"/>
      <c r="LZU42" s="13"/>
      <c r="LZV42" s="13"/>
      <c r="LZW42" s="13"/>
      <c r="LZX42" s="13"/>
      <c r="LZY42" s="13"/>
      <c r="LZZ42" s="13"/>
      <c r="MAA42" s="13"/>
      <c r="MAB42" s="13"/>
      <c r="MAC42" s="13"/>
      <c r="MAD42" s="13"/>
      <c r="MAE42" s="13"/>
      <c r="MAF42" s="13"/>
      <c r="MAG42" s="13"/>
      <c r="MAH42" s="13"/>
      <c r="MAI42" s="13"/>
      <c r="MAJ42" s="13"/>
      <c r="MAK42" s="13"/>
      <c r="MAL42" s="13"/>
      <c r="MAM42" s="13"/>
      <c r="MAN42" s="13"/>
      <c r="MAO42" s="13"/>
      <c r="MAP42" s="13"/>
      <c r="MAQ42" s="13"/>
      <c r="MAR42" s="13"/>
      <c r="MAS42" s="13"/>
      <c r="MAT42" s="13"/>
      <c r="MAU42" s="13"/>
      <c r="MAV42" s="13"/>
      <c r="MAW42" s="13"/>
      <c r="MAX42" s="13"/>
      <c r="MAY42" s="13"/>
      <c r="MAZ42" s="13"/>
      <c r="MBA42" s="13"/>
      <c r="MBB42" s="13"/>
      <c r="MBC42" s="13"/>
      <c r="MBD42" s="13"/>
      <c r="MBE42" s="13"/>
      <c r="MBF42" s="13"/>
      <c r="MBG42" s="13"/>
      <c r="MBH42" s="13"/>
      <c r="MBI42" s="13"/>
      <c r="MBJ42" s="13"/>
      <c r="MBK42" s="13"/>
      <c r="MBL42" s="13"/>
      <c r="MBM42" s="13"/>
      <c r="MBN42" s="13"/>
      <c r="MBO42" s="13"/>
      <c r="MBP42" s="13"/>
      <c r="MBQ42" s="13"/>
      <c r="MBR42" s="13"/>
      <c r="MBS42" s="13"/>
      <c r="MBT42" s="13"/>
      <c r="MBU42" s="13"/>
      <c r="MBV42" s="13"/>
      <c r="MBW42" s="13"/>
      <c r="MBX42" s="13"/>
      <c r="MBY42" s="13"/>
      <c r="MBZ42" s="13"/>
      <c r="MCA42" s="13"/>
      <c r="MCB42" s="13"/>
      <c r="MCC42" s="13"/>
      <c r="MCD42" s="13"/>
      <c r="MCE42" s="13"/>
      <c r="MCF42" s="13"/>
      <c r="MCG42" s="13"/>
      <c r="MCH42" s="13"/>
      <c r="MCI42" s="13"/>
      <c r="MCJ42" s="13"/>
      <c r="MCK42" s="13"/>
      <c r="MCL42" s="13"/>
      <c r="MCM42" s="13"/>
      <c r="MCN42" s="13"/>
      <c r="MCO42" s="13"/>
      <c r="MCP42" s="13"/>
      <c r="MCQ42" s="13"/>
      <c r="MCR42" s="13"/>
      <c r="MCS42" s="13"/>
      <c r="MCT42" s="13"/>
      <c r="MCU42" s="13"/>
      <c r="MCV42" s="13"/>
      <c r="MCW42" s="13"/>
      <c r="MCX42" s="13"/>
      <c r="MCY42" s="13"/>
      <c r="MCZ42" s="13"/>
      <c r="MDA42" s="13"/>
      <c r="MDB42" s="13"/>
      <c r="MDC42" s="13"/>
      <c r="MDD42" s="13"/>
      <c r="MDE42" s="13"/>
      <c r="MDF42" s="13"/>
      <c r="MDG42" s="13"/>
      <c r="MDH42" s="13"/>
      <c r="MDI42" s="13"/>
      <c r="MDJ42" s="13"/>
      <c r="MDK42" s="13"/>
      <c r="MDL42" s="13"/>
      <c r="MDM42" s="13"/>
      <c r="MDN42" s="13"/>
      <c r="MDO42" s="13"/>
      <c r="MDP42" s="13"/>
      <c r="MDQ42" s="13"/>
      <c r="MDR42" s="13"/>
      <c r="MDS42" s="13"/>
      <c r="MDT42" s="13"/>
      <c r="MDU42" s="13"/>
      <c r="MDV42" s="13"/>
      <c r="MDW42" s="13"/>
      <c r="MDX42" s="13"/>
      <c r="MDY42" s="13"/>
      <c r="MDZ42" s="13"/>
      <c r="MEA42" s="13"/>
      <c r="MEB42" s="13"/>
      <c r="MEC42" s="13"/>
      <c r="MED42" s="13"/>
      <c r="MEE42" s="13"/>
      <c r="MEF42" s="13"/>
      <c r="MEG42" s="13"/>
      <c r="MEH42" s="13"/>
      <c r="MEI42" s="13"/>
      <c r="MEJ42" s="13"/>
      <c r="MEK42" s="13"/>
      <c r="MEL42" s="13"/>
      <c r="MEM42" s="13"/>
      <c r="MEN42" s="13"/>
      <c r="MEO42" s="13"/>
      <c r="MEP42" s="13"/>
      <c r="MEQ42" s="13"/>
      <c r="MER42" s="13"/>
      <c r="MES42" s="13"/>
      <c r="MET42" s="13"/>
      <c r="MEU42" s="13"/>
      <c r="MEV42" s="13"/>
      <c r="MEW42" s="13"/>
      <c r="MEX42" s="13"/>
      <c r="MEY42" s="13"/>
      <c r="MEZ42" s="13"/>
      <c r="MFA42" s="13"/>
      <c r="MFB42" s="13"/>
      <c r="MFC42" s="13"/>
      <c r="MFD42" s="13"/>
      <c r="MFE42" s="13"/>
      <c r="MFF42" s="13"/>
      <c r="MFG42" s="13"/>
      <c r="MFH42" s="13"/>
      <c r="MFI42" s="13"/>
      <c r="MFJ42" s="13"/>
      <c r="MFK42" s="13"/>
      <c r="MFL42" s="13"/>
      <c r="MFM42" s="13"/>
      <c r="MFN42" s="13"/>
      <c r="MFO42" s="13"/>
      <c r="MFP42" s="13"/>
      <c r="MFQ42" s="13"/>
      <c r="MFR42" s="13"/>
      <c r="MFS42" s="13"/>
      <c r="MFT42" s="13"/>
      <c r="MFU42" s="13"/>
      <c r="MFV42" s="13"/>
      <c r="MFW42" s="13"/>
      <c r="MFX42" s="13"/>
      <c r="MFY42" s="13"/>
      <c r="MFZ42" s="13"/>
      <c r="MGA42" s="13"/>
      <c r="MGB42" s="13"/>
      <c r="MGC42" s="13"/>
      <c r="MGD42" s="13"/>
      <c r="MGE42" s="13"/>
      <c r="MGF42" s="13"/>
      <c r="MGG42" s="13"/>
      <c r="MGH42" s="13"/>
      <c r="MGI42" s="13"/>
      <c r="MGJ42" s="13"/>
      <c r="MGK42" s="13"/>
      <c r="MGL42" s="13"/>
      <c r="MGM42" s="13"/>
      <c r="MGN42" s="13"/>
      <c r="MGO42" s="13"/>
      <c r="MGP42" s="13"/>
      <c r="MGQ42" s="13"/>
      <c r="MGR42" s="13"/>
      <c r="MGS42" s="13"/>
      <c r="MGT42" s="13"/>
      <c r="MGU42" s="13"/>
      <c r="MGV42" s="13"/>
      <c r="MGW42" s="13"/>
      <c r="MGX42" s="13"/>
      <c r="MGY42" s="13"/>
      <c r="MGZ42" s="13"/>
      <c r="MHA42" s="13"/>
      <c r="MHB42" s="13"/>
      <c r="MHC42" s="13"/>
      <c r="MHD42" s="13"/>
      <c r="MHE42" s="13"/>
      <c r="MHF42" s="13"/>
      <c r="MHG42" s="13"/>
      <c r="MHH42" s="13"/>
      <c r="MHI42" s="13"/>
      <c r="MHJ42" s="13"/>
      <c r="MHK42" s="13"/>
      <c r="MHL42" s="13"/>
      <c r="MHM42" s="13"/>
      <c r="MHN42" s="13"/>
      <c r="MHO42" s="13"/>
      <c r="MHP42" s="13"/>
      <c r="MHQ42" s="13"/>
      <c r="MHR42" s="13"/>
      <c r="MHS42" s="13"/>
      <c r="MHT42" s="13"/>
      <c r="MHU42" s="13"/>
      <c r="MHV42" s="13"/>
      <c r="MHW42" s="13"/>
      <c r="MHX42" s="13"/>
      <c r="MHY42" s="13"/>
      <c r="MHZ42" s="13"/>
      <c r="MIA42" s="13"/>
      <c r="MIB42" s="13"/>
      <c r="MIC42" s="13"/>
      <c r="MID42" s="13"/>
      <c r="MIE42" s="13"/>
      <c r="MIF42" s="13"/>
      <c r="MIG42" s="13"/>
      <c r="MIH42" s="13"/>
      <c r="MII42" s="13"/>
      <c r="MIJ42" s="13"/>
      <c r="MIK42" s="13"/>
      <c r="MIL42" s="13"/>
      <c r="MIM42" s="13"/>
      <c r="MIN42" s="13"/>
      <c r="MIO42" s="13"/>
      <c r="MIP42" s="13"/>
      <c r="MIQ42" s="13"/>
      <c r="MIR42" s="13"/>
      <c r="MIS42" s="13"/>
      <c r="MIT42" s="13"/>
      <c r="MIU42" s="13"/>
      <c r="MIV42" s="13"/>
      <c r="MIW42" s="13"/>
      <c r="MIX42" s="13"/>
      <c r="MIY42" s="13"/>
      <c r="MIZ42" s="13"/>
      <c r="MJA42" s="13"/>
      <c r="MJB42" s="13"/>
      <c r="MJC42" s="13"/>
      <c r="MJD42" s="13"/>
      <c r="MJE42" s="13"/>
      <c r="MJF42" s="13"/>
      <c r="MJG42" s="13"/>
      <c r="MJH42" s="13"/>
      <c r="MJI42" s="13"/>
      <c r="MJJ42" s="13"/>
      <c r="MJK42" s="13"/>
      <c r="MJL42" s="13"/>
      <c r="MJM42" s="13"/>
      <c r="MJN42" s="13"/>
      <c r="MJO42" s="13"/>
      <c r="MJP42" s="13"/>
      <c r="MJQ42" s="13"/>
      <c r="MJR42" s="13"/>
      <c r="MJS42" s="13"/>
      <c r="MJT42" s="13"/>
      <c r="MJU42" s="13"/>
      <c r="MJV42" s="13"/>
      <c r="MJW42" s="13"/>
      <c r="MJX42" s="13"/>
      <c r="MJY42" s="13"/>
      <c r="MJZ42" s="13"/>
      <c r="MKA42" s="13"/>
      <c r="MKB42" s="13"/>
      <c r="MKC42" s="13"/>
      <c r="MKD42" s="13"/>
      <c r="MKE42" s="13"/>
      <c r="MKF42" s="13"/>
      <c r="MKG42" s="13"/>
      <c r="MKH42" s="13"/>
      <c r="MKI42" s="13"/>
      <c r="MKJ42" s="13"/>
      <c r="MKK42" s="13"/>
      <c r="MKL42" s="13"/>
      <c r="MKM42" s="13"/>
      <c r="MKN42" s="13"/>
      <c r="MKO42" s="13"/>
      <c r="MKP42" s="13"/>
      <c r="MKQ42" s="13"/>
      <c r="MKR42" s="13"/>
      <c r="MKS42" s="13"/>
      <c r="MKT42" s="13"/>
      <c r="MKU42" s="13"/>
      <c r="MKV42" s="13"/>
      <c r="MKW42" s="13"/>
      <c r="MKX42" s="13"/>
      <c r="MKY42" s="13"/>
      <c r="MKZ42" s="13"/>
      <c r="MLA42" s="13"/>
      <c r="MLB42" s="13"/>
      <c r="MLC42" s="13"/>
      <c r="MLD42" s="13"/>
      <c r="MLE42" s="13"/>
      <c r="MLF42" s="13"/>
      <c r="MLG42" s="13"/>
      <c r="MLH42" s="13"/>
      <c r="MLI42" s="13"/>
      <c r="MLJ42" s="13"/>
      <c r="MLK42" s="13"/>
      <c r="MLL42" s="13"/>
      <c r="MLM42" s="13"/>
      <c r="MLN42" s="13"/>
      <c r="MLO42" s="13"/>
      <c r="MLP42" s="13"/>
      <c r="MLQ42" s="13"/>
      <c r="MLR42" s="13"/>
      <c r="MLS42" s="13"/>
      <c r="MLT42" s="13"/>
      <c r="MLU42" s="13"/>
      <c r="MLV42" s="13"/>
      <c r="MLW42" s="13"/>
      <c r="MLX42" s="13"/>
      <c r="MLY42" s="13"/>
      <c r="MLZ42" s="13"/>
      <c r="MMA42" s="13"/>
      <c r="MMB42" s="13"/>
      <c r="MMC42" s="13"/>
      <c r="MMD42" s="13"/>
      <c r="MME42" s="13"/>
      <c r="MMF42" s="13"/>
      <c r="MMG42" s="13"/>
      <c r="MMH42" s="13"/>
      <c r="MMI42" s="13"/>
      <c r="MMJ42" s="13"/>
      <c r="MMK42" s="13"/>
      <c r="MML42" s="13"/>
      <c r="MMM42" s="13"/>
      <c r="MMN42" s="13"/>
      <c r="MMO42" s="13"/>
      <c r="MMP42" s="13"/>
      <c r="MMQ42" s="13"/>
      <c r="MMR42" s="13"/>
      <c r="MMS42" s="13"/>
      <c r="MMT42" s="13"/>
      <c r="MMU42" s="13"/>
      <c r="MMV42" s="13"/>
      <c r="MMW42" s="13"/>
      <c r="MMX42" s="13"/>
      <c r="MMY42" s="13"/>
      <c r="MMZ42" s="13"/>
      <c r="MNA42" s="13"/>
      <c r="MNB42" s="13"/>
      <c r="MNC42" s="13"/>
      <c r="MND42" s="13"/>
      <c r="MNE42" s="13"/>
      <c r="MNF42" s="13"/>
      <c r="MNG42" s="13"/>
      <c r="MNH42" s="13"/>
      <c r="MNI42" s="13"/>
      <c r="MNJ42" s="13"/>
      <c r="MNK42" s="13"/>
      <c r="MNL42" s="13"/>
      <c r="MNM42" s="13"/>
      <c r="MNN42" s="13"/>
      <c r="MNO42" s="13"/>
      <c r="MNP42" s="13"/>
      <c r="MNQ42" s="13"/>
      <c r="MNR42" s="13"/>
      <c r="MNS42" s="13"/>
      <c r="MNT42" s="13"/>
      <c r="MNU42" s="13"/>
      <c r="MNV42" s="13"/>
      <c r="MNW42" s="13"/>
      <c r="MNX42" s="13"/>
      <c r="MNY42" s="13"/>
      <c r="MNZ42" s="13"/>
      <c r="MOA42" s="13"/>
      <c r="MOB42" s="13"/>
      <c r="MOC42" s="13"/>
      <c r="MOD42" s="13"/>
      <c r="MOE42" s="13"/>
      <c r="MOF42" s="13"/>
      <c r="MOG42" s="13"/>
      <c r="MOH42" s="13"/>
      <c r="MOI42" s="13"/>
      <c r="MOJ42" s="13"/>
      <c r="MOK42" s="13"/>
      <c r="MOL42" s="13"/>
      <c r="MOM42" s="13"/>
      <c r="MON42" s="13"/>
      <c r="MOO42" s="13"/>
      <c r="MOP42" s="13"/>
      <c r="MOQ42" s="13"/>
      <c r="MOR42" s="13"/>
      <c r="MOS42" s="13"/>
      <c r="MOT42" s="13"/>
      <c r="MOU42" s="13"/>
      <c r="MOV42" s="13"/>
      <c r="MOW42" s="13"/>
      <c r="MOX42" s="13"/>
      <c r="MOY42" s="13"/>
      <c r="MOZ42" s="13"/>
      <c r="MPA42" s="13"/>
      <c r="MPB42" s="13"/>
      <c r="MPC42" s="13"/>
      <c r="MPD42" s="13"/>
      <c r="MPE42" s="13"/>
      <c r="MPF42" s="13"/>
      <c r="MPG42" s="13"/>
      <c r="MPH42" s="13"/>
      <c r="MPI42" s="13"/>
      <c r="MPJ42" s="13"/>
      <c r="MPK42" s="13"/>
      <c r="MPL42" s="13"/>
      <c r="MPM42" s="13"/>
      <c r="MPN42" s="13"/>
      <c r="MPO42" s="13"/>
      <c r="MPP42" s="13"/>
      <c r="MPQ42" s="13"/>
      <c r="MPR42" s="13"/>
      <c r="MPS42" s="13"/>
      <c r="MPT42" s="13"/>
      <c r="MPU42" s="13"/>
      <c r="MPV42" s="13"/>
      <c r="MPW42" s="13"/>
      <c r="MPX42" s="13"/>
      <c r="MPY42" s="13"/>
      <c r="MPZ42" s="13"/>
      <c r="MQA42" s="13"/>
      <c r="MQB42" s="13"/>
      <c r="MQC42" s="13"/>
      <c r="MQD42" s="13"/>
      <c r="MQE42" s="13"/>
      <c r="MQF42" s="13"/>
      <c r="MQG42" s="13"/>
      <c r="MQH42" s="13"/>
      <c r="MQI42" s="13"/>
      <c r="MQJ42" s="13"/>
      <c r="MQK42" s="13"/>
      <c r="MQL42" s="13"/>
      <c r="MQM42" s="13"/>
      <c r="MQN42" s="13"/>
      <c r="MQO42" s="13"/>
      <c r="MQP42" s="13"/>
      <c r="MQQ42" s="13"/>
      <c r="MQR42" s="13"/>
      <c r="MQS42" s="13"/>
      <c r="MQT42" s="13"/>
      <c r="MQU42" s="13"/>
      <c r="MQV42" s="13"/>
      <c r="MQW42" s="13"/>
      <c r="MQX42" s="13"/>
      <c r="MQY42" s="13"/>
      <c r="MQZ42" s="13"/>
      <c r="MRA42" s="13"/>
      <c r="MRB42" s="13"/>
      <c r="MRC42" s="13"/>
      <c r="MRD42" s="13"/>
      <c r="MRE42" s="13"/>
      <c r="MRF42" s="13"/>
      <c r="MRG42" s="13"/>
      <c r="MRH42" s="13"/>
      <c r="MRI42" s="13"/>
      <c r="MRJ42" s="13"/>
      <c r="MRK42" s="13"/>
      <c r="MRL42" s="13"/>
      <c r="MRM42" s="13"/>
      <c r="MRN42" s="13"/>
      <c r="MRO42" s="13"/>
      <c r="MRP42" s="13"/>
      <c r="MRQ42" s="13"/>
      <c r="MRR42" s="13"/>
      <c r="MRS42" s="13"/>
      <c r="MRT42" s="13"/>
      <c r="MRU42" s="13"/>
      <c r="MRV42" s="13"/>
      <c r="MRW42" s="13"/>
      <c r="MRX42" s="13"/>
      <c r="MRY42" s="13"/>
      <c r="MRZ42" s="13"/>
      <c r="MSA42" s="13"/>
      <c r="MSB42" s="13"/>
      <c r="MSC42" s="13"/>
      <c r="MSD42" s="13"/>
      <c r="MSE42" s="13"/>
      <c r="MSF42" s="13"/>
      <c r="MSG42" s="13"/>
      <c r="MSH42" s="13"/>
      <c r="MSI42" s="13"/>
      <c r="MSJ42" s="13"/>
      <c r="MSK42" s="13"/>
      <c r="MSL42" s="13"/>
      <c r="MSM42" s="13"/>
      <c r="MSN42" s="13"/>
      <c r="MSO42" s="13"/>
      <c r="MSP42" s="13"/>
      <c r="MSQ42" s="13"/>
      <c r="MSR42" s="13"/>
      <c r="MSS42" s="13"/>
      <c r="MST42" s="13"/>
      <c r="MSU42" s="13"/>
      <c r="MSV42" s="13"/>
      <c r="MSW42" s="13"/>
      <c r="MSX42" s="13"/>
      <c r="MSY42" s="13"/>
      <c r="MSZ42" s="13"/>
      <c r="MTA42" s="13"/>
      <c r="MTB42" s="13"/>
      <c r="MTC42" s="13"/>
      <c r="MTD42" s="13"/>
      <c r="MTE42" s="13"/>
      <c r="MTF42" s="13"/>
      <c r="MTG42" s="13"/>
      <c r="MTH42" s="13"/>
      <c r="MTI42" s="13"/>
      <c r="MTJ42" s="13"/>
      <c r="MTK42" s="13"/>
      <c r="MTL42" s="13"/>
      <c r="MTM42" s="13"/>
      <c r="MTN42" s="13"/>
      <c r="MTO42" s="13"/>
      <c r="MTP42" s="13"/>
      <c r="MTQ42" s="13"/>
      <c r="MTR42" s="13"/>
      <c r="MTS42" s="13"/>
      <c r="MTT42" s="13"/>
      <c r="MTU42" s="13"/>
      <c r="MTV42" s="13"/>
      <c r="MTW42" s="13"/>
      <c r="MTX42" s="13"/>
      <c r="MTY42" s="13"/>
      <c r="MTZ42" s="13"/>
      <c r="MUA42" s="13"/>
      <c r="MUB42" s="13"/>
      <c r="MUC42" s="13"/>
      <c r="MUD42" s="13"/>
      <c r="MUE42" s="13"/>
      <c r="MUF42" s="13"/>
      <c r="MUG42" s="13"/>
      <c r="MUH42" s="13"/>
      <c r="MUI42" s="13"/>
      <c r="MUJ42" s="13"/>
      <c r="MUK42" s="13"/>
      <c r="MUL42" s="13"/>
      <c r="MUM42" s="13"/>
      <c r="MUN42" s="13"/>
      <c r="MUO42" s="13"/>
      <c r="MUP42" s="13"/>
      <c r="MUQ42" s="13"/>
      <c r="MUR42" s="13"/>
      <c r="MUS42" s="13"/>
      <c r="MUT42" s="13"/>
      <c r="MUU42" s="13"/>
      <c r="MUV42" s="13"/>
      <c r="MUW42" s="13"/>
      <c r="MUX42" s="13"/>
      <c r="MUY42" s="13"/>
      <c r="MUZ42" s="13"/>
      <c r="MVA42" s="13"/>
      <c r="MVB42" s="13"/>
      <c r="MVC42" s="13"/>
      <c r="MVD42" s="13"/>
      <c r="MVE42" s="13"/>
      <c r="MVF42" s="13"/>
      <c r="MVG42" s="13"/>
      <c r="MVH42" s="13"/>
      <c r="MVI42" s="13"/>
      <c r="MVJ42" s="13"/>
      <c r="MVK42" s="13"/>
      <c r="MVL42" s="13"/>
      <c r="MVM42" s="13"/>
      <c r="MVN42" s="13"/>
      <c r="MVO42" s="13"/>
      <c r="MVP42" s="13"/>
      <c r="MVQ42" s="13"/>
      <c r="MVR42" s="13"/>
      <c r="MVS42" s="13"/>
      <c r="MVT42" s="13"/>
      <c r="MVU42" s="13"/>
      <c r="MVV42" s="13"/>
      <c r="MVW42" s="13"/>
      <c r="MVX42" s="13"/>
      <c r="MVY42" s="13"/>
      <c r="MVZ42" s="13"/>
      <c r="MWA42" s="13"/>
      <c r="MWB42" s="13"/>
      <c r="MWC42" s="13"/>
      <c r="MWD42" s="13"/>
      <c r="MWE42" s="13"/>
      <c r="MWF42" s="13"/>
      <c r="MWG42" s="13"/>
      <c r="MWH42" s="13"/>
      <c r="MWI42" s="13"/>
      <c r="MWJ42" s="13"/>
      <c r="MWK42" s="13"/>
      <c r="MWL42" s="13"/>
      <c r="MWM42" s="13"/>
      <c r="MWN42" s="13"/>
      <c r="MWO42" s="13"/>
      <c r="MWP42" s="13"/>
      <c r="MWQ42" s="13"/>
      <c r="MWR42" s="13"/>
      <c r="MWS42" s="13"/>
      <c r="MWT42" s="13"/>
      <c r="MWU42" s="13"/>
      <c r="MWV42" s="13"/>
      <c r="MWW42" s="13"/>
      <c r="MWX42" s="13"/>
      <c r="MWY42" s="13"/>
      <c r="MWZ42" s="13"/>
      <c r="MXA42" s="13"/>
      <c r="MXB42" s="13"/>
      <c r="MXC42" s="13"/>
      <c r="MXD42" s="13"/>
      <c r="MXE42" s="13"/>
      <c r="MXF42" s="13"/>
      <c r="MXG42" s="13"/>
      <c r="MXH42" s="13"/>
      <c r="MXI42" s="13"/>
      <c r="MXJ42" s="13"/>
      <c r="MXK42" s="13"/>
      <c r="MXL42" s="13"/>
      <c r="MXM42" s="13"/>
      <c r="MXN42" s="13"/>
      <c r="MXO42" s="13"/>
      <c r="MXP42" s="13"/>
      <c r="MXQ42" s="13"/>
      <c r="MXR42" s="13"/>
      <c r="MXS42" s="13"/>
      <c r="MXT42" s="13"/>
      <c r="MXU42" s="13"/>
      <c r="MXV42" s="13"/>
      <c r="MXW42" s="13"/>
      <c r="MXX42" s="13"/>
      <c r="MXY42" s="13"/>
      <c r="MXZ42" s="13"/>
      <c r="MYA42" s="13"/>
      <c r="MYB42" s="13"/>
      <c r="MYC42" s="13"/>
      <c r="MYD42" s="13"/>
      <c r="MYE42" s="13"/>
      <c r="MYF42" s="13"/>
      <c r="MYG42" s="13"/>
      <c r="MYH42" s="13"/>
      <c r="MYI42" s="13"/>
      <c r="MYJ42" s="13"/>
      <c r="MYK42" s="13"/>
      <c r="MYL42" s="13"/>
      <c r="MYM42" s="13"/>
      <c r="MYN42" s="13"/>
      <c r="MYO42" s="13"/>
      <c r="MYP42" s="13"/>
      <c r="MYQ42" s="13"/>
      <c r="MYR42" s="13"/>
      <c r="MYS42" s="13"/>
      <c r="MYT42" s="13"/>
      <c r="MYU42" s="13"/>
      <c r="MYV42" s="13"/>
      <c r="MYW42" s="13"/>
      <c r="MYX42" s="13"/>
      <c r="MYY42" s="13"/>
      <c r="MYZ42" s="13"/>
      <c r="MZA42" s="13"/>
      <c r="MZB42" s="13"/>
      <c r="MZC42" s="13"/>
      <c r="MZD42" s="13"/>
      <c r="MZE42" s="13"/>
      <c r="MZF42" s="13"/>
      <c r="MZG42" s="13"/>
      <c r="MZH42" s="13"/>
      <c r="MZI42" s="13"/>
      <c r="MZJ42" s="13"/>
      <c r="MZK42" s="13"/>
      <c r="MZL42" s="13"/>
      <c r="MZM42" s="13"/>
      <c r="MZN42" s="13"/>
      <c r="MZO42" s="13"/>
      <c r="MZP42" s="13"/>
      <c r="MZQ42" s="13"/>
      <c r="MZR42" s="13"/>
      <c r="MZS42" s="13"/>
      <c r="MZT42" s="13"/>
      <c r="MZU42" s="13"/>
      <c r="MZV42" s="13"/>
      <c r="MZW42" s="13"/>
      <c r="MZX42" s="13"/>
      <c r="MZY42" s="13"/>
      <c r="MZZ42" s="13"/>
      <c r="NAA42" s="13"/>
      <c r="NAB42" s="13"/>
      <c r="NAC42" s="13"/>
      <c r="NAD42" s="13"/>
      <c r="NAE42" s="13"/>
      <c r="NAF42" s="13"/>
      <c r="NAG42" s="13"/>
      <c r="NAH42" s="13"/>
      <c r="NAI42" s="13"/>
      <c r="NAJ42" s="13"/>
      <c r="NAK42" s="13"/>
      <c r="NAL42" s="13"/>
      <c r="NAM42" s="13"/>
      <c r="NAN42" s="13"/>
      <c r="NAO42" s="13"/>
      <c r="NAP42" s="13"/>
      <c r="NAQ42" s="13"/>
      <c r="NAR42" s="13"/>
      <c r="NAS42" s="13"/>
      <c r="NAT42" s="13"/>
      <c r="NAU42" s="13"/>
      <c r="NAV42" s="13"/>
      <c r="NAW42" s="13"/>
      <c r="NAX42" s="13"/>
      <c r="NAY42" s="13"/>
      <c r="NAZ42" s="13"/>
      <c r="NBA42" s="13"/>
      <c r="NBB42" s="13"/>
      <c r="NBC42" s="13"/>
      <c r="NBD42" s="13"/>
      <c r="NBE42" s="13"/>
      <c r="NBF42" s="13"/>
      <c r="NBG42" s="13"/>
      <c r="NBH42" s="13"/>
      <c r="NBI42" s="13"/>
      <c r="NBJ42" s="13"/>
      <c r="NBK42" s="13"/>
      <c r="NBL42" s="13"/>
      <c r="NBM42" s="13"/>
      <c r="NBN42" s="13"/>
      <c r="NBO42" s="13"/>
      <c r="NBP42" s="13"/>
      <c r="NBQ42" s="13"/>
      <c r="NBR42" s="13"/>
      <c r="NBS42" s="13"/>
      <c r="NBT42" s="13"/>
      <c r="NBU42" s="13"/>
      <c r="NBV42" s="13"/>
      <c r="NBW42" s="13"/>
      <c r="NBX42" s="13"/>
      <c r="NBY42" s="13"/>
      <c r="NBZ42" s="13"/>
      <c r="NCA42" s="13"/>
      <c r="NCB42" s="13"/>
      <c r="NCC42" s="13"/>
      <c r="NCD42" s="13"/>
      <c r="NCE42" s="13"/>
      <c r="NCF42" s="13"/>
      <c r="NCG42" s="13"/>
      <c r="NCH42" s="13"/>
      <c r="NCI42" s="13"/>
      <c r="NCJ42" s="13"/>
      <c r="NCK42" s="13"/>
      <c r="NCL42" s="13"/>
      <c r="NCM42" s="13"/>
      <c r="NCN42" s="13"/>
      <c r="NCO42" s="13"/>
      <c r="NCP42" s="13"/>
      <c r="NCQ42" s="13"/>
      <c r="NCR42" s="13"/>
      <c r="NCS42" s="13"/>
      <c r="NCT42" s="13"/>
      <c r="NCU42" s="13"/>
      <c r="NCV42" s="13"/>
      <c r="NCW42" s="13"/>
      <c r="NCX42" s="13"/>
      <c r="NCY42" s="13"/>
      <c r="NCZ42" s="13"/>
      <c r="NDA42" s="13"/>
      <c r="NDB42" s="13"/>
      <c r="NDC42" s="13"/>
      <c r="NDD42" s="13"/>
      <c r="NDE42" s="13"/>
      <c r="NDF42" s="13"/>
      <c r="NDG42" s="13"/>
      <c r="NDH42" s="13"/>
      <c r="NDI42" s="13"/>
      <c r="NDJ42" s="13"/>
      <c r="NDK42" s="13"/>
      <c r="NDL42" s="13"/>
      <c r="NDM42" s="13"/>
      <c r="NDN42" s="13"/>
      <c r="NDO42" s="13"/>
      <c r="NDP42" s="13"/>
      <c r="NDQ42" s="13"/>
      <c r="NDR42" s="13"/>
      <c r="NDS42" s="13"/>
      <c r="NDT42" s="13"/>
      <c r="NDU42" s="13"/>
      <c r="NDV42" s="13"/>
      <c r="NDW42" s="13"/>
      <c r="NDX42" s="13"/>
      <c r="NDY42" s="13"/>
      <c r="NDZ42" s="13"/>
      <c r="NEA42" s="13"/>
      <c r="NEB42" s="13"/>
      <c r="NEC42" s="13"/>
      <c r="NED42" s="13"/>
      <c r="NEE42" s="13"/>
      <c r="NEF42" s="13"/>
      <c r="NEG42" s="13"/>
      <c r="NEH42" s="13"/>
      <c r="NEI42" s="13"/>
      <c r="NEJ42" s="13"/>
      <c r="NEK42" s="13"/>
      <c r="NEL42" s="13"/>
      <c r="NEM42" s="13"/>
      <c r="NEN42" s="13"/>
      <c r="NEO42" s="13"/>
      <c r="NEP42" s="13"/>
      <c r="NEQ42" s="13"/>
      <c r="NER42" s="13"/>
      <c r="NES42" s="13"/>
      <c r="NET42" s="13"/>
      <c r="NEU42" s="13"/>
      <c r="NEV42" s="13"/>
      <c r="NEW42" s="13"/>
      <c r="NEX42" s="13"/>
      <c r="NEY42" s="13"/>
      <c r="NEZ42" s="13"/>
      <c r="NFA42" s="13"/>
      <c r="NFB42" s="13"/>
      <c r="NFC42" s="13"/>
      <c r="NFD42" s="13"/>
      <c r="NFE42" s="13"/>
      <c r="NFF42" s="13"/>
      <c r="NFG42" s="13"/>
      <c r="NFH42" s="13"/>
      <c r="NFI42" s="13"/>
      <c r="NFJ42" s="13"/>
      <c r="NFK42" s="13"/>
      <c r="NFL42" s="13"/>
      <c r="NFM42" s="13"/>
      <c r="NFN42" s="13"/>
      <c r="NFO42" s="13"/>
      <c r="NFP42" s="13"/>
      <c r="NFQ42" s="13"/>
      <c r="NFR42" s="13"/>
      <c r="NFS42" s="13"/>
      <c r="NFT42" s="13"/>
      <c r="NFU42" s="13"/>
      <c r="NFV42" s="13"/>
      <c r="NFW42" s="13"/>
      <c r="NFX42" s="13"/>
      <c r="NFY42" s="13"/>
      <c r="NFZ42" s="13"/>
      <c r="NGA42" s="13"/>
      <c r="NGB42" s="13"/>
      <c r="NGC42" s="13"/>
      <c r="NGD42" s="13"/>
      <c r="NGE42" s="13"/>
      <c r="NGF42" s="13"/>
      <c r="NGG42" s="13"/>
      <c r="NGH42" s="13"/>
      <c r="NGI42" s="13"/>
      <c r="NGJ42" s="13"/>
      <c r="NGK42" s="13"/>
      <c r="NGL42" s="13"/>
      <c r="NGM42" s="13"/>
      <c r="NGN42" s="13"/>
      <c r="NGO42" s="13"/>
      <c r="NGP42" s="13"/>
      <c r="NGQ42" s="13"/>
      <c r="NGR42" s="13"/>
      <c r="NGS42" s="13"/>
      <c r="NGT42" s="13"/>
      <c r="NGU42" s="13"/>
      <c r="NGV42" s="13"/>
      <c r="NGW42" s="13"/>
      <c r="NGX42" s="13"/>
      <c r="NGY42" s="13"/>
      <c r="NGZ42" s="13"/>
      <c r="NHA42" s="13"/>
      <c r="NHB42" s="13"/>
      <c r="NHC42" s="13"/>
      <c r="NHD42" s="13"/>
      <c r="NHE42" s="13"/>
      <c r="NHF42" s="13"/>
      <c r="NHG42" s="13"/>
      <c r="NHH42" s="13"/>
      <c r="NHI42" s="13"/>
      <c r="NHJ42" s="13"/>
      <c r="NHK42" s="13"/>
      <c r="NHL42" s="13"/>
      <c r="NHM42" s="13"/>
      <c r="NHN42" s="13"/>
      <c r="NHO42" s="13"/>
      <c r="NHP42" s="13"/>
      <c r="NHQ42" s="13"/>
      <c r="NHR42" s="13"/>
      <c r="NHS42" s="13"/>
      <c r="NHT42" s="13"/>
      <c r="NHU42" s="13"/>
      <c r="NHV42" s="13"/>
      <c r="NHW42" s="13"/>
      <c r="NHX42" s="13"/>
      <c r="NHY42" s="13"/>
      <c r="NHZ42" s="13"/>
      <c r="NIA42" s="13"/>
      <c r="NIB42" s="13"/>
      <c r="NIC42" s="13"/>
      <c r="NID42" s="13"/>
      <c r="NIE42" s="13"/>
      <c r="NIF42" s="13"/>
      <c r="NIG42" s="13"/>
      <c r="NIH42" s="13"/>
      <c r="NII42" s="13"/>
      <c r="NIJ42" s="13"/>
      <c r="NIK42" s="13"/>
      <c r="NIL42" s="13"/>
      <c r="NIM42" s="13"/>
      <c r="NIN42" s="13"/>
      <c r="NIO42" s="13"/>
      <c r="NIP42" s="13"/>
      <c r="NIQ42" s="13"/>
      <c r="NIR42" s="13"/>
      <c r="NIS42" s="13"/>
      <c r="NIT42" s="13"/>
      <c r="NIU42" s="13"/>
      <c r="NIV42" s="13"/>
      <c r="NIW42" s="13"/>
      <c r="NIX42" s="13"/>
      <c r="NIY42" s="13"/>
      <c r="NIZ42" s="13"/>
      <c r="NJA42" s="13"/>
      <c r="NJB42" s="13"/>
      <c r="NJC42" s="13"/>
      <c r="NJD42" s="13"/>
      <c r="NJE42" s="13"/>
      <c r="NJF42" s="13"/>
      <c r="NJG42" s="13"/>
      <c r="NJH42" s="13"/>
      <c r="NJI42" s="13"/>
      <c r="NJJ42" s="13"/>
      <c r="NJK42" s="13"/>
      <c r="NJL42" s="13"/>
      <c r="NJM42" s="13"/>
      <c r="NJN42" s="13"/>
      <c r="NJO42" s="13"/>
      <c r="NJP42" s="13"/>
      <c r="NJQ42" s="13"/>
      <c r="NJR42" s="13"/>
      <c r="NJS42" s="13"/>
      <c r="NJT42" s="13"/>
      <c r="NJU42" s="13"/>
      <c r="NJV42" s="13"/>
      <c r="NJW42" s="13"/>
      <c r="NJX42" s="13"/>
      <c r="NJY42" s="13"/>
      <c r="NJZ42" s="13"/>
      <c r="NKA42" s="13"/>
      <c r="NKB42" s="13"/>
      <c r="NKC42" s="13"/>
      <c r="NKD42" s="13"/>
      <c r="NKE42" s="13"/>
      <c r="NKF42" s="13"/>
      <c r="NKG42" s="13"/>
      <c r="NKH42" s="13"/>
      <c r="NKI42" s="13"/>
      <c r="NKJ42" s="13"/>
      <c r="NKK42" s="13"/>
      <c r="NKL42" s="13"/>
      <c r="NKM42" s="13"/>
      <c r="NKN42" s="13"/>
      <c r="NKO42" s="13"/>
      <c r="NKP42" s="13"/>
      <c r="NKQ42" s="13"/>
      <c r="NKR42" s="13"/>
      <c r="NKS42" s="13"/>
      <c r="NKT42" s="13"/>
      <c r="NKU42" s="13"/>
      <c r="NKV42" s="13"/>
      <c r="NKW42" s="13"/>
      <c r="NKX42" s="13"/>
      <c r="NKY42" s="13"/>
      <c r="NKZ42" s="13"/>
      <c r="NLA42" s="13"/>
      <c r="NLB42" s="13"/>
      <c r="NLC42" s="13"/>
      <c r="NLD42" s="13"/>
      <c r="NLE42" s="13"/>
      <c r="NLF42" s="13"/>
      <c r="NLG42" s="13"/>
      <c r="NLH42" s="13"/>
      <c r="NLI42" s="13"/>
      <c r="NLJ42" s="13"/>
      <c r="NLK42" s="13"/>
      <c r="NLL42" s="13"/>
      <c r="NLM42" s="13"/>
      <c r="NLN42" s="13"/>
      <c r="NLO42" s="13"/>
      <c r="NLP42" s="13"/>
      <c r="NLQ42" s="13"/>
      <c r="NLR42" s="13"/>
      <c r="NLS42" s="13"/>
      <c r="NLT42" s="13"/>
      <c r="NLU42" s="13"/>
      <c r="NLV42" s="13"/>
      <c r="NLW42" s="13"/>
      <c r="NLX42" s="13"/>
      <c r="NLY42" s="13"/>
      <c r="NLZ42" s="13"/>
      <c r="NMA42" s="13"/>
      <c r="NMB42" s="13"/>
      <c r="NMC42" s="13"/>
      <c r="NMD42" s="13"/>
      <c r="NME42" s="13"/>
      <c r="NMF42" s="13"/>
      <c r="NMG42" s="13"/>
      <c r="NMH42" s="13"/>
      <c r="NMI42" s="13"/>
      <c r="NMJ42" s="13"/>
      <c r="NMK42" s="13"/>
      <c r="NML42" s="13"/>
      <c r="NMM42" s="13"/>
      <c r="NMN42" s="13"/>
      <c r="NMO42" s="13"/>
      <c r="NMP42" s="13"/>
      <c r="NMQ42" s="13"/>
      <c r="NMR42" s="13"/>
      <c r="NMS42" s="13"/>
      <c r="NMT42" s="13"/>
      <c r="NMU42" s="13"/>
      <c r="NMV42" s="13"/>
      <c r="NMW42" s="13"/>
      <c r="NMX42" s="13"/>
      <c r="NMY42" s="13"/>
      <c r="NMZ42" s="13"/>
      <c r="NNA42" s="13"/>
      <c r="NNB42" s="13"/>
      <c r="NNC42" s="13"/>
      <c r="NND42" s="13"/>
      <c r="NNE42" s="13"/>
      <c r="NNF42" s="13"/>
      <c r="NNG42" s="13"/>
      <c r="NNH42" s="13"/>
      <c r="NNI42" s="13"/>
      <c r="NNJ42" s="13"/>
      <c r="NNK42" s="13"/>
      <c r="NNL42" s="13"/>
      <c r="NNM42" s="13"/>
      <c r="NNN42" s="13"/>
      <c r="NNO42" s="13"/>
      <c r="NNP42" s="13"/>
      <c r="NNQ42" s="13"/>
      <c r="NNR42" s="13"/>
      <c r="NNS42" s="13"/>
      <c r="NNT42" s="13"/>
      <c r="NNU42" s="13"/>
      <c r="NNV42" s="13"/>
      <c r="NNW42" s="13"/>
      <c r="NNX42" s="13"/>
      <c r="NNY42" s="13"/>
      <c r="NNZ42" s="13"/>
      <c r="NOA42" s="13"/>
      <c r="NOB42" s="13"/>
      <c r="NOC42" s="13"/>
      <c r="NOD42" s="13"/>
      <c r="NOE42" s="13"/>
      <c r="NOF42" s="13"/>
      <c r="NOG42" s="13"/>
      <c r="NOH42" s="13"/>
      <c r="NOI42" s="13"/>
      <c r="NOJ42" s="13"/>
      <c r="NOK42" s="13"/>
      <c r="NOL42" s="13"/>
      <c r="NOM42" s="13"/>
      <c r="NON42" s="13"/>
      <c r="NOO42" s="13"/>
      <c r="NOP42" s="13"/>
      <c r="NOQ42" s="13"/>
      <c r="NOR42" s="13"/>
      <c r="NOS42" s="13"/>
      <c r="NOT42" s="13"/>
      <c r="NOU42" s="13"/>
      <c r="NOV42" s="13"/>
      <c r="NOW42" s="13"/>
      <c r="NOX42" s="13"/>
      <c r="NOY42" s="13"/>
      <c r="NOZ42" s="13"/>
      <c r="NPA42" s="13"/>
      <c r="NPB42" s="13"/>
      <c r="NPC42" s="13"/>
      <c r="NPD42" s="13"/>
      <c r="NPE42" s="13"/>
      <c r="NPF42" s="13"/>
      <c r="NPG42" s="13"/>
      <c r="NPH42" s="13"/>
      <c r="NPI42" s="13"/>
      <c r="NPJ42" s="13"/>
      <c r="NPK42" s="13"/>
      <c r="NPL42" s="13"/>
      <c r="NPM42" s="13"/>
      <c r="NPN42" s="13"/>
      <c r="NPO42" s="13"/>
      <c r="NPP42" s="13"/>
      <c r="NPQ42" s="13"/>
      <c r="NPR42" s="13"/>
      <c r="NPS42" s="13"/>
      <c r="NPT42" s="13"/>
      <c r="NPU42" s="13"/>
      <c r="NPV42" s="13"/>
      <c r="NPW42" s="13"/>
      <c r="NPX42" s="13"/>
      <c r="NPY42" s="13"/>
      <c r="NPZ42" s="13"/>
      <c r="NQA42" s="13"/>
      <c r="NQB42" s="13"/>
      <c r="NQC42" s="13"/>
      <c r="NQD42" s="13"/>
      <c r="NQE42" s="13"/>
      <c r="NQF42" s="13"/>
      <c r="NQG42" s="13"/>
      <c r="NQH42" s="13"/>
      <c r="NQI42" s="13"/>
      <c r="NQJ42" s="13"/>
      <c r="NQK42" s="13"/>
      <c r="NQL42" s="13"/>
      <c r="NQM42" s="13"/>
      <c r="NQN42" s="13"/>
      <c r="NQO42" s="13"/>
      <c r="NQP42" s="13"/>
      <c r="NQQ42" s="13"/>
      <c r="NQR42" s="13"/>
      <c r="NQS42" s="13"/>
      <c r="NQT42" s="13"/>
      <c r="NQU42" s="13"/>
      <c r="NQV42" s="13"/>
      <c r="NQW42" s="13"/>
      <c r="NQX42" s="13"/>
      <c r="NQY42" s="13"/>
      <c r="NQZ42" s="13"/>
      <c r="NRA42" s="13"/>
      <c r="NRB42" s="13"/>
      <c r="NRC42" s="13"/>
      <c r="NRD42" s="13"/>
      <c r="NRE42" s="13"/>
      <c r="NRF42" s="13"/>
      <c r="NRG42" s="13"/>
      <c r="NRH42" s="13"/>
      <c r="NRI42" s="13"/>
      <c r="NRJ42" s="13"/>
      <c r="NRK42" s="13"/>
      <c r="NRL42" s="13"/>
      <c r="NRM42" s="13"/>
      <c r="NRN42" s="13"/>
      <c r="NRO42" s="13"/>
      <c r="NRP42" s="13"/>
      <c r="NRQ42" s="13"/>
      <c r="NRR42" s="13"/>
      <c r="NRS42" s="13"/>
      <c r="NRT42" s="13"/>
      <c r="NRU42" s="13"/>
      <c r="NRV42" s="13"/>
      <c r="NRW42" s="13"/>
      <c r="NRX42" s="13"/>
      <c r="NRY42" s="13"/>
      <c r="NRZ42" s="13"/>
      <c r="NSA42" s="13"/>
      <c r="NSB42" s="13"/>
      <c r="NSC42" s="13"/>
      <c r="NSD42" s="13"/>
      <c r="NSE42" s="13"/>
      <c r="NSF42" s="13"/>
      <c r="NSG42" s="13"/>
      <c r="NSH42" s="13"/>
      <c r="NSI42" s="13"/>
      <c r="NSJ42" s="13"/>
      <c r="NSK42" s="13"/>
      <c r="NSL42" s="13"/>
      <c r="NSM42" s="13"/>
      <c r="NSN42" s="13"/>
      <c r="NSO42" s="13"/>
      <c r="NSP42" s="13"/>
      <c r="NSQ42" s="13"/>
      <c r="NSR42" s="13"/>
      <c r="NSS42" s="13"/>
      <c r="NST42" s="13"/>
      <c r="NSU42" s="13"/>
      <c r="NSV42" s="13"/>
      <c r="NSW42" s="13"/>
      <c r="NSX42" s="13"/>
      <c r="NSY42" s="13"/>
      <c r="NSZ42" s="13"/>
      <c r="NTA42" s="13"/>
      <c r="NTB42" s="13"/>
      <c r="NTC42" s="13"/>
      <c r="NTD42" s="13"/>
      <c r="NTE42" s="13"/>
      <c r="NTF42" s="13"/>
      <c r="NTG42" s="13"/>
      <c r="NTH42" s="13"/>
      <c r="NTI42" s="13"/>
      <c r="NTJ42" s="13"/>
      <c r="NTK42" s="13"/>
      <c r="NTL42" s="13"/>
      <c r="NTM42" s="13"/>
      <c r="NTN42" s="13"/>
      <c r="NTO42" s="13"/>
      <c r="NTP42" s="13"/>
      <c r="NTQ42" s="13"/>
      <c r="NTR42" s="13"/>
      <c r="NTS42" s="13"/>
      <c r="NTT42" s="13"/>
      <c r="NTU42" s="13"/>
      <c r="NTV42" s="13"/>
      <c r="NTW42" s="13"/>
      <c r="NTX42" s="13"/>
      <c r="NTY42" s="13"/>
      <c r="NTZ42" s="13"/>
      <c r="NUA42" s="13"/>
      <c r="NUB42" s="13"/>
      <c r="NUC42" s="13"/>
      <c r="NUD42" s="13"/>
      <c r="NUE42" s="13"/>
      <c r="NUF42" s="13"/>
      <c r="NUG42" s="13"/>
      <c r="NUH42" s="13"/>
      <c r="NUI42" s="13"/>
      <c r="NUJ42" s="13"/>
      <c r="NUK42" s="13"/>
      <c r="NUL42" s="13"/>
      <c r="NUM42" s="13"/>
      <c r="NUN42" s="13"/>
      <c r="NUO42" s="13"/>
      <c r="NUP42" s="13"/>
      <c r="NUQ42" s="13"/>
      <c r="NUR42" s="13"/>
      <c r="NUS42" s="13"/>
      <c r="NUT42" s="13"/>
      <c r="NUU42" s="13"/>
      <c r="NUV42" s="13"/>
      <c r="NUW42" s="13"/>
      <c r="NUX42" s="13"/>
      <c r="NUY42" s="13"/>
      <c r="NUZ42" s="13"/>
      <c r="NVA42" s="13"/>
      <c r="NVB42" s="13"/>
      <c r="NVC42" s="13"/>
      <c r="NVD42" s="13"/>
      <c r="NVE42" s="13"/>
      <c r="NVF42" s="13"/>
      <c r="NVG42" s="13"/>
      <c r="NVH42" s="13"/>
      <c r="NVI42" s="13"/>
      <c r="NVJ42" s="13"/>
      <c r="NVK42" s="13"/>
      <c r="NVL42" s="13"/>
      <c r="NVM42" s="13"/>
      <c r="NVN42" s="13"/>
      <c r="NVO42" s="13"/>
      <c r="NVP42" s="13"/>
      <c r="NVQ42" s="13"/>
      <c r="NVR42" s="13"/>
      <c r="NVS42" s="13"/>
      <c r="NVT42" s="13"/>
      <c r="NVU42" s="13"/>
      <c r="NVV42" s="13"/>
      <c r="NVW42" s="13"/>
      <c r="NVX42" s="13"/>
      <c r="NVY42" s="13"/>
      <c r="NVZ42" s="13"/>
      <c r="NWA42" s="13"/>
      <c r="NWB42" s="13"/>
      <c r="NWC42" s="13"/>
      <c r="NWD42" s="13"/>
      <c r="NWE42" s="13"/>
      <c r="NWF42" s="13"/>
      <c r="NWG42" s="13"/>
      <c r="NWH42" s="13"/>
      <c r="NWI42" s="13"/>
      <c r="NWJ42" s="13"/>
      <c r="NWK42" s="13"/>
      <c r="NWL42" s="13"/>
      <c r="NWM42" s="13"/>
      <c r="NWN42" s="13"/>
      <c r="NWO42" s="13"/>
      <c r="NWP42" s="13"/>
      <c r="NWQ42" s="13"/>
      <c r="NWR42" s="13"/>
      <c r="NWS42" s="13"/>
      <c r="NWT42" s="13"/>
      <c r="NWU42" s="13"/>
      <c r="NWV42" s="13"/>
      <c r="NWW42" s="13"/>
      <c r="NWX42" s="13"/>
      <c r="NWY42" s="13"/>
      <c r="NWZ42" s="13"/>
      <c r="NXA42" s="13"/>
      <c r="NXB42" s="13"/>
      <c r="NXC42" s="13"/>
      <c r="NXD42" s="13"/>
      <c r="NXE42" s="13"/>
      <c r="NXF42" s="13"/>
      <c r="NXG42" s="13"/>
      <c r="NXH42" s="13"/>
      <c r="NXI42" s="13"/>
      <c r="NXJ42" s="13"/>
      <c r="NXK42" s="13"/>
      <c r="NXL42" s="13"/>
      <c r="NXM42" s="13"/>
      <c r="NXN42" s="13"/>
      <c r="NXO42" s="13"/>
      <c r="NXP42" s="13"/>
      <c r="NXQ42" s="13"/>
      <c r="NXR42" s="13"/>
      <c r="NXS42" s="13"/>
      <c r="NXT42" s="13"/>
      <c r="NXU42" s="13"/>
      <c r="NXV42" s="13"/>
      <c r="NXW42" s="13"/>
      <c r="NXX42" s="13"/>
      <c r="NXY42" s="13"/>
      <c r="NXZ42" s="13"/>
      <c r="NYA42" s="13"/>
      <c r="NYB42" s="13"/>
      <c r="NYC42" s="13"/>
      <c r="NYD42" s="13"/>
      <c r="NYE42" s="13"/>
      <c r="NYF42" s="13"/>
      <c r="NYG42" s="13"/>
      <c r="NYH42" s="13"/>
      <c r="NYI42" s="13"/>
      <c r="NYJ42" s="13"/>
      <c r="NYK42" s="13"/>
      <c r="NYL42" s="13"/>
      <c r="NYM42" s="13"/>
      <c r="NYN42" s="13"/>
      <c r="NYO42" s="13"/>
      <c r="NYP42" s="13"/>
      <c r="NYQ42" s="13"/>
      <c r="NYR42" s="13"/>
      <c r="NYS42" s="13"/>
      <c r="NYT42" s="13"/>
      <c r="NYU42" s="13"/>
      <c r="NYV42" s="13"/>
      <c r="NYW42" s="13"/>
      <c r="NYX42" s="13"/>
      <c r="NYY42" s="13"/>
      <c r="NYZ42" s="13"/>
      <c r="NZA42" s="13"/>
      <c r="NZB42" s="13"/>
      <c r="NZC42" s="13"/>
      <c r="NZD42" s="13"/>
      <c r="NZE42" s="13"/>
      <c r="NZF42" s="13"/>
      <c r="NZG42" s="13"/>
      <c r="NZH42" s="13"/>
      <c r="NZI42" s="13"/>
      <c r="NZJ42" s="13"/>
      <c r="NZK42" s="13"/>
      <c r="NZL42" s="13"/>
      <c r="NZM42" s="13"/>
      <c r="NZN42" s="13"/>
      <c r="NZO42" s="13"/>
      <c r="NZP42" s="13"/>
      <c r="NZQ42" s="13"/>
      <c r="NZR42" s="13"/>
      <c r="NZS42" s="13"/>
      <c r="NZT42" s="13"/>
      <c r="NZU42" s="13"/>
      <c r="NZV42" s="13"/>
      <c r="NZW42" s="13"/>
      <c r="NZX42" s="13"/>
      <c r="NZY42" s="13"/>
      <c r="NZZ42" s="13"/>
      <c r="OAA42" s="13"/>
      <c r="OAB42" s="13"/>
      <c r="OAC42" s="13"/>
      <c r="OAD42" s="13"/>
      <c r="OAE42" s="13"/>
      <c r="OAF42" s="13"/>
      <c r="OAG42" s="13"/>
      <c r="OAH42" s="13"/>
      <c r="OAI42" s="13"/>
      <c r="OAJ42" s="13"/>
      <c r="OAK42" s="13"/>
      <c r="OAL42" s="13"/>
      <c r="OAM42" s="13"/>
      <c r="OAN42" s="13"/>
      <c r="OAO42" s="13"/>
      <c r="OAP42" s="13"/>
      <c r="OAQ42" s="13"/>
      <c r="OAR42" s="13"/>
      <c r="OAS42" s="13"/>
      <c r="OAT42" s="13"/>
      <c r="OAU42" s="13"/>
      <c r="OAV42" s="13"/>
      <c r="OAW42" s="13"/>
      <c r="OAX42" s="13"/>
      <c r="OAY42" s="13"/>
      <c r="OAZ42" s="13"/>
      <c r="OBA42" s="13"/>
      <c r="OBB42" s="13"/>
      <c r="OBC42" s="13"/>
      <c r="OBD42" s="13"/>
      <c r="OBE42" s="13"/>
      <c r="OBF42" s="13"/>
      <c r="OBG42" s="13"/>
      <c r="OBH42" s="13"/>
      <c r="OBI42" s="13"/>
      <c r="OBJ42" s="13"/>
      <c r="OBK42" s="13"/>
      <c r="OBL42" s="13"/>
      <c r="OBM42" s="13"/>
      <c r="OBN42" s="13"/>
      <c r="OBO42" s="13"/>
      <c r="OBP42" s="13"/>
      <c r="OBQ42" s="13"/>
      <c r="OBR42" s="13"/>
      <c r="OBS42" s="13"/>
      <c r="OBT42" s="13"/>
      <c r="OBU42" s="13"/>
      <c r="OBV42" s="13"/>
      <c r="OBW42" s="13"/>
      <c r="OBX42" s="13"/>
      <c r="OBY42" s="13"/>
      <c r="OBZ42" s="13"/>
      <c r="OCA42" s="13"/>
      <c r="OCB42" s="13"/>
      <c r="OCC42" s="13"/>
      <c r="OCD42" s="13"/>
      <c r="OCE42" s="13"/>
      <c r="OCF42" s="13"/>
      <c r="OCG42" s="13"/>
      <c r="OCH42" s="13"/>
      <c r="OCI42" s="13"/>
      <c r="OCJ42" s="13"/>
      <c r="OCK42" s="13"/>
      <c r="OCL42" s="13"/>
      <c r="OCM42" s="13"/>
      <c r="OCN42" s="13"/>
      <c r="OCO42" s="13"/>
      <c r="OCP42" s="13"/>
      <c r="OCQ42" s="13"/>
      <c r="OCR42" s="13"/>
      <c r="OCS42" s="13"/>
      <c r="OCT42" s="13"/>
      <c r="OCU42" s="13"/>
      <c r="OCV42" s="13"/>
      <c r="OCW42" s="13"/>
      <c r="OCX42" s="13"/>
      <c r="OCY42" s="13"/>
      <c r="OCZ42" s="13"/>
      <c r="ODA42" s="13"/>
      <c r="ODB42" s="13"/>
      <c r="ODC42" s="13"/>
      <c r="ODD42" s="13"/>
      <c r="ODE42" s="13"/>
      <c r="ODF42" s="13"/>
      <c r="ODG42" s="13"/>
      <c r="ODH42" s="13"/>
      <c r="ODI42" s="13"/>
      <c r="ODJ42" s="13"/>
      <c r="ODK42" s="13"/>
      <c r="ODL42" s="13"/>
      <c r="ODM42" s="13"/>
      <c r="ODN42" s="13"/>
      <c r="ODO42" s="13"/>
      <c r="ODP42" s="13"/>
      <c r="ODQ42" s="13"/>
      <c r="ODR42" s="13"/>
      <c r="ODS42" s="13"/>
      <c r="ODT42" s="13"/>
      <c r="ODU42" s="13"/>
      <c r="ODV42" s="13"/>
      <c r="ODW42" s="13"/>
      <c r="ODX42" s="13"/>
      <c r="ODY42" s="13"/>
      <c r="ODZ42" s="13"/>
      <c r="OEA42" s="13"/>
      <c r="OEB42" s="13"/>
      <c r="OEC42" s="13"/>
      <c r="OED42" s="13"/>
      <c r="OEE42" s="13"/>
      <c r="OEF42" s="13"/>
      <c r="OEG42" s="13"/>
      <c r="OEH42" s="13"/>
      <c r="OEI42" s="13"/>
      <c r="OEJ42" s="13"/>
      <c r="OEK42" s="13"/>
      <c r="OEL42" s="13"/>
      <c r="OEM42" s="13"/>
      <c r="OEN42" s="13"/>
      <c r="OEO42" s="13"/>
      <c r="OEP42" s="13"/>
      <c r="OEQ42" s="13"/>
      <c r="OER42" s="13"/>
      <c r="OES42" s="13"/>
      <c r="OET42" s="13"/>
      <c r="OEU42" s="13"/>
      <c r="OEV42" s="13"/>
      <c r="OEW42" s="13"/>
      <c r="OEX42" s="13"/>
      <c r="OEY42" s="13"/>
      <c r="OEZ42" s="13"/>
      <c r="OFA42" s="13"/>
      <c r="OFB42" s="13"/>
      <c r="OFC42" s="13"/>
      <c r="OFD42" s="13"/>
      <c r="OFE42" s="13"/>
      <c r="OFF42" s="13"/>
      <c r="OFG42" s="13"/>
      <c r="OFH42" s="13"/>
      <c r="OFI42" s="13"/>
      <c r="OFJ42" s="13"/>
      <c r="OFK42" s="13"/>
      <c r="OFL42" s="13"/>
      <c r="OFM42" s="13"/>
      <c r="OFN42" s="13"/>
      <c r="OFO42" s="13"/>
      <c r="OFP42" s="13"/>
      <c r="OFQ42" s="13"/>
      <c r="OFR42" s="13"/>
      <c r="OFS42" s="13"/>
      <c r="OFT42" s="13"/>
      <c r="OFU42" s="13"/>
      <c r="OFV42" s="13"/>
      <c r="OFW42" s="13"/>
      <c r="OFX42" s="13"/>
      <c r="OFY42" s="13"/>
      <c r="OFZ42" s="13"/>
      <c r="OGA42" s="13"/>
      <c r="OGB42" s="13"/>
      <c r="OGC42" s="13"/>
      <c r="OGD42" s="13"/>
      <c r="OGE42" s="13"/>
      <c r="OGF42" s="13"/>
      <c r="OGG42" s="13"/>
      <c r="OGH42" s="13"/>
      <c r="OGI42" s="13"/>
      <c r="OGJ42" s="13"/>
      <c r="OGK42" s="13"/>
      <c r="OGL42" s="13"/>
      <c r="OGM42" s="13"/>
      <c r="OGN42" s="13"/>
      <c r="OGO42" s="13"/>
      <c r="OGP42" s="13"/>
      <c r="OGQ42" s="13"/>
      <c r="OGR42" s="13"/>
      <c r="OGS42" s="13"/>
      <c r="OGT42" s="13"/>
      <c r="OGU42" s="13"/>
      <c r="OGV42" s="13"/>
      <c r="OGW42" s="13"/>
      <c r="OGX42" s="13"/>
      <c r="OGY42" s="13"/>
      <c r="OGZ42" s="13"/>
      <c r="OHA42" s="13"/>
      <c r="OHB42" s="13"/>
      <c r="OHC42" s="13"/>
      <c r="OHD42" s="13"/>
      <c r="OHE42" s="13"/>
      <c r="OHF42" s="13"/>
      <c r="OHG42" s="13"/>
      <c r="OHH42" s="13"/>
      <c r="OHI42" s="13"/>
      <c r="OHJ42" s="13"/>
      <c r="OHK42" s="13"/>
      <c r="OHL42" s="13"/>
      <c r="OHM42" s="13"/>
      <c r="OHN42" s="13"/>
      <c r="OHO42" s="13"/>
      <c r="OHP42" s="13"/>
      <c r="OHQ42" s="13"/>
      <c r="OHR42" s="13"/>
      <c r="OHS42" s="13"/>
      <c r="OHT42" s="13"/>
      <c r="OHU42" s="13"/>
      <c r="OHV42" s="13"/>
      <c r="OHW42" s="13"/>
      <c r="OHX42" s="13"/>
      <c r="OHY42" s="13"/>
      <c r="OHZ42" s="13"/>
      <c r="OIA42" s="13"/>
      <c r="OIB42" s="13"/>
      <c r="OIC42" s="13"/>
      <c r="OID42" s="13"/>
      <c r="OIE42" s="13"/>
      <c r="OIF42" s="13"/>
      <c r="OIG42" s="13"/>
      <c r="OIH42" s="13"/>
      <c r="OII42" s="13"/>
      <c r="OIJ42" s="13"/>
      <c r="OIK42" s="13"/>
      <c r="OIL42" s="13"/>
      <c r="OIM42" s="13"/>
      <c r="OIN42" s="13"/>
      <c r="OIO42" s="13"/>
      <c r="OIP42" s="13"/>
      <c r="OIQ42" s="13"/>
      <c r="OIR42" s="13"/>
      <c r="OIS42" s="13"/>
      <c r="OIT42" s="13"/>
      <c r="OIU42" s="13"/>
      <c r="OIV42" s="13"/>
      <c r="OIW42" s="13"/>
      <c r="OIX42" s="13"/>
      <c r="OIY42" s="13"/>
      <c r="OIZ42" s="13"/>
      <c r="OJA42" s="13"/>
      <c r="OJB42" s="13"/>
      <c r="OJC42" s="13"/>
      <c r="OJD42" s="13"/>
      <c r="OJE42" s="13"/>
      <c r="OJF42" s="13"/>
      <c r="OJG42" s="13"/>
      <c r="OJH42" s="13"/>
      <c r="OJI42" s="13"/>
      <c r="OJJ42" s="13"/>
      <c r="OJK42" s="13"/>
      <c r="OJL42" s="13"/>
      <c r="OJM42" s="13"/>
      <c r="OJN42" s="13"/>
      <c r="OJO42" s="13"/>
      <c r="OJP42" s="13"/>
      <c r="OJQ42" s="13"/>
      <c r="OJR42" s="13"/>
      <c r="OJS42" s="13"/>
      <c r="OJT42" s="13"/>
      <c r="OJU42" s="13"/>
      <c r="OJV42" s="13"/>
      <c r="OJW42" s="13"/>
      <c r="OJX42" s="13"/>
      <c r="OJY42" s="13"/>
      <c r="OJZ42" s="13"/>
      <c r="OKA42" s="13"/>
      <c r="OKB42" s="13"/>
      <c r="OKC42" s="13"/>
      <c r="OKD42" s="13"/>
      <c r="OKE42" s="13"/>
      <c r="OKF42" s="13"/>
      <c r="OKG42" s="13"/>
      <c r="OKH42" s="13"/>
      <c r="OKI42" s="13"/>
      <c r="OKJ42" s="13"/>
      <c r="OKK42" s="13"/>
      <c r="OKL42" s="13"/>
      <c r="OKM42" s="13"/>
      <c r="OKN42" s="13"/>
      <c r="OKO42" s="13"/>
      <c r="OKP42" s="13"/>
      <c r="OKQ42" s="13"/>
      <c r="OKR42" s="13"/>
      <c r="OKS42" s="13"/>
      <c r="OKT42" s="13"/>
      <c r="OKU42" s="13"/>
      <c r="OKV42" s="13"/>
      <c r="OKW42" s="13"/>
      <c r="OKX42" s="13"/>
      <c r="OKY42" s="13"/>
      <c r="OKZ42" s="13"/>
      <c r="OLA42" s="13"/>
      <c r="OLB42" s="13"/>
      <c r="OLC42" s="13"/>
      <c r="OLD42" s="13"/>
      <c r="OLE42" s="13"/>
      <c r="OLF42" s="13"/>
      <c r="OLG42" s="13"/>
      <c r="OLH42" s="13"/>
      <c r="OLI42" s="13"/>
      <c r="OLJ42" s="13"/>
      <c r="OLK42" s="13"/>
      <c r="OLL42" s="13"/>
      <c r="OLM42" s="13"/>
      <c r="OLN42" s="13"/>
      <c r="OLO42" s="13"/>
      <c r="OLP42" s="13"/>
      <c r="OLQ42" s="13"/>
      <c r="OLR42" s="13"/>
      <c r="OLS42" s="13"/>
      <c r="OLT42" s="13"/>
      <c r="OLU42" s="13"/>
      <c r="OLV42" s="13"/>
      <c r="OLW42" s="13"/>
      <c r="OLX42" s="13"/>
      <c r="OLY42" s="13"/>
      <c r="OLZ42" s="13"/>
      <c r="OMA42" s="13"/>
      <c r="OMB42" s="13"/>
      <c r="OMC42" s="13"/>
      <c r="OMD42" s="13"/>
      <c r="OME42" s="13"/>
      <c r="OMF42" s="13"/>
      <c r="OMG42" s="13"/>
      <c r="OMH42" s="13"/>
      <c r="OMI42" s="13"/>
      <c r="OMJ42" s="13"/>
      <c r="OMK42" s="13"/>
      <c r="OML42" s="13"/>
      <c r="OMM42" s="13"/>
      <c r="OMN42" s="13"/>
      <c r="OMO42" s="13"/>
      <c r="OMP42" s="13"/>
      <c r="OMQ42" s="13"/>
      <c r="OMR42" s="13"/>
      <c r="OMS42" s="13"/>
      <c r="OMT42" s="13"/>
      <c r="OMU42" s="13"/>
      <c r="OMV42" s="13"/>
      <c r="OMW42" s="13"/>
      <c r="OMX42" s="13"/>
      <c r="OMY42" s="13"/>
      <c r="OMZ42" s="13"/>
      <c r="ONA42" s="13"/>
      <c r="ONB42" s="13"/>
      <c r="ONC42" s="13"/>
      <c r="OND42" s="13"/>
      <c r="ONE42" s="13"/>
      <c r="ONF42" s="13"/>
      <c r="ONG42" s="13"/>
      <c r="ONH42" s="13"/>
      <c r="ONI42" s="13"/>
      <c r="ONJ42" s="13"/>
      <c r="ONK42" s="13"/>
      <c r="ONL42" s="13"/>
      <c r="ONM42" s="13"/>
      <c r="ONN42" s="13"/>
      <c r="ONO42" s="13"/>
      <c r="ONP42" s="13"/>
      <c r="ONQ42" s="13"/>
      <c r="ONR42" s="13"/>
      <c r="ONS42" s="13"/>
      <c r="ONT42" s="13"/>
      <c r="ONU42" s="13"/>
      <c r="ONV42" s="13"/>
      <c r="ONW42" s="13"/>
      <c r="ONX42" s="13"/>
      <c r="ONY42" s="13"/>
      <c r="ONZ42" s="13"/>
      <c r="OOA42" s="13"/>
      <c r="OOB42" s="13"/>
      <c r="OOC42" s="13"/>
      <c r="OOD42" s="13"/>
      <c r="OOE42" s="13"/>
      <c r="OOF42" s="13"/>
      <c r="OOG42" s="13"/>
      <c r="OOH42" s="13"/>
      <c r="OOI42" s="13"/>
      <c r="OOJ42" s="13"/>
      <c r="OOK42" s="13"/>
      <c r="OOL42" s="13"/>
      <c r="OOM42" s="13"/>
      <c r="OON42" s="13"/>
      <c r="OOO42" s="13"/>
      <c r="OOP42" s="13"/>
      <c r="OOQ42" s="13"/>
      <c r="OOR42" s="13"/>
      <c r="OOS42" s="13"/>
      <c r="OOT42" s="13"/>
      <c r="OOU42" s="13"/>
      <c r="OOV42" s="13"/>
      <c r="OOW42" s="13"/>
      <c r="OOX42" s="13"/>
      <c r="OOY42" s="13"/>
      <c r="OOZ42" s="13"/>
      <c r="OPA42" s="13"/>
      <c r="OPB42" s="13"/>
      <c r="OPC42" s="13"/>
      <c r="OPD42" s="13"/>
      <c r="OPE42" s="13"/>
      <c r="OPF42" s="13"/>
      <c r="OPG42" s="13"/>
      <c r="OPH42" s="13"/>
      <c r="OPI42" s="13"/>
      <c r="OPJ42" s="13"/>
      <c r="OPK42" s="13"/>
      <c r="OPL42" s="13"/>
      <c r="OPM42" s="13"/>
      <c r="OPN42" s="13"/>
      <c r="OPO42" s="13"/>
      <c r="OPP42" s="13"/>
      <c r="OPQ42" s="13"/>
      <c r="OPR42" s="13"/>
      <c r="OPS42" s="13"/>
      <c r="OPT42" s="13"/>
      <c r="OPU42" s="13"/>
      <c r="OPV42" s="13"/>
      <c r="OPW42" s="13"/>
      <c r="OPX42" s="13"/>
      <c r="OPY42" s="13"/>
      <c r="OPZ42" s="13"/>
      <c r="OQA42" s="13"/>
      <c r="OQB42" s="13"/>
      <c r="OQC42" s="13"/>
      <c r="OQD42" s="13"/>
      <c r="OQE42" s="13"/>
      <c r="OQF42" s="13"/>
      <c r="OQG42" s="13"/>
      <c r="OQH42" s="13"/>
      <c r="OQI42" s="13"/>
      <c r="OQJ42" s="13"/>
      <c r="OQK42" s="13"/>
      <c r="OQL42" s="13"/>
      <c r="OQM42" s="13"/>
      <c r="OQN42" s="13"/>
      <c r="OQO42" s="13"/>
      <c r="OQP42" s="13"/>
      <c r="OQQ42" s="13"/>
      <c r="OQR42" s="13"/>
      <c r="OQS42" s="13"/>
      <c r="OQT42" s="13"/>
      <c r="OQU42" s="13"/>
      <c r="OQV42" s="13"/>
      <c r="OQW42" s="13"/>
      <c r="OQX42" s="13"/>
      <c r="OQY42" s="13"/>
      <c r="OQZ42" s="13"/>
      <c r="ORA42" s="13"/>
      <c r="ORB42" s="13"/>
      <c r="ORC42" s="13"/>
      <c r="ORD42" s="13"/>
      <c r="ORE42" s="13"/>
      <c r="ORF42" s="13"/>
      <c r="ORG42" s="13"/>
      <c r="ORH42" s="13"/>
      <c r="ORI42" s="13"/>
      <c r="ORJ42" s="13"/>
      <c r="ORK42" s="13"/>
      <c r="ORL42" s="13"/>
      <c r="ORM42" s="13"/>
      <c r="ORN42" s="13"/>
      <c r="ORO42" s="13"/>
      <c r="ORP42" s="13"/>
      <c r="ORQ42" s="13"/>
      <c r="ORR42" s="13"/>
      <c r="ORS42" s="13"/>
      <c r="ORT42" s="13"/>
      <c r="ORU42" s="13"/>
      <c r="ORV42" s="13"/>
      <c r="ORW42" s="13"/>
      <c r="ORX42" s="13"/>
      <c r="ORY42" s="13"/>
      <c r="ORZ42" s="13"/>
      <c r="OSA42" s="13"/>
      <c r="OSB42" s="13"/>
      <c r="OSC42" s="13"/>
      <c r="OSD42" s="13"/>
      <c r="OSE42" s="13"/>
      <c r="OSF42" s="13"/>
      <c r="OSG42" s="13"/>
      <c r="OSH42" s="13"/>
      <c r="OSI42" s="13"/>
      <c r="OSJ42" s="13"/>
      <c r="OSK42" s="13"/>
      <c r="OSL42" s="13"/>
      <c r="OSM42" s="13"/>
      <c r="OSN42" s="13"/>
      <c r="OSO42" s="13"/>
      <c r="OSP42" s="13"/>
      <c r="OSQ42" s="13"/>
      <c r="OSR42" s="13"/>
      <c r="OSS42" s="13"/>
      <c r="OST42" s="13"/>
      <c r="OSU42" s="13"/>
      <c r="OSV42" s="13"/>
      <c r="OSW42" s="13"/>
      <c r="OSX42" s="13"/>
      <c r="OSY42" s="13"/>
      <c r="OSZ42" s="13"/>
      <c r="OTA42" s="13"/>
      <c r="OTB42" s="13"/>
      <c r="OTC42" s="13"/>
      <c r="OTD42" s="13"/>
      <c r="OTE42" s="13"/>
      <c r="OTF42" s="13"/>
      <c r="OTG42" s="13"/>
      <c r="OTH42" s="13"/>
      <c r="OTI42" s="13"/>
      <c r="OTJ42" s="13"/>
      <c r="OTK42" s="13"/>
      <c r="OTL42" s="13"/>
      <c r="OTM42" s="13"/>
      <c r="OTN42" s="13"/>
      <c r="OTO42" s="13"/>
      <c r="OTP42" s="13"/>
      <c r="OTQ42" s="13"/>
      <c r="OTR42" s="13"/>
      <c r="OTS42" s="13"/>
      <c r="OTT42" s="13"/>
      <c r="OTU42" s="13"/>
      <c r="OTV42" s="13"/>
      <c r="OTW42" s="13"/>
      <c r="OTX42" s="13"/>
      <c r="OTY42" s="13"/>
      <c r="OTZ42" s="13"/>
      <c r="OUA42" s="13"/>
      <c r="OUB42" s="13"/>
      <c r="OUC42" s="13"/>
      <c r="OUD42" s="13"/>
      <c r="OUE42" s="13"/>
      <c r="OUF42" s="13"/>
      <c r="OUG42" s="13"/>
      <c r="OUH42" s="13"/>
      <c r="OUI42" s="13"/>
      <c r="OUJ42" s="13"/>
      <c r="OUK42" s="13"/>
      <c r="OUL42" s="13"/>
      <c r="OUM42" s="13"/>
      <c r="OUN42" s="13"/>
      <c r="OUO42" s="13"/>
      <c r="OUP42" s="13"/>
      <c r="OUQ42" s="13"/>
      <c r="OUR42" s="13"/>
      <c r="OUS42" s="13"/>
      <c r="OUT42" s="13"/>
      <c r="OUU42" s="13"/>
      <c r="OUV42" s="13"/>
      <c r="OUW42" s="13"/>
      <c r="OUX42" s="13"/>
      <c r="OUY42" s="13"/>
      <c r="OUZ42" s="13"/>
      <c r="OVA42" s="13"/>
      <c r="OVB42" s="13"/>
      <c r="OVC42" s="13"/>
      <c r="OVD42" s="13"/>
      <c r="OVE42" s="13"/>
      <c r="OVF42" s="13"/>
      <c r="OVG42" s="13"/>
      <c r="OVH42" s="13"/>
      <c r="OVI42" s="13"/>
      <c r="OVJ42" s="13"/>
      <c r="OVK42" s="13"/>
      <c r="OVL42" s="13"/>
      <c r="OVM42" s="13"/>
      <c r="OVN42" s="13"/>
      <c r="OVO42" s="13"/>
      <c r="OVP42" s="13"/>
      <c r="OVQ42" s="13"/>
      <c r="OVR42" s="13"/>
      <c r="OVS42" s="13"/>
      <c r="OVT42" s="13"/>
      <c r="OVU42" s="13"/>
      <c r="OVV42" s="13"/>
      <c r="OVW42" s="13"/>
      <c r="OVX42" s="13"/>
      <c r="OVY42" s="13"/>
      <c r="OVZ42" s="13"/>
      <c r="OWA42" s="13"/>
      <c r="OWB42" s="13"/>
      <c r="OWC42" s="13"/>
      <c r="OWD42" s="13"/>
      <c r="OWE42" s="13"/>
      <c r="OWF42" s="13"/>
      <c r="OWG42" s="13"/>
      <c r="OWH42" s="13"/>
      <c r="OWI42" s="13"/>
      <c r="OWJ42" s="13"/>
      <c r="OWK42" s="13"/>
      <c r="OWL42" s="13"/>
      <c r="OWM42" s="13"/>
      <c r="OWN42" s="13"/>
      <c r="OWO42" s="13"/>
      <c r="OWP42" s="13"/>
      <c r="OWQ42" s="13"/>
      <c r="OWR42" s="13"/>
      <c r="OWS42" s="13"/>
      <c r="OWT42" s="13"/>
      <c r="OWU42" s="13"/>
      <c r="OWV42" s="13"/>
      <c r="OWW42" s="13"/>
      <c r="OWX42" s="13"/>
      <c r="OWY42" s="13"/>
      <c r="OWZ42" s="13"/>
      <c r="OXA42" s="13"/>
      <c r="OXB42" s="13"/>
      <c r="OXC42" s="13"/>
      <c r="OXD42" s="13"/>
      <c r="OXE42" s="13"/>
      <c r="OXF42" s="13"/>
      <c r="OXG42" s="13"/>
      <c r="OXH42" s="13"/>
      <c r="OXI42" s="13"/>
      <c r="OXJ42" s="13"/>
      <c r="OXK42" s="13"/>
      <c r="OXL42" s="13"/>
      <c r="OXM42" s="13"/>
      <c r="OXN42" s="13"/>
      <c r="OXO42" s="13"/>
      <c r="OXP42" s="13"/>
      <c r="OXQ42" s="13"/>
      <c r="OXR42" s="13"/>
      <c r="OXS42" s="13"/>
      <c r="OXT42" s="13"/>
      <c r="OXU42" s="13"/>
      <c r="OXV42" s="13"/>
      <c r="OXW42" s="13"/>
      <c r="OXX42" s="13"/>
      <c r="OXY42" s="13"/>
      <c r="OXZ42" s="13"/>
      <c r="OYA42" s="13"/>
      <c r="OYB42" s="13"/>
      <c r="OYC42" s="13"/>
      <c r="OYD42" s="13"/>
      <c r="OYE42" s="13"/>
      <c r="OYF42" s="13"/>
      <c r="OYG42" s="13"/>
      <c r="OYH42" s="13"/>
      <c r="OYI42" s="13"/>
      <c r="OYJ42" s="13"/>
      <c r="OYK42" s="13"/>
      <c r="OYL42" s="13"/>
      <c r="OYM42" s="13"/>
      <c r="OYN42" s="13"/>
      <c r="OYO42" s="13"/>
      <c r="OYP42" s="13"/>
      <c r="OYQ42" s="13"/>
      <c r="OYR42" s="13"/>
      <c r="OYS42" s="13"/>
      <c r="OYT42" s="13"/>
      <c r="OYU42" s="13"/>
      <c r="OYV42" s="13"/>
      <c r="OYW42" s="13"/>
      <c r="OYX42" s="13"/>
      <c r="OYY42" s="13"/>
      <c r="OYZ42" s="13"/>
      <c r="OZA42" s="13"/>
      <c r="OZB42" s="13"/>
      <c r="OZC42" s="13"/>
      <c r="OZD42" s="13"/>
      <c r="OZE42" s="13"/>
      <c r="OZF42" s="13"/>
      <c r="OZG42" s="13"/>
      <c r="OZH42" s="13"/>
      <c r="OZI42" s="13"/>
      <c r="OZJ42" s="13"/>
      <c r="OZK42" s="13"/>
      <c r="OZL42" s="13"/>
      <c r="OZM42" s="13"/>
      <c r="OZN42" s="13"/>
      <c r="OZO42" s="13"/>
      <c r="OZP42" s="13"/>
      <c r="OZQ42" s="13"/>
      <c r="OZR42" s="13"/>
      <c r="OZS42" s="13"/>
      <c r="OZT42" s="13"/>
      <c r="OZU42" s="13"/>
      <c r="OZV42" s="13"/>
      <c r="OZW42" s="13"/>
      <c r="OZX42" s="13"/>
      <c r="OZY42" s="13"/>
      <c r="OZZ42" s="13"/>
      <c r="PAA42" s="13"/>
      <c r="PAB42" s="13"/>
      <c r="PAC42" s="13"/>
      <c r="PAD42" s="13"/>
      <c r="PAE42" s="13"/>
      <c r="PAF42" s="13"/>
      <c r="PAG42" s="13"/>
      <c r="PAH42" s="13"/>
      <c r="PAI42" s="13"/>
      <c r="PAJ42" s="13"/>
      <c r="PAK42" s="13"/>
      <c r="PAL42" s="13"/>
      <c r="PAM42" s="13"/>
      <c r="PAN42" s="13"/>
      <c r="PAO42" s="13"/>
      <c r="PAP42" s="13"/>
      <c r="PAQ42" s="13"/>
      <c r="PAR42" s="13"/>
      <c r="PAS42" s="13"/>
      <c r="PAT42" s="13"/>
      <c r="PAU42" s="13"/>
      <c r="PAV42" s="13"/>
      <c r="PAW42" s="13"/>
      <c r="PAX42" s="13"/>
      <c r="PAY42" s="13"/>
      <c r="PAZ42" s="13"/>
      <c r="PBA42" s="13"/>
      <c r="PBB42" s="13"/>
      <c r="PBC42" s="13"/>
      <c r="PBD42" s="13"/>
      <c r="PBE42" s="13"/>
      <c r="PBF42" s="13"/>
      <c r="PBG42" s="13"/>
      <c r="PBH42" s="13"/>
      <c r="PBI42" s="13"/>
      <c r="PBJ42" s="13"/>
      <c r="PBK42" s="13"/>
      <c r="PBL42" s="13"/>
      <c r="PBM42" s="13"/>
      <c r="PBN42" s="13"/>
      <c r="PBO42" s="13"/>
      <c r="PBP42" s="13"/>
      <c r="PBQ42" s="13"/>
      <c r="PBR42" s="13"/>
      <c r="PBS42" s="13"/>
      <c r="PBT42" s="13"/>
      <c r="PBU42" s="13"/>
      <c r="PBV42" s="13"/>
      <c r="PBW42" s="13"/>
      <c r="PBX42" s="13"/>
      <c r="PBY42" s="13"/>
      <c r="PBZ42" s="13"/>
      <c r="PCA42" s="13"/>
      <c r="PCB42" s="13"/>
      <c r="PCC42" s="13"/>
      <c r="PCD42" s="13"/>
      <c r="PCE42" s="13"/>
      <c r="PCF42" s="13"/>
      <c r="PCG42" s="13"/>
      <c r="PCH42" s="13"/>
      <c r="PCI42" s="13"/>
      <c r="PCJ42" s="13"/>
      <c r="PCK42" s="13"/>
      <c r="PCL42" s="13"/>
      <c r="PCM42" s="13"/>
      <c r="PCN42" s="13"/>
      <c r="PCO42" s="13"/>
      <c r="PCP42" s="13"/>
      <c r="PCQ42" s="13"/>
      <c r="PCR42" s="13"/>
      <c r="PCS42" s="13"/>
      <c r="PCT42" s="13"/>
      <c r="PCU42" s="13"/>
      <c r="PCV42" s="13"/>
      <c r="PCW42" s="13"/>
      <c r="PCX42" s="13"/>
      <c r="PCY42" s="13"/>
      <c r="PCZ42" s="13"/>
      <c r="PDA42" s="13"/>
      <c r="PDB42" s="13"/>
      <c r="PDC42" s="13"/>
      <c r="PDD42" s="13"/>
      <c r="PDE42" s="13"/>
      <c r="PDF42" s="13"/>
      <c r="PDG42" s="13"/>
      <c r="PDH42" s="13"/>
      <c r="PDI42" s="13"/>
      <c r="PDJ42" s="13"/>
      <c r="PDK42" s="13"/>
      <c r="PDL42" s="13"/>
      <c r="PDM42" s="13"/>
      <c r="PDN42" s="13"/>
      <c r="PDO42" s="13"/>
      <c r="PDP42" s="13"/>
      <c r="PDQ42" s="13"/>
      <c r="PDR42" s="13"/>
      <c r="PDS42" s="13"/>
      <c r="PDT42" s="13"/>
      <c r="PDU42" s="13"/>
      <c r="PDV42" s="13"/>
      <c r="PDW42" s="13"/>
      <c r="PDX42" s="13"/>
      <c r="PDY42" s="13"/>
      <c r="PDZ42" s="13"/>
      <c r="PEA42" s="13"/>
      <c r="PEB42" s="13"/>
      <c r="PEC42" s="13"/>
      <c r="PED42" s="13"/>
      <c r="PEE42" s="13"/>
      <c r="PEF42" s="13"/>
      <c r="PEG42" s="13"/>
      <c r="PEH42" s="13"/>
      <c r="PEI42" s="13"/>
      <c r="PEJ42" s="13"/>
      <c r="PEK42" s="13"/>
      <c r="PEL42" s="13"/>
      <c r="PEM42" s="13"/>
      <c r="PEN42" s="13"/>
      <c r="PEO42" s="13"/>
      <c r="PEP42" s="13"/>
      <c r="PEQ42" s="13"/>
      <c r="PER42" s="13"/>
      <c r="PES42" s="13"/>
      <c r="PET42" s="13"/>
      <c r="PEU42" s="13"/>
      <c r="PEV42" s="13"/>
      <c r="PEW42" s="13"/>
      <c r="PEX42" s="13"/>
      <c r="PEY42" s="13"/>
      <c r="PEZ42" s="13"/>
      <c r="PFA42" s="13"/>
      <c r="PFB42" s="13"/>
      <c r="PFC42" s="13"/>
      <c r="PFD42" s="13"/>
      <c r="PFE42" s="13"/>
      <c r="PFF42" s="13"/>
      <c r="PFG42" s="13"/>
      <c r="PFH42" s="13"/>
      <c r="PFI42" s="13"/>
      <c r="PFJ42" s="13"/>
      <c r="PFK42" s="13"/>
      <c r="PFL42" s="13"/>
      <c r="PFM42" s="13"/>
      <c r="PFN42" s="13"/>
      <c r="PFO42" s="13"/>
      <c r="PFP42" s="13"/>
      <c r="PFQ42" s="13"/>
      <c r="PFR42" s="13"/>
      <c r="PFS42" s="13"/>
      <c r="PFT42" s="13"/>
      <c r="PFU42" s="13"/>
      <c r="PFV42" s="13"/>
      <c r="PFW42" s="13"/>
      <c r="PFX42" s="13"/>
      <c r="PFY42" s="13"/>
      <c r="PFZ42" s="13"/>
      <c r="PGA42" s="13"/>
      <c r="PGB42" s="13"/>
      <c r="PGC42" s="13"/>
      <c r="PGD42" s="13"/>
      <c r="PGE42" s="13"/>
      <c r="PGF42" s="13"/>
      <c r="PGG42" s="13"/>
      <c r="PGH42" s="13"/>
      <c r="PGI42" s="13"/>
      <c r="PGJ42" s="13"/>
      <c r="PGK42" s="13"/>
      <c r="PGL42" s="13"/>
      <c r="PGM42" s="13"/>
      <c r="PGN42" s="13"/>
      <c r="PGO42" s="13"/>
      <c r="PGP42" s="13"/>
      <c r="PGQ42" s="13"/>
      <c r="PGR42" s="13"/>
      <c r="PGS42" s="13"/>
      <c r="PGT42" s="13"/>
      <c r="PGU42" s="13"/>
      <c r="PGV42" s="13"/>
      <c r="PGW42" s="13"/>
      <c r="PGX42" s="13"/>
      <c r="PGY42" s="13"/>
      <c r="PGZ42" s="13"/>
      <c r="PHA42" s="13"/>
      <c r="PHB42" s="13"/>
      <c r="PHC42" s="13"/>
      <c r="PHD42" s="13"/>
      <c r="PHE42" s="13"/>
      <c r="PHF42" s="13"/>
      <c r="PHG42" s="13"/>
      <c r="PHH42" s="13"/>
      <c r="PHI42" s="13"/>
      <c r="PHJ42" s="13"/>
      <c r="PHK42" s="13"/>
      <c r="PHL42" s="13"/>
      <c r="PHM42" s="13"/>
      <c r="PHN42" s="13"/>
      <c r="PHO42" s="13"/>
      <c r="PHP42" s="13"/>
      <c r="PHQ42" s="13"/>
      <c r="PHR42" s="13"/>
      <c r="PHS42" s="13"/>
      <c r="PHT42" s="13"/>
      <c r="PHU42" s="13"/>
      <c r="PHV42" s="13"/>
      <c r="PHW42" s="13"/>
      <c r="PHX42" s="13"/>
      <c r="PHY42" s="13"/>
      <c r="PHZ42" s="13"/>
      <c r="PIA42" s="13"/>
      <c r="PIB42" s="13"/>
      <c r="PIC42" s="13"/>
      <c r="PID42" s="13"/>
      <c r="PIE42" s="13"/>
      <c r="PIF42" s="13"/>
      <c r="PIG42" s="13"/>
      <c r="PIH42" s="13"/>
      <c r="PII42" s="13"/>
      <c r="PIJ42" s="13"/>
      <c r="PIK42" s="13"/>
      <c r="PIL42" s="13"/>
      <c r="PIM42" s="13"/>
      <c r="PIN42" s="13"/>
      <c r="PIO42" s="13"/>
      <c r="PIP42" s="13"/>
      <c r="PIQ42" s="13"/>
      <c r="PIR42" s="13"/>
      <c r="PIS42" s="13"/>
      <c r="PIT42" s="13"/>
      <c r="PIU42" s="13"/>
      <c r="PIV42" s="13"/>
      <c r="PIW42" s="13"/>
      <c r="PIX42" s="13"/>
      <c r="PIY42" s="13"/>
      <c r="PIZ42" s="13"/>
      <c r="PJA42" s="13"/>
      <c r="PJB42" s="13"/>
      <c r="PJC42" s="13"/>
      <c r="PJD42" s="13"/>
      <c r="PJE42" s="13"/>
      <c r="PJF42" s="13"/>
      <c r="PJG42" s="13"/>
      <c r="PJH42" s="13"/>
      <c r="PJI42" s="13"/>
      <c r="PJJ42" s="13"/>
      <c r="PJK42" s="13"/>
      <c r="PJL42" s="13"/>
      <c r="PJM42" s="13"/>
      <c r="PJN42" s="13"/>
      <c r="PJO42" s="13"/>
      <c r="PJP42" s="13"/>
      <c r="PJQ42" s="13"/>
      <c r="PJR42" s="13"/>
      <c r="PJS42" s="13"/>
      <c r="PJT42" s="13"/>
      <c r="PJU42" s="13"/>
      <c r="PJV42" s="13"/>
      <c r="PJW42" s="13"/>
      <c r="PJX42" s="13"/>
      <c r="PJY42" s="13"/>
      <c r="PJZ42" s="13"/>
      <c r="PKA42" s="13"/>
      <c r="PKB42" s="13"/>
      <c r="PKC42" s="13"/>
      <c r="PKD42" s="13"/>
      <c r="PKE42" s="13"/>
      <c r="PKF42" s="13"/>
      <c r="PKG42" s="13"/>
      <c r="PKH42" s="13"/>
      <c r="PKI42" s="13"/>
      <c r="PKJ42" s="13"/>
      <c r="PKK42" s="13"/>
      <c r="PKL42" s="13"/>
      <c r="PKM42" s="13"/>
      <c r="PKN42" s="13"/>
      <c r="PKO42" s="13"/>
      <c r="PKP42" s="13"/>
      <c r="PKQ42" s="13"/>
      <c r="PKR42" s="13"/>
      <c r="PKS42" s="13"/>
      <c r="PKT42" s="13"/>
      <c r="PKU42" s="13"/>
      <c r="PKV42" s="13"/>
      <c r="PKW42" s="13"/>
      <c r="PKX42" s="13"/>
      <c r="PKY42" s="13"/>
      <c r="PKZ42" s="13"/>
      <c r="PLA42" s="13"/>
      <c r="PLB42" s="13"/>
      <c r="PLC42" s="13"/>
      <c r="PLD42" s="13"/>
      <c r="PLE42" s="13"/>
      <c r="PLF42" s="13"/>
      <c r="PLG42" s="13"/>
      <c r="PLH42" s="13"/>
      <c r="PLI42" s="13"/>
      <c r="PLJ42" s="13"/>
      <c r="PLK42" s="13"/>
      <c r="PLL42" s="13"/>
      <c r="PLM42" s="13"/>
      <c r="PLN42" s="13"/>
      <c r="PLO42" s="13"/>
      <c r="PLP42" s="13"/>
      <c r="PLQ42" s="13"/>
      <c r="PLR42" s="13"/>
      <c r="PLS42" s="13"/>
      <c r="PLT42" s="13"/>
      <c r="PLU42" s="13"/>
      <c r="PLV42" s="13"/>
      <c r="PLW42" s="13"/>
      <c r="PLX42" s="13"/>
      <c r="PLY42" s="13"/>
      <c r="PLZ42" s="13"/>
      <c r="PMA42" s="13"/>
      <c r="PMB42" s="13"/>
      <c r="PMC42" s="13"/>
      <c r="PMD42" s="13"/>
      <c r="PME42" s="13"/>
      <c r="PMF42" s="13"/>
      <c r="PMG42" s="13"/>
      <c r="PMH42" s="13"/>
      <c r="PMI42" s="13"/>
      <c r="PMJ42" s="13"/>
      <c r="PMK42" s="13"/>
      <c r="PML42" s="13"/>
      <c r="PMM42" s="13"/>
      <c r="PMN42" s="13"/>
      <c r="PMO42" s="13"/>
      <c r="PMP42" s="13"/>
      <c r="PMQ42" s="13"/>
      <c r="PMR42" s="13"/>
      <c r="PMS42" s="13"/>
      <c r="PMT42" s="13"/>
      <c r="PMU42" s="13"/>
      <c r="PMV42" s="13"/>
      <c r="PMW42" s="13"/>
      <c r="PMX42" s="13"/>
      <c r="PMY42" s="13"/>
      <c r="PMZ42" s="13"/>
      <c r="PNA42" s="13"/>
      <c r="PNB42" s="13"/>
      <c r="PNC42" s="13"/>
      <c r="PND42" s="13"/>
      <c r="PNE42" s="13"/>
      <c r="PNF42" s="13"/>
      <c r="PNG42" s="13"/>
      <c r="PNH42" s="13"/>
      <c r="PNI42" s="13"/>
      <c r="PNJ42" s="13"/>
      <c r="PNK42" s="13"/>
      <c r="PNL42" s="13"/>
      <c r="PNM42" s="13"/>
      <c r="PNN42" s="13"/>
      <c r="PNO42" s="13"/>
      <c r="PNP42" s="13"/>
      <c r="PNQ42" s="13"/>
      <c r="PNR42" s="13"/>
      <c r="PNS42" s="13"/>
      <c r="PNT42" s="13"/>
      <c r="PNU42" s="13"/>
      <c r="PNV42" s="13"/>
      <c r="PNW42" s="13"/>
      <c r="PNX42" s="13"/>
      <c r="PNY42" s="13"/>
      <c r="PNZ42" s="13"/>
      <c r="POA42" s="13"/>
      <c r="POB42" s="13"/>
      <c r="POC42" s="13"/>
      <c r="POD42" s="13"/>
      <c r="POE42" s="13"/>
      <c r="POF42" s="13"/>
      <c r="POG42" s="13"/>
      <c r="POH42" s="13"/>
      <c r="POI42" s="13"/>
      <c r="POJ42" s="13"/>
      <c r="POK42" s="13"/>
      <c r="POL42" s="13"/>
      <c r="POM42" s="13"/>
      <c r="PON42" s="13"/>
      <c r="POO42" s="13"/>
      <c r="POP42" s="13"/>
      <c r="POQ42" s="13"/>
      <c r="POR42" s="13"/>
      <c r="POS42" s="13"/>
      <c r="POT42" s="13"/>
      <c r="POU42" s="13"/>
      <c r="POV42" s="13"/>
      <c r="POW42" s="13"/>
      <c r="POX42" s="13"/>
      <c r="POY42" s="13"/>
      <c r="POZ42" s="13"/>
      <c r="PPA42" s="13"/>
      <c r="PPB42" s="13"/>
      <c r="PPC42" s="13"/>
      <c r="PPD42" s="13"/>
      <c r="PPE42" s="13"/>
      <c r="PPF42" s="13"/>
      <c r="PPG42" s="13"/>
      <c r="PPH42" s="13"/>
      <c r="PPI42" s="13"/>
      <c r="PPJ42" s="13"/>
      <c r="PPK42" s="13"/>
      <c r="PPL42" s="13"/>
      <c r="PPM42" s="13"/>
      <c r="PPN42" s="13"/>
      <c r="PPO42" s="13"/>
      <c r="PPP42" s="13"/>
      <c r="PPQ42" s="13"/>
      <c r="PPR42" s="13"/>
      <c r="PPS42" s="13"/>
      <c r="PPT42" s="13"/>
      <c r="PPU42" s="13"/>
      <c r="PPV42" s="13"/>
      <c r="PPW42" s="13"/>
      <c r="PPX42" s="13"/>
      <c r="PPY42" s="13"/>
      <c r="PPZ42" s="13"/>
      <c r="PQA42" s="13"/>
      <c r="PQB42" s="13"/>
      <c r="PQC42" s="13"/>
      <c r="PQD42" s="13"/>
      <c r="PQE42" s="13"/>
      <c r="PQF42" s="13"/>
      <c r="PQG42" s="13"/>
      <c r="PQH42" s="13"/>
      <c r="PQI42" s="13"/>
      <c r="PQJ42" s="13"/>
      <c r="PQK42" s="13"/>
      <c r="PQL42" s="13"/>
      <c r="PQM42" s="13"/>
      <c r="PQN42" s="13"/>
      <c r="PQO42" s="13"/>
      <c r="PQP42" s="13"/>
      <c r="PQQ42" s="13"/>
      <c r="PQR42" s="13"/>
      <c r="PQS42" s="13"/>
      <c r="PQT42" s="13"/>
      <c r="PQU42" s="13"/>
      <c r="PQV42" s="13"/>
      <c r="PQW42" s="13"/>
      <c r="PQX42" s="13"/>
      <c r="PQY42" s="13"/>
      <c r="PQZ42" s="13"/>
      <c r="PRA42" s="13"/>
      <c r="PRB42" s="13"/>
      <c r="PRC42" s="13"/>
      <c r="PRD42" s="13"/>
      <c r="PRE42" s="13"/>
      <c r="PRF42" s="13"/>
      <c r="PRG42" s="13"/>
      <c r="PRH42" s="13"/>
      <c r="PRI42" s="13"/>
      <c r="PRJ42" s="13"/>
      <c r="PRK42" s="13"/>
      <c r="PRL42" s="13"/>
      <c r="PRM42" s="13"/>
      <c r="PRN42" s="13"/>
      <c r="PRO42" s="13"/>
      <c r="PRP42" s="13"/>
      <c r="PRQ42" s="13"/>
      <c r="PRR42" s="13"/>
      <c r="PRS42" s="13"/>
      <c r="PRT42" s="13"/>
      <c r="PRU42" s="13"/>
      <c r="PRV42" s="13"/>
      <c r="PRW42" s="13"/>
      <c r="PRX42" s="13"/>
      <c r="PRY42" s="13"/>
      <c r="PRZ42" s="13"/>
      <c r="PSA42" s="13"/>
      <c r="PSB42" s="13"/>
      <c r="PSC42" s="13"/>
      <c r="PSD42" s="13"/>
      <c r="PSE42" s="13"/>
      <c r="PSF42" s="13"/>
      <c r="PSG42" s="13"/>
      <c r="PSH42" s="13"/>
      <c r="PSI42" s="13"/>
      <c r="PSJ42" s="13"/>
      <c r="PSK42" s="13"/>
      <c r="PSL42" s="13"/>
      <c r="PSM42" s="13"/>
      <c r="PSN42" s="13"/>
      <c r="PSO42" s="13"/>
      <c r="PSP42" s="13"/>
      <c r="PSQ42" s="13"/>
      <c r="PSR42" s="13"/>
      <c r="PSS42" s="13"/>
      <c r="PST42" s="13"/>
      <c r="PSU42" s="13"/>
      <c r="PSV42" s="13"/>
      <c r="PSW42" s="13"/>
      <c r="PSX42" s="13"/>
      <c r="PSY42" s="13"/>
      <c r="PSZ42" s="13"/>
      <c r="PTA42" s="13"/>
      <c r="PTB42" s="13"/>
      <c r="PTC42" s="13"/>
      <c r="PTD42" s="13"/>
      <c r="PTE42" s="13"/>
      <c r="PTF42" s="13"/>
      <c r="PTG42" s="13"/>
      <c r="PTH42" s="13"/>
      <c r="PTI42" s="13"/>
      <c r="PTJ42" s="13"/>
      <c r="PTK42" s="13"/>
      <c r="PTL42" s="13"/>
      <c r="PTM42" s="13"/>
      <c r="PTN42" s="13"/>
      <c r="PTO42" s="13"/>
      <c r="PTP42" s="13"/>
      <c r="PTQ42" s="13"/>
      <c r="PTR42" s="13"/>
      <c r="PTS42" s="13"/>
      <c r="PTT42" s="13"/>
      <c r="PTU42" s="13"/>
      <c r="PTV42" s="13"/>
      <c r="PTW42" s="13"/>
      <c r="PTX42" s="13"/>
      <c r="PTY42" s="13"/>
      <c r="PTZ42" s="13"/>
      <c r="PUA42" s="13"/>
      <c r="PUB42" s="13"/>
      <c r="PUC42" s="13"/>
      <c r="PUD42" s="13"/>
      <c r="PUE42" s="13"/>
      <c r="PUF42" s="13"/>
      <c r="PUG42" s="13"/>
      <c r="PUH42" s="13"/>
      <c r="PUI42" s="13"/>
      <c r="PUJ42" s="13"/>
      <c r="PUK42" s="13"/>
      <c r="PUL42" s="13"/>
      <c r="PUM42" s="13"/>
      <c r="PUN42" s="13"/>
      <c r="PUO42" s="13"/>
      <c r="PUP42" s="13"/>
      <c r="PUQ42" s="13"/>
      <c r="PUR42" s="13"/>
      <c r="PUS42" s="13"/>
      <c r="PUT42" s="13"/>
      <c r="PUU42" s="13"/>
      <c r="PUV42" s="13"/>
      <c r="PUW42" s="13"/>
      <c r="PUX42" s="13"/>
      <c r="PUY42" s="13"/>
      <c r="PUZ42" s="13"/>
      <c r="PVA42" s="13"/>
      <c r="PVB42" s="13"/>
      <c r="PVC42" s="13"/>
      <c r="PVD42" s="13"/>
      <c r="PVE42" s="13"/>
      <c r="PVF42" s="13"/>
      <c r="PVG42" s="13"/>
      <c r="PVH42" s="13"/>
      <c r="PVI42" s="13"/>
      <c r="PVJ42" s="13"/>
      <c r="PVK42" s="13"/>
      <c r="PVL42" s="13"/>
      <c r="PVM42" s="13"/>
      <c r="PVN42" s="13"/>
      <c r="PVO42" s="13"/>
      <c r="PVP42" s="13"/>
      <c r="PVQ42" s="13"/>
      <c r="PVR42" s="13"/>
      <c r="PVS42" s="13"/>
      <c r="PVT42" s="13"/>
      <c r="PVU42" s="13"/>
      <c r="PVV42" s="13"/>
      <c r="PVW42" s="13"/>
      <c r="PVX42" s="13"/>
      <c r="PVY42" s="13"/>
      <c r="PVZ42" s="13"/>
      <c r="PWA42" s="13"/>
      <c r="PWB42" s="13"/>
      <c r="PWC42" s="13"/>
      <c r="PWD42" s="13"/>
      <c r="PWE42" s="13"/>
      <c r="PWF42" s="13"/>
      <c r="PWG42" s="13"/>
      <c r="PWH42" s="13"/>
      <c r="PWI42" s="13"/>
      <c r="PWJ42" s="13"/>
      <c r="PWK42" s="13"/>
      <c r="PWL42" s="13"/>
      <c r="PWM42" s="13"/>
      <c r="PWN42" s="13"/>
      <c r="PWO42" s="13"/>
      <c r="PWP42" s="13"/>
      <c r="PWQ42" s="13"/>
      <c r="PWR42" s="13"/>
      <c r="PWS42" s="13"/>
      <c r="PWT42" s="13"/>
      <c r="PWU42" s="13"/>
      <c r="PWV42" s="13"/>
      <c r="PWW42" s="13"/>
      <c r="PWX42" s="13"/>
      <c r="PWY42" s="13"/>
      <c r="PWZ42" s="13"/>
      <c r="PXA42" s="13"/>
      <c r="PXB42" s="13"/>
      <c r="PXC42" s="13"/>
      <c r="PXD42" s="13"/>
      <c r="PXE42" s="13"/>
      <c r="PXF42" s="13"/>
      <c r="PXG42" s="13"/>
      <c r="PXH42" s="13"/>
      <c r="PXI42" s="13"/>
      <c r="PXJ42" s="13"/>
      <c r="PXK42" s="13"/>
      <c r="PXL42" s="13"/>
      <c r="PXM42" s="13"/>
      <c r="PXN42" s="13"/>
      <c r="PXO42" s="13"/>
      <c r="PXP42" s="13"/>
      <c r="PXQ42" s="13"/>
      <c r="PXR42" s="13"/>
      <c r="PXS42" s="13"/>
      <c r="PXT42" s="13"/>
      <c r="PXU42" s="13"/>
      <c r="PXV42" s="13"/>
      <c r="PXW42" s="13"/>
      <c r="PXX42" s="13"/>
      <c r="PXY42" s="13"/>
      <c r="PXZ42" s="13"/>
      <c r="PYA42" s="13"/>
      <c r="PYB42" s="13"/>
      <c r="PYC42" s="13"/>
      <c r="PYD42" s="13"/>
      <c r="PYE42" s="13"/>
      <c r="PYF42" s="13"/>
      <c r="PYG42" s="13"/>
      <c r="PYH42" s="13"/>
      <c r="PYI42" s="13"/>
      <c r="PYJ42" s="13"/>
      <c r="PYK42" s="13"/>
      <c r="PYL42" s="13"/>
      <c r="PYM42" s="13"/>
      <c r="PYN42" s="13"/>
      <c r="PYO42" s="13"/>
      <c r="PYP42" s="13"/>
      <c r="PYQ42" s="13"/>
      <c r="PYR42" s="13"/>
      <c r="PYS42" s="13"/>
      <c r="PYT42" s="13"/>
      <c r="PYU42" s="13"/>
      <c r="PYV42" s="13"/>
      <c r="PYW42" s="13"/>
      <c r="PYX42" s="13"/>
      <c r="PYY42" s="13"/>
      <c r="PYZ42" s="13"/>
      <c r="PZA42" s="13"/>
      <c r="PZB42" s="13"/>
      <c r="PZC42" s="13"/>
      <c r="PZD42" s="13"/>
      <c r="PZE42" s="13"/>
      <c r="PZF42" s="13"/>
      <c r="PZG42" s="13"/>
      <c r="PZH42" s="13"/>
      <c r="PZI42" s="13"/>
      <c r="PZJ42" s="13"/>
      <c r="PZK42" s="13"/>
      <c r="PZL42" s="13"/>
      <c r="PZM42" s="13"/>
      <c r="PZN42" s="13"/>
      <c r="PZO42" s="13"/>
      <c r="PZP42" s="13"/>
      <c r="PZQ42" s="13"/>
      <c r="PZR42" s="13"/>
      <c r="PZS42" s="13"/>
      <c r="PZT42" s="13"/>
      <c r="PZU42" s="13"/>
      <c r="PZV42" s="13"/>
      <c r="PZW42" s="13"/>
      <c r="PZX42" s="13"/>
      <c r="PZY42" s="13"/>
      <c r="PZZ42" s="13"/>
      <c r="QAA42" s="13"/>
      <c r="QAB42" s="13"/>
      <c r="QAC42" s="13"/>
      <c r="QAD42" s="13"/>
      <c r="QAE42" s="13"/>
      <c r="QAF42" s="13"/>
      <c r="QAG42" s="13"/>
      <c r="QAH42" s="13"/>
      <c r="QAI42" s="13"/>
      <c r="QAJ42" s="13"/>
      <c r="QAK42" s="13"/>
      <c r="QAL42" s="13"/>
      <c r="QAM42" s="13"/>
      <c r="QAN42" s="13"/>
      <c r="QAO42" s="13"/>
      <c r="QAP42" s="13"/>
      <c r="QAQ42" s="13"/>
      <c r="QAR42" s="13"/>
      <c r="QAS42" s="13"/>
      <c r="QAT42" s="13"/>
      <c r="QAU42" s="13"/>
      <c r="QAV42" s="13"/>
      <c r="QAW42" s="13"/>
      <c r="QAX42" s="13"/>
      <c r="QAY42" s="13"/>
      <c r="QAZ42" s="13"/>
      <c r="QBA42" s="13"/>
      <c r="QBB42" s="13"/>
      <c r="QBC42" s="13"/>
      <c r="QBD42" s="13"/>
      <c r="QBE42" s="13"/>
      <c r="QBF42" s="13"/>
      <c r="QBG42" s="13"/>
      <c r="QBH42" s="13"/>
      <c r="QBI42" s="13"/>
      <c r="QBJ42" s="13"/>
      <c r="QBK42" s="13"/>
      <c r="QBL42" s="13"/>
      <c r="QBM42" s="13"/>
      <c r="QBN42" s="13"/>
      <c r="QBO42" s="13"/>
      <c r="QBP42" s="13"/>
      <c r="QBQ42" s="13"/>
      <c r="QBR42" s="13"/>
      <c r="QBS42" s="13"/>
      <c r="QBT42" s="13"/>
      <c r="QBU42" s="13"/>
      <c r="QBV42" s="13"/>
      <c r="QBW42" s="13"/>
      <c r="QBX42" s="13"/>
      <c r="QBY42" s="13"/>
      <c r="QBZ42" s="13"/>
      <c r="QCA42" s="13"/>
      <c r="QCB42" s="13"/>
      <c r="QCC42" s="13"/>
      <c r="QCD42" s="13"/>
      <c r="QCE42" s="13"/>
      <c r="QCF42" s="13"/>
      <c r="QCG42" s="13"/>
      <c r="QCH42" s="13"/>
      <c r="QCI42" s="13"/>
      <c r="QCJ42" s="13"/>
      <c r="QCK42" s="13"/>
      <c r="QCL42" s="13"/>
      <c r="QCM42" s="13"/>
      <c r="QCN42" s="13"/>
      <c r="QCO42" s="13"/>
      <c r="QCP42" s="13"/>
      <c r="QCQ42" s="13"/>
      <c r="QCR42" s="13"/>
      <c r="QCS42" s="13"/>
      <c r="QCT42" s="13"/>
      <c r="QCU42" s="13"/>
      <c r="QCV42" s="13"/>
      <c r="QCW42" s="13"/>
      <c r="QCX42" s="13"/>
      <c r="QCY42" s="13"/>
      <c r="QCZ42" s="13"/>
      <c r="QDA42" s="13"/>
      <c r="QDB42" s="13"/>
      <c r="QDC42" s="13"/>
      <c r="QDD42" s="13"/>
      <c r="QDE42" s="13"/>
      <c r="QDF42" s="13"/>
      <c r="QDG42" s="13"/>
      <c r="QDH42" s="13"/>
      <c r="QDI42" s="13"/>
      <c r="QDJ42" s="13"/>
      <c r="QDK42" s="13"/>
      <c r="QDL42" s="13"/>
      <c r="QDM42" s="13"/>
      <c r="QDN42" s="13"/>
      <c r="QDO42" s="13"/>
      <c r="QDP42" s="13"/>
      <c r="QDQ42" s="13"/>
      <c r="QDR42" s="13"/>
      <c r="QDS42" s="13"/>
      <c r="QDT42" s="13"/>
      <c r="QDU42" s="13"/>
      <c r="QDV42" s="13"/>
      <c r="QDW42" s="13"/>
      <c r="QDX42" s="13"/>
      <c r="QDY42" s="13"/>
      <c r="QDZ42" s="13"/>
      <c r="QEA42" s="13"/>
      <c r="QEB42" s="13"/>
      <c r="QEC42" s="13"/>
      <c r="QED42" s="13"/>
      <c r="QEE42" s="13"/>
      <c r="QEF42" s="13"/>
      <c r="QEG42" s="13"/>
      <c r="QEH42" s="13"/>
      <c r="QEI42" s="13"/>
      <c r="QEJ42" s="13"/>
      <c r="QEK42" s="13"/>
      <c r="QEL42" s="13"/>
      <c r="QEM42" s="13"/>
      <c r="QEN42" s="13"/>
      <c r="QEO42" s="13"/>
      <c r="QEP42" s="13"/>
      <c r="QEQ42" s="13"/>
      <c r="QER42" s="13"/>
      <c r="QES42" s="13"/>
      <c r="QET42" s="13"/>
      <c r="QEU42" s="13"/>
      <c r="QEV42" s="13"/>
      <c r="QEW42" s="13"/>
      <c r="QEX42" s="13"/>
      <c r="QEY42" s="13"/>
      <c r="QEZ42" s="13"/>
      <c r="QFA42" s="13"/>
      <c r="QFB42" s="13"/>
      <c r="QFC42" s="13"/>
      <c r="QFD42" s="13"/>
      <c r="QFE42" s="13"/>
      <c r="QFF42" s="13"/>
      <c r="QFG42" s="13"/>
      <c r="QFH42" s="13"/>
      <c r="QFI42" s="13"/>
      <c r="QFJ42" s="13"/>
      <c r="QFK42" s="13"/>
      <c r="QFL42" s="13"/>
      <c r="QFM42" s="13"/>
      <c r="QFN42" s="13"/>
      <c r="QFO42" s="13"/>
      <c r="QFP42" s="13"/>
      <c r="QFQ42" s="13"/>
      <c r="QFR42" s="13"/>
      <c r="QFS42" s="13"/>
      <c r="QFT42" s="13"/>
      <c r="QFU42" s="13"/>
      <c r="QFV42" s="13"/>
      <c r="QFW42" s="13"/>
      <c r="QFX42" s="13"/>
      <c r="QFY42" s="13"/>
      <c r="QFZ42" s="13"/>
      <c r="QGA42" s="13"/>
      <c r="QGB42" s="13"/>
      <c r="QGC42" s="13"/>
      <c r="QGD42" s="13"/>
      <c r="QGE42" s="13"/>
      <c r="QGF42" s="13"/>
      <c r="QGG42" s="13"/>
      <c r="QGH42" s="13"/>
      <c r="QGI42" s="13"/>
      <c r="QGJ42" s="13"/>
      <c r="QGK42" s="13"/>
      <c r="QGL42" s="13"/>
      <c r="QGM42" s="13"/>
      <c r="QGN42" s="13"/>
      <c r="QGO42" s="13"/>
      <c r="QGP42" s="13"/>
      <c r="QGQ42" s="13"/>
      <c r="QGR42" s="13"/>
      <c r="QGS42" s="13"/>
      <c r="QGT42" s="13"/>
      <c r="QGU42" s="13"/>
      <c r="QGV42" s="13"/>
      <c r="QGW42" s="13"/>
      <c r="QGX42" s="13"/>
      <c r="QGY42" s="13"/>
      <c r="QGZ42" s="13"/>
      <c r="QHA42" s="13"/>
      <c r="QHB42" s="13"/>
      <c r="QHC42" s="13"/>
      <c r="QHD42" s="13"/>
      <c r="QHE42" s="13"/>
      <c r="QHF42" s="13"/>
      <c r="QHG42" s="13"/>
      <c r="QHH42" s="13"/>
      <c r="QHI42" s="13"/>
      <c r="QHJ42" s="13"/>
      <c r="QHK42" s="13"/>
      <c r="QHL42" s="13"/>
      <c r="QHM42" s="13"/>
      <c r="QHN42" s="13"/>
      <c r="QHO42" s="13"/>
      <c r="QHP42" s="13"/>
      <c r="QHQ42" s="13"/>
      <c r="QHR42" s="13"/>
      <c r="QHS42" s="13"/>
      <c r="QHT42" s="13"/>
      <c r="QHU42" s="13"/>
      <c r="QHV42" s="13"/>
      <c r="QHW42" s="13"/>
      <c r="QHX42" s="13"/>
      <c r="QHY42" s="13"/>
      <c r="QHZ42" s="13"/>
      <c r="QIA42" s="13"/>
      <c r="QIB42" s="13"/>
      <c r="QIC42" s="13"/>
      <c r="QID42" s="13"/>
      <c r="QIE42" s="13"/>
      <c r="QIF42" s="13"/>
      <c r="QIG42" s="13"/>
      <c r="QIH42" s="13"/>
      <c r="QII42" s="13"/>
      <c r="QIJ42" s="13"/>
      <c r="QIK42" s="13"/>
      <c r="QIL42" s="13"/>
      <c r="QIM42" s="13"/>
      <c r="QIN42" s="13"/>
      <c r="QIO42" s="13"/>
      <c r="QIP42" s="13"/>
      <c r="QIQ42" s="13"/>
      <c r="QIR42" s="13"/>
      <c r="QIS42" s="13"/>
      <c r="QIT42" s="13"/>
      <c r="QIU42" s="13"/>
      <c r="QIV42" s="13"/>
      <c r="QIW42" s="13"/>
      <c r="QIX42" s="13"/>
      <c r="QIY42" s="13"/>
      <c r="QIZ42" s="13"/>
      <c r="QJA42" s="13"/>
      <c r="QJB42" s="13"/>
      <c r="QJC42" s="13"/>
      <c r="QJD42" s="13"/>
      <c r="QJE42" s="13"/>
      <c r="QJF42" s="13"/>
      <c r="QJG42" s="13"/>
      <c r="QJH42" s="13"/>
      <c r="QJI42" s="13"/>
      <c r="QJJ42" s="13"/>
      <c r="QJK42" s="13"/>
      <c r="QJL42" s="13"/>
      <c r="QJM42" s="13"/>
      <c r="QJN42" s="13"/>
      <c r="QJO42" s="13"/>
      <c r="QJP42" s="13"/>
      <c r="QJQ42" s="13"/>
      <c r="QJR42" s="13"/>
      <c r="QJS42" s="13"/>
      <c r="QJT42" s="13"/>
      <c r="QJU42" s="13"/>
      <c r="QJV42" s="13"/>
      <c r="QJW42" s="13"/>
      <c r="QJX42" s="13"/>
      <c r="QJY42" s="13"/>
      <c r="QJZ42" s="13"/>
      <c r="QKA42" s="13"/>
      <c r="QKB42" s="13"/>
      <c r="QKC42" s="13"/>
      <c r="QKD42" s="13"/>
      <c r="QKE42" s="13"/>
      <c r="QKF42" s="13"/>
      <c r="QKG42" s="13"/>
      <c r="QKH42" s="13"/>
      <c r="QKI42" s="13"/>
      <c r="QKJ42" s="13"/>
      <c r="QKK42" s="13"/>
      <c r="QKL42" s="13"/>
      <c r="QKM42" s="13"/>
      <c r="QKN42" s="13"/>
      <c r="QKO42" s="13"/>
      <c r="QKP42" s="13"/>
      <c r="QKQ42" s="13"/>
      <c r="QKR42" s="13"/>
      <c r="QKS42" s="13"/>
      <c r="QKT42" s="13"/>
      <c r="QKU42" s="13"/>
      <c r="QKV42" s="13"/>
      <c r="QKW42" s="13"/>
      <c r="QKX42" s="13"/>
      <c r="QKY42" s="13"/>
      <c r="QKZ42" s="13"/>
      <c r="QLA42" s="13"/>
      <c r="QLB42" s="13"/>
      <c r="QLC42" s="13"/>
      <c r="QLD42" s="13"/>
      <c r="QLE42" s="13"/>
      <c r="QLF42" s="13"/>
      <c r="QLG42" s="13"/>
      <c r="QLH42" s="13"/>
      <c r="QLI42" s="13"/>
      <c r="QLJ42" s="13"/>
      <c r="QLK42" s="13"/>
      <c r="QLL42" s="13"/>
      <c r="QLM42" s="13"/>
      <c r="QLN42" s="13"/>
      <c r="QLO42" s="13"/>
      <c r="QLP42" s="13"/>
      <c r="QLQ42" s="13"/>
      <c r="QLR42" s="13"/>
      <c r="QLS42" s="13"/>
      <c r="QLT42" s="13"/>
      <c r="QLU42" s="13"/>
      <c r="QLV42" s="13"/>
      <c r="QLW42" s="13"/>
      <c r="QLX42" s="13"/>
      <c r="QLY42" s="13"/>
      <c r="QLZ42" s="13"/>
      <c r="QMA42" s="13"/>
      <c r="QMB42" s="13"/>
      <c r="QMC42" s="13"/>
      <c r="QMD42" s="13"/>
      <c r="QME42" s="13"/>
      <c r="QMF42" s="13"/>
      <c r="QMG42" s="13"/>
      <c r="QMH42" s="13"/>
      <c r="QMI42" s="13"/>
      <c r="QMJ42" s="13"/>
      <c r="QMK42" s="13"/>
      <c r="QML42" s="13"/>
      <c r="QMM42" s="13"/>
      <c r="QMN42" s="13"/>
      <c r="QMO42" s="13"/>
      <c r="QMP42" s="13"/>
      <c r="QMQ42" s="13"/>
      <c r="QMR42" s="13"/>
      <c r="QMS42" s="13"/>
      <c r="QMT42" s="13"/>
      <c r="QMU42" s="13"/>
      <c r="QMV42" s="13"/>
      <c r="QMW42" s="13"/>
      <c r="QMX42" s="13"/>
      <c r="QMY42" s="13"/>
      <c r="QMZ42" s="13"/>
      <c r="QNA42" s="13"/>
      <c r="QNB42" s="13"/>
      <c r="QNC42" s="13"/>
      <c r="QND42" s="13"/>
      <c r="QNE42" s="13"/>
      <c r="QNF42" s="13"/>
      <c r="QNG42" s="13"/>
      <c r="QNH42" s="13"/>
      <c r="QNI42" s="13"/>
      <c r="QNJ42" s="13"/>
      <c r="QNK42" s="13"/>
      <c r="QNL42" s="13"/>
      <c r="QNM42" s="13"/>
      <c r="QNN42" s="13"/>
      <c r="QNO42" s="13"/>
      <c r="QNP42" s="13"/>
      <c r="QNQ42" s="13"/>
      <c r="QNR42" s="13"/>
      <c r="QNS42" s="13"/>
      <c r="QNT42" s="13"/>
      <c r="QNU42" s="13"/>
      <c r="QNV42" s="13"/>
      <c r="QNW42" s="13"/>
      <c r="QNX42" s="13"/>
      <c r="QNY42" s="13"/>
      <c r="QNZ42" s="13"/>
      <c r="QOA42" s="13"/>
      <c r="QOB42" s="13"/>
      <c r="QOC42" s="13"/>
      <c r="QOD42" s="13"/>
      <c r="QOE42" s="13"/>
      <c r="QOF42" s="13"/>
      <c r="QOG42" s="13"/>
      <c r="QOH42" s="13"/>
      <c r="QOI42" s="13"/>
      <c r="QOJ42" s="13"/>
      <c r="QOK42" s="13"/>
      <c r="QOL42" s="13"/>
      <c r="QOM42" s="13"/>
      <c r="QON42" s="13"/>
      <c r="QOO42" s="13"/>
      <c r="QOP42" s="13"/>
      <c r="QOQ42" s="13"/>
      <c r="QOR42" s="13"/>
      <c r="QOS42" s="13"/>
      <c r="QOT42" s="13"/>
      <c r="QOU42" s="13"/>
      <c r="QOV42" s="13"/>
      <c r="QOW42" s="13"/>
      <c r="QOX42" s="13"/>
      <c r="QOY42" s="13"/>
      <c r="QOZ42" s="13"/>
      <c r="QPA42" s="13"/>
      <c r="QPB42" s="13"/>
      <c r="QPC42" s="13"/>
      <c r="QPD42" s="13"/>
      <c r="QPE42" s="13"/>
      <c r="QPF42" s="13"/>
      <c r="QPG42" s="13"/>
      <c r="QPH42" s="13"/>
      <c r="QPI42" s="13"/>
      <c r="QPJ42" s="13"/>
      <c r="QPK42" s="13"/>
      <c r="QPL42" s="13"/>
      <c r="QPM42" s="13"/>
      <c r="QPN42" s="13"/>
      <c r="QPO42" s="13"/>
      <c r="QPP42" s="13"/>
      <c r="QPQ42" s="13"/>
      <c r="QPR42" s="13"/>
      <c r="QPS42" s="13"/>
      <c r="QPT42" s="13"/>
      <c r="QPU42" s="13"/>
      <c r="QPV42" s="13"/>
      <c r="QPW42" s="13"/>
      <c r="QPX42" s="13"/>
      <c r="QPY42" s="13"/>
      <c r="QPZ42" s="13"/>
      <c r="QQA42" s="13"/>
      <c r="QQB42" s="13"/>
      <c r="QQC42" s="13"/>
      <c r="QQD42" s="13"/>
      <c r="QQE42" s="13"/>
      <c r="QQF42" s="13"/>
      <c r="QQG42" s="13"/>
      <c r="QQH42" s="13"/>
      <c r="QQI42" s="13"/>
      <c r="QQJ42" s="13"/>
      <c r="QQK42" s="13"/>
      <c r="QQL42" s="13"/>
      <c r="QQM42" s="13"/>
      <c r="QQN42" s="13"/>
      <c r="QQO42" s="13"/>
      <c r="QQP42" s="13"/>
      <c r="QQQ42" s="13"/>
      <c r="QQR42" s="13"/>
      <c r="QQS42" s="13"/>
      <c r="QQT42" s="13"/>
      <c r="QQU42" s="13"/>
      <c r="QQV42" s="13"/>
      <c r="QQW42" s="13"/>
      <c r="QQX42" s="13"/>
      <c r="QQY42" s="13"/>
      <c r="QQZ42" s="13"/>
      <c r="QRA42" s="13"/>
      <c r="QRB42" s="13"/>
      <c r="QRC42" s="13"/>
      <c r="QRD42" s="13"/>
      <c r="QRE42" s="13"/>
      <c r="QRF42" s="13"/>
      <c r="QRG42" s="13"/>
      <c r="QRH42" s="13"/>
      <c r="QRI42" s="13"/>
      <c r="QRJ42" s="13"/>
      <c r="QRK42" s="13"/>
      <c r="QRL42" s="13"/>
      <c r="QRM42" s="13"/>
      <c r="QRN42" s="13"/>
      <c r="QRO42" s="13"/>
      <c r="QRP42" s="13"/>
      <c r="QRQ42" s="13"/>
      <c r="QRR42" s="13"/>
      <c r="QRS42" s="13"/>
      <c r="QRT42" s="13"/>
      <c r="QRU42" s="13"/>
      <c r="QRV42" s="13"/>
      <c r="QRW42" s="13"/>
      <c r="QRX42" s="13"/>
      <c r="QRY42" s="13"/>
      <c r="QRZ42" s="13"/>
      <c r="QSA42" s="13"/>
      <c r="QSB42" s="13"/>
      <c r="QSC42" s="13"/>
      <c r="QSD42" s="13"/>
      <c r="QSE42" s="13"/>
      <c r="QSF42" s="13"/>
      <c r="QSG42" s="13"/>
      <c r="QSH42" s="13"/>
      <c r="QSI42" s="13"/>
      <c r="QSJ42" s="13"/>
      <c r="QSK42" s="13"/>
      <c r="QSL42" s="13"/>
      <c r="QSM42" s="13"/>
      <c r="QSN42" s="13"/>
      <c r="QSO42" s="13"/>
      <c r="QSP42" s="13"/>
      <c r="QSQ42" s="13"/>
      <c r="QSR42" s="13"/>
      <c r="QSS42" s="13"/>
      <c r="QST42" s="13"/>
      <c r="QSU42" s="13"/>
      <c r="QSV42" s="13"/>
      <c r="QSW42" s="13"/>
      <c r="QSX42" s="13"/>
      <c r="QSY42" s="13"/>
      <c r="QSZ42" s="13"/>
      <c r="QTA42" s="13"/>
      <c r="QTB42" s="13"/>
      <c r="QTC42" s="13"/>
      <c r="QTD42" s="13"/>
      <c r="QTE42" s="13"/>
      <c r="QTF42" s="13"/>
      <c r="QTG42" s="13"/>
      <c r="QTH42" s="13"/>
      <c r="QTI42" s="13"/>
      <c r="QTJ42" s="13"/>
      <c r="QTK42" s="13"/>
      <c r="QTL42" s="13"/>
      <c r="QTM42" s="13"/>
      <c r="QTN42" s="13"/>
      <c r="QTO42" s="13"/>
      <c r="QTP42" s="13"/>
      <c r="QTQ42" s="13"/>
      <c r="QTR42" s="13"/>
      <c r="QTS42" s="13"/>
      <c r="QTT42" s="13"/>
      <c r="QTU42" s="13"/>
      <c r="QTV42" s="13"/>
      <c r="QTW42" s="13"/>
      <c r="QTX42" s="13"/>
      <c r="QTY42" s="13"/>
      <c r="QTZ42" s="13"/>
      <c r="QUA42" s="13"/>
      <c r="QUB42" s="13"/>
      <c r="QUC42" s="13"/>
      <c r="QUD42" s="13"/>
      <c r="QUE42" s="13"/>
      <c r="QUF42" s="13"/>
      <c r="QUG42" s="13"/>
      <c r="QUH42" s="13"/>
      <c r="QUI42" s="13"/>
      <c r="QUJ42" s="13"/>
      <c r="QUK42" s="13"/>
      <c r="QUL42" s="13"/>
      <c r="QUM42" s="13"/>
      <c r="QUN42" s="13"/>
      <c r="QUO42" s="13"/>
      <c r="QUP42" s="13"/>
      <c r="QUQ42" s="13"/>
      <c r="QUR42" s="13"/>
      <c r="QUS42" s="13"/>
      <c r="QUT42" s="13"/>
      <c r="QUU42" s="13"/>
      <c r="QUV42" s="13"/>
      <c r="QUW42" s="13"/>
      <c r="QUX42" s="13"/>
      <c r="QUY42" s="13"/>
      <c r="QUZ42" s="13"/>
      <c r="QVA42" s="13"/>
      <c r="QVB42" s="13"/>
      <c r="QVC42" s="13"/>
      <c r="QVD42" s="13"/>
      <c r="QVE42" s="13"/>
      <c r="QVF42" s="13"/>
      <c r="QVG42" s="13"/>
      <c r="QVH42" s="13"/>
      <c r="QVI42" s="13"/>
      <c r="QVJ42" s="13"/>
      <c r="QVK42" s="13"/>
      <c r="QVL42" s="13"/>
      <c r="QVM42" s="13"/>
      <c r="QVN42" s="13"/>
      <c r="QVO42" s="13"/>
      <c r="QVP42" s="13"/>
      <c r="QVQ42" s="13"/>
      <c r="QVR42" s="13"/>
      <c r="QVS42" s="13"/>
      <c r="QVT42" s="13"/>
      <c r="QVU42" s="13"/>
      <c r="QVV42" s="13"/>
      <c r="QVW42" s="13"/>
      <c r="QVX42" s="13"/>
      <c r="QVY42" s="13"/>
      <c r="QVZ42" s="13"/>
      <c r="QWA42" s="13"/>
      <c r="QWB42" s="13"/>
      <c r="QWC42" s="13"/>
      <c r="QWD42" s="13"/>
      <c r="QWE42" s="13"/>
      <c r="QWF42" s="13"/>
      <c r="QWG42" s="13"/>
      <c r="QWH42" s="13"/>
      <c r="QWI42" s="13"/>
      <c r="QWJ42" s="13"/>
      <c r="QWK42" s="13"/>
      <c r="QWL42" s="13"/>
      <c r="QWM42" s="13"/>
      <c r="QWN42" s="13"/>
      <c r="QWO42" s="13"/>
      <c r="QWP42" s="13"/>
      <c r="QWQ42" s="13"/>
      <c r="QWR42" s="13"/>
      <c r="QWS42" s="13"/>
      <c r="QWT42" s="13"/>
      <c r="QWU42" s="13"/>
      <c r="QWV42" s="13"/>
      <c r="QWW42" s="13"/>
      <c r="QWX42" s="13"/>
      <c r="QWY42" s="13"/>
      <c r="QWZ42" s="13"/>
      <c r="QXA42" s="13"/>
      <c r="QXB42" s="13"/>
      <c r="QXC42" s="13"/>
      <c r="QXD42" s="13"/>
      <c r="QXE42" s="13"/>
      <c r="QXF42" s="13"/>
      <c r="QXG42" s="13"/>
      <c r="QXH42" s="13"/>
      <c r="QXI42" s="13"/>
      <c r="QXJ42" s="13"/>
      <c r="QXK42" s="13"/>
      <c r="QXL42" s="13"/>
      <c r="QXM42" s="13"/>
      <c r="QXN42" s="13"/>
      <c r="QXO42" s="13"/>
      <c r="QXP42" s="13"/>
      <c r="QXQ42" s="13"/>
      <c r="QXR42" s="13"/>
      <c r="QXS42" s="13"/>
      <c r="QXT42" s="13"/>
      <c r="QXU42" s="13"/>
      <c r="QXV42" s="13"/>
      <c r="QXW42" s="13"/>
      <c r="QXX42" s="13"/>
      <c r="QXY42" s="13"/>
      <c r="QXZ42" s="13"/>
      <c r="QYA42" s="13"/>
      <c r="QYB42" s="13"/>
      <c r="QYC42" s="13"/>
      <c r="QYD42" s="13"/>
      <c r="QYE42" s="13"/>
      <c r="QYF42" s="13"/>
      <c r="QYG42" s="13"/>
      <c r="QYH42" s="13"/>
      <c r="QYI42" s="13"/>
      <c r="QYJ42" s="13"/>
      <c r="QYK42" s="13"/>
      <c r="QYL42" s="13"/>
      <c r="QYM42" s="13"/>
      <c r="QYN42" s="13"/>
      <c r="QYO42" s="13"/>
      <c r="QYP42" s="13"/>
      <c r="QYQ42" s="13"/>
      <c r="QYR42" s="13"/>
      <c r="QYS42" s="13"/>
      <c r="QYT42" s="13"/>
      <c r="QYU42" s="13"/>
      <c r="QYV42" s="13"/>
      <c r="QYW42" s="13"/>
      <c r="QYX42" s="13"/>
      <c r="QYY42" s="13"/>
      <c r="QYZ42" s="13"/>
      <c r="QZA42" s="13"/>
      <c r="QZB42" s="13"/>
      <c r="QZC42" s="13"/>
      <c r="QZD42" s="13"/>
      <c r="QZE42" s="13"/>
      <c r="QZF42" s="13"/>
      <c r="QZG42" s="13"/>
      <c r="QZH42" s="13"/>
      <c r="QZI42" s="13"/>
      <c r="QZJ42" s="13"/>
      <c r="QZK42" s="13"/>
      <c r="QZL42" s="13"/>
      <c r="QZM42" s="13"/>
      <c r="QZN42" s="13"/>
      <c r="QZO42" s="13"/>
      <c r="QZP42" s="13"/>
      <c r="QZQ42" s="13"/>
      <c r="QZR42" s="13"/>
      <c r="QZS42" s="13"/>
      <c r="QZT42" s="13"/>
      <c r="QZU42" s="13"/>
      <c r="QZV42" s="13"/>
      <c r="QZW42" s="13"/>
      <c r="QZX42" s="13"/>
      <c r="QZY42" s="13"/>
      <c r="QZZ42" s="13"/>
      <c r="RAA42" s="13"/>
      <c r="RAB42" s="13"/>
      <c r="RAC42" s="13"/>
      <c r="RAD42" s="13"/>
      <c r="RAE42" s="13"/>
      <c r="RAF42" s="13"/>
      <c r="RAG42" s="13"/>
      <c r="RAH42" s="13"/>
      <c r="RAI42" s="13"/>
      <c r="RAJ42" s="13"/>
      <c r="RAK42" s="13"/>
      <c r="RAL42" s="13"/>
      <c r="RAM42" s="13"/>
      <c r="RAN42" s="13"/>
      <c r="RAO42" s="13"/>
      <c r="RAP42" s="13"/>
      <c r="RAQ42" s="13"/>
      <c r="RAR42" s="13"/>
      <c r="RAS42" s="13"/>
      <c r="RAT42" s="13"/>
      <c r="RAU42" s="13"/>
      <c r="RAV42" s="13"/>
      <c r="RAW42" s="13"/>
      <c r="RAX42" s="13"/>
      <c r="RAY42" s="13"/>
      <c r="RAZ42" s="13"/>
      <c r="RBA42" s="13"/>
      <c r="RBB42" s="13"/>
      <c r="RBC42" s="13"/>
      <c r="RBD42" s="13"/>
      <c r="RBE42" s="13"/>
      <c r="RBF42" s="13"/>
      <c r="RBG42" s="13"/>
      <c r="RBH42" s="13"/>
      <c r="RBI42" s="13"/>
      <c r="RBJ42" s="13"/>
      <c r="RBK42" s="13"/>
      <c r="RBL42" s="13"/>
      <c r="RBM42" s="13"/>
      <c r="RBN42" s="13"/>
      <c r="RBO42" s="13"/>
      <c r="RBP42" s="13"/>
      <c r="RBQ42" s="13"/>
      <c r="RBR42" s="13"/>
      <c r="RBS42" s="13"/>
      <c r="RBT42" s="13"/>
      <c r="RBU42" s="13"/>
      <c r="RBV42" s="13"/>
      <c r="RBW42" s="13"/>
      <c r="RBX42" s="13"/>
      <c r="RBY42" s="13"/>
      <c r="RBZ42" s="13"/>
      <c r="RCA42" s="13"/>
      <c r="RCB42" s="13"/>
      <c r="RCC42" s="13"/>
      <c r="RCD42" s="13"/>
      <c r="RCE42" s="13"/>
      <c r="RCF42" s="13"/>
      <c r="RCG42" s="13"/>
      <c r="RCH42" s="13"/>
      <c r="RCI42" s="13"/>
      <c r="RCJ42" s="13"/>
      <c r="RCK42" s="13"/>
      <c r="RCL42" s="13"/>
      <c r="RCM42" s="13"/>
      <c r="RCN42" s="13"/>
      <c r="RCO42" s="13"/>
      <c r="RCP42" s="13"/>
      <c r="RCQ42" s="13"/>
      <c r="RCR42" s="13"/>
      <c r="RCS42" s="13"/>
      <c r="RCT42" s="13"/>
      <c r="RCU42" s="13"/>
      <c r="RCV42" s="13"/>
      <c r="RCW42" s="13"/>
      <c r="RCX42" s="13"/>
      <c r="RCY42" s="13"/>
      <c r="RCZ42" s="13"/>
      <c r="RDA42" s="13"/>
      <c r="RDB42" s="13"/>
      <c r="RDC42" s="13"/>
      <c r="RDD42" s="13"/>
      <c r="RDE42" s="13"/>
      <c r="RDF42" s="13"/>
      <c r="RDG42" s="13"/>
      <c r="RDH42" s="13"/>
      <c r="RDI42" s="13"/>
      <c r="RDJ42" s="13"/>
      <c r="RDK42" s="13"/>
      <c r="RDL42" s="13"/>
      <c r="RDM42" s="13"/>
      <c r="RDN42" s="13"/>
      <c r="RDO42" s="13"/>
      <c r="RDP42" s="13"/>
      <c r="RDQ42" s="13"/>
      <c r="RDR42" s="13"/>
      <c r="RDS42" s="13"/>
      <c r="RDT42" s="13"/>
      <c r="RDU42" s="13"/>
      <c r="RDV42" s="13"/>
      <c r="RDW42" s="13"/>
      <c r="RDX42" s="13"/>
      <c r="RDY42" s="13"/>
      <c r="RDZ42" s="13"/>
      <c r="REA42" s="13"/>
      <c r="REB42" s="13"/>
      <c r="REC42" s="13"/>
      <c r="RED42" s="13"/>
      <c r="REE42" s="13"/>
      <c r="REF42" s="13"/>
      <c r="REG42" s="13"/>
      <c r="REH42" s="13"/>
      <c r="REI42" s="13"/>
      <c r="REJ42" s="13"/>
      <c r="REK42" s="13"/>
      <c r="REL42" s="13"/>
      <c r="REM42" s="13"/>
      <c r="REN42" s="13"/>
      <c r="REO42" s="13"/>
      <c r="REP42" s="13"/>
      <c r="REQ42" s="13"/>
      <c r="RER42" s="13"/>
      <c r="RES42" s="13"/>
      <c r="RET42" s="13"/>
      <c r="REU42" s="13"/>
      <c r="REV42" s="13"/>
      <c r="REW42" s="13"/>
      <c r="REX42" s="13"/>
      <c r="REY42" s="13"/>
      <c r="REZ42" s="13"/>
      <c r="RFA42" s="13"/>
      <c r="RFB42" s="13"/>
      <c r="RFC42" s="13"/>
      <c r="RFD42" s="13"/>
      <c r="RFE42" s="13"/>
      <c r="RFF42" s="13"/>
      <c r="RFG42" s="13"/>
      <c r="RFH42" s="13"/>
      <c r="RFI42" s="13"/>
      <c r="RFJ42" s="13"/>
      <c r="RFK42" s="13"/>
      <c r="RFL42" s="13"/>
      <c r="RFM42" s="13"/>
      <c r="RFN42" s="13"/>
      <c r="RFO42" s="13"/>
      <c r="RFP42" s="13"/>
      <c r="RFQ42" s="13"/>
      <c r="RFR42" s="13"/>
      <c r="RFS42" s="13"/>
      <c r="RFT42" s="13"/>
      <c r="RFU42" s="13"/>
      <c r="RFV42" s="13"/>
      <c r="RFW42" s="13"/>
      <c r="RFX42" s="13"/>
      <c r="RFY42" s="13"/>
      <c r="RFZ42" s="13"/>
      <c r="RGA42" s="13"/>
      <c r="RGB42" s="13"/>
      <c r="RGC42" s="13"/>
      <c r="RGD42" s="13"/>
      <c r="RGE42" s="13"/>
      <c r="RGF42" s="13"/>
      <c r="RGG42" s="13"/>
      <c r="RGH42" s="13"/>
      <c r="RGI42" s="13"/>
      <c r="RGJ42" s="13"/>
      <c r="RGK42" s="13"/>
      <c r="RGL42" s="13"/>
      <c r="RGM42" s="13"/>
      <c r="RGN42" s="13"/>
      <c r="RGO42" s="13"/>
      <c r="RGP42" s="13"/>
      <c r="RGQ42" s="13"/>
      <c r="RGR42" s="13"/>
      <c r="RGS42" s="13"/>
      <c r="RGT42" s="13"/>
      <c r="RGU42" s="13"/>
      <c r="RGV42" s="13"/>
      <c r="RGW42" s="13"/>
      <c r="RGX42" s="13"/>
      <c r="RGY42" s="13"/>
      <c r="RGZ42" s="13"/>
      <c r="RHA42" s="13"/>
      <c r="RHB42" s="13"/>
      <c r="RHC42" s="13"/>
      <c r="RHD42" s="13"/>
      <c r="RHE42" s="13"/>
      <c r="RHF42" s="13"/>
      <c r="RHG42" s="13"/>
      <c r="RHH42" s="13"/>
      <c r="RHI42" s="13"/>
      <c r="RHJ42" s="13"/>
      <c r="RHK42" s="13"/>
      <c r="RHL42" s="13"/>
      <c r="RHM42" s="13"/>
      <c r="RHN42" s="13"/>
      <c r="RHO42" s="13"/>
      <c r="RHP42" s="13"/>
      <c r="RHQ42" s="13"/>
      <c r="RHR42" s="13"/>
      <c r="RHS42" s="13"/>
      <c r="RHT42" s="13"/>
      <c r="RHU42" s="13"/>
      <c r="RHV42" s="13"/>
      <c r="RHW42" s="13"/>
      <c r="RHX42" s="13"/>
      <c r="RHY42" s="13"/>
      <c r="RHZ42" s="13"/>
      <c r="RIA42" s="13"/>
      <c r="RIB42" s="13"/>
      <c r="RIC42" s="13"/>
      <c r="RID42" s="13"/>
      <c r="RIE42" s="13"/>
      <c r="RIF42" s="13"/>
      <c r="RIG42" s="13"/>
      <c r="RIH42" s="13"/>
      <c r="RII42" s="13"/>
      <c r="RIJ42" s="13"/>
      <c r="RIK42" s="13"/>
      <c r="RIL42" s="13"/>
      <c r="RIM42" s="13"/>
      <c r="RIN42" s="13"/>
      <c r="RIO42" s="13"/>
      <c r="RIP42" s="13"/>
      <c r="RIQ42" s="13"/>
      <c r="RIR42" s="13"/>
      <c r="RIS42" s="13"/>
      <c r="RIT42" s="13"/>
      <c r="RIU42" s="13"/>
      <c r="RIV42" s="13"/>
      <c r="RIW42" s="13"/>
      <c r="RIX42" s="13"/>
      <c r="RIY42" s="13"/>
      <c r="RIZ42" s="13"/>
      <c r="RJA42" s="13"/>
      <c r="RJB42" s="13"/>
      <c r="RJC42" s="13"/>
      <c r="RJD42" s="13"/>
      <c r="RJE42" s="13"/>
      <c r="RJF42" s="13"/>
      <c r="RJG42" s="13"/>
      <c r="RJH42" s="13"/>
      <c r="RJI42" s="13"/>
      <c r="RJJ42" s="13"/>
      <c r="RJK42" s="13"/>
      <c r="RJL42" s="13"/>
      <c r="RJM42" s="13"/>
      <c r="RJN42" s="13"/>
      <c r="RJO42" s="13"/>
      <c r="RJP42" s="13"/>
      <c r="RJQ42" s="13"/>
      <c r="RJR42" s="13"/>
      <c r="RJS42" s="13"/>
      <c r="RJT42" s="13"/>
      <c r="RJU42" s="13"/>
      <c r="RJV42" s="13"/>
      <c r="RJW42" s="13"/>
      <c r="RJX42" s="13"/>
      <c r="RJY42" s="13"/>
      <c r="RJZ42" s="13"/>
      <c r="RKA42" s="13"/>
      <c r="RKB42" s="13"/>
      <c r="RKC42" s="13"/>
      <c r="RKD42" s="13"/>
      <c r="RKE42" s="13"/>
      <c r="RKF42" s="13"/>
      <c r="RKG42" s="13"/>
      <c r="RKH42" s="13"/>
      <c r="RKI42" s="13"/>
      <c r="RKJ42" s="13"/>
      <c r="RKK42" s="13"/>
      <c r="RKL42" s="13"/>
      <c r="RKM42" s="13"/>
      <c r="RKN42" s="13"/>
      <c r="RKO42" s="13"/>
      <c r="RKP42" s="13"/>
      <c r="RKQ42" s="13"/>
      <c r="RKR42" s="13"/>
      <c r="RKS42" s="13"/>
      <c r="RKT42" s="13"/>
      <c r="RKU42" s="13"/>
      <c r="RKV42" s="13"/>
      <c r="RKW42" s="13"/>
      <c r="RKX42" s="13"/>
      <c r="RKY42" s="13"/>
      <c r="RKZ42" s="13"/>
      <c r="RLA42" s="13"/>
      <c r="RLB42" s="13"/>
      <c r="RLC42" s="13"/>
      <c r="RLD42" s="13"/>
      <c r="RLE42" s="13"/>
      <c r="RLF42" s="13"/>
      <c r="RLG42" s="13"/>
      <c r="RLH42" s="13"/>
      <c r="RLI42" s="13"/>
      <c r="RLJ42" s="13"/>
      <c r="RLK42" s="13"/>
      <c r="RLL42" s="13"/>
      <c r="RLM42" s="13"/>
      <c r="RLN42" s="13"/>
      <c r="RLO42" s="13"/>
      <c r="RLP42" s="13"/>
      <c r="RLQ42" s="13"/>
      <c r="RLR42" s="13"/>
      <c r="RLS42" s="13"/>
      <c r="RLT42" s="13"/>
      <c r="RLU42" s="13"/>
      <c r="RLV42" s="13"/>
      <c r="RLW42" s="13"/>
      <c r="RLX42" s="13"/>
      <c r="RLY42" s="13"/>
      <c r="RLZ42" s="13"/>
      <c r="RMA42" s="13"/>
      <c r="RMB42" s="13"/>
      <c r="RMC42" s="13"/>
      <c r="RMD42" s="13"/>
      <c r="RME42" s="13"/>
      <c r="RMF42" s="13"/>
      <c r="RMG42" s="13"/>
      <c r="RMH42" s="13"/>
      <c r="RMI42" s="13"/>
      <c r="RMJ42" s="13"/>
      <c r="RMK42" s="13"/>
      <c r="RML42" s="13"/>
      <c r="RMM42" s="13"/>
      <c r="RMN42" s="13"/>
      <c r="RMO42" s="13"/>
      <c r="RMP42" s="13"/>
      <c r="RMQ42" s="13"/>
      <c r="RMR42" s="13"/>
      <c r="RMS42" s="13"/>
      <c r="RMT42" s="13"/>
      <c r="RMU42" s="13"/>
      <c r="RMV42" s="13"/>
      <c r="RMW42" s="13"/>
      <c r="RMX42" s="13"/>
      <c r="RMY42" s="13"/>
      <c r="RMZ42" s="13"/>
      <c r="RNA42" s="13"/>
      <c r="RNB42" s="13"/>
      <c r="RNC42" s="13"/>
      <c r="RND42" s="13"/>
      <c r="RNE42" s="13"/>
      <c r="RNF42" s="13"/>
      <c r="RNG42" s="13"/>
      <c r="RNH42" s="13"/>
      <c r="RNI42" s="13"/>
      <c r="RNJ42" s="13"/>
      <c r="RNK42" s="13"/>
      <c r="RNL42" s="13"/>
      <c r="RNM42" s="13"/>
      <c r="RNN42" s="13"/>
      <c r="RNO42" s="13"/>
      <c r="RNP42" s="13"/>
      <c r="RNQ42" s="13"/>
      <c r="RNR42" s="13"/>
      <c r="RNS42" s="13"/>
      <c r="RNT42" s="13"/>
      <c r="RNU42" s="13"/>
      <c r="RNV42" s="13"/>
      <c r="RNW42" s="13"/>
      <c r="RNX42" s="13"/>
      <c r="RNY42" s="13"/>
      <c r="RNZ42" s="13"/>
      <c r="ROA42" s="13"/>
      <c r="ROB42" s="13"/>
      <c r="ROC42" s="13"/>
      <c r="ROD42" s="13"/>
      <c r="ROE42" s="13"/>
      <c r="ROF42" s="13"/>
      <c r="ROG42" s="13"/>
      <c r="ROH42" s="13"/>
      <c r="ROI42" s="13"/>
      <c r="ROJ42" s="13"/>
      <c r="ROK42" s="13"/>
      <c r="ROL42" s="13"/>
      <c r="ROM42" s="13"/>
      <c r="RON42" s="13"/>
      <c r="ROO42" s="13"/>
      <c r="ROP42" s="13"/>
      <c r="ROQ42" s="13"/>
      <c r="ROR42" s="13"/>
      <c r="ROS42" s="13"/>
      <c r="ROT42" s="13"/>
      <c r="ROU42" s="13"/>
      <c r="ROV42" s="13"/>
      <c r="ROW42" s="13"/>
      <c r="ROX42" s="13"/>
      <c r="ROY42" s="13"/>
      <c r="ROZ42" s="13"/>
      <c r="RPA42" s="13"/>
      <c r="RPB42" s="13"/>
      <c r="RPC42" s="13"/>
      <c r="RPD42" s="13"/>
      <c r="RPE42" s="13"/>
      <c r="RPF42" s="13"/>
      <c r="RPG42" s="13"/>
      <c r="RPH42" s="13"/>
      <c r="RPI42" s="13"/>
      <c r="RPJ42" s="13"/>
      <c r="RPK42" s="13"/>
      <c r="RPL42" s="13"/>
      <c r="RPM42" s="13"/>
      <c r="RPN42" s="13"/>
      <c r="RPO42" s="13"/>
      <c r="RPP42" s="13"/>
      <c r="RPQ42" s="13"/>
      <c r="RPR42" s="13"/>
      <c r="RPS42" s="13"/>
      <c r="RPT42" s="13"/>
      <c r="RPU42" s="13"/>
      <c r="RPV42" s="13"/>
      <c r="RPW42" s="13"/>
      <c r="RPX42" s="13"/>
      <c r="RPY42" s="13"/>
      <c r="RPZ42" s="13"/>
      <c r="RQA42" s="13"/>
      <c r="RQB42" s="13"/>
      <c r="RQC42" s="13"/>
      <c r="RQD42" s="13"/>
      <c r="RQE42" s="13"/>
      <c r="RQF42" s="13"/>
      <c r="RQG42" s="13"/>
      <c r="RQH42" s="13"/>
      <c r="RQI42" s="13"/>
      <c r="RQJ42" s="13"/>
      <c r="RQK42" s="13"/>
      <c r="RQL42" s="13"/>
      <c r="RQM42" s="13"/>
      <c r="RQN42" s="13"/>
      <c r="RQO42" s="13"/>
      <c r="RQP42" s="13"/>
      <c r="RQQ42" s="13"/>
      <c r="RQR42" s="13"/>
      <c r="RQS42" s="13"/>
      <c r="RQT42" s="13"/>
      <c r="RQU42" s="13"/>
      <c r="RQV42" s="13"/>
      <c r="RQW42" s="13"/>
      <c r="RQX42" s="13"/>
      <c r="RQY42" s="13"/>
      <c r="RQZ42" s="13"/>
      <c r="RRA42" s="13"/>
      <c r="RRB42" s="13"/>
      <c r="RRC42" s="13"/>
      <c r="RRD42" s="13"/>
      <c r="RRE42" s="13"/>
      <c r="RRF42" s="13"/>
      <c r="RRG42" s="13"/>
      <c r="RRH42" s="13"/>
      <c r="RRI42" s="13"/>
      <c r="RRJ42" s="13"/>
      <c r="RRK42" s="13"/>
      <c r="RRL42" s="13"/>
      <c r="RRM42" s="13"/>
      <c r="RRN42" s="13"/>
      <c r="RRO42" s="13"/>
      <c r="RRP42" s="13"/>
      <c r="RRQ42" s="13"/>
      <c r="RRR42" s="13"/>
      <c r="RRS42" s="13"/>
      <c r="RRT42" s="13"/>
      <c r="RRU42" s="13"/>
      <c r="RRV42" s="13"/>
      <c r="RRW42" s="13"/>
      <c r="RRX42" s="13"/>
      <c r="RRY42" s="13"/>
      <c r="RRZ42" s="13"/>
      <c r="RSA42" s="13"/>
      <c r="RSB42" s="13"/>
      <c r="RSC42" s="13"/>
      <c r="RSD42" s="13"/>
      <c r="RSE42" s="13"/>
      <c r="RSF42" s="13"/>
      <c r="RSG42" s="13"/>
      <c r="RSH42" s="13"/>
      <c r="RSI42" s="13"/>
      <c r="RSJ42" s="13"/>
      <c r="RSK42" s="13"/>
      <c r="RSL42" s="13"/>
      <c r="RSM42" s="13"/>
      <c r="RSN42" s="13"/>
      <c r="RSO42" s="13"/>
      <c r="RSP42" s="13"/>
      <c r="RSQ42" s="13"/>
      <c r="RSR42" s="13"/>
      <c r="RSS42" s="13"/>
      <c r="RST42" s="13"/>
      <c r="RSU42" s="13"/>
      <c r="RSV42" s="13"/>
      <c r="RSW42" s="13"/>
      <c r="RSX42" s="13"/>
      <c r="RSY42" s="13"/>
      <c r="RSZ42" s="13"/>
      <c r="RTA42" s="13"/>
      <c r="RTB42" s="13"/>
      <c r="RTC42" s="13"/>
      <c r="RTD42" s="13"/>
      <c r="RTE42" s="13"/>
      <c r="RTF42" s="13"/>
      <c r="RTG42" s="13"/>
      <c r="RTH42" s="13"/>
      <c r="RTI42" s="13"/>
      <c r="RTJ42" s="13"/>
      <c r="RTK42" s="13"/>
      <c r="RTL42" s="13"/>
      <c r="RTM42" s="13"/>
      <c r="RTN42" s="13"/>
      <c r="RTO42" s="13"/>
      <c r="RTP42" s="13"/>
      <c r="RTQ42" s="13"/>
      <c r="RTR42" s="13"/>
      <c r="RTS42" s="13"/>
      <c r="RTT42" s="13"/>
      <c r="RTU42" s="13"/>
      <c r="RTV42" s="13"/>
      <c r="RTW42" s="13"/>
      <c r="RTX42" s="13"/>
      <c r="RTY42" s="13"/>
      <c r="RTZ42" s="13"/>
      <c r="RUA42" s="13"/>
      <c r="RUB42" s="13"/>
      <c r="RUC42" s="13"/>
      <c r="RUD42" s="13"/>
      <c r="RUE42" s="13"/>
      <c r="RUF42" s="13"/>
      <c r="RUG42" s="13"/>
      <c r="RUH42" s="13"/>
      <c r="RUI42" s="13"/>
      <c r="RUJ42" s="13"/>
      <c r="RUK42" s="13"/>
      <c r="RUL42" s="13"/>
      <c r="RUM42" s="13"/>
      <c r="RUN42" s="13"/>
      <c r="RUO42" s="13"/>
      <c r="RUP42" s="13"/>
      <c r="RUQ42" s="13"/>
      <c r="RUR42" s="13"/>
      <c r="RUS42" s="13"/>
      <c r="RUT42" s="13"/>
      <c r="RUU42" s="13"/>
      <c r="RUV42" s="13"/>
      <c r="RUW42" s="13"/>
      <c r="RUX42" s="13"/>
      <c r="RUY42" s="13"/>
      <c r="RUZ42" s="13"/>
      <c r="RVA42" s="13"/>
      <c r="RVB42" s="13"/>
      <c r="RVC42" s="13"/>
      <c r="RVD42" s="13"/>
      <c r="RVE42" s="13"/>
      <c r="RVF42" s="13"/>
      <c r="RVG42" s="13"/>
      <c r="RVH42" s="13"/>
      <c r="RVI42" s="13"/>
      <c r="RVJ42" s="13"/>
      <c r="RVK42" s="13"/>
      <c r="RVL42" s="13"/>
      <c r="RVM42" s="13"/>
      <c r="RVN42" s="13"/>
      <c r="RVO42" s="13"/>
      <c r="RVP42" s="13"/>
      <c r="RVQ42" s="13"/>
      <c r="RVR42" s="13"/>
      <c r="RVS42" s="13"/>
      <c r="RVT42" s="13"/>
      <c r="RVU42" s="13"/>
      <c r="RVV42" s="13"/>
      <c r="RVW42" s="13"/>
      <c r="RVX42" s="13"/>
      <c r="RVY42" s="13"/>
      <c r="RVZ42" s="13"/>
      <c r="RWA42" s="13"/>
      <c r="RWB42" s="13"/>
      <c r="RWC42" s="13"/>
      <c r="RWD42" s="13"/>
      <c r="RWE42" s="13"/>
      <c r="RWF42" s="13"/>
      <c r="RWG42" s="13"/>
      <c r="RWH42" s="13"/>
      <c r="RWI42" s="13"/>
      <c r="RWJ42" s="13"/>
      <c r="RWK42" s="13"/>
      <c r="RWL42" s="13"/>
      <c r="RWM42" s="13"/>
      <c r="RWN42" s="13"/>
      <c r="RWO42" s="13"/>
      <c r="RWP42" s="13"/>
      <c r="RWQ42" s="13"/>
      <c r="RWR42" s="13"/>
      <c r="RWS42" s="13"/>
      <c r="RWT42" s="13"/>
      <c r="RWU42" s="13"/>
      <c r="RWV42" s="13"/>
      <c r="RWW42" s="13"/>
      <c r="RWX42" s="13"/>
      <c r="RWY42" s="13"/>
      <c r="RWZ42" s="13"/>
      <c r="RXA42" s="13"/>
      <c r="RXB42" s="13"/>
      <c r="RXC42" s="13"/>
      <c r="RXD42" s="13"/>
      <c r="RXE42" s="13"/>
      <c r="RXF42" s="13"/>
      <c r="RXG42" s="13"/>
      <c r="RXH42" s="13"/>
      <c r="RXI42" s="13"/>
      <c r="RXJ42" s="13"/>
      <c r="RXK42" s="13"/>
      <c r="RXL42" s="13"/>
      <c r="RXM42" s="13"/>
      <c r="RXN42" s="13"/>
      <c r="RXO42" s="13"/>
      <c r="RXP42" s="13"/>
      <c r="RXQ42" s="13"/>
      <c r="RXR42" s="13"/>
      <c r="RXS42" s="13"/>
      <c r="RXT42" s="13"/>
      <c r="RXU42" s="13"/>
      <c r="RXV42" s="13"/>
      <c r="RXW42" s="13"/>
      <c r="RXX42" s="13"/>
      <c r="RXY42" s="13"/>
      <c r="RXZ42" s="13"/>
      <c r="RYA42" s="13"/>
      <c r="RYB42" s="13"/>
      <c r="RYC42" s="13"/>
      <c r="RYD42" s="13"/>
      <c r="RYE42" s="13"/>
      <c r="RYF42" s="13"/>
      <c r="RYG42" s="13"/>
      <c r="RYH42" s="13"/>
      <c r="RYI42" s="13"/>
      <c r="RYJ42" s="13"/>
      <c r="RYK42" s="13"/>
      <c r="RYL42" s="13"/>
      <c r="RYM42" s="13"/>
      <c r="RYN42" s="13"/>
      <c r="RYO42" s="13"/>
      <c r="RYP42" s="13"/>
      <c r="RYQ42" s="13"/>
      <c r="RYR42" s="13"/>
      <c r="RYS42" s="13"/>
      <c r="RYT42" s="13"/>
      <c r="RYU42" s="13"/>
      <c r="RYV42" s="13"/>
      <c r="RYW42" s="13"/>
      <c r="RYX42" s="13"/>
      <c r="RYY42" s="13"/>
      <c r="RYZ42" s="13"/>
      <c r="RZA42" s="13"/>
      <c r="RZB42" s="13"/>
      <c r="RZC42" s="13"/>
      <c r="RZD42" s="13"/>
      <c r="RZE42" s="13"/>
      <c r="RZF42" s="13"/>
      <c r="RZG42" s="13"/>
      <c r="RZH42" s="13"/>
      <c r="RZI42" s="13"/>
      <c r="RZJ42" s="13"/>
      <c r="RZK42" s="13"/>
      <c r="RZL42" s="13"/>
      <c r="RZM42" s="13"/>
      <c r="RZN42" s="13"/>
      <c r="RZO42" s="13"/>
      <c r="RZP42" s="13"/>
      <c r="RZQ42" s="13"/>
      <c r="RZR42" s="13"/>
      <c r="RZS42" s="13"/>
      <c r="RZT42" s="13"/>
      <c r="RZU42" s="13"/>
      <c r="RZV42" s="13"/>
      <c r="RZW42" s="13"/>
      <c r="RZX42" s="13"/>
      <c r="RZY42" s="13"/>
      <c r="RZZ42" s="13"/>
      <c r="SAA42" s="13"/>
      <c r="SAB42" s="13"/>
      <c r="SAC42" s="13"/>
      <c r="SAD42" s="13"/>
      <c r="SAE42" s="13"/>
      <c r="SAF42" s="13"/>
      <c r="SAG42" s="13"/>
      <c r="SAH42" s="13"/>
      <c r="SAI42" s="13"/>
      <c r="SAJ42" s="13"/>
      <c r="SAK42" s="13"/>
      <c r="SAL42" s="13"/>
      <c r="SAM42" s="13"/>
      <c r="SAN42" s="13"/>
      <c r="SAO42" s="13"/>
      <c r="SAP42" s="13"/>
      <c r="SAQ42" s="13"/>
      <c r="SAR42" s="13"/>
      <c r="SAS42" s="13"/>
      <c r="SAT42" s="13"/>
      <c r="SAU42" s="13"/>
      <c r="SAV42" s="13"/>
      <c r="SAW42" s="13"/>
      <c r="SAX42" s="13"/>
      <c r="SAY42" s="13"/>
      <c r="SAZ42" s="13"/>
      <c r="SBA42" s="13"/>
      <c r="SBB42" s="13"/>
      <c r="SBC42" s="13"/>
      <c r="SBD42" s="13"/>
      <c r="SBE42" s="13"/>
      <c r="SBF42" s="13"/>
      <c r="SBG42" s="13"/>
      <c r="SBH42" s="13"/>
      <c r="SBI42" s="13"/>
      <c r="SBJ42" s="13"/>
      <c r="SBK42" s="13"/>
      <c r="SBL42" s="13"/>
      <c r="SBM42" s="13"/>
      <c r="SBN42" s="13"/>
      <c r="SBO42" s="13"/>
      <c r="SBP42" s="13"/>
      <c r="SBQ42" s="13"/>
      <c r="SBR42" s="13"/>
      <c r="SBS42" s="13"/>
      <c r="SBT42" s="13"/>
      <c r="SBU42" s="13"/>
      <c r="SBV42" s="13"/>
      <c r="SBW42" s="13"/>
      <c r="SBX42" s="13"/>
      <c r="SBY42" s="13"/>
      <c r="SBZ42" s="13"/>
      <c r="SCA42" s="13"/>
      <c r="SCB42" s="13"/>
      <c r="SCC42" s="13"/>
      <c r="SCD42" s="13"/>
      <c r="SCE42" s="13"/>
      <c r="SCF42" s="13"/>
      <c r="SCG42" s="13"/>
      <c r="SCH42" s="13"/>
      <c r="SCI42" s="13"/>
      <c r="SCJ42" s="13"/>
      <c r="SCK42" s="13"/>
      <c r="SCL42" s="13"/>
      <c r="SCM42" s="13"/>
      <c r="SCN42" s="13"/>
      <c r="SCO42" s="13"/>
      <c r="SCP42" s="13"/>
      <c r="SCQ42" s="13"/>
      <c r="SCR42" s="13"/>
      <c r="SCS42" s="13"/>
      <c r="SCT42" s="13"/>
      <c r="SCU42" s="13"/>
      <c r="SCV42" s="13"/>
      <c r="SCW42" s="13"/>
      <c r="SCX42" s="13"/>
      <c r="SCY42" s="13"/>
      <c r="SCZ42" s="13"/>
      <c r="SDA42" s="13"/>
      <c r="SDB42" s="13"/>
      <c r="SDC42" s="13"/>
      <c r="SDD42" s="13"/>
      <c r="SDE42" s="13"/>
      <c r="SDF42" s="13"/>
      <c r="SDG42" s="13"/>
      <c r="SDH42" s="13"/>
      <c r="SDI42" s="13"/>
      <c r="SDJ42" s="13"/>
      <c r="SDK42" s="13"/>
      <c r="SDL42" s="13"/>
      <c r="SDM42" s="13"/>
      <c r="SDN42" s="13"/>
      <c r="SDO42" s="13"/>
      <c r="SDP42" s="13"/>
      <c r="SDQ42" s="13"/>
      <c r="SDR42" s="13"/>
      <c r="SDS42" s="13"/>
      <c r="SDT42" s="13"/>
      <c r="SDU42" s="13"/>
      <c r="SDV42" s="13"/>
      <c r="SDW42" s="13"/>
      <c r="SDX42" s="13"/>
      <c r="SDY42" s="13"/>
      <c r="SDZ42" s="13"/>
      <c r="SEA42" s="13"/>
      <c r="SEB42" s="13"/>
      <c r="SEC42" s="13"/>
      <c r="SED42" s="13"/>
      <c r="SEE42" s="13"/>
      <c r="SEF42" s="13"/>
      <c r="SEG42" s="13"/>
      <c r="SEH42" s="13"/>
      <c r="SEI42" s="13"/>
      <c r="SEJ42" s="13"/>
      <c r="SEK42" s="13"/>
      <c r="SEL42" s="13"/>
      <c r="SEM42" s="13"/>
      <c r="SEN42" s="13"/>
      <c r="SEO42" s="13"/>
      <c r="SEP42" s="13"/>
      <c r="SEQ42" s="13"/>
      <c r="SER42" s="13"/>
      <c r="SES42" s="13"/>
      <c r="SET42" s="13"/>
      <c r="SEU42" s="13"/>
      <c r="SEV42" s="13"/>
      <c r="SEW42" s="13"/>
      <c r="SEX42" s="13"/>
      <c r="SEY42" s="13"/>
      <c r="SEZ42" s="13"/>
      <c r="SFA42" s="13"/>
      <c r="SFB42" s="13"/>
      <c r="SFC42" s="13"/>
      <c r="SFD42" s="13"/>
      <c r="SFE42" s="13"/>
      <c r="SFF42" s="13"/>
      <c r="SFG42" s="13"/>
      <c r="SFH42" s="13"/>
      <c r="SFI42" s="13"/>
      <c r="SFJ42" s="13"/>
      <c r="SFK42" s="13"/>
      <c r="SFL42" s="13"/>
      <c r="SFM42" s="13"/>
      <c r="SFN42" s="13"/>
      <c r="SFO42" s="13"/>
      <c r="SFP42" s="13"/>
      <c r="SFQ42" s="13"/>
      <c r="SFR42" s="13"/>
      <c r="SFS42" s="13"/>
      <c r="SFT42" s="13"/>
      <c r="SFU42" s="13"/>
      <c r="SFV42" s="13"/>
      <c r="SFW42" s="13"/>
      <c r="SFX42" s="13"/>
      <c r="SFY42" s="13"/>
      <c r="SFZ42" s="13"/>
      <c r="SGA42" s="13"/>
      <c r="SGB42" s="13"/>
      <c r="SGC42" s="13"/>
      <c r="SGD42" s="13"/>
      <c r="SGE42" s="13"/>
      <c r="SGF42" s="13"/>
      <c r="SGG42" s="13"/>
      <c r="SGH42" s="13"/>
      <c r="SGI42" s="13"/>
      <c r="SGJ42" s="13"/>
      <c r="SGK42" s="13"/>
      <c r="SGL42" s="13"/>
      <c r="SGM42" s="13"/>
      <c r="SGN42" s="13"/>
      <c r="SGO42" s="13"/>
      <c r="SGP42" s="13"/>
      <c r="SGQ42" s="13"/>
      <c r="SGR42" s="13"/>
      <c r="SGS42" s="13"/>
      <c r="SGT42" s="13"/>
      <c r="SGU42" s="13"/>
      <c r="SGV42" s="13"/>
      <c r="SGW42" s="13"/>
      <c r="SGX42" s="13"/>
      <c r="SGY42" s="13"/>
      <c r="SGZ42" s="13"/>
      <c r="SHA42" s="13"/>
      <c r="SHB42" s="13"/>
      <c r="SHC42" s="13"/>
      <c r="SHD42" s="13"/>
      <c r="SHE42" s="13"/>
      <c r="SHF42" s="13"/>
      <c r="SHG42" s="13"/>
      <c r="SHH42" s="13"/>
      <c r="SHI42" s="13"/>
      <c r="SHJ42" s="13"/>
      <c r="SHK42" s="13"/>
      <c r="SHL42" s="13"/>
      <c r="SHM42" s="13"/>
      <c r="SHN42" s="13"/>
      <c r="SHO42" s="13"/>
      <c r="SHP42" s="13"/>
      <c r="SHQ42" s="13"/>
      <c r="SHR42" s="13"/>
      <c r="SHS42" s="13"/>
      <c r="SHT42" s="13"/>
      <c r="SHU42" s="13"/>
      <c r="SHV42" s="13"/>
      <c r="SHW42" s="13"/>
      <c r="SHX42" s="13"/>
      <c r="SHY42" s="13"/>
      <c r="SHZ42" s="13"/>
      <c r="SIA42" s="13"/>
      <c r="SIB42" s="13"/>
      <c r="SIC42" s="13"/>
      <c r="SID42" s="13"/>
      <c r="SIE42" s="13"/>
      <c r="SIF42" s="13"/>
      <c r="SIG42" s="13"/>
      <c r="SIH42" s="13"/>
      <c r="SII42" s="13"/>
      <c r="SIJ42" s="13"/>
      <c r="SIK42" s="13"/>
      <c r="SIL42" s="13"/>
      <c r="SIM42" s="13"/>
      <c r="SIN42" s="13"/>
      <c r="SIO42" s="13"/>
      <c r="SIP42" s="13"/>
      <c r="SIQ42" s="13"/>
      <c r="SIR42" s="13"/>
      <c r="SIS42" s="13"/>
      <c r="SIT42" s="13"/>
      <c r="SIU42" s="13"/>
      <c r="SIV42" s="13"/>
      <c r="SIW42" s="13"/>
      <c r="SIX42" s="13"/>
      <c r="SIY42" s="13"/>
      <c r="SIZ42" s="13"/>
      <c r="SJA42" s="13"/>
      <c r="SJB42" s="13"/>
      <c r="SJC42" s="13"/>
      <c r="SJD42" s="13"/>
      <c r="SJE42" s="13"/>
      <c r="SJF42" s="13"/>
      <c r="SJG42" s="13"/>
      <c r="SJH42" s="13"/>
      <c r="SJI42" s="13"/>
      <c r="SJJ42" s="13"/>
      <c r="SJK42" s="13"/>
      <c r="SJL42" s="13"/>
      <c r="SJM42" s="13"/>
      <c r="SJN42" s="13"/>
      <c r="SJO42" s="13"/>
      <c r="SJP42" s="13"/>
      <c r="SJQ42" s="13"/>
      <c r="SJR42" s="13"/>
      <c r="SJS42" s="13"/>
      <c r="SJT42" s="13"/>
      <c r="SJU42" s="13"/>
      <c r="SJV42" s="13"/>
      <c r="SJW42" s="13"/>
      <c r="SJX42" s="13"/>
      <c r="SJY42" s="13"/>
      <c r="SJZ42" s="13"/>
      <c r="SKA42" s="13"/>
      <c r="SKB42" s="13"/>
      <c r="SKC42" s="13"/>
      <c r="SKD42" s="13"/>
      <c r="SKE42" s="13"/>
      <c r="SKF42" s="13"/>
      <c r="SKG42" s="13"/>
      <c r="SKH42" s="13"/>
      <c r="SKI42" s="13"/>
      <c r="SKJ42" s="13"/>
      <c r="SKK42" s="13"/>
      <c r="SKL42" s="13"/>
      <c r="SKM42" s="13"/>
      <c r="SKN42" s="13"/>
      <c r="SKO42" s="13"/>
      <c r="SKP42" s="13"/>
      <c r="SKQ42" s="13"/>
      <c r="SKR42" s="13"/>
      <c r="SKS42" s="13"/>
      <c r="SKT42" s="13"/>
      <c r="SKU42" s="13"/>
      <c r="SKV42" s="13"/>
      <c r="SKW42" s="13"/>
      <c r="SKX42" s="13"/>
      <c r="SKY42" s="13"/>
      <c r="SKZ42" s="13"/>
      <c r="SLA42" s="13"/>
      <c r="SLB42" s="13"/>
      <c r="SLC42" s="13"/>
      <c r="SLD42" s="13"/>
      <c r="SLE42" s="13"/>
      <c r="SLF42" s="13"/>
      <c r="SLG42" s="13"/>
      <c r="SLH42" s="13"/>
      <c r="SLI42" s="13"/>
      <c r="SLJ42" s="13"/>
      <c r="SLK42" s="13"/>
      <c r="SLL42" s="13"/>
      <c r="SLM42" s="13"/>
      <c r="SLN42" s="13"/>
      <c r="SLO42" s="13"/>
      <c r="SLP42" s="13"/>
      <c r="SLQ42" s="13"/>
      <c r="SLR42" s="13"/>
      <c r="SLS42" s="13"/>
      <c r="SLT42" s="13"/>
      <c r="SLU42" s="13"/>
      <c r="SLV42" s="13"/>
      <c r="SLW42" s="13"/>
      <c r="SLX42" s="13"/>
      <c r="SLY42" s="13"/>
      <c r="SLZ42" s="13"/>
      <c r="SMA42" s="13"/>
      <c r="SMB42" s="13"/>
      <c r="SMC42" s="13"/>
      <c r="SMD42" s="13"/>
      <c r="SME42" s="13"/>
      <c r="SMF42" s="13"/>
      <c r="SMG42" s="13"/>
      <c r="SMH42" s="13"/>
      <c r="SMI42" s="13"/>
      <c r="SMJ42" s="13"/>
      <c r="SMK42" s="13"/>
      <c r="SML42" s="13"/>
      <c r="SMM42" s="13"/>
      <c r="SMN42" s="13"/>
      <c r="SMO42" s="13"/>
      <c r="SMP42" s="13"/>
      <c r="SMQ42" s="13"/>
      <c r="SMR42" s="13"/>
      <c r="SMS42" s="13"/>
      <c r="SMT42" s="13"/>
      <c r="SMU42" s="13"/>
      <c r="SMV42" s="13"/>
      <c r="SMW42" s="13"/>
      <c r="SMX42" s="13"/>
      <c r="SMY42" s="13"/>
      <c r="SMZ42" s="13"/>
      <c r="SNA42" s="13"/>
      <c r="SNB42" s="13"/>
      <c r="SNC42" s="13"/>
      <c r="SND42" s="13"/>
      <c r="SNE42" s="13"/>
      <c r="SNF42" s="13"/>
      <c r="SNG42" s="13"/>
      <c r="SNH42" s="13"/>
      <c r="SNI42" s="13"/>
      <c r="SNJ42" s="13"/>
      <c r="SNK42" s="13"/>
      <c r="SNL42" s="13"/>
      <c r="SNM42" s="13"/>
      <c r="SNN42" s="13"/>
      <c r="SNO42" s="13"/>
      <c r="SNP42" s="13"/>
      <c r="SNQ42" s="13"/>
      <c r="SNR42" s="13"/>
      <c r="SNS42" s="13"/>
      <c r="SNT42" s="13"/>
      <c r="SNU42" s="13"/>
      <c r="SNV42" s="13"/>
      <c r="SNW42" s="13"/>
      <c r="SNX42" s="13"/>
      <c r="SNY42" s="13"/>
      <c r="SNZ42" s="13"/>
      <c r="SOA42" s="13"/>
      <c r="SOB42" s="13"/>
      <c r="SOC42" s="13"/>
      <c r="SOD42" s="13"/>
      <c r="SOE42" s="13"/>
      <c r="SOF42" s="13"/>
      <c r="SOG42" s="13"/>
      <c r="SOH42" s="13"/>
      <c r="SOI42" s="13"/>
      <c r="SOJ42" s="13"/>
      <c r="SOK42" s="13"/>
      <c r="SOL42" s="13"/>
      <c r="SOM42" s="13"/>
      <c r="SON42" s="13"/>
      <c r="SOO42" s="13"/>
      <c r="SOP42" s="13"/>
      <c r="SOQ42" s="13"/>
      <c r="SOR42" s="13"/>
      <c r="SOS42" s="13"/>
      <c r="SOT42" s="13"/>
      <c r="SOU42" s="13"/>
      <c r="SOV42" s="13"/>
      <c r="SOW42" s="13"/>
      <c r="SOX42" s="13"/>
      <c r="SOY42" s="13"/>
      <c r="SOZ42" s="13"/>
      <c r="SPA42" s="13"/>
      <c r="SPB42" s="13"/>
      <c r="SPC42" s="13"/>
      <c r="SPD42" s="13"/>
      <c r="SPE42" s="13"/>
      <c r="SPF42" s="13"/>
      <c r="SPG42" s="13"/>
      <c r="SPH42" s="13"/>
      <c r="SPI42" s="13"/>
      <c r="SPJ42" s="13"/>
      <c r="SPK42" s="13"/>
      <c r="SPL42" s="13"/>
      <c r="SPM42" s="13"/>
      <c r="SPN42" s="13"/>
      <c r="SPO42" s="13"/>
      <c r="SPP42" s="13"/>
      <c r="SPQ42" s="13"/>
      <c r="SPR42" s="13"/>
      <c r="SPS42" s="13"/>
      <c r="SPT42" s="13"/>
      <c r="SPU42" s="13"/>
      <c r="SPV42" s="13"/>
      <c r="SPW42" s="13"/>
      <c r="SPX42" s="13"/>
      <c r="SPY42" s="13"/>
      <c r="SPZ42" s="13"/>
      <c r="SQA42" s="13"/>
      <c r="SQB42" s="13"/>
      <c r="SQC42" s="13"/>
      <c r="SQD42" s="13"/>
      <c r="SQE42" s="13"/>
      <c r="SQF42" s="13"/>
      <c r="SQG42" s="13"/>
      <c r="SQH42" s="13"/>
      <c r="SQI42" s="13"/>
      <c r="SQJ42" s="13"/>
      <c r="SQK42" s="13"/>
      <c r="SQL42" s="13"/>
      <c r="SQM42" s="13"/>
      <c r="SQN42" s="13"/>
      <c r="SQO42" s="13"/>
      <c r="SQP42" s="13"/>
      <c r="SQQ42" s="13"/>
      <c r="SQR42" s="13"/>
      <c r="SQS42" s="13"/>
      <c r="SQT42" s="13"/>
      <c r="SQU42" s="13"/>
      <c r="SQV42" s="13"/>
      <c r="SQW42" s="13"/>
      <c r="SQX42" s="13"/>
      <c r="SQY42" s="13"/>
      <c r="SQZ42" s="13"/>
      <c r="SRA42" s="13"/>
      <c r="SRB42" s="13"/>
      <c r="SRC42" s="13"/>
      <c r="SRD42" s="13"/>
      <c r="SRE42" s="13"/>
      <c r="SRF42" s="13"/>
      <c r="SRG42" s="13"/>
      <c r="SRH42" s="13"/>
      <c r="SRI42" s="13"/>
      <c r="SRJ42" s="13"/>
      <c r="SRK42" s="13"/>
      <c r="SRL42" s="13"/>
      <c r="SRM42" s="13"/>
      <c r="SRN42" s="13"/>
      <c r="SRO42" s="13"/>
      <c r="SRP42" s="13"/>
      <c r="SRQ42" s="13"/>
      <c r="SRR42" s="13"/>
      <c r="SRS42" s="13"/>
      <c r="SRT42" s="13"/>
      <c r="SRU42" s="13"/>
      <c r="SRV42" s="13"/>
      <c r="SRW42" s="13"/>
      <c r="SRX42" s="13"/>
      <c r="SRY42" s="13"/>
      <c r="SRZ42" s="13"/>
      <c r="SSA42" s="13"/>
      <c r="SSB42" s="13"/>
      <c r="SSC42" s="13"/>
      <c r="SSD42" s="13"/>
      <c r="SSE42" s="13"/>
      <c r="SSF42" s="13"/>
      <c r="SSG42" s="13"/>
      <c r="SSH42" s="13"/>
      <c r="SSI42" s="13"/>
      <c r="SSJ42" s="13"/>
      <c r="SSK42" s="13"/>
      <c r="SSL42" s="13"/>
      <c r="SSM42" s="13"/>
      <c r="SSN42" s="13"/>
      <c r="SSO42" s="13"/>
      <c r="SSP42" s="13"/>
      <c r="SSQ42" s="13"/>
      <c r="SSR42" s="13"/>
      <c r="SSS42" s="13"/>
      <c r="SST42" s="13"/>
      <c r="SSU42" s="13"/>
      <c r="SSV42" s="13"/>
      <c r="SSW42" s="13"/>
      <c r="SSX42" s="13"/>
      <c r="SSY42" s="13"/>
      <c r="SSZ42" s="13"/>
      <c r="STA42" s="13"/>
      <c r="STB42" s="13"/>
      <c r="STC42" s="13"/>
      <c r="STD42" s="13"/>
      <c r="STE42" s="13"/>
      <c r="STF42" s="13"/>
      <c r="STG42" s="13"/>
      <c r="STH42" s="13"/>
      <c r="STI42" s="13"/>
      <c r="STJ42" s="13"/>
      <c r="STK42" s="13"/>
      <c r="STL42" s="13"/>
      <c r="STM42" s="13"/>
      <c r="STN42" s="13"/>
      <c r="STO42" s="13"/>
      <c r="STP42" s="13"/>
      <c r="STQ42" s="13"/>
      <c r="STR42" s="13"/>
      <c r="STS42" s="13"/>
      <c r="STT42" s="13"/>
      <c r="STU42" s="13"/>
      <c r="STV42" s="13"/>
      <c r="STW42" s="13"/>
      <c r="STX42" s="13"/>
      <c r="STY42" s="13"/>
      <c r="STZ42" s="13"/>
      <c r="SUA42" s="13"/>
      <c r="SUB42" s="13"/>
      <c r="SUC42" s="13"/>
      <c r="SUD42" s="13"/>
      <c r="SUE42" s="13"/>
      <c r="SUF42" s="13"/>
      <c r="SUG42" s="13"/>
      <c r="SUH42" s="13"/>
      <c r="SUI42" s="13"/>
      <c r="SUJ42" s="13"/>
      <c r="SUK42" s="13"/>
      <c r="SUL42" s="13"/>
      <c r="SUM42" s="13"/>
      <c r="SUN42" s="13"/>
      <c r="SUO42" s="13"/>
      <c r="SUP42" s="13"/>
      <c r="SUQ42" s="13"/>
      <c r="SUR42" s="13"/>
      <c r="SUS42" s="13"/>
      <c r="SUT42" s="13"/>
      <c r="SUU42" s="13"/>
      <c r="SUV42" s="13"/>
      <c r="SUW42" s="13"/>
      <c r="SUX42" s="13"/>
      <c r="SUY42" s="13"/>
      <c r="SUZ42" s="13"/>
      <c r="SVA42" s="13"/>
      <c r="SVB42" s="13"/>
      <c r="SVC42" s="13"/>
      <c r="SVD42" s="13"/>
      <c r="SVE42" s="13"/>
      <c r="SVF42" s="13"/>
      <c r="SVG42" s="13"/>
      <c r="SVH42" s="13"/>
      <c r="SVI42" s="13"/>
      <c r="SVJ42" s="13"/>
      <c r="SVK42" s="13"/>
      <c r="SVL42" s="13"/>
      <c r="SVM42" s="13"/>
      <c r="SVN42" s="13"/>
      <c r="SVO42" s="13"/>
      <c r="SVP42" s="13"/>
      <c r="SVQ42" s="13"/>
      <c r="SVR42" s="13"/>
      <c r="SVS42" s="13"/>
      <c r="SVT42" s="13"/>
      <c r="SVU42" s="13"/>
      <c r="SVV42" s="13"/>
      <c r="SVW42" s="13"/>
      <c r="SVX42" s="13"/>
      <c r="SVY42" s="13"/>
      <c r="SVZ42" s="13"/>
      <c r="SWA42" s="13"/>
      <c r="SWB42" s="13"/>
      <c r="SWC42" s="13"/>
      <c r="SWD42" s="13"/>
      <c r="SWE42" s="13"/>
      <c r="SWF42" s="13"/>
      <c r="SWG42" s="13"/>
      <c r="SWH42" s="13"/>
      <c r="SWI42" s="13"/>
      <c r="SWJ42" s="13"/>
      <c r="SWK42" s="13"/>
      <c r="SWL42" s="13"/>
      <c r="SWM42" s="13"/>
      <c r="SWN42" s="13"/>
      <c r="SWO42" s="13"/>
      <c r="SWP42" s="13"/>
      <c r="SWQ42" s="13"/>
      <c r="SWR42" s="13"/>
      <c r="SWS42" s="13"/>
      <c r="SWT42" s="13"/>
      <c r="SWU42" s="13"/>
      <c r="SWV42" s="13"/>
      <c r="SWW42" s="13"/>
      <c r="SWX42" s="13"/>
      <c r="SWY42" s="13"/>
      <c r="SWZ42" s="13"/>
      <c r="SXA42" s="13"/>
      <c r="SXB42" s="13"/>
      <c r="SXC42" s="13"/>
      <c r="SXD42" s="13"/>
      <c r="SXE42" s="13"/>
      <c r="SXF42" s="13"/>
      <c r="SXG42" s="13"/>
      <c r="SXH42" s="13"/>
      <c r="SXI42" s="13"/>
      <c r="SXJ42" s="13"/>
      <c r="SXK42" s="13"/>
      <c r="SXL42" s="13"/>
      <c r="SXM42" s="13"/>
      <c r="SXN42" s="13"/>
      <c r="SXO42" s="13"/>
      <c r="SXP42" s="13"/>
      <c r="SXQ42" s="13"/>
      <c r="SXR42" s="13"/>
      <c r="SXS42" s="13"/>
      <c r="SXT42" s="13"/>
      <c r="SXU42" s="13"/>
      <c r="SXV42" s="13"/>
      <c r="SXW42" s="13"/>
      <c r="SXX42" s="13"/>
      <c r="SXY42" s="13"/>
      <c r="SXZ42" s="13"/>
      <c r="SYA42" s="13"/>
      <c r="SYB42" s="13"/>
      <c r="SYC42" s="13"/>
      <c r="SYD42" s="13"/>
      <c r="SYE42" s="13"/>
      <c r="SYF42" s="13"/>
      <c r="SYG42" s="13"/>
      <c r="SYH42" s="13"/>
      <c r="SYI42" s="13"/>
      <c r="SYJ42" s="13"/>
      <c r="SYK42" s="13"/>
      <c r="SYL42" s="13"/>
      <c r="SYM42" s="13"/>
      <c r="SYN42" s="13"/>
      <c r="SYO42" s="13"/>
      <c r="SYP42" s="13"/>
      <c r="SYQ42" s="13"/>
      <c r="SYR42" s="13"/>
      <c r="SYS42" s="13"/>
      <c r="SYT42" s="13"/>
      <c r="SYU42" s="13"/>
      <c r="SYV42" s="13"/>
      <c r="SYW42" s="13"/>
      <c r="SYX42" s="13"/>
      <c r="SYY42" s="13"/>
      <c r="SYZ42" s="13"/>
      <c r="SZA42" s="13"/>
      <c r="SZB42" s="13"/>
      <c r="SZC42" s="13"/>
      <c r="SZD42" s="13"/>
      <c r="SZE42" s="13"/>
      <c r="SZF42" s="13"/>
      <c r="SZG42" s="13"/>
      <c r="SZH42" s="13"/>
      <c r="SZI42" s="13"/>
      <c r="SZJ42" s="13"/>
      <c r="SZK42" s="13"/>
      <c r="SZL42" s="13"/>
      <c r="SZM42" s="13"/>
      <c r="SZN42" s="13"/>
      <c r="SZO42" s="13"/>
      <c r="SZP42" s="13"/>
      <c r="SZQ42" s="13"/>
      <c r="SZR42" s="13"/>
      <c r="SZS42" s="13"/>
      <c r="SZT42" s="13"/>
      <c r="SZU42" s="13"/>
      <c r="SZV42" s="13"/>
      <c r="SZW42" s="13"/>
      <c r="SZX42" s="13"/>
      <c r="SZY42" s="13"/>
      <c r="SZZ42" s="13"/>
      <c r="TAA42" s="13"/>
      <c r="TAB42" s="13"/>
      <c r="TAC42" s="13"/>
      <c r="TAD42" s="13"/>
      <c r="TAE42" s="13"/>
      <c r="TAF42" s="13"/>
      <c r="TAG42" s="13"/>
      <c r="TAH42" s="13"/>
      <c r="TAI42" s="13"/>
      <c r="TAJ42" s="13"/>
      <c r="TAK42" s="13"/>
      <c r="TAL42" s="13"/>
      <c r="TAM42" s="13"/>
      <c r="TAN42" s="13"/>
      <c r="TAO42" s="13"/>
      <c r="TAP42" s="13"/>
      <c r="TAQ42" s="13"/>
      <c r="TAR42" s="13"/>
      <c r="TAS42" s="13"/>
      <c r="TAT42" s="13"/>
      <c r="TAU42" s="13"/>
      <c r="TAV42" s="13"/>
      <c r="TAW42" s="13"/>
      <c r="TAX42" s="13"/>
      <c r="TAY42" s="13"/>
      <c r="TAZ42" s="13"/>
      <c r="TBA42" s="13"/>
      <c r="TBB42" s="13"/>
      <c r="TBC42" s="13"/>
      <c r="TBD42" s="13"/>
      <c r="TBE42" s="13"/>
      <c r="TBF42" s="13"/>
      <c r="TBG42" s="13"/>
      <c r="TBH42" s="13"/>
      <c r="TBI42" s="13"/>
      <c r="TBJ42" s="13"/>
      <c r="TBK42" s="13"/>
      <c r="TBL42" s="13"/>
      <c r="TBM42" s="13"/>
      <c r="TBN42" s="13"/>
      <c r="TBO42" s="13"/>
      <c r="TBP42" s="13"/>
      <c r="TBQ42" s="13"/>
      <c r="TBR42" s="13"/>
      <c r="TBS42" s="13"/>
      <c r="TBT42" s="13"/>
      <c r="TBU42" s="13"/>
      <c r="TBV42" s="13"/>
      <c r="TBW42" s="13"/>
      <c r="TBX42" s="13"/>
      <c r="TBY42" s="13"/>
      <c r="TBZ42" s="13"/>
      <c r="TCA42" s="13"/>
      <c r="TCB42" s="13"/>
      <c r="TCC42" s="13"/>
      <c r="TCD42" s="13"/>
      <c r="TCE42" s="13"/>
      <c r="TCF42" s="13"/>
      <c r="TCG42" s="13"/>
      <c r="TCH42" s="13"/>
      <c r="TCI42" s="13"/>
      <c r="TCJ42" s="13"/>
      <c r="TCK42" s="13"/>
      <c r="TCL42" s="13"/>
      <c r="TCM42" s="13"/>
      <c r="TCN42" s="13"/>
      <c r="TCO42" s="13"/>
      <c r="TCP42" s="13"/>
      <c r="TCQ42" s="13"/>
      <c r="TCR42" s="13"/>
      <c r="TCS42" s="13"/>
      <c r="TCT42" s="13"/>
      <c r="TCU42" s="13"/>
      <c r="TCV42" s="13"/>
      <c r="TCW42" s="13"/>
      <c r="TCX42" s="13"/>
      <c r="TCY42" s="13"/>
      <c r="TCZ42" s="13"/>
      <c r="TDA42" s="13"/>
      <c r="TDB42" s="13"/>
      <c r="TDC42" s="13"/>
      <c r="TDD42" s="13"/>
      <c r="TDE42" s="13"/>
      <c r="TDF42" s="13"/>
      <c r="TDG42" s="13"/>
      <c r="TDH42" s="13"/>
      <c r="TDI42" s="13"/>
      <c r="TDJ42" s="13"/>
      <c r="TDK42" s="13"/>
      <c r="TDL42" s="13"/>
      <c r="TDM42" s="13"/>
      <c r="TDN42" s="13"/>
      <c r="TDO42" s="13"/>
      <c r="TDP42" s="13"/>
      <c r="TDQ42" s="13"/>
      <c r="TDR42" s="13"/>
      <c r="TDS42" s="13"/>
      <c r="TDT42" s="13"/>
      <c r="TDU42" s="13"/>
      <c r="TDV42" s="13"/>
      <c r="TDW42" s="13"/>
      <c r="TDX42" s="13"/>
      <c r="TDY42" s="13"/>
      <c r="TDZ42" s="13"/>
      <c r="TEA42" s="13"/>
      <c r="TEB42" s="13"/>
      <c r="TEC42" s="13"/>
      <c r="TED42" s="13"/>
      <c r="TEE42" s="13"/>
      <c r="TEF42" s="13"/>
      <c r="TEG42" s="13"/>
      <c r="TEH42" s="13"/>
      <c r="TEI42" s="13"/>
      <c r="TEJ42" s="13"/>
      <c r="TEK42" s="13"/>
      <c r="TEL42" s="13"/>
      <c r="TEM42" s="13"/>
      <c r="TEN42" s="13"/>
      <c r="TEO42" s="13"/>
      <c r="TEP42" s="13"/>
      <c r="TEQ42" s="13"/>
      <c r="TER42" s="13"/>
      <c r="TES42" s="13"/>
      <c r="TET42" s="13"/>
      <c r="TEU42" s="13"/>
      <c r="TEV42" s="13"/>
      <c r="TEW42" s="13"/>
      <c r="TEX42" s="13"/>
      <c r="TEY42" s="13"/>
      <c r="TEZ42" s="13"/>
      <c r="TFA42" s="13"/>
      <c r="TFB42" s="13"/>
      <c r="TFC42" s="13"/>
      <c r="TFD42" s="13"/>
      <c r="TFE42" s="13"/>
      <c r="TFF42" s="13"/>
      <c r="TFG42" s="13"/>
      <c r="TFH42" s="13"/>
      <c r="TFI42" s="13"/>
      <c r="TFJ42" s="13"/>
      <c r="TFK42" s="13"/>
      <c r="TFL42" s="13"/>
      <c r="TFM42" s="13"/>
      <c r="TFN42" s="13"/>
      <c r="TFO42" s="13"/>
      <c r="TFP42" s="13"/>
      <c r="TFQ42" s="13"/>
      <c r="TFR42" s="13"/>
      <c r="TFS42" s="13"/>
      <c r="TFT42" s="13"/>
      <c r="TFU42" s="13"/>
      <c r="TFV42" s="13"/>
      <c r="TFW42" s="13"/>
      <c r="TFX42" s="13"/>
      <c r="TFY42" s="13"/>
      <c r="TFZ42" s="13"/>
      <c r="TGA42" s="13"/>
      <c r="TGB42" s="13"/>
      <c r="TGC42" s="13"/>
      <c r="TGD42" s="13"/>
      <c r="TGE42" s="13"/>
      <c r="TGF42" s="13"/>
      <c r="TGG42" s="13"/>
      <c r="TGH42" s="13"/>
      <c r="TGI42" s="13"/>
      <c r="TGJ42" s="13"/>
      <c r="TGK42" s="13"/>
      <c r="TGL42" s="13"/>
      <c r="TGM42" s="13"/>
      <c r="TGN42" s="13"/>
      <c r="TGO42" s="13"/>
      <c r="TGP42" s="13"/>
      <c r="TGQ42" s="13"/>
      <c r="TGR42" s="13"/>
      <c r="TGS42" s="13"/>
      <c r="TGT42" s="13"/>
      <c r="TGU42" s="13"/>
      <c r="TGV42" s="13"/>
      <c r="TGW42" s="13"/>
      <c r="TGX42" s="13"/>
      <c r="TGY42" s="13"/>
      <c r="TGZ42" s="13"/>
      <c r="THA42" s="13"/>
      <c r="THB42" s="13"/>
      <c r="THC42" s="13"/>
      <c r="THD42" s="13"/>
      <c r="THE42" s="13"/>
      <c r="THF42" s="13"/>
      <c r="THG42" s="13"/>
      <c r="THH42" s="13"/>
      <c r="THI42" s="13"/>
      <c r="THJ42" s="13"/>
      <c r="THK42" s="13"/>
      <c r="THL42" s="13"/>
      <c r="THM42" s="13"/>
      <c r="THN42" s="13"/>
      <c r="THO42" s="13"/>
      <c r="THP42" s="13"/>
      <c r="THQ42" s="13"/>
      <c r="THR42" s="13"/>
      <c r="THS42" s="13"/>
      <c r="THT42" s="13"/>
      <c r="THU42" s="13"/>
      <c r="THV42" s="13"/>
      <c r="THW42" s="13"/>
      <c r="THX42" s="13"/>
      <c r="THY42" s="13"/>
      <c r="THZ42" s="13"/>
      <c r="TIA42" s="13"/>
      <c r="TIB42" s="13"/>
      <c r="TIC42" s="13"/>
      <c r="TID42" s="13"/>
      <c r="TIE42" s="13"/>
      <c r="TIF42" s="13"/>
      <c r="TIG42" s="13"/>
      <c r="TIH42" s="13"/>
      <c r="TII42" s="13"/>
      <c r="TIJ42" s="13"/>
      <c r="TIK42" s="13"/>
      <c r="TIL42" s="13"/>
      <c r="TIM42" s="13"/>
      <c r="TIN42" s="13"/>
      <c r="TIO42" s="13"/>
      <c r="TIP42" s="13"/>
      <c r="TIQ42" s="13"/>
      <c r="TIR42" s="13"/>
      <c r="TIS42" s="13"/>
      <c r="TIT42" s="13"/>
      <c r="TIU42" s="13"/>
      <c r="TIV42" s="13"/>
      <c r="TIW42" s="13"/>
      <c r="TIX42" s="13"/>
      <c r="TIY42" s="13"/>
      <c r="TIZ42" s="13"/>
      <c r="TJA42" s="13"/>
      <c r="TJB42" s="13"/>
      <c r="TJC42" s="13"/>
      <c r="TJD42" s="13"/>
      <c r="TJE42" s="13"/>
      <c r="TJF42" s="13"/>
      <c r="TJG42" s="13"/>
      <c r="TJH42" s="13"/>
      <c r="TJI42" s="13"/>
      <c r="TJJ42" s="13"/>
      <c r="TJK42" s="13"/>
      <c r="TJL42" s="13"/>
      <c r="TJM42" s="13"/>
      <c r="TJN42" s="13"/>
      <c r="TJO42" s="13"/>
      <c r="TJP42" s="13"/>
      <c r="TJQ42" s="13"/>
      <c r="TJR42" s="13"/>
      <c r="TJS42" s="13"/>
      <c r="TJT42" s="13"/>
      <c r="TJU42" s="13"/>
      <c r="TJV42" s="13"/>
      <c r="TJW42" s="13"/>
      <c r="TJX42" s="13"/>
      <c r="TJY42" s="13"/>
      <c r="TJZ42" s="13"/>
      <c r="TKA42" s="13"/>
      <c r="TKB42" s="13"/>
      <c r="TKC42" s="13"/>
      <c r="TKD42" s="13"/>
      <c r="TKE42" s="13"/>
      <c r="TKF42" s="13"/>
      <c r="TKG42" s="13"/>
      <c r="TKH42" s="13"/>
      <c r="TKI42" s="13"/>
      <c r="TKJ42" s="13"/>
      <c r="TKK42" s="13"/>
      <c r="TKL42" s="13"/>
      <c r="TKM42" s="13"/>
      <c r="TKN42" s="13"/>
      <c r="TKO42" s="13"/>
      <c r="TKP42" s="13"/>
      <c r="TKQ42" s="13"/>
      <c r="TKR42" s="13"/>
      <c r="TKS42" s="13"/>
      <c r="TKT42" s="13"/>
      <c r="TKU42" s="13"/>
      <c r="TKV42" s="13"/>
      <c r="TKW42" s="13"/>
      <c r="TKX42" s="13"/>
      <c r="TKY42" s="13"/>
      <c r="TKZ42" s="13"/>
      <c r="TLA42" s="13"/>
      <c r="TLB42" s="13"/>
      <c r="TLC42" s="13"/>
      <c r="TLD42" s="13"/>
      <c r="TLE42" s="13"/>
      <c r="TLF42" s="13"/>
      <c r="TLG42" s="13"/>
      <c r="TLH42" s="13"/>
      <c r="TLI42" s="13"/>
      <c r="TLJ42" s="13"/>
      <c r="TLK42" s="13"/>
      <c r="TLL42" s="13"/>
      <c r="TLM42" s="13"/>
      <c r="TLN42" s="13"/>
      <c r="TLO42" s="13"/>
      <c r="TLP42" s="13"/>
      <c r="TLQ42" s="13"/>
      <c r="TLR42" s="13"/>
      <c r="TLS42" s="13"/>
      <c r="TLT42" s="13"/>
      <c r="TLU42" s="13"/>
      <c r="TLV42" s="13"/>
      <c r="TLW42" s="13"/>
      <c r="TLX42" s="13"/>
      <c r="TLY42" s="13"/>
      <c r="TLZ42" s="13"/>
      <c r="TMA42" s="13"/>
      <c r="TMB42" s="13"/>
      <c r="TMC42" s="13"/>
      <c r="TMD42" s="13"/>
      <c r="TME42" s="13"/>
      <c r="TMF42" s="13"/>
      <c r="TMG42" s="13"/>
      <c r="TMH42" s="13"/>
      <c r="TMI42" s="13"/>
      <c r="TMJ42" s="13"/>
      <c r="TMK42" s="13"/>
      <c r="TML42" s="13"/>
      <c r="TMM42" s="13"/>
      <c r="TMN42" s="13"/>
      <c r="TMO42" s="13"/>
      <c r="TMP42" s="13"/>
      <c r="TMQ42" s="13"/>
      <c r="TMR42" s="13"/>
      <c r="TMS42" s="13"/>
      <c r="TMT42" s="13"/>
      <c r="TMU42" s="13"/>
      <c r="TMV42" s="13"/>
      <c r="TMW42" s="13"/>
      <c r="TMX42" s="13"/>
      <c r="TMY42" s="13"/>
      <c r="TMZ42" s="13"/>
      <c r="TNA42" s="13"/>
      <c r="TNB42" s="13"/>
      <c r="TNC42" s="13"/>
      <c r="TND42" s="13"/>
      <c r="TNE42" s="13"/>
      <c r="TNF42" s="13"/>
      <c r="TNG42" s="13"/>
      <c r="TNH42" s="13"/>
      <c r="TNI42" s="13"/>
      <c r="TNJ42" s="13"/>
      <c r="TNK42" s="13"/>
      <c r="TNL42" s="13"/>
      <c r="TNM42" s="13"/>
      <c r="TNN42" s="13"/>
      <c r="TNO42" s="13"/>
      <c r="TNP42" s="13"/>
      <c r="TNQ42" s="13"/>
      <c r="TNR42" s="13"/>
      <c r="TNS42" s="13"/>
      <c r="TNT42" s="13"/>
      <c r="TNU42" s="13"/>
      <c r="TNV42" s="13"/>
      <c r="TNW42" s="13"/>
      <c r="TNX42" s="13"/>
      <c r="TNY42" s="13"/>
      <c r="TNZ42" s="13"/>
      <c r="TOA42" s="13"/>
      <c r="TOB42" s="13"/>
      <c r="TOC42" s="13"/>
      <c r="TOD42" s="13"/>
      <c r="TOE42" s="13"/>
      <c r="TOF42" s="13"/>
      <c r="TOG42" s="13"/>
      <c r="TOH42" s="13"/>
      <c r="TOI42" s="13"/>
      <c r="TOJ42" s="13"/>
      <c r="TOK42" s="13"/>
      <c r="TOL42" s="13"/>
      <c r="TOM42" s="13"/>
      <c r="TON42" s="13"/>
      <c r="TOO42" s="13"/>
      <c r="TOP42" s="13"/>
      <c r="TOQ42" s="13"/>
      <c r="TOR42" s="13"/>
      <c r="TOS42" s="13"/>
      <c r="TOT42" s="13"/>
      <c r="TOU42" s="13"/>
      <c r="TOV42" s="13"/>
      <c r="TOW42" s="13"/>
      <c r="TOX42" s="13"/>
      <c r="TOY42" s="13"/>
      <c r="TOZ42" s="13"/>
      <c r="TPA42" s="13"/>
      <c r="TPB42" s="13"/>
      <c r="TPC42" s="13"/>
      <c r="TPD42" s="13"/>
      <c r="TPE42" s="13"/>
      <c r="TPF42" s="13"/>
      <c r="TPG42" s="13"/>
      <c r="TPH42" s="13"/>
      <c r="TPI42" s="13"/>
      <c r="TPJ42" s="13"/>
      <c r="TPK42" s="13"/>
      <c r="TPL42" s="13"/>
      <c r="TPM42" s="13"/>
      <c r="TPN42" s="13"/>
      <c r="TPO42" s="13"/>
      <c r="TPP42" s="13"/>
      <c r="TPQ42" s="13"/>
      <c r="TPR42" s="13"/>
      <c r="TPS42" s="13"/>
      <c r="TPT42" s="13"/>
      <c r="TPU42" s="13"/>
      <c r="TPV42" s="13"/>
      <c r="TPW42" s="13"/>
      <c r="TPX42" s="13"/>
      <c r="TPY42" s="13"/>
      <c r="TPZ42" s="13"/>
      <c r="TQA42" s="13"/>
      <c r="TQB42" s="13"/>
      <c r="TQC42" s="13"/>
      <c r="TQD42" s="13"/>
      <c r="TQE42" s="13"/>
      <c r="TQF42" s="13"/>
      <c r="TQG42" s="13"/>
      <c r="TQH42" s="13"/>
      <c r="TQI42" s="13"/>
      <c r="TQJ42" s="13"/>
      <c r="TQK42" s="13"/>
      <c r="TQL42" s="13"/>
      <c r="TQM42" s="13"/>
      <c r="TQN42" s="13"/>
      <c r="TQO42" s="13"/>
      <c r="TQP42" s="13"/>
      <c r="TQQ42" s="13"/>
      <c r="TQR42" s="13"/>
      <c r="TQS42" s="13"/>
      <c r="TQT42" s="13"/>
      <c r="TQU42" s="13"/>
      <c r="TQV42" s="13"/>
      <c r="TQW42" s="13"/>
      <c r="TQX42" s="13"/>
      <c r="TQY42" s="13"/>
      <c r="TQZ42" s="13"/>
      <c r="TRA42" s="13"/>
      <c r="TRB42" s="13"/>
      <c r="TRC42" s="13"/>
      <c r="TRD42" s="13"/>
      <c r="TRE42" s="13"/>
      <c r="TRF42" s="13"/>
      <c r="TRG42" s="13"/>
      <c r="TRH42" s="13"/>
      <c r="TRI42" s="13"/>
      <c r="TRJ42" s="13"/>
      <c r="TRK42" s="13"/>
      <c r="TRL42" s="13"/>
      <c r="TRM42" s="13"/>
      <c r="TRN42" s="13"/>
      <c r="TRO42" s="13"/>
      <c r="TRP42" s="13"/>
      <c r="TRQ42" s="13"/>
      <c r="TRR42" s="13"/>
      <c r="TRS42" s="13"/>
      <c r="TRT42" s="13"/>
      <c r="TRU42" s="13"/>
      <c r="TRV42" s="13"/>
      <c r="TRW42" s="13"/>
      <c r="TRX42" s="13"/>
      <c r="TRY42" s="13"/>
      <c r="TRZ42" s="13"/>
      <c r="TSA42" s="13"/>
      <c r="TSB42" s="13"/>
      <c r="TSC42" s="13"/>
      <c r="TSD42" s="13"/>
      <c r="TSE42" s="13"/>
      <c r="TSF42" s="13"/>
      <c r="TSG42" s="13"/>
      <c r="TSH42" s="13"/>
      <c r="TSI42" s="13"/>
      <c r="TSJ42" s="13"/>
      <c r="TSK42" s="13"/>
      <c r="TSL42" s="13"/>
      <c r="TSM42" s="13"/>
      <c r="TSN42" s="13"/>
      <c r="TSO42" s="13"/>
      <c r="TSP42" s="13"/>
      <c r="TSQ42" s="13"/>
      <c r="TSR42" s="13"/>
      <c r="TSS42" s="13"/>
      <c r="TST42" s="13"/>
      <c r="TSU42" s="13"/>
      <c r="TSV42" s="13"/>
      <c r="TSW42" s="13"/>
      <c r="TSX42" s="13"/>
      <c r="TSY42" s="13"/>
      <c r="TSZ42" s="13"/>
      <c r="TTA42" s="13"/>
      <c r="TTB42" s="13"/>
      <c r="TTC42" s="13"/>
      <c r="TTD42" s="13"/>
      <c r="TTE42" s="13"/>
      <c r="TTF42" s="13"/>
      <c r="TTG42" s="13"/>
      <c r="TTH42" s="13"/>
      <c r="TTI42" s="13"/>
      <c r="TTJ42" s="13"/>
      <c r="TTK42" s="13"/>
      <c r="TTL42" s="13"/>
      <c r="TTM42" s="13"/>
      <c r="TTN42" s="13"/>
      <c r="TTO42" s="13"/>
      <c r="TTP42" s="13"/>
      <c r="TTQ42" s="13"/>
      <c r="TTR42" s="13"/>
      <c r="TTS42" s="13"/>
      <c r="TTT42" s="13"/>
      <c r="TTU42" s="13"/>
      <c r="TTV42" s="13"/>
      <c r="TTW42" s="13"/>
      <c r="TTX42" s="13"/>
      <c r="TTY42" s="13"/>
      <c r="TTZ42" s="13"/>
      <c r="TUA42" s="13"/>
      <c r="TUB42" s="13"/>
      <c r="TUC42" s="13"/>
      <c r="TUD42" s="13"/>
      <c r="TUE42" s="13"/>
      <c r="TUF42" s="13"/>
      <c r="TUG42" s="13"/>
      <c r="TUH42" s="13"/>
      <c r="TUI42" s="13"/>
      <c r="TUJ42" s="13"/>
      <c r="TUK42" s="13"/>
      <c r="TUL42" s="13"/>
      <c r="TUM42" s="13"/>
      <c r="TUN42" s="13"/>
      <c r="TUO42" s="13"/>
      <c r="TUP42" s="13"/>
      <c r="TUQ42" s="13"/>
      <c r="TUR42" s="13"/>
      <c r="TUS42" s="13"/>
      <c r="TUT42" s="13"/>
      <c r="TUU42" s="13"/>
      <c r="TUV42" s="13"/>
      <c r="TUW42" s="13"/>
      <c r="TUX42" s="13"/>
      <c r="TUY42" s="13"/>
      <c r="TUZ42" s="13"/>
      <c r="TVA42" s="13"/>
      <c r="TVB42" s="13"/>
      <c r="TVC42" s="13"/>
      <c r="TVD42" s="13"/>
      <c r="TVE42" s="13"/>
      <c r="TVF42" s="13"/>
      <c r="TVG42" s="13"/>
      <c r="TVH42" s="13"/>
      <c r="TVI42" s="13"/>
      <c r="TVJ42" s="13"/>
      <c r="TVK42" s="13"/>
      <c r="TVL42" s="13"/>
      <c r="TVM42" s="13"/>
      <c r="TVN42" s="13"/>
      <c r="TVO42" s="13"/>
      <c r="TVP42" s="13"/>
      <c r="TVQ42" s="13"/>
      <c r="TVR42" s="13"/>
      <c r="TVS42" s="13"/>
      <c r="TVT42" s="13"/>
      <c r="TVU42" s="13"/>
      <c r="TVV42" s="13"/>
      <c r="TVW42" s="13"/>
      <c r="TVX42" s="13"/>
      <c r="TVY42" s="13"/>
      <c r="TVZ42" s="13"/>
      <c r="TWA42" s="13"/>
      <c r="TWB42" s="13"/>
      <c r="TWC42" s="13"/>
      <c r="TWD42" s="13"/>
      <c r="TWE42" s="13"/>
      <c r="TWF42" s="13"/>
      <c r="TWG42" s="13"/>
      <c r="TWH42" s="13"/>
      <c r="TWI42" s="13"/>
      <c r="TWJ42" s="13"/>
      <c r="TWK42" s="13"/>
      <c r="TWL42" s="13"/>
      <c r="TWM42" s="13"/>
      <c r="TWN42" s="13"/>
      <c r="TWO42" s="13"/>
      <c r="TWP42" s="13"/>
      <c r="TWQ42" s="13"/>
      <c r="TWR42" s="13"/>
      <c r="TWS42" s="13"/>
      <c r="TWT42" s="13"/>
      <c r="TWU42" s="13"/>
      <c r="TWV42" s="13"/>
      <c r="TWW42" s="13"/>
      <c r="TWX42" s="13"/>
      <c r="TWY42" s="13"/>
      <c r="TWZ42" s="13"/>
      <c r="TXA42" s="13"/>
      <c r="TXB42" s="13"/>
      <c r="TXC42" s="13"/>
      <c r="TXD42" s="13"/>
      <c r="TXE42" s="13"/>
      <c r="TXF42" s="13"/>
      <c r="TXG42" s="13"/>
      <c r="TXH42" s="13"/>
      <c r="TXI42" s="13"/>
      <c r="TXJ42" s="13"/>
      <c r="TXK42" s="13"/>
      <c r="TXL42" s="13"/>
      <c r="TXM42" s="13"/>
      <c r="TXN42" s="13"/>
      <c r="TXO42" s="13"/>
      <c r="TXP42" s="13"/>
      <c r="TXQ42" s="13"/>
      <c r="TXR42" s="13"/>
      <c r="TXS42" s="13"/>
      <c r="TXT42" s="13"/>
      <c r="TXU42" s="13"/>
      <c r="TXV42" s="13"/>
      <c r="TXW42" s="13"/>
      <c r="TXX42" s="13"/>
      <c r="TXY42" s="13"/>
      <c r="TXZ42" s="13"/>
      <c r="TYA42" s="13"/>
      <c r="TYB42" s="13"/>
      <c r="TYC42" s="13"/>
      <c r="TYD42" s="13"/>
      <c r="TYE42" s="13"/>
      <c r="TYF42" s="13"/>
      <c r="TYG42" s="13"/>
      <c r="TYH42" s="13"/>
      <c r="TYI42" s="13"/>
      <c r="TYJ42" s="13"/>
      <c r="TYK42" s="13"/>
      <c r="TYL42" s="13"/>
      <c r="TYM42" s="13"/>
      <c r="TYN42" s="13"/>
      <c r="TYO42" s="13"/>
      <c r="TYP42" s="13"/>
      <c r="TYQ42" s="13"/>
      <c r="TYR42" s="13"/>
      <c r="TYS42" s="13"/>
      <c r="TYT42" s="13"/>
      <c r="TYU42" s="13"/>
      <c r="TYV42" s="13"/>
      <c r="TYW42" s="13"/>
      <c r="TYX42" s="13"/>
      <c r="TYY42" s="13"/>
      <c r="TYZ42" s="13"/>
      <c r="TZA42" s="13"/>
      <c r="TZB42" s="13"/>
      <c r="TZC42" s="13"/>
      <c r="TZD42" s="13"/>
      <c r="TZE42" s="13"/>
      <c r="TZF42" s="13"/>
      <c r="TZG42" s="13"/>
      <c r="TZH42" s="13"/>
      <c r="TZI42" s="13"/>
      <c r="TZJ42" s="13"/>
      <c r="TZK42" s="13"/>
      <c r="TZL42" s="13"/>
      <c r="TZM42" s="13"/>
      <c r="TZN42" s="13"/>
      <c r="TZO42" s="13"/>
      <c r="TZP42" s="13"/>
      <c r="TZQ42" s="13"/>
      <c r="TZR42" s="13"/>
      <c r="TZS42" s="13"/>
      <c r="TZT42" s="13"/>
      <c r="TZU42" s="13"/>
      <c r="TZV42" s="13"/>
      <c r="TZW42" s="13"/>
      <c r="TZX42" s="13"/>
      <c r="TZY42" s="13"/>
      <c r="TZZ42" s="13"/>
      <c r="UAA42" s="13"/>
      <c r="UAB42" s="13"/>
      <c r="UAC42" s="13"/>
      <c r="UAD42" s="13"/>
      <c r="UAE42" s="13"/>
      <c r="UAF42" s="13"/>
      <c r="UAG42" s="13"/>
      <c r="UAH42" s="13"/>
      <c r="UAI42" s="13"/>
      <c r="UAJ42" s="13"/>
      <c r="UAK42" s="13"/>
      <c r="UAL42" s="13"/>
      <c r="UAM42" s="13"/>
      <c r="UAN42" s="13"/>
      <c r="UAO42" s="13"/>
      <c r="UAP42" s="13"/>
      <c r="UAQ42" s="13"/>
      <c r="UAR42" s="13"/>
      <c r="UAS42" s="13"/>
      <c r="UAT42" s="13"/>
      <c r="UAU42" s="13"/>
      <c r="UAV42" s="13"/>
      <c r="UAW42" s="13"/>
      <c r="UAX42" s="13"/>
      <c r="UAY42" s="13"/>
      <c r="UAZ42" s="13"/>
      <c r="UBA42" s="13"/>
      <c r="UBB42" s="13"/>
      <c r="UBC42" s="13"/>
      <c r="UBD42" s="13"/>
      <c r="UBE42" s="13"/>
      <c r="UBF42" s="13"/>
      <c r="UBG42" s="13"/>
      <c r="UBH42" s="13"/>
      <c r="UBI42" s="13"/>
      <c r="UBJ42" s="13"/>
      <c r="UBK42" s="13"/>
      <c r="UBL42" s="13"/>
      <c r="UBM42" s="13"/>
      <c r="UBN42" s="13"/>
      <c r="UBO42" s="13"/>
      <c r="UBP42" s="13"/>
      <c r="UBQ42" s="13"/>
      <c r="UBR42" s="13"/>
      <c r="UBS42" s="13"/>
      <c r="UBT42" s="13"/>
      <c r="UBU42" s="13"/>
      <c r="UBV42" s="13"/>
      <c r="UBW42" s="13"/>
      <c r="UBX42" s="13"/>
      <c r="UBY42" s="13"/>
      <c r="UBZ42" s="13"/>
      <c r="UCA42" s="13"/>
      <c r="UCB42" s="13"/>
      <c r="UCC42" s="13"/>
      <c r="UCD42" s="13"/>
      <c r="UCE42" s="13"/>
      <c r="UCF42" s="13"/>
      <c r="UCG42" s="13"/>
      <c r="UCH42" s="13"/>
      <c r="UCI42" s="13"/>
      <c r="UCJ42" s="13"/>
      <c r="UCK42" s="13"/>
      <c r="UCL42" s="13"/>
      <c r="UCM42" s="13"/>
      <c r="UCN42" s="13"/>
      <c r="UCO42" s="13"/>
      <c r="UCP42" s="13"/>
      <c r="UCQ42" s="13"/>
      <c r="UCR42" s="13"/>
      <c r="UCS42" s="13"/>
      <c r="UCT42" s="13"/>
      <c r="UCU42" s="13"/>
      <c r="UCV42" s="13"/>
      <c r="UCW42" s="13"/>
      <c r="UCX42" s="13"/>
      <c r="UCY42" s="13"/>
      <c r="UCZ42" s="13"/>
      <c r="UDA42" s="13"/>
      <c r="UDB42" s="13"/>
      <c r="UDC42" s="13"/>
      <c r="UDD42" s="13"/>
      <c r="UDE42" s="13"/>
      <c r="UDF42" s="13"/>
      <c r="UDG42" s="13"/>
      <c r="UDH42" s="13"/>
      <c r="UDI42" s="13"/>
      <c r="UDJ42" s="13"/>
      <c r="UDK42" s="13"/>
      <c r="UDL42" s="13"/>
      <c r="UDM42" s="13"/>
      <c r="UDN42" s="13"/>
      <c r="UDO42" s="13"/>
      <c r="UDP42" s="13"/>
      <c r="UDQ42" s="13"/>
      <c r="UDR42" s="13"/>
      <c r="UDS42" s="13"/>
      <c r="UDT42" s="13"/>
      <c r="UDU42" s="13"/>
      <c r="UDV42" s="13"/>
      <c r="UDW42" s="13"/>
      <c r="UDX42" s="13"/>
      <c r="UDY42" s="13"/>
      <c r="UDZ42" s="13"/>
      <c r="UEA42" s="13"/>
      <c r="UEB42" s="13"/>
      <c r="UEC42" s="13"/>
      <c r="UED42" s="13"/>
      <c r="UEE42" s="13"/>
      <c r="UEF42" s="13"/>
      <c r="UEG42" s="13"/>
      <c r="UEH42" s="13"/>
      <c r="UEI42" s="13"/>
      <c r="UEJ42" s="13"/>
      <c r="UEK42" s="13"/>
      <c r="UEL42" s="13"/>
      <c r="UEM42" s="13"/>
      <c r="UEN42" s="13"/>
      <c r="UEO42" s="13"/>
      <c r="UEP42" s="13"/>
      <c r="UEQ42" s="13"/>
      <c r="UER42" s="13"/>
      <c r="UES42" s="13"/>
      <c r="UET42" s="13"/>
      <c r="UEU42" s="13"/>
      <c r="UEV42" s="13"/>
      <c r="UEW42" s="13"/>
      <c r="UEX42" s="13"/>
      <c r="UEY42" s="13"/>
      <c r="UEZ42" s="13"/>
      <c r="UFA42" s="13"/>
      <c r="UFB42" s="13"/>
      <c r="UFC42" s="13"/>
      <c r="UFD42" s="13"/>
      <c r="UFE42" s="13"/>
      <c r="UFF42" s="13"/>
      <c r="UFG42" s="13"/>
      <c r="UFH42" s="13"/>
      <c r="UFI42" s="13"/>
      <c r="UFJ42" s="13"/>
      <c r="UFK42" s="13"/>
      <c r="UFL42" s="13"/>
      <c r="UFM42" s="13"/>
      <c r="UFN42" s="13"/>
      <c r="UFO42" s="13"/>
      <c r="UFP42" s="13"/>
      <c r="UFQ42" s="13"/>
      <c r="UFR42" s="13"/>
      <c r="UFS42" s="13"/>
      <c r="UFT42" s="13"/>
      <c r="UFU42" s="13"/>
      <c r="UFV42" s="13"/>
      <c r="UFW42" s="13"/>
      <c r="UFX42" s="13"/>
      <c r="UFY42" s="13"/>
      <c r="UFZ42" s="13"/>
      <c r="UGA42" s="13"/>
      <c r="UGB42" s="13"/>
      <c r="UGC42" s="13"/>
      <c r="UGD42" s="13"/>
      <c r="UGE42" s="13"/>
      <c r="UGF42" s="13"/>
      <c r="UGG42" s="13"/>
      <c r="UGH42" s="13"/>
      <c r="UGI42" s="13"/>
      <c r="UGJ42" s="13"/>
      <c r="UGK42" s="13"/>
      <c r="UGL42" s="13"/>
      <c r="UGM42" s="13"/>
      <c r="UGN42" s="13"/>
      <c r="UGO42" s="13"/>
      <c r="UGP42" s="13"/>
      <c r="UGQ42" s="13"/>
      <c r="UGR42" s="13"/>
      <c r="UGS42" s="13"/>
      <c r="UGT42" s="13"/>
      <c r="UGU42" s="13"/>
      <c r="UGV42" s="13"/>
      <c r="UGW42" s="13"/>
      <c r="UGX42" s="13"/>
      <c r="UGY42" s="13"/>
      <c r="UGZ42" s="13"/>
      <c r="UHA42" s="13"/>
      <c r="UHB42" s="13"/>
      <c r="UHC42" s="13"/>
      <c r="UHD42" s="13"/>
      <c r="UHE42" s="13"/>
      <c r="UHF42" s="13"/>
      <c r="UHG42" s="13"/>
      <c r="UHH42" s="13"/>
      <c r="UHI42" s="13"/>
      <c r="UHJ42" s="13"/>
      <c r="UHK42" s="13"/>
      <c r="UHL42" s="13"/>
      <c r="UHM42" s="13"/>
      <c r="UHN42" s="13"/>
      <c r="UHO42" s="13"/>
      <c r="UHP42" s="13"/>
      <c r="UHQ42" s="13"/>
      <c r="UHR42" s="13"/>
      <c r="UHS42" s="13"/>
      <c r="UHT42" s="13"/>
      <c r="UHU42" s="13"/>
      <c r="UHV42" s="13"/>
      <c r="UHW42" s="13"/>
      <c r="UHX42" s="13"/>
      <c r="UHY42" s="13"/>
      <c r="UHZ42" s="13"/>
      <c r="UIA42" s="13"/>
      <c r="UIB42" s="13"/>
      <c r="UIC42" s="13"/>
      <c r="UID42" s="13"/>
      <c r="UIE42" s="13"/>
      <c r="UIF42" s="13"/>
      <c r="UIG42" s="13"/>
      <c r="UIH42" s="13"/>
      <c r="UII42" s="13"/>
      <c r="UIJ42" s="13"/>
      <c r="UIK42" s="13"/>
      <c r="UIL42" s="13"/>
      <c r="UIM42" s="13"/>
      <c r="UIN42" s="13"/>
      <c r="UIO42" s="13"/>
      <c r="UIP42" s="13"/>
      <c r="UIQ42" s="13"/>
      <c r="UIR42" s="13"/>
      <c r="UIS42" s="13"/>
      <c r="UIT42" s="13"/>
      <c r="UIU42" s="13"/>
      <c r="UIV42" s="13"/>
      <c r="UIW42" s="13"/>
      <c r="UIX42" s="13"/>
      <c r="UIY42" s="13"/>
      <c r="UIZ42" s="13"/>
      <c r="UJA42" s="13"/>
      <c r="UJB42" s="13"/>
      <c r="UJC42" s="13"/>
      <c r="UJD42" s="13"/>
      <c r="UJE42" s="13"/>
      <c r="UJF42" s="13"/>
      <c r="UJG42" s="13"/>
      <c r="UJH42" s="13"/>
      <c r="UJI42" s="13"/>
      <c r="UJJ42" s="13"/>
      <c r="UJK42" s="13"/>
      <c r="UJL42" s="13"/>
      <c r="UJM42" s="13"/>
      <c r="UJN42" s="13"/>
      <c r="UJO42" s="13"/>
      <c r="UJP42" s="13"/>
      <c r="UJQ42" s="13"/>
      <c r="UJR42" s="13"/>
      <c r="UJS42" s="13"/>
      <c r="UJT42" s="13"/>
      <c r="UJU42" s="13"/>
      <c r="UJV42" s="13"/>
      <c r="UJW42" s="13"/>
      <c r="UJX42" s="13"/>
      <c r="UJY42" s="13"/>
      <c r="UJZ42" s="13"/>
      <c r="UKA42" s="13"/>
      <c r="UKB42" s="13"/>
      <c r="UKC42" s="13"/>
      <c r="UKD42" s="13"/>
      <c r="UKE42" s="13"/>
      <c r="UKF42" s="13"/>
      <c r="UKG42" s="13"/>
      <c r="UKH42" s="13"/>
      <c r="UKI42" s="13"/>
      <c r="UKJ42" s="13"/>
      <c r="UKK42" s="13"/>
      <c r="UKL42" s="13"/>
      <c r="UKM42" s="13"/>
      <c r="UKN42" s="13"/>
      <c r="UKO42" s="13"/>
      <c r="UKP42" s="13"/>
      <c r="UKQ42" s="13"/>
      <c r="UKR42" s="13"/>
      <c r="UKS42" s="13"/>
      <c r="UKT42" s="13"/>
      <c r="UKU42" s="13"/>
      <c r="UKV42" s="13"/>
      <c r="UKW42" s="13"/>
      <c r="UKX42" s="13"/>
      <c r="UKY42" s="13"/>
      <c r="UKZ42" s="13"/>
      <c r="ULA42" s="13"/>
      <c r="ULB42" s="13"/>
      <c r="ULC42" s="13"/>
      <c r="ULD42" s="13"/>
      <c r="ULE42" s="13"/>
      <c r="ULF42" s="13"/>
      <c r="ULG42" s="13"/>
      <c r="ULH42" s="13"/>
      <c r="ULI42" s="13"/>
      <c r="ULJ42" s="13"/>
      <c r="ULK42" s="13"/>
      <c r="ULL42" s="13"/>
      <c r="ULM42" s="13"/>
      <c r="ULN42" s="13"/>
      <c r="ULO42" s="13"/>
      <c r="ULP42" s="13"/>
      <c r="ULQ42" s="13"/>
      <c r="ULR42" s="13"/>
      <c r="ULS42" s="13"/>
      <c r="ULT42" s="13"/>
      <c r="ULU42" s="13"/>
      <c r="ULV42" s="13"/>
      <c r="ULW42" s="13"/>
      <c r="ULX42" s="13"/>
      <c r="ULY42" s="13"/>
      <c r="ULZ42" s="13"/>
      <c r="UMA42" s="13"/>
      <c r="UMB42" s="13"/>
      <c r="UMC42" s="13"/>
      <c r="UMD42" s="13"/>
      <c r="UME42" s="13"/>
      <c r="UMF42" s="13"/>
      <c r="UMG42" s="13"/>
      <c r="UMH42" s="13"/>
      <c r="UMI42" s="13"/>
      <c r="UMJ42" s="13"/>
      <c r="UMK42" s="13"/>
      <c r="UML42" s="13"/>
      <c r="UMM42" s="13"/>
      <c r="UMN42" s="13"/>
      <c r="UMO42" s="13"/>
      <c r="UMP42" s="13"/>
      <c r="UMQ42" s="13"/>
      <c r="UMR42" s="13"/>
      <c r="UMS42" s="13"/>
      <c r="UMT42" s="13"/>
      <c r="UMU42" s="13"/>
      <c r="UMV42" s="13"/>
      <c r="UMW42" s="13"/>
      <c r="UMX42" s="13"/>
      <c r="UMY42" s="13"/>
      <c r="UMZ42" s="13"/>
      <c r="UNA42" s="13"/>
      <c r="UNB42" s="13"/>
      <c r="UNC42" s="13"/>
      <c r="UND42" s="13"/>
      <c r="UNE42" s="13"/>
      <c r="UNF42" s="13"/>
      <c r="UNG42" s="13"/>
      <c r="UNH42" s="13"/>
      <c r="UNI42" s="13"/>
      <c r="UNJ42" s="13"/>
      <c r="UNK42" s="13"/>
      <c r="UNL42" s="13"/>
      <c r="UNM42" s="13"/>
      <c r="UNN42" s="13"/>
      <c r="UNO42" s="13"/>
      <c r="UNP42" s="13"/>
      <c r="UNQ42" s="13"/>
      <c r="UNR42" s="13"/>
      <c r="UNS42" s="13"/>
      <c r="UNT42" s="13"/>
      <c r="UNU42" s="13"/>
      <c r="UNV42" s="13"/>
      <c r="UNW42" s="13"/>
      <c r="UNX42" s="13"/>
      <c r="UNY42" s="13"/>
      <c r="UNZ42" s="13"/>
      <c r="UOA42" s="13"/>
      <c r="UOB42" s="13"/>
      <c r="UOC42" s="13"/>
      <c r="UOD42" s="13"/>
      <c r="UOE42" s="13"/>
      <c r="UOF42" s="13"/>
      <c r="UOG42" s="13"/>
      <c r="UOH42" s="13"/>
      <c r="UOI42" s="13"/>
      <c r="UOJ42" s="13"/>
      <c r="UOK42" s="13"/>
      <c r="UOL42" s="13"/>
      <c r="UOM42" s="13"/>
      <c r="UON42" s="13"/>
      <c r="UOO42" s="13"/>
      <c r="UOP42" s="13"/>
      <c r="UOQ42" s="13"/>
      <c r="UOR42" s="13"/>
      <c r="UOS42" s="13"/>
      <c r="UOT42" s="13"/>
      <c r="UOU42" s="13"/>
      <c r="UOV42" s="13"/>
      <c r="UOW42" s="13"/>
      <c r="UOX42" s="13"/>
      <c r="UOY42" s="13"/>
      <c r="UOZ42" s="13"/>
      <c r="UPA42" s="13"/>
      <c r="UPB42" s="13"/>
      <c r="UPC42" s="13"/>
      <c r="UPD42" s="13"/>
      <c r="UPE42" s="13"/>
      <c r="UPF42" s="13"/>
      <c r="UPG42" s="13"/>
      <c r="UPH42" s="13"/>
      <c r="UPI42" s="13"/>
      <c r="UPJ42" s="13"/>
      <c r="UPK42" s="13"/>
      <c r="UPL42" s="13"/>
      <c r="UPM42" s="13"/>
      <c r="UPN42" s="13"/>
      <c r="UPO42" s="13"/>
      <c r="UPP42" s="13"/>
      <c r="UPQ42" s="13"/>
      <c r="UPR42" s="13"/>
      <c r="UPS42" s="13"/>
      <c r="UPT42" s="13"/>
      <c r="UPU42" s="13"/>
      <c r="UPV42" s="13"/>
      <c r="UPW42" s="13"/>
      <c r="UPX42" s="13"/>
      <c r="UPY42" s="13"/>
      <c r="UPZ42" s="13"/>
      <c r="UQA42" s="13"/>
      <c r="UQB42" s="13"/>
      <c r="UQC42" s="13"/>
      <c r="UQD42" s="13"/>
      <c r="UQE42" s="13"/>
      <c r="UQF42" s="13"/>
      <c r="UQG42" s="13"/>
      <c r="UQH42" s="13"/>
      <c r="UQI42" s="13"/>
      <c r="UQJ42" s="13"/>
      <c r="UQK42" s="13"/>
      <c r="UQL42" s="13"/>
      <c r="UQM42" s="13"/>
      <c r="UQN42" s="13"/>
      <c r="UQO42" s="13"/>
      <c r="UQP42" s="13"/>
      <c r="UQQ42" s="13"/>
      <c r="UQR42" s="13"/>
      <c r="UQS42" s="13"/>
      <c r="UQT42" s="13"/>
      <c r="UQU42" s="13"/>
      <c r="UQV42" s="13"/>
      <c r="UQW42" s="13"/>
      <c r="UQX42" s="13"/>
      <c r="UQY42" s="13"/>
      <c r="UQZ42" s="13"/>
      <c r="URA42" s="13"/>
      <c r="URB42" s="13"/>
      <c r="URC42" s="13"/>
      <c r="URD42" s="13"/>
      <c r="URE42" s="13"/>
      <c r="URF42" s="13"/>
      <c r="URG42" s="13"/>
      <c r="URH42" s="13"/>
      <c r="URI42" s="13"/>
      <c r="URJ42" s="13"/>
      <c r="URK42" s="13"/>
      <c r="URL42" s="13"/>
      <c r="URM42" s="13"/>
      <c r="URN42" s="13"/>
      <c r="URO42" s="13"/>
      <c r="URP42" s="13"/>
      <c r="URQ42" s="13"/>
      <c r="URR42" s="13"/>
      <c r="URS42" s="13"/>
      <c r="URT42" s="13"/>
      <c r="URU42" s="13"/>
      <c r="URV42" s="13"/>
      <c r="URW42" s="13"/>
      <c r="URX42" s="13"/>
      <c r="URY42" s="13"/>
      <c r="URZ42" s="13"/>
      <c r="USA42" s="13"/>
      <c r="USB42" s="13"/>
      <c r="USC42" s="13"/>
      <c r="USD42" s="13"/>
      <c r="USE42" s="13"/>
      <c r="USF42" s="13"/>
      <c r="USG42" s="13"/>
      <c r="USH42" s="13"/>
      <c r="USI42" s="13"/>
      <c r="USJ42" s="13"/>
      <c r="USK42" s="13"/>
      <c r="USL42" s="13"/>
      <c r="USM42" s="13"/>
      <c r="USN42" s="13"/>
      <c r="USO42" s="13"/>
      <c r="USP42" s="13"/>
      <c r="USQ42" s="13"/>
      <c r="USR42" s="13"/>
      <c r="USS42" s="13"/>
      <c r="UST42" s="13"/>
      <c r="USU42" s="13"/>
      <c r="USV42" s="13"/>
      <c r="USW42" s="13"/>
      <c r="USX42" s="13"/>
      <c r="USY42" s="13"/>
      <c r="USZ42" s="13"/>
      <c r="UTA42" s="13"/>
      <c r="UTB42" s="13"/>
      <c r="UTC42" s="13"/>
      <c r="UTD42" s="13"/>
      <c r="UTE42" s="13"/>
      <c r="UTF42" s="13"/>
      <c r="UTG42" s="13"/>
      <c r="UTH42" s="13"/>
      <c r="UTI42" s="13"/>
      <c r="UTJ42" s="13"/>
      <c r="UTK42" s="13"/>
      <c r="UTL42" s="13"/>
      <c r="UTM42" s="13"/>
      <c r="UTN42" s="13"/>
      <c r="UTO42" s="13"/>
      <c r="UTP42" s="13"/>
      <c r="UTQ42" s="13"/>
      <c r="UTR42" s="13"/>
      <c r="UTS42" s="13"/>
      <c r="UTT42" s="13"/>
      <c r="UTU42" s="13"/>
      <c r="UTV42" s="13"/>
      <c r="UTW42" s="13"/>
      <c r="UTX42" s="13"/>
      <c r="UTY42" s="13"/>
      <c r="UTZ42" s="13"/>
      <c r="UUA42" s="13"/>
      <c r="UUB42" s="13"/>
      <c r="UUC42" s="13"/>
      <c r="UUD42" s="13"/>
      <c r="UUE42" s="13"/>
      <c r="UUF42" s="13"/>
      <c r="UUG42" s="13"/>
      <c r="UUH42" s="13"/>
      <c r="UUI42" s="13"/>
      <c r="UUJ42" s="13"/>
      <c r="UUK42" s="13"/>
      <c r="UUL42" s="13"/>
      <c r="UUM42" s="13"/>
      <c r="UUN42" s="13"/>
      <c r="UUO42" s="13"/>
      <c r="UUP42" s="13"/>
      <c r="UUQ42" s="13"/>
      <c r="UUR42" s="13"/>
      <c r="UUS42" s="13"/>
      <c r="UUT42" s="13"/>
      <c r="UUU42" s="13"/>
      <c r="UUV42" s="13"/>
      <c r="UUW42" s="13"/>
      <c r="UUX42" s="13"/>
      <c r="UUY42" s="13"/>
      <c r="UUZ42" s="13"/>
      <c r="UVA42" s="13"/>
      <c r="UVB42" s="13"/>
      <c r="UVC42" s="13"/>
      <c r="UVD42" s="13"/>
      <c r="UVE42" s="13"/>
      <c r="UVF42" s="13"/>
      <c r="UVG42" s="13"/>
      <c r="UVH42" s="13"/>
      <c r="UVI42" s="13"/>
      <c r="UVJ42" s="13"/>
      <c r="UVK42" s="13"/>
      <c r="UVL42" s="13"/>
      <c r="UVM42" s="13"/>
      <c r="UVN42" s="13"/>
      <c r="UVO42" s="13"/>
      <c r="UVP42" s="13"/>
      <c r="UVQ42" s="13"/>
      <c r="UVR42" s="13"/>
      <c r="UVS42" s="13"/>
      <c r="UVT42" s="13"/>
      <c r="UVU42" s="13"/>
      <c r="UVV42" s="13"/>
      <c r="UVW42" s="13"/>
      <c r="UVX42" s="13"/>
      <c r="UVY42" s="13"/>
      <c r="UVZ42" s="13"/>
      <c r="UWA42" s="13"/>
      <c r="UWB42" s="13"/>
      <c r="UWC42" s="13"/>
      <c r="UWD42" s="13"/>
      <c r="UWE42" s="13"/>
      <c r="UWF42" s="13"/>
      <c r="UWG42" s="13"/>
      <c r="UWH42" s="13"/>
      <c r="UWI42" s="13"/>
      <c r="UWJ42" s="13"/>
      <c r="UWK42" s="13"/>
      <c r="UWL42" s="13"/>
      <c r="UWM42" s="13"/>
      <c r="UWN42" s="13"/>
      <c r="UWO42" s="13"/>
      <c r="UWP42" s="13"/>
      <c r="UWQ42" s="13"/>
      <c r="UWR42" s="13"/>
      <c r="UWS42" s="13"/>
      <c r="UWT42" s="13"/>
      <c r="UWU42" s="13"/>
      <c r="UWV42" s="13"/>
      <c r="UWW42" s="13"/>
      <c r="UWX42" s="13"/>
      <c r="UWY42" s="13"/>
      <c r="UWZ42" s="13"/>
      <c r="UXA42" s="13"/>
      <c r="UXB42" s="13"/>
      <c r="UXC42" s="13"/>
      <c r="UXD42" s="13"/>
      <c r="UXE42" s="13"/>
      <c r="UXF42" s="13"/>
      <c r="UXG42" s="13"/>
      <c r="UXH42" s="13"/>
      <c r="UXI42" s="13"/>
      <c r="UXJ42" s="13"/>
      <c r="UXK42" s="13"/>
      <c r="UXL42" s="13"/>
      <c r="UXM42" s="13"/>
      <c r="UXN42" s="13"/>
      <c r="UXO42" s="13"/>
      <c r="UXP42" s="13"/>
      <c r="UXQ42" s="13"/>
      <c r="UXR42" s="13"/>
      <c r="UXS42" s="13"/>
      <c r="UXT42" s="13"/>
      <c r="UXU42" s="13"/>
      <c r="UXV42" s="13"/>
      <c r="UXW42" s="13"/>
      <c r="UXX42" s="13"/>
      <c r="UXY42" s="13"/>
      <c r="UXZ42" s="13"/>
      <c r="UYA42" s="13"/>
      <c r="UYB42" s="13"/>
      <c r="UYC42" s="13"/>
      <c r="UYD42" s="13"/>
      <c r="UYE42" s="13"/>
      <c r="UYF42" s="13"/>
      <c r="UYG42" s="13"/>
      <c r="UYH42" s="13"/>
      <c r="UYI42" s="13"/>
      <c r="UYJ42" s="13"/>
      <c r="UYK42" s="13"/>
      <c r="UYL42" s="13"/>
      <c r="UYM42" s="13"/>
      <c r="UYN42" s="13"/>
      <c r="UYO42" s="13"/>
      <c r="UYP42" s="13"/>
      <c r="UYQ42" s="13"/>
      <c r="UYR42" s="13"/>
      <c r="UYS42" s="13"/>
      <c r="UYT42" s="13"/>
      <c r="UYU42" s="13"/>
      <c r="UYV42" s="13"/>
      <c r="UYW42" s="13"/>
      <c r="UYX42" s="13"/>
      <c r="UYY42" s="13"/>
      <c r="UYZ42" s="13"/>
      <c r="UZA42" s="13"/>
      <c r="UZB42" s="13"/>
      <c r="UZC42" s="13"/>
      <c r="UZD42" s="13"/>
      <c r="UZE42" s="13"/>
      <c r="UZF42" s="13"/>
      <c r="UZG42" s="13"/>
      <c r="UZH42" s="13"/>
      <c r="UZI42" s="13"/>
      <c r="UZJ42" s="13"/>
      <c r="UZK42" s="13"/>
      <c r="UZL42" s="13"/>
      <c r="UZM42" s="13"/>
      <c r="UZN42" s="13"/>
      <c r="UZO42" s="13"/>
      <c r="UZP42" s="13"/>
      <c r="UZQ42" s="13"/>
      <c r="UZR42" s="13"/>
      <c r="UZS42" s="13"/>
      <c r="UZT42" s="13"/>
      <c r="UZU42" s="13"/>
      <c r="UZV42" s="13"/>
      <c r="UZW42" s="13"/>
      <c r="UZX42" s="13"/>
      <c r="UZY42" s="13"/>
      <c r="UZZ42" s="13"/>
      <c r="VAA42" s="13"/>
      <c r="VAB42" s="13"/>
      <c r="VAC42" s="13"/>
      <c r="VAD42" s="13"/>
      <c r="VAE42" s="13"/>
      <c r="VAF42" s="13"/>
      <c r="VAG42" s="13"/>
      <c r="VAH42" s="13"/>
      <c r="VAI42" s="13"/>
      <c r="VAJ42" s="13"/>
      <c r="VAK42" s="13"/>
      <c r="VAL42" s="13"/>
      <c r="VAM42" s="13"/>
      <c r="VAN42" s="13"/>
      <c r="VAO42" s="13"/>
      <c r="VAP42" s="13"/>
      <c r="VAQ42" s="13"/>
      <c r="VAR42" s="13"/>
      <c r="VAS42" s="13"/>
      <c r="VAT42" s="13"/>
      <c r="VAU42" s="13"/>
      <c r="VAV42" s="13"/>
      <c r="VAW42" s="13"/>
      <c r="VAX42" s="13"/>
      <c r="VAY42" s="13"/>
      <c r="VAZ42" s="13"/>
      <c r="VBA42" s="13"/>
      <c r="VBB42" s="13"/>
      <c r="VBC42" s="13"/>
      <c r="VBD42" s="13"/>
      <c r="VBE42" s="13"/>
      <c r="VBF42" s="13"/>
      <c r="VBG42" s="13"/>
      <c r="VBH42" s="13"/>
      <c r="VBI42" s="13"/>
      <c r="VBJ42" s="13"/>
      <c r="VBK42" s="13"/>
      <c r="VBL42" s="13"/>
      <c r="VBM42" s="13"/>
      <c r="VBN42" s="13"/>
      <c r="VBO42" s="13"/>
      <c r="VBP42" s="13"/>
      <c r="VBQ42" s="13"/>
      <c r="VBR42" s="13"/>
      <c r="VBS42" s="13"/>
      <c r="VBT42" s="13"/>
      <c r="VBU42" s="13"/>
      <c r="VBV42" s="13"/>
      <c r="VBW42" s="13"/>
      <c r="VBX42" s="13"/>
      <c r="VBY42" s="13"/>
      <c r="VBZ42" s="13"/>
      <c r="VCA42" s="13"/>
      <c r="VCB42" s="13"/>
      <c r="VCC42" s="13"/>
      <c r="VCD42" s="13"/>
      <c r="VCE42" s="13"/>
      <c r="VCF42" s="13"/>
      <c r="VCG42" s="13"/>
      <c r="VCH42" s="13"/>
      <c r="VCI42" s="13"/>
      <c r="VCJ42" s="13"/>
      <c r="VCK42" s="13"/>
      <c r="VCL42" s="13"/>
      <c r="VCM42" s="13"/>
      <c r="VCN42" s="13"/>
      <c r="VCO42" s="13"/>
      <c r="VCP42" s="13"/>
      <c r="VCQ42" s="13"/>
      <c r="VCR42" s="13"/>
      <c r="VCS42" s="13"/>
      <c r="VCT42" s="13"/>
      <c r="VCU42" s="13"/>
      <c r="VCV42" s="13"/>
      <c r="VCW42" s="13"/>
      <c r="VCX42" s="13"/>
      <c r="VCY42" s="13"/>
      <c r="VCZ42" s="13"/>
      <c r="VDA42" s="13"/>
      <c r="VDB42" s="13"/>
      <c r="VDC42" s="13"/>
      <c r="VDD42" s="13"/>
      <c r="VDE42" s="13"/>
      <c r="VDF42" s="13"/>
      <c r="VDG42" s="13"/>
      <c r="VDH42" s="13"/>
      <c r="VDI42" s="13"/>
      <c r="VDJ42" s="13"/>
      <c r="VDK42" s="13"/>
      <c r="VDL42" s="13"/>
      <c r="VDM42" s="13"/>
      <c r="VDN42" s="13"/>
      <c r="VDO42" s="13"/>
      <c r="VDP42" s="13"/>
      <c r="VDQ42" s="13"/>
      <c r="VDR42" s="13"/>
      <c r="VDS42" s="13"/>
      <c r="VDT42" s="13"/>
      <c r="VDU42" s="13"/>
      <c r="VDV42" s="13"/>
      <c r="VDW42" s="13"/>
      <c r="VDX42" s="13"/>
      <c r="VDY42" s="13"/>
      <c r="VDZ42" s="13"/>
      <c r="VEA42" s="13"/>
      <c r="VEB42" s="13"/>
      <c r="VEC42" s="13"/>
      <c r="VED42" s="13"/>
      <c r="VEE42" s="13"/>
      <c r="VEF42" s="13"/>
      <c r="VEG42" s="13"/>
      <c r="VEH42" s="13"/>
      <c r="VEI42" s="13"/>
      <c r="VEJ42" s="13"/>
      <c r="VEK42" s="13"/>
      <c r="VEL42" s="13"/>
      <c r="VEM42" s="13"/>
      <c r="VEN42" s="13"/>
      <c r="VEO42" s="13"/>
      <c r="VEP42" s="13"/>
      <c r="VEQ42" s="13"/>
      <c r="VER42" s="13"/>
      <c r="VES42" s="13"/>
      <c r="VET42" s="13"/>
      <c r="VEU42" s="13"/>
      <c r="VEV42" s="13"/>
      <c r="VEW42" s="13"/>
      <c r="VEX42" s="13"/>
      <c r="VEY42" s="13"/>
      <c r="VEZ42" s="13"/>
      <c r="VFA42" s="13"/>
      <c r="VFB42" s="13"/>
      <c r="VFC42" s="13"/>
      <c r="VFD42" s="13"/>
      <c r="VFE42" s="13"/>
      <c r="VFF42" s="13"/>
      <c r="VFG42" s="13"/>
      <c r="VFH42" s="13"/>
      <c r="VFI42" s="13"/>
      <c r="VFJ42" s="13"/>
      <c r="VFK42" s="13"/>
      <c r="VFL42" s="13"/>
      <c r="VFM42" s="13"/>
      <c r="VFN42" s="13"/>
      <c r="VFO42" s="13"/>
      <c r="VFP42" s="13"/>
      <c r="VFQ42" s="13"/>
      <c r="VFR42" s="13"/>
      <c r="VFS42" s="13"/>
      <c r="VFT42" s="13"/>
      <c r="VFU42" s="13"/>
      <c r="VFV42" s="13"/>
      <c r="VFW42" s="13"/>
      <c r="VFX42" s="13"/>
      <c r="VFY42" s="13"/>
      <c r="VFZ42" s="13"/>
      <c r="VGA42" s="13"/>
      <c r="VGB42" s="13"/>
      <c r="VGC42" s="13"/>
      <c r="VGD42" s="13"/>
      <c r="VGE42" s="13"/>
      <c r="VGF42" s="13"/>
      <c r="VGG42" s="13"/>
      <c r="VGH42" s="13"/>
      <c r="VGI42" s="13"/>
      <c r="VGJ42" s="13"/>
      <c r="VGK42" s="13"/>
      <c r="VGL42" s="13"/>
      <c r="VGM42" s="13"/>
      <c r="VGN42" s="13"/>
      <c r="VGO42" s="13"/>
      <c r="VGP42" s="13"/>
      <c r="VGQ42" s="13"/>
      <c r="VGR42" s="13"/>
      <c r="VGS42" s="13"/>
      <c r="VGT42" s="13"/>
      <c r="VGU42" s="13"/>
      <c r="VGV42" s="13"/>
      <c r="VGW42" s="13"/>
      <c r="VGX42" s="13"/>
      <c r="VGY42" s="13"/>
      <c r="VGZ42" s="13"/>
      <c r="VHA42" s="13"/>
      <c r="VHB42" s="13"/>
      <c r="VHC42" s="13"/>
      <c r="VHD42" s="13"/>
      <c r="VHE42" s="13"/>
      <c r="VHF42" s="13"/>
      <c r="VHG42" s="13"/>
      <c r="VHH42" s="13"/>
      <c r="VHI42" s="13"/>
      <c r="VHJ42" s="13"/>
      <c r="VHK42" s="13"/>
      <c r="VHL42" s="13"/>
      <c r="VHM42" s="13"/>
      <c r="VHN42" s="13"/>
      <c r="VHO42" s="13"/>
      <c r="VHP42" s="13"/>
      <c r="VHQ42" s="13"/>
      <c r="VHR42" s="13"/>
      <c r="VHS42" s="13"/>
      <c r="VHT42" s="13"/>
      <c r="VHU42" s="13"/>
      <c r="VHV42" s="13"/>
      <c r="VHW42" s="13"/>
      <c r="VHX42" s="13"/>
      <c r="VHY42" s="13"/>
      <c r="VHZ42" s="13"/>
      <c r="VIA42" s="13"/>
      <c r="VIB42" s="13"/>
      <c r="VIC42" s="13"/>
      <c r="VID42" s="13"/>
      <c r="VIE42" s="13"/>
      <c r="VIF42" s="13"/>
      <c r="VIG42" s="13"/>
      <c r="VIH42" s="13"/>
      <c r="VII42" s="13"/>
      <c r="VIJ42" s="13"/>
      <c r="VIK42" s="13"/>
      <c r="VIL42" s="13"/>
      <c r="VIM42" s="13"/>
      <c r="VIN42" s="13"/>
      <c r="VIO42" s="13"/>
      <c r="VIP42" s="13"/>
      <c r="VIQ42" s="13"/>
      <c r="VIR42" s="13"/>
      <c r="VIS42" s="13"/>
      <c r="VIT42" s="13"/>
      <c r="VIU42" s="13"/>
      <c r="VIV42" s="13"/>
      <c r="VIW42" s="13"/>
      <c r="VIX42" s="13"/>
      <c r="VIY42" s="13"/>
      <c r="VIZ42" s="13"/>
      <c r="VJA42" s="13"/>
      <c r="VJB42" s="13"/>
      <c r="VJC42" s="13"/>
      <c r="VJD42" s="13"/>
      <c r="VJE42" s="13"/>
      <c r="VJF42" s="13"/>
      <c r="VJG42" s="13"/>
      <c r="VJH42" s="13"/>
      <c r="VJI42" s="13"/>
      <c r="VJJ42" s="13"/>
      <c r="VJK42" s="13"/>
      <c r="VJL42" s="13"/>
      <c r="VJM42" s="13"/>
      <c r="VJN42" s="13"/>
      <c r="VJO42" s="13"/>
      <c r="VJP42" s="13"/>
      <c r="VJQ42" s="13"/>
      <c r="VJR42" s="13"/>
      <c r="VJS42" s="13"/>
      <c r="VJT42" s="13"/>
      <c r="VJU42" s="13"/>
      <c r="VJV42" s="13"/>
      <c r="VJW42" s="13"/>
      <c r="VJX42" s="13"/>
      <c r="VJY42" s="13"/>
      <c r="VJZ42" s="13"/>
      <c r="VKA42" s="13"/>
      <c r="VKB42" s="13"/>
      <c r="VKC42" s="13"/>
      <c r="VKD42" s="13"/>
      <c r="VKE42" s="13"/>
      <c r="VKF42" s="13"/>
      <c r="VKG42" s="13"/>
      <c r="VKH42" s="13"/>
      <c r="VKI42" s="13"/>
      <c r="VKJ42" s="13"/>
      <c r="VKK42" s="13"/>
      <c r="VKL42" s="13"/>
      <c r="VKM42" s="13"/>
      <c r="VKN42" s="13"/>
      <c r="VKO42" s="13"/>
      <c r="VKP42" s="13"/>
      <c r="VKQ42" s="13"/>
      <c r="VKR42" s="13"/>
      <c r="VKS42" s="13"/>
      <c r="VKT42" s="13"/>
      <c r="VKU42" s="13"/>
      <c r="VKV42" s="13"/>
      <c r="VKW42" s="13"/>
      <c r="VKX42" s="13"/>
      <c r="VKY42" s="13"/>
      <c r="VKZ42" s="13"/>
      <c r="VLA42" s="13"/>
      <c r="VLB42" s="13"/>
      <c r="VLC42" s="13"/>
      <c r="VLD42" s="13"/>
      <c r="VLE42" s="13"/>
      <c r="VLF42" s="13"/>
      <c r="VLG42" s="13"/>
      <c r="VLH42" s="13"/>
      <c r="VLI42" s="13"/>
      <c r="VLJ42" s="13"/>
      <c r="VLK42" s="13"/>
      <c r="VLL42" s="13"/>
      <c r="VLM42" s="13"/>
      <c r="VLN42" s="13"/>
      <c r="VLO42" s="13"/>
      <c r="VLP42" s="13"/>
      <c r="VLQ42" s="13"/>
      <c r="VLR42" s="13"/>
      <c r="VLS42" s="13"/>
      <c r="VLT42" s="13"/>
      <c r="VLU42" s="13"/>
      <c r="VLV42" s="13"/>
      <c r="VLW42" s="13"/>
      <c r="VLX42" s="13"/>
      <c r="VLY42" s="13"/>
      <c r="VLZ42" s="13"/>
      <c r="VMA42" s="13"/>
      <c r="VMB42" s="13"/>
      <c r="VMC42" s="13"/>
      <c r="VMD42" s="13"/>
      <c r="VME42" s="13"/>
      <c r="VMF42" s="13"/>
      <c r="VMG42" s="13"/>
      <c r="VMH42" s="13"/>
      <c r="VMI42" s="13"/>
      <c r="VMJ42" s="13"/>
      <c r="VMK42" s="13"/>
      <c r="VML42" s="13"/>
      <c r="VMM42" s="13"/>
      <c r="VMN42" s="13"/>
      <c r="VMO42" s="13"/>
      <c r="VMP42" s="13"/>
      <c r="VMQ42" s="13"/>
      <c r="VMR42" s="13"/>
      <c r="VMS42" s="13"/>
      <c r="VMT42" s="13"/>
      <c r="VMU42" s="13"/>
      <c r="VMV42" s="13"/>
      <c r="VMW42" s="13"/>
      <c r="VMX42" s="13"/>
      <c r="VMY42" s="13"/>
      <c r="VMZ42" s="13"/>
      <c r="VNA42" s="13"/>
      <c r="VNB42" s="13"/>
      <c r="VNC42" s="13"/>
      <c r="VND42" s="13"/>
      <c r="VNE42" s="13"/>
      <c r="VNF42" s="13"/>
      <c r="VNG42" s="13"/>
      <c r="VNH42" s="13"/>
      <c r="VNI42" s="13"/>
      <c r="VNJ42" s="13"/>
      <c r="VNK42" s="13"/>
      <c r="VNL42" s="13"/>
      <c r="VNM42" s="13"/>
      <c r="VNN42" s="13"/>
      <c r="VNO42" s="13"/>
      <c r="VNP42" s="13"/>
      <c r="VNQ42" s="13"/>
      <c r="VNR42" s="13"/>
      <c r="VNS42" s="13"/>
      <c r="VNT42" s="13"/>
      <c r="VNU42" s="13"/>
      <c r="VNV42" s="13"/>
      <c r="VNW42" s="13"/>
      <c r="VNX42" s="13"/>
      <c r="VNY42" s="13"/>
      <c r="VNZ42" s="13"/>
      <c r="VOA42" s="13"/>
      <c r="VOB42" s="13"/>
      <c r="VOC42" s="13"/>
      <c r="VOD42" s="13"/>
      <c r="VOE42" s="13"/>
      <c r="VOF42" s="13"/>
      <c r="VOG42" s="13"/>
      <c r="VOH42" s="13"/>
      <c r="VOI42" s="13"/>
      <c r="VOJ42" s="13"/>
      <c r="VOK42" s="13"/>
      <c r="VOL42" s="13"/>
      <c r="VOM42" s="13"/>
      <c r="VON42" s="13"/>
      <c r="VOO42" s="13"/>
      <c r="VOP42" s="13"/>
      <c r="VOQ42" s="13"/>
      <c r="VOR42" s="13"/>
      <c r="VOS42" s="13"/>
      <c r="VOT42" s="13"/>
      <c r="VOU42" s="13"/>
      <c r="VOV42" s="13"/>
      <c r="VOW42" s="13"/>
      <c r="VOX42" s="13"/>
      <c r="VOY42" s="13"/>
      <c r="VOZ42" s="13"/>
      <c r="VPA42" s="13"/>
      <c r="VPB42" s="13"/>
      <c r="VPC42" s="13"/>
      <c r="VPD42" s="13"/>
      <c r="VPE42" s="13"/>
      <c r="VPF42" s="13"/>
      <c r="VPG42" s="13"/>
      <c r="VPH42" s="13"/>
      <c r="VPI42" s="13"/>
      <c r="VPJ42" s="13"/>
      <c r="VPK42" s="13"/>
      <c r="VPL42" s="13"/>
      <c r="VPM42" s="13"/>
      <c r="VPN42" s="13"/>
      <c r="VPO42" s="13"/>
      <c r="VPP42" s="13"/>
      <c r="VPQ42" s="13"/>
      <c r="VPR42" s="13"/>
      <c r="VPS42" s="13"/>
      <c r="VPT42" s="13"/>
      <c r="VPU42" s="13"/>
      <c r="VPV42" s="13"/>
      <c r="VPW42" s="13"/>
      <c r="VPX42" s="13"/>
      <c r="VPY42" s="13"/>
      <c r="VPZ42" s="13"/>
      <c r="VQA42" s="13"/>
      <c r="VQB42" s="13"/>
      <c r="VQC42" s="13"/>
      <c r="VQD42" s="13"/>
      <c r="VQE42" s="13"/>
      <c r="VQF42" s="13"/>
      <c r="VQG42" s="13"/>
      <c r="VQH42" s="13"/>
      <c r="VQI42" s="13"/>
      <c r="VQJ42" s="13"/>
      <c r="VQK42" s="13"/>
      <c r="VQL42" s="13"/>
      <c r="VQM42" s="13"/>
      <c r="VQN42" s="13"/>
      <c r="VQO42" s="13"/>
      <c r="VQP42" s="13"/>
      <c r="VQQ42" s="13"/>
      <c r="VQR42" s="13"/>
      <c r="VQS42" s="13"/>
      <c r="VQT42" s="13"/>
      <c r="VQU42" s="13"/>
      <c r="VQV42" s="13"/>
      <c r="VQW42" s="13"/>
      <c r="VQX42" s="13"/>
      <c r="VQY42" s="13"/>
      <c r="VQZ42" s="13"/>
      <c r="VRA42" s="13"/>
      <c r="VRB42" s="13"/>
      <c r="VRC42" s="13"/>
      <c r="VRD42" s="13"/>
      <c r="VRE42" s="13"/>
      <c r="VRF42" s="13"/>
      <c r="VRG42" s="13"/>
      <c r="VRH42" s="13"/>
      <c r="VRI42" s="13"/>
      <c r="VRJ42" s="13"/>
      <c r="VRK42" s="13"/>
      <c r="VRL42" s="13"/>
      <c r="VRM42" s="13"/>
      <c r="VRN42" s="13"/>
      <c r="VRO42" s="13"/>
      <c r="VRP42" s="13"/>
      <c r="VRQ42" s="13"/>
      <c r="VRR42" s="13"/>
      <c r="VRS42" s="13"/>
      <c r="VRT42" s="13"/>
      <c r="VRU42" s="13"/>
      <c r="VRV42" s="13"/>
      <c r="VRW42" s="13"/>
      <c r="VRX42" s="13"/>
      <c r="VRY42" s="13"/>
      <c r="VRZ42" s="13"/>
      <c r="VSA42" s="13"/>
      <c r="VSB42" s="13"/>
      <c r="VSC42" s="13"/>
      <c r="VSD42" s="13"/>
      <c r="VSE42" s="13"/>
      <c r="VSF42" s="13"/>
      <c r="VSG42" s="13"/>
      <c r="VSH42" s="13"/>
      <c r="VSI42" s="13"/>
      <c r="VSJ42" s="13"/>
      <c r="VSK42" s="13"/>
      <c r="VSL42" s="13"/>
      <c r="VSM42" s="13"/>
      <c r="VSN42" s="13"/>
      <c r="VSO42" s="13"/>
      <c r="VSP42" s="13"/>
      <c r="VSQ42" s="13"/>
      <c r="VSR42" s="13"/>
      <c r="VSS42" s="13"/>
      <c r="VST42" s="13"/>
      <c r="VSU42" s="13"/>
      <c r="VSV42" s="13"/>
      <c r="VSW42" s="13"/>
      <c r="VSX42" s="13"/>
      <c r="VSY42" s="13"/>
      <c r="VSZ42" s="13"/>
      <c r="VTA42" s="13"/>
      <c r="VTB42" s="13"/>
      <c r="VTC42" s="13"/>
      <c r="VTD42" s="13"/>
      <c r="VTE42" s="13"/>
      <c r="VTF42" s="13"/>
      <c r="VTG42" s="13"/>
      <c r="VTH42" s="13"/>
      <c r="VTI42" s="13"/>
      <c r="VTJ42" s="13"/>
      <c r="VTK42" s="13"/>
      <c r="VTL42" s="13"/>
      <c r="VTM42" s="13"/>
      <c r="VTN42" s="13"/>
      <c r="VTO42" s="13"/>
      <c r="VTP42" s="13"/>
      <c r="VTQ42" s="13"/>
      <c r="VTR42" s="13"/>
      <c r="VTS42" s="13"/>
      <c r="VTT42" s="13"/>
      <c r="VTU42" s="13"/>
      <c r="VTV42" s="13"/>
      <c r="VTW42" s="13"/>
      <c r="VTX42" s="13"/>
      <c r="VTY42" s="13"/>
      <c r="VTZ42" s="13"/>
      <c r="VUA42" s="13"/>
      <c r="VUB42" s="13"/>
      <c r="VUC42" s="13"/>
      <c r="VUD42" s="13"/>
      <c r="VUE42" s="13"/>
      <c r="VUF42" s="13"/>
      <c r="VUG42" s="13"/>
      <c r="VUH42" s="13"/>
      <c r="VUI42" s="13"/>
      <c r="VUJ42" s="13"/>
      <c r="VUK42" s="13"/>
      <c r="VUL42" s="13"/>
      <c r="VUM42" s="13"/>
      <c r="VUN42" s="13"/>
      <c r="VUO42" s="13"/>
      <c r="VUP42" s="13"/>
      <c r="VUQ42" s="13"/>
      <c r="VUR42" s="13"/>
      <c r="VUS42" s="13"/>
      <c r="VUT42" s="13"/>
      <c r="VUU42" s="13"/>
      <c r="VUV42" s="13"/>
      <c r="VUW42" s="13"/>
      <c r="VUX42" s="13"/>
      <c r="VUY42" s="13"/>
      <c r="VUZ42" s="13"/>
      <c r="VVA42" s="13"/>
      <c r="VVB42" s="13"/>
      <c r="VVC42" s="13"/>
      <c r="VVD42" s="13"/>
      <c r="VVE42" s="13"/>
      <c r="VVF42" s="13"/>
      <c r="VVG42" s="13"/>
      <c r="VVH42" s="13"/>
      <c r="VVI42" s="13"/>
      <c r="VVJ42" s="13"/>
      <c r="VVK42" s="13"/>
      <c r="VVL42" s="13"/>
      <c r="VVM42" s="13"/>
      <c r="VVN42" s="13"/>
      <c r="VVO42" s="13"/>
      <c r="VVP42" s="13"/>
      <c r="VVQ42" s="13"/>
      <c r="VVR42" s="13"/>
      <c r="VVS42" s="13"/>
      <c r="VVT42" s="13"/>
      <c r="VVU42" s="13"/>
      <c r="VVV42" s="13"/>
      <c r="VVW42" s="13"/>
      <c r="VVX42" s="13"/>
      <c r="VVY42" s="13"/>
      <c r="VVZ42" s="13"/>
      <c r="VWA42" s="13"/>
      <c r="VWB42" s="13"/>
      <c r="VWC42" s="13"/>
      <c r="VWD42" s="13"/>
      <c r="VWE42" s="13"/>
      <c r="VWF42" s="13"/>
      <c r="VWG42" s="13"/>
      <c r="VWH42" s="13"/>
      <c r="VWI42" s="13"/>
      <c r="VWJ42" s="13"/>
      <c r="VWK42" s="13"/>
      <c r="VWL42" s="13"/>
      <c r="VWM42" s="13"/>
      <c r="VWN42" s="13"/>
      <c r="VWO42" s="13"/>
      <c r="VWP42" s="13"/>
      <c r="VWQ42" s="13"/>
      <c r="VWR42" s="13"/>
      <c r="VWS42" s="13"/>
      <c r="VWT42" s="13"/>
      <c r="VWU42" s="13"/>
      <c r="VWV42" s="13"/>
      <c r="VWW42" s="13"/>
      <c r="VWX42" s="13"/>
      <c r="VWY42" s="13"/>
      <c r="VWZ42" s="13"/>
      <c r="VXA42" s="13"/>
      <c r="VXB42" s="13"/>
      <c r="VXC42" s="13"/>
      <c r="VXD42" s="13"/>
      <c r="VXE42" s="13"/>
      <c r="VXF42" s="13"/>
      <c r="VXG42" s="13"/>
      <c r="VXH42" s="13"/>
      <c r="VXI42" s="13"/>
      <c r="VXJ42" s="13"/>
      <c r="VXK42" s="13"/>
      <c r="VXL42" s="13"/>
      <c r="VXM42" s="13"/>
      <c r="VXN42" s="13"/>
      <c r="VXO42" s="13"/>
      <c r="VXP42" s="13"/>
      <c r="VXQ42" s="13"/>
      <c r="VXR42" s="13"/>
      <c r="VXS42" s="13"/>
      <c r="VXT42" s="13"/>
      <c r="VXU42" s="13"/>
      <c r="VXV42" s="13"/>
      <c r="VXW42" s="13"/>
      <c r="VXX42" s="13"/>
      <c r="VXY42" s="13"/>
      <c r="VXZ42" s="13"/>
      <c r="VYA42" s="13"/>
      <c r="VYB42" s="13"/>
      <c r="VYC42" s="13"/>
      <c r="VYD42" s="13"/>
      <c r="VYE42" s="13"/>
      <c r="VYF42" s="13"/>
      <c r="VYG42" s="13"/>
      <c r="VYH42" s="13"/>
      <c r="VYI42" s="13"/>
      <c r="VYJ42" s="13"/>
      <c r="VYK42" s="13"/>
      <c r="VYL42" s="13"/>
      <c r="VYM42" s="13"/>
      <c r="VYN42" s="13"/>
      <c r="VYO42" s="13"/>
      <c r="VYP42" s="13"/>
      <c r="VYQ42" s="13"/>
      <c r="VYR42" s="13"/>
      <c r="VYS42" s="13"/>
      <c r="VYT42" s="13"/>
      <c r="VYU42" s="13"/>
      <c r="VYV42" s="13"/>
      <c r="VYW42" s="13"/>
      <c r="VYX42" s="13"/>
      <c r="VYY42" s="13"/>
      <c r="VYZ42" s="13"/>
      <c r="VZA42" s="13"/>
      <c r="VZB42" s="13"/>
      <c r="VZC42" s="13"/>
      <c r="VZD42" s="13"/>
      <c r="VZE42" s="13"/>
      <c r="VZF42" s="13"/>
      <c r="VZG42" s="13"/>
      <c r="VZH42" s="13"/>
      <c r="VZI42" s="13"/>
      <c r="VZJ42" s="13"/>
      <c r="VZK42" s="13"/>
      <c r="VZL42" s="13"/>
      <c r="VZM42" s="13"/>
      <c r="VZN42" s="13"/>
      <c r="VZO42" s="13"/>
      <c r="VZP42" s="13"/>
      <c r="VZQ42" s="13"/>
      <c r="VZR42" s="13"/>
      <c r="VZS42" s="13"/>
      <c r="VZT42" s="13"/>
      <c r="VZU42" s="13"/>
      <c r="VZV42" s="13"/>
      <c r="VZW42" s="13"/>
      <c r="VZX42" s="13"/>
      <c r="VZY42" s="13"/>
      <c r="VZZ42" s="13"/>
      <c r="WAA42" s="13"/>
      <c r="WAB42" s="13"/>
      <c r="WAC42" s="13"/>
      <c r="WAD42" s="13"/>
      <c r="WAE42" s="13"/>
      <c r="WAF42" s="13"/>
      <c r="WAG42" s="13"/>
      <c r="WAH42" s="13"/>
      <c r="WAI42" s="13"/>
      <c r="WAJ42" s="13"/>
      <c r="WAK42" s="13"/>
      <c r="WAL42" s="13"/>
      <c r="WAM42" s="13"/>
      <c r="WAN42" s="13"/>
      <c r="WAO42" s="13"/>
      <c r="WAP42" s="13"/>
      <c r="WAQ42" s="13"/>
      <c r="WAR42" s="13"/>
      <c r="WAS42" s="13"/>
      <c r="WAT42" s="13"/>
      <c r="WAU42" s="13"/>
      <c r="WAV42" s="13"/>
      <c r="WAW42" s="13"/>
      <c r="WAX42" s="13"/>
      <c r="WAY42" s="13"/>
      <c r="WAZ42" s="13"/>
      <c r="WBA42" s="13"/>
      <c r="WBB42" s="13"/>
      <c r="WBC42" s="13"/>
      <c r="WBD42" s="13"/>
      <c r="WBE42" s="13"/>
      <c r="WBF42" s="13"/>
      <c r="WBG42" s="13"/>
      <c r="WBH42" s="13"/>
      <c r="WBI42" s="13"/>
      <c r="WBJ42" s="13"/>
      <c r="WBK42" s="13"/>
      <c r="WBL42" s="13"/>
      <c r="WBM42" s="13"/>
      <c r="WBN42" s="13"/>
      <c r="WBO42" s="13"/>
      <c r="WBP42" s="13"/>
      <c r="WBQ42" s="13"/>
      <c r="WBR42" s="13"/>
      <c r="WBS42" s="13"/>
      <c r="WBT42" s="13"/>
      <c r="WBU42" s="13"/>
      <c r="WBV42" s="13"/>
      <c r="WBW42" s="13"/>
      <c r="WBX42" s="13"/>
      <c r="WBY42" s="13"/>
      <c r="WBZ42" s="13"/>
      <c r="WCA42" s="13"/>
      <c r="WCB42" s="13"/>
      <c r="WCC42" s="13"/>
      <c r="WCD42" s="13"/>
      <c r="WCE42" s="13"/>
      <c r="WCF42" s="13"/>
      <c r="WCG42" s="13"/>
      <c r="WCH42" s="13"/>
      <c r="WCI42" s="13"/>
      <c r="WCJ42" s="13"/>
      <c r="WCK42" s="13"/>
      <c r="WCL42" s="13"/>
      <c r="WCM42" s="13"/>
      <c r="WCN42" s="13"/>
      <c r="WCO42" s="13"/>
      <c r="WCP42" s="13"/>
      <c r="WCQ42" s="13"/>
      <c r="WCR42" s="13"/>
      <c r="WCS42" s="13"/>
      <c r="WCT42" s="13"/>
      <c r="WCU42" s="13"/>
      <c r="WCV42" s="13"/>
      <c r="WCW42" s="13"/>
      <c r="WCX42" s="13"/>
      <c r="WCY42" s="13"/>
      <c r="WCZ42" s="13"/>
      <c r="WDA42" s="13"/>
      <c r="WDB42" s="13"/>
      <c r="WDC42" s="13"/>
      <c r="WDD42" s="13"/>
      <c r="WDE42" s="13"/>
      <c r="WDF42" s="13"/>
      <c r="WDG42" s="13"/>
      <c r="WDH42" s="13"/>
      <c r="WDI42" s="13"/>
      <c r="WDJ42" s="13"/>
      <c r="WDK42" s="13"/>
      <c r="WDL42" s="13"/>
      <c r="WDM42" s="13"/>
      <c r="WDN42" s="13"/>
      <c r="WDO42" s="13"/>
      <c r="WDP42" s="13"/>
      <c r="WDQ42" s="13"/>
      <c r="WDR42" s="13"/>
      <c r="WDS42" s="13"/>
      <c r="WDT42" s="13"/>
      <c r="WDU42" s="13"/>
      <c r="WDV42" s="13"/>
      <c r="WDW42" s="13"/>
      <c r="WDX42" s="13"/>
      <c r="WDY42" s="13"/>
      <c r="WDZ42" s="13"/>
      <c r="WEA42" s="13"/>
      <c r="WEB42" s="13"/>
      <c r="WEC42" s="13"/>
      <c r="WED42" s="13"/>
      <c r="WEE42" s="13"/>
      <c r="WEF42" s="13"/>
      <c r="WEG42" s="13"/>
      <c r="WEH42" s="13"/>
      <c r="WEI42" s="13"/>
      <c r="WEJ42" s="13"/>
      <c r="WEK42" s="13"/>
      <c r="WEL42" s="13"/>
      <c r="WEM42" s="13"/>
      <c r="WEN42" s="13"/>
      <c r="WEO42" s="13"/>
      <c r="WEP42" s="13"/>
      <c r="WEQ42" s="13"/>
      <c r="WER42" s="13"/>
      <c r="WES42" s="13"/>
      <c r="WET42" s="13"/>
      <c r="WEU42" s="13"/>
      <c r="WEV42" s="13"/>
      <c r="WEW42" s="13"/>
      <c r="WEX42" s="13"/>
      <c r="WEY42" s="13"/>
      <c r="WEZ42" s="13"/>
      <c r="WFA42" s="13"/>
      <c r="WFB42" s="13"/>
      <c r="WFC42" s="13"/>
      <c r="WFD42" s="13"/>
      <c r="WFE42" s="13"/>
      <c r="WFF42" s="13"/>
      <c r="WFG42" s="13"/>
      <c r="WFH42" s="13"/>
      <c r="WFI42" s="13"/>
      <c r="WFJ42" s="13"/>
      <c r="WFK42" s="13"/>
      <c r="WFL42" s="13"/>
      <c r="WFM42" s="13"/>
      <c r="WFN42" s="13"/>
      <c r="WFO42" s="13"/>
      <c r="WFP42" s="13"/>
      <c r="WFQ42" s="13"/>
      <c r="WFR42" s="13"/>
      <c r="WFS42" s="13"/>
      <c r="WFT42" s="13"/>
      <c r="WFU42" s="13"/>
      <c r="WFV42" s="13"/>
      <c r="WFW42" s="13"/>
      <c r="WFX42" s="13"/>
      <c r="WFY42" s="13"/>
      <c r="WFZ42" s="13"/>
      <c r="WGA42" s="13"/>
      <c r="WGB42" s="13"/>
      <c r="WGC42" s="13"/>
      <c r="WGD42" s="13"/>
      <c r="WGE42" s="13"/>
      <c r="WGF42" s="13"/>
      <c r="WGG42" s="13"/>
      <c r="WGH42" s="13"/>
      <c r="WGI42" s="13"/>
      <c r="WGJ42" s="13"/>
      <c r="WGK42" s="13"/>
      <c r="WGL42" s="13"/>
      <c r="WGM42" s="13"/>
      <c r="WGN42" s="13"/>
      <c r="WGO42" s="13"/>
      <c r="WGP42" s="13"/>
      <c r="WGQ42" s="13"/>
      <c r="WGR42" s="13"/>
      <c r="WGS42" s="13"/>
      <c r="WGT42" s="13"/>
      <c r="WGU42" s="13"/>
      <c r="WGV42" s="13"/>
      <c r="WGW42" s="13"/>
      <c r="WGX42" s="13"/>
      <c r="WGY42" s="13"/>
      <c r="WGZ42" s="13"/>
      <c r="WHA42" s="13"/>
      <c r="WHB42" s="13"/>
      <c r="WHC42" s="13"/>
      <c r="WHD42" s="13"/>
      <c r="WHE42" s="13"/>
      <c r="WHF42" s="13"/>
      <c r="WHG42" s="13"/>
      <c r="WHH42" s="13"/>
      <c r="WHI42" s="13"/>
      <c r="WHJ42" s="13"/>
      <c r="WHK42" s="13"/>
      <c r="WHL42" s="13"/>
      <c r="WHM42" s="13"/>
      <c r="WHN42" s="13"/>
      <c r="WHO42" s="13"/>
      <c r="WHP42" s="13"/>
      <c r="WHQ42" s="13"/>
      <c r="WHR42" s="13"/>
      <c r="WHS42" s="13"/>
      <c r="WHT42" s="13"/>
      <c r="WHU42" s="13"/>
      <c r="WHV42" s="13"/>
      <c r="WHW42" s="13"/>
      <c r="WHX42" s="13"/>
      <c r="WHY42" s="13"/>
      <c r="WHZ42" s="13"/>
      <c r="WIA42" s="13"/>
      <c r="WIB42" s="13"/>
      <c r="WIC42" s="13"/>
      <c r="WID42" s="13"/>
      <c r="WIE42" s="13"/>
      <c r="WIF42" s="13"/>
      <c r="WIG42" s="13"/>
      <c r="WIH42" s="13"/>
      <c r="WII42" s="13"/>
      <c r="WIJ42" s="13"/>
      <c r="WIK42" s="13"/>
      <c r="WIL42" s="13"/>
      <c r="WIM42" s="13"/>
      <c r="WIN42" s="13"/>
      <c r="WIO42" s="13"/>
      <c r="WIP42" s="13"/>
      <c r="WIQ42" s="13"/>
      <c r="WIR42" s="13"/>
      <c r="WIS42" s="13"/>
      <c r="WIT42" s="13"/>
      <c r="WIU42" s="13"/>
      <c r="WIV42" s="13"/>
      <c r="WIW42" s="13"/>
      <c r="WIX42" s="13"/>
      <c r="WIY42" s="13"/>
      <c r="WIZ42" s="13"/>
      <c r="WJA42" s="13"/>
      <c r="WJB42" s="13"/>
      <c r="WJC42" s="13"/>
      <c r="WJD42" s="13"/>
      <c r="WJE42" s="13"/>
      <c r="WJF42" s="13"/>
      <c r="WJG42" s="13"/>
      <c r="WJH42" s="13"/>
      <c r="WJI42" s="13"/>
      <c r="WJJ42" s="13"/>
      <c r="WJK42" s="13"/>
      <c r="WJL42" s="13"/>
      <c r="WJM42" s="13"/>
      <c r="WJN42" s="13"/>
      <c r="WJO42" s="13"/>
      <c r="WJP42" s="13"/>
      <c r="WJQ42" s="13"/>
      <c r="WJR42" s="13"/>
      <c r="WJS42" s="13"/>
      <c r="WJT42" s="13"/>
      <c r="WJU42" s="13"/>
      <c r="WJV42" s="13"/>
      <c r="WJW42" s="13"/>
      <c r="WJX42" s="13"/>
      <c r="WJY42" s="13"/>
      <c r="WJZ42" s="13"/>
      <c r="WKA42" s="13"/>
      <c r="WKB42" s="13"/>
      <c r="WKC42" s="13"/>
      <c r="WKD42" s="13"/>
      <c r="WKE42" s="13"/>
      <c r="WKF42" s="13"/>
      <c r="WKG42" s="13"/>
      <c r="WKH42" s="13"/>
      <c r="WKI42" s="13"/>
      <c r="WKJ42" s="13"/>
      <c r="WKK42" s="13"/>
      <c r="WKL42" s="13"/>
      <c r="WKM42" s="13"/>
      <c r="WKN42" s="13"/>
      <c r="WKO42" s="13"/>
      <c r="WKP42" s="13"/>
      <c r="WKQ42" s="13"/>
      <c r="WKR42" s="13"/>
      <c r="WKS42" s="13"/>
      <c r="WKT42" s="13"/>
      <c r="WKU42" s="13"/>
      <c r="WKV42" s="13"/>
      <c r="WKW42" s="13"/>
      <c r="WKX42" s="13"/>
      <c r="WKY42" s="13"/>
      <c r="WKZ42" s="13"/>
      <c r="WLA42" s="13"/>
      <c r="WLB42" s="13"/>
      <c r="WLC42" s="13"/>
      <c r="WLD42" s="13"/>
      <c r="WLE42" s="13"/>
      <c r="WLF42" s="13"/>
      <c r="WLG42" s="13"/>
      <c r="WLH42" s="13"/>
      <c r="WLI42" s="13"/>
      <c r="WLJ42" s="13"/>
      <c r="WLK42" s="13"/>
      <c r="WLL42" s="13"/>
      <c r="WLM42" s="13"/>
      <c r="WLN42" s="13"/>
      <c r="WLO42" s="13"/>
      <c r="WLP42" s="13"/>
      <c r="WLQ42" s="13"/>
      <c r="WLR42" s="13"/>
      <c r="WLS42" s="13"/>
      <c r="WLT42" s="13"/>
      <c r="WLU42" s="13"/>
      <c r="WLV42" s="13"/>
      <c r="WLW42" s="13"/>
      <c r="WLX42" s="13"/>
      <c r="WLY42" s="13"/>
      <c r="WLZ42" s="13"/>
      <c r="WMA42" s="13"/>
      <c r="WMB42" s="13"/>
      <c r="WMC42" s="13"/>
      <c r="WMD42" s="13"/>
      <c r="WME42" s="13"/>
      <c r="WMF42" s="13"/>
      <c r="WMG42" s="13"/>
      <c r="WMH42" s="13"/>
      <c r="WMI42" s="13"/>
      <c r="WMJ42" s="13"/>
      <c r="WMK42" s="13"/>
      <c r="WML42" s="13"/>
      <c r="WMM42" s="13"/>
      <c r="WMN42" s="13"/>
      <c r="WMO42" s="13"/>
      <c r="WMP42" s="13"/>
      <c r="WMQ42" s="13"/>
      <c r="WMR42" s="13"/>
      <c r="WMS42" s="13"/>
      <c r="WMT42" s="13"/>
      <c r="WMU42" s="13"/>
      <c r="WMV42" s="13"/>
      <c r="WMW42" s="13"/>
      <c r="WMX42" s="13"/>
      <c r="WMY42" s="13"/>
      <c r="WMZ42" s="13"/>
      <c r="WNA42" s="13"/>
      <c r="WNB42" s="13"/>
      <c r="WNC42" s="13"/>
      <c r="WND42" s="13"/>
      <c r="WNE42" s="13"/>
      <c r="WNF42" s="13"/>
      <c r="WNG42" s="13"/>
      <c r="WNH42" s="13"/>
      <c r="WNI42" s="13"/>
      <c r="WNJ42" s="13"/>
      <c r="WNK42" s="13"/>
      <c r="WNL42" s="13"/>
      <c r="WNM42" s="13"/>
      <c r="WNN42" s="13"/>
      <c r="WNO42" s="13"/>
      <c r="WNP42" s="13"/>
      <c r="WNQ42" s="13"/>
      <c r="WNR42" s="13"/>
      <c r="WNS42" s="13"/>
      <c r="WNT42" s="13"/>
      <c r="WNU42" s="13"/>
      <c r="WNV42" s="13"/>
      <c r="WNW42" s="13"/>
      <c r="WNX42" s="13"/>
      <c r="WNY42" s="13"/>
      <c r="WNZ42" s="13"/>
      <c r="WOA42" s="13"/>
      <c r="WOB42" s="13"/>
      <c r="WOC42" s="13"/>
      <c r="WOD42" s="13"/>
      <c r="WOE42" s="13"/>
      <c r="WOF42" s="13"/>
      <c r="WOG42" s="13"/>
      <c r="WOH42" s="13"/>
      <c r="WOI42" s="13"/>
      <c r="WOJ42" s="13"/>
      <c r="WOK42" s="13"/>
      <c r="WOL42" s="13"/>
      <c r="WOM42" s="13"/>
      <c r="WON42" s="13"/>
      <c r="WOO42" s="13"/>
      <c r="WOP42" s="13"/>
      <c r="WOQ42" s="13"/>
      <c r="WOR42" s="13"/>
      <c r="WOS42" s="13"/>
      <c r="WOT42" s="13"/>
      <c r="WOU42" s="13"/>
      <c r="WOV42" s="13"/>
      <c r="WOW42" s="13"/>
      <c r="WOX42" s="13"/>
      <c r="WOY42" s="13"/>
      <c r="WOZ42" s="13"/>
      <c r="WPA42" s="13"/>
      <c r="WPB42" s="13"/>
      <c r="WPC42" s="13"/>
      <c r="WPD42" s="13"/>
      <c r="WPE42" s="13"/>
      <c r="WPF42" s="13"/>
      <c r="WPG42" s="13"/>
      <c r="WPH42" s="13"/>
      <c r="WPI42" s="13"/>
      <c r="WPJ42" s="13"/>
      <c r="WPK42" s="13"/>
      <c r="WPL42" s="13"/>
      <c r="WPM42" s="13"/>
      <c r="WPN42" s="13"/>
      <c r="WPO42" s="13"/>
      <c r="WPP42" s="13"/>
      <c r="WPQ42" s="13"/>
      <c r="WPR42" s="13"/>
      <c r="WPS42" s="13"/>
      <c r="WPT42" s="13"/>
      <c r="WPU42" s="13"/>
      <c r="WPV42" s="13"/>
      <c r="WPW42" s="13"/>
      <c r="WPX42" s="13"/>
      <c r="WPY42" s="13"/>
      <c r="WPZ42" s="13"/>
      <c r="WQA42" s="13"/>
      <c r="WQB42" s="13"/>
      <c r="WQC42" s="13"/>
      <c r="WQD42" s="13"/>
      <c r="WQE42" s="13"/>
      <c r="WQF42" s="13"/>
      <c r="WQG42" s="13"/>
      <c r="WQH42" s="13"/>
      <c r="WQI42" s="13"/>
      <c r="WQJ42" s="13"/>
      <c r="WQK42" s="13"/>
      <c r="WQL42" s="13"/>
      <c r="WQM42" s="13"/>
      <c r="WQN42" s="13"/>
      <c r="WQO42" s="13"/>
      <c r="WQP42" s="13"/>
      <c r="WQQ42" s="13"/>
      <c r="WQR42" s="13"/>
      <c r="WQS42" s="13"/>
      <c r="WQT42" s="13"/>
      <c r="WQU42" s="13"/>
      <c r="WQV42" s="13"/>
      <c r="WQW42" s="13"/>
      <c r="WQX42" s="13"/>
      <c r="WQY42" s="13"/>
      <c r="WQZ42" s="13"/>
      <c r="WRA42" s="13"/>
      <c r="WRB42" s="13"/>
      <c r="WRC42" s="13"/>
      <c r="WRD42" s="13"/>
      <c r="WRE42" s="13"/>
      <c r="WRF42" s="13"/>
      <c r="WRG42" s="13"/>
      <c r="WRH42" s="13"/>
      <c r="WRI42" s="13"/>
      <c r="WRJ42" s="13"/>
      <c r="WRK42" s="13"/>
      <c r="WRL42" s="13"/>
      <c r="WRM42" s="13"/>
      <c r="WRN42" s="13"/>
      <c r="WRO42" s="13"/>
      <c r="WRP42" s="13"/>
      <c r="WRQ42" s="13"/>
      <c r="WRR42" s="13"/>
      <c r="WRS42" s="13"/>
      <c r="WRT42" s="13"/>
      <c r="WRU42" s="13"/>
      <c r="WRV42" s="13"/>
      <c r="WRW42" s="13"/>
      <c r="WRX42" s="13"/>
      <c r="WRY42" s="13"/>
      <c r="WRZ42" s="13"/>
      <c r="WSA42" s="13"/>
      <c r="WSB42" s="13"/>
      <c r="WSC42" s="13"/>
      <c r="WSD42" s="13"/>
      <c r="WSE42" s="13"/>
      <c r="WSF42" s="13"/>
      <c r="WSG42" s="13"/>
      <c r="WSH42" s="13"/>
      <c r="WSI42" s="13"/>
      <c r="WSJ42" s="13"/>
      <c r="WSK42" s="13"/>
      <c r="WSL42" s="13"/>
      <c r="WSM42" s="13"/>
      <c r="WSN42" s="13"/>
      <c r="WSO42" s="13"/>
      <c r="WSP42" s="13"/>
      <c r="WSQ42" s="13"/>
      <c r="WSR42" s="13"/>
      <c r="WSS42" s="13"/>
      <c r="WST42" s="13"/>
      <c r="WSU42" s="13"/>
      <c r="WSV42" s="13"/>
      <c r="WSW42" s="13"/>
      <c r="WSX42" s="13"/>
      <c r="WSY42" s="13"/>
      <c r="WSZ42" s="13"/>
      <c r="WTA42" s="13"/>
      <c r="WTB42" s="13"/>
      <c r="WTC42" s="13"/>
      <c r="WTD42" s="13"/>
      <c r="WTE42" s="13"/>
      <c r="WTF42" s="13"/>
      <c r="WTG42" s="13"/>
      <c r="WTH42" s="13"/>
      <c r="WTI42" s="13"/>
      <c r="WTJ42" s="13"/>
      <c r="WTK42" s="13"/>
      <c r="WTL42" s="13"/>
      <c r="WTM42" s="13"/>
      <c r="WTN42" s="13"/>
      <c r="WTO42" s="13"/>
      <c r="WTP42" s="13"/>
      <c r="WTQ42" s="13"/>
      <c r="WTR42" s="13"/>
      <c r="WTS42" s="13"/>
      <c r="WTT42" s="13"/>
      <c r="WTU42" s="13"/>
      <c r="WTV42" s="13"/>
      <c r="WTW42" s="13"/>
      <c r="WTX42" s="13"/>
    </row>
    <row r="43" spans="1:16092" x14ac:dyDescent="0.2">
      <c r="A43" s="114" t="s">
        <v>371</v>
      </c>
      <c r="B43" s="94" t="s">
        <v>345</v>
      </c>
      <c r="C43" s="107" t="s">
        <v>755</v>
      </c>
      <c r="D43" s="107"/>
      <c r="E43" s="61">
        <f>'Raw Datas'!C87</f>
        <v>0.28581666666666666</v>
      </c>
      <c r="F43" s="61">
        <f>'Raw Datas'!D87</f>
        <v>0.20909999999999998</v>
      </c>
      <c r="G43" s="61">
        <f>'Raw Datas'!E87</f>
        <v>0.23959999999999998</v>
      </c>
      <c r="H43" s="61">
        <f>'Raw Datas'!F87</f>
        <v>2.0031666666666665</v>
      </c>
      <c r="I43" s="61">
        <f>'Raw Datas'!G87</f>
        <v>0.40756666666666663</v>
      </c>
      <c r="J43" s="61">
        <f>'Raw Datas'!H87</f>
        <v>0.23084999999999997</v>
      </c>
      <c r="K43" s="61">
        <f>'Raw Datas'!I87</f>
        <v>0.10843333333333333</v>
      </c>
      <c r="L43" s="61">
        <f>'Raw Datas'!J87</f>
        <v>7.8516666666666665E-2</v>
      </c>
      <c r="M43" s="61">
        <f>'Raw Datas'!K87</f>
        <v>0.43979999999999997</v>
      </c>
      <c r="N43" s="61">
        <f>'Raw Datas'!L87</f>
        <v>2.0112999999999999</v>
      </c>
      <c r="O43" s="61">
        <f>'Raw Datas'!M87</f>
        <v>0.29068333333333329</v>
      </c>
      <c r="P43" s="61">
        <f>'Raw Datas'!N87</f>
        <v>0.47341666666666671</v>
      </c>
      <c r="Q43" s="61">
        <f>'Raw Datas'!O87</f>
        <v>0.24301666666666666</v>
      </c>
      <c r="R43" s="61">
        <f>'Raw Datas'!P87</f>
        <v>0.50816666666666666</v>
      </c>
      <c r="S43" s="61">
        <f>'Raw Datas'!Q87</f>
        <v>1.7056666666666667</v>
      </c>
      <c r="T43" s="61">
        <f>'Raw Datas'!R87</f>
        <v>3.5438166666666664</v>
      </c>
      <c r="U43" s="61">
        <f>'Raw Datas'!S87</f>
        <v>0.56936666666666669</v>
      </c>
      <c r="V43" s="61">
        <f>'Raw Datas'!T87</f>
        <v>0.188</v>
      </c>
      <c r="W43" s="61">
        <f>'Raw Datas'!U87</f>
        <v>0.49278333333333335</v>
      </c>
      <c r="X43" s="61">
        <f>'Raw Datas'!V87</f>
        <v>0.45856666666666668</v>
      </c>
      <c r="Y43" s="61">
        <f>'Raw Datas'!W87</f>
        <v>0.59477142857142862</v>
      </c>
      <c r="Z43" s="61">
        <f>'Raw Datas'!X87</f>
        <v>6.6679999999999989E-2</v>
      </c>
      <c r="AA43" s="61">
        <f>'Raw Datas'!Y87</f>
        <v>0.16906666666666667</v>
      </c>
      <c r="AB43" s="61">
        <f>'Raw Datas'!Z87</f>
        <v>3.2901400000000001</v>
      </c>
      <c r="AC43" s="61">
        <f>'Raw Datas'!AA87</f>
        <v>0.16694999999999999</v>
      </c>
      <c r="AD43" s="61">
        <f>'Raw Datas'!AB87</f>
        <v>0.52861666666666662</v>
      </c>
      <c r="AE43" s="61">
        <f>'Raw Datas'!AC87</f>
        <v>0.22391666666666665</v>
      </c>
      <c r="AF43" s="61">
        <f>'Raw Datas'!AD87</f>
        <v>0.39091666666666663</v>
      </c>
      <c r="AG43" s="61">
        <f>'Raw Datas'!AE87</f>
        <v>0.14256666666666667</v>
      </c>
      <c r="AH43" s="61">
        <f>'Raw Datas'!AF87</f>
        <v>0.7825333333333333</v>
      </c>
      <c r="AI43" s="61">
        <f>'Raw Datas'!AG87</f>
        <v>1.4867833333333331</v>
      </c>
      <c r="AJ43" s="61">
        <f>'Raw Datas'!AH87</f>
        <v>0.63180000000000003</v>
      </c>
      <c r="AK43" s="61">
        <f>'Raw Datas'!AI87</f>
        <v>0.85808333333333331</v>
      </c>
      <c r="AL43" s="61">
        <f>'Raw Datas'!AJ87</f>
        <v>0.52823333333333333</v>
      </c>
      <c r="AM43" s="61">
        <f>'Raw Datas'!AK87</f>
        <v>0.27591666666666664</v>
      </c>
      <c r="AN43" s="61">
        <f>'Raw Datas'!AL87</f>
        <v>1.0558666666666667</v>
      </c>
      <c r="AO43" s="61">
        <f>'Raw Datas'!AM87</f>
        <v>1.2067000000000001</v>
      </c>
      <c r="AP43" s="61">
        <f>'Raw Datas'!AN87</f>
        <v>0.46768333333333334</v>
      </c>
      <c r="AQ43" s="61">
        <f>'Raw Datas'!AO87</f>
        <v>0.17733333333333334</v>
      </c>
      <c r="AR43" s="61">
        <f>'Raw Datas'!AP87</f>
        <v>0.73061666666666669</v>
      </c>
      <c r="AS43" s="61">
        <f>'Raw Datas'!AQ87</f>
        <v>2.6803833333333333</v>
      </c>
      <c r="AT43" s="61">
        <f>'Raw Datas'!AR87</f>
        <v>0.16786666666666669</v>
      </c>
      <c r="AU43" s="61">
        <f>'Raw Datas'!AS87</f>
        <v>1.7397666666666667</v>
      </c>
      <c r="AV43" s="61">
        <f>'Raw Datas'!AT87</f>
        <v>0.92558333333333331</v>
      </c>
      <c r="AW43" s="61">
        <f>'Raw Datas'!AU87</f>
        <v>0.13832</v>
      </c>
      <c r="AX43" s="61">
        <f>'Raw Datas'!AV87</f>
        <v>0.10183999999999999</v>
      </c>
      <c r="AY43" s="61">
        <f>'Raw Datas'!AW87</f>
        <v>0.33800000000000002</v>
      </c>
      <c r="AZ43" s="61">
        <f>'Raw Datas'!AX87</f>
        <v>0.21903333333333333</v>
      </c>
      <c r="BA43" s="61">
        <f>'Raw Datas'!AY87</f>
        <v>0.92830000000000001</v>
      </c>
      <c r="BB43" s="61">
        <f>'Raw Datas'!AZ87</f>
        <v>0.21791666666666668</v>
      </c>
      <c r="BC43" s="61">
        <f>'Raw Datas'!BA87</f>
        <v>0.32043333333333329</v>
      </c>
      <c r="BD43" s="61">
        <f>'Raw Datas'!BB87</f>
        <v>0.11741666666666667</v>
      </c>
      <c r="BE43" s="61">
        <f>'Raw Datas'!BC87</f>
        <v>0.28699999999999998</v>
      </c>
      <c r="BF43" s="61">
        <f>'Raw Datas'!BD87</f>
        <v>0.23415</v>
      </c>
      <c r="BG43" s="61">
        <f>'Raw Datas'!BE87</f>
        <v>0.21939999999999998</v>
      </c>
      <c r="BH43" s="61">
        <f>'Raw Datas'!BF87</f>
        <v>2.6203500000000002</v>
      </c>
      <c r="BI43" s="61">
        <f>'Raw Datas'!BG87</f>
        <v>0.16326666666666664</v>
      </c>
      <c r="BJ43" s="61">
        <f>'Raw Datas'!BH87</f>
        <v>3.40265</v>
      </c>
      <c r="BK43" s="61">
        <f>'Raw Datas'!BI87</f>
        <v>2.1504833333333333</v>
      </c>
      <c r="BL43" s="61">
        <f>'Raw Datas'!BJ87</f>
        <v>4.1920166666666665</v>
      </c>
      <c r="BM43" s="61">
        <f>'Raw Datas'!BK87</f>
        <v>0.67230000000000001</v>
      </c>
      <c r="BN43" s="61">
        <f>'Raw Datas'!BL87</f>
        <v>15.065666666666667</v>
      </c>
      <c r="BO43" s="61">
        <f>'Raw Datas'!BM87</f>
        <v>17.187428571428569</v>
      </c>
      <c r="BP43" s="61">
        <f>'Raw Datas'!BN87</f>
        <v>18.27313333333333</v>
      </c>
      <c r="BQ43" s="61">
        <f>'Raw Datas'!BO87</f>
        <v>56.307699999999997</v>
      </c>
      <c r="BR43" s="61">
        <f>'Raw Datas'!BP87</f>
        <v>27.954116666666668</v>
      </c>
      <c r="BS43" s="61">
        <f>'Raw Datas'!BQ87</f>
        <v>1.2273000000000001</v>
      </c>
      <c r="BT43" s="61">
        <f>'Raw Datas'!BR87</f>
        <v>0.50554285714285718</v>
      </c>
      <c r="BU43" s="61">
        <f>'Raw Datas'!BS87</f>
        <v>61.874050000000004</v>
      </c>
      <c r="BV43" s="61">
        <f>'Raw Datas'!BT87</f>
        <v>4.9980333333333338</v>
      </c>
      <c r="BW43" s="61">
        <f>'Raw Datas'!BU87</f>
        <v>1.8054833333333336</v>
      </c>
      <c r="BX43" s="61">
        <f>'Raw Datas'!BV87</f>
        <v>1.6138333333333332</v>
      </c>
      <c r="BY43" s="61">
        <f>'Raw Datas'!BW87</f>
        <v>2.0467666666666666</v>
      </c>
      <c r="BZ43" s="61">
        <f>'Raw Datas'!BX87</f>
        <v>0.34921666666666668</v>
      </c>
      <c r="CA43" s="61">
        <f>'Raw Datas'!BY87</f>
        <v>1.4857666666666667</v>
      </c>
      <c r="CB43" s="61">
        <f>'Raw Datas'!BZ87</f>
        <v>1.0634833333333333</v>
      </c>
      <c r="CC43" s="61">
        <f>'Raw Datas'!CA87</f>
        <v>1.5531000000000001</v>
      </c>
      <c r="CD43" s="61">
        <f>'Raw Datas'!CB87</f>
        <v>0.53120000000000001</v>
      </c>
      <c r="CE43" s="61">
        <f>'Raw Datas'!CC87</f>
        <v>0.25261666666666666</v>
      </c>
      <c r="CF43" s="61">
        <f>'Raw Datas'!CD87</f>
        <v>0.43086666666666668</v>
      </c>
      <c r="CG43" s="61">
        <f>'Raw Datas'!CE87</f>
        <v>3.0249499999999996</v>
      </c>
      <c r="CH43" s="61">
        <f>'Raw Datas'!CF87</f>
        <v>0.47503333333333336</v>
      </c>
      <c r="CI43" s="61">
        <f>'Raw Datas'!CG87</f>
        <v>0.59916666666666674</v>
      </c>
      <c r="CJ43" s="61">
        <f>'Raw Datas'!CH87</f>
        <v>0.46100000000000002</v>
      </c>
      <c r="CK43" s="61">
        <f>'Raw Datas'!CI87</f>
        <v>1.7525833333333334</v>
      </c>
      <c r="CL43" s="61">
        <f>'Raw Datas'!CJ87</f>
        <v>0.29657777777777777</v>
      </c>
      <c r="CM43" s="61">
        <f>'Raw Datas'!CK87</f>
        <v>0.18283333333333332</v>
      </c>
      <c r="CN43" s="61">
        <f>'Raw Datas'!CL87</f>
        <v>0.37719999999999998</v>
      </c>
      <c r="CO43" s="61">
        <f>'Raw Datas'!CM87</f>
        <v>0.25240000000000001</v>
      </c>
      <c r="CP43" s="61">
        <f>'Raw Datas'!CN87</f>
        <v>0.19738333333333333</v>
      </c>
      <c r="CQ43" s="61">
        <f>'Raw Datas'!CO87</f>
        <v>0.11006666666666667</v>
      </c>
      <c r="CR43" s="61">
        <f>'Raw Datas'!CP87</f>
        <v>0.87616666666666654</v>
      </c>
      <c r="CS43" s="61">
        <f>'Raw Datas'!CQ87</f>
        <v>0.71406666666666652</v>
      </c>
      <c r="CT43" s="61">
        <f>'Raw Datas'!CR87</f>
        <v>0.77436666666666676</v>
      </c>
      <c r="CU43" s="61">
        <f>'Raw Datas'!CS87</f>
        <v>0.11488333333333335</v>
      </c>
      <c r="CV43" s="61">
        <f>'Raw Datas'!CT87</f>
        <v>0.51626666666666665</v>
      </c>
      <c r="CW43" s="61">
        <f>'Raw Datas'!CU87</f>
        <v>0.19729999999999998</v>
      </c>
      <c r="CX43" s="61">
        <f>'Raw Datas'!CV87</f>
        <v>6.1050000000000007E-2</v>
      </c>
      <c r="CY43" s="61">
        <f>'Raw Datas'!CW87</f>
        <v>0.5158666666666667</v>
      </c>
      <c r="CZ43" s="61">
        <f>'Raw Datas'!CX87</f>
        <v>0.22430000000000003</v>
      </c>
      <c r="DA43" s="61">
        <f>'Raw Datas'!CY87</f>
        <v>0.40798333333333336</v>
      </c>
      <c r="DB43" s="61">
        <f>'Raw Datas'!CZ87</f>
        <v>0.37680000000000002</v>
      </c>
      <c r="DC43" s="61">
        <f>'Raw Datas'!DA87</f>
        <v>0.13793333333333332</v>
      </c>
      <c r="DD43" s="61">
        <f>'Raw Datas'!DB87</f>
        <v>0.31678333333333336</v>
      </c>
      <c r="DE43" s="61">
        <f>'Raw Datas'!DC87</f>
        <v>0.17706666666666668</v>
      </c>
      <c r="DF43" s="61">
        <f>'Raw Datas'!DD87</f>
        <v>9.0766666666666662E-2</v>
      </c>
      <c r="DG43" s="61">
        <f>'Raw Datas'!DE87</f>
        <v>0.53621666666666667</v>
      </c>
      <c r="DH43" s="61">
        <f>'Raw Datas'!DF87</f>
        <v>0.83791666666666664</v>
      </c>
      <c r="DI43" s="61">
        <f>'Raw Datas'!DG87</f>
        <v>0.9180666666666667</v>
      </c>
      <c r="DJ43" s="61">
        <f>'Raw Datas'!DH87</f>
        <v>-5.0000000000000001E-4</v>
      </c>
      <c r="DK43" s="61">
        <f>'Raw Datas'!DI87</f>
        <v>0.26513333333333333</v>
      </c>
      <c r="DL43" s="61">
        <f>'Raw Datas'!DJ87</f>
        <v>0.93394999999999995</v>
      </c>
      <c r="DM43" s="61">
        <f>'Raw Datas'!DK87</f>
        <v>3.965066666666667</v>
      </c>
      <c r="DN43" s="61">
        <f>'Raw Datas'!DL87</f>
        <v>-1.3500000000000002E-2</v>
      </c>
      <c r="DO43" s="61">
        <f>'Raw Datas'!DM87</f>
        <v>0.21195</v>
      </c>
      <c r="DP43" s="61">
        <f>'Raw Datas'!DN87</f>
        <v>0.42849999999999999</v>
      </c>
      <c r="DQ43" s="61">
        <f>'Raw Datas'!DO87</f>
        <v>0.19748333333333334</v>
      </c>
      <c r="DR43" s="61">
        <f>'Raw Datas'!DP87</f>
        <v>0.98240000000000005</v>
      </c>
      <c r="DS43" s="61">
        <f>'Raw Datas'!DQ87</f>
        <v>0.4467166666666666</v>
      </c>
      <c r="DT43" s="61">
        <f>'Raw Datas'!DR87</f>
        <v>0.1211</v>
      </c>
      <c r="DU43" s="61">
        <f>'Raw Datas'!DS87</f>
        <v>0.23773333333333332</v>
      </c>
      <c r="DV43" s="61">
        <f>'Raw Datas'!DT87</f>
        <v>0.20873333333333333</v>
      </c>
      <c r="DW43" s="61">
        <f>'Raw Datas'!DU87</f>
        <v>1.7006500000000002</v>
      </c>
      <c r="DX43" s="61">
        <f>'Raw Datas'!DV87</f>
        <v>0.36186666666666661</v>
      </c>
      <c r="DY43" s="61">
        <f>'Raw Datas'!DW87</f>
        <v>1.1689333333333332</v>
      </c>
      <c r="DZ43" s="61">
        <f>'Raw Datas'!DX87</f>
        <v>0.16389999999999999</v>
      </c>
      <c r="EA43" s="61">
        <f>'Raw Datas'!DY87</f>
        <v>0.39838333333333331</v>
      </c>
      <c r="EB43" s="61">
        <f>'Raw Datas'!DZ87</f>
        <v>0.97383333333333333</v>
      </c>
      <c r="EC43" s="61">
        <f>'Raw Datas'!EA87</f>
        <v>0.37233333333333335</v>
      </c>
      <c r="ED43" s="61">
        <f>'Raw Datas'!EB87</f>
        <v>0.21146666666666664</v>
      </c>
      <c r="EE43" s="61">
        <f>'Raw Datas'!EC87</f>
        <v>0.54273333333333329</v>
      </c>
      <c r="EF43" s="61">
        <f>'Raw Datas'!ED87</f>
        <v>0.33901666666666669</v>
      </c>
      <c r="EG43" s="61">
        <f>'Raw Datas'!EE87</f>
        <v>8.5833333333333345E-2</v>
      </c>
      <c r="EH43" s="61">
        <f>'Raw Datas'!EF87</f>
        <v>0.58991666666666664</v>
      </c>
      <c r="EI43" s="61">
        <f>'Raw Datas'!EG87</f>
        <v>0.64008333333333334</v>
      </c>
      <c r="EJ43" s="61">
        <f>'Raw Datas'!EH87</f>
        <v>0.62423333333333331</v>
      </c>
      <c r="EK43" s="61">
        <f>'Raw Datas'!EI87</f>
        <v>5.0349999999999999E-2</v>
      </c>
      <c r="EL43" s="61">
        <f>'Raw Datas'!EJ87</f>
        <v>0.78575000000000006</v>
      </c>
      <c r="EM43" s="61">
        <f>'Raw Datas'!EK87</f>
        <v>0.39265</v>
      </c>
      <c r="EN43" s="61">
        <f>'Raw Datas'!EL87</f>
        <v>0.2469166666666667</v>
      </c>
      <c r="EO43" s="61">
        <f>'Raw Datas'!EM87</f>
        <v>4.1524999999999999</v>
      </c>
      <c r="EP43" s="61">
        <f>'Raw Datas'!EN87</f>
        <v>0.88701666666666656</v>
      </c>
      <c r="EQ43" s="61">
        <f>'Raw Datas'!EO87</f>
        <v>0.47591666666666665</v>
      </c>
      <c r="ER43" s="61">
        <f>'Raw Datas'!EP87</f>
        <v>1.4662333333333331</v>
      </c>
      <c r="ES43" s="61">
        <f>'Raw Datas'!EQ87</f>
        <v>0.23551666666666668</v>
      </c>
      <c r="ET43" s="61">
        <f>'Raw Datas'!ER87</f>
        <v>0.20594999999999999</v>
      </c>
      <c r="EU43" s="61">
        <f>'Raw Datas'!ES87</f>
        <v>0.19196666666666665</v>
      </c>
      <c r="EV43" s="61">
        <f>'Raw Datas'!ET87</f>
        <v>0.79441666666666666</v>
      </c>
      <c r="EW43" s="61">
        <f>'Raw Datas'!EU87</f>
        <v>0.34598333333333336</v>
      </c>
      <c r="EX43" s="61">
        <f>'Raw Datas'!EV87</f>
        <v>0.28026666666666666</v>
      </c>
      <c r="EY43" s="61">
        <f>'Raw Datas'!EW87</f>
        <v>0.25159999999999999</v>
      </c>
      <c r="EZ43" s="61">
        <f>'Raw Datas'!EX87</f>
        <v>0.15725</v>
      </c>
      <c r="FA43" s="61">
        <f>'Raw Datas'!EY87</f>
        <v>2.9873999999999996</v>
      </c>
      <c r="FB43" s="61">
        <f>'Raw Datas'!EZ87</f>
        <v>0.32965</v>
      </c>
      <c r="FC43" s="61">
        <f>'Raw Datas'!FA87</f>
        <v>8.9699999999999988E-2</v>
      </c>
      <c r="FD43" s="61">
        <f>'Raw Datas'!FB87</f>
        <v>0.30941666666666667</v>
      </c>
      <c r="FE43" s="61">
        <f>'Raw Datas'!FC87</f>
        <v>1.2863</v>
      </c>
      <c r="FF43" s="61">
        <f>'Raw Datas'!FD87</f>
        <v>0.18129999999999999</v>
      </c>
      <c r="FG43" s="61">
        <f>'Raw Datas'!FE87</f>
        <v>0.39173333333333338</v>
      </c>
      <c r="FH43" s="61">
        <f>'Raw Datas'!FF87</f>
        <v>0.22998333333333332</v>
      </c>
      <c r="FI43" s="61">
        <f>'Raw Datas'!FG87</f>
        <v>0.38971666666666666</v>
      </c>
      <c r="FJ43" s="61">
        <f>'Raw Datas'!FH87</f>
        <v>0.47683333333333339</v>
      </c>
      <c r="FK43" s="61">
        <f>'Raw Datas'!FI87</f>
        <v>0.5053833333333333</v>
      </c>
      <c r="FL43" s="61">
        <f>'Raw Datas'!FJ87</f>
        <v>0.12831666666666666</v>
      </c>
      <c r="FM43" s="61">
        <f>'Raw Datas'!FK87</f>
        <v>7.091666666666667E-2</v>
      </c>
      <c r="FN43" s="61">
        <f>'Raw Datas'!FL87</f>
        <v>0.1767</v>
      </c>
      <c r="FO43" s="61">
        <f>'Raw Datas'!FM87</f>
        <v>0.89729999999999999</v>
      </c>
      <c r="FP43" s="61">
        <f>'Raw Datas'!FN87</f>
        <v>0.34221666666666667</v>
      </c>
      <c r="FQ43" s="61">
        <f>'Raw Datas'!FO87</f>
        <v>0.78630000000000011</v>
      </c>
    </row>
    <row r="44" spans="1:16092" ht="16" thickBot="1" x14ac:dyDescent="0.25">
      <c r="A44" s="115"/>
      <c r="B44" s="95" t="s">
        <v>347</v>
      </c>
      <c r="C44" s="106" t="s">
        <v>756</v>
      </c>
      <c r="D44" s="106"/>
      <c r="E44" s="62">
        <f>'Raw Datas'!C88</f>
        <v>0.79061666666666663</v>
      </c>
      <c r="F44" s="62">
        <f>'Raw Datas'!D88</f>
        <v>0.85391666666666666</v>
      </c>
      <c r="G44" s="62">
        <f>'Raw Datas'!E88</f>
        <v>0.40044999999999997</v>
      </c>
      <c r="H44" s="62">
        <f>'Raw Datas'!F88</f>
        <v>2.1095999999999999</v>
      </c>
      <c r="I44" s="62">
        <f>'Raw Datas'!G88</f>
        <v>1.3896000000000002</v>
      </c>
      <c r="J44" s="62">
        <f>'Raw Datas'!H88</f>
        <v>0.5676000000000001</v>
      </c>
      <c r="K44" s="62">
        <f>'Raw Datas'!I88</f>
        <v>1.3167166666666668</v>
      </c>
      <c r="L44" s="62">
        <f>'Raw Datas'!J88</f>
        <v>0.56136666666666668</v>
      </c>
      <c r="M44" s="62">
        <f>'Raw Datas'!K88</f>
        <v>4.5957166666666662</v>
      </c>
      <c r="N44" s="62">
        <f>'Raw Datas'!L88</f>
        <v>2.0060500000000001</v>
      </c>
      <c r="O44" s="62">
        <f>'Raw Datas'!M88</f>
        <v>1.4151833333333335</v>
      </c>
      <c r="P44" s="62">
        <f>'Raw Datas'!N88</f>
        <v>0.77574999999999994</v>
      </c>
      <c r="Q44" s="62">
        <f>'Raw Datas'!O88</f>
        <v>1.2581500000000001</v>
      </c>
      <c r="R44" s="62">
        <f>'Raw Datas'!P88</f>
        <v>1.4524833333333333</v>
      </c>
      <c r="S44" s="62">
        <f>'Raw Datas'!Q88</f>
        <v>2.0669333333333335</v>
      </c>
      <c r="T44" s="62">
        <f>'Raw Datas'!R88</f>
        <v>4.7613666666666665</v>
      </c>
      <c r="U44" s="62">
        <f>'Raw Datas'!S88</f>
        <v>4.2172999999999998</v>
      </c>
      <c r="V44" s="62">
        <f>'Raw Datas'!T88</f>
        <v>0.24276666666666666</v>
      </c>
      <c r="W44" s="62">
        <f>'Raw Datas'!U88</f>
        <v>0.86763333333333337</v>
      </c>
      <c r="X44" s="62">
        <f>'Raw Datas'!V88</f>
        <v>2.1211500000000001</v>
      </c>
      <c r="Y44" s="62">
        <f>'Raw Datas'!W88</f>
        <v>1.9643142857142859</v>
      </c>
      <c r="Z44" s="62">
        <f>'Raw Datas'!X88</f>
        <v>0.60751999999999995</v>
      </c>
      <c r="AA44" s="62">
        <f>'Raw Datas'!Y88</f>
        <v>1.5137666666666665</v>
      </c>
      <c r="AB44" s="62">
        <f>'Raw Datas'!Z88</f>
        <v>6.04216</v>
      </c>
      <c r="AC44" s="62">
        <f>'Raw Datas'!AA88</f>
        <v>1.3471833333333334</v>
      </c>
      <c r="AD44" s="62">
        <f>'Raw Datas'!AB88</f>
        <v>1.8638833333333333</v>
      </c>
      <c r="AE44" s="62">
        <f>'Raw Datas'!AC88</f>
        <v>0.63491666666666668</v>
      </c>
      <c r="AF44" s="62">
        <f>'Raw Datas'!AD88</f>
        <v>1.1370833333333332</v>
      </c>
      <c r="AG44" s="62">
        <f>'Raw Datas'!AE88</f>
        <v>0.53525</v>
      </c>
      <c r="AH44" s="62">
        <f>'Raw Datas'!AF88</f>
        <v>0.93888333333333329</v>
      </c>
      <c r="AI44" s="62">
        <f>'Raw Datas'!AG88</f>
        <v>2.0918000000000001</v>
      </c>
      <c r="AJ44" s="62">
        <f>'Raw Datas'!AH88</f>
        <v>1.1258000000000001</v>
      </c>
      <c r="AK44" s="62">
        <f>'Raw Datas'!AI88</f>
        <v>1.4144000000000001</v>
      </c>
      <c r="AL44" s="62">
        <f>'Raw Datas'!AJ88</f>
        <v>1.7300833333333332</v>
      </c>
      <c r="AM44" s="62">
        <f>'Raw Datas'!AK88</f>
        <v>0.57756666666666656</v>
      </c>
      <c r="AN44" s="62">
        <f>'Raw Datas'!AL88</f>
        <v>1.2018500000000001</v>
      </c>
      <c r="AO44" s="62">
        <f>'Raw Datas'!AM88</f>
        <v>2.3552333333333331</v>
      </c>
      <c r="AP44" s="62">
        <f>'Raw Datas'!AN88</f>
        <v>1.4346500000000002</v>
      </c>
      <c r="AQ44" s="62">
        <f>'Raw Datas'!AO88</f>
        <v>0.85391666666666666</v>
      </c>
      <c r="AR44" s="62">
        <f>'Raw Datas'!AP88</f>
        <v>1.1415833333333334</v>
      </c>
      <c r="AS44" s="62">
        <f>'Raw Datas'!AQ88</f>
        <v>3.3933166666666663</v>
      </c>
      <c r="AT44" s="62">
        <f>'Raw Datas'!AR88</f>
        <v>0.3888833333333333</v>
      </c>
      <c r="AU44" s="62">
        <f>'Raw Datas'!AS88</f>
        <v>2.6600666666666664</v>
      </c>
      <c r="AV44" s="62">
        <f>'Raw Datas'!AT88</f>
        <v>1.6563666666666668</v>
      </c>
      <c r="AW44" s="62" t="str">
        <f>'Raw Datas'!AU88</f>
        <v>0</v>
      </c>
      <c r="AX44" s="62">
        <f>'Raw Datas'!AV88</f>
        <v>1.1708799999999999</v>
      </c>
      <c r="AY44" s="62">
        <f>'Raw Datas'!AW88</f>
        <v>0.68328333333333335</v>
      </c>
      <c r="AZ44" s="62">
        <f>'Raw Datas'!AX88</f>
        <v>0.7698166666666667</v>
      </c>
      <c r="BA44" s="62">
        <f>'Raw Datas'!AY88</f>
        <v>1.0977833333333333</v>
      </c>
      <c r="BB44" s="62">
        <f>'Raw Datas'!AZ88</f>
        <v>0.34009999999999996</v>
      </c>
      <c r="BC44" s="62">
        <f>'Raw Datas'!BA88</f>
        <v>0.9448833333333333</v>
      </c>
      <c r="BD44" s="62">
        <f>'Raw Datas'!BB88</f>
        <v>0.41339999999999999</v>
      </c>
      <c r="BE44" s="62">
        <f>'Raw Datas'!BC88</f>
        <v>1.0061333333333333</v>
      </c>
      <c r="BF44" s="62">
        <f>'Raw Datas'!BD88</f>
        <v>0.44236666666666663</v>
      </c>
      <c r="BG44" s="62">
        <f>'Raw Datas'!BE88</f>
        <v>1.5808166666666665</v>
      </c>
      <c r="BH44" s="62">
        <f>'Raw Datas'!BF88</f>
        <v>3.5002666666666666</v>
      </c>
      <c r="BI44" s="62">
        <f>'Raw Datas'!BG88</f>
        <v>0.29349999999999998</v>
      </c>
      <c r="BJ44" s="62">
        <f>'Raw Datas'!BH88</f>
        <v>5.8533833333333325</v>
      </c>
      <c r="BK44" s="62">
        <f>'Raw Datas'!BI88</f>
        <v>4.6669999999999998</v>
      </c>
      <c r="BL44" s="62">
        <f>'Raw Datas'!BJ88</f>
        <v>8.8222333333333331</v>
      </c>
      <c r="BM44" s="62">
        <f>'Raw Datas'!BK88</f>
        <v>1.4839166666666666</v>
      </c>
      <c r="BN44" s="62">
        <f>'Raw Datas'!BL88</f>
        <v>22.811400000000003</v>
      </c>
      <c r="BO44" s="62">
        <f>'Raw Datas'!BM88</f>
        <v>24.88597142857143</v>
      </c>
      <c r="BP44" s="62">
        <f>'Raw Datas'!BN88</f>
        <v>39.701483333333336</v>
      </c>
      <c r="BQ44" s="62">
        <f>'Raw Datas'!BO88</f>
        <v>107.96598333333333</v>
      </c>
      <c r="BR44" s="62">
        <f>'Raw Datas'!BP88</f>
        <v>51.337800000000001</v>
      </c>
      <c r="BS44" s="62">
        <f>'Raw Datas'!BQ88</f>
        <v>2.5672666666666668</v>
      </c>
      <c r="BT44" s="62">
        <f>'Raw Datas'!BR88</f>
        <v>0.77091428571428566</v>
      </c>
      <c r="BU44" s="62">
        <f>'Raw Datas'!BS88</f>
        <v>107.22805</v>
      </c>
      <c r="BV44" s="62">
        <f>'Raw Datas'!BT88</f>
        <v>8.6475833333333334</v>
      </c>
      <c r="BW44" s="62">
        <f>'Raw Datas'!BU88</f>
        <v>3.0842833333333335</v>
      </c>
      <c r="BX44" s="62">
        <f>'Raw Datas'!BV88</f>
        <v>2.5323333333333333</v>
      </c>
      <c r="BY44" s="62">
        <f>'Raw Datas'!BW88</f>
        <v>3.5411666666666668</v>
      </c>
      <c r="BZ44" s="62">
        <f>'Raw Datas'!BX88</f>
        <v>0.85643333333333338</v>
      </c>
      <c r="CA44" s="62">
        <f>'Raw Datas'!BY88</f>
        <v>2.8419166666666671</v>
      </c>
      <c r="CB44" s="62">
        <f>'Raw Datas'!BZ88</f>
        <v>1.2201333333333333</v>
      </c>
      <c r="CC44" s="62">
        <f>'Raw Datas'!CA88</f>
        <v>3.1940000000000004</v>
      </c>
      <c r="CD44" s="62">
        <f>'Raw Datas'!CB88</f>
        <v>0.60661666666666669</v>
      </c>
      <c r="CE44" s="62">
        <f>'Raw Datas'!CC88</f>
        <v>1.3842333333333334</v>
      </c>
      <c r="CF44" s="62">
        <f>'Raw Datas'!CD88</f>
        <v>1.1900166666666669</v>
      </c>
      <c r="CG44" s="62">
        <f>'Raw Datas'!CE88</f>
        <v>5.3199000000000005</v>
      </c>
      <c r="CH44" s="62">
        <f>'Raw Datas'!CF88</f>
        <v>0.69275000000000009</v>
      </c>
      <c r="CI44" s="62">
        <f>'Raw Datas'!CG88</f>
        <v>1.8363</v>
      </c>
      <c r="CJ44" s="62">
        <f>'Raw Datas'!CH88</f>
        <v>1.1662999999999999</v>
      </c>
      <c r="CK44" s="62">
        <f>'Raw Datas'!CI88</f>
        <v>1.3339999999999999</v>
      </c>
      <c r="CL44" s="62">
        <f>'Raw Datas'!CJ88</f>
        <v>0.53671111111111114</v>
      </c>
      <c r="CM44" s="62">
        <f>'Raw Datas'!CK88</f>
        <v>0.31470000000000004</v>
      </c>
      <c r="CN44" s="62">
        <f>'Raw Datas'!CL88</f>
        <v>0.73796666666666677</v>
      </c>
      <c r="CO44" s="62">
        <f>'Raw Datas'!CM88</f>
        <v>0.59843333333333326</v>
      </c>
      <c r="CP44" s="62">
        <f>'Raw Datas'!CN88</f>
        <v>0.38985000000000003</v>
      </c>
      <c r="CQ44" s="62">
        <f>'Raw Datas'!CO88</f>
        <v>0.47430000000000005</v>
      </c>
      <c r="CR44" s="62">
        <f>'Raw Datas'!CP88</f>
        <v>2.1220166666666667</v>
      </c>
      <c r="CS44" s="62">
        <f>'Raw Datas'!CQ88</f>
        <v>1.3571833333333336</v>
      </c>
      <c r="CT44" s="62">
        <f>'Raw Datas'!CR88</f>
        <v>1.0211833333333333</v>
      </c>
      <c r="CU44" s="62">
        <f>'Raw Datas'!CS88</f>
        <v>0.65981666666666661</v>
      </c>
      <c r="CV44" s="62">
        <f>'Raw Datas'!CT88</f>
        <v>2.0927666666666669</v>
      </c>
      <c r="CW44" s="62">
        <f>'Raw Datas'!CU88</f>
        <v>0.44483333333333336</v>
      </c>
      <c r="CX44" s="62">
        <f>'Raw Datas'!CV88</f>
        <v>0.80901666666666661</v>
      </c>
      <c r="CY44" s="62">
        <f>'Raw Datas'!CW88</f>
        <v>1.9278333333333333</v>
      </c>
      <c r="CZ44" s="62">
        <f>'Raw Datas'!CX88</f>
        <v>1.0040500000000001</v>
      </c>
      <c r="DA44" s="62">
        <f>'Raw Datas'!CY88</f>
        <v>0.51161666666666672</v>
      </c>
      <c r="DB44" s="62">
        <f>'Raw Datas'!CZ88</f>
        <v>0.48609999999999992</v>
      </c>
      <c r="DC44" s="62">
        <f>'Raw Datas'!DA88</f>
        <v>0.7001666666666666</v>
      </c>
      <c r="DD44" s="62">
        <f>'Raw Datas'!DB88</f>
        <v>1.0738166666666666</v>
      </c>
      <c r="DE44" s="62">
        <f>'Raw Datas'!DC88</f>
        <v>0.45666666666666672</v>
      </c>
      <c r="DF44" s="62">
        <f>'Raw Datas'!DD88</f>
        <v>0.78678333333333339</v>
      </c>
      <c r="DG44" s="62">
        <f>'Raw Datas'!DE88</f>
        <v>1.3071833333333334</v>
      </c>
      <c r="DH44" s="62">
        <f>'Raw Datas'!DF88</f>
        <v>1.0835499999999998</v>
      </c>
      <c r="DI44" s="62">
        <f>'Raw Datas'!DG88</f>
        <v>1.0376833333333333</v>
      </c>
      <c r="DJ44" s="62">
        <f>'Raw Datas'!DH88</f>
        <v>6.8333333333333329E-2</v>
      </c>
      <c r="DK44" s="62">
        <f>'Raw Datas'!DI88</f>
        <v>1.2420499999999999</v>
      </c>
      <c r="DL44" s="62">
        <f>'Raw Datas'!DJ88</f>
        <v>1.9496</v>
      </c>
      <c r="DM44" s="62">
        <f>'Raw Datas'!DK88</f>
        <v>1.9535666666666667</v>
      </c>
      <c r="DN44" s="62">
        <f>'Raw Datas'!DL88</f>
        <v>5.4683333333333334E-2</v>
      </c>
      <c r="DO44" s="62">
        <f>'Raw Datas'!DM88</f>
        <v>3.4924166666666663</v>
      </c>
      <c r="DP44" s="62">
        <f>'Raw Datas'!DN88</f>
        <v>1.1524333333333334</v>
      </c>
      <c r="DQ44" s="62">
        <f>'Raw Datas'!DO88</f>
        <v>1.3812333333333333</v>
      </c>
      <c r="DR44" s="62">
        <f>'Raw Datas'!DP88</f>
        <v>1.3961666666666668</v>
      </c>
      <c r="DS44" s="62">
        <f>'Raw Datas'!DQ88</f>
        <v>1.3978999999999999</v>
      </c>
      <c r="DT44" s="62">
        <f>'Raw Datas'!DR88</f>
        <v>1.4997666666666665</v>
      </c>
      <c r="DU44" s="62">
        <f>'Raw Datas'!DS88</f>
        <v>0.70761666666666667</v>
      </c>
      <c r="DV44" s="62">
        <f>'Raw Datas'!DT88</f>
        <v>1.0698833333333333</v>
      </c>
      <c r="DW44" s="62">
        <f>'Raw Datas'!DU88</f>
        <v>2.2540833333333334</v>
      </c>
      <c r="DX44" s="62">
        <f>'Raw Datas'!DV88</f>
        <v>0.67308333333333326</v>
      </c>
      <c r="DY44" s="62">
        <f>'Raw Datas'!DW88</f>
        <v>1.2669166666666667</v>
      </c>
      <c r="DZ44" s="62">
        <f>'Raw Datas'!DX88</f>
        <v>0.4995666666666666</v>
      </c>
      <c r="EA44" s="62">
        <f>'Raw Datas'!DY88</f>
        <v>2.0196166666666664</v>
      </c>
      <c r="EB44" s="62">
        <f>'Raw Datas'!DZ88</f>
        <v>2.4393000000000002</v>
      </c>
      <c r="EC44" s="62">
        <f>'Raw Datas'!EA88</f>
        <v>1.3855499999999998</v>
      </c>
      <c r="ED44" s="62">
        <f>'Raw Datas'!EB88</f>
        <v>1.9432833333333335</v>
      </c>
      <c r="EE44" s="62">
        <f>'Raw Datas'!EC88</f>
        <v>1.1539333333333335</v>
      </c>
      <c r="EF44" s="62">
        <f>'Raw Datas'!ED88</f>
        <v>1.1340000000000001</v>
      </c>
      <c r="EG44" s="62" t="str">
        <f>'Raw Datas'!EE88</f>
        <v>0</v>
      </c>
      <c r="EH44" s="62">
        <f>'Raw Datas'!EF88</f>
        <v>1.2531000000000001</v>
      </c>
      <c r="EI44" s="62">
        <f>'Raw Datas'!EG88</f>
        <v>1.2698500000000001</v>
      </c>
      <c r="EJ44" s="62">
        <f>'Raw Datas'!EH88</f>
        <v>0.64075000000000004</v>
      </c>
      <c r="EK44" s="62">
        <f>'Raw Datas'!EI88</f>
        <v>0.30304999999999999</v>
      </c>
      <c r="EL44" s="62">
        <f>'Raw Datas'!EJ88</f>
        <v>2.5122333333333331</v>
      </c>
      <c r="EM44" s="62">
        <f>'Raw Datas'!EK88</f>
        <v>0.57128333333333337</v>
      </c>
      <c r="EN44" s="62">
        <f>'Raw Datas'!EL88</f>
        <v>0.70296666666666674</v>
      </c>
      <c r="EO44" s="62">
        <f>'Raw Datas'!EM88</f>
        <v>2.0529666666666668</v>
      </c>
      <c r="EP44" s="62">
        <f>'Raw Datas'!EN88</f>
        <v>2.2278166666666666</v>
      </c>
      <c r="EQ44" s="62">
        <f>'Raw Datas'!EO88</f>
        <v>0.76934999999999998</v>
      </c>
      <c r="ER44" s="62">
        <f>'Raw Datas'!EP88</f>
        <v>1.4181166666666665</v>
      </c>
      <c r="ES44" s="62">
        <f>'Raw Datas'!EQ88</f>
        <v>0.7260833333333333</v>
      </c>
      <c r="ET44" s="62">
        <f>'Raw Datas'!ER88</f>
        <v>0.85088333333333332</v>
      </c>
      <c r="EU44" s="62">
        <f>'Raw Datas'!ES88</f>
        <v>0.72128333333333339</v>
      </c>
      <c r="EV44" s="62">
        <f>'Raw Datas'!ET88</f>
        <v>0.56723333333333337</v>
      </c>
      <c r="EW44" s="62">
        <f>'Raw Datas'!EU88</f>
        <v>1.0198166666666666</v>
      </c>
      <c r="EX44" s="62">
        <f>'Raw Datas'!EV88</f>
        <v>0.75296666666666678</v>
      </c>
      <c r="EY44" s="62">
        <f>'Raw Datas'!EW88</f>
        <v>0.75491666666666657</v>
      </c>
      <c r="EZ44" s="62">
        <f>'Raw Datas'!EX88</f>
        <v>1.0623666666666667</v>
      </c>
      <c r="FA44" s="62">
        <f>'Raw Datas'!EY88</f>
        <v>10.383916666666666</v>
      </c>
      <c r="FB44" s="62">
        <f>'Raw Datas'!EZ88</f>
        <v>1.7655833333333333</v>
      </c>
      <c r="FC44" s="62">
        <f>'Raw Datas'!FA88</f>
        <v>0.81225000000000003</v>
      </c>
      <c r="FD44" s="62">
        <f>'Raw Datas'!FB88</f>
        <v>0.50591666666666657</v>
      </c>
      <c r="FE44" s="62">
        <f>'Raw Datas'!FC88</f>
        <v>0.7920166666666667</v>
      </c>
      <c r="FF44" s="62">
        <f>'Raw Datas'!FD88</f>
        <v>0.63034999999999997</v>
      </c>
      <c r="FG44" s="62">
        <f>'Raw Datas'!FE88</f>
        <v>0.98933333333333329</v>
      </c>
      <c r="FH44" s="62">
        <f>'Raw Datas'!FF88</f>
        <v>0.72750000000000015</v>
      </c>
      <c r="FI44" s="62">
        <f>'Raw Datas'!FG88</f>
        <v>0.75321666666666676</v>
      </c>
      <c r="FJ44" s="62">
        <f>'Raw Datas'!FH88</f>
        <v>1.7600666666666667</v>
      </c>
      <c r="FK44" s="62">
        <f>'Raw Datas'!FI88</f>
        <v>0.90793333333333348</v>
      </c>
      <c r="FL44" s="62">
        <f>'Raw Datas'!FJ88</f>
        <v>1.1645833333333333</v>
      </c>
      <c r="FM44" s="62">
        <f>'Raw Datas'!FK88</f>
        <v>0.62070000000000003</v>
      </c>
      <c r="FN44" s="62">
        <f>'Raw Datas'!FL88</f>
        <v>2.7563666666666666</v>
      </c>
      <c r="FO44" s="62">
        <f>'Raw Datas'!FM88</f>
        <v>4.9281333333333333</v>
      </c>
      <c r="FP44" s="62">
        <f>'Raw Datas'!FN88</f>
        <v>2.1416499999999998</v>
      </c>
      <c r="FQ44" s="62">
        <f>'Raw Datas'!FO88</f>
        <v>0.82583333333333331</v>
      </c>
    </row>
    <row r="45" spans="1:16092" ht="16" thickBot="1" x14ac:dyDescent="0.25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  <c r="QV45" s="13"/>
      <c r="QW45" s="13"/>
      <c r="QX45" s="13"/>
      <c r="QY45" s="13"/>
      <c r="QZ45" s="13"/>
      <c r="RA45" s="13"/>
      <c r="RB45" s="13"/>
      <c r="RC45" s="13"/>
      <c r="RD45" s="13"/>
      <c r="RE45" s="13"/>
      <c r="RF45" s="13"/>
      <c r="RG45" s="13"/>
      <c r="RH45" s="13"/>
      <c r="RI45" s="13"/>
      <c r="RJ45" s="13"/>
      <c r="RK45" s="13"/>
      <c r="RL45" s="13"/>
      <c r="RM45" s="13"/>
      <c r="RN45" s="13"/>
      <c r="RO45" s="13"/>
      <c r="RP45" s="13"/>
      <c r="RQ45" s="13"/>
      <c r="RR45" s="13"/>
      <c r="RS45" s="13"/>
      <c r="RT45" s="13"/>
      <c r="RU45" s="13"/>
      <c r="RV45" s="13"/>
      <c r="RW45" s="13"/>
      <c r="RX45" s="13"/>
      <c r="RY45" s="13"/>
      <c r="RZ45" s="13"/>
      <c r="SA45" s="13"/>
      <c r="SB45" s="13"/>
      <c r="SC45" s="13"/>
      <c r="SD45" s="13"/>
      <c r="SE45" s="13"/>
      <c r="SF45" s="13"/>
      <c r="SG45" s="13"/>
      <c r="SH45" s="13"/>
      <c r="SI45" s="13"/>
      <c r="SJ45" s="13"/>
      <c r="SK45" s="13"/>
      <c r="SL45" s="13"/>
      <c r="SM45" s="13"/>
      <c r="SN45" s="13"/>
      <c r="SO45" s="13"/>
      <c r="SP45" s="13"/>
      <c r="SQ45" s="13"/>
      <c r="SR45" s="13"/>
      <c r="SS45" s="13"/>
      <c r="ST45" s="13"/>
      <c r="SU45" s="13"/>
      <c r="SV45" s="13"/>
      <c r="SW45" s="13"/>
      <c r="SX45" s="13"/>
      <c r="SY45" s="13"/>
      <c r="SZ45" s="13"/>
      <c r="TA45" s="13"/>
      <c r="TB45" s="13"/>
      <c r="TC45" s="13"/>
      <c r="TD45" s="13"/>
      <c r="TE45" s="13"/>
      <c r="TF45" s="13"/>
      <c r="TG45" s="13"/>
      <c r="TH45" s="13"/>
      <c r="TI45" s="13"/>
      <c r="TJ45" s="13"/>
      <c r="TK45" s="13"/>
      <c r="TL45" s="13"/>
      <c r="TM45" s="13"/>
      <c r="TN45" s="13"/>
      <c r="TO45" s="13"/>
      <c r="TP45" s="13"/>
      <c r="TQ45" s="13"/>
      <c r="TR45" s="13"/>
      <c r="TS45" s="13"/>
      <c r="TT45" s="13"/>
      <c r="TU45" s="13"/>
      <c r="TV45" s="13"/>
      <c r="TW45" s="13"/>
      <c r="TX45" s="13"/>
      <c r="TY45" s="13"/>
      <c r="TZ45" s="13"/>
      <c r="UA45" s="13"/>
      <c r="UB45" s="13"/>
      <c r="UC45" s="13"/>
      <c r="UD45" s="13"/>
      <c r="UE45" s="13"/>
      <c r="UF45" s="13"/>
      <c r="UG45" s="13"/>
      <c r="UH45" s="13"/>
      <c r="UI45" s="13"/>
      <c r="UJ45" s="13"/>
      <c r="UK45" s="13"/>
      <c r="UL45" s="13"/>
      <c r="UM45" s="13"/>
      <c r="UN45" s="13"/>
      <c r="UO45" s="13"/>
      <c r="UP45" s="13"/>
      <c r="UQ45" s="13"/>
      <c r="UR45" s="13"/>
      <c r="US45" s="13"/>
      <c r="UT45" s="13"/>
      <c r="UU45" s="13"/>
      <c r="UV45" s="13"/>
      <c r="UW45" s="13"/>
      <c r="UX45" s="13"/>
      <c r="UY45" s="13"/>
      <c r="UZ45" s="13"/>
      <c r="VA45" s="13"/>
      <c r="VB45" s="13"/>
      <c r="VC45" s="13"/>
      <c r="VD45" s="13"/>
      <c r="VE45" s="13"/>
      <c r="VF45" s="13"/>
      <c r="VG45" s="13"/>
      <c r="VH45" s="13"/>
      <c r="VI45" s="13"/>
      <c r="VJ45" s="13"/>
      <c r="VK45" s="13"/>
      <c r="VL45" s="13"/>
      <c r="VM45" s="13"/>
      <c r="VN45" s="13"/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  <c r="AAM45" s="13"/>
      <c r="AAN45" s="13"/>
      <c r="AAO45" s="13"/>
      <c r="AAP45" s="13"/>
      <c r="AAQ45" s="13"/>
      <c r="AAR45" s="13"/>
      <c r="AAS45" s="13"/>
      <c r="AAT45" s="13"/>
      <c r="AAU45" s="13"/>
      <c r="AAV45" s="13"/>
      <c r="AAW45" s="13"/>
      <c r="AAX45" s="13"/>
      <c r="AAY45" s="13"/>
      <c r="AAZ45" s="13"/>
      <c r="ABA45" s="13"/>
      <c r="ABB45" s="13"/>
      <c r="ABC45" s="13"/>
      <c r="ABD45" s="13"/>
      <c r="ABE45" s="13"/>
      <c r="ABF45" s="13"/>
      <c r="ABG45" s="13"/>
      <c r="ABH45" s="13"/>
      <c r="ABI45" s="13"/>
      <c r="ABJ45" s="13"/>
      <c r="ABK45" s="13"/>
      <c r="ABL45" s="13"/>
      <c r="ABM45" s="13"/>
      <c r="ABN45" s="13"/>
      <c r="ABO45" s="13"/>
      <c r="ABP45" s="13"/>
      <c r="ABQ45" s="13"/>
      <c r="ABR45" s="13"/>
      <c r="ABS45" s="13"/>
      <c r="ABT45" s="13"/>
      <c r="ABU45" s="13"/>
      <c r="ABV45" s="13"/>
      <c r="ABW45" s="13"/>
      <c r="ABX45" s="13"/>
      <c r="ABY45" s="13"/>
      <c r="ABZ45" s="13"/>
      <c r="ACA45" s="13"/>
      <c r="ACB45" s="13"/>
      <c r="ACC45" s="13"/>
      <c r="ACD45" s="13"/>
      <c r="ACE45" s="13"/>
      <c r="ACF45" s="13"/>
      <c r="ACG45" s="13"/>
      <c r="ACH45" s="13"/>
      <c r="ACI45" s="13"/>
      <c r="ACJ45" s="13"/>
      <c r="ACK45" s="13"/>
      <c r="ACL45" s="13"/>
      <c r="ACM45" s="13"/>
      <c r="ACN45" s="13"/>
      <c r="ACO45" s="13"/>
      <c r="ACP45" s="13"/>
      <c r="ACQ45" s="13"/>
      <c r="ACR45" s="13"/>
      <c r="ACS45" s="13"/>
      <c r="ACT45" s="13"/>
      <c r="ACU45" s="13"/>
      <c r="ACV45" s="13"/>
      <c r="ACW45" s="13"/>
      <c r="ACX45" s="13"/>
      <c r="ACY45" s="13"/>
      <c r="ACZ45" s="13"/>
      <c r="ADA45" s="13"/>
      <c r="ADB45" s="13"/>
      <c r="ADC45" s="13"/>
      <c r="ADD45" s="13"/>
      <c r="ADE45" s="13"/>
      <c r="ADF45" s="13"/>
      <c r="ADG45" s="13"/>
      <c r="ADH45" s="13"/>
      <c r="ADI45" s="13"/>
      <c r="ADJ45" s="13"/>
      <c r="ADK45" s="13"/>
      <c r="ADL45" s="13"/>
      <c r="ADM45" s="13"/>
      <c r="ADN45" s="13"/>
      <c r="ADO45" s="13"/>
      <c r="ADP45" s="13"/>
      <c r="ADQ45" s="13"/>
      <c r="ADR45" s="13"/>
      <c r="ADS45" s="13"/>
      <c r="ADT45" s="13"/>
      <c r="ADU45" s="13"/>
      <c r="ADV45" s="13"/>
      <c r="ADW45" s="13"/>
      <c r="ADX45" s="13"/>
      <c r="ADY45" s="13"/>
      <c r="ADZ45" s="13"/>
      <c r="AEA45" s="13"/>
      <c r="AEB45" s="13"/>
      <c r="AEC45" s="13"/>
      <c r="AED45" s="13"/>
      <c r="AEE45" s="13"/>
      <c r="AEF45" s="13"/>
      <c r="AEG45" s="13"/>
      <c r="AEH45" s="13"/>
      <c r="AEI45" s="13"/>
      <c r="AEJ45" s="13"/>
      <c r="AEK45" s="13"/>
      <c r="AEL45" s="13"/>
      <c r="AEM45" s="13"/>
      <c r="AEN45" s="13"/>
      <c r="AEO45" s="13"/>
      <c r="AEP45" s="13"/>
      <c r="AEQ45" s="13"/>
      <c r="AER45" s="13"/>
      <c r="AES45" s="13"/>
      <c r="AET45" s="13"/>
      <c r="AEU45" s="13"/>
      <c r="AEV45" s="13"/>
      <c r="AEW45" s="13"/>
      <c r="AEX45" s="13"/>
      <c r="AEY45" s="13"/>
      <c r="AEZ45" s="13"/>
      <c r="AFA45" s="13"/>
      <c r="AFB45" s="13"/>
      <c r="AFC45" s="13"/>
      <c r="AFD45" s="13"/>
      <c r="AFE45" s="13"/>
      <c r="AFF45" s="13"/>
      <c r="AFG45" s="13"/>
      <c r="AFH45" s="13"/>
      <c r="AFI45" s="13"/>
      <c r="AFJ45" s="13"/>
      <c r="AFK45" s="13"/>
      <c r="AFL45" s="13"/>
      <c r="AFM45" s="13"/>
      <c r="AFN45" s="13"/>
      <c r="AFO45" s="13"/>
      <c r="AFP45" s="13"/>
      <c r="AFQ45" s="13"/>
      <c r="AFR45" s="13"/>
      <c r="AFS45" s="13"/>
      <c r="AFT45" s="13"/>
      <c r="AFU45" s="13"/>
      <c r="AFV45" s="13"/>
      <c r="AFW45" s="13"/>
      <c r="AFX45" s="13"/>
      <c r="AFY45" s="13"/>
      <c r="AFZ45" s="13"/>
      <c r="AGA45" s="13"/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  <c r="AKZ45" s="13"/>
      <c r="ALA45" s="13"/>
      <c r="ALB45" s="13"/>
      <c r="ALC45" s="13"/>
      <c r="ALD45" s="13"/>
      <c r="ALE45" s="13"/>
      <c r="ALF45" s="13"/>
      <c r="ALG45" s="13"/>
      <c r="ALH45" s="13"/>
      <c r="ALI45" s="13"/>
      <c r="ALJ45" s="13"/>
      <c r="ALK45" s="13"/>
      <c r="ALL45" s="13"/>
      <c r="ALM45" s="13"/>
      <c r="ALN45" s="13"/>
      <c r="ALO45" s="13"/>
      <c r="ALP45" s="13"/>
      <c r="ALQ45" s="13"/>
      <c r="ALR45" s="13"/>
      <c r="ALS45" s="13"/>
      <c r="ALT45" s="13"/>
      <c r="ALU45" s="13"/>
      <c r="ALV45" s="13"/>
      <c r="ALW45" s="13"/>
      <c r="ALX45" s="13"/>
      <c r="ALY45" s="13"/>
      <c r="ALZ45" s="13"/>
      <c r="AMA45" s="13"/>
      <c r="AMB45" s="13"/>
      <c r="AMC45" s="13"/>
      <c r="AMD45" s="13"/>
      <c r="AME45" s="13"/>
      <c r="AMF45" s="13"/>
      <c r="AMG45" s="13"/>
      <c r="AMH45" s="13"/>
      <c r="AMI45" s="13"/>
      <c r="AMJ45" s="13"/>
      <c r="AMK45" s="13"/>
      <c r="AML45" s="13"/>
      <c r="AMM45" s="13"/>
      <c r="AMN45" s="13"/>
      <c r="AMO45" s="13"/>
      <c r="AMP45" s="13"/>
      <c r="AMQ45" s="13"/>
      <c r="AMR45" s="13"/>
      <c r="AMS45" s="13"/>
      <c r="AMT45" s="13"/>
      <c r="AMU45" s="13"/>
      <c r="AMV45" s="13"/>
      <c r="AMW45" s="13"/>
      <c r="AMX45" s="13"/>
      <c r="AMY45" s="13"/>
      <c r="AMZ45" s="13"/>
      <c r="ANA45" s="13"/>
      <c r="ANB45" s="13"/>
      <c r="ANC45" s="13"/>
      <c r="AND45" s="13"/>
      <c r="ANE45" s="13"/>
      <c r="ANF45" s="13"/>
      <c r="ANG45" s="13"/>
      <c r="ANH45" s="13"/>
      <c r="ANI45" s="13"/>
      <c r="ANJ45" s="13"/>
      <c r="ANK45" s="13"/>
      <c r="ANL45" s="13"/>
      <c r="ANM45" s="13"/>
      <c r="ANN45" s="13"/>
      <c r="ANO45" s="13"/>
      <c r="ANP45" s="13"/>
      <c r="ANQ45" s="13"/>
      <c r="ANR45" s="13"/>
      <c r="ANS45" s="13"/>
      <c r="ANT45" s="13"/>
      <c r="ANU45" s="13"/>
      <c r="ANV45" s="13"/>
      <c r="ANW45" s="13"/>
      <c r="ANX45" s="13"/>
      <c r="ANY45" s="13"/>
      <c r="ANZ45" s="13"/>
      <c r="AOA45" s="13"/>
      <c r="AOB45" s="13"/>
      <c r="AOC45" s="13"/>
      <c r="AOD45" s="13"/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  <c r="ATF45" s="13"/>
      <c r="ATG45" s="13"/>
      <c r="ATH45" s="13"/>
      <c r="ATI45" s="13"/>
      <c r="ATJ45" s="13"/>
      <c r="ATK45" s="13"/>
      <c r="ATL45" s="13"/>
      <c r="ATM45" s="13"/>
      <c r="ATN45" s="13"/>
      <c r="ATO45" s="13"/>
      <c r="ATP45" s="13"/>
      <c r="ATQ45" s="13"/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  <c r="BBE45" s="13"/>
      <c r="BBF45" s="13"/>
      <c r="BBG45" s="13"/>
      <c r="BBH45" s="13"/>
      <c r="BBI45" s="13"/>
      <c r="BBJ45" s="13"/>
      <c r="BBK45" s="13"/>
      <c r="BBL45" s="13"/>
      <c r="BBM45" s="13"/>
      <c r="BBN45" s="13"/>
      <c r="BBO45" s="13"/>
      <c r="BBP45" s="13"/>
      <c r="BBQ45" s="13"/>
      <c r="BBR45" s="13"/>
      <c r="BBS45" s="13"/>
      <c r="BBT45" s="13"/>
      <c r="BBU45" s="13"/>
      <c r="BBV45" s="13"/>
      <c r="BBW45" s="13"/>
      <c r="BBX45" s="13"/>
      <c r="BBY45" s="13"/>
      <c r="BBZ45" s="13"/>
      <c r="BCA45" s="13"/>
      <c r="BCB45" s="13"/>
      <c r="BCC45" s="13"/>
      <c r="BCD45" s="13"/>
      <c r="BCE45" s="13"/>
      <c r="BCF45" s="13"/>
      <c r="BCG45" s="13"/>
      <c r="BCH45" s="13"/>
      <c r="BCI45" s="13"/>
      <c r="BCJ45" s="13"/>
      <c r="BCK45" s="13"/>
      <c r="BCL45" s="13"/>
      <c r="BCM45" s="13"/>
      <c r="BCN45" s="13"/>
      <c r="BCO45" s="13"/>
      <c r="BCP45" s="13"/>
      <c r="BCQ45" s="13"/>
      <c r="BCR45" s="13"/>
      <c r="BCS45" s="13"/>
      <c r="BCT45" s="13"/>
      <c r="BCU45" s="13"/>
      <c r="BCV45" s="13"/>
      <c r="BCW45" s="13"/>
      <c r="BCX45" s="13"/>
      <c r="BCY45" s="13"/>
      <c r="BCZ45" s="13"/>
      <c r="BDA45" s="13"/>
      <c r="BDB45" s="13"/>
      <c r="BDC45" s="13"/>
      <c r="BDD45" s="13"/>
      <c r="BDE45" s="13"/>
      <c r="BDF45" s="13"/>
      <c r="BDG45" s="13"/>
      <c r="BDH45" s="13"/>
      <c r="BDI45" s="13"/>
      <c r="BDJ45" s="13"/>
      <c r="BDK45" s="13"/>
      <c r="BDL45" s="13"/>
      <c r="BDM45" s="13"/>
      <c r="BDN45" s="13"/>
      <c r="BDO45" s="13"/>
      <c r="BDP45" s="13"/>
      <c r="BDQ45" s="13"/>
      <c r="BDR45" s="13"/>
      <c r="BDS45" s="13"/>
      <c r="BDT45" s="13"/>
      <c r="BDU45" s="13"/>
      <c r="BDV45" s="13"/>
      <c r="BDW45" s="13"/>
      <c r="BDX45" s="13"/>
      <c r="BDY45" s="13"/>
      <c r="BDZ45" s="13"/>
      <c r="BEA45" s="13"/>
      <c r="BEB45" s="13"/>
      <c r="BEC45" s="13"/>
      <c r="BED45" s="13"/>
      <c r="BEE45" s="13"/>
      <c r="BEF45" s="13"/>
      <c r="BEG45" s="13"/>
      <c r="BEH45" s="13"/>
      <c r="BEI45" s="13"/>
      <c r="BEJ45" s="13"/>
      <c r="BEK45" s="13"/>
      <c r="BEL45" s="13"/>
      <c r="BEM45" s="13"/>
      <c r="BEN45" s="13"/>
      <c r="BEO45" s="13"/>
      <c r="BEP45" s="13"/>
      <c r="BEQ45" s="13"/>
      <c r="BER45" s="13"/>
      <c r="BES45" s="13"/>
      <c r="BET45" s="13"/>
      <c r="BEU45" s="13"/>
      <c r="BEV45" s="13"/>
      <c r="BEW45" s="13"/>
      <c r="BEX45" s="13"/>
      <c r="BEY45" s="13"/>
      <c r="BEZ45" s="13"/>
      <c r="BFA45" s="13"/>
      <c r="BFB45" s="13"/>
      <c r="BFC45" s="13"/>
      <c r="BFD45" s="13"/>
      <c r="BFE45" s="13"/>
      <c r="BFF45" s="13"/>
      <c r="BFG45" s="13"/>
      <c r="BFH45" s="13"/>
      <c r="BFI45" s="13"/>
      <c r="BFJ45" s="13"/>
      <c r="BFK45" s="13"/>
      <c r="BFL45" s="13"/>
      <c r="BFM45" s="13"/>
      <c r="BFN45" s="13"/>
      <c r="BFO45" s="13"/>
      <c r="BFP45" s="13"/>
      <c r="BFQ45" s="13"/>
      <c r="BFR45" s="13"/>
      <c r="BFS45" s="13"/>
      <c r="BFT45" s="13"/>
      <c r="BFU45" s="13"/>
      <c r="BFV45" s="13"/>
      <c r="BFW45" s="13"/>
      <c r="BFX45" s="13"/>
      <c r="BFY45" s="13"/>
      <c r="BFZ45" s="13"/>
      <c r="BGA45" s="13"/>
      <c r="BGB45" s="13"/>
      <c r="BGC45" s="13"/>
      <c r="BGD45" s="13"/>
      <c r="BGE45" s="13"/>
      <c r="BGF45" s="13"/>
      <c r="BGG45" s="13"/>
      <c r="BGH45" s="13"/>
      <c r="BGI45" s="13"/>
      <c r="BGJ45" s="13"/>
      <c r="BGK45" s="13"/>
      <c r="BGL45" s="13"/>
      <c r="BGM45" s="13"/>
      <c r="BGN45" s="13"/>
      <c r="BGO45" s="13"/>
      <c r="BGP45" s="13"/>
      <c r="BGQ45" s="13"/>
      <c r="BGR45" s="13"/>
      <c r="BGS45" s="13"/>
      <c r="BGT45" s="13"/>
      <c r="BGU45" s="13"/>
      <c r="BGV45" s="13"/>
      <c r="BGW45" s="13"/>
      <c r="BGX45" s="13"/>
      <c r="BGY45" s="13"/>
      <c r="BGZ45" s="13"/>
      <c r="BHA45" s="13"/>
      <c r="BHB45" s="13"/>
      <c r="BHC45" s="13"/>
      <c r="BHD45" s="13"/>
      <c r="BHE45" s="13"/>
      <c r="BHF45" s="13"/>
      <c r="BHG45" s="13"/>
      <c r="BHH45" s="13"/>
      <c r="BHI45" s="13"/>
      <c r="BHJ45" s="13"/>
      <c r="BHK45" s="13"/>
      <c r="BHL45" s="13"/>
      <c r="BHM45" s="13"/>
      <c r="BHN45" s="13"/>
      <c r="BHO45" s="13"/>
      <c r="BHP45" s="13"/>
      <c r="BHQ45" s="13"/>
      <c r="BHR45" s="13"/>
      <c r="BHS45" s="13"/>
      <c r="BHT45" s="13"/>
      <c r="BHU45" s="13"/>
      <c r="BHV45" s="13"/>
      <c r="BHW45" s="13"/>
      <c r="BHX45" s="13"/>
      <c r="BHY45" s="13"/>
      <c r="BHZ45" s="13"/>
      <c r="BIA45" s="13"/>
      <c r="BIB45" s="13"/>
      <c r="BIC45" s="13"/>
      <c r="BID45" s="13"/>
      <c r="BIE45" s="13"/>
      <c r="BIF45" s="13"/>
      <c r="BIG45" s="13"/>
      <c r="BIH45" s="13"/>
      <c r="BII45" s="13"/>
      <c r="BIJ45" s="13"/>
      <c r="BIK45" s="13"/>
      <c r="BIL45" s="13"/>
      <c r="BIM45" s="13"/>
      <c r="BIN45" s="13"/>
      <c r="BIO45" s="13"/>
      <c r="BIP45" s="13"/>
      <c r="BIQ45" s="13"/>
      <c r="BIR45" s="13"/>
      <c r="BIS45" s="13"/>
      <c r="BIT45" s="13"/>
      <c r="BIU45" s="13"/>
      <c r="BIV45" s="13"/>
      <c r="BIW45" s="13"/>
      <c r="BIX45" s="13"/>
      <c r="BIY45" s="13"/>
      <c r="BIZ45" s="13"/>
      <c r="BJA45" s="13"/>
      <c r="BJB45" s="13"/>
      <c r="BJC45" s="13"/>
      <c r="BJD45" s="13"/>
      <c r="BJE45" s="13"/>
      <c r="BJF45" s="13"/>
      <c r="BJG45" s="13"/>
      <c r="BJH45" s="13"/>
      <c r="BJI45" s="13"/>
      <c r="BJJ45" s="13"/>
      <c r="BJK45" s="13"/>
      <c r="BJL45" s="13"/>
      <c r="BJM45" s="13"/>
      <c r="BJN45" s="13"/>
      <c r="BJO45" s="13"/>
      <c r="BJP45" s="13"/>
      <c r="BJQ45" s="13"/>
      <c r="BJR45" s="13"/>
      <c r="BJS45" s="13"/>
      <c r="BJT45" s="13"/>
      <c r="BJU45" s="13"/>
      <c r="BJV45" s="13"/>
      <c r="BJW45" s="13"/>
      <c r="BJX45" s="13"/>
      <c r="BJY45" s="13"/>
      <c r="BJZ45" s="13"/>
      <c r="BKA45" s="13"/>
      <c r="BKB45" s="13"/>
      <c r="BKC45" s="13"/>
      <c r="BKD45" s="13"/>
      <c r="BKE45" s="13"/>
      <c r="BKF45" s="13"/>
      <c r="BKG45" s="13"/>
      <c r="BKH45" s="13"/>
      <c r="BKI45" s="13"/>
      <c r="BKJ45" s="13"/>
      <c r="BKK45" s="13"/>
      <c r="BKL45" s="13"/>
      <c r="BKM45" s="13"/>
      <c r="BKN45" s="13"/>
      <c r="BKO45" s="13"/>
      <c r="BKP45" s="13"/>
      <c r="BKQ45" s="13"/>
      <c r="BKR45" s="13"/>
      <c r="BKS45" s="13"/>
      <c r="BKT45" s="13"/>
      <c r="BKU45" s="13"/>
      <c r="BKV45" s="13"/>
      <c r="BKW45" s="13"/>
      <c r="BKX45" s="13"/>
      <c r="BKY45" s="13"/>
      <c r="BKZ45" s="13"/>
      <c r="BLA45" s="13"/>
      <c r="BLB45" s="13"/>
      <c r="BLC45" s="13"/>
      <c r="BLD45" s="13"/>
      <c r="BLE45" s="13"/>
      <c r="BLF45" s="13"/>
      <c r="BLG45" s="13"/>
      <c r="BLH45" s="13"/>
      <c r="BLI45" s="13"/>
      <c r="BLJ45" s="13"/>
      <c r="BLK45" s="13"/>
      <c r="BLL45" s="13"/>
      <c r="BLM45" s="13"/>
      <c r="BLN45" s="13"/>
      <c r="BLO45" s="13"/>
      <c r="BLP45" s="13"/>
      <c r="BLQ45" s="13"/>
      <c r="BLR45" s="13"/>
      <c r="BLS45" s="13"/>
      <c r="BLT45" s="13"/>
      <c r="BLU45" s="13"/>
      <c r="BLV45" s="13"/>
      <c r="BLW45" s="13"/>
      <c r="BLX45" s="13"/>
      <c r="BLY45" s="13"/>
      <c r="BLZ45" s="13"/>
      <c r="BMA45" s="13"/>
      <c r="BMB45" s="13"/>
      <c r="BMC45" s="13"/>
      <c r="BMD45" s="13"/>
      <c r="BME45" s="13"/>
      <c r="BMF45" s="13"/>
      <c r="BMG45" s="13"/>
      <c r="BMH45" s="13"/>
      <c r="BMI45" s="13"/>
      <c r="BMJ45" s="13"/>
      <c r="BMK45" s="13"/>
      <c r="BML45" s="13"/>
      <c r="BMM45" s="13"/>
      <c r="BMN45" s="13"/>
      <c r="BMO45" s="13"/>
      <c r="BMP45" s="13"/>
      <c r="BMQ45" s="13"/>
      <c r="BMR45" s="13"/>
      <c r="BMS45" s="13"/>
      <c r="BMT45" s="13"/>
      <c r="BMU45" s="13"/>
      <c r="BMV45" s="13"/>
      <c r="BMW45" s="13"/>
      <c r="BMX45" s="13"/>
      <c r="BMY45" s="13"/>
      <c r="BMZ45" s="13"/>
      <c r="BNA45" s="13"/>
      <c r="BNB45" s="13"/>
      <c r="BNC45" s="13"/>
      <c r="BND45" s="13"/>
      <c r="BNE45" s="13"/>
      <c r="BNF45" s="13"/>
      <c r="BNG45" s="13"/>
      <c r="BNH45" s="13"/>
      <c r="BNI45" s="13"/>
      <c r="BNJ45" s="13"/>
      <c r="BNK45" s="13"/>
      <c r="BNL45" s="13"/>
      <c r="BNM45" s="13"/>
      <c r="BNN45" s="13"/>
      <c r="BNO45" s="13"/>
      <c r="BNP45" s="13"/>
      <c r="BNQ45" s="13"/>
      <c r="BNR45" s="13"/>
      <c r="BNS45" s="13"/>
      <c r="BNT45" s="13"/>
      <c r="BNU45" s="13"/>
      <c r="BNV45" s="13"/>
      <c r="BNW45" s="13"/>
      <c r="BNX45" s="13"/>
      <c r="BNY45" s="13"/>
      <c r="BNZ45" s="13"/>
      <c r="BOA45" s="13"/>
      <c r="BOB45" s="13"/>
      <c r="BOC45" s="13"/>
      <c r="BOD45" s="13"/>
      <c r="BOE45" s="13"/>
      <c r="BOF45" s="13"/>
      <c r="BOG45" s="13"/>
      <c r="BOH45" s="13"/>
      <c r="BOI45" s="13"/>
      <c r="BOJ45" s="13"/>
      <c r="BOK45" s="13"/>
      <c r="BOL45" s="13"/>
      <c r="BOM45" s="13"/>
      <c r="BON45" s="13"/>
      <c r="BOO45" s="13"/>
      <c r="BOP45" s="13"/>
      <c r="BOQ45" s="13"/>
      <c r="BOR45" s="13"/>
      <c r="BOS45" s="13"/>
      <c r="BOT45" s="13"/>
      <c r="BOU45" s="13"/>
      <c r="BOV45" s="13"/>
      <c r="BOW45" s="13"/>
      <c r="BOX45" s="13"/>
      <c r="BOY45" s="13"/>
      <c r="BOZ45" s="13"/>
      <c r="BPA45" s="13"/>
      <c r="BPB45" s="13"/>
      <c r="BPC45" s="13"/>
      <c r="BPD45" s="13"/>
      <c r="BPE45" s="13"/>
      <c r="BPF45" s="13"/>
      <c r="BPG45" s="13"/>
      <c r="BPH45" s="13"/>
      <c r="BPI45" s="13"/>
      <c r="BPJ45" s="13"/>
      <c r="BPK45" s="13"/>
      <c r="BPL45" s="13"/>
      <c r="BPM45" s="13"/>
      <c r="BPN45" s="13"/>
      <c r="BPO45" s="13"/>
      <c r="BPP45" s="13"/>
      <c r="BPQ45" s="13"/>
      <c r="BPR45" s="13"/>
      <c r="BPS45" s="13"/>
      <c r="BPT45" s="13"/>
      <c r="BPU45" s="13"/>
      <c r="BPV45" s="13"/>
      <c r="BPW45" s="13"/>
      <c r="BPX45" s="13"/>
      <c r="BPY45" s="13"/>
      <c r="BPZ45" s="13"/>
      <c r="BQA45" s="13"/>
      <c r="BQB45" s="13"/>
      <c r="BQC45" s="13"/>
      <c r="BQD45" s="13"/>
      <c r="BQE45" s="13"/>
      <c r="BQF45" s="13"/>
      <c r="BQG45" s="13"/>
      <c r="BQH45" s="13"/>
      <c r="BQI45" s="13"/>
      <c r="BQJ45" s="13"/>
      <c r="BQK45" s="13"/>
      <c r="BQL45" s="13"/>
      <c r="BQM45" s="13"/>
      <c r="BQN45" s="13"/>
      <c r="BQO45" s="13"/>
      <c r="BQP45" s="13"/>
      <c r="BQQ45" s="13"/>
      <c r="BQR45" s="13"/>
      <c r="BQS45" s="13"/>
      <c r="BQT45" s="13"/>
      <c r="BQU45" s="13"/>
      <c r="BQV45" s="13"/>
      <c r="BQW45" s="13"/>
      <c r="BQX45" s="13"/>
      <c r="BQY45" s="13"/>
      <c r="BQZ45" s="13"/>
      <c r="BRA45" s="13"/>
      <c r="BRB45" s="13"/>
      <c r="BRC45" s="13"/>
      <c r="BRD45" s="13"/>
      <c r="BRE45" s="13"/>
      <c r="BRF45" s="13"/>
      <c r="BRG45" s="13"/>
      <c r="BRH45" s="13"/>
      <c r="BRI45" s="13"/>
      <c r="BRJ45" s="13"/>
      <c r="BRK45" s="13"/>
      <c r="BRL45" s="13"/>
      <c r="BRM45" s="13"/>
      <c r="BRN45" s="13"/>
      <c r="BRO45" s="13"/>
      <c r="BRP45" s="13"/>
      <c r="BRQ45" s="13"/>
      <c r="BRR45" s="13"/>
      <c r="BRS45" s="13"/>
      <c r="BRT45" s="13"/>
      <c r="BRU45" s="13"/>
      <c r="BRV45" s="13"/>
      <c r="BRW45" s="13"/>
      <c r="BRX45" s="13"/>
      <c r="BRY45" s="13"/>
      <c r="BRZ45" s="13"/>
      <c r="BSA45" s="13"/>
      <c r="BSB45" s="13"/>
      <c r="BSC45" s="13"/>
      <c r="BSD45" s="13"/>
      <c r="BSE45" s="13"/>
      <c r="BSF45" s="13"/>
      <c r="BSG45" s="13"/>
      <c r="BSH45" s="13"/>
      <c r="BSI45" s="13"/>
      <c r="BSJ45" s="13"/>
      <c r="BSK45" s="13"/>
      <c r="BSL45" s="13"/>
      <c r="BSM45" s="13"/>
      <c r="BSN45" s="13"/>
      <c r="BSO45" s="13"/>
      <c r="BSP45" s="13"/>
      <c r="BSQ45" s="13"/>
      <c r="BSR45" s="13"/>
      <c r="BSS45" s="13"/>
      <c r="BST45" s="13"/>
      <c r="BSU45" s="13"/>
      <c r="BSV45" s="13"/>
      <c r="BSW45" s="13"/>
      <c r="BSX45" s="13"/>
      <c r="BSY45" s="13"/>
      <c r="BSZ45" s="13"/>
      <c r="BTA45" s="13"/>
      <c r="BTB45" s="13"/>
      <c r="BTC45" s="13"/>
      <c r="BTD45" s="13"/>
      <c r="BTE45" s="13"/>
      <c r="BTF45" s="13"/>
      <c r="BTG45" s="13"/>
      <c r="BTH45" s="13"/>
      <c r="BTI45" s="13"/>
      <c r="BTJ45" s="13"/>
      <c r="BTK45" s="13"/>
      <c r="BTL45" s="13"/>
      <c r="BTM45" s="13"/>
      <c r="BTN45" s="13"/>
      <c r="BTO45" s="13"/>
      <c r="BTP45" s="13"/>
      <c r="BTQ45" s="13"/>
      <c r="BTR45" s="13"/>
      <c r="BTS45" s="13"/>
      <c r="BTT45" s="13"/>
      <c r="BTU45" s="13"/>
      <c r="BTV45" s="13"/>
      <c r="BTW45" s="13"/>
      <c r="BTX45" s="13"/>
      <c r="BTY45" s="13"/>
      <c r="BTZ45" s="13"/>
      <c r="BUA45" s="13"/>
      <c r="BUB45" s="13"/>
      <c r="BUC45" s="13"/>
      <c r="BUD45" s="13"/>
      <c r="BUE45" s="13"/>
      <c r="BUF45" s="13"/>
      <c r="BUG45" s="13"/>
      <c r="BUH45" s="13"/>
      <c r="BUI45" s="13"/>
      <c r="BUJ45" s="13"/>
      <c r="BUK45" s="13"/>
      <c r="BUL45" s="13"/>
      <c r="BUM45" s="13"/>
      <c r="BUN45" s="13"/>
      <c r="BUO45" s="13"/>
      <c r="BUP45" s="13"/>
      <c r="BUQ45" s="13"/>
      <c r="BUR45" s="13"/>
      <c r="BUS45" s="13"/>
      <c r="BUT45" s="13"/>
      <c r="BUU45" s="13"/>
      <c r="BUV45" s="13"/>
      <c r="BUW45" s="13"/>
      <c r="BUX45" s="13"/>
      <c r="BUY45" s="13"/>
      <c r="BUZ45" s="13"/>
      <c r="BVA45" s="13"/>
      <c r="BVB45" s="13"/>
      <c r="BVC45" s="13"/>
      <c r="BVD45" s="13"/>
      <c r="BVE45" s="13"/>
      <c r="BVF45" s="13"/>
      <c r="BVG45" s="13"/>
      <c r="BVH45" s="13"/>
      <c r="BVI45" s="13"/>
      <c r="BVJ45" s="13"/>
      <c r="BVK45" s="13"/>
      <c r="BVL45" s="13"/>
      <c r="BVM45" s="13"/>
      <c r="BVN45" s="13"/>
      <c r="BVO45" s="13"/>
      <c r="BVP45" s="13"/>
      <c r="BVQ45" s="13"/>
      <c r="BVR45" s="13"/>
      <c r="BVS45" s="13"/>
      <c r="BVT45" s="13"/>
      <c r="BVU45" s="13"/>
      <c r="BVV45" s="13"/>
      <c r="BVW45" s="13"/>
      <c r="BVX45" s="13"/>
      <c r="BVY45" s="13"/>
      <c r="BVZ45" s="13"/>
      <c r="BWA45" s="13"/>
      <c r="BWB45" s="13"/>
      <c r="BWC45" s="13"/>
      <c r="BWD45" s="13"/>
      <c r="BWE45" s="13"/>
      <c r="BWF45" s="13"/>
      <c r="BWG45" s="13"/>
      <c r="BWH45" s="13"/>
      <c r="BWI45" s="13"/>
      <c r="BWJ45" s="13"/>
      <c r="BWK45" s="13"/>
      <c r="BWL45" s="13"/>
      <c r="BWM45" s="13"/>
      <c r="BWN45" s="13"/>
      <c r="BWO45" s="13"/>
      <c r="BWP45" s="13"/>
      <c r="BWQ45" s="13"/>
      <c r="BWR45" s="13"/>
      <c r="BWS45" s="13"/>
      <c r="BWT45" s="13"/>
      <c r="BWU45" s="13"/>
      <c r="BWV45" s="13"/>
      <c r="BWW45" s="13"/>
      <c r="BWX45" s="13"/>
      <c r="BWY45" s="13"/>
      <c r="BWZ45" s="13"/>
      <c r="BXA45" s="13"/>
      <c r="BXB45" s="13"/>
      <c r="BXC45" s="13"/>
      <c r="BXD45" s="13"/>
      <c r="BXE45" s="13"/>
      <c r="BXF45" s="13"/>
      <c r="BXG45" s="13"/>
      <c r="BXH45" s="13"/>
      <c r="BXI45" s="13"/>
      <c r="BXJ45" s="13"/>
      <c r="BXK45" s="13"/>
      <c r="BXL45" s="13"/>
      <c r="BXM45" s="13"/>
      <c r="BXN45" s="13"/>
      <c r="BXO45" s="13"/>
      <c r="BXP45" s="13"/>
      <c r="BXQ45" s="13"/>
      <c r="BXR45" s="13"/>
      <c r="BXS45" s="13"/>
      <c r="BXT45" s="13"/>
      <c r="BXU45" s="13"/>
      <c r="BXV45" s="13"/>
      <c r="BXW45" s="13"/>
      <c r="BXX45" s="13"/>
      <c r="BXY45" s="13"/>
      <c r="BXZ45" s="13"/>
      <c r="BYA45" s="13"/>
      <c r="BYB45" s="13"/>
      <c r="BYC45" s="13"/>
      <c r="BYD45" s="13"/>
      <c r="BYE45" s="13"/>
      <c r="BYF45" s="13"/>
      <c r="BYG45" s="13"/>
      <c r="BYH45" s="13"/>
      <c r="BYI45" s="13"/>
      <c r="BYJ45" s="13"/>
      <c r="BYK45" s="13"/>
      <c r="BYL45" s="13"/>
      <c r="BYM45" s="13"/>
      <c r="BYN45" s="13"/>
      <c r="BYO45" s="13"/>
      <c r="BYP45" s="13"/>
      <c r="BYQ45" s="13"/>
      <c r="BYR45" s="13"/>
      <c r="BYS45" s="13"/>
      <c r="BYT45" s="13"/>
      <c r="BYU45" s="13"/>
      <c r="BYV45" s="13"/>
      <c r="BYW45" s="13"/>
      <c r="BYX45" s="13"/>
      <c r="BYY45" s="13"/>
      <c r="BYZ45" s="13"/>
      <c r="BZA45" s="13"/>
      <c r="BZB45" s="13"/>
      <c r="BZC45" s="13"/>
      <c r="BZD45" s="13"/>
      <c r="BZE45" s="13"/>
      <c r="BZF45" s="13"/>
      <c r="BZG45" s="13"/>
      <c r="BZH45" s="13"/>
      <c r="BZI45" s="13"/>
      <c r="BZJ45" s="13"/>
      <c r="BZK45" s="13"/>
      <c r="BZL45" s="13"/>
      <c r="BZM45" s="13"/>
      <c r="BZN45" s="13"/>
      <c r="BZO45" s="13"/>
      <c r="BZP45" s="13"/>
      <c r="BZQ45" s="13"/>
      <c r="BZR45" s="13"/>
      <c r="BZS45" s="13"/>
      <c r="BZT45" s="13"/>
      <c r="BZU45" s="13"/>
      <c r="BZV45" s="13"/>
      <c r="BZW45" s="13"/>
      <c r="BZX45" s="13"/>
      <c r="BZY45" s="13"/>
      <c r="BZZ45" s="13"/>
      <c r="CAA45" s="13"/>
      <c r="CAB45" s="13"/>
      <c r="CAC45" s="13"/>
      <c r="CAD45" s="13"/>
      <c r="CAE45" s="13"/>
      <c r="CAF45" s="13"/>
      <c r="CAG45" s="13"/>
      <c r="CAH45" s="13"/>
      <c r="CAI45" s="13"/>
      <c r="CAJ45" s="13"/>
      <c r="CAK45" s="13"/>
      <c r="CAL45" s="13"/>
      <c r="CAM45" s="13"/>
      <c r="CAN45" s="13"/>
      <c r="CAO45" s="13"/>
      <c r="CAP45" s="13"/>
      <c r="CAQ45" s="13"/>
      <c r="CAR45" s="13"/>
      <c r="CAS45" s="13"/>
      <c r="CAT45" s="13"/>
      <c r="CAU45" s="13"/>
      <c r="CAV45" s="13"/>
      <c r="CAW45" s="13"/>
      <c r="CAX45" s="13"/>
      <c r="CAY45" s="13"/>
      <c r="CAZ45" s="13"/>
      <c r="CBA45" s="13"/>
      <c r="CBB45" s="13"/>
      <c r="CBC45" s="13"/>
      <c r="CBD45" s="13"/>
      <c r="CBE45" s="13"/>
      <c r="CBF45" s="13"/>
      <c r="CBG45" s="13"/>
      <c r="CBH45" s="13"/>
      <c r="CBI45" s="13"/>
      <c r="CBJ45" s="13"/>
      <c r="CBK45" s="13"/>
      <c r="CBL45" s="13"/>
      <c r="CBM45" s="13"/>
      <c r="CBN45" s="13"/>
      <c r="CBO45" s="13"/>
      <c r="CBP45" s="13"/>
      <c r="CBQ45" s="13"/>
      <c r="CBR45" s="13"/>
      <c r="CBS45" s="13"/>
      <c r="CBT45" s="13"/>
      <c r="CBU45" s="13"/>
      <c r="CBV45" s="13"/>
      <c r="CBW45" s="13"/>
      <c r="CBX45" s="13"/>
      <c r="CBY45" s="13"/>
      <c r="CBZ45" s="13"/>
      <c r="CCA45" s="13"/>
      <c r="CCB45" s="13"/>
      <c r="CCC45" s="13"/>
      <c r="CCD45" s="13"/>
      <c r="CCE45" s="13"/>
      <c r="CCF45" s="13"/>
      <c r="CCG45" s="13"/>
      <c r="CCH45" s="13"/>
      <c r="CCI45" s="13"/>
      <c r="CCJ45" s="13"/>
      <c r="CCK45" s="13"/>
      <c r="CCL45" s="13"/>
      <c r="CCM45" s="13"/>
      <c r="CCN45" s="13"/>
      <c r="CCO45" s="13"/>
      <c r="CCP45" s="13"/>
      <c r="CCQ45" s="13"/>
      <c r="CCR45" s="13"/>
      <c r="CCS45" s="13"/>
      <c r="CCT45" s="13"/>
      <c r="CCU45" s="13"/>
      <c r="CCV45" s="13"/>
      <c r="CCW45" s="13"/>
      <c r="CCX45" s="13"/>
      <c r="CCY45" s="13"/>
      <c r="CCZ45" s="13"/>
      <c r="CDA45" s="13"/>
      <c r="CDB45" s="13"/>
      <c r="CDC45" s="13"/>
      <c r="CDD45" s="13"/>
      <c r="CDE45" s="13"/>
      <c r="CDF45" s="13"/>
      <c r="CDG45" s="13"/>
      <c r="CDH45" s="13"/>
      <c r="CDI45" s="13"/>
      <c r="CDJ45" s="13"/>
      <c r="CDK45" s="13"/>
      <c r="CDL45" s="13"/>
      <c r="CDM45" s="13"/>
      <c r="CDN45" s="13"/>
      <c r="CDO45" s="13"/>
      <c r="CDP45" s="13"/>
      <c r="CDQ45" s="13"/>
      <c r="CDR45" s="13"/>
      <c r="CDS45" s="13"/>
      <c r="CDT45" s="13"/>
      <c r="CDU45" s="13"/>
      <c r="CDV45" s="13"/>
      <c r="CDW45" s="13"/>
      <c r="CDX45" s="13"/>
      <c r="CDY45" s="13"/>
      <c r="CDZ45" s="13"/>
      <c r="CEA45" s="13"/>
      <c r="CEB45" s="13"/>
      <c r="CEC45" s="13"/>
      <c r="CED45" s="13"/>
      <c r="CEE45" s="13"/>
      <c r="CEF45" s="13"/>
      <c r="CEG45" s="13"/>
      <c r="CEH45" s="13"/>
      <c r="CEI45" s="13"/>
      <c r="CEJ45" s="13"/>
      <c r="CEK45" s="13"/>
      <c r="CEL45" s="13"/>
      <c r="CEM45" s="13"/>
      <c r="CEN45" s="13"/>
      <c r="CEO45" s="13"/>
      <c r="CEP45" s="13"/>
      <c r="CEQ45" s="13"/>
      <c r="CER45" s="13"/>
      <c r="CES45" s="13"/>
      <c r="CET45" s="13"/>
      <c r="CEU45" s="13"/>
      <c r="CEV45" s="13"/>
      <c r="CEW45" s="13"/>
      <c r="CEX45" s="13"/>
      <c r="CEY45" s="13"/>
      <c r="CEZ45" s="13"/>
      <c r="CFA45" s="13"/>
      <c r="CFB45" s="13"/>
      <c r="CFC45" s="13"/>
      <c r="CFD45" s="13"/>
      <c r="CFE45" s="13"/>
      <c r="CFF45" s="13"/>
      <c r="CFG45" s="13"/>
      <c r="CFH45" s="13"/>
      <c r="CFI45" s="13"/>
      <c r="CFJ45" s="13"/>
      <c r="CFK45" s="13"/>
      <c r="CFL45" s="13"/>
      <c r="CFM45" s="13"/>
      <c r="CFN45" s="13"/>
      <c r="CFO45" s="13"/>
      <c r="CFP45" s="13"/>
      <c r="CFQ45" s="13"/>
      <c r="CFR45" s="13"/>
      <c r="CFS45" s="13"/>
      <c r="CFT45" s="13"/>
      <c r="CFU45" s="13"/>
      <c r="CFV45" s="13"/>
      <c r="CFW45" s="13"/>
      <c r="CFX45" s="13"/>
      <c r="CFY45" s="13"/>
      <c r="CFZ45" s="13"/>
      <c r="CGA45" s="13"/>
      <c r="CGB45" s="13"/>
      <c r="CGC45" s="13"/>
      <c r="CGD45" s="13"/>
      <c r="CGE45" s="13"/>
      <c r="CGF45" s="13"/>
      <c r="CGG45" s="13"/>
      <c r="CGH45" s="13"/>
      <c r="CGI45" s="13"/>
      <c r="CGJ45" s="13"/>
      <c r="CGK45" s="13"/>
      <c r="CGL45" s="13"/>
      <c r="CGM45" s="13"/>
      <c r="CGN45" s="13"/>
      <c r="CGO45" s="13"/>
      <c r="CGP45" s="13"/>
      <c r="CGQ45" s="13"/>
      <c r="CGR45" s="13"/>
      <c r="CGS45" s="13"/>
      <c r="CGT45" s="13"/>
      <c r="CGU45" s="13"/>
      <c r="CGV45" s="13"/>
      <c r="CGW45" s="13"/>
      <c r="CGX45" s="13"/>
      <c r="CGY45" s="13"/>
      <c r="CGZ45" s="13"/>
      <c r="CHA45" s="13"/>
      <c r="CHB45" s="13"/>
      <c r="CHC45" s="13"/>
      <c r="CHD45" s="13"/>
      <c r="CHE45" s="13"/>
      <c r="CHF45" s="13"/>
      <c r="CHG45" s="13"/>
      <c r="CHH45" s="13"/>
      <c r="CHI45" s="13"/>
      <c r="CHJ45" s="13"/>
      <c r="CHK45" s="13"/>
      <c r="CHL45" s="13"/>
      <c r="CHM45" s="13"/>
      <c r="CHN45" s="13"/>
      <c r="CHO45" s="13"/>
      <c r="CHP45" s="13"/>
      <c r="CHQ45" s="13"/>
      <c r="CHR45" s="13"/>
      <c r="CHS45" s="13"/>
      <c r="CHT45" s="13"/>
      <c r="CHU45" s="13"/>
      <c r="CHV45" s="13"/>
      <c r="CHW45" s="13"/>
      <c r="CHX45" s="13"/>
      <c r="CHY45" s="13"/>
      <c r="CHZ45" s="13"/>
      <c r="CIA45" s="13"/>
      <c r="CIB45" s="13"/>
      <c r="CIC45" s="13"/>
      <c r="CID45" s="13"/>
      <c r="CIE45" s="13"/>
      <c r="CIF45" s="13"/>
      <c r="CIG45" s="13"/>
      <c r="CIH45" s="13"/>
      <c r="CII45" s="13"/>
      <c r="CIJ45" s="13"/>
      <c r="CIK45" s="13"/>
      <c r="CIL45" s="13"/>
      <c r="CIM45" s="13"/>
      <c r="CIN45" s="13"/>
      <c r="CIO45" s="13"/>
      <c r="CIP45" s="13"/>
      <c r="CIQ45" s="13"/>
      <c r="CIR45" s="13"/>
      <c r="CIS45" s="13"/>
      <c r="CIT45" s="13"/>
      <c r="CIU45" s="13"/>
      <c r="CIV45" s="13"/>
      <c r="CIW45" s="13"/>
      <c r="CIX45" s="13"/>
      <c r="CIY45" s="13"/>
      <c r="CIZ45" s="13"/>
      <c r="CJA45" s="13"/>
      <c r="CJB45" s="13"/>
      <c r="CJC45" s="13"/>
      <c r="CJD45" s="13"/>
      <c r="CJE45" s="13"/>
      <c r="CJF45" s="13"/>
      <c r="CJG45" s="13"/>
      <c r="CJH45" s="13"/>
      <c r="CJI45" s="13"/>
      <c r="CJJ45" s="13"/>
      <c r="CJK45" s="13"/>
      <c r="CJL45" s="13"/>
      <c r="CJM45" s="13"/>
      <c r="CJN45" s="13"/>
      <c r="CJO45" s="13"/>
      <c r="CJP45" s="13"/>
      <c r="CJQ45" s="13"/>
      <c r="CJR45" s="13"/>
      <c r="CJS45" s="13"/>
      <c r="CJT45" s="13"/>
      <c r="CJU45" s="13"/>
      <c r="CJV45" s="13"/>
      <c r="CJW45" s="13"/>
      <c r="CJX45" s="13"/>
      <c r="CJY45" s="13"/>
      <c r="CJZ45" s="13"/>
      <c r="CKA45" s="13"/>
      <c r="CKB45" s="13"/>
      <c r="CKC45" s="13"/>
      <c r="CKD45" s="13"/>
      <c r="CKE45" s="13"/>
      <c r="CKF45" s="13"/>
      <c r="CKG45" s="13"/>
      <c r="CKH45" s="13"/>
      <c r="CKI45" s="13"/>
      <c r="CKJ45" s="13"/>
      <c r="CKK45" s="13"/>
      <c r="CKL45" s="13"/>
      <c r="CKM45" s="13"/>
      <c r="CKN45" s="13"/>
      <c r="CKO45" s="13"/>
      <c r="CKP45" s="13"/>
      <c r="CKQ45" s="13"/>
      <c r="CKR45" s="13"/>
      <c r="CKS45" s="13"/>
      <c r="CKT45" s="13"/>
      <c r="CKU45" s="13"/>
      <c r="CKV45" s="13"/>
      <c r="CKW45" s="13"/>
      <c r="CKX45" s="13"/>
      <c r="CKY45" s="13"/>
      <c r="CKZ45" s="13"/>
      <c r="CLA45" s="13"/>
      <c r="CLB45" s="13"/>
      <c r="CLC45" s="13"/>
      <c r="CLD45" s="13"/>
      <c r="CLE45" s="13"/>
      <c r="CLF45" s="13"/>
      <c r="CLG45" s="13"/>
      <c r="CLH45" s="13"/>
      <c r="CLI45" s="13"/>
      <c r="CLJ45" s="13"/>
      <c r="CLK45" s="13"/>
      <c r="CLL45" s="13"/>
      <c r="CLM45" s="13"/>
      <c r="CLN45" s="13"/>
      <c r="CLO45" s="13"/>
      <c r="CLP45" s="13"/>
      <c r="CLQ45" s="13"/>
      <c r="CLR45" s="13"/>
      <c r="CLS45" s="13"/>
      <c r="CLT45" s="13"/>
      <c r="CLU45" s="13"/>
      <c r="CLV45" s="13"/>
      <c r="CLW45" s="13"/>
      <c r="CLX45" s="13"/>
      <c r="CLY45" s="13"/>
      <c r="CLZ45" s="13"/>
      <c r="CMA45" s="13"/>
      <c r="CMB45" s="13"/>
      <c r="CMC45" s="13"/>
      <c r="CMD45" s="13"/>
      <c r="CME45" s="13"/>
      <c r="CMF45" s="13"/>
      <c r="CMG45" s="13"/>
      <c r="CMH45" s="13"/>
      <c r="CMI45" s="13"/>
      <c r="CMJ45" s="13"/>
      <c r="CMK45" s="13"/>
      <c r="CML45" s="13"/>
      <c r="CMM45" s="13"/>
      <c r="CMN45" s="13"/>
      <c r="CMO45" s="13"/>
      <c r="CMP45" s="13"/>
      <c r="CMQ45" s="13"/>
      <c r="CMR45" s="13"/>
      <c r="CMS45" s="13"/>
      <c r="CMT45" s="13"/>
      <c r="CMU45" s="13"/>
      <c r="CMV45" s="13"/>
      <c r="CMW45" s="13"/>
      <c r="CMX45" s="13"/>
      <c r="CMY45" s="13"/>
      <c r="CMZ45" s="13"/>
      <c r="CNA45" s="13"/>
      <c r="CNB45" s="13"/>
      <c r="CNC45" s="13"/>
      <c r="CND45" s="13"/>
      <c r="CNE45" s="13"/>
      <c r="CNF45" s="13"/>
      <c r="CNG45" s="13"/>
      <c r="CNH45" s="13"/>
      <c r="CNI45" s="13"/>
      <c r="CNJ45" s="13"/>
      <c r="CNK45" s="13"/>
      <c r="CNL45" s="13"/>
      <c r="CNM45" s="13"/>
      <c r="CNN45" s="13"/>
      <c r="CNO45" s="13"/>
      <c r="CNP45" s="13"/>
      <c r="CNQ45" s="13"/>
      <c r="CNR45" s="13"/>
      <c r="CNS45" s="13"/>
      <c r="CNT45" s="13"/>
      <c r="CNU45" s="13"/>
      <c r="CNV45" s="13"/>
      <c r="CNW45" s="13"/>
      <c r="CNX45" s="13"/>
      <c r="CNY45" s="13"/>
      <c r="CNZ45" s="13"/>
      <c r="COA45" s="13"/>
      <c r="COB45" s="13"/>
      <c r="COC45" s="13"/>
      <c r="COD45" s="13"/>
      <c r="COE45" s="13"/>
      <c r="COF45" s="13"/>
      <c r="COG45" s="13"/>
      <c r="COH45" s="13"/>
      <c r="COI45" s="13"/>
      <c r="COJ45" s="13"/>
      <c r="COK45" s="13"/>
      <c r="COL45" s="13"/>
      <c r="COM45" s="13"/>
      <c r="CON45" s="13"/>
      <c r="COO45" s="13"/>
      <c r="COP45" s="13"/>
      <c r="COQ45" s="13"/>
      <c r="COR45" s="13"/>
      <c r="COS45" s="13"/>
      <c r="COT45" s="13"/>
      <c r="COU45" s="13"/>
      <c r="COV45" s="13"/>
      <c r="COW45" s="13"/>
      <c r="COX45" s="13"/>
      <c r="COY45" s="13"/>
      <c r="COZ45" s="13"/>
      <c r="CPA45" s="13"/>
      <c r="CPB45" s="13"/>
      <c r="CPC45" s="13"/>
      <c r="CPD45" s="13"/>
      <c r="CPE45" s="13"/>
      <c r="CPF45" s="13"/>
      <c r="CPG45" s="13"/>
      <c r="CPH45" s="13"/>
      <c r="CPI45" s="13"/>
      <c r="CPJ45" s="13"/>
      <c r="CPK45" s="13"/>
      <c r="CPL45" s="13"/>
      <c r="CPM45" s="13"/>
      <c r="CPN45" s="13"/>
      <c r="CPO45" s="13"/>
      <c r="CPP45" s="13"/>
      <c r="CPQ45" s="13"/>
      <c r="CPR45" s="13"/>
      <c r="CPS45" s="13"/>
      <c r="CPT45" s="13"/>
      <c r="CPU45" s="13"/>
      <c r="CPV45" s="13"/>
      <c r="CPW45" s="13"/>
      <c r="CPX45" s="13"/>
      <c r="CPY45" s="13"/>
      <c r="CPZ45" s="13"/>
      <c r="CQA45" s="13"/>
      <c r="CQB45" s="13"/>
      <c r="CQC45" s="13"/>
      <c r="CQD45" s="13"/>
      <c r="CQE45" s="13"/>
      <c r="CQF45" s="13"/>
      <c r="CQG45" s="13"/>
      <c r="CQH45" s="13"/>
      <c r="CQI45" s="13"/>
      <c r="CQJ45" s="13"/>
      <c r="CQK45" s="13"/>
      <c r="CQL45" s="13"/>
      <c r="CQM45" s="13"/>
      <c r="CQN45" s="13"/>
      <c r="CQO45" s="13"/>
      <c r="CQP45" s="13"/>
      <c r="CQQ45" s="13"/>
      <c r="CQR45" s="13"/>
      <c r="CQS45" s="13"/>
      <c r="CQT45" s="13"/>
      <c r="CQU45" s="13"/>
      <c r="CQV45" s="13"/>
      <c r="CQW45" s="13"/>
      <c r="CQX45" s="13"/>
      <c r="CQY45" s="13"/>
      <c r="CQZ45" s="13"/>
      <c r="CRA45" s="13"/>
      <c r="CRB45" s="13"/>
      <c r="CRC45" s="13"/>
      <c r="CRD45" s="13"/>
      <c r="CRE45" s="13"/>
      <c r="CRF45" s="13"/>
      <c r="CRG45" s="13"/>
      <c r="CRH45" s="13"/>
      <c r="CRI45" s="13"/>
      <c r="CRJ45" s="13"/>
      <c r="CRK45" s="13"/>
      <c r="CRL45" s="13"/>
      <c r="CRM45" s="13"/>
      <c r="CRN45" s="13"/>
      <c r="CRO45" s="13"/>
      <c r="CRP45" s="13"/>
      <c r="CRQ45" s="13"/>
      <c r="CRR45" s="13"/>
      <c r="CRS45" s="13"/>
      <c r="CRT45" s="13"/>
      <c r="CRU45" s="13"/>
      <c r="CRV45" s="13"/>
      <c r="CRW45" s="13"/>
      <c r="CRX45" s="13"/>
      <c r="CRY45" s="13"/>
      <c r="CRZ45" s="13"/>
      <c r="CSA45" s="13"/>
      <c r="CSB45" s="13"/>
      <c r="CSC45" s="13"/>
      <c r="CSD45" s="13"/>
      <c r="CSE45" s="13"/>
      <c r="CSF45" s="13"/>
      <c r="CSG45" s="13"/>
      <c r="CSH45" s="13"/>
      <c r="CSI45" s="13"/>
      <c r="CSJ45" s="13"/>
      <c r="CSK45" s="13"/>
      <c r="CSL45" s="13"/>
      <c r="CSM45" s="13"/>
      <c r="CSN45" s="13"/>
      <c r="CSO45" s="13"/>
      <c r="CSP45" s="13"/>
      <c r="CSQ45" s="13"/>
      <c r="CSR45" s="13"/>
      <c r="CSS45" s="13"/>
      <c r="CST45" s="13"/>
      <c r="CSU45" s="13"/>
      <c r="CSV45" s="13"/>
      <c r="CSW45" s="13"/>
      <c r="CSX45" s="13"/>
      <c r="CSY45" s="13"/>
      <c r="CSZ45" s="13"/>
      <c r="CTA45" s="13"/>
      <c r="CTB45" s="13"/>
      <c r="CTC45" s="13"/>
      <c r="CTD45" s="13"/>
      <c r="CTE45" s="13"/>
      <c r="CTF45" s="13"/>
      <c r="CTG45" s="13"/>
      <c r="CTH45" s="13"/>
      <c r="CTI45" s="13"/>
      <c r="CTJ45" s="13"/>
      <c r="CTK45" s="13"/>
      <c r="CTL45" s="13"/>
      <c r="CTM45" s="13"/>
      <c r="CTN45" s="13"/>
      <c r="CTO45" s="13"/>
      <c r="CTP45" s="13"/>
      <c r="CTQ45" s="13"/>
      <c r="CTR45" s="13"/>
      <c r="CTS45" s="13"/>
      <c r="CTT45" s="13"/>
      <c r="CTU45" s="13"/>
      <c r="CTV45" s="13"/>
      <c r="CTW45" s="13"/>
      <c r="CTX45" s="13"/>
      <c r="CTY45" s="13"/>
      <c r="CTZ45" s="13"/>
      <c r="CUA45" s="13"/>
      <c r="CUB45" s="13"/>
      <c r="CUC45" s="13"/>
      <c r="CUD45" s="13"/>
      <c r="CUE45" s="13"/>
      <c r="CUF45" s="13"/>
      <c r="CUG45" s="13"/>
      <c r="CUH45" s="13"/>
      <c r="CUI45" s="13"/>
      <c r="CUJ45" s="13"/>
      <c r="CUK45" s="13"/>
      <c r="CUL45" s="13"/>
      <c r="CUM45" s="13"/>
      <c r="CUN45" s="13"/>
      <c r="CUO45" s="13"/>
      <c r="CUP45" s="13"/>
      <c r="CUQ45" s="13"/>
      <c r="CUR45" s="13"/>
      <c r="CUS45" s="13"/>
      <c r="CUT45" s="13"/>
      <c r="CUU45" s="13"/>
      <c r="CUV45" s="13"/>
      <c r="CUW45" s="13"/>
      <c r="CUX45" s="13"/>
      <c r="CUY45" s="13"/>
      <c r="CUZ45" s="13"/>
      <c r="CVA45" s="13"/>
      <c r="CVB45" s="13"/>
      <c r="CVC45" s="13"/>
      <c r="CVD45" s="13"/>
      <c r="CVE45" s="13"/>
      <c r="CVF45" s="13"/>
      <c r="CVG45" s="13"/>
      <c r="CVH45" s="13"/>
      <c r="CVI45" s="13"/>
      <c r="CVJ45" s="13"/>
      <c r="CVK45" s="13"/>
      <c r="CVL45" s="13"/>
      <c r="CVM45" s="13"/>
      <c r="CVN45" s="13"/>
      <c r="CVO45" s="13"/>
      <c r="CVP45" s="13"/>
      <c r="CVQ45" s="13"/>
      <c r="CVR45" s="13"/>
      <c r="CVS45" s="13"/>
      <c r="CVT45" s="13"/>
      <c r="CVU45" s="13"/>
      <c r="CVV45" s="13"/>
      <c r="CVW45" s="13"/>
      <c r="CVX45" s="13"/>
      <c r="CVY45" s="13"/>
      <c r="CVZ45" s="13"/>
      <c r="CWA45" s="13"/>
      <c r="CWB45" s="13"/>
      <c r="CWC45" s="13"/>
      <c r="CWD45" s="13"/>
      <c r="CWE45" s="13"/>
      <c r="CWF45" s="13"/>
      <c r="CWG45" s="13"/>
      <c r="CWH45" s="13"/>
      <c r="CWI45" s="13"/>
      <c r="CWJ45" s="13"/>
      <c r="CWK45" s="13"/>
      <c r="CWL45" s="13"/>
      <c r="CWM45" s="13"/>
      <c r="CWN45" s="13"/>
      <c r="CWO45" s="13"/>
      <c r="CWP45" s="13"/>
      <c r="CWQ45" s="13"/>
      <c r="CWR45" s="13"/>
      <c r="CWS45" s="13"/>
      <c r="CWT45" s="13"/>
      <c r="CWU45" s="13"/>
      <c r="CWV45" s="13"/>
      <c r="CWW45" s="13"/>
      <c r="CWX45" s="13"/>
      <c r="CWY45" s="13"/>
      <c r="CWZ45" s="13"/>
      <c r="CXA45" s="13"/>
      <c r="CXB45" s="13"/>
      <c r="CXC45" s="13"/>
      <c r="CXD45" s="13"/>
      <c r="CXE45" s="13"/>
      <c r="CXF45" s="13"/>
      <c r="CXG45" s="13"/>
      <c r="CXH45" s="13"/>
      <c r="CXI45" s="13"/>
      <c r="CXJ45" s="13"/>
      <c r="CXK45" s="13"/>
      <c r="CXL45" s="13"/>
      <c r="CXM45" s="13"/>
      <c r="CXN45" s="13"/>
      <c r="CXO45" s="13"/>
      <c r="CXP45" s="13"/>
      <c r="CXQ45" s="13"/>
      <c r="CXR45" s="13"/>
      <c r="CXS45" s="13"/>
      <c r="CXT45" s="13"/>
      <c r="CXU45" s="13"/>
      <c r="CXV45" s="13"/>
      <c r="CXW45" s="13"/>
      <c r="CXX45" s="13"/>
      <c r="CXY45" s="13"/>
      <c r="CXZ45" s="13"/>
      <c r="CYA45" s="13"/>
      <c r="CYB45" s="13"/>
      <c r="CYC45" s="13"/>
      <c r="CYD45" s="13"/>
      <c r="CYE45" s="13"/>
      <c r="CYF45" s="13"/>
      <c r="CYG45" s="13"/>
      <c r="CYH45" s="13"/>
      <c r="CYI45" s="13"/>
      <c r="CYJ45" s="13"/>
      <c r="CYK45" s="13"/>
      <c r="CYL45" s="13"/>
      <c r="CYM45" s="13"/>
      <c r="CYN45" s="13"/>
      <c r="CYO45" s="13"/>
      <c r="CYP45" s="13"/>
      <c r="CYQ45" s="13"/>
      <c r="CYR45" s="13"/>
      <c r="CYS45" s="13"/>
      <c r="CYT45" s="13"/>
      <c r="CYU45" s="13"/>
      <c r="CYV45" s="13"/>
      <c r="CYW45" s="13"/>
      <c r="CYX45" s="13"/>
      <c r="CYY45" s="13"/>
      <c r="CYZ45" s="13"/>
      <c r="CZA45" s="13"/>
      <c r="CZB45" s="13"/>
      <c r="CZC45" s="13"/>
      <c r="CZD45" s="13"/>
      <c r="CZE45" s="13"/>
      <c r="CZF45" s="13"/>
      <c r="CZG45" s="13"/>
      <c r="CZH45" s="13"/>
      <c r="CZI45" s="13"/>
      <c r="CZJ45" s="13"/>
      <c r="CZK45" s="13"/>
      <c r="CZL45" s="13"/>
      <c r="CZM45" s="13"/>
      <c r="CZN45" s="13"/>
      <c r="CZO45" s="13"/>
      <c r="CZP45" s="13"/>
      <c r="CZQ45" s="13"/>
      <c r="CZR45" s="13"/>
      <c r="CZS45" s="13"/>
      <c r="CZT45" s="13"/>
      <c r="CZU45" s="13"/>
      <c r="CZV45" s="13"/>
      <c r="CZW45" s="13"/>
      <c r="CZX45" s="13"/>
      <c r="CZY45" s="13"/>
      <c r="CZZ45" s="13"/>
      <c r="DAA45" s="13"/>
      <c r="DAB45" s="13"/>
      <c r="DAC45" s="13"/>
      <c r="DAD45" s="13"/>
      <c r="DAE45" s="13"/>
      <c r="DAF45" s="13"/>
      <c r="DAG45" s="13"/>
      <c r="DAH45" s="13"/>
      <c r="DAI45" s="13"/>
      <c r="DAJ45" s="13"/>
      <c r="DAK45" s="13"/>
      <c r="DAL45" s="13"/>
      <c r="DAM45" s="13"/>
      <c r="DAN45" s="13"/>
      <c r="DAO45" s="13"/>
      <c r="DAP45" s="13"/>
      <c r="DAQ45" s="13"/>
      <c r="DAR45" s="13"/>
      <c r="DAS45" s="13"/>
      <c r="DAT45" s="13"/>
      <c r="DAU45" s="13"/>
      <c r="DAV45" s="13"/>
      <c r="DAW45" s="13"/>
      <c r="DAX45" s="13"/>
      <c r="DAY45" s="13"/>
      <c r="DAZ45" s="13"/>
      <c r="DBA45" s="13"/>
      <c r="DBB45" s="13"/>
      <c r="DBC45" s="13"/>
      <c r="DBD45" s="13"/>
      <c r="DBE45" s="13"/>
      <c r="DBF45" s="13"/>
      <c r="DBG45" s="13"/>
      <c r="DBH45" s="13"/>
      <c r="DBI45" s="13"/>
      <c r="DBJ45" s="13"/>
      <c r="DBK45" s="13"/>
      <c r="DBL45" s="13"/>
      <c r="DBM45" s="13"/>
      <c r="DBN45" s="13"/>
      <c r="DBO45" s="13"/>
      <c r="DBP45" s="13"/>
      <c r="DBQ45" s="13"/>
      <c r="DBR45" s="13"/>
      <c r="DBS45" s="13"/>
      <c r="DBT45" s="13"/>
      <c r="DBU45" s="13"/>
      <c r="DBV45" s="13"/>
      <c r="DBW45" s="13"/>
      <c r="DBX45" s="13"/>
      <c r="DBY45" s="13"/>
      <c r="DBZ45" s="13"/>
      <c r="DCA45" s="13"/>
      <c r="DCB45" s="13"/>
      <c r="DCC45" s="13"/>
      <c r="DCD45" s="13"/>
      <c r="DCE45" s="13"/>
      <c r="DCF45" s="13"/>
      <c r="DCG45" s="13"/>
      <c r="DCH45" s="13"/>
      <c r="DCI45" s="13"/>
      <c r="DCJ45" s="13"/>
      <c r="DCK45" s="13"/>
      <c r="DCL45" s="13"/>
      <c r="DCM45" s="13"/>
      <c r="DCN45" s="13"/>
      <c r="DCO45" s="13"/>
      <c r="DCP45" s="13"/>
      <c r="DCQ45" s="13"/>
      <c r="DCR45" s="13"/>
      <c r="DCS45" s="13"/>
      <c r="DCT45" s="13"/>
      <c r="DCU45" s="13"/>
      <c r="DCV45" s="13"/>
      <c r="DCW45" s="13"/>
      <c r="DCX45" s="13"/>
      <c r="DCY45" s="13"/>
      <c r="DCZ45" s="13"/>
      <c r="DDA45" s="13"/>
      <c r="DDB45" s="13"/>
      <c r="DDC45" s="13"/>
      <c r="DDD45" s="13"/>
      <c r="DDE45" s="13"/>
      <c r="DDF45" s="13"/>
      <c r="DDG45" s="13"/>
      <c r="DDH45" s="13"/>
      <c r="DDI45" s="13"/>
      <c r="DDJ45" s="13"/>
      <c r="DDK45" s="13"/>
      <c r="DDL45" s="13"/>
      <c r="DDM45" s="13"/>
      <c r="DDN45" s="13"/>
      <c r="DDO45" s="13"/>
      <c r="DDP45" s="13"/>
      <c r="DDQ45" s="13"/>
      <c r="DDR45" s="13"/>
      <c r="DDS45" s="13"/>
      <c r="DDT45" s="13"/>
      <c r="DDU45" s="13"/>
      <c r="DDV45" s="13"/>
      <c r="DDW45" s="13"/>
      <c r="DDX45" s="13"/>
      <c r="DDY45" s="13"/>
      <c r="DDZ45" s="13"/>
      <c r="DEA45" s="13"/>
      <c r="DEB45" s="13"/>
      <c r="DEC45" s="13"/>
      <c r="DED45" s="13"/>
      <c r="DEE45" s="13"/>
      <c r="DEF45" s="13"/>
      <c r="DEG45" s="13"/>
      <c r="DEH45" s="13"/>
      <c r="DEI45" s="13"/>
      <c r="DEJ45" s="13"/>
      <c r="DEK45" s="13"/>
      <c r="DEL45" s="13"/>
      <c r="DEM45" s="13"/>
      <c r="DEN45" s="13"/>
      <c r="DEO45" s="13"/>
      <c r="DEP45" s="13"/>
      <c r="DEQ45" s="13"/>
      <c r="DER45" s="13"/>
      <c r="DES45" s="13"/>
      <c r="DET45" s="13"/>
      <c r="DEU45" s="13"/>
      <c r="DEV45" s="13"/>
      <c r="DEW45" s="13"/>
      <c r="DEX45" s="13"/>
      <c r="DEY45" s="13"/>
      <c r="DEZ45" s="13"/>
      <c r="DFA45" s="13"/>
      <c r="DFB45" s="13"/>
      <c r="DFC45" s="13"/>
      <c r="DFD45" s="13"/>
      <c r="DFE45" s="13"/>
      <c r="DFF45" s="13"/>
      <c r="DFG45" s="13"/>
      <c r="DFH45" s="13"/>
      <c r="DFI45" s="13"/>
      <c r="DFJ45" s="13"/>
      <c r="DFK45" s="13"/>
      <c r="DFL45" s="13"/>
      <c r="DFM45" s="13"/>
      <c r="DFN45" s="13"/>
      <c r="DFO45" s="13"/>
      <c r="DFP45" s="13"/>
      <c r="DFQ45" s="13"/>
      <c r="DFR45" s="13"/>
      <c r="DFS45" s="13"/>
      <c r="DFT45" s="13"/>
      <c r="DFU45" s="13"/>
      <c r="DFV45" s="13"/>
      <c r="DFW45" s="13"/>
      <c r="DFX45" s="13"/>
      <c r="DFY45" s="13"/>
      <c r="DFZ45" s="13"/>
      <c r="DGA45" s="13"/>
      <c r="DGB45" s="13"/>
      <c r="DGC45" s="13"/>
      <c r="DGD45" s="13"/>
      <c r="DGE45" s="13"/>
      <c r="DGF45" s="13"/>
      <c r="DGG45" s="13"/>
      <c r="DGH45" s="13"/>
      <c r="DGI45" s="13"/>
      <c r="DGJ45" s="13"/>
      <c r="DGK45" s="13"/>
      <c r="DGL45" s="13"/>
      <c r="DGM45" s="13"/>
      <c r="DGN45" s="13"/>
      <c r="DGO45" s="13"/>
      <c r="DGP45" s="13"/>
      <c r="DGQ45" s="13"/>
      <c r="DGR45" s="13"/>
      <c r="DGS45" s="13"/>
      <c r="DGT45" s="13"/>
      <c r="DGU45" s="13"/>
      <c r="DGV45" s="13"/>
      <c r="DGW45" s="13"/>
      <c r="DGX45" s="13"/>
      <c r="DGY45" s="13"/>
      <c r="DGZ45" s="13"/>
      <c r="DHA45" s="13"/>
      <c r="DHB45" s="13"/>
      <c r="DHC45" s="13"/>
      <c r="DHD45" s="13"/>
      <c r="DHE45" s="13"/>
      <c r="DHF45" s="13"/>
      <c r="DHG45" s="13"/>
      <c r="DHH45" s="13"/>
      <c r="DHI45" s="13"/>
      <c r="DHJ45" s="13"/>
      <c r="DHK45" s="13"/>
      <c r="DHL45" s="13"/>
      <c r="DHM45" s="13"/>
      <c r="DHN45" s="13"/>
      <c r="DHO45" s="13"/>
      <c r="DHP45" s="13"/>
      <c r="DHQ45" s="13"/>
      <c r="DHR45" s="13"/>
      <c r="DHS45" s="13"/>
      <c r="DHT45" s="13"/>
      <c r="DHU45" s="13"/>
      <c r="DHV45" s="13"/>
      <c r="DHW45" s="13"/>
      <c r="DHX45" s="13"/>
      <c r="DHY45" s="13"/>
      <c r="DHZ45" s="13"/>
      <c r="DIA45" s="13"/>
      <c r="DIB45" s="13"/>
      <c r="DIC45" s="13"/>
      <c r="DID45" s="13"/>
      <c r="DIE45" s="13"/>
      <c r="DIF45" s="13"/>
      <c r="DIG45" s="13"/>
      <c r="DIH45" s="13"/>
      <c r="DII45" s="13"/>
      <c r="DIJ45" s="13"/>
      <c r="DIK45" s="13"/>
      <c r="DIL45" s="13"/>
      <c r="DIM45" s="13"/>
      <c r="DIN45" s="13"/>
      <c r="DIO45" s="13"/>
      <c r="DIP45" s="13"/>
      <c r="DIQ45" s="13"/>
      <c r="DIR45" s="13"/>
      <c r="DIS45" s="13"/>
      <c r="DIT45" s="13"/>
      <c r="DIU45" s="13"/>
      <c r="DIV45" s="13"/>
      <c r="DIW45" s="13"/>
      <c r="DIX45" s="13"/>
      <c r="DIY45" s="13"/>
      <c r="DIZ45" s="13"/>
      <c r="DJA45" s="13"/>
      <c r="DJB45" s="13"/>
      <c r="DJC45" s="13"/>
      <c r="DJD45" s="13"/>
      <c r="DJE45" s="13"/>
      <c r="DJF45" s="13"/>
      <c r="DJG45" s="13"/>
      <c r="DJH45" s="13"/>
      <c r="DJI45" s="13"/>
      <c r="DJJ45" s="13"/>
      <c r="DJK45" s="13"/>
      <c r="DJL45" s="13"/>
      <c r="DJM45" s="13"/>
      <c r="DJN45" s="13"/>
      <c r="DJO45" s="13"/>
      <c r="DJP45" s="13"/>
      <c r="DJQ45" s="13"/>
      <c r="DJR45" s="13"/>
      <c r="DJS45" s="13"/>
      <c r="DJT45" s="13"/>
      <c r="DJU45" s="13"/>
      <c r="DJV45" s="13"/>
      <c r="DJW45" s="13"/>
      <c r="DJX45" s="13"/>
      <c r="DJY45" s="13"/>
      <c r="DJZ45" s="13"/>
      <c r="DKA45" s="13"/>
      <c r="DKB45" s="13"/>
      <c r="DKC45" s="13"/>
      <c r="DKD45" s="13"/>
      <c r="DKE45" s="13"/>
      <c r="DKF45" s="13"/>
      <c r="DKG45" s="13"/>
      <c r="DKH45" s="13"/>
      <c r="DKI45" s="13"/>
      <c r="DKJ45" s="13"/>
      <c r="DKK45" s="13"/>
      <c r="DKL45" s="13"/>
      <c r="DKM45" s="13"/>
      <c r="DKN45" s="13"/>
      <c r="DKO45" s="13"/>
      <c r="DKP45" s="13"/>
      <c r="DKQ45" s="13"/>
      <c r="DKR45" s="13"/>
      <c r="DKS45" s="13"/>
      <c r="DKT45" s="13"/>
      <c r="DKU45" s="13"/>
      <c r="DKV45" s="13"/>
      <c r="DKW45" s="13"/>
      <c r="DKX45" s="13"/>
      <c r="DKY45" s="13"/>
      <c r="DKZ45" s="13"/>
      <c r="DLA45" s="13"/>
      <c r="DLB45" s="13"/>
      <c r="DLC45" s="13"/>
      <c r="DLD45" s="13"/>
      <c r="DLE45" s="13"/>
      <c r="DLF45" s="13"/>
      <c r="DLG45" s="13"/>
      <c r="DLH45" s="13"/>
      <c r="DLI45" s="13"/>
      <c r="DLJ45" s="13"/>
      <c r="DLK45" s="13"/>
      <c r="DLL45" s="13"/>
      <c r="DLM45" s="13"/>
      <c r="DLN45" s="13"/>
      <c r="DLO45" s="13"/>
      <c r="DLP45" s="13"/>
      <c r="DLQ45" s="13"/>
      <c r="DLR45" s="13"/>
      <c r="DLS45" s="13"/>
      <c r="DLT45" s="13"/>
      <c r="DLU45" s="13"/>
      <c r="DLV45" s="13"/>
      <c r="DLW45" s="13"/>
      <c r="DLX45" s="13"/>
      <c r="DLY45" s="13"/>
      <c r="DLZ45" s="13"/>
      <c r="DMA45" s="13"/>
      <c r="DMB45" s="13"/>
      <c r="DMC45" s="13"/>
      <c r="DMD45" s="13"/>
      <c r="DME45" s="13"/>
      <c r="DMF45" s="13"/>
      <c r="DMG45" s="13"/>
      <c r="DMH45" s="13"/>
      <c r="DMI45" s="13"/>
      <c r="DMJ45" s="13"/>
      <c r="DMK45" s="13"/>
      <c r="DML45" s="13"/>
      <c r="DMM45" s="13"/>
      <c r="DMN45" s="13"/>
      <c r="DMO45" s="13"/>
      <c r="DMP45" s="13"/>
      <c r="DMQ45" s="13"/>
      <c r="DMR45" s="13"/>
      <c r="DMS45" s="13"/>
      <c r="DMT45" s="13"/>
      <c r="DMU45" s="13"/>
      <c r="DMV45" s="13"/>
      <c r="DMW45" s="13"/>
      <c r="DMX45" s="13"/>
      <c r="DMY45" s="13"/>
      <c r="DMZ45" s="13"/>
      <c r="DNA45" s="13"/>
      <c r="DNB45" s="13"/>
      <c r="DNC45" s="13"/>
      <c r="DND45" s="13"/>
      <c r="DNE45" s="13"/>
      <c r="DNF45" s="13"/>
      <c r="DNG45" s="13"/>
      <c r="DNH45" s="13"/>
      <c r="DNI45" s="13"/>
      <c r="DNJ45" s="13"/>
      <c r="DNK45" s="13"/>
      <c r="DNL45" s="13"/>
      <c r="DNM45" s="13"/>
      <c r="DNN45" s="13"/>
      <c r="DNO45" s="13"/>
      <c r="DNP45" s="13"/>
      <c r="DNQ45" s="13"/>
      <c r="DNR45" s="13"/>
      <c r="DNS45" s="13"/>
      <c r="DNT45" s="13"/>
      <c r="DNU45" s="13"/>
      <c r="DNV45" s="13"/>
      <c r="DNW45" s="13"/>
      <c r="DNX45" s="13"/>
      <c r="DNY45" s="13"/>
      <c r="DNZ45" s="13"/>
      <c r="DOA45" s="13"/>
      <c r="DOB45" s="13"/>
      <c r="DOC45" s="13"/>
      <c r="DOD45" s="13"/>
      <c r="DOE45" s="13"/>
      <c r="DOF45" s="13"/>
      <c r="DOG45" s="13"/>
      <c r="DOH45" s="13"/>
      <c r="DOI45" s="13"/>
      <c r="DOJ45" s="13"/>
      <c r="DOK45" s="13"/>
      <c r="DOL45" s="13"/>
      <c r="DOM45" s="13"/>
      <c r="DON45" s="13"/>
      <c r="DOO45" s="13"/>
      <c r="DOP45" s="13"/>
      <c r="DOQ45" s="13"/>
      <c r="DOR45" s="13"/>
      <c r="DOS45" s="13"/>
      <c r="DOT45" s="13"/>
      <c r="DOU45" s="13"/>
      <c r="DOV45" s="13"/>
      <c r="DOW45" s="13"/>
      <c r="DOX45" s="13"/>
      <c r="DOY45" s="13"/>
      <c r="DOZ45" s="13"/>
      <c r="DPA45" s="13"/>
      <c r="DPB45" s="13"/>
      <c r="DPC45" s="13"/>
      <c r="DPD45" s="13"/>
      <c r="DPE45" s="13"/>
      <c r="DPF45" s="13"/>
      <c r="DPG45" s="13"/>
      <c r="DPH45" s="13"/>
      <c r="DPI45" s="13"/>
      <c r="DPJ45" s="13"/>
      <c r="DPK45" s="13"/>
      <c r="DPL45" s="13"/>
      <c r="DPM45" s="13"/>
      <c r="DPN45" s="13"/>
      <c r="DPO45" s="13"/>
      <c r="DPP45" s="13"/>
      <c r="DPQ45" s="13"/>
      <c r="DPR45" s="13"/>
      <c r="DPS45" s="13"/>
      <c r="DPT45" s="13"/>
      <c r="DPU45" s="13"/>
      <c r="DPV45" s="13"/>
      <c r="DPW45" s="13"/>
      <c r="DPX45" s="13"/>
      <c r="DPY45" s="13"/>
      <c r="DPZ45" s="13"/>
      <c r="DQA45" s="13"/>
      <c r="DQB45" s="13"/>
      <c r="DQC45" s="13"/>
      <c r="DQD45" s="13"/>
      <c r="DQE45" s="13"/>
      <c r="DQF45" s="13"/>
      <c r="DQG45" s="13"/>
      <c r="DQH45" s="13"/>
      <c r="DQI45" s="13"/>
      <c r="DQJ45" s="13"/>
      <c r="DQK45" s="13"/>
      <c r="DQL45" s="13"/>
      <c r="DQM45" s="13"/>
      <c r="DQN45" s="13"/>
      <c r="DQO45" s="13"/>
      <c r="DQP45" s="13"/>
      <c r="DQQ45" s="13"/>
      <c r="DQR45" s="13"/>
      <c r="DQS45" s="13"/>
      <c r="DQT45" s="13"/>
      <c r="DQU45" s="13"/>
      <c r="DQV45" s="13"/>
      <c r="DQW45" s="13"/>
      <c r="DQX45" s="13"/>
      <c r="DQY45" s="13"/>
      <c r="DQZ45" s="13"/>
      <c r="DRA45" s="13"/>
      <c r="DRB45" s="13"/>
      <c r="DRC45" s="13"/>
      <c r="DRD45" s="13"/>
      <c r="DRE45" s="13"/>
      <c r="DRF45" s="13"/>
      <c r="DRG45" s="13"/>
      <c r="DRH45" s="13"/>
      <c r="DRI45" s="13"/>
      <c r="DRJ45" s="13"/>
      <c r="DRK45" s="13"/>
      <c r="DRL45" s="13"/>
      <c r="DRM45" s="13"/>
      <c r="DRN45" s="13"/>
      <c r="DRO45" s="13"/>
      <c r="DRP45" s="13"/>
      <c r="DRQ45" s="13"/>
      <c r="DRR45" s="13"/>
      <c r="DRS45" s="13"/>
      <c r="DRT45" s="13"/>
      <c r="DRU45" s="13"/>
      <c r="DRV45" s="13"/>
      <c r="DRW45" s="13"/>
      <c r="DRX45" s="13"/>
      <c r="DRY45" s="13"/>
      <c r="DRZ45" s="13"/>
      <c r="DSA45" s="13"/>
      <c r="DSB45" s="13"/>
      <c r="DSC45" s="13"/>
      <c r="DSD45" s="13"/>
      <c r="DSE45" s="13"/>
      <c r="DSF45" s="13"/>
      <c r="DSG45" s="13"/>
      <c r="DSH45" s="13"/>
      <c r="DSI45" s="13"/>
      <c r="DSJ45" s="13"/>
      <c r="DSK45" s="13"/>
      <c r="DSL45" s="13"/>
      <c r="DSM45" s="13"/>
      <c r="DSN45" s="13"/>
      <c r="DSO45" s="13"/>
      <c r="DSP45" s="13"/>
      <c r="DSQ45" s="13"/>
      <c r="DSR45" s="13"/>
      <c r="DSS45" s="13"/>
      <c r="DST45" s="13"/>
      <c r="DSU45" s="13"/>
      <c r="DSV45" s="13"/>
      <c r="DSW45" s="13"/>
      <c r="DSX45" s="13"/>
      <c r="DSY45" s="13"/>
      <c r="DSZ45" s="13"/>
      <c r="DTA45" s="13"/>
      <c r="DTB45" s="13"/>
      <c r="DTC45" s="13"/>
      <c r="DTD45" s="13"/>
      <c r="DTE45" s="13"/>
      <c r="DTF45" s="13"/>
      <c r="DTG45" s="13"/>
      <c r="DTH45" s="13"/>
      <c r="DTI45" s="13"/>
      <c r="DTJ45" s="13"/>
      <c r="DTK45" s="13"/>
      <c r="DTL45" s="13"/>
      <c r="DTM45" s="13"/>
      <c r="DTN45" s="13"/>
      <c r="DTO45" s="13"/>
      <c r="DTP45" s="13"/>
      <c r="DTQ45" s="13"/>
      <c r="DTR45" s="13"/>
      <c r="DTS45" s="13"/>
      <c r="DTT45" s="13"/>
      <c r="DTU45" s="13"/>
      <c r="DTV45" s="13"/>
      <c r="DTW45" s="13"/>
      <c r="DTX45" s="13"/>
      <c r="DTY45" s="13"/>
      <c r="DTZ45" s="13"/>
      <c r="DUA45" s="13"/>
      <c r="DUB45" s="13"/>
      <c r="DUC45" s="13"/>
      <c r="DUD45" s="13"/>
      <c r="DUE45" s="13"/>
      <c r="DUF45" s="13"/>
      <c r="DUG45" s="13"/>
      <c r="DUH45" s="13"/>
      <c r="DUI45" s="13"/>
      <c r="DUJ45" s="13"/>
      <c r="DUK45" s="13"/>
      <c r="DUL45" s="13"/>
      <c r="DUM45" s="13"/>
      <c r="DUN45" s="13"/>
      <c r="DUO45" s="13"/>
      <c r="DUP45" s="13"/>
      <c r="DUQ45" s="13"/>
      <c r="DUR45" s="13"/>
      <c r="DUS45" s="13"/>
      <c r="DUT45" s="13"/>
      <c r="DUU45" s="13"/>
      <c r="DUV45" s="13"/>
      <c r="DUW45" s="13"/>
      <c r="DUX45" s="13"/>
      <c r="DUY45" s="13"/>
      <c r="DUZ45" s="13"/>
      <c r="DVA45" s="13"/>
      <c r="DVB45" s="13"/>
      <c r="DVC45" s="13"/>
      <c r="DVD45" s="13"/>
      <c r="DVE45" s="13"/>
      <c r="DVF45" s="13"/>
      <c r="DVG45" s="13"/>
      <c r="DVH45" s="13"/>
      <c r="DVI45" s="13"/>
      <c r="DVJ45" s="13"/>
      <c r="DVK45" s="13"/>
      <c r="DVL45" s="13"/>
      <c r="DVM45" s="13"/>
      <c r="DVN45" s="13"/>
      <c r="DVO45" s="13"/>
      <c r="DVP45" s="13"/>
      <c r="DVQ45" s="13"/>
      <c r="DVR45" s="13"/>
      <c r="DVS45" s="13"/>
      <c r="DVT45" s="13"/>
      <c r="DVU45" s="13"/>
      <c r="DVV45" s="13"/>
      <c r="DVW45" s="13"/>
      <c r="DVX45" s="13"/>
      <c r="DVY45" s="13"/>
      <c r="DVZ45" s="13"/>
      <c r="DWA45" s="13"/>
      <c r="DWB45" s="13"/>
      <c r="DWC45" s="13"/>
      <c r="DWD45" s="13"/>
      <c r="DWE45" s="13"/>
      <c r="DWF45" s="13"/>
      <c r="DWG45" s="13"/>
      <c r="DWH45" s="13"/>
      <c r="DWI45" s="13"/>
      <c r="DWJ45" s="13"/>
      <c r="DWK45" s="13"/>
      <c r="DWL45" s="13"/>
      <c r="DWM45" s="13"/>
      <c r="DWN45" s="13"/>
      <c r="DWO45" s="13"/>
      <c r="DWP45" s="13"/>
      <c r="DWQ45" s="13"/>
      <c r="DWR45" s="13"/>
      <c r="DWS45" s="13"/>
      <c r="DWT45" s="13"/>
      <c r="DWU45" s="13"/>
      <c r="DWV45" s="13"/>
      <c r="DWW45" s="13"/>
      <c r="DWX45" s="13"/>
      <c r="DWY45" s="13"/>
      <c r="DWZ45" s="13"/>
      <c r="DXA45" s="13"/>
      <c r="DXB45" s="13"/>
      <c r="DXC45" s="13"/>
      <c r="DXD45" s="13"/>
      <c r="DXE45" s="13"/>
      <c r="DXF45" s="13"/>
      <c r="DXG45" s="13"/>
      <c r="DXH45" s="13"/>
      <c r="DXI45" s="13"/>
      <c r="DXJ45" s="13"/>
      <c r="DXK45" s="13"/>
      <c r="DXL45" s="13"/>
      <c r="DXM45" s="13"/>
      <c r="DXN45" s="13"/>
      <c r="DXO45" s="13"/>
      <c r="DXP45" s="13"/>
      <c r="DXQ45" s="13"/>
      <c r="DXR45" s="13"/>
      <c r="DXS45" s="13"/>
      <c r="DXT45" s="13"/>
      <c r="DXU45" s="13"/>
      <c r="DXV45" s="13"/>
      <c r="DXW45" s="13"/>
      <c r="DXX45" s="13"/>
      <c r="DXY45" s="13"/>
      <c r="DXZ45" s="13"/>
      <c r="DYA45" s="13"/>
      <c r="DYB45" s="13"/>
      <c r="DYC45" s="13"/>
      <c r="DYD45" s="13"/>
      <c r="DYE45" s="13"/>
      <c r="DYF45" s="13"/>
      <c r="DYG45" s="13"/>
      <c r="DYH45" s="13"/>
      <c r="DYI45" s="13"/>
      <c r="DYJ45" s="13"/>
      <c r="DYK45" s="13"/>
      <c r="DYL45" s="13"/>
      <c r="DYM45" s="13"/>
      <c r="DYN45" s="13"/>
      <c r="DYO45" s="13"/>
      <c r="DYP45" s="13"/>
      <c r="DYQ45" s="13"/>
      <c r="DYR45" s="13"/>
      <c r="DYS45" s="13"/>
      <c r="DYT45" s="13"/>
      <c r="DYU45" s="13"/>
      <c r="DYV45" s="13"/>
      <c r="DYW45" s="13"/>
      <c r="DYX45" s="13"/>
      <c r="DYY45" s="13"/>
      <c r="DYZ45" s="13"/>
      <c r="DZA45" s="13"/>
      <c r="DZB45" s="13"/>
      <c r="DZC45" s="13"/>
      <c r="DZD45" s="13"/>
      <c r="DZE45" s="13"/>
      <c r="DZF45" s="13"/>
      <c r="DZG45" s="13"/>
      <c r="DZH45" s="13"/>
      <c r="DZI45" s="13"/>
      <c r="DZJ45" s="13"/>
      <c r="DZK45" s="13"/>
      <c r="DZL45" s="13"/>
      <c r="DZM45" s="13"/>
      <c r="DZN45" s="13"/>
      <c r="DZO45" s="13"/>
      <c r="DZP45" s="13"/>
      <c r="DZQ45" s="13"/>
      <c r="DZR45" s="13"/>
      <c r="DZS45" s="13"/>
      <c r="DZT45" s="13"/>
      <c r="DZU45" s="13"/>
      <c r="DZV45" s="13"/>
      <c r="DZW45" s="13"/>
      <c r="DZX45" s="13"/>
      <c r="DZY45" s="13"/>
      <c r="DZZ45" s="13"/>
      <c r="EAA45" s="13"/>
      <c r="EAB45" s="13"/>
      <c r="EAC45" s="13"/>
      <c r="EAD45" s="13"/>
      <c r="EAE45" s="13"/>
      <c r="EAF45" s="13"/>
      <c r="EAG45" s="13"/>
      <c r="EAH45" s="13"/>
      <c r="EAI45" s="13"/>
      <c r="EAJ45" s="13"/>
      <c r="EAK45" s="13"/>
      <c r="EAL45" s="13"/>
      <c r="EAM45" s="13"/>
      <c r="EAN45" s="13"/>
      <c r="EAO45" s="13"/>
      <c r="EAP45" s="13"/>
      <c r="EAQ45" s="13"/>
      <c r="EAR45" s="13"/>
      <c r="EAS45" s="13"/>
      <c r="EAT45" s="13"/>
      <c r="EAU45" s="13"/>
      <c r="EAV45" s="13"/>
      <c r="EAW45" s="13"/>
      <c r="EAX45" s="13"/>
      <c r="EAY45" s="13"/>
      <c r="EAZ45" s="13"/>
      <c r="EBA45" s="13"/>
      <c r="EBB45" s="13"/>
      <c r="EBC45" s="13"/>
      <c r="EBD45" s="13"/>
      <c r="EBE45" s="13"/>
      <c r="EBF45" s="13"/>
      <c r="EBG45" s="13"/>
      <c r="EBH45" s="13"/>
      <c r="EBI45" s="13"/>
      <c r="EBJ45" s="13"/>
      <c r="EBK45" s="13"/>
      <c r="EBL45" s="13"/>
      <c r="EBM45" s="13"/>
      <c r="EBN45" s="13"/>
      <c r="EBO45" s="13"/>
      <c r="EBP45" s="13"/>
      <c r="EBQ45" s="13"/>
      <c r="EBR45" s="13"/>
      <c r="EBS45" s="13"/>
      <c r="EBT45" s="13"/>
      <c r="EBU45" s="13"/>
      <c r="EBV45" s="13"/>
      <c r="EBW45" s="13"/>
      <c r="EBX45" s="13"/>
      <c r="EBY45" s="13"/>
      <c r="EBZ45" s="13"/>
      <c r="ECA45" s="13"/>
      <c r="ECB45" s="13"/>
      <c r="ECC45" s="13"/>
      <c r="ECD45" s="13"/>
      <c r="ECE45" s="13"/>
      <c r="ECF45" s="13"/>
      <c r="ECG45" s="13"/>
      <c r="ECH45" s="13"/>
      <c r="ECI45" s="13"/>
      <c r="ECJ45" s="13"/>
      <c r="ECK45" s="13"/>
      <c r="ECL45" s="13"/>
      <c r="ECM45" s="13"/>
      <c r="ECN45" s="13"/>
      <c r="ECO45" s="13"/>
      <c r="ECP45" s="13"/>
      <c r="ECQ45" s="13"/>
      <c r="ECR45" s="13"/>
      <c r="ECS45" s="13"/>
      <c r="ECT45" s="13"/>
      <c r="ECU45" s="13"/>
      <c r="ECV45" s="13"/>
      <c r="ECW45" s="13"/>
      <c r="ECX45" s="13"/>
      <c r="ECY45" s="13"/>
      <c r="ECZ45" s="13"/>
      <c r="EDA45" s="13"/>
      <c r="EDB45" s="13"/>
      <c r="EDC45" s="13"/>
      <c r="EDD45" s="13"/>
      <c r="EDE45" s="13"/>
      <c r="EDF45" s="13"/>
      <c r="EDG45" s="13"/>
      <c r="EDH45" s="13"/>
      <c r="EDI45" s="13"/>
      <c r="EDJ45" s="13"/>
      <c r="EDK45" s="13"/>
      <c r="EDL45" s="13"/>
      <c r="EDM45" s="13"/>
      <c r="EDN45" s="13"/>
      <c r="EDO45" s="13"/>
      <c r="EDP45" s="13"/>
      <c r="EDQ45" s="13"/>
      <c r="EDR45" s="13"/>
      <c r="EDS45" s="13"/>
      <c r="EDT45" s="13"/>
      <c r="EDU45" s="13"/>
      <c r="EDV45" s="13"/>
      <c r="EDW45" s="13"/>
      <c r="EDX45" s="13"/>
      <c r="EDY45" s="13"/>
      <c r="EDZ45" s="13"/>
      <c r="EEA45" s="13"/>
      <c r="EEB45" s="13"/>
      <c r="EEC45" s="13"/>
      <c r="EED45" s="13"/>
      <c r="EEE45" s="13"/>
      <c r="EEF45" s="13"/>
      <c r="EEG45" s="13"/>
      <c r="EEH45" s="13"/>
      <c r="EEI45" s="13"/>
      <c r="EEJ45" s="13"/>
      <c r="EEK45" s="13"/>
      <c r="EEL45" s="13"/>
      <c r="EEM45" s="13"/>
      <c r="EEN45" s="13"/>
      <c r="EEO45" s="13"/>
      <c r="EEP45" s="13"/>
      <c r="EEQ45" s="13"/>
      <c r="EER45" s="13"/>
      <c r="EES45" s="13"/>
      <c r="EET45" s="13"/>
      <c r="EEU45" s="13"/>
      <c r="EEV45" s="13"/>
      <c r="EEW45" s="13"/>
      <c r="EEX45" s="13"/>
      <c r="EEY45" s="13"/>
      <c r="EEZ45" s="13"/>
      <c r="EFA45" s="13"/>
      <c r="EFB45" s="13"/>
      <c r="EFC45" s="13"/>
      <c r="EFD45" s="13"/>
      <c r="EFE45" s="13"/>
      <c r="EFF45" s="13"/>
      <c r="EFG45" s="13"/>
      <c r="EFH45" s="13"/>
      <c r="EFI45" s="13"/>
      <c r="EFJ45" s="13"/>
      <c r="EFK45" s="13"/>
      <c r="EFL45" s="13"/>
      <c r="EFM45" s="13"/>
      <c r="EFN45" s="13"/>
      <c r="EFO45" s="13"/>
      <c r="EFP45" s="13"/>
      <c r="EFQ45" s="13"/>
      <c r="EFR45" s="13"/>
      <c r="EFS45" s="13"/>
      <c r="EFT45" s="13"/>
      <c r="EFU45" s="13"/>
      <c r="EFV45" s="13"/>
      <c r="EFW45" s="13"/>
      <c r="EFX45" s="13"/>
      <c r="EFY45" s="13"/>
      <c r="EFZ45" s="13"/>
      <c r="EGA45" s="13"/>
      <c r="EGB45" s="13"/>
      <c r="EGC45" s="13"/>
      <c r="EGD45" s="13"/>
      <c r="EGE45" s="13"/>
      <c r="EGF45" s="13"/>
      <c r="EGG45" s="13"/>
      <c r="EGH45" s="13"/>
      <c r="EGI45" s="13"/>
      <c r="EGJ45" s="13"/>
      <c r="EGK45" s="13"/>
      <c r="EGL45" s="13"/>
      <c r="EGM45" s="13"/>
      <c r="EGN45" s="13"/>
      <c r="EGO45" s="13"/>
      <c r="EGP45" s="13"/>
      <c r="EGQ45" s="13"/>
      <c r="EGR45" s="13"/>
      <c r="EGS45" s="13"/>
      <c r="EGT45" s="13"/>
      <c r="EGU45" s="13"/>
      <c r="EGV45" s="13"/>
      <c r="EGW45" s="13"/>
      <c r="EGX45" s="13"/>
      <c r="EGY45" s="13"/>
      <c r="EGZ45" s="13"/>
      <c r="EHA45" s="13"/>
      <c r="EHB45" s="13"/>
      <c r="EHC45" s="13"/>
      <c r="EHD45" s="13"/>
      <c r="EHE45" s="13"/>
      <c r="EHF45" s="13"/>
      <c r="EHG45" s="13"/>
      <c r="EHH45" s="13"/>
      <c r="EHI45" s="13"/>
      <c r="EHJ45" s="13"/>
      <c r="EHK45" s="13"/>
      <c r="EHL45" s="13"/>
      <c r="EHM45" s="13"/>
      <c r="EHN45" s="13"/>
      <c r="EHO45" s="13"/>
      <c r="EHP45" s="13"/>
      <c r="EHQ45" s="13"/>
      <c r="EHR45" s="13"/>
      <c r="EHS45" s="13"/>
      <c r="EHT45" s="13"/>
      <c r="EHU45" s="13"/>
      <c r="EHV45" s="13"/>
      <c r="EHW45" s="13"/>
      <c r="EHX45" s="13"/>
      <c r="EHY45" s="13"/>
      <c r="EHZ45" s="13"/>
      <c r="EIA45" s="13"/>
      <c r="EIB45" s="13"/>
      <c r="EIC45" s="13"/>
      <c r="EID45" s="13"/>
      <c r="EIE45" s="13"/>
      <c r="EIF45" s="13"/>
      <c r="EIG45" s="13"/>
      <c r="EIH45" s="13"/>
      <c r="EII45" s="13"/>
      <c r="EIJ45" s="13"/>
      <c r="EIK45" s="13"/>
      <c r="EIL45" s="13"/>
      <c r="EIM45" s="13"/>
      <c r="EIN45" s="13"/>
      <c r="EIO45" s="13"/>
      <c r="EIP45" s="13"/>
      <c r="EIQ45" s="13"/>
      <c r="EIR45" s="13"/>
      <c r="EIS45" s="13"/>
      <c r="EIT45" s="13"/>
      <c r="EIU45" s="13"/>
      <c r="EIV45" s="13"/>
      <c r="EIW45" s="13"/>
      <c r="EIX45" s="13"/>
      <c r="EIY45" s="13"/>
      <c r="EIZ45" s="13"/>
      <c r="EJA45" s="13"/>
      <c r="EJB45" s="13"/>
      <c r="EJC45" s="13"/>
      <c r="EJD45" s="13"/>
      <c r="EJE45" s="13"/>
      <c r="EJF45" s="13"/>
      <c r="EJG45" s="13"/>
      <c r="EJH45" s="13"/>
      <c r="EJI45" s="13"/>
      <c r="EJJ45" s="13"/>
      <c r="EJK45" s="13"/>
      <c r="EJL45" s="13"/>
      <c r="EJM45" s="13"/>
      <c r="EJN45" s="13"/>
      <c r="EJO45" s="13"/>
      <c r="EJP45" s="13"/>
      <c r="EJQ45" s="13"/>
      <c r="EJR45" s="13"/>
      <c r="EJS45" s="13"/>
      <c r="EJT45" s="13"/>
      <c r="EJU45" s="13"/>
      <c r="EJV45" s="13"/>
      <c r="EJW45" s="13"/>
      <c r="EJX45" s="13"/>
      <c r="EJY45" s="13"/>
      <c r="EJZ45" s="13"/>
      <c r="EKA45" s="13"/>
      <c r="EKB45" s="13"/>
      <c r="EKC45" s="13"/>
      <c r="EKD45" s="13"/>
      <c r="EKE45" s="13"/>
      <c r="EKF45" s="13"/>
      <c r="EKG45" s="13"/>
      <c r="EKH45" s="13"/>
      <c r="EKI45" s="13"/>
      <c r="EKJ45" s="13"/>
      <c r="EKK45" s="13"/>
      <c r="EKL45" s="13"/>
      <c r="EKM45" s="13"/>
      <c r="EKN45" s="13"/>
      <c r="EKO45" s="13"/>
      <c r="EKP45" s="13"/>
      <c r="EKQ45" s="13"/>
      <c r="EKR45" s="13"/>
      <c r="EKS45" s="13"/>
      <c r="EKT45" s="13"/>
      <c r="EKU45" s="13"/>
      <c r="EKV45" s="13"/>
      <c r="EKW45" s="13"/>
      <c r="EKX45" s="13"/>
      <c r="EKY45" s="13"/>
      <c r="EKZ45" s="13"/>
      <c r="ELA45" s="13"/>
      <c r="ELB45" s="13"/>
      <c r="ELC45" s="13"/>
      <c r="ELD45" s="13"/>
      <c r="ELE45" s="13"/>
      <c r="ELF45" s="13"/>
      <c r="ELG45" s="13"/>
      <c r="ELH45" s="13"/>
      <c r="ELI45" s="13"/>
      <c r="ELJ45" s="13"/>
      <c r="ELK45" s="13"/>
      <c r="ELL45" s="13"/>
      <c r="ELM45" s="13"/>
      <c r="ELN45" s="13"/>
      <c r="ELO45" s="13"/>
      <c r="ELP45" s="13"/>
      <c r="ELQ45" s="13"/>
      <c r="ELR45" s="13"/>
      <c r="ELS45" s="13"/>
      <c r="ELT45" s="13"/>
      <c r="ELU45" s="13"/>
      <c r="ELV45" s="13"/>
      <c r="ELW45" s="13"/>
      <c r="ELX45" s="13"/>
      <c r="ELY45" s="13"/>
      <c r="ELZ45" s="13"/>
      <c r="EMA45" s="13"/>
      <c r="EMB45" s="13"/>
      <c r="EMC45" s="13"/>
      <c r="EMD45" s="13"/>
      <c r="EME45" s="13"/>
      <c r="EMF45" s="13"/>
      <c r="EMG45" s="13"/>
      <c r="EMH45" s="13"/>
      <c r="EMI45" s="13"/>
      <c r="EMJ45" s="13"/>
      <c r="EMK45" s="13"/>
      <c r="EML45" s="13"/>
      <c r="EMM45" s="13"/>
      <c r="EMN45" s="13"/>
      <c r="EMO45" s="13"/>
      <c r="EMP45" s="13"/>
      <c r="EMQ45" s="13"/>
      <c r="EMR45" s="13"/>
      <c r="EMS45" s="13"/>
      <c r="EMT45" s="13"/>
      <c r="EMU45" s="13"/>
      <c r="EMV45" s="13"/>
      <c r="EMW45" s="13"/>
      <c r="EMX45" s="13"/>
      <c r="EMY45" s="13"/>
      <c r="EMZ45" s="13"/>
      <c r="ENA45" s="13"/>
      <c r="ENB45" s="13"/>
      <c r="ENC45" s="13"/>
      <c r="END45" s="13"/>
      <c r="ENE45" s="13"/>
      <c r="ENF45" s="13"/>
      <c r="ENG45" s="13"/>
      <c r="ENH45" s="13"/>
      <c r="ENI45" s="13"/>
      <c r="ENJ45" s="13"/>
      <c r="ENK45" s="13"/>
      <c r="ENL45" s="13"/>
      <c r="ENM45" s="13"/>
      <c r="ENN45" s="13"/>
      <c r="ENO45" s="13"/>
      <c r="ENP45" s="13"/>
      <c r="ENQ45" s="13"/>
      <c r="ENR45" s="13"/>
      <c r="ENS45" s="13"/>
      <c r="ENT45" s="13"/>
      <c r="ENU45" s="13"/>
      <c r="ENV45" s="13"/>
      <c r="ENW45" s="13"/>
      <c r="ENX45" s="13"/>
      <c r="ENY45" s="13"/>
      <c r="ENZ45" s="13"/>
      <c r="EOA45" s="13"/>
      <c r="EOB45" s="13"/>
      <c r="EOC45" s="13"/>
      <c r="EOD45" s="13"/>
      <c r="EOE45" s="13"/>
      <c r="EOF45" s="13"/>
      <c r="EOG45" s="13"/>
      <c r="EOH45" s="13"/>
      <c r="EOI45" s="13"/>
      <c r="EOJ45" s="13"/>
      <c r="EOK45" s="13"/>
      <c r="EOL45" s="13"/>
      <c r="EOM45" s="13"/>
      <c r="EON45" s="13"/>
      <c r="EOO45" s="13"/>
      <c r="EOP45" s="13"/>
      <c r="EOQ45" s="13"/>
      <c r="EOR45" s="13"/>
      <c r="EOS45" s="13"/>
      <c r="EOT45" s="13"/>
      <c r="EOU45" s="13"/>
      <c r="EOV45" s="13"/>
      <c r="EOW45" s="13"/>
      <c r="EOX45" s="13"/>
      <c r="EOY45" s="13"/>
      <c r="EOZ45" s="13"/>
      <c r="EPA45" s="13"/>
      <c r="EPB45" s="13"/>
      <c r="EPC45" s="13"/>
      <c r="EPD45" s="13"/>
      <c r="EPE45" s="13"/>
      <c r="EPF45" s="13"/>
      <c r="EPG45" s="13"/>
      <c r="EPH45" s="13"/>
      <c r="EPI45" s="13"/>
      <c r="EPJ45" s="13"/>
      <c r="EPK45" s="13"/>
      <c r="EPL45" s="13"/>
      <c r="EPM45" s="13"/>
      <c r="EPN45" s="13"/>
      <c r="EPO45" s="13"/>
      <c r="EPP45" s="13"/>
      <c r="EPQ45" s="13"/>
      <c r="EPR45" s="13"/>
      <c r="EPS45" s="13"/>
      <c r="EPT45" s="13"/>
      <c r="EPU45" s="13"/>
      <c r="EPV45" s="13"/>
      <c r="EPW45" s="13"/>
      <c r="EPX45" s="13"/>
      <c r="EPY45" s="13"/>
      <c r="EPZ45" s="13"/>
      <c r="EQA45" s="13"/>
      <c r="EQB45" s="13"/>
      <c r="EQC45" s="13"/>
      <c r="EQD45" s="13"/>
      <c r="EQE45" s="13"/>
      <c r="EQF45" s="13"/>
      <c r="EQG45" s="13"/>
      <c r="EQH45" s="13"/>
      <c r="EQI45" s="13"/>
      <c r="EQJ45" s="13"/>
      <c r="EQK45" s="13"/>
      <c r="EQL45" s="13"/>
      <c r="EQM45" s="13"/>
      <c r="EQN45" s="13"/>
      <c r="EQO45" s="13"/>
      <c r="EQP45" s="13"/>
      <c r="EQQ45" s="13"/>
      <c r="EQR45" s="13"/>
      <c r="EQS45" s="13"/>
      <c r="EQT45" s="13"/>
      <c r="EQU45" s="13"/>
      <c r="EQV45" s="13"/>
      <c r="EQW45" s="13"/>
      <c r="EQX45" s="13"/>
      <c r="EQY45" s="13"/>
      <c r="EQZ45" s="13"/>
      <c r="ERA45" s="13"/>
      <c r="ERB45" s="13"/>
      <c r="ERC45" s="13"/>
      <c r="ERD45" s="13"/>
      <c r="ERE45" s="13"/>
      <c r="ERF45" s="13"/>
      <c r="ERG45" s="13"/>
      <c r="ERH45" s="13"/>
      <c r="ERI45" s="13"/>
      <c r="ERJ45" s="13"/>
      <c r="ERK45" s="13"/>
      <c r="ERL45" s="13"/>
      <c r="ERM45" s="13"/>
      <c r="ERN45" s="13"/>
      <c r="ERO45" s="13"/>
      <c r="ERP45" s="13"/>
      <c r="ERQ45" s="13"/>
      <c r="ERR45" s="13"/>
      <c r="ERS45" s="13"/>
      <c r="ERT45" s="13"/>
      <c r="ERU45" s="13"/>
      <c r="ERV45" s="13"/>
      <c r="ERW45" s="13"/>
      <c r="ERX45" s="13"/>
      <c r="ERY45" s="13"/>
      <c r="ERZ45" s="13"/>
      <c r="ESA45" s="13"/>
      <c r="ESB45" s="13"/>
      <c r="ESC45" s="13"/>
      <c r="ESD45" s="13"/>
      <c r="ESE45" s="13"/>
      <c r="ESF45" s="13"/>
      <c r="ESG45" s="13"/>
      <c r="ESH45" s="13"/>
      <c r="ESI45" s="13"/>
      <c r="ESJ45" s="13"/>
      <c r="ESK45" s="13"/>
      <c r="ESL45" s="13"/>
      <c r="ESM45" s="13"/>
      <c r="ESN45" s="13"/>
      <c r="ESO45" s="13"/>
      <c r="ESP45" s="13"/>
      <c r="ESQ45" s="13"/>
      <c r="ESR45" s="13"/>
      <c r="ESS45" s="13"/>
      <c r="EST45" s="13"/>
      <c r="ESU45" s="13"/>
      <c r="ESV45" s="13"/>
      <c r="ESW45" s="13"/>
      <c r="ESX45" s="13"/>
      <c r="ESY45" s="13"/>
      <c r="ESZ45" s="13"/>
      <c r="ETA45" s="13"/>
      <c r="ETB45" s="13"/>
      <c r="ETC45" s="13"/>
      <c r="ETD45" s="13"/>
      <c r="ETE45" s="13"/>
      <c r="ETF45" s="13"/>
      <c r="ETG45" s="13"/>
      <c r="ETH45" s="13"/>
      <c r="ETI45" s="13"/>
      <c r="ETJ45" s="13"/>
      <c r="ETK45" s="13"/>
      <c r="ETL45" s="13"/>
      <c r="ETM45" s="13"/>
      <c r="ETN45" s="13"/>
      <c r="ETO45" s="13"/>
      <c r="ETP45" s="13"/>
      <c r="ETQ45" s="13"/>
      <c r="ETR45" s="13"/>
      <c r="ETS45" s="13"/>
      <c r="ETT45" s="13"/>
      <c r="ETU45" s="13"/>
      <c r="ETV45" s="13"/>
      <c r="ETW45" s="13"/>
      <c r="ETX45" s="13"/>
      <c r="ETY45" s="13"/>
      <c r="ETZ45" s="13"/>
      <c r="EUA45" s="13"/>
      <c r="EUB45" s="13"/>
      <c r="EUC45" s="13"/>
      <c r="EUD45" s="13"/>
      <c r="EUE45" s="13"/>
      <c r="EUF45" s="13"/>
      <c r="EUG45" s="13"/>
      <c r="EUH45" s="13"/>
      <c r="EUI45" s="13"/>
      <c r="EUJ45" s="13"/>
      <c r="EUK45" s="13"/>
      <c r="EUL45" s="13"/>
      <c r="EUM45" s="13"/>
      <c r="EUN45" s="13"/>
      <c r="EUO45" s="13"/>
      <c r="EUP45" s="13"/>
      <c r="EUQ45" s="13"/>
      <c r="EUR45" s="13"/>
      <c r="EUS45" s="13"/>
      <c r="EUT45" s="13"/>
      <c r="EUU45" s="13"/>
      <c r="EUV45" s="13"/>
      <c r="EUW45" s="13"/>
      <c r="EUX45" s="13"/>
      <c r="EUY45" s="13"/>
      <c r="EUZ45" s="13"/>
      <c r="EVA45" s="13"/>
      <c r="EVB45" s="13"/>
      <c r="EVC45" s="13"/>
      <c r="EVD45" s="13"/>
      <c r="EVE45" s="13"/>
      <c r="EVF45" s="13"/>
      <c r="EVG45" s="13"/>
      <c r="EVH45" s="13"/>
      <c r="EVI45" s="13"/>
      <c r="EVJ45" s="13"/>
      <c r="EVK45" s="13"/>
      <c r="EVL45" s="13"/>
      <c r="EVM45" s="13"/>
      <c r="EVN45" s="13"/>
      <c r="EVO45" s="13"/>
      <c r="EVP45" s="13"/>
      <c r="EVQ45" s="13"/>
      <c r="EVR45" s="13"/>
      <c r="EVS45" s="13"/>
      <c r="EVT45" s="13"/>
      <c r="EVU45" s="13"/>
      <c r="EVV45" s="13"/>
      <c r="EVW45" s="13"/>
      <c r="EVX45" s="13"/>
      <c r="EVY45" s="13"/>
      <c r="EVZ45" s="13"/>
      <c r="EWA45" s="13"/>
      <c r="EWB45" s="13"/>
      <c r="EWC45" s="13"/>
      <c r="EWD45" s="13"/>
      <c r="EWE45" s="13"/>
      <c r="EWF45" s="13"/>
      <c r="EWG45" s="13"/>
      <c r="EWH45" s="13"/>
      <c r="EWI45" s="13"/>
      <c r="EWJ45" s="13"/>
      <c r="EWK45" s="13"/>
      <c r="EWL45" s="13"/>
      <c r="EWM45" s="13"/>
      <c r="EWN45" s="13"/>
      <c r="EWO45" s="13"/>
      <c r="EWP45" s="13"/>
      <c r="EWQ45" s="13"/>
      <c r="EWR45" s="13"/>
      <c r="EWS45" s="13"/>
      <c r="EWT45" s="13"/>
      <c r="EWU45" s="13"/>
      <c r="EWV45" s="13"/>
      <c r="EWW45" s="13"/>
      <c r="EWX45" s="13"/>
      <c r="EWY45" s="13"/>
      <c r="EWZ45" s="13"/>
      <c r="EXA45" s="13"/>
      <c r="EXB45" s="13"/>
      <c r="EXC45" s="13"/>
      <c r="EXD45" s="13"/>
      <c r="EXE45" s="13"/>
      <c r="EXF45" s="13"/>
      <c r="EXG45" s="13"/>
      <c r="EXH45" s="13"/>
      <c r="EXI45" s="13"/>
      <c r="EXJ45" s="13"/>
      <c r="EXK45" s="13"/>
      <c r="EXL45" s="13"/>
      <c r="EXM45" s="13"/>
      <c r="EXN45" s="13"/>
      <c r="EXO45" s="13"/>
      <c r="EXP45" s="13"/>
      <c r="EXQ45" s="13"/>
      <c r="EXR45" s="13"/>
      <c r="EXS45" s="13"/>
      <c r="EXT45" s="13"/>
      <c r="EXU45" s="13"/>
      <c r="EXV45" s="13"/>
      <c r="EXW45" s="13"/>
      <c r="EXX45" s="13"/>
      <c r="EXY45" s="13"/>
      <c r="EXZ45" s="13"/>
      <c r="EYA45" s="13"/>
      <c r="EYB45" s="13"/>
      <c r="EYC45" s="13"/>
      <c r="EYD45" s="13"/>
      <c r="EYE45" s="13"/>
      <c r="EYF45" s="13"/>
      <c r="EYG45" s="13"/>
      <c r="EYH45" s="13"/>
      <c r="EYI45" s="13"/>
      <c r="EYJ45" s="13"/>
      <c r="EYK45" s="13"/>
      <c r="EYL45" s="13"/>
      <c r="EYM45" s="13"/>
      <c r="EYN45" s="13"/>
      <c r="EYO45" s="13"/>
      <c r="EYP45" s="13"/>
      <c r="EYQ45" s="13"/>
      <c r="EYR45" s="13"/>
      <c r="EYS45" s="13"/>
      <c r="EYT45" s="13"/>
      <c r="EYU45" s="13"/>
      <c r="EYV45" s="13"/>
      <c r="EYW45" s="13"/>
      <c r="EYX45" s="13"/>
      <c r="EYY45" s="13"/>
      <c r="EYZ45" s="13"/>
      <c r="EZA45" s="13"/>
      <c r="EZB45" s="13"/>
      <c r="EZC45" s="13"/>
      <c r="EZD45" s="13"/>
      <c r="EZE45" s="13"/>
      <c r="EZF45" s="13"/>
      <c r="EZG45" s="13"/>
      <c r="EZH45" s="13"/>
      <c r="EZI45" s="13"/>
      <c r="EZJ45" s="13"/>
      <c r="EZK45" s="13"/>
      <c r="EZL45" s="13"/>
      <c r="EZM45" s="13"/>
      <c r="EZN45" s="13"/>
      <c r="EZO45" s="13"/>
      <c r="EZP45" s="13"/>
      <c r="EZQ45" s="13"/>
      <c r="EZR45" s="13"/>
      <c r="EZS45" s="13"/>
      <c r="EZT45" s="13"/>
      <c r="EZU45" s="13"/>
      <c r="EZV45" s="13"/>
      <c r="EZW45" s="13"/>
      <c r="EZX45" s="13"/>
      <c r="EZY45" s="13"/>
      <c r="EZZ45" s="13"/>
      <c r="FAA45" s="13"/>
      <c r="FAB45" s="13"/>
      <c r="FAC45" s="13"/>
      <c r="FAD45" s="13"/>
      <c r="FAE45" s="13"/>
      <c r="FAF45" s="13"/>
      <c r="FAG45" s="13"/>
      <c r="FAH45" s="13"/>
      <c r="FAI45" s="13"/>
      <c r="FAJ45" s="13"/>
      <c r="FAK45" s="13"/>
      <c r="FAL45" s="13"/>
      <c r="FAM45" s="13"/>
      <c r="FAN45" s="13"/>
      <c r="FAO45" s="13"/>
      <c r="FAP45" s="13"/>
      <c r="FAQ45" s="13"/>
      <c r="FAR45" s="13"/>
      <c r="FAS45" s="13"/>
      <c r="FAT45" s="13"/>
      <c r="FAU45" s="13"/>
      <c r="FAV45" s="13"/>
      <c r="FAW45" s="13"/>
      <c r="FAX45" s="13"/>
      <c r="FAY45" s="13"/>
      <c r="FAZ45" s="13"/>
      <c r="FBA45" s="13"/>
      <c r="FBB45" s="13"/>
      <c r="FBC45" s="13"/>
      <c r="FBD45" s="13"/>
      <c r="FBE45" s="13"/>
      <c r="FBF45" s="13"/>
      <c r="FBG45" s="13"/>
      <c r="FBH45" s="13"/>
      <c r="FBI45" s="13"/>
      <c r="FBJ45" s="13"/>
      <c r="FBK45" s="13"/>
      <c r="FBL45" s="13"/>
      <c r="FBM45" s="13"/>
      <c r="FBN45" s="13"/>
      <c r="FBO45" s="13"/>
      <c r="FBP45" s="13"/>
      <c r="FBQ45" s="13"/>
      <c r="FBR45" s="13"/>
      <c r="FBS45" s="13"/>
      <c r="FBT45" s="13"/>
      <c r="FBU45" s="13"/>
      <c r="FBV45" s="13"/>
      <c r="FBW45" s="13"/>
      <c r="FBX45" s="13"/>
      <c r="FBY45" s="13"/>
      <c r="FBZ45" s="13"/>
      <c r="FCA45" s="13"/>
      <c r="FCB45" s="13"/>
      <c r="FCC45" s="13"/>
      <c r="FCD45" s="13"/>
      <c r="FCE45" s="13"/>
      <c r="FCF45" s="13"/>
      <c r="FCG45" s="13"/>
      <c r="FCH45" s="13"/>
      <c r="FCI45" s="13"/>
      <c r="FCJ45" s="13"/>
      <c r="FCK45" s="13"/>
      <c r="FCL45" s="13"/>
      <c r="FCM45" s="13"/>
      <c r="FCN45" s="13"/>
      <c r="FCO45" s="13"/>
      <c r="FCP45" s="13"/>
      <c r="FCQ45" s="13"/>
      <c r="FCR45" s="13"/>
      <c r="FCS45" s="13"/>
      <c r="FCT45" s="13"/>
      <c r="FCU45" s="13"/>
      <c r="FCV45" s="13"/>
      <c r="FCW45" s="13"/>
      <c r="FCX45" s="13"/>
      <c r="FCY45" s="13"/>
      <c r="FCZ45" s="13"/>
      <c r="FDA45" s="13"/>
      <c r="FDB45" s="13"/>
      <c r="FDC45" s="13"/>
      <c r="FDD45" s="13"/>
      <c r="FDE45" s="13"/>
      <c r="FDF45" s="13"/>
      <c r="FDG45" s="13"/>
      <c r="FDH45" s="13"/>
      <c r="FDI45" s="13"/>
      <c r="FDJ45" s="13"/>
      <c r="FDK45" s="13"/>
      <c r="FDL45" s="13"/>
      <c r="FDM45" s="13"/>
      <c r="FDN45" s="13"/>
      <c r="FDO45" s="13"/>
      <c r="FDP45" s="13"/>
      <c r="FDQ45" s="13"/>
      <c r="FDR45" s="13"/>
      <c r="FDS45" s="13"/>
      <c r="FDT45" s="13"/>
      <c r="FDU45" s="13"/>
      <c r="FDV45" s="13"/>
      <c r="FDW45" s="13"/>
      <c r="FDX45" s="13"/>
      <c r="FDY45" s="13"/>
      <c r="FDZ45" s="13"/>
      <c r="FEA45" s="13"/>
      <c r="FEB45" s="13"/>
      <c r="FEC45" s="13"/>
      <c r="FED45" s="13"/>
      <c r="FEE45" s="13"/>
      <c r="FEF45" s="13"/>
      <c r="FEG45" s="13"/>
      <c r="FEH45" s="13"/>
      <c r="FEI45" s="13"/>
      <c r="FEJ45" s="13"/>
      <c r="FEK45" s="13"/>
      <c r="FEL45" s="13"/>
      <c r="FEM45" s="13"/>
      <c r="FEN45" s="13"/>
      <c r="FEO45" s="13"/>
      <c r="FEP45" s="13"/>
      <c r="FEQ45" s="13"/>
      <c r="FER45" s="13"/>
      <c r="FES45" s="13"/>
      <c r="FET45" s="13"/>
      <c r="FEU45" s="13"/>
      <c r="FEV45" s="13"/>
      <c r="FEW45" s="13"/>
      <c r="FEX45" s="13"/>
      <c r="FEY45" s="13"/>
      <c r="FEZ45" s="13"/>
      <c r="FFA45" s="13"/>
      <c r="FFB45" s="13"/>
      <c r="FFC45" s="13"/>
      <c r="FFD45" s="13"/>
      <c r="FFE45" s="13"/>
      <c r="FFF45" s="13"/>
      <c r="FFG45" s="13"/>
      <c r="FFH45" s="13"/>
      <c r="FFI45" s="13"/>
      <c r="FFJ45" s="13"/>
      <c r="FFK45" s="13"/>
      <c r="FFL45" s="13"/>
      <c r="FFM45" s="13"/>
      <c r="FFN45" s="13"/>
      <c r="FFO45" s="13"/>
      <c r="FFP45" s="13"/>
      <c r="FFQ45" s="13"/>
      <c r="FFR45" s="13"/>
      <c r="FFS45" s="13"/>
      <c r="FFT45" s="13"/>
      <c r="FFU45" s="13"/>
      <c r="FFV45" s="13"/>
      <c r="FFW45" s="13"/>
      <c r="FFX45" s="13"/>
      <c r="FFY45" s="13"/>
      <c r="FFZ45" s="13"/>
      <c r="FGA45" s="13"/>
      <c r="FGB45" s="13"/>
      <c r="FGC45" s="13"/>
      <c r="FGD45" s="13"/>
      <c r="FGE45" s="13"/>
      <c r="FGF45" s="13"/>
      <c r="FGG45" s="13"/>
      <c r="FGH45" s="13"/>
      <c r="FGI45" s="13"/>
      <c r="FGJ45" s="13"/>
      <c r="FGK45" s="13"/>
      <c r="FGL45" s="13"/>
      <c r="FGM45" s="13"/>
      <c r="FGN45" s="13"/>
      <c r="FGO45" s="13"/>
      <c r="FGP45" s="13"/>
      <c r="FGQ45" s="13"/>
      <c r="FGR45" s="13"/>
      <c r="FGS45" s="13"/>
      <c r="FGT45" s="13"/>
      <c r="FGU45" s="13"/>
      <c r="FGV45" s="13"/>
      <c r="FGW45" s="13"/>
      <c r="FGX45" s="13"/>
      <c r="FGY45" s="13"/>
      <c r="FGZ45" s="13"/>
      <c r="FHA45" s="13"/>
      <c r="FHB45" s="13"/>
      <c r="FHC45" s="13"/>
      <c r="FHD45" s="13"/>
      <c r="FHE45" s="13"/>
      <c r="FHF45" s="13"/>
      <c r="FHG45" s="13"/>
      <c r="FHH45" s="13"/>
      <c r="FHI45" s="13"/>
      <c r="FHJ45" s="13"/>
      <c r="FHK45" s="13"/>
      <c r="FHL45" s="13"/>
      <c r="FHM45" s="13"/>
      <c r="FHN45" s="13"/>
      <c r="FHO45" s="13"/>
      <c r="FHP45" s="13"/>
      <c r="FHQ45" s="13"/>
      <c r="FHR45" s="13"/>
      <c r="FHS45" s="13"/>
      <c r="FHT45" s="13"/>
      <c r="FHU45" s="13"/>
      <c r="FHV45" s="13"/>
      <c r="FHW45" s="13"/>
      <c r="FHX45" s="13"/>
      <c r="FHY45" s="13"/>
      <c r="FHZ45" s="13"/>
      <c r="FIA45" s="13"/>
      <c r="FIB45" s="13"/>
      <c r="FIC45" s="13"/>
      <c r="FID45" s="13"/>
      <c r="FIE45" s="13"/>
      <c r="FIF45" s="13"/>
      <c r="FIG45" s="13"/>
      <c r="FIH45" s="13"/>
      <c r="FII45" s="13"/>
      <c r="FIJ45" s="13"/>
      <c r="FIK45" s="13"/>
      <c r="FIL45" s="13"/>
      <c r="FIM45" s="13"/>
      <c r="FIN45" s="13"/>
      <c r="FIO45" s="13"/>
      <c r="FIP45" s="13"/>
      <c r="FIQ45" s="13"/>
      <c r="FIR45" s="13"/>
      <c r="FIS45" s="13"/>
      <c r="FIT45" s="13"/>
      <c r="FIU45" s="13"/>
      <c r="FIV45" s="13"/>
      <c r="FIW45" s="13"/>
      <c r="FIX45" s="13"/>
      <c r="FIY45" s="13"/>
      <c r="FIZ45" s="13"/>
      <c r="FJA45" s="13"/>
      <c r="FJB45" s="13"/>
      <c r="FJC45" s="13"/>
      <c r="FJD45" s="13"/>
      <c r="FJE45" s="13"/>
      <c r="FJF45" s="13"/>
      <c r="FJG45" s="13"/>
      <c r="FJH45" s="13"/>
      <c r="FJI45" s="13"/>
      <c r="FJJ45" s="13"/>
      <c r="FJK45" s="13"/>
      <c r="FJL45" s="13"/>
      <c r="FJM45" s="13"/>
      <c r="FJN45" s="13"/>
      <c r="FJO45" s="13"/>
      <c r="FJP45" s="13"/>
      <c r="FJQ45" s="13"/>
      <c r="FJR45" s="13"/>
      <c r="FJS45" s="13"/>
      <c r="FJT45" s="13"/>
      <c r="FJU45" s="13"/>
      <c r="FJV45" s="13"/>
      <c r="FJW45" s="13"/>
      <c r="FJX45" s="13"/>
      <c r="FJY45" s="13"/>
      <c r="FJZ45" s="13"/>
      <c r="FKA45" s="13"/>
      <c r="FKB45" s="13"/>
      <c r="FKC45" s="13"/>
      <c r="FKD45" s="13"/>
      <c r="FKE45" s="13"/>
      <c r="FKF45" s="13"/>
      <c r="FKG45" s="13"/>
      <c r="FKH45" s="13"/>
      <c r="FKI45" s="13"/>
      <c r="FKJ45" s="13"/>
      <c r="FKK45" s="13"/>
      <c r="FKL45" s="13"/>
      <c r="FKM45" s="13"/>
      <c r="FKN45" s="13"/>
      <c r="FKO45" s="13"/>
      <c r="FKP45" s="13"/>
      <c r="FKQ45" s="13"/>
      <c r="FKR45" s="13"/>
      <c r="FKS45" s="13"/>
      <c r="FKT45" s="13"/>
      <c r="FKU45" s="13"/>
      <c r="FKV45" s="13"/>
      <c r="FKW45" s="13"/>
      <c r="FKX45" s="13"/>
      <c r="FKY45" s="13"/>
      <c r="FKZ45" s="13"/>
      <c r="FLA45" s="13"/>
      <c r="FLB45" s="13"/>
      <c r="FLC45" s="13"/>
      <c r="FLD45" s="13"/>
      <c r="FLE45" s="13"/>
      <c r="FLF45" s="13"/>
      <c r="FLG45" s="13"/>
      <c r="FLH45" s="13"/>
      <c r="FLI45" s="13"/>
      <c r="FLJ45" s="13"/>
      <c r="FLK45" s="13"/>
      <c r="FLL45" s="13"/>
      <c r="FLM45" s="13"/>
      <c r="FLN45" s="13"/>
      <c r="FLO45" s="13"/>
      <c r="FLP45" s="13"/>
      <c r="FLQ45" s="13"/>
      <c r="FLR45" s="13"/>
      <c r="FLS45" s="13"/>
      <c r="FLT45" s="13"/>
      <c r="FLU45" s="13"/>
      <c r="FLV45" s="13"/>
      <c r="FLW45" s="13"/>
      <c r="FLX45" s="13"/>
      <c r="FLY45" s="13"/>
      <c r="FLZ45" s="13"/>
      <c r="FMA45" s="13"/>
      <c r="FMB45" s="13"/>
      <c r="FMC45" s="13"/>
      <c r="FMD45" s="13"/>
      <c r="FME45" s="13"/>
      <c r="FMF45" s="13"/>
      <c r="FMG45" s="13"/>
      <c r="FMH45" s="13"/>
      <c r="FMI45" s="13"/>
      <c r="FMJ45" s="13"/>
      <c r="FMK45" s="13"/>
      <c r="FML45" s="13"/>
      <c r="FMM45" s="13"/>
      <c r="FMN45" s="13"/>
      <c r="FMO45" s="13"/>
      <c r="FMP45" s="13"/>
      <c r="FMQ45" s="13"/>
      <c r="FMR45" s="13"/>
      <c r="FMS45" s="13"/>
      <c r="FMT45" s="13"/>
      <c r="FMU45" s="13"/>
      <c r="FMV45" s="13"/>
      <c r="FMW45" s="13"/>
      <c r="FMX45" s="13"/>
      <c r="FMY45" s="13"/>
      <c r="FMZ45" s="13"/>
      <c r="FNA45" s="13"/>
      <c r="FNB45" s="13"/>
      <c r="FNC45" s="13"/>
      <c r="FND45" s="13"/>
      <c r="FNE45" s="13"/>
      <c r="FNF45" s="13"/>
      <c r="FNG45" s="13"/>
      <c r="FNH45" s="13"/>
      <c r="FNI45" s="13"/>
      <c r="FNJ45" s="13"/>
      <c r="FNK45" s="13"/>
      <c r="FNL45" s="13"/>
      <c r="FNM45" s="13"/>
      <c r="FNN45" s="13"/>
      <c r="FNO45" s="13"/>
      <c r="FNP45" s="13"/>
      <c r="FNQ45" s="13"/>
      <c r="FNR45" s="13"/>
      <c r="FNS45" s="13"/>
      <c r="FNT45" s="13"/>
      <c r="FNU45" s="13"/>
      <c r="FNV45" s="13"/>
      <c r="FNW45" s="13"/>
      <c r="FNX45" s="13"/>
      <c r="FNY45" s="13"/>
      <c r="FNZ45" s="13"/>
      <c r="FOA45" s="13"/>
      <c r="FOB45" s="13"/>
      <c r="FOC45" s="13"/>
      <c r="FOD45" s="13"/>
      <c r="FOE45" s="13"/>
      <c r="FOF45" s="13"/>
      <c r="FOG45" s="13"/>
      <c r="FOH45" s="13"/>
      <c r="FOI45" s="13"/>
      <c r="FOJ45" s="13"/>
      <c r="FOK45" s="13"/>
      <c r="FOL45" s="13"/>
      <c r="FOM45" s="13"/>
      <c r="FON45" s="13"/>
      <c r="FOO45" s="13"/>
      <c r="FOP45" s="13"/>
      <c r="FOQ45" s="13"/>
      <c r="FOR45" s="13"/>
      <c r="FOS45" s="13"/>
      <c r="FOT45" s="13"/>
      <c r="FOU45" s="13"/>
      <c r="FOV45" s="13"/>
      <c r="FOW45" s="13"/>
      <c r="FOX45" s="13"/>
      <c r="FOY45" s="13"/>
      <c r="FOZ45" s="13"/>
      <c r="FPA45" s="13"/>
      <c r="FPB45" s="13"/>
      <c r="FPC45" s="13"/>
      <c r="FPD45" s="13"/>
      <c r="FPE45" s="13"/>
      <c r="FPF45" s="13"/>
      <c r="FPG45" s="13"/>
      <c r="FPH45" s="13"/>
      <c r="FPI45" s="13"/>
      <c r="FPJ45" s="13"/>
      <c r="FPK45" s="13"/>
      <c r="FPL45" s="13"/>
      <c r="FPM45" s="13"/>
      <c r="FPN45" s="13"/>
      <c r="FPO45" s="13"/>
      <c r="FPP45" s="13"/>
      <c r="FPQ45" s="13"/>
      <c r="FPR45" s="13"/>
      <c r="FPS45" s="13"/>
      <c r="FPT45" s="13"/>
      <c r="FPU45" s="13"/>
      <c r="FPV45" s="13"/>
      <c r="FPW45" s="13"/>
      <c r="FPX45" s="13"/>
      <c r="FPY45" s="13"/>
      <c r="FPZ45" s="13"/>
      <c r="FQA45" s="13"/>
      <c r="FQB45" s="13"/>
      <c r="FQC45" s="13"/>
      <c r="FQD45" s="13"/>
      <c r="FQE45" s="13"/>
      <c r="FQF45" s="13"/>
      <c r="FQG45" s="13"/>
      <c r="FQH45" s="13"/>
      <c r="FQI45" s="13"/>
      <c r="FQJ45" s="13"/>
      <c r="FQK45" s="13"/>
      <c r="FQL45" s="13"/>
      <c r="FQM45" s="13"/>
      <c r="FQN45" s="13"/>
      <c r="FQO45" s="13"/>
      <c r="FQP45" s="13"/>
      <c r="FQQ45" s="13"/>
      <c r="FQR45" s="13"/>
      <c r="FQS45" s="13"/>
      <c r="FQT45" s="13"/>
      <c r="FQU45" s="13"/>
      <c r="FQV45" s="13"/>
      <c r="FQW45" s="13"/>
      <c r="FQX45" s="13"/>
      <c r="FQY45" s="13"/>
      <c r="FQZ45" s="13"/>
      <c r="FRA45" s="13"/>
      <c r="FRB45" s="13"/>
      <c r="FRC45" s="13"/>
      <c r="FRD45" s="13"/>
      <c r="FRE45" s="13"/>
      <c r="FRF45" s="13"/>
      <c r="FRG45" s="13"/>
      <c r="FRH45" s="13"/>
      <c r="FRI45" s="13"/>
      <c r="FRJ45" s="13"/>
      <c r="FRK45" s="13"/>
      <c r="FRL45" s="13"/>
      <c r="FRM45" s="13"/>
      <c r="FRN45" s="13"/>
      <c r="FRO45" s="13"/>
      <c r="FRP45" s="13"/>
      <c r="FRQ45" s="13"/>
      <c r="FRR45" s="13"/>
      <c r="FRS45" s="13"/>
      <c r="FRT45" s="13"/>
      <c r="FRU45" s="13"/>
      <c r="FRV45" s="13"/>
      <c r="FRW45" s="13"/>
      <c r="FRX45" s="13"/>
      <c r="FRY45" s="13"/>
      <c r="FRZ45" s="13"/>
      <c r="FSA45" s="13"/>
      <c r="FSB45" s="13"/>
      <c r="FSC45" s="13"/>
      <c r="FSD45" s="13"/>
      <c r="FSE45" s="13"/>
      <c r="FSF45" s="13"/>
      <c r="FSG45" s="13"/>
      <c r="FSH45" s="13"/>
      <c r="FSI45" s="13"/>
      <c r="FSJ45" s="13"/>
      <c r="FSK45" s="13"/>
      <c r="FSL45" s="13"/>
      <c r="FSM45" s="13"/>
      <c r="FSN45" s="13"/>
      <c r="FSO45" s="13"/>
      <c r="FSP45" s="13"/>
      <c r="FSQ45" s="13"/>
      <c r="FSR45" s="13"/>
      <c r="FSS45" s="13"/>
      <c r="FST45" s="13"/>
      <c r="FSU45" s="13"/>
      <c r="FSV45" s="13"/>
      <c r="FSW45" s="13"/>
      <c r="FSX45" s="13"/>
      <c r="FSY45" s="13"/>
      <c r="FSZ45" s="13"/>
      <c r="FTA45" s="13"/>
      <c r="FTB45" s="13"/>
      <c r="FTC45" s="13"/>
      <c r="FTD45" s="13"/>
      <c r="FTE45" s="13"/>
      <c r="FTF45" s="13"/>
      <c r="FTG45" s="13"/>
      <c r="FTH45" s="13"/>
      <c r="FTI45" s="13"/>
      <c r="FTJ45" s="13"/>
      <c r="FTK45" s="13"/>
      <c r="FTL45" s="13"/>
      <c r="FTM45" s="13"/>
      <c r="FTN45" s="13"/>
      <c r="FTO45" s="13"/>
      <c r="FTP45" s="13"/>
      <c r="FTQ45" s="13"/>
      <c r="FTR45" s="13"/>
      <c r="FTS45" s="13"/>
      <c r="FTT45" s="13"/>
      <c r="FTU45" s="13"/>
      <c r="FTV45" s="13"/>
      <c r="FTW45" s="13"/>
      <c r="FTX45" s="13"/>
      <c r="FTY45" s="13"/>
      <c r="FTZ45" s="13"/>
      <c r="FUA45" s="13"/>
      <c r="FUB45" s="13"/>
      <c r="FUC45" s="13"/>
      <c r="FUD45" s="13"/>
      <c r="FUE45" s="13"/>
      <c r="FUF45" s="13"/>
      <c r="FUG45" s="13"/>
      <c r="FUH45" s="13"/>
      <c r="FUI45" s="13"/>
      <c r="FUJ45" s="13"/>
      <c r="FUK45" s="13"/>
      <c r="FUL45" s="13"/>
      <c r="FUM45" s="13"/>
      <c r="FUN45" s="13"/>
      <c r="FUO45" s="13"/>
      <c r="FUP45" s="13"/>
      <c r="FUQ45" s="13"/>
      <c r="FUR45" s="13"/>
      <c r="FUS45" s="13"/>
      <c r="FUT45" s="13"/>
      <c r="FUU45" s="13"/>
      <c r="FUV45" s="13"/>
      <c r="FUW45" s="13"/>
      <c r="FUX45" s="13"/>
      <c r="FUY45" s="13"/>
      <c r="FUZ45" s="13"/>
      <c r="FVA45" s="13"/>
      <c r="FVB45" s="13"/>
      <c r="FVC45" s="13"/>
      <c r="FVD45" s="13"/>
      <c r="FVE45" s="13"/>
      <c r="FVF45" s="13"/>
      <c r="FVG45" s="13"/>
      <c r="FVH45" s="13"/>
      <c r="FVI45" s="13"/>
      <c r="FVJ45" s="13"/>
      <c r="FVK45" s="13"/>
      <c r="FVL45" s="13"/>
      <c r="FVM45" s="13"/>
      <c r="FVN45" s="13"/>
      <c r="FVO45" s="13"/>
      <c r="FVP45" s="13"/>
      <c r="FVQ45" s="13"/>
      <c r="FVR45" s="13"/>
      <c r="FVS45" s="13"/>
      <c r="FVT45" s="13"/>
      <c r="FVU45" s="13"/>
      <c r="FVV45" s="13"/>
      <c r="FVW45" s="13"/>
      <c r="FVX45" s="13"/>
      <c r="FVY45" s="13"/>
      <c r="FVZ45" s="13"/>
      <c r="FWA45" s="13"/>
      <c r="FWB45" s="13"/>
      <c r="FWC45" s="13"/>
      <c r="FWD45" s="13"/>
      <c r="FWE45" s="13"/>
      <c r="FWF45" s="13"/>
      <c r="FWG45" s="13"/>
      <c r="FWH45" s="13"/>
      <c r="FWI45" s="13"/>
      <c r="FWJ45" s="13"/>
      <c r="FWK45" s="13"/>
      <c r="FWL45" s="13"/>
      <c r="FWM45" s="13"/>
      <c r="FWN45" s="13"/>
      <c r="FWO45" s="13"/>
      <c r="FWP45" s="13"/>
      <c r="FWQ45" s="13"/>
      <c r="FWR45" s="13"/>
      <c r="FWS45" s="13"/>
      <c r="FWT45" s="13"/>
      <c r="FWU45" s="13"/>
      <c r="FWV45" s="13"/>
      <c r="FWW45" s="13"/>
      <c r="FWX45" s="13"/>
      <c r="FWY45" s="13"/>
      <c r="FWZ45" s="13"/>
      <c r="FXA45" s="13"/>
      <c r="FXB45" s="13"/>
      <c r="FXC45" s="13"/>
      <c r="FXD45" s="13"/>
      <c r="FXE45" s="13"/>
      <c r="FXF45" s="13"/>
      <c r="FXG45" s="13"/>
      <c r="FXH45" s="13"/>
      <c r="FXI45" s="13"/>
      <c r="FXJ45" s="13"/>
      <c r="FXK45" s="13"/>
      <c r="FXL45" s="13"/>
      <c r="FXM45" s="13"/>
      <c r="FXN45" s="13"/>
      <c r="FXO45" s="13"/>
      <c r="FXP45" s="13"/>
      <c r="FXQ45" s="13"/>
      <c r="FXR45" s="13"/>
      <c r="FXS45" s="13"/>
      <c r="FXT45" s="13"/>
      <c r="FXU45" s="13"/>
      <c r="FXV45" s="13"/>
      <c r="FXW45" s="13"/>
      <c r="FXX45" s="13"/>
      <c r="FXY45" s="13"/>
      <c r="FXZ45" s="13"/>
      <c r="FYA45" s="13"/>
      <c r="FYB45" s="13"/>
      <c r="FYC45" s="13"/>
      <c r="FYD45" s="13"/>
      <c r="FYE45" s="13"/>
      <c r="FYF45" s="13"/>
      <c r="FYG45" s="13"/>
      <c r="FYH45" s="13"/>
      <c r="FYI45" s="13"/>
      <c r="FYJ45" s="13"/>
      <c r="FYK45" s="13"/>
      <c r="FYL45" s="13"/>
      <c r="FYM45" s="13"/>
      <c r="FYN45" s="13"/>
      <c r="FYO45" s="13"/>
      <c r="FYP45" s="13"/>
      <c r="FYQ45" s="13"/>
      <c r="FYR45" s="13"/>
      <c r="FYS45" s="13"/>
      <c r="FYT45" s="13"/>
      <c r="FYU45" s="13"/>
      <c r="FYV45" s="13"/>
      <c r="FYW45" s="13"/>
      <c r="FYX45" s="13"/>
      <c r="FYY45" s="13"/>
      <c r="FYZ45" s="13"/>
      <c r="FZA45" s="13"/>
      <c r="FZB45" s="13"/>
      <c r="FZC45" s="13"/>
      <c r="FZD45" s="13"/>
      <c r="FZE45" s="13"/>
      <c r="FZF45" s="13"/>
      <c r="FZG45" s="13"/>
      <c r="FZH45" s="13"/>
      <c r="FZI45" s="13"/>
      <c r="FZJ45" s="13"/>
      <c r="FZK45" s="13"/>
      <c r="FZL45" s="13"/>
      <c r="FZM45" s="13"/>
      <c r="FZN45" s="13"/>
      <c r="FZO45" s="13"/>
      <c r="FZP45" s="13"/>
      <c r="FZQ45" s="13"/>
      <c r="FZR45" s="13"/>
      <c r="FZS45" s="13"/>
      <c r="FZT45" s="13"/>
      <c r="FZU45" s="13"/>
      <c r="FZV45" s="13"/>
      <c r="FZW45" s="13"/>
      <c r="FZX45" s="13"/>
      <c r="FZY45" s="13"/>
      <c r="FZZ45" s="13"/>
      <c r="GAA45" s="13"/>
      <c r="GAB45" s="13"/>
      <c r="GAC45" s="13"/>
      <c r="GAD45" s="13"/>
      <c r="GAE45" s="13"/>
      <c r="GAF45" s="13"/>
      <c r="GAG45" s="13"/>
      <c r="GAH45" s="13"/>
      <c r="GAI45" s="13"/>
      <c r="GAJ45" s="13"/>
      <c r="GAK45" s="13"/>
      <c r="GAL45" s="13"/>
      <c r="GAM45" s="13"/>
      <c r="GAN45" s="13"/>
      <c r="GAO45" s="13"/>
      <c r="GAP45" s="13"/>
      <c r="GAQ45" s="13"/>
      <c r="GAR45" s="13"/>
      <c r="GAS45" s="13"/>
      <c r="GAT45" s="13"/>
      <c r="GAU45" s="13"/>
      <c r="GAV45" s="13"/>
      <c r="GAW45" s="13"/>
      <c r="GAX45" s="13"/>
      <c r="GAY45" s="13"/>
      <c r="GAZ45" s="13"/>
      <c r="GBA45" s="13"/>
      <c r="GBB45" s="13"/>
      <c r="GBC45" s="13"/>
      <c r="GBD45" s="13"/>
      <c r="GBE45" s="13"/>
      <c r="GBF45" s="13"/>
      <c r="GBG45" s="13"/>
      <c r="GBH45" s="13"/>
      <c r="GBI45" s="13"/>
      <c r="GBJ45" s="13"/>
      <c r="GBK45" s="13"/>
      <c r="GBL45" s="13"/>
      <c r="GBM45" s="13"/>
      <c r="GBN45" s="13"/>
      <c r="GBO45" s="13"/>
      <c r="GBP45" s="13"/>
      <c r="GBQ45" s="13"/>
      <c r="GBR45" s="13"/>
      <c r="GBS45" s="13"/>
      <c r="GBT45" s="13"/>
      <c r="GBU45" s="13"/>
      <c r="GBV45" s="13"/>
      <c r="GBW45" s="13"/>
      <c r="GBX45" s="13"/>
      <c r="GBY45" s="13"/>
      <c r="GBZ45" s="13"/>
      <c r="GCA45" s="13"/>
      <c r="GCB45" s="13"/>
      <c r="GCC45" s="13"/>
      <c r="GCD45" s="13"/>
      <c r="GCE45" s="13"/>
      <c r="GCF45" s="13"/>
      <c r="GCG45" s="13"/>
      <c r="GCH45" s="13"/>
      <c r="GCI45" s="13"/>
      <c r="GCJ45" s="13"/>
      <c r="GCK45" s="13"/>
      <c r="GCL45" s="13"/>
      <c r="GCM45" s="13"/>
      <c r="GCN45" s="13"/>
      <c r="GCO45" s="13"/>
      <c r="GCP45" s="13"/>
      <c r="GCQ45" s="13"/>
      <c r="GCR45" s="13"/>
      <c r="GCS45" s="13"/>
      <c r="GCT45" s="13"/>
      <c r="GCU45" s="13"/>
      <c r="GCV45" s="13"/>
      <c r="GCW45" s="13"/>
      <c r="GCX45" s="13"/>
      <c r="GCY45" s="13"/>
      <c r="GCZ45" s="13"/>
      <c r="GDA45" s="13"/>
      <c r="GDB45" s="13"/>
      <c r="GDC45" s="13"/>
      <c r="GDD45" s="13"/>
      <c r="GDE45" s="13"/>
      <c r="GDF45" s="13"/>
      <c r="GDG45" s="13"/>
      <c r="GDH45" s="13"/>
      <c r="GDI45" s="13"/>
      <c r="GDJ45" s="13"/>
      <c r="GDK45" s="13"/>
      <c r="GDL45" s="13"/>
      <c r="GDM45" s="13"/>
      <c r="GDN45" s="13"/>
      <c r="GDO45" s="13"/>
      <c r="GDP45" s="13"/>
      <c r="GDQ45" s="13"/>
      <c r="GDR45" s="13"/>
      <c r="GDS45" s="13"/>
      <c r="GDT45" s="13"/>
      <c r="GDU45" s="13"/>
      <c r="GDV45" s="13"/>
      <c r="GDW45" s="13"/>
      <c r="GDX45" s="13"/>
      <c r="GDY45" s="13"/>
      <c r="GDZ45" s="13"/>
      <c r="GEA45" s="13"/>
      <c r="GEB45" s="13"/>
      <c r="GEC45" s="13"/>
      <c r="GED45" s="13"/>
      <c r="GEE45" s="13"/>
      <c r="GEF45" s="13"/>
      <c r="GEG45" s="13"/>
      <c r="GEH45" s="13"/>
      <c r="GEI45" s="13"/>
      <c r="GEJ45" s="13"/>
      <c r="GEK45" s="13"/>
      <c r="GEL45" s="13"/>
      <c r="GEM45" s="13"/>
      <c r="GEN45" s="13"/>
      <c r="GEO45" s="13"/>
      <c r="GEP45" s="13"/>
      <c r="GEQ45" s="13"/>
      <c r="GER45" s="13"/>
      <c r="GES45" s="13"/>
      <c r="GET45" s="13"/>
      <c r="GEU45" s="13"/>
      <c r="GEV45" s="13"/>
      <c r="GEW45" s="13"/>
      <c r="GEX45" s="13"/>
      <c r="GEY45" s="13"/>
      <c r="GEZ45" s="13"/>
      <c r="GFA45" s="13"/>
      <c r="GFB45" s="13"/>
      <c r="GFC45" s="13"/>
      <c r="GFD45" s="13"/>
      <c r="GFE45" s="13"/>
      <c r="GFF45" s="13"/>
      <c r="GFG45" s="13"/>
      <c r="GFH45" s="13"/>
      <c r="GFI45" s="13"/>
      <c r="GFJ45" s="13"/>
      <c r="GFK45" s="13"/>
      <c r="GFL45" s="13"/>
      <c r="GFM45" s="13"/>
      <c r="GFN45" s="13"/>
      <c r="GFO45" s="13"/>
      <c r="GFP45" s="13"/>
      <c r="GFQ45" s="13"/>
      <c r="GFR45" s="13"/>
      <c r="GFS45" s="13"/>
      <c r="GFT45" s="13"/>
      <c r="GFU45" s="13"/>
      <c r="GFV45" s="13"/>
      <c r="GFW45" s="13"/>
      <c r="GFX45" s="13"/>
      <c r="GFY45" s="13"/>
      <c r="GFZ45" s="13"/>
      <c r="GGA45" s="13"/>
      <c r="GGB45" s="13"/>
      <c r="GGC45" s="13"/>
      <c r="GGD45" s="13"/>
      <c r="GGE45" s="13"/>
      <c r="GGF45" s="13"/>
      <c r="GGG45" s="13"/>
      <c r="GGH45" s="13"/>
      <c r="GGI45" s="13"/>
      <c r="GGJ45" s="13"/>
      <c r="GGK45" s="13"/>
      <c r="GGL45" s="13"/>
      <c r="GGM45" s="13"/>
      <c r="GGN45" s="13"/>
      <c r="GGO45" s="13"/>
      <c r="GGP45" s="13"/>
      <c r="GGQ45" s="13"/>
      <c r="GGR45" s="13"/>
      <c r="GGS45" s="13"/>
      <c r="GGT45" s="13"/>
      <c r="GGU45" s="13"/>
      <c r="GGV45" s="13"/>
      <c r="GGW45" s="13"/>
      <c r="GGX45" s="13"/>
      <c r="GGY45" s="13"/>
      <c r="GGZ45" s="13"/>
      <c r="GHA45" s="13"/>
      <c r="GHB45" s="13"/>
      <c r="GHC45" s="13"/>
      <c r="GHD45" s="13"/>
      <c r="GHE45" s="13"/>
      <c r="GHF45" s="13"/>
      <c r="GHG45" s="13"/>
      <c r="GHH45" s="13"/>
      <c r="GHI45" s="13"/>
      <c r="GHJ45" s="13"/>
      <c r="GHK45" s="13"/>
      <c r="GHL45" s="13"/>
      <c r="GHM45" s="13"/>
      <c r="GHN45" s="13"/>
      <c r="GHO45" s="13"/>
      <c r="GHP45" s="13"/>
      <c r="GHQ45" s="13"/>
      <c r="GHR45" s="13"/>
      <c r="GHS45" s="13"/>
      <c r="GHT45" s="13"/>
      <c r="GHU45" s="13"/>
      <c r="GHV45" s="13"/>
      <c r="GHW45" s="13"/>
      <c r="GHX45" s="13"/>
      <c r="GHY45" s="13"/>
      <c r="GHZ45" s="13"/>
      <c r="GIA45" s="13"/>
      <c r="GIB45" s="13"/>
      <c r="GIC45" s="13"/>
      <c r="GID45" s="13"/>
      <c r="GIE45" s="13"/>
      <c r="GIF45" s="13"/>
      <c r="GIG45" s="13"/>
      <c r="GIH45" s="13"/>
      <c r="GII45" s="13"/>
      <c r="GIJ45" s="13"/>
      <c r="GIK45" s="13"/>
      <c r="GIL45" s="13"/>
      <c r="GIM45" s="13"/>
      <c r="GIN45" s="13"/>
      <c r="GIO45" s="13"/>
      <c r="GIP45" s="13"/>
      <c r="GIQ45" s="13"/>
      <c r="GIR45" s="13"/>
      <c r="GIS45" s="13"/>
      <c r="GIT45" s="13"/>
      <c r="GIU45" s="13"/>
      <c r="GIV45" s="13"/>
      <c r="GIW45" s="13"/>
      <c r="GIX45" s="13"/>
      <c r="GIY45" s="13"/>
      <c r="GIZ45" s="13"/>
      <c r="GJA45" s="13"/>
      <c r="GJB45" s="13"/>
      <c r="GJC45" s="13"/>
      <c r="GJD45" s="13"/>
      <c r="GJE45" s="13"/>
      <c r="GJF45" s="13"/>
      <c r="GJG45" s="13"/>
      <c r="GJH45" s="13"/>
      <c r="GJI45" s="13"/>
      <c r="GJJ45" s="13"/>
      <c r="GJK45" s="13"/>
      <c r="GJL45" s="13"/>
      <c r="GJM45" s="13"/>
      <c r="GJN45" s="13"/>
      <c r="GJO45" s="13"/>
      <c r="GJP45" s="13"/>
      <c r="GJQ45" s="13"/>
      <c r="GJR45" s="13"/>
      <c r="GJS45" s="13"/>
      <c r="GJT45" s="13"/>
      <c r="GJU45" s="13"/>
      <c r="GJV45" s="13"/>
      <c r="GJW45" s="13"/>
      <c r="GJX45" s="13"/>
      <c r="GJY45" s="13"/>
      <c r="GJZ45" s="13"/>
      <c r="GKA45" s="13"/>
      <c r="GKB45" s="13"/>
      <c r="GKC45" s="13"/>
      <c r="GKD45" s="13"/>
      <c r="GKE45" s="13"/>
      <c r="GKF45" s="13"/>
      <c r="GKG45" s="13"/>
      <c r="GKH45" s="13"/>
      <c r="GKI45" s="13"/>
      <c r="GKJ45" s="13"/>
      <c r="GKK45" s="13"/>
      <c r="GKL45" s="13"/>
      <c r="GKM45" s="13"/>
      <c r="GKN45" s="13"/>
      <c r="GKO45" s="13"/>
      <c r="GKP45" s="13"/>
      <c r="GKQ45" s="13"/>
      <c r="GKR45" s="13"/>
      <c r="GKS45" s="13"/>
      <c r="GKT45" s="13"/>
      <c r="GKU45" s="13"/>
      <c r="GKV45" s="13"/>
      <c r="GKW45" s="13"/>
      <c r="GKX45" s="13"/>
      <c r="GKY45" s="13"/>
      <c r="GKZ45" s="13"/>
      <c r="GLA45" s="13"/>
      <c r="GLB45" s="13"/>
      <c r="GLC45" s="13"/>
      <c r="GLD45" s="13"/>
      <c r="GLE45" s="13"/>
      <c r="GLF45" s="13"/>
      <c r="GLG45" s="13"/>
      <c r="GLH45" s="13"/>
      <c r="GLI45" s="13"/>
      <c r="GLJ45" s="13"/>
      <c r="GLK45" s="13"/>
      <c r="GLL45" s="13"/>
      <c r="GLM45" s="13"/>
      <c r="GLN45" s="13"/>
      <c r="GLO45" s="13"/>
      <c r="GLP45" s="13"/>
      <c r="GLQ45" s="13"/>
      <c r="GLR45" s="13"/>
      <c r="GLS45" s="13"/>
      <c r="GLT45" s="13"/>
      <c r="GLU45" s="13"/>
      <c r="GLV45" s="13"/>
      <c r="GLW45" s="13"/>
      <c r="GLX45" s="13"/>
      <c r="GLY45" s="13"/>
      <c r="GLZ45" s="13"/>
      <c r="GMA45" s="13"/>
      <c r="GMB45" s="13"/>
      <c r="GMC45" s="13"/>
      <c r="GMD45" s="13"/>
      <c r="GME45" s="13"/>
      <c r="GMF45" s="13"/>
      <c r="GMG45" s="13"/>
      <c r="GMH45" s="13"/>
      <c r="GMI45" s="13"/>
      <c r="GMJ45" s="13"/>
      <c r="GMK45" s="13"/>
      <c r="GML45" s="13"/>
      <c r="GMM45" s="13"/>
      <c r="GMN45" s="13"/>
      <c r="GMO45" s="13"/>
      <c r="GMP45" s="13"/>
      <c r="GMQ45" s="13"/>
      <c r="GMR45" s="13"/>
      <c r="GMS45" s="13"/>
      <c r="GMT45" s="13"/>
      <c r="GMU45" s="13"/>
      <c r="GMV45" s="13"/>
      <c r="GMW45" s="13"/>
      <c r="GMX45" s="13"/>
      <c r="GMY45" s="13"/>
      <c r="GMZ45" s="13"/>
      <c r="GNA45" s="13"/>
      <c r="GNB45" s="13"/>
      <c r="GNC45" s="13"/>
      <c r="GND45" s="13"/>
      <c r="GNE45" s="13"/>
      <c r="GNF45" s="13"/>
      <c r="GNG45" s="13"/>
      <c r="GNH45" s="13"/>
      <c r="GNI45" s="13"/>
      <c r="GNJ45" s="13"/>
      <c r="GNK45" s="13"/>
      <c r="GNL45" s="13"/>
      <c r="GNM45" s="13"/>
      <c r="GNN45" s="13"/>
      <c r="GNO45" s="13"/>
      <c r="GNP45" s="13"/>
      <c r="GNQ45" s="13"/>
      <c r="GNR45" s="13"/>
      <c r="GNS45" s="13"/>
      <c r="GNT45" s="13"/>
      <c r="GNU45" s="13"/>
      <c r="GNV45" s="13"/>
      <c r="GNW45" s="13"/>
      <c r="GNX45" s="13"/>
      <c r="GNY45" s="13"/>
      <c r="GNZ45" s="13"/>
      <c r="GOA45" s="13"/>
      <c r="GOB45" s="13"/>
      <c r="GOC45" s="13"/>
      <c r="GOD45" s="13"/>
      <c r="GOE45" s="13"/>
      <c r="GOF45" s="13"/>
      <c r="GOG45" s="13"/>
      <c r="GOH45" s="13"/>
      <c r="GOI45" s="13"/>
      <c r="GOJ45" s="13"/>
      <c r="GOK45" s="13"/>
      <c r="GOL45" s="13"/>
      <c r="GOM45" s="13"/>
      <c r="GON45" s="13"/>
      <c r="GOO45" s="13"/>
      <c r="GOP45" s="13"/>
      <c r="GOQ45" s="13"/>
      <c r="GOR45" s="13"/>
      <c r="GOS45" s="13"/>
      <c r="GOT45" s="13"/>
      <c r="GOU45" s="13"/>
      <c r="GOV45" s="13"/>
      <c r="GOW45" s="13"/>
      <c r="GOX45" s="13"/>
      <c r="GOY45" s="13"/>
      <c r="GOZ45" s="13"/>
      <c r="GPA45" s="13"/>
      <c r="GPB45" s="13"/>
      <c r="GPC45" s="13"/>
      <c r="GPD45" s="13"/>
      <c r="GPE45" s="13"/>
      <c r="GPF45" s="13"/>
      <c r="GPG45" s="13"/>
      <c r="GPH45" s="13"/>
      <c r="GPI45" s="13"/>
      <c r="GPJ45" s="13"/>
      <c r="GPK45" s="13"/>
      <c r="GPL45" s="13"/>
      <c r="GPM45" s="13"/>
      <c r="GPN45" s="13"/>
      <c r="GPO45" s="13"/>
      <c r="GPP45" s="13"/>
      <c r="GPQ45" s="13"/>
      <c r="GPR45" s="13"/>
      <c r="GPS45" s="13"/>
      <c r="GPT45" s="13"/>
      <c r="GPU45" s="13"/>
      <c r="GPV45" s="13"/>
      <c r="GPW45" s="13"/>
      <c r="GPX45" s="13"/>
      <c r="GPY45" s="13"/>
      <c r="GPZ45" s="13"/>
      <c r="GQA45" s="13"/>
      <c r="GQB45" s="13"/>
      <c r="GQC45" s="13"/>
      <c r="GQD45" s="13"/>
      <c r="GQE45" s="13"/>
      <c r="GQF45" s="13"/>
      <c r="GQG45" s="13"/>
      <c r="GQH45" s="13"/>
      <c r="GQI45" s="13"/>
      <c r="GQJ45" s="13"/>
      <c r="GQK45" s="13"/>
      <c r="GQL45" s="13"/>
      <c r="GQM45" s="13"/>
      <c r="GQN45" s="13"/>
      <c r="GQO45" s="13"/>
      <c r="GQP45" s="13"/>
      <c r="GQQ45" s="13"/>
      <c r="GQR45" s="13"/>
      <c r="GQS45" s="13"/>
      <c r="GQT45" s="13"/>
      <c r="GQU45" s="13"/>
      <c r="GQV45" s="13"/>
      <c r="GQW45" s="13"/>
      <c r="GQX45" s="13"/>
      <c r="GQY45" s="13"/>
      <c r="GQZ45" s="13"/>
      <c r="GRA45" s="13"/>
      <c r="GRB45" s="13"/>
      <c r="GRC45" s="13"/>
      <c r="GRD45" s="13"/>
      <c r="GRE45" s="13"/>
      <c r="GRF45" s="13"/>
      <c r="GRG45" s="13"/>
      <c r="GRH45" s="13"/>
      <c r="GRI45" s="13"/>
      <c r="GRJ45" s="13"/>
      <c r="GRK45" s="13"/>
      <c r="GRL45" s="13"/>
      <c r="GRM45" s="13"/>
      <c r="GRN45" s="13"/>
      <c r="GRO45" s="13"/>
      <c r="GRP45" s="13"/>
      <c r="GRQ45" s="13"/>
      <c r="GRR45" s="13"/>
      <c r="GRS45" s="13"/>
      <c r="GRT45" s="13"/>
      <c r="GRU45" s="13"/>
      <c r="GRV45" s="13"/>
      <c r="GRW45" s="13"/>
      <c r="GRX45" s="13"/>
      <c r="GRY45" s="13"/>
      <c r="GRZ45" s="13"/>
      <c r="GSA45" s="13"/>
      <c r="GSB45" s="13"/>
      <c r="GSC45" s="13"/>
      <c r="GSD45" s="13"/>
      <c r="GSE45" s="13"/>
      <c r="GSF45" s="13"/>
      <c r="GSG45" s="13"/>
      <c r="GSH45" s="13"/>
      <c r="GSI45" s="13"/>
      <c r="GSJ45" s="13"/>
      <c r="GSK45" s="13"/>
      <c r="GSL45" s="13"/>
      <c r="GSM45" s="13"/>
      <c r="GSN45" s="13"/>
      <c r="GSO45" s="13"/>
      <c r="GSP45" s="13"/>
      <c r="GSQ45" s="13"/>
      <c r="GSR45" s="13"/>
      <c r="GSS45" s="13"/>
      <c r="GST45" s="13"/>
      <c r="GSU45" s="13"/>
      <c r="GSV45" s="13"/>
      <c r="GSW45" s="13"/>
      <c r="GSX45" s="13"/>
      <c r="GSY45" s="13"/>
      <c r="GSZ45" s="13"/>
      <c r="GTA45" s="13"/>
      <c r="GTB45" s="13"/>
      <c r="GTC45" s="13"/>
      <c r="GTD45" s="13"/>
      <c r="GTE45" s="13"/>
      <c r="GTF45" s="13"/>
      <c r="GTG45" s="13"/>
      <c r="GTH45" s="13"/>
      <c r="GTI45" s="13"/>
      <c r="GTJ45" s="13"/>
      <c r="GTK45" s="13"/>
      <c r="GTL45" s="13"/>
      <c r="GTM45" s="13"/>
      <c r="GTN45" s="13"/>
      <c r="GTO45" s="13"/>
      <c r="GTP45" s="13"/>
      <c r="GTQ45" s="13"/>
      <c r="GTR45" s="13"/>
      <c r="GTS45" s="13"/>
      <c r="GTT45" s="13"/>
      <c r="GTU45" s="13"/>
      <c r="GTV45" s="13"/>
      <c r="GTW45" s="13"/>
      <c r="GTX45" s="13"/>
      <c r="GTY45" s="13"/>
      <c r="GTZ45" s="13"/>
      <c r="GUA45" s="13"/>
      <c r="GUB45" s="13"/>
      <c r="GUC45" s="13"/>
      <c r="GUD45" s="13"/>
      <c r="GUE45" s="13"/>
      <c r="GUF45" s="13"/>
      <c r="GUG45" s="13"/>
      <c r="GUH45" s="13"/>
      <c r="GUI45" s="13"/>
      <c r="GUJ45" s="13"/>
      <c r="GUK45" s="13"/>
      <c r="GUL45" s="13"/>
      <c r="GUM45" s="13"/>
      <c r="GUN45" s="13"/>
      <c r="GUO45" s="13"/>
      <c r="GUP45" s="13"/>
      <c r="GUQ45" s="13"/>
      <c r="GUR45" s="13"/>
      <c r="GUS45" s="13"/>
      <c r="GUT45" s="13"/>
      <c r="GUU45" s="13"/>
      <c r="GUV45" s="13"/>
      <c r="GUW45" s="13"/>
      <c r="GUX45" s="13"/>
      <c r="GUY45" s="13"/>
      <c r="GUZ45" s="13"/>
      <c r="GVA45" s="13"/>
      <c r="GVB45" s="13"/>
      <c r="GVC45" s="13"/>
      <c r="GVD45" s="13"/>
      <c r="GVE45" s="13"/>
      <c r="GVF45" s="13"/>
      <c r="GVG45" s="13"/>
      <c r="GVH45" s="13"/>
      <c r="GVI45" s="13"/>
      <c r="GVJ45" s="13"/>
      <c r="GVK45" s="13"/>
      <c r="GVL45" s="13"/>
      <c r="GVM45" s="13"/>
      <c r="GVN45" s="13"/>
      <c r="GVO45" s="13"/>
      <c r="GVP45" s="13"/>
      <c r="GVQ45" s="13"/>
      <c r="GVR45" s="13"/>
      <c r="GVS45" s="13"/>
      <c r="GVT45" s="13"/>
      <c r="GVU45" s="13"/>
      <c r="GVV45" s="13"/>
      <c r="GVW45" s="13"/>
      <c r="GVX45" s="13"/>
      <c r="GVY45" s="13"/>
      <c r="GVZ45" s="13"/>
      <c r="GWA45" s="13"/>
      <c r="GWB45" s="13"/>
      <c r="GWC45" s="13"/>
      <c r="GWD45" s="13"/>
      <c r="GWE45" s="13"/>
      <c r="GWF45" s="13"/>
      <c r="GWG45" s="13"/>
      <c r="GWH45" s="13"/>
      <c r="GWI45" s="13"/>
      <c r="GWJ45" s="13"/>
      <c r="GWK45" s="13"/>
      <c r="GWL45" s="13"/>
      <c r="GWM45" s="13"/>
      <c r="GWN45" s="13"/>
      <c r="GWO45" s="13"/>
      <c r="GWP45" s="13"/>
      <c r="GWQ45" s="13"/>
      <c r="GWR45" s="13"/>
      <c r="GWS45" s="13"/>
      <c r="GWT45" s="13"/>
      <c r="GWU45" s="13"/>
      <c r="GWV45" s="13"/>
      <c r="GWW45" s="13"/>
      <c r="GWX45" s="13"/>
      <c r="GWY45" s="13"/>
      <c r="GWZ45" s="13"/>
      <c r="GXA45" s="13"/>
      <c r="GXB45" s="13"/>
      <c r="GXC45" s="13"/>
      <c r="GXD45" s="13"/>
      <c r="GXE45" s="13"/>
      <c r="GXF45" s="13"/>
      <c r="GXG45" s="13"/>
      <c r="GXH45" s="13"/>
      <c r="GXI45" s="13"/>
      <c r="GXJ45" s="13"/>
      <c r="GXK45" s="13"/>
      <c r="GXL45" s="13"/>
      <c r="GXM45" s="13"/>
      <c r="GXN45" s="13"/>
      <c r="GXO45" s="13"/>
      <c r="GXP45" s="13"/>
      <c r="GXQ45" s="13"/>
      <c r="GXR45" s="13"/>
      <c r="GXS45" s="13"/>
      <c r="GXT45" s="13"/>
      <c r="GXU45" s="13"/>
      <c r="GXV45" s="13"/>
      <c r="GXW45" s="13"/>
      <c r="GXX45" s="13"/>
      <c r="GXY45" s="13"/>
      <c r="GXZ45" s="13"/>
      <c r="GYA45" s="13"/>
      <c r="GYB45" s="13"/>
      <c r="GYC45" s="13"/>
      <c r="GYD45" s="13"/>
      <c r="GYE45" s="13"/>
      <c r="GYF45" s="13"/>
      <c r="GYG45" s="13"/>
      <c r="GYH45" s="13"/>
      <c r="GYI45" s="13"/>
      <c r="GYJ45" s="13"/>
      <c r="GYK45" s="13"/>
      <c r="GYL45" s="13"/>
      <c r="GYM45" s="13"/>
      <c r="GYN45" s="13"/>
      <c r="GYO45" s="13"/>
      <c r="GYP45" s="13"/>
      <c r="GYQ45" s="13"/>
      <c r="GYR45" s="13"/>
      <c r="GYS45" s="13"/>
      <c r="GYT45" s="13"/>
      <c r="GYU45" s="13"/>
      <c r="GYV45" s="13"/>
      <c r="GYW45" s="13"/>
      <c r="GYX45" s="13"/>
      <c r="GYY45" s="13"/>
      <c r="GYZ45" s="13"/>
      <c r="GZA45" s="13"/>
      <c r="GZB45" s="13"/>
      <c r="GZC45" s="13"/>
      <c r="GZD45" s="13"/>
      <c r="GZE45" s="13"/>
      <c r="GZF45" s="13"/>
      <c r="GZG45" s="13"/>
      <c r="GZH45" s="13"/>
      <c r="GZI45" s="13"/>
      <c r="GZJ45" s="13"/>
      <c r="GZK45" s="13"/>
      <c r="GZL45" s="13"/>
      <c r="GZM45" s="13"/>
      <c r="GZN45" s="13"/>
      <c r="GZO45" s="13"/>
      <c r="GZP45" s="13"/>
      <c r="GZQ45" s="13"/>
      <c r="GZR45" s="13"/>
      <c r="GZS45" s="13"/>
      <c r="GZT45" s="13"/>
      <c r="GZU45" s="13"/>
      <c r="GZV45" s="13"/>
      <c r="GZW45" s="13"/>
      <c r="GZX45" s="13"/>
      <c r="GZY45" s="13"/>
      <c r="GZZ45" s="13"/>
      <c r="HAA45" s="13"/>
      <c r="HAB45" s="13"/>
      <c r="HAC45" s="13"/>
      <c r="HAD45" s="13"/>
      <c r="HAE45" s="13"/>
      <c r="HAF45" s="13"/>
      <c r="HAG45" s="13"/>
      <c r="HAH45" s="13"/>
      <c r="HAI45" s="13"/>
      <c r="HAJ45" s="13"/>
      <c r="HAK45" s="13"/>
      <c r="HAL45" s="13"/>
      <c r="HAM45" s="13"/>
      <c r="HAN45" s="13"/>
      <c r="HAO45" s="13"/>
      <c r="HAP45" s="13"/>
      <c r="HAQ45" s="13"/>
      <c r="HAR45" s="13"/>
      <c r="HAS45" s="13"/>
      <c r="HAT45" s="13"/>
      <c r="HAU45" s="13"/>
      <c r="HAV45" s="13"/>
      <c r="HAW45" s="13"/>
      <c r="HAX45" s="13"/>
      <c r="HAY45" s="13"/>
      <c r="HAZ45" s="13"/>
      <c r="HBA45" s="13"/>
      <c r="HBB45" s="13"/>
      <c r="HBC45" s="13"/>
      <c r="HBD45" s="13"/>
      <c r="HBE45" s="13"/>
      <c r="HBF45" s="13"/>
      <c r="HBG45" s="13"/>
      <c r="HBH45" s="13"/>
      <c r="HBI45" s="13"/>
      <c r="HBJ45" s="13"/>
      <c r="HBK45" s="13"/>
      <c r="HBL45" s="13"/>
      <c r="HBM45" s="13"/>
      <c r="HBN45" s="13"/>
      <c r="HBO45" s="13"/>
      <c r="HBP45" s="13"/>
      <c r="HBQ45" s="13"/>
      <c r="HBR45" s="13"/>
      <c r="HBS45" s="13"/>
      <c r="HBT45" s="13"/>
      <c r="HBU45" s="13"/>
      <c r="HBV45" s="13"/>
      <c r="HBW45" s="13"/>
      <c r="HBX45" s="13"/>
      <c r="HBY45" s="13"/>
      <c r="HBZ45" s="13"/>
      <c r="HCA45" s="13"/>
      <c r="HCB45" s="13"/>
      <c r="HCC45" s="13"/>
      <c r="HCD45" s="13"/>
      <c r="HCE45" s="13"/>
      <c r="HCF45" s="13"/>
      <c r="HCG45" s="13"/>
      <c r="HCH45" s="13"/>
      <c r="HCI45" s="13"/>
      <c r="HCJ45" s="13"/>
      <c r="HCK45" s="13"/>
      <c r="HCL45" s="13"/>
      <c r="HCM45" s="13"/>
      <c r="HCN45" s="13"/>
      <c r="HCO45" s="13"/>
      <c r="HCP45" s="13"/>
      <c r="HCQ45" s="13"/>
      <c r="HCR45" s="13"/>
      <c r="HCS45" s="13"/>
      <c r="HCT45" s="13"/>
      <c r="HCU45" s="13"/>
      <c r="HCV45" s="13"/>
      <c r="HCW45" s="13"/>
      <c r="HCX45" s="13"/>
      <c r="HCY45" s="13"/>
      <c r="HCZ45" s="13"/>
      <c r="HDA45" s="13"/>
      <c r="HDB45" s="13"/>
      <c r="HDC45" s="13"/>
      <c r="HDD45" s="13"/>
      <c r="HDE45" s="13"/>
      <c r="HDF45" s="13"/>
      <c r="HDG45" s="13"/>
      <c r="HDH45" s="13"/>
      <c r="HDI45" s="13"/>
      <c r="HDJ45" s="13"/>
      <c r="HDK45" s="13"/>
      <c r="HDL45" s="13"/>
      <c r="HDM45" s="13"/>
      <c r="HDN45" s="13"/>
      <c r="HDO45" s="13"/>
      <c r="HDP45" s="13"/>
      <c r="HDQ45" s="13"/>
      <c r="HDR45" s="13"/>
      <c r="HDS45" s="13"/>
      <c r="HDT45" s="13"/>
      <c r="HDU45" s="13"/>
      <c r="HDV45" s="13"/>
      <c r="HDW45" s="13"/>
      <c r="HDX45" s="13"/>
      <c r="HDY45" s="13"/>
      <c r="HDZ45" s="13"/>
      <c r="HEA45" s="13"/>
      <c r="HEB45" s="13"/>
      <c r="HEC45" s="13"/>
      <c r="HED45" s="13"/>
      <c r="HEE45" s="13"/>
      <c r="HEF45" s="13"/>
      <c r="HEG45" s="13"/>
      <c r="HEH45" s="13"/>
      <c r="HEI45" s="13"/>
      <c r="HEJ45" s="13"/>
      <c r="HEK45" s="13"/>
      <c r="HEL45" s="13"/>
      <c r="HEM45" s="13"/>
      <c r="HEN45" s="13"/>
      <c r="HEO45" s="13"/>
      <c r="HEP45" s="13"/>
      <c r="HEQ45" s="13"/>
      <c r="HER45" s="13"/>
      <c r="HES45" s="13"/>
      <c r="HET45" s="13"/>
      <c r="HEU45" s="13"/>
      <c r="HEV45" s="13"/>
      <c r="HEW45" s="13"/>
      <c r="HEX45" s="13"/>
      <c r="HEY45" s="13"/>
      <c r="HEZ45" s="13"/>
      <c r="HFA45" s="13"/>
      <c r="HFB45" s="13"/>
      <c r="HFC45" s="13"/>
      <c r="HFD45" s="13"/>
      <c r="HFE45" s="13"/>
      <c r="HFF45" s="13"/>
      <c r="HFG45" s="13"/>
      <c r="HFH45" s="13"/>
      <c r="HFI45" s="13"/>
      <c r="HFJ45" s="13"/>
      <c r="HFK45" s="13"/>
      <c r="HFL45" s="13"/>
      <c r="HFM45" s="13"/>
      <c r="HFN45" s="13"/>
      <c r="HFO45" s="13"/>
      <c r="HFP45" s="13"/>
      <c r="HFQ45" s="13"/>
      <c r="HFR45" s="13"/>
      <c r="HFS45" s="13"/>
      <c r="HFT45" s="13"/>
      <c r="HFU45" s="13"/>
      <c r="HFV45" s="13"/>
      <c r="HFW45" s="13"/>
      <c r="HFX45" s="13"/>
      <c r="HFY45" s="13"/>
      <c r="HFZ45" s="13"/>
      <c r="HGA45" s="13"/>
      <c r="HGB45" s="13"/>
      <c r="HGC45" s="13"/>
      <c r="HGD45" s="13"/>
      <c r="HGE45" s="13"/>
      <c r="HGF45" s="13"/>
      <c r="HGG45" s="13"/>
      <c r="HGH45" s="13"/>
      <c r="HGI45" s="13"/>
      <c r="HGJ45" s="13"/>
      <c r="HGK45" s="13"/>
      <c r="HGL45" s="13"/>
      <c r="HGM45" s="13"/>
      <c r="HGN45" s="13"/>
      <c r="HGO45" s="13"/>
      <c r="HGP45" s="13"/>
      <c r="HGQ45" s="13"/>
      <c r="HGR45" s="13"/>
      <c r="HGS45" s="13"/>
      <c r="HGT45" s="13"/>
      <c r="HGU45" s="13"/>
      <c r="HGV45" s="13"/>
      <c r="HGW45" s="13"/>
      <c r="HGX45" s="13"/>
      <c r="HGY45" s="13"/>
      <c r="HGZ45" s="13"/>
      <c r="HHA45" s="13"/>
      <c r="HHB45" s="13"/>
      <c r="HHC45" s="13"/>
      <c r="HHD45" s="13"/>
      <c r="HHE45" s="13"/>
      <c r="HHF45" s="13"/>
      <c r="HHG45" s="13"/>
      <c r="HHH45" s="13"/>
      <c r="HHI45" s="13"/>
      <c r="HHJ45" s="13"/>
      <c r="HHK45" s="13"/>
      <c r="HHL45" s="13"/>
      <c r="HHM45" s="13"/>
      <c r="HHN45" s="13"/>
      <c r="HHO45" s="13"/>
      <c r="HHP45" s="13"/>
      <c r="HHQ45" s="13"/>
      <c r="HHR45" s="13"/>
      <c r="HHS45" s="13"/>
      <c r="HHT45" s="13"/>
      <c r="HHU45" s="13"/>
      <c r="HHV45" s="13"/>
      <c r="HHW45" s="13"/>
      <c r="HHX45" s="13"/>
      <c r="HHY45" s="13"/>
      <c r="HHZ45" s="13"/>
      <c r="HIA45" s="13"/>
      <c r="HIB45" s="13"/>
      <c r="HIC45" s="13"/>
      <c r="HID45" s="13"/>
      <c r="HIE45" s="13"/>
      <c r="HIF45" s="13"/>
      <c r="HIG45" s="13"/>
      <c r="HIH45" s="13"/>
      <c r="HII45" s="13"/>
      <c r="HIJ45" s="13"/>
      <c r="HIK45" s="13"/>
      <c r="HIL45" s="13"/>
      <c r="HIM45" s="13"/>
      <c r="HIN45" s="13"/>
      <c r="HIO45" s="13"/>
      <c r="HIP45" s="13"/>
      <c r="HIQ45" s="13"/>
      <c r="HIR45" s="13"/>
      <c r="HIS45" s="13"/>
      <c r="HIT45" s="13"/>
      <c r="HIU45" s="13"/>
      <c r="HIV45" s="13"/>
      <c r="HIW45" s="13"/>
      <c r="HIX45" s="13"/>
      <c r="HIY45" s="13"/>
      <c r="HIZ45" s="13"/>
      <c r="HJA45" s="13"/>
      <c r="HJB45" s="13"/>
      <c r="HJC45" s="13"/>
      <c r="HJD45" s="13"/>
      <c r="HJE45" s="13"/>
      <c r="HJF45" s="13"/>
      <c r="HJG45" s="13"/>
      <c r="HJH45" s="13"/>
      <c r="HJI45" s="13"/>
      <c r="HJJ45" s="13"/>
      <c r="HJK45" s="13"/>
      <c r="HJL45" s="13"/>
      <c r="HJM45" s="13"/>
      <c r="HJN45" s="13"/>
      <c r="HJO45" s="13"/>
      <c r="HJP45" s="13"/>
      <c r="HJQ45" s="13"/>
      <c r="HJR45" s="13"/>
      <c r="HJS45" s="13"/>
      <c r="HJT45" s="13"/>
      <c r="HJU45" s="13"/>
      <c r="HJV45" s="13"/>
      <c r="HJW45" s="13"/>
      <c r="HJX45" s="13"/>
      <c r="HJY45" s="13"/>
      <c r="HJZ45" s="13"/>
      <c r="HKA45" s="13"/>
      <c r="HKB45" s="13"/>
      <c r="HKC45" s="13"/>
      <c r="HKD45" s="13"/>
      <c r="HKE45" s="13"/>
      <c r="HKF45" s="13"/>
      <c r="HKG45" s="13"/>
      <c r="HKH45" s="13"/>
      <c r="HKI45" s="13"/>
      <c r="HKJ45" s="13"/>
      <c r="HKK45" s="13"/>
      <c r="HKL45" s="13"/>
      <c r="HKM45" s="13"/>
      <c r="HKN45" s="13"/>
      <c r="HKO45" s="13"/>
      <c r="HKP45" s="13"/>
      <c r="HKQ45" s="13"/>
      <c r="HKR45" s="13"/>
      <c r="HKS45" s="13"/>
      <c r="HKT45" s="13"/>
      <c r="HKU45" s="13"/>
      <c r="HKV45" s="13"/>
      <c r="HKW45" s="13"/>
      <c r="HKX45" s="13"/>
      <c r="HKY45" s="13"/>
      <c r="HKZ45" s="13"/>
      <c r="HLA45" s="13"/>
      <c r="HLB45" s="13"/>
      <c r="HLC45" s="13"/>
      <c r="HLD45" s="13"/>
      <c r="HLE45" s="13"/>
      <c r="HLF45" s="13"/>
      <c r="HLG45" s="13"/>
      <c r="HLH45" s="13"/>
      <c r="HLI45" s="13"/>
      <c r="HLJ45" s="13"/>
      <c r="HLK45" s="13"/>
      <c r="HLL45" s="13"/>
      <c r="HLM45" s="13"/>
      <c r="HLN45" s="13"/>
      <c r="HLO45" s="13"/>
      <c r="HLP45" s="13"/>
      <c r="HLQ45" s="13"/>
      <c r="HLR45" s="13"/>
      <c r="HLS45" s="13"/>
      <c r="HLT45" s="13"/>
      <c r="HLU45" s="13"/>
      <c r="HLV45" s="13"/>
      <c r="HLW45" s="13"/>
      <c r="HLX45" s="13"/>
      <c r="HLY45" s="13"/>
      <c r="HLZ45" s="13"/>
      <c r="HMA45" s="13"/>
      <c r="HMB45" s="13"/>
      <c r="HMC45" s="13"/>
      <c r="HMD45" s="13"/>
      <c r="HME45" s="13"/>
      <c r="HMF45" s="13"/>
      <c r="HMG45" s="13"/>
      <c r="HMH45" s="13"/>
      <c r="HMI45" s="13"/>
      <c r="HMJ45" s="13"/>
      <c r="HMK45" s="13"/>
      <c r="HML45" s="13"/>
      <c r="HMM45" s="13"/>
      <c r="HMN45" s="13"/>
      <c r="HMO45" s="13"/>
      <c r="HMP45" s="13"/>
      <c r="HMQ45" s="13"/>
      <c r="HMR45" s="13"/>
      <c r="HMS45" s="13"/>
      <c r="HMT45" s="13"/>
      <c r="HMU45" s="13"/>
      <c r="HMV45" s="13"/>
      <c r="HMW45" s="13"/>
      <c r="HMX45" s="13"/>
      <c r="HMY45" s="13"/>
      <c r="HMZ45" s="13"/>
      <c r="HNA45" s="13"/>
      <c r="HNB45" s="13"/>
      <c r="HNC45" s="13"/>
      <c r="HND45" s="13"/>
      <c r="HNE45" s="13"/>
      <c r="HNF45" s="13"/>
      <c r="HNG45" s="13"/>
      <c r="HNH45" s="13"/>
      <c r="HNI45" s="13"/>
      <c r="HNJ45" s="13"/>
      <c r="HNK45" s="13"/>
      <c r="HNL45" s="13"/>
      <c r="HNM45" s="13"/>
      <c r="HNN45" s="13"/>
      <c r="HNO45" s="13"/>
      <c r="HNP45" s="13"/>
      <c r="HNQ45" s="13"/>
      <c r="HNR45" s="13"/>
      <c r="HNS45" s="13"/>
      <c r="HNT45" s="13"/>
      <c r="HNU45" s="13"/>
      <c r="HNV45" s="13"/>
      <c r="HNW45" s="13"/>
      <c r="HNX45" s="13"/>
      <c r="HNY45" s="13"/>
      <c r="HNZ45" s="13"/>
      <c r="HOA45" s="13"/>
      <c r="HOB45" s="13"/>
      <c r="HOC45" s="13"/>
      <c r="HOD45" s="13"/>
      <c r="HOE45" s="13"/>
      <c r="HOF45" s="13"/>
      <c r="HOG45" s="13"/>
      <c r="HOH45" s="13"/>
      <c r="HOI45" s="13"/>
      <c r="HOJ45" s="13"/>
      <c r="HOK45" s="13"/>
      <c r="HOL45" s="13"/>
      <c r="HOM45" s="13"/>
      <c r="HON45" s="13"/>
      <c r="HOO45" s="13"/>
      <c r="HOP45" s="13"/>
      <c r="HOQ45" s="13"/>
      <c r="HOR45" s="13"/>
      <c r="HOS45" s="13"/>
      <c r="HOT45" s="13"/>
      <c r="HOU45" s="13"/>
      <c r="HOV45" s="13"/>
      <c r="HOW45" s="13"/>
      <c r="HOX45" s="13"/>
      <c r="HOY45" s="13"/>
      <c r="HOZ45" s="13"/>
      <c r="HPA45" s="13"/>
      <c r="HPB45" s="13"/>
      <c r="HPC45" s="13"/>
      <c r="HPD45" s="13"/>
      <c r="HPE45" s="13"/>
      <c r="HPF45" s="13"/>
      <c r="HPG45" s="13"/>
      <c r="HPH45" s="13"/>
      <c r="HPI45" s="13"/>
      <c r="HPJ45" s="13"/>
      <c r="HPK45" s="13"/>
      <c r="HPL45" s="13"/>
      <c r="HPM45" s="13"/>
      <c r="HPN45" s="13"/>
      <c r="HPO45" s="13"/>
      <c r="HPP45" s="13"/>
      <c r="HPQ45" s="13"/>
      <c r="HPR45" s="13"/>
      <c r="HPS45" s="13"/>
      <c r="HPT45" s="13"/>
      <c r="HPU45" s="13"/>
      <c r="HPV45" s="13"/>
      <c r="HPW45" s="13"/>
      <c r="HPX45" s="13"/>
      <c r="HPY45" s="13"/>
      <c r="HPZ45" s="13"/>
      <c r="HQA45" s="13"/>
      <c r="HQB45" s="13"/>
      <c r="HQC45" s="13"/>
      <c r="HQD45" s="13"/>
      <c r="HQE45" s="13"/>
      <c r="HQF45" s="13"/>
      <c r="HQG45" s="13"/>
      <c r="HQH45" s="13"/>
      <c r="HQI45" s="13"/>
      <c r="HQJ45" s="13"/>
      <c r="HQK45" s="13"/>
      <c r="HQL45" s="13"/>
      <c r="HQM45" s="13"/>
      <c r="HQN45" s="13"/>
      <c r="HQO45" s="13"/>
      <c r="HQP45" s="13"/>
      <c r="HQQ45" s="13"/>
      <c r="HQR45" s="13"/>
      <c r="HQS45" s="13"/>
      <c r="HQT45" s="13"/>
      <c r="HQU45" s="13"/>
      <c r="HQV45" s="13"/>
      <c r="HQW45" s="13"/>
      <c r="HQX45" s="13"/>
      <c r="HQY45" s="13"/>
      <c r="HQZ45" s="13"/>
      <c r="HRA45" s="13"/>
      <c r="HRB45" s="13"/>
      <c r="HRC45" s="13"/>
      <c r="HRD45" s="13"/>
      <c r="HRE45" s="13"/>
      <c r="HRF45" s="13"/>
      <c r="HRG45" s="13"/>
      <c r="HRH45" s="13"/>
      <c r="HRI45" s="13"/>
      <c r="HRJ45" s="13"/>
      <c r="HRK45" s="13"/>
      <c r="HRL45" s="13"/>
      <c r="HRM45" s="13"/>
      <c r="HRN45" s="13"/>
      <c r="HRO45" s="13"/>
      <c r="HRP45" s="13"/>
      <c r="HRQ45" s="13"/>
      <c r="HRR45" s="13"/>
      <c r="HRS45" s="13"/>
      <c r="HRT45" s="13"/>
      <c r="HRU45" s="13"/>
      <c r="HRV45" s="13"/>
      <c r="HRW45" s="13"/>
      <c r="HRX45" s="13"/>
      <c r="HRY45" s="13"/>
      <c r="HRZ45" s="13"/>
      <c r="HSA45" s="13"/>
      <c r="HSB45" s="13"/>
      <c r="HSC45" s="13"/>
      <c r="HSD45" s="13"/>
      <c r="HSE45" s="13"/>
      <c r="HSF45" s="13"/>
      <c r="HSG45" s="13"/>
      <c r="HSH45" s="13"/>
      <c r="HSI45" s="13"/>
      <c r="HSJ45" s="13"/>
      <c r="HSK45" s="13"/>
      <c r="HSL45" s="13"/>
      <c r="HSM45" s="13"/>
      <c r="HSN45" s="13"/>
      <c r="HSO45" s="13"/>
      <c r="HSP45" s="13"/>
      <c r="HSQ45" s="13"/>
      <c r="HSR45" s="13"/>
      <c r="HSS45" s="13"/>
      <c r="HST45" s="13"/>
      <c r="HSU45" s="13"/>
      <c r="HSV45" s="13"/>
      <c r="HSW45" s="13"/>
      <c r="HSX45" s="13"/>
      <c r="HSY45" s="13"/>
      <c r="HSZ45" s="13"/>
      <c r="HTA45" s="13"/>
      <c r="HTB45" s="13"/>
      <c r="HTC45" s="13"/>
      <c r="HTD45" s="13"/>
      <c r="HTE45" s="13"/>
      <c r="HTF45" s="13"/>
      <c r="HTG45" s="13"/>
      <c r="HTH45" s="13"/>
      <c r="HTI45" s="13"/>
      <c r="HTJ45" s="13"/>
      <c r="HTK45" s="13"/>
      <c r="HTL45" s="13"/>
      <c r="HTM45" s="13"/>
      <c r="HTN45" s="13"/>
      <c r="HTO45" s="13"/>
      <c r="HTP45" s="13"/>
      <c r="HTQ45" s="13"/>
      <c r="HTR45" s="13"/>
      <c r="HTS45" s="13"/>
      <c r="HTT45" s="13"/>
      <c r="HTU45" s="13"/>
      <c r="HTV45" s="13"/>
      <c r="HTW45" s="13"/>
      <c r="HTX45" s="13"/>
      <c r="HTY45" s="13"/>
      <c r="HTZ45" s="13"/>
      <c r="HUA45" s="13"/>
      <c r="HUB45" s="13"/>
      <c r="HUC45" s="13"/>
      <c r="HUD45" s="13"/>
      <c r="HUE45" s="13"/>
      <c r="HUF45" s="13"/>
      <c r="HUG45" s="13"/>
      <c r="HUH45" s="13"/>
      <c r="HUI45" s="13"/>
      <c r="HUJ45" s="13"/>
      <c r="HUK45" s="13"/>
      <c r="HUL45" s="13"/>
      <c r="HUM45" s="13"/>
      <c r="HUN45" s="13"/>
      <c r="HUO45" s="13"/>
      <c r="HUP45" s="13"/>
      <c r="HUQ45" s="13"/>
      <c r="HUR45" s="13"/>
      <c r="HUS45" s="13"/>
      <c r="HUT45" s="13"/>
      <c r="HUU45" s="13"/>
      <c r="HUV45" s="13"/>
      <c r="HUW45" s="13"/>
      <c r="HUX45" s="13"/>
      <c r="HUY45" s="13"/>
      <c r="HUZ45" s="13"/>
      <c r="HVA45" s="13"/>
      <c r="HVB45" s="13"/>
      <c r="HVC45" s="13"/>
      <c r="HVD45" s="13"/>
      <c r="HVE45" s="13"/>
      <c r="HVF45" s="13"/>
      <c r="HVG45" s="13"/>
      <c r="HVH45" s="13"/>
      <c r="HVI45" s="13"/>
      <c r="HVJ45" s="13"/>
      <c r="HVK45" s="13"/>
      <c r="HVL45" s="13"/>
      <c r="HVM45" s="13"/>
      <c r="HVN45" s="13"/>
      <c r="HVO45" s="13"/>
      <c r="HVP45" s="13"/>
      <c r="HVQ45" s="13"/>
      <c r="HVR45" s="13"/>
      <c r="HVS45" s="13"/>
      <c r="HVT45" s="13"/>
      <c r="HVU45" s="13"/>
      <c r="HVV45" s="13"/>
      <c r="HVW45" s="13"/>
      <c r="HVX45" s="13"/>
      <c r="HVY45" s="13"/>
      <c r="HVZ45" s="13"/>
      <c r="HWA45" s="13"/>
      <c r="HWB45" s="13"/>
      <c r="HWC45" s="13"/>
      <c r="HWD45" s="13"/>
      <c r="HWE45" s="13"/>
      <c r="HWF45" s="13"/>
      <c r="HWG45" s="13"/>
      <c r="HWH45" s="13"/>
      <c r="HWI45" s="13"/>
      <c r="HWJ45" s="13"/>
      <c r="HWK45" s="13"/>
      <c r="HWL45" s="13"/>
      <c r="HWM45" s="13"/>
      <c r="HWN45" s="13"/>
      <c r="HWO45" s="13"/>
      <c r="HWP45" s="13"/>
      <c r="HWQ45" s="13"/>
      <c r="HWR45" s="13"/>
      <c r="HWS45" s="13"/>
      <c r="HWT45" s="13"/>
      <c r="HWU45" s="13"/>
      <c r="HWV45" s="13"/>
      <c r="HWW45" s="13"/>
      <c r="HWX45" s="13"/>
      <c r="HWY45" s="13"/>
      <c r="HWZ45" s="13"/>
      <c r="HXA45" s="13"/>
      <c r="HXB45" s="13"/>
      <c r="HXC45" s="13"/>
      <c r="HXD45" s="13"/>
      <c r="HXE45" s="13"/>
      <c r="HXF45" s="13"/>
      <c r="HXG45" s="13"/>
      <c r="HXH45" s="13"/>
      <c r="HXI45" s="13"/>
      <c r="HXJ45" s="13"/>
      <c r="HXK45" s="13"/>
      <c r="HXL45" s="13"/>
      <c r="HXM45" s="13"/>
      <c r="HXN45" s="13"/>
      <c r="HXO45" s="13"/>
      <c r="HXP45" s="13"/>
      <c r="HXQ45" s="13"/>
      <c r="HXR45" s="13"/>
      <c r="HXS45" s="13"/>
      <c r="HXT45" s="13"/>
      <c r="HXU45" s="13"/>
      <c r="HXV45" s="13"/>
      <c r="HXW45" s="13"/>
      <c r="HXX45" s="13"/>
      <c r="HXY45" s="13"/>
      <c r="HXZ45" s="13"/>
      <c r="HYA45" s="13"/>
      <c r="HYB45" s="13"/>
      <c r="HYC45" s="13"/>
      <c r="HYD45" s="13"/>
      <c r="HYE45" s="13"/>
      <c r="HYF45" s="13"/>
      <c r="HYG45" s="13"/>
      <c r="HYH45" s="13"/>
      <c r="HYI45" s="13"/>
      <c r="HYJ45" s="13"/>
      <c r="HYK45" s="13"/>
      <c r="HYL45" s="13"/>
      <c r="HYM45" s="13"/>
      <c r="HYN45" s="13"/>
      <c r="HYO45" s="13"/>
      <c r="HYP45" s="13"/>
      <c r="HYQ45" s="13"/>
      <c r="HYR45" s="13"/>
      <c r="HYS45" s="13"/>
      <c r="HYT45" s="13"/>
      <c r="HYU45" s="13"/>
      <c r="HYV45" s="13"/>
      <c r="HYW45" s="13"/>
      <c r="HYX45" s="13"/>
      <c r="HYY45" s="13"/>
      <c r="HYZ45" s="13"/>
      <c r="HZA45" s="13"/>
      <c r="HZB45" s="13"/>
      <c r="HZC45" s="13"/>
      <c r="HZD45" s="13"/>
      <c r="HZE45" s="13"/>
      <c r="HZF45" s="13"/>
      <c r="HZG45" s="13"/>
      <c r="HZH45" s="13"/>
      <c r="HZI45" s="13"/>
      <c r="HZJ45" s="13"/>
      <c r="HZK45" s="13"/>
      <c r="HZL45" s="13"/>
      <c r="HZM45" s="13"/>
      <c r="HZN45" s="13"/>
      <c r="HZO45" s="13"/>
      <c r="HZP45" s="13"/>
      <c r="HZQ45" s="13"/>
      <c r="HZR45" s="13"/>
      <c r="HZS45" s="13"/>
      <c r="HZT45" s="13"/>
      <c r="HZU45" s="13"/>
      <c r="HZV45" s="13"/>
      <c r="HZW45" s="13"/>
      <c r="HZX45" s="13"/>
      <c r="HZY45" s="13"/>
      <c r="HZZ45" s="13"/>
      <c r="IAA45" s="13"/>
      <c r="IAB45" s="13"/>
      <c r="IAC45" s="13"/>
      <c r="IAD45" s="13"/>
      <c r="IAE45" s="13"/>
      <c r="IAF45" s="13"/>
      <c r="IAG45" s="13"/>
      <c r="IAH45" s="13"/>
      <c r="IAI45" s="13"/>
      <c r="IAJ45" s="13"/>
      <c r="IAK45" s="13"/>
      <c r="IAL45" s="13"/>
      <c r="IAM45" s="13"/>
      <c r="IAN45" s="13"/>
      <c r="IAO45" s="13"/>
      <c r="IAP45" s="13"/>
      <c r="IAQ45" s="13"/>
      <c r="IAR45" s="13"/>
      <c r="IAS45" s="13"/>
      <c r="IAT45" s="13"/>
      <c r="IAU45" s="13"/>
      <c r="IAV45" s="13"/>
      <c r="IAW45" s="13"/>
      <c r="IAX45" s="13"/>
      <c r="IAY45" s="13"/>
      <c r="IAZ45" s="13"/>
      <c r="IBA45" s="13"/>
      <c r="IBB45" s="13"/>
      <c r="IBC45" s="13"/>
      <c r="IBD45" s="13"/>
      <c r="IBE45" s="13"/>
      <c r="IBF45" s="13"/>
      <c r="IBG45" s="13"/>
      <c r="IBH45" s="13"/>
      <c r="IBI45" s="13"/>
      <c r="IBJ45" s="13"/>
      <c r="IBK45" s="13"/>
      <c r="IBL45" s="13"/>
      <c r="IBM45" s="13"/>
      <c r="IBN45" s="13"/>
      <c r="IBO45" s="13"/>
      <c r="IBP45" s="13"/>
      <c r="IBQ45" s="13"/>
      <c r="IBR45" s="13"/>
      <c r="IBS45" s="13"/>
      <c r="IBT45" s="13"/>
      <c r="IBU45" s="13"/>
      <c r="IBV45" s="13"/>
      <c r="IBW45" s="13"/>
      <c r="IBX45" s="13"/>
      <c r="IBY45" s="13"/>
      <c r="IBZ45" s="13"/>
      <c r="ICA45" s="13"/>
      <c r="ICB45" s="13"/>
      <c r="ICC45" s="13"/>
      <c r="ICD45" s="13"/>
      <c r="ICE45" s="13"/>
      <c r="ICF45" s="13"/>
      <c r="ICG45" s="13"/>
      <c r="ICH45" s="13"/>
      <c r="ICI45" s="13"/>
      <c r="ICJ45" s="13"/>
      <c r="ICK45" s="13"/>
      <c r="ICL45" s="13"/>
      <c r="ICM45" s="13"/>
      <c r="ICN45" s="13"/>
      <c r="ICO45" s="13"/>
      <c r="ICP45" s="13"/>
      <c r="ICQ45" s="13"/>
      <c r="ICR45" s="13"/>
      <c r="ICS45" s="13"/>
      <c r="ICT45" s="13"/>
      <c r="ICU45" s="13"/>
      <c r="ICV45" s="13"/>
      <c r="ICW45" s="13"/>
      <c r="ICX45" s="13"/>
      <c r="ICY45" s="13"/>
      <c r="ICZ45" s="13"/>
      <c r="IDA45" s="13"/>
      <c r="IDB45" s="13"/>
      <c r="IDC45" s="13"/>
      <c r="IDD45" s="13"/>
      <c r="IDE45" s="13"/>
      <c r="IDF45" s="13"/>
      <c r="IDG45" s="13"/>
      <c r="IDH45" s="13"/>
      <c r="IDI45" s="13"/>
      <c r="IDJ45" s="13"/>
      <c r="IDK45" s="13"/>
      <c r="IDL45" s="13"/>
      <c r="IDM45" s="13"/>
      <c r="IDN45" s="13"/>
      <c r="IDO45" s="13"/>
      <c r="IDP45" s="13"/>
      <c r="IDQ45" s="13"/>
      <c r="IDR45" s="13"/>
      <c r="IDS45" s="13"/>
      <c r="IDT45" s="13"/>
      <c r="IDU45" s="13"/>
      <c r="IDV45" s="13"/>
      <c r="IDW45" s="13"/>
      <c r="IDX45" s="13"/>
      <c r="IDY45" s="13"/>
      <c r="IDZ45" s="13"/>
      <c r="IEA45" s="13"/>
      <c r="IEB45" s="13"/>
      <c r="IEC45" s="13"/>
      <c r="IED45" s="13"/>
      <c r="IEE45" s="13"/>
      <c r="IEF45" s="13"/>
      <c r="IEG45" s="13"/>
      <c r="IEH45" s="13"/>
      <c r="IEI45" s="13"/>
      <c r="IEJ45" s="13"/>
      <c r="IEK45" s="13"/>
      <c r="IEL45" s="13"/>
      <c r="IEM45" s="13"/>
      <c r="IEN45" s="13"/>
      <c r="IEO45" s="13"/>
      <c r="IEP45" s="13"/>
      <c r="IEQ45" s="13"/>
      <c r="IER45" s="13"/>
      <c r="IES45" s="13"/>
      <c r="IET45" s="13"/>
      <c r="IEU45" s="13"/>
      <c r="IEV45" s="13"/>
      <c r="IEW45" s="13"/>
      <c r="IEX45" s="13"/>
      <c r="IEY45" s="13"/>
      <c r="IEZ45" s="13"/>
      <c r="IFA45" s="13"/>
      <c r="IFB45" s="13"/>
      <c r="IFC45" s="13"/>
      <c r="IFD45" s="13"/>
      <c r="IFE45" s="13"/>
      <c r="IFF45" s="13"/>
      <c r="IFG45" s="13"/>
      <c r="IFH45" s="13"/>
      <c r="IFI45" s="13"/>
      <c r="IFJ45" s="13"/>
      <c r="IFK45" s="13"/>
      <c r="IFL45" s="13"/>
      <c r="IFM45" s="13"/>
      <c r="IFN45" s="13"/>
      <c r="IFO45" s="13"/>
      <c r="IFP45" s="13"/>
      <c r="IFQ45" s="13"/>
      <c r="IFR45" s="13"/>
      <c r="IFS45" s="13"/>
      <c r="IFT45" s="13"/>
      <c r="IFU45" s="13"/>
      <c r="IFV45" s="13"/>
      <c r="IFW45" s="13"/>
      <c r="IFX45" s="13"/>
      <c r="IFY45" s="13"/>
      <c r="IFZ45" s="13"/>
      <c r="IGA45" s="13"/>
      <c r="IGB45" s="13"/>
      <c r="IGC45" s="13"/>
      <c r="IGD45" s="13"/>
      <c r="IGE45" s="13"/>
      <c r="IGF45" s="13"/>
      <c r="IGG45" s="13"/>
      <c r="IGH45" s="13"/>
      <c r="IGI45" s="13"/>
      <c r="IGJ45" s="13"/>
      <c r="IGK45" s="13"/>
      <c r="IGL45" s="13"/>
      <c r="IGM45" s="13"/>
      <c r="IGN45" s="13"/>
      <c r="IGO45" s="13"/>
      <c r="IGP45" s="13"/>
      <c r="IGQ45" s="13"/>
      <c r="IGR45" s="13"/>
      <c r="IGS45" s="13"/>
      <c r="IGT45" s="13"/>
      <c r="IGU45" s="13"/>
      <c r="IGV45" s="13"/>
      <c r="IGW45" s="13"/>
      <c r="IGX45" s="13"/>
      <c r="IGY45" s="13"/>
      <c r="IGZ45" s="13"/>
      <c r="IHA45" s="13"/>
      <c r="IHB45" s="13"/>
      <c r="IHC45" s="13"/>
      <c r="IHD45" s="13"/>
      <c r="IHE45" s="13"/>
      <c r="IHF45" s="13"/>
      <c r="IHG45" s="13"/>
      <c r="IHH45" s="13"/>
      <c r="IHI45" s="13"/>
      <c r="IHJ45" s="13"/>
      <c r="IHK45" s="13"/>
      <c r="IHL45" s="13"/>
      <c r="IHM45" s="13"/>
      <c r="IHN45" s="13"/>
      <c r="IHO45" s="13"/>
      <c r="IHP45" s="13"/>
      <c r="IHQ45" s="13"/>
      <c r="IHR45" s="13"/>
      <c r="IHS45" s="13"/>
      <c r="IHT45" s="13"/>
      <c r="IHU45" s="13"/>
      <c r="IHV45" s="13"/>
      <c r="IHW45" s="13"/>
      <c r="IHX45" s="13"/>
      <c r="IHY45" s="13"/>
      <c r="IHZ45" s="13"/>
      <c r="IIA45" s="13"/>
      <c r="IIB45" s="13"/>
      <c r="IIC45" s="13"/>
      <c r="IID45" s="13"/>
      <c r="IIE45" s="13"/>
      <c r="IIF45" s="13"/>
      <c r="IIG45" s="13"/>
      <c r="IIH45" s="13"/>
      <c r="III45" s="13"/>
      <c r="IIJ45" s="13"/>
      <c r="IIK45" s="13"/>
      <c r="IIL45" s="13"/>
      <c r="IIM45" s="13"/>
      <c r="IIN45" s="13"/>
      <c r="IIO45" s="13"/>
      <c r="IIP45" s="13"/>
      <c r="IIQ45" s="13"/>
      <c r="IIR45" s="13"/>
      <c r="IIS45" s="13"/>
      <c r="IIT45" s="13"/>
      <c r="IIU45" s="13"/>
      <c r="IIV45" s="13"/>
      <c r="IIW45" s="13"/>
      <c r="IIX45" s="13"/>
      <c r="IIY45" s="13"/>
      <c r="IIZ45" s="13"/>
      <c r="IJA45" s="13"/>
      <c r="IJB45" s="13"/>
      <c r="IJC45" s="13"/>
      <c r="IJD45" s="13"/>
      <c r="IJE45" s="13"/>
      <c r="IJF45" s="13"/>
      <c r="IJG45" s="13"/>
      <c r="IJH45" s="13"/>
      <c r="IJI45" s="13"/>
      <c r="IJJ45" s="13"/>
      <c r="IJK45" s="13"/>
      <c r="IJL45" s="13"/>
      <c r="IJM45" s="13"/>
      <c r="IJN45" s="13"/>
      <c r="IJO45" s="13"/>
      <c r="IJP45" s="13"/>
      <c r="IJQ45" s="13"/>
      <c r="IJR45" s="13"/>
      <c r="IJS45" s="13"/>
      <c r="IJT45" s="13"/>
      <c r="IJU45" s="13"/>
      <c r="IJV45" s="13"/>
      <c r="IJW45" s="13"/>
      <c r="IJX45" s="13"/>
      <c r="IJY45" s="13"/>
      <c r="IJZ45" s="13"/>
      <c r="IKA45" s="13"/>
      <c r="IKB45" s="13"/>
      <c r="IKC45" s="13"/>
      <c r="IKD45" s="13"/>
      <c r="IKE45" s="13"/>
      <c r="IKF45" s="13"/>
      <c r="IKG45" s="13"/>
      <c r="IKH45" s="13"/>
      <c r="IKI45" s="13"/>
      <c r="IKJ45" s="13"/>
      <c r="IKK45" s="13"/>
      <c r="IKL45" s="13"/>
      <c r="IKM45" s="13"/>
      <c r="IKN45" s="13"/>
      <c r="IKO45" s="13"/>
      <c r="IKP45" s="13"/>
      <c r="IKQ45" s="13"/>
      <c r="IKR45" s="13"/>
      <c r="IKS45" s="13"/>
      <c r="IKT45" s="13"/>
      <c r="IKU45" s="13"/>
      <c r="IKV45" s="13"/>
      <c r="IKW45" s="13"/>
      <c r="IKX45" s="13"/>
      <c r="IKY45" s="13"/>
      <c r="IKZ45" s="13"/>
      <c r="ILA45" s="13"/>
      <c r="ILB45" s="13"/>
      <c r="ILC45" s="13"/>
      <c r="ILD45" s="13"/>
      <c r="ILE45" s="13"/>
      <c r="ILF45" s="13"/>
      <c r="ILG45" s="13"/>
      <c r="ILH45" s="13"/>
      <c r="ILI45" s="13"/>
      <c r="ILJ45" s="13"/>
      <c r="ILK45" s="13"/>
      <c r="ILL45" s="13"/>
      <c r="ILM45" s="13"/>
      <c r="ILN45" s="13"/>
      <c r="ILO45" s="13"/>
      <c r="ILP45" s="13"/>
      <c r="ILQ45" s="13"/>
      <c r="ILR45" s="13"/>
      <c r="ILS45" s="13"/>
      <c r="ILT45" s="13"/>
      <c r="ILU45" s="13"/>
      <c r="ILV45" s="13"/>
      <c r="ILW45" s="13"/>
      <c r="ILX45" s="13"/>
      <c r="ILY45" s="13"/>
      <c r="ILZ45" s="13"/>
      <c r="IMA45" s="13"/>
      <c r="IMB45" s="13"/>
      <c r="IMC45" s="13"/>
      <c r="IMD45" s="13"/>
      <c r="IME45" s="13"/>
      <c r="IMF45" s="13"/>
      <c r="IMG45" s="13"/>
      <c r="IMH45" s="13"/>
      <c r="IMI45" s="13"/>
      <c r="IMJ45" s="13"/>
      <c r="IMK45" s="13"/>
      <c r="IML45" s="13"/>
      <c r="IMM45" s="13"/>
      <c r="IMN45" s="13"/>
      <c r="IMO45" s="13"/>
      <c r="IMP45" s="13"/>
      <c r="IMQ45" s="13"/>
      <c r="IMR45" s="13"/>
      <c r="IMS45" s="13"/>
      <c r="IMT45" s="13"/>
      <c r="IMU45" s="13"/>
      <c r="IMV45" s="13"/>
      <c r="IMW45" s="13"/>
      <c r="IMX45" s="13"/>
      <c r="IMY45" s="13"/>
      <c r="IMZ45" s="13"/>
      <c r="INA45" s="13"/>
      <c r="INB45" s="13"/>
      <c r="INC45" s="13"/>
      <c r="IND45" s="13"/>
      <c r="INE45" s="13"/>
      <c r="INF45" s="13"/>
      <c r="ING45" s="13"/>
      <c r="INH45" s="13"/>
      <c r="INI45" s="13"/>
      <c r="INJ45" s="13"/>
      <c r="INK45" s="13"/>
      <c r="INL45" s="13"/>
      <c r="INM45" s="13"/>
      <c r="INN45" s="13"/>
      <c r="INO45" s="13"/>
      <c r="INP45" s="13"/>
      <c r="INQ45" s="13"/>
      <c r="INR45" s="13"/>
      <c r="INS45" s="13"/>
      <c r="INT45" s="13"/>
      <c r="INU45" s="13"/>
      <c r="INV45" s="13"/>
      <c r="INW45" s="13"/>
      <c r="INX45" s="13"/>
      <c r="INY45" s="13"/>
      <c r="INZ45" s="13"/>
      <c r="IOA45" s="13"/>
      <c r="IOB45" s="13"/>
      <c r="IOC45" s="13"/>
      <c r="IOD45" s="13"/>
      <c r="IOE45" s="13"/>
      <c r="IOF45" s="13"/>
      <c r="IOG45" s="13"/>
      <c r="IOH45" s="13"/>
      <c r="IOI45" s="13"/>
      <c r="IOJ45" s="13"/>
      <c r="IOK45" s="13"/>
      <c r="IOL45" s="13"/>
      <c r="IOM45" s="13"/>
      <c r="ION45" s="13"/>
      <c r="IOO45" s="13"/>
      <c r="IOP45" s="13"/>
      <c r="IOQ45" s="13"/>
      <c r="IOR45" s="13"/>
      <c r="IOS45" s="13"/>
      <c r="IOT45" s="13"/>
      <c r="IOU45" s="13"/>
      <c r="IOV45" s="13"/>
      <c r="IOW45" s="13"/>
      <c r="IOX45" s="13"/>
      <c r="IOY45" s="13"/>
      <c r="IOZ45" s="13"/>
      <c r="IPA45" s="13"/>
      <c r="IPB45" s="13"/>
      <c r="IPC45" s="13"/>
      <c r="IPD45" s="13"/>
      <c r="IPE45" s="13"/>
      <c r="IPF45" s="13"/>
      <c r="IPG45" s="13"/>
      <c r="IPH45" s="13"/>
      <c r="IPI45" s="13"/>
      <c r="IPJ45" s="13"/>
      <c r="IPK45" s="13"/>
      <c r="IPL45" s="13"/>
      <c r="IPM45" s="13"/>
      <c r="IPN45" s="13"/>
      <c r="IPO45" s="13"/>
      <c r="IPP45" s="13"/>
      <c r="IPQ45" s="13"/>
      <c r="IPR45" s="13"/>
      <c r="IPS45" s="13"/>
      <c r="IPT45" s="13"/>
      <c r="IPU45" s="13"/>
      <c r="IPV45" s="13"/>
      <c r="IPW45" s="13"/>
      <c r="IPX45" s="13"/>
      <c r="IPY45" s="13"/>
      <c r="IPZ45" s="13"/>
      <c r="IQA45" s="13"/>
      <c r="IQB45" s="13"/>
      <c r="IQC45" s="13"/>
      <c r="IQD45" s="13"/>
      <c r="IQE45" s="13"/>
      <c r="IQF45" s="13"/>
      <c r="IQG45" s="13"/>
      <c r="IQH45" s="13"/>
      <c r="IQI45" s="13"/>
      <c r="IQJ45" s="13"/>
      <c r="IQK45" s="13"/>
      <c r="IQL45" s="13"/>
      <c r="IQM45" s="13"/>
      <c r="IQN45" s="13"/>
      <c r="IQO45" s="13"/>
      <c r="IQP45" s="13"/>
      <c r="IQQ45" s="13"/>
      <c r="IQR45" s="13"/>
      <c r="IQS45" s="13"/>
      <c r="IQT45" s="13"/>
      <c r="IQU45" s="13"/>
      <c r="IQV45" s="13"/>
      <c r="IQW45" s="13"/>
      <c r="IQX45" s="13"/>
      <c r="IQY45" s="13"/>
      <c r="IQZ45" s="13"/>
      <c r="IRA45" s="13"/>
      <c r="IRB45" s="13"/>
      <c r="IRC45" s="13"/>
      <c r="IRD45" s="13"/>
      <c r="IRE45" s="13"/>
      <c r="IRF45" s="13"/>
      <c r="IRG45" s="13"/>
      <c r="IRH45" s="13"/>
      <c r="IRI45" s="13"/>
      <c r="IRJ45" s="13"/>
      <c r="IRK45" s="13"/>
      <c r="IRL45" s="13"/>
      <c r="IRM45" s="13"/>
      <c r="IRN45" s="13"/>
      <c r="IRO45" s="13"/>
      <c r="IRP45" s="13"/>
      <c r="IRQ45" s="13"/>
      <c r="IRR45" s="13"/>
      <c r="IRS45" s="13"/>
      <c r="IRT45" s="13"/>
      <c r="IRU45" s="13"/>
      <c r="IRV45" s="13"/>
      <c r="IRW45" s="13"/>
      <c r="IRX45" s="13"/>
      <c r="IRY45" s="13"/>
      <c r="IRZ45" s="13"/>
      <c r="ISA45" s="13"/>
      <c r="ISB45" s="13"/>
      <c r="ISC45" s="13"/>
      <c r="ISD45" s="13"/>
      <c r="ISE45" s="13"/>
      <c r="ISF45" s="13"/>
      <c r="ISG45" s="13"/>
      <c r="ISH45" s="13"/>
      <c r="ISI45" s="13"/>
      <c r="ISJ45" s="13"/>
      <c r="ISK45" s="13"/>
      <c r="ISL45" s="13"/>
      <c r="ISM45" s="13"/>
      <c r="ISN45" s="13"/>
      <c r="ISO45" s="13"/>
      <c r="ISP45" s="13"/>
      <c r="ISQ45" s="13"/>
      <c r="ISR45" s="13"/>
      <c r="ISS45" s="13"/>
      <c r="IST45" s="13"/>
      <c r="ISU45" s="13"/>
      <c r="ISV45" s="13"/>
      <c r="ISW45" s="13"/>
      <c r="ISX45" s="13"/>
      <c r="ISY45" s="13"/>
      <c r="ISZ45" s="13"/>
      <c r="ITA45" s="13"/>
      <c r="ITB45" s="13"/>
      <c r="ITC45" s="13"/>
      <c r="ITD45" s="13"/>
      <c r="ITE45" s="13"/>
      <c r="ITF45" s="13"/>
      <c r="ITG45" s="13"/>
      <c r="ITH45" s="13"/>
      <c r="ITI45" s="13"/>
      <c r="ITJ45" s="13"/>
      <c r="ITK45" s="13"/>
      <c r="ITL45" s="13"/>
      <c r="ITM45" s="13"/>
      <c r="ITN45" s="13"/>
      <c r="ITO45" s="13"/>
      <c r="ITP45" s="13"/>
      <c r="ITQ45" s="13"/>
      <c r="ITR45" s="13"/>
      <c r="ITS45" s="13"/>
      <c r="ITT45" s="13"/>
      <c r="ITU45" s="13"/>
      <c r="ITV45" s="13"/>
      <c r="ITW45" s="13"/>
      <c r="ITX45" s="13"/>
      <c r="ITY45" s="13"/>
      <c r="ITZ45" s="13"/>
      <c r="IUA45" s="13"/>
      <c r="IUB45" s="13"/>
      <c r="IUC45" s="13"/>
      <c r="IUD45" s="13"/>
      <c r="IUE45" s="13"/>
      <c r="IUF45" s="13"/>
      <c r="IUG45" s="13"/>
      <c r="IUH45" s="13"/>
      <c r="IUI45" s="13"/>
      <c r="IUJ45" s="13"/>
      <c r="IUK45" s="13"/>
      <c r="IUL45" s="13"/>
      <c r="IUM45" s="13"/>
      <c r="IUN45" s="13"/>
      <c r="IUO45" s="13"/>
      <c r="IUP45" s="13"/>
      <c r="IUQ45" s="13"/>
      <c r="IUR45" s="13"/>
      <c r="IUS45" s="13"/>
      <c r="IUT45" s="13"/>
      <c r="IUU45" s="13"/>
      <c r="IUV45" s="13"/>
      <c r="IUW45" s="13"/>
      <c r="IUX45" s="13"/>
      <c r="IUY45" s="13"/>
      <c r="IUZ45" s="13"/>
      <c r="IVA45" s="13"/>
      <c r="IVB45" s="13"/>
      <c r="IVC45" s="13"/>
      <c r="IVD45" s="13"/>
      <c r="IVE45" s="13"/>
      <c r="IVF45" s="13"/>
      <c r="IVG45" s="13"/>
      <c r="IVH45" s="13"/>
      <c r="IVI45" s="13"/>
      <c r="IVJ45" s="13"/>
      <c r="IVK45" s="13"/>
      <c r="IVL45" s="13"/>
      <c r="IVM45" s="13"/>
      <c r="IVN45" s="13"/>
      <c r="IVO45" s="13"/>
      <c r="IVP45" s="13"/>
      <c r="IVQ45" s="13"/>
      <c r="IVR45" s="13"/>
      <c r="IVS45" s="13"/>
      <c r="IVT45" s="13"/>
      <c r="IVU45" s="13"/>
      <c r="IVV45" s="13"/>
      <c r="IVW45" s="13"/>
      <c r="IVX45" s="13"/>
      <c r="IVY45" s="13"/>
      <c r="IVZ45" s="13"/>
      <c r="IWA45" s="13"/>
      <c r="IWB45" s="13"/>
      <c r="IWC45" s="13"/>
      <c r="IWD45" s="13"/>
      <c r="IWE45" s="13"/>
      <c r="IWF45" s="13"/>
      <c r="IWG45" s="13"/>
      <c r="IWH45" s="13"/>
      <c r="IWI45" s="13"/>
      <c r="IWJ45" s="13"/>
      <c r="IWK45" s="13"/>
      <c r="IWL45" s="13"/>
      <c r="IWM45" s="13"/>
      <c r="IWN45" s="13"/>
      <c r="IWO45" s="13"/>
      <c r="IWP45" s="13"/>
      <c r="IWQ45" s="13"/>
      <c r="IWR45" s="13"/>
      <c r="IWS45" s="13"/>
      <c r="IWT45" s="13"/>
      <c r="IWU45" s="13"/>
      <c r="IWV45" s="13"/>
      <c r="IWW45" s="13"/>
      <c r="IWX45" s="13"/>
      <c r="IWY45" s="13"/>
      <c r="IWZ45" s="13"/>
      <c r="IXA45" s="13"/>
      <c r="IXB45" s="13"/>
      <c r="IXC45" s="13"/>
      <c r="IXD45" s="13"/>
      <c r="IXE45" s="13"/>
      <c r="IXF45" s="13"/>
      <c r="IXG45" s="13"/>
      <c r="IXH45" s="13"/>
      <c r="IXI45" s="13"/>
      <c r="IXJ45" s="13"/>
      <c r="IXK45" s="13"/>
      <c r="IXL45" s="13"/>
      <c r="IXM45" s="13"/>
      <c r="IXN45" s="13"/>
      <c r="IXO45" s="13"/>
      <c r="IXP45" s="13"/>
      <c r="IXQ45" s="13"/>
      <c r="IXR45" s="13"/>
      <c r="IXS45" s="13"/>
      <c r="IXT45" s="13"/>
      <c r="IXU45" s="13"/>
      <c r="IXV45" s="13"/>
      <c r="IXW45" s="13"/>
      <c r="IXX45" s="13"/>
      <c r="IXY45" s="13"/>
      <c r="IXZ45" s="13"/>
      <c r="IYA45" s="13"/>
      <c r="IYB45" s="13"/>
      <c r="IYC45" s="13"/>
      <c r="IYD45" s="13"/>
      <c r="IYE45" s="13"/>
      <c r="IYF45" s="13"/>
      <c r="IYG45" s="13"/>
      <c r="IYH45" s="13"/>
      <c r="IYI45" s="13"/>
      <c r="IYJ45" s="13"/>
      <c r="IYK45" s="13"/>
      <c r="IYL45" s="13"/>
      <c r="IYM45" s="13"/>
      <c r="IYN45" s="13"/>
      <c r="IYO45" s="13"/>
      <c r="IYP45" s="13"/>
      <c r="IYQ45" s="13"/>
      <c r="IYR45" s="13"/>
      <c r="IYS45" s="13"/>
      <c r="IYT45" s="13"/>
      <c r="IYU45" s="13"/>
      <c r="IYV45" s="13"/>
      <c r="IYW45" s="13"/>
      <c r="IYX45" s="13"/>
      <c r="IYY45" s="13"/>
      <c r="IYZ45" s="13"/>
      <c r="IZA45" s="13"/>
      <c r="IZB45" s="13"/>
      <c r="IZC45" s="13"/>
      <c r="IZD45" s="13"/>
      <c r="IZE45" s="13"/>
      <c r="IZF45" s="13"/>
      <c r="IZG45" s="13"/>
      <c r="IZH45" s="13"/>
      <c r="IZI45" s="13"/>
      <c r="IZJ45" s="13"/>
      <c r="IZK45" s="13"/>
      <c r="IZL45" s="13"/>
      <c r="IZM45" s="13"/>
      <c r="IZN45" s="13"/>
      <c r="IZO45" s="13"/>
      <c r="IZP45" s="13"/>
      <c r="IZQ45" s="13"/>
      <c r="IZR45" s="13"/>
      <c r="IZS45" s="13"/>
      <c r="IZT45" s="13"/>
      <c r="IZU45" s="13"/>
      <c r="IZV45" s="13"/>
      <c r="IZW45" s="13"/>
      <c r="IZX45" s="13"/>
      <c r="IZY45" s="13"/>
      <c r="IZZ45" s="13"/>
      <c r="JAA45" s="13"/>
      <c r="JAB45" s="13"/>
      <c r="JAC45" s="13"/>
      <c r="JAD45" s="13"/>
      <c r="JAE45" s="13"/>
      <c r="JAF45" s="13"/>
      <c r="JAG45" s="13"/>
      <c r="JAH45" s="13"/>
      <c r="JAI45" s="13"/>
      <c r="JAJ45" s="13"/>
      <c r="JAK45" s="13"/>
      <c r="JAL45" s="13"/>
      <c r="JAM45" s="13"/>
      <c r="JAN45" s="13"/>
      <c r="JAO45" s="13"/>
      <c r="JAP45" s="13"/>
      <c r="JAQ45" s="13"/>
      <c r="JAR45" s="13"/>
      <c r="JAS45" s="13"/>
      <c r="JAT45" s="13"/>
      <c r="JAU45" s="13"/>
      <c r="JAV45" s="13"/>
      <c r="JAW45" s="13"/>
      <c r="JAX45" s="13"/>
      <c r="JAY45" s="13"/>
      <c r="JAZ45" s="13"/>
      <c r="JBA45" s="13"/>
      <c r="JBB45" s="13"/>
      <c r="JBC45" s="13"/>
      <c r="JBD45" s="13"/>
      <c r="JBE45" s="13"/>
      <c r="JBF45" s="13"/>
      <c r="JBG45" s="13"/>
      <c r="JBH45" s="13"/>
      <c r="JBI45" s="13"/>
      <c r="JBJ45" s="13"/>
      <c r="JBK45" s="13"/>
      <c r="JBL45" s="13"/>
      <c r="JBM45" s="13"/>
      <c r="JBN45" s="13"/>
      <c r="JBO45" s="13"/>
      <c r="JBP45" s="13"/>
      <c r="JBQ45" s="13"/>
      <c r="JBR45" s="13"/>
      <c r="JBS45" s="13"/>
      <c r="JBT45" s="13"/>
      <c r="JBU45" s="13"/>
      <c r="JBV45" s="13"/>
      <c r="JBW45" s="13"/>
      <c r="JBX45" s="13"/>
      <c r="JBY45" s="13"/>
      <c r="JBZ45" s="13"/>
      <c r="JCA45" s="13"/>
      <c r="JCB45" s="13"/>
      <c r="JCC45" s="13"/>
      <c r="JCD45" s="13"/>
      <c r="JCE45" s="13"/>
      <c r="JCF45" s="13"/>
      <c r="JCG45" s="13"/>
      <c r="JCH45" s="13"/>
      <c r="JCI45" s="13"/>
      <c r="JCJ45" s="13"/>
      <c r="JCK45" s="13"/>
      <c r="JCL45" s="13"/>
      <c r="JCM45" s="13"/>
      <c r="JCN45" s="13"/>
      <c r="JCO45" s="13"/>
      <c r="JCP45" s="13"/>
      <c r="JCQ45" s="13"/>
      <c r="JCR45" s="13"/>
      <c r="JCS45" s="13"/>
      <c r="JCT45" s="13"/>
      <c r="JCU45" s="13"/>
      <c r="JCV45" s="13"/>
      <c r="JCW45" s="13"/>
      <c r="JCX45" s="13"/>
      <c r="JCY45" s="13"/>
      <c r="JCZ45" s="13"/>
      <c r="JDA45" s="13"/>
      <c r="JDB45" s="13"/>
      <c r="JDC45" s="13"/>
      <c r="JDD45" s="13"/>
      <c r="JDE45" s="13"/>
      <c r="JDF45" s="13"/>
      <c r="JDG45" s="13"/>
      <c r="JDH45" s="13"/>
      <c r="JDI45" s="13"/>
      <c r="JDJ45" s="13"/>
      <c r="JDK45" s="13"/>
      <c r="JDL45" s="13"/>
      <c r="JDM45" s="13"/>
      <c r="JDN45" s="13"/>
      <c r="JDO45" s="13"/>
      <c r="JDP45" s="13"/>
      <c r="JDQ45" s="13"/>
      <c r="JDR45" s="13"/>
      <c r="JDS45" s="13"/>
      <c r="JDT45" s="13"/>
      <c r="JDU45" s="13"/>
      <c r="JDV45" s="13"/>
      <c r="JDW45" s="13"/>
      <c r="JDX45" s="13"/>
      <c r="JDY45" s="13"/>
      <c r="JDZ45" s="13"/>
      <c r="JEA45" s="13"/>
      <c r="JEB45" s="13"/>
      <c r="JEC45" s="13"/>
      <c r="JED45" s="13"/>
      <c r="JEE45" s="13"/>
      <c r="JEF45" s="13"/>
      <c r="JEG45" s="13"/>
      <c r="JEH45" s="13"/>
      <c r="JEI45" s="13"/>
      <c r="JEJ45" s="13"/>
      <c r="JEK45" s="13"/>
      <c r="JEL45" s="13"/>
      <c r="JEM45" s="13"/>
      <c r="JEN45" s="13"/>
      <c r="JEO45" s="13"/>
      <c r="JEP45" s="13"/>
      <c r="JEQ45" s="13"/>
      <c r="JER45" s="13"/>
      <c r="JES45" s="13"/>
      <c r="JET45" s="13"/>
      <c r="JEU45" s="13"/>
      <c r="JEV45" s="13"/>
      <c r="JEW45" s="13"/>
      <c r="JEX45" s="13"/>
      <c r="JEY45" s="13"/>
      <c r="JEZ45" s="13"/>
      <c r="JFA45" s="13"/>
      <c r="JFB45" s="13"/>
      <c r="JFC45" s="13"/>
      <c r="JFD45" s="13"/>
      <c r="JFE45" s="13"/>
      <c r="JFF45" s="13"/>
      <c r="JFG45" s="13"/>
      <c r="JFH45" s="13"/>
      <c r="JFI45" s="13"/>
      <c r="JFJ45" s="13"/>
      <c r="JFK45" s="13"/>
      <c r="JFL45" s="13"/>
      <c r="JFM45" s="13"/>
      <c r="JFN45" s="13"/>
      <c r="JFO45" s="13"/>
      <c r="JFP45" s="13"/>
      <c r="JFQ45" s="13"/>
      <c r="JFR45" s="13"/>
      <c r="JFS45" s="13"/>
      <c r="JFT45" s="13"/>
      <c r="JFU45" s="13"/>
      <c r="JFV45" s="13"/>
      <c r="JFW45" s="13"/>
      <c r="JFX45" s="13"/>
      <c r="JFY45" s="13"/>
      <c r="JFZ45" s="13"/>
      <c r="JGA45" s="13"/>
      <c r="JGB45" s="13"/>
      <c r="JGC45" s="13"/>
      <c r="JGD45" s="13"/>
      <c r="JGE45" s="13"/>
      <c r="JGF45" s="13"/>
      <c r="JGG45" s="13"/>
      <c r="JGH45" s="13"/>
      <c r="JGI45" s="13"/>
      <c r="JGJ45" s="13"/>
      <c r="JGK45" s="13"/>
      <c r="JGL45" s="13"/>
      <c r="JGM45" s="13"/>
      <c r="JGN45" s="13"/>
      <c r="JGO45" s="13"/>
      <c r="JGP45" s="13"/>
      <c r="JGQ45" s="13"/>
      <c r="JGR45" s="13"/>
      <c r="JGS45" s="13"/>
      <c r="JGT45" s="13"/>
      <c r="JGU45" s="13"/>
      <c r="JGV45" s="13"/>
      <c r="JGW45" s="13"/>
      <c r="JGX45" s="13"/>
      <c r="JGY45" s="13"/>
      <c r="JGZ45" s="13"/>
      <c r="JHA45" s="13"/>
      <c r="JHB45" s="13"/>
      <c r="JHC45" s="13"/>
      <c r="JHD45" s="13"/>
      <c r="JHE45" s="13"/>
      <c r="JHF45" s="13"/>
      <c r="JHG45" s="13"/>
      <c r="JHH45" s="13"/>
      <c r="JHI45" s="13"/>
      <c r="JHJ45" s="13"/>
      <c r="JHK45" s="13"/>
      <c r="JHL45" s="13"/>
      <c r="JHM45" s="13"/>
      <c r="JHN45" s="13"/>
      <c r="JHO45" s="13"/>
      <c r="JHP45" s="13"/>
      <c r="JHQ45" s="13"/>
      <c r="JHR45" s="13"/>
      <c r="JHS45" s="13"/>
      <c r="JHT45" s="13"/>
      <c r="JHU45" s="13"/>
      <c r="JHV45" s="13"/>
      <c r="JHW45" s="13"/>
      <c r="JHX45" s="13"/>
      <c r="JHY45" s="13"/>
      <c r="JHZ45" s="13"/>
      <c r="JIA45" s="13"/>
      <c r="JIB45" s="13"/>
      <c r="JIC45" s="13"/>
      <c r="JID45" s="13"/>
      <c r="JIE45" s="13"/>
      <c r="JIF45" s="13"/>
      <c r="JIG45" s="13"/>
      <c r="JIH45" s="13"/>
      <c r="JII45" s="13"/>
      <c r="JIJ45" s="13"/>
      <c r="JIK45" s="13"/>
      <c r="JIL45" s="13"/>
      <c r="JIM45" s="13"/>
      <c r="JIN45" s="13"/>
      <c r="JIO45" s="13"/>
      <c r="JIP45" s="13"/>
      <c r="JIQ45" s="13"/>
      <c r="JIR45" s="13"/>
      <c r="JIS45" s="13"/>
      <c r="JIT45" s="13"/>
      <c r="JIU45" s="13"/>
      <c r="JIV45" s="13"/>
      <c r="JIW45" s="13"/>
      <c r="JIX45" s="13"/>
      <c r="JIY45" s="13"/>
      <c r="JIZ45" s="13"/>
      <c r="JJA45" s="13"/>
      <c r="JJB45" s="13"/>
      <c r="JJC45" s="13"/>
      <c r="JJD45" s="13"/>
      <c r="JJE45" s="13"/>
      <c r="JJF45" s="13"/>
      <c r="JJG45" s="13"/>
      <c r="JJH45" s="13"/>
      <c r="JJI45" s="13"/>
      <c r="JJJ45" s="13"/>
      <c r="JJK45" s="13"/>
      <c r="JJL45" s="13"/>
      <c r="JJM45" s="13"/>
      <c r="JJN45" s="13"/>
      <c r="JJO45" s="13"/>
      <c r="JJP45" s="13"/>
      <c r="JJQ45" s="13"/>
      <c r="JJR45" s="13"/>
      <c r="JJS45" s="13"/>
      <c r="JJT45" s="13"/>
      <c r="JJU45" s="13"/>
      <c r="JJV45" s="13"/>
      <c r="JJW45" s="13"/>
      <c r="JJX45" s="13"/>
      <c r="JJY45" s="13"/>
      <c r="JJZ45" s="13"/>
      <c r="JKA45" s="13"/>
      <c r="JKB45" s="13"/>
      <c r="JKC45" s="13"/>
      <c r="JKD45" s="13"/>
      <c r="JKE45" s="13"/>
      <c r="JKF45" s="13"/>
      <c r="JKG45" s="13"/>
      <c r="JKH45" s="13"/>
      <c r="JKI45" s="13"/>
      <c r="JKJ45" s="13"/>
      <c r="JKK45" s="13"/>
      <c r="JKL45" s="13"/>
      <c r="JKM45" s="13"/>
      <c r="JKN45" s="13"/>
      <c r="JKO45" s="13"/>
      <c r="JKP45" s="13"/>
      <c r="JKQ45" s="13"/>
      <c r="JKR45" s="13"/>
      <c r="JKS45" s="13"/>
      <c r="JKT45" s="13"/>
      <c r="JKU45" s="13"/>
      <c r="JKV45" s="13"/>
      <c r="JKW45" s="13"/>
      <c r="JKX45" s="13"/>
      <c r="JKY45" s="13"/>
      <c r="JKZ45" s="13"/>
      <c r="JLA45" s="13"/>
      <c r="JLB45" s="13"/>
      <c r="JLC45" s="13"/>
      <c r="JLD45" s="13"/>
      <c r="JLE45" s="13"/>
      <c r="JLF45" s="13"/>
      <c r="JLG45" s="13"/>
      <c r="JLH45" s="13"/>
      <c r="JLI45" s="13"/>
      <c r="JLJ45" s="13"/>
      <c r="JLK45" s="13"/>
      <c r="JLL45" s="13"/>
      <c r="JLM45" s="13"/>
      <c r="JLN45" s="13"/>
      <c r="JLO45" s="13"/>
      <c r="JLP45" s="13"/>
      <c r="JLQ45" s="13"/>
      <c r="JLR45" s="13"/>
      <c r="JLS45" s="13"/>
      <c r="JLT45" s="13"/>
      <c r="JLU45" s="13"/>
      <c r="JLV45" s="13"/>
      <c r="JLW45" s="13"/>
      <c r="JLX45" s="13"/>
      <c r="JLY45" s="13"/>
      <c r="JLZ45" s="13"/>
      <c r="JMA45" s="13"/>
      <c r="JMB45" s="13"/>
      <c r="JMC45" s="13"/>
      <c r="JMD45" s="13"/>
      <c r="JME45" s="13"/>
      <c r="JMF45" s="13"/>
      <c r="JMG45" s="13"/>
      <c r="JMH45" s="13"/>
      <c r="JMI45" s="13"/>
      <c r="JMJ45" s="13"/>
      <c r="JMK45" s="13"/>
      <c r="JML45" s="13"/>
      <c r="JMM45" s="13"/>
      <c r="JMN45" s="13"/>
      <c r="JMO45" s="13"/>
      <c r="JMP45" s="13"/>
      <c r="JMQ45" s="13"/>
      <c r="JMR45" s="13"/>
      <c r="JMS45" s="13"/>
      <c r="JMT45" s="13"/>
      <c r="JMU45" s="13"/>
      <c r="JMV45" s="13"/>
      <c r="JMW45" s="13"/>
      <c r="JMX45" s="13"/>
      <c r="JMY45" s="13"/>
      <c r="JMZ45" s="13"/>
      <c r="JNA45" s="13"/>
      <c r="JNB45" s="13"/>
      <c r="JNC45" s="13"/>
      <c r="JND45" s="13"/>
      <c r="JNE45" s="13"/>
      <c r="JNF45" s="13"/>
      <c r="JNG45" s="13"/>
      <c r="JNH45" s="13"/>
      <c r="JNI45" s="13"/>
      <c r="JNJ45" s="13"/>
      <c r="JNK45" s="13"/>
      <c r="JNL45" s="13"/>
      <c r="JNM45" s="13"/>
      <c r="JNN45" s="13"/>
      <c r="JNO45" s="13"/>
      <c r="JNP45" s="13"/>
      <c r="JNQ45" s="13"/>
      <c r="JNR45" s="13"/>
      <c r="JNS45" s="13"/>
      <c r="JNT45" s="13"/>
      <c r="JNU45" s="13"/>
      <c r="JNV45" s="13"/>
      <c r="JNW45" s="13"/>
      <c r="JNX45" s="13"/>
      <c r="JNY45" s="13"/>
      <c r="JNZ45" s="13"/>
      <c r="JOA45" s="13"/>
      <c r="JOB45" s="13"/>
      <c r="JOC45" s="13"/>
      <c r="JOD45" s="13"/>
      <c r="JOE45" s="13"/>
      <c r="JOF45" s="13"/>
      <c r="JOG45" s="13"/>
      <c r="JOH45" s="13"/>
      <c r="JOI45" s="13"/>
      <c r="JOJ45" s="13"/>
      <c r="JOK45" s="13"/>
      <c r="JOL45" s="13"/>
      <c r="JOM45" s="13"/>
      <c r="JON45" s="13"/>
      <c r="JOO45" s="13"/>
      <c r="JOP45" s="13"/>
      <c r="JOQ45" s="13"/>
      <c r="JOR45" s="13"/>
      <c r="JOS45" s="13"/>
      <c r="JOT45" s="13"/>
      <c r="JOU45" s="13"/>
      <c r="JOV45" s="13"/>
      <c r="JOW45" s="13"/>
      <c r="JOX45" s="13"/>
      <c r="JOY45" s="13"/>
      <c r="JOZ45" s="13"/>
      <c r="JPA45" s="13"/>
      <c r="JPB45" s="13"/>
      <c r="JPC45" s="13"/>
      <c r="JPD45" s="13"/>
      <c r="JPE45" s="13"/>
      <c r="JPF45" s="13"/>
      <c r="JPG45" s="13"/>
      <c r="JPH45" s="13"/>
      <c r="JPI45" s="13"/>
      <c r="JPJ45" s="13"/>
      <c r="JPK45" s="13"/>
      <c r="JPL45" s="13"/>
      <c r="JPM45" s="13"/>
      <c r="JPN45" s="13"/>
      <c r="JPO45" s="13"/>
      <c r="JPP45" s="13"/>
      <c r="JPQ45" s="13"/>
      <c r="JPR45" s="13"/>
      <c r="JPS45" s="13"/>
      <c r="JPT45" s="13"/>
      <c r="JPU45" s="13"/>
      <c r="JPV45" s="13"/>
      <c r="JPW45" s="13"/>
      <c r="JPX45" s="13"/>
      <c r="JPY45" s="13"/>
      <c r="JPZ45" s="13"/>
      <c r="JQA45" s="13"/>
      <c r="JQB45" s="13"/>
      <c r="JQC45" s="13"/>
      <c r="JQD45" s="13"/>
      <c r="JQE45" s="13"/>
      <c r="JQF45" s="13"/>
      <c r="JQG45" s="13"/>
      <c r="JQH45" s="13"/>
      <c r="JQI45" s="13"/>
      <c r="JQJ45" s="13"/>
      <c r="JQK45" s="13"/>
      <c r="JQL45" s="13"/>
      <c r="JQM45" s="13"/>
      <c r="JQN45" s="13"/>
      <c r="JQO45" s="13"/>
      <c r="JQP45" s="13"/>
      <c r="JQQ45" s="13"/>
      <c r="JQR45" s="13"/>
      <c r="JQS45" s="13"/>
      <c r="JQT45" s="13"/>
      <c r="JQU45" s="13"/>
      <c r="JQV45" s="13"/>
      <c r="JQW45" s="13"/>
      <c r="JQX45" s="13"/>
      <c r="JQY45" s="13"/>
      <c r="JQZ45" s="13"/>
      <c r="JRA45" s="13"/>
      <c r="JRB45" s="13"/>
      <c r="JRC45" s="13"/>
      <c r="JRD45" s="13"/>
      <c r="JRE45" s="13"/>
      <c r="JRF45" s="13"/>
      <c r="JRG45" s="13"/>
      <c r="JRH45" s="13"/>
      <c r="JRI45" s="13"/>
      <c r="JRJ45" s="13"/>
      <c r="JRK45" s="13"/>
      <c r="JRL45" s="13"/>
      <c r="JRM45" s="13"/>
      <c r="JRN45" s="13"/>
      <c r="JRO45" s="13"/>
      <c r="JRP45" s="13"/>
      <c r="JRQ45" s="13"/>
      <c r="JRR45" s="13"/>
      <c r="JRS45" s="13"/>
      <c r="JRT45" s="13"/>
      <c r="JRU45" s="13"/>
      <c r="JRV45" s="13"/>
      <c r="JRW45" s="13"/>
      <c r="JRX45" s="13"/>
      <c r="JRY45" s="13"/>
      <c r="JRZ45" s="13"/>
      <c r="JSA45" s="13"/>
      <c r="JSB45" s="13"/>
      <c r="JSC45" s="13"/>
      <c r="JSD45" s="13"/>
      <c r="JSE45" s="13"/>
      <c r="JSF45" s="13"/>
      <c r="JSG45" s="13"/>
      <c r="JSH45" s="13"/>
      <c r="JSI45" s="13"/>
      <c r="JSJ45" s="13"/>
      <c r="JSK45" s="13"/>
      <c r="JSL45" s="13"/>
      <c r="JSM45" s="13"/>
      <c r="JSN45" s="13"/>
      <c r="JSO45" s="13"/>
      <c r="JSP45" s="13"/>
      <c r="JSQ45" s="13"/>
      <c r="JSR45" s="13"/>
      <c r="JSS45" s="13"/>
      <c r="JST45" s="13"/>
      <c r="JSU45" s="13"/>
      <c r="JSV45" s="13"/>
      <c r="JSW45" s="13"/>
      <c r="JSX45" s="13"/>
      <c r="JSY45" s="13"/>
      <c r="JSZ45" s="13"/>
      <c r="JTA45" s="13"/>
      <c r="JTB45" s="13"/>
      <c r="JTC45" s="13"/>
      <c r="JTD45" s="13"/>
      <c r="JTE45" s="13"/>
      <c r="JTF45" s="13"/>
      <c r="JTG45" s="13"/>
      <c r="JTH45" s="13"/>
      <c r="JTI45" s="13"/>
      <c r="JTJ45" s="13"/>
      <c r="JTK45" s="13"/>
      <c r="JTL45" s="13"/>
      <c r="JTM45" s="13"/>
      <c r="JTN45" s="13"/>
      <c r="JTO45" s="13"/>
      <c r="JTP45" s="13"/>
      <c r="JTQ45" s="13"/>
      <c r="JTR45" s="13"/>
      <c r="JTS45" s="13"/>
      <c r="JTT45" s="13"/>
      <c r="JTU45" s="13"/>
      <c r="JTV45" s="13"/>
      <c r="JTW45" s="13"/>
      <c r="JTX45" s="13"/>
      <c r="JTY45" s="13"/>
      <c r="JTZ45" s="13"/>
      <c r="JUA45" s="13"/>
      <c r="JUB45" s="13"/>
      <c r="JUC45" s="13"/>
      <c r="JUD45" s="13"/>
      <c r="JUE45" s="13"/>
      <c r="JUF45" s="13"/>
      <c r="JUG45" s="13"/>
      <c r="JUH45" s="13"/>
      <c r="JUI45" s="13"/>
      <c r="JUJ45" s="13"/>
      <c r="JUK45" s="13"/>
      <c r="JUL45" s="13"/>
      <c r="JUM45" s="13"/>
      <c r="JUN45" s="13"/>
      <c r="JUO45" s="13"/>
      <c r="JUP45" s="13"/>
      <c r="JUQ45" s="13"/>
      <c r="JUR45" s="13"/>
      <c r="JUS45" s="13"/>
      <c r="JUT45" s="13"/>
      <c r="JUU45" s="13"/>
      <c r="JUV45" s="13"/>
      <c r="JUW45" s="13"/>
      <c r="JUX45" s="13"/>
      <c r="JUY45" s="13"/>
      <c r="JUZ45" s="13"/>
      <c r="JVA45" s="13"/>
      <c r="JVB45" s="13"/>
      <c r="JVC45" s="13"/>
      <c r="JVD45" s="13"/>
      <c r="JVE45" s="13"/>
      <c r="JVF45" s="13"/>
      <c r="JVG45" s="13"/>
      <c r="JVH45" s="13"/>
      <c r="JVI45" s="13"/>
      <c r="JVJ45" s="13"/>
      <c r="JVK45" s="13"/>
      <c r="JVL45" s="13"/>
      <c r="JVM45" s="13"/>
      <c r="JVN45" s="13"/>
      <c r="JVO45" s="13"/>
      <c r="JVP45" s="13"/>
      <c r="JVQ45" s="13"/>
      <c r="JVR45" s="13"/>
      <c r="JVS45" s="13"/>
      <c r="JVT45" s="13"/>
      <c r="JVU45" s="13"/>
      <c r="JVV45" s="13"/>
      <c r="JVW45" s="13"/>
      <c r="JVX45" s="13"/>
      <c r="JVY45" s="13"/>
      <c r="JVZ45" s="13"/>
      <c r="JWA45" s="13"/>
      <c r="JWB45" s="13"/>
      <c r="JWC45" s="13"/>
      <c r="JWD45" s="13"/>
      <c r="JWE45" s="13"/>
      <c r="JWF45" s="13"/>
      <c r="JWG45" s="13"/>
      <c r="JWH45" s="13"/>
      <c r="JWI45" s="13"/>
      <c r="JWJ45" s="13"/>
      <c r="JWK45" s="13"/>
      <c r="JWL45" s="13"/>
      <c r="JWM45" s="13"/>
      <c r="JWN45" s="13"/>
      <c r="JWO45" s="13"/>
      <c r="JWP45" s="13"/>
      <c r="JWQ45" s="13"/>
      <c r="JWR45" s="13"/>
      <c r="JWS45" s="13"/>
      <c r="JWT45" s="13"/>
      <c r="JWU45" s="13"/>
      <c r="JWV45" s="13"/>
      <c r="JWW45" s="13"/>
      <c r="JWX45" s="13"/>
      <c r="JWY45" s="13"/>
      <c r="JWZ45" s="13"/>
      <c r="JXA45" s="13"/>
      <c r="JXB45" s="13"/>
      <c r="JXC45" s="13"/>
      <c r="JXD45" s="13"/>
      <c r="JXE45" s="13"/>
      <c r="JXF45" s="13"/>
      <c r="JXG45" s="13"/>
      <c r="JXH45" s="13"/>
      <c r="JXI45" s="13"/>
      <c r="JXJ45" s="13"/>
      <c r="JXK45" s="13"/>
      <c r="JXL45" s="13"/>
      <c r="JXM45" s="13"/>
      <c r="JXN45" s="13"/>
      <c r="JXO45" s="13"/>
      <c r="JXP45" s="13"/>
      <c r="JXQ45" s="13"/>
      <c r="JXR45" s="13"/>
      <c r="JXS45" s="13"/>
      <c r="JXT45" s="13"/>
      <c r="JXU45" s="13"/>
      <c r="JXV45" s="13"/>
      <c r="JXW45" s="13"/>
      <c r="JXX45" s="13"/>
      <c r="JXY45" s="13"/>
      <c r="JXZ45" s="13"/>
      <c r="JYA45" s="13"/>
      <c r="JYB45" s="13"/>
      <c r="JYC45" s="13"/>
      <c r="JYD45" s="13"/>
      <c r="JYE45" s="13"/>
      <c r="JYF45" s="13"/>
      <c r="JYG45" s="13"/>
      <c r="JYH45" s="13"/>
      <c r="JYI45" s="13"/>
      <c r="JYJ45" s="13"/>
      <c r="JYK45" s="13"/>
      <c r="JYL45" s="13"/>
      <c r="JYM45" s="13"/>
      <c r="JYN45" s="13"/>
      <c r="JYO45" s="13"/>
      <c r="JYP45" s="13"/>
      <c r="JYQ45" s="13"/>
      <c r="JYR45" s="13"/>
      <c r="JYS45" s="13"/>
      <c r="JYT45" s="13"/>
      <c r="JYU45" s="13"/>
      <c r="JYV45" s="13"/>
      <c r="JYW45" s="13"/>
      <c r="JYX45" s="13"/>
      <c r="JYY45" s="13"/>
      <c r="JYZ45" s="13"/>
      <c r="JZA45" s="13"/>
      <c r="JZB45" s="13"/>
      <c r="JZC45" s="13"/>
      <c r="JZD45" s="13"/>
      <c r="JZE45" s="13"/>
      <c r="JZF45" s="13"/>
      <c r="JZG45" s="13"/>
      <c r="JZH45" s="13"/>
      <c r="JZI45" s="13"/>
      <c r="JZJ45" s="13"/>
      <c r="JZK45" s="13"/>
      <c r="JZL45" s="13"/>
      <c r="JZM45" s="13"/>
      <c r="JZN45" s="13"/>
      <c r="JZO45" s="13"/>
      <c r="JZP45" s="13"/>
      <c r="JZQ45" s="13"/>
      <c r="JZR45" s="13"/>
      <c r="JZS45" s="13"/>
      <c r="JZT45" s="13"/>
      <c r="JZU45" s="13"/>
      <c r="JZV45" s="13"/>
      <c r="JZW45" s="13"/>
      <c r="JZX45" s="13"/>
      <c r="JZY45" s="13"/>
      <c r="JZZ45" s="13"/>
      <c r="KAA45" s="13"/>
      <c r="KAB45" s="13"/>
      <c r="KAC45" s="13"/>
      <c r="KAD45" s="13"/>
      <c r="KAE45" s="13"/>
      <c r="KAF45" s="13"/>
      <c r="KAG45" s="13"/>
      <c r="KAH45" s="13"/>
      <c r="KAI45" s="13"/>
      <c r="KAJ45" s="13"/>
      <c r="KAK45" s="13"/>
      <c r="KAL45" s="13"/>
      <c r="KAM45" s="13"/>
      <c r="KAN45" s="13"/>
      <c r="KAO45" s="13"/>
      <c r="KAP45" s="13"/>
      <c r="KAQ45" s="13"/>
      <c r="KAR45" s="13"/>
      <c r="KAS45" s="13"/>
      <c r="KAT45" s="13"/>
      <c r="KAU45" s="13"/>
      <c r="KAV45" s="13"/>
      <c r="KAW45" s="13"/>
      <c r="KAX45" s="13"/>
      <c r="KAY45" s="13"/>
      <c r="KAZ45" s="13"/>
      <c r="KBA45" s="13"/>
      <c r="KBB45" s="13"/>
      <c r="KBC45" s="13"/>
      <c r="KBD45" s="13"/>
      <c r="KBE45" s="13"/>
      <c r="KBF45" s="13"/>
      <c r="KBG45" s="13"/>
      <c r="KBH45" s="13"/>
      <c r="KBI45" s="13"/>
      <c r="KBJ45" s="13"/>
      <c r="KBK45" s="13"/>
      <c r="KBL45" s="13"/>
      <c r="KBM45" s="13"/>
      <c r="KBN45" s="13"/>
      <c r="KBO45" s="13"/>
      <c r="KBP45" s="13"/>
      <c r="KBQ45" s="13"/>
      <c r="KBR45" s="13"/>
      <c r="KBS45" s="13"/>
      <c r="KBT45" s="13"/>
      <c r="KBU45" s="13"/>
      <c r="KBV45" s="13"/>
      <c r="KBW45" s="13"/>
      <c r="KBX45" s="13"/>
      <c r="KBY45" s="13"/>
      <c r="KBZ45" s="13"/>
      <c r="KCA45" s="13"/>
      <c r="KCB45" s="13"/>
      <c r="KCC45" s="13"/>
      <c r="KCD45" s="13"/>
      <c r="KCE45" s="13"/>
      <c r="KCF45" s="13"/>
      <c r="KCG45" s="13"/>
      <c r="KCH45" s="13"/>
      <c r="KCI45" s="13"/>
      <c r="KCJ45" s="13"/>
      <c r="KCK45" s="13"/>
      <c r="KCL45" s="13"/>
      <c r="KCM45" s="13"/>
      <c r="KCN45" s="13"/>
      <c r="KCO45" s="13"/>
      <c r="KCP45" s="13"/>
      <c r="KCQ45" s="13"/>
      <c r="KCR45" s="13"/>
      <c r="KCS45" s="13"/>
      <c r="KCT45" s="13"/>
      <c r="KCU45" s="13"/>
      <c r="KCV45" s="13"/>
      <c r="KCW45" s="13"/>
      <c r="KCX45" s="13"/>
      <c r="KCY45" s="13"/>
      <c r="KCZ45" s="13"/>
      <c r="KDA45" s="13"/>
      <c r="KDB45" s="13"/>
      <c r="KDC45" s="13"/>
      <c r="KDD45" s="13"/>
      <c r="KDE45" s="13"/>
      <c r="KDF45" s="13"/>
      <c r="KDG45" s="13"/>
      <c r="KDH45" s="13"/>
      <c r="KDI45" s="13"/>
      <c r="KDJ45" s="13"/>
      <c r="KDK45" s="13"/>
      <c r="KDL45" s="13"/>
      <c r="KDM45" s="13"/>
      <c r="KDN45" s="13"/>
      <c r="KDO45" s="13"/>
      <c r="KDP45" s="13"/>
      <c r="KDQ45" s="13"/>
      <c r="KDR45" s="13"/>
      <c r="KDS45" s="13"/>
      <c r="KDT45" s="13"/>
      <c r="KDU45" s="13"/>
      <c r="KDV45" s="13"/>
      <c r="KDW45" s="13"/>
      <c r="KDX45" s="13"/>
      <c r="KDY45" s="13"/>
      <c r="KDZ45" s="13"/>
      <c r="KEA45" s="13"/>
      <c r="KEB45" s="13"/>
      <c r="KEC45" s="13"/>
      <c r="KED45" s="13"/>
      <c r="KEE45" s="13"/>
      <c r="KEF45" s="13"/>
      <c r="KEG45" s="13"/>
      <c r="KEH45" s="13"/>
      <c r="KEI45" s="13"/>
      <c r="KEJ45" s="13"/>
      <c r="KEK45" s="13"/>
      <c r="KEL45" s="13"/>
      <c r="KEM45" s="13"/>
      <c r="KEN45" s="13"/>
      <c r="KEO45" s="13"/>
      <c r="KEP45" s="13"/>
      <c r="KEQ45" s="13"/>
      <c r="KER45" s="13"/>
      <c r="KES45" s="13"/>
      <c r="KET45" s="13"/>
      <c r="KEU45" s="13"/>
      <c r="KEV45" s="13"/>
      <c r="KEW45" s="13"/>
      <c r="KEX45" s="13"/>
      <c r="KEY45" s="13"/>
      <c r="KEZ45" s="13"/>
      <c r="KFA45" s="13"/>
      <c r="KFB45" s="13"/>
      <c r="KFC45" s="13"/>
      <c r="KFD45" s="13"/>
      <c r="KFE45" s="13"/>
      <c r="KFF45" s="13"/>
      <c r="KFG45" s="13"/>
      <c r="KFH45" s="13"/>
      <c r="KFI45" s="13"/>
      <c r="KFJ45" s="13"/>
      <c r="KFK45" s="13"/>
      <c r="KFL45" s="13"/>
      <c r="KFM45" s="13"/>
      <c r="KFN45" s="13"/>
      <c r="KFO45" s="13"/>
      <c r="KFP45" s="13"/>
      <c r="KFQ45" s="13"/>
      <c r="KFR45" s="13"/>
      <c r="KFS45" s="13"/>
      <c r="KFT45" s="13"/>
      <c r="KFU45" s="13"/>
      <c r="KFV45" s="13"/>
      <c r="KFW45" s="13"/>
      <c r="KFX45" s="13"/>
      <c r="KFY45" s="13"/>
      <c r="KFZ45" s="13"/>
      <c r="KGA45" s="13"/>
      <c r="KGB45" s="13"/>
      <c r="KGC45" s="13"/>
      <c r="KGD45" s="13"/>
      <c r="KGE45" s="13"/>
      <c r="KGF45" s="13"/>
      <c r="KGG45" s="13"/>
      <c r="KGH45" s="13"/>
      <c r="KGI45" s="13"/>
      <c r="KGJ45" s="13"/>
      <c r="KGK45" s="13"/>
      <c r="KGL45" s="13"/>
      <c r="KGM45" s="13"/>
      <c r="KGN45" s="13"/>
      <c r="KGO45" s="13"/>
      <c r="KGP45" s="13"/>
      <c r="KGQ45" s="13"/>
      <c r="KGR45" s="13"/>
      <c r="KGS45" s="13"/>
      <c r="KGT45" s="13"/>
      <c r="KGU45" s="13"/>
      <c r="KGV45" s="13"/>
      <c r="KGW45" s="13"/>
      <c r="KGX45" s="13"/>
      <c r="KGY45" s="13"/>
      <c r="KGZ45" s="13"/>
      <c r="KHA45" s="13"/>
      <c r="KHB45" s="13"/>
      <c r="KHC45" s="13"/>
      <c r="KHD45" s="13"/>
      <c r="KHE45" s="13"/>
      <c r="KHF45" s="13"/>
      <c r="KHG45" s="13"/>
      <c r="KHH45" s="13"/>
      <c r="KHI45" s="13"/>
      <c r="KHJ45" s="13"/>
      <c r="KHK45" s="13"/>
      <c r="KHL45" s="13"/>
      <c r="KHM45" s="13"/>
      <c r="KHN45" s="13"/>
      <c r="KHO45" s="13"/>
      <c r="KHP45" s="13"/>
      <c r="KHQ45" s="13"/>
      <c r="KHR45" s="13"/>
      <c r="KHS45" s="13"/>
      <c r="KHT45" s="13"/>
      <c r="KHU45" s="13"/>
      <c r="KHV45" s="13"/>
      <c r="KHW45" s="13"/>
      <c r="KHX45" s="13"/>
      <c r="KHY45" s="13"/>
      <c r="KHZ45" s="13"/>
      <c r="KIA45" s="13"/>
      <c r="KIB45" s="13"/>
      <c r="KIC45" s="13"/>
      <c r="KID45" s="13"/>
      <c r="KIE45" s="13"/>
      <c r="KIF45" s="13"/>
      <c r="KIG45" s="13"/>
      <c r="KIH45" s="13"/>
      <c r="KII45" s="13"/>
      <c r="KIJ45" s="13"/>
      <c r="KIK45" s="13"/>
      <c r="KIL45" s="13"/>
      <c r="KIM45" s="13"/>
      <c r="KIN45" s="13"/>
      <c r="KIO45" s="13"/>
      <c r="KIP45" s="13"/>
      <c r="KIQ45" s="13"/>
      <c r="KIR45" s="13"/>
      <c r="KIS45" s="13"/>
      <c r="KIT45" s="13"/>
      <c r="KIU45" s="13"/>
      <c r="KIV45" s="13"/>
      <c r="KIW45" s="13"/>
      <c r="KIX45" s="13"/>
      <c r="KIY45" s="13"/>
      <c r="KIZ45" s="13"/>
      <c r="KJA45" s="13"/>
      <c r="KJB45" s="13"/>
      <c r="KJC45" s="13"/>
      <c r="KJD45" s="13"/>
      <c r="KJE45" s="13"/>
      <c r="KJF45" s="13"/>
      <c r="KJG45" s="13"/>
      <c r="KJH45" s="13"/>
      <c r="KJI45" s="13"/>
      <c r="KJJ45" s="13"/>
      <c r="KJK45" s="13"/>
      <c r="KJL45" s="13"/>
      <c r="KJM45" s="13"/>
      <c r="KJN45" s="13"/>
      <c r="KJO45" s="13"/>
      <c r="KJP45" s="13"/>
      <c r="KJQ45" s="13"/>
      <c r="KJR45" s="13"/>
      <c r="KJS45" s="13"/>
      <c r="KJT45" s="13"/>
      <c r="KJU45" s="13"/>
      <c r="KJV45" s="13"/>
      <c r="KJW45" s="13"/>
      <c r="KJX45" s="13"/>
      <c r="KJY45" s="13"/>
      <c r="KJZ45" s="13"/>
      <c r="KKA45" s="13"/>
      <c r="KKB45" s="13"/>
      <c r="KKC45" s="13"/>
      <c r="KKD45" s="13"/>
      <c r="KKE45" s="13"/>
      <c r="KKF45" s="13"/>
      <c r="KKG45" s="13"/>
      <c r="KKH45" s="13"/>
      <c r="KKI45" s="13"/>
      <c r="KKJ45" s="13"/>
      <c r="KKK45" s="13"/>
      <c r="KKL45" s="13"/>
      <c r="KKM45" s="13"/>
      <c r="KKN45" s="13"/>
      <c r="KKO45" s="13"/>
      <c r="KKP45" s="13"/>
      <c r="KKQ45" s="13"/>
      <c r="KKR45" s="13"/>
      <c r="KKS45" s="13"/>
      <c r="KKT45" s="13"/>
      <c r="KKU45" s="13"/>
      <c r="KKV45" s="13"/>
      <c r="KKW45" s="13"/>
      <c r="KKX45" s="13"/>
      <c r="KKY45" s="13"/>
      <c r="KKZ45" s="13"/>
      <c r="KLA45" s="13"/>
      <c r="KLB45" s="13"/>
      <c r="KLC45" s="13"/>
      <c r="KLD45" s="13"/>
      <c r="KLE45" s="13"/>
      <c r="KLF45" s="13"/>
      <c r="KLG45" s="13"/>
      <c r="KLH45" s="13"/>
      <c r="KLI45" s="13"/>
      <c r="KLJ45" s="13"/>
      <c r="KLK45" s="13"/>
      <c r="KLL45" s="13"/>
      <c r="KLM45" s="13"/>
      <c r="KLN45" s="13"/>
      <c r="KLO45" s="13"/>
      <c r="KLP45" s="13"/>
      <c r="KLQ45" s="13"/>
      <c r="KLR45" s="13"/>
      <c r="KLS45" s="13"/>
      <c r="KLT45" s="13"/>
      <c r="KLU45" s="13"/>
      <c r="KLV45" s="13"/>
      <c r="KLW45" s="13"/>
      <c r="KLX45" s="13"/>
      <c r="KLY45" s="13"/>
      <c r="KLZ45" s="13"/>
      <c r="KMA45" s="13"/>
      <c r="KMB45" s="13"/>
      <c r="KMC45" s="13"/>
      <c r="KMD45" s="13"/>
      <c r="KME45" s="13"/>
      <c r="KMF45" s="13"/>
      <c r="KMG45" s="13"/>
      <c r="KMH45" s="13"/>
      <c r="KMI45" s="13"/>
      <c r="KMJ45" s="13"/>
      <c r="KMK45" s="13"/>
      <c r="KML45" s="13"/>
      <c r="KMM45" s="13"/>
      <c r="KMN45" s="13"/>
      <c r="KMO45" s="13"/>
      <c r="KMP45" s="13"/>
      <c r="KMQ45" s="13"/>
      <c r="KMR45" s="13"/>
      <c r="KMS45" s="13"/>
      <c r="KMT45" s="13"/>
      <c r="KMU45" s="13"/>
      <c r="KMV45" s="13"/>
      <c r="KMW45" s="13"/>
      <c r="KMX45" s="13"/>
      <c r="KMY45" s="13"/>
      <c r="KMZ45" s="13"/>
      <c r="KNA45" s="13"/>
      <c r="KNB45" s="13"/>
      <c r="KNC45" s="13"/>
      <c r="KND45" s="13"/>
      <c r="KNE45" s="13"/>
      <c r="KNF45" s="13"/>
      <c r="KNG45" s="13"/>
      <c r="KNH45" s="13"/>
      <c r="KNI45" s="13"/>
      <c r="KNJ45" s="13"/>
      <c r="KNK45" s="13"/>
      <c r="KNL45" s="13"/>
      <c r="KNM45" s="13"/>
      <c r="KNN45" s="13"/>
      <c r="KNO45" s="13"/>
      <c r="KNP45" s="13"/>
      <c r="KNQ45" s="13"/>
      <c r="KNR45" s="13"/>
      <c r="KNS45" s="13"/>
      <c r="KNT45" s="13"/>
      <c r="KNU45" s="13"/>
      <c r="KNV45" s="13"/>
      <c r="KNW45" s="13"/>
      <c r="KNX45" s="13"/>
      <c r="KNY45" s="13"/>
      <c r="KNZ45" s="13"/>
      <c r="KOA45" s="13"/>
      <c r="KOB45" s="13"/>
      <c r="KOC45" s="13"/>
      <c r="KOD45" s="13"/>
      <c r="KOE45" s="13"/>
      <c r="KOF45" s="13"/>
      <c r="KOG45" s="13"/>
      <c r="KOH45" s="13"/>
      <c r="KOI45" s="13"/>
      <c r="KOJ45" s="13"/>
      <c r="KOK45" s="13"/>
      <c r="KOL45" s="13"/>
      <c r="KOM45" s="13"/>
      <c r="KON45" s="13"/>
      <c r="KOO45" s="13"/>
      <c r="KOP45" s="13"/>
      <c r="KOQ45" s="13"/>
      <c r="KOR45" s="13"/>
      <c r="KOS45" s="13"/>
      <c r="KOT45" s="13"/>
      <c r="KOU45" s="13"/>
      <c r="KOV45" s="13"/>
      <c r="KOW45" s="13"/>
      <c r="KOX45" s="13"/>
      <c r="KOY45" s="13"/>
      <c r="KOZ45" s="13"/>
      <c r="KPA45" s="13"/>
      <c r="KPB45" s="13"/>
      <c r="KPC45" s="13"/>
      <c r="KPD45" s="13"/>
      <c r="KPE45" s="13"/>
      <c r="KPF45" s="13"/>
      <c r="KPG45" s="13"/>
      <c r="KPH45" s="13"/>
      <c r="KPI45" s="13"/>
      <c r="KPJ45" s="13"/>
      <c r="KPK45" s="13"/>
      <c r="KPL45" s="13"/>
      <c r="KPM45" s="13"/>
      <c r="KPN45" s="13"/>
      <c r="KPO45" s="13"/>
      <c r="KPP45" s="13"/>
      <c r="KPQ45" s="13"/>
      <c r="KPR45" s="13"/>
      <c r="KPS45" s="13"/>
      <c r="KPT45" s="13"/>
      <c r="KPU45" s="13"/>
      <c r="KPV45" s="13"/>
      <c r="KPW45" s="13"/>
      <c r="KPX45" s="13"/>
      <c r="KPY45" s="13"/>
      <c r="KPZ45" s="13"/>
      <c r="KQA45" s="13"/>
      <c r="KQB45" s="13"/>
      <c r="KQC45" s="13"/>
      <c r="KQD45" s="13"/>
      <c r="KQE45" s="13"/>
      <c r="KQF45" s="13"/>
      <c r="KQG45" s="13"/>
      <c r="KQH45" s="13"/>
      <c r="KQI45" s="13"/>
      <c r="KQJ45" s="13"/>
      <c r="KQK45" s="13"/>
      <c r="KQL45" s="13"/>
      <c r="KQM45" s="13"/>
      <c r="KQN45" s="13"/>
      <c r="KQO45" s="13"/>
      <c r="KQP45" s="13"/>
      <c r="KQQ45" s="13"/>
      <c r="KQR45" s="13"/>
      <c r="KQS45" s="13"/>
      <c r="KQT45" s="13"/>
      <c r="KQU45" s="13"/>
      <c r="KQV45" s="13"/>
      <c r="KQW45" s="13"/>
      <c r="KQX45" s="13"/>
      <c r="KQY45" s="13"/>
      <c r="KQZ45" s="13"/>
      <c r="KRA45" s="13"/>
      <c r="KRB45" s="13"/>
      <c r="KRC45" s="13"/>
      <c r="KRD45" s="13"/>
      <c r="KRE45" s="13"/>
      <c r="KRF45" s="13"/>
      <c r="KRG45" s="13"/>
      <c r="KRH45" s="13"/>
      <c r="KRI45" s="13"/>
      <c r="KRJ45" s="13"/>
      <c r="KRK45" s="13"/>
      <c r="KRL45" s="13"/>
      <c r="KRM45" s="13"/>
      <c r="KRN45" s="13"/>
      <c r="KRO45" s="13"/>
      <c r="KRP45" s="13"/>
      <c r="KRQ45" s="13"/>
      <c r="KRR45" s="13"/>
      <c r="KRS45" s="13"/>
      <c r="KRT45" s="13"/>
      <c r="KRU45" s="13"/>
      <c r="KRV45" s="13"/>
      <c r="KRW45" s="13"/>
      <c r="KRX45" s="13"/>
      <c r="KRY45" s="13"/>
      <c r="KRZ45" s="13"/>
      <c r="KSA45" s="13"/>
      <c r="KSB45" s="13"/>
      <c r="KSC45" s="13"/>
      <c r="KSD45" s="13"/>
      <c r="KSE45" s="13"/>
      <c r="KSF45" s="13"/>
      <c r="KSG45" s="13"/>
      <c r="KSH45" s="13"/>
      <c r="KSI45" s="13"/>
      <c r="KSJ45" s="13"/>
      <c r="KSK45" s="13"/>
      <c r="KSL45" s="13"/>
      <c r="KSM45" s="13"/>
      <c r="KSN45" s="13"/>
      <c r="KSO45" s="13"/>
      <c r="KSP45" s="13"/>
      <c r="KSQ45" s="13"/>
      <c r="KSR45" s="13"/>
      <c r="KSS45" s="13"/>
      <c r="KST45" s="13"/>
      <c r="KSU45" s="13"/>
      <c r="KSV45" s="13"/>
      <c r="KSW45" s="13"/>
      <c r="KSX45" s="13"/>
      <c r="KSY45" s="13"/>
      <c r="KSZ45" s="13"/>
      <c r="KTA45" s="13"/>
      <c r="KTB45" s="13"/>
      <c r="KTC45" s="13"/>
      <c r="KTD45" s="13"/>
      <c r="KTE45" s="13"/>
      <c r="KTF45" s="13"/>
      <c r="KTG45" s="13"/>
      <c r="KTH45" s="13"/>
      <c r="KTI45" s="13"/>
      <c r="KTJ45" s="13"/>
      <c r="KTK45" s="13"/>
      <c r="KTL45" s="13"/>
      <c r="KTM45" s="13"/>
      <c r="KTN45" s="13"/>
      <c r="KTO45" s="13"/>
      <c r="KTP45" s="13"/>
      <c r="KTQ45" s="13"/>
      <c r="KTR45" s="13"/>
      <c r="KTS45" s="13"/>
      <c r="KTT45" s="13"/>
      <c r="KTU45" s="13"/>
      <c r="KTV45" s="13"/>
      <c r="KTW45" s="13"/>
      <c r="KTX45" s="13"/>
      <c r="KTY45" s="13"/>
      <c r="KTZ45" s="13"/>
      <c r="KUA45" s="13"/>
      <c r="KUB45" s="13"/>
      <c r="KUC45" s="13"/>
      <c r="KUD45" s="13"/>
      <c r="KUE45" s="13"/>
      <c r="KUF45" s="13"/>
      <c r="KUG45" s="13"/>
      <c r="KUH45" s="13"/>
      <c r="KUI45" s="13"/>
      <c r="KUJ45" s="13"/>
      <c r="KUK45" s="13"/>
      <c r="KUL45" s="13"/>
      <c r="KUM45" s="13"/>
      <c r="KUN45" s="13"/>
      <c r="KUO45" s="13"/>
      <c r="KUP45" s="13"/>
      <c r="KUQ45" s="13"/>
      <c r="KUR45" s="13"/>
      <c r="KUS45" s="13"/>
      <c r="KUT45" s="13"/>
      <c r="KUU45" s="13"/>
      <c r="KUV45" s="13"/>
      <c r="KUW45" s="13"/>
      <c r="KUX45" s="13"/>
      <c r="KUY45" s="13"/>
      <c r="KUZ45" s="13"/>
      <c r="KVA45" s="13"/>
      <c r="KVB45" s="13"/>
      <c r="KVC45" s="13"/>
      <c r="KVD45" s="13"/>
      <c r="KVE45" s="13"/>
      <c r="KVF45" s="13"/>
      <c r="KVG45" s="13"/>
      <c r="KVH45" s="13"/>
      <c r="KVI45" s="13"/>
      <c r="KVJ45" s="13"/>
      <c r="KVK45" s="13"/>
      <c r="KVL45" s="13"/>
      <c r="KVM45" s="13"/>
      <c r="KVN45" s="13"/>
      <c r="KVO45" s="13"/>
      <c r="KVP45" s="13"/>
      <c r="KVQ45" s="13"/>
      <c r="KVR45" s="13"/>
      <c r="KVS45" s="13"/>
      <c r="KVT45" s="13"/>
      <c r="KVU45" s="13"/>
      <c r="KVV45" s="13"/>
      <c r="KVW45" s="13"/>
      <c r="KVX45" s="13"/>
      <c r="KVY45" s="13"/>
      <c r="KVZ45" s="13"/>
      <c r="KWA45" s="13"/>
      <c r="KWB45" s="13"/>
      <c r="KWC45" s="13"/>
      <c r="KWD45" s="13"/>
      <c r="KWE45" s="13"/>
      <c r="KWF45" s="13"/>
      <c r="KWG45" s="13"/>
      <c r="KWH45" s="13"/>
      <c r="KWI45" s="13"/>
      <c r="KWJ45" s="13"/>
      <c r="KWK45" s="13"/>
      <c r="KWL45" s="13"/>
      <c r="KWM45" s="13"/>
      <c r="KWN45" s="13"/>
      <c r="KWO45" s="13"/>
      <c r="KWP45" s="13"/>
      <c r="KWQ45" s="13"/>
      <c r="KWR45" s="13"/>
      <c r="KWS45" s="13"/>
      <c r="KWT45" s="13"/>
      <c r="KWU45" s="13"/>
      <c r="KWV45" s="13"/>
      <c r="KWW45" s="13"/>
      <c r="KWX45" s="13"/>
      <c r="KWY45" s="13"/>
      <c r="KWZ45" s="13"/>
      <c r="KXA45" s="13"/>
      <c r="KXB45" s="13"/>
      <c r="KXC45" s="13"/>
      <c r="KXD45" s="13"/>
      <c r="KXE45" s="13"/>
      <c r="KXF45" s="13"/>
      <c r="KXG45" s="13"/>
      <c r="KXH45" s="13"/>
      <c r="KXI45" s="13"/>
      <c r="KXJ45" s="13"/>
      <c r="KXK45" s="13"/>
      <c r="KXL45" s="13"/>
      <c r="KXM45" s="13"/>
      <c r="KXN45" s="13"/>
      <c r="KXO45" s="13"/>
      <c r="KXP45" s="13"/>
      <c r="KXQ45" s="13"/>
      <c r="KXR45" s="13"/>
      <c r="KXS45" s="13"/>
      <c r="KXT45" s="13"/>
      <c r="KXU45" s="13"/>
      <c r="KXV45" s="13"/>
      <c r="KXW45" s="13"/>
      <c r="KXX45" s="13"/>
      <c r="KXY45" s="13"/>
      <c r="KXZ45" s="13"/>
      <c r="KYA45" s="13"/>
      <c r="KYB45" s="13"/>
      <c r="KYC45" s="13"/>
      <c r="KYD45" s="13"/>
      <c r="KYE45" s="13"/>
      <c r="KYF45" s="13"/>
      <c r="KYG45" s="13"/>
      <c r="KYH45" s="13"/>
      <c r="KYI45" s="13"/>
      <c r="KYJ45" s="13"/>
      <c r="KYK45" s="13"/>
      <c r="KYL45" s="13"/>
      <c r="KYM45" s="13"/>
      <c r="KYN45" s="13"/>
      <c r="KYO45" s="13"/>
      <c r="KYP45" s="13"/>
      <c r="KYQ45" s="13"/>
      <c r="KYR45" s="13"/>
      <c r="KYS45" s="13"/>
      <c r="KYT45" s="13"/>
      <c r="KYU45" s="13"/>
      <c r="KYV45" s="13"/>
      <c r="KYW45" s="13"/>
      <c r="KYX45" s="13"/>
      <c r="KYY45" s="13"/>
      <c r="KYZ45" s="13"/>
      <c r="KZA45" s="13"/>
      <c r="KZB45" s="13"/>
      <c r="KZC45" s="13"/>
      <c r="KZD45" s="13"/>
      <c r="KZE45" s="13"/>
      <c r="KZF45" s="13"/>
      <c r="KZG45" s="13"/>
      <c r="KZH45" s="13"/>
      <c r="KZI45" s="13"/>
      <c r="KZJ45" s="13"/>
      <c r="KZK45" s="13"/>
      <c r="KZL45" s="13"/>
      <c r="KZM45" s="13"/>
      <c r="KZN45" s="13"/>
      <c r="KZO45" s="13"/>
      <c r="KZP45" s="13"/>
      <c r="KZQ45" s="13"/>
      <c r="KZR45" s="13"/>
      <c r="KZS45" s="13"/>
      <c r="KZT45" s="13"/>
      <c r="KZU45" s="13"/>
      <c r="KZV45" s="13"/>
      <c r="KZW45" s="13"/>
      <c r="KZX45" s="13"/>
      <c r="KZY45" s="13"/>
      <c r="KZZ45" s="13"/>
      <c r="LAA45" s="13"/>
      <c r="LAB45" s="13"/>
      <c r="LAC45" s="13"/>
      <c r="LAD45" s="13"/>
      <c r="LAE45" s="13"/>
      <c r="LAF45" s="13"/>
      <c r="LAG45" s="13"/>
      <c r="LAH45" s="13"/>
      <c r="LAI45" s="13"/>
      <c r="LAJ45" s="13"/>
      <c r="LAK45" s="13"/>
      <c r="LAL45" s="13"/>
      <c r="LAM45" s="13"/>
      <c r="LAN45" s="13"/>
      <c r="LAO45" s="13"/>
      <c r="LAP45" s="13"/>
      <c r="LAQ45" s="13"/>
      <c r="LAR45" s="13"/>
      <c r="LAS45" s="13"/>
      <c r="LAT45" s="13"/>
      <c r="LAU45" s="13"/>
      <c r="LAV45" s="13"/>
      <c r="LAW45" s="13"/>
      <c r="LAX45" s="13"/>
      <c r="LAY45" s="13"/>
      <c r="LAZ45" s="13"/>
      <c r="LBA45" s="13"/>
      <c r="LBB45" s="13"/>
      <c r="LBC45" s="13"/>
      <c r="LBD45" s="13"/>
      <c r="LBE45" s="13"/>
      <c r="LBF45" s="13"/>
      <c r="LBG45" s="13"/>
      <c r="LBH45" s="13"/>
      <c r="LBI45" s="13"/>
      <c r="LBJ45" s="13"/>
      <c r="LBK45" s="13"/>
      <c r="LBL45" s="13"/>
      <c r="LBM45" s="13"/>
      <c r="LBN45" s="13"/>
      <c r="LBO45" s="13"/>
      <c r="LBP45" s="13"/>
      <c r="LBQ45" s="13"/>
      <c r="LBR45" s="13"/>
      <c r="LBS45" s="13"/>
      <c r="LBT45" s="13"/>
      <c r="LBU45" s="13"/>
      <c r="LBV45" s="13"/>
      <c r="LBW45" s="13"/>
      <c r="LBX45" s="13"/>
      <c r="LBY45" s="13"/>
      <c r="LBZ45" s="13"/>
      <c r="LCA45" s="13"/>
      <c r="LCB45" s="13"/>
      <c r="LCC45" s="13"/>
      <c r="LCD45" s="13"/>
      <c r="LCE45" s="13"/>
      <c r="LCF45" s="13"/>
      <c r="LCG45" s="13"/>
      <c r="LCH45" s="13"/>
      <c r="LCI45" s="13"/>
      <c r="LCJ45" s="13"/>
      <c r="LCK45" s="13"/>
      <c r="LCL45" s="13"/>
      <c r="LCM45" s="13"/>
      <c r="LCN45" s="13"/>
      <c r="LCO45" s="13"/>
      <c r="LCP45" s="13"/>
      <c r="LCQ45" s="13"/>
      <c r="LCR45" s="13"/>
      <c r="LCS45" s="13"/>
      <c r="LCT45" s="13"/>
      <c r="LCU45" s="13"/>
      <c r="LCV45" s="13"/>
      <c r="LCW45" s="13"/>
      <c r="LCX45" s="13"/>
      <c r="LCY45" s="13"/>
      <c r="LCZ45" s="13"/>
      <c r="LDA45" s="13"/>
      <c r="LDB45" s="13"/>
      <c r="LDC45" s="13"/>
      <c r="LDD45" s="13"/>
      <c r="LDE45" s="13"/>
      <c r="LDF45" s="13"/>
      <c r="LDG45" s="13"/>
      <c r="LDH45" s="13"/>
      <c r="LDI45" s="13"/>
      <c r="LDJ45" s="13"/>
      <c r="LDK45" s="13"/>
      <c r="LDL45" s="13"/>
      <c r="LDM45" s="13"/>
      <c r="LDN45" s="13"/>
      <c r="LDO45" s="13"/>
      <c r="LDP45" s="13"/>
      <c r="LDQ45" s="13"/>
      <c r="LDR45" s="13"/>
      <c r="LDS45" s="13"/>
      <c r="LDT45" s="13"/>
      <c r="LDU45" s="13"/>
      <c r="LDV45" s="13"/>
      <c r="LDW45" s="13"/>
      <c r="LDX45" s="13"/>
      <c r="LDY45" s="13"/>
      <c r="LDZ45" s="13"/>
      <c r="LEA45" s="13"/>
      <c r="LEB45" s="13"/>
      <c r="LEC45" s="13"/>
      <c r="LED45" s="13"/>
      <c r="LEE45" s="13"/>
      <c r="LEF45" s="13"/>
      <c r="LEG45" s="13"/>
      <c r="LEH45" s="13"/>
      <c r="LEI45" s="13"/>
      <c r="LEJ45" s="13"/>
      <c r="LEK45" s="13"/>
      <c r="LEL45" s="13"/>
      <c r="LEM45" s="13"/>
      <c r="LEN45" s="13"/>
      <c r="LEO45" s="13"/>
      <c r="LEP45" s="13"/>
      <c r="LEQ45" s="13"/>
      <c r="LER45" s="13"/>
      <c r="LES45" s="13"/>
      <c r="LET45" s="13"/>
      <c r="LEU45" s="13"/>
      <c r="LEV45" s="13"/>
      <c r="LEW45" s="13"/>
      <c r="LEX45" s="13"/>
      <c r="LEY45" s="13"/>
      <c r="LEZ45" s="13"/>
      <c r="LFA45" s="13"/>
      <c r="LFB45" s="13"/>
      <c r="LFC45" s="13"/>
      <c r="LFD45" s="13"/>
      <c r="LFE45" s="13"/>
      <c r="LFF45" s="13"/>
      <c r="LFG45" s="13"/>
      <c r="LFH45" s="13"/>
      <c r="LFI45" s="13"/>
      <c r="LFJ45" s="13"/>
      <c r="LFK45" s="13"/>
      <c r="LFL45" s="13"/>
      <c r="LFM45" s="13"/>
      <c r="LFN45" s="13"/>
      <c r="LFO45" s="13"/>
      <c r="LFP45" s="13"/>
      <c r="LFQ45" s="13"/>
      <c r="LFR45" s="13"/>
      <c r="LFS45" s="13"/>
      <c r="LFT45" s="13"/>
      <c r="LFU45" s="13"/>
      <c r="LFV45" s="13"/>
      <c r="LFW45" s="13"/>
      <c r="LFX45" s="13"/>
      <c r="LFY45" s="13"/>
      <c r="LFZ45" s="13"/>
      <c r="LGA45" s="13"/>
      <c r="LGB45" s="13"/>
      <c r="LGC45" s="13"/>
      <c r="LGD45" s="13"/>
      <c r="LGE45" s="13"/>
      <c r="LGF45" s="13"/>
      <c r="LGG45" s="13"/>
      <c r="LGH45" s="13"/>
      <c r="LGI45" s="13"/>
      <c r="LGJ45" s="13"/>
      <c r="LGK45" s="13"/>
      <c r="LGL45" s="13"/>
      <c r="LGM45" s="13"/>
      <c r="LGN45" s="13"/>
      <c r="LGO45" s="13"/>
      <c r="LGP45" s="13"/>
      <c r="LGQ45" s="13"/>
      <c r="LGR45" s="13"/>
      <c r="LGS45" s="13"/>
      <c r="LGT45" s="13"/>
      <c r="LGU45" s="13"/>
      <c r="LGV45" s="13"/>
      <c r="LGW45" s="13"/>
      <c r="LGX45" s="13"/>
      <c r="LGY45" s="13"/>
      <c r="LGZ45" s="13"/>
      <c r="LHA45" s="13"/>
      <c r="LHB45" s="13"/>
      <c r="LHC45" s="13"/>
      <c r="LHD45" s="13"/>
      <c r="LHE45" s="13"/>
      <c r="LHF45" s="13"/>
      <c r="LHG45" s="13"/>
      <c r="LHH45" s="13"/>
      <c r="LHI45" s="13"/>
      <c r="LHJ45" s="13"/>
      <c r="LHK45" s="13"/>
      <c r="LHL45" s="13"/>
      <c r="LHM45" s="13"/>
      <c r="LHN45" s="13"/>
      <c r="LHO45" s="13"/>
      <c r="LHP45" s="13"/>
      <c r="LHQ45" s="13"/>
      <c r="LHR45" s="13"/>
      <c r="LHS45" s="13"/>
      <c r="LHT45" s="13"/>
      <c r="LHU45" s="13"/>
      <c r="LHV45" s="13"/>
      <c r="LHW45" s="13"/>
      <c r="LHX45" s="13"/>
      <c r="LHY45" s="13"/>
      <c r="LHZ45" s="13"/>
      <c r="LIA45" s="13"/>
      <c r="LIB45" s="13"/>
      <c r="LIC45" s="13"/>
      <c r="LID45" s="13"/>
      <c r="LIE45" s="13"/>
      <c r="LIF45" s="13"/>
      <c r="LIG45" s="13"/>
      <c r="LIH45" s="13"/>
      <c r="LII45" s="13"/>
      <c r="LIJ45" s="13"/>
      <c r="LIK45" s="13"/>
      <c r="LIL45" s="13"/>
      <c r="LIM45" s="13"/>
      <c r="LIN45" s="13"/>
      <c r="LIO45" s="13"/>
      <c r="LIP45" s="13"/>
      <c r="LIQ45" s="13"/>
      <c r="LIR45" s="13"/>
      <c r="LIS45" s="13"/>
      <c r="LIT45" s="13"/>
      <c r="LIU45" s="13"/>
      <c r="LIV45" s="13"/>
      <c r="LIW45" s="13"/>
      <c r="LIX45" s="13"/>
      <c r="LIY45" s="13"/>
      <c r="LIZ45" s="13"/>
      <c r="LJA45" s="13"/>
      <c r="LJB45" s="13"/>
      <c r="LJC45" s="13"/>
      <c r="LJD45" s="13"/>
      <c r="LJE45" s="13"/>
      <c r="LJF45" s="13"/>
      <c r="LJG45" s="13"/>
      <c r="LJH45" s="13"/>
      <c r="LJI45" s="13"/>
      <c r="LJJ45" s="13"/>
      <c r="LJK45" s="13"/>
      <c r="LJL45" s="13"/>
      <c r="LJM45" s="13"/>
      <c r="LJN45" s="13"/>
      <c r="LJO45" s="13"/>
      <c r="LJP45" s="13"/>
      <c r="LJQ45" s="13"/>
      <c r="LJR45" s="13"/>
      <c r="LJS45" s="13"/>
      <c r="LJT45" s="13"/>
      <c r="LJU45" s="13"/>
      <c r="LJV45" s="13"/>
      <c r="LJW45" s="13"/>
      <c r="LJX45" s="13"/>
      <c r="LJY45" s="13"/>
      <c r="LJZ45" s="13"/>
      <c r="LKA45" s="13"/>
      <c r="LKB45" s="13"/>
      <c r="LKC45" s="13"/>
      <c r="LKD45" s="13"/>
      <c r="LKE45" s="13"/>
      <c r="LKF45" s="13"/>
      <c r="LKG45" s="13"/>
      <c r="LKH45" s="13"/>
      <c r="LKI45" s="13"/>
      <c r="LKJ45" s="13"/>
      <c r="LKK45" s="13"/>
      <c r="LKL45" s="13"/>
      <c r="LKM45" s="13"/>
      <c r="LKN45" s="13"/>
      <c r="LKO45" s="13"/>
      <c r="LKP45" s="13"/>
      <c r="LKQ45" s="13"/>
      <c r="LKR45" s="13"/>
      <c r="LKS45" s="13"/>
      <c r="LKT45" s="13"/>
      <c r="LKU45" s="13"/>
      <c r="LKV45" s="13"/>
      <c r="LKW45" s="13"/>
      <c r="LKX45" s="13"/>
      <c r="LKY45" s="13"/>
      <c r="LKZ45" s="13"/>
      <c r="LLA45" s="13"/>
      <c r="LLB45" s="13"/>
      <c r="LLC45" s="13"/>
      <c r="LLD45" s="13"/>
      <c r="LLE45" s="13"/>
      <c r="LLF45" s="13"/>
      <c r="LLG45" s="13"/>
      <c r="LLH45" s="13"/>
      <c r="LLI45" s="13"/>
      <c r="LLJ45" s="13"/>
      <c r="LLK45" s="13"/>
      <c r="LLL45" s="13"/>
      <c r="LLM45" s="13"/>
      <c r="LLN45" s="13"/>
      <c r="LLO45" s="13"/>
      <c r="LLP45" s="13"/>
      <c r="LLQ45" s="13"/>
      <c r="LLR45" s="13"/>
      <c r="LLS45" s="13"/>
      <c r="LLT45" s="13"/>
      <c r="LLU45" s="13"/>
      <c r="LLV45" s="13"/>
      <c r="LLW45" s="13"/>
      <c r="LLX45" s="13"/>
      <c r="LLY45" s="13"/>
      <c r="LLZ45" s="13"/>
      <c r="LMA45" s="13"/>
      <c r="LMB45" s="13"/>
      <c r="LMC45" s="13"/>
      <c r="LMD45" s="13"/>
      <c r="LME45" s="13"/>
      <c r="LMF45" s="13"/>
      <c r="LMG45" s="13"/>
      <c r="LMH45" s="13"/>
      <c r="LMI45" s="13"/>
      <c r="LMJ45" s="13"/>
      <c r="LMK45" s="13"/>
      <c r="LML45" s="13"/>
      <c r="LMM45" s="13"/>
      <c r="LMN45" s="13"/>
      <c r="LMO45" s="13"/>
      <c r="LMP45" s="13"/>
      <c r="LMQ45" s="13"/>
      <c r="LMR45" s="13"/>
      <c r="LMS45" s="13"/>
      <c r="LMT45" s="13"/>
      <c r="LMU45" s="13"/>
      <c r="LMV45" s="13"/>
      <c r="LMW45" s="13"/>
      <c r="LMX45" s="13"/>
      <c r="LMY45" s="13"/>
      <c r="LMZ45" s="13"/>
      <c r="LNA45" s="13"/>
      <c r="LNB45" s="13"/>
      <c r="LNC45" s="13"/>
      <c r="LND45" s="13"/>
      <c r="LNE45" s="13"/>
      <c r="LNF45" s="13"/>
      <c r="LNG45" s="13"/>
      <c r="LNH45" s="13"/>
      <c r="LNI45" s="13"/>
      <c r="LNJ45" s="13"/>
      <c r="LNK45" s="13"/>
      <c r="LNL45" s="13"/>
      <c r="LNM45" s="13"/>
      <c r="LNN45" s="13"/>
      <c r="LNO45" s="13"/>
      <c r="LNP45" s="13"/>
      <c r="LNQ45" s="13"/>
      <c r="LNR45" s="13"/>
      <c r="LNS45" s="13"/>
      <c r="LNT45" s="13"/>
      <c r="LNU45" s="13"/>
      <c r="LNV45" s="13"/>
      <c r="LNW45" s="13"/>
      <c r="LNX45" s="13"/>
      <c r="LNY45" s="13"/>
      <c r="LNZ45" s="13"/>
      <c r="LOA45" s="13"/>
      <c r="LOB45" s="13"/>
      <c r="LOC45" s="13"/>
      <c r="LOD45" s="13"/>
      <c r="LOE45" s="13"/>
      <c r="LOF45" s="13"/>
      <c r="LOG45" s="13"/>
      <c r="LOH45" s="13"/>
      <c r="LOI45" s="13"/>
      <c r="LOJ45" s="13"/>
      <c r="LOK45" s="13"/>
      <c r="LOL45" s="13"/>
      <c r="LOM45" s="13"/>
      <c r="LON45" s="13"/>
      <c r="LOO45" s="13"/>
      <c r="LOP45" s="13"/>
      <c r="LOQ45" s="13"/>
      <c r="LOR45" s="13"/>
      <c r="LOS45" s="13"/>
      <c r="LOT45" s="13"/>
      <c r="LOU45" s="13"/>
      <c r="LOV45" s="13"/>
      <c r="LOW45" s="13"/>
      <c r="LOX45" s="13"/>
      <c r="LOY45" s="13"/>
      <c r="LOZ45" s="13"/>
      <c r="LPA45" s="13"/>
      <c r="LPB45" s="13"/>
      <c r="LPC45" s="13"/>
      <c r="LPD45" s="13"/>
      <c r="LPE45" s="13"/>
      <c r="LPF45" s="13"/>
      <c r="LPG45" s="13"/>
      <c r="LPH45" s="13"/>
      <c r="LPI45" s="13"/>
      <c r="LPJ45" s="13"/>
      <c r="LPK45" s="13"/>
      <c r="LPL45" s="13"/>
      <c r="LPM45" s="13"/>
      <c r="LPN45" s="13"/>
      <c r="LPO45" s="13"/>
      <c r="LPP45" s="13"/>
      <c r="LPQ45" s="13"/>
      <c r="LPR45" s="13"/>
      <c r="LPS45" s="13"/>
      <c r="LPT45" s="13"/>
      <c r="LPU45" s="13"/>
      <c r="LPV45" s="13"/>
      <c r="LPW45" s="13"/>
      <c r="LPX45" s="13"/>
      <c r="LPY45" s="13"/>
      <c r="LPZ45" s="13"/>
      <c r="LQA45" s="13"/>
      <c r="LQB45" s="13"/>
      <c r="LQC45" s="13"/>
      <c r="LQD45" s="13"/>
      <c r="LQE45" s="13"/>
      <c r="LQF45" s="13"/>
      <c r="LQG45" s="13"/>
      <c r="LQH45" s="13"/>
      <c r="LQI45" s="13"/>
      <c r="LQJ45" s="13"/>
      <c r="LQK45" s="13"/>
      <c r="LQL45" s="13"/>
      <c r="LQM45" s="13"/>
      <c r="LQN45" s="13"/>
      <c r="LQO45" s="13"/>
      <c r="LQP45" s="13"/>
      <c r="LQQ45" s="13"/>
      <c r="LQR45" s="13"/>
      <c r="LQS45" s="13"/>
      <c r="LQT45" s="13"/>
      <c r="LQU45" s="13"/>
      <c r="LQV45" s="13"/>
      <c r="LQW45" s="13"/>
      <c r="LQX45" s="13"/>
      <c r="LQY45" s="13"/>
      <c r="LQZ45" s="13"/>
      <c r="LRA45" s="13"/>
      <c r="LRB45" s="13"/>
      <c r="LRC45" s="13"/>
      <c r="LRD45" s="13"/>
      <c r="LRE45" s="13"/>
      <c r="LRF45" s="13"/>
      <c r="LRG45" s="13"/>
      <c r="LRH45" s="13"/>
      <c r="LRI45" s="13"/>
      <c r="LRJ45" s="13"/>
      <c r="LRK45" s="13"/>
      <c r="LRL45" s="13"/>
      <c r="LRM45" s="13"/>
      <c r="LRN45" s="13"/>
      <c r="LRO45" s="13"/>
      <c r="LRP45" s="13"/>
      <c r="LRQ45" s="13"/>
      <c r="LRR45" s="13"/>
      <c r="LRS45" s="13"/>
      <c r="LRT45" s="13"/>
      <c r="LRU45" s="13"/>
      <c r="LRV45" s="13"/>
      <c r="LRW45" s="13"/>
      <c r="LRX45" s="13"/>
      <c r="LRY45" s="13"/>
      <c r="LRZ45" s="13"/>
      <c r="LSA45" s="13"/>
      <c r="LSB45" s="13"/>
      <c r="LSC45" s="13"/>
      <c r="LSD45" s="13"/>
      <c r="LSE45" s="13"/>
      <c r="LSF45" s="13"/>
      <c r="LSG45" s="13"/>
      <c r="LSH45" s="13"/>
      <c r="LSI45" s="13"/>
      <c r="LSJ45" s="13"/>
      <c r="LSK45" s="13"/>
      <c r="LSL45" s="13"/>
      <c r="LSM45" s="13"/>
      <c r="LSN45" s="13"/>
      <c r="LSO45" s="13"/>
      <c r="LSP45" s="13"/>
      <c r="LSQ45" s="13"/>
      <c r="LSR45" s="13"/>
      <c r="LSS45" s="13"/>
      <c r="LST45" s="13"/>
      <c r="LSU45" s="13"/>
      <c r="LSV45" s="13"/>
      <c r="LSW45" s="13"/>
      <c r="LSX45" s="13"/>
      <c r="LSY45" s="13"/>
      <c r="LSZ45" s="13"/>
      <c r="LTA45" s="13"/>
      <c r="LTB45" s="13"/>
      <c r="LTC45" s="13"/>
      <c r="LTD45" s="13"/>
      <c r="LTE45" s="13"/>
      <c r="LTF45" s="13"/>
      <c r="LTG45" s="13"/>
      <c r="LTH45" s="13"/>
      <c r="LTI45" s="13"/>
      <c r="LTJ45" s="13"/>
      <c r="LTK45" s="13"/>
      <c r="LTL45" s="13"/>
      <c r="LTM45" s="13"/>
      <c r="LTN45" s="13"/>
      <c r="LTO45" s="13"/>
      <c r="LTP45" s="13"/>
      <c r="LTQ45" s="13"/>
      <c r="LTR45" s="13"/>
      <c r="LTS45" s="13"/>
      <c r="LTT45" s="13"/>
      <c r="LTU45" s="13"/>
      <c r="LTV45" s="13"/>
      <c r="LTW45" s="13"/>
      <c r="LTX45" s="13"/>
      <c r="LTY45" s="13"/>
      <c r="LTZ45" s="13"/>
      <c r="LUA45" s="13"/>
      <c r="LUB45" s="13"/>
      <c r="LUC45" s="13"/>
      <c r="LUD45" s="13"/>
      <c r="LUE45" s="13"/>
      <c r="LUF45" s="13"/>
      <c r="LUG45" s="13"/>
      <c r="LUH45" s="13"/>
      <c r="LUI45" s="13"/>
      <c r="LUJ45" s="13"/>
      <c r="LUK45" s="13"/>
      <c r="LUL45" s="13"/>
      <c r="LUM45" s="13"/>
      <c r="LUN45" s="13"/>
      <c r="LUO45" s="13"/>
      <c r="LUP45" s="13"/>
      <c r="LUQ45" s="13"/>
      <c r="LUR45" s="13"/>
      <c r="LUS45" s="13"/>
      <c r="LUT45" s="13"/>
      <c r="LUU45" s="13"/>
      <c r="LUV45" s="13"/>
      <c r="LUW45" s="13"/>
      <c r="LUX45" s="13"/>
      <c r="LUY45" s="13"/>
      <c r="LUZ45" s="13"/>
      <c r="LVA45" s="13"/>
      <c r="LVB45" s="13"/>
      <c r="LVC45" s="13"/>
      <c r="LVD45" s="13"/>
      <c r="LVE45" s="13"/>
      <c r="LVF45" s="13"/>
      <c r="LVG45" s="13"/>
      <c r="LVH45" s="13"/>
      <c r="LVI45" s="13"/>
      <c r="LVJ45" s="13"/>
      <c r="LVK45" s="13"/>
      <c r="LVL45" s="13"/>
      <c r="LVM45" s="13"/>
      <c r="LVN45" s="13"/>
      <c r="LVO45" s="13"/>
      <c r="LVP45" s="13"/>
      <c r="LVQ45" s="13"/>
      <c r="LVR45" s="13"/>
      <c r="LVS45" s="13"/>
      <c r="LVT45" s="13"/>
      <c r="LVU45" s="13"/>
      <c r="LVV45" s="13"/>
      <c r="LVW45" s="13"/>
      <c r="LVX45" s="13"/>
      <c r="LVY45" s="13"/>
      <c r="LVZ45" s="13"/>
      <c r="LWA45" s="13"/>
      <c r="LWB45" s="13"/>
      <c r="LWC45" s="13"/>
      <c r="LWD45" s="13"/>
      <c r="LWE45" s="13"/>
      <c r="LWF45" s="13"/>
      <c r="LWG45" s="13"/>
      <c r="LWH45" s="13"/>
      <c r="LWI45" s="13"/>
      <c r="LWJ45" s="13"/>
      <c r="LWK45" s="13"/>
      <c r="LWL45" s="13"/>
      <c r="LWM45" s="13"/>
      <c r="LWN45" s="13"/>
      <c r="LWO45" s="13"/>
      <c r="LWP45" s="13"/>
      <c r="LWQ45" s="13"/>
      <c r="LWR45" s="13"/>
      <c r="LWS45" s="13"/>
      <c r="LWT45" s="13"/>
      <c r="LWU45" s="13"/>
      <c r="LWV45" s="13"/>
      <c r="LWW45" s="13"/>
      <c r="LWX45" s="13"/>
      <c r="LWY45" s="13"/>
      <c r="LWZ45" s="13"/>
      <c r="LXA45" s="13"/>
      <c r="LXB45" s="13"/>
      <c r="LXC45" s="13"/>
      <c r="LXD45" s="13"/>
      <c r="LXE45" s="13"/>
      <c r="LXF45" s="13"/>
      <c r="LXG45" s="13"/>
      <c r="LXH45" s="13"/>
      <c r="LXI45" s="13"/>
      <c r="LXJ45" s="13"/>
      <c r="LXK45" s="13"/>
      <c r="LXL45" s="13"/>
      <c r="LXM45" s="13"/>
      <c r="LXN45" s="13"/>
      <c r="LXO45" s="13"/>
      <c r="LXP45" s="13"/>
      <c r="LXQ45" s="13"/>
      <c r="LXR45" s="13"/>
      <c r="LXS45" s="13"/>
      <c r="LXT45" s="13"/>
      <c r="LXU45" s="13"/>
      <c r="LXV45" s="13"/>
      <c r="LXW45" s="13"/>
      <c r="LXX45" s="13"/>
      <c r="LXY45" s="13"/>
      <c r="LXZ45" s="13"/>
      <c r="LYA45" s="13"/>
      <c r="LYB45" s="13"/>
      <c r="LYC45" s="13"/>
      <c r="LYD45" s="13"/>
      <c r="LYE45" s="13"/>
      <c r="LYF45" s="13"/>
      <c r="LYG45" s="13"/>
      <c r="LYH45" s="13"/>
      <c r="LYI45" s="13"/>
      <c r="LYJ45" s="13"/>
      <c r="LYK45" s="13"/>
      <c r="LYL45" s="13"/>
      <c r="LYM45" s="13"/>
      <c r="LYN45" s="13"/>
      <c r="LYO45" s="13"/>
      <c r="LYP45" s="13"/>
      <c r="LYQ45" s="13"/>
      <c r="LYR45" s="13"/>
      <c r="LYS45" s="13"/>
      <c r="LYT45" s="13"/>
      <c r="LYU45" s="13"/>
      <c r="LYV45" s="13"/>
      <c r="LYW45" s="13"/>
      <c r="LYX45" s="13"/>
      <c r="LYY45" s="13"/>
      <c r="LYZ45" s="13"/>
      <c r="LZA45" s="13"/>
      <c r="LZB45" s="13"/>
      <c r="LZC45" s="13"/>
      <c r="LZD45" s="13"/>
      <c r="LZE45" s="13"/>
      <c r="LZF45" s="13"/>
      <c r="LZG45" s="13"/>
      <c r="LZH45" s="13"/>
      <c r="LZI45" s="13"/>
      <c r="LZJ45" s="13"/>
      <c r="LZK45" s="13"/>
      <c r="LZL45" s="13"/>
      <c r="LZM45" s="13"/>
      <c r="LZN45" s="13"/>
      <c r="LZO45" s="13"/>
      <c r="LZP45" s="13"/>
      <c r="LZQ45" s="13"/>
      <c r="LZR45" s="13"/>
      <c r="LZS45" s="13"/>
      <c r="LZT45" s="13"/>
      <c r="LZU45" s="13"/>
      <c r="LZV45" s="13"/>
      <c r="LZW45" s="13"/>
      <c r="LZX45" s="13"/>
      <c r="LZY45" s="13"/>
      <c r="LZZ45" s="13"/>
      <c r="MAA45" s="13"/>
      <c r="MAB45" s="13"/>
      <c r="MAC45" s="13"/>
      <c r="MAD45" s="13"/>
      <c r="MAE45" s="13"/>
      <c r="MAF45" s="13"/>
      <c r="MAG45" s="13"/>
      <c r="MAH45" s="13"/>
      <c r="MAI45" s="13"/>
      <c r="MAJ45" s="13"/>
      <c r="MAK45" s="13"/>
      <c r="MAL45" s="13"/>
      <c r="MAM45" s="13"/>
      <c r="MAN45" s="13"/>
      <c r="MAO45" s="13"/>
      <c r="MAP45" s="13"/>
      <c r="MAQ45" s="13"/>
      <c r="MAR45" s="13"/>
      <c r="MAS45" s="13"/>
      <c r="MAT45" s="13"/>
      <c r="MAU45" s="13"/>
      <c r="MAV45" s="13"/>
      <c r="MAW45" s="13"/>
      <c r="MAX45" s="13"/>
      <c r="MAY45" s="13"/>
      <c r="MAZ45" s="13"/>
      <c r="MBA45" s="13"/>
      <c r="MBB45" s="13"/>
      <c r="MBC45" s="13"/>
      <c r="MBD45" s="13"/>
      <c r="MBE45" s="13"/>
      <c r="MBF45" s="13"/>
      <c r="MBG45" s="13"/>
      <c r="MBH45" s="13"/>
      <c r="MBI45" s="13"/>
      <c r="MBJ45" s="13"/>
      <c r="MBK45" s="13"/>
      <c r="MBL45" s="13"/>
      <c r="MBM45" s="13"/>
      <c r="MBN45" s="13"/>
      <c r="MBO45" s="13"/>
      <c r="MBP45" s="13"/>
      <c r="MBQ45" s="13"/>
      <c r="MBR45" s="13"/>
      <c r="MBS45" s="13"/>
      <c r="MBT45" s="13"/>
      <c r="MBU45" s="13"/>
      <c r="MBV45" s="13"/>
      <c r="MBW45" s="13"/>
      <c r="MBX45" s="13"/>
      <c r="MBY45" s="13"/>
      <c r="MBZ45" s="13"/>
      <c r="MCA45" s="13"/>
      <c r="MCB45" s="13"/>
      <c r="MCC45" s="13"/>
      <c r="MCD45" s="13"/>
      <c r="MCE45" s="13"/>
      <c r="MCF45" s="13"/>
      <c r="MCG45" s="13"/>
      <c r="MCH45" s="13"/>
      <c r="MCI45" s="13"/>
      <c r="MCJ45" s="13"/>
      <c r="MCK45" s="13"/>
      <c r="MCL45" s="13"/>
      <c r="MCM45" s="13"/>
      <c r="MCN45" s="13"/>
      <c r="MCO45" s="13"/>
      <c r="MCP45" s="13"/>
      <c r="MCQ45" s="13"/>
      <c r="MCR45" s="13"/>
      <c r="MCS45" s="13"/>
      <c r="MCT45" s="13"/>
      <c r="MCU45" s="13"/>
      <c r="MCV45" s="13"/>
      <c r="MCW45" s="13"/>
      <c r="MCX45" s="13"/>
      <c r="MCY45" s="13"/>
      <c r="MCZ45" s="13"/>
      <c r="MDA45" s="13"/>
      <c r="MDB45" s="13"/>
      <c r="MDC45" s="13"/>
      <c r="MDD45" s="13"/>
      <c r="MDE45" s="13"/>
      <c r="MDF45" s="13"/>
      <c r="MDG45" s="13"/>
      <c r="MDH45" s="13"/>
      <c r="MDI45" s="13"/>
      <c r="MDJ45" s="13"/>
      <c r="MDK45" s="13"/>
      <c r="MDL45" s="13"/>
      <c r="MDM45" s="13"/>
      <c r="MDN45" s="13"/>
      <c r="MDO45" s="13"/>
      <c r="MDP45" s="13"/>
      <c r="MDQ45" s="13"/>
      <c r="MDR45" s="13"/>
      <c r="MDS45" s="13"/>
      <c r="MDT45" s="13"/>
      <c r="MDU45" s="13"/>
      <c r="MDV45" s="13"/>
      <c r="MDW45" s="13"/>
      <c r="MDX45" s="13"/>
      <c r="MDY45" s="13"/>
      <c r="MDZ45" s="13"/>
      <c r="MEA45" s="13"/>
      <c r="MEB45" s="13"/>
      <c r="MEC45" s="13"/>
      <c r="MED45" s="13"/>
      <c r="MEE45" s="13"/>
      <c r="MEF45" s="13"/>
      <c r="MEG45" s="13"/>
      <c r="MEH45" s="13"/>
      <c r="MEI45" s="13"/>
      <c r="MEJ45" s="13"/>
      <c r="MEK45" s="13"/>
      <c r="MEL45" s="13"/>
      <c r="MEM45" s="13"/>
      <c r="MEN45" s="13"/>
      <c r="MEO45" s="13"/>
      <c r="MEP45" s="13"/>
      <c r="MEQ45" s="13"/>
      <c r="MER45" s="13"/>
      <c r="MES45" s="13"/>
      <c r="MET45" s="13"/>
      <c r="MEU45" s="13"/>
      <c r="MEV45" s="13"/>
      <c r="MEW45" s="13"/>
      <c r="MEX45" s="13"/>
      <c r="MEY45" s="13"/>
      <c r="MEZ45" s="13"/>
      <c r="MFA45" s="13"/>
      <c r="MFB45" s="13"/>
      <c r="MFC45" s="13"/>
      <c r="MFD45" s="13"/>
      <c r="MFE45" s="13"/>
      <c r="MFF45" s="13"/>
      <c r="MFG45" s="13"/>
      <c r="MFH45" s="13"/>
      <c r="MFI45" s="13"/>
      <c r="MFJ45" s="13"/>
      <c r="MFK45" s="13"/>
      <c r="MFL45" s="13"/>
      <c r="MFM45" s="13"/>
      <c r="MFN45" s="13"/>
      <c r="MFO45" s="13"/>
      <c r="MFP45" s="13"/>
      <c r="MFQ45" s="13"/>
      <c r="MFR45" s="13"/>
      <c r="MFS45" s="13"/>
      <c r="MFT45" s="13"/>
      <c r="MFU45" s="13"/>
      <c r="MFV45" s="13"/>
      <c r="MFW45" s="13"/>
      <c r="MFX45" s="13"/>
      <c r="MFY45" s="13"/>
      <c r="MFZ45" s="13"/>
      <c r="MGA45" s="13"/>
      <c r="MGB45" s="13"/>
      <c r="MGC45" s="13"/>
      <c r="MGD45" s="13"/>
      <c r="MGE45" s="13"/>
      <c r="MGF45" s="13"/>
      <c r="MGG45" s="13"/>
      <c r="MGH45" s="13"/>
      <c r="MGI45" s="13"/>
      <c r="MGJ45" s="13"/>
      <c r="MGK45" s="13"/>
      <c r="MGL45" s="13"/>
      <c r="MGM45" s="13"/>
      <c r="MGN45" s="13"/>
      <c r="MGO45" s="13"/>
      <c r="MGP45" s="13"/>
      <c r="MGQ45" s="13"/>
      <c r="MGR45" s="13"/>
      <c r="MGS45" s="13"/>
      <c r="MGT45" s="13"/>
      <c r="MGU45" s="13"/>
      <c r="MGV45" s="13"/>
      <c r="MGW45" s="13"/>
      <c r="MGX45" s="13"/>
      <c r="MGY45" s="13"/>
      <c r="MGZ45" s="13"/>
      <c r="MHA45" s="13"/>
      <c r="MHB45" s="13"/>
      <c r="MHC45" s="13"/>
      <c r="MHD45" s="13"/>
      <c r="MHE45" s="13"/>
      <c r="MHF45" s="13"/>
      <c r="MHG45" s="13"/>
      <c r="MHH45" s="13"/>
      <c r="MHI45" s="13"/>
      <c r="MHJ45" s="13"/>
      <c r="MHK45" s="13"/>
      <c r="MHL45" s="13"/>
      <c r="MHM45" s="13"/>
      <c r="MHN45" s="13"/>
      <c r="MHO45" s="13"/>
      <c r="MHP45" s="13"/>
      <c r="MHQ45" s="13"/>
      <c r="MHR45" s="13"/>
      <c r="MHS45" s="13"/>
      <c r="MHT45" s="13"/>
      <c r="MHU45" s="13"/>
      <c r="MHV45" s="13"/>
      <c r="MHW45" s="13"/>
      <c r="MHX45" s="13"/>
      <c r="MHY45" s="13"/>
      <c r="MHZ45" s="13"/>
      <c r="MIA45" s="13"/>
      <c r="MIB45" s="13"/>
      <c r="MIC45" s="13"/>
      <c r="MID45" s="13"/>
      <c r="MIE45" s="13"/>
      <c r="MIF45" s="13"/>
      <c r="MIG45" s="13"/>
      <c r="MIH45" s="13"/>
      <c r="MII45" s="13"/>
      <c r="MIJ45" s="13"/>
      <c r="MIK45" s="13"/>
      <c r="MIL45" s="13"/>
      <c r="MIM45" s="13"/>
      <c r="MIN45" s="13"/>
      <c r="MIO45" s="13"/>
      <c r="MIP45" s="13"/>
      <c r="MIQ45" s="13"/>
      <c r="MIR45" s="13"/>
      <c r="MIS45" s="13"/>
      <c r="MIT45" s="13"/>
      <c r="MIU45" s="13"/>
      <c r="MIV45" s="13"/>
      <c r="MIW45" s="13"/>
      <c r="MIX45" s="13"/>
      <c r="MIY45" s="13"/>
      <c r="MIZ45" s="13"/>
      <c r="MJA45" s="13"/>
      <c r="MJB45" s="13"/>
      <c r="MJC45" s="13"/>
      <c r="MJD45" s="13"/>
      <c r="MJE45" s="13"/>
      <c r="MJF45" s="13"/>
      <c r="MJG45" s="13"/>
      <c r="MJH45" s="13"/>
      <c r="MJI45" s="13"/>
      <c r="MJJ45" s="13"/>
      <c r="MJK45" s="13"/>
      <c r="MJL45" s="13"/>
      <c r="MJM45" s="13"/>
      <c r="MJN45" s="13"/>
      <c r="MJO45" s="13"/>
      <c r="MJP45" s="13"/>
      <c r="MJQ45" s="13"/>
      <c r="MJR45" s="13"/>
      <c r="MJS45" s="13"/>
      <c r="MJT45" s="13"/>
      <c r="MJU45" s="13"/>
      <c r="MJV45" s="13"/>
      <c r="MJW45" s="13"/>
      <c r="MJX45" s="13"/>
      <c r="MJY45" s="13"/>
      <c r="MJZ45" s="13"/>
      <c r="MKA45" s="13"/>
      <c r="MKB45" s="13"/>
      <c r="MKC45" s="13"/>
      <c r="MKD45" s="13"/>
      <c r="MKE45" s="13"/>
      <c r="MKF45" s="13"/>
      <c r="MKG45" s="13"/>
      <c r="MKH45" s="13"/>
      <c r="MKI45" s="13"/>
      <c r="MKJ45" s="13"/>
      <c r="MKK45" s="13"/>
      <c r="MKL45" s="13"/>
      <c r="MKM45" s="13"/>
      <c r="MKN45" s="13"/>
      <c r="MKO45" s="13"/>
      <c r="MKP45" s="13"/>
      <c r="MKQ45" s="13"/>
      <c r="MKR45" s="13"/>
      <c r="MKS45" s="13"/>
      <c r="MKT45" s="13"/>
      <c r="MKU45" s="13"/>
      <c r="MKV45" s="13"/>
      <c r="MKW45" s="13"/>
      <c r="MKX45" s="13"/>
      <c r="MKY45" s="13"/>
      <c r="MKZ45" s="13"/>
      <c r="MLA45" s="13"/>
      <c r="MLB45" s="13"/>
      <c r="MLC45" s="13"/>
      <c r="MLD45" s="13"/>
      <c r="MLE45" s="13"/>
      <c r="MLF45" s="13"/>
      <c r="MLG45" s="13"/>
      <c r="MLH45" s="13"/>
      <c r="MLI45" s="13"/>
      <c r="MLJ45" s="13"/>
      <c r="MLK45" s="13"/>
      <c r="MLL45" s="13"/>
      <c r="MLM45" s="13"/>
      <c r="MLN45" s="13"/>
      <c r="MLO45" s="13"/>
      <c r="MLP45" s="13"/>
      <c r="MLQ45" s="13"/>
      <c r="MLR45" s="13"/>
      <c r="MLS45" s="13"/>
      <c r="MLT45" s="13"/>
      <c r="MLU45" s="13"/>
      <c r="MLV45" s="13"/>
      <c r="MLW45" s="13"/>
      <c r="MLX45" s="13"/>
      <c r="MLY45" s="13"/>
      <c r="MLZ45" s="13"/>
      <c r="MMA45" s="13"/>
      <c r="MMB45" s="13"/>
      <c r="MMC45" s="13"/>
      <c r="MMD45" s="13"/>
      <c r="MME45" s="13"/>
      <c r="MMF45" s="13"/>
      <c r="MMG45" s="13"/>
      <c r="MMH45" s="13"/>
      <c r="MMI45" s="13"/>
      <c r="MMJ45" s="13"/>
      <c r="MMK45" s="13"/>
      <c r="MML45" s="13"/>
      <c r="MMM45" s="13"/>
      <c r="MMN45" s="13"/>
      <c r="MMO45" s="13"/>
      <c r="MMP45" s="13"/>
      <c r="MMQ45" s="13"/>
      <c r="MMR45" s="13"/>
      <c r="MMS45" s="13"/>
      <c r="MMT45" s="13"/>
      <c r="MMU45" s="13"/>
      <c r="MMV45" s="13"/>
      <c r="MMW45" s="13"/>
      <c r="MMX45" s="13"/>
      <c r="MMY45" s="13"/>
      <c r="MMZ45" s="13"/>
      <c r="MNA45" s="13"/>
      <c r="MNB45" s="13"/>
      <c r="MNC45" s="13"/>
      <c r="MND45" s="13"/>
      <c r="MNE45" s="13"/>
      <c r="MNF45" s="13"/>
      <c r="MNG45" s="13"/>
      <c r="MNH45" s="13"/>
      <c r="MNI45" s="13"/>
      <c r="MNJ45" s="13"/>
      <c r="MNK45" s="13"/>
      <c r="MNL45" s="13"/>
      <c r="MNM45" s="13"/>
      <c r="MNN45" s="13"/>
      <c r="MNO45" s="13"/>
      <c r="MNP45" s="13"/>
      <c r="MNQ45" s="13"/>
      <c r="MNR45" s="13"/>
      <c r="MNS45" s="13"/>
      <c r="MNT45" s="13"/>
      <c r="MNU45" s="13"/>
      <c r="MNV45" s="13"/>
      <c r="MNW45" s="13"/>
      <c r="MNX45" s="13"/>
      <c r="MNY45" s="13"/>
      <c r="MNZ45" s="13"/>
      <c r="MOA45" s="13"/>
      <c r="MOB45" s="13"/>
      <c r="MOC45" s="13"/>
      <c r="MOD45" s="13"/>
      <c r="MOE45" s="13"/>
      <c r="MOF45" s="13"/>
      <c r="MOG45" s="13"/>
      <c r="MOH45" s="13"/>
      <c r="MOI45" s="13"/>
      <c r="MOJ45" s="13"/>
      <c r="MOK45" s="13"/>
      <c r="MOL45" s="13"/>
      <c r="MOM45" s="13"/>
      <c r="MON45" s="13"/>
      <c r="MOO45" s="13"/>
      <c r="MOP45" s="13"/>
      <c r="MOQ45" s="13"/>
      <c r="MOR45" s="13"/>
      <c r="MOS45" s="13"/>
      <c r="MOT45" s="13"/>
      <c r="MOU45" s="13"/>
      <c r="MOV45" s="13"/>
      <c r="MOW45" s="13"/>
      <c r="MOX45" s="13"/>
      <c r="MOY45" s="13"/>
      <c r="MOZ45" s="13"/>
      <c r="MPA45" s="13"/>
      <c r="MPB45" s="13"/>
      <c r="MPC45" s="13"/>
      <c r="MPD45" s="13"/>
      <c r="MPE45" s="13"/>
      <c r="MPF45" s="13"/>
      <c r="MPG45" s="13"/>
      <c r="MPH45" s="13"/>
      <c r="MPI45" s="13"/>
      <c r="MPJ45" s="13"/>
      <c r="MPK45" s="13"/>
      <c r="MPL45" s="13"/>
      <c r="MPM45" s="13"/>
      <c r="MPN45" s="13"/>
      <c r="MPO45" s="13"/>
      <c r="MPP45" s="13"/>
      <c r="MPQ45" s="13"/>
      <c r="MPR45" s="13"/>
      <c r="MPS45" s="13"/>
      <c r="MPT45" s="13"/>
      <c r="MPU45" s="13"/>
      <c r="MPV45" s="13"/>
      <c r="MPW45" s="13"/>
      <c r="MPX45" s="13"/>
      <c r="MPY45" s="13"/>
      <c r="MPZ45" s="13"/>
      <c r="MQA45" s="13"/>
      <c r="MQB45" s="13"/>
      <c r="MQC45" s="13"/>
      <c r="MQD45" s="13"/>
      <c r="MQE45" s="13"/>
      <c r="MQF45" s="13"/>
      <c r="MQG45" s="13"/>
      <c r="MQH45" s="13"/>
      <c r="MQI45" s="13"/>
      <c r="MQJ45" s="13"/>
      <c r="MQK45" s="13"/>
      <c r="MQL45" s="13"/>
      <c r="MQM45" s="13"/>
      <c r="MQN45" s="13"/>
      <c r="MQO45" s="13"/>
      <c r="MQP45" s="13"/>
      <c r="MQQ45" s="13"/>
      <c r="MQR45" s="13"/>
      <c r="MQS45" s="13"/>
      <c r="MQT45" s="13"/>
      <c r="MQU45" s="13"/>
      <c r="MQV45" s="13"/>
      <c r="MQW45" s="13"/>
      <c r="MQX45" s="13"/>
      <c r="MQY45" s="13"/>
      <c r="MQZ45" s="13"/>
      <c r="MRA45" s="13"/>
      <c r="MRB45" s="13"/>
      <c r="MRC45" s="13"/>
      <c r="MRD45" s="13"/>
      <c r="MRE45" s="13"/>
      <c r="MRF45" s="13"/>
      <c r="MRG45" s="13"/>
      <c r="MRH45" s="13"/>
      <c r="MRI45" s="13"/>
      <c r="MRJ45" s="13"/>
      <c r="MRK45" s="13"/>
      <c r="MRL45" s="13"/>
      <c r="MRM45" s="13"/>
      <c r="MRN45" s="13"/>
      <c r="MRO45" s="13"/>
      <c r="MRP45" s="13"/>
      <c r="MRQ45" s="13"/>
      <c r="MRR45" s="13"/>
      <c r="MRS45" s="13"/>
      <c r="MRT45" s="13"/>
      <c r="MRU45" s="13"/>
      <c r="MRV45" s="13"/>
      <c r="MRW45" s="13"/>
      <c r="MRX45" s="13"/>
      <c r="MRY45" s="13"/>
      <c r="MRZ45" s="13"/>
      <c r="MSA45" s="13"/>
      <c r="MSB45" s="13"/>
      <c r="MSC45" s="13"/>
      <c r="MSD45" s="13"/>
      <c r="MSE45" s="13"/>
      <c r="MSF45" s="13"/>
      <c r="MSG45" s="13"/>
      <c r="MSH45" s="13"/>
      <c r="MSI45" s="13"/>
      <c r="MSJ45" s="13"/>
      <c r="MSK45" s="13"/>
      <c r="MSL45" s="13"/>
      <c r="MSM45" s="13"/>
      <c r="MSN45" s="13"/>
      <c r="MSO45" s="13"/>
      <c r="MSP45" s="13"/>
      <c r="MSQ45" s="13"/>
      <c r="MSR45" s="13"/>
      <c r="MSS45" s="13"/>
      <c r="MST45" s="13"/>
      <c r="MSU45" s="13"/>
      <c r="MSV45" s="13"/>
      <c r="MSW45" s="13"/>
      <c r="MSX45" s="13"/>
      <c r="MSY45" s="13"/>
      <c r="MSZ45" s="13"/>
      <c r="MTA45" s="13"/>
      <c r="MTB45" s="13"/>
      <c r="MTC45" s="13"/>
      <c r="MTD45" s="13"/>
      <c r="MTE45" s="13"/>
      <c r="MTF45" s="13"/>
      <c r="MTG45" s="13"/>
      <c r="MTH45" s="13"/>
      <c r="MTI45" s="13"/>
      <c r="MTJ45" s="13"/>
      <c r="MTK45" s="13"/>
      <c r="MTL45" s="13"/>
      <c r="MTM45" s="13"/>
      <c r="MTN45" s="13"/>
      <c r="MTO45" s="13"/>
      <c r="MTP45" s="13"/>
      <c r="MTQ45" s="13"/>
      <c r="MTR45" s="13"/>
      <c r="MTS45" s="13"/>
      <c r="MTT45" s="13"/>
      <c r="MTU45" s="13"/>
      <c r="MTV45" s="13"/>
      <c r="MTW45" s="13"/>
      <c r="MTX45" s="13"/>
      <c r="MTY45" s="13"/>
      <c r="MTZ45" s="13"/>
      <c r="MUA45" s="13"/>
      <c r="MUB45" s="13"/>
      <c r="MUC45" s="13"/>
      <c r="MUD45" s="13"/>
      <c r="MUE45" s="13"/>
      <c r="MUF45" s="13"/>
      <c r="MUG45" s="13"/>
      <c r="MUH45" s="13"/>
      <c r="MUI45" s="13"/>
      <c r="MUJ45" s="13"/>
      <c r="MUK45" s="13"/>
      <c r="MUL45" s="13"/>
      <c r="MUM45" s="13"/>
      <c r="MUN45" s="13"/>
      <c r="MUO45" s="13"/>
      <c r="MUP45" s="13"/>
      <c r="MUQ45" s="13"/>
      <c r="MUR45" s="13"/>
      <c r="MUS45" s="13"/>
      <c r="MUT45" s="13"/>
      <c r="MUU45" s="13"/>
      <c r="MUV45" s="13"/>
      <c r="MUW45" s="13"/>
      <c r="MUX45" s="13"/>
      <c r="MUY45" s="13"/>
      <c r="MUZ45" s="13"/>
      <c r="MVA45" s="13"/>
      <c r="MVB45" s="13"/>
      <c r="MVC45" s="13"/>
      <c r="MVD45" s="13"/>
      <c r="MVE45" s="13"/>
      <c r="MVF45" s="13"/>
      <c r="MVG45" s="13"/>
      <c r="MVH45" s="13"/>
      <c r="MVI45" s="13"/>
      <c r="MVJ45" s="13"/>
      <c r="MVK45" s="13"/>
      <c r="MVL45" s="13"/>
      <c r="MVM45" s="13"/>
      <c r="MVN45" s="13"/>
      <c r="MVO45" s="13"/>
      <c r="MVP45" s="13"/>
      <c r="MVQ45" s="13"/>
      <c r="MVR45" s="13"/>
      <c r="MVS45" s="13"/>
      <c r="MVT45" s="13"/>
      <c r="MVU45" s="13"/>
      <c r="MVV45" s="13"/>
      <c r="MVW45" s="13"/>
      <c r="MVX45" s="13"/>
      <c r="MVY45" s="13"/>
      <c r="MVZ45" s="13"/>
      <c r="MWA45" s="13"/>
      <c r="MWB45" s="13"/>
      <c r="MWC45" s="13"/>
      <c r="MWD45" s="13"/>
      <c r="MWE45" s="13"/>
      <c r="MWF45" s="13"/>
      <c r="MWG45" s="13"/>
      <c r="MWH45" s="13"/>
      <c r="MWI45" s="13"/>
      <c r="MWJ45" s="13"/>
      <c r="MWK45" s="13"/>
      <c r="MWL45" s="13"/>
      <c r="MWM45" s="13"/>
      <c r="MWN45" s="13"/>
      <c r="MWO45" s="13"/>
      <c r="MWP45" s="13"/>
      <c r="MWQ45" s="13"/>
      <c r="MWR45" s="13"/>
      <c r="MWS45" s="13"/>
      <c r="MWT45" s="13"/>
      <c r="MWU45" s="13"/>
      <c r="MWV45" s="13"/>
      <c r="MWW45" s="13"/>
      <c r="MWX45" s="13"/>
      <c r="MWY45" s="13"/>
      <c r="MWZ45" s="13"/>
      <c r="MXA45" s="13"/>
      <c r="MXB45" s="13"/>
      <c r="MXC45" s="13"/>
      <c r="MXD45" s="13"/>
      <c r="MXE45" s="13"/>
      <c r="MXF45" s="13"/>
      <c r="MXG45" s="13"/>
      <c r="MXH45" s="13"/>
      <c r="MXI45" s="13"/>
      <c r="MXJ45" s="13"/>
      <c r="MXK45" s="13"/>
      <c r="MXL45" s="13"/>
      <c r="MXM45" s="13"/>
      <c r="MXN45" s="13"/>
      <c r="MXO45" s="13"/>
      <c r="MXP45" s="13"/>
      <c r="MXQ45" s="13"/>
      <c r="MXR45" s="13"/>
      <c r="MXS45" s="13"/>
      <c r="MXT45" s="13"/>
      <c r="MXU45" s="13"/>
      <c r="MXV45" s="13"/>
      <c r="MXW45" s="13"/>
      <c r="MXX45" s="13"/>
      <c r="MXY45" s="13"/>
      <c r="MXZ45" s="13"/>
      <c r="MYA45" s="13"/>
      <c r="MYB45" s="13"/>
      <c r="MYC45" s="13"/>
      <c r="MYD45" s="13"/>
      <c r="MYE45" s="13"/>
      <c r="MYF45" s="13"/>
      <c r="MYG45" s="13"/>
      <c r="MYH45" s="13"/>
      <c r="MYI45" s="13"/>
      <c r="MYJ45" s="13"/>
      <c r="MYK45" s="13"/>
      <c r="MYL45" s="13"/>
      <c r="MYM45" s="13"/>
      <c r="MYN45" s="13"/>
      <c r="MYO45" s="13"/>
      <c r="MYP45" s="13"/>
      <c r="MYQ45" s="13"/>
      <c r="MYR45" s="13"/>
      <c r="MYS45" s="13"/>
      <c r="MYT45" s="13"/>
      <c r="MYU45" s="13"/>
      <c r="MYV45" s="13"/>
      <c r="MYW45" s="13"/>
      <c r="MYX45" s="13"/>
      <c r="MYY45" s="13"/>
      <c r="MYZ45" s="13"/>
      <c r="MZA45" s="13"/>
      <c r="MZB45" s="13"/>
      <c r="MZC45" s="13"/>
      <c r="MZD45" s="13"/>
      <c r="MZE45" s="13"/>
      <c r="MZF45" s="13"/>
      <c r="MZG45" s="13"/>
      <c r="MZH45" s="13"/>
      <c r="MZI45" s="13"/>
      <c r="MZJ45" s="13"/>
      <c r="MZK45" s="13"/>
      <c r="MZL45" s="13"/>
      <c r="MZM45" s="13"/>
      <c r="MZN45" s="13"/>
      <c r="MZO45" s="13"/>
      <c r="MZP45" s="13"/>
      <c r="MZQ45" s="13"/>
      <c r="MZR45" s="13"/>
      <c r="MZS45" s="13"/>
      <c r="MZT45" s="13"/>
      <c r="MZU45" s="13"/>
      <c r="MZV45" s="13"/>
      <c r="MZW45" s="13"/>
      <c r="MZX45" s="13"/>
      <c r="MZY45" s="13"/>
      <c r="MZZ45" s="13"/>
      <c r="NAA45" s="13"/>
      <c r="NAB45" s="13"/>
      <c r="NAC45" s="13"/>
      <c r="NAD45" s="13"/>
      <c r="NAE45" s="13"/>
      <c r="NAF45" s="13"/>
      <c r="NAG45" s="13"/>
      <c r="NAH45" s="13"/>
      <c r="NAI45" s="13"/>
      <c r="NAJ45" s="13"/>
      <c r="NAK45" s="13"/>
      <c r="NAL45" s="13"/>
      <c r="NAM45" s="13"/>
      <c r="NAN45" s="13"/>
      <c r="NAO45" s="13"/>
      <c r="NAP45" s="13"/>
      <c r="NAQ45" s="13"/>
      <c r="NAR45" s="13"/>
      <c r="NAS45" s="13"/>
      <c r="NAT45" s="13"/>
      <c r="NAU45" s="13"/>
      <c r="NAV45" s="13"/>
      <c r="NAW45" s="13"/>
      <c r="NAX45" s="13"/>
      <c r="NAY45" s="13"/>
      <c r="NAZ45" s="13"/>
      <c r="NBA45" s="13"/>
      <c r="NBB45" s="13"/>
      <c r="NBC45" s="13"/>
      <c r="NBD45" s="13"/>
      <c r="NBE45" s="13"/>
      <c r="NBF45" s="13"/>
      <c r="NBG45" s="13"/>
      <c r="NBH45" s="13"/>
      <c r="NBI45" s="13"/>
      <c r="NBJ45" s="13"/>
      <c r="NBK45" s="13"/>
      <c r="NBL45" s="13"/>
      <c r="NBM45" s="13"/>
      <c r="NBN45" s="13"/>
      <c r="NBO45" s="13"/>
      <c r="NBP45" s="13"/>
      <c r="NBQ45" s="13"/>
      <c r="NBR45" s="13"/>
      <c r="NBS45" s="13"/>
      <c r="NBT45" s="13"/>
      <c r="NBU45" s="13"/>
      <c r="NBV45" s="13"/>
      <c r="NBW45" s="13"/>
      <c r="NBX45" s="13"/>
      <c r="NBY45" s="13"/>
      <c r="NBZ45" s="13"/>
      <c r="NCA45" s="13"/>
      <c r="NCB45" s="13"/>
      <c r="NCC45" s="13"/>
      <c r="NCD45" s="13"/>
      <c r="NCE45" s="13"/>
      <c r="NCF45" s="13"/>
      <c r="NCG45" s="13"/>
      <c r="NCH45" s="13"/>
      <c r="NCI45" s="13"/>
      <c r="NCJ45" s="13"/>
      <c r="NCK45" s="13"/>
      <c r="NCL45" s="13"/>
      <c r="NCM45" s="13"/>
      <c r="NCN45" s="13"/>
      <c r="NCO45" s="13"/>
      <c r="NCP45" s="13"/>
      <c r="NCQ45" s="13"/>
      <c r="NCR45" s="13"/>
      <c r="NCS45" s="13"/>
      <c r="NCT45" s="13"/>
      <c r="NCU45" s="13"/>
      <c r="NCV45" s="13"/>
      <c r="NCW45" s="13"/>
      <c r="NCX45" s="13"/>
      <c r="NCY45" s="13"/>
      <c r="NCZ45" s="13"/>
      <c r="NDA45" s="13"/>
      <c r="NDB45" s="13"/>
      <c r="NDC45" s="13"/>
      <c r="NDD45" s="13"/>
      <c r="NDE45" s="13"/>
      <c r="NDF45" s="13"/>
      <c r="NDG45" s="13"/>
      <c r="NDH45" s="13"/>
      <c r="NDI45" s="13"/>
      <c r="NDJ45" s="13"/>
      <c r="NDK45" s="13"/>
      <c r="NDL45" s="13"/>
      <c r="NDM45" s="13"/>
      <c r="NDN45" s="13"/>
      <c r="NDO45" s="13"/>
      <c r="NDP45" s="13"/>
      <c r="NDQ45" s="13"/>
      <c r="NDR45" s="13"/>
      <c r="NDS45" s="13"/>
      <c r="NDT45" s="13"/>
      <c r="NDU45" s="13"/>
      <c r="NDV45" s="13"/>
      <c r="NDW45" s="13"/>
      <c r="NDX45" s="13"/>
      <c r="NDY45" s="13"/>
      <c r="NDZ45" s="13"/>
      <c r="NEA45" s="13"/>
      <c r="NEB45" s="13"/>
      <c r="NEC45" s="13"/>
      <c r="NED45" s="13"/>
      <c r="NEE45" s="13"/>
      <c r="NEF45" s="13"/>
      <c r="NEG45" s="13"/>
      <c r="NEH45" s="13"/>
      <c r="NEI45" s="13"/>
      <c r="NEJ45" s="13"/>
      <c r="NEK45" s="13"/>
      <c r="NEL45" s="13"/>
      <c r="NEM45" s="13"/>
      <c r="NEN45" s="13"/>
      <c r="NEO45" s="13"/>
      <c r="NEP45" s="13"/>
      <c r="NEQ45" s="13"/>
      <c r="NER45" s="13"/>
      <c r="NES45" s="13"/>
      <c r="NET45" s="13"/>
      <c r="NEU45" s="13"/>
      <c r="NEV45" s="13"/>
      <c r="NEW45" s="13"/>
      <c r="NEX45" s="13"/>
      <c r="NEY45" s="13"/>
      <c r="NEZ45" s="13"/>
      <c r="NFA45" s="13"/>
      <c r="NFB45" s="13"/>
      <c r="NFC45" s="13"/>
      <c r="NFD45" s="13"/>
      <c r="NFE45" s="13"/>
      <c r="NFF45" s="13"/>
      <c r="NFG45" s="13"/>
      <c r="NFH45" s="13"/>
      <c r="NFI45" s="13"/>
      <c r="NFJ45" s="13"/>
      <c r="NFK45" s="13"/>
      <c r="NFL45" s="13"/>
      <c r="NFM45" s="13"/>
      <c r="NFN45" s="13"/>
      <c r="NFO45" s="13"/>
      <c r="NFP45" s="13"/>
      <c r="NFQ45" s="13"/>
      <c r="NFR45" s="13"/>
      <c r="NFS45" s="13"/>
      <c r="NFT45" s="13"/>
      <c r="NFU45" s="13"/>
      <c r="NFV45" s="13"/>
      <c r="NFW45" s="13"/>
      <c r="NFX45" s="13"/>
      <c r="NFY45" s="13"/>
      <c r="NFZ45" s="13"/>
      <c r="NGA45" s="13"/>
      <c r="NGB45" s="13"/>
      <c r="NGC45" s="13"/>
      <c r="NGD45" s="13"/>
      <c r="NGE45" s="13"/>
      <c r="NGF45" s="13"/>
      <c r="NGG45" s="13"/>
      <c r="NGH45" s="13"/>
      <c r="NGI45" s="13"/>
      <c r="NGJ45" s="13"/>
      <c r="NGK45" s="13"/>
      <c r="NGL45" s="13"/>
      <c r="NGM45" s="13"/>
      <c r="NGN45" s="13"/>
      <c r="NGO45" s="13"/>
      <c r="NGP45" s="13"/>
      <c r="NGQ45" s="13"/>
      <c r="NGR45" s="13"/>
      <c r="NGS45" s="13"/>
      <c r="NGT45" s="13"/>
      <c r="NGU45" s="13"/>
      <c r="NGV45" s="13"/>
      <c r="NGW45" s="13"/>
      <c r="NGX45" s="13"/>
      <c r="NGY45" s="13"/>
      <c r="NGZ45" s="13"/>
      <c r="NHA45" s="13"/>
      <c r="NHB45" s="13"/>
      <c r="NHC45" s="13"/>
      <c r="NHD45" s="13"/>
      <c r="NHE45" s="13"/>
      <c r="NHF45" s="13"/>
      <c r="NHG45" s="13"/>
      <c r="NHH45" s="13"/>
      <c r="NHI45" s="13"/>
      <c r="NHJ45" s="13"/>
      <c r="NHK45" s="13"/>
      <c r="NHL45" s="13"/>
      <c r="NHM45" s="13"/>
      <c r="NHN45" s="13"/>
      <c r="NHO45" s="13"/>
      <c r="NHP45" s="13"/>
      <c r="NHQ45" s="13"/>
      <c r="NHR45" s="13"/>
      <c r="NHS45" s="13"/>
      <c r="NHT45" s="13"/>
      <c r="NHU45" s="13"/>
      <c r="NHV45" s="13"/>
      <c r="NHW45" s="13"/>
      <c r="NHX45" s="13"/>
      <c r="NHY45" s="13"/>
      <c r="NHZ45" s="13"/>
      <c r="NIA45" s="13"/>
      <c r="NIB45" s="13"/>
      <c r="NIC45" s="13"/>
      <c r="NID45" s="13"/>
      <c r="NIE45" s="13"/>
      <c r="NIF45" s="13"/>
      <c r="NIG45" s="13"/>
      <c r="NIH45" s="13"/>
      <c r="NII45" s="13"/>
      <c r="NIJ45" s="13"/>
      <c r="NIK45" s="13"/>
      <c r="NIL45" s="13"/>
      <c r="NIM45" s="13"/>
      <c r="NIN45" s="13"/>
      <c r="NIO45" s="13"/>
      <c r="NIP45" s="13"/>
      <c r="NIQ45" s="13"/>
      <c r="NIR45" s="13"/>
      <c r="NIS45" s="13"/>
      <c r="NIT45" s="13"/>
      <c r="NIU45" s="13"/>
      <c r="NIV45" s="13"/>
      <c r="NIW45" s="13"/>
      <c r="NIX45" s="13"/>
      <c r="NIY45" s="13"/>
      <c r="NIZ45" s="13"/>
      <c r="NJA45" s="13"/>
      <c r="NJB45" s="13"/>
      <c r="NJC45" s="13"/>
      <c r="NJD45" s="13"/>
      <c r="NJE45" s="13"/>
      <c r="NJF45" s="13"/>
      <c r="NJG45" s="13"/>
      <c r="NJH45" s="13"/>
      <c r="NJI45" s="13"/>
      <c r="NJJ45" s="13"/>
      <c r="NJK45" s="13"/>
      <c r="NJL45" s="13"/>
      <c r="NJM45" s="13"/>
      <c r="NJN45" s="13"/>
      <c r="NJO45" s="13"/>
      <c r="NJP45" s="13"/>
      <c r="NJQ45" s="13"/>
      <c r="NJR45" s="13"/>
      <c r="NJS45" s="13"/>
      <c r="NJT45" s="13"/>
      <c r="NJU45" s="13"/>
      <c r="NJV45" s="13"/>
      <c r="NJW45" s="13"/>
      <c r="NJX45" s="13"/>
      <c r="NJY45" s="13"/>
      <c r="NJZ45" s="13"/>
      <c r="NKA45" s="13"/>
      <c r="NKB45" s="13"/>
      <c r="NKC45" s="13"/>
      <c r="NKD45" s="13"/>
      <c r="NKE45" s="13"/>
      <c r="NKF45" s="13"/>
      <c r="NKG45" s="13"/>
      <c r="NKH45" s="13"/>
      <c r="NKI45" s="13"/>
      <c r="NKJ45" s="13"/>
      <c r="NKK45" s="13"/>
      <c r="NKL45" s="13"/>
      <c r="NKM45" s="13"/>
      <c r="NKN45" s="13"/>
      <c r="NKO45" s="13"/>
      <c r="NKP45" s="13"/>
      <c r="NKQ45" s="13"/>
      <c r="NKR45" s="13"/>
      <c r="NKS45" s="13"/>
      <c r="NKT45" s="13"/>
      <c r="NKU45" s="13"/>
      <c r="NKV45" s="13"/>
      <c r="NKW45" s="13"/>
      <c r="NKX45" s="13"/>
      <c r="NKY45" s="13"/>
      <c r="NKZ45" s="13"/>
      <c r="NLA45" s="13"/>
      <c r="NLB45" s="13"/>
      <c r="NLC45" s="13"/>
      <c r="NLD45" s="13"/>
      <c r="NLE45" s="13"/>
      <c r="NLF45" s="13"/>
      <c r="NLG45" s="13"/>
      <c r="NLH45" s="13"/>
      <c r="NLI45" s="13"/>
      <c r="NLJ45" s="13"/>
      <c r="NLK45" s="13"/>
      <c r="NLL45" s="13"/>
      <c r="NLM45" s="13"/>
      <c r="NLN45" s="13"/>
      <c r="NLO45" s="13"/>
      <c r="NLP45" s="13"/>
      <c r="NLQ45" s="13"/>
      <c r="NLR45" s="13"/>
      <c r="NLS45" s="13"/>
      <c r="NLT45" s="13"/>
      <c r="NLU45" s="13"/>
      <c r="NLV45" s="13"/>
      <c r="NLW45" s="13"/>
      <c r="NLX45" s="13"/>
      <c r="NLY45" s="13"/>
      <c r="NLZ45" s="13"/>
      <c r="NMA45" s="13"/>
      <c r="NMB45" s="13"/>
      <c r="NMC45" s="13"/>
      <c r="NMD45" s="13"/>
      <c r="NME45" s="13"/>
      <c r="NMF45" s="13"/>
      <c r="NMG45" s="13"/>
      <c r="NMH45" s="13"/>
      <c r="NMI45" s="13"/>
      <c r="NMJ45" s="13"/>
      <c r="NMK45" s="13"/>
      <c r="NML45" s="13"/>
      <c r="NMM45" s="13"/>
      <c r="NMN45" s="13"/>
      <c r="NMO45" s="13"/>
      <c r="NMP45" s="13"/>
      <c r="NMQ45" s="13"/>
      <c r="NMR45" s="13"/>
      <c r="NMS45" s="13"/>
      <c r="NMT45" s="13"/>
      <c r="NMU45" s="13"/>
      <c r="NMV45" s="13"/>
      <c r="NMW45" s="13"/>
      <c r="NMX45" s="13"/>
      <c r="NMY45" s="13"/>
      <c r="NMZ45" s="13"/>
      <c r="NNA45" s="13"/>
      <c r="NNB45" s="13"/>
      <c r="NNC45" s="13"/>
      <c r="NND45" s="13"/>
      <c r="NNE45" s="13"/>
      <c r="NNF45" s="13"/>
      <c r="NNG45" s="13"/>
      <c r="NNH45" s="13"/>
      <c r="NNI45" s="13"/>
      <c r="NNJ45" s="13"/>
      <c r="NNK45" s="13"/>
      <c r="NNL45" s="13"/>
      <c r="NNM45" s="13"/>
      <c r="NNN45" s="13"/>
      <c r="NNO45" s="13"/>
      <c r="NNP45" s="13"/>
      <c r="NNQ45" s="13"/>
      <c r="NNR45" s="13"/>
      <c r="NNS45" s="13"/>
      <c r="NNT45" s="13"/>
      <c r="NNU45" s="13"/>
      <c r="NNV45" s="13"/>
      <c r="NNW45" s="13"/>
      <c r="NNX45" s="13"/>
      <c r="NNY45" s="13"/>
      <c r="NNZ45" s="13"/>
      <c r="NOA45" s="13"/>
      <c r="NOB45" s="13"/>
      <c r="NOC45" s="13"/>
      <c r="NOD45" s="13"/>
      <c r="NOE45" s="13"/>
      <c r="NOF45" s="13"/>
      <c r="NOG45" s="13"/>
      <c r="NOH45" s="13"/>
      <c r="NOI45" s="13"/>
      <c r="NOJ45" s="13"/>
      <c r="NOK45" s="13"/>
      <c r="NOL45" s="13"/>
      <c r="NOM45" s="13"/>
      <c r="NON45" s="13"/>
      <c r="NOO45" s="13"/>
      <c r="NOP45" s="13"/>
      <c r="NOQ45" s="13"/>
      <c r="NOR45" s="13"/>
      <c r="NOS45" s="13"/>
      <c r="NOT45" s="13"/>
      <c r="NOU45" s="13"/>
      <c r="NOV45" s="13"/>
      <c r="NOW45" s="13"/>
      <c r="NOX45" s="13"/>
      <c r="NOY45" s="13"/>
      <c r="NOZ45" s="13"/>
      <c r="NPA45" s="13"/>
      <c r="NPB45" s="13"/>
      <c r="NPC45" s="13"/>
      <c r="NPD45" s="13"/>
      <c r="NPE45" s="13"/>
      <c r="NPF45" s="13"/>
      <c r="NPG45" s="13"/>
      <c r="NPH45" s="13"/>
      <c r="NPI45" s="13"/>
      <c r="NPJ45" s="13"/>
      <c r="NPK45" s="13"/>
      <c r="NPL45" s="13"/>
      <c r="NPM45" s="13"/>
      <c r="NPN45" s="13"/>
      <c r="NPO45" s="13"/>
      <c r="NPP45" s="13"/>
      <c r="NPQ45" s="13"/>
      <c r="NPR45" s="13"/>
      <c r="NPS45" s="13"/>
      <c r="NPT45" s="13"/>
      <c r="NPU45" s="13"/>
      <c r="NPV45" s="13"/>
      <c r="NPW45" s="13"/>
      <c r="NPX45" s="13"/>
      <c r="NPY45" s="13"/>
      <c r="NPZ45" s="13"/>
      <c r="NQA45" s="13"/>
      <c r="NQB45" s="13"/>
      <c r="NQC45" s="13"/>
      <c r="NQD45" s="13"/>
      <c r="NQE45" s="13"/>
      <c r="NQF45" s="13"/>
      <c r="NQG45" s="13"/>
      <c r="NQH45" s="13"/>
      <c r="NQI45" s="13"/>
      <c r="NQJ45" s="13"/>
      <c r="NQK45" s="13"/>
      <c r="NQL45" s="13"/>
      <c r="NQM45" s="13"/>
      <c r="NQN45" s="13"/>
      <c r="NQO45" s="13"/>
      <c r="NQP45" s="13"/>
      <c r="NQQ45" s="13"/>
      <c r="NQR45" s="13"/>
      <c r="NQS45" s="13"/>
      <c r="NQT45" s="13"/>
      <c r="NQU45" s="13"/>
      <c r="NQV45" s="13"/>
      <c r="NQW45" s="13"/>
      <c r="NQX45" s="13"/>
      <c r="NQY45" s="13"/>
      <c r="NQZ45" s="13"/>
      <c r="NRA45" s="13"/>
      <c r="NRB45" s="13"/>
      <c r="NRC45" s="13"/>
      <c r="NRD45" s="13"/>
      <c r="NRE45" s="13"/>
      <c r="NRF45" s="13"/>
      <c r="NRG45" s="13"/>
      <c r="NRH45" s="13"/>
      <c r="NRI45" s="13"/>
      <c r="NRJ45" s="13"/>
      <c r="NRK45" s="13"/>
      <c r="NRL45" s="13"/>
      <c r="NRM45" s="13"/>
      <c r="NRN45" s="13"/>
      <c r="NRO45" s="13"/>
      <c r="NRP45" s="13"/>
      <c r="NRQ45" s="13"/>
      <c r="NRR45" s="13"/>
      <c r="NRS45" s="13"/>
      <c r="NRT45" s="13"/>
      <c r="NRU45" s="13"/>
      <c r="NRV45" s="13"/>
      <c r="NRW45" s="13"/>
      <c r="NRX45" s="13"/>
      <c r="NRY45" s="13"/>
      <c r="NRZ45" s="13"/>
      <c r="NSA45" s="13"/>
      <c r="NSB45" s="13"/>
      <c r="NSC45" s="13"/>
      <c r="NSD45" s="13"/>
      <c r="NSE45" s="13"/>
      <c r="NSF45" s="13"/>
      <c r="NSG45" s="13"/>
      <c r="NSH45" s="13"/>
      <c r="NSI45" s="13"/>
      <c r="NSJ45" s="13"/>
      <c r="NSK45" s="13"/>
      <c r="NSL45" s="13"/>
      <c r="NSM45" s="13"/>
      <c r="NSN45" s="13"/>
      <c r="NSO45" s="13"/>
      <c r="NSP45" s="13"/>
      <c r="NSQ45" s="13"/>
      <c r="NSR45" s="13"/>
      <c r="NSS45" s="13"/>
      <c r="NST45" s="13"/>
      <c r="NSU45" s="13"/>
      <c r="NSV45" s="13"/>
      <c r="NSW45" s="13"/>
      <c r="NSX45" s="13"/>
      <c r="NSY45" s="13"/>
      <c r="NSZ45" s="13"/>
      <c r="NTA45" s="13"/>
      <c r="NTB45" s="13"/>
      <c r="NTC45" s="13"/>
      <c r="NTD45" s="13"/>
      <c r="NTE45" s="13"/>
      <c r="NTF45" s="13"/>
      <c r="NTG45" s="13"/>
      <c r="NTH45" s="13"/>
      <c r="NTI45" s="13"/>
      <c r="NTJ45" s="13"/>
      <c r="NTK45" s="13"/>
      <c r="NTL45" s="13"/>
      <c r="NTM45" s="13"/>
      <c r="NTN45" s="13"/>
      <c r="NTO45" s="13"/>
      <c r="NTP45" s="13"/>
      <c r="NTQ45" s="13"/>
      <c r="NTR45" s="13"/>
      <c r="NTS45" s="13"/>
      <c r="NTT45" s="13"/>
      <c r="NTU45" s="13"/>
      <c r="NTV45" s="13"/>
      <c r="NTW45" s="13"/>
      <c r="NTX45" s="13"/>
      <c r="NTY45" s="13"/>
      <c r="NTZ45" s="13"/>
      <c r="NUA45" s="13"/>
      <c r="NUB45" s="13"/>
      <c r="NUC45" s="13"/>
      <c r="NUD45" s="13"/>
      <c r="NUE45" s="13"/>
      <c r="NUF45" s="13"/>
      <c r="NUG45" s="13"/>
      <c r="NUH45" s="13"/>
      <c r="NUI45" s="13"/>
      <c r="NUJ45" s="13"/>
      <c r="NUK45" s="13"/>
      <c r="NUL45" s="13"/>
      <c r="NUM45" s="13"/>
      <c r="NUN45" s="13"/>
      <c r="NUO45" s="13"/>
      <c r="NUP45" s="13"/>
      <c r="NUQ45" s="13"/>
      <c r="NUR45" s="13"/>
      <c r="NUS45" s="13"/>
      <c r="NUT45" s="13"/>
      <c r="NUU45" s="13"/>
      <c r="NUV45" s="13"/>
      <c r="NUW45" s="13"/>
      <c r="NUX45" s="13"/>
      <c r="NUY45" s="13"/>
      <c r="NUZ45" s="13"/>
      <c r="NVA45" s="13"/>
      <c r="NVB45" s="13"/>
      <c r="NVC45" s="13"/>
      <c r="NVD45" s="13"/>
      <c r="NVE45" s="13"/>
      <c r="NVF45" s="13"/>
      <c r="NVG45" s="13"/>
      <c r="NVH45" s="13"/>
      <c r="NVI45" s="13"/>
      <c r="NVJ45" s="13"/>
      <c r="NVK45" s="13"/>
      <c r="NVL45" s="13"/>
      <c r="NVM45" s="13"/>
      <c r="NVN45" s="13"/>
      <c r="NVO45" s="13"/>
      <c r="NVP45" s="13"/>
      <c r="NVQ45" s="13"/>
      <c r="NVR45" s="13"/>
      <c r="NVS45" s="13"/>
      <c r="NVT45" s="13"/>
      <c r="NVU45" s="13"/>
      <c r="NVV45" s="13"/>
      <c r="NVW45" s="13"/>
      <c r="NVX45" s="13"/>
      <c r="NVY45" s="13"/>
      <c r="NVZ45" s="13"/>
      <c r="NWA45" s="13"/>
      <c r="NWB45" s="13"/>
      <c r="NWC45" s="13"/>
      <c r="NWD45" s="13"/>
      <c r="NWE45" s="13"/>
      <c r="NWF45" s="13"/>
      <c r="NWG45" s="13"/>
      <c r="NWH45" s="13"/>
      <c r="NWI45" s="13"/>
      <c r="NWJ45" s="13"/>
      <c r="NWK45" s="13"/>
      <c r="NWL45" s="13"/>
      <c r="NWM45" s="13"/>
      <c r="NWN45" s="13"/>
      <c r="NWO45" s="13"/>
      <c r="NWP45" s="13"/>
      <c r="NWQ45" s="13"/>
      <c r="NWR45" s="13"/>
      <c r="NWS45" s="13"/>
      <c r="NWT45" s="13"/>
      <c r="NWU45" s="13"/>
      <c r="NWV45" s="13"/>
      <c r="NWW45" s="13"/>
      <c r="NWX45" s="13"/>
      <c r="NWY45" s="13"/>
      <c r="NWZ45" s="13"/>
      <c r="NXA45" s="13"/>
      <c r="NXB45" s="13"/>
      <c r="NXC45" s="13"/>
      <c r="NXD45" s="13"/>
      <c r="NXE45" s="13"/>
      <c r="NXF45" s="13"/>
      <c r="NXG45" s="13"/>
      <c r="NXH45" s="13"/>
      <c r="NXI45" s="13"/>
      <c r="NXJ45" s="13"/>
      <c r="NXK45" s="13"/>
      <c r="NXL45" s="13"/>
      <c r="NXM45" s="13"/>
      <c r="NXN45" s="13"/>
      <c r="NXO45" s="13"/>
      <c r="NXP45" s="13"/>
      <c r="NXQ45" s="13"/>
      <c r="NXR45" s="13"/>
      <c r="NXS45" s="13"/>
      <c r="NXT45" s="13"/>
      <c r="NXU45" s="13"/>
      <c r="NXV45" s="13"/>
      <c r="NXW45" s="13"/>
      <c r="NXX45" s="13"/>
      <c r="NXY45" s="13"/>
      <c r="NXZ45" s="13"/>
      <c r="NYA45" s="13"/>
      <c r="NYB45" s="13"/>
      <c r="NYC45" s="13"/>
      <c r="NYD45" s="13"/>
      <c r="NYE45" s="13"/>
      <c r="NYF45" s="13"/>
      <c r="NYG45" s="13"/>
      <c r="NYH45" s="13"/>
      <c r="NYI45" s="13"/>
      <c r="NYJ45" s="13"/>
      <c r="NYK45" s="13"/>
      <c r="NYL45" s="13"/>
      <c r="NYM45" s="13"/>
      <c r="NYN45" s="13"/>
      <c r="NYO45" s="13"/>
      <c r="NYP45" s="13"/>
      <c r="NYQ45" s="13"/>
      <c r="NYR45" s="13"/>
      <c r="NYS45" s="13"/>
      <c r="NYT45" s="13"/>
      <c r="NYU45" s="13"/>
      <c r="NYV45" s="13"/>
      <c r="NYW45" s="13"/>
      <c r="NYX45" s="13"/>
      <c r="NYY45" s="13"/>
      <c r="NYZ45" s="13"/>
      <c r="NZA45" s="13"/>
      <c r="NZB45" s="13"/>
      <c r="NZC45" s="13"/>
      <c r="NZD45" s="13"/>
      <c r="NZE45" s="13"/>
      <c r="NZF45" s="13"/>
      <c r="NZG45" s="13"/>
      <c r="NZH45" s="13"/>
      <c r="NZI45" s="13"/>
      <c r="NZJ45" s="13"/>
      <c r="NZK45" s="13"/>
      <c r="NZL45" s="13"/>
      <c r="NZM45" s="13"/>
      <c r="NZN45" s="13"/>
      <c r="NZO45" s="13"/>
      <c r="NZP45" s="13"/>
      <c r="NZQ45" s="13"/>
      <c r="NZR45" s="13"/>
      <c r="NZS45" s="13"/>
      <c r="NZT45" s="13"/>
      <c r="NZU45" s="13"/>
      <c r="NZV45" s="13"/>
      <c r="NZW45" s="13"/>
      <c r="NZX45" s="13"/>
      <c r="NZY45" s="13"/>
      <c r="NZZ45" s="13"/>
      <c r="OAA45" s="13"/>
      <c r="OAB45" s="13"/>
      <c r="OAC45" s="13"/>
      <c r="OAD45" s="13"/>
      <c r="OAE45" s="13"/>
      <c r="OAF45" s="13"/>
      <c r="OAG45" s="13"/>
      <c r="OAH45" s="13"/>
      <c r="OAI45" s="13"/>
      <c r="OAJ45" s="13"/>
      <c r="OAK45" s="13"/>
      <c r="OAL45" s="13"/>
      <c r="OAM45" s="13"/>
      <c r="OAN45" s="13"/>
      <c r="OAO45" s="13"/>
      <c r="OAP45" s="13"/>
      <c r="OAQ45" s="13"/>
      <c r="OAR45" s="13"/>
      <c r="OAS45" s="13"/>
      <c r="OAT45" s="13"/>
      <c r="OAU45" s="13"/>
      <c r="OAV45" s="13"/>
      <c r="OAW45" s="13"/>
      <c r="OAX45" s="13"/>
      <c r="OAY45" s="13"/>
      <c r="OAZ45" s="13"/>
      <c r="OBA45" s="13"/>
      <c r="OBB45" s="13"/>
      <c r="OBC45" s="13"/>
      <c r="OBD45" s="13"/>
      <c r="OBE45" s="13"/>
      <c r="OBF45" s="13"/>
      <c r="OBG45" s="13"/>
      <c r="OBH45" s="13"/>
      <c r="OBI45" s="13"/>
      <c r="OBJ45" s="13"/>
      <c r="OBK45" s="13"/>
      <c r="OBL45" s="13"/>
      <c r="OBM45" s="13"/>
      <c r="OBN45" s="13"/>
      <c r="OBO45" s="13"/>
      <c r="OBP45" s="13"/>
      <c r="OBQ45" s="13"/>
      <c r="OBR45" s="13"/>
      <c r="OBS45" s="13"/>
      <c r="OBT45" s="13"/>
      <c r="OBU45" s="13"/>
      <c r="OBV45" s="13"/>
      <c r="OBW45" s="13"/>
      <c r="OBX45" s="13"/>
      <c r="OBY45" s="13"/>
      <c r="OBZ45" s="13"/>
      <c r="OCA45" s="13"/>
      <c r="OCB45" s="13"/>
      <c r="OCC45" s="13"/>
      <c r="OCD45" s="13"/>
      <c r="OCE45" s="13"/>
      <c r="OCF45" s="13"/>
      <c r="OCG45" s="13"/>
      <c r="OCH45" s="13"/>
      <c r="OCI45" s="13"/>
      <c r="OCJ45" s="13"/>
      <c r="OCK45" s="13"/>
      <c r="OCL45" s="13"/>
      <c r="OCM45" s="13"/>
      <c r="OCN45" s="13"/>
      <c r="OCO45" s="13"/>
      <c r="OCP45" s="13"/>
      <c r="OCQ45" s="13"/>
      <c r="OCR45" s="13"/>
      <c r="OCS45" s="13"/>
      <c r="OCT45" s="13"/>
      <c r="OCU45" s="13"/>
      <c r="OCV45" s="13"/>
      <c r="OCW45" s="13"/>
      <c r="OCX45" s="13"/>
      <c r="OCY45" s="13"/>
      <c r="OCZ45" s="13"/>
      <c r="ODA45" s="13"/>
      <c r="ODB45" s="13"/>
      <c r="ODC45" s="13"/>
      <c r="ODD45" s="13"/>
      <c r="ODE45" s="13"/>
      <c r="ODF45" s="13"/>
      <c r="ODG45" s="13"/>
      <c r="ODH45" s="13"/>
      <c r="ODI45" s="13"/>
      <c r="ODJ45" s="13"/>
      <c r="ODK45" s="13"/>
      <c r="ODL45" s="13"/>
      <c r="ODM45" s="13"/>
      <c r="ODN45" s="13"/>
      <c r="ODO45" s="13"/>
      <c r="ODP45" s="13"/>
      <c r="ODQ45" s="13"/>
      <c r="ODR45" s="13"/>
      <c r="ODS45" s="13"/>
      <c r="ODT45" s="13"/>
      <c r="ODU45" s="13"/>
      <c r="ODV45" s="13"/>
      <c r="ODW45" s="13"/>
      <c r="ODX45" s="13"/>
      <c r="ODY45" s="13"/>
      <c r="ODZ45" s="13"/>
      <c r="OEA45" s="13"/>
      <c r="OEB45" s="13"/>
      <c r="OEC45" s="13"/>
      <c r="OED45" s="13"/>
      <c r="OEE45" s="13"/>
      <c r="OEF45" s="13"/>
      <c r="OEG45" s="13"/>
      <c r="OEH45" s="13"/>
      <c r="OEI45" s="13"/>
      <c r="OEJ45" s="13"/>
      <c r="OEK45" s="13"/>
      <c r="OEL45" s="13"/>
      <c r="OEM45" s="13"/>
      <c r="OEN45" s="13"/>
      <c r="OEO45" s="13"/>
      <c r="OEP45" s="13"/>
      <c r="OEQ45" s="13"/>
      <c r="OER45" s="13"/>
      <c r="OES45" s="13"/>
      <c r="OET45" s="13"/>
      <c r="OEU45" s="13"/>
      <c r="OEV45" s="13"/>
      <c r="OEW45" s="13"/>
      <c r="OEX45" s="13"/>
      <c r="OEY45" s="13"/>
      <c r="OEZ45" s="13"/>
      <c r="OFA45" s="13"/>
      <c r="OFB45" s="13"/>
      <c r="OFC45" s="13"/>
      <c r="OFD45" s="13"/>
      <c r="OFE45" s="13"/>
      <c r="OFF45" s="13"/>
      <c r="OFG45" s="13"/>
      <c r="OFH45" s="13"/>
      <c r="OFI45" s="13"/>
      <c r="OFJ45" s="13"/>
      <c r="OFK45" s="13"/>
      <c r="OFL45" s="13"/>
      <c r="OFM45" s="13"/>
      <c r="OFN45" s="13"/>
      <c r="OFO45" s="13"/>
      <c r="OFP45" s="13"/>
      <c r="OFQ45" s="13"/>
      <c r="OFR45" s="13"/>
      <c r="OFS45" s="13"/>
      <c r="OFT45" s="13"/>
      <c r="OFU45" s="13"/>
      <c r="OFV45" s="13"/>
      <c r="OFW45" s="13"/>
      <c r="OFX45" s="13"/>
      <c r="OFY45" s="13"/>
      <c r="OFZ45" s="13"/>
      <c r="OGA45" s="13"/>
      <c r="OGB45" s="13"/>
      <c r="OGC45" s="13"/>
      <c r="OGD45" s="13"/>
      <c r="OGE45" s="13"/>
      <c r="OGF45" s="13"/>
      <c r="OGG45" s="13"/>
      <c r="OGH45" s="13"/>
      <c r="OGI45" s="13"/>
      <c r="OGJ45" s="13"/>
      <c r="OGK45" s="13"/>
      <c r="OGL45" s="13"/>
      <c r="OGM45" s="13"/>
      <c r="OGN45" s="13"/>
      <c r="OGO45" s="13"/>
      <c r="OGP45" s="13"/>
      <c r="OGQ45" s="13"/>
      <c r="OGR45" s="13"/>
      <c r="OGS45" s="13"/>
      <c r="OGT45" s="13"/>
      <c r="OGU45" s="13"/>
      <c r="OGV45" s="13"/>
      <c r="OGW45" s="13"/>
      <c r="OGX45" s="13"/>
      <c r="OGY45" s="13"/>
      <c r="OGZ45" s="13"/>
      <c r="OHA45" s="13"/>
      <c r="OHB45" s="13"/>
      <c r="OHC45" s="13"/>
      <c r="OHD45" s="13"/>
      <c r="OHE45" s="13"/>
      <c r="OHF45" s="13"/>
      <c r="OHG45" s="13"/>
      <c r="OHH45" s="13"/>
      <c r="OHI45" s="13"/>
      <c r="OHJ45" s="13"/>
      <c r="OHK45" s="13"/>
      <c r="OHL45" s="13"/>
      <c r="OHM45" s="13"/>
      <c r="OHN45" s="13"/>
      <c r="OHO45" s="13"/>
      <c r="OHP45" s="13"/>
      <c r="OHQ45" s="13"/>
      <c r="OHR45" s="13"/>
      <c r="OHS45" s="13"/>
      <c r="OHT45" s="13"/>
      <c r="OHU45" s="13"/>
      <c r="OHV45" s="13"/>
      <c r="OHW45" s="13"/>
      <c r="OHX45" s="13"/>
      <c r="OHY45" s="13"/>
      <c r="OHZ45" s="13"/>
      <c r="OIA45" s="13"/>
      <c r="OIB45" s="13"/>
      <c r="OIC45" s="13"/>
      <c r="OID45" s="13"/>
      <c r="OIE45" s="13"/>
      <c r="OIF45" s="13"/>
      <c r="OIG45" s="13"/>
      <c r="OIH45" s="13"/>
      <c r="OII45" s="13"/>
      <c r="OIJ45" s="13"/>
      <c r="OIK45" s="13"/>
      <c r="OIL45" s="13"/>
      <c r="OIM45" s="13"/>
      <c r="OIN45" s="13"/>
      <c r="OIO45" s="13"/>
      <c r="OIP45" s="13"/>
      <c r="OIQ45" s="13"/>
      <c r="OIR45" s="13"/>
      <c r="OIS45" s="13"/>
      <c r="OIT45" s="13"/>
      <c r="OIU45" s="13"/>
      <c r="OIV45" s="13"/>
      <c r="OIW45" s="13"/>
      <c r="OIX45" s="13"/>
      <c r="OIY45" s="13"/>
      <c r="OIZ45" s="13"/>
      <c r="OJA45" s="13"/>
      <c r="OJB45" s="13"/>
      <c r="OJC45" s="13"/>
      <c r="OJD45" s="13"/>
      <c r="OJE45" s="13"/>
      <c r="OJF45" s="13"/>
      <c r="OJG45" s="13"/>
      <c r="OJH45" s="13"/>
      <c r="OJI45" s="13"/>
      <c r="OJJ45" s="13"/>
      <c r="OJK45" s="13"/>
      <c r="OJL45" s="13"/>
      <c r="OJM45" s="13"/>
      <c r="OJN45" s="13"/>
      <c r="OJO45" s="13"/>
      <c r="OJP45" s="13"/>
      <c r="OJQ45" s="13"/>
      <c r="OJR45" s="13"/>
      <c r="OJS45" s="13"/>
      <c r="OJT45" s="13"/>
      <c r="OJU45" s="13"/>
      <c r="OJV45" s="13"/>
      <c r="OJW45" s="13"/>
      <c r="OJX45" s="13"/>
      <c r="OJY45" s="13"/>
      <c r="OJZ45" s="13"/>
      <c r="OKA45" s="13"/>
      <c r="OKB45" s="13"/>
      <c r="OKC45" s="13"/>
      <c r="OKD45" s="13"/>
      <c r="OKE45" s="13"/>
      <c r="OKF45" s="13"/>
      <c r="OKG45" s="13"/>
      <c r="OKH45" s="13"/>
      <c r="OKI45" s="13"/>
      <c r="OKJ45" s="13"/>
      <c r="OKK45" s="13"/>
      <c r="OKL45" s="13"/>
      <c r="OKM45" s="13"/>
      <c r="OKN45" s="13"/>
      <c r="OKO45" s="13"/>
      <c r="OKP45" s="13"/>
      <c r="OKQ45" s="13"/>
      <c r="OKR45" s="13"/>
      <c r="OKS45" s="13"/>
      <c r="OKT45" s="13"/>
      <c r="OKU45" s="13"/>
      <c r="OKV45" s="13"/>
      <c r="OKW45" s="13"/>
      <c r="OKX45" s="13"/>
      <c r="OKY45" s="13"/>
      <c r="OKZ45" s="13"/>
      <c r="OLA45" s="13"/>
      <c r="OLB45" s="13"/>
      <c r="OLC45" s="13"/>
      <c r="OLD45" s="13"/>
      <c r="OLE45" s="13"/>
      <c r="OLF45" s="13"/>
      <c r="OLG45" s="13"/>
      <c r="OLH45" s="13"/>
      <c r="OLI45" s="13"/>
      <c r="OLJ45" s="13"/>
      <c r="OLK45" s="13"/>
      <c r="OLL45" s="13"/>
      <c r="OLM45" s="13"/>
      <c r="OLN45" s="13"/>
      <c r="OLO45" s="13"/>
      <c r="OLP45" s="13"/>
      <c r="OLQ45" s="13"/>
      <c r="OLR45" s="13"/>
      <c r="OLS45" s="13"/>
      <c r="OLT45" s="13"/>
      <c r="OLU45" s="13"/>
      <c r="OLV45" s="13"/>
      <c r="OLW45" s="13"/>
      <c r="OLX45" s="13"/>
      <c r="OLY45" s="13"/>
      <c r="OLZ45" s="13"/>
      <c r="OMA45" s="13"/>
      <c r="OMB45" s="13"/>
      <c r="OMC45" s="13"/>
      <c r="OMD45" s="13"/>
      <c r="OME45" s="13"/>
      <c r="OMF45" s="13"/>
      <c r="OMG45" s="13"/>
      <c r="OMH45" s="13"/>
      <c r="OMI45" s="13"/>
      <c r="OMJ45" s="13"/>
      <c r="OMK45" s="13"/>
      <c r="OML45" s="13"/>
      <c r="OMM45" s="13"/>
      <c r="OMN45" s="13"/>
      <c r="OMO45" s="13"/>
      <c r="OMP45" s="13"/>
      <c r="OMQ45" s="13"/>
      <c r="OMR45" s="13"/>
      <c r="OMS45" s="13"/>
      <c r="OMT45" s="13"/>
      <c r="OMU45" s="13"/>
      <c r="OMV45" s="13"/>
      <c r="OMW45" s="13"/>
      <c r="OMX45" s="13"/>
      <c r="OMY45" s="13"/>
      <c r="OMZ45" s="13"/>
      <c r="ONA45" s="13"/>
      <c r="ONB45" s="13"/>
      <c r="ONC45" s="13"/>
      <c r="OND45" s="13"/>
      <c r="ONE45" s="13"/>
      <c r="ONF45" s="13"/>
      <c r="ONG45" s="13"/>
      <c r="ONH45" s="13"/>
      <c r="ONI45" s="13"/>
      <c r="ONJ45" s="13"/>
      <c r="ONK45" s="13"/>
      <c r="ONL45" s="13"/>
      <c r="ONM45" s="13"/>
      <c r="ONN45" s="13"/>
      <c r="ONO45" s="13"/>
      <c r="ONP45" s="13"/>
      <c r="ONQ45" s="13"/>
      <c r="ONR45" s="13"/>
      <c r="ONS45" s="13"/>
      <c r="ONT45" s="13"/>
      <c r="ONU45" s="13"/>
      <c r="ONV45" s="13"/>
      <c r="ONW45" s="13"/>
      <c r="ONX45" s="13"/>
      <c r="ONY45" s="13"/>
      <c r="ONZ45" s="13"/>
      <c r="OOA45" s="13"/>
      <c r="OOB45" s="13"/>
      <c r="OOC45" s="13"/>
      <c r="OOD45" s="13"/>
      <c r="OOE45" s="13"/>
      <c r="OOF45" s="13"/>
      <c r="OOG45" s="13"/>
      <c r="OOH45" s="13"/>
      <c r="OOI45" s="13"/>
      <c r="OOJ45" s="13"/>
      <c r="OOK45" s="13"/>
      <c r="OOL45" s="13"/>
      <c r="OOM45" s="13"/>
      <c r="OON45" s="13"/>
      <c r="OOO45" s="13"/>
      <c r="OOP45" s="13"/>
      <c r="OOQ45" s="13"/>
      <c r="OOR45" s="13"/>
      <c r="OOS45" s="13"/>
      <c r="OOT45" s="13"/>
      <c r="OOU45" s="13"/>
      <c r="OOV45" s="13"/>
      <c r="OOW45" s="13"/>
      <c r="OOX45" s="13"/>
      <c r="OOY45" s="13"/>
      <c r="OOZ45" s="13"/>
      <c r="OPA45" s="13"/>
      <c r="OPB45" s="13"/>
      <c r="OPC45" s="13"/>
      <c r="OPD45" s="13"/>
      <c r="OPE45" s="13"/>
      <c r="OPF45" s="13"/>
      <c r="OPG45" s="13"/>
      <c r="OPH45" s="13"/>
      <c r="OPI45" s="13"/>
      <c r="OPJ45" s="13"/>
      <c r="OPK45" s="13"/>
      <c r="OPL45" s="13"/>
      <c r="OPM45" s="13"/>
      <c r="OPN45" s="13"/>
      <c r="OPO45" s="13"/>
      <c r="OPP45" s="13"/>
      <c r="OPQ45" s="13"/>
      <c r="OPR45" s="13"/>
      <c r="OPS45" s="13"/>
      <c r="OPT45" s="13"/>
      <c r="OPU45" s="13"/>
      <c r="OPV45" s="13"/>
      <c r="OPW45" s="13"/>
      <c r="OPX45" s="13"/>
      <c r="OPY45" s="13"/>
      <c r="OPZ45" s="13"/>
      <c r="OQA45" s="13"/>
      <c r="OQB45" s="13"/>
      <c r="OQC45" s="13"/>
      <c r="OQD45" s="13"/>
      <c r="OQE45" s="13"/>
      <c r="OQF45" s="13"/>
      <c r="OQG45" s="13"/>
      <c r="OQH45" s="13"/>
      <c r="OQI45" s="13"/>
      <c r="OQJ45" s="13"/>
      <c r="OQK45" s="13"/>
      <c r="OQL45" s="13"/>
      <c r="OQM45" s="13"/>
      <c r="OQN45" s="13"/>
      <c r="OQO45" s="13"/>
      <c r="OQP45" s="13"/>
      <c r="OQQ45" s="13"/>
      <c r="OQR45" s="13"/>
      <c r="OQS45" s="13"/>
      <c r="OQT45" s="13"/>
      <c r="OQU45" s="13"/>
      <c r="OQV45" s="13"/>
      <c r="OQW45" s="13"/>
      <c r="OQX45" s="13"/>
      <c r="OQY45" s="13"/>
      <c r="OQZ45" s="13"/>
      <c r="ORA45" s="13"/>
      <c r="ORB45" s="13"/>
      <c r="ORC45" s="13"/>
      <c r="ORD45" s="13"/>
      <c r="ORE45" s="13"/>
      <c r="ORF45" s="13"/>
      <c r="ORG45" s="13"/>
      <c r="ORH45" s="13"/>
      <c r="ORI45" s="13"/>
      <c r="ORJ45" s="13"/>
      <c r="ORK45" s="13"/>
      <c r="ORL45" s="13"/>
      <c r="ORM45" s="13"/>
      <c r="ORN45" s="13"/>
      <c r="ORO45" s="13"/>
      <c r="ORP45" s="13"/>
      <c r="ORQ45" s="13"/>
      <c r="ORR45" s="13"/>
      <c r="ORS45" s="13"/>
      <c r="ORT45" s="13"/>
      <c r="ORU45" s="13"/>
      <c r="ORV45" s="13"/>
      <c r="ORW45" s="13"/>
      <c r="ORX45" s="13"/>
      <c r="ORY45" s="13"/>
      <c r="ORZ45" s="13"/>
      <c r="OSA45" s="13"/>
      <c r="OSB45" s="13"/>
      <c r="OSC45" s="13"/>
      <c r="OSD45" s="13"/>
      <c r="OSE45" s="13"/>
      <c r="OSF45" s="13"/>
      <c r="OSG45" s="13"/>
      <c r="OSH45" s="13"/>
      <c r="OSI45" s="13"/>
      <c r="OSJ45" s="13"/>
      <c r="OSK45" s="13"/>
      <c r="OSL45" s="13"/>
      <c r="OSM45" s="13"/>
      <c r="OSN45" s="13"/>
      <c r="OSO45" s="13"/>
      <c r="OSP45" s="13"/>
      <c r="OSQ45" s="13"/>
      <c r="OSR45" s="13"/>
      <c r="OSS45" s="13"/>
      <c r="OST45" s="13"/>
      <c r="OSU45" s="13"/>
      <c r="OSV45" s="13"/>
      <c r="OSW45" s="13"/>
      <c r="OSX45" s="13"/>
      <c r="OSY45" s="13"/>
      <c r="OSZ45" s="13"/>
      <c r="OTA45" s="13"/>
      <c r="OTB45" s="13"/>
      <c r="OTC45" s="13"/>
      <c r="OTD45" s="13"/>
      <c r="OTE45" s="13"/>
      <c r="OTF45" s="13"/>
      <c r="OTG45" s="13"/>
      <c r="OTH45" s="13"/>
      <c r="OTI45" s="13"/>
      <c r="OTJ45" s="13"/>
      <c r="OTK45" s="13"/>
      <c r="OTL45" s="13"/>
      <c r="OTM45" s="13"/>
      <c r="OTN45" s="13"/>
      <c r="OTO45" s="13"/>
      <c r="OTP45" s="13"/>
      <c r="OTQ45" s="13"/>
      <c r="OTR45" s="13"/>
      <c r="OTS45" s="13"/>
      <c r="OTT45" s="13"/>
      <c r="OTU45" s="13"/>
      <c r="OTV45" s="13"/>
      <c r="OTW45" s="13"/>
      <c r="OTX45" s="13"/>
      <c r="OTY45" s="13"/>
      <c r="OTZ45" s="13"/>
      <c r="OUA45" s="13"/>
      <c r="OUB45" s="13"/>
      <c r="OUC45" s="13"/>
      <c r="OUD45" s="13"/>
      <c r="OUE45" s="13"/>
      <c r="OUF45" s="13"/>
      <c r="OUG45" s="13"/>
      <c r="OUH45" s="13"/>
      <c r="OUI45" s="13"/>
      <c r="OUJ45" s="13"/>
      <c r="OUK45" s="13"/>
      <c r="OUL45" s="13"/>
      <c r="OUM45" s="13"/>
      <c r="OUN45" s="13"/>
      <c r="OUO45" s="13"/>
      <c r="OUP45" s="13"/>
      <c r="OUQ45" s="13"/>
      <c r="OUR45" s="13"/>
      <c r="OUS45" s="13"/>
      <c r="OUT45" s="13"/>
      <c r="OUU45" s="13"/>
      <c r="OUV45" s="13"/>
      <c r="OUW45" s="13"/>
      <c r="OUX45" s="13"/>
      <c r="OUY45" s="13"/>
      <c r="OUZ45" s="13"/>
      <c r="OVA45" s="13"/>
      <c r="OVB45" s="13"/>
      <c r="OVC45" s="13"/>
      <c r="OVD45" s="13"/>
      <c r="OVE45" s="13"/>
      <c r="OVF45" s="13"/>
      <c r="OVG45" s="13"/>
      <c r="OVH45" s="13"/>
      <c r="OVI45" s="13"/>
      <c r="OVJ45" s="13"/>
      <c r="OVK45" s="13"/>
      <c r="OVL45" s="13"/>
      <c r="OVM45" s="13"/>
      <c r="OVN45" s="13"/>
      <c r="OVO45" s="13"/>
      <c r="OVP45" s="13"/>
      <c r="OVQ45" s="13"/>
      <c r="OVR45" s="13"/>
      <c r="OVS45" s="13"/>
      <c r="OVT45" s="13"/>
      <c r="OVU45" s="13"/>
      <c r="OVV45" s="13"/>
      <c r="OVW45" s="13"/>
      <c r="OVX45" s="13"/>
      <c r="OVY45" s="13"/>
      <c r="OVZ45" s="13"/>
      <c r="OWA45" s="13"/>
      <c r="OWB45" s="13"/>
      <c r="OWC45" s="13"/>
      <c r="OWD45" s="13"/>
      <c r="OWE45" s="13"/>
      <c r="OWF45" s="13"/>
      <c r="OWG45" s="13"/>
      <c r="OWH45" s="13"/>
      <c r="OWI45" s="13"/>
      <c r="OWJ45" s="13"/>
      <c r="OWK45" s="13"/>
      <c r="OWL45" s="13"/>
      <c r="OWM45" s="13"/>
      <c r="OWN45" s="13"/>
      <c r="OWO45" s="13"/>
      <c r="OWP45" s="13"/>
      <c r="OWQ45" s="13"/>
      <c r="OWR45" s="13"/>
      <c r="OWS45" s="13"/>
      <c r="OWT45" s="13"/>
      <c r="OWU45" s="13"/>
      <c r="OWV45" s="13"/>
      <c r="OWW45" s="13"/>
      <c r="OWX45" s="13"/>
      <c r="OWY45" s="13"/>
      <c r="OWZ45" s="13"/>
      <c r="OXA45" s="13"/>
      <c r="OXB45" s="13"/>
      <c r="OXC45" s="13"/>
      <c r="OXD45" s="13"/>
      <c r="OXE45" s="13"/>
      <c r="OXF45" s="13"/>
      <c r="OXG45" s="13"/>
      <c r="OXH45" s="13"/>
      <c r="OXI45" s="13"/>
      <c r="OXJ45" s="13"/>
      <c r="OXK45" s="13"/>
      <c r="OXL45" s="13"/>
      <c r="OXM45" s="13"/>
      <c r="OXN45" s="13"/>
      <c r="OXO45" s="13"/>
      <c r="OXP45" s="13"/>
      <c r="OXQ45" s="13"/>
      <c r="OXR45" s="13"/>
      <c r="OXS45" s="13"/>
      <c r="OXT45" s="13"/>
      <c r="OXU45" s="13"/>
      <c r="OXV45" s="13"/>
      <c r="OXW45" s="13"/>
      <c r="OXX45" s="13"/>
      <c r="OXY45" s="13"/>
      <c r="OXZ45" s="13"/>
      <c r="OYA45" s="13"/>
      <c r="OYB45" s="13"/>
      <c r="OYC45" s="13"/>
      <c r="OYD45" s="13"/>
      <c r="OYE45" s="13"/>
      <c r="OYF45" s="13"/>
      <c r="OYG45" s="13"/>
      <c r="OYH45" s="13"/>
      <c r="OYI45" s="13"/>
      <c r="OYJ45" s="13"/>
      <c r="OYK45" s="13"/>
      <c r="OYL45" s="13"/>
      <c r="OYM45" s="13"/>
      <c r="OYN45" s="13"/>
      <c r="OYO45" s="13"/>
      <c r="OYP45" s="13"/>
      <c r="OYQ45" s="13"/>
      <c r="OYR45" s="13"/>
      <c r="OYS45" s="13"/>
      <c r="OYT45" s="13"/>
      <c r="OYU45" s="13"/>
      <c r="OYV45" s="13"/>
      <c r="OYW45" s="13"/>
      <c r="OYX45" s="13"/>
      <c r="OYY45" s="13"/>
      <c r="OYZ45" s="13"/>
      <c r="OZA45" s="13"/>
      <c r="OZB45" s="13"/>
      <c r="OZC45" s="13"/>
      <c r="OZD45" s="13"/>
      <c r="OZE45" s="13"/>
      <c r="OZF45" s="13"/>
      <c r="OZG45" s="13"/>
      <c r="OZH45" s="13"/>
      <c r="OZI45" s="13"/>
      <c r="OZJ45" s="13"/>
      <c r="OZK45" s="13"/>
      <c r="OZL45" s="13"/>
      <c r="OZM45" s="13"/>
      <c r="OZN45" s="13"/>
      <c r="OZO45" s="13"/>
      <c r="OZP45" s="13"/>
      <c r="OZQ45" s="13"/>
      <c r="OZR45" s="13"/>
      <c r="OZS45" s="13"/>
      <c r="OZT45" s="13"/>
      <c r="OZU45" s="13"/>
      <c r="OZV45" s="13"/>
      <c r="OZW45" s="13"/>
      <c r="OZX45" s="13"/>
      <c r="OZY45" s="13"/>
      <c r="OZZ45" s="13"/>
      <c r="PAA45" s="13"/>
      <c r="PAB45" s="13"/>
      <c r="PAC45" s="13"/>
      <c r="PAD45" s="13"/>
      <c r="PAE45" s="13"/>
      <c r="PAF45" s="13"/>
      <c r="PAG45" s="13"/>
      <c r="PAH45" s="13"/>
      <c r="PAI45" s="13"/>
      <c r="PAJ45" s="13"/>
      <c r="PAK45" s="13"/>
      <c r="PAL45" s="13"/>
      <c r="PAM45" s="13"/>
      <c r="PAN45" s="13"/>
      <c r="PAO45" s="13"/>
      <c r="PAP45" s="13"/>
      <c r="PAQ45" s="13"/>
      <c r="PAR45" s="13"/>
      <c r="PAS45" s="13"/>
      <c r="PAT45" s="13"/>
      <c r="PAU45" s="13"/>
      <c r="PAV45" s="13"/>
      <c r="PAW45" s="13"/>
      <c r="PAX45" s="13"/>
      <c r="PAY45" s="13"/>
      <c r="PAZ45" s="13"/>
      <c r="PBA45" s="13"/>
      <c r="PBB45" s="13"/>
      <c r="PBC45" s="13"/>
      <c r="PBD45" s="13"/>
      <c r="PBE45" s="13"/>
      <c r="PBF45" s="13"/>
      <c r="PBG45" s="13"/>
      <c r="PBH45" s="13"/>
      <c r="PBI45" s="13"/>
      <c r="PBJ45" s="13"/>
      <c r="PBK45" s="13"/>
      <c r="PBL45" s="13"/>
      <c r="PBM45" s="13"/>
      <c r="PBN45" s="13"/>
      <c r="PBO45" s="13"/>
      <c r="PBP45" s="13"/>
      <c r="PBQ45" s="13"/>
      <c r="PBR45" s="13"/>
      <c r="PBS45" s="13"/>
      <c r="PBT45" s="13"/>
      <c r="PBU45" s="13"/>
      <c r="PBV45" s="13"/>
      <c r="PBW45" s="13"/>
      <c r="PBX45" s="13"/>
      <c r="PBY45" s="13"/>
      <c r="PBZ45" s="13"/>
      <c r="PCA45" s="13"/>
      <c r="PCB45" s="13"/>
      <c r="PCC45" s="13"/>
      <c r="PCD45" s="13"/>
      <c r="PCE45" s="13"/>
      <c r="PCF45" s="13"/>
      <c r="PCG45" s="13"/>
      <c r="PCH45" s="13"/>
      <c r="PCI45" s="13"/>
      <c r="PCJ45" s="13"/>
      <c r="PCK45" s="13"/>
      <c r="PCL45" s="13"/>
      <c r="PCM45" s="13"/>
      <c r="PCN45" s="13"/>
      <c r="PCO45" s="13"/>
      <c r="PCP45" s="13"/>
      <c r="PCQ45" s="13"/>
      <c r="PCR45" s="13"/>
      <c r="PCS45" s="13"/>
      <c r="PCT45" s="13"/>
      <c r="PCU45" s="13"/>
      <c r="PCV45" s="13"/>
      <c r="PCW45" s="13"/>
      <c r="PCX45" s="13"/>
      <c r="PCY45" s="13"/>
      <c r="PCZ45" s="13"/>
      <c r="PDA45" s="13"/>
      <c r="PDB45" s="13"/>
      <c r="PDC45" s="13"/>
      <c r="PDD45" s="13"/>
      <c r="PDE45" s="13"/>
      <c r="PDF45" s="13"/>
      <c r="PDG45" s="13"/>
      <c r="PDH45" s="13"/>
      <c r="PDI45" s="13"/>
      <c r="PDJ45" s="13"/>
      <c r="PDK45" s="13"/>
      <c r="PDL45" s="13"/>
      <c r="PDM45" s="13"/>
      <c r="PDN45" s="13"/>
      <c r="PDO45" s="13"/>
      <c r="PDP45" s="13"/>
      <c r="PDQ45" s="13"/>
      <c r="PDR45" s="13"/>
      <c r="PDS45" s="13"/>
      <c r="PDT45" s="13"/>
      <c r="PDU45" s="13"/>
      <c r="PDV45" s="13"/>
      <c r="PDW45" s="13"/>
      <c r="PDX45" s="13"/>
      <c r="PDY45" s="13"/>
      <c r="PDZ45" s="13"/>
      <c r="PEA45" s="13"/>
      <c r="PEB45" s="13"/>
      <c r="PEC45" s="13"/>
      <c r="PED45" s="13"/>
      <c r="PEE45" s="13"/>
      <c r="PEF45" s="13"/>
      <c r="PEG45" s="13"/>
      <c r="PEH45" s="13"/>
      <c r="PEI45" s="13"/>
      <c r="PEJ45" s="13"/>
      <c r="PEK45" s="13"/>
      <c r="PEL45" s="13"/>
      <c r="PEM45" s="13"/>
      <c r="PEN45" s="13"/>
      <c r="PEO45" s="13"/>
      <c r="PEP45" s="13"/>
      <c r="PEQ45" s="13"/>
      <c r="PER45" s="13"/>
      <c r="PES45" s="13"/>
      <c r="PET45" s="13"/>
      <c r="PEU45" s="13"/>
      <c r="PEV45" s="13"/>
      <c r="PEW45" s="13"/>
      <c r="PEX45" s="13"/>
      <c r="PEY45" s="13"/>
      <c r="PEZ45" s="13"/>
      <c r="PFA45" s="13"/>
      <c r="PFB45" s="13"/>
      <c r="PFC45" s="13"/>
      <c r="PFD45" s="13"/>
      <c r="PFE45" s="13"/>
      <c r="PFF45" s="13"/>
      <c r="PFG45" s="13"/>
      <c r="PFH45" s="13"/>
      <c r="PFI45" s="13"/>
      <c r="PFJ45" s="13"/>
      <c r="PFK45" s="13"/>
      <c r="PFL45" s="13"/>
      <c r="PFM45" s="13"/>
      <c r="PFN45" s="13"/>
      <c r="PFO45" s="13"/>
      <c r="PFP45" s="13"/>
      <c r="PFQ45" s="13"/>
      <c r="PFR45" s="13"/>
      <c r="PFS45" s="13"/>
      <c r="PFT45" s="13"/>
      <c r="PFU45" s="13"/>
      <c r="PFV45" s="13"/>
      <c r="PFW45" s="13"/>
      <c r="PFX45" s="13"/>
      <c r="PFY45" s="13"/>
      <c r="PFZ45" s="13"/>
      <c r="PGA45" s="13"/>
      <c r="PGB45" s="13"/>
      <c r="PGC45" s="13"/>
      <c r="PGD45" s="13"/>
      <c r="PGE45" s="13"/>
      <c r="PGF45" s="13"/>
      <c r="PGG45" s="13"/>
      <c r="PGH45" s="13"/>
      <c r="PGI45" s="13"/>
      <c r="PGJ45" s="13"/>
      <c r="PGK45" s="13"/>
      <c r="PGL45" s="13"/>
      <c r="PGM45" s="13"/>
      <c r="PGN45" s="13"/>
      <c r="PGO45" s="13"/>
      <c r="PGP45" s="13"/>
      <c r="PGQ45" s="13"/>
      <c r="PGR45" s="13"/>
      <c r="PGS45" s="13"/>
      <c r="PGT45" s="13"/>
      <c r="PGU45" s="13"/>
      <c r="PGV45" s="13"/>
      <c r="PGW45" s="13"/>
      <c r="PGX45" s="13"/>
      <c r="PGY45" s="13"/>
      <c r="PGZ45" s="13"/>
      <c r="PHA45" s="13"/>
      <c r="PHB45" s="13"/>
      <c r="PHC45" s="13"/>
      <c r="PHD45" s="13"/>
      <c r="PHE45" s="13"/>
      <c r="PHF45" s="13"/>
      <c r="PHG45" s="13"/>
      <c r="PHH45" s="13"/>
      <c r="PHI45" s="13"/>
      <c r="PHJ45" s="13"/>
      <c r="PHK45" s="13"/>
      <c r="PHL45" s="13"/>
      <c r="PHM45" s="13"/>
      <c r="PHN45" s="13"/>
      <c r="PHO45" s="13"/>
      <c r="PHP45" s="13"/>
      <c r="PHQ45" s="13"/>
      <c r="PHR45" s="13"/>
      <c r="PHS45" s="13"/>
      <c r="PHT45" s="13"/>
      <c r="PHU45" s="13"/>
      <c r="PHV45" s="13"/>
      <c r="PHW45" s="13"/>
      <c r="PHX45" s="13"/>
      <c r="PHY45" s="13"/>
      <c r="PHZ45" s="13"/>
      <c r="PIA45" s="13"/>
      <c r="PIB45" s="13"/>
      <c r="PIC45" s="13"/>
      <c r="PID45" s="13"/>
      <c r="PIE45" s="13"/>
      <c r="PIF45" s="13"/>
      <c r="PIG45" s="13"/>
      <c r="PIH45" s="13"/>
      <c r="PII45" s="13"/>
      <c r="PIJ45" s="13"/>
      <c r="PIK45" s="13"/>
      <c r="PIL45" s="13"/>
      <c r="PIM45" s="13"/>
      <c r="PIN45" s="13"/>
      <c r="PIO45" s="13"/>
      <c r="PIP45" s="13"/>
      <c r="PIQ45" s="13"/>
      <c r="PIR45" s="13"/>
      <c r="PIS45" s="13"/>
      <c r="PIT45" s="13"/>
      <c r="PIU45" s="13"/>
      <c r="PIV45" s="13"/>
      <c r="PIW45" s="13"/>
      <c r="PIX45" s="13"/>
      <c r="PIY45" s="13"/>
      <c r="PIZ45" s="13"/>
      <c r="PJA45" s="13"/>
      <c r="PJB45" s="13"/>
      <c r="PJC45" s="13"/>
      <c r="PJD45" s="13"/>
      <c r="PJE45" s="13"/>
      <c r="PJF45" s="13"/>
      <c r="PJG45" s="13"/>
      <c r="PJH45" s="13"/>
      <c r="PJI45" s="13"/>
      <c r="PJJ45" s="13"/>
      <c r="PJK45" s="13"/>
      <c r="PJL45" s="13"/>
      <c r="PJM45" s="13"/>
      <c r="PJN45" s="13"/>
      <c r="PJO45" s="13"/>
      <c r="PJP45" s="13"/>
      <c r="PJQ45" s="13"/>
      <c r="PJR45" s="13"/>
      <c r="PJS45" s="13"/>
      <c r="PJT45" s="13"/>
      <c r="PJU45" s="13"/>
      <c r="PJV45" s="13"/>
      <c r="PJW45" s="13"/>
      <c r="PJX45" s="13"/>
      <c r="PJY45" s="13"/>
      <c r="PJZ45" s="13"/>
      <c r="PKA45" s="13"/>
      <c r="PKB45" s="13"/>
      <c r="PKC45" s="13"/>
      <c r="PKD45" s="13"/>
      <c r="PKE45" s="13"/>
      <c r="PKF45" s="13"/>
      <c r="PKG45" s="13"/>
      <c r="PKH45" s="13"/>
      <c r="PKI45" s="13"/>
      <c r="PKJ45" s="13"/>
      <c r="PKK45" s="13"/>
      <c r="PKL45" s="13"/>
      <c r="PKM45" s="13"/>
      <c r="PKN45" s="13"/>
      <c r="PKO45" s="13"/>
      <c r="PKP45" s="13"/>
      <c r="PKQ45" s="13"/>
      <c r="PKR45" s="13"/>
      <c r="PKS45" s="13"/>
      <c r="PKT45" s="13"/>
      <c r="PKU45" s="13"/>
      <c r="PKV45" s="13"/>
      <c r="PKW45" s="13"/>
      <c r="PKX45" s="13"/>
      <c r="PKY45" s="13"/>
      <c r="PKZ45" s="13"/>
      <c r="PLA45" s="13"/>
      <c r="PLB45" s="13"/>
      <c r="PLC45" s="13"/>
      <c r="PLD45" s="13"/>
      <c r="PLE45" s="13"/>
      <c r="PLF45" s="13"/>
      <c r="PLG45" s="13"/>
      <c r="PLH45" s="13"/>
      <c r="PLI45" s="13"/>
      <c r="PLJ45" s="13"/>
      <c r="PLK45" s="13"/>
      <c r="PLL45" s="13"/>
      <c r="PLM45" s="13"/>
      <c r="PLN45" s="13"/>
      <c r="PLO45" s="13"/>
      <c r="PLP45" s="13"/>
      <c r="PLQ45" s="13"/>
      <c r="PLR45" s="13"/>
      <c r="PLS45" s="13"/>
      <c r="PLT45" s="13"/>
      <c r="PLU45" s="13"/>
      <c r="PLV45" s="13"/>
      <c r="PLW45" s="13"/>
      <c r="PLX45" s="13"/>
      <c r="PLY45" s="13"/>
      <c r="PLZ45" s="13"/>
      <c r="PMA45" s="13"/>
      <c r="PMB45" s="13"/>
      <c r="PMC45" s="13"/>
      <c r="PMD45" s="13"/>
      <c r="PME45" s="13"/>
      <c r="PMF45" s="13"/>
      <c r="PMG45" s="13"/>
      <c r="PMH45" s="13"/>
      <c r="PMI45" s="13"/>
      <c r="PMJ45" s="13"/>
      <c r="PMK45" s="13"/>
      <c r="PML45" s="13"/>
      <c r="PMM45" s="13"/>
      <c r="PMN45" s="13"/>
      <c r="PMO45" s="13"/>
      <c r="PMP45" s="13"/>
      <c r="PMQ45" s="13"/>
      <c r="PMR45" s="13"/>
      <c r="PMS45" s="13"/>
      <c r="PMT45" s="13"/>
      <c r="PMU45" s="13"/>
      <c r="PMV45" s="13"/>
      <c r="PMW45" s="13"/>
      <c r="PMX45" s="13"/>
      <c r="PMY45" s="13"/>
      <c r="PMZ45" s="13"/>
      <c r="PNA45" s="13"/>
      <c r="PNB45" s="13"/>
      <c r="PNC45" s="13"/>
      <c r="PND45" s="13"/>
      <c r="PNE45" s="13"/>
      <c r="PNF45" s="13"/>
      <c r="PNG45" s="13"/>
      <c r="PNH45" s="13"/>
      <c r="PNI45" s="13"/>
      <c r="PNJ45" s="13"/>
      <c r="PNK45" s="13"/>
      <c r="PNL45" s="13"/>
      <c r="PNM45" s="13"/>
      <c r="PNN45" s="13"/>
      <c r="PNO45" s="13"/>
      <c r="PNP45" s="13"/>
      <c r="PNQ45" s="13"/>
      <c r="PNR45" s="13"/>
      <c r="PNS45" s="13"/>
      <c r="PNT45" s="13"/>
      <c r="PNU45" s="13"/>
      <c r="PNV45" s="13"/>
      <c r="PNW45" s="13"/>
      <c r="PNX45" s="13"/>
      <c r="PNY45" s="13"/>
      <c r="PNZ45" s="13"/>
      <c r="POA45" s="13"/>
      <c r="POB45" s="13"/>
      <c r="POC45" s="13"/>
      <c r="POD45" s="13"/>
      <c r="POE45" s="13"/>
      <c r="POF45" s="13"/>
      <c r="POG45" s="13"/>
      <c r="POH45" s="13"/>
      <c r="POI45" s="13"/>
      <c r="POJ45" s="13"/>
      <c r="POK45" s="13"/>
      <c r="POL45" s="13"/>
      <c r="POM45" s="13"/>
      <c r="PON45" s="13"/>
      <c r="POO45" s="13"/>
      <c r="POP45" s="13"/>
      <c r="POQ45" s="13"/>
      <c r="POR45" s="13"/>
      <c r="POS45" s="13"/>
      <c r="POT45" s="13"/>
      <c r="POU45" s="13"/>
      <c r="POV45" s="13"/>
      <c r="POW45" s="13"/>
      <c r="POX45" s="13"/>
      <c r="POY45" s="13"/>
      <c r="POZ45" s="13"/>
      <c r="PPA45" s="13"/>
      <c r="PPB45" s="13"/>
      <c r="PPC45" s="13"/>
      <c r="PPD45" s="13"/>
      <c r="PPE45" s="13"/>
      <c r="PPF45" s="13"/>
      <c r="PPG45" s="13"/>
      <c r="PPH45" s="13"/>
      <c r="PPI45" s="13"/>
      <c r="PPJ45" s="13"/>
      <c r="PPK45" s="13"/>
      <c r="PPL45" s="13"/>
      <c r="PPM45" s="13"/>
      <c r="PPN45" s="13"/>
      <c r="PPO45" s="13"/>
      <c r="PPP45" s="13"/>
      <c r="PPQ45" s="13"/>
      <c r="PPR45" s="13"/>
      <c r="PPS45" s="13"/>
      <c r="PPT45" s="13"/>
      <c r="PPU45" s="13"/>
      <c r="PPV45" s="13"/>
      <c r="PPW45" s="13"/>
      <c r="PPX45" s="13"/>
      <c r="PPY45" s="13"/>
      <c r="PPZ45" s="13"/>
      <c r="PQA45" s="13"/>
      <c r="PQB45" s="13"/>
      <c r="PQC45" s="13"/>
      <c r="PQD45" s="13"/>
      <c r="PQE45" s="13"/>
      <c r="PQF45" s="13"/>
      <c r="PQG45" s="13"/>
      <c r="PQH45" s="13"/>
      <c r="PQI45" s="13"/>
      <c r="PQJ45" s="13"/>
      <c r="PQK45" s="13"/>
      <c r="PQL45" s="13"/>
      <c r="PQM45" s="13"/>
      <c r="PQN45" s="13"/>
      <c r="PQO45" s="13"/>
      <c r="PQP45" s="13"/>
      <c r="PQQ45" s="13"/>
      <c r="PQR45" s="13"/>
      <c r="PQS45" s="13"/>
      <c r="PQT45" s="13"/>
      <c r="PQU45" s="13"/>
      <c r="PQV45" s="13"/>
      <c r="PQW45" s="13"/>
      <c r="PQX45" s="13"/>
      <c r="PQY45" s="13"/>
      <c r="PQZ45" s="13"/>
      <c r="PRA45" s="13"/>
      <c r="PRB45" s="13"/>
      <c r="PRC45" s="13"/>
      <c r="PRD45" s="13"/>
      <c r="PRE45" s="13"/>
      <c r="PRF45" s="13"/>
      <c r="PRG45" s="13"/>
      <c r="PRH45" s="13"/>
      <c r="PRI45" s="13"/>
      <c r="PRJ45" s="13"/>
      <c r="PRK45" s="13"/>
      <c r="PRL45" s="13"/>
      <c r="PRM45" s="13"/>
      <c r="PRN45" s="13"/>
      <c r="PRO45" s="13"/>
      <c r="PRP45" s="13"/>
      <c r="PRQ45" s="13"/>
      <c r="PRR45" s="13"/>
      <c r="PRS45" s="13"/>
      <c r="PRT45" s="13"/>
      <c r="PRU45" s="13"/>
      <c r="PRV45" s="13"/>
      <c r="PRW45" s="13"/>
      <c r="PRX45" s="13"/>
      <c r="PRY45" s="13"/>
      <c r="PRZ45" s="13"/>
      <c r="PSA45" s="13"/>
      <c r="PSB45" s="13"/>
      <c r="PSC45" s="13"/>
      <c r="PSD45" s="13"/>
      <c r="PSE45" s="13"/>
      <c r="PSF45" s="13"/>
      <c r="PSG45" s="13"/>
      <c r="PSH45" s="13"/>
      <c r="PSI45" s="13"/>
      <c r="PSJ45" s="13"/>
      <c r="PSK45" s="13"/>
      <c r="PSL45" s="13"/>
      <c r="PSM45" s="13"/>
      <c r="PSN45" s="13"/>
      <c r="PSO45" s="13"/>
      <c r="PSP45" s="13"/>
      <c r="PSQ45" s="13"/>
      <c r="PSR45" s="13"/>
      <c r="PSS45" s="13"/>
      <c r="PST45" s="13"/>
      <c r="PSU45" s="13"/>
      <c r="PSV45" s="13"/>
      <c r="PSW45" s="13"/>
      <c r="PSX45" s="13"/>
      <c r="PSY45" s="13"/>
      <c r="PSZ45" s="13"/>
      <c r="PTA45" s="13"/>
      <c r="PTB45" s="13"/>
      <c r="PTC45" s="13"/>
      <c r="PTD45" s="13"/>
      <c r="PTE45" s="13"/>
      <c r="PTF45" s="13"/>
      <c r="PTG45" s="13"/>
      <c r="PTH45" s="13"/>
      <c r="PTI45" s="13"/>
      <c r="PTJ45" s="13"/>
      <c r="PTK45" s="13"/>
      <c r="PTL45" s="13"/>
      <c r="PTM45" s="13"/>
      <c r="PTN45" s="13"/>
      <c r="PTO45" s="13"/>
      <c r="PTP45" s="13"/>
      <c r="PTQ45" s="13"/>
      <c r="PTR45" s="13"/>
      <c r="PTS45" s="13"/>
      <c r="PTT45" s="13"/>
      <c r="PTU45" s="13"/>
      <c r="PTV45" s="13"/>
      <c r="PTW45" s="13"/>
      <c r="PTX45" s="13"/>
      <c r="PTY45" s="13"/>
      <c r="PTZ45" s="13"/>
      <c r="PUA45" s="13"/>
      <c r="PUB45" s="13"/>
      <c r="PUC45" s="13"/>
      <c r="PUD45" s="13"/>
      <c r="PUE45" s="13"/>
      <c r="PUF45" s="13"/>
      <c r="PUG45" s="13"/>
      <c r="PUH45" s="13"/>
      <c r="PUI45" s="13"/>
      <c r="PUJ45" s="13"/>
      <c r="PUK45" s="13"/>
      <c r="PUL45" s="13"/>
      <c r="PUM45" s="13"/>
      <c r="PUN45" s="13"/>
      <c r="PUO45" s="13"/>
      <c r="PUP45" s="13"/>
      <c r="PUQ45" s="13"/>
      <c r="PUR45" s="13"/>
      <c r="PUS45" s="13"/>
      <c r="PUT45" s="13"/>
      <c r="PUU45" s="13"/>
      <c r="PUV45" s="13"/>
      <c r="PUW45" s="13"/>
      <c r="PUX45" s="13"/>
      <c r="PUY45" s="13"/>
      <c r="PUZ45" s="13"/>
      <c r="PVA45" s="13"/>
      <c r="PVB45" s="13"/>
      <c r="PVC45" s="13"/>
      <c r="PVD45" s="13"/>
      <c r="PVE45" s="13"/>
      <c r="PVF45" s="13"/>
      <c r="PVG45" s="13"/>
      <c r="PVH45" s="13"/>
      <c r="PVI45" s="13"/>
      <c r="PVJ45" s="13"/>
      <c r="PVK45" s="13"/>
      <c r="PVL45" s="13"/>
      <c r="PVM45" s="13"/>
      <c r="PVN45" s="13"/>
      <c r="PVO45" s="13"/>
      <c r="PVP45" s="13"/>
      <c r="PVQ45" s="13"/>
      <c r="PVR45" s="13"/>
      <c r="PVS45" s="13"/>
      <c r="PVT45" s="13"/>
      <c r="PVU45" s="13"/>
      <c r="PVV45" s="13"/>
      <c r="PVW45" s="13"/>
      <c r="PVX45" s="13"/>
      <c r="PVY45" s="13"/>
      <c r="PVZ45" s="13"/>
      <c r="PWA45" s="13"/>
      <c r="PWB45" s="13"/>
      <c r="PWC45" s="13"/>
      <c r="PWD45" s="13"/>
      <c r="PWE45" s="13"/>
      <c r="PWF45" s="13"/>
      <c r="PWG45" s="13"/>
      <c r="PWH45" s="13"/>
      <c r="PWI45" s="13"/>
      <c r="PWJ45" s="13"/>
      <c r="PWK45" s="13"/>
      <c r="PWL45" s="13"/>
      <c r="PWM45" s="13"/>
      <c r="PWN45" s="13"/>
      <c r="PWO45" s="13"/>
      <c r="PWP45" s="13"/>
      <c r="PWQ45" s="13"/>
      <c r="PWR45" s="13"/>
      <c r="PWS45" s="13"/>
      <c r="PWT45" s="13"/>
      <c r="PWU45" s="13"/>
      <c r="PWV45" s="13"/>
      <c r="PWW45" s="13"/>
      <c r="PWX45" s="13"/>
      <c r="PWY45" s="13"/>
      <c r="PWZ45" s="13"/>
      <c r="PXA45" s="13"/>
      <c r="PXB45" s="13"/>
      <c r="PXC45" s="13"/>
      <c r="PXD45" s="13"/>
      <c r="PXE45" s="13"/>
      <c r="PXF45" s="13"/>
      <c r="PXG45" s="13"/>
      <c r="PXH45" s="13"/>
      <c r="PXI45" s="13"/>
      <c r="PXJ45" s="13"/>
      <c r="PXK45" s="13"/>
      <c r="PXL45" s="13"/>
      <c r="PXM45" s="13"/>
      <c r="PXN45" s="13"/>
      <c r="PXO45" s="13"/>
      <c r="PXP45" s="13"/>
      <c r="PXQ45" s="13"/>
      <c r="PXR45" s="13"/>
      <c r="PXS45" s="13"/>
      <c r="PXT45" s="13"/>
      <c r="PXU45" s="13"/>
      <c r="PXV45" s="13"/>
      <c r="PXW45" s="13"/>
      <c r="PXX45" s="13"/>
      <c r="PXY45" s="13"/>
      <c r="PXZ45" s="13"/>
      <c r="PYA45" s="13"/>
      <c r="PYB45" s="13"/>
      <c r="PYC45" s="13"/>
      <c r="PYD45" s="13"/>
      <c r="PYE45" s="13"/>
      <c r="PYF45" s="13"/>
      <c r="PYG45" s="13"/>
      <c r="PYH45" s="13"/>
      <c r="PYI45" s="13"/>
      <c r="PYJ45" s="13"/>
      <c r="PYK45" s="13"/>
      <c r="PYL45" s="13"/>
      <c r="PYM45" s="13"/>
      <c r="PYN45" s="13"/>
      <c r="PYO45" s="13"/>
      <c r="PYP45" s="13"/>
      <c r="PYQ45" s="13"/>
      <c r="PYR45" s="13"/>
      <c r="PYS45" s="13"/>
      <c r="PYT45" s="13"/>
      <c r="PYU45" s="13"/>
      <c r="PYV45" s="13"/>
      <c r="PYW45" s="13"/>
      <c r="PYX45" s="13"/>
      <c r="PYY45" s="13"/>
      <c r="PYZ45" s="13"/>
      <c r="PZA45" s="13"/>
      <c r="PZB45" s="13"/>
      <c r="PZC45" s="13"/>
      <c r="PZD45" s="13"/>
      <c r="PZE45" s="13"/>
      <c r="PZF45" s="13"/>
      <c r="PZG45" s="13"/>
      <c r="PZH45" s="13"/>
      <c r="PZI45" s="13"/>
      <c r="PZJ45" s="13"/>
      <c r="PZK45" s="13"/>
      <c r="PZL45" s="13"/>
      <c r="PZM45" s="13"/>
      <c r="PZN45" s="13"/>
      <c r="PZO45" s="13"/>
      <c r="PZP45" s="13"/>
      <c r="PZQ45" s="13"/>
      <c r="PZR45" s="13"/>
      <c r="PZS45" s="13"/>
      <c r="PZT45" s="13"/>
      <c r="PZU45" s="13"/>
      <c r="PZV45" s="13"/>
      <c r="PZW45" s="13"/>
      <c r="PZX45" s="13"/>
      <c r="PZY45" s="13"/>
      <c r="PZZ45" s="13"/>
      <c r="QAA45" s="13"/>
      <c r="QAB45" s="13"/>
      <c r="QAC45" s="13"/>
      <c r="QAD45" s="13"/>
      <c r="QAE45" s="13"/>
      <c r="QAF45" s="13"/>
      <c r="QAG45" s="13"/>
      <c r="QAH45" s="13"/>
      <c r="QAI45" s="13"/>
      <c r="QAJ45" s="13"/>
      <c r="QAK45" s="13"/>
      <c r="QAL45" s="13"/>
      <c r="QAM45" s="13"/>
      <c r="QAN45" s="13"/>
      <c r="QAO45" s="13"/>
      <c r="QAP45" s="13"/>
      <c r="QAQ45" s="13"/>
      <c r="QAR45" s="13"/>
      <c r="QAS45" s="13"/>
      <c r="QAT45" s="13"/>
      <c r="QAU45" s="13"/>
      <c r="QAV45" s="13"/>
      <c r="QAW45" s="13"/>
      <c r="QAX45" s="13"/>
      <c r="QAY45" s="13"/>
      <c r="QAZ45" s="13"/>
      <c r="QBA45" s="13"/>
      <c r="QBB45" s="13"/>
      <c r="QBC45" s="13"/>
      <c r="QBD45" s="13"/>
      <c r="QBE45" s="13"/>
      <c r="QBF45" s="13"/>
      <c r="QBG45" s="13"/>
      <c r="QBH45" s="13"/>
      <c r="QBI45" s="13"/>
      <c r="QBJ45" s="13"/>
      <c r="QBK45" s="13"/>
      <c r="QBL45" s="13"/>
      <c r="QBM45" s="13"/>
      <c r="QBN45" s="13"/>
      <c r="QBO45" s="13"/>
      <c r="QBP45" s="13"/>
      <c r="QBQ45" s="13"/>
      <c r="QBR45" s="13"/>
      <c r="QBS45" s="13"/>
      <c r="QBT45" s="13"/>
      <c r="QBU45" s="13"/>
      <c r="QBV45" s="13"/>
      <c r="QBW45" s="13"/>
      <c r="QBX45" s="13"/>
      <c r="QBY45" s="13"/>
      <c r="QBZ45" s="13"/>
      <c r="QCA45" s="13"/>
      <c r="QCB45" s="13"/>
      <c r="QCC45" s="13"/>
      <c r="QCD45" s="13"/>
      <c r="QCE45" s="13"/>
      <c r="QCF45" s="13"/>
      <c r="QCG45" s="13"/>
      <c r="QCH45" s="13"/>
      <c r="QCI45" s="13"/>
      <c r="QCJ45" s="13"/>
      <c r="QCK45" s="13"/>
      <c r="QCL45" s="13"/>
      <c r="QCM45" s="13"/>
      <c r="QCN45" s="13"/>
      <c r="QCO45" s="13"/>
      <c r="QCP45" s="13"/>
      <c r="QCQ45" s="13"/>
      <c r="QCR45" s="13"/>
      <c r="QCS45" s="13"/>
      <c r="QCT45" s="13"/>
      <c r="QCU45" s="13"/>
      <c r="QCV45" s="13"/>
      <c r="QCW45" s="13"/>
      <c r="QCX45" s="13"/>
      <c r="QCY45" s="13"/>
      <c r="QCZ45" s="13"/>
      <c r="QDA45" s="13"/>
      <c r="QDB45" s="13"/>
      <c r="QDC45" s="13"/>
      <c r="QDD45" s="13"/>
      <c r="QDE45" s="13"/>
      <c r="QDF45" s="13"/>
      <c r="QDG45" s="13"/>
      <c r="QDH45" s="13"/>
      <c r="QDI45" s="13"/>
      <c r="QDJ45" s="13"/>
      <c r="QDK45" s="13"/>
      <c r="QDL45" s="13"/>
      <c r="QDM45" s="13"/>
      <c r="QDN45" s="13"/>
      <c r="QDO45" s="13"/>
      <c r="QDP45" s="13"/>
      <c r="QDQ45" s="13"/>
      <c r="QDR45" s="13"/>
      <c r="QDS45" s="13"/>
      <c r="QDT45" s="13"/>
      <c r="QDU45" s="13"/>
      <c r="QDV45" s="13"/>
      <c r="QDW45" s="13"/>
      <c r="QDX45" s="13"/>
      <c r="QDY45" s="13"/>
      <c r="QDZ45" s="13"/>
      <c r="QEA45" s="13"/>
      <c r="QEB45" s="13"/>
      <c r="QEC45" s="13"/>
      <c r="QED45" s="13"/>
      <c r="QEE45" s="13"/>
      <c r="QEF45" s="13"/>
      <c r="QEG45" s="13"/>
      <c r="QEH45" s="13"/>
      <c r="QEI45" s="13"/>
      <c r="QEJ45" s="13"/>
      <c r="QEK45" s="13"/>
      <c r="QEL45" s="13"/>
      <c r="QEM45" s="13"/>
      <c r="QEN45" s="13"/>
      <c r="QEO45" s="13"/>
      <c r="QEP45" s="13"/>
      <c r="QEQ45" s="13"/>
      <c r="QER45" s="13"/>
      <c r="QES45" s="13"/>
      <c r="QET45" s="13"/>
      <c r="QEU45" s="13"/>
      <c r="QEV45" s="13"/>
      <c r="QEW45" s="13"/>
      <c r="QEX45" s="13"/>
      <c r="QEY45" s="13"/>
      <c r="QEZ45" s="13"/>
      <c r="QFA45" s="13"/>
      <c r="QFB45" s="13"/>
      <c r="QFC45" s="13"/>
      <c r="QFD45" s="13"/>
      <c r="QFE45" s="13"/>
      <c r="QFF45" s="13"/>
      <c r="QFG45" s="13"/>
      <c r="QFH45" s="13"/>
      <c r="QFI45" s="13"/>
      <c r="QFJ45" s="13"/>
      <c r="QFK45" s="13"/>
      <c r="QFL45" s="13"/>
      <c r="QFM45" s="13"/>
      <c r="QFN45" s="13"/>
      <c r="QFO45" s="13"/>
      <c r="QFP45" s="13"/>
      <c r="QFQ45" s="13"/>
      <c r="QFR45" s="13"/>
      <c r="QFS45" s="13"/>
      <c r="QFT45" s="13"/>
      <c r="QFU45" s="13"/>
      <c r="QFV45" s="13"/>
      <c r="QFW45" s="13"/>
      <c r="QFX45" s="13"/>
      <c r="QFY45" s="13"/>
      <c r="QFZ45" s="13"/>
      <c r="QGA45" s="13"/>
      <c r="QGB45" s="13"/>
      <c r="QGC45" s="13"/>
      <c r="QGD45" s="13"/>
      <c r="QGE45" s="13"/>
      <c r="QGF45" s="13"/>
      <c r="QGG45" s="13"/>
      <c r="QGH45" s="13"/>
      <c r="QGI45" s="13"/>
      <c r="QGJ45" s="13"/>
      <c r="QGK45" s="13"/>
      <c r="QGL45" s="13"/>
      <c r="QGM45" s="13"/>
      <c r="QGN45" s="13"/>
      <c r="QGO45" s="13"/>
      <c r="QGP45" s="13"/>
      <c r="QGQ45" s="13"/>
      <c r="QGR45" s="13"/>
      <c r="QGS45" s="13"/>
      <c r="QGT45" s="13"/>
      <c r="QGU45" s="13"/>
      <c r="QGV45" s="13"/>
      <c r="QGW45" s="13"/>
      <c r="QGX45" s="13"/>
      <c r="QGY45" s="13"/>
      <c r="QGZ45" s="13"/>
      <c r="QHA45" s="13"/>
      <c r="QHB45" s="13"/>
      <c r="QHC45" s="13"/>
      <c r="QHD45" s="13"/>
      <c r="QHE45" s="13"/>
      <c r="QHF45" s="13"/>
      <c r="QHG45" s="13"/>
      <c r="QHH45" s="13"/>
      <c r="QHI45" s="13"/>
      <c r="QHJ45" s="13"/>
      <c r="QHK45" s="13"/>
      <c r="QHL45" s="13"/>
      <c r="QHM45" s="13"/>
      <c r="QHN45" s="13"/>
      <c r="QHO45" s="13"/>
      <c r="QHP45" s="13"/>
      <c r="QHQ45" s="13"/>
      <c r="QHR45" s="13"/>
      <c r="QHS45" s="13"/>
      <c r="QHT45" s="13"/>
      <c r="QHU45" s="13"/>
      <c r="QHV45" s="13"/>
      <c r="QHW45" s="13"/>
      <c r="QHX45" s="13"/>
      <c r="QHY45" s="13"/>
      <c r="QHZ45" s="13"/>
      <c r="QIA45" s="13"/>
      <c r="QIB45" s="13"/>
      <c r="QIC45" s="13"/>
      <c r="QID45" s="13"/>
      <c r="QIE45" s="13"/>
      <c r="QIF45" s="13"/>
      <c r="QIG45" s="13"/>
      <c r="QIH45" s="13"/>
      <c r="QII45" s="13"/>
      <c r="QIJ45" s="13"/>
      <c r="QIK45" s="13"/>
      <c r="QIL45" s="13"/>
      <c r="QIM45" s="13"/>
      <c r="QIN45" s="13"/>
      <c r="QIO45" s="13"/>
      <c r="QIP45" s="13"/>
      <c r="QIQ45" s="13"/>
      <c r="QIR45" s="13"/>
      <c r="QIS45" s="13"/>
      <c r="QIT45" s="13"/>
      <c r="QIU45" s="13"/>
      <c r="QIV45" s="13"/>
      <c r="QIW45" s="13"/>
      <c r="QIX45" s="13"/>
      <c r="QIY45" s="13"/>
      <c r="QIZ45" s="13"/>
      <c r="QJA45" s="13"/>
      <c r="QJB45" s="13"/>
      <c r="QJC45" s="13"/>
      <c r="QJD45" s="13"/>
      <c r="QJE45" s="13"/>
      <c r="QJF45" s="13"/>
      <c r="QJG45" s="13"/>
      <c r="QJH45" s="13"/>
      <c r="QJI45" s="13"/>
      <c r="QJJ45" s="13"/>
      <c r="QJK45" s="13"/>
      <c r="QJL45" s="13"/>
      <c r="QJM45" s="13"/>
      <c r="QJN45" s="13"/>
      <c r="QJO45" s="13"/>
      <c r="QJP45" s="13"/>
      <c r="QJQ45" s="13"/>
      <c r="QJR45" s="13"/>
      <c r="QJS45" s="13"/>
      <c r="QJT45" s="13"/>
      <c r="QJU45" s="13"/>
      <c r="QJV45" s="13"/>
      <c r="QJW45" s="13"/>
      <c r="QJX45" s="13"/>
      <c r="QJY45" s="13"/>
      <c r="QJZ45" s="13"/>
      <c r="QKA45" s="13"/>
      <c r="QKB45" s="13"/>
      <c r="QKC45" s="13"/>
      <c r="QKD45" s="13"/>
      <c r="QKE45" s="13"/>
      <c r="QKF45" s="13"/>
      <c r="QKG45" s="13"/>
      <c r="QKH45" s="13"/>
      <c r="QKI45" s="13"/>
      <c r="QKJ45" s="13"/>
      <c r="QKK45" s="13"/>
      <c r="QKL45" s="13"/>
      <c r="QKM45" s="13"/>
      <c r="QKN45" s="13"/>
      <c r="QKO45" s="13"/>
      <c r="QKP45" s="13"/>
      <c r="QKQ45" s="13"/>
      <c r="QKR45" s="13"/>
      <c r="QKS45" s="13"/>
      <c r="QKT45" s="13"/>
      <c r="QKU45" s="13"/>
      <c r="QKV45" s="13"/>
      <c r="QKW45" s="13"/>
      <c r="QKX45" s="13"/>
      <c r="QKY45" s="13"/>
      <c r="QKZ45" s="13"/>
      <c r="QLA45" s="13"/>
      <c r="QLB45" s="13"/>
      <c r="QLC45" s="13"/>
      <c r="QLD45" s="13"/>
      <c r="QLE45" s="13"/>
      <c r="QLF45" s="13"/>
      <c r="QLG45" s="13"/>
      <c r="QLH45" s="13"/>
      <c r="QLI45" s="13"/>
      <c r="QLJ45" s="13"/>
      <c r="QLK45" s="13"/>
      <c r="QLL45" s="13"/>
      <c r="QLM45" s="13"/>
      <c r="QLN45" s="13"/>
      <c r="QLO45" s="13"/>
      <c r="QLP45" s="13"/>
      <c r="QLQ45" s="13"/>
      <c r="QLR45" s="13"/>
      <c r="QLS45" s="13"/>
      <c r="QLT45" s="13"/>
      <c r="QLU45" s="13"/>
      <c r="QLV45" s="13"/>
      <c r="QLW45" s="13"/>
      <c r="QLX45" s="13"/>
      <c r="QLY45" s="13"/>
      <c r="QLZ45" s="13"/>
      <c r="QMA45" s="13"/>
      <c r="QMB45" s="13"/>
      <c r="QMC45" s="13"/>
      <c r="QMD45" s="13"/>
      <c r="QME45" s="13"/>
      <c r="QMF45" s="13"/>
      <c r="QMG45" s="13"/>
      <c r="QMH45" s="13"/>
      <c r="QMI45" s="13"/>
      <c r="QMJ45" s="13"/>
      <c r="QMK45" s="13"/>
      <c r="QML45" s="13"/>
      <c r="QMM45" s="13"/>
      <c r="QMN45" s="13"/>
      <c r="QMO45" s="13"/>
      <c r="QMP45" s="13"/>
      <c r="QMQ45" s="13"/>
      <c r="QMR45" s="13"/>
      <c r="QMS45" s="13"/>
      <c r="QMT45" s="13"/>
      <c r="QMU45" s="13"/>
      <c r="QMV45" s="13"/>
      <c r="QMW45" s="13"/>
      <c r="QMX45" s="13"/>
      <c r="QMY45" s="13"/>
      <c r="QMZ45" s="13"/>
      <c r="QNA45" s="13"/>
      <c r="QNB45" s="13"/>
      <c r="QNC45" s="13"/>
      <c r="QND45" s="13"/>
      <c r="QNE45" s="13"/>
      <c r="QNF45" s="13"/>
      <c r="QNG45" s="13"/>
      <c r="QNH45" s="13"/>
      <c r="QNI45" s="13"/>
      <c r="QNJ45" s="13"/>
      <c r="QNK45" s="13"/>
      <c r="QNL45" s="13"/>
      <c r="QNM45" s="13"/>
      <c r="QNN45" s="13"/>
      <c r="QNO45" s="13"/>
      <c r="QNP45" s="13"/>
      <c r="QNQ45" s="13"/>
      <c r="QNR45" s="13"/>
      <c r="QNS45" s="13"/>
      <c r="QNT45" s="13"/>
      <c r="QNU45" s="13"/>
      <c r="QNV45" s="13"/>
      <c r="QNW45" s="13"/>
      <c r="QNX45" s="13"/>
      <c r="QNY45" s="13"/>
      <c r="QNZ45" s="13"/>
      <c r="QOA45" s="13"/>
      <c r="QOB45" s="13"/>
      <c r="QOC45" s="13"/>
      <c r="QOD45" s="13"/>
      <c r="QOE45" s="13"/>
      <c r="QOF45" s="13"/>
      <c r="QOG45" s="13"/>
      <c r="QOH45" s="13"/>
      <c r="QOI45" s="13"/>
      <c r="QOJ45" s="13"/>
      <c r="QOK45" s="13"/>
      <c r="QOL45" s="13"/>
      <c r="QOM45" s="13"/>
      <c r="QON45" s="13"/>
      <c r="QOO45" s="13"/>
      <c r="QOP45" s="13"/>
      <c r="QOQ45" s="13"/>
      <c r="QOR45" s="13"/>
      <c r="QOS45" s="13"/>
      <c r="QOT45" s="13"/>
      <c r="QOU45" s="13"/>
      <c r="QOV45" s="13"/>
      <c r="QOW45" s="13"/>
      <c r="QOX45" s="13"/>
      <c r="QOY45" s="13"/>
      <c r="QOZ45" s="13"/>
      <c r="QPA45" s="13"/>
      <c r="QPB45" s="13"/>
      <c r="QPC45" s="13"/>
      <c r="QPD45" s="13"/>
      <c r="QPE45" s="13"/>
      <c r="QPF45" s="13"/>
      <c r="QPG45" s="13"/>
      <c r="QPH45" s="13"/>
      <c r="QPI45" s="13"/>
      <c r="QPJ45" s="13"/>
      <c r="QPK45" s="13"/>
      <c r="QPL45" s="13"/>
      <c r="QPM45" s="13"/>
      <c r="QPN45" s="13"/>
      <c r="QPO45" s="13"/>
      <c r="QPP45" s="13"/>
      <c r="QPQ45" s="13"/>
      <c r="QPR45" s="13"/>
      <c r="QPS45" s="13"/>
      <c r="QPT45" s="13"/>
      <c r="QPU45" s="13"/>
      <c r="QPV45" s="13"/>
      <c r="QPW45" s="13"/>
      <c r="QPX45" s="13"/>
      <c r="QPY45" s="13"/>
      <c r="QPZ45" s="13"/>
      <c r="QQA45" s="13"/>
      <c r="QQB45" s="13"/>
      <c r="QQC45" s="13"/>
      <c r="QQD45" s="13"/>
      <c r="QQE45" s="13"/>
      <c r="QQF45" s="13"/>
      <c r="QQG45" s="13"/>
      <c r="QQH45" s="13"/>
      <c r="QQI45" s="13"/>
      <c r="QQJ45" s="13"/>
      <c r="QQK45" s="13"/>
      <c r="QQL45" s="13"/>
      <c r="QQM45" s="13"/>
      <c r="QQN45" s="13"/>
      <c r="QQO45" s="13"/>
      <c r="QQP45" s="13"/>
      <c r="QQQ45" s="13"/>
      <c r="QQR45" s="13"/>
      <c r="QQS45" s="13"/>
      <c r="QQT45" s="13"/>
      <c r="QQU45" s="13"/>
      <c r="QQV45" s="13"/>
      <c r="QQW45" s="13"/>
      <c r="QQX45" s="13"/>
      <c r="QQY45" s="13"/>
      <c r="QQZ45" s="13"/>
      <c r="QRA45" s="13"/>
      <c r="QRB45" s="13"/>
      <c r="QRC45" s="13"/>
      <c r="QRD45" s="13"/>
      <c r="QRE45" s="13"/>
      <c r="QRF45" s="13"/>
      <c r="QRG45" s="13"/>
      <c r="QRH45" s="13"/>
      <c r="QRI45" s="13"/>
      <c r="QRJ45" s="13"/>
      <c r="QRK45" s="13"/>
      <c r="QRL45" s="13"/>
      <c r="QRM45" s="13"/>
      <c r="QRN45" s="13"/>
      <c r="QRO45" s="13"/>
      <c r="QRP45" s="13"/>
      <c r="QRQ45" s="13"/>
      <c r="QRR45" s="13"/>
      <c r="QRS45" s="13"/>
      <c r="QRT45" s="13"/>
      <c r="QRU45" s="13"/>
      <c r="QRV45" s="13"/>
      <c r="QRW45" s="13"/>
      <c r="QRX45" s="13"/>
      <c r="QRY45" s="13"/>
      <c r="QRZ45" s="13"/>
      <c r="QSA45" s="13"/>
      <c r="QSB45" s="13"/>
      <c r="QSC45" s="13"/>
      <c r="QSD45" s="13"/>
      <c r="QSE45" s="13"/>
      <c r="QSF45" s="13"/>
      <c r="QSG45" s="13"/>
      <c r="QSH45" s="13"/>
      <c r="QSI45" s="13"/>
      <c r="QSJ45" s="13"/>
      <c r="QSK45" s="13"/>
      <c r="QSL45" s="13"/>
      <c r="QSM45" s="13"/>
      <c r="QSN45" s="13"/>
      <c r="QSO45" s="13"/>
      <c r="QSP45" s="13"/>
      <c r="QSQ45" s="13"/>
      <c r="QSR45" s="13"/>
      <c r="QSS45" s="13"/>
      <c r="QST45" s="13"/>
      <c r="QSU45" s="13"/>
      <c r="QSV45" s="13"/>
      <c r="QSW45" s="13"/>
      <c r="QSX45" s="13"/>
      <c r="QSY45" s="13"/>
      <c r="QSZ45" s="13"/>
      <c r="QTA45" s="13"/>
      <c r="QTB45" s="13"/>
      <c r="QTC45" s="13"/>
      <c r="QTD45" s="13"/>
      <c r="QTE45" s="13"/>
      <c r="QTF45" s="13"/>
      <c r="QTG45" s="13"/>
      <c r="QTH45" s="13"/>
      <c r="QTI45" s="13"/>
      <c r="QTJ45" s="13"/>
      <c r="QTK45" s="13"/>
      <c r="QTL45" s="13"/>
      <c r="QTM45" s="13"/>
      <c r="QTN45" s="13"/>
      <c r="QTO45" s="13"/>
      <c r="QTP45" s="13"/>
      <c r="QTQ45" s="13"/>
      <c r="QTR45" s="13"/>
      <c r="QTS45" s="13"/>
      <c r="QTT45" s="13"/>
      <c r="QTU45" s="13"/>
      <c r="QTV45" s="13"/>
      <c r="QTW45" s="13"/>
      <c r="QTX45" s="13"/>
      <c r="QTY45" s="13"/>
      <c r="QTZ45" s="13"/>
      <c r="QUA45" s="13"/>
      <c r="QUB45" s="13"/>
      <c r="QUC45" s="13"/>
      <c r="QUD45" s="13"/>
      <c r="QUE45" s="13"/>
      <c r="QUF45" s="13"/>
      <c r="QUG45" s="13"/>
      <c r="QUH45" s="13"/>
      <c r="QUI45" s="13"/>
      <c r="QUJ45" s="13"/>
      <c r="QUK45" s="13"/>
      <c r="QUL45" s="13"/>
      <c r="QUM45" s="13"/>
      <c r="QUN45" s="13"/>
      <c r="QUO45" s="13"/>
      <c r="QUP45" s="13"/>
      <c r="QUQ45" s="13"/>
      <c r="QUR45" s="13"/>
      <c r="QUS45" s="13"/>
      <c r="QUT45" s="13"/>
      <c r="QUU45" s="13"/>
      <c r="QUV45" s="13"/>
      <c r="QUW45" s="13"/>
      <c r="QUX45" s="13"/>
      <c r="QUY45" s="13"/>
      <c r="QUZ45" s="13"/>
      <c r="QVA45" s="13"/>
      <c r="QVB45" s="13"/>
      <c r="QVC45" s="13"/>
      <c r="QVD45" s="13"/>
      <c r="QVE45" s="13"/>
      <c r="QVF45" s="13"/>
      <c r="QVG45" s="13"/>
      <c r="QVH45" s="13"/>
      <c r="QVI45" s="13"/>
      <c r="QVJ45" s="13"/>
      <c r="QVK45" s="13"/>
      <c r="QVL45" s="13"/>
      <c r="QVM45" s="13"/>
      <c r="QVN45" s="13"/>
      <c r="QVO45" s="13"/>
      <c r="QVP45" s="13"/>
      <c r="QVQ45" s="13"/>
      <c r="QVR45" s="13"/>
      <c r="QVS45" s="13"/>
      <c r="QVT45" s="13"/>
      <c r="QVU45" s="13"/>
      <c r="QVV45" s="13"/>
      <c r="QVW45" s="13"/>
      <c r="QVX45" s="13"/>
      <c r="QVY45" s="13"/>
      <c r="QVZ45" s="13"/>
      <c r="QWA45" s="13"/>
      <c r="QWB45" s="13"/>
      <c r="QWC45" s="13"/>
      <c r="QWD45" s="13"/>
      <c r="QWE45" s="13"/>
      <c r="QWF45" s="13"/>
      <c r="QWG45" s="13"/>
      <c r="QWH45" s="13"/>
      <c r="QWI45" s="13"/>
      <c r="QWJ45" s="13"/>
      <c r="QWK45" s="13"/>
      <c r="QWL45" s="13"/>
      <c r="QWM45" s="13"/>
      <c r="QWN45" s="13"/>
      <c r="QWO45" s="13"/>
      <c r="QWP45" s="13"/>
      <c r="QWQ45" s="13"/>
      <c r="QWR45" s="13"/>
      <c r="QWS45" s="13"/>
      <c r="QWT45" s="13"/>
      <c r="QWU45" s="13"/>
      <c r="QWV45" s="13"/>
      <c r="QWW45" s="13"/>
      <c r="QWX45" s="13"/>
      <c r="QWY45" s="13"/>
      <c r="QWZ45" s="13"/>
      <c r="QXA45" s="13"/>
      <c r="QXB45" s="13"/>
      <c r="QXC45" s="13"/>
      <c r="QXD45" s="13"/>
      <c r="QXE45" s="13"/>
      <c r="QXF45" s="13"/>
      <c r="QXG45" s="13"/>
      <c r="QXH45" s="13"/>
      <c r="QXI45" s="13"/>
      <c r="QXJ45" s="13"/>
      <c r="QXK45" s="13"/>
      <c r="QXL45" s="13"/>
      <c r="QXM45" s="13"/>
      <c r="QXN45" s="13"/>
      <c r="QXO45" s="13"/>
      <c r="QXP45" s="13"/>
      <c r="QXQ45" s="13"/>
      <c r="QXR45" s="13"/>
      <c r="QXS45" s="13"/>
      <c r="QXT45" s="13"/>
      <c r="QXU45" s="13"/>
      <c r="QXV45" s="13"/>
      <c r="QXW45" s="13"/>
      <c r="QXX45" s="13"/>
      <c r="QXY45" s="13"/>
      <c r="QXZ45" s="13"/>
      <c r="QYA45" s="13"/>
      <c r="QYB45" s="13"/>
      <c r="QYC45" s="13"/>
      <c r="QYD45" s="13"/>
      <c r="QYE45" s="13"/>
      <c r="QYF45" s="13"/>
      <c r="QYG45" s="13"/>
      <c r="QYH45" s="13"/>
      <c r="QYI45" s="13"/>
      <c r="QYJ45" s="13"/>
      <c r="QYK45" s="13"/>
      <c r="QYL45" s="13"/>
      <c r="QYM45" s="13"/>
      <c r="QYN45" s="13"/>
      <c r="QYO45" s="13"/>
      <c r="QYP45" s="13"/>
      <c r="QYQ45" s="13"/>
      <c r="QYR45" s="13"/>
      <c r="QYS45" s="13"/>
      <c r="QYT45" s="13"/>
      <c r="QYU45" s="13"/>
      <c r="QYV45" s="13"/>
      <c r="QYW45" s="13"/>
      <c r="QYX45" s="13"/>
      <c r="QYY45" s="13"/>
      <c r="QYZ45" s="13"/>
      <c r="QZA45" s="13"/>
      <c r="QZB45" s="13"/>
      <c r="QZC45" s="13"/>
      <c r="QZD45" s="13"/>
      <c r="QZE45" s="13"/>
      <c r="QZF45" s="13"/>
      <c r="QZG45" s="13"/>
      <c r="QZH45" s="13"/>
      <c r="QZI45" s="13"/>
      <c r="QZJ45" s="13"/>
      <c r="QZK45" s="13"/>
      <c r="QZL45" s="13"/>
      <c r="QZM45" s="13"/>
      <c r="QZN45" s="13"/>
      <c r="QZO45" s="13"/>
      <c r="QZP45" s="13"/>
      <c r="QZQ45" s="13"/>
      <c r="QZR45" s="13"/>
      <c r="QZS45" s="13"/>
      <c r="QZT45" s="13"/>
      <c r="QZU45" s="13"/>
      <c r="QZV45" s="13"/>
      <c r="QZW45" s="13"/>
      <c r="QZX45" s="13"/>
      <c r="QZY45" s="13"/>
      <c r="QZZ45" s="13"/>
      <c r="RAA45" s="13"/>
      <c r="RAB45" s="13"/>
      <c r="RAC45" s="13"/>
      <c r="RAD45" s="13"/>
      <c r="RAE45" s="13"/>
      <c r="RAF45" s="13"/>
      <c r="RAG45" s="13"/>
      <c r="RAH45" s="13"/>
      <c r="RAI45" s="13"/>
      <c r="RAJ45" s="13"/>
      <c r="RAK45" s="13"/>
      <c r="RAL45" s="13"/>
      <c r="RAM45" s="13"/>
      <c r="RAN45" s="13"/>
      <c r="RAO45" s="13"/>
      <c r="RAP45" s="13"/>
      <c r="RAQ45" s="13"/>
      <c r="RAR45" s="13"/>
      <c r="RAS45" s="13"/>
      <c r="RAT45" s="13"/>
      <c r="RAU45" s="13"/>
      <c r="RAV45" s="13"/>
      <c r="RAW45" s="13"/>
      <c r="RAX45" s="13"/>
      <c r="RAY45" s="13"/>
      <c r="RAZ45" s="13"/>
      <c r="RBA45" s="13"/>
      <c r="RBB45" s="13"/>
      <c r="RBC45" s="13"/>
      <c r="RBD45" s="13"/>
      <c r="RBE45" s="13"/>
      <c r="RBF45" s="13"/>
      <c r="RBG45" s="13"/>
      <c r="RBH45" s="13"/>
      <c r="RBI45" s="13"/>
      <c r="RBJ45" s="13"/>
      <c r="RBK45" s="13"/>
      <c r="RBL45" s="13"/>
      <c r="RBM45" s="13"/>
      <c r="RBN45" s="13"/>
      <c r="RBO45" s="13"/>
      <c r="RBP45" s="13"/>
      <c r="RBQ45" s="13"/>
      <c r="RBR45" s="13"/>
      <c r="RBS45" s="13"/>
      <c r="RBT45" s="13"/>
      <c r="RBU45" s="13"/>
      <c r="RBV45" s="13"/>
      <c r="RBW45" s="13"/>
      <c r="RBX45" s="13"/>
      <c r="RBY45" s="13"/>
      <c r="RBZ45" s="13"/>
      <c r="RCA45" s="13"/>
      <c r="RCB45" s="13"/>
      <c r="RCC45" s="13"/>
      <c r="RCD45" s="13"/>
      <c r="RCE45" s="13"/>
      <c r="RCF45" s="13"/>
      <c r="RCG45" s="13"/>
      <c r="RCH45" s="13"/>
      <c r="RCI45" s="13"/>
      <c r="RCJ45" s="13"/>
      <c r="RCK45" s="13"/>
      <c r="RCL45" s="13"/>
      <c r="RCM45" s="13"/>
      <c r="RCN45" s="13"/>
      <c r="RCO45" s="13"/>
      <c r="RCP45" s="13"/>
      <c r="RCQ45" s="13"/>
      <c r="RCR45" s="13"/>
      <c r="RCS45" s="13"/>
      <c r="RCT45" s="13"/>
      <c r="RCU45" s="13"/>
      <c r="RCV45" s="13"/>
      <c r="RCW45" s="13"/>
      <c r="RCX45" s="13"/>
      <c r="RCY45" s="13"/>
      <c r="RCZ45" s="13"/>
      <c r="RDA45" s="13"/>
      <c r="RDB45" s="13"/>
      <c r="RDC45" s="13"/>
      <c r="RDD45" s="13"/>
      <c r="RDE45" s="13"/>
      <c r="RDF45" s="13"/>
      <c r="RDG45" s="13"/>
      <c r="RDH45" s="13"/>
      <c r="RDI45" s="13"/>
      <c r="RDJ45" s="13"/>
      <c r="RDK45" s="13"/>
      <c r="RDL45" s="13"/>
      <c r="RDM45" s="13"/>
      <c r="RDN45" s="13"/>
      <c r="RDO45" s="13"/>
      <c r="RDP45" s="13"/>
      <c r="RDQ45" s="13"/>
      <c r="RDR45" s="13"/>
      <c r="RDS45" s="13"/>
      <c r="RDT45" s="13"/>
      <c r="RDU45" s="13"/>
      <c r="RDV45" s="13"/>
      <c r="RDW45" s="13"/>
      <c r="RDX45" s="13"/>
      <c r="RDY45" s="13"/>
      <c r="RDZ45" s="13"/>
      <c r="REA45" s="13"/>
      <c r="REB45" s="13"/>
      <c r="REC45" s="13"/>
      <c r="RED45" s="13"/>
      <c r="REE45" s="13"/>
      <c r="REF45" s="13"/>
      <c r="REG45" s="13"/>
      <c r="REH45" s="13"/>
      <c r="REI45" s="13"/>
      <c r="REJ45" s="13"/>
      <c r="REK45" s="13"/>
      <c r="REL45" s="13"/>
      <c r="REM45" s="13"/>
      <c r="REN45" s="13"/>
      <c r="REO45" s="13"/>
      <c r="REP45" s="13"/>
      <c r="REQ45" s="13"/>
      <c r="RER45" s="13"/>
      <c r="RES45" s="13"/>
      <c r="RET45" s="13"/>
      <c r="REU45" s="13"/>
      <c r="REV45" s="13"/>
      <c r="REW45" s="13"/>
      <c r="REX45" s="13"/>
      <c r="REY45" s="13"/>
      <c r="REZ45" s="13"/>
      <c r="RFA45" s="13"/>
      <c r="RFB45" s="13"/>
      <c r="RFC45" s="13"/>
      <c r="RFD45" s="13"/>
      <c r="RFE45" s="13"/>
      <c r="RFF45" s="13"/>
      <c r="RFG45" s="13"/>
      <c r="RFH45" s="13"/>
      <c r="RFI45" s="13"/>
      <c r="RFJ45" s="13"/>
      <c r="RFK45" s="13"/>
      <c r="RFL45" s="13"/>
      <c r="RFM45" s="13"/>
      <c r="RFN45" s="13"/>
      <c r="RFO45" s="13"/>
      <c r="RFP45" s="13"/>
      <c r="RFQ45" s="13"/>
      <c r="RFR45" s="13"/>
      <c r="RFS45" s="13"/>
      <c r="RFT45" s="13"/>
      <c r="RFU45" s="13"/>
      <c r="RFV45" s="13"/>
      <c r="RFW45" s="13"/>
      <c r="RFX45" s="13"/>
      <c r="RFY45" s="13"/>
      <c r="RFZ45" s="13"/>
      <c r="RGA45" s="13"/>
      <c r="RGB45" s="13"/>
      <c r="RGC45" s="13"/>
      <c r="RGD45" s="13"/>
      <c r="RGE45" s="13"/>
      <c r="RGF45" s="13"/>
      <c r="RGG45" s="13"/>
      <c r="RGH45" s="13"/>
      <c r="RGI45" s="13"/>
      <c r="RGJ45" s="13"/>
      <c r="RGK45" s="13"/>
      <c r="RGL45" s="13"/>
      <c r="RGM45" s="13"/>
      <c r="RGN45" s="13"/>
      <c r="RGO45" s="13"/>
      <c r="RGP45" s="13"/>
      <c r="RGQ45" s="13"/>
      <c r="RGR45" s="13"/>
      <c r="RGS45" s="13"/>
      <c r="RGT45" s="13"/>
      <c r="RGU45" s="13"/>
      <c r="RGV45" s="13"/>
      <c r="RGW45" s="13"/>
      <c r="RGX45" s="13"/>
      <c r="RGY45" s="13"/>
      <c r="RGZ45" s="13"/>
      <c r="RHA45" s="13"/>
      <c r="RHB45" s="13"/>
      <c r="RHC45" s="13"/>
      <c r="RHD45" s="13"/>
      <c r="RHE45" s="13"/>
      <c r="RHF45" s="13"/>
      <c r="RHG45" s="13"/>
      <c r="RHH45" s="13"/>
      <c r="RHI45" s="13"/>
      <c r="RHJ45" s="13"/>
      <c r="RHK45" s="13"/>
      <c r="RHL45" s="13"/>
      <c r="RHM45" s="13"/>
      <c r="RHN45" s="13"/>
      <c r="RHO45" s="13"/>
      <c r="RHP45" s="13"/>
      <c r="RHQ45" s="13"/>
      <c r="RHR45" s="13"/>
      <c r="RHS45" s="13"/>
      <c r="RHT45" s="13"/>
      <c r="RHU45" s="13"/>
      <c r="RHV45" s="13"/>
      <c r="RHW45" s="13"/>
      <c r="RHX45" s="13"/>
      <c r="RHY45" s="13"/>
      <c r="RHZ45" s="13"/>
      <c r="RIA45" s="13"/>
      <c r="RIB45" s="13"/>
      <c r="RIC45" s="13"/>
      <c r="RID45" s="13"/>
      <c r="RIE45" s="13"/>
      <c r="RIF45" s="13"/>
      <c r="RIG45" s="13"/>
      <c r="RIH45" s="13"/>
      <c r="RII45" s="13"/>
      <c r="RIJ45" s="13"/>
      <c r="RIK45" s="13"/>
      <c r="RIL45" s="13"/>
      <c r="RIM45" s="13"/>
      <c r="RIN45" s="13"/>
      <c r="RIO45" s="13"/>
      <c r="RIP45" s="13"/>
      <c r="RIQ45" s="13"/>
      <c r="RIR45" s="13"/>
      <c r="RIS45" s="13"/>
      <c r="RIT45" s="13"/>
      <c r="RIU45" s="13"/>
      <c r="RIV45" s="13"/>
      <c r="RIW45" s="13"/>
      <c r="RIX45" s="13"/>
      <c r="RIY45" s="13"/>
      <c r="RIZ45" s="13"/>
      <c r="RJA45" s="13"/>
      <c r="RJB45" s="13"/>
      <c r="RJC45" s="13"/>
      <c r="RJD45" s="13"/>
      <c r="RJE45" s="13"/>
      <c r="RJF45" s="13"/>
      <c r="RJG45" s="13"/>
      <c r="RJH45" s="13"/>
      <c r="RJI45" s="13"/>
      <c r="RJJ45" s="13"/>
      <c r="RJK45" s="13"/>
      <c r="RJL45" s="13"/>
      <c r="RJM45" s="13"/>
      <c r="RJN45" s="13"/>
      <c r="RJO45" s="13"/>
      <c r="RJP45" s="13"/>
      <c r="RJQ45" s="13"/>
      <c r="RJR45" s="13"/>
      <c r="RJS45" s="13"/>
      <c r="RJT45" s="13"/>
      <c r="RJU45" s="13"/>
      <c r="RJV45" s="13"/>
      <c r="RJW45" s="13"/>
      <c r="RJX45" s="13"/>
      <c r="RJY45" s="13"/>
      <c r="RJZ45" s="13"/>
      <c r="RKA45" s="13"/>
      <c r="RKB45" s="13"/>
      <c r="RKC45" s="13"/>
      <c r="RKD45" s="13"/>
      <c r="RKE45" s="13"/>
      <c r="RKF45" s="13"/>
      <c r="RKG45" s="13"/>
      <c r="RKH45" s="13"/>
      <c r="RKI45" s="13"/>
      <c r="RKJ45" s="13"/>
      <c r="RKK45" s="13"/>
      <c r="RKL45" s="13"/>
      <c r="RKM45" s="13"/>
      <c r="RKN45" s="13"/>
      <c r="RKO45" s="13"/>
      <c r="RKP45" s="13"/>
      <c r="RKQ45" s="13"/>
      <c r="RKR45" s="13"/>
      <c r="RKS45" s="13"/>
      <c r="RKT45" s="13"/>
      <c r="RKU45" s="13"/>
      <c r="RKV45" s="13"/>
      <c r="RKW45" s="13"/>
      <c r="RKX45" s="13"/>
      <c r="RKY45" s="13"/>
      <c r="RKZ45" s="13"/>
      <c r="RLA45" s="13"/>
      <c r="RLB45" s="13"/>
      <c r="RLC45" s="13"/>
      <c r="RLD45" s="13"/>
      <c r="RLE45" s="13"/>
      <c r="RLF45" s="13"/>
      <c r="RLG45" s="13"/>
      <c r="RLH45" s="13"/>
      <c r="RLI45" s="13"/>
      <c r="RLJ45" s="13"/>
      <c r="RLK45" s="13"/>
      <c r="RLL45" s="13"/>
      <c r="RLM45" s="13"/>
      <c r="RLN45" s="13"/>
      <c r="RLO45" s="13"/>
      <c r="RLP45" s="13"/>
      <c r="RLQ45" s="13"/>
      <c r="RLR45" s="13"/>
      <c r="RLS45" s="13"/>
      <c r="RLT45" s="13"/>
      <c r="RLU45" s="13"/>
      <c r="RLV45" s="13"/>
      <c r="RLW45" s="13"/>
      <c r="RLX45" s="13"/>
      <c r="RLY45" s="13"/>
      <c r="RLZ45" s="13"/>
      <c r="RMA45" s="13"/>
      <c r="RMB45" s="13"/>
      <c r="RMC45" s="13"/>
      <c r="RMD45" s="13"/>
      <c r="RME45" s="13"/>
      <c r="RMF45" s="13"/>
      <c r="RMG45" s="13"/>
      <c r="RMH45" s="13"/>
      <c r="RMI45" s="13"/>
      <c r="RMJ45" s="13"/>
      <c r="RMK45" s="13"/>
      <c r="RML45" s="13"/>
      <c r="RMM45" s="13"/>
      <c r="RMN45" s="13"/>
      <c r="RMO45" s="13"/>
      <c r="RMP45" s="13"/>
      <c r="RMQ45" s="13"/>
      <c r="RMR45" s="13"/>
      <c r="RMS45" s="13"/>
      <c r="RMT45" s="13"/>
      <c r="RMU45" s="13"/>
      <c r="RMV45" s="13"/>
      <c r="RMW45" s="13"/>
      <c r="RMX45" s="13"/>
      <c r="RMY45" s="13"/>
      <c r="RMZ45" s="13"/>
      <c r="RNA45" s="13"/>
      <c r="RNB45" s="13"/>
      <c r="RNC45" s="13"/>
      <c r="RND45" s="13"/>
      <c r="RNE45" s="13"/>
      <c r="RNF45" s="13"/>
      <c r="RNG45" s="13"/>
      <c r="RNH45" s="13"/>
      <c r="RNI45" s="13"/>
      <c r="RNJ45" s="13"/>
      <c r="RNK45" s="13"/>
      <c r="RNL45" s="13"/>
      <c r="RNM45" s="13"/>
      <c r="RNN45" s="13"/>
      <c r="RNO45" s="13"/>
      <c r="RNP45" s="13"/>
      <c r="RNQ45" s="13"/>
      <c r="RNR45" s="13"/>
      <c r="RNS45" s="13"/>
      <c r="RNT45" s="13"/>
      <c r="RNU45" s="13"/>
      <c r="RNV45" s="13"/>
      <c r="RNW45" s="13"/>
      <c r="RNX45" s="13"/>
      <c r="RNY45" s="13"/>
      <c r="RNZ45" s="13"/>
      <c r="ROA45" s="13"/>
      <c r="ROB45" s="13"/>
      <c r="ROC45" s="13"/>
      <c r="ROD45" s="13"/>
      <c r="ROE45" s="13"/>
      <c r="ROF45" s="13"/>
      <c r="ROG45" s="13"/>
      <c r="ROH45" s="13"/>
      <c r="ROI45" s="13"/>
      <c r="ROJ45" s="13"/>
      <c r="ROK45" s="13"/>
      <c r="ROL45" s="13"/>
      <c r="ROM45" s="13"/>
      <c r="RON45" s="13"/>
      <c r="ROO45" s="13"/>
      <c r="ROP45" s="13"/>
      <c r="ROQ45" s="13"/>
      <c r="ROR45" s="13"/>
      <c r="ROS45" s="13"/>
      <c r="ROT45" s="13"/>
      <c r="ROU45" s="13"/>
      <c r="ROV45" s="13"/>
      <c r="ROW45" s="13"/>
      <c r="ROX45" s="13"/>
      <c r="ROY45" s="13"/>
      <c r="ROZ45" s="13"/>
      <c r="RPA45" s="13"/>
      <c r="RPB45" s="13"/>
      <c r="RPC45" s="13"/>
      <c r="RPD45" s="13"/>
      <c r="RPE45" s="13"/>
      <c r="RPF45" s="13"/>
      <c r="RPG45" s="13"/>
      <c r="RPH45" s="13"/>
      <c r="RPI45" s="13"/>
      <c r="RPJ45" s="13"/>
      <c r="RPK45" s="13"/>
      <c r="RPL45" s="13"/>
      <c r="RPM45" s="13"/>
      <c r="RPN45" s="13"/>
      <c r="RPO45" s="13"/>
      <c r="RPP45" s="13"/>
      <c r="RPQ45" s="13"/>
      <c r="RPR45" s="13"/>
      <c r="RPS45" s="13"/>
      <c r="RPT45" s="13"/>
      <c r="RPU45" s="13"/>
      <c r="RPV45" s="13"/>
      <c r="RPW45" s="13"/>
      <c r="RPX45" s="13"/>
      <c r="RPY45" s="13"/>
      <c r="RPZ45" s="13"/>
      <c r="RQA45" s="13"/>
      <c r="RQB45" s="13"/>
      <c r="RQC45" s="13"/>
      <c r="RQD45" s="13"/>
      <c r="RQE45" s="13"/>
      <c r="RQF45" s="13"/>
      <c r="RQG45" s="13"/>
      <c r="RQH45" s="13"/>
      <c r="RQI45" s="13"/>
      <c r="RQJ45" s="13"/>
      <c r="RQK45" s="13"/>
      <c r="RQL45" s="13"/>
      <c r="RQM45" s="13"/>
      <c r="RQN45" s="13"/>
      <c r="RQO45" s="13"/>
      <c r="RQP45" s="13"/>
      <c r="RQQ45" s="13"/>
      <c r="RQR45" s="13"/>
      <c r="RQS45" s="13"/>
      <c r="RQT45" s="13"/>
      <c r="RQU45" s="13"/>
      <c r="RQV45" s="13"/>
      <c r="RQW45" s="13"/>
      <c r="RQX45" s="13"/>
      <c r="RQY45" s="13"/>
      <c r="RQZ45" s="13"/>
      <c r="RRA45" s="13"/>
      <c r="RRB45" s="13"/>
      <c r="RRC45" s="13"/>
      <c r="RRD45" s="13"/>
      <c r="RRE45" s="13"/>
      <c r="RRF45" s="13"/>
      <c r="RRG45" s="13"/>
      <c r="RRH45" s="13"/>
      <c r="RRI45" s="13"/>
      <c r="RRJ45" s="13"/>
      <c r="RRK45" s="13"/>
      <c r="RRL45" s="13"/>
      <c r="RRM45" s="13"/>
      <c r="RRN45" s="13"/>
      <c r="RRO45" s="13"/>
      <c r="RRP45" s="13"/>
      <c r="RRQ45" s="13"/>
      <c r="RRR45" s="13"/>
      <c r="RRS45" s="13"/>
      <c r="RRT45" s="13"/>
      <c r="RRU45" s="13"/>
      <c r="RRV45" s="13"/>
      <c r="RRW45" s="13"/>
      <c r="RRX45" s="13"/>
      <c r="RRY45" s="13"/>
      <c r="RRZ45" s="13"/>
      <c r="RSA45" s="13"/>
      <c r="RSB45" s="13"/>
      <c r="RSC45" s="13"/>
      <c r="RSD45" s="13"/>
      <c r="RSE45" s="13"/>
      <c r="RSF45" s="13"/>
      <c r="RSG45" s="13"/>
      <c r="RSH45" s="13"/>
      <c r="RSI45" s="13"/>
      <c r="RSJ45" s="13"/>
      <c r="RSK45" s="13"/>
      <c r="RSL45" s="13"/>
      <c r="RSM45" s="13"/>
      <c r="RSN45" s="13"/>
      <c r="RSO45" s="13"/>
      <c r="RSP45" s="13"/>
      <c r="RSQ45" s="13"/>
      <c r="RSR45" s="13"/>
      <c r="RSS45" s="13"/>
      <c r="RST45" s="13"/>
      <c r="RSU45" s="13"/>
      <c r="RSV45" s="13"/>
      <c r="RSW45" s="13"/>
      <c r="RSX45" s="13"/>
      <c r="RSY45" s="13"/>
      <c r="RSZ45" s="13"/>
      <c r="RTA45" s="13"/>
      <c r="RTB45" s="13"/>
      <c r="RTC45" s="13"/>
      <c r="RTD45" s="13"/>
      <c r="RTE45" s="13"/>
      <c r="RTF45" s="13"/>
      <c r="RTG45" s="13"/>
      <c r="RTH45" s="13"/>
      <c r="RTI45" s="13"/>
      <c r="RTJ45" s="13"/>
      <c r="RTK45" s="13"/>
      <c r="RTL45" s="13"/>
      <c r="RTM45" s="13"/>
      <c r="RTN45" s="13"/>
      <c r="RTO45" s="13"/>
      <c r="RTP45" s="13"/>
      <c r="RTQ45" s="13"/>
      <c r="RTR45" s="13"/>
      <c r="RTS45" s="13"/>
      <c r="RTT45" s="13"/>
      <c r="RTU45" s="13"/>
      <c r="RTV45" s="13"/>
      <c r="RTW45" s="13"/>
      <c r="RTX45" s="13"/>
      <c r="RTY45" s="13"/>
      <c r="RTZ45" s="13"/>
      <c r="RUA45" s="13"/>
      <c r="RUB45" s="13"/>
      <c r="RUC45" s="13"/>
      <c r="RUD45" s="13"/>
      <c r="RUE45" s="13"/>
      <c r="RUF45" s="13"/>
      <c r="RUG45" s="13"/>
      <c r="RUH45" s="13"/>
      <c r="RUI45" s="13"/>
      <c r="RUJ45" s="13"/>
      <c r="RUK45" s="13"/>
      <c r="RUL45" s="13"/>
      <c r="RUM45" s="13"/>
      <c r="RUN45" s="13"/>
      <c r="RUO45" s="13"/>
      <c r="RUP45" s="13"/>
      <c r="RUQ45" s="13"/>
      <c r="RUR45" s="13"/>
      <c r="RUS45" s="13"/>
      <c r="RUT45" s="13"/>
      <c r="RUU45" s="13"/>
      <c r="RUV45" s="13"/>
      <c r="RUW45" s="13"/>
      <c r="RUX45" s="13"/>
      <c r="RUY45" s="13"/>
      <c r="RUZ45" s="13"/>
      <c r="RVA45" s="13"/>
      <c r="RVB45" s="13"/>
      <c r="RVC45" s="13"/>
      <c r="RVD45" s="13"/>
      <c r="RVE45" s="13"/>
      <c r="RVF45" s="13"/>
      <c r="RVG45" s="13"/>
      <c r="RVH45" s="13"/>
      <c r="RVI45" s="13"/>
      <c r="RVJ45" s="13"/>
      <c r="RVK45" s="13"/>
      <c r="RVL45" s="13"/>
      <c r="RVM45" s="13"/>
      <c r="RVN45" s="13"/>
      <c r="RVO45" s="13"/>
      <c r="RVP45" s="13"/>
      <c r="RVQ45" s="13"/>
      <c r="RVR45" s="13"/>
      <c r="RVS45" s="13"/>
      <c r="RVT45" s="13"/>
      <c r="RVU45" s="13"/>
      <c r="RVV45" s="13"/>
      <c r="RVW45" s="13"/>
      <c r="RVX45" s="13"/>
      <c r="RVY45" s="13"/>
      <c r="RVZ45" s="13"/>
      <c r="RWA45" s="13"/>
      <c r="RWB45" s="13"/>
      <c r="RWC45" s="13"/>
      <c r="RWD45" s="13"/>
      <c r="RWE45" s="13"/>
      <c r="RWF45" s="13"/>
      <c r="RWG45" s="13"/>
      <c r="RWH45" s="13"/>
      <c r="RWI45" s="13"/>
      <c r="RWJ45" s="13"/>
      <c r="RWK45" s="13"/>
      <c r="RWL45" s="13"/>
      <c r="RWM45" s="13"/>
      <c r="RWN45" s="13"/>
      <c r="RWO45" s="13"/>
      <c r="RWP45" s="13"/>
      <c r="RWQ45" s="13"/>
      <c r="RWR45" s="13"/>
      <c r="RWS45" s="13"/>
      <c r="RWT45" s="13"/>
      <c r="RWU45" s="13"/>
      <c r="RWV45" s="13"/>
      <c r="RWW45" s="13"/>
      <c r="RWX45" s="13"/>
      <c r="RWY45" s="13"/>
      <c r="RWZ45" s="13"/>
      <c r="RXA45" s="13"/>
      <c r="RXB45" s="13"/>
      <c r="RXC45" s="13"/>
      <c r="RXD45" s="13"/>
      <c r="RXE45" s="13"/>
      <c r="RXF45" s="13"/>
      <c r="RXG45" s="13"/>
      <c r="RXH45" s="13"/>
      <c r="RXI45" s="13"/>
      <c r="RXJ45" s="13"/>
      <c r="RXK45" s="13"/>
      <c r="RXL45" s="13"/>
      <c r="RXM45" s="13"/>
      <c r="RXN45" s="13"/>
      <c r="RXO45" s="13"/>
      <c r="RXP45" s="13"/>
      <c r="RXQ45" s="13"/>
      <c r="RXR45" s="13"/>
      <c r="RXS45" s="13"/>
      <c r="RXT45" s="13"/>
      <c r="RXU45" s="13"/>
      <c r="RXV45" s="13"/>
      <c r="RXW45" s="13"/>
      <c r="RXX45" s="13"/>
      <c r="RXY45" s="13"/>
      <c r="RXZ45" s="13"/>
      <c r="RYA45" s="13"/>
      <c r="RYB45" s="13"/>
      <c r="RYC45" s="13"/>
      <c r="RYD45" s="13"/>
      <c r="RYE45" s="13"/>
      <c r="RYF45" s="13"/>
      <c r="RYG45" s="13"/>
      <c r="RYH45" s="13"/>
      <c r="RYI45" s="13"/>
      <c r="RYJ45" s="13"/>
      <c r="RYK45" s="13"/>
      <c r="RYL45" s="13"/>
      <c r="RYM45" s="13"/>
      <c r="RYN45" s="13"/>
      <c r="RYO45" s="13"/>
      <c r="RYP45" s="13"/>
      <c r="RYQ45" s="13"/>
      <c r="RYR45" s="13"/>
      <c r="RYS45" s="13"/>
      <c r="RYT45" s="13"/>
      <c r="RYU45" s="13"/>
      <c r="RYV45" s="13"/>
      <c r="RYW45" s="13"/>
      <c r="RYX45" s="13"/>
      <c r="RYY45" s="13"/>
      <c r="RYZ45" s="13"/>
      <c r="RZA45" s="13"/>
      <c r="RZB45" s="13"/>
      <c r="RZC45" s="13"/>
      <c r="RZD45" s="13"/>
      <c r="RZE45" s="13"/>
      <c r="RZF45" s="13"/>
      <c r="RZG45" s="13"/>
      <c r="RZH45" s="13"/>
      <c r="RZI45" s="13"/>
      <c r="RZJ45" s="13"/>
      <c r="RZK45" s="13"/>
      <c r="RZL45" s="13"/>
      <c r="RZM45" s="13"/>
      <c r="RZN45" s="13"/>
      <c r="RZO45" s="13"/>
      <c r="RZP45" s="13"/>
      <c r="RZQ45" s="13"/>
      <c r="RZR45" s="13"/>
      <c r="RZS45" s="13"/>
      <c r="RZT45" s="13"/>
      <c r="RZU45" s="13"/>
      <c r="RZV45" s="13"/>
      <c r="RZW45" s="13"/>
      <c r="RZX45" s="13"/>
      <c r="RZY45" s="13"/>
      <c r="RZZ45" s="13"/>
      <c r="SAA45" s="13"/>
      <c r="SAB45" s="13"/>
      <c r="SAC45" s="13"/>
      <c r="SAD45" s="13"/>
      <c r="SAE45" s="13"/>
      <c r="SAF45" s="13"/>
      <c r="SAG45" s="13"/>
      <c r="SAH45" s="13"/>
      <c r="SAI45" s="13"/>
      <c r="SAJ45" s="13"/>
      <c r="SAK45" s="13"/>
      <c r="SAL45" s="13"/>
      <c r="SAM45" s="13"/>
      <c r="SAN45" s="13"/>
      <c r="SAO45" s="13"/>
      <c r="SAP45" s="13"/>
      <c r="SAQ45" s="13"/>
      <c r="SAR45" s="13"/>
      <c r="SAS45" s="13"/>
      <c r="SAT45" s="13"/>
      <c r="SAU45" s="13"/>
      <c r="SAV45" s="13"/>
      <c r="SAW45" s="13"/>
      <c r="SAX45" s="13"/>
      <c r="SAY45" s="13"/>
      <c r="SAZ45" s="13"/>
      <c r="SBA45" s="13"/>
      <c r="SBB45" s="13"/>
      <c r="SBC45" s="13"/>
      <c r="SBD45" s="13"/>
      <c r="SBE45" s="13"/>
      <c r="SBF45" s="13"/>
      <c r="SBG45" s="13"/>
      <c r="SBH45" s="13"/>
      <c r="SBI45" s="13"/>
      <c r="SBJ45" s="13"/>
      <c r="SBK45" s="13"/>
      <c r="SBL45" s="13"/>
      <c r="SBM45" s="13"/>
      <c r="SBN45" s="13"/>
      <c r="SBO45" s="13"/>
      <c r="SBP45" s="13"/>
      <c r="SBQ45" s="13"/>
      <c r="SBR45" s="13"/>
      <c r="SBS45" s="13"/>
      <c r="SBT45" s="13"/>
      <c r="SBU45" s="13"/>
      <c r="SBV45" s="13"/>
      <c r="SBW45" s="13"/>
      <c r="SBX45" s="13"/>
      <c r="SBY45" s="13"/>
      <c r="SBZ45" s="13"/>
      <c r="SCA45" s="13"/>
      <c r="SCB45" s="13"/>
      <c r="SCC45" s="13"/>
      <c r="SCD45" s="13"/>
      <c r="SCE45" s="13"/>
      <c r="SCF45" s="13"/>
      <c r="SCG45" s="13"/>
      <c r="SCH45" s="13"/>
      <c r="SCI45" s="13"/>
      <c r="SCJ45" s="13"/>
      <c r="SCK45" s="13"/>
      <c r="SCL45" s="13"/>
      <c r="SCM45" s="13"/>
      <c r="SCN45" s="13"/>
      <c r="SCO45" s="13"/>
      <c r="SCP45" s="13"/>
      <c r="SCQ45" s="13"/>
      <c r="SCR45" s="13"/>
      <c r="SCS45" s="13"/>
      <c r="SCT45" s="13"/>
      <c r="SCU45" s="13"/>
      <c r="SCV45" s="13"/>
      <c r="SCW45" s="13"/>
      <c r="SCX45" s="13"/>
      <c r="SCY45" s="13"/>
      <c r="SCZ45" s="13"/>
      <c r="SDA45" s="13"/>
      <c r="SDB45" s="13"/>
      <c r="SDC45" s="13"/>
      <c r="SDD45" s="13"/>
      <c r="SDE45" s="13"/>
      <c r="SDF45" s="13"/>
      <c r="SDG45" s="13"/>
      <c r="SDH45" s="13"/>
      <c r="SDI45" s="13"/>
      <c r="SDJ45" s="13"/>
      <c r="SDK45" s="13"/>
      <c r="SDL45" s="13"/>
      <c r="SDM45" s="13"/>
      <c r="SDN45" s="13"/>
      <c r="SDO45" s="13"/>
      <c r="SDP45" s="13"/>
      <c r="SDQ45" s="13"/>
      <c r="SDR45" s="13"/>
      <c r="SDS45" s="13"/>
      <c r="SDT45" s="13"/>
      <c r="SDU45" s="13"/>
      <c r="SDV45" s="13"/>
      <c r="SDW45" s="13"/>
      <c r="SDX45" s="13"/>
      <c r="SDY45" s="13"/>
      <c r="SDZ45" s="13"/>
      <c r="SEA45" s="13"/>
      <c r="SEB45" s="13"/>
      <c r="SEC45" s="13"/>
      <c r="SED45" s="13"/>
      <c r="SEE45" s="13"/>
      <c r="SEF45" s="13"/>
      <c r="SEG45" s="13"/>
      <c r="SEH45" s="13"/>
      <c r="SEI45" s="13"/>
      <c r="SEJ45" s="13"/>
      <c r="SEK45" s="13"/>
      <c r="SEL45" s="13"/>
      <c r="SEM45" s="13"/>
      <c r="SEN45" s="13"/>
      <c r="SEO45" s="13"/>
      <c r="SEP45" s="13"/>
      <c r="SEQ45" s="13"/>
      <c r="SER45" s="13"/>
      <c r="SES45" s="13"/>
      <c r="SET45" s="13"/>
      <c r="SEU45" s="13"/>
      <c r="SEV45" s="13"/>
      <c r="SEW45" s="13"/>
      <c r="SEX45" s="13"/>
      <c r="SEY45" s="13"/>
      <c r="SEZ45" s="13"/>
      <c r="SFA45" s="13"/>
      <c r="SFB45" s="13"/>
      <c r="SFC45" s="13"/>
      <c r="SFD45" s="13"/>
      <c r="SFE45" s="13"/>
      <c r="SFF45" s="13"/>
      <c r="SFG45" s="13"/>
      <c r="SFH45" s="13"/>
      <c r="SFI45" s="13"/>
      <c r="SFJ45" s="13"/>
      <c r="SFK45" s="13"/>
      <c r="SFL45" s="13"/>
      <c r="SFM45" s="13"/>
      <c r="SFN45" s="13"/>
      <c r="SFO45" s="13"/>
      <c r="SFP45" s="13"/>
      <c r="SFQ45" s="13"/>
      <c r="SFR45" s="13"/>
      <c r="SFS45" s="13"/>
      <c r="SFT45" s="13"/>
      <c r="SFU45" s="13"/>
      <c r="SFV45" s="13"/>
      <c r="SFW45" s="13"/>
      <c r="SFX45" s="13"/>
      <c r="SFY45" s="13"/>
      <c r="SFZ45" s="13"/>
      <c r="SGA45" s="13"/>
      <c r="SGB45" s="13"/>
      <c r="SGC45" s="13"/>
      <c r="SGD45" s="13"/>
      <c r="SGE45" s="13"/>
      <c r="SGF45" s="13"/>
      <c r="SGG45" s="13"/>
      <c r="SGH45" s="13"/>
      <c r="SGI45" s="13"/>
      <c r="SGJ45" s="13"/>
      <c r="SGK45" s="13"/>
      <c r="SGL45" s="13"/>
      <c r="SGM45" s="13"/>
      <c r="SGN45" s="13"/>
      <c r="SGO45" s="13"/>
      <c r="SGP45" s="13"/>
      <c r="SGQ45" s="13"/>
      <c r="SGR45" s="13"/>
      <c r="SGS45" s="13"/>
      <c r="SGT45" s="13"/>
      <c r="SGU45" s="13"/>
      <c r="SGV45" s="13"/>
      <c r="SGW45" s="13"/>
      <c r="SGX45" s="13"/>
      <c r="SGY45" s="13"/>
      <c r="SGZ45" s="13"/>
      <c r="SHA45" s="13"/>
      <c r="SHB45" s="13"/>
      <c r="SHC45" s="13"/>
      <c r="SHD45" s="13"/>
      <c r="SHE45" s="13"/>
      <c r="SHF45" s="13"/>
      <c r="SHG45" s="13"/>
      <c r="SHH45" s="13"/>
      <c r="SHI45" s="13"/>
      <c r="SHJ45" s="13"/>
      <c r="SHK45" s="13"/>
      <c r="SHL45" s="13"/>
      <c r="SHM45" s="13"/>
      <c r="SHN45" s="13"/>
      <c r="SHO45" s="13"/>
      <c r="SHP45" s="13"/>
      <c r="SHQ45" s="13"/>
      <c r="SHR45" s="13"/>
      <c r="SHS45" s="13"/>
      <c r="SHT45" s="13"/>
      <c r="SHU45" s="13"/>
      <c r="SHV45" s="13"/>
      <c r="SHW45" s="13"/>
      <c r="SHX45" s="13"/>
      <c r="SHY45" s="13"/>
      <c r="SHZ45" s="13"/>
      <c r="SIA45" s="13"/>
      <c r="SIB45" s="13"/>
      <c r="SIC45" s="13"/>
      <c r="SID45" s="13"/>
      <c r="SIE45" s="13"/>
      <c r="SIF45" s="13"/>
      <c r="SIG45" s="13"/>
      <c r="SIH45" s="13"/>
      <c r="SII45" s="13"/>
      <c r="SIJ45" s="13"/>
      <c r="SIK45" s="13"/>
      <c r="SIL45" s="13"/>
      <c r="SIM45" s="13"/>
      <c r="SIN45" s="13"/>
      <c r="SIO45" s="13"/>
      <c r="SIP45" s="13"/>
      <c r="SIQ45" s="13"/>
      <c r="SIR45" s="13"/>
      <c r="SIS45" s="13"/>
      <c r="SIT45" s="13"/>
      <c r="SIU45" s="13"/>
      <c r="SIV45" s="13"/>
      <c r="SIW45" s="13"/>
      <c r="SIX45" s="13"/>
      <c r="SIY45" s="13"/>
      <c r="SIZ45" s="13"/>
      <c r="SJA45" s="13"/>
      <c r="SJB45" s="13"/>
      <c r="SJC45" s="13"/>
      <c r="SJD45" s="13"/>
      <c r="SJE45" s="13"/>
      <c r="SJF45" s="13"/>
      <c r="SJG45" s="13"/>
      <c r="SJH45" s="13"/>
      <c r="SJI45" s="13"/>
      <c r="SJJ45" s="13"/>
      <c r="SJK45" s="13"/>
      <c r="SJL45" s="13"/>
      <c r="SJM45" s="13"/>
      <c r="SJN45" s="13"/>
      <c r="SJO45" s="13"/>
      <c r="SJP45" s="13"/>
      <c r="SJQ45" s="13"/>
      <c r="SJR45" s="13"/>
      <c r="SJS45" s="13"/>
      <c r="SJT45" s="13"/>
      <c r="SJU45" s="13"/>
      <c r="SJV45" s="13"/>
      <c r="SJW45" s="13"/>
      <c r="SJX45" s="13"/>
      <c r="SJY45" s="13"/>
      <c r="SJZ45" s="13"/>
      <c r="SKA45" s="13"/>
      <c r="SKB45" s="13"/>
      <c r="SKC45" s="13"/>
      <c r="SKD45" s="13"/>
      <c r="SKE45" s="13"/>
      <c r="SKF45" s="13"/>
      <c r="SKG45" s="13"/>
      <c r="SKH45" s="13"/>
      <c r="SKI45" s="13"/>
      <c r="SKJ45" s="13"/>
      <c r="SKK45" s="13"/>
      <c r="SKL45" s="13"/>
      <c r="SKM45" s="13"/>
      <c r="SKN45" s="13"/>
      <c r="SKO45" s="13"/>
      <c r="SKP45" s="13"/>
      <c r="SKQ45" s="13"/>
      <c r="SKR45" s="13"/>
      <c r="SKS45" s="13"/>
      <c r="SKT45" s="13"/>
      <c r="SKU45" s="13"/>
      <c r="SKV45" s="13"/>
      <c r="SKW45" s="13"/>
      <c r="SKX45" s="13"/>
      <c r="SKY45" s="13"/>
      <c r="SKZ45" s="13"/>
      <c r="SLA45" s="13"/>
      <c r="SLB45" s="13"/>
      <c r="SLC45" s="13"/>
      <c r="SLD45" s="13"/>
      <c r="SLE45" s="13"/>
      <c r="SLF45" s="13"/>
      <c r="SLG45" s="13"/>
      <c r="SLH45" s="13"/>
      <c r="SLI45" s="13"/>
      <c r="SLJ45" s="13"/>
      <c r="SLK45" s="13"/>
      <c r="SLL45" s="13"/>
      <c r="SLM45" s="13"/>
      <c r="SLN45" s="13"/>
      <c r="SLO45" s="13"/>
      <c r="SLP45" s="13"/>
      <c r="SLQ45" s="13"/>
      <c r="SLR45" s="13"/>
      <c r="SLS45" s="13"/>
      <c r="SLT45" s="13"/>
      <c r="SLU45" s="13"/>
      <c r="SLV45" s="13"/>
      <c r="SLW45" s="13"/>
      <c r="SLX45" s="13"/>
      <c r="SLY45" s="13"/>
      <c r="SLZ45" s="13"/>
      <c r="SMA45" s="13"/>
      <c r="SMB45" s="13"/>
      <c r="SMC45" s="13"/>
      <c r="SMD45" s="13"/>
      <c r="SME45" s="13"/>
      <c r="SMF45" s="13"/>
      <c r="SMG45" s="13"/>
      <c r="SMH45" s="13"/>
      <c r="SMI45" s="13"/>
      <c r="SMJ45" s="13"/>
      <c r="SMK45" s="13"/>
      <c r="SML45" s="13"/>
      <c r="SMM45" s="13"/>
      <c r="SMN45" s="13"/>
      <c r="SMO45" s="13"/>
      <c r="SMP45" s="13"/>
      <c r="SMQ45" s="13"/>
      <c r="SMR45" s="13"/>
      <c r="SMS45" s="13"/>
      <c r="SMT45" s="13"/>
      <c r="SMU45" s="13"/>
      <c r="SMV45" s="13"/>
      <c r="SMW45" s="13"/>
      <c r="SMX45" s="13"/>
      <c r="SMY45" s="13"/>
      <c r="SMZ45" s="13"/>
      <c r="SNA45" s="13"/>
      <c r="SNB45" s="13"/>
      <c r="SNC45" s="13"/>
      <c r="SND45" s="13"/>
      <c r="SNE45" s="13"/>
      <c r="SNF45" s="13"/>
      <c r="SNG45" s="13"/>
      <c r="SNH45" s="13"/>
      <c r="SNI45" s="13"/>
      <c r="SNJ45" s="13"/>
      <c r="SNK45" s="13"/>
      <c r="SNL45" s="13"/>
      <c r="SNM45" s="13"/>
      <c r="SNN45" s="13"/>
      <c r="SNO45" s="13"/>
      <c r="SNP45" s="13"/>
      <c r="SNQ45" s="13"/>
      <c r="SNR45" s="13"/>
      <c r="SNS45" s="13"/>
      <c r="SNT45" s="13"/>
      <c r="SNU45" s="13"/>
      <c r="SNV45" s="13"/>
      <c r="SNW45" s="13"/>
      <c r="SNX45" s="13"/>
      <c r="SNY45" s="13"/>
      <c r="SNZ45" s="13"/>
      <c r="SOA45" s="13"/>
      <c r="SOB45" s="13"/>
      <c r="SOC45" s="13"/>
      <c r="SOD45" s="13"/>
      <c r="SOE45" s="13"/>
      <c r="SOF45" s="13"/>
      <c r="SOG45" s="13"/>
      <c r="SOH45" s="13"/>
      <c r="SOI45" s="13"/>
      <c r="SOJ45" s="13"/>
      <c r="SOK45" s="13"/>
      <c r="SOL45" s="13"/>
      <c r="SOM45" s="13"/>
      <c r="SON45" s="13"/>
      <c r="SOO45" s="13"/>
      <c r="SOP45" s="13"/>
      <c r="SOQ45" s="13"/>
      <c r="SOR45" s="13"/>
      <c r="SOS45" s="13"/>
      <c r="SOT45" s="13"/>
      <c r="SOU45" s="13"/>
      <c r="SOV45" s="13"/>
      <c r="SOW45" s="13"/>
      <c r="SOX45" s="13"/>
      <c r="SOY45" s="13"/>
      <c r="SOZ45" s="13"/>
      <c r="SPA45" s="13"/>
      <c r="SPB45" s="13"/>
      <c r="SPC45" s="13"/>
      <c r="SPD45" s="13"/>
      <c r="SPE45" s="13"/>
      <c r="SPF45" s="13"/>
      <c r="SPG45" s="13"/>
      <c r="SPH45" s="13"/>
      <c r="SPI45" s="13"/>
      <c r="SPJ45" s="13"/>
      <c r="SPK45" s="13"/>
      <c r="SPL45" s="13"/>
      <c r="SPM45" s="13"/>
      <c r="SPN45" s="13"/>
      <c r="SPO45" s="13"/>
      <c r="SPP45" s="13"/>
      <c r="SPQ45" s="13"/>
      <c r="SPR45" s="13"/>
      <c r="SPS45" s="13"/>
      <c r="SPT45" s="13"/>
      <c r="SPU45" s="13"/>
      <c r="SPV45" s="13"/>
      <c r="SPW45" s="13"/>
      <c r="SPX45" s="13"/>
      <c r="SPY45" s="13"/>
      <c r="SPZ45" s="13"/>
      <c r="SQA45" s="13"/>
      <c r="SQB45" s="13"/>
      <c r="SQC45" s="13"/>
      <c r="SQD45" s="13"/>
      <c r="SQE45" s="13"/>
      <c r="SQF45" s="13"/>
      <c r="SQG45" s="13"/>
      <c r="SQH45" s="13"/>
      <c r="SQI45" s="13"/>
      <c r="SQJ45" s="13"/>
      <c r="SQK45" s="13"/>
      <c r="SQL45" s="13"/>
      <c r="SQM45" s="13"/>
      <c r="SQN45" s="13"/>
      <c r="SQO45" s="13"/>
      <c r="SQP45" s="13"/>
      <c r="SQQ45" s="13"/>
      <c r="SQR45" s="13"/>
      <c r="SQS45" s="13"/>
      <c r="SQT45" s="13"/>
      <c r="SQU45" s="13"/>
      <c r="SQV45" s="13"/>
      <c r="SQW45" s="13"/>
      <c r="SQX45" s="13"/>
      <c r="SQY45" s="13"/>
      <c r="SQZ45" s="13"/>
      <c r="SRA45" s="13"/>
      <c r="SRB45" s="13"/>
      <c r="SRC45" s="13"/>
      <c r="SRD45" s="13"/>
      <c r="SRE45" s="13"/>
      <c r="SRF45" s="13"/>
      <c r="SRG45" s="13"/>
      <c r="SRH45" s="13"/>
      <c r="SRI45" s="13"/>
      <c r="SRJ45" s="13"/>
      <c r="SRK45" s="13"/>
      <c r="SRL45" s="13"/>
      <c r="SRM45" s="13"/>
      <c r="SRN45" s="13"/>
      <c r="SRO45" s="13"/>
      <c r="SRP45" s="13"/>
      <c r="SRQ45" s="13"/>
      <c r="SRR45" s="13"/>
      <c r="SRS45" s="13"/>
      <c r="SRT45" s="13"/>
      <c r="SRU45" s="13"/>
      <c r="SRV45" s="13"/>
      <c r="SRW45" s="13"/>
      <c r="SRX45" s="13"/>
      <c r="SRY45" s="13"/>
      <c r="SRZ45" s="13"/>
      <c r="SSA45" s="13"/>
      <c r="SSB45" s="13"/>
      <c r="SSC45" s="13"/>
      <c r="SSD45" s="13"/>
      <c r="SSE45" s="13"/>
      <c r="SSF45" s="13"/>
      <c r="SSG45" s="13"/>
      <c r="SSH45" s="13"/>
      <c r="SSI45" s="13"/>
      <c r="SSJ45" s="13"/>
      <c r="SSK45" s="13"/>
      <c r="SSL45" s="13"/>
      <c r="SSM45" s="13"/>
      <c r="SSN45" s="13"/>
      <c r="SSO45" s="13"/>
      <c r="SSP45" s="13"/>
      <c r="SSQ45" s="13"/>
      <c r="SSR45" s="13"/>
      <c r="SSS45" s="13"/>
      <c r="SST45" s="13"/>
      <c r="SSU45" s="13"/>
      <c r="SSV45" s="13"/>
      <c r="SSW45" s="13"/>
      <c r="SSX45" s="13"/>
      <c r="SSY45" s="13"/>
      <c r="SSZ45" s="13"/>
      <c r="STA45" s="13"/>
      <c r="STB45" s="13"/>
      <c r="STC45" s="13"/>
      <c r="STD45" s="13"/>
      <c r="STE45" s="13"/>
      <c r="STF45" s="13"/>
      <c r="STG45" s="13"/>
      <c r="STH45" s="13"/>
      <c r="STI45" s="13"/>
      <c r="STJ45" s="13"/>
      <c r="STK45" s="13"/>
      <c r="STL45" s="13"/>
      <c r="STM45" s="13"/>
      <c r="STN45" s="13"/>
      <c r="STO45" s="13"/>
      <c r="STP45" s="13"/>
      <c r="STQ45" s="13"/>
      <c r="STR45" s="13"/>
      <c r="STS45" s="13"/>
      <c r="STT45" s="13"/>
      <c r="STU45" s="13"/>
      <c r="STV45" s="13"/>
      <c r="STW45" s="13"/>
      <c r="STX45" s="13"/>
      <c r="STY45" s="13"/>
      <c r="STZ45" s="13"/>
      <c r="SUA45" s="13"/>
      <c r="SUB45" s="13"/>
      <c r="SUC45" s="13"/>
      <c r="SUD45" s="13"/>
      <c r="SUE45" s="13"/>
      <c r="SUF45" s="13"/>
      <c r="SUG45" s="13"/>
      <c r="SUH45" s="13"/>
      <c r="SUI45" s="13"/>
      <c r="SUJ45" s="13"/>
      <c r="SUK45" s="13"/>
      <c r="SUL45" s="13"/>
      <c r="SUM45" s="13"/>
      <c r="SUN45" s="13"/>
      <c r="SUO45" s="13"/>
      <c r="SUP45" s="13"/>
      <c r="SUQ45" s="13"/>
      <c r="SUR45" s="13"/>
      <c r="SUS45" s="13"/>
      <c r="SUT45" s="13"/>
      <c r="SUU45" s="13"/>
      <c r="SUV45" s="13"/>
      <c r="SUW45" s="13"/>
      <c r="SUX45" s="13"/>
      <c r="SUY45" s="13"/>
      <c r="SUZ45" s="13"/>
      <c r="SVA45" s="13"/>
      <c r="SVB45" s="13"/>
      <c r="SVC45" s="13"/>
      <c r="SVD45" s="13"/>
      <c r="SVE45" s="13"/>
      <c r="SVF45" s="13"/>
      <c r="SVG45" s="13"/>
      <c r="SVH45" s="13"/>
      <c r="SVI45" s="13"/>
      <c r="SVJ45" s="13"/>
      <c r="SVK45" s="13"/>
      <c r="SVL45" s="13"/>
      <c r="SVM45" s="13"/>
      <c r="SVN45" s="13"/>
      <c r="SVO45" s="13"/>
      <c r="SVP45" s="13"/>
      <c r="SVQ45" s="13"/>
      <c r="SVR45" s="13"/>
      <c r="SVS45" s="13"/>
      <c r="SVT45" s="13"/>
      <c r="SVU45" s="13"/>
      <c r="SVV45" s="13"/>
      <c r="SVW45" s="13"/>
      <c r="SVX45" s="13"/>
      <c r="SVY45" s="13"/>
      <c r="SVZ45" s="13"/>
      <c r="SWA45" s="13"/>
      <c r="SWB45" s="13"/>
      <c r="SWC45" s="13"/>
      <c r="SWD45" s="13"/>
      <c r="SWE45" s="13"/>
      <c r="SWF45" s="13"/>
      <c r="SWG45" s="13"/>
      <c r="SWH45" s="13"/>
      <c r="SWI45" s="13"/>
      <c r="SWJ45" s="13"/>
      <c r="SWK45" s="13"/>
      <c r="SWL45" s="13"/>
      <c r="SWM45" s="13"/>
      <c r="SWN45" s="13"/>
      <c r="SWO45" s="13"/>
      <c r="SWP45" s="13"/>
      <c r="SWQ45" s="13"/>
      <c r="SWR45" s="13"/>
      <c r="SWS45" s="13"/>
      <c r="SWT45" s="13"/>
      <c r="SWU45" s="13"/>
      <c r="SWV45" s="13"/>
      <c r="SWW45" s="13"/>
      <c r="SWX45" s="13"/>
      <c r="SWY45" s="13"/>
      <c r="SWZ45" s="13"/>
      <c r="SXA45" s="13"/>
      <c r="SXB45" s="13"/>
      <c r="SXC45" s="13"/>
      <c r="SXD45" s="13"/>
      <c r="SXE45" s="13"/>
      <c r="SXF45" s="13"/>
      <c r="SXG45" s="13"/>
      <c r="SXH45" s="13"/>
      <c r="SXI45" s="13"/>
      <c r="SXJ45" s="13"/>
      <c r="SXK45" s="13"/>
      <c r="SXL45" s="13"/>
      <c r="SXM45" s="13"/>
      <c r="SXN45" s="13"/>
      <c r="SXO45" s="13"/>
      <c r="SXP45" s="13"/>
      <c r="SXQ45" s="13"/>
      <c r="SXR45" s="13"/>
      <c r="SXS45" s="13"/>
      <c r="SXT45" s="13"/>
      <c r="SXU45" s="13"/>
      <c r="SXV45" s="13"/>
      <c r="SXW45" s="13"/>
      <c r="SXX45" s="13"/>
      <c r="SXY45" s="13"/>
      <c r="SXZ45" s="13"/>
      <c r="SYA45" s="13"/>
      <c r="SYB45" s="13"/>
      <c r="SYC45" s="13"/>
      <c r="SYD45" s="13"/>
      <c r="SYE45" s="13"/>
      <c r="SYF45" s="13"/>
      <c r="SYG45" s="13"/>
      <c r="SYH45" s="13"/>
      <c r="SYI45" s="13"/>
      <c r="SYJ45" s="13"/>
      <c r="SYK45" s="13"/>
      <c r="SYL45" s="13"/>
      <c r="SYM45" s="13"/>
      <c r="SYN45" s="13"/>
      <c r="SYO45" s="13"/>
      <c r="SYP45" s="13"/>
      <c r="SYQ45" s="13"/>
      <c r="SYR45" s="13"/>
      <c r="SYS45" s="13"/>
      <c r="SYT45" s="13"/>
      <c r="SYU45" s="13"/>
      <c r="SYV45" s="13"/>
      <c r="SYW45" s="13"/>
      <c r="SYX45" s="13"/>
      <c r="SYY45" s="13"/>
      <c r="SYZ45" s="13"/>
      <c r="SZA45" s="13"/>
      <c r="SZB45" s="13"/>
      <c r="SZC45" s="13"/>
      <c r="SZD45" s="13"/>
      <c r="SZE45" s="13"/>
      <c r="SZF45" s="13"/>
      <c r="SZG45" s="13"/>
      <c r="SZH45" s="13"/>
      <c r="SZI45" s="13"/>
      <c r="SZJ45" s="13"/>
      <c r="SZK45" s="13"/>
      <c r="SZL45" s="13"/>
      <c r="SZM45" s="13"/>
      <c r="SZN45" s="13"/>
      <c r="SZO45" s="13"/>
      <c r="SZP45" s="13"/>
      <c r="SZQ45" s="13"/>
      <c r="SZR45" s="13"/>
      <c r="SZS45" s="13"/>
      <c r="SZT45" s="13"/>
      <c r="SZU45" s="13"/>
      <c r="SZV45" s="13"/>
      <c r="SZW45" s="13"/>
      <c r="SZX45" s="13"/>
      <c r="SZY45" s="13"/>
      <c r="SZZ45" s="13"/>
      <c r="TAA45" s="13"/>
      <c r="TAB45" s="13"/>
      <c r="TAC45" s="13"/>
      <c r="TAD45" s="13"/>
      <c r="TAE45" s="13"/>
      <c r="TAF45" s="13"/>
      <c r="TAG45" s="13"/>
      <c r="TAH45" s="13"/>
      <c r="TAI45" s="13"/>
      <c r="TAJ45" s="13"/>
      <c r="TAK45" s="13"/>
      <c r="TAL45" s="13"/>
      <c r="TAM45" s="13"/>
      <c r="TAN45" s="13"/>
      <c r="TAO45" s="13"/>
      <c r="TAP45" s="13"/>
      <c r="TAQ45" s="13"/>
      <c r="TAR45" s="13"/>
      <c r="TAS45" s="13"/>
      <c r="TAT45" s="13"/>
      <c r="TAU45" s="13"/>
      <c r="TAV45" s="13"/>
      <c r="TAW45" s="13"/>
      <c r="TAX45" s="13"/>
      <c r="TAY45" s="13"/>
      <c r="TAZ45" s="13"/>
      <c r="TBA45" s="13"/>
      <c r="TBB45" s="13"/>
      <c r="TBC45" s="13"/>
      <c r="TBD45" s="13"/>
      <c r="TBE45" s="13"/>
      <c r="TBF45" s="13"/>
      <c r="TBG45" s="13"/>
      <c r="TBH45" s="13"/>
      <c r="TBI45" s="13"/>
      <c r="TBJ45" s="13"/>
      <c r="TBK45" s="13"/>
      <c r="TBL45" s="13"/>
      <c r="TBM45" s="13"/>
      <c r="TBN45" s="13"/>
      <c r="TBO45" s="13"/>
      <c r="TBP45" s="13"/>
      <c r="TBQ45" s="13"/>
      <c r="TBR45" s="13"/>
      <c r="TBS45" s="13"/>
      <c r="TBT45" s="13"/>
      <c r="TBU45" s="13"/>
      <c r="TBV45" s="13"/>
      <c r="TBW45" s="13"/>
      <c r="TBX45" s="13"/>
      <c r="TBY45" s="13"/>
      <c r="TBZ45" s="13"/>
      <c r="TCA45" s="13"/>
      <c r="TCB45" s="13"/>
      <c r="TCC45" s="13"/>
      <c r="TCD45" s="13"/>
      <c r="TCE45" s="13"/>
      <c r="TCF45" s="13"/>
      <c r="TCG45" s="13"/>
      <c r="TCH45" s="13"/>
      <c r="TCI45" s="13"/>
      <c r="TCJ45" s="13"/>
      <c r="TCK45" s="13"/>
      <c r="TCL45" s="13"/>
      <c r="TCM45" s="13"/>
      <c r="TCN45" s="13"/>
      <c r="TCO45" s="13"/>
      <c r="TCP45" s="13"/>
      <c r="TCQ45" s="13"/>
      <c r="TCR45" s="13"/>
      <c r="TCS45" s="13"/>
      <c r="TCT45" s="13"/>
      <c r="TCU45" s="13"/>
      <c r="TCV45" s="13"/>
      <c r="TCW45" s="13"/>
      <c r="TCX45" s="13"/>
      <c r="TCY45" s="13"/>
      <c r="TCZ45" s="13"/>
      <c r="TDA45" s="13"/>
      <c r="TDB45" s="13"/>
      <c r="TDC45" s="13"/>
      <c r="TDD45" s="13"/>
      <c r="TDE45" s="13"/>
      <c r="TDF45" s="13"/>
      <c r="TDG45" s="13"/>
      <c r="TDH45" s="13"/>
      <c r="TDI45" s="13"/>
      <c r="TDJ45" s="13"/>
      <c r="TDK45" s="13"/>
      <c r="TDL45" s="13"/>
      <c r="TDM45" s="13"/>
      <c r="TDN45" s="13"/>
      <c r="TDO45" s="13"/>
      <c r="TDP45" s="13"/>
      <c r="TDQ45" s="13"/>
      <c r="TDR45" s="13"/>
      <c r="TDS45" s="13"/>
      <c r="TDT45" s="13"/>
      <c r="TDU45" s="13"/>
      <c r="TDV45" s="13"/>
      <c r="TDW45" s="13"/>
      <c r="TDX45" s="13"/>
      <c r="TDY45" s="13"/>
      <c r="TDZ45" s="13"/>
      <c r="TEA45" s="13"/>
      <c r="TEB45" s="13"/>
      <c r="TEC45" s="13"/>
      <c r="TED45" s="13"/>
      <c r="TEE45" s="13"/>
      <c r="TEF45" s="13"/>
      <c r="TEG45" s="13"/>
      <c r="TEH45" s="13"/>
      <c r="TEI45" s="13"/>
      <c r="TEJ45" s="13"/>
      <c r="TEK45" s="13"/>
      <c r="TEL45" s="13"/>
      <c r="TEM45" s="13"/>
      <c r="TEN45" s="13"/>
      <c r="TEO45" s="13"/>
      <c r="TEP45" s="13"/>
      <c r="TEQ45" s="13"/>
      <c r="TER45" s="13"/>
      <c r="TES45" s="13"/>
      <c r="TET45" s="13"/>
      <c r="TEU45" s="13"/>
      <c r="TEV45" s="13"/>
      <c r="TEW45" s="13"/>
      <c r="TEX45" s="13"/>
      <c r="TEY45" s="13"/>
      <c r="TEZ45" s="13"/>
      <c r="TFA45" s="13"/>
      <c r="TFB45" s="13"/>
      <c r="TFC45" s="13"/>
      <c r="TFD45" s="13"/>
      <c r="TFE45" s="13"/>
      <c r="TFF45" s="13"/>
      <c r="TFG45" s="13"/>
      <c r="TFH45" s="13"/>
      <c r="TFI45" s="13"/>
      <c r="TFJ45" s="13"/>
      <c r="TFK45" s="13"/>
      <c r="TFL45" s="13"/>
      <c r="TFM45" s="13"/>
      <c r="TFN45" s="13"/>
      <c r="TFO45" s="13"/>
      <c r="TFP45" s="13"/>
      <c r="TFQ45" s="13"/>
      <c r="TFR45" s="13"/>
      <c r="TFS45" s="13"/>
      <c r="TFT45" s="13"/>
      <c r="TFU45" s="13"/>
      <c r="TFV45" s="13"/>
      <c r="TFW45" s="13"/>
      <c r="TFX45" s="13"/>
      <c r="TFY45" s="13"/>
      <c r="TFZ45" s="13"/>
      <c r="TGA45" s="13"/>
      <c r="TGB45" s="13"/>
      <c r="TGC45" s="13"/>
      <c r="TGD45" s="13"/>
      <c r="TGE45" s="13"/>
      <c r="TGF45" s="13"/>
      <c r="TGG45" s="13"/>
      <c r="TGH45" s="13"/>
      <c r="TGI45" s="13"/>
      <c r="TGJ45" s="13"/>
      <c r="TGK45" s="13"/>
      <c r="TGL45" s="13"/>
      <c r="TGM45" s="13"/>
      <c r="TGN45" s="13"/>
      <c r="TGO45" s="13"/>
      <c r="TGP45" s="13"/>
      <c r="TGQ45" s="13"/>
      <c r="TGR45" s="13"/>
      <c r="TGS45" s="13"/>
      <c r="TGT45" s="13"/>
      <c r="TGU45" s="13"/>
      <c r="TGV45" s="13"/>
      <c r="TGW45" s="13"/>
      <c r="TGX45" s="13"/>
      <c r="TGY45" s="13"/>
      <c r="TGZ45" s="13"/>
      <c r="THA45" s="13"/>
      <c r="THB45" s="13"/>
      <c r="THC45" s="13"/>
      <c r="THD45" s="13"/>
      <c r="THE45" s="13"/>
      <c r="THF45" s="13"/>
      <c r="THG45" s="13"/>
      <c r="THH45" s="13"/>
      <c r="THI45" s="13"/>
      <c r="THJ45" s="13"/>
      <c r="THK45" s="13"/>
      <c r="THL45" s="13"/>
      <c r="THM45" s="13"/>
      <c r="THN45" s="13"/>
      <c r="THO45" s="13"/>
      <c r="THP45" s="13"/>
      <c r="THQ45" s="13"/>
      <c r="THR45" s="13"/>
      <c r="THS45" s="13"/>
      <c r="THT45" s="13"/>
      <c r="THU45" s="13"/>
      <c r="THV45" s="13"/>
      <c r="THW45" s="13"/>
      <c r="THX45" s="13"/>
      <c r="THY45" s="13"/>
      <c r="THZ45" s="13"/>
      <c r="TIA45" s="13"/>
      <c r="TIB45" s="13"/>
      <c r="TIC45" s="13"/>
      <c r="TID45" s="13"/>
      <c r="TIE45" s="13"/>
      <c r="TIF45" s="13"/>
      <c r="TIG45" s="13"/>
      <c r="TIH45" s="13"/>
      <c r="TII45" s="13"/>
      <c r="TIJ45" s="13"/>
      <c r="TIK45" s="13"/>
      <c r="TIL45" s="13"/>
      <c r="TIM45" s="13"/>
      <c r="TIN45" s="13"/>
      <c r="TIO45" s="13"/>
      <c r="TIP45" s="13"/>
      <c r="TIQ45" s="13"/>
      <c r="TIR45" s="13"/>
      <c r="TIS45" s="13"/>
      <c r="TIT45" s="13"/>
      <c r="TIU45" s="13"/>
      <c r="TIV45" s="13"/>
      <c r="TIW45" s="13"/>
      <c r="TIX45" s="13"/>
      <c r="TIY45" s="13"/>
      <c r="TIZ45" s="13"/>
      <c r="TJA45" s="13"/>
      <c r="TJB45" s="13"/>
      <c r="TJC45" s="13"/>
      <c r="TJD45" s="13"/>
      <c r="TJE45" s="13"/>
      <c r="TJF45" s="13"/>
      <c r="TJG45" s="13"/>
      <c r="TJH45" s="13"/>
      <c r="TJI45" s="13"/>
      <c r="TJJ45" s="13"/>
      <c r="TJK45" s="13"/>
      <c r="TJL45" s="13"/>
      <c r="TJM45" s="13"/>
      <c r="TJN45" s="13"/>
      <c r="TJO45" s="13"/>
      <c r="TJP45" s="13"/>
      <c r="TJQ45" s="13"/>
      <c r="TJR45" s="13"/>
      <c r="TJS45" s="13"/>
      <c r="TJT45" s="13"/>
      <c r="TJU45" s="13"/>
      <c r="TJV45" s="13"/>
      <c r="TJW45" s="13"/>
      <c r="TJX45" s="13"/>
      <c r="TJY45" s="13"/>
      <c r="TJZ45" s="13"/>
      <c r="TKA45" s="13"/>
      <c r="TKB45" s="13"/>
      <c r="TKC45" s="13"/>
      <c r="TKD45" s="13"/>
      <c r="TKE45" s="13"/>
      <c r="TKF45" s="13"/>
      <c r="TKG45" s="13"/>
      <c r="TKH45" s="13"/>
      <c r="TKI45" s="13"/>
      <c r="TKJ45" s="13"/>
      <c r="TKK45" s="13"/>
      <c r="TKL45" s="13"/>
      <c r="TKM45" s="13"/>
      <c r="TKN45" s="13"/>
      <c r="TKO45" s="13"/>
      <c r="TKP45" s="13"/>
      <c r="TKQ45" s="13"/>
      <c r="TKR45" s="13"/>
      <c r="TKS45" s="13"/>
      <c r="TKT45" s="13"/>
      <c r="TKU45" s="13"/>
      <c r="TKV45" s="13"/>
      <c r="TKW45" s="13"/>
      <c r="TKX45" s="13"/>
      <c r="TKY45" s="13"/>
      <c r="TKZ45" s="13"/>
      <c r="TLA45" s="13"/>
      <c r="TLB45" s="13"/>
      <c r="TLC45" s="13"/>
      <c r="TLD45" s="13"/>
      <c r="TLE45" s="13"/>
      <c r="TLF45" s="13"/>
      <c r="TLG45" s="13"/>
      <c r="TLH45" s="13"/>
      <c r="TLI45" s="13"/>
      <c r="TLJ45" s="13"/>
      <c r="TLK45" s="13"/>
      <c r="TLL45" s="13"/>
      <c r="TLM45" s="13"/>
      <c r="TLN45" s="13"/>
      <c r="TLO45" s="13"/>
      <c r="TLP45" s="13"/>
      <c r="TLQ45" s="13"/>
      <c r="TLR45" s="13"/>
      <c r="TLS45" s="13"/>
      <c r="TLT45" s="13"/>
      <c r="TLU45" s="13"/>
      <c r="TLV45" s="13"/>
      <c r="TLW45" s="13"/>
      <c r="TLX45" s="13"/>
      <c r="TLY45" s="13"/>
      <c r="TLZ45" s="13"/>
      <c r="TMA45" s="13"/>
      <c r="TMB45" s="13"/>
      <c r="TMC45" s="13"/>
      <c r="TMD45" s="13"/>
      <c r="TME45" s="13"/>
      <c r="TMF45" s="13"/>
      <c r="TMG45" s="13"/>
      <c r="TMH45" s="13"/>
      <c r="TMI45" s="13"/>
      <c r="TMJ45" s="13"/>
      <c r="TMK45" s="13"/>
      <c r="TML45" s="13"/>
      <c r="TMM45" s="13"/>
      <c r="TMN45" s="13"/>
      <c r="TMO45" s="13"/>
      <c r="TMP45" s="13"/>
      <c r="TMQ45" s="13"/>
      <c r="TMR45" s="13"/>
      <c r="TMS45" s="13"/>
      <c r="TMT45" s="13"/>
      <c r="TMU45" s="13"/>
      <c r="TMV45" s="13"/>
      <c r="TMW45" s="13"/>
      <c r="TMX45" s="13"/>
      <c r="TMY45" s="13"/>
      <c r="TMZ45" s="13"/>
      <c r="TNA45" s="13"/>
      <c r="TNB45" s="13"/>
      <c r="TNC45" s="13"/>
      <c r="TND45" s="13"/>
      <c r="TNE45" s="13"/>
      <c r="TNF45" s="13"/>
      <c r="TNG45" s="13"/>
      <c r="TNH45" s="13"/>
      <c r="TNI45" s="13"/>
      <c r="TNJ45" s="13"/>
      <c r="TNK45" s="13"/>
      <c r="TNL45" s="13"/>
      <c r="TNM45" s="13"/>
      <c r="TNN45" s="13"/>
      <c r="TNO45" s="13"/>
      <c r="TNP45" s="13"/>
      <c r="TNQ45" s="13"/>
      <c r="TNR45" s="13"/>
      <c r="TNS45" s="13"/>
      <c r="TNT45" s="13"/>
      <c r="TNU45" s="13"/>
      <c r="TNV45" s="13"/>
      <c r="TNW45" s="13"/>
      <c r="TNX45" s="13"/>
      <c r="TNY45" s="13"/>
      <c r="TNZ45" s="13"/>
      <c r="TOA45" s="13"/>
      <c r="TOB45" s="13"/>
      <c r="TOC45" s="13"/>
      <c r="TOD45" s="13"/>
      <c r="TOE45" s="13"/>
      <c r="TOF45" s="13"/>
      <c r="TOG45" s="13"/>
      <c r="TOH45" s="13"/>
      <c r="TOI45" s="13"/>
      <c r="TOJ45" s="13"/>
      <c r="TOK45" s="13"/>
      <c r="TOL45" s="13"/>
      <c r="TOM45" s="13"/>
      <c r="TON45" s="13"/>
      <c r="TOO45" s="13"/>
      <c r="TOP45" s="13"/>
      <c r="TOQ45" s="13"/>
      <c r="TOR45" s="13"/>
      <c r="TOS45" s="13"/>
      <c r="TOT45" s="13"/>
      <c r="TOU45" s="13"/>
      <c r="TOV45" s="13"/>
      <c r="TOW45" s="13"/>
      <c r="TOX45" s="13"/>
      <c r="TOY45" s="13"/>
      <c r="TOZ45" s="13"/>
      <c r="TPA45" s="13"/>
      <c r="TPB45" s="13"/>
      <c r="TPC45" s="13"/>
      <c r="TPD45" s="13"/>
      <c r="TPE45" s="13"/>
      <c r="TPF45" s="13"/>
      <c r="TPG45" s="13"/>
      <c r="TPH45" s="13"/>
      <c r="TPI45" s="13"/>
      <c r="TPJ45" s="13"/>
      <c r="TPK45" s="13"/>
      <c r="TPL45" s="13"/>
      <c r="TPM45" s="13"/>
      <c r="TPN45" s="13"/>
      <c r="TPO45" s="13"/>
      <c r="TPP45" s="13"/>
      <c r="TPQ45" s="13"/>
      <c r="TPR45" s="13"/>
      <c r="TPS45" s="13"/>
      <c r="TPT45" s="13"/>
      <c r="TPU45" s="13"/>
      <c r="TPV45" s="13"/>
      <c r="TPW45" s="13"/>
      <c r="TPX45" s="13"/>
      <c r="TPY45" s="13"/>
      <c r="TPZ45" s="13"/>
      <c r="TQA45" s="13"/>
      <c r="TQB45" s="13"/>
      <c r="TQC45" s="13"/>
      <c r="TQD45" s="13"/>
      <c r="TQE45" s="13"/>
      <c r="TQF45" s="13"/>
      <c r="TQG45" s="13"/>
      <c r="TQH45" s="13"/>
      <c r="TQI45" s="13"/>
      <c r="TQJ45" s="13"/>
      <c r="TQK45" s="13"/>
      <c r="TQL45" s="13"/>
      <c r="TQM45" s="13"/>
      <c r="TQN45" s="13"/>
      <c r="TQO45" s="13"/>
      <c r="TQP45" s="13"/>
      <c r="TQQ45" s="13"/>
      <c r="TQR45" s="13"/>
      <c r="TQS45" s="13"/>
      <c r="TQT45" s="13"/>
      <c r="TQU45" s="13"/>
      <c r="TQV45" s="13"/>
      <c r="TQW45" s="13"/>
      <c r="TQX45" s="13"/>
      <c r="TQY45" s="13"/>
      <c r="TQZ45" s="13"/>
      <c r="TRA45" s="13"/>
      <c r="TRB45" s="13"/>
      <c r="TRC45" s="13"/>
      <c r="TRD45" s="13"/>
      <c r="TRE45" s="13"/>
      <c r="TRF45" s="13"/>
      <c r="TRG45" s="13"/>
      <c r="TRH45" s="13"/>
      <c r="TRI45" s="13"/>
      <c r="TRJ45" s="13"/>
      <c r="TRK45" s="13"/>
      <c r="TRL45" s="13"/>
      <c r="TRM45" s="13"/>
      <c r="TRN45" s="13"/>
      <c r="TRO45" s="13"/>
      <c r="TRP45" s="13"/>
      <c r="TRQ45" s="13"/>
      <c r="TRR45" s="13"/>
      <c r="TRS45" s="13"/>
      <c r="TRT45" s="13"/>
      <c r="TRU45" s="13"/>
      <c r="TRV45" s="13"/>
      <c r="TRW45" s="13"/>
      <c r="TRX45" s="13"/>
      <c r="TRY45" s="13"/>
      <c r="TRZ45" s="13"/>
      <c r="TSA45" s="13"/>
      <c r="TSB45" s="13"/>
      <c r="TSC45" s="13"/>
      <c r="TSD45" s="13"/>
      <c r="TSE45" s="13"/>
      <c r="TSF45" s="13"/>
      <c r="TSG45" s="13"/>
      <c r="TSH45" s="13"/>
      <c r="TSI45" s="13"/>
      <c r="TSJ45" s="13"/>
      <c r="TSK45" s="13"/>
      <c r="TSL45" s="13"/>
      <c r="TSM45" s="13"/>
      <c r="TSN45" s="13"/>
      <c r="TSO45" s="13"/>
      <c r="TSP45" s="13"/>
      <c r="TSQ45" s="13"/>
      <c r="TSR45" s="13"/>
      <c r="TSS45" s="13"/>
      <c r="TST45" s="13"/>
      <c r="TSU45" s="13"/>
      <c r="TSV45" s="13"/>
      <c r="TSW45" s="13"/>
      <c r="TSX45" s="13"/>
      <c r="TSY45" s="13"/>
      <c r="TSZ45" s="13"/>
      <c r="TTA45" s="13"/>
      <c r="TTB45" s="13"/>
      <c r="TTC45" s="13"/>
      <c r="TTD45" s="13"/>
      <c r="TTE45" s="13"/>
      <c r="TTF45" s="13"/>
      <c r="TTG45" s="13"/>
      <c r="TTH45" s="13"/>
      <c r="TTI45" s="13"/>
      <c r="TTJ45" s="13"/>
      <c r="TTK45" s="13"/>
      <c r="TTL45" s="13"/>
      <c r="TTM45" s="13"/>
      <c r="TTN45" s="13"/>
      <c r="TTO45" s="13"/>
      <c r="TTP45" s="13"/>
      <c r="TTQ45" s="13"/>
      <c r="TTR45" s="13"/>
      <c r="TTS45" s="13"/>
      <c r="TTT45" s="13"/>
      <c r="TTU45" s="13"/>
      <c r="TTV45" s="13"/>
      <c r="TTW45" s="13"/>
      <c r="TTX45" s="13"/>
      <c r="TTY45" s="13"/>
      <c r="TTZ45" s="13"/>
      <c r="TUA45" s="13"/>
      <c r="TUB45" s="13"/>
      <c r="TUC45" s="13"/>
      <c r="TUD45" s="13"/>
      <c r="TUE45" s="13"/>
      <c r="TUF45" s="13"/>
      <c r="TUG45" s="13"/>
      <c r="TUH45" s="13"/>
      <c r="TUI45" s="13"/>
      <c r="TUJ45" s="13"/>
      <c r="TUK45" s="13"/>
      <c r="TUL45" s="13"/>
      <c r="TUM45" s="13"/>
      <c r="TUN45" s="13"/>
      <c r="TUO45" s="13"/>
      <c r="TUP45" s="13"/>
      <c r="TUQ45" s="13"/>
      <c r="TUR45" s="13"/>
      <c r="TUS45" s="13"/>
      <c r="TUT45" s="13"/>
      <c r="TUU45" s="13"/>
      <c r="TUV45" s="13"/>
      <c r="TUW45" s="13"/>
      <c r="TUX45" s="13"/>
      <c r="TUY45" s="13"/>
      <c r="TUZ45" s="13"/>
      <c r="TVA45" s="13"/>
      <c r="TVB45" s="13"/>
      <c r="TVC45" s="13"/>
      <c r="TVD45" s="13"/>
      <c r="TVE45" s="13"/>
      <c r="TVF45" s="13"/>
      <c r="TVG45" s="13"/>
      <c r="TVH45" s="13"/>
      <c r="TVI45" s="13"/>
      <c r="TVJ45" s="13"/>
      <c r="TVK45" s="13"/>
      <c r="TVL45" s="13"/>
      <c r="TVM45" s="13"/>
      <c r="TVN45" s="13"/>
      <c r="TVO45" s="13"/>
      <c r="TVP45" s="13"/>
      <c r="TVQ45" s="13"/>
      <c r="TVR45" s="13"/>
      <c r="TVS45" s="13"/>
      <c r="TVT45" s="13"/>
      <c r="TVU45" s="13"/>
      <c r="TVV45" s="13"/>
      <c r="TVW45" s="13"/>
      <c r="TVX45" s="13"/>
      <c r="TVY45" s="13"/>
      <c r="TVZ45" s="13"/>
      <c r="TWA45" s="13"/>
      <c r="TWB45" s="13"/>
      <c r="TWC45" s="13"/>
      <c r="TWD45" s="13"/>
      <c r="TWE45" s="13"/>
      <c r="TWF45" s="13"/>
      <c r="TWG45" s="13"/>
      <c r="TWH45" s="13"/>
      <c r="TWI45" s="13"/>
      <c r="TWJ45" s="13"/>
      <c r="TWK45" s="13"/>
      <c r="TWL45" s="13"/>
      <c r="TWM45" s="13"/>
      <c r="TWN45" s="13"/>
      <c r="TWO45" s="13"/>
      <c r="TWP45" s="13"/>
      <c r="TWQ45" s="13"/>
      <c r="TWR45" s="13"/>
      <c r="TWS45" s="13"/>
      <c r="TWT45" s="13"/>
      <c r="TWU45" s="13"/>
      <c r="TWV45" s="13"/>
      <c r="TWW45" s="13"/>
      <c r="TWX45" s="13"/>
      <c r="TWY45" s="13"/>
      <c r="TWZ45" s="13"/>
      <c r="TXA45" s="13"/>
      <c r="TXB45" s="13"/>
      <c r="TXC45" s="13"/>
      <c r="TXD45" s="13"/>
      <c r="TXE45" s="13"/>
      <c r="TXF45" s="13"/>
      <c r="TXG45" s="13"/>
      <c r="TXH45" s="13"/>
      <c r="TXI45" s="13"/>
      <c r="TXJ45" s="13"/>
      <c r="TXK45" s="13"/>
      <c r="TXL45" s="13"/>
      <c r="TXM45" s="13"/>
      <c r="TXN45" s="13"/>
      <c r="TXO45" s="13"/>
      <c r="TXP45" s="13"/>
      <c r="TXQ45" s="13"/>
      <c r="TXR45" s="13"/>
      <c r="TXS45" s="13"/>
      <c r="TXT45" s="13"/>
      <c r="TXU45" s="13"/>
      <c r="TXV45" s="13"/>
      <c r="TXW45" s="13"/>
      <c r="TXX45" s="13"/>
      <c r="TXY45" s="13"/>
      <c r="TXZ45" s="13"/>
      <c r="TYA45" s="13"/>
      <c r="TYB45" s="13"/>
      <c r="TYC45" s="13"/>
      <c r="TYD45" s="13"/>
      <c r="TYE45" s="13"/>
      <c r="TYF45" s="13"/>
      <c r="TYG45" s="13"/>
      <c r="TYH45" s="13"/>
      <c r="TYI45" s="13"/>
      <c r="TYJ45" s="13"/>
      <c r="TYK45" s="13"/>
      <c r="TYL45" s="13"/>
      <c r="TYM45" s="13"/>
      <c r="TYN45" s="13"/>
      <c r="TYO45" s="13"/>
      <c r="TYP45" s="13"/>
      <c r="TYQ45" s="13"/>
      <c r="TYR45" s="13"/>
      <c r="TYS45" s="13"/>
      <c r="TYT45" s="13"/>
      <c r="TYU45" s="13"/>
      <c r="TYV45" s="13"/>
      <c r="TYW45" s="13"/>
      <c r="TYX45" s="13"/>
      <c r="TYY45" s="13"/>
      <c r="TYZ45" s="13"/>
      <c r="TZA45" s="13"/>
      <c r="TZB45" s="13"/>
      <c r="TZC45" s="13"/>
      <c r="TZD45" s="13"/>
      <c r="TZE45" s="13"/>
      <c r="TZF45" s="13"/>
      <c r="TZG45" s="13"/>
      <c r="TZH45" s="13"/>
      <c r="TZI45" s="13"/>
      <c r="TZJ45" s="13"/>
      <c r="TZK45" s="13"/>
      <c r="TZL45" s="13"/>
      <c r="TZM45" s="13"/>
      <c r="TZN45" s="13"/>
      <c r="TZO45" s="13"/>
      <c r="TZP45" s="13"/>
      <c r="TZQ45" s="13"/>
      <c r="TZR45" s="13"/>
      <c r="TZS45" s="13"/>
      <c r="TZT45" s="13"/>
      <c r="TZU45" s="13"/>
      <c r="TZV45" s="13"/>
      <c r="TZW45" s="13"/>
      <c r="TZX45" s="13"/>
      <c r="TZY45" s="13"/>
      <c r="TZZ45" s="13"/>
      <c r="UAA45" s="13"/>
      <c r="UAB45" s="13"/>
      <c r="UAC45" s="13"/>
      <c r="UAD45" s="13"/>
      <c r="UAE45" s="13"/>
      <c r="UAF45" s="13"/>
      <c r="UAG45" s="13"/>
      <c r="UAH45" s="13"/>
      <c r="UAI45" s="13"/>
      <c r="UAJ45" s="13"/>
      <c r="UAK45" s="13"/>
      <c r="UAL45" s="13"/>
      <c r="UAM45" s="13"/>
      <c r="UAN45" s="13"/>
      <c r="UAO45" s="13"/>
      <c r="UAP45" s="13"/>
      <c r="UAQ45" s="13"/>
      <c r="UAR45" s="13"/>
      <c r="UAS45" s="13"/>
      <c r="UAT45" s="13"/>
      <c r="UAU45" s="13"/>
      <c r="UAV45" s="13"/>
      <c r="UAW45" s="13"/>
      <c r="UAX45" s="13"/>
      <c r="UAY45" s="13"/>
      <c r="UAZ45" s="13"/>
      <c r="UBA45" s="13"/>
      <c r="UBB45" s="13"/>
      <c r="UBC45" s="13"/>
      <c r="UBD45" s="13"/>
      <c r="UBE45" s="13"/>
      <c r="UBF45" s="13"/>
      <c r="UBG45" s="13"/>
      <c r="UBH45" s="13"/>
      <c r="UBI45" s="13"/>
      <c r="UBJ45" s="13"/>
      <c r="UBK45" s="13"/>
      <c r="UBL45" s="13"/>
      <c r="UBM45" s="13"/>
      <c r="UBN45" s="13"/>
      <c r="UBO45" s="13"/>
      <c r="UBP45" s="13"/>
      <c r="UBQ45" s="13"/>
      <c r="UBR45" s="13"/>
      <c r="UBS45" s="13"/>
      <c r="UBT45" s="13"/>
      <c r="UBU45" s="13"/>
      <c r="UBV45" s="13"/>
      <c r="UBW45" s="13"/>
      <c r="UBX45" s="13"/>
      <c r="UBY45" s="13"/>
      <c r="UBZ45" s="13"/>
      <c r="UCA45" s="13"/>
      <c r="UCB45" s="13"/>
      <c r="UCC45" s="13"/>
      <c r="UCD45" s="13"/>
      <c r="UCE45" s="13"/>
      <c r="UCF45" s="13"/>
      <c r="UCG45" s="13"/>
      <c r="UCH45" s="13"/>
      <c r="UCI45" s="13"/>
      <c r="UCJ45" s="13"/>
      <c r="UCK45" s="13"/>
      <c r="UCL45" s="13"/>
      <c r="UCM45" s="13"/>
      <c r="UCN45" s="13"/>
      <c r="UCO45" s="13"/>
      <c r="UCP45" s="13"/>
      <c r="UCQ45" s="13"/>
      <c r="UCR45" s="13"/>
      <c r="UCS45" s="13"/>
      <c r="UCT45" s="13"/>
      <c r="UCU45" s="13"/>
      <c r="UCV45" s="13"/>
      <c r="UCW45" s="13"/>
      <c r="UCX45" s="13"/>
      <c r="UCY45" s="13"/>
      <c r="UCZ45" s="13"/>
      <c r="UDA45" s="13"/>
      <c r="UDB45" s="13"/>
      <c r="UDC45" s="13"/>
      <c r="UDD45" s="13"/>
      <c r="UDE45" s="13"/>
      <c r="UDF45" s="13"/>
      <c r="UDG45" s="13"/>
      <c r="UDH45" s="13"/>
      <c r="UDI45" s="13"/>
      <c r="UDJ45" s="13"/>
      <c r="UDK45" s="13"/>
      <c r="UDL45" s="13"/>
      <c r="UDM45" s="13"/>
      <c r="UDN45" s="13"/>
      <c r="UDO45" s="13"/>
      <c r="UDP45" s="13"/>
      <c r="UDQ45" s="13"/>
      <c r="UDR45" s="13"/>
      <c r="UDS45" s="13"/>
      <c r="UDT45" s="13"/>
      <c r="UDU45" s="13"/>
      <c r="UDV45" s="13"/>
      <c r="UDW45" s="13"/>
      <c r="UDX45" s="13"/>
      <c r="UDY45" s="13"/>
      <c r="UDZ45" s="13"/>
      <c r="UEA45" s="13"/>
      <c r="UEB45" s="13"/>
      <c r="UEC45" s="13"/>
      <c r="UED45" s="13"/>
      <c r="UEE45" s="13"/>
      <c r="UEF45" s="13"/>
      <c r="UEG45" s="13"/>
      <c r="UEH45" s="13"/>
      <c r="UEI45" s="13"/>
      <c r="UEJ45" s="13"/>
      <c r="UEK45" s="13"/>
      <c r="UEL45" s="13"/>
      <c r="UEM45" s="13"/>
      <c r="UEN45" s="13"/>
      <c r="UEO45" s="13"/>
      <c r="UEP45" s="13"/>
      <c r="UEQ45" s="13"/>
      <c r="UER45" s="13"/>
      <c r="UES45" s="13"/>
      <c r="UET45" s="13"/>
      <c r="UEU45" s="13"/>
      <c r="UEV45" s="13"/>
      <c r="UEW45" s="13"/>
      <c r="UEX45" s="13"/>
      <c r="UEY45" s="13"/>
      <c r="UEZ45" s="13"/>
      <c r="UFA45" s="13"/>
      <c r="UFB45" s="13"/>
      <c r="UFC45" s="13"/>
      <c r="UFD45" s="13"/>
      <c r="UFE45" s="13"/>
      <c r="UFF45" s="13"/>
      <c r="UFG45" s="13"/>
      <c r="UFH45" s="13"/>
      <c r="UFI45" s="13"/>
      <c r="UFJ45" s="13"/>
      <c r="UFK45" s="13"/>
      <c r="UFL45" s="13"/>
      <c r="UFM45" s="13"/>
      <c r="UFN45" s="13"/>
      <c r="UFO45" s="13"/>
      <c r="UFP45" s="13"/>
      <c r="UFQ45" s="13"/>
      <c r="UFR45" s="13"/>
      <c r="UFS45" s="13"/>
      <c r="UFT45" s="13"/>
      <c r="UFU45" s="13"/>
      <c r="UFV45" s="13"/>
      <c r="UFW45" s="13"/>
      <c r="UFX45" s="13"/>
      <c r="UFY45" s="13"/>
      <c r="UFZ45" s="13"/>
      <c r="UGA45" s="13"/>
      <c r="UGB45" s="13"/>
      <c r="UGC45" s="13"/>
      <c r="UGD45" s="13"/>
      <c r="UGE45" s="13"/>
      <c r="UGF45" s="13"/>
      <c r="UGG45" s="13"/>
      <c r="UGH45" s="13"/>
      <c r="UGI45" s="13"/>
      <c r="UGJ45" s="13"/>
      <c r="UGK45" s="13"/>
      <c r="UGL45" s="13"/>
      <c r="UGM45" s="13"/>
      <c r="UGN45" s="13"/>
      <c r="UGO45" s="13"/>
      <c r="UGP45" s="13"/>
      <c r="UGQ45" s="13"/>
      <c r="UGR45" s="13"/>
      <c r="UGS45" s="13"/>
      <c r="UGT45" s="13"/>
      <c r="UGU45" s="13"/>
      <c r="UGV45" s="13"/>
      <c r="UGW45" s="13"/>
      <c r="UGX45" s="13"/>
      <c r="UGY45" s="13"/>
      <c r="UGZ45" s="13"/>
      <c r="UHA45" s="13"/>
      <c r="UHB45" s="13"/>
      <c r="UHC45" s="13"/>
      <c r="UHD45" s="13"/>
      <c r="UHE45" s="13"/>
      <c r="UHF45" s="13"/>
      <c r="UHG45" s="13"/>
      <c r="UHH45" s="13"/>
      <c r="UHI45" s="13"/>
      <c r="UHJ45" s="13"/>
      <c r="UHK45" s="13"/>
      <c r="UHL45" s="13"/>
      <c r="UHM45" s="13"/>
      <c r="UHN45" s="13"/>
      <c r="UHO45" s="13"/>
      <c r="UHP45" s="13"/>
      <c r="UHQ45" s="13"/>
      <c r="UHR45" s="13"/>
      <c r="UHS45" s="13"/>
      <c r="UHT45" s="13"/>
      <c r="UHU45" s="13"/>
      <c r="UHV45" s="13"/>
      <c r="UHW45" s="13"/>
      <c r="UHX45" s="13"/>
      <c r="UHY45" s="13"/>
      <c r="UHZ45" s="13"/>
      <c r="UIA45" s="13"/>
      <c r="UIB45" s="13"/>
      <c r="UIC45" s="13"/>
      <c r="UID45" s="13"/>
      <c r="UIE45" s="13"/>
      <c r="UIF45" s="13"/>
      <c r="UIG45" s="13"/>
      <c r="UIH45" s="13"/>
      <c r="UII45" s="13"/>
      <c r="UIJ45" s="13"/>
      <c r="UIK45" s="13"/>
      <c r="UIL45" s="13"/>
      <c r="UIM45" s="13"/>
      <c r="UIN45" s="13"/>
      <c r="UIO45" s="13"/>
      <c r="UIP45" s="13"/>
      <c r="UIQ45" s="13"/>
      <c r="UIR45" s="13"/>
      <c r="UIS45" s="13"/>
      <c r="UIT45" s="13"/>
      <c r="UIU45" s="13"/>
      <c r="UIV45" s="13"/>
      <c r="UIW45" s="13"/>
      <c r="UIX45" s="13"/>
      <c r="UIY45" s="13"/>
      <c r="UIZ45" s="13"/>
      <c r="UJA45" s="13"/>
      <c r="UJB45" s="13"/>
      <c r="UJC45" s="13"/>
      <c r="UJD45" s="13"/>
      <c r="UJE45" s="13"/>
      <c r="UJF45" s="13"/>
      <c r="UJG45" s="13"/>
      <c r="UJH45" s="13"/>
      <c r="UJI45" s="13"/>
      <c r="UJJ45" s="13"/>
      <c r="UJK45" s="13"/>
      <c r="UJL45" s="13"/>
      <c r="UJM45" s="13"/>
      <c r="UJN45" s="13"/>
      <c r="UJO45" s="13"/>
      <c r="UJP45" s="13"/>
      <c r="UJQ45" s="13"/>
      <c r="UJR45" s="13"/>
      <c r="UJS45" s="13"/>
      <c r="UJT45" s="13"/>
      <c r="UJU45" s="13"/>
      <c r="UJV45" s="13"/>
      <c r="UJW45" s="13"/>
      <c r="UJX45" s="13"/>
      <c r="UJY45" s="13"/>
      <c r="UJZ45" s="13"/>
      <c r="UKA45" s="13"/>
      <c r="UKB45" s="13"/>
      <c r="UKC45" s="13"/>
      <c r="UKD45" s="13"/>
      <c r="UKE45" s="13"/>
      <c r="UKF45" s="13"/>
      <c r="UKG45" s="13"/>
      <c r="UKH45" s="13"/>
      <c r="UKI45" s="13"/>
      <c r="UKJ45" s="13"/>
      <c r="UKK45" s="13"/>
      <c r="UKL45" s="13"/>
      <c r="UKM45" s="13"/>
      <c r="UKN45" s="13"/>
      <c r="UKO45" s="13"/>
      <c r="UKP45" s="13"/>
      <c r="UKQ45" s="13"/>
      <c r="UKR45" s="13"/>
      <c r="UKS45" s="13"/>
      <c r="UKT45" s="13"/>
      <c r="UKU45" s="13"/>
      <c r="UKV45" s="13"/>
      <c r="UKW45" s="13"/>
      <c r="UKX45" s="13"/>
      <c r="UKY45" s="13"/>
      <c r="UKZ45" s="13"/>
      <c r="ULA45" s="13"/>
      <c r="ULB45" s="13"/>
      <c r="ULC45" s="13"/>
      <c r="ULD45" s="13"/>
      <c r="ULE45" s="13"/>
      <c r="ULF45" s="13"/>
      <c r="ULG45" s="13"/>
      <c r="ULH45" s="13"/>
      <c r="ULI45" s="13"/>
      <c r="ULJ45" s="13"/>
      <c r="ULK45" s="13"/>
      <c r="ULL45" s="13"/>
      <c r="ULM45" s="13"/>
      <c r="ULN45" s="13"/>
      <c r="ULO45" s="13"/>
      <c r="ULP45" s="13"/>
      <c r="ULQ45" s="13"/>
      <c r="ULR45" s="13"/>
      <c r="ULS45" s="13"/>
      <c r="ULT45" s="13"/>
      <c r="ULU45" s="13"/>
      <c r="ULV45" s="13"/>
      <c r="ULW45" s="13"/>
      <c r="ULX45" s="13"/>
      <c r="ULY45" s="13"/>
      <c r="ULZ45" s="13"/>
      <c r="UMA45" s="13"/>
      <c r="UMB45" s="13"/>
      <c r="UMC45" s="13"/>
      <c r="UMD45" s="13"/>
      <c r="UME45" s="13"/>
      <c r="UMF45" s="13"/>
      <c r="UMG45" s="13"/>
      <c r="UMH45" s="13"/>
      <c r="UMI45" s="13"/>
      <c r="UMJ45" s="13"/>
      <c r="UMK45" s="13"/>
      <c r="UML45" s="13"/>
      <c r="UMM45" s="13"/>
      <c r="UMN45" s="13"/>
      <c r="UMO45" s="13"/>
      <c r="UMP45" s="13"/>
      <c r="UMQ45" s="13"/>
      <c r="UMR45" s="13"/>
      <c r="UMS45" s="13"/>
      <c r="UMT45" s="13"/>
      <c r="UMU45" s="13"/>
      <c r="UMV45" s="13"/>
      <c r="UMW45" s="13"/>
      <c r="UMX45" s="13"/>
      <c r="UMY45" s="13"/>
      <c r="UMZ45" s="13"/>
      <c r="UNA45" s="13"/>
      <c r="UNB45" s="13"/>
      <c r="UNC45" s="13"/>
      <c r="UND45" s="13"/>
      <c r="UNE45" s="13"/>
      <c r="UNF45" s="13"/>
      <c r="UNG45" s="13"/>
      <c r="UNH45" s="13"/>
      <c r="UNI45" s="13"/>
      <c r="UNJ45" s="13"/>
      <c r="UNK45" s="13"/>
      <c r="UNL45" s="13"/>
      <c r="UNM45" s="13"/>
      <c r="UNN45" s="13"/>
      <c r="UNO45" s="13"/>
      <c r="UNP45" s="13"/>
      <c r="UNQ45" s="13"/>
      <c r="UNR45" s="13"/>
      <c r="UNS45" s="13"/>
      <c r="UNT45" s="13"/>
      <c r="UNU45" s="13"/>
      <c r="UNV45" s="13"/>
      <c r="UNW45" s="13"/>
      <c r="UNX45" s="13"/>
      <c r="UNY45" s="13"/>
      <c r="UNZ45" s="13"/>
      <c r="UOA45" s="13"/>
      <c r="UOB45" s="13"/>
      <c r="UOC45" s="13"/>
      <c r="UOD45" s="13"/>
      <c r="UOE45" s="13"/>
      <c r="UOF45" s="13"/>
      <c r="UOG45" s="13"/>
      <c r="UOH45" s="13"/>
      <c r="UOI45" s="13"/>
      <c r="UOJ45" s="13"/>
      <c r="UOK45" s="13"/>
      <c r="UOL45" s="13"/>
      <c r="UOM45" s="13"/>
      <c r="UON45" s="13"/>
      <c r="UOO45" s="13"/>
      <c r="UOP45" s="13"/>
      <c r="UOQ45" s="13"/>
      <c r="UOR45" s="13"/>
      <c r="UOS45" s="13"/>
      <c r="UOT45" s="13"/>
      <c r="UOU45" s="13"/>
      <c r="UOV45" s="13"/>
      <c r="UOW45" s="13"/>
      <c r="UOX45" s="13"/>
      <c r="UOY45" s="13"/>
      <c r="UOZ45" s="13"/>
      <c r="UPA45" s="13"/>
      <c r="UPB45" s="13"/>
      <c r="UPC45" s="13"/>
      <c r="UPD45" s="13"/>
      <c r="UPE45" s="13"/>
      <c r="UPF45" s="13"/>
      <c r="UPG45" s="13"/>
      <c r="UPH45" s="13"/>
      <c r="UPI45" s="13"/>
      <c r="UPJ45" s="13"/>
      <c r="UPK45" s="13"/>
      <c r="UPL45" s="13"/>
      <c r="UPM45" s="13"/>
      <c r="UPN45" s="13"/>
      <c r="UPO45" s="13"/>
      <c r="UPP45" s="13"/>
      <c r="UPQ45" s="13"/>
      <c r="UPR45" s="13"/>
      <c r="UPS45" s="13"/>
      <c r="UPT45" s="13"/>
      <c r="UPU45" s="13"/>
      <c r="UPV45" s="13"/>
      <c r="UPW45" s="13"/>
      <c r="UPX45" s="13"/>
      <c r="UPY45" s="13"/>
      <c r="UPZ45" s="13"/>
      <c r="UQA45" s="13"/>
      <c r="UQB45" s="13"/>
      <c r="UQC45" s="13"/>
      <c r="UQD45" s="13"/>
      <c r="UQE45" s="13"/>
      <c r="UQF45" s="13"/>
      <c r="UQG45" s="13"/>
      <c r="UQH45" s="13"/>
      <c r="UQI45" s="13"/>
      <c r="UQJ45" s="13"/>
      <c r="UQK45" s="13"/>
      <c r="UQL45" s="13"/>
      <c r="UQM45" s="13"/>
      <c r="UQN45" s="13"/>
      <c r="UQO45" s="13"/>
      <c r="UQP45" s="13"/>
      <c r="UQQ45" s="13"/>
      <c r="UQR45" s="13"/>
      <c r="UQS45" s="13"/>
      <c r="UQT45" s="13"/>
      <c r="UQU45" s="13"/>
      <c r="UQV45" s="13"/>
      <c r="UQW45" s="13"/>
      <c r="UQX45" s="13"/>
      <c r="UQY45" s="13"/>
      <c r="UQZ45" s="13"/>
      <c r="URA45" s="13"/>
      <c r="URB45" s="13"/>
      <c r="URC45" s="13"/>
      <c r="URD45" s="13"/>
      <c r="URE45" s="13"/>
      <c r="URF45" s="13"/>
      <c r="URG45" s="13"/>
      <c r="URH45" s="13"/>
      <c r="URI45" s="13"/>
      <c r="URJ45" s="13"/>
      <c r="URK45" s="13"/>
      <c r="URL45" s="13"/>
      <c r="URM45" s="13"/>
      <c r="URN45" s="13"/>
      <c r="URO45" s="13"/>
      <c r="URP45" s="13"/>
      <c r="URQ45" s="13"/>
      <c r="URR45" s="13"/>
      <c r="URS45" s="13"/>
      <c r="URT45" s="13"/>
      <c r="URU45" s="13"/>
      <c r="URV45" s="13"/>
      <c r="URW45" s="13"/>
      <c r="URX45" s="13"/>
      <c r="URY45" s="13"/>
      <c r="URZ45" s="13"/>
      <c r="USA45" s="13"/>
      <c r="USB45" s="13"/>
      <c r="USC45" s="13"/>
      <c r="USD45" s="13"/>
      <c r="USE45" s="13"/>
      <c r="USF45" s="13"/>
      <c r="USG45" s="13"/>
      <c r="USH45" s="13"/>
      <c r="USI45" s="13"/>
      <c r="USJ45" s="13"/>
      <c r="USK45" s="13"/>
      <c r="USL45" s="13"/>
      <c r="USM45" s="13"/>
      <c r="USN45" s="13"/>
      <c r="USO45" s="13"/>
      <c r="USP45" s="13"/>
      <c r="USQ45" s="13"/>
      <c r="USR45" s="13"/>
      <c r="USS45" s="13"/>
      <c r="UST45" s="13"/>
      <c r="USU45" s="13"/>
      <c r="USV45" s="13"/>
      <c r="USW45" s="13"/>
      <c r="USX45" s="13"/>
      <c r="USY45" s="13"/>
      <c r="USZ45" s="13"/>
      <c r="UTA45" s="13"/>
      <c r="UTB45" s="13"/>
      <c r="UTC45" s="13"/>
      <c r="UTD45" s="13"/>
      <c r="UTE45" s="13"/>
      <c r="UTF45" s="13"/>
      <c r="UTG45" s="13"/>
      <c r="UTH45" s="13"/>
      <c r="UTI45" s="13"/>
      <c r="UTJ45" s="13"/>
      <c r="UTK45" s="13"/>
      <c r="UTL45" s="13"/>
      <c r="UTM45" s="13"/>
      <c r="UTN45" s="13"/>
      <c r="UTO45" s="13"/>
      <c r="UTP45" s="13"/>
      <c r="UTQ45" s="13"/>
      <c r="UTR45" s="13"/>
      <c r="UTS45" s="13"/>
      <c r="UTT45" s="13"/>
      <c r="UTU45" s="13"/>
      <c r="UTV45" s="13"/>
      <c r="UTW45" s="13"/>
      <c r="UTX45" s="13"/>
      <c r="UTY45" s="13"/>
      <c r="UTZ45" s="13"/>
      <c r="UUA45" s="13"/>
      <c r="UUB45" s="13"/>
      <c r="UUC45" s="13"/>
      <c r="UUD45" s="13"/>
      <c r="UUE45" s="13"/>
      <c r="UUF45" s="13"/>
      <c r="UUG45" s="13"/>
      <c r="UUH45" s="13"/>
      <c r="UUI45" s="13"/>
      <c r="UUJ45" s="13"/>
      <c r="UUK45" s="13"/>
      <c r="UUL45" s="13"/>
      <c r="UUM45" s="13"/>
      <c r="UUN45" s="13"/>
      <c r="UUO45" s="13"/>
      <c r="UUP45" s="13"/>
      <c r="UUQ45" s="13"/>
      <c r="UUR45" s="13"/>
      <c r="UUS45" s="13"/>
      <c r="UUT45" s="13"/>
      <c r="UUU45" s="13"/>
      <c r="UUV45" s="13"/>
      <c r="UUW45" s="13"/>
      <c r="UUX45" s="13"/>
      <c r="UUY45" s="13"/>
      <c r="UUZ45" s="13"/>
      <c r="UVA45" s="13"/>
      <c r="UVB45" s="13"/>
      <c r="UVC45" s="13"/>
      <c r="UVD45" s="13"/>
      <c r="UVE45" s="13"/>
      <c r="UVF45" s="13"/>
      <c r="UVG45" s="13"/>
      <c r="UVH45" s="13"/>
      <c r="UVI45" s="13"/>
      <c r="UVJ45" s="13"/>
      <c r="UVK45" s="13"/>
      <c r="UVL45" s="13"/>
      <c r="UVM45" s="13"/>
      <c r="UVN45" s="13"/>
      <c r="UVO45" s="13"/>
      <c r="UVP45" s="13"/>
      <c r="UVQ45" s="13"/>
      <c r="UVR45" s="13"/>
      <c r="UVS45" s="13"/>
      <c r="UVT45" s="13"/>
      <c r="UVU45" s="13"/>
      <c r="UVV45" s="13"/>
      <c r="UVW45" s="13"/>
      <c r="UVX45" s="13"/>
      <c r="UVY45" s="13"/>
      <c r="UVZ45" s="13"/>
      <c r="UWA45" s="13"/>
      <c r="UWB45" s="13"/>
      <c r="UWC45" s="13"/>
      <c r="UWD45" s="13"/>
      <c r="UWE45" s="13"/>
      <c r="UWF45" s="13"/>
      <c r="UWG45" s="13"/>
      <c r="UWH45" s="13"/>
      <c r="UWI45" s="13"/>
      <c r="UWJ45" s="13"/>
      <c r="UWK45" s="13"/>
      <c r="UWL45" s="13"/>
      <c r="UWM45" s="13"/>
      <c r="UWN45" s="13"/>
      <c r="UWO45" s="13"/>
      <c r="UWP45" s="13"/>
      <c r="UWQ45" s="13"/>
      <c r="UWR45" s="13"/>
      <c r="UWS45" s="13"/>
      <c r="UWT45" s="13"/>
      <c r="UWU45" s="13"/>
      <c r="UWV45" s="13"/>
      <c r="UWW45" s="13"/>
      <c r="UWX45" s="13"/>
      <c r="UWY45" s="13"/>
      <c r="UWZ45" s="13"/>
      <c r="UXA45" s="13"/>
      <c r="UXB45" s="13"/>
      <c r="UXC45" s="13"/>
      <c r="UXD45" s="13"/>
      <c r="UXE45" s="13"/>
      <c r="UXF45" s="13"/>
      <c r="UXG45" s="13"/>
      <c r="UXH45" s="13"/>
      <c r="UXI45" s="13"/>
      <c r="UXJ45" s="13"/>
      <c r="UXK45" s="13"/>
      <c r="UXL45" s="13"/>
      <c r="UXM45" s="13"/>
      <c r="UXN45" s="13"/>
      <c r="UXO45" s="13"/>
      <c r="UXP45" s="13"/>
      <c r="UXQ45" s="13"/>
      <c r="UXR45" s="13"/>
      <c r="UXS45" s="13"/>
      <c r="UXT45" s="13"/>
      <c r="UXU45" s="13"/>
      <c r="UXV45" s="13"/>
      <c r="UXW45" s="13"/>
      <c r="UXX45" s="13"/>
      <c r="UXY45" s="13"/>
      <c r="UXZ45" s="13"/>
      <c r="UYA45" s="13"/>
      <c r="UYB45" s="13"/>
      <c r="UYC45" s="13"/>
      <c r="UYD45" s="13"/>
      <c r="UYE45" s="13"/>
      <c r="UYF45" s="13"/>
      <c r="UYG45" s="13"/>
      <c r="UYH45" s="13"/>
      <c r="UYI45" s="13"/>
      <c r="UYJ45" s="13"/>
      <c r="UYK45" s="13"/>
      <c r="UYL45" s="13"/>
      <c r="UYM45" s="13"/>
      <c r="UYN45" s="13"/>
      <c r="UYO45" s="13"/>
      <c r="UYP45" s="13"/>
      <c r="UYQ45" s="13"/>
      <c r="UYR45" s="13"/>
      <c r="UYS45" s="13"/>
      <c r="UYT45" s="13"/>
      <c r="UYU45" s="13"/>
      <c r="UYV45" s="13"/>
      <c r="UYW45" s="13"/>
      <c r="UYX45" s="13"/>
      <c r="UYY45" s="13"/>
      <c r="UYZ45" s="13"/>
      <c r="UZA45" s="13"/>
      <c r="UZB45" s="13"/>
      <c r="UZC45" s="13"/>
      <c r="UZD45" s="13"/>
      <c r="UZE45" s="13"/>
      <c r="UZF45" s="13"/>
      <c r="UZG45" s="13"/>
      <c r="UZH45" s="13"/>
      <c r="UZI45" s="13"/>
      <c r="UZJ45" s="13"/>
      <c r="UZK45" s="13"/>
      <c r="UZL45" s="13"/>
      <c r="UZM45" s="13"/>
      <c r="UZN45" s="13"/>
      <c r="UZO45" s="13"/>
      <c r="UZP45" s="13"/>
      <c r="UZQ45" s="13"/>
      <c r="UZR45" s="13"/>
      <c r="UZS45" s="13"/>
      <c r="UZT45" s="13"/>
      <c r="UZU45" s="13"/>
      <c r="UZV45" s="13"/>
      <c r="UZW45" s="13"/>
      <c r="UZX45" s="13"/>
      <c r="UZY45" s="13"/>
      <c r="UZZ45" s="13"/>
      <c r="VAA45" s="13"/>
      <c r="VAB45" s="13"/>
      <c r="VAC45" s="13"/>
      <c r="VAD45" s="13"/>
      <c r="VAE45" s="13"/>
      <c r="VAF45" s="13"/>
      <c r="VAG45" s="13"/>
      <c r="VAH45" s="13"/>
      <c r="VAI45" s="13"/>
      <c r="VAJ45" s="13"/>
      <c r="VAK45" s="13"/>
      <c r="VAL45" s="13"/>
      <c r="VAM45" s="13"/>
      <c r="VAN45" s="13"/>
      <c r="VAO45" s="13"/>
      <c r="VAP45" s="13"/>
      <c r="VAQ45" s="13"/>
      <c r="VAR45" s="13"/>
      <c r="VAS45" s="13"/>
      <c r="VAT45" s="13"/>
      <c r="VAU45" s="13"/>
      <c r="VAV45" s="13"/>
      <c r="VAW45" s="13"/>
      <c r="VAX45" s="13"/>
      <c r="VAY45" s="13"/>
      <c r="VAZ45" s="13"/>
      <c r="VBA45" s="13"/>
      <c r="VBB45" s="13"/>
      <c r="VBC45" s="13"/>
      <c r="VBD45" s="13"/>
      <c r="VBE45" s="13"/>
      <c r="VBF45" s="13"/>
      <c r="VBG45" s="13"/>
      <c r="VBH45" s="13"/>
      <c r="VBI45" s="13"/>
      <c r="VBJ45" s="13"/>
      <c r="VBK45" s="13"/>
      <c r="VBL45" s="13"/>
      <c r="VBM45" s="13"/>
      <c r="VBN45" s="13"/>
      <c r="VBO45" s="13"/>
      <c r="VBP45" s="13"/>
      <c r="VBQ45" s="13"/>
      <c r="VBR45" s="13"/>
      <c r="VBS45" s="13"/>
      <c r="VBT45" s="13"/>
      <c r="VBU45" s="13"/>
      <c r="VBV45" s="13"/>
      <c r="VBW45" s="13"/>
      <c r="VBX45" s="13"/>
      <c r="VBY45" s="13"/>
      <c r="VBZ45" s="13"/>
      <c r="VCA45" s="13"/>
      <c r="VCB45" s="13"/>
      <c r="VCC45" s="13"/>
      <c r="VCD45" s="13"/>
      <c r="VCE45" s="13"/>
      <c r="VCF45" s="13"/>
      <c r="VCG45" s="13"/>
      <c r="VCH45" s="13"/>
      <c r="VCI45" s="13"/>
      <c r="VCJ45" s="13"/>
      <c r="VCK45" s="13"/>
      <c r="VCL45" s="13"/>
      <c r="VCM45" s="13"/>
      <c r="VCN45" s="13"/>
      <c r="VCO45" s="13"/>
      <c r="VCP45" s="13"/>
      <c r="VCQ45" s="13"/>
      <c r="VCR45" s="13"/>
      <c r="VCS45" s="13"/>
      <c r="VCT45" s="13"/>
      <c r="VCU45" s="13"/>
      <c r="VCV45" s="13"/>
      <c r="VCW45" s="13"/>
      <c r="VCX45" s="13"/>
      <c r="VCY45" s="13"/>
      <c r="VCZ45" s="13"/>
      <c r="VDA45" s="13"/>
      <c r="VDB45" s="13"/>
      <c r="VDC45" s="13"/>
      <c r="VDD45" s="13"/>
      <c r="VDE45" s="13"/>
      <c r="VDF45" s="13"/>
      <c r="VDG45" s="13"/>
      <c r="VDH45" s="13"/>
      <c r="VDI45" s="13"/>
      <c r="VDJ45" s="13"/>
      <c r="VDK45" s="13"/>
      <c r="VDL45" s="13"/>
      <c r="VDM45" s="13"/>
      <c r="VDN45" s="13"/>
      <c r="VDO45" s="13"/>
      <c r="VDP45" s="13"/>
      <c r="VDQ45" s="13"/>
      <c r="VDR45" s="13"/>
      <c r="VDS45" s="13"/>
      <c r="VDT45" s="13"/>
      <c r="VDU45" s="13"/>
      <c r="VDV45" s="13"/>
      <c r="VDW45" s="13"/>
      <c r="VDX45" s="13"/>
      <c r="VDY45" s="13"/>
      <c r="VDZ45" s="13"/>
      <c r="VEA45" s="13"/>
      <c r="VEB45" s="13"/>
      <c r="VEC45" s="13"/>
      <c r="VED45" s="13"/>
      <c r="VEE45" s="13"/>
      <c r="VEF45" s="13"/>
      <c r="VEG45" s="13"/>
      <c r="VEH45" s="13"/>
      <c r="VEI45" s="13"/>
      <c r="VEJ45" s="13"/>
      <c r="VEK45" s="13"/>
      <c r="VEL45" s="13"/>
      <c r="VEM45" s="13"/>
      <c r="VEN45" s="13"/>
      <c r="VEO45" s="13"/>
      <c r="VEP45" s="13"/>
      <c r="VEQ45" s="13"/>
      <c r="VER45" s="13"/>
      <c r="VES45" s="13"/>
      <c r="VET45" s="13"/>
      <c r="VEU45" s="13"/>
      <c r="VEV45" s="13"/>
      <c r="VEW45" s="13"/>
      <c r="VEX45" s="13"/>
      <c r="VEY45" s="13"/>
      <c r="VEZ45" s="13"/>
      <c r="VFA45" s="13"/>
      <c r="VFB45" s="13"/>
      <c r="VFC45" s="13"/>
      <c r="VFD45" s="13"/>
      <c r="VFE45" s="13"/>
      <c r="VFF45" s="13"/>
      <c r="VFG45" s="13"/>
      <c r="VFH45" s="13"/>
      <c r="VFI45" s="13"/>
      <c r="VFJ45" s="13"/>
      <c r="VFK45" s="13"/>
      <c r="VFL45" s="13"/>
      <c r="VFM45" s="13"/>
      <c r="VFN45" s="13"/>
      <c r="VFO45" s="13"/>
      <c r="VFP45" s="13"/>
      <c r="VFQ45" s="13"/>
      <c r="VFR45" s="13"/>
      <c r="VFS45" s="13"/>
      <c r="VFT45" s="13"/>
      <c r="VFU45" s="13"/>
      <c r="VFV45" s="13"/>
      <c r="VFW45" s="13"/>
      <c r="VFX45" s="13"/>
      <c r="VFY45" s="13"/>
      <c r="VFZ45" s="13"/>
      <c r="VGA45" s="13"/>
      <c r="VGB45" s="13"/>
      <c r="VGC45" s="13"/>
      <c r="VGD45" s="13"/>
      <c r="VGE45" s="13"/>
      <c r="VGF45" s="13"/>
      <c r="VGG45" s="13"/>
      <c r="VGH45" s="13"/>
      <c r="VGI45" s="13"/>
      <c r="VGJ45" s="13"/>
      <c r="VGK45" s="13"/>
      <c r="VGL45" s="13"/>
      <c r="VGM45" s="13"/>
      <c r="VGN45" s="13"/>
      <c r="VGO45" s="13"/>
      <c r="VGP45" s="13"/>
      <c r="VGQ45" s="13"/>
      <c r="VGR45" s="13"/>
      <c r="VGS45" s="13"/>
      <c r="VGT45" s="13"/>
      <c r="VGU45" s="13"/>
      <c r="VGV45" s="13"/>
      <c r="VGW45" s="13"/>
      <c r="VGX45" s="13"/>
      <c r="VGY45" s="13"/>
      <c r="VGZ45" s="13"/>
      <c r="VHA45" s="13"/>
      <c r="VHB45" s="13"/>
      <c r="VHC45" s="13"/>
      <c r="VHD45" s="13"/>
      <c r="VHE45" s="13"/>
      <c r="VHF45" s="13"/>
      <c r="VHG45" s="13"/>
      <c r="VHH45" s="13"/>
      <c r="VHI45" s="13"/>
      <c r="VHJ45" s="13"/>
      <c r="VHK45" s="13"/>
      <c r="VHL45" s="13"/>
      <c r="VHM45" s="13"/>
      <c r="VHN45" s="13"/>
      <c r="VHO45" s="13"/>
      <c r="VHP45" s="13"/>
      <c r="VHQ45" s="13"/>
      <c r="VHR45" s="13"/>
      <c r="VHS45" s="13"/>
      <c r="VHT45" s="13"/>
      <c r="VHU45" s="13"/>
      <c r="VHV45" s="13"/>
      <c r="VHW45" s="13"/>
      <c r="VHX45" s="13"/>
      <c r="VHY45" s="13"/>
      <c r="VHZ45" s="13"/>
      <c r="VIA45" s="13"/>
      <c r="VIB45" s="13"/>
      <c r="VIC45" s="13"/>
      <c r="VID45" s="13"/>
      <c r="VIE45" s="13"/>
      <c r="VIF45" s="13"/>
      <c r="VIG45" s="13"/>
      <c r="VIH45" s="13"/>
      <c r="VII45" s="13"/>
      <c r="VIJ45" s="13"/>
      <c r="VIK45" s="13"/>
      <c r="VIL45" s="13"/>
      <c r="VIM45" s="13"/>
      <c r="VIN45" s="13"/>
      <c r="VIO45" s="13"/>
      <c r="VIP45" s="13"/>
      <c r="VIQ45" s="13"/>
      <c r="VIR45" s="13"/>
      <c r="VIS45" s="13"/>
      <c r="VIT45" s="13"/>
      <c r="VIU45" s="13"/>
      <c r="VIV45" s="13"/>
      <c r="VIW45" s="13"/>
      <c r="VIX45" s="13"/>
      <c r="VIY45" s="13"/>
      <c r="VIZ45" s="13"/>
      <c r="VJA45" s="13"/>
      <c r="VJB45" s="13"/>
      <c r="VJC45" s="13"/>
      <c r="VJD45" s="13"/>
      <c r="VJE45" s="13"/>
      <c r="VJF45" s="13"/>
      <c r="VJG45" s="13"/>
      <c r="VJH45" s="13"/>
      <c r="VJI45" s="13"/>
      <c r="VJJ45" s="13"/>
      <c r="VJK45" s="13"/>
      <c r="VJL45" s="13"/>
      <c r="VJM45" s="13"/>
      <c r="VJN45" s="13"/>
      <c r="VJO45" s="13"/>
      <c r="VJP45" s="13"/>
      <c r="VJQ45" s="13"/>
      <c r="VJR45" s="13"/>
      <c r="VJS45" s="13"/>
      <c r="VJT45" s="13"/>
      <c r="VJU45" s="13"/>
      <c r="VJV45" s="13"/>
      <c r="VJW45" s="13"/>
      <c r="VJX45" s="13"/>
      <c r="VJY45" s="13"/>
      <c r="VJZ45" s="13"/>
      <c r="VKA45" s="13"/>
      <c r="VKB45" s="13"/>
      <c r="VKC45" s="13"/>
      <c r="VKD45" s="13"/>
      <c r="VKE45" s="13"/>
      <c r="VKF45" s="13"/>
      <c r="VKG45" s="13"/>
      <c r="VKH45" s="13"/>
      <c r="VKI45" s="13"/>
      <c r="VKJ45" s="13"/>
      <c r="VKK45" s="13"/>
      <c r="VKL45" s="13"/>
      <c r="VKM45" s="13"/>
      <c r="VKN45" s="13"/>
      <c r="VKO45" s="13"/>
      <c r="VKP45" s="13"/>
      <c r="VKQ45" s="13"/>
      <c r="VKR45" s="13"/>
      <c r="VKS45" s="13"/>
      <c r="VKT45" s="13"/>
      <c r="VKU45" s="13"/>
      <c r="VKV45" s="13"/>
      <c r="VKW45" s="13"/>
      <c r="VKX45" s="13"/>
      <c r="VKY45" s="13"/>
      <c r="VKZ45" s="13"/>
      <c r="VLA45" s="13"/>
      <c r="VLB45" s="13"/>
      <c r="VLC45" s="13"/>
      <c r="VLD45" s="13"/>
      <c r="VLE45" s="13"/>
      <c r="VLF45" s="13"/>
      <c r="VLG45" s="13"/>
      <c r="VLH45" s="13"/>
      <c r="VLI45" s="13"/>
      <c r="VLJ45" s="13"/>
      <c r="VLK45" s="13"/>
      <c r="VLL45" s="13"/>
      <c r="VLM45" s="13"/>
      <c r="VLN45" s="13"/>
      <c r="VLO45" s="13"/>
      <c r="VLP45" s="13"/>
      <c r="VLQ45" s="13"/>
      <c r="VLR45" s="13"/>
      <c r="VLS45" s="13"/>
      <c r="VLT45" s="13"/>
      <c r="VLU45" s="13"/>
      <c r="VLV45" s="13"/>
      <c r="VLW45" s="13"/>
      <c r="VLX45" s="13"/>
      <c r="VLY45" s="13"/>
      <c r="VLZ45" s="13"/>
      <c r="VMA45" s="13"/>
      <c r="VMB45" s="13"/>
      <c r="VMC45" s="13"/>
      <c r="VMD45" s="13"/>
      <c r="VME45" s="13"/>
      <c r="VMF45" s="13"/>
      <c r="VMG45" s="13"/>
      <c r="VMH45" s="13"/>
      <c r="VMI45" s="13"/>
      <c r="VMJ45" s="13"/>
      <c r="VMK45" s="13"/>
      <c r="VML45" s="13"/>
      <c r="VMM45" s="13"/>
      <c r="VMN45" s="13"/>
      <c r="VMO45" s="13"/>
      <c r="VMP45" s="13"/>
      <c r="VMQ45" s="13"/>
      <c r="VMR45" s="13"/>
      <c r="VMS45" s="13"/>
      <c r="VMT45" s="13"/>
      <c r="VMU45" s="13"/>
      <c r="VMV45" s="13"/>
      <c r="VMW45" s="13"/>
      <c r="VMX45" s="13"/>
      <c r="VMY45" s="13"/>
      <c r="VMZ45" s="13"/>
      <c r="VNA45" s="13"/>
      <c r="VNB45" s="13"/>
      <c r="VNC45" s="13"/>
      <c r="VND45" s="13"/>
      <c r="VNE45" s="13"/>
      <c r="VNF45" s="13"/>
      <c r="VNG45" s="13"/>
      <c r="VNH45" s="13"/>
      <c r="VNI45" s="13"/>
      <c r="VNJ45" s="13"/>
      <c r="VNK45" s="13"/>
      <c r="VNL45" s="13"/>
      <c r="VNM45" s="13"/>
      <c r="VNN45" s="13"/>
      <c r="VNO45" s="13"/>
      <c r="VNP45" s="13"/>
      <c r="VNQ45" s="13"/>
      <c r="VNR45" s="13"/>
      <c r="VNS45" s="13"/>
      <c r="VNT45" s="13"/>
      <c r="VNU45" s="13"/>
      <c r="VNV45" s="13"/>
      <c r="VNW45" s="13"/>
      <c r="VNX45" s="13"/>
      <c r="VNY45" s="13"/>
      <c r="VNZ45" s="13"/>
      <c r="VOA45" s="13"/>
      <c r="VOB45" s="13"/>
      <c r="VOC45" s="13"/>
      <c r="VOD45" s="13"/>
      <c r="VOE45" s="13"/>
      <c r="VOF45" s="13"/>
      <c r="VOG45" s="13"/>
      <c r="VOH45" s="13"/>
      <c r="VOI45" s="13"/>
      <c r="VOJ45" s="13"/>
      <c r="VOK45" s="13"/>
      <c r="VOL45" s="13"/>
      <c r="VOM45" s="13"/>
      <c r="VON45" s="13"/>
      <c r="VOO45" s="13"/>
      <c r="VOP45" s="13"/>
      <c r="VOQ45" s="13"/>
      <c r="VOR45" s="13"/>
      <c r="VOS45" s="13"/>
      <c r="VOT45" s="13"/>
      <c r="VOU45" s="13"/>
      <c r="VOV45" s="13"/>
      <c r="VOW45" s="13"/>
      <c r="VOX45" s="13"/>
      <c r="VOY45" s="13"/>
      <c r="VOZ45" s="13"/>
      <c r="VPA45" s="13"/>
      <c r="VPB45" s="13"/>
      <c r="VPC45" s="13"/>
      <c r="VPD45" s="13"/>
      <c r="VPE45" s="13"/>
      <c r="VPF45" s="13"/>
      <c r="VPG45" s="13"/>
      <c r="VPH45" s="13"/>
      <c r="VPI45" s="13"/>
      <c r="VPJ45" s="13"/>
      <c r="VPK45" s="13"/>
      <c r="VPL45" s="13"/>
      <c r="VPM45" s="13"/>
      <c r="VPN45" s="13"/>
      <c r="VPO45" s="13"/>
      <c r="VPP45" s="13"/>
      <c r="VPQ45" s="13"/>
      <c r="VPR45" s="13"/>
      <c r="VPS45" s="13"/>
      <c r="VPT45" s="13"/>
      <c r="VPU45" s="13"/>
      <c r="VPV45" s="13"/>
      <c r="VPW45" s="13"/>
      <c r="VPX45" s="13"/>
      <c r="VPY45" s="13"/>
      <c r="VPZ45" s="13"/>
      <c r="VQA45" s="13"/>
      <c r="VQB45" s="13"/>
      <c r="VQC45" s="13"/>
      <c r="VQD45" s="13"/>
      <c r="VQE45" s="13"/>
      <c r="VQF45" s="13"/>
      <c r="VQG45" s="13"/>
      <c r="VQH45" s="13"/>
      <c r="VQI45" s="13"/>
      <c r="VQJ45" s="13"/>
      <c r="VQK45" s="13"/>
      <c r="VQL45" s="13"/>
      <c r="VQM45" s="13"/>
      <c r="VQN45" s="13"/>
      <c r="VQO45" s="13"/>
      <c r="VQP45" s="13"/>
      <c r="VQQ45" s="13"/>
      <c r="VQR45" s="13"/>
      <c r="VQS45" s="13"/>
      <c r="VQT45" s="13"/>
      <c r="VQU45" s="13"/>
      <c r="VQV45" s="13"/>
      <c r="VQW45" s="13"/>
      <c r="VQX45" s="13"/>
      <c r="VQY45" s="13"/>
      <c r="VQZ45" s="13"/>
      <c r="VRA45" s="13"/>
      <c r="VRB45" s="13"/>
      <c r="VRC45" s="13"/>
      <c r="VRD45" s="13"/>
      <c r="VRE45" s="13"/>
      <c r="VRF45" s="13"/>
      <c r="VRG45" s="13"/>
      <c r="VRH45" s="13"/>
      <c r="VRI45" s="13"/>
      <c r="VRJ45" s="13"/>
      <c r="VRK45" s="13"/>
      <c r="VRL45" s="13"/>
      <c r="VRM45" s="13"/>
      <c r="VRN45" s="13"/>
      <c r="VRO45" s="13"/>
      <c r="VRP45" s="13"/>
      <c r="VRQ45" s="13"/>
      <c r="VRR45" s="13"/>
      <c r="VRS45" s="13"/>
      <c r="VRT45" s="13"/>
      <c r="VRU45" s="13"/>
      <c r="VRV45" s="13"/>
      <c r="VRW45" s="13"/>
      <c r="VRX45" s="13"/>
      <c r="VRY45" s="13"/>
      <c r="VRZ45" s="13"/>
      <c r="VSA45" s="13"/>
      <c r="VSB45" s="13"/>
      <c r="VSC45" s="13"/>
      <c r="VSD45" s="13"/>
      <c r="VSE45" s="13"/>
      <c r="VSF45" s="13"/>
      <c r="VSG45" s="13"/>
      <c r="VSH45" s="13"/>
      <c r="VSI45" s="13"/>
      <c r="VSJ45" s="13"/>
      <c r="VSK45" s="13"/>
      <c r="VSL45" s="13"/>
      <c r="VSM45" s="13"/>
      <c r="VSN45" s="13"/>
      <c r="VSO45" s="13"/>
      <c r="VSP45" s="13"/>
      <c r="VSQ45" s="13"/>
      <c r="VSR45" s="13"/>
      <c r="VSS45" s="13"/>
      <c r="VST45" s="13"/>
      <c r="VSU45" s="13"/>
      <c r="VSV45" s="13"/>
      <c r="VSW45" s="13"/>
      <c r="VSX45" s="13"/>
      <c r="VSY45" s="13"/>
      <c r="VSZ45" s="13"/>
      <c r="VTA45" s="13"/>
      <c r="VTB45" s="13"/>
      <c r="VTC45" s="13"/>
      <c r="VTD45" s="13"/>
      <c r="VTE45" s="13"/>
      <c r="VTF45" s="13"/>
      <c r="VTG45" s="13"/>
      <c r="VTH45" s="13"/>
      <c r="VTI45" s="13"/>
      <c r="VTJ45" s="13"/>
      <c r="VTK45" s="13"/>
      <c r="VTL45" s="13"/>
      <c r="VTM45" s="13"/>
      <c r="VTN45" s="13"/>
      <c r="VTO45" s="13"/>
      <c r="VTP45" s="13"/>
      <c r="VTQ45" s="13"/>
      <c r="VTR45" s="13"/>
      <c r="VTS45" s="13"/>
      <c r="VTT45" s="13"/>
      <c r="VTU45" s="13"/>
      <c r="VTV45" s="13"/>
      <c r="VTW45" s="13"/>
      <c r="VTX45" s="13"/>
      <c r="VTY45" s="13"/>
      <c r="VTZ45" s="13"/>
      <c r="VUA45" s="13"/>
      <c r="VUB45" s="13"/>
      <c r="VUC45" s="13"/>
      <c r="VUD45" s="13"/>
      <c r="VUE45" s="13"/>
      <c r="VUF45" s="13"/>
      <c r="VUG45" s="13"/>
      <c r="VUH45" s="13"/>
      <c r="VUI45" s="13"/>
      <c r="VUJ45" s="13"/>
      <c r="VUK45" s="13"/>
      <c r="VUL45" s="13"/>
      <c r="VUM45" s="13"/>
      <c r="VUN45" s="13"/>
      <c r="VUO45" s="13"/>
      <c r="VUP45" s="13"/>
      <c r="VUQ45" s="13"/>
      <c r="VUR45" s="13"/>
      <c r="VUS45" s="13"/>
      <c r="VUT45" s="13"/>
      <c r="VUU45" s="13"/>
      <c r="VUV45" s="13"/>
      <c r="VUW45" s="13"/>
      <c r="VUX45" s="13"/>
      <c r="VUY45" s="13"/>
      <c r="VUZ45" s="13"/>
      <c r="VVA45" s="13"/>
      <c r="VVB45" s="13"/>
      <c r="VVC45" s="13"/>
      <c r="VVD45" s="13"/>
      <c r="VVE45" s="13"/>
      <c r="VVF45" s="13"/>
      <c r="VVG45" s="13"/>
      <c r="VVH45" s="13"/>
      <c r="VVI45" s="13"/>
      <c r="VVJ45" s="13"/>
      <c r="VVK45" s="13"/>
      <c r="VVL45" s="13"/>
      <c r="VVM45" s="13"/>
      <c r="VVN45" s="13"/>
      <c r="VVO45" s="13"/>
      <c r="VVP45" s="13"/>
      <c r="VVQ45" s="13"/>
      <c r="VVR45" s="13"/>
      <c r="VVS45" s="13"/>
      <c r="VVT45" s="13"/>
      <c r="VVU45" s="13"/>
      <c r="VVV45" s="13"/>
      <c r="VVW45" s="13"/>
      <c r="VVX45" s="13"/>
      <c r="VVY45" s="13"/>
      <c r="VVZ45" s="13"/>
      <c r="VWA45" s="13"/>
      <c r="VWB45" s="13"/>
      <c r="VWC45" s="13"/>
      <c r="VWD45" s="13"/>
      <c r="VWE45" s="13"/>
      <c r="VWF45" s="13"/>
      <c r="VWG45" s="13"/>
      <c r="VWH45" s="13"/>
      <c r="VWI45" s="13"/>
      <c r="VWJ45" s="13"/>
      <c r="VWK45" s="13"/>
      <c r="VWL45" s="13"/>
      <c r="VWM45" s="13"/>
      <c r="VWN45" s="13"/>
      <c r="VWO45" s="13"/>
      <c r="VWP45" s="13"/>
      <c r="VWQ45" s="13"/>
      <c r="VWR45" s="13"/>
      <c r="VWS45" s="13"/>
      <c r="VWT45" s="13"/>
      <c r="VWU45" s="13"/>
      <c r="VWV45" s="13"/>
      <c r="VWW45" s="13"/>
      <c r="VWX45" s="13"/>
      <c r="VWY45" s="13"/>
      <c r="VWZ45" s="13"/>
      <c r="VXA45" s="13"/>
      <c r="VXB45" s="13"/>
      <c r="VXC45" s="13"/>
      <c r="VXD45" s="13"/>
      <c r="VXE45" s="13"/>
      <c r="VXF45" s="13"/>
      <c r="VXG45" s="13"/>
      <c r="VXH45" s="13"/>
      <c r="VXI45" s="13"/>
      <c r="VXJ45" s="13"/>
      <c r="VXK45" s="13"/>
      <c r="VXL45" s="13"/>
      <c r="VXM45" s="13"/>
      <c r="VXN45" s="13"/>
      <c r="VXO45" s="13"/>
      <c r="VXP45" s="13"/>
      <c r="VXQ45" s="13"/>
      <c r="VXR45" s="13"/>
      <c r="VXS45" s="13"/>
      <c r="VXT45" s="13"/>
      <c r="VXU45" s="13"/>
      <c r="VXV45" s="13"/>
      <c r="VXW45" s="13"/>
      <c r="VXX45" s="13"/>
      <c r="VXY45" s="13"/>
      <c r="VXZ45" s="13"/>
      <c r="VYA45" s="13"/>
      <c r="VYB45" s="13"/>
      <c r="VYC45" s="13"/>
      <c r="VYD45" s="13"/>
      <c r="VYE45" s="13"/>
      <c r="VYF45" s="13"/>
      <c r="VYG45" s="13"/>
      <c r="VYH45" s="13"/>
      <c r="VYI45" s="13"/>
      <c r="VYJ45" s="13"/>
      <c r="VYK45" s="13"/>
      <c r="VYL45" s="13"/>
      <c r="VYM45" s="13"/>
      <c r="VYN45" s="13"/>
      <c r="VYO45" s="13"/>
      <c r="VYP45" s="13"/>
      <c r="VYQ45" s="13"/>
      <c r="VYR45" s="13"/>
      <c r="VYS45" s="13"/>
      <c r="VYT45" s="13"/>
      <c r="VYU45" s="13"/>
      <c r="VYV45" s="13"/>
      <c r="VYW45" s="13"/>
      <c r="VYX45" s="13"/>
      <c r="VYY45" s="13"/>
      <c r="VYZ45" s="13"/>
      <c r="VZA45" s="13"/>
      <c r="VZB45" s="13"/>
      <c r="VZC45" s="13"/>
      <c r="VZD45" s="13"/>
      <c r="VZE45" s="13"/>
      <c r="VZF45" s="13"/>
      <c r="VZG45" s="13"/>
      <c r="VZH45" s="13"/>
      <c r="VZI45" s="13"/>
      <c r="VZJ45" s="13"/>
      <c r="VZK45" s="13"/>
      <c r="VZL45" s="13"/>
      <c r="VZM45" s="13"/>
      <c r="VZN45" s="13"/>
      <c r="VZO45" s="13"/>
      <c r="VZP45" s="13"/>
      <c r="VZQ45" s="13"/>
      <c r="VZR45" s="13"/>
      <c r="VZS45" s="13"/>
      <c r="VZT45" s="13"/>
      <c r="VZU45" s="13"/>
      <c r="VZV45" s="13"/>
      <c r="VZW45" s="13"/>
      <c r="VZX45" s="13"/>
      <c r="VZY45" s="13"/>
      <c r="VZZ45" s="13"/>
      <c r="WAA45" s="13"/>
      <c r="WAB45" s="13"/>
      <c r="WAC45" s="13"/>
      <c r="WAD45" s="13"/>
      <c r="WAE45" s="13"/>
      <c r="WAF45" s="13"/>
      <c r="WAG45" s="13"/>
      <c r="WAH45" s="13"/>
      <c r="WAI45" s="13"/>
      <c r="WAJ45" s="13"/>
      <c r="WAK45" s="13"/>
      <c r="WAL45" s="13"/>
      <c r="WAM45" s="13"/>
      <c r="WAN45" s="13"/>
      <c r="WAO45" s="13"/>
      <c r="WAP45" s="13"/>
      <c r="WAQ45" s="13"/>
      <c r="WAR45" s="13"/>
      <c r="WAS45" s="13"/>
      <c r="WAT45" s="13"/>
      <c r="WAU45" s="13"/>
      <c r="WAV45" s="13"/>
      <c r="WAW45" s="13"/>
      <c r="WAX45" s="13"/>
      <c r="WAY45" s="13"/>
      <c r="WAZ45" s="13"/>
      <c r="WBA45" s="13"/>
      <c r="WBB45" s="13"/>
      <c r="WBC45" s="13"/>
      <c r="WBD45" s="13"/>
      <c r="WBE45" s="13"/>
      <c r="WBF45" s="13"/>
      <c r="WBG45" s="13"/>
      <c r="WBH45" s="13"/>
      <c r="WBI45" s="13"/>
      <c r="WBJ45" s="13"/>
      <c r="WBK45" s="13"/>
      <c r="WBL45" s="13"/>
      <c r="WBM45" s="13"/>
      <c r="WBN45" s="13"/>
      <c r="WBO45" s="13"/>
      <c r="WBP45" s="13"/>
      <c r="WBQ45" s="13"/>
      <c r="WBR45" s="13"/>
      <c r="WBS45" s="13"/>
      <c r="WBT45" s="13"/>
      <c r="WBU45" s="13"/>
      <c r="WBV45" s="13"/>
      <c r="WBW45" s="13"/>
      <c r="WBX45" s="13"/>
      <c r="WBY45" s="13"/>
      <c r="WBZ45" s="13"/>
      <c r="WCA45" s="13"/>
      <c r="WCB45" s="13"/>
      <c r="WCC45" s="13"/>
      <c r="WCD45" s="13"/>
      <c r="WCE45" s="13"/>
      <c r="WCF45" s="13"/>
      <c r="WCG45" s="13"/>
      <c r="WCH45" s="13"/>
      <c r="WCI45" s="13"/>
      <c r="WCJ45" s="13"/>
      <c r="WCK45" s="13"/>
      <c r="WCL45" s="13"/>
      <c r="WCM45" s="13"/>
      <c r="WCN45" s="13"/>
      <c r="WCO45" s="13"/>
      <c r="WCP45" s="13"/>
      <c r="WCQ45" s="13"/>
      <c r="WCR45" s="13"/>
      <c r="WCS45" s="13"/>
      <c r="WCT45" s="13"/>
      <c r="WCU45" s="13"/>
      <c r="WCV45" s="13"/>
      <c r="WCW45" s="13"/>
      <c r="WCX45" s="13"/>
      <c r="WCY45" s="13"/>
      <c r="WCZ45" s="13"/>
      <c r="WDA45" s="13"/>
      <c r="WDB45" s="13"/>
      <c r="WDC45" s="13"/>
      <c r="WDD45" s="13"/>
      <c r="WDE45" s="13"/>
      <c r="WDF45" s="13"/>
      <c r="WDG45" s="13"/>
      <c r="WDH45" s="13"/>
      <c r="WDI45" s="13"/>
      <c r="WDJ45" s="13"/>
      <c r="WDK45" s="13"/>
      <c r="WDL45" s="13"/>
      <c r="WDM45" s="13"/>
      <c r="WDN45" s="13"/>
      <c r="WDO45" s="13"/>
      <c r="WDP45" s="13"/>
      <c r="WDQ45" s="13"/>
      <c r="WDR45" s="13"/>
      <c r="WDS45" s="13"/>
      <c r="WDT45" s="13"/>
      <c r="WDU45" s="13"/>
      <c r="WDV45" s="13"/>
      <c r="WDW45" s="13"/>
      <c r="WDX45" s="13"/>
      <c r="WDY45" s="13"/>
      <c r="WDZ45" s="13"/>
      <c r="WEA45" s="13"/>
      <c r="WEB45" s="13"/>
      <c r="WEC45" s="13"/>
      <c r="WED45" s="13"/>
      <c r="WEE45" s="13"/>
      <c r="WEF45" s="13"/>
      <c r="WEG45" s="13"/>
      <c r="WEH45" s="13"/>
      <c r="WEI45" s="13"/>
      <c r="WEJ45" s="13"/>
      <c r="WEK45" s="13"/>
      <c r="WEL45" s="13"/>
      <c r="WEM45" s="13"/>
      <c r="WEN45" s="13"/>
      <c r="WEO45" s="13"/>
      <c r="WEP45" s="13"/>
      <c r="WEQ45" s="13"/>
      <c r="WER45" s="13"/>
      <c r="WES45" s="13"/>
      <c r="WET45" s="13"/>
      <c r="WEU45" s="13"/>
      <c r="WEV45" s="13"/>
      <c r="WEW45" s="13"/>
      <c r="WEX45" s="13"/>
      <c r="WEY45" s="13"/>
      <c r="WEZ45" s="13"/>
      <c r="WFA45" s="13"/>
      <c r="WFB45" s="13"/>
      <c r="WFC45" s="13"/>
      <c r="WFD45" s="13"/>
      <c r="WFE45" s="13"/>
      <c r="WFF45" s="13"/>
      <c r="WFG45" s="13"/>
      <c r="WFH45" s="13"/>
      <c r="WFI45" s="13"/>
      <c r="WFJ45" s="13"/>
      <c r="WFK45" s="13"/>
      <c r="WFL45" s="13"/>
      <c r="WFM45" s="13"/>
      <c r="WFN45" s="13"/>
      <c r="WFO45" s="13"/>
      <c r="WFP45" s="13"/>
      <c r="WFQ45" s="13"/>
      <c r="WFR45" s="13"/>
      <c r="WFS45" s="13"/>
      <c r="WFT45" s="13"/>
      <c r="WFU45" s="13"/>
      <c r="WFV45" s="13"/>
      <c r="WFW45" s="13"/>
      <c r="WFX45" s="13"/>
      <c r="WFY45" s="13"/>
      <c r="WFZ45" s="13"/>
      <c r="WGA45" s="13"/>
      <c r="WGB45" s="13"/>
      <c r="WGC45" s="13"/>
      <c r="WGD45" s="13"/>
      <c r="WGE45" s="13"/>
      <c r="WGF45" s="13"/>
      <c r="WGG45" s="13"/>
      <c r="WGH45" s="13"/>
      <c r="WGI45" s="13"/>
      <c r="WGJ45" s="13"/>
      <c r="WGK45" s="13"/>
      <c r="WGL45" s="13"/>
      <c r="WGM45" s="13"/>
      <c r="WGN45" s="13"/>
      <c r="WGO45" s="13"/>
      <c r="WGP45" s="13"/>
      <c r="WGQ45" s="13"/>
      <c r="WGR45" s="13"/>
      <c r="WGS45" s="13"/>
      <c r="WGT45" s="13"/>
      <c r="WGU45" s="13"/>
      <c r="WGV45" s="13"/>
      <c r="WGW45" s="13"/>
      <c r="WGX45" s="13"/>
      <c r="WGY45" s="13"/>
      <c r="WGZ45" s="13"/>
      <c r="WHA45" s="13"/>
      <c r="WHB45" s="13"/>
      <c r="WHC45" s="13"/>
      <c r="WHD45" s="13"/>
      <c r="WHE45" s="13"/>
      <c r="WHF45" s="13"/>
      <c r="WHG45" s="13"/>
      <c r="WHH45" s="13"/>
      <c r="WHI45" s="13"/>
      <c r="WHJ45" s="13"/>
      <c r="WHK45" s="13"/>
      <c r="WHL45" s="13"/>
      <c r="WHM45" s="13"/>
      <c r="WHN45" s="13"/>
      <c r="WHO45" s="13"/>
      <c r="WHP45" s="13"/>
      <c r="WHQ45" s="13"/>
      <c r="WHR45" s="13"/>
      <c r="WHS45" s="13"/>
      <c r="WHT45" s="13"/>
      <c r="WHU45" s="13"/>
      <c r="WHV45" s="13"/>
      <c r="WHW45" s="13"/>
      <c r="WHX45" s="13"/>
      <c r="WHY45" s="13"/>
      <c r="WHZ45" s="13"/>
      <c r="WIA45" s="13"/>
      <c r="WIB45" s="13"/>
      <c r="WIC45" s="13"/>
      <c r="WID45" s="13"/>
      <c r="WIE45" s="13"/>
      <c r="WIF45" s="13"/>
      <c r="WIG45" s="13"/>
      <c r="WIH45" s="13"/>
      <c r="WII45" s="13"/>
      <c r="WIJ45" s="13"/>
      <c r="WIK45" s="13"/>
      <c r="WIL45" s="13"/>
      <c r="WIM45" s="13"/>
      <c r="WIN45" s="13"/>
      <c r="WIO45" s="13"/>
      <c r="WIP45" s="13"/>
      <c r="WIQ45" s="13"/>
      <c r="WIR45" s="13"/>
      <c r="WIS45" s="13"/>
      <c r="WIT45" s="13"/>
      <c r="WIU45" s="13"/>
      <c r="WIV45" s="13"/>
      <c r="WIW45" s="13"/>
      <c r="WIX45" s="13"/>
      <c r="WIY45" s="13"/>
      <c r="WIZ45" s="13"/>
      <c r="WJA45" s="13"/>
      <c r="WJB45" s="13"/>
      <c r="WJC45" s="13"/>
      <c r="WJD45" s="13"/>
      <c r="WJE45" s="13"/>
      <c r="WJF45" s="13"/>
      <c r="WJG45" s="13"/>
      <c r="WJH45" s="13"/>
      <c r="WJI45" s="13"/>
      <c r="WJJ45" s="13"/>
      <c r="WJK45" s="13"/>
      <c r="WJL45" s="13"/>
      <c r="WJM45" s="13"/>
      <c r="WJN45" s="13"/>
      <c r="WJO45" s="13"/>
      <c r="WJP45" s="13"/>
      <c r="WJQ45" s="13"/>
      <c r="WJR45" s="13"/>
      <c r="WJS45" s="13"/>
      <c r="WJT45" s="13"/>
      <c r="WJU45" s="13"/>
      <c r="WJV45" s="13"/>
      <c r="WJW45" s="13"/>
      <c r="WJX45" s="13"/>
      <c r="WJY45" s="13"/>
      <c r="WJZ45" s="13"/>
      <c r="WKA45" s="13"/>
      <c r="WKB45" s="13"/>
      <c r="WKC45" s="13"/>
      <c r="WKD45" s="13"/>
      <c r="WKE45" s="13"/>
      <c r="WKF45" s="13"/>
      <c r="WKG45" s="13"/>
      <c r="WKH45" s="13"/>
      <c r="WKI45" s="13"/>
      <c r="WKJ45" s="13"/>
      <c r="WKK45" s="13"/>
      <c r="WKL45" s="13"/>
      <c r="WKM45" s="13"/>
      <c r="WKN45" s="13"/>
      <c r="WKO45" s="13"/>
      <c r="WKP45" s="13"/>
      <c r="WKQ45" s="13"/>
      <c r="WKR45" s="13"/>
      <c r="WKS45" s="13"/>
      <c r="WKT45" s="13"/>
      <c r="WKU45" s="13"/>
      <c r="WKV45" s="13"/>
      <c r="WKW45" s="13"/>
      <c r="WKX45" s="13"/>
      <c r="WKY45" s="13"/>
      <c r="WKZ45" s="13"/>
      <c r="WLA45" s="13"/>
      <c r="WLB45" s="13"/>
      <c r="WLC45" s="13"/>
      <c r="WLD45" s="13"/>
      <c r="WLE45" s="13"/>
      <c r="WLF45" s="13"/>
      <c r="WLG45" s="13"/>
      <c r="WLH45" s="13"/>
      <c r="WLI45" s="13"/>
      <c r="WLJ45" s="13"/>
      <c r="WLK45" s="13"/>
      <c r="WLL45" s="13"/>
      <c r="WLM45" s="13"/>
      <c r="WLN45" s="13"/>
      <c r="WLO45" s="13"/>
      <c r="WLP45" s="13"/>
      <c r="WLQ45" s="13"/>
      <c r="WLR45" s="13"/>
      <c r="WLS45" s="13"/>
      <c r="WLT45" s="13"/>
      <c r="WLU45" s="13"/>
      <c r="WLV45" s="13"/>
      <c r="WLW45" s="13"/>
      <c r="WLX45" s="13"/>
      <c r="WLY45" s="13"/>
      <c r="WLZ45" s="13"/>
      <c r="WMA45" s="13"/>
      <c r="WMB45" s="13"/>
      <c r="WMC45" s="13"/>
      <c r="WMD45" s="13"/>
      <c r="WME45" s="13"/>
      <c r="WMF45" s="13"/>
      <c r="WMG45" s="13"/>
      <c r="WMH45" s="13"/>
      <c r="WMI45" s="13"/>
      <c r="WMJ45" s="13"/>
      <c r="WMK45" s="13"/>
      <c r="WML45" s="13"/>
      <c r="WMM45" s="13"/>
      <c r="WMN45" s="13"/>
      <c r="WMO45" s="13"/>
      <c r="WMP45" s="13"/>
      <c r="WMQ45" s="13"/>
      <c r="WMR45" s="13"/>
      <c r="WMS45" s="13"/>
      <c r="WMT45" s="13"/>
      <c r="WMU45" s="13"/>
      <c r="WMV45" s="13"/>
      <c r="WMW45" s="13"/>
      <c r="WMX45" s="13"/>
      <c r="WMY45" s="13"/>
      <c r="WMZ45" s="13"/>
      <c r="WNA45" s="13"/>
      <c r="WNB45" s="13"/>
      <c r="WNC45" s="13"/>
      <c r="WND45" s="13"/>
      <c r="WNE45" s="13"/>
      <c r="WNF45" s="13"/>
      <c r="WNG45" s="13"/>
      <c r="WNH45" s="13"/>
      <c r="WNI45" s="13"/>
      <c r="WNJ45" s="13"/>
      <c r="WNK45" s="13"/>
      <c r="WNL45" s="13"/>
      <c r="WNM45" s="13"/>
      <c r="WNN45" s="13"/>
      <c r="WNO45" s="13"/>
      <c r="WNP45" s="13"/>
      <c r="WNQ45" s="13"/>
      <c r="WNR45" s="13"/>
      <c r="WNS45" s="13"/>
      <c r="WNT45" s="13"/>
      <c r="WNU45" s="13"/>
      <c r="WNV45" s="13"/>
      <c r="WNW45" s="13"/>
      <c r="WNX45" s="13"/>
      <c r="WNY45" s="13"/>
      <c r="WNZ45" s="13"/>
      <c r="WOA45" s="13"/>
      <c r="WOB45" s="13"/>
      <c r="WOC45" s="13"/>
      <c r="WOD45" s="13"/>
      <c r="WOE45" s="13"/>
      <c r="WOF45" s="13"/>
      <c r="WOG45" s="13"/>
      <c r="WOH45" s="13"/>
      <c r="WOI45" s="13"/>
      <c r="WOJ45" s="13"/>
      <c r="WOK45" s="13"/>
      <c r="WOL45" s="13"/>
      <c r="WOM45" s="13"/>
      <c r="WON45" s="13"/>
      <c r="WOO45" s="13"/>
      <c r="WOP45" s="13"/>
      <c r="WOQ45" s="13"/>
      <c r="WOR45" s="13"/>
      <c r="WOS45" s="13"/>
      <c r="WOT45" s="13"/>
      <c r="WOU45" s="13"/>
      <c r="WOV45" s="13"/>
      <c r="WOW45" s="13"/>
      <c r="WOX45" s="13"/>
      <c r="WOY45" s="13"/>
      <c r="WOZ45" s="13"/>
      <c r="WPA45" s="13"/>
      <c r="WPB45" s="13"/>
      <c r="WPC45" s="13"/>
      <c r="WPD45" s="13"/>
      <c r="WPE45" s="13"/>
      <c r="WPF45" s="13"/>
      <c r="WPG45" s="13"/>
      <c r="WPH45" s="13"/>
      <c r="WPI45" s="13"/>
      <c r="WPJ45" s="13"/>
      <c r="WPK45" s="13"/>
      <c r="WPL45" s="13"/>
      <c r="WPM45" s="13"/>
      <c r="WPN45" s="13"/>
      <c r="WPO45" s="13"/>
      <c r="WPP45" s="13"/>
      <c r="WPQ45" s="13"/>
      <c r="WPR45" s="13"/>
      <c r="WPS45" s="13"/>
      <c r="WPT45" s="13"/>
      <c r="WPU45" s="13"/>
      <c r="WPV45" s="13"/>
      <c r="WPW45" s="13"/>
      <c r="WPX45" s="13"/>
      <c r="WPY45" s="13"/>
      <c r="WPZ45" s="13"/>
      <c r="WQA45" s="13"/>
      <c r="WQB45" s="13"/>
      <c r="WQC45" s="13"/>
      <c r="WQD45" s="13"/>
      <c r="WQE45" s="13"/>
      <c r="WQF45" s="13"/>
      <c r="WQG45" s="13"/>
      <c r="WQH45" s="13"/>
      <c r="WQI45" s="13"/>
      <c r="WQJ45" s="13"/>
      <c r="WQK45" s="13"/>
      <c r="WQL45" s="13"/>
      <c r="WQM45" s="13"/>
      <c r="WQN45" s="13"/>
      <c r="WQO45" s="13"/>
      <c r="WQP45" s="13"/>
      <c r="WQQ45" s="13"/>
      <c r="WQR45" s="13"/>
      <c r="WQS45" s="13"/>
      <c r="WQT45" s="13"/>
      <c r="WQU45" s="13"/>
      <c r="WQV45" s="13"/>
      <c r="WQW45" s="13"/>
      <c r="WQX45" s="13"/>
      <c r="WQY45" s="13"/>
      <c r="WQZ45" s="13"/>
      <c r="WRA45" s="13"/>
      <c r="WRB45" s="13"/>
      <c r="WRC45" s="13"/>
      <c r="WRD45" s="13"/>
      <c r="WRE45" s="13"/>
      <c r="WRF45" s="13"/>
      <c r="WRG45" s="13"/>
      <c r="WRH45" s="13"/>
      <c r="WRI45" s="13"/>
      <c r="WRJ45" s="13"/>
      <c r="WRK45" s="13"/>
      <c r="WRL45" s="13"/>
      <c r="WRM45" s="13"/>
      <c r="WRN45" s="13"/>
      <c r="WRO45" s="13"/>
      <c r="WRP45" s="13"/>
      <c r="WRQ45" s="13"/>
      <c r="WRR45" s="13"/>
      <c r="WRS45" s="13"/>
      <c r="WRT45" s="13"/>
      <c r="WRU45" s="13"/>
      <c r="WRV45" s="13"/>
      <c r="WRW45" s="13"/>
      <c r="WRX45" s="13"/>
      <c r="WRY45" s="13"/>
      <c r="WRZ45" s="13"/>
      <c r="WSA45" s="13"/>
      <c r="WSB45" s="13"/>
      <c r="WSC45" s="13"/>
      <c r="WSD45" s="13"/>
      <c r="WSE45" s="13"/>
      <c r="WSF45" s="13"/>
      <c r="WSG45" s="13"/>
      <c r="WSH45" s="13"/>
      <c r="WSI45" s="13"/>
      <c r="WSJ45" s="13"/>
      <c r="WSK45" s="13"/>
      <c r="WSL45" s="13"/>
      <c r="WSM45" s="13"/>
      <c r="WSN45" s="13"/>
      <c r="WSO45" s="13"/>
      <c r="WSP45" s="13"/>
      <c r="WSQ45" s="13"/>
      <c r="WSR45" s="13"/>
      <c r="WSS45" s="13"/>
      <c r="WST45" s="13"/>
      <c r="WSU45" s="13"/>
      <c r="WSV45" s="13"/>
      <c r="WSW45" s="13"/>
      <c r="WSX45" s="13"/>
      <c r="WSY45" s="13"/>
      <c r="WSZ45" s="13"/>
      <c r="WTA45" s="13"/>
      <c r="WTB45" s="13"/>
      <c r="WTC45" s="13"/>
      <c r="WTD45" s="13"/>
      <c r="WTE45" s="13"/>
      <c r="WTF45" s="13"/>
      <c r="WTG45" s="13"/>
      <c r="WTH45" s="13"/>
      <c r="WTI45" s="13"/>
      <c r="WTJ45" s="13"/>
      <c r="WTK45" s="13"/>
      <c r="WTL45" s="13"/>
      <c r="WTM45" s="13"/>
      <c r="WTN45" s="13"/>
      <c r="WTO45" s="13"/>
      <c r="WTP45" s="13"/>
      <c r="WTQ45" s="13"/>
      <c r="WTR45" s="13"/>
      <c r="WTS45" s="13"/>
      <c r="WTT45" s="13"/>
      <c r="WTU45" s="13"/>
      <c r="WTV45" s="13"/>
      <c r="WTW45" s="13"/>
      <c r="WTX45" s="13"/>
    </row>
    <row r="46" spans="1:16092" ht="15.75" customHeight="1" x14ac:dyDescent="0.2">
      <c r="A46" s="116" t="s">
        <v>372</v>
      </c>
      <c r="B46" s="94" t="s">
        <v>31</v>
      </c>
      <c r="C46" s="107" t="s">
        <v>757</v>
      </c>
      <c r="D46" s="107"/>
      <c r="E46" s="61" t="str">
        <f>'Raw Datas'!C89</f>
        <v>0</v>
      </c>
      <c r="F46" s="65">
        <f>'Raw Datas'!D89</f>
        <v>0.11438333333333334</v>
      </c>
      <c r="G46" s="65" t="str">
        <f>'Raw Datas'!E89</f>
        <v>0</v>
      </c>
      <c r="H46" s="65">
        <f>'Raw Datas'!F89</f>
        <v>0.26216666666666666</v>
      </c>
      <c r="I46" s="65">
        <f>'Raw Datas'!G89</f>
        <v>0.23558333333333334</v>
      </c>
      <c r="J46" s="65">
        <f>'Raw Datas'!H89</f>
        <v>0.14326666666666668</v>
      </c>
      <c r="K46" s="65">
        <f>'Raw Datas'!I89</f>
        <v>1.3614166666666667</v>
      </c>
      <c r="L46" s="65">
        <f>'Raw Datas'!J89</f>
        <v>0.30044999999999999</v>
      </c>
      <c r="M46" s="65" t="str">
        <f>'Raw Datas'!K89</f>
        <v>0</v>
      </c>
      <c r="N46" s="65" t="str">
        <f>'Raw Datas'!L89</f>
        <v>0</v>
      </c>
      <c r="O46" s="65">
        <f>'Raw Datas'!M89</f>
        <v>0.17911666666666667</v>
      </c>
      <c r="P46" s="65">
        <f>'Raw Datas'!N89</f>
        <v>1.9583333333333331E-2</v>
      </c>
      <c r="Q46" s="65">
        <f>'Raw Datas'!O89</f>
        <v>0.18516666666666665</v>
      </c>
      <c r="R46" s="65">
        <f>'Raw Datas'!P89</f>
        <v>0.26108333333333333</v>
      </c>
      <c r="S46" s="65">
        <f>'Raw Datas'!Q89</f>
        <v>8.3299999999999999E-2</v>
      </c>
      <c r="T46" s="65">
        <f>'Raw Datas'!R89</f>
        <v>1.1180833333333333</v>
      </c>
      <c r="U46" s="65">
        <f>'Raw Datas'!S89</f>
        <v>7.9250000000000001E-2</v>
      </c>
      <c r="V46" s="65" t="str">
        <f>'Raw Datas'!T89</f>
        <v>0</v>
      </c>
      <c r="W46" s="65">
        <f>'Raw Datas'!U89</f>
        <v>4.6149999999999997E-2</v>
      </c>
      <c r="X46" s="65">
        <f>'Raw Datas'!V89</f>
        <v>-2.6450000000000005E-2</v>
      </c>
      <c r="Y46" s="65">
        <f>'Raw Datas'!W89</f>
        <v>1.4579714285714285</v>
      </c>
      <c r="Z46" s="65">
        <f>'Raw Datas'!X89</f>
        <v>-2.6800000000000001E-2</v>
      </c>
      <c r="AA46" s="65">
        <f>'Raw Datas'!Y89</f>
        <v>0.3218166666666667</v>
      </c>
      <c r="AB46" s="65">
        <f>'Raw Datas'!Z89</f>
        <v>2.7280200000000003</v>
      </c>
      <c r="AC46" s="65">
        <f>'Raw Datas'!AA89</f>
        <v>0.13908333333333334</v>
      </c>
      <c r="AD46" s="65">
        <f>'Raw Datas'!AB89</f>
        <v>0.23815000000000003</v>
      </c>
      <c r="AE46" s="65">
        <f>'Raw Datas'!AC89</f>
        <v>0.22235000000000002</v>
      </c>
      <c r="AF46" s="65">
        <f>'Raw Datas'!AD89</f>
        <v>0.13621666666666668</v>
      </c>
      <c r="AG46" s="65" t="str">
        <f>'Raw Datas'!AE89</f>
        <v>0</v>
      </c>
      <c r="AH46" s="65" t="str">
        <f>'Raw Datas'!AF89</f>
        <v>0</v>
      </c>
      <c r="AI46" s="9">
        <f>'Raw Datas'!AG89</f>
        <v>0.23864999999999997</v>
      </c>
      <c r="AJ46" s="9" t="str">
        <f>'Raw Datas'!AH89</f>
        <v>0</v>
      </c>
      <c r="AK46" s="9">
        <f>'Raw Datas'!AI89</f>
        <v>0.35160000000000002</v>
      </c>
      <c r="AL46" s="9">
        <f>'Raw Datas'!AJ89</f>
        <v>0.59001666666666663</v>
      </c>
      <c r="AM46" s="9" t="str">
        <f>'Raw Datas'!AK89</f>
        <v>0</v>
      </c>
      <c r="AN46" s="9">
        <f>'Raw Datas'!AL89</f>
        <v>0.97791666666666666</v>
      </c>
      <c r="AO46" s="9">
        <f>'Raw Datas'!AM89</f>
        <v>0.17226666666666668</v>
      </c>
      <c r="AP46" s="9">
        <f>'Raw Datas'!AN89</f>
        <v>2.0983333333333336E-2</v>
      </c>
      <c r="AQ46" s="9">
        <f>'Raw Datas'!AO89</f>
        <v>-1.0833333333333334E-2</v>
      </c>
      <c r="AR46" s="9" t="str">
        <f>'Raw Datas'!AP89</f>
        <v>0</v>
      </c>
      <c r="AS46" s="9">
        <f>'Raw Datas'!AQ89</f>
        <v>9.7499999999999989E-2</v>
      </c>
      <c r="AT46" s="9">
        <f>'Raw Datas'!AR89</f>
        <v>-2.4233333333333332E-2</v>
      </c>
      <c r="AU46" s="9">
        <f>'Raw Datas'!AS89</f>
        <v>1.90005</v>
      </c>
      <c r="AV46" s="9">
        <f>'Raw Datas'!AT89</f>
        <v>0.21211666666666668</v>
      </c>
      <c r="AW46" s="9" t="str">
        <f>'Raw Datas'!AU89</f>
        <v>0</v>
      </c>
      <c r="AX46" s="9" t="str">
        <f>'Raw Datas'!AV89</f>
        <v>0</v>
      </c>
      <c r="AY46" s="9" t="str">
        <f>'Raw Datas'!AW89</f>
        <v>0</v>
      </c>
      <c r="AZ46" s="9">
        <f>'Raw Datas'!AX89</f>
        <v>0.14025000000000001</v>
      </c>
      <c r="BA46" s="9">
        <f>'Raw Datas'!AY89</f>
        <v>0.27681666666666671</v>
      </c>
      <c r="BB46" s="9" t="str">
        <f>'Raw Datas'!AZ89</f>
        <v>0</v>
      </c>
      <c r="BC46" s="9" t="str">
        <f>'Raw Datas'!BA89</f>
        <v>0</v>
      </c>
      <c r="BD46" s="9" t="str">
        <f>'Raw Datas'!BB89</f>
        <v>0</v>
      </c>
      <c r="BE46" s="9" t="str">
        <f>'Raw Datas'!BC89</f>
        <v>0</v>
      </c>
      <c r="BF46" s="9" t="str">
        <f>'Raw Datas'!BD89</f>
        <v>0</v>
      </c>
      <c r="BG46" s="9" t="str">
        <f>'Raw Datas'!BE89</f>
        <v>0</v>
      </c>
      <c r="BH46" s="9">
        <f>'Raw Datas'!BF89</f>
        <v>0.32533333333333331</v>
      </c>
      <c r="BI46" s="9" t="str">
        <f>'Raw Datas'!BG89</f>
        <v>0</v>
      </c>
      <c r="BJ46" s="9">
        <f>'Raw Datas'!BH89</f>
        <v>0.70773333333333344</v>
      </c>
      <c r="BK46" s="9">
        <f>'Raw Datas'!BI89</f>
        <v>0.69168333333333343</v>
      </c>
      <c r="BL46" s="9">
        <f>'Raw Datas'!BJ89</f>
        <v>1.7809999999999999</v>
      </c>
      <c r="BM46" s="9">
        <f>'Raw Datas'!BK89</f>
        <v>0.23905000000000001</v>
      </c>
      <c r="BN46" s="9">
        <f>'Raw Datas'!BL89</f>
        <v>11.661033333333334</v>
      </c>
      <c r="BO46" s="9">
        <f>'Raw Datas'!BM89</f>
        <v>13.175628571428572</v>
      </c>
      <c r="BP46" s="9">
        <f>'Raw Datas'!BN89</f>
        <v>12.500450000000001</v>
      </c>
      <c r="BQ46" s="9">
        <f>'Raw Datas'!BO89</f>
        <v>25.832466666666665</v>
      </c>
      <c r="BR46" s="9">
        <f>'Raw Datas'!BP89</f>
        <v>10.46965</v>
      </c>
      <c r="BS46" s="9">
        <f>'Raw Datas'!BQ89</f>
        <v>1.3425</v>
      </c>
      <c r="BT46" s="9" t="str">
        <f>'Raw Datas'!BR89</f>
        <v>0</v>
      </c>
      <c r="BU46" s="9">
        <f>'Raw Datas'!BS89</f>
        <v>10.907816666666667</v>
      </c>
      <c r="BV46" s="9">
        <f>'Raw Datas'!BT89</f>
        <v>2.9771000000000001</v>
      </c>
      <c r="BW46" s="9">
        <f>'Raw Datas'!BU89</f>
        <v>0.6014666666666667</v>
      </c>
      <c r="BX46" s="9">
        <f>'Raw Datas'!BV89</f>
        <v>1.2971000000000001</v>
      </c>
      <c r="BY46" s="9">
        <f>'Raw Datas'!BW89</f>
        <v>0.62841666666666662</v>
      </c>
      <c r="BZ46" s="9" t="str">
        <f>'Raw Datas'!BX89</f>
        <v>0</v>
      </c>
      <c r="CA46" s="9">
        <f>'Raw Datas'!BY89</f>
        <v>0.95213333333333339</v>
      </c>
      <c r="CB46" s="9">
        <f>'Raw Datas'!BZ89</f>
        <v>0.78896666666666659</v>
      </c>
      <c r="CC46" s="9">
        <f>'Raw Datas'!CA89</f>
        <v>0.6851666666666667</v>
      </c>
      <c r="CD46" s="9">
        <f>'Raw Datas'!CB89</f>
        <v>0.39558333333333334</v>
      </c>
      <c r="CE46" s="9">
        <f>'Raw Datas'!CC89</f>
        <v>0.11084999999999999</v>
      </c>
      <c r="CF46" s="9">
        <f>'Raw Datas'!CD89</f>
        <v>0.1360166666666667</v>
      </c>
      <c r="CG46" s="9">
        <f>'Raw Datas'!CE89</f>
        <v>2.8274333333333335</v>
      </c>
      <c r="CH46" s="9">
        <f>'Raw Datas'!CF89</f>
        <v>0.14256666666666667</v>
      </c>
      <c r="CI46" s="9">
        <f>'Raw Datas'!CG89</f>
        <v>3.7333333333333333E-3</v>
      </c>
      <c r="CJ46" s="9" t="str">
        <f>'Raw Datas'!CH89</f>
        <v>0</v>
      </c>
      <c r="CK46" s="9">
        <f>'Raw Datas'!CI89</f>
        <v>0.3532333333333334</v>
      </c>
      <c r="CL46" s="9" t="str">
        <f>'Raw Datas'!CJ89</f>
        <v>0</v>
      </c>
      <c r="CM46" s="9">
        <f>'Raw Datas'!CK89</f>
        <v>2.7733333333333332E-2</v>
      </c>
      <c r="CN46" s="9">
        <f>'Raw Datas'!CL89</f>
        <v>0.49035000000000001</v>
      </c>
      <c r="CO46" s="9">
        <f>'Raw Datas'!CM89</f>
        <v>3.5533333333333333E-2</v>
      </c>
      <c r="CP46" s="9" t="str">
        <f>'Raw Datas'!CN89</f>
        <v>0</v>
      </c>
      <c r="CQ46" s="9">
        <f>'Raw Datas'!CO89</f>
        <v>0.19498333333333334</v>
      </c>
      <c r="CR46" s="9">
        <f>'Raw Datas'!CP89</f>
        <v>0.1711333333333333</v>
      </c>
      <c r="CS46" s="9">
        <f>'Raw Datas'!CQ89</f>
        <v>0.12701666666666667</v>
      </c>
      <c r="CT46" s="9">
        <f>'Raw Datas'!CR89</f>
        <v>3.1651000000000002</v>
      </c>
      <c r="CU46" s="9">
        <f>'Raw Datas'!CS89</f>
        <v>-1.455E-2</v>
      </c>
      <c r="CV46" s="9" t="str">
        <f>'Raw Datas'!CT89</f>
        <v>0</v>
      </c>
      <c r="CW46" s="9">
        <f>'Raw Datas'!CU89</f>
        <v>7.8366666666666668E-2</v>
      </c>
      <c r="CX46" s="9" t="str">
        <f>'Raw Datas'!CV89</f>
        <v>0</v>
      </c>
      <c r="CY46" s="9">
        <f>'Raw Datas'!CW89</f>
        <v>2.3016666666666668E-2</v>
      </c>
      <c r="CZ46" s="9" t="str">
        <f>'Raw Datas'!CX89</f>
        <v>0</v>
      </c>
      <c r="DA46" s="9">
        <f>'Raw Datas'!CY89</f>
        <v>7.1766666666666673E-2</v>
      </c>
      <c r="DB46" s="9">
        <f>'Raw Datas'!CZ89</f>
        <v>-3.0200000000000001E-2</v>
      </c>
      <c r="DC46" s="9" t="str">
        <f>'Raw Datas'!DA89</f>
        <v>0</v>
      </c>
      <c r="DD46" s="9">
        <f>'Raw Datas'!DB89</f>
        <v>5.8050000000000004E-2</v>
      </c>
      <c r="DE46" s="9">
        <f>'Raw Datas'!DC89</f>
        <v>0.15493333333333331</v>
      </c>
      <c r="DF46" s="9" t="str">
        <f>'Raw Datas'!DD89</f>
        <v>0</v>
      </c>
      <c r="DG46" s="9">
        <f>'Raw Datas'!DE89</f>
        <v>4.4749999999999998E-2</v>
      </c>
      <c r="DH46" s="9" t="str">
        <f>'Raw Datas'!DF89</f>
        <v>0</v>
      </c>
      <c r="DI46" s="9">
        <f>'Raw Datas'!DG89</f>
        <v>0.49475000000000002</v>
      </c>
      <c r="DJ46" s="9">
        <f>'Raw Datas'!DH89</f>
        <v>1.8600000000000002E-2</v>
      </c>
      <c r="DK46" s="9">
        <f>'Raw Datas'!DI89</f>
        <v>2.1233333333333333E-2</v>
      </c>
      <c r="DL46" s="9">
        <f>'Raw Datas'!DJ89</f>
        <v>0.42313333333333336</v>
      </c>
      <c r="DM46" s="9">
        <f>'Raw Datas'!DK89</f>
        <v>0.45463333333333333</v>
      </c>
      <c r="DN46" s="9" t="str">
        <f>'Raw Datas'!DL89</f>
        <v>0</v>
      </c>
      <c r="DO46" s="9">
        <f>'Raw Datas'!DM89</f>
        <v>6.9833333333333327E-3</v>
      </c>
      <c r="DP46" s="9">
        <f>'Raw Datas'!DN89</f>
        <v>0.15258333333333332</v>
      </c>
      <c r="DQ46" s="9">
        <f>'Raw Datas'!DO89</f>
        <v>0.13718333333333332</v>
      </c>
      <c r="DR46" s="9" t="str">
        <f>'Raw Datas'!DP89</f>
        <v>0</v>
      </c>
      <c r="DS46" s="9">
        <f>'Raw Datas'!DQ89</f>
        <v>-1.8666666666666668E-2</v>
      </c>
      <c r="DT46" s="9" t="str">
        <f>'Raw Datas'!DR89</f>
        <v>0</v>
      </c>
      <c r="DU46" s="9">
        <f>'Raw Datas'!DS89</f>
        <v>-3.8E-3</v>
      </c>
      <c r="DV46" s="9">
        <f>'Raw Datas'!DT89</f>
        <v>-2.3516666666666668E-2</v>
      </c>
      <c r="DW46" s="9">
        <f>'Raw Datas'!DU89</f>
        <v>0.2268</v>
      </c>
      <c r="DX46" s="9" t="str">
        <f>'Raw Datas'!DV89</f>
        <v>0</v>
      </c>
      <c r="DY46" s="9" t="str">
        <f>'Raw Datas'!DW89</f>
        <v>0</v>
      </c>
      <c r="DZ46" s="9">
        <f>'Raw Datas'!DX89</f>
        <v>0.13916666666666666</v>
      </c>
      <c r="EA46" s="9">
        <f>'Raw Datas'!DY89</f>
        <v>0.18545</v>
      </c>
      <c r="EB46" s="9">
        <f>'Raw Datas'!DZ89</f>
        <v>4.0499999999999998E-3</v>
      </c>
      <c r="EC46" s="9">
        <f>'Raw Datas'!EA89</f>
        <v>7.0333333333333331E-2</v>
      </c>
      <c r="ED46" s="9">
        <f>'Raw Datas'!EB89</f>
        <v>-2.3916666666666662E-2</v>
      </c>
      <c r="EE46" s="9" t="str">
        <f>'Raw Datas'!EC89</f>
        <v>0</v>
      </c>
      <c r="EF46" s="9" t="str">
        <f>'Raw Datas'!ED89</f>
        <v>0</v>
      </c>
      <c r="EG46" s="9" t="str">
        <f>'Raw Datas'!EE89</f>
        <v>0</v>
      </c>
      <c r="EH46" s="9" t="str">
        <f>'Raw Datas'!EF89</f>
        <v>0</v>
      </c>
      <c r="EI46" s="9">
        <f>'Raw Datas'!EG89</f>
        <v>7.5800000000000006E-2</v>
      </c>
      <c r="EJ46" s="9">
        <f>'Raw Datas'!EH89</f>
        <v>0.37414999999999998</v>
      </c>
      <c r="EK46" s="9" t="str">
        <f>'Raw Datas'!EI89</f>
        <v>0</v>
      </c>
      <c r="EL46" s="9">
        <f>'Raw Datas'!EJ89</f>
        <v>-1.7166666666666667E-2</v>
      </c>
      <c r="EM46" s="9">
        <f>'Raw Datas'!EK89</f>
        <v>0.15435000000000001</v>
      </c>
      <c r="EN46" s="9">
        <f>'Raw Datas'!EL89</f>
        <v>4.7649999999999998E-2</v>
      </c>
      <c r="EO46" s="9" t="str">
        <f>'Raw Datas'!EM89</f>
        <v>0</v>
      </c>
      <c r="EP46" s="9">
        <f>'Raw Datas'!EN89</f>
        <v>0.43893333333333329</v>
      </c>
      <c r="EQ46" s="9">
        <f>'Raw Datas'!EO89</f>
        <v>0.40383333333333332</v>
      </c>
      <c r="ER46" s="9">
        <f>'Raw Datas'!EP89</f>
        <v>0.14868333333333333</v>
      </c>
      <c r="ES46" s="9">
        <f>'Raw Datas'!EQ89</f>
        <v>-1.4283333333333334E-2</v>
      </c>
      <c r="ET46" s="9">
        <f>'Raw Datas'!ER89</f>
        <v>8.7233333333333329E-2</v>
      </c>
      <c r="EU46" s="9">
        <f>'Raw Datas'!ES89</f>
        <v>1.0233333333333334E-2</v>
      </c>
      <c r="EV46" s="9">
        <f>'Raw Datas'!ET89</f>
        <v>0.13896666666666666</v>
      </c>
      <c r="EW46" s="9">
        <f>'Raw Datas'!EU89</f>
        <v>0.15483333333333335</v>
      </c>
      <c r="EX46" s="9" t="str">
        <f>'Raw Datas'!EV89</f>
        <v>0</v>
      </c>
      <c r="EY46" s="9" t="str">
        <f>'Raw Datas'!EW89</f>
        <v>0</v>
      </c>
      <c r="EZ46" s="9">
        <f>'Raw Datas'!EX89</f>
        <v>0.55945</v>
      </c>
      <c r="FA46" s="9" t="str">
        <f>'Raw Datas'!EY89</f>
        <v>0</v>
      </c>
      <c r="FB46" s="9">
        <f>'Raw Datas'!EZ89</f>
        <v>6.0433333333333332E-2</v>
      </c>
      <c r="FC46" s="9" t="str">
        <f>'Raw Datas'!FA89</f>
        <v>0</v>
      </c>
      <c r="FD46" s="9" t="str">
        <f>'Raw Datas'!FB89</f>
        <v>0</v>
      </c>
      <c r="FE46" s="9" t="str">
        <f>'Raw Datas'!FC89</f>
        <v>0</v>
      </c>
      <c r="FF46" s="9">
        <f>'Raw Datas'!FD89</f>
        <v>-2.1433333333333335E-2</v>
      </c>
      <c r="FG46" s="9">
        <f>'Raw Datas'!FE89</f>
        <v>1.7649999999999999E-2</v>
      </c>
      <c r="FH46" s="9">
        <f>'Raw Datas'!FF89</f>
        <v>0.10803333333333334</v>
      </c>
      <c r="FI46" s="9" t="str">
        <f>'Raw Datas'!FG89</f>
        <v>0</v>
      </c>
      <c r="FJ46" s="9">
        <f>'Raw Datas'!FH89</f>
        <v>0.19223333333333331</v>
      </c>
      <c r="FK46" s="9">
        <f>'Raw Datas'!FI89</f>
        <v>0.27561666666666668</v>
      </c>
      <c r="FL46" s="9">
        <f>'Raw Datas'!FJ89</f>
        <v>-8.483333333333334E-3</v>
      </c>
      <c r="FM46" s="9">
        <f>'Raw Datas'!FK89</f>
        <v>7.2700000000000001E-2</v>
      </c>
      <c r="FN46" s="9">
        <f>'Raw Datas'!FL89</f>
        <v>-1.3966666666666665E-2</v>
      </c>
      <c r="FO46" s="9">
        <f>'Raw Datas'!FM89</f>
        <v>5.2500000000000003E-3</v>
      </c>
      <c r="FP46" s="9" t="str">
        <f>'Raw Datas'!FN89</f>
        <v>0</v>
      </c>
      <c r="FQ46" s="9" t="str">
        <f>'Raw Datas'!FO89</f>
        <v>0</v>
      </c>
    </row>
    <row r="47" spans="1:16092" ht="15.75" customHeight="1" x14ac:dyDescent="0.2">
      <c r="A47" s="117"/>
      <c r="B47" s="57" t="s">
        <v>32</v>
      </c>
      <c r="C47" s="104" t="s">
        <v>758</v>
      </c>
      <c r="D47" s="104"/>
      <c r="E47" s="60" t="str">
        <f>'Raw Datas'!C90</f>
        <v>0</v>
      </c>
      <c r="F47" s="66" t="str">
        <f>'Raw Datas'!D90</f>
        <v>0</v>
      </c>
      <c r="G47" s="66" t="str">
        <f>'Raw Datas'!E90</f>
        <v>0</v>
      </c>
      <c r="H47" s="66" t="str">
        <f>'Raw Datas'!F90</f>
        <v>0</v>
      </c>
      <c r="I47" s="66" t="str">
        <f>'Raw Datas'!G90</f>
        <v>0</v>
      </c>
      <c r="J47" s="66" t="str">
        <f>'Raw Datas'!H90</f>
        <v>0</v>
      </c>
      <c r="K47" s="66" t="str">
        <f>'Raw Datas'!I90</f>
        <v>0</v>
      </c>
      <c r="L47" s="66" t="str">
        <f>'Raw Datas'!J90</f>
        <v>0</v>
      </c>
      <c r="M47" s="66" t="str">
        <f>'Raw Datas'!K90</f>
        <v>0</v>
      </c>
      <c r="N47" s="66" t="str">
        <f>'Raw Datas'!L90</f>
        <v>0</v>
      </c>
      <c r="O47" s="66" t="str">
        <f>'Raw Datas'!M90</f>
        <v>0</v>
      </c>
      <c r="P47" s="66" t="str">
        <f>'Raw Datas'!N90</f>
        <v>0</v>
      </c>
      <c r="Q47" s="66" t="str">
        <f>'Raw Datas'!O90</f>
        <v>0</v>
      </c>
      <c r="R47" s="66" t="str">
        <f>'Raw Datas'!P90</f>
        <v>0</v>
      </c>
      <c r="S47" s="66" t="str">
        <f>'Raw Datas'!Q90</f>
        <v>0</v>
      </c>
      <c r="T47" s="66" t="str">
        <f>'Raw Datas'!R90</f>
        <v>0</v>
      </c>
      <c r="U47" s="66" t="str">
        <f>'Raw Datas'!S90</f>
        <v>0</v>
      </c>
      <c r="V47" s="66" t="str">
        <f>'Raw Datas'!T90</f>
        <v>0</v>
      </c>
      <c r="W47" s="66" t="str">
        <f>'Raw Datas'!U90</f>
        <v>0</v>
      </c>
      <c r="X47" s="66" t="str">
        <f>'Raw Datas'!V90</f>
        <v>0</v>
      </c>
      <c r="Y47" s="66" t="str">
        <f>'Raw Datas'!W90</f>
        <v>0</v>
      </c>
      <c r="Z47" s="66" t="str">
        <f>'Raw Datas'!X90</f>
        <v>0</v>
      </c>
      <c r="AA47" s="66" t="str">
        <f>'Raw Datas'!Y90</f>
        <v>0</v>
      </c>
      <c r="AB47" s="66" t="str">
        <f>'Raw Datas'!Z90</f>
        <v>0</v>
      </c>
      <c r="AC47" s="66" t="str">
        <f>'Raw Datas'!AA90</f>
        <v>0</v>
      </c>
      <c r="AD47" s="66" t="str">
        <f>'Raw Datas'!AB90</f>
        <v>0</v>
      </c>
      <c r="AE47" s="66" t="str">
        <f>'Raw Datas'!AC90</f>
        <v>0</v>
      </c>
      <c r="AF47" s="66" t="str">
        <f>'Raw Datas'!AD90</f>
        <v>0</v>
      </c>
      <c r="AG47" s="66" t="str">
        <f>'Raw Datas'!AE90</f>
        <v>0</v>
      </c>
      <c r="AH47" s="66" t="str">
        <f>'Raw Datas'!AF90</f>
        <v>0</v>
      </c>
      <c r="AI47" s="63" t="str">
        <f>'Raw Datas'!AG90</f>
        <v>0</v>
      </c>
      <c r="AJ47" s="63" t="str">
        <f>'Raw Datas'!AH90</f>
        <v>0</v>
      </c>
      <c r="AK47" s="63" t="str">
        <f>'Raw Datas'!AI90</f>
        <v>0</v>
      </c>
      <c r="AL47" s="63" t="str">
        <f>'Raw Datas'!AJ90</f>
        <v>0</v>
      </c>
      <c r="AM47" s="63" t="str">
        <f>'Raw Datas'!AK90</f>
        <v>0</v>
      </c>
      <c r="AN47" s="63" t="str">
        <f>'Raw Datas'!AL90</f>
        <v>0</v>
      </c>
      <c r="AO47" s="63" t="str">
        <f>'Raw Datas'!AM90</f>
        <v>0</v>
      </c>
      <c r="AP47" s="63" t="str">
        <f>'Raw Datas'!AN90</f>
        <v>0</v>
      </c>
      <c r="AQ47" s="63" t="str">
        <f>'Raw Datas'!AO90</f>
        <v>0</v>
      </c>
      <c r="AR47" s="63" t="str">
        <f>'Raw Datas'!AP90</f>
        <v>0</v>
      </c>
      <c r="AS47" s="63" t="str">
        <f>'Raw Datas'!AQ90</f>
        <v>0</v>
      </c>
      <c r="AT47" s="63" t="str">
        <f>'Raw Datas'!AR90</f>
        <v>0</v>
      </c>
      <c r="AU47" s="63" t="str">
        <f>'Raw Datas'!AS90</f>
        <v>0</v>
      </c>
      <c r="AV47" s="63" t="str">
        <f>'Raw Datas'!AT90</f>
        <v>0</v>
      </c>
      <c r="AW47" s="63" t="str">
        <f>'Raw Datas'!AU90</f>
        <v>0</v>
      </c>
      <c r="AX47" s="63" t="str">
        <f>'Raw Datas'!AV90</f>
        <v>0</v>
      </c>
      <c r="AY47" s="63" t="str">
        <f>'Raw Datas'!AW90</f>
        <v>0</v>
      </c>
      <c r="AZ47" s="63" t="str">
        <f>'Raw Datas'!AX90</f>
        <v>0</v>
      </c>
      <c r="BA47" s="63" t="str">
        <f>'Raw Datas'!AY90</f>
        <v>0</v>
      </c>
      <c r="BB47" s="63" t="str">
        <f>'Raw Datas'!AZ90</f>
        <v>0</v>
      </c>
      <c r="BC47" s="63" t="str">
        <f>'Raw Datas'!BA90</f>
        <v>0</v>
      </c>
      <c r="BD47" s="63" t="str">
        <f>'Raw Datas'!BB90</f>
        <v>0</v>
      </c>
      <c r="BE47" s="63" t="str">
        <f>'Raw Datas'!BC90</f>
        <v>0</v>
      </c>
      <c r="BF47" s="63" t="str">
        <f>'Raw Datas'!BD90</f>
        <v>0</v>
      </c>
      <c r="BG47" s="63" t="str">
        <f>'Raw Datas'!BE90</f>
        <v>0</v>
      </c>
      <c r="BH47" s="63" t="str">
        <f>'Raw Datas'!BF90</f>
        <v>0</v>
      </c>
      <c r="BI47" s="63" t="str">
        <f>'Raw Datas'!BG90</f>
        <v>0</v>
      </c>
      <c r="BJ47" s="63" t="str">
        <f>'Raw Datas'!BH90</f>
        <v>0</v>
      </c>
      <c r="BK47" s="63" t="str">
        <f>'Raw Datas'!BI90</f>
        <v>0</v>
      </c>
      <c r="BL47" s="63" t="str">
        <f>'Raw Datas'!BJ90</f>
        <v>0</v>
      </c>
      <c r="BM47" s="63" t="str">
        <f>'Raw Datas'!BK90</f>
        <v>0</v>
      </c>
      <c r="BN47" s="63" t="str">
        <f>'Raw Datas'!BL90</f>
        <v>0</v>
      </c>
      <c r="BO47" s="63" t="str">
        <f>'Raw Datas'!BM90</f>
        <v>0</v>
      </c>
      <c r="BP47" s="63" t="str">
        <f>'Raw Datas'!BN90</f>
        <v>0</v>
      </c>
      <c r="BQ47" s="63" t="str">
        <f>'Raw Datas'!BO90</f>
        <v>0</v>
      </c>
      <c r="BR47" s="63" t="str">
        <f>'Raw Datas'!BP90</f>
        <v>0</v>
      </c>
      <c r="BS47" s="63" t="str">
        <f>'Raw Datas'!BQ90</f>
        <v>0</v>
      </c>
      <c r="BT47" s="63" t="str">
        <f>'Raw Datas'!BR90</f>
        <v>0</v>
      </c>
      <c r="BU47" s="63" t="str">
        <f>'Raw Datas'!BS90</f>
        <v>0</v>
      </c>
      <c r="BV47" s="63" t="str">
        <f>'Raw Datas'!BT90</f>
        <v>0</v>
      </c>
      <c r="BW47" s="63" t="str">
        <f>'Raw Datas'!BU90</f>
        <v>0</v>
      </c>
      <c r="BX47" s="63" t="str">
        <f>'Raw Datas'!BV90</f>
        <v>0</v>
      </c>
      <c r="BY47" s="63" t="str">
        <f>'Raw Datas'!BW90</f>
        <v>0</v>
      </c>
      <c r="BZ47" s="63" t="str">
        <f>'Raw Datas'!BX90</f>
        <v>0</v>
      </c>
      <c r="CA47" s="63" t="str">
        <f>'Raw Datas'!BY90</f>
        <v>0</v>
      </c>
      <c r="CB47" s="63" t="str">
        <f>'Raw Datas'!BZ90</f>
        <v>0</v>
      </c>
      <c r="CC47" s="63" t="str">
        <f>'Raw Datas'!CA90</f>
        <v>0</v>
      </c>
      <c r="CD47" s="63" t="str">
        <f>'Raw Datas'!CB90</f>
        <v>0</v>
      </c>
      <c r="CE47" s="63" t="str">
        <f>'Raw Datas'!CC90</f>
        <v>0</v>
      </c>
      <c r="CF47" s="63" t="str">
        <f>'Raw Datas'!CD90</f>
        <v>0</v>
      </c>
      <c r="CG47" s="63" t="str">
        <f>'Raw Datas'!CE90</f>
        <v>0</v>
      </c>
      <c r="CH47" s="63" t="str">
        <f>'Raw Datas'!CF90</f>
        <v>0</v>
      </c>
      <c r="CI47" s="63" t="str">
        <f>'Raw Datas'!CG90</f>
        <v>0</v>
      </c>
      <c r="CJ47" s="63" t="str">
        <f>'Raw Datas'!CH90</f>
        <v>0</v>
      </c>
      <c r="CK47" s="63" t="str">
        <f>'Raw Datas'!CI90</f>
        <v>0</v>
      </c>
      <c r="CL47" s="63" t="str">
        <f>'Raw Datas'!CJ90</f>
        <v>0</v>
      </c>
      <c r="CM47" s="63" t="str">
        <f>'Raw Datas'!CK90</f>
        <v>0</v>
      </c>
      <c r="CN47" s="63" t="str">
        <f>'Raw Datas'!CL90</f>
        <v>0</v>
      </c>
      <c r="CO47" s="63" t="str">
        <f>'Raw Datas'!CM90</f>
        <v>0</v>
      </c>
      <c r="CP47" s="63" t="str">
        <f>'Raw Datas'!CN90</f>
        <v>0</v>
      </c>
      <c r="CQ47" s="63" t="str">
        <f>'Raw Datas'!CO90</f>
        <v>0</v>
      </c>
      <c r="CR47" s="63" t="str">
        <f>'Raw Datas'!CP90</f>
        <v>0</v>
      </c>
      <c r="CS47" s="63" t="str">
        <f>'Raw Datas'!CQ90</f>
        <v>0</v>
      </c>
      <c r="CT47" s="63" t="str">
        <f>'Raw Datas'!CR90</f>
        <v>0</v>
      </c>
      <c r="CU47" s="63" t="str">
        <f>'Raw Datas'!CS90</f>
        <v>0</v>
      </c>
      <c r="CV47" s="63" t="str">
        <f>'Raw Datas'!CT90</f>
        <v>0</v>
      </c>
      <c r="CW47" s="63" t="str">
        <f>'Raw Datas'!CU90</f>
        <v>0</v>
      </c>
      <c r="CX47" s="63" t="str">
        <f>'Raw Datas'!CV90</f>
        <v>0</v>
      </c>
      <c r="CY47" s="63" t="str">
        <f>'Raw Datas'!CW90</f>
        <v>0</v>
      </c>
      <c r="CZ47" s="63" t="str">
        <f>'Raw Datas'!CX90</f>
        <v>0</v>
      </c>
      <c r="DA47" s="63" t="str">
        <f>'Raw Datas'!CY90</f>
        <v>0</v>
      </c>
      <c r="DB47" s="63" t="str">
        <f>'Raw Datas'!CZ90</f>
        <v>0</v>
      </c>
      <c r="DC47" s="63" t="str">
        <f>'Raw Datas'!DA90</f>
        <v>0</v>
      </c>
      <c r="DD47" s="63" t="str">
        <f>'Raw Datas'!DB90</f>
        <v>0</v>
      </c>
      <c r="DE47" s="63" t="str">
        <f>'Raw Datas'!DC90</f>
        <v>0</v>
      </c>
      <c r="DF47" s="63" t="str">
        <f>'Raw Datas'!DD90</f>
        <v>0</v>
      </c>
      <c r="DG47" s="63" t="str">
        <f>'Raw Datas'!DE90</f>
        <v>0</v>
      </c>
      <c r="DH47" s="63" t="str">
        <f>'Raw Datas'!DF90</f>
        <v>0</v>
      </c>
      <c r="DI47" s="63" t="str">
        <f>'Raw Datas'!DG90</f>
        <v>0</v>
      </c>
      <c r="DJ47" s="63" t="str">
        <f>'Raw Datas'!DH90</f>
        <v>0</v>
      </c>
      <c r="DK47" s="63" t="str">
        <f>'Raw Datas'!DI90</f>
        <v>0</v>
      </c>
      <c r="DL47" s="63" t="str">
        <f>'Raw Datas'!DJ90</f>
        <v>0</v>
      </c>
      <c r="DM47" s="63" t="str">
        <f>'Raw Datas'!DK90</f>
        <v>0</v>
      </c>
      <c r="DN47" s="63" t="str">
        <f>'Raw Datas'!DL90</f>
        <v>0</v>
      </c>
      <c r="DO47" s="63" t="str">
        <f>'Raw Datas'!DM90</f>
        <v>0</v>
      </c>
      <c r="DP47" s="63" t="str">
        <f>'Raw Datas'!DN90</f>
        <v>0</v>
      </c>
      <c r="DQ47" s="63" t="str">
        <f>'Raw Datas'!DO90</f>
        <v>0</v>
      </c>
      <c r="DR47" s="63" t="str">
        <f>'Raw Datas'!DP90</f>
        <v>0</v>
      </c>
      <c r="DS47" s="63" t="str">
        <f>'Raw Datas'!DQ90</f>
        <v>0</v>
      </c>
      <c r="DT47" s="63" t="str">
        <f>'Raw Datas'!DR90</f>
        <v>0</v>
      </c>
      <c r="DU47" s="63" t="str">
        <f>'Raw Datas'!DS90</f>
        <v>0</v>
      </c>
      <c r="DV47" s="63" t="str">
        <f>'Raw Datas'!DT90</f>
        <v>0</v>
      </c>
      <c r="DW47" s="63" t="str">
        <f>'Raw Datas'!DU90</f>
        <v>0</v>
      </c>
      <c r="DX47" s="63" t="str">
        <f>'Raw Datas'!DV90</f>
        <v>0</v>
      </c>
      <c r="DY47" s="63" t="str">
        <f>'Raw Datas'!DW90</f>
        <v>0</v>
      </c>
      <c r="DZ47" s="63" t="str">
        <f>'Raw Datas'!DX90</f>
        <v>0</v>
      </c>
      <c r="EA47" s="63" t="str">
        <f>'Raw Datas'!DY90</f>
        <v>0</v>
      </c>
      <c r="EB47" s="63" t="str">
        <f>'Raw Datas'!DZ90</f>
        <v>0</v>
      </c>
      <c r="EC47" s="63" t="str">
        <f>'Raw Datas'!EA90</f>
        <v>0</v>
      </c>
      <c r="ED47" s="63" t="str">
        <f>'Raw Datas'!EB90</f>
        <v>0</v>
      </c>
      <c r="EE47" s="63" t="str">
        <f>'Raw Datas'!EC90</f>
        <v>0</v>
      </c>
      <c r="EF47" s="63" t="str">
        <f>'Raw Datas'!ED90</f>
        <v>0</v>
      </c>
      <c r="EG47" s="63" t="str">
        <f>'Raw Datas'!EE90</f>
        <v>0</v>
      </c>
      <c r="EH47" s="63" t="str">
        <f>'Raw Datas'!EF90</f>
        <v>0</v>
      </c>
      <c r="EI47" s="63" t="str">
        <f>'Raw Datas'!EG90</f>
        <v>0</v>
      </c>
      <c r="EJ47" s="63" t="str">
        <f>'Raw Datas'!EH90</f>
        <v>0</v>
      </c>
      <c r="EK47" s="63" t="str">
        <f>'Raw Datas'!EI90</f>
        <v>0</v>
      </c>
      <c r="EL47" s="63" t="str">
        <f>'Raw Datas'!EJ90</f>
        <v>0</v>
      </c>
      <c r="EM47" s="63" t="str">
        <f>'Raw Datas'!EK90</f>
        <v>0</v>
      </c>
      <c r="EN47" s="63" t="str">
        <f>'Raw Datas'!EL90</f>
        <v>0</v>
      </c>
      <c r="EO47" s="63" t="str">
        <f>'Raw Datas'!EM90</f>
        <v>0</v>
      </c>
      <c r="EP47" s="63" t="str">
        <f>'Raw Datas'!EN90</f>
        <v>0</v>
      </c>
      <c r="EQ47" s="63" t="str">
        <f>'Raw Datas'!EO90</f>
        <v>0</v>
      </c>
      <c r="ER47" s="63" t="str">
        <f>'Raw Datas'!EP90</f>
        <v>0</v>
      </c>
      <c r="ES47" s="63" t="str">
        <f>'Raw Datas'!EQ90</f>
        <v>0</v>
      </c>
      <c r="ET47" s="63" t="str">
        <f>'Raw Datas'!ER90</f>
        <v>0</v>
      </c>
      <c r="EU47" s="63" t="str">
        <f>'Raw Datas'!ES90</f>
        <v>0</v>
      </c>
      <c r="EV47" s="63" t="str">
        <f>'Raw Datas'!ET90</f>
        <v>0</v>
      </c>
      <c r="EW47" s="63" t="str">
        <f>'Raw Datas'!EU90</f>
        <v>0</v>
      </c>
      <c r="EX47" s="63" t="str">
        <f>'Raw Datas'!EV90</f>
        <v>0</v>
      </c>
      <c r="EY47" s="63" t="str">
        <f>'Raw Datas'!EW90</f>
        <v>0</v>
      </c>
      <c r="EZ47" s="63" t="str">
        <f>'Raw Datas'!EX90</f>
        <v>0</v>
      </c>
      <c r="FA47" s="63" t="str">
        <f>'Raw Datas'!EY90</f>
        <v>0</v>
      </c>
      <c r="FB47" s="63" t="str">
        <f>'Raw Datas'!EZ90</f>
        <v>0</v>
      </c>
      <c r="FC47" s="63" t="str">
        <f>'Raw Datas'!FA90</f>
        <v>0</v>
      </c>
      <c r="FD47" s="63" t="str">
        <f>'Raw Datas'!FB90</f>
        <v>0</v>
      </c>
      <c r="FE47" s="63" t="str">
        <f>'Raw Datas'!FC90</f>
        <v>0</v>
      </c>
      <c r="FF47" s="63" t="str">
        <f>'Raw Datas'!FD90</f>
        <v>0</v>
      </c>
      <c r="FG47" s="63" t="str">
        <f>'Raw Datas'!FE90</f>
        <v>0</v>
      </c>
      <c r="FH47" s="63" t="str">
        <f>'Raw Datas'!FF90</f>
        <v>0</v>
      </c>
      <c r="FI47" s="63" t="str">
        <f>'Raw Datas'!FG90</f>
        <v>0</v>
      </c>
      <c r="FJ47" s="63" t="str">
        <f>'Raw Datas'!FH90</f>
        <v>0</v>
      </c>
      <c r="FK47" s="63" t="str">
        <f>'Raw Datas'!FI90</f>
        <v>0</v>
      </c>
      <c r="FL47" s="63" t="str">
        <f>'Raw Datas'!FJ90</f>
        <v>0</v>
      </c>
      <c r="FM47" s="63" t="str">
        <f>'Raw Datas'!FK90</f>
        <v>0</v>
      </c>
      <c r="FN47" s="63" t="str">
        <f>'Raw Datas'!FL90</f>
        <v>0</v>
      </c>
      <c r="FO47" s="63" t="str">
        <f>'Raw Datas'!FM90</f>
        <v>0</v>
      </c>
      <c r="FP47" s="63" t="str">
        <f>'Raw Datas'!FN90</f>
        <v>0</v>
      </c>
      <c r="FQ47" s="63" t="str">
        <f>'Raw Datas'!FO90</f>
        <v>0</v>
      </c>
    </row>
    <row r="48" spans="1:16092" ht="15.75" customHeight="1" x14ac:dyDescent="0.2">
      <c r="A48" s="117"/>
      <c r="B48" s="57" t="s">
        <v>33</v>
      </c>
      <c r="C48" s="104" t="s">
        <v>760</v>
      </c>
      <c r="D48" s="104"/>
      <c r="E48" s="60" t="str">
        <f>'Raw Datas'!C91</f>
        <v>0</v>
      </c>
      <c r="F48" s="66" t="str">
        <f>'Raw Datas'!D91</f>
        <v>0</v>
      </c>
      <c r="G48" s="66" t="str">
        <f>'Raw Datas'!E91</f>
        <v>0</v>
      </c>
      <c r="H48" s="66" t="str">
        <f>'Raw Datas'!F91</f>
        <v>0</v>
      </c>
      <c r="I48" s="66" t="str">
        <f>'Raw Datas'!G91</f>
        <v>0</v>
      </c>
      <c r="J48" s="66" t="str">
        <f>'Raw Datas'!H91</f>
        <v>0</v>
      </c>
      <c r="K48" s="66" t="str">
        <f>'Raw Datas'!I91</f>
        <v>0</v>
      </c>
      <c r="L48" s="66" t="str">
        <f>'Raw Datas'!J91</f>
        <v>0</v>
      </c>
      <c r="M48" s="66" t="str">
        <f>'Raw Datas'!K91</f>
        <v>0</v>
      </c>
      <c r="N48" s="66" t="str">
        <f>'Raw Datas'!L91</f>
        <v>0</v>
      </c>
      <c r="O48" s="66" t="str">
        <f>'Raw Datas'!M91</f>
        <v>0</v>
      </c>
      <c r="P48" s="66" t="str">
        <f>'Raw Datas'!N91</f>
        <v>0</v>
      </c>
      <c r="Q48" s="66" t="str">
        <f>'Raw Datas'!O91</f>
        <v>0</v>
      </c>
      <c r="R48" s="66" t="str">
        <f>'Raw Datas'!P91</f>
        <v>0</v>
      </c>
      <c r="S48" s="66" t="str">
        <f>'Raw Datas'!Q91</f>
        <v>0</v>
      </c>
      <c r="T48" s="66" t="str">
        <f>'Raw Datas'!R91</f>
        <v>0</v>
      </c>
      <c r="U48" s="66" t="str">
        <f>'Raw Datas'!S91</f>
        <v>0</v>
      </c>
      <c r="V48" s="66" t="str">
        <f>'Raw Datas'!T91</f>
        <v>0</v>
      </c>
      <c r="W48" s="66" t="str">
        <f>'Raw Datas'!U91</f>
        <v>0</v>
      </c>
      <c r="X48" s="66" t="str">
        <f>'Raw Datas'!V91</f>
        <v>0</v>
      </c>
      <c r="Y48" s="66" t="str">
        <f>'Raw Datas'!W91</f>
        <v>0</v>
      </c>
      <c r="Z48" s="66" t="str">
        <f>'Raw Datas'!X91</f>
        <v>0</v>
      </c>
      <c r="AA48" s="66" t="str">
        <f>'Raw Datas'!Y91</f>
        <v>0</v>
      </c>
      <c r="AB48" s="66" t="str">
        <f>'Raw Datas'!Z91</f>
        <v>0</v>
      </c>
      <c r="AC48" s="66" t="str">
        <f>'Raw Datas'!AA91</f>
        <v>0</v>
      </c>
      <c r="AD48" s="66" t="str">
        <f>'Raw Datas'!AB91</f>
        <v>0</v>
      </c>
      <c r="AE48" s="66" t="str">
        <f>'Raw Datas'!AC91</f>
        <v>0</v>
      </c>
      <c r="AF48" s="66" t="str">
        <f>'Raw Datas'!AD91</f>
        <v>0</v>
      </c>
      <c r="AG48" s="66" t="str">
        <f>'Raw Datas'!AE91</f>
        <v>0</v>
      </c>
      <c r="AH48" s="66" t="str">
        <f>'Raw Datas'!AF91</f>
        <v>0</v>
      </c>
      <c r="AI48" s="63" t="str">
        <f>'Raw Datas'!AG91</f>
        <v>0</v>
      </c>
      <c r="AJ48" s="63" t="str">
        <f>'Raw Datas'!AH91</f>
        <v>0</v>
      </c>
      <c r="AK48" s="63" t="str">
        <f>'Raw Datas'!AI91</f>
        <v>0</v>
      </c>
      <c r="AL48" s="63" t="str">
        <f>'Raw Datas'!AJ91</f>
        <v>0</v>
      </c>
      <c r="AM48" s="63" t="str">
        <f>'Raw Datas'!AK91</f>
        <v>0</v>
      </c>
      <c r="AN48" s="63" t="str">
        <f>'Raw Datas'!AL91</f>
        <v>0</v>
      </c>
      <c r="AO48" s="63" t="str">
        <f>'Raw Datas'!AM91</f>
        <v>0</v>
      </c>
      <c r="AP48" s="63" t="str">
        <f>'Raw Datas'!AN91</f>
        <v>0</v>
      </c>
      <c r="AQ48" s="63" t="str">
        <f>'Raw Datas'!AO91</f>
        <v>0</v>
      </c>
      <c r="AR48" s="63" t="str">
        <f>'Raw Datas'!AP91</f>
        <v>0</v>
      </c>
      <c r="AS48" s="63" t="str">
        <f>'Raw Datas'!AQ91</f>
        <v>0</v>
      </c>
      <c r="AT48" s="63" t="str">
        <f>'Raw Datas'!AR91</f>
        <v>0</v>
      </c>
      <c r="AU48" s="63" t="str">
        <f>'Raw Datas'!AS91</f>
        <v>0</v>
      </c>
      <c r="AV48" s="63" t="str">
        <f>'Raw Datas'!AT91</f>
        <v>0</v>
      </c>
      <c r="AW48" s="63" t="str">
        <f>'Raw Datas'!AU91</f>
        <v>0</v>
      </c>
      <c r="AX48" s="63" t="str">
        <f>'Raw Datas'!AV91</f>
        <v>0</v>
      </c>
      <c r="AY48" s="63" t="str">
        <f>'Raw Datas'!AW91</f>
        <v>0</v>
      </c>
      <c r="AZ48" s="63" t="str">
        <f>'Raw Datas'!AX91</f>
        <v>0</v>
      </c>
      <c r="BA48" s="63" t="str">
        <f>'Raw Datas'!AY91</f>
        <v>0</v>
      </c>
      <c r="BB48" s="63" t="str">
        <f>'Raw Datas'!AZ91</f>
        <v>0</v>
      </c>
      <c r="BC48" s="63" t="str">
        <f>'Raw Datas'!BA91</f>
        <v>0</v>
      </c>
      <c r="BD48" s="63" t="str">
        <f>'Raw Datas'!BB91</f>
        <v>0</v>
      </c>
      <c r="BE48" s="63" t="str">
        <f>'Raw Datas'!BC91</f>
        <v>0</v>
      </c>
      <c r="BF48" s="63" t="str">
        <f>'Raw Datas'!BD91</f>
        <v>0</v>
      </c>
      <c r="BG48" s="63" t="str">
        <f>'Raw Datas'!BE91</f>
        <v>0</v>
      </c>
      <c r="BH48" s="63" t="str">
        <f>'Raw Datas'!BF91</f>
        <v>0</v>
      </c>
      <c r="BI48" s="63" t="str">
        <f>'Raw Datas'!BG91</f>
        <v>0</v>
      </c>
      <c r="BJ48" s="63" t="str">
        <f>'Raw Datas'!BH91</f>
        <v>0</v>
      </c>
      <c r="BK48" s="63" t="str">
        <f>'Raw Datas'!BI91</f>
        <v>0</v>
      </c>
      <c r="BL48" s="63" t="str">
        <f>'Raw Datas'!BJ91</f>
        <v>0</v>
      </c>
      <c r="BM48" s="63" t="str">
        <f>'Raw Datas'!BK91</f>
        <v>0</v>
      </c>
      <c r="BN48" s="63" t="str">
        <f>'Raw Datas'!BL91</f>
        <v>0</v>
      </c>
      <c r="BO48" s="63" t="str">
        <f>'Raw Datas'!BM91</f>
        <v>0</v>
      </c>
      <c r="BP48" s="63" t="str">
        <f>'Raw Datas'!BN91</f>
        <v>0</v>
      </c>
      <c r="BQ48" s="63" t="str">
        <f>'Raw Datas'!BO91</f>
        <v>0</v>
      </c>
      <c r="BR48" s="63" t="str">
        <f>'Raw Datas'!BP91</f>
        <v>0</v>
      </c>
      <c r="BS48" s="63" t="str">
        <f>'Raw Datas'!BQ91</f>
        <v>0</v>
      </c>
      <c r="BT48" s="63" t="str">
        <f>'Raw Datas'!BR91</f>
        <v>0</v>
      </c>
      <c r="BU48" s="63" t="str">
        <f>'Raw Datas'!BS91</f>
        <v>0</v>
      </c>
      <c r="BV48" s="63" t="str">
        <f>'Raw Datas'!BT91</f>
        <v>0</v>
      </c>
      <c r="BW48" s="63" t="str">
        <f>'Raw Datas'!BU91</f>
        <v>0</v>
      </c>
      <c r="BX48" s="63" t="str">
        <f>'Raw Datas'!BV91</f>
        <v>0</v>
      </c>
      <c r="BY48" s="63" t="str">
        <f>'Raw Datas'!BW91</f>
        <v>0</v>
      </c>
      <c r="BZ48" s="63" t="str">
        <f>'Raw Datas'!BX91</f>
        <v>0</v>
      </c>
      <c r="CA48" s="63" t="str">
        <f>'Raw Datas'!BY91</f>
        <v>0</v>
      </c>
      <c r="CB48" s="63" t="str">
        <f>'Raw Datas'!BZ91</f>
        <v>0</v>
      </c>
      <c r="CC48" s="63" t="str">
        <f>'Raw Datas'!CA91</f>
        <v>0</v>
      </c>
      <c r="CD48" s="63" t="str">
        <f>'Raw Datas'!CB91</f>
        <v>0</v>
      </c>
      <c r="CE48" s="63" t="str">
        <f>'Raw Datas'!CC91</f>
        <v>0</v>
      </c>
      <c r="CF48" s="63" t="str">
        <f>'Raw Datas'!CD91</f>
        <v>0</v>
      </c>
      <c r="CG48" s="63" t="str">
        <f>'Raw Datas'!CE91</f>
        <v>0</v>
      </c>
      <c r="CH48" s="63" t="str">
        <f>'Raw Datas'!CF91</f>
        <v>0</v>
      </c>
      <c r="CI48" s="63" t="str">
        <f>'Raw Datas'!CG91</f>
        <v>0</v>
      </c>
      <c r="CJ48" s="63" t="str">
        <f>'Raw Datas'!CH91</f>
        <v>0</v>
      </c>
      <c r="CK48" s="63" t="str">
        <f>'Raw Datas'!CI91</f>
        <v>0</v>
      </c>
      <c r="CL48" s="63" t="str">
        <f>'Raw Datas'!CJ91</f>
        <v>0</v>
      </c>
      <c r="CM48" s="63" t="str">
        <f>'Raw Datas'!CK91</f>
        <v>0</v>
      </c>
      <c r="CN48" s="63" t="str">
        <f>'Raw Datas'!CL91</f>
        <v>0</v>
      </c>
      <c r="CO48" s="63" t="str">
        <f>'Raw Datas'!CM91</f>
        <v>0</v>
      </c>
      <c r="CP48" s="63" t="str">
        <f>'Raw Datas'!CN91</f>
        <v>0</v>
      </c>
      <c r="CQ48" s="63" t="str">
        <f>'Raw Datas'!CO91</f>
        <v>0</v>
      </c>
      <c r="CR48" s="63" t="str">
        <f>'Raw Datas'!CP91</f>
        <v>0</v>
      </c>
      <c r="CS48" s="63" t="str">
        <f>'Raw Datas'!CQ91</f>
        <v>0</v>
      </c>
      <c r="CT48" s="63" t="str">
        <f>'Raw Datas'!CR91</f>
        <v>0</v>
      </c>
      <c r="CU48" s="63" t="str">
        <f>'Raw Datas'!CS91</f>
        <v>0</v>
      </c>
      <c r="CV48" s="63" t="str">
        <f>'Raw Datas'!CT91</f>
        <v>0</v>
      </c>
      <c r="CW48" s="63" t="str">
        <f>'Raw Datas'!CU91</f>
        <v>0</v>
      </c>
      <c r="CX48" s="63" t="str">
        <f>'Raw Datas'!CV91</f>
        <v>0</v>
      </c>
      <c r="CY48" s="63" t="str">
        <f>'Raw Datas'!CW91</f>
        <v>0</v>
      </c>
      <c r="CZ48" s="63" t="str">
        <f>'Raw Datas'!CX91</f>
        <v>0</v>
      </c>
      <c r="DA48" s="63" t="str">
        <f>'Raw Datas'!CY91</f>
        <v>0</v>
      </c>
      <c r="DB48" s="63" t="str">
        <f>'Raw Datas'!CZ91</f>
        <v>0</v>
      </c>
      <c r="DC48" s="63" t="str">
        <f>'Raw Datas'!DA91</f>
        <v>0</v>
      </c>
      <c r="DD48" s="63" t="str">
        <f>'Raw Datas'!DB91</f>
        <v>0</v>
      </c>
      <c r="DE48" s="63" t="str">
        <f>'Raw Datas'!DC91</f>
        <v>0</v>
      </c>
      <c r="DF48" s="63" t="str">
        <f>'Raw Datas'!DD91</f>
        <v>0</v>
      </c>
      <c r="DG48" s="63" t="str">
        <f>'Raw Datas'!DE91</f>
        <v>0</v>
      </c>
      <c r="DH48" s="63" t="str">
        <f>'Raw Datas'!DF91</f>
        <v>0</v>
      </c>
      <c r="DI48" s="63" t="str">
        <f>'Raw Datas'!DG91</f>
        <v>0</v>
      </c>
      <c r="DJ48" s="63" t="str">
        <f>'Raw Datas'!DH91</f>
        <v>0</v>
      </c>
      <c r="DK48" s="63" t="str">
        <f>'Raw Datas'!DI91</f>
        <v>0</v>
      </c>
      <c r="DL48" s="63" t="str">
        <f>'Raw Datas'!DJ91</f>
        <v>0</v>
      </c>
      <c r="DM48" s="63" t="str">
        <f>'Raw Datas'!DK91</f>
        <v>0</v>
      </c>
      <c r="DN48" s="63" t="str">
        <f>'Raw Datas'!DL91</f>
        <v>0</v>
      </c>
      <c r="DO48" s="63" t="str">
        <f>'Raw Datas'!DM91</f>
        <v>0</v>
      </c>
      <c r="DP48" s="63" t="str">
        <f>'Raw Datas'!DN91</f>
        <v>0</v>
      </c>
      <c r="DQ48" s="63" t="str">
        <f>'Raw Datas'!DO91</f>
        <v>0</v>
      </c>
      <c r="DR48" s="63" t="str">
        <f>'Raw Datas'!DP91</f>
        <v>0</v>
      </c>
      <c r="DS48" s="63" t="str">
        <f>'Raw Datas'!DQ91</f>
        <v>0</v>
      </c>
      <c r="DT48" s="63" t="str">
        <f>'Raw Datas'!DR91</f>
        <v>0</v>
      </c>
      <c r="DU48" s="63" t="str">
        <f>'Raw Datas'!DS91</f>
        <v>0</v>
      </c>
      <c r="DV48" s="63" t="str">
        <f>'Raw Datas'!DT91</f>
        <v>0</v>
      </c>
      <c r="DW48" s="63" t="str">
        <f>'Raw Datas'!DU91</f>
        <v>0</v>
      </c>
      <c r="DX48" s="63" t="str">
        <f>'Raw Datas'!DV91</f>
        <v>0</v>
      </c>
      <c r="DY48" s="63" t="str">
        <f>'Raw Datas'!DW91</f>
        <v>0</v>
      </c>
      <c r="DZ48" s="63" t="str">
        <f>'Raw Datas'!DX91</f>
        <v>0</v>
      </c>
      <c r="EA48" s="63" t="str">
        <f>'Raw Datas'!DY91</f>
        <v>0</v>
      </c>
      <c r="EB48" s="63" t="str">
        <f>'Raw Datas'!DZ91</f>
        <v>0</v>
      </c>
      <c r="EC48" s="63" t="str">
        <f>'Raw Datas'!EA91</f>
        <v>0</v>
      </c>
      <c r="ED48" s="63" t="str">
        <f>'Raw Datas'!EB91</f>
        <v>0</v>
      </c>
      <c r="EE48" s="63" t="str">
        <f>'Raw Datas'!EC91</f>
        <v>0</v>
      </c>
      <c r="EF48" s="63" t="str">
        <f>'Raw Datas'!ED91</f>
        <v>0</v>
      </c>
      <c r="EG48" s="63" t="str">
        <f>'Raw Datas'!EE91</f>
        <v>0</v>
      </c>
      <c r="EH48" s="63" t="str">
        <f>'Raw Datas'!EF91</f>
        <v>0</v>
      </c>
      <c r="EI48" s="63" t="str">
        <f>'Raw Datas'!EG91</f>
        <v>0</v>
      </c>
      <c r="EJ48" s="63" t="str">
        <f>'Raw Datas'!EH91</f>
        <v>0</v>
      </c>
      <c r="EK48" s="63" t="str">
        <f>'Raw Datas'!EI91</f>
        <v>0</v>
      </c>
      <c r="EL48" s="63" t="str">
        <f>'Raw Datas'!EJ91</f>
        <v>0</v>
      </c>
      <c r="EM48" s="63" t="str">
        <f>'Raw Datas'!EK91</f>
        <v>0</v>
      </c>
      <c r="EN48" s="63" t="str">
        <f>'Raw Datas'!EL91</f>
        <v>0</v>
      </c>
      <c r="EO48" s="63" t="str">
        <f>'Raw Datas'!EM91</f>
        <v>0</v>
      </c>
      <c r="EP48" s="63" t="str">
        <f>'Raw Datas'!EN91</f>
        <v>0</v>
      </c>
      <c r="EQ48" s="63" t="str">
        <f>'Raw Datas'!EO91</f>
        <v>0</v>
      </c>
      <c r="ER48" s="63" t="str">
        <f>'Raw Datas'!EP91</f>
        <v>0</v>
      </c>
      <c r="ES48" s="63" t="str">
        <f>'Raw Datas'!EQ91</f>
        <v>0</v>
      </c>
      <c r="ET48" s="63" t="str">
        <f>'Raw Datas'!ER91</f>
        <v>0</v>
      </c>
      <c r="EU48" s="63" t="str">
        <f>'Raw Datas'!ES91</f>
        <v>0</v>
      </c>
      <c r="EV48" s="63" t="str">
        <f>'Raw Datas'!ET91</f>
        <v>0</v>
      </c>
      <c r="EW48" s="63" t="str">
        <f>'Raw Datas'!EU91</f>
        <v>0</v>
      </c>
      <c r="EX48" s="63" t="str">
        <f>'Raw Datas'!EV91</f>
        <v>0</v>
      </c>
      <c r="EY48" s="63" t="str">
        <f>'Raw Datas'!EW91</f>
        <v>0</v>
      </c>
      <c r="EZ48" s="63" t="str">
        <f>'Raw Datas'!EX91</f>
        <v>0</v>
      </c>
      <c r="FA48" s="63" t="str">
        <f>'Raw Datas'!EY91</f>
        <v>0</v>
      </c>
      <c r="FB48" s="63" t="str">
        <f>'Raw Datas'!EZ91</f>
        <v>0</v>
      </c>
      <c r="FC48" s="63" t="str">
        <f>'Raw Datas'!FA91</f>
        <v>0</v>
      </c>
      <c r="FD48" s="63" t="str">
        <f>'Raw Datas'!FB91</f>
        <v>0</v>
      </c>
      <c r="FE48" s="63" t="str">
        <f>'Raw Datas'!FC91</f>
        <v>0</v>
      </c>
      <c r="FF48" s="63" t="str">
        <f>'Raw Datas'!FD91</f>
        <v>0</v>
      </c>
      <c r="FG48" s="63" t="str">
        <f>'Raw Datas'!FE91</f>
        <v>0</v>
      </c>
      <c r="FH48" s="63" t="str">
        <f>'Raw Datas'!FF91</f>
        <v>0</v>
      </c>
      <c r="FI48" s="63" t="str">
        <f>'Raw Datas'!FG91</f>
        <v>0</v>
      </c>
      <c r="FJ48" s="63" t="str">
        <f>'Raw Datas'!FH91</f>
        <v>0</v>
      </c>
      <c r="FK48" s="63" t="str">
        <f>'Raw Datas'!FI91</f>
        <v>0</v>
      </c>
      <c r="FL48" s="63" t="str">
        <f>'Raw Datas'!FJ91</f>
        <v>0</v>
      </c>
      <c r="FM48" s="63" t="str">
        <f>'Raw Datas'!FK91</f>
        <v>0</v>
      </c>
      <c r="FN48" s="63" t="str">
        <f>'Raw Datas'!FL91</f>
        <v>0</v>
      </c>
      <c r="FO48" s="63" t="str">
        <f>'Raw Datas'!FM91</f>
        <v>0</v>
      </c>
      <c r="FP48" s="63" t="str">
        <f>'Raw Datas'!FN91</f>
        <v>0</v>
      </c>
      <c r="FQ48" s="63" t="str">
        <f>'Raw Datas'!FO91</f>
        <v>0</v>
      </c>
    </row>
    <row r="49" spans="1:16092" ht="15.75" customHeight="1" x14ac:dyDescent="0.2">
      <c r="A49" s="117"/>
      <c r="B49" s="57" t="s">
        <v>34</v>
      </c>
      <c r="C49" s="112" t="s">
        <v>759</v>
      </c>
      <c r="D49" s="104"/>
      <c r="E49" s="60" t="str">
        <f>'Raw Datas'!C92</f>
        <v>0</v>
      </c>
      <c r="F49" s="66" t="str">
        <f>'Raw Datas'!D92</f>
        <v>0</v>
      </c>
      <c r="G49" s="66" t="str">
        <f>'Raw Datas'!E92</f>
        <v>0</v>
      </c>
      <c r="H49" s="66" t="str">
        <f>'Raw Datas'!F92</f>
        <v>0</v>
      </c>
      <c r="I49" s="66" t="str">
        <f>'Raw Datas'!G92</f>
        <v>0</v>
      </c>
      <c r="J49" s="66" t="str">
        <f>'Raw Datas'!H92</f>
        <v>0</v>
      </c>
      <c r="K49" s="66" t="str">
        <f>'Raw Datas'!I92</f>
        <v>0</v>
      </c>
      <c r="L49" s="66" t="str">
        <f>'Raw Datas'!J92</f>
        <v>0</v>
      </c>
      <c r="M49" s="66" t="str">
        <f>'Raw Datas'!K92</f>
        <v>0</v>
      </c>
      <c r="N49" s="66" t="str">
        <f>'Raw Datas'!L92</f>
        <v>0</v>
      </c>
      <c r="O49" s="66" t="str">
        <f>'Raw Datas'!M92</f>
        <v>0</v>
      </c>
      <c r="P49" s="66" t="str">
        <f>'Raw Datas'!N92</f>
        <v>0</v>
      </c>
      <c r="Q49" s="66" t="str">
        <f>'Raw Datas'!O92</f>
        <v>0</v>
      </c>
      <c r="R49" s="66" t="str">
        <f>'Raw Datas'!P92</f>
        <v>0</v>
      </c>
      <c r="S49" s="66" t="str">
        <f>'Raw Datas'!Q92</f>
        <v>0</v>
      </c>
      <c r="T49" s="66" t="str">
        <f>'Raw Datas'!R92</f>
        <v>0</v>
      </c>
      <c r="U49" s="66" t="str">
        <f>'Raw Datas'!S92</f>
        <v>0</v>
      </c>
      <c r="V49" s="66" t="str">
        <f>'Raw Datas'!T92</f>
        <v>0</v>
      </c>
      <c r="W49" s="66" t="str">
        <f>'Raw Datas'!U92</f>
        <v>0</v>
      </c>
      <c r="X49" s="66" t="str">
        <f>'Raw Datas'!V92</f>
        <v>0</v>
      </c>
      <c r="Y49" s="66" t="str">
        <f>'Raw Datas'!W92</f>
        <v>0</v>
      </c>
      <c r="Z49" s="66" t="str">
        <f>'Raw Datas'!X92</f>
        <v>0</v>
      </c>
      <c r="AA49" s="66" t="str">
        <f>'Raw Datas'!Y92</f>
        <v>0</v>
      </c>
      <c r="AB49" s="66" t="str">
        <f>'Raw Datas'!Z92</f>
        <v>0</v>
      </c>
      <c r="AC49" s="66" t="str">
        <f>'Raw Datas'!AA92</f>
        <v>0</v>
      </c>
      <c r="AD49" s="66" t="str">
        <f>'Raw Datas'!AB92</f>
        <v>0</v>
      </c>
      <c r="AE49" s="66" t="str">
        <f>'Raw Datas'!AC92</f>
        <v>0</v>
      </c>
      <c r="AF49" s="66" t="str">
        <f>'Raw Datas'!AD92</f>
        <v>0</v>
      </c>
      <c r="AG49" s="66" t="str">
        <f>'Raw Datas'!AE92</f>
        <v>0</v>
      </c>
      <c r="AH49" s="66" t="str">
        <f>'Raw Datas'!AF92</f>
        <v>0</v>
      </c>
      <c r="AI49" s="63" t="str">
        <f>'Raw Datas'!AG92</f>
        <v>0</v>
      </c>
      <c r="AJ49" s="63" t="str">
        <f>'Raw Datas'!AH92</f>
        <v>0</v>
      </c>
      <c r="AK49" s="63" t="str">
        <f>'Raw Datas'!AI92</f>
        <v>0</v>
      </c>
      <c r="AL49" s="63" t="str">
        <f>'Raw Datas'!AJ92</f>
        <v>0</v>
      </c>
      <c r="AM49" s="63" t="str">
        <f>'Raw Datas'!AK92</f>
        <v>0</v>
      </c>
      <c r="AN49" s="63" t="str">
        <f>'Raw Datas'!AL92</f>
        <v>0</v>
      </c>
      <c r="AO49" s="63" t="str">
        <f>'Raw Datas'!AM92</f>
        <v>0</v>
      </c>
      <c r="AP49" s="63" t="str">
        <f>'Raw Datas'!AN92</f>
        <v>0</v>
      </c>
      <c r="AQ49" s="63" t="str">
        <f>'Raw Datas'!AO92</f>
        <v>0</v>
      </c>
      <c r="AR49" s="63" t="str">
        <f>'Raw Datas'!AP92</f>
        <v>0</v>
      </c>
      <c r="AS49" s="63" t="str">
        <f>'Raw Datas'!AQ92</f>
        <v>0</v>
      </c>
      <c r="AT49" s="63" t="str">
        <f>'Raw Datas'!AR92</f>
        <v>0</v>
      </c>
      <c r="AU49" s="63" t="str">
        <f>'Raw Datas'!AS92</f>
        <v>0</v>
      </c>
      <c r="AV49" s="63" t="str">
        <f>'Raw Datas'!AT92</f>
        <v>0</v>
      </c>
      <c r="AW49" s="63" t="str">
        <f>'Raw Datas'!AU92</f>
        <v>0</v>
      </c>
      <c r="AX49" s="63" t="str">
        <f>'Raw Datas'!AV92</f>
        <v>0</v>
      </c>
      <c r="AY49" s="63" t="str">
        <f>'Raw Datas'!AW92</f>
        <v>0</v>
      </c>
      <c r="AZ49" s="63" t="str">
        <f>'Raw Datas'!AX92</f>
        <v>0</v>
      </c>
      <c r="BA49" s="63" t="str">
        <f>'Raw Datas'!AY92</f>
        <v>0</v>
      </c>
      <c r="BB49" s="63" t="str">
        <f>'Raw Datas'!AZ92</f>
        <v>0</v>
      </c>
      <c r="BC49" s="63" t="str">
        <f>'Raw Datas'!BA92</f>
        <v>0</v>
      </c>
      <c r="BD49" s="63" t="str">
        <f>'Raw Datas'!BB92</f>
        <v>0</v>
      </c>
      <c r="BE49" s="63" t="str">
        <f>'Raw Datas'!BC92</f>
        <v>0</v>
      </c>
      <c r="BF49" s="63" t="str">
        <f>'Raw Datas'!BD92</f>
        <v>0</v>
      </c>
      <c r="BG49" s="63" t="str">
        <f>'Raw Datas'!BE92</f>
        <v>0</v>
      </c>
      <c r="BH49" s="63" t="str">
        <f>'Raw Datas'!BF92</f>
        <v>0</v>
      </c>
      <c r="BI49" s="63" t="str">
        <f>'Raw Datas'!BG92</f>
        <v>0</v>
      </c>
      <c r="BJ49" s="63" t="str">
        <f>'Raw Datas'!BH92</f>
        <v>0</v>
      </c>
      <c r="BK49" s="63" t="str">
        <f>'Raw Datas'!BI92</f>
        <v>0</v>
      </c>
      <c r="BL49" s="63" t="str">
        <f>'Raw Datas'!BJ92</f>
        <v>0</v>
      </c>
      <c r="BM49" s="63" t="str">
        <f>'Raw Datas'!BK92</f>
        <v>0</v>
      </c>
      <c r="BN49" s="63" t="str">
        <f>'Raw Datas'!BL92</f>
        <v>0</v>
      </c>
      <c r="BO49" s="63" t="str">
        <f>'Raw Datas'!BM92</f>
        <v>0</v>
      </c>
      <c r="BP49" s="63" t="str">
        <f>'Raw Datas'!BN92</f>
        <v>0</v>
      </c>
      <c r="BQ49" s="63" t="str">
        <f>'Raw Datas'!BO92</f>
        <v>0</v>
      </c>
      <c r="BR49" s="63" t="str">
        <f>'Raw Datas'!BP92</f>
        <v>0</v>
      </c>
      <c r="BS49" s="63" t="str">
        <f>'Raw Datas'!BQ92</f>
        <v>0</v>
      </c>
      <c r="BT49" s="63" t="str">
        <f>'Raw Datas'!BR92</f>
        <v>0</v>
      </c>
      <c r="BU49" s="63" t="str">
        <f>'Raw Datas'!BS92</f>
        <v>0</v>
      </c>
      <c r="BV49" s="63" t="str">
        <f>'Raw Datas'!BT92</f>
        <v>0</v>
      </c>
      <c r="BW49" s="63" t="str">
        <f>'Raw Datas'!BU92</f>
        <v>0</v>
      </c>
      <c r="BX49" s="63" t="str">
        <f>'Raw Datas'!BV92</f>
        <v>0</v>
      </c>
      <c r="BY49" s="63" t="str">
        <f>'Raw Datas'!BW92</f>
        <v>0</v>
      </c>
      <c r="BZ49" s="63" t="str">
        <f>'Raw Datas'!BX92</f>
        <v>0</v>
      </c>
      <c r="CA49" s="63" t="str">
        <f>'Raw Datas'!BY92</f>
        <v>0</v>
      </c>
      <c r="CB49" s="63" t="str">
        <f>'Raw Datas'!BZ92</f>
        <v>0</v>
      </c>
      <c r="CC49" s="63" t="str">
        <f>'Raw Datas'!CA92</f>
        <v>0</v>
      </c>
      <c r="CD49" s="63" t="str">
        <f>'Raw Datas'!CB92</f>
        <v>0</v>
      </c>
      <c r="CE49" s="63" t="str">
        <f>'Raw Datas'!CC92</f>
        <v>0</v>
      </c>
      <c r="CF49" s="63" t="str">
        <f>'Raw Datas'!CD92</f>
        <v>0</v>
      </c>
      <c r="CG49" s="63" t="str">
        <f>'Raw Datas'!CE92</f>
        <v>0</v>
      </c>
      <c r="CH49" s="63" t="str">
        <f>'Raw Datas'!CF92</f>
        <v>0</v>
      </c>
      <c r="CI49" s="63" t="str">
        <f>'Raw Datas'!CG92</f>
        <v>0</v>
      </c>
      <c r="CJ49" s="63" t="str">
        <f>'Raw Datas'!CH92</f>
        <v>0</v>
      </c>
      <c r="CK49" s="63" t="str">
        <f>'Raw Datas'!CI92</f>
        <v>0</v>
      </c>
      <c r="CL49" s="63" t="str">
        <f>'Raw Datas'!CJ92</f>
        <v>0</v>
      </c>
      <c r="CM49" s="63" t="str">
        <f>'Raw Datas'!CK92</f>
        <v>0</v>
      </c>
      <c r="CN49" s="63" t="str">
        <f>'Raw Datas'!CL92</f>
        <v>0</v>
      </c>
      <c r="CO49" s="63" t="str">
        <f>'Raw Datas'!CM92</f>
        <v>0</v>
      </c>
      <c r="CP49" s="63" t="str">
        <f>'Raw Datas'!CN92</f>
        <v>0</v>
      </c>
      <c r="CQ49" s="63" t="str">
        <f>'Raw Datas'!CO92</f>
        <v>0</v>
      </c>
      <c r="CR49" s="63" t="str">
        <f>'Raw Datas'!CP92</f>
        <v>0</v>
      </c>
      <c r="CS49" s="63" t="str">
        <f>'Raw Datas'!CQ92</f>
        <v>0</v>
      </c>
      <c r="CT49" s="63" t="str">
        <f>'Raw Datas'!CR92</f>
        <v>0</v>
      </c>
      <c r="CU49" s="63" t="str">
        <f>'Raw Datas'!CS92</f>
        <v>0</v>
      </c>
      <c r="CV49" s="63" t="str">
        <f>'Raw Datas'!CT92</f>
        <v>0</v>
      </c>
      <c r="CW49" s="63" t="str">
        <f>'Raw Datas'!CU92</f>
        <v>0</v>
      </c>
      <c r="CX49" s="63" t="str">
        <f>'Raw Datas'!CV92</f>
        <v>0</v>
      </c>
      <c r="CY49" s="63" t="str">
        <f>'Raw Datas'!CW92</f>
        <v>0</v>
      </c>
      <c r="CZ49" s="63" t="str">
        <f>'Raw Datas'!CX92</f>
        <v>0</v>
      </c>
      <c r="DA49" s="63" t="str">
        <f>'Raw Datas'!CY92</f>
        <v>0</v>
      </c>
      <c r="DB49" s="63" t="str">
        <f>'Raw Datas'!CZ92</f>
        <v>0</v>
      </c>
      <c r="DC49" s="63" t="str">
        <f>'Raw Datas'!DA92</f>
        <v>0</v>
      </c>
      <c r="DD49" s="63" t="str">
        <f>'Raw Datas'!DB92</f>
        <v>0</v>
      </c>
      <c r="DE49" s="63" t="str">
        <f>'Raw Datas'!DC92</f>
        <v>0</v>
      </c>
      <c r="DF49" s="63" t="str">
        <f>'Raw Datas'!DD92</f>
        <v>0</v>
      </c>
      <c r="DG49" s="63" t="str">
        <f>'Raw Datas'!DE92</f>
        <v>0</v>
      </c>
      <c r="DH49" s="63" t="str">
        <f>'Raw Datas'!DF92</f>
        <v>0</v>
      </c>
      <c r="DI49" s="63" t="str">
        <f>'Raw Datas'!DG92</f>
        <v>0</v>
      </c>
      <c r="DJ49" s="63" t="str">
        <f>'Raw Datas'!DH92</f>
        <v>0</v>
      </c>
      <c r="DK49" s="63" t="str">
        <f>'Raw Datas'!DI92</f>
        <v>0</v>
      </c>
      <c r="DL49" s="63" t="str">
        <f>'Raw Datas'!DJ92</f>
        <v>0</v>
      </c>
      <c r="DM49" s="63" t="str">
        <f>'Raw Datas'!DK92</f>
        <v>0</v>
      </c>
      <c r="DN49" s="63" t="str">
        <f>'Raw Datas'!DL92</f>
        <v>0</v>
      </c>
      <c r="DO49" s="63" t="str">
        <f>'Raw Datas'!DM92</f>
        <v>0</v>
      </c>
      <c r="DP49" s="63" t="str">
        <f>'Raw Datas'!DN92</f>
        <v>0</v>
      </c>
      <c r="DQ49" s="63" t="str">
        <f>'Raw Datas'!DO92</f>
        <v>0</v>
      </c>
      <c r="DR49" s="63" t="str">
        <f>'Raw Datas'!DP92</f>
        <v>0</v>
      </c>
      <c r="DS49" s="63" t="str">
        <f>'Raw Datas'!DQ92</f>
        <v>0</v>
      </c>
      <c r="DT49" s="63" t="str">
        <f>'Raw Datas'!DR92</f>
        <v>0</v>
      </c>
      <c r="DU49" s="63" t="str">
        <f>'Raw Datas'!DS92</f>
        <v>0</v>
      </c>
      <c r="DV49" s="63" t="str">
        <f>'Raw Datas'!DT92</f>
        <v>0</v>
      </c>
      <c r="DW49" s="63" t="str">
        <f>'Raw Datas'!DU92</f>
        <v>0</v>
      </c>
      <c r="DX49" s="63" t="str">
        <f>'Raw Datas'!DV92</f>
        <v>0</v>
      </c>
      <c r="DY49" s="63" t="str">
        <f>'Raw Datas'!DW92</f>
        <v>0</v>
      </c>
      <c r="DZ49" s="63" t="str">
        <f>'Raw Datas'!DX92</f>
        <v>0</v>
      </c>
      <c r="EA49" s="63" t="str">
        <f>'Raw Datas'!DY92</f>
        <v>0</v>
      </c>
      <c r="EB49" s="63" t="str">
        <f>'Raw Datas'!DZ92</f>
        <v>0</v>
      </c>
      <c r="EC49" s="63" t="str">
        <f>'Raw Datas'!EA92</f>
        <v>0</v>
      </c>
      <c r="ED49" s="63" t="str">
        <f>'Raw Datas'!EB92</f>
        <v>0</v>
      </c>
      <c r="EE49" s="63" t="str">
        <f>'Raw Datas'!EC92</f>
        <v>0</v>
      </c>
      <c r="EF49" s="63" t="str">
        <f>'Raw Datas'!ED92</f>
        <v>0</v>
      </c>
      <c r="EG49" s="63" t="str">
        <f>'Raw Datas'!EE92</f>
        <v>0</v>
      </c>
      <c r="EH49" s="63" t="str">
        <f>'Raw Datas'!EF92</f>
        <v>0</v>
      </c>
      <c r="EI49" s="63" t="str">
        <f>'Raw Datas'!EG92</f>
        <v>0</v>
      </c>
      <c r="EJ49" s="63" t="str">
        <f>'Raw Datas'!EH92</f>
        <v>0</v>
      </c>
      <c r="EK49" s="63" t="str">
        <f>'Raw Datas'!EI92</f>
        <v>0</v>
      </c>
      <c r="EL49" s="63" t="str">
        <f>'Raw Datas'!EJ92</f>
        <v>0</v>
      </c>
      <c r="EM49" s="63" t="str">
        <f>'Raw Datas'!EK92</f>
        <v>0</v>
      </c>
      <c r="EN49" s="63" t="str">
        <f>'Raw Datas'!EL92</f>
        <v>0</v>
      </c>
      <c r="EO49" s="63" t="str">
        <f>'Raw Datas'!EM92</f>
        <v>0</v>
      </c>
      <c r="EP49" s="63" t="str">
        <f>'Raw Datas'!EN92</f>
        <v>0</v>
      </c>
      <c r="EQ49" s="63" t="str">
        <f>'Raw Datas'!EO92</f>
        <v>0</v>
      </c>
      <c r="ER49" s="63" t="str">
        <f>'Raw Datas'!EP92</f>
        <v>0</v>
      </c>
      <c r="ES49" s="63" t="str">
        <f>'Raw Datas'!EQ92</f>
        <v>0</v>
      </c>
      <c r="ET49" s="63" t="str">
        <f>'Raw Datas'!ER92</f>
        <v>0</v>
      </c>
      <c r="EU49" s="63" t="str">
        <f>'Raw Datas'!ES92</f>
        <v>0</v>
      </c>
      <c r="EV49" s="63" t="str">
        <f>'Raw Datas'!ET92</f>
        <v>0</v>
      </c>
      <c r="EW49" s="63" t="str">
        <f>'Raw Datas'!EU92</f>
        <v>0</v>
      </c>
      <c r="EX49" s="63" t="str">
        <f>'Raw Datas'!EV92</f>
        <v>0</v>
      </c>
      <c r="EY49" s="63" t="str">
        <f>'Raw Datas'!EW92</f>
        <v>0</v>
      </c>
      <c r="EZ49" s="63" t="str">
        <f>'Raw Datas'!EX92</f>
        <v>0</v>
      </c>
      <c r="FA49" s="63" t="str">
        <f>'Raw Datas'!EY92</f>
        <v>0</v>
      </c>
      <c r="FB49" s="63" t="str">
        <f>'Raw Datas'!EZ92</f>
        <v>0</v>
      </c>
      <c r="FC49" s="63" t="str">
        <f>'Raw Datas'!FA92</f>
        <v>0</v>
      </c>
      <c r="FD49" s="63" t="str">
        <f>'Raw Datas'!FB92</f>
        <v>0</v>
      </c>
      <c r="FE49" s="63" t="str">
        <f>'Raw Datas'!FC92</f>
        <v>0</v>
      </c>
      <c r="FF49" s="63" t="str">
        <f>'Raw Datas'!FD92</f>
        <v>0</v>
      </c>
      <c r="FG49" s="63" t="str">
        <f>'Raw Datas'!FE92</f>
        <v>0</v>
      </c>
      <c r="FH49" s="63" t="str">
        <f>'Raw Datas'!FF92</f>
        <v>0</v>
      </c>
      <c r="FI49" s="63" t="str">
        <f>'Raw Datas'!FG92</f>
        <v>0</v>
      </c>
      <c r="FJ49" s="63" t="str">
        <f>'Raw Datas'!FH92</f>
        <v>0</v>
      </c>
      <c r="FK49" s="63" t="str">
        <f>'Raw Datas'!FI92</f>
        <v>0</v>
      </c>
      <c r="FL49" s="63" t="str">
        <f>'Raw Datas'!FJ92</f>
        <v>0</v>
      </c>
      <c r="FM49" s="63" t="str">
        <f>'Raw Datas'!FK92</f>
        <v>0</v>
      </c>
      <c r="FN49" s="63" t="str">
        <f>'Raw Datas'!FL92</f>
        <v>0</v>
      </c>
      <c r="FO49" s="63" t="str">
        <f>'Raw Datas'!FM92</f>
        <v>0</v>
      </c>
      <c r="FP49" s="63" t="str">
        <f>'Raw Datas'!FN92</f>
        <v>0</v>
      </c>
      <c r="FQ49" s="63" t="str">
        <f>'Raw Datas'!FO92</f>
        <v>0</v>
      </c>
    </row>
    <row r="50" spans="1:16092" ht="16" thickBot="1" x14ac:dyDescent="0.25">
      <c r="A50" s="118"/>
      <c r="B50" s="58" t="s">
        <v>8</v>
      </c>
      <c r="C50" s="106"/>
      <c r="D50" s="106"/>
      <c r="E50" s="62" t="str">
        <f>'Raw Datas'!C93</f>
        <v>0</v>
      </c>
      <c r="F50" s="67" t="str">
        <f>'Raw Datas'!D93</f>
        <v>0</v>
      </c>
      <c r="G50" s="67" t="str">
        <f>'Raw Datas'!E93</f>
        <v>0</v>
      </c>
      <c r="H50" s="67" t="str">
        <f>'Raw Datas'!F93</f>
        <v>0</v>
      </c>
      <c r="I50" s="67" t="str">
        <f>'Raw Datas'!G93</f>
        <v>0</v>
      </c>
      <c r="J50" s="67" t="str">
        <f>'Raw Datas'!H93</f>
        <v>0</v>
      </c>
      <c r="K50" s="67" t="str">
        <f>'Raw Datas'!I93</f>
        <v>0</v>
      </c>
      <c r="L50" s="67" t="str">
        <f>'Raw Datas'!J93</f>
        <v>0</v>
      </c>
      <c r="M50" s="67" t="str">
        <f>'Raw Datas'!K93</f>
        <v>0</v>
      </c>
      <c r="N50" s="67" t="str">
        <f>'Raw Datas'!L93</f>
        <v>0</v>
      </c>
      <c r="O50" s="67" t="str">
        <f>'Raw Datas'!M93</f>
        <v>0</v>
      </c>
      <c r="P50" s="67" t="str">
        <f>'Raw Datas'!N93</f>
        <v>0</v>
      </c>
      <c r="Q50" s="67" t="str">
        <f>'Raw Datas'!O93</f>
        <v>0</v>
      </c>
      <c r="R50" s="67" t="str">
        <f>'Raw Datas'!P93</f>
        <v>0</v>
      </c>
      <c r="S50" s="67" t="str">
        <f>'Raw Datas'!Q93</f>
        <v>0</v>
      </c>
      <c r="T50" s="67" t="str">
        <f>'Raw Datas'!R93</f>
        <v>0</v>
      </c>
      <c r="U50" s="67" t="str">
        <f>'Raw Datas'!S93</f>
        <v>0</v>
      </c>
      <c r="V50" s="67" t="str">
        <f>'Raw Datas'!T93</f>
        <v>0</v>
      </c>
      <c r="W50" s="67" t="str">
        <f>'Raw Datas'!U93</f>
        <v>0</v>
      </c>
      <c r="X50" s="67" t="str">
        <f>'Raw Datas'!V93</f>
        <v>0</v>
      </c>
      <c r="Y50" s="67" t="str">
        <f>'Raw Datas'!W93</f>
        <v>0</v>
      </c>
      <c r="Z50" s="67" t="str">
        <f>'Raw Datas'!X93</f>
        <v>0</v>
      </c>
      <c r="AA50" s="67" t="str">
        <f>'Raw Datas'!Y93</f>
        <v>0</v>
      </c>
      <c r="AB50" s="67" t="str">
        <f>'Raw Datas'!Z93</f>
        <v>0</v>
      </c>
      <c r="AC50" s="67" t="str">
        <f>'Raw Datas'!AA93</f>
        <v>0</v>
      </c>
      <c r="AD50" s="67" t="str">
        <f>'Raw Datas'!AB93</f>
        <v>0</v>
      </c>
      <c r="AE50" s="67" t="str">
        <f>'Raw Datas'!AC93</f>
        <v>0</v>
      </c>
      <c r="AF50" s="67" t="str">
        <f>'Raw Datas'!AD93</f>
        <v>0</v>
      </c>
      <c r="AG50" s="67" t="str">
        <f>'Raw Datas'!AE93</f>
        <v>0</v>
      </c>
      <c r="AH50" s="67" t="str">
        <f>'Raw Datas'!AF93</f>
        <v>0</v>
      </c>
      <c r="AI50" s="64" t="str">
        <f>'Raw Datas'!AG93</f>
        <v>0</v>
      </c>
      <c r="AJ50" s="64" t="str">
        <f>'Raw Datas'!AH93</f>
        <v>0</v>
      </c>
      <c r="AK50" s="64" t="str">
        <f>'Raw Datas'!AI93</f>
        <v>0</v>
      </c>
      <c r="AL50" s="64" t="str">
        <f>'Raw Datas'!AJ93</f>
        <v>0</v>
      </c>
      <c r="AM50" s="64" t="str">
        <f>'Raw Datas'!AK93</f>
        <v>0</v>
      </c>
      <c r="AN50" s="64" t="str">
        <f>'Raw Datas'!AL93</f>
        <v>0</v>
      </c>
      <c r="AO50" s="64" t="str">
        <f>'Raw Datas'!AM93</f>
        <v>0</v>
      </c>
      <c r="AP50" s="64" t="str">
        <f>'Raw Datas'!AN93</f>
        <v>0</v>
      </c>
      <c r="AQ50" s="64" t="str">
        <f>'Raw Datas'!AO93</f>
        <v>0</v>
      </c>
      <c r="AR50" s="64" t="str">
        <f>'Raw Datas'!AP93</f>
        <v>0</v>
      </c>
      <c r="AS50" s="64" t="str">
        <f>'Raw Datas'!AQ93</f>
        <v>0</v>
      </c>
      <c r="AT50" s="64" t="str">
        <f>'Raw Datas'!AR93</f>
        <v>0</v>
      </c>
      <c r="AU50" s="64" t="str">
        <f>'Raw Datas'!AS93</f>
        <v>0</v>
      </c>
      <c r="AV50" s="64" t="str">
        <f>'Raw Datas'!AT93</f>
        <v>0</v>
      </c>
      <c r="AW50" s="64" t="str">
        <f>'Raw Datas'!AU93</f>
        <v>0</v>
      </c>
      <c r="AX50" s="64" t="str">
        <f>'Raw Datas'!AV93</f>
        <v>0</v>
      </c>
      <c r="AY50" s="64" t="str">
        <f>'Raw Datas'!AW93</f>
        <v>0</v>
      </c>
      <c r="AZ50" s="64" t="str">
        <f>'Raw Datas'!AX93</f>
        <v>0</v>
      </c>
      <c r="BA50" s="64" t="str">
        <f>'Raw Datas'!AY93</f>
        <v>0</v>
      </c>
      <c r="BB50" s="64" t="str">
        <f>'Raw Datas'!AZ93</f>
        <v>0</v>
      </c>
      <c r="BC50" s="64" t="str">
        <f>'Raw Datas'!BA93</f>
        <v>0</v>
      </c>
      <c r="BD50" s="64" t="str">
        <f>'Raw Datas'!BB93</f>
        <v>0</v>
      </c>
      <c r="BE50" s="64" t="str">
        <f>'Raw Datas'!BC93</f>
        <v>0</v>
      </c>
      <c r="BF50" s="64" t="str">
        <f>'Raw Datas'!BD93</f>
        <v>0</v>
      </c>
      <c r="BG50" s="64" t="str">
        <f>'Raw Datas'!BE93</f>
        <v>0</v>
      </c>
      <c r="BH50" s="64" t="str">
        <f>'Raw Datas'!BF93</f>
        <v>0</v>
      </c>
      <c r="BI50" s="64" t="str">
        <f>'Raw Datas'!BG93</f>
        <v>0</v>
      </c>
      <c r="BJ50" s="64" t="str">
        <f>'Raw Datas'!BH93</f>
        <v>0</v>
      </c>
      <c r="BK50" s="64" t="str">
        <f>'Raw Datas'!BI93</f>
        <v>0</v>
      </c>
      <c r="BL50" s="64" t="str">
        <f>'Raw Datas'!BJ93</f>
        <v>0</v>
      </c>
      <c r="BM50" s="64" t="str">
        <f>'Raw Datas'!BK93</f>
        <v>0</v>
      </c>
      <c r="BN50" s="64" t="str">
        <f>'Raw Datas'!BL93</f>
        <v>0</v>
      </c>
      <c r="BO50" s="64" t="str">
        <f>'Raw Datas'!BM93</f>
        <v>0</v>
      </c>
      <c r="BP50" s="64" t="str">
        <f>'Raw Datas'!BN93</f>
        <v>0</v>
      </c>
      <c r="BQ50" s="64" t="str">
        <f>'Raw Datas'!BO93</f>
        <v>0</v>
      </c>
      <c r="BR50" s="64" t="str">
        <f>'Raw Datas'!BP93</f>
        <v>0</v>
      </c>
      <c r="BS50" s="64" t="str">
        <f>'Raw Datas'!BQ93</f>
        <v>0</v>
      </c>
      <c r="BT50" s="64" t="str">
        <f>'Raw Datas'!BR93</f>
        <v>0</v>
      </c>
      <c r="BU50" s="64" t="str">
        <f>'Raw Datas'!BS93</f>
        <v>0</v>
      </c>
      <c r="BV50" s="64" t="str">
        <f>'Raw Datas'!BT93</f>
        <v>0</v>
      </c>
      <c r="BW50" s="64" t="str">
        <f>'Raw Datas'!BU93</f>
        <v>0</v>
      </c>
      <c r="BX50" s="64" t="str">
        <f>'Raw Datas'!BV93</f>
        <v>0</v>
      </c>
      <c r="BY50" s="64" t="str">
        <f>'Raw Datas'!BW93</f>
        <v>0</v>
      </c>
      <c r="BZ50" s="64" t="str">
        <f>'Raw Datas'!BX93</f>
        <v>0</v>
      </c>
      <c r="CA50" s="64" t="str">
        <f>'Raw Datas'!BY93</f>
        <v>0</v>
      </c>
      <c r="CB50" s="64" t="str">
        <f>'Raw Datas'!BZ93</f>
        <v>0</v>
      </c>
      <c r="CC50" s="64" t="str">
        <f>'Raw Datas'!CA93</f>
        <v>0</v>
      </c>
      <c r="CD50" s="64" t="str">
        <f>'Raw Datas'!CB93</f>
        <v>0</v>
      </c>
      <c r="CE50" s="64" t="str">
        <f>'Raw Datas'!CC93</f>
        <v>0</v>
      </c>
      <c r="CF50" s="64" t="str">
        <f>'Raw Datas'!CD93</f>
        <v>0</v>
      </c>
      <c r="CG50" s="64" t="str">
        <f>'Raw Datas'!CE93</f>
        <v>0</v>
      </c>
      <c r="CH50" s="64" t="str">
        <f>'Raw Datas'!CF93</f>
        <v>0</v>
      </c>
      <c r="CI50" s="64" t="str">
        <f>'Raw Datas'!CG93</f>
        <v>0</v>
      </c>
      <c r="CJ50" s="64" t="str">
        <f>'Raw Datas'!CH93</f>
        <v>0</v>
      </c>
      <c r="CK50" s="64" t="str">
        <f>'Raw Datas'!CI93</f>
        <v>0</v>
      </c>
      <c r="CL50" s="64" t="str">
        <f>'Raw Datas'!CJ93</f>
        <v>0</v>
      </c>
      <c r="CM50" s="64" t="str">
        <f>'Raw Datas'!CK93</f>
        <v>0</v>
      </c>
      <c r="CN50" s="64" t="str">
        <f>'Raw Datas'!CL93</f>
        <v>0</v>
      </c>
      <c r="CO50" s="64" t="str">
        <f>'Raw Datas'!CM93</f>
        <v>0</v>
      </c>
      <c r="CP50" s="64" t="str">
        <f>'Raw Datas'!CN93</f>
        <v>0</v>
      </c>
      <c r="CQ50" s="64" t="str">
        <f>'Raw Datas'!CO93</f>
        <v>0</v>
      </c>
      <c r="CR50" s="64" t="str">
        <f>'Raw Datas'!CP93</f>
        <v>0</v>
      </c>
      <c r="CS50" s="64" t="str">
        <f>'Raw Datas'!CQ93</f>
        <v>0</v>
      </c>
      <c r="CT50" s="64" t="str">
        <f>'Raw Datas'!CR93</f>
        <v>0</v>
      </c>
      <c r="CU50" s="64" t="str">
        <f>'Raw Datas'!CS93</f>
        <v>0</v>
      </c>
      <c r="CV50" s="64" t="str">
        <f>'Raw Datas'!CT93</f>
        <v>0</v>
      </c>
      <c r="CW50" s="64" t="str">
        <f>'Raw Datas'!CU93</f>
        <v>0</v>
      </c>
      <c r="CX50" s="64" t="str">
        <f>'Raw Datas'!CV93</f>
        <v>0</v>
      </c>
      <c r="CY50" s="64" t="str">
        <f>'Raw Datas'!CW93</f>
        <v>0</v>
      </c>
      <c r="CZ50" s="64" t="str">
        <f>'Raw Datas'!CX93</f>
        <v>0</v>
      </c>
      <c r="DA50" s="64" t="str">
        <f>'Raw Datas'!CY93</f>
        <v>0</v>
      </c>
      <c r="DB50" s="64" t="str">
        <f>'Raw Datas'!CZ93</f>
        <v>0</v>
      </c>
      <c r="DC50" s="64" t="str">
        <f>'Raw Datas'!DA93</f>
        <v>0</v>
      </c>
      <c r="DD50" s="64" t="str">
        <f>'Raw Datas'!DB93</f>
        <v>0</v>
      </c>
      <c r="DE50" s="64" t="str">
        <f>'Raw Datas'!DC93</f>
        <v>0</v>
      </c>
      <c r="DF50" s="64" t="str">
        <f>'Raw Datas'!DD93</f>
        <v>0</v>
      </c>
      <c r="DG50" s="64" t="str">
        <f>'Raw Datas'!DE93</f>
        <v>0</v>
      </c>
      <c r="DH50" s="64" t="str">
        <f>'Raw Datas'!DF93</f>
        <v>0</v>
      </c>
      <c r="DI50" s="64" t="str">
        <f>'Raw Datas'!DG93</f>
        <v>0</v>
      </c>
      <c r="DJ50" s="64" t="str">
        <f>'Raw Datas'!DH93</f>
        <v>0</v>
      </c>
      <c r="DK50" s="64" t="str">
        <f>'Raw Datas'!DI93</f>
        <v>0</v>
      </c>
      <c r="DL50" s="64" t="str">
        <f>'Raw Datas'!DJ93</f>
        <v>0</v>
      </c>
      <c r="DM50" s="64" t="str">
        <f>'Raw Datas'!DK93</f>
        <v>0</v>
      </c>
      <c r="DN50" s="64" t="str">
        <f>'Raw Datas'!DL93</f>
        <v>0</v>
      </c>
      <c r="DO50" s="64" t="str">
        <f>'Raw Datas'!DM93</f>
        <v>0</v>
      </c>
      <c r="DP50" s="64" t="str">
        <f>'Raw Datas'!DN93</f>
        <v>0</v>
      </c>
      <c r="DQ50" s="64" t="str">
        <f>'Raw Datas'!DO93</f>
        <v>0</v>
      </c>
      <c r="DR50" s="64" t="str">
        <f>'Raw Datas'!DP93</f>
        <v>0</v>
      </c>
      <c r="DS50" s="64" t="str">
        <f>'Raw Datas'!DQ93</f>
        <v>0</v>
      </c>
      <c r="DT50" s="64" t="str">
        <f>'Raw Datas'!DR93</f>
        <v>0</v>
      </c>
      <c r="DU50" s="64" t="str">
        <f>'Raw Datas'!DS93</f>
        <v>0</v>
      </c>
      <c r="DV50" s="64" t="str">
        <f>'Raw Datas'!DT93</f>
        <v>0</v>
      </c>
      <c r="DW50" s="64" t="str">
        <f>'Raw Datas'!DU93</f>
        <v>0</v>
      </c>
      <c r="DX50" s="64" t="str">
        <f>'Raw Datas'!DV93</f>
        <v>0</v>
      </c>
      <c r="DY50" s="64" t="str">
        <f>'Raw Datas'!DW93</f>
        <v>0</v>
      </c>
      <c r="DZ50" s="64" t="str">
        <f>'Raw Datas'!DX93</f>
        <v>0</v>
      </c>
      <c r="EA50" s="64" t="str">
        <f>'Raw Datas'!DY93</f>
        <v>0</v>
      </c>
      <c r="EB50" s="64" t="str">
        <f>'Raw Datas'!DZ93</f>
        <v>0</v>
      </c>
      <c r="EC50" s="64" t="str">
        <f>'Raw Datas'!EA93</f>
        <v>0</v>
      </c>
      <c r="ED50" s="64" t="str">
        <f>'Raw Datas'!EB93</f>
        <v>0</v>
      </c>
      <c r="EE50" s="64" t="str">
        <f>'Raw Datas'!EC93</f>
        <v>0</v>
      </c>
      <c r="EF50" s="64" t="str">
        <f>'Raw Datas'!ED93</f>
        <v>0</v>
      </c>
      <c r="EG50" s="64" t="str">
        <f>'Raw Datas'!EE93</f>
        <v>0</v>
      </c>
      <c r="EH50" s="64" t="str">
        <f>'Raw Datas'!EF93</f>
        <v>0</v>
      </c>
      <c r="EI50" s="64" t="str">
        <f>'Raw Datas'!EG93</f>
        <v>0</v>
      </c>
      <c r="EJ50" s="64" t="str">
        <f>'Raw Datas'!EH93</f>
        <v>0</v>
      </c>
      <c r="EK50" s="64" t="str">
        <f>'Raw Datas'!EI93</f>
        <v>0</v>
      </c>
      <c r="EL50" s="64" t="str">
        <f>'Raw Datas'!EJ93</f>
        <v>0</v>
      </c>
      <c r="EM50" s="64" t="str">
        <f>'Raw Datas'!EK93</f>
        <v>0</v>
      </c>
      <c r="EN50" s="64" t="str">
        <f>'Raw Datas'!EL93</f>
        <v>0</v>
      </c>
      <c r="EO50" s="64" t="str">
        <f>'Raw Datas'!EM93</f>
        <v>0</v>
      </c>
      <c r="EP50" s="64" t="str">
        <f>'Raw Datas'!EN93</f>
        <v>0</v>
      </c>
      <c r="EQ50" s="64" t="str">
        <f>'Raw Datas'!EO93</f>
        <v>0</v>
      </c>
      <c r="ER50" s="64" t="str">
        <f>'Raw Datas'!EP93</f>
        <v>0</v>
      </c>
      <c r="ES50" s="64" t="str">
        <f>'Raw Datas'!EQ93</f>
        <v>0</v>
      </c>
      <c r="ET50" s="64" t="str">
        <f>'Raw Datas'!ER93</f>
        <v>0</v>
      </c>
      <c r="EU50" s="64" t="str">
        <f>'Raw Datas'!ES93</f>
        <v>0</v>
      </c>
      <c r="EV50" s="64" t="str">
        <f>'Raw Datas'!ET93</f>
        <v>0</v>
      </c>
      <c r="EW50" s="64" t="str">
        <f>'Raw Datas'!EU93</f>
        <v>0</v>
      </c>
      <c r="EX50" s="64" t="str">
        <f>'Raw Datas'!EV93</f>
        <v>0</v>
      </c>
      <c r="EY50" s="64" t="str">
        <f>'Raw Datas'!EW93</f>
        <v>0</v>
      </c>
      <c r="EZ50" s="64" t="str">
        <f>'Raw Datas'!EX93</f>
        <v>0</v>
      </c>
      <c r="FA50" s="64" t="str">
        <f>'Raw Datas'!EY93</f>
        <v>0</v>
      </c>
      <c r="FB50" s="64" t="str">
        <f>'Raw Datas'!EZ93</f>
        <v>0</v>
      </c>
      <c r="FC50" s="64" t="str">
        <f>'Raw Datas'!FA93</f>
        <v>0</v>
      </c>
      <c r="FD50" s="64" t="str">
        <f>'Raw Datas'!FB93</f>
        <v>0</v>
      </c>
      <c r="FE50" s="64" t="str">
        <f>'Raw Datas'!FC93</f>
        <v>0</v>
      </c>
      <c r="FF50" s="64" t="str">
        <f>'Raw Datas'!FD93</f>
        <v>0</v>
      </c>
      <c r="FG50" s="64" t="str">
        <f>'Raw Datas'!FE93</f>
        <v>0</v>
      </c>
      <c r="FH50" s="64" t="str">
        <f>'Raw Datas'!FF93</f>
        <v>0</v>
      </c>
      <c r="FI50" s="64" t="str">
        <f>'Raw Datas'!FG93</f>
        <v>0</v>
      </c>
      <c r="FJ50" s="64" t="str">
        <f>'Raw Datas'!FH93</f>
        <v>0</v>
      </c>
      <c r="FK50" s="64" t="str">
        <f>'Raw Datas'!FI93</f>
        <v>0</v>
      </c>
      <c r="FL50" s="64" t="str">
        <f>'Raw Datas'!FJ93</f>
        <v>0</v>
      </c>
      <c r="FM50" s="64" t="str">
        <f>'Raw Datas'!FK93</f>
        <v>0</v>
      </c>
      <c r="FN50" s="64" t="str">
        <f>'Raw Datas'!FL93</f>
        <v>0</v>
      </c>
      <c r="FO50" s="64" t="str">
        <f>'Raw Datas'!FM93</f>
        <v>0</v>
      </c>
      <c r="FP50" s="64" t="str">
        <f>'Raw Datas'!FN93</f>
        <v>0</v>
      </c>
      <c r="FQ50" s="64" t="str">
        <f>'Raw Datas'!FO93</f>
        <v>0</v>
      </c>
    </row>
    <row r="51" spans="1:16092" ht="16" thickBot="1" x14ac:dyDescent="0.25"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13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  <c r="TR51" s="13"/>
      <c r="TS51" s="13"/>
      <c r="TT51" s="13"/>
      <c r="TU51" s="13"/>
      <c r="TV51" s="13"/>
      <c r="TW51" s="13"/>
      <c r="TX51" s="13"/>
      <c r="TY51" s="13"/>
      <c r="TZ51" s="13"/>
      <c r="UA51" s="13"/>
      <c r="UB51" s="13"/>
      <c r="UC51" s="13"/>
      <c r="UD51" s="13"/>
      <c r="UE51" s="13"/>
      <c r="UF51" s="13"/>
      <c r="UG51" s="13"/>
      <c r="UH51" s="13"/>
      <c r="UI51" s="13"/>
      <c r="UJ51" s="13"/>
      <c r="UK51" s="13"/>
      <c r="UL51" s="13"/>
      <c r="UM51" s="13"/>
      <c r="UN51" s="13"/>
      <c r="UO51" s="13"/>
      <c r="UP51" s="13"/>
      <c r="UQ51" s="13"/>
      <c r="UR51" s="13"/>
      <c r="US51" s="13"/>
      <c r="UT51" s="13"/>
      <c r="UU51" s="13"/>
      <c r="UV51" s="13"/>
      <c r="UW51" s="13"/>
      <c r="UX51" s="13"/>
      <c r="UY51" s="13"/>
      <c r="UZ51" s="13"/>
      <c r="VA51" s="13"/>
      <c r="VB51" s="13"/>
      <c r="VC51" s="13"/>
      <c r="VD51" s="13"/>
      <c r="VE51" s="13"/>
      <c r="VF51" s="13"/>
      <c r="VG51" s="13"/>
      <c r="VH51" s="13"/>
      <c r="VI51" s="13"/>
      <c r="VJ51" s="13"/>
      <c r="VK51" s="13"/>
      <c r="VL51" s="13"/>
      <c r="VM51" s="13"/>
      <c r="VN51" s="13"/>
      <c r="VO51" s="13"/>
      <c r="VP51" s="13"/>
      <c r="VQ51" s="13"/>
      <c r="VR51" s="13"/>
      <c r="VS51" s="13"/>
      <c r="VT51" s="13"/>
      <c r="VU51" s="13"/>
      <c r="VV51" s="13"/>
      <c r="VW51" s="13"/>
      <c r="VX51" s="13"/>
      <c r="VY51" s="13"/>
      <c r="VZ51" s="13"/>
      <c r="WA51" s="13"/>
      <c r="WB51" s="13"/>
      <c r="WC51" s="13"/>
      <c r="WD51" s="13"/>
      <c r="WE51" s="13"/>
      <c r="WF51" s="13"/>
      <c r="WG51" s="13"/>
      <c r="WH51" s="13"/>
      <c r="WI51" s="13"/>
      <c r="WJ51" s="13"/>
      <c r="WK51" s="13"/>
      <c r="WL51" s="13"/>
      <c r="WM51" s="13"/>
      <c r="WN51" s="13"/>
      <c r="WO51" s="13"/>
      <c r="WP51" s="13"/>
      <c r="WQ51" s="13"/>
      <c r="WR51" s="13"/>
      <c r="WS51" s="13"/>
      <c r="WT51" s="13"/>
      <c r="WU51" s="13"/>
      <c r="WV51" s="13"/>
      <c r="WW51" s="13"/>
      <c r="WX51" s="13"/>
      <c r="WY51" s="13"/>
      <c r="WZ51" s="13"/>
      <c r="XA51" s="13"/>
      <c r="XB51" s="13"/>
      <c r="XC51" s="13"/>
      <c r="XD51" s="13"/>
      <c r="XE51" s="13"/>
      <c r="XF51" s="13"/>
      <c r="XG51" s="13"/>
      <c r="XH51" s="13"/>
      <c r="XI51" s="13"/>
      <c r="XJ51" s="13"/>
      <c r="XK51" s="13"/>
      <c r="XL51" s="13"/>
      <c r="XM51" s="13"/>
      <c r="XN51" s="13"/>
      <c r="XO51" s="13"/>
      <c r="XP51" s="13"/>
      <c r="XQ51" s="13"/>
      <c r="XR51" s="13"/>
      <c r="XS51" s="13"/>
      <c r="XT51" s="13"/>
      <c r="XU51" s="13"/>
      <c r="XV51" s="13"/>
      <c r="XW51" s="13"/>
      <c r="XX51" s="13"/>
      <c r="XY51" s="13"/>
      <c r="XZ51" s="13"/>
      <c r="YA51" s="13"/>
      <c r="YB51" s="13"/>
      <c r="YC51" s="13"/>
      <c r="YD51" s="13"/>
      <c r="YE51" s="13"/>
      <c r="YF51" s="13"/>
      <c r="YG51" s="13"/>
      <c r="YH51" s="13"/>
      <c r="YI51" s="13"/>
      <c r="YJ51" s="13"/>
      <c r="YK51" s="13"/>
      <c r="YL51" s="13"/>
      <c r="YM51" s="13"/>
      <c r="YN51" s="13"/>
      <c r="YO51" s="13"/>
      <c r="YP51" s="13"/>
      <c r="YQ51" s="13"/>
      <c r="YR51" s="13"/>
      <c r="YS51" s="13"/>
      <c r="YT51" s="13"/>
      <c r="YU51" s="13"/>
      <c r="YV51" s="13"/>
      <c r="YW51" s="13"/>
      <c r="YX51" s="13"/>
      <c r="YY51" s="13"/>
      <c r="YZ51" s="13"/>
      <c r="ZA51" s="13"/>
      <c r="ZB51" s="13"/>
      <c r="ZC51" s="13"/>
      <c r="ZD51" s="13"/>
      <c r="ZE51" s="13"/>
      <c r="ZF51" s="13"/>
      <c r="ZG51" s="13"/>
      <c r="ZH51" s="13"/>
      <c r="ZI51" s="13"/>
      <c r="ZJ51" s="13"/>
      <c r="ZK51" s="13"/>
      <c r="ZL51" s="13"/>
      <c r="ZM51" s="13"/>
      <c r="ZN51" s="13"/>
      <c r="ZO51" s="13"/>
      <c r="ZP51" s="13"/>
      <c r="ZQ51" s="13"/>
      <c r="ZR51" s="13"/>
      <c r="ZS51" s="13"/>
      <c r="ZT51" s="13"/>
      <c r="ZU51" s="13"/>
      <c r="ZV51" s="13"/>
      <c r="ZW51" s="13"/>
      <c r="ZX51" s="13"/>
      <c r="ZY51" s="13"/>
      <c r="ZZ51" s="13"/>
      <c r="AAA51" s="13"/>
      <c r="AAB51" s="13"/>
      <c r="AAC51" s="13"/>
      <c r="AAD51" s="13"/>
      <c r="AAE51" s="13"/>
      <c r="AAF51" s="13"/>
      <c r="AAG51" s="13"/>
      <c r="AAH51" s="13"/>
      <c r="AAI51" s="13"/>
      <c r="AAJ51" s="13"/>
      <c r="AAK51" s="13"/>
      <c r="AAL51" s="13"/>
      <c r="AAM51" s="13"/>
      <c r="AAN51" s="13"/>
      <c r="AAO51" s="13"/>
      <c r="AAP51" s="13"/>
      <c r="AAQ51" s="13"/>
      <c r="AAR51" s="13"/>
      <c r="AAS51" s="13"/>
      <c r="AAT51" s="13"/>
      <c r="AAU51" s="13"/>
      <c r="AAV51" s="13"/>
      <c r="AAW51" s="13"/>
      <c r="AAX51" s="13"/>
      <c r="AAY51" s="13"/>
      <c r="AAZ51" s="13"/>
      <c r="ABA51" s="13"/>
      <c r="ABB51" s="13"/>
      <c r="ABC51" s="13"/>
      <c r="ABD51" s="13"/>
      <c r="ABE51" s="13"/>
      <c r="ABF51" s="13"/>
      <c r="ABG51" s="13"/>
      <c r="ABH51" s="13"/>
      <c r="ABI51" s="13"/>
      <c r="ABJ51" s="13"/>
      <c r="ABK51" s="13"/>
      <c r="ABL51" s="13"/>
      <c r="ABM51" s="13"/>
      <c r="ABN51" s="13"/>
      <c r="ABO51" s="13"/>
      <c r="ABP51" s="13"/>
      <c r="ABQ51" s="13"/>
      <c r="ABR51" s="13"/>
      <c r="ABS51" s="13"/>
      <c r="ABT51" s="13"/>
      <c r="ABU51" s="13"/>
      <c r="ABV51" s="13"/>
      <c r="ABW51" s="13"/>
      <c r="ABX51" s="13"/>
      <c r="ABY51" s="13"/>
      <c r="ABZ51" s="13"/>
      <c r="ACA51" s="13"/>
      <c r="ACB51" s="13"/>
      <c r="ACC51" s="13"/>
      <c r="ACD51" s="13"/>
      <c r="ACE51" s="13"/>
      <c r="ACF51" s="13"/>
      <c r="ACG51" s="13"/>
      <c r="ACH51" s="13"/>
      <c r="ACI51" s="13"/>
      <c r="ACJ51" s="13"/>
      <c r="ACK51" s="13"/>
      <c r="ACL51" s="13"/>
      <c r="ACM51" s="13"/>
      <c r="ACN51" s="13"/>
      <c r="ACO51" s="13"/>
      <c r="ACP51" s="13"/>
      <c r="ACQ51" s="13"/>
      <c r="ACR51" s="13"/>
      <c r="ACS51" s="13"/>
      <c r="ACT51" s="13"/>
      <c r="ACU51" s="13"/>
      <c r="ACV51" s="13"/>
      <c r="ACW51" s="13"/>
      <c r="ACX51" s="13"/>
      <c r="ACY51" s="13"/>
      <c r="ACZ51" s="13"/>
      <c r="ADA51" s="13"/>
      <c r="ADB51" s="13"/>
      <c r="ADC51" s="13"/>
      <c r="ADD51" s="13"/>
      <c r="ADE51" s="13"/>
      <c r="ADF51" s="13"/>
      <c r="ADG51" s="13"/>
      <c r="ADH51" s="13"/>
      <c r="ADI51" s="13"/>
      <c r="ADJ51" s="13"/>
      <c r="ADK51" s="13"/>
      <c r="ADL51" s="13"/>
      <c r="ADM51" s="13"/>
      <c r="ADN51" s="13"/>
      <c r="ADO51" s="13"/>
      <c r="ADP51" s="13"/>
      <c r="ADQ51" s="13"/>
      <c r="ADR51" s="13"/>
      <c r="ADS51" s="13"/>
      <c r="ADT51" s="13"/>
      <c r="ADU51" s="13"/>
      <c r="ADV51" s="13"/>
      <c r="ADW51" s="13"/>
      <c r="ADX51" s="13"/>
      <c r="ADY51" s="13"/>
      <c r="ADZ51" s="13"/>
      <c r="AEA51" s="13"/>
      <c r="AEB51" s="13"/>
      <c r="AEC51" s="13"/>
      <c r="AED51" s="13"/>
      <c r="AEE51" s="13"/>
      <c r="AEF51" s="13"/>
      <c r="AEG51" s="13"/>
      <c r="AEH51" s="13"/>
      <c r="AEI51" s="13"/>
      <c r="AEJ51" s="13"/>
      <c r="AEK51" s="13"/>
      <c r="AEL51" s="13"/>
      <c r="AEM51" s="13"/>
      <c r="AEN51" s="13"/>
      <c r="AEO51" s="13"/>
      <c r="AEP51" s="13"/>
      <c r="AEQ51" s="13"/>
      <c r="AER51" s="13"/>
      <c r="AES51" s="13"/>
      <c r="AET51" s="13"/>
      <c r="AEU51" s="13"/>
      <c r="AEV51" s="13"/>
      <c r="AEW51" s="13"/>
      <c r="AEX51" s="13"/>
      <c r="AEY51" s="13"/>
      <c r="AEZ51" s="13"/>
      <c r="AFA51" s="13"/>
      <c r="AFB51" s="13"/>
      <c r="AFC51" s="13"/>
      <c r="AFD51" s="13"/>
      <c r="AFE51" s="13"/>
      <c r="AFF51" s="13"/>
      <c r="AFG51" s="13"/>
      <c r="AFH51" s="13"/>
      <c r="AFI51" s="13"/>
      <c r="AFJ51" s="13"/>
      <c r="AFK51" s="13"/>
      <c r="AFL51" s="13"/>
      <c r="AFM51" s="13"/>
      <c r="AFN51" s="13"/>
      <c r="AFO51" s="13"/>
      <c r="AFP51" s="13"/>
      <c r="AFQ51" s="13"/>
      <c r="AFR51" s="13"/>
      <c r="AFS51" s="13"/>
      <c r="AFT51" s="13"/>
      <c r="AFU51" s="13"/>
      <c r="AFV51" s="13"/>
      <c r="AFW51" s="13"/>
      <c r="AFX51" s="13"/>
      <c r="AFY51" s="13"/>
      <c r="AFZ51" s="13"/>
      <c r="AGA51" s="13"/>
      <c r="AGB51" s="13"/>
      <c r="AGC51" s="13"/>
      <c r="AGD51" s="13"/>
      <c r="AGE51" s="13"/>
      <c r="AGF51" s="13"/>
      <c r="AGG51" s="13"/>
      <c r="AGH51" s="13"/>
      <c r="AGI51" s="13"/>
      <c r="AGJ51" s="13"/>
      <c r="AGK51" s="13"/>
      <c r="AGL51" s="13"/>
      <c r="AGM51" s="13"/>
      <c r="AGN51" s="13"/>
      <c r="AGO51" s="13"/>
      <c r="AGP51" s="13"/>
      <c r="AGQ51" s="13"/>
      <c r="AGR51" s="13"/>
      <c r="AGS51" s="13"/>
      <c r="AGT51" s="13"/>
      <c r="AGU51" s="13"/>
      <c r="AGV51" s="13"/>
      <c r="AGW51" s="13"/>
      <c r="AGX51" s="13"/>
      <c r="AGY51" s="13"/>
      <c r="AGZ51" s="13"/>
      <c r="AHA51" s="13"/>
      <c r="AHB51" s="13"/>
      <c r="AHC51" s="13"/>
      <c r="AHD51" s="13"/>
      <c r="AHE51" s="13"/>
      <c r="AHF51" s="13"/>
      <c r="AHG51" s="13"/>
      <c r="AHH51" s="13"/>
      <c r="AHI51" s="13"/>
      <c r="AHJ51" s="13"/>
      <c r="AHK51" s="13"/>
      <c r="AHL51" s="13"/>
      <c r="AHM51" s="13"/>
      <c r="AHN51" s="13"/>
      <c r="AHO51" s="13"/>
      <c r="AHP51" s="13"/>
      <c r="AHQ51" s="13"/>
      <c r="AHR51" s="13"/>
      <c r="AHS51" s="13"/>
      <c r="AHT51" s="13"/>
      <c r="AHU51" s="13"/>
      <c r="AHV51" s="13"/>
      <c r="AHW51" s="13"/>
      <c r="AHX51" s="13"/>
      <c r="AHY51" s="13"/>
      <c r="AHZ51" s="13"/>
      <c r="AIA51" s="13"/>
      <c r="AIB51" s="13"/>
      <c r="AIC51" s="13"/>
      <c r="AID51" s="13"/>
      <c r="AIE51" s="13"/>
      <c r="AIF51" s="13"/>
      <c r="AIG51" s="13"/>
      <c r="AIH51" s="13"/>
      <c r="AII51" s="13"/>
      <c r="AIJ51" s="13"/>
      <c r="AIK51" s="13"/>
      <c r="AIL51" s="13"/>
      <c r="AIM51" s="13"/>
      <c r="AIN51" s="13"/>
      <c r="AIO51" s="13"/>
      <c r="AIP51" s="13"/>
      <c r="AIQ51" s="13"/>
      <c r="AIR51" s="13"/>
      <c r="AIS51" s="13"/>
      <c r="AIT51" s="13"/>
      <c r="AIU51" s="13"/>
      <c r="AIV51" s="13"/>
      <c r="AIW51" s="13"/>
      <c r="AIX51" s="13"/>
      <c r="AIY51" s="13"/>
      <c r="AIZ51" s="13"/>
      <c r="AJA51" s="13"/>
      <c r="AJB51" s="13"/>
      <c r="AJC51" s="13"/>
      <c r="AJD51" s="13"/>
      <c r="AJE51" s="13"/>
      <c r="AJF51" s="13"/>
      <c r="AJG51" s="13"/>
      <c r="AJH51" s="13"/>
      <c r="AJI51" s="13"/>
      <c r="AJJ51" s="13"/>
      <c r="AJK51" s="13"/>
      <c r="AJL51" s="13"/>
      <c r="AJM51" s="13"/>
      <c r="AJN51" s="13"/>
      <c r="AJO51" s="13"/>
      <c r="AJP51" s="13"/>
      <c r="AJQ51" s="13"/>
      <c r="AJR51" s="13"/>
      <c r="AJS51" s="13"/>
      <c r="AJT51" s="13"/>
      <c r="AJU51" s="13"/>
      <c r="AJV51" s="13"/>
      <c r="AJW51" s="13"/>
      <c r="AJX51" s="13"/>
      <c r="AJY51" s="13"/>
      <c r="AJZ51" s="13"/>
      <c r="AKA51" s="13"/>
      <c r="AKB51" s="13"/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  <c r="AKZ51" s="13"/>
      <c r="ALA51" s="13"/>
      <c r="ALB51" s="13"/>
      <c r="ALC51" s="13"/>
      <c r="ALD51" s="13"/>
      <c r="ALE51" s="13"/>
      <c r="ALF51" s="13"/>
      <c r="ALG51" s="13"/>
      <c r="ALH51" s="13"/>
      <c r="ALI51" s="13"/>
      <c r="ALJ51" s="13"/>
      <c r="ALK51" s="13"/>
      <c r="ALL51" s="13"/>
      <c r="ALM51" s="13"/>
      <c r="ALN51" s="13"/>
      <c r="ALO51" s="13"/>
      <c r="ALP51" s="13"/>
      <c r="ALQ51" s="13"/>
      <c r="ALR51" s="13"/>
      <c r="ALS51" s="13"/>
      <c r="ALT51" s="13"/>
      <c r="ALU51" s="13"/>
      <c r="ALV51" s="13"/>
      <c r="ALW51" s="13"/>
      <c r="ALX51" s="13"/>
      <c r="ALY51" s="13"/>
      <c r="ALZ51" s="13"/>
      <c r="AMA51" s="13"/>
      <c r="AMB51" s="13"/>
      <c r="AMC51" s="13"/>
      <c r="AMD51" s="13"/>
      <c r="AME51" s="13"/>
      <c r="AMF51" s="13"/>
      <c r="AMG51" s="13"/>
      <c r="AMH51" s="13"/>
      <c r="AMI51" s="13"/>
      <c r="AMJ51" s="13"/>
      <c r="AMK51" s="13"/>
      <c r="AML51" s="13"/>
      <c r="AMM51" s="13"/>
      <c r="AMN51" s="13"/>
      <c r="AMO51" s="13"/>
      <c r="AMP51" s="13"/>
      <c r="AMQ51" s="13"/>
      <c r="AMR51" s="13"/>
      <c r="AMS51" s="13"/>
      <c r="AMT51" s="13"/>
      <c r="AMU51" s="13"/>
      <c r="AMV51" s="13"/>
      <c r="AMW51" s="13"/>
      <c r="AMX51" s="13"/>
      <c r="AMY51" s="13"/>
      <c r="AMZ51" s="13"/>
      <c r="ANA51" s="13"/>
      <c r="ANB51" s="13"/>
      <c r="ANC51" s="13"/>
      <c r="AND51" s="13"/>
      <c r="ANE51" s="13"/>
      <c r="ANF51" s="13"/>
      <c r="ANG51" s="13"/>
      <c r="ANH51" s="13"/>
      <c r="ANI51" s="13"/>
      <c r="ANJ51" s="13"/>
      <c r="ANK51" s="13"/>
      <c r="ANL51" s="13"/>
      <c r="ANM51" s="13"/>
      <c r="ANN51" s="13"/>
      <c r="ANO51" s="13"/>
      <c r="ANP51" s="13"/>
      <c r="ANQ51" s="13"/>
      <c r="ANR51" s="13"/>
      <c r="ANS51" s="13"/>
      <c r="ANT51" s="13"/>
      <c r="ANU51" s="13"/>
      <c r="ANV51" s="13"/>
      <c r="ANW51" s="13"/>
      <c r="ANX51" s="13"/>
      <c r="ANY51" s="13"/>
      <c r="ANZ51" s="13"/>
      <c r="AOA51" s="13"/>
      <c r="AOB51" s="13"/>
      <c r="AOC51" s="13"/>
      <c r="AOD51" s="13"/>
      <c r="AOE51" s="13"/>
      <c r="AOF51" s="13"/>
      <c r="AOG51" s="13"/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  <c r="APA51" s="13"/>
      <c r="APB51" s="13"/>
      <c r="APC51" s="13"/>
      <c r="APD51" s="13"/>
      <c r="APE51" s="13"/>
      <c r="APF51" s="13"/>
      <c r="APG51" s="13"/>
      <c r="APH51" s="13"/>
      <c r="API51" s="13"/>
      <c r="APJ51" s="13"/>
      <c r="APK51" s="13"/>
      <c r="APL51" s="13"/>
      <c r="APM51" s="13"/>
      <c r="APN51" s="13"/>
      <c r="APO51" s="13"/>
      <c r="APP51" s="13"/>
      <c r="APQ51" s="13"/>
      <c r="APR51" s="13"/>
      <c r="APS51" s="13"/>
      <c r="APT51" s="13"/>
      <c r="APU51" s="13"/>
      <c r="APV51" s="13"/>
      <c r="APW51" s="13"/>
      <c r="APX51" s="13"/>
      <c r="APY51" s="13"/>
      <c r="APZ51" s="13"/>
      <c r="AQA51" s="13"/>
      <c r="AQB51" s="13"/>
      <c r="AQC51" s="13"/>
      <c r="AQD51" s="13"/>
      <c r="AQE51" s="13"/>
      <c r="AQF51" s="13"/>
      <c r="AQG51" s="13"/>
      <c r="AQH51" s="13"/>
      <c r="AQI51" s="13"/>
      <c r="AQJ51" s="13"/>
      <c r="AQK51" s="13"/>
      <c r="AQL51" s="13"/>
      <c r="AQM51" s="13"/>
      <c r="AQN51" s="13"/>
      <c r="AQO51" s="13"/>
      <c r="AQP51" s="13"/>
      <c r="AQQ51" s="13"/>
      <c r="AQR51" s="13"/>
      <c r="AQS51" s="13"/>
      <c r="AQT51" s="13"/>
      <c r="AQU51" s="13"/>
      <c r="AQV51" s="13"/>
      <c r="AQW51" s="13"/>
      <c r="AQX51" s="13"/>
      <c r="AQY51" s="13"/>
      <c r="AQZ51" s="13"/>
      <c r="ARA51" s="13"/>
      <c r="ARB51" s="13"/>
      <c r="ARC51" s="13"/>
      <c r="ARD51" s="13"/>
      <c r="ARE51" s="13"/>
      <c r="ARF51" s="13"/>
      <c r="ARG51" s="13"/>
      <c r="ARH51" s="13"/>
      <c r="ARI51" s="13"/>
      <c r="ARJ51" s="13"/>
      <c r="ARK51" s="13"/>
      <c r="ARL51" s="13"/>
      <c r="ARM51" s="13"/>
      <c r="ARN51" s="13"/>
      <c r="ARO51" s="13"/>
      <c r="ARP51" s="13"/>
      <c r="ARQ51" s="13"/>
      <c r="ARR51" s="13"/>
      <c r="ARS51" s="13"/>
      <c r="ART51" s="13"/>
      <c r="ARU51" s="13"/>
      <c r="ARV51" s="13"/>
      <c r="ARW51" s="13"/>
      <c r="ARX51" s="13"/>
      <c r="ARY51" s="13"/>
      <c r="ARZ51" s="13"/>
      <c r="ASA51" s="13"/>
      <c r="ASB51" s="13"/>
      <c r="ASC51" s="13"/>
      <c r="ASD51" s="13"/>
      <c r="ASE51" s="13"/>
      <c r="ASF51" s="13"/>
      <c r="ASG51" s="13"/>
      <c r="ASH51" s="13"/>
      <c r="ASI51" s="13"/>
      <c r="ASJ51" s="13"/>
      <c r="ASK51" s="13"/>
      <c r="ASL51" s="13"/>
      <c r="ASM51" s="13"/>
      <c r="ASN51" s="13"/>
      <c r="ASO51" s="13"/>
      <c r="ASP51" s="13"/>
      <c r="ASQ51" s="13"/>
      <c r="ASR51" s="13"/>
      <c r="ASS51" s="13"/>
      <c r="AST51" s="13"/>
      <c r="ASU51" s="13"/>
      <c r="ASV51" s="13"/>
      <c r="ASW51" s="13"/>
      <c r="ASX51" s="13"/>
      <c r="ASY51" s="13"/>
      <c r="ASZ51" s="13"/>
      <c r="ATA51" s="13"/>
      <c r="ATB51" s="13"/>
      <c r="ATC51" s="13"/>
      <c r="ATD51" s="13"/>
      <c r="ATE51" s="13"/>
      <c r="ATF51" s="13"/>
      <c r="ATG51" s="13"/>
      <c r="ATH51" s="13"/>
      <c r="ATI51" s="13"/>
      <c r="ATJ51" s="13"/>
      <c r="ATK51" s="13"/>
      <c r="ATL51" s="13"/>
      <c r="ATM51" s="13"/>
      <c r="ATN51" s="13"/>
      <c r="ATO51" s="13"/>
      <c r="ATP51" s="13"/>
      <c r="ATQ51" s="13"/>
      <c r="ATR51" s="13"/>
      <c r="ATS51" s="13"/>
      <c r="ATT51" s="13"/>
      <c r="ATU51" s="13"/>
      <c r="ATV51" s="13"/>
      <c r="ATW51" s="13"/>
      <c r="ATX51" s="13"/>
      <c r="ATY51" s="13"/>
      <c r="ATZ51" s="13"/>
      <c r="AUA51" s="13"/>
      <c r="AUB51" s="13"/>
      <c r="AUC51" s="13"/>
      <c r="AUD51" s="13"/>
      <c r="AUE51" s="13"/>
      <c r="AUF51" s="13"/>
      <c r="AUG51" s="13"/>
      <c r="AUH51" s="13"/>
      <c r="AUI51" s="13"/>
      <c r="AUJ51" s="13"/>
      <c r="AUK51" s="13"/>
      <c r="AUL51" s="13"/>
      <c r="AUM51" s="13"/>
      <c r="AUN51" s="13"/>
      <c r="AUO51" s="13"/>
      <c r="AUP51" s="13"/>
      <c r="AUQ51" s="13"/>
      <c r="AUR51" s="13"/>
      <c r="AUS51" s="13"/>
      <c r="AUT51" s="13"/>
      <c r="AUU51" s="13"/>
      <c r="AUV51" s="13"/>
      <c r="AUW51" s="13"/>
      <c r="AUX51" s="13"/>
      <c r="AUY51" s="13"/>
      <c r="AUZ51" s="13"/>
      <c r="AVA51" s="13"/>
      <c r="AVB51" s="13"/>
      <c r="AVC51" s="13"/>
      <c r="AVD51" s="13"/>
      <c r="AVE51" s="13"/>
      <c r="AVF51" s="13"/>
      <c r="AVG51" s="13"/>
      <c r="AVH51" s="13"/>
      <c r="AVI51" s="13"/>
      <c r="AVJ51" s="13"/>
      <c r="AVK51" s="13"/>
      <c r="AVL51" s="13"/>
      <c r="AVM51" s="13"/>
      <c r="AVN51" s="13"/>
      <c r="AVO51" s="13"/>
      <c r="AVP51" s="13"/>
      <c r="AVQ51" s="13"/>
      <c r="AVR51" s="13"/>
      <c r="AVS51" s="13"/>
      <c r="AVT51" s="13"/>
      <c r="AVU51" s="13"/>
      <c r="AVV51" s="13"/>
      <c r="AVW51" s="13"/>
      <c r="AVX51" s="13"/>
      <c r="AVY51" s="13"/>
      <c r="AVZ51" s="13"/>
      <c r="AWA51" s="13"/>
      <c r="AWB51" s="13"/>
      <c r="AWC51" s="13"/>
      <c r="AWD51" s="13"/>
      <c r="AWE51" s="13"/>
      <c r="AWF51" s="13"/>
      <c r="AWG51" s="13"/>
      <c r="AWH51" s="13"/>
      <c r="AWI51" s="13"/>
      <c r="AWJ51" s="13"/>
      <c r="AWK51" s="13"/>
      <c r="AWL51" s="13"/>
      <c r="AWM51" s="13"/>
      <c r="AWN51" s="13"/>
      <c r="AWO51" s="13"/>
      <c r="AWP51" s="13"/>
      <c r="AWQ51" s="13"/>
      <c r="AWR51" s="13"/>
      <c r="AWS51" s="13"/>
      <c r="AWT51" s="13"/>
      <c r="AWU51" s="13"/>
      <c r="AWV51" s="13"/>
      <c r="AWW51" s="13"/>
      <c r="AWX51" s="13"/>
      <c r="AWY51" s="13"/>
      <c r="AWZ51" s="13"/>
      <c r="AXA51" s="13"/>
      <c r="AXB51" s="13"/>
      <c r="AXC51" s="13"/>
      <c r="AXD51" s="13"/>
      <c r="AXE51" s="13"/>
      <c r="AXF51" s="13"/>
      <c r="AXG51" s="13"/>
      <c r="AXH51" s="13"/>
      <c r="AXI51" s="13"/>
      <c r="AXJ51" s="13"/>
      <c r="AXK51" s="13"/>
      <c r="AXL51" s="13"/>
      <c r="AXM51" s="13"/>
      <c r="AXN51" s="13"/>
      <c r="AXO51" s="13"/>
      <c r="AXP51" s="13"/>
      <c r="AXQ51" s="13"/>
      <c r="AXR51" s="13"/>
      <c r="AXS51" s="13"/>
      <c r="AXT51" s="13"/>
      <c r="AXU51" s="13"/>
      <c r="AXV51" s="13"/>
      <c r="AXW51" s="13"/>
      <c r="AXX51" s="13"/>
      <c r="AXY51" s="13"/>
      <c r="AXZ51" s="13"/>
      <c r="AYA51" s="13"/>
      <c r="AYB51" s="13"/>
      <c r="AYC51" s="13"/>
      <c r="AYD51" s="13"/>
      <c r="AYE51" s="13"/>
      <c r="AYF51" s="13"/>
      <c r="AYG51" s="13"/>
      <c r="AYH51" s="13"/>
      <c r="AYI51" s="13"/>
      <c r="AYJ51" s="13"/>
      <c r="AYK51" s="13"/>
      <c r="AYL51" s="13"/>
      <c r="AYM51" s="13"/>
      <c r="AYN51" s="13"/>
      <c r="AYO51" s="13"/>
      <c r="AYP51" s="13"/>
      <c r="AYQ51" s="13"/>
      <c r="AYR51" s="13"/>
      <c r="AYS51" s="13"/>
      <c r="AYT51" s="13"/>
      <c r="AYU51" s="13"/>
      <c r="AYV51" s="13"/>
      <c r="AYW51" s="13"/>
      <c r="AYX51" s="13"/>
      <c r="AYY51" s="13"/>
      <c r="AYZ51" s="13"/>
      <c r="AZA51" s="13"/>
      <c r="AZB51" s="13"/>
      <c r="AZC51" s="13"/>
      <c r="AZD51" s="13"/>
      <c r="AZE51" s="13"/>
      <c r="AZF51" s="13"/>
      <c r="AZG51" s="13"/>
      <c r="AZH51" s="13"/>
      <c r="AZI51" s="13"/>
      <c r="AZJ51" s="13"/>
      <c r="AZK51" s="13"/>
      <c r="AZL51" s="13"/>
      <c r="AZM51" s="13"/>
      <c r="AZN51" s="13"/>
      <c r="AZO51" s="13"/>
      <c r="AZP51" s="13"/>
      <c r="AZQ51" s="13"/>
      <c r="AZR51" s="13"/>
      <c r="AZS51" s="13"/>
      <c r="AZT51" s="13"/>
      <c r="AZU51" s="13"/>
      <c r="AZV51" s="13"/>
      <c r="AZW51" s="13"/>
      <c r="AZX51" s="13"/>
      <c r="AZY51" s="13"/>
      <c r="AZZ51" s="13"/>
      <c r="BAA51" s="13"/>
      <c r="BAB51" s="13"/>
      <c r="BAC51" s="13"/>
      <c r="BAD51" s="13"/>
      <c r="BAE51" s="13"/>
      <c r="BAF51" s="13"/>
      <c r="BAG51" s="13"/>
      <c r="BAH51" s="13"/>
      <c r="BAI51" s="13"/>
      <c r="BAJ51" s="13"/>
      <c r="BAK51" s="13"/>
      <c r="BAL51" s="13"/>
      <c r="BAM51" s="13"/>
      <c r="BAN51" s="13"/>
      <c r="BAO51" s="13"/>
      <c r="BAP51" s="13"/>
      <c r="BAQ51" s="13"/>
      <c r="BAR51" s="13"/>
      <c r="BAS51" s="13"/>
      <c r="BAT51" s="13"/>
      <c r="BAU51" s="13"/>
      <c r="BAV51" s="13"/>
      <c r="BAW51" s="13"/>
      <c r="BAX51" s="13"/>
      <c r="BAY51" s="13"/>
      <c r="BAZ51" s="13"/>
      <c r="BBA51" s="13"/>
      <c r="BBB51" s="13"/>
      <c r="BBC51" s="13"/>
      <c r="BBD51" s="13"/>
      <c r="BBE51" s="13"/>
      <c r="BBF51" s="13"/>
      <c r="BBG51" s="13"/>
      <c r="BBH51" s="13"/>
      <c r="BBI51" s="13"/>
      <c r="BBJ51" s="13"/>
      <c r="BBK51" s="13"/>
      <c r="BBL51" s="13"/>
      <c r="BBM51" s="13"/>
      <c r="BBN51" s="13"/>
      <c r="BBO51" s="13"/>
      <c r="BBP51" s="13"/>
      <c r="BBQ51" s="13"/>
      <c r="BBR51" s="13"/>
      <c r="BBS51" s="13"/>
      <c r="BBT51" s="13"/>
      <c r="BBU51" s="13"/>
      <c r="BBV51" s="13"/>
      <c r="BBW51" s="13"/>
      <c r="BBX51" s="13"/>
      <c r="BBY51" s="13"/>
      <c r="BBZ51" s="13"/>
      <c r="BCA51" s="13"/>
      <c r="BCB51" s="13"/>
      <c r="BCC51" s="13"/>
      <c r="BCD51" s="13"/>
      <c r="BCE51" s="13"/>
      <c r="BCF51" s="13"/>
      <c r="BCG51" s="13"/>
      <c r="BCH51" s="13"/>
      <c r="BCI51" s="13"/>
      <c r="BCJ51" s="13"/>
      <c r="BCK51" s="13"/>
      <c r="BCL51" s="13"/>
      <c r="BCM51" s="13"/>
      <c r="BCN51" s="13"/>
      <c r="BCO51" s="13"/>
      <c r="BCP51" s="13"/>
      <c r="BCQ51" s="13"/>
      <c r="BCR51" s="13"/>
      <c r="BCS51" s="13"/>
      <c r="BCT51" s="13"/>
      <c r="BCU51" s="13"/>
      <c r="BCV51" s="13"/>
      <c r="BCW51" s="13"/>
      <c r="BCX51" s="13"/>
      <c r="BCY51" s="13"/>
      <c r="BCZ51" s="13"/>
      <c r="BDA51" s="13"/>
      <c r="BDB51" s="13"/>
      <c r="BDC51" s="13"/>
      <c r="BDD51" s="13"/>
      <c r="BDE51" s="13"/>
      <c r="BDF51" s="13"/>
      <c r="BDG51" s="13"/>
      <c r="BDH51" s="13"/>
      <c r="BDI51" s="13"/>
      <c r="BDJ51" s="13"/>
      <c r="BDK51" s="13"/>
      <c r="BDL51" s="13"/>
      <c r="BDM51" s="13"/>
      <c r="BDN51" s="13"/>
      <c r="BDO51" s="13"/>
      <c r="BDP51" s="13"/>
      <c r="BDQ51" s="13"/>
      <c r="BDR51" s="13"/>
      <c r="BDS51" s="13"/>
      <c r="BDT51" s="13"/>
      <c r="BDU51" s="13"/>
      <c r="BDV51" s="13"/>
      <c r="BDW51" s="13"/>
      <c r="BDX51" s="13"/>
      <c r="BDY51" s="13"/>
      <c r="BDZ51" s="13"/>
      <c r="BEA51" s="13"/>
      <c r="BEB51" s="13"/>
      <c r="BEC51" s="13"/>
      <c r="BED51" s="13"/>
      <c r="BEE51" s="13"/>
      <c r="BEF51" s="13"/>
      <c r="BEG51" s="13"/>
      <c r="BEH51" s="13"/>
      <c r="BEI51" s="13"/>
      <c r="BEJ51" s="13"/>
      <c r="BEK51" s="13"/>
      <c r="BEL51" s="13"/>
      <c r="BEM51" s="13"/>
      <c r="BEN51" s="13"/>
      <c r="BEO51" s="13"/>
      <c r="BEP51" s="13"/>
      <c r="BEQ51" s="13"/>
      <c r="BER51" s="13"/>
      <c r="BES51" s="13"/>
      <c r="BET51" s="13"/>
      <c r="BEU51" s="13"/>
      <c r="BEV51" s="13"/>
      <c r="BEW51" s="13"/>
      <c r="BEX51" s="13"/>
      <c r="BEY51" s="13"/>
      <c r="BEZ51" s="13"/>
      <c r="BFA51" s="13"/>
      <c r="BFB51" s="13"/>
      <c r="BFC51" s="13"/>
      <c r="BFD51" s="13"/>
      <c r="BFE51" s="13"/>
      <c r="BFF51" s="13"/>
      <c r="BFG51" s="13"/>
      <c r="BFH51" s="13"/>
      <c r="BFI51" s="13"/>
      <c r="BFJ51" s="13"/>
      <c r="BFK51" s="13"/>
      <c r="BFL51" s="13"/>
      <c r="BFM51" s="13"/>
      <c r="BFN51" s="13"/>
      <c r="BFO51" s="13"/>
      <c r="BFP51" s="13"/>
      <c r="BFQ51" s="13"/>
      <c r="BFR51" s="13"/>
      <c r="BFS51" s="13"/>
      <c r="BFT51" s="13"/>
      <c r="BFU51" s="13"/>
      <c r="BFV51" s="13"/>
      <c r="BFW51" s="13"/>
      <c r="BFX51" s="13"/>
      <c r="BFY51" s="13"/>
      <c r="BFZ51" s="13"/>
      <c r="BGA51" s="13"/>
      <c r="BGB51" s="13"/>
      <c r="BGC51" s="13"/>
      <c r="BGD51" s="13"/>
      <c r="BGE51" s="13"/>
      <c r="BGF51" s="13"/>
      <c r="BGG51" s="13"/>
      <c r="BGH51" s="13"/>
      <c r="BGI51" s="13"/>
      <c r="BGJ51" s="13"/>
      <c r="BGK51" s="13"/>
      <c r="BGL51" s="13"/>
      <c r="BGM51" s="13"/>
      <c r="BGN51" s="13"/>
      <c r="BGO51" s="13"/>
      <c r="BGP51" s="13"/>
      <c r="BGQ51" s="13"/>
      <c r="BGR51" s="13"/>
      <c r="BGS51" s="13"/>
      <c r="BGT51" s="13"/>
      <c r="BGU51" s="13"/>
      <c r="BGV51" s="13"/>
      <c r="BGW51" s="13"/>
      <c r="BGX51" s="13"/>
      <c r="BGY51" s="13"/>
      <c r="BGZ51" s="13"/>
      <c r="BHA51" s="13"/>
      <c r="BHB51" s="13"/>
      <c r="BHC51" s="13"/>
      <c r="BHD51" s="13"/>
      <c r="BHE51" s="13"/>
      <c r="BHF51" s="13"/>
      <c r="BHG51" s="13"/>
      <c r="BHH51" s="13"/>
      <c r="BHI51" s="13"/>
      <c r="BHJ51" s="13"/>
      <c r="BHK51" s="13"/>
      <c r="BHL51" s="13"/>
      <c r="BHM51" s="13"/>
      <c r="BHN51" s="13"/>
      <c r="BHO51" s="13"/>
      <c r="BHP51" s="13"/>
      <c r="BHQ51" s="13"/>
      <c r="BHR51" s="13"/>
      <c r="BHS51" s="13"/>
      <c r="BHT51" s="13"/>
      <c r="BHU51" s="13"/>
      <c r="BHV51" s="13"/>
      <c r="BHW51" s="13"/>
      <c r="BHX51" s="13"/>
      <c r="BHY51" s="13"/>
      <c r="BHZ51" s="13"/>
      <c r="BIA51" s="13"/>
      <c r="BIB51" s="13"/>
      <c r="BIC51" s="13"/>
      <c r="BID51" s="13"/>
      <c r="BIE51" s="13"/>
      <c r="BIF51" s="13"/>
      <c r="BIG51" s="13"/>
      <c r="BIH51" s="13"/>
      <c r="BII51" s="13"/>
      <c r="BIJ51" s="13"/>
      <c r="BIK51" s="13"/>
      <c r="BIL51" s="13"/>
      <c r="BIM51" s="13"/>
      <c r="BIN51" s="13"/>
      <c r="BIO51" s="13"/>
      <c r="BIP51" s="13"/>
      <c r="BIQ51" s="13"/>
      <c r="BIR51" s="13"/>
      <c r="BIS51" s="13"/>
      <c r="BIT51" s="13"/>
      <c r="BIU51" s="13"/>
      <c r="BIV51" s="13"/>
      <c r="BIW51" s="13"/>
      <c r="BIX51" s="13"/>
      <c r="BIY51" s="13"/>
      <c r="BIZ51" s="13"/>
      <c r="BJA51" s="13"/>
      <c r="BJB51" s="13"/>
      <c r="BJC51" s="13"/>
      <c r="BJD51" s="13"/>
      <c r="BJE51" s="13"/>
      <c r="BJF51" s="13"/>
      <c r="BJG51" s="13"/>
      <c r="BJH51" s="13"/>
      <c r="BJI51" s="13"/>
      <c r="BJJ51" s="13"/>
      <c r="BJK51" s="13"/>
      <c r="BJL51" s="13"/>
      <c r="BJM51" s="13"/>
      <c r="BJN51" s="13"/>
      <c r="BJO51" s="13"/>
      <c r="BJP51" s="13"/>
      <c r="BJQ51" s="13"/>
      <c r="BJR51" s="13"/>
      <c r="BJS51" s="13"/>
      <c r="BJT51" s="13"/>
      <c r="BJU51" s="13"/>
      <c r="BJV51" s="13"/>
      <c r="BJW51" s="13"/>
      <c r="BJX51" s="13"/>
      <c r="BJY51" s="13"/>
      <c r="BJZ51" s="13"/>
      <c r="BKA51" s="13"/>
      <c r="BKB51" s="13"/>
      <c r="BKC51" s="13"/>
      <c r="BKD51" s="13"/>
      <c r="BKE51" s="13"/>
      <c r="BKF51" s="13"/>
      <c r="BKG51" s="13"/>
      <c r="BKH51" s="13"/>
      <c r="BKI51" s="13"/>
      <c r="BKJ51" s="13"/>
      <c r="BKK51" s="13"/>
      <c r="BKL51" s="13"/>
      <c r="BKM51" s="13"/>
      <c r="BKN51" s="13"/>
      <c r="BKO51" s="13"/>
      <c r="BKP51" s="13"/>
      <c r="BKQ51" s="13"/>
      <c r="BKR51" s="13"/>
      <c r="BKS51" s="13"/>
      <c r="BKT51" s="13"/>
      <c r="BKU51" s="13"/>
      <c r="BKV51" s="13"/>
      <c r="BKW51" s="13"/>
      <c r="BKX51" s="13"/>
      <c r="BKY51" s="13"/>
      <c r="BKZ51" s="13"/>
      <c r="BLA51" s="13"/>
      <c r="BLB51" s="13"/>
      <c r="BLC51" s="13"/>
      <c r="BLD51" s="13"/>
      <c r="BLE51" s="13"/>
      <c r="BLF51" s="13"/>
      <c r="BLG51" s="13"/>
      <c r="BLH51" s="13"/>
      <c r="BLI51" s="13"/>
      <c r="BLJ51" s="13"/>
      <c r="BLK51" s="13"/>
      <c r="BLL51" s="13"/>
      <c r="BLM51" s="13"/>
      <c r="BLN51" s="13"/>
      <c r="BLO51" s="13"/>
      <c r="BLP51" s="13"/>
      <c r="BLQ51" s="13"/>
      <c r="BLR51" s="13"/>
      <c r="BLS51" s="13"/>
      <c r="BLT51" s="13"/>
      <c r="BLU51" s="13"/>
      <c r="BLV51" s="13"/>
      <c r="BLW51" s="13"/>
      <c r="BLX51" s="13"/>
      <c r="BLY51" s="13"/>
      <c r="BLZ51" s="13"/>
      <c r="BMA51" s="13"/>
      <c r="BMB51" s="13"/>
      <c r="BMC51" s="13"/>
      <c r="BMD51" s="13"/>
      <c r="BME51" s="13"/>
      <c r="BMF51" s="13"/>
      <c r="BMG51" s="13"/>
      <c r="BMH51" s="13"/>
      <c r="BMI51" s="13"/>
      <c r="BMJ51" s="13"/>
      <c r="BMK51" s="13"/>
      <c r="BML51" s="13"/>
      <c r="BMM51" s="13"/>
      <c r="BMN51" s="13"/>
      <c r="BMO51" s="13"/>
      <c r="BMP51" s="13"/>
      <c r="BMQ51" s="13"/>
      <c r="BMR51" s="13"/>
      <c r="BMS51" s="13"/>
      <c r="BMT51" s="13"/>
      <c r="BMU51" s="13"/>
      <c r="BMV51" s="13"/>
      <c r="BMW51" s="13"/>
      <c r="BMX51" s="13"/>
      <c r="BMY51" s="13"/>
      <c r="BMZ51" s="13"/>
      <c r="BNA51" s="13"/>
      <c r="BNB51" s="13"/>
      <c r="BNC51" s="13"/>
      <c r="BND51" s="13"/>
      <c r="BNE51" s="13"/>
      <c r="BNF51" s="13"/>
      <c r="BNG51" s="13"/>
      <c r="BNH51" s="13"/>
      <c r="BNI51" s="13"/>
      <c r="BNJ51" s="13"/>
      <c r="BNK51" s="13"/>
      <c r="BNL51" s="13"/>
      <c r="BNM51" s="13"/>
      <c r="BNN51" s="13"/>
      <c r="BNO51" s="13"/>
      <c r="BNP51" s="13"/>
      <c r="BNQ51" s="13"/>
      <c r="BNR51" s="13"/>
      <c r="BNS51" s="13"/>
      <c r="BNT51" s="13"/>
      <c r="BNU51" s="13"/>
      <c r="BNV51" s="13"/>
      <c r="BNW51" s="13"/>
      <c r="BNX51" s="13"/>
      <c r="BNY51" s="13"/>
      <c r="BNZ51" s="13"/>
      <c r="BOA51" s="13"/>
      <c r="BOB51" s="13"/>
      <c r="BOC51" s="13"/>
      <c r="BOD51" s="13"/>
      <c r="BOE51" s="13"/>
      <c r="BOF51" s="13"/>
      <c r="BOG51" s="13"/>
      <c r="BOH51" s="13"/>
      <c r="BOI51" s="13"/>
      <c r="BOJ51" s="13"/>
      <c r="BOK51" s="13"/>
      <c r="BOL51" s="13"/>
      <c r="BOM51" s="13"/>
      <c r="BON51" s="13"/>
      <c r="BOO51" s="13"/>
      <c r="BOP51" s="13"/>
      <c r="BOQ51" s="13"/>
      <c r="BOR51" s="13"/>
      <c r="BOS51" s="13"/>
      <c r="BOT51" s="13"/>
      <c r="BOU51" s="13"/>
      <c r="BOV51" s="13"/>
      <c r="BOW51" s="13"/>
      <c r="BOX51" s="13"/>
      <c r="BOY51" s="13"/>
      <c r="BOZ51" s="13"/>
      <c r="BPA51" s="13"/>
      <c r="BPB51" s="13"/>
      <c r="BPC51" s="13"/>
      <c r="BPD51" s="13"/>
      <c r="BPE51" s="13"/>
      <c r="BPF51" s="13"/>
      <c r="BPG51" s="13"/>
      <c r="BPH51" s="13"/>
      <c r="BPI51" s="13"/>
      <c r="BPJ51" s="13"/>
      <c r="BPK51" s="13"/>
      <c r="BPL51" s="13"/>
      <c r="BPM51" s="13"/>
      <c r="BPN51" s="13"/>
      <c r="BPO51" s="13"/>
      <c r="BPP51" s="13"/>
      <c r="BPQ51" s="13"/>
      <c r="BPR51" s="13"/>
      <c r="BPS51" s="13"/>
      <c r="BPT51" s="13"/>
      <c r="BPU51" s="13"/>
      <c r="BPV51" s="13"/>
      <c r="BPW51" s="13"/>
      <c r="BPX51" s="13"/>
      <c r="BPY51" s="13"/>
      <c r="BPZ51" s="13"/>
      <c r="BQA51" s="13"/>
      <c r="BQB51" s="13"/>
      <c r="BQC51" s="13"/>
      <c r="BQD51" s="13"/>
      <c r="BQE51" s="13"/>
      <c r="BQF51" s="13"/>
      <c r="BQG51" s="13"/>
      <c r="BQH51" s="13"/>
      <c r="BQI51" s="13"/>
      <c r="BQJ51" s="13"/>
      <c r="BQK51" s="13"/>
      <c r="BQL51" s="13"/>
      <c r="BQM51" s="13"/>
      <c r="BQN51" s="13"/>
      <c r="BQO51" s="13"/>
      <c r="BQP51" s="13"/>
      <c r="BQQ51" s="13"/>
      <c r="BQR51" s="13"/>
      <c r="BQS51" s="13"/>
      <c r="BQT51" s="13"/>
      <c r="BQU51" s="13"/>
      <c r="BQV51" s="13"/>
      <c r="BQW51" s="13"/>
      <c r="BQX51" s="13"/>
      <c r="BQY51" s="13"/>
      <c r="BQZ51" s="13"/>
      <c r="BRA51" s="13"/>
      <c r="BRB51" s="13"/>
      <c r="BRC51" s="13"/>
      <c r="BRD51" s="13"/>
      <c r="BRE51" s="13"/>
      <c r="BRF51" s="13"/>
      <c r="BRG51" s="13"/>
      <c r="BRH51" s="13"/>
      <c r="BRI51" s="13"/>
      <c r="BRJ51" s="13"/>
      <c r="BRK51" s="13"/>
      <c r="BRL51" s="13"/>
      <c r="BRM51" s="13"/>
      <c r="BRN51" s="13"/>
      <c r="BRO51" s="13"/>
      <c r="BRP51" s="13"/>
      <c r="BRQ51" s="13"/>
      <c r="BRR51" s="13"/>
      <c r="BRS51" s="13"/>
      <c r="BRT51" s="13"/>
      <c r="BRU51" s="13"/>
      <c r="BRV51" s="13"/>
      <c r="BRW51" s="13"/>
      <c r="BRX51" s="13"/>
      <c r="BRY51" s="13"/>
      <c r="BRZ51" s="13"/>
      <c r="BSA51" s="13"/>
      <c r="BSB51" s="13"/>
      <c r="BSC51" s="13"/>
      <c r="BSD51" s="13"/>
      <c r="BSE51" s="13"/>
      <c r="BSF51" s="13"/>
      <c r="BSG51" s="13"/>
      <c r="BSH51" s="13"/>
      <c r="BSI51" s="13"/>
      <c r="BSJ51" s="13"/>
      <c r="BSK51" s="13"/>
      <c r="BSL51" s="13"/>
      <c r="BSM51" s="13"/>
      <c r="BSN51" s="13"/>
      <c r="BSO51" s="13"/>
      <c r="BSP51" s="13"/>
      <c r="BSQ51" s="13"/>
      <c r="BSR51" s="13"/>
      <c r="BSS51" s="13"/>
      <c r="BST51" s="13"/>
      <c r="BSU51" s="13"/>
      <c r="BSV51" s="13"/>
      <c r="BSW51" s="13"/>
      <c r="BSX51" s="13"/>
      <c r="BSY51" s="13"/>
      <c r="BSZ51" s="13"/>
      <c r="BTA51" s="13"/>
      <c r="BTB51" s="13"/>
      <c r="BTC51" s="13"/>
      <c r="BTD51" s="13"/>
      <c r="BTE51" s="13"/>
      <c r="BTF51" s="13"/>
      <c r="BTG51" s="13"/>
      <c r="BTH51" s="13"/>
      <c r="BTI51" s="13"/>
      <c r="BTJ51" s="13"/>
      <c r="BTK51" s="13"/>
      <c r="BTL51" s="13"/>
      <c r="BTM51" s="13"/>
      <c r="BTN51" s="13"/>
      <c r="BTO51" s="13"/>
      <c r="BTP51" s="13"/>
      <c r="BTQ51" s="13"/>
      <c r="BTR51" s="13"/>
      <c r="BTS51" s="13"/>
      <c r="BTT51" s="13"/>
      <c r="BTU51" s="13"/>
      <c r="BTV51" s="13"/>
      <c r="BTW51" s="13"/>
      <c r="BTX51" s="13"/>
      <c r="BTY51" s="13"/>
      <c r="BTZ51" s="13"/>
      <c r="BUA51" s="13"/>
      <c r="BUB51" s="13"/>
      <c r="BUC51" s="13"/>
      <c r="BUD51" s="13"/>
      <c r="BUE51" s="13"/>
      <c r="BUF51" s="13"/>
      <c r="BUG51" s="13"/>
      <c r="BUH51" s="13"/>
      <c r="BUI51" s="13"/>
      <c r="BUJ51" s="13"/>
      <c r="BUK51" s="13"/>
      <c r="BUL51" s="13"/>
      <c r="BUM51" s="13"/>
      <c r="BUN51" s="13"/>
      <c r="BUO51" s="13"/>
      <c r="BUP51" s="13"/>
      <c r="BUQ51" s="13"/>
      <c r="BUR51" s="13"/>
      <c r="BUS51" s="13"/>
      <c r="BUT51" s="13"/>
      <c r="BUU51" s="13"/>
      <c r="BUV51" s="13"/>
      <c r="BUW51" s="13"/>
      <c r="BUX51" s="13"/>
      <c r="BUY51" s="13"/>
      <c r="BUZ51" s="13"/>
      <c r="BVA51" s="13"/>
      <c r="BVB51" s="13"/>
      <c r="BVC51" s="13"/>
      <c r="BVD51" s="13"/>
      <c r="BVE51" s="13"/>
      <c r="BVF51" s="13"/>
      <c r="BVG51" s="13"/>
      <c r="BVH51" s="13"/>
      <c r="BVI51" s="13"/>
      <c r="BVJ51" s="13"/>
      <c r="BVK51" s="13"/>
      <c r="BVL51" s="13"/>
      <c r="BVM51" s="13"/>
      <c r="BVN51" s="13"/>
      <c r="BVO51" s="13"/>
      <c r="BVP51" s="13"/>
      <c r="BVQ51" s="13"/>
      <c r="BVR51" s="13"/>
      <c r="BVS51" s="13"/>
      <c r="BVT51" s="13"/>
      <c r="BVU51" s="13"/>
      <c r="BVV51" s="13"/>
      <c r="BVW51" s="13"/>
      <c r="BVX51" s="13"/>
      <c r="BVY51" s="13"/>
      <c r="BVZ51" s="13"/>
      <c r="BWA51" s="13"/>
      <c r="BWB51" s="13"/>
      <c r="BWC51" s="13"/>
      <c r="BWD51" s="13"/>
      <c r="BWE51" s="13"/>
      <c r="BWF51" s="13"/>
      <c r="BWG51" s="13"/>
      <c r="BWH51" s="13"/>
      <c r="BWI51" s="13"/>
      <c r="BWJ51" s="13"/>
      <c r="BWK51" s="13"/>
      <c r="BWL51" s="13"/>
      <c r="BWM51" s="13"/>
      <c r="BWN51" s="13"/>
      <c r="BWO51" s="13"/>
      <c r="BWP51" s="13"/>
      <c r="BWQ51" s="13"/>
      <c r="BWR51" s="13"/>
      <c r="BWS51" s="13"/>
      <c r="BWT51" s="13"/>
      <c r="BWU51" s="13"/>
      <c r="BWV51" s="13"/>
      <c r="BWW51" s="13"/>
      <c r="BWX51" s="13"/>
      <c r="BWY51" s="13"/>
      <c r="BWZ51" s="13"/>
      <c r="BXA51" s="13"/>
      <c r="BXB51" s="13"/>
      <c r="BXC51" s="13"/>
      <c r="BXD51" s="13"/>
      <c r="BXE51" s="13"/>
      <c r="BXF51" s="13"/>
      <c r="BXG51" s="13"/>
      <c r="BXH51" s="13"/>
      <c r="BXI51" s="13"/>
      <c r="BXJ51" s="13"/>
      <c r="BXK51" s="13"/>
      <c r="BXL51" s="13"/>
      <c r="BXM51" s="13"/>
      <c r="BXN51" s="13"/>
      <c r="BXO51" s="13"/>
      <c r="BXP51" s="13"/>
      <c r="BXQ51" s="13"/>
      <c r="BXR51" s="13"/>
      <c r="BXS51" s="13"/>
      <c r="BXT51" s="13"/>
      <c r="BXU51" s="13"/>
      <c r="BXV51" s="13"/>
      <c r="BXW51" s="13"/>
      <c r="BXX51" s="13"/>
      <c r="BXY51" s="13"/>
      <c r="BXZ51" s="13"/>
      <c r="BYA51" s="13"/>
      <c r="BYB51" s="13"/>
      <c r="BYC51" s="13"/>
      <c r="BYD51" s="13"/>
      <c r="BYE51" s="13"/>
      <c r="BYF51" s="13"/>
      <c r="BYG51" s="13"/>
      <c r="BYH51" s="13"/>
      <c r="BYI51" s="13"/>
      <c r="BYJ51" s="13"/>
      <c r="BYK51" s="13"/>
      <c r="BYL51" s="13"/>
      <c r="BYM51" s="13"/>
      <c r="BYN51" s="13"/>
      <c r="BYO51" s="13"/>
      <c r="BYP51" s="13"/>
      <c r="BYQ51" s="13"/>
      <c r="BYR51" s="13"/>
      <c r="BYS51" s="13"/>
      <c r="BYT51" s="13"/>
      <c r="BYU51" s="13"/>
      <c r="BYV51" s="13"/>
      <c r="BYW51" s="13"/>
      <c r="BYX51" s="13"/>
      <c r="BYY51" s="13"/>
      <c r="BYZ51" s="13"/>
      <c r="BZA51" s="13"/>
      <c r="BZB51" s="13"/>
      <c r="BZC51" s="13"/>
      <c r="BZD51" s="13"/>
      <c r="BZE51" s="13"/>
      <c r="BZF51" s="13"/>
      <c r="BZG51" s="13"/>
      <c r="BZH51" s="13"/>
      <c r="BZI51" s="13"/>
      <c r="BZJ51" s="13"/>
      <c r="BZK51" s="13"/>
      <c r="BZL51" s="13"/>
      <c r="BZM51" s="13"/>
      <c r="BZN51" s="13"/>
      <c r="BZO51" s="13"/>
      <c r="BZP51" s="13"/>
      <c r="BZQ51" s="13"/>
      <c r="BZR51" s="13"/>
      <c r="BZS51" s="13"/>
      <c r="BZT51" s="13"/>
      <c r="BZU51" s="13"/>
      <c r="BZV51" s="13"/>
      <c r="BZW51" s="13"/>
      <c r="BZX51" s="13"/>
      <c r="BZY51" s="13"/>
      <c r="BZZ51" s="13"/>
      <c r="CAA51" s="13"/>
      <c r="CAB51" s="13"/>
      <c r="CAC51" s="13"/>
      <c r="CAD51" s="13"/>
      <c r="CAE51" s="13"/>
      <c r="CAF51" s="13"/>
      <c r="CAG51" s="13"/>
      <c r="CAH51" s="13"/>
      <c r="CAI51" s="13"/>
      <c r="CAJ51" s="13"/>
      <c r="CAK51" s="13"/>
      <c r="CAL51" s="13"/>
      <c r="CAM51" s="13"/>
      <c r="CAN51" s="13"/>
      <c r="CAO51" s="13"/>
      <c r="CAP51" s="13"/>
      <c r="CAQ51" s="13"/>
      <c r="CAR51" s="13"/>
      <c r="CAS51" s="13"/>
      <c r="CAT51" s="13"/>
      <c r="CAU51" s="13"/>
      <c r="CAV51" s="13"/>
      <c r="CAW51" s="13"/>
      <c r="CAX51" s="13"/>
      <c r="CAY51" s="13"/>
      <c r="CAZ51" s="13"/>
      <c r="CBA51" s="13"/>
      <c r="CBB51" s="13"/>
      <c r="CBC51" s="13"/>
      <c r="CBD51" s="13"/>
      <c r="CBE51" s="13"/>
      <c r="CBF51" s="13"/>
      <c r="CBG51" s="13"/>
      <c r="CBH51" s="13"/>
      <c r="CBI51" s="13"/>
      <c r="CBJ51" s="13"/>
      <c r="CBK51" s="13"/>
      <c r="CBL51" s="13"/>
      <c r="CBM51" s="13"/>
      <c r="CBN51" s="13"/>
      <c r="CBO51" s="13"/>
      <c r="CBP51" s="13"/>
      <c r="CBQ51" s="13"/>
      <c r="CBR51" s="13"/>
      <c r="CBS51" s="13"/>
      <c r="CBT51" s="13"/>
      <c r="CBU51" s="13"/>
      <c r="CBV51" s="13"/>
      <c r="CBW51" s="13"/>
      <c r="CBX51" s="13"/>
      <c r="CBY51" s="13"/>
      <c r="CBZ51" s="13"/>
      <c r="CCA51" s="13"/>
      <c r="CCB51" s="13"/>
      <c r="CCC51" s="13"/>
      <c r="CCD51" s="13"/>
      <c r="CCE51" s="13"/>
      <c r="CCF51" s="13"/>
      <c r="CCG51" s="13"/>
      <c r="CCH51" s="13"/>
      <c r="CCI51" s="13"/>
      <c r="CCJ51" s="13"/>
      <c r="CCK51" s="13"/>
      <c r="CCL51" s="13"/>
      <c r="CCM51" s="13"/>
      <c r="CCN51" s="13"/>
      <c r="CCO51" s="13"/>
      <c r="CCP51" s="13"/>
      <c r="CCQ51" s="13"/>
      <c r="CCR51" s="13"/>
      <c r="CCS51" s="13"/>
      <c r="CCT51" s="13"/>
      <c r="CCU51" s="13"/>
      <c r="CCV51" s="13"/>
      <c r="CCW51" s="13"/>
      <c r="CCX51" s="13"/>
      <c r="CCY51" s="13"/>
      <c r="CCZ51" s="13"/>
      <c r="CDA51" s="13"/>
      <c r="CDB51" s="13"/>
      <c r="CDC51" s="13"/>
      <c r="CDD51" s="13"/>
      <c r="CDE51" s="13"/>
      <c r="CDF51" s="13"/>
      <c r="CDG51" s="13"/>
      <c r="CDH51" s="13"/>
      <c r="CDI51" s="13"/>
      <c r="CDJ51" s="13"/>
      <c r="CDK51" s="13"/>
      <c r="CDL51" s="13"/>
      <c r="CDM51" s="13"/>
      <c r="CDN51" s="13"/>
      <c r="CDO51" s="13"/>
      <c r="CDP51" s="13"/>
      <c r="CDQ51" s="13"/>
      <c r="CDR51" s="13"/>
      <c r="CDS51" s="13"/>
      <c r="CDT51" s="13"/>
      <c r="CDU51" s="13"/>
      <c r="CDV51" s="13"/>
      <c r="CDW51" s="13"/>
      <c r="CDX51" s="13"/>
      <c r="CDY51" s="13"/>
      <c r="CDZ51" s="13"/>
      <c r="CEA51" s="13"/>
      <c r="CEB51" s="13"/>
      <c r="CEC51" s="13"/>
      <c r="CED51" s="13"/>
      <c r="CEE51" s="13"/>
      <c r="CEF51" s="13"/>
      <c r="CEG51" s="13"/>
      <c r="CEH51" s="13"/>
      <c r="CEI51" s="13"/>
      <c r="CEJ51" s="13"/>
      <c r="CEK51" s="13"/>
      <c r="CEL51" s="13"/>
      <c r="CEM51" s="13"/>
      <c r="CEN51" s="13"/>
      <c r="CEO51" s="13"/>
      <c r="CEP51" s="13"/>
      <c r="CEQ51" s="13"/>
      <c r="CER51" s="13"/>
      <c r="CES51" s="13"/>
      <c r="CET51" s="13"/>
      <c r="CEU51" s="13"/>
      <c r="CEV51" s="13"/>
      <c r="CEW51" s="13"/>
      <c r="CEX51" s="13"/>
      <c r="CEY51" s="13"/>
      <c r="CEZ51" s="13"/>
      <c r="CFA51" s="13"/>
      <c r="CFB51" s="13"/>
      <c r="CFC51" s="13"/>
      <c r="CFD51" s="13"/>
      <c r="CFE51" s="13"/>
      <c r="CFF51" s="13"/>
      <c r="CFG51" s="13"/>
      <c r="CFH51" s="13"/>
      <c r="CFI51" s="13"/>
      <c r="CFJ51" s="13"/>
      <c r="CFK51" s="13"/>
      <c r="CFL51" s="13"/>
      <c r="CFM51" s="13"/>
      <c r="CFN51" s="13"/>
      <c r="CFO51" s="13"/>
      <c r="CFP51" s="13"/>
      <c r="CFQ51" s="13"/>
      <c r="CFR51" s="13"/>
      <c r="CFS51" s="13"/>
      <c r="CFT51" s="13"/>
      <c r="CFU51" s="13"/>
      <c r="CFV51" s="13"/>
      <c r="CFW51" s="13"/>
      <c r="CFX51" s="13"/>
      <c r="CFY51" s="13"/>
      <c r="CFZ51" s="13"/>
      <c r="CGA51" s="13"/>
      <c r="CGB51" s="13"/>
      <c r="CGC51" s="13"/>
      <c r="CGD51" s="13"/>
      <c r="CGE51" s="13"/>
      <c r="CGF51" s="13"/>
      <c r="CGG51" s="13"/>
      <c r="CGH51" s="13"/>
      <c r="CGI51" s="13"/>
      <c r="CGJ51" s="13"/>
      <c r="CGK51" s="13"/>
      <c r="CGL51" s="13"/>
      <c r="CGM51" s="13"/>
      <c r="CGN51" s="13"/>
      <c r="CGO51" s="13"/>
      <c r="CGP51" s="13"/>
      <c r="CGQ51" s="13"/>
      <c r="CGR51" s="13"/>
      <c r="CGS51" s="13"/>
      <c r="CGT51" s="13"/>
      <c r="CGU51" s="13"/>
      <c r="CGV51" s="13"/>
      <c r="CGW51" s="13"/>
      <c r="CGX51" s="13"/>
      <c r="CGY51" s="13"/>
      <c r="CGZ51" s="13"/>
      <c r="CHA51" s="13"/>
      <c r="CHB51" s="13"/>
      <c r="CHC51" s="13"/>
      <c r="CHD51" s="13"/>
      <c r="CHE51" s="13"/>
      <c r="CHF51" s="13"/>
      <c r="CHG51" s="13"/>
      <c r="CHH51" s="13"/>
      <c r="CHI51" s="13"/>
      <c r="CHJ51" s="13"/>
      <c r="CHK51" s="13"/>
      <c r="CHL51" s="13"/>
      <c r="CHM51" s="13"/>
      <c r="CHN51" s="13"/>
      <c r="CHO51" s="13"/>
      <c r="CHP51" s="13"/>
      <c r="CHQ51" s="13"/>
      <c r="CHR51" s="13"/>
      <c r="CHS51" s="13"/>
      <c r="CHT51" s="13"/>
      <c r="CHU51" s="13"/>
      <c r="CHV51" s="13"/>
      <c r="CHW51" s="13"/>
      <c r="CHX51" s="13"/>
      <c r="CHY51" s="13"/>
      <c r="CHZ51" s="13"/>
      <c r="CIA51" s="13"/>
      <c r="CIB51" s="13"/>
      <c r="CIC51" s="13"/>
      <c r="CID51" s="13"/>
      <c r="CIE51" s="13"/>
      <c r="CIF51" s="13"/>
      <c r="CIG51" s="13"/>
      <c r="CIH51" s="13"/>
      <c r="CII51" s="13"/>
      <c r="CIJ51" s="13"/>
      <c r="CIK51" s="13"/>
      <c r="CIL51" s="13"/>
      <c r="CIM51" s="13"/>
      <c r="CIN51" s="13"/>
      <c r="CIO51" s="13"/>
      <c r="CIP51" s="13"/>
      <c r="CIQ51" s="13"/>
      <c r="CIR51" s="13"/>
      <c r="CIS51" s="13"/>
      <c r="CIT51" s="13"/>
      <c r="CIU51" s="13"/>
      <c r="CIV51" s="13"/>
      <c r="CIW51" s="13"/>
      <c r="CIX51" s="13"/>
      <c r="CIY51" s="13"/>
      <c r="CIZ51" s="13"/>
      <c r="CJA51" s="13"/>
      <c r="CJB51" s="13"/>
      <c r="CJC51" s="13"/>
      <c r="CJD51" s="13"/>
      <c r="CJE51" s="13"/>
      <c r="CJF51" s="13"/>
      <c r="CJG51" s="13"/>
      <c r="CJH51" s="13"/>
      <c r="CJI51" s="13"/>
      <c r="CJJ51" s="13"/>
      <c r="CJK51" s="13"/>
      <c r="CJL51" s="13"/>
      <c r="CJM51" s="13"/>
      <c r="CJN51" s="13"/>
      <c r="CJO51" s="13"/>
      <c r="CJP51" s="13"/>
      <c r="CJQ51" s="13"/>
      <c r="CJR51" s="13"/>
      <c r="CJS51" s="13"/>
      <c r="CJT51" s="13"/>
      <c r="CJU51" s="13"/>
      <c r="CJV51" s="13"/>
      <c r="CJW51" s="13"/>
      <c r="CJX51" s="13"/>
      <c r="CJY51" s="13"/>
      <c r="CJZ51" s="13"/>
      <c r="CKA51" s="13"/>
      <c r="CKB51" s="13"/>
      <c r="CKC51" s="13"/>
      <c r="CKD51" s="13"/>
      <c r="CKE51" s="13"/>
      <c r="CKF51" s="13"/>
      <c r="CKG51" s="13"/>
      <c r="CKH51" s="13"/>
      <c r="CKI51" s="13"/>
      <c r="CKJ51" s="13"/>
      <c r="CKK51" s="13"/>
      <c r="CKL51" s="13"/>
      <c r="CKM51" s="13"/>
      <c r="CKN51" s="13"/>
      <c r="CKO51" s="13"/>
      <c r="CKP51" s="13"/>
      <c r="CKQ51" s="13"/>
      <c r="CKR51" s="13"/>
      <c r="CKS51" s="13"/>
      <c r="CKT51" s="13"/>
      <c r="CKU51" s="13"/>
      <c r="CKV51" s="13"/>
      <c r="CKW51" s="13"/>
      <c r="CKX51" s="13"/>
      <c r="CKY51" s="13"/>
      <c r="CKZ51" s="13"/>
      <c r="CLA51" s="13"/>
      <c r="CLB51" s="13"/>
      <c r="CLC51" s="13"/>
      <c r="CLD51" s="13"/>
      <c r="CLE51" s="13"/>
      <c r="CLF51" s="13"/>
      <c r="CLG51" s="13"/>
      <c r="CLH51" s="13"/>
      <c r="CLI51" s="13"/>
      <c r="CLJ51" s="13"/>
      <c r="CLK51" s="13"/>
      <c r="CLL51" s="13"/>
      <c r="CLM51" s="13"/>
      <c r="CLN51" s="13"/>
      <c r="CLO51" s="13"/>
      <c r="CLP51" s="13"/>
      <c r="CLQ51" s="13"/>
      <c r="CLR51" s="13"/>
      <c r="CLS51" s="13"/>
      <c r="CLT51" s="13"/>
      <c r="CLU51" s="13"/>
      <c r="CLV51" s="13"/>
      <c r="CLW51" s="13"/>
      <c r="CLX51" s="13"/>
      <c r="CLY51" s="13"/>
      <c r="CLZ51" s="13"/>
      <c r="CMA51" s="13"/>
      <c r="CMB51" s="13"/>
      <c r="CMC51" s="13"/>
      <c r="CMD51" s="13"/>
      <c r="CME51" s="13"/>
      <c r="CMF51" s="13"/>
      <c r="CMG51" s="13"/>
      <c r="CMH51" s="13"/>
      <c r="CMI51" s="13"/>
      <c r="CMJ51" s="13"/>
      <c r="CMK51" s="13"/>
      <c r="CML51" s="13"/>
      <c r="CMM51" s="13"/>
      <c r="CMN51" s="13"/>
      <c r="CMO51" s="13"/>
      <c r="CMP51" s="13"/>
      <c r="CMQ51" s="13"/>
      <c r="CMR51" s="13"/>
      <c r="CMS51" s="13"/>
      <c r="CMT51" s="13"/>
      <c r="CMU51" s="13"/>
      <c r="CMV51" s="13"/>
      <c r="CMW51" s="13"/>
      <c r="CMX51" s="13"/>
      <c r="CMY51" s="13"/>
      <c r="CMZ51" s="13"/>
      <c r="CNA51" s="13"/>
      <c r="CNB51" s="13"/>
      <c r="CNC51" s="13"/>
      <c r="CND51" s="13"/>
      <c r="CNE51" s="13"/>
      <c r="CNF51" s="13"/>
      <c r="CNG51" s="13"/>
      <c r="CNH51" s="13"/>
      <c r="CNI51" s="13"/>
      <c r="CNJ51" s="13"/>
      <c r="CNK51" s="13"/>
      <c r="CNL51" s="13"/>
      <c r="CNM51" s="13"/>
      <c r="CNN51" s="13"/>
      <c r="CNO51" s="13"/>
      <c r="CNP51" s="13"/>
      <c r="CNQ51" s="13"/>
      <c r="CNR51" s="13"/>
      <c r="CNS51" s="13"/>
      <c r="CNT51" s="13"/>
      <c r="CNU51" s="13"/>
      <c r="CNV51" s="13"/>
      <c r="CNW51" s="13"/>
      <c r="CNX51" s="13"/>
      <c r="CNY51" s="13"/>
      <c r="CNZ51" s="13"/>
      <c r="COA51" s="13"/>
      <c r="COB51" s="13"/>
      <c r="COC51" s="13"/>
      <c r="COD51" s="13"/>
      <c r="COE51" s="13"/>
      <c r="COF51" s="13"/>
      <c r="COG51" s="13"/>
      <c r="COH51" s="13"/>
      <c r="COI51" s="13"/>
      <c r="COJ51" s="13"/>
      <c r="COK51" s="13"/>
      <c r="COL51" s="13"/>
      <c r="COM51" s="13"/>
      <c r="CON51" s="13"/>
      <c r="COO51" s="13"/>
      <c r="COP51" s="13"/>
      <c r="COQ51" s="13"/>
      <c r="COR51" s="13"/>
      <c r="COS51" s="13"/>
      <c r="COT51" s="13"/>
      <c r="COU51" s="13"/>
      <c r="COV51" s="13"/>
      <c r="COW51" s="13"/>
      <c r="COX51" s="13"/>
      <c r="COY51" s="13"/>
      <c r="COZ51" s="13"/>
      <c r="CPA51" s="13"/>
      <c r="CPB51" s="13"/>
      <c r="CPC51" s="13"/>
      <c r="CPD51" s="13"/>
      <c r="CPE51" s="13"/>
      <c r="CPF51" s="13"/>
      <c r="CPG51" s="13"/>
      <c r="CPH51" s="13"/>
      <c r="CPI51" s="13"/>
      <c r="CPJ51" s="13"/>
      <c r="CPK51" s="13"/>
      <c r="CPL51" s="13"/>
      <c r="CPM51" s="13"/>
      <c r="CPN51" s="13"/>
      <c r="CPO51" s="13"/>
      <c r="CPP51" s="13"/>
      <c r="CPQ51" s="13"/>
      <c r="CPR51" s="13"/>
      <c r="CPS51" s="13"/>
      <c r="CPT51" s="13"/>
      <c r="CPU51" s="13"/>
      <c r="CPV51" s="13"/>
      <c r="CPW51" s="13"/>
      <c r="CPX51" s="13"/>
      <c r="CPY51" s="13"/>
      <c r="CPZ51" s="13"/>
      <c r="CQA51" s="13"/>
      <c r="CQB51" s="13"/>
      <c r="CQC51" s="13"/>
      <c r="CQD51" s="13"/>
      <c r="CQE51" s="13"/>
      <c r="CQF51" s="13"/>
      <c r="CQG51" s="13"/>
      <c r="CQH51" s="13"/>
      <c r="CQI51" s="13"/>
      <c r="CQJ51" s="13"/>
      <c r="CQK51" s="13"/>
      <c r="CQL51" s="13"/>
      <c r="CQM51" s="13"/>
      <c r="CQN51" s="13"/>
      <c r="CQO51" s="13"/>
      <c r="CQP51" s="13"/>
      <c r="CQQ51" s="13"/>
      <c r="CQR51" s="13"/>
      <c r="CQS51" s="13"/>
      <c r="CQT51" s="13"/>
      <c r="CQU51" s="13"/>
      <c r="CQV51" s="13"/>
      <c r="CQW51" s="13"/>
      <c r="CQX51" s="13"/>
      <c r="CQY51" s="13"/>
      <c r="CQZ51" s="13"/>
      <c r="CRA51" s="13"/>
      <c r="CRB51" s="13"/>
      <c r="CRC51" s="13"/>
      <c r="CRD51" s="13"/>
      <c r="CRE51" s="13"/>
      <c r="CRF51" s="13"/>
      <c r="CRG51" s="13"/>
      <c r="CRH51" s="13"/>
      <c r="CRI51" s="13"/>
      <c r="CRJ51" s="13"/>
      <c r="CRK51" s="13"/>
      <c r="CRL51" s="13"/>
      <c r="CRM51" s="13"/>
      <c r="CRN51" s="13"/>
      <c r="CRO51" s="13"/>
      <c r="CRP51" s="13"/>
      <c r="CRQ51" s="13"/>
      <c r="CRR51" s="13"/>
      <c r="CRS51" s="13"/>
      <c r="CRT51" s="13"/>
      <c r="CRU51" s="13"/>
      <c r="CRV51" s="13"/>
      <c r="CRW51" s="13"/>
      <c r="CRX51" s="13"/>
      <c r="CRY51" s="13"/>
      <c r="CRZ51" s="13"/>
      <c r="CSA51" s="13"/>
      <c r="CSB51" s="13"/>
      <c r="CSC51" s="13"/>
      <c r="CSD51" s="13"/>
      <c r="CSE51" s="13"/>
      <c r="CSF51" s="13"/>
      <c r="CSG51" s="13"/>
      <c r="CSH51" s="13"/>
      <c r="CSI51" s="13"/>
      <c r="CSJ51" s="13"/>
      <c r="CSK51" s="13"/>
      <c r="CSL51" s="13"/>
      <c r="CSM51" s="13"/>
      <c r="CSN51" s="13"/>
      <c r="CSO51" s="13"/>
      <c r="CSP51" s="13"/>
      <c r="CSQ51" s="13"/>
      <c r="CSR51" s="13"/>
      <c r="CSS51" s="13"/>
      <c r="CST51" s="13"/>
      <c r="CSU51" s="13"/>
      <c r="CSV51" s="13"/>
      <c r="CSW51" s="13"/>
      <c r="CSX51" s="13"/>
      <c r="CSY51" s="13"/>
      <c r="CSZ51" s="13"/>
      <c r="CTA51" s="13"/>
      <c r="CTB51" s="13"/>
      <c r="CTC51" s="13"/>
      <c r="CTD51" s="13"/>
      <c r="CTE51" s="13"/>
      <c r="CTF51" s="13"/>
      <c r="CTG51" s="13"/>
      <c r="CTH51" s="13"/>
      <c r="CTI51" s="13"/>
      <c r="CTJ51" s="13"/>
      <c r="CTK51" s="13"/>
      <c r="CTL51" s="13"/>
      <c r="CTM51" s="13"/>
      <c r="CTN51" s="13"/>
      <c r="CTO51" s="13"/>
      <c r="CTP51" s="13"/>
      <c r="CTQ51" s="13"/>
      <c r="CTR51" s="13"/>
      <c r="CTS51" s="13"/>
      <c r="CTT51" s="13"/>
      <c r="CTU51" s="13"/>
      <c r="CTV51" s="13"/>
      <c r="CTW51" s="13"/>
      <c r="CTX51" s="13"/>
      <c r="CTY51" s="13"/>
      <c r="CTZ51" s="13"/>
      <c r="CUA51" s="13"/>
      <c r="CUB51" s="13"/>
      <c r="CUC51" s="13"/>
      <c r="CUD51" s="13"/>
      <c r="CUE51" s="13"/>
      <c r="CUF51" s="13"/>
      <c r="CUG51" s="13"/>
      <c r="CUH51" s="13"/>
      <c r="CUI51" s="13"/>
      <c r="CUJ51" s="13"/>
      <c r="CUK51" s="13"/>
      <c r="CUL51" s="13"/>
      <c r="CUM51" s="13"/>
      <c r="CUN51" s="13"/>
      <c r="CUO51" s="13"/>
      <c r="CUP51" s="13"/>
      <c r="CUQ51" s="13"/>
      <c r="CUR51" s="13"/>
      <c r="CUS51" s="13"/>
      <c r="CUT51" s="13"/>
      <c r="CUU51" s="13"/>
      <c r="CUV51" s="13"/>
      <c r="CUW51" s="13"/>
      <c r="CUX51" s="13"/>
      <c r="CUY51" s="13"/>
      <c r="CUZ51" s="13"/>
      <c r="CVA51" s="13"/>
      <c r="CVB51" s="13"/>
      <c r="CVC51" s="13"/>
      <c r="CVD51" s="13"/>
      <c r="CVE51" s="13"/>
      <c r="CVF51" s="13"/>
      <c r="CVG51" s="13"/>
      <c r="CVH51" s="13"/>
      <c r="CVI51" s="13"/>
      <c r="CVJ51" s="13"/>
      <c r="CVK51" s="13"/>
      <c r="CVL51" s="13"/>
      <c r="CVM51" s="13"/>
      <c r="CVN51" s="13"/>
      <c r="CVO51" s="13"/>
      <c r="CVP51" s="13"/>
      <c r="CVQ51" s="13"/>
      <c r="CVR51" s="13"/>
      <c r="CVS51" s="13"/>
      <c r="CVT51" s="13"/>
      <c r="CVU51" s="13"/>
      <c r="CVV51" s="13"/>
      <c r="CVW51" s="13"/>
      <c r="CVX51" s="13"/>
      <c r="CVY51" s="13"/>
      <c r="CVZ51" s="13"/>
      <c r="CWA51" s="13"/>
      <c r="CWB51" s="13"/>
      <c r="CWC51" s="13"/>
      <c r="CWD51" s="13"/>
      <c r="CWE51" s="13"/>
      <c r="CWF51" s="13"/>
      <c r="CWG51" s="13"/>
      <c r="CWH51" s="13"/>
      <c r="CWI51" s="13"/>
      <c r="CWJ51" s="13"/>
      <c r="CWK51" s="13"/>
      <c r="CWL51" s="13"/>
      <c r="CWM51" s="13"/>
      <c r="CWN51" s="13"/>
      <c r="CWO51" s="13"/>
      <c r="CWP51" s="13"/>
      <c r="CWQ51" s="13"/>
      <c r="CWR51" s="13"/>
      <c r="CWS51" s="13"/>
      <c r="CWT51" s="13"/>
      <c r="CWU51" s="13"/>
      <c r="CWV51" s="13"/>
      <c r="CWW51" s="13"/>
      <c r="CWX51" s="13"/>
      <c r="CWY51" s="13"/>
      <c r="CWZ51" s="13"/>
      <c r="CXA51" s="13"/>
      <c r="CXB51" s="13"/>
      <c r="CXC51" s="13"/>
      <c r="CXD51" s="13"/>
      <c r="CXE51" s="13"/>
      <c r="CXF51" s="13"/>
      <c r="CXG51" s="13"/>
      <c r="CXH51" s="13"/>
      <c r="CXI51" s="13"/>
      <c r="CXJ51" s="13"/>
      <c r="CXK51" s="13"/>
      <c r="CXL51" s="13"/>
      <c r="CXM51" s="13"/>
      <c r="CXN51" s="13"/>
      <c r="CXO51" s="13"/>
      <c r="CXP51" s="13"/>
      <c r="CXQ51" s="13"/>
      <c r="CXR51" s="13"/>
      <c r="CXS51" s="13"/>
      <c r="CXT51" s="13"/>
      <c r="CXU51" s="13"/>
      <c r="CXV51" s="13"/>
      <c r="CXW51" s="13"/>
      <c r="CXX51" s="13"/>
      <c r="CXY51" s="13"/>
      <c r="CXZ51" s="13"/>
      <c r="CYA51" s="13"/>
      <c r="CYB51" s="13"/>
      <c r="CYC51" s="13"/>
      <c r="CYD51" s="13"/>
      <c r="CYE51" s="13"/>
      <c r="CYF51" s="13"/>
      <c r="CYG51" s="13"/>
      <c r="CYH51" s="13"/>
      <c r="CYI51" s="13"/>
      <c r="CYJ51" s="13"/>
      <c r="CYK51" s="13"/>
      <c r="CYL51" s="13"/>
      <c r="CYM51" s="13"/>
      <c r="CYN51" s="13"/>
      <c r="CYO51" s="13"/>
      <c r="CYP51" s="13"/>
      <c r="CYQ51" s="13"/>
      <c r="CYR51" s="13"/>
      <c r="CYS51" s="13"/>
      <c r="CYT51" s="13"/>
      <c r="CYU51" s="13"/>
      <c r="CYV51" s="13"/>
      <c r="CYW51" s="13"/>
      <c r="CYX51" s="13"/>
      <c r="CYY51" s="13"/>
      <c r="CYZ51" s="13"/>
      <c r="CZA51" s="13"/>
      <c r="CZB51" s="13"/>
      <c r="CZC51" s="13"/>
      <c r="CZD51" s="13"/>
      <c r="CZE51" s="13"/>
      <c r="CZF51" s="13"/>
      <c r="CZG51" s="13"/>
      <c r="CZH51" s="13"/>
      <c r="CZI51" s="13"/>
      <c r="CZJ51" s="13"/>
      <c r="CZK51" s="13"/>
      <c r="CZL51" s="13"/>
      <c r="CZM51" s="13"/>
      <c r="CZN51" s="13"/>
      <c r="CZO51" s="13"/>
      <c r="CZP51" s="13"/>
      <c r="CZQ51" s="13"/>
      <c r="CZR51" s="13"/>
      <c r="CZS51" s="13"/>
      <c r="CZT51" s="13"/>
      <c r="CZU51" s="13"/>
      <c r="CZV51" s="13"/>
      <c r="CZW51" s="13"/>
      <c r="CZX51" s="13"/>
      <c r="CZY51" s="13"/>
      <c r="CZZ51" s="13"/>
      <c r="DAA51" s="13"/>
      <c r="DAB51" s="13"/>
      <c r="DAC51" s="13"/>
      <c r="DAD51" s="13"/>
      <c r="DAE51" s="13"/>
      <c r="DAF51" s="13"/>
      <c r="DAG51" s="13"/>
      <c r="DAH51" s="13"/>
      <c r="DAI51" s="13"/>
      <c r="DAJ51" s="13"/>
      <c r="DAK51" s="13"/>
      <c r="DAL51" s="13"/>
      <c r="DAM51" s="13"/>
      <c r="DAN51" s="13"/>
      <c r="DAO51" s="13"/>
      <c r="DAP51" s="13"/>
      <c r="DAQ51" s="13"/>
      <c r="DAR51" s="13"/>
      <c r="DAS51" s="13"/>
      <c r="DAT51" s="13"/>
      <c r="DAU51" s="13"/>
      <c r="DAV51" s="13"/>
      <c r="DAW51" s="13"/>
      <c r="DAX51" s="13"/>
      <c r="DAY51" s="13"/>
      <c r="DAZ51" s="13"/>
      <c r="DBA51" s="13"/>
      <c r="DBB51" s="13"/>
      <c r="DBC51" s="13"/>
      <c r="DBD51" s="13"/>
      <c r="DBE51" s="13"/>
      <c r="DBF51" s="13"/>
      <c r="DBG51" s="13"/>
      <c r="DBH51" s="13"/>
      <c r="DBI51" s="13"/>
      <c r="DBJ51" s="13"/>
      <c r="DBK51" s="13"/>
      <c r="DBL51" s="13"/>
      <c r="DBM51" s="13"/>
      <c r="DBN51" s="13"/>
      <c r="DBO51" s="13"/>
      <c r="DBP51" s="13"/>
      <c r="DBQ51" s="13"/>
      <c r="DBR51" s="13"/>
      <c r="DBS51" s="13"/>
      <c r="DBT51" s="13"/>
      <c r="DBU51" s="13"/>
      <c r="DBV51" s="13"/>
      <c r="DBW51" s="13"/>
      <c r="DBX51" s="13"/>
      <c r="DBY51" s="13"/>
      <c r="DBZ51" s="13"/>
      <c r="DCA51" s="13"/>
      <c r="DCB51" s="13"/>
      <c r="DCC51" s="13"/>
      <c r="DCD51" s="13"/>
      <c r="DCE51" s="13"/>
      <c r="DCF51" s="13"/>
      <c r="DCG51" s="13"/>
      <c r="DCH51" s="13"/>
      <c r="DCI51" s="13"/>
      <c r="DCJ51" s="13"/>
      <c r="DCK51" s="13"/>
      <c r="DCL51" s="13"/>
      <c r="DCM51" s="13"/>
      <c r="DCN51" s="13"/>
      <c r="DCO51" s="13"/>
      <c r="DCP51" s="13"/>
      <c r="DCQ51" s="13"/>
      <c r="DCR51" s="13"/>
      <c r="DCS51" s="13"/>
      <c r="DCT51" s="13"/>
      <c r="DCU51" s="13"/>
      <c r="DCV51" s="13"/>
      <c r="DCW51" s="13"/>
      <c r="DCX51" s="13"/>
      <c r="DCY51" s="13"/>
      <c r="DCZ51" s="13"/>
      <c r="DDA51" s="13"/>
      <c r="DDB51" s="13"/>
      <c r="DDC51" s="13"/>
      <c r="DDD51" s="13"/>
      <c r="DDE51" s="13"/>
      <c r="DDF51" s="13"/>
      <c r="DDG51" s="13"/>
      <c r="DDH51" s="13"/>
      <c r="DDI51" s="13"/>
      <c r="DDJ51" s="13"/>
      <c r="DDK51" s="13"/>
      <c r="DDL51" s="13"/>
      <c r="DDM51" s="13"/>
      <c r="DDN51" s="13"/>
      <c r="DDO51" s="13"/>
      <c r="DDP51" s="13"/>
      <c r="DDQ51" s="13"/>
      <c r="DDR51" s="13"/>
      <c r="DDS51" s="13"/>
      <c r="DDT51" s="13"/>
      <c r="DDU51" s="13"/>
      <c r="DDV51" s="13"/>
      <c r="DDW51" s="13"/>
      <c r="DDX51" s="13"/>
      <c r="DDY51" s="13"/>
      <c r="DDZ51" s="13"/>
      <c r="DEA51" s="13"/>
      <c r="DEB51" s="13"/>
      <c r="DEC51" s="13"/>
      <c r="DED51" s="13"/>
      <c r="DEE51" s="13"/>
      <c r="DEF51" s="13"/>
      <c r="DEG51" s="13"/>
      <c r="DEH51" s="13"/>
      <c r="DEI51" s="13"/>
      <c r="DEJ51" s="13"/>
      <c r="DEK51" s="13"/>
      <c r="DEL51" s="13"/>
      <c r="DEM51" s="13"/>
      <c r="DEN51" s="13"/>
      <c r="DEO51" s="13"/>
      <c r="DEP51" s="13"/>
      <c r="DEQ51" s="13"/>
      <c r="DER51" s="13"/>
      <c r="DES51" s="13"/>
      <c r="DET51" s="13"/>
      <c r="DEU51" s="13"/>
      <c r="DEV51" s="13"/>
      <c r="DEW51" s="13"/>
      <c r="DEX51" s="13"/>
      <c r="DEY51" s="13"/>
      <c r="DEZ51" s="13"/>
      <c r="DFA51" s="13"/>
      <c r="DFB51" s="13"/>
      <c r="DFC51" s="13"/>
      <c r="DFD51" s="13"/>
      <c r="DFE51" s="13"/>
      <c r="DFF51" s="13"/>
      <c r="DFG51" s="13"/>
      <c r="DFH51" s="13"/>
      <c r="DFI51" s="13"/>
      <c r="DFJ51" s="13"/>
      <c r="DFK51" s="13"/>
      <c r="DFL51" s="13"/>
      <c r="DFM51" s="13"/>
      <c r="DFN51" s="13"/>
      <c r="DFO51" s="13"/>
      <c r="DFP51" s="13"/>
      <c r="DFQ51" s="13"/>
      <c r="DFR51" s="13"/>
      <c r="DFS51" s="13"/>
      <c r="DFT51" s="13"/>
      <c r="DFU51" s="13"/>
      <c r="DFV51" s="13"/>
      <c r="DFW51" s="13"/>
      <c r="DFX51" s="13"/>
      <c r="DFY51" s="13"/>
      <c r="DFZ51" s="13"/>
      <c r="DGA51" s="13"/>
      <c r="DGB51" s="13"/>
      <c r="DGC51" s="13"/>
      <c r="DGD51" s="13"/>
      <c r="DGE51" s="13"/>
      <c r="DGF51" s="13"/>
      <c r="DGG51" s="13"/>
      <c r="DGH51" s="13"/>
      <c r="DGI51" s="13"/>
      <c r="DGJ51" s="13"/>
      <c r="DGK51" s="13"/>
      <c r="DGL51" s="13"/>
      <c r="DGM51" s="13"/>
      <c r="DGN51" s="13"/>
      <c r="DGO51" s="13"/>
      <c r="DGP51" s="13"/>
      <c r="DGQ51" s="13"/>
      <c r="DGR51" s="13"/>
      <c r="DGS51" s="13"/>
      <c r="DGT51" s="13"/>
      <c r="DGU51" s="13"/>
      <c r="DGV51" s="13"/>
      <c r="DGW51" s="13"/>
      <c r="DGX51" s="13"/>
      <c r="DGY51" s="13"/>
      <c r="DGZ51" s="13"/>
      <c r="DHA51" s="13"/>
      <c r="DHB51" s="13"/>
      <c r="DHC51" s="13"/>
      <c r="DHD51" s="13"/>
      <c r="DHE51" s="13"/>
      <c r="DHF51" s="13"/>
      <c r="DHG51" s="13"/>
      <c r="DHH51" s="13"/>
      <c r="DHI51" s="13"/>
      <c r="DHJ51" s="13"/>
      <c r="DHK51" s="13"/>
      <c r="DHL51" s="13"/>
      <c r="DHM51" s="13"/>
      <c r="DHN51" s="13"/>
      <c r="DHO51" s="13"/>
      <c r="DHP51" s="13"/>
      <c r="DHQ51" s="13"/>
      <c r="DHR51" s="13"/>
      <c r="DHS51" s="13"/>
      <c r="DHT51" s="13"/>
      <c r="DHU51" s="13"/>
      <c r="DHV51" s="13"/>
      <c r="DHW51" s="13"/>
      <c r="DHX51" s="13"/>
      <c r="DHY51" s="13"/>
      <c r="DHZ51" s="13"/>
      <c r="DIA51" s="13"/>
      <c r="DIB51" s="13"/>
      <c r="DIC51" s="13"/>
      <c r="DID51" s="13"/>
      <c r="DIE51" s="13"/>
      <c r="DIF51" s="13"/>
      <c r="DIG51" s="13"/>
      <c r="DIH51" s="13"/>
      <c r="DII51" s="13"/>
      <c r="DIJ51" s="13"/>
      <c r="DIK51" s="13"/>
      <c r="DIL51" s="13"/>
      <c r="DIM51" s="13"/>
      <c r="DIN51" s="13"/>
      <c r="DIO51" s="13"/>
      <c r="DIP51" s="13"/>
      <c r="DIQ51" s="13"/>
      <c r="DIR51" s="13"/>
      <c r="DIS51" s="13"/>
      <c r="DIT51" s="13"/>
      <c r="DIU51" s="13"/>
      <c r="DIV51" s="13"/>
      <c r="DIW51" s="13"/>
      <c r="DIX51" s="13"/>
      <c r="DIY51" s="13"/>
      <c r="DIZ51" s="13"/>
      <c r="DJA51" s="13"/>
      <c r="DJB51" s="13"/>
      <c r="DJC51" s="13"/>
      <c r="DJD51" s="13"/>
      <c r="DJE51" s="13"/>
      <c r="DJF51" s="13"/>
      <c r="DJG51" s="13"/>
      <c r="DJH51" s="13"/>
      <c r="DJI51" s="13"/>
      <c r="DJJ51" s="13"/>
      <c r="DJK51" s="13"/>
      <c r="DJL51" s="13"/>
      <c r="DJM51" s="13"/>
      <c r="DJN51" s="13"/>
      <c r="DJO51" s="13"/>
      <c r="DJP51" s="13"/>
      <c r="DJQ51" s="13"/>
      <c r="DJR51" s="13"/>
      <c r="DJS51" s="13"/>
      <c r="DJT51" s="13"/>
      <c r="DJU51" s="13"/>
      <c r="DJV51" s="13"/>
      <c r="DJW51" s="13"/>
      <c r="DJX51" s="13"/>
      <c r="DJY51" s="13"/>
      <c r="DJZ51" s="13"/>
      <c r="DKA51" s="13"/>
      <c r="DKB51" s="13"/>
      <c r="DKC51" s="13"/>
      <c r="DKD51" s="13"/>
      <c r="DKE51" s="13"/>
      <c r="DKF51" s="13"/>
      <c r="DKG51" s="13"/>
      <c r="DKH51" s="13"/>
      <c r="DKI51" s="13"/>
      <c r="DKJ51" s="13"/>
      <c r="DKK51" s="13"/>
      <c r="DKL51" s="13"/>
      <c r="DKM51" s="13"/>
      <c r="DKN51" s="13"/>
      <c r="DKO51" s="13"/>
      <c r="DKP51" s="13"/>
      <c r="DKQ51" s="13"/>
      <c r="DKR51" s="13"/>
      <c r="DKS51" s="13"/>
      <c r="DKT51" s="13"/>
      <c r="DKU51" s="13"/>
      <c r="DKV51" s="13"/>
      <c r="DKW51" s="13"/>
      <c r="DKX51" s="13"/>
      <c r="DKY51" s="13"/>
      <c r="DKZ51" s="13"/>
      <c r="DLA51" s="13"/>
      <c r="DLB51" s="13"/>
      <c r="DLC51" s="13"/>
      <c r="DLD51" s="13"/>
      <c r="DLE51" s="13"/>
      <c r="DLF51" s="13"/>
      <c r="DLG51" s="13"/>
      <c r="DLH51" s="13"/>
      <c r="DLI51" s="13"/>
      <c r="DLJ51" s="13"/>
      <c r="DLK51" s="13"/>
      <c r="DLL51" s="13"/>
      <c r="DLM51" s="13"/>
      <c r="DLN51" s="13"/>
      <c r="DLO51" s="13"/>
      <c r="DLP51" s="13"/>
      <c r="DLQ51" s="13"/>
      <c r="DLR51" s="13"/>
      <c r="DLS51" s="13"/>
      <c r="DLT51" s="13"/>
      <c r="DLU51" s="13"/>
      <c r="DLV51" s="13"/>
      <c r="DLW51" s="13"/>
      <c r="DLX51" s="13"/>
      <c r="DLY51" s="13"/>
      <c r="DLZ51" s="13"/>
      <c r="DMA51" s="13"/>
      <c r="DMB51" s="13"/>
      <c r="DMC51" s="13"/>
      <c r="DMD51" s="13"/>
      <c r="DME51" s="13"/>
      <c r="DMF51" s="13"/>
      <c r="DMG51" s="13"/>
      <c r="DMH51" s="13"/>
      <c r="DMI51" s="13"/>
      <c r="DMJ51" s="13"/>
      <c r="DMK51" s="13"/>
      <c r="DML51" s="13"/>
      <c r="DMM51" s="13"/>
      <c r="DMN51" s="13"/>
      <c r="DMO51" s="13"/>
      <c r="DMP51" s="13"/>
      <c r="DMQ51" s="13"/>
      <c r="DMR51" s="13"/>
      <c r="DMS51" s="13"/>
      <c r="DMT51" s="13"/>
      <c r="DMU51" s="13"/>
      <c r="DMV51" s="13"/>
      <c r="DMW51" s="13"/>
      <c r="DMX51" s="13"/>
      <c r="DMY51" s="13"/>
      <c r="DMZ51" s="13"/>
      <c r="DNA51" s="13"/>
      <c r="DNB51" s="13"/>
      <c r="DNC51" s="13"/>
      <c r="DND51" s="13"/>
      <c r="DNE51" s="13"/>
      <c r="DNF51" s="13"/>
      <c r="DNG51" s="13"/>
      <c r="DNH51" s="13"/>
      <c r="DNI51" s="13"/>
      <c r="DNJ51" s="13"/>
      <c r="DNK51" s="13"/>
      <c r="DNL51" s="13"/>
      <c r="DNM51" s="13"/>
      <c r="DNN51" s="13"/>
      <c r="DNO51" s="13"/>
      <c r="DNP51" s="13"/>
      <c r="DNQ51" s="13"/>
      <c r="DNR51" s="13"/>
      <c r="DNS51" s="13"/>
      <c r="DNT51" s="13"/>
      <c r="DNU51" s="13"/>
      <c r="DNV51" s="13"/>
      <c r="DNW51" s="13"/>
      <c r="DNX51" s="13"/>
      <c r="DNY51" s="13"/>
      <c r="DNZ51" s="13"/>
      <c r="DOA51" s="13"/>
      <c r="DOB51" s="13"/>
      <c r="DOC51" s="13"/>
      <c r="DOD51" s="13"/>
      <c r="DOE51" s="13"/>
      <c r="DOF51" s="13"/>
      <c r="DOG51" s="13"/>
      <c r="DOH51" s="13"/>
      <c r="DOI51" s="13"/>
      <c r="DOJ51" s="13"/>
      <c r="DOK51" s="13"/>
      <c r="DOL51" s="13"/>
      <c r="DOM51" s="13"/>
      <c r="DON51" s="13"/>
      <c r="DOO51" s="13"/>
      <c r="DOP51" s="13"/>
      <c r="DOQ51" s="13"/>
      <c r="DOR51" s="13"/>
      <c r="DOS51" s="13"/>
      <c r="DOT51" s="13"/>
      <c r="DOU51" s="13"/>
      <c r="DOV51" s="13"/>
      <c r="DOW51" s="13"/>
      <c r="DOX51" s="13"/>
      <c r="DOY51" s="13"/>
      <c r="DOZ51" s="13"/>
      <c r="DPA51" s="13"/>
      <c r="DPB51" s="13"/>
      <c r="DPC51" s="13"/>
      <c r="DPD51" s="13"/>
      <c r="DPE51" s="13"/>
      <c r="DPF51" s="13"/>
      <c r="DPG51" s="13"/>
      <c r="DPH51" s="13"/>
      <c r="DPI51" s="13"/>
      <c r="DPJ51" s="13"/>
      <c r="DPK51" s="13"/>
      <c r="DPL51" s="13"/>
      <c r="DPM51" s="13"/>
      <c r="DPN51" s="13"/>
      <c r="DPO51" s="13"/>
      <c r="DPP51" s="13"/>
      <c r="DPQ51" s="13"/>
      <c r="DPR51" s="13"/>
      <c r="DPS51" s="13"/>
      <c r="DPT51" s="13"/>
      <c r="DPU51" s="13"/>
      <c r="DPV51" s="13"/>
      <c r="DPW51" s="13"/>
      <c r="DPX51" s="13"/>
      <c r="DPY51" s="13"/>
      <c r="DPZ51" s="13"/>
      <c r="DQA51" s="13"/>
      <c r="DQB51" s="13"/>
      <c r="DQC51" s="13"/>
      <c r="DQD51" s="13"/>
      <c r="DQE51" s="13"/>
      <c r="DQF51" s="13"/>
      <c r="DQG51" s="13"/>
      <c r="DQH51" s="13"/>
      <c r="DQI51" s="13"/>
      <c r="DQJ51" s="13"/>
      <c r="DQK51" s="13"/>
      <c r="DQL51" s="13"/>
      <c r="DQM51" s="13"/>
      <c r="DQN51" s="13"/>
      <c r="DQO51" s="13"/>
      <c r="DQP51" s="13"/>
      <c r="DQQ51" s="13"/>
      <c r="DQR51" s="13"/>
      <c r="DQS51" s="13"/>
      <c r="DQT51" s="13"/>
      <c r="DQU51" s="13"/>
      <c r="DQV51" s="13"/>
      <c r="DQW51" s="13"/>
      <c r="DQX51" s="13"/>
      <c r="DQY51" s="13"/>
      <c r="DQZ51" s="13"/>
      <c r="DRA51" s="13"/>
      <c r="DRB51" s="13"/>
      <c r="DRC51" s="13"/>
      <c r="DRD51" s="13"/>
      <c r="DRE51" s="13"/>
      <c r="DRF51" s="13"/>
      <c r="DRG51" s="13"/>
      <c r="DRH51" s="13"/>
      <c r="DRI51" s="13"/>
      <c r="DRJ51" s="13"/>
      <c r="DRK51" s="13"/>
      <c r="DRL51" s="13"/>
      <c r="DRM51" s="13"/>
      <c r="DRN51" s="13"/>
      <c r="DRO51" s="13"/>
      <c r="DRP51" s="13"/>
      <c r="DRQ51" s="13"/>
      <c r="DRR51" s="13"/>
      <c r="DRS51" s="13"/>
      <c r="DRT51" s="13"/>
      <c r="DRU51" s="13"/>
      <c r="DRV51" s="13"/>
      <c r="DRW51" s="13"/>
      <c r="DRX51" s="13"/>
      <c r="DRY51" s="13"/>
      <c r="DRZ51" s="13"/>
      <c r="DSA51" s="13"/>
      <c r="DSB51" s="13"/>
      <c r="DSC51" s="13"/>
      <c r="DSD51" s="13"/>
      <c r="DSE51" s="13"/>
      <c r="DSF51" s="13"/>
      <c r="DSG51" s="13"/>
      <c r="DSH51" s="13"/>
      <c r="DSI51" s="13"/>
      <c r="DSJ51" s="13"/>
      <c r="DSK51" s="13"/>
      <c r="DSL51" s="13"/>
      <c r="DSM51" s="13"/>
      <c r="DSN51" s="13"/>
      <c r="DSO51" s="13"/>
      <c r="DSP51" s="13"/>
      <c r="DSQ51" s="13"/>
      <c r="DSR51" s="13"/>
      <c r="DSS51" s="13"/>
      <c r="DST51" s="13"/>
      <c r="DSU51" s="13"/>
      <c r="DSV51" s="13"/>
      <c r="DSW51" s="13"/>
      <c r="DSX51" s="13"/>
      <c r="DSY51" s="13"/>
      <c r="DSZ51" s="13"/>
      <c r="DTA51" s="13"/>
      <c r="DTB51" s="13"/>
      <c r="DTC51" s="13"/>
      <c r="DTD51" s="13"/>
      <c r="DTE51" s="13"/>
      <c r="DTF51" s="13"/>
      <c r="DTG51" s="13"/>
      <c r="DTH51" s="13"/>
      <c r="DTI51" s="13"/>
      <c r="DTJ51" s="13"/>
      <c r="DTK51" s="13"/>
      <c r="DTL51" s="13"/>
      <c r="DTM51" s="13"/>
      <c r="DTN51" s="13"/>
      <c r="DTO51" s="13"/>
      <c r="DTP51" s="13"/>
      <c r="DTQ51" s="13"/>
      <c r="DTR51" s="13"/>
      <c r="DTS51" s="13"/>
      <c r="DTT51" s="13"/>
      <c r="DTU51" s="13"/>
      <c r="DTV51" s="13"/>
      <c r="DTW51" s="13"/>
      <c r="DTX51" s="13"/>
      <c r="DTY51" s="13"/>
      <c r="DTZ51" s="13"/>
      <c r="DUA51" s="13"/>
      <c r="DUB51" s="13"/>
      <c r="DUC51" s="13"/>
      <c r="DUD51" s="13"/>
      <c r="DUE51" s="13"/>
      <c r="DUF51" s="13"/>
      <c r="DUG51" s="13"/>
      <c r="DUH51" s="13"/>
      <c r="DUI51" s="13"/>
      <c r="DUJ51" s="13"/>
      <c r="DUK51" s="13"/>
      <c r="DUL51" s="13"/>
      <c r="DUM51" s="13"/>
      <c r="DUN51" s="13"/>
      <c r="DUO51" s="13"/>
      <c r="DUP51" s="13"/>
      <c r="DUQ51" s="13"/>
      <c r="DUR51" s="13"/>
      <c r="DUS51" s="13"/>
      <c r="DUT51" s="13"/>
      <c r="DUU51" s="13"/>
      <c r="DUV51" s="13"/>
      <c r="DUW51" s="13"/>
      <c r="DUX51" s="13"/>
      <c r="DUY51" s="13"/>
      <c r="DUZ51" s="13"/>
      <c r="DVA51" s="13"/>
      <c r="DVB51" s="13"/>
      <c r="DVC51" s="13"/>
      <c r="DVD51" s="13"/>
      <c r="DVE51" s="13"/>
      <c r="DVF51" s="13"/>
      <c r="DVG51" s="13"/>
      <c r="DVH51" s="13"/>
      <c r="DVI51" s="13"/>
      <c r="DVJ51" s="13"/>
      <c r="DVK51" s="13"/>
      <c r="DVL51" s="13"/>
      <c r="DVM51" s="13"/>
      <c r="DVN51" s="13"/>
      <c r="DVO51" s="13"/>
      <c r="DVP51" s="13"/>
      <c r="DVQ51" s="13"/>
      <c r="DVR51" s="13"/>
      <c r="DVS51" s="13"/>
      <c r="DVT51" s="13"/>
      <c r="DVU51" s="13"/>
      <c r="DVV51" s="13"/>
      <c r="DVW51" s="13"/>
      <c r="DVX51" s="13"/>
      <c r="DVY51" s="13"/>
      <c r="DVZ51" s="13"/>
      <c r="DWA51" s="13"/>
      <c r="DWB51" s="13"/>
      <c r="DWC51" s="13"/>
      <c r="DWD51" s="13"/>
      <c r="DWE51" s="13"/>
      <c r="DWF51" s="13"/>
      <c r="DWG51" s="13"/>
      <c r="DWH51" s="13"/>
      <c r="DWI51" s="13"/>
      <c r="DWJ51" s="13"/>
      <c r="DWK51" s="13"/>
      <c r="DWL51" s="13"/>
      <c r="DWM51" s="13"/>
      <c r="DWN51" s="13"/>
      <c r="DWO51" s="13"/>
      <c r="DWP51" s="13"/>
      <c r="DWQ51" s="13"/>
      <c r="DWR51" s="13"/>
      <c r="DWS51" s="13"/>
      <c r="DWT51" s="13"/>
      <c r="DWU51" s="13"/>
      <c r="DWV51" s="13"/>
      <c r="DWW51" s="13"/>
      <c r="DWX51" s="13"/>
      <c r="DWY51" s="13"/>
      <c r="DWZ51" s="13"/>
      <c r="DXA51" s="13"/>
      <c r="DXB51" s="13"/>
      <c r="DXC51" s="13"/>
      <c r="DXD51" s="13"/>
      <c r="DXE51" s="13"/>
      <c r="DXF51" s="13"/>
      <c r="DXG51" s="13"/>
      <c r="DXH51" s="13"/>
      <c r="DXI51" s="13"/>
      <c r="DXJ51" s="13"/>
      <c r="DXK51" s="13"/>
      <c r="DXL51" s="13"/>
      <c r="DXM51" s="13"/>
      <c r="DXN51" s="13"/>
      <c r="DXO51" s="13"/>
      <c r="DXP51" s="13"/>
      <c r="DXQ51" s="13"/>
      <c r="DXR51" s="13"/>
      <c r="DXS51" s="13"/>
      <c r="DXT51" s="13"/>
      <c r="DXU51" s="13"/>
      <c r="DXV51" s="13"/>
      <c r="DXW51" s="13"/>
      <c r="DXX51" s="13"/>
      <c r="DXY51" s="13"/>
      <c r="DXZ51" s="13"/>
      <c r="DYA51" s="13"/>
      <c r="DYB51" s="13"/>
      <c r="DYC51" s="13"/>
      <c r="DYD51" s="13"/>
      <c r="DYE51" s="13"/>
      <c r="DYF51" s="13"/>
      <c r="DYG51" s="13"/>
      <c r="DYH51" s="13"/>
      <c r="DYI51" s="13"/>
      <c r="DYJ51" s="13"/>
      <c r="DYK51" s="13"/>
      <c r="DYL51" s="13"/>
      <c r="DYM51" s="13"/>
      <c r="DYN51" s="13"/>
      <c r="DYO51" s="13"/>
      <c r="DYP51" s="13"/>
      <c r="DYQ51" s="13"/>
      <c r="DYR51" s="13"/>
      <c r="DYS51" s="13"/>
      <c r="DYT51" s="13"/>
      <c r="DYU51" s="13"/>
      <c r="DYV51" s="13"/>
      <c r="DYW51" s="13"/>
      <c r="DYX51" s="13"/>
      <c r="DYY51" s="13"/>
      <c r="DYZ51" s="13"/>
      <c r="DZA51" s="13"/>
      <c r="DZB51" s="13"/>
      <c r="DZC51" s="13"/>
      <c r="DZD51" s="13"/>
      <c r="DZE51" s="13"/>
      <c r="DZF51" s="13"/>
      <c r="DZG51" s="13"/>
      <c r="DZH51" s="13"/>
      <c r="DZI51" s="13"/>
      <c r="DZJ51" s="13"/>
      <c r="DZK51" s="13"/>
      <c r="DZL51" s="13"/>
      <c r="DZM51" s="13"/>
      <c r="DZN51" s="13"/>
      <c r="DZO51" s="13"/>
      <c r="DZP51" s="13"/>
      <c r="DZQ51" s="13"/>
      <c r="DZR51" s="13"/>
      <c r="DZS51" s="13"/>
      <c r="DZT51" s="13"/>
      <c r="DZU51" s="13"/>
      <c r="DZV51" s="13"/>
      <c r="DZW51" s="13"/>
      <c r="DZX51" s="13"/>
      <c r="DZY51" s="13"/>
      <c r="DZZ51" s="13"/>
      <c r="EAA51" s="13"/>
      <c r="EAB51" s="13"/>
      <c r="EAC51" s="13"/>
      <c r="EAD51" s="13"/>
      <c r="EAE51" s="13"/>
      <c r="EAF51" s="13"/>
      <c r="EAG51" s="13"/>
      <c r="EAH51" s="13"/>
      <c r="EAI51" s="13"/>
      <c r="EAJ51" s="13"/>
      <c r="EAK51" s="13"/>
      <c r="EAL51" s="13"/>
      <c r="EAM51" s="13"/>
      <c r="EAN51" s="13"/>
      <c r="EAO51" s="13"/>
      <c r="EAP51" s="13"/>
      <c r="EAQ51" s="13"/>
      <c r="EAR51" s="13"/>
      <c r="EAS51" s="13"/>
      <c r="EAT51" s="13"/>
      <c r="EAU51" s="13"/>
      <c r="EAV51" s="13"/>
      <c r="EAW51" s="13"/>
      <c r="EAX51" s="13"/>
      <c r="EAY51" s="13"/>
      <c r="EAZ51" s="13"/>
      <c r="EBA51" s="13"/>
      <c r="EBB51" s="13"/>
      <c r="EBC51" s="13"/>
      <c r="EBD51" s="13"/>
      <c r="EBE51" s="13"/>
      <c r="EBF51" s="13"/>
      <c r="EBG51" s="13"/>
      <c r="EBH51" s="13"/>
      <c r="EBI51" s="13"/>
      <c r="EBJ51" s="13"/>
      <c r="EBK51" s="13"/>
      <c r="EBL51" s="13"/>
      <c r="EBM51" s="13"/>
      <c r="EBN51" s="13"/>
      <c r="EBO51" s="13"/>
      <c r="EBP51" s="13"/>
      <c r="EBQ51" s="13"/>
      <c r="EBR51" s="13"/>
      <c r="EBS51" s="13"/>
      <c r="EBT51" s="13"/>
      <c r="EBU51" s="13"/>
      <c r="EBV51" s="13"/>
      <c r="EBW51" s="13"/>
      <c r="EBX51" s="13"/>
      <c r="EBY51" s="13"/>
      <c r="EBZ51" s="13"/>
      <c r="ECA51" s="13"/>
      <c r="ECB51" s="13"/>
      <c r="ECC51" s="13"/>
      <c r="ECD51" s="13"/>
      <c r="ECE51" s="13"/>
      <c r="ECF51" s="13"/>
      <c r="ECG51" s="13"/>
      <c r="ECH51" s="13"/>
      <c r="ECI51" s="13"/>
      <c r="ECJ51" s="13"/>
      <c r="ECK51" s="13"/>
      <c r="ECL51" s="13"/>
      <c r="ECM51" s="13"/>
      <c r="ECN51" s="13"/>
      <c r="ECO51" s="13"/>
      <c r="ECP51" s="13"/>
      <c r="ECQ51" s="13"/>
      <c r="ECR51" s="13"/>
      <c r="ECS51" s="13"/>
      <c r="ECT51" s="13"/>
      <c r="ECU51" s="13"/>
      <c r="ECV51" s="13"/>
      <c r="ECW51" s="13"/>
      <c r="ECX51" s="13"/>
      <c r="ECY51" s="13"/>
      <c r="ECZ51" s="13"/>
      <c r="EDA51" s="13"/>
      <c r="EDB51" s="13"/>
      <c r="EDC51" s="13"/>
      <c r="EDD51" s="13"/>
      <c r="EDE51" s="13"/>
      <c r="EDF51" s="13"/>
      <c r="EDG51" s="13"/>
      <c r="EDH51" s="13"/>
      <c r="EDI51" s="13"/>
      <c r="EDJ51" s="13"/>
      <c r="EDK51" s="13"/>
      <c r="EDL51" s="13"/>
      <c r="EDM51" s="13"/>
      <c r="EDN51" s="13"/>
      <c r="EDO51" s="13"/>
      <c r="EDP51" s="13"/>
      <c r="EDQ51" s="13"/>
      <c r="EDR51" s="13"/>
      <c r="EDS51" s="13"/>
      <c r="EDT51" s="13"/>
      <c r="EDU51" s="13"/>
      <c r="EDV51" s="13"/>
      <c r="EDW51" s="13"/>
      <c r="EDX51" s="13"/>
      <c r="EDY51" s="13"/>
      <c r="EDZ51" s="13"/>
      <c r="EEA51" s="13"/>
      <c r="EEB51" s="13"/>
      <c r="EEC51" s="13"/>
      <c r="EED51" s="13"/>
      <c r="EEE51" s="13"/>
      <c r="EEF51" s="13"/>
      <c r="EEG51" s="13"/>
      <c r="EEH51" s="13"/>
      <c r="EEI51" s="13"/>
      <c r="EEJ51" s="13"/>
      <c r="EEK51" s="13"/>
      <c r="EEL51" s="13"/>
      <c r="EEM51" s="13"/>
      <c r="EEN51" s="13"/>
      <c r="EEO51" s="13"/>
      <c r="EEP51" s="13"/>
      <c r="EEQ51" s="13"/>
      <c r="EER51" s="13"/>
      <c r="EES51" s="13"/>
      <c r="EET51" s="13"/>
      <c r="EEU51" s="13"/>
      <c r="EEV51" s="13"/>
      <c r="EEW51" s="13"/>
      <c r="EEX51" s="13"/>
      <c r="EEY51" s="13"/>
      <c r="EEZ51" s="13"/>
      <c r="EFA51" s="13"/>
      <c r="EFB51" s="13"/>
      <c r="EFC51" s="13"/>
      <c r="EFD51" s="13"/>
      <c r="EFE51" s="13"/>
      <c r="EFF51" s="13"/>
      <c r="EFG51" s="13"/>
      <c r="EFH51" s="13"/>
      <c r="EFI51" s="13"/>
      <c r="EFJ51" s="13"/>
      <c r="EFK51" s="13"/>
      <c r="EFL51" s="13"/>
      <c r="EFM51" s="13"/>
      <c r="EFN51" s="13"/>
      <c r="EFO51" s="13"/>
      <c r="EFP51" s="13"/>
      <c r="EFQ51" s="13"/>
      <c r="EFR51" s="13"/>
      <c r="EFS51" s="13"/>
      <c r="EFT51" s="13"/>
      <c r="EFU51" s="13"/>
      <c r="EFV51" s="13"/>
      <c r="EFW51" s="13"/>
      <c r="EFX51" s="13"/>
      <c r="EFY51" s="13"/>
      <c r="EFZ51" s="13"/>
      <c r="EGA51" s="13"/>
      <c r="EGB51" s="13"/>
      <c r="EGC51" s="13"/>
      <c r="EGD51" s="13"/>
      <c r="EGE51" s="13"/>
      <c r="EGF51" s="13"/>
      <c r="EGG51" s="13"/>
      <c r="EGH51" s="13"/>
      <c r="EGI51" s="13"/>
      <c r="EGJ51" s="13"/>
      <c r="EGK51" s="13"/>
      <c r="EGL51" s="13"/>
      <c r="EGM51" s="13"/>
      <c r="EGN51" s="13"/>
      <c r="EGO51" s="13"/>
      <c r="EGP51" s="13"/>
      <c r="EGQ51" s="13"/>
      <c r="EGR51" s="13"/>
      <c r="EGS51" s="13"/>
      <c r="EGT51" s="13"/>
      <c r="EGU51" s="13"/>
      <c r="EGV51" s="13"/>
      <c r="EGW51" s="13"/>
      <c r="EGX51" s="13"/>
      <c r="EGY51" s="13"/>
      <c r="EGZ51" s="13"/>
      <c r="EHA51" s="13"/>
      <c r="EHB51" s="13"/>
      <c r="EHC51" s="13"/>
      <c r="EHD51" s="13"/>
      <c r="EHE51" s="13"/>
      <c r="EHF51" s="13"/>
      <c r="EHG51" s="13"/>
      <c r="EHH51" s="13"/>
      <c r="EHI51" s="13"/>
      <c r="EHJ51" s="13"/>
      <c r="EHK51" s="13"/>
      <c r="EHL51" s="13"/>
      <c r="EHM51" s="13"/>
      <c r="EHN51" s="13"/>
      <c r="EHO51" s="13"/>
      <c r="EHP51" s="13"/>
      <c r="EHQ51" s="13"/>
      <c r="EHR51" s="13"/>
      <c r="EHS51" s="13"/>
      <c r="EHT51" s="13"/>
      <c r="EHU51" s="13"/>
      <c r="EHV51" s="13"/>
      <c r="EHW51" s="13"/>
      <c r="EHX51" s="13"/>
      <c r="EHY51" s="13"/>
      <c r="EHZ51" s="13"/>
      <c r="EIA51" s="13"/>
      <c r="EIB51" s="13"/>
      <c r="EIC51" s="13"/>
      <c r="EID51" s="13"/>
      <c r="EIE51" s="13"/>
      <c r="EIF51" s="13"/>
      <c r="EIG51" s="13"/>
      <c r="EIH51" s="13"/>
      <c r="EII51" s="13"/>
      <c r="EIJ51" s="13"/>
      <c r="EIK51" s="13"/>
      <c r="EIL51" s="13"/>
      <c r="EIM51" s="13"/>
      <c r="EIN51" s="13"/>
      <c r="EIO51" s="13"/>
      <c r="EIP51" s="13"/>
      <c r="EIQ51" s="13"/>
      <c r="EIR51" s="13"/>
      <c r="EIS51" s="13"/>
      <c r="EIT51" s="13"/>
      <c r="EIU51" s="13"/>
      <c r="EIV51" s="13"/>
      <c r="EIW51" s="13"/>
      <c r="EIX51" s="13"/>
      <c r="EIY51" s="13"/>
      <c r="EIZ51" s="13"/>
      <c r="EJA51" s="13"/>
      <c r="EJB51" s="13"/>
      <c r="EJC51" s="13"/>
      <c r="EJD51" s="13"/>
      <c r="EJE51" s="13"/>
      <c r="EJF51" s="13"/>
      <c r="EJG51" s="13"/>
      <c r="EJH51" s="13"/>
      <c r="EJI51" s="13"/>
      <c r="EJJ51" s="13"/>
      <c r="EJK51" s="13"/>
      <c r="EJL51" s="13"/>
      <c r="EJM51" s="13"/>
      <c r="EJN51" s="13"/>
      <c r="EJO51" s="13"/>
      <c r="EJP51" s="13"/>
      <c r="EJQ51" s="13"/>
      <c r="EJR51" s="13"/>
      <c r="EJS51" s="13"/>
      <c r="EJT51" s="13"/>
      <c r="EJU51" s="13"/>
      <c r="EJV51" s="13"/>
      <c r="EJW51" s="13"/>
      <c r="EJX51" s="13"/>
      <c r="EJY51" s="13"/>
      <c r="EJZ51" s="13"/>
      <c r="EKA51" s="13"/>
      <c r="EKB51" s="13"/>
      <c r="EKC51" s="13"/>
      <c r="EKD51" s="13"/>
      <c r="EKE51" s="13"/>
      <c r="EKF51" s="13"/>
      <c r="EKG51" s="13"/>
      <c r="EKH51" s="13"/>
      <c r="EKI51" s="13"/>
      <c r="EKJ51" s="13"/>
      <c r="EKK51" s="13"/>
      <c r="EKL51" s="13"/>
      <c r="EKM51" s="13"/>
      <c r="EKN51" s="13"/>
      <c r="EKO51" s="13"/>
      <c r="EKP51" s="13"/>
      <c r="EKQ51" s="13"/>
      <c r="EKR51" s="13"/>
      <c r="EKS51" s="13"/>
      <c r="EKT51" s="13"/>
      <c r="EKU51" s="13"/>
      <c r="EKV51" s="13"/>
      <c r="EKW51" s="13"/>
      <c r="EKX51" s="13"/>
      <c r="EKY51" s="13"/>
      <c r="EKZ51" s="13"/>
      <c r="ELA51" s="13"/>
      <c r="ELB51" s="13"/>
      <c r="ELC51" s="13"/>
      <c r="ELD51" s="13"/>
      <c r="ELE51" s="13"/>
      <c r="ELF51" s="13"/>
      <c r="ELG51" s="13"/>
      <c r="ELH51" s="13"/>
      <c r="ELI51" s="13"/>
      <c r="ELJ51" s="13"/>
      <c r="ELK51" s="13"/>
      <c r="ELL51" s="13"/>
      <c r="ELM51" s="13"/>
      <c r="ELN51" s="13"/>
      <c r="ELO51" s="13"/>
      <c r="ELP51" s="13"/>
      <c r="ELQ51" s="13"/>
      <c r="ELR51" s="13"/>
      <c r="ELS51" s="13"/>
      <c r="ELT51" s="13"/>
      <c r="ELU51" s="13"/>
      <c r="ELV51" s="13"/>
      <c r="ELW51" s="13"/>
      <c r="ELX51" s="13"/>
      <c r="ELY51" s="13"/>
      <c r="ELZ51" s="13"/>
      <c r="EMA51" s="13"/>
      <c r="EMB51" s="13"/>
      <c r="EMC51" s="13"/>
      <c r="EMD51" s="13"/>
      <c r="EME51" s="13"/>
      <c r="EMF51" s="13"/>
      <c r="EMG51" s="13"/>
      <c r="EMH51" s="13"/>
      <c r="EMI51" s="13"/>
      <c r="EMJ51" s="13"/>
      <c r="EMK51" s="13"/>
      <c r="EML51" s="13"/>
      <c r="EMM51" s="13"/>
      <c r="EMN51" s="13"/>
      <c r="EMO51" s="13"/>
      <c r="EMP51" s="13"/>
      <c r="EMQ51" s="13"/>
      <c r="EMR51" s="13"/>
      <c r="EMS51" s="13"/>
      <c r="EMT51" s="13"/>
      <c r="EMU51" s="13"/>
      <c r="EMV51" s="13"/>
      <c r="EMW51" s="13"/>
      <c r="EMX51" s="13"/>
      <c r="EMY51" s="13"/>
      <c r="EMZ51" s="13"/>
      <c r="ENA51" s="13"/>
      <c r="ENB51" s="13"/>
      <c r="ENC51" s="13"/>
      <c r="END51" s="13"/>
      <c r="ENE51" s="13"/>
      <c r="ENF51" s="13"/>
      <c r="ENG51" s="13"/>
      <c r="ENH51" s="13"/>
      <c r="ENI51" s="13"/>
      <c r="ENJ51" s="13"/>
      <c r="ENK51" s="13"/>
      <c r="ENL51" s="13"/>
      <c r="ENM51" s="13"/>
      <c r="ENN51" s="13"/>
      <c r="ENO51" s="13"/>
      <c r="ENP51" s="13"/>
      <c r="ENQ51" s="13"/>
      <c r="ENR51" s="13"/>
      <c r="ENS51" s="13"/>
      <c r="ENT51" s="13"/>
      <c r="ENU51" s="13"/>
      <c r="ENV51" s="13"/>
      <c r="ENW51" s="13"/>
      <c r="ENX51" s="13"/>
      <c r="ENY51" s="13"/>
      <c r="ENZ51" s="13"/>
      <c r="EOA51" s="13"/>
      <c r="EOB51" s="13"/>
      <c r="EOC51" s="13"/>
      <c r="EOD51" s="13"/>
      <c r="EOE51" s="13"/>
      <c r="EOF51" s="13"/>
      <c r="EOG51" s="13"/>
      <c r="EOH51" s="13"/>
      <c r="EOI51" s="13"/>
      <c r="EOJ51" s="13"/>
      <c r="EOK51" s="13"/>
      <c r="EOL51" s="13"/>
      <c r="EOM51" s="13"/>
      <c r="EON51" s="13"/>
      <c r="EOO51" s="13"/>
      <c r="EOP51" s="13"/>
      <c r="EOQ51" s="13"/>
      <c r="EOR51" s="13"/>
      <c r="EOS51" s="13"/>
      <c r="EOT51" s="13"/>
      <c r="EOU51" s="13"/>
      <c r="EOV51" s="13"/>
      <c r="EOW51" s="13"/>
      <c r="EOX51" s="13"/>
      <c r="EOY51" s="13"/>
      <c r="EOZ51" s="13"/>
      <c r="EPA51" s="13"/>
      <c r="EPB51" s="13"/>
      <c r="EPC51" s="13"/>
      <c r="EPD51" s="13"/>
      <c r="EPE51" s="13"/>
      <c r="EPF51" s="13"/>
      <c r="EPG51" s="13"/>
      <c r="EPH51" s="13"/>
      <c r="EPI51" s="13"/>
      <c r="EPJ51" s="13"/>
      <c r="EPK51" s="13"/>
      <c r="EPL51" s="13"/>
      <c r="EPM51" s="13"/>
      <c r="EPN51" s="13"/>
      <c r="EPO51" s="13"/>
      <c r="EPP51" s="13"/>
      <c r="EPQ51" s="13"/>
      <c r="EPR51" s="13"/>
      <c r="EPS51" s="13"/>
      <c r="EPT51" s="13"/>
      <c r="EPU51" s="13"/>
      <c r="EPV51" s="13"/>
      <c r="EPW51" s="13"/>
      <c r="EPX51" s="13"/>
      <c r="EPY51" s="13"/>
      <c r="EPZ51" s="13"/>
      <c r="EQA51" s="13"/>
      <c r="EQB51" s="13"/>
      <c r="EQC51" s="13"/>
      <c r="EQD51" s="13"/>
      <c r="EQE51" s="13"/>
      <c r="EQF51" s="13"/>
      <c r="EQG51" s="13"/>
      <c r="EQH51" s="13"/>
      <c r="EQI51" s="13"/>
      <c r="EQJ51" s="13"/>
      <c r="EQK51" s="13"/>
      <c r="EQL51" s="13"/>
      <c r="EQM51" s="13"/>
      <c r="EQN51" s="13"/>
      <c r="EQO51" s="13"/>
      <c r="EQP51" s="13"/>
      <c r="EQQ51" s="13"/>
      <c r="EQR51" s="13"/>
      <c r="EQS51" s="13"/>
      <c r="EQT51" s="13"/>
      <c r="EQU51" s="13"/>
      <c r="EQV51" s="13"/>
      <c r="EQW51" s="13"/>
      <c r="EQX51" s="13"/>
      <c r="EQY51" s="13"/>
      <c r="EQZ51" s="13"/>
      <c r="ERA51" s="13"/>
      <c r="ERB51" s="13"/>
      <c r="ERC51" s="13"/>
      <c r="ERD51" s="13"/>
      <c r="ERE51" s="13"/>
      <c r="ERF51" s="13"/>
      <c r="ERG51" s="13"/>
      <c r="ERH51" s="13"/>
      <c r="ERI51" s="13"/>
      <c r="ERJ51" s="13"/>
      <c r="ERK51" s="13"/>
      <c r="ERL51" s="13"/>
      <c r="ERM51" s="13"/>
      <c r="ERN51" s="13"/>
      <c r="ERO51" s="13"/>
      <c r="ERP51" s="13"/>
      <c r="ERQ51" s="13"/>
      <c r="ERR51" s="13"/>
      <c r="ERS51" s="13"/>
      <c r="ERT51" s="13"/>
      <c r="ERU51" s="13"/>
      <c r="ERV51" s="13"/>
      <c r="ERW51" s="13"/>
      <c r="ERX51" s="13"/>
      <c r="ERY51" s="13"/>
      <c r="ERZ51" s="13"/>
      <c r="ESA51" s="13"/>
      <c r="ESB51" s="13"/>
      <c r="ESC51" s="13"/>
      <c r="ESD51" s="13"/>
      <c r="ESE51" s="13"/>
      <c r="ESF51" s="13"/>
      <c r="ESG51" s="13"/>
      <c r="ESH51" s="13"/>
      <c r="ESI51" s="13"/>
      <c r="ESJ51" s="13"/>
      <c r="ESK51" s="13"/>
      <c r="ESL51" s="13"/>
      <c r="ESM51" s="13"/>
      <c r="ESN51" s="13"/>
      <c r="ESO51" s="13"/>
      <c r="ESP51" s="13"/>
      <c r="ESQ51" s="13"/>
      <c r="ESR51" s="13"/>
      <c r="ESS51" s="13"/>
      <c r="EST51" s="13"/>
      <c r="ESU51" s="13"/>
      <c r="ESV51" s="13"/>
      <c r="ESW51" s="13"/>
      <c r="ESX51" s="13"/>
      <c r="ESY51" s="13"/>
      <c r="ESZ51" s="13"/>
      <c r="ETA51" s="13"/>
      <c r="ETB51" s="13"/>
      <c r="ETC51" s="13"/>
      <c r="ETD51" s="13"/>
      <c r="ETE51" s="13"/>
      <c r="ETF51" s="13"/>
      <c r="ETG51" s="13"/>
      <c r="ETH51" s="13"/>
      <c r="ETI51" s="13"/>
      <c r="ETJ51" s="13"/>
      <c r="ETK51" s="13"/>
      <c r="ETL51" s="13"/>
      <c r="ETM51" s="13"/>
      <c r="ETN51" s="13"/>
      <c r="ETO51" s="13"/>
      <c r="ETP51" s="13"/>
      <c r="ETQ51" s="13"/>
      <c r="ETR51" s="13"/>
      <c r="ETS51" s="13"/>
      <c r="ETT51" s="13"/>
      <c r="ETU51" s="13"/>
      <c r="ETV51" s="13"/>
      <c r="ETW51" s="13"/>
      <c r="ETX51" s="13"/>
      <c r="ETY51" s="13"/>
      <c r="ETZ51" s="13"/>
      <c r="EUA51" s="13"/>
      <c r="EUB51" s="13"/>
      <c r="EUC51" s="13"/>
      <c r="EUD51" s="13"/>
      <c r="EUE51" s="13"/>
      <c r="EUF51" s="13"/>
      <c r="EUG51" s="13"/>
      <c r="EUH51" s="13"/>
      <c r="EUI51" s="13"/>
      <c r="EUJ51" s="13"/>
      <c r="EUK51" s="13"/>
      <c r="EUL51" s="13"/>
      <c r="EUM51" s="13"/>
      <c r="EUN51" s="13"/>
      <c r="EUO51" s="13"/>
      <c r="EUP51" s="13"/>
      <c r="EUQ51" s="13"/>
      <c r="EUR51" s="13"/>
      <c r="EUS51" s="13"/>
      <c r="EUT51" s="13"/>
      <c r="EUU51" s="13"/>
      <c r="EUV51" s="13"/>
      <c r="EUW51" s="13"/>
      <c r="EUX51" s="13"/>
      <c r="EUY51" s="13"/>
      <c r="EUZ51" s="13"/>
      <c r="EVA51" s="13"/>
      <c r="EVB51" s="13"/>
      <c r="EVC51" s="13"/>
      <c r="EVD51" s="13"/>
      <c r="EVE51" s="13"/>
      <c r="EVF51" s="13"/>
      <c r="EVG51" s="13"/>
      <c r="EVH51" s="13"/>
      <c r="EVI51" s="13"/>
      <c r="EVJ51" s="13"/>
      <c r="EVK51" s="13"/>
      <c r="EVL51" s="13"/>
      <c r="EVM51" s="13"/>
      <c r="EVN51" s="13"/>
      <c r="EVO51" s="13"/>
      <c r="EVP51" s="13"/>
      <c r="EVQ51" s="13"/>
      <c r="EVR51" s="13"/>
      <c r="EVS51" s="13"/>
      <c r="EVT51" s="13"/>
      <c r="EVU51" s="13"/>
      <c r="EVV51" s="13"/>
      <c r="EVW51" s="13"/>
      <c r="EVX51" s="13"/>
      <c r="EVY51" s="13"/>
      <c r="EVZ51" s="13"/>
      <c r="EWA51" s="13"/>
      <c r="EWB51" s="13"/>
      <c r="EWC51" s="13"/>
      <c r="EWD51" s="13"/>
      <c r="EWE51" s="13"/>
      <c r="EWF51" s="13"/>
      <c r="EWG51" s="13"/>
      <c r="EWH51" s="13"/>
      <c r="EWI51" s="13"/>
      <c r="EWJ51" s="13"/>
      <c r="EWK51" s="13"/>
      <c r="EWL51" s="13"/>
      <c r="EWM51" s="13"/>
      <c r="EWN51" s="13"/>
      <c r="EWO51" s="13"/>
      <c r="EWP51" s="13"/>
      <c r="EWQ51" s="13"/>
      <c r="EWR51" s="13"/>
      <c r="EWS51" s="13"/>
      <c r="EWT51" s="13"/>
      <c r="EWU51" s="13"/>
      <c r="EWV51" s="13"/>
      <c r="EWW51" s="13"/>
      <c r="EWX51" s="13"/>
      <c r="EWY51" s="13"/>
      <c r="EWZ51" s="13"/>
      <c r="EXA51" s="13"/>
      <c r="EXB51" s="13"/>
      <c r="EXC51" s="13"/>
      <c r="EXD51" s="13"/>
      <c r="EXE51" s="13"/>
      <c r="EXF51" s="13"/>
      <c r="EXG51" s="13"/>
      <c r="EXH51" s="13"/>
      <c r="EXI51" s="13"/>
      <c r="EXJ51" s="13"/>
      <c r="EXK51" s="13"/>
      <c r="EXL51" s="13"/>
      <c r="EXM51" s="13"/>
      <c r="EXN51" s="13"/>
      <c r="EXO51" s="13"/>
      <c r="EXP51" s="13"/>
      <c r="EXQ51" s="13"/>
      <c r="EXR51" s="13"/>
      <c r="EXS51" s="13"/>
      <c r="EXT51" s="13"/>
      <c r="EXU51" s="13"/>
      <c r="EXV51" s="13"/>
      <c r="EXW51" s="13"/>
      <c r="EXX51" s="13"/>
      <c r="EXY51" s="13"/>
      <c r="EXZ51" s="13"/>
      <c r="EYA51" s="13"/>
      <c r="EYB51" s="13"/>
      <c r="EYC51" s="13"/>
      <c r="EYD51" s="13"/>
      <c r="EYE51" s="13"/>
      <c r="EYF51" s="13"/>
      <c r="EYG51" s="13"/>
      <c r="EYH51" s="13"/>
      <c r="EYI51" s="13"/>
      <c r="EYJ51" s="13"/>
      <c r="EYK51" s="13"/>
      <c r="EYL51" s="13"/>
      <c r="EYM51" s="13"/>
      <c r="EYN51" s="13"/>
      <c r="EYO51" s="13"/>
      <c r="EYP51" s="13"/>
      <c r="EYQ51" s="13"/>
      <c r="EYR51" s="13"/>
      <c r="EYS51" s="13"/>
      <c r="EYT51" s="13"/>
      <c r="EYU51" s="13"/>
      <c r="EYV51" s="13"/>
      <c r="EYW51" s="13"/>
      <c r="EYX51" s="13"/>
      <c r="EYY51" s="13"/>
      <c r="EYZ51" s="13"/>
      <c r="EZA51" s="13"/>
      <c r="EZB51" s="13"/>
      <c r="EZC51" s="13"/>
      <c r="EZD51" s="13"/>
      <c r="EZE51" s="13"/>
      <c r="EZF51" s="13"/>
      <c r="EZG51" s="13"/>
      <c r="EZH51" s="13"/>
      <c r="EZI51" s="13"/>
      <c r="EZJ51" s="13"/>
      <c r="EZK51" s="13"/>
      <c r="EZL51" s="13"/>
      <c r="EZM51" s="13"/>
      <c r="EZN51" s="13"/>
      <c r="EZO51" s="13"/>
      <c r="EZP51" s="13"/>
      <c r="EZQ51" s="13"/>
      <c r="EZR51" s="13"/>
      <c r="EZS51" s="13"/>
      <c r="EZT51" s="13"/>
      <c r="EZU51" s="13"/>
      <c r="EZV51" s="13"/>
      <c r="EZW51" s="13"/>
      <c r="EZX51" s="13"/>
      <c r="EZY51" s="13"/>
      <c r="EZZ51" s="13"/>
      <c r="FAA51" s="13"/>
      <c r="FAB51" s="13"/>
      <c r="FAC51" s="13"/>
      <c r="FAD51" s="13"/>
      <c r="FAE51" s="13"/>
      <c r="FAF51" s="13"/>
      <c r="FAG51" s="13"/>
      <c r="FAH51" s="13"/>
      <c r="FAI51" s="13"/>
      <c r="FAJ51" s="13"/>
      <c r="FAK51" s="13"/>
      <c r="FAL51" s="13"/>
      <c r="FAM51" s="13"/>
      <c r="FAN51" s="13"/>
      <c r="FAO51" s="13"/>
      <c r="FAP51" s="13"/>
      <c r="FAQ51" s="13"/>
      <c r="FAR51" s="13"/>
      <c r="FAS51" s="13"/>
      <c r="FAT51" s="13"/>
      <c r="FAU51" s="13"/>
      <c r="FAV51" s="13"/>
      <c r="FAW51" s="13"/>
      <c r="FAX51" s="13"/>
      <c r="FAY51" s="13"/>
      <c r="FAZ51" s="13"/>
      <c r="FBA51" s="13"/>
      <c r="FBB51" s="13"/>
      <c r="FBC51" s="13"/>
      <c r="FBD51" s="13"/>
      <c r="FBE51" s="13"/>
      <c r="FBF51" s="13"/>
      <c r="FBG51" s="13"/>
      <c r="FBH51" s="13"/>
      <c r="FBI51" s="13"/>
      <c r="FBJ51" s="13"/>
      <c r="FBK51" s="13"/>
      <c r="FBL51" s="13"/>
      <c r="FBM51" s="13"/>
      <c r="FBN51" s="13"/>
      <c r="FBO51" s="13"/>
      <c r="FBP51" s="13"/>
      <c r="FBQ51" s="13"/>
      <c r="FBR51" s="13"/>
      <c r="FBS51" s="13"/>
      <c r="FBT51" s="13"/>
      <c r="FBU51" s="13"/>
      <c r="FBV51" s="13"/>
      <c r="FBW51" s="13"/>
      <c r="FBX51" s="13"/>
      <c r="FBY51" s="13"/>
      <c r="FBZ51" s="13"/>
      <c r="FCA51" s="13"/>
      <c r="FCB51" s="13"/>
      <c r="FCC51" s="13"/>
      <c r="FCD51" s="13"/>
      <c r="FCE51" s="13"/>
      <c r="FCF51" s="13"/>
      <c r="FCG51" s="13"/>
      <c r="FCH51" s="13"/>
      <c r="FCI51" s="13"/>
      <c r="FCJ51" s="13"/>
      <c r="FCK51" s="13"/>
      <c r="FCL51" s="13"/>
      <c r="FCM51" s="13"/>
      <c r="FCN51" s="13"/>
      <c r="FCO51" s="13"/>
      <c r="FCP51" s="13"/>
      <c r="FCQ51" s="13"/>
      <c r="FCR51" s="13"/>
      <c r="FCS51" s="13"/>
      <c r="FCT51" s="13"/>
      <c r="FCU51" s="13"/>
      <c r="FCV51" s="13"/>
      <c r="FCW51" s="13"/>
      <c r="FCX51" s="13"/>
      <c r="FCY51" s="13"/>
      <c r="FCZ51" s="13"/>
      <c r="FDA51" s="13"/>
      <c r="FDB51" s="13"/>
      <c r="FDC51" s="13"/>
      <c r="FDD51" s="13"/>
      <c r="FDE51" s="13"/>
      <c r="FDF51" s="13"/>
      <c r="FDG51" s="13"/>
      <c r="FDH51" s="13"/>
      <c r="FDI51" s="13"/>
      <c r="FDJ51" s="13"/>
      <c r="FDK51" s="13"/>
      <c r="FDL51" s="13"/>
      <c r="FDM51" s="13"/>
      <c r="FDN51" s="13"/>
      <c r="FDO51" s="13"/>
      <c r="FDP51" s="13"/>
      <c r="FDQ51" s="13"/>
      <c r="FDR51" s="13"/>
      <c r="FDS51" s="13"/>
      <c r="FDT51" s="13"/>
      <c r="FDU51" s="13"/>
      <c r="FDV51" s="13"/>
      <c r="FDW51" s="13"/>
      <c r="FDX51" s="13"/>
      <c r="FDY51" s="13"/>
      <c r="FDZ51" s="13"/>
      <c r="FEA51" s="13"/>
      <c r="FEB51" s="13"/>
      <c r="FEC51" s="13"/>
      <c r="FED51" s="13"/>
      <c r="FEE51" s="13"/>
      <c r="FEF51" s="13"/>
      <c r="FEG51" s="13"/>
      <c r="FEH51" s="13"/>
      <c r="FEI51" s="13"/>
      <c r="FEJ51" s="13"/>
      <c r="FEK51" s="13"/>
      <c r="FEL51" s="13"/>
      <c r="FEM51" s="13"/>
      <c r="FEN51" s="13"/>
      <c r="FEO51" s="13"/>
      <c r="FEP51" s="13"/>
      <c r="FEQ51" s="13"/>
      <c r="FER51" s="13"/>
      <c r="FES51" s="13"/>
      <c r="FET51" s="13"/>
      <c r="FEU51" s="13"/>
      <c r="FEV51" s="13"/>
      <c r="FEW51" s="13"/>
      <c r="FEX51" s="13"/>
      <c r="FEY51" s="13"/>
      <c r="FEZ51" s="13"/>
      <c r="FFA51" s="13"/>
      <c r="FFB51" s="13"/>
      <c r="FFC51" s="13"/>
      <c r="FFD51" s="13"/>
      <c r="FFE51" s="13"/>
      <c r="FFF51" s="13"/>
      <c r="FFG51" s="13"/>
      <c r="FFH51" s="13"/>
      <c r="FFI51" s="13"/>
      <c r="FFJ51" s="13"/>
      <c r="FFK51" s="13"/>
      <c r="FFL51" s="13"/>
      <c r="FFM51" s="13"/>
      <c r="FFN51" s="13"/>
      <c r="FFO51" s="13"/>
      <c r="FFP51" s="13"/>
      <c r="FFQ51" s="13"/>
      <c r="FFR51" s="13"/>
      <c r="FFS51" s="13"/>
      <c r="FFT51" s="13"/>
      <c r="FFU51" s="13"/>
      <c r="FFV51" s="13"/>
      <c r="FFW51" s="13"/>
      <c r="FFX51" s="13"/>
      <c r="FFY51" s="13"/>
      <c r="FFZ51" s="13"/>
      <c r="FGA51" s="13"/>
      <c r="FGB51" s="13"/>
      <c r="FGC51" s="13"/>
      <c r="FGD51" s="13"/>
      <c r="FGE51" s="13"/>
      <c r="FGF51" s="13"/>
      <c r="FGG51" s="13"/>
      <c r="FGH51" s="13"/>
      <c r="FGI51" s="13"/>
      <c r="FGJ51" s="13"/>
      <c r="FGK51" s="13"/>
      <c r="FGL51" s="13"/>
      <c r="FGM51" s="13"/>
      <c r="FGN51" s="13"/>
      <c r="FGO51" s="13"/>
      <c r="FGP51" s="13"/>
      <c r="FGQ51" s="13"/>
      <c r="FGR51" s="13"/>
      <c r="FGS51" s="13"/>
      <c r="FGT51" s="13"/>
      <c r="FGU51" s="13"/>
      <c r="FGV51" s="13"/>
      <c r="FGW51" s="13"/>
      <c r="FGX51" s="13"/>
      <c r="FGY51" s="13"/>
      <c r="FGZ51" s="13"/>
      <c r="FHA51" s="13"/>
      <c r="FHB51" s="13"/>
      <c r="FHC51" s="13"/>
      <c r="FHD51" s="13"/>
      <c r="FHE51" s="13"/>
      <c r="FHF51" s="13"/>
      <c r="FHG51" s="13"/>
      <c r="FHH51" s="13"/>
      <c r="FHI51" s="13"/>
      <c r="FHJ51" s="13"/>
      <c r="FHK51" s="13"/>
      <c r="FHL51" s="13"/>
      <c r="FHM51" s="13"/>
      <c r="FHN51" s="13"/>
      <c r="FHO51" s="13"/>
      <c r="FHP51" s="13"/>
      <c r="FHQ51" s="13"/>
      <c r="FHR51" s="13"/>
      <c r="FHS51" s="13"/>
      <c r="FHT51" s="13"/>
      <c r="FHU51" s="13"/>
      <c r="FHV51" s="13"/>
      <c r="FHW51" s="13"/>
      <c r="FHX51" s="13"/>
      <c r="FHY51" s="13"/>
      <c r="FHZ51" s="13"/>
      <c r="FIA51" s="13"/>
      <c r="FIB51" s="13"/>
      <c r="FIC51" s="13"/>
      <c r="FID51" s="13"/>
      <c r="FIE51" s="13"/>
      <c r="FIF51" s="13"/>
      <c r="FIG51" s="13"/>
      <c r="FIH51" s="13"/>
      <c r="FII51" s="13"/>
      <c r="FIJ51" s="13"/>
      <c r="FIK51" s="13"/>
      <c r="FIL51" s="13"/>
      <c r="FIM51" s="13"/>
      <c r="FIN51" s="13"/>
      <c r="FIO51" s="13"/>
      <c r="FIP51" s="13"/>
      <c r="FIQ51" s="13"/>
      <c r="FIR51" s="13"/>
      <c r="FIS51" s="13"/>
      <c r="FIT51" s="13"/>
      <c r="FIU51" s="13"/>
      <c r="FIV51" s="13"/>
      <c r="FIW51" s="13"/>
      <c r="FIX51" s="13"/>
      <c r="FIY51" s="13"/>
      <c r="FIZ51" s="13"/>
      <c r="FJA51" s="13"/>
      <c r="FJB51" s="13"/>
      <c r="FJC51" s="13"/>
      <c r="FJD51" s="13"/>
      <c r="FJE51" s="13"/>
      <c r="FJF51" s="13"/>
      <c r="FJG51" s="13"/>
      <c r="FJH51" s="13"/>
      <c r="FJI51" s="13"/>
      <c r="FJJ51" s="13"/>
      <c r="FJK51" s="13"/>
      <c r="FJL51" s="13"/>
      <c r="FJM51" s="13"/>
      <c r="FJN51" s="13"/>
      <c r="FJO51" s="13"/>
      <c r="FJP51" s="13"/>
      <c r="FJQ51" s="13"/>
      <c r="FJR51" s="13"/>
      <c r="FJS51" s="13"/>
      <c r="FJT51" s="13"/>
      <c r="FJU51" s="13"/>
      <c r="FJV51" s="13"/>
      <c r="FJW51" s="13"/>
      <c r="FJX51" s="13"/>
      <c r="FJY51" s="13"/>
      <c r="FJZ51" s="13"/>
      <c r="FKA51" s="13"/>
      <c r="FKB51" s="13"/>
      <c r="FKC51" s="13"/>
      <c r="FKD51" s="13"/>
      <c r="FKE51" s="13"/>
      <c r="FKF51" s="13"/>
      <c r="FKG51" s="13"/>
      <c r="FKH51" s="13"/>
      <c r="FKI51" s="13"/>
      <c r="FKJ51" s="13"/>
      <c r="FKK51" s="13"/>
      <c r="FKL51" s="13"/>
      <c r="FKM51" s="13"/>
      <c r="FKN51" s="13"/>
      <c r="FKO51" s="13"/>
      <c r="FKP51" s="13"/>
      <c r="FKQ51" s="13"/>
      <c r="FKR51" s="13"/>
      <c r="FKS51" s="13"/>
      <c r="FKT51" s="13"/>
      <c r="FKU51" s="13"/>
      <c r="FKV51" s="13"/>
      <c r="FKW51" s="13"/>
      <c r="FKX51" s="13"/>
      <c r="FKY51" s="13"/>
      <c r="FKZ51" s="13"/>
      <c r="FLA51" s="13"/>
      <c r="FLB51" s="13"/>
      <c r="FLC51" s="13"/>
      <c r="FLD51" s="13"/>
      <c r="FLE51" s="13"/>
      <c r="FLF51" s="13"/>
      <c r="FLG51" s="13"/>
      <c r="FLH51" s="13"/>
      <c r="FLI51" s="13"/>
      <c r="FLJ51" s="13"/>
      <c r="FLK51" s="13"/>
      <c r="FLL51" s="13"/>
      <c r="FLM51" s="13"/>
      <c r="FLN51" s="13"/>
      <c r="FLO51" s="13"/>
      <c r="FLP51" s="13"/>
      <c r="FLQ51" s="13"/>
      <c r="FLR51" s="13"/>
      <c r="FLS51" s="13"/>
      <c r="FLT51" s="13"/>
      <c r="FLU51" s="13"/>
      <c r="FLV51" s="13"/>
      <c r="FLW51" s="13"/>
      <c r="FLX51" s="13"/>
      <c r="FLY51" s="13"/>
      <c r="FLZ51" s="13"/>
      <c r="FMA51" s="13"/>
      <c r="FMB51" s="13"/>
      <c r="FMC51" s="13"/>
      <c r="FMD51" s="13"/>
      <c r="FME51" s="13"/>
      <c r="FMF51" s="13"/>
      <c r="FMG51" s="13"/>
      <c r="FMH51" s="13"/>
      <c r="FMI51" s="13"/>
      <c r="FMJ51" s="13"/>
      <c r="FMK51" s="13"/>
      <c r="FML51" s="13"/>
      <c r="FMM51" s="13"/>
      <c r="FMN51" s="13"/>
      <c r="FMO51" s="13"/>
      <c r="FMP51" s="13"/>
      <c r="FMQ51" s="13"/>
      <c r="FMR51" s="13"/>
      <c r="FMS51" s="13"/>
      <c r="FMT51" s="13"/>
      <c r="FMU51" s="13"/>
      <c r="FMV51" s="13"/>
      <c r="FMW51" s="13"/>
      <c r="FMX51" s="13"/>
      <c r="FMY51" s="13"/>
      <c r="FMZ51" s="13"/>
      <c r="FNA51" s="13"/>
      <c r="FNB51" s="13"/>
      <c r="FNC51" s="13"/>
      <c r="FND51" s="13"/>
      <c r="FNE51" s="13"/>
      <c r="FNF51" s="13"/>
      <c r="FNG51" s="13"/>
      <c r="FNH51" s="13"/>
      <c r="FNI51" s="13"/>
      <c r="FNJ51" s="13"/>
      <c r="FNK51" s="13"/>
      <c r="FNL51" s="13"/>
      <c r="FNM51" s="13"/>
      <c r="FNN51" s="13"/>
      <c r="FNO51" s="13"/>
      <c r="FNP51" s="13"/>
      <c r="FNQ51" s="13"/>
      <c r="FNR51" s="13"/>
      <c r="FNS51" s="13"/>
      <c r="FNT51" s="13"/>
      <c r="FNU51" s="13"/>
      <c r="FNV51" s="13"/>
      <c r="FNW51" s="13"/>
      <c r="FNX51" s="13"/>
      <c r="FNY51" s="13"/>
      <c r="FNZ51" s="13"/>
      <c r="FOA51" s="13"/>
      <c r="FOB51" s="13"/>
      <c r="FOC51" s="13"/>
      <c r="FOD51" s="13"/>
      <c r="FOE51" s="13"/>
      <c r="FOF51" s="13"/>
      <c r="FOG51" s="13"/>
      <c r="FOH51" s="13"/>
      <c r="FOI51" s="13"/>
      <c r="FOJ51" s="13"/>
      <c r="FOK51" s="13"/>
      <c r="FOL51" s="13"/>
      <c r="FOM51" s="13"/>
      <c r="FON51" s="13"/>
      <c r="FOO51" s="13"/>
      <c r="FOP51" s="13"/>
      <c r="FOQ51" s="13"/>
      <c r="FOR51" s="13"/>
      <c r="FOS51" s="13"/>
      <c r="FOT51" s="13"/>
      <c r="FOU51" s="13"/>
      <c r="FOV51" s="13"/>
      <c r="FOW51" s="13"/>
      <c r="FOX51" s="13"/>
      <c r="FOY51" s="13"/>
      <c r="FOZ51" s="13"/>
      <c r="FPA51" s="13"/>
      <c r="FPB51" s="13"/>
      <c r="FPC51" s="13"/>
      <c r="FPD51" s="13"/>
      <c r="FPE51" s="13"/>
      <c r="FPF51" s="13"/>
      <c r="FPG51" s="13"/>
      <c r="FPH51" s="13"/>
      <c r="FPI51" s="13"/>
      <c r="FPJ51" s="13"/>
      <c r="FPK51" s="13"/>
      <c r="FPL51" s="13"/>
      <c r="FPM51" s="13"/>
      <c r="FPN51" s="13"/>
      <c r="FPO51" s="13"/>
      <c r="FPP51" s="13"/>
      <c r="FPQ51" s="13"/>
      <c r="FPR51" s="13"/>
      <c r="FPS51" s="13"/>
      <c r="FPT51" s="13"/>
      <c r="FPU51" s="13"/>
      <c r="FPV51" s="13"/>
      <c r="FPW51" s="13"/>
      <c r="FPX51" s="13"/>
      <c r="FPY51" s="13"/>
      <c r="FPZ51" s="13"/>
      <c r="FQA51" s="13"/>
      <c r="FQB51" s="13"/>
      <c r="FQC51" s="13"/>
      <c r="FQD51" s="13"/>
      <c r="FQE51" s="13"/>
      <c r="FQF51" s="13"/>
      <c r="FQG51" s="13"/>
      <c r="FQH51" s="13"/>
      <c r="FQI51" s="13"/>
      <c r="FQJ51" s="13"/>
      <c r="FQK51" s="13"/>
      <c r="FQL51" s="13"/>
      <c r="FQM51" s="13"/>
      <c r="FQN51" s="13"/>
      <c r="FQO51" s="13"/>
      <c r="FQP51" s="13"/>
      <c r="FQQ51" s="13"/>
      <c r="FQR51" s="13"/>
      <c r="FQS51" s="13"/>
      <c r="FQT51" s="13"/>
      <c r="FQU51" s="13"/>
      <c r="FQV51" s="13"/>
      <c r="FQW51" s="13"/>
      <c r="FQX51" s="13"/>
      <c r="FQY51" s="13"/>
      <c r="FQZ51" s="13"/>
      <c r="FRA51" s="13"/>
      <c r="FRB51" s="13"/>
      <c r="FRC51" s="13"/>
      <c r="FRD51" s="13"/>
      <c r="FRE51" s="13"/>
      <c r="FRF51" s="13"/>
      <c r="FRG51" s="13"/>
      <c r="FRH51" s="13"/>
      <c r="FRI51" s="13"/>
      <c r="FRJ51" s="13"/>
      <c r="FRK51" s="13"/>
      <c r="FRL51" s="13"/>
      <c r="FRM51" s="13"/>
      <c r="FRN51" s="13"/>
      <c r="FRO51" s="13"/>
      <c r="FRP51" s="13"/>
      <c r="FRQ51" s="13"/>
      <c r="FRR51" s="13"/>
      <c r="FRS51" s="13"/>
      <c r="FRT51" s="13"/>
      <c r="FRU51" s="13"/>
      <c r="FRV51" s="13"/>
      <c r="FRW51" s="13"/>
      <c r="FRX51" s="13"/>
      <c r="FRY51" s="13"/>
      <c r="FRZ51" s="13"/>
      <c r="FSA51" s="13"/>
      <c r="FSB51" s="13"/>
      <c r="FSC51" s="13"/>
      <c r="FSD51" s="13"/>
      <c r="FSE51" s="13"/>
      <c r="FSF51" s="13"/>
      <c r="FSG51" s="13"/>
      <c r="FSH51" s="13"/>
      <c r="FSI51" s="13"/>
      <c r="FSJ51" s="13"/>
      <c r="FSK51" s="13"/>
      <c r="FSL51" s="13"/>
      <c r="FSM51" s="13"/>
      <c r="FSN51" s="13"/>
      <c r="FSO51" s="13"/>
      <c r="FSP51" s="13"/>
      <c r="FSQ51" s="13"/>
      <c r="FSR51" s="13"/>
      <c r="FSS51" s="13"/>
      <c r="FST51" s="13"/>
      <c r="FSU51" s="13"/>
      <c r="FSV51" s="13"/>
      <c r="FSW51" s="13"/>
      <c r="FSX51" s="13"/>
      <c r="FSY51" s="13"/>
      <c r="FSZ51" s="13"/>
      <c r="FTA51" s="13"/>
      <c r="FTB51" s="13"/>
      <c r="FTC51" s="13"/>
      <c r="FTD51" s="13"/>
      <c r="FTE51" s="13"/>
      <c r="FTF51" s="13"/>
      <c r="FTG51" s="13"/>
      <c r="FTH51" s="13"/>
      <c r="FTI51" s="13"/>
      <c r="FTJ51" s="13"/>
      <c r="FTK51" s="13"/>
      <c r="FTL51" s="13"/>
      <c r="FTM51" s="13"/>
      <c r="FTN51" s="13"/>
      <c r="FTO51" s="13"/>
      <c r="FTP51" s="13"/>
      <c r="FTQ51" s="13"/>
      <c r="FTR51" s="13"/>
      <c r="FTS51" s="13"/>
      <c r="FTT51" s="13"/>
      <c r="FTU51" s="13"/>
      <c r="FTV51" s="13"/>
      <c r="FTW51" s="13"/>
      <c r="FTX51" s="13"/>
      <c r="FTY51" s="13"/>
      <c r="FTZ51" s="13"/>
      <c r="FUA51" s="13"/>
      <c r="FUB51" s="13"/>
      <c r="FUC51" s="13"/>
      <c r="FUD51" s="13"/>
      <c r="FUE51" s="13"/>
      <c r="FUF51" s="13"/>
      <c r="FUG51" s="13"/>
      <c r="FUH51" s="13"/>
      <c r="FUI51" s="13"/>
      <c r="FUJ51" s="13"/>
      <c r="FUK51" s="13"/>
      <c r="FUL51" s="13"/>
      <c r="FUM51" s="13"/>
      <c r="FUN51" s="13"/>
      <c r="FUO51" s="13"/>
      <c r="FUP51" s="13"/>
      <c r="FUQ51" s="13"/>
      <c r="FUR51" s="13"/>
      <c r="FUS51" s="13"/>
      <c r="FUT51" s="13"/>
      <c r="FUU51" s="13"/>
      <c r="FUV51" s="13"/>
      <c r="FUW51" s="13"/>
      <c r="FUX51" s="13"/>
      <c r="FUY51" s="13"/>
      <c r="FUZ51" s="13"/>
      <c r="FVA51" s="13"/>
      <c r="FVB51" s="13"/>
      <c r="FVC51" s="13"/>
      <c r="FVD51" s="13"/>
      <c r="FVE51" s="13"/>
      <c r="FVF51" s="13"/>
      <c r="FVG51" s="13"/>
      <c r="FVH51" s="13"/>
      <c r="FVI51" s="13"/>
      <c r="FVJ51" s="13"/>
      <c r="FVK51" s="13"/>
      <c r="FVL51" s="13"/>
      <c r="FVM51" s="13"/>
      <c r="FVN51" s="13"/>
      <c r="FVO51" s="13"/>
      <c r="FVP51" s="13"/>
      <c r="FVQ51" s="13"/>
      <c r="FVR51" s="13"/>
      <c r="FVS51" s="13"/>
      <c r="FVT51" s="13"/>
      <c r="FVU51" s="13"/>
      <c r="FVV51" s="13"/>
      <c r="FVW51" s="13"/>
      <c r="FVX51" s="13"/>
      <c r="FVY51" s="13"/>
      <c r="FVZ51" s="13"/>
      <c r="FWA51" s="13"/>
      <c r="FWB51" s="13"/>
      <c r="FWC51" s="13"/>
      <c r="FWD51" s="13"/>
      <c r="FWE51" s="13"/>
      <c r="FWF51" s="13"/>
      <c r="FWG51" s="13"/>
      <c r="FWH51" s="13"/>
      <c r="FWI51" s="13"/>
      <c r="FWJ51" s="13"/>
      <c r="FWK51" s="13"/>
      <c r="FWL51" s="13"/>
      <c r="FWM51" s="13"/>
      <c r="FWN51" s="13"/>
      <c r="FWO51" s="13"/>
      <c r="FWP51" s="13"/>
      <c r="FWQ51" s="13"/>
      <c r="FWR51" s="13"/>
      <c r="FWS51" s="13"/>
      <c r="FWT51" s="13"/>
      <c r="FWU51" s="13"/>
      <c r="FWV51" s="13"/>
      <c r="FWW51" s="13"/>
      <c r="FWX51" s="13"/>
      <c r="FWY51" s="13"/>
      <c r="FWZ51" s="13"/>
      <c r="FXA51" s="13"/>
      <c r="FXB51" s="13"/>
      <c r="FXC51" s="13"/>
      <c r="FXD51" s="13"/>
      <c r="FXE51" s="13"/>
      <c r="FXF51" s="13"/>
      <c r="FXG51" s="13"/>
      <c r="FXH51" s="13"/>
      <c r="FXI51" s="13"/>
      <c r="FXJ51" s="13"/>
      <c r="FXK51" s="13"/>
      <c r="FXL51" s="13"/>
      <c r="FXM51" s="13"/>
      <c r="FXN51" s="13"/>
      <c r="FXO51" s="13"/>
      <c r="FXP51" s="13"/>
      <c r="FXQ51" s="13"/>
      <c r="FXR51" s="13"/>
      <c r="FXS51" s="13"/>
      <c r="FXT51" s="13"/>
      <c r="FXU51" s="13"/>
      <c r="FXV51" s="13"/>
      <c r="FXW51" s="13"/>
      <c r="FXX51" s="13"/>
      <c r="FXY51" s="13"/>
      <c r="FXZ51" s="13"/>
      <c r="FYA51" s="13"/>
      <c r="FYB51" s="13"/>
      <c r="FYC51" s="13"/>
      <c r="FYD51" s="13"/>
      <c r="FYE51" s="13"/>
      <c r="FYF51" s="13"/>
      <c r="FYG51" s="13"/>
      <c r="FYH51" s="13"/>
      <c r="FYI51" s="13"/>
      <c r="FYJ51" s="13"/>
      <c r="FYK51" s="13"/>
      <c r="FYL51" s="13"/>
      <c r="FYM51" s="13"/>
      <c r="FYN51" s="13"/>
      <c r="FYO51" s="13"/>
      <c r="FYP51" s="13"/>
      <c r="FYQ51" s="13"/>
      <c r="FYR51" s="13"/>
      <c r="FYS51" s="13"/>
      <c r="FYT51" s="13"/>
      <c r="FYU51" s="13"/>
      <c r="FYV51" s="13"/>
      <c r="FYW51" s="13"/>
      <c r="FYX51" s="13"/>
      <c r="FYY51" s="13"/>
      <c r="FYZ51" s="13"/>
      <c r="FZA51" s="13"/>
      <c r="FZB51" s="13"/>
      <c r="FZC51" s="13"/>
      <c r="FZD51" s="13"/>
      <c r="FZE51" s="13"/>
      <c r="FZF51" s="13"/>
      <c r="FZG51" s="13"/>
      <c r="FZH51" s="13"/>
      <c r="FZI51" s="13"/>
      <c r="FZJ51" s="13"/>
      <c r="FZK51" s="13"/>
      <c r="FZL51" s="13"/>
      <c r="FZM51" s="13"/>
      <c r="FZN51" s="13"/>
      <c r="FZO51" s="13"/>
      <c r="FZP51" s="13"/>
      <c r="FZQ51" s="13"/>
      <c r="FZR51" s="13"/>
      <c r="FZS51" s="13"/>
      <c r="FZT51" s="13"/>
      <c r="FZU51" s="13"/>
      <c r="FZV51" s="13"/>
      <c r="FZW51" s="13"/>
      <c r="FZX51" s="13"/>
      <c r="FZY51" s="13"/>
      <c r="FZZ51" s="13"/>
      <c r="GAA51" s="13"/>
      <c r="GAB51" s="13"/>
      <c r="GAC51" s="13"/>
      <c r="GAD51" s="13"/>
      <c r="GAE51" s="13"/>
      <c r="GAF51" s="13"/>
      <c r="GAG51" s="13"/>
      <c r="GAH51" s="13"/>
      <c r="GAI51" s="13"/>
      <c r="GAJ51" s="13"/>
      <c r="GAK51" s="13"/>
      <c r="GAL51" s="13"/>
      <c r="GAM51" s="13"/>
      <c r="GAN51" s="13"/>
      <c r="GAO51" s="13"/>
      <c r="GAP51" s="13"/>
      <c r="GAQ51" s="13"/>
      <c r="GAR51" s="13"/>
      <c r="GAS51" s="13"/>
      <c r="GAT51" s="13"/>
      <c r="GAU51" s="13"/>
      <c r="GAV51" s="13"/>
      <c r="GAW51" s="13"/>
      <c r="GAX51" s="13"/>
      <c r="GAY51" s="13"/>
      <c r="GAZ51" s="13"/>
      <c r="GBA51" s="13"/>
      <c r="GBB51" s="13"/>
      <c r="GBC51" s="13"/>
      <c r="GBD51" s="13"/>
      <c r="GBE51" s="13"/>
      <c r="GBF51" s="13"/>
      <c r="GBG51" s="13"/>
      <c r="GBH51" s="13"/>
      <c r="GBI51" s="13"/>
      <c r="GBJ51" s="13"/>
      <c r="GBK51" s="13"/>
      <c r="GBL51" s="13"/>
      <c r="GBM51" s="13"/>
      <c r="GBN51" s="13"/>
      <c r="GBO51" s="13"/>
      <c r="GBP51" s="13"/>
      <c r="GBQ51" s="13"/>
      <c r="GBR51" s="13"/>
      <c r="GBS51" s="13"/>
      <c r="GBT51" s="13"/>
      <c r="GBU51" s="13"/>
      <c r="GBV51" s="13"/>
      <c r="GBW51" s="13"/>
      <c r="GBX51" s="13"/>
      <c r="GBY51" s="13"/>
      <c r="GBZ51" s="13"/>
      <c r="GCA51" s="13"/>
      <c r="GCB51" s="13"/>
      <c r="GCC51" s="13"/>
      <c r="GCD51" s="13"/>
      <c r="GCE51" s="13"/>
      <c r="GCF51" s="13"/>
      <c r="GCG51" s="13"/>
      <c r="GCH51" s="13"/>
      <c r="GCI51" s="13"/>
      <c r="GCJ51" s="13"/>
      <c r="GCK51" s="13"/>
      <c r="GCL51" s="13"/>
      <c r="GCM51" s="13"/>
      <c r="GCN51" s="13"/>
      <c r="GCO51" s="13"/>
      <c r="GCP51" s="13"/>
      <c r="GCQ51" s="13"/>
      <c r="GCR51" s="13"/>
      <c r="GCS51" s="13"/>
      <c r="GCT51" s="13"/>
      <c r="GCU51" s="13"/>
      <c r="GCV51" s="13"/>
      <c r="GCW51" s="13"/>
      <c r="GCX51" s="13"/>
      <c r="GCY51" s="13"/>
      <c r="GCZ51" s="13"/>
      <c r="GDA51" s="13"/>
      <c r="GDB51" s="13"/>
      <c r="GDC51" s="13"/>
      <c r="GDD51" s="13"/>
      <c r="GDE51" s="13"/>
      <c r="GDF51" s="13"/>
      <c r="GDG51" s="13"/>
      <c r="GDH51" s="13"/>
      <c r="GDI51" s="13"/>
      <c r="GDJ51" s="13"/>
      <c r="GDK51" s="13"/>
      <c r="GDL51" s="13"/>
      <c r="GDM51" s="13"/>
      <c r="GDN51" s="13"/>
      <c r="GDO51" s="13"/>
      <c r="GDP51" s="13"/>
      <c r="GDQ51" s="13"/>
      <c r="GDR51" s="13"/>
      <c r="GDS51" s="13"/>
      <c r="GDT51" s="13"/>
      <c r="GDU51" s="13"/>
      <c r="GDV51" s="13"/>
      <c r="GDW51" s="13"/>
      <c r="GDX51" s="13"/>
      <c r="GDY51" s="13"/>
      <c r="GDZ51" s="13"/>
      <c r="GEA51" s="13"/>
      <c r="GEB51" s="13"/>
      <c r="GEC51" s="13"/>
      <c r="GED51" s="13"/>
      <c r="GEE51" s="13"/>
      <c r="GEF51" s="13"/>
      <c r="GEG51" s="13"/>
      <c r="GEH51" s="13"/>
      <c r="GEI51" s="13"/>
      <c r="GEJ51" s="13"/>
      <c r="GEK51" s="13"/>
      <c r="GEL51" s="13"/>
      <c r="GEM51" s="13"/>
      <c r="GEN51" s="13"/>
      <c r="GEO51" s="13"/>
      <c r="GEP51" s="13"/>
      <c r="GEQ51" s="13"/>
      <c r="GER51" s="13"/>
      <c r="GES51" s="13"/>
      <c r="GET51" s="13"/>
      <c r="GEU51" s="13"/>
      <c r="GEV51" s="13"/>
      <c r="GEW51" s="13"/>
      <c r="GEX51" s="13"/>
      <c r="GEY51" s="13"/>
      <c r="GEZ51" s="13"/>
      <c r="GFA51" s="13"/>
      <c r="GFB51" s="13"/>
      <c r="GFC51" s="13"/>
      <c r="GFD51" s="13"/>
      <c r="GFE51" s="13"/>
      <c r="GFF51" s="13"/>
      <c r="GFG51" s="13"/>
      <c r="GFH51" s="13"/>
      <c r="GFI51" s="13"/>
      <c r="GFJ51" s="13"/>
      <c r="GFK51" s="13"/>
      <c r="GFL51" s="13"/>
      <c r="GFM51" s="13"/>
      <c r="GFN51" s="13"/>
      <c r="GFO51" s="13"/>
      <c r="GFP51" s="13"/>
      <c r="GFQ51" s="13"/>
      <c r="GFR51" s="13"/>
      <c r="GFS51" s="13"/>
      <c r="GFT51" s="13"/>
      <c r="GFU51" s="13"/>
      <c r="GFV51" s="13"/>
      <c r="GFW51" s="13"/>
      <c r="GFX51" s="13"/>
      <c r="GFY51" s="13"/>
      <c r="GFZ51" s="13"/>
      <c r="GGA51" s="13"/>
      <c r="GGB51" s="13"/>
      <c r="GGC51" s="13"/>
      <c r="GGD51" s="13"/>
      <c r="GGE51" s="13"/>
      <c r="GGF51" s="13"/>
      <c r="GGG51" s="13"/>
      <c r="GGH51" s="13"/>
      <c r="GGI51" s="13"/>
      <c r="GGJ51" s="13"/>
      <c r="GGK51" s="13"/>
      <c r="GGL51" s="13"/>
      <c r="GGM51" s="13"/>
      <c r="GGN51" s="13"/>
      <c r="GGO51" s="13"/>
      <c r="GGP51" s="13"/>
      <c r="GGQ51" s="13"/>
      <c r="GGR51" s="13"/>
      <c r="GGS51" s="13"/>
      <c r="GGT51" s="13"/>
      <c r="GGU51" s="13"/>
      <c r="GGV51" s="13"/>
      <c r="GGW51" s="13"/>
      <c r="GGX51" s="13"/>
      <c r="GGY51" s="13"/>
      <c r="GGZ51" s="13"/>
      <c r="GHA51" s="13"/>
      <c r="GHB51" s="13"/>
      <c r="GHC51" s="13"/>
      <c r="GHD51" s="13"/>
      <c r="GHE51" s="13"/>
      <c r="GHF51" s="13"/>
      <c r="GHG51" s="13"/>
      <c r="GHH51" s="13"/>
      <c r="GHI51" s="13"/>
      <c r="GHJ51" s="13"/>
      <c r="GHK51" s="13"/>
      <c r="GHL51" s="13"/>
      <c r="GHM51" s="13"/>
      <c r="GHN51" s="13"/>
      <c r="GHO51" s="13"/>
      <c r="GHP51" s="13"/>
      <c r="GHQ51" s="13"/>
      <c r="GHR51" s="13"/>
      <c r="GHS51" s="13"/>
      <c r="GHT51" s="13"/>
      <c r="GHU51" s="13"/>
      <c r="GHV51" s="13"/>
      <c r="GHW51" s="13"/>
      <c r="GHX51" s="13"/>
      <c r="GHY51" s="13"/>
      <c r="GHZ51" s="13"/>
      <c r="GIA51" s="13"/>
      <c r="GIB51" s="13"/>
      <c r="GIC51" s="13"/>
      <c r="GID51" s="13"/>
      <c r="GIE51" s="13"/>
      <c r="GIF51" s="13"/>
      <c r="GIG51" s="13"/>
      <c r="GIH51" s="13"/>
      <c r="GII51" s="13"/>
      <c r="GIJ51" s="13"/>
      <c r="GIK51" s="13"/>
      <c r="GIL51" s="13"/>
      <c r="GIM51" s="13"/>
      <c r="GIN51" s="13"/>
      <c r="GIO51" s="13"/>
      <c r="GIP51" s="13"/>
      <c r="GIQ51" s="13"/>
      <c r="GIR51" s="13"/>
      <c r="GIS51" s="13"/>
      <c r="GIT51" s="13"/>
      <c r="GIU51" s="13"/>
      <c r="GIV51" s="13"/>
      <c r="GIW51" s="13"/>
      <c r="GIX51" s="13"/>
      <c r="GIY51" s="13"/>
      <c r="GIZ51" s="13"/>
      <c r="GJA51" s="13"/>
      <c r="GJB51" s="13"/>
      <c r="GJC51" s="13"/>
      <c r="GJD51" s="13"/>
      <c r="GJE51" s="13"/>
      <c r="GJF51" s="13"/>
      <c r="GJG51" s="13"/>
      <c r="GJH51" s="13"/>
      <c r="GJI51" s="13"/>
      <c r="GJJ51" s="13"/>
      <c r="GJK51" s="13"/>
      <c r="GJL51" s="13"/>
      <c r="GJM51" s="13"/>
      <c r="GJN51" s="13"/>
      <c r="GJO51" s="13"/>
      <c r="GJP51" s="13"/>
      <c r="GJQ51" s="13"/>
      <c r="GJR51" s="13"/>
      <c r="GJS51" s="13"/>
      <c r="GJT51" s="13"/>
      <c r="GJU51" s="13"/>
      <c r="GJV51" s="13"/>
      <c r="GJW51" s="13"/>
      <c r="GJX51" s="13"/>
      <c r="GJY51" s="13"/>
      <c r="GJZ51" s="13"/>
      <c r="GKA51" s="13"/>
      <c r="GKB51" s="13"/>
      <c r="GKC51" s="13"/>
      <c r="GKD51" s="13"/>
      <c r="GKE51" s="13"/>
      <c r="GKF51" s="13"/>
      <c r="GKG51" s="13"/>
      <c r="GKH51" s="13"/>
      <c r="GKI51" s="13"/>
      <c r="GKJ51" s="13"/>
      <c r="GKK51" s="13"/>
      <c r="GKL51" s="13"/>
      <c r="GKM51" s="13"/>
      <c r="GKN51" s="13"/>
      <c r="GKO51" s="13"/>
      <c r="GKP51" s="13"/>
      <c r="GKQ51" s="13"/>
      <c r="GKR51" s="13"/>
      <c r="GKS51" s="13"/>
      <c r="GKT51" s="13"/>
      <c r="GKU51" s="13"/>
      <c r="GKV51" s="13"/>
      <c r="GKW51" s="13"/>
      <c r="GKX51" s="13"/>
      <c r="GKY51" s="13"/>
      <c r="GKZ51" s="13"/>
      <c r="GLA51" s="13"/>
      <c r="GLB51" s="13"/>
      <c r="GLC51" s="13"/>
      <c r="GLD51" s="13"/>
      <c r="GLE51" s="13"/>
      <c r="GLF51" s="13"/>
      <c r="GLG51" s="13"/>
      <c r="GLH51" s="13"/>
      <c r="GLI51" s="13"/>
      <c r="GLJ51" s="13"/>
      <c r="GLK51" s="13"/>
      <c r="GLL51" s="13"/>
      <c r="GLM51" s="13"/>
      <c r="GLN51" s="13"/>
      <c r="GLO51" s="13"/>
      <c r="GLP51" s="13"/>
      <c r="GLQ51" s="13"/>
      <c r="GLR51" s="13"/>
      <c r="GLS51" s="13"/>
      <c r="GLT51" s="13"/>
      <c r="GLU51" s="13"/>
      <c r="GLV51" s="13"/>
      <c r="GLW51" s="13"/>
      <c r="GLX51" s="13"/>
      <c r="GLY51" s="13"/>
      <c r="GLZ51" s="13"/>
      <c r="GMA51" s="13"/>
      <c r="GMB51" s="13"/>
      <c r="GMC51" s="13"/>
      <c r="GMD51" s="13"/>
      <c r="GME51" s="13"/>
      <c r="GMF51" s="13"/>
      <c r="GMG51" s="13"/>
      <c r="GMH51" s="13"/>
      <c r="GMI51" s="13"/>
      <c r="GMJ51" s="13"/>
      <c r="GMK51" s="13"/>
      <c r="GML51" s="13"/>
      <c r="GMM51" s="13"/>
      <c r="GMN51" s="13"/>
      <c r="GMO51" s="13"/>
      <c r="GMP51" s="13"/>
      <c r="GMQ51" s="13"/>
      <c r="GMR51" s="13"/>
      <c r="GMS51" s="13"/>
      <c r="GMT51" s="13"/>
      <c r="GMU51" s="13"/>
      <c r="GMV51" s="13"/>
      <c r="GMW51" s="13"/>
      <c r="GMX51" s="13"/>
      <c r="GMY51" s="13"/>
      <c r="GMZ51" s="13"/>
      <c r="GNA51" s="13"/>
      <c r="GNB51" s="13"/>
      <c r="GNC51" s="13"/>
      <c r="GND51" s="13"/>
      <c r="GNE51" s="13"/>
      <c r="GNF51" s="13"/>
      <c r="GNG51" s="13"/>
      <c r="GNH51" s="13"/>
      <c r="GNI51" s="13"/>
      <c r="GNJ51" s="13"/>
      <c r="GNK51" s="13"/>
      <c r="GNL51" s="13"/>
      <c r="GNM51" s="13"/>
      <c r="GNN51" s="13"/>
      <c r="GNO51" s="13"/>
      <c r="GNP51" s="13"/>
      <c r="GNQ51" s="13"/>
      <c r="GNR51" s="13"/>
      <c r="GNS51" s="13"/>
      <c r="GNT51" s="13"/>
      <c r="GNU51" s="13"/>
      <c r="GNV51" s="13"/>
      <c r="GNW51" s="13"/>
      <c r="GNX51" s="13"/>
      <c r="GNY51" s="13"/>
      <c r="GNZ51" s="13"/>
      <c r="GOA51" s="13"/>
      <c r="GOB51" s="13"/>
      <c r="GOC51" s="13"/>
      <c r="GOD51" s="13"/>
      <c r="GOE51" s="13"/>
      <c r="GOF51" s="13"/>
      <c r="GOG51" s="13"/>
      <c r="GOH51" s="13"/>
      <c r="GOI51" s="13"/>
      <c r="GOJ51" s="13"/>
      <c r="GOK51" s="13"/>
      <c r="GOL51" s="13"/>
      <c r="GOM51" s="13"/>
      <c r="GON51" s="13"/>
      <c r="GOO51" s="13"/>
      <c r="GOP51" s="13"/>
      <c r="GOQ51" s="13"/>
      <c r="GOR51" s="13"/>
      <c r="GOS51" s="13"/>
      <c r="GOT51" s="13"/>
      <c r="GOU51" s="13"/>
      <c r="GOV51" s="13"/>
      <c r="GOW51" s="13"/>
      <c r="GOX51" s="13"/>
      <c r="GOY51" s="13"/>
      <c r="GOZ51" s="13"/>
      <c r="GPA51" s="13"/>
      <c r="GPB51" s="13"/>
      <c r="GPC51" s="13"/>
      <c r="GPD51" s="13"/>
      <c r="GPE51" s="13"/>
      <c r="GPF51" s="13"/>
      <c r="GPG51" s="13"/>
      <c r="GPH51" s="13"/>
      <c r="GPI51" s="13"/>
      <c r="GPJ51" s="13"/>
      <c r="GPK51" s="13"/>
      <c r="GPL51" s="13"/>
      <c r="GPM51" s="13"/>
      <c r="GPN51" s="13"/>
      <c r="GPO51" s="13"/>
      <c r="GPP51" s="13"/>
      <c r="GPQ51" s="13"/>
      <c r="GPR51" s="13"/>
      <c r="GPS51" s="13"/>
      <c r="GPT51" s="13"/>
      <c r="GPU51" s="13"/>
      <c r="GPV51" s="13"/>
      <c r="GPW51" s="13"/>
      <c r="GPX51" s="13"/>
      <c r="GPY51" s="13"/>
      <c r="GPZ51" s="13"/>
      <c r="GQA51" s="13"/>
      <c r="GQB51" s="13"/>
      <c r="GQC51" s="13"/>
      <c r="GQD51" s="13"/>
      <c r="GQE51" s="13"/>
      <c r="GQF51" s="13"/>
      <c r="GQG51" s="13"/>
      <c r="GQH51" s="13"/>
      <c r="GQI51" s="13"/>
      <c r="GQJ51" s="13"/>
      <c r="GQK51" s="13"/>
      <c r="GQL51" s="13"/>
      <c r="GQM51" s="13"/>
      <c r="GQN51" s="13"/>
      <c r="GQO51" s="13"/>
      <c r="GQP51" s="13"/>
      <c r="GQQ51" s="13"/>
      <c r="GQR51" s="13"/>
      <c r="GQS51" s="13"/>
      <c r="GQT51" s="13"/>
      <c r="GQU51" s="13"/>
      <c r="GQV51" s="13"/>
      <c r="GQW51" s="13"/>
      <c r="GQX51" s="13"/>
      <c r="GQY51" s="13"/>
      <c r="GQZ51" s="13"/>
      <c r="GRA51" s="13"/>
      <c r="GRB51" s="13"/>
      <c r="GRC51" s="13"/>
      <c r="GRD51" s="13"/>
      <c r="GRE51" s="13"/>
      <c r="GRF51" s="13"/>
      <c r="GRG51" s="13"/>
      <c r="GRH51" s="13"/>
      <c r="GRI51" s="13"/>
      <c r="GRJ51" s="13"/>
      <c r="GRK51" s="13"/>
      <c r="GRL51" s="13"/>
      <c r="GRM51" s="13"/>
      <c r="GRN51" s="13"/>
      <c r="GRO51" s="13"/>
      <c r="GRP51" s="13"/>
      <c r="GRQ51" s="13"/>
      <c r="GRR51" s="13"/>
      <c r="GRS51" s="13"/>
      <c r="GRT51" s="13"/>
      <c r="GRU51" s="13"/>
      <c r="GRV51" s="13"/>
      <c r="GRW51" s="13"/>
      <c r="GRX51" s="13"/>
      <c r="GRY51" s="13"/>
      <c r="GRZ51" s="13"/>
      <c r="GSA51" s="13"/>
      <c r="GSB51" s="13"/>
      <c r="GSC51" s="13"/>
      <c r="GSD51" s="13"/>
      <c r="GSE51" s="13"/>
      <c r="GSF51" s="13"/>
      <c r="GSG51" s="13"/>
      <c r="GSH51" s="13"/>
      <c r="GSI51" s="13"/>
      <c r="GSJ51" s="13"/>
      <c r="GSK51" s="13"/>
      <c r="GSL51" s="13"/>
      <c r="GSM51" s="13"/>
      <c r="GSN51" s="13"/>
      <c r="GSO51" s="13"/>
      <c r="GSP51" s="13"/>
      <c r="GSQ51" s="13"/>
      <c r="GSR51" s="13"/>
      <c r="GSS51" s="13"/>
      <c r="GST51" s="13"/>
      <c r="GSU51" s="13"/>
      <c r="GSV51" s="13"/>
      <c r="GSW51" s="13"/>
      <c r="GSX51" s="13"/>
      <c r="GSY51" s="13"/>
      <c r="GSZ51" s="13"/>
      <c r="GTA51" s="13"/>
      <c r="GTB51" s="13"/>
      <c r="GTC51" s="13"/>
      <c r="GTD51" s="13"/>
      <c r="GTE51" s="13"/>
      <c r="GTF51" s="13"/>
      <c r="GTG51" s="13"/>
      <c r="GTH51" s="13"/>
      <c r="GTI51" s="13"/>
      <c r="GTJ51" s="13"/>
      <c r="GTK51" s="13"/>
      <c r="GTL51" s="13"/>
      <c r="GTM51" s="13"/>
      <c r="GTN51" s="13"/>
      <c r="GTO51" s="13"/>
      <c r="GTP51" s="13"/>
      <c r="GTQ51" s="13"/>
      <c r="GTR51" s="13"/>
      <c r="GTS51" s="13"/>
      <c r="GTT51" s="13"/>
      <c r="GTU51" s="13"/>
      <c r="GTV51" s="13"/>
      <c r="GTW51" s="13"/>
      <c r="GTX51" s="13"/>
      <c r="GTY51" s="13"/>
      <c r="GTZ51" s="13"/>
      <c r="GUA51" s="13"/>
      <c r="GUB51" s="13"/>
      <c r="GUC51" s="13"/>
      <c r="GUD51" s="13"/>
      <c r="GUE51" s="13"/>
      <c r="GUF51" s="13"/>
      <c r="GUG51" s="13"/>
      <c r="GUH51" s="13"/>
      <c r="GUI51" s="13"/>
      <c r="GUJ51" s="13"/>
      <c r="GUK51" s="13"/>
      <c r="GUL51" s="13"/>
      <c r="GUM51" s="13"/>
      <c r="GUN51" s="13"/>
      <c r="GUO51" s="13"/>
      <c r="GUP51" s="13"/>
      <c r="GUQ51" s="13"/>
      <c r="GUR51" s="13"/>
      <c r="GUS51" s="13"/>
      <c r="GUT51" s="13"/>
      <c r="GUU51" s="13"/>
      <c r="GUV51" s="13"/>
      <c r="GUW51" s="13"/>
      <c r="GUX51" s="13"/>
      <c r="GUY51" s="13"/>
      <c r="GUZ51" s="13"/>
      <c r="GVA51" s="13"/>
      <c r="GVB51" s="13"/>
      <c r="GVC51" s="13"/>
      <c r="GVD51" s="13"/>
      <c r="GVE51" s="13"/>
      <c r="GVF51" s="13"/>
      <c r="GVG51" s="13"/>
      <c r="GVH51" s="13"/>
      <c r="GVI51" s="13"/>
      <c r="GVJ51" s="13"/>
      <c r="GVK51" s="13"/>
      <c r="GVL51" s="13"/>
      <c r="GVM51" s="13"/>
      <c r="GVN51" s="13"/>
      <c r="GVO51" s="13"/>
      <c r="GVP51" s="13"/>
      <c r="GVQ51" s="13"/>
      <c r="GVR51" s="13"/>
      <c r="GVS51" s="13"/>
      <c r="GVT51" s="13"/>
      <c r="GVU51" s="13"/>
      <c r="GVV51" s="13"/>
      <c r="GVW51" s="13"/>
      <c r="GVX51" s="13"/>
      <c r="GVY51" s="13"/>
      <c r="GVZ51" s="13"/>
      <c r="GWA51" s="13"/>
      <c r="GWB51" s="13"/>
      <c r="GWC51" s="13"/>
      <c r="GWD51" s="13"/>
      <c r="GWE51" s="13"/>
      <c r="GWF51" s="13"/>
      <c r="GWG51" s="13"/>
      <c r="GWH51" s="13"/>
      <c r="GWI51" s="13"/>
      <c r="GWJ51" s="13"/>
      <c r="GWK51" s="13"/>
      <c r="GWL51" s="13"/>
      <c r="GWM51" s="13"/>
      <c r="GWN51" s="13"/>
      <c r="GWO51" s="13"/>
      <c r="GWP51" s="13"/>
      <c r="GWQ51" s="13"/>
      <c r="GWR51" s="13"/>
      <c r="GWS51" s="13"/>
      <c r="GWT51" s="13"/>
      <c r="GWU51" s="13"/>
      <c r="GWV51" s="13"/>
      <c r="GWW51" s="13"/>
      <c r="GWX51" s="13"/>
      <c r="GWY51" s="13"/>
      <c r="GWZ51" s="13"/>
      <c r="GXA51" s="13"/>
      <c r="GXB51" s="13"/>
      <c r="GXC51" s="13"/>
      <c r="GXD51" s="13"/>
      <c r="GXE51" s="13"/>
      <c r="GXF51" s="13"/>
      <c r="GXG51" s="13"/>
      <c r="GXH51" s="13"/>
      <c r="GXI51" s="13"/>
      <c r="GXJ51" s="13"/>
      <c r="GXK51" s="13"/>
      <c r="GXL51" s="13"/>
      <c r="GXM51" s="13"/>
      <c r="GXN51" s="13"/>
      <c r="GXO51" s="13"/>
      <c r="GXP51" s="13"/>
      <c r="GXQ51" s="13"/>
      <c r="GXR51" s="13"/>
      <c r="GXS51" s="13"/>
      <c r="GXT51" s="13"/>
      <c r="GXU51" s="13"/>
      <c r="GXV51" s="13"/>
      <c r="GXW51" s="13"/>
      <c r="GXX51" s="13"/>
      <c r="GXY51" s="13"/>
      <c r="GXZ51" s="13"/>
      <c r="GYA51" s="13"/>
      <c r="GYB51" s="13"/>
      <c r="GYC51" s="13"/>
      <c r="GYD51" s="13"/>
      <c r="GYE51" s="13"/>
      <c r="GYF51" s="13"/>
      <c r="GYG51" s="13"/>
      <c r="GYH51" s="13"/>
      <c r="GYI51" s="13"/>
      <c r="GYJ51" s="13"/>
      <c r="GYK51" s="13"/>
      <c r="GYL51" s="13"/>
      <c r="GYM51" s="13"/>
      <c r="GYN51" s="13"/>
      <c r="GYO51" s="13"/>
      <c r="GYP51" s="13"/>
      <c r="GYQ51" s="13"/>
      <c r="GYR51" s="13"/>
      <c r="GYS51" s="13"/>
      <c r="GYT51" s="13"/>
      <c r="GYU51" s="13"/>
      <c r="GYV51" s="13"/>
      <c r="GYW51" s="13"/>
      <c r="GYX51" s="13"/>
      <c r="GYY51" s="13"/>
      <c r="GYZ51" s="13"/>
      <c r="GZA51" s="13"/>
      <c r="GZB51" s="13"/>
      <c r="GZC51" s="13"/>
      <c r="GZD51" s="13"/>
      <c r="GZE51" s="13"/>
      <c r="GZF51" s="13"/>
      <c r="GZG51" s="13"/>
      <c r="GZH51" s="13"/>
      <c r="GZI51" s="13"/>
      <c r="GZJ51" s="13"/>
      <c r="GZK51" s="13"/>
      <c r="GZL51" s="13"/>
      <c r="GZM51" s="13"/>
      <c r="GZN51" s="13"/>
      <c r="GZO51" s="13"/>
      <c r="GZP51" s="13"/>
      <c r="GZQ51" s="13"/>
      <c r="GZR51" s="13"/>
      <c r="GZS51" s="13"/>
      <c r="GZT51" s="13"/>
      <c r="GZU51" s="13"/>
      <c r="GZV51" s="13"/>
      <c r="GZW51" s="13"/>
      <c r="GZX51" s="13"/>
      <c r="GZY51" s="13"/>
      <c r="GZZ51" s="13"/>
      <c r="HAA51" s="13"/>
      <c r="HAB51" s="13"/>
      <c r="HAC51" s="13"/>
      <c r="HAD51" s="13"/>
      <c r="HAE51" s="13"/>
      <c r="HAF51" s="13"/>
      <c r="HAG51" s="13"/>
      <c r="HAH51" s="13"/>
      <c r="HAI51" s="13"/>
      <c r="HAJ51" s="13"/>
      <c r="HAK51" s="13"/>
      <c r="HAL51" s="13"/>
      <c r="HAM51" s="13"/>
      <c r="HAN51" s="13"/>
      <c r="HAO51" s="13"/>
      <c r="HAP51" s="13"/>
      <c r="HAQ51" s="13"/>
      <c r="HAR51" s="13"/>
      <c r="HAS51" s="13"/>
      <c r="HAT51" s="13"/>
      <c r="HAU51" s="13"/>
      <c r="HAV51" s="13"/>
      <c r="HAW51" s="13"/>
      <c r="HAX51" s="13"/>
      <c r="HAY51" s="13"/>
      <c r="HAZ51" s="13"/>
      <c r="HBA51" s="13"/>
      <c r="HBB51" s="13"/>
      <c r="HBC51" s="13"/>
      <c r="HBD51" s="13"/>
      <c r="HBE51" s="13"/>
      <c r="HBF51" s="13"/>
      <c r="HBG51" s="13"/>
      <c r="HBH51" s="13"/>
      <c r="HBI51" s="13"/>
      <c r="HBJ51" s="13"/>
      <c r="HBK51" s="13"/>
      <c r="HBL51" s="13"/>
      <c r="HBM51" s="13"/>
      <c r="HBN51" s="13"/>
      <c r="HBO51" s="13"/>
      <c r="HBP51" s="13"/>
      <c r="HBQ51" s="13"/>
      <c r="HBR51" s="13"/>
      <c r="HBS51" s="13"/>
      <c r="HBT51" s="13"/>
      <c r="HBU51" s="13"/>
      <c r="HBV51" s="13"/>
      <c r="HBW51" s="13"/>
      <c r="HBX51" s="13"/>
      <c r="HBY51" s="13"/>
      <c r="HBZ51" s="13"/>
      <c r="HCA51" s="13"/>
      <c r="HCB51" s="13"/>
      <c r="HCC51" s="13"/>
      <c r="HCD51" s="13"/>
      <c r="HCE51" s="13"/>
      <c r="HCF51" s="13"/>
      <c r="HCG51" s="13"/>
      <c r="HCH51" s="13"/>
      <c r="HCI51" s="13"/>
      <c r="HCJ51" s="13"/>
      <c r="HCK51" s="13"/>
      <c r="HCL51" s="13"/>
      <c r="HCM51" s="13"/>
      <c r="HCN51" s="13"/>
      <c r="HCO51" s="13"/>
      <c r="HCP51" s="13"/>
      <c r="HCQ51" s="13"/>
      <c r="HCR51" s="13"/>
      <c r="HCS51" s="13"/>
      <c r="HCT51" s="13"/>
      <c r="HCU51" s="13"/>
      <c r="HCV51" s="13"/>
      <c r="HCW51" s="13"/>
      <c r="HCX51" s="13"/>
      <c r="HCY51" s="13"/>
      <c r="HCZ51" s="13"/>
      <c r="HDA51" s="13"/>
      <c r="HDB51" s="13"/>
      <c r="HDC51" s="13"/>
      <c r="HDD51" s="13"/>
      <c r="HDE51" s="13"/>
      <c r="HDF51" s="13"/>
      <c r="HDG51" s="13"/>
      <c r="HDH51" s="13"/>
      <c r="HDI51" s="13"/>
      <c r="HDJ51" s="13"/>
      <c r="HDK51" s="13"/>
      <c r="HDL51" s="13"/>
      <c r="HDM51" s="13"/>
      <c r="HDN51" s="13"/>
      <c r="HDO51" s="13"/>
      <c r="HDP51" s="13"/>
      <c r="HDQ51" s="13"/>
      <c r="HDR51" s="13"/>
      <c r="HDS51" s="13"/>
      <c r="HDT51" s="13"/>
      <c r="HDU51" s="13"/>
      <c r="HDV51" s="13"/>
      <c r="HDW51" s="13"/>
      <c r="HDX51" s="13"/>
      <c r="HDY51" s="13"/>
      <c r="HDZ51" s="13"/>
      <c r="HEA51" s="13"/>
      <c r="HEB51" s="13"/>
      <c r="HEC51" s="13"/>
      <c r="HED51" s="13"/>
      <c r="HEE51" s="13"/>
      <c r="HEF51" s="13"/>
      <c r="HEG51" s="13"/>
      <c r="HEH51" s="13"/>
      <c r="HEI51" s="13"/>
      <c r="HEJ51" s="13"/>
      <c r="HEK51" s="13"/>
      <c r="HEL51" s="13"/>
      <c r="HEM51" s="13"/>
      <c r="HEN51" s="13"/>
      <c r="HEO51" s="13"/>
      <c r="HEP51" s="13"/>
      <c r="HEQ51" s="13"/>
      <c r="HER51" s="13"/>
      <c r="HES51" s="13"/>
      <c r="HET51" s="13"/>
      <c r="HEU51" s="13"/>
      <c r="HEV51" s="13"/>
      <c r="HEW51" s="13"/>
      <c r="HEX51" s="13"/>
      <c r="HEY51" s="13"/>
      <c r="HEZ51" s="13"/>
      <c r="HFA51" s="13"/>
      <c r="HFB51" s="13"/>
      <c r="HFC51" s="13"/>
      <c r="HFD51" s="13"/>
      <c r="HFE51" s="13"/>
      <c r="HFF51" s="13"/>
      <c r="HFG51" s="13"/>
      <c r="HFH51" s="13"/>
      <c r="HFI51" s="13"/>
      <c r="HFJ51" s="13"/>
      <c r="HFK51" s="13"/>
      <c r="HFL51" s="13"/>
      <c r="HFM51" s="13"/>
      <c r="HFN51" s="13"/>
      <c r="HFO51" s="13"/>
      <c r="HFP51" s="13"/>
      <c r="HFQ51" s="13"/>
      <c r="HFR51" s="13"/>
      <c r="HFS51" s="13"/>
      <c r="HFT51" s="13"/>
      <c r="HFU51" s="13"/>
      <c r="HFV51" s="13"/>
      <c r="HFW51" s="13"/>
      <c r="HFX51" s="13"/>
      <c r="HFY51" s="13"/>
      <c r="HFZ51" s="13"/>
      <c r="HGA51" s="13"/>
      <c r="HGB51" s="13"/>
      <c r="HGC51" s="13"/>
      <c r="HGD51" s="13"/>
      <c r="HGE51" s="13"/>
      <c r="HGF51" s="13"/>
      <c r="HGG51" s="13"/>
      <c r="HGH51" s="13"/>
      <c r="HGI51" s="13"/>
      <c r="HGJ51" s="13"/>
      <c r="HGK51" s="13"/>
      <c r="HGL51" s="13"/>
      <c r="HGM51" s="13"/>
      <c r="HGN51" s="13"/>
      <c r="HGO51" s="13"/>
      <c r="HGP51" s="13"/>
      <c r="HGQ51" s="13"/>
      <c r="HGR51" s="13"/>
      <c r="HGS51" s="13"/>
      <c r="HGT51" s="13"/>
      <c r="HGU51" s="13"/>
      <c r="HGV51" s="13"/>
      <c r="HGW51" s="13"/>
      <c r="HGX51" s="13"/>
      <c r="HGY51" s="13"/>
      <c r="HGZ51" s="13"/>
      <c r="HHA51" s="13"/>
      <c r="HHB51" s="13"/>
      <c r="HHC51" s="13"/>
      <c r="HHD51" s="13"/>
      <c r="HHE51" s="13"/>
      <c r="HHF51" s="13"/>
      <c r="HHG51" s="13"/>
      <c r="HHH51" s="13"/>
      <c r="HHI51" s="13"/>
      <c r="HHJ51" s="13"/>
      <c r="HHK51" s="13"/>
      <c r="HHL51" s="13"/>
      <c r="HHM51" s="13"/>
      <c r="HHN51" s="13"/>
      <c r="HHO51" s="13"/>
      <c r="HHP51" s="13"/>
      <c r="HHQ51" s="13"/>
      <c r="HHR51" s="13"/>
      <c r="HHS51" s="13"/>
      <c r="HHT51" s="13"/>
      <c r="HHU51" s="13"/>
      <c r="HHV51" s="13"/>
      <c r="HHW51" s="13"/>
      <c r="HHX51" s="13"/>
      <c r="HHY51" s="13"/>
      <c r="HHZ51" s="13"/>
      <c r="HIA51" s="13"/>
      <c r="HIB51" s="13"/>
      <c r="HIC51" s="13"/>
      <c r="HID51" s="13"/>
      <c r="HIE51" s="13"/>
      <c r="HIF51" s="13"/>
      <c r="HIG51" s="13"/>
      <c r="HIH51" s="13"/>
      <c r="HII51" s="13"/>
      <c r="HIJ51" s="13"/>
      <c r="HIK51" s="13"/>
      <c r="HIL51" s="13"/>
      <c r="HIM51" s="13"/>
      <c r="HIN51" s="13"/>
      <c r="HIO51" s="13"/>
      <c r="HIP51" s="13"/>
      <c r="HIQ51" s="13"/>
      <c r="HIR51" s="13"/>
      <c r="HIS51" s="13"/>
      <c r="HIT51" s="13"/>
      <c r="HIU51" s="13"/>
      <c r="HIV51" s="13"/>
      <c r="HIW51" s="13"/>
      <c r="HIX51" s="13"/>
      <c r="HIY51" s="13"/>
      <c r="HIZ51" s="13"/>
      <c r="HJA51" s="13"/>
      <c r="HJB51" s="13"/>
      <c r="HJC51" s="13"/>
      <c r="HJD51" s="13"/>
      <c r="HJE51" s="13"/>
      <c r="HJF51" s="13"/>
      <c r="HJG51" s="13"/>
      <c r="HJH51" s="13"/>
      <c r="HJI51" s="13"/>
      <c r="HJJ51" s="13"/>
      <c r="HJK51" s="13"/>
      <c r="HJL51" s="13"/>
      <c r="HJM51" s="13"/>
      <c r="HJN51" s="13"/>
      <c r="HJO51" s="13"/>
      <c r="HJP51" s="13"/>
      <c r="HJQ51" s="13"/>
      <c r="HJR51" s="13"/>
      <c r="HJS51" s="13"/>
      <c r="HJT51" s="13"/>
      <c r="HJU51" s="13"/>
      <c r="HJV51" s="13"/>
      <c r="HJW51" s="13"/>
      <c r="HJX51" s="13"/>
      <c r="HJY51" s="13"/>
      <c r="HJZ51" s="13"/>
      <c r="HKA51" s="13"/>
      <c r="HKB51" s="13"/>
      <c r="HKC51" s="13"/>
      <c r="HKD51" s="13"/>
      <c r="HKE51" s="13"/>
      <c r="HKF51" s="13"/>
      <c r="HKG51" s="13"/>
      <c r="HKH51" s="13"/>
      <c r="HKI51" s="13"/>
      <c r="HKJ51" s="13"/>
      <c r="HKK51" s="13"/>
      <c r="HKL51" s="13"/>
      <c r="HKM51" s="13"/>
      <c r="HKN51" s="13"/>
      <c r="HKO51" s="13"/>
      <c r="HKP51" s="13"/>
      <c r="HKQ51" s="13"/>
      <c r="HKR51" s="13"/>
      <c r="HKS51" s="13"/>
      <c r="HKT51" s="13"/>
      <c r="HKU51" s="13"/>
      <c r="HKV51" s="13"/>
      <c r="HKW51" s="13"/>
      <c r="HKX51" s="13"/>
      <c r="HKY51" s="13"/>
      <c r="HKZ51" s="13"/>
      <c r="HLA51" s="13"/>
      <c r="HLB51" s="13"/>
      <c r="HLC51" s="13"/>
      <c r="HLD51" s="13"/>
      <c r="HLE51" s="13"/>
      <c r="HLF51" s="13"/>
      <c r="HLG51" s="13"/>
      <c r="HLH51" s="13"/>
      <c r="HLI51" s="13"/>
      <c r="HLJ51" s="13"/>
      <c r="HLK51" s="13"/>
      <c r="HLL51" s="13"/>
      <c r="HLM51" s="13"/>
      <c r="HLN51" s="13"/>
      <c r="HLO51" s="13"/>
      <c r="HLP51" s="13"/>
      <c r="HLQ51" s="13"/>
      <c r="HLR51" s="13"/>
      <c r="HLS51" s="13"/>
      <c r="HLT51" s="13"/>
      <c r="HLU51" s="13"/>
      <c r="HLV51" s="13"/>
      <c r="HLW51" s="13"/>
      <c r="HLX51" s="13"/>
      <c r="HLY51" s="13"/>
      <c r="HLZ51" s="13"/>
      <c r="HMA51" s="13"/>
      <c r="HMB51" s="13"/>
      <c r="HMC51" s="13"/>
      <c r="HMD51" s="13"/>
      <c r="HME51" s="13"/>
      <c r="HMF51" s="13"/>
      <c r="HMG51" s="13"/>
      <c r="HMH51" s="13"/>
      <c r="HMI51" s="13"/>
      <c r="HMJ51" s="13"/>
      <c r="HMK51" s="13"/>
      <c r="HML51" s="13"/>
      <c r="HMM51" s="13"/>
      <c r="HMN51" s="13"/>
      <c r="HMO51" s="13"/>
      <c r="HMP51" s="13"/>
      <c r="HMQ51" s="13"/>
      <c r="HMR51" s="13"/>
      <c r="HMS51" s="13"/>
      <c r="HMT51" s="13"/>
      <c r="HMU51" s="13"/>
      <c r="HMV51" s="13"/>
      <c r="HMW51" s="13"/>
      <c r="HMX51" s="13"/>
      <c r="HMY51" s="13"/>
      <c r="HMZ51" s="13"/>
      <c r="HNA51" s="13"/>
      <c r="HNB51" s="13"/>
      <c r="HNC51" s="13"/>
      <c r="HND51" s="13"/>
      <c r="HNE51" s="13"/>
      <c r="HNF51" s="13"/>
      <c r="HNG51" s="13"/>
      <c r="HNH51" s="13"/>
      <c r="HNI51" s="13"/>
      <c r="HNJ51" s="13"/>
      <c r="HNK51" s="13"/>
      <c r="HNL51" s="13"/>
      <c r="HNM51" s="13"/>
      <c r="HNN51" s="13"/>
      <c r="HNO51" s="13"/>
      <c r="HNP51" s="13"/>
      <c r="HNQ51" s="13"/>
      <c r="HNR51" s="13"/>
      <c r="HNS51" s="13"/>
      <c r="HNT51" s="13"/>
      <c r="HNU51" s="13"/>
      <c r="HNV51" s="13"/>
      <c r="HNW51" s="13"/>
      <c r="HNX51" s="13"/>
      <c r="HNY51" s="13"/>
      <c r="HNZ51" s="13"/>
      <c r="HOA51" s="13"/>
      <c r="HOB51" s="13"/>
      <c r="HOC51" s="13"/>
      <c r="HOD51" s="13"/>
      <c r="HOE51" s="13"/>
      <c r="HOF51" s="13"/>
      <c r="HOG51" s="13"/>
      <c r="HOH51" s="13"/>
      <c r="HOI51" s="13"/>
      <c r="HOJ51" s="13"/>
      <c r="HOK51" s="13"/>
      <c r="HOL51" s="13"/>
      <c r="HOM51" s="13"/>
      <c r="HON51" s="13"/>
      <c r="HOO51" s="13"/>
      <c r="HOP51" s="13"/>
      <c r="HOQ51" s="13"/>
      <c r="HOR51" s="13"/>
      <c r="HOS51" s="13"/>
      <c r="HOT51" s="13"/>
      <c r="HOU51" s="13"/>
      <c r="HOV51" s="13"/>
      <c r="HOW51" s="13"/>
      <c r="HOX51" s="13"/>
      <c r="HOY51" s="13"/>
      <c r="HOZ51" s="13"/>
      <c r="HPA51" s="13"/>
      <c r="HPB51" s="13"/>
      <c r="HPC51" s="13"/>
      <c r="HPD51" s="13"/>
      <c r="HPE51" s="13"/>
      <c r="HPF51" s="13"/>
      <c r="HPG51" s="13"/>
      <c r="HPH51" s="13"/>
      <c r="HPI51" s="13"/>
      <c r="HPJ51" s="13"/>
      <c r="HPK51" s="13"/>
      <c r="HPL51" s="13"/>
      <c r="HPM51" s="13"/>
      <c r="HPN51" s="13"/>
      <c r="HPO51" s="13"/>
      <c r="HPP51" s="13"/>
      <c r="HPQ51" s="13"/>
      <c r="HPR51" s="13"/>
      <c r="HPS51" s="13"/>
      <c r="HPT51" s="13"/>
      <c r="HPU51" s="13"/>
      <c r="HPV51" s="13"/>
      <c r="HPW51" s="13"/>
      <c r="HPX51" s="13"/>
      <c r="HPY51" s="13"/>
      <c r="HPZ51" s="13"/>
      <c r="HQA51" s="13"/>
      <c r="HQB51" s="13"/>
      <c r="HQC51" s="13"/>
      <c r="HQD51" s="13"/>
      <c r="HQE51" s="13"/>
      <c r="HQF51" s="13"/>
      <c r="HQG51" s="13"/>
      <c r="HQH51" s="13"/>
      <c r="HQI51" s="13"/>
      <c r="HQJ51" s="13"/>
      <c r="HQK51" s="13"/>
      <c r="HQL51" s="13"/>
      <c r="HQM51" s="13"/>
      <c r="HQN51" s="13"/>
      <c r="HQO51" s="13"/>
      <c r="HQP51" s="13"/>
      <c r="HQQ51" s="13"/>
      <c r="HQR51" s="13"/>
      <c r="HQS51" s="13"/>
      <c r="HQT51" s="13"/>
      <c r="HQU51" s="13"/>
      <c r="HQV51" s="13"/>
      <c r="HQW51" s="13"/>
      <c r="HQX51" s="13"/>
      <c r="HQY51" s="13"/>
      <c r="HQZ51" s="13"/>
      <c r="HRA51" s="13"/>
      <c r="HRB51" s="13"/>
      <c r="HRC51" s="13"/>
      <c r="HRD51" s="13"/>
      <c r="HRE51" s="13"/>
      <c r="HRF51" s="13"/>
      <c r="HRG51" s="13"/>
      <c r="HRH51" s="13"/>
      <c r="HRI51" s="13"/>
      <c r="HRJ51" s="13"/>
      <c r="HRK51" s="13"/>
      <c r="HRL51" s="13"/>
      <c r="HRM51" s="13"/>
      <c r="HRN51" s="13"/>
      <c r="HRO51" s="13"/>
      <c r="HRP51" s="13"/>
      <c r="HRQ51" s="13"/>
      <c r="HRR51" s="13"/>
      <c r="HRS51" s="13"/>
      <c r="HRT51" s="13"/>
      <c r="HRU51" s="13"/>
      <c r="HRV51" s="13"/>
      <c r="HRW51" s="13"/>
      <c r="HRX51" s="13"/>
      <c r="HRY51" s="13"/>
      <c r="HRZ51" s="13"/>
      <c r="HSA51" s="13"/>
      <c r="HSB51" s="13"/>
      <c r="HSC51" s="13"/>
      <c r="HSD51" s="13"/>
      <c r="HSE51" s="13"/>
      <c r="HSF51" s="13"/>
      <c r="HSG51" s="13"/>
      <c r="HSH51" s="13"/>
      <c r="HSI51" s="13"/>
      <c r="HSJ51" s="13"/>
      <c r="HSK51" s="13"/>
      <c r="HSL51" s="13"/>
      <c r="HSM51" s="13"/>
      <c r="HSN51" s="13"/>
      <c r="HSO51" s="13"/>
      <c r="HSP51" s="13"/>
      <c r="HSQ51" s="13"/>
      <c r="HSR51" s="13"/>
      <c r="HSS51" s="13"/>
      <c r="HST51" s="13"/>
      <c r="HSU51" s="13"/>
      <c r="HSV51" s="13"/>
      <c r="HSW51" s="13"/>
      <c r="HSX51" s="13"/>
      <c r="HSY51" s="13"/>
      <c r="HSZ51" s="13"/>
      <c r="HTA51" s="13"/>
      <c r="HTB51" s="13"/>
      <c r="HTC51" s="13"/>
      <c r="HTD51" s="13"/>
      <c r="HTE51" s="13"/>
      <c r="HTF51" s="13"/>
      <c r="HTG51" s="13"/>
      <c r="HTH51" s="13"/>
      <c r="HTI51" s="13"/>
      <c r="HTJ51" s="13"/>
      <c r="HTK51" s="13"/>
      <c r="HTL51" s="13"/>
      <c r="HTM51" s="13"/>
      <c r="HTN51" s="13"/>
      <c r="HTO51" s="13"/>
      <c r="HTP51" s="13"/>
      <c r="HTQ51" s="13"/>
      <c r="HTR51" s="13"/>
      <c r="HTS51" s="13"/>
      <c r="HTT51" s="13"/>
      <c r="HTU51" s="13"/>
      <c r="HTV51" s="13"/>
      <c r="HTW51" s="13"/>
      <c r="HTX51" s="13"/>
      <c r="HTY51" s="13"/>
      <c r="HTZ51" s="13"/>
      <c r="HUA51" s="13"/>
      <c r="HUB51" s="13"/>
      <c r="HUC51" s="13"/>
      <c r="HUD51" s="13"/>
      <c r="HUE51" s="13"/>
      <c r="HUF51" s="13"/>
      <c r="HUG51" s="13"/>
      <c r="HUH51" s="13"/>
      <c r="HUI51" s="13"/>
      <c r="HUJ51" s="13"/>
      <c r="HUK51" s="13"/>
      <c r="HUL51" s="13"/>
      <c r="HUM51" s="13"/>
      <c r="HUN51" s="13"/>
      <c r="HUO51" s="13"/>
      <c r="HUP51" s="13"/>
      <c r="HUQ51" s="13"/>
      <c r="HUR51" s="13"/>
      <c r="HUS51" s="13"/>
      <c r="HUT51" s="13"/>
      <c r="HUU51" s="13"/>
      <c r="HUV51" s="13"/>
      <c r="HUW51" s="13"/>
      <c r="HUX51" s="13"/>
      <c r="HUY51" s="13"/>
      <c r="HUZ51" s="13"/>
      <c r="HVA51" s="13"/>
      <c r="HVB51" s="13"/>
      <c r="HVC51" s="13"/>
      <c r="HVD51" s="13"/>
      <c r="HVE51" s="13"/>
      <c r="HVF51" s="13"/>
      <c r="HVG51" s="13"/>
      <c r="HVH51" s="13"/>
      <c r="HVI51" s="13"/>
      <c r="HVJ51" s="13"/>
      <c r="HVK51" s="13"/>
      <c r="HVL51" s="13"/>
      <c r="HVM51" s="13"/>
      <c r="HVN51" s="13"/>
      <c r="HVO51" s="13"/>
      <c r="HVP51" s="13"/>
      <c r="HVQ51" s="13"/>
      <c r="HVR51" s="13"/>
      <c r="HVS51" s="13"/>
      <c r="HVT51" s="13"/>
      <c r="HVU51" s="13"/>
      <c r="HVV51" s="13"/>
      <c r="HVW51" s="13"/>
      <c r="HVX51" s="13"/>
      <c r="HVY51" s="13"/>
      <c r="HVZ51" s="13"/>
      <c r="HWA51" s="13"/>
      <c r="HWB51" s="13"/>
      <c r="HWC51" s="13"/>
      <c r="HWD51" s="13"/>
      <c r="HWE51" s="13"/>
      <c r="HWF51" s="13"/>
      <c r="HWG51" s="13"/>
      <c r="HWH51" s="13"/>
      <c r="HWI51" s="13"/>
      <c r="HWJ51" s="13"/>
      <c r="HWK51" s="13"/>
      <c r="HWL51" s="13"/>
      <c r="HWM51" s="13"/>
      <c r="HWN51" s="13"/>
      <c r="HWO51" s="13"/>
      <c r="HWP51" s="13"/>
      <c r="HWQ51" s="13"/>
      <c r="HWR51" s="13"/>
      <c r="HWS51" s="13"/>
      <c r="HWT51" s="13"/>
      <c r="HWU51" s="13"/>
      <c r="HWV51" s="13"/>
      <c r="HWW51" s="13"/>
      <c r="HWX51" s="13"/>
      <c r="HWY51" s="13"/>
      <c r="HWZ51" s="13"/>
      <c r="HXA51" s="13"/>
      <c r="HXB51" s="13"/>
      <c r="HXC51" s="13"/>
      <c r="HXD51" s="13"/>
      <c r="HXE51" s="13"/>
      <c r="HXF51" s="13"/>
      <c r="HXG51" s="13"/>
      <c r="HXH51" s="13"/>
      <c r="HXI51" s="13"/>
      <c r="HXJ51" s="13"/>
      <c r="HXK51" s="13"/>
      <c r="HXL51" s="13"/>
      <c r="HXM51" s="13"/>
      <c r="HXN51" s="13"/>
      <c r="HXO51" s="13"/>
      <c r="HXP51" s="13"/>
      <c r="HXQ51" s="13"/>
      <c r="HXR51" s="13"/>
      <c r="HXS51" s="13"/>
      <c r="HXT51" s="13"/>
      <c r="HXU51" s="13"/>
      <c r="HXV51" s="13"/>
      <c r="HXW51" s="13"/>
      <c r="HXX51" s="13"/>
      <c r="HXY51" s="13"/>
      <c r="HXZ51" s="13"/>
      <c r="HYA51" s="13"/>
      <c r="HYB51" s="13"/>
      <c r="HYC51" s="13"/>
      <c r="HYD51" s="13"/>
      <c r="HYE51" s="13"/>
      <c r="HYF51" s="13"/>
      <c r="HYG51" s="13"/>
      <c r="HYH51" s="13"/>
      <c r="HYI51" s="13"/>
      <c r="HYJ51" s="13"/>
      <c r="HYK51" s="13"/>
      <c r="HYL51" s="13"/>
      <c r="HYM51" s="13"/>
      <c r="HYN51" s="13"/>
      <c r="HYO51" s="13"/>
      <c r="HYP51" s="13"/>
      <c r="HYQ51" s="13"/>
      <c r="HYR51" s="13"/>
      <c r="HYS51" s="13"/>
      <c r="HYT51" s="13"/>
      <c r="HYU51" s="13"/>
      <c r="HYV51" s="13"/>
      <c r="HYW51" s="13"/>
      <c r="HYX51" s="13"/>
      <c r="HYY51" s="13"/>
      <c r="HYZ51" s="13"/>
      <c r="HZA51" s="13"/>
      <c r="HZB51" s="13"/>
      <c r="HZC51" s="13"/>
      <c r="HZD51" s="13"/>
      <c r="HZE51" s="13"/>
      <c r="HZF51" s="13"/>
      <c r="HZG51" s="13"/>
      <c r="HZH51" s="13"/>
      <c r="HZI51" s="13"/>
      <c r="HZJ51" s="13"/>
      <c r="HZK51" s="13"/>
      <c r="HZL51" s="13"/>
      <c r="HZM51" s="13"/>
      <c r="HZN51" s="13"/>
      <c r="HZO51" s="13"/>
      <c r="HZP51" s="13"/>
      <c r="HZQ51" s="13"/>
      <c r="HZR51" s="13"/>
      <c r="HZS51" s="13"/>
      <c r="HZT51" s="13"/>
      <c r="HZU51" s="13"/>
      <c r="HZV51" s="13"/>
      <c r="HZW51" s="13"/>
      <c r="HZX51" s="13"/>
      <c r="HZY51" s="13"/>
      <c r="HZZ51" s="13"/>
      <c r="IAA51" s="13"/>
      <c r="IAB51" s="13"/>
      <c r="IAC51" s="13"/>
      <c r="IAD51" s="13"/>
      <c r="IAE51" s="13"/>
      <c r="IAF51" s="13"/>
      <c r="IAG51" s="13"/>
      <c r="IAH51" s="13"/>
      <c r="IAI51" s="13"/>
      <c r="IAJ51" s="13"/>
      <c r="IAK51" s="13"/>
      <c r="IAL51" s="13"/>
      <c r="IAM51" s="13"/>
      <c r="IAN51" s="13"/>
      <c r="IAO51" s="13"/>
      <c r="IAP51" s="13"/>
      <c r="IAQ51" s="13"/>
      <c r="IAR51" s="13"/>
      <c r="IAS51" s="13"/>
      <c r="IAT51" s="13"/>
      <c r="IAU51" s="13"/>
      <c r="IAV51" s="13"/>
      <c r="IAW51" s="13"/>
      <c r="IAX51" s="13"/>
      <c r="IAY51" s="13"/>
      <c r="IAZ51" s="13"/>
      <c r="IBA51" s="13"/>
      <c r="IBB51" s="13"/>
      <c r="IBC51" s="13"/>
      <c r="IBD51" s="13"/>
      <c r="IBE51" s="13"/>
      <c r="IBF51" s="13"/>
      <c r="IBG51" s="13"/>
      <c r="IBH51" s="13"/>
      <c r="IBI51" s="13"/>
      <c r="IBJ51" s="13"/>
      <c r="IBK51" s="13"/>
      <c r="IBL51" s="13"/>
      <c r="IBM51" s="13"/>
      <c r="IBN51" s="13"/>
      <c r="IBO51" s="13"/>
      <c r="IBP51" s="13"/>
      <c r="IBQ51" s="13"/>
      <c r="IBR51" s="13"/>
      <c r="IBS51" s="13"/>
      <c r="IBT51" s="13"/>
      <c r="IBU51" s="13"/>
      <c r="IBV51" s="13"/>
      <c r="IBW51" s="13"/>
      <c r="IBX51" s="13"/>
      <c r="IBY51" s="13"/>
      <c r="IBZ51" s="13"/>
      <c r="ICA51" s="13"/>
      <c r="ICB51" s="13"/>
      <c r="ICC51" s="13"/>
      <c r="ICD51" s="13"/>
      <c r="ICE51" s="13"/>
      <c r="ICF51" s="13"/>
      <c r="ICG51" s="13"/>
      <c r="ICH51" s="13"/>
      <c r="ICI51" s="13"/>
      <c r="ICJ51" s="13"/>
      <c r="ICK51" s="13"/>
      <c r="ICL51" s="13"/>
      <c r="ICM51" s="13"/>
      <c r="ICN51" s="13"/>
      <c r="ICO51" s="13"/>
      <c r="ICP51" s="13"/>
      <c r="ICQ51" s="13"/>
      <c r="ICR51" s="13"/>
      <c r="ICS51" s="13"/>
      <c r="ICT51" s="13"/>
      <c r="ICU51" s="13"/>
      <c r="ICV51" s="13"/>
      <c r="ICW51" s="13"/>
      <c r="ICX51" s="13"/>
      <c r="ICY51" s="13"/>
      <c r="ICZ51" s="13"/>
      <c r="IDA51" s="13"/>
      <c r="IDB51" s="13"/>
      <c r="IDC51" s="13"/>
      <c r="IDD51" s="13"/>
      <c r="IDE51" s="13"/>
      <c r="IDF51" s="13"/>
      <c r="IDG51" s="13"/>
      <c r="IDH51" s="13"/>
      <c r="IDI51" s="13"/>
      <c r="IDJ51" s="13"/>
      <c r="IDK51" s="13"/>
      <c r="IDL51" s="13"/>
      <c r="IDM51" s="13"/>
      <c r="IDN51" s="13"/>
      <c r="IDO51" s="13"/>
      <c r="IDP51" s="13"/>
      <c r="IDQ51" s="13"/>
      <c r="IDR51" s="13"/>
      <c r="IDS51" s="13"/>
      <c r="IDT51" s="13"/>
      <c r="IDU51" s="13"/>
      <c r="IDV51" s="13"/>
      <c r="IDW51" s="13"/>
      <c r="IDX51" s="13"/>
      <c r="IDY51" s="13"/>
      <c r="IDZ51" s="13"/>
      <c r="IEA51" s="13"/>
      <c r="IEB51" s="13"/>
      <c r="IEC51" s="13"/>
      <c r="IED51" s="13"/>
      <c r="IEE51" s="13"/>
      <c r="IEF51" s="13"/>
      <c r="IEG51" s="13"/>
      <c r="IEH51" s="13"/>
      <c r="IEI51" s="13"/>
      <c r="IEJ51" s="13"/>
      <c r="IEK51" s="13"/>
      <c r="IEL51" s="13"/>
      <c r="IEM51" s="13"/>
      <c r="IEN51" s="13"/>
      <c r="IEO51" s="13"/>
      <c r="IEP51" s="13"/>
      <c r="IEQ51" s="13"/>
      <c r="IER51" s="13"/>
      <c r="IES51" s="13"/>
      <c r="IET51" s="13"/>
      <c r="IEU51" s="13"/>
      <c r="IEV51" s="13"/>
      <c r="IEW51" s="13"/>
      <c r="IEX51" s="13"/>
      <c r="IEY51" s="13"/>
      <c r="IEZ51" s="13"/>
      <c r="IFA51" s="13"/>
      <c r="IFB51" s="13"/>
      <c r="IFC51" s="13"/>
      <c r="IFD51" s="13"/>
      <c r="IFE51" s="13"/>
      <c r="IFF51" s="13"/>
      <c r="IFG51" s="13"/>
      <c r="IFH51" s="13"/>
      <c r="IFI51" s="13"/>
      <c r="IFJ51" s="13"/>
      <c r="IFK51" s="13"/>
      <c r="IFL51" s="13"/>
      <c r="IFM51" s="13"/>
      <c r="IFN51" s="13"/>
      <c r="IFO51" s="13"/>
      <c r="IFP51" s="13"/>
      <c r="IFQ51" s="13"/>
      <c r="IFR51" s="13"/>
      <c r="IFS51" s="13"/>
      <c r="IFT51" s="13"/>
      <c r="IFU51" s="13"/>
      <c r="IFV51" s="13"/>
      <c r="IFW51" s="13"/>
      <c r="IFX51" s="13"/>
      <c r="IFY51" s="13"/>
      <c r="IFZ51" s="13"/>
      <c r="IGA51" s="13"/>
      <c r="IGB51" s="13"/>
      <c r="IGC51" s="13"/>
      <c r="IGD51" s="13"/>
      <c r="IGE51" s="13"/>
      <c r="IGF51" s="13"/>
      <c r="IGG51" s="13"/>
      <c r="IGH51" s="13"/>
      <c r="IGI51" s="13"/>
      <c r="IGJ51" s="13"/>
      <c r="IGK51" s="13"/>
      <c r="IGL51" s="13"/>
      <c r="IGM51" s="13"/>
      <c r="IGN51" s="13"/>
      <c r="IGO51" s="13"/>
      <c r="IGP51" s="13"/>
      <c r="IGQ51" s="13"/>
      <c r="IGR51" s="13"/>
      <c r="IGS51" s="13"/>
      <c r="IGT51" s="13"/>
      <c r="IGU51" s="13"/>
      <c r="IGV51" s="13"/>
      <c r="IGW51" s="13"/>
      <c r="IGX51" s="13"/>
      <c r="IGY51" s="13"/>
      <c r="IGZ51" s="13"/>
      <c r="IHA51" s="13"/>
      <c r="IHB51" s="13"/>
      <c r="IHC51" s="13"/>
      <c r="IHD51" s="13"/>
      <c r="IHE51" s="13"/>
      <c r="IHF51" s="13"/>
      <c r="IHG51" s="13"/>
      <c r="IHH51" s="13"/>
      <c r="IHI51" s="13"/>
      <c r="IHJ51" s="13"/>
      <c r="IHK51" s="13"/>
      <c r="IHL51" s="13"/>
      <c r="IHM51" s="13"/>
      <c r="IHN51" s="13"/>
      <c r="IHO51" s="13"/>
      <c r="IHP51" s="13"/>
      <c r="IHQ51" s="13"/>
      <c r="IHR51" s="13"/>
      <c r="IHS51" s="13"/>
      <c r="IHT51" s="13"/>
      <c r="IHU51" s="13"/>
      <c r="IHV51" s="13"/>
      <c r="IHW51" s="13"/>
      <c r="IHX51" s="13"/>
      <c r="IHY51" s="13"/>
      <c r="IHZ51" s="13"/>
      <c r="IIA51" s="13"/>
      <c r="IIB51" s="13"/>
      <c r="IIC51" s="13"/>
      <c r="IID51" s="13"/>
      <c r="IIE51" s="13"/>
      <c r="IIF51" s="13"/>
      <c r="IIG51" s="13"/>
      <c r="IIH51" s="13"/>
      <c r="III51" s="13"/>
      <c r="IIJ51" s="13"/>
      <c r="IIK51" s="13"/>
      <c r="IIL51" s="13"/>
      <c r="IIM51" s="13"/>
      <c r="IIN51" s="13"/>
      <c r="IIO51" s="13"/>
      <c r="IIP51" s="13"/>
      <c r="IIQ51" s="13"/>
      <c r="IIR51" s="13"/>
      <c r="IIS51" s="13"/>
      <c r="IIT51" s="13"/>
      <c r="IIU51" s="13"/>
      <c r="IIV51" s="13"/>
      <c r="IIW51" s="13"/>
      <c r="IIX51" s="13"/>
      <c r="IIY51" s="13"/>
      <c r="IIZ51" s="13"/>
      <c r="IJA51" s="13"/>
      <c r="IJB51" s="13"/>
      <c r="IJC51" s="13"/>
      <c r="IJD51" s="13"/>
      <c r="IJE51" s="13"/>
      <c r="IJF51" s="13"/>
      <c r="IJG51" s="13"/>
      <c r="IJH51" s="13"/>
      <c r="IJI51" s="13"/>
      <c r="IJJ51" s="13"/>
      <c r="IJK51" s="13"/>
      <c r="IJL51" s="13"/>
      <c r="IJM51" s="13"/>
      <c r="IJN51" s="13"/>
      <c r="IJO51" s="13"/>
      <c r="IJP51" s="13"/>
      <c r="IJQ51" s="13"/>
      <c r="IJR51" s="13"/>
      <c r="IJS51" s="13"/>
      <c r="IJT51" s="13"/>
      <c r="IJU51" s="13"/>
      <c r="IJV51" s="13"/>
      <c r="IJW51" s="13"/>
      <c r="IJX51" s="13"/>
      <c r="IJY51" s="13"/>
      <c r="IJZ51" s="13"/>
      <c r="IKA51" s="13"/>
      <c r="IKB51" s="13"/>
      <c r="IKC51" s="13"/>
      <c r="IKD51" s="13"/>
      <c r="IKE51" s="13"/>
      <c r="IKF51" s="13"/>
      <c r="IKG51" s="13"/>
      <c r="IKH51" s="13"/>
      <c r="IKI51" s="13"/>
      <c r="IKJ51" s="13"/>
      <c r="IKK51" s="13"/>
      <c r="IKL51" s="13"/>
      <c r="IKM51" s="13"/>
      <c r="IKN51" s="13"/>
      <c r="IKO51" s="13"/>
      <c r="IKP51" s="13"/>
      <c r="IKQ51" s="13"/>
      <c r="IKR51" s="13"/>
      <c r="IKS51" s="13"/>
      <c r="IKT51" s="13"/>
      <c r="IKU51" s="13"/>
      <c r="IKV51" s="13"/>
      <c r="IKW51" s="13"/>
      <c r="IKX51" s="13"/>
      <c r="IKY51" s="13"/>
      <c r="IKZ51" s="13"/>
      <c r="ILA51" s="13"/>
      <c r="ILB51" s="13"/>
      <c r="ILC51" s="13"/>
      <c r="ILD51" s="13"/>
      <c r="ILE51" s="13"/>
      <c r="ILF51" s="13"/>
      <c r="ILG51" s="13"/>
      <c r="ILH51" s="13"/>
      <c r="ILI51" s="13"/>
      <c r="ILJ51" s="13"/>
      <c r="ILK51" s="13"/>
      <c r="ILL51" s="13"/>
      <c r="ILM51" s="13"/>
      <c r="ILN51" s="13"/>
      <c r="ILO51" s="13"/>
      <c r="ILP51" s="13"/>
      <c r="ILQ51" s="13"/>
      <c r="ILR51" s="13"/>
      <c r="ILS51" s="13"/>
      <c r="ILT51" s="13"/>
      <c r="ILU51" s="13"/>
      <c r="ILV51" s="13"/>
      <c r="ILW51" s="13"/>
      <c r="ILX51" s="13"/>
      <c r="ILY51" s="13"/>
      <c r="ILZ51" s="13"/>
      <c r="IMA51" s="13"/>
      <c r="IMB51" s="13"/>
      <c r="IMC51" s="13"/>
      <c r="IMD51" s="13"/>
      <c r="IME51" s="13"/>
      <c r="IMF51" s="13"/>
      <c r="IMG51" s="13"/>
      <c r="IMH51" s="13"/>
      <c r="IMI51" s="13"/>
      <c r="IMJ51" s="13"/>
      <c r="IMK51" s="13"/>
      <c r="IML51" s="13"/>
      <c r="IMM51" s="13"/>
      <c r="IMN51" s="13"/>
      <c r="IMO51" s="13"/>
      <c r="IMP51" s="13"/>
      <c r="IMQ51" s="13"/>
      <c r="IMR51" s="13"/>
      <c r="IMS51" s="13"/>
      <c r="IMT51" s="13"/>
      <c r="IMU51" s="13"/>
      <c r="IMV51" s="13"/>
      <c r="IMW51" s="13"/>
      <c r="IMX51" s="13"/>
      <c r="IMY51" s="13"/>
      <c r="IMZ51" s="13"/>
      <c r="INA51" s="13"/>
      <c r="INB51" s="13"/>
      <c r="INC51" s="13"/>
      <c r="IND51" s="13"/>
      <c r="INE51" s="13"/>
      <c r="INF51" s="13"/>
      <c r="ING51" s="13"/>
      <c r="INH51" s="13"/>
      <c r="INI51" s="13"/>
      <c r="INJ51" s="13"/>
      <c r="INK51" s="13"/>
      <c r="INL51" s="13"/>
      <c r="INM51" s="13"/>
      <c r="INN51" s="13"/>
      <c r="INO51" s="13"/>
      <c r="INP51" s="13"/>
      <c r="INQ51" s="13"/>
      <c r="INR51" s="13"/>
      <c r="INS51" s="13"/>
      <c r="INT51" s="13"/>
      <c r="INU51" s="13"/>
      <c r="INV51" s="13"/>
      <c r="INW51" s="13"/>
      <c r="INX51" s="13"/>
      <c r="INY51" s="13"/>
      <c r="INZ51" s="13"/>
      <c r="IOA51" s="13"/>
      <c r="IOB51" s="13"/>
      <c r="IOC51" s="13"/>
      <c r="IOD51" s="13"/>
      <c r="IOE51" s="13"/>
      <c r="IOF51" s="13"/>
      <c r="IOG51" s="13"/>
      <c r="IOH51" s="13"/>
      <c r="IOI51" s="13"/>
      <c r="IOJ51" s="13"/>
      <c r="IOK51" s="13"/>
      <c r="IOL51" s="13"/>
      <c r="IOM51" s="13"/>
      <c r="ION51" s="13"/>
      <c r="IOO51" s="13"/>
      <c r="IOP51" s="13"/>
      <c r="IOQ51" s="13"/>
      <c r="IOR51" s="13"/>
      <c r="IOS51" s="13"/>
      <c r="IOT51" s="13"/>
      <c r="IOU51" s="13"/>
      <c r="IOV51" s="13"/>
      <c r="IOW51" s="13"/>
      <c r="IOX51" s="13"/>
      <c r="IOY51" s="13"/>
      <c r="IOZ51" s="13"/>
      <c r="IPA51" s="13"/>
      <c r="IPB51" s="13"/>
      <c r="IPC51" s="13"/>
      <c r="IPD51" s="13"/>
      <c r="IPE51" s="13"/>
      <c r="IPF51" s="13"/>
      <c r="IPG51" s="13"/>
      <c r="IPH51" s="13"/>
      <c r="IPI51" s="13"/>
      <c r="IPJ51" s="13"/>
      <c r="IPK51" s="13"/>
      <c r="IPL51" s="13"/>
      <c r="IPM51" s="13"/>
      <c r="IPN51" s="13"/>
      <c r="IPO51" s="13"/>
      <c r="IPP51" s="13"/>
      <c r="IPQ51" s="13"/>
      <c r="IPR51" s="13"/>
      <c r="IPS51" s="13"/>
      <c r="IPT51" s="13"/>
      <c r="IPU51" s="13"/>
      <c r="IPV51" s="13"/>
      <c r="IPW51" s="13"/>
      <c r="IPX51" s="13"/>
      <c r="IPY51" s="13"/>
      <c r="IPZ51" s="13"/>
      <c r="IQA51" s="13"/>
      <c r="IQB51" s="13"/>
      <c r="IQC51" s="13"/>
      <c r="IQD51" s="13"/>
      <c r="IQE51" s="13"/>
      <c r="IQF51" s="13"/>
      <c r="IQG51" s="13"/>
      <c r="IQH51" s="13"/>
      <c r="IQI51" s="13"/>
      <c r="IQJ51" s="13"/>
      <c r="IQK51" s="13"/>
      <c r="IQL51" s="13"/>
      <c r="IQM51" s="13"/>
      <c r="IQN51" s="13"/>
      <c r="IQO51" s="13"/>
      <c r="IQP51" s="13"/>
      <c r="IQQ51" s="13"/>
      <c r="IQR51" s="13"/>
      <c r="IQS51" s="13"/>
      <c r="IQT51" s="13"/>
      <c r="IQU51" s="13"/>
      <c r="IQV51" s="13"/>
      <c r="IQW51" s="13"/>
      <c r="IQX51" s="13"/>
      <c r="IQY51" s="13"/>
      <c r="IQZ51" s="13"/>
      <c r="IRA51" s="13"/>
      <c r="IRB51" s="13"/>
      <c r="IRC51" s="13"/>
      <c r="IRD51" s="13"/>
      <c r="IRE51" s="13"/>
      <c r="IRF51" s="13"/>
      <c r="IRG51" s="13"/>
      <c r="IRH51" s="13"/>
      <c r="IRI51" s="13"/>
      <c r="IRJ51" s="13"/>
      <c r="IRK51" s="13"/>
      <c r="IRL51" s="13"/>
      <c r="IRM51" s="13"/>
      <c r="IRN51" s="13"/>
      <c r="IRO51" s="13"/>
      <c r="IRP51" s="13"/>
      <c r="IRQ51" s="13"/>
      <c r="IRR51" s="13"/>
      <c r="IRS51" s="13"/>
      <c r="IRT51" s="13"/>
      <c r="IRU51" s="13"/>
      <c r="IRV51" s="13"/>
      <c r="IRW51" s="13"/>
      <c r="IRX51" s="13"/>
      <c r="IRY51" s="13"/>
      <c r="IRZ51" s="13"/>
      <c r="ISA51" s="13"/>
      <c r="ISB51" s="13"/>
      <c r="ISC51" s="13"/>
      <c r="ISD51" s="13"/>
      <c r="ISE51" s="13"/>
      <c r="ISF51" s="13"/>
      <c r="ISG51" s="13"/>
      <c r="ISH51" s="13"/>
      <c r="ISI51" s="13"/>
      <c r="ISJ51" s="13"/>
      <c r="ISK51" s="13"/>
      <c r="ISL51" s="13"/>
      <c r="ISM51" s="13"/>
      <c r="ISN51" s="13"/>
      <c r="ISO51" s="13"/>
      <c r="ISP51" s="13"/>
      <c r="ISQ51" s="13"/>
      <c r="ISR51" s="13"/>
      <c r="ISS51" s="13"/>
      <c r="IST51" s="13"/>
      <c r="ISU51" s="13"/>
      <c r="ISV51" s="13"/>
      <c r="ISW51" s="13"/>
      <c r="ISX51" s="13"/>
      <c r="ISY51" s="13"/>
      <c r="ISZ51" s="13"/>
      <c r="ITA51" s="13"/>
      <c r="ITB51" s="13"/>
      <c r="ITC51" s="13"/>
      <c r="ITD51" s="13"/>
      <c r="ITE51" s="13"/>
      <c r="ITF51" s="13"/>
      <c r="ITG51" s="13"/>
      <c r="ITH51" s="13"/>
      <c r="ITI51" s="13"/>
      <c r="ITJ51" s="13"/>
      <c r="ITK51" s="13"/>
      <c r="ITL51" s="13"/>
      <c r="ITM51" s="13"/>
      <c r="ITN51" s="13"/>
      <c r="ITO51" s="13"/>
      <c r="ITP51" s="13"/>
      <c r="ITQ51" s="13"/>
      <c r="ITR51" s="13"/>
      <c r="ITS51" s="13"/>
      <c r="ITT51" s="13"/>
      <c r="ITU51" s="13"/>
      <c r="ITV51" s="13"/>
      <c r="ITW51" s="13"/>
      <c r="ITX51" s="13"/>
      <c r="ITY51" s="13"/>
      <c r="ITZ51" s="13"/>
      <c r="IUA51" s="13"/>
      <c r="IUB51" s="13"/>
      <c r="IUC51" s="13"/>
      <c r="IUD51" s="13"/>
      <c r="IUE51" s="13"/>
      <c r="IUF51" s="13"/>
      <c r="IUG51" s="13"/>
      <c r="IUH51" s="13"/>
      <c r="IUI51" s="13"/>
      <c r="IUJ51" s="13"/>
      <c r="IUK51" s="13"/>
      <c r="IUL51" s="13"/>
      <c r="IUM51" s="13"/>
      <c r="IUN51" s="13"/>
      <c r="IUO51" s="13"/>
      <c r="IUP51" s="13"/>
      <c r="IUQ51" s="13"/>
      <c r="IUR51" s="13"/>
      <c r="IUS51" s="13"/>
      <c r="IUT51" s="13"/>
      <c r="IUU51" s="13"/>
      <c r="IUV51" s="13"/>
      <c r="IUW51" s="13"/>
      <c r="IUX51" s="13"/>
      <c r="IUY51" s="13"/>
      <c r="IUZ51" s="13"/>
      <c r="IVA51" s="13"/>
      <c r="IVB51" s="13"/>
      <c r="IVC51" s="13"/>
      <c r="IVD51" s="13"/>
      <c r="IVE51" s="13"/>
      <c r="IVF51" s="13"/>
      <c r="IVG51" s="13"/>
      <c r="IVH51" s="13"/>
      <c r="IVI51" s="13"/>
      <c r="IVJ51" s="13"/>
      <c r="IVK51" s="13"/>
      <c r="IVL51" s="13"/>
      <c r="IVM51" s="13"/>
      <c r="IVN51" s="13"/>
      <c r="IVO51" s="13"/>
      <c r="IVP51" s="13"/>
      <c r="IVQ51" s="13"/>
      <c r="IVR51" s="13"/>
      <c r="IVS51" s="13"/>
      <c r="IVT51" s="13"/>
      <c r="IVU51" s="13"/>
      <c r="IVV51" s="13"/>
      <c r="IVW51" s="13"/>
      <c r="IVX51" s="13"/>
      <c r="IVY51" s="13"/>
      <c r="IVZ51" s="13"/>
      <c r="IWA51" s="13"/>
      <c r="IWB51" s="13"/>
      <c r="IWC51" s="13"/>
      <c r="IWD51" s="13"/>
      <c r="IWE51" s="13"/>
      <c r="IWF51" s="13"/>
      <c r="IWG51" s="13"/>
      <c r="IWH51" s="13"/>
      <c r="IWI51" s="13"/>
      <c r="IWJ51" s="13"/>
      <c r="IWK51" s="13"/>
      <c r="IWL51" s="13"/>
      <c r="IWM51" s="13"/>
      <c r="IWN51" s="13"/>
      <c r="IWO51" s="13"/>
      <c r="IWP51" s="13"/>
      <c r="IWQ51" s="13"/>
      <c r="IWR51" s="13"/>
      <c r="IWS51" s="13"/>
      <c r="IWT51" s="13"/>
      <c r="IWU51" s="13"/>
      <c r="IWV51" s="13"/>
      <c r="IWW51" s="13"/>
      <c r="IWX51" s="13"/>
      <c r="IWY51" s="13"/>
      <c r="IWZ51" s="13"/>
      <c r="IXA51" s="13"/>
      <c r="IXB51" s="13"/>
      <c r="IXC51" s="13"/>
      <c r="IXD51" s="13"/>
      <c r="IXE51" s="13"/>
      <c r="IXF51" s="13"/>
      <c r="IXG51" s="13"/>
      <c r="IXH51" s="13"/>
      <c r="IXI51" s="13"/>
      <c r="IXJ51" s="13"/>
      <c r="IXK51" s="13"/>
      <c r="IXL51" s="13"/>
      <c r="IXM51" s="13"/>
      <c r="IXN51" s="13"/>
      <c r="IXO51" s="13"/>
      <c r="IXP51" s="13"/>
      <c r="IXQ51" s="13"/>
      <c r="IXR51" s="13"/>
      <c r="IXS51" s="13"/>
      <c r="IXT51" s="13"/>
      <c r="IXU51" s="13"/>
      <c r="IXV51" s="13"/>
      <c r="IXW51" s="13"/>
      <c r="IXX51" s="13"/>
      <c r="IXY51" s="13"/>
      <c r="IXZ51" s="13"/>
      <c r="IYA51" s="13"/>
      <c r="IYB51" s="13"/>
      <c r="IYC51" s="13"/>
      <c r="IYD51" s="13"/>
      <c r="IYE51" s="13"/>
      <c r="IYF51" s="13"/>
      <c r="IYG51" s="13"/>
      <c r="IYH51" s="13"/>
      <c r="IYI51" s="13"/>
      <c r="IYJ51" s="13"/>
      <c r="IYK51" s="13"/>
      <c r="IYL51" s="13"/>
      <c r="IYM51" s="13"/>
      <c r="IYN51" s="13"/>
      <c r="IYO51" s="13"/>
      <c r="IYP51" s="13"/>
      <c r="IYQ51" s="13"/>
      <c r="IYR51" s="13"/>
      <c r="IYS51" s="13"/>
      <c r="IYT51" s="13"/>
      <c r="IYU51" s="13"/>
      <c r="IYV51" s="13"/>
      <c r="IYW51" s="13"/>
      <c r="IYX51" s="13"/>
      <c r="IYY51" s="13"/>
      <c r="IYZ51" s="13"/>
      <c r="IZA51" s="13"/>
      <c r="IZB51" s="13"/>
      <c r="IZC51" s="13"/>
      <c r="IZD51" s="13"/>
      <c r="IZE51" s="13"/>
      <c r="IZF51" s="13"/>
      <c r="IZG51" s="13"/>
      <c r="IZH51" s="13"/>
      <c r="IZI51" s="13"/>
      <c r="IZJ51" s="13"/>
      <c r="IZK51" s="13"/>
      <c r="IZL51" s="13"/>
      <c r="IZM51" s="13"/>
      <c r="IZN51" s="13"/>
      <c r="IZO51" s="13"/>
      <c r="IZP51" s="13"/>
      <c r="IZQ51" s="13"/>
      <c r="IZR51" s="13"/>
      <c r="IZS51" s="13"/>
      <c r="IZT51" s="13"/>
      <c r="IZU51" s="13"/>
      <c r="IZV51" s="13"/>
      <c r="IZW51" s="13"/>
      <c r="IZX51" s="13"/>
      <c r="IZY51" s="13"/>
      <c r="IZZ51" s="13"/>
      <c r="JAA51" s="13"/>
      <c r="JAB51" s="13"/>
      <c r="JAC51" s="13"/>
      <c r="JAD51" s="13"/>
      <c r="JAE51" s="13"/>
      <c r="JAF51" s="13"/>
      <c r="JAG51" s="13"/>
      <c r="JAH51" s="13"/>
      <c r="JAI51" s="13"/>
      <c r="JAJ51" s="13"/>
      <c r="JAK51" s="13"/>
      <c r="JAL51" s="13"/>
      <c r="JAM51" s="13"/>
      <c r="JAN51" s="13"/>
      <c r="JAO51" s="13"/>
      <c r="JAP51" s="13"/>
      <c r="JAQ51" s="13"/>
      <c r="JAR51" s="13"/>
      <c r="JAS51" s="13"/>
      <c r="JAT51" s="13"/>
      <c r="JAU51" s="13"/>
      <c r="JAV51" s="13"/>
      <c r="JAW51" s="13"/>
      <c r="JAX51" s="13"/>
      <c r="JAY51" s="13"/>
      <c r="JAZ51" s="13"/>
      <c r="JBA51" s="13"/>
      <c r="JBB51" s="13"/>
      <c r="JBC51" s="13"/>
      <c r="JBD51" s="13"/>
      <c r="JBE51" s="13"/>
      <c r="JBF51" s="13"/>
      <c r="JBG51" s="13"/>
      <c r="JBH51" s="13"/>
      <c r="JBI51" s="13"/>
      <c r="JBJ51" s="13"/>
      <c r="JBK51" s="13"/>
      <c r="JBL51" s="13"/>
      <c r="JBM51" s="13"/>
      <c r="JBN51" s="13"/>
      <c r="JBO51" s="13"/>
      <c r="JBP51" s="13"/>
      <c r="JBQ51" s="13"/>
      <c r="JBR51" s="13"/>
      <c r="JBS51" s="13"/>
      <c r="JBT51" s="13"/>
      <c r="JBU51" s="13"/>
      <c r="JBV51" s="13"/>
      <c r="JBW51" s="13"/>
      <c r="JBX51" s="13"/>
      <c r="JBY51" s="13"/>
      <c r="JBZ51" s="13"/>
      <c r="JCA51" s="13"/>
      <c r="JCB51" s="13"/>
      <c r="JCC51" s="13"/>
      <c r="JCD51" s="13"/>
      <c r="JCE51" s="13"/>
      <c r="JCF51" s="13"/>
      <c r="JCG51" s="13"/>
      <c r="JCH51" s="13"/>
      <c r="JCI51" s="13"/>
      <c r="JCJ51" s="13"/>
      <c r="JCK51" s="13"/>
      <c r="JCL51" s="13"/>
      <c r="JCM51" s="13"/>
      <c r="JCN51" s="13"/>
      <c r="JCO51" s="13"/>
      <c r="JCP51" s="13"/>
      <c r="JCQ51" s="13"/>
      <c r="JCR51" s="13"/>
      <c r="JCS51" s="13"/>
      <c r="JCT51" s="13"/>
      <c r="JCU51" s="13"/>
      <c r="JCV51" s="13"/>
      <c r="JCW51" s="13"/>
      <c r="JCX51" s="13"/>
      <c r="JCY51" s="13"/>
      <c r="JCZ51" s="13"/>
      <c r="JDA51" s="13"/>
      <c r="JDB51" s="13"/>
      <c r="JDC51" s="13"/>
      <c r="JDD51" s="13"/>
      <c r="JDE51" s="13"/>
      <c r="JDF51" s="13"/>
      <c r="JDG51" s="13"/>
      <c r="JDH51" s="13"/>
      <c r="JDI51" s="13"/>
      <c r="JDJ51" s="13"/>
      <c r="JDK51" s="13"/>
      <c r="JDL51" s="13"/>
      <c r="JDM51" s="13"/>
      <c r="JDN51" s="13"/>
      <c r="JDO51" s="13"/>
      <c r="JDP51" s="13"/>
      <c r="JDQ51" s="13"/>
      <c r="JDR51" s="13"/>
      <c r="JDS51" s="13"/>
      <c r="JDT51" s="13"/>
      <c r="JDU51" s="13"/>
      <c r="JDV51" s="13"/>
      <c r="JDW51" s="13"/>
      <c r="JDX51" s="13"/>
      <c r="JDY51" s="13"/>
      <c r="JDZ51" s="13"/>
      <c r="JEA51" s="13"/>
      <c r="JEB51" s="13"/>
      <c r="JEC51" s="13"/>
      <c r="JED51" s="13"/>
      <c r="JEE51" s="13"/>
      <c r="JEF51" s="13"/>
      <c r="JEG51" s="13"/>
      <c r="JEH51" s="13"/>
      <c r="JEI51" s="13"/>
      <c r="JEJ51" s="13"/>
      <c r="JEK51" s="13"/>
      <c r="JEL51" s="13"/>
      <c r="JEM51" s="13"/>
      <c r="JEN51" s="13"/>
      <c r="JEO51" s="13"/>
      <c r="JEP51" s="13"/>
      <c r="JEQ51" s="13"/>
      <c r="JER51" s="13"/>
      <c r="JES51" s="13"/>
      <c r="JET51" s="13"/>
      <c r="JEU51" s="13"/>
      <c r="JEV51" s="13"/>
      <c r="JEW51" s="13"/>
      <c r="JEX51" s="13"/>
      <c r="JEY51" s="13"/>
      <c r="JEZ51" s="13"/>
      <c r="JFA51" s="13"/>
      <c r="JFB51" s="13"/>
      <c r="JFC51" s="13"/>
      <c r="JFD51" s="13"/>
      <c r="JFE51" s="13"/>
      <c r="JFF51" s="13"/>
      <c r="JFG51" s="13"/>
      <c r="JFH51" s="13"/>
      <c r="JFI51" s="13"/>
      <c r="JFJ51" s="13"/>
      <c r="JFK51" s="13"/>
      <c r="JFL51" s="13"/>
      <c r="JFM51" s="13"/>
      <c r="JFN51" s="13"/>
      <c r="JFO51" s="13"/>
      <c r="JFP51" s="13"/>
      <c r="JFQ51" s="13"/>
      <c r="JFR51" s="13"/>
      <c r="JFS51" s="13"/>
      <c r="JFT51" s="13"/>
      <c r="JFU51" s="13"/>
      <c r="JFV51" s="13"/>
      <c r="JFW51" s="13"/>
      <c r="JFX51" s="13"/>
      <c r="JFY51" s="13"/>
      <c r="JFZ51" s="13"/>
      <c r="JGA51" s="13"/>
      <c r="JGB51" s="13"/>
      <c r="JGC51" s="13"/>
      <c r="JGD51" s="13"/>
      <c r="JGE51" s="13"/>
      <c r="JGF51" s="13"/>
      <c r="JGG51" s="13"/>
      <c r="JGH51" s="13"/>
      <c r="JGI51" s="13"/>
      <c r="JGJ51" s="13"/>
      <c r="JGK51" s="13"/>
      <c r="JGL51" s="13"/>
      <c r="JGM51" s="13"/>
      <c r="JGN51" s="13"/>
      <c r="JGO51" s="13"/>
      <c r="JGP51" s="13"/>
      <c r="JGQ51" s="13"/>
      <c r="JGR51" s="13"/>
      <c r="JGS51" s="13"/>
      <c r="JGT51" s="13"/>
      <c r="JGU51" s="13"/>
      <c r="JGV51" s="13"/>
      <c r="JGW51" s="13"/>
      <c r="JGX51" s="13"/>
      <c r="JGY51" s="13"/>
      <c r="JGZ51" s="13"/>
      <c r="JHA51" s="13"/>
      <c r="JHB51" s="13"/>
      <c r="JHC51" s="13"/>
      <c r="JHD51" s="13"/>
      <c r="JHE51" s="13"/>
      <c r="JHF51" s="13"/>
      <c r="JHG51" s="13"/>
      <c r="JHH51" s="13"/>
      <c r="JHI51" s="13"/>
      <c r="JHJ51" s="13"/>
      <c r="JHK51" s="13"/>
      <c r="JHL51" s="13"/>
      <c r="JHM51" s="13"/>
      <c r="JHN51" s="13"/>
      <c r="JHO51" s="13"/>
      <c r="JHP51" s="13"/>
      <c r="JHQ51" s="13"/>
      <c r="JHR51" s="13"/>
      <c r="JHS51" s="13"/>
      <c r="JHT51" s="13"/>
      <c r="JHU51" s="13"/>
      <c r="JHV51" s="13"/>
      <c r="JHW51" s="13"/>
      <c r="JHX51" s="13"/>
      <c r="JHY51" s="13"/>
      <c r="JHZ51" s="13"/>
      <c r="JIA51" s="13"/>
      <c r="JIB51" s="13"/>
      <c r="JIC51" s="13"/>
      <c r="JID51" s="13"/>
      <c r="JIE51" s="13"/>
      <c r="JIF51" s="13"/>
      <c r="JIG51" s="13"/>
      <c r="JIH51" s="13"/>
      <c r="JII51" s="13"/>
      <c r="JIJ51" s="13"/>
      <c r="JIK51" s="13"/>
      <c r="JIL51" s="13"/>
      <c r="JIM51" s="13"/>
      <c r="JIN51" s="13"/>
      <c r="JIO51" s="13"/>
      <c r="JIP51" s="13"/>
      <c r="JIQ51" s="13"/>
      <c r="JIR51" s="13"/>
      <c r="JIS51" s="13"/>
      <c r="JIT51" s="13"/>
      <c r="JIU51" s="13"/>
      <c r="JIV51" s="13"/>
      <c r="JIW51" s="13"/>
      <c r="JIX51" s="13"/>
      <c r="JIY51" s="13"/>
      <c r="JIZ51" s="13"/>
      <c r="JJA51" s="13"/>
      <c r="JJB51" s="13"/>
      <c r="JJC51" s="13"/>
      <c r="JJD51" s="13"/>
      <c r="JJE51" s="13"/>
      <c r="JJF51" s="13"/>
      <c r="JJG51" s="13"/>
      <c r="JJH51" s="13"/>
      <c r="JJI51" s="13"/>
      <c r="JJJ51" s="13"/>
      <c r="JJK51" s="13"/>
      <c r="JJL51" s="13"/>
      <c r="JJM51" s="13"/>
      <c r="JJN51" s="13"/>
      <c r="JJO51" s="13"/>
      <c r="JJP51" s="13"/>
      <c r="JJQ51" s="13"/>
      <c r="JJR51" s="13"/>
      <c r="JJS51" s="13"/>
      <c r="JJT51" s="13"/>
      <c r="JJU51" s="13"/>
      <c r="JJV51" s="13"/>
      <c r="JJW51" s="13"/>
      <c r="JJX51" s="13"/>
      <c r="JJY51" s="13"/>
      <c r="JJZ51" s="13"/>
      <c r="JKA51" s="13"/>
      <c r="JKB51" s="13"/>
      <c r="JKC51" s="13"/>
      <c r="JKD51" s="13"/>
      <c r="JKE51" s="13"/>
      <c r="JKF51" s="13"/>
      <c r="JKG51" s="13"/>
      <c r="JKH51" s="13"/>
      <c r="JKI51" s="13"/>
      <c r="JKJ51" s="13"/>
      <c r="JKK51" s="13"/>
      <c r="JKL51" s="13"/>
      <c r="JKM51" s="13"/>
      <c r="JKN51" s="13"/>
      <c r="JKO51" s="13"/>
      <c r="JKP51" s="13"/>
      <c r="JKQ51" s="13"/>
      <c r="JKR51" s="13"/>
      <c r="JKS51" s="13"/>
      <c r="JKT51" s="13"/>
      <c r="JKU51" s="13"/>
      <c r="JKV51" s="13"/>
      <c r="JKW51" s="13"/>
      <c r="JKX51" s="13"/>
      <c r="JKY51" s="13"/>
      <c r="JKZ51" s="13"/>
      <c r="JLA51" s="13"/>
      <c r="JLB51" s="13"/>
      <c r="JLC51" s="13"/>
      <c r="JLD51" s="13"/>
      <c r="JLE51" s="13"/>
      <c r="JLF51" s="13"/>
      <c r="JLG51" s="13"/>
      <c r="JLH51" s="13"/>
      <c r="JLI51" s="13"/>
      <c r="JLJ51" s="13"/>
      <c r="JLK51" s="13"/>
      <c r="JLL51" s="13"/>
      <c r="JLM51" s="13"/>
      <c r="JLN51" s="13"/>
      <c r="JLO51" s="13"/>
      <c r="JLP51" s="13"/>
      <c r="JLQ51" s="13"/>
      <c r="JLR51" s="13"/>
      <c r="JLS51" s="13"/>
      <c r="JLT51" s="13"/>
      <c r="JLU51" s="13"/>
      <c r="JLV51" s="13"/>
      <c r="JLW51" s="13"/>
      <c r="JLX51" s="13"/>
      <c r="JLY51" s="13"/>
      <c r="JLZ51" s="13"/>
      <c r="JMA51" s="13"/>
      <c r="JMB51" s="13"/>
      <c r="JMC51" s="13"/>
      <c r="JMD51" s="13"/>
      <c r="JME51" s="13"/>
      <c r="JMF51" s="13"/>
      <c r="JMG51" s="13"/>
      <c r="JMH51" s="13"/>
      <c r="JMI51" s="13"/>
      <c r="JMJ51" s="13"/>
      <c r="JMK51" s="13"/>
      <c r="JML51" s="13"/>
      <c r="JMM51" s="13"/>
      <c r="JMN51" s="13"/>
      <c r="JMO51" s="13"/>
      <c r="JMP51" s="13"/>
      <c r="JMQ51" s="13"/>
      <c r="JMR51" s="13"/>
      <c r="JMS51" s="13"/>
      <c r="JMT51" s="13"/>
      <c r="JMU51" s="13"/>
      <c r="JMV51" s="13"/>
      <c r="JMW51" s="13"/>
      <c r="JMX51" s="13"/>
      <c r="JMY51" s="13"/>
      <c r="JMZ51" s="13"/>
      <c r="JNA51" s="13"/>
      <c r="JNB51" s="13"/>
      <c r="JNC51" s="13"/>
      <c r="JND51" s="13"/>
      <c r="JNE51" s="13"/>
      <c r="JNF51" s="13"/>
      <c r="JNG51" s="13"/>
      <c r="JNH51" s="13"/>
      <c r="JNI51" s="13"/>
      <c r="JNJ51" s="13"/>
      <c r="JNK51" s="13"/>
      <c r="JNL51" s="13"/>
      <c r="JNM51" s="13"/>
      <c r="JNN51" s="13"/>
      <c r="JNO51" s="13"/>
      <c r="JNP51" s="13"/>
      <c r="JNQ51" s="13"/>
      <c r="JNR51" s="13"/>
      <c r="JNS51" s="13"/>
      <c r="JNT51" s="13"/>
      <c r="JNU51" s="13"/>
      <c r="JNV51" s="13"/>
      <c r="JNW51" s="13"/>
      <c r="JNX51" s="13"/>
      <c r="JNY51" s="13"/>
      <c r="JNZ51" s="13"/>
      <c r="JOA51" s="13"/>
      <c r="JOB51" s="13"/>
      <c r="JOC51" s="13"/>
      <c r="JOD51" s="13"/>
      <c r="JOE51" s="13"/>
      <c r="JOF51" s="13"/>
      <c r="JOG51" s="13"/>
      <c r="JOH51" s="13"/>
      <c r="JOI51" s="13"/>
      <c r="JOJ51" s="13"/>
      <c r="JOK51" s="13"/>
      <c r="JOL51" s="13"/>
      <c r="JOM51" s="13"/>
      <c r="JON51" s="13"/>
      <c r="JOO51" s="13"/>
      <c r="JOP51" s="13"/>
      <c r="JOQ51" s="13"/>
      <c r="JOR51" s="13"/>
      <c r="JOS51" s="13"/>
      <c r="JOT51" s="13"/>
      <c r="JOU51" s="13"/>
      <c r="JOV51" s="13"/>
      <c r="JOW51" s="13"/>
      <c r="JOX51" s="13"/>
      <c r="JOY51" s="13"/>
      <c r="JOZ51" s="13"/>
      <c r="JPA51" s="13"/>
      <c r="JPB51" s="13"/>
      <c r="JPC51" s="13"/>
      <c r="JPD51" s="13"/>
      <c r="JPE51" s="13"/>
      <c r="JPF51" s="13"/>
      <c r="JPG51" s="13"/>
      <c r="JPH51" s="13"/>
      <c r="JPI51" s="13"/>
      <c r="JPJ51" s="13"/>
      <c r="JPK51" s="13"/>
      <c r="JPL51" s="13"/>
      <c r="JPM51" s="13"/>
      <c r="JPN51" s="13"/>
      <c r="JPO51" s="13"/>
      <c r="JPP51" s="13"/>
      <c r="JPQ51" s="13"/>
      <c r="JPR51" s="13"/>
      <c r="JPS51" s="13"/>
      <c r="JPT51" s="13"/>
      <c r="JPU51" s="13"/>
      <c r="JPV51" s="13"/>
      <c r="JPW51" s="13"/>
      <c r="JPX51" s="13"/>
      <c r="JPY51" s="13"/>
      <c r="JPZ51" s="13"/>
      <c r="JQA51" s="13"/>
      <c r="JQB51" s="13"/>
      <c r="JQC51" s="13"/>
      <c r="JQD51" s="13"/>
      <c r="JQE51" s="13"/>
      <c r="JQF51" s="13"/>
      <c r="JQG51" s="13"/>
      <c r="JQH51" s="13"/>
      <c r="JQI51" s="13"/>
      <c r="JQJ51" s="13"/>
      <c r="JQK51" s="13"/>
      <c r="JQL51" s="13"/>
      <c r="JQM51" s="13"/>
      <c r="JQN51" s="13"/>
      <c r="JQO51" s="13"/>
      <c r="JQP51" s="13"/>
      <c r="JQQ51" s="13"/>
      <c r="JQR51" s="13"/>
      <c r="JQS51" s="13"/>
      <c r="JQT51" s="13"/>
      <c r="JQU51" s="13"/>
      <c r="JQV51" s="13"/>
      <c r="JQW51" s="13"/>
      <c r="JQX51" s="13"/>
      <c r="JQY51" s="13"/>
      <c r="JQZ51" s="13"/>
      <c r="JRA51" s="13"/>
      <c r="JRB51" s="13"/>
      <c r="JRC51" s="13"/>
      <c r="JRD51" s="13"/>
      <c r="JRE51" s="13"/>
      <c r="JRF51" s="13"/>
      <c r="JRG51" s="13"/>
      <c r="JRH51" s="13"/>
      <c r="JRI51" s="13"/>
      <c r="JRJ51" s="13"/>
      <c r="JRK51" s="13"/>
      <c r="JRL51" s="13"/>
      <c r="JRM51" s="13"/>
      <c r="JRN51" s="13"/>
      <c r="JRO51" s="13"/>
      <c r="JRP51" s="13"/>
      <c r="JRQ51" s="13"/>
      <c r="JRR51" s="13"/>
      <c r="JRS51" s="13"/>
      <c r="JRT51" s="13"/>
      <c r="JRU51" s="13"/>
      <c r="JRV51" s="13"/>
      <c r="JRW51" s="13"/>
      <c r="JRX51" s="13"/>
      <c r="JRY51" s="13"/>
      <c r="JRZ51" s="13"/>
      <c r="JSA51" s="13"/>
      <c r="JSB51" s="13"/>
      <c r="JSC51" s="13"/>
      <c r="JSD51" s="13"/>
      <c r="JSE51" s="13"/>
      <c r="JSF51" s="13"/>
      <c r="JSG51" s="13"/>
      <c r="JSH51" s="13"/>
      <c r="JSI51" s="13"/>
      <c r="JSJ51" s="13"/>
      <c r="JSK51" s="13"/>
      <c r="JSL51" s="13"/>
      <c r="JSM51" s="13"/>
      <c r="JSN51" s="13"/>
      <c r="JSO51" s="13"/>
      <c r="JSP51" s="13"/>
      <c r="JSQ51" s="13"/>
      <c r="JSR51" s="13"/>
      <c r="JSS51" s="13"/>
      <c r="JST51" s="13"/>
      <c r="JSU51" s="13"/>
      <c r="JSV51" s="13"/>
      <c r="JSW51" s="13"/>
      <c r="JSX51" s="13"/>
      <c r="JSY51" s="13"/>
      <c r="JSZ51" s="13"/>
      <c r="JTA51" s="13"/>
      <c r="JTB51" s="13"/>
      <c r="JTC51" s="13"/>
      <c r="JTD51" s="13"/>
      <c r="JTE51" s="13"/>
      <c r="JTF51" s="13"/>
      <c r="JTG51" s="13"/>
      <c r="JTH51" s="13"/>
      <c r="JTI51" s="13"/>
      <c r="JTJ51" s="13"/>
      <c r="JTK51" s="13"/>
      <c r="JTL51" s="13"/>
      <c r="JTM51" s="13"/>
      <c r="JTN51" s="13"/>
      <c r="JTO51" s="13"/>
      <c r="JTP51" s="13"/>
      <c r="JTQ51" s="13"/>
      <c r="JTR51" s="13"/>
      <c r="JTS51" s="13"/>
      <c r="JTT51" s="13"/>
      <c r="JTU51" s="13"/>
      <c r="JTV51" s="13"/>
      <c r="JTW51" s="13"/>
      <c r="JTX51" s="13"/>
      <c r="JTY51" s="13"/>
      <c r="JTZ51" s="13"/>
      <c r="JUA51" s="13"/>
      <c r="JUB51" s="13"/>
      <c r="JUC51" s="13"/>
      <c r="JUD51" s="13"/>
      <c r="JUE51" s="13"/>
      <c r="JUF51" s="13"/>
      <c r="JUG51" s="13"/>
      <c r="JUH51" s="13"/>
      <c r="JUI51" s="13"/>
      <c r="JUJ51" s="13"/>
      <c r="JUK51" s="13"/>
      <c r="JUL51" s="13"/>
      <c r="JUM51" s="13"/>
      <c r="JUN51" s="13"/>
      <c r="JUO51" s="13"/>
      <c r="JUP51" s="13"/>
      <c r="JUQ51" s="13"/>
      <c r="JUR51" s="13"/>
      <c r="JUS51" s="13"/>
      <c r="JUT51" s="13"/>
      <c r="JUU51" s="13"/>
      <c r="JUV51" s="13"/>
      <c r="JUW51" s="13"/>
      <c r="JUX51" s="13"/>
      <c r="JUY51" s="13"/>
      <c r="JUZ51" s="13"/>
      <c r="JVA51" s="13"/>
      <c r="JVB51" s="13"/>
      <c r="JVC51" s="13"/>
      <c r="JVD51" s="13"/>
      <c r="JVE51" s="13"/>
      <c r="JVF51" s="13"/>
      <c r="JVG51" s="13"/>
      <c r="JVH51" s="13"/>
      <c r="JVI51" s="13"/>
      <c r="JVJ51" s="13"/>
      <c r="JVK51" s="13"/>
      <c r="JVL51" s="13"/>
      <c r="JVM51" s="13"/>
      <c r="JVN51" s="13"/>
      <c r="JVO51" s="13"/>
      <c r="JVP51" s="13"/>
      <c r="JVQ51" s="13"/>
      <c r="JVR51" s="13"/>
      <c r="JVS51" s="13"/>
      <c r="JVT51" s="13"/>
      <c r="JVU51" s="13"/>
      <c r="JVV51" s="13"/>
      <c r="JVW51" s="13"/>
      <c r="JVX51" s="13"/>
      <c r="JVY51" s="13"/>
      <c r="JVZ51" s="13"/>
      <c r="JWA51" s="13"/>
      <c r="JWB51" s="13"/>
      <c r="JWC51" s="13"/>
      <c r="JWD51" s="13"/>
      <c r="JWE51" s="13"/>
      <c r="JWF51" s="13"/>
      <c r="JWG51" s="13"/>
      <c r="JWH51" s="13"/>
      <c r="JWI51" s="13"/>
      <c r="JWJ51" s="13"/>
      <c r="JWK51" s="13"/>
      <c r="JWL51" s="13"/>
      <c r="JWM51" s="13"/>
      <c r="JWN51" s="13"/>
      <c r="JWO51" s="13"/>
      <c r="JWP51" s="13"/>
      <c r="JWQ51" s="13"/>
      <c r="JWR51" s="13"/>
      <c r="JWS51" s="13"/>
      <c r="JWT51" s="13"/>
      <c r="JWU51" s="13"/>
      <c r="JWV51" s="13"/>
      <c r="JWW51" s="13"/>
      <c r="JWX51" s="13"/>
      <c r="JWY51" s="13"/>
      <c r="JWZ51" s="13"/>
      <c r="JXA51" s="13"/>
      <c r="JXB51" s="13"/>
      <c r="JXC51" s="13"/>
      <c r="JXD51" s="13"/>
      <c r="JXE51" s="13"/>
      <c r="JXF51" s="13"/>
      <c r="JXG51" s="13"/>
      <c r="JXH51" s="13"/>
      <c r="JXI51" s="13"/>
      <c r="JXJ51" s="13"/>
      <c r="JXK51" s="13"/>
      <c r="JXL51" s="13"/>
      <c r="JXM51" s="13"/>
      <c r="JXN51" s="13"/>
      <c r="JXO51" s="13"/>
      <c r="JXP51" s="13"/>
      <c r="JXQ51" s="13"/>
      <c r="JXR51" s="13"/>
      <c r="JXS51" s="13"/>
      <c r="JXT51" s="13"/>
      <c r="JXU51" s="13"/>
      <c r="JXV51" s="13"/>
      <c r="JXW51" s="13"/>
      <c r="JXX51" s="13"/>
      <c r="JXY51" s="13"/>
      <c r="JXZ51" s="13"/>
      <c r="JYA51" s="13"/>
      <c r="JYB51" s="13"/>
      <c r="JYC51" s="13"/>
      <c r="JYD51" s="13"/>
      <c r="JYE51" s="13"/>
      <c r="JYF51" s="13"/>
      <c r="JYG51" s="13"/>
      <c r="JYH51" s="13"/>
      <c r="JYI51" s="13"/>
      <c r="JYJ51" s="13"/>
      <c r="JYK51" s="13"/>
      <c r="JYL51" s="13"/>
      <c r="JYM51" s="13"/>
      <c r="JYN51" s="13"/>
      <c r="JYO51" s="13"/>
      <c r="JYP51" s="13"/>
      <c r="JYQ51" s="13"/>
      <c r="JYR51" s="13"/>
      <c r="JYS51" s="13"/>
      <c r="JYT51" s="13"/>
      <c r="JYU51" s="13"/>
      <c r="JYV51" s="13"/>
      <c r="JYW51" s="13"/>
      <c r="JYX51" s="13"/>
      <c r="JYY51" s="13"/>
      <c r="JYZ51" s="13"/>
      <c r="JZA51" s="13"/>
      <c r="JZB51" s="13"/>
      <c r="JZC51" s="13"/>
      <c r="JZD51" s="13"/>
      <c r="JZE51" s="13"/>
      <c r="JZF51" s="13"/>
      <c r="JZG51" s="13"/>
      <c r="JZH51" s="13"/>
      <c r="JZI51" s="13"/>
      <c r="JZJ51" s="13"/>
      <c r="JZK51" s="13"/>
      <c r="JZL51" s="13"/>
      <c r="JZM51" s="13"/>
      <c r="JZN51" s="13"/>
      <c r="JZO51" s="13"/>
      <c r="JZP51" s="13"/>
      <c r="JZQ51" s="13"/>
      <c r="JZR51" s="13"/>
      <c r="JZS51" s="13"/>
      <c r="JZT51" s="13"/>
      <c r="JZU51" s="13"/>
      <c r="JZV51" s="13"/>
      <c r="JZW51" s="13"/>
      <c r="JZX51" s="13"/>
      <c r="JZY51" s="13"/>
      <c r="JZZ51" s="13"/>
      <c r="KAA51" s="13"/>
      <c r="KAB51" s="13"/>
      <c r="KAC51" s="13"/>
      <c r="KAD51" s="13"/>
      <c r="KAE51" s="13"/>
      <c r="KAF51" s="13"/>
      <c r="KAG51" s="13"/>
      <c r="KAH51" s="13"/>
      <c r="KAI51" s="13"/>
      <c r="KAJ51" s="13"/>
      <c r="KAK51" s="13"/>
      <c r="KAL51" s="13"/>
      <c r="KAM51" s="13"/>
      <c r="KAN51" s="13"/>
      <c r="KAO51" s="13"/>
      <c r="KAP51" s="13"/>
      <c r="KAQ51" s="13"/>
      <c r="KAR51" s="13"/>
      <c r="KAS51" s="13"/>
      <c r="KAT51" s="13"/>
      <c r="KAU51" s="13"/>
      <c r="KAV51" s="13"/>
      <c r="KAW51" s="13"/>
      <c r="KAX51" s="13"/>
      <c r="KAY51" s="13"/>
      <c r="KAZ51" s="13"/>
      <c r="KBA51" s="13"/>
      <c r="KBB51" s="13"/>
      <c r="KBC51" s="13"/>
      <c r="KBD51" s="13"/>
      <c r="KBE51" s="13"/>
      <c r="KBF51" s="13"/>
      <c r="KBG51" s="13"/>
      <c r="KBH51" s="13"/>
      <c r="KBI51" s="13"/>
      <c r="KBJ51" s="13"/>
      <c r="KBK51" s="13"/>
      <c r="KBL51" s="13"/>
      <c r="KBM51" s="13"/>
      <c r="KBN51" s="13"/>
      <c r="KBO51" s="13"/>
      <c r="KBP51" s="13"/>
      <c r="KBQ51" s="13"/>
      <c r="KBR51" s="13"/>
      <c r="KBS51" s="13"/>
      <c r="KBT51" s="13"/>
      <c r="KBU51" s="13"/>
      <c r="KBV51" s="13"/>
      <c r="KBW51" s="13"/>
      <c r="KBX51" s="13"/>
      <c r="KBY51" s="13"/>
      <c r="KBZ51" s="13"/>
      <c r="KCA51" s="13"/>
      <c r="KCB51" s="13"/>
      <c r="KCC51" s="13"/>
      <c r="KCD51" s="13"/>
      <c r="KCE51" s="13"/>
      <c r="KCF51" s="13"/>
      <c r="KCG51" s="13"/>
      <c r="KCH51" s="13"/>
      <c r="KCI51" s="13"/>
      <c r="KCJ51" s="13"/>
      <c r="KCK51" s="13"/>
      <c r="KCL51" s="13"/>
      <c r="KCM51" s="13"/>
      <c r="KCN51" s="13"/>
      <c r="KCO51" s="13"/>
      <c r="KCP51" s="13"/>
      <c r="KCQ51" s="13"/>
      <c r="KCR51" s="13"/>
      <c r="KCS51" s="13"/>
      <c r="KCT51" s="13"/>
      <c r="KCU51" s="13"/>
      <c r="KCV51" s="13"/>
      <c r="KCW51" s="13"/>
      <c r="KCX51" s="13"/>
      <c r="KCY51" s="13"/>
      <c r="KCZ51" s="13"/>
      <c r="KDA51" s="13"/>
      <c r="KDB51" s="13"/>
      <c r="KDC51" s="13"/>
      <c r="KDD51" s="13"/>
      <c r="KDE51" s="13"/>
      <c r="KDF51" s="13"/>
      <c r="KDG51" s="13"/>
      <c r="KDH51" s="13"/>
      <c r="KDI51" s="13"/>
      <c r="KDJ51" s="13"/>
      <c r="KDK51" s="13"/>
      <c r="KDL51" s="13"/>
      <c r="KDM51" s="13"/>
      <c r="KDN51" s="13"/>
      <c r="KDO51" s="13"/>
      <c r="KDP51" s="13"/>
      <c r="KDQ51" s="13"/>
      <c r="KDR51" s="13"/>
      <c r="KDS51" s="13"/>
      <c r="KDT51" s="13"/>
      <c r="KDU51" s="13"/>
      <c r="KDV51" s="13"/>
      <c r="KDW51" s="13"/>
      <c r="KDX51" s="13"/>
      <c r="KDY51" s="13"/>
      <c r="KDZ51" s="13"/>
      <c r="KEA51" s="13"/>
      <c r="KEB51" s="13"/>
      <c r="KEC51" s="13"/>
      <c r="KED51" s="13"/>
      <c r="KEE51" s="13"/>
      <c r="KEF51" s="13"/>
      <c r="KEG51" s="13"/>
      <c r="KEH51" s="13"/>
      <c r="KEI51" s="13"/>
      <c r="KEJ51" s="13"/>
      <c r="KEK51" s="13"/>
      <c r="KEL51" s="13"/>
      <c r="KEM51" s="13"/>
      <c r="KEN51" s="13"/>
      <c r="KEO51" s="13"/>
      <c r="KEP51" s="13"/>
      <c r="KEQ51" s="13"/>
      <c r="KER51" s="13"/>
      <c r="KES51" s="13"/>
      <c r="KET51" s="13"/>
      <c r="KEU51" s="13"/>
      <c r="KEV51" s="13"/>
      <c r="KEW51" s="13"/>
      <c r="KEX51" s="13"/>
      <c r="KEY51" s="13"/>
      <c r="KEZ51" s="13"/>
      <c r="KFA51" s="13"/>
      <c r="KFB51" s="13"/>
      <c r="KFC51" s="13"/>
      <c r="KFD51" s="13"/>
      <c r="KFE51" s="13"/>
      <c r="KFF51" s="13"/>
      <c r="KFG51" s="13"/>
      <c r="KFH51" s="13"/>
      <c r="KFI51" s="13"/>
      <c r="KFJ51" s="13"/>
      <c r="KFK51" s="13"/>
      <c r="KFL51" s="13"/>
      <c r="KFM51" s="13"/>
      <c r="KFN51" s="13"/>
      <c r="KFO51" s="13"/>
      <c r="KFP51" s="13"/>
      <c r="KFQ51" s="13"/>
      <c r="KFR51" s="13"/>
      <c r="KFS51" s="13"/>
      <c r="KFT51" s="13"/>
      <c r="KFU51" s="13"/>
      <c r="KFV51" s="13"/>
      <c r="KFW51" s="13"/>
      <c r="KFX51" s="13"/>
      <c r="KFY51" s="13"/>
      <c r="KFZ51" s="13"/>
      <c r="KGA51" s="13"/>
      <c r="KGB51" s="13"/>
      <c r="KGC51" s="13"/>
      <c r="KGD51" s="13"/>
      <c r="KGE51" s="13"/>
      <c r="KGF51" s="13"/>
      <c r="KGG51" s="13"/>
      <c r="KGH51" s="13"/>
      <c r="KGI51" s="13"/>
      <c r="KGJ51" s="13"/>
      <c r="KGK51" s="13"/>
      <c r="KGL51" s="13"/>
      <c r="KGM51" s="13"/>
      <c r="KGN51" s="13"/>
      <c r="KGO51" s="13"/>
      <c r="KGP51" s="13"/>
      <c r="KGQ51" s="13"/>
      <c r="KGR51" s="13"/>
      <c r="KGS51" s="13"/>
      <c r="KGT51" s="13"/>
      <c r="KGU51" s="13"/>
      <c r="KGV51" s="13"/>
      <c r="KGW51" s="13"/>
      <c r="KGX51" s="13"/>
      <c r="KGY51" s="13"/>
      <c r="KGZ51" s="13"/>
      <c r="KHA51" s="13"/>
      <c r="KHB51" s="13"/>
      <c r="KHC51" s="13"/>
      <c r="KHD51" s="13"/>
      <c r="KHE51" s="13"/>
      <c r="KHF51" s="13"/>
      <c r="KHG51" s="13"/>
      <c r="KHH51" s="13"/>
      <c r="KHI51" s="13"/>
      <c r="KHJ51" s="13"/>
      <c r="KHK51" s="13"/>
      <c r="KHL51" s="13"/>
      <c r="KHM51" s="13"/>
      <c r="KHN51" s="13"/>
      <c r="KHO51" s="13"/>
      <c r="KHP51" s="13"/>
      <c r="KHQ51" s="13"/>
      <c r="KHR51" s="13"/>
      <c r="KHS51" s="13"/>
      <c r="KHT51" s="13"/>
      <c r="KHU51" s="13"/>
      <c r="KHV51" s="13"/>
      <c r="KHW51" s="13"/>
      <c r="KHX51" s="13"/>
      <c r="KHY51" s="13"/>
      <c r="KHZ51" s="13"/>
      <c r="KIA51" s="13"/>
      <c r="KIB51" s="13"/>
      <c r="KIC51" s="13"/>
      <c r="KID51" s="13"/>
      <c r="KIE51" s="13"/>
      <c r="KIF51" s="13"/>
      <c r="KIG51" s="13"/>
      <c r="KIH51" s="13"/>
      <c r="KII51" s="13"/>
      <c r="KIJ51" s="13"/>
      <c r="KIK51" s="13"/>
      <c r="KIL51" s="13"/>
      <c r="KIM51" s="13"/>
      <c r="KIN51" s="13"/>
      <c r="KIO51" s="13"/>
      <c r="KIP51" s="13"/>
      <c r="KIQ51" s="13"/>
      <c r="KIR51" s="13"/>
      <c r="KIS51" s="13"/>
      <c r="KIT51" s="13"/>
      <c r="KIU51" s="13"/>
      <c r="KIV51" s="13"/>
      <c r="KIW51" s="13"/>
      <c r="KIX51" s="13"/>
      <c r="KIY51" s="13"/>
      <c r="KIZ51" s="13"/>
      <c r="KJA51" s="13"/>
      <c r="KJB51" s="13"/>
      <c r="KJC51" s="13"/>
      <c r="KJD51" s="13"/>
      <c r="KJE51" s="13"/>
      <c r="KJF51" s="13"/>
      <c r="KJG51" s="13"/>
      <c r="KJH51" s="13"/>
      <c r="KJI51" s="13"/>
      <c r="KJJ51" s="13"/>
      <c r="KJK51" s="13"/>
      <c r="KJL51" s="13"/>
      <c r="KJM51" s="13"/>
      <c r="KJN51" s="13"/>
      <c r="KJO51" s="13"/>
      <c r="KJP51" s="13"/>
      <c r="KJQ51" s="13"/>
      <c r="KJR51" s="13"/>
      <c r="KJS51" s="13"/>
      <c r="KJT51" s="13"/>
      <c r="KJU51" s="13"/>
      <c r="KJV51" s="13"/>
      <c r="KJW51" s="13"/>
      <c r="KJX51" s="13"/>
      <c r="KJY51" s="13"/>
      <c r="KJZ51" s="13"/>
      <c r="KKA51" s="13"/>
      <c r="KKB51" s="13"/>
      <c r="KKC51" s="13"/>
      <c r="KKD51" s="13"/>
      <c r="KKE51" s="13"/>
      <c r="KKF51" s="13"/>
      <c r="KKG51" s="13"/>
      <c r="KKH51" s="13"/>
      <c r="KKI51" s="13"/>
      <c r="KKJ51" s="13"/>
      <c r="KKK51" s="13"/>
      <c r="KKL51" s="13"/>
      <c r="KKM51" s="13"/>
      <c r="KKN51" s="13"/>
      <c r="KKO51" s="13"/>
      <c r="KKP51" s="13"/>
      <c r="KKQ51" s="13"/>
      <c r="KKR51" s="13"/>
      <c r="KKS51" s="13"/>
      <c r="KKT51" s="13"/>
      <c r="KKU51" s="13"/>
      <c r="KKV51" s="13"/>
      <c r="KKW51" s="13"/>
      <c r="KKX51" s="13"/>
      <c r="KKY51" s="13"/>
      <c r="KKZ51" s="13"/>
      <c r="KLA51" s="13"/>
      <c r="KLB51" s="13"/>
      <c r="KLC51" s="13"/>
      <c r="KLD51" s="13"/>
      <c r="KLE51" s="13"/>
      <c r="KLF51" s="13"/>
      <c r="KLG51" s="13"/>
      <c r="KLH51" s="13"/>
      <c r="KLI51" s="13"/>
      <c r="KLJ51" s="13"/>
      <c r="KLK51" s="13"/>
      <c r="KLL51" s="13"/>
      <c r="KLM51" s="13"/>
      <c r="KLN51" s="13"/>
      <c r="KLO51" s="13"/>
      <c r="KLP51" s="13"/>
      <c r="KLQ51" s="13"/>
      <c r="KLR51" s="13"/>
      <c r="KLS51" s="13"/>
      <c r="KLT51" s="13"/>
      <c r="KLU51" s="13"/>
      <c r="KLV51" s="13"/>
      <c r="KLW51" s="13"/>
      <c r="KLX51" s="13"/>
      <c r="KLY51" s="13"/>
      <c r="KLZ51" s="13"/>
      <c r="KMA51" s="13"/>
      <c r="KMB51" s="13"/>
      <c r="KMC51" s="13"/>
      <c r="KMD51" s="13"/>
      <c r="KME51" s="13"/>
      <c r="KMF51" s="13"/>
      <c r="KMG51" s="13"/>
      <c r="KMH51" s="13"/>
      <c r="KMI51" s="13"/>
      <c r="KMJ51" s="13"/>
      <c r="KMK51" s="13"/>
      <c r="KML51" s="13"/>
      <c r="KMM51" s="13"/>
      <c r="KMN51" s="13"/>
      <c r="KMO51" s="13"/>
      <c r="KMP51" s="13"/>
      <c r="KMQ51" s="13"/>
      <c r="KMR51" s="13"/>
      <c r="KMS51" s="13"/>
      <c r="KMT51" s="13"/>
      <c r="KMU51" s="13"/>
      <c r="KMV51" s="13"/>
      <c r="KMW51" s="13"/>
      <c r="KMX51" s="13"/>
      <c r="KMY51" s="13"/>
      <c r="KMZ51" s="13"/>
      <c r="KNA51" s="13"/>
      <c r="KNB51" s="13"/>
      <c r="KNC51" s="13"/>
      <c r="KND51" s="13"/>
      <c r="KNE51" s="13"/>
      <c r="KNF51" s="13"/>
      <c r="KNG51" s="13"/>
      <c r="KNH51" s="13"/>
      <c r="KNI51" s="13"/>
      <c r="KNJ51" s="13"/>
      <c r="KNK51" s="13"/>
      <c r="KNL51" s="13"/>
      <c r="KNM51" s="13"/>
      <c r="KNN51" s="13"/>
      <c r="KNO51" s="13"/>
      <c r="KNP51" s="13"/>
      <c r="KNQ51" s="13"/>
      <c r="KNR51" s="13"/>
      <c r="KNS51" s="13"/>
      <c r="KNT51" s="13"/>
      <c r="KNU51" s="13"/>
      <c r="KNV51" s="13"/>
      <c r="KNW51" s="13"/>
      <c r="KNX51" s="13"/>
      <c r="KNY51" s="13"/>
      <c r="KNZ51" s="13"/>
      <c r="KOA51" s="13"/>
      <c r="KOB51" s="13"/>
      <c r="KOC51" s="13"/>
      <c r="KOD51" s="13"/>
      <c r="KOE51" s="13"/>
      <c r="KOF51" s="13"/>
      <c r="KOG51" s="13"/>
      <c r="KOH51" s="13"/>
      <c r="KOI51" s="13"/>
      <c r="KOJ51" s="13"/>
      <c r="KOK51" s="13"/>
      <c r="KOL51" s="13"/>
      <c r="KOM51" s="13"/>
      <c r="KON51" s="13"/>
      <c r="KOO51" s="13"/>
      <c r="KOP51" s="13"/>
      <c r="KOQ51" s="13"/>
      <c r="KOR51" s="13"/>
      <c r="KOS51" s="13"/>
      <c r="KOT51" s="13"/>
      <c r="KOU51" s="13"/>
      <c r="KOV51" s="13"/>
      <c r="KOW51" s="13"/>
      <c r="KOX51" s="13"/>
      <c r="KOY51" s="13"/>
      <c r="KOZ51" s="13"/>
      <c r="KPA51" s="13"/>
      <c r="KPB51" s="13"/>
      <c r="KPC51" s="13"/>
      <c r="KPD51" s="13"/>
      <c r="KPE51" s="13"/>
      <c r="KPF51" s="13"/>
      <c r="KPG51" s="13"/>
      <c r="KPH51" s="13"/>
      <c r="KPI51" s="13"/>
      <c r="KPJ51" s="13"/>
      <c r="KPK51" s="13"/>
      <c r="KPL51" s="13"/>
      <c r="KPM51" s="13"/>
      <c r="KPN51" s="13"/>
      <c r="KPO51" s="13"/>
      <c r="KPP51" s="13"/>
      <c r="KPQ51" s="13"/>
      <c r="KPR51" s="13"/>
      <c r="KPS51" s="13"/>
      <c r="KPT51" s="13"/>
      <c r="KPU51" s="13"/>
      <c r="KPV51" s="13"/>
      <c r="KPW51" s="13"/>
      <c r="KPX51" s="13"/>
      <c r="KPY51" s="13"/>
      <c r="KPZ51" s="13"/>
      <c r="KQA51" s="13"/>
      <c r="KQB51" s="13"/>
      <c r="KQC51" s="13"/>
      <c r="KQD51" s="13"/>
      <c r="KQE51" s="13"/>
      <c r="KQF51" s="13"/>
      <c r="KQG51" s="13"/>
      <c r="KQH51" s="13"/>
      <c r="KQI51" s="13"/>
      <c r="KQJ51" s="13"/>
      <c r="KQK51" s="13"/>
      <c r="KQL51" s="13"/>
      <c r="KQM51" s="13"/>
      <c r="KQN51" s="13"/>
      <c r="KQO51" s="13"/>
      <c r="KQP51" s="13"/>
      <c r="KQQ51" s="13"/>
      <c r="KQR51" s="13"/>
      <c r="KQS51" s="13"/>
      <c r="KQT51" s="13"/>
      <c r="KQU51" s="13"/>
      <c r="KQV51" s="13"/>
      <c r="KQW51" s="13"/>
      <c r="KQX51" s="13"/>
      <c r="KQY51" s="13"/>
      <c r="KQZ51" s="13"/>
      <c r="KRA51" s="13"/>
      <c r="KRB51" s="13"/>
      <c r="KRC51" s="13"/>
      <c r="KRD51" s="13"/>
      <c r="KRE51" s="13"/>
      <c r="KRF51" s="13"/>
      <c r="KRG51" s="13"/>
      <c r="KRH51" s="13"/>
      <c r="KRI51" s="13"/>
      <c r="KRJ51" s="13"/>
      <c r="KRK51" s="13"/>
      <c r="KRL51" s="13"/>
      <c r="KRM51" s="13"/>
      <c r="KRN51" s="13"/>
      <c r="KRO51" s="13"/>
      <c r="KRP51" s="13"/>
      <c r="KRQ51" s="13"/>
      <c r="KRR51" s="13"/>
      <c r="KRS51" s="13"/>
      <c r="KRT51" s="13"/>
      <c r="KRU51" s="13"/>
      <c r="KRV51" s="13"/>
      <c r="KRW51" s="13"/>
      <c r="KRX51" s="13"/>
      <c r="KRY51" s="13"/>
      <c r="KRZ51" s="13"/>
      <c r="KSA51" s="13"/>
      <c r="KSB51" s="13"/>
      <c r="KSC51" s="13"/>
      <c r="KSD51" s="13"/>
      <c r="KSE51" s="13"/>
      <c r="KSF51" s="13"/>
      <c r="KSG51" s="13"/>
      <c r="KSH51" s="13"/>
      <c r="KSI51" s="13"/>
      <c r="KSJ51" s="13"/>
      <c r="KSK51" s="13"/>
      <c r="KSL51" s="13"/>
      <c r="KSM51" s="13"/>
      <c r="KSN51" s="13"/>
      <c r="KSO51" s="13"/>
      <c r="KSP51" s="13"/>
      <c r="KSQ51" s="13"/>
      <c r="KSR51" s="13"/>
      <c r="KSS51" s="13"/>
      <c r="KST51" s="13"/>
      <c r="KSU51" s="13"/>
      <c r="KSV51" s="13"/>
      <c r="KSW51" s="13"/>
      <c r="KSX51" s="13"/>
      <c r="KSY51" s="13"/>
      <c r="KSZ51" s="13"/>
      <c r="KTA51" s="13"/>
      <c r="KTB51" s="13"/>
      <c r="KTC51" s="13"/>
      <c r="KTD51" s="13"/>
      <c r="KTE51" s="13"/>
      <c r="KTF51" s="13"/>
      <c r="KTG51" s="13"/>
      <c r="KTH51" s="13"/>
      <c r="KTI51" s="13"/>
      <c r="KTJ51" s="13"/>
      <c r="KTK51" s="13"/>
      <c r="KTL51" s="13"/>
      <c r="KTM51" s="13"/>
      <c r="KTN51" s="13"/>
      <c r="KTO51" s="13"/>
      <c r="KTP51" s="13"/>
      <c r="KTQ51" s="13"/>
      <c r="KTR51" s="13"/>
      <c r="KTS51" s="13"/>
      <c r="KTT51" s="13"/>
      <c r="KTU51" s="13"/>
      <c r="KTV51" s="13"/>
      <c r="KTW51" s="13"/>
      <c r="KTX51" s="13"/>
      <c r="KTY51" s="13"/>
      <c r="KTZ51" s="13"/>
      <c r="KUA51" s="13"/>
      <c r="KUB51" s="13"/>
      <c r="KUC51" s="13"/>
      <c r="KUD51" s="13"/>
      <c r="KUE51" s="13"/>
      <c r="KUF51" s="13"/>
      <c r="KUG51" s="13"/>
      <c r="KUH51" s="13"/>
      <c r="KUI51" s="13"/>
      <c r="KUJ51" s="13"/>
      <c r="KUK51" s="13"/>
      <c r="KUL51" s="13"/>
      <c r="KUM51" s="13"/>
      <c r="KUN51" s="13"/>
      <c r="KUO51" s="13"/>
      <c r="KUP51" s="13"/>
      <c r="KUQ51" s="13"/>
      <c r="KUR51" s="13"/>
      <c r="KUS51" s="13"/>
      <c r="KUT51" s="13"/>
      <c r="KUU51" s="13"/>
      <c r="KUV51" s="13"/>
      <c r="KUW51" s="13"/>
      <c r="KUX51" s="13"/>
      <c r="KUY51" s="13"/>
      <c r="KUZ51" s="13"/>
      <c r="KVA51" s="13"/>
      <c r="KVB51" s="13"/>
      <c r="KVC51" s="13"/>
      <c r="KVD51" s="13"/>
      <c r="KVE51" s="13"/>
      <c r="KVF51" s="13"/>
      <c r="KVG51" s="13"/>
      <c r="KVH51" s="13"/>
      <c r="KVI51" s="13"/>
      <c r="KVJ51" s="13"/>
      <c r="KVK51" s="13"/>
      <c r="KVL51" s="13"/>
      <c r="KVM51" s="13"/>
      <c r="KVN51" s="13"/>
      <c r="KVO51" s="13"/>
      <c r="KVP51" s="13"/>
      <c r="KVQ51" s="13"/>
      <c r="KVR51" s="13"/>
      <c r="KVS51" s="13"/>
      <c r="KVT51" s="13"/>
      <c r="KVU51" s="13"/>
      <c r="KVV51" s="13"/>
      <c r="KVW51" s="13"/>
      <c r="KVX51" s="13"/>
      <c r="KVY51" s="13"/>
      <c r="KVZ51" s="13"/>
      <c r="KWA51" s="13"/>
      <c r="KWB51" s="13"/>
      <c r="KWC51" s="13"/>
      <c r="KWD51" s="13"/>
      <c r="KWE51" s="13"/>
      <c r="KWF51" s="13"/>
      <c r="KWG51" s="13"/>
      <c r="KWH51" s="13"/>
      <c r="KWI51" s="13"/>
      <c r="KWJ51" s="13"/>
      <c r="KWK51" s="13"/>
      <c r="KWL51" s="13"/>
      <c r="KWM51" s="13"/>
      <c r="KWN51" s="13"/>
      <c r="KWO51" s="13"/>
      <c r="KWP51" s="13"/>
      <c r="KWQ51" s="13"/>
      <c r="KWR51" s="13"/>
      <c r="KWS51" s="13"/>
      <c r="KWT51" s="13"/>
      <c r="KWU51" s="13"/>
      <c r="KWV51" s="13"/>
      <c r="KWW51" s="13"/>
      <c r="KWX51" s="13"/>
      <c r="KWY51" s="13"/>
      <c r="KWZ51" s="13"/>
      <c r="KXA51" s="13"/>
      <c r="KXB51" s="13"/>
      <c r="KXC51" s="13"/>
      <c r="KXD51" s="13"/>
      <c r="KXE51" s="13"/>
      <c r="KXF51" s="13"/>
      <c r="KXG51" s="13"/>
      <c r="KXH51" s="13"/>
      <c r="KXI51" s="13"/>
      <c r="KXJ51" s="13"/>
      <c r="KXK51" s="13"/>
      <c r="KXL51" s="13"/>
      <c r="KXM51" s="13"/>
      <c r="KXN51" s="13"/>
      <c r="KXO51" s="13"/>
      <c r="KXP51" s="13"/>
      <c r="KXQ51" s="13"/>
      <c r="KXR51" s="13"/>
      <c r="KXS51" s="13"/>
      <c r="KXT51" s="13"/>
      <c r="KXU51" s="13"/>
      <c r="KXV51" s="13"/>
      <c r="KXW51" s="13"/>
      <c r="KXX51" s="13"/>
      <c r="KXY51" s="13"/>
      <c r="KXZ51" s="13"/>
      <c r="KYA51" s="13"/>
      <c r="KYB51" s="13"/>
      <c r="KYC51" s="13"/>
      <c r="KYD51" s="13"/>
      <c r="KYE51" s="13"/>
      <c r="KYF51" s="13"/>
      <c r="KYG51" s="13"/>
      <c r="KYH51" s="13"/>
      <c r="KYI51" s="13"/>
      <c r="KYJ51" s="13"/>
      <c r="KYK51" s="13"/>
      <c r="KYL51" s="13"/>
      <c r="KYM51" s="13"/>
      <c r="KYN51" s="13"/>
      <c r="KYO51" s="13"/>
      <c r="KYP51" s="13"/>
      <c r="KYQ51" s="13"/>
      <c r="KYR51" s="13"/>
      <c r="KYS51" s="13"/>
      <c r="KYT51" s="13"/>
      <c r="KYU51" s="13"/>
      <c r="KYV51" s="13"/>
      <c r="KYW51" s="13"/>
      <c r="KYX51" s="13"/>
      <c r="KYY51" s="13"/>
      <c r="KYZ51" s="13"/>
      <c r="KZA51" s="13"/>
      <c r="KZB51" s="13"/>
      <c r="KZC51" s="13"/>
      <c r="KZD51" s="13"/>
      <c r="KZE51" s="13"/>
      <c r="KZF51" s="13"/>
      <c r="KZG51" s="13"/>
      <c r="KZH51" s="13"/>
      <c r="KZI51" s="13"/>
      <c r="KZJ51" s="13"/>
      <c r="KZK51" s="13"/>
      <c r="KZL51" s="13"/>
      <c r="KZM51" s="13"/>
      <c r="KZN51" s="13"/>
      <c r="KZO51" s="13"/>
      <c r="KZP51" s="13"/>
      <c r="KZQ51" s="13"/>
      <c r="KZR51" s="13"/>
      <c r="KZS51" s="13"/>
      <c r="KZT51" s="13"/>
      <c r="KZU51" s="13"/>
      <c r="KZV51" s="13"/>
      <c r="KZW51" s="13"/>
      <c r="KZX51" s="13"/>
      <c r="KZY51" s="13"/>
      <c r="KZZ51" s="13"/>
      <c r="LAA51" s="13"/>
      <c r="LAB51" s="13"/>
      <c r="LAC51" s="13"/>
      <c r="LAD51" s="13"/>
      <c r="LAE51" s="13"/>
      <c r="LAF51" s="13"/>
      <c r="LAG51" s="13"/>
      <c r="LAH51" s="13"/>
      <c r="LAI51" s="13"/>
      <c r="LAJ51" s="13"/>
      <c r="LAK51" s="13"/>
      <c r="LAL51" s="13"/>
      <c r="LAM51" s="13"/>
      <c r="LAN51" s="13"/>
      <c r="LAO51" s="13"/>
      <c r="LAP51" s="13"/>
      <c r="LAQ51" s="13"/>
      <c r="LAR51" s="13"/>
      <c r="LAS51" s="13"/>
      <c r="LAT51" s="13"/>
      <c r="LAU51" s="13"/>
      <c r="LAV51" s="13"/>
      <c r="LAW51" s="13"/>
      <c r="LAX51" s="13"/>
      <c r="LAY51" s="13"/>
      <c r="LAZ51" s="13"/>
      <c r="LBA51" s="13"/>
      <c r="LBB51" s="13"/>
      <c r="LBC51" s="13"/>
      <c r="LBD51" s="13"/>
      <c r="LBE51" s="13"/>
      <c r="LBF51" s="13"/>
      <c r="LBG51" s="13"/>
      <c r="LBH51" s="13"/>
      <c r="LBI51" s="13"/>
      <c r="LBJ51" s="13"/>
      <c r="LBK51" s="13"/>
      <c r="LBL51" s="13"/>
      <c r="LBM51" s="13"/>
      <c r="LBN51" s="13"/>
      <c r="LBO51" s="13"/>
      <c r="LBP51" s="13"/>
      <c r="LBQ51" s="13"/>
      <c r="LBR51" s="13"/>
      <c r="LBS51" s="13"/>
      <c r="LBT51" s="13"/>
      <c r="LBU51" s="13"/>
      <c r="LBV51" s="13"/>
      <c r="LBW51" s="13"/>
      <c r="LBX51" s="13"/>
      <c r="LBY51" s="13"/>
      <c r="LBZ51" s="13"/>
      <c r="LCA51" s="13"/>
      <c r="LCB51" s="13"/>
      <c r="LCC51" s="13"/>
      <c r="LCD51" s="13"/>
      <c r="LCE51" s="13"/>
      <c r="LCF51" s="13"/>
      <c r="LCG51" s="13"/>
      <c r="LCH51" s="13"/>
      <c r="LCI51" s="13"/>
      <c r="LCJ51" s="13"/>
      <c r="LCK51" s="13"/>
      <c r="LCL51" s="13"/>
      <c r="LCM51" s="13"/>
      <c r="LCN51" s="13"/>
      <c r="LCO51" s="13"/>
      <c r="LCP51" s="13"/>
      <c r="LCQ51" s="13"/>
      <c r="LCR51" s="13"/>
      <c r="LCS51" s="13"/>
      <c r="LCT51" s="13"/>
      <c r="LCU51" s="13"/>
      <c r="LCV51" s="13"/>
      <c r="LCW51" s="13"/>
      <c r="LCX51" s="13"/>
      <c r="LCY51" s="13"/>
      <c r="LCZ51" s="13"/>
      <c r="LDA51" s="13"/>
      <c r="LDB51" s="13"/>
      <c r="LDC51" s="13"/>
      <c r="LDD51" s="13"/>
      <c r="LDE51" s="13"/>
      <c r="LDF51" s="13"/>
      <c r="LDG51" s="13"/>
      <c r="LDH51" s="13"/>
      <c r="LDI51" s="13"/>
      <c r="LDJ51" s="13"/>
      <c r="LDK51" s="13"/>
      <c r="LDL51" s="13"/>
      <c r="LDM51" s="13"/>
      <c r="LDN51" s="13"/>
      <c r="LDO51" s="13"/>
      <c r="LDP51" s="13"/>
      <c r="LDQ51" s="13"/>
      <c r="LDR51" s="13"/>
      <c r="LDS51" s="13"/>
      <c r="LDT51" s="13"/>
      <c r="LDU51" s="13"/>
      <c r="LDV51" s="13"/>
      <c r="LDW51" s="13"/>
      <c r="LDX51" s="13"/>
      <c r="LDY51" s="13"/>
      <c r="LDZ51" s="13"/>
      <c r="LEA51" s="13"/>
      <c r="LEB51" s="13"/>
      <c r="LEC51" s="13"/>
      <c r="LED51" s="13"/>
      <c r="LEE51" s="13"/>
      <c r="LEF51" s="13"/>
      <c r="LEG51" s="13"/>
      <c r="LEH51" s="13"/>
      <c r="LEI51" s="13"/>
      <c r="LEJ51" s="13"/>
      <c r="LEK51" s="13"/>
      <c r="LEL51" s="13"/>
      <c r="LEM51" s="13"/>
      <c r="LEN51" s="13"/>
      <c r="LEO51" s="13"/>
      <c r="LEP51" s="13"/>
      <c r="LEQ51" s="13"/>
      <c r="LER51" s="13"/>
      <c r="LES51" s="13"/>
      <c r="LET51" s="13"/>
      <c r="LEU51" s="13"/>
      <c r="LEV51" s="13"/>
      <c r="LEW51" s="13"/>
      <c r="LEX51" s="13"/>
      <c r="LEY51" s="13"/>
      <c r="LEZ51" s="13"/>
      <c r="LFA51" s="13"/>
      <c r="LFB51" s="13"/>
      <c r="LFC51" s="13"/>
      <c r="LFD51" s="13"/>
      <c r="LFE51" s="13"/>
      <c r="LFF51" s="13"/>
      <c r="LFG51" s="13"/>
      <c r="LFH51" s="13"/>
      <c r="LFI51" s="13"/>
      <c r="LFJ51" s="13"/>
      <c r="LFK51" s="13"/>
      <c r="LFL51" s="13"/>
      <c r="LFM51" s="13"/>
      <c r="LFN51" s="13"/>
      <c r="LFO51" s="13"/>
      <c r="LFP51" s="13"/>
      <c r="LFQ51" s="13"/>
      <c r="LFR51" s="13"/>
      <c r="LFS51" s="13"/>
      <c r="LFT51" s="13"/>
      <c r="LFU51" s="13"/>
      <c r="LFV51" s="13"/>
      <c r="LFW51" s="13"/>
      <c r="LFX51" s="13"/>
      <c r="LFY51" s="13"/>
      <c r="LFZ51" s="13"/>
      <c r="LGA51" s="13"/>
      <c r="LGB51" s="13"/>
      <c r="LGC51" s="13"/>
      <c r="LGD51" s="13"/>
      <c r="LGE51" s="13"/>
      <c r="LGF51" s="13"/>
      <c r="LGG51" s="13"/>
      <c r="LGH51" s="13"/>
      <c r="LGI51" s="13"/>
      <c r="LGJ51" s="13"/>
      <c r="LGK51" s="13"/>
      <c r="LGL51" s="13"/>
      <c r="LGM51" s="13"/>
      <c r="LGN51" s="13"/>
      <c r="LGO51" s="13"/>
      <c r="LGP51" s="13"/>
      <c r="LGQ51" s="13"/>
      <c r="LGR51" s="13"/>
      <c r="LGS51" s="13"/>
      <c r="LGT51" s="13"/>
      <c r="LGU51" s="13"/>
      <c r="LGV51" s="13"/>
      <c r="LGW51" s="13"/>
      <c r="LGX51" s="13"/>
      <c r="LGY51" s="13"/>
      <c r="LGZ51" s="13"/>
      <c r="LHA51" s="13"/>
      <c r="LHB51" s="13"/>
      <c r="LHC51" s="13"/>
      <c r="LHD51" s="13"/>
      <c r="LHE51" s="13"/>
      <c r="LHF51" s="13"/>
      <c r="LHG51" s="13"/>
      <c r="LHH51" s="13"/>
      <c r="LHI51" s="13"/>
      <c r="LHJ51" s="13"/>
      <c r="LHK51" s="13"/>
      <c r="LHL51" s="13"/>
      <c r="LHM51" s="13"/>
      <c r="LHN51" s="13"/>
      <c r="LHO51" s="13"/>
      <c r="LHP51" s="13"/>
      <c r="LHQ51" s="13"/>
      <c r="LHR51" s="13"/>
      <c r="LHS51" s="13"/>
      <c r="LHT51" s="13"/>
      <c r="LHU51" s="13"/>
      <c r="LHV51" s="13"/>
      <c r="LHW51" s="13"/>
      <c r="LHX51" s="13"/>
      <c r="LHY51" s="13"/>
      <c r="LHZ51" s="13"/>
      <c r="LIA51" s="13"/>
      <c r="LIB51" s="13"/>
      <c r="LIC51" s="13"/>
      <c r="LID51" s="13"/>
      <c r="LIE51" s="13"/>
      <c r="LIF51" s="13"/>
      <c r="LIG51" s="13"/>
      <c r="LIH51" s="13"/>
      <c r="LII51" s="13"/>
      <c r="LIJ51" s="13"/>
      <c r="LIK51" s="13"/>
      <c r="LIL51" s="13"/>
      <c r="LIM51" s="13"/>
      <c r="LIN51" s="13"/>
      <c r="LIO51" s="13"/>
      <c r="LIP51" s="13"/>
      <c r="LIQ51" s="13"/>
      <c r="LIR51" s="13"/>
      <c r="LIS51" s="13"/>
      <c r="LIT51" s="13"/>
      <c r="LIU51" s="13"/>
      <c r="LIV51" s="13"/>
      <c r="LIW51" s="13"/>
      <c r="LIX51" s="13"/>
      <c r="LIY51" s="13"/>
      <c r="LIZ51" s="13"/>
      <c r="LJA51" s="13"/>
      <c r="LJB51" s="13"/>
      <c r="LJC51" s="13"/>
      <c r="LJD51" s="13"/>
      <c r="LJE51" s="13"/>
      <c r="LJF51" s="13"/>
      <c r="LJG51" s="13"/>
      <c r="LJH51" s="13"/>
      <c r="LJI51" s="13"/>
      <c r="LJJ51" s="13"/>
      <c r="LJK51" s="13"/>
      <c r="LJL51" s="13"/>
      <c r="LJM51" s="13"/>
      <c r="LJN51" s="13"/>
      <c r="LJO51" s="13"/>
      <c r="LJP51" s="13"/>
      <c r="LJQ51" s="13"/>
      <c r="LJR51" s="13"/>
      <c r="LJS51" s="13"/>
      <c r="LJT51" s="13"/>
      <c r="LJU51" s="13"/>
      <c r="LJV51" s="13"/>
      <c r="LJW51" s="13"/>
      <c r="LJX51" s="13"/>
      <c r="LJY51" s="13"/>
      <c r="LJZ51" s="13"/>
      <c r="LKA51" s="13"/>
      <c r="LKB51" s="13"/>
      <c r="LKC51" s="13"/>
      <c r="LKD51" s="13"/>
      <c r="LKE51" s="13"/>
      <c r="LKF51" s="13"/>
      <c r="LKG51" s="13"/>
      <c r="LKH51" s="13"/>
      <c r="LKI51" s="13"/>
      <c r="LKJ51" s="13"/>
      <c r="LKK51" s="13"/>
      <c r="LKL51" s="13"/>
      <c r="LKM51" s="13"/>
      <c r="LKN51" s="13"/>
      <c r="LKO51" s="13"/>
      <c r="LKP51" s="13"/>
      <c r="LKQ51" s="13"/>
      <c r="LKR51" s="13"/>
      <c r="LKS51" s="13"/>
      <c r="LKT51" s="13"/>
      <c r="LKU51" s="13"/>
      <c r="LKV51" s="13"/>
      <c r="LKW51" s="13"/>
      <c r="LKX51" s="13"/>
      <c r="LKY51" s="13"/>
      <c r="LKZ51" s="13"/>
      <c r="LLA51" s="13"/>
      <c r="LLB51" s="13"/>
      <c r="LLC51" s="13"/>
      <c r="LLD51" s="13"/>
      <c r="LLE51" s="13"/>
      <c r="LLF51" s="13"/>
      <c r="LLG51" s="13"/>
      <c r="LLH51" s="13"/>
      <c r="LLI51" s="13"/>
      <c r="LLJ51" s="13"/>
      <c r="LLK51" s="13"/>
      <c r="LLL51" s="13"/>
      <c r="LLM51" s="13"/>
      <c r="LLN51" s="13"/>
      <c r="LLO51" s="13"/>
      <c r="LLP51" s="13"/>
      <c r="LLQ51" s="13"/>
      <c r="LLR51" s="13"/>
      <c r="LLS51" s="13"/>
      <c r="LLT51" s="13"/>
      <c r="LLU51" s="13"/>
      <c r="LLV51" s="13"/>
      <c r="LLW51" s="13"/>
      <c r="LLX51" s="13"/>
      <c r="LLY51" s="13"/>
      <c r="LLZ51" s="13"/>
      <c r="LMA51" s="13"/>
      <c r="LMB51" s="13"/>
      <c r="LMC51" s="13"/>
      <c r="LMD51" s="13"/>
      <c r="LME51" s="13"/>
      <c r="LMF51" s="13"/>
      <c r="LMG51" s="13"/>
      <c r="LMH51" s="13"/>
      <c r="LMI51" s="13"/>
      <c r="LMJ51" s="13"/>
      <c r="LMK51" s="13"/>
      <c r="LML51" s="13"/>
      <c r="LMM51" s="13"/>
      <c r="LMN51" s="13"/>
      <c r="LMO51" s="13"/>
      <c r="LMP51" s="13"/>
      <c r="LMQ51" s="13"/>
      <c r="LMR51" s="13"/>
      <c r="LMS51" s="13"/>
      <c r="LMT51" s="13"/>
      <c r="LMU51" s="13"/>
      <c r="LMV51" s="13"/>
      <c r="LMW51" s="13"/>
      <c r="LMX51" s="13"/>
      <c r="LMY51" s="13"/>
      <c r="LMZ51" s="13"/>
      <c r="LNA51" s="13"/>
      <c r="LNB51" s="13"/>
      <c r="LNC51" s="13"/>
      <c r="LND51" s="13"/>
      <c r="LNE51" s="13"/>
      <c r="LNF51" s="13"/>
      <c r="LNG51" s="13"/>
      <c r="LNH51" s="13"/>
      <c r="LNI51" s="13"/>
      <c r="LNJ51" s="13"/>
      <c r="LNK51" s="13"/>
      <c r="LNL51" s="13"/>
      <c r="LNM51" s="13"/>
      <c r="LNN51" s="13"/>
      <c r="LNO51" s="13"/>
      <c r="LNP51" s="13"/>
      <c r="LNQ51" s="13"/>
      <c r="LNR51" s="13"/>
      <c r="LNS51" s="13"/>
      <c r="LNT51" s="13"/>
      <c r="LNU51" s="13"/>
      <c r="LNV51" s="13"/>
      <c r="LNW51" s="13"/>
      <c r="LNX51" s="13"/>
      <c r="LNY51" s="13"/>
      <c r="LNZ51" s="13"/>
      <c r="LOA51" s="13"/>
      <c r="LOB51" s="13"/>
      <c r="LOC51" s="13"/>
      <c r="LOD51" s="13"/>
      <c r="LOE51" s="13"/>
      <c r="LOF51" s="13"/>
      <c r="LOG51" s="13"/>
      <c r="LOH51" s="13"/>
      <c r="LOI51" s="13"/>
      <c r="LOJ51" s="13"/>
      <c r="LOK51" s="13"/>
      <c r="LOL51" s="13"/>
      <c r="LOM51" s="13"/>
      <c r="LON51" s="13"/>
      <c r="LOO51" s="13"/>
      <c r="LOP51" s="13"/>
      <c r="LOQ51" s="13"/>
      <c r="LOR51" s="13"/>
      <c r="LOS51" s="13"/>
      <c r="LOT51" s="13"/>
      <c r="LOU51" s="13"/>
      <c r="LOV51" s="13"/>
      <c r="LOW51" s="13"/>
      <c r="LOX51" s="13"/>
      <c r="LOY51" s="13"/>
      <c r="LOZ51" s="13"/>
      <c r="LPA51" s="13"/>
      <c r="LPB51" s="13"/>
      <c r="LPC51" s="13"/>
      <c r="LPD51" s="13"/>
      <c r="LPE51" s="13"/>
      <c r="LPF51" s="13"/>
      <c r="LPG51" s="13"/>
      <c r="LPH51" s="13"/>
      <c r="LPI51" s="13"/>
      <c r="LPJ51" s="13"/>
      <c r="LPK51" s="13"/>
      <c r="LPL51" s="13"/>
      <c r="LPM51" s="13"/>
      <c r="LPN51" s="13"/>
      <c r="LPO51" s="13"/>
      <c r="LPP51" s="13"/>
      <c r="LPQ51" s="13"/>
      <c r="LPR51" s="13"/>
      <c r="LPS51" s="13"/>
      <c r="LPT51" s="13"/>
      <c r="LPU51" s="13"/>
      <c r="LPV51" s="13"/>
      <c r="LPW51" s="13"/>
      <c r="LPX51" s="13"/>
      <c r="LPY51" s="13"/>
      <c r="LPZ51" s="13"/>
      <c r="LQA51" s="13"/>
      <c r="LQB51" s="13"/>
      <c r="LQC51" s="13"/>
      <c r="LQD51" s="13"/>
      <c r="LQE51" s="13"/>
      <c r="LQF51" s="13"/>
      <c r="LQG51" s="13"/>
      <c r="LQH51" s="13"/>
      <c r="LQI51" s="13"/>
      <c r="LQJ51" s="13"/>
      <c r="LQK51" s="13"/>
      <c r="LQL51" s="13"/>
      <c r="LQM51" s="13"/>
      <c r="LQN51" s="13"/>
      <c r="LQO51" s="13"/>
      <c r="LQP51" s="13"/>
      <c r="LQQ51" s="13"/>
      <c r="LQR51" s="13"/>
      <c r="LQS51" s="13"/>
      <c r="LQT51" s="13"/>
      <c r="LQU51" s="13"/>
      <c r="LQV51" s="13"/>
      <c r="LQW51" s="13"/>
      <c r="LQX51" s="13"/>
      <c r="LQY51" s="13"/>
      <c r="LQZ51" s="13"/>
      <c r="LRA51" s="13"/>
      <c r="LRB51" s="13"/>
      <c r="LRC51" s="13"/>
      <c r="LRD51" s="13"/>
      <c r="LRE51" s="13"/>
      <c r="LRF51" s="13"/>
      <c r="LRG51" s="13"/>
      <c r="LRH51" s="13"/>
      <c r="LRI51" s="13"/>
      <c r="LRJ51" s="13"/>
      <c r="LRK51" s="13"/>
      <c r="LRL51" s="13"/>
      <c r="LRM51" s="13"/>
      <c r="LRN51" s="13"/>
      <c r="LRO51" s="13"/>
      <c r="LRP51" s="13"/>
      <c r="LRQ51" s="13"/>
      <c r="LRR51" s="13"/>
      <c r="LRS51" s="13"/>
      <c r="LRT51" s="13"/>
      <c r="LRU51" s="13"/>
      <c r="LRV51" s="13"/>
      <c r="LRW51" s="13"/>
      <c r="LRX51" s="13"/>
      <c r="LRY51" s="13"/>
      <c r="LRZ51" s="13"/>
      <c r="LSA51" s="13"/>
      <c r="LSB51" s="13"/>
      <c r="LSC51" s="13"/>
      <c r="LSD51" s="13"/>
      <c r="LSE51" s="13"/>
      <c r="LSF51" s="13"/>
      <c r="LSG51" s="13"/>
      <c r="LSH51" s="13"/>
      <c r="LSI51" s="13"/>
      <c r="LSJ51" s="13"/>
      <c r="LSK51" s="13"/>
      <c r="LSL51" s="13"/>
      <c r="LSM51" s="13"/>
      <c r="LSN51" s="13"/>
      <c r="LSO51" s="13"/>
      <c r="LSP51" s="13"/>
      <c r="LSQ51" s="13"/>
      <c r="LSR51" s="13"/>
      <c r="LSS51" s="13"/>
      <c r="LST51" s="13"/>
      <c r="LSU51" s="13"/>
      <c r="LSV51" s="13"/>
      <c r="LSW51" s="13"/>
      <c r="LSX51" s="13"/>
      <c r="LSY51" s="13"/>
      <c r="LSZ51" s="13"/>
      <c r="LTA51" s="13"/>
      <c r="LTB51" s="13"/>
      <c r="LTC51" s="13"/>
      <c r="LTD51" s="13"/>
      <c r="LTE51" s="13"/>
      <c r="LTF51" s="13"/>
      <c r="LTG51" s="13"/>
      <c r="LTH51" s="13"/>
      <c r="LTI51" s="13"/>
      <c r="LTJ51" s="13"/>
      <c r="LTK51" s="13"/>
      <c r="LTL51" s="13"/>
      <c r="LTM51" s="13"/>
      <c r="LTN51" s="13"/>
      <c r="LTO51" s="13"/>
      <c r="LTP51" s="13"/>
      <c r="LTQ51" s="13"/>
      <c r="LTR51" s="13"/>
      <c r="LTS51" s="13"/>
      <c r="LTT51" s="13"/>
      <c r="LTU51" s="13"/>
      <c r="LTV51" s="13"/>
      <c r="LTW51" s="13"/>
      <c r="LTX51" s="13"/>
      <c r="LTY51" s="13"/>
      <c r="LTZ51" s="13"/>
      <c r="LUA51" s="13"/>
      <c r="LUB51" s="13"/>
      <c r="LUC51" s="13"/>
      <c r="LUD51" s="13"/>
      <c r="LUE51" s="13"/>
      <c r="LUF51" s="13"/>
      <c r="LUG51" s="13"/>
      <c r="LUH51" s="13"/>
      <c r="LUI51" s="13"/>
      <c r="LUJ51" s="13"/>
      <c r="LUK51" s="13"/>
      <c r="LUL51" s="13"/>
      <c r="LUM51" s="13"/>
      <c r="LUN51" s="13"/>
      <c r="LUO51" s="13"/>
      <c r="LUP51" s="13"/>
      <c r="LUQ51" s="13"/>
      <c r="LUR51" s="13"/>
      <c r="LUS51" s="13"/>
      <c r="LUT51" s="13"/>
      <c r="LUU51" s="13"/>
      <c r="LUV51" s="13"/>
      <c r="LUW51" s="13"/>
      <c r="LUX51" s="13"/>
      <c r="LUY51" s="13"/>
      <c r="LUZ51" s="13"/>
      <c r="LVA51" s="13"/>
      <c r="LVB51" s="13"/>
      <c r="LVC51" s="13"/>
      <c r="LVD51" s="13"/>
      <c r="LVE51" s="13"/>
      <c r="LVF51" s="13"/>
      <c r="LVG51" s="13"/>
      <c r="LVH51" s="13"/>
      <c r="LVI51" s="13"/>
      <c r="LVJ51" s="13"/>
      <c r="LVK51" s="13"/>
      <c r="LVL51" s="13"/>
      <c r="LVM51" s="13"/>
      <c r="LVN51" s="13"/>
      <c r="LVO51" s="13"/>
      <c r="LVP51" s="13"/>
      <c r="LVQ51" s="13"/>
      <c r="LVR51" s="13"/>
      <c r="LVS51" s="13"/>
      <c r="LVT51" s="13"/>
      <c r="LVU51" s="13"/>
      <c r="LVV51" s="13"/>
      <c r="LVW51" s="13"/>
      <c r="LVX51" s="13"/>
      <c r="LVY51" s="13"/>
      <c r="LVZ51" s="13"/>
      <c r="LWA51" s="13"/>
      <c r="LWB51" s="13"/>
      <c r="LWC51" s="13"/>
      <c r="LWD51" s="13"/>
      <c r="LWE51" s="13"/>
      <c r="LWF51" s="13"/>
      <c r="LWG51" s="13"/>
      <c r="LWH51" s="13"/>
      <c r="LWI51" s="13"/>
      <c r="LWJ51" s="13"/>
      <c r="LWK51" s="13"/>
      <c r="LWL51" s="13"/>
      <c r="LWM51" s="13"/>
      <c r="LWN51" s="13"/>
      <c r="LWO51" s="13"/>
      <c r="LWP51" s="13"/>
      <c r="LWQ51" s="13"/>
      <c r="LWR51" s="13"/>
      <c r="LWS51" s="13"/>
      <c r="LWT51" s="13"/>
      <c r="LWU51" s="13"/>
      <c r="LWV51" s="13"/>
      <c r="LWW51" s="13"/>
      <c r="LWX51" s="13"/>
      <c r="LWY51" s="13"/>
      <c r="LWZ51" s="13"/>
      <c r="LXA51" s="13"/>
      <c r="LXB51" s="13"/>
      <c r="LXC51" s="13"/>
      <c r="LXD51" s="13"/>
      <c r="LXE51" s="13"/>
      <c r="LXF51" s="13"/>
      <c r="LXG51" s="13"/>
      <c r="LXH51" s="13"/>
      <c r="LXI51" s="13"/>
      <c r="LXJ51" s="13"/>
      <c r="LXK51" s="13"/>
      <c r="LXL51" s="13"/>
      <c r="LXM51" s="13"/>
      <c r="LXN51" s="13"/>
      <c r="LXO51" s="13"/>
      <c r="LXP51" s="13"/>
      <c r="LXQ51" s="13"/>
      <c r="LXR51" s="13"/>
      <c r="LXS51" s="13"/>
      <c r="LXT51" s="13"/>
      <c r="LXU51" s="13"/>
      <c r="LXV51" s="13"/>
      <c r="LXW51" s="13"/>
      <c r="LXX51" s="13"/>
      <c r="LXY51" s="13"/>
      <c r="LXZ51" s="13"/>
      <c r="LYA51" s="13"/>
      <c r="LYB51" s="13"/>
      <c r="LYC51" s="13"/>
      <c r="LYD51" s="13"/>
      <c r="LYE51" s="13"/>
      <c r="LYF51" s="13"/>
      <c r="LYG51" s="13"/>
      <c r="LYH51" s="13"/>
      <c r="LYI51" s="13"/>
      <c r="LYJ51" s="13"/>
      <c r="LYK51" s="13"/>
      <c r="LYL51" s="13"/>
      <c r="LYM51" s="13"/>
      <c r="LYN51" s="13"/>
      <c r="LYO51" s="13"/>
      <c r="LYP51" s="13"/>
      <c r="LYQ51" s="13"/>
      <c r="LYR51" s="13"/>
      <c r="LYS51" s="13"/>
      <c r="LYT51" s="13"/>
      <c r="LYU51" s="13"/>
      <c r="LYV51" s="13"/>
      <c r="LYW51" s="13"/>
      <c r="LYX51" s="13"/>
      <c r="LYY51" s="13"/>
      <c r="LYZ51" s="13"/>
      <c r="LZA51" s="13"/>
      <c r="LZB51" s="13"/>
      <c r="LZC51" s="13"/>
      <c r="LZD51" s="13"/>
      <c r="LZE51" s="13"/>
      <c r="LZF51" s="13"/>
      <c r="LZG51" s="13"/>
      <c r="LZH51" s="13"/>
      <c r="LZI51" s="13"/>
      <c r="LZJ51" s="13"/>
      <c r="LZK51" s="13"/>
      <c r="LZL51" s="13"/>
      <c r="LZM51" s="13"/>
      <c r="LZN51" s="13"/>
      <c r="LZO51" s="13"/>
      <c r="LZP51" s="13"/>
      <c r="LZQ51" s="13"/>
      <c r="LZR51" s="13"/>
      <c r="LZS51" s="13"/>
      <c r="LZT51" s="13"/>
      <c r="LZU51" s="13"/>
      <c r="LZV51" s="13"/>
      <c r="LZW51" s="13"/>
      <c r="LZX51" s="13"/>
      <c r="LZY51" s="13"/>
      <c r="LZZ51" s="13"/>
      <c r="MAA51" s="13"/>
      <c r="MAB51" s="13"/>
      <c r="MAC51" s="13"/>
      <c r="MAD51" s="13"/>
      <c r="MAE51" s="13"/>
      <c r="MAF51" s="13"/>
      <c r="MAG51" s="13"/>
      <c r="MAH51" s="13"/>
      <c r="MAI51" s="13"/>
      <c r="MAJ51" s="13"/>
      <c r="MAK51" s="13"/>
      <c r="MAL51" s="13"/>
      <c r="MAM51" s="13"/>
      <c r="MAN51" s="13"/>
      <c r="MAO51" s="13"/>
      <c r="MAP51" s="13"/>
      <c r="MAQ51" s="13"/>
      <c r="MAR51" s="13"/>
      <c r="MAS51" s="13"/>
      <c r="MAT51" s="13"/>
      <c r="MAU51" s="13"/>
      <c r="MAV51" s="13"/>
      <c r="MAW51" s="13"/>
      <c r="MAX51" s="13"/>
      <c r="MAY51" s="13"/>
      <c r="MAZ51" s="13"/>
      <c r="MBA51" s="13"/>
      <c r="MBB51" s="13"/>
      <c r="MBC51" s="13"/>
      <c r="MBD51" s="13"/>
      <c r="MBE51" s="13"/>
      <c r="MBF51" s="13"/>
      <c r="MBG51" s="13"/>
      <c r="MBH51" s="13"/>
      <c r="MBI51" s="13"/>
      <c r="MBJ51" s="13"/>
      <c r="MBK51" s="13"/>
      <c r="MBL51" s="13"/>
      <c r="MBM51" s="13"/>
      <c r="MBN51" s="13"/>
      <c r="MBO51" s="13"/>
      <c r="MBP51" s="13"/>
      <c r="MBQ51" s="13"/>
      <c r="MBR51" s="13"/>
      <c r="MBS51" s="13"/>
      <c r="MBT51" s="13"/>
      <c r="MBU51" s="13"/>
      <c r="MBV51" s="13"/>
      <c r="MBW51" s="13"/>
      <c r="MBX51" s="13"/>
      <c r="MBY51" s="13"/>
      <c r="MBZ51" s="13"/>
      <c r="MCA51" s="13"/>
      <c r="MCB51" s="13"/>
      <c r="MCC51" s="13"/>
      <c r="MCD51" s="13"/>
      <c r="MCE51" s="13"/>
      <c r="MCF51" s="13"/>
      <c r="MCG51" s="13"/>
      <c r="MCH51" s="13"/>
      <c r="MCI51" s="13"/>
      <c r="MCJ51" s="13"/>
      <c r="MCK51" s="13"/>
      <c r="MCL51" s="13"/>
      <c r="MCM51" s="13"/>
      <c r="MCN51" s="13"/>
      <c r="MCO51" s="13"/>
      <c r="MCP51" s="13"/>
      <c r="MCQ51" s="13"/>
      <c r="MCR51" s="13"/>
      <c r="MCS51" s="13"/>
      <c r="MCT51" s="13"/>
      <c r="MCU51" s="13"/>
      <c r="MCV51" s="13"/>
      <c r="MCW51" s="13"/>
      <c r="MCX51" s="13"/>
      <c r="MCY51" s="13"/>
      <c r="MCZ51" s="13"/>
      <c r="MDA51" s="13"/>
      <c r="MDB51" s="13"/>
      <c r="MDC51" s="13"/>
      <c r="MDD51" s="13"/>
      <c r="MDE51" s="13"/>
      <c r="MDF51" s="13"/>
      <c r="MDG51" s="13"/>
      <c r="MDH51" s="13"/>
      <c r="MDI51" s="13"/>
      <c r="MDJ51" s="13"/>
      <c r="MDK51" s="13"/>
      <c r="MDL51" s="13"/>
      <c r="MDM51" s="13"/>
      <c r="MDN51" s="13"/>
      <c r="MDO51" s="13"/>
      <c r="MDP51" s="13"/>
      <c r="MDQ51" s="13"/>
      <c r="MDR51" s="13"/>
      <c r="MDS51" s="13"/>
      <c r="MDT51" s="13"/>
      <c r="MDU51" s="13"/>
      <c r="MDV51" s="13"/>
      <c r="MDW51" s="13"/>
      <c r="MDX51" s="13"/>
      <c r="MDY51" s="13"/>
      <c r="MDZ51" s="13"/>
      <c r="MEA51" s="13"/>
      <c r="MEB51" s="13"/>
      <c r="MEC51" s="13"/>
      <c r="MED51" s="13"/>
      <c r="MEE51" s="13"/>
      <c r="MEF51" s="13"/>
      <c r="MEG51" s="13"/>
      <c r="MEH51" s="13"/>
      <c r="MEI51" s="13"/>
      <c r="MEJ51" s="13"/>
      <c r="MEK51" s="13"/>
      <c r="MEL51" s="13"/>
      <c r="MEM51" s="13"/>
      <c r="MEN51" s="13"/>
      <c r="MEO51" s="13"/>
      <c r="MEP51" s="13"/>
      <c r="MEQ51" s="13"/>
      <c r="MER51" s="13"/>
      <c r="MES51" s="13"/>
      <c r="MET51" s="13"/>
      <c r="MEU51" s="13"/>
      <c r="MEV51" s="13"/>
      <c r="MEW51" s="13"/>
      <c r="MEX51" s="13"/>
      <c r="MEY51" s="13"/>
      <c r="MEZ51" s="13"/>
      <c r="MFA51" s="13"/>
      <c r="MFB51" s="13"/>
      <c r="MFC51" s="13"/>
      <c r="MFD51" s="13"/>
      <c r="MFE51" s="13"/>
      <c r="MFF51" s="13"/>
      <c r="MFG51" s="13"/>
      <c r="MFH51" s="13"/>
      <c r="MFI51" s="13"/>
      <c r="MFJ51" s="13"/>
      <c r="MFK51" s="13"/>
      <c r="MFL51" s="13"/>
      <c r="MFM51" s="13"/>
      <c r="MFN51" s="13"/>
      <c r="MFO51" s="13"/>
      <c r="MFP51" s="13"/>
      <c r="MFQ51" s="13"/>
      <c r="MFR51" s="13"/>
      <c r="MFS51" s="13"/>
      <c r="MFT51" s="13"/>
      <c r="MFU51" s="13"/>
      <c r="MFV51" s="13"/>
      <c r="MFW51" s="13"/>
      <c r="MFX51" s="13"/>
      <c r="MFY51" s="13"/>
      <c r="MFZ51" s="13"/>
      <c r="MGA51" s="13"/>
      <c r="MGB51" s="13"/>
      <c r="MGC51" s="13"/>
      <c r="MGD51" s="13"/>
      <c r="MGE51" s="13"/>
      <c r="MGF51" s="13"/>
      <c r="MGG51" s="13"/>
      <c r="MGH51" s="13"/>
      <c r="MGI51" s="13"/>
      <c r="MGJ51" s="13"/>
      <c r="MGK51" s="13"/>
      <c r="MGL51" s="13"/>
      <c r="MGM51" s="13"/>
      <c r="MGN51" s="13"/>
      <c r="MGO51" s="13"/>
      <c r="MGP51" s="13"/>
      <c r="MGQ51" s="13"/>
      <c r="MGR51" s="13"/>
      <c r="MGS51" s="13"/>
      <c r="MGT51" s="13"/>
      <c r="MGU51" s="13"/>
      <c r="MGV51" s="13"/>
      <c r="MGW51" s="13"/>
      <c r="MGX51" s="13"/>
      <c r="MGY51" s="13"/>
      <c r="MGZ51" s="13"/>
      <c r="MHA51" s="13"/>
      <c r="MHB51" s="13"/>
      <c r="MHC51" s="13"/>
      <c r="MHD51" s="13"/>
      <c r="MHE51" s="13"/>
      <c r="MHF51" s="13"/>
      <c r="MHG51" s="13"/>
      <c r="MHH51" s="13"/>
      <c r="MHI51" s="13"/>
      <c r="MHJ51" s="13"/>
      <c r="MHK51" s="13"/>
      <c r="MHL51" s="13"/>
      <c r="MHM51" s="13"/>
      <c r="MHN51" s="13"/>
      <c r="MHO51" s="13"/>
      <c r="MHP51" s="13"/>
      <c r="MHQ51" s="13"/>
      <c r="MHR51" s="13"/>
      <c r="MHS51" s="13"/>
      <c r="MHT51" s="13"/>
      <c r="MHU51" s="13"/>
      <c r="MHV51" s="13"/>
      <c r="MHW51" s="13"/>
      <c r="MHX51" s="13"/>
      <c r="MHY51" s="13"/>
      <c r="MHZ51" s="13"/>
      <c r="MIA51" s="13"/>
      <c r="MIB51" s="13"/>
      <c r="MIC51" s="13"/>
      <c r="MID51" s="13"/>
      <c r="MIE51" s="13"/>
      <c r="MIF51" s="13"/>
      <c r="MIG51" s="13"/>
      <c r="MIH51" s="13"/>
      <c r="MII51" s="13"/>
      <c r="MIJ51" s="13"/>
      <c r="MIK51" s="13"/>
      <c r="MIL51" s="13"/>
      <c r="MIM51" s="13"/>
      <c r="MIN51" s="13"/>
      <c r="MIO51" s="13"/>
      <c r="MIP51" s="13"/>
      <c r="MIQ51" s="13"/>
      <c r="MIR51" s="13"/>
      <c r="MIS51" s="13"/>
      <c r="MIT51" s="13"/>
      <c r="MIU51" s="13"/>
      <c r="MIV51" s="13"/>
      <c r="MIW51" s="13"/>
      <c r="MIX51" s="13"/>
      <c r="MIY51" s="13"/>
      <c r="MIZ51" s="13"/>
      <c r="MJA51" s="13"/>
      <c r="MJB51" s="13"/>
      <c r="MJC51" s="13"/>
      <c r="MJD51" s="13"/>
      <c r="MJE51" s="13"/>
      <c r="MJF51" s="13"/>
      <c r="MJG51" s="13"/>
      <c r="MJH51" s="13"/>
      <c r="MJI51" s="13"/>
      <c r="MJJ51" s="13"/>
      <c r="MJK51" s="13"/>
      <c r="MJL51" s="13"/>
      <c r="MJM51" s="13"/>
      <c r="MJN51" s="13"/>
      <c r="MJO51" s="13"/>
      <c r="MJP51" s="13"/>
      <c r="MJQ51" s="13"/>
      <c r="MJR51" s="13"/>
      <c r="MJS51" s="13"/>
      <c r="MJT51" s="13"/>
      <c r="MJU51" s="13"/>
      <c r="MJV51" s="13"/>
      <c r="MJW51" s="13"/>
      <c r="MJX51" s="13"/>
      <c r="MJY51" s="13"/>
      <c r="MJZ51" s="13"/>
      <c r="MKA51" s="13"/>
      <c r="MKB51" s="13"/>
      <c r="MKC51" s="13"/>
      <c r="MKD51" s="13"/>
      <c r="MKE51" s="13"/>
      <c r="MKF51" s="13"/>
      <c r="MKG51" s="13"/>
      <c r="MKH51" s="13"/>
      <c r="MKI51" s="13"/>
      <c r="MKJ51" s="13"/>
      <c r="MKK51" s="13"/>
      <c r="MKL51" s="13"/>
      <c r="MKM51" s="13"/>
      <c r="MKN51" s="13"/>
      <c r="MKO51" s="13"/>
      <c r="MKP51" s="13"/>
      <c r="MKQ51" s="13"/>
      <c r="MKR51" s="13"/>
      <c r="MKS51" s="13"/>
      <c r="MKT51" s="13"/>
      <c r="MKU51" s="13"/>
      <c r="MKV51" s="13"/>
      <c r="MKW51" s="13"/>
      <c r="MKX51" s="13"/>
      <c r="MKY51" s="13"/>
      <c r="MKZ51" s="13"/>
      <c r="MLA51" s="13"/>
      <c r="MLB51" s="13"/>
      <c r="MLC51" s="13"/>
      <c r="MLD51" s="13"/>
      <c r="MLE51" s="13"/>
      <c r="MLF51" s="13"/>
      <c r="MLG51" s="13"/>
      <c r="MLH51" s="13"/>
      <c r="MLI51" s="13"/>
      <c r="MLJ51" s="13"/>
      <c r="MLK51" s="13"/>
      <c r="MLL51" s="13"/>
      <c r="MLM51" s="13"/>
      <c r="MLN51" s="13"/>
      <c r="MLO51" s="13"/>
      <c r="MLP51" s="13"/>
      <c r="MLQ51" s="13"/>
      <c r="MLR51" s="13"/>
      <c r="MLS51" s="13"/>
      <c r="MLT51" s="13"/>
      <c r="MLU51" s="13"/>
      <c r="MLV51" s="13"/>
      <c r="MLW51" s="13"/>
      <c r="MLX51" s="13"/>
      <c r="MLY51" s="13"/>
      <c r="MLZ51" s="13"/>
      <c r="MMA51" s="13"/>
      <c r="MMB51" s="13"/>
      <c r="MMC51" s="13"/>
      <c r="MMD51" s="13"/>
      <c r="MME51" s="13"/>
      <c r="MMF51" s="13"/>
      <c r="MMG51" s="13"/>
      <c r="MMH51" s="13"/>
      <c r="MMI51" s="13"/>
      <c r="MMJ51" s="13"/>
      <c r="MMK51" s="13"/>
      <c r="MML51" s="13"/>
      <c r="MMM51" s="13"/>
      <c r="MMN51" s="13"/>
      <c r="MMO51" s="13"/>
      <c r="MMP51" s="13"/>
      <c r="MMQ51" s="13"/>
      <c r="MMR51" s="13"/>
      <c r="MMS51" s="13"/>
      <c r="MMT51" s="13"/>
      <c r="MMU51" s="13"/>
      <c r="MMV51" s="13"/>
      <c r="MMW51" s="13"/>
      <c r="MMX51" s="13"/>
      <c r="MMY51" s="13"/>
      <c r="MMZ51" s="13"/>
      <c r="MNA51" s="13"/>
      <c r="MNB51" s="13"/>
      <c r="MNC51" s="13"/>
      <c r="MND51" s="13"/>
      <c r="MNE51" s="13"/>
      <c r="MNF51" s="13"/>
      <c r="MNG51" s="13"/>
      <c r="MNH51" s="13"/>
      <c r="MNI51" s="13"/>
      <c r="MNJ51" s="13"/>
      <c r="MNK51" s="13"/>
      <c r="MNL51" s="13"/>
      <c r="MNM51" s="13"/>
      <c r="MNN51" s="13"/>
      <c r="MNO51" s="13"/>
      <c r="MNP51" s="13"/>
      <c r="MNQ51" s="13"/>
      <c r="MNR51" s="13"/>
      <c r="MNS51" s="13"/>
      <c r="MNT51" s="13"/>
      <c r="MNU51" s="13"/>
      <c r="MNV51" s="13"/>
      <c r="MNW51" s="13"/>
      <c r="MNX51" s="13"/>
      <c r="MNY51" s="13"/>
      <c r="MNZ51" s="13"/>
      <c r="MOA51" s="13"/>
      <c r="MOB51" s="13"/>
      <c r="MOC51" s="13"/>
      <c r="MOD51" s="13"/>
      <c r="MOE51" s="13"/>
      <c r="MOF51" s="13"/>
      <c r="MOG51" s="13"/>
      <c r="MOH51" s="13"/>
      <c r="MOI51" s="13"/>
      <c r="MOJ51" s="13"/>
      <c r="MOK51" s="13"/>
      <c r="MOL51" s="13"/>
      <c r="MOM51" s="13"/>
      <c r="MON51" s="13"/>
      <c r="MOO51" s="13"/>
      <c r="MOP51" s="13"/>
      <c r="MOQ51" s="13"/>
      <c r="MOR51" s="13"/>
      <c r="MOS51" s="13"/>
      <c r="MOT51" s="13"/>
      <c r="MOU51" s="13"/>
      <c r="MOV51" s="13"/>
      <c r="MOW51" s="13"/>
      <c r="MOX51" s="13"/>
      <c r="MOY51" s="13"/>
      <c r="MOZ51" s="13"/>
      <c r="MPA51" s="13"/>
      <c r="MPB51" s="13"/>
      <c r="MPC51" s="13"/>
      <c r="MPD51" s="13"/>
      <c r="MPE51" s="13"/>
      <c r="MPF51" s="13"/>
      <c r="MPG51" s="13"/>
      <c r="MPH51" s="13"/>
      <c r="MPI51" s="13"/>
      <c r="MPJ51" s="13"/>
      <c r="MPK51" s="13"/>
      <c r="MPL51" s="13"/>
      <c r="MPM51" s="13"/>
      <c r="MPN51" s="13"/>
      <c r="MPO51" s="13"/>
      <c r="MPP51" s="13"/>
      <c r="MPQ51" s="13"/>
      <c r="MPR51" s="13"/>
      <c r="MPS51" s="13"/>
      <c r="MPT51" s="13"/>
      <c r="MPU51" s="13"/>
      <c r="MPV51" s="13"/>
      <c r="MPW51" s="13"/>
      <c r="MPX51" s="13"/>
      <c r="MPY51" s="13"/>
      <c r="MPZ51" s="13"/>
      <c r="MQA51" s="13"/>
      <c r="MQB51" s="13"/>
      <c r="MQC51" s="13"/>
      <c r="MQD51" s="13"/>
      <c r="MQE51" s="13"/>
      <c r="MQF51" s="13"/>
      <c r="MQG51" s="13"/>
      <c r="MQH51" s="13"/>
      <c r="MQI51" s="13"/>
      <c r="MQJ51" s="13"/>
      <c r="MQK51" s="13"/>
      <c r="MQL51" s="13"/>
      <c r="MQM51" s="13"/>
      <c r="MQN51" s="13"/>
      <c r="MQO51" s="13"/>
      <c r="MQP51" s="13"/>
      <c r="MQQ51" s="13"/>
      <c r="MQR51" s="13"/>
      <c r="MQS51" s="13"/>
      <c r="MQT51" s="13"/>
      <c r="MQU51" s="13"/>
      <c r="MQV51" s="13"/>
      <c r="MQW51" s="13"/>
      <c r="MQX51" s="13"/>
      <c r="MQY51" s="13"/>
      <c r="MQZ51" s="13"/>
      <c r="MRA51" s="13"/>
      <c r="MRB51" s="13"/>
      <c r="MRC51" s="13"/>
      <c r="MRD51" s="13"/>
      <c r="MRE51" s="13"/>
      <c r="MRF51" s="13"/>
      <c r="MRG51" s="13"/>
      <c r="MRH51" s="13"/>
      <c r="MRI51" s="13"/>
      <c r="MRJ51" s="13"/>
      <c r="MRK51" s="13"/>
      <c r="MRL51" s="13"/>
      <c r="MRM51" s="13"/>
      <c r="MRN51" s="13"/>
      <c r="MRO51" s="13"/>
      <c r="MRP51" s="13"/>
      <c r="MRQ51" s="13"/>
      <c r="MRR51" s="13"/>
      <c r="MRS51" s="13"/>
      <c r="MRT51" s="13"/>
      <c r="MRU51" s="13"/>
      <c r="MRV51" s="13"/>
      <c r="MRW51" s="13"/>
      <c r="MRX51" s="13"/>
      <c r="MRY51" s="13"/>
      <c r="MRZ51" s="13"/>
      <c r="MSA51" s="13"/>
      <c r="MSB51" s="13"/>
      <c r="MSC51" s="13"/>
      <c r="MSD51" s="13"/>
      <c r="MSE51" s="13"/>
      <c r="MSF51" s="13"/>
      <c r="MSG51" s="13"/>
      <c r="MSH51" s="13"/>
      <c r="MSI51" s="13"/>
      <c r="MSJ51" s="13"/>
      <c r="MSK51" s="13"/>
      <c r="MSL51" s="13"/>
      <c r="MSM51" s="13"/>
      <c r="MSN51" s="13"/>
      <c r="MSO51" s="13"/>
      <c r="MSP51" s="13"/>
      <c r="MSQ51" s="13"/>
      <c r="MSR51" s="13"/>
      <c r="MSS51" s="13"/>
      <c r="MST51" s="13"/>
      <c r="MSU51" s="13"/>
      <c r="MSV51" s="13"/>
      <c r="MSW51" s="13"/>
      <c r="MSX51" s="13"/>
      <c r="MSY51" s="13"/>
      <c r="MSZ51" s="13"/>
      <c r="MTA51" s="13"/>
      <c r="MTB51" s="13"/>
      <c r="MTC51" s="13"/>
      <c r="MTD51" s="13"/>
      <c r="MTE51" s="13"/>
      <c r="MTF51" s="13"/>
      <c r="MTG51" s="13"/>
      <c r="MTH51" s="13"/>
      <c r="MTI51" s="13"/>
      <c r="MTJ51" s="13"/>
      <c r="MTK51" s="13"/>
      <c r="MTL51" s="13"/>
      <c r="MTM51" s="13"/>
      <c r="MTN51" s="13"/>
      <c r="MTO51" s="13"/>
      <c r="MTP51" s="13"/>
      <c r="MTQ51" s="13"/>
      <c r="MTR51" s="13"/>
      <c r="MTS51" s="13"/>
      <c r="MTT51" s="13"/>
      <c r="MTU51" s="13"/>
      <c r="MTV51" s="13"/>
      <c r="MTW51" s="13"/>
      <c r="MTX51" s="13"/>
      <c r="MTY51" s="13"/>
      <c r="MTZ51" s="13"/>
      <c r="MUA51" s="13"/>
      <c r="MUB51" s="13"/>
      <c r="MUC51" s="13"/>
      <c r="MUD51" s="13"/>
      <c r="MUE51" s="13"/>
      <c r="MUF51" s="13"/>
      <c r="MUG51" s="13"/>
      <c r="MUH51" s="13"/>
      <c r="MUI51" s="13"/>
      <c r="MUJ51" s="13"/>
      <c r="MUK51" s="13"/>
      <c r="MUL51" s="13"/>
      <c r="MUM51" s="13"/>
      <c r="MUN51" s="13"/>
      <c r="MUO51" s="13"/>
      <c r="MUP51" s="13"/>
      <c r="MUQ51" s="13"/>
      <c r="MUR51" s="13"/>
      <c r="MUS51" s="13"/>
      <c r="MUT51" s="13"/>
      <c r="MUU51" s="13"/>
      <c r="MUV51" s="13"/>
      <c r="MUW51" s="13"/>
      <c r="MUX51" s="13"/>
      <c r="MUY51" s="13"/>
      <c r="MUZ51" s="13"/>
      <c r="MVA51" s="13"/>
      <c r="MVB51" s="13"/>
      <c r="MVC51" s="13"/>
      <c r="MVD51" s="13"/>
      <c r="MVE51" s="13"/>
      <c r="MVF51" s="13"/>
      <c r="MVG51" s="13"/>
      <c r="MVH51" s="13"/>
      <c r="MVI51" s="13"/>
      <c r="MVJ51" s="13"/>
      <c r="MVK51" s="13"/>
      <c r="MVL51" s="13"/>
      <c r="MVM51" s="13"/>
      <c r="MVN51" s="13"/>
      <c r="MVO51" s="13"/>
      <c r="MVP51" s="13"/>
      <c r="MVQ51" s="13"/>
      <c r="MVR51" s="13"/>
      <c r="MVS51" s="13"/>
      <c r="MVT51" s="13"/>
      <c r="MVU51" s="13"/>
      <c r="MVV51" s="13"/>
      <c r="MVW51" s="13"/>
      <c r="MVX51" s="13"/>
      <c r="MVY51" s="13"/>
      <c r="MVZ51" s="13"/>
      <c r="MWA51" s="13"/>
      <c r="MWB51" s="13"/>
      <c r="MWC51" s="13"/>
      <c r="MWD51" s="13"/>
      <c r="MWE51" s="13"/>
      <c r="MWF51" s="13"/>
      <c r="MWG51" s="13"/>
      <c r="MWH51" s="13"/>
      <c r="MWI51" s="13"/>
      <c r="MWJ51" s="13"/>
      <c r="MWK51" s="13"/>
      <c r="MWL51" s="13"/>
      <c r="MWM51" s="13"/>
      <c r="MWN51" s="13"/>
      <c r="MWO51" s="13"/>
      <c r="MWP51" s="13"/>
      <c r="MWQ51" s="13"/>
      <c r="MWR51" s="13"/>
      <c r="MWS51" s="13"/>
      <c r="MWT51" s="13"/>
      <c r="MWU51" s="13"/>
      <c r="MWV51" s="13"/>
      <c r="MWW51" s="13"/>
      <c r="MWX51" s="13"/>
      <c r="MWY51" s="13"/>
      <c r="MWZ51" s="13"/>
      <c r="MXA51" s="13"/>
      <c r="MXB51" s="13"/>
      <c r="MXC51" s="13"/>
      <c r="MXD51" s="13"/>
      <c r="MXE51" s="13"/>
      <c r="MXF51" s="13"/>
      <c r="MXG51" s="13"/>
      <c r="MXH51" s="13"/>
      <c r="MXI51" s="13"/>
      <c r="MXJ51" s="13"/>
      <c r="MXK51" s="13"/>
      <c r="MXL51" s="13"/>
      <c r="MXM51" s="13"/>
      <c r="MXN51" s="13"/>
      <c r="MXO51" s="13"/>
      <c r="MXP51" s="13"/>
      <c r="MXQ51" s="13"/>
      <c r="MXR51" s="13"/>
      <c r="MXS51" s="13"/>
      <c r="MXT51" s="13"/>
      <c r="MXU51" s="13"/>
      <c r="MXV51" s="13"/>
      <c r="MXW51" s="13"/>
      <c r="MXX51" s="13"/>
      <c r="MXY51" s="13"/>
      <c r="MXZ51" s="13"/>
      <c r="MYA51" s="13"/>
      <c r="MYB51" s="13"/>
      <c r="MYC51" s="13"/>
      <c r="MYD51" s="13"/>
      <c r="MYE51" s="13"/>
      <c r="MYF51" s="13"/>
      <c r="MYG51" s="13"/>
      <c r="MYH51" s="13"/>
      <c r="MYI51" s="13"/>
      <c r="MYJ51" s="13"/>
      <c r="MYK51" s="13"/>
      <c r="MYL51" s="13"/>
      <c r="MYM51" s="13"/>
      <c r="MYN51" s="13"/>
      <c r="MYO51" s="13"/>
      <c r="MYP51" s="13"/>
      <c r="MYQ51" s="13"/>
      <c r="MYR51" s="13"/>
      <c r="MYS51" s="13"/>
      <c r="MYT51" s="13"/>
      <c r="MYU51" s="13"/>
      <c r="MYV51" s="13"/>
      <c r="MYW51" s="13"/>
      <c r="MYX51" s="13"/>
      <c r="MYY51" s="13"/>
      <c r="MYZ51" s="13"/>
      <c r="MZA51" s="13"/>
      <c r="MZB51" s="13"/>
      <c r="MZC51" s="13"/>
      <c r="MZD51" s="13"/>
      <c r="MZE51" s="13"/>
      <c r="MZF51" s="13"/>
      <c r="MZG51" s="13"/>
      <c r="MZH51" s="13"/>
      <c r="MZI51" s="13"/>
      <c r="MZJ51" s="13"/>
      <c r="MZK51" s="13"/>
      <c r="MZL51" s="13"/>
      <c r="MZM51" s="13"/>
      <c r="MZN51" s="13"/>
      <c r="MZO51" s="13"/>
      <c r="MZP51" s="13"/>
      <c r="MZQ51" s="13"/>
      <c r="MZR51" s="13"/>
      <c r="MZS51" s="13"/>
      <c r="MZT51" s="13"/>
      <c r="MZU51" s="13"/>
      <c r="MZV51" s="13"/>
      <c r="MZW51" s="13"/>
      <c r="MZX51" s="13"/>
      <c r="MZY51" s="13"/>
      <c r="MZZ51" s="13"/>
      <c r="NAA51" s="13"/>
      <c r="NAB51" s="13"/>
      <c r="NAC51" s="13"/>
      <c r="NAD51" s="13"/>
      <c r="NAE51" s="13"/>
      <c r="NAF51" s="13"/>
      <c r="NAG51" s="13"/>
      <c r="NAH51" s="13"/>
      <c r="NAI51" s="13"/>
      <c r="NAJ51" s="13"/>
      <c r="NAK51" s="13"/>
      <c r="NAL51" s="13"/>
      <c r="NAM51" s="13"/>
      <c r="NAN51" s="13"/>
      <c r="NAO51" s="13"/>
      <c r="NAP51" s="13"/>
      <c r="NAQ51" s="13"/>
      <c r="NAR51" s="13"/>
      <c r="NAS51" s="13"/>
      <c r="NAT51" s="13"/>
      <c r="NAU51" s="13"/>
      <c r="NAV51" s="13"/>
      <c r="NAW51" s="13"/>
      <c r="NAX51" s="13"/>
      <c r="NAY51" s="13"/>
      <c r="NAZ51" s="13"/>
      <c r="NBA51" s="13"/>
      <c r="NBB51" s="13"/>
      <c r="NBC51" s="13"/>
      <c r="NBD51" s="13"/>
      <c r="NBE51" s="13"/>
      <c r="NBF51" s="13"/>
      <c r="NBG51" s="13"/>
      <c r="NBH51" s="13"/>
      <c r="NBI51" s="13"/>
      <c r="NBJ51" s="13"/>
      <c r="NBK51" s="13"/>
      <c r="NBL51" s="13"/>
      <c r="NBM51" s="13"/>
      <c r="NBN51" s="13"/>
      <c r="NBO51" s="13"/>
      <c r="NBP51" s="13"/>
      <c r="NBQ51" s="13"/>
      <c r="NBR51" s="13"/>
      <c r="NBS51" s="13"/>
      <c r="NBT51" s="13"/>
      <c r="NBU51" s="13"/>
      <c r="NBV51" s="13"/>
      <c r="NBW51" s="13"/>
      <c r="NBX51" s="13"/>
      <c r="NBY51" s="13"/>
      <c r="NBZ51" s="13"/>
      <c r="NCA51" s="13"/>
      <c r="NCB51" s="13"/>
      <c r="NCC51" s="13"/>
      <c r="NCD51" s="13"/>
      <c r="NCE51" s="13"/>
      <c r="NCF51" s="13"/>
      <c r="NCG51" s="13"/>
      <c r="NCH51" s="13"/>
      <c r="NCI51" s="13"/>
      <c r="NCJ51" s="13"/>
      <c r="NCK51" s="13"/>
      <c r="NCL51" s="13"/>
      <c r="NCM51" s="13"/>
      <c r="NCN51" s="13"/>
      <c r="NCO51" s="13"/>
      <c r="NCP51" s="13"/>
      <c r="NCQ51" s="13"/>
      <c r="NCR51" s="13"/>
      <c r="NCS51" s="13"/>
      <c r="NCT51" s="13"/>
      <c r="NCU51" s="13"/>
      <c r="NCV51" s="13"/>
      <c r="NCW51" s="13"/>
      <c r="NCX51" s="13"/>
      <c r="NCY51" s="13"/>
      <c r="NCZ51" s="13"/>
      <c r="NDA51" s="13"/>
      <c r="NDB51" s="13"/>
      <c r="NDC51" s="13"/>
      <c r="NDD51" s="13"/>
      <c r="NDE51" s="13"/>
      <c r="NDF51" s="13"/>
      <c r="NDG51" s="13"/>
      <c r="NDH51" s="13"/>
      <c r="NDI51" s="13"/>
      <c r="NDJ51" s="13"/>
      <c r="NDK51" s="13"/>
      <c r="NDL51" s="13"/>
      <c r="NDM51" s="13"/>
      <c r="NDN51" s="13"/>
      <c r="NDO51" s="13"/>
      <c r="NDP51" s="13"/>
      <c r="NDQ51" s="13"/>
      <c r="NDR51" s="13"/>
      <c r="NDS51" s="13"/>
      <c r="NDT51" s="13"/>
      <c r="NDU51" s="13"/>
      <c r="NDV51" s="13"/>
      <c r="NDW51" s="13"/>
      <c r="NDX51" s="13"/>
      <c r="NDY51" s="13"/>
      <c r="NDZ51" s="13"/>
      <c r="NEA51" s="13"/>
      <c r="NEB51" s="13"/>
      <c r="NEC51" s="13"/>
      <c r="NED51" s="13"/>
      <c r="NEE51" s="13"/>
      <c r="NEF51" s="13"/>
      <c r="NEG51" s="13"/>
      <c r="NEH51" s="13"/>
      <c r="NEI51" s="13"/>
      <c r="NEJ51" s="13"/>
      <c r="NEK51" s="13"/>
      <c r="NEL51" s="13"/>
      <c r="NEM51" s="13"/>
      <c r="NEN51" s="13"/>
      <c r="NEO51" s="13"/>
      <c r="NEP51" s="13"/>
      <c r="NEQ51" s="13"/>
      <c r="NER51" s="13"/>
      <c r="NES51" s="13"/>
      <c r="NET51" s="13"/>
      <c r="NEU51" s="13"/>
      <c r="NEV51" s="13"/>
      <c r="NEW51" s="13"/>
      <c r="NEX51" s="13"/>
      <c r="NEY51" s="13"/>
      <c r="NEZ51" s="13"/>
      <c r="NFA51" s="13"/>
      <c r="NFB51" s="13"/>
      <c r="NFC51" s="13"/>
      <c r="NFD51" s="13"/>
      <c r="NFE51" s="13"/>
      <c r="NFF51" s="13"/>
      <c r="NFG51" s="13"/>
      <c r="NFH51" s="13"/>
      <c r="NFI51" s="13"/>
      <c r="NFJ51" s="13"/>
      <c r="NFK51" s="13"/>
      <c r="NFL51" s="13"/>
      <c r="NFM51" s="13"/>
      <c r="NFN51" s="13"/>
      <c r="NFO51" s="13"/>
      <c r="NFP51" s="13"/>
      <c r="NFQ51" s="13"/>
      <c r="NFR51" s="13"/>
      <c r="NFS51" s="13"/>
      <c r="NFT51" s="13"/>
      <c r="NFU51" s="13"/>
      <c r="NFV51" s="13"/>
      <c r="NFW51" s="13"/>
      <c r="NFX51" s="13"/>
      <c r="NFY51" s="13"/>
      <c r="NFZ51" s="13"/>
      <c r="NGA51" s="13"/>
      <c r="NGB51" s="13"/>
      <c r="NGC51" s="13"/>
      <c r="NGD51" s="13"/>
      <c r="NGE51" s="13"/>
      <c r="NGF51" s="13"/>
      <c r="NGG51" s="13"/>
      <c r="NGH51" s="13"/>
      <c r="NGI51" s="13"/>
      <c r="NGJ51" s="13"/>
      <c r="NGK51" s="13"/>
      <c r="NGL51" s="13"/>
      <c r="NGM51" s="13"/>
      <c r="NGN51" s="13"/>
      <c r="NGO51" s="13"/>
      <c r="NGP51" s="13"/>
      <c r="NGQ51" s="13"/>
      <c r="NGR51" s="13"/>
      <c r="NGS51" s="13"/>
      <c r="NGT51" s="13"/>
      <c r="NGU51" s="13"/>
      <c r="NGV51" s="13"/>
      <c r="NGW51" s="13"/>
      <c r="NGX51" s="13"/>
      <c r="NGY51" s="13"/>
      <c r="NGZ51" s="13"/>
      <c r="NHA51" s="13"/>
      <c r="NHB51" s="13"/>
      <c r="NHC51" s="13"/>
      <c r="NHD51" s="13"/>
      <c r="NHE51" s="13"/>
      <c r="NHF51" s="13"/>
      <c r="NHG51" s="13"/>
      <c r="NHH51" s="13"/>
      <c r="NHI51" s="13"/>
      <c r="NHJ51" s="13"/>
      <c r="NHK51" s="13"/>
      <c r="NHL51" s="13"/>
      <c r="NHM51" s="13"/>
      <c r="NHN51" s="13"/>
      <c r="NHO51" s="13"/>
      <c r="NHP51" s="13"/>
      <c r="NHQ51" s="13"/>
      <c r="NHR51" s="13"/>
      <c r="NHS51" s="13"/>
      <c r="NHT51" s="13"/>
      <c r="NHU51" s="13"/>
      <c r="NHV51" s="13"/>
      <c r="NHW51" s="13"/>
      <c r="NHX51" s="13"/>
      <c r="NHY51" s="13"/>
      <c r="NHZ51" s="13"/>
      <c r="NIA51" s="13"/>
      <c r="NIB51" s="13"/>
      <c r="NIC51" s="13"/>
      <c r="NID51" s="13"/>
      <c r="NIE51" s="13"/>
      <c r="NIF51" s="13"/>
      <c r="NIG51" s="13"/>
      <c r="NIH51" s="13"/>
      <c r="NII51" s="13"/>
      <c r="NIJ51" s="13"/>
      <c r="NIK51" s="13"/>
      <c r="NIL51" s="13"/>
      <c r="NIM51" s="13"/>
      <c r="NIN51" s="13"/>
      <c r="NIO51" s="13"/>
      <c r="NIP51" s="13"/>
      <c r="NIQ51" s="13"/>
      <c r="NIR51" s="13"/>
      <c r="NIS51" s="13"/>
      <c r="NIT51" s="13"/>
      <c r="NIU51" s="13"/>
      <c r="NIV51" s="13"/>
      <c r="NIW51" s="13"/>
      <c r="NIX51" s="13"/>
      <c r="NIY51" s="13"/>
      <c r="NIZ51" s="13"/>
      <c r="NJA51" s="13"/>
      <c r="NJB51" s="13"/>
      <c r="NJC51" s="13"/>
      <c r="NJD51" s="13"/>
      <c r="NJE51" s="13"/>
      <c r="NJF51" s="13"/>
      <c r="NJG51" s="13"/>
      <c r="NJH51" s="13"/>
      <c r="NJI51" s="13"/>
      <c r="NJJ51" s="13"/>
      <c r="NJK51" s="13"/>
      <c r="NJL51" s="13"/>
      <c r="NJM51" s="13"/>
      <c r="NJN51" s="13"/>
      <c r="NJO51" s="13"/>
      <c r="NJP51" s="13"/>
      <c r="NJQ51" s="13"/>
      <c r="NJR51" s="13"/>
      <c r="NJS51" s="13"/>
      <c r="NJT51" s="13"/>
      <c r="NJU51" s="13"/>
      <c r="NJV51" s="13"/>
      <c r="NJW51" s="13"/>
      <c r="NJX51" s="13"/>
      <c r="NJY51" s="13"/>
      <c r="NJZ51" s="13"/>
      <c r="NKA51" s="13"/>
      <c r="NKB51" s="13"/>
      <c r="NKC51" s="13"/>
      <c r="NKD51" s="13"/>
      <c r="NKE51" s="13"/>
      <c r="NKF51" s="13"/>
      <c r="NKG51" s="13"/>
      <c r="NKH51" s="13"/>
      <c r="NKI51" s="13"/>
      <c r="NKJ51" s="13"/>
      <c r="NKK51" s="13"/>
      <c r="NKL51" s="13"/>
      <c r="NKM51" s="13"/>
      <c r="NKN51" s="13"/>
      <c r="NKO51" s="13"/>
      <c r="NKP51" s="13"/>
      <c r="NKQ51" s="13"/>
      <c r="NKR51" s="13"/>
      <c r="NKS51" s="13"/>
      <c r="NKT51" s="13"/>
      <c r="NKU51" s="13"/>
      <c r="NKV51" s="13"/>
      <c r="NKW51" s="13"/>
      <c r="NKX51" s="13"/>
      <c r="NKY51" s="13"/>
      <c r="NKZ51" s="13"/>
      <c r="NLA51" s="13"/>
      <c r="NLB51" s="13"/>
      <c r="NLC51" s="13"/>
      <c r="NLD51" s="13"/>
      <c r="NLE51" s="13"/>
      <c r="NLF51" s="13"/>
      <c r="NLG51" s="13"/>
      <c r="NLH51" s="13"/>
      <c r="NLI51" s="13"/>
      <c r="NLJ51" s="13"/>
      <c r="NLK51" s="13"/>
      <c r="NLL51" s="13"/>
      <c r="NLM51" s="13"/>
      <c r="NLN51" s="13"/>
      <c r="NLO51" s="13"/>
      <c r="NLP51" s="13"/>
      <c r="NLQ51" s="13"/>
      <c r="NLR51" s="13"/>
      <c r="NLS51" s="13"/>
      <c r="NLT51" s="13"/>
      <c r="NLU51" s="13"/>
      <c r="NLV51" s="13"/>
      <c r="NLW51" s="13"/>
      <c r="NLX51" s="13"/>
      <c r="NLY51" s="13"/>
      <c r="NLZ51" s="13"/>
      <c r="NMA51" s="13"/>
      <c r="NMB51" s="13"/>
      <c r="NMC51" s="13"/>
      <c r="NMD51" s="13"/>
      <c r="NME51" s="13"/>
      <c r="NMF51" s="13"/>
      <c r="NMG51" s="13"/>
      <c r="NMH51" s="13"/>
      <c r="NMI51" s="13"/>
      <c r="NMJ51" s="13"/>
      <c r="NMK51" s="13"/>
      <c r="NML51" s="13"/>
      <c r="NMM51" s="13"/>
      <c r="NMN51" s="13"/>
      <c r="NMO51" s="13"/>
      <c r="NMP51" s="13"/>
      <c r="NMQ51" s="13"/>
      <c r="NMR51" s="13"/>
      <c r="NMS51" s="13"/>
      <c r="NMT51" s="13"/>
      <c r="NMU51" s="13"/>
      <c r="NMV51" s="13"/>
      <c r="NMW51" s="13"/>
      <c r="NMX51" s="13"/>
      <c r="NMY51" s="13"/>
      <c r="NMZ51" s="13"/>
      <c r="NNA51" s="13"/>
      <c r="NNB51" s="13"/>
      <c r="NNC51" s="13"/>
      <c r="NND51" s="13"/>
      <c r="NNE51" s="13"/>
      <c r="NNF51" s="13"/>
      <c r="NNG51" s="13"/>
      <c r="NNH51" s="13"/>
      <c r="NNI51" s="13"/>
      <c r="NNJ51" s="13"/>
      <c r="NNK51" s="13"/>
      <c r="NNL51" s="13"/>
      <c r="NNM51" s="13"/>
      <c r="NNN51" s="13"/>
      <c r="NNO51" s="13"/>
      <c r="NNP51" s="13"/>
      <c r="NNQ51" s="13"/>
      <c r="NNR51" s="13"/>
      <c r="NNS51" s="13"/>
      <c r="NNT51" s="13"/>
      <c r="NNU51" s="13"/>
      <c r="NNV51" s="13"/>
      <c r="NNW51" s="13"/>
      <c r="NNX51" s="13"/>
      <c r="NNY51" s="13"/>
      <c r="NNZ51" s="13"/>
      <c r="NOA51" s="13"/>
      <c r="NOB51" s="13"/>
      <c r="NOC51" s="13"/>
      <c r="NOD51" s="13"/>
      <c r="NOE51" s="13"/>
      <c r="NOF51" s="13"/>
      <c r="NOG51" s="13"/>
      <c r="NOH51" s="13"/>
      <c r="NOI51" s="13"/>
      <c r="NOJ51" s="13"/>
      <c r="NOK51" s="13"/>
      <c r="NOL51" s="13"/>
      <c r="NOM51" s="13"/>
      <c r="NON51" s="13"/>
      <c r="NOO51" s="13"/>
      <c r="NOP51" s="13"/>
      <c r="NOQ51" s="13"/>
      <c r="NOR51" s="13"/>
      <c r="NOS51" s="13"/>
      <c r="NOT51" s="13"/>
      <c r="NOU51" s="13"/>
      <c r="NOV51" s="13"/>
      <c r="NOW51" s="13"/>
      <c r="NOX51" s="13"/>
      <c r="NOY51" s="13"/>
      <c r="NOZ51" s="13"/>
      <c r="NPA51" s="13"/>
      <c r="NPB51" s="13"/>
      <c r="NPC51" s="13"/>
      <c r="NPD51" s="13"/>
      <c r="NPE51" s="13"/>
      <c r="NPF51" s="13"/>
      <c r="NPG51" s="13"/>
      <c r="NPH51" s="13"/>
      <c r="NPI51" s="13"/>
      <c r="NPJ51" s="13"/>
      <c r="NPK51" s="13"/>
      <c r="NPL51" s="13"/>
      <c r="NPM51" s="13"/>
      <c r="NPN51" s="13"/>
      <c r="NPO51" s="13"/>
      <c r="NPP51" s="13"/>
      <c r="NPQ51" s="13"/>
      <c r="NPR51" s="13"/>
      <c r="NPS51" s="13"/>
      <c r="NPT51" s="13"/>
      <c r="NPU51" s="13"/>
      <c r="NPV51" s="13"/>
      <c r="NPW51" s="13"/>
      <c r="NPX51" s="13"/>
      <c r="NPY51" s="13"/>
      <c r="NPZ51" s="13"/>
      <c r="NQA51" s="13"/>
      <c r="NQB51" s="13"/>
      <c r="NQC51" s="13"/>
      <c r="NQD51" s="13"/>
      <c r="NQE51" s="13"/>
      <c r="NQF51" s="13"/>
      <c r="NQG51" s="13"/>
      <c r="NQH51" s="13"/>
      <c r="NQI51" s="13"/>
      <c r="NQJ51" s="13"/>
      <c r="NQK51" s="13"/>
      <c r="NQL51" s="13"/>
      <c r="NQM51" s="13"/>
      <c r="NQN51" s="13"/>
      <c r="NQO51" s="13"/>
      <c r="NQP51" s="13"/>
      <c r="NQQ51" s="13"/>
      <c r="NQR51" s="13"/>
      <c r="NQS51" s="13"/>
      <c r="NQT51" s="13"/>
      <c r="NQU51" s="13"/>
      <c r="NQV51" s="13"/>
      <c r="NQW51" s="13"/>
      <c r="NQX51" s="13"/>
      <c r="NQY51" s="13"/>
      <c r="NQZ51" s="13"/>
      <c r="NRA51" s="13"/>
      <c r="NRB51" s="13"/>
      <c r="NRC51" s="13"/>
      <c r="NRD51" s="13"/>
      <c r="NRE51" s="13"/>
      <c r="NRF51" s="13"/>
      <c r="NRG51" s="13"/>
      <c r="NRH51" s="13"/>
      <c r="NRI51" s="13"/>
      <c r="NRJ51" s="13"/>
      <c r="NRK51" s="13"/>
      <c r="NRL51" s="13"/>
      <c r="NRM51" s="13"/>
      <c r="NRN51" s="13"/>
      <c r="NRO51" s="13"/>
      <c r="NRP51" s="13"/>
      <c r="NRQ51" s="13"/>
      <c r="NRR51" s="13"/>
      <c r="NRS51" s="13"/>
      <c r="NRT51" s="13"/>
      <c r="NRU51" s="13"/>
      <c r="NRV51" s="13"/>
      <c r="NRW51" s="13"/>
      <c r="NRX51" s="13"/>
      <c r="NRY51" s="13"/>
      <c r="NRZ51" s="13"/>
      <c r="NSA51" s="13"/>
      <c r="NSB51" s="13"/>
      <c r="NSC51" s="13"/>
      <c r="NSD51" s="13"/>
      <c r="NSE51" s="13"/>
      <c r="NSF51" s="13"/>
      <c r="NSG51" s="13"/>
      <c r="NSH51" s="13"/>
      <c r="NSI51" s="13"/>
      <c r="NSJ51" s="13"/>
      <c r="NSK51" s="13"/>
      <c r="NSL51" s="13"/>
      <c r="NSM51" s="13"/>
      <c r="NSN51" s="13"/>
      <c r="NSO51" s="13"/>
      <c r="NSP51" s="13"/>
      <c r="NSQ51" s="13"/>
      <c r="NSR51" s="13"/>
      <c r="NSS51" s="13"/>
      <c r="NST51" s="13"/>
      <c r="NSU51" s="13"/>
      <c r="NSV51" s="13"/>
      <c r="NSW51" s="13"/>
      <c r="NSX51" s="13"/>
      <c r="NSY51" s="13"/>
      <c r="NSZ51" s="13"/>
      <c r="NTA51" s="13"/>
      <c r="NTB51" s="13"/>
      <c r="NTC51" s="13"/>
      <c r="NTD51" s="13"/>
      <c r="NTE51" s="13"/>
      <c r="NTF51" s="13"/>
      <c r="NTG51" s="13"/>
      <c r="NTH51" s="13"/>
      <c r="NTI51" s="13"/>
      <c r="NTJ51" s="13"/>
      <c r="NTK51" s="13"/>
      <c r="NTL51" s="13"/>
      <c r="NTM51" s="13"/>
      <c r="NTN51" s="13"/>
      <c r="NTO51" s="13"/>
      <c r="NTP51" s="13"/>
      <c r="NTQ51" s="13"/>
      <c r="NTR51" s="13"/>
      <c r="NTS51" s="13"/>
      <c r="NTT51" s="13"/>
      <c r="NTU51" s="13"/>
      <c r="NTV51" s="13"/>
      <c r="NTW51" s="13"/>
      <c r="NTX51" s="13"/>
      <c r="NTY51" s="13"/>
      <c r="NTZ51" s="13"/>
      <c r="NUA51" s="13"/>
      <c r="NUB51" s="13"/>
      <c r="NUC51" s="13"/>
      <c r="NUD51" s="13"/>
      <c r="NUE51" s="13"/>
      <c r="NUF51" s="13"/>
      <c r="NUG51" s="13"/>
      <c r="NUH51" s="13"/>
      <c r="NUI51" s="13"/>
      <c r="NUJ51" s="13"/>
      <c r="NUK51" s="13"/>
      <c r="NUL51" s="13"/>
      <c r="NUM51" s="13"/>
      <c r="NUN51" s="13"/>
      <c r="NUO51" s="13"/>
      <c r="NUP51" s="13"/>
      <c r="NUQ51" s="13"/>
      <c r="NUR51" s="13"/>
      <c r="NUS51" s="13"/>
      <c r="NUT51" s="13"/>
      <c r="NUU51" s="13"/>
      <c r="NUV51" s="13"/>
      <c r="NUW51" s="13"/>
      <c r="NUX51" s="13"/>
      <c r="NUY51" s="13"/>
      <c r="NUZ51" s="13"/>
      <c r="NVA51" s="13"/>
      <c r="NVB51" s="13"/>
      <c r="NVC51" s="13"/>
      <c r="NVD51" s="13"/>
      <c r="NVE51" s="13"/>
      <c r="NVF51" s="13"/>
      <c r="NVG51" s="13"/>
      <c r="NVH51" s="13"/>
      <c r="NVI51" s="13"/>
      <c r="NVJ51" s="13"/>
      <c r="NVK51" s="13"/>
      <c r="NVL51" s="13"/>
      <c r="NVM51" s="13"/>
      <c r="NVN51" s="13"/>
      <c r="NVO51" s="13"/>
      <c r="NVP51" s="13"/>
      <c r="NVQ51" s="13"/>
      <c r="NVR51" s="13"/>
      <c r="NVS51" s="13"/>
      <c r="NVT51" s="13"/>
      <c r="NVU51" s="13"/>
      <c r="NVV51" s="13"/>
      <c r="NVW51" s="13"/>
      <c r="NVX51" s="13"/>
      <c r="NVY51" s="13"/>
      <c r="NVZ51" s="13"/>
      <c r="NWA51" s="13"/>
      <c r="NWB51" s="13"/>
      <c r="NWC51" s="13"/>
      <c r="NWD51" s="13"/>
      <c r="NWE51" s="13"/>
      <c r="NWF51" s="13"/>
      <c r="NWG51" s="13"/>
      <c r="NWH51" s="13"/>
      <c r="NWI51" s="13"/>
      <c r="NWJ51" s="13"/>
      <c r="NWK51" s="13"/>
      <c r="NWL51" s="13"/>
      <c r="NWM51" s="13"/>
      <c r="NWN51" s="13"/>
      <c r="NWO51" s="13"/>
      <c r="NWP51" s="13"/>
      <c r="NWQ51" s="13"/>
      <c r="NWR51" s="13"/>
      <c r="NWS51" s="13"/>
      <c r="NWT51" s="13"/>
      <c r="NWU51" s="13"/>
      <c r="NWV51" s="13"/>
      <c r="NWW51" s="13"/>
      <c r="NWX51" s="13"/>
      <c r="NWY51" s="13"/>
      <c r="NWZ51" s="13"/>
      <c r="NXA51" s="13"/>
      <c r="NXB51" s="13"/>
      <c r="NXC51" s="13"/>
      <c r="NXD51" s="13"/>
      <c r="NXE51" s="13"/>
      <c r="NXF51" s="13"/>
      <c r="NXG51" s="13"/>
      <c r="NXH51" s="13"/>
      <c r="NXI51" s="13"/>
      <c r="NXJ51" s="13"/>
      <c r="NXK51" s="13"/>
      <c r="NXL51" s="13"/>
      <c r="NXM51" s="13"/>
      <c r="NXN51" s="13"/>
      <c r="NXO51" s="13"/>
      <c r="NXP51" s="13"/>
      <c r="NXQ51" s="13"/>
      <c r="NXR51" s="13"/>
      <c r="NXS51" s="13"/>
      <c r="NXT51" s="13"/>
      <c r="NXU51" s="13"/>
      <c r="NXV51" s="13"/>
      <c r="NXW51" s="13"/>
      <c r="NXX51" s="13"/>
      <c r="NXY51" s="13"/>
      <c r="NXZ51" s="13"/>
      <c r="NYA51" s="13"/>
      <c r="NYB51" s="13"/>
      <c r="NYC51" s="13"/>
      <c r="NYD51" s="13"/>
      <c r="NYE51" s="13"/>
      <c r="NYF51" s="13"/>
      <c r="NYG51" s="13"/>
      <c r="NYH51" s="13"/>
      <c r="NYI51" s="13"/>
      <c r="NYJ51" s="13"/>
      <c r="NYK51" s="13"/>
      <c r="NYL51" s="13"/>
      <c r="NYM51" s="13"/>
      <c r="NYN51" s="13"/>
      <c r="NYO51" s="13"/>
      <c r="NYP51" s="13"/>
      <c r="NYQ51" s="13"/>
      <c r="NYR51" s="13"/>
      <c r="NYS51" s="13"/>
      <c r="NYT51" s="13"/>
      <c r="NYU51" s="13"/>
      <c r="NYV51" s="13"/>
      <c r="NYW51" s="13"/>
      <c r="NYX51" s="13"/>
      <c r="NYY51" s="13"/>
      <c r="NYZ51" s="13"/>
      <c r="NZA51" s="13"/>
      <c r="NZB51" s="13"/>
      <c r="NZC51" s="13"/>
      <c r="NZD51" s="13"/>
      <c r="NZE51" s="13"/>
      <c r="NZF51" s="13"/>
      <c r="NZG51" s="13"/>
      <c r="NZH51" s="13"/>
      <c r="NZI51" s="13"/>
      <c r="NZJ51" s="13"/>
      <c r="NZK51" s="13"/>
      <c r="NZL51" s="13"/>
      <c r="NZM51" s="13"/>
      <c r="NZN51" s="13"/>
      <c r="NZO51" s="13"/>
      <c r="NZP51" s="13"/>
      <c r="NZQ51" s="13"/>
      <c r="NZR51" s="13"/>
      <c r="NZS51" s="13"/>
      <c r="NZT51" s="13"/>
      <c r="NZU51" s="13"/>
      <c r="NZV51" s="13"/>
      <c r="NZW51" s="13"/>
      <c r="NZX51" s="13"/>
      <c r="NZY51" s="13"/>
      <c r="NZZ51" s="13"/>
      <c r="OAA51" s="13"/>
      <c r="OAB51" s="13"/>
      <c r="OAC51" s="13"/>
      <c r="OAD51" s="13"/>
      <c r="OAE51" s="13"/>
      <c r="OAF51" s="13"/>
      <c r="OAG51" s="13"/>
      <c r="OAH51" s="13"/>
      <c r="OAI51" s="13"/>
      <c r="OAJ51" s="13"/>
      <c r="OAK51" s="13"/>
      <c r="OAL51" s="13"/>
      <c r="OAM51" s="13"/>
      <c r="OAN51" s="13"/>
      <c r="OAO51" s="13"/>
      <c r="OAP51" s="13"/>
      <c r="OAQ51" s="13"/>
      <c r="OAR51" s="13"/>
      <c r="OAS51" s="13"/>
      <c r="OAT51" s="13"/>
      <c r="OAU51" s="13"/>
      <c r="OAV51" s="13"/>
      <c r="OAW51" s="13"/>
      <c r="OAX51" s="13"/>
      <c r="OAY51" s="13"/>
      <c r="OAZ51" s="13"/>
      <c r="OBA51" s="13"/>
      <c r="OBB51" s="13"/>
      <c r="OBC51" s="13"/>
      <c r="OBD51" s="13"/>
      <c r="OBE51" s="13"/>
      <c r="OBF51" s="13"/>
      <c r="OBG51" s="13"/>
      <c r="OBH51" s="13"/>
      <c r="OBI51" s="13"/>
      <c r="OBJ51" s="13"/>
      <c r="OBK51" s="13"/>
      <c r="OBL51" s="13"/>
      <c r="OBM51" s="13"/>
      <c r="OBN51" s="13"/>
      <c r="OBO51" s="13"/>
      <c r="OBP51" s="13"/>
      <c r="OBQ51" s="13"/>
      <c r="OBR51" s="13"/>
      <c r="OBS51" s="13"/>
      <c r="OBT51" s="13"/>
      <c r="OBU51" s="13"/>
      <c r="OBV51" s="13"/>
      <c r="OBW51" s="13"/>
      <c r="OBX51" s="13"/>
      <c r="OBY51" s="13"/>
      <c r="OBZ51" s="13"/>
      <c r="OCA51" s="13"/>
      <c r="OCB51" s="13"/>
      <c r="OCC51" s="13"/>
      <c r="OCD51" s="13"/>
      <c r="OCE51" s="13"/>
      <c r="OCF51" s="13"/>
      <c r="OCG51" s="13"/>
      <c r="OCH51" s="13"/>
      <c r="OCI51" s="13"/>
      <c r="OCJ51" s="13"/>
      <c r="OCK51" s="13"/>
      <c r="OCL51" s="13"/>
      <c r="OCM51" s="13"/>
      <c r="OCN51" s="13"/>
      <c r="OCO51" s="13"/>
      <c r="OCP51" s="13"/>
      <c r="OCQ51" s="13"/>
      <c r="OCR51" s="13"/>
      <c r="OCS51" s="13"/>
      <c r="OCT51" s="13"/>
      <c r="OCU51" s="13"/>
      <c r="OCV51" s="13"/>
      <c r="OCW51" s="13"/>
      <c r="OCX51" s="13"/>
      <c r="OCY51" s="13"/>
      <c r="OCZ51" s="13"/>
      <c r="ODA51" s="13"/>
      <c r="ODB51" s="13"/>
      <c r="ODC51" s="13"/>
      <c r="ODD51" s="13"/>
      <c r="ODE51" s="13"/>
      <c r="ODF51" s="13"/>
      <c r="ODG51" s="13"/>
      <c r="ODH51" s="13"/>
      <c r="ODI51" s="13"/>
      <c r="ODJ51" s="13"/>
      <c r="ODK51" s="13"/>
      <c r="ODL51" s="13"/>
      <c r="ODM51" s="13"/>
      <c r="ODN51" s="13"/>
      <c r="ODO51" s="13"/>
      <c r="ODP51" s="13"/>
      <c r="ODQ51" s="13"/>
      <c r="ODR51" s="13"/>
      <c r="ODS51" s="13"/>
      <c r="ODT51" s="13"/>
      <c r="ODU51" s="13"/>
      <c r="ODV51" s="13"/>
      <c r="ODW51" s="13"/>
      <c r="ODX51" s="13"/>
      <c r="ODY51" s="13"/>
      <c r="ODZ51" s="13"/>
      <c r="OEA51" s="13"/>
      <c r="OEB51" s="13"/>
      <c r="OEC51" s="13"/>
      <c r="OED51" s="13"/>
      <c r="OEE51" s="13"/>
      <c r="OEF51" s="13"/>
      <c r="OEG51" s="13"/>
      <c r="OEH51" s="13"/>
      <c r="OEI51" s="13"/>
      <c r="OEJ51" s="13"/>
      <c r="OEK51" s="13"/>
      <c r="OEL51" s="13"/>
      <c r="OEM51" s="13"/>
      <c r="OEN51" s="13"/>
      <c r="OEO51" s="13"/>
      <c r="OEP51" s="13"/>
      <c r="OEQ51" s="13"/>
      <c r="OER51" s="13"/>
      <c r="OES51" s="13"/>
      <c r="OET51" s="13"/>
      <c r="OEU51" s="13"/>
      <c r="OEV51" s="13"/>
      <c r="OEW51" s="13"/>
      <c r="OEX51" s="13"/>
      <c r="OEY51" s="13"/>
      <c r="OEZ51" s="13"/>
      <c r="OFA51" s="13"/>
      <c r="OFB51" s="13"/>
      <c r="OFC51" s="13"/>
      <c r="OFD51" s="13"/>
      <c r="OFE51" s="13"/>
      <c r="OFF51" s="13"/>
      <c r="OFG51" s="13"/>
      <c r="OFH51" s="13"/>
      <c r="OFI51" s="13"/>
      <c r="OFJ51" s="13"/>
      <c r="OFK51" s="13"/>
      <c r="OFL51" s="13"/>
      <c r="OFM51" s="13"/>
      <c r="OFN51" s="13"/>
      <c r="OFO51" s="13"/>
      <c r="OFP51" s="13"/>
      <c r="OFQ51" s="13"/>
      <c r="OFR51" s="13"/>
      <c r="OFS51" s="13"/>
      <c r="OFT51" s="13"/>
      <c r="OFU51" s="13"/>
      <c r="OFV51" s="13"/>
      <c r="OFW51" s="13"/>
      <c r="OFX51" s="13"/>
      <c r="OFY51" s="13"/>
      <c r="OFZ51" s="13"/>
      <c r="OGA51" s="13"/>
      <c r="OGB51" s="13"/>
      <c r="OGC51" s="13"/>
      <c r="OGD51" s="13"/>
      <c r="OGE51" s="13"/>
      <c r="OGF51" s="13"/>
      <c r="OGG51" s="13"/>
      <c r="OGH51" s="13"/>
      <c r="OGI51" s="13"/>
      <c r="OGJ51" s="13"/>
      <c r="OGK51" s="13"/>
      <c r="OGL51" s="13"/>
      <c r="OGM51" s="13"/>
      <c r="OGN51" s="13"/>
      <c r="OGO51" s="13"/>
      <c r="OGP51" s="13"/>
      <c r="OGQ51" s="13"/>
      <c r="OGR51" s="13"/>
      <c r="OGS51" s="13"/>
      <c r="OGT51" s="13"/>
      <c r="OGU51" s="13"/>
      <c r="OGV51" s="13"/>
      <c r="OGW51" s="13"/>
      <c r="OGX51" s="13"/>
      <c r="OGY51" s="13"/>
      <c r="OGZ51" s="13"/>
      <c r="OHA51" s="13"/>
      <c r="OHB51" s="13"/>
      <c r="OHC51" s="13"/>
      <c r="OHD51" s="13"/>
      <c r="OHE51" s="13"/>
      <c r="OHF51" s="13"/>
      <c r="OHG51" s="13"/>
      <c r="OHH51" s="13"/>
      <c r="OHI51" s="13"/>
      <c r="OHJ51" s="13"/>
      <c r="OHK51" s="13"/>
      <c r="OHL51" s="13"/>
      <c r="OHM51" s="13"/>
      <c r="OHN51" s="13"/>
      <c r="OHO51" s="13"/>
      <c r="OHP51" s="13"/>
      <c r="OHQ51" s="13"/>
      <c r="OHR51" s="13"/>
      <c r="OHS51" s="13"/>
      <c r="OHT51" s="13"/>
      <c r="OHU51" s="13"/>
      <c r="OHV51" s="13"/>
      <c r="OHW51" s="13"/>
      <c r="OHX51" s="13"/>
      <c r="OHY51" s="13"/>
      <c r="OHZ51" s="13"/>
      <c r="OIA51" s="13"/>
      <c r="OIB51" s="13"/>
      <c r="OIC51" s="13"/>
      <c r="OID51" s="13"/>
      <c r="OIE51" s="13"/>
      <c r="OIF51" s="13"/>
      <c r="OIG51" s="13"/>
      <c r="OIH51" s="13"/>
      <c r="OII51" s="13"/>
      <c r="OIJ51" s="13"/>
      <c r="OIK51" s="13"/>
      <c r="OIL51" s="13"/>
      <c r="OIM51" s="13"/>
      <c r="OIN51" s="13"/>
      <c r="OIO51" s="13"/>
      <c r="OIP51" s="13"/>
      <c r="OIQ51" s="13"/>
      <c r="OIR51" s="13"/>
      <c r="OIS51" s="13"/>
      <c r="OIT51" s="13"/>
      <c r="OIU51" s="13"/>
      <c r="OIV51" s="13"/>
      <c r="OIW51" s="13"/>
      <c r="OIX51" s="13"/>
      <c r="OIY51" s="13"/>
      <c r="OIZ51" s="13"/>
      <c r="OJA51" s="13"/>
      <c r="OJB51" s="13"/>
      <c r="OJC51" s="13"/>
      <c r="OJD51" s="13"/>
      <c r="OJE51" s="13"/>
      <c r="OJF51" s="13"/>
      <c r="OJG51" s="13"/>
      <c r="OJH51" s="13"/>
      <c r="OJI51" s="13"/>
      <c r="OJJ51" s="13"/>
      <c r="OJK51" s="13"/>
      <c r="OJL51" s="13"/>
      <c r="OJM51" s="13"/>
      <c r="OJN51" s="13"/>
      <c r="OJO51" s="13"/>
      <c r="OJP51" s="13"/>
      <c r="OJQ51" s="13"/>
      <c r="OJR51" s="13"/>
      <c r="OJS51" s="13"/>
      <c r="OJT51" s="13"/>
      <c r="OJU51" s="13"/>
      <c r="OJV51" s="13"/>
      <c r="OJW51" s="13"/>
      <c r="OJX51" s="13"/>
      <c r="OJY51" s="13"/>
      <c r="OJZ51" s="13"/>
      <c r="OKA51" s="13"/>
      <c r="OKB51" s="13"/>
      <c r="OKC51" s="13"/>
      <c r="OKD51" s="13"/>
      <c r="OKE51" s="13"/>
      <c r="OKF51" s="13"/>
      <c r="OKG51" s="13"/>
      <c r="OKH51" s="13"/>
      <c r="OKI51" s="13"/>
      <c r="OKJ51" s="13"/>
      <c r="OKK51" s="13"/>
      <c r="OKL51" s="13"/>
      <c r="OKM51" s="13"/>
      <c r="OKN51" s="13"/>
      <c r="OKO51" s="13"/>
      <c r="OKP51" s="13"/>
      <c r="OKQ51" s="13"/>
      <c r="OKR51" s="13"/>
      <c r="OKS51" s="13"/>
      <c r="OKT51" s="13"/>
      <c r="OKU51" s="13"/>
      <c r="OKV51" s="13"/>
      <c r="OKW51" s="13"/>
      <c r="OKX51" s="13"/>
      <c r="OKY51" s="13"/>
      <c r="OKZ51" s="13"/>
      <c r="OLA51" s="13"/>
      <c r="OLB51" s="13"/>
      <c r="OLC51" s="13"/>
      <c r="OLD51" s="13"/>
      <c r="OLE51" s="13"/>
      <c r="OLF51" s="13"/>
      <c r="OLG51" s="13"/>
      <c r="OLH51" s="13"/>
      <c r="OLI51" s="13"/>
      <c r="OLJ51" s="13"/>
      <c r="OLK51" s="13"/>
      <c r="OLL51" s="13"/>
      <c r="OLM51" s="13"/>
      <c r="OLN51" s="13"/>
      <c r="OLO51" s="13"/>
      <c r="OLP51" s="13"/>
      <c r="OLQ51" s="13"/>
      <c r="OLR51" s="13"/>
      <c r="OLS51" s="13"/>
      <c r="OLT51" s="13"/>
      <c r="OLU51" s="13"/>
      <c r="OLV51" s="13"/>
      <c r="OLW51" s="13"/>
      <c r="OLX51" s="13"/>
      <c r="OLY51" s="13"/>
      <c r="OLZ51" s="13"/>
      <c r="OMA51" s="13"/>
      <c r="OMB51" s="13"/>
      <c r="OMC51" s="13"/>
      <c r="OMD51" s="13"/>
      <c r="OME51" s="13"/>
      <c r="OMF51" s="13"/>
      <c r="OMG51" s="13"/>
      <c r="OMH51" s="13"/>
      <c r="OMI51" s="13"/>
      <c r="OMJ51" s="13"/>
      <c r="OMK51" s="13"/>
      <c r="OML51" s="13"/>
      <c r="OMM51" s="13"/>
      <c r="OMN51" s="13"/>
      <c r="OMO51" s="13"/>
      <c r="OMP51" s="13"/>
      <c r="OMQ51" s="13"/>
      <c r="OMR51" s="13"/>
      <c r="OMS51" s="13"/>
      <c r="OMT51" s="13"/>
      <c r="OMU51" s="13"/>
      <c r="OMV51" s="13"/>
      <c r="OMW51" s="13"/>
      <c r="OMX51" s="13"/>
      <c r="OMY51" s="13"/>
      <c r="OMZ51" s="13"/>
      <c r="ONA51" s="13"/>
      <c r="ONB51" s="13"/>
      <c r="ONC51" s="13"/>
      <c r="OND51" s="13"/>
      <c r="ONE51" s="13"/>
      <c r="ONF51" s="13"/>
      <c r="ONG51" s="13"/>
      <c r="ONH51" s="13"/>
      <c r="ONI51" s="13"/>
      <c r="ONJ51" s="13"/>
      <c r="ONK51" s="13"/>
      <c r="ONL51" s="13"/>
      <c r="ONM51" s="13"/>
      <c r="ONN51" s="13"/>
      <c r="ONO51" s="13"/>
      <c r="ONP51" s="13"/>
      <c r="ONQ51" s="13"/>
      <c r="ONR51" s="13"/>
      <c r="ONS51" s="13"/>
      <c r="ONT51" s="13"/>
      <c r="ONU51" s="13"/>
      <c r="ONV51" s="13"/>
      <c r="ONW51" s="13"/>
      <c r="ONX51" s="13"/>
      <c r="ONY51" s="13"/>
      <c r="ONZ51" s="13"/>
      <c r="OOA51" s="13"/>
      <c r="OOB51" s="13"/>
      <c r="OOC51" s="13"/>
      <c r="OOD51" s="13"/>
      <c r="OOE51" s="13"/>
      <c r="OOF51" s="13"/>
      <c r="OOG51" s="13"/>
      <c r="OOH51" s="13"/>
      <c r="OOI51" s="13"/>
      <c r="OOJ51" s="13"/>
      <c r="OOK51" s="13"/>
      <c r="OOL51" s="13"/>
      <c r="OOM51" s="13"/>
      <c r="OON51" s="13"/>
      <c r="OOO51" s="13"/>
      <c r="OOP51" s="13"/>
      <c r="OOQ51" s="13"/>
      <c r="OOR51" s="13"/>
      <c r="OOS51" s="13"/>
      <c r="OOT51" s="13"/>
      <c r="OOU51" s="13"/>
      <c r="OOV51" s="13"/>
      <c r="OOW51" s="13"/>
      <c r="OOX51" s="13"/>
      <c r="OOY51" s="13"/>
      <c r="OOZ51" s="13"/>
      <c r="OPA51" s="13"/>
      <c r="OPB51" s="13"/>
      <c r="OPC51" s="13"/>
      <c r="OPD51" s="13"/>
      <c r="OPE51" s="13"/>
      <c r="OPF51" s="13"/>
      <c r="OPG51" s="13"/>
      <c r="OPH51" s="13"/>
      <c r="OPI51" s="13"/>
      <c r="OPJ51" s="13"/>
      <c r="OPK51" s="13"/>
      <c r="OPL51" s="13"/>
      <c r="OPM51" s="13"/>
      <c r="OPN51" s="13"/>
      <c r="OPO51" s="13"/>
      <c r="OPP51" s="13"/>
      <c r="OPQ51" s="13"/>
      <c r="OPR51" s="13"/>
      <c r="OPS51" s="13"/>
      <c r="OPT51" s="13"/>
      <c r="OPU51" s="13"/>
      <c r="OPV51" s="13"/>
      <c r="OPW51" s="13"/>
      <c r="OPX51" s="13"/>
      <c r="OPY51" s="13"/>
      <c r="OPZ51" s="13"/>
      <c r="OQA51" s="13"/>
      <c r="OQB51" s="13"/>
      <c r="OQC51" s="13"/>
      <c r="OQD51" s="13"/>
      <c r="OQE51" s="13"/>
      <c r="OQF51" s="13"/>
      <c r="OQG51" s="13"/>
      <c r="OQH51" s="13"/>
      <c r="OQI51" s="13"/>
      <c r="OQJ51" s="13"/>
      <c r="OQK51" s="13"/>
      <c r="OQL51" s="13"/>
      <c r="OQM51" s="13"/>
      <c r="OQN51" s="13"/>
      <c r="OQO51" s="13"/>
      <c r="OQP51" s="13"/>
      <c r="OQQ51" s="13"/>
      <c r="OQR51" s="13"/>
      <c r="OQS51" s="13"/>
      <c r="OQT51" s="13"/>
      <c r="OQU51" s="13"/>
      <c r="OQV51" s="13"/>
      <c r="OQW51" s="13"/>
      <c r="OQX51" s="13"/>
      <c r="OQY51" s="13"/>
      <c r="OQZ51" s="13"/>
      <c r="ORA51" s="13"/>
      <c r="ORB51" s="13"/>
      <c r="ORC51" s="13"/>
      <c r="ORD51" s="13"/>
      <c r="ORE51" s="13"/>
      <c r="ORF51" s="13"/>
      <c r="ORG51" s="13"/>
      <c r="ORH51" s="13"/>
      <c r="ORI51" s="13"/>
      <c r="ORJ51" s="13"/>
      <c r="ORK51" s="13"/>
      <c r="ORL51" s="13"/>
      <c r="ORM51" s="13"/>
      <c r="ORN51" s="13"/>
      <c r="ORO51" s="13"/>
      <c r="ORP51" s="13"/>
      <c r="ORQ51" s="13"/>
      <c r="ORR51" s="13"/>
      <c r="ORS51" s="13"/>
      <c r="ORT51" s="13"/>
      <c r="ORU51" s="13"/>
      <c r="ORV51" s="13"/>
      <c r="ORW51" s="13"/>
      <c r="ORX51" s="13"/>
      <c r="ORY51" s="13"/>
      <c r="ORZ51" s="13"/>
      <c r="OSA51" s="13"/>
      <c r="OSB51" s="13"/>
      <c r="OSC51" s="13"/>
      <c r="OSD51" s="13"/>
      <c r="OSE51" s="13"/>
      <c r="OSF51" s="13"/>
      <c r="OSG51" s="13"/>
      <c r="OSH51" s="13"/>
      <c r="OSI51" s="13"/>
      <c r="OSJ51" s="13"/>
      <c r="OSK51" s="13"/>
      <c r="OSL51" s="13"/>
      <c r="OSM51" s="13"/>
      <c r="OSN51" s="13"/>
      <c r="OSO51" s="13"/>
      <c r="OSP51" s="13"/>
      <c r="OSQ51" s="13"/>
      <c r="OSR51" s="13"/>
      <c r="OSS51" s="13"/>
      <c r="OST51" s="13"/>
      <c r="OSU51" s="13"/>
      <c r="OSV51" s="13"/>
      <c r="OSW51" s="13"/>
      <c r="OSX51" s="13"/>
      <c r="OSY51" s="13"/>
      <c r="OSZ51" s="13"/>
      <c r="OTA51" s="13"/>
      <c r="OTB51" s="13"/>
      <c r="OTC51" s="13"/>
      <c r="OTD51" s="13"/>
      <c r="OTE51" s="13"/>
      <c r="OTF51" s="13"/>
      <c r="OTG51" s="13"/>
      <c r="OTH51" s="13"/>
      <c r="OTI51" s="13"/>
      <c r="OTJ51" s="13"/>
      <c r="OTK51" s="13"/>
      <c r="OTL51" s="13"/>
      <c r="OTM51" s="13"/>
      <c r="OTN51" s="13"/>
      <c r="OTO51" s="13"/>
      <c r="OTP51" s="13"/>
      <c r="OTQ51" s="13"/>
      <c r="OTR51" s="13"/>
      <c r="OTS51" s="13"/>
      <c r="OTT51" s="13"/>
      <c r="OTU51" s="13"/>
      <c r="OTV51" s="13"/>
      <c r="OTW51" s="13"/>
      <c r="OTX51" s="13"/>
      <c r="OTY51" s="13"/>
      <c r="OTZ51" s="13"/>
      <c r="OUA51" s="13"/>
      <c r="OUB51" s="13"/>
      <c r="OUC51" s="13"/>
      <c r="OUD51" s="13"/>
      <c r="OUE51" s="13"/>
      <c r="OUF51" s="13"/>
      <c r="OUG51" s="13"/>
      <c r="OUH51" s="13"/>
      <c r="OUI51" s="13"/>
      <c r="OUJ51" s="13"/>
      <c r="OUK51" s="13"/>
      <c r="OUL51" s="13"/>
      <c r="OUM51" s="13"/>
      <c r="OUN51" s="13"/>
      <c r="OUO51" s="13"/>
      <c r="OUP51" s="13"/>
      <c r="OUQ51" s="13"/>
      <c r="OUR51" s="13"/>
      <c r="OUS51" s="13"/>
      <c r="OUT51" s="13"/>
      <c r="OUU51" s="13"/>
      <c r="OUV51" s="13"/>
      <c r="OUW51" s="13"/>
      <c r="OUX51" s="13"/>
      <c r="OUY51" s="13"/>
      <c r="OUZ51" s="13"/>
      <c r="OVA51" s="13"/>
      <c r="OVB51" s="13"/>
      <c r="OVC51" s="13"/>
      <c r="OVD51" s="13"/>
      <c r="OVE51" s="13"/>
      <c r="OVF51" s="13"/>
      <c r="OVG51" s="13"/>
      <c r="OVH51" s="13"/>
      <c r="OVI51" s="13"/>
      <c r="OVJ51" s="13"/>
      <c r="OVK51" s="13"/>
      <c r="OVL51" s="13"/>
      <c r="OVM51" s="13"/>
      <c r="OVN51" s="13"/>
      <c r="OVO51" s="13"/>
      <c r="OVP51" s="13"/>
      <c r="OVQ51" s="13"/>
      <c r="OVR51" s="13"/>
      <c r="OVS51" s="13"/>
      <c r="OVT51" s="13"/>
      <c r="OVU51" s="13"/>
      <c r="OVV51" s="13"/>
      <c r="OVW51" s="13"/>
      <c r="OVX51" s="13"/>
      <c r="OVY51" s="13"/>
      <c r="OVZ51" s="13"/>
      <c r="OWA51" s="13"/>
      <c r="OWB51" s="13"/>
      <c r="OWC51" s="13"/>
      <c r="OWD51" s="13"/>
      <c r="OWE51" s="13"/>
      <c r="OWF51" s="13"/>
      <c r="OWG51" s="13"/>
      <c r="OWH51" s="13"/>
      <c r="OWI51" s="13"/>
      <c r="OWJ51" s="13"/>
      <c r="OWK51" s="13"/>
      <c r="OWL51" s="13"/>
      <c r="OWM51" s="13"/>
      <c r="OWN51" s="13"/>
      <c r="OWO51" s="13"/>
      <c r="OWP51" s="13"/>
      <c r="OWQ51" s="13"/>
      <c r="OWR51" s="13"/>
      <c r="OWS51" s="13"/>
      <c r="OWT51" s="13"/>
      <c r="OWU51" s="13"/>
      <c r="OWV51" s="13"/>
      <c r="OWW51" s="13"/>
      <c r="OWX51" s="13"/>
      <c r="OWY51" s="13"/>
      <c r="OWZ51" s="13"/>
      <c r="OXA51" s="13"/>
      <c r="OXB51" s="13"/>
      <c r="OXC51" s="13"/>
      <c r="OXD51" s="13"/>
      <c r="OXE51" s="13"/>
      <c r="OXF51" s="13"/>
      <c r="OXG51" s="13"/>
      <c r="OXH51" s="13"/>
      <c r="OXI51" s="13"/>
      <c r="OXJ51" s="13"/>
      <c r="OXK51" s="13"/>
      <c r="OXL51" s="13"/>
      <c r="OXM51" s="13"/>
      <c r="OXN51" s="13"/>
      <c r="OXO51" s="13"/>
      <c r="OXP51" s="13"/>
      <c r="OXQ51" s="13"/>
      <c r="OXR51" s="13"/>
      <c r="OXS51" s="13"/>
      <c r="OXT51" s="13"/>
      <c r="OXU51" s="13"/>
      <c r="OXV51" s="13"/>
      <c r="OXW51" s="13"/>
      <c r="OXX51" s="13"/>
      <c r="OXY51" s="13"/>
      <c r="OXZ51" s="13"/>
      <c r="OYA51" s="13"/>
      <c r="OYB51" s="13"/>
      <c r="OYC51" s="13"/>
      <c r="OYD51" s="13"/>
      <c r="OYE51" s="13"/>
      <c r="OYF51" s="13"/>
      <c r="OYG51" s="13"/>
      <c r="OYH51" s="13"/>
      <c r="OYI51" s="13"/>
      <c r="OYJ51" s="13"/>
      <c r="OYK51" s="13"/>
      <c r="OYL51" s="13"/>
      <c r="OYM51" s="13"/>
      <c r="OYN51" s="13"/>
      <c r="OYO51" s="13"/>
      <c r="OYP51" s="13"/>
      <c r="OYQ51" s="13"/>
      <c r="OYR51" s="13"/>
      <c r="OYS51" s="13"/>
      <c r="OYT51" s="13"/>
      <c r="OYU51" s="13"/>
      <c r="OYV51" s="13"/>
      <c r="OYW51" s="13"/>
      <c r="OYX51" s="13"/>
      <c r="OYY51" s="13"/>
      <c r="OYZ51" s="13"/>
      <c r="OZA51" s="13"/>
      <c r="OZB51" s="13"/>
      <c r="OZC51" s="13"/>
      <c r="OZD51" s="13"/>
      <c r="OZE51" s="13"/>
      <c r="OZF51" s="13"/>
      <c r="OZG51" s="13"/>
      <c r="OZH51" s="13"/>
      <c r="OZI51" s="13"/>
      <c r="OZJ51" s="13"/>
      <c r="OZK51" s="13"/>
      <c r="OZL51" s="13"/>
      <c r="OZM51" s="13"/>
      <c r="OZN51" s="13"/>
      <c r="OZO51" s="13"/>
      <c r="OZP51" s="13"/>
      <c r="OZQ51" s="13"/>
      <c r="OZR51" s="13"/>
      <c r="OZS51" s="13"/>
      <c r="OZT51" s="13"/>
      <c r="OZU51" s="13"/>
      <c r="OZV51" s="13"/>
      <c r="OZW51" s="13"/>
      <c r="OZX51" s="13"/>
      <c r="OZY51" s="13"/>
      <c r="OZZ51" s="13"/>
      <c r="PAA51" s="13"/>
      <c r="PAB51" s="13"/>
      <c r="PAC51" s="13"/>
      <c r="PAD51" s="13"/>
      <c r="PAE51" s="13"/>
      <c r="PAF51" s="13"/>
      <c r="PAG51" s="13"/>
      <c r="PAH51" s="13"/>
      <c r="PAI51" s="13"/>
      <c r="PAJ51" s="13"/>
      <c r="PAK51" s="13"/>
      <c r="PAL51" s="13"/>
      <c r="PAM51" s="13"/>
      <c r="PAN51" s="13"/>
      <c r="PAO51" s="13"/>
      <c r="PAP51" s="13"/>
      <c r="PAQ51" s="13"/>
      <c r="PAR51" s="13"/>
      <c r="PAS51" s="13"/>
      <c r="PAT51" s="13"/>
      <c r="PAU51" s="13"/>
      <c r="PAV51" s="13"/>
      <c r="PAW51" s="13"/>
      <c r="PAX51" s="13"/>
      <c r="PAY51" s="13"/>
      <c r="PAZ51" s="13"/>
      <c r="PBA51" s="13"/>
      <c r="PBB51" s="13"/>
      <c r="PBC51" s="13"/>
      <c r="PBD51" s="13"/>
      <c r="PBE51" s="13"/>
      <c r="PBF51" s="13"/>
      <c r="PBG51" s="13"/>
      <c r="PBH51" s="13"/>
      <c r="PBI51" s="13"/>
      <c r="PBJ51" s="13"/>
      <c r="PBK51" s="13"/>
      <c r="PBL51" s="13"/>
      <c r="PBM51" s="13"/>
      <c r="PBN51" s="13"/>
      <c r="PBO51" s="13"/>
      <c r="PBP51" s="13"/>
      <c r="PBQ51" s="13"/>
      <c r="PBR51" s="13"/>
      <c r="PBS51" s="13"/>
      <c r="PBT51" s="13"/>
      <c r="PBU51" s="13"/>
      <c r="PBV51" s="13"/>
      <c r="PBW51" s="13"/>
      <c r="PBX51" s="13"/>
      <c r="PBY51" s="13"/>
      <c r="PBZ51" s="13"/>
      <c r="PCA51" s="13"/>
      <c r="PCB51" s="13"/>
      <c r="PCC51" s="13"/>
      <c r="PCD51" s="13"/>
      <c r="PCE51" s="13"/>
      <c r="PCF51" s="13"/>
      <c r="PCG51" s="13"/>
      <c r="PCH51" s="13"/>
      <c r="PCI51" s="13"/>
      <c r="PCJ51" s="13"/>
      <c r="PCK51" s="13"/>
      <c r="PCL51" s="13"/>
      <c r="PCM51" s="13"/>
      <c r="PCN51" s="13"/>
      <c r="PCO51" s="13"/>
      <c r="PCP51" s="13"/>
      <c r="PCQ51" s="13"/>
      <c r="PCR51" s="13"/>
      <c r="PCS51" s="13"/>
      <c r="PCT51" s="13"/>
      <c r="PCU51" s="13"/>
      <c r="PCV51" s="13"/>
      <c r="PCW51" s="13"/>
      <c r="PCX51" s="13"/>
      <c r="PCY51" s="13"/>
      <c r="PCZ51" s="13"/>
      <c r="PDA51" s="13"/>
      <c r="PDB51" s="13"/>
      <c r="PDC51" s="13"/>
      <c r="PDD51" s="13"/>
      <c r="PDE51" s="13"/>
      <c r="PDF51" s="13"/>
      <c r="PDG51" s="13"/>
      <c r="PDH51" s="13"/>
      <c r="PDI51" s="13"/>
      <c r="PDJ51" s="13"/>
      <c r="PDK51" s="13"/>
      <c r="PDL51" s="13"/>
      <c r="PDM51" s="13"/>
      <c r="PDN51" s="13"/>
      <c r="PDO51" s="13"/>
      <c r="PDP51" s="13"/>
      <c r="PDQ51" s="13"/>
      <c r="PDR51" s="13"/>
      <c r="PDS51" s="13"/>
      <c r="PDT51" s="13"/>
      <c r="PDU51" s="13"/>
      <c r="PDV51" s="13"/>
      <c r="PDW51" s="13"/>
      <c r="PDX51" s="13"/>
      <c r="PDY51" s="13"/>
      <c r="PDZ51" s="13"/>
      <c r="PEA51" s="13"/>
      <c r="PEB51" s="13"/>
      <c r="PEC51" s="13"/>
      <c r="PED51" s="13"/>
      <c r="PEE51" s="13"/>
      <c r="PEF51" s="13"/>
      <c r="PEG51" s="13"/>
      <c r="PEH51" s="13"/>
      <c r="PEI51" s="13"/>
      <c r="PEJ51" s="13"/>
      <c r="PEK51" s="13"/>
      <c r="PEL51" s="13"/>
      <c r="PEM51" s="13"/>
      <c r="PEN51" s="13"/>
      <c r="PEO51" s="13"/>
      <c r="PEP51" s="13"/>
      <c r="PEQ51" s="13"/>
      <c r="PER51" s="13"/>
      <c r="PES51" s="13"/>
      <c r="PET51" s="13"/>
      <c r="PEU51" s="13"/>
      <c r="PEV51" s="13"/>
      <c r="PEW51" s="13"/>
      <c r="PEX51" s="13"/>
      <c r="PEY51" s="13"/>
      <c r="PEZ51" s="13"/>
      <c r="PFA51" s="13"/>
      <c r="PFB51" s="13"/>
      <c r="PFC51" s="13"/>
      <c r="PFD51" s="13"/>
      <c r="PFE51" s="13"/>
      <c r="PFF51" s="13"/>
      <c r="PFG51" s="13"/>
      <c r="PFH51" s="13"/>
      <c r="PFI51" s="13"/>
      <c r="PFJ51" s="13"/>
      <c r="PFK51" s="13"/>
      <c r="PFL51" s="13"/>
      <c r="PFM51" s="13"/>
      <c r="PFN51" s="13"/>
      <c r="PFO51" s="13"/>
      <c r="PFP51" s="13"/>
      <c r="PFQ51" s="13"/>
      <c r="PFR51" s="13"/>
      <c r="PFS51" s="13"/>
      <c r="PFT51" s="13"/>
      <c r="PFU51" s="13"/>
      <c r="PFV51" s="13"/>
      <c r="PFW51" s="13"/>
      <c r="PFX51" s="13"/>
      <c r="PFY51" s="13"/>
      <c r="PFZ51" s="13"/>
      <c r="PGA51" s="13"/>
      <c r="PGB51" s="13"/>
      <c r="PGC51" s="13"/>
      <c r="PGD51" s="13"/>
      <c r="PGE51" s="13"/>
      <c r="PGF51" s="13"/>
      <c r="PGG51" s="13"/>
      <c r="PGH51" s="13"/>
      <c r="PGI51" s="13"/>
      <c r="PGJ51" s="13"/>
      <c r="PGK51" s="13"/>
      <c r="PGL51" s="13"/>
      <c r="PGM51" s="13"/>
      <c r="PGN51" s="13"/>
      <c r="PGO51" s="13"/>
      <c r="PGP51" s="13"/>
      <c r="PGQ51" s="13"/>
      <c r="PGR51" s="13"/>
      <c r="PGS51" s="13"/>
      <c r="PGT51" s="13"/>
      <c r="PGU51" s="13"/>
      <c r="PGV51" s="13"/>
      <c r="PGW51" s="13"/>
      <c r="PGX51" s="13"/>
      <c r="PGY51" s="13"/>
      <c r="PGZ51" s="13"/>
      <c r="PHA51" s="13"/>
      <c r="PHB51" s="13"/>
      <c r="PHC51" s="13"/>
      <c r="PHD51" s="13"/>
      <c r="PHE51" s="13"/>
      <c r="PHF51" s="13"/>
      <c r="PHG51" s="13"/>
      <c r="PHH51" s="13"/>
      <c r="PHI51" s="13"/>
      <c r="PHJ51" s="13"/>
      <c r="PHK51" s="13"/>
      <c r="PHL51" s="13"/>
      <c r="PHM51" s="13"/>
      <c r="PHN51" s="13"/>
      <c r="PHO51" s="13"/>
      <c r="PHP51" s="13"/>
      <c r="PHQ51" s="13"/>
      <c r="PHR51" s="13"/>
      <c r="PHS51" s="13"/>
      <c r="PHT51" s="13"/>
      <c r="PHU51" s="13"/>
      <c r="PHV51" s="13"/>
      <c r="PHW51" s="13"/>
      <c r="PHX51" s="13"/>
      <c r="PHY51" s="13"/>
      <c r="PHZ51" s="13"/>
      <c r="PIA51" s="13"/>
      <c r="PIB51" s="13"/>
      <c r="PIC51" s="13"/>
      <c r="PID51" s="13"/>
      <c r="PIE51" s="13"/>
      <c r="PIF51" s="13"/>
      <c r="PIG51" s="13"/>
      <c r="PIH51" s="13"/>
      <c r="PII51" s="13"/>
      <c r="PIJ51" s="13"/>
      <c r="PIK51" s="13"/>
      <c r="PIL51" s="13"/>
      <c r="PIM51" s="13"/>
      <c r="PIN51" s="13"/>
      <c r="PIO51" s="13"/>
      <c r="PIP51" s="13"/>
      <c r="PIQ51" s="13"/>
      <c r="PIR51" s="13"/>
      <c r="PIS51" s="13"/>
      <c r="PIT51" s="13"/>
      <c r="PIU51" s="13"/>
      <c r="PIV51" s="13"/>
      <c r="PIW51" s="13"/>
      <c r="PIX51" s="13"/>
      <c r="PIY51" s="13"/>
      <c r="PIZ51" s="13"/>
      <c r="PJA51" s="13"/>
      <c r="PJB51" s="13"/>
      <c r="PJC51" s="13"/>
      <c r="PJD51" s="13"/>
      <c r="PJE51" s="13"/>
      <c r="PJF51" s="13"/>
      <c r="PJG51" s="13"/>
      <c r="PJH51" s="13"/>
      <c r="PJI51" s="13"/>
      <c r="PJJ51" s="13"/>
      <c r="PJK51" s="13"/>
      <c r="PJL51" s="13"/>
      <c r="PJM51" s="13"/>
      <c r="PJN51" s="13"/>
      <c r="PJO51" s="13"/>
      <c r="PJP51" s="13"/>
      <c r="PJQ51" s="13"/>
      <c r="PJR51" s="13"/>
      <c r="PJS51" s="13"/>
      <c r="PJT51" s="13"/>
      <c r="PJU51" s="13"/>
      <c r="PJV51" s="13"/>
      <c r="PJW51" s="13"/>
      <c r="PJX51" s="13"/>
      <c r="PJY51" s="13"/>
      <c r="PJZ51" s="13"/>
      <c r="PKA51" s="13"/>
      <c r="PKB51" s="13"/>
      <c r="PKC51" s="13"/>
      <c r="PKD51" s="13"/>
      <c r="PKE51" s="13"/>
      <c r="PKF51" s="13"/>
      <c r="PKG51" s="13"/>
      <c r="PKH51" s="13"/>
      <c r="PKI51" s="13"/>
      <c r="PKJ51" s="13"/>
      <c r="PKK51" s="13"/>
      <c r="PKL51" s="13"/>
      <c r="PKM51" s="13"/>
      <c r="PKN51" s="13"/>
      <c r="PKO51" s="13"/>
      <c r="PKP51" s="13"/>
      <c r="PKQ51" s="13"/>
      <c r="PKR51" s="13"/>
      <c r="PKS51" s="13"/>
      <c r="PKT51" s="13"/>
      <c r="PKU51" s="13"/>
      <c r="PKV51" s="13"/>
      <c r="PKW51" s="13"/>
      <c r="PKX51" s="13"/>
      <c r="PKY51" s="13"/>
      <c r="PKZ51" s="13"/>
      <c r="PLA51" s="13"/>
      <c r="PLB51" s="13"/>
      <c r="PLC51" s="13"/>
      <c r="PLD51" s="13"/>
      <c r="PLE51" s="13"/>
      <c r="PLF51" s="13"/>
      <c r="PLG51" s="13"/>
      <c r="PLH51" s="13"/>
      <c r="PLI51" s="13"/>
      <c r="PLJ51" s="13"/>
      <c r="PLK51" s="13"/>
      <c r="PLL51" s="13"/>
      <c r="PLM51" s="13"/>
      <c r="PLN51" s="13"/>
      <c r="PLO51" s="13"/>
      <c r="PLP51" s="13"/>
      <c r="PLQ51" s="13"/>
      <c r="PLR51" s="13"/>
      <c r="PLS51" s="13"/>
      <c r="PLT51" s="13"/>
      <c r="PLU51" s="13"/>
      <c r="PLV51" s="13"/>
      <c r="PLW51" s="13"/>
      <c r="PLX51" s="13"/>
      <c r="PLY51" s="13"/>
      <c r="PLZ51" s="13"/>
      <c r="PMA51" s="13"/>
      <c r="PMB51" s="13"/>
      <c r="PMC51" s="13"/>
      <c r="PMD51" s="13"/>
      <c r="PME51" s="13"/>
      <c r="PMF51" s="13"/>
      <c r="PMG51" s="13"/>
      <c r="PMH51" s="13"/>
      <c r="PMI51" s="13"/>
      <c r="PMJ51" s="13"/>
      <c r="PMK51" s="13"/>
      <c r="PML51" s="13"/>
      <c r="PMM51" s="13"/>
      <c r="PMN51" s="13"/>
      <c r="PMO51" s="13"/>
      <c r="PMP51" s="13"/>
      <c r="PMQ51" s="13"/>
      <c r="PMR51" s="13"/>
      <c r="PMS51" s="13"/>
      <c r="PMT51" s="13"/>
      <c r="PMU51" s="13"/>
      <c r="PMV51" s="13"/>
      <c r="PMW51" s="13"/>
      <c r="PMX51" s="13"/>
      <c r="PMY51" s="13"/>
      <c r="PMZ51" s="13"/>
      <c r="PNA51" s="13"/>
      <c r="PNB51" s="13"/>
      <c r="PNC51" s="13"/>
      <c r="PND51" s="13"/>
      <c r="PNE51" s="13"/>
      <c r="PNF51" s="13"/>
      <c r="PNG51" s="13"/>
      <c r="PNH51" s="13"/>
      <c r="PNI51" s="13"/>
      <c r="PNJ51" s="13"/>
      <c r="PNK51" s="13"/>
      <c r="PNL51" s="13"/>
      <c r="PNM51" s="13"/>
      <c r="PNN51" s="13"/>
      <c r="PNO51" s="13"/>
      <c r="PNP51" s="13"/>
      <c r="PNQ51" s="13"/>
      <c r="PNR51" s="13"/>
      <c r="PNS51" s="13"/>
      <c r="PNT51" s="13"/>
      <c r="PNU51" s="13"/>
      <c r="PNV51" s="13"/>
      <c r="PNW51" s="13"/>
      <c r="PNX51" s="13"/>
      <c r="PNY51" s="13"/>
      <c r="PNZ51" s="13"/>
      <c r="POA51" s="13"/>
      <c r="POB51" s="13"/>
      <c r="POC51" s="13"/>
      <c r="POD51" s="13"/>
      <c r="POE51" s="13"/>
      <c r="POF51" s="13"/>
      <c r="POG51" s="13"/>
      <c r="POH51" s="13"/>
      <c r="POI51" s="13"/>
      <c r="POJ51" s="13"/>
      <c r="POK51" s="13"/>
      <c r="POL51" s="13"/>
      <c r="POM51" s="13"/>
      <c r="PON51" s="13"/>
      <c r="POO51" s="13"/>
      <c r="POP51" s="13"/>
      <c r="POQ51" s="13"/>
      <c r="POR51" s="13"/>
      <c r="POS51" s="13"/>
      <c r="POT51" s="13"/>
      <c r="POU51" s="13"/>
      <c r="POV51" s="13"/>
      <c r="POW51" s="13"/>
      <c r="POX51" s="13"/>
      <c r="POY51" s="13"/>
      <c r="POZ51" s="13"/>
      <c r="PPA51" s="13"/>
      <c r="PPB51" s="13"/>
      <c r="PPC51" s="13"/>
      <c r="PPD51" s="13"/>
      <c r="PPE51" s="13"/>
      <c r="PPF51" s="13"/>
      <c r="PPG51" s="13"/>
      <c r="PPH51" s="13"/>
      <c r="PPI51" s="13"/>
      <c r="PPJ51" s="13"/>
      <c r="PPK51" s="13"/>
      <c r="PPL51" s="13"/>
      <c r="PPM51" s="13"/>
      <c r="PPN51" s="13"/>
      <c r="PPO51" s="13"/>
      <c r="PPP51" s="13"/>
      <c r="PPQ51" s="13"/>
      <c r="PPR51" s="13"/>
      <c r="PPS51" s="13"/>
      <c r="PPT51" s="13"/>
      <c r="PPU51" s="13"/>
      <c r="PPV51" s="13"/>
      <c r="PPW51" s="13"/>
      <c r="PPX51" s="13"/>
      <c r="PPY51" s="13"/>
      <c r="PPZ51" s="13"/>
      <c r="PQA51" s="13"/>
      <c r="PQB51" s="13"/>
      <c r="PQC51" s="13"/>
      <c r="PQD51" s="13"/>
      <c r="PQE51" s="13"/>
      <c r="PQF51" s="13"/>
      <c r="PQG51" s="13"/>
      <c r="PQH51" s="13"/>
      <c r="PQI51" s="13"/>
      <c r="PQJ51" s="13"/>
      <c r="PQK51" s="13"/>
      <c r="PQL51" s="13"/>
      <c r="PQM51" s="13"/>
      <c r="PQN51" s="13"/>
      <c r="PQO51" s="13"/>
      <c r="PQP51" s="13"/>
      <c r="PQQ51" s="13"/>
      <c r="PQR51" s="13"/>
      <c r="PQS51" s="13"/>
      <c r="PQT51" s="13"/>
      <c r="PQU51" s="13"/>
      <c r="PQV51" s="13"/>
      <c r="PQW51" s="13"/>
      <c r="PQX51" s="13"/>
      <c r="PQY51" s="13"/>
      <c r="PQZ51" s="13"/>
      <c r="PRA51" s="13"/>
      <c r="PRB51" s="13"/>
      <c r="PRC51" s="13"/>
      <c r="PRD51" s="13"/>
      <c r="PRE51" s="13"/>
      <c r="PRF51" s="13"/>
      <c r="PRG51" s="13"/>
      <c r="PRH51" s="13"/>
      <c r="PRI51" s="13"/>
      <c r="PRJ51" s="13"/>
      <c r="PRK51" s="13"/>
      <c r="PRL51" s="13"/>
      <c r="PRM51" s="13"/>
      <c r="PRN51" s="13"/>
      <c r="PRO51" s="13"/>
      <c r="PRP51" s="13"/>
      <c r="PRQ51" s="13"/>
      <c r="PRR51" s="13"/>
      <c r="PRS51" s="13"/>
      <c r="PRT51" s="13"/>
      <c r="PRU51" s="13"/>
      <c r="PRV51" s="13"/>
      <c r="PRW51" s="13"/>
      <c r="PRX51" s="13"/>
      <c r="PRY51" s="13"/>
      <c r="PRZ51" s="13"/>
      <c r="PSA51" s="13"/>
      <c r="PSB51" s="13"/>
      <c r="PSC51" s="13"/>
      <c r="PSD51" s="13"/>
      <c r="PSE51" s="13"/>
      <c r="PSF51" s="13"/>
      <c r="PSG51" s="13"/>
      <c r="PSH51" s="13"/>
      <c r="PSI51" s="13"/>
      <c r="PSJ51" s="13"/>
      <c r="PSK51" s="13"/>
      <c r="PSL51" s="13"/>
      <c r="PSM51" s="13"/>
      <c r="PSN51" s="13"/>
      <c r="PSO51" s="13"/>
      <c r="PSP51" s="13"/>
      <c r="PSQ51" s="13"/>
      <c r="PSR51" s="13"/>
      <c r="PSS51" s="13"/>
      <c r="PST51" s="13"/>
      <c r="PSU51" s="13"/>
      <c r="PSV51" s="13"/>
      <c r="PSW51" s="13"/>
      <c r="PSX51" s="13"/>
      <c r="PSY51" s="13"/>
      <c r="PSZ51" s="13"/>
      <c r="PTA51" s="13"/>
      <c r="PTB51" s="13"/>
      <c r="PTC51" s="13"/>
      <c r="PTD51" s="13"/>
      <c r="PTE51" s="13"/>
      <c r="PTF51" s="13"/>
      <c r="PTG51" s="13"/>
      <c r="PTH51" s="13"/>
      <c r="PTI51" s="13"/>
      <c r="PTJ51" s="13"/>
      <c r="PTK51" s="13"/>
      <c r="PTL51" s="13"/>
      <c r="PTM51" s="13"/>
      <c r="PTN51" s="13"/>
      <c r="PTO51" s="13"/>
      <c r="PTP51" s="13"/>
      <c r="PTQ51" s="13"/>
      <c r="PTR51" s="13"/>
      <c r="PTS51" s="13"/>
      <c r="PTT51" s="13"/>
      <c r="PTU51" s="13"/>
      <c r="PTV51" s="13"/>
      <c r="PTW51" s="13"/>
      <c r="PTX51" s="13"/>
      <c r="PTY51" s="13"/>
      <c r="PTZ51" s="13"/>
      <c r="PUA51" s="13"/>
      <c r="PUB51" s="13"/>
      <c r="PUC51" s="13"/>
      <c r="PUD51" s="13"/>
      <c r="PUE51" s="13"/>
      <c r="PUF51" s="13"/>
      <c r="PUG51" s="13"/>
      <c r="PUH51" s="13"/>
      <c r="PUI51" s="13"/>
      <c r="PUJ51" s="13"/>
      <c r="PUK51" s="13"/>
      <c r="PUL51" s="13"/>
      <c r="PUM51" s="13"/>
      <c r="PUN51" s="13"/>
      <c r="PUO51" s="13"/>
      <c r="PUP51" s="13"/>
      <c r="PUQ51" s="13"/>
      <c r="PUR51" s="13"/>
      <c r="PUS51" s="13"/>
      <c r="PUT51" s="13"/>
      <c r="PUU51" s="13"/>
      <c r="PUV51" s="13"/>
      <c r="PUW51" s="13"/>
      <c r="PUX51" s="13"/>
      <c r="PUY51" s="13"/>
      <c r="PUZ51" s="13"/>
      <c r="PVA51" s="13"/>
      <c r="PVB51" s="13"/>
      <c r="PVC51" s="13"/>
      <c r="PVD51" s="13"/>
      <c r="PVE51" s="13"/>
      <c r="PVF51" s="13"/>
      <c r="PVG51" s="13"/>
      <c r="PVH51" s="13"/>
      <c r="PVI51" s="13"/>
      <c r="PVJ51" s="13"/>
      <c r="PVK51" s="13"/>
      <c r="PVL51" s="13"/>
      <c r="PVM51" s="13"/>
      <c r="PVN51" s="13"/>
      <c r="PVO51" s="13"/>
      <c r="PVP51" s="13"/>
      <c r="PVQ51" s="13"/>
      <c r="PVR51" s="13"/>
      <c r="PVS51" s="13"/>
      <c r="PVT51" s="13"/>
      <c r="PVU51" s="13"/>
      <c r="PVV51" s="13"/>
      <c r="PVW51" s="13"/>
      <c r="PVX51" s="13"/>
      <c r="PVY51" s="13"/>
      <c r="PVZ51" s="13"/>
      <c r="PWA51" s="13"/>
      <c r="PWB51" s="13"/>
      <c r="PWC51" s="13"/>
      <c r="PWD51" s="13"/>
      <c r="PWE51" s="13"/>
      <c r="PWF51" s="13"/>
      <c r="PWG51" s="13"/>
      <c r="PWH51" s="13"/>
      <c r="PWI51" s="13"/>
      <c r="PWJ51" s="13"/>
      <c r="PWK51" s="13"/>
      <c r="PWL51" s="13"/>
      <c r="PWM51" s="13"/>
      <c r="PWN51" s="13"/>
      <c r="PWO51" s="13"/>
      <c r="PWP51" s="13"/>
      <c r="PWQ51" s="13"/>
      <c r="PWR51" s="13"/>
      <c r="PWS51" s="13"/>
      <c r="PWT51" s="13"/>
      <c r="PWU51" s="13"/>
      <c r="PWV51" s="13"/>
      <c r="PWW51" s="13"/>
      <c r="PWX51" s="13"/>
      <c r="PWY51" s="13"/>
      <c r="PWZ51" s="13"/>
      <c r="PXA51" s="13"/>
      <c r="PXB51" s="13"/>
      <c r="PXC51" s="13"/>
      <c r="PXD51" s="13"/>
      <c r="PXE51" s="13"/>
      <c r="PXF51" s="13"/>
      <c r="PXG51" s="13"/>
      <c r="PXH51" s="13"/>
      <c r="PXI51" s="13"/>
      <c r="PXJ51" s="13"/>
      <c r="PXK51" s="13"/>
      <c r="PXL51" s="13"/>
      <c r="PXM51" s="13"/>
      <c r="PXN51" s="13"/>
      <c r="PXO51" s="13"/>
      <c r="PXP51" s="13"/>
      <c r="PXQ51" s="13"/>
      <c r="PXR51" s="13"/>
      <c r="PXS51" s="13"/>
      <c r="PXT51" s="13"/>
      <c r="PXU51" s="13"/>
      <c r="PXV51" s="13"/>
      <c r="PXW51" s="13"/>
      <c r="PXX51" s="13"/>
      <c r="PXY51" s="13"/>
      <c r="PXZ51" s="13"/>
      <c r="PYA51" s="13"/>
      <c r="PYB51" s="13"/>
      <c r="PYC51" s="13"/>
      <c r="PYD51" s="13"/>
      <c r="PYE51" s="13"/>
      <c r="PYF51" s="13"/>
      <c r="PYG51" s="13"/>
      <c r="PYH51" s="13"/>
      <c r="PYI51" s="13"/>
      <c r="PYJ51" s="13"/>
      <c r="PYK51" s="13"/>
      <c r="PYL51" s="13"/>
      <c r="PYM51" s="13"/>
      <c r="PYN51" s="13"/>
      <c r="PYO51" s="13"/>
      <c r="PYP51" s="13"/>
      <c r="PYQ51" s="13"/>
      <c r="PYR51" s="13"/>
      <c r="PYS51" s="13"/>
      <c r="PYT51" s="13"/>
      <c r="PYU51" s="13"/>
      <c r="PYV51" s="13"/>
      <c r="PYW51" s="13"/>
      <c r="PYX51" s="13"/>
      <c r="PYY51" s="13"/>
      <c r="PYZ51" s="13"/>
      <c r="PZA51" s="13"/>
      <c r="PZB51" s="13"/>
      <c r="PZC51" s="13"/>
      <c r="PZD51" s="13"/>
      <c r="PZE51" s="13"/>
      <c r="PZF51" s="13"/>
      <c r="PZG51" s="13"/>
      <c r="PZH51" s="13"/>
      <c r="PZI51" s="13"/>
      <c r="PZJ51" s="13"/>
      <c r="PZK51" s="13"/>
      <c r="PZL51" s="13"/>
      <c r="PZM51" s="13"/>
      <c r="PZN51" s="13"/>
      <c r="PZO51" s="13"/>
      <c r="PZP51" s="13"/>
      <c r="PZQ51" s="13"/>
      <c r="PZR51" s="13"/>
      <c r="PZS51" s="13"/>
      <c r="PZT51" s="13"/>
      <c r="PZU51" s="13"/>
      <c r="PZV51" s="13"/>
      <c r="PZW51" s="13"/>
      <c r="PZX51" s="13"/>
      <c r="PZY51" s="13"/>
      <c r="PZZ51" s="13"/>
      <c r="QAA51" s="13"/>
      <c r="QAB51" s="13"/>
      <c r="QAC51" s="13"/>
      <c r="QAD51" s="13"/>
      <c r="QAE51" s="13"/>
      <c r="QAF51" s="13"/>
      <c r="QAG51" s="13"/>
      <c r="QAH51" s="13"/>
      <c r="QAI51" s="13"/>
      <c r="QAJ51" s="13"/>
      <c r="QAK51" s="13"/>
      <c r="QAL51" s="13"/>
      <c r="QAM51" s="13"/>
      <c r="QAN51" s="13"/>
      <c r="QAO51" s="13"/>
      <c r="QAP51" s="13"/>
      <c r="QAQ51" s="13"/>
      <c r="QAR51" s="13"/>
      <c r="QAS51" s="13"/>
      <c r="QAT51" s="13"/>
      <c r="QAU51" s="13"/>
      <c r="QAV51" s="13"/>
      <c r="QAW51" s="13"/>
      <c r="QAX51" s="13"/>
      <c r="QAY51" s="13"/>
      <c r="QAZ51" s="13"/>
      <c r="QBA51" s="13"/>
      <c r="QBB51" s="13"/>
      <c r="QBC51" s="13"/>
      <c r="QBD51" s="13"/>
      <c r="QBE51" s="13"/>
      <c r="QBF51" s="13"/>
      <c r="QBG51" s="13"/>
      <c r="QBH51" s="13"/>
      <c r="QBI51" s="13"/>
      <c r="QBJ51" s="13"/>
      <c r="QBK51" s="13"/>
      <c r="QBL51" s="13"/>
      <c r="QBM51" s="13"/>
      <c r="QBN51" s="13"/>
      <c r="QBO51" s="13"/>
      <c r="QBP51" s="13"/>
      <c r="QBQ51" s="13"/>
      <c r="QBR51" s="13"/>
      <c r="QBS51" s="13"/>
      <c r="QBT51" s="13"/>
      <c r="QBU51" s="13"/>
      <c r="QBV51" s="13"/>
      <c r="QBW51" s="13"/>
      <c r="QBX51" s="13"/>
      <c r="QBY51" s="13"/>
      <c r="QBZ51" s="13"/>
      <c r="QCA51" s="13"/>
      <c r="QCB51" s="13"/>
      <c r="QCC51" s="13"/>
      <c r="QCD51" s="13"/>
      <c r="QCE51" s="13"/>
      <c r="QCF51" s="13"/>
      <c r="QCG51" s="13"/>
      <c r="QCH51" s="13"/>
      <c r="QCI51" s="13"/>
      <c r="QCJ51" s="13"/>
      <c r="QCK51" s="13"/>
      <c r="QCL51" s="13"/>
      <c r="QCM51" s="13"/>
      <c r="QCN51" s="13"/>
      <c r="QCO51" s="13"/>
      <c r="QCP51" s="13"/>
      <c r="QCQ51" s="13"/>
      <c r="QCR51" s="13"/>
      <c r="QCS51" s="13"/>
      <c r="QCT51" s="13"/>
      <c r="QCU51" s="13"/>
      <c r="QCV51" s="13"/>
      <c r="QCW51" s="13"/>
      <c r="QCX51" s="13"/>
      <c r="QCY51" s="13"/>
      <c r="QCZ51" s="13"/>
      <c r="QDA51" s="13"/>
      <c r="QDB51" s="13"/>
      <c r="QDC51" s="13"/>
      <c r="QDD51" s="13"/>
      <c r="QDE51" s="13"/>
      <c r="QDF51" s="13"/>
      <c r="QDG51" s="13"/>
      <c r="QDH51" s="13"/>
      <c r="QDI51" s="13"/>
      <c r="QDJ51" s="13"/>
      <c r="QDK51" s="13"/>
      <c r="QDL51" s="13"/>
      <c r="QDM51" s="13"/>
      <c r="QDN51" s="13"/>
      <c r="QDO51" s="13"/>
      <c r="QDP51" s="13"/>
      <c r="QDQ51" s="13"/>
      <c r="QDR51" s="13"/>
      <c r="QDS51" s="13"/>
      <c r="QDT51" s="13"/>
      <c r="QDU51" s="13"/>
      <c r="QDV51" s="13"/>
      <c r="QDW51" s="13"/>
      <c r="QDX51" s="13"/>
      <c r="QDY51" s="13"/>
      <c r="QDZ51" s="13"/>
      <c r="QEA51" s="13"/>
      <c r="QEB51" s="13"/>
      <c r="QEC51" s="13"/>
      <c r="QED51" s="13"/>
      <c r="QEE51" s="13"/>
      <c r="QEF51" s="13"/>
      <c r="QEG51" s="13"/>
      <c r="QEH51" s="13"/>
      <c r="QEI51" s="13"/>
      <c r="QEJ51" s="13"/>
      <c r="QEK51" s="13"/>
      <c r="QEL51" s="13"/>
      <c r="QEM51" s="13"/>
      <c r="QEN51" s="13"/>
      <c r="QEO51" s="13"/>
      <c r="QEP51" s="13"/>
      <c r="QEQ51" s="13"/>
      <c r="QER51" s="13"/>
      <c r="QES51" s="13"/>
      <c r="QET51" s="13"/>
      <c r="QEU51" s="13"/>
      <c r="QEV51" s="13"/>
      <c r="QEW51" s="13"/>
      <c r="QEX51" s="13"/>
      <c r="QEY51" s="13"/>
      <c r="QEZ51" s="13"/>
      <c r="QFA51" s="13"/>
      <c r="QFB51" s="13"/>
      <c r="QFC51" s="13"/>
      <c r="QFD51" s="13"/>
      <c r="QFE51" s="13"/>
      <c r="QFF51" s="13"/>
      <c r="QFG51" s="13"/>
      <c r="QFH51" s="13"/>
      <c r="QFI51" s="13"/>
      <c r="QFJ51" s="13"/>
      <c r="QFK51" s="13"/>
      <c r="QFL51" s="13"/>
      <c r="QFM51" s="13"/>
      <c r="QFN51" s="13"/>
      <c r="QFO51" s="13"/>
      <c r="QFP51" s="13"/>
      <c r="QFQ51" s="13"/>
      <c r="QFR51" s="13"/>
      <c r="QFS51" s="13"/>
      <c r="QFT51" s="13"/>
      <c r="QFU51" s="13"/>
      <c r="QFV51" s="13"/>
      <c r="QFW51" s="13"/>
      <c r="QFX51" s="13"/>
      <c r="QFY51" s="13"/>
      <c r="QFZ51" s="13"/>
      <c r="QGA51" s="13"/>
      <c r="QGB51" s="13"/>
      <c r="QGC51" s="13"/>
      <c r="QGD51" s="13"/>
      <c r="QGE51" s="13"/>
      <c r="QGF51" s="13"/>
      <c r="QGG51" s="13"/>
      <c r="QGH51" s="13"/>
      <c r="QGI51" s="13"/>
      <c r="QGJ51" s="13"/>
      <c r="QGK51" s="13"/>
      <c r="QGL51" s="13"/>
      <c r="QGM51" s="13"/>
      <c r="QGN51" s="13"/>
      <c r="QGO51" s="13"/>
      <c r="QGP51" s="13"/>
      <c r="QGQ51" s="13"/>
      <c r="QGR51" s="13"/>
      <c r="QGS51" s="13"/>
      <c r="QGT51" s="13"/>
      <c r="QGU51" s="13"/>
      <c r="QGV51" s="13"/>
      <c r="QGW51" s="13"/>
      <c r="QGX51" s="13"/>
      <c r="QGY51" s="13"/>
      <c r="QGZ51" s="13"/>
      <c r="QHA51" s="13"/>
      <c r="QHB51" s="13"/>
      <c r="QHC51" s="13"/>
      <c r="QHD51" s="13"/>
      <c r="QHE51" s="13"/>
      <c r="QHF51" s="13"/>
      <c r="QHG51" s="13"/>
      <c r="QHH51" s="13"/>
      <c r="QHI51" s="13"/>
      <c r="QHJ51" s="13"/>
      <c r="QHK51" s="13"/>
      <c r="QHL51" s="13"/>
      <c r="QHM51" s="13"/>
      <c r="QHN51" s="13"/>
      <c r="QHO51" s="13"/>
      <c r="QHP51" s="13"/>
      <c r="QHQ51" s="13"/>
      <c r="QHR51" s="13"/>
      <c r="QHS51" s="13"/>
      <c r="QHT51" s="13"/>
      <c r="QHU51" s="13"/>
      <c r="QHV51" s="13"/>
      <c r="QHW51" s="13"/>
      <c r="QHX51" s="13"/>
      <c r="QHY51" s="13"/>
      <c r="QHZ51" s="13"/>
      <c r="QIA51" s="13"/>
      <c r="QIB51" s="13"/>
      <c r="QIC51" s="13"/>
      <c r="QID51" s="13"/>
      <c r="QIE51" s="13"/>
      <c r="QIF51" s="13"/>
      <c r="QIG51" s="13"/>
      <c r="QIH51" s="13"/>
      <c r="QII51" s="13"/>
      <c r="QIJ51" s="13"/>
      <c r="QIK51" s="13"/>
      <c r="QIL51" s="13"/>
      <c r="QIM51" s="13"/>
      <c r="QIN51" s="13"/>
      <c r="QIO51" s="13"/>
      <c r="QIP51" s="13"/>
      <c r="QIQ51" s="13"/>
      <c r="QIR51" s="13"/>
      <c r="QIS51" s="13"/>
      <c r="QIT51" s="13"/>
      <c r="QIU51" s="13"/>
      <c r="QIV51" s="13"/>
      <c r="QIW51" s="13"/>
      <c r="QIX51" s="13"/>
      <c r="QIY51" s="13"/>
      <c r="QIZ51" s="13"/>
      <c r="QJA51" s="13"/>
      <c r="QJB51" s="13"/>
      <c r="QJC51" s="13"/>
      <c r="QJD51" s="13"/>
      <c r="QJE51" s="13"/>
      <c r="QJF51" s="13"/>
      <c r="QJG51" s="13"/>
      <c r="QJH51" s="13"/>
      <c r="QJI51" s="13"/>
      <c r="QJJ51" s="13"/>
      <c r="QJK51" s="13"/>
      <c r="QJL51" s="13"/>
      <c r="QJM51" s="13"/>
      <c r="QJN51" s="13"/>
      <c r="QJO51" s="13"/>
      <c r="QJP51" s="13"/>
      <c r="QJQ51" s="13"/>
      <c r="QJR51" s="13"/>
      <c r="QJS51" s="13"/>
      <c r="QJT51" s="13"/>
      <c r="QJU51" s="13"/>
      <c r="QJV51" s="13"/>
      <c r="QJW51" s="13"/>
      <c r="QJX51" s="13"/>
      <c r="QJY51" s="13"/>
      <c r="QJZ51" s="13"/>
      <c r="QKA51" s="13"/>
      <c r="QKB51" s="13"/>
      <c r="QKC51" s="13"/>
      <c r="QKD51" s="13"/>
      <c r="QKE51" s="13"/>
      <c r="QKF51" s="13"/>
      <c r="QKG51" s="13"/>
      <c r="QKH51" s="13"/>
      <c r="QKI51" s="13"/>
      <c r="QKJ51" s="13"/>
      <c r="QKK51" s="13"/>
      <c r="QKL51" s="13"/>
      <c r="QKM51" s="13"/>
      <c r="QKN51" s="13"/>
      <c r="QKO51" s="13"/>
      <c r="QKP51" s="13"/>
      <c r="QKQ51" s="13"/>
      <c r="QKR51" s="13"/>
      <c r="QKS51" s="13"/>
      <c r="QKT51" s="13"/>
      <c r="QKU51" s="13"/>
      <c r="QKV51" s="13"/>
      <c r="QKW51" s="13"/>
      <c r="QKX51" s="13"/>
      <c r="QKY51" s="13"/>
      <c r="QKZ51" s="13"/>
      <c r="QLA51" s="13"/>
      <c r="QLB51" s="13"/>
      <c r="QLC51" s="13"/>
      <c r="QLD51" s="13"/>
      <c r="QLE51" s="13"/>
      <c r="QLF51" s="13"/>
      <c r="QLG51" s="13"/>
      <c r="QLH51" s="13"/>
      <c r="QLI51" s="13"/>
      <c r="QLJ51" s="13"/>
      <c r="QLK51" s="13"/>
      <c r="QLL51" s="13"/>
      <c r="QLM51" s="13"/>
      <c r="QLN51" s="13"/>
      <c r="QLO51" s="13"/>
      <c r="QLP51" s="13"/>
      <c r="QLQ51" s="13"/>
      <c r="QLR51" s="13"/>
      <c r="QLS51" s="13"/>
      <c r="QLT51" s="13"/>
      <c r="QLU51" s="13"/>
      <c r="QLV51" s="13"/>
      <c r="QLW51" s="13"/>
      <c r="QLX51" s="13"/>
      <c r="QLY51" s="13"/>
      <c r="QLZ51" s="13"/>
      <c r="QMA51" s="13"/>
      <c r="QMB51" s="13"/>
      <c r="QMC51" s="13"/>
      <c r="QMD51" s="13"/>
      <c r="QME51" s="13"/>
      <c r="QMF51" s="13"/>
      <c r="QMG51" s="13"/>
      <c r="QMH51" s="13"/>
      <c r="QMI51" s="13"/>
      <c r="QMJ51" s="13"/>
      <c r="QMK51" s="13"/>
      <c r="QML51" s="13"/>
      <c r="QMM51" s="13"/>
      <c r="QMN51" s="13"/>
      <c r="QMO51" s="13"/>
      <c r="QMP51" s="13"/>
      <c r="QMQ51" s="13"/>
      <c r="QMR51" s="13"/>
      <c r="QMS51" s="13"/>
      <c r="QMT51" s="13"/>
      <c r="QMU51" s="13"/>
      <c r="QMV51" s="13"/>
      <c r="QMW51" s="13"/>
      <c r="QMX51" s="13"/>
      <c r="QMY51" s="13"/>
      <c r="QMZ51" s="13"/>
      <c r="QNA51" s="13"/>
      <c r="QNB51" s="13"/>
      <c r="QNC51" s="13"/>
      <c r="QND51" s="13"/>
      <c r="QNE51" s="13"/>
      <c r="QNF51" s="13"/>
      <c r="QNG51" s="13"/>
      <c r="QNH51" s="13"/>
      <c r="QNI51" s="13"/>
      <c r="QNJ51" s="13"/>
      <c r="QNK51" s="13"/>
      <c r="QNL51" s="13"/>
      <c r="QNM51" s="13"/>
      <c r="QNN51" s="13"/>
      <c r="QNO51" s="13"/>
      <c r="QNP51" s="13"/>
      <c r="QNQ51" s="13"/>
      <c r="QNR51" s="13"/>
      <c r="QNS51" s="13"/>
      <c r="QNT51" s="13"/>
      <c r="QNU51" s="13"/>
      <c r="QNV51" s="13"/>
      <c r="QNW51" s="13"/>
      <c r="QNX51" s="13"/>
      <c r="QNY51" s="13"/>
      <c r="QNZ51" s="13"/>
      <c r="QOA51" s="13"/>
      <c r="QOB51" s="13"/>
      <c r="QOC51" s="13"/>
      <c r="QOD51" s="13"/>
      <c r="QOE51" s="13"/>
      <c r="QOF51" s="13"/>
      <c r="QOG51" s="13"/>
      <c r="QOH51" s="13"/>
      <c r="QOI51" s="13"/>
      <c r="QOJ51" s="13"/>
      <c r="QOK51" s="13"/>
      <c r="QOL51" s="13"/>
      <c r="QOM51" s="13"/>
      <c r="QON51" s="13"/>
      <c r="QOO51" s="13"/>
      <c r="QOP51" s="13"/>
      <c r="QOQ51" s="13"/>
      <c r="QOR51" s="13"/>
      <c r="QOS51" s="13"/>
      <c r="QOT51" s="13"/>
      <c r="QOU51" s="13"/>
      <c r="QOV51" s="13"/>
      <c r="QOW51" s="13"/>
      <c r="QOX51" s="13"/>
      <c r="QOY51" s="13"/>
      <c r="QOZ51" s="13"/>
      <c r="QPA51" s="13"/>
      <c r="QPB51" s="13"/>
      <c r="QPC51" s="13"/>
      <c r="QPD51" s="13"/>
      <c r="QPE51" s="13"/>
      <c r="QPF51" s="13"/>
      <c r="QPG51" s="13"/>
      <c r="QPH51" s="13"/>
      <c r="QPI51" s="13"/>
      <c r="QPJ51" s="13"/>
      <c r="QPK51" s="13"/>
      <c r="QPL51" s="13"/>
      <c r="QPM51" s="13"/>
      <c r="QPN51" s="13"/>
      <c r="QPO51" s="13"/>
      <c r="QPP51" s="13"/>
      <c r="QPQ51" s="13"/>
      <c r="QPR51" s="13"/>
      <c r="QPS51" s="13"/>
      <c r="QPT51" s="13"/>
      <c r="QPU51" s="13"/>
      <c r="QPV51" s="13"/>
      <c r="QPW51" s="13"/>
      <c r="QPX51" s="13"/>
      <c r="QPY51" s="13"/>
      <c r="QPZ51" s="13"/>
      <c r="QQA51" s="13"/>
      <c r="QQB51" s="13"/>
      <c r="QQC51" s="13"/>
      <c r="QQD51" s="13"/>
      <c r="QQE51" s="13"/>
      <c r="QQF51" s="13"/>
      <c r="QQG51" s="13"/>
      <c r="QQH51" s="13"/>
      <c r="QQI51" s="13"/>
      <c r="QQJ51" s="13"/>
      <c r="QQK51" s="13"/>
      <c r="QQL51" s="13"/>
      <c r="QQM51" s="13"/>
      <c r="QQN51" s="13"/>
      <c r="QQO51" s="13"/>
      <c r="QQP51" s="13"/>
      <c r="QQQ51" s="13"/>
      <c r="QQR51" s="13"/>
      <c r="QQS51" s="13"/>
      <c r="QQT51" s="13"/>
      <c r="QQU51" s="13"/>
      <c r="QQV51" s="13"/>
      <c r="QQW51" s="13"/>
      <c r="QQX51" s="13"/>
      <c r="QQY51" s="13"/>
      <c r="QQZ51" s="13"/>
      <c r="QRA51" s="13"/>
      <c r="QRB51" s="13"/>
      <c r="QRC51" s="13"/>
      <c r="QRD51" s="13"/>
      <c r="QRE51" s="13"/>
      <c r="QRF51" s="13"/>
      <c r="QRG51" s="13"/>
      <c r="QRH51" s="13"/>
      <c r="QRI51" s="13"/>
      <c r="QRJ51" s="13"/>
      <c r="QRK51" s="13"/>
      <c r="QRL51" s="13"/>
      <c r="QRM51" s="13"/>
      <c r="QRN51" s="13"/>
      <c r="QRO51" s="13"/>
      <c r="QRP51" s="13"/>
      <c r="QRQ51" s="13"/>
      <c r="QRR51" s="13"/>
      <c r="QRS51" s="13"/>
      <c r="QRT51" s="13"/>
      <c r="QRU51" s="13"/>
      <c r="QRV51" s="13"/>
      <c r="QRW51" s="13"/>
      <c r="QRX51" s="13"/>
      <c r="QRY51" s="13"/>
      <c r="QRZ51" s="13"/>
      <c r="QSA51" s="13"/>
      <c r="QSB51" s="13"/>
      <c r="QSC51" s="13"/>
      <c r="QSD51" s="13"/>
      <c r="QSE51" s="13"/>
      <c r="QSF51" s="13"/>
      <c r="QSG51" s="13"/>
      <c r="QSH51" s="13"/>
      <c r="QSI51" s="13"/>
      <c r="QSJ51" s="13"/>
      <c r="QSK51" s="13"/>
      <c r="QSL51" s="13"/>
      <c r="QSM51" s="13"/>
      <c r="QSN51" s="13"/>
      <c r="QSO51" s="13"/>
      <c r="QSP51" s="13"/>
      <c r="QSQ51" s="13"/>
      <c r="QSR51" s="13"/>
      <c r="QSS51" s="13"/>
      <c r="QST51" s="13"/>
      <c r="QSU51" s="13"/>
      <c r="QSV51" s="13"/>
      <c r="QSW51" s="13"/>
      <c r="QSX51" s="13"/>
      <c r="QSY51" s="13"/>
      <c r="QSZ51" s="13"/>
      <c r="QTA51" s="13"/>
      <c r="QTB51" s="13"/>
      <c r="QTC51" s="13"/>
      <c r="QTD51" s="13"/>
      <c r="QTE51" s="13"/>
      <c r="QTF51" s="13"/>
      <c r="QTG51" s="13"/>
      <c r="QTH51" s="13"/>
      <c r="QTI51" s="13"/>
      <c r="QTJ51" s="13"/>
      <c r="QTK51" s="13"/>
      <c r="QTL51" s="13"/>
      <c r="QTM51" s="13"/>
      <c r="QTN51" s="13"/>
      <c r="QTO51" s="13"/>
      <c r="QTP51" s="13"/>
      <c r="QTQ51" s="13"/>
      <c r="QTR51" s="13"/>
      <c r="QTS51" s="13"/>
      <c r="QTT51" s="13"/>
      <c r="QTU51" s="13"/>
      <c r="QTV51" s="13"/>
      <c r="QTW51" s="13"/>
      <c r="QTX51" s="13"/>
      <c r="QTY51" s="13"/>
      <c r="QTZ51" s="13"/>
      <c r="QUA51" s="13"/>
      <c r="QUB51" s="13"/>
      <c r="QUC51" s="13"/>
      <c r="QUD51" s="13"/>
      <c r="QUE51" s="13"/>
      <c r="QUF51" s="13"/>
      <c r="QUG51" s="13"/>
      <c r="QUH51" s="13"/>
      <c r="QUI51" s="13"/>
      <c r="QUJ51" s="13"/>
      <c r="QUK51" s="13"/>
      <c r="QUL51" s="13"/>
      <c r="QUM51" s="13"/>
      <c r="QUN51" s="13"/>
      <c r="QUO51" s="13"/>
      <c r="QUP51" s="13"/>
      <c r="QUQ51" s="13"/>
      <c r="QUR51" s="13"/>
      <c r="QUS51" s="13"/>
      <c r="QUT51" s="13"/>
      <c r="QUU51" s="13"/>
      <c r="QUV51" s="13"/>
      <c r="QUW51" s="13"/>
      <c r="QUX51" s="13"/>
      <c r="QUY51" s="13"/>
      <c r="QUZ51" s="13"/>
      <c r="QVA51" s="13"/>
      <c r="QVB51" s="13"/>
      <c r="QVC51" s="13"/>
      <c r="QVD51" s="13"/>
      <c r="QVE51" s="13"/>
      <c r="QVF51" s="13"/>
      <c r="QVG51" s="13"/>
      <c r="QVH51" s="13"/>
      <c r="QVI51" s="13"/>
      <c r="QVJ51" s="13"/>
      <c r="QVK51" s="13"/>
      <c r="QVL51" s="13"/>
      <c r="QVM51" s="13"/>
      <c r="QVN51" s="13"/>
      <c r="QVO51" s="13"/>
      <c r="QVP51" s="13"/>
      <c r="QVQ51" s="13"/>
      <c r="QVR51" s="13"/>
      <c r="QVS51" s="13"/>
      <c r="QVT51" s="13"/>
      <c r="QVU51" s="13"/>
      <c r="QVV51" s="13"/>
      <c r="QVW51" s="13"/>
      <c r="QVX51" s="13"/>
      <c r="QVY51" s="13"/>
      <c r="QVZ51" s="13"/>
      <c r="QWA51" s="13"/>
      <c r="QWB51" s="13"/>
      <c r="QWC51" s="13"/>
      <c r="QWD51" s="13"/>
      <c r="QWE51" s="13"/>
      <c r="QWF51" s="13"/>
      <c r="QWG51" s="13"/>
      <c r="QWH51" s="13"/>
      <c r="QWI51" s="13"/>
      <c r="QWJ51" s="13"/>
      <c r="QWK51" s="13"/>
      <c r="QWL51" s="13"/>
      <c r="QWM51" s="13"/>
      <c r="QWN51" s="13"/>
      <c r="QWO51" s="13"/>
      <c r="QWP51" s="13"/>
      <c r="QWQ51" s="13"/>
      <c r="QWR51" s="13"/>
      <c r="QWS51" s="13"/>
      <c r="QWT51" s="13"/>
      <c r="QWU51" s="13"/>
      <c r="QWV51" s="13"/>
      <c r="QWW51" s="13"/>
      <c r="QWX51" s="13"/>
      <c r="QWY51" s="13"/>
      <c r="QWZ51" s="13"/>
      <c r="QXA51" s="13"/>
      <c r="QXB51" s="13"/>
      <c r="QXC51" s="13"/>
      <c r="QXD51" s="13"/>
      <c r="QXE51" s="13"/>
      <c r="QXF51" s="13"/>
      <c r="QXG51" s="13"/>
      <c r="QXH51" s="13"/>
      <c r="QXI51" s="13"/>
      <c r="QXJ51" s="13"/>
      <c r="QXK51" s="13"/>
      <c r="QXL51" s="13"/>
      <c r="QXM51" s="13"/>
      <c r="QXN51" s="13"/>
      <c r="QXO51" s="13"/>
      <c r="QXP51" s="13"/>
      <c r="QXQ51" s="13"/>
      <c r="QXR51" s="13"/>
      <c r="QXS51" s="13"/>
      <c r="QXT51" s="13"/>
      <c r="QXU51" s="13"/>
      <c r="QXV51" s="13"/>
      <c r="QXW51" s="13"/>
      <c r="QXX51" s="13"/>
      <c r="QXY51" s="13"/>
      <c r="QXZ51" s="13"/>
      <c r="QYA51" s="13"/>
      <c r="QYB51" s="13"/>
      <c r="QYC51" s="13"/>
      <c r="QYD51" s="13"/>
      <c r="QYE51" s="13"/>
      <c r="QYF51" s="13"/>
      <c r="QYG51" s="13"/>
      <c r="QYH51" s="13"/>
      <c r="QYI51" s="13"/>
      <c r="QYJ51" s="13"/>
      <c r="QYK51" s="13"/>
      <c r="QYL51" s="13"/>
      <c r="QYM51" s="13"/>
      <c r="QYN51" s="13"/>
      <c r="QYO51" s="13"/>
      <c r="QYP51" s="13"/>
      <c r="QYQ51" s="13"/>
      <c r="QYR51" s="13"/>
      <c r="QYS51" s="13"/>
      <c r="QYT51" s="13"/>
      <c r="QYU51" s="13"/>
      <c r="QYV51" s="13"/>
      <c r="QYW51" s="13"/>
      <c r="QYX51" s="13"/>
      <c r="QYY51" s="13"/>
      <c r="QYZ51" s="13"/>
      <c r="QZA51" s="13"/>
      <c r="QZB51" s="13"/>
      <c r="QZC51" s="13"/>
      <c r="QZD51" s="13"/>
      <c r="QZE51" s="13"/>
      <c r="QZF51" s="13"/>
      <c r="QZG51" s="13"/>
      <c r="QZH51" s="13"/>
      <c r="QZI51" s="13"/>
      <c r="QZJ51" s="13"/>
      <c r="QZK51" s="13"/>
      <c r="QZL51" s="13"/>
      <c r="QZM51" s="13"/>
      <c r="QZN51" s="13"/>
      <c r="QZO51" s="13"/>
      <c r="QZP51" s="13"/>
      <c r="QZQ51" s="13"/>
      <c r="QZR51" s="13"/>
      <c r="QZS51" s="13"/>
      <c r="QZT51" s="13"/>
      <c r="QZU51" s="13"/>
      <c r="QZV51" s="13"/>
      <c r="QZW51" s="13"/>
      <c r="QZX51" s="13"/>
      <c r="QZY51" s="13"/>
      <c r="QZZ51" s="13"/>
      <c r="RAA51" s="13"/>
      <c r="RAB51" s="13"/>
      <c r="RAC51" s="13"/>
      <c r="RAD51" s="13"/>
      <c r="RAE51" s="13"/>
      <c r="RAF51" s="13"/>
      <c r="RAG51" s="13"/>
      <c r="RAH51" s="13"/>
      <c r="RAI51" s="13"/>
      <c r="RAJ51" s="13"/>
      <c r="RAK51" s="13"/>
      <c r="RAL51" s="13"/>
      <c r="RAM51" s="13"/>
      <c r="RAN51" s="13"/>
      <c r="RAO51" s="13"/>
      <c r="RAP51" s="13"/>
      <c r="RAQ51" s="13"/>
      <c r="RAR51" s="13"/>
      <c r="RAS51" s="13"/>
      <c r="RAT51" s="13"/>
      <c r="RAU51" s="13"/>
      <c r="RAV51" s="13"/>
      <c r="RAW51" s="13"/>
      <c r="RAX51" s="13"/>
      <c r="RAY51" s="13"/>
      <c r="RAZ51" s="13"/>
      <c r="RBA51" s="13"/>
      <c r="RBB51" s="13"/>
      <c r="RBC51" s="13"/>
      <c r="RBD51" s="13"/>
      <c r="RBE51" s="13"/>
      <c r="RBF51" s="13"/>
      <c r="RBG51" s="13"/>
      <c r="RBH51" s="13"/>
      <c r="RBI51" s="13"/>
      <c r="RBJ51" s="13"/>
      <c r="RBK51" s="13"/>
      <c r="RBL51" s="13"/>
      <c r="RBM51" s="13"/>
      <c r="RBN51" s="13"/>
      <c r="RBO51" s="13"/>
      <c r="RBP51" s="13"/>
      <c r="RBQ51" s="13"/>
      <c r="RBR51" s="13"/>
      <c r="RBS51" s="13"/>
      <c r="RBT51" s="13"/>
      <c r="RBU51" s="13"/>
      <c r="RBV51" s="13"/>
      <c r="RBW51" s="13"/>
      <c r="RBX51" s="13"/>
      <c r="RBY51" s="13"/>
      <c r="RBZ51" s="13"/>
      <c r="RCA51" s="13"/>
      <c r="RCB51" s="13"/>
      <c r="RCC51" s="13"/>
      <c r="RCD51" s="13"/>
      <c r="RCE51" s="13"/>
      <c r="RCF51" s="13"/>
      <c r="RCG51" s="13"/>
      <c r="RCH51" s="13"/>
      <c r="RCI51" s="13"/>
      <c r="RCJ51" s="13"/>
      <c r="RCK51" s="13"/>
      <c r="RCL51" s="13"/>
      <c r="RCM51" s="13"/>
      <c r="RCN51" s="13"/>
      <c r="RCO51" s="13"/>
      <c r="RCP51" s="13"/>
      <c r="RCQ51" s="13"/>
      <c r="RCR51" s="13"/>
      <c r="RCS51" s="13"/>
      <c r="RCT51" s="13"/>
      <c r="RCU51" s="13"/>
      <c r="RCV51" s="13"/>
      <c r="RCW51" s="13"/>
      <c r="RCX51" s="13"/>
      <c r="RCY51" s="13"/>
      <c r="RCZ51" s="13"/>
      <c r="RDA51" s="13"/>
      <c r="RDB51" s="13"/>
      <c r="RDC51" s="13"/>
      <c r="RDD51" s="13"/>
      <c r="RDE51" s="13"/>
      <c r="RDF51" s="13"/>
      <c r="RDG51" s="13"/>
      <c r="RDH51" s="13"/>
      <c r="RDI51" s="13"/>
      <c r="RDJ51" s="13"/>
      <c r="RDK51" s="13"/>
      <c r="RDL51" s="13"/>
      <c r="RDM51" s="13"/>
      <c r="RDN51" s="13"/>
      <c r="RDO51" s="13"/>
      <c r="RDP51" s="13"/>
      <c r="RDQ51" s="13"/>
      <c r="RDR51" s="13"/>
      <c r="RDS51" s="13"/>
      <c r="RDT51" s="13"/>
      <c r="RDU51" s="13"/>
      <c r="RDV51" s="13"/>
      <c r="RDW51" s="13"/>
      <c r="RDX51" s="13"/>
      <c r="RDY51" s="13"/>
      <c r="RDZ51" s="13"/>
      <c r="REA51" s="13"/>
      <c r="REB51" s="13"/>
      <c r="REC51" s="13"/>
      <c r="RED51" s="13"/>
      <c r="REE51" s="13"/>
      <c r="REF51" s="13"/>
      <c r="REG51" s="13"/>
      <c r="REH51" s="13"/>
      <c r="REI51" s="13"/>
      <c r="REJ51" s="13"/>
      <c r="REK51" s="13"/>
      <c r="REL51" s="13"/>
      <c r="REM51" s="13"/>
      <c r="REN51" s="13"/>
      <c r="REO51" s="13"/>
      <c r="REP51" s="13"/>
      <c r="REQ51" s="13"/>
      <c r="RER51" s="13"/>
      <c r="RES51" s="13"/>
      <c r="RET51" s="13"/>
      <c r="REU51" s="13"/>
      <c r="REV51" s="13"/>
      <c r="REW51" s="13"/>
      <c r="REX51" s="13"/>
      <c r="REY51" s="13"/>
      <c r="REZ51" s="13"/>
      <c r="RFA51" s="13"/>
      <c r="RFB51" s="13"/>
      <c r="RFC51" s="13"/>
      <c r="RFD51" s="13"/>
      <c r="RFE51" s="13"/>
      <c r="RFF51" s="13"/>
      <c r="RFG51" s="13"/>
      <c r="RFH51" s="13"/>
      <c r="RFI51" s="13"/>
      <c r="RFJ51" s="13"/>
      <c r="RFK51" s="13"/>
      <c r="RFL51" s="13"/>
      <c r="RFM51" s="13"/>
      <c r="RFN51" s="13"/>
      <c r="RFO51" s="13"/>
      <c r="RFP51" s="13"/>
      <c r="RFQ51" s="13"/>
      <c r="RFR51" s="13"/>
      <c r="RFS51" s="13"/>
      <c r="RFT51" s="13"/>
      <c r="RFU51" s="13"/>
      <c r="RFV51" s="13"/>
      <c r="RFW51" s="13"/>
      <c r="RFX51" s="13"/>
      <c r="RFY51" s="13"/>
      <c r="RFZ51" s="13"/>
      <c r="RGA51" s="13"/>
      <c r="RGB51" s="13"/>
      <c r="RGC51" s="13"/>
      <c r="RGD51" s="13"/>
      <c r="RGE51" s="13"/>
      <c r="RGF51" s="13"/>
      <c r="RGG51" s="13"/>
      <c r="RGH51" s="13"/>
      <c r="RGI51" s="13"/>
      <c r="RGJ51" s="13"/>
      <c r="RGK51" s="13"/>
      <c r="RGL51" s="13"/>
      <c r="RGM51" s="13"/>
      <c r="RGN51" s="13"/>
      <c r="RGO51" s="13"/>
      <c r="RGP51" s="13"/>
      <c r="RGQ51" s="13"/>
      <c r="RGR51" s="13"/>
      <c r="RGS51" s="13"/>
      <c r="RGT51" s="13"/>
      <c r="RGU51" s="13"/>
      <c r="RGV51" s="13"/>
      <c r="RGW51" s="13"/>
      <c r="RGX51" s="13"/>
      <c r="RGY51" s="13"/>
      <c r="RGZ51" s="13"/>
      <c r="RHA51" s="13"/>
      <c r="RHB51" s="13"/>
      <c r="RHC51" s="13"/>
      <c r="RHD51" s="13"/>
      <c r="RHE51" s="13"/>
      <c r="RHF51" s="13"/>
      <c r="RHG51" s="13"/>
      <c r="RHH51" s="13"/>
      <c r="RHI51" s="13"/>
      <c r="RHJ51" s="13"/>
      <c r="RHK51" s="13"/>
      <c r="RHL51" s="13"/>
      <c r="RHM51" s="13"/>
      <c r="RHN51" s="13"/>
      <c r="RHO51" s="13"/>
      <c r="RHP51" s="13"/>
      <c r="RHQ51" s="13"/>
      <c r="RHR51" s="13"/>
      <c r="RHS51" s="13"/>
      <c r="RHT51" s="13"/>
      <c r="RHU51" s="13"/>
      <c r="RHV51" s="13"/>
      <c r="RHW51" s="13"/>
      <c r="RHX51" s="13"/>
      <c r="RHY51" s="13"/>
      <c r="RHZ51" s="13"/>
      <c r="RIA51" s="13"/>
      <c r="RIB51" s="13"/>
      <c r="RIC51" s="13"/>
      <c r="RID51" s="13"/>
      <c r="RIE51" s="13"/>
      <c r="RIF51" s="13"/>
      <c r="RIG51" s="13"/>
      <c r="RIH51" s="13"/>
      <c r="RII51" s="13"/>
      <c r="RIJ51" s="13"/>
      <c r="RIK51" s="13"/>
      <c r="RIL51" s="13"/>
      <c r="RIM51" s="13"/>
      <c r="RIN51" s="13"/>
      <c r="RIO51" s="13"/>
      <c r="RIP51" s="13"/>
      <c r="RIQ51" s="13"/>
      <c r="RIR51" s="13"/>
      <c r="RIS51" s="13"/>
      <c r="RIT51" s="13"/>
      <c r="RIU51" s="13"/>
      <c r="RIV51" s="13"/>
      <c r="RIW51" s="13"/>
      <c r="RIX51" s="13"/>
      <c r="RIY51" s="13"/>
      <c r="RIZ51" s="13"/>
      <c r="RJA51" s="13"/>
      <c r="RJB51" s="13"/>
      <c r="RJC51" s="13"/>
      <c r="RJD51" s="13"/>
      <c r="RJE51" s="13"/>
      <c r="RJF51" s="13"/>
      <c r="RJG51" s="13"/>
      <c r="RJH51" s="13"/>
      <c r="RJI51" s="13"/>
      <c r="RJJ51" s="13"/>
      <c r="RJK51" s="13"/>
      <c r="RJL51" s="13"/>
      <c r="RJM51" s="13"/>
      <c r="RJN51" s="13"/>
      <c r="RJO51" s="13"/>
      <c r="RJP51" s="13"/>
      <c r="RJQ51" s="13"/>
      <c r="RJR51" s="13"/>
      <c r="RJS51" s="13"/>
      <c r="RJT51" s="13"/>
      <c r="RJU51" s="13"/>
      <c r="RJV51" s="13"/>
      <c r="RJW51" s="13"/>
      <c r="RJX51" s="13"/>
      <c r="RJY51" s="13"/>
      <c r="RJZ51" s="13"/>
      <c r="RKA51" s="13"/>
      <c r="RKB51" s="13"/>
      <c r="RKC51" s="13"/>
      <c r="RKD51" s="13"/>
      <c r="RKE51" s="13"/>
      <c r="RKF51" s="13"/>
      <c r="RKG51" s="13"/>
      <c r="RKH51" s="13"/>
      <c r="RKI51" s="13"/>
      <c r="RKJ51" s="13"/>
      <c r="RKK51" s="13"/>
      <c r="RKL51" s="13"/>
      <c r="RKM51" s="13"/>
      <c r="RKN51" s="13"/>
      <c r="RKO51" s="13"/>
      <c r="RKP51" s="13"/>
      <c r="RKQ51" s="13"/>
      <c r="RKR51" s="13"/>
      <c r="RKS51" s="13"/>
      <c r="RKT51" s="13"/>
      <c r="RKU51" s="13"/>
      <c r="RKV51" s="13"/>
      <c r="RKW51" s="13"/>
      <c r="RKX51" s="13"/>
      <c r="RKY51" s="13"/>
      <c r="RKZ51" s="13"/>
      <c r="RLA51" s="13"/>
      <c r="RLB51" s="13"/>
      <c r="RLC51" s="13"/>
      <c r="RLD51" s="13"/>
      <c r="RLE51" s="13"/>
      <c r="RLF51" s="13"/>
      <c r="RLG51" s="13"/>
      <c r="RLH51" s="13"/>
      <c r="RLI51" s="13"/>
      <c r="RLJ51" s="13"/>
      <c r="RLK51" s="13"/>
      <c r="RLL51" s="13"/>
      <c r="RLM51" s="13"/>
      <c r="RLN51" s="13"/>
      <c r="RLO51" s="13"/>
      <c r="RLP51" s="13"/>
      <c r="RLQ51" s="13"/>
      <c r="RLR51" s="13"/>
      <c r="RLS51" s="13"/>
      <c r="RLT51" s="13"/>
      <c r="RLU51" s="13"/>
      <c r="RLV51" s="13"/>
      <c r="RLW51" s="13"/>
      <c r="RLX51" s="13"/>
      <c r="RLY51" s="13"/>
      <c r="RLZ51" s="13"/>
      <c r="RMA51" s="13"/>
      <c r="RMB51" s="13"/>
      <c r="RMC51" s="13"/>
      <c r="RMD51" s="13"/>
      <c r="RME51" s="13"/>
      <c r="RMF51" s="13"/>
      <c r="RMG51" s="13"/>
      <c r="RMH51" s="13"/>
      <c r="RMI51" s="13"/>
      <c r="RMJ51" s="13"/>
      <c r="RMK51" s="13"/>
      <c r="RML51" s="13"/>
      <c r="RMM51" s="13"/>
      <c r="RMN51" s="13"/>
      <c r="RMO51" s="13"/>
      <c r="RMP51" s="13"/>
      <c r="RMQ51" s="13"/>
      <c r="RMR51" s="13"/>
      <c r="RMS51" s="13"/>
      <c r="RMT51" s="13"/>
      <c r="RMU51" s="13"/>
      <c r="RMV51" s="13"/>
      <c r="RMW51" s="13"/>
      <c r="RMX51" s="13"/>
      <c r="RMY51" s="13"/>
      <c r="RMZ51" s="13"/>
      <c r="RNA51" s="13"/>
      <c r="RNB51" s="13"/>
      <c r="RNC51" s="13"/>
      <c r="RND51" s="13"/>
      <c r="RNE51" s="13"/>
      <c r="RNF51" s="13"/>
      <c r="RNG51" s="13"/>
      <c r="RNH51" s="13"/>
      <c r="RNI51" s="13"/>
      <c r="RNJ51" s="13"/>
      <c r="RNK51" s="13"/>
      <c r="RNL51" s="13"/>
      <c r="RNM51" s="13"/>
      <c r="RNN51" s="13"/>
      <c r="RNO51" s="13"/>
      <c r="RNP51" s="13"/>
      <c r="RNQ51" s="13"/>
      <c r="RNR51" s="13"/>
      <c r="RNS51" s="13"/>
      <c r="RNT51" s="13"/>
      <c r="RNU51" s="13"/>
      <c r="RNV51" s="13"/>
      <c r="RNW51" s="13"/>
      <c r="RNX51" s="13"/>
      <c r="RNY51" s="13"/>
      <c r="RNZ51" s="13"/>
      <c r="ROA51" s="13"/>
      <c r="ROB51" s="13"/>
      <c r="ROC51" s="13"/>
      <c r="ROD51" s="13"/>
      <c r="ROE51" s="13"/>
      <c r="ROF51" s="13"/>
      <c r="ROG51" s="13"/>
      <c r="ROH51" s="13"/>
      <c r="ROI51" s="13"/>
      <c r="ROJ51" s="13"/>
      <c r="ROK51" s="13"/>
      <c r="ROL51" s="13"/>
      <c r="ROM51" s="13"/>
      <c r="RON51" s="13"/>
      <c r="ROO51" s="13"/>
      <c r="ROP51" s="13"/>
      <c r="ROQ51" s="13"/>
      <c r="ROR51" s="13"/>
      <c r="ROS51" s="13"/>
      <c r="ROT51" s="13"/>
      <c r="ROU51" s="13"/>
      <c r="ROV51" s="13"/>
      <c r="ROW51" s="13"/>
      <c r="ROX51" s="13"/>
      <c r="ROY51" s="13"/>
      <c r="ROZ51" s="13"/>
      <c r="RPA51" s="13"/>
      <c r="RPB51" s="13"/>
      <c r="RPC51" s="13"/>
      <c r="RPD51" s="13"/>
      <c r="RPE51" s="13"/>
      <c r="RPF51" s="13"/>
      <c r="RPG51" s="13"/>
      <c r="RPH51" s="13"/>
      <c r="RPI51" s="13"/>
      <c r="RPJ51" s="13"/>
      <c r="RPK51" s="13"/>
      <c r="RPL51" s="13"/>
      <c r="RPM51" s="13"/>
      <c r="RPN51" s="13"/>
      <c r="RPO51" s="13"/>
      <c r="RPP51" s="13"/>
      <c r="RPQ51" s="13"/>
      <c r="RPR51" s="13"/>
      <c r="RPS51" s="13"/>
      <c r="RPT51" s="13"/>
      <c r="RPU51" s="13"/>
      <c r="RPV51" s="13"/>
      <c r="RPW51" s="13"/>
      <c r="RPX51" s="13"/>
      <c r="RPY51" s="13"/>
      <c r="RPZ51" s="13"/>
      <c r="RQA51" s="13"/>
      <c r="RQB51" s="13"/>
      <c r="RQC51" s="13"/>
      <c r="RQD51" s="13"/>
      <c r="RQE51" s="13"/>
      <c r="RQF51" s="13"/>
      <c r="RQG51" s="13"/>
      <c r="RQH51" s="13"/>
      <c r="RQI51" s="13"/>
      <c r="RQJ51" s="13"/>
      <c r="RQK51" s="13"/>
      <c r="RQL51" s="13"/>
      <c r="RQM51" s="13"/>
      <c r="RQN51" s="13"/>
      <c r="RQO51" s="13"/>
      <c r="RQP51" s="13"/>
      <c r="RQQ51" s="13"/>
      <c r="RQR51" s="13"/>
      <c r="RQS51" s="13"/>
      <c r="RQT51" s="13"/>
      <c r="RQU51" s="13"/>
      <c r="RQV51" s="13"/>
      <c r="RQW51" s="13"/>
      <c r="RQX51" s="13"/>
      <c r="RQY51" s="13"/>
      <c r="RQZ51" s="13"/>
      <c r="RRA51" s="13"/>
      <c r="RRB51" s="13"/>
      <c r="RRC51" s="13"/>
      <c r="RRD51" s="13"/>
      <c r="RRE51" s="13"/>
      <c r="RRF51" s="13"/>
      <c r="RRG51" s="13"/>
      <c r="RRH51" s="13"/>
      <c r="RRI51" s="13"/>
      <c r="RRJ51" s="13"/>
      <c r="RRK51" s="13"/>
      <c r="RRL51" s="13"/>
      <c r="RRM51" s="13"/>
      <c r="RRN51" s="13"/>
      <c r="RRO51" s="13"/>
      <c r="RRP51" s="13"/>
      <c r="RRQ51" s="13"/>
      <c r="RRR51" s="13"/>
      <c r="RRS51" s="13"/>
      <c r="RRT51" s="13"/>
      <c r="RRU51" s="13"/>
      <c r="RRV51" s="13"/>
      <c r="RRW51" s="13"/>
      <c r="RRX51" s="13"/>
      <c r="RRY51" s="13"/>
      <c r="RRZ51" s="13"/>
      <c r="RSA51" s="13"/>
      <c r="RSB51" s="13"/>
      <c r="RSC51" s="13"/>
      <c r="RSD51" s="13"/>
      <c r="RSE51" s="13"/>
      <c r="RSF51" s="13"/>
      <c r="RSG51" s="13"/>
      <c r="RSH51" s="13"/>
      <c r="RSI51" s="13"/>
      <c r="RSJ51" s="13"/>
      <c r="RSK51" s="13"/>
      <c r="RSL51" s="13"/>
      <c r="RSM51" s="13"/>
      <c r="RSN51" s="13"/>
      <c r="RSO51" s="13"/>
      <c r="RSP51" s="13"/>
      <c r="RSQ51" s="13"/>
      <c r="RSR51" s="13"/>
      <c r="RSS51" s="13"/>
      <c r="RST51" s="13"/>
      <c r="RSU51" s="13"/>
      <c r="RSV51" s="13"/>
      <c r="RSW51" s="13"/>
      <c r="RSX51" s="13"/>
      <c r="RSY51" s="13"/>
      <c r="RSZ51" s="13"/>
      <c r="RTA51" s="13"/>
      <c r="RTB51" s="13"/>
      <c r="RTC51" s="13"/>
      <c r="RTD51" s="13"/>
      <c r="RTE51" s="13"/>
      <c r="RTF51" s="13"/>
      <c r="RTG51" s="13"/>
      <c r="RTH51" s="13"/>
      <c r="RTI51" s="13"/>
      <c r="RTJ51" s="13"/>
      <c r="RTK51" s="13"/>
      <c r="RTL51" s="13"/>
      <c r="RTM51" s="13"/>
      <c r="RTN51" s="13"/>
      <c r="RTO51" s="13"/>
      <c r="RTP51" s="13"/>
      <c r="RTQ51" s="13"/>
      <c r="RTR51" s="13"/>
      <c r="RTS51" s="13"/>
      <c r="RTT51" s="13"/>
      <c r="RTU51" s="13"/>
      <c r="RTV51" s="13"/>
      <c r="RTW51" s="13"/>
      <c r="RTX51" s="13"/>
      <c r="RTY51" s="13"/>
      <c r="RTZ51" s="13"/>
      <c r="RUA51" s="13"/>
      <c r="RUB51" s="13"/>
      <c r="RUC51" s="13"/>
      <c r="RUD51" s="13"/>
      <c r="RUE51" s="13"/>
      <c r="RUF51" s="13"/>
      <c r="RUG51" s="13"/>
      <c r="RUH51" s="13"/>
      <c r="RUI51" s="13"/>
      <c r="RUJ51" s="13"/>
      <c r="RUK51" s="13"/>
      <c r="RUL51" s="13"/>
      <c r="RUM51" s="13"/>
      <c r="RUN51" s="13"/>
      <c r="RUO51" s="13"/>
      <c r="RUP51" s="13"/>
      <c r="RUQ51" s="13"/>
      <c r="RUR51" s="13"/>
      <c r="RUS51" s="13"/>
      <c r="RUT51" s="13"/>
      <c r="RUU51" s="13"/>
      <c r="RUV51" s="13"/>
      <c r="RUW51" s="13"/>
      <c r="RUX51" s="13"/>
      <c r="RUY51" s="13"/>
      <c r="RUZ51" s="13"/>
      <c r="RVA51" s="13"/>
      <c r="RVB51" s="13"/>
      <c r="RVC51" s="13"/>
      <c r="RVD51" s="13"/>
      <c r="RVE51" s="13"/>
      <c r="RVF51" s="13"/>
      <c r="RVG51" s="13"/>
      <c r="RVH51" s="13"/>
      <c r="RVI51" s="13"/>
      <c r="RVJ51" s="13"/>
      <c r="RVK51" s="13"/>
      <c r="RVL51" s="13"/>
      <c r="RVM51" s="13"/>
      <c r="RVN51" s="13"/>
      <c r="RVO51" s="13"/>
      <c r="RVP51" s="13"/>
      <c r="RVQ51" s="13"/>
      <c r="RVR51" s="13"/>
      <c r="RVS51" s="13"/>
      <c r="RVT51" s="13"/>
      <c r="RVU51" s="13"/>
      <c r="RVV51" s="13"/>
      <c r="RVW51" s="13"/>
      <c r="RVX51" s="13"/>
      <c r="RVY51" s="13"/>
      <c r="RVZ51" s="13"/>
      <c r="RWA51" s="13"/>
      <c r="RWB51" s="13"/>
      <c r="RWC51" s="13"/>
      <c r="RWD51" s="13"/>
      <c r="RWE51" s="13"/>
      <c r="RWF51" s="13"/>
      <c r="RWG51" s="13"/>
      <c r="RWH51" s="13"/>
      <c r="RWI51" s="13"/>
      <c r="RWJ51" s="13"/>
      <c r="RWK51" s="13"/>
      <c r="RWL51" s="13"/>
      <c r="RWM51" s="13"/>
      <c r="RWN51" s="13"/>
      <c r="RWO51" s="13"/>
      <c r="RWP51" s="13"/>
      <c r="RWQ51" s="13"/>
      <c r="RWR51" s="13"/>
      <c r="RWS51" s="13"/>
      <c r="RWT51" s="13"/>
      <c r="RWU51" s="13"/>
      <c r="RWV51" s="13"/>
      <c r="RWW51" s="13"/>
      <c r="RWX51" s="13"/>
      <c r="RWY51" s="13"/>
      <c r="RWZ51" s="13"/>
      <c r="RXA51" s="13"/>
      <c r="RXB51" s="13"/>
      <c r="RXC51" s="13"/>
      <c r="RXD51" s="13"/>
      <c r="RXE51" s="13"/>
      <c r="RXF51" s="13"/>
      <c r="RXG51" s="13"/>
      <c r="RXH51" s="13"/>
      <c r="RXI51" s="13"/>
      <c r="RXJ51" s="13"/>
      <c r="RXK51" s="13"/>
      <c r="RXL51" s="13"/>
      <c r="RXM51" s="13"/>
      <c r="RXN51" s="13"/>
      <c r="RXO51" s="13"/>
      <c r="RXP51" s="13"/>
      <c r="RXQ51" s="13"/>
      <c r="RXR51" s="13"/>
      <c r="RXS51" s="13"/>
      <c r="RXT51" s="13"/>
      <c r="RXU51" s="13"/>
      <c r="RXV51" s="13"/>
      <c r="RXW51" s="13"/>
      <c r="RXX51" s="13"/>
      <c r="RXY51" s="13"/>
      <c r="RXZ51" s="13"/>
      <c r="RYA51" s="13"/>
      <c r="RYB51" s="13"/>
      <c r="RYC51" s="13"/>
      <c r="RYD51" s="13"/>
      <c r="RYE51" s="13"/>
      <c r="RYF51" s="13"/>
      <c r="RYG51" s="13"/>
      <c r="RYH51" s="13"/>
      <c r="RYI51" s="13"/>
      <c r="RYJ51" s="13"/>
      <c r="RYK51" s="13"/>
      <c r="RYL51" s="13"/>
      <c r="RYM51" s="13"/>
      <c r="RYN51" s="13"/>
      <c r="RYO51" s="13"/>
      <c r="RYP51" s="13"/>
      <c r="RYQ51" s="13"/>
      <c r="RYR51" s="13"/>
      <c r="RYS51" s="13"/>
      <c r="RYT51" s="13"/>
      <c r="RYU51" s="13"/>
      <c r="RYV51" s="13"/>
      <c r="RYW51" s="13"/>
      <c r="RYX51" s="13"/>
      <c r="RYY51" s="13"/>
      <c r="RYZ51" s="13"/>
      <c r="RZA51" s="13"/>
      <c r="RZB51" s="13"/>
      <c r="RZC51" s="13"/>
      <c r="RZD51" s="13"/>
      <c r="RZE51" s="13"/>
      <c r="RZF51" s="13"/>
      <c r="RZG51" s="13"/>
      <c r="RZH51" s="13"/>
      <c r="RZI51" s="13"/>
      <c r="RZJ51" s="13"/>
      <c r="RZK51" s="13"/>
      <c r="RZL51" s="13"/>
      <c r="RZM51" s="13"/>
      <c r="RZN51" s="13"/>
      <c r="RZO51" s="13"/>
      <c r="RZP51" s="13"/>
      <c r="RZQ51" s="13"/>
      <c r="RZR51" s="13"/>
      <c r="RZS51" s="13"/>
      <c r="RZT51" s="13"/>
      <c r="RZU51" s="13"/>
      <c r="RZV51" s="13"/>
      <c r="RZW51" s="13"/>
      <c r="RZX51" s="13"/>
      <c r="RZY51" s="13"/>
      <c r="RZZ51" s="13"/>
      <c r="SAA51" s="13"/>
      <c r="SAB51" s="13"/>
      <c r="SAC51" s="13"/>
      <c r="SAD51" s="13"/>
      <c r="SAE51" s="13"/>
      <c r="SAF51" s="13"/>
      <c r="SAG51" s="13"/>
      <c r="SAH51" s="13"/>
      <c r="SAI51" s="13"/>
      <c r="SAJ51" s="13"/>
      <c r="SAK51" s="13"/>
      <c r="SAL51" s="13"/>
      <c r="SAM51" s="13"/>
      <c r="SAN51" s="13"/>
      <c r="SAO51" s="13"/>
      <c r="SAP51" s="13"/>
      <c r="SAQ51" s="13"/>
      <c r="SAR51" s="13"/>
      <c r="SAS51" s="13"/>
      <c r="SAT51" s="13"/>
      <c r="SAU51" s="13"/>
      <c r="SAV51" s="13"/>
      <c r="SAW51" s="13"/>
      <c r="SAX51" s="13"/>
      <c r="SAY51" s="13"/>
      <c r="SAZ51" s="13"/>
      <c r="SBA51" s="13"/>
      <c r="SBB51" s="13"/>
      <c r="SBC51" s="13"/>
      <c r="SBD51" s="13"/>
      <c r="SBE51" s="13"/>
      <c r="SBF51" s="13"/>
      <c r="SBG51" s="13"/>
      <c r="SBH51" s="13"/>
      <c r="SBI51" s="13"/>
      <c r="SBJ51" s="13"/>
      <c r="SBK51" s="13"/>
      <c r="SBL51" s="13"/>
      <c r="SBM51" s="13"/>
      <c r="SBN51" s="13"/>
      <c r="SBO51" s="13"/>
      <c r="SBP51" s="13"/>
      <c r="SBQ51" s="13"/>
      <c r="SBR51" s="13"/>
      <c r="SBS51" s="13"/>
      <c r="SBT51" s="13"/>
      <c r="SBU51" s="13"/>
      <c r="SBV51" s="13"/>
      <c r="SBW51" s="13"/>
      <c r="SBX51" s="13"/>
      <c r="SBY51" s="13"/>
      <c r="SBZ51" s="13"/>
      <c r="SCA51" s="13"/>
      <c r="SCB51" s="13"/>
      <c r="SCC51" s="13"/>
      <c r="SCD51" s="13"/>
      <c r="SCE51" s="13"/>
      <c r="SCF51" s="13"/>
      <c r="SCG51" s="13"/>
      <c r="SCH51" s="13"/>
      <c r="SCI51" s="13"/>
      <c r="SCJ51" s="13"/>
      <c r="SCK51" s="13"/>
      <c r="SCL51" s="13"/>
      <c r="SCM51" s="13"/>
      <c r="SCN51" s="13"/>
      <c r="SCO51" s="13"/>
      <c r="SCP51" s="13"/>
      <c r="SCQ51" s="13"/>
      <c r="SCR51" s="13"/>
      <c r="SCS51" s="13"/>
      <c r="SCT51" s="13"/>
      <c r="SCU51" s="13"/>
      <c r="SCV51" s="13"/>
      <c r="SCW51" s="13"/>
      <c r="SCX51" s="13"/>
      <c r="SCY51" s="13"/>
      <c r="SCZ51" s="13"/>
      <c r="SDA51" s="13"/>
      <c r="SDB51" s="13"/>
      <c r="SDC51" s="13"/>
      <c r="SDD51" s="13"/>
      <c r="SDE51" s="13"/>
      <c r="SDF51" s="13"/>
      <c r="SDG51" s="13"/>
      <c r="SDH51" s="13"/>
      <c r="SDI51" s="13"/>
      <c r="SDJ51" s="13"/>
      <c r="SDK51" s="13"/>
      <c r="SDL51" s="13"/>
      <c r="SDM51" s="13"/>
      <c r="SDN51" s="13"/>
      <c r="SDO51" s="13"/>
      <c r="SDP51" s="13"/>
      <c r="SDQ51" s="13"/>
      <c r="SDR51" s="13"/>
      <c r="SDS51" s="13"/>
      <c r="SDT51" s="13"/>
      <c r="SDU51" s="13"/>
      <c r="SDV51" s="13"/>
      <c r="SDW51" s="13"/>
      <c r="SDX51" s="13"/>
      <c r="SDY51" s="13"/>
      <c r="SDZ51" s="13"/>
      <c r="SEA51" s="13"/>
      <c r="SEB51" s="13"/>
      <c r="SEC51" s="13"/>
      <c r="SED51" s="13"/>
      <c r="SEE51" s="13"/>
      <c r="SEF51" s="13"/>
      <c r="SEG51" s="13"/>
      <c r="SEH51" s="13"/>
      <c r="SEI51" s="13"/>
      <c r="SEJ51" s="13"/>
      <c r="SEK51" s="13"/>
      <c r="SEL51" s="13"/>
      <c r="SEM51" s="13"/>
      <c r="SEN51" s="13"/>
      <c r="SEO51" s="13"/>
      <c r="SEP51" s="13"/>
      <c r="SEQ51" s="13"/>
      <c r="SER51" s="13"/>
      <c r="SES51" s="13"/>
      <c r="SET51" s="13"/>
      <c r="SEU51" s="13"/>
      <c r="SEV51" s="13"/>
      <c r="SEW51" s="13"/>
      <c r="SEX51" s="13"/>
      <c r="SEY51" s="13"/>
      <c r="SEZ51" s="13"/>
      <c r="SFA51" s="13"/>
      <c r="SFB51" s="13"/>
      <c r="SFC51" s="13"/>
      <c r="SFD51" s="13"/>
      <c r="SFE51" s="13"/>
      <c r="SFF51" s="13"/>
      <c r="SFG51" s="13"/>
      <c r="SFH51" s="13"/>
      <c r="SFI51" s="13"/>
      <c r="SFJ51" s="13"/>
      <c r="SFK51" s="13"/>
      <c r="SFL51" s="13"/>
      <c r="SFM51" s="13"/>
      <c r="SFN51" s="13"/>
      <c r="SFO51" s="13"/>
      <c r="SFP51" s="13"/>
      <c r="SFQ51" s="13"/>
      <c r="SFR51" s="13"/>
      <c r="SFS51" s="13"/>
      <c r="SFT51" s="13"/>
      <c r="SFU51" s="13"/>
      <c r="SFV51" s="13"/>
      <c r="SFW51" s="13"/>
      <c r="SFX51" s="13"/>
      <c r="SFY51" s="13"/>
      <c r="SFZ51" s="13"/>
      <c r="SGA51" s="13"/>
      <c r="SGB51" s="13"/>
      <c r="SGC51" s="13"/>
      <c r="SGD51" s="13"/>
      <c r="SGE51" s="13"/>
      <c r="SGF51" s="13"/>
      <c r="SGG51" s="13"/>
      <c r="SGH51" s="13"/>
      <c r="SGI51" s="13"/>
      <c r="SGJ51" s="13"/>
      <c r="SGK51" s="13"/>
      <c r="SGL51" s="13"/>
      <c r="SGM51" s="13"/>
      <c r="SGN51" s="13"/>
      <c r="SGO51" s="13"/>
      <c r="SGP51" s="13"/>
      <c r="SGQ51" s="13"/>
      <c r="SGR51" s="13"/>
      <c r="SGS51" s="13"/>
      <c r="SGT51" s="13"/>
      <c r="SGU51" s="13"/>
      <c r="SGV51" s="13"/>
      <c r="SGW51" s="13"/>
      <c r="SGX51" s="13"/>
      <c r="SGY51" s="13"/>
      <c r="SGZ51" s="13"/>
      <c r="SHA51" s="13"/>
      <c r="SHB51" s="13"/>
      <c r="SHC51" s="13"/>
      <c r="SHD51" s="13"/>
      <c r="SHE51" s="13"/>
      <c r="SHF51" s="13"/>
      <c r="SHG51" s="13"/>
      <c r="SHH51" s="13"/>
      <c r="SHI51" s="13"/>
      <c r="SHJ51" s="13"/>
      <c r="SHK51" s="13"/>
      <c r="SHL51" s="13"/>
      <c r="SHM51" s="13"/>
      <c r="SHN51" s="13"/>
      <c r="SHO51" s="13"/>
      <c r="SHP51" s="13"/>
      <c r="SHQ51" s="13"/>
      <c r="SHR51" s="13"/>
      <c r="SHS51" s="13"/>
      <c r="SHT51" s="13"/>
      <c r="SHU51" s="13"/>
      <c r="SHV51" s="13"/>
      <c r="SHW51" s="13"/>
      <c r="SHX51" s="13"/>
      <c r="SHY51" s="13"/>
      <c r="SHZ51" s="13"/>
      <c r="SIA51" s="13"/>
      <c r="SIB51" s="13"/>
      <c r="SIC51" s="13"/>
      <c r="SID51" s="13"/>
      <c r="SIE51" s="13"/>
      <c r="SIF51" s="13"/>
      <c r="SIG51" s="13"/>
      <c r="SIH51" s="13"/>
      <c r="SII51" s="13"/>
      <c r="SIJ51" s="13"/>
      <c r="SIK51" s="13"/>
      <c r="SIL51" s="13"/>
      <c r="SIM51" s="13"/>
      <c r="SIN51" s="13"/>
      <c r="SIO51" s="13"/>
      <c r="SIP51" s="13"/>
      <c r="SIQ51" s="13"/>
      <c r="SIR51" s="13"/>
      <c r="SIS51" s="13"/>
      <c r="SIT51" s="13"/>
      <c r="SIU51" s="13"/>
      <c r="SIV51" s="13"/>
      <c r="SIW51" s="13"/>
      <c r="SIX51" s="13"/>
      <c r="SIY51" s="13"/>
      <c r="SIZ51" s="13"/>
      <c r="SJA51" s="13"/>
      <c r="SJB51" s="13"/>
      <c r="SJC51" s="13"/>
      <c r="SJD51" s="13"/>
      <c r="SJE51" s="13"/>
      <c r="SJF51" s="13"/>
      <c r="SJG51" s="13"/>
      <c r="SJH51" s="13"/>
      <c r="SJI51" s="13"/>
      <c r="SJJ51" s="13"/>
      <c r="SJK51" s="13"/>
      <c r="SJL51" s="13"/>
      <c r="SJM51" s="13"/>
      <c r="SJN51" s="13"/>
      <c r="SJO51" s="13"/>
      <c r="SJP51" s="13"/>
      <c r="SJQ51" s="13"/>
      <c r="SJR51" s="13"/>
      <c r="SJS51" s="13"/>
      <c r="SJT51" s="13"/>
      <c r="SJU51" s="13"/>
      <c r="SJV51" s="13"/>
      <c r="SJW51" s="13"/>
      <c r="SJX51" s="13"/>
      <c r="SJY51" s="13"/>
      <c r="SJZ51" s="13"/>
      <c r="SKA51" s="13"/>
      <c r="SKB51" s="13"/>
      <c r="SKC51" s="13"/>
      <c r="SKD51" s="13"/>
      <c r="SKE51" s="13"/>
      <c r="SKF51" s="13"/>
      <c r="SKG51" s="13"/>
      <c r="SKH51" s="13"/>
      <c r="SKI51" s="13"/>
      <c r="SKJ51" s="13"/>
      <c r="SKK51" s="13"/>
      <c r="SKL51" s="13"/>
      <c r="SKM51" s="13"/>
      <c r="SKN51" s="13"/>
      <c r="SKO51" s="13"/>
      <c r="SKP51" s="13"/>
      <c r="SKQ51" s="13"/>
      <c r="SKR51" s="13"/>
      <c r="SKS51" s="13"/>
      <c r="SKT51" s="13"/>
      <c r="SKU51" s="13"/>
      <c r="SKV51" s="13"/>
      <c r="SKW51" s="13"/>
      <c r="SKX51" s="13"/>
      <c r="SKY51" s="13"/>
      <c r="SKZ51" s="13"/>
      <c r="SLA51" s="13"/>
      <c r="SLB51" s="13"/>
      <c r="SLC51" s="13"/>
      <c r="SLD51" s="13"/>
      <c r="SLE51" s="13"/>
      <c r="SLF51" s="13"/>
      <c r="SLG51" s="13"/>
      <c r="SLH51" s="13"/>
      <c r="SLI51" s="13"/>
      <c r="SLJ51" s="13"/>
      <c r="SLK51" s="13"/>
      <c r="SLL51" s="13"/>
      <c r="SLM51" s="13"/>
      <c r="SLN51" s="13"/>
      <c r="SLO51" s="13"/>
      <c r="SLP51" s="13"/>
      <c r="SLQ51" s="13"/>
      <c r="SLR51" s="13"/>
      <c r="SLS51" s="13"/>
      <c r="SLT51" s="13"/>
      <c r="SLU51" s="13"/>
      <c r="SLV51" s="13"/>
      <c r="SLW51" s="13"/>
      <c r="SLX51" s="13"/>
      <c r="SLY51" s="13"/>
      <c r="SLZ51" s="13"/>
      <c r="SMA51" s="13"/>
      <c r="SMB51" s="13"/>
      <c r="SMC51" s="13"/>
      <c r="SMD51" s="13"/>
      <c r="SME51" s="13"/>
      <c r="SMF51" s="13"/>
      <c r="SMG51" s="13"/>
      <c r="SMH51" s="13"/>
      <c r="SMI51" s="13"/>
      <c r="SMJ51" s="13"/>
      <c r="SMK51" s="13"/>
      <c r="SML51" s="13"/>
      <c r="SMM51" s="13"/>
      <c r="SMN51" s="13"/>
      <c r="SMO51" s="13"/>
      <c r="SMP51" s="13"/>
      <c r="SMQ51" s="13"/>
      <c r="SMR51" s="13"/>
      <c r="SMS51" s="13"/>
      <c r="SMT51" s="13"/>
      <c r="SMU51" s="13"/>
      <c r="SMV51" s="13"/>
      <c r="SMW51" s="13"/>
      <c r="SMX51" s="13"/>
      <c r="SMY51" s="13"/>
      <c r="SMZ51" s="13"/>
      <c r="SNA51" s="13"/>
      <c r="SNB51" s="13"/>
      <c r="SNC51" s="13"/>
      <c r="SND51" s="13"/>
      <c r="SNE51" s="13"/>
      <c r="SNF51" s="13"/>
      <c r="SNG51" s="13"/>
      <c r="SNH51" s="13"/>
      <c r="SNI51" s="13"/>
      <c r="SNJ51" s="13"/>
      <c r="SNK51" s="13"/>
      <c r="SNL51" s="13"/>
      <c r="SNM51" s="13"/>
      <c r="SNN51" s="13"/>
      <c r="SNO51" s="13"/>
      <c r="SNP51" s="13"/>
      <c r="SNQ51" s="13"/>
      <c r="SNR51" s="13"/>
      <c r="SNS51" s="13"/>
      <c r="SNT51" s="13"/>
      <c r="SNU51" s="13"/>
      <c r="SNV51" s="13"/>
      <c r="SNW51" s="13"/>
      <c r="SNX51" s="13"/>
      <c r="SNY51" s="13"/>
      <c r="SNZ51" s="13"/>
      <c r="SOA51" s="13"/>
      <c r="SOB51" s="13"/>
      <c r="SOC51" s="13"/>
      <c r="SOD51" s="13"/>
      <c r="SOE51" s="13"/>
      <c r="SOF51" s="13"/>
      <c r="SOG51" s="13"/>
      <c r="SOH51" s="13"/>
      <c r="SOI51" s="13"/>
      <c r="SOJ51" s="13"/>
      <c r="SOK51" s="13"/>
      <c r="SOL51" s="13"/>
      <c r="SOM51" s="13"/>
      <c r="SON51" s="13"/>
      <c r="SOO51" s="13"/>
      <c r="SOP51" s="13"/>
      <c r="SOQ51" s="13"/>
      <c r="SOR51" s="13"/>
      <c r="SOS51" s="13"/>
      <c r="SOT51" s="13"/>
      <c r="SOU51" s="13"/>
      <c r="SOV51" s="13"/>
      <c r="SOW51" s="13"/>
      <c r="SOX51" s="13"/>
      <c r="SOY51" s="13"/>
      <c r="SOZ51" s="13"/>
      <c r="SPA51" s="13"/>
      <c r="SPB51" s="13"/>
      <c r="SPC51" s="13"/>
      <c r="SPD51" s="13"/>
      <c r="SPE51" s="13"/>
      <c r="SPF51" s="13"/>
      <c r="SPG51" s="13"/>
      <c r="SPH51" s="13"/>
      <c r="SPI51" s="13"/>
      <c r="SPJ51" s="13"/>
      <c r="SPK51" s="13"/>
      <c r="SPL51" s="13"/>
      <c r="SPM51" s="13"/>
      <c r="SPN51" s="13"/>
      <c r="SPO51" s="13"/>
      <c r="SPP51" s="13"/>
      <c r="SPQ51" s="13"/>
      <c r="SPR51" s="13"/>
      <c r="SPS51" s="13"/>
      <c r="SPT51" s="13"/>
      <c r="SPU51" s="13"/>
      <c r="SPV51" s="13"/>
      <c r="SPW51" s="13"/>
      <c r="SPX51" s="13"/>
      <c r="SPY51" s="13"/>
      <c r="SPZ51" s="13"/>
      <c r="SQA51" s="13"/>
      <c r="SQB51" s="13"/>
      <c r="SQC51" s="13"/>
      <c r="SQD51" s="13"/>
      <c r="SQE51" s="13"/>
      <c r="SQF51" s="13"/>
      <c r="SQG51" s="13"/>
      <c r="SQH51" s="13"/>
      <c r="SQI51" s="13"/>
      <c r="SQJ51" s="13"/>
      <c r="SQK51" s="13"/>
      <c r="SQL51" s="13"/>
      <c r="SQM51" s="13"/>
      <c r="SQN51" s="13"/>
      <c r="SQO51" s="13"/>
      <c r="SQP51" s="13"/>
      <c r="SQQ51" s="13"/>
      <c r="SQR51" s="13"/>
      <c r="SQS51" s="13"/>
      <c r="SQT51" s="13"/>
      <c r="SQU51" s="13"/>
      <c r="SQV51" s="13"/>
      <c r="SQW51" s="13"/>
      <c r="SQX51" s="13"/>
      <c r="SQY51" s="13"/>
      <c r="SQZ51" s="13"/>
      <c r="SRA51" s="13"/>
      <c r="SRB51" s="13"/>
      <c r="SRC51" s="13"/>
      <c r="SRD51" s="13"/>
      <c r="SRE51" s="13"/>
      <c r="SRF51" s="13"/>
      <c r="SRG51" s="13"/>
      <c r="SRH51" s="13"/>
      <c r="SRI51" s="13"/>
      <c r="SRJ51" s="13"/>
      <c r="SRK51" s="13"/>
      <c r="SRL51" s="13"/>
      <c r="SRM51" s="13"/>
      <c r="SRN51" s="13"/>
      <c r="SRO51" s="13"/>
      <c r="SRP51" s="13"/>
      <c r="SRQ51" s="13"/>
      <c r="SRR51" s="13"/>
      <c r="SRS51" s="13"/>
      <c r="SRT51" s="13"/>
      <c r="SRU51" s="13"/>
      <c r="SRV51" s="13"/>
      <c r="SRW51" s="13"/>
      <c r="SRX51" s="13"/>
      <c r="SRY51" s="13"/>
      <c r="SRZ51" s="13"/>
      <c r="SSA51" s="13"/>
      <c r="SSB51" s="13"/>
      <c r="SSC51" s="13"/>
      <c r="SSD51" s="13"/>
      <c r="SSE51" s="13"/>
      <c r="SSF51" s="13"/>
      <c r="SSG51" s="13"/>
      <c r="SSH51" s="13"/>
      <c r="SSI51" s="13"/>
      <c r="SSJ51" s="13"/>
      <c r="SSK51" s="13"/>
      <c r="SSL51" s="13"/>
      <c r="SSM51" s="13"/>
      <c r="SSN51" s="13"/>
      <c r="SSO51" s="13"/>
      <c r="SSP51" s="13"/>
      <c r="SSQ51" s="13"/>
      <c r="SSR51" s="13"/>
      <c r="SSS51" s="13"/>
      <c r="SST51" s="13"/>
      <c r="SSU51" s="13"/>
      <c r="SSV51" s="13"/>
      <c r="SSW51" s="13"/>
      <c r="SSX51" s="13"/>
      <c r="SSY51" s="13"/>
      <c r="SSZ51" s="13"/>
      <c r="STA51" s="13"/>
      <c r="STB51" s="13"/>
      <c r="STC51" s="13"/>
      <c r="STD51" s="13"/>
      <c r="STE51" s="13"/>
      <c r="STF51" s="13"/>
      <c r="STG51" s="13"/>
      <c r="STH51" s="13"/>
      <c r="STI51" s="13"/>
      <c r="STJ51" s="13"/>
      <c r="STK51" s="13"/>
      <c r="STL51" s="13"/>
      <c r="STM51" s="13"/>
      <c r="STN51" s="13"/>
      <c r="STO51" s="13"/>
      <c r="STP51" s="13"/>
      <c r="STQ51" s="13"/>
      <c r="STR51" s="13"/>
      <c r="STS51" s="13"/>
      <c r="STT51" s="13"/>
      <c r="STU51" s="13"/>
      <c r="STV51" s="13"/>
      <c r="STW51" s="13"/>
      <c r="STX51" s="13"/>
      <c r="STY51" s="13"/>
      <c r="STZ51" s="13"/>
      <c r="SUA51" s="13"/>
      <c r="SUB51" s="13"/>
      <c r="SUC51" s="13"/>
      <c r="SUD51" s="13"/>
      <c r="SUE51" s="13"/>
      <c r="SUF51" s="13"/>
      <c r="SUG51" s="13"/>
      <c r="SUH51" s="13"/>
      <c r="SUI51" s="13"/>
      <c r="SUJ51" s="13"/>
      <c r="SUK51" s="13"/>
      <c r="SUL51" s="13"/>
      <c r="SUM51" s="13"/>
      <c r="SUN51" s="13"/>
      <c r="SUO51" s="13"/>
      <c r="SUP51" s="13"/>
      <c r="SUQ51" s="13"/>
      <c r="SUR51" s="13"/>
      <c r="SUS51" s="13"/>
      <c r="SUT51" s="13"/>
      <c r="SUU51" s="13"/>
      <c r="SUV51" s="13"/>
      <c r="SUW51" s="13"/>
      <c r="SUX51" s="13"/>
      <c r="SUY51" s="13"/>
      <c r="SUZ51" s="13"/>
      <c r="SVA51" s="13"/>
      <c r="SVB51" s="13"/>
      <c r="SVC51" s="13"/>
      <c r="SVD51" s="13"/>
      <c r="SVE51" s="13"/>
      <c r="SVF51" s="13"/>
      <c r="SVG51" s="13"/>
      <c r="SVH51" s="13"/>
      <c r="SVI51" s="13"/>
      <c r="SVJ51" s="13"/>
      <c r="SVK51" s="13"/>
      <c r="SVL51" s="13"/>
      <c r="SVM51" s="13"/>
      <c r="SVN51" s="13"/>
      <c r="SVO51" s="13"/>
      <c r="SVP51" s="13"/>
      <c r="SVQ51" s="13"/>
      <c r="SVR51" s="13"/>
      <c r="SVS51" s="13"/>
      <c r="SVT51" s="13"/>
      <c r="SVU51" s="13"/>
      <c r="SVV51" s="13"/>
      <c r="SVW51" s="13"/>
      <c r="SVX51" s="13"/>
      <c r="SVY51" s="13"/>
      <c r="SVZ51" s="13"/>
      <c r="SWA51" s="13"/>
      <c r="SWB51" s="13"/>
      <c r="SWC51" s="13"/>
      <c r="SWD51" s="13"/>
      <c r="SWE51" s="13"/>
      <c r="SWF51" s="13"/>
      <c r="SWG51" s="13"/>
      <c r="SWH51" s="13"/>
      <c r="SWI51" s="13"/>
      <c r="SWJ51" s="13"/>
      <c r="SWK51" s="13"/>
      <c r="SWL51" s="13"/>
      <c r="SWM51" s="13"/>
      <c r="SWN51" s="13"/>
      <c r="SWO51" s="13"/>
      <c r="SWP51" s="13"/>
      <c r="SWQ51" s="13"/>
      <c r="SWR51" s="13"/>
      <c r="SWS51" s="13"/>
      <c r="SWT51" s="13"/>
      <c r="SWU51" s="13"/>
      <c r="SWV51" s="13"/>
      <c r="SWW51" s="13"/>
      <c r="SWX51" s="13"/>
      <c r="SWY51" s="13"/>
      <c r="SWZ51" s="13"/>
      <c r="SXA51" s="13"/>
      <c r="SXB51" s="13"/>
      <c r="SXC51" s="13"/>
      <c r="SXD51" s="13"/>
      <c r="SXE51" s="13"/>
      <c r="SXF51" s="13"/>
      <c r="SXG51" s="13"/>
      <c r="SXH51" s="13"/>
      <c r="SXI51" s="13"/>
      <c r="SXJ51" s="13"/>
      <c r="SXK51" s="13"/>
      <c r="SXL51" s="13"/>
      <c r="SXM51" s="13"/>
      <c r="SXN51" s="13"/>
      <c r="SXO51" s="13"/>
      <c r="SXP51" s="13"/>
      <c r="SXQ51" s="13"/>
      <c r="SXR51" s="13"/>
      <c r="SXS51" s="13"/>
      <c r="SXT51" s="13"/>
      <c r="SXU51" s="13"/>
      <c r="SXV51" s="13"/>
      <c r="SXW51" s="13"/>
      <c r="SXX51" s="13"/>
      <c r="SXY51" s="13"/>
      <c r="SXZ51" s="13"/>
      <c r="SYA51" s="13"/>
      <c r="SYB51" s="13"/>
      <c r="SYC51" s="13"/>
      <c r="SYD51" s="13"/>
      <c r="SYE51" s="13"/>
      <c r="SYF51" s="13"/>
      <c r="SYG51" s="13"/>
      <c r="SYH51" s="13"/>
      <c r="SYI51" s="13"/>
      <c r="SYJ51" s="13"/>
      <c r="SYK51" s="13"/>
      <c r="SYL51" s="13"/>
      <c r="SYM51" s="13"/>
      <c r="SYN51" s="13"/>
      <c r="SYO51" s="13"/>
      <c r="SYP51" s="13"/>
      <c r="SYQ51" s="13"/>
      <c r="SYR51" s="13"/>
      <c r="SYS51" s="13"/>
      <c r="SYT51" s="13"/>
      <c r="SYU51" s="13"/>
      <c r="SYV51" s="13"/>
      <c r="SYW51" s="13"/>
      <c r="SYX51" s="13"/>
      <c r="SYY51" s="13"/>
      <c r="SYZ51" s="13"/>
      <c r="SZA51" s="13"/>
      <c r="SZB51" s="13"/>
      <c r="SZC51" s="13"/>
      <c r="SZD51" s="13"/>
      <c r="SZE51" s="13"/>
      <c r="SZF51" s="13"/>
      <c r="SZG51" s="13"/>
      <c r="SZH51" s="13"/>
      <c r="SZI51" s="13"/>
      <c r="SZJ51" s="13"/>
      <c r="SZK51" s="13"/>
      <c r="SZL51" s="13"/>
      <c r="SZM51" s="13"/>
      <c r="SZN51" s="13"/>
      <c r="SZO51" s="13"/>
      <c r="SZP51" s="13"/>
      <c r="SZQ51" s="13"/>
      <c r="SZR51" s="13"/>
      <c r="SZS51" s="13"/>
      <c r="SZT51" s="13"/>
      <c r="SZU51" s="13"/>
      <c r="SZV51" s="13"/>
      <c r="SZW51" s="13"/>
      <c r="SZX51" s="13"/>
      <c r="SZY51" s="13"/>
      <c r="SZZ51" s="13"/>
      <c r="TAA51" s="13"/>
      <c r="TAB51" s="13"/>
      <c r="TAC51" s="13"/>
      <c r="TAD51" s="13"/>
      <c r="TAE51" s="13"/>
      <c r="TAF51" s="13"/>
      <c r="TAG51" s="13"/>
      <c r="TAH51" s="13"/>
      <c r="TAI51" s="13"/>
      <c r="TAJ51" s="13"/>
      <c r="TAK51" s="13"/>
      <c r="TAL51" s="13"/>
      <c r="TAM51" s="13"/>
      <c r="TAN51" s="13"/>
      <c r="TAO51" s="13"/>
      <c r="TAP51" s="13"/>
      <c r="TAQ51" s="13"/>
      <c r="TAR51" s="13"/>
      <c r="TAS51" s="13"/>
      <c r="TAT51" s="13"/>
      <c r="TAU51" s="13"/>
      <c r="TAV51" s="13"/>
      <c r="TAW51" s="13"/>
      <c r="TAX51" s="13"/>
      <c r="TAY51" s="13"/>
      <c r="TAZ51" s="13"/>
      <c r="TBA51" s="13"/>
      <c r="TBB51" s="13"/>
      <c r="TBC51" s="13"/>
      <c r="TBD51" s="13"/>
      <c r="TBE51" s="13"/>
      <c r="TBF51" s="13"/>
      <c r="TBG51" s="13"/>
      <c r="TBH51" s="13"/>
      <c r="TBI51" s="13"/>
      <c r="TBJ51" s="13"/>
      <c r="TBK51" s="13"/>
      <c r="TBL51" s="13"/>
      <c r="TBM51" s="13"/>
      <c r="TBN51" s="13"/>
      <c r="TBO51" s="13"/>
      <c r="TBP51" s="13"/>
      <c r="TBQ51" s="13"/>
      <c r="TBR51" s="13"/>
      <c r="TBS51" s="13"/>
      <c r="TBT51" s="13"/>
      <c r="TBU51" s="13"/>
      <c r="TBV51" s="13"/>
      <c r="TBW51" s="13"/>
      <c r="TBX51" s="13"/>
      <c r="TBY51" s="13"/>
      <c r="TBZ51" s="13"/>
      <c r="TCA51" s="13"/>
      <c r="TCB51" s="13"/>
      <c r="TCC51" s="13"/>
      <c r="TCD51" s="13"/>
      <c r="TCE51" s="13"/>
      <c r="TCF51" s="13"/>
      <c r="TCG51" s="13"/>
      <c r="TCH51" s="13"/>
      <c r="TCI51" s="13"/>
      <c r="TCJ51" s="13"/>
      <c r="TCK51" s="13"/>
      <c r="TCL51" s="13"/>
      <c r="TCM51" s="13"/>
      <c r="TCN51" s="13"/>
      <c r="TCO51" s="13"/>
      <c r="TCP51" s="13"/>
      <c r="TCQ51" s="13"/>
      <c r="TCR51" s="13"/>
      <c r="TCS51" s="13"/>
      <c r="TCT51" s="13"/>
      <c r="TCU51" s="13"/>
      <c r="TCV51" s="13"/>
      <c r="TCW51" s="13"/>
      <c r="TCX51" s="13"/>
      <c r="TCY51" s="13"/>
      <c r="TCZ51" s="13"/>
      <c r="TDA51" s="13"/>
      <c r="TDB51" s="13"/>
      <c r="TDC51" s="13"/>
      <c r="TDD51" s="13"/>
      <c r="TDE51" s="13"/>
      <c r="TDF51" s="13"/>
      <c r="TDG51" s="13"/>
      <c r="TDH51" s="13"/>
      <c r="TDI51" s="13"/>
      <c r="TDJ51" s="13"/>
      <c r="TDK51" s="13"/>
      <c r="TDL51" s="13"/>
      <c r="TDM51" s="13"/>
      <c r="TDN51" s="13"/>
      <c r="TDO51" s="13"/>
      <c r="TDP51" s="13"/>
      <c r="TDQ51" s="13"/>
      <c r="TDR51" s="13"/>
      <c r="TDS51" s="13"/>
      <c r="TDT51" s="13"/>
      <c r="TDU51" s="13"/>
      <c r="TDV51" s="13"/>
      <c r="TDW51" s="13"/>
      <c r="TDX51" s="13"/>
      <c r="TDY51" s="13"/>
      <c r="TDZ51" s="13"/>
      <c r="TEA51" s="13"/>
      <c r="TEB51" s="13"/>
      <c r="TEC51" s="13"/>
      <c r="TED51" s="13"/>
      <c r="TEE51" s="13"/>
      <c r="TEF51" s="13"/>
      <c r="TEG51" s="13"/>
      <c r="TEH51" s="13"/>
      <c r="TEI51" s="13"/>
      <c r="TEJ51" s="13"/>
      <c r="TEK51" s="13"/>
      <c r="TEL51" s="13"/>
      <c r="TEM51" s="13"/>
      <c r="TEN51" s="13"/>
      <c r="TEO51" s="13"/>
      <c r="TEP51" s="13"/>
      <c r="TEQ51" s="13"/>
      <c r="TER51" s="13"/>
      <c r="TES51" s="13"/>
      <c r="TET51" s="13"/>
      <c r="TEU51" s="13"/>
      <c r="TEV51" s="13"/>
      <c r="TEW51" s="13"/>
      <c r="TEX51" s="13"/>
      <c r="TEY51" s="13"/>
      <c r="TEZ51" s="13"/>
      <c r="TFA51" s="13"/>
      <c r="TFB51" s="13"/>
      <c r="TFC51" s="13"/>
      <c r="TFD51" s="13"/>
      <c r="TFE51" s="13"/>
      <c r="TFF51" s="13"/>
      <c r="TFG51" s="13"/>
      <c r="TFH51" s="13"/>
      <c r="TFI51" s="13"/>
      <c r="TFJ51" s="13"/>
      <c r="TFK51" s="13"/>
      <c r="TFL51" s="13"/>
      <c r="TFM51" s="13"/>
      <c r="TFN51" s="13"/>
      <c r="TFO51" s="13"/>
      <c r="TFP51" s="13"/>
      <c r="TFQ51" s="13"/>
      <c r="TFR51" s="13"/>
      <c r="TFS51" s="13"/>
      <c r="TFT51" s="13"/>
      <c r="TFU51" s="13"/>
      <c r="TFV51" s="13"/>
      <c r="TFW51" s="13"/>
      <c r="TFX51" s="13"/>
      <c r="TFY51" s="13"/>
      <c r="TFZ51" s="13"/>
      <c r="TGA51" s="13"/>
      <c r="TGB51" s="13"/>
      <c r="TGC51" s="13"/>
      <c r="TGD51" s="13"/>
      <c r="TGE51" s="13"/>
      <c r="TGF51" s="13"/>
      <c r="TGG51" s="13"/>
      <c r="TGH51" s="13"/>
      <c r="TGI51" s="13"/>
      <c r="TGJ51" s="13"/>
      <c r="TGK51" s="13"/>
      <c r="TGL51" s="13"/>
      <c r="TGM51" s="13"/>
      <c r="TGN51" s="13"/>
      <c r="TGO51" s="13"/>
      <c r="TGP51" s="13"/>
      <c r="TGQ51" s="13"/>
      <c r="TGR51" s="13"/>
      <c r="TGS51" s="13"/>
      <c r="TGT51" s="13"/>
      <c r="TGU51" s="13"/>
      <c r="TGV51" s="13"/>
      <c r="TGW51" s="13"/>
      <c r="TGX51" s="13"/>
      <c r="TGY51" s="13"/>
      <c r="TGZ51" s="13"/>
      <c r="THA51" s="13"/>
      <c r="THB51" s="13"/>
      <c r="THC51" s="13"/>
      <c r="THD51" s="13"/>
      <c r="THE51" s="13"/>
      <c r="THF51" s="13"/>
      <c r="THG51" s="13"/>
      <c r="THH51" s="13"/>
      <c r="THI51" s="13"/>
      <c r="THJ51" s="13"/>
      <c r="THK51" s="13"/>
      <c r="THL51" s="13"/>
      <c r="THM51" s="13"/>
      <c r="THN51" s="13"/>
      <c r="THO51" s="13"/>
      <c r="THP51" s="13"/>
      <c r="THQ51" s="13"/>
      <c r="THR51" s="13"/>
      <c r="THS51" s="13"/>
      <c r="THT51" s="13"/>
      <c r="THU51" s="13"/>
      <c r="THV51" s="13"/>
      <c r="THW51" s="13"/>
      <c r="THX51" s="13"/>
      <c r="THY51" s="13"/>
      <c r="THZ51" s="13"/>
      <c r="TIA51" s="13"/>
      <c r="TIB51" s="13"/>
      <c r="TIC51" s="13"/>
      <c r="TID51" s="13"/>
      <c r="TIE51" s="13"/>
      <c r="TIF51" s="13"/>
      <c r="TIG51" s="13"/>
      <c r="TIH51" s="13"/>
      <c r="TII51" s="13"/>
      <c r="TIJ51" s="13"/>
      <c r="TIK51" s="13"/>
      <c r="TIL51" s="13"/>
      <c r="TIM51" s="13"/>
      <c r="TIN51" s="13"/>
      <c r="TIO51" s="13"/>
      <c r="TIP51" s="13"/>
      <c r="TIQ51" s="13"/>
      <c r="TIR51" s="13"/>
      <c r="TIS51" s="13"/>
      <c r="TIT51" s="13"/>
      <c r="TIU51" s="13"/>
      <c r="TIV51" s="13"/>
      <c r="TIW51" s="13"/>
      <c r="TIX51" s="13"/>
      <c r="TIY51" s="13"/>
      <c r="TIZ51" s="13"/>
      <c r="TJA51" s="13"/>
      <c r="TJB51" s="13"/>
      <c r="TJC51" s="13"/>
      <c r="TJD51" s="13"/>
      <c r="TJE51" s="13"/>
      <c r="TJF51" s="13"/>
      <c r="TJG51" s="13"/>
      <c r="TJH51" s="13"/>
      <c r="TJI51" s="13"/>
      <c r="TJJ51" s="13"/>
      <c r="TJK51" s="13"/>
      <c r="TJL51" s="13"/>
      <c r="TJM51" s="13"/>
      <c r="TJN51" s="13"/>
      <c r="TJO51" s="13"/>
      <c r="TJP51" s="13"/>
      <c r="TJQ51" s="13"/>
      <c r="TJR51" s="13"/>
      <c r="TJS51" s="13"/>
      <c r="TJT51" s="13"/>
      <c r="TJU51" s="13"/>
      <c r="TJV51" s="13"/>
      <c r="TJW51" s="13"/>
      <c r="TJX51" s="13"/>
      <c r="TJY51" s="13"/>
      <c r="TJZ51" s="13"/>
      <c r="TKA51" s="13"/>
      <c r="TKB51" s="13"/>
      <c r="TKC51" s="13"/>
      <c r="TKD51" s="13"/>
      <c r="TKE51" s="13"/>
      <c r="TKF51" s="13"/>
      <c r="TKG51" s="13"/>
      <c r="TKH51" s="13"/>
      <c r="TKI51" s="13"/>
      <c r="TKJ51" s="13"/>
      <c r="TKK51" s="13"/>
      <c r="TKL51" s="13"/>
      <c r="TKM51" s="13"/>
      <c r="TKN51" s="13"/>
      <c r="TKO51" s="13"/>
      <c r="TKP51" s="13"/>
      <c r="TKQ51" s="13"/>
      <c r="TKR51" s="13"/>
      <c r="TKS51" s="13"/>
      <c r="TKT51" s="13"/>
      <c r="TKU51" s="13"/>
      <c r="TKV51" s="13"/>
      <c r="TKW51" s="13"/>
      <c r="TKX51" s="13"/>
      <c r="TKY51" s="13"/>
      <c r="TKZ51" s="13"/>
      <c r="TLA51" s="13"/>
      <c r="TLB51" s="13"/>
      <c r="TLC51" s="13"/>
      <c r="TLD51" s="13"/>
      <c r="TLE51" s="13"/>
      <c r="TLF51" s="13"/>
      <c r="TLG51" s="13"/>
      <c r="TLH51" s="13"/>
      <c r="TLI51" s="13"/>
      <c r="TLJ51" s="13"/>
      <c r="TLK51" s="13"/>
      <c r="TLL51" s="13"/>
      <c r="TLM51" s="13"/>
      <c r="TLN51" s="13"/>
      <c r="TLO51" s="13"/>
      <c r="TLP51" s="13"/>
      <c r="TLQ51" s="13"/>
      <c r="TLR51" s="13"/>
      <c r="TLS51" s="13"/>
      <c r="TLT51" s="13"/>
      <c r="TLU51" s="13"/>
      <c r="TLV51" s="13"/>
      <c r="TLW51" s="13"/>
      <c r="TLX51" s="13"/>
      <c r="TLY51" s="13"/>
      <c r="TLZ51" s="13"/>
      <c r="TMA51" s="13"/>
      <c r="TMB51" s="13"/>
      <c r="TMC51" s="13"/>
      <c r="TMD51" s="13"/>
      <c r="TME51" s="13"/>
      <c r="TMF51" s="13"/>
      <c r="TMG51" s="13"/>
      <c r="TMH51" s="13"/>
      <c r="TMI51" s="13"/>
      <c r="TMJ51" s="13"/>
      <c r="TMK51" s="13"/>
      <c r="TML51" s="13"/>
      <c r="TMM51" s="13"/>
      <c r="TMN51" s="13"/>
      <c r="TMO51" s="13"/>
      <c r="TMP51" s="13"/>
      <c r="TMQ51" s="13"/>
      <c r="TMR51" s="13"/>
      <c r="TMS51" s="13"/>
      <c r="TMT51" s="13"/>
      <c r="TMU51" s="13"/>
      <c r="TMV51" s="13"/>
      <c r="TMW51" s="13"/>
      <c r="TMX51" s="13"/>
      <c r="TMY51" s="13"/>
      <c r="TMZ51" s="13"/>
      <c r="TNA51" s="13"/>
      <c r="TNB51" s="13"/>
      <c r="TNC51" s="13"/>
      <c r="TND51" s="13"/>
      <c r="TNE51" s="13"/>
      <c r="TNF51" s="13"/>
      <c r="TNG51" s="13"/>
      <c r="TNH51" s="13"/>
      <c r="TNI51" s="13"/>
      <c r="TNJ51" s="13"/>
      <c r="TNK51" s="13"/>
      <c r="TNL51" s="13"/>
      <c r="TNM51" s="13"/>
      <c r="TNN51" s="13"/>
      <c r="TNO51" s="13"/>
      <c r="TNP51" s="13"/>
      <c r="TNQ51" s="13"/>
      <c r="TNR51" s="13"/>
      <c r="TNS51" s="13"/>
      <c r="TNT51" s="13"/>
      <c r="TNU51" s="13"/>
      <c r="TNV51" s="13"/>
      <c r="TNW51" s="13"/>
      <c r="TNX51" s="13"/>
      <c r="TNY51" s="13"/>
      <c r="TNZ51" s="13"/>
      <c r="TOA51" s="13"/>
      <c r="TOB51" s="13"/>
      <c r="TOC51" s="13"/>
      <c r="TOD51" s="13"/>
      <c r="TOE51" s="13"/>
      <c r="TOF51" s="13"/>
      <c r="TOG51" s="13"/>
      <c r="TOH51" s="13"/>
      <c r="TOI51" s="13"/>
      <c r="TOJ51" s="13"/>
      <c r="TOK51" s="13"/>
      <c r="TOL51" s="13"/>
      <c r="TOM51" s="13"/>
      <c r="TON51" s="13"/>
      <c r="TOO51" s="13"/>
      <c r="TOP51" s="13"/>
      <c r="TOQ51" s="13"/>
      <c r="TOR51" s="13"/>
      <c r="TOS51" s="13"/>
      <c r="TOT51" s="13"/>
      <c r="TOU51" s="13"/>
      <c r="TOV51" s="13"/>
      <c r="TOW51" s="13"/>
      <c r="TOX51" s="13"/>
      <c r="TOY51" s="13"/>
      <c r="TOZ51" s="13"/>
      <c r="TPA51" s="13"/>
      <c r="TPB51" s="13"/>
      <c r="TPC51" s="13"/>
      <c r="TPD51" s="13"/>
      <c r="TPE51" s="13"/>
      <c r="TPF51" s="13"/>
      <c r="TPG51" s="13"/>
      <c r="TPH51" s="13"/>
      <c r="TPI51" s="13"/>
      <c r="TPJ51" s="13"/>
      <c r="TPK51" s="13"/>
      <c r="TPL51" s="13"/>
      <c r="TPM51" s="13"/>
      <c r="TPN51" s="13"/>
      <c r="TPO51" s="13"/>
      <c r="TPP51" s="13"/>
      <c r="TPQ51" s="13"/>
      <c r="TPR51" s="13"/>
      <c r="TPS51" s="13"/>
      <c r="TPT51" s="13"/>
      <c r="TPU51" s="13"/>
      <c r="TPV51" s="13"/>
      <c r="TPW51" s="13"/>
      <c r="TPX51" s="13"/>
      <c r="TPY51" s="13"/>
      <c r="TPZ51" s="13"/>
      <c r="TQA51" s="13"/>
      <c r="TQB51" s="13"/>
      <c r="TQC51" s="13"/>
      <c r="TQD51" s="13"/>
      <c r="TQE51" s="13"/>
      <c r="TQF51" s="13"/>
      <c r="TQG51" s="13"/>
      <c r="TQH51" s="13"/>
      <c r="TQI51" s="13"/>
      <c r="TQJ51" s="13"/>
      <c r="TQK51" s="13"/>
      <c r="TQL51" s="13"/>
      <c r="TQM51" s="13"/>
      <c r="TQN51" s="13"/>
      <c r="TQO51" s="13"/>
      <c r="TQP51" s="13"/>
      <c r="TQQ51" s="13"/>
      <c r="TQR51" s="13"/>
      <c r="TQS51" s="13"/>
      <c r="TQT51" s="13"/>
      <c r="TQU51" s="13"/>
      <c r="TQV51" s="13"/>
      <c r="TQW51" s="13"/>
      <c r="TQX51" s="13"/>
      <c r="TQY51" s="13"/>
      <c r="TQZ51" s="13"/>
      <c r="TRA51" s="13"/>
      <c r="TRB51" s="13"/>
      <c r="TRC51" s="13"/>
      <c r="TRD51" s="13"/>
      <c r="TRE51" s="13"/>
      <c r="TRF51" s="13"/>
      <c r="TRG51" s="13"/>
      <c r="TRH51" s="13"/>
      <c r="TRI51" s="13"/>
      <c r="TRJ51" s="13"/>
      <c r="TRK51" s="13"/>
      <c r="TRL51" s="13"/>
      <c r="TRM51" s="13"/>
      <c r="TRN51" s="13"/>
      <c r="TRO51" s="13"/>
      <c r="TRP51" s="13"/>
      <c r="TRQ51" s="13"/>
      <c r="TRR51" s="13"/>
      <c r="TRS51" s="13"/>
      <c r="TRT51" s="13"/>
      <c r="TRU51" s="13"/>
      <c r="TRV51" s="13"/>
      <c r="TRW51" s="13"/>
      <c r="TRX51" s="13"/>
      <c r="TRY51" s="13"/>
      <c r="TRZ51" s="13"/>
      <c r="TSA51" s="13"/>
      <c r="TSB51" s="13"/>
      <c r="TSC51" s="13"/>
      <c r="TSD51" s="13"/>
      <c r="TSE51" s="13"/>
      <c r="TSF51" s="13"/>
      <c r="TSG51" s="13"/>
      <c r="TSH51" s="13"/>
      <c r="TSI51" s="13"/>
      <c r="TSJ51" s="13"/>
      <c r="TSK51" s="13"/>
      <c r="TSL51" s="13"/>
      <c r="TSM51" s="13"/>
      <c r="TSN51" s="13"/>
      <c r="TSO51" s="13"/>
      <c r="TSP51" s="13"/>
      <c r="TSQ51" s="13"/>
      <c r="TSR51" s="13"/>
      <c r="TSS51" s="13"/>
      <c r="TST51" s="13"/>
      <c r="TSU51" s="13"/>
      <c r="TSV51" s="13"/>
      <c r="TSW51" s="13"/>
      <c r="TSX51" s="13"/>
      <c r="TSY51" s="13"/>
      <c r="TSZ51" s="13"/>
      <c r="TTA51" s="13"/>
      <c r="TTB51" s="13"/>
      <c r="TTC51" s="13"/>
      <c r="TTD51" s="13"/>
      <c r="TTE51" s="13"/>
      <c r="TTF51" s="13"/>
      <c r="TTG51" s="13"/>
      <c r="TTH51" s="13"/>
      <c r="TTI51" s="13"/>
      <c r="TTJ51" s="13"/>
      <c r="TTK51" s="13"/>
      <c r="TTL51" s="13"/>
      <c r="TTM51" s="13"/>
      <c r="TTN51" s="13"/>
      <c r="TTO51" s="13"/>
      <c r="TTP51" s="13"/>
      <c r="TTQ51" s="13"/>
      <c r="TTR51" s="13"/>
      <c r="TTS51" s="13"/>
      <c r="TTT51" s="13"/>
      <c r="TTU51" s="13"/>
      <c r="TTV51" s="13"/>
      <c r="TTW51" s="13"/>
      <c r="TTX51" s="13"/>
      <c r="TTY51" s="13"/>
      <c r="TTZ51" s="13"/>
      <c r="TUA51" s="13"/>
      <c r="TUB51" s="13"/>
      <c r="TUC51" s="13"/>
      <c r="TUD51" s="13"/>
      <c r="TUE51" s="13"/>
      <c r="TUF51" s="13"/>
      <c r="TUG51" s="13"/>
      <c r="TUH51" s="13"/>
      <c r="TUI51" s="13"/>
      <c r="TUJ51" s="13"/>
      <c r="TUK51" s="13"/>
      <c r="TUL51" s="13"/>
      <c r="TUM51" s="13"/>
      <c r="TUN51" s="13"/>
      <c r="TUO51" s="13"/>
      <c r="TUP51" s="13"/>
      <c r="TUQ51" s="13"/>
      <c r="TUR51" s="13"/>
      <c r="TUS51" s="13"/>
      <c r="TUT51" s="13"/>
      <c r="TUU51" s="13"/>
      <c r="TUV51" s="13"/>
      <c r="TUW51" s="13"/>
      <c r="TUX51" s="13"/>
      <c r="TUY51" s="13"/>
      <c r="TUZ51" s="13"/>
      <c r="TVA51" s="13"/>
      <c r="TVB51" s="13"/>
      <c r="TVC51" s="13"/>
      <c r="TVD51" s="13"/>
      <c r="TVE51" s="13"/>
      <c r="TVF51" s="13"/>
      <c r="TVG51" s="13"/>
      <c r="TVH51" s="13"/>
      <c r="TVI51" s="13"/>
      <c r="TVJ51" s="13"/>
      <c r="TVK51" s="13"/>
      <c r="TVL51" s="13"/>
      <c r="TVM51" s="13"/>
      <c r="TVN51" s="13"/>
      <c r="TVO51" s="13"/>
      <c r="TVP51" s="13"/>
      <c r="TVQ51" s="13"/>
      <c r="TVR51" s="13"/>
      <c r="TVS51" s="13"/>
      <c r="TVT51" s="13"/>
      <c r="TVU51" s="13"/>
      <c r="TVV51" s="13"/>
      <c r="TVW51" s="13"/>
      <c r="TVX51" s="13"/>
      <c r="TVY51" s="13"/>
      <c r="TVZ51" s="13"/>
      <c r="TWA51" s="13"/>
      <c r="TWB51" s="13"/>
      <c r="TWC51" s="13"/>
      <c r="TWD51" s="13"/>
      <c r="TWE51" s="13"/>
      <c r="TWF51" s="13"/>
      <c r="TWG51" s="13"/>
      <c r="TWH51" s="13"/>
      <c r="TWI51" s="13"/>
      <c r="TWJ51" s="13"/>
      <c r="TWK51" s="13"/>
      <c r="TWL51" s="13"/>
      <c r="TWM51" s="13"/>
      <c r="TWN51" s="13"/>
      <c r="TWO51" s="13"/>
      <c r="TWP51" s="13"/>
      <c r="TWQ51" s="13"/>
      <c r="TWR51" s="13"/>
      <c r="TWS51" s="13"/>
      <c r="TWT51" s="13"/>
      <c r="TWU51" s="13"/>
      <c r="TWV51" s="13"/>
      <c r="TWW51" s="13"/>
      <c r="TWX51" s="13"/>
      <c r="TWY51" s="13"/>
      <c r="TWZ51" s="13"/>
      <c r="TXA51" s="13"/>
      <c r="TXB51" s="13"/>
      <c r="TXC51" s="13"/>
      <c r="TXD51" s="13"/>
      <c r="TXE51" s="13"/>
      <c r="TXF51" s="13"/>
      <c r="TXG51" s="13"/>
      <c r="TXH51" s="13"/>
      <c r="TXI51" s="13"/>
      <c r="TXJ51" s="13"/>
      <c r="TXK51" s="13"/>
      <c r="TXL51" s="13"/>
      <c r="TXM51" s="13"/>
      <c r="TXN51" s="13"/>
      <c r="TXO51" s="13"/>
      <c r="TXP51" s="13"/>
      <c r="TXQ51" s="13"/>
      <c r="TXR51" s="13"/>
      <c r="TXS51" s="13"/>
      <c r="TXT51" s="13"/>
      <c r="TXU51" s="13"/>
      <c r="TXV51" s="13"/>
      <c r="TXW51" s="13"/>
      <c r="TXX51" s="13"/>
      <c r="TXY51" s="13"/>
      <c r="TXZ51" s="13"/>
      <c r="TYA51" s="13"/>
      <c r="TYB51" s="13"/>
      <c r="TYC51" s="13"/>
      <c r="TYD51" s="13"/>
      <c r="TYE51" s="13"/>
      <c r="TYF51" s="13"/>
      <c r="TYG51" s="13"/>
      <c r="TYH51" s="13"/>
      <c r="TYI51" s="13"/>
      <c r="TYJ51" s="13"/>
      <c r="TYK51" s="13"/>
      <c r="TYL51" s="13"/>
      <c r="TYM51" s="13"/>
      <c r="TYN51" s="13"/>
      <c r="TYO51" s="13"/>
      <c r="TYP51" s="13"/>
      <c r="TYQ51" s="13"/>
      <c r="TYR51" s="13"/>
      <c r="TYS51" s="13"/>
      <c r="TYT51" s="13"/>
      <c r="TYU51" s="13"/>
      <c r="TYV51" s="13"/>
      <c r="TYW51" s="13"/>
      <c r="TYX51" s="13"/>
      <c r="TYY51" s="13"/>
      <c r="TYZ51" s="13"/>
      <c r="TZA51" s="13"/>
      <c r="TZB51" s="13"/>
      <c r="TZC51" s="13"/>
      <c r="TZD51" s="13"/>
      <c r="TZE51" s="13"/>
      <c r="TZF51" s="13"/>
      <c r="TZG51" s="13"/>
      <c r="TZH51" s="13"/>
      <c r="TZI51" s="13"/>
      <c r="TZJ51" s="13"/>
      <c r="TZK51" s="13"/>
      <c r="TZL51" s="13"/>
      <c r="TZM51" s="13"/>
      <c r="TZN51" s="13"/>
      <c r="TZO51" s="13"/>
      <c r="TZP51" s="13"/>
      <c r="TZQ51" s="13"/>
      <c r="TZR51" s="13"/>
      <c r="TZS51" s="13"/>
      <c r="TZT51" s="13"/>
      <c r="TZU51" s="13"/>
      <c r="TZV51" s="13"/>
      <c r="TZW51" s="13"/>
      <c r="TZX51" s="13"/>
      <c r="TZY51" s="13"/>
      <c r="TZZ51" s="13"/>
      <c r="UAA51" s="13"/>
      <c r="UAB51" s="13"/>
      <c r="UAC51" s="13"/>
      <c r="UAD51" s="13"/>
      <c r="UAE51" s="13"/>
      <c r="UAF51" s="13"/>
      <c r="UAG51" s="13"/>
      <c r="UAH51" s="13"/>
      <c r="UAI51" s="13"/>
      <c r="UAJ51" s="13"/>
      <c r="UAK51" s="13"/>
      <c r="UAL51" s="13"/>
      <c r="UAM51" s="13"/>
      <c r="UAN51" s="13"/>
      <c r="UAO51" s="13"/>
      <c r="UAP51" s="13"/>
      <c r="UAQ51" s="13"/>
      <c r="UAR51" s="13"/>
      <c r="UAS51" s="13"/>
      <c r="UAT51" s="13"/>
      <c r="UAU51" s="13"/>
      <c r="UAV51" s="13"/>
      <c r="UAW51" s="13"/>
      <c r="UAX51" s="13"/>
      <c r="UAY51" s="13"/>
      <c r="UAZ51" s="13"/>
      <c r="UBA51" s="13"/>
      <c r="UBB51" s="13"/>
      <c r="UBC51" s="13"/>
      <c r="UBD51" s="13"/>
      <c r="UBE51" s="13"/>
      <c r="UBF51" s="13"/>
      <c r="UBG51" s="13"/>
      <c r="UBH51" s="13"/>
      <c r="UBI51" s="13"/>
      <c r="UBJ51" s="13"/>
      <c r="UBK51" s="13"/>
      <c r="UBL51" s="13"/>
      <c r="UBM51" s="13"/>
      <c r="UBN51" s="13"/>
      <c r="UBO51" s="13"/>
      <c r="UBP51" s="13"/>
      <c r="UBQ51" s="13"/>
      <c r="UBR51" s="13"/>
      <c r="UBS51" s="13"/>
      <c r="UBT51" s="13"/>
      <c r="UBU51" s="13"/>
      <c r="UBV51" s="13"/>
      <c r="UBW51" s="13"/>
      <c r="UBX51" s="13"/>
      <c r="UBY51" s="13"/>
      <c r="UBZ51" s="13"/>
      <c r="UCA51" s="13"/>
      <c r="UCB51" s="13"/>
      <c r="UCC51" s="13"/>
      <c r="UCD51" s="13"/>
      <c r="UCE51" s="13"/>
      <c r="UCF51" s="13"/>
      <c r="UCG51" s="13"/>
      <c r="UCH51" s="13"/>
      <c r="UCI51" s="13"/>
      <c r="UCJ51" s="13"/>
      <c r="UCK51" s="13"/>
      <c r="UCL51" s="13"/>
      <c r="UCM51" s="13"/>
      <c r="UCN51" s="13"/>
      <c r="UCO51" s="13"/>
      <c r="UCP51" s="13"/>
      <c r="UCQ51" s="13"/>
      <c r="UCR51" s="13"/>
      <c r="UCS51" s="13"/>
      <c r="UCT51" s="13"/>
      <c r="UCU51" s="13"/>
      <c r="UCV51" s="13"/>
      <c r="UCW51" s="13"/>
      <c r="UCX51" s="13"/>
      <c r="UCY51" s="13"/>
      <c r="UCZ51" s="13"/>
      <c r="UDA51" s="13"/>
      <c r="UDB51" s="13"/>
      <c r="UDC51" s="13"/>
      <c r="UDD51" s="13"/>
      <c r="UDE51" s="13"/>
      <c r="UDF51" s="13"/>
      <c r="UDG51" s="13"/>
      <c r="UDH51" s="13"/>
      <c r="UDI51" s="13"/>
      <c r="UDJ51" s="13"/>
      <c r="UDK51" s="13"/>
      <c r="UDL51" s="13"/>
      <c r="UDM51" s="13"/>
      <c r="UDN51" s="13"/>
      <c r="UDO51" s="13"/>
      <c r="UDP51" s="13"/>
      <c r="UDQ51" s="13"/>
      <c r="UDR51" s="13"/>
      <c r="UDS51" s="13"/>
      <c r="UDT51" s="13"/>
      <c r="UDU51" s="13"/>
      <c r="UDV51" s="13"/>
      <c r="UDW51" s="13"/>
      <c r="UDX51" s="13"/>
      <c r="UDY51" s="13"/>
      <c r="UDZ51" s="13"/>
      <c r="UEA51" s="13"/>
      <c r="UEB51" s="13"/>
      <c r="UEC51" s="13"/>
      <c r="UED51" s="13"/>
      <c r="UEE51" s="13"/>
      <c r="UEF51" s="13"/>
      <c r="UEG51" s="13"/>
      <c r="UEH51" s="13"/>
      <c r="UEI51" s="13"/>
      <c r="UEJ51" s="13"/>
      <c r="UEK51" s="13"/>
      <c r="UEL51" s="13"/>
      <c r="UEM51" s="13"/>
      <c r="UEN51" s="13"/>
      <c r="UEO51" s="13"/>
      <c r="UEP51" s="13"/>
      <c r="UEQ51" s="13"/>
      <c r="UER51" s="13"/>
      <c r="UES51" s="13"/>
      <c r="UET51" s="13"/>
      <c r="UEU51" s="13"/>
      <c r="UEV51" s="13"/>
      <c r="UEW51" s="13"/>
      <c r="UEX51" s="13"/>
      <c r="UEY51" s="13"/>
      <c r="UEZ51" s="13"/>
      <c r="UFA51" s="13"/>
      <c r="UFB51" s="13"/>
      <c r="UFC51" s="13"/>
      <c r="UFD51" s="13"/>
      <c r="UFE51" s="13"/>
      <c r="UFF51" s="13"/>
      <c r="UFG51" s="13"/>
      <c r="UFH51" s="13"/>
      <c r="UFI51" s="13"/>
      <c r="UFJ51" s="13"/>
      <c r="UFK51" s="13"/>
      <c r="UFL51" s="13"/>
      <c r="UFM51" s="13"/>
      <c r="UFN51" s="13"/>
      <c r="UFO51" s="13"/>
      <c r="UFP51" s="13"/>
      <c r="UFQ51" s="13"/>
      <c r="UFR51" s="13"/>
      <c r="UFS51" s="13"/>
      <c r="UFT51" s="13"/>
      <c r="UFU51" s="13"/>
      <c r="UFV51" s="13"/>
      <c r="UFW51" s="13"/>
      <c r="UFX51" s="13"/>
      <c r="UFY51" s="13"/>
      <c r="UFZ51" s="13"/>
      <c r="UGA51" s="13"/>
      <c r="UGB51" s="13"/>
      <c r="UGC51" s="13"/>
      <c r="UGD51" s="13"/>
      <c r="UGE51" s="13"/>
      <c r="UGF51" s="13"/>
      <c r="UGG51" s="13"/>
      <c r="UGH51" s="13"/>
      <c r="UGI51" s="13"/>
      <c r="UGJ51" s="13"/>
      <c r="UGK51" s="13"/>
      <c r="UGL51" s="13"/>
      <c r="UGM51" s="13"/>
      <c r="UGN51" s="13"/>
      <c r="UGO51" s="13"/>
      <c r="UGP51" s="13"/>
      <c r="UGQ51" s="13"/>
      <c r="UGR51" s="13"/>
      <c r="UGS51" s="13"/>
      <c r="UGT51" s="13"/>
      <c r="UGU51" s="13"/>
      <c r="UGV51" s="13"/>
      <c r="UGW51" s="13"/>
      <c r="UGX51" s="13"/>
      <c r="UGY51" s="13"/>
      <c r="UGZ51" s="13"/>
      <c r="UHA51" s="13"/>
      <c r="UHB51" s="13"/>
      <c r="UHC51" s="13"/>
      <c r="UHD51" s="13"/>
      <c r="UHE51" s="13"/>
      <c r="UHF51" s="13"/>
      <c r="UHG51" s="13"/>
      <c r="UHH51" s="13"/>
      <c r="UHI51" s="13"/>
      <c r="UHJ51" s="13"/>
      <c r="UHK51" s="13"/>
      <c r="UHL51" s="13"/>
      <c r="UHM51" s="13"/>
      <c r="UHN51" s="13"/>
      <c r="UHO51" s="13"/>
      <c r="UHP51" s="13"/>
      <c r="UHQ51" s="13"/>
      <c r="UHR51" s="13"/>
      <c r="UHS51" s="13"/>
      <c r="UHT51" s="13"/>
      <c r="UHU51" s="13"/>
      <c r="UHV51" s="13"/>
      <c r="UHW51" s="13"/>
      <c r="UHX51" s="13"/>
      <c r="UHY51" s="13"/>
      <c r="UHZ51" s="13"/>
      <c r="UIA51" s="13"/>
      <c r="UIB51" s="13"/>
      <c r="UIC51" s="13"/>
      <c r="UID51" s="13"/>
      <c r="UIE51" s="13"/>
      <c r="UIF51" s="13"/>
      <c r="UIG51" s="13"/>
      <c r="UIH51" s="13"/>
      <c r="UII51" s="13"/>
      <c r="UIJ51" s="13"/>
      <c r="UIK51" s="13"/>
      <c r="UIL51" s="13"/>
      <c r="UIM51" s="13"/>
      <c r="UIN51" s="13"/>
      <c r="UIO51" s="13"/>
      <c r="UIP51" s="13"/>
      <c r="UIQ51" s="13"/>
      <c r="UIR51" s="13"/>
      <c r="UIS51" s="13"/>
      <c r="UIT51" s="13"/>
      <c r="UIU51" s="13"/>
      <c r="UIV51" s="13"/>
      <c r="UIW51" s="13"/>
      <c r="UIX51" s="13"/>
      <c r="UIY51" s="13"/>
      <c r="UIZ51" s="13"/>
      <c r="UJA51" s="13"/>
      <c r="UJB51" s="13"/>
      <c r="UJC51" s="13"/>
      <c r="UJD51" s="13"/>
      <c r="UJE51" s="13"/>
      <c r="UJF51" s="13"/>
      <c r="UJG51" s="13"/>
      <c r="UJH51" s="13"/>
      <c r="UJI51" s="13"/>
      <c r="UJJ51" s="13"/>
      <c r="UJK51" s="13"/>
      <c r="UJL51" s="13"/>
      <c r="UJM51" s="13"/>
      <c r="UJN51" s="13"/>
      <c r="UJO51" s="13"/>
      <c r="UJP51" s="13"/>
      <c r="UJQ51" s="13"/>
      <c r="UJR51" s="13"/>
      <c r="UJS51" s="13"/>
      <c r="UJT51" s="13"/>
      <c r="UJU51" s="13"/>
      <c r="UJV51" s="13"/>
      <c r="UJW51" s="13"/>
      <c r="UJX51" s="13"/>
      <c r="UJY51" s="13"/>
      <c r="UJZ51" s="13"/>
      <c r="UKA51" s="13"/>
      <c r="UKB51" s="13"/>
      <c r="UKC51" s="13"/>
      <c r="UKD51" s="13"/>
      <c r="UKE51" s="13"/>
      <c r="UKF51" s="13"/>
      <c r="UKG51" s="13"/>
      <c r="UKH51" s="13"/>
      <c r="UKI51" s="13"/>
      <c r="UKJ51" s="13"/>
      <c r="UKK51" s="13"/>
      <c r="UKL51" s="13"/>
      <c r="UKM51" s="13"/>
      <c r="UKN51" s="13"/>
      <c r="UKO51" s="13"/>
      <c r="UKP51" s="13"/>
      <c r="UKQ51" s="13"/>
      <c r="UKR51" s="13"/>
      <c r="UKS51" s="13"/>
      <c r="UKT51" s="13"/>
      <c r="UKU51" s="13"/>
      <c r="UKV51" s="13"/>
      <c r="UKW51" s="13"/>
      <c r="UKX51" s="13"/>
      <c r="UKY51" s="13"/>
      <c r="UKZ51" s="13"/>
      <c r="ULA51" s="13"/>
      <c r="ULB51" s="13"/>
      <c r="ULC51" s="13"/>
      <c r="ULD51" s="13"/>
      <c r="ULE51" s="13"/>
      <c r="ULF51" s="13"/>
      <c r="ULG51" s="13"/>
      <c r="ULH51" s="13"/>
      <c r="ULI51" s="13"/>
      <c r="ULJ51" s="13"/>
      <c r="ULK51" s="13"/>
      <c r="ULL51" s="13"/>
      <c r="ULM51" s="13"/>
      <c r="ULN51" s="13"/>
      <c r="ULO51" s="13"/>
      <c r="ULP51" s="13"/>
      <c r="ULQ51" s="13"/>
      <c r="ULR51" s="13"/>
      <c r="ULS51" s="13"/>
      <c r="ULT51" s="13"/>
      <c r="ULU51" s="13"/>
      <c r="ULV51" s="13"/>
      <c r="ULW51" s="13"/>
      <c r="ULX51" s="13"/>
      <c r="ULY51" s="13"/>
      <c r="ULZ51" s="13"/>
      <c r="UMA51" s="13"/>
      <c r="UMB51" s="13"/>
      <c r="UMC51" s="13"/>
      <c r="UMD51" s="13"/>
      <c r="UME51" s="13"/>
      <c r="UMF51" s="13"/>
      <c r="UMG51" s="13"/>
      <c r="UMH51" s="13"/>
      <c r="UMI51" s="13"/>
      <c r="UMJ51" s="13"/>
      <c r="UMK51" s="13"/>
      <c r="UML51" s="13"/>
      <c r="UMM51" s="13"/>
      <c r="UMN51" s="13"/>
      <c r="UMO51" s="13"/>
      <c r="UMP51" s="13"/>
      <c r="UMQ51" s="13"/>
      <c r="UMR51" s="13"/>
      <c r="UMS51" s="13"/>
      <c r="UMT51" s="13"/>
      <c r="UMU51" s="13"/>
      <c r="UMV51" s="13"/>
      <c r="UMW51" s="13"/>
      <c r="UMX51" s="13"/>
      <c r="UMY51" s="13"/>
      <c r="UMZ51" s="13"/>
      <c r="UNA51" s="13"/>
      <c r="UNB51" s="13"/>
      <c r="UNC51" s="13"/>
      <c r="UND51" s="13"/>
      <c r="UNE51" s="13"/>
      <c r="UNF51" s="13"/>
      <c r="UNG51" s="13"/>
      <c r="UNH51" s="13"/>
      <c r="UNI51" s="13"/>
      <c r="UNJ51" s="13"/>
      <c r="UNK51" s="13"/>
      <c r="UNL51" s="13"/>
      <c r="UNM51" s="13"/>
      <c r="UNN51" s="13"/>
      <c r="UNO51" s="13"/>
      <c r="UNP51" s="13"/>
      <c r="UNQ51" s="13"/>
      <c r="UNR51" s="13"/>
      <c r="UNS51" s="13"/>
      <c r="UNT51" s="13"/>
      <c r="UNU51" s="13"/>
      <c r="UNV51" s="13"/>
      <c r="UNW51" s="13"/>
      <c r="UNX51" s="13"/>
      <c r="UNY51" s="13"/>
      <c r="UNZ51" s="13"/>
      <c r="UOA51" s="13"/>
      <c r="UOB51" s="13"/>
      <c r="UOC51" s="13"/>
      <c r="UOD51" s="13"/>
      <c r="UOE51" s="13"/>
      <c r="UOF51" s="13"/>
      <c r="UOG51" s="13"/>
      <c r="UOH51" s="13"/>
      <c r="UOI51" s="13"/>
      <c r="UOJ51" s="13"/>
      <c r="UOK51" s="13"/>
      <c r="UOL51" s="13"/>
      <c r="UOM51" s="13"/>
      <c r="UON51" s="13"/>
      <c r="UOO51" s="13"/>
      <c r="UOP51" s="13"/>
      <c r="UOQ51" s="13"/>
      <c r="UOR51" s="13"/>
      <c r="UOS51" s="13"/>
      <c r="UOT51" s="13"/>
      <c r="UOU51" s="13"/>
      <c r="UOV51" s="13"/>
      <c r="UOW51" s="13"/>
      <c r="UOX51" s="13"/>
      <c r="UOY51" s="13"/>
      <c r="UOZ51" s="13"/>
      <c r="UPA51" s="13"/>
      <c r="UPB51" s="13"/>
      <c r="UPC51" s="13"/>
      <c r="UPD51" s="13"/>
      <c r="UPE51" s="13"/>
      <c r="UPF51" s="13"/>
      <c r="UPG51" s="13"/>
      <c r="UPH51" s="13"/>
      <c r="UPI51" s="13"/>
      <c r="UPJ51" s="13"/>
      <c r="UPK51" s="13"/>
      <c r="UPL51" s="13"/>
      <c r="UPM51" s="13"/>
      <c r="UPN51" s="13"/>
      <c r="UPO51" s="13"/>
      <c r="UPP51" s="13"/>
      <c r="UPQ51" s="13"/>
      <c r="UPR51" s="13"/>
      <c r="UPS51" s="13"/>
      <c r="UPT51" s="13"/>
      <c r="UPU51" s="13"/>
      <c r="UPV51" s="13"/>
      <c r="UPW51" s="13"/>
      <c r="UPX51" s="13"/>
      <c r="UPY51" s="13"/>
      <c r="UPZ51" s="13"/>
      <c r="UQA51" s="13"/>
      <c r="UQB51" s="13"/>
      <c r="UQC51" s="13"/>
      <c r="UQD51" s="13"/>
      <c r="UQE51" s="13"/>
      <c r="UQF51" s="13"/>
      <c r="UQG51" s="13"/>
      <c r="UQH51" s="13"/>
      <c r="UQI51" s="13"/>
      <c r="UQJ51" s="13"/>
      <c r="UQK51" s="13"/>
      <c r="UQL51" s="13"/>
      <c r="UQM51" s="13"/>
      <c r="UQN51" s="13"/>
      <c r="UQO51" s="13"/>
      <c r="UQP51" s="13"/>
      <c r="UQQ51" s="13"/>
      <c r="UQR51" s="13"/>
      <c r="UQS51" s="13"/>
      <c r="UQT51" s="13"/>
      <c r="UQU51" s="13"/>
      <c r="UQV51" s="13"/>
      <c r="UQW51" s="13"/>
      <c r="UQX51" s="13"/>
      <c r="UQY51" s="13"/>
      <c r="UQZ51" s="13"/>
      <c r="URA51" s="13"/>
      <c r="URB51" s="13"/>
      <c r="URC51" s="13"/>
      <c r="URD51" s="13"/>
      <c r="URE51" s="13"/>
      <c r="URF51" s="13"/>
      <c r="URG51" s="13"/>
      <c r="URH51" s="13"/>
      <c r="URI51" s="13"/>
      <c r="URJ51" s="13"/>
      <c r="URK51" s="13"/>
      <c r="URL51" s="13"/>
      <c r="URM51" s="13"/>
      <c r="URN51" s="13"/>
      <c r="URO51" s="13"/>
      <c r="URP51" s="13"/>
      <c r="URQ51" s="13"/>
      <c r="URR51" s="13"/>
      <c r="URS51" s="13"/>
      <c r="URT51" s="13"/>
      <c r="URU51" s="13"/>
      <c r="URV51" s="13"/>
      <c r="URW51" s="13"/>
      <c r="URX51" s="13"/>
      <c r="URY51" s="13"/>
      <c r="URZ51" s="13"/>
      <c r="USA51" s="13"/>
      <c r="USB51" s="13"/>
      <c r="USC51" s="13"/>
      <c r="USD51" s="13"/>
      <c r="USE51" s="13"/>
      <c r="USF51" s="13"/>
      <c r="USG51" s="13"/>
      <c r="USH51" s="13"/>
      <c r="USI51" s="13"/>
      <c r="USJ51" s="13"/>
      <c r="USK51" s="13"/>
      <c r="USL51" s="13"/>
      <c r="USM51" s="13"/>
      <c r="USN51" s="13"/>
      <c r="USO51" s="13"/>
      <c r="USP51" s="13"/>
      <c r="USQ51" s="13"/>
      <c r="USR51" s="13"/>
      <c r="USS51" s="13"/>
      <c r="UST51" s="13"/>
      <c r="USU51" s="13"/>
      <c r="USV51" s="13"/>
      <c r="USW51" s="13"/>
      <c r="USX51" s="13"/>
      <c r="USY51" s="13"/>
      <c r="USZ51" s="13"/>
      <c r="UTA51" s="13"/>
      <c r="UTB51" s="13"/>
      <c r="UTC51" s="13"/>
      <c r="UTD51" s="13"/>
      <c r="UTE51" s="13"/>
      <c r="UTF51" s="13"/>
      <c r="UTG51" s="13"/>
      <c r="UTH51" s="13"/>
      <c r="UTI51" s="13"/>
      <c r="UTJ51" s="13"/>
      <c r="UTK51" s="13"/>
      <c r="UTL51" s="13"/>
      <c r="UTM51" s="13"/>
      <c r="UTN51" s="13"/>
      <c r="UTO51" s="13"/>
      <c r="UTP51" s="13"/>
      <c r="UTQ51" s="13"/>
      <c r="UTR51" s="13"/>
      <c r="UTS51" s="13"/>
      <c r="UTT51" s="13"/>
      <c r="UTU51" s="13"/>
      <c r="UTV51" s="13"/>
      <c r="UTW51" s="13"/>
      <c r="UTX51" s="13"/>
      <c r="UTY51" s="13"/>
      <c r="UTZ51" s="13"/>
      <c r="UUA51" s="13"/>
      <c r="UUB51" s="13"/>
      <c r="UUC51" s="13"/>
      <c r="UUD51" s="13"/>
      <c r="UUE51" s="13"/>
      <c r="UUF51" s="13"/>
      <c r="UUG51" s="13"/>
      <c r="UUH51" s="13"/>
      <c r="UUI51" s="13"/>
      <c r="UUJ51" s="13"/>
      <c r="UUK51" s="13"/>
      <c r="UUL51" s="13"/>
      <c r="UUM51" s="13"/>
      <c r="UUN51" s="13"/>
      <c r="UUO51" s="13"/>
      <c r="UUP51" s="13"/>
      <c r="UUQ51" s="13"/>
      <c r="UUR51" s="13"/>
      <c r="UUS51" s="13"/>
      <c r="UUT51" s="13"/>
      <c r="UUU51" s="13"/>
      <c r="UUV51" s="13"/>
      <c r="UUW51" s="13"/>
      <c r="UUX51" s="13"/>
      <c r="UUY51" s="13"/>
      <c r="UUZ51" s="13"/>
      <c r="UVA51" s="13"/>
      <c r="UVB51" s="13"/>
      <c r="UVC51" s="13"/>
      <c r="UVD51" s="13"/>
      <c r="UVE51" s="13"/>
      <c r="UVF51" s="13"/>
      <c r="UVG51" s="13"/>
      <c r="UVH51" s="13"/>
      <c r="UVI51" s="13"/>
      <c r="UVJ51" s="13"/>
      <c r="UVK51" s="13"/>
      <c r="UVL51" s="13"/>
      <c r="UVM51" s="13"/>
      <c r="UVN51" s="13"/>
      <c r="UVO51" s="13"/>
      <c r="UVP51" s="13"/>
      <c r="UVQ51" s="13"/>
      <c r="UVR51" s="13"/>
      <c r="UVS51" s="13"/>
      <c r="UVT51" s="13"/>
      <c r="UVU51" s="13"/>
      <c r="UVV51" s="13"/>
      <c r="UVW51" s="13"/>
      <c r="UVX51" s="13"/>
      <c r="UVY51" s="13"/>
      <c r="UVZ51" s="13"/>
      <c r="UWA51" s="13"/>
      <c r="UWB51" s="13"/>
      <c r="UWC51" s="13"/>
      <c r="UWD51" s="13"/>
      <c r="UWE51" s="13"/>
      <c r="UWF51" s="13"/>
      <c r="UWG51" s="13"/>
      <c r="UWH51" s="13"/>
      <c r="UWI51" s="13"/>
      <c r="UWJ51" s="13"/>
      <c r="UWK51" s="13"/>
      <c r="UWL51" s="13"/>
      <c r="UWM51" s="13"/>
      <c r="UWN51" s="13"/>
      <c r="UWO51" s="13"/>
      <c r="UWP51" s="13"/>
      <c r="UWQ51" s="13"/>
      <c r="UWR51" s="13"/>
      <c r="UWS51" s="13"/>
      <c r="UWT51" s="13"/>
      <c r="UWU51" s="13"/>
      <c r="UWV51" s="13"/>
      <c r="UWW51" s="13"/>
      <c r="UWX51" s="13"/>
      <c r="UWY51" s="13"/>
      <c r="UWZ51" s="13"/>
      <c r="UXA51" s="13"/>
      <c r="UXB51" s="13"/>
      <c r="UXC51" s="13"/>
      <c r="UXD51" s="13"/>
      <c r="UXE51" s="13"/>
      <c r="UXF51" s="13"/>
      <c r="UXG51" s="13"/>
      <c r="UXH51" s="13"/>
      <c r="UXI51" s="13"/>
      <c r="UXJ51" s="13"/>
      <c r="UXK51" s="13"/>
      <c r="UXL51" s="13"/>
      <c r="UXM51" s="13"/>
      <c r="UXN51" s="13"/>
      <c r="UXO51" s="13"/>
      <c r="UXP51" s="13"/>
      <c r="UXQ51" s="13"/>
      <c r="UXR51" s="13"/>
      <c r="UXS51" s="13"/>
      <c r="UXT51" s="13"/>
      <c r="UXU51" s="13"/>
      <c r="UXV51" s="13"/>
      <c r="UXW51" s="13"/>
      <c r="UXX51" s="13"/>
      <c r="UXY51" s="13"/>
      <c r="UXZ51" s="13"/>
      <c r="UYA51" s="13"/>
      <c r="UYB51" s="13"/>
      <c r="UYC51" s="13"/>
      <c r="UYD51" s="13"/>
      <c r="UYE51" s="13"/>
      <c r="UYF51" s="13"/>
      <c r="UYG51" s="13"/>
      <c r="UYH51" s="13"/>
      <c r="UYI51" s="13"/>
      <c r="UYJ51" s="13"/>
      <c r="UYK51" s="13"/>
      <c r="UYL51" s="13"/>
      <c r="UYM51" s="13"/>
      <c r="UYN51" s="13"/>
      <c r="UYO51" s="13"/>
      <c r="UYP51" s="13"/>
      <c r="UYQ51" s="13"/>
      <c r="UYR51" s="13"/>
      <c r="UYS51" s="13"/>
      <c r="UYT51" s="13"/>
      <c r="UYU51" s="13"/>
      <c r="UYV51" s="13"/>
      <c r="UYW51" s="13"/>
      <c r="UYX51" s="13"/>
      <c r="UYY51" s="13"/>
      <c r="UYZ51" s="13"/>
      <c r="UZA51" s="13"/>
      <c r="UZB51" s="13"/>
      <c r="UZC51" s="13"/>
      <c r="UZD51" s="13"/>
      <c r="UZE51" s="13"/>
      <c r="UZF51" s="13"/>
      <c r="UZG51" s="13"/>
      <c r="UZH51" s="13"/>
      <c r="UZI51" s="13"/>
      <c r="UZJ51" s="13"/>
      <c r="UZK51" s="13"/>
      <c r="UZL51" s="13"/>
      <c r="UZM51" s="13"/>
      <c r="UZN51" s="13"/>
      <c r="UZO51" s="13"/>
      <c r="UZP51" s="13"/>
      <c r="UZQ51" s="13"/>
      <c r="UZR51" s="13"/>
      <c r="UZS51" s="13"/>
      <c r="UZT51" s="13"/>
      <c r="UZU51" s="13"/>
      <c r="UZV51" s="13"/>
      <c r="UZW51" s="13"/>
      <c r="UZX51" s="13"/>
      <c r="UZY51" s="13"/>
      <c r="UZZ51" s="13"/>
      <c r="VAA51" s="13"/>
      <c r="VAB51" s="13"/>
      <c r="VAC51" s="13"/>
      <c r="VAD51" s="13"/>
      <c r="VAE51" s="13"/>
      <c r="VAF51" s="13"/>
      <c r="VAG51" s="13"/>
      <c r="VAH51" s="13"/>
      <c r="VAI51" s="13"/>
      <c r="VAJ51" s="13"/>
      <c r="VAK51" s="13"/>
      <c r="VAL51" s="13"/>
      <c r="VAM51" s="13"/>
      <c r="VAN51" s="13"/>
      <c r="VAO51" s="13"/>
      <c r="VAP51" s="13"/>
      <c r="VAQ51" s="13"/>
      <c r="VAR51" s="13"/>
      <c r="VAS51" s="13"/>
      <c r="VAT51" s="13"/>
      <c r="VAU51" s="13"/>
      <c r="VAV51" s="13"/>
      <c r="VAW51" s="13"/>
      <c r="VAX51" s="13"/>
      <c r="VAY51" s="13"/>
      <c r="VAZ51" s="13"/>
      <c r="VBA51" s="13"/>
      <c r="VBB51" s="13"/>
      <c r="VBC51" s="13"/>
      <c r="VBD51" s="13"/>
      <c r="VBE51" s="13"/>
      <c r="VBF51" s="13"/>
      <c r="VBG51" s="13"/>
      <c r="VBH51" s="13"/>
      <c r="VBI51" s="13"/>
      <c r="VBJ51" s="13"/>
      <c r="VBK51" s="13"/>
      <c r="VBL51" s="13"/>
      <c r="VBM51" s="13"/>
      <c r="VBN51" s="13"/>
      <c r="VBO51" s="13"/>
      <c r="VBP51" s="13"/>
      <c r="VBQ51" s="13"/>
      <c r="VBR51" s="13"/>
      <c r="VBS51" s="13"/>
      <c r="VBT51" s="13"/>
      <c r="VBU51" s="13"/>
      <c r="VBV51" s="13"/>
      <c r="VBW51" s="13"/>
      <c r="VBX51" s="13"/>
      <c r="VBY51" s="13"/>
      <c r="VBZ51" s="13"/>
      <c r="VCA51" s="13"/>
      <c r="VCB51" s="13"/>
      <c r="VCC51" s="13"/>
      <c r="VCD51" s="13"/>
      <c r="VCE51" s="13"/>
      <c r="VCF51" s="13"/>
      <c r="VCG51" s="13"/>
      <c r="VCH51" s="13"/>
      <c r="VCI51" s="13"/>
      <c r="VCJ51" s="13"/>
      <c r="VCK51" s="13"/>
      <c r="VCL51" s="13"/>
      <c r="VCM51" s="13"/>
      <c r="VCN51" s="13"/>
      <c r="VCO51" s="13"/>
      <c r="VCP51" s="13"/>
      <c r="VCQ51" s="13"/>
      <c r="VCR51" s="13"/>
      <c r="VCS51" s="13"/>
      <c r="VCT51" s="13"/>
      <c r="VCU51" s="13"/>
      <c r="VCV51" s="13"/>
      <c r="VCW51" s="13"/>
      <c r="VCX51" s="13"/>
      <c r="VCY51" s="13"/>
      <c r="VCZ51" s="13"/>
      <c r="VDA51" s="13"/>
      <c r="VDB51" s="13"/>
      <c r="VDC51" s="13"/>
      <c r="VDD51" s="13"/>
      <c r="VDE51" s="13"/>
      <c r="VDF51" s="13"/>
      <c r="VDG51" s="13"/>
      <c r="VDH51" s="13"/>
      <c r="VDI51" s="13"/>
      <c r="VDJ51" s="13"/>
      <c r="VDK51" s="13"/>
      <c r="VDL51" s="13"/>
      <c r="VDM51" s="13"/>
      <c r="VDN51" s="13"/>
      <c r="VDO51" s="13"/>
      <c r="VDP51" s="13"/>
      <c r="VDQ51" s="13"/>
      <c r="VDR51" s="13"/>
      <c r="VDS51" s="13"/>
      <c r="VDT51" s="13"/>
      <c r="VDU51" s="13"/>
      <c r="VDV51" s="13"/>
      <c r="VDW51" s="13"/>
      <c r="VDX51" s="13"/>
      <c r="VDY51" s="13"/>
      <c r="VDZ51" s="13"/>
      <c r="VEA51" s="13"/>
      <c r="VEB51" s="13"/>
      <c r="VEC51" s="13"/>
      <c r="VED51" s="13"/>
      <c r="VEE51" s="13"/>
      <c r="VEF51" s="13"/>
      <c r="VEG51" s="13"/>
      <c r="VEH51" s="13"/>
      <c r="VEI51" s="13"/>
      <c r="VEJ51" s="13"/>
      <c r="VEK51" s="13"/>
      <c r="VEL51" s="13"/>
      <c r="VEM51" s="13"/>
      <c r="VEN51" s="13"/>
      <c r="VEO51" s="13"/>
      <c r="VEP51" s="13"/>
      <c r="VEQ51" s="13"/>
      <c r="VER51" s="13"/>
      <c r="VES51" s="13"/>
      <c r="VET51" s="13"/>
      <c r="VEU51" s="13"/>
      <c r="VEV51" s="13"/>
      <c r="VEW51" s="13"/>
      <c r="VEX51" s="13"/>
      <c r="VEY51" s="13"/>
      <c r="VEZ51" s="13"/>
      <c r="VFA51" s="13"/>
      <c r="VFB51" s="13"/>
      <c r="VFC51" s="13"/>
      <c r="VFD51" s="13"/>
      <c r="VFE51" s="13"/>
      <c r="VFF51" s="13"/>
      <c r="VFG51" s="13"/>
      <c r="VFH51" s="13"/>
      <c r="VFI51" s="13"/>
      <c r="VFJ51" s="13"/>
      <c r="VFK51" s="13"/>
      <c r="VFL51" s="13"/>
      <c r="VFM51" s="13"/>
      <c r="VFN51" s="13"/>
      <c r="VFO51" s="13"/>
      <c r="VFP51" s="13"/>
      <c r="VFQ51" s="13"/>
      <c r="VFR51" s="13"/>
      <c r="VFS51" s="13"/>
      <c r="VFT51" s="13"/>
      <c r="VFU51" s="13"/>
      <c r="VFV51" s="13"/>
      <c r="VFW51" s="13"/>
      <c r="VFX51" s="13"/>
      <c r="VFY51" s="13"/>
      <c r="VFZ51" s="13"/>
      <c r="VGA51" s="13"/>
      <c r="VGB51" s="13"/>
      <c r="VGC51" s="13"/>
      <c r="VGD51" s="13"/>
      <c r="VGE51" s="13"/>
      <c r="VGF51" s="13"/>
      <c r="VGG51" s="13"/>
      <c r="VGH51" s="13"/>
      <c r="VGI51" s="13"/>
      <c r="VGJ51" s="13"/>
      <c r="VGK51" s="13"/>
      <c r="VGL51" s="13"/>
      <c r="VGM51" s="13"/>
      <c r="VGN51" s="13"/>
      <c r="VGO51" s="13"/>
      <c r="VGP51" s="13"/>
      <c r="VGQ51" s="13"/>
      <c r="VGR51" s="13"/>
      <c r="VGS51" s="13"/>
      <c r="VGT51" s="13"/>
      <c r="VGU51" s="13"/>
      <c r="VGV51" s="13"/>
      <c r="VGW51" s="13"/>
      <c r="VGX51" s="13"/>
      <c r="VGY51" s="13"/>
      <c r="VGZ51" s="13"/>
      <c r="VHA51" s="13"/>
      <c r="VHB51" s="13"/>
      <c r="VHC51" s="13"/>
      <c r="VHD51" s="13"/>
      <c r="VHE51" s="13"/>
      <c r="VHF51" s="13"/>
      <c r="VHG51" s="13"/>
      <c r="VHH51" s="13"/>
      <c r="VHI51" s="13"/>
      <c r="VHJ51" s="13"/>
      <c r="VHK51" s="13"/>
      <c r="VHL51" s="13"/>
      <c r="VHM51" s="13"/>
      <c r="VHN51" s="13"/>
      <c r="VHO51" s="13"/>
      <c r="VHP51" s="13"/>
      <c r="VHQ51" s="13"/>
      <c r="VHR51" s="13"/>
      <c r="VHS51" s="13"/>
      <c r="VHT51" s="13"/>
      <c r="VHU51" s="13"/>
      <c r="VHV51" s="13"/>
      <c r="VHW51" s="13"/>
      <c r="VHX51" s="13"/>
      <c r="VHY51" s="13"/>
      <c r="VHZ51" s="13"/>
      <c r="VIA51" s="13"/>
      <c r="VIB51" s="13"/>
      <c r="VIC51" s="13"/>
      <c r="VID51" s="13"/>
      <c r="VIE51" s="13"/>
      <c r="VIF51" s="13"/>
      <c r="VIG51" s="13"/>
      <c r="VIH51" s="13"/>
      <c r="VII51" s="13"/>
      <c r="VIJ51" s="13"/>
      <c r="VIK51" s="13"/>
      <c r="VIL51" s="13"/>
      <c r="VIM51" s="13"/>
      <c r="VIN51" s="13"/>
      <c r="VIO51" s="13"/>
      <c r="VIP51" s="13"/>
      <c r="VIQ51" s="13"/>
      <c r="VIR51" s="13"/>
      <c r="VIS51" s="13"/>
      <c r="VIT51" s="13"/>
      <c r="VIU51" s="13"/>
      <c r="VIV51" s="13"/>
      <c r="VIW51" s="13"/>
      <c r="VIX51" s="13"/>
      <c r="VIY51" s="13"/>
      <c r="VIZ51" s="13"/>
      <c r="VJA51" s="13"/>
      <c r="VJB51" s="13"/>
      <c r="VJC51" s="13"/>
      <c r="VJD51" s="13"/>
      <c r="VJE51" s="13"/>
      <c r="VJF51" s="13"/>
      <c r="VJG51" s="13"/>
      <c r="VJH51" s="13"/>
      <c r="VJI51" s="13"/>
      <c r="VJJ51" s="13"/>
      <c r="VJK51" s="13"/>
      <c r="VJL51" s="13"/>
      <c r="VJM51" s="13"/>
      <c r="VJN51" s="13"/>
      <c r="VJO51" s="13"/>
      <c r="VJP51" s="13"/>
      <c r="VJQ51" s="13"/>
      <c r="VJR51" s="13"/>
      <c r="VJS51" s="13"/>
      <c r="VJT51" s="13"/>
      <c r="VJU51" s="13"/>
      <c r="VJV51" s="13"/>
      <c r="VJW51" s="13"/>
      <c r="VJX51" s="13"/>
      <c r="VJY51" s="13"/>
      <c r="VJZ51" s="13"/>
      <c r="VKA51" s="13"/>
      <c r="VKB51" s="13"/>
      <c r="VKC51" s="13"/>
      <c r="VKD51" s="13"/>
      <c r="VKE51" s="13"/>
      <c r="VKF51" s="13"/>
      <c r="VKG51" s="13"/>
      <c r="VKH51" s="13"/>
      <c r="VKI51" s="13"/>
      <c r="VKJ51" s="13"/>
      <c r="VKK51" s="13"/>
      <c r="VKL51" s="13"/>
      <c r="VKM51" s="13"/>
      <c r="VKN51" s="13"/>
      <c r="VKO51" s="13"/>
      <c r="VKP51" s="13"/>
      <c r="VKQ51" s="13"/>
      <c r="VKR51" s="13"/>
      <c r="VKS51" s="13"/>
      <c r="VKT51" s="13"/>
      <c r="VKU51" s="13"/>
      <c r="VKV51" s="13"/>
      <c r="VKW51" s="13"/>
      <c r="VKX51" s="13"/>
      <c r="VKY51" s="13"/>
      <c r="VKZ51" s="13"/>
      <c r="VLA51" s="13"/>
      <c r="VLB51" s="13"/>
      <c r="VLC51" s="13"/>
      <c r="VLD51" s="13"/>
      <c r="VLE51" s="13"/>
      <c r="VLF51" s="13"/>
      <c r="VLG51" s="13"/>
      <c r="VLH51" s="13"/>
      <c r="VLI51" s="13"/>
      <c r="VLJ51" s="13"/>
      <c r="VLK51" s="13"/>
      <c r="VLL51" s="13"/>
      <c r="VLM51" s="13"/>
      <c r="VLN51" s="13"/>
      <c r="VLO51" s="13"/>
      <c r="VLP51" s="13"/>
      <c r="VLQ51" s="13"/>
      <c r="VLR51" s="13"/>
      <c r="VLS51" s="13"/>
      <c r="VLT51" s="13"/>
      <c r="VLU51" s="13"/>
      <c r="VLV51" s="13"/>
      <c r="VLW51" s="13"/>
      <c r="VLX51" s="13"/>
      <c r="VLY51" s="13"/>
      <c r="VLZ51" s="13"/>
      <c r="VMA51" s="13"/>
      <c r="VMB51" s="13"/>
      <c r="VMC51" s="13"/>
      <c r="VMD51" s="13"/>
      <c r="VME51" s="13"/>
      <c r="VMF51" s="13"/>
      <c r="VMG51" s="13"/>
      <c r="VMH51" s="13"/>
      <c r="VMI51" s="13"/>
      <c r="VMJ51" s="13"/>
      <c r="VMK51" s="13"/>
      <c r="VML51" s="13"/>
      <c r="VMM51" s="13"/>
      <c r="VMN51" s="13"/>
      <c r="VMO51" s="13"/>
      <c r="VMP51" s="13"/>
      <c r="VMQ51" s="13"/>
      <c r="VMR51" s="13"/>
      <c r="VMS51" s="13"/>
      <c r="VMT51" s="13"/>
      <c r="VMU51" s="13"/>
      <c r="VMV51" s="13"/>
      <c r="VMW51" s="13"/>
      <c r="VMX51" s="13"/>
      <c r="VMY51" s="13"/>
      <c r="VMZ51" s="13"/>
      <c r="VNA51" s="13"/>
      <c r="VNB51" s="13"/>
      <c r="VNC51" s="13"/>
      <c r="VND51" s="13"/>
      <c r="VNE51" s="13"/>
      <c r="VNF51" s="13"/>
      <c r="VNG51" s="13"/>
      <c r="VNH51" s="13"/>
      <c r="VNI51" s="13"/>
      <c r="VNJ51" s="13"/>
      <c r="VNK51" s="13"/>
      <c r="VNL51" s="13"/>
      <c r="VNM51" s="13"/>
      <c r="VNN51" s="13"/>
      <c r="VNO51" s="13"/>
      <c r="VNP51" s="13"/>
      <c r="VNQ51" s="13"/>
      <c r="VNR51" s="13"/>
      <c r="VNS51" s="13"/>
      <c r="VNT51" s="13"/>
      <c r="VNU51" s="13"/>
      <c r="VNV51" s="13"/>
      <c r="VNW51" s="13"/>
      <c r="VNX51" s="13"/>
      <c r="VNY51" s="13"/>
      <c r="VNZ51" s="13"/>
      <c r="VOA51" s="13"/>
      <c r="VOB51" s="13"/>
      <c r="VOC51" s="13"/>
      <c r="VOD51" s="13"/>
      <c r="VOE51" s="13"/>
      <c r="VOF51" s="13"/>
      <c r="VOG51" s="13"/>
      <c r="VOH51" s="13"/>
      <c r="VOI51" s="13"/>
      <c r="VOJ51" s="13"/>
      <c r="VOK51" s="13"/>
      <c r="VOL51" s="13"/>
      <c r="VOM51" s="13"/>
      <c r="VON51" s="13"/>
      <c r="VOO51" s="13"/>
      <c r="VOP51" s="13"/>
      <c r="VOQ51" s="13"/>
      <c r="VOR51" s="13"/>
      <c r="VOS51" s="13"/>
      <c r="VOT51" s="13"/>
      <c r="VOU51" s="13"/>
      <c r="VOV51" s="13"/>
      <c r="VOW51" s="13"/>
      <c r="VOX51" s="13"/>
      <c r="VOY51" s="13"/>
      <c r="VOZ51" s="13"/>
      <c r="VPA51" s="13"/>
      <c r="VPB51" s="13"/>
      <c r="VPC51" s="13"/>
      <c r="VPD51" s="13"/>
      <c r="VPE51" s="13"/>
      <c r="VPF51" s="13"/>
      <c r="VPG51" s="13"/>
      <c r="VPH51" s="13"/>
      <c r="VPI51" s="13"/>
      <c r="VPJ51" s="13"/>
      <c r="VPK51" s="13"/>
      <c r="VPL51" s="13"/>
      <c r="VPM51" s="13"/>
      <c r="VPN51" s="13"/>
      <c r="VPO51" s="13"/>
      <c r="VPP51" s="13"/>
      <c r="VPQ51" s="13"/>
      <c r="VPR51" s="13"/>
      <c r="VPS51" s="13"/>
      <c r="VPT51" s="13"/>
      <c r="VPU51" s="13"/>
      <c r="VPV51" s="13"/>
      <c r="VPW51" s="13"/>
      <c r="VPX51" s="13"/>
      <c r="VPY51" s="13"/>
      <c r="VPZ51" s="13"/>
      <c r="VQA51" s="13"/>
      <c r="VQB51" s="13"/>
      <c r="VQC51" s="13"/>
      <c r="VQD51" s="13"/>
      <c r="VQE51" s="13"/>
      <c r="VQF51" s="13"/>
      <c r="VQG51" s="13"/>
      <c r="VQH51" s="13"/>
      <c r="VQI51" s="13"/>
      <c r="VQJ51" s="13"/>
      <c r="VQK51" s="13"/>
      <c r="VQL51" s="13"/>
      <c r="VQM51" s="13"/>
      <c r="VQN51" s="13"/>
      <c r="VQO51" s="13"/>
      <c r="VQP51" s="13"/>
      <c r="VQQ51" s="13"/>
      <c r="VQR51" s="13"/>
      <c r="VQS51" s="13"/>
      <c r="VQT51" s="13"/>
      <c r="VQU51" s="13"/>
      <c r="VQV51" s="13"/>
      <c r="VQW51" s="13"/>
      <c r="VQX51" s="13"/>
      <c r="VQY51" s="13"/>
      <c r="VQZ51" s="13"/>
      <c r="VRA51" s="13"/>
      <c r="VRB51" s="13"/>
      <c r="VRC51" s="13"/>
      <c r="VRD51" s="13"/>
      <c r="VRE51" s="13"/>
      <c r="VRF51" s="13"/>
      <c r="VRG51" s="13"/>
      <c r="VRH51" s="13"/>
      <c r="VRI51" s="13"/>
      <c r="VRJ51" s="13"/>
      <c r="VRK51" s="13"/>
      <c r="VRL51" s="13"/>
      <c r="VRM51" s="13"/>
      <c r="VRN51" s="13"/>
      <c r="VRO51" s="13"/>
      <c r="VRP51" s="13"/>
      <c r="VRQ51" s="13"/>
      <c r="VRR51" s="13"/>
      <c r="VRS51" s="13"/>
      <c r="VRT51" s="13"/>
      <c r="VRU51" s="13"/>
      <c r="VRV51" s="13"/>
      <c r="VRW51" s="13"/>
      <c r="VRX51" s="13"/>
      <c r="VRY51" s="13"/>
      <c r="VRZ51" s="13"/>
      <c r="VSA51" s="13"/>
      <c r="VSB51" s="13"/>
      <c r="VSC51" s="13"/>
      <c r="VSD51" s="13"/>
      <c r="VSE51" s="13"/>
      <c r="VSF51" s="13"/>
      <c r="VSG51" s="13"/>
      <c r="VSH51" s="13"/>
      <c r="VSI51" s="13"/>
      <c r="VSJ51" s="13"/>
      <c r="VSK51" s="13"/>
      <c r="VSL51" s="13"/>
      <c r="VSM51" s="13"/>
      <c r="VSN51" s="13"/>
      <c r="VSO51" s="13"/>
      <c r="VSP51" s="13"/>
      <c r="VSQ51" s="13"/>
      <c r="VSR51" s="13"/>
      <c r="VSS51" s="13"/>
      <c r="VST51" s="13"/>
      <c r="VSU51" s="13"/>
      <c r="VSV51" s="13"/>
      <c r="VSW51" s="13"/>
      <c r="VSX51" s="13"/>
      <c r="VSY51" s="13"/>
      <c r="VSZ51" s="13"/>
      <c r="VTA51" s="13"/>
      <c r="VTB51" s="13"/>
      <c r="VTC51" s="13"/>
      <c r="VTD51" s="13"/>
      <c r="VTE51" s="13"/>
      <c r="VTF51" s="13"/>
      <c r="VTG51" s="13"/>
      <c r="VTH51" s="13"/>
      <c r="VTI51" s="13"/>
      <c r="VTJ51" s="13"/>
      <c r="VTK51" s="13"/>
      <c r="VTL51" s="13"/>
      <c r="VTM51" s="13"/>
      <c r="VTN51" s="13"/>
      <c r="VTO51" s="13"/>
      <c r="VTP51" s="13"/>
      <c r="VTQ51" s="13"/>
      <c r="VTR51" s="13"/>
      <c r="VTS51" s="13"/>
      <c r="VTT51" s="13"/>
      <c r="VTU51" s="13"/>
      <c r="VTV51" s="13"/>
      <c r="VTW51" s="13"/>
      <c r="VTX51" s="13"/>
      <c r="VTY51" s="13"/>
      <c r="VTZ51" s="13"/>
      <c r="VUA51" s="13"/>
      <c r="VUB51" s="13"/>
      <c r="VUC51" s="13"/>
      <c r="VUD51" s="13"/>
      <c r="VUE51" s="13"/>
      <c r="VUF51" s="13"/>
      <c r="VUG51" s="13"/>
      <c r="VUH51" s="13"/>
      <c r="VUI51" s="13"/>
      <c r="VUJ51" s="13"/>
      <c r="VUK51" s="13"/>
      <c r="VUL51" s="13"/>
      <c r="VUM51" s="13"/>
      <c r="VUN51" s="13"/>
      <c r="VUO51" s="13"/>
      <c r="VUP51" s="13"/>
      <c r="VUQ51" s="13"/>
      <c r="VUR51" s="13"/>
      <c r="VUS51" s="13"/>
      <c r="VUT51" s="13"/>
      <c r="VUU51" s="13"/>
      <c r="VUV51" s="13"/>
      <c r="VUW51" s="13"/>
      <c r="VUX51" s="13"/>
      <c r="VUY51" s="13"/>
      <c r="VUZ51" s="13"/>
      <c r="VVA51" s="13"/>
      <c r="VVB51" s="13"/>
      <c r="VVC51" s="13"/>
      <c r="VVD51" s="13"/>
      <c r="VVE51" s="13"/>
      <c r="VVF51" s="13"/>
      <c r="VVG51" s="13"/>
      <c r="VVH51" s="13"/>
      <c r="VVI51" s="13"/>
      <c r="VVJ51" s="13"/>
      <c r="VVK51" s="13"/>
      <c r="VVL51" s="13"/>
      <c r="VVM51" s="13"/>
      <c r="VVN51" s="13"/>
      <c r="VVO51" s="13"/>
      <c r="VVP51" s="13"/>
      <c r="VVQ51" s="13"/>
      <c r="VVR51" s="13"/>
      <c r="VVS51" s="13"/>
      <c r="VVT51" s="13"/>
      <c r="VVU51" s="13"/>
      <c r="VVV51" s="13"/>
      <c r="VVW51" s="13"/>
      <c r="VVX51" s="13"/>
      <c r="VVY51" s="13"/>
      <c r="VVZ51" s="13"/>
      <c r="VWA51" s="13"/>
      <c r="VWB51" s="13"/>
      <c r="VWC51" s="13"/>
      <c r="VWD51" s="13"/>
      <c r="VWE51" s="13"/>
      <c r="VWF51" s="13"/>
      <c r="VWG51" s="13"/>
      <c r="VWH51" s="13"/>
      <c r="VWI51" s="13"/>
      <c r="VWJ51" s="13"/>
      <c r="VWK51" s="13"/>
      <c r="VWL51" s="13"/>
      <c r="VWM51" s="13"/>
      <c r="VWN51" s="13"/>
      <c r="VWO51" s="13"/>
      <c r="VWP51" s="13"/>
      <c r="VWQ51" s="13"/>
      <c r="VWR51" s="13"/>
      <c r="VWS51" s="13"/>
      <c r="VWT51" s="13"/>
      <c r="VWU51" s="13"/>
      <c r="VWV51" s="13"/>
      <c r="VWW51" s="13"/>
      <c r="VWX51" s="13"/>
      <c r="VWY51" s="13"/>
      <c r="VWZ51" s="13"/>
      <c r="VXA51" s="13"/>
      <c r="VXB51" s="13"/>
      <c r="VXC51" s="13"/>
      <c r="VXD51" s="13"/>
      <c r="VXE51" s="13"/>
      <c r="VXF51" s="13"/>
      <c r="VXG51" s="13"/>
      <c r="VXH51" s="13"/>
      <c r="VXI51" s="13"/>
      <c r="VXJ51" s="13"/>
      <c r="VXK51" s="13"/>
      <c r="VXL51" s="13"/>
      <c r="VXM51" s="13"/>
      <c r="VXN51" s="13"/>
      <c r="VXO51" s="13"/>
      <c r="VXP51" s="13"/>
      <c r="VXQ51" s="13"/>
      <c r="VXR51" s="13"/>
      <c r="VXS51" s="13"/>
      <c r="VXT51" s="13"/>
      <c r="VXU51" s="13"/>
      <c r="VXV51" s="13"/>
      <c r="VXW51" s="13"/>
      <c r="VXX51" s="13"/>
      <c r="VXY51" s="13"/>
      <c r="VXZ51" s="13"/>
      <c r="VYA51" s="13"/>
      <c r="VYB51" s="13"/>
      <c r="VYC51" s="13"/>
      <c r="VYD51" s="13"/>
      <c r="VYE51" s="13"/>
      <c r="VYF51" s="13"/>
      <c r="VYG51" s="13"/>
      <c r="VYH51" s="13"/>
      <c r="VYI51" s="13"/>
      <c r="VYJ51" s="13"/>
      <c r="VYK51" s="13"/>
      <c r="VYL51" s="13"/>
      <c r="VYM51" s="13"/>
      <c r="VYN51" s="13"/>
      <c r="VYO51" s="13"/>
      <c r="VYP51" s="13"/>
      <c r="VYQ51" s="13"/>
      <c r="VYR51" s="13"/>
      <c r="VYS51" s="13"/>
      <c r="VYT51" s="13"/>
      <c r="VYU51" s="13"/>
      <c r="VYV51" s="13"/>
      <c r="VYW51" s="13"/>
      <c r="VYX51" s="13"/>
      <c r="VYY51" s="13"/>
      <c r="VYZ51" s="13"/>
      <c r="VZA51" s="13"/>
      <c r="VZB51" s="13"/>
      <c r="VZC51" s="13"/>
      <c r="VZD51" s="13"/>
      <c r="VZE51" s="13"/>
      <c r="VZF51" s="13"/>
      <c r="VZG51" s="13"/>
      <c r="VZH51" s="13"/>
      <c r="VZI51" s="13"/>
      <c r="VZJ51" s="13"/>
      <c r="VZK51" s="13"/>
      <c r="VZL51" s="13"/>
      <c r="VZM51" s="13"/>
      <c r="VZN51" s="13"/>
      <c r="VZO51" s="13"/>
      <c r="VZP51" s="13"/>
      <c r="VZQ51" s="13"/>
      <c r="VZR51" s="13"/>
      <c r="VZS51" s="13"/>
      <c r="VZT51" s="13"/>
      <c r="VZU51" s="13"/>
      <c r="VZV51" s="13"/>
      <c r="VZW51" s="13"/>
      <c r="VZX51" s="13"/>
      <c r="VZY51" s="13"/>
      <c r="VZZ51" s="13"/>
      <c r="WAA51" s="13"/>
      <c r="WAB51" s="13"/>
      <c r="WAC51" s="13"/>
      <c r="WAD51" s="13"/>
      <c r="WAE51" s="13"/>
      <c r="WAF51" s="13"/>
      <c r="WAG51" s="13"/>
      <c r="WAH51" s="13"/>
      <c r="WAI51" s="13"/>
      <c r="WAJ51" s="13"/>
      <c r="WAK51" s="13"/>
      <c r="WAL51" s="13"/>
      <c r="WAM51" s="13"/>
      <c r="WAN51" s="13"/>
      <c r="WAO51" s="13"/>
      <c r="WAP51" s="13"/>
      <c r="WAQ51" s="13"/>
      <c r="WAR51" s="13"/>
      <c r="WAS51" s="13"/>
      <c r="WAT51" s="13"/>
      <c r="WAU51" s="13"/>
      <c r="WAV51" s="13"/>
      <c r="WAW51" s="13"/>
      <c r="WAX51" s="13"/>
      <c r="WAY51" s="13"/>
      <c r="WAZ51" s="13"/>
      <c r="WBA51" s="13"/>
      <c r="WBB51" s="13"/>
      <c r="WBC51" s="13"/>
      <c r="WBD51" s="13"/>
      <c r="WBE51" s="13"/>
      <c r="WBF51" s="13"/>
      <c r="WBG51" s="13"/>
      <c r="WBH51" s="13"/>
      <c r="WBI51" s="13"/>
      <c r="WBJ51" s="13"/>
      <c r="WBK51" s="13"/>
      <c r="WBL51" s="13"/>
      <c r="WBM51" s="13"/>
      <c r="WBN51" s="13"/>
      <c r="WBO51" s="13"/>
      <c r="WBP51" s="13"/>
      <c r="WBQ51" s="13"/>
      <c r="WBR51" s="13"/>
      <c r="WBS51" s="13"/>
      <c r="WBT51" s="13"/>
      <c r="WBU51" s="13"/>
      <c r="WBV51" s="13"/>
      <c r="WBW51" s="13"/>
      <c r="WBX51" s="13"/>
      <c r="WBY51" s="13"/>
      <c r="WBZ51" s="13"/>
      <c r="WCA51" s="13"/>
      <c r="WCB51" s="13"/>
      <c r="WCC51" s="13"/>
      <c r="WCD51" s="13"/>
      <c r="WCE51" s="13"/>
      <c r="WCF51" s="13"/>
      <c r="WCG51" s="13"/>
      <c r="WCH51" s="13"/>
      <c r="WCI51" s="13"/>
      <c r="WCJ51" s="13"/>
      <c r="WCK51" s="13"/>
      <c r="WCL51" s="13"/>
      <c r="WCM51" s="13"/>
      <c r="WCN51" s="13"/>
      <c r="WCO51" s="13"/>
      <c r="WCP51" s="13"/>
      <c r="WCQ51" s="13"/>
      <c r="WCR51" s="13"/>
      <c r="WCS51" s="13"/>
      <c r="WCT51" s="13"/>
      <c r="WCU51" s="13"/>
      <c r="WCV51" s="13"/>
      <c r="WCW51" s="13"/>
      <c r="WCX51" s="13"/>
      <c r="WCY51" s="13"/>
      <c r="WCZ51" s="13"/>
      <c r="WDA51" s="13"/>
      <c r="WDB51" s="13"/>
      <c r="WDC51" s="13"/>
      <c r="WDD51" s="13"/>
      <c r="WDE51" s="13"/>
      <c r="WDF51" s="13"/>
      <c r="WDG51" s="13"/>
      <c r="WDH51" s="13"/>
      <c r="WDI51" s="13"/>
      <c r="WDJ51" s="13"/>
      <c r="WDK51" s="13"/>
      <c r="WDL51" s="13"/>
      <c r="WDM51" s="13"/>
      <c r="WDN51" s="13"/>
      <c r="WDO51" s="13"/>
      <c r="WDP51" s="13"/>
      <c r="WDQ51" s="13"/>
      <c r="WDR51" s="13"/>
      <c r="WDS51" s="13"/>
      <c r="WDT51" s="13"/>
      <c r="WDU51" s="13"/>
      <c r="WDV51" s="13"/>
      <c r="WDW51" s="13"/>
      <c r="WDX51" s="13"/>
      <c r="WDY51" s="13"/>
      <c r="WDZ51" s="13"/>
      <c r="WEA51" s="13"/>
      <c r="WEB51" s="13"/>
      <c r="WEC51" s="13"/>
      <c r="WED51" s="13"/>
      <c r="WEE51" s="13"/>
      <c r="WEF51" s="13"/>
      <c r="WEG51" s="13"/>
      <c r="WEH51" s="13"/>
      <c r="WEI51" s="13"/>
      <c r="WEJ51" s="13"/>
      <c r="WEK51" s="13"/>
      <c r="WEL51" s="13"/>
      <c r="WEM51" s="13"/>
      <c r="WEN51" s="13"/>
      <c r="WEO51" s="13"/>
      <c r="WEP51" s="13"/>
      <c r="WEQ51" s="13"/>
      <c r="WER51" s="13"/>
      <c r="WES51" s="13"/>
      <c r="WET51" s="13"/>
      <c r="WEU51" s="13"/>
      <c r="WEV51" s="13"/>
      <c r="WEW51" s="13"/>
      <c r="WEX51" s="13"/>
      <c r="WEY51" s="13"/>
      <c r="WEZ51" s="13"/>
      <c r="WFA51" s="13"/>
      <c r="WFB51" s="13"/>
      <c r="WFC51" s="13"/>
      <c r="WFD51" s="13"/>
      <c r="WFE51" s="13"/>
      <c r="WFF51" s="13"/>
      <c r="WFG51" s="13"/>
      <c r="WFH51" s="13"/>
      <c r="WFI51" s="13"/>
      <c r="WFJ51" s="13"/>
      <c r="WFK51" s="13"/>
      <c r="WFL51" s="13"/>
      <c r="WFM51" s="13"/>
      <c r="WFN51" s="13"/>
      <c r="WFO51" s="13"/>
      <c r="WFP51" s="13"/>
      <c r="WFQ51" s="13"/>
      <c r="WFR51" s="13"/>
      <c r="WFS51" s="13"/>
      <c r="WFT51" s="13"/>
      <c r="WFU51" s="13"/>
      <c r="WFV51" s="13"/>
      <c r="WFW51" s="13"/>
      <c r="WFX51" s="13"/>
      <c r="WFY51" s="13"/>
      <c r="WFZ51" s="13"/>
      <c r="WGA51" s="13"/>
      <c r="WGB51" s="13"/>
      <c r="WGC51" s="13"/>
      <c r="WGD51" s="13"/>
      <c r="WGE51" s="13"/>
      <c r="WGF51" s="13"/>
      <c r="WGG51" s="13"/>
      <c r="WGH51" s="13"/>
      <c r="WGI51" s="13"/>
      <c r="WGJ51" s="13"/>
      <c r="WGK51" s="13"/>
      <c r="WGL51" s="13"/>
      <c r="WGM51" s="13"/>
      <c r="WGN51" s="13"/>
      <c r="WGO51" s="13"/>
      <c r="WGP51" s="13"/>
      <c r="WGQ51" s="13"/>
      <c r="WGR51" s="13"/>
      <c r="WGS51" s="13"/>
      <c r="WGT51" s="13"/>
      <c r="WGU51" s="13"/>
      <c r="WGV51" s="13"/>
      <c r="WGW51" s="13"/>
      <c r="WGX51" s="13"/>
      <c r="WGY51" s="13"/>
      <c r="WGZ51" s="13"/>
      <c r="WHA51" s="13"/>
      <c r="WHB51" s="13"/>
      <c r="WHC51" s="13"/>
      <c r="WHD51" s="13"/>
      <c r="WHE51" s="13"/>
      <c r="WHF51" s="13"/>
      <c r="WHG51" s="13"/>
      <c r="WHH51" s="13"/>
      <c r="WHI51" s="13"/>
      <c r="WHJ51" s="13"/>
      <c r="WHK51" s="13"/>
      <c r="WHL51" s="13"/>
      <c r="WHM51" s="13"/>
      <c r="WHN51" s="13"/>
      <c r="WHO51" s="13"/>
      <c r="WHP51" s="13"/>
      <c r="WHQ51" s="13"/>
      <c r="WHR51" s="13"/>
      <c r="WHS51" s="13"/>
      <c r="WHT51" s="13"/>
      <c r="WHU51" s="13"/>
      <c r="WHV51" s="13"/>
      <c r="WHW51" s="13"/>
      <c r="WHX51" s="13"/>
      <c r="WHY51" s="13"/>
      <c r="WHZ51" s="13"/>
      <c r="WIA51" s="13"/>
      <c r="WIB51" s="13"/>
      <c r="WIC51" s="13"/>
      <c r="WID51" s="13"/>
      <c r="WIE51" s="13"/>
      <c r="WIF51" s="13"/>
      <c r="WIG51" s="13"/>
      <c r="WIH51" s="13"/>
      <c r="WII51" s="13"/>
      <c r="WIJ51" s="13"/>
      <c r="WIK51" s="13"/>
      <c r="WIL51" s="13"/>
      <c r="WIM51" s="13"/>
      <c r="WIN51" s="13"/>
      <c r="WIO51" s="13"/>
      <c r="WIP51" s="13"/>
      <c r="WIQ51" s="13"/>
      <c r="WIR51" s="13"/>
      <c r="WIS51" s="13"/>
      <c r="WIT51" s="13"/>
      <c r="WIU51" s="13"/>
      <c r="WIV51" s="13"/>
      <c r="WIW51" s="13"/>
      <c r="WIX51" s="13"/>
      <c r="WIY51" s="13"/>
      <c r="WIZ51" s="13"/>
      <c r="WJA51" s="13"/>
      <c r="WJB51" s="13"/>
      <c r="WJC51" s="13"/>
      <c r="WJD51" s="13"/>
      <c r="WJE51" s="13"/>
      <c r="WJF51" s="13"/>
      <c r="WJG51" s="13"/>
      <c r="WJH51" s="13"/>
      <c r="WJI51" s="13"/>
      <c r="WJJ51" s="13"/>
      <c r="WJK51" s="13"/>
      <c r="WJL51" s="13"/>
      <c r="WJM51" s="13"/>
      <c r="WJN51" s="13"/>
      <c r="WJO51" s="13"/>
      <c r="WJP51" s="13"/>
      <c r="WJQ51" s="13"/>
      <c r="WJR51" s="13"/>
      <c r="WJS51" s="13"/>
      <c r="WJT51" s="13"/>
      <c r="WJU51" s="13"/>
      <c r="WJV51" s="13"/>
      <c r="WJW51" s="13"/>
      <c r="WJX51" s="13"/>
      <c r="WJY51" s="13"/>
      <c r="WJZ51" s="13"/>
      <c r="WKA51" s="13"/>
      <c r="WKB51" s="13"/>
      <c r="WKC51" s="13"/>
      <c r="WKD51" s="13"/>
      <c r="WKE51" s="13"/>
      <c r="WKF51" s="13"/>
      <c r="WKG51" s="13"/>
      <c r="WKH51" s="13"/>
      <c r="WKI51" s="13"/>
      <c r="WKJ51" s="13"/>
      <c r="WKK51" s="13"/>
      <c r="WKL51" s="13"/>
      <c r="WKM51" s="13"/>
      <c r="WKN51" s="13"/>
      <c r="WKO51" s="13"/>
      <c r="WKP51" s="13"/>
      <c r="WKQ51" s="13"/>
      <c r="WKR51" s="13"/>
      <c r="WKS51" s="13"/>
      <c r="WKT51" s="13"/>
      <c r="WKU51" s="13"/>
      <c r="WKV51" s="13"/>
      <c r="WKW51" s="13"/>
      <c r="WKX51" s="13"/>
      <c r="WKY51" s="13"/>
      <c r="WKZ51" s="13"/>
      <c r="WLA51" s="13"/>
      <c r="WLB51" s="13"/>
      <c r="WLC51" s="13"/>
      <c r="WLD51" s="13"/>
      <c r="WLE51" s="13"/>
      <c r="WLF51" s="13"/>
      <c r="WLG51" s="13"/>
      <c r="WLH51" s="13"/>
      <c r="WLI51" s="13"/>
      <c r="WLJ51" s="13"/>
      <c r="WLK51" s="13"/>
      <c r="WLL51" s="13"/>
      <c r="WLM51" s="13"/>
      <c r="WLN51" s="13"/>
      <c r="WLO51" s="13"/>
      <c r="WLP51" s="13"/>
      <c r="WLQ51" s="13"/>
      <c r="WLR51" s="13"/>
      <c r="WLS51" s="13"/>
      <c r="WLT51" s="13"/>
      <c r="WLU51" s="13"/>
      <c r="WLV51" s="13"/>
      <c r="WLW51" s="13"/>
      <c r="WLX51" s="13"/>
      <c r="WLY51" s="13"/>
      <c r="WLZ51" s="13"/>
      <c r="WMA51" s="13"/>
      <c r="WMB51" s="13"/>
      <c r="WMC51" s="13"/>
      <c r="WMD51" s="13"/>
      <c r="WME51" s="13"/>
      <c r="WMF51" s="13"/>
      <c r="WMG51" s="13"/>
      <c r="WMH51" s="13"/>
      <c r="WMI51" s="13"/>
      <c r="WMJ51" s="13"/>
      <c r="WMK51" s="13"/>
      <c r="WML51" s="13"/>
      <c r="WMM51" s="13"/>
      <c r="WMN51" s="13"/>
      <c r="WMO51" s="13"/>
      <c r="WMP51" s="13"/>
      <c r="WMQ51" s="13"/>
      <c r="WMR51" s="13"/>
      <c r="WMS51" s="13"/>
      <c r="WMT51" s="13"/>
      <c r="WMU51" s="13"/>
      <c r="WMV51" s="13"/>
      <c r="WMW51" s="13"/>
      <c r="WMX51" s="13"/>
      <c r="WMY51" s="13"/>
      <c r="WMZ51" s="13"/>
      <c r="WNA51" s="13"/>
      <c r="WNB51" s="13"/>
      <c r="WNC51" s="13"/>
      <c r="WND51" s="13"/>
      <c r="WNE51" s="13"/>
      <c r="WNF51" s="13"/>
      <c r="WNG51" s="13"/>
      <c r="WNH51" s="13"/>
      <c r="WNI51" s="13"/>
      <c r="WNJ51" s="13"/>
      <c r="WNK51" s="13"/>
      <c r="WNL51" s="13"/>
      <c r="WNM51" s="13"/>
      <c r="WNN51" s="13"/>
      <c r="WNO51" s="13"/>
      <c r="WNP51" s="13"/>
      <c r="WNQ51" s="13"/>
      <c r="WNR51" s="13"/>
      <c r="WNS51" s="13"/>
      <c r="WNT51" s="13"/>
      <c r="WNU51" s="13"/>
      <c r="WNV51" s="13"/>
      <c r="WNW51" s="13"/>
      <c r="WNX51" s="13"/>
      <c r="WNY51" s="13"/>
      <c r="WNZ51" s="13"/>
      <c r="WOA51" s="13"/>
      <c r="WOB51" s="13"/>
      <c r="WOC51" s="13"/>
      <c r="WOD51" s="13"/>
      <c r="WOE51" s="13"/>
      <c r="WOF51" s="13"/>
      <c r="WOG51" s="13"/>
      <c r="WOH51" s="13"/>
      <c r="WOI51" s="13"/>
      <c r="WOJ51" s="13"/>
      <c r="WOK51" s="13"/>
      <c r="WOL51" s="13"/>
      <c r="WOM51" s="13"/>
      <c r="WON51" s="13"/>
      <c r="WOO51" s="13"/>
      <c r="WOP51" s="13"/>
      <c r="WOQ51" s="13"/>
      <c r="WOR51" s="13"/>
      <c r="WOS51" s="13"/>
      <c r="WOT51" s="13"/>
      <c r="WOU51" s="13"/>
      <c r="WOV51" s="13"/>
      <c r="WOW51" s="13"/>
      <c r="WOX51" s="13"/>
      <c r="WOY51" s="13"/>
      <c r="WOZ51" s="13"/>
      <c r="WPA51" s="13"/>
      <c r="WPB51" s="13"/>
      <c r="WPC51" s="13"/>
      <c r="WPD51" s="13"/>
      <c r="WPE51" s="13"/>
      <c r="WPF51" s="13"/>
      <c r="WPG51" s="13"/>
      <c r="WPH51" s="13"/>
      <c r="WPI51" s="13"/>
      <c r="WPJ51" s="13"/>
      <c r="WPK51" s="13"/>
      <c r="WPL51" s="13"/>
      <c r="WPM51" s="13"/>
      <c r="WPN51" s="13"/>
      <c r="WPO51" s="13"/>
      <c r="WPP51" s="13"/>
      <c r="WPQ51" s="13"/>
      <c r="WPR51" s="13"/>
      <c r="WPS51" s="13"/>
      <c r="WPT51" s="13"/>
      <c r="WPU51" s="13"/>
      <c r="WPV51" s="13"/>
      <c r="WPW51" s="13"/>
      <c r="WPX51" s="13"/>
      <c r="WPY51" s="13"/>
      <c r="WPZ51" s="13"/>
      <c r="WQA51" s="13"/>
      <c r="WQB51" s="13"/>
      <c r="WQC51" s="13"/>
      <c r="WQD51" s="13"/>
      <c r="WQE51" s="13"/>
      <c r="WQF51" s="13"/>
      <c r="WQG51" s="13"/>
      <c r="WQH51" s="13"/>
      <c r="WQI51" s="13"/>
      <c r="WQJ51" s="13"/>
      <c r="WQK51" s="13"/>
      <c r="WQL51" s="13"/>
      <c r="WQM51" s="13"/>
      <c r="WQN51" s="13"/>
      <c r="WQO51" s="13"/>
      <c r="WQP51" s="13"/>
      <c r="WQQ51" s="13"/>
      <c r="WQR51" s="13"/>
      <c r="WQS51" s="13"/>
      <c r="WQT51" s="13"/>
      <c r="WQU51" s="13"/>
      <c r="WQV51" s="13"/>
      <c r="WQW51" s="13"/>
      <c r="WQX51" s="13"/>
      <c r="WQY51" s="13"/>
      <c r="WQZ51" s="13"/>
      <c r="WRA51" s="13"/>
      <c r="WRB51" s="13"/>
      <c r="WRC51" s="13"/>
      <c r="WRD51" s="13"/>
      <c r="WRE51" s="13"/>
      <c r="WRF51" s="13"/>
      <c r="WRG51" s="13"/>
      <c r="WRH51" s="13"/>
      <c r="WRI51" s="13"/>
      <c r="WRJ51" s="13"/>
      <c r="WRK51" s="13"/>
      <c r="WRL51" s="13"/>
      <c r="WRM51" s="13"/>
      <c r="WRN51" s="13"/>
      <c r="WRO51" s="13"/>
      <c r="WRP51" s="13"/>
      <c r="WRQ51" s="13"/>
      <c r="WRR51" s="13"/>
      <c r="WRS51" s="13"/>
      <c r="WRT51" s="13"/>
      <c r="WRU51" s="13"/>
      <c r="WRV51" s="13"/>
      <c r="WRW51" s="13"/>
      <c r="WRX51" s="13"/>
      <c r="WRY51" s="13"/>
      <c r="WRZ51" s="13"/>
      <c r="WSA51" s="13"/>
      <c r="WSB51" s="13"/>
      <c r="WSC51" s="13"/>
      <c r="WSD51" s="13"/>
      <c r="WSE51" s="13"/>
      <c r="WSF51" s="13"/>
      <c r="WSG51" s="13"/>
      <c r="WSH51" s="13"/>
      <c r="WSI51" s="13"/>
      <c r="WSJ51" s="13"/>
      <c r="WSK51" s="13"/>
      <c r="WSL51" s="13"/>
      <c r="WSM51" s="13"/>
      <c r="WSN51" s="13"/>
      <c r="WSO51" s="13"/>
      <c r="WSP51" s="13"/>
      <c r="WSQ51" s="13"/>
      <c r="WSR51" s="13"/>
      <c r="WSS51" s="13"/>
      <c r="WST51" s="13"/>
      <c r="WSU51" s="13"/>
      <c r="WSV51" s="13"/>
      <c r="WSW51" s="13"/>
      <c r="WSX51" s="13"/>
      <c r="WSY51" s="13"/>
      <c r="WSZ51" s="13"/>
      <c r="WTA51" s="13"/>
      <c r="WTB51" s="13"/>
      <c r="WTC51" s="13"/>
      <c r="WTD51" s="13"/>
      <c r="WTE51" s="13"/>
      <c r="WTF51" s="13"/>
      <c r="WTG51" s="13"/>
      <c r="WTH51" s="13"/>
      <c r="WTI51" s="13"/>
      <c r="WTJ51" s="13"/>
      <c r="WTK51" s="13"/>
      <c r="WTL51" s="13"/>
      <c r="WTM51" s="13"/>
      <c r="WTN51" s="13"/>
      <c r="WTO51" s="13"/>
      <c r="WTP51" s="13"/>
      <c r="WTQ51" s="13"/>
      <c r="WTR51" s="13"/>
      <c r="WTS51" s="13"/>
      <c r="WTT51" s="13"/>
      <c r="WTU51" s="13"/>
      <c r="WTV51" s="13"/>
      <c r="WTW51" s="13"/>
      <c r="WTX51" s="13"/>
    </row>
    <row r="52" spans="1:16092" ht="15.75" customHeight="1" x14ac:dyDescent="0.2">
      <c r="A52" s="116" t="s">
        <v>370</v>
      </c>
      <c r="B52" s="94" t="s">
        <v>122</v>
      </c>
      <c r="C52" s="107" t="s">
        <v>769</v>
      </c>
      <c r="D52" s="107"/>
      <c r="E52" s="61">
        <f>'Raw Datas'!C94</f>
        <v>60.110000000000007</v>
      </c>
      <c r="F52" s="9">
        <f>'Raw Datas'!D94</f>
        <v>223.86981666666668</v>
      </c>
      <c r="G52" s="9">
        <f>'Raw Datas'!E94</f>
        <v>28.000933333333329</v>
      </c>
      <c r="H52" s="9">
        <f>'Raw Datas'!F94</f>
        <v>162.63759999999999</v>
      </c>
      <c r="I52" s="9">
        <f>'Raw Datas'!G94</f>
        <v>122.10464999999999</v>
      </c>
      <c r="J52" s="9">
        <f>'Raw Datas'!H94</f>
        <v>143.19369999999998</v>
      </c>
      <c r="K52" s="9">
        <f>'Raw Datas'!I94</f>
        <v>551.66066666666666</v>
      </c>
      <c r="L52" s="9">
        <f>'Raw Datas'!J94</f>
        <v>214.54028333333335</v>
      </c>
      <c r="M52" s="9">
        <f>'Raw Datas'!K94</f>
        <v>431.0721166666666</v>
      </c>
      <c r="N52" s="9">
        <f>'Raw Datas'!L94</f>
        <v>71.09086666666667</v>
      </c>
      <c r="O52" s="9">
        <f>'Raw Datas'!M94</f>
        <v>197.91578333333334</v>
      </c>
      <c r="P52" s="9">
        <f>'Raw Datas'!N94</f>
        <v>50.422766666666668</v>
      </c>
      <c r="Q52" s="9">
        <f>'Raw Datas'!O94</f>
        <v>246.52026666666669</v>
      </c>
      <c r="R52" s="9">
        <f>'Raw Datas'!P94</f>
        <v>165.83494999999999</v>
      </c>
      <c r="S52" s="9">
        <f>'Raw Datas'!Q94</f>
        <v>98.153166666666664</v>
      </c>
      <c r="T52" s="9">
        <f>'Raw Datas'!R94</f>
        <v>209.00958333333332</v>
      </c>
      <c r="U52" s="9">
        <f>'Raw Datas'!S94</f>
        <v>231.97386666666668</v>
      </c>
      <c r="V52" s="9">
        <f>'Raw Datas'!T94</f>
        <v>46.342333333333336</v>
      </c>
      <c r="W52" s="9">
        <f>'Raw Datas'!U94</f>
        <v>38.072733333333332</v>
      </c>
      <c r="X52" s="9">
        <f>'Raw Datas'!V94</f>
        <v>61.690666666666665</v>
      </c>
      <c r="Y52" s="9">
        <f>'Raw Datas'!W94</f>
        <v>128.68354285714287</v>
      </c>
      <c r="Z52" s="9">
        <f>'Raw Datas'!X94</f>
        <v>43.80348</v>
      </c>
      <c r="AA52" s="9">
        <f>'Raw Datas'!Y94</f>
        <v>308.68146666666667</v>
      </c>
      <c r="AB52" s="9">
        <f>'Raw Datas'!Z94</f>
        <v>157.71106</v>
      </c>
      <c r="AC52" s="9">
        <f>'Raw Datas'!AA94</f>
        <v>198.07669999999999</v>
      </c>
      <c r="AD52" s="9">
        <f>'Raw Datas'!AB94</f>
        <v>273.81428333333332</v>
      </c>
      <c r="AE52" s="9">
        <f>'Raw Datas'!AC94</f>
        <v>106.19616666666667</v>
      </c>
      <c r="AF52" s="9">
        <f>'Raw Datas'!AD94</f>
        <v>45.856133333333332</v>
      </c>
      <c r="AG52" s="9">
        <f>'Raw Datas'!AE94</f>
        <v>68.358866666666671</v>
      </c>
      <c r="AH52" s="9">
        <f>'Raw Datas'!AF94</f>
        <v>8.1821833333333327</v>
      </c>
      <c r="AI52" s="9">
        <f>'Raw Datas'!AG94</f>
        <v>63.621416666666661</v>
      </c>
      <c r="AJ52" s="9">
        <f>'Raw Datas'!AH94</f>
        <v>71.286783333333332</v>
      </c>
      <c r="AK52" s="9">
        <f>'Raw Datas'!AI94</f>
        <v>106.37280000000001</v>
      </c>
      <c r="AL52" s="9">
        <f>'Raw Datas'!AJ94</f>
        <v>290.3582833333333</v>
      </c>
      <c r="AM52" s="9">
        <f>'Raw Datas'!AK94</f>
        <v>104.91336666666666</v>
      </c>
      <c r="AN52" s="9">
        <f>'Raw Datas'!AL94</f>
        <v>75.81938333333332</v>
      </c>
      <c r="AO52" s="9">
        <f>'Raw Datas'!AM94</f>
        <v>137.45633333333336</v>
      </c>
      <c r="AP52" s="9">
        <f>'Raw Datas'!AN94</f>
        <v>108.55281666666666</v>
      </c>
      <c r="AQ52" s="9">
        <f>'Raw Datas'!AO94</f>
        <v>95.268133333333324</v>
      </c>
      <c r="AR52" s="9">
        <f>'Raw Datas'!AP94</f>
        <v>36.071066666666667</v>
      </c>
      <c r="AS52" s="9">
        <f>'Raw Datas'!AQ94</f>
        <v>132.92846666666665</v>
      </c>
      <c r="AT52" s="9">
        <f>'Raw Datas'!AR94</f>
        <v>51.000716666666669</v>
      </c>
      <c r="AU52" s="9">
        <f>'Raw Datas'!AS94</f>
        <v>89.817000000000007</v>
      </c>
      <c r="AV52" s="9">
        <f>'Raw Datas'!AT94</f>
        <v>93.929366666666667</v>
      </c>
      <c r="AW52" s="9">
        <f>'Raw Datas'!AU94</f>
        <v>47.361279999999994</v>
      </c>
      <c r="AX52" s="9">
        <f>'Raw Datas'!AV94</f>
        <v>67.896079999999998</v>
      </c>
      <c r="AY52" s="9">
        <f>'Raw Datas'!AW94</f>
        <v>34.700050000000005</v>
      </c>
      <c r="AZ52" s="9">
        <f>'Raw Datas'!AX94</f>
        <v>131.32813333333334</v>
      </c>
      <c r="BA52" s="9">
        <f>'Raw Datas'!AY94</f>
        <v>173.6671</v>
      </c>
      <c r="BB52" s="9">
        <f>'Raw Datas'!AZ94</f>
        <v>37.562750000000001</v>
      </c>
      <c r="BC52" s="9">
        <f>'Raw Datas'!BA94</f>
        <v>71.39703333333334</v>
      </c>
      <c r="BD52" s="9">
        <f>'Raw Datas'!BB94</f>
        <v>90.880966666666666</v>
      </c>
      <c r="BE52" s="9">
        <f>'Raw Datas'!BC94</f>
        <v>103.04704999999998</v>
      </c>
      <c r="BF52" s="9">
        <f>'Raw Datas'!BD94</f>
        <v>55.080199999999998</v>
      </c>
      <c r="BG52" s="9">
        <f>'Raw Datas'!BE94</f>
        <v>146.68530000000001</v>
      </c>
      <c r="BH52" s="9">
        <f>'Raw Datas'!BF94</f>
        <v>46.656483333333334</v>
      </c>
      <c r="BI52" s="9">
        <f>'Raw Datas'!BG94</f>
        <v>38.01423333333333</v>
      </c>
      <c r="BJ52" s="9">
        <f>'Raw Datas'!BH94</f>
        <v>129.12803333333332</v>
      </c>
      <c r="BK52" s="9">
        <f>'Raw Datas'!BI94</f>
        <v>153.50790000000001</v>
      </c>
      <c r="BL52" s="9">
        <f>'Raw Datas'!BJ94</f>
        <v>332.65163333333328</v>
      </c>
      <c r="BM52" s="9">
        <f>'Raw Datas'!BK94</f>
        <v>296.76788333333332</v>
      </c>
      <c r="BN52" s="9">
        <f>'Raw Datas'!BL94</f>
        <v>261.69086666666664</v>
      </c>
      <c r="BO52" s="9">
        <f>'Raw Datas'!BM94</f>
        <v>426.70885714285714</v>
      </c>
      <c r="BP52" s="9">
        <f>'Raw Datas'!BN94</f>
        <v>615.32083333333333</v>
      </c>
      <c r="BQ52" s="9">
        <f>'Raw Datas'!BO94</f>
        <v>198.35104999999996</v>
      </c>
      <c r="BR52" s="9">
        <f>'Raw Datas'!BP94</f>
        <v>239.46855000000002</v>
      </c>
      <c r="BS52" s="9">
        <f>'Raw Datas'!BQ94</f>
        <v>144.23748333333333</v>
      </c>
      <c r="BT52" s="9">
        <f>'Raw Datas'!BR94</f>
        <v>55.534942857142859</v>
      </c>
      <c r="BU52" s="9">
        <f>'Raw Datas'!BS94</f>
        <v>294.8271666666667</v>
      </c>
      <c r="BV52" s="9">
        <f>'Raw Datas'!BT94</f>
        <v>79.07371666666667</v>
      </c>
      <c r="BW52" s="9">
        <f>'Raw Datas'!BU94</f>
        <v>94.477000000000004</v>
      </c>
      <c r="BX52" s="9">
        <f>'Raw Datas'!BV94</f>
        <v>95.731849999999994</v>
      </c>
      <c r="BY52" s="9">
        <f>'Raw Datas'!BW94</f>
        <v>240.36003333333335</v>
      </c>
      <c r="BZ52" s="9">
        <f>'Raw Datas'!BX94</f>
        <v>39.700150000000001</v>
      </c>
      <c r="CA52" s="9">
        <f>'Raw Datas'!BY94</f>
        <v>305.53213333333332</v>
      </c>
      <c r="CB52" s="9">
        <f>'Raw Datas'!BZ94</f>
        <v>88.147233333333347</v>
      </c>
      <c r="CC52" s="9">
        <f>'Raw Datas'!CA94</f>
        <v>144.31963333333334</v>
      </c>
      <c r="CD52" s="9">
        <f>'Raw Datas'!CB94</f>
        <v>31.100300000000001</v>
      </c>
      <c r="CE52" s="9">
        <f>'Raw Datas'!CC94</f>
        <v>135.72261666666665</v>
      </c>
      <c r="CF52" s="9">
        <f>'Raw Datas'!CD94</f>
        <v>150.99146666666667</v>
      </c>
      <c r="CG52" s="9">
        <f>'Raw Datas'!CE94</f>
        <v>144.53834999999998</v>
      </c>
      <c r="CH52" s="9">
        <f>'Raw Datas'!CF94</f>
        <v>53.037633333333332</v>
      </c>
      <c r="CI52" s="9">
        <f>'Raw Datas'!CG94</f>
        <v>65.838000000000008</v>
      </c>
      <c r="CJ52" s="9">
        <f>'Raw Datas'!CH94</f>
        <v>58.129983333333335</v>
      </c>
      <c r="CK52" s="9">
        <f>'Raw Datas'!CI94</f>
        <v>78.708816666666678</v>
      </c>
      <c r="CL52" s="9">
        <f>'Raw Datas'!CJ94</f>
        <v>27.542755555555555</v>
      </c>
      <c r="CM52" s="9">
        <f>'Raw Datas'!CK94</f>
        <v>10.220233333333333</v>
      </c>
      <c r="CN52" s="9">
        <f>'Raw Datas'!CL94</f>
        <v>13.31475</v>
      </c>
      <c r="CO52" s="9">
        <f>'Raw Datas'!CM94</f>
        <v>96.036500000000004</v>
      </c>
      <c r="CP52" s="9">
        <f>'Raw Datas'!CN94</f>
        <v>49.148850000000003</v>
      </c>
      <c r="CQ52" s="9">
        <f>'Raw Datas'!CO94</f>
        <v>162.41958333333335</v>
      </c>
      <c r="CR52" s="9">
        <f>'Raw Datas'!CP94</f>
        <v>198.42590000000001</v>
      </c>
      <c r="CS52" s="9">
        <f>'Raw Datas'!CQ94</f>
        <v>186.84304999999998</v>
      </c>
      <c r="CT52" s="9">
        <f>'Raw Datas'!CR94</f>
        <v>53.327550000000002</v>
      </c>
      <c r="CU52" s="9">
        <f>'Raw Datas'!CS94</f>
        <v>129.19343333333333</v>
      </c>
      <c r="CV52" s="9">
        <f>'Raw Datas'!CT94</f>
        <v>160.35921666666667</v>
      </c>
      <c r="CW52" s="9">
        <f>'Raw Datas'!CU94</f>
        <v>115.63453333333334</v>
      </c>
      <c r="CX52" s="9">
        <f>'Raw Datas'!CV94</f>
        <v>154.85266666666666</v>
      </c>
      <c r="CY52" s="9">
        <f>'Raw Datas'!CW94</f>
        <v>180.17723333333333</v>
      </c>
      <c r="CZ52" s="9">
        <f>'Raw Datas'!CX94</f>
        <v>77.618400000000008</v>
      </c>
      <c r="DA52" s="9">
        <f>'Raw Datas'!CY94</f>
        <v>34.482733333333336</v>
      </c>
      <c r="DB52" s="9">
        <f>'Raw Datas'!CZ94</f>
        <v>35.850483333333337</v>
      </c>
      <c r="DC52" s="9">
        <f>'Raw Datas'!DA94</f>
        <v>95.413333333333341</v>
      </c>
      <c r="DD52" s="9">
        <f>'Raw Datas'!DB94</f>
        <v>157.41670000000002</v>
      </c>
      <c r="DE52" s="9">
        <f>'Raw Datas'!DC94</f>
        <v>65.941316666666665</v>
      </c>
      <c r="DF52" s="9">
        <f>'Raw Datas'!DD94</f>
        <v>173.68723333333335</v>
      </c>
      <c r="DG52" s="9">
        <f>'Raw Datas'!DE94</f>
        <v>83.265349999999998</v>
      </c>
      <c r="DH52" s="9">
        <f>'Raw Datas'!DF94</f>
        <v>51.319516666666672</v>
      </c>
      <c r="DI52" s="9">
        <f>'Raw Datas'!DG94</f>
        <v>44.327700000000007</v>
      </c>
      <c r="DJ52" s="9">
        <f>'Raw Datas'!DH94</f>
        <v>19.648766666666667</v>
      </c>
      <c r="DK52" s="9">
        <f>'Raw Datas'!DI94</f>
        <v>175.00936666666666</v>
      </c>
      <c r="DL52" s="9">
        <f>'Raw Datas'!DJ94</f>
        <v>133.89473333333333</v>
      </c>
      <c r="DM52" s="9">
        <f>'Raw Datas'!DK94</f>
        <v>40.030116666666665</v>
      </c>
      <c r="DN52" s="9">
        <f>'Raw Datas'!DL94</f>
        <v>24.660716666666666</v>
      </c>
      <c r="DO52" s="9">
        <f>'Raw Datas'!DM94</f>
        <v>213.22576666666663</v>
      </c>
      <c r="DP52" s="9">
        <f>'Raw Datas'!DN94</f>
        <v>210.98278333333334</v>
      </c>
      <c r="DQ52" s="9">
        <f>'Raw Datas'!DO94</f>
        <v>252.16094999999999</v>
      </c>
      <c r="DR52" s="9">
        <f>'Raw Datas'!DP94</f>
        <v>49.504533333333335</v>
      </c>
      <c r="DS52" s="9">
        <f>'Raw Datas'!DQ94</f>
        <v>124.75709999999999</v>
      </c>
      <c r="DT52" s="9">
        <f>'Raw Datas'!DR94</f>
        <v>318.23220000000003</v>
      </c>
      <c r="DU52" s="9">
        <f>'Raw Datas'!DS94</f>
        <v>52.696966666666668</v>
      </c>
      <c r="DV52" s="9">
        <f>'Raw Datas'!DT94</f>
        <v>117.27551666666666</v>
      </c>
      <c r="DW52" s="9">
        <f>'Raw Datas'!DU94</f>
        <v>92.306799999999996</v>
      </c>
      <c r="DX52" s="9">
        <f>'Raw Datas'!DV94</f>
        <v>78.499700000000004</v>
      </c>
      <c r="DY52" s="9">
        <f>'Raw Datas'!DW94</f>
        <v>151.16223333333335</v>
      </c>
      <c r="DZ52" s="9">
        <f>'Raw Datas'!DX94</f>
        <v>74.189983333333345</v>
      </c>
      <c r="EA52" s="9">
        <f>'Raw Datas'!DY94</f>
        <v>237.51140000000001</v>
      </c>
      <c r="EB52" s="9">
        <f>'Raw Datas'!DZ94</f>
        <v>77.507900000000006</v>
      </c>
      <c r="EC52" s="9">
        <f>'Raw Datas'!EA94</f>
        <v>169.70553333333334</v>
      </c>
      <c r="ED52" s="9">
        <f>'Raw Datas'!EB94</f>
        <v>172.69633333333334</v>
      </c>
      <c r="EE52" s="9">
        <f>'Raw Datas'!EC94</f>
        <v>37.097583333333333</v>
      </c>
      <c r="EF52" s="9">
        <f>'Raw Datas'!ED94</f>
        <v>155.67108333333334</v>
      </c>
      <c r="EG52" s="9">
        <f>'Raw Datas'!EE94</f>
        <v>49.364766666666668</v>
      </c>
      <c r="EH52" s="9">
        <f>'Raw Datas'!EF94</f>
        <v>32.975383333333333</v>
      </c>
      <c r="EI52" s="9">
        <f>'Raw Datas'!EG94</f>
        <v>42.758333333333333</v>
      </c>
      <c r="EJ52" s="9">
        <f>'Raw Datas'!EH94</f>
        <v>35.724283333333332</v>
      </c>
      <c r="EK52" s="9">
        <f>'Raw Datas'!EI94</f>
        <v>18.386583333333338</v>
      </c>
      <c r="EL52" s="9">
        <f>'Raw Datas'!EJ94</f>
        <v>132.05855000000003</v>
      </c>
      <c r="EM52" s="9">
        <f>'Raw Datas'!EK94</f>
        <v>115.3522</v>
      </c>
      <c r="EN52" s="9">
        <f>'Raw Datas'!EL94</f>
        <v>60.44636666666667</v>
      </c>
      <c r="EO52" s="9">
        <f>'Raw Datas'!EM94</f>
        <v>64.204016666666661</v>
      </c>
      <c r="EP52" s="9">
        <f>'Raw Datas'!EN94</f>
        <v>122.93671666666667</v>
      </c>
      <c r="EQ52" s="9">
        <f>'Raw Datas'!EO94</f>
        <v>46.232566666666663</v>
      </c>
      <c r="ER52" s="9">
        <f>'Raw Datas'!EP94</f>
        <v>46.357733333333343</v>
      </c>
      <c r="ES52" s="9">
        <f>'Raw Datas'!EQ94</f>
        <v>65.782883333333331</v>
      </c>
      <c r="ET52" s="9">
        <f>'Raw Datas'!ER94</f>
        <v>158.33530000000002</v>
      </c>
      <c r="EU52" s="9">
        <f>'Raw Datas'!ES94</f>
        <v>116.63046666666666</v>
      </c>
      <c r="EV52" s="9">
        <f>'Raw Datas'!ET94</f>
        <v>55.082349999999998</v>
      </c>
      <c r="EW52" s="9">
        <f>'Raw Datas'!EU94</f>
        <v>94.170466666666655</v>
      </c>
      <c r="EX52" s="9">
        <f>'Raw Datas'!EV94</f>
        <v>83.92968333333333</v>
      </c>
      <c r="EY52" s="9">
        <f>'Raw Datas'!EW94</f>
        <v>37.000183333333332</v>
      </c>
      <c r="EZ52" s="9">
        <f>'Raw Datas'!EX94</f>
        <v>323.98106666666666</v>
      </c>
      <c r="FA52" s="9">
        <f>'Raw Datas'!EY94</f>
        <v>109.50086666666667</v>
      </c>
      <c r="FB52" s="9">
        <f>'Raw Datas'!EZ94</f>
        <v>224.14035000000001</v>
      </c>
      <c r="FC52" s="9">
        <f>'Raw Datas'!FA94</f>
        <v>112.94586666666667</v>
      </c>
      <c r="FD52" s="9">
        <f>'Raw Datas'!FB94</f>
        <v>28.176499999999997</v>
      </c>
      <c r="FE52" s="9">
        <f>'Raw Datas'!FC94</f>
        <v>128.97808333333333</v>
      </c>
      <c r="FF52" s="9">
        <f>'Raw Datas'!FD94</f>
        <v>77.49733333333333</v>
      </c>
      <c r="FG52" s="9">
        <f>'Raw Datas'!FE94</f>
        <v>75.393133333333324</v>
      </c>
      <c r="FH52" s="9">
        <f>'Raw Datas'!FF94</f>
        <v>173.83825000000004</v>
      </c>
      <c r="FI52" s="9">
        <f>'Raw Datas'!FG94</f>
        <v>69.858133333333342</v>
      </c>
      <c r="FJ52" s="9">
        <f>'Raw Datas'!FH94</f>
        <v>189.06283333333334</v>
      </c>
      <c r="FK52" s="9">
        <f>'Raw Datas'!FI94</f>
        <v>153.9187</v>
      </c>
      <c r="FL52" s="9">
        <f>'Raw Datas'!FJ94</f>
        <v>300.14238333333327</v>
      </c>
      <c r="FM52" s="9">
        <f>'Raw Datas'!FK94</f>
        <v>199.86124999999998</v>
      </c>
      <c r="FN52" s="9">
        <f>'Raw Datas'!FL94</f>
        <v>282.9570333333333</v>
      </c>
      <c r="FO52" s="9">
        <f>'Raw Datas'!FM94</f>
        <v>218.71658333333335</v>
      </c>
      <c r="FP52" s="9">
        <f>'Raw Datas'!FN94</f>
        <v>83.043166666666664</v>
      </c>
      <c r="FQ52" s="9">
        <f>'Raw Datas'!FO94</f>
        <v>78.768316666666664</v>
      </c>
    </row>
    <row r="53" spans="1:16092" x14ac:dyDescent="0.2">
      <c r="A53" s="117"/>
      <c r="B53" s="97" t="s">
        <v>125</v>
      </c>
      <c r="C53" s="112" t="s">
        <v>768</v>
      </c>
      <c r="D53" s="104"/>
      <c r="E53" s="60">
        <f>'Raw Datas'!C95</f>
        <v>2.5767000000000002</v>
      </c>
      <c r="F53" s="63">
        <f>'Raw Datas'!D95</f>
        <v>4.1894833333333334</v>
      </c>
      <c r="G53" s="63">
        <f>'Raw Datas'!E95</f>
        <v>0.9401166666666666</v>
      </c>
      <c r="H53" s="63">
        <f>'Raw Datas'!F95</f>
        <v>2.8106000000000004</v>
      </c>
      <c r="I53" s="63">
        <f>'Raw Datas'!G95</f>
        <v>3.8370833333333336</v>
      </c>
      <c r="J53" s="63">
        <f>'Raw Datas'!H95</f>
        <v>4.9248000000000003</v>
      </c>
      <c r="K53" s="63">
        <f>'Raw Datas'!I95</f>
        <v>7.7584666666666671</v>
      </c>
      <c r="L53" s="63">
        <f>'Raw Datas'!J95</f>
        <v>4.0750166666666665</v>
      </c>
      <c r="M53" s="63">
        <f>'Raw Datas'!K95</f>
        <v>5.3613999999999997</v>
      </c>
      <c r="N53" s="63">
        <f>'Raw Datas'!L95</f>
        <v>1.9658833333333332</v>
      </c>
      <c r="O53" s="63">
        <f>'Raw Datas'!M95</f>
        <v>3.9744666666666668</v>
      </c>
      <c r="P53" s="63">
        <f>'Raw Datas'!N95</f>
        <v>5.2556666666666665</v>
      </c>
      <c r="Q53" s="63">
        <f>'Raw Datas'!O95</f>
        <v>6.5911333333333326</v>
      </c>
      <c r="R53" s="63">
        <f>'Raw Datas'!P95</f>
        <v>8.3572333333333333</v>
      </c>
      <c r="S53" s="63">
        <f>'Raw Datas'!Q95</f>
        <v>4.7140833333333338</v>
      </c>
      <c r="T53" s="63">
        <f>'Raw Datas'!R95</f>
        <v>20.597383333333333</v>
      </c>
      <c r="U53" s="63">
        <f>'Raw Datas'!S95</f>
        <v>4.7375166666666662</v>
      </c>
      <c r="V53" s="63">
        <f>'Raw Datas'!T95</f>
        <v>1.5780333333333332</v>
      </c>
      <c r="W53" s="63">
        <f>'Raw Datas'!U95</f>
        <v>1.4380499999999998</v>
      </c>
      <c r="X53" s="63">
        <f>'Raw Datas'!V95</f>
        <v>1.7859000000000003</v>
      </c>
      <c r="Y53" s="63">
        <f>'Raw Datas'!W95</f>
        <v>12.638171428571429</v>
      </c>
      <c r="Z53" s="63">
        <f>'Raw Datas'!X95</f>
        <v>6.1234799999999998</v>
      </c>
      <c r="AA53" s="63">
        <f>'Raw Datas'!Y95</f>
        <v>7.7328999999999999</v>
      </c>
      <c r="AB53" s="63">
        <f>'Raw Datas'!Z95</f>
        <v>25.379580000000001</v>
      </c>
      <c r="AC53" s="63">
        <f>'Raw Datas'!AA95</f>
        <v>3.5560499999999999</v>
      </c>
      <c r="AD53" s="63">
        <f>'Raw Datas'!AB95</f>
        <v>5.6275500000000003</v>
      </c>
      <c r="AE53" s="63">
        <f>'Raw Datas'!AC95</f>
        <v>1.9679166666666665</v>
      </c>
      <c r="AF53" s="63">
        <f>'Raw Datas'!AD95</f>
        <v>2.2875333333333332</v>
      </c>
      <c r="AG53" s="63">
        <f>'Raw Datas'!AE95</f>
        <v>1.4587000000000001</v>
      </c>
      <c r="AH53" s="63">
        <f>'Raw Datas'!AF95</f>
        <v>3.3823833333333329</v>
      </c>
      <c r="AI53" s="63">
        <f>'Raw Datas'!AG95</f>
        <v>7.5983999999999998</v>
      </c>
      <c r="AJ53" s="63">
        <f>'Raw Datas'!AH95</f>
        <v>2.2536833333333335</v>
      </c>
      <c r="AK53" s="63">
        <f>'Raw Datas'!AI95</f>
        <v>7.0103666666666662</v>
      </c>
      <c r="AL53" s="63">
        <f>'Raw Datas'!AJ95</f>
        <v>8.0372999999999983</v>
      </c>
      <c r="AM53" s="63">
        <f>'Raw Datas'!AK95</f>
        <v>1.8447166666666668</v>
      </c>
      <c r="AN53" s="63">
        <f>'Raw Datas'!AL95</f>
        <v>4.0986333333333338</v>
      </c>
      <c r="AO53" s="63">
        <f>'Raw Datas'!AM95</f>
        <v>11.123850000000001</v>
      </c>
      <c r="AP53" s="63">
        <f>'Raw Datas'!AN95</f>
        <v>3.6527000000000003</v>
      </c>
      <c r="AQ53" s="63">
        <f>'Raw Datas'!AO95</f>
        <v>2.0621999999999998</v>
      </c>
      <c r="AR53" s="63">
        <f>'Raw Datas'!AP95</f>
        <v>2.1591333333333336</v>
      </c>
      <c r="AS53" s="63">
        <f>'Raw Datas'!AQ95</f>
        <v>4.7780166666666668</v>
      </c>
      <c r="AT53" s="63">
        <f>'Raw Datas'!AR95</f>
        <v>1.2664333333333333</v>
      </c>
      <c r="AU53" s="63">
        <f>'Raw Datas'!AS95</f>
        <v>24.137483333333339</v>
      </c>
      <c r="AV53" s="63">
        <f>'Raw Datas'!AT95</f>
        <v>10.4259</v>
      </c>
      <c r="AW53" s="63">
        <f>'Raw Datas'!AU95</f>
        <v>1.49292</v>
      </c>
      <c r="AX53" s="63">
        <f>'Raw Datas'!AV95</f>
        <v>0.84928000000000015</v>
      </c>
      <c r="AY53" s="63">
        <f>'Raw Datas'!AW95</f>
        <v>1.8841833333333331</v>
      </c>
      <c r="AZ53" s="63">
        <f>'Raw Datas'!AX95</f>
        <v>3.4001333333333337</v>
      </c>
      <c r="BA53" s="63">
        <f>'Raw Datas'!AY95</f>
        <v>2.9891166666666664</v>
      </c>
      <c r="BB53" s="63">
        <f>'Raw Datas'!AZ95</f>
        <v>0.86456666666666671</v>
      </c>
      <c r="BC53" s="63">
        <f>'Raw Datas'!BA95</f>
        <v>2.7622666666666666</v>
      </c>
      <c r="BD53" s="63">
        <f>'Raw Datas'!BB95</f>
        <v>1.6281666666666665</v>
      </c>
      <c r="BE53" s="63">
        <f>'Raw Datas'!BC95</f>
        <v>1.2932833333333333</v>
      </c>
      <c r="BF53" s="63">
        <f>'Raw Datas'!BD95</f>
        <v>0.92774999999999985</v>
      </c>
      <c r="BG53" s="63">
        <f>'Raw Datas'!BE95</f>
        <v>2.0577666666666667</v>
      </c>
      <c r="BH53" s="63">
        <f>'Raw Datas'!BF95</f>
        <v>6.326833333333334</v>
      </c>
      <c r="BI53" s="63">
        <f>'Raw Datas'!BG95</f>
        <v>0.8652833333333334</v>
      </c>
      <c r="BJ53" s="63">
        <f>'Raw Datas'!BH95</f>
        <v>10.407633333333333</v>
      </c>
      <c r="BK53" s="63">
        <f>'Raw Datas'!BI95</f>
        <v>14.6312</v>
      </c>
      <c r="BL53" s="63">
        <f>'Raw Datas'!BJ95</f>
        <v>25.947600000000001</v>
      </c>
      <c r="BM53" s="63">
        <f>'Raw Datas'!BK95</f>
        <v>8.8493499999999994</v>
      </c>
      <c r="BN53" s="63">
        <f>'Raw Datas'!BL95</f>
        <v>98.393533333333352</v>
      </c>
      <c r="BO53" s="63">
        <f>'Raw Datas'!BM95</f>
        <v>159.55688571428573</v>
      </c>
      <c r="BP53" s="63">
        <f>'Raw Datas'!BN95</f>
        <v>164.33366666666669</v>
      </c>
      <c r="BQ53" s="63">
        <f>'Raw Datas'!BO95</f>
        <v>133.52275</v>
      </c>
      <c r="BR53" s="63">
        <f>'Raw Datas'!BP95</f>
        <v>94.889733333333339</v>
      </c>
      <c r="BS53" s="63">
        <f>'Raw Datas'!BQ95</f>
        <v>14.044199999999998</v>
      </c>
      <c r="BT53" s="63">
        <f>'Raw Datas'!BR95</f>
        <v>3.0154571428571426</v>
      </c>
      <c r="BU53" s="63">
        <f>'Raw Datas'!BS95</f>
        <v>109.65916666666666</v>
      </c>
      <c r="BV53" s="63">
        <f>'Raw Datas'!BT95</f>
        <v>25.338533333333334</v>
      </c>
      <c r="BW53" s="63">
        <f>'Raw Datas'!BU95</f>
        <v>13.243950000000002</v>
      </c>
      <c r="BX53" s="63">
        <f>'Raw Datas'!BV95</f>
        <v>21.580733333333335</v>
      </c>
      <c r="BY53" s="63">
        <f>'Raw Datas'!BW95</f>
        <v>6.8824500000000004</v>
      </c>
      <c r="BZ53" s="63">
        <f>'Raw Datas'!BX95</f>
        <v>1.7989333333333333</v>
      </c>
      <c r="CA53" s="63">
        <f>'Raw Datas'!BY95</f>
        <v>25.862316666666668</v>
      </c>
      <c r="CB53" s="63">
        <f>'Raw Datas'!BZ95</f>
        <v>12.863816666666668</v>
      </c>
      <c r="CC53" s="63">
        <f>'Raw Datas'!CA95</f>
        <v>7.8353666666666673</v>
      </c>
      <c r="CD53" s="63">
        <f>'Raw Datas'!CB95</f>
        <v>2.9450333333333334</v>
      </c>
      <c r="CE53" s="63">
        <f>'Raw Datas'!CC95</f>
        <v>5.1528833333333335</v>
      </c>
      <c r="CF53" s="63">
        <f>'Raw Datas'!CD95</f>
        <v>5.1805500000000002</v>
      </c>
      <c r="CG53" s="63">
        <f>'Raw Datas'!CE95</f>
        <v>29.586266666666667</v>
      </c>
      <c r="CH53" s="63">
        <f>'Raw Datas'!CF95</f>
        <v>4.2821833333333341</v>
      </c>
      <c r="CI53" s="63">
        <f>'Raw Datas'!CG95</f>
        <v>2.2539833333333332</v>
      </c>
      <c r="CJ53" s="63">
        <f>'Raw Datas'!CH95</f>
        <v>1.6296500000000003</v>
      </c>
      <c r="CK53" s="63">
        <f>'Raw Datas'!CI95</f>
        <v>5.1645166666666675</v>
      </c>
      <c r="CL53" s="63">
        <f>'Raw Datas'!CJ95</f>
        <v>1.3530222222222221</v>
      </c>
      <c r="CM53" s="63">
        <f>'Raw Datas'!CK95</f>
        <v>2.4565333333333332</v>
      </c>
      <c r="CN53" s="63">
        <f>'Raw Datas'!CL95</f>
        <v>7.2789166666666656</v>
      </c>
      <c r="CO53" s="63">
        <f>'Raw Datas'!CM95</f>
        <v>1.7586833333333332</v>
      </c>
      <c r="CP53" s="63">
        <f>'Raw Datas'!CN95</f>
        <v>1.1283666666666667</v>
      </c>
      <c r="CQ53" s="63">
        <f>'Raw Datas'!CO95</f>
        <v>3.9622833333333336</v>
      </c>
      <c r="CR53" s="63">
        <f>'Raw Datas'!CP95</f>
        <v>5.3516166666666667</v>
      </c>
      <c r="CS53" s="63">
        <f>'Raw Datas'!CQ95</f>
        <v>5.8603500000000004</v>
      </c>
      <c r="CT53" s="63">
        <f>'Raw Datas'!CR95</f>
        <v>5.3170999999999999</v>
      </c>
      <c r="CU53" s="63">
        <f>'Raw Datas'!CS95</f>
        <v>3.625</v>
      </c>
      <c r="CV53" s="63">
        <f>'Raw Datas'!CT95</f>
        <v>2.6280666666666668</v>
      </c>
      <c r="CW53" s="63">
        <f>'Raw Datas'!CU95</f>
        <v>3.4870833333333331</v>
      </c>
      <c r="CX53" s="63">
        <f>'Raw Datas'!CV95</f>
        <v>2.8436333333333339</v>
      </c>
      <c r="CY53" s="63">
        <f>'Raw Datas'!CW95</f>
        <v>4.1949500000000004</v>
      </c>
      <c r="CZ53" s="63">
        <f>'Raw Datas'!CX95</f>
        <v>1.24285</v>
      </c>
      <c r="DA53" s="63">
        <f>'Raw Datas'!CY95</f>
        <v>1.9599166666666668</v>
      </c>
      <c r="DB53" s="63">
        <f>'Raw Datas'!CZ95</f>
        <v>1.2513333333333334</v>
      </c>
      <c r="DC53" s="63">
        <f>'Raw Datas'!DA95</f>
        <v>1.4014499999999999</v>
      </c>
      <c r="DD53" s="63">
        <f>'Raw Datas'!DB95</f>
        <v>6.204933333333333</v>
      </c>
      <c r="DE53" s="63">
        <f>'Raw Datas'!DC95</f>
        <v>3.5921666666666665</v>
      </c>
      <c r="DF53" s="63">
        <f>'Raw Datas'!DD95</f>
        <v>3.2257833333333337</v>
      </c>
      <c r="DG53" s="63">
        <f>'Raw Datas'!DE95</f>
        <v>3.6208833333333335</v>
      </c>
      <c r="DH53" s="63">
        <f>'Raw Datas'!DF95</f>
        <v>4.2372000000000005</v>
      </c>
      <c r="DI53" s="63">
        <f>'Raw Datas'!DG95</f>
        <v>5.2802166666666661</v>
      </c>
      <c r="DJ53" s="63">
        <f>'Raw Datas'!DH95</f>
        <v>0.70778333333333332</v>
      </c>
      <c r="DK53" s="63">
        <f>'Raw Datas'!DI95</f>
        <v>3.2064333333333339</v>
      </c>
      <c r="DL53" s="63">
        <f>'Raw Datas'!DJ95</f>
        <v>9.7571833333333338</v>
      </c>
      <c r="DM53" s="63">
        <f>'Raw Datas'!DK95</f>
        <v>4.9753333333333334</v>
      </c>
      <c r="DN53" s="63">
        <f>'Raw Datas'!DL95</f>
        <v>1.4051499999999999</v>
      </c>
      <c r="DO53" s="63">
        <f>'Raw Datas'!DM95</f>
        <v>3.4744333333333328</v>
      </c>
      <c r="DP53" s="63">
        <f>'Raw Datas'!DN95</f>
        <v>8.6571833333333341</v>
      </c>
      <c r="DQ53" s="63">
        <f>'Raw Datas'!DO95</f>
        <v>6.7615333333333334</v>
      </c>
      <c r="DR53" s="63">
        <f>'Raw Datas'!DP95</f>
        <v>2.0163500000000001</v>
      </c>
      <c r="DS53" s="63">
        <f>'Raw Datas'!DQ95</f>
        <v>4.3710333333333331</v>
      </c>
      <c r="DT53" s="63">
        <f>'Raw Datas'!DR95</f>
        <v>4.7697666666666674</v>
      </c>
      <c r="DU53" s="63">
        <f>'Raw Datas'!DS95</f>
        <v>1.0911666666666666</v>
      </c>
      <c r="DV53" s="63">
        <f>'Raw Datas'!DT95</f>
        <v>3.0721500000000002</v>
      </c>
      <c r="DW53" s="63">
        <f>'Raw Datas'!DU95</f>
        <v>14.308483333333333</v>
      </c>
      <c r="DX53" s="63">
        <f>'Raw Datas'!DV95</f>
        <v>2.7908666666666666</v>
      </c>
      <c r="DY53" s="63">
        <f>'Raw Datas'!DW95</f>
        <v>3.197883333333333</v>
      </c>
      <c r="DZ53" s="63">
        <f>'Raw Datas'!DX95</f>
        <v>2.6179000000000001</v>
      </c>
      <c r="EA53" s="63">
        <f>'Raw Datas'!DY95</f>
        <v>7.1657000000000002</v>
      </c>
      <c r="EB53" s="63">
        <f>'Raw Datas'!DZ95</f>
        <v>2.8443166666666664</v>
      </c>
      <c r="EC53" s="63">
        <f>'Raw Datas'!EA95</f>
        <v>3.8538000000000001</v>
      </c>
      <c r="ED53" s="63">
        <f>'Raw Datas'!EB95</f>
        <v>2.9805499999999996</v>
      </c>
      <c r="EE53" s="63">
        <f>'Raw Datas'!EC95</f>
        <v>3.0992166666666674</v>
      </c>
      <c r="EF53" s="63">
        <f>'Raw Datas'!ED95</f>
        <v>2.5843333333333334</v>
      </c>
      <c r="EG53" s="63">
        <f>'Raw Datas'!EE95</f>
        <v>1.0931999999999999</v>
      </c>
      <c r="EH53" s="63">
        <f>'Raw Datas'!EF95</f>
        <v>2.7599</v>
      </c>
      <c r="EI53" s="63">
        <f>'Raw Datas'!EG95</f>
        <v>3.7599166666666668</v>
      </c>
      <c r="EJ53" s="63">
        <f>'Raw Datas'!EH95</f>
        <v>2.80585</v>
      </c>
      <c r="EK53" s="63">
        <f>'Raw Datas'!EI95</f>
        <v>1.1154833333333334</v>
      </c>
      <c r="EL53" s="63">
        <f>'Raw Datas'!EJ95</f>
        <v>3.2424833333333329</v>
      </c>
      <c r="EM53" s="63">
        <f>'Raw Datas'!EK95</f>
        <v>4.6827333333333332</v>
      </c>
      <c r="EN53" s="63">
        <f>'Raw Datas'!EL95</f>
        <v>2.8252499999999996</v>
      </c>
      <c r="EO53" s="63">
        <f>'Raw Datas'!EM95</f>
        <v>1.5647166666666665</v>
      </c>
      <c r="EP53" s="63">
        <f>'Raw Datas'!EN95</f>
        <v>5.7722833333333332</v>
      </c>
      <c r="EQ53" s="63">
        <f>'Raw Datas'!EO95</f>
        <v>6.1697833333333332</v>
      </c>
      <c r="ER53" s="63">
        <f>'Raw Datas'!EP95</f>
        <v>3.254633333333333</v>
      </c>
      <c r="ES53" s="63">
        <f>'Raw Datas'!EQ95</f>
        <v>2.6477166666666667</v>
      </c>
      <c r="ET53" s="63">
        <f>'Raw Datas'!ER95</f>
        <v>2.9037000000000002</v>
      </c>
      <c r="EU53" s="63">
        <f>'Raw Datas'!ES95</f>
        <v>2.3714666666666671</v>
      </c>
      <c r="EV53" s="63">
        <f>'Raw Datas'!ET95</f>
        <v>3.1059333333333332</v>
      </c>
      <c r="EW53" s="63">
        <f>'Raw Datas'!EU95</f>
        <v>2.8798666666666666</v>
      </c>
      <c r="EX53" s="63">
        <f>'Raw Datas'!EV95</f>
        <v>2.5556833333333335</v>
      </c>
      <c r="EY53" s="63">
        <f>'Raw Datas'!EW95</f>
        <v>1.9828000000000001</v>
      </c>
      <c r="EZ53" s="63">
        <f>'Raw Datas'!EX95</f>
        <v>6.2151333333333323</v>
      </c>
      <c r="FA53" s="63">
        <f>'Raw Datas'!EY95</f>
        <v>3.9567166666666669</v>
      </c>
      <c r="FB53" s="63">
        <f>'Raw Datas'!EZ95</f>
        <v>3.0473499999999998</v>
      </c>
      <c r="FC53" s="63">
        <f>'Raw Datas'!FA95</f>
        <v>1.3833666666666669</v>
      </c>
      <c r="FD53" s="63">
        <f>'Raw Datas'!FB95</f>
        <v>1.0095499999999999</v>
      </c>
      <c r="FE53" s="63">
        <f>'Raw Datas'!FC95</f>
        <v>2.4556833333333334</v>
      </c>
      <c r="FF53" s="63">
        <f>'Raw Datas'!FD95</f>
        <v>2.3445000000000005</v>
      </c>
      <c r="FG53" s="63">
        <f>'Raw Datas'!FE95</f>
        <v>3.5743833333333339</v>
      </c>
      <c r="FH53" s="63">
        <f>'Raw Datas'!FF95</f>
        <v>5.8794999999999993</v>
      </c>
      <c r="FI53" s="63">
        <f>'Raw Datas'!FG95</f>
        <v>1.8481999999999998</v>
      </c>
      <c r="FJ53" s="63">
        <f>'Raw Datas'!FH95</f>
        <v>3.341366666666667</v>
      </c>
      <c r="FK53" s="63">
        <f>'Raw Datas'!FI95</f>
        <v>6.5809999999999995</v>
      </c>
      <c r="FL53" s="63">
        <f>'Raw Datas'!FJ95</f>
        <v>5.7818000000000005</v>
      </c>
      <c r="FM53" s="63">
        <f>'Raw Datas'!FK95</f>
        <v>4.7500999999999998</v>
      </c>
      <c r="FN53" s="63">
        <f>'Raw Datas'!FL95</f>
        <v>7.6035166666666667</v>
      </c>
      <c r="FO53" s="63">
        <f>'Raw Datas'!FM95</f>
        <v>7.1265666666666663</v>
      </c>
      <c r="FP53" s="63">
        <f>'Raw Datas'!FN95</f>
        <v>3.898566666666667</v>
      </c>
      <c r="FQ53" s="63">
        <f>'Raw Datas'!FO95</f>
        <v>1.9704166666666665</v>
      </c>
    </row>
    <row r="54" spans="1:16092" x14ac:dyDescent="0.2">
      <c r="A54" s="117"/>
      <c r="B54" s="57" t="s">
        <v>379</v>
      </c>
      <c r="C54" s="104" t="s">
        <v>761</v>
      </c>
      <c r="D54" s="104"/>
      <c r="E54" s="60" t="str">
        <f>'Raw Datas'!C96</f>
        <v>0</v>
      </c>
      <c r="F54" s="63" t="str">
        <f>'Raw Datas'!D96</f>
        <v>0</v>
      </c>
      <c r="G54" s="63" t="str">
        <f>'Raw Datas'!E96</f>
        <v>0</v>
      </c>
      <c r="H54" s="63" t="str">
        <f>'Raw Datas'!F96</f>
        <v>0</v>
      </c>
      <c r="I54" s="63" t="str">
        <f>'Raw Datas'!G96</f>
        <v>0</v>
      </c>
      <c r="J54" s="63" t="str">
        <f>'Raw Datas'!H96</f>
        <v>0</v>
      </c>
      <c r="K54" s="63" t="str">
        <f>'Raw Datas'!I96</f>
        <v>0</v>
      </c>
      <c r="L54" s="63" t="str">
        <f>'Raw Datas'!J96</f>
        <v>0</v>
      </c>
      <c r="M54" s="63" t="str">
        <f>'Raw Datas'!K96</f>
        <v>0</v>
      </c>
      <c r="N54" s="63" t="str">
        <f>'Raw Datas'!L96</f>
        <v>0</v>
      </c>
      <c r="O54" s="63" t="str">
        <f>'Raw Datas'!M96</f>
        <v>0</v>
      </c>
      <c r="P54" s="63" t="str">
        <f>'Raw Datas'!N96</f>
        <v>0</v>
      </c>
      <c r="Q54" s="63" t="str">
        <f>'Raw Datas'!O96</f>
        <v>0</v>
      </c>
      <c r="R54" s="63" t="str">
        <f>'Raw Datas'!P96</f>
        <v>0</v>
      </c>
      <c r="S54" s="63" t="str">
        <f>'Raw Datas'!Q96</f>
        <v>0</v>
      </c>
      <c r="T54" s="63" t="str">
        <f>'Raw Datas'!R96</f>
        <v>0</v>
      </c>
      <c r="U54" s="63" t="str">
        <f>'Raw Datas'!S96</f>
        <v>0</v>
      </c>
      <c r="V54" s="63" t="str">
        <f>'Raw Datas'!T96</f>
        <v>0</v>
      </c>
      <c r="W54" s="63" t="str">
        <f>'Raw Datas'!U96</f>
        <v>0</v>
      </c>
      <c r="X54" s="63" t="str">
        <f>'Raw Datas'!V96</f>
        <v>0</v>
      </c>
      <c r="Y54" s="63" t="str">
        <f>'Raw Datas'!W96</f>
        <v>0</v>
      </c>
      <c r="Z54" s="63" t="str">
        <f>'Raw Datas'!X96</f>
        <v>0</v>
      </c>
      <c r="AA54" s="63" t="str">
        <f>'Raw Datas'!Y96</f>
        <v>0</v>
      </c>
      <c r="AB54" s="63" t="str">
        <f>'Raw Datas'!Z96</f>
        <v>0</v>
      </c>
      <c r="AC54" s="63" t="str">
        <f>'Raw Datas'!AA96</f>
        <v>0</v>
      </c>
      <c r="AD54" s="63" t="str">
        <f>'Raw Datas'!AB96</f>
        <v>0</v>
      </c>
      <c r="AE54" s="63" t="str">
        <f>'Raw Datas'!AC96</f>
        <v>0</v>
      </c>
      <c r="AF54" s="63" t="str">
        <f>'Raw Datas'!AD96</f>
        <v>0</v>
      </c>
      <c r="AG54" s="63" t="str">
        <f>'Raw Datas'!AE96</f>
        <v>0</v>
      </c>
      <c r="AH54" s="63" t="str">
        <f>'Raw Datas'!AF96</f>
        <v>0</v>
      </c>
      <c r="AI54" s="63" t="str">
        <f>'Raw Datas'!AG96</f>
        <v>0</v>
      </c>
      <c r="AJ54" s="63" t="str">
        <f>'Raw Datas'!AH96</f>
        <v>0</v>
      </c>
      <c r="AK54" s="63" t="str">
        <f>'Raw Datas'!AI96</f>
        <v>0</v>
      </c>
      <c r="AL54" s="63" t="str">
        <f>'Raw Datas'!AJ96</f>
        <v>0</v>
      </c>
      <c r="AM54" s="63" t="str">
        <f>'Raw Datas'!AK96</f>
        <v>0</v>
      </c>
      <c r="AN54" s="63" t="str">
        <f>'Raw Datas'!AL96</f>
        <v>0</v>
      </c>
      <c r="AO54" s="63" t="str">
        <f>'Raw Datas'!AM96</f>
        <v>0</v>
      </c>
      <c r="AP54" s="63" t="str">
        <f>'Raw Datas'!AN96</f>
        <v>0</v>
      </c>
      <c r="AQ54" s="63" t="str">
        <f>'Raw Datas'!AO96</f>
        <v>0</v>
      </c>
      <c r="AR54" s="63" t="str">
        <f>'Raw Datas'!AP96</f>
        <v>0</v>
      </c>
      <c r="AS54" s="63" t="str">
        <f>'Raw Datas'!AQ96</f>
        <v>0</v>
      </c>
      <c r="AT54" s="63" t="str">
        <f>'Raw Datas'!AR96</f>
        <v>0</v>
      </c>
      <c r="AU54" s="63" t="str">
        <f>'Raw Datas'!AS96</f>
        <v>0</v>
      </c>
      <c r="AV54" s="63" t="str">
        <f>'Raw Datas'!AT96</f>
        <v>0</v>
      </c>
      <c r="AW54" s="63" t="str">
        <f>'Raw Datas'!AU96</f>
        <v>0</v>
      </c>
      <c r="AX54" s="63" t="str">
        <f>'Raw Datas'!AV96</f>
        <v>0</v>
      </c>
      <c r="AY54" s="63" t="str">
        <f>'Raw Datas'!AW96</f>
        <v>0</v>
      </c>
      <c r="AZ54" s="63" t="str">
        <f>'Raw Datas'!AX96</f>
        <v>0</v>
      </c>
      <c r="BA54" s="63" t="str">
        <f>'Raw Datas'!AY96</f>
        <v>0</v>
      </c>
      <c r="BB54" s="63" t="str">
        <f>'Raw Datas'!AZ96</f>
        <v>0</v>
      </c>
      <c r="BC54" s="63" t="str">
        <f>'Raw Datas'!BA96</f>
        <v>0</v>
      </c>
      <c r="BD54" s="63" t="str">
        <f>'Raw Datas'!BB96</f>
        <v>0</v>
      </c>
      <c r="BE54" s="63" t="str">
        <f>'Raw Datas'!BC96</f>
        <v>0</v>
      </c>
      <c r="BF54" s="63" t="str">
        <f>'Raw Datas'!BD96</f>
        <v>0</v>
      </c>
      <c r="BG54" s="63" t="str">
        <f>'Raw Datas'!BE96</f>
        <v>0</v>
      </c>
      <c r="BH54" s="63" t="str">
        <f>'Raw Datas'!BF96</f>
        <v>0</v>
      </c>
      <c r="BI54" s="63" t="str">
        <f>'Raw Datas'!BG96</f>
        <v>0</v>
      </c>
      <c r="BJ54" s="63" t="str">
        <f>'Raw Datas'!BH96</f>
        <v>0</v>
      </c>
      <c r="BK54" s="63" t="str">
        <f>'Raw Datas'!BI96</f>
        <v>0</v>
      </c>
      <c r="BL54" s="63" t="str">
        <f>'Raw Datas'!BJ96</f>
        <v>0</v>
      </c>
      <c r="BM54" s="63" t="str">
        <f>'Raw Datas'!BK96</f>
        <v>0</v>
      </c>
      <c r="BN54" s="63" t="str">
        <f>'Raw Datas'!BL96</f>
        <v>0</v>
      </c>
      <c r="BO54" s="63" t="str">
        <f>'Raw Datas'!BM96</f>
        <v>0</v>
      </c>
      <c r="BP54" s="63" t="str">
        <f>'Raw Datas'!BN96</f>
        <v>0</v>
      </c>
      <c r="BQ54" s="63" t="str">
        <f>'Raw Datas'!BO96</f>
        <v>0</v>
      </c>
      <c r="BR54" s="63" t="str">
        <f>'Raw Datas'!BP96</f>
        <v>0</v>
      </c>
      <c r="BS54" s="63" t="str">
        <f>'Raw Datas'!BQ96</f>
        <v>0</v>
      </c>
      <c r="BT54" s="63" t="str">
        <f>'Raw Datas'!BR96</f>
        <v>0</v>
      </c>
      <c r="BU54" s="63" t="str">
        <f>'Raw Datas'!BS96</f>
        <v>0</v>
      </c>
      <c r="BV54" s="63" t="str">
        <f>'Raw Datas'!BT96</f>
        <v>0</v>
      </c>
      <c r="BW54" s="63" t="str">
        <f>'Raw Datas'!BU96</f>
        <v>0</v>
      </c>
      <c r="BX54" s="63" t="str">
        <f>'Raw Datas'!BV96</f>
        <v>0</v>
      </c>
      <c r="BY54" s="63" t="str">
        <f>'Raw Datas'!BW96</f>
        <v>0</v>
      </c>
      <c r="BZ54" s="63" t="str">
        <f>'Raw Datas'!BX96</f>
        <v>0</v>
      </c>
      <c r="CA54" s="63" t="str">
        <f>'Raw Datas'!BY96</f>
        <v>0</v>
      </c>
      <c r="CB54" s="63" t="str">
        <f>'Raw Datas'!BZ96</f>
        <v>0</v>
      </c>
      <c r="CC54" s="63" t="str">
        <f>'Raw Datas'!CA96</f>
        <v>0</v>
      </c>
      <c r="CD54" s="63" t="str">
        <f>'Raw Datas'!CB96</f>
        <v>0</v>
      </c>
      <c r="CE54" s="63" t="str">
        <f>'Raw Datas'!CC96</f>
        <v>0</v>
      </c>
      <c r="CF54" s="63" t="str">
        <f>'Raw Datas'!CD96</f>
        <v>0</v>
      </c>
      <c r="CG54" s="63" t="str">
        <f>'Raw Datas'!CE96</f>
        <v>0</v>
      </c>
      <c r="CH54" s="63" t="str">
        <f>'Raw Datas'!CF96</f>
        <v>0</v>
      </c>
      <c r="CI54" s="63" t="str">
        <f>'Raw Datas'!CG96</f>
        <v>0</v>
      </c>
      <c r="CJ54" s="63" t="str">
        <f>'Raw Datas'!CH96</f>
        <v>0</v>
      </c>
      <c r="CK54" s="63" t="str">
        <f>'Raw Datas'!CI96</f>
        <v>0</v>
      </c>
      <c r="CL54" s="63" t="str">
        <f>'Raw Datas'!CJ96</f>
        <v>0</v>
      </c>
      <c r="CM54" s="63" t="str">
        <f>'Raw Datas'!CK96</f>
        <v>0</v>
      </c>
      <c r="CN54" s="63" t="str">
        <f>'Raw Datas'!CL96</f>
        <v>0</v>
      </c>
      <c r="CO54" s="63" t="str">
        <f>'Raw Datas'!CM96</f>
        <v>0</v>
      </c>
      <c r="CP54" s="63" t="str">
        <f>'Raw Datas'!CN96</f>
        <v>0</v>
      </c>
      <c r="CQ54" s="63" t="str">
        <f>'Raw Datas'!CO96</f>
        <v>0</v>
      </c>
      <c r="CR54" s="63" t="str">
        <f>'Raw Datas'!CP96</f>
        <v>0</v>
      </c>
      <c r="CS54" s="63" t="str">
        <f>'Raw Datas'!CQ96</f>
        <v>0</v>
      </c>
      <c r="CT54" s="63" t="str">
        <f>'Raw Datas'!CR96</f>
        <v>0</v>
      </c>
      <c r="CU54" s="63" t="str">
        <f>'Raw Datas'!CS96</f>
        <v>0</v>
      </c>
      <c r="CV54" s="63" t="str">
        <f>'Raw Datas'!CT96</f>
        <v>0</v>
      </c>
      <c r="CW54" s="63" t="str">
        <f>'Raw Datas'!CU96</f>
        <v>0</v>
      </c>
      <c r="CX54" s="63" t="str">
        <f>'Raw Datas'!CV96</f>
        <v>0</v>
      </c>
      <c r="CY54" s="63" t="str">
        <f>'Raw Datas'!CW96</f>
        <v>0</v>
      </c>
      <c r="CZ54" s="63" t="str">
        <f>'Raw Datas'!CX96</f>
        <v>0</v>
      </c>
      <c r="DA54" s="63" t="str">
        <f>'Raw Datas'!CY96</f>
        <v>0</v>
      </c>
      <c r="DB54" s="63" t="str">
        <f>'Raw Datas'!CZ96</f>
        <v>0</v>
      </c>
      <c r="DC54" s="63" t="str">
        <f>'Raw Datas'!DA96</f>
        <v>0</v>
      </c>
      <c r="DD54" s="63" t="str">
        <f>'Raw Datas'!DB96</f>
        <v>0</v>
      </c>
      <c r="DE54" s="63" t="str">
        <f>'Raw Datas'!DC96</f>
        <v>0</v>
      </c>
      <c r="DF54" s="63" t="str">
        <f>'Raw Datas'!DD96</f>
        <v>0</v>
      </c>
      <c r="DG54" s="63" t="str">
        <f>'Raw Datas'!DE96</f>
        <v>0</v>
      </c>
      <c r="DH54" s="63" t="str">
        <f>'Raw Datas'!DF96</f>
        <v>0</v>
      </c>
      <c r="DI54" s="63" t="str">
        <f>'Raw Datas'!DG96</f>
        <v>0</v>
      </c>
      <c r="DJ54" s="63" t="str">
        <f>'Raw Datas'!DH96</f>
        <v>0</v>
      </c>
      <c r="DK54" s="63" t="str">
        <f>'Raw Datas'!DI96</f>
        <v>0</v>
      </c>
      <c r="DL54" s="63" t="str">
        <f>'Raw Datas'!DJ96</f>
        <v>0</v>
      </c>
      <c r="DM54" s="63" t="str">
        <f>'Raw Datas'!DK96</f>
        <v>0</v>
      </c>
      <c r="DN54" s="63" t="str">
        <f>'Raw Datas'!DL96</f>
        <v>0</v>
      </c>
      <c r="DO54" s="63" t="str">
        <f>'Raw Datas'!DM96</f>
        <v>0</v>
      </c>
      <c r="DP54" s="63" t="str">
        <f>'Raw Datas'!DN96</f>
        <v>0</v>
      </c>
      <c r="DQ54" s="63" t="str">
        <f>'Raw Datas'!DO96</f>
        <v>0</v>
      </c>
      <c r="DR54" s="63" t="str">
        <f>'Raw Datas'!DP96</f>
        <v>0</v>
      </c>
      <c r="DS54" s="63" t="str">
        <f>'Raw Datas'!DQ96</f>
        <v>0</v>
      </c>
      <c r="DT54" s="63" t="str">
        <f>'Raw Datas'!DR96</f>
        <v>0</v>
      </c>
      <c r="DU54" s="63" t="str">
        <f>'Raw Datas'!DS96</f>
        <v>0</v>
      </c>
      <c r="DV54" s="63" t="str">
        <f>'Raw Datas'!DT96</f>
        <v>0</v>
      </c>
      <c r="DW54" s="63" t="str">
        <f>'Raw Datas'!DU96</f>
        <v>0</v>
      </c>
      <c r="DX54" s="63" t="str">
        <f>'Raw Datas'!DV96</f>
        <v>0</v>
      </c>
      <c r="DY54" s="63" t="str">
        <f>'Raw Datas'!DW96</f>
        <v>0</v>
      </c>
      <c r="DZ54" s="63" t="str">
        <f>'Raw Datas'!DX96</f>
        <v>0</v>
      </c>
      <c r="EA54" s="63" t="str">
        <f>'Raw Datas'!DY96</f>
        <v>0</v>
      </c>
      <c r="EB54" s="63" t="str">
        <f>'Raw Datas'!DZ96</f>
        <v>0</v>
      </c>
      <c r="EC54" s="63" t="str">
        <f>'Raw Datas'!EA96</f>
        <v>0</v>
      </c>
      <c r="ED54" s="63" t="str">
        <f>'Raw Datas'!EB96</f>
        <v>0</v>
      </c>
      <c r="EE54" s="63" t="str">
        <f>'Raw Datas'!EC96</f>
        <v>0</v>
      </c>
      <c r="EF54" s="63" t="str">
        <f>'Raw Datas'!ED96</f>
        <v>0</v>
      </c>
      <c r="EG54" s="63" t="str">
        <f>'Raw Datas'!EE96</f>
        <v>0</v>
      </c>
      <c r="EH54" s="63" t="str">
        <f>'Raw Datas'!EF96</f>
        <v>0</v>
      </c>
      <c r="EI54" s="63" t="str">
        <f>'Raw Datas'!EG96</f>
        <v>0</v>
      </c>
      <c r="EJ54" s="63" t="str">
        <f>'Raw Datas'!EH96</f>
        <v>0</v>
      </c>
      <c r="EK54" s="63" t="str">
        <f>'Raw Datas'!EI96</f>
        <v>0</v>
      </c>
      <c r="EL54" s="63" t="str">
        <f>'Raw Datas'!EJ96</f>
        <v>0</v>
      </c>
      <c r="EM54" s="63" t="str">
        <f>'Raw Datas'!EK96</f>
        <v>0</v>
      </c>
      <c r="EN54" s="63" t="str">
        <f>'Raw Datas'!EL96</f>
        <v>0</v>
      </c>
      <c r="EO54" s="63" t="str">
        <f>'Raw Datas'!EM96</f>
        <v>0</v>
      </c>
      <c r="EP54" s="63" t="str">
        <f>'Raw Datas'!EN96</f>
        <v>0</v>
      </c>
      <c r="EQ54" s="63" t="str">
        <f>'Raw Datas'!EO96</f>
        <v>0</v>
      </c>
      <c r="ER54" s="63" t="str">
        <f>'Raw Datas'!EP96</f>
        <v>0</v>
      </c>
      <c r="ES54" s="63" t="str">
        <f>'Raw Datas'!EQ96</f>
        <v>0</v>
      </c>
      <c r="ET54" s="63" t="str">
        <f>'Raw Datas'!ER96</f>
        <v>0</v>
      </c>
      <c r="EU54" s="63" t="str">
        <f>'Raw Datas'!ES96</f>
        <v>0</v>
      </c>
      <c r="EV54" s="63" t="str">
        <f>'Raw Datas'!ET96</f>
        <v>0</v>
      </c>
      <c r="EW54" s="63" t="str">
        <f>'Raw Datas'!EU96</f>
        <v>0</v>
      </c>
      <c r="EX54" s="63" t="str">
        <f>'Raw Datas'!EV96</f>
        <v>0</v>
      </c>
      <c r="EY54" s="63" t="str">
        <f>'Raw Datas'!EW96</f>
        <v>0</v>
      </c>
      <c r="EZ54" s="63" t="str">
        <f>'Raw Datas'!EX96</f>
        <v>0</v>
      </c>
      <c r="FA54" s="63" t="str">
        <f>'Raw Datas'!EY96</f>
        <v>0</v>
      </c>
      <c r="FB54" s="63" t="str">
        <f>'Raw Datas'!EZ96</f>
        <v>0</v>
      </c>
      <c r="FC54" s="63" t="str">
        <f>'Raw Datas'!FA96</f>
        <v>0</v>
      </c>
      <c r="FD54" s="63" t="str">
        <f>'Raw Datas'!FB96</f>
        <v>0</v>
      </c>
      <c r="FE54" s="63" t="str">
        <f>'Raw Datas'!FC96</f>
        <v>0</v>
      </c>
      <c r="FF54" s="63" t="str">
        <f>'Raw Datas'!FD96</f>
        <v>0</v>
      </c>
      <c r="FG54" s="63" t="str">
        <f>'Raw Datas'!FE96</f>
        <v>0</v>
      </c>
      <c r="FH54" s="63" t="str">
        <f>'Raw Datas'!FF96</f>
        <v>0</v>
      </c>
      <c r="FI54" s="63" t="str">
        <f>'Raw Datas'!FG96</f>
        <v>0</v>
      </c>
      <c r="FJ54" s="63" t="str">
        <f>'Raw Datas'!FH96</f>
        <v>0</v>
      </c>
      <c r="FK54" s="63" t="str">
        <f>'Raw Datas'!FI96</f>
        <v>0</v>
      </c>
      <c r="FL54" s="63" t="str">
        <f>'Raw Datas'!FJ96</f>
        <v>0</v>
      </c>
      <c r="FM54" s="63" t="str">
        <f>'Raw Datas'!FK96</f>
        <v>0</v>
      </c>
      <c r="FN54" s="63" t="str">
        <f>'Raw Datas'!FL96</f>
        <v>0</v>
      </c>
      <c r="FO54" s="63" t="str">
        <f>'Raw Datas'!FM96</f>
        <v>0</v>
      </c>
      <c r="FP54" s="63" t="str">
        <f>'Raw Datas'!FN96</f>
        <v>0</v>
      </c>
      <c r="FQ54" s="63" t="str">
        <f>'Raw Datas'!FO96</f>
        <v>0</v>
      </c>
    </row>
    <row r="55" spans="1:16092" x14ac:dyDescent="0.2">
      <c r="A55" s="117"/>
      <c r="B55" s="57" t="s">
        <v>25</v>
      </c>
      <c r="C55" s="104" t="s">
        <v>762</v>
      </c>
      <c r="D55" s="104"/>
      <c r="E55" s="60" t="str">
        <f>'Raw Datas'!C97</f>
        <v>0</v>
      </c>
      <c r="F55" s="63" t="str">
        <f>'Raw Datas'!D97</f>
        <v>0</v>
      </c>
      <c r="G55" s="63" t="str">
        <f>'Raw Datas'!E97</f>
        <v>0</v>
      </c>
      <c r="H55" s="63" t="str">
        <f>'Raw Datas'!F97</f>
        <v>0</v>
      </c>
      <c r="I55" s="63" t="str">
        <f>'Raw Datas'!G97</f>
        <v>0</v>
      </c>
      <c r="J55" s="63" t="str">
        <f>'Raw Datas'!H97</f>
        <v>0</v>
      </c>
      <c r="K55" s="63" t="str">
        <f>'Raw Datas'!I97</f>
        <v>0</v>
      </c>
      <c r="L55" s="63" t="str">
        <f>'Raw Datas'!J97</f>
        <v>0</v>
      </c>
      <c r="M55" s="63" t="str">
        <f>'Raw Datas'!K97</f>
        <v>0</v>
      </c>
      <c r="N55" s="63" t="str">
        <f>'Raw Datas'!L97</f>
        <v>0</v>
      </c>
      <c r="O55" s="63" t="str">
        <f>'Raw Datas'!M97</f>
        <v>0</v>
      </c>
      <c r="P55" s="63" t="str">
        <f>'Raw Datas'!N97</f>
        <v>0</v>
      </c>
      <c r="Q55" s="63" t="str">
        <f>'Raw Datas'!O97</f>
        <v>0</v>
      </c>
      <c r="R55" s="63" t="str">
        <f>'Raw Datas'!P97</f>
        <v>0</v>
      </c>
      <c r="S55" s="63" t="str">
        <f>'Raw Datas'!Q97</f>
        <v>0</v>
      </c>
      <c r="T55" s="63" t="str">
        <f>'Raw Datas'!R97</f>
        <v>0</v>
      </c>
      <c r="U55" s="63" t="str">
        <f>'Raw Datas'!S97</f>
        <v>0</v>
      </c>
      <c r="V55" s="63" t="str">
        <f>'Raw Datas'!T97</f>
        <v>0</v>
      </c>
      <c r="W55" s="63" t="str">
        <f>'Raw Datas'!U97</f>
        <v>0</v>
      </c>
      <c r="X55" s="63" t="str">
        <f>'Raw Datas'!V97</f>
        <v>0</v>
      </c>
      <c r="Y55" s="63" t="str">
        <f>'Raw Datas'!W97</f>
        <v>0</v>
      </c>
      <c r="Z55" s="63" t="str">
        <f>'Raw Datas'!X97</f>
        <v>0</v>
      </c>
      <c r="AA55" s="63" t="str">
        <f>'Raw Datas'!Y97</f>
        <v>0</v>
      </c>
      <c r="AB55" s="63" t="str">
        <f>'Raw Datas'!Z97</f>
        <v>0</v>
      </c>
      <c r="AC55" s="63" t="str">
        <f>'Raw Datas'!AA97</f>
        <v>0</v>
      </c>
      <c r="AD55" s="63" t="str">
        <f>'Raw Datas'!AB97</f>
        <v>0</v>
      </c>
      <c r="AE55" s="63" t="str">
        <f>'Raw Datas'!AC97</f>
        <v>0</v>
      </c>
      <c r="AF55" s="63" t="str">
        <f>'Raw Datas'!AD97</f>
        <v>0</v>
      </c>
      <c r="AG55" s="63" t="str">
        <f>'Raw Datas'!AE97</f>
        <v>0</v>
      </c>
      <c r="AH55" s="63" t="str">
        <f>'Raw Datas'!AF97</f>
        <v>0</v>
      </c>
      <c r="AI55" s="63" t="str">
        <f>'Raw Datas'!AG97</f>
        <v>0</v>
      </c>
      <c r="AJ55" s="63" t="str">
        <f>'Raw Datas'!AH97</f>
        <v>0</v>
      </c>
      <c r="AK55" s="63" t="str">
        <f>'Raw Datas'!AI97</f>
        <v>0</v>
      </c>
      <c r="AL55" s="63" t="str">
        <f>'Raw Datas'!AJ97</f>
        <v>0</v>
      </c>
      <c r="AM55" s="63" t="str">
        <f>'Raw Datas'!AK97</f>
        <v>0</v>
      </c>
      <c r="AN55" s="63" t="str">
        <f>'Raw Datas'!AL97</f>
        <v>0</v>
      </c>
      <c r="AO55" s="63" t="str">
        <f>'Raw Datas'!AM97</f>
        <v>0</v>
      </c>
      <c r="AP55" s="63" t="str">
        <f>'Raw Datas'!AN97</f>
        <v>0</v>
      </c>
      <c r="AQ55" s="63" t="str">
        <f>'Raw Datas'!AO97</f>
        <v>0</v>
      </c>
      <c r="AR55" s="63" t="str">
        <f>'Raw Datas'!AP97</f>
        <v>0</v>
      </c>
      <c r="AS55" s="63" t="str">
        <f>'Raw Datas'!AQ97</f>
        <v>0</v>
      </c>
      <c r="AT55" s="63" t="str">
        <f>'Raw Datas'!AR97</f>
        <v>0</v>
      </c>
      <c r="AU55" s="63" t="str">
        <f>'Raw Datas'!AS97</f>
        <v>0</v>
      </c>
      <c r="AV55" s="63" t="str">
        <f>'Raw Datas'!AT97</f>
        <v>0</v>
      </c>
      <c r="AW55" s="63" t="str">
        <f>'Raw Datas'!AU97</f>
        <v>0</v>
      </c>
      <c r="AX55" s="63" t="str">
        <f>'Raw Datas'!AV97</f>
        <v>0</v>
      </c>
      <c r="AY55" s="63" t="str">
        <f>'Raw Datas'!AW97</f>
        <v>0</v>
      </c>
      <c r="AZ55" s="63" t="str">
        <f>'Raw Datas'!AX97</f>
        <v>0</v>
      </c>
      <c r="BA55" s="63" t="str">
        <f>'Raw Datas'!AY97</f>
        <v>0</v>
      </c>
      <c r="BB55" s="63" t="str">
        <f>'Raw Datas'!AZ97</f>
        <v>0</v>
      </c>
      <c r="BC55" s="63" t="str">
        <f>'Raw Datas'!BA97</f>
        <v>0</v>
      </c>
      <c r="BD55" s="63" t="str">
        <f>'Raw Datas'!BB97</f>
        <v>0</v>
      </c>
      <c r="BE55" s="63" t="str">
        <f>'Raw Datas'!BC97</f>
        <v>0</v>
      </c>
      <c r="BF55" s="63" t="str">
        <f>'Raw Datas'!BD97</f>
        <v>0</v>
      </c>
      <c r="BG55" s="63" t="str">
        <f>'Raw Datas'!BE97</f>
        <v>0</v>
      </c>
      <c r="BH55" s="63" t="str">
        <f>'Raw Datas'!BF97</f>
        <v>0</v>
      </c>
      <c r="BI55" s="63" t="str">
        <f>'Raw Datas'!BG97</f>
        <v>0</v>
      </c>
      <c r="BJ55" s="63" t="str">
        <f>'Raw Datas'!BH97</f>
        <v>0</v>
      </c>
      <c r="BK55" s="63" t="str">
        <f>'Raw Datas'!BI97</f>
        <v>0</v>
      </c>
      <c r="BL55" s="63" t="str">
        <f>'Raw Datas'!BJ97</f>
        <v>0</v>
      </c>
      <c r="BM55" s="63" t="str">
        <f>'Raw Datas'!BK97</f>
        <v>0</v>
      </c>
      <c r="BN55" s="63" t="str">
        <f>'Raw Datas'!BL97</f>
        <v>0</v>
      </c>
      <c r="BO55" s="63" t="str">
        <f>'Raw Datas'!BM97</f>
        <v>0</v>
      </c>
      <c r="BP55" s="63" t="str">
        <f>'Raw Datas'!BN97</f>
        <v>0</v>
      </c>
      <c r="BQ55" s="63" t="str">
        <f>'Raw Datas'!BO97</f>
        <v>0</v>
      </c>
      <c r="BR55" s="63" t="str">
        <f>'Raw Datas'!BP97</f>
        <v>0</v>
      </c>
      <c r="BS55" s="63" t="str">
        <f>'Raw Datas'!BQ97</f>
        <v>0</v>
      </c>
      <c r="BT55" s="63" t="str">
        <f>'Raw Datas'!BR97</f>
        <v>0</v>
      </c>
      <c r="BU55" s="63" t="str">
        <f>'Raw Datas'!BS97</f>
        <v>0</v>
      </c>
      <c r="BV55" s="63" t="str">
        <f>'Raw Datas'!BT97</f>
        <v>0</v>
      </c>
      <c r="BW55" s="63" t="str">
        <f>'Raw Datas'!BU97</f>
        <v>0</v>
      </c>
      <c r="BX55" s="63" t="str">
        <f>'Raw Datas'!BV97</f>
        <v>0</v>
      </c>
      <c r="BY55" s="63" t="str">
        <f>'Raw Datas'!BW97</f>
        <v>0</v>
      </c>
      <c r="BZ55" s="63" t="str">
        <f>'Raw Datas'!BX97</f>
        <v>0</v>
      </c>
      <c r="CA55" s="63" t="str">
        <f>'Raw Datas'!BY97</f>
        <v>0</v>
      </c>
      <c r="CB55" s="63" t="str">
        <f>'Raw Datas'!BZ97</f>
        <v>0</v>
      </c>
      <c r="CC55" s="63" t="str">
        <f>'Raw Datas'!CA97</f>
        <v>0</v>
      </c>
      <c r="CD55" s="63" t="str">
        <f>'Raw Datas'!CB97</f>
        <v>0</v>
      </c>
      <c r="CE55" s="63" t="str">
        <f>'Raw Datas'!CC97</f>
        <v>0</v>
      </c>
      <c r="CF55" s="63" t="str">
        <f>'Raw Datas'!CD97</f>
        <v>0</v>
      </c>
      <c r="CG55" s="63" t="str">
        <f>'Raw Datas'!CE97</f>
        <v>0</v>
      </c>
      <c r="CH55" s="63" t="str">
        <f>'Raw Datas'!CF97</f>
        <v>0</v>
      </c>
      <c r="CI55" s="63" t="str">
        <f>'Raw Datas'!CG97</f>
        <v>0</v>
      </c>
      <c r="CJ55" s="63" t="str">
        <f>'Raw Datas'!CH97</f>
        <v>0</v>
      </c>
      <c r="CK55" s="63" t="str">
        <f>'Raw Datas'!CI97</f>
        <v>0</v>
      </c>
      <c r="CL55" s="63" t="str">
        <f>'Raw Datas'!CJ97</f>
        <v>0</v>
      </c>
      <c r="CM55" s="63" t="str">
        <f>'Raw Datas'!CK97</f>
        <v>0</v>
      </c>
      <c r="CN55" s="63" t="str">
        <f>'Raw Datas'!CL97</f>
        <v>0</v>
      </c>
      <c r="CO55" s="63" t="str">
        <f>'Raw Datas'!CM97</f>
        <v>0</v>
      </c>
      <c r="CP55" s="63" t="str">
        <f>'Raw Datas'!CN97</f>
        <v>0</v>
      </c>
      <c r="CQ55" s="63" t="str">
        <f>'Raw Datas'!CO97</f>
        <v>0</v>
      </c>
      <c r="CR55" s="63" t="str">
        <f>'Raw Datas'!CP97</f>
        <v>0</v>
      </c>
      <c r="CS55" s="63" t="str">
        <f>'Raw Datas'!CQ97</f>
        <v>0</v>
      </c>
      <c r="CT55" s="63" t="str">
        <f>'Raw Datas'!CR97</f>
        <v>0</v>
      </c>
      <c r="CU55" s="63" t="str">
        <f>'Raw Datas'!CS97</f>
        <v>0</v>
      </c>
      <c r="CV55" s="63" t="str">
        <f>'Raw Datas'!CT97</f>
        <v>0</v>
      </c>
      <c r="CW55" s="63" t="str">
        <f>'Raw Datas'!CU97</f>
        <v>0</v>
      </c>
      <c r="CX55" s="63" t="str">
        <f>'Raw Datas'!CV97</f>
        <v>0</v>
      </c>
      <c r="CY55" s="63" t="str">
        <f>'Raw Datas'!CW97</f>
        <v>0</v>
      </c>
      <c r="CZ55" s="63" t="str">
        <f>'Raw Datas'!CX97</f>
        <v>0</v>
      </c>
      <c r="DA55" s="63" t="str">
        <f>'Raw Datas'!CY97</f>
        <v>0</v>
      </c>
      <c r="DB55" s="63" t="str">
        <f>'Raw Datas'!CZ97</f>
        <v>0</v>
      </c>
      <c r="DC55" s="63" t="str">
        <f>'Raw Datas'!DA97</f>
        <v>0</v>
      </c>
      <c r="DD55" s="63" t="str">
        <f>'Raw Datas'!DB97</f>
        <v>0</v>
      </c>
      <c r="DE55" s="63" t="str">
        <f>'Raw Datas'!DC97</f>
        <v>0</v>
      </c>
      <c r="DF55" s="63" t="str">
        <f>'Raw Datas'!DD97</f>
        <v>0</v>
      </c>
      <c r="DG55" s="63" t="str">
        <f>'Raw Datas'!DE97</f>
        <v>0</v>
      </c>
      <c r="DH55" s="63" t="str">
        <f>'Raw Datas'!DF97</f>
        <v>0</v>
      </c>
      <c r="DI55" s="63" t="str">
        <f>'Raw Datas'!DG97</f>
        <v>0</v>
      </c>
      <c r="DJ55" s="63" t="str">
        <f>'Raw Datas'!DH97</f>
        <v>0</v>
      </c>
      <c r="DK55" s="63" t="str">
        <f>'Raw Datas'!DI97</f>
        <v>0</v>
      </c>
      <c r="DL55" s="63" t="str">
        <f>'Raw Datas'!DJ97</f>
        <v>0</v>
      </c>
      <c r="DM55" s="63" t="str">
        <f>'Raw Datas'!DK97</f>
        <v>0</v>
      </c>
      <c r="DN55" s="63" t="str">
        <f>'Raw Datas'!DL97</f>
        <v>0</v>
      </c>
      <c r="DO55" s="63" t="str">
        <f>'Raw Datas'!DM97</f>
        <v>0</v>
      </c>
      <c r="DP55" s="63" t="str">
        <f>'Raw Datas'!DN97</f>
        <v>0</v>
      </c>
      <c r="DQ55" s="63" t="str">
        <f>'Raw Datas'!DO97</f>
        <v>0</v>
      </c>
      <c r="DR55" s="63" t="str">
        <f>'Raw Datas'!DP97</f>
        <v>0</v>
      </c>
      <c r="DS55" s="63" t="str">
        <f>'Raw Datas'!DQ97</f>
        <v>0</v>
      </c>
      <c r="DT55" s="63" t="str">
        <f>'Raw Datas'!DR97</f>
        <v>0</v>
      </c>
      <c r="DU55" s="63" t="str">
        <f>'Raw Datas'!DS97</f>
        <v>0</v>
      </c>
      <c r="DV55" s="63" t="str">
        <f>'Raw Datas'!DT97</f>
        <v>0</v>
      </c>
      <c r="DW55" s="63" t="str">
        <f>'Raw Datas'!DU97</f>
        <v>0</v>
      </c>
      <c r="DX55" s="63" t="str">
        <f>'Raw Datas'!DV97</f>
        <v>0</v>
      </c>
      <c r="DY55" s="63" t="str">
        <f>'Raw Datas'!DW97</f>
        <v>0</v>
      </c>
      <c r="DZ55" s="63" t="str">
        <f>'Raw Datas'!DX97</f>
        <v>0</v>
      </c>
      <c r="EA55" s="63" t="str">
        <f>'Raw Datas'!DY97</f>
        <v>0</v>
      </c>
      <c r="EB55" s="63" t="str">
        <f>'Raw Datas'!DZ97</f>
        <v>0</v>
      </c>
      <c r="EC55" s="63" t="str">
        <f>'Raw Datas'!EA97</f>
        <v>0</v>
      </c>
      <c r="ED55" s="63" t="str">
        <f>'Raw Datas'!EB97</f>
        <v>0</v>
      </c>
      <c r="EE55" s="63" t="str">
        <f>'Raw Datas'!EC97</f>
        <v>0</v>
      </c>
      <c r="EF55" s="63" t="str">
        <f>'Raw Datas'!ED97</f>
        <v>0</v>
      </c>
      <c r="EG55" s="63" t="str">
        <f>'Raw Datas'!EE97</f>
        <v>0</v>
      </c>
      <c r="EH55" s="63" t="str">
        <f>'Raw Datas'!EF97</f>
        <v>0</v>
      </c>
      <c r="EI55" s="63" t="str">
        <f>'Raw Datas'!EG97</f>
        <v>0</v>
      </c>
      <c r="EJ55" s="63" t="str">
        <f>'Raw Datas'!EH97</f>
        <v>0</v>
      </c>
      <c r="EK55" s="63" t="str">
        <f>'Raw Datas'!EI97</f>
        <v>0</v>
      </c>
      <c r="EL55" s="63" t="str">
        <f>'Raw Datas'!EJ97</f>
        <v>0</v>
      </c>
      <c r="EM55" s="63" t="str">
        <f>'Raw Datas'!EK97</f>
        <v>0</v>
      </c>
      <c r="EN55" s="63" t="str">
        <f>'Raw Datas'!EL97</f>
        <v>0</v>
      </c>
      <c r="EO55" s="63" t="str">
        <f>'Raw Datas'!EM97</f>
        <v>0</v>
      </c>
      <c r="EP55" s="63" t="str">
        <f>'Raw Datas'!EN97</f>
        <v>0</v>
      </c>
      <c r="EQ55" s="63" t="str">
        <f>'Raw Datas'!EO97</f>
        <v>0</v>
      </c>
      <c r="ER55" s="63" t="str">
        <f>'Raw Datas'!EP97</f>
        <v>0</v>
      </c>
      <c r="ES55" s="63" t="str">
        <f>'Raw Datas'!EQ97</f>
        <v>0</v>
      </c>
      <c r="ET55" s="63" t="str">
        <f>'Raw Datas'!ER97</f>
        <v>0</v>
      </c>
      <c r="EU55" s="63" t="str">
        <f>'Raw Datas'!ES97</f>
        <v>0</v>
      </c>
      <c r="EV55" s="63" t="str">
        <f>'Raw Datas'!ET97</f>
        <v>0</v>
      </c>
      <c r="EW55" s="63" t="str">
        <f>'Raw Datas'!EU97</f>
        <v>0</v>
      </c>
      <c r="EX55" s="63" t="str">
        <f>'Raw Datas'!EV97</f>
        <v>0</v>
      </c>
      <c r="EY55" s="63" t="str">
        <f>'Raw Datas'!EW97</f>
        <v>0</v>
      </c>
      <c r="EZ55" s="63" t="str">
        <f>'Raw Datas'!EX97</f>
        <v>0</v>
      </c>
      <c r="FA55" s="63" t="str">
        <f>'Raw Datas'!EY97</f>
        <v>0</v>
      </c>
      <c r="FB55" s="63" t="str">
        <f>'Raw Datas'!EZ97</f>
        <v>0</v>
      </c>
      <c r="FC55" s="63" t="str">
        <f>'Raw Datas'!FA97</f>
        <v>0</v>
      </c>
      <c r="FD55" s="63" t="str">
        <f>'Raw Datas'!FB97</f>
        <v>0</v>
      </c>
      <c r="FE55" s="63" t="str">
        <f>'Raw Datas'!FC97</f>
        <v>0</v>
      </c>
      <c r="FF55" s="63" t="str">
        <f>'Raw Datas'!FD97</f>
        <v>0</v>
      </c>
      <c r="FG55" s="63" t="str">
        <f>'Raw Datas'!FE97</f>
        <v>0</v>
      </c>
      <c r="FH55" s="63" t="str">
        <f>'Raw Datas'!FF97</f>
        <v>0</v>
      </c>
      <c r="FI55" s="63" t="str">
        <f>'Raw Datas'!FG97</f>
        <v>0</v>
      </c>
      <c r="FJ55" s="63" t="str">
        <f>'Raw Datas'!FH97</f>
        <v>0</v>
      </c>
      <c r="FK55" s="63" t="str">
        <f>'Raw Datas'!FI97</f>
        <v>0</v>
      </c>
      <c r="FL55" s="63" t="str">
        <f>'Raw Datas'!FJ97</f>
        <v>0</v>
      </c>
      <c r="FM55" s="63" t="str">
        <f>'Raw Datas'!FK97</f>
        <v>0</v>
      </c>
      <c r="FN55" s="63" t="str">
        <f>'Raw Datas'!FL97</f>
        <v>0</v>
      </c>
      <c r="FO55" s="63" t="str">
        <f>'Raw Datas'!FM97</f>
        <v>0</v>
      </c>
      <c r="FP55" s="63" t="str">
        <f>'Raw Datas'!FN97</f>
        <v>0</v>
      </c>
      <c r="FQ55" s="63" t="str">
        <f>'Raw Datas'!FO97</f>
        <v>0</v>
      </c>
    </row>
    <row r="56" spans="1:16092" x14ac:dyDescent="0.2">
      <c r="A56" s="117"/>
      <c r="B56" s="57" t="s">
        <v>383</v>
      </c>
      <c r="C56" s="104" t="s">
        <v>763</v>
      </c>
      <c r="D56" s="104"/>
      <c r="E56" s="60" t="str">
        <f>'Raw Datas'!C98</f>
        <v>0</v>
      </c>
      <c r="F56" s="60" t="str">
        <f>'Raw Datas'!D98</f>
        <v>0</v>
      </c>
      <c r="G56" s="60" t="str">
        <f>'Raw Datas'!E98</f>
        <v>0</v>
      </c>
      <c r="H56" s="60" t="str">
        <f>'Raw Datas'!F98</f>
        <v>0</v>
      </c>
      <c r="I56" s="60" t="str">
        <f>'Raw Datas'!G98</f>
        <v>0</v>
      </c>
      <c r="J56" s="60" t="str">
        <f>'Raw Datas'!H98</f>
        <v>0</v>
      </c>
      <c r="K56" s="60" t="str">
        <f>'Raw Datas'!I98</f>
        <v>0</v>
      </c>
      <c r="L56" s="60" t="str">
        <f>'Raw Datas'!J98</f>
        <v>0</v>
      </c>
      <c r="M56" s="60" t="str">
        <f>'Raw Datas'!K98</f>
        <v>0</v>
      </c>
      <c r="N56" s="60" t="str">
        <f>'Raw Datas'!L98</f>
        <v>0</v>
      </c>
      <c r="O56" s="60" t="str">
        <f>'Raw Datas'!M98</f>
        <v>0</v>
      </c>
      <c r="P56" s="60" t="str">
        <f>'Raw Datas'!N98</f>
        <v>0</v>
      </c>
      <c r="Q56" s="60" t="str">
        <f>'Raw Datas'!O98</f>
        <v>0</v>
      </c>
      <c r="R56" s="60" t="str">
        <f>'Raw Datas'!P98</f>
        <v>0</v>
      </c>
      <c r="S56" s="60" t="str">
        <f>'Raw Datas'!Q98</f>
        <v>0</v>
      </c>
      <c r="T56" s="60" t="str">
        <f>'Raw Datas'!R98</f>
        <v>0</v>
      </c>
      <c r="U56" s="60" t="str">
        <f>'Raw Datas'!S98</f>
        <v>0</v>
      </c>
      <c r="V56" s="60" t="str">
        <f>'Raw Datas'!T98</f>
        <v>0</v>
      </c>
      <c r="W56" s="60" t="str">
        <f>'Raw Datas'!U98</f>
        <v>0</v>
      </c>
      <c r="X56" s="60" t="str">
        <f>'Raw Datas'!V98</f>
        <v>0</v>
      </c>
      <c r="Y56" s="60" t="str">
        <f>'Raw Datas'!W98</f>
        <v>0</v>
      </c>
      <c r="Z56" s="60" t="str">
        <f>'Raw Datas'!X98</f>
        <v>0</v>
      </c>
      <c r="AA56" s="60" t="str">
        <f>'Raw Datas'!Y98</f>
        <v>0</v>
      </c>
      <c r="AB56" s="60" t="str">
        <f>'Raw Datas'!Z98</f>
        <v>0</v>
      </c>
      <c r="AC56" s="60" t="str">
        <f>'Raw Datas'!AA98</f>
        <v>0</v>
      </c>
      <c r="AD56" s="60" t="str">
        <f>'Raw Datas'!AB98</f>
        <v>0</v>
      </c>
      <c r="AE56" s="60" t="str">
        <f>'Raw Datas'!AC98</f>
        <v>0</v>
      </c>
      <c r="AF56" s="60" t="str">
        <f>'Raw Datas'!AD98</f>
        <v>0</v>
      </c>
      <c r="AG56" s="60" t="str">
        <f>'Raw Datas'!AE98</f>
        <v>0</v>
      </c>
      <c r="AH56" s="60" t="str">
        <f>'Raw Datas'!AF98</f>
        <v>0</v>
      </c>
      <c r="AI56" s="60" t="str">
        <f>'Raw Datas'!AG98</f>
        <v>0</v>
      </c>
      <c r="AJ56" s="60" t="str">
        <f>'Raw Datas'!AH98</f>
        <v>0</v>
      </c>
      <c r="AK56" s="60" t="str">
        <f>'Raw Datas'!AI98</f>
        <v>0</v>
      </c>
      <c r="AL56" s="60" t="str">
        <f>'Raw Datas'!AJ98</f>
        <v>0</v>
      </c>
      <c r="AM56" s="60" t="str">
        <f>'Raw Datas'!AK98</f>
        <v>0</v>
      </c>
      <c r="AN56" s="60" t="str">
        <f>'Raw Datas'!AL98</f>
        <v>0</v>
      </c>
      <c r="AO56" s="60" t="str">
        <f>'Raw Datas'!AM98</f>
        <v>0</v>
      </c>
      <c r="AP56" s="60" t="str">
        <f>'Raw Datas'!AN98</f>
        <v>0</v>
      </c>
      <c r="AQ56" s="60" t="str">
        <f>'Raw Datas'!AO98</f>
        <v>0</v>
      </c>
      <c r="AR56" s="60" t="str">
        <f>'Raw Datas'!AP98</f>
        <v>0</v>
      </c>
      <c r="AS56" s="60" t="str">
        <f>'Raw Datas'!AQ98</f>
        <v>0</v>
      </c>
      <c r="AT56" s="60" t="str">
        <f>'Raw Datas'!AR98</f>
        <v>0</v>
      </c>
      <c r="AU56" s="60" t="str">
        <f>'Raw Datas'!AS98</f>
        <v>0</v>
      </c>
      <c r="AV56" s="60" t="str">
        <f>'Raw Datas'!AT98</f>
        <v>0</v>
      </c>
      <c r="AW56" s="60" t="str">
        <f>'Raw Datas'!AU98</f>
        <v>0</v>
      </c>
      <c r="AX56" s="60" t="str">
        <f>'Raw Datas'!AV98</f>
        <v>0</v>
      </c>
      <c r="AY56" s="60" t="str">
        <f>'Raw Datas'!AW98</f>
        <v>0</v>
      </c>
      <c r="AZ56" s="60" t="str">
        <f>'Raw Datas'!AX98</f>
        <v>0</v>
      </c>
      <c r="BA56" s="60" t="str">
        <f>'Raw Datas'!AY98</f>
        <v>0</v>
      </c>
      <c r="BB56" s="60" t="str">
        <f>'Raw Datas'!AZ98</f>
        <v>0</v>
      </c>
      <c r="BC56" s="60" t="str">
        <f>'Raw Datas'!BA98</f>
        <v>0</v>
      </c>
      <c r="BD56" s="60" t="str">
        <f>'Raw Datas'!BB98</f>
        <v>0</v>
      </c>
      <c r="BE56" s="60" t="str">
        <f>'Raw Datas'!BC98</f>
        <v>0</v>
      </c>
      <c r="BF56" s="60" t="str">
        <f>'Raw Datas'!BD98</f>
        <v>0</v>
      </c>
      <c r="BG56" s="60" t="str">
        <f>'Raw Datas'!BE98</f>
        <v>0</v>
      </c>
      <c r="BH56" s="60" t="str">
        <f>'Raw Datas'!BF98</f>
        <v>0</v>
      </c>
      <c r="BI56" s="60" t="str">
        <f>'Raw Datas'!BG98</f>
        <v>0</v>
      </c>
      <c r="BJ56" s="60" t="str">
        <f>'Raw Datas'!BH98</f>
        <v>0</v>
      </c>
      <c r="BK56" s="60" t="str">
        <f>'Raw Datas'!BI98</f>
        <v>0</v>
      </c>
      <c r="BL56" s="60" t="str">
        <f>'Raw Datas'!BJ98</f>
        <v>0</v>
      </c>
      <c r="BM56" s="60" t="str">
        <f>'Raw Datas'!BK98</f>
        <v>0</v>
      </c>
      <c r="BN56" s="60" t="str">
        <f>'Raw Datas'!BL98</f>
        <v>0</v>
      </c>
      <c r="BO56" s="60" t="str">
        <f>'Raw Datas'!BM98</f>
        <v>0</v>
      </c>
      <c r="BP56" s="60" t="str">
        <f>'Raw Datas'!BN98</f>
        <v>0</v>
      </c>
      <c r="BQ56" s="60" t="str">
        <f>'Raw Datas'!BO98</f>
        <v>0</v>
      </c>
      <c r="BR56" s="60" t="str">
        <f>'Raw Datas'!BP98</f>
        <v>0</v>
      </c>
      <c r="BS56" s="60" t="str">
        <f>'Raw Datas'!BQ98</f>
        <v>0</v>
      </c>
      <c r="BT56" s="60" t="str">
        <f>'Raw Datas'!BR98</f>
        <v>0</v>
      </c>
      <c r="BU56" s="60" t="str">
        <f>'Raw Datas'!BS98</f>
        <v>0</v>
      </c>
      <c r="BV56" s="60" t="str">
        <f>'Raw Datas'!BT98</f>
        <v>0</v>
      </c>
      <c r="BW56" s="60" t="str">
        <f>'Raw Datas'!BU98</f>
        <v>0</v>
      </c>
      <c r="BX56" s="60" t="str">
        <f>'Raw Datas'!BV98</f>
        <v>0</v>
      </c>
      <c r="BY56" s="60" t="str">
        <f>'Raw Datas'!BW98</f>
        <v>0</v>
      </c>
      <c r="BZ56" s="60" t="str">
        <f>'Raw Datas'!BX98</f>
        <v>0</v>
      </c>
      <c r="CA56" s="60" t="str">
        <f>'Raw Datas'!BY98</f>
        <v>0</v>
      </c>
      <c r="CB56" s="60" t="str">
        <f>'Raw Datas'!BZ98</f>
        <v>0</v>
      </c>
      <c r="CC56" s="60" t="str">
        <f>'Raw Datas'!CA98</f>
        <v>0</v>
      </c>
      <c r="CD56" s="60" t="str">
        <f>'Raw Datas'!CB98</f>
        <v>0</v>
      </c>
      <c r="CE56" s="60" t="str">
        <f>'Raw Datas'!CC98</f>
        <v>0</v>
      </c>
      <c r="CF56" s="60" t="str">
        <f>'Raw Datas'!CD98</f>
        <v>0</v>
      </c>
      <c r="CG56" s="60" t="str">
        <f>'Raw Datas'!CE98</f>
        <v>0</v>
      </c>
      <c r="CH56" s="60" t="str">
        <f>'Raw Datas'!CF98</f>
        <v>0</v>
      </c>
      <c r="CI56" s="60" t="str">
        <f>'Raw Datas'!CG98</f>
        <v>0</v>
      </c>
      <c r="CJ56" s="60" t="str">
        <f>'Raw Datas'!CH98</f>
        <v>0</v>
      </c>
      <c r="CK56" s="60" t="str">
        <f>'Raw Datas'!CI98</f>
        <v>0</v>
      </c>
      <c r="CL56" s="60" t="str">
        <f>'Raw Datas'!CJ98</f>
        <v>0</v>
      </c>
      <c r="CM56" s="60" t="str">
        <f>'Raw Datas'!CK98</f>
        <v>0</v>
      </c>
      <c r="CN56" s="60" t="str">
        <f>'Raw Datas'!CL98</f>
        <v>0</v>
      </c>
      <c r="CO56" s="60" t="str">
        <f>'Raw Datas'!CM98</f>
        <v>0</v>
      </c>
      <c r="CP56" s="60" t="str">
        <f>'Raw Datas'!CN98</f>
        <v>0</v>
      </c>
      <c r="CQ56" s="60" t="str">
        <f>'Raw Datas'!CO98</f>
        <v>0</v>
      </c>
      <c r="CR56" s="60" t="str">
        <f>'Raw Datas'!CP98</f>
        <v>0</v>
      </c>
      <c r="CS56" s="60" t="str">
        <f>'Raw Datas'!CQ98</f>
        <v>0</v>
      </c>
      <c r="CT56" s="60" t="str">
        <f>'Raw Datas'!CR98</f>
        <v>0</v>
      </c>
      <c r="CU56" s="60" t="str">
        <f>'Raw Datas'!CS98</f>
        <v>0</v>
      </c>
      <c r="CV56" s="60" t="str">
        <f>'Raw Datas'!CT98</f>
        <v>0</v>
      </c>
      <c r="CW56" s="60" t="str">
        <f>'Raw Datas'!CU98</f>
        <v>0</v>
      </c>
      <c r="CX56" s="60" t="str">
        <f>'Raw Datas'!CV98</f>
        <v>0</v>
      </c>
      <c r="CY56" s="60" t="str">
        <f>'Raw Datas'!CW98</f>
        <v>0</v>
      </c>
      <c r="CZ56" s="60" t="str">
        <f>'Raw Datas'!CX98</f>
        <v>0</v>
      </c>
      <c r="DA56" s="60" t="str">
        <f>'Raw Datas'!CY98</f>
        <v>0</v>
      </c>
      <c r="DB56" s="60" t="str">
        <f>'Raw Datas'!CZ98</f>
        <v>0</v>
      </c>
      <c r="DC56" s="60" t="str">
        <f>'Raw Datas'!DA98</f>
        <v>0</v>
      </c>
      <c r="DD56" s="60" t="str">
        <f>'Raw Datas'!DB98</f>
        <v>0</v>
      </c>
      <c r="DE56" s="60" t="str">
        <f>'Raw Datas'!DC98</f>
        <v>0</v>
      </c>
      <c r="DF56" s="60" t="str">
        <f>'Raw Datas'!DD98</f>
        <v>0</v>
      </c>
      <c r="DG56" s="60" t="str">
        <f>'Raw Datas'!DE98</f>
        <v>0</v>
      </c>
      <c r="DH56" s="60" t="str">
        <f>'Raw Datas'!DF98</f>
        <v>0</v>
      </c>
      <c r="DI56" s="60" t="str">
        <f>'Raw Datas'!DG98</f>
        <v>0</v>
      </c>
      <c r="DJ56" s="60" t="str">
        <f>'Raw Datas'!DH98</f>
        <v>0</v>
      </c>
      <c r="DK56" s="60" t="str">
        <f>'Raw Datas'!DI98</f>
        <v>0</v>
      </c>
      <c r="DL56" s="60" t="str">
        <f>'Raw Datas'!DJ98</f>
        <v>0</v>
      </c>
      <c r="DM56" s="60" t="str">
        <f>'Raw Datas'!DK98</f>
        <v>0</v>
      </c>
      <c r="DN56" s="60" t="str">
        <f>'Raw Datas'!DL98</f>
        <v>0</v>
      </c>
      <c r="DO56" s="60" t="str">
        <f>'Raw Datas'!DM98</f>
        <v>0</v>
      </c>
      <c r="DP56" s="60" t="str">
        <f>'Raw Datas'!DN98</f>
        <v>0</v>
      </c>
      <c r="DQ56" s="60" t="str">
        <f>'Raw Datas'!DO98</f>
        <v>0</v>
      </c>
      <c r="DR56" s="60" t="str">
        <f>'Raw Datas'!DP98</f>
        <v>0</v>
      </c>
      <c r="DS56" s="60" t="str">
        <f>'Raw Datas'!DQ98</f>
        <v>0</v>
      </c>
      <c r="DT56" s="60" t="str">
        <f>'Raw Datas'!DR98</f>
        <v>0</v>
      </c>
      <c r="DU56" s="60" t="str">
        <f>'Raw Datas'!DS98</f>
        <v>0</v>
      </c>
      <c r="DV56" s="60" t="str">
        <f>'Raw Datas'!DT98</f>
        <v>0</v>
      </c>
      <c r="DW56" s="60" t="str">
        <f>'Raw Datas'!DU98</f>
        <v>0</v>
      </c>
      <c r="DX56" s="60" t="str">
        <f>'Raw Datas'!DV98</f>
        <v>0</v>
      </c>
      <c r="DY56" s="60" t="str">
        <f>'Raw Datas'!DW98</f>
        <v>0</v>
      </c>
      <c r="DZ56" s="60" t="str">
        <f>'Raw Datas'!DX98</f>
        <v>0</v>
      </c>
      <c r="EA56" s="60" t="str">
        <f>'Raw Datas'!DY98</f>
        <v>0</v>
      </c>
      <c r="EB56" s="60" t="str">
        <f>'Raw Datas'!DZ98</f>
        <v>0</v>
      </c>
      <c r="EC56" s="60" t="str">
        <f>'Raw Datas'!EA98</f>
        <v>0</v>
      </c>
      <c r="ED56" s="60" t="str">
        <f>'Raw Datas'!EB98</f>
        <v>0</v>
      </c>
      <c r="EE56" s="60" t="str">
        <f>'Raw Datas'!EC98</f>
        <v>0</v>
      </c>
      <c r="EF56" s="60" t="str">
        <f>'Raw Datas'!ED98</f>
        <v>0</v>
      </c>
      <c r="EG56" s="60" t="str">
        <f>'Raw Datas'!EE98</f>
        <v>0</v>
      </c>
      <c r="EH56" s="60" t="str">
        <f>'Raw Datas'!EF98</f>
        <v>0</v>
      </c>
      <c r="EI56" s="60" t="str">
        <f>'Raw Datas'!EG98</f>
        <v>0</v>
      </c>
      <c r="EJ56" s="60" t="str">
        <f>'Raw Datas'!EH98</f>
        <v>0</v>
      </c>
      <c r="EK56" s="60" t="str">
        <f>'Raw Datas'!EI98</f>
        <v>0</v>
      </c>
      <c r="EL56" s="60" t="str">
        <f>'Raw Datas'!EJ98</f>
        <v>0</v>
      </c>
      <c r="EM56" s="60" t="str">
        <f>'Raw Datas'!EK98</f>
        <v>0</v>
      </c>
      <c r="EN56" s="60" t="str">
        <f>'Raw Datas'!EL98</f>
        <v>0</v>
      </c>
      <c r="EO56" s="60" t="str">
        <f>'Raw Datas'!EM98</f>
        <v>0</v>
      </c>
      <c r="EP56" s="60" t="str">
        <f>'Raw Datas'!EN98</f>
        <v>0</v>
      </c>
      <c r="EQ56" s="60" t="str">
        <f>'Raw Datas'!EO98</f>
        <v>0</v>
      </c>
      <c r="ER56" s="60" t="str">
        <f>'Raw Datas'!EP98</f>
        <v>0</v>
      </c>
      <c r="ES56" s="60" t="str">
        <f>'Raw Datas'!EQ98</f>
        <v>0</v>
      </c>
      <c r="ET56" s="60" t="str">
        <f>'Raw Datas'!ER98</f>
        <v>0</v>
      </c>
      <c r="EU56" s="60" t="str">
        <f>'Raw Datas'!ES98</f>
        <v>0</v>
      </c>
      <c r="EV56" s="60" t="str">
        <f>'Raw Datas'!ET98</f>
        <v>0</v>
      </c>
      <c r="EW56" s="60" t="str">
        <f>'Raw Datas'!EU98</f>
        <v>0</v>
      </c>
      <c r="EX56" s="60" t="str">
        <f>'Raw Datas'!EV98</f>
        <v>0</v>
      </c>
      <c r="EY56" s="60" t="str">
        <f>'Raw Datas'!EW98</f>
        <v>0</v>
      </c>
      <c r="EZ56" s="60" t="str">
        <f>'Raw Datas'!EX98</f>
        <v>0</v>
      </c>
      <c r="FA56" s="60" t="str">
        <f>'Raw Datas'!EY98</f>
        <v>0</v>
      </c>
      <c r="FB56" s="60" t="str">
        <f>'Raw Datas'!EZ98</f>
        <v>0</v>
      </c>
      <c r="FC56" s="60" t="str">
        <f>'Raw Datas'!FA98</f>
        <v>0</v>
      </c>
      <c r="FD56" s="60" t="str">
        <f>'Raw Datas'!FB98</f>
        <v>0</v>
      </c>
      <c r="FE56" s="60" t="str">
        <f>'Raw Datas'!FC98</f>
        <v>0</v>
      </c>
      <c r="FF56" s="60" t="str">
        <f>'Raw Datas'!FD98</f>
        <v>0</v>
      </c>
      <c r="FG56" s="60" t="str">
        <f>'Raw Datas'!FE98</f>
        <v>0</v>
      </c>
      <c r="FH56" s="60" t="str">
        <f>'Raw Datas'!FF98</f>
        <v>0</v>
      </c>
      <c r="FI56" s="60" t="str">
        <f>'Raw Datas'!FG98</f>
        <v>0</v>
      </c>
      <c r="FJ56" s="60" t="str">
        <f>'Raw Datas'!FH98</f>
        <v>0</v>
      </c>
      <c r="FK56" s="60" t="str">
        <f>'Raw Datas'!FI98</f>
        <v>0</v>
      </c>
      <c r="FL56" s="60" t="str">
        <f>'Raw Datas'!FJ98</f>
        <v>0</v>
      </c>
      <c r="FM56" s="60" t="str">
        <f>'Raw Datas'!FK98</f>
        <v>0</v>
      </c>
      <c r="FN56" s="60" t="str">
        <f>'Raw Datas'!FL98</f>
        <v>0</v>
      </c>
      <c r="FO56" s="60" t="str">
        <f>'Raw Datas'!FM98</f>
        <v>0</v>
      </c>
      <c r="FP56" s="60" t="str">
        <f>'Raw Datas'!FN98</f>
        <v>0</v>
      </c>
      <c r="FQ56" s="60" t="str">
        <f>'Raw Datas'!FO98</f>
        <v>0</v>
      </c>
    </row>
    <row r="57" spans="1:16092" x14ac:dyDescent="0.2">
      <c r="A57" s="117"/>
      <c r="B57" s="57" t="s">
        <v>26</v>
      </c>
      <c r="C57" s="104" t="s">
        <v>764</v>
      </c>
      <c r="D57" s="104" t="s">
        <v>140</v>
      </c>
      <c r="E57" s="60" t="str">
        <f>'Raw Datas'!C99</f>
        <v>0</v>
      </c>
      <c r="F57" s="63" t="str">
        <f>'Raw Datas'!D99</f>
        <v>0</v>
      </c>
      <c r="G57" s="63" t="str">
        <f>'Raw Datas'!E99</f>
        <v>0</v>
      </c>
      <c r="H57" s="63" t="str">
        <f>'Raw Datas'!F99</f>
        <v>0</v>
      </c>
      <c r="I57" s="63" t="str">
        <f>'Raw Datas'!G99</f>
        <v>0</v>
      </c>
      <c r="J57" s="63" t="str">
        <f>'Raw Datas'!H99</f>
        <v>0</v>
      </c>
      <c r="K57" s="63" t="str">
        <f>'Raw Datas'!I99</f>
        <v>0</v>
      </c>
      <c r="L57" s="63" t="str">
        <f>'Raw Datas'!J99</f>
        <v>0</v>
      </c>
      <c r="M57" s="63" t="str">
        <f>'Raw Datas'!K99</f>
        <v>0</v>
      </c>
      <c r="N57" s="63" t="str">
        <f>'Raw Datas'!L99</f>
        <v>0</v>
      </c>
      <c r="O57" s="63" t="str">
        <f>'Raw Datas'!M99</f>
        <v>0</v>
      </c>
      <c r="P57" s="63" t="str">
        <f>'Raw Datas'!N99</f>
        <v>0</v>
      </c>
      <c r="Q57" s="63" t="str">
        <f>'Raw Datas'!O99</f>
        <v>0</v>
      </c>
      <c r="R57" s="63" t="str">
        <f>'Raw Datas'!P99</f>
        <v>0</v>
      </c>
      <c r="S57" s="63" t="str">
        <f>'Raw Datas'!Q99</f>
        <v>0</v>
      </c>
      <c r="T57" s="63" t="str">
        <f>'Raw Datas'!R99</f>
        <v>0</v>
      </c>
      <c r="U57" s="63" t="str">
        <f>'Raw Datas'!S99</f>
        <v>0</v>
      </c>
      <c r="V57" s="63" t="str">
        <f>'Raw Datas'!T99</f>
        <v>0</v>
      </c>
      <c r="W57" s="63" t="str">
        <f>'Raw Datas'!U99</f>
        <v>0</v>
      </c>
      <c r="X57" s="63" t="str">
        <f>'Raw Datas'!V99</f>
        <v>0</v>
      </c>
      <c r="Y57" s="63" t="str">
        <f>'Raw Datas'!W99</f>
        <v>0</v>
      </c>
      <c r="Z57" s="63" t="str">
        <f>'Raw Datas'!X99</f>
        <v>0</v>
      </c>
      <c r="AA57" s="63" t="str">
        <f>'Raw Datas'!Y99</f>
        <v>0</v>
      </c>
      <c r="AB57" s="63" t="str">
        <f>'Raw Datas'!Z99</f>
        <v>0</v>
      </c>
      <c r="AC57" s="63" t="str">
        <f>'Raw Datas'!AA99</f>
        <v>0</v>
      </c>
      <c r="AD57" s="63" t="str">
        <f>'Raw Datas'!AB99</f>
        <v>0</v>
      </c>
      <c r="AE57" s="63" t="str">
        <f>'Raw Datas'!AC99</f>
        <v>0</v>
      </c>
      <c r="AF57" s="63" t="str">
        <f>'Raw Datas'!AD99</f>
        <v>0</v>
      </c>
      <c r="AG57" s="63" t="str">
        <f>'Raw Datas'!AE99</f>
        <v>0</v>
      </c>
      <c r="AH57" s="63" t="str">
        <f>'Raw Datas'!AF99</f>
        <v>0</v>
      </c>
      <c r="AI57" s="63" t="str">
        <f>'Raw Datas'!AG99</f>
        <v>0</v>
      </c>
      <c r="AJ57" s="63" t="str">
        <f>'Raw Datas'!AH99</f>
        <v>0</v>
      </c>
      <c r="AK57" s="63" t="str">
        <f>'Raw Datas'!AI99</f>
        <v>0</v>
      </c>
      <c r="AL57" s="63" t="str">
        <f>'Raw Datas'!AJ99</f>
        <v>0</v>
      </c>
      <c r="AM57" s="63" t="str">
        <f>'Raw Datas'!AK99</f>
        <v>0</v>
      </c>
      <c r="AN57" s="63" t="str">
        <f>'Raw Datas'!AL99</f>
        <v>0</v>
      </c>
      <c r="AO57" s="63" t="str">
        <f>'Raw Datas'!AM99</f>
        <v>0</v>
      </c>
      <c r="AP57" s="63" t="str">
        <f>'Raw Datas'!AN99</f>
        <v>0</v>
      </c>
      <c r="AQ57" s="63" t="str">
        <f>'Raw Datas'!AO99</f>
        <v>0</v>
      </c>
      <c r="AR57" s="63" t="str">
        <f>'Raw Datas'!AP99</f>
        <v>0</v>
      </c>
      <c r="AS57" s="63" t="str">
        <f>'Raw Datas'!AQ99</f>
        <v>0</v>
      </c>
      <c r="AT57" s="63" t="str">
        <f>'Raw Datas'!AR99</f>
        <v>0</v>
      </c>
      <c r="AU57" s="63" t="str">
        <f>'Raw Datas'!AS99</f>
        <v>0</v>
      </c>
      <c r="AV57" s="63" t="str">
        <f>'Raw Datas'!AT99</f>
        <v>0</v>
      </c>
      <c r="AW57" s="63" t="str">
        <f>'Raw Datas'!AU99</f>
        <v>0</v>
      </c>
      <c r="AX57" s="63" t="str">
        <f>'Raw Datas'!AV99</f>
        <v>0</v>
      </c>
      <c r="AY57" s="63" t="str">
        <f>'Raw Datas'!AW99</f>
        <v>0</v>
      </c>
      <c r="AZ57" s="63" t="str">
        <f>'Raw Datas'!AX99</f>
        <v>0</v>
      </c>
      <c r="BA57" s="63" t="str">
        <f>'Raw Datas'!AY99</f>
        <v>0</v>
      </c>
      <c r="BB57" s="63" t="str">
        <f>'Raw Datas'!AZ99</f>
        <v>0</v>
      </c>
      <c r="BC57" s="63" t="str">
        <f>'Raw Datas'!BA99</f>
        <v>0</v>
      </c>
      <c r="BD57" s="63" t="str">
        <f>'Raw Datas'!BB99</f>
        <v>0</v>
      </c>
      <c r="BE57" s="63" t="str">
        <f>'Raw Datas'!BC99</f>
        <v>0</v>
      </c>
      <c r="BF57" s="63" t="str">
        <f>'Raw Datas'!BD99</f>
        <v>0</v>
      </c>
      <c r="BG57" s="63" t="str">
        <f>'Raw Datas'!BE99</f>
        <v>0</v>
      </c>
      <c r="BH57" s="63" t="str">
        <f>'Raw Datas'!BF99</f>
        <v>0</v>
      </c>
      <c r="BI57" s="63" t="str">
        <f>'Raw Datas'!BG99</f>
        <v>0</v>
      </c>
      <c r="BJ57" s="63" t="str">
        <f>'Raw Datas'!BH99</f>
        <v>0</v>
      </c>
      <c r="BK57" s="63" t="str">
        <f>'Raw Datas'!BI99</f>
        <v>0</v>
      </c>
      <c r="BL57" s="63" t="str">
        <f>'Raw Datas'!BJ99</f>
        <v>0</v>
      </c>
      <c r="BM57" s="63" t="str">
        <f>'Raw Datas'!BK99</f>
        <v>0</v>
      </c>
      <c r="BN57" s="63" t="str">
        <f>'Raw Datas'!BL99</f>
        <v>0</v>
      </c>
      <c r="BO57" s="63" t="str">
        <f>'Raw Datas'!BM99</f>
        <v>0</v>
      </c>
      <c r="BP57" s="63" t="str">
        <f>'Raw Datas'!BN99</f>
        <v>0</v>
      </c>
      <c r="BQ57" s="63" t="str">
        <f>'Raw Datas'!BO99</f>
        <v>0</v>
      </c>
      <c r="BR57" s="63" t="str">
        <f>'Raw Datas'!BP99</f>
        <v>0</v>
      </c>
      <c r="BS57" s="63" t="str">
        <f>'Raw Datas'!BQ99</f>
        <v>0</v>
      </c>
      <c r="BT57" s="63" t="str">
        <f>'Raw Datas'!BR99</f>
        <v>0</v>
      </c>
      <c r="BU57" s="63" t="str">
        <f>'Raw Datas'!BS99</f>
        <v>0</v>
      </c>
      <c r="BV57" s="63" t="str">
        <f>'Raw Datas'!BT99</f>
        <v>0</v>
      </c>
      <c r="BW57" s="63" t="str">
        <f>'Raw Datas'!BU99</f>
        <v>0</v>
      </c>
      <c r="BX57" s="63" t="str">
        <f>'Raw Datas'!BV99</f>
        <v>0</v>
      </c>
      <c r="BY57" s="63" t="str">
        <f>'Raw Datas'!BW99</f>
        <v>0</v>
      </c>
      <c r="BZ57" s="63" t="str">
        <f>'Raw Datas'!BX99</f>
        <v>0</v>
      </c>
      <c r="CA57" s="63" t="str">
        <f>'Raw Datas'!BY99</f>
        <v>0</v>
      </c>
      <c r="CB57" s="63" t="str">
        <f>'Raw Datas'!BZ99</f>
        <v>0</v>
      </c>
      <c r="CC57" s="63" t="str">
        <f>'Raw Datas'!CA99</f>
        <v>0</v>
      </c>
      <c r="CD57" s="63" t="str">
        <f>'Raw Datas'!CB99</f>
        <v>0</v>
      </c>
      <c r="CE57" s="63" t="str">
        <f>'Raw Datas'!CC99</f>
        <v>0</v>
      </c>
      <c r="CF57" s="63" t="str">
        <f>'Raw Datas'!CD99</f>
        <v>0</v>
      </c>
      <c r="CG57" s="63" t="str">
        <f>'Raw Datas'!CE99</f>
        <v>0</v>
      </c>
      <c r="CH57" s="63" t="str">
        <f>'Raw Datas'!CF99</f>
        <v>0</v>
      </c>
      <c r="CI57" s="63" t="str">
        <f>'Raw Datas'!CG99</f>
        <v>0</v>
      </c>
      <c r="CJ57" s="63" t="str">
        <f>'Raw Datas'!CH99</f>
        <v>0</v>
      </c>
      <c r="CK57" s="63" t="str">
        <f>'Raw Datas'!CI99</f>
        <v>0</v>
      </c>
      <c r="CL57" s="63" t="str">
        <f>'Raw Datas'!CJ99</f>
        <v>0</v>
      </c>
      <c r="CM57" s="63" t="str">
        <f>'Raw Datas'!CK99</f>
        <v>0</v>
      </c>
      <c r="CN57" s="63" t="str">
        <f>'Raw Datas'!CL99</f>
        <v>0</v>
      </c>
      <c r="CO57" s="63" t="str">
        <f>'Raw Datas'!CM99</f>
        <v>0</v>
      </c>
      <c r="CP57" s="63" t="str">
        <f>'Raw Datas'!CN99</f>
        <v>0</v>
      </c>
      <c r="CQ57" s="63" t="str">
        <f>'Raw Datas'!CO99</f>
        <v>0</v>
      </c>
      <c r="CR57" s="63" t="str">
        <f>'Raw Datas'!CP99</f>
        <v>0</v>
      </c>
      <c r="CS57" s="63" t="str">
        <f>'Raw Datas'!CQ99</f>
        <v>0</v>
      </c>
      <c r="CT57" s="63" t="str">
        <f>'Raw Datas'!CR99</f>
        <v>0</v>
      </c>
      <c r="CU57" s="63" t="str">
        <f>'Raw Datas'!CS99</f>
        <v>0</v>
      </c>
      <c r="CV57" s="63" t="str">
        <f>'Raw Datas'!CT99</f>
        <v>0</v>
      </c>
      <c r="CW57" s="63" t="str">
        <f>'Raw Datas'!CU99</f>
        <v>0</v>
      </c>
      <c r="CX57" s="63" t="str">
        <f>'Raw Datas'!CV99</f>
        <v>0</v>
      </c>
      <c r="CY57" s="63" t="str">
        <f>'Raw Datas'!CW99</f>
        <v>0</v>
      </c>
      <c r="CZ57" s="63" t="str">
        <f>'Raw Datas'!CX99</f>
        <v>0</v>
      </c>
      <c r="DA57" s="63" t="str">
        <f>'Raw Datas'!CY99</f>
        <v>0</v>
      </c>
      <c r="DB57" s="63" t="str">
        <f>'Raw Datas'!CZ99</f>
        <v>0</v>
      </c>
      <c r="DC57" s="63" t="str">
        <f>'Raw Datas'!DA99</f>
        <v>0</v>
      </c>
      <c r="DD57" s="63" t="str">
        <f>'Raw Datas'!DB99</f>
        <v>0</v>
      </c>
      <c r="DE57" s="63" t="str">
        <f>'Raw Datas'!DC99</f>
        <v>0</v>
      </c>
      <c r="DF57" s="63" t="str">
        <f>'Raw Datas'!DD99</f>
        <v>0</v>
      </c>
      <c r="DG57" s="63" t="str">
        <f>'Raw Datas'!DE99</f>
        <v>0</v>
      </c>
      <c r="DH57" s="63" t="str">
        <f>'Raw Datas'!DF99</f>
        <v>0</v>
      </c>
      <c r="DI57" s="63" t="str">
        <f>'Raw Datas'!DG99</f>
        <v>0</v>
      </c>
      <c r="DJ57" s="63" t="str">
        <f>'Raw Datas'!DH99</f>
        <v>0</v>
      </c>
      <c r="DK57" s="63" t="str">
        <f>'Raw Datas'!DI99</f>
        <v>0</v>
      </c>
      <c r="DL57" s="63" t="str">
        <f>'Raw Datas'!DJ99</f>
        <v>0</v>
      </c>
      <c r="DM57" s="63" t="str">
        <f>'Raw Datas'!DK99</f>
        <v>0</v>
      </c>
      <c r="DN57" s="63" t="str">
        <f>'Raw Datas'!DL99</f>
        <v>0</v>
      </c>
      <c r="DO57" s="63" t="str">
        <f>'Raw Datas'!DM99</f>
        <v>0</v>
      </c>
      <c r="DP57" s="63" t="str">
        <f>'Raw Datas'!DN99</f>
        <v>0</v>
      </c>
      <c r="DQ57" s="63" t="str">
        <f>'Raw Datas'!DO99</f>
        <v>0</v>
      </c>
      <c r="DR57" s="63" t="str">
        <f>'Raw Datas'!DP99</f>
        <v>0</v>
      </c>
      <c r="DS57" s="63" t="str">
        <f>'Raw Datas'!DQ99</f>
        <v>0</v>
      </c>
      <c r="DT57" s="63" t="str">
        <f>'Raw Datas'!DR99</f>
        <v>0</v>
      </c>
      <c r="DU57" s="63" t="str">
        <f>'Raw Datas'!DS99</f>
        <v>0</v>
      </c>
      <c r="DV57" s="63" t="str">
        <f>'Raw Datas'!DT99</f>
        <v>0</v>
      </c>
      <c r="DW57" s="63" t="str">
        <f>'Raw Datas'!DU99</f>
        <v>0</v>
      </c>
      <c r="DX57" s="63" t="str">
        <f>'Raw Datas'!DV99</f>
        <v>0</v>
      </c>
      <c r="DY57" s="63" t="str">
        <f>'Raw Datas'!DW99</f>
        <v>0</v>
      </c>
      <c r="DZ57" s="63" t="str">
        <f>'Raw Datas'!DX99</f>
        <v>0</v>
      </c>
      <c r="EA57" s="63" t="str">
        <f>'Raw Datas'!DY99</f>
        <v>0</v>
      </c>
      <c r="EB57" s="63" t="str">
        <f>'Raw Datas'!DZ99</f>
        <v>0</v>
      </c>
      <c r="EC57" s="63" t="str">
        <f>'Raw Datas'!EA99</f>
        <v>0</v>
      </c>
      <c r="ED57" s="63" t="str">
        <f>'Raw Datas'!EB99</f>
        <v>0</v>
      </c>
      <c r="EE57" s="63" t="str">
        <f>'Raw Datas'!EC99</f>
        <v>0</v>
      </c>
      <c r="EF57" s="63" t="str">
        <f>'Raw Datas'!ED99</f>
        <v>0</v>
      </c>
      <c r="EG57" s="63" t="str">
        <f>'Raw Datas'!EE99</f>
        <v>0</v>
      </c>
      <c r="EH57" s="63" t="str">
        <f>'Raw Datas'!EF99</f>
        <v>0</v>
      </c>
      <c r="EI57" s="63" t="str">
        <f>'Raw Datas'!EG99</f>
        <v>0</v>
      </c>
      <c r="EJ57" s="63" t="str">
        <f>'Raw Datas'!EH99</f>
        <v>0</v>
      </c>
      <c r="EK57" s="63" t="str">
        <f>'Raw Datas'!EI99</f>
        <v>0</v>
      </c>
      <c r="EL57" s="63" t="str">
        <f>'Raw Datas'!EJ99</f>
        <v>0</v>
      </c>
      <c r="EM57" s="63" t="str">
        <f>'Raw Datas'!EK99</f>
        <v>0</v>
      </c>
      <c r="EN57" s="63" t="str">
        <f>'Raw Datas'!EL99</f>
        <v>0</v>
      </c>
      <c r="EO57" s="63" t="str">
        <f>'Raw Datas'!EM99</f>
        <v>0</v>
      </c>
      <c r="EP57" s="63" t="str">
        <f>'Raw Datas'!EN99</f>
        <v>0</v>
      </c>
      <c r="EQ57" s="63" t="str">
        <f>'Raw Datas'!EO99</f>
        <v>0</v>
      </c>
      <c r="ER57" s="63" t="str">
        <f>'Raw Datas'!EP99</f>
        <v>0</v>
      </c>
      <c r="ES57" s="63" t="str">
        <f>'Raw Datas'!EQ99</f>
        <v>0</v>
      </c>
      <c r="ET57" s="63" t="str">
        <f>'Raw Datas'!ER99</f>
        <v>0</v>
      </c>
      <c r="EU57" s="63" t="str">
        <f>'Raw Datas'!ES99</f>
        <v>0</v>
      </c>
      <c r="EV57" s="63" t="str">
        <f>'Raw Datas'!ET99</f>
        <v>0</v>
      </c>
      <c r="EW57" s="63" t="str">
        <f>'Raw Datas'!EU99</f>
        <v>0</v>
      </c>
      <c r="EX57" s="63" t="str">
        <f>'Raw Datas'!EV99</f>
        <v>0</v>
      </c>
      <c r="EY57" s="63" t="str">
        <f>'Raw Datas'!EW99</f>
        <v>0</v>
      </c>
      <c r="EZ57" s="63" t="str">
        <f>'Raw Datas'!EX99</f>
        <v>0</v>
      </c>
      <c r="FA57" s="63" t="str">
        <f>'Raw Datas'!EY99</f>
        <v>0</v>
      </c>
      <c r="FB57" s="63" t="str">
        <f>'Raw Datas'!EZ99</f>
        <v>0</v>
      </c>
      <c r="FC57" s="63" t="str">
        <f>'Raw Datas'!FA99</f>
        <v>0</v>
      </c>
      <c r="FD57" s="63" t="str">
        <f>'Raw Datas'!FB99</f>
        <v>0</v>
      </c>
      <c r="FE57" s="63" t="str">
        <f>'Raw Datas'!FC99</f>
        <v>0</v>
      </c>
      <c r="FF57" s="63" t="str">
        <f>'Raw Datas'!FD99</f>
        <v>0</v>
      </c>
      <c r="FG57" s="63" t="str">
        <f>'Raw Datas'!FE99</f>
        <v>0</v>
      </c>
      <c r="FH57" s="63" t="str">
        <f>'Raw Datas'!FF99</f>
        <v>0</v>
      </c>
      <c r="FI57" s="63" t="str">
        <f>'Raw Datas'!FG99</f>
        <v>0</v>
      </c>
      <c r="FJ57" s="63" t="str">
        <f>'Raw Datas'!FH99</f>
        <v>0</v>
      </c>
      <c r="FK57" s="63" t="str">
        <f>'Raw Datas'!FI99</f>
        <v>0</v>
      </c>
      <c r="FL57" s="63" t="str">
        <f>'Raw Datas'!FJ99</f>
        <v>0</v>
      </c>
      <c r="FM57" s="63" t="str">
        <f>'Raw Datas'!FK99</f>
        <v>0</v>
      </c>
      <c r="FN57" s="63" t="str">
        <f>'Raw Datas'!FL99</f>
        <v>0</v>
      </c>
      <c r="FO57" s="63" t="str">
        <f>'Raw Datas'!FM99</f>
        <v>0</v>
      </c>
      <c r="FP57" s="63" t="str">
        <f>'Raw Datas'!FN99</f>
        <v>0</v>
      </c>
      <c r="FQ57" s="63" t="str">
        <f>'Raw Datas'!FO99</f>
        <v>0</v>
      </c>
    </row>
    <row r="58" spans="1:16092" x14ac:dyDescent="0.2">
      <c r="A58" s="117"/>
      <c r="B58" s="57" t="s">
        <v>27</v>
      </c>
      <c r="C58" s="104" t="s">
        <v>765</v>
      </c>
      <c r="D58" s="104" t="s">
        <v>144</v>
      </c>
      <c r="E58" s="60" t="str">
        <f>'Raw Datas'!C100</f>
        <v>0</v>
      </c>
      <c r="F58" s="63" t="str">
        <f>'Raw Datas'!D100</f>
        <v>0</v>
      </c>
      <c r="G58" s="63" t="str">
        <f>'Raw Datas'!E100</f>
        <v>0</v>
      </c>
      <c r="H58" s="63" t="str">
        <f>'Raw Datas'!F100</f>
        <v>0</v>
      </c>
      <c r="I58" s="63" t="str">
        <f>'Raw Datas'!G100</f>
        <v>0</v>
      </c>
      <c r="J58" s="63" t="str">
        <f>'Raw Datas'!H100</f>
        <v>0</v>
      </c>
      <c r="K58" s="63" t="str">
        <f>'Raw Datas'!I100</f>
        <v>0</v>
      </c>
      <c r="L58" s="63" t="str">
        <f>'Raw Datas'!J100</f>
        <v>0</v>
      </c>
      <c r="M58" s="63" t="str">
        <f>'Raw Datas'!K100</f>
        <v>0</v>
      </c>
      <c r="N58" s="63" t="str">
        <f>'Raw Datas'!L100</f>
        <v>0</v>
      </c>
      <c r="O58" s="63" t="str">
        <f>'Raw Datas'!M100</f>
        <v>0</v>
      </c>
      <c r="P58" s="63" t="str">
        <f>'Raw Datas'!N100</f>
        <v>0</v>
      </c>
      <c r="Q58" s="63" t="str">
        <f>'Raw Datas'!O100</f>
        <v>0</v>
      </c>
      <c r="R58" s="63" t="str">
        <f>'Raw Datas'!P100</f>
        <v>0</v>
      </c>
      <c r="S58" s="63" t="str">
        <f>'Raw Datas'!Q100</f>
        <v>0</v>
      </c>
      <c r="T58" s="63" t="str">
        <f>'Raw Datas'!R100</f>
        <v>0</v>
      </c>
      <c r="U58" s="63" t="str">
        <f>'Raw Datas'!S100</f>
        <v>0</v>
      </c>
      <c r="V58" s="63" t="str">
        <f>'Raw Datas'!T100</f>
        <v>0</v>
      </c>
      <c r="W58" s="63" t="str">
        <f>'Raw Datas'!U100</f>
        <v>0</v>
      </c>
      <c r="X58" s="63" t="str">
        <f>'Raw Datas'!V100</f>
        <v>0</v>
      </c>
      <c r="Y58" s="63" t="str">
        <f>'Raw Datas'!W100</f>
        <v>0</v>
      </c>
      <c r="Z58" s="63" t="str">
        <f>'Raw Datas'!X100</f>
        <v>0</v>
      </c>
      <c r="AA58" s="63" t="str">
        <f>'Raw Datas'!Y100</f>
        <v>0</v>
      </c>
      <c r="AB58" s="63" t="str">
        <f>'Raw Datas'!Z100</f>
        <v>0</v>
      </c>
      <c r="AC58" s="63" t="str">
        <f>'Raw Datas'!AA100</f>
        <v>0</v>
      </c>
      <c r="AD58" s="63" t="str">
        <f>'Raw Datas'!AB100</f>
        <v>0</v>
      </c>
      <c r="AE58" s="63" t="str">
        <f>'Raw Datas'!AC100</f>
        <v>0</v>
      </c>
      <c r="AF58" s="63" t="str">
        <f>'Raw Datas'!AD100</f>
        <v>0</v>
      </c>
      <c r="AG58" s="63" t="str">
        <f>'Raw Datas'!AE100</f>
        <v>0</v>
      </c>
      <c r="AH58" s="63" t="str">
        <f>'Raw Datas'!AF100</f>
        <v>0</v>
      </c>
      <c r="AI58" s="63" t="str">
        <f>'Raw Datas'!AG100</f>
        <v>0</v>
      </c>
      <c r="AJ58" s="63" t="str">
        <f>'Raw Datas'!AH100</f>
        <v>0</v>
      </c>
      <c r="AK58" s="63" t="str">
        <f>'Raw Datas'!AI100</f>
        <v>0</v>
      </c>
      <c r="AL58" s="63" t="str">
        <f>'Raw Datas'!AJ100</f>
        <v>0</v>
      </c>
      <c r="AM58" s="63" t="str">
        <f>'Raw Datas'!AK100</f>
        <v>0</v>
      </c>
      <c r="AN58" s="63" t="str">
        <f>'Raw Datas'!AL100</f>
        <v>0</v>
      </c>
      <c r="AO58" s="63" t="str">
        <f>'Raw Datas'!AM100</f>
        <v>0</v>
      </c>
      <c r="AP58" s="63" t="str">
        <f>'Raw Datas'!AN100</f>
        <v>0</v>
      </c>
      <c r="AQ58" s="63" t="str">
        <f>'Raw Datas'!AO100</f>
        <v>0</v>
      </c>
      <c r="AR58" s="63" t="str">
        <f>'Raw Datas'!AP100</f>
        <v>0</v>
      </c>
      <c r="AS58" s="63" t="str">
        <f>'Raw Datas'!AQ100</f>
        <v>0</v>
      </c>
      <c r="AT58" s="63" t="str">
        <f>'Raw Datas'!AR100</f>
        <v>0</v>
      </c>
      <c r="AU58" s="63" t="str">
        <f>'Raw Datas'!AS100</f>
        <v>0</v>
      </c>
      <c r="AV58" s="63" t="str">
        <f>'Raw Datas'!AT100</f>
        <v>0</v>
      </c>
      <c r="AW58" s="63" t="str">
        <f>'Raw Datas'!AU100</f>
        <v>0</v>
      </c>
      <c r="AX58" s="63" t="str">
        <f>'Raw Datas'!AV100</f>
        <v>0</v>
      </c>
      <c r="AY58" s="63" t="str">
        <f>'Raw Datas'!AW100</f>
        <v>0</v>
      </c>
      <c r="AZ58" s="63" t="str">
        <f>'Raw Datas'!AX100</f>
        <v>0</v>
      </c>
      <c r="BA58" s="63" t="str">
        <f>'Raw Datas'!AY100</f>
        <v>0</v>
      </c>
      <c r="BB58" s="63" t="str">
        <f>'Raw Datas'!AZ100</f>
        <v>0</v>
      </c>
      <c r="BC58" s="63" t="str">
        <f>'Raw Datas'!BA100</f>
        <v>0</v>
      </c>
      <c r="BD58" s="63" t="str">
        <f>'Raw Datas'!BB100</f>
        <v>0</v>
      </c>
      <c r="BE58" s="63" t="str">
        <f>'Raw Datas'!BC100</f>
        <v>0</v>
      </c>
      <c r="BF58" s="63" t="str">
        <f>'Raw Datas'!BD100</f>
        <v>0</v>
      </c>
      <c r="BG58" s="63" t="str">
        <f>'Raw Datas'!BE100</f>
        <v>0</v>
      </c>
      <c r="BH58" s="63" t="str">
        <f>'Raw Datas'!BF100</f>
        <v>0</v>
      </c>
      <c r="BI58" s="63" t="str">
        <f>'Raw Datas'!BG100</f>
        <v>0</v>
      </c>
      <c r="BJ58" s="63" t="str">
        <f>'Raw Datas'!BH100</f>
        <v>0</v>
      </c>
      <c r="BK58" s="63" t="str">
        <f>'Raw Datas'!BI100</f>
        <v>0</v>
      </c>
      <c r="BL58" s="63" t="str">
        <f>'Raw Datas'!BJ100</f>
        <v>0</v>
      </c>
      <c r="BM58" s="63" t="str">
        <f>'Raw Datas'!BK100</f>
        <v>0</v>
      </c>
      <c r="BN58" s="63" t="str">
        <f>'Raw Datas'!BL100</f>
        <v>0</v>
      </c>
      <c r="BO58" s="63" t="str">
        <f>'Raw Datas'!BM100</f>
        <v>0</v>
      </c>
      <c r="BP58" s="63" t="str">
        <f>'Raw Datas'!BN100</f>
        <v>0</v>
      </c>
      <c r="BQ58" s="63" t="str">
        <f>'Raw Datas'!BO100</f>
        <v>0</v>
      </c>
      <c r="BR58" s="63" t="str">
        <f>'Raw Datas'!BP100</f>
        <v>0</v>
      </c>
      <c r="BS58" s="63" t="str">
        <f>'Raw Datas'!BQ100</f>
        <v>0</v>
      </c>
      <c r="BT58" s="63" t="str">
        <f>'Raw Datas'!BR100</f>
        <v>0</v>
      </c>
      <c r="BU58" s="63" t="str">
        <f>'Raw Datas'!BS100</f>
        <v>0</v>
      </c>
      <c r="BV58" s="63" t="str">
        <f>'Raw Datas'!BT100</f>
        <v>0</v>
      </c>
      <c r="BW58" s="63" t="str">
        <f>'Raw Datas'!BU100</f>
        <v>0</v>
      </c>
      <c r="BX58" s="63" t="str">
        <f>'Raw Datas'!BV100</f>
        <v>0</v>
      </c>
      <c r="BY58" s="63" t="str">
        <f>'Raw Datas'!BW100</f>
        <v>0</v>
      </c>
      <c r="BZ58" s="63" t="str">
        <f>'Raw Datas'!BX100</f>
        <v>0</v>
      </c>
      <c r="CA58" s="63" t="str">
        <f>'Raw Datas'!BY100</f>
        <v>0</v>
      </c>
      <c r="CB58" s="63" t="str">
        <f>'Raw Datas'!BZ100</f>
        <v>0</v>
      </c>
      <c r="CC58" s="63" t="str">
        <f>'Raw Datas'!CA100</f>
        <v>0</v>
      </c>
      <c r="CD58" s="63" t="str">
        <f>'Raw Datas'!CB100</f>
        <v>0</v>
      </c>
      <c r="CE58" s="63" t="str">
        <f>'Raw Datas'!CC100</f>
        <v>0</v>
      </c>
      <c r="CF58" s="63" t="str">
        <f>'Raw Datas'!CD100</f>
        <v>0</v>
      </c>
      <c r="CG58" s="63" t="str">
        <f>'Raw Datas'!CE100</f>
        <v>0</v>
      </c>
      <c r="CH58" s="63" t="str">
        <f>'Raw Datas'!CF100</f>
        <v>0</v>
      </c>
      <c r="CI58" s="63" t="str">
        <f>'Raw Datas'!CG100</f>
        <v>0</v>
      </c>
      <c r="CJ58" s="63" t="str">
        <f>'Raw Datas'!CH100</f>
        <v>0</v>
      </c>
      <c r="CK58" s="63" t="str">
        <f>'Raw Datas'!CI100</f>
        <v>0</v>
      </c>
      <c r="CL58" s="63" t="str">
        <f>'Raw Datas'!CJ100</f>
        <v>0</v>
      </c>
      <c r="CM58" s="63" t="str">
        <f>'Raw Datas'!CK100</f>
        <v>0</v>
      </c>
      <c r="CN58" s="63" t="str">
        <f>'Raw Datas'!CL100</f>
        <v>0</v>
      </c>
      <c r="CO58" s="63" t="str">
        <f>'Raw Datas'!CM100</f>
        <v>0</v>
      </c>
      <c r="CP58" s="63" t="str">
        <f>'Raw Datas'!CN100</f>
        <v>0</v>
      </c>
      <c r="CQ58" s="63" t="str">
        <f>'Raw Datas'!CO100</f>
        <v>0</v>
      </c>
      <c r="CR58" s="63" t="str">
        <f>'Raw Datas'!CP100</f>
        <v>0</v>
      </c>
      <c r="CS58" s="63" t="str">
        <f>'Raw Datas'!CQ100</f>
        <v>0</v>
      </c>
      <c r="CT58" s="63" t="str">
        <f>'Raw Datas'!CR100</f>
        <v>0</v>
      </c>
      <c r="CU58" s="63" t="str">
        <f>'Raw Datas'!CS100</f>
        <v>0</v>
      </c>
      <c r="CV58" s="63" t="str">
        <f>'Raw Datas'!CT100</f>
        <v>0</v>
      </c>
      <c r="CW58" s="63" t="str">
        <f>'Raw Datas'!CU100</f>
        <v>0</v>
      </c>
      <c r="CX58" s="63" t="str">
        <f>'Raw Datas'!CV100</f>
        <v>0</v>
      </c>
      <c r="CY58" s="63" t="str">
        <f>'Raw Datas'!CW100</f>
        <v>0</v>
      </c>
      <c r="CZ58" s="63" t="str">
        <f>'Raw Datas'!CX100</f>
        <v>0</v>
      </c>
      <c r="DA58" s="63" t="str">
        <f>'Raw Datas'!CY100</f>
        <v>0</v>
      </c>
      <c r="DB58" s="63" t="str">
        <f>'Raw Datas'!CZ100</f>
        <v>0</v>
      </c>
      <c r="DC58" s="63" t="str">
        <f>'Raw Datas'!DA100</f>
        <v>0</v>
      </c>
      <c r="DD58" s="63" t="str">
        <f>'Raw Datas'!DB100</f>
        <v>0</v>
      </c>
      <c r="DE58" s="63" t="str">
        <f>'Raw Datas'!DC100</f>
        <v>0</v>
      </c>
      <c r="DF58" s="63" t="str">
        <f>'Raw Datas'!DD100</f>
        <v>0</v>
      </c>
      <c r="DG58" s="63" t="str">
        <f>'Raw Datas'!DE100</f>
        <v>0</v>
      </c>
      <c r="DH58" s="63" t="str">
        <f>'Raw Datas'!DF100</f>
        <v>0</v>
      </c>
      <c r="DI58" s="63" t="str">
        <f>'Raw Datas'!DG100</f>
        <v>0</v>
      </c>
      <c r="DJ58" s="63" t="str">
        <f>'Raw Datas'!DH100</f>
        <v>0</v>
      </c>
      <c r="DK58" s="63" t="str">
        <f>'Raw Datas'!DI100</f>
        <v>0</v>
      </c>
      <c r="DL58" s="63" t="str">
        <f>'Raw Datas'!DJ100</f>
        <v>0</v>
      </c>
      <c r="DM58" s="63" t="str">
        <f>'Raw Datas'!DK100</f>
        <v>0</v>
      </c>
      <c r="DN58" s="63" t="str">
        <f>'Raw Datas'!DL100</f>
        <v>0</v>
      </c>
      <c r="DO58" s="63" t="str">
        <f>'Raw Datas'!DM100</f>
        <v>0</v>
      </c>
      <c r="DP58" s="63" t="str">
        <f>'Raw Datas'!DN100</f>
        <v>0</v>
      </c>
      <c r="DQ58" s="63" t="str">
        <f>'Raw Datas'!DO100</f>
        <v>0</v>
      </c>
      <c r="DR58" s="63" t="str">
        <f>'Raw Datas'!DP100</f>
        <v>0</v>
      </c>
      <c r="DS58" s="63" t="str">
        <f>'Raw Datas'!DQ100</f>
        <v>0</v>
      </c>
      <c r="DT58" s="63" t="str">
        <f>'Raw Datas'!DR100</f>
        <v>0</v>
      </c>
      <c r="DU58" s="63" t="str">
        <f>'Raw Datas'!DS100</f>
        <v>0</v>
      </c>
      <c r="DV58" s="63" t="str">
        <f>'Raw Datas'!DT100</f>
        <v>0</v>
      </c>
      <c r="DW58" s="63" t="str">
        <f>'Raw Datas'!DU100</f>
        <v>0</v>
      </c>
      <c r="DX58" s="63" t="str">
        <f>'Raw Datas'!DV100</f>
        <v>0</v>
      </c>
      <c r="DY58" s="63" t="str">
        <f>'Raw Datas'!DW100</f>
        <v>0</v>
      </c>
      <c r="DZ58" s="63" t="str">
        <f>'Raw Datas'!DX100</f>
        <v>0</v>
      </c>
      <c r="EA58" s="63" t="str">
        <f>'Raw Datas'!DY100</f>
        <v>0</v>
      </c>
      <c r="EB58" s="63" t="str">
        <f>'Raw Datas'!DZ100</f>
        <v>0</v>
      </c>
      <c r="EC58" s="63" t="str">
        <f>'Raw Datas'!EA100</f>
        <v>0</v>
      </c>
      <c r="ED58" s="63" t="str">
        <f>'Raw Datas'!EB100</f>
        <v>0</v>
      </c>
      <c r="EE58" s="63" t="str">
        <f>'Raw Datas'!EC100</f>
        <v>0</v>
      </c>
      <c r="EF58" s="63" t="str">
        <f>'Raw Datas'!ED100</f>
        <v>0</v>
      </c>
      <c r="EG58" s="63" t="str">
        <f>'Raw Datas'!EE100</f>
        <v>0</v>
      </c>
      <c r="EH58" s="63" t="str">
        <f>'Raw Datas'!EF100</f>
        <v>0</v>
      </c>
      <c r="EI58" s="63" t="str">
        <f>'Raw Datas'!EG100</f>
        <v>0</v>
      </c>
      <c r="EJ58" s="63" t="str">
        <f>'Raw Datas'!EH100</f>
        <v>0</v>
      </c>
      <c r="EK58" s="63" t="str">
        <f>'Raw Datas'!EI100</f>
        <v>0</v>
      </c>
      <c r="EL58" s="63" t="str">
        <f>'Raw Datas'!EJ100</f>
        <v>0</v>
      </c>
      <c r="EM58" s="63" t="str">
        <f>'Raw Datas'!EK100</f>
        <v>0</v>
      </c>
      <c r="EN58" s="63" t="str">
        <f>'Raw Datas'!EL100</f>
        <v>0</v>
      </c>
      <c r="EO58" s="63" t="str">
        <f>'Raw Datas'!EM100</f>
        <v>0</v>
      </c>
      <c r="EP58" s="63" t="str">
        <f>'Raw Datas'!EN100</f>
        <v>0</v>
      </c>
      <c r="EQ58" s="63" t="str">
        <f>'Raw Datas'!EO100</f>
        <v>0</v>
      </c>
      <c r="ER58" s="63" t="str">
        <f>'Raw Datas'!EP100</f>
        <v>0</v>
      </c>
      <c r="ES58" s="63" t="str">
        <f>'Raw Datas'!EQ100</f>
        <v>0</v>
      </c>
      <c r="ET58" s="63" t="str">
        <f>'Raw Datas'!ER100</f>
        <v>0</v>
      </c>
      <c r="EU58" s="63" t="str">
        <f>'Raw Datas'!ES100</f>
        <v>0</v>
      </c>
      <c r="EV58" s="63" t="str">
        <f>'Raw Datas'!ET100</f>
        <v>0</v>
      </c>
      <c r="EW58" s="63" t="str">
        <f>'Raw Datas'!EU100</f>
        <v>0</v>
      </c>
      <c r="EX58" s="63" t="str">
        <f>'Raw Datas'!EV100</f>
        <v>0</v>
      </c>
      <c r="EY58" s="63" t="str">
        <f>'Raw Datas'!EW100</f>
        <v>0</v>
      </c>
      <c r="EZ58" s="63" t="str">
        <f>'Raw Datas'!EX100</f>
        <v>0</v>
      </c>
      <c r="FA58" s="63" t="str">
        <f>'Raw Datas'!EY100</f>
        <v>0</v>
      </c>
      <c r="FB58" s="63" t="str">
        <f>'Raw Datas'!EZ100</f>
        <v>0</v>
      </c>
      <c r="FC58" s="63" t="str">
        <f>'Raw Datas'!FA100</f>
        <v>0</v>
      </c>
      <c r="FD58" s="63" t="str">
        <f>'Raw Datas'!FB100</f>
        <v>0</v>
      </c>
      <c r="FE58" s="63" t="str">
        <f>'Raw Datas'!FC100</f>
        <v>0</v>
      </c>
      <c r="FF58" s="63" t="str">
        <f>'Raw Datas'!FD100</f>
        <v>0</v>
      </c>
      <c r="FG58" s="63" t="str">
        <f>'Raw Datas'!FE100</f>
        <v>0</v>
      </c>
      <c r="FH58" s="63" t="str">
        <f>'Raw Datas'!FF100</f>
        <v>0</v>
      </c>
      <c r="FI58" s="63" t="str">
        <f>'Raw Datas'!FG100</f>
        <v>0</v>
      </c>
      <c r="FJ58" s="63" t="str">
        <f>'Raw Datas'!FH100</f>
        <v>0</v>
      </c>
      <c r="FK58" s="63" t="str">
        <f>'Raw Datas'!FI100</f>
        <v>0</v>
      </c>
      <c r="FL58" s="63" t="str">
        <f>'Raw Datas'!FJ100</f>
        <v>0</v>
      </c>
      <c r="FM58" s="63" t="str">
        <f>'Raw Datas'!FK100</f>
        <v>0</v>
      </c>
      <c r="FN58" s="63" t="str">
        <f>'Raw Datas'!FL100</f>
        <v>0</v>
      </c>
      <c r="FO58" s="63" t="str">
        <f>'Raw Datas'!FM100</f>
        <v>0</v>
      </c>
      <c r="FP58" s="63" t="str">
        <f>'Raw Datas'!FN100</f>
        <v>0</v>
      </c>
      <c r="FQ58" s="63" t="str">
        <f>'Raw Datas'!FO100</f>
        <v>0</v>
      </c>
    </row>
    <row r="59" spans="1:16092" x14ac:dyDescent="0.2">
      <c r="A59" s="117"/>
      <c r="B59" s="57" t="s">
        <v>28</v>
      </c>
      <c r="C59" s="104" t="s">
        <v>766</v>
      </c>
      <c r="D59" s="104" t="s">
        <v>145</v>
      </c>
      <c r="E59" s="60" t="str">
        <f>'Raw Datas'!C101</f>
        <v>0</v>
      </c>
      <c r="F59" s="63" t="str">
        <f>'Raw Datas'!D101</f>
        <v>0</v>
      </c>
      <c r="G59" s="63" t="str">
        <f>'Raw Datas'!E101</f>
        <v>0</v>
      </c>
      <c r="H59" s="63" t="str">
        <f>'Raw Datas'!F101</f>
        <v>0</v>
      </c>
      <c r="I59" s="63" t="str">
        <f>'Raw Datas'!G101</f>
        <v>0</v>
      </c>
      <c r="J59" s="63" t="str">
        <f>'Raw Datas'!H101</f>
        <v>0</v>
      </c>
      <c r="K59" s="63" t="str">
        <f>'Raw Datas'!I101</f>
        <v>0</v>
      </c>
      <c r="L59" s="63" t="str">
        <f>'Raw Datas'!J101</f>
        <v>0</v>
      </c>
      <c r="M59" s="63" t="str">
        <f>'Raw Datas'!K101</f>
        <v>0</v>
      </c>
      <c r="N59" s="63" t="str">
        <f>'Raw Datas'!L101</f>
        <v>0</v>
      </c>
      <c r="O59" s="63" t="str">
        <f>'Raw Datas'!M101</f>
        <v>0</v>
      </c>
      <c r="P59" s="63" t="str">
        <f>'Raw Datas'!N101</f>
        <v>0</v>
      </c>
      <c r="Q59" s="63" t="str">
        <f>'Raw Datas'!O101</f>
        <v>0</v>
      </c>
      <c r="R59" s="63" t="str">
        <f>'Raw Datas'!P101</f>
        <v>0</v>
      </c>
      <c r="S59" s="63" t="str">
        <f>'Raw Datas'!Q101</f>
        <v>0</v>
      </c>
      <c r="T59" s="63" t="str">
        <f>'Raw Datas'!R101</f>
        <v>0</v>
      </c>
      <c r="U59" s="63" t="str">
        <f>'Raw Datas'!S101</f>
        <v>0</v>
      </c>
      <c r="V59" s="63" t="str">
        <f>'Raw Datas'!T101</f>
        <v>0</v>
      </c>
      <c r="W59" s="63" t="str">
        <f>'Raw Datas'!U101</f>
        <v>0</v>
      </c>
      <c r="X59" s="63" t="str">
        <f>'Raw Datas'!V101</f>
        <v>0</v>
      </c>
      <c r="Y59" s="63" t="str">
        <f>'Raw Datas'!W101</f>
        <v>0</v>
      </c>
      <c r="Z59" s="63" t="str">
        <f>'Raw Datas'!X101</f>
        <v>0</v>
      </c>
      <c r="AA59" s="63" t="str">
        <f>'Raw Datas'!Y101</f>
        <v>0</v>
      </c>
      <c r="AB59" s="63" t="str">
        <f>'Raw Datas'!Z101</f>
        <v>0</v>
      </c>
      <c r="AC59" s="63" t="str">
        <f>'Raw Datas'!AA101</f>
        <v>0</v>
      </c>
      <c r="AD59" s="63" t="str">
        <f>'Raw Datas'!AB101</f>
        <v>0</v>
      </c>
      <c r="AE59" s="63" t="str">
        <f>'Raw Datas'!AC101</f>
        <v>0</v>
      </c>
      <c r="AF59" s="63" t="str">
        <f>'Raw Datas'!AD101</f>
        <v>0</v>
      </c>
      <c r="AG59" s="63" t="str">
        <f>'Raw Datas'!AE101</f>
        <v>0</v>
      </c>
      <c r="AH59" s="63" t="str">
        <f>'Raw Datas'!AF101</f>
        <v>0</v>
      </c>
      <c r="AI59" s="63" t="str">
        <f>'Raw Datas'!AG101</f>
        <v>0</v>
      </c>
      <c r="AJ59" s="63" t="str">
        <f>'Raw Datas'!AH101</f>
        <v>0</v>
      </c>
      <c r="AK59" s="63" t="str">
        <f>'Raw Datas'!AI101</f>
        <v>0</v>
      </c>
      <c r="AL59" s="63" t="str">
        <f>'Raw Datas'!AJ101</f>
        <v>0</v>
      </c>
      <c r="AM59" s="63" t="str">
        <f>'Raw Datas'!AK101</f>
        <v>0</v>
      </c>
      <c r="AN59" s="63" t="str">
        <f>'Raw Datas'!AL101</f>
        <v>0</v>
      </c>
      <c r="AO59" s="63" t="str">
        <f>'Raw Datas'!AM101</f>
        <v>0</v>
      </c>
      <c r="AP59" s="63" t="str">
        <f>'Raw Datas'!AN101</f>
        <v>0</v>
      </c>
      <c r="AQ59" s="63" t="str">
        <f>'Raw Datas'!AO101</f>
        <v>0</v>
      </c>
      <c r="AR59" s="63" t="str">
        <f>'Raw Datas'!AP101</f>
        <v>0</v>
      </c>
      <c r="AS59" s="63" t="str">
        <f>'Raw Datas'!AQ101</f>
        <v>0</v>
      </c>
      <c r="AT59" s="63" t="str">
        <f>'Raw Datas'!AR101</f>
        <v>0</v>
      </c>
      <c r="AU59" s="63" t="str">
        <f>'Raw Datas'!AS101</f>
        <v>0</v>
      </c>
      <c r="AV59" s="63" t="str">
        <f>'Raw Datas'!AT101</f>
        <v>0</v>
      </c>
      <c r="AW59" s="63" t="str">
        <f>'Raw Datas'!AU101</f>
        <v>0</v>
      </c>
      <c r="AX59" s="63" t="str">
        <f>'Raw Datas'!AV101</f>
        <v>0</v>
      </c>
      <c r="AY59" s="63" t="str">
        <f>'Raw Datas'!AW101</f>
        <v>0</v>
      </c>
      <c r="AZ59" s="63" t="str">
        <f>'Raw Datas'!AX101</f>
        <v>0</v>
      </c>
      <c r="BA59" s="63" t="str">
        <f>'Raw Datas'!AY101</f>
        <v>0</v>
      </c>
      <c r="BB59" s="63" t="str">
        <f>'Raw Datas'!AZ101</f>
        <v>0</v>
      </c>
      <c r="BC59" s="63" t="str">
        <f>'Raw Datas'!BA101</f>
        <v>0</v>
      </c>
      <c r="BD59" s="63" t="str">
        <f>'Raw Datas'!BB101</f>
        <v>0</v>
      </c>
      <c r="BE59" s="63" t="str">
        <f>'Raw Datas'!BC101</f>
        <v>0</v>
      </c>
      <c r="BF59" s="63" t="str">
        <f>'Raw Datas'!BD101</f>
        <v>0</v>
      </c>
      <c r="BG59" s="63" t="str">
        <f>'Raw Datas'!BE101</f>
        <v>0</v>
      </c>
      <c r="BH59" s="63" t="str">
        <f>'Raw Datas'!BF101</f>
        <v>0</v>
      </c>
      <c r="BI59" s="63" t="str">
        <f>'Raw Datas'!BG101</f>
        <v>0</v>
      </c>
      <c r="BJ59" s="63" t="str">
        <f>'Raw Datas'!BH101</f>
        <v>0</v>
      </c>
      <c r="BK59" s="63" t="str">
        <f>'Raw Datas'!BI101</f>
        <v>0</v>
      </c>
      <c r="BL59" s="63" t="str">
        <f>'Raw Datas'!BJ101</f>
        <v>0</v>
      </c>
      <c r="BM59" s="63" t="str">
        <f>'Raw Datas'!BK101</f>
        <v>0</v>
      </c>
      <c r="BN59" s="63" t="str">
        <f>'Raw Datas'!BL101</f>
        <v>0</v>
      </c>
      <c r="BO59" s="63" t="str">
        <f>'Raw Datas'!BM101</f>
        <v>0</v>
      </c>
      <c r="BP59" s="63" t="str">
        <f>'Raw Datas'!BN101</f>
        <v>0</v>
      </c>
      <c r="BQ59" s="63" t="str">
        <f>'Raw Datas'!BO101</f>
        <v>0</v>
      </c>
      <c r="BR59" s="63" t="str">
        <f>'Raw Datas'!BP101</f>
        <v>0</v>
      </c>
      <c r="BS59" s="63" t="str">
        <f>'Raw Datas'!BQ101</f>
        <v>0</v>
      </c>
      <c r="BT59" s="63" t="str">
        <f>'Raw Datas'!BR101</f>
        <v>0</v>
      </c>
      <c r="BU59" s="63" t="str">
        <f>'Raw Datas'!BS101</f>
        <v>0</v>
      </c>
      <c r="BV59" s="63" t="str">
        <f>'Raw Datas'!BT101</f>
        <v>0</v>
      </c>
      <c r="BW59" s="63" t="str">
        <f>'Raw Datas'!BU101</f>
        <v>0</v>
      </c>
      <c r="BX59" s="63" t="str">
        <f>'Raw Datas'!BV101</f>
        <v>0</v>
      </c>
      <c r="BY59" s="63" t="str">
        <f>'Raw Datas'!BW101</f>
        <v>0</v>
      </c>
      <c r="BZ59" s="63" t="str">
        <f>'Raw Datas'!BX101</f>
        <v>0</v>
      </c>
      <c r="CA59" s="63" t="str">
        <f>'Raw Datas'!BY101</f>
        <v>0</v>
      </c>
      <c r="CB59" s="63" t="str">
        <f>'Raw Datas'!BZ101</f>
        <v>0</v>
      </c>
      <c r="CC59" s="63" t="str">
        <f>'Raw Datas'!CA101</f>
        <v>0</v>
      </c>
      <c r="CD59" s="63" t="str">
        <f>'Raw Datas'!CB101</f>
        <v>0</v>
      </c>
      <c r="CE59" s="63" t="str">
        <f>'Raw Datas'!CC101</f>
        <v>0</v>
      </c>
      <c r="CF59" s="63" t="str">
        <f>'Raw Datas'!CD101</f>
        <v>0</v>
      </c>
      <c r="CG59" s="63" t="str">
        <f>'Raw Datas'!CE101</f>
        <v>0</v>
      </c>
      <c r="CH59" s="63" t="str">
        <f>'Raw Datas'!CF101</f>
        <v>0</v>
      </c>
      <c r="CI59" s="63" t="str">
        <f>'Raw Datas'!CG101</f>
        <v>0</v>
      </c>
      <c r="CJ59" s="63" t="str">
        <f>'Raw Datas'!CH101</f>
        <v>0</v>
      </c>
      <c r="CK59" s="63" t="str">
        <f>'Raw Datas'!CI101</f>
        <v>0</v>
      </c>
      <c r="CL59" s="63" t="str">
        <f>'Raw Datas'!CJ101</f>
        <v>0</v>
      </c>
      <c r="CM59" s="63" t="str">
        <f>'Raw Datas'!CK101</f>
        <v>0</v>
      </c>
      <c r="CN59" s="63" t="str">
        <f>'Raw Datas'!CL101</f>
        <v>0</v>
      </c>
      <c r="CO59" s="63" t="str">
        <f>'Raw Datas'!CM101</f>
        <v>0</v>
      </c>
      <c r="CP59" s="63" t="str">
        <f>'Raw Datas'!CN101</f>
        <v>0</v>
      </c>
      <c r="CQ59" s="63" t="str">
        <f>'Raw Datas'!CO101</f>
        <v>0</v>
      </c>
      <c r="CR59" s="63" t="str">
        <f>'Raw Datas'!CP101</f>
        <v>0</v>
      </c>
      <c r="CS59" s="63" t="str">
        <f>'Raw Datas'!CQ101</f>
        <v>0</v>
      </c>
      <c r="CT59" s="63" t="str">
        <f>'Raw Datas'!CR101</f>
        <v>0</v>
      </c>
      <c r="CU59" s="63" t="str">
        <f>'Raw Datas'!CS101</f>
        <v>0</v>
      </c>
      <c r="CV59" s="63" t="str">
        <f>'Raw Datas'!CT101</f>
        <v>0</v>
      </c>
      <c r="CW59" s="63" t="str">
        <f>'Raw Datas'!CU101</f>
        <v>0</v>
      </c>
      <c r="CX59" s="63" t="str">
        <f>'Raw Datas'!CV101</f>
        <v>0</v>
      </c>
      <c r="CY59" s="63" t="str">
        <f>'Raw Datas'!CW101</f>
        <v>0</v>
      </c>
      <c r="CZ59" s="63" t="str">
        <f>'Raw Datas'!CX101</f>
        <v>0</v>
      </c>
      <c r="DA59" s="63" t="str">
        <f>'Raw Datas'!CY101</f>
        <v>0</v>
      </c>
      <c r="DB59" s="63" t="str">
        <f>'Raw Datas'!CZ101</f>
        <v>0</v>
      </c>
      <c r="DC59" s="63" t="str">
        <f>'Raw Datas'!DA101</f>
        <v>0</v>
      </c>
      <c r="DD59" s="63" t="str">
        <f>'Raw Datas'!DB101</f>
        <v>0</v>
      </c>
      <c r="DE59" s="63" t="str">
        <f>'Raw Datas'!DC101</f>
        <v>0</v>
      </c>
      <c r="DF59" s="63" t="str">
        <f>'Raw Datas'!DD101</f>
        <v>0</v>
      </c>
      <c r="DG59" s="63" t="str">
        <f>'Raw Datas'!DE101</f>
        <v>0</v>
      </c>
      <c r="DH59" s="63" t="str">
        <f>'Raw Datas'!DF101</f>
        <v>0</v>
      </c>
      <c r="DI59" s="63" t="str">
        <f>'Raw Datas'!DG101</f>
        <v>0</v>
      </c>
      <c r="DJ59" s="63" t="str">
        <f>'Raw Datas'!DH101</f>
        <v>0</v>
      </c>
      <c r="DK59" s="63" t="str">
        <f>'Raw Datas'!DI101</f>
        <v>0</v>
      </c>
      <c r="DL59" s="63" t="str">
        <f>'Raw Datas'!DJ101</f>
        <v>0</v>
      </c>
      <c r="DM59" s="63" t="str">
        <f>'Raw Datas'!DK101</f>
        <v>0</v>
      </c>
      <c r="DN59" s="63" t="str">
        <f>'Raw Datas'!DL101</f>
        <v>0</v>
      </c>
      <c r="DO59" s="63" t="str">
        <f>'Raw Datas'!DM101</f>
        <v>0</v>
      </c>
      <c r="DP59" s="63" t="str">
        <f>'Raw Datas'!DN101</f>
        <v>0</v>
      </c>
      <c r="DQ59" s="63" t="str">
        <f>'Raw Datas'!DO101</f>
        <v>0</v>
      </c>
      <c r="DR59" s="63" t="str">
        <f>'Raw Datas'!DP101</f>
        <v>0</v>
      </c>
      <c r="DS59" s="63" t="str">
        <f>'Raw Datas'!DQ101</f>
        <v>0</v>
      </c>
      <c r="DT59" s="63" t="str">
        <f>'Raw Datas'!DR101</f>
        <v>0</v>
      </c>
      <c r="DU59" s="63" t="str">
        <f>'Raw Datas'!DS101</f>
        <v>0</v>
      </c>
      <c r="DV59" s="63" t="str">
        <f>'Raw Datas'!DT101</f>
        <v>0</v>
      </c>
      <c r="DW59" s="63" t="str">
        <f>'Raw Datas'!DU101</f>
        <v>0</v>
      </c>
      <c r="DX59" s="63" t="str">
        <f>'Raw Datas'!DV101</f>
        <v>0</v>
      </c>
      <c r="DY59" s="63" t="str">
        <f>'Raw Datas'!DW101</f>
        <v>0</v>
      </c>
      <c r="DZ59" s="63" t="str">
        <f>'Raw Datas'!DX101</f>
        <v>0</v>
      </c>
      <c r="EA59" s="63" t="str">
        <f>'Raw Datas'!DY101</f>
        <v>0</v>
      </c>
      <c r="EB59" s="63" t="str">
        <f>'Raw Datas'!DZ101</f>
        <v>0</v>
      </c>
      <c r="EC59" s="63" t="str">
        <f>'Raw Datas'!EA101</f>
        <v>0</v>
      </c>
      <c r="ED59" s="63" t="str">
        <f>'Raw Datas'!EB101</f>
        <v>0</v>
      </c>
      <c r="EE59" s="63" t="str">
        <f>'Raw Datas'!EC101</f>
        <v>0</v>
      </c>
      <c r="EF59" s="63" t="str">
        <f>'Raw Datas'!ED101</f>
        <v>0</v>
      </c>
      <c r="EG59" s="63" t="str">
        <f>'Raw Datas'!EE101</f>
        <v>0</v>
      </c>
      <c r="EH59" s="63" t="str">
        <f>'Raw Datas'!EF101</f>
        <v>0</v>
      </c>
      <c r="EI59" s="63" t="str">
        <f>'Raw Datas'!EG101</f>
        <v>0</v>
      </c>
      <c r="EJ59" s="63" t="str">
        <f>'Raw Datas'!EH101</f>
        <v>0</v>
      </c>
      <c r="EK59" s="63" t="str">
        <f>'Raw Datas'!EI101</f>
        <v>0</v>
      </c>
      <c r="EL59" s="63" t="str">
        <f>'Raw Datas'!EJ101</f>
        <v>0</v>
      </c>
      <c r="EM59" s="63" t="str">
        <f>'Raw Datas'!EK101</f>
        <v>0</v>
      </c>
      <c r="EN59" s="63" t="str">
        <f>'Raw Datas'!EL101</f>
        <v>0</v>
      </c>
      <c r="EO59" s="63" t="str">
        <f>'Raw Datas'!EM101</f>
        <v>0</v>
      </c>
      <c r="EP59" s="63" t="str">
        <f>'Raw Datas'!EN101</f>
        <v>0</v>
      </c>
      <c r="EQ59" s="63" t="str">
        <f>'Raw Datas'!EO101</f>
        <v>0</v>
      </c>
      <c r="ER59" s="63" t="str">
        <f>'Raw Datas'!EP101</f>
        <v>0</v>
      </c>
      <c r="ES59" s="63" t="str">
        <f>'Raw Datas'!EQ101</f>
        <v>0</v>
      </c>
      <c r="ET59" s="63" t="str">
        <f>'Raw Datas'!ER101</f>
        <v>0</v>
      </c>
      <c r="EU59" s="63" t="str">
        <f>'Raw Datas'!ES101</f>
        <v>0</v>
      </c>
      <c r="EV59" s="63" t="str">
        <f>'Raw Datas'!ET101</f>
        <v>0</v>
      </c>
      <c r="EW59" s="63" t="str">
        <f>'Raw Datas'!EU101</f>
        <v>0</v>
      </c>
      <c r="EX59" s="63" t="str">
        <f>'Raw Datas'!EV101</f>
        <v>0</v>
      </c>
      <c r="EY59" s="63" t="str">
        <f>'Raw Datas'!EW101</f>
        <v>0</v>
      </c>
      <c r="EZ59" s="63" t="str">
        <f>'Raw Datas'!EX101</f>
        <v>0</v>
      </c>
      <c r="FA59" s="63" t="str">
        <f>'Raw Datas'!EY101</f>
        <v>0</v>
      </c>
      <c r="FB59" s="63" t="str">
        <f>'Raw Datas'!EZ101</f>
        <v>0</v>
      </c>
      <c r="FC59" s="63" t="str">
        <f>'Raw Datas'!FA101</f>
        <v>0</v>
      </c>
      <c r="FD59" s="63" t="str">
        <f>'Raw Datas'!FB101</f>
        <v>0</v>
      </c>
      <c r="FE59" s="63" t="str">
        <f>'Raw Datas'!FC101</f>
        <v>0</v>
      </c>
      <c r="FF59" s="63" t="str">
        <f>'Raw Datas'!FD101</f>
        <v>0</v>
      </c>
      <c r="FG59" s="63" t="str">
        <f>'Raw Datas'!FE101</f>
        <v>0</v>
      </c>
      <c r="FH59" s="63" t="str">
        <f>'Raw Datas'!FF101</f>
        <v>0</v>
      </c>
      <c r="FI59" s="63" t="str">
        <f>'Raw Datas'!FG101</f>
        <v>0</v>
      </c>
      <c r="FJ59" s="63" t="str">
        <f>'Raw Datas'!FH101</f>
        <v>0</v>
      </c>
      <c r="FK59" s="63" t="str">
        <f>'Raw Datas'!FI101</f>
        <v>0</v>
      </c>
      <c r="FL59" s="63" t="str">
        <f>'Raw Datas'!FJ101</f>
        <v>0</v>
      </c>
      <c r="FM59" s="63" t="str">
        <f>'Raw Datas'!FK101</f>
        <v>0</v>
      </c>
      <c r="FN59" s="63" t="str">
        <f>'Raw Datas'!FL101</f>
        <v>0</v>
      </c>
      <c r="FO59" s="63" t="str">
        <f>'Raw Datas'!FM101</f>
        <v>0</v>
      </c>
      <c r="FP59" s="63" t="str">
        <f>'Raw Datas'!FN101</f>
        <v>0</v>
      </c>
      <c r="FQ59" s="63" t="str">
        <f>'Raw Datas'!FO101</f>
        <v>0</v>
      </c>
    </row>
    <row r="60" spans="1:16092" ht="16" thickBot="1" x14ac:dyDescent="0.25">
      <c r="A60" s="118"/>
      <c r="B60" s="58" t="s">
        <v>29</v>
      </c>
      <c r="C60" s="106" t="s">
        <v>767</v>
      </c>
      <c r="D60" s="106" t="s">
        <v>146</v>
      </c>
      <c r="E60" s="62" t="str">
        <f>'Raw Datas'!C102</f>
        <v>0</v>
      </c>
      <c r="F60" s="64" t="str">
        <f>'Raw Datas'!D102</f>
        <v>0</v>
      </c>
      <c r="G60" s="64" t="str">
        <f>'Raw Datas'!E102</f>
        <v>0</v>
      </c>
      <c r="H60" s="64" t="str">
        <f>'Raw Datas'!F102</f>
        <v>0</v>
      </c>
      <c r="I60" s="64" t="str">
        <f>'Raw Datas'!G102</f>
        <v>0</v>
      </c>
      <c r="J60" s="64" t="str">
        <f>'Raw Datas'!H102</f>
        <v>0</v>
      </c>
      <c r="K60" s="64" t="str">
        <f>'Raw Datas'!I102</f>
        <v>0</v>
      </c>
      <c r="L60" s="64" t="str">
        <f>'Raw Datas'!J102</f>
        <v>0</v>
      </c>
      <c r="M60" s="64" t="str">
        <f>'Raw Datas'!K102</f>
        <v>0</v>
      </c>
      <c r="N60" s="64" t="str">
        <f>'Raw Datas'!L102</f>
        <v>0</v>
      </c>
      <c r="O60" s="64" t="str">
        <f>'Raw Datas'!M102</f>
        <v>0</v>
      </c>
      <c r="P60" s="64" t="str">
        <f>'Raw Datas'!N102</f>
        <v>0</v>
      </c>
      <c r="Q60" s="64" t="str">
        <f>'Raw Datas'!O102</f>
        <v>0</v>
      </c>
      <c r="R60" s="64" t="str">
        <f>'Raw Datas'!P102</f>
        <v>0</v>
      </c>
      <c r="S60" s="64" t="str">
        <f>'Raw Datas'!Q102</f>
        <v>0</v>
      </c>
      <c r="T60" s="64" t="str">
        <f>'Raw Datas'!R102</f>
        <v>0</v>
      </c>
      <c r="U60" s="64" t="str">
        <f>'Raw Datas'!S102</f>
        <v>0</v>
      </c>
      <c r="V60" s="64" t="str">
        <f>'Raw Datas'!T102</f>
        <v>0</v>
      </c>
      <c r="W60" s="64" t="str">
        <f>'Raw Datas'!U102</f>
        <v>0</v>
      </c>
      <c r="X60" s="64" t="str">
        <f>'Raw Datas'!V102</f>
        <v>0</v>
      </c>
      <c r="Y60" s="64" t="str">
        <f>'Raw Datas'!W102</f>
        <v>0</v>
      </c>
      <c r="Z60" s="64" t="str">
        <f>'Raw Datas'!X102</f>
        <v>0</v>
      </c>
      <c r="AA60" s="64" t="str">
        <f>'Raw Datas'!Y102</f>
        <v>0</v>
      </c>
      <c r="AB60" s="64" t="str">
        <f>'Raw Datas'!Z102</f>
        <v>0</v>
      </c>
      <c r="AC60" s="64" t="str">
        <f>'Raw Datas'!AA102</f>
        <v>0</v>
      </c>
      <c r="AD60" s="64" t="str">
        <f>'Raw Datas'!AB102</f>
        <v>0</v>
      </c>
      <c r="AE60" s="64" t="str">
        <f>'Raw Datas'!AC102</f>
        <v>0</v>
      </c>
      <c r="AF60" s="64" t="str">
        <f>'Raw Datas'!AD102</f>
        <v>0</v>
      </c>
      <c r="AG60" s="64" t="str">
        <f>'Raw Datas'!AE102</f>
        <v>0</v>
      </c>
      <c r="AH60" s="64" t="str">
        <f>'Raw Datas'!AF102</f>
        <v>0</v>
      </c>
      <c r="AI60" s="64" t="str">
        <f>'Raw Datas'!AG102</f>
        <v>0</v>
      </c>
      <c r="AJ60" s="64" t="str">
        <f>'Raw Datas'!AH102</f>
        <v>0</v>
      </c>
      <c r="AK60" s="64" t="str">
        <f>'Raw Datas'!AI102</f>
        <v>0</v>
      </c>
      <c r="AL60" s="64" t="str">
        <f>'Raw Datas'!AJ102</f>
        <v>0</v>
      </c>
      <c r="AM60" s="64" t="str">
        <f>'Raw Datas'!AK102</f>
        <v>0</v>
      </c>
      <c r="AN60" s="64" t="str">
        <f>'Raw Datas'!AL102</f>
        <v>0</v>
      </c>
      <c r="AO60" s="64" t="str">
        <f>'Raw Datas'!AM102</f>
        <v>0</v>
      </c>
      <c r="AP60" s="64" t="str">
        <f>'Raw Datas'!AN102</f>
        <v>0</v>
      </c>
      <c r="AQ60" s="64" t="str">
        <f>'Raw Datas'!AO102</f>
        <v>0</v>
      </c>
      <c r="AR60" s="64" t="str">
        <f>'Raw Datas'!AP102</f>
        <v>0</v>
      </c>
      <c r="AS60" s="64" t="str">
        <f>'Raw Datas'!AQ102</f>
        <v>0</v>
      </c>
      <c r="AT60" s="64" t="str">
        <f>'Raw Datas'!AR102</f>
        <v>0</v>
      </c>
      <c r="AU60" s="64" t="str">
        <f>'Raw Datas'!AS102</f>
        <v>0</v>
      </c>
      <c r="AV60" s="64" t="str">
        <f>'Raw Datas'!AT102</f>
        <v>0</v>
      </c>
      <c r="AW60" s="64" t="str">
        <f>'Raw Datas'!AU102</f>
        <v>0</v>
      </c>
      <c r="AX60" s="64" t="str">
        <f>'Raw Datas'!AV102</f>
        <v>0</v>
      </c>
      <c r="AY60" s="64" t="str">
        <f>'Raw Datas'!AW102</f>
        <v>0</v>
      </c>
      <c r="AZ60" s="64" t="str">
        <f>'Raw Datas'!AX102</f>
        <v>0</v>
      </c>
      <c r="BA60" s="64" t="str">
        <f>'Raw Datas'!AY102</f>
        <v>0</v>
      </c>
      <c r="BB60" s="64" t="str">
        <f>'Raw Datas'!AZ102</f>
        <v>0</v>
      </c>
      <c r="BC60" s="64" t="str">
        <f>'Raw Datas'!BA102</f>
        <v>0</v>
      </c>
      <c r="BD60" s="64" t="str">
        <f>'Raw Datas'!BB102</f>
        <v>0</v>
      </c>
      <c r="BE60" s="64" t="str">
        <f>'Raw Datas'!BC102</f>
        <v>0</v>
      </c>
      <c r="BF60" s="64" t="str">
        <f>'Raw Datas'!BD102</f>
        <v>0</v>
      </c>
      <c r="BG60" s="64" t="str">
        <f>'Raw Datas'!BE102</f>
        <v>0</v>
      </c>
      <c r="BH60" s="64" t="str">
        <f>'Raw Datas'!BF102</f>
        <v>0</v>
      </c>
      <c r="BI60" s="64" t="str">
        <f>'Raw Datas'!BG102</f>
        <v>0</v>
      </c>
      <c r="BJ60" s="64" t="str">
        <f>'Raw Datas'!BH102</f>
        <v>0</v>
      </c>
      <c r="BK60" s="64" t="str">
        <f>'Raw Datas'!BI102</f>
        <v>0</v>
      </c>
      <c r="BL60" s="64" t="str">
        <f>'Raw Datas'!BJ102</f>
        <v>0</v>
      </c>
      <c r="BM60" s="64" t="str">
        <f>'Raw Datas'!BK102</f>
        <v>0</v>
      </c>
      <c r="BN60" s="64" t="str">
        <f>'Raw Datas'!BL102</f>
        <v>0</v>
      </c>
      <c r="BO60" s="64" t="str">
        <f>'Raw Datas'!BM102</f>
        <v>0</v>
      </c>
      <c r="BP60" s="64" t="str">
        <f>'Raw Datas'!BN102</f>
        <v>0</v>
      </c>
      <c r="BQ60" s="64" t="str">
        <f>'Raw Datas'!BO102</f>
        <v>0</v>
      </c>
      <c r="BR60" s="64" t="str">
        <f>'Raw Datas'!BP102</f>
        <v>0</v>
      </c>
      <c r="BS60" s="64" t="str">
        <f>'Raw Datas'!BQ102</f>
        <v>0</v>
      </c>
      <c r="BT60" s="64" t="str">
        <f>'Raw Datas'!BR102</f>
        <v>0</v>
      </c>
      <c r="BU60" s="64" t="str">
        <f>'Raw Datas'!BS102</f>
        <v>0</v>
      </c>
      <c r="BV60" s="64" t="str">
        <f>'Raw Datas'!BT102</f>
        <v>0</v>
      </c>
      <c r="BW60" s="64" t="str">
        <f>'Raw Datas'!BU102</f>
        <v>0</v>
      </c>
      <c r="BX60" s="64" t="str">
        <f>'Raw Datas'!BV102</f>
        <v>0</v>
      </c>
      <c r="BY60" s="64" t="str">
        <f>'Raw Datas'!BW102</f>
        <v>0</v>
      </c>
      <c r="BZ60" s="64" t="str">
        <f>'Raw Datas'!BX102</f>
        <v>0</v>
      </c>
      <c r="CA60" s="64" t="str">
        <f>'Raw Datas'!BY102</f>
        <v>0</v>
      </c>
      <c r="CB60" s="64" t="str">
        <f>'Raw Datas'!BZ102</f>
        <v>0</v>
      </c>
      <c r="CC60" s="64" t="str">
        <f>'Raw Datas'!CA102</f>
        <v>0</v>
      </c>
      <c r="CD60" s="64" t="str">
        <f>'Raw Datas'!CB102</f>
        <v>0</v>
      </c>
      <c r="CE60" s="64" t="str">
        <f>'Raw Datas'!CC102</f>
        <v>0</v>
      </c>
      <c r="CF60" s="64" t="str">
        <f>'Raw Datas'!CD102</f>
        <v>0</v>
      </c>
      <c r="CG60" s="64" t="str">
        <f>'Raw Datas'!CE102</f>
        <v>0</v>
      </c>
      <c r="CH60" s="64" t="str">
        <f>'Raw Datas'!CF102</f>
        <v>0</v>
      </c>
      <c r="CI60" s="64" t="str">
        <f>'Raw Datas'!CG102</f>
        <v>0</v>
      </c>
      <c r="CJ60" s="64" t="str">
        <f>'Raw Datas'!CH102</f>
        <v>0</v>
      </c>
      <c r="CK60" s="64" t="str">
        <f>'Raw Datas'!CI102</f>
        <v>0</v>
      </c>
      <c r="CL60" s="64" t="str">
        <f>'Raw Datas'!CJ102</f>
        <v>0</v>
      </c>
      <c r="CM60" s="64" t="str">
        <f>'Raw Datas'!CK102</f>
        <v>0</v>
      </c>
      <c r="CN60" s="64" t="str">
        <f>'Raw Datas'!CL102</f>
        <v>0</v>
      </c>
      <c r="CO60" s="64" t="str">
        <f>'Raw Datas'!CM102</f>
        <v>0</v>
      </c>
      <c r="CP60" s="64" t="str">
        <f>'Raw Datas'!CN102</f>
        <v>0</v>
      </c>
      <c r="CQ60" s="64" t="str">
        <f>'Raw Datas'!CO102</f>
        <v>0</v>
      </c>
      <c r="CR60" s="64" t="str">
        <f>'Raw Datas'!CP102</f>
        <v>0</v>
      </c>
      <c r="CS60" s="64" t="str">
        <f>'Raw Datas'!CQ102</f>
        <v>0</v>
      </c>
      <c r="CT60" s="64" t="str">
        <f>'Raw Datas'!CR102</f>
        <v>0</v>
      </c>
      <c r="CU60" s="64" t="str">
        <f>'Raw Datas'!CS102</f>
        <v>0</v>
      </c>
      <c r="CV60" s="64" t="str">
        <f>'Raw Datas'!CT102</f>
        <v>0</v>
      </c>
      <c r="CW60" s="64" t="str">
        <f>'Raw Datas'!CU102</f>
        <v>0</v>
      </c>
      <c r="CX60" s="64" t="str">
        <f>'Raw Datas'!CV102</f>
        <v>0</v>
      </c>
      <c r="CY60" s="64" t="str">
        <f>'Raw Datas'!CW102</f>
        <v>0</v>
      </c>
      <c r="CZ60" s="64" t="str">
        <f>'Raw Datas'!CX102</f>
        <v>0</v>
      </c>
      <c r="DA60" s="64" t="str">
        <f>'Raw Datas'!CY102</f>
        <v>0</v>
      </c>
      <c r="DB60" s="64" t="str">
        <f>'Raw Datas'!CZ102</f>
        <v>0</v>
      </c>
      <c r="DC60" s="64" t="str">
        <f>'Raw Datas'!DA102</f>
        <v>0</v>
      </c>
      <c r="DD60" s="64" t="str">
        <f>'Raw Datas'!DB102</f>
        <v>0</v>
      </c>
      <c r="DE60" s="64" t="str">
        <f>'Raw Datas'!DC102</f>
        <v>0</v>
      </c>
      <c r="DF60" s="64" t="str">
        <f>'Raw Datas'!DD102</f>
        <v>0</v>
      </c>
      <c r="DG60" s="64" t="str">
        <f>'Raw Datas'!DE102</f>
        <v>0</v>
      </c>
      <c r="DH60" s="64" t="str">
        <f>'Raw Datas'!DF102</f>
        <v>0</v>
      </c>
      <c r="DI60" s="64" t="str">
        <f>'Raw Datas'!DG102</f>
        <v>0</v>
      </c>
      <c r="DJ60" s="64" t="str">
        <f>'Raw Datas'!DH102</f>
        <v>0</v>
      </c>
      <c r="DK60" s="64" t="str">
        <f>'Raw Datas'!DI102</f>
        <v>0</v>
      </c>
      <c r="DL60" s="64" t="str">
        <f>'Raw Datas'!DJ102</f>
        <v>0</v>
      </c>
      <c r="DM60" s="64" t="str">
        <f>'Raw Datas'!DK102</f>
        <v>0</v>
      </c>
      <c r="DN60" s="64" t="str">
        <f>'Raw Datas'!DL102</f>
        <v>0</v>
      </c>
      <c r="DO60" s="64" t="str">
        <f>'Raw Datas'!DM102</f>
        <v>0</v>
      </c>
      <c r="DP60" s="64" t="str">
        <f>'Raw Datas'!DN102</f>
        <v>0</v>
      </c>
      <c r="DQ60" s="64" t="str">
        <f>'Raw Datas'!DO102</f>
        <v>0</v>
      </c>
      <c r="DR60" s="64" t="str">
        <f>'Raw Datas'!DP102</f>
        <v>0</v>
      </c>
      <c r="DS60" s="64" t="str">
        <f>'Raw Datas'!DQ102</f>
        <v>0</v>
      </c>
      <c r="DT60" s="64" t="str">
        <f>'Raw Datas'!DR102</f>
        <v>0</v>
      </c>
      <c r="DU60" s="64" t="str">
        <f>'Raw Datas'!DS102</f>
        <v>0</v>
      </c>
      <c r="DV60" s="64" t="str">
        <f>'Raw Datas'!DT102</f>
        <v>0</v>
      </c>
      <c r="DW60" s="64" t="str">
        <f>'Raw Datas'!DU102</f>
        <v>0</v>
      </c>
      <c r="DX60" s="64" t="str">
        <f>'Raw Datas'!DV102</f>
        <v>0</v>
      </c>
      <c r="DY60" s="64" t="str">
        <f>'Raw Datas'!DW102</f>
        <v>0</v>
      </c>
      <c r="DZ60" s="64" t="str">
        <f>'Raw Datas'!DX102</f>
        <v>0</v>
      </c>
      <c r="EA60" s="64" t="str">
        <f>'Raw Datas'!DY102</f>
        <v>0</v>
      </c>
      <c r="EB60" s="64" t="str">
        <f>'Raw Datas'!DZ102</f>
        <v>0</v>
      </c>
      <c r="EC60" s="64" t="str">
        <f>'Raw Datas'!EA102</f>
        <v>0</v>
      </c>
      <c r="ED60" s="64" t="str">
        <f>'Raw Datas'!EB102</f>
        <v>0</v>
      </c>
      <c r="EE60" s="64" t="str">
        <f>'Raw Datas'!EC102</f>
        <v>0</v>
      </c>
      <c r="EF60" s="64" t="str">
        <f>'Raw Datas'!ED102</f>
        <v>0</v>
      </c>
      <c r="EG60" s="64" t="str">
        <f>'Raw Datas'!EE102</f>
        <v>0</v>
      </c>
      <c r="EH60" s="64" t="str">
        <f>'Raw Datas'!EF102</f>
        <v>0</v>
      </c>
      <c r="EI60" s="64" t="str">
        <f>'Raw Datas'!EG102</f>
        <v>0</v>
      </c>
      <c r="EJ60" s="64" t="str">
        <f>'Raw Datas'!EH102</f>
        <v>0</v>
      </c>
      <c r="EK60" s="64" t="str">
        <f>'Raw Datas'!EI102</f>
        <v>0</v>
      </c>
      <c r="EL60" s="64" t="str">
        <f>'Raw Datas'!EJ102</f>
        <v>0</v>
      </c>
      <c r="EM60" s="64" t="str">
        <f>'Raw Datas'!EK102</f>
        <v>0</v>
      </c>
      <c r="EN60" s="64" t="str">
        <f>'Raw Datas'!EL102</f>
        <v>0</v>
      </c>
      <c r="EO60" s="64" t="str">
        <f>'Raw Datas'!EM102</f>
        <v>0</v>
      </c>
      <c r="EP60" s="64" t="str">
        <f>'Raw Datas'!EN102</f>
        <v>0</v>
      </c>
      <c r="EQ60" s="64" t="str">
        <f>'Raw Datas'!EO102</f>
        <v>0</v>
      </c>
      <c r="ER60" s="64" t="str">
        <f>'Raw Datas'!EP102</f>
        <v>0</v>
      </c>
      <c r="ES60" s="64" t="str">
        <f>'Raw Datas'!EQ102</f>
        <v>0</v>
      </c>
      <c r="ET60" s="64" t="str">
        <f>'Raw Datas'!ER102</f>
        <v>0</v>
      </c>
      <c r="EU60" s="64" t="str">
        <f>'Raw Datas'!ES102</f>
        <v>0</v>
      </c>
      <c r="EV60" s="64" t="str">
        <f>'Raw Datas'!ET102</f>
        <v>0</v>
      </c>
      <c r="EW60" s="64" t="str">
        <f>'Raw Datas'!EU102</f>
        <v>0</v>
      </c>
      <c r="EX60" s="64" t="str">
        <f>'Raw Datas'!EV102</f>
        <v>0</v>
      </c>
      <c r="EY60" s="64" t="str">
        <f>'Raw Datas'!EW102</f>
        <v>0</v>
      </c>
      <c r="EZ60" s="64" t="str">
        <f>'Raw Datas'!EX102</f>
        <v>0</v>
      </c>
      <c r="FA60" s="64" t="str">
        <f>'Raw Datas'!EY102</f>
        <v>0</v>
      </c>
      <c r="FB60" s="64" t="str">
        <f>'Raw Datas'!EZ102</f>
        <v>0</v>
      </c>
      <c r="FC60" s="64" t="str">
        <f>'Raw Datas'!FA102</f>
        <v>0</v>
      </c>
      <c r="FD60" s="64" t="str">
        <f>'Raw Datas'!FB102</f>
        <v>0</v>
      </c>
      <c r="FE60" s="64" t="str">
        <f>'Raw Datas'!FC102</f>
        <v>0</v>
      </c>
      <c r="FF60" s="64" t="str">
        <f>'Raw Datas'!FD102</f>
        <v>0</v>
      </c>
      <c r="FG60" s="64" t="str">
        <f>'Raw Datas'!FE102</f>
        <v>0</v>
      </c>
      <c r="FH60" s="64" t="str">
        <f>'Raw Datas'!FF102</f>
        <v>0</v>
      </c>
      <c r="FI60" s="64" t="str">
        <f>'Raw Datas'!FG102</f>
        <v>0</v>
      </c>
      <c r="FJ60" s="64" t="str">
        <f>'Raw Datas'!FH102</f>
        <v>0</v>
      </c>
      <c r="FK60" s="64" t="str">
        <f>'Raw Datas'!FI102</f>
        <v>0</v>
      </c>
      <c r="FL60" s="64" t="str">
        <f>'Raw Datas'!FJ102</f>
        <v>0</v>
      </c>
      <c r="FM60" s="64" t="str">
        <f>'Raw Datas'!FK102</f>
        <v>0</v>
      </c>
      <c r="FN60" s="64" t="str">
        <f>'Raw Datas'!FL102</f>
        <v>0</v>
      </c>
      <c r="FO60" s="64" t="str">
        <f>'Raw Datas'!FM102</f>
        <v>0</v>
      </c>
      <c r="FP60" s="64" t="str">
        <f>'Raw Datas'!FN102</f>
        <v>0</v>
      </c>
      <c r="FQ60" s="64" t="str">
        <f>'Raw Datas'!FO102</f>
        <v>0</v>
      </c>
    </row>
    <row r="61" spans="1:16092" ht="16" x14ac:dyDescent="0.2">
      <c r="A61" s="2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</row>
    <row r="62" spans="1:16092" ht="16" thickBot="1" x14ac:dyDescent="0.25">
      <c r="B62" s="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</row>
    <row r="63" spans="1:16092" ht="16" thickBot="1" x14ac:dyDescent="0.25">
      <c r="B63" s="6" t="str">
        <f t="shared" ref="B63:AI63" si="0">B7</f>
        <v>pg/µL of fluid</v>
      </c>
      <c r="C63" s="108"/>
      <c r="D63" s="108"/>
      <c r="E63" s="6" t="str">
        <f t="shared" si="0"/>
        <v>KT-312D10</v>
      </c>
      <c r="F63" s="6" t="str">
        <f t="shared" si="0"/>
        <v>BS-364D0</v>
      </c>
      <c r="G63" s="6" t="str">
        <f t="shared" si="0"/>
        <v>KT-412D60</v>
      </c>
      <c r="H63" s="6" t="str">
        <f t="shared" si="0"/>
        <v>KT-974D03</v>
      </c>
      <c r="I63" s="6" t="str">
        <f t="shared" si="0"/>
        <v>JV-138D0</v>
      </c>
      <c r="J63" s="6" t="str">
        <f t="shared" si="0"/>
        <v>BS-671D03</v>
      </c>
      <c r="K63" s="6" t="str">
        <f t="shared" si="0"/>
        <v>KT-723D10</v>
      </c>
      <c r="L63" s="6" t="str">
        <f t="shared" si="0"/>
        <v>KT-705D60</v>
      </c>
      <c r="M63" s="6" t="str">
        <f t="shared" si="0"/>
        <v>KT-434D03</v>
      </c>
      <c r="N63" s="6" t="str">
        <f t="shared" si="0"/>
        <v>BS-082D60</v>
      </c>
      <c r="O63" s="6" t="str">
        <f t="shared" si="0"/>
        <v>BS-064D0</v>
      </c>
      <c r="P63" s="6" t="str">
        <f t="shared" si="0"/>
        <v>BS-336D10</v>
      </c>
      <c r="Q63" s="6" t="str">
        <f t="shared" si="0"/>
        <v>KT-723D60</v>
      </c>
      <c r="R63" s="6" t="str">
        <f t="shared" si="0"/>
        <v>KT-612D10</v>
      </c>
      <c r="S63" s="6" t="str">
        <f t="shared" si="0"/>
        <v>KT-705D03</v>
      </c>
      <c r="T63" s="6" t="str">
        <f t="shared" si="0"/>
        <v>JV-157D0</v>
      </c>
      <c r="U63" s="6" t="str">
        <f t="shared" si="0"/>
        <v>JV-148D60</v>
      </c>
      <c r="V63" s="6" t="str">
        <f t="shared" si="0"/>
        <v>KT-663D0</v>
      </c>
      <c r="W63" s="6" t="str">
        <f t="shared" si="0"/>
        <v>BS-346D03</v>
      </c>
      <c r="X63" s="6" t="str">
        <f t="shared" si="0"/>
        <v>JV-048D10</v>
      </c>
      <c r="Y63" s="6" t="str">
        <f t="shared" si="0"/>
        <v>BS-351D0</v>
      </c>
      <c r="Z63" s="6" t="str">
        <f t="shared" si="0"/>
        <v>JV-148D10</v>
      </c>
      <c r="AA63" s="6" t="str">
        <f t="shared" si="0"/>
        <v>KT-929D60</v>
      </c>
      <c r="AB63" s="6" t="str">
        <f t="shared" si="0"/>
        <v>BS-336D03</v>
      </c>
      <c r="AC63" s="6" t="str">
        <f t="shared" si="0"/>
        <v>KT-771D10</v>
      </c>
      <c r="AD63" s="6" t="str">
        <f t="shared" si="0"/>
        <v>KT-695D03</v>
      </c>
      <c r="AE63" s="6" t="str">
        <f t="shared" si="0"/>
        <v>KT-612D0</v>
      </c>
      <c r="AF63" s="6" t="str">
        <f t="shared" si="0"/>
        <v>KT-312D60</v>
      </c>
      <c r="AG63" s="6" t="str">
        <f t="shared" si="0"/>
        <v>KT-927D03</v>
      </c>
      <c r="AH63" s="6" t="str">
        <f t="shared" si="0"/>
        <v>JV-071D60</v>
      </c>
      <c r="AI63" s="6" t="str">
        <f t="shared" si="0"/>
        <v>KT-193D10</v>
      </c>
      <c r="AJ63" s="6" t="str">
        <f t="shared" ref="AJ63:CG63" si="1">AJ7</f>
        <v>KT-247D0</v>
      </c>
      <c r="AK63" s="6" t="str">
        <f t="shared" si="1"/>
        <v>BS-064D03</v>
      </c>
      <c r="AL63" s="6" t="str">
        <f t="shared" si="1"/>
        <v>KT-537D60</v>
      </c>
      <c r="AM63" s="6" t="str">
        <f t="shared" si="1"/>
        <v>BS-377D0</v>
      </c>
      <c r="AN63" s="6" t="str">
        <f t="shared" si="1"/>
        <v>KT-347D10</v>
      </c>
      <c r="AO63" s="6" t="str">
        <f t="shared" si="1"/>
        <v>JV-138D60</v>
      </c>
      <c r="AP63" s="6" t="str">
        <f t="shared" si="1"/>
        <v>JV-138D10</v>
      </c>
      <c r="AQ63" s="6" t="str">
        <f t="shared" si="1"/>
        <v>KT-247D03</v>
      </c>
      <c r="AR63" s="6" t="str">
        <f t="shared" si="1"/>
        <v>KT-718D0</v>
      </c>
      <c r="AS63" s="6" t="str">
        <f t="shared" si="1"/>
        <v>BS-082D10</v>
      </c>
      <c r="AT63" s="6" t="str">
        <f t="shared" si="1"/>
        <v>KT-445D0</v>
      </c>
      <c r="AU63" s="6" t="str">
        <f t="shared" si="1"/>
        <v>KT-716D60</v>
      </c>
      <c r="AV63" s="6" t="str">
        <f t="shared" si="1"/>
        <v>KT-347D03</v>
      </c>
      <c r="AW63" s="6" t="str">
        <f t="shared" si="1"/>
        <v>KT-805D0</v>
      </c>
      <c r="AX63" s="6" t="str">
        <f t="shared" si="1"/>
        <v>BS-351D03</v>
      </c>
      <c r="AY63" s="6" t="str">
        <f t="shared" si="1"/>
        <v>KT-538D10</v>
      </c>
      <c r="AZ63" s="6" t="str">
        <f t="shared" si="1"/>
        <v>JV-035D60</v>
      </c>
      <c r="BA63" s="6" t="str">
        <f t="shared" si="1"/>
        <v>KT-718D03</v>
      </c>
      <c r="BB63" s="6" t="str">
        <f t="shared" si="1"/>
        <v>KT-723D0</v>
      </c>
      <c r="BC63" s="6" t="str">
        <f t="shared" si="1"/>
        <v>KT-515D10</v>
      </c>
      <c r="BD63" s="6" t="str">
        <f t="shared" si="1"/>
        <v>KT-412D03</v>
      </c>
      <c r="BE63" s="6" t="str">
        <f t="shared" si="1"/>
        <v>KT-313D10</v>
      </c>
      <c r="BF63" s="6" t="str">
        <f t="shared" si="1"/>
        <v>BS-377D60</v>
      </c>
      <c r="BG63" s="6" t="str">
        <f t="shared" si="1"/>
        <v>KT-417D0</v>
      </c>
      <c r="BH63" s="6" t="str">
        <f t="shared" si="1"/>
        <v>KT-412D10</v>
      </c>
      <c r="BI63" s="6" t="str">
        <f t="shared" si="1"/>
        <v>KT-515D0</v>
      </c>
      <c r="BJ63" s="6" t="str">
        <f t="shared" si="1"/>
        <v>JV-148D03</v>
      </c>
      <c r="BK63" s="6" t="str">
        <f t="shared" si="1"/>
        <v>KT-313D0</v>
      </c>
      <c r="BL63" s="6" t="str">
        <f t="shared" si="1"/>
        <v>KT-445D60</v>
      </c>
      <c r="BM63" s="6" t="str">
        <f t="shared" si="1"/>
        <v>KT-434D10</v>
      </c>
      <c r="BN63" s="6" t="str">
        <f t="shared" si="1"/>
        <v>BS-082D03</v>
      </c>
      <c r="BO63" s="6" t="str">
        <f t="shared" si="1"/>
        <v>KT-880D03</v>
      </c>
      <c r="BP63" s="6" t="str">
        <f t="shared" si="1"/>
        <v>KT-247D60</v>
      </c>
      <c r="BQ63" s="6" t="str">
        <f t="shared" si="1"/>
        <v>KT-705D10</v>
      </c>
      <c r="BR63" s="6" t="str">
        <f t="shared" si="1"/>
        <v>BS-082D0</v>
      </c>
      <c r="BS63" s="6" t="str">
        <f t="shared" si="1"/>
        <v>JV-157D60</v>
      </c>
      <c r="BT63" s="6" t="str">
        <f t="shared" si="1"/>
        <v>KT-312D0</v>
      </c>
      <c r="BU63" s="6" t="str">
        <f t="shared" si="1"/>
        <v>KT-445D03</v>
      </c>
      <c r="BV63" s="6" t="str">
        <f t="shared" si="1"/>
        <v>BS-377D10</v>
      </c>
      <c r="BW63" s="6" t="str">
        <f t="shared" si="1"/>
        <v>KT-695D0</v>
      </c>
      <c r="BX63" s="6" t="str">
        <f t="shared" si="1"/>
        <v>BS-351D10</v>
      </c>
      <c r="BY63" s="6" t="str">
        <f t="shared" si="1"/>
        <v>KT-417D60</v>
      </c>
      <c r="BZ63" s="6" t="str">
        <f t="shared" si="1"/>
        <v>JV-138D03</v>
      </c>
      <c r="CA63" s="6" t="str">
        <f t="shared" si="1"/>
        <v>KT-805D10</v>
      </c>
      <c r="CB63" s="6" t="str">
        <f t="shared" si="1"/>
        <v>JV-048D03</v>
      </c>
      <c r="CC63" s="6" t="str">
        <f t="shared" si="1"/>
        <v>KT-705D0</v>
      </c>
      <c r="CD63" s="6" t="str">
        <f t="shared" si="1"/>
        <v>BS-671D60</v>
      </c>
      <c r="CE63" s="6" t="str">
        <f t="shared" si="1"/>
        <v>JV-157D03</v>
      </c>
      <c r="CF63" s="6" t="str">
        <f t="shared" si="1"/>
        <v>KT-974D0</v>
      </c>
      <c r="CG63" s="6" t="str">
        <f t="shared" si="1"/>
        <v>BS-364D60</v>
      </c>
      <c r="CH63" s="6" t="str">
        <f t="shared" ref="CH63:ES63" si="2">CH7</f>
        <v>KT-716D10</v>
      </c>
      <c r="CI63" s="6" t="str">
        <f t="shared" si="2"/>
        <v>KT-538D0</v>
      </c>
      <c r="CJ63" s="6" t="str">
        <f t="shared" si="2"/>
        <v>KT-718D10</v>
      </c>
      <c r="CK63" s="6" t="str">
        <f t="shared" si="2"/>
        <v>KT-538D03</v>
      </c>
      <c r="CL63" s="6" t="str">
        <f t="shared" si="2"/>
        <v>KT-805D60</v>
      </c>
      <c r="CM63" s="6" t="str">
        <f t="shared" si="2"/>
        <v>KT-612D60</v>
      </c>
      <c r="CN63" s="6" t="str">
        <f t="shared" si="2"/>
        <v>KT-926D0</v>
      </c>
      <c r="CO63" s="6" t="str">
        <f t="shared" si="2"/>
        <v>KT-193D03</v>
      </c>
      <c r="CP63" s="6" t="str">
        <f t="shared" si="2"/>
        <v>KT-663D60</v>
      </c>
      <c r="CQ63" s="6" t="str">
        <f t="shared" si="2"/>
        <v>KT-352D03</v>
      </c>
      <c r="CR63" s="6" t="str">
        <f t="shared" si="2"/>
        <v>KT-537D10</v>
      </c>
      <c r="CS63" s="6" t="str">
        <f t="shared" si="2"/>
        <v>JV-035D0</v>
      </c>
      <c r="CT63" s="6" t="str">
        <f t="shared" si="2"/>
        <v>KT-522D60</v>
      </c>
      <c r="CU63" s="6" t="str">
        <f t="shared" si="2"/>
        <v>KT-352D10</v>
      </c>
      <c r="CV63" s="6" t="str">
        <f t="shared" si="2"/>
        <v>KT-716D03</v>
      </c>
      <c r="CW63" s="6" t="str">
        <f t="shared" si="2"/>
        <v>KT-716D0</v>
      </c>
      <c r="CX63" s="6" t="str">
        <f t="shared" si="2"/>
        <v>BS-346D10</v>
      </c>
      <c r="CY63" s="6" t="str">
        <f t="shared" si="2"/>
        <v>KT-347D0</v>
      </c>
      <c r="CZ63" s="6" t="str">
        <f t="shared" si="2"/>
        <v>BS-336D60</v>
      </c>
      <c r="DA63" s="6" t="str">
        <f t="shared" si="2"/>
        <v>KT-515D03</v>
      </c>
      <c r="DB63" s="6" t="str">
        <f t="shared" si="2"/>
        <v>KT-352D0</v>
      </c>
      <c r="DC63" s="6" t="str">
        <f t="shared" si="2"/>
        <v>KT-771D03</v>
      </c>
      <c r="DD63" s="6" t="str">
        <f t="shared" si="2"/>
        <v>BS-364D10</v>
      </c>
      <c r="DE63" s="6" t="str">
        <f t="shared" si="2"/>
        <v>BS-064D60</v>
      </c>
      <c r="DF63" s="6" t="str">
        <f t="shared" si="2"/>
        <v>KT-723D03</v>
      </c>
      <c r="DG63" s="6" t="str">
        <f t="shared" si="2"/>
        <v>KT-538D60</v>
      </c>
      <c r="DH63" s="6" t="str">
        <f t="shared" si="2"/>
        <v>KT-193D0</v>
      </c>
      <c r="DI63" s="6" t="str">
        <f t="shared" si="2"/>
        <v>KT-445D10</v>
      </c>
      <c r="DJ63" s="6" t="str">
        <f t="shared" si="2"/>
        <v>KT-771D0</v>
      </c>
      <c r="DK63" s="6" t="str">
        <f t="shared" si="2"/>
        <v>KT-247D10</v>
      </c>
      <c r="DL63" s="6" t="str">
        <f t="shared" si="2"/>
        <v>KT-515D60</v>
      </c>
      <c r="DM63" s="6" t="str">
        <f t="shared" si="2"/>
        <v>JV-071D03</v>
      </c>
      <c r="DN63" s="6" t="str">
        <f t="shared" si="2"/>
        <v>KT-525D10</v>
      </c>
      <c r="DO63" s="6" t="str">
        <f t="shared" si="2"/>
        <v>KT-522D03</v>
      </c>
      <c r="DP63" s="6" t="str">
        <f t="shared" si="2"/>
        <v>KT-525D0</v>
      </c>
      <c r="DQ63" s="6" t="str">
        <f t="shared" si="2"/>
        <v>BS-346D60</v>
      </c>
      <c r="DR63" s="6" t="str">
        <f t="shared" si="2"/>
        <v>KT-525D03</v>
      </c>
      <c r="DS63" s="6" t="str">
        <f t="shared" si="2"/>
        <v>KT-771D60</v>
      </c>
      <c r="DT63" s="6" t="str">
        <f t="shared" si="2"/>
        <v>KT-417D10</v>
      </c>
      <c r="DU63" s="6" t="str">
        <f t="shared" si="2"/>
        <v>JV-048D0</v>
      </c>
      <c r="DV63" s="6" t="str">
        <f t="shared" si="2"/>
        <v>KT-539D60</v>
      </c>
      <c r="DW63" s="6" t="str">
        <f t="shared" si="2"/>
        <v>KT-880D0</v>
      </c>
      <c r="DX63" s="6" t="str">
        <f t="shared" si="2"/>
        <v>KT-805D03</v>
      </c>
      <c r="DY63" s="6" t="str">
        <f t="shared" si="2"/>
        <v>KT-565D10</v>
      </c>
      <c r="DZ63" s="6" t="str">
        <f t="shared" si="2"/>
        <v>BS-351D60</v>
      </c>
      <c r="EA63" s="6" t="str">
        <f t="shared" si="2"/>
        <v>KT-663D03</v>
      </c>
      <c r="EB63" s="6" t="str">
        <f t="shared" si="2"/>
        <v>KT-695D10</v>
      </c>
      <c r="EC63" s="6" t="str">
        <f t="shared" si="2"/>
        <v>KT-539D0</v>
      </c>
      <c r="ED63" s="6" t="str">
        <f t="shared" si="2"/>
        <v>KT-539D03</v>
      </c>
      <c r="EE63" s="6" t="str">
        <f t="shared" si="2"/>
        <v>BS-671D0</v>
      </c>
      <c r="EF63" s="6" t="str">
        <f t="shared" si="2"/>
        <v>KT-313D60</v>
      </c>
      <c r="EG63" s="6" t="str">
        <f t="shared" si="2"/>
        <v>BS-064D10</v>
      </c>
      <c r="EH63" s="6" t="str">
        <f t="shared" si="2"/>
        <v>BS-346D0</v>
      </c>
      <c r="EI63" s="6" t="str">
        <f t="shared" si="2"/>
        <v>KT-522D10</v>
      </c>
      <c r="EJ63" s="6" t="str">
        <f t="shared" si="2"/>
        <v>KT-565D03</v>
      </c>
      <c r="EK63" s="6" t="str">
        <f t="shared" si="2"/>
        <v>KT-695D60</v>
      </c>
      <c r="EL63" s="6" t="str">
        <f t="shared" si="2"/>
        <v>KT-928D10</v>
      </c>
      <c r="EM63" s="6" t="str">
        <f t="shared" si="2"/>
        <v>KT-347D60</v>
      </c>
      <c r="EN63" s="6" t="str">
        <f t="shared" si="2"/>
        <v>KT-522D0</v>
      </c>
      <c r="EO63" s="6" t="str">
        <f t="shared" si="2"/>
        <v>BS-364D03</v>
      </c>
      <c r="EP63" s="6" t="str">
        <f t="shared" si="2"/>
        <v>KT-352D60</v>
      </c>
      <c r="EQ63" s="6" t="str">
        <f t="shared" si="2"/>
        <v>JV-157D10</v>
      </c>
      <c r="ER63" s="6" t="str">
        <f t="shared" si="2"/>
        <v>KT-565D0</v>
      </c>
      <c r="ES63" s="6" t="str">
        <f t="shared" si="2"/>
        <v>KT-612D03</v>
      </c>
      <c r="ET63" s="6" t="str">
        <f t="shared" ref="ET63:FQ63" si="3">ET7</f>
        <v>KT-974D10</v>
      </c>
      <c r="EU63" s="6" t="str">
        <f t="shared" si="3"/>
        <v>KT-537D03</v>
      </c>
      <c r="EV63" s="6" t="str">
        <f t="shared" si="3"/>
        <v>KT-718D60</v>
      </c>
      <c r="EW63" s="6" t="str">
        <f t="shared" si="3"/>
        <v>JV-071D0</v>
      </c>
      <c r="EX63" s="6" t="str">
        <f t="shared" si="3"/>
        <v>KT-312D03</v>
      </c>
      <c r="EY63" s="6" t="str">
        <f t="shared" si="3"/>
        <v>BS-336D0</v>
      </c>
      <c r="EZ63" s="6" t="str">
        <f t="shared" si="3"/>
        <v>KT-880D10</v>
      </c>
      <c r="FA63" s="6" t="str">
        <f t="shared" si="3"/>
        <v>KT-193D60</v>
      </c>
      <c r="FB63" s="6" t="str">
        <f t="shared" si="3"/>
        <v>JV-148D0</v>
      </c>
      <c r="FC63" s="6" t="str">
        <f t="shared" si="3"/>
        <v>KT-434D60</v>
      </c>
      <c r="FD63" s="6" t="str">
        <f t="shared" si="3"/>
        <v>KT-417D03</v>
      </c>
      <c r="FE63" s="6" t="str">
        <f t="shared" si="3"/>
        <v>KT-663D10</v>
      </c>
      <c r="FF63" s="6" t="str">
        <f t="shared" si="3"/>
        <v>KT-525D60</v>
      </c>
      <c r="FG63" s="6" t="str">
        <f t="shared" si="3"/>
        <v>KT-539D10</v>
      </c>
      <c r="FH63" s="6" t="str">
        <f t="shared" si="3"/>
        <v>KT-537D0</v>
      </c>
      <c r="FI63" s="6" t="str">
        <f t="shared" si="3"/>
        <v>KT-313D03</v>
      </c>
      <c r="FJ63" s="6" t="str">
        <f t="shared" si="3"/>
        <v>JV-035D10</v>
      </c>
      <c r="FK63" s="6" t="str">
        <f t="shared" si="3"/>
        <v>BS-377D03</v>
      </c>
      <c r="FL63" s="6" t="str">
        <f t="shared" si="3"/>
        <v>KT-880D60</v>
      </c>
      <c r="FM63" s="6" t="str">
        <f t="shared" si="3"/>
        <v>KT-434D0</v>
      </c>
      <c r="FN63" s="6" t="str">
        <f t="shared" si="3"/>
        <v>JV-035D03</v>
      </c>
      <c r="FO63" s="6" t="str">
        <f t="shared" si="3"/>
        <v>KT-412D0</v>
      </c>
      <c r="FP63" s="6" t="str">
        <f t="shared" si="3"/>
        <v>BS-671D10</v>
      </c>
      <c r="FQ63" s="6" t="str">
        <f t="shared" si="3"/>
        <v>KT-974D60</v>
      </c>
    </row>
    <row r="64" spans="1:16092" ht="17" thickBot="1" x14ac:dyDescent="0.25">
      <c r="B64" s="1" t="s">
        <v>41</v>
      </c>
      <c r="C64" s="109"/>
      <c r="D64" s="109"/>
      <c r="E64" s="8">
        <f t="shared" ref="E64:AI64" si="4">SUM(E9:E17)</f>
        <v>52.275600000000011</v>
      </c>
      <c r="F64" s="8">
        <f t="shared" si="4"/>
        <v>77.031166666666664</v>
      </c>
      <c r="G64" s="8">
        <f t="shared" si="4"/>
        <v>37.384366666666672</v>
      </c>
      <c r="H64" s="8">
        <f t="shared" si="4"/>
        <v>265.81828333333334</v>
      </c>
      <c r="I64" s="8">
        <f t="shared" si="4"/>
        <v>90.722633333333334</v>
      </c>
      <c r="J64" s="8">
        <f t="shared" si="4"/>
        <v>64.152450000000016</v>
      </c>
      <c r="K64" s="8">
        <f t="shared" si="4"/>
        <v>70.435283333333317</v>
      </c>
      <c r="L64" s="8">
        <f t="shared" si="4"/>
        <v>30.65248333333334</v>
      </c>
      <c r="M64" s="8">
        <f t="shared" si="4"/>
        <v>125.7777</v>
      </c>
      <c r="N64" s="8">
        <f t="shared" si="4"/>
        <v>159.53023333333329</v>
      </c>
      <c r="O64" s="8">
        <f t="shared" si="4"/>
        <v>55.465466666666671</v>
      </c>
      <c r="P64" s="8">
        <f t="shared" si="4"/>
        <v>78.213266666666655</v>
      </c>
      <c r="Q64" s="8">
        <f t="shared" si="4"/>
        <v>69.705849999999998</v>
      </c>
      <c r="R64" s="8">
        <f t="shared" si="4"/>
        <v>131.67796666666666</v>
      </c>
      <c r="S64" s="8">
        <f t="shared" si="4"/>
        <v>261.42974999999996</v>
      </c>
      <c r="T64" s="8">
        <f t="shared" si="4"/>
        <v>1060.3208999999999</v>
      </c>
      <c r="U64" s="8">
        <f t="shared" si="4"/>
        <v>152.57481666666666</v>
      </c>
      <c r="V64" s="8">
        <f t="shared" si="4"/>
        <v>48.548000000000009</v>
      </c>
      <c r="W64" s="8">
        <f t="shared" si="4"/>
        <v>80.65424999999999</v>
      </c>
      <c r="X64" s="8">
        <f t="shared" si="4"/>
        <v>113.11799999999998</v>
      </c>
      <c r="Y64" s="8">
        <f t="shared" si="4"/>
        <v>164.73491428571427</v>
      </c>
      <c r="Z64" s="8">
        <f t="shared" si="4"/>
        <v>111.02923999999999</v>
      </c>
      <c r="AA64" s="8">
        <f t="shared" si="4"/>
        <v>128.78511666666668</v>
      </c>
      <c r="AB64" s="8">
        <f t="shared" si="4"/>
        <v>849.05363999999986</v>
      </c>
      <c r="AC64" s="8">
        <f t="shared" si="4"/>
        <v>73.583199999999991</v>
      </c>
      <c r="AD64" s="8">
        <f t="shared" si="4"/>
        <v>93.415800000000019</v>
      </c>
      <c r="AE64" s="8">
        <f t="shared" si="4"/>
        <v>53.165333333333329</v>
      </c>
      <c r="AF64" s="8">
        <f t="shared" si="4"/>
        <v>62.103483333333337</v>
      </c>
      <c r="AG64" s="8">
        <f t="shared" si="4"/>
        <v>39.494033333333334</v>
      </c>
      <c r="AH64" s="8">
        <f t="shared" si="4"/>
        <v>65.180183333333332</v>
      </c>
      <c r="AI64" s="8">
        <f t="shared" si="4"/>
        <v>221.92073333333335</v>
      </c>
      <c r="AJ64" s="8">
        <f t="shared" ref="AJ64:CG64" si="5">SUM(AJ9:AJ17)</f>
        <v>84.836316666666661</v>
      </c>
      <c r="AK64" s="8">
        <f t="shared" si="5"/>
        <v>192.38781666666668</v>
      </c>
      <c r="AL64" s="8">
        <f t="shared" si="5"/>
        <v>136.10390000000001</v>
      </c>
      <c r="AM64" s="8">
        <f t="shared" si="5"/>
        <v>49.660699999999991</v>
      </c>
      <c r="AN64" s="8">
        <f t="shared" si="5"/>
        <v>117.88421666666666</v>
      </c>
      <c r="AO64" s="8">
        <f t="shared" si="5"/>
        <v>279.49283333333335</v>
      </c>
      <c r="AP64" s="8">
        <f t="shared" si="5"/>
        <v>86.424199999999999</v>
      </c>
      <c r="AQ64" s="8">
        <f t="shared" si="5"/>
        <v>51.560349999999993</v>
      </c>
      <c r="AR64" s="8">
        <f t="shared" si="5"/>
        <v>73.641233333333346</v>
      </c>
      <c r="AS64" s="8">
        <f t="shared" si="5"/>
        <v>468.57501666666667</v>
      </c>
      <c r="AT64" s="8">
        <f t="shared" si="5"/>
        <v>37.519100000000009</v>
      </c>
      <c r="AU64" s="8">
        <f t="shared" si="5"/>
        <v>278.71600000000001</v>
      </c>
      <c r="AV64" s="8">
        <f t="shared" si="5"/>
        <v>178.77108333333334</v>
      </c>
      <c r="AW64" s="8">
        <f t="shared" si="5"/>
        <v>28.44904</v>
      </c>
      <c r="AX64" s="8">
        <f t="shared" si="5"/>
        <v>42.447720000000004</v>
      </c>
      <c r="AY64" s="8">
        <f t="shared" si="5"/>
        <v>34.554316666666672</v>
      </c>
      <c r="AZ64" s="8">
        <f t="shared" si="5"/>
        <v>50.322266666666678</v>
      </c>
      <c r="BA64" s="8">
        <f t="shared" si="5"/>
        <v>73.359699999999989</v>
      </c>
      <c r="BB64" s="8">
        <f t="shared" si="5"/>
        <v>24.761949999999999</v>
      </c>
      <c r="BC64" s="8">
        <f t="shared" si="5"/>
        <v>64.723699999999994</v>
      </c>
      <c r="BD64" s="8">
        <f t="shared" si="5"/>
        <v>46.90743333333333</v>
      </c>
      <c r="BE64" s="8">
        <f t="shared" si="5"/>
        <v>54.866199999999999</v>
      </c>
      <c r="BF64" s="8">
        <f t="shared" si="5"/>
        <v>46.928083333333326</v>
      </c>
      <c r="BG64" s="8">
        <f t="shared" si="5"/>
        <v>80.424883333333341</v>
      </c>
      <c r="BH64" s="8">
        <f t="shared" si="5"/>
        <v>292.99264999999997</v>
      </c>
      <c r="BI64" s="8">
        <f t="shared" si="5"/>
        <v>32.99263333333333</v>
      </c>
      <c r="BJ64" s="8">
        <f t="shared" si="5"/>
        <v>235.0615333333333</v>
      </c>
      <c r="BK64" s="8">
        <f t="shared" si="5"/>
        <v>534.41375000000005</v>
      </c>
      <c r="BL64" s="8">
        <f t="shared" si="5"/>
        <v>818.8335666666668</v>
      </c>
      <c r="BM64" s="8">
        <f t="shared" si="5"/>
        <v>197.18018333333333</v>
      </c>
      <c r="BN64" s="8">
        <f t="shared" si="5"/>
        <v>3012.1336666666671</v>
      </c>
      <c r="BO64" s="8">
        <f t="shared" si="5"/>
        <v>2238.2517142857137</v>
      </c>
      <c r="BP64" s="8">
        <f t="shared" si="5"/>
        <v>2495.0607166666668</v>
      </c>
      <c r="BQ64" s="8">
        <f t="shared" si="5"/>
        <v>3721.884916666666</v>
      </c>
      <c r="BR64" s="8">
        <f t="shared" si="5"/>
        <v>1798.2308333333333</v>
      </c>
      <c r="BS64" s="8">
        <f t="shared" si="5"/>
        <v>208.56408333333334</v>
      </c>
      <c r="BT64" s="8">
        <f t="shared" si="5"/>
        <v>75.841828571428564</v>
      </c>
      <c r="BU64" s="8">
        <f t="shared" si="5"/>
        <v>1949.9650000000001</v>
      </c>
      <c r="BV64" s="8">
        <f t="shared" si="5"/>
        <v>631.57416666666666</v>
      </c>
      <c r="BW64" s="8">
        <f t="shared" si="5"/>
        <v>347.0306333333333</v>
      </c>
      <c r="BX64" s="8">
        <f t="shared" si="5"/>
        <v>280.16351666666668</v>
      </c>
      <c r="BY64" s="8">
        <f t="shared" si="5"/>
        <v>220.17821666666669</v>
      </c>
      <c r="BZ64" s="8">
        <f t="shared" si="5"/>
        <v>62.767416666666669</v>
      </c>
      <c r="CA64" s="8">
        <f t="shared" si="5"/>
        <v>302.45814999999993</v>
      </c>
      <c r="CB64" s="8">
        <f t="shared" si="5"/>
        <v>186.99141666666662</v>
      </c>
      <c r="CC64" s="8">
        <f t="shared" si="5"/>
        <v>223.51844999999994</v>
      </c>
      <c r="CD64" s="8">
        <f t="shared" si="5"/>
        <v>60.680283333333328</v>
      </c>
      <c r="CE64" s="8">
        <f t="shared" si="5"/>
        <v>83.46214999999998</v>
      </c>
      <c r="CF64" s="8">
        <f t="shared" si="5"/>
        <v>75.040566666666663</v>
      </c>
      <c r="CG64" s="8">
        <f t="shared" si="5"/>
        <v>467.88171666666665</v>
      </c>
      <c r="CH64" s="8">
        <f t="shared" ref="CH64:ES64" si="6">SUM(CH9:CH17)</f>
        <v>54.890383333333332</v>
      </c>
      <c r="CI64" s="8">
        <f t="shared" si="6"/>
        <v>111.74936666666667</v>
      </c>
      <c r="CJ64" s="8">
        <f t="shared" si="6"/>
        <v>99.032616666666655</v>
      </c>
      <c r="CK64" s="8">
        <f t="shared" si="6"/>
        <v>177.17891666666668</v>
      </c>
      <c r="CL64" s="8">
        <f t="shared" si="6"/>
        <v>48.281733333333342</v>
      </c>
      <c r="CM64" s="8">
        <f t="shared" si="6"/>
        <v>50.900383333333338</v>
      </c>
      <c r="CN64" s="8">
        <f t="shared" si="6"/>
        <v>99.795733333333303</v>
      </c>
      <c r="CO64" s="8">
        <f t="shared" si="6"/>
        <v>67.637133333333324</v>
      </c>
      <c r="CP64" s="8">
        <f t="shared" si="6"/>
        <v>65.940966666666654</v>
      </c>
      <c r="CQ64" s="8">
        <f t="shared" si="6"/>
        <v>41.986233333333324</v>
      </c>
      <c r="CR64" s="8">
        <f t="shared" si="6"/>
        <v>115.92446666666669</v>
      </c>
      <c r="CS64" s="8">
        <f t="shared" si="6"/>
        <v>130.6557</v>
      </c>
      <c r="CT64" s="8">
        <f t="shared" si="6"/>
        <v>186.79060000000001</v>
      </c>
      <c r="CU64" s="8">
        <f t="shared" si="6"/>
        <v>44.061466666666675</v>
      </c>
      <c r="CV64" s="8">
        <f t="shared" si="6"/>
        <v>136.68723333333332</v>
      </c>
      <c r="CW64" s="8">
        <f t="shared" si="6"/>
        <v>69.656633333333332</v>
      </c>
      <c r="CX64" s="8">
        <f t="shared" si="6"/>
        <v>50.802566666666671</v>
      </c>
      <c r="CY64" s="8">
        <f t="shared" si="6"/>
        <v>136.03235000000001</v>
      </c>
      <c r="CZ64" s="8">
        <f t="shared" si="6"/>
        <v>82.807800000000029</v>
      </c>
      <c r="DA64" s="8">
        <f t="shared" si="6"/>
        <v>39.930333333333323</v>
      </c>
      <c r="DB64" s="8">
        <f t="shared" si="6"/>
        <v>23.666033333333331</v>
      </c>
      <c r="DC64" s="8">
        <f t="shared" si="6"/>
        <v>44.318599999999996</v>
      </c>
      <c r="DD64" s="8">
        <f t="shared" si="6"/>
        <v>96.457900000000009</v>
      </c>
      <c r="DE64" s="8">
        <f t="shared" si="6"/>
        <v>89.452966666666683</v>
      </c>
      <c r="DF64" s="8">
        <f t="shared" si="6"/>
        <v>73.91021666666667</v>
      </c>
      <c r="DG64" s="8">
        <f t="shared" si="6"/>
        <v>73.352916666666673</v>
      </c>
      <c r="DH64" s="8">
        <f t="shared" si="6"/>
        <v>97.922766666666675</v>
      </c>
      <c r="DI64" s="8">
        <f t="shared" si="6"/>
        <v>127.96425000000001</v>
      </c>
      <c r="DJ64" s="8">
        <f t="shared" si="6"/>
        <v>20.831983333333337</v>
      </c>
      <c r="DK64" s="8">
        <f t="shared" si="6"/>
        <v>101.57429999999999</v>
      </c>
      <c r="DL64" s="8">
        <f t="shared" si="6"/>
        <v>287.26575000000003</v>
      </c>
      <c r="DM64" s="8">
        <f t="shared" si="6"/>
        <v>286.31794999999994</v>
      </c>
      <c r="DN64" s="8">
        <f t="shared" si="6"/>
        <v>30.959883333333337</v>
      </c>
      <c r="DO64" s="8">
        <f t="shared" si="6"/>
        <v>120.13811666666665</v>
      </c>
      <c r="DP64" s="8">
        <f t="shared" si="6"/>
        <v>168.56986666666668</v>
      </c>
      <c r="DQ64" s="8">
        <f t="shared" si="6"/>
        <v>100.55940000000001</v>
      </c>
      <c r="DR64" s="8">
        <f t="shared" si="6"/>
        <v>85.512366666666651</v>
      </c>
      <c r="DS64" s="8">
        <f t="shared" si="6"/>
        <v>106.92620000000001</v>
      </c>
      <c r="DT64" s="8">
        <f t="shared" si="6"/>
        <v>82.820133333333345</v>
      </c>
      <c r="DU64" s="8">
        <f t="shared" si="6"/>
        <v>52.745366666666669</v>
      </c>
      <c r="DV64" s="8">
        <f t="shared" si="6"/>
        <v>48.903450000000007</v>
      </c>
      <c r="DW64" s="8">
        <f t="shared" si="6"/>
        <v>257.3145833333333</v>
      </c>
      <c r="DX64" s="8">
        <f t="shared" si="6"/>
        <v>61.408766666666665</v>
      </c>
      <c r="DY64" s="8">
        <f t="shared" si="6"/>
        <v>92.3262</v>
      </c>
      <c r="DZ64" s="8">
        <f t="shared" si="6"/>
        <v>46.001216666666664</v>
      </c>
      <c r="EA64" s="8">
        <f t="shared" si="6"/>
        <v>97.927916666666675</v>
      </c>
      <c r="EB64" s="8">
        <f t="shared" si="6"/>
        <v>94.489883333333324</v>
      </c>
      <c r="EC64" s="8">
        <f t="shared" si="6"/>
        <v>67.502183333333321</v>
      </c>
      <c r="ED64" s="8">
        <f t="shared" si="6"/>
        <v>95.705999999999989</v>
      </c>
      <c r="EE64" s="8">
        <f t="shared" si="6"/>
        <v>58.64051666666667</v>
      </c>
      <c r="EF64" s="8">
        <f t="shared" si="6"/>
        <v>77.34693333333334</v>
      </c>
      <c r="EG64" s="8">
        <f t="shared" si="6"/>
        <v>26.813100000000002</v>
      </c>
      <c r="EH64" s="8">
        <f t="shared" si="6"/>
        <v>104.47508333333333</v>
      </c>
      <c r="EI64" s="8">
        <f t="shared" si="6"/>
        <v>102.70860000000002</v>
      </c>
      <c r="EJ64" s="8">
        <f t="shared" si="6"/>
        <v>57.000016666666674</v>
      </c>
      <c r="EK64" s="8">
        <f t="shared" si="6"/>
        <v>28.220950000000002</v>
      </c>
      <c r="EL64" s="8">
        <f t="shared" si="6"/>
        <v>125.0574</v>
      </c>
      <c r="EM64" s="8">
        <f t="shared" si="6"/>
        <v>67.815600000000003</v>
      </c>
      <c r="EN64" s="8">
        <f t="shared" si="6"/>
        <v>79.674999999999997</v>
      </c>
      <c r="EO64" s="8">
        <f t="shared" si="6"/>
        <v>174.8489166666667</v>
      </c>
      <c r="EP64" s="8">
        <f t="shared" si="6"/>
        <v>140.16013333333333</v>
      </c>
      <c r="EQ64" s="8">
        <f t="shared" si="6"/>
        <v>97.254116666666675</v>
      </c>
      <c r="ER64" s="8">
        <f t="shared" si="6"/>
        <v>153.85476666666668</v>
      </c>
      <c r="ES64" s="8">
        <f t="shared" si="6"/>
        <v>41.275166666666664</v>
      </c>
      <c r="ET64" s="8">
        <f t="shared" ref="ET64:FQ64" si="7">SUM(ET9:ET17)</f>
        <v>46.462850000000003</v>
      </c>
      <c r="EU64" s="8">
        <f t="shared" si="7"/>
        <v>51.895416666666669</v>
      </c>
      <c r="EV64" s="8">
        <f t="shared" si="7"/>
        <v>57.14886666666667</v>
      </c>
      <c r="EW64" s="8">
        <f t="shared" si="7"/>
        <v>76.832999999999984</v>
      </c>
      <c r="EX64" s="8">
        <f t="shared" si="7"/>
        <v>72.903450000000007</v>
      </c>
      <c r="EY64" s="8">
        <f t="shared" si="7"/>
        <v>72.85478333333333</v>
      </c>
      <c r="EZ64" s="8">
        <f t="shared" si="7"/>
        <v>93.399816666666666</v>
      </c>
      <c r="FA64" s="8">
        <f t="shared" si="7"/>
        <v>257.05708333333331</v>
      </c>
      <c r="FB64" s="8">
        <f t="shared" si="7"/>
        <v>137.9117333333333</v>
      </c>
      <c r="FC64" s="8">
        <f t="shared" si="7"/>
        <v>36.184233333333324</v>
      </c>
      <c r="FD64" s="8">
        <f t="shared" si="7"/>
        <v>41.322899999999997</v>
      </c>
      <c r="FE64" s="8">
        <f t="shared" si="7"/>
        <v>94.134749999999997</v>
      </c>
      <c r="FF64" s="8">
        <f t="shared" si="7"/>
        <v>39.714533333333343</v>
      </c>
      <c r="FG64" s="8">
        <f t="shared" si="7"/>
        <v>52.908133333333318</v>
      </c>
      <c r="FH64" s="8">
        <f t="shared" si="7"/>
        <v>80.219166666666666</v>
      </c>
      <c r="FI64" s="8">
        <f t="shared" si="7"/>
        <v>37.327300000000008</v>
      </c>
      <c r="FJ64" s="8">
        <f t="shared" si="7"/>
        <v>82.04976666666667</v>
      </c>
      <c r="FK64" s="8">
        <f t="shared" si="7"/>
        <v>87.744133333333338</v>
      </c>
      <c r="FL64" s="8">
        <f t="shared" si="7"/>
        <v>109.75571666666666</v>
      </c>
      <c r="FM64" s="8">
        <f t="shared" si="7"/>
        <v>116.7582</v>
      </c>
      <c r="FN64" s="8">
        <f t="shared" si="7"/>
        <v>115.35511666666667</v>
      </c>
      <c r="FO64" s="8">
        <f t="shared" si="7"/>
        <v>95.638833333333324</v>
      </c>
      <c r="FP64" s="8">
        <f t="shared" si="7"/>
        <v>123.94326666666666</v>
      </c>
      <c r="FQ64" s="8">
        <f t="shared" si="7"/>
        <v>53.382733333333341</v>
      </c>
    </row>
    <row r="65" spans="2:173" ht="17" thickBot="1" x14ac:dyDescent="0.25">
      <c r="B65" s="1" t="s">
        <v>38</v>
      </c>
      <c r="C65" s="109"/>
      <c r="D65" s="109"/>
      <c r="E65" s="8">
        <f t="shared" ref="E65:AI65" si="8">SUM(E19)</f>
        <v>0</v>
      </c>
      <c r="F65" s="8">
        <f t="shared" si="8"/>
        <v>0</v>
      </c>
      <c r="G65" s="8">
        <f t="shared" si="8"/>
        <v>0</v>
      </c>
      <c r="H65" s="8">
        <f t="shared" si="8"/>
        <v>0</v>
      </c>
      <c r="I65" s="8">
        <f t="shared" si="8"/>
        <v>0</v>
      </c>
      <c r="J65" s="8">
        <f t="shared" si="8"/>
        <v>0</v>
      </c>
      <c r="K65" s="8">
        <f t="shared" si="8"/>
        <v>0</v>
      </c>
      <c r="L65" s="8">
        <f t="shared" si="8"/>
        <v>0</v>
      </c>
      <c r="M65" s="8">
        <f t="shared" si="8"/>
        <v>0</v>
      </c>
      <c r="N65" s="8">
        <f t="shared" si="8"/>
        <v>0</v>
      </c>
      <c r="O65" s="8">
        <f t="shared" si="8"/>
        <v>0</v>
      </c>
      <c r="P65" s="8">
        <f t="shared" si="8"/>
        <v>0</v>
      </c>
      <c r="Q65" s="8">
        <f t="shared" si="8"/>
        <v>0</v>
      </c>
      <c r="R65" s="8">
        <f t="shared" si="8"/>
        <v>0</v>
      </c>
      <c r="S65" s="8">
        <f t="shared" si="8"/>
        <v>0</v>
      </c>
      <c r="T65" s="8">
        <f t="shared" si="8"/>
        <v>0</v>
      </c>
      <c r="U65" s="8">
        <f t="shared" si="8"/>
        <v>0</v>
      </c>
      <c r="V65" s="8">
        <f t="shared" si="8"/>
        <v>0</v>
      </c>
      <c r="W65" s="8">
        <f t="shared" si="8"/>
        <v>0</v>
      </c>
      <c r="X65" s="8">
        <f t="shared" si="8"/>
        <v>0</v>
      </c>
      <c r="Y65" s="8">
        <f t="shared" si="8"/>
        <v>0</v>
      </c>
      <c r="Z65" s="8">
        <f t="shared" si="8"/>
        <v>0</v>
      </c>
      <c r="AA65" s="8">
        <f t="shared" si="8"/>
        <v>0</v>
      </c>
      <c r="AB65" s="8">
        <f t="shared" si="8"/>
        <v>0</v>
      </c>
      <c r="AC65" s="8">
        <f t="shared" si="8"/>
        <v>0</v>
      </c>
      <c r="AD65" s="8">
        <f t="shared" si="8"/>
        <v>0</v>
      </c>
      <c r="AE65" s="8">
        <f t="shared" si="8"/>
        <v>0</v>
      </c>
      <c r="AF65" s="8">
        <f t="shared" si="8"/>
        <v>0</v>
      </c>
      <c r="AG65" s="8">
        <f t="shared" si="8"/>
        <v>0</v>
      </c>
      <c r="AH65" s="8">
        <f t="shared" si="8"/>
        <v>0</v>
      </c>
      <c r="AI65" s="8">
        <f t="shared" si="8"/>
        <v>0</v>
      </c>
      <c r="AJ65" s="8">
        <f t="shared" ref="AJ65:CG65" si="9">SUM(AJ19)</f>
        <v>0</v>
      </c>
      <c r="AK65" s="8">
        <f t="shared" si="9"/>
        <v>0</v>
      </c>
      <c r="AL65" s="8">
        <f t="shared" si="9"/>
        <v>0</v>
      </c>
      <c r="AM65" s="8">
        <f t="shared" si="9"/>
        <v>0</v>
      </c>
      <c r="AN65" s="8">
        <f t="shared" si="9"/>
        <v>0</v>
      </c>
      <c r="AO65" s="8">
        <f t="shared" si="9"/>
        <v>0</v>
      </c>
      <c r="AP65" s="8">
        <f t="shared" si="9"/>
        <v>0</v>
      </c>
      <c r="AQ65" s="8">
        <f t="shared" si="9"/>
        <v>0</v>
      </c>
      <c r="AR65" s="8">
        <f t="shared" si="9"/>
        <v>0</v>
      </c>
      <c r="AS65" s="8">
        <f t="shared" si="9"/>
        <v>0</v>
      </c>
      <c r="AT65" s="8">
        <f t="shared" si="9"/>
        <v>0</v>
      </c>
      <c r="AU65" s="8">
        <f t="shared" si="9"/>
        <v>0</v>
      </c>
      <c r="AV65" s="8">
        <f t="shared" si="9"/>
        <v>0</v>
      </c>
      <c r="AW65" s="8">
        <f t="shared" si="9"/>
        <v>0</v>
      </c>
      <c r="AX65" s="8">
        <f t="shared" si="9"/>
        <v>0</v>
      </c>
      <c r="AY65" s="8">
        <f t="shared" si="9"/>
        <v>0</v>
      </c>
      <c r="AZ65" s="8">
        <f t="shared" si="9"/>
        <v>0</v>
      </c>
      <c r="BA65" s="8">
        <f t="shared" si="9"/>
        <v>0</v>
      </c>
      <c r="BB65" s="8">
        <f t="shared" si="9"/>
        <v>0</v>
      </c>
      <c r="BC65" s="8">
        <f t="shared" si="9"/>
        <v>0</v>
      </c>
      <c r="BD65" s="8">
        <f t="shared" si="9"/>
        <v>0</v>
      </c>
      <c r="BE65" s="8">
        <f t="shared" si="9"/>
        <v>0</v>
      </c>
      <c r="BF65" s="8">
        <f t="shared" si="9"/>
        <v>0</v>
      </c>
      <c r="BG65" s="8">
        <f t="shared" si="9"/>
        <v>0</v>
      </c>
      <c r="BH65" s="8">
        <f t="shared" si="9"/>
        <v>0</v>
      </c>
      <c r="BI65" s="8">
        <f t="shared" si="9"/>
        <v>0</v>
      </c>
      <c r="BJ65" s="8">
        <f t="shared" si="9"/>
        <v>0</v>
      </c>
      <c r="BK65" s="8">
        <f t="shared" si="9"/>
        <v>0</v>
      </c>
      <c r="BL65" s="8">
        <f t="shared" si="9"/>
        <v>0</v>
      </c>
      <c r="BM65" s="8">
        <f t="shared" si="9"/>
        <v>0</v>
      </c>
      <c r="BN65" s="8">
        <f t="shared" si="9"/>
        <v>0</v>
      </c>
      <c r="BO65" s="8">
        <f t="shared" si="9"/>
        <v>0</v>
      </c>
      <c r="BP65" s="8">
        <f t="shared" si="9"/>
        <v>0</v>
      </c>
      <c r="BQ65" s="8">
        <f t="shared" si="9"/>
        <v>0</v>
      </c>
      <c r="BR65" s="8">
        <f t="shared" si="9"/>
        <v>0</v>
      </c>
      <c r="BS65" s="8">
        <f t="shared" si="9"/>
        <v>0</v>
      </c>
      <c r="BT65" s="8">
        <f t="shared" si="9"/>
        <v>0</v>
      </c>
      <c r="BU65" s="8">
        <f t="shared" si="9"/>
        <v>0</v>
      </c>
      <c r="BV65" s="8">
        <f t="shared" si="9"/>
        <v>0</v>
      </c>
      <c r="BW65" s="8">
        <f t="shared" si="9"/>
        <v>0</v>
      </c>
      <c r="BX65" s="8">
        <f t="shared" si="9"/>
        <v>0</v>
      </c>
      <c r="BY65" s="8">
        <f t="shared" si="9"/>
        <v>0</v>
      </c>
      <c r="BZ65" s="8">
        <f t="shared" si="9"/>
        <v>0</v>
      </c>
      <c r="CA65" s="8">
        <f t="shared" si="9"/>
        <v>0</v>
      </c>
      <c r="CB65" s="8">
        <f t="shared" si="9"/>
        <v>0</v>
      </c>
      <c r="CC65" s="8">
        <f t="shared" si="9"/>
        <v>0</v>
      </c>
      <c r="CD65" s="8">
        <f t="shared" si="9"/>
        <v>0</v>
      </c>
      <c r="CE65" s="8">
        <f t="shared" si="9"/>
        <v>0</v>
      </c>
      <c r="CF65" s="8">
        <f t="shared" si="9"/>
        <v>0</v>
      </c>
      <c r="CG65" s="8">
        <f t="shared" si="9"/>
        <v>0</v>
      </c>
      <c r="CH65" s="8">
        <f t="shared" ref="CH65:ES65" si="10">SUM(CH19)</f>
        <v>0</v>
      </c>
      <c r="CI65" s="8">
        <f t="shared" si="10"/>
        <v>0</v>
      </c>
      <c r="CJ65" s="8">
        <f t="shared" si="10"/>
        <v>0</v>
      </c>
      <c r="CK65" s="8">
        <f t="shared" si="10"/>
        <v>0</v>
      </c>
      <c r="CL65" s="8">
        <f t="shared" si="10"/>
        <v>0</v>
      </c>
      <c r="CM65" s="8">
        <f t="shared" si="10"/>
        <v>0</v>
      </c>
      <c r="CN65" s="8">
        <f t="shared" si="10"/>
        <v>0</v>
      </c>
      <c r="CO65" s="8">
        <f t="shared" si="10"/>
        <v>0</v>
      </c>
      <c r="CP65" s="8">
        <f t="shared" si="10"/>
        <v>0</v>
      </c>
      <c r="CQ65" s="8">
        <f t="shared" si="10"/>
        <v>0</v>
      </c>
      <c r="CR65" s="8">
        <f t="shared" si="10"/>
        <v>0</v>
      </c>
      <c r="CS65" s="8">
        <f t="shared" si="10"/>
        <v>0</v>
      </c>
      <c r="CT65" s="8">
        <f t="shared" si="10"/>
        <v>0</v>
      </c>
      <c r="CU65" s="8">
        <f t="shared" si="10"/>
        <v>0</v>
      </c>
      <c r="CV65" s="8">
        <f t="shared" si="10"/>
        <v>0</v>
      </c>
      <c r="CW65" s="8">
        <f t="shared" si="10"/>
        <v>0</v>
      </c>
      <c r="CX65" s="8">
        <f t="shared" si="10"/>
        <v>0</v>
      </c>
      <c r="CY65" s="8">
        <f t="shared" si="10"/>
        <v>0</v>
      </c>
      <c r="CZ65" s="8">
        <f t="shared" si="10"/>
        <v>0</v>
      </c>
      <c r="DA65" s="8">
        <f t="shared" si="10"/>
        <v>0</v>
      </c>
      <c r="DB65" s="8">
        <f t="shared" si="10"/>
        <v>0</v>
      </c>
      <c r="DC65" s="8">
        <f t="shared" si="10"/>
        <v>0</v>
      </c>
      <c r="DD65" s="8">
        <f t="shared" si="10"/>
        <v>0</v>
      </c>
      <c r="DE65" s="8">
        <f t="shared" si="10"/>
        <v>0</v>
      </c>
      <c r="DF65" s="8">
        <f t="shared" si="10"/>
        <v>0</v>
      </c>
      <c r="DG65" s="8">
        <f t="shared" si="10"/>
        <v>0</v>
      </c>
      <c r="DH65" s="8">
        <f t="shared" si="10"/>
        <v>0</v>
      </c>
      <c r="DI65" s="8">
        <f t="shared" si="10"/>
        <v>0</v>
      </c>
      <c r="DJ65" s="8">
        <f t="shared" si="10"/>
        <v>0</v>
      </c>
      <c r="DK65" s="8">
        <f t="shared" si="10"/>
        <v>0</v>
      </c>
      <c r="DL65" s="8">
        <f t="shared" si="10"/>
        <v>0</v>
      </c>
      <c r="DM65" s="8">
        <f t="shared" si="10"/>
        <v>0</v>
      </c>
      <c r="DN65" s="8">
        <f t="shared" si="10"/>
        <v>0</v>
      </c>
      <c r="DO65" s="8">
        <f t="shared" si="10"/>
        <v>0</v>
      </c>
      <c r="DP65" s="8">
        <f t="shared" si="10"/>
        <v>0</v>
      </c>
      <c r="DQ65" s="8">
        <f t="shared" si="10"/>
        <v>0</v>
      </c>
      <c r="DR65" s="8">
        <f t="shared" si="10"/>
        <v>0</v>
      </c>
      <c r="DS65" s="8">
        <f t="shared" si="10"/>
        <v>0</v>
      </c>
      <c r="DT65" s="8">
        <f t="shared" si="10"/>
        <v>0</v>
      </c>
      <c r="DU65" s="8">
        <f t="shared" si="10"/>
        <v>0</v>
      </c>
      <c r="DV65" s="8">
        <f t="shared" si="10"/>
        <v>0</v>
      </c>
      <c r="DW65" s="8">
        <f t="shared" si="10"/>
        <v>0</v>
      </c>
      <c r="DX65" s="8">
        <f t="shared" si="10"/>
        <v>0</v>
      </c>
      <c r="DY65" s="8">
        <f t="shared" si="10"/>
        <v>0</v>
      </c>
      <c r="DZ65" s="8">
        <f t="shared" si="10"/>
        <v>0</v>
      </c>
      <c r="EA65" s="8">
        <f t="shared" si="10"/>
        <v>0</v>
      </c>
      <c r="EB65" s="8">
        <f t="shared" si="10"/>
        <v>0</v>
      </c>
      <c r="EC65" s="8">
        <f t="shared" si="10"/>
        <v>0</v>
      </c>
      <c r="ED65" s="8">
        <f t="shared" si="10"/>
        <v>0</v>
      </c>
      <c r="EE65" s="8">
        <f t="shared" si="10"/>
        <v>0</v>
      </c>
      <c r="EF65" s="8">
        <f t="shared" si="10"/>
        <v>0</v>
      </c>
      <c r="EG65" s="8">
        <f t="shared" si="10"/>
        <v>0</v>
      </c>
      <c r="EH65" s="8">
        <f t="shared" si="10"/>
        <v>0</v>
      </c>
      <c r="EI65" s="8">
        <f t="shared" si="10"/>
        <v>0</v>
      </c>
      <c r="EJ65" s="8">
        <f t="shared" si="10"/>
        <v>0</v>
      </c>
      <c r="EK65" s="8">
        <f t="shared" si="10"/>
        <v>0</v>
      </c>
      <c r="EL65" s="8">
        <f t="shared" si="10"/>
        <v>0</v>
      </c>
      <c r="EM65" s="8">
        <f t="shared" si="10"/>
        <v>0</v>
      </c>
      <c r="EN65" s="8">
        <f t="shared" si="10"/>
        <v>0</v>
      </c>
      <c r="EO65" s="8">
        <f t="shared" si="10"/>
        <v>0</v>
      </c>
      <c r="EP65" s="8">
        <f t="shared" si="10"/>
        <v>0</v>
      </c>
      <c r="EQ65" s="8">
        <f t="shared" si="10"/>
        <v>0</v>
      </c>
      <c r="ER65" s="8">
        <f t="shared" si="10"/>
        <v>0</v>
      </c>
      <c r="ES65" s="8">
        <f t="shared" si="10"/>
        <v>0</v>
      </c>
      <c r="ET65" s="8">
        <f t="shared" ref="ET65:FQ65" si="11">SUM(ET19)</f>
        <v>0</v>
      </c>
      <c r="EU65" s="8">
        <f t="shared" si="11"/>
        <v>0</v>
      </c>
      <c r="EV65" s="8">
        <f t="shared" si="11"/>
        <v>0</v>
      </c>
      <c r="EW65" s="8">
        <f t="shared" si="11"/>
        <v>0</v>
      </c>
      <c r="EX65" s="8">
        <f t="shared" si="11"/>
        <v>0</v>
      </c>
      <c r="EY65" s="8">
        <f t="shared" si="11"/>
        <v>0</v>
      </c>
      <c r="EZ65" s="8">
        <f t="shared" si="11"/>
        <v>0</v>
      </c>
      <c r="FA65" s="8">
        <f t="shared" si="11"/>
        <v>0</v>
      </c>
      <c r="FB65" s="8">
        <f t="shared" si="11"/>
        <v>0</v>
      </c>
      <c r="FC65" s="8">
        <f t="shared" si="11"/>
        <v>0</v>
      </c>
      <c r="FD65" s="8">
        <f t="shared" si="11"/>
        <v>0</v>
      </c>
      <c r="FE65" s="8">
        <f t="shared" si="11"/>
        <v>0</v>
      </c>
      <c r="FF65" s="8">
        <f t="shared" si="11"/>
        <v>0</v>
      </c>
      <c r="FG65" s="8">
        <f t="shared" si="11"/>
        <v>0</v>
      </c>
      <c r="FH65" s="8">
        <f t="shared" si="11"/>
        <v>0</v>
      </c>
      <c r="FI65" s="8">
        <f t="shared" si="11"/>
        <v>0</v>
      </c>
      <c r="FJ65" s="8">
        <f t="shared" si="11"/>
        <v>0</v>
      </c>
      <c r="FK65" s="8">
        <f t="shared" si="11"/>
        <v>0</v>
      </c>
      <c r="FL65" s="8">
        <f t="shared" si="11"/>
        <v>0</v>
      </c>
      <c r="FM65" s="8">
        <f t="shared" si="11"/>
        <v>0</v>
      </c>
      <c r="FN65" s="8">
        <f t="shared" si="11"/>
        <v>0</v>
      </c>
      <c r="FO65" s="8">
        <f t="shared" si="11"/>
        <v>0</v>
      </c>
      <c r="FP65" s="8">
        <f t="shared" si="11"/>
        <v>0</v>
      </c>
      <c r="FQ65" s="8">
        <f t="shared" si="11"/>
        <v>0</v>
      </c>
    </row>
    <row r="66" spans="2:173" ht="17" thickBot="1" x14ac:dyDescent="0.25">
      <c r="B66" s="1" t="s">
        <v>37</v>
      </c>
      <c r="C66" s="109"/>
      <c r="D66" s="109"/>
      <c r="E66" s="8">
        <f t="shared" ref="E66:AI66" si="12">SUM(E21:E41)</f>
        <v>330.14031666666665</v>
      </c>
      <c r="F66" s="8">
        <f t="shared" si="12"/>
        <v>1122.0463000000002</v>
      </c>
      <c r="G66" s="8">
        <f t="shared" si="12"/>
        <v>275.02606666666668</v>
      </c>
      <c r="H66" s="8">
        <f t="shared" si="12"/>
        <v>1189.7823500000002</v>
      </c>
      <c r="I66" s="8">
        <f t="shared" si="12"/>
        <v>608.02628333333337</v>
      </c>
      <c r="J66" s="8">
        <f t="shared" si="12"/>
        <v>681.55903333333333</v>
      </c>
      <c r="K66" s="8">
        <f t="shared" si="12"/>
        <v>1242.0841166666669</v>
      </c>
      <c r="L66" s="8">
        <f t="shared" si="12"/>
        <v>680.60106666666661</v>
      </c>
      <c r="M66" s="8">
        <f t="shared" si="12"/>
        <v>637.21988333333331</v>
      </c>
      <c r="N66" s="8">
        <f t="shared" si="12"/>
        <v>1219.3377999999998</v>
      </c>
      <c r="O66" s="8">
        <f t="shared" si="12"/>
        <v>544.97564999999997</v>
      </c>
      <c r="P66" s="8">
        <f t="shared" si="12"/>
        <v>418.51600000000002</v>
      </c>
      <c r="Q66" s="8">
        <f t="shared" si="12"/>
        <v>632.58390000000009</v>
      </c>
      <c r="R66" s="8">
        <f t="shared" si="12"/>
        <v>477.44653333333332</v>
      </c>
      <c r="S66" s="8">
        <f t="shared" si="12"/>
        <v>441.83400000000006</v>
      </c>
      <c r="T66" s="8">
        <f t="shared" si="12"/>
        <v>2164.2435000000005</v>
      </c>
      <c r="U66" s="8">
        <f t="shared" si="12"/>
        <v>587.26688333333334</v>
      </c>
      <c r="V66" s="8">
        <f t="shared" si="12"/>
        <v>191.35971666666669</v>
      </c>
      <c r="W66" s="8">
        <f t="shared" si="12"/>
        <v>546.35898333333341</v>
      </c>
      <c r="X66" s="8">
        <f t="shared" si="12"/>
        <v>200.58175</v>
      </c>
      <c r="Y66" s="8">
        <f t="shared" si="12"/>
        <v>747.27971428571436</v>
      </c>
      <c r="Z66" s="8">
        <f t="shared" si="12"/>
        <v>211.00103999999999</v>
      </c>
      <c r="AA66" s="8">
        <f t="shared" si="12"/>
        <v>968.4437333333334</v>
      </c>
      <c r="AB66" s="8">
        <f t="shared" si="12"/>
        <v>1456.27252</v>
      </c>
      <c r="AC66" s="8">
        <f t="shared" si="12"/>
        <v>376.39565000000005</v>
      </c>
      <c r="AD66" s="8">
        <f t="shared" si="12"/>
        <v>928.06056666666677</v>
      </c>
      <c r="AE66" s="8">
        <f t="shared" si="12"/>
        <v>1195.2787000000001</v>
      </c>
      <c r="AF66" s="8">
        <f t="shared" si="12"/>
        <v>414.49195000000003</v>
      </c>
      <c r="AG66" s="8">
        <f t="shared" si="12"/>
        <v>299.00098333333329</v>
      </c>
      <c r="AH66" s="8">
        <f t="shared" si="12"/>
        <v>133.32341666666665</v>
      </c>
      <c r="AI66" s="8">
        <f t="shared" si="12"/>
        <v>654.91253333333339</v>
      </c>
      <c r="AJ66" s="8">
        <f t="shared" ref="AJ66:CG66" si="13">SUM(AJ21:AJ41)</f>
        <v>292.79763333333324</v>
      </c>
      <c r="AK66" s="8">
        <f t="shared" si="13"/>
        <v>493.16615000000007</v>
      </c>
      <c r="AL66" s="8">
        <f t="shared" si="13"/>
        <v>794.92780000000005</v>
      </c>
      <c r="AM66" s="8">
        <f t="shared" si="13"/>
        <v>756.47484999999983</v>
      </c>
      <c r="AN66" s="8">
        <f t="shared" si="13"/>
        <v>297.63796666666667</v>
      </c>
      <c r="AO66" s="8">
        <f t="shared" si="13"/>
        <v>521.62495000000001</v>
      </c>
      <c r="AP66" s="8">
        <f t="shared" si="13"/>
        <v>782.00148333333334</v>
      </c>
      <c r="AQ66" s="8">
        <f t="shared" si="13"/>
        <v>486.28116666666659</v>
      </c>
      <c r="AR66" s="8">
        <f t="shared" si="13"/>
        <v>273.18361666666664</v>
      </c>
      <c r="AS66" s="8">
        <f t="shared" si="13"/>
        <v>654.53278333333321</v>
      </c>
      <c r="AT66" s="8">
        <f t="shared" si="13"/>
        <v>351.46328333333327</v>
      </c>
      <c r="AU66" s="8">
        <f t="shared" si="13"/>
        <v>1852.5301333333334</v>
      </c>
      <c r="AV66" s="8">
        <f t="shared" si="13"/>
        <v>549.30911666666657</v>
      </c>
      <c r="AW66" s="8">
        <f t="shared" si="13"/>
        <v>239.10811999999999</v>
      </c>
      <c r="AX66" s="8">
        <f t="shared" si="13"/>
        <v>461.69151999999997</v>
      </c>
      <c r="AY66" s="8">
        <f t="shared" si="13"/>
        <v>162.07281666666668</v>
      </c>
      <c r="AZ66" s="8">
        <f t="shared" si="13"/>
        <v>374.24758333333335</v>
      </c>
      <c r="BA66" s="8">
        <f t="shared" si="13"/>
        <v>1180.8304500000004</v>
      </c>
      <c r="BB66" s="8">
        <f t="shared" si="13"/>
        <v>203.93664999999999</v>
      </c>
      <c r="BC66" s="8">
        <f t="shared" si="13"/>
        <v>423.41500000000008</v>
      </c>
      <c r="BD66" s="8">
        <f t="shared" si="13"/>
        <v>260.80410000000006</v>
      </c>
      <c r="BE66" s="8">
        <f t="shared" si="13"/>
        <v>775.03808333333359</v>
      </c>
      <c r="BF66" s="8">
        <f t="shared" si="13"/>
        <v>748.86851666666655</v>
      </c>
      <c r="BG66" s="8">
        <f t="shared" si="13"/>
        <v>281.80031666666667</v>
      </c>
      <c r="BH66" s="8">
        <f t="shared" si="13"/>
        <v>539.65978333333328</v>
      </c>
      <c r="BI66" s="8">
        <f t="shared" si="13"/>
        <v>145.84278333333336</v>
      </c>
      <c r="BJ66" s="8">
        <f t="shared" si="13"/>
        <v>819.58243333333303</v>
      </c>
      <c r="BK66" s="8">
        <f t="shared" si="13"/>
        <v>871.37496666666686</v>
      </c>
      <c r="BL66" s="8">
        <f t="shared" si="13"/>
        <v>1476.2317666666665</v>
      </c>
      <c r="BM66" s="8">
        <f t="shared" si="13"/>
        <v>2334.8611000000005</v>
      </c>
      <c r="BN66" s="8">
        <f t="shared" si="13"/>
        <v>3859.3743500000005</v>
      </c>
      <c r="BO66" s="8">
        <f t="shared" si="13"/>
        <v>1866.3493142857142</v>
      </c>
      <c r="BP66" s="8">
        <f t="shared" si="13"/>
        <v>4108.6132833333331</v>
      </c>
      <c r="BQ66" s="8">
        <f t="shared" si="13"/>
        <v>2509.3990333333336</v>
      </c>
      <c r="BR66" s="8">
        <f t="shared" si="13"/>
        <v>2942.765766666666</v>
      </c>
      <c r="BS66" s="8">
        <f t="shared" si="13"/>
        <v>916.33806666666669</v>
      </c>
      <c r="BT66" s="8">
        <f t="shared" si="13"/>
        <v>365.44485714285713</v>
      </c>
      <c r="BU66" s="8">
        <f t="shared" si="13"/>
        <v>2467.5594166666669</v>
      </c>
      <c r="BV66" s="8">
        <f t="shared" si="13"/>
        <v>1392.2857666666664</v>
      </c>
      <c r="BW66" s="8">
        <f t="shared" si="13"/>
        <v>676.10665000000006</v>
      </c>
      <c r="BX66" s="8">
        <f t="shared" si="13"/>
        <v>502.07889999999998</v>
      </c>
      <c r="BY66" s="8">
        <f t="shared" si="13"/>
        <v>1088.1639166666666</v>
      </c>
      <c r="BZ66" s="8">
        <f t="shared" si="13"/>
        <v>383.98315000000008</v>
      </c>
      <c r="CA66" s="8">
        <f t="shared" si="13"/>
        <v>1057.8855333333336</v>
      </c>
      <c r="CB66" s="8">
        <f t="shared" si="13"/>
        <v>453.68734999999992</v>
      </c>
      <c r="CC66" s="8">
        <f t="shared" si="13"/>
        <v>687.93954999999994</v>
      </c>
      <c r="CD66" s="8">
        <f t="shared" si="13"/>
        <v>385.05508333333324</v>
      </c>
      <c r="CE66" s="8">
        <f t="shared" si="13"/>
        <v>752.90534999999977</v>
      </c>
      <c r="CF66" s="8">
        <f t="shared" si="13"/>
        <v>419.6425000000001</v>
      </c>
      <c r="CG66" s="8">
        <f t="shared" si="13"/>
        <v>1148.61015</v>
      </c>
      <c r="CH66" s="8">
        <f t="shared" ref="CH66:ES66" si="14">SUM(CH21:CH41)</f>
        <v>261.86995000000002</v>
      </c>
      <c r="CI66" s="8">
        <f t="shared" si="14"/>
        <v>251.67609999999999</v>
      </c>
      <c r="CJ66" s="8">
        <f t="shared" si="14"/>
        <v>243.7576333333333</v>
      </c>
      <c r="CK66" s="8">
        <f t="shared" si="14"/>
        <v>1067.1497333333334</v>
      </c>
      <c r="CL66" s="8">
        <f t="shared" si="14"/>
        <v>353.49806666666666</v>
      </c>
      <c r="CM66" s="8">
        <f t="shared" si="14"/>
        <v>51.476016666666673</v>
      </c>
      <c r="CN66" s="8">
        <f t="shared" si="14"/>
        <v>138.83648333333329</v>
      </c>
      <c r="CO66" s="8">
        <f t="shared" si="14"/>
        <v>707.91993333333346</v>
      </c>
      <c r="CP66" s="8">
        <f t="shared" si="14"/>
        <v>324.53011666666669</v>
      </c>
      <c r="CQ66" s="8">
        <f t="shared" si="14"/>
        <v>379.96605</v>
      </c>
      <c r="CR66" s="8">
        <f t="shared" si="14"/>
        <v>758.45330000000013</v>
      </c>
      <c r="CS66" s="8">
        <f t="shared" si="14"/>
        <v>945.98998333333327</v>
      </c>
      <c r="CT66" s="8">
        <f t="shared" si="14"/>
        <v>469.16659999999996</v>
      </c>
      <c r="CU66" s="8">
        <f t="shared" si="14"/>
        <v>462.30168333333336</v>
      </c>
      <c r="CV66" s="8">
        <f t="shared" si="14"/>
        <v>539.75848333333352</v>
      </c>
      <c r="CW66" s="8">
        <f t="shared" si="14"/>
        <v>927.80263333333323</v>
      </c>
      <c r="CX66" s="8">
        <f t="shared" si="14"/>
        <v>1916.1967666666667</v>
      </c>
      <c r="CY66" s="8">
        <f t="shared" si="14"/>
        <v>378.1277</v>
      </c>
      <c r="CZ66" s="8">
        <f t="shared" si="14"/>
        <v>184.83825000000002</v>
      </c>
      <c r="DA66" s="8">
        <f t="shared" si="14"/>
        <v>587.14</v>
      </c>
      <c r="DB66" s="8">
        <f t="shared" si="14"/>
        <v>231.30286666666669</v>
      </c>
      <c r="DC66" s="8">
        <f t="shared" si="14"/>
        <v>227.16926666666669</v>
      </c>
      <c r="DD66" s="8">
        <f t="shared" si="14"/>
        <v>851.94880000000012</v>
      </c>
      <c r="DE66" s="8">
        <f t="shared" si="14"/>
        <v>597.25513333333322</v>
      </c>
      <c r="DF66" s="8">
        <f t="shared" si="14"/>
        <v>1242.9942333333329</v>
      </c>
      <c r="DG66" s="8">
        <f t="shared" si="14"/>
        <v>426.74011666666672</v>
      </c>
      <c r="DH66" s="8">
        <f t="shared" si="14"/>
        <v>183.29276666666667</v>
      </c>
      <c r="DI66" s="8">
        <f t="shared" si="14"/>
        <v>549.34690000000001</v>
      </c>
      <c r="DJ66" s="8">
        <f t="shared" si="14"/>
        <v>205.51126666666664</v>
      </c>
      <c r="DK66" s="8">
        <f t="shared" si="14"/>
        <v>722.99856666666665</v>
      </c>
      <c r="DL66" s="8">
        <f t="shared" si="14"/>
        <v>736.49265000000014</v>
      </c>
      <c r="DM66" s="8">
        <f t="shared" si="14"/>
        <v>573.43074999999999</v>
      </c>
      <c r="DN66" s="8">
        <f t="shared" si="14"/>
        <v>278.50830000000002</v>
      </c>
      <c r="DO66" s="8">
        <f t="shared" si="14"/>
        <v>1043.1615499999998</v>
      </c>
      <c r="DP66" s="8">
        <f t="shared" si="14"/>
        <v>967.93919999999991</v>
      </c>
      <c r="DQ66" s="8">
        <f t="shared" si="14"/>
        <v>1445.059216666667</v>
      </c>
      <c r="DR66" s="8">
        <f t="shared" si="14"/>
        <v>226.20131666666668</v>
      </c>
      <c r="DS66" s="8">
        <f t="shared" si="14"/>
        <v>330.6491166666666</v>
      </c>
      <c r="DT66" s="8">
        <f t="shared" si="14"/>
        <v>575.81735000000003</v>
      </c>
      <c r="DU66" s="8">
        <f t="shared" si="14"/>
        <v>444.28831666666662</v>
      </c>
      <c r="DV66" s="8">
        <f t="shared" si="14"/>
        <v>464.49514999999997</v>
      </c>
      <c r="DW66" s="8">
        <f t="shared" si="14"/>
        <v>482.39368333333329</v>
      </c>
      <c r="DX66" s="8">
        <f t="shared" si="14"/>
        <v>459.41550000000007</v>
      </c>
      <c r="DY66" s="8">
        <f t="shared" si="14"/>
        <v>529.87906666666663</v>
      </c>
      <c r="DZ66" s="8">
        <f t="shared" si="14"/>
        <v>490.59633333333329</v>
      </c>
      <c r="EA66" s="8">
        <f t="shared" si="14"/>
        <v>715.41848333333326</v>
      </c>
      <c r="EB66" s="8">
        <f t="shared" si="14"/>
        <v>438.20156666666662</v>
      </c>
      <c r="EC66" s="8">
        <f t="shared" si="14"/>
        <v>690.41621666666686</v>
      </c>
      <c r="ED66" s="8">
        <f t="shared" si="14"/>
        <v>686.29123333333337</v>
      </c>
      <c r="EE66" s="8">
        <f t="shared" si="14"/>
        <v>175.09163333333333</v>
      </c>
      <c r="EF66" s="8">
        <f t="shared" si="14"/>
        <v>674.6810999999999</v>
      </c>
      <c r="EG66" s="8">
        <f t="shared" si="14"/>
        <v>275.28596666666664</v>
      </c>
      <c r="EH66" s="8">
        <f t="shared" si="14"/>
        <v>200.55570000000003</v>
      </c>
      <c r="EI66" s="8">
        <f t="shared" si="14"/>
        <v>247.87066666666666</v>
      </c>
      <c r="EJ66" s="8">
        <f t="shared" si="14"/>
        <v>427.44509999999985</v>
      </c>
      <c r="EK66" s="8">
        <f t="shared" si="14"/>
        <v>124.12031666666668</v>
      </c>
      <c r="EL66" s="8">
        <f t="shared" si="14"/>
        <v>520.17018333333328</v>
      </c>
      <c r="EM66" s="8">
        <f t="shared" si="14"/>
        <v>886.05911666666645</v>
      </c>
      <c r="EN66" s="8">
        <f t="shared" si="14"/>
        <v>512.6647333333334</v>
      </c>
      <c r="EO66" s="8">
        <f t="shared" si="14"/>
        <v>366.89209999999991</v>
      </c>
      <c r="EP66" s="8">
        <f t="shared" si="14"/>
        <v>494.30853333333329</v>
      </c>
      <c r="EQ66" s="8">
        <f t="shared" si="14"/>
        <v>163.66546666666665</v>
      </c>
      <c r="ER66" s="8">
        <f t="shared" si="14"/>
        <v>352.31425000000002</v>
      </c>
      <c r="ES66" s="8">
        <f t="shared" si="14"/>
        <v>559.21624999999995</v>
      </c>
      <c r="ET66" s="8">
        <f t="shared" ref="ET66:FQ66" si="15">SUM(ET21:ET41)</f>
        <v>799.65896666666663</v>
      </c>
      <c r="EU66" s="8">
        <f t="shared" si="15"/>
        <v>734.25916666666672</v>
      </c>
      <c r="EV66" s="8">
        <f t="shared" si="15"/>
        <v>384.83913333333334</v>
      </c>
      <c r="EW66" s="8">
        <f t="shared" si="15"/>
        <v>1086.6400833333335</v>
      </c>
      <c r="EX66" s="8">
        <f t="shared" si="15"/>
        <v>540.38811666666652</v>
      </c>
      <c r="EY66" s="8">
        <f t="shared" si="15"/>
        <v>287.99186666666668</v>
      </c>
      <c r="EZ66" s="8">
        <f t="shared" si="15"/>
        <v>2319.3436333333329</v>
      </c>
      <c r="FA66" s="8">
        <f t="shared" si="15"/>
        <v>1040.2702166666668</v>
      </c>
      <c r="FB66" s="8">
        <f t="shared" si="15"/>
        <v>499.66168333333326</v>
      </c>
      <c r="FC66" s="8">
        <f t="shared" si="15"/>
        <v>309.7682666666667</v>
      </c>
      <c r="FD66" s="8">
        <f t="shared" si="15"/>
        <v>161.34506666666667</v>
      </c>
      <c r="FE66" s="8">
        <f t="shared" si="15"/>
        <v>643.30461666666656</v>
      </c>
      <c r="FF66" s="8">
        <f t="shared" si="15"/>
        <v>378.46631666666678</v>
      </c>
      <c r="FG66" s="8">
        <f t="shared" si="15"/>
        <v>221.84341666666668</v>
      </c>
      <c r="FH66" s="8">
        <f t="shared" si="15"/>
        <v>876.42428333333328</v>
      </c>
      <c r="FI66" s="8">
        <f t="shared" si="15"/>
        <v>305.45331666666664</v>
      </c>
      <c r="FJ66" s="8">
        <f t="shared" si="15"/>
        <v>600.15169999999989</v>
      </c>
      <c r="FK66" s="8">
        <f t="shared" si="15"/>
        <v>696.32638333333318</v>
      </c>
      <c r="FL66" s="8">
        <f t="shared" si="15"/>
        <v>1366.3489666666669</v>
      </c>
      <c r="FM66" s="8">
        <f t="shared" si="15"/>
        <v>2018.2447666666669</v>
      </c>
      <c r="FN66" s="8">
        <f t="shared" si="15"/>
        <v>719.69938333333334</v>
      </c>
      <c r="FO66" s="8">
        <f t="shared" si="15"/>
        <v>530.39109999999982</v>
      </c>
      <c r="FP66" s="8">
        <f t="shared" si="15"/>
        <v>327.94661666666661</v>
      </c>
      <c r="FQ66" s="8">
        <f t="shared" si="15"/>
        <v>263.59269999999998</v>
      </c>
    </row>
    <row r="67" spans="2:173" ht="17" thickBot="1" x14ac:dyDescent="0.25">
      <c r="B67" s="1" t="s">
        <v>380</v>
      </c>
      <c r="C67" s="109"/>
      <c r="D67" s="109"/>
      <c r="E67" s="8">
        <f>SUM(E43:E44)</f>
        <v>1.0764333333333334</v>
      </c>
      <c r="F67" s="8">
        <f>SUM(F43:F44)</f>
        <v>1.0630166666666667</v>
      </c>
      <c r="G67" s="8">
        <f>SUM(G43:G44)</f>
        <v>0.64005000000000001</v>
      </c>
      <c r="H67" s="8">
        <f t="shared" ref="H67:AI67" si="16">SUM(H43:H44)</f>
        <v>4.1127666666666665</v>
      </c>
      <c r="I67" s="8">
        <f t="shared" si="16"/>
        <v>1.7971666666666668</v>
      </c>
      <c r="J67" s="8">
        <f t="shared" si="16"/>
        <v>0.7984500000000001</v>
      </c>
      <c r="K67" s="8">
        <f t="shared" si="16"/>
        <v>1.4251500000000001</v>
      </c>
      <c r="L67" s="8">
        <f t="shared" si="16"/>
        <v>0.63988333333333336</v>
      </c>
      <c r="M67" s="8">
        <f t="shared" si="16"/>
        <v>5.0355166666666662</v>
      </c>
      <c r="N67" s="8">
        <f t="shared" si="16"/>
        <v>4.0173500000000004</v>
      </c>
      <c r="O67" s="8">
        <f t="shared" si="16"/>
        <v>1.7058666666666666</v>
      </c>
      <c r="P67" s="8">
        <f t="shared" si="16"/>
        <v>1.2491666666666665</v>
      </c>
      <c r="Q67" s="8">
        <f t="shared" si="16"/>
        <v>1.5011666666666668</v>
      </c>
      <c r="R67" s="8">
        <f t="shared" si="16"/>
        <v>1.96065</v>
      </c>
      <c r="S67" s="8">
        <f t="shared" si="16"/>
        <v>3.7726000000000002</v>
      </c>
      <c r="T67" s="8">
        <f t="shared" si="16"/>
        <v>8.305183333333332</v>
      </c>
      <c r="U67" s="8">
        <f t="shared" si="16"/>
        <v>4.7866666666666662</v>
      </c>
      <c r="V67" s="8">
        <f t="shared" si="16"/>
        <v>0.43076666666666663</v>
      </c>
      <c r="W67" s="8">
        <f t="shared" si="16"/>
        <v>1.3604166666666666</v>
      </c>
      <c r="X67" s="8">
        <f t="shared" si="16"/>
        <v>2.5797166666666667</v>
      </c>
      <c r="Y67" s="8">
        <f t="shared" si="16"/>
        <v>2.5590857142857146</v>
      </c>
      <c r="Z67" s="8">
        <f t="shared" si="16"/>
        <v>0.67419999999999991</v>
      </c>
      <c r="AA67" s="8">
        <f t="shared" si="16"/>
        <v>1.6828333333333332</v>
      </c>
      <c r="AB67" s="8">
        <f t="shared" si="16"/>
        <v>9.3323</v>
      </c>
      <c r="AC67" s="8">
        <f t="shared" si="16"/>
        <v>1.5141333333333333</v>
      </c>
      <c r="AD67" s="8">
        <f t="shared" si="16"/>
        <v>2.3925000000000001</v>
      </c>
      <c r="AE67" s="8">
        <f t="shared" si="16"/>
        <v>0.85883333333333334</v>
      </c>
      <c r="AF67" s="8">
        <f t="shared" si="16"/>
        <v>1.5279999999999998</v>
      </c>
      <c r="AG67" s="8">
        <f t="shared" si="16"/>
        <v>0.67781666666666673</v>
      </c>
      <c r="AH67" s="8">
        <f t="shared" si="16"/>
        <v>1.7214166666666666</v>
      </c>
      <c r="AI67" s="8">
        <f t="shared" si="16"/>
        <v>3.5785833333333334</v>
      </c>
      <c r="AJ67" s="8">
        <f t="shared" ref="AJ67:CG67" si="17">SUM(AJ43:AJ44)</f>
        <v>1.7576000000000001</v>
      </c>
      <c r="AK67" s="8">
        <f t="shared" si="17"/>
        <v>2.2724833333333336</v>
      </c>
      <c r="AL67" s="8">
        <f t="shared" si="17"/>
        <v>2.2583166666666665</v>
      </c>
      <c r="AM67" s="8">
        <f t="shared" si="17"/>
        <v>0.85348333333333315</v>
      </c>
      <c r="AN67" s="8">
        <f t="shared" si="17"/>
        <v>2.257716666666667</v>
      </c>
      <c r="AO67" s="8">
        <f t="shared" si="17"/>
        <v>3.5619333333333332</v>
      </c>
      <c r="AP67" s="8">
        <f t="shared" si="17"/>
        <v>1.9023333333333334</v>
      </c>
      <c r="AQ67" s="8">
        <f t="shared" si="17"/>
        <v>1.03125</v>
      </c>
      <c r="AR67" s="8">
        <f t="shared" si="17"/>
        <v>1.8722000000000001</v>
      </c>
      <c r="AS67" s="8">
        <f t="shared" si="17"/>
        <v>6.0736999999999997</v>
      </c>
      <c r="AT67" s="8">
        <f t="shared" si="17"/>
        <v>0.55674999999999997</v>
      </c>
      <c r="AU67" s="8">
        <f t="shared" si="17"/>
        <v>4.3998333333333335</v>
      </c>
      <c r="AV67" s="8">
        <f t="shared" si="17"/>
        <v>2.58195</v>
      </c>
      <c r="AW67" s="8">
        <f t="shared" si="17"/>
        <v>0.13832</v>
      </c>
      <c r="AX67" s="8">
        <f t="shared" si="17"/>
        <v>1.2727199999999999</v>
      </c>
      <c r="AY67" s="8">
        <f t="shared" si="17"/>
        <v>1.0212833333333333</v>
      </c>
      <c r="AZ67" s="8">
        <f t="shared" si="17"/>
        <v>0.98885000000000001</v>
      </c>
      <c r="BA67" s="8">
        <f t="shared" si="17"/>
        <v>2.0260833333333332</v>
      </c>
      <c r="BB67" s="8">
        <f t="shared" si="17"/>
        <v>0.55801666666666661</v>
      </c>
      <c r="BC67" s="8">
        <f t="shared" si="17"/>
        <v>1.2653166666666666</v>
      </c>
      <c r="BD67" s="8">
        <f t="shared" si="17"/>
        <v>0.53081666666666671</v>
      </c>
      <c r="BE67" s="8">
        <f t="shared" si="17"/>
        <v>1.2931333333333332</v>
      </c>
      <c r="BF67" s="8">
        <f t="shared" si="17"/>
        <v>0.67651666666666666</v>
      </c>
      <c r="BG67" s="8">
        <f t="shared" si="17"/>
        <v>1.8002166666666666</v>
      </c>
      <c r="BH67" s="8">
        <f t="shared" si="17"/>
        <v>6.1206166666666668</v>
      </c>
      <c r="BI67" s="8">
        <f t="shared" si="17"/>
        <v>0.45676666666666665</v>
      </c>
      <c r="BJ67" s="8">
        <f t="shared" si="17"/>
        <v>9.2560333333333329</v>
      </c>
      <c r="BK67" s="8">
        <f t="shared" si="17"/>
        <v>6.8174833333333336</v>
      </c>
      <c r="BL67" s="8">
        <f t="shared" si="17"/>
        <v>13.014250000000001</v>
      </c>
      <c r="BM67" s="8">
        <f t="shared" si="17"/>
        <v>2.1562166666666664</v>
      </c>
      <c r="BN67" s="8">
        <f t="shared" si="17"/>
        <v>37.877066666666671</v>
      </c>
      <c r="BO67" s="8">
        <f t="shared" si="17"/>
        <v>42.073399999999999</v>
      </c>
      <c r="BP67" s="8">
        <f t="shared" si="17"/>
        <v>57.974616666666662</v>
      </c>
      <c r="BQ67" s="8">
        <f t="shared" si="17"/>
        <v>164.27368333333334</v>
      </c>
      <c r="BR67" s="8">
        <f t="shared" si="17"/>
        <v>79.291916666666665</v>
      </c>
      <c r="BS67" s="8">
        <f t="shared" si="17"/>
        <v>3.7945666666666669</v>
      </c>
      <c r="BT67" s="8">
        <f t="shared" si="17"/>
        <v>1.2764571428571427</v>
      </c>
      <c r="BU67" s="8">
        <f t="shared" si="17"/>
        <v>169.10210000000001</v>
      </c>
      <c r="BV67" s="8">
        <f t="shared" si="17"/>
        <v>13.645616666666667</v>
      </c>
      <c r="BW67" s="8">
        <f t="shared" si="17"/>
        <v>4.8897666666666666</v>
      </c>
      <c r="BX67" s="8">
        <f t="shared" si="17"/>
        <v>4.1461666666666668</v>
      </c>
      <c r="BY67" s="8">
        <f t="shared" si="17"/>
        <v>5.5879333333333339</v>
      </c>
      <c r="BZ67" s="8">
        <f t="shared" si="17"/>
        <v>1.2056500000000001</v>
      </c>
      <c r="CA67" s="8">
        <f t="shared" si="17"/>
        <v>4.3276833333333338</v>
      </c>
      <c r="CB67" s="8">
        <f t="shared" si="17"/>
        <v>2.2836166666666666</v>
      </c>
      <c r="CC67" s="8">
        <f t="shared" si="17"/>
        <v>4.7471000000000005</v>
      </c>
      <c r="CD67" s="8">
        <f t="shared" si="17"/>
        <v>1.1378166666666667</v>
      </c>
      <c r="CE67" s="8">
        <f t="shared" si="17"/>
        <v>1.6368500000000001</v>
      </c>
      <c r="CF67" s="8">
        <f t="shared" si="17"/>
        <v>1.6208833333333337</v>
      </c>
      <c r="CG67" s="8">
        <f t="shared" si="17"/>
        <v>8.344850000000001</v>
      </c>
      <c r="CH67" s="8">
        <f t="shared" ref="CH67:ES67" si="18">SUM(CH43:CH44)</f>
        <v>1.1677833333333334</v>
      </c>
      <c r="CI67" s="8">
        <f t="shared" si="18"/>
        <v>2.4354666666666667</v>
      </c>
      <c r="CJ67" s="8">
        <f t="shared" si="18"/>
        <v>1.6273</v>
      </c>
      <c r="CK67" s="8">
        <f t="shared" si="18"/>
        <v>3.0865833333333335</v>
      </c>
      <c r="CL67" s="8">
        <f t="shared" si="18"/>
        <v>0.83328888888888897</v>
      </c>
      <c r="CM67" s="8">
        <f t="shared" si="18"/>
        <v>0.49753333333333338</v>
      </c>
      <c r="CN67" s="8">
        <f t="shared" si="18"/>
        <v>1.1151666666666666</v>
      </c>
      <c r="CO67" s="8">
        <f t="shared" si="18"/>
        <v>0.85083333333333333</v>
      </c>
      <c r="CP67" s="8">
        <f t="shared" si="18"/>
        <v>0.58723333333333338</v>
      </c>
      <c r="CQ67" s="8">
        <f t="shared" si="18"/>
        <v>0.5843666666666667</v>
      </c>
      <c r="CR67" s="8">
        <f t="shared" si="18"/>
        <v>2.9981833333333334</v>
      </c>
      <c r="CS67" s="8">
        <f t="shared" si="18"/>
        <v>2.07125</v>
      </c>
      <c r="CT67" s="8">
        <f t="shared" si="18"/>
        <v>1.79555</v>
      </c>
      <c r="CU67" s="8">
        <f t="shared" si="18"/>
        <v>0.77469999999999994</v>
      </c>
      <c r="CV67" s="8">
        <f t="shared" si="18"/>
        <v>2.6090333333333335</v>
      </c>
      <c r="CW67" s="8">
        <f t="shared" si="18"/>
        <v>0.64213333333333333</v>
      </c>
      <c r="CX67" s="8">
        <f t="shared" si="18"/>
        <v>0.87006666666666665</v>
      </c>
      <c r="CY67" s="8">
        <f t="shared" si="18"/>
        <v>2.4436999999999998</v>
      </c>
      <c r="CZ67" s="8">
        <f t="shared" si="18"/>
        <v>1.2283500000000001</v>
      </c>
      <c r="DA67" s="8">
        <f t="shared" si="18"/>
        <v>0.91960000000000008</v>
      </c>
      <c r="DB67" s="8">
        <f t="shared" si="18"/>
        <v>0.8629</v>
      </c>
      <c r="DC67" s="8">
        <f t="shared" si="18"/>
        <v>0.83809999999999996</v>
      </c>
      <c r="DD67" s="8">
        <f t="shared" si="18"/>
        <v>1.3906000000000001</v>
      </c>
      <c r="DE67" s="8">
        <f t="shared" si="18"/>
        <v>0.63373333333333337</v>
      </c>
      <c r="DF67" s="8">
        <f t="shared" si="18"/>
        <v>0.87755000000000005</v>
      </c>
      <c r="DG67" s="8">
        <f t="shared" si="18"/>
        <v>1.8433999999999999</v>
      </c>
      <c r="DH67" s="8">
        <f t="shared" si="18"/>
        <v>1.9214666666666664</v>
      </c>
      <c r="DI67" s="8">
        <f t="shared" si="18"/>
        <v>1.9557500000000001</v>
      </c>
      <c r="DJ67" s="8">
        <f t="shared" si="18"/>
        <v>6.7833333333333329E-2</v>
      </c>
      <c r="DK67" s="8">
        <f t="shared" si="18"/>
        <v>1.5071833333333333</v>
      </c>
      <c r="DL67" s="8">
        <f t="shared" si="18"/>
        <v>2.8835500000000001</v>
      </c>
      <c r="DM67" s="8">
        <f t="shared" si="18"/>
        <v>5.9186333333333341</v>
      </c>
      <c r="DN67" s="8">
        <f t="shared" si="18"/>
        <v>4.1183333333333336E-2</v>
      </c>
      <c r="DO67" s="8">
        <f t="shared" si="18"/>
        <v>3.7043666666666661</v>
      </c>
      <c r="DP67" s="8">
        <f t="shared" si="18"/>
        <v>1.5809333333333333</v>
      </c>
      <c r="DQ67" s="8">
        <f t="shared" si="18"/>
        <v>1.5787166666666668</v>
      </c>
      <c r="DR67" s="8">
        <f t="shared" si="18"/>
        <v>2.3785666666666669</v>
      </c>
      <c r="DS67" s="8">
        <f t="shared" si="18"/>
        <v>1.8446166666666666</v>
      </c>
      <c r="DT67" s="8">
        <f t="shared" si="18"/>
        <v>1.6208666666666665</v>
      </c>
      <c r="DU67" s="8">
        <f t="shared" si="18"/>
        <v>0.94535000000000002</v>
      </c>
      <c r="DV67" s="8">
        <f t="shared" si="18"/>
        <v>1.2786166666666667</v>
      </c>
      <c r="DW67" s="8">
        <f t="shared" si="18"/>
        <v>3.9547333333333334</v>
      </c>
      <c r="DX67" s="8">
        <f t="shared" si="18"/>
        <v>1.0349499999999998</v>
      </c>
      <c r="DY67" s="8">
        <f t="shared" si="18"/>
        <v>2.4358499999999998</v>
      </c>
      <c r="DZ67" s="8">
        <f t="shared" si="18"/>
        <v>0.66346666666666665</v>
      </c>
      <c r="EA67" s="8">
        <f t="shared" si="18"/>
        <v>2.4179999999999997</v>
      </c>
      <c r="EB67" s="8">
        <f t="shared" si="18"/>
        <v>3.4131333333333336</v>
      </c>
      <c r="EC67" s="8">
        <f t="shared" si="18"/>
        <v>1.7578833333333332</v>
      </c>
      <c r="ED67" s="8">
        <f t="shared" si="18"/>
        <v>2.1547499999999999</v>
      </c>
      <c r="EE67" s="8">
        <f t="shared" si="18"/>
        <v>1.6966666666666668</v>
      </c>
      <c r="EF67" s="8">
        <f t="shared" si="18"/>
        <v>1.4730166666666669</v>
      </c>
      <c r="EG67" s="8">
        <f t="shared" si="18"/>
        <v>8.5833333333333345E-2</v>
      </c>
      <c r="EH67" s="8">
        <f t="shared" si="18"/>
        <v>1.8430166666666667</v>
      </c>
      <c r="EI67" s="8">
        <f t="shared" si="18"/>
        <v>1.9099333333333335</v>
      </c>
      <c r="EJ67" s="8">
        <f t="shared" si="18"/>
        <v>1.2649833333333333</v>
      </c>
      <c r="EK67" s="8">
        <f t="shared" si="18"/>
        <v>0.35339999999999999</v>
      </c>
      <c r="EL67" s="8">
        <f t="shared" si="18"/>
        <v>3.2979833333333333</v>
      </c>
      <c r="EM67" s="8">
        <f t="shared" si="18"/>
        <v>0.96393333333333331</v>
      </c>
      <c r="EN67" s="8">
        <f t="shared" si="18"/>
        <v>0.94988333333333341</v>
      </c>
      <c r="EO67" s="8">
        <f t="shared" si="18"/>
        <v>6.2054666666666662</v>
      </c>
      <c r="EP67" s="8">
        <f t="shared" si="18"/>
        <v>3.1148333333333333</v>
      </c>
      <c r="EQ67" s="8">
        <f t="shared" si="18"/>
        <v>1.2452666666666667</v>
      </c>
      <c r="ER67" s="8">
        <f t="shared" si="18"/>
        <v>2.8843499999999995</v>
      </c>
      <c r="ES67" s="8">
        <f t="shared" si="18"/>
        <v>0.96160000000000001</v>
      </c>
      <c r="ET67" s="8">
        <f t="shared" ref="ET67:FQ67" si="19">SUM(ET43:ET44)</f>
        <v>1.0568333333333333</v>
      </c>
      <c r="EU67" s="8">
        <f t="shared" si="19"/>
        <v>0.91325000000000001</v>
      </c>
      <c r="EV67" s="8">
        <f t="shared" si="19"/>
        <v>1.36165</v>
      </c>
      <c r="EW67" s="8">
        <f t="shared" si="19"/>
        <v>1.3657999999999999</v>
      </c>
      <c r="EX67" s="8">
        <f t="shared" si="19"/>
        <v>1.0332333333333334</v>
      </c>
      <c r="EY67" s="8">
        <f t="shared" si="19"/>
        <v>1.0065166666666665</v>
      </c>
      <c r="EZ67" s="8">
        <f t="shared" si="19"/>
        <v>1.2196166666666666</v>
      </c>
      <c r="FA67" s="8">
        <f t="shared" si="19"/>
        <v>13.371316666666665</v>
      </c>
      <c r="FB67" s="8">
        <f t="shared" si="19"/>
        <v>2.0952333333333333</v>
      </c>
      <c r="FC67" s="8">
        <f t="shared" si="19"/>
        <v>0.90195000000000003</v>
      </c>
      <c r="FD67" s="8">
        <f t="shared" si="19"/>
        <v>0.81533333333333324</v>
      </c>
      <c r="FE67" s="8">
        <f t="shared" si="19"/>
        <v>2.0783166666666668</v>
      </c>
      <c r="FF67" s="8">
        <f t="shared" si="19"/>
        <v>0.81164999999999998</v>
      </c>
      <c r="FG67" s="8">
        <f t="shared" si="19"/>
        <v>1.3810666666666667</v>
      </c>
      <c r="FH67" s="8">
        <f t="shared" si="19"/>
        <v>0.95748333333333346</v>
      </c>
      <c r="FI67" s="8">
        <f t="shared" si="19"/>
        <v>1.1429333333333334</v>
      </c>
      <c r="FJ67" s="8">
        <f t="shared" si="19"/>
        <v>2.2368999999999999</v>
      </c>
      <c r="FK67" s="8">
        <f t="shared" si="19"/>
        <v>1.4133166666666668</v>
      </c>
      <c r="FL67" s="8">
        <f t="shared" si="19"/>
        <v>1.2928999999999999</v>
      </c>
      <c r="FM67" s="8">
        <f t="shared" si="19"/>
        <v>0.69161666666666666</v>
      </c>
      <c r="FN67" s="8">
        <f t="shared" si="19"/>
        <v>2.9330666666666665</v>
      </c>
      <c r="FO67" s="8">
        <f t="shared" si="19"/>
        <v>5.8254333333333328</v>
      </c>
      <c r="FP67" s="8">
        <f t="shared" si="19"/>
        <v>2.4838666666666667</v>
      </c>
      <c r="FQ67" s="8">
        <f t="shared" si="19"/>
        <v>1.6121333333333334</v>
      </c>
    </row>
    <row r="68" spans="2:173" ht="17" thickBot="1" x14ac:dyDescent="0.25">
      <c r="B68" s="1" t="s">
        <v>40</v>
      </c>
      <c r="C68" s="109"/>
      <c r="D68" s="109"/>
      <c r="E68" s="8">
        <f>SUM(E46:E50)</f>
        <v>0</v>
      </c>
      <c r="F68" s="8">
        <f>SUM(F46:F50)</f>
        <v>0.11438333333333334</v>
      </c>
      <c r="G68" s="8">
        <f>SUM(G46:G50)</f>
        <v>0</v>
      </c>
      <c r="H68" s="8">
        <f t="shared" ref="H68:AI68" si="20">SUM(H46:H50)</f>
        <v>0.26216666666666666</v>
      </c>
      <c r="I68" s="8">
        <f t="shared" si="20"/>
        <v>0.23558333333333334</v>
      </c>
      <c r="J68" s="8">
        <f t="shared" si="20"/>
        <v>0.14326666666666668</v>
      </c>
      <c r="K68" s="8">
        <f t="shared" si="20"/>
        <v>1.3614166666666667</v>
      </c>
      <c r="L68" s="8">
        <f t="shared" si="20"/>
        <v>0.30044999999999999</v>
      </c>
      <c r="M68" s="8">
        <f t="shared" si="20"/>
        <v>0</v>
      </c>
      <c r="N68" s="8">
        <f t="shared" si="20"/>
        <v>0</v>
      </c>
      <c r="O68" s="8">
        <f t="shared" si="20"/>
        <v>0.17911666666666667</v>
      </c>
      <c r="P68" s="8">
        <f t="shared" si="20"/>
        <v>1.9583333333333331E-2</v>
      </c>
      <c r="Q68" s="8">
        <f t="shared" si="20"/>
        <v>0.18516666666666665</v>
      </c>
      <c r="R68" s="8">
        <f t="shared" si="20"/>
        <v>0.26108333333333333</v>
      </c>
      <c r="S68" s="8">
        <f t="shared" si="20"/>
        <v>8.3299999999999999E-2</v>
      </c>
      <c r="T68" s="8">
        <f t="shared" si="20"/>
        <v>1.1180833333333333</v>
      </c>
      <c r="U68" s="8">
        <f t="shared" si="20"/>
        <v>7.9250000000000001E-2</v>
      </c>
      <c r="V68" s="8">
        <f t="shared" si="20"/>
        <v>0</v>
      </c>
      <c r="W68" s="8">
        <f t="shared" si="20"/>
        <v>4.6149999999999997E-2</v>
      </c>
      <c r="X68" s="8">
        <f t="shared" si="20"/>
        <v>-2.6450000000000005E-2</v>
      </c>
      <c r="Y68" s="8">
        <f t="shared" si="20"/>
        <v>1.4579714285714285</v>
      </c>
      <c r="Z68" s="8">
        <f t="shared" si="20"/>
        <v>-2.6800000000000001E-2</v>
      </c>
      <c r="AA68" s="8">
        <f t="shared" si="20"/>
        <v>0.3218166666666667</v>
      </c>
      <c r="AB68" s="8">
        <f t="shared" si="20"/>
        <v>2.7280200000000003</v>
      </c>
      <c r="AC68" s="8">
        <f t="shared" si="20"/>
        <v>0.13908333333333334</v>
      </c>
      <c r="AD68" s="8">
        <f t="shared" si="20"/>
        <v>0.23815000000000003</v>
      </c>
      <c r="AE68" s="8">
        <f t="shared" si="20"/>
        <v>0.22235000000000002</v>
      </c>
      <c r="AF68" s="8">
        <f t="shared" si="20"/>
        <v>0.13621666666666668</v>
      </c>
      <c r="AG68" s="8">
        <f t="shared" si="20"/>
        <v>0</v>
      </c>
      <c r="AH68" s="8">
        <f t="shared" si="20"/>
        <v>0</v>
      </c>
      <c r="AI68" s="8">
        <f t="shared" si="20"/>
        <v>0.23864999999999997</v>
      </c>
      <c r="AJ68" s="8">
        <f t="shared" ref="AJ68:CG68" si="21">SUM(AJ46:AJ50)</f>
        <v>0</v>
      </c>
      <c r="AK68" s="8">
        <f t="shared" si="21"/>
        <v>0.35160000000000002</v>
      </c>
      <c r="AL68" s="8">
        <f t="shared" si="21"/>
        <v>0.59001666666666663</v>
      </c>
      <c r="AM68" s="8">
        <f t="shared" si="21"/>
        <v>0</v>
      </c>
      <c r="AN68" s="8">
        <f t="shared" si="21"/>
        <v>0.97791666666666666</v>
      </c>
      <c r="AO68" s="8">
        <f t="shared" si="21"/>
        <v>0.17226666666666668</v>
      </c>
      <c r="AP68" s="8">
        <f t="shared" si="21"/>
        <v>2.0983333333333336E-2</v>
      </c>
      <c r="AQ68" s="8">
        <f t="shared" si="21"/>
        <v>-1.0833333333333334E-2</v>
      </c>
      <c r="AR68" s="8">
        <f t="shared" si="21"/>
        <v>0</v>
      </c>
      <c r="AS68" s="8">
        <f t="shared" si="21"/>
        <v>9.7499999999999989E-2</v>
      </c>
      <c r="AT68" s="8">
        <f t="shared" si="21"/>
        <v>-2.4233333333333332E-2</v>
      </c>
      <c r="AU68" s="8">
        <f t="shared" si="21"/>
        <v>1.90005</v>
      </c>
      <c r="AV68" s="8">
        <f t="shared" si="21"/>
        <v>0.21211666666666668</v>
      </c>
      <c r="AW68" s="8">
        <f t="shared" si="21"/>
        <v>0</v>
      </c>
      <c r="AX68" s="8">
        <f t="shared" si="21"/>
        <v>0</v>
      </c>
      <c r="AY68" s="8">
        <f t="shared" si="21"/>
        <v>0</v>
      </c>
      <c r="AZ68" s="8">
        <f t="shared" si="21"/>
        <v>0.14025000000000001</v>
      </c>
      <c r="BA68" s="8">
        <f t="shared" si="21"/>
        <v>0.27681666666666671</v>
      </c>
      <c r="BB68" s="8">
        <f t="shared" si="21"/>
        <v>0</v>
      </c>
      <c r="BC68" s="8">
        <f t="shared" si="21"/>
        <v>0</v>
      </c>
      <c r="BD68" s="8">
        <f t="shared" si="21"/>
        <v>0</v>
      </c>
      <c r="BE68" s="8">
        <f t="shared" si="21"/>
        <v>0</v>
      </c>
      <c r="BF68" s="8">
        <f t="shared" si="21"/>
        <v>0</v>
      </c>
      <c r="BG68" s="8">
        <f t="shared" si="21"/>
        <v>0</v>
      </c>
      <c r="BH68" s="8">
        <f t="shared" si="21"/>
        <v>0.32533333333333331</v>
      </c>
      <c r="BI68" s="8">
        <f t="shared" si="21"/>
        <v>0</v>
      </c>
      <c r="BJ68" s="8">
        <f t="shared" si="21"/>
        <v>0.70773333333333344</v>
      </c>
      <c r="BK68" s="8">
        <f t="shared" si="21"/>
        <v>0.69168333333333343</v>
      </c>
      <c r="BL68" s="8">
        <f t="shared" si="21"/>
        <v>1.7809999999999999</v>
      </c>
      <c r="BM68" s="8">
        <f t="shared" si="21"/>
        <v>0.23905000000000001</v>
      </c>
      <c r="BN68" s="8">
        <f t="shared" si="21"/>
        <v>11.661033333333334</v>
      </c>
      <c r="BO68" s="8">
        <f t="shared" si="21"/>
        <v>13.175628571428572</v>
      </c>
      <c r="BP68" s="8">
        <f t="shared" si="21"/>
        <v>12.500450000000001</v>
      </c>
      <c r="BQ68" s="8">
        <f t="shared" si="21"/>
        <v>25.832466666666665</v>
      </c>
      <c r="BR68" s="8">
        <f t="shared" si="21"/>
        <v>10.46965</v>
      </c>
      <c r="BS68" s="8">
        <f t="shared" si="21"/>
        <v>1.3425</v>
      </c>
      <c r="BT68" s="8">
        <f t="shared" si="21"/>
        <v>0</v>
      </c>
      <c r="BU68" s="8">
        <f t="shared" si="21"/>
        <v>10.907816666666667</v>
      </c>
      <c r="BV68" s="8">
        <f t="shared" si="21"/>
        <v>2.9771000000000001</v>
      </c>
      <c r="BW68" s="8">
        <f t="shared" si="21"/>
        <v>0.6014666666666667</v>
      </c>
      <c r="BX68" s="8">
        <f t="shared" si="21"/>
        <v>1.2971000000000001</v>
      </c>
      <c r="BY68" s="8">
        <f t="shared" si="21"/>
        <v>0.62841666666666662</v>
      </c>
      <c r="BZ68" s="8">
        <f t="shared" si="21"/>
        <v>0</v>
      </c>
      <c r="CA68" s="8">
        <f t="shared" si="21"/>
        <v>0.95213333333333339</v>
      </c>
      <c r="CB68" s="8">
        <f t="shared" si="21"/>
        <v>0.78896666666666659</v>
      </c>
      <c r="CC68" s="8">
        <f t="shared" si="21"/>
        <v>0.6851666666666667</v>
      </c>
      <c r="CD68" s="8">
        <f t="shared" si="21"/>
        <v>0.39558333333333334</v>
      </c>
      <c r="CE68" s="8">
        <f t="shared" si="21"/>
        <v>0.11084999999999999</v>
      </c>
      <c r="CF68" s="8">
        <f t="shared" si="21"/>
        <v>0.1360166666666667</v>
      </c>
      <c r="CG68" s="8">
        <f t="shared" si="21"/>
        <v>2.8274333333333335</v>
      </c>
      <c r="CH68" s="8">
        <f t="shared" ref="CH68:ES68" si="22">SUM(CH46:CH50)</f>
        <v>0.14256666666666667</v>
      </c>
      <c r="CI68" s="8">
        <f t="shared" si="22"/>
        <v>3.7333333333333333E-3</v>
      </c>
      <c r="CJ68" s="8">
        <f t="shared" si="22"/>
        <v>0</v>
      </c>
      <c r="CK68" s="8">
        <f t="shared" si="22"/>
        <v>0.3532333333333334</v>
      </c>
      <c r="CL68" s="8">
        <f t="shared" si="22"/>
        <v>0</v>
      </c>
      <c r="CM68" s="8">
        <f t="shared" si="22"/>
        <v>2.7733333333333332E-2</v>
      </c>
      <c r="CN68" s="8">
        <f t="shared" si="22"/>
        <v>0.49035000000000001</v>
      </c>
      <c r="CO68" s="8">
        <f t="shared" si="22"/>
        <v>3.5533333333333333E-2</v>
      </c>
      <c r="CP68" s="8">
        <f t="shared" si="22"/>
        <v>0</v>
      </c>
      <c r="CQ68" s="8">
        <f t="shared" si="22"/>
        <v>0.19498333333333334</v>
      </c>
      <c r="CR68" s="8">
        <f t="shared" si="22"/>
        <v>0.1711333333333333</v>
      </c>
      <c r="CS68" s="8">
        <f t="shared" si="22"/>
        <v>0.12701666666666667</v>
      </c>
      <c r="CT68" s="8">
        <f t="shared" si="22"/>
        <v>3.1651000000000002</v>
      </c>
      <c r="CU68" s="8">
        <f t="shared" si="22"/>
        <v>-1.455E-2</v>
      </c>
      <c r="CV68" s="8">
        <f t="shared" si="22"/>
        <v>0</v>
      </c>
      <c r="CW68" s="8">
        <f t="shared" si="22"/>
        <v>7.8366666666666668E-2</v>
      </c>
      <c r="CX68" s="8">
        <f t="shared" si="22"/>
        <v>0</v>
      </c>
      <c r="CY68" s="8">
        <f t="shared" si="22"/>
        <v>2.3016666666666668E-2</v>
      </c>
      <c r="CZ68" s="8">
        <f t="shared" si="22"/>
        <v>0</v>
      </c>
      <c r="DA68" s="8">
        <f t="shared" si="22"/>
        <v>7.1766666666666673E-2</v>
      </c>
      <c r="DB68" s="8">
        <f t="shared" si="22"/>
        <v>-3.0200000000000001E-2</v>
      </c>
      <c r="DC68" s="8">
        <f t="shared" si="22"/>
        <v>0</v>
      </c>
      <c r="DD68" s="8">
        <f t="shared" si="22"/>
        <v>5.8050000000000004E-2</v>
      </c>
      <c r="DE68" s="8">
        <f t="shared" si="22"/>
        <v>0.15493333333333331</v>
      </c>
      <c r="DF68" s="8">
        <f t="shared" si="22"/>
        <v>0</v>
      </c>
      <c r="DG68" s="8">
        <f t="shared" si="22"/>
        <v>4.4749999999999998E-2</v>
      </c>
      <c r="DH68" s="8">
        <f t="shared" si="22"/>
        <v>0</v>
      </c>
      <c r="DI68" s="8">
        <f t="shared" si="22"/>
        <v>0.49475000000000002</v>
      </c>
      <c r="DJ68" s="8">
        <f t="shared" si="22"/>
        <v>1.8600000000000002E-2</v>
      </c>
      <c r="DK68" s="8">
        <f t="shared" si="22"/>
        <v>2.1233333333333333E-2</v>
      </c>
      <c r="DL68" s="8">
        <f t="shared" si="22"/>
        <v>0.42313333333333336</v>
      </c>
      <c r="DM68" s="8">
        <f t="shared" si="22"/>
        <v>0.45463333333333333</v>
      </c>
      <c r="DN68" s="8">
        <f t="shared" si="22"/>
        <v>0</v>
      </c>
      <c r="DO68" s="8">
        <f t="shared" si="22"/>
        <v>6.9833333333333327E-3</v>
      </c>
      <c r="DP68" s="8">
        <f t="shared" si="22"/>
        <v>0.15258333333333332</v>
      </c>
      <c r="DQ68" s="8">
        <f t="shared" si="22"/>
        <v>0.13718333333333332</v>
      </c>
      <c r="DR68" s="8">
        <f t="shared" si="22"/>
        <v>0</v>
      </c>
      <c r="DS68" s="8">
        <f t="shared" si="22"/>
        <v>-1.8666666666666668E-2</v>
      </c>
      <c r="DT68" s="8">
        <f t="shared" si="22"/>
        <v>0</v>
      </c>
      <c r="DU68" s="8">
        <f t="shared" si="22"/>
        <v>-3.8E-3</v>
      </c>
      <c r="DV68" s="8">
        <f t="shared" si="22"/>
        <v>-2.3516666666666668E-2</v>
      </c>
      <c r="DW68" s="8">
        <f t="shared" si="22"/>
        <v>0.2268</v>
      </c>
      <c r="DX68" s="8">
        <f t="shared" si="22"/>
        <v>0</v>
      </c>
      <c r="DY68" s="8">
        <f t="shared" si="22"/>
        <v>0</v>
      </c>
      <c r="DZ68" s="8">
        <f t="shared" si="22"/>
        <v>0.13916666666666666</v>
      </c>
      <c r="EA68" s="8">
        <f t="shared" si="22"/>
        <v>0.18545</v>
      </c>
      <c r="EB68" s="8">
        <f t="shared" si="22"/>
        <v>4.0499999999999998E-3</v>
      </c>
      <c r="EC68" s="8">
        <f t="shared" si="22"/>
        <v>7.0333333333333331E-2</v>
      </c>
      <c r="ED68" s="8">
        <f t="shared" si="22"/>
        <v>-2.3916666666666662E-2</v>
      </c>
      <c r="EE68" s="8">
        <f t="shared" si="22"/>
        <v>0</v>
      </c>
      <c r="EF68" s="8">
        <f t="shared" si="22"/>
        <v>0</v>
      </c>
      <c r="EG68" s="8">
        <f t="shared" si="22"/>
        <v>0</v>
      </c>
      <c r="EH68" s="8">
        <f t="shared" si="22"/>
        <v>0</v>
      </c>
      <c r="EI68" s="8">
        <f t="shared" si="22"/>
        <v>7.5800000000000006E-2</v>
      </c>
      <c r="EJ68" s="8">
        <f t="shared" si="22"/>
        <v>0.37414999999999998</v>
      </c>
      <c r="EK68" s="8">
        <f t="shared" si="22"/>
        <v>0</v>
      </c>
      <c r="EL68" s="8">
        <f t="shared" si="22"/>
        <v>-1.7166666666666667E-2</v>
      </c>
      <c r="EM68" s="8">
        <f t="shared" si="22"/>
        <v>0.15435000000000001</v>
      </c>
      <c r="EN68" s="8">
        <f t="shared" si="22"/>
        <v>4.7649999999999998E-2</v>
      </c>
      <c r="EO68" s="8">
        <f t="shared" si="22"/>
        <v>0</v>
      </c>
      <c r="EP68" s="8">
        <f t="shared" si="22"/>
        <v>0.43893333333333329</v>
      </c>
      <c r="EQ68" s="8">
        <f t="shared" si="22"/>
        <v>0.40383333333333332</v>
      </c>
      <c r="ER68" s="8">
        <f t="shared" si="22"/>
        <v>0.14868333333333333</v>
      </c>
      <c r="ES68" s="8">
        <f t="shared" si="22"/>
        <v>-1.4283333333333334E-2</v>
      </c>
      <c r="ET68" s="8">
        <f t="shared" ref="ET68:FQ68" si="23">SUM(ET46:ET50)</f>
        <v>8.7233333333333329E-2</v>
      </c>
      <c r="EU68" s="8">
        <f t="shared" si="23"/>
        <v>1.0233333333333334E-2</v>
      </c>
      <c r="EV68" s="8">
        <f t="shared" si="23"/>
        <v>0.13896666666666666</v>
      </c>
      <c r="EW68" s="8">
        <f t="shared" si="23"/>
        <v>0.15483333333333335</v>
      </c>
      <c r="EX68" s="8">
        <f t="shared" si="23"/>
        <v>0</v>
      </c>
      <c r="EY68" s="8">
        <f t="shared" si="23"/>
        <v>0</v>
      </c>
      <c r="EZ68" s="8">
        <f t="shared" si="23"/>
        <v>0.55945</v>
      </c>
      <c r="FA68" s="8">
        <f t="shared" si="23"/>
        <v>0</v>
      </c>
      <c r="FB68" s="8">
        <f t="shared" si="23"/>
        <v>6.0433333333333332E-2</v>
      </c>
      <c r="FC68" s="8">
        <f t="shared" si="23"/>
        <v>0</v>
      </c>
      <c r="FD68" s="8">
        <f t="shared" si="23"/>
        <v>0</v>
      </c>
      <c r="FE68" s="8">
        <f t="shared" si="23"/>
        <v>0</v>
      </c>
      <c r="FF68" s="8">
        <f t="shared" si="23"/>
        <v>-2.1433333333333335E-2</v>
      </c>
      <c r="FG68" s="8">
        <f t="shared" si="23"/>
        <v>1.7649999999999999E-2</v>
      </c>
      <c r="FH68" s="8">
        <f t="shared" si="23"/>
        <v>0.10803333333333334</v>
      </c>
      <c r="FI68" s="8">
        <f t="shared" si="23"/>
        <v>0</v>
      </c>
      <c r="FJ68" s="8">
        <f t="shared" si="23"/>
        <v>0.19223333333333331</v>
      </c>
      <c r="FK68" s="8">
        <f t="shared" si="23"/>
        <v>0.27561666666666668</v>
      </c>
      <c r="FL68" s="8">
        <f t="shared" si="23"/>
        <v>-8.483333333333334E-3</v>
      </c>
      <c r="FM68" s="8">
        <f t="shared" si="23"/>
        <v>7.2700000000000001E-2</v>
      </c>
      <c r="FN68" s="8">
        <f t="shared" si="23"/>
        <v>-1.3966666666666665E-2</v>
      </c>
      <c r="FO68" s="8">
        <f t="shared" si="23"/>
        <v>5.2500000000000003E-3</v>
      </c>
      <c r="FP68" s="8">
        <f t="shared" si="23"/>
        <v>0</v>
      </c>
      <c r="FQ68" s="8">
        <f t="shared" si="23"/>
        <v>0</v>
      </c>
    </row>
    <row r="69" spans="2:173" ht="17" thickBot="1" x14ac:dyDescent="0.25">
      <c r="B69" s="1" t="s">
        <v>39</v>
      </c>
      <c r="C69" s="109"/>
      <c r="D69" s="109"/>
      <c r="E69" s="88">
        <f>SUM(E52:E60)</f>
        <v>62.686700000000009</v>
      </c>
      <c r="F69" s="88">
        <f>SUM(F52:F60)</f>
        <v>228.05930000000001</v>
      </c>
      <c r="G69" s="88">
        <f>SUM(G52:G60)</f>
        <v>28.941049999999997</v>
      </c>
      <c r="H69" s="88">
        <f t="shared" ref="H69:AI69" si="24">SUM(H52:H60)</f>
        <v>165.44819999999999</v>
      </c>
      <c r="I69" s="88">
        <f t="shared" si="24"/>
        <v>125.94173333333333</v>
      </c>
      <c r="J69" s="88">
        <f t="shared" si="24"/>
        <v>148.11849999999998</v>
      </c>
      <c r="K69" s="88">
        <f t="shared" si="24"/>
        <v>559.41913333333332</v>
      </c>
      <c r="L69" s="88">
        <f t="shared" si="24"/>
        <v>218.61530000000002</v>
      </c>
      <c r="M69" s="88">
        <f t="shared" si="24"/>
        <v>436.43351666666661</v>
      </c>
      <c r="N69" s="88">
        <f t="shared" si="24"/>
        <v>73.056750000000008</v>
      </c>
      <c r="O69" s="88">
        <f t="shared" si="24"/>
        <v>201.89025000000001</v>
      </c>
      <c r="P69" s="88">
        <f t="shared" si="24"/>
        <v>55.678433333333331</v>
      </c>
      <c r="Q69" s="88">
        <f t="shared" si="24"/>
        <v>253.11140000000003</v>
      </c>
      <c r="R69" s="88">
        <f t="shared" si="24"/>
        <v>174.19218333333333</v>
      </c>
      <c r="S69" s="88">
        <f t="shared" si="24"/>
        <v>102.86725</v>
      </c>
      <c r="T69" s="88">
        <f t="shared" si="24"/>
        <v>229.60696666666666</v>
      </c>
      <c r="U69" s="88">
        <f t="shared" si="24"/>
        <v>236.71138333333334</v>
      </c>
      <c r="V69" s="88">
        <f t="shared" si="24"/>
        <v>47.920366666666666</v>
      </c>
      <c r="W69" s="88">
        <f t="shared" si="24"/>
        <v>39.510783333333329</v>
      </c>
      <c r="X69" s="88">
        <f t="shared" si="24"/>
        <v>63.476566666666663</v>
      </c>
      <c r="Y69" s="88">
        <f t="shared" si="24"/>
        <v>141.32171428571431</v>
      </c>
      <c r="Z69" s="88">
        <f t="shared" si="24"/>
        <v>49.926960000000001</v>
      </c>
      <c r="AA69" s="88">
        <f t="shared" si="24"/>
        <v>316.41436666666664</v>
      </c>
      <c r="AB69" s="88">
        <f t="shared" si="24"/>
        <v>183.09064000000001</v>
      </c>
      <c r="AC69" s="88">
        <f t="shared" si="24"/>
        <v>201.63274999999999</v>
      </c>
      <c r="AD69" s="88">
        <f t="shared" si="24"/>
        <v>279.44183333333331</v>
      </c>
      <c r="AE69" s="88">
        <f t="shared" si="24"/>
        <v>108.16408333333334</v>
      </c>
      <c r="AF69" s="88">
        <f t="shared" si="24"/>
        <v>48.143666666666668</v>
      </c>
      <c r="AG69" s="88">
        <f t="shared" si="24"/>
        <v>69.817566666666664</v>
      </c>
      <c r="AH69" s="88">
        <f t="shared" si="24"/>
        <v>11.564566666666666</v>
      </c>
      <c r="AI69" s="88">
        <f t="shared" si="24"/>
        <v>71.219816666666659</v>
      </c>
      <c r="AJ69" s="88">
        <f t="shared" ref="AJ69:CG69" si="25">SUM(AJ52:AJ60)</f>
        <v>73.54046666666666</v>
      </c>
      <c r="AK69" s="88">
        <f t="shared" si="25"/>
        <v>113.38316666666668</v>
      </c>
      <c r="AL69" s="88">
        <f t="shared" si="25"/>
        <v>298.39558333333332</v>
      </c>
      <c r="AM69" s="88">
        <f t="shared" si="25"/>
        <v>106.75808333333333</v>
      </c>
      <c r="AN69" s="88">
        <f t="shared" si="25"/>
        <v>79.918016666666659</v>
      </c>
      <c r="AO69" s="88">
        <f t="shared" si="25"/>
        <v>148.58018333333337</v>
      </c>
      <c r="AP69" s="88">
        <f t="shared" si="25"/>
        <v>112.20551666666665</v>
      </c>
      <c r="AQ69" s="88">
        <f t="shared" si="25"/>
        <v>97.330333333333328</v>
      </c>
      <c r="AR69" s="88">
        <f t="shared" si="25"/>
        <v>38.230200000000004</v>
      </c>
      <c r="AS69" s="88">
        <f t="shared" si="25"/>
        <v>137.70648333333332</v>
      </c>
      <c r="AT69" s="88">
        <f t="shared" si="25"/>
        <v>52.267150000000001</v>
      </c>
      <c r="AU69" s="88">
        <f t="shared" si="25"/>
        <v>113.95448333333334</v>
      </c>
      <c r="AV69" s="88">
        <f t="shared" si="25"/>
        <v>104.35526666666667</v>
      </c>
      <c r="AW69" s="88">
        <f t="shared" si="25"/>
        <v>48.854199999999992</v>
      </c>
      <c r="AX69" s="88">
        <f t="shared" si="25"/>
        <v>68.745359999999991</v>
      </c>
      <c r="AY69" s="88">
        <f t="shared" si="25"/>
        <v>36.584233333333337</v>
      </c>
      <c r="AZ69" s="88">
        <f t="shared" si="25"/>
        <v>134.72826666666668</v>
      </c>
      <c r="BA69" s="88">
        <f t="shared" si="25"/>
        <v>176.65621666666667</v>
      </c>
      <c r="BB69" s="88">
        <f t="shared" si="25"/>
        <v>38.42731666666667</v>
      </c>
      <c r="BC69" s="88">
        <f t="shared" si="25"/>
        <v>74.159300000000002</v>
      </c>
      <c r="BD69" s="88">
        <f t="shared" si="25"/>
        <v>92.509133333333338</v>
      </c>
      <c r="BE69" s="88">
        <f t="shared" si="25"/>
        <v>104.34033333333332</v>
      </c>
      <c r="BF69" s="88">
        <f t="shared" si="25"/>
        <v>56.007950000000001</v>
      </c>
      <c r="BG69" s="88">
        <f t="shared" si="25"/>
        <v>148.74306666666669</v>
      </c>
      <c r="BH69" s="88">
        <f t="shared" si="25"/>
        <v>52.983316666666667</v>
      </c>
      <c r="BI69" s="88">
        <f t="shared" si="25"/>
        <v>38.87951666666666</v>
      </c>
      <c r="BJ69" s="88">
        <f t="shared" si="25"/>
        <v>139.53566666666666</v>
      </c>
      <c r="BK69" s="88">
        <f t="shared" si="25"/>
        <v>168.13910000000001</v>
      </c>
      <c r="BL69" s="88">
        <f t="shared" si="25"/>
        <v>358.5992333333333</v>
      </c>
      <c r="BM69" s="88">
        <f t="shared" si="25"/>
        <v>305.61723333333333</v>
      </c>
      <c r="BN69" s="88">
        <f t="shared" si="25"/>
        <v>360.08439999999996</v>
      </c>
      <c r="BO69" s="88">
        <f t="shared" si="25"/>
        <v>586.26574285714287</v>
      </c>
      <c r="BP69" s="88">
        <f t="shared" si="25"/>
        <v>779.65449999999998</v>
      </c>
      <c r="BQ69" s="88">
        <f t="shared" si="25"/>
        <v>331.87379999999996</v>
      </c>
      <c r="BR69" s="88">
        <f t="shared" si="25"/>
        <v>334.35828333333336</v>
      </c>
      <c r="BS69" s="88">
        <f t="shared" si="25"/>
        <v>158.28168333333332</v>
      </c>
      <c r="BT69" s="88">
        <f t="shared" si="25"/>
        <v>58.550400000000003</v>
      </c>
      <c r="BU69" s="88">
        <f t="shared" si="25"/>
        <v>404.48633333333339</v>
      </c>
      <c r="BV69" s="88">
        <f t="shared" si="25"/>
        <v>104.41225</v>
      </c>
      <c r="BW69" s="88">
        <f t="shared" si="25"/>
        <v>107.72095</v>
      </c>
      <c r="BX69" s="88">
        <f t="shared" si="25"/>
        <v>117.31258333333332</v>
      </c>
      <c r="BY69" s="88">
        <f t="shared" si="25"/>
        <v>247.24248333333335</v>
      </c>
      <c r="BZ69" s="88">
        <f t="shared" si="25"/>
        <v>41.499083333333331</v>
      </c>
      <c r="CA69" s="88">
        <f t="shared" si="25"/>
        <v>331.39445000000001</v>
      </c>
      <c r="CB69" s="88">
        <f t="shared" si="25"/>
        <v>101.01105000000001</v>
      </c>
      <c r="CC69" s="88">
        <f t="shared" si="25"/>
        <v>152.155</v>
      </c>
      <c r="CD69" s="88">
        <f t="shared" si="25"/>
        <v>34.045333333333332</v>
      </c>
      <c r="CE69" s="88">
        <f t="shared" si="25"/>
        <v>140.87549999999999</v>
      </c>
      <c r="CF69" s="88">
        <f t="shared" si="25"/>
        <v>156.17201666666668</v>
      </c>
      <c r="CG69" s="88">
        <f t="shared" si="25"/>
        <v>174.12461666666664</v>
      </c>
      <c r="CH69" s="88">
        <f t="shared" ref="CH69:ES69" si="26">SUM(CH52:CH60)</f>
        <v>57.319816666666668</v>
      </c>
      <c r="CI69" s="88">
        <f t="shared" si="26"/>
        <v>68.091983333333346</v>
      </c>
      <c r="CJ69" s="88">
        <f t="shared" si="26"/>
        <v>59.759633333333333</v>
      </c>
      <c r="CK69" s="88">
        <f t="shared" si="26"/>
        <v>83.873333333333349</v>
      </c>
      <c r="CL69" s="88">
        <f t="shared" si="26"/>
        <v>28.895777777777777</v>
      </c>
      <c r="CM69" s="88">
        <f t="shared" si="26"/>
        <v>12.676766666666666</v>
      </c>
      <c r="CN69" s="88">
        <f t="shared" si="26"/>
        <v>20.593666666666664</v>
      </c>
      <c r="CO69" s="88">
        <f t="shared" si="26"/>
        <v>97.795183333333341</v>
      </c>
      <c r="CP69" s="88">
        <f t="shared" si="26"/>
        <v>50.277216666666668</v>
      </c>
      <c r="CQ69" s="88">
        <f t="shared" si="26"/>
        <v>166.3818666666667</v>
      </c>
      <c r="CR69" s="88">
        <f t="shared" si="26"/>
        <v>203.77751666666668</v>
      </c>
      <c r="CS69" s="88">
        <f t="shared" si="26"/>
        <v>192.70339999999999</v>
      </c>
      <c r="CT69" s="88">
        <f t="shared" si="26"/>
        <v>58.644649999999999</v>
      </c>
      <c r="CU69" s="88">
        <f t="shared" si="26"/>
        <v>132.81843333333333</v>
      </c>
      <c r="CV69" s="88">
        <f t="shared" si="26"/>
        <v>162.98728333333332</v>
      </c>
      <c r="CW69" s="88">
        <f t="shared" si="26"/>
        <v>119.12161666666667</v>
      </c>
      <c r="CX69" s="88">
        <f t="shared" si="26"/>
        <v>157.69630000000001</v>
      </c>
      <c r="CY69" s="88">
        <f t="shared" si="26"/>
        <v>184.37218333333334</v>
      </c>
      <c r="CZ69" s="88">
        <f t="shared" si="26"/>
        <v>78.861250000000013</v>
      </c>
      <c r="DA69" s="88">
        <f t="shared" si="26"/>
        <v>36.44265</v>
      </c>
      <c r="DB69" s="88">
        <f t="shared" si="26"/>
        <v>37.101816666666672</v>
      </c>
      <c r="DC69" s="88">
        <f t="shared" si="26"/>
        <v>96.814783333333338</v>
      </c>
      <c r="DD69" s="88">
        <f t="shared" si="26"/>
        <v>163.62163333333336</v>
      </c>
      <c r="DE69" s="88">
        <f t="shared" si="26"/>
        <v>69.533483333333336</v>
      </c>
      <c r="DF69" s="88">
        <f t="shared" si="26"/>
        <v>176.91301666666669</v>
      </c>
      <c r="DG69" s="88">
        <f t="shared" si="26"/>
        <v>86.886233333333337</v>
      </c>
      <c r="DH69" s="88">
        <f t="shared" si="26"/>
        <v>55.556716666666674</v>
      </c>
      <c r="DI69" s="88">
        <f t="shared" si="26"/>
        <v>49.607916666666675</v>
      </c>
      <c r="DJ69" s="88">
        <f t="shared" si="26"/>
        <v>20.356549999999999</v>
      </c>
      <c r="DK69" s="88">
        <f t="shared" si="26"/>
        <v>178.2158</v>
      </c>
      <c r="DL69" s="88">
        <f t="shared" si="26"/>
        <v>143.65191666666666</v>
      </c>
      <c r="DM69" s="88">
        <f t="shared" si="26"/>
        <v>45.005449999999996</v>
      </c>
      <c r="DN69" s="88">
        <f t="shared" si="26"/>
        <v>26.065866666666665</v>
      </c>
      <c r="DO69" s="88">
        <f t="shared" si="26"/>
        <v>216.70019999999997</v>
      </c>
      <c r="DP69" s="88">
        <f t="shared" si="26"/>
        <v>219.63996666666668</v>
      </c>
      <c r="DQ69" s="88">
        <f t="shared" si="26"/>
        <v>258.92248333333333</v>
      </c>
      <c r="DR69" s="88">
        <f t="shared" si="26"/>
        <v>51.520883333333337</v>
      </c>
      <c r="DS69" s="88">
        <f t="shared" si="26"/>
        <v>129.12813333333332</v>
      </c>
      <c r="DT69" s="88">
        <f t="shared" si="26"/>
        <v>323.0019666666667</v>
      </c>
      <c r="DU69" s="88">
        <f t="shared" si="26"/>
        <v>53.788133333333334</v>
      </c>
      <c r="DV69" s="88">
        <f t="shared" si="26"/>
        <v>120.34766666666665</v>
      </c>
      <c r="DW69" s="88">
        <f t="shared" si="26"/>
        <v>106.61528333333332</v>
      </c>
      <c r="DX69" s="88">
        <f t="shared" si="26"/>
        <v>81.290566666666678</v>
      </c>
      <c r="DY69" s="88">
        <f t="shared" si="26"/>
        <v>154.36011666666667</v>
      </c>
      <c r="DZ69" s="88">
        <f t="shared" si="26"/>
        <v>76.807883333333351</v>
      </c>
      <c r="EA69" s="88">
        <f t="shared" si="26"/>
        <v>244.6771</v>
      </c>
      <c r="EB69" s="88">
        <f t="shared" si="26"/>
        <v>80.352216666666678</v>
      </c>
      <c r="EC69" s="88">
        <f t="shared" si="26"/>
        <v>173.55933333333334</v>
      </c>
      <c r="ED69" s="88">
        <f t="shared" si="26"/>
        <v>175.67688333333334</v>
      </c>
      <c r="EE69" s="88">
        <f t="shared" si="26"/>
        <v>40.196800000000003</v>
      </c>
      <c r="EF69" s="88">
        <f t="shared" si="26"/>
        <v>158.25541666666669</v>
      </c>
      <c r="EG69" s="88">
        <f t="shared" si="26"/>
        <v>50.457966666666671</v>
      </c>
      <c r="EH69" s="88">
        <f t="shared" si="26"/>
        <v>35.735283333333335</v>
      </c>
      <c r="EI69" s="88">
        <f t="shared" si="26"/>
        <v>46.518250000000002</v>
      </c>
      <c r="EJ69" s="88">
        <f t="shared" si="26"/>
        <v>38.530133333333332</v>
      </c>
      <c r="EK69" s="88">
        <f t="shared" si="26"/>
        <v>19.502066666666671</v>
      </c>
      <c r="EL69" s="88">
        <f t="shared" si="26"/>
        <v>135.30103333333335</v>
      </c>
      <c r="EM69" s="88">
        <f t="shared" si="26"/>
        <v>120.03493333333333</v>
      </c>
      <c r="EN69" s="88">
        <f t="shared" si="26"/>
        <v>63.271616666666667</v>
      </c>
      <c r="EO69" s="88">
        <f t="shared" si="26"/>
        <v>65.76873333333333</v>
      </c>
      <c r="EP69" s="88">
        <f t="shared" si="26"/>
        <v>128.709</v>
      </c>
      <c r="EQ69" s="88">
        <f t="shared" si="26"/>
        <v>52.402349999999998</v>
      </c>
      <c r="ER69" s="88">
        <f t="shared" si="26"/>
        <v>49.612366666666674</v>
      </c>
      <c r="ES69" s="88">
        <f t="shared" si="26"/>
        <v>68.430599999999998</v>
      </c>
      <c r="ET69" s="88">
        <f t="shared" ref="ET69:FQ69" si="27">SUM(ET52:ET60)</f>
        <v>161.239</v>
      </c>
      <c r="EU69" s="88">
        <f t="shared" si="27"/>
        <v>119.00193333333333</v>
      </c>
      <c r="EV69" s="88">
        <f t="shared" si="27"/>
        <v>58.188283333333331</v>
      </c>
      <c r="EW69" s="88">
        <f t="shared" si="27"/>
        <v>97.050333333333327</v>
      </c>
      <c r="EX69" s="88">
        <f t="shared" si="27"/>
        <v>86.485366666666664</v>
      </c>
      <c r="EY69" s="88">
        <f t="shared" si="27"/>
        <v>38.98298333333333</v>
      </c>
      <c r="EZ69" s="88">
        <f t="shared" si="27"/>
        <v>330.19619999999998</v>
      </c>
      <c r="FA69" s="88">
        <f t="shared" si="27"/>
        <v>113.45758333333333</v>
      </c>
      <c r="FB69" s="88">
        <f t="shared" si="27"/>
        <v>227.18770000000001</v>
      </c>
      <c r="FC69" s="88">
        <f t="shared" si="27"/>
        <v>114.32923333333333</v>
      </c>
      <c r="FD69" s="88">
        <f t="shared" si="27"/>
        <v>29.186049999999998</v>
      </c>
      <c r="FE69" s="88">
        <f t="shared" si="27"/>
        <v>131.43376666666666</v>
      </c>
      <c r="FF69" s="88">
        <f t="shared" si="27"/>
        <v>79.841833333333327</v>
      </c>
      <c r="FG69" s="88">
        <f t="shared" si="27"/>
        <v>78.967516666666654</v>
      </c>
      <c r="FH69" s="88">
        <f t="shared" si="27"/>
        <v>179.71775000000005</v>
      </c>
      <c r="FI69" s="88">
        <f t="shared" si="27"/>
        <v>71.706333333333347</v>
      </c>
      <c r="FJ69" s="88">
        <f t="shared" si="27"/>
        <v>192.4042</v>
      </c>
      <c r="FK69" s="88">
        <f t="shared" si="27"/>
        <v>160.49969999999999</v>
      </c>
      <c r="FL69" s="88">
        <f t="shared" si="27"/>
        <v>305.92418333333325</v>
      </c>
      <c r="FM69" s="88">
        <f t="shared" si="27"/>
        <v>204.61134999999999</v>
      </c>
      <c r="FN69" s="88">
        <f t="shared" si="27"/>
        <v>290.56054999999998</v>
      </c>
      <c r="FO69" s="88">
        <f t="shared" si="27"/>
        <v>225.84315000000001</v>
      </c>
      <c r="FP69" s="88">
        <f t="shared" si="27"/>
        <v>86.941733333333332</v>
      </c>
      <c r="FQ69" s="88">
        <f t="shared" si="27"/>
        <v>80.738733333333329</v>
      </c>
    </row>
    <row r="70" spans="2:173" ht="16" thickBot="1" x14ac:dyDescent="0.25">
      <c r="B70" s="10" t="s">
        <v>390</v>
      </c>
      <c r="C70" s="110"/>
      <c r="D70" s="110"/>
      <c r="E70" s="11">
        <f>SUM(E64:E69)</f>
        <v>446.17905000000002</v>
      </c>
      <c r="F70" s="11">
        <f t="shared" ref="F70:AI70" si="28">SUM(F64:F69)</f>
        <v>1428.314166666667</v>
      </c>
      <c r="G70" s="11">
        <f t="shared" si="28"/>
        <v>341.99153333333334</v>
      </c>
      <c r="H70" s="11">
        <f t="shared" si="28"/>
        <v>1625.4237666666668</v>
      </c>
      <c r="I70" s="11">
        <f t="shared" si="28"/>
        <v>826.72339999999997</v>
      </c>
      <c r="J70" s="11">
        <f t="shared" si="28"/>
        <v>894.77170000000001</v>
      </c>
      <c r="K70" s="11">
        <f t="shared" si="28"/>
        <v>1874.7251000000001</v>
      </c>
      <c r="L70" s="11">
        <f t="shared" si="28"/>
        <v>930.80918333333329</v>
      </c>
      <c r="M70" s="11">
        <f t="shared" si="28"/>
        <v>1204.4666166666666</v>
      </c>
      <c r="N70" s="11">
        <f t="shared" si="28"/>
        <v>1455.9421333333332</v>
      </c>
      <c r="O70" s="11">
        <f t="shared" si="28"/>
        <v>804.21635000000003</v>
      </c>
      <c r="P70" s="11">
        <f t="shared" si="28"/>
        <v>553.67645000000005</v>
      </c>
      <c r="Q70" s="11">
        <f t="shared" si="28"/>
        <v>957.08748333333347</v>
      </c>
      <c r="R70" s="11">
        <f t="shared" si="28"/>
        <v>785.53841666666665</v>
      </c>
      <c r="S70" s="11">
        <f t="shared" si="28"/>
        <v>809.98690000000011</v>
      </c>
      <c r="T70" s="11">
        <f t="shared" si="28"/>
        <v>3463.5946333333336</v>
      </c>
      <c r="U70" s="11">
        <f t="shared" si="28"/>
        <v>981.41899999999987</v>
      </c>
      <c r="V70" s="11">
        <f t="shared" si="28"/>
        <v>288.25885000000005</v>
      </c>
      <c r="W70" s="11">
        <f t="shared" si="28"/>
        <v>667.93058333333329</v>
      </c>
      <c r="X70" s="11">
        <f t="shared" si="28"/>
        <v>379.72958333333332</v>
      </c>
      <c r="Y70" s="11">
        <f t="shared" si="28"/>
        <v>1057.3534000000002</v>
      </c>
      <c r="Z70" s="11">
        <f t="shared" si="28"/>
        <v>372.60463999999996</v>
      </c>
      <c r="AA70" s="11">
        <f t="shared" si="28"/>
        <v>1415.6478666666665</v>
      </c>
      <c r="AB70" s="11">
        <f t="shared" si="28"/>
        <v>2500.4771199999996</v>
      </c>
      <c r="AC70" s="11">
        <f t="shared" si="28"/>
        <v>653.26481666666677</v>
      </c>
      <c r="AD70" s="11">
        <f t="shared" si="28"/>
        <v>1303.5488500000001</v>
      </c>
      <c r="AE70" s="11">
        <f t="shared" si="28"/>
        <v>1357.6893</v>
      </c>
      <c r="AF70" s="11">
        <f t="shared" si="28"/>
        <v>526.40331666666668</v>
      </c>
      <c r="AG70" s="11">
        <f t="shared" si="28"/>
        <v>408.99039999999997</v>
      </c>
      <c r="AH70" s="11">
        <f t="shared" si="28"/>
        <v>211.78958333333333</v>
      </c>
      <c r="AI70" s="11">
        <f t="shared" si="28"/>
        <v>951.87031666666678</v>
      </c>
      <c r="AJ70" s="11">
        <f t="shared" ref="AJ70:CG70" si="29">SUM(AJ64:AJ69)</f>
        <v>452.93201666666658</v>
      </c>
      <c r="AK70" s="11">
        <f t="shared" si="29"/>
        <v>801.56121666666672</v>
      </c>
      <c r="AL70" s="11">
        <f t="shared" si="29"/>
        <v>1232.2756166666668</v>
      </c>
      <c r="AM70" s="11">
        <f t="shared" si="29"/>
        <v>913.74711666666644</v>
      </c>
      <c r="AN70" s="11">
        <f t="shared" si="29"/>
        <v>498.67583333333334</v>
      </c>
      <c r="AO70" s="11">
        <f t="shared" si="29"/>
        <v>953.43216666666672</v>
      </c>
      <c r="AP70" s="11">
        <f t="shared" si="29"/>
        <v>982.5545166666667</v>
      </c>
      <c r="AQ70" s="11">
        <f t="shared" si="29"/>
        <v>636.19226666666657</v>
      </c>
      <c r="AR70" s="11">
        <f t="shared" si="29"/>
        <v>386.92725000000002</v>
      </c>
      <c r="AS70" s="11">
        <f t="shared" si="29"/>
        <v>1266.9854833333331</v>
      </c>
      <c r="AT70" s="11">
        <f t="shared" si="29"/>
        <v>441.78204999999997</v>
      </c>
      <c r="AU70" s="11">
        <f t="shared" si="29"/>
        <v>2251.5005000000006</v>
      </c>
      <c r="AV70" s="11">
        <f t="shared" si="29"/>
        <v>835.22953333333328</v>
      </c>
      <c r="AW70" s="11">
        <f t="shared" si="29"/>
        <v>316.54968000000002</v>
      </c>
      <c r="AX70" s="11">
        <f t="shared" si="29"/>
        <v>574.15731999999991</v>
      </c>
      <c r="AY70" s="11">
        <f t="shared" si="29"/>
        <v>234.23265000000004</v>
      </c>
      <c r="AZ70" s="11">
        <f t="shared" si="29"/>
        <v>560.42721666666671</v>
      </c>
      <c r="BA70" s="11">
        <f t="shared" si="29"/>
        <v>1433.1492666666672</v>
      </c>
      <c r="BB70" s="11">
        <f t="shared" si="29"/>
        <v>267.68393333333336</v>
      </c>
      <c r="BC70" s="11">
        <f t="shared" si="29"/>
        <v>563.56331666666676</v>
      </c>
      <c r="BD70" s="11">
        <f t="shared" si="29"/>
        <v>400.7514833333334</v>
      </c>
      <c r="BE70" s="11">
        <f t="shared" si="29"/>
        <v>935.5377500000003</v>
      </c>
      <c r="BF70" s="11">
        <f t="shared" si="29"/>
        <v>852.48106666666661</v>
      </c>
      <c r="BG70" s="11">
        <f t="shared" si="29"/>
        <v>512.76848333333339</v>
      </c>
      <c r="BH70" s="11">
        <f t="shared" si="29"/>
        <v>892.08169999999996</v>
      </c>
      <c r="BI70" s="11">
        <f t="shared" si="29"/>
        <v>218.17169999999999</v>
      </c>
      <c r="BJ70" s="11">
        <f t="shared" si="29"/>
        <v>1204.1433999999997</v>
      </c>
      <c r="BK70" s="11">
        <f t="shared" si="29"/>
        <v>1581.4369833333335</v>
      </c>
      <c r="BL70" s="11">
        <f t="shared" si="29"/>
        <v>2668.4598166666669</v>
      </c>
      <c r="BM70" s="11">
        <f t="shared" si="29"/>
        <v>2840.0537833333342</v>
      </c>
      <c r="BN70" s="11">
        <f t="shared" si="29"/>
        <v>7281.130516666668</v>
      </c>
      <c r="BO70" s="11">
        <f t="shared" si="29"/>
        <v>4746.1157999999987</v>
      </c>
      <c r="BP70" s="11">
        <f t="shared" si="29"/>
        <v>7453.8035666666665</v>
      </c>
      <c r="BQ70" s="11">
        <f t="shared" si="29"/>
        <v>6753.263899999999</v>
      </c>
      <c r="BR70" s="11">
        <f t="shared" si="29"/>
        <v>5165.1164499999995</v>
      </c>
      <c r="BS70" s="11">
        <f t="shared" si="29"/>
        <v>1288.3209000000002</v>
      </c>
      <c r="BT70" s="11">
        <f t="shared" si="29"/>
        <v>501.11354285714287</v>
      </c>
      <c r="BU70" s="11">
        <f t="shared" si="29"/>
        <v>5002.0206666666672</v>
      </c>
      <c r="BV70" s="11">
        <f t="shared" si="29"/>
        <v>2144.8948999999998</v>
      </c>
      <c r="BW70" s="11">
        <f t="shared" si="29"/>
        <v>1136.3494666666666</v>
      </c>
      <c r="BX70" s="11">
        <f t="shared" si="29"/>
        <v>904.99826666666672</v>
      </c>
      <c r="BY70" s="11">
        <f t="shared" si="29"/>
        <v>1561.8009666666667</v>
      </c>
      <c r="BZ70" s="11">
        <f t="shared" si="29"/>
        <v>489.45530000000008</v>
      </c>
      <c r="CA70" s="11">
        <f t="shared" si="29"/>
        <v>1697.0179500000002</v>
      </c>
      <c r="CB70" s="11">
        <f t="shared" si="29"/>
        <v>744.76239999999984</v>
      </c>
      <c r="CC70" s="11">
        <f t="shared" si="29"/>
        <v>1069.0452666666665</v>
      </c>
      <c r="CD70" s="11">
        <f t="shared" si="29"/>
        <v>481.31409999999983</v>
      </c>
      <c r="CE70" s="11">
        <f t="shared" si="29"/>
        <v>978.99069999999972</v>
      </c>
      <c r="CF70" s="11">
        <f t="shared" si="29"/>
        <v>652.61198333333346</v>
      </c>
      <c r="CG70" s="11">
        <f t="shared" si="29"/>
        <v>1801.7887666666668</v>
      </c>
      <c r="CH70" s="11">
        <f t="shared" ref="CH70:ES70" si="30">SUM(CH64:CH69)</f>
        <v>375.39049999999997</v>
      </c>
      <c r="CI70" s="11">
        <f t="shared" si="30"/>
        <v>433.95665000000008</v>
      </c>
      <c r="CJ70" s="11">
        <f t="shared" si="30"/>
        <v>404.17718333333329</v>
      </c>
      <c r="CK70" s="11">
        <f t="shared" si="30"/>
        <v>1331.6418000000001</v>
      </c>
      <c r="CL70" s="11">
        <f t="shared" si="30"/>
        <v>431.50886666666668</v>
      </c>
      <c r="CM70" s="11">
        <f t="shared" si="30"/>
        <v>115.57843333333335</v>
      </c>
      <c r="CN70" s="11">
        <f t="shared" si="30"/>
        <v>260.83139999999992</v>
      </c>
      <c r="CO70" s="11">
        <f t="shared" si="30"/>
        <v>874.23861666666676</v>
      </c>
      <c r="CP70" s="11">
        <f t="shared" si="30"/>
        <v>441.33553333333339</v>
      </c>
      <c r="CQ70" s="11">
        <f t="shared" si="30"/>
        <v>589.11349999999993</v>
      </c>
      <c r="CR70" s="11">
        <f t="shared" si="30"/>
        <v>1081.3246000000004</v>
      </c>
      <c r="CS70" s="11">
        <f t="shared" si="30"/>
        <v>1271.5473499999998</v>
      </c>
      <c r="CT70" s="11">
        <f t="shared" si="30"/>
        <v>719.5625</v>
      </c>
      <c r="CU70" s="11">
        <f t="shared" si="30"/>
        <v>639.94173333333333</v>
      </c>
      <c r="CV70" s="11">
        <f t="shared" si="30"/>
        <v>842.04203333333339</v>
      </c>
      <c r="CW70" s="11">
        <f t="shared" si="30"/>
        <v>1117.301383333333</v>
      </c>
      <c r="CX70" s="11">
        <f t="shared" si="30"/>
        <v>2125.5657000000001</v>
      </c>
      <c r="CY70" s="11">
        <f t="shared" si="30"/>
        <v>700.99894999999992</v>
      </c>
      <c r="CZ70" s="11">
        <f t="shared" si="30"/>
        <v>347.73565000000008</v>
      </c>
      <c r="DA70" s="11">
        <f t="shared" si="30"/>
        <v>664.50434999999993</v>
      </c>
      <c r="DB70" s="11">
        <f t="shared" si="30"/>
        <v>292.90341666666666</v>
      </c>
      <c r="DC70" s="11">
        <f t="shared" si="30"/>
        <v>369.14075000000003</v>
      </c>
      <c r="DD70" s="11">
        <f t="shared" si="30"/>
        <v>1113.4769833333335</v>
      </c>
      <c r="DE70" s="11">
        <f t="shared" si="30"/>
        <v>757.03025000000002</v>
      </c>
      <c r="DF70" s="11">
        <f t="shared" si="30"/>
        <v>1494.6950166666661</v>
      </c>
      <c r="DG70" s="11">
        <f t="shared" si="30"/>
        <v>588.86741666666671</v>
      </c>
      <c r="DH70" s="11">
        <f t="shared" si="30"/>
        <v>338.69371666666666</v>
      </c>
      <c r="DI70" s="11">
        <f t="shared" si="30"/>
        <v>729.36956666666663</v>
      </c>
      <c r="DJ70" s="11">
        <f t="shared" si="30"/>
        <v>246.78623333333331</v>
      </c>
      <c r="DK70" s="11">
        <f t="shared" si="30"/>
        <v>1004.3170833333334</v>
      </c>
      <c r="DL70" s="11">
        <f t="shared" si="30"/>
        <v>1170.7170000000001</v>
      </c>
      <c r="DM70" s="11">
        <f t="shared" si="30"/>
        <v>911.12741666666648</v>
      </c>
      <c r="DN70" s="11">
        <f t="shared" si="30"/>
        <v>335.57523333333336</v>
      </c>
      <c r="DO70" s="11">
        <f t="shared" si="30"/>
        <v>1383.7112166666666</v>
      </c>
      <c r="DP70" s="11">
        <f t="shared" si="30"/>
        <v>1357.8825499999998</v>
      </c>
      <c r="DQ70" s="11">
        <f t="shared" si="30"/>
        <v>1806.2570000000003</v>
      </c>
      <c r="DR70" s="11">
        <f t="shared" si="30"/>
        <v>365.61313333333334</v>
      </c>
      <c r="DS70" s="11">
        <f t="shared" si="30"/>
        <v>568.5293999999999</v>
      </c>
      <c r="DT70" s="11">
        <f t="shared" si="30"/>
        <v>983.26031666666677</v>
      </c>
      <c r="DU70" s="11">
        <f t="shared" si="30"/>
        <v>551.76336666666657</v>
      </c>
      <c r="DV70" s="11">
        <f t="shared" si="30"/>
        <v>635.00136666666674</v>
      </c>
      <c r="DW70" s="11">
        <f t="shared" si="30"/>
        <v>850.50508333333323</v>
      </c>
      <c r="DX70" s="11">
        <f t="shared" si="30"/>
        <v>603.1497833333334</v>
      </c>
      <c r="DY70" s="11">
        <f t="shared" si="30"/>
        <v>779.00123333333318</v>
      </c>
      <c r="DZ70" s="11">
        <f t="shared" si="30"/>
        <v>614.2080666666667</v>
      </c>
      <c r="EA70" s="11">
        <f t="shared" si="30"/>
        <v>1060.6269499999999</v>
      </c>
      <c r="EB70" s="11">
        <f t="shared" si="30"/>
        <v>616.46084999999994</v>
      </c>
      <c r="EC70" s="11">
        <f t="shared" si="30"/>
        <v>933.30595000000017</v>
      </c>
      <c r="ED70" s="11">
        <f t="shared" si="30"/>
        <v>959.80495000000008</v>
      </c>
      <c r="EE70" s="11">
        <f t="shared" si="30"/>
        <v>275.62561666666664</v>
      </c>
      <c r="EF70" s="11">
        <f t="shared" si="30"/>
        <v>911.75646666666671</v>
      </c>
      <c r="EG70" s="11">
        <f t="shared" si="30"/>
        <v>352.64286666666663</v>
      </c>
      <c r="EH70" s="11">
        <f t="shared" si="30"/>
        <v>342.60908333333333</v>
      </c>
      <c r="EI70" s="11">
        <f t="shared" si="30"/>
        <v>399.08325000000008</v>
      </c>
      <c r="EJ70" s="11">
        <f t="shared" si="30"/>
        <v>524.61438333333319</v>
      </c>
      <c r="EK70" s="11">
        <f t="shared" si="30"/>
        <v>172.19673333333336</v>
      </c>
      <c r="EL70" s="11">
        <f t="shared" si="30"/>
        <v>783.80943333333335</v>
      </c>
      <c r="EM70" s="11">
        <f t="shared" si="30"/>
        <v>1075.0279333333331</v>
      </c>
      <c r="EN70" s="11">
        <f t="shared" si="30"/>
        <v>656.60888333333332</v>
      </c>
      <c r="EO70" s="11">
        <f t="shared" si="30"/>
        <v>613.71521666666661</v>
      </c>
      <c r="EP70" s="11">
        <f t="shared" si="30"/>
        <v>766.73143333333337</v>
      </c>
      <c r="EQ70" s="11">
        <f t="shared" si="30"/>
        <v>314.97103333333337</v>
      </c>
      <c r="ER70" s="11">
        <f t="shared" si="30"/>
        <v>558.81441666666672</v>
      </c>
      <c r="ES70" s="11">
        <f t="shared" si="30"/>
        <v>669.86933333333332</v>
      </c>
      <c r="ET70" s="11">
        <f t="shared" ref="ET70:FQ70" si="31">SUM(ET64:ET69)</f>
        <v>1008.5048833333333</v>
      </c>
      <c r="EU70" s="11">
        <f t="shared" si="31"/>
        <v>906.07999999999993</v>
      </c>
      <c r="EV70" s="11">
        <f t="shared" si="31"/>
        <v>501.67689999999999</v>
      </c>
      <c r="EW70" s="11">
        <f t="shared" si="31"/>
        <v>1262.0440500000002</v>
      </c>
      <c r="EX70" s="11">
        <f t="shared" si="31"/>
        <v>700.81016666666653</v>
      </c>
      <c r="EY70" s="11">
        <f t="shared" si="31"/>
        <v>400.83614999999998</v>
      </c>
      <c r="EZ70" s="11">
        <f t="shared" si="31"/>
        <v>2744.7187166666663</v>
      </c>
      <c r="FA70" s="11">
        <f t="shared" si="31"/>
        <v>1424.1562000000001</v>
      </c>
      <c r="FB70" s="11">
        <f t="shared" si="31"/>
        <v>866.91678333333334</v>
      </c>
      <c r="FC70" s="11">
        <f t="shared" si="31"/>
        <v>461.18368333333336</v>
      </c>
      <c r="FD70" s="11">
        <f t="shared" si="31"/>
        <v>232.66935000000001</v>
      </c>
      <c r="FE70" s="11">
        <f t="shared" si="31"/>
        <v>870.9514499999998</v>
      </c>
      <c r="FF70" s="11">
        <f t="shared" si="31"/>
        <v>498.81290000000013</v>
      </c>
      <c r="FG70" s="11">
        <f t="shared" si="31"/>
        <v>355.11778333333331</v>
      </c>
      <c r="FH70" s="11">
        <f t="shared" si="31"/>
        <v>1137.4267166666666</v>
      </c>
      <c r="FI70" s="11">
        <f t="shared" si="31"/>
        <v>415.6298833333334</v>
      </c>
      <c r="FJ70" s="11">
        <f t="shared" si="31"/>
        <v>877.0347999999999</v>
      </c>
      <c r="FK70" s="11">
        <f t="shared" si="31"/>
        <v>946.25914999999986</v>
      </c>
      <c r="FL70" s="11">
        <f t="shared" si="31"/>
        <v>1783.3132833333334</v>
      </c>
      <c r="FM70" s="11">
        <f t="shared" si="31"/>
        <v>2340.3786333333337</v>
      </c>
      <c r="FN70" s="11">
        <f t="shared" si="31"/>
        <v>1128.53415</v>
      </c>
      <c r="FO70" s="11">
        <f t="shared" si="31"/>
        <v>857.70376666666652</v>
      </c>
      <c r="FP70" s="11">
        <f t="shared" si="31"/>
        <v>541.3154833333333</v>
      </c>
      <c r="FQ70" s="11">
        <f t="shared" si="31"/>
        <v>399.32630000000006</v>
      </c>
    </row>
    <row r="71" spans="2:173" x14ac:dyDescent="0.2">
      <c r="B71" s="3"/>
      <c r="E71" s="3"/>
      <c r="F71" s="3"/>
      <c r="G71" s="3"/>
      <c r="H71" s="3"/>
      <c r="I71" s="3"/>
      <c r="J71" s="3"/>
    </row>
    <row r="72" spans="2:173" x14ac:dyDescent="0.2">
      <c r="E72" s="91"/>
      <c r="F72" s="3"/>
      <c r="G72" s="3"/>
      <c r="H72" s="3"/>
      <c r="I72" s="3"/>
      <c r="J72" s="3"/>
    </row>
    <row r="73" spans="2:173" x14ac:dyDescent="0.2">
      <c r="B73" s="3"/>
      <c r="E73" s="3"/>
      <c r="F73" s="3"/>
      <c r="G73" s="3"/>
      <c r="H73" s="3"/>
      <c r="I73" s="3"/>
      <c r="J73" s="3"/>
    </row>
    <row r="74" spans="2:173" x14ac:dyDescent="0.2">
      <c r="E74" s="92"/>
    </row>
  </sheetData>
  <mergeCells count="6">
    <mergeCell ref="A43:A44"/>
    <mergeCell ref="A9:A17"/>
    <mergeCell ref="B1:J1"/>
    <mergeCell ref="A52:A60"/>
    <mergeCell ref="A46:A50"/>
    <mergeCell ref="A21:A41"/>
  </mergeCells>
  <phoneticPr fontId="36" type="noConversion"/>
  <dataValidations count="2">
    <dataValidation type="list" allowBlank="1" showInputMessage="1" showErrorMessage="1" sqref="E4" xr:uid="{00000000-0002-0000-0000-000000000000}">
      <formula1>"Fluid, Tissue, Cells"</formula1>
    </dataValidation>
    <dataValidation type="list" allowBlank="1" showInputMessage="1" showErrorMessage="1" sqref="E5" xr:uid="{00000000-0002-0000-0000-000001000000}">
      <formula1>"Weight, Volume, Protein, Million"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3A12-7BBC-6642-B080-8D218BF57B18}">
  <dimension ref="A1:FN18"/>
  <sheetViews>
    <sheetView workbookViewId="0">
      <selection activeCell="A13" sqref="A13:XFD13"/>
    </sheetView>
  </sheetViews>
  <sheetFormatPr baseColWidth="10" defaultColWidth="19" defaultRowHeight="15" x14ac:dyDescent="0.2"/>
  <cols>
    <col min="1" max="1" width="38" style="15" bestFit="1" customWidth="1"/>
    <col min="2" max="2" width="35.5" style="15" bestFit="1" customWidth="1"/>
    <col min="3" max="3" width="33.1640625" style="15" bestFit="1" customWidth="1"/>
    <col min="4" max="4" width="38.6640625" style="15" bestFit="1" customWidth="1"/>
    <col min="5" max="6" width="39.33203125" style="15" bestFit="1" customWidth="1"/>
    <col min="7" max="7" width="35" style="15" bestFit="1" customWidth="1"/>
    <col min="8" max="8" width="40.33203125" style="15" bestFit="1" customWidth="1"/>
    <col min="9" max="9" width="40" style="15" bestFit="1" customWidth="1"/>
    <col min="10" max="10" width="35.5" style="15" bestFit="1" customWidth="1"/>
    <col min="11" max="11" width="33.1640625" style="15" bestFit="1" customWidth="1"/>
    <col min="12" max="12" width="24.5" style="15" bestFit="1" customWidth="1"/>
    <col min="13" max="13" width="32.83203125" style="15" bestFit="1" customWidth="1"/>
    <col min="14" max="15" width="35.5" style="15" bestFit="1" customWidth="1"/>
    <col min="16" max="16" width="35" style="15" bestFit="1" customWidth="1"/>
    <col min="17" max="17" width="35.5" style="15" bestFit="1" customWidth="1"/>
    <col min="18" max="18" width="33.1640625" style="15" bestFit="1" customWidth="1"/>
    <col min="19" max="19" width="40.33203125" style="15" bestFit="1" customWidth="1"/>
    <col min="20" max="20" width="35.5" style="15" bestFit="1" customWidth="1"/>
    <col min="21" max="21" width="14.33203125" style="15" bestFit="1" customWidth="1"/>
    <col min="22" max="22" width="13.83203125" style="15" bestFit="1" customWidth="1"/>
    <col min="23" max="31" width="14.33203125" style="15" bestFit="1" customWidth="1"/>
    <col min="32" max="32" width="13.83203125" style="15" bestFit="1" customWidth="1"/>
    <col min="33" max="16384" width="19" style="15"/>
  </cols>
  <sheetData>
    <row r="1" spans="1:170" ht="16" thickBot="1" x14ac:dyDescent="0.25">
      <c r="A1" s="5" t="s">
        <v>783</v>
      </c>
      <c r="B1" s="6" t="str">
        <f>'Raw Datas'!C1</f>
        <v>KT-312D10</v>
      </c>
      <c r="C1" s="6" t="str">
        <f>'Raw Datas'!D1</f>
        <v>BS-364D0</v>
      </c>
      <c r="D1" s="6" t="str">
        <f>'Raw Datas'!E1</f>
        <v>KT-412D60</v>
      </c>
      <c r="E1" s="6" t="str">
        <f>'Raw Datas'!F1</f>
        <v>KT-974D03</v>
      </c>
      <c r="F1" s="6" t="str">
        <f>'Raw Datas'!G1</f>
        <v>JV-138D0</v>
      </c>
      <c r="G1" s="6" t="str">
        <f>'Raw Datas'!H1</f>
        <v>BS-671D03</v>
      </c>
      <c r="H1" s="6" t="str">
        <f>'Raw Datas'!I1</f>
        <v>KT-723D10</v>
      </c>
      <c r="I1" s="6" t="str">
        <f>'Raw Datas'!J1</f>
        <v>KT-705D60</v>
      </c>
      <c r="J1" s="6" t="str">
        <f>'Raw Datas'!K1</f>
        <v>KT-434D03</v>
      </c>
      <c r="K1" s="6" t="str">
        <f>'Raw Datas'!L1</f>
        <v>BS-082D60</v>
      </c>
      <c r="L1" s="6" t="str">
        <f>'Raw Datas'!M1</f>
        <v>BS-064D0</v>
      </c>
      <c r="M1" s="6" t="str">
        <f>'Raw Datas'!N1</f>
        <v>BS-336D10</v>
      </c>
      <c r="N1" s="6" t="str">
        <f>'Raw Datas'!O1</f>
        <v>KT-723D60</v>
      </c>
      <c r="O1" s="6" t="str">
        <f>'Raw Datas'!P1</f>
        <v>KT-612D10</v>
      </c>
      <c r="P1" s="6" t="str">
        <f>'Raw Datas'!Q1</f>
        <v>KT-705D03</v>
      </c>
      <c r="Q1" s="6" t="str">
        <f>'Raw Datas'!R1</f>
        <v>JV-157D0</v>
      </c>
      <c r="R1" s="6" t="str">
        <f>'Raw Datas'!S1</f>
        <v>JV-148D60</v>
      </c>
      <c r="S1" s="6" t="str">
        <f>'Raw Datas'!T1</f>
        <v>KT-663D0</v>
      </c>
      <c r="T1" s="6" t="str">
        <f>'Raw Datas'!U1</f>
        <v>BS-346D03</v>
      </c>
      <c r="U1" s="6" t="str">
        <f>'Raw Datas'!V1</f>
        <v>JV-048D10</v>
      </c>
      <c r="V1" s="6" t="str">
        <f>'Raw Datas'!W1</f>
        <v>BS-351D0</v>
      </c>
      <c r="W1" s="6" t="str">
        <f>'Raw Datas'!X1</f>
        <v>JV-148D10</v>
      </c>
      <c r="X1" s="6" t="str">
        <f>'Raw Datas'!Y1</f>
        <v>KT-929D60</v>
      </c>
      <c r="Y1" s="6" t="str">
        <f>'Raw Datas'!Z1</f>
        <v>BS-336D03</v>
      </c>
      <c r="Z1" s="6" t="str">
        <f>'Raw Datas'!AA1</f>
        <v>KT-771D10</v>
      </c>
      <c r="AA1" s="6" t="str">
        <f>'Raw Datas'!AB1</f>
        <v>KT-695D03</v>
      </c>
      <c r="AB1" s="6" t="str">
        <f>'Raw Datas'!AC1</f>
        <v>KT-612D0</v>
      </c>
      <c r="AC1" s="6" t="str">
        <f>'Raw Datas'!AD1</f>
        <v>KT-312D60</v>
      </c>
      <c r="AD1" s="6" t="str">
        <f>'Raw Datas'!AE1</f>
        <v>KT-927D03</v>
      </c>
      <c r="AE1" s="6" t="str">
        <f>'Raw Datas'!AF1</f>
        <v>JV-071D60</v>
      </c>
      <c r="AF1" s="6" t="str">
        <f>'Raw Datas'!AG1</f>
        <v>KT-193D10</v>
      </c>
      <c r="AG1" s="6" t="str">
        <f>'Raw Datas'!AH1</f>
        <v>KT-247D0</v>
      </c>
      <c r="AH1" s="6" t="str">
        <f>'Raw Datas'!AI1</f>
        <v>BS-064D03</v>
      </c>
      <c r="AI1" s="6" t="str">
        <f>'Raw Datas'!AJ1</f>
        <v>KT-537D60</v>
      </c>
      <c r="AJ1" s="6" t="str">
        <f>'Raw Datas'!AK1</f>
        <v>BS-377D0</v>
      </c>
      <c r="AK1" s="6" t="str">
        <f>'Raw Datas'!AL1</f>
        <v>KT-347D10</v>
      </c>
      <c r="AL1" s="6" t="str">
        <f>'Raw Datas'!AM1</f>
        <v>JV-138D60</v>
      </c>
      <c r="AM1" s="6" t="str">
        <f>'Raw Datas'!AN1</f>
        <v>JV-138D10</v>
      </c>
      <c r="AN1" s="6" t="str">
        <f>'Raw Datas'!AO1</f>
        <v>KT-247D03</v>
      </c>
      <c r="AO1" s="6" t="str">
        <f>'Raw Datas'!AP1</f>
        <v>KT-718D0</v>
      </c>
      <c r="AP1" s="6" t="str">
        <f>'Raw Datas'!AQ1</f>
        <v>BS-082D10</v>
      </c>
      <c r="AQ1" s="6" t="str">
        <f>'Raw Datas'!AR1</f>
        <v>KT-445D0</v>
      </c>
      <c r="AR1" s="6" t="str">
        <f>'Raw Datas'!AS1</f>
        <v>KT-716D60</v>
      </c>
      <c r="AS1" s="6" t="str">
        <f>'Raw Datas'!AT1</f>
        <v>KT-347D03</v>
      </c>
      <c r="AT1" s="6" t="str">
        <f>'Raw Datas'!AU1</f>
        <v>KT-805D0</v>
      </c>
      <c r="AU1" s="6" t="str">
        <f>'Raw Datas'!AV1</f>
        <v>BS-351D03</v>
      </c>
      <c r="AV1" s="6" t="str">
        <f>'Raw Datas'!AW1</f>
        <v>KT-538D10</v>
      </c>
      <c r="AW1" s="6" t="str">
        <f>'Raw Datas'!AX1</f>
        <v>JV-035D60</v>
      </c>
      <c r="AX1" s="6" t="str">
        <f>'Raw Datas'!AY1</f>
        <v>KT-718D03</v>
      </c>
      <c r="AY1" s="6" t="str">
        <f>'Raw Datas'!AZ1</f>
        <v>KT-723D0</v>
      </c>
      <c r="AZ1" s="6" t="str">
        <f>'Raw Datas'!BA1</f>
        <v>KT-515D10</v>
      </c>
      <c r="BA1" s="6" t="str">
        <f>'Raw Datas'!BB1</f>
        <v>KT-412D03</v>
      </c>
      <c r="BB1" s="6" t="str">
        <f>'Raw Datas'!BC1</f>
        <v>KT-313D10</v>
      </c>
      <c r="BC1" s="6" t="str">
        <f>'Raw Datas'!BD1</f>
        <v>BS-377D60</v>
      </c>
      <c r="BD1" s="6" t="str">
        <f>'Raw Datas'!BE1</f>
        <v>KT-417D0</v>
      </c>
      <c r="BE1" s="6" t="str">
        <f>'Raw Datas'!BF1</f>
        <v>KT-412D10</v>
      </c>
      <c r="BF1" s="6" t="str">
        <f>'Raw Datas'!BG1</f>
        <v>KT-515D0</v>
      </c>
      <c r="BG1" s="6" t="str">
        <f>'Raw Datas'!BH1</f>
        <v>JV-148D03</v>
      </c>
      <c r="BH1" s="6" t="str">
        <f>'Raw Datas'!BI1</f>
        <v>KT-313D0</v>
      </c>
      <c r="BI1" s="6" t="str">
        <f>'Raw Datas'!BJ1</f>
        <v>KT-445D60</v>
      </c>
      <c r="BJ1" s="6" t="str">
        <f>'Raw Datas'!BK1</f>
        <v>KT-434D10</v>
      </c>
      <c r="BK1" s="6" t="str">
        <f>'Raw Datas'!BL1</f>
        <v>BS-082D03</v>
      </c>
      <c r="BL1" s="6" t="str">
        <f>'Raw Datas'!BM1</f>
        <v>KT-880D03</v>
      </c>
      <c r="BM1" s="6" t="str">
        <f>'Raw Datas'!BN1</f>
        <v>KT-247D60</v>
      </c>
      <c r="BN1" s="6" t="str">
        <f>'Raw Datas'!BO1</f>
        <v>KT-705D10</v>
      </c>
      <c r="BO1" s="6" t="str">
        <f>'Raw Datas'!BP1</f>
        <v>BS-082D0</v>
      </c>
      <c r="BP1" s="6" t="str">
        <f>'Raw Datas'!BQ1</f>
        <v>JV-157D60</v>
      </c>
      <c r="BQ1" s="6" t="str">
        <f>'Raw Datas'!BR1</f>
        <v>KT-312D0</v>
      </c>
      <c r="BR1" s="6" t="str">
        <f>'Raw Datas'!BS1</f>
        <v>KT-445D03</v>
      </c>
      <c r="BS1" s="6" t="str">
        <f>'Raw Datas'!BT1</f>
        <v>BS-377D10</v>
      </c>
      <c r="BT1" s="6" t="str">
        <f>'Raw Datas'!BU1</f>
        <v>KT-695D0</v>
      </c>
      <c r="BU1" s="6" t="str">
        <f>'Raw Datas'!BV1</f>
        <v>BS-351D10</v>
      </c>
      <c r="BV1" s="6" t="str">
        <f>'Raw Datas'!BW1</f>
        <v>KT-417D60</v>
      </c>
      <c r="BW1" s="6" t="str">
        <f>'Raw Datas'!BX1</f>
        <v>JV-138D03</v>
      </c>
      <c r="BX1" s="6" t="str">
        <f>'Raw Datas'!BY1</f>
        <v>KT-805D10</v>
      </c>
      <c r="BY1" s="6" t="str">
        <f>'Raw Datas'!BZ1</f>
        <v>JV-048D03</v>
      </c>
      <c r="BZ1" s="6" t="str">
        <f>'Raw Datas'!CA1</f>
        <v>KT-705D0</v>
      </c>
      <c r="CA1" s="6" t="str">
        <f>'Raw Datas'!CB1</f>
        <v>BS-671D60</v>
      </c>
      <c r="CB1" s="6" t="str">
        <f>'Raw Datas'!CC1</f>
        <v>JV-157D03</v>
      </c>
      <c r="CC1" s="6" t="str">
        <f>'Raw Datas'!CD1</f>
        <v>KT-974D0</v>
      </c>
      <c r="CD1" s="6" t="str">
        <f>'Raw Datas'!CE1</f>
        <v>BS-364D60</v>
      </c>
      <c r="CE1" s="6" t="str">
        <f>'Raw Datas'!CF1</f>
        <v>KT-716D10</v>
      </c>
      <c r="CF1" s="6" t="str">
        <f>'Raw Datas'!CG1</f>
        <v>KT-538D0</v>
      </c>
      <c r="CG1" s="6" t="str">
        <f>'Raw Datas'!CH1</f>
        <v>KT-718D10</v>
      </c>
      <c r="CH1" s="6" t="str">
        <f>'Raw Datas'!CI1</f>
        <v>KT-538D03</v>
      </c>
      <c r="CI1" s="6" t="str">
        <f>'Raw Datas'!CJ1</f>
        <v>KT-805D60</v>
      </c>
      <c r="CJ1" s="6" t="str">
        <f>'Raw Datas'!CK1</f>
        <v>KT-612D60</v>
      </c>
      <c r="CK1" s="6" t="str">
        <f>'Raw Datas'!CL1</f>
        <v>KT-926D0</v>
      </c>
      <c r="CL1" s="6" t="str">
        <f>'Raw Datas'!CM1</f>
        <v>KT-193D03</v>
      </c>
      <c r="CM1" s="6" t="str">
        <f>'Raw Datas'!CN1</f>
        <v>KT-663D60</v>
      </c>
      <c r="CN1" s="6" t="str">
        <f>'Raw Datas'!CO1</f>
        <v>KT-352D03</v>
      </c>
      <c r="CO1" s="6" t="str">
        <f>'Raw Datas'!CP1</f>
        <v>KT-537D10</v>
      </c>
      <c r="CP1" s="6" t="str">
        <f>'Raw Datas'!CQ1</f>
        <v>JV-035D0</v>
      </c>
      <c r="CQ1" s="6" t="str">
        <f>'Raw Datas'!CR1</f>
        <v>KT-522D60</v>
      </c>
      <c r="CR1" s="6" t="str">
        <f>'Raw Datas'!CS1</f>
        <v>KT-352D10</v>
      </c>
      <c r="CS1" s="6" t="str">
        <f>'Raw Datas'!CT1</f>
        <v>KT-716D03</v>
      </c>
      <c r="CT1" s="6" t="str">
        <f>'Raw Datas'!CU1</f>
        <v>KT-716D0</v>
      </c>
      <c r="CU1" s="6" t="str">
        <f>'Raw Datas'!CV1</f>
        <v>BS-346D10</v>
      </c>
      <c r="CV1" s="6" t="str">
        <f>'Raw Datas'!CW1</f>
        <v>KT-347D0</v>
      </c>
      <c r="CW1" s="6" t="str">
        <f>'Raw Datas'!CX1</f>
        <v>BS-336D60</v>
      </c>
      <c r="CX1" s="6" t="str">
        <f>'Raw Datas'!CY1</f>
        <v>KT-515D03</v>
      </c>
      <c r="CY1" s="6" t="str">
        <f>'Raw Datas'!CZ1</f>
        <v>KT-352D0</v>
      </c>
      <c r="CZ1" s="6" t="str">
        <f>'Raw Datas'!DA1</f>
        <v>KT-771D03</v>
      </c>
      <c r="DA1" s="6" t="str">
        <f>'Raw Datas'!DB1</f>
        <v>BS-364D10</v>
      </c>
      <c r="DB1" s="6" t="str">
        <f>'Raw Datas'!DC1</f>
        <v>BS-064D60</v>
      </c>
      <c r="DC1" s="6" t="str">
        <f>'Raw Datas'!DD1</f>
        <v>KT-723D03</v>
      </c>
      <c r="DD1" s="6" t="str">
        <f>'Raw Datas'!DE1</f>
        <v>KT-538D60</v>
      </c>
      <c r="DE1" s="6" t="str">
        <f>'Raw Datas'!DF1</f>
        <v>KT-193D0</v>
      </c>
      <c r="DF1" s="6" t="str">
        <f>'Raw Datas'!DG1</f>
        <v>KT-445D10</v>
      </c>
      <c r="DG1" s="6" t="str">
        <f>'Raw Datas'!DH1</f>
        <v>KT-771D0</v>
      </c>
      <c r="DH1" s="6" t="str">
        <f>'Raw Datas'!DI1</f>
        <v>KT-247D10</v>
      </c>
      <c r="DI1" s="6" t="str">
        <f>'Raw Datas'!DJ1</f>
        <v>KT-515D60</v>
      </c>
      <c r="DJ1" s="6" t="str">
        <f>'Raw Datas'!DK1</f>
        <v>JV-071D03</v>
      </c>
      <c r="DK1" s="6" t="str">
        <f>'Raw Datas'!DL1</f>
        <v>KT-525D10</v>
      </c>
      <c r="DL1" s="6" t="str">
        <f>'Raw Datas'!DM1</f>
        <v>KT-522D03</v>
      </c>
      <c r="DM1" s="6" t="str">
        <f>'Raw Datas'!DN1</f>
        <v>KT-525D0</v>
      </c>
      <c r="DN1" s="6" t="str">
        <f>'Raw Datas'!DO1</f>
        <v>BS-346D60</v>
      </c>
      <c r="DO1" s="6" t="str">
        <f>'Raw Datas'!DP1</f>
        <v>KT-525D03</v>
      </c>
      <c r="DP1" s="6" t="str">
        <f>'Raw Datas'!DQ1</f>
        <v>KT-771D60</v>
      </c>
      <c r="DQ1" s="6" t="str">
        <f>'Raw Datas'!DR1</f>
        <v>KT-417D10</v>
      </c>
      <c r="DR1" s="6" t="str">
        <f>'Raw Datas'!DS1</f>
        <v>JV-048D0</v>
      </c>
      <c r="DS1" s="6" t="str">
        <f>'Raw Datas'!DT1</f>
        <v>KT-539D60</v>
      </c>
      <c r="DT1" s="6" t="str">
        <f>'Raw Datas'!DU1</f>
        <v>KT-880D0</v>
      </c>
      <c r="DU1" s="6" t="str">
        <f>'Raw Datas'!DV1</f>
        <v>KT-805D03</v>
      </c>
      <c r="DV1" s="6" t="str">
        <f>'Raw Datas'!DW1</f>
        <v>KT-565D10</v>
      </c>
      <c r="DW1" s="6" t="str">
        <f>'Raw Datas'!DX1</f>
        <v>BS-351D60</v>
      </c>
      <c r="DX1" s="6" t="str">
        <f>'Raw Datas'!DY1</f>
        <v>KT-663D03</v>
      </c>
      <c r="DY1" s="6" t="str">
        <f>'Raw Datas'!DZ1</f>
        <v>KT-695D10</v>
      </c>
      <c r="DZ1" s="6" t="str">
        <f>'Raw Datas'!EA1</f>
        <v>KT-539D0</v>
      </c>
      <c r="EA1" s="6" t="str">
        <f>'Raw Datas'!EB1</f>
        <v>KT-539D03</v>
      </c>
      <c r="EB1" s="6" t="str">
        <f>'Raw Datas'!EC1</f>
        <v>BS-671D0</v>
      </c>
      <c r="EC1" s="6" t="str">
        <f>'Raw Datas'!ED1</f>
        <v>KT-313D60</v>
      </c>
      <c r="ED1" s="6" t="str">
        <f>'Raw Datas'!EE1</f>
        <v>BS-064D10</v>
      </c>
      <c r="EE1" s="6" t="str">
        <f>'Raw Datas'!EF1</f>
        <v>BS-346D0</v>
      </c>
      <c r="EF1" s="6" t="str">
        <f>'Raw Datas'!EG1</f>
        <v>KT-522D10</v>
      </c>
      <c r="EG1" s="6" t="str">
        <f>'Raw Datas'!EH1</f>
        <v>KT-565D03</v>
      </c>
      <c r="EH1" s="6" t="str">
        <f>'Raw Datas'!EI1</f>
        <v>KT-695D60</v>
      </c>
      <c r="EI1" s="6" t="str">
        <f>'Raw Datas'!EJ1</f>
        <v>KT-928D10</v>
      </c>
      <c r="EJ1" s="6" t="str">
        <f>'Raw Datas'!EK1</f>
        <v>KT-347D60</v>
      </c>
      <c r="EK1" s="6" t="str">
        <f>'Raw Datas'!EL1</f>
        <v>KT-522D0</v>
      </c>
      <c r="EL1" s="6" t="str">
        <f>'Raw Datas'!EM1</f>
        <v>BS-364D03</v>
      </c>
      <c r="EM1" s="6" t="str">
        <f>'Raw Datas'!EN1</f>
        <v>KT-352D60</v>
      </c>
      <c r="EN1" s="6" t="str">
        <f>'Raw Datas'!EO1</f>
        <v>JV-157D10</v>
      </c>
      <c r="EO1" s="6" t="str">
        <f>'Raw Datas'!EP1</f>
        <v>KT-565D0</v>
      </c>
      <c r="EP1" s="6" t="str">
        <f>'Raw Datas'!EQ1</f>
        <v>KT-612D03</v>
      </c>
      <c r="EQ1" s="6" t="str">
        <f>'Raw Datas'!ER1</f>
        <v>KT-974D10</v>
      </c>
      <c r="ER1" s="6" t="str">
        <f>'Raw Datas'!ES1</f>
        <v>KT-537D03</v>
      </c>
      <c r="ES1" s="6" t="str">
        <f>'Raw Datas'!ET1</f>
        <v>KT-718D60</v>
      </c>
      <c r="ET1" s="6" t="str">
        <f>'Raw Datas'!EU1</f>
        <v>JV-071D0</v>
      </c>
      <c r="EU1" s="6" t="str">
        <f>'Raw Datas'!EV1</f>
        <v>KT-312D03</v>
      </c>
      <c r="EV1" s="6" t="str">
        <f>'Raw Datas'!EW1</f>
        <v>BS-336D0</v>
      </c>
      <c r="EW1" s="6" t="str">
        <f>'Raw Datas'!EX1</f>
        <v>KT-880D10</v>
      </c>
      <c r="EX1" s="6" t="str">
        <f>'Raw Datas'!EY1</f>
        <v>KT-193D60</v>
      </c>
      <c r="EY1" s="6" t="str">
        <f>'Raw Datas'!EZ1</f>
        <v>JV-148D0</v>
      </c>
      <c r="EZ1" s="6" t="str">
        <f>'Raw Datas'!FA1</f>
        <v>KT-434D60</v>
      </c>
      <c r="FA1" s="6" t="str">
        <f>'Raw Datas'!FB1</f>
        <v>KT-417D03</v>
      </c>
      <c r="FB1" s="6" t="str">
        <f>'Raw Datas'!FC1</f>
        <v>KT-663D10</v>
      </c>
      <c r="FC1" s="6" t="str">
        <f>'Raw Datas'!FD1</f>
        <v>KT-525D60</v>
      </c>
      <c r="FD1" s="6" t="str">
        <f>'Raw Datas'!FE1</f>
        <v>KT-539D10</v>
      </c>
      <c r="FE1" s="6" t="str">
        <f>'Raw Datas'!FF1</f>
        <v>KT-537D0</v>
      </c>
      <c r="FF1" s="6" t="str">
        <f>'Raw Datas'!FG1</f>
        <v>KT-313D03</v>
      </c>
      <c r="FG1" s="6" t="str">
        <f>'Raw Datas'!FH1</f>
        <v>JV-035D10</v>
      </c>
      <c r="FH1" s="6" t="str">
        <f>'Raw Datas'!FI1</f>
        <v>BS-377D03</v>
      </c>
      <c r="FI1" s="6" t="str">
        <f>'Raw Datas'!FJ1</f>
        <v>KT-880D60</v>
      </c>
      <c r="FJ1" s="6" t="str">
        <f>'Raw Datas'!FK1</f>
        <v>KT-434D0</v>
      </c>
      <c r="FK1" s="6" t="str">
        <f>'Raw Datas'!FL1</f>
        <v>JV-035D03</v>
      </c>
      <c r="FL1" s="6" t="str">
        <f>'Raw Datas'!FM1</f>
        <v>KT-412D0</v>
      </c>
      <c r="FM1" s="6" t="str">
        <f>'Raw Datas'!FN1</f>
        <v>BS-671D10</v>
      </c>
      <c r="FN1" s="6" t="str">
        <f>'Raw Datas'!FO1</f>
        <v>KT-974D60</v>
      </c>
    </row>
    <row r="2" spans="1:170" ht="15.75" customHeight="1" x14ac:dyDescent="0.2">
      <c r="A2" s="107" t="s">
        <v>773</v>
      </c>
      <c r="B2" s="59">
        <f>'Raw Datas'!C56</f>
        <v>14.865283333333332</v>
      </c>
      <c r="C2" s="59">
        <f>'Raw Datas'!D56</f>
        <v>21.497566666666668</v>
      </c>
      <c r="D2" s="59">
        <f>'Raw Datas'!E56</f>
        <v>10.846900000000002</v>
      </c>
      <c r="E2" s="59">
        <f>'Raw Datas'!F56</f>
        <v>89.558500000000009</v>
      </c>
      <c r="F2" s="59">
        <f>'Raw Datas'!G56</f>
        <v>35.857650000000007</v>
      </c>
      <c r="G2" s="59">
        <f>'Raw Datas'!H56</f>
        <v>27.483216666666671</v>
      </c>
      <c r="H2" s="59">
        <f>'Raw Datas'!I56</f>
        <v>14.128983333333334</v>
      </c>
      <c r="I2" s="59">
        <f>'Raw Datas'!J56</f>
        <v>7.4184000000000001</v>
      </c>
      <c r="J2" s="59">
        <f>'Raw Datas'!K56</f>
        <v>28.676300000000001</v>
      </c>
      <c r="K2" s="59">
        <f>'Raw Datas'!L56</f>
        <v>70.185199999999995</v>
      </c>
      <c r="L2" s="59">
        <f>'Raw Datas'!M56</f>
        <v>11.494316666666668</v>
      </c>
      <c r="M2" s="59">
        <f>'Raw Datas'!N56</f>
        <v>34.034333333333329</v>
      </c>
      <c r="N2" s="59">
        <f>'Raw Datas'!O56</f>
        <v>22.904800000000002</v>
      </c>
      <c r="O2" s="59">
        <f>'Raw Datas'!P56</f>
        <v>45.295016666666669</v>
      </c>
      <c r="P2" s="59">
        <f>'Raw Datas'!Q56</f>
        <v>80.797899999999998</v>
      </c>
      <c r="Q2" s="59">
        <f>'Raw Datas'!R56</f>
        <v>396.45018333333337</v>
      </c>
      <c r="R2" s="59">
        <f>'Raw Datas'!S56</f>
        <v>34.563733333333332</v>
      </c>
      <c r="S2" s="59">
        <f>'Raw Datas'!T56</f>
        <v>18.438033333333337</v>
      </c>
      <c r="T2" s="59">
        <f>'Raw Datas'!U56</f>
        <v>26.82225</v>
      </c>
      <c r="U2" s="59">
        <f>'Raw Datas'!V56</f>
        <v>21.271933333333333</v>
      </c>
      <c r="V2" s="59">
        <f>'Raw Datas'!W56</f>
        <v>56.125828571428571</v>
      </c>
      <c r="W2" s="59">
        <f>'Raw Datas'!X56</f>
        <v>46.872640000000004</v>
      </c>
      <c r="X2" s="59">
        <f>'Raw Datas'!Y56</f>
        <v>25.615300000000001</v>
      </c>
      <c r="Y2" s="59">
        <f>'Raw Datas'!Z56</f>
        <v>395.94661999999994</v>
      </c>
      <c r="Z2" s="59">
        <f>'Raw Datas'!AA56</f>
        <v>21.365116666666665</v>
      </c>
      <c r="AA2" s="59">
        <f>'Raw Datas'!AB56</f>
        <v>25.239183333333337</v>
      </c>
      <c r="AB2" s="59">
        <f>'Raw Datas'!AC56</f>
        <v>17.645566666666664</v>
      </c>
      <c r="AC2" s="59">
        <f>'Raw Datas'!AD56</f>
        <v>19.137549999999997</v>
      </c>
      <c r="AD2" s="59">
        <f>'Raw Datas'!AE56</f>
        <v>11.294483333333336</v>
      </c>
      <c r="AE2" s="59">
        <f>'Raw Datas'!AF56</f>
        <v>30.486666666666665</v>
      </c>
      <c r="AF2" s="59">
        <f>'Raw Datas'!AG56</f>
        <v>104.03021666666667</v>
      </c>
      <c r="AG2" s="59">
        <f>'Raw Datas'!AH56</f>
        <v>22.337499999999999</v>
      </c>
      <c r="AH2" s="59">
        <f>'Raw Datas'!AI56</f>
        <v>89.397950000000009</v>
      </c>
      <c r="AI2" s="59">
        <f>'Raw Datas'!AJ56</f>
        <v>38.191083333333339</v>
      </c>
      <c r="AJ2" s="59">
        <f>'Raw Datas'!AK56</f>
        <v>16.308899999999998</v>
      </c>
      <c r="AK2" s="59">
        <f>'Raw Datas'!AL56</f>
        <v>42.715366666666661</v>
      </c>
      <c r="AL2" s="59">
        <f>'Raw Datas'!AM56</f>
        <v>116.79686666666666</v>
      </c>
      <c r="AM2" s="59">
        <f>'Raw Datas'!AN56</f>
        <v>27.011733333333336</v>
      </c>
      <c r="AN2" s="59">
        <f>'Raw Datas'!AO56</f>
        <v>8.4545666666666666</v>
      </c>
      <c r="AO2" s="59">
        <f>'Raw Datas'!AP56</f>
        <v>32.305950000000003</v>
      </c>
      <c r="AP2" s="59">
        <f>'Raw Datas'!AQ56</f>
        <v>78.800916666666666</v>
      </c>
      <c r="AQ2" s="59">
        <f>'Raw Datas'!AR56</f>
        <v>12.216316666666668</v>
      </c>
      <c r="AR2" s="59">
        <f>'Raw Datas'!AS56</f>
        <v>123.50891666666666</v>
      </c>
      <c r="AS2" s="59">
        <f>'Raw Datas'!AT56</f>
        <v>83.946950000000001</v>
      </c>
      <c r="AT2" s="59">
        <f>'Raw Datas'!AU56</f>
        <v>9.0578000000000003</v>
      </c>
      <c r="AU2" s="59">
        <f>'Raw Datas'!AV56</f>
        <v>9.9452800000000003</v>
      </c>
      <c r="AV2" s="59">
        <f>'Raw Datas'!AW56</f>
        <v>11.460850000000001</v>
      </c>
      <c r="AW2" s="59">
        <f>'Raw Datas'!AX56</f>
        <v>16.784683333333334</v>
      </c>
      <c r="AX2" s="59">
        <f>'Raw Datas'!AY56</f>
        <v>21.6768</v>
      </c>
      <c r="AY2" s="59">
        <f>'Raw Datas'!AZ56</f>
        <v>6.5119666666666669</v>
      </c>
      <c r="AZ2" s="59">
        <f>'Raw Datas'!BA56</f>
        <v>23.429283333333334</v>
      </c>
      <c r="BA2" s="59">
        <f>'Raw Datas'!BB56</f>
        <v>14.116066666666665</v>
      </c>
      <c r="BB2" s="59">
        <f>'Raw Datas'!BC56</f>
        <v>11.718250000000001</v>
      </c>
      <c r="BC2" s="59">
        <f>'Raw Datas'!BD56</f>
        <v>18.022550000000003</v>
      </c>
      <c r="BD2" s="59">
        <f>'Raw Datas'!BE56</f>
        <v>24.628049999999998</v>
      </c>
      <c r="BE2" s="59">
        <f>'Raw Datas'!BF56</f>
        <v>114.56484999999999</v>
      </c>
      <c r="BF2" s="59">
        <f>'Raw Datas'!BG56</f>
        <v>6.3579833333333333</v>
      </c>
      <c r="BG2" s="59">
        <f>'Raw Datas'!BH56</f>
        <v>96.28179999999999</v>
      </c>
      <c r="BH2" s="59">
        <f>'Raw Datas'!BI56</f>
        <v>229.18998333333332</v>
      </c>
      <c r="BI2" s="59">
        <f>'Raw Datas'!BJ56</f>
        <v>304.71876666666668</v>
      </c>
      <c r="BJ2" s="59">
        <f>'Raw Datas'!BK56</f>
        <v>59.238799999999998</v>
      </c>
      <c r="BK2" s="59">
        <f>'Raw Datas'!BL56</f>
        <v>1486.8453666666669</v>
      </c>
      <c r="BL2" s="59">
        <f>'Raw Datas'!BM56</f>
        <v>1132.426057142857</v>
      </c>
      <c r="BM2" s="59">
        <f>'Raw Datas'!BN56</f>
        <v>1140.9824166666667</v>
      </c>
      <c r="BN2" s="59">
        <f>'Raw Datas'!BO56</f>
        <v>1626.6825333333331</v>
      </c>
      <c r="BO2" s="59">
        <f>'Raw Datas'!BP56</f>
        <v>863.48431666666659</v>
      </c>
      <c r="BP2" s="59">
        <f>'Raw Datas'!BQ56</f>
        <v>84.513350000000003</v>
      </c>
      <c r="BQ2" s="59">
        <f>'Raw Datas'!BR56</f>
        <v>29.096800000000002</v>
      </c>
      <c r="BR2" s="59">
        <f>'Raw Datas'!BS56</f>
        <v>910.37908333333337</v>
      </c>
      <c r="BS2" s="59">
        <f>'Raw Datas'!BT56</f>
        <v>303.77690000000001</v>
      </c>
      <c r="BT2" s="59">
        <f>'Raw Datas'!BU56</f>
        <v>150.93463333333332</v>
      </c>
      <c r="BU2" s="59">
        <f>'Raw Datas'!BV56</f>
        <v>129.56854999999999</v>
      </c>
      <c r="BV2" s="59">
        <f>'Raw Datas'!BW56</f>
        <v>71.605833333333337</v>
      </c>
      <c r="BW2" s="59">
        <f>'Raw Datas'!BX56</f>
        <v>15.8028</v>
      </c>
      <c r="BX2" s="59">
        <f>'Raw Datas'!BY56</f>
        <v>136.51528333333331</v>
      </c>
      <c r="BY2" s="59">
        <f>'Raw Datas'!BZ56</f>
        <v>81.480566666666661</v>
      </c>
      <c r="BZ2" s="59">
        <f>'Raw Datas'!CA56</f>
        <v>93.669699999999992</v>
      </c>
      <c r="CA2" s="59">
        <f>'Raw Datas'!CB56</f>
        <v>27.8492</v>
      </c>
      <c r="CB2" s="59">
        <f>'Raw Datas'!CC56</f>
        <v>25.058383333333335</v>
      </c>
      <c r="CC2" s="59">
        <f>'Raw Datas'!CD56</f>
        <v>25.914033333333332</v>
      </c>
      <c r="CD2" s="59">
        <f>'Raw Datas'!CE56</f>
        <v>196.77831666666668</v>
      </c>
      <c r="CE2" s="59">
        <f>'Raw Datas'!CF56</f>
        <v>15.764766666666667</v>
      </c>
      <c r="CF2" s="59">
        <f>'Raw Datas'!CG56</f>
        <v>34.763550000000002</v>
      </c>
      <c r="CG2" s="59">
        <f>'Raw Datas'!CH56</f>
        <v>25.924166666666665</v>
      </c>
      <c r="CH2" s="59">
        <f>'Raw Datas'!CI56</f>
        <v>74.220966666666669</v>
      </c>
      <c r="CI2" s="59">
        <f>'Raw Datas'!CJ56</f>
        <v>16.62971111111111</v>
      </c>
      <c r="CJ2" s="59">
        <f>'Raw Datas'!CK56</f>
        <v>21.617383333333333</v>
      </c>
      <c r="CK2" s="59">
        <f>'Raw Datas'!CL56</f>
        <v>42.224883333333331</v>
      </c>
      <c r="CL2" s="59">
        <f>'Raw Datas'!CM56</f>
        <v>20.078116666666666</v>
      </c>
      <c r="CM2" s="59">
        <f>'Raw Datas'!CN56</f>
        <v>16.228383333333333</v>
      </c>
      <c r="CN2" s="59">
        <f>'Raw Datas'!CO56</f>
        <v>11.099649999999999</v>
      </c>
      <c r="CO2" s="59">
        <f>'Raw Datas'!CP56</f>
        <v>41.323583333333332</v>
      </c>
      <c r="CP2" s="59">
        <f>'Raw Datas'!CQ56</f>
        <v>41.992650000000005</v>
      </c>
      <c r="CQ2" s="59">
        <f>'Raw Datas'!CR56</f>
        <v>62.700900000000004</v>
      </c>
      <c r="CR2" s="59">
        <f>'Raw Datas'!CS56</f>
        <v>11.305250000000001</v>
      </c>
      <c r="CS2" s="59">
        <f>'Raw Datas'!CT56</f>
        <v>47.366216666666666</v>
      </c>
      <c r="CT2" s="59">
        <f>'Raw Datas'!CU56</f>
        <v>26.661999999999999</v>
      </c>
      <c r="CU2" s="59">
        <f>'Raw Datas'!CV56</f>
        <v>11.234433333333333</v>
      </c>
      <c r="CV2" s="59">
        <f>'Raw Datas'!CW56</f>
        <v>33.1417</v>
      </c>
      <c r="CW2" s="59">
        <f>'Raw Datas'!CX56</f>
        <v>21.887383333333332</v>
      </c>
      <c r="CX2" s="59">
        <f>'Raw Datas'!CY56</f>
        <v>13.703983333333333</v>
      </c>
      <c r="CY2" s="59">
        <f>'Raw Datas'!CZ56</f>
        <v>6.3587666666666669</v>
      </c>
      <c r="CZ2" s="59">
        <f>'Raw Datas'!DA56</f>
        <v>10.002916666666666</v>
      </c>
      <c r="DA2" s="59">
        <f>'Raw Datas'!DB56</f>
        <v>37.912033333333326</v>
      </c>
      <c r="DB2" s="59">
        <f>'Raw Datas'!DC56</f>
        <v>30.905633333333334</v>
      </c>
      <c r="DC2" s="59">
        <f>'Raw Datas'!DD56</f>
        <v>21.333183333333334</v>
      </c>
      <c r="DD2" s="59">
        <f>'Raw Datas'!DE56</f>
        <v>21.579216666666671</v>
      </c>
      <c r="DE2" s="59">
        <f>'Raw Datas'!DF56</f>
        <v>41.023816666666669</v>
      </c>
      <c r="DF2" s="59">
        <f>'Raw Datas'!DG56</f>
        <v>56.222833333333334</v>
      </c>
      <c r="DG2" s="59">
        <f>'Raw Datas'!DH56</f>
        <v>6.1019000000000005</v>
      </c>
      <c r="DH2" s="59">
        <f>'Raw Datas'!DI56</f>
        <v>26.572166666666664</v>
      </c>
      <c r="DI2" s="59">
        <f>'Raw Datas'!DJ56</f>
        <v>120.48031666666665</v>
      </c>
      <c r="DJ2" s="59">
        <f>'Raw Datas'!DK56</f>
        <v>131.62139999999999</v>
      </c>
      <c r="DK2" s="59">
        <f>'Raw Datas'!DL56</f>
        <v>11.968566666666668</v>
      </c>
      <c r="DL2" s="59">
        <f>'Raw Datas'!DM56</f>
        <v>28.135816666666663</v>
      </c>
      <c r="DM2" s="59">
        <f>'Raw Datas'!DN56</f>
        <v>71.202950000000001</v>
      </c>
      <c r="DN2" s="59">
        <f>'Raw Datas'!DO56</f>
        <v>32.987216666666669</v>
      </c>
      <c r="DO2" s="59">
        <f>'Raw Datas'!DP56</f>
        <v>20.902916666666666</v>
      </c>
      <c r="DP2" s="59">
        <f>'Raw Datas'!DQ56</f>
        <v>37.483183333333336</v>
      </c>
      <c r="DQ2" s="59">
        <f>'Raw Datas'!DR56</f>
        <v>16.916266666666669</v>
      </c>
      <c r="DR2" s="59">
        <f>'Raw Datas'!DS56</f>
        <v>14.760483333333333</v>
      </c>
      <c r="DS2" s="59">
        <f>'Raw Datas'!DT56</f>
        <v>9.5843500000000006</v>
      </c>
      <c r="DT2" s="59">
        <f>'Raw Datas'!DU56</f>
        <v>116.49933333333334</v>
      </c>
      <c r="DU2" s="59">
        <f>'Raw Datas'!DV56</f>
        <v>17.027649999999998</v>
      </c>
      <c r="DV2" s="59">
        <f>'Raw Datas'!DW56</f>
        <v>33.684683333333332</v>
      </c>
      <c r="DW2" s="59">
        <f>'Raw Datas'!DX56</f>
        <v>10.787983333333333</v>
      </c>
      <c r="DX2" s="59">
        <f>'Raw Datas'!DY56</f>
        <v>22.036016666666669</v>
      </c>
      <c r="DY2" s="59">
        <f>'Raw Datas'!DZ56</f>
        <v>33.660716666666666</v>
      </c>
      <c r="DZ2" s="59">
        <f>'Raw Datas'!EA56</f>
        <v>17.972233333333335</v>
      </c>
      <c r="EA2" s="59">
        <f>'Raw Datas'!EB56</f>
        <v>33.116566666666664</v>
      </c>
      <c r="EB2" s="59">
        <f>'Raw Datas'!EC56</f>
        <v>23.196133333333329</v>
      </c>
      <c r="EC2" s="59">
        <f>'Raw Datas'!ED56</f>
        <v>21.019816666666664</v>
      </c>
      <c r="ED2" s="59">
        <f>'Raw Datas'!EE56</f>
        <v>8.6994666666666678</v>
      </c>
      <c r="EE2" s="59">
        <f>'Raw Datas'!EF56</f>
        <v>40.523616666666662</v>
      </c>
      <c r="EF2" s="59">
        <f>'Raw Datas'!EG56</f>
        <v>34.283683333333336</v>
      </c>
      <c r="EG2" s="59">
        <f>'Raw Datas'!EH56</f>
        <v>25.457333333333334</v>
      </c>
      <c r="EH2" s="59">
        <f>'Raw Datas'!EI56</f>
        <v>7.0682166666666673</v>
      </c>
      <c r="EI2" s="59">
        <f>'Raw Datas'!EJ56</f>
        <v>34.569316666666666</v>
      </c>
      <c r="EJ2" s="59">
        <f>'Raw Datas'!EK56</f>
        <v>30.847766666666665</v>
      </c>
      <c r="EK2" s="59">
        <f>'Raw Datas'!EL56</f>
        <v>27.351849999999999</v>
      </c>
      <c r="EL2" s="59">
        <f>'Raw Datas'!EM56</f>
        <v>69.274900000000017</v>
      </c>
      <c r="EM2" s="59">
        <f>'Raw Datas'!EN56</f>
        <v>56.327850000000005</v>
      </c>
      <c r="EN2" s="59">
        <f>'Raw Datas'!EO56</f>
        <v>43.206949999999999</v>
      </c>
      <c r="EO2" s="59">
        <f>'Raw Datas'!EP56</f>
        <v>49.832250000000002</v>
      </c>
      <c r="EP2" s="59">
        <f>'Raw Datas'!EQ56</f>
        <v>11.9724</v>
      </c>
      <c r="EQ2" s="59">
        <f>'Raw Datas'!ER56</f>
        <v>11.114266666666667</v>
      </c>
      <c r="ER2" s="59">
        <f>'Raw Datas'!ES56</f>
        <v>18.962150000000001</v>
      </c>
      <c r="ES2" s="59">
        <f>'Raw Datas'!ET56</f>
        <v>23.692833333333336</v>
      </c>
      <c r="ET2" s="59">
        <f>'Raw Datas'!EU56</f>
        <v>24.650683333333333</v>
      </c>
      <c r="EU2" s="59">
        <f>'Raw Datas'!EV56</f>
        <v>27.849350000000001</v>
      </c>
      <c r="EV2" s="59">
        <f>'Raw Datas'!EW56</f>
        <v>25.537166666666668</v>
      </c>
      <c r="EW2" s="59">
        <f>'Raw Datas'!EX56</f>
        <v>19.308466666666668</v>
      </c>
      <c r="EX2" s="59">
        <f>'Raw Datas'!EY56</f>
        <v>58.787416666666665</v>
      </c>
      <c r="EY2" s="59">
        <f>'Raw Datas'!EZ56</f>
        <v>40.742133333333328</v>
      </c>
      <c r="EZ2" s="59">
        <f>'Raw Datas'!FA56</f>
        <v>11.570666666666666</v>
      </c>
      <c r="FA2" s="59">
        <f>'Raw Datas'!FB56</f>
        <v>14.673166666666667</v>
      </c>
      <c r="FB2" s="59">
        <f>'Raw Datas'!FC56</f>
        <v>36.874483333333337</v>
      </c>
      <c r="FC2" s="59">
        <f>'Raw Datas'!FD56</f>
        <v>13.128133333333333</v>
      </c>
      <c r="FD2" s="59">
        <f>'Raw Datas'!FE56</f>
        <v>15.932416666666665</v>
      </c>
      <c r="FE2" s="59">
        <f>'Raw Datas'!FF56</f>
        <v>22.163550000000001</v>
      </c>
      <c r="FF2" s="59">
        <f>'Raw Datas'!FG56</f>
        <v>10.877283333333333</v>
      </c>
      <c r="FG2" s="59">
        <f>'Raw Datas'!FH56</f>
        <v>23.70065</v>
      </c>
      <c r="FH2" s="59">
        <f>'Raw Datas'!FI56</f>
        <v>39.977683333333331</v>
      </c>
      <c r="FI2" s="59">
        <f>'Raw Datas'!FJ56</f>
        <v>30.411150000000003</v>
      </c>
      <c r="FJ2" s="59">
        <f>'Raw Datas'!FK56</f>
        <v>13.210949999999999</v>
      </c>
      <c r="FK2" s="59">
        <f>'Raw Datas'!FL56</f>
        <v>20.56165</v>
      </c>
      <c r="FL2" s="59">
        <f>'Raw Datas'!FM56</f>
        <v>13.65385</v>
      </c>
      <c r="FM2" s="59">
        <f>'Raw Datas'!FN56</f>
        <v>13.947750000000001</v>
      </c>
      <c r="FN2" s="59">
        <f>'Raw Datas'!FO56</f>
        <v>17.897416666666668</v>
      </c>
    </row>
    <row r="3" spans="1:170" ht="15" customHeight="1" x14ac:dyDescent="0.2">
      <c r="A3" s="112" t="s">
        <v>774</v>
      </c>
      <c r="B3" s="60">
        <f>'Raw Datas'!C59</f>
        <v>1.97035</v>
      </c>
      <c r="C3" s="60">
        <f>'Raw Datas'!D59</f>
        <v>2.8201000000000005</v>
      </c>
      <c r="D3" s="60">
        <f>'Raw Datas'!E59</f>
        <v>4.6212333333333335</v>
      </c>
      <c r="E3" s="60">
        <f>'Raw Datas'!F59</f>
        <v>13.86495</v>
      </c>
      <c r="F3" s="60">
        <f>'Raw Datas'!G59</f>
        <v>2.5101666666666671</v>
      </c>
      <c r="G3" s="60">
        <f>'Raw Datas'!H59</f>
        <v>0.59873333333333334</v>
      </c>
      <c r="H3" s="60">
        <f>'Raw Datas'!I59</f>
        <v>2.7499333333333333</v>
      </c>
      <c r="I3" s="60">
        <f>'Raw Datas'!J59</f>
        <v>1.2010333333333334</v>
      </c>
      <c r="J3" s="60">
        <f>'Raw Datas'!K59</f>
        <v>2.399866666666667</v>
      </c>
      <c r="K3" s="60">
        <f>'Raw Datas'!L59</f>
        <v>4.1738833333333334</v>
      </c>
      <c r="L3" s="60">
        <f>'Raw Datas'!M59</f>
        <v>2.9720333333333335</v>
      </c>
      <c r="M3" s="60">
        <f>'Raw Datas'!N59</f>
        <v>0.62801666666666667</v>
      </c>
      <c r="N3" s="60">
        <f>'Raw Datas'!O59</f>
        <v>2.2531666666666665</v>
      </c>
      <c r="O3" s="60">
        <f>'Raw Datas'!P59</f>
        <v>3.1404333333333336</v>
      </c>
      <c r="P3" s="60">
        <f>'Raw Datas'!Q59</f>
        <v>23.216133333333332</v>
      </c>
      <c r="Q3" s="60">
        <f>'Raw Datas'!R59</f>
        <v>11.742133333333333</v>
      </c>
      <c r="R3" s="60">
        <f>'Raw Datas'!S59</f>
        <v>5.239116666666666</v>
      </c>
      <c r="S3" s="60">
        <f>'Raw Datas'!T59</f>
        <v>2.6868499999999997</v>
      </c>
      <c r="T3" s="60">
        <f>'Raw Datas'!U59</f>
        <v>3.6566333333333336</v>
      </c>
      <c r="U3" s="60">
        <f>'Raw Datas'!V59</f>
        <v>10.1729</v>
      </c>
      <c r="V3" s="60">
        <f>'Raw Datas'!W59</f>
        <v>3.3265428571428566</v>
      </c>
      <c r="W3" s="60">
        <f>'Raw Datas'!X59</f>
        <v>0.87312000000000001</v>
      </c>
      <c r="X3" s="60">
        <f>'Raw Datas'!Y59</f>
        <v>3.5385</v>
      </c>
      <c r="Y3" s="60">
        <f>'Raw Datas'!Z59</f>
        <v>5.6610799999999992</v>
      </c>
      <c r="Z3" s="60">
        <f>'Raw Datas'!AA59</f>
        <v>2.2273333333333336</v>
      </c>
      <c r="AA3" s="60">
        <f>'Raw Datas'!AB59</f>
        <v>2.1396666666666664</v>
      </c>
      <c r="AB3" s="60">
        <f>'Raw Datas'!AC59</f>
        <v>1.8446999999999998</v>
      </c>
      <c r="AC3" s="60">
        <f>'Raw Datas'!AD59</f>
        <v>3.1956666666666669</v>
      </c>
      <c r="AD3" s="60">
        <f>'Raw Datas'!AE59</f>
        <v>1.7353666666666667</v>
      </c>
      <c r="AE3" s="60">
        <f>'Raw Datas'!AF59</f>
        <v>0.95716666666666683</v>
      </c>
      <c r="AF3" s="60">
        <f>'Raw Datas'!AG59</f>
        <v>3.7167999999999997</v>
      </c>
      <c r="AG3" s="60">
        <f>'Raw Datas'!AH59</f>
        <v>8.7478333333333342</v>
      </c>
      <c r="AH3" s="60">
        <f>'Raw Datas'!AI59</f>
        <v>1.6728166666666666</v>
      </c>
      <c r="AI3" s="60">
        <f>'Raw Datas'!AJ59</f>
        <v>4.9473000000000003</v>
      </c>
      <c r="AJ3" s="60">
        <f>'Raw Datas'!AK59</f>
        <v>2.9336000000000002</v>
      </c>
      <c r="AK3" s="60">
        <f>'Raw Datas'!AL59</f>
        <v>4.8443666666666667</v>
      </c>
      <c r="AL3" s="60">
        <f>'Raw Datas'!AM59</f>
        <v>2.7741500000000001</v>
      </c>
      <c r="AM3" s="60">
        <f>'Raw Datas'!AN59</f>
        <v>2.6827166666666664</v>
      </c>
      <c r="AN3" s="60">
        <f>'Raw Datas'!AO59</f>
        <v>6.6607166666666675</v>
      </c>
      <c r="AO3" s="60">
        <f>'Raw Datas'!AP59</f>
        <v>2.6439333333333335</v>
      </c>
      <c r="AP3" s="60">
        <f>'Raw Datas'!AQ59</f>
        <v>40.076116666666664</v>
      </c>
      <c r="AQ3" s="60">
        <f>'Raw Datas'!AR59</f>
        <v>1.1377166666666667</v>
      </c>
      <c r="AR3" s="60">
        <f>'Raw Datas'!AS59</f>
        <v>1.2701833333333332</v>
      </c>
      <c r="AS3" s="60">
        <f>'Raw Datas'!AT59</f>
        <v>1.0575666666666665</v>
      </c>
      <c r="AT3" s="60">
        <f>'Raw Datas'!AU59</f>
        <v>1.7927600000000001</v>
      </c>
      <c r="AU3" s="60">
        <f>'Raw Datas'!AV59</f>
        <v>4.3552400000000002</v>
      </c>
      <c r="AV3" s="60">
        <f>'Raw Datas'!AW59</f>
        <v>1.1713833333333334</v>
      </c>
      <c r="AW3" s="60">
        <f>'Raw Datas'!AX59</f>
        <v>1.3413499999999998</v>
      </c>
      <c r="AX3" s="60">
        <f>'Raw Datas'!AY59</f>
        <v>3.4016833333333332</v>
      </c>
      <c r="AY3" s="60">
        <f>'Raw Datas'!AZ59</f>
        <v>2.2772833333333335</v>
      </c>
      <c r="AZ3" s="60">
        <f>'Raw Datas'!BA59</f>
        <v>2.067333333333333</v>
      </c>
      <c r="BA3" s="60">
        <f>'Raw Datas'!BB59</f>
        <v>3.4213833333333334</v>
      </c>
      <c r="BB3" s="60">
        <f>'Raw Datas'!BC59</f>
        <v>6.9767833333333336</v>
      </c>
      <c r="BC3" s="60">
        <f>'Raw Datas'!BD59</f>
        <v>1.6849833333333331</v>
      </c>
      <c r="BD3" s="60">
        <f>'Raw Datas'!BE59</f>
        <v>1.2938666666666667</v>
      </c>
      <c r="BE3" s="60">
        <f>'Raw Datas'!BF59</f>
        <v>4.6411666666666669</v>
      </c>
      <c r="BF3" s="60">
        <f>'Raw Datas'!BG59</f>
        <v>5.4310499999999999</v>
      </c>
      <c r="BG3" s="60">
        <f>'Raw Datas'!BH59</f>
        <v>3.0496666666666665</v>
      </c>
      <c r="BH3" s="60">
        <f>'Raw Datas'!BI59</f>
        <v>2.1193333333333331</v>
      </c>
      <c r="BI3" s="60">
        <f>'Raw Datas'!BJ59</f>
        <v>4.3571666666666671</v>
      </c>
      <c r="BJ3" s="60">
        <f>'Raw Datas'!BK59</f>
        <v>11.925750000000001</v>
      </c>
      <c r="BK3" s="60">
        <f>'Raw Datas'!BL59</f>
        <v>2.6804666666666663</v>
      </c>
      <c r="BL3" s="60">
        <f>'Raw Datas'!BM59</f>
        <v>1.0063142857142857</v>
      </c>
      <c r="BM3" s="60">
        <f>'Raw Datas'!BN59</f>
        <v>1.5087999999999999</v>
      </c>
      <c r="BN3" s="60">
        <f>'Raw Datas'!BO59</f>
        <v>21.210883333333335</v>
      </c>
      <c r="BO3" s="60">
        <f>'Raw Datas'!BP59</f>
        <v>2.96915</v>
      </c>
      <c r="BP3" s="60">
        <f>'Raw Datas'!BQ59</f>
        <v>3.1626833333333333</v>
      </c>
      <c r="BQ3" s="60">
        <f>'Raw Datas'!BR59</f>
        <v>4.2713142857142863</v>
      </c>
      <c r="BR3" s="60">
        <f>'Raw Datas'!BS59</f>
        <v>0.86849999999999994</v>
      </c>
      <c r="BS3" s="60">
        <f>'Raw Datas'!BT59</f>
        <v>2.4814166666666666</v>
      </c>
      <c r="BT3" s="60">
        <f>'Raw Datas'!BU59</f>
        <v>2.8624500000000004</v>
      </c>
      <c r="BU3" s="60">
        <f>'Raw Datas'!BV59</f>
        <v>1.5097500000000001</v>
      </c>
      <c r="BV3" s="60">
        <f>'Raw Datas'!BW59</f>
        <v>16.837466666666668</v>
      </c>
      <c r="BW3" s="60">
        <f>'Raw Datas'!BX59</f>
        <v>8.883933333333335</v>
      </c>
      <c r="BX3" s="60">
        <f>'Raw Datas'!BY59</f>
        <v>1.5223666666666666</v>
      </c>
      <c r="BY3" s="60">
        <f>'Raw Datas'!BZ59</f>
        <v>1.5619500000000002</v>
      </c>
      <c r="BZ3" s="60">
        <f>'Raw Datas'!CA59</f>
        <v>2.0450333333333335</v>
      </c>
      <c r="CA3" s="60">
        <f>'Raw Datas'!CB59</f>
        <v>1.5419666666666667</v>
      </c>
      <c r="CB3" s="60">
        <f>'Raw Datas'!CC59</f>
        <v>3.2395666666666667</v>
      </c>
      <c r="CC3" s="60">
        <f>'Raw Datas'!CD59</f>
        <v>2.1869999999999998</v>
      </c>
      <c r="CD3" s="60">
        <f>'Raw Datas'!CE59</f>
        <v>7.6256999999999993</v>
      </c>
      <c r="CE3" s="60">
        <f>'Raw Datas'!CF59</f>
        <v>1.7934166666666667</v>
      </c>
      <c r="CF3" s="60">
        <f>'Raw Datas'!CG59</f>
        <v>5.6175499999999996</v>
      </c>
      <c r="CG3" s="60">
        <f>'Raw Datas'!CH59</f>
        <v>9.4741999999999997</v>
      </c>
      <c r="CH3" s="60">
        <f>'Raw Datas'!CI59</f>
        <v>4.4940666666666669</v>
      </c>
      <c r="CI3" s="60">
        <f>'Raw Datas'!CJ59</f>
        <v>2.8744444444444444</v>
      </c>
      <c r="CJ3" s="60">
        <f>'Raw Datas'!CK59</f>
        <v>1.2020333333333333</v>
      </c>
      <c r="CK3" s="60">
        <f>'Raw Datas'!CL59</f>
        <v>3.1870333333333329</v>
      </c>
      <c r="CL3" s="60">
        <f>'Raw Datas'!CM59</f>
        <v>5.3676499999999994</v>
      </c>
      <c r="CM3" s="60">
        <f>'Raw Datas'!CN59</f>
        <v>5.4428333333333319</v>
      </c>
      <c r="CN3" s="60">
        <f>'Raw Datas'!CO59</f>
        <v>1.4317500000000001</v>
      </c>
      <c r="CO3" s="60">
        <f>'Raw Datas'!CP59</f>
        <v>3.9306166666666664</v>
      </c>
      <c r="CP3" s="60">
        <f>'Raw Datas'!CQ59</f>
        <v>8.4843999999999991</v>
      </c>
      <c r="CQ3" s="60">
        <f>'Raw Datas'!CR59</f>
        <v>5.9641000000000002</v>
      </c>
      <c r="CR3" s="60">
        <f>'Raw Datas'!CS59</f>
        <v>2.5257833333333335</v>
      </c>
      <c r="CS3" s="60">
        <f>'Raw Datas'!CT59</f>
        <v>2.6032333333333337</v>
      </c>
      <c r="CT3" s="60">
        <f>'Raw Datas'!CU59</f>
        <v>2.8224</v>
      </c>
      <c r="CU3" s="60">
        <f>'Raw Datas'!CV59</f>
        <v>3.4681833333333336</v>
      </c>
      <c r="CV3" s="60">
        <f>'Raw Datas'!CW59</f>
        <v>2.9177999999999997</v>
      </c>
      <c r="CW3" s="60">
        <f>'Raw Datas'!CX59</f>
        <v>7.8216166666666664</v>
      </c>
      <c r="CX3" s="60">
        <f>'Raw Datas'!CY59</f>
        <v>2.5720499999999999</v>
      </c>
      <c r="CY3" s="60">
        <f>'Raw Datas'!CZ59</f>
        <v>1.3804333333333334</v>
      </c>
      <c r="CZ3" s="60">
        <f>'Raw Datas'!DA59</f>
        <v>2.8023333333333329</v>
      </c>
      <c r="DA3" s="60">
        <f>'Raw Datas'!DB59</f>
        <v>1.24535</v>
      </c>
      <c r="DB3" s="60">
        <f>'Raw Datas'!DC59</f>
        <v>2.4250166666666666</v>
      </c>
      <c r="DC3" s="60">
        <f>'Raw Datas'!DD59</f>
        <v>1.2470833333333333</v>
      </c>
      <c r="DD3" s="60">
        <f>'Raw Datas'!DE59</f>
        <v>9.9307499999999997</v>
      </c>
      <c r="DE3" s="60">
        <f>'Raw Datas'!DF59</f>
        <v>0.58029999999999993</v>
      </c>
      <c r="DF3" s="60">
        <f>'Raw Datas'!DG59</f>
        <v>4.4380166666666669</v>
      </c>
      <c r="DG3" s="60">
        <f>'Raw Datas'!DH59</f>
        <v>1.08175</v>
      </c>
      <c r="DH3" s="60">
        <f>'Raw Datas'!DI59</f>
        <v>5.1071000000000009</v>
      </c>
      <c r="DI3" s="60">
        <f>'Raw Datas'!DJ59</f>
        <v>6.0272000000000014</v>
      </c>
      <c r="DJ3" s="60">
        <f>'Raw Datas'!DK59</f>
        <v>12.824083333333334</v>
      </c>
      <c r="DK3" s="60">
        <f>'Raw Datas'!DL59</f>
        <v>1.4985333333333333</v>
      </c>
      <c r="DL3" s="60">
        <f>'Raw Datas'!DM59</f>
        <v>3.4078666666666662</v>
      </c>
      <c r="DM3" s="60">
        <f>'Raw Datas'!DN59</f>
        <v>2.39845</v>
      </c>
      <c r="DN3" s="60">
        <f>'Raw Datas'!DO59</f>
        <v>1.5858833333333331</v>
      </c>
      <c r="DO3" s="60">
        <f>'Raw Datas'!DP59</f>
        <v>6.3333666666666666</v>
      </c>
      <c r="DP3" s="60">
        <f>'Raw Datas'!DQ59</f>
        <v>1.8768833333333332</v>
      </c>
      <c r="DQ3" s="60">
        <f>'Raw Datas'!DR59</f>
        <v>1.5706166666666665</v>
      </c>
      <c r="DR3" s="60">
        <f>'Raw Datas'!DS59</f>
        <v>6.801333333333333</v>
      </c>
      <c r="DS3" s="60">
        <f>'Raw Datas'!DT59</f>
        <v>3.396733333333334</v>
      </c>
      <c r="DT3" s="60">
        <f>'Raw Datas'!DU59</f>
        <v>0.85051666666666681</v>
      </c>
      <c r="DU3" s="60">
        <f>'Raw Datas'!DV59</f>
        <v>3.6794166666666666</v>
      </c>
      <c r="DV3" s="60">
        <f>'Raw Datas'!DW59</f>
        <v>4.4001333333333328</v>
      </c>
      <c r="DW3" s="60">
        <f>'Raw Datas'!DX59</f>
        <v>5.9020166666666674</v>
      </c>
      <c r="DX3" s="60">
        <f>'Raw Datas'!DY59</f>
        <v>6.3194333333333343</v>
      </c>
      <c r="DY3" s="60">
        <f>'Raw Datas'!DZ59</f>
        <v>2.2854999999999999</v>
      </c>
      <c r="DZ3" s="60">
        <f>'Raw Datas'!EA59</f>
        <v>2.7411999999999996</v>
      </c>
      <c r="EA3" s="60">
        <f>'Raw Datas'!EB59</f>
        <v>2.5364500000000003</v>
      </c>
      <c r="EB3" s="60">
        <f>'Raw Datas'!EC59</f>
        <v>1.4846333333333335</v>
      </c>
      <c r="EC3" s="60">
        <f>'Raw Datas'!ED59</f>
        <v>5.9529500000000004</v>
      </c>
      <c r="ED3" s="60">
        <f>'Raw Datas'!EE59</f>
        <v>1.5850833333333334</v>
      </c>
      <c r="EE3" s="60">
        <f>'Raw Datas'!EF59</f>
        <v>2.1828166666666666</v>
      </c>
      <c r="EF3" s="60">
        <f>'Raw Datas'!EG59</f>
        <v>5.4764166666666663</v>
      </c>
      <c r="EG3" s="60">
        <f>'Raw Datas'!EH59</f>
        <v>1.4197500000000001</v>
      </c>
      <c r="EH3" s="60">
        <f>'Raw Datas'!EI59</f>
        <v>2.8735166666666667</v>
      </c>
      <c r="EI3" s="60">
        <f>'Raw Datas'!EJ59</f>
        <v>8.8518500000000007</v>
      </c>
      <c r="EJ3" s="60">
        <f>'Raw Datas'!EK59</f>
        <v>1.1879166666666667</v>
      </c>
      <c r="EK3" s="60">
        <f>'Raw Datas'!EL59</f>
        <v>4.2345333333333333</v>
      </c>
      <c r="EL3" s="60">
        <f>'Raw Datas'!EM59</f>
        <v>11.6495</v>
      </c>
      <c r="EM3" s="60">
        <f>'Raw Datas'!EN59</f>
        <v>1.3208666666666669</v>
      </c>
      <c r="EN3" s="60">
        <f>'Raw Datas'!EO59</f>
        <v>1.0029166666666667</v>
      </c>
      <c r="EO3" s="60">
        <f>'Raw Datas'!EP59</f>
        <v>13.047750000000001</v>
      </c>
      <c r="EP3" s="60">
        <f>'Raw Datas'!EQ59</f>
        <v>2.1847666666666665</v>
      </c>
      <c r="EQ3" s="60">
        <f>'Raw Datas'!ER59</f>
        <v>2.0962999999999998</v>
      </c>
      <c r="ER3" s="60">
        <f>'Raw Datas'!ES59</f>
        <v>1.5288833333333331</v>
      </c>
      <c r="ES3" s="60">
        <f>'Raw Datas'!ET59</f>
        <v>2.3033000000000001</v>
      </c>
      <c r="ET3" s="60">
        <f>'Raw Datas'!EU59</f>
        <v>3.3482333333333334</v>
      </c>
      <c r="EU3" s="60">
        <f>'Raw Datas'!EV59</f>
        <v>2.3097833333333337</v>
      </c>
      <c r="EV3" s="60">
        <f>'Raw Datas'!EW59</f>
        <v>5.0117333333333338</v>
      </c>
      <c r="EW3" s="60">
        <f>'Raw Datas'!EX59</f>
        <v>3.0217999999999998</v>
      </c>
      <c r="EX3" s="60">
        <f>'Raw Datas'!EY59</f>
        <v>33.411216666666668</v>
      </c>
      <c r="EY3" s="60">
        <f>'Raw Datas'!EZ59</f>
        <v>2.6934833333333335</v>
      </c>
      <c r="EZ3" s="60">
        <f>'Raw Datas'!FA59</f>
        <v>0.69899999999999995</v>
      </c>
      <c r="FA3" s="60">
        <f>'Raw Datas'!FB59</f>
        <v>2.4685833333333336</v>
      </c>
      <c r="FB3" s="60">
        <f>'Raw Datas'!FC59</f>
        <v>3.354916666666667</v>
      </c>
      <c r="FC3" s="60">
        <f>'Raw Datas'!FD59</f>
        <v>1.9660166666666663</v>
      </c>
      <c r="FD3" s="60">
        <f>'Raw Datas'!FE59</f>
        <v>1.6273000000000002</v>
      </c>
      <c r="FE3" s="60">
        <f>'Raw Datas'!FF59</f>
        <v>5.2726999999999995</v>
      </c>
      <c r="FF3" s="60">
        <f>'Raw Datas'!FG59</f>
        <v>1.5317499999999999</v>
      </c>
      <c r="FG3" s="60">
        <f>'Raw Datas'!FH59</f>
        <v>3.21455</v>
      </c>
      <c r="FH3" s="60">
        <f>'Raw Datas'!FI59</f>
        <v>0.7060833333333334</v>
      </c>
      <c r="FI3" s="60">
        <f>'Raw Datas'!FJ59</f>
        <v>4.1467166666666664</v>
      </c>
      <c r="FJ3" s="60">
        <f>'Raw Datas'!FK59</f>
        <v>11.880800000000001</v>
      </c>
      <c r="FK3" s="60">
        <f>'Raw Datas'!FL59</f>
        <v>4.4038500000000003</v>
      </c>
      <c r="FL3" s="60">
        <f>'Raw Datas'!FM59</f>
        <v>7.9403333333333332</v>
      </c>
      <c r="FM3" s="60">
        <f>'Raw Datas'!FN59</f>
        <v>7.0061333333333335</v>
      </c>
      <c r="FN3" s="60">
        <f>'Raw Datas'!FO59</f>
        <v>1.6691166666666666</v>
      </c>
    </row>
    <row r="4" spans="1:170" ht="15" customHeight="1" x14ac:dyDescent="0.2">
      <c r="A4" s="104" t="s">
        <v>775</v>
      </c>
      <c r="B4" s="60">
        <f>'Raw Datas'!C61</f>
        <v>1.7366166666666667</v>
      </c>
      <c r="C4" s="60">
        <f>'Raw Datas'!D61</f>
        <v>0.71836666666666671</v>
      </c>
      <c r="D4" s="60" t="str">
        <f>'Raw Datas'!E61</f>
        <v>0</v>
      </c>
      <c r="E4" s="60">
        <f>'Raw Datas'!F61</f>
        <v>6.3590499999999999</v>
      </c>
      <c r="F4" s="60">
        <f>'Raw Datas'!G61</f>
        <v>0.56305000000000005</v>
      </c>
      <c r="G4" s="60">
        <f>'Raw Datas'!H61</f>
        <v>0.18223333333333333</v>
      </c>
      <c r="H4" s="60">
        <f>'Raw Datas'!I61</f>
        <v>0.13431666666666667</v>
      </c>
      <c r="I4" s="60">
        <f>'Raw Datas'!J61</f>
        <v>0.13605</v>
      </c>
      <c r="J4" s="60">
        <f>'Raw Datas'!K61</f>
        <v>0.54538333333333333</v>
      </c>
      <c r="K4" s="60">
        <f>'Raw Datas'!L61</f>
        <v>1.8104</v>
      </c>
      <c r="L4" s="60">
        <f>'Raw Datas'!M61</f>
        <v>0.35443333333333332</v>
      </c>
      <c r="M4" s="60">
        <f>'Raw Datas'!N61</f>
        <v>0.16271666666666668</v>
      </c>
      <c r="N4" s="60">
        <f>'Raw Datas'!O61</f>
        <v>0.12871666666666667</v>
      </c>
      <c r="O4" s="60">
        <f>'Raw Datas'!P61</f>
        <v>2.1054666666666666</v>
      </c>
      <c r="P4" s="60">
        <f>'Raw Datas'!Q61</f>
        <v>2.1631666666666667</v>
      </c>
      <c r="Q4" s="60">
        <f>'Raw Datas'!R61</f>
        <v>22.376783333333336</v>
      </c>
      <c r="R4" s="60">
        <f>'Raw Datas'!S61</f>
        <v>1.25685</v>
      </c>
      <c r="S4" s="60">
        <f>'Raw Datas'!T61</f>
        <v>0.38958333333333334</v>
      </c>
      <c r="T4" s="60">
        <f>'Raw Datas'!U61</f>
        <v>1.9275333333333335</v>
      </c>
      <c r="U4" s="60">
        <f>'Raw Datas'!V61</f>
        <v>0.27506666666666668</v>
      </c>
      <c r="V4" s="60">
        <f>'Raw Datas'!W61</f>
        <v>0.14605714285714286</v>
      </c>
      <c r="W4" s="60" t="str">
        <f>'Raw Datas'!X61</f>
        <v>0</v>
      </c>
      <c r="X4" s="60">
        <f>'Raw Datas'!Y61</f>
        <v>0.34534999999999993</v>
      </c>
      <c r="Y4" s="60">
        <f>'Raw Datas'!Z61</f>
        <v>0.55720000000000003</v>
      </c>
      <c r="Z4" s="60">
        <f>'Raw Datas'!AA61</f>
        <v>0.96995000000000009</v>
      </c>
      <c r="AA4" s="60">
        <f>'Raw Datas'!AB61</f>
        <v>0.22543333333333332</v>
      </c>
      <c r="AB4" s="60">
        <f>'Raw Datas'!AC61</f>
        <v>1.0232333333333334</v>
      </c>
      <c r="AC4" s="60">
        <f>'Raw Datas'!AD61</f>
        <v>0.37846666666666662</v>
      </c>
      <c r="AD4" s="60">
        <f>'Raw Datas'!AE61</f>
        <v>0.24938333333333332</v>
      </c>
      <c r="AE4" s="60">
        <f>'Raw Datas'!AF61</f>
        <v>0.19841666666666666</v>
      </c>
      <c r="AF4" s="60">
        <f>'Raw Datas'!AG61</f>
        <v>0.79700000000000004</v>
      </c>
      <c r="AG4" s="60">
        <f>'Raw Datas'!AH61</f>
        <v>8.4783333333333349E-2</v>
      </c>
      <c r="AH4" s="60">
        <f>'Raw Datas'!AI61</f>
        <v>1.6158333333333335</v>
      </c>
      <c r="AI4" s="60">
        <f>'Raw Datas'!AJ61</f>
        <v>0.43701666666666666</v>
      </c>
      <c r="AJ4" s="60">
        <f>'Raw Datas'!AK61</f>
        <v>0.16128333333333333</v>
      </c>
      <c r="AK4" s="60">
        <f>'Raw Datas'!AL61</f>
        <v>0.64639999999999997</v>
      </c>
      <c r="AL4" s="60">
        <f>'Raw Datas'!AM61</f>
        <v>0.6136166666666667</v>
      </c>
      <c r="AM4" s="60">
        <f>'Raw Datas'!AN61</f>
        <v>0.59200000000000008</v>
      </c>
      <c r="AN4" s="60">
        <f>'Raw Datas'!AO61</f>
        <v>0.25989999999999996</v>
      </c>
      <c r="AO4" s="60">
        <f>'Raw Datas'!AP61</f>
        <v>0.25045000000000001</v>
      </c>
      <c r="AP4" s="60">
        <f>'Raw Datas'!AQ61</f>
        <v>3.4628666666666663</v>
      </c>
      <c r="AQ4" s="60">
        <f>'Raw Datas'!AR61</f>
        <v>0.26078333333333331</v>
      </c>
      <c r="AR4" s="60">
        <f>'Raw Datas'!AS61</f>
        <v>1.5863</v>
      </c>
      <c r="AS4" s="60">
        <f>'Raw Datas'!AT61</f>
        <v>1.3319833333333333</v>
      </c>
      <c r="AT4" s="60" t="str">
        <f>'Raw Datas'!AU61</f>
        <v>0</v>
      </c>
      <c r="AU4" s="60">
        <f>'Raw Datas'!AV61</f>
        <v>0.38492000000000004</v>
      </c>
      <c r="AV4" s="60">
        <f>'Raw Datas'!AW61</f>
        <v>0.24148333333333336</v>
      </c>
      <c r="AW4" s="60">
        <f>'Raw Datas'!AX61</f>
        <v>0.53986666666666661</v>
      </c>
      <c r="AX4" s="60">
        <f>'Raw Datas'!AY61</f>
        <v>0.76795000000000013</v>
      </c>
      <c r="AY4" s="60">
        <f>'Raw Datas'!AZ61</f>
        <v>0.54946666666666677</v>
      </c>
      <c r="AZ4" s="60">
        <f>'Raw Datas'!BA61</f>
        <v>0.34111666666666662</v>
      </c>
      <c r="BA4" s="60">
        <f>'Raw Datas'!BB61</f>
        <v>0.32615000000000005</v>
      </c>
      <c r="BB4" s="60">
        <f>'Raw Datas'!BC61</f>
        <v>0.10641666666666666</v>
      </c>
      <c r="BC4" s="60">
        <f>'Raw Datas'!BD61</f>
        <v>0.45945000000000003</v>
      </c>
      <c r="BD4" s="60">
        <f>'Raw Datas'!BE61</f>
        <v>0.747</v>
      </c>
      <c r="BE4" s="60">
        <f>'Raw Datas'!BF61</f>
        <v>2.2762000000000002</v>
      </c>
      <c r="BF4" s="60">
        <f>'Raw Datas'!BG61</f>
        <v>0.11643333333333333</v>
      </c>
      <c r="BG4" s="60">
        <f>'Raw Datas'!BH61</f>
        <v>0.3031166666666667</v>
      </c>
      <c r="BH4" s="60">
        <f>'Raw Datas'!BI61</f>
        <v>0.91311666666666669</v>
      </c>
      <c r="BI4" s="60">
        <f>'Raw Datas'!BJ61</f>
        <v>11.545350000000001</v>
      </c>
      <c r="BJ4" s="60">
        <f>'Raw Datas'!BK61</f>
        <v>0.66601666666666659</v>
      </c>
      <c r="BK4" s="60">
        <f>'Raw Datas'!BL61</f>
        <v>6.5078333333333331</v>
      </c>
      <c r="BL4" s="60">
        <f>'Raw Datas'!BM61</f>
        <v>7.9515999999999991</v>
      </c>
      <c r="BM4" s="60">
        <f>'Raw Datas'!BN61</f>
        <v>12.03795</v>
      </c>
      <c r="BN4" s="60">
        <f>'Raw Datas'!BO61</f>
        <v>5.4915333333333329</v>
      </c>
      <c r="BO4" s="60">
        <f>'Raw Datas'!BP61</f>
        <v>4.3374833333333331</v>
      </c>
      <c r="BP4" s="60">
        <f>'Raw Datas'!BQ61</f>
        <v>1.30985</v>
      </c>
      <c r="BQ4" s="60">
        <f>'Raw Datas'!BR61</f>
        <v>0.13900000000000001</v>
      </c>
      <c r="BR4" s="60">
        <f>'Raw Datas'!BS61</f>
        <v>2.4260499999999996</v>
      </c>
      <c r="BS4" s="60">
        <f>'Raw Datas'!BT61</f>
        <v>1.0128999999999999</v>
      </c>
      <c r="BT4" s="60">
        <f>'Raw Datas'!BU61</f>
        <v>1.73855</v>
      </c>
      <c r="BU4" s="60">
        <f>'Raw Datas'!BV61</f>
        <v>1.2248666666666665</v>
      </c>
      <c r="BV4" s="60">
        <f>'Raw Datas'!BW61</f>
        <v>1.3663833333333335</v>
      </c>
      <c r="BW4" s="60">
        <f>'Raw Datas'!BX61</f>
        <v>0.38970000000000005</v>
      </c>
      <c r="BX4" s="60">
        <f>'Raw Datas'!BY61</f>
        <v>0.95403333333333329</v>
      </c>
      <c r="BY4" s="60">
        <f>'Raw Datas'!BZ61</f>
        <v>0.97865000000000002</v>
      </c>
      <c r="BZ4" s="60">
        <f>'Raw Datas'!CA61</f>
        <v>0.61681666666666668</v>
      </c>
      <c r="CA4" s="60">
        <f>'Raw Datas'!CB61</f>
        <v>0.7456666666666667</v>
      </c>
      <c r="CB4" s="60">
        <f>'Raw Datas'!CC61</f>
        <v>0.34073333333333333</v>
      </c>
      <c r="CC4" s="60">
        <f>'Raw Datas'!CD61</f>
        <v>0.53456666666666663</v>
      </c>
      <c r="CD4" s="60">
        <f>'Raw Datas'!CE61</f>
        <v>0.42699999999999994</v>
      </c>
      <c r="CE4" s="60">
        <f>'Raw Datas'!CF61</f>
        <v>0.51063333333333338</v>
      </c>
      <c r="CF4" s="60">
        <f>'Raw Datas'!CG61</f>
        <v>0.88746666666666663</v>
      </c>
      <c r="CG4" s="60">
        <f>'Raw Datas'!CH61</f>
        <v>0.49783333333333335</v>
      </c>
      <c r="CH4" s="60">
        <f>'Raw Datas'!CI61</f>
        <v>1.9509666666666665</v>
      </c>
      <c r="CI4" s="60">
        <f>'Raw Datas'!CJ61</f>
        <v>0.28211111111111109</v>
      </c>
      <c r="CJ4" s="60">
        <f>'Raw Datas'!CK61</f>
        <v>7.768333333333334E-2</v>
      </c>
      <c r="CK4" s="60">
        <f>'Raw Datas'!CL61</f>
        <v>0.16593333333333332</v>
      </c>
      <c r="CL4" s="60">
        <f>'Raw Datas'!CM61</f>
        <v>0.61809999999999998</v>
      </c>
      <c r="CM4" s="60">
        <f>'Raw Datas'!CN61</f>
        <v>0.34671666666666662</v>
      </c>
      <c r="CN4" s="60">
        <f>'Raw Datas'!CO61</f>
        <v>0.15629999999999999</v>
      </c>
      <c r="CO4" s="60">
        <f>'Raw Datas'!CP61</f>
        <v>0.84433333333333327</v>
      </c>
      <c r="CP4" s="60">
        <f>'Raw Datas'!CQ61</f>
        <v>0.26824999999999999</v>
      </c>
      <c r="CQ4" s="60">
        <f>'Raw Datas'!CR61</f>
        <v>4.9625833333333329</v>
      </c>
      <c r="CR4" s="60">
        <f>'Raw Datas'!CS61</f>
        <v>0.10801666666666666</v>
      </c>
      <c r="CS4" s="60">
        <f>'Raw Datas'!CT61</f>
        <v>0.96851666666666658</v>
      </c>
      <c r="CT4" s="60">
        <f>'Raw Datas'!CU61</f>
        <v>0.39220000000000005</v>
      </c>
      <c r="CU4" s="60" t="str">
        <f>'Raw Datas'!CV61</f>
        <v>0</v>
      </c>
      <c r="CV4" s="60">
        <f>'Raw Datas'!CW61</f>
        <v>1.1581333333333332</v>
      </c>
      <c r="CW4" s="60">
        <f>'Raw Datas'!CX61</f>
        <v>0.76980000000000004</v>
      </c>
      <c r="CX4" s="60">
        <f>'Raw Datas'!CY61</f>
        <v>6.2233333333333335E-2</v>
      </c>
      <c r="CY4" s="60" t="str">
        <f>'Raw Datas'!CZ61</f>
        <v>0</v>
      </c>
      <c r="CZ4" s="60" t="str">
        <f>'Raw Datas'!DA61</f>
        <v>0</v>
      </c>
      <c r="DA4" s="60">
        <f>'Raw Datas'!DB61</f>
        <v>7.3633333333333342E-2</v>
      </c>
      <c r="DB4" s="60">
        <f>'Raw Datas'!DC61</f>
        <v>0.87911666666666666</v>
      </c>
      <c r="DC4" s="60" t="str">
        <f>'Raw Datas'!DD61</f>
        <v>0</v>
      </c>
      <c r="DD4" s="60" t="str">
        <f>'Raw Datas'!DE61</f>
        <v>0</v>
      </c>
      <c r="DE4" s="60">
        <f>'Raw Datas'!DF61</f>
        <v>0.23559999999999998</v>
      </c>
      <c r="DF4" s="60">
        <f>'Raw Datas'!DG61</f>
        <v>1.4722833333333334</v>
      </c>
      <c r="DG4" s="60">
        <f>'Raw Datas'!DH61</f>
        <v>0.18509999999999999</v>
      </c>
      <c r="DH4" s="60">
        <f>'Raw Datas'!DI61</f>
        <v>0.47636666666666666</v>
      </c>
      <c r="DI4" s="60">
        <f>'Raw Datas'!DJ61</f>
        <v>0.83828333333333327</v>
      </c>
      <c r="DJ4" s="60">
        <f>'Raw Datas'!DK61</f>
        <v>2.2659499999999997</v>
      </c>
      <c r="DK4" s="60">
        <f>'Raw Datas'!DL61</f>
        <v>0.12746666666666667</v>
      </c>
      <c r="DL4" s="60">
        <f>'Raw Datas'!DM61</f>
        <v>0.41606666666666664</v>
      </c>
      <c r="DM4" s="60">
        <f>'Raw Datas'!DN61</f>
        <v>0.11513333333333332</v>
      </c>
      <c r="DN4" s="60">
        <f>'Raw Datas'!DO61</f>
        <v>0.12051666666666666</v>
      </c>
      <c r="DO4" s="60">
        <f>'Raw Datas'!DP61</f>
        <v>0.38401666666666667</v>
      </c>
      <c r="DP4" s="60">
        <f>'Raw Datas'!DQ61</f>
        <v>1.1712166666666666</v>
      </c>
      <c r="DQ4" s="60">
        <f>'Raw Datas'!DR61</f>
        <v>0.34128333333333327</v>
      </c>
      <c r="DR4" s="60" t="str">
        <f>'Raw Datas'!DS61</f>
        <v>0</v>
      </c>
      <c r="DS4" s="60">
        <f>'Raw Datas'!DT61</f>
        <v>9.9916666666666668E-2</v>
      </c>
      <c r="DT4" s="60">
        <f>'Raw Datas'!DU61</f>
        <v>0.52241666666666664</v>
      </c>
      <c r="DU4" s="60">
        <f>'Raw Datas'!DV61</f>
        <v>0.31688333333333329</v>
      </c>
      <c r="DV4" s="60">
        <f>'Raw Datas'!DW61</f>
        <v>0.3701666666666667</v>
      </c>
      <c r="DW4" s="60" t="str">
        <f>'Raw Datas'!DX61</f>
        <v>0</v>
      </c>
      <c r="DX4" s="60" t="str">
        <f>'Raw Datas'!DY61</f>
        <v>0</v>
      </c>
      <c r="DY4" s="60">
        <f>'Raw Datas'!DZ61</f>
        <v>5.673333333333333E-2</v>
      </c>
      <c r="DZ4" s="60">
        <f>'Raw Datas'!EA61</f>
        <v>0.50541666666666674</v>
      </c>
      <c r="EA4" s="60">
        <f>'Raw Datas'!EB61</f>
        <v>0.70714999999999995</v>
      </c>
      <c r="EB4" s="60">
        <f>'Raw Datas'!EC61</f>
        <v>1.03155</v>
      </c>
      <c r="EC4" s="60">
        <f>'Raw Datas'!ED61</f>
        <v>0.24031666666666668</v>
      </c>
      <c r="ED4" s="60" t="str">
        <f>'Raw Datas'!EE61</f>
        <v>0</v>
      </c>
      <c r="EE4" s="60">
        <f>'Raw Datas'!EF61</f>
        <v>1.9820833333333332</v>
      </c>
      <c r="EF4" s="60">
        <f>'Raw Datas'!EG61</f>
        <v>1.9154333333333331</v>
      </c>
      <c r="EG4" s="60">
        <f>'Raw Datas'!EH61</f>
        <v>0.39228333333333332</v>
      </c>
      <c r="EH4" s="60">
        <f>'Raw Datas'!EI61</f>
        <v>0.1736</v>
      </c>
      <c r="EI4" s="60">
        <f>'Raw Datas'!EJ61</f>
        <v>0.71268333333333322</v>
      </c>
      <c r="EJ4" s="60" t="str">
        <f>'Raw Datas'!EK61</f>
        <v>0</v>
      </c>
      <c r="EK4" s="60">
        <f>'Raw Datas'!EL61</f>
        <v>0.26565</v>
      </c>
      <c r="EL4" s="60">
        <f>'Raw Datas'!EM61</f>
        <v>2.1881166666666667</v>
      </c>
      <c r="EM4" s="60">
        <f>'Raw Datas'!EN61</f>
        <v>2.4951166666666666</v>
      </c>
      <c r="EN4" s="60">
        <f>'Raw Datas'!EO61</f>
        <v>0.67448333333333332</v>
      </c>
      <c r="EO4" s="60">
        <f>'Raw Datas'!EP61</f>
        <v>0.55390000000000006</v>
      </c>
      <c r="EP4" s="60">
        <f>'Raw Datas'!EQ61</f>
        <v>0.20066666666666666</v>
      </c>
      <c r="EQ4" s="60">
        <f>'Raw Datas'!ER61</f>
        <v>0.33578333333333332</v>
      </c>
      <c r="ER4" s="60">
        <f>'Raw Datas'!ES61</f>
        <v>0.28249999999999997</v>
      </c>
      <c r="ES4" s="60">
        <f>'Raw Datas'!ET61</f>
        <v>0.73066666666666669</v>
      </c>
      <c r="ET4" s="60">
        <f>'Raw Datas'!EU61</f>
        <v>0.56806666666666661</v>
      </c>
      <c r="EU4" s="60">
        <f>'Raw Datas'!EV61</f>
        <v>0.96340000000000003</v>
      </c>
      <c r="EV4" s="60">
        <f>'Raw Datas'!EW61</f>
        <v>0.66979999999999995</v>
      </c>
      <c r="EW4" s="60">
        <f>'Raw Datas'!EX61</f>
        <v>0.31340000000000001</v>
      </c>
      <c r="EX4" s="60">
        <f>'Raw Datas'!EY61</f>
        <v>0.92658333333333331</v>
      </c>
      <c r="EY4" s="60">
        <f>'Raw Datas'!EZ61</f>
        <v>3.1274666666666673</v>
      </c>
      <c r="EZ4" s="60" t="str">
        <f>'Raw Datas'!FA61</f>
        <v>0</v>
      </c>
      <c r="FA4" s="60">
        <f>'Raw Datas'!FB61</f>
        <v>0.18431666666666668</v>
      </c>
      <c r="FB4" s="60">
        <f>'Raw Datas'!FC61</f>
        <v>0.57535000000000003</v>
      </c>
      <c r="FC4" s="60">
        <f>'Raw Datas'!FD61</f>
        <v>0.31064999999999998</v>
      </c>
      <c r="FD4" s="60">
        <f>'Raw Datas'!FE61</f>
        <v>0.73578333333333334</v>
      </c>
      <c r="FE4" s="60">
        <f>'Raw Datas'!FF61</f>
        <v>0.30940000000000001</v>
      </c>
      <c r="FF4" s="60">
        <f>'Raw Datas'!FG61</f>
        <v>0.45686666666666664</v>
      </c>
      <c r="FG4" s="60">
        <f>'Raw Datas'!FH61</f>
        <v>0.31839999999999996</v>
      </c>
      <c r="FH4" s="60">
        <f>'Raw Datas'!FI61</f>
        <v>0.86306666666666665</v>
      </c>
      <c r="FI4" s="60">
        <f>'Raw Datas'!FJ61</f>
        <v>0.71819999999999995</v>
      </c>
      <c r="FJ4" s="60" t="str">
        <f>'Raw Datas'!FK61</f>
        <v>0</v>
      </c>
      <c r="FK4" s="60">
        <f>'Raw Datas'!FL61</f>
        <v>0.76518333333333333</v>
      </c>
      <c r="FL4" s="60">
        <f>'Raw Datas'!FM61</f>
        <v>0.82568333333333344</v>
      </c>
      <c r="FM4" s="60">
        <f>'Raw Datas'!FN61</f>
        <v>0.13568333333333332</v>
      </c>
      <c r="FN4" s="60">
        <f>'Raw Datas'!FO61</f>
        <v>0.18566666666666667</v>
      </c>
    </row>
    <row r="5" spans="1:170" ht="15" customHeight="1" x14ac:dyDescent="0.2">
      <c r="A5" s="104" t="s">
        <v>776</v>
      </c>
      <c r="B5" s="60">
        <f>'Raw Datas'!C63</f>
        <v>0.36576666666666663</v>
      </c>
      <c r="C5" s="60">
        <f>'Raw Datas'!D63</f>
        <v>0.30868333333333337</v>
      </c>
      <c r="D5" s="60">
        <f>'Raw Datas'!E63</f>
        <v>0.47098333333333336</v>
      </c>
      <c r="E5" s="60">
        <f>'Raw Datas'!F63</f>
        <v>5.4668833333333327</v>
      </c>
      <c r="F5" s="60" t="str">
        <f>'Raw Datas'!G63</f>
        <v>0</v>
      </c>
      <c r="G5" s="60">
        <f>'Raw Datas'!H63</f>
        <v>0.19869999999999999</v>
      </c>
      <c r="H5" s="60">
        <f>'Raw Datas'!I63</f>
        <v>0.14626666666666666</v>
      </c>
      <c r="I5" s="60">
        <f>'Raw Datas'!J63</f>
        <v>0.24529999999999999</v>
      </c>
      <c r="J5" s="60">
        <f>'Raw Datas'!K63</f>
        <v>0.92974999999999997</v>
      </c>
      <c r="K5" s="60">
        <f>'Raw Datas'!L63</f>
        <v>0.67130000000000001</v>
      </c>
      <c r="L5" s="60">
        <f>'Raw Datas'!M63</f>
        <v>0.13368333333333335</v>
      </c>
      <c r="M5" s="60">
        <f>'Raw Datas'!N63</f>
        <v>0.17493333333333333</v>
      </c>
      <c r="N5" s="60">
        <f>'Raw Datas'!O63</f>
        <v>0.23824999999999999</v>
      </c>
      <c r="O5" s="60">
        <f>'Raw Datas'!P63</f>
        <v>0.78343333333333331</v>
      </c>
      <c r="P5" s="60">
        <f>'Raw Datas'!Q63</f>
        <v>0.90143333333333331</v>
      </c>
      <c r="Q5" s="60">
        <f>'Raw Datas'!R63</f>
        <v>28.939383333333335</v>
      </c>
      <c r="R5" s="60">
        <f>'Raw Datas'!S63</f>
        <v>0.53074999999999994</v>
      </c>
      <c r="S5" s="60">
        <f>'Raw Datas'!T63</f>
        <v>0.20005000000000001</v>
      </c>
      <c r="T5" s="60">
        <f>'Raw Datas'!U63</f>
        <v>0.76186666666666669</v>
      </c>
      <c r="U5" s="60">
        <f>'Raw Datas'!V63</f>
        <v>0.23545000000000002</v>
      </c>
      <c r="V5" s="60">
        <f>'Raw Datas'!W63</f>
        <v>0.46880000000000005</v>
      </c>
      <c r="W5" s="60">
        <f>'Raw Datas'!X63</f>
        <v>0.98507999999999996</v>
      </c>
      <c r="X5" s="60">
        <f>'Raw Datas'!Y63</f>
        <v>0.5071</v>
      </c>
      <c r="Y5" s="60">
        <f>'Raw Datas'!Z63</f>
        <v>0.32876</v>
      </c>
      <c r="Z5" s="60">
        <f>'Raw Datas'!AA63</f>
        <v>0.24095000000000003</v>
      </c>
      <c r="AA5" s="60">
        <f>'Raw Datas'!AB63</f>
        <v>0.4175166666666667</v>
      </c>
      <c r="AB5" s="60">
        <f>'Raw Datas'!AC63</f>
        <v>0.9385</v>
      </c>
      <c r="AC5" s="60">
        <f>'Raw Datas'!AD63</f>
        <v>1.0972166666666667</v>
      </c>
      <c r="AD5" s="60">
        <f>'Raw Datas'!AE63</f>
        <v>0.12671666666666667</v>
      </c>
      <c r="AE5" s="60" t="str">
        <f>'Raw Datas'!AF63</f>
        <v>0</v>
      </c>
      <c r="AF5" s="60">
        <f>'Raw Datas'!AG63</f>
        <v>0.24931666666666666</v>
      </c>
      <c r="AG5" s="60">
        <f>'Raw Datas'!AH63</f>
        <v>0.59938333333333338</v>
      </c>
      <c r="AH5" s="60">
        <f>'Raw Datas'!AI63</f>
        <v>1.0427333333333333</v>
      </c>
      <c r="AI5" s="60">
        <f>'Raw Datas'!AJ63</f>
        <v>0.42113333333333336</v>
      </c>
      <c r="AJ5" s="60" t="str">
        <f>'Raw Datas'!AK63</f>
        <v>0</v>
      </c>
      <c r="AK5" s="60">
        <f>'Raw Datas'!AL63</f>
        <v>0.38038333333333335</v>
      </c>
      <c r="AL5" s="60">
        <f>'Raw Datas'!AM63</f>
        <v>0.34188333333333332</v>
      </c>
      <c r="AM5" s="60">
        <f>'Raw Datas'!AN63</f>
        <v>0.36151666666666665</v>
      </c>
      <c r="AN5" s="60">
        <f>'Raw Datas'!AO63</f>
        <v>0.22025</v>
      </c>
      <c r="AO5" s="60" t="str">
        <f>'Raw Datas'!AP63</f>
        <v>0</v>
      </c>
      <c r="AP5" s="60">
        <f>'Raw Datas'!AQ63</f>
        <v>6.8018333333333336</v>
      </c>
      <c r="AQ5" s="60">
        <f>'Raw Datas'!AR63</f>
        <v>0.16738333333333333</v>
      </c>
      <c r="AR5" s="60" t="str">
        <f>'Raw Datas'!AS63</f>
        <v>0</v>
      </c>
      <c r="AS5" s="60">
        <f>'Raw Datas'!AT63</f>
        <v>0.48775000000000002</v>
      </c>
      <c r="AT5" s="60" t="str">
        <f>'Raw Datas'!AU63</f>
        <v>0</v>
      </c>
      <c r="AU5" s="60" t="str">
        <f>'Raw Datas'!AV63</f>
        <v>0</v>
      </c>
      <c r="AV5" s="60">
        <f>'Raw Datas'!AW63</f>
        <v>0.51501666666666668</v>
      </c>
      <c r="AW5" s="60">
        <f>'Raw Datas'!AX63</f>
        <v>0.57478333333333331</v>
      </c>
      <c r="AX5" s="60">
        <f>'Raw Datas'!AY63</f>
        <v>0.42968333333333331</v>
      </c>
      <c r="AY5" s="60" t="str">
        <f>'Raw Datas'!AZ63</f>
        <v>0</v>
      </c>
      <c r="AZ5" s="60" t="str">
        <f>'Raw Datas'!BA63</f>
        <v>0</v>
      </c>
      <c r="BA5" s="60">
        <f>'Raw Datas'!BB63</f>
        <v>0.16034999999999996</v>
      </c>
      <c r="BB5" s="60" t="str">
        <f>'Raw Datas'!BC63</f>
        <v>0</v>
      </c>
      <c r="BC5" s="60">
        <f>'Raw Datas'!BD63</f>
        <v>0.19013333333333335</v>
      </c>
      <c r="BD5" s="60">
        <f>'Raw Datas'!BE63</f>
        <v>0.25346666666666662</v>
      </c>
      <c r="BE5" s="60">
        <f>'Raw Datas'!BF63</f>
        <v>0.97073333333333334</v>
      </c>
      <c r="BF5" s="60">
        <f>'Raw Datas'!BG63</f>
        <v>0.15878333333333333</v>
      </c>
      <c r="BG5" s="60" t="str">
        <f>'Raw Datas'!BH63</f>
        <v>0</v>
      </c>
      <c r="BH5" s="60">
        <f>'Raw Datas'!BI63</f>
        <v>1.3355833333333333</v>
      </c>
      <c r="BI5" s="60">
        <f>'Raw Datas'!BJ63</f>
        <v>7.2815166666666666</v>
      </c>
      <c r="BJ5" s="60">
        <f>'Raw Datas'!BK63</f>
        <v>0.48931666666666668</v>
      </c>
      <c r="BK5" s="60">
        <f>'Raw Datas'!BL63</f>
        <v>2.6160500000000004</v>
      </c>
      <c r="BL5" s="60">
        <f>'Raw Datas'!BM63</f>
        <v>2.1169142857142855</v>
      </c>
      <c r="BM5" s="60">
        <f>'Raw Datas'!BN63</f>
        <v>7.3036166666666666</v>
      </c>
      <c r="BN5" s="60">
        <f>'Raw Datas'!BO63</f>
        <v>1.25715</v>
      </c>
      <c r="BO5" s="60">
        <f>'Raw Datas'!BP63</f>
        <v>0.64318333333333333</v>
      </c>
      <c r="BP5" s="60">
        <f>'Raw Datas'!BQ63</f>
        <v>0.28236666666666665</v>
      </c>
      <c r="BQ5" s="60">
        <f>'Raw Datas'!BR63</f>
        <v>0.27471428571428574</v>
      </c>
      <c r="BR5" s="60">
        <f>'Raw Datas'!BS63</f>
        <v>0.55401666666666671</v>
      </c>
      <c r="BS5" s="60">
        <f>'Raw Datas'!BT63</f>
        <v>0.3031833333333333</v>
      </c>
      <c r="BT5" s="60">
        <f>'Raw Datas'!BU63</f>
        <v>1.1958333333333333</v>
      </c>
      <c r="BU5" s="60">
        <f>'Raw Datas'!BV63</f>
        <v>0.63219999999999998</v>
      </c>
      <c r="BV5" s="60">
        <f>'Raw Datas'!BW63</f>
        <v>0.94569999999999999</v>
      </c>
      <c r="BW5" s="60">
        <f>'Raw Datas'!BX63</f>
        <v>0.40155000000000002</v>
      </c>
      <c r="BX5" s="60">
        <f>'Raw Datas'!BY63</f>
        <v>0.46643333333333337</v>
      </c>
      <c r="BY5" s="60">
        <f>'Raw Datas'!BZ63</f>
        <v>0.47176666666666667</v>
      </c>
      <c r="BZ5" s="60">
        <f>'Raw Datas'!CA63</f>
        <v>0.26530000000000004</v>
      </c>
      <c r="CA5" s="60">
        <f>'Raw Datas'!CB63</f>
        <v>0.20734999999999998</v>
      </c>
      <c r="CB5" s="60">
        <f>'Raw Datas'!CC63</f>
        <v>0.32223333333333332</v>
      </c>
      <c r="CC5" s="60" t="str">
        <f>'Raw Datas'!CD63</f>
        <v>0</v>
      </c>
      <c r="CD5" s="60">
        <f>'Raw Datas'!CE63</f>
        <v>0.5704499999999999</v>
      </c>
      <c r="CE5" s="60" t="str">
        <f>'Raw Datas'!CF63</f>
        <v>0</v>
      </c>
      <c r="CF5" s="60">
        <f>'Raw Datas'!CG63</f>
        <v>0.48080000000000001</v>
      </c>
      <c r="CG5" s="60">
        <f>'Raw Datas'!CH63</f>
        <v>0.67520000000000002</v>
      </c>
      <c r="CH5" s="60">
        <f>'Raw Datas'!CI63</f>
        <v>1.3046166666666668</v>
      </c>
      <c r="CI5" s="60" t="str">
        <f>'Raw Datas'!CJ63</f>
        <v>0</v>
      </c>
      <c r="CJ5" s="60">
        <f>'Raw Datas'!CK63</f>
        <v>0.33121666666666666</v>
      </c>
      <c r="CK5" s="60">
        <f>'Raw Datas'!CL63</f>
        <v>0.98088333333333333</v>
      </c>
      <c r="CL5" s="60">
        <f>'Raw Datas'!CM63</f>
        <v>0.79930000000000001</v>
      </c>
      <c r="CM5" s="60">
        <f>'Raw Datas'!CN63</f>
        <v>0.18515000000000001</v>
      </c>
      <c r="CN5" s="60">
        <f>'Raw Datas'!CO63</f>
        <v>0.15228333333333335</v>
      </c>
      <c r="CO5" s="60">
        <f>'Raw Datas'!CP63</f>
        <v>0.2291</v>
      </c>
      <c r="CP5" s="60">
        <f>'Raw Datas'!CQ63</f>
        <v>0.53273333333333339</v>
      </c>
      <c r="CQ5" s="60">
        <f>'Raw Datas'!CR63</f>
        <v>5.2944333333333331</v>
      </c>
      <c r="CR5" s="60">
        <f>'Raw Datas'!CS63</f>
        <v>0.2009</v>
      </c>
      <c r="CS5" s="60">
        <f>'Raw Datas'!CT63</f>
        <v>0.24480000000000002</v>
      </c>
      <c r="CT5" s="60">
        <f>'Raw Datas'!CU63</f>
        <v>0.33201666666666668</v>
      </c>
      <c r="CU5" s="60" t="str">
        <f>'Raw Datas'!CV63</f>
        <v>0</v>
      </c>
      <c r="CV5" s="60">
        <f>'Raw Datas'!CW63</f>
        <v>0.47240000000000004</v>
      </c>
      <c r="CW5" s="60">
        <f>'Raw Datas'!CX63</f>
        <v>0.32116666666666666</v>
      </c>
      <c r="CX5" s="60">
        <f>'Raw Datas'!CY63</f>
        <v>0.13978333333333334</v>
      </c>
      <c r="CY5" s="60" t="str">
        <f>'Raw Datas'!CZ63</f>
        <v>0</v>
      </c>
      <c r="CZ5" s="60" t="str">
        <f>'Raw Datas'!DA63</f>
        <v>0</v>
      </c>
      <c r="DA5" s="60">
        <f>'Raw Datas'!DB63</f>
        <v>0.16308333333333333</v>
      </c>
      <c r="DB5" s="60">
        <f>'Raw Datas'!DC63</f>
        <v>0.62563333333333326</v>
      </c>
      <c r="DC5" s="60" t="str">
        <f>'Raw Datas'!DD63</f>
        <v>0</v>
      </c>
      <c r="DD5" s="60">
        <f>'Raw Datas'!DE63</f>
        <v>0.82698333333333329</v>
      </c>
      <c r="DE5" s="60">
        <f>'Raw Datas'!DF63</f>
        <v>0.25198333333333334</v>
      </c>
      <c r="DF5" s="60">
        <f>'Raw Datas'!DG63</f>
        <v>0.75464999999999993</v>
      </c>
      <c r="DG5" s="60" t="str">
        <f>'Raw Datas'!DH63</f>
        <v>0</v>
      </c>
      <c r="DH5" s="60">
        <f>'Raw Datas'!DI63</f>
        <v>1.1591833333333335</v>
      </c>
      <c r="DI5" s="60">
        <f>'Raw Datas'!DJ63</f>
        <v>0.68116666666666659</v>
      </c>
      <c r="DJ5" s="60">
        <f>'Raw Datas'!DK63</f>
        <v>1.0739166666666666</v>
      </c>
      <c r="DK5" s="60" t="str">
        <f>'Raw Datas'!DL63</f>
        <v>0</v>
      </c>
      <c r="DL5" s="60">
        <f>'Raw Datas'!DM63</f>
        <v>0.1704</v>
      </c>
      <c r="DM5" s="60">
        <f>'Raw Datas'!DN63</f>
        <v>0.24998333333333334</v>
      </c>
      <c r="DN5" s="60">
        <f>'Raw Datas'!DO63</f>
        <v>0.14573333333333333</v>
      </c>
      <c r="DO5" s="60">
        <f>'Raw Datas'!DP63</f>
        <v>0.40278333333333338</v>
      </c>
      <c r="DP5" s="60">
        <f>'Raw Datas'!DQ63</f>
        <v>0.34013333333333334</v>
      </c>
      <c r="DQ5" s="60">
        <f>'Raw Datas'!DR63</f>
        <v>0.12915000000000001</v>
      </c>
      <c r="DR5" s="60" t="str">
        <f>'Raw Datas'!DS63</f>
        <v>0</v>
      </c>
      <c r="DS5" s="60">
        <f>'Raw Datas'!DT63</f>
        <v>0.25818333333333332</v>
      </c>
      <c r="DT5" s="60">
        <f>'Raw Datas'!DU63</f>
        <v>0.65203333333333335</v>
      </c>
      <c r="DU5" s="60">
        <f>'Raw Datas'!DV63</f>
        <v>0.26579999999999998</v>
      </c>
      <c r="DV5" s="60" t="str">
        <f>'Raw Datas'!DW63</f>
        <v>0</v>
      </c>
      <c r="DW5" s="60">
        <f>'Raw Datas'!DX63</f>
        <v>0.37830000000000003</v>
      </c>
      <c r="DX5" s="60">
        <f>'Raw Datas'!DY63</f>
        <v>0.46928333333333333</v>
      </c>
      <c r="DY5" s="60" t="str">
        <f>'Raw Datas'!DZ63</f>
        <v>0</v>
      </c>
      <c r="DZ5" s="60">
        <f>'Raw Datas'!EA63</f>
        <v>0.22305000000000003</v>
      </c>
      <c r="EA5" s="60">
        <f>'Raw Datas'!EB63</f>
        <v>0.29106666666666664</v>
      </c>
      <c r="EB5" s="60">
        <f>'Raw Datas'!EC63</f>
        <v>0.36621666666666663</v>
      </c>
      <c r="EC5" s="60">
        <f>'Raw Datas'!ED63</f>
        <v>0.22798333333333332</v>
      </c>
      <c r="ED5" s="60" t="str">
        <f>'Raw Datas'!EE63</f>
        <v>0</v>
      </c>
      <c r="EE5" s="60">
        <f>'Raw Datas'!EF63</f>
        <v>0.46651666666666664</v>
      </c>
      <c r="EF5" s="60">
        <f>'Raw Datas'!EG63</f>
        <v>0.47764999999999996</v>
      </c>
      <c r="EG5" s="60" t="str">
        <f>'Raw Datas'!EH63</f>
        <v>0</v>
      </c>
      <c r="EH5" s="60" t="str">
        <f>'Raw Datas'!EI63</f>
        <v>0</v>
      </c>
      <c r="EI5" s="60" t="str">
        <f>'Raw Datas'!EJ63</f>
        <v>0</v>
      </c>
      <c r="EJ5" s="60">
        <f>'Raw Datas'!EK63</f>
        <v>0.3723833333333334</v>
      </c>
      <c r="EK5" s="60">
        <f>'Raw Datas'!EL63</f>
        <v>0.23565</v>
      </c>
      <c r="EL5" s="60">
        <f>'Raw Datas'!EM63</f>
        <v>0.29203333333333331</v>
      </c>
      <c r="EM5" s="60">
        <f>'Raw Datas'!EN63</f>
        <v>0.61630000000000007</v>
      </c>
      <c r="EN5" s="60" t="str">
        <f>'Raw Datas'!EO63</f>
        <v>0</v>
      </c>
      <c r="EO5" s="60">
        <f>'Raw Datas'!EP63</f>
        <v>1.0968333333333333</v>
      </c>
      <c r="EP5" s="60" t="str">
        <f>'Raw Datas'!EQ63</f>
        <v>0</v>
      </c>
      <c r="EQ5" s="60">
        <f>'Raw Datas'!ER63</f>
        <v>0.62785000000000002</v>
      </c>
      <c r="ER5" s="60" t="str">
        <f>'Raw Datas'!ES63</f>
        <v>0</v>
      </c>
      <c r="ES5" s="60" t="str">
        <f>'Raw Datas'!ET63</f>
        <v>0</v>
      </c>
      <c r="ET5" s="60">
        <f>'Raw Datas'!EU63</f>
        <v>0.14793333333333333</v>
      </c>
      <c r="EU5" s="60">
        <f>'Raw Datas'!EV63</f>
        <v>0.18006666666666668</v>
      </c>
      <c r="EV5" s="60">
        <f>'Raw Datas'!EW63</f>
        <v>0.29006666666666664</v>
      </c>
      <c r="EW5" s="60">
        <f>'Raw Datas'!EX63</f>
        <v>0.23531666666666667</v>
      </c>
      <c r="EX5" s="60">
        <f>'Raw Datas'!EY63</f>
        <v>0.60035000000000005</v>
      </c>
      <c r="EY5" s="60">
        <f>'Raw Datas'!EZ63</f>
        <v>0.71546666666666658</v>
      </c>
      <c r="EZ5" s="60" t="str">
        <f>'Raw Datas'!FA63</f>
        <v>0</v>
      </c>
      <c r="FA5" s="60" t="str">
        <f>'Raw Datas'!FB63</f>
        <v>0</v>
      </c>
      <c r="FB5" s="60" t="str">
        <f>'Raw Datas'!FC63</f>
        <v>0</v>
      </c>
      <c r="FC5" s="60">
        <f>'Raw Datas'!FD63</f>
        <v>0.38874999999999998</v>
      </c>
      <c r="FD5" s="60">
        <f>'Raw Datas'!FE63</f>
        <v>0.95374999999999999</v>
      </c>
      <c r="FE5" s="60">
        <f>'Raw Datas'!FF63</f>
        <v>1.6238000000000001</v>
      </c>
      <c r="FF5" s="60">
        <f>'Raw Datas'!FG63</f>
        <v>0.6535333333333333</v>
      </c>
      <c r="FG5" s="60">
        <f>'Raw Datas'!FH63</f>
        <v>0.44548333333333334</v>
      </c>
      <c r="FH5" s="60" t="str">
        <f>'Raw Datas'!FI63</f>
        <v>0</v>
      </c>
      <c r="FI5" s="60">
        <f>'Raw Datas'!FJ63</f>
        <v>0.85655000000000003</v>
      </c>
      <c r="FJ5" s="60">
        <f>'Raw Datas'!FK63</f>
        <v>2.2131333333333334</v>
      </c>
      <c r="FK5" s="60">
        <f>'Raw Datas'!FL63</f>
        <v>0.25240000000000001</v>
      </c>
      <c r="FL5" s="60">
        <f>'Raw Datas'!FM63</f>
        <v>0.22411666666666666</v>
      </c>
      <c r="FM5" s="60">
        <f>'Raw Datas'!FN63</f>
        <v>0.35540000000000005</v>
      </c>
      <c r="FN5" s="60" t="str">
        <f>'Raw Datas'!FO63</f>
        <v>0</v>
      </c>
    </row>
    <row r="6" spans="1:170" x14ac:dyDescent="0.2">
      <c r="A6" s="100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</row>
    <row r="7" spans="1:170" x14ac:dyDescent="0.2">
      <c r="A7" s="100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</row>
    <row r="8" spans="1:170" ht="15.75" customHeight="1" x14ac:dyDescent="0.2">
      <c r="A8" s="104" t="s">
        <v>777</v>
      </c>
      <c r="B8" s="60">
        <f>'Raw Datas'!C67</f>
        <v>0.76226666666666665</v>
      </c>
      <c r="C8" s="63">
        <f>'Raw Datas'!D67</f>
        <v>2.2586333333333335</v>
      </c>
      <c r="D8" s="155" t="str">
        <f>'Raw Datas'!E67</f>
        <v>0</v>
      </c>
      <c r="E8" s="63">
        <f>'Raw Datas'!F67</f>
        <v>2.6011333333333329</v>
      </c>
      <c r="F8" s="63">
        <f>'Raw Datas'!G67</f>
        <v>0.82863333333333344</v>
      </c>
      <c r="G8" s="63">
        <f>'Raw Datas'!H67</f>
        <v>1.5406000000000002</v>
      </c>
      <c r="H8" s="63">
        <f>'Raw Datas'!I67</f>
        <v>2.9791000000000003</v>
      </c>
      <c r="I8" s="63">
        <f>'Raw Datas'!J67</f>
        <v>1.6943000000000004</v>
      </c>
      <c r="J8" s="63">
        <f>'Raw Datas'!K67</f>
        <v>2.1067</v>
      </c>
      <c r="K8" s="63">
        <f>'Raw Datas'!L67</f>
        <v>3.0104333333333333</v>
      </c>
      <c r="L8" s="63">
        <f>'Raw Datas'!M67</f>
        <v>1.7687166666666665</v>
      </c>
      <c r="M8" s="63" t="str">
        <f>'Raw Datas'!N67</f>
        <v>0</v>
      </c>
      <c r="N8" s="63">
        <f>'Raw Datas'!O67</f>
        <v>2.0067333333333335</v>
      </c>
      <c r="O8" s="63">
        <f>'Raw Datas'!P67</f>
        <v>1.9183166666666667</v>
      </c>
      <c r="P8" s="63">
        <f>'Raw Datas'!Q67</f>
        <v>1.5540833333333335</v>
      </c>
      <c r="Q8" s="63">
        <f>'Raw Datas'!R67</f>
        <v>4.6751333333333331</v>
      </c>
      <c r="R8" s="63">
        <f>'Raw Datas'!S67</f>
        <v>3.2365166666666667</v>
      </c>
      <c r="S8" s="63">
        <f>'Raw Datas'!T67</f>
        <v>0.56718333333333326</v>
      </c>
      <c r="T8" s="63">
        <f>'Raw Datas'!U67</f>
        <v>1.2656666666666667</v>
      </c>
      <c r="U8" s="63" t="str">
        <f>'Raw Datas'!V67</f>
        <v>0</v>
      </c>
      <c r="V8" s="63" t="str">
        <f>'Raw Datas'!W67</f>
        <v>0</v>
      </c>
      <c r="W8" s="63" t="str">
        <f>'Raw Datas'!X67</f>
        <v>0</v>
      </c>
      <c r="X8" s="63">
        <f>'Raw Datas'!Y67</f>
        <v>1.9705166666666665</v>
      </c>
      <c r="Y8" s="63" t="str">
        <f>'Raw Datas'!Z67</f>
        <v>0</v>
      </c>
      <c r="Z8" s="63">
        <f>'Raw Datas'!AA67</f>
        <v>1.1262000000000001</v>
      </c>
      <c r="AA8" s="63">
        <f>'Raw Datas'!AB67</f>
        <v>1.7968999999999999</v>
      </c>
      <c r="AB8" s="63">
        <f>'Raw Datas'!AC67</f>
        <v>2.3373500000000003</v>
      </c>
      <c r="AC8" s="63">
        <f>'Raw Datas'!AD67</f>
        <v>1.03725</v>
      </c>
      <c r="AD8" s="63">
        <f>'Raw Datas'!AE67</f>
        <v>1.2503333333333333</v>
      </c>
      <c r="AE8" s="63">
        <f>'Raw Datas'!AF67</f>
        <v>0.24400000000000002</v>
      </c>
      <c r="AF8" s="63">
        <f>'Raw Datas'!AG67</f>
        <v>1.0787499999999999</v>
      </c>
      <c r="AG8" s="63">
        <f>'Raw Datas'!AH67</f>
        <v>0.84753333333333336</v>
      </c>
      <c r="AH8" s="63">
        <f>'Raw Datas'!AI67</f>
        <v>0.73925000000000007</v>
      </c>
      <c r="AI8" s="63" t="str">
        <f>'Raw Datas'!AJ67</f>
        <v>0</v>
      </c>
      <c r="AJ8" s="63">
        <f>'Raw Datas'!AK67</f>
        <v>1.4956500000000001</v>
      </c>
      <c r="AK8" s="63" t="str">
        <f>'Raw Datas'!AL67</f>
        <v>0</v>
      </c>
      <c r="AL8" s="63" t="str">
        <f>'Raw Datas'!AM67</f>
        <v>0</v>
      </c>
      <c r="AM8" s="63">
        <f>'Raw Datas'!AN67</f>
        <v>1.7513833333333333</v>
      </c>
      <c r="AN8" s="63">
        <f>'Raw Datas'!AO67</f>
        <v>1.2157333333333333</v>
      </c>
      <c r="AO8" s="63" t="str">
        <f>'Raw Datas'!AP67</f>
        <v>0</v>
      </c>
      <c r="AP8" s="63">
        <f>'Raw Datas'!AQ67</f>
        <v>1.1088166666666666</v>
      </c>
      <c r="AQ8" s="63" t="str">
        <f>'Raw Datas'!AR67</f>
        <v>0</v>
      </c>
      <c r="AR8" s="63">
        <f>'Raw Datas'!AS67</f>
        <v>1.7926833333333334</v>
      </c>
      <c r="AS8" s="63">
        <f>'Raw Datas'!AT67</f>
        <v>0.58029999999999993</v>
      </c>
      <c r="AT8" s="63" t="str">
        <f>'Raw Datas'!AU67</f>
        <v>0</v>
      </c>
      <c r="AU8" s="63">
        <f>'Raw Datas'!AV67</f>
        <v>1.2223599999999999</v>
      </c>
      <c r="AV8" s="63" t="str">
        <f>'Raw Datas'!AW67</f>
        <v>0</v>
      </c>
      <c r="AW8" s="63">
        <f>'Raw Datas'!AX67</f>
        <v>0.56568333333333343</v>
      </c>
      <c r="AX8" s="63">
        <f>'Raw Datas'!AY67</f>
        <v>2.4613999999999998</v>
      </c>
      <c r="AY8" s="63" t="str">
        <f>'Raw Datas'!AZ67</f>
        <v>0</v>
      </c>
      <c r="AZ8" s="63">
        <f>'Raw Datas'!BA67</f>
        <v>0.66771666666666674</v>
      </c>
      <c r="BA8" s="63">
        <f>'Raw Datas'!BB67</f>
        <v>0.54123333333333323</v>
      </c>
      <c r="BB8" s="63">
        <f>'Raw Datas'!BC67</f>
        <v>1.25735</v>
      </c>
      <c r="BC8" s="63">
        <f>'Raw Datas'!BD67</f>
        <v>0.66425000000000012</v>
      </c>
      <c r="BD8" s="63" t="str">
        <f>'Raw Datas'!BE67</f>
        <v>0</v>
      </c>
      <c r="BE8" s="63">
        <f>'Raw Datas'!BF67</f>
        <v>0.35031666666666672</v>
      </c>
      <c r="BF8" s="63" t="str">
        <f>'Raw Datas'!BG67</f>
        <v>0</v>
      </c>
      <c r="BG8" s="63" t="str">
        <f>'Raw Datas'!BH67</f>
        <v>0</v>
      </c>
      <c r="BH8" s="63">
        <f>'Raw Datas'!BI67</f>
        <v>0.39321666666666671</v>
      </c>
      <c r="BI8" s="63">
        <f>'Raw Datas'!BJ67</f>
        <v>3.0922333333333332</v>
      </c>
      <c r="BJ8" s="63">
        <f>'Raw Datas'!BK67</f>
        <v>5.209316666666667</v>
      </c>
      <c r="BK8" s="63">
        <f>'Raw Datas'!BL67</f>
        <v>2.7296499999999999</v>
      </c>
      <c r="BL8" s="63">
        <f>'Raw Datas'!BM67</f>
        <v>3.5019999999999998</v>
      </c>
      <c r="BM8" s="63">
        <f>'Raw Datas'!BN67</f>
        <v>6.313083333333334</v>
      </c>
      <c r="BN8" s="63">
        <f>'Raw Datas'!BO67</f>
        <v>2.0297000000000001</v>
      </c>
      <c r="BO8" s="63">
        <f>'Raw Datas'!BP67</f>
        <v>1.61555</v>
      </c>
      <c r="BP8" s="63">
        <f>'Raw Datas'!BQ67</f>
        <v>0.53649999999999998</v>
      </c>
      <c r="BQ8" s="63" t="str">
        <f>'Raw Datas'!BR67</f>
        <v>0</v>
      </c>
      <c r="BR8" s="63">
        <f>'Raw Datas'!BS67</f>
        <v>1.9818166666666668</v>
      </c>
      <c r="BS8" s="63">
        <f>'Raw Datas'!BT67</f>
        <v>1.6108166666666668</v>
      </c>
      <c r="BT8" s="63" t="str">
        <f>'Raw Datas'!BU67</f>
        <v>0</v>
      </c>
      <c r="BU8" s="63">
        <f>'Raw Datas'!BV67</f>
        <v>1.3097500000000002</v>
      </c>
      <c r="BV8" s="63">
        <f>'Raw Datas'!BW67</f>
        <v>2.0626000000000002</v>
      </c>
      <c r="BW8" s="63">
        <f>'Raw Datas'!BX67</f>
        <v>0.41833333333333328</v>
      </c>
      <c r="BX8" s="63">
        <f>'Raw Datas'!BY67</f>
        <v>3.0598999999999998</v>
      </c>
      <c r="BY8" s="63">
        <f>'Raw Datas'!BZ67</f>
        <v>1.2577</v>
      </c>
      <c r="BZ8" s="63">
        <f>'Raw Datas'!CA67</f>
        <v>1.622166666666667</v>
      </c>
      <c r="CA8" s="63">
        <f>'Raw Datas'!CB67</f>
        <v>0.43714999999999998</v>
      </c>
      <c r="CB8" s="63">
        <f>'Raw Datas'!CC67</f>
        <v>0.62090000000000001</v>
      </c>
      <c r="CC8" s="63" t="str">
        <f>'Raw Datas'!CD67</f>
        <v>0</v>
      </c>
      <c r="CD8" s="63">
        <f>'Raw Datas'!CE67</f>
        <v>1.4082999999999999</v>
      </c>
      <c r="CE8" s="63" t="str">
        <f>'Raw Datas'!CF67</f>
        <v>0</v>
      </c>
      <c r="CF8" s="63" t="str">
        <f>'Raw Datas'!CG67</f>
        <v>0</v>
      </c>
      <c r="CG8" s="63">
        <f>'Raw Datas'!CH67</f>
        <v>5.1285333333333334</v>
      </c>
      <c r="CH8" s="63" t="str">
        <f>'Raw Datas'!CI67</f>
        <v>0</v>
      </c>
      <c r="CI8" s="63">
        <f>'Raw Datas'!CJ67</f>
        <v>0.56486666666666663</v>
      </c>
      <c r="CJ8" s="63" t="str">
        <f>'Raw Datas'!CK67</f>
        <v>0</v>
      </c>
      <c r="CK8" s="63" t="str">
        <f>'Raw Datas'!CL67</f>
        <v>0</v>
      </c>
      <c r="CL8" s="63">
        <f>'Raw Datas'!CM67</f>
        <v>1.7423499999999998</v>
      </c>
      <c r="CM8" s="63">
        <f>'Raw Datas'!CN67</f>
        <v>0.98731666666666662</v>
      </c>
      <c r="CN8" s="63">
        <f>'Raw Datas'!CO67</f>
        <v>17.711383333333334</v>
      </c>
      <c r="CO8" s="63">
        <f>'Raw Datas'!CP67</f>
        <v>2.6013833333333332</v>
      </c>
      <c r="CP8" s="63">
        <f>'Raw Datas'!CQ67</f>
        <v>4.5282833333333334</v>
      </c>
      <c r="CQ8" s="63">
        <f>'Raw Datas'!CR67</f>
        <v>3.1566333333333336</v>
      </c>
      <c r="CR8" s="63">
        <f>'Raw Datas'!CS67</f>
        <v>2.0075833333333337</v>
      </c>
      <c r="CS8" s="63" t="str">
        <f>'Raw Datas'!CT67</f>
        <v>0</v>
      </c>
      <c r="CT8" s="63">
        <f>'Raw Datas'!CU67</f>
        <v>1.3866166666666664</v>
      </c>
      <c r="CU8" s="63">
        <f>'Raw Datas'!CV67</f>
        <v>4.261916666666667</v>
      </c>
      <c r="CV8" s="63">
        <f>'Raw Datas'!CW67</f>
        <v>1.0163</v>
      </c>
      <c r="CW8" s="63">
        <f>'Raw Datas'!CX67</f>
        <v>1.0815333333333332</v>
      </c>
      <c r="CX8" s="63">
        <f>'Raw Datas'!CY67</f>
        <v>0.38605</v>
      </c>
      <c r="CY8" s="63" t="str">
        <f>'Raw Datas'!CZ67</f>
        <v>0</v>
      </c>
      <c r="CZ8" s="63">
        <f>'Raw Datas'!DA67</f>
        <v>0.40365000000000001</v>
      </c>
      <c r="DA8" s="63">
        <f>'Raw Datas'!DB67</f>
        <v>0.59740000000000004</v>
      </c>
      <c r="DB8" s="63">
        <f>'Raw Datas'!DC67</f>
        <v>2.7759499999999999</v>
      </c>
      <c r="DC8" s="63">
        <f>'Raw Datas'!DD67</f>
        <v>4.4661499999999998</v>
      </c>
      <c r="DD8" s="63">
        <f>'Raw Datas'!DE67</f>
        <v>0.9791333333333333</v>
      </c>
      <c r="DE8" s="63" t="str">
        <f>'Raw Datas'!DF67</f>
        <v>0</v>
      </c>
      <c r="DF8" s="63">
        <f>'Raw Datas'!DG67</f>
        <v>1.9403000000000001</v>
      </c>
      <c r="DG8" s="63" t="str">
        <f>'Raw Datas'!DH67</f>
        <v>0</v>
      </c>
      <c r="DH8" s="63">
        <f>'Raw Datas'!DI67</f>
        <v>1.6078999999999999</v>
      </c>
      <c r="DI8" s="63">
        <f>'Raw Datas'!DJ67</f>
        <v>1.0328333333333333</v>
      </c>
      <c r="DJ8" s="63">
        <f>'Raw Datas'!DK67</f>
        <v>1.5007666666666666</v>
      </c>
      <c r="DK8" s="63" t="str">
        <f>'Raw Datas'!DL67</f>
        <v>0</v>
      </c>
      <c r="DL8" s="63">
        <f>'Raw Datas'!DM67</f>
        <v>3.3772499999999996</v>
      </c>
      <c r="DM8" s="63">
        <f>'Raw Datas'!DN67</f>
        <v>2.0115166666666666</v>
      </c>
      <c r="DN8" s="63">
        <f>'Raw Datas'!DO67</f>
        <v>5.2689500000000002</v>
      </c>
      <c r="DO8" s="63" t="str">
        <f>'Raw Datas'!DP67</f>
        <v>0</v>
      </c>
      <c r="DP8" s="63" t="str">
        <f>'Raw Datas'!DQ67</f>
        <v>0</v>
      </c>
      <c r="DQ8" s="63">
        <f>'Raw Datas'!DR67</f>
        <v>1.5314833333333335</v>
      </c>
      <c r="DR8" s="63" t="str">
        <f>'Raw Datas'!DS67</f>
        <v>0</v>
      </c>
      <c r="DS8" s="63">
        <f>'Raw Datas'!DT67</f>
        <v>1.1598666666666666</v>
      </c>
      <c r="DT8" s="63">
        <f>'Raw Datas'!DU67</f>
        <v>3.8379666666666665</v>
      </c>
      <c r="DU8" s="63">
        <f>'Raw Datas'!DV67</f>
        <v>1.0676999999999999</v>
      </c>
      <c r="DV8" s="63">
        <f>'Raw Datas'!DW67</f>
        <v>0.999</v>
      </c>
      <c r="DW8" s="63" t="str">
        <f>'Raw Datas'!DX67</f>
        <v>0</v>
      </c>
      <c r="DX8" s="63">
        <f>'Raw Datas'!DY67</f>
        <v>1.0488999999999999</v>
      </c>
      <c r="DY8" s="63">
        <f>'Raw Datas'!DZ67</f>
        <v>0.60068333333333324</v>
      </c>
      <c r="DZ8" s="63">
        <f>'Raw Datas'!EA67</f>
        <v>1.1946666666666668</v>
      </c>
      <c r="EA8" s="63">
        <f>'Raw Datas'!EB67</f>
        <v>4.7552833333333338</v>
      </c>
      <c r="EB8" s="63">
        <f>'Raw Datas'!EC67</f>
        <v>0.36184999999999995</v>
      </c>
      <c r="EC8" s="63" t="str">
        <f>'Raw Datas'!ED67</f>
        <v>0</v>
      </c>
      <c r="ED8" s="63" t="str">
        <f>'Raw Datas'!EE67</f>
        <v>0</v>
      </c>
      <c r="EE8" s="63">
        <f>'Raw Datas'!EF67</f>
        <v>0.30360000000000004</v>
      </c>
      <c r="EF8" s="63">
        <f>'Raw Datas'!EG67</f>
        <v>0.46096666666666669</v>
      </c>
      <c r="EG8" s="63">
        <f>'Raw Datas'!EH67</f>
        <v>0.60428333333333339</v>
      </c>
      <c r="EH8" s="63">
        <f>'Raw Datas'!EI67</f>
        <v>0.33565</v>
      </c>
      <c r="EI8" s="63">
        <f>'Raw Datas'!EJ67</f>
        <v>0.83050000000000002</v>
      </c>
      <c r="EJ8" s="63" t="str">
        <f>'Raw Datas'!EK67</f>
        <v>0</v>
      </c>
      <c r="EK8" s="63">
        <f>'Raw Datas'!EL67</f>
        <v>0.4451</v>
      </c>
      <c r="EL8" s="63">
        <f>'Raw Datas'!EM67</f>
        <v>0.82550000000000001</v>
      </c>
      <c r="EM8" s="63">
        <f>'Raw Datas'!EN67</f>
        <v>0.55946666666666667</v>
      </c>
      <c r="EN8" s="63" t="str">
        <f>'Raw Datas'!EO67</f>
        <v>0</v>
      </c>
      <c r="EO8" s="63">
        <f>'Raw Datas'!EP67</f>
        <v>0.43873333333333336</v>
      </c>
      <c r="EP8" s="63" t="str">
        <f>'Raw Datas'!EQ67</f>
        <v>0</v>
      </c>
      <c r="EQ8" s="63">
        <f>'Raw Datas'!ER67</f>
        <v>2.2169499999999998</v>
      </c>
      <c r="ER8" s="63" t="str">
        <f>'Raw Datas'!ES67</f>
        <v>0</v>
      </c>
      <c r="ES8" s="63">
        <f>'Raw Datas'!ET67</f>
        <v>0.61759999999999993</v>
      </c>
      <c r="ET8" s="63">
        <f>'Raw Datas'!EU67</f>
        <v>1.8024999999999998</v>
      </c>
      <c r="EU8" s="63">
        <f>'Raw Datas'!EV67</f>
        <v>1.2998666666666667</v>
      </c>
      <c r="EV8" s="63" t="str">
        <f>'Raw Datas'!EW67</f>
        <v>0</v>
      </c>
      <c r="EW8" s="63">
        <f>'Raw Datas'!EX67</f>
        <v>3.4348666666666667</v>
      </c>
      <c r="EX8" s="63">
        <f>'Raw Datas'!EY67</f>
        <v>1.5818166666666664</v>
      </c>
      <c r="EY8" s="63">
        <f>'Raw Datas'!EZ67</f>
        <v>3.8414166666666669</v>
      </c>
      <c r="EZ8" s="63" t="str">
        <f>'Raw Datas'!FA67</f>
        <v>0</v>
      </c>
      <c r="FA8" s="63" t="str">
        <f>'Raw Datas'!FB67</f>
        <v>0</v>
      </c>
      <c r="FB8" s="63">
        <f>'Raw Datas'!FC67</f>
        <v>1.6433666666666666</v>
      </c>
      <c r="FC8" s="63" t="str">
        <f>'Raw Datas'!FD67</f>
        <v>0</v>
      </c>
      <c r="FD8" s="63">
        <f>'Raw Datas'!FE67</f>
        <v>0.82181666666666675</v>
      </c>
      <c r="FE8" s="63">
        <f>'Raw Datas'!FF67</f>
        <v>2.1832833333333337</v>
      </c>
      <c r="FF8" s="63">
        <f>'Raw Datas'!FG67</f>
        <v>0.4119166666666666</v>
      </c>
      <c r="FG8" s="63">
        <f>'Raw Datas'!FH67</f>
        <v>0.42185</v>
      </c>
      <c r="FH8" s="63">
        <f>'Raw Datas'!FI67</f>
        <v>1.6161333333333332</v>
      </c>
      <c r="FI8" s="63">
        <f>'Raw Datas'!FJ67</f>
        <v>4.4556500000000003</v>
      </c>
      <c r="FJ8" s="63">
        <f>'Raw Datas'!FK67</f>
        <v>10.225199999999999</v>
      </c>
      <c r="FK8" s="63">
        <f>'Raw Datas'!FL67</f>
        <v>0.44101666666666672</v>
      </c>
      <c r="FL8" s="63">
        <f>'Raw Datas'!FM67</f>
        <v>1.4871000000000001</v>
      </c>
      <c r="FM8" s="63">
        <f>'Raw Datas'!FN67</f>
        <v>0.42286666666666667</v>
      </c>
      <c r="FN8" s="63" t="str">
        <f>'Raw Datas'!FO67</f>
        <v>0</v>
      </c>
    </row>
    <row r="9" spans="1:170" ht="15.75" customHeight="1" x14ac:dyDescent="0.2">
      <c r="A9" s="104" t="s">
        <v>778</v>
      </c>
      <c r="B9" s="60">
        <f>'Raw Datas'!C74</f>
        <v>3.5515666666666665</v>
      </c>
      <c r="C9" s="63">
        <f>'Raw Datas'!D74</f>
        <v>1.8797333333333333</v>
      </c>
      <c r="D9" s="63">
        <f>'Raw Datas'!E74</f>
        <v>1.2228833333333333</v>
      </c>
      <c r="E9" s="63">
        <f>'Raw Datas'!F74</f>
        <v>7.4822333333333324</v>
      </c>
      <c r="F9" s="63">
        <f>'Raw Datas'!G74</f>
        <v>2.1341166666666664</v>
      </c>
      <c r="G9" s="63">
        <f>'Raw Datas'!H74</f>
        <v>1.47055</v>
      </c>
      <c r="H9" s="63">
        <f>'Raw Datas'!I74</f>
        <v>0.86285000000000001</v>
      </c>
      <c r="I9" s="63">
        <f>'Raw Datas'!J74</f>
        <v>0.69088333333333329</v>
      </c>
      <c r="J9" s="63">
        <f>'Raw Datas'!K74</f>
        <v>0.3575666666666667</v>
      </c>
      <c r="K9" s="63">
        <f>'Raw Datas'!L74</f>
        <v>2.6386499999999997</v>
      </c>
      <c r="L9" s="63">
        <f>'Raw Datas'!M74</f>
        <v>0.78569999999999995</v>
      </c>
      <c r="M9" s="63">
        <f>'Raw Datas'!N74</f>
        <v>0.87558333333333327</v>
      </c>
      <c r="N9" s="63">
        <f>'Raw Datas'!O74</f>
        <v>0.83048333333333335</v>
      </c>
      <c r="O9" s="63">
        <f>'Raw Datas'!P74</f>
        <v>2.8135666666666665</v>
      </c>
      <c r="P9" s="63">
        <f>'Raw Datas'!Q74</f>
        <v>2.2576666666666663</v>
      </c>
      <c r="Q9" s="63">
        <f>'Raw Datas'!R74</f>
        <v>15.032549999999999</v>
      </c>
      <c r="R9" s="63">
        <f>'Raw Datas'!S74</f>
        <v>0.66316666666666668</v>
      </c>
      <c r="S9" s="63">
        <f>'Raw Datas'!T74</f>
        <v>0.40048333333333325</v>
      </c>
      <c r="T9" s="63">
        <f>'Raw Datas'!U74</f>
        <v>2.1985166666666669</v>
      </c>
      <c r="U9" s="63">
        <f>'Raw Datas'!V74</f>
        <v>9.141666666666666E-2</v>
      </c>
      <c r="V9" s="63">
        <f>'Raw Datas'!W74</f>
        <v>1.2348285714285714</v>
      </c>
      <c r="W9" s="63">
        <f>'Raw Datas'!X74</f>
        <v>0.35627999999999999</v>
      </c>
      <c r="X9" s="63">
        <f>'Raw Datas'!Y74</f>
        <v>0.46311666666666673</v>
      </c>
      <c r="Y9" s="63">
        <f>'Raw Datas'!Z74</f>
        <v>1.8527999999999998</v>
      </c>
      <c r="Z9" s="63">
        <f>'Raw Datas'!AA74</f>
        <v>0.72400000000000009</v>
      </c>
      <c r="AA9" s="63">
        <f>'Raw Datas'!AB74</f>
        <v>0.54874999999999996</v>
      </c>
      <c r="AB9" s="63">
        <f>'Raw Datas'!AC74</f>
        <v>2.3289833333333334</v>
      </c>
      <c r="AC9" s="63">
        <f>'Raw Datas'!AD74</f>
        <v>2.4383500000000002</v>
      </c>
      <c r="AD9" s="63">
        <f>'Raw Datas'!AE74</f>
        <v>0.16014999999999999</v>
      </c>
      <c r="AE9" s="63">
        <f>'Raw Datas'!AF74</f>
        <v>3.273566666666667</v>
      </c>
      <c r="AF9" s="63">
        <f>'Raw Datas'!AG74</f>
        <v>5.8166833333333336</v>
      </c>
      <c r="AG9" s="63">
        <f>'Raw Datas'!AH74</f>
        <v>0.10206666666666668</v>
      </c>
      <c r="AH9" s="63">
        <f>'Raw Datas'!AI74</f>
        <v>5.1174333333333335</v>
      </c>
      <c r="AI9" s="63">
        <f>'Raw Datas'!AJ74</f>
        <v>0.95766666666666678</v>
      </c>
      <c r="AJ9" s="63">
        <f>'Raw Datas'!AK74</f>
        <v>1.6960166666666665</v>
      </c>
      <c r="AK9" s="63">
        <f>'Raw Datas'!AL74</f>
        <v>3.3905833333333333</v>
      </c>
      <c r="AL9" s="63">
        <f>'Raw Datas'!AM74</f>
        <v>0.59011666666666673</v>
      </c>
      <c r="AM9" s="63">
        <f>'Raw Datas'!AN74</f>
        <v>2.593433333333333</v>
      </c>
      <c r="AN9" s="63">
        <f>'Raw Datas'!AO74</f>
        <v>0.51773333333333338</v>
      </c>
      <c r="AO9" s="63">
        <f>'Raw Datas'!AP74</f>
        <v>3.8019333333333329</v>
      </c>
      <c r="AP9" s="63">
        <f>'Raw Datas'!AQ74</f>
        <v>4.4898333333333333</v>
      </c>
      <c r="AQ9" s="63">
        <f>'Raw Datas'!AR74</f>
        <v>1.7323666666666666</v>
      </c>
      <c r="AR9" s="63">
        <f>'Raw Datas'!AS74</f>
        <v>68.604733333333328</v>
      </c>
      <c r="AS9" s="63">
        <f>'Raw Datas'!AT74</f>
        <v>19.713450000000002</v>
      </c>
      <c r="AT9" s="63">
        <f>'Raw Datas'!AU74</f>
        <v>1.7422799999999998</v>
      </c>
      <c r="AU9" s="63">
        <f>'Raw Datas'!AV74</f>
        <v>0.78835999999999995</v>
      </c>
      <c r="AV9" s="63">
        <f>'Raw Datas'!AW74</f>
        <v>2.1162666666666667</v>
      </c>
      <c r="AW9" s="63">
        <f>'Raw Datas'!AX74</f>
        <v>2.8462499999999999</v>
      </c>
      <c r="AX9" s="63">
        <f>'Raw Datas'!AY74</f>
        <v>0.90778333333333328</v>
      </c>
      <c r="AY9" s="63">
        <f>'Raw Datas'!AZ74</f>
        <v>0.77790000000000004</v>
      </c>
      <c r="AZ9" s="63">
        <f>'Raw Datas'!BA74</f>
        <v>2.2794499999999998</v>
      </c>
      <c r="BA9" s="63">
        <f>'Raw Datas'!BB74</f>
        <v>0.27904999999999996</v>
      </c>
      <c r="BB9" s="63">
        <f>'Raw Datas'!BC74</f>
        <v>8.1716666666666674E-2</v>
      </c>
      <c r="BC9" s="63">
        <f>'Raw Datas'!BD74</f>
        <v>0.40859999999999996</v>
      </c>
      <c r="BD9" s="63">
        <f>'Raw Datas'!BE74</f>
        <v>0.39374999999999999</v>
      </c>
      <c r="BE9" s="63">
        <f>'Raw Datas'!BF74</f>
        <v>10.742366666666667</v>
      </c>
      <c r="BF9" s="63">
        <f>'Raw Datas'!BG74</f>
        <v>0.67525000000000002</v>
      </c>
      <c r="BG9" s="63">
        <f>'Raw Datas'!BH74</f>
        <v>1.7455166666666668</v>
      </c>
      <c r="BH9" s="63">
        <f>'Raw Datas'!BI74</f>
        <v>2.439516666666667</v>
      </c>
      <c r="BI9" s="63">
        <f>'Raw Datas'!BJ74</f>
        <v>13.402500000000002</v>
      </c>
      <c r="BJ9" s="63">
        <f>'Raw Datas'!BK74</f>
        <v>6.0016999999999996</v>
      </c>
      <c r="BK9" s="63">
        <f>'Raw Datas'!BL74</f>
        <v>37.299083333333336</v>
      </c>
      <c r="BL9" s="63">
        <f>'Raw Datas'!BM74</f>
        <v>17.189857142857143</v>
      </c>
      <c r="BM9" s="63">
        <f>'Raw Datas'!BN74</f>
        <v>45.885766666666662</v>
      </c>
      <c r="BN9" s="63">
        <f>'Raw Datas'!BO74</f>
        <v>42.103050000000003</v>
      </c>
      <c r="BO9" s="63">
        <f>'Raw Datas'!BP74</f>
        <v>29.012116666666664</v>
      </c>
      <c r="BP9" s="63">
        <f>'Raw Datas'!BQ74</f>
        <v>1.8921333333333334</v>
      </c>
      <c r="BQ9" s="63">
        <f>'Raw Datas'!BR74</f>
        <v>0.26117142857142855</v>
      </c>
      <c r="BR9" s="63">
        <f>'Raw Datas'!BS74</f>
        <v>18.124000000000002</v>
      </c>
      <c r="BS9" s="63">
        <f>'Raw Datas'!BT74</f>
        <v>11.912583333333334</v>
      </c>
      <c r="BT9" s="63">
        <f>'Raw Datas'!BU74</f>
        <v>4.2499333333333338</v>
      </c>
      <c r="BU9" s="63">
        <f>'Raw Datas'!BV74</f>
        <v>1.4889999999999999</v>
      </c>
      <c r="BV9" s="63">
        <f>'Raw Datas'!BW74</f>
        <v>10.56865</v>
      </c>
      <c r="BW9" s="63">
        <f>'Raw Datas'!BX74</f>
        <v>1.7334666666666669</v>
      </c>
      <c r="BX9" s="63">
        <f>'Raw Datas'!BY74</f>
        <v>1.7314333333333332</v>
      </c>
      <c r="BY9" s="63">
        <f>'Raw Datas'!BZ74</f>
        <v>1.1416499999999998</v>
      </c>
      <c r="BZ9" s="63">
        <f>'Raw Datas'!CA74</f>
        <v>4.0058666666666669</v>
      </c>
      <c r="CA9" s="63">
        <f>'Raw Datas'!CB74</f>
        <v>3.4410666666666665</v>
      </c>
      <c r="CB9" s="63">
        <f>'Raw Datas'!CC74</f>
        <v>1.3267333333333333</v>
      </c>
      <c r="CC9" s="63">
        <f>'Raw Datas'!CD74</f>
        <v>0.51850000000000007</v>
      </c>
      <c r="CD9" s="63">
        <f>'Raw Datas'!CE74</f>
        <v>2.71455</v>
      </c>
      <c r="CE9" s="63">
        <f>'Raw Datas'!CF74</f>
        <v>1.8916999999999999</v>
      </c>
      <c r="CF9" s="63">
        <f>'Raw Datas'!CG74</f>
        <v>0.40425</v>
      </c>
      <c r="CG9" s="63">
        <f>'Raw Datas'!CH74</f>
        <v>0.42481666666666668</v>
      </c>
      <c r="CH9" s="63">
        <f>'Raw Datas'!CI74</f>
        <v>2.5935666666666668</v>
      </c>
      <c r="CI9" s="63">
        <f>'Raw Datas'!CJ74</f>
        <v>3.0512444444444449</v>
      </c>
      <c r="CJ9" s="63">
        <f>'Raw Datas'!CK74</f>
        <v>4.9566666666666669E-2</v>
      </c>
      <c r="CK9" s="63">
        <f>'Raw Datas'!CL74</f>
        <v>0.26516666666666666</v>
      </c>
      <c r="CL9" s="63">
        <f>'Raw Datas'!CM74</f>
        <v>1.1201000000000001</v>
      </c>
      <c r="CM9" s="63">
        <f>'Raw Datas'!CN74</f>
        <v>0.32083333333333336</v>
      </c>
      <c r="CN9" s="63">
        <f>'Raw Datas'!CO74</f>
        <v>0.40166666666666667</v>
      </c>
      <c r="CO9" s="63">
        <f>'Raw Datas'!CP74</f>
        <v>1.5260833333333332</v>
      </c>
      <c r="CP9" s="63">
        <f>'Raw Datas'!CQ74</f>
        <v>1.8708666666666667</v>
      </c>
      <c r="CQ9" s="63">
        <f>'Raw Datas'!CR74</f>
        <v>6.2833499999999995</v>
      </c>
      <c r="CR9" s="63">
        <f>'Raw Datas'!CS74</f>
        <v>0.19511666666666669</v>
      </c>
      <c r="CS9" s="63">
        <f>'Raw Datas'!CT74</f>
        <v>0.10238333333333333</v>
      </c>
      <c r="CT9" s="63">
        <f>'Raw Datas'!CU74</f>
        <v>2.2044833333333336</v>
      </c>
      <c r="CU9" s="63">
        <f>'Raw Datas'!CV74</f>
        <v>0.42814999999999998</v>
      </c>
      <c r="CV9" s="63">
        <f>'Raw Datas'!CW74</f>
        <v>2.1862666666666666</v>
      </c>
      <c r="CW9" s="63">
        <f>'Raw Datas'!CX74</f>
        <v>0.31973333333333337</v>
      </c>
      <c r="CX9" s="63">
        <f>'Raw Datas'!CY74</f>
        <v>4.1179000000000006</v>
      </c>
      <c r="CY9" s="63">
        <f>'Raw Datas'!CZ74</f>
        <v>1.0131666666666665</v>
      </c>
      <c r="CZ9" s="63">
        <f>'Raw Datas'!DA74</f>
        <v>0.26373333333333332</v>
      </c>
      <c r="DA9" s="63">
        <f>'Raw Datas'!DB74</f>
        <v>0.91751666666666654</v>
      </c>
      <c r="DB9" s="63">
        <f>'Raw Datas'!DC74</f>
        <v>3.2697833333333337</v>
      </c>
      <c r="DC9" s="63">
        <f>'Raw Datas'!DD74</f>
        <v>0.52324999999999999</v>
      </c>
      <c r="DD9" s="63">
        <f>'Raw Datas'!DE74</f>
        <v>0.2820833333333333</v>
      </c>
      <c r="DE9" s="63">
        <f>'Raw Datas'!DF74</f>
        <v>0.40841666666666665</v>
      </c>
      <c r="DF9" s="63">
        <f>'Raw Datas'!DG74</f>
        <v>6.5539500000000004</v>
      </c>
      <c r="DG9" s="63">
        <f>'Raw Datas'!DH74</f>
        <v>0.17119999999999996</v>
      </c>
      <c r="DH9" s="63">
        <f>'Raw Datas'!DI74</f>
        <v>0.42381666666666662</v>
      </c>
      <c r="DI9" s="63">
        <f>'Raw Datas'!DJ74</f>
        <v>2.62405</v>
      </c>
      <c r="DJ9" s="63">
        <f>'Raw Datas'!DK74</f>
        <v>7.0392666666666663</v>
      </c>
      <c r="DK9" s="63">
        <f>'Raw Datas'!DL74</f>
        <v>1.5568</v>
      </c>
      <c r="DL9" s="63">
        <f>'Raw Datas'!DM74</f>
        <v>0.16716666666666666</v>
      </c>
      <c r="DM9" s="63">
        <f>'Raw Datas'!DN74</f>
        <v>1.4819833333333332</v>
      </c>
      <c r="DN9" s="63">
        <f>'Raw Datas'!DO74</f>
        <v>4.1026499999999997</v>
      </c>
      <c r="DO9" s="63">
        <f>'Raw Datas'!DP74</f>
        <v>3.162266666666667</v>
      </c>
      <c r="DP9" s="63">
        <f>'Raw Datas'!DQ74</f>
        <v>1.3182833333333333</v>
      </c>
      <c r="DQ9" s="63">
        <f>'Raw Datas'!DR74</f>
        <v>0.3843833333333333</v>
      </c>
      <c r="DR9" s="63">
        <f>'Raw Datas'!DS74</f>
        <v>0.94391666666666663</v>
      </c>
      <c r="DS9" s="63">
        <f>'Raw Datas'!DT74</f>
        <v>0.61043333333333327</v>
      </c>
      <c r="DT9" s="63">
        <f>'Raw Datas'!DU74</f>
        <v>3.0274999999999994</v>
      </c>
      <c r="DU9" s="63">
        <f>'Raw Datas'!DV74</f>
        <v>1.2035666666666667</v>
      </c>
      <c r="DV9" s="63">
        <f>'Raw Datas'!DW74</f>
        <v>0.37911666666666666</v>
      </c>
      <c r="DW9" s="63">
        <f>'Raw Datas'!DX74</f>
        <v>1.5260666666666665</v>
      </c>
      <c r="DX9" s="63">
        <f>'Raw Datas'!DY74</f>
        <v>0.68130000000000002</v>
      </c>
      <c r="DY9" s="63">
        <f>'Raw Datas'!DZ74</f>
        <v>1.5365666666666666</v>
      </c>
      <c r="DZ9" s="63">
        <f>'Raw Datas'!EA74</f>
        <v>0.75319999999999987</v>
      </c>
      <c r="EA9" s="63">
        <f>'Raw Datas'!EB74</f>
        <v>0.71640000000000004</v>
      </c>
      <c r="EB9" s="63">
        <f>'Raw Datas'!EC74</f>
        <v>1.8983166666666667</v>
      </c>
      <c r="EC9" s="63">
        <f>'Raw Datas'!ED74</f>
        <v>0.79349999999999998</v>
      </c>
      <c r="ED9" s="63">
        <f>'Raw Datas'!EE74</f>
        <v>1.2323999999999999</v>
      </c>
      <c r="EE9" s="63">
        <f>'Raw Datas'!EF74</f>
        <v>2.65985</v>
      </c>
      <c r="EF9" s="63">
        <f>'Raw Datas'!EG74</f>
        <v>2.0132333333333334</v>
      </c>
      <c r="EG9" s="63">
        <f>'Raw Datas'!EH74</f>
        <v>3.7483666666666671</v>
      </c>
      <c r="EH9" s="63">
        <f>'Raw Datas'!EI74</f>
        <v>0.3736666666666667</v>
      </c>
      <c r="EI9" s="63">
        <f>'Raw Datas'!EJ74</f>
        <v>0.53664999999999996</v>
      </c>
      <c r="EJ9" s="63">
        <f>'Raw Datas'!EK74</f>
        <v>1.1930499999999999</v>
      </c>
      <c r="EK9" s="63">
        <f>'Raw Datas'!EL74</f>
        <v>3.515333333333333</v>
      </c>
      <c r="EL9" s="63">
        <f>'Raw Datas'!EM74</f>
        <v>0.19061666666666666</v>
      </c>
      <c r="EM9" s="63">
        <f>'Raw Datas'!EN74</f>
        <v>6.6026500000000006</v>
      </c>
      <c r="EN9" s="63">
        <f>'Raw Datas'!EO74</f>
        <v>0.72756666666666669</v>
      </c>
      <c r="EO9" s="63">
        <f>'Raw Datas'!EP74</f>
        <v>2.8988500000000004</v>
      </c>
      <c r="EP9" s="63">
        <f>'Raw Datas'!EQ74</f>
        <v>0.82565</v>
      </c>
      <c r="EQ9" s="63">
        <f>'Raw Datas'!ER74</f>
        <v>0.39766666666666667</v>
      </c>
      <c r="ER9" s="63">
        <f>'Raw Datas'!ES74</f>
        <v>1.1470833333333335</v>
      </c>
      <c r="ES9" s="63">
        <f>'Raw Datas'!ET74</f>
        <v>3.4865333333333335</v>
      </c>
      <c r="ET9" s="63">
        <f>'Raw Datas'!EU74</f>
        <v>1.3916666666666666</v>
      </c>
      <c r="EU9" s="63">
        <f>'Raw Datas'!EV74</f>
        <v>2.6642166666666669</v>
      </c>
      <c r="EV9" s="63">
        <f>'Raw Datas'!EW74</f>
        <v>0.53015000000000001</v>
      </c>
      <c r="EW9" s="63">
        <f>'Raw Datas'!EX74</f>
        <v>1.6353499999999999</v>
      </c>
      <c r="EX9" s="63">
        <f>'Raw Datas'!EY74</f>
        <v>0.79088333333333338</v>
      </c>
      <c r="EY9" s="63">
        <f>'Raw Datas'!EZ74</f>
        <v>1.1988666666666667</v>
      </c>
      <c r="EZ9" s="63">
        <f>'Raw Datas'!FA74</f>
        <v>0.20331666666666667</v>
      </c>
      <c r="FA9" s="63">
        <f>'Raw Datas'!FB74</f>
        <v>0.95839999999999992</v>
      </c>
      <c r="FB9" s="63">
        <f>'Raw Datas'!FC74</f>
        <v>0.32028333333333331</v>
      </c>
      <c r="FC9" s="63">
        <f>'Raw Datas'!FD74</f>
        <v>3.9123000000000001</v>
      </c>
      <c r="FD9" s="63">
        <f>'Raw Datas'!FE74</f>
        <v>1.2454500000000002</v>
      </c>
      <c r="FE9" s="63">
        <f>'Raw Datas'!FF74</f>
        <v>1.6130833333333332</v>
      </c>
      <c r="FF9" s="63">
        <f>'Raw Datas'!FG74</f>
        <v>0.57353333333333334</v>
      </c>
      <c r="FG9" s="63">
        <f>'Raw Datas'!FH74</f>
        <v>1.2690166666666665</v>
      </c>
      <c r="FH9" s="63">
        <f>'Raw Datas'!FI74</f>
        <v>9.3750666666666671</v>
      </c>
      <c r="FI9" s="63">
        <f>'Raw Datas'!FJ74</f>
        <v>2.0926499999999999</v>
      </c>
      <c r="FJ9" s="63">
        <f>'Raw Datas'!FK74</f>
        <v>0.36200000000000004</v>
      </c>
      <c r="FK9" s="63">
        <f>'Raw Datas'!FL74</f>
        <v>0.21674999999999997</v>
      </c>
      <c r="FL9" s="63">
        <f>'Raw Datas'!FM74</f>
        <v>0.37361666666666665</v>
      </c>
      <c r="FM9" s="63">
        <f>'Raw Datas'!FN74</f>
        <v>1.5116000000000001</v>
      </c>
      <c r="FN9" s="63">
        <f>'Raw Datas'!FO74</f>
        <v>0.18694999999999998</v>
      </c>
    </row>
    <row r="10" spans="1:170" ht="15.75" customHeight="1" x14ac:dyDescent="0.2">
      <c r="A10" s="104" t="s">
        <v>779</v>
      </c>
      <c r="B10" s="60">
        <f>'Raw Datas'!C76</f>
        <v>0.46458333333333335</v>
      </c>
      <c r="C10" s="63">
        <f>'Raw Datas'!D76</f>
        <v>0.90194999999999992</v>
      </c>
      <c r="D10" s="63">
        <f>'Raw Datas'!E76</f>
        <v>1.21435</v>
      </c>
      <c r="E10" s="63">
        <f>'Raw Datas'!F76</f>
        <v>5.6536166666666663</v>
      </c>
      <c r="F10" s="63">
        <f>'Raw Datas'!G76</f>
        <v>1.0921166666666666</v>
      </c>
      <c r="G10" s="63">
        <f>'Raw Datas'!H76</f>
        <v>2.0305499999999999</v>
      </c>
      <c r="H10" s="63">
        <f>'Raw Datas'!I76</f>
        <v>0.68046666666666655</v>
      </c>
      <c r="I10" s="63" t="str">
        <f>'Raw Datas'!J76</f>
        <v>0</v>
      </c>
      <c r="J10" s="63">
        <f>'Raw Datas'!K76</f>
        <v>0.24193333333333333</v>
      </c>
      <c r="K10" s="63">
        <f>'Raw Datas'!L76</f>
        <v>1.46905</v>
      </c>
      <c r="L10" s="63" t="str">
        <f>'Raw Datas'!M76</f>
        <v>0</v>
      </c>
      <c r="M10" s="63">
        <f>'Raw Datas'!N76</f>
        <v>1.8282666666666667</v>
      </c>
      <c r="N10" s="63">
        <f>'Raw Datas'!O76</f>
        <v>1.6001666666666667</v>
      </c>
      <c r="O10" s="63">
        <f>'Raw Datas'!P76</f>
        <v>1.2433666666666667</v>
      </c>
      <c r="P10" s="63">
        <f>'Raw Datas'!Q76</f>
        <v>2.0568666666666666</v>
      </c>
      <c r="Q10" s="63">
        <f>'Raw Datas'!R76</f>
        <v>29.350883333333332</v>
      </c>
      <c r="R10" s="63">
        <f>'Raw Datas'!S76</f>
        <v>0.17413333333333333</v>
      </c>
      <c r="S10" s="63">
        <f>'Raw Datas'!T76</f>
        <v>0.38796666666666663</v>
      </c>
      <c r="T10" s="63">
        <f>'Raw Datas'!U76</f>
        <v>1.6592833333333334</v>
      </c>
      <c r="U10" s="63">
        <f>'Raw Datas'!V76</f>
        <v>0.44460000000000005</v>
      </c>
      <c r="V10" s="63">
        <f>'Raw Datas'!W76</f>
        <v>2.3193999999999999</v>
      </c>
      <c r="W10" s="63" t="str">
        <f>'Raw Datas'!X76</f>
        <v>0</v>
      </c>
      <c r="X10" s="63">
        <f>'Raw Datas'!Y76</f>
        <v>0.78618333333333346</v>
      </c>
      <c r="Y10" s="63">
        <f>'Raw Datas'!Z76</f>
        <v>8.1737599999999997</v>
      </c>
      <c r="Z10" s="63">
        <f>'Raw Datas'!AA76</f>
        <v>0.19846666666666668</v>
      </c>
      <c r="AA10" s="63">
        <f>'Raw Datas'!AB76</f>
        <v>0.92841666666666667</v>
      </c>
      <c r="AB10" s="63">
        <f>'Raw Datas'!AC76</f>
        <v>1.1166000000000003</v>
      </c>
      <c r="AC10" s="63">
        <f>'Raw Datas'!AD76</f>
        <v>1.2274666666666667</v>
      </c>
      <c r="AD10" s="63" t="str">
        <f>'Raw Datas'!AE76</f>
        <v>0</v>
      </c>
      <c r="AE10" s="63">
        <f>'Raw Datas'!AF76</f>
        <v>0.58521666666666661</v>
      </c>
      <c r="AF10" s="63">
        <f>'Raw Datas'!AG76</f>
        <v>2.6840833333333336</v>
      </c>
      <c r="AG10" s="63">
        <f>'Raw Datas'!AH76</f>
        <v>0.63178333333333336</v>
      </c>
      <c r="AH10" s="63">
        <f>'Raw Datas'!AI76</f>
        <v>3.238466666666667</v>
      </c>
      <c r="AI10" s="63">
        <f>'Raw Datas'!AJ76</f>
        <v>1.6343999999999999</v>
      </c>
      <c r="AJ10" s="63">
        <f>'Raw Datas'!AK76</f>
        <v>0.63880000000000003</v>
      </c>
      <c r="AK10" s="63">
        <f>'Raw Datas'!AL76</f>
        <v>1.2262666666666666</v>
      </c>
      <c r="AL10" s="63">
        <f>'Raw Datas'!AM76</f>
        <v>1.2297</v>
      </c>
      <c r="AM10" s="63">
        <f>'Raw Datas'!AN76</f>
        <v>1.2309333333333332</v>
      </c>
      <c r="AN10" s="63" t="str">
        <f>'Raw Datas'!AO76</f>
        <v>0</v>
      </c>
      <c r="AO10" s="63">
        <f>'Raw Datas'!AP76</f>
        <v>1.1752833333333332</v>
      </c>
      <c r="AP10" s="63">
        <f>'Raw Datas'!AQ76</f>
        <v>1.7554666666666667</v>
      </c>
      <c r="AQ10" s="63">
        <f>'Raw Datas'!AR76</f>
        <v>0.55680000000000007</v>
      </c>
      <c r="AR10" s="63">
        <f>'Raw Datas'!AS76</f>
        <v>14.269433333333334</v>
      </c>
      <c r="AS10" s="63">
        <f>'Raw Datas'!AT76</f>
        <v>4.5469166666666663</v>
      </c>
      <c r="AT10" s="63" t="str">
        <f>'Raw Datas'!AU76</f>
        <v>0</v>
      </c>
      <c r="AU10" s="63" t="str">
        <f>'Raw Datas'!AV76</f>
        <v>0</v>
      </c>
      <c r="AV10" s="63" t="str">
        <f>'Raw Datas'!AW76</f>
        <v>0</v>
      </c>
      <c r="AW10" s="63">
        <f>'Raw Datas'!AX76</f>
        <v>1.0313000000000001</v>
      </c>
      <c r="AX10" s="63">
        <f>'Raw Datas'!AY76</f>
        <v>0.15261666666666668</v>
      </c>
      <c r="AY10" s="63" t="str">
        <f>'Raw Datas'!AZ76</f>
        <v>0</v>
      </c>
      <c r="AZ10" s="63">
        <f>'Raw Datas'!BA76</f>
        <v>0.41921666666666663</v>
      </c>
      <c r="BA10" s="63">
        <f>'Raw Datas'!BB76</f>
        <v>0.23538333333333336</v>
      </c>
      <c r="BB10" s="63" t="str">
        <f>'Raw Datas'!BC76</f>
        <v>0</v>
      </c>
      <c r="BC10" s="63" t="str">
        <f>'Raw Datas'!BD76</f>
        <v>0</v>
      </c>
      <c r="BD10" s="63" t="str">
        <f>'Raw Datas'!BE76</f>
        <v>0</v>
      </c>
      <c r="BE10" s="63">
        <f>'Raw Datas'!BF76</f>
        <v>4.6592000000000002</v>
      </c>
      <c r="BF10" s="63" t="str">
        <f>'Raw Datas'!BG76</f>
        <v>0</v>
      </c>
      <c r="BG10" s="63">
        <f>'Raw Datas'!BH76</f>
        <v>2.6139833333333331</v>
      </c>
      <c r="BH10" s="63">
        <f>'Raw Datas'!BI76</f>
        <v>2.5124166666666667</v>
      </c>
      <c r="BI10" s="63">
        <f>'Raw Datas'!BJ76</f>
        <v>7.8987166666666671</v>
      </c>
      <c r="BJ10" s="63">
        <f>'Raw Datas'!BK76</f>
        <v>2.4972333333333334</v>
      </c>
      <c r="BK10" s="63">
        <f>'Raw Datas'!BL76</f>
        <v>16.595333333333333</v>
      </c>
      <c r="BL10" s="63">
        <f>'Raw Datas'!BM76</f>
        <v>7.1669428571428568</v>
      </c>
      <c r="BM10" s="63">
        <f>'Raw Datas'!BN76</f>
        <v>30.100583333333329</v>
      </c>
      <c r="BN10" s="63">
        <f>'Raw Datas'!BO76</f>
        <v>11.893733333333332</v>
      </c>
      <c r="BO10" s="63">
        <f>'Raw Datas'!BP76</f>
        <v>14.796600000000002</v>
      </c>
      <c r="BP10" s="63">
        <f>'Raw Datas'!BQ76</f>
        <v>2.740933333333333</v>
      </c>
      <c r="BQ10" s="63">
        <f>'Raw Datas'!BR76</f>
        <v>0.43125714285714289</v>
      </c>
      <c r="BR10" s="63">
        <f>'Raw Datas'!BS76</f>
        <v>8.0312666666666672</v>
      </c>
      <c r="BS10" s="63">
        <f>'Raw Datas'!BT76</f>
        <v>8.0448833333333329</v>
      </c>
      <c r="BT10" s="63">
        <f>'Raw Datas'!BU76</f>
        <v>2.9572333333333338</v>
      </c>
      <c r="BU10" s="63">
        <f>'Raw Datas'!BV76</f>
        <v>1.4378833333333332</v>
      </c>
      <c r="BV10" s="63">
        <f>'Raw Datas'!BW76</f>
        <v>3.4052833333333337</v>
      </c>
      <c r="BW10" s="63">
        <f>'Raw Datas'!BX76</f>
        <v>1.0003500000000001</v>
      </c>
      <c r="BX10" s="63">
        <f>'Raw Datas'!BY76</f>
        <v>1.7591000000000001</v>
      </c>
      <c r="BY10" s="63">
        <f>'Raw Datas'!BZ76</f>
        <v>1.3127666666666664</v>
      </c>
      <c r="BZ10" s="63">
        <f>'Raw Datas'!CA76</f>
        <v>2.604916666666667</v>
      </c>
      <c r="CA10" s="63">
        <f>'Raw Datas'!CB76</f>
        <v>2.6385166666666664</v>
      </c>
      <c r="CB10" s="63">
        <f>'Raw Datas'!CC76</f>
        <v>1.3348500000000001</v>
      </c>
      <c r="CC10" s="63">
        <f>'Raw Datas'!CD76</f>
        <v>0.74483333333333346</v>
      </c>
      <c r="CD10" s="63">
        <f>'Raw Datas'!CE76</f>
        <v>8.4230333333333345</v>
      </c>
      <c r="CE10" s="63">
        <f>'Raw Datas'!CF76</f>
        <v>0.48153333333333337</v>
      </c>
      <c r="CF10" s="63">
        <f>'Raw Datas'!CG76</f>
        <v>0.63343333333333329</v>
      </c>
      <c r="CG10" s="63">
        <f>'Raw Datas'!CH76</f>
        <v>0.4451</v>
      </c>
      <c r="CH10" s="63">
        <f>'Raw Datas'!CI76</f>
        <v>1.8382833333333333</v>
      </c>
      <c r="CI10" s="63">
        <f>'Raw Datas'!CJ76</f>
        <v>1.8436444444444444</v>
      </c>
      <c r="CJ10" s="63" t="str">
        <f>'Raw Datas'!CK76</f>
        <v>0</v>
      </c>
      <c r="CK10" s="63">
        <f>'Raw Datas'!CL76</f>
        <v>0.92214999999999991</v>
      </c>
      <c r="CL10" s="63">
        <f>'Raw Datas'!CM76</f>
        <v>0.49251666666666666</v>
      </c>
      <c r="CM10" s="63" t="str">
        <f>'Raw Datas'!CN76</f>
        <v>0</v>
      </c>
      <c r="CN10" s="63">
        <f>'Raw Datas'!CO76</f>
        <v>0.30936666666666668</v>
      </c>
      <c r="CO10" s="63">
        <f>'Raw Datas'!CP76</f>
        <v>1.2778666666666667</v>
      </c>
      <c r="CP10" s="63">
        <f>'Raw Datas'!CQ76</f>
        <v>2.6540166666666662</v>
      </c>
      <c r="CQ10" s="63">
        <f>'Raw Datas'!CR76</f>
        <v>6.6844833333333336</v>
      </c>
      <c r="CR10" s="63">
        <f>'Raw Datas'!CS76</f>
        <v>0.19966666666666669</v>
      </c>
      <c r="CS10" s="63">
        <f>'Raw Datas'!CT76</f>
        <v>0.14601666666666666</v>
      </c>
      <c r="CT10" s="63">
        <f>'Raw Datas'!CU76</f>
        <v>1.0203833333333334</v>
      </c>
      <c r="CU10" s="63" t="str">
        <f>'Raw Datas'!CV76</f>
        <v>0</v>
      </c>
      <c r="CV10" s="63">
        <f>'Raw Datas'!CW76</f>
        <v>0.63044999999999995</v>
      </c>
      <c r="CW10" s="63" t="str">
        <f>'Raw Datas'!CX76</f>
        <v>0</v>
      </c>
      <c r="CX10" s="63">
        <f>'Raw Datas'!CY76</f>
        <v>2.5199833333333332</v>
      </c>
      <c r="CY10" s="63">
        <f>'Raw Datas'!CZ76</f>
        <v>0.59628333333333339</v>
      </c>
      <c r="CZ10" s="63">
        <f>'Raw Datas'!DA76</f>
        <v>0.15811666666666666</v>
      </c>
      <c r="DA10" s="63">
        <f>'Raw Datas'!DB76</f>
        <v>1.4204833333333333</v>
      </c>
      <c r="DB10" s="63">
        <f>'Raw Datas'!DC76</f>
        <v>1.9972666666666663</v>
      </c>
      <c r="DC10" s="63">
        <f>'Raw Datas'!DD76</f>
        <v>0.36270000000000002</v>
      </c>
      <c r="DD10" s="63">
        <f>'Raw Datas'!DE76</f>
        <v>0.96915000000000007</v>
      </c>
      <c r="DE10" s="63">
        <f>'Raw Datas'!DF76</f>
        <v>0.44743333333333335</v>
      </c>
      <c r="DF10" s="63">
        <f>'Raw Datas'!DG76</f>
        <v>4.0343333333333335</v>
      </c>
      <c r="DG10" s="63" t="str">
        <f>'Raw Datas'!DH76</f>
        <v>0</v>
      </c>
      <c r="DH10" s="63">
        <f>'Raw Datas'!DI76</f>
        <v>0.6808833333333334</v>
      </c>
      <c r="DI10" s="63">
        <f>'Raw Datas'!DJ76</f>
        <v>4.0781999999999998</v>
      </c>
      <c r="DJ10" s="63">
        <f>'Raw Datas'!DK76</f>
        <v>2.9774999999999996</v>
      </c>
      <c r="DK10" s="63">
        <f>'Raw Datas'!DL76</f>
        <v>0.91431666666666667</v>
      </c>
      <c r="DL10" s="63">
        <f>'Raw Datas'!DM76</f>
        <v>0.46265000000000001</v>
      </c>
      <c r="DM10" s="63">
        <f>'Raw Datas'!DN76</f>
        <v>2.1691500000000001</v>
      </c>
      <c r="DN10" s="63">
        <f>'Raw Datas'!DO76</f>
        <v>3.008033333333334</v>
      </c>
      <c r="DO10" s="63">
        <f>'Raw Datas'!DP76</f>
        <v>0.70706666666666662</v>
      </c>
      <c r="DP10" s="63">
        <f>'Raw Datas'!DQ76</f>
        <v>0.45119999999999999</v>
      </c>
      <c r="DQ10" s="63">
        <f>'Raw Datas'!DR76</f>
        <v>0.15308333333333335</v>
      </c>
      <c r="DR10" s="63">
        <f>'Raw Datas'!DS76</f>
        <v>0.51493333333333335</v>
      </c>
      <c r="DS10" s="63" t="str">
        <f>'Raw Datas'!DT76</f>
        <v>0</v>
      </c>
      <c r="DT10" s="63">
        <f>'Raw Datas'!DU76</f>
        <v>1.3974666666666666</v>
      </c>
      <c r="DU10" s="63">
        <f>'Raw Datas'!DV76</f>
        <v>0.43776666666666664</v>
      </c>
      <c r="DV10" s="63">
        <f>'Raw Datas'!DW76</f>
        <v>0.67368333333333319</v>
      </c>
      <c r="DW10" s="63">
        <f>'Raw Datas'!DX76</f>
        <v>1.2328666666666666</v>
      </c>
      <c r="DX10" s="63">
        <f>'Raw Datas'!DY76</f>
        <v>0.6735000000000001</v>
      </c>
      <c r="DY10" s="63">
        <f>'Raw Datas'!DZ76</f>
        <v>2.2971500000000002</v>
      </c>
      <c r="DZ10" s="63">
        <f>'Raw Datas'!EA76</f>
        <v>0.77434999999999998</v>
      </c>
      <c r="EA10" s="63">
        <f>'Raw Datas'!EB76</f>
        <v>0.22716666666666666</v>
      </c>
      <c r="EB10" s="63">
        <f>'Raw Datas'!EC76</f>
        <v>0.44658333333333339</v>
      </c>
      <c r="EC10" s="63">
        <f>'Raw Datas'!ED76</f>
        <v>0.64408333333333334</v>
      </c>
      <c r="ED10" s="63">
        <f>'Raw Datas'!EE76</f>
        <v>0.59786666666666666</v>
      </c>
      <c r="EE10" s="63">
        <f>'Raw Datas'!EF76</f>
        <v>0.9579333333333333</v>
      </c>
      <c r="EF10" s="63">
        <f>'Raw Datas'!EG76</f>
        <v>0.74171666666666669</v>
      </c>
      <c r="EG10" s="63">
        <f>'Raw Datas'!EH76</f>
        <v>2.9496666666666669</v>
      </c>
      <c r="EH10" s="63" t="str">
        <f>'Raw Datas'!EI76</f>
        <v>0</v>
      </c>
      <c r="EI10" s="63">
        <f>'Raw Datas'!EJ76</f>
        <v>0.82321666666666671</v>
      </c>
      <c r="EJ10" s="63">
        <f>'Raw Datas'!EK76</f>
        <v>2.3511499999999996</v>
      </c>
      <c r="EK10" s="63">
        <f>'Raw Datas'!EL76</f>
        <v>3.5039333333333333</v>
      </c>
      <c r="EL10" s="63" t="str">
        <f>'Raw Datas'!EM76</f>
        <v>0</v>
      </c>
      <c r="EM10" s="63">
        <f>'Raw Datas'!EN76</f>
        <v>2.0495833333333331</v>
      </c>
      <c r="EN10" s="63">
        <f>'Raw Datas'!EO76</f>
        <v>1.7577166666666668</v>
      </c>
      <c r="EO10" s="63">
        <f>'Raw Datas'!EP76</f>
        <v>1.5848666666666666</v>
      </c>
      <c r="EP10" s="63">
        <f>'Raw Datas'!EQ76</f>
        <v>0.35011666666666663</v>
      </c>
      <c r="EQ10" s="63">
        <f>'Raw Datas'!ER76</f>
        <v>0.43198333333333327</v>
      </c>
      <c r="ER10" s="63">
        <f>'Raw Datas'!ES76</f>
        <v>0.60303333333333342</v>
      </c>
      <c r="ES10" s="63">
        <f>'Raw Datas'!ET76</f>
        <v>0.7270833333333333</v>
      </c>
      <c r="ET10" s="63">
        <f>'Raw Datas'!EU76</f>
        <v>1.4694</v>
      </c>
      <c r="EU10" s="63">
        <f>'Raw Datas'!EV76</f>
        <v>1.2329000000000001</v>
      </c>
      <c r="EV10" s="63">
        <f>'Raw Datas'!EW76</f>
        <v>0.61003333333333343</v>
      </c>
      <c r="EW10" s="63">
        <f>'Raw Datas'!EX76</f>
        <v>1.0279833333333335</v>
      </c>
      <c r="EX10" s="63">
        <f>'Raw Datas'!EY76</f>
        <v>0.37803333333333339</v>
      </c>
      <c r="EY10" s="63">
        <f>'Raw Datas'!EZ76</f>
        <v>0.24323333333333336</v>
      </c>
      <c r="EZ10" s="63">
        <f>'Raw Datas'!FA76</f>
        <v>0.17671666666666666</v>
      </c>
      <c r="FA10" s="63">
        <f>'Raw Datas'!FB76</f>
        <v>0.57658333333333334</v>
      </c>
      <c r="FB10" s="63">
        <f>'Raw Datas'!FC76</f>
        <v>0.45821666666666666</v>
      </c>
      <c r="FC10" s="63">
        <f>'Raw Datas'!FD76</f>
        <v>1.2986166666666668</v>
      </c>
      <c r="FD10" s="63" t="str">
        <f>'Raw Datas'!FE76</f>
        <v>0</v>
      </c>
      <c r="FE10" s="63">
        <f>'Raw Datas'!FF76</f>
        <v>2.0124666666666666</v>
      </c>
      <c r="FF10" s="63">
        <f>'Raw Datas'!FG76</f>
        <v>0.15875</v>
      </c>
      <c r="FG10" s="63">
        <f>'Raw Datas'!FH76</f>
        <v>0.78733333333333333</v>
      </c>
      <c r="FH10" s="63">
        <f>'Raw Datas'!FI76</f>
        <v>2.2865500000000001</v>
      </c>
      <c r="FI10" s="63">
        <f>'Raw Datas'!FJ76</f>
        <v>0.74108333333333343</v>
      </c>
      <c r="FJ10" s="63">
        <f>'Raw Datas'!FK76</f>
        <v>0.28444999999999998</v>
      </c>
      <c r="FK10" s="63" t="str">
        <f>'Raw Datas'!FL76</f>
        <v>0</v>
      </c>
      <c r="FL10" s="63" t="str">
        <f>'Raw Datas'!FM76</f>
        <v>0</v>
      </c>
      <c r="FM10" s="63">
        <f>'Raw Datas'!FN76</f>
        <v>0.85479999999999989</v>
      </c>
      <c r="FN10" s="63">
        <f>'Raw Datas'!FO76</f>
        <v>0.12246666666666667</v>
      </c>
    </row>
    <row r="11" spans="1:170" ht="15.75" customHeight="1" thickBot="1" x14ac:dyDescent="0.25">
      <c r="A11" s="106" t="s">
        <v>780</v>
      </c>
      <c r="B11" s="62">
        <f>'Raw Datas'!C86</f>
        <v>11.630633333333332</v>
      </c>
      <c r="C11" s="64">
        <f>'Raw Datas'!D86</f>
        <v>21.740716666666668</v>
      </c>
      <c r="D11" s="64">
        <f>'Raw Datas'!E86</f>
        <v>3.3181999999999996</v>
      </c>
      <c r="E11" s="64">
        <f>'Raw Datas'!F86</f>
        <v>56.447400000000002</v>
      </c>
      <c r="F11" s="64">
        <f>'Raw Datas'!G86</f>
        <v>15.070783333333335</v>
      </c>
      <c r="G11" s="64">
        <f>'Raw Datas'!H86</f>
        <v>15.813233333333335</v>
      </c>
      <c r="H11" s="64">
        <f>'Raw Datas'!I86</f>
        <v>13.514316666666666</v>
      </c>
      <c r="I11" s="64">
        <f>'Raw Datas'!J86</f>
        <v>12.899650000000001</v>
      </c>
      <c r="J11" s="64">
        <f>'Raw Datas'!K86</f>
        <v>7.4378833333333327</v>
      </c>
      <c r="K11" s="64">
        <f>'Raw Datas'!L86</f>
        <v>46.136816666666661</v>
      </c>
      <c r="L11" s="64">
        <f>'Raw Datas'!M86</f>
        <v>11.6234</v>
      </c>
      <c r="M11" s="64">
        <f>'Raw Datas'!N86</f>
        <v>7.2766666666666664</v>
      </c>
      <c r="N11" s="64">
        <f>'Raw Datas'!O86</f>
        <v>3.2640333333333329</v>
      </c>
      <c r="O11" s="64">
        <f>'Raw Datas'!P86</f>
        <v>7.3103000000000007</v>
      </c>
      <c r="P11" s="64">
        <f>'Raw Datas'!Q86</f>
        <v>6.3947499999999993</v>
      </c>
      <c r="Q11" s="64">
        <f>'Raw Datas'!R86</f>
        <v>28.417950000000001</v>
      </c>
      <c r="R11" s="64">
        <f>'Raw Datas'!S86</f>
        <v>9.9231166666666653</v>
      </c>
      <c r="S11" s="64">
        <f>'Raw Datas'!T86</f>
        <v>3.5515833333333333</v>
      </c>
      <c r="T11" s="64">
        <f>'Raw Datas'!U86</f>
        <v>22.899799999999995</v>
      </c>
      <c r="U11" s="64">
        <f>'Raw Datas'!V86</f>
        <v>12.436816666666667</v>
      </c>
      <c r="V11" s="64">
        <f>'Raw Datas'!W86</f>
        <v>1.2789428571428574</v>
      </c>
      <c r="W11" s="64">
        <f>'Raw Datas'!X86</f>
        <v>0.45528000000000007</v>
      </c>
      <c r="X11" s="64">
        <f>'Raw Datas'!Y86</f>
        <v>10.403333333333334</v>
      </c>
      <c r="Y11" s="64">
        <f>'Raw Datas'!Z86</f>
        <v>4.1745200000000002</v>
      </c>
      <c r="Z11" s="64">
        <f>'Raw Datas'!AA86</f>
        <v>2.5615000000000001</v>
      </c>
      <c r="AA11" s="64">
        <f>'Raw Datas'!AB86</f>
        <v>24.658966666666668</v>
      </c>
      <c r="AB11" s="64">
        <f>'Raw Datas'!AC86</f>
        <v>39.53841666666667</v>
      </c>
      <c r="AC11" s="64">
        <f>'Raw Datas'!AD86</f>
        <v>18.951750000000001</v>
      </c>
      <c r="AD11" s="64">
        <f>'Raw Datas'!AE86</f>
        <v>6.1028333333333329</v>
      </c>
      <c r="AE11" s="64">
        <f>'Raw Datas'!AF86</f>
        <v>0.92595000000000005</v>
      </c>
      <c r="AF11" s="64">
        <f>'Raw Datas'!AG86</f>
        <v>9.4377166666666668</v>
      </c>
      <c r="AG11" s="64">
        <f>'Raw Datas'!AH86</f>
        <v>6.8115166666666669</v>
      </c>
      <c r="AH11" s="64">
        <f>'Raw Datas'!AI86</f>
        <v>7.2039</v>
      </c>
      <c r="AI11" s="64">
        <f>'Raw Datas'!AJ86</f>
        <v>2.0750666666666668</v>
      </c>
      <c r="AJ11" s="64">
        <f>'Raw Datas'!AK86</f>
        <v>19.16641666666667</v>
      </c>
      <c r="AK11" s="64">
        <f>'Raw Datas'!AL86</f>
        <v>4.7368166666666669</v>
      </c>
      <c r="AL11" s="64">
        <f>'Raw Datas'!AM86</f>
        <v>0.20368333333333333</v>
      </c>
      <c r="AM11" s="64">
        <f>'Raw Datas'!AN86</f>
        <v>22.67486666666667</v>
      </c>
      <c r="AN11" s="64">
        <f>'Raw Datas'!AO86</f>
        <v>9.147216666666667</v>
      </c>
      <c r="AO11" s="64">
        <f>'Raw Datas'!AP86</f>
        <v>0.90989999999999993</v>
      </c>
      <c r="AP11" s="64">
        <f>'Raw Datas'!AQ86</f>
        <v>7.9825000000000008</v>
      </c>
      <c r="AQ11" s="64">
        <f>'Raw Datas'!AR86</f>
        <v>5.2208833333333331</v>
      </c>
      <c r="AR11" s="64">
        <f>'Raw Datas'!AS86</f>
        <v>0.27883333333333332</v>
      </c>
      <c r="AS11" s="64">
        <f>'Raw Datas'!AT86</f>
        <v>4.4530833333333337</v>
      </c>
      <c r="AT11" s="64">
        <f>'Raw Datas'!AU86</f>
        <v>3.9542000000000002</v>
      </c>
      <c r="AU11" s="64">
        <f>'Raw Datas'!AV86</f>
        <v>16.04524</v>
      </c>
      <c r="AV11" s="64">
        <f>'Raw Datas'!AW86</f>
        <v>0.71186666666666676</v>
      </c>
      <c r="AW11" s="64">
        <f>'Raw Datas'!AX86</f>
        <v>3.285566666666667</v>
      </c>
      <c r="AX11" s="64">
        <f>'Raw Datas'!AY86</f>
        <v>15.035816666666667</v>
      </c>
      <c r="AY11" s="64">
        <f>'Raw Datas'!AZ86</f>
        <v>3.1983333333333333</v>
      </c>
      <c r="AZ11" s="64">
        <f>'Raw Datas'!BA86</f>
        <v>21.553650000000001</v>
      </c>
      <c r="BA11" s="64">
        <f>'Raw Datas'!BB86</f>
        <v>6.7862666666666662</v>
      </c>
      <c r="BB11" s="64">
        <f>'Raw Datas'!BC86</f>
        <v>22.014300000000002</v>
      </c>
      <c r="BC11" s="64">
        <f>'Raw Datas'!BD86</f>
        <v>37.037483333333327</v>
      </c>
      <c r="BD11" s="64">
        <f>'Raw Datas'!BE86</f>
        <v>5.1648833333333339</v>
      </c>
      <c r="BE11" s="64">
        <f>'Raw Datas'!BF86</f>
        <v>1.4964999999999999</v>
      </c>
      <c r="BF11" s="64">
        <f>'Raw Datas'!BG86</f>
        <v>3.7897833333333333</v>
      </c>
      <c r="BG11" s="64">
        <f>'Raw Datas'!BH86</f>
        <v>15.598983333333335</v>
      </c>
      <c r="BH11" s="64">
        <f>'Raw Datas'!BI86</f>
        <v>3.2774166666666669</v>
      </c>
      <c r="BI11" s="64">
        <f>'Raw Datas'!BJ86</f>
        <v>5.3867666666666674</v>
      </c>
      <c r="BJ11" s="64">
        <f>'Raw Datas'!BK86</f>
        <v>52.609883333333329</v>
      </c>
      <c r="BK11" s="64">
        <f>'Raw Datas'!BL86</f>
        <v>35.871066666666671</v>
      </c>
      <c r="BL11" s="64">
        <f>'Raw Datas'!BM86</f>
        <v>5.0739714285714284</v>
      </c>
      <c r="BM11" s="64">
        <f>'Raw Datas'!BN86</f>
        <v>12.393633333333334</v>
      </c>
      <c r="BN11" s="64">
        <f>'Raw Datas'!BO86</f>
        <v>2.5946166666666666</v>
      </c>
      <c r="BO11" s="64">
        <f>'Raw Datas'!BP86</f>
        <v>34.629116666666661</v>
      </c>
      <c r="BP11" s="64" t="str">
        <f>'Raw Datas'!BQ86</f>
        <v>0</v>
      </c>
      <c r="BQ11" s="64">
        <f>'Raw Datas'!BR86</f>
        <v>0.41437142857142856</v>
      </c>
      <c r="BR11" s="64">
        <f>'Raw Datas'!BS86</f>
        <v>6.2191166666666673</v>
      </c>
      <c r="BS11" s="64">
        <f>'Raw Datas'!BT86</f>
        <v>4.0395500000000002</v>
      </c>
      <c r="BT11" s="64">
        <f>'Raw Datas'!BU86</f>
        <v>7.2727333333333339</v>
      </c>
      <c r="BU11" s="64">
        <f>'Raw Datas'!BV86</f>
        <v>4.4128500000000006</v>
      </c>
      <c r="BV11" s="64">
        <f>'Raw Datas'!BW86</f>
        <v>15.133000000000001</v>
      </c>
      <c r="BW11" s="64">
        <f>'Raw Datas'!BX86</f>
        <v>8.7187166666666673</v>
      </c>
      <c r="BX11" s="64">
        <f>'Raw Datas'!BY86</f>
        <v>16.320566666666668</v>
      </c>
      <c r="BY11" s="64">
        <f>'Raw Datas'!BZ86</f>
        <v>5.2363</v>
      </c>
      <c r="BZ11" s="64">
        <f>'Raw Datas'!CA86</f>
        <v>11.614116666666668</v>
      </c>
      <c r="CA11" s="64">
        <f>'Raw Datas'!CB86</f>
        <v>7.7537166666666666</v>
      </c>
      <c r="CB11" s="64">
        <f>'Raw Datas'!CC86</f>
        <v>10.656650000000001</v>
      </c>
      <c r="CC11" s="64">
        <f>'Raw Datas'!CD86</f>
        <v>10.155083333333334</v>
      </c>
      <c r="CD11" s="64">
        <f>'Raw Datas'!CE86</f>
        <v>9.6570333333333345</v>
      </c>
      <c r="CE11" s="64">
        <f>'Raw Datas'!CF86</f>
        <v>4.6548499999999997</v>
      </c>
      <c r="CF11" s="64">
        <f>'Raw Datas'!CG86</f>
        <v>0.32890000000000003</v>
      </c>
      <c r="CG11" s="64">
        <f>'Raw Datas'!CH86</f>
        <v>1.093</v>
      </c>
      <c r="CH11" s="64">
        <f>'Raw Datas'!CI86</f>
        <v>51.940416666666664</v>
      </c>
      <c r="CI11" s="64">
        <f>'Raw Datas'!CJ86</f>
        <v>6.3094222222222216</v>
      </c>
      <c r="CJ11" s="64">
        <f>'Raw Datas'!CK86</f>
        <v>0.16293333333333332</v>
      </c>
      <c r="CK11" s="64">
        <f>'Raw Datas'!CL86</f>
        <v>0.27315</v>
      </c>
      <c r="CL11" s="64">
        <f>'Raw Datas'!CM86</f>
        <v>36.889600000000002</v>
      </c>
      <c r="CM11" s="64">
        <f>'Raw Datas'!CN86</f>
        <v>20.179133333333333</v>
      </c>
      <c r="CN11" s="64">
        <f>'Raw Datas'!CO86</f>
        <v>1.0384833333333332</v>
      </c>
      <c r="CO11" s="64">
        <f>'Raw Datas'!CP86</f>
        <v>10.308433333333333</v>
      </c>
      <c r="CP11" s="64">
        <f>'Raw Datas'!CQ86</f>
        <v>20.231850000000001</v>
      </c>
      <c r="CQ11" s="64">
        <f>'Raw Datas'!CR86</f>
        <v>41.33443333333333</v>
      </c>
      <c r="CR11" s="64">
        <f>'Raw Datas'!CS86</f>
        <v>6.204366666666667</v>
      </c>
      <c r="CS11" s="64">
        <f>'Raw Datas'!CT86</f>
        <v>21.520883333333337</v>
      </c>
      <c r="CT11" s="64">
        <f>'Raw Datas'!CU86</f>
        <v>44.645133333333327</v>
      </c>
      <c r="CU11" s="64">
        <f>'Raw Datas'!CV86</f>
        <v>57.359850000000009</v>
      </c>
      <c r="CV11" s="64" t="str">
        <f>'Raw Datas'!CW86</f>
        <v>0</v>
      </c>
      <c r="CW11" s="64">
        <f>'Raw Datas'!CX86</f>
        <v>3.7555000000000001</v>
      </c>
      <c r="CX11" s="64">
        <f>'Raw Datas'!CY86</f>
        <v>19.541049999999998</v>
      </c>
      <c r="CY11" s="64">
        <f>'Raw Datas'!CZ86</f>
        <v>3.2681833333333334</v>
      </c>
      <c r="CZ11" s="64" t="str">
        <f>'Raw Datas'!DA86</f>
        <v>0</v>
      </c>
      <c r="DA11" s="64">
        <f>'Raw Datas'!DB86</f>
        <v>8.881333333333334</v>
      </c>
      <c r="DB11" s="64">
        <f>'Raw Datas'!DC86</f>
        <v>18.833816666666667</v>
      </c>
      <c r="DC11" s="64">
        <f>'Raw Datas'!DD86</f>
        <v>49.776966666666674</v>
      </c>
      <c r="DD11" s="64">
        <f>'Raw Datas'!DE86</f>
        <v>3.4343166666666662</v>
      </c>
      <c r="DE11" s="64">
        <f>'Raw Datas'!DF86</f>
        <v>2.8065333333333338</v>
      </c>
      <c r="DF11" s="64">
        <f>'Raw Datas'!DG86</f>
        <v>5.2702500000000008</v>
      </c>
      <c r="DG11" s="64">
        <f>'Raw Datas'!DH86</f>
        <v>13.167083333333332</v>
      </c>
      <c r="DH11" s="64">
        <f>'Raw Datas'!DI86</f>
        <v>4.5872666666666664</v>
      </c>
      <c r="DI11" s="64">
        <f>'Raw Datas'!DJ86</f>
        <v>4.3364666666666665</v>
      </c>
      <c r="DJ11" s="64">
        <f>'Raw Datas'!DK86</f>
        <v>4.6471</v>
      </c>
      <c r="DK11" s="64">
        <f>'Raw Datas'!DL86</f>
        <v>5.7600999999999996</v>
      </c>
      <c r="DL11" s="64">
        <f>'Raw Datas'!DM86</f>
        <v>14.007916666666667</v>
      </c>
      <c r="DM11" s="64">
        <f>'Raw Datas'!DN86</f>
        <v>22.077083333333334</v>
      </c>
      <c r="DN11" s="64">
        <f>'Raw Datas'!DO86</f>
        <v>41.120466666666665</v>
      </c>
      <c r="DO11" s="64">
        <f>'Raw Datas'!DP86</f>
        <v>5.9980833333333328</v>
      </c>
      <c r="DP11" s="64">
        <f>'Raw Datas'!DQ86</f>
        <v>4.0332833333333333</v>
      </c>
      <c r="DQ11" s="64">
        <f>'Raw Datas'!DR86</f>
        <v>8.1197166666666671</v>
      </c>
      <c r="DR11" s="64">
        <f>'Raw Datas'!DS86</f>
        <v>21.939983333333334</v>
      </c>
      <c r="DS11" s="64">
        <f>'Raw Datas'!DT86</f>
        <v>0.68779999999999997</v>
      </c>
      <c r="DT11" s="64">
        <f>'Raw Datas'!DU86</f>
        <v>3.4869500000000002</v>
      </c>
      <c r="DU11" s="64">
        <f>'Raw Datas'!DV86</f>
        <v>13.927433333333333</v>
      </c>
      <c r="DV11" s="64">
        <f>'Raw Datas'!DW86</f>
        <v>15.009099999999998</v>
      </c>
      <c r="DW11" s="64">
        <f>'Raw Datas'!DX86</f>
        <v>17.124466666666663</v>
      </c>
      <c r="DX11" s="64">
        <f>'Raw Datas'!DY86</f>
        <v>0.74453333333333327</v>
      </c>
      <c r="DY11" s="64">
        <f>'Raw Datas'!DZ86</f>
        <v>4.460916666666666</v>
      </c>
      <c r="DZ11" s="64">
        <f>'Raw Datas'!EA86</f>
        <v>20.170116666666669</v>
      </c>
      <c r="EA11" s="64">
        <f>'Raw Datas'!EB86</f>
        <v>21.534800000000001</v>
      </c>
      <c r="EB11" s="64">
        <f>'Raw Datas'!EC86</f>
        <v>1.7432166666666666</v>
      </c>
      <c r="EC11" s="64">
        <f>'Raw Datas'!ED86</f>
        <v>17.753166666666669</v>
      </c>
      <c r="ED11" s="64">
        <f>'Raw Datas'!EE86</f>
        <v>4.6029166666666672</v>
      </c>
      <c r="EE11" s="64">
        <f>'Raw Datas'!EF86</f>
        <v>1.5431999999999999</v>
      </c>
      <c r="EF11" s="64">
        <f>'Raw Datas'!EG86</f>
        <v>3.6987000000000001</v>
      </c>
      <c r="EG11" s="64">
        <f>'Raw Datas'!EH86</f>
        <v>7.6371166666666666</v>
      </c>
      <c r="EH11" s="64">
        <f>'Raw Datas'!EI86</f>
        <v>5.1902166666666671</v>
      </c>
      <c r="EI11" s="64">
        <f>'Raw Datas'!EJ86</f>
        <v>3.8048833333333336</v>
      </c>
      <c r="EJ11" s="64">
        <f>'Raw Datas'!EK86</f>
        <v>15.94675</v>
      </c>
      <c r="EK11" s="64">
        <f>'Raw Datas'!EL86</f>
        <v>3.1239166666666667</v>
      </c>
      <c r="EL11" s="64">
        <f>'Raw Datas'!EM86</f>
        <v>16.664533333333335</v>
      </c>
      <c r="EM11" s="64">
        <f>'Raw Datas'!EN86</f>
        <v>13.828016666666667</v>
      </c>
      <c r="EN11" s="64">
        <f>'Raw Datas'!EO86</f>
        <v>5.5758999999999999</v>
      </c>
      <c r="EO11" s="64">
        <f>'Raw Datas'!EP86</f>
        <v>3.3475999999999999</v>
      </c>
      <c r="EP11" s="64">
        <f>'Raw Datas'!EQ86</f>
        <v>23.550216666666664</v>
      </c>
      <c r="EQ11" s="64">
        <f>'Raw Datas'!ER86</f>
        <v>8.6441166666666653</v>
      </c>
      <c r="ER11" s="64">
        <f>'Raw Datas'!ES86</f>
        <v>30.076416666666663</v>
      </c>
      <c r="ES11" s="64">
        <f>'Raw Datas'!ET86</f>
        <v>6.4501833333333325</v>
      </c>
      <c r="ET11" s="64">
        <f>'Raw Datas'!EU86</f>
        <v>38.439949999999996</v>
      </c>
      <c r="EU11" s="64">
        <f>'Raw Datas'!EV86</f>
        <v>20.280316666666668</v>
      </c>
      <c r="EV11" s="64">
        <f>'Raw Datas'!EW86</f>
        <v>4.0983999999999998</v>
      </c>
      <c r="EW11" s="64">
        <f>'Raw Datas'!EX86</f>
        <v>62.067399999999999</v>
      </c>
      <c r="EX11" s="64">
        <f>'Raw Datas'!EY86</f>
        <v>46.949399999999997</v>
      </c>
      <c r="EY11" s="64">
        <f>'Raw Datas'!EZ86</f>
        <v>5.2910833333333338</v>
      </c>
      <c r="EZ11" s="64">
        <f>'Raw Datas'!FA86</f>
        <v>4.4891666666666659</v>
      </c>
      <c r="FA11" s="64">
        <f>'Raw Datas'!FB86</f>
        <v>2.5487333333333333</v>
      </c>
      <c r="FB11" s="64">
        <f>'Raw Datas'!FC86</f>
        <v>14.185116666666666</v>
      </c>
      <c r="FC11" s="64">
        <f>'Raw Datas'!FD86</f>
        <v>0.66839999999999999</v>
      </c>
      <c r="FD11" s="64">
        <f>'Raw Datas'!FE86</f>
        <v>1.1898500000000001</v>
      </c>
      <c r="FE11" s="64">
        <f>'Raw Datas'!FF86</f>
        <v>35.334533333333333</v>
      </c>
      <c r="FF11" s="64">
        <f>'Raw Datas'!FG86</f>
        <v>16.159983333333333</v>
      </c>
      <c r="FG11" s="64">
        <f>'Raw Datas'!FH86</f>
        <v>21.632583333333333</v>
      </c>
      <c r="FH11" s="64">
        <f>'Raw Datas'!FI86</f>
        <v>14.141216666666669</v>
      </c>
      <c r="FI11" s="64">
        <f>'Raw Datas'!FJ86</f>
        <v>28.506433333333334</v>
      </c>
      <c r="FJ11" s="64">
        <f>'Raw Datas'!FK86</f>
        <v>95.715766666666667</v>
      </c>
      <c r="FK11" s="64">
        <f>'Raw Datas'!FL86</f>
        <v>5.9485833333333327</v>
      </c>
      <c r="FL11" s="64">
        <f>'Raw Datas'!FM86</f>
        <v>8.3947333333333329</v>
      </c>
      <c r="FM11" s="64">
        <f>'Raw Datas'!FN86</f>
        <v>5.4581333333333344</v>
      </c>
      <c r="FN11" s="64">
        <f>'Raw Datas'!FO86</f>
        <v>9.6633166666666668</v>
      </c>
    </row>
    <row r="12" spans="1:170" ht="15.75" customHeight="1" thickBot="1" x14ac:dyDescent="0.25">
      <c r="A12" s="107" t="s">
        <v>781</v>
      </c>
      <c r="B12" s="61" t="str">
        <f>'Raw Datas'!C89</f>
        <v>0</v>
      </c>
      <c r="C12" s="65">
        <f>'Raw Datas'!D89</f>
        <v>0.11438333333333334</v>
      </c>
      <c r="D12" s="65" t="str">
        <f>'Raw Datas'!E89</f>
        <v>0</v>
      </c>
      <c r="E12" s="65">
        <f>'Raw Datas'!F89</f>
        <v>0.26216666666666666</v>
      </c>
      <c r="F12" s="65">
        <f>'Raw Datas'!G89</f>
        <v>0.23558333333333334</v>
      </c>
      <c r="G12" s="65">
        <f>'Raw Datas'!H89</f>
        <v>0.14326666666666668</v>
      </c>
      <c r="H12" s="65">
        <f>'Raw Datas'!I89</f>
        <v>1.3614166666666667</v>
      </c>
      <c r="I12" s="65">
        <f>'Raw Datas'!J89</f>
        <v>0.30044999999999999</v>
      </c>
      <c r="J12" s="65" t="str">
        <f>'Raw Datas'!K89</f>
        <v>0</v>
      </c>
      <c r="K12" s="65" t="str">
        <f>'Raw Datas'!L89</f>
        <v>0</v>
      </c>
      <c r="L12" s="65">
        <f>'Raw Datas'!M89</f>
        <v>0.17911666666666667</v>
      </c>
      <c r="M12" s="65">
        <f>'Raw Datas'!N89</f>
        <v>1.9583333333333331E-2</v>
      </c>
      <c r="N12" s="65">
        <f>'Raw Datas'!O89</f>
        <v>0.18516666666666665</v>
      </c>
      <c r="O12" s="65">
        <f>'Raw Datas'!P89</f>
        <v>0.26108333333333333</v>
      </c>
      <c r="P12" s="65">
        <f>'Raw Datas'!Q89</f>
        <v>8.3299999999999999E-2</v>
      </c>
      <c r="Q12" s="65">
        <f>'Raw Datas'!R89</f>
        <v>1.1180833333333333</v>
      </c>
      <c r="R12" s="65">
        <f>'Raw Datas'!S89</f>
        <v>7.9250000000000001E-2</v>
      </c>
      <c r="S12" s="65" t="str">
        <f>'Raw Datas'!T89</f>
        <v>0</v>
      </c>
      <c r="T12" s="65">
        <f>'Raw Datas'!U89</f>
        <v>4.6149999999999997E-2</v>
      </c>
      <c r="U12" s="65">
        <f>'Raw Datas'!V89</f>
        <v>-2.6450000000000005E-2</v>
      </c>
      <c r="V12" s="65">
        <f>'Raw Datas'!W89</f>
        <v>1.4579714285714285</v>
      </c>
      <c r="W12" s="65">
        <f>'Raw Datas'!X89</f>
        <v>-2.6800000000000001E-2</v>
      </c>
      <c r="X12" s="65">
        <f>'Raw Datas'!Y89</f>
        <v>0.3218166666666667</v>
      </c>
      <c r="Y12" s="65">
        <f>'Raw Datas'!Z89</f>
        <v>2.7280200000000003</v>
      </c>
      <c r="Z12" s="65">
        <f>'Raw Datas'!AA89</f>
        <v>0.13908333333333334</v>
      </c>
      <c r="AA12" s="65">
        <f>'Raw Datas'!AB89</f>
        <v>0.23815000000000003</v>
      </c>
      <c r="AB12" s="65">
        <f>'Raw Datas'!AC89</f>
        <v>0.22235000000000002</v>
      </c>
      <c r="AC12" s="65">
        <f>'Raw Datas'!AD89</f>
        <v>0.13621666666666668</v>
      </c>
      <c r="AD12" s="65" t="str">
        <f>'Raw Datas'!AE89</f>
        <v>0</v>
      </c>
      <c r="AE12" s="65" t="str">
        <f>'Raw Datas'!AF89</f>
        <v>0</v>
      </c>
      <c r="AF12" s="9">
        <f>'Raw Datas'!AG89</f>
        <v>0.23864999999999997</v>
      </c>
      <c r="AG12" s="9" t="str">
        <f>'Raw Datas'!AH89</f>
        <v>0</v>
      </c>
      <c r="AH12" s="9">
        <f>'Raw Datas'!AI89</f>
        <v>0.35160000000000002</v>
      </c>
      <c r="AI12" s="9">
        <f>'Raw Datas'!AJ89</f>
        <v>0.59001666666666663</v>
      </c>
      <c r="AJ12" s="9" t="str">
        <f>'Raw Datas'!AK89</f>
        <v>0</v>
      </c>
      <c r="AK12" s="9">
        <f>'Raw Datas'!AL89</f>
        <v>0.97791666666666666</v>
      </c>
      <c r="AL12" s="9">
        <f>'Raw Datas'!AM89</f>
        <v>0.17226666666666668</v>
      </c>
      <c r="AM12" s="9">
        <f>'Raw Datas'!AN89</f>
        <v>2.0983333333333336E-2</v>
      </c>
      <c r="AN12" s="9">
        <f>'Raw Datas'!AO89</f>
        <v>-1.0833333333333334E-2</v>
      </c>
      <c r="AO12" s="9" t="str">
        <f>'Raw Datas'!AP89</f>
        <v>0</v>
      </c>
      <c r="AP12" s="9">
        <f>'Raw Datas'!AQ89</f>
        <v>9.7499999999999989E-2</v>
      </c>
      <c r="AQ12" s="9">
        <f>'Raw Datas'!AR89</f>
        <v>-2.4233333333333332E-2</v>
      </c>
      <c r="AR12" s="9">
        <f>'Raw Datas'!AS89</f>
        <v>1.90005</v>
      </c>
      <c r="AS12" s="9">
        <f>'Raw Datas'!AT89</f>
        <v>0.21211666666666668</v>
      </c>
      <c r="AT12" s="9" t="str">
        <f>'Raw Datas'!AU89</f>
        <v>0</v>
      </c>
      <c r="AU12" s="9" t="str">
        <f>'Raw Datas'!AV89</f>
        <v>0</v>
      </c>
      <c r="AV12" s="9" t="str">
        <f>'Raw Datas'!AW89</f>
        <v>0</v>
      </c>
      <c r="AW12" s="9">
        <f>'Raw Datas'!AX89</f>
        <v>0.14025000000000001</v>
      </c>
      <c r="AX12" s="9">
        <f>'Raw Datas'!AY89</f>
        <v>0.27681666666666671</v>
      </c>
      <c r="AY12" s="9" t="str">
        <f>'Raw Datas'!AZ89</f>
        <v>0</v>
      </c>
      <c r="AZ12" s="9" t="str">
        <f>'Raw Datas'!BA89</f>
        <v>0</v>
      </c>
      <c r="BA12" s="9" t="str">
        <f>'Raw Datas'!BB89</f>
        <v>0</v>
      </c>
      <c r="BB12" s="9" t="str">
        <f>'Raw Datas'!BC89</f>
        <v>0</v>
      </c>
      <c r="BC12" s="9" t="str">
        <f>'Raw Datas'!BD89</f>
        <v>0</v>
      </c>
      <c r="BD12" s="9" t="str">
        <f>'Raw Datas'!BE89</f>
        <v>0</v>
      </c>
      <c r="BE12" s="9">
        <f>'Raw Datas'!BF89</f>
        <v>0.32533333333333331</v>
      </c>
      <c r="BF12" s="9" t="str">
        <f>'Raw Datas'!BG89</f>
        <v>0</v>
      </c>
      <c r="BG12" s="9">
        <f>'Raw Datas'!BH89</f>
        <v>0.70773333333333344</v>
      </c>
      <c r="BH12" s="9">
        <f>'Raw Datas'!BI89</f>
        <v>0.69168333333333343</v>
      </c>
      <c r="BI12" s="9">
        <f>'Raw Datas'!BJ89</f>
        <v>1.7809999999999999</v>
      </c>
      <c r="BJ12" s="9">
        <f>'Raw Datas'!BK89</f>
        <v>0.23905000000000001</v>
      </c>
      <c r="BK12" s="9">
        <f>'Raw Datas'!BL89</f>
        <v>11.661033333333334</v>
      </c>
      <c r="BL12" s="9">
        <f>'Raw Datas'!BM89</f>
        <v>13.175628571428572</v>
      </c>
      <c r="BM12" s="9">
        <f>'Raw Datas'!BN89</f>
        <v>12.500450000000001</v>
      </c>
      <c r="BN12" s="9">
        <f>'Raw Datas'!BO89</f>
        <v>25.832466666666665</v>
      </c>
      <c r="BO12" s="9">
        <f>'Raw Datas'!BP89</f>
        <v>10.46965</v>
      </c>
      <c r="BP12" s="9">
        <f>'Raw Datas'!BQ89</f>
        <v>1.3425</v>
      </c>
      <c r="BQ12" s="9" t="str">
        <f>'Raw Datas'!BR89</f>
        <v>0</v>
      </c>
      <c r="BR12" s="9">
        <f>'Raw Datas'!BS89</f>
        <v>10.907816666666667</v>
      </c>
      <c r="BS12" s="9">
        <f>'Raw Datas'!BT89</f>
        <v>2.9771000000000001</v>
      </c>
      <c r="BT12" s="9">
        <f>'Raw Datas'!BU89</f>
        <v>0.6014666666666667</v>
      </c>
      <c r="BU12" s="9">
        <f>'Raw Datas'!BV89</f>
        <v>1.2971000000000001</v>
      </c>
      <c r="BV12" s="9">
        <f>'Raw Datas'!BW89</f>
        <v>0.62841666666666662</v>
      </c>
      <c r="BW12" s="9" t="str">
        <f>'Raw Datas'!BX89</f>
        <v>0</v>
      </c>
      <c r="BX12" s="9">
        <f>'Raw Datas'!BY89</f>
        <v>0.95213333333333339</v>
      </c>
      <c r="BY12" s="9">
        <f>'Raw Datas'!BZ89</f>
        <v>0.78896666666666659</v>
      </c>
      <c r="BZ12" s="9">
        <f>'Raw Datas'!CA89</f>
        <v>0.6851666666666667</v>
      </c>
      <c r="CA12" s="9">
        <f>'Raw Datas'!CB89</f>
        <v>0.39558333333333334</v>
      </c>
      <c r="CB12" s="9">
        <f>'Raw Datas'!CC89</f>
        <v>0.11084999999999999</v>
      </c>
      <c r="CC12" s="9">
        <f>'Raw Datas'!CD89</f>
        <v>0.1360166666666667</v>
      </c>
      <c r="CD12" s="9">
        <f>'Raw Datas'!CE89</f>
        <v>2.8274333333333335</v>
      </c>
      <c r="CE12" s="9">
        <f>'Raw Datas'!CF89</f>
        <v>0.14256666666666667</v>
      </c>
      <c r="CF12" s="9">
        <f>'Raw Datas'!CG89</f>
        <v>3.7333333333333333E-3</v>
      </c>
      <c r="CG12" s="9" t="str">
        <f>'Raw Datas'!CH89</f>
        <v>0</v>
      </c>
      <c r="CH12" s="9">
        <f>'Raw Datas'!CI89</f>
        <v>0.3532333333333334</v>
      </c>
      <c r="CI12" s="9" t="str">
        <f>'Raw Datas'!CJ89</f>
        <v>0</v>
      </c>
      <c r="CJ12" s="9">
        <f>'Raw Datas'!CK89</f>
        <v>2.7733333333333332E-2</v>
      </c>
      <c r="CK12" s="9">
        <f>'Raw Datas'!CL89</f>
        <v>0.49035000000000001</v>
      </c>
      <c r="CL12" s="9">
        <f>'Raw Datas'!CM89</f>
        <v>3.5533333333333333E-2</v>
      </c>
      <c r="CM12" s="9" t="str">
        <f>'Raw Datas'!CN89</f>
        <v>0</v>
      </c>
      <c r="CN12" s="9">
        <f>'Raw Datas'!CO89</f>
        <v>0.19498333333333334</v>
      </c>
      <c r="CO12" s="9">
        <f>'Raw Datas'!CP89</f>
        <v>0.1711333333333333</v>
      </c>
      <c r="CP12" s="9">
        <f>'Raw Datas'!CQ89</f>
        <v>0.12701666666666667</v>
      </c>
      <c r="CQ12" s="9">
        <f>'Raw Datas'!CR89</f>
        <v>3.1651000000000002</v>
      </c>
      <c r="CR12" s="9">
        <f>'Raw Datas'!CS89</f>
        <v>-1.455E-2</v>
      </c>
      <c r="CS12" s="9" t="str">
        <f>'Raw Datas'!CT89</f>
        <v>0</v>
      </c>
      <c r="CT12" s="9">
        <f>'Raw Datas'!CU89</f>
        <v>7.8366666666666668E-2</v>
      </c>
      <c r="CU12" s="9" t="str">
        <f>'Raw Datas'!CV89</f>
        <v>0</v>
      </c>
      <c r="CV12" s="9">
        <f>'Raw Datas'!CW89</f>
        <v>2.3016666666666668E-2</v>
      </c>
      <c r="CW12" s="9" t="str">
        <f>'Raw Datas'!CX89</f>
        <v>0</v>
      </c>
      <c r="CX12" s="9">
        <f>'Raw Datas'!CY89</f>
        <v>7.1766666666666673E-2</v>
      </c>
      <c r="CY12" s="9">
        <f>'Raw Datas'!CZ89</f>
        <v>-3.0200000000000001E-2</v>
      </c>
      <c r="CZ12" s="9" t="str">
        <f>'Raw Datas'!DA89</f>
        <v>0</v>
      </c>
      <c r="DA12" s="9">
        <f>'Raw Datas'!DB89</f>
        <v>5.8050000000000004E-2</v>
      </c>
      <c r="DB12" s="9">
        <f>'Raw Datas'!DC89</f>
        <v>0.15493333333333331</v>
      </c>
      <c r="DC12" s="9" t="str">
        <f>'Raw Datas'!DD89</f>
        <v>0</v>
      </c>
      <c r="DD12" s="9">
        <f>'Raw Datas'!DE89</f>
        <v>4.4749999999999998E-2</v>
      </c>
      <c r="DE12" s="9" t="str">
        <f>'Raw Datas'!DF89</f>
        <v>0</v>
      </c>
      <c r="DF12" s="9">
        <f>'Raw Datas'!DG89</f>
        <v>0.49475000000000002</v>
      </c>
      <c r="DG12" s="9">
        <f>'Raw Datas'!DH89</f>
        <v>1.8600000000000002E-2</v>
      </c>
      <c r="DH12" s="9">
        <f>'Raw Datas'!DI89</f>
        <v>2.1233333333333333E-2</v>
      </c>
      <c r="DI12" s="9">
        <f>'Raw Datas'!DJ89</f>
        <v>0.42313333333333336</v>
      </c>
      <c r="DJ12" s="9">
        <f>'Raw Datas'!DK89</f>
        <v>0.45463333333333333</v>
      </c>
      <c r="DK12" s="9" t="str">
        <f>'Raw Datas'!DL89</f>
        <v>0</v>
      </c>
      <c r="DL12" s="9">
        <f>'Raw Datas'!DM89</f>
        <v>6.9833333333333327E-3</v>
      </c>
      <c r="DM12" s="9">
        <f>'Raw Datas'!DN89</f>
        <v>0.15258333333333332</v>
      </c>
      <c r="DN12" s="9">
        <f>'Raw Datas'!DO89</f>
        <v>0.13718333333333332</v>
      </c>
      <c r="DO12" s="9" t="str">
        <f>'Raw Datas'!DP89</f>
        <v>0</v>
      </c>
      <c r="DP12" s="9">
        <f>'Raw Datas'!DQ89</f>
        <v>-1.8666666666666668E-2</v>
      </c>
      <c r="DQ12" s="9" t="str">
        <f>'Raw Datas'!DR89</f>
        <v>0</v>
      </c>
      <c r="DR12" s="9">
        <f>'Raw Datas'!DS89</f>
        <v>-3.8E-3</v>
      </c>
      <c r="DS12" s="9">
        <f>'Raw Datas'!DT89</f>
        <v>-2.3516666666666668E-2</v>
      </c>
      <c r="DT12" s="9">
        <f>'Raw Datas'!DU89</f>
        <v>0.2268</v>
      </c>
      <c r="DU12" s="9" t="str">
        <f>'Raw Datas'!DV89</f>
        <v>0</v>
      </c>
      <c r="DV12" s="9" t="str">
        <f>'Raw Datas'!DW89</f>
        <v>0</v>
      </c>
      <c r="DW12" s="9">
        <f>'Raw Datas'!DX89</f>
        <v>0.13916666666666666</v>
      </c>
      <c r="DX12" s="9">
        <f>'Raw Datas'!DY89</f>
        <v>0.18545</v>
      </c>
      <c r="DY12" s="9">
        <f>'Raw Datas'!DZ89</f>
        <v>4.0499999999999998E-3</v>
      </c>
      <c r="DZ12" s="9">
        <f>'Raw Datas'!EA89</f>
        <v>7.0333333333333331E-2</v>
      </c>
      <c r="EA12" s="9">
        <f>'Raw Datas'!EB89</f>
        <v>-2.3916666666666662E-2</v>
      </c>
      <c r="EB12" s="9" t="str">
        <f>'Raw Datas'!EC89</f>
        <v>0</v>
      </c>
      <c r="EC12" s="9" t="str">
        <f>'Raw Datas'!ED89</f>
        <v>0</v>
      </c>
      <c r="ED12" s="9" t="str">
        <f>'Raw Datas'!EE89</f>
        <v>0</v>
      </c>
      <c r="EE12" s="9" t="str">
        <f>'Raw Datas'!EF89</f>
        <v>0</v>
      </c>
      <c r="EF12" s="9">
        <f>'Raw Datas'!EG89</f>
        <v>7.5800000000000006E-2</v>
      </c>
      <c r="EG12" s="9">
        <f>'Raw Datas'!EH89</f>
        <v>0.37414999999999998</v>
      </c>
      <c r="EH12" s="9" t="str">
        <f>'Raw Datas'!EI89</f>
        <v>0</v>
      </c>
      <c r="EI12" s="9">
        <f>'Raw Datas'!EJ89</f>
        <v>-1.7166666666666667E-2</v>
      </c>
      <c r="EJ12" s="9">
        <f>'Raw Datas'!EK89</f>
        <v>0.15435000000000001</v>
      </c>
      <c r="EK12" s="9">
        <f>'Raw Datas'!EL89</f>
        <v>4.7649999999999998E-2</v>
      </c>
      <c r="EL12" s="9" t="str">
        <f>'Raw Datas'!EM89</f>
        <v>0</v>
      </c>
      <c r="EM12" s="9">
        <f>'Raw Datas'!EN89</f>
        <v>0.43893333333333329</v>
      </c>
      <c r="EN12" s="9">
        <f>'Raw Datas'!EO89</f>
        <v>0.40383333333333332</v>
      </c>
      <c r="EO12" s="9">
        <f>'Raw Datas'!EP89</f>
        <v>0.14868333333333333</v>
      </c>
      <c r="EP12" s="9">
        <f>'Raw Datas'!EQ89</f>
        <v>-1.4283333333333334E-2</v>
      </c>
      <c r="EQ12" s="9">
        <f>'Raw Datas'!ER89</f>
        <v>8.7233333333333329E-2</v>
      </c>
      <c r="ER12" s="9">
        <f>'Raw Datas'!ES89</f>
        <v>1.0233333333333334E-2</v>
      </c>
      <c r="ES12" s="9">
        <f>'Raw Datas'!ET89</f>
        <v>0.13896666666666666</v>
      </c>
      <c r="ET12" s="9">
        <f>'Raw Datas'!EU89</f>
        <v>0.15483333333333335</v>
      </c>
      <c r="EU12" s="9" t="str">
        <f>'Raw Datas'!EV89</f>
        <v>0</v>
      </c>
      <c r="EV12" s="9" t="str">
        <f>'Raw Datas'!EW89</f>
        <v>0</v>
      </c>
      <c r="EW12" s="9">
        <f>'Raw Datas'!EX89</f>
        <v>0.55945</v>
      </c>
      <c r="EX12" s="9" t="str">
        <f>'Raw Datas'!EY89</f>
        <v>0</v>
      </c>
      <c r="EY12" s="9">
        <f>'Raw Datas'!EZ89</f>
        <v>6.0433333333333332E-2</v>
      </c>
      <c r="EZ12" s="9" t="str">
        <f>'Raw Datas'!FA89</f>
        <v>0</v>
      </c>
      <c r="FA12" s="9" t="str">
        <f>'Raw Datas'!FB89</f>
        <v>0</v>
      </c>
      <c r="FB12" s="9" t="str">
        <f>'Raw Datas'!FC89</f>
        <v>0</v>
      </c>
      <c r="FC12" s="9">
        <f>'Raw Datas'!FD89</f>
        <v>-2.1433333333333335E-2</v>
      </c>
      <c r="FD12" s="9">
        <f>'Raw Datas'!FE89</f>
        <v>1.7649999999999999E-2</v>
      </c>
      <c r="FE12" s="9">
        <f>'Raw Datas'!FF89</f>
        <v>0.10803333333333334</v>
      </c>
      <c r="FF12" s="9" t="str">
        <f>'Raw Datas'!FG89</f>
        <v>0</v>
      </c>
      <c r="FG12" s="9">
        <f>'Raw Datas'!FH89</f>
        <v>0.19223333333333331</v>
      </c>
      <c r="FH12" s="9">
        <f>'Raw Datas'!FI89</f>
        <v>0.27561666666666668</v>
      </c>
      <c r="FI12" s="9">
        <f>'Raw Datas'!FJ89</f>
        <v>-8.483333333333334E-3</v>
      </c>
      <c r="FJ12" s="9">
        <f>'Raw Datas'!FK89</f>
        <v>7.2700000000000001E-2</v>
      </c>
      <c r="FK12" s="9">
        <f>'Raw Datas'!FL89</f>
        <v>-1.3966666666666665E-2</v>
      </c>
      <c r="FL12" s="9">
        <f>'Raw Datas'!FM89</f>
        <v>5.2500000000000003E-3</v>
      </c>
      <c r="FM12" s="9" t="str">
        <f>'Raw Datas'!FN89</f>
        <v>0</v>
      </c>
      <c r="FN12" s="9" t="str">
        <f>'Raw Datas'!FO89</f>
        <v>0</v>
      </c>
    </row>
    <row r="13" spans="1:170" ht="15.75" customHeight="1" x14ac:dyDescent="0.2">
      <c r="A13" s="107" t="s">
        <v>782</v>
      </c>
      <c r="B13" s="61">
        <f>'Raw Datas'!C94</f>
        <v>60.110000000000007</v>
      </c>
      <c r="C13" s="9">
        <f>'Raw Datas'!D94</f>
        <v>223.86981666666668</v>
      </c>
      <c r="D13" s="9">
        <f>'Raw Datas'!E94</f>
        <v>28.000933333333329</v>
      </c>
      <c r="E13" s="9">
        <f>'Raw Datas'!F94</f>
        <v>162.63759999999999</v>
      </c>
      <c r="F13" s="9">
        <f>'Raw Datas'!G94</f>
        <v>122.10464999999999</v>
      </c>
      <c r="G13" s="9">
        <f>'Raw Datas'!H94</f>
        <v>143.19369999999998</v>
      </c>
      <c r="H13" s="9">
        <f>'Raw Datas'!I94</f>
        <v>551.66066666666666</v>
      </c>
      <c r="I13" s="9">
        <f>'Raw Datas'!J94</f>
        <v>214.54028333333335</v>
      </c>
      <c r="J13" s="9">
        <f>'Raw Datas'!K94</f>
        <v>431.0721166666666</v>
      </c>
      <c r="K13" s="9">
        <f>'Raw Datas'!L94</f>
        <v>71.09086666666667</v>
      </c>
      <c r="L13" s="9">
        <f>'Raw Datas'!M94</f>
        <v>197.91578333333334</v>
      </c>
      <c r="M13" s="9">
        <f>'Raw Datas'!N94</f>
        <v>50.422766666666668</v>
      </c>
      <c r="N13" s="9">
        <f>'Raw Datas'!O94</f>
        <v>246.52026666666669</v>
      </c>
      <c r="O13" s="9">
        <f>'Raw Datas'!P94</f>
        <v>165.83494999999999</v>
      </c>
      <c r="P13" s="9">
        <f>'Raw Datas'!Q94</f>
        <v>98.153166666666664</v>
      </c>
      <c r="Q13" s="9">
        <f>'Raw Datas'!R94</f>
        <v>209.00958333333332</v>
      </c>
      <c r="R13" s="9">
        <f>'Raw Datas'!S94</f>
        <v>231.97386666666668</v>
      </c>
      <c r="S13" s="9">
        <f>'Raw Datas'!T94</f>
        <v>46.342333333333336</v>
      </c>
      <c r="T13" s="9">
        <f>'Raw Datas'!U94</f>
        <v>38.072733333333332</v>
      </c>
      <c r="U13" s="9">
        <f>'Raw Datas'!V94</f>
        <v>61.690666666666665</v>
      </c>
      <c r="V13" s="9">
        <f>'Raw Datas'!W94</f>
        <v>128.68354285714287</v>
      </c>
      <c r="W13" s="9">
        <f>'Raw Datas'!X94</f>
        <v>43.80348</v>
      </c>
      <c r="X13" s="9">
        <f>'Raw Datas'!Y94</f>
        <v>308.68146666666667</v>
      </c>
      <c r="Y13" s="9">
        <f>'Raw Datas'!Z94</f>
        <v>157.71106</v>
      </c>
      <c r="Z13" s="9">
        <f>'Raw Datas'!AA94</f>
        <v>198.07669999999999</v>
      </c>
      <c r="AA13" s="9">
        <f>'Raw Datas'!AB94</f>
        <v>273.81428333333332</v>
      </c>
      <c r="AB13" s="9">
        <f>'Raw Datas'!AC94</f>
        <v>106.19616666666667</v>
      </c>
      <c r="AC13" s="9">
        <f>'Raw Datas'!AD94</f>
        <v>45.856133333333332</v>
      </c>
      <c r="AD13" s="9">
        <f>'Raw Datas'!AE94</f>
        <v>68.358866666666671</v>
      </c>
      <c r="AE13" s="9">
        <f>'Raw Datas'!AF94</f>
        <v>8.1821833333333327</v>
      </c>
      <c r="AF13" s="9">
        <f>'Raw Datas'!AG94</f>
        <v>63.621416666666661</v>
      </c>
      <c r="AG13" s="9">
        <f>'Raw Datas'!AH94</f>
        <v>71.286783333333332</v>
      </c>
      <c r="AH13" s="9">
        <f>'Raw Datas'!AI94</f>
        <v>106.37280000000001</v>
      </c>
      <c r="AI13" s="9">
        <f>'Raw Datas'!AJ94</f>
        <v>290.3582833333333</v>
      </c>
      <c r="AJ13" s="9">
        <f>'Raw Datas'!AK94</f>
        <v>104.91336666666666</v>
      </c>
      <c r="AK13" s="9">
        <f>'Raw Datas'!AL94</f>
        <v>75.81938333333332</v>
      </c>
      <c r="AL13" s="9">
        <f>'Raw Datas'!AM94</f>
        <v>137.45633333333336</v>
      </c>
      <c r="AM13" s="9">
        <f>'Raw Datas'!AN94</f>
        <v>108.55281666666666</v>
      </c>
      <c r="AN13" s="9">
        <f>'Raw Datas'!AO94</f>
        <v>95.268133333333324</v>
      </c>
      <c r="AO13" s="9">
        <f>'Raw Datas'!AP94</f>
        <v>36.071066666666667</v>
      </c>
      <c r="AP13" s="9">
        <f>'Raw Datas'!AQ94</f>
        <v>132.92846666666665</v>
      </c>
      <c r="AQ13" s="9">
        <f>'Raw Datas'!AR94</f>
        <v>51.000716666666669</v>
      </c>
      <c r="AR13" s="9">
        <f>'Raw Datas'!AS94</f>
        <v>89.817000000000007</v>
      </c>
      <c r="AS13" s="9">
        <f>'Raw Datas'!AT94</f>
        <v>93.929366666666667</v>
      </c>
      <c r="AT13" s="9">
        <f>'Raw Datas'!AU94</f>
        <v>47.361279999999994</v>
      </c>
      <c r="AU13" s="9">
        <f>'Raw Datas'!AV94</f>
        <v>67.896079999999998</v>
      </c>
      <c r="AV13" s="9">
        <f>'Raw Datas'!AW94</f>
        <v>34.700050000000005</v>
      </c>
      <c r="AW13" s="9">
        <f>'Raw Datas'!AX94</f>
        <v>131.32813333333334</v>
      </c>
      <c r="AX13" s="9">
        <f>'Raw Datas'!AY94</f>
        <v>173.6671</v>
      </c>
      <c r="AY13" s="9">
        <f>'Raw Datas'!AZ94</f>
        <v>37.562750000000001</v>
      </c>
      <c r="AZ13" s="9">
        <f>'Raw Datas'!BA94</f>
        <v>71.39703333333334</v>
      </c>
      <c r="BA13" s="9">
        <f>'Raw Datas'!BB94</f>
        <v>90.880966666666666</v>
      </c>
      <c r="BB13" s="9">
        <f>'Raw Datas'!BC94</f>
        <v>103.04704999999998</v>
      </c>
      <c r="BC13" s="9">
        <f>'Raw Datas'!BD94</f>
        <v>55.080199999999998</v>
      </c>
      <c r="BD13" s="9">
        <f>'Raw Datas'!BE94</f>
        <v>146.68530000000001</v>
      </c>
      <c r="BE13" s="9">
        <f>'Raw Datas'!BF94</f>
        <v>46.656483333333334</v>
      </c>
      <c r="BF13" s="9">
        <f>'Raw Datas'!BG94</f>
        <v>38.01423333333333</v>
      </c>
      <c r="BG13" s="9">
        <f>'Raw Datas'!BH94</f>
        <v>129.12803333333332</v>
      </c>
      <c r="BH13" s="9">
        <f>'Raw Datas'!BI94</f>
        <v>153.50790000000001</v>
      </c>
      <c r="BI13" s="9">
        <f>'Raw Datas'!BJ94</f>
        <v>332.65163333333328</v>
      </c>
      <c r="BJ13" s="9">
        <f>'Raw Datas'!BK94</f>
        <v>296.76788333333332</v>
      </c>
      <c r="BK13" s="9">
        <f>'Raw Datas'!BL94</f>
        <v>261.69086666666664</v>
      </c>
      <c r="BL13" s="9">
        <f>'Raw Datas'!BM94</f>
        <v>426.70885714285714</v>
      </c>
      <c r="BM13" s="9">
        <f>'Raw Datas'!BN94</f>
        <v>615.32083333333333</v>
      </c>
      <c r="BN13" s="9">
        <f>'Raw Datas'!BO94</f>
        <v>198.35104999999996</v>
      </c>
      <c r="BO13" s="9">
        <f>'Raw Datas'!BP94</f>
        <v>239.46855000000002</v>
      </c>
      <c r="BP13" s="9">
        <f>'Raw Datas'!BQ94</f>
        <v>144.23748333333333</v>
      </c>
      <c r="BQ13" s="9">
        <f>'Raw Datas'!BR94</f>
        <v>55.534942857142859</v>
      </c>
      <c r="BR13" s="9">
        <f>'Raw Datas'!BS94</f>
        <v>294.8271666666667</v>
      </c>
      <c r="BS13" s="9">
        <f>'Raw Datas'!BT94</f>
        <v>79.07371666666667</v>
      </c>
      <c r="BT13" s="9">
        <f>'Raw Datas'!BU94</f>
        <v>94.477000000000004</v>
      </c>
      <c r="BU13" s="9">
        <f>'Raw Datas'!BV94</f>
        <v>95.731849999999994</v>
      </c>
      <c r="BV13" s="9">
        <f>'Raw Datas'!BW94</f>
        <v>240.36003333333335</v>
      </c>
      <c r="BW13" s="9">
        <f>'Raw Datas'!BX94</f>
        <v>39.700150000000001</v>
      </c>
      <c r="BX13" s="9">
        <f>'Raw Datas'!BY94</f>
        <v>305.53213333333332</v>
      </c>
      <c r="BY13" s="9">
        <f>'Raw Datas'!BZ94</f>
        <v>88.147233333333347</v>
      </c>
      <c r="BZ13" s="9">
        <f>'Raw Datas'!CA94</f>
        <v>144.31963333333334</v>
      </c>
      <c r="CA13" s="9">
        <f>'Raw Datas'!CB94</f>
        <v>31.100300000000001</v>
      </c>
      <c r="CB13" s="9">
        <f>'Raw Datas'!CC94</f>
        <v>135.72261666666665</v>
      </c>
      <c r="CC13" s="9">
        <f>'Raw Datas'!CD94</f>
        <v>150.99146666666667</v>
      </c>
      <c r="CD13" s="9">
        <f>'Raw Datas'!CE94</f>
        <v>144.53834999999998</v>
      </c>
      <c r="CE13" s="9">
        <f>'Raw Datas'!CF94</f>
        <v>53.037633333333332</v>
      </c>
      <c r="CF13" s="9">
        <f>'Raw Datas'!CG94</f>
        <v>65.838000000000008</v>
      </c>
      <c r="CG13" s="9">
        <f>'Raw Datas'!CH94</f>
        <v>58.129983333333335</v>
      </c>
      <c r="CH13" s="9">
        <f>'Raw Datas'!CI94</f>
        <v>78.708816666666678</v>
      </c>
      <c r="CI13" s="9">
        <f>'Raw Datas'!CJ94</f>
        <v>27.542755555555555</v>
      </c>
      <c r="CJ13" s="9">
        <f>'Raw Datas'!CK94</f>
        <v>10.220233333333333</v>
      </c>
      <c r="CK13" s="9">
        <f>'Raw Datas'!CL94</f>
        <v>13.31475</v>
      </c>
      <c r="CL13" s="9">
        <f>'Raw Datas'!CM94</f>
        <v>96.036500000000004</v>
      </c>
      <c r="CM13" s="9">
        <f>'Raw Datas'!CN94</f>
        <v>49.148850000000003</v>
      </c>
      <c r="CN13" s="9">
        <f>'Raw Datas'!CO94</f>
        <v>162.41958333333335</v>
      </c>
      <c r="CO13" s="9">
        <f>'Raw Datas'!CP94</f>
        <v>198.42590000000001</v>
      </c>
      <c r="CP13" s="9">
        <f>'Raw Datas'!CQ94</f>
        <v>186.84304999999998</v>
      </c>
      <c r="CQ13" s="9">
        <f>'Raw Datas'!CR94</f>
        <v>53.327550000000002</v>
      </c>
      <c r="CR13" s="9">
        <f>'Raw Datas'!CS94</f>
        <v>129.19343333333333</v>
      </c>
      <c r="CS13" s="9">
        <f>'Raw Datas'!CT94</f>
        <v>160.35921666666667</v>
      </c>
      <c r="CT13" s="9">
        <f>'Raw Datas'!CU94</f>
        <v>115.63453333333334</v>
      </c>
      <c r="CU13" s="9">
        <f>'Raw Datas'!CV94</f>
        <v>154.85266666666666</v>
      </c>
      <c r="CV13" s="9">
        <f>'Raw Datas'!CW94</f>
        <v>180.17723333333333</v>
      </c>
      <c r="CW13" s="9">
        <f>'Raw Datas'!CX94</f>
        <v>77.618400000000008</v>
      </c>
      <c r="CX13" s="9">
        <f>'Raw Datas'!CY94</f>
        <v>34.482733333333336</v>
      </c>
      <c r="CY13" s="9">
        <f>'Raw Datas'!CZ94</f>
        <v>35.850483333333337</v>
      </c>
      <c r="CZ13" s="9">
        <f>'Raw Datas'!DA94</f>
        <v>95.413333333333341</v>
      </c>
      <c r="DA13" s="9">
        <f>'Raw Datas'!DB94</f>
        <v>157.41670000000002</v>
      </c>
      <c r="DB13" s="9">
        <f>'Raw Datas'!DC94</f>
        <v>65.941316666666665</v>
      </c>
      <c r="DC13" s="9">
        <f>'Raw Datas'!DD94</f>
        <v>173.68723333333335</v>
      </c>
      <c r="DD13" s="9">
        <f>'Raw Datas'!DE94</f>
        <v>83.265349999999998</v>
      </c>
      <c r="DE13" s="9">
        <f>'Raw Datas'!DF94</f>
        <v>51.319516666666672</v>
      </c>
      <c r="DF13" s="9">
        <f>'Raw Datas'!DG94</f>
        <v>44.327700000000007</v>
      </c>
      <c r="DG13" s="9">
        <f>'Raw Datas'!DH94</f>
        <v>19.648766666666667</v>
      </c>
      <c r="DH13" s="9">
        <f>'Raw Datas'!DI94</f>
        <v>175.00936666666666</v>
      </c>
      <c r="DI13" s="9">
        <f>'Raw Datas'!DJ94</f>
        <v>133.89473333333333</v>
      </c>
      <c r="DJ13" s="9">
        <f>'Raw Datas'!DK94</f>
        <v>40.030116666666665</v>
      </c>
      <c r="DK13" s="9">
        <f>'Raw Datas'!DL94</f>
        <v>24.660716666666666</v>
      </c>
      <c r="DL13" s="9">
        <f>'Raw Datas'!DM94</f>
        <v>213.22576666666663</v>
      </c>
      <c r="DM13" s="9">
        <f>'Raw Datas'!DN94</f>
        <v>210.98278333333334</v>
      </c>
      <c r="DN13" s="9">
        <f>'Raw Datas'!DO94</f>
        <v>252.16094999999999</v>
      </c>
      <c r="DO13" s="9">
        <f>'Raw Datas'!DP94</f>
        <v>49.504533333333335</v>
      </c>
      <c r="DP13" s="9">
        <f>'Raw Datas'!DQ94</f>
        <v>124.75709999999999</v>
      </c>
      <c r="DQ13" s="9">
        <f>'Raw Datas'!DR94</f>
        <v>318.23220000000003</v>
      </c>
      <c r="DR13" s="9">
        <f>'Raw Datas'!DS94</f>
        <v>52.696966666666668</v>
      </c>
      <c r="DS13" s="9">
        <f>'Raw Datas'!DT94</f>
        <v>117.27551666666666</v>
      </c>
      <c r="DT13" s="9">
        <f>'Raw Datas'!DU94</f>
        <v>92.306799999999996</v>
      </c>
      <c r="DU13" s="9">
        <f>'Raw Datas'!DV94</f>
        <v>78.499700000000004</v>
      </c>
      <c r="DV13" s="9">
        <f>'Raw Datas'!DW94</f>
        <v>151.16223333333335</v>
      </c>
      <c r="DW13" s="9">
        <f>'Raw Datas'!DX94</f>
        <v>74.189983333333345</v>
      </c>
      <c r="DX13" s="9">
        <f>'Raw Datas'!DY94</f>
        <v>237.51140000000001</v>
      </c>
      <c r="DY13" s="9">
        <f>'Raw Datas'!DZ94</f>
        <v>77.507900000000006</v>
      </c>
      <c r="DZ13" s="9">
        <f>'Raw Datas'!EA94</f>
        <v>169.70553333333334</v>
      </c>
      <c r="EA13" s="9">
        <f>'Raw Datas'!EB94</f>
        <v>172.69633333333334</v>
      </c>
      <c r="EB13" s="9">
        <f>'Raw Datas'!EC94</f>
        <v>37.097583333333333</v>
      </c>
      <c r="EC13" s="9">
        <f>'Raw Datas'!ED94</f>
        <v>155.67108333333334</v>
      </c>
      <c r="ED13" s="9">
        <f>'Raw Datas'!EE94</f>
        <v>49.364766666666668</v>
      </c>
      <c r="EE13" s="9">
        <f>'Raw Datas'!EF94</f>
        <v>32.975383333333333</v>
      </c>
      <c r="EF13" s="9">
        <f>'Raw Datas'!EG94</f>
        <v>42.758333333333333</v>
      </c>
      <c r="EG13" s="9">
        <f>'Raw Datas'!EH94</f>
        <v>35.724283333333332</v>
      </c>
      <c r="EH13" s="9">
        <f>'Raw Datas'!EI94</f>
        <v>18.386583333333338</v>
      </c>
      <c r="EI13" s="9">
        <f>'Raw Datas'!EJ94</f>
        <v>132.05855000000003</v>
      </c>
      <c r="EJ13" s="9">
        <f>'Raw Datas'!EK94</f>
        <v>115.3522</v>
      </c>
      <c r="EK13" s="9">
        <f>'Raw Datas'!EL94</f>
        <v>60.44636666666667</v>
      </c>
      <c r="EL13" s="9">
        <f>'Raw Datas'!EM94</f>
        <v>64.204016666666661</v>
      </c>
      <c r="EM13" s="9">
        <f>'Raw Datas'!EN94</f>
        <v>122.93671666666667</v>
      </c>
      <c r="EN13" s="9">
        <f>'Raw Datas'!EO94</f>
        <v>46.232566666666663</v>
      </c>
      <c r="EO13" s="9">
        <f>'Raw Datas'!EP94</f>
        <v>46.357733333333343</v>
      </c>
      <c r="EP13" s="9">
        <f>'Raw Datas'!EQ94</f>
        <v>65.782883333333331</v>
      </c>
      <c r="EQ13" s="9">
        <f>'Raw Datas'!ER94</f>
        <v>158.33530000000002</v>
      </c>
      <c r="ER13" s="9">
        <f>'Raw Datas'!ES94</f>
        <v>116.63046666666666</v>
      </c>
      <c r="ES13" s="9">
        <f>'Raw Datas'!ET94</f>
        <v>55.082349999999998</v>
      </c>
      <c r="ET13" s="9">
        <f>'Raw Datas'!EU94</f>
        <v>94.170466666666655</v>
      </c>
      <c r="EU13" s="9">
        <f>'Raw Datas'!EV94</f>
        <v>83.92968333333333</v>
      </c>
      <c r="EV13" s="9">
        <f>'Raw Datas'!EW94</f>
        <v>37.000183333333332</v>
      </c>
      <c r="EW13" s="9">
        <f>'Raw Datas'!EX94</f>
        <v>323.98106666666666</v>
      </c>
      <c r="EX13" s="9">
        <f>'Raw Datas'!EY94</f>
        <v>109.50086666666667</v>
      </c>
      <c r="EY13" s="9">
        <f>'Raw Datas'!EZ94</f>
        <v>224.14035000000001</v>
      </c>
      <c r="EZ13" s="9">
        <f>'Raw Datas'!FA94</f>
        <v>112.94586666666667</v>
      </c>
      <c r="FA13" s="9">
        <f>'Raw Datas'!FB94</f>
        <v>28.176499999999997</v>
      </c>
      <c r="FB13" s="9">
        <f>'Raw Datas'!FC94</f>
        <v>128.97808333333333</v>
      </c>
      <c r="FC13" s="9">
        <f>'Raw Datas'!FD94</f>
        <v>77.49733333333333</v>
      </c>
      <c r="FD13" s="9">
        <f>'Raw Datas'!FE94</f>
        <v>75.393133333333324</v>
      </c>
      <c r="FE13" s="9">
        <f>'Raw Datas'!FF94</f>
        <v>173.83825000000004</v>
      </c>
      <c r="FF13" s="9">
        <f>'Raw Datas'!FG94</f>
        <v>69.858133333333342</v>
      </c>
      <c r="FG13" s="9">
        <f>'Raw Datas'!FH94</f>
        <v>189.06283333333334</v>
      </c>
      <c r="FH13" s="9">
        <f>'Raw Datas'!FI94</f>
        <v>153.9187</v>
      </c>
      <c r="FI13" s="9">
        <f>'Raw Datas'!FJ94</f>
        <v>300.14238333333327</v>
      </c>
      <c r="FJ13" s="9">
        <f>'Raw Datas'!FK94</f>
        <v>199.86124999999998</v>
      </c>
      <c r="FK13" s="9">
        <f>'Raw Datas'!FL94</f>
        <v>282.9570333333333</v>
      </c>
      <c r="FL13" s="9">
        <f>'Raw Datas'!FM94</f>
        <v>218.71658333333335</v>
      </c>
      <c r="FM13" s="9">
        <f>'Raw Datas'!FN94</f>
        <v>83.043166666666664</v>
      </c>
      <c r="FN13" s="9">
        <f>'Raw Datas'!FO94</f>
        <v>78.768316666666664</v>
      </c>
    </row>
    <row r="14" spans="1:170" x14ac:dyDescent="0.2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</row>
    <row r="15" spans="1:170" x14ac:dyDescent="0.2">
      <c r="A15" s="3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</row>
    <row r="16" spans="1:170" x14ac:dyDescent="0.2">
      <c r="B16" s="91"/>
      <c r="C16" s="3"/>
      <c r="D16" s="3"/>
      <c r="E16" s="3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B18" s="9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D216-F3FE-AD47-8DF8-BED14A256DB5}">
  <dimension ref="A1:WTV36"/>
  <sheetViews>
    <sheetView workbookViewId="0">
      <selection activeCell="D14" sqref="D14"/>
    </sheetView>
  </sheetViews>
  <sheetFormatPr baseColWidth="10" defaultColWidth="19" defaultRowHeight="15" x14ac:dyDescent="0.2"/>
  <cols>
    <col min="1" max="1" width="32" style="15" bestFit="1" customWidth="1"/>
    <col min="2" max="2" width="38" style="15" bestFit="1" customWidth="1"/>
    <col min="3" max="3" width="35.5" style="15" bestFit="1" customWidth="1"/>
    <col min="4" max="4" width="33.1640625" style="15" bestFit="1" customWidth="1"/>
    <col min="5" max="5" width="38.6640625" style="15" bestFit="1" customWidth="1"/>
    <col min="6" max="7" width="39.33203125" style="15" bestFit="1" customWidth="1"/>
    <col min="8" max="8" width="35" style="15" bestFit="1" customWidth="1"/>
    <col min="9" max="9" width="40.33203125" style="15" bestFit="1" customWidth="1"/>
    <col min="10" max="10" width="40" style="15" bestFit="1" customWidth="1"/>
    <col min="11" max="11" width="35.5" style="15" bestFit="1" customWidth="1"/>
    <col min="12" max="12" width="33.1640625" style="15" bestFit="1" customWidth="1"/>
    <col min="13" max="13" width="24.5" style="15" bestFit="1" customWidth="1"/>
    <col min="14" max="14" width="32.83203125" style="15" bestFit="1" customWidth="1"/>
    <col min="15" max="16" width="35.5" style="15" bestFit="1" customWidth="1"/>
    <col min="17" max="17" width="35" style="15" bestFit="1" customWidth="1"/>
    <col min="18" max="18" width="35.5" style="15" bestFit="1" customWidth="1"/>
    <col min="19" max="19" width="33.1640625" style="15" bestFit="1" customWidth="1"/>
    <col min="20" max="20" width="40.33203125" style="15" bestFit="1" customWidth="1"/>
    <col min="21" max="21" width="35.5" style="15" bestFit="1" customWidth="1"/>
    <col min="22" max="22" width="14.33203125" style="15" bestFit="1" customWidth="1"/>
    <col min="23" max="23" width="13.83203125" style="15" bestFit="1" customWidth="1"/>
    <col min="24" max="32" width="14.33203125" style="15" bestFit="1" customWidth="1"/>
    <col min="33" max="33" width="13.83203125" style="15" bestFit="1" customWidth="1"/>
    <col min="34" max="16384" width="19" style="15"/>
  </cols>
  <sheetData>
    <row r="1" spans="1:171" ht="21" x14ac:dyDescent="0.2">
      <c r="B1" s="119" t="s">
        <v>386</v>
      </c>
      <c r="C1" s="119"/>
      <c r="D1" s="119"/>
      <c r="E1" s="119"/>
      <c r="F1" s="119"/>
      <c r="G1" s="119"/>
      <c r="H1" s="119"/>
    </row>
    <row r="2" spans="1:171" ht="21" x14ac:dyDescent="0.2">
      <c r="B2" s="16"/>
      <c r="C2" s="16"/>
      <c r="D2" s="16"/>
      <c r="E2" s="16"/>
      <c r="F2" s="16"/>
      <c r="G2" s="16"/>
    </row>
    <row r="4" spans="1:171" x14ac:dyDescent="0.2">
      <c r="B4" s="17" t="s">
        <v>0</v>
      </c>
      <c r="C4" s="15" t="s">
        <v>387</v>
      </c>
    </row>
    <row r="5" spans="1:171" x14ac:dyDescent="0.2">
      <c r="B5" s="17" t="s">
        <v>1</v>
      </c>
      <c r="C5" s="15" t="s">
        <v>388</v>
      </c>
    </row>
    <row r="6" spans="1:171" ht="16" thickBot="1" x14ac:dyDescent="0.25"/>
    <row r="7" spans="1:171" ht="16" thickBot="1" x14ac:dyDescent="0.25">
      <c r="B7" s="5" t="str">
        <f>'Raw Datas'!A55</f>
        <v>pg/µL of fluid</v>
      </c>
      <c r="C7" s="6" t="str">
        <f>'Raw Datas'!C1</f>
        <v>KT-312D10</v>
      </c>
      <c r="D7" s="6" t="str">
        <f>'Raw Datas'!D1</f>
        <v>BS-364D0</v>
      </c>
      <c r="E7" s="6" t="str">
        <f>'Raw Datas'!E1</f>
        <v>KT-412D60</v>
      </c>
      <c r="F7" s="6" t="str">
        <f>'Raw Datas'!F1</f>
        <v>KT-974D03</v>
      </c>
      <c r="G7" s="6" t="str">
        <f>'Raw Datas'!G1</f>
        <v>JV-138D0</v>
      </c>
      <c r="H7" s="6" t="str">
        <f>'Raw Datas'!H1</f>
        <v>BS-671D03</v>
      </c>
      <c r="I7" s="6" t="str">
        <f>'Raw Datas'!I1</f>
        <v>KT-723D10</v>
      </c>
      <c r="J7" s="6" t="str">
        <f>'Raw Datas'!J1</f>
        <v>KT-705D60</v>
      </c>
      <c r="K7" s="6" t="str">
        <f>'Raw Datas'!K1</f>
        <v>KT-434D03</v>
      </c>
      <c r="L7" s="6" t="str">
        <f>'Raw Datas'!L1</f>
        <v>BS-082D60</v>
      </c>
      <c r="M7" s="6" t="str">
        <f>'Raw Datas'!M1</f>
        <v>BS-064D0</v>
      </c>
      <c r="N7" s="6" t="str">
        <f>'Raw Datas'!N1</f>
        <v>BS-336D10</v>
      </c>
      <c r="O7" s="6" t="str">
        <f>'Raw Datas'!O1</f>
        <v>KT-723D60</v>
      </c>
      <c r="P7" s="6" t="str">
        <f>'Raw Datas'!P1</f>
        <v>KT-612D10</v>
      </c>
      <c r="Q7" s="6" t="str">
        <f>'Raw Datas'!Q1</f>
        <v>KT-705D03</v>
      </c>
      <c r="R7" s="6" t="str">
        <f>'Raw Datas'!R1</f>
        <v>JV-157D0</v>
      </c>
      <c r="S7" s="6" t="str">
        <f>'Raw Datas'!S1</f>
        <v>JV-148D60</v>
      </c>
      <c r="T7" s="6" t="str">
        <f>'Raw Datas'!T1</f>
        <v>KT-663D0</v>
      </c>
      <c r="U7" s="6" t="str">
        <f>'Raw Datas'!U1</f>
        <v>BS-346D03</v>
      </c>
      <c r="V7" s="6" t="str">
        <f>'Raw Datas'!V1</f>
        <v>JV-048D10</v>
      </c>
      <c r="W7" s="6" t="str">
        <f>'Raw Datas'!W1</f>
        <v>BS-351D0</v>
      </c>
      <c r="X7" s="6" t="str">
        <f>'Raw Datas'!X1</f>
        <v>JV-148D10</v>
      </c>
      <c r="Y7" s="6" t="str">
        <f>'Raw Datas'!Y1</f>
        <v>KT-929D60</v>
      </c>
      <c r="Z7" s="6" t="str">
        <f>'Raw Datas'!Z1</f>
        <v>BS-336D03</v>
      </c>
      <c r="AA7" s="6" t="str">
        <f>'Raw Datas'!AA1</f>
        <v>KT-771D10</v>
      </c>
      <c r="AB7" s="6" t="str">
        <f>'Raw Datas'!AB1</f>
        <v>KT-695D03</v>
      </c>
      <c r="AC7" s="6" t="str">
        <f>'Raw Datas'!AC1</f>
        <v>KT-612D0</v>
      </c>
      <c r="AD7" s="6" t="str">
        <f>'Raw Datas'!AD1</f>
        <v>KT-312D60</v>
      </c>
      <c r="AE7" s="6" t="str">
        <f>'Raw Datas'!AE1</f>
        <v>KT-927D03</v>
      </c>
      <c r="AF7" s="6" t="str">
        <f>'Raw Datas'!AF1</f>
        <v>JV-071D60</v>
      </c>
      <c r="AG7" s="6" t="str">
        <f>'Raw Datas'!AG1</f>
        <v>KT-193D10</v>
      </c>
      <c r="AH7" s="6" t="str">
        <f>'Raw Datas'!AH1</f>
        <v>KT-247D0</v>
      </c>
      <c r="AI7" s="6" t="str">
        <f>'Raw Datas'!AI1</f>
        <v>BS-064D03</v>
      </c>
      <c r="AJ7" s="6" t="str">
        <f>'Raw Datas'!AJ1</f>
        <v>KT-537D60</v>
      </c>
      <c r="AK7" s="6" t="str">
        <f>'Raw Datas'!AK1</f>
        <v>BS-377D0</v>
      </c>
      <c r="AL7" s="6" t="str">
        <f>'Raw Datas'!AL1</f>
        <v>KT-347D10</v>
      </c>
      <c r="AM7" s="6" t="str">
        <f>'Raw Datas'!AM1</f>
        <v>JV-138D60</v>
      </c>
      <c r="AN7" s="6" t="str">
        <f>'Raw Datas'!AN1</f>
        <v>JV-138D10</v>
      </c>
      <c r="AO7" s="6" t="str">
        <f>'Raw Datas'!AO1</f>
        <v>KT-247D03</v>
      </c>
      <c r="AP7" s="6" t="str">
        <f>'Raw Datas'!AP1</f>
        <v>KT-718D0</v>
      </c>
      <c r="AQ7" s="6" t="str">
        <f>'Raw Datas'!AQ1</f>
        <v>BS-082D10</v>
      </c>
      <c r="AR7" s="6" t="str">
        <f>'Raw Datas'!AR1</f>
        <v>KT-445D0</v>
      </c>
      <c r="AS7" s="6" t="str">
        <f>'Raw Datas'!AS1</f>
        <v>KT-716D60</v>
      </c>
      <c r="AT7" s="6" t="str">
        <f>'Raw Datas'!AT1</f>
        <v>KT-347D03</v>
      </c>
      <c r="AU7" s="6" t="str">
        <f>'Raw Datas'!AU1</f>
        <v>KT-805D0</v>
      </c>
      <c r="AV7" s="6" t="str">
        <f>'Raw Datas'!AV1</f>
        <v>BS-351D03</v>
      </c>
      <c r="AW7" s="6" t="str">
        <f>'Raw Datas'!AW1</f>
        <v>KT-538D10</v>
      </c>
      <c r="AX7" s="6" t="str">
        <f>'Raw Datas'!AX1</f>
        <v>JV-035D60</v>
      </c>
      <c r="AY7" s="6" t="str">
        <f>'Raw Datas'!AY1</f>
        <v>KT-718D03</v>
      </c>
      <c r="AZ7" s="6" t="str">
        <f>'Raw Datas'!AZ1</f>
        <v>KT-723D0</v>
      </c>
      <c r="BA7" s="6" t="str">
        <f>'Raw Datas'!BA1</f>
        <v>KT-515D10</v>
      </c>
      <c r="BB7" s="6" t="str">
        <f>'Raw Datas'!BB1</f>
        <v>KT-412D03</v>
      </c>
      <c r="BC7" s="6" t="str">
        <f>'Raw Datas'!BC1</f>
        <v>KT-313D10</v>
      </c>
      <c r="BD7" s="6" t="str">
        <f>'Raw Datas'!BD1</f>
        <v>BS-377D60</v>
      </c>
      <c r="BE7" s="6" t="str">
        <f>'Raw Datas'!BE1</f>
        <v>KT-417D0</v>
      </c>
      <c r="BF7" s="6" t="str">
        <f>'Raw Datas'!BF1</f>
        <v>KT-412D10</v>
      </c>
      <c r="BG7" s="6" t="str">
        <f>'Raw Datas'!BG1</f>
        <v>KT-515D0</v>
      </c>
      <c r="BH7" s="6" t="str">
        <f>'Raw Datas'!BH1</f>
        <v>JV-148D03</v>
      </c>
      <c r="BI7" s="6" t="str">
        <f>'Raw Datas'!BI1</f>
        <v>KT-313D0</v>
      </c>
      <c r="BJ7" s="6" t="str">
        <f>'Raw Datas'!BJ1</f>
        <v>KT-445D60</v>
      </c>
      <c r="BK7" s="6" t="str">
        <f>'Raw Datas'!BK1</f>
        <v>KT-434D10</v>
      </c>
      <c r="BL7" s="6" t="str">
        <f>'Raw Datas'!BL1</f>
        <v>BS-082D03</v>
      </c>
      <c r="BM7" s="6" t="str">
        <f>'Raw Datas'!BM1</f>
        <v>KT-880D03</v>
      </c>
      <c r="BN7" s="6" t="str">
        <f>'Raw Datas'!BN1</f>
        <v>KT-247D60</v>
      </c>
      <c r="BO7" s="6" t="str">
        <f>'Raw Datas'!BO1</f>
        <v>KT-705D10</v>
      </c>
      <c r="BP7" s="6" t="str">
        <f>'Raw Datas'!BP1</f>
        <v>BS-082D0</v>
      </c>
      <c r="BQ7" s="6" t="str">
        <f>'Raw Datas'!BQ1</f>
        <v>JV-157D60</v>
      </c>
      <c r="BR7" s="6" t="str">
        <f>'Raw Datas'!BR1</f>
        <v>KT-312D0</v>
      </c>
      <c r="BS7" s="6" t="str">
        <f>'Raw Datas'!BS1</f>
        <v>KT-445D03</v>
      </c>
      <c r="BT7" s="6" t="str">
        <f>'Raw Datas'!BT1</f>
        <v>BS-377D10</v>
      </c>
      <c r="BU7" s="6" t="str">
        <f>'Raw Datas'!BU1</f>
        <v>KT-695D0</v>
      </c>
      <c r="BV7" s="6" t="str">
        <f>'Raw Datas'!BV1</f>
        <v>BS-351D10</v>
      </c>
      <c r="BW7" s="6" t="str">
        <f>'Raw Datas'!BW1</f>
        <v>KT-417D60</v>
      </c>
      <c r="BX7" s="6" t="str">
        <f>'Raw Datas'!BX1</f>
        <v>JV-138D03</v>
      </c>
      <c r="BY7" s="6" t="str">
        <f>'Raw Datas'!BY1</f>
        <v>KT-805D10</v>
      </c>
      <c r="BZ7" s="6" t="str">
        <f>'Raw Datas'!BZ1</f>
        <v>JV-048D03</v>
      </c>
      <c r="CA7" s="6" t="str">
        <f>'Raw Datas'!CA1</f>
        <v>KT-705D0</v>
      </c>
      <c r="CB7" s="6" t="str">
        <f>'Raw Datas'!CB1</f>
        <v>BS-671D60</v>
      </c>
      <c r="CC7" s="6" t="str">
        <f>'Raw Datas'!CC1</f>
        <v>JV-157D03</v>
      </c>
      <c r="CD7" s="6" t="str">
        <f>'Raw Datas'!CD1</f>
        <v>KT-974D0</v>
      </c>
      <c r="CE7" s="6" t="str">
        <f>'Raw Datas'!CE1</f>
        <v>BS-364D60</v>
      </c>
      <c r="CF7" s="6" t="str">
        <f>'Raw Datas'!CF1</f>
        <v>KT-716D10</v>
      </c>
      <c r="CG7" s="6" t="str">
        <f>'Raw Datas'!CG1</f>
        <v>KT-538D0</v>
      </c>
      <c r="CH7" s="6" t="str">
        <f>'Raw Datas'!CH1</f>
        <v>KT-718D10</v>
      </c>
      <c r="CI7" s="6" t="str">
        <f>'Raw Datas'!CI1</f>
        <v>KT-538D03</v>
      </c>
      <c r="CJ7" s="6" t="str">
        <f>'Raw Datas'!CJ1</f>
        <v>KT-805D60</v>
      </c>
      <c r="CK7" s="6" t="str">
        <f>'Raw Datas'!CK1</f>
        <v>KT-612D60</v>
      </c>
      <c r="CL7" s="6" t="str">
        <f>'Raw Datas'!CL1</f>
        <v>KT-926D0</v>
      </c>
      <c r="CM7" s="6" t="str">
        <f>'Raw Datas'!CM1</f>
        <v>KT-193D03</v>
      </c>
      <c r="CN7" s="6" t="str">
        <f>'Raw Datas'!CN1</f>
        <v>KT-663D60</v>
      </c>
      <c r="CO7" s="6" t="str">
        <f>'Raw Datas'!CO1</f>
        <v>KT-352D03</v>
      </c>
      <c r="CP7" s="6" t="str">
        <f>'Raw Datas'!CP1</f>
        <v>KT-537D10</v>
      </c>
      <c r="CQ7" s="6" t="str">
        <f>'Raw Datas'!CQ1</f>
        <v>JV-035D0</v>
      </c>
      <c r="CR7" s="6" t="str">
        <f>'Raw Datas'!CR1</f>
        <v>KT-522D60</v>
      </c>
      <c r="CS7" s="6" t="str">
        <f>'Raw Datas'!CS1</f>
        <v>KT-352D10</v>
      </c>
      <c r="CT7" s="6" t="str">
        <f>'Raw Datas'!CT1</f>
        <v>KT-716D03</v>
      </c>
      <c r="CU7" s="6" t="str">
        <f>'Raw Datas'!CU1</f>
        <v>KT-716D0</v>
      </c>
      <c r="CV7" s="6" t="str">
        <f>'Raw Datas'!CV1</f>
        <v>BS-346D10</v>
      </c>
      <c r="CW7" s="6" t="str">
        <f>'Raw Datas'!CW1</f>
        <v>KT-347D0</v>
      </c>
      <c r="CX7" s="6" t="str">
        <f>'Raw Datas'!CX1</f>
        <v>BS-336D60</v>
      </c>
      <c r="CY7" s="6" t="str">
        <f>'Raw Datas'!CY1</f>
        <v>KT-515D03</v>
      </c>
      <c r="CZ7" s="6" t="str">
        <f>'Raw Datas'!CZ1</f>
        <v>KT-352D0</v>
      </c>
      <c r="DA7" s="6" t="str">
        <f>'Raw Datas'!DA1</f>
        <v>KT-771D03</v>
      </c>
      <c r="DB7" s="6" t="str">
        <f>'Raw Datas'!DB1</f>
        <v>BS-364D10</v>
      </c>
      <c r="DC7" s="6" t="str">
        <f>'Raw Datas'!DC1</f>
        <v>BS-064D60</v>
      </c>
      <c r="DD7" s="6" t="str">
        <f>'Raw Datas'!DD1</f>
        <v>KT-723D03</v>
      </c>
      <c r="DE7" s="6" t="str">
        <f>'Raw Datas'!DE1</f>
        <v>KT-538D60</v>
      </c>
      <c r="DF7" s="6" t="str">
        <f>'Raw Datas'!DF1</f>
        <v>KT-193D0</v>
      </c>
      <c r="DG7" s="6" t="str">
        <f>'Raw Datas'!DG1</f>
        <v>KT-445D10</v>
      </c>
      <c r="DH7" s="6" t="str">
        <f>'Raw Datas'!DH1</f>
        <v>KT-771D0</v>
      </c>
      <c r="DI7" s="6" t="str">
        <f>'Raw Datas'!DI1</f>
        <v>KT-247D10</v>
      </c>
      <c r="DJ7" s="6" t="str">
        <f>'Raw Datas'!DJ1</f>
        <v>KT-515D60</v>
      </c>
      <c r="DK7" s="6" t="str">
        <f>'Raw Datas'!DK1</f>
        <v>JV-071D03</v>
      </c>
      <c r="DL7" s="6" t="str">
        <f>'Raw Datas'!DL1</f>
        <v>KT-525D10</v>
      </c>
      <c r="DM7" s="6" t="str">
        <f>'Raw Datas'!DM1</f>
        <v>KT-522D03</v>
      </c>
      <c r="DN7" s="6" t="str">
        <f>'Raw Datas'!DN1</f>
        <v>KT-525D0</v>
      </c>
      <c r="DO7" s="6" t="str">
        <f>'Raw Datas'!DO1</f>
        <v>BS-346D60</v>
      </c>
      <c r="DP7" s="6" t="str">
        <f>'Raw Datas'!DP1</f>
        <v>KT-525D03</v>
      </c>
      <c r="DQ7" s="6" t="str">
        <f>'Raw Datas'!DQ1</f>
        <v>KT-771D60</v>
      </c>
      <c r="DR7" s="6" t="str">
        <f>'Raw Datas'!DR1</f>
        <v>KT-417D10</v>
      </c>
      <c r="DS7" s="6" t="str">
        <f>'Raw Datas'!DS1</f>
        <v>JV-048D0</v>
      </c>
      <c r="DT7" s="6" t="str">
        <f>'Raw Datas'!DT1</f>
        <v>KT-539D60</v>
      </c>
      <c r="DU7" s="6" t="str">
        <f>'Raw Datas'!DU1</f>
        <v>KT-880D0</v>
      </c>
      <c r="DV7" s="6" t="str">
        <f>'Raw Datas'!DV1</f>
        <v>KT-805D03</v>
      </c>
      <c r="DW7" s="6" t="str">
        <f>'Raw Datas'!DW1</f>
        <v>KT-565D10</v>
      </c>
      <c r="DX7" s="6" t="str">
        <f>'Raw Datas'!DX1</f>
        <v>BS-351D60</v>
      </c>
      <c r="DY7" s="6" t="str">
        <f>'Raw Datas'!DY1</f>
        <v>KT-663D03</v>
      </c>
      <c r="DZ7" s="6" t="str">
        <f>'Raw Datas'!DZ1</f>
        <v>KT-695D10</v>
      </c>
      <c r="EA7" s="6" t="str">
        <f>'Raw Datas'!EA1</f>
        <v>KT-539D0</v>
      </c>
      <c r="EB7" s="6" t="str">
        <f>'Raw Datas'!EB1</f>
        <v>KT-539D03</v>
      </c>
      <c r="EC7" s="6" t="str">
        <f>'Raw Datas'!EC1</f>
        <v>BS-671D0</v>
      </c>
      <c r="ED7" s="6" t="str">
        <f>'Raw Datas'!ED1</f>
        <v>KT-313D60</v>
      </c>
      <c r="EE7" s="6" t="str">
        <f>'Raw Datas'!EE1</f>
        <v>BS-064D10</v>
      </c>
      <c r="EF7" s="6" t="str">
        <f>'Raw Datas'!EF1</f>
        <v>BS-346D0</v>
      </c>
      <c r="EG7" s="6" t="str">
        <f>'Raw Datas'!EG1</f>
        <v>KT-522D10</v>
      </c>
      <c r="EH7" s="6" t="str">
        <f>'Raw Datas'!EH1</f>
        <v>KT-565D03</v>
      </c>
      <c r="EI7" s="6" t="str">
        <f>'Raw Datas'!EI1</f>
        <v>KT-695D60</v>
      </c>
      <c r="EJ7" s="6" t="str">
        <f>'Raw Datas'!EJ1</f>
        <v>KT-928D10</v>
      </c>
      <c r="EK7" s="6" t="str">
        <f>'Raw Datas'!EK1</f>
        <v>KT-347D60</v>
      </c>
      <c r="EL7" s="6" t="str">
        <f>'Raw Datas'!EL1</f>
        <v>KT-522D0</v>
      </c>
      <c r="EM7" s="6" t="str">
        <f>'Raw Datas'!EM1</f>
        <v>BS-364D03</v>
      </c>
      <c r="EN7" s="6" t="str">
        <f>'Raw Datas'!EN1</f>
        <v>KT-352D60</v>
      </c>
      <c r="EO7" s="6" t="str">
        <f>'Raw Datas'!EO1</f>
        <v>JV-157D10</v>
      </c>
      <c r="EP7" s="6" t="str">
        <f>'Raw Datas'!EP1</f>
        <v>KT-565D0</v>
      </c>
      <c r="EQ7" s="6" t="str">
        <f>'Raw Datas'!EQ1</f>
        <v>KT-612D03</v>
      </c>
      <c r="ER7" s="6" t="str">
        <f>'Raw Datas'!ER1</f>
        <v>KT-974D10</v>
      </c>
      <c r="ES7" s="6" t="str">
        <f>'Raw Datas'!ES1</f>
        <v>KT-537D03</v>
      </c>
      <c r="ET7" s="6" t="str">
        <f>'Raw Datas'!ET1</f>
        <v>KT-718D60</v>
      </c>
      <c r="EU7" s="6" t="str">
        <f>'Raw Datas'!EU1</f>
        <v>JV-071D0</v>
      </c>
      <c r="EV7" s="6" t="str">
        <f>'Raw Datas'!EV1</f>
        <v>KT-312D03</v>
      </c>
      <c r="EW7" s="6" t="str">
        <f>'Raw Datas'!EW1</f>
        <v>BS-336D0</v>
      </c>
      <c r="EX7" s="6" t="str">
        <f>'Raw Datas'!EX1</f>
        <v>KT-880D10</v>
      </c>
      <c r="EY7" s="6" t="str">
        <f>'Raw Datas'!EY1</f>
        <v>KT-193D60</v>
      </c>
      <c r="EZ7" s="6" t="str">
        <f>'Raw Datas'!EZ1</f>
        <v>JV-148D0</v>
      </c>
      <c r="FA7" s="6" t="str">
        <f>'Raw Datas'!FA1</f>
        <v>KT-434D60</v>
      </c>
      <c r="FB7" s="6" t="str">
        <f>'Raw Datas'!FB1</f>
        <v>KT-417D03</v>
      </c>
      <c r="FC7" s="6" t="str">
        <f>'Raw Datas'!FC1</f>
        <v>KT-663D10</v>
      </c>
      <c r="FD7" s="6" t="str">
        <f>'Raw Datas'!FD1</f>
        <v>KT-525D60</v>
      </c>
      <c r="FE7" s="6" t="str">
        <f>'Raw Datas'!FE1</f>
        <v>KT-539D10</v>
      </c>
      <c r="FF7" s="6" t="str">
        <f>'Raw Datas'!FF1</f>
        <v>KT-537D0</v>
      </c>
      <c r="FG7" s="6" t="str">
        <f>'Raw Datas'!FG1</f>
        <v>KT-313D03</v>
      </c>
      <c r="FH7" s="6" t="str">
        <f>'Raw Datas'!FH1</f>
        <v>JV-035D10</v>
      </c>
      <c r="FI7" s="6" t="str">
        <f>'Raw Datas'!FI1</f>
        <v>BS-377D03</v>
      </c>
      <c r="FJ7" s="6" t="str">
        <f>'Raw Datas'!FJ1</f>
        <v>KT-880D60</v>
      </c>
      <c r="FK7" s="6" t="str">
        <f>'Raw Datas'!FK1</f>
        <v>KT-434D0</v>
      </c>
      <c r="FL7" s="6" t="str">
        <f>'Raw Datas'!FL1</f>
        <v>JV-035D03</v>
      </c>
      <c r="FM7" s="6" t="str">
        <f>'Raw Datas'!FM1</f>
        <v>KT-412D0</v>
      </c>
      <c r="FN7" s="6" t="str">
        <f>'Raw Datas'!FN1</f>
        <v>BS-671D10</v>
      </c>
      <c r="FO7" s="6" t="str">
        <f>'Raw Datas'!FO1</f>
        <v>KT-974D60</v>
      </c>
    </row>
    <row r="8" spans="1:171" ht="16" thickBot="1" x14ac:dyDescent="0.25">
      <c r="A8" s="21" t="s">
        <v>385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</row>
    <row r="9" spans="1:171" ht="15.75" customHeight="1" x14ac:dyDescent="0.2">
      <c r="A9" s="151" t="s">
        <v>373</v>
      </c>
      <c r="B9" s="104" t="s">
        <v>773</v>
      </c>
      <c r="C9" s="60">
        <f>'Raw Datas'!C58</f>
        <v>27.323333333333334</v>
      </c>
      <c r="D9" s="60">
        <f>'Raw Datas'!D58</f>
        <v>47.252866666666669</v>
      </c>
      <c r="E9" s="60">
        <f>'Raw Datas'!E58</f>
        <v>13.739849999999999</v>
      </c>
      <c r="F9" s="60">
        <f>'Raw Datas'!F58</f>
        <v>108.00115</v>
      </c>
      <c r="G9" s="60">
        <f>'Raw Datas'!G58</f>
        <v>46.803066666666673</v>
      </c>
      <c r="H9" s="60">
        <f>'Raw Datas'!H58</f>
        <v>33.524733333333337</v>
      </c>
      <c r="I9" s="60">
        <f>'Raw Datas'!I58</f>
        <v>47.747449999999994</v>
      </c>
      <c r="J9" s="60">
        <f>'Raw Datas'!J58</f>
        <v>19.417933333333334</v>
      </c>
      <c r="K9" s="60">
        <f>'Raw Datas'!K58</f>
        <v>87.156266666666667</v>
      </c>
      <c r="L9" s="60">
        <f>'Raw Datas'!L58</f>
        <v>67.187950000000001</v>
      </c>
      <c r="M9" s="60">
        <f>'Raw Datas'!M58</f>
        <v>35.312466666666666</v>
      </c>
      <c r="N9" s="60">
        <f>'Raw Datas'!N58</f>
        <v>41.724900000000005</v>
      </c>
      <c r="O9" s="60">
        <f>'Raw Datas'!O58</f>
        <v>40.887483333333336</v>
      </c>
      <c r="P9" s="60">
        <f>'Raw Datas'!P58</f>
        <v>71.254633333333331</v>
      </c>
      <c r="Q9" s="60">
        <f>'Raw Datas'!Q58</f>
        <v>126.50246666666666</v>
      </c>
      <c r="R9" s="60">
        <f>'Raw Datas'!R58</f>
        <v>474.80809999999997</v>
      </c>
      <c r="S9" s="60">
        <f>'Raw Datas'!S58</f>
        <v>100.18928333333334</v>
      </c>
      <c r="T9" s="60">
        <f>'Raw Datas'!T58</f>
        <v>23.101733333333335</v>
      </c>
      <c r="U9" s="60">
        <f>'Raw Datas'!U58</f>
        <v>38.264400000000002</v>
      </c>
      <c r="V9" s="60">
        <f>'Raw Datas'!V58</f>
        <v>62.14693333333333</v>
      </c>
      <c r="W9" s="60">
        <f>'Raw Datas'!W58</f>
        <v>95.641942857142851</v>
      </c>
      <c r="X9" s="60">
        <f>'Raw Datas'!X58</f>
        <v>55.691879999999998</v>
      </c>
      <c r="Y9" s="60">
        <f>'Raw Datas'!Y58</f>
        <v>92.295266666666677</v>
      </c>
      <c r="Z9" s="60">
        <f>'Raw Datas'!Z58</f>
        <v>433.13182</v>
      </c>
      <c r="AA9" s="60">
        <f>'Raw Datas'!AA58</f>
        <v>43.866916666666675</v>
      </c>
      <c r="AB9" s="60">
        <f>'Raw Datas'!AB58</f>
        <v>61.129800000000003</v>
      </c>
      <c r="AC9" s="60">
        <f>'Raw Datas'!AC58</f>
        <v>25.797083333333333</v>
      </c>
      <c r="AD9" s="60">
        <f>'Raw Datas'!AD58</f>
        <v>32.76553333333333</v>
      </c>
      <c r="AE9" s="60">
        <f>'Raw Datas'!AE58</f>
        <v>23.128049999999998</v>
      </c>
      <c r="AF9" s="60">
        <f>'Raw Datas'!AF58</f>
        <v>26.397433333333332</v>
      </c>
      <c r="AG9" s="60">
        <f>'Raw Datas'!AG58</f>
        <v>105.10051666666668</v>
      </c>
      <c r="AH9" s="60">
        <f>'Raw Datas'!AH58</f>
        <v>43.270083333333332</v>
      </c>
      <c r="AI9" s="60">
        <f>'Raw Datas'!AI58</f>
        <v>89.960566666666665</v>
      </c>
      <c r="AJ9" s="60">
        <f>'Raw Datas'!AJ58</f>
        <v>88.017299999999992</v>
      </c>
      <c r="AK9" s="60">
        <f>'Raw Datas'!AK58</f>
        <v>28.074733333333331</v>
      </c>
      <c r="AL9" s="60">
        <f>'Raw Datas'!AL58</f>
        <v>53.489216666666671</v>
      </c>
      <c r="AM9" s="60">
        <f>'Raw Datas'!AM58</f>
        <v>155.10811666666666</v>
      </c>
      <c r="AN9" s="60">
        <f>'Raw Datas'!AN58</f>
        <v>51.056566666666669</v>
      </c>
      <c r="AO9" s="60">
        <f>'Raw Datas'!AO58</f>
        <v>28.556649999999998</v>
      </c>
      <c r="AP9" s="60">
        <f>'Raw Datas'!AP58</f>
        <v>35.767916666666665</v>
      </c>
      <c r="AQ9" s="60">
        <f>'Raw Datas'!AQ58</f>
        <v>273.04338333333334</v>
      </c>
      <c r="AR9" s="60">
        <f>'Raw Datas'!AR58</f>
        <v>21.213700000000003</v>
      </c>
      <c r="AS9" s="60">
        <f>'Raw Datas'!AS58</f>
        <v>131.14041666666665</v>
      </c>
      <c r="AT9" s="60">
        <f>'Raw Datas'!AT58</f>
        <v>76.885950000000008</v>
      </c>
      <c r="AU9" s="60">
        <f>'Raw Datas'!AU58</f>
        <v>15.338919999999998</v>
      </c>
      <c r="AV9" s="60">
        <f>'Raw Datas'!AV58</f>
        <v>23.596520000000002</v>
      </c>
      <c r="AW9" s="60">
        <f>'Raw Datas'!AW58</f>
        <v>17.635716666666667</v>
      </c>
      <c r="AX9" s="60">
        <f>'Raw Datas'!AX58</f>
        <v>25.642033333333337</v>
      </c>
      <c r="AY9" s="60">
        <f>'Raw Datas'!AY58</f>
        <v>32.111499999999999</v>
      </c>
      <c r="AZ9" s="60">
        <f>'Raw Datas'!AZ58</f>
        <v>12.123950000000001</v>
      </c>
      <c r="BA9" s="60">
        <f>'Raw Datas'!BA58</f>
        <v>32.001316666666668</v>
      </c>
      <c r="BB9" s="60">
        <f>'Raw Datas'!BB58</f>
        <v>23.555383333333335</v>
      </c>
      <c r="BC9" s="60">
        <f>'Raw Datas'!BC58</f>
        <v>28.731883333333332</v>
      </c>
      <c r="BD9" s="60">
        <f>'Raw Datas'!BD58</f>
        <v>23.771483333333329</v>
      </c>
      <c r="BE9" s="60">
        <f>'Raw Datas'!BE58</f>
        <v>50.383450000000003</v>
      </c>
      <c r="BF9" s="60">
        <f>'Raw Datas'!BF58</f>
        <v>154.70228333333336</v>
      </c>
      <c r="BG9" s="60">
        <f>'Raw Datas'!BG58</f>
        <v>16.124983333333333</v>
      </c>
      <c r="BH9" s="60">
        <f>'Raw Datas'!BH58</f>
        <v>132.33066666666667</v>
      </c>
      <c r="BI9" s="60">
        <f>'Raw Datas'!BI58</f>
        <v>294.43033333333335</v>
      </c>
      <c r="BJ9" s="60">
        <f>'Raw Datas'!BJ58</f>
        <v>455.29175000000004</v>
      </c>
      <c r="BK9" s="60">
        <f>'Raw Datas'!BK58</f>
        <v>114.18851666666666</v>
      </c>
      <c r="BL9" s="60">
        <f>'Raw Datas'!BL58</f>
        <v>1486.2688833333334</v>
      </c>
      <c r="BM9" s="60">
        <f>'Raw Datas'!BM58</f>
        <v>1065.6721714285713</v>
      </c>
      <c r="BN9" s="60">
        <f>'Raw Datas'!BN58</f>
        <v>1284.4288999999999</v>
      </c>
      <c r="BO9" s="60">
        <f>'Raw Datas'!BO58</f>
        <v>2022.7481666666667</v>
      </c>
      <c r="BP9" s="60">
        <f>'Raw Datas'!BP58</f>
        <v>902.61896666666678</v>
      </c>
      <c r="BQ9" s="60">
        <f>'Raw Datas'!BQ58</f>
        <v>113.56841666666666</v>
      </c>
      <c r="BR9" s="60">
        <f>'Raw Datas'!BR58</f>
        <v>36.488199999999999</v>
      </c>
      <c r="BS9" s="60">
        <f>'Raw Datas'!BS58</f>
        <v>1024.8181166666666</v>
      </c>
      <c r="BT9" s="60">
        <f>'Raw Datas'!BT58</f>
        <v>317.65976666666666</v>
      </c>
      <c r="BU9" s="60">
        <f>'Raw Datas'!BU58</f>
        <v>180.46478333333334</v>
      </c>
      <c r="BV9" s="60">
        <f>'Raw Datas'!BV58</f>
        <v>141.8466333333333</v>
      </c>
      <c r="BW9" s="60">
        <f>'Raw Datas'!BW58</f>
        <v>103.70816666666666</v>
      </c>
      <c r="BX9" s="60">
        <f>'Raw Datas'!BX58</f>
        <v>29.363966666666666</v>
      </c>
      <c r="BY9" s="60">
        <f>'Raw Datas'!BY58</f>
        <v>156.76478333333336</v>
      </c>
      <c r="BZ9" s="60">
        <f>'Raw Datas'!BZ58</f>
        <v>97.586983333333322</v>
      </c>
      <c r="CA9" s="60">
        <f>'Raw Datas'!CA58</f>
        <v>122.07736666666666</v>
      </c>
      <c r="CB9" s="60">
        <f>'Raw Datas'!CB58</f>
        <v>26.971450000000001</v>
      </c>
      <c r="CC9" s="60">
        <f>'Raw Datas'!CC58</f>
        <v>48.404666666666664</v>
      </c>
      <c r="CD9" s="60">
        <f>'Raw Datas'!CD58</f>
        <v>42.177933333333335</v>
      </c>
      <c r="CE9" s="60">
        <f>'Raw Datas'!CE58</f>
        <v>251.81126666666665</v>
      </c>
      <c r="CF9" s="60">
        <f>'Raw Datas'!CF58</f>
        <v>32.006133333333331</v>
      </c>
      <c r="CG9" s="60">
        <f>'Raw Datas'!CG58</f>
        <v>62.545850000000002</v>
      </c>
      <c r="CH9" s="60">
        <f>'Raw Datas'!CH58</f>
        <v>45.624333333333333</v>
      </c>
      <c r="CI9" s="60">
        <f>'Raw Datas'!CI58</f>
        <v>76.323966666666664</v>
      </c>
      <c r="CJ9" s="60">
        <f>'Raw Datas'!CJ58</f>
        <v>23.537866666666666</v>
      </c>
      <c r="CK9" s="60">
        <f>'Raw Datas'!CK58</f>
        <v>24.651499999999999</v>
      </c>
      <c r="CL9" s="60">
        <f>'Raw Datas'!CL58</f>
        <v>46.300766666666661</v>
      </c>
      <c r="CM9" s="60">
        <f>'Raw Datas'!CM58</f>
        <v>32.768999999999998</v>
      </c>
      <c r="CN9" s="60">
        <f>'Raw Datas'!CN58</f>
        <v>39.385716666666667</v>
      </c>
      <c r="CO9" s="60">
        <f>'Raw Datas'!CO58</f>
        <v>25.650766666666662</v>
      </c>
      <c r="CP9" s="60">
        <f>'Raw Datas'!CP58</f>
        <v>63.830750000000002</v>
      </c>
      <c r="CQ9" s="60">
        <f>'Raw Datas'!CQ58</f>
        <v>62.122200000000007</v>
      </c>
      <c r="CR9" s="60">
        <f>'Raw Datas'!CR58</f>
        <v>71.237116666666665</v>
      </c>
      <c r="CS9" s="60">
        <f>'Raw Datas'!CS58</f>
        <v>25.849366666666665</v>
      </c>
      <c r="CT9" s="60">
        <f>'Raw Datas'!CT58</f>
        <v>79.201133333333331</v>
      </c>
      <c r="CU9" s="60">
        <f>'Raw Datas'!CU58</f>
        <v>35.132050000000007</v>
      </c>
      <c r="CV9" s="60">
        <f>'Raw Datas'!CV58</f>
        <v>33.251799999999996</v>
      </c>
      <c r="CW9" s="60">
        <f>'Raw Datas'!CW58</f>
        <v>91.9148</v>
      </c>
      <c r="CX9" s="60">
        <f>'Raw Datas'!CX58</f>
        <v>44.696216666666672</v>
      </c>
      <c r="CY9" s="60">
        <f>'Raw Datas'!CY58</f>
        <v>19.774133333333335</v>
      </c>
      <c r="CZ9" s="60">
        <f>'Raw Datas'!CZ58</f>
        <v>14.164916666666668</v>
      </c>
      <c r="DA9" s="60">
        <f>'Raw Datas'!DA58</f>
        <v>28.473716666666668</v>
      </c>
      <c r="DB9" s="60">
        <f>'Raw Datas'!DB58</f>
        <v>54.840850000000003</v>
      </c>
      <c r="DC9" s="60">
        <f>'Raw Datas'!DC58</f>
        <v>49.263400000000004</v>
      </c>
      <c r="DD9" s="60">
        <f>'Raw Datas'!DD58</f>
        <v>48.840683333333338</v>
      </c>
      <c r="DE9" s="60">
        <f>'Raw Datas'!DE58</f>
        <v>30.569533333333332</v>
      </c>
      <c r="DF9" s="60">
        <f>'Raw Datas'!DF58</f>
        <v>54.16245</v>
      </c>
      <c r="DG9" s="60">
        <f>'Raw Datas'!DG58</f>
        <v>56.221916666666665</v>
      </c>
      <c r="DH9" s="60">
        <f>'Raw Datas'!DH58</f>
        <v>12.184166666666668</v>
      </c>
      <c r="DI9" s="60">
        <f>'Raw Datas'!DI58</f>
        <v>55.727766666666668</v>
      </c>
      <c r="DJ9" s="60">
        <f>'Raw Datas'!DJ58</f>
        <v>150.87026666666668</v>
      </c>
      <c r="DK9" s="60">
        <f>'Raw Datas'!DK58</f>
        <v>98.359316666666658</v>
      </c>
      <c r="DL9" s="60">
        <f>'Raw Datas'!DL58</f>
        <v>14.852416666666668</v>
      </c>
      <c r="DM9" s="60">
        <f>'Raw Datas'!DM58</f>
        <v>81.423133333333325</v>
      </c>
      <c r="DN9" s="60">
        <f>'Raw Datas'!DN58</f>
        <v>90.343149999999994</v>
      </c>
      <c r="DO9" s="60">
        <f>'Raw Datas'!DO58</f>
        <v>61.549733333333343</v>
      </c>
      <c r="DP9" s="60">
        <f>'Raw Datas'!DP58</f>
        <v>41.554583333333326</v>
      </c>
      <c r="DQ9" s="60">
        <f>'Raw Datas'!DQ58</f>
        <v>60.515033333333335</v>
      </c>
      <c r="DR9" s="60">
        <f>'Raw Datas'!DR58</f>
        <v>60.843566666666668</v>
      </c>
      <c r="DS9" s="60">
        <f>'Raw Datas'!DS58</f>
        <v>25.840250000000005</v>
      </c>
      <c r="DT9" s="60">
        <f>'Raw Datas'!DT58</f>
        <v>21.92281666666667</v>
      </c>
      <c r="DU9" s="60">
        <f>'Raw Datas'!DU58</f>
        <v>133.68653333333333</v>
      </c>
      <c r="DV9" s="60">
        <f>'Raw Datas'!DV58</f>
        <v>35.072833333333328</v>
      </c>
      <c r="DW9" s="60">
        <f>'Raw Datas'!DW58</f>
        <v>46.498366666666669</v>
      </c>
      <c r="DX9" s="60">
        <f>'Raw Datas'!DX58</f>
        <v>20.925833333333337</v>
      </c>
      <c r="DY9" s="60">
        <f>'Raw Datas'!DY58</f>
        <v>63.75931666666667</v>
      </c>
      <c r="DZ9" s="60">
        <f>'Raw Datas'!DZ58</f>
        <v>56.155100000000012</v>
      </c>
      <c r="EA9" s="60">
        <f>'Raw Datas'!EA58</f>
        <v>42.308783333333331</v>
      </c>
      <c r="EB9" s="60">
        <f>'Raw Datas'!EB58</f>
        <v>54.117349999999995</v>
      </c>
      <c r="EC9" s="60">
        <f>'Raw Datas'!EC58</f>
        <v>28.063266666666667</v>
      </c>
      <c r="ED9" s="60">
        <f>'Raw Datas'!ED58</f>
        <v>42.84503333333334</v>
      </c>
      <c r="EE9" s="60">
        <f>'Raw Datas'!EE58</f>
        <v>14.793533333333334</v>
      </c>
      <c r="EF9" s="60">
        <f>'Raw Datas'!EF58</f>
        <v>53.088700000000003</v>
      </c>
      <c r="EG9" s="60">
        <f>'Raw Datas'!EG58</f>
        <v>51.925283333333333</v>
      </c>
      <c r="EH9" s="60">
        <f>'Raw Datas'!EH58</f>
        <v>26.80456666666667</v>
      </c>
      <c r="EI9" s="60">
        <f>'Raw Datas'!EI58</f>
        <v>15.592350000000001</v>
      </c>
      <c r="EJ9" s="60">
        <f>'Raw Datas'!EJ58</f>
        <v>68.602466666666672</v>
      </c>
      <c r="EK9" s="60">
        <f>'Raw Datas'!EK58</f>
        <v>32.602416666666663</v>
      </c>
      <c r="EL9" s="60">
        <f>'Raw Datas'!EL58</f>
        <v>38.719683333333336</v>
      </c>
      <c r="EM9" s="60">
        <f>'Raw Datas'!EM58</f>
        <v>60.000783333333331</v>
      </c>
      <c r="EN9" s="60">
        <f>'Raw Datas'!EN58</f>
        <v>73.314266666666668</v>
      </c>
      <c r="EO9" s="60">
        <f>'Raw Datas'!EO58</f>
        <v>49.746033333333337</v>
      </c>
      <c r="EP9" s="60">
        <f>'Raw Datas'!EP58</f>
        <v>56.451000000000008</v>
      </c>
      <c r="EQ9" s="60">
        <f>'Raw Datas'!EQ58</f>
        <v>23.865866666666665</v>
      </c>
      <c r="ER9" s="60">
        <f>'Raw Datas'!ER58</f>
        <v>27.34183333333333</v>
      </c>
      <c r="ES9" s="60">
        <f>'Raw Datas'!ES58</f>
        <v>28.633433333333336</v>
      </c>
      <c r="ET9" s="60">
        <f>'Raw Datas'!ET58</f>
        <v>24.401966666666667</v>
      </c>
      <c r="EU9" s="60">
        <f>'Raw Datas'!EU58</f>
        <v>43.035783333333335</v>
      </c>
      <c r="EV9" s="60">
        <f>'Raw Datas'!EV58</f>
        <v>37.070799999999998</v>
      </c>
      <c r="EW9" s="60">
        <f>'Raw Datas'!EW58</f>
        <v>35.424883333333334</v>
      </c>
      <c r="EX9" s="60">
        <f>'Raw Datas'!EX58</f>
        <v>65.265749999999997</v>
      </c>
      <c r="EY9" s="60">
        <f>'Raw Datas'!EY58</f>
        <v>142.61836666666665</v>
      </c>
      <c r="EZ9" s="60">
        <f>'Raw Datas'!EZ58</f>
        <v>82.463116666666664</v>
      </c>
      <c r="FA9" s="60">
        <f>'Raw Datas'!FA58</f>
        <v>23.478149999999996</v>
      </c>
      <c r="FB9" s="60">
        <f>'Raw Datas'!FB58</f>
        <v>20.876466666666666</v>
      </c>
      <c r="FC9" s="60">
        <f>'Raw Datas'!FC58</f>
        <v>44.406449999999992</v>
      </c>
      <c r="FD9" s="60">
        <f>'Raw Datas'!FD58</f>
        <v>20.013483333333333</v>
      </c>
      <c r="FE9" s="60">
        <f>'Raw Datas'!FE58</f>
        <v>26.833666666666666</v>
      </c>
      <c r="FF9" s="60">
        <f>'Raw Datas'!FF58</f>
        <v>33.607199999999999</v>
      </c>
      <c r="FG9" s="60">
        <f>'Raw Datas'!FG58</f>
        <v>20.156766666666666</v>
      </c>
      <c r="FH9" s="60">
        <f>'Raw Datas'!FH58</f>
        <v>47.817766666666671</v>
      </c>
      <c r="FI9" s="60">
        <f>'Raw Datas'!FI58</f>
        <v>39.3536</v>
      </c>
      <c r="FJ9" s="60">
        <f>'Raw Datas'!FJ58</f>
        <v>63.388833333333338</v>
      </c>
      <c r="FK9" s="60">
        <f>'Raw Datas'!FK58</f>
        <v>67.179216666666676</v>
      </c>
      <c r="FL9" s="60">
        <f>'Raw Datas'!FL58</f>
        <v>82.700816666666668</v>
      </c>
      <c r="FM9" s="60">
        <f>'Raw Datas'!FM58</f>
        <v>66.622749999999996</v>
      </c>
      <c r="FN9" s="60">
        <f>'Raw Datas'!FN58</f>
        <v>89.898633333333322</v>
      </c>
      <c r="FO9" s="60">
        <f>'Raw Datas'!FO58</f>
        <v>29.086749999999999</v>
      </c>
    </row>
    <row r="10" spans="1:171" ht="15" customHeight="1" x14ac:dyDescent="0.2">
      <c r="A10" s="152"/>
      <c r="B10" s="111" t="s">
        <v>774</v>
      </c>
      <c r="C10" s="60">
        <f>'Raw Datas'!C60</f>
        <v>2.4824333333333333</v>
      </c>
      <c r="D10" s="60">
        <f>'Raw Datas'!D60</f>
        <v>2.25685</v>
      </c>
      <c r="E10" s="60">
        <f>'Raw Datas'!E60</f>
        <v>4.9767499999999991</v>
      </c>
      <c r="F10" s="60">
        <f>'Raw Datas'!F60</f>
        <v>19.789066666666667</v>
      </c>
      <c r="G10" s="60">
        <f>'Raw Datas'!G60</f>
        <v>2.1857333333333333</v>
      </c>
      <c r="H10" s="60">
        <f>'Raw Datas'!H60</f>
        <v>0.61314999999999997</v>
      </c>
      <c r="I10" s="60">
        <f>'Raw Datas'!I60</f>
        <v>3.6336500000000003</v>
      </c>
      <c r="J10" s="60">
        <f>'Raw Datas'!J60</f>
        <v>0.93754999999999999</v>
      </c>
      <c r="K10" s="60">
        <f>'Raw Datas'!K60</f>
        <v>2.5477833333333333</v>
      </c>
      <c r="L10" s="60">
        <f>'Raw Datas'!L60</f>
        <v>8.3659999999999997</v>
      </c>
      <c r="M10" s="60">
        <f>'Raw Datas'!M60</f>
        <v>3.406916666666667</v>
      </c>
      <c r="N10" s="60">
        <f>'Raw Datas'!N60</f>
        <v>0.37051666666666672</v>
      </c>
      <c r="O10" s="60">
        <f>'Raw Datas'!O60</f>
        <v>2.0222666666666664</v>
      </c>
      <c r="P10" s="60">
        <f>'Raw Datas'!P60</f>
        <v>3.4411499999999999</v>
      </c>
      <c r="Q10" s="60">
        <f>'Raw Datas'!Q60</f>
        <v>20.001466666666666</v>
      </c>
      <c r="R10" s="60">
        <f>'Raw Datas'!R60</f>
        <v>14.842666666666666</v>
      </c>
      <c r="S10" s="60">
        <f>'Raw Datas'!S60</f>
        <v>7.2191666666666663</v>
      </c>
      <c r="T10" s="60">
        <f>'Raw Datas'!T60</f>
        <v>2.3765666666666667</v>
      </c>
      <c r="U10" s="60">
        <f>'Raw Datas'!U60</f>
        <v>4.7912333333333335</v>
      </c>
      <c r="V10" s="60">
        <f>'Raw Datas'!V60</f>
        <v>16.914149999999999</v>
      </c>
      <c r="W10" s="60">
        <f>'Raw Datas'!W60</f>
        <v>5.729914285714286</v>
      </c>
      <c r="X10" s="60">
        <f>'Raw Datas'!X60</f>
        <v>1.4674400000000001</v>
      </c>
      <c r="Y10" s="60">
        <f>'Raw Datas'!Y60</f>
        <v>3.5728500000000003</v>
      </c>
      <c r="Z10" s="60">
        <f>'Raw Datas'!Z60</f>
        <v>10.133199999999999</v>
      </c>
      <c r="AA10" s="60">
        <f>'Raw Datas'!AA60</f>
        <v>2.7849166666666663</v>
      </c>
      <c r="AB10" s="60">
        <f>'Raw Datas'!AB60</f>
        <v>1.9558</v>
      </c>
      <c r="AC10" s="60">
        <f>'Raw Datas'!AC60</f>
        <v>2.30985</v>
      </c>
      <c r="AD10" s="60">
        <f>'Raw Datas'!AD60</f>
        <v>2.3611166666666668</v>
      </c>
      <c r="AE10" s="60">
        <f>'Raw Datas'!AE60</f>
        <v>2.208366666666667</v>
      </c>
      <c r="AF10" s="60">
        <f>'Raw Datas'!AF60</f>
        <v>1.8378166666666664</v>
      </c>
      <c r="AG10" s="60">
        <f>'Raw Datas'!AG60</f>
        <v>3.2000833333333336</v>
      </c>
      <c r="AH10" s="60">
        <f>'Raw Datas'!AH60</f>
        <v>6.5037666666666665</v>
      </c>
      <c r="AI10" s="60">
        <f>'Raw Datas'!AI60</f>
        <v>1.5447500000000001</v>
      </c>
      <c r="AJ10" s="60">
        <f>'Raw Datas'!AJ60</f>
        <v>1.6020666666666665</v>
      </c>
      <c r="AK10" s="60">
        <f>'Raw Datas'!AK60</f>
        <v>1.2364999999999999</v>
      </c>
      <c r="AL10" s="60">
        <f>'Raw Datas'!AL60</f>
        <v>8.3684833333333337</v>
      </c>
      <c r="AM10" s="60">
        <f>'Raw Datas'!AM60</f>
        <v>2.643733333333333</v>
      </c>
      <c r="AN10" s="60">
        <f>'Raw Datas'!AN60</f>
        <v>1.9548500000000002</v>
      </c>
      <c r="AO10" s="60">
        <f>'Raw Datas'!AO60</f>
        <v>5.3184166666666668</v>
      </c>
      <c r="AP10" s="60">
        <f>'Raw Datas'!AP60</f>
        <v>2.0746833333333332</v>
      </c>
      <c r="AQ10" s="60">
        <f>'Raw Datas'!AQ60</f>
        <v>28.753516666666663</v>
      </c>
      <c r="AR10" s="60">
        <f>'Raw Datas'!AR60</f>
        <v>0.94511666666666672</v>
      </c>
      <c r="AS10" s="60">
        <f>'Raw Datas'!AS60</f>
        <v>1.5195333333333332</v>
      </c>
      <c r="AT10" s="60">
        <f>'Raw Datas'!AT60</f>
        <v>1.3146166666666665</v>
      </c>
      <c r="AU10" s="60">
        <f>'Raw Datas'!AU60</f>
        <v>1.0094400000000001</v>
      </c>
      <c r="AV10" s="60">
        <f>'Raw Datas'!AV60</f>
        <v>2.5087999999999999</v>
      </c>
      <c r="AW10" s="60">
        <f>'Raw Datas'!AW60</f>
        <v>0.90468333333333328</v>
      </c>
      <c r="AX10" s="60">
        <f>'Raw Datas'!AX60</f>
        <v>1.0623666666666667</v>
      </c>
      <c r="AY10" s="60">
        <f>'Raw Datas'!AY60</f>
        <v>8.1527499999999993</v>
      </c>
      <c r="AZ10" s="60">
        <f>'Raw Datas'!AZ60</f>
        <v>2.2741500000000001</v>
      </c>
      <c r="BA10" s="60">
        <f>'Raw Datas'!BA60</f>
        <v>2.6966999999999999</v>
      </c>
      <c r="BB10" s="60">
        <f>'Raw Datas'!BB60</f>
        <v>4.0073166666666671</v>
      </c>
      <c r="BC10" s="60">
        <f>'Raw Datas'!BC60</f>
        <v>6.2987000000000002</v>
      </c>
      <c r="BD10" s="60">
        <f>'Raw Datas'!BD60</f>
        <v>1.4318333333333333</v>
      </c>
      <c r="BE10" s="60">
        <f>'Raw Datas'!BE60</f>
        <v>1.7105999999999999</v>
      </c>
      <c r="BF10" s="60">
        <f>'Raw Datas'!BF60</f>
        <v>4.7671666666666672</v>
      </c>
      <c r="BG10" s="60">
        <f>'Raw Datas'!BG60</f>
        <v>3.27285</v>
      </c>
      <c r="BH10" s="60">
        <f>'Raw Datas'!BH60</f>
        <v>2.2715166666666664</v>
      </c>
      <c r="BI10" s="60">
        <f>'Raw Datas'!BI60</f>
        <v>1.6360166666666667</v>
      </c>
      <c r="BJ10" s="60">
        <f>'Raw Datas'!BJ60</f>
        <v>3.9415333333333336</v>
      </c>
      <c r="BK10" s="60">
        <f>'Raw Datas'!BK60</f>
        <v>5.9544000000000006</v>
      </c>
      <c r="BL10" s="60">
        <f>'Raw Datas'!BL60</f>
        <v>2.0507166666666667</v>
      </c>
      <c r="BM10" s="60">
        <f>'Raw Datas'!BM60</f>
        <v>0.94671428571428562</v>
      </c>
      <c r="BN10" s="60">
        <f>'Raw Datas'!BN60</f>
        <v>1.1884166666666665</v>
      </c>
      <c r="BO10" s="60">
        <f>'Raw Datas'!BO60</f>
        <v>18.326800000000002</v>
      </c>
      <c r="BP10" s="60">
        <f>'Raw Datas'!BP60</f>
        <v>2.2738</v>
      </c>
      <c r="BQ10" s="60">
        <f>'Raw Datas'!BQ60</f>
        <v>3.2423000000000002</v>
      </c>
      <c r="BR10" s="60">
        <f>'Raw Datas'!BR60</f>
        <v>3.4618571428571432</v>
      </c>
      <c r="BS10" s="60">
        <f>'Raw Datas'!BS60</f>
        <v>0.81169999999999998</v>
      </c>
      <c r="BT10" s="60">
        <f>'Raw Datas'!BT60</f>
        <v>1.3383499999999997</v>
      </c>
      <c r="BU10" s="60">
        <f>'Raw Datas'!BU60</f>
        <v>2.0922333333333332</v>
      </c>
      <c r="BV10" s="60">
        <f>'Raw Datas'!BV60</f>
        <v>1.0315166666666666</v>
      </c>
      <c r="BW10" s="60">
        <f>'Raw Datas'!BW60</f>
        <v>13.761333333333333</v>
      </c>
      <c r="BX10" s="60">
        <f>'Raw Datas'!BX60</f>
        <v>5.8702833333333331</v>
      </c>
      <c r="BY10" s="60">
        <f>'Raw Datas'!BY60</f>
        <v>1.9894000000000001</v>
      </c>
      <c r="BZ10" s="60">
        <f>'Raw Datas'!BZ60</f>
        <v>1.2689999999999999</v>
      </c>
      <c r="CA10" s="60">
        <f>'Raw Datas'!CA60</f>
        <v>1.9005000000000001</v>
      </c>
      <c r="CB10" s="60">
        <f>'Raw Datas'!CB60</f>
        <v>0.6384333333333333</v>
      </c>
      <c r="CC10" s="60">
        <f>'Raw Datas'!CC60</f>
        <v>3.9367166666666669</v>
      </c>
      <c r="CD10" s="60">
        <f>'Raw Datas'!CD60</f>
        <v>2.16865</v>
      </c>
      <c r="CE10" s="60">
        <f>'Raw Datas'!CE60</f>
        <v>5.2502333333333331</v>
      </c>
      <c r="CF10" s="60">
        <f>'Raw Datas'!CF60</f>
        <v>2.4598500000000003</v>
      </c>
      <c r="CG10" s="60">
        <f>'Raw Datas'!CG60</f>
        <v>4.6652833333333339</v>
      </c>
      <c r="CH10" s="60">
        <f>'Raw Datas'!CH60</f>
        <v>12.717700000000001</v>
      </c>
      <c r="CI10" s="60">
        <f>'Raw Datas'!CI60</f>
        <v>10.380683333333334</v>
      </c>
      <c r="CJ10" s="60">
        <f>'Raw Datas'!CJ60</f>
        <v>3.0865111111111112</v>
      </c>
      <c r="CK10" s="60">
        <f>'Raw Datas'!CK60</f>
        <v>1.0974499999999998</v>
      </c>
      <c r="CL10" s="60">
        <f>'Raw Datas'!CL60</f>
        <v>2.2267833333333331</v>
      </c>
      <c r="CM10" s="60">
        <f>'Raw Datas'!CM60</f>
        <v>4.0452666666666666</v>
      </c>
      <c r="CN10" s="60">
        <f>'Raw Datas'!CN60</f>
        <v>2.8206333333333333</v>
      </c>
      <c r="CO10" s="60">
        <f>'Raw Datas'!CO60</f>
        <v>2.1495333333333333</v>
      </c>
      <c r="CP10" s="60">
        <f>'Raw Datas'!CP60</f>
        <v>3.2200833333333332</v>
      </c>
      <c r="CQ10" s="60">
        <f>'Raw Datas'!CQ60</f>
        <v>12.440733333333334</v>
      </c>
      <c r="CR10" s="60">
        <f>'Raw Datas'!CR60</f>
        <v>8.6179833333333349</v>
      </c>
      <c r="CS10" s="60">
        <f>'Raw Datas'!CS60</f>
        <v>2.5700166666666666</v>
      </c>
      <c r="CT10" s="60">
        <f>'Raw Datas'!CT60</f>
        <v>4.5895166666666665</v>
      </c>
      <c r="CU10" s="60">
        <f>'Raw Datas'!CU60</f>
        <v>1.9881166666666665</v>
      </c>
      <c r="CV10" s="60">
        <f>'Raw Datas'!CV60</f>
        <v>1.8176833333333335</v>
      </c>
      <c r="CW10" s="60">
        <f>'Raw Datas'!CW60</f>
        <v>3.2670999999999997</v>
      </c>
      <c r="CX10" s="60">
        <f>'Raw Datas'!CX60</f>
        <v>5.218866666666667</v>
      </c>
      <c r="CY10" s="60">
        <f>'Raw Datas'!CY60</f>
        <v>2.1505833333333331</v>
      </c>
      <c r="CZ10" s="60">
        <f>'Raw Datas'!CZ60</f>
        <v>1.0835666666666668</v>
      </c>
      <c r="DA10" s="60">
        <f>'Raw Datas'!DA60</f>
        <v>3.0396333333333332</v>
      </c>
      <c r="DB10" s="60">
        <f>'Raw Datas'!DB60</f>
        <v>0.6879333333333334</v>
      </c>
      <c r="DC10" s="60">
        <f>'Raw Datas'!DC60</f>
        <v>1.8708833333333337</v>
      </c>
      <c r="DD10" s="60">
        <f>'Raw Datas'!DD60</f>
        <v>1.2491333333333332</v>
      </c>
      <c r="DE10" s="60">
        <f>'Raw Datas'!DE60</f>
        <v>6.79155</v>
      </c>
      <c r="DF10" s="60">
        <f>'Raw Datas'!DF60</f>
        <v>0.45093333333333335</v>
      </c>
      <c r="DG10" s="60">
        <f>'Raw Datas'!DG60</f>
        <v>2.7001000000000004</v>
      </c>
      <c r="DH10" s="60">
        <f>'Raw Datas'!DH60</f>
        <v>0.68399999999999994</v>
      </c>
      <c r="DI10" s="60">
        <f>'Raw Datas'!DI60</f>
        <v>5.9015666666666666</v>
      </c>
      <c r="DJ10" s="60">
        <f>'Raw Datas'!DJ60</f>
        <v>4.5520666666666667</v>
      </c>
      <c r="DK10" s="60">
        <f>'Raw Datas'!DK60</f>
        <v>26.29623333333333</v>
      </c>
      <c r="DL10" s="60">
        <f>'Raw Datas'!DL60</f>
        <v>1.1548833333333333</v>
      </c>
      <c r="DM10" s="60">
        <f>'Raw Datas'!DM60</f>
        <v>4.2235500000000004</v>
      </c>
      <c r="DN10" s="60">
        <f>'Raw Datas'!DN60</f>
        <v>2.0501833333333335</v>
      </c>
      <c r="DO10" s="60">
        <f>'Raw Datas'!DO60</f>
        <v>1.5254333333333332</v>
      </c>
      <c r="DP10" s="60">
        <f>'Raw Datas'!DP60</f>
        <v>10.295583333333333</v>
      </c>
      <c r="DQ10" s="60">
        <f>'Raw Datas'!DQ60</f>
        <v>2.4192833333333335</v>
      </c>
      <c r="DR10" s="60">
        <f>'Raw Datas'!DR60</f>
        <v>1.3734666666666666</v>
      </c>
      <c r="DS10" s="60">
        <f>'Raw Datas'!DS60</f>
        <v>4.6083166666666662</v>
      </c>
      <c r="DT10" s="60">
        <f>'Raw Datas'!DT60</f>
        <v>8.0038999999999998</v>
      </c>
      <c r="DU10" s="60">
        <f>'Raw Datas'!DU60</f>
        <v>0.55554999999999999</v>
      </c>
      <c r="DV10" s="60">
        <f>'Raw Datas'!DV60</f>
        <v>2.6311166666666663</v>
      </c>
      <c r="DW10" s="60">
        <f>'Raw Datas'!DW60</f>
        <v>6.1408166666666668</v>
      </c>
      <c r="DX10" s="60">
        <f>'Raw Datas'!DX60</f>
        <v>5.4051500000000008</v>
      </c>
      <c r="DY10" s="60">
        <f>'Raw Datas'!DY60</f>
        <v>3.3294000000000001</v>
      </c>
      <c r="DZ10" s="60">
        <f>'Raw Datas'!DZ60</f>
        <v>1.7408499999999998</v>
      </c>
      <c r="EA10" s="60">
        <f>'Raw Datas'!EA60</f>
        <v>1.7896333333333334</v>
      </c>
      <c r="EB10" s="60">
        <f>'Raw Datas'!EB60</f>
        <v>2.5891499999999996</v>
      </c>
      <c r="EC10" s="60">
        <f>'Raw Datas'!EC60</f>
        <v>1.3482333333333332</v>
      </c>
      <c r="ED10" s="60">
        <f>'Raw Datas'!ED60</f>
        <v>5.2848166666666669</v>
      </c>
      <c r="EE10" s="60">
        <f>'Raw Datas'!EE60</f>
        <v>1.1072666666666668</v>
      </c>
      <c r="EF10" s="60">
        <f>'Raw Datas'!EF60</f>
        <v>2.5343166666666668</v>
      </c>
      <c r="EG10" s="60">
        <f>'Raw Datas'!EG60</f>
        <v>4.6315333333333335</v>
      </c>
      <c r="EH10" s="60">
        <f>'Raw Datas'!EH60</f>
        <v>0.89990000000000003</v>
      </c>
      <c r="EI10" s="60">
        <f>'Raw Datas'!EI60</f>
        <v>1.5168666666666666</v>
      </c>
      <c r="EJ10" s="60">
        <f>'Raw Datas'!EJ60</f>
        <v>10.573649999999999</v>
      </c>
      <c r="EK10" s="60">
        <f>'Raw Datas'!EK60</f>
        <v>1.0496833333333333</v>
      </c>
      <c r="EL10" s="60">
        <f>'Raw Datas'!EL60</f>
        <v>4.4422333333333333</v>
      </c>
      <c r="EM10" s="60">
        <f>'Raw Datas'!EM60</f>
        <v>26.979416666666665</v>
      </c>
      <c r="EN10" s="60">
        <f>'Raw Datas'!EN60</f>
        <v>1.1307666666666667</v>
      </c>
      <c r="EO10" s="60">
        <f>'Raw Datas'!EO60</f>
        <v>0.85504999999999998</v>
      </c>
      <c r="EP10" s="60">
        <f>'Raw Datas'!EP60</f>
        <v>18.143050000000002</v>
      </c>
      <c r="EQ10" s="60">
        <f>'Raw Datas'!EQ60</f>
        <v>1.6585666666666665</v>
      </c>
      <c r="ER10" s="60">
        <f>'Raw Datas'!ER60</f>
        <v>1.7807000000000002</v>
      </c>
      <c r="ES10" s="60">
        <f>'Raw Datas'!ES60</f>
        <v>1.4229166666666666</v>
      </c>
      <c r="ET10" s="60">
        <f>'Raw Datas'!ET60</f>
        <v>4.2159999999999993</v>
      </c>
      <c r="EU10" s="60">
        <f>'Raw Datas'!EU60</f>
        <v>3.1372333333333331</v>
      </c>
      <c r="EV10" s="60">
        <f>'Raw Datas'!EV60</f>
        <v>1.9058833333333332</v>
      </c>
      <c r="EW10" s="60">
        <f>'Raw Datas'!EW60</f>
        <v>4.0278999999999998</v>
      </c>
      <c r="EX10" s="60">
        <f>'Raw Datas'!EX60</f>
        <v>2.8480500000000002</v>
      </c>
      <c r="EY10" s="60">
        <f>'Raw Datas'!EY60</f>
        <v>15.917216666666665</v>
      </c>
      <c r="EZ10" s="60">
        <f>'Raw Datas'!EZ60</f>
        <v>3.0021166666666663</v>
      </c>
      <c r="FA10" s="60">
        <f>'Raw Datas'!FA60</f>
        <v>0.43641666666666673</v>
      </c>
      <c r="FB10" s="60">
        <f>'Raw Datas'!FB60</f>
        <v>1.6897666666666666</v>
      </c>
      <c r="FC10" s="60">
        <f>'Raw Datas'!FC60</f>
        <v>7.7181999999999995</v>
      </c>
      <c r="FD10" s="60">
        <f>'Raw Datas'!FD60</f>
        <v>1.4951666666666668</v>
      </c>
      <c r="FE10" s="60">
        <f>'Raw Datas'!FE60</f>
        <v>2.9089833333333335</v>
      </c>
      <c r="FF10" s="60">
        <f>'Raw Datas'!FF60</f>
        <v>9.6511999999999993</v>
      </c>
      <c r="FG10" s="60">
        <f>'Raw Datas'!FG60</f>
        <v>1.4154833333333334</v>
      </c>
      <c r="FH10" s="60">
        <f>'Raw Datas'!FH60</f>
        <v>3.7048000000000001</v>
      </c>
      <c r="FI10" s="60">
        <f>'Raw Datas'!FI60</f>
        <v>0.77341666666666664</v>
      </c>
      <c r="FJ10" s="60">
        <f>'Raw Datas'!FJ60</f>
        <v>4.887716666666666</v>
      </c>
      <c r="FK10" s="60">
        <f>'Raw Datas'!FK60</f>
        <v>14.942933333333334</v>
      </c>
      <c r="FL10" s="60">
        <f>'Raw Datas'!FL60</f>
        <v>4.2063999999999995</v>
      </c>
      <c r="FM10" s="60">
        <f>'Raw Datas'!FM60</f>
        <v>3.8973999999999998</v>
      </c>
      <c r="FN10" s="60">
        <f>'Raw Datas'!FN60</f>
        <v>6.5280499999999995</v>
      </c>
      <c r="FO10" s="60">
        <f>'Raw Datas'!FO60</f>
        <v>2.8630500000000003</v>
      </c>
    </row>
    <row r="11" spans="1:171" ht="15" customHeight="1" x14ac:dyDescent="0.2">
      <c r="A11" s="152"/>
      <c r="B11" s="104" t="s">
        <v>775</v>
      </c>
      <c r="C11" s="60">
        <f>'Raw Datas'!C62</f>
        <v>2.0874000000000001</v>
      </c>
      <c r="D11" s="60">
        <f>'Raw Datas'!D62</f>
        <v>0.94246666666666667</v>
      </c>
      <c r="E11" s="60" t="str">
        <f>'Raw Datas'!E62</f>
        <v>0</v>
      </c>
      <c r="F11" s="60">
        <f>'Raw Datas'!F62</f>
        <v>7.4809499999999991</v>
      </c>
      <c r="G11" s="60">
        <f>'Raw Datas'!G62</f>
        <v>2.3149500000000001</v>
      </c>
      <c r="H11" s="60">
        <f>'Raw Datas'!H62</f>
        <v>0.62655000000000005</v>
      </c>
      <c r="I11" s="60" t="str">
        <f>'Raw Datas'!I62</f>
        <v>0</v>
      </c>
      <c r="J11" s="60">
        <f>'Raw Datas'!J62</f>
        <v>0.23433333333333331</v>
      </c>
      <c r="K11" s="60">
        <f>'Raw Datas'!K62</f>
        <v>0.69608333333333339</v>
      </c>
      <c r="L11" s="60">
        <f>'Raw Datas'!L62</f>
        <v>1.7445333333333333</v>
      </c>
      <c r="M11" s="60">
        <f>'Raw Datas'!M62</f>
        <v>0.96788333333333321</v>
      </c>
      <c r="N11" s="60">
        <f>'Raw Datas'!N62</f>
        <v>0.36826666666666669</v>
      </c>
      <c r="O11" s="60" t="str">
        <f>'Raw Datas'!O62</f>
        <v>0</v>
      </c>
      <c r="P11" s="60">
        <f>'Raw Datas'!P62</f>
        <v>2.5803833333333333</v>
      </c>
      <c r="Q11" s="60">
        <f>'Raw Datas'!Q62</f>
        <v>2.3722666666666665</v>
      </c>
      <c r="R11" s="60">
        <f>'Raw Datas'!R62</f>
        <v>28.768883333333335</v>
      </c>
      <c r="S11" s="60">
        <f>'Raw Datas'!S62</f>
        <v>1.7806666666666664</v>
      </c>
      <c r="T11" s="60">
        <f>'Raw Datas'!T62</f>
        <v>0.5339166666666666</v>
      </c>
      <c r="U11" s="60">
        <f>'Raw Datas'!U62</f>
        <v>1.57395</v>
      </c>
      <c r="V11" s="60">
        <f>'Raw Datas'!V62</f>
        <v>0.80006666666666659</v>
      </c>
      <c r="W11" s="60">
        <f>'Raw Datas'!W62</f>
        <v>0.7006</v>
      </c>
      <c r="X11" s="60" t="str">
        <f>'Raw Datas'!X62</f>
        <v>0</v>
      </c>
      <c r="Y11" s="60" t="str">
        <f>'Raw Datas'!Y62</f>
        <v>0</v>
      </c>
      <c r="Z11" s="60">
        <f>'Raw Datas'!Z62</f>
        <v>1.6514800000000003</v>
      </c>
      <c r="AA11" s="60">
        <f>'Raw Datas'!AA62</f>
        <v>1.12435</v>
      </c>
      <c r="AB11" s="60" t="str">
        <f>'Raw Datas'!AB62</f>
        <v>0</v>
      </c>
      <c r="AC11" s="60">
        <f>'Raw Datas'!AC62</f>
        <v>0.84866666666666657</v>
      </c>
      <c r="AD11" s="60">
        <f>'Raw Datas'!AD62</f>
        <v>1.2844833333333334</v>
      </c>
      <c r="AE11" s="60" t="str">
        <f>'Raw Datas'!AE62</f>
        <v>0</v>
      </c>
      <c r="AF11" s="60">
        <f>'Raw Datas'!AF62</f>
        <v>2.8666166666666668</v>
      </c>
      <c r="AG11" s="60">
        <f>'Raw Datas'!AG62</f>
        <v>2.9718333333333335</v>
      </c>
      <c r="AH11" s="60">
        <f>'Raw Datas'!AH62</f>
        <v>0.5259166666666667</v>
      </c>
      <c r="AI11" s="60">
        <f>'Raw Datas'!AI62</f>
        <v>4.0964833333333335</v>
      </c>
      <c r="AJ11" s="60" t="str">
        <f>'Raw Datas'!AJ62</f>
        <v>0</v>
      </c>
      <c r="AK11" s="60">
        <f>'Raw Datas'!AK62</f>
        <v>0.24168333333333333</v>
      </c>
      <c r="AL11" s="60">
        <f>'Raw Datas'!AL62</f>
        <v>3.1710166666666666</v>
      </c>
      <c r="AM11" s="60" t="str">
        <f>'Raw Datas'!AM62</f>
        <v>0</v>
      </c>
      <c r="AN11" s="60">
        <f>'Raw Datas'!AN62</f>
        <v>1.0540166666666666</v>
      </c>
      <c r="AO11" s="60">
        <f>'Raw Datas'!AO62</f>
        <v>0.36150000000000004</v>
      </c>
      <c r="AP11" s="60" t="str">
        <f>'Raw Datas'!AP62</f>
        <v>0</v>
      </c>
      <c r="AQ11" s="60">
        <f>'Raw Datas'!AQ62</f>
        <v>3.9498833333333332</v>
      </c>
      <c r="AR11" s="60">
        <f>'Raw Datas'!AR62</f>
        <v>0.61403333333333332</v>
      </c>
      <c r="AS11" s="60">
        <f>'Raw Datas'!AS62</f>
        <v>18.822949999999999</v>
      </c>
      <c r="AT11" s="60">
        <f>'Raw Datas'!AT62</f>
        <v>12.503366666666667</v>
      </c>
      <c r="AU11" s="60" t="str">
        <f>'Raw Datas'!AU62</f>
        <v>0</v>
      </c>
      <c r="AV11" s="60" t="str">
        <f>'Raw Datas'!AV62</f>
        <v>0</v>
      </c>
      <c r="AW11" s="60">
        <f>'Raw Datas'!AW62</f>
        <v>0.54333333333333322</v>
      </c>
      <c r="AX11" s="60">
        <f>'Raw Datas'!AX62</f>
        <v>1.9587333333333334</v>
      </c>
      <c r="AY11" s="60">
        <f>'Raw Datas'!AY62</f>
        <v>0.85115000000000007</v>
      </c>
      <c r="AZ11" s="60">
        <f>'Raw Datas'!AZ62</f>
        <v>0.20793333333333336</v>
      </c>
      <c r="BA11" s="60">
        <f>'Raw Datas'!BA62</f>
        <v>3.7864</v>
      </c>
      <c r="BB11" s="60">
        <f>'Raw Datas'!BB62</f>
        <v>0.57716666666666672</v>
      </c>
      <c r="BC11" s="60" t="str">
        <f>'Raw Datas'!BC62</f>
        <v>0</v>
      </c>
      <c r="BD11" s="60">
        <f>'Raw Datas'!BD62</f>
        <v>0.64288333333333336</v>
      </c>
      <c r="BE11" s="60">
        <f>'Raw Datas'!BE62</f>
        <v>0.55271666666666663</v>
      </c>
      <c r="BF11" s="60">
        <f>'Raw Datas'!BF62</f>
        <v>6.6915166666666668</v>
      </c>
      <c r="BG11" s="60">
        <f>'Raw Datas'!BG62</f>
        <v>0.49513333333333337</v>
      </c>
      <c r="BH11" s="60" t="str">
        <f>'Raw Datas'!BH62</f>
        <v>0</v>
      </c>
      <c r="BI11" s="60">
        <f>'Raw Datas'!BI62</f>
        <v>1.4092500000000001</v>
      </c>
      <c r="BJ11" s="60">
        <f>'Raw Datas'!BJ62</f>
        <v>9.7644000000000002</v>
      </c>
      <c r="BK11" s="60">
        <f>'Raw Datas'!BK62</f>
        <v>1.8091999999999999</v>
      </c>
      <c r="BL11" s="60">
        <f>'Raw Datas'!BL62</f>
        <v>17.996166666666667</v>
      </c>
      <c r="BM11" s="60">
        <f>'Raw Datas'!BM62</f>
        <v>22.619914285714287</v>
      </c>
      <c r="BN11" s="60">
        <f>'Raw Datas'!BN62</f>
        <v>24.517833333333332</v>
      </c>
      <c r="BO11" s="60">
        <f>'Raw Datas'!BO62</f>
        <v>21.198116666666667</v>
      </c>
      <c r="BP11" s="60">
        <f>'Raw Datas'!BP62</f>
        <v>19.414949999999997</v>
      </c>
      <c r="BQ11" s="60">
        <f>'Raw Datas'!BQ62</f>
        <v>1.5157999999999998</v>
      </c>
      <c r="BR11" s="60">
        <f>'Raw Datas'!BR62</f>
        <v>0.31062857142857142</v>
      </c>
      <c r="BS11" s="60">
        <f>'Raw Datas'!BS62</f>
        <v>7.9348999999999998</v>
      </c>
      <c r="BT11" s="60">
        <f>'Raw Datas'!BT62</f>
        <v>3.8856666666666664</v>
      </c>
      <c r="BU11" s="60">
        <f>'Raw Datas'!BU62</f>
        <v>3.7905500000000005</v>
      </c>
      <c r="BV11" s="60">
        <f>'Raw Datas'!BV62</f>
        <v>1.84365</v>
      </c>
      <c r="BW11" s="60">
        <f>'Raw Datas'!BW62</f>
        <v>6.6251666666666669</v>
      </c>
      <c r="BX11" s="60">
        <f>'Raw Datas'!BX62</f>
        <v>0.4216333333333333</v>
      </c>
      <c r="BY11" s="60">
        <f>'Raw Datas'!BY62</f>
        <v>2.1546333333333334</v>
      </c>
      <c r="BZ11" s="60">
        <f>'Raw Datas'!BZ62</f>
        <v>1.5811333333333335</v>
      </c>
      <c r="CA11" s="60">
        <f>'Raw Datas'!CA62</f>
        <v>1.6207833333333332</v>
      </c>
      <c r="CB11" s="60">
        <f>'Raw Datas'!CB62</f>
        <v>1.62235</v>
      </c>
      <c r="CC11" s="60">
        <f>'Raw Datas'!CC62</f>
        <v>0.80251666666666677</v>
      </c>
      <c r="CD11" s="60">
        <f>'Raw Datas'!CD62</f>
        <v>1.486</v>
      </c>
      <c r="CE11" s="60">
        <f>'Raw Datas'!CE62</f>
        <v>3.3117333333333336</v>
      </c>
      <c r="CF11" s="60">
        <f>'Raw Datas'!CF62</f>
        <v>1.6281666666666665</v>
      </c>
      <c r="CG11" s="60">
        <f>'Raw Datas'!CG62</f>
        <v>0.9052</v>
      </c>
      <c r="CH11" s="60">
        <f>'Raw Datas'!CH62</f>
        <v>0.78446666666666676</v>
      </c>
      <c r="CI11" s="60">
        <f>'Raw Datas'!CI62</f>
        <v>2.0768666666666666</v>
      </c>
      <c r="CJ11" s="60">
        <f>'Raw Datas'!CJ62</f>
        <v>0.86257777777777789</v>
      </c>
      <c r="CK11" s="60" t="str">
        <f>'Raw Datas'!CK62</f>
        <v>0</v>
      </c>
      <c r="CL11" s="60">
        <f>'Raw Datas'!CL62</f>
        <v>0.61460000000000004</v>
      </c>
      <c r="CM11" s="60">
        <f>'Raw Datas'!CM62</f>
        <v>0.9503666666666668</v>
      </c>
      <c r="CN11" s="60" t="str">
        <f>'Raw Datas'!CN62</f>
        <v>0</v>
      </c>
      <c r="CO11" s="60">
        <f>'Raw Datas'!CO62</f>
        <v>0.4699666666666667</v>
      </c>
      <c r="CP11" s="60">
        <f>'Raw Datas'!CP62</f>
        <v>1.6422166666666669</v>
      </c>
      <c r="CQ11" s="60">
        <f>'Raw Datas'!CQ62</f>
        <v>1.2733833333333331</v>
      </c>
      <c r="CR11" s="60">
        <f>'Raw Datas'!CR62</f>
        <v>6.2250499999999995</v>
      </c>
      <c r="CS11" s="60">
        <f>'Raw Datas'!CS62</f>
        <v>0.45236666666666664</v>
      </c>
      <c r="CT11" s="60">
        <f>'Raw Datas'!CT62</f>
        <v>0.58261666666666667</v>
      </c>
      <c r="CU11" s="60">
        <f>'Raw Datas'!CU62</f>
        <v>1.0717333333333334</v>
      </c>
      <c r="CV11" s="60" t="str">
        <f>'Raw Datas'!CV62</f>
        <v>0</v>
      </c>
      <c r="CW11" s="60">
        <f>'Raw Datas'!CW62</f>
        <v>1.1210333333333333</v>
      </c>
      <c r="CX11" s="60">
        <f>'Raw Datas'!CX62</f>
        <v>0.6375333333333334</v>
      </c>
      <c r="CY11" s="60">
        <f>'Raw Datas'!CY62</f>
        <v>0.45223333333333332</v>
      </c>
      <c r="CZ11" s="60" t="str">
        <f>'Raw Datas'!CZ62</f>
        <v>0</v>
      </c>
      <c r="DA11" s="60" t="str">
        <f>'Raw Datas'!DA62</f>
        <v>0</v>
      </c>
      <c r="DB11" s="60">
        <f>'Raw Datas'!DB62</f>
        <v>0.45478333333333332</v>
      </c>
      <c r="DC11" s="60">
        <f>'Raw Datas'!DC62</f>
        <v>1.0929333333333333</v>
      </c>
      <c r="DD11" s="60" t="str">
        <f>'Raw Datas'!DD62</f>
        <v>0</v>
      </c>
      <c r="DE11" s="60">
        <f>'Raw Datas'!DE62</f>
        <v>0.28276666666666667</v>
      </c>
      <c r="DF11" s="60">
        <f>'Raw Datas'!DF62</f>
        <v>0.4029833333333333</v>
      </c>
      <c r="DG11" s="60">
        <f>'Raw Datas'!DG62</f>
        <v>3.5642500000000004</v>
      </c>
      <c r="DH11" s="60" t="str">
        <f>'Raw Datas'!DH62</f>
        <v>0</v>
      </c>
      <c r="DI11" s="60">
        <f>'Raw Datas'!DI62</f>
        <v>0.58248333333333335</v>
      </c>
      <c r="DJ11" s="60">
        <f>'Raw Datas'!DJ62</f>
        <v>2.3188999999999997</v>
      </c>
      <c r="DK11" s="60">
        <f>'Raw Datas'!DK62</f>
        <v>3.1005666666666665</v>
      </c>
      <c r="DL11" s="60">
        <f>'Raw Datas'!DL62</f>
        <v>0.56630000000000003</v>
      </c>
      <c r="DM11" s="60">
        <f>'Raw Datas'!DM62</f>
        <v>1.0833166666666665</v>
      </c>
      <c r="DN11" s="60">
        <f>'Raw Datas'!DN62</f>
        <v>1.3485</v>
      </c>
      <c r="DO11" s="60">
        <f>'Raw Datas'!DO62</f>
        <v>1.2110166666666666</v>
      </c>
      <c r="DP11" s="60">
        <f>'Raw Datas'!DP62</f>
        <v>0.81661666666666666</v>
      </c>
      <c r="DQ11" s="60">
        <f>'Raw Datas'!DQ62</f>
        <v>1.7734500000000002</v>
      </c>
      <c r="DR11" s="60">
        <f>'Raw Datas'!DR62</f>
        <v>0.31345000000000006</v>
      </c>
      <c r="DS11" s="60" t="str">
        <f>'Raw Datas'!DS62</f>
        <v>0</v>
      </c>
      <c r="DT11" s="60" t="str">
        <f>'Raw Datas'!DT62</f>
        <v>0</v>
      </c>
      <c r="DU11" s="60">
        <f>'Raw Datas'!DU62</f>
        <v>2.7236999999999996</v>
      </c>
      <c r="DV11" s="60">
        <f>'Raw Datas'!DV62</f>
        <v>0.77193333333333325</v>
      </c>
      <c r="DW11" s="60" t="str">
        <f>'Raw Datas'!DW62</f>
        <v>0</v>
      </c>
      <c r="DX11" s="60">
        <f>'Raw Datas'!DX62</f>
        <v>0.65830000000000011</v>
      </c>
      <c r="DY11" s="60">
        <f>'Raw Datas'!DY62</f>
        <v>3.7216666666666669E-2</v>
      </c>
      <c r="DZ11" s="60" t="str">
        <f>'Raw Datas'!DZ62</f>
        <v>0</v>
      </c>
      <c r="EA11" s="60">
        <f>'Raw Datas'!EA62</f>
        <v>0.41000000000000003</v>
      </c>
      <c r="EB11" s="60">
        <f>'Raw Datas'!EB62</f>
        <v>0.96230000000000004</v>
      </c>
      <c r="EC11" s="60">
        <f>'Raw Datas'!EC62</f>
        <v>1.7341333333333333</v>
      </c>
      <c r="ED11" s="60">
        <f>'Raw Datas'!ED62</f>
        <v>0.47466666666666663</v>
      </c>
      <c r="EE11" s="60" t="str">
        <f>'Raw Datas'!EE62</f>
        <v>0</v>
      </c>
      <c r="EF11" s="60">
        <f>'Raw Datas'!EF62</f>
        <v>2.0779833333333335</v>
      </c>
      <c r="EG11" s="60">
        <f>'Raw Datas'!EG62</f>
        <v>2.1427499999999999</v>
      </c>
      <c r="EH11" s="60">
        <f>'Raw Datas'!EH62</f>
        <v>1.4476166666666666</v>
      </c>
      <c r="EI11" s="60">
        <f>'Raw Datas'!EI62</f>
        <v>0.33594999999999992</v>
      </c>
      <c r="EJ11" s="60">
        <f>'Raw Datas'!EJ62</f>
        <v>0.78783333333333339</v>
      </c>
      <c r="EK11" s="60">
        <f>'Raw Datas'!EK62</f>
        <v>0.46676666666666666</v>
      </c>
      <c r="EL11" s="60">
        <f>'Raw Datas'!EL62</f>
        <v>1.3732666666666664</v>
      </c>
      <c r="EM11" s="60">
        <f>'Raw Datas'!EM62</f>
        <v>1.0620000000000001</v>
      </c>
      <c r="EN11" s="60">
        <f>'Raw Datas'!EN62</f>
        <v>2.8499833333333338</v>
      </c>
      <c r="EO11" s="60">
        <f>'Raw Datas'!EO62</f>
        <v>0.67270000000000008</v>
      </c>
      <c r="EP11" s="60">
        <f>'Raw Datas'!EP62</f>
        <v>2.5001166666666665</v>
      </c>
      <c r="EQ11" s="60">
        <f>'Raw Datas'!EQ62</f>
        <v>0.59053333333333335</v>
      </c>
      <c r="ER11" s="60">
        <f>'Raw Datas'!ER62</f>
        <v>0.33589999999999998</v>
      </c>
      <c r="ES11" s="60">
        <f>'Raw Datas'!ES62</f>
        <v>0.48510000000000003</v>
      </c>
      <c r="ET11" s="60">
        <f>'Raw Datas'!ET62</f>
        <v>1.0555666666666668</v>
      </c>
      <c r="EU11" s="60">
        <f>'Raw Datas'!EU62</f>
        <v>0.98583333333333334</v>
      </c>
      <c r="EV11" s="60">
        <f>'Raw Datas'!EV62</f>
        <v>1.5704500000000001</v>
      </c>
      <c r="EW11" s="60">
        <f>'Raw Datas'!EW62</f>
        <v>0.73290000000000011</v>
      </c>
      <c r="EX11" s="60">
        <f>'Raw Datas'!EX62</f>
        <v>0.40406666666666669</v>
      </c>
      <c r="EY11" s="60">
        <f>'Raw Datas'!EY62</f>
        <v>1.4234833333333334</v>
      </c>
      <c r="EZ11" s="60">
        <f>'Raw Datas'!EZ62</f>
        <v>2.4742999999999999</v>
      </c>
      <c r="FA11" s="60" t="str">
        <f>'Raw Datas'!FA62</f>
        <v>0</v>
      </c>
      <c r="FB11" s="60">
        <f>'Raw Datas'!FB62</f>
        <v>0.98353333333333337</v>
      </c>
      <c r="FC11" s="60" t="str">
        <f>'Raw Datas'!FC62</f>
        <v>0</v>
      </c>
      <c r="FD11" s="60">
        <f>'Raw Datas'!FD62</f>
        <v>0.44374999999999998</v>
      </c>
      <c r="FE11" s="60">
        <f>'Raw Datas'!FE62</f>
        <v>1.1992</v>
      </c>
      <c r="FF11" s="60" t="str">
        <f>'Raw Datas'!FF62</f>
        <v>0</v>
      </c>
      <c r="FG11" s="60" t="str">
        <f>'Raw Datas'!FG62</f>
        <v>0</v>
      </c>
      <c r="FH11" s="60">
        <f>'Raw Datas'!FH62</f>
        <v>1.0377833333333333</v>
      </c>
      <c r="FI11" s="60">
        <f>'Raw Datas'!FI62</f>
        <v>5.6712166666666661</v>
      </c>
      <c r="FJ11" s="60">
        <f>'Raw Datas'!FJ62</f>
        <v>1.4139166666666665</v>
      </c>
      <c r="FK11" s="60">
        <f>'Raw Datas'!FK62</f>
        <v>0.24531666666666666</v>
      </c>
      <c r="FL11" s="60">
        <f>'Raw Datas'!FL62</f>
        <v>0.68718333333333337</v>
      </c>
      <c r="FM11" s="60">
        <f>'Raw Datas'!FM62</f>
        <v>1.1314166666666667</v>
      </c>
      <c r="FN11" s="60">
        <f>'Raw Datas'!FN62</f>
        <v>0.43708333333333338</v>
      </c>
      <c r="FO11" s="60" t="str">
        <f>'Raw Datas'!FO62</f>
        <v>0</v>
      </c>
    </row>
    <row r="12" spans="1:171" ht="16" customHeight="1" thickBot="1" x14ac:dyDescent="0.25">
      <c r="A12" s="153"/>
      <c r="B12" s="104" t="s">
        <v>776</v>
      </c>
      <c r="C12" s="62">
        <f>'Raw Datas'!C64</f>
        <v>1.4444166666666665</v>
      </c>
      <c r="D12" s="62">
        <f>'Raw Datas'!D64</f>
        <v>1.2342666666666666</v>
      </c>
      <c r="E12" s="62">
        <f>'Raw Datas'!E64</f>
        <v>2.72865</v>
      </c>
      <c r="F12" s="62">
        <f>'Raw Datas'!F64</f>
        <v>15.297733333333333</v>
      </c>
      <c r="G12" s="62">
        <f>'Raw Datas'!G64</f>
        <v>0.48801666666666671</v>
      </c>
      <c r="H12" s="62">
        <f>'Raw Datas'!H64</f>
        <v>0.92513333333333325</v>
      </c>
      <c r="I12" s="62">
        <f>'Raw Datas'!I64</f>
        <v>1.8946833333333333</v>
      </c>
      <c r="J12" s="62">
        <f>'Raw Datas'!J64</f>
        <v>1.0618833333333333</v>
      </c>
      <c r="K12" s="62">
        <f>'Raw Datas'!K64</f>
        <v>2.8262666666666667</v>
      </c>
      <c r="L12" s="62">
        <f>'Raw Datas'!L64</f>
        <v>5.3909666666666665</v>
      </c>
      <c r="M12" s="62">
        <f>'Raw Datas'!M64</f>
        <v>0.82373333333333332</v>
      </c>
      <c r="N12" s="62">
        <f>'Raw Datas'!N64</f>
        <v>0.74958333333333327</v>
      </c>
      <c r="O12" s="62">
        <f>'Raw Datas'!O64</f>
        <v>1.2711666666666666</v>
      </c>
      <c r="P12" s="62">
        <f>'Raw Datas'!P64</f>
        <v>3.0774499999999998</v>
      </c>
      <c r="Q12" s="62">
        <f>'Raw Datas'!Q64</f>
        <v>5.4749166666666671</v>
      </c>
      <c r="R12" s="62">
        <f>'Raw Datas'!R64</f>
        <v>82.39276666666666</v>
      </c>
      <c r="S12" s="62">
        <f>'Raw Datas'!S64</f>
        <v>1.79525</v>
      </c>
      <c r="T12" s="62">
        <f>'Raw Datas'!T64</f>
        <v>0.82126666666666659</v>
      </c>
      <c r="U12" s="62">
        <f>'Raw Datas'!U64</f>
        <v>2.8563833333333335</v>
      </c>
      <c r="V12" s="62">
        <f>'Raw Datas'!V64</f>
        <v>1.3015000000000001</v>
      </c>
      <c r="W12" s="62">
        <f>'Raw Datas'!W64</f>
        <v>2.5952285714285712</v>
      </c>
      <c r="X12" s="62">
        <f>'Raw Datas'!X64</f>
        <v>5.1390799999999999</v>
      </c>
      <c r="Y12" s="62">
        <f>'Raw Datas'!Y64</f>
        <v>2.9107500000000002</v>
      </c>
      <c r="Z12" s="62">
        <f>'Raw Datas'!Z64</f>
        <v>1.6434799999999998</v>
      </c>
      <c r="AA12" s="62">
        <f>'Raw Datas'!AA64</f>
        <v>1.0036666666666667</v>
      </c>
      <c r="AB12" s="62">
        <f>'Raw Datas'!AB64</f>
        <v>2.3084000000000002</v>
      </c>
      <c r="AC12" s="62">
        <f>'Raw Datas'!AC64</f>
        <v>2.7577333333333334</v>
      </c>
      <c r="AD12" s="62">
        <f>'Raw Datas'!AD64</f>
        <v>1.8834500000000001</v>
      </c>
      <c r="AE12" s="62">
        <f>'Raw Datas'!AE64</f>
        <v>0.75166666666666659</v>
      </c>
      <c r="AF12" s="62">
        <f>'Raw Datas'!AF64</f>
        <v>2.436066666666667</v>
      </c>
      <c r="AG12" s="62">
        <f>'Raw Datas'!AG64</f>
        <v>1.8549666666666667</v>
      </c>
      <c r="AH12" s="62">
        <f>'Raw Datas'!AH64</f>
        <v>2.7670499999999998</v>
      </c>
      <c r="AI12" s="62">
        <f>'Raw Datas'!AI64</f>
        <v>3.0566833333333334</v>
      </c>
      <c r="AJ12" s="62">
        <f>'Raw Datas'!AJ64</f>
        <v>2.488</v>
      </c>
      <c r="AK12" s="62">
        <f>'Raw Datas'!AK64</f>
        <v>0.70400000000000007</v>
      </c>
      <c r="AL12" s="62">
        <f>'Raw Datas'!AL64</f>
        <v>4.2689833333333338</v>
      </c>
      <c r="AM12" s="62">
        <f>'Raw Datas'!AM64</f>
        <v>1.2144666666666668</v>
      </c>
      <c r="AN12" s="62">
        <f>'Raw Datas'!AN64</f>
        <v>1.7107999999999999</v>
      </c>
      <c r="AO12" s="62">
        <f>'Raw Datas'!AO64</f>
        <v>1.7283500000000001</v>
      </c>
      <c r="AP12" s="62">
        <f>'Raw Datas'!AP64</f>
        <v>0.59829999999999994</v>
      </c>
      <c r="AQ12" s="62">
        <f>'Raw Datas'!AQ64</f>
        <v>33.686500000000002</v>
      </c>
      <c r="AR12" s="62">
        <f>'Raw Datas'!AR64</f>
        <v>0.96405000000000007</v>
      </c>
      <c r="AS12" s="62">
        <f>'Raw Datas'!AS64</f>
        <v>0.86769999999999992</v>
      </c>
      <c r="AT12" s="62">
        <f>'Raw Datas'!AT64</f>
        <v>1.2428999999999999</v>
      </c>
      <c r="AU12" s="62">
        <f>'Raw Datas'!AU64</f>
        <v>1.2501199999999999</v>
      </c>
      <c r="AV12" s="62">
        <f>'Raw Datas'!AV64</f>
        <v>1.6569600000000002</v>
      </c>
      <c r="AW12" s="62">
        <f>'Raw Datas'!AW64</f>
        <v>2.0818500000000002</v>
      </c>
      <c r="AX12" s="62">
        <f>'Raw Datas'!AX64</f>
        <v>2.41845</v>
      </c>
      <c r="AY12" s="62">
        <f>'Raw Datas'!AY64</f>
        <v>5.9681833333333332</v>
      </c>
      <c r="AZ12" s="62">
        <f>'Raw Datas'!AZ64</f>
        <v>0.81719999999999993</v>
      </c>
      <c r="BA12" s="62">
        <f>'Raw Datas'!BA64</f>
        <v>0.40155000000000002</v>
      </c>
      <c r="BB12" s="62">
        <f>'Raw Datas'!BB64</f>
        <v>0.7436166666666667</v>
      </c>
      <c r="BC12" s="62">
        <f>'Raw Datas'!BC64</f>
        <v>1.0341666666666667</v>
      </c>
      <c r="BD12" s="62">
        <f>'Raw Datas'!BD64</f>
        <v>0.72476666666666678</v>
      </c>
      <c r="BE12" s="62">
        <f>'Raw Datas'!BE64</f>
        <v>0.85573333333333335</v>
      </c>
      <c r="BF12" s="62">
        <f>'Raw Datas'!BF64</f>
        <v>4.3787333333333329</v>
      </c>
      <c r="BG12" s="62">
        <f>'Raw Datas'!BG64</f>
        <v>1.0354166666666667</v>
      </c>
      <c r="BH12" s="62">
        <f>'Raw Datas'!BH64</f>
        <v>0.82476666666666665</v>
      </c>
      <c r="BI12" s="62">
        <f>'Raw Datas'!BI64</f>
        <v>3.3801333333333332</v>
      </c>
      <c r="BJ12" s="62">
        <f>'Raw Datas'!BJ64</f>
        <v>21.933083333333336</v>
      </c>
      <c r="BK12" s="62">
        <f>'Raw Datas'!BK64</f>
        <v>2.9081833333333336</v>
      </c>
      <c r="BL12" s="62">
        <f>'Raw Datas'!BL64</f>
        <v>7.1681833333333325</v>
      </c>
      <c r="BM12" s="62">
        <f>'Raw Datas'!BM64</f>
        <v>5.5120285714285719</v>
      </c>
      <c r="BN12" s="62">
        <f>'Raw Datas'!BN64</f>
        <v>23.092783333333333</v>
      </c>
      <c r="BO12" s="62">
        <f>'Raw Datas'!BO64</f>
        <v>4.969733333333334</v>
      </c>
      <c r="BP12" s="62">
        <f>'Raw Datas'!BP64</f>
        <v>2.4889833333333331</v>
      </c>
      <c r="BQ12" s="62">
        <f>'Raw Datas'!BQ64</f>
        <v>0.9693166666666666</v>
      </c>
      <c r="BR12" s="62">
        <f>'Raw Datas'!BR64</f>
        <v>1.7993142857142856</v>
      </c>
      <c r="BS12" s="62">
        <f>'Raw Datas'!BS64</f>
        <v>2.1726333333333332</v>
      </c>
      <c r="BT12" s="62">
        <f>'Raw Datas'!BT64</f>
        <v>1.1159833333333333</v>
      </c>
      <c r="BU12" s="62">
        <f>'Raw Datas'!BU64</f>
        <v>3.9515999999999996</v>
      </c>
      <c r="BV12" s="62">
        <f>'Raw Datas'!BV64</f>
        <v>2.5063499999999999</v>
      </c>
      <c r="BW12" s="62">
        <f>'Raw Datas'!BW64</f>
        <v>5.3281666666666663</v>
      </c>
      <c r="BX12" s="62">
        <f>'Raw Datas'!BX64</f>
        <v>1.6335499999999998</v>
      </c>
      <c r="BY12" s="62">
        <f>'Raw Datas'!BY64</f>
        <v>2.0912166666666665</v>
      </c>
      <c r="BZ12" s="62">
        <f>'Raw Datas'!BZ64</f>
        <v>2.0613666666666668</v>
      </c>
      <c r="CA12" s="62">
        <f>'Raw Datas'!CA64</f>
        <v>1.3229500000000001</v>
      </c>
      <c r="CB12" s="62">
        <f>'Raw Datas'!CB64</f>
        <v>1.1038666666666666</v>
      </c>
      <c r="CC12" s="62">
        <f>'Raw Datas'!CC64</f>
        <v>1.3573333333333333</v>
      </c>
      <c r="CD12" s="62">
        <f>'Raw Datas'!CD64</f>
        <v>0.57238333333333324</v>
      </c>
      <c r="CE12" s="62">
        <f>'Raw Datas'!CE64</f>
        <v>2.1070166666666665</v>
      </c>
      <c r="CF12" s="62">
        <f>'Raw Datas'!CF64</f>
        <v>0.7274166666666666</v>
      </c>
      <c r="CG12" s="62">
        <f>'Raw Datas'!CG64</f>
        <v>1.8836666666666666</v>
      </c>
      <c r="CH12" s="62">
        <f>'Raw Datas'!CH64</f>
        <v>3.3347166666666661</v>
      </c>
      <c r="CI12" s="62">
        <f>'Raw Datas'!CI64</f>
        <v>6.4267833333333328</v>
      </c>
      <c r="CJ12" s="62">
        <f>'Raw Datas'!CJ64</f>
        <v>1.0085111111111109</v>
      </c>
      <c r="CK12" s="62">
        <f>'Raw Datas'!CK64</f>
        <v>1.9231166666666666</v>
      </c>
      <c r="CL12" s="62">
        <f>'Raw Datas'!CL64</f>
        <v>4.0948499999999992</v>
      </c>
      <c r="CM12" s="62">
        <f>'Raw Datas'!CM64</f>
        <v>3.0093333333333332</v>
      </c>
      <c r="CN12" s="62">
        <f>'Raw Datas'!CN64</f>
        <v>1.5315333333333332</v>
      </c>
      <c r="CO12" s="62">
        <f>'Raw Datas'!CO64</f>
        <v>0.87598333333333334</v>
      </c>
      <c r="CP12" s="62">
        <f>'Raw Datas'!CP64</f>
        <v>0.90378333333333327</v>
      </c>
      <c r="CQ12" s="62">
        <f>'Raw Datas'!CQ64</f>
        <v>3.54135</v>
      </c>
      <c r="CR12" s="62">
        <f>'Raw Datas'!CR64</f>
        <v>21.788433333333334</v>
      </c>
      <c r="CS12" s="62">
        <f>'Raw Datas'!CS64</f>
        <v>1.0497666666666667</v>
      </c>
      <c r="CT12" s="62">
        <f>'Raw Datas'!CT64</f>
        <v>1.1312</v>
      </c>
      <c r="CU12" s="62">
        <f>'Raw Datas'!CU64</f>
        <v>1.2561166666666665</v>
      </c>
      <c r="CV12" s="62">
        <f>'Raw Datas'!CV64</f>
        <v>1.0304666666666666</v>
      </c>
      <c r="CW12" s="62">
        <f>'Raw Datas'!CW64</f>
        <v>2.0393833333333333</v>
      </c>
      <c r="CX12" s="62">
        <f>'Raw Datas'!CX64</f>
        <v>1.4552166666666664</v>
      </c>
      <c r="CY12" s="62">
        <f>'Raw Datas'!CY64</f>
        <v>1.0753333333333333</v>
      </c>
      <c r="CZ12" s="62">
        <f>'Raw Datas'!CZ64</f>
        <v>0.67835000000000001</v>
      </c>
      <c r="DA12" s="62" t="str">
        <f>'Raw Datas'!DA64</f>
        <v>0</v>
      </c>
      <c r="DB12" s="62">
        <f>'Raw Datas'!DB64</f>
        <v>1.0802333333333332</v>
      </c>
      <c r="DC12" s="62">
        <f>'Raw Datas'!DC64</f>
        <v>2.3903499999999998</v>
      </c>
      <c r="DD12" s="62">
        <f>'Raw Datas'!DD64</f>
        <v>1.2401333333333333</v>
      </c>
      <c r="DE12" s="62">
        <f>'Raw Datas'!DE64</f>
        <v>3.3721166666666664</v>
      </c>
      <c r="DF12" s="62">
        <f>'Raw Datas'!DF64</f>
        <v>0.81470000000000009</v>
      </c>
      <c r="DG12" s="62">
        <f>'Raw Datas'!DG64</f>
        <v>2.5902000000000003</v>
      </c>
      <c r="DH12" s="62">
        <f>'Raw Datas'!DH64</f>
        <v>0.59506666666666663</v>
      </c>
      <c r="DI12" s="62">
        <f>'Raw Datas'!DI64</f>
        <v>6.0476666666666672</v>
      </c>
      <c r="DJ12" s="62">
        <f>'Raw Datas'!DJ64</f>
        <v>1.4975500000000002</v>
      </c>
      <c r="DK12" s="62">
        <f>'Raw Datas'!DK64</f>
        <v>10.776483333333335</v>
      </c>
      <c r="DL12" s="62">
        <f>'Raw Datas'!DL64</f>
        <v>0.79171666666666662</v>
      </c>
      <c r="DM12" s="62">
        <f>'Raw Datas'!DM64</f>
        <v>1.2779666666666667</v>
      </c>
      <c r="DN12" s="62">
        <f>'Raw Datas'!DN64</f>
        <v>0.86151666666666671</v>
      </c>
      <c r="DO12" s="62">
        <f>'Raw Datas'!DO64</f>
        <v>1.4338666666666666</v>
      </c>
      <c r="DP12" s="62">
        <f>'Raw Datas'!DP64</f>
        <v>4.8224999999999998</v>
      </c>
      <c r="DQ12" s="62">
        <f>'Raw Datas'!DQ64</f>
        <v>1.3470166666666665</v>
      </c>
      <c r="DR12" s="62">
        <f>'Raw Datas'!DR64</f>
        <v>1.3323333333333334</v>
      </c>
      <c r="DS12" s="62">
        <f>'Raw Datas'!DS64</f>
        <v>0.73498333333333343</v>
      </c>
      <c r="DT12" s="62">
        <f>'Raw Datas'!DT64</f>
        <v>5.6375500000000001</v>
      </c>
      <c r="DU12" s="62">
        <f>'Raw Datas'!DU64</f>
        <v>1.8245</v>
      </c>
      <c r="DV12" s="62">
        <f>'Raw Datas'!DV64</f>
        <v>1.6431333333333336</v>
      </c>
      <c r="DW12" s="62">
        <f>'Raw Datas'!DW64</f>
        <v>1.2320333333333333</v>
      </c>
      <c r="DX12" s="62">
        <f>'Raw Datas'!DX64</f>
        <v>1.9436333333333333</v>
      </c>
      <c r="DY12" s="62">
        <f>'Raw Datas'!DY64</f>
        <v>1.9772500000000002</v>
      </c>
      <c r="DZ12" s="62">
        <f>'Raw Datas'!DZ64</f>
        <v>0.59098333333333342</v>
      </c>
      <c r="EA12" s="62">
        <f>'Raw Datas'!EA64</f>
        <v>1.5518666666666665</v>
      </c>
      <c r="EB12" s="62">
        <f>'Raw Datas'!EB64</f>
        <v>1.3859666666666663</v>
      </c>
      <c r="EC12" s="62">
        <f>'Raw Datas'!EC64</f>
        <v>1.4163500000000002</v>
      </c>
      <c r="ED12" s="62">
        <f>'Raw Datas'!ED64</f>
        <v>1.3013499999999998</v>
      </c>
      <c r="EE12" s="62">
        <f>'Raw Datas'!EE64</f>
        <v>0.62775000000000003</v>
      </c>
      <c r="EF12" s="62">
        <f>'Raw Datas'!EF64</f>
        <v>1.6190500000000001</v>
      </c>
      <c r="EG12" s="62">
        <f>'Raw Datas'!EG64</f>
        <v>1.85585</v>
      </c>
      <c r="EH12" s="62">
        <f>'Raw Datas'!EH64</f>
        <v>0.57856666666666667</v>
      </c>
      <c r="EI12" s="62">
        <f>'Raw Datas'!EI64</f>
        <v>0.66044999999999987</v>
      </c>
      <c r="EJ12" s="62">
        <f>'Raw Datas'!EJ64</f>
        <v>0.95960000000000001</v>
      </c>
      <c r="EK12" s="62">
        <f>'Raw Datas'!EK64</f>
        <v>1.2886666666666668</v>
      </c>
      <c r="EL12" s="62">
        <f>'Raw Datas'!EL64</f>
        <v>3.0521333333333329</v>
      </c>
      <c r="EM12" s="62">
        <f>'Raw Datas'!EM64</f>
        <v>3.4021666666666666</v>
      </c>
      <c r="EN12" s="62">
        <f>'Raw Datas'!EN64</f>
        <v>2.1049833333333332</v>
      </c>
      <c r="EO12" s="62">
        <f>'Raw Datas'!EO64</f>
        <v>1.0959833333333333</v>
      </c>
      <c r="EP12" s="62">
        <f>'Raw Datas'!EP64</f>
        <v>12.229866666666664</v>
      </c>
      <c r="EQ12" s="62">
        <f>'Raw Datas'!EQ64</f>
        <v>0.80236666666666656</v>
      </c>
      <c r="ER12" s="62">
        <f>'Raw Datas'!ER64</f>
        <v>2.8302166666666668</v>
      </c>
      <c r="ES12" s="62">
        <f>'Raw Datas'!ES64</f>
        <v>0.58043333333333336</v>
      </c>
      <c r="ET12" s="62">
        <f>'Raw Datas'!ET64</f>
        <v>0.74853333333333327</v>
      </c>
      <c r="EU12" s="62">
        <f>'Raw Datas'!EU64</f>
        <v>0.95923333333333338</v>
      </c>
      <c r="EV12" s="62">
        <f>'Raw Datas'!EV64</f>
        <v>1.0537166666666666</v>
      </c>
      <c r="EW12" s="62">
        <f>'Raw Datas'!EW64</f>
        <v>1.1603333333333334</v>
      </c>
      <c r="EX12" s="62">
        <f>'Raw Datas'!EX64</f>
        <v>2.0029666666666666</v>
      </c>
      <c r="EY12" s="62">
        <f>'Raw Datas'!EY64</f>
        <v>3.3724500000000002</v>
      </c>
      <c r="EZ12" s="62">
        <f>'Raw Datas'!EZ64</f>
        <v>2.6936499999999999</v>
      </c>
      <c r="FA12" s="62" t="str">
        <f>'Raw Datas'!FA64</f>
        <v>0</v>
      </c>
      <c r="FB12" s="62">
        <f>'Raw Datas'!FB64</f>
        <v>0.44706666666666661</v>
      </c>
      <c r="FC12" s="62">
        <f>'Raw Datas'!FC64</f>
        <v>1.2053499999999999</v>
      </c>
      <c r="FD12" s="62">
        <f>'Raw Datas'!FD64</f>
        <v>1.9685833333333336</v>
      </c>
      <c r="FE12" s="62">
        <f>'Raw Datas'!FE64</f>
        <v>2.7170333333333332</v>
      </c>
      <c r="FF12" s="62">
        <f>'Raw Datas'!FF64</f>
        <v>7.5913166666666667</v>
      </c>
      <c r="FG12" s="62">
        <f>'Raw Datas'!FG64</f>
        <v>2.2356166666666666</v>
      </c>
      <c r="FH12" s="62">
        <f>'Raw Datas'!FH64</f>
        <v>1.8103333333333333</v>
      </c>
      <c r="FI12" s="62">
        <f>'Raw Datas'!FI64</f>
        <v>0.39906666666666674</v>
      </c>
      <c r="FJ12" s="62">
        <f>'Raw Datas'!FJ64</f>
        <v>3.9326333333333334</v>
      </c>
      <c r="FK12" s="62">
        <f>'Raw Datas'!FK64</f>
        <v>7.0858499999999989</v>
      </c>
      <c r="FL12" s="62">
        <f>'Raw Datas'!FL64</f>
        <v>1.7776333333333336</v>
      </c>
      <c r="FM12" s="62">
        <f>'Raw Datas'!FM64</f>
        <v>1.3432833333333332</v>
      </c>
      <c r="FN12" s="62">
        <f>'Raw Datas'!FN64</f>
        <v>5.6345333333333336</v>
      </c>
      <c r="FO12" s="62">
        <f>'Raw Datas'!FO64</f>
        <v>1.6807333333333334</v>
      </c>
    </row>
    <row r="13" spans="1:171" x14ac:dyDescent="0.2">
      <c r="B13" s="100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ht="16" thickBot="1" x14ac:dyDescent="0.25">
      <c r="B14" s="10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ht="15.75" customHeight="1" x14ac:dyDescent="0.2">
      <c r="A15" s="151" t="s">
        <v>368</v>
      </c>
      <c r="B15" s="104" t="s">
        <v>777</v>
      </c>
      <c r="C15" s="60">
        <f>'Raw Datas'!C70</f>
        <v>96.875466666666668</v>
      </c>
      <c r="D15" s="63">
        <f>'Raw Datas'!D70</f>
        <v>118.98988333333334</v>
      </c>
      <c r="E15" s="63">
        <f>'Raw Datas'!E70</f>
        <v>125.04509999999999</v>
      </c>
      <c r="F15" s="63">
        <f>'Raw Datas'!F70</f>
        <v>156.13639999999998</v>
      </c>
      <c r="G15" s="63">
        <f>'Raw Datas'!G70</f>
        <v>173.93033333333335</v>
      </c>
      <c r="H15" s="63">
        <f>'Raw Datas'!H70</f>
        <v>193.97865000000002</v>
      </c>
      <c r="I15" s="63">
        <f>'Raw Datas'!I70</f>
        <v>93.744783333333331</v>
      </c>
      <c r="J15" s="63">
        <f>'Raw Datas'!J70</f>
        <v>49.465500000000006</v>
      </c>
      <c r="K15" s="63">
        <f>'Raw Datas'!K70</f>
        <v>45.0702</v>
      </c>
      <c r="L15" s="63">
        <f>'Raw Datas'!L70</f>
        <v>145.09745000000001</v>
      </c>
      <c r="M15" s="63">
        <f>'Raw Datas'!M70</f>
        <v>40.642616666666669</v>
      </c>
      <c r="N15" s="63">
        <f>'Raw Datas'!N70</f>
        <v>225.31681666666671</v>
      </c>
      <c r="O15" s="63">
        <f>'Raw Datas'!O70</f>
        <v>168.17400000000001</v>
      </c>
      <c r="P15" s="63">
        <f>'Raw Datas'!P70</f>
        <v>161.93221666666668</v>
      </c>
      <c r="Q15" s="63">
        <f>'Raw Datas'!Q70</f>
        <v>196.14561666666668</v>
      </c>
      <c r="R15" s="63">
        <f>'Raw Datas'!R70</f>
        <v>1199.7205500000002</v>
      </c>
      <c r="S15" s="63">
        <f>'Raw Datas'!S70</f>
        <v>16.7148</v>
      </c>
      <c r="T15" s="63">
        <f>'Raw Datas'!T70</f>
        <v>63.4129</v>
      </c>
      <c r="U15" s="63">
        <f>'Raw Datas'!U70</f>
        <v>133.57703333333333</v>
      </c>
      <c r="V15" s="63">
        <f>'Raw Datas'!V70</f>
        <v>49.190466666666673</v>
      </c>
      <c r="W15" s="63">
        <f>'Raw Datas'!W70</f>
        <v>431.78008571428569</v>
      </c>
      <c r="X15" s="63">
        <f>'Raw Datas'!X70</f>
        <v>116.77408</v>
      </c>
      <c r="Y15" s="63">
        <f>'Raw Datas'!Y70</f>
        <v>116.19905</v>
      </c>
      <c r="Z15" s="63">
        <f>'Raw Datas'!Z70</f>
        <v>1025.1311600000001</v>
      </c>
      <c r="AA15" s="63">
        <f>'Raw Datas'!AA70</f>
        <v>46.039516666666671</v>
      </c>
      <c r="AB15" s="63">
        <f>'Raw Datas'!AB70</f>
        <v>98.415333333333336</v>
      </c>
      <c r="AC15" s="63">
        <f>'Raw Datas'!AC70</f>
        <v>69.51188333333333</v>
      </c>
      <c r="AD15" s="63">
        <f>'Raw Datas'!AD70</f>
        <v>162.15625</v>
      </c>
      <c r="AE15" s="63">
        <f>'Raw Datas'!AE70</f>
        <v>45.801699999999997</v>
      </c>
      <c r="AF15" s="63">
        <f>'Raw Datas'!AF70</f>
        <v>104.67716666666666</v>
      </c>
      <c r="AG15" s="63">
        <f>'Raw Datas'!AG70</f>
        <v>323.68610000000001</v>
      </c>
      <c r="AH15" s="63">
        <f>'Raw Datas'!AH70</f>
        <v>65.459266666666664</v>
      </c>
      <c r="AI15" s="63">
        <f>'Raw Datas'!AI70</f>
        <v>308.17806666666667</v>
      </c>
      <c r="AJ15" s="63">
        <f>'Raw Datas'!AJ70</f>
        <v>285.18389999999999</v>
      </c>
      <c r="AK15" s="63">
        <f>'Raw Datas'!AK70</f>
        <v>79.968649999999997</v>
      </c>
      <c r="AL15" s="63">
        <f>'Raw Datas'!AL70</f>
        <v>133.36949999999999</v>
      </c>
      <c r="AM15" s="63">
        <f>'Raw Datas'!AM70</f>
        <v>254.16910000000001</v>
      </c>
      <c r="AN15" s="63">
        <f>'Raw Datas'!AN70</f>
        <v>133.45201666666665</v>
      </c>
      <c r="AO15" s="63">
        <f>'Raw Datas'!AO70</f>
        <v>30.750399999999999</v>
      </c>
      <c r="AP15" s="63">
        <f>'Raw Datas'!AP70</f>
        <v>179.95054999999999</v>
      </c>
      <c r="AQ15" s="63">
        <f>'Raw Datas'!AQ70</f>
        <v>221.44746666666666</v>
      </c>
      <c r="AR15" s="63">
        <f>'Raw Datas'!AR70</f>
        <v>102.22284999999998</v>
      </c>
      <c r="AS15" s="63">
        <f>'Raw Datas'!AS70</f>
        <v>1541.3184833333335</v>
      </c>
      <c r="AT15" s="63">
        <f>'Raw Datas'!AT70</f>
        <v>348.89668333333333</v>
      </c>
      <c r="AU15" s="63">
        <f>'Raw Datas'!AU70</f>
        <v>59.576880000000003</v>
      </c>
      <c r="AV15" s="63">
        <f>'Raw Datas'!AV70</f>
        <v>18.45636</v>
      </c>
      <c r="AW15" s="63">
        <f>'Raw Datas'!AW70</f>
        <v>99.323816666666673</v>
      </c>
      <c r="AX15" s="63">
        <f>'Raw Datas'!AX70</f>
        <v>154.27348333333333</v>
      </c>
      <c r="AY15" s="63">
        <f>'Raw Datas'!AY70</f>
        <v>336.14206666666666</v>
      </c>
      <c r="AZ15" s="63">
        <f>'Raw Datas'!AZ70</f>
        <v>14.536016666666665</v>
      </c>
      <c r="BA15" s="63">
        <f>'Raw Datas'!BA70</f>
        <v>88.255700000000004</v>
      </c>
      <c r="BB15" s="63">
        <f>'Raw Datas'!BB70</f>
        <v>42.485900000000001</v>
      </c>
      <c r="BC15" s="63">
        <f>'Raw Datas'!BC70</f>
        <v>211.34151666666668</v>
      </c>
      <c r="BD15" s="63">
        <f>'Raw Datas'!BD70</f>
        <v>205.29680000000002</v>
      </c>
      <c r="BE15" s="63">
        <f>'Raw Datas'!BE70</f>
        <v>20.31015</v>
      </c>
      <c r="BF15" s="63">
        <f>'Raw Datas'!BF70</f>
        <v>438.77215000000001</v>
      </c>
      <c r="BG15" s="63">
        <f>'Raw Datas'!BG70</f>
        <v>42.308616666666666</v>
      </c>
      <c r="BH15" s="63">
        <f>'Raw Datas'!BH70</f>
        <v>357.05779999999993</v>
      </c>
      <c r="BI15" s="63">
        <f>'Raw Datas'!BI70</f>
        <v>380.58443333333338</v>
      </c>
      <c r="BJ15" s="63">
        <f>'Raw Datas'!BJ70</f>
        <v>743.57584999999995</v>
      </c>
      <c r="BK15" s="63">
        <f>'Raw Datas'!BK70</f>
        <v>388.68473333333338</v>
      </c>
      <c r="BL15" s="63">
        <f>'Raw Datas'!BL70</f>
        <v>2311.3289500000001</v>
      </c>
      <c r="BM15" s="63">
        <f>'Raw Datas'!BM70</f>
        <v>877.3998857142858</v>
      </c>
      <c r="BN15" s="63">
        <f>'Raw Datas'!BN70</f>
        <v>2309.7009666666663</v>
      </c>
      <c r="BO15" s="63">
        <f>'Raw Datas'!BO70</f>
        <v>1768.2849999999999</v>
      </c>
      <c r="BP15" s="63">
        <f>'Raw Datas'!BP70</f>
        <v>1754.8267499999999</v>
      </c>
      <c r="BQ15" s="63">
        <f>'Raw Datas'!BQ70</f>
        <v>518.75113333333331</v>
      </c>
      <c r="BR15" s="63">
        <f>'Raw Datas'!BR70</f>
        <v>113.59911428571429</v>
      </c>
      <c r="BS15" s="63">
        <f>'Raw Datas'!BS70</f>
        <v>1416.2715666666666</v>
      </c>
      <c r="BT15" s="63">
        <f>'Raw Datas'!BT70</f>
        <v>1005.6605333333333</v>
      </c>
      <c r="BU15" s="63">
        <f>'Raw Datas'!BU70</f>
        <v>344.64445000000001</v>
      </c>
      <c r="BV15" s="63">
        <f>'Raw Datas'!BV70</f>
        <v>245.23633333333331</v>
      </c>
      <c r="BW15" s="63">
        <f>'Raw Datas'!BW70</f>
        <v>390.09896666666668</v>
      </c>
      <c r="BX15" s="63">
        <f>'Raw Datas'!BX70</f>
        <v>109.06278333333333</v>
      </c>
      <c r="BY15" s="63">
        <f>'Raw Datas'!BY70</f>
        <v>277.6807</v>
      </c>
      <c r="BZ15" s="63">
        <f>'Raw Datas'!BZ70</f>
        <v>180.84933333333331</v>
      </c>
      <c r="CA15" s="63">
        <f>'Raw Datas'!CA70</f>
        <v>254.17478333333335</v>
      </c>
      <c r="CB15" s="63">
        <f>'Raw Datas'!CB70</f>
        <v>188.79878333333332</v>
      </c>
      <c r="CC15" s="63">
        <f>'Raw Datas'!CC70</f>
        <v>218.02423333333337</v>
      </c>
      <c r="CD15" s="63">
        <f>'Raw Datas'!CD70</f>
        <v>115.0843</v>
      </c>
      <c r="CE15" s="63">
        <f>'Raw Datas'!CE70</f>
        <v>790.79500000000007</v>
      </c>
      <c r="CF15" s="63">
        <f>'Raw Datas'!CF70</f>
        <v>73.402383333333333</v>
      </c>
      <c r="CG15" s="63">
        <f>'Raw Datas'!CG70</f>
        <v>81.481416666666675</v>
      </c>
      <c r="CH15" s="63">
        <f>'Raw Datas'!CH70</f>
        <v>33.093499999999999</v>
      </c>
      <c r="CI15" s="63">
        <f>'Raw Datas'!CI70</f>
        <v>143.77553333333333</v>
      </c>
      <c r="CJ15" s="63">
        <f>'Raw Datas'!CJ70</f>
        <v>202.09326666666666</v>
      </c>
      <c r="CK15" s="63">
        <f>'Raw Datas'!CK70</f>
        <v>22.660000000000004</v>
      </c>
      <c r="CL15" s="63">
        <f>'Raw Datas'!CL70</f>
        <v>87.073933333333329</v>
      </c>
      <c r="CM15" s="63">
        <f>'Raw Datas'!CM70</f>
        <v>45.765816666666666</v>
      </c>
      <c r="CN15" s="63">
        <f>'Raw Datas'!CN70</f>
        <v>19.923499999999997</v>
      </c>
      <c r="CO15" s="63">
        <f>'Raw Datas'!CO70</f>
        <v>62.461699999999993</v>
      </c>
      <c r="CP15" s="63">
        <f>'Raw Datas'!CP70</f>
        <v>156.93019999999999</v>
      </c>
      <c r="CQ15" s="63">
        <f>'Raw Datas'!CQ70</f>
        <v>230.30600000000001</v>
      </c>
      <c r="CR15" s="63">
        <f>'Raw Datas'!CR70</f>
        <v>104.69818333333335</v>
      </c>
      <c r="CS15" s="63">
        <f>'Raw Datas'!CS70</f>
        <v>26.097383333333333</v>
      </c>
      <c r="CT15" s="63">
        <f>'Raw Datas'!CT70</f>
        <v>23.582583333333332</v>
      </c>
      <c r="CU15" s="63">
        <f>'Raw Datas'!CU70</f>
        <v>117.50406666666667</v>
      </c>
      <c r="CV15" s="63">
        <f>'Raw Datas'!CV70</f>
        <v>546.16430000000003</v>
      </c>
      <c r="CW15" s="63">
        <f>'Raw Datas'!CW70</f>
        <v>70.250550000000004</v>
      </c>
      <c r="CX15" s="63">
        <f>'Raw Datas'!CX70</f>
        <v>16.011599999999998</v>
      </c>
      <c r="CY15" s="63">
        <f>'Raw Datas'!CY70</f>
        <v>256.5185166666667</v>
      </c>
      <c r="CZ15" s="63">
        <f>'Raw Datas'!CZ70</f>
        <v>91.768550000000005</v>
      </c>
      <c r="DA15" s="63">
        <f>'Raw Datas'!DA70</f>
        <v>24.089183333333335</v>
      </c>
      <c r="DB15" s="63">
        <f>'Raw Datas'!DB70</f>
        <v>262.94265000000001</v>
      </c>
      <c r="DC15" s="63">
        <f>'Raw Datas'!DC70</f>
        <v>163.02405000000002</v>
      </c>
      <c r="DD15" s="63">
        <f>'Raw Datas'!DD70</f>
        <v>32.755850000000002</v>
      </c>
      <c r="DE15" s="63">
        <f>'Raw Datas'!DE70</f>
        <v>129.58323333333334</v>
      </c>
      <c r="DF15" s="63">
        <f>'Raw Datas'!DF70</f>
        <v>83.315133333333335</v>
      </c>
      <c r="DG15" s="63">
        <f>'Raw Datas'!DG70</f>
        <v>306.97133333333329</v>
      </c>
      <c r="DH15" s="63">
        <f>'Raw Datas'!DH70</f>
        <v>17.121316666666665</v>
      </c>
      <c r="DI15" s="63">
        <f>'Raw Datas'!DI70</f>
        <v>124.07951666666666</v>
      </c>
      <c r="DJ15" s="63">
        <f>'Raw Datas'!DJ70</f>
        <v>394.17758333333336</v>
      </c>
      <c r="DK15" s="63">
        <f>'Raw Datas'!DK70</f>
        <v>325.74871666666667</v>
      </c>
      <c r="DL15" s="63">
        <f>'Raw Datas'!DL70</f>
        <v>55.981350000000006</v>
      </c>
      <c r="DM15" s="63">
        <f>'Raw Datas'!DM70</f>
        <v>61.475699999999996</v>
      </c>
      <c r="DN15" s="63">
        <f>'Raw Datas'!DN70</f>
        <v>271.40213333333332</v>
      </c>
      <c r="DO15" s="63">
        <f>'Raw Datas'!DO70</f>
        <v>305.61849999999998</v>
      </c>
      <c r="DP15" s="63">
        <f>'Raw Datas'!DP70</f>
        <v>74.946416666666664</v>
      </c>
      <c r="DQ15" s="63">
        <f>'Raw Datas'!DQ70</f>
        <v>63.543066666666661</v>
      </c>
      <c r="DR15" s="63">
        <f>'Raw Datas'!DR70</f>
        <v>31.706149999999997</v>
      </c>
      <c r="DS15" s="63">
        <f>'Raw Datas'!DS70</f>
        <v>73.040533333333329</v>
      </c>
      <c r="DT15" s="63">
        <f>'Raw Datas'!DT70</f>
        <v>105.61505000000001</v>
      </c>
      <c r="DU15" s="63">
        <f>'Raw Datas'!DU70</f>
        <v>249.49056666666669</v>
      </c>
      <c r="DV15" s="63">
        <f>'Raw Datas'!DV70</f>
        <v>83.291883333333331</v>
      </c>
      <c r="DW15" s="63">
        <f>'Raw Datas'!DW70</f>
        <v>74.94338333333333</v>
      </c>
      <c r="DX15" s="63">
        <f>'Raw Datas'!DX70</f>
        <v>188.69903333333332</v>
      </c>
      <c r="DY15" s="63">
        <f>'Raw Datas'!DY70</f>
        <v>112.97154999999999</v>
      </c>
      <c r="DZ15" s="63">
        <f>'Raw Datas'!DZ70</f>
        <v>248.91913333333332</v>
      </c>
      <c r="EA15" s="63">
        <f>'Raw Datas'!EA70</f>
        <v>83.908933333333337</v>
      </c>
      <c r="EB15" s="63">
        <f>'Raw Datas'!EB70</f>
        <v>23.078583333333331</v>
      </c>
      <c r="EC15" s="63">
        <f>'Raw Datas'!EC70</f>
        <v>85.300966666666667</v>
      </c>
      <c r="ED15" s="63">
        <f>'Raw Datas'!ED70</f>
        <v>101.32588333333334</v>
      </c>
      <c r="EE15" s="63">
        <f>'Raw Datas'!EE70</f>
        <v>82.642466666666664</v>
      </c>
      <c r="EF15" s="63">
        <f>'Raw Datas'!EF70</f>
        <v>113.31355000000001</v>
      </c>
      <c r="EG15" s="63">
        <f>'Raw Datas'!EG70</f>
        <v>142.68658333333332</v>
      </c>
      <c r="EH15" s="63">
        <f>'Raw Datas'!EH70</f>
        <v>252.44239999999996</v>
      </c>
      <c r="EI15" s="63">
        <f>'Raw Datas'!EI70</f>
        <v>26.569366666666667</v>
      </c>
      <c r="EJ15" s="63">
        <f>'Raw Datas'!EJ70</f>
        <v>144.53558333333334</v>
      </c>
      <c r="EK15" s="63">
        <f>'Raw Datas'!EK70</f>
        <v>252.17774999999997</v>
      </c>
      <c r="EL15" s="63">
        <f>'Raw Datas'!EL70</f>
        <v>313.73031666666668</v>
      </c>
      <c r="EM15" s="63">
        <f>'Raw Datas'!EM70</f>
        <v>20.819166666666668</v>
      </c>
      <c r="EN15" s="63">
        <f>'Raw Datas'!EN70</f>
        <v>229.30823333333333</v>
      </c>
      <c r="EO15" s="63">
        <f>'Raw Datas'!EO70</f>
        <v>81.124916666666664</v>
      </c>
      <c r="EP15" s="63">
        <f>'Raw Datas'!EP70</f>
        <v>182.49086666666668</v>
      </c>
      <c r="EQ15" s="63">
        <f>'Raw Datas'!EQ70</f>
        <v>55.233116666666668</v>
      </c>
      <c r="ER15" s="63">
        <f>'Raw Datas'!ER70</f>
        <v>82.242300000000014</v>
      </c>
      <c r="ES15" s="63">
        <f>'Raw Datas'!ES70</f>
        <v>76.975766666666672</v>
      </c>
      <c r="ET15" s="63">
        <f>'Raw Datas'!ET70</f>
        <v>142.31935000000001</v>
      </c>
      <c r="EU15" s="63">
        <f>'Raw Datas'!EU70</f>
        <v>198.57679999999999</v>
      </c>
      <c r="EV15" s="63">
        <f>'Raw Datas'!EV70</f>
        <v>133.25809999999998</v>
      </c>
      <c r="EW15" s="63">
        <f>'Raw Datas'!EW70</f>
        <v>122.38018333333335</v>
      </c>
      <c r="EX15" s="63">
        <f>'Raw Datas'!EX70</f>
        <v>181.64563333333336</v>
      </c>
      <c r="EY15" s="63">
        <f>'Raw Datas'!EY70</f>
        <v>36.389483333333338</v>
      </c>
      <c r="EZ15" s="63">
        <f>'Raw Datas'!EZ70</f>
        <v>19.331466666666664</v>
      </c>
      <c r="FA15" s="63">
        <f>'Raw Datas'!FA70</f>
        <v>29.214416666666661</v>
      </c>
      <c r="FB15" s="63">
        <f>'Raw Datas'!FB70</f>
        <v>85.616216666666659</v>
      </c>
      <c r="FC15" s="63">
        <f>'Raw Datas'!FC70</f>
        <v>59.616216666666666</v>
      </c>
      <c r="FD15" s="63">
        <f>'Raw Datas'!FD70</f>
        <v>218.3559166666667</v>
      </c>
      <c r="FE15" s="63">
        <f>'Raw Datas'!FE70</f>
        <v>111.68713333333334</v>
      </c>
      <c r="FF15" s="63">
        <f>'Raw Datas'!FF70</f>
        <v>204.27706666666666</v>
      </c>
      <c r="FG15" s="63">
        <f>'Raw Datas'!FG70</f>
        <v>41.275049999999993</v>
      </c>
      <c r="FH15" s="63">
        <f>'Raw Datas'!FH70</f>
        <v>87.794900000000013</v>
      </c>
      <c r="FI15" s="63">
        <f>'Raw Datas'!FI70</f>
        <v>250.75799999999998</v>
      </c>
      <c r="FJ15" s="63">
        <f>'Raw Datas'!FJ70</f>
        <v>50.098316666666662</v>
      </c>
      <c r="FK15" s="63">
        <f>'Raw Datas'!FK70</f>
        <v>34.865733333333331</v>
      </c>
      <c r="FL15" s="63">
        <f>'Raw Datas'!FL70</f>
        <v>5.5661166666666677</v>
      </c>
      <c r="FM15" s="63">
        <f>'Raw Datas'!FM70</f>
        <v>11.948700000000001</v>
      </c>
      <c r="FN15" s="63">
        <f>'Raw Datas'!FN70</f>
        <v>97.012750000000011</v>
      </c>
      <c r="FO15" s="63">
        <f>'Raw Datas'!FO70</f>
        <v>28.531366666666667</v>
      </c>
    </row>
    <row r="16" spans="1:171" ht="15.75" customHeight="1" x14ac:dyDescent="0.2">
      <c r="A16" s="152"/>
      <c r="B16" s="104" t="s">
        <v>779</v>
      </c>
      <c r="C16" s="60" t="str">
        <f>'Raw Datas'!C80</f>
        <v>0</v>
      </c>
      <c r="D16" s="63" t="str">
        <f>'Raw Datas'!D80</f>
        <v>0</v>
      </c>
      <c r="E16" s="63" t="str">
        <f>'Raw Datas'!E80</f>
        <v>0</v>
      </c>
      <c r="F16" s="63">
        <f>'Raw Datas'!F80</f>
        <v>1.8032333333333335</v>
      </c>
      <c r="G16" s="63">
        <f>'Raw Datas'!G80</f>
        <v>0.4966166666666666</v>
      </c>
      <c r="H16" s="63">
        <f>'Raw Datas'!H80</f>
        <v>0.53221666666666667</v>
      </c>
      <c r="I16" s="63">
        <f>'Raw Datas'!I80</f>
        <v>0.54988333333333339</v>
      </c>
      <c r="J16" s="63">
        <f>'Raw Datas'!J80</f>
        <v>0.5723166666666667</v>
      </c>
      <c r="K16" s="63" t="str">
        <f>'Raw Datas'!K80</f>
        <v>0</v>
      </c>
      <c r="L16" s="63">
        <f>'Raw Datas'!L80</f>
        <v>1.1946333333333332</v>
      </c>
      <c r="M16" s="63" t="str">
        <f>'Raw Datas'!M80</f>
        <v>0</v>
      </c>
      <c r="N16" s="63">
        <f>'Raw Datas'!N80</f>
        <v>0.46243333333333331</v>
      </c>
      <c r="O16" s="63">
        <f>'Raw Datas'!O80</f>
        <v>0.44046666666666662</v>
      </c>
      <c r="P16" s="63">
        <f>'Raw Datas'!P80</f>
        <v>0.47384999999999999</v>
      </c>
      <c r="Q16" s="63">
        <f>'Raw Datas'!Q80</f>
        <v>0.28350000000000003</v>
      </c>
      <c r="R16" s="63">
        <f>'Raw Datas'!R80</f>
        <v>10.152099999999999</v>
      </c>
      <c r="S16" s="63" t="str">
        <f>'Raw Datas'!S80</f>
        <v>0</v>
      </c>
      <c r="T16" s="63" t="str">
        <f>'Raw Datas'!T80</f>
        <v>0</v>
      </c>
      <c r="U16" s="63">
        <f>'Raw Datas'!U80</f>
        <v>0.57499999999999996</v>
      </c>
      <c r="V16" s="63" t="str">
        <f>'Raw Datas'!V80</f>
        <v>0</v>
      </c>
      <c r="W16" s="63" t="str">
        <f>'Raw Datas'!W80</f>
        <v>0</v>
      </c>
      <c r="X16" s="63" t="str">
        <f>'Raw Datas'!X80</f>
        <v>0</v>
      </c>
      <c r="Y16" s="63" t="str">
        <f>'Raw Datas'!Y80</f>
        <v>0</v>
      </c>
      <c r="Z16" s="63">
        <f>'Raw Datas'!Z80</f>
        <v>1.9187399999999999</v>
      </c>
      <c r="AA16" s="63" t="str">
        <f>'Raw Datas'!AA80</f>
        <v>0</v>
      </c>
      <c r="AB16" s="63" t="str">
        <f>'Raw Datas'!AB80</f>
        <v>0</v>
      </c>
      <c r="AC16" s="63">
        <f>'Raw Datas'!AC80</f>
        <v>1.6557500000000001</v>
      </c>
      <c r="AD16" s="63">
        <f>'Raw Datas'!AD80</f>
        <v>0.83786666666666665</v>
      </c>
      <c r="AE16" s="63" t="str">
        <f>'Raw Datas'!AE80</f>
        <v>0</v>
      </c>
      <c r="AF16" s="63" t="str">
        <f>'Raw Datas'!AF80</f>
        <v>0</v>
      </c>
      <c r="AG16" s="63" t="str">
        <f>'Raw Datas'!AG80</f>
        <v>0</v>
      </c>
      <c r="AH16" s="63">
        <f>'Raw Datas'!AH80</f>
        <v>0.48909999999999998</v>
      </c>
      <c r="AI16" s="63">
        <f>'Raw Datas'!AI80</f>
        <v>0.63815</v>
      </c>
      <c r="AJ16" s="63" t="str">
        <f>'Raw Datas'!AJ80</f>
        <v>0</v>
      </c>
      <c r="AK16" s="63">
        <f>'Raw Datas'!AK80</f>
        <v>0.52998333333333336</v>
      </c>
      <c r="AL16" s="63" t="str">
        <f>'Raw Datas'!AL80</f>
        <v>0</v>
      </c>
      <c r="AM16" s="63" t="str">
        <f>'Raw Datas'!AM80</f>
        <v>0</v>
      </c>
      <c r="AN16" s="63">
        <f>'Raw Datas'!AN80</f>
        <v>0.88796666666666668</v>
      </c>
      <c r="AO16" s="63" t="str">
        <f>'Raw Datas'!AO80</f>
        <v>0</v>
      </c>
      <c r="AP16" s="63" t="str">
        <f>'Raw Datas'!AP80</f>
        <v>0</v>
      </c>
      <c r="AQ16" s="63" t="str">
        <f>'Raw Datas'!AQ80</f>
        <v>0</v>
      </c>
      <c r="AR16" s="63" t="str">
        <f>'Raw Datas'!AR80</f>
        <v>0</v>
      </c>
      <c r="AS16" s="63">
        <f>'Raw Datas'!AS80</f>
        <v>4.8669666666666664</v>
      </c>
      <c r="AT16" s="63">
        <f>'Raw Datas'!AT80</f>
        <v>1.0176666666666667</v>
      </c>
      <c r="AU16" s="63" t="str">
        <f>'Raw Datas'!AU80</f>
        <v>0</v>
      </c>
      <c r="AV16" s="63" t="str">
        <f>'Raw Datas'!AV80</f>
        <v>0</v>
      </c>
      <c r="AW16" s="63" t="str">
        <f>'Raw Datas'!AW80</f>
        <v>0</v>
      </c>
      <c r="AX16" s="63" t="str">
        <f>'Raw Datas'!AX80</f>
        <v>0</v>
      </c>
      <c r="AY16" s="63">
        <f>'Raw Datas'!AY80</f>
        <v>0.72450000000000014</v>
      </c>
      <c r="AZ16" s="63">
        <f>'Raw Datas'!AZ80</f>
        <v>0.15909999999999999</v>
      </c>
      <c r="BA16" s="63" t="str">
        <f>'Raw Datas'!BA80</f>
        <v>0</v>
      </c>
      <c r="BB16" s="63" t="str">
        <f>'Raw Datas'!BB80</f>
        <v>0</v>
      </c>
      <c r="BC16" s="63">
        <f>'Raw Datas'!BC80</f>
        <v>0.52443333333333331</v>
      </c>
      <c r="BD16" s="63">
        <f>'Raw Datas'!BD80</f>
        <v>2.0274999999999999</v>
      </c>
      <c r="BE16" s="63" t="str">
        <f>'Raw Datas'!BE80</f>
        <v>0</v>
      </c>
      <c r="BF16" s="63">
        <f>'Raw Datas'!BF80</f>
        <v>0.60921666666666663</v>
      </c>
      <c r="BG16" s="63" t="str">
        <f>'Raw Datas'!BG80</f>
        <v>0</v>
      </c>
      <c r="BH16" s="63">
        <f>'Raw Datas'!BH80</f>
        <v>0.66021666666666667</v>
      </c>
      <c r="BI16" s="63" t="str">
        <f>'Raw Datas'!BI80</f>
        <v>0</v>
      </c>
      <c r="BJ16" s="63">
        <f>'Raw Datas'!BJ80</f>
        <v>1.1996</v>
      </c>
      <c r="BK16" s="63">
        <f>'Raw Datas'!BK80</f>
        <v>0.65778333333333328</v>
      </c>
      <c r="BL16" s="63">
        <f>'Raw Datas'!BL80</f>
        <v>7.0185166666666667</v>
      </c>
      <c r="BM16" s="63">
        <f>'Raw Datas'!BM80</f>
        <v>2.2317428571428568</v>
      </c>
      <c r="BN16" s="63">
        <f>'Raw Datas'!BN80</f>
        <v>6.1523000000000003</v>
      </c>
      <c r="BO16" s="63">
        <f>'Raw Datas'!BO80</f>
        <v>1.5463666666666667</v>
      </c>
      <c r="BP16" s="63">
        <f>'Raw Datas'!BP80</f>
        <v>4.6735333333333333</v>
      </c>
      <c r="BQ16" s="63">
        <f>'Raw Datas'!BQ80</f>
        <v>0.44330000000000003</v>
      </c>
      <c r="BR16" s="63" t="str">
        <f>'Raw Datas'!BR80</f>
        <v>0</v>
      </c>
      <c r="BS16" s="63">
        <f>'Raw Datas'!BS80</f>
        <v>2.2117500000000003</v>
      </c>
      <c r="BT16" s="63">
        <f>'Raw Datas'!BT80</f>
        <v>2.1893333333333329</v>
      </c>
      <c r="BU16" s="63">
        <f>'Raw Datas'!BU80</f>
        <v>0.97051666666666669</v>
      </c>
      <c r="BV16" s="63">
        <f>'Raw Datas'!BV80</f>
        <v>0.56194999999999995</v>
      </c>
      <c r="BW16" s="63">
        <f>'Raw Datas'!BW80</f>
        <v>0.65749999999999997</v>
      </c>
      <c r="BX16" s="63" t="str">
        <f>'Raw Datas'!BX80</f>
        <v>0</v>
      </c>
      <c r="BY16" s="63">
        <f>'Raw Datas'!BY80</f>
        <v>0.53966666666666674</v>
      </c>
      <c r="BZ16" s="63">
        <f>'Raw Datas'!BZ80</f>
        <v>0.32306666666666667</v>
      </c>
      <c r="CA16" s="63">
        <f>'Raw Datas'!CA80</f>
        <v>0.95421666666666671</v>
      </c>
      <c r="CB16" s="63">
        <f>'Raw Datas'!CB80</f>
        <v>0.63403333333333334</v>
      </c>
      <c r="CC16" s="63">
        <f>'Raw Datas'!CC80</f>
        <v>0.62109999999999999</v>
      </c>
      <c r="CD16" s="63" t="str">
        <f>'Raw Datas'!CD80</f>
        <v>0</v>
      </c>
      <c r="CE16" s="63">
        <f>'Raw Datas'!CE80</f>
        <v>2.18405</v>
      </c>
      <c r="CF16" s="63" t="str">
        <f>'Raw Datas'!CF80</f>
        <v>0</v>
      </c>
      <c r="CG16" s="63" t="str">
        <f>'Raw Datas'!CG80</f>
        <v>0</v>
      </c>
      <c r="CH16" s="63" t="str">
        <f>'Raw Datas'!CH80</f>
        <v>0</v>
      </c>
      <c r="CI16" s="63">
        <f>'Raw Datas'!CI80</f>
        <v>1.2604166666666667</v>
      </c>
      <c r="CJ16" s="63" t="str">
        <f>'Raw Datas'!CJ80</f>
        <v>0</v>
      </c>
      <c r="CK16" s="63" t="str">
        <f>'Raw Datas'!CK80</f>
        <v>0</v>
      </c>
      <c r="CL16" s="63">
        <f>'Raw Datas'!CL80</f>
        <v>0.54663333333333342</v>
      </c>
      <c r="CM16" s="63">
        <f>'Raw Datas'!CM80</f>
        <v>0.63746666666666674</v>
      </c>
      <c r="CN16" s="63" t="str">
        <f>'Raw Datas'!CN80</f>
        <v>0</v>
      </c>
      <c r="CO16" s="63" t="str">
        <f>'Raw Datas'!CO80</f>
        <v>0</v>
      </c>
      <c r="CP16" s="63" t="str">
        <f>'Raw Datas'!CP80</f>
        <v>0</v>
      </c>
      <c r="CQ16" s="63">
        <f>'Raw Datas'!CQ80</f>
        <v>0.83483333333333343</v>
      </c>
      <c r="CR16" s="63">
        <f>'Raw Datas'!CR80</f>
        <v>2.9416333333333333</v>
      </c>
      <c r="CS16" s="63" t="str">
        <f>'Raw Datas'!CS80</f>
        <v>0</v>
      </c>
      <c r="CT16" s="63" t="str">
        <f>'Raw Datas'!CT80</f>
        <v>0</v>
      </c>
      <c r="CU16" s="63">
        <f>'Raw Datas'!CU80</f>
        <v>0.78821666666666679</v>
      </c>
      <c r="CV16" s="63">
        <f>'Raw Datas'!CV80</f>
        <v>0.75755000000000006</v>
      </c>
      <c r="CW16" s="63" t="str">
        <f>'Raw Datas'!CW80</f>
        <v>0</v>
      </c>
      <c r="CX16" s="63" t="str">
        <f>'Raw Datas'!CX80</f>
        <v>0</v>
      </c>
      <c r="CY16" s="63" t="str">
        <f>'Raw Datas'!CY80</f>
        <v>0</v>
      </c>
      <c r="CZ16" s="63" t="str">
        <f>'Raw Datas'!CZ80</f>
        <v>0</v>
      </c>
      <c r="DA16" s="63" t="str">
        <f>'Raw Datas'!DA80</f>
        <v>0</v>
      </c>
      <c r="DB16" s="63" t="str">
        <f>'Raw Datas'!DB80</f>
        <v>0</v>
      </c>
      <c r="DC16" s="63">
        <f>'Raw Datas'!DC80</f>
        <v>0.71896666666666664</v>
      </c>
      <c r="DD16" s="63">
        <f>'Raw Datas'!DD80</f>
        <v>2.1157666666666666</v>
      </c>
      <c r="DE16" s="63" t="str">
        <f>'Raw Datas'!DE80</f>
        <v>0</v>
      </c>
      <c r="DF16" s="63" t="str">
        <f>'Raw Datas'!DF80</f>
        <v>0</v>
      </c>
      <c r="DG16" s="63">
        <f>'Raw Datas'!DG80</f>
        <v>1.7373000000000001</v>
      </c>
      <c r="DH16" s="63" t="str">
        <f>'Raw Datas'!DH80</f>
        <v>0</v>
      </c>
      <c r="DI16" s="63" t="str">
        <f>'Raw Datas'!DI80</f>
        <v>0</v>
      </c>
      <c r="DJ16" s="63">
        <f>'Raw Datas'!DJ80</f>
        <v>1.2381833333333332</v>
      </c>
      <c r="DK16" s="63">
        <f>'Raw Datas'!DK80</f>
        <v>1.0291333333333335</v>
      </c>
      <c r="DL16" s="63" t="str">
        <f>'Raw Datas'!DL80</f>
        <v>0</v>
      </c>
      <c r="DM16" s="63" t="str">
        <f>'Raw Datas'!DM80</f>
        <v>0</v>
      </c>
      <c r="DN16" s="63">
        <f>'Raw Datas'!DN80</f>
        <v>0.27901666666666664</v>
      </c>
      <c r="DO16" s="63">
        <f>'Raw Datas'!DO80</f>
        <v>2.1064333333333334</v>
      </c>
      <c r="DP16" s="63" t="str">
        <f>'Raw Datas'!DP80</f>
        <v>0</v>
      </c>
      <c r="DQ16" s="63" t="str">
        <f>'Raw Datas'!DQ80</f>
        <v>0</v>
      </c>
      <c r="DR16" s="63" t="str">
        <f>'Raw Datas'!DR80</f>
        <v>0</v>
      </c>
      <c r="DS16" s="63">
        <f>'Raw Datas'!DS80</f>
        <v>0.32006666666666667</v>
      </c>
      <c r="DT16" s="63" t="str">
        <f>'Raw Datas'!DT80</f>
        <v>0</v>
      </c>
      <c r="DU16" s="63">
        <f>'Raw Datas'!DU80</f>
        <v>0.35649999999999993</v>
      </c>
      <c r="DV16" s="63">
        <f>'Raw Datas'!DV80</f>
        <v>0.45279999999999998</v>
      </c>
      <c r="DW16" s="63">
        <f>'Raw Datas'!DW80</f>
        <v>0.69799999999999995</v>
      </c>
      <c r="DX16" s="63" t="str">
        <f>'Raw Datas'!DX80</f>
        <v>0</v>
      </c>
      <c r="DY16" s="63" t="str">
        <f>'Raw Datas'!DY80</f>
        <v>0</v>
      </c>
      <c r="DZ16" s="63" t="str">
        <f>'Raw Datas'!DZ80</f>
        <v>0</v>
      </c>
      <c r="EA16" s="63" t="str">
        <f>'Raw Datas'!EA80</f>
        <v>0</v>
      </c>
      <c r="EB16" s="63" t="str">
        <f>'Raw Datas'!EB80</f>
        <v>0</v>
      </c>
      <c r="EC16" s="63" t="str">
        <f>'Raw Datas'!EC80</f>
        <v>0</v>
      </c>
      <c r="ED16" s="63" t="str">
        <f>'Raw Datas'!ED80</f>
        <v>0</v>
      </c>
      <c r="EE16" s="63" t="str">
        <f>'Raw Datas'!EE80</f>
        <v>0</v>
      </c>
      <c r="EF16" s="63" t="str">
        <f>'Raw Datas'!EF80</f>
        <v>0</v>
      </c>
      <c r="EG16" s="63" t="str">
        <f>'Raw Datas'!EG80</f>
        <v>0</v>
      </c>
      <c r="EH16" s="63" t="str">
        <f>'Raw Datas'!EH80</f>
        <v>0</v>
      </c>
      <c r="EI16" s="63" t="str">
        <f>'Raw Datas'!EI80</f>
        <v>0</v>
      </c>
      <c r="EJ16" s="63" t="str">
        <f>'Raw Datas'!EJ80</f>
        <v>0</v>
      </c>
      <c r="EK16" s="63">
        <f>'Raw Datas'!EK80</f>
        <v>0.57786666666666664</v>
      </c>
      <c r="EL16" s="63" t="str">
        <f>'Raw Datas'!EL80</f>
        <v>0</v>
      </c>
      <c r="EM16" s="63" t="str">
        <f>'Raw Datas'!EM80</f>
        <v>0</v>
      </c>
      <c r="EN16" s="63">
        <f>'Raw Datas'!EN80</f>
        <v>0.40488333333333332</v>
      </c>
      <c r="EO16" s="63">
        <f>'Raw Datas'!EO80</f>
        <v>0.49440000000000001</v>
      </c>
      <c r="EP16" s="63">
        <f>'Raw Datas'!EP80</f>
        <v>0.46283333333333337</v>
      </c>
      <c r="EQ16" s="63">
        <f>'Raw Datas'!EQ80</f>
        <v>1.409616666666667</v>
      </c>
      <c r="ER16" s="63" t="str">
        <f>'Raw Datas'!ER80</f>
        <v>0</v>
      </c>
      <c r="ES16" s="63" t="str">
        <f>'Raw Datas'!ES80</f>
        <v>0</v>
      </c>
      <c r="ET16" s="63" t="str">
        <f>'Raw Datas'!ET80</f>
        <v>0</v>
      </c>
      <c r="EU16" s="63">
        <f>'Raw Datas'!EU80</f>
        <v>1.2648666666666666</v>
      </c>
      <c r="EV16" s="63" t="str">
        <f>'Raw Datas'!EV80</f>
        <v>0</v>
      </c>
      <c r="EW16" s="63" t="str">
        <f>'Raw Datas'!EW80</f>
        <v>0</v>
      </c>
      <c r="EX16" s="63">
        <f>'Raw Datas'!EX80</f>
        <v>0.92709999999999992</v>
      </c>
      <c r="EY16" s="63" t="str">
        <f>'Raw Datas'!EY80</f>
        <v>0</v>
      </c>
      <c r="EZ16" s="63" t="str">
        <f>'Raw Datas'!EZ80</f>
        <v>0</v>
      </c>
      <c r="FA16" s="63" t="str">
        <f>'Raw Datas'!FA80</f>
        <v>0</v>
      </c>
      <c r="FB16" s="63" t="str">
        <f>'Raw Datas'!FB80</f>
        <v>0</v>
      </c>
      <c r="FC16" s="63">
        <f>'Raw Datas'!FC80</f>
        <v>0.6852166666666667</v>
      </c>
      <c r="FD16" s="63" t="str">
        <f>'Raw Datas'!FD80</f>
        <v>0</v>
      </c>
      <c r="FE16" s="63" t="str">
        <f>'Raw Datas'!FE80</f>
        <v>0</v>
      </c>
      <c r="FF16" s="63">
        <f>'Raw Datas'!FF80</f>
        <v>1.2788999999999999</v>
      </c>
      <c r="FG16" s="63">
        <f>'Raw Datas'!FG80</f>
        <v>0.42739999999999995</v>
      </c>
      <c r="FH16" s="63">
        <f>'Raw Datas'!FH80</f>
        <v>0.36293333333333333</v>
      </c>
      <c r="FI16" s="63">
        <f>'Raw Datas'!FI80</f>
        <v>0.84398333333333342</v>
      </c>
      <c r="FJ16" s="63">
        <f>'Raw Datas'!FJ80</f>
        <v>1.2928333333333333</v>
      </c>
      <c r="FK16" s="63" t="str">
        <f>'Raw Datas'!FK80</f>
        <v>0</v>
      </c>
      <c r="FL16" s="63" t="str">
        <f>'Raw Datas'!FL80</f>
        <v>0</v>
      </c>
      <c r="FM16" s="63" t="str">
        <f>'Raw Datas'!FM80</f>
        <v>0</v>
      </c>
      <c r="FN16" s="63" t="str">
        <f>'Raw Datas'!FN80</f>
        <v>0</v>
      </c>
      <c r="FO16" s="63">
        <f>'Raw Datas'!FO80</f>
        <v>0.34343333333333337</v>
      </c>
    </row>
    <row r="17" spans="1:16090" ht="16" thickBot="1" x14ac:dyDescent="0.25">
      <c r="B17" s="100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  <c r="QQ17" s="13"/>
      <c r="QR17" s="13"/>
      <c r="QS17" s="13"/>
      <c r="QT17" s="13"/>
      <c r="QU17" s="13"/>
      <c r="QV17" s="13"/>
      <c r="QW17" s="13"/>
      <c r="QX17" s="13"/>
      <c r="QY17" s="13"/>
      <c r="QZ17" s="13"/>
      <c r="RA17" s="13"/>
      <c r="RB17" s="13"/>
      <c r="RC17" s="13"/>
      <c r="RD17" s="13"/>
      <c r="RE17" s="13"/>
      <c r="RF17" s="13"/>
      <c r="RG17" s="13"/>
      <c r="RH17" s="13"/>
      <c r="RI17" s="13"/>
      <c r="RJ17" s="13"/>
      <c r="RK17" s="13"/>
      <c r="RL17" s="13"/>
      <c r="RM17" s="13"/>
      <c r="RN17" s="13"/>
      <c r="RO17" s="13"/>
      <c r="RP17" s="13"/>
      <c r="RQ17" s="13"/>
      <c r="RR17" s="13"/>
      <c r="RS17" s="13"/>
      <c r="RT17" s="13"/>
      <c r="RU17" s="13"/>
      <c r="RV17" s="13"/>
      <c r="RW17" s="13"/>
      <c r="RX17" s="13"/>
      <c r="RY17" s="13"/>
      <c r="RZ17" s="13"/>
      <c r="SA17" s="13"/>
      <c r="SB17" s="13"/>
      <c r="SC17" s="13"/>
      <c r="SD17" s="13"/>
      <c r="SE17" s="13"/>
      <c r="SF17" s="13"/>
      <c r="SG17" s="13"/>
      <c r="SH17" s="13"/>
      <c r="SI17" s="13"/>
      <c r="SJ17" s="13"/>
      <c r="SK17" s="13"/>
      <c r="SL17" s="13"/>
      <c r="SM17" s="13"/>
      <c r="SN17" s="13"/>
      <c r="SO17" s="13"/>
      <c r="SP17" s="13"/>
      <c r="SQ17" s="13"/>
      <c r="SR17" s="13"/>
      <c r="SS17" s="13"/>
      <c r="ST17" s="13"/>
      <c r="SU17" s="13"/>
      <c r="SV17" s="13"/>
      <c r="SW17" s="13"/>
      <c r="SX17" s="13"/>
      <c r="SY17" s="13"/>
      <c r="SZ17" s="13"/>
      <c r="TA17" s="13"/>
      <c r="TB17" s="13"/>
      <c r="TC17" s="13"/>
      <c r="TD17" s="13"/>
      <c r="TE17" s="13"/>
      <c r="TF17" s="13"/>
      <c r="TG17" s="13"/>
      <c r="TH17" s="13"/>
      <c r="TI17" s="13"/>
      <c r="TJ17" s="13"/>
      <c r="TK17" s="13"/>
      <c r="TL17" s="13"/>
      <c r="TM17" s="13"/>
      <c r="TN17" s="13"/>
      <c r="TO17" s="13"/>
      <c r="TP17" s="13"/>
      <c r="TQ17" s="13"/>
      <c r="TR17" s="13"/>
      <c r="TS17" s="13"/>
      <c r="TT17" s="13"/>
      <c r="TU17" s="13"/>
      <c r="TV17" s="13"/>
      <c r="TW17" s="13"/>
      <c r="TX17" s="13"/>
      <c r="TY17" s="13"/>
      <c r="TZ17" s="13"/>
      <c r="UA17" s="13"/>
      <c r="UB17" s="13"/>
      <c r="UC17" s="13"/>
      <c r="UD17" s="13"/>
      <c r="UE17" s="13"/>
      <c r="UF17" s="13"/>
      <c r="UG17" s="13"/>
      <c r="UH17" s="13"/>
      <c r="UI17" s="13"/>
      <c r="UJ17" s="13"/>
      <c r="UK17" s="13"/>
      <c r="UL17" s="13"/>
      <c r="UM17" s="13"/>
      <c r="UN17" s="13"/>
      <c r="UO17" s="13"/>
      <c r="UP17" s="13"/>
      <c r="UQ17" s="13"/>
      <c r="UR17" s="13"/>
      <c r="US17" s="13"/>
      <c r="UT17" s="13"/>
      <c r="UU17" s="13"/>
      <c r="UV17" s="13"/>
      <c r="UW17" s="13"/>
      <c r="UX17" s="13"/>
      <c r="UY17" s="13"/>
      <c r="UZ17" s="13"/>
      <c r="VA17" s="13"/>
      <c r="VB17" s="13"/>
      <c r="VC17" s="13"/>
      <c r="VD17" s="13"/>
      <c r="VE17" s="13"/>
      <c r="VF17" s="13"/>
      <c r="VG17" s="13"/>
      <c r="VH17" s="13"/>
      <c r="VI17" s="13"/>
      <c r="VJ17" s="13"/>
      <c r="VK17" s="13"/>
      <c r="VL17" s="13"/>
      <c r="VM17" s="13"/>
      <c r="VN17" s="13"/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13"/>
      <c r="ABC17" s="13"/>
      <c r="ABD17" s="13"/>
      <c r="ABE17" s="13"/>
      <c r="ABF17" s="13"/>
      <c r="ABG17" s="13"/>
      <c r="ABH17" s="13"/>
      <c r="ABI17" s="13"/>
      <c r="ABJ17" s="13"/>
      <c r="ABK17" s="13"/>
      <c r="ABL17" s="13"/>
      <c r="ABM17" s="13"/>
      <c r="ABN17" s="13"/>
      <c r="ABO17" s="13"/>
      <c r="ABP17" s="13"/>
      <c r="ABQ17" s="13"/>
      <c r="ABR17" s="13"/>
      <c r="ABS17" s="13"/>
      <c r="ABT17" s="13"/>
      <c r="ABU17" s="13"/>
      <c r="ABV17" s="13"/>
      <c r="ABW17" s="13"/>
      <c r="ABX17" s="13"/>
      <c r="ABY17" s="13"/>
      <c r="ABZ17" s="13"/>
      <c r="ACA17" s="13"/>
      <c r="ACB17" s="13"/>
      <c r="ACC17" s="13"/>
      <c r="ACD17" s="13"/>
      <c r="ACE17" s="13"/>
      <c r="ACF17" s="13"/>
      <c r="ACG17" s="13"/>
      <c r="ACH17" s="13"/>
      <c r="ACI17" s="13"/>
      <c r="ACJ17" s="13"/>
      <c r="ACK17" s="13"/>
      <c r="ACL17" s="13"/>
      <c r="ACM17" s="13"/>
      <c r="ACN17" s="13"/>
      <c r="ACO17" s="13"/>
      <c r="ACP17" s="13"/>
      <c r="ACQ17" s="13"/>
      <c r="ACR17" s="13"/>
      <c r="ACS17" s="13"/>
      <c r="ACT17" s="13"/>
      <c r="ACU17" s="13"/>
      <c r="ACV17" s="13"/>
      <c r="ACW17" s="13"/>
      <c r="ACX17" s="13"/>
      <c r="ACY17" s="13"/>
      <c r="ACZ17" s="13"/>
      <c r="ADA17" s="13"/>
      <c r="ADB17" s="13"/>
      <c r="ADC17" s="13"/>
      <c r="ADD17" s="13"/>
      <c r="ADE17" s="13"/>
      <c r="ADF17" s="13"/>
      <c r="ADG17" s="13"/>
      <c r="ADH17" s="13"/>
      <c r="ADI17" s="13"/>
      <c r="ADJ17" s="13"/>
      <c r="ADK17" s="13"/>
      <c r="ADL17" s="13"/>
      <c r="ADM17" s="13"/>
      <c r="ADN17" s="13"/>
      <c r="ADO17" s="13"/>
      <c r="ADP17" s="13"/>
      <c r="ADQ17" s="13"/>
      <c r="ADR17" s="13"/>
      <c r="ADS17" s="13"/>
      <c r="ADT17" s="13"/>
      <c r="ADU17" s="13"/>
      <c r="ADV17" s="13"/>
      <c r="ADW17" s="13"/>
      <c r="ADX17" s="13"/>
      <c r="ADY17" s="13"/>
      <c r="ADZ17" s="13"/>
      <c r="AEA17" s="13"/>
      <c r="AEB17" s="13"/>
      <c r="AEC17" s="13"/>
      <c r="AED17" s="13"/>
      <c r="AEE17" s="13"/>
      <c r="AEF17" s="13"/>
      <c r="AEG17" s="13"/>
      <c r="AEH17" s="13"/>
      <c r="AEI17" s="13"/>
      <c r="AEJ17" s="13"/>
      <c r="AEK17" s="13"/>
      <c r="AEL17" s="13"/>
      <c r="AEM17" s="13"/>
      <c r="AEN17" s="13"/>
      <c r="AEO17" s="13"/>
      <c r="AEP17" s="13"/>
      <c r="AEQ17" s="13"/>
      <c r="AER17" s="13"/>
      <c r="AES17" s="13"/>
      <c r="AET17" s="13"/>
      <c r="AEU17" s="13"/>
      <c r="AEV17" s="13"/>
      <c r="AEW17" s="13"/>
      <c r="AEX17" s="13"/>
      <c r="AEY17" s="13"/>
      <c r="AEZ17" s="13"/>
      <c r="AFA17" s="13"/>
      <c r="AFB17" s="13"/>
      <c r="AFC17" s="13"/>
      <c r="AFD17" s="13"/>
      <c r="AFE17" s="13"/>
      <c r="AFF17" s="13"/>
      <c r="AFG17" s="13"/>
      <c r="AFH17" s="13"/>
      <c r="AFI17" s="13"/>
      <c r="AFJ17" s="13"/>
      <c r="AFK17" s="13"/>
      <c r="AFL17" s="13"/>
      <c r="AFM17" s="13"/>
      <c r="AFN17" s="13"/>
      <c r="AFO17" s="13"/>
      <c r="AFP17" s="13"/>
      <c r="AFQ17" s="13"/>
      <c r="AFR17" s="13"/>
      <c r="AFS17" s="13"/>
      <c r="AFT17" s="13"/>
      <c r="AFU17" s="13"/>
      <c r="AFV17" s="13"/>
      <c r="AFW17" s="13"/>
      <c r="AFX17" s="13"/>
      <c r="AFY17" s="13"/>
      <c r="AFZ17" s="13"/>
      <c r="AGA17" s="13"/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  <c r="AKZ17" s="13"/>
      <c r="ALA17" s="13"/>
      <c r="ALB17" s="13"/>
      <c r="ALC17" s="13"/>
      <c r="ALD17" s="13"/>
      <c r="ALE17" s="13"/>
      <c r="ALF17" s="13"/>
      <c r="ALG17" s="13"/>
      <c r="ALH17" s="13"/>
      <c r="ALI17" s="13"/>
      <c r="ALJ17" s="13"/>
      <c r="ALK17" s="13"/>
      <c r="ALL17" s="13"/>
      <c r="ALM17" s="13"/>
      <c r="ALN17" s="13"/>
      <c r="ALO17" s="13"/>
      <c r="ALP17" s="13"/>
      <c r="ALQ17" s="13"/>
      <c r="ALR17" s="13"/>
      <c r="ALS17" s="13"/>
      <c r="ALT17" s="13"/>
      <c r="ALU17" s="13"/>
      <c r="ALV17" s="13"/>
      <c r="ALW17" s="13"/>
      <c r="ALX17" s="13"/>
      <c r="ALY17" s="13"/>
      <c r="ALZ17" s="13"/>
      <c r="AMA17" s="13"/>
      <c r="AMB17" s="13"/>
      <c r="AMC17" s="13"/>
      <c r="AMD17" s="13"/>
      <c r="AME17" s="13"/>
      <c r="AMF17" s="13"/>
      <c r="AMG17" s="13"/>
      <c r="AMH17" s="13"/>
      <c r="AMI17" s="13"/>
      <c r="AMJ17" s="13"/>
      <c r="AMK17" s="13"/>
      <c r="AML17" s="13"/>
      <c r="AMM17" s="13"/>
      <c r="AMN17" s="13"/>
      <c r="AMO17" s="13"/>
      <c r="AMP17" s="13"/>
      <c r="AMQ17" s="13"/>
      <c r="AMR17" s="13"/>
      <c r="AMS17" s="13"/>
      <c r="AMT17" s="13"/>
      <c r="AMU17" s="13"/>
      <c r="AMV17" s="13"/>
      <c r="AMW17" s="13"/>
      <c r="AMX17" s="13"/>
      <c r="AMY17" s="13"/>
      <c r="AMZ17" s="13"/>
      <c r="ANA17" s="13"/>
      <c r="ANB17" s="13"/>
      <c r="ANC17" s="13"/>
      <c r="AND17" s="13"/>
      <c r="ANE17" s="13"/>
      <c r="ANF17" s="13"/>
      <c r="ANG17" s="13"/>
      <c r="ANH17" s="13"/>
      <c r="ANI17" s="13"/>
      <c r="ANJ17" s="13"/>
      <c r="ANK17" s="13"/>
      <c r="ANL17" s="13"/>
      <c r="ANM17" s="13"/>
      <c r="ANN17" s="13"/>
      <c r="ANO17" s="13"/>
      <c r="ANP17" s="13"/>
      <c r="ANQ17" s="13"/>
      <c r="ANR17" s="13"/>
      <c r="ANS17" s="13"/>
      <c r="ANT17" s="13"/>
      <c r="ANU17" s="13"/>
      <c r="ANV17" s="13"/>
      <c r="ANW17" s="13"/>
      <c r="ANX17" s="13"/>
      <c r="ANY17" s="13"/>
      <c r="ANZ17" s="13"/>
      <c r="AOA17" s="13"/>
      <c r="AOB17" s="13"/>
      <c r="AOC17" s="13"/>
      <c r="AOD17" s="13"/>
      <c r="AOE17" s="13"/>
      <c r="AOF17" s="13"/>
      <c r="AOG17" s="13"/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  <c r="APA17" s="13"/>
      <c r="APB17" s="13"/>
      <c r="APC17" s="13"/>
      <c r="APD17" s="13"/>
      <c r="APE17" s="13"/>
      <c r="APF17" s="13"/>
      <c r="APG17" s="13"/>
      <c r="APH17" s="13"/>
      <c r="API17" s="13"/>
      <c r="APJ17" s="13"/>
      <c r="APK17" s="13"/>
      <c r="APL17" s="13"/>
      <c r="APM17" s="13"/>
      <c r="APN17" s="13"/>
      <c r="APO17" s="13"/>
      <c r="APP17" s="13"/>
      <c r="APQ17" s="13"/>
      <c r="APR17" s="13"/>
      <c r="APS17" s="13"/>
      <c r="APT17" s="13"/>
      <c r="APU17" s="13"/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  <c r="ATC17" s="13"/>
      <c r="ATD17" s="13"/>
      <c r="ATE17" s="13"/>
      <c r="ATF17" s="13"/>
      <c r="ATG17" s="13"/>
      <c r="ATH17" s="13"/>
      <c r="ATI17" s="13"/>
      <c r="ATJ17" s="13"/>
      <c r="ATK17" s="13"/>
      <c r="ATL17" s="13"/>
      <c r="ATM17" s="13"/>
      <c r="ATN17" s="13"/>
      <c r="ATO17" s="13"/>
      <c r="ATP17" s="13"/>
      <c r="ATQ17" s="13"/>
      <c r="ATR17" s="13"/>
      <c r="ATS17" s="13"/>
      <c r="ATT17" s="13"/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  <c r="AUT17" s="13"/>
      <c r="AUU17" s="13"/>
      <c r="AUV17" s="13"/>
      <c r="AUW17" s="13"/>
      <c r="AUX17" s="13"/>
      <c r="AUY17" s="13"/>
      <c r="AUZ17" s="13"/>
      <c r="AVA17" s="13"/>
      <c r="AVB17" s="13"/>
      <c r="AVC17" s="13"/>
      <c r="AVD17" s="13"/>
      <c r="AVE17" s="13"/>
      <c r="AVF17" s="13"/>
      <c r="AVG17" s="13"/>
      <c r="AVH17" s="13"/>
      <c r="AVI17" s="13"/>
      <c r="AVJ17" s="13"/>
      <c r="AVK17" s="13"/>
      <c r="AVL17" s="13"/>
      <c r="AVM17" s="13"/>
      <c r="AVN17" s="13"/>
      <c r="AVO17" s="13"/>
      <c r="AVP17" s="13"/>
      <c r="AVQ17" s="13"/>
      <c r="AVR17" s="13"/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  <c r="BAQ17" s="13"/>
      <c r="BAR17" s="13"/>
      <c r="BAS17" s="13"/>
      <c r="BAT17" s="13"/>
      <c r="BAU17" s="13"/>
      <c r="BAV17" s="13"/>
      <c r="BAW17" s="13"/>
      <c r="BAX17" s="13"/>
      <c r="BAY17" s="13"/>
      <c r="BAZ17" s="13"/>
      <c r="BBA17" s="13"/>
      <c r="BBB17" s="13"/>
      <c r="BBC17" s="13"/>
      <c r="BBD17" s="13"/>
      <c r="BBE17" s="13"/>
      <c r="BBF17" s="13"/>
      <c r="BBG17" s="13"/>
      <c r="BBH17" s="13"/>
      <c r="BBI17" s="13"/>
      <c r="BBJ17" s="13"/>
      <c r="BBK17" s="13"/>
      <c r="BBL17" s="13"/>
      <c r="BBM17" s="13"/>
      <c r="BBN17" s="13"/>
      <c r="BBO17" s="13"/>
      <c r="BBP17" s="13"/>
      <c r="BBQ17" s="13"/>
      <c r="BBR17" s="13"/>
      <c r="BBS17" s="13"/>
      <c r="BBT17" s="13"/>
      <c r="BBU17" s="13"/>
      <c r="BBV17" s="13"/>
      <c r="BBW17" s="13"/>
      <c r="BBX17" s="13"/>
      <c r="BBY17" s="13"/>
      <c r="BBZ17" s="13"/>
      <c r="BCA17" s="13"/>
      <c r="BCB17" s="13"/>
      <c r="BCC17" s="13"/>
      <c r="BCD17" s="13"/>
      <c r="BCE17" s="13"/>
      <c r="BCF17" s="13"/>
      <c r="BCG17" s="13"/>
      <c r="BCH17" s="13"/>
      <c r="BCI17" s="13"/>
      <c r="BCJ17" s="13"/>
      <c r="BCK17" s="13"/>
      <c r="BCL17" s="13"/>
      <c r="BCM17" s="13"/>
      <c r="BCN17" s="13"/>
      <c r="BCO17" s="13"/>
      <c r="BCP17" s="13"/>
      <c r="BCQ17" s="13"/>
      <c r="BCR17" s="13"/>
      <c r="BCS17" s="13"/>
      <c r="BCT17" s="13"/>
      <c r="BCU17" s="13"/>
      <c r="BCV17" s="13"/>
      <c r="BCW17" s="13"/>
      <c r="BCX17" s="13"/>
      <c r="BCY17" s="13"/>
      <c r="BCZ17" s="13"/>
      <c r="BDA17" s="13"/>
      <c r="BDB17" s="13"/>
      <c r="BDC17" s="13"/>
      <c r="BDD17" s="13"/>
      <c r="BDE17" s="13"/>
      <c r="BDF17" s="13"/>
      <c r="BDG17" s="13"/>
      <c r="BDH17" s="13"/>
      <c r="BDI17" s="13"/>
      <c r="BDJ17" s="13"/>
      <c r="BDK17" s="13"/>
      <c r="BDL17" s="13"/>
      <c r="BDM17" s="13"/>
      <c r="BDN17" s="13"/>
      <c r="BDO17" s="13"/>
      <c r="BDP17" s="13"/>
      <c r="BDQ17" s="13"/>
      <c r="BDR17" s="13"/>
      <c r="BDS17" s="13"/>
      <c r="BDT17" s="13"/>
      <c r="BDU17" s="13"/>
      <c r="BDV17" s="13"/>
      <c r="BDW17" s="13"/>
      <c r="BDX17" s="13"/>
      <c r="BDY17" s="13"/>
      <c r="BDZ17" s="13"/>
      <c r="BEA17" s="13"/>
      <c r="BEB17" s="13"/>
      <c r="BEC17" s="13"/>
      <c r="BED17" s="13"/>
      <c r="BEE17" s="13"/>
      <c r="BEF17" s="13"/>
      <c r="BEG17" s="13"/>
      <c r="BEH17" s="13"/>
      <c r="BEI17" s="13"/>
      <c r="BEJ17" s="13"/>
      <c r="BEK17" s="13"/>
      <c r="BEL17" s="13"/>
      <c r="BEM17" s="13"/>
      <c r="BEN17" s="13"/>
      <c r="BEO17" s="13"/>
      <c r="BEP17" s="13"/>
      <c r="BEQ17" s="13"/>
      <c r="BER17" s="13"/>
      <c r="BES17" s="13"/>
      <c r="BET17" s="13"/>
      <c r="BEU17" s="13"/>
      <c r="BEV17" s="13"/>
      <c r="BEW17" s="13"/>
      <c r="BEX17" s="13"/>
      <c r="BEY17" s="13"/>
      <c r="BEZ17" s="13"/>
      <c r="BFA17" s="13"/>
      <c r="BFB17" s="13"/>
      <c r="BFC17" s="13"/>
      <c r="BFD17" s="13"/>
      <c r="BFE17" s="13"/>
      <c r="BFF17" s="13"/>
      <c r="BFG17" s="13"/>
      <c r="BFH17" s="13"/>
      <c r="BFI17" s="13"/>
      <c r="BFJ17" s="13"/>
      <c r="BFK17" s="13"/>
      <c r="BFL17" s="13"/>
      <c r="BFM17" s="13"/>
      <c r="BFN17" s="13"/>
      <c r="BFO17" s="13"/>
      <c r="BFP17" s="13"/>
      <c r="BFQ17" s="13"/>
      <c r="BFR17" s="13"/>
      <c r="BFS17" s="13"/>
      <c r="BFT17" s="13"/>
      <c r="BFU17" s="13"/>
      <c r="BFV17" s="13"/>
      <c r="BFW17" s="13"/>
      <c r="BFX17" s="13"/>
      <c r="BFY17" s="13"/>
      <c r="BFZ17" s="13"/>
      <c r="BGA17" s="13"/>
      <c r="BGB17" s="13"/>
      <c r="BGC17" s="13"/>
      <c r="BGD17" s="13"/>
      <c r="BGE17" s="13"/>
      <c r="BGF17" s="13"/>
      <c r="BGG17" s="13"/>
      <c r="BGH17" s="13"/>
      <c r="BGI17" s="13"/>
      <c r="BGJ17" s="13"/>
      <c r="BGK17" s="13"/>
      <c r="BGL17" s="13"/>
      <c r="BGM17" s="13"/>
      <c r="BGN17" s="13"/>
      <c r="BGO17" s="13"/>
      <c r="BGP17" s="13"/>
      <c r="BGQ17" s="13"/>
      <c r="BGR17" s="13"/>
      <c r="BGS17" s="13"/>
      <c r="BGT17" s="13"/>
      <c r="BGU17" s="13"/>
      <c r="BGV17" s="13"/>
      <c r="BGW17" s="13"/>
      <c r="BGX17" s="13"/>
      <c r="BGY17" s="13"/>
      <c r="BGZ17" s="13"/>
      <c r="BHA17" s="13"/>
      <c r="BHB17" s="13"/>
      <c r="BHC17" s="13"/>
      <c r="BHD17" s="13"/>
      <c r="BHE17" s="13"/>
      <c r="BHF17" s="13"/>
      <c r="BHG17" s="13"/>
      <c r="BHH17" s="13"/>
      <c r="BHI17" s="13"/>
      <c r="BHJ17" s="13"/>
      <c r="BHK17" s="13"/>
      <c r="BHL17" s="13"/>
      <c r="BHM17" s="13"/>
      <c r="BHN17" s="13"/>
      <c r="BHO17" s="13"/>
      <c r="BHP17" s="13"/>
      <c r="BHQ17" s="13"/>
      <c r="BHR17" s="13"/>
      <c r="BHS17" s="13"/>
      <c r="BHT17" s="13"/>
      <c r="BHU17" s="13"/>
      <c r="BHV17" s="13"/>
      <c r="BHW17" s="13"/>
      <c r="BHX17" s="13"/>
      <c r="BHY17" s="13"/>
      <c r="BHZ17" s="13"/>
      <c r="BIA17" s="13"/>
      <c r="BIB17" s="13"/>
      <c r="BIC17" s="13"/>
      <c r="BID17" s="13"/>
      <c r="BIE17" s="13"/>
      <c r="BIF17" s="13"/>
      <c r="BIG17" s="13"/>
      <c r="BIH17" s="13"/>
      <c r="BII17" s="13"/>
      <c r="BIJ17" s="13"/>
      <c r="BIK17" s="13"/>
      <c r="BIL17" s="13"/>
      <c r="BIM17" s="13"/>
      <c r="BIN17" s="13"/>
      <c r="BIO17" s="13"/>
      <c r="BIP17" s="13"/>
      <c r="BIQ17" s="13"/>
      <c r="BIR17" s="13"/>
      <c r="BIS17" s="13"/>
      <c r="BIT17" s="13"/>
      <c r="BIU17" s="13"/>
      <c r="BIV17" s="13"/>
      <c r="BIW17" s="13"/>
      <c r="BIX17" s="13"/>
      <c r="BIY17" s="13"/>
      <c r="BIZ17" s="13"/>
      <c r="BJA17" s="13"/>
      <c r="BJB17" s="13"/>
      <c r="BJC17" s="13"/>
      <c r="BJD17" s="13"/>
      <c r="BJE17" s="13"/>
      <c r="BJF17" s="13"/>
      <c r="BJG17" s="13"/>
      <c r="BJH17" s="13"/>
      <c r="BJI17" s="13"/>
      <c r="BJJ17" s="13"/>
      <c r="BJK17" s="13"/>
      <c r="BJL17" s="13"/>
      <c r="BJM17" s="13"/>
      <c r="BJN17" s="13"/>
      <c r="BJO17" s="13"/>
      <c r="BJP17" s="13"/>
      <c r="BJQ17" s="13"/>
      <c r="BJR17" s="13"/>
      <c r="BJS17" s="13"/>
      <c r="BJT17" s="13"/>
      <c r="BJU17" s="13"/>
      <c r="BJV17" s="13"/>
      <c r="BJW17" s="13"/>
      <c r="BJX17" s="13"/>
      <c r="BJY17" s="13"/>
      <c r="BJZ17" s="13"/>
      <c r="BKA17" s="13"/>
      <c r="BKB17" s="13"/>
      <c r="BKC17" s="13"/>
      <c r="BKD17" s="13"/>
      <c r="BKE17" s="13"/>
      <c r="BKF17" s="13"/>
      <c r="BKG17" s="13"/>
      <c r="BKH17" s="13"/>
      <c r="BKI17" s="13"/>
      <c r="BKJ17" s="13"/>
      <c r="BKK17" s="13"/>
      <c r="BKL17" s="13"/>
      <c r="BKM17" s="13"/>
      <c r="BKN17" s="13"/>
      <c r="BKO17" s="13"/>
      <c r="BKP17" s="13"/>
      <c r="BKQ17" s="13"/>
      <c r="BKR17" s="13"/>
      <c r="BKS17" s="13"/>
      <c r="BKT17" s="13"/>
      <c r="BKU17" s="13"/>
      <c r="BKV17" s="13"/>
      <c r="BKW17" s="13"/>
      <c r="BKX17" s="13"/>
      <c r="BKY17" s="13"/>
      <c r="BKZ17" s="13"/>
      <c r="BLA17" s="13"/>
      <c r="BLB17" s="13"/>
      <c r="BLC17" s="13"/>
      <c r="BLD17" s="13"/>
      <c r="BLE17" s="13"/>
      <c r="BLF17" s="13"/>
      <c r="BLG17" s="13"/>
      <c r="BLH17" s="13"/>
      <c r="BLI17" s="13"/>
      <c r="BLJ17" s="13"/>
      <c r="BLK17" s="13"/>
      <c r="BLL17" s="13"/>
      <c r="BLM17" s="13"/>
      <c r="BLN17" s="13"/>
      <c r="BLO17" s="13"/>
      <c r="BLP17" s="13"/>
      <c r="BLQ17" s="13"/>
      <c r="BLR17" s="13"/>
      <c r="BLS17" s="13"/>
      <c r="BLT17" s="13"/>
      <c r="BLU17" s="13"/>
      <c r="BLV17" s="13"/>
      <c r="BLW17" s="13"/>
      <c r="BLX17" s="13"/>
      <c r="BLY17" s="13"/>
      <c r="BLZ17" s="13"/>
      <c r="BMA17" s="13"/>
      <c r="BMB17" s="13"/>
      <c r="BMC17" s="13"/>
      <c r="BMD17" s="13"/>
      <c r="BME17" s="13"/>
      <c r="BMF17" s="13"/>
      <c r="BMG17" s="13"/>
      <c r="BMH17" s="13"/>
      <c r="BMI17" s="13"/>
      <c r="BMJ17" s="13"/>
      <c r="BMK17" s="13"/>
      <c r="BML17" s="13"/>
      <c r="BMM17" s="13"/>
      <c r="BMN17" s="13"/>
      <c r="BMO17" s="13"/>
      <c r="BMP17" s="13"/>
      <c r="BMQ17" s="13"/>
      <c r="BMR17" s="13"/>
      <c r="BMS17" s="13"/>
      <c r="BMT17" s="13"/>
      <c r="BMU17" s="13"/>
      <c r="BMV17" s="13"/>
      <c r="BMW17" s="13"/>
      <c r="BMX17" s="13"/>
      <c r="BMY17" s="13"/>
      <c r="BMZ17" s="13"/>
      <c r="BNA17" s="13"/>
      <c r="BNB17" s="13"/>
      <c r="BNC17" s="13"/>
      <c r="BND17" s="13"/>
      <c r="BNE17" s="13"/>
      <c r="BNF17" s="13"/>
      <c r="BNG17" s="13"/>
      <c r="BNH17" s="13"/>
      <c r="BNI17" s="13"/>
      <c r="BNJ17" s="13"/>
      <c r="BNK17" s="13"/>
      <c r="BNL17" s="13"/>
      <c r="BNM17" s="13"/>
      <c r="BNN17" s="13"/>
      <c r="BNO17" s="13"/>
      <c r="BNP17" s="13"/>
      <c r="BNQ17" s="13"/>
      <c r="BNR17" s="13"/>
      <c r="BNS17" s="13"/>
      <c r="BNT17" s="13"/>
      <c r="BNU17" s="13"/>
      <c r="BNV17" s="13"/>
      <c r="BNW17" s="13"/>
      <c r="BNX17" s="13"/>
      <c r="BNY17" s="13"/>
      <c r="BNZ17" s="13"/>
      <c r="BOA17" s="13"/>
      <c r="BOB17" s="13"/>
      <c r="BOC17" s="13"/>
      <c r="BOD17" s="13"/>
      <c r="BOE17" s="13"/>
      <c r="BOF17" s="13"/>
      <c r="BOG17" s="13"/>
      <c r="BOH17" s="13"/>
      <c r="BOI17" s="13"/>
      <c r="BOJ17" s="13"/>
      <c r="BOK17" s="13"/>
      <c r="BOL17" s="13"/>
      <c r="BOM17" s="13"/>
      <c r="BON17" s="13"/>
      <c r="BOO17" s="13"/>
      <c r="BOP17" s="13"/>
      <c r="BOQ17" s="13"/>
      <c r="BOR17" s="13"/>
      <c r="BOS17" s="13"/>
      <c r="BOT17" s="13"/>
      <c r="BOU17" s="13"/>
      <c r="BOV17" s="13"/>
      <c r="BOW17" s="13"/>
      <c r="BOX17" s="13"/>
      <c r="BOY17" s="13"/>
      <c r="BOZ17" s="13"/>
      <c r="BPA17" s="13"/>
      <c r="BPB17" s="13"/>
      <c r="BPC17" s="13"/>
      <c r="BPD17" s="13"/>
      <c r="BPE17" s="13"/>
      <c r="BPF17" s="13"/>
      <c r="BPG17" s="13"/>
      <c r="BPH17" s="13"/>
      <c r="BPI17" s="13"/>
      <c r="BPJ17" s="13"/>
      <c r="BPK17" s="13"/>
      <c r="BPL17" s="13"/>
      <c r="BPM17" s="13"/>
      <c r="BPN17" s="13"/>
      <c r="BPO17" s="13"/>
      <c r="BPP17" s="13"/>
      <c r="BPQ17" s="13"/>
      <c r="BPR17" s="13"/>
      <c r="BPS17" s="13"/>
      <c r="BPT17" s="13"/>
      <c r="BPU17" s="13"/>
      <c r="BPV17" s="13"/>
      <c r="BPW17" s="13"/>
      <c r="BPX17" s="13"/>
      <c r="BPY17" s="13"/>
      <c r="BPZ17" s="13"/>
      <c r="BQA17" s="13"/>
      <c r="BQB17" s="13"/>
      <c r="BQC17" s="13"/>
      <c r="BQD17" s="13"/>
      <c r="BQE17" s="13"/>
      <c r="BQF17" s="13"/>
      <c r="BQG17" s="13"/>
      <c r="BQH17" s="13"/>
      <c r="BQI17" s="13"/>
      <c r="BQJ17" s="13"/>
      <c r="BQK17" s="13"/>
      <c r="BQL17" s="13"/>
      <c r="BQM17" s="13"/>
      <c r="BQN17" s="13"/>
      <c r="BQO17" s="13"/>
      <c r="BQP17" s="13"/>
      <c r="BQQ17" s="13"/>
      <c r="BQR17" s="13"/>
      <c r="BQS17" s="13"/>
      <c r="BQT17" s="13"/>
      <c r="BQU17" s="13"/>
      <c r="BQV17" s="13"/>
      <c r="BQW17" s="13"/>
      <c r="BQX17" s="13"/>
      <c r="BQY17" s="13"/>
      <c r="BQZ17" s="13"/>
      <c r="BRA17" s="13"/>
      <c r="BRB17" s="13"/>
      <c r="BRC17" s="13"/>
      <c r="BRD17" s="13"/>
      <c r="BRE17" s="13"/>
      <c r="BRF17" s="13"/>
      <c r="BRG17" s="13"/>
      <c r="BRH17" s="13"/>
      <c r="BRI17" s="13"/>
      <c r="BRJ17" s="13"/>
      <c r="BRK17" s="13"/>
      <c r="BRL17" s="13"/>
      <c r="BRM17" s="13"/>
      <c r="BRN17" s="13"/>
      <c r="BRO17" s="13"/>
      <c r="BRP17" s="13"/>
      <c r="BRQ17" s="13"/>
      <c r="BRR17" s="13"/>
      <c r="BRS17" s="13"/>
      <c r="BRT17" s="13"/>
      <c r="BRU17" s="13"/>
      <c r="BRV17" s="13"/>
      <c r="BRW17" s="13"/>
      <c r="BRX17" s="13"/>
      <c r="BRY17" s="13"/>
      <c r="BRZ17" s="13"/>
      <c r="BSA17" s="13"/>
      <c r="BSB17" s="13"/>
      <c r="BSC17" s="13"/>
      <c r="BSD17" s="13"/>
      <c r="BSE17" s="13"/>
      <c r="BSF17" s="13"/>
      <c r="BSG17" s="13"/>
      <c r="BSH17" s="13"/>
      <c r="BSI17" s="13"/>
      <c r="BSJ17" s="13"/>
      <c r="BSK17" s="13"/>
      <c r="BSL17" s="13"/>
      <c r="BSM17" s="13"/>
      <c r="BSN17" s="13"/>
      <c r="BSO17" s="13"/>
      <c r="BSP17" s="13"/>
      <c r="BSQ17" s="13"/>
      <c r="BSR17" s="13"/>
      <c r="BSS17" s="13"/>
      <c r="BST17" s="13"/>
      <c r="BSU17" s="13"/>
      <c r="BSV17" s="13"/>
      <c r="BSW17" s="13"/>
      <c r="BSX17" s="13"/>
      <c r="BSY17" s="13"/>
      <c r="BSZ17" s="13"/>
      <c r="BTA17" s="13"/>
      <c r="BTB17" s="13"/>
      <c r="BTC17" s="13"/>
      <c r="BTD17" s="13"/>
      <c r="BTE17" s="13"/>
      <c r="BTF17" s="13"/>
      <c r="BTG17" s="13"/>
      <c r="BTH17" s="13"/>
      <c r="BTI17" s="13"/>
      <c r="BTJ17" s="13"/>
      <c r="BTK17" s="13"/>
      <c r="BTL17" s="13"/>
      <c r="BTM17" s="13"/>
      <c r="BTN17" s="13"/>
      <c r="BTO17" s="13"/>
      <c r="BTP17" s="13"/>
      <c r="BTQ17" s="13"/>
      <c r="BTR17" s="13"/>
      <c r="BTS17" s="13"/>
      <c r="BTT17" s="13"/>
      <c r="BTU17" s="13"/>
      <c r="BTV17" s="13"/>
      <c r="BTW17" s="13"/>
      <c r="BTX17" s="13"/>
      <c r="BTY17" s="13"/>
      <c r="BTZ17" s="13"/>
      <c r="BUA17" s="13"/>
      <c r="BUB17" s="13"/>
      <c r="BUC17" s="13"/>
      <c r="BUD17" s="13"/>
      <c r="BUE17" s="13"/>
      <c r="BUF17" s="13"/>
      <c r="BUG17" s="13"/>
      <c r="BUH17" s="13"/>
      <c r="BUI17" s="13"/>
      <c r="BUJ17" s="13"/>
      <c r="BUK17" s="13"/>
      <c r="BUL17" s="13"/>
      <c r="BUM17" s="13"/>
      <c r="BUN17" s="13"/>
      <c r="BUO17" s="13"/>
      <c r="BUP17" s="13"/>
      <c r="BUQ17" s="13"/>
      <c r="BUR17" s="13"/>
      <c r="BUS17" s="13"/>
      <c r="BUT17" s="13"/>
      <c r="BUU17" s="13"/>
      <c r="BUV17" s="13"/>
      <c r="BUW17" s="13"/>
      <c r="BUX17" s="13"/>
      <c r="BUY17" s="13"/>
      <c r="BUZ17" s="13"/>
      <c r="BVA17" s="13"/>
      <c r="BVB17" s="13"/>
      <c r="BVC17" s="13"/>
      <c r="BVD17" s="13"/>
      <c r="BVE17" s="13"/>
      <c r="BVF17" s="13"/>
      <c r="BVG17" s="13"/>
      <c r="BVH17" s="13"/>
      <c r="BVI17" s="13"/>
      <c r="BVJ17" s="13"/>
      <c r="BVK17" s="13"/>
      <c r="BVL17" s="13"/>
      <c r="BVM17" s="13"/>
      <c r="BVN17" s="13"/>
      <c r="BVO17" s="13"/>
      <c r="BVP17" s="13"/>
      <c r="BVQ17" s="13"/>
      <c r="BVR17" s="13"/>
      <c r="BVS17" s="13"/>
      <c r="BVT17" s="13"/>
      <c r="BVU17" s="13"/>
      <c r="BVV17" s="13"/>
      <c r="BVW17" s="13"/>
      <c r="BVX17" s="13"/>
      <c r="BVY17" s="13"/>
      <c r="BVZ17" s="13"/>
      <c r="BWA17" s="13"/>
      <c r="BWB17" s="13"/>
      <c r="BWC17" s="13"/>
      <c r="BWD17" s="13"/>
      <c r="BWE17" s="13"/>
      <c r="BWF17" s="13"/>
      <c r="BWG17" s="13"/>
      <c r="BWH17" s="13"/>
      <c r="BWI17" s="13"/>
      <c r="BWJ17" s="13"/>
      <c r="BWK17" s="13"/>
      <c r="BWL17" s="13"/>
      <c r="BWM17" s="13"/>
      <c r="BWN17" s="13"/>
      <c r="BWO17" s="13"/>
      <c r="BWP17" s="13"/>
      <c r="BWQ17" s="13"/>
      <c r="BWR17" s="13"/>
      <c r="BWS17" s="13"/>
      <c r="BWT17" s="13"/>
      <c r="BWU17" s="13"/>
      <c r="BWV17" s="13"/>
      <c r="BWW17" s="13"/>
      <c r="BWX17" s="13"/>
      <c r="BWY17" s="13"/>
      <c r="BWZ17" s="13"/>
      <c r="BXA17" s="13"/>
      <c r="BXB17" s="13"/>
      <c r="BXC17" s="13"/>
      <c r="BXD17" s="13"/>
      <c r="BXE17" s="13"/>
      <c r="BXF17" s="13"/>
      <c r="BXG17" s="13"/>
      <c r="BXH17" s="13"/>
      <c r="BXI17" s="13"/>
      <c r="BXJ17" s="13"/>
      <c r="BXK17" s="13"/>
      <c r="BXL17" s="13"/>
      <c r="BXM17" s="13"/>
      <c r="BXN17" s="13"/>
      <c r="BXO17" s="13"/>
      <c r="BXP17" s="13"/>
      <c r="BXQ17" s="13"/>
      <c r="BXR17" s="13"/>
      <c r="BXS17" s="13"/>
      <c r="BXT17" s="13"/>
      <c r="BXU17" s="13"/>
      <c r="BXV17" s="13"/>
      <c r="BXW17" s="13"/>
      <c r="BXX17" s="13"/>
      <c r="BXY17" s="13"/>
      <c r="BXZ17" s="13"/>
      <c r="BYA17" s="13"/>
      <c r="BYB17" s="13"/>
      <c r="BYC17" s="13"/>
      <c r="BYD17" s="13"/>
      <c r="BYE17" s="13"/>
      <c r="BYF17" s="13"/>
      <c r="BYG17" s="13"/>
      <c r="BYH17" s="13"/>
      <c r="BYI17" s="13"/>
      <c r="BYJ17" s="13"/>
      <c r="BYK17" s="13"/>
      <c r="BYL17" s="13"/>
      <c r="BYM17" s="13"/>
      <c r="BYN17" s="13"/>
      <c r="BYO17" s="13"/>
      <c r="BYP17" s="13"/>
      <c r="BYQ17" s="13"/>
      <c r="BYR17" s="13"/>
      <c r="BYS17" s="13"/>
      <c r="BYT17" s="13"/>
      <c r="BYU17" s="13"/>
      <c r="BYV17" s="13"/>
      <c r="BYW17" s="13"/>
      <c r="BYX17" s="13"/>
      <c r="BYY17" s="13"/>
      <c r="BYZ17" s="13"/>
      <c r="BZA17" s="13"/>
      <c r="BZB17" s="13"/>
      <c r="BZC17" s="13"/>
      <c r="BZD17" s="13"/>
      <c r="BZE17" s="13"/>
      <c r="BZF17" s="13"/>
      <c r="BZG17" s="13"/>
      <c r="BZH17" s="13"/>
      <c r="BZI17" s="13"/>
      <c r="BZJ17" s="13"/>
      <c r="BZK17" s="13"/>
      <c r="BZL17" s="13"/>
      <c r="BZM17" s="13"/>
      <c r="BZN17" s="13"/>
      <c r="BZO17" s="13"/>
      <c r="BZP17" s="13"/>
      <c r="BZQ17" s="13"/>
      <c r="BZR17" s="13"/>
      <c r="BZS17" s="13"/>
      <c r="BZT17" s="13"/>
      <c r="BZU17" s="13"/>
      <c r="BZV17" s="13"/>
      <c r="BZW17" s="13"/>
      <c r="BZX17" s="13"/>
      <c r="BZY17" s="13"/>
      <c r="BZZ17" s="13"/>
      <c r="CAA17" s="13"/>
      <c r="CAB17" s="13"/>
      <c r="CAC17" s="13"/>
      <c r="CAD17" s="13"/>
      <c r="CAE17" s="13"/>
      <c r="CAF17" s="13"/>
      <c r="CAG17" s="13"/>
      <c r="CAH17" s="13"/>
      <c r="CAI17" s="13"/>
      <c r="CAJ17" s="13"/>
      <c r="CAK17" s="13"/>
      <c r="CAL17" s="13"/>
      <c r="CAM17" s="13"/>
      <c r="CAN17" s="13"/>
      <c r="CAO17" s="13"/>
      <c r="CAP17" s="13"/>
      <c r="CAQ17" s="13"/>
      <c r="CAR17" s="13"/>
      <c r="CAS17" s="13"/>
      <c r="CAT17" s="13"/>
      <c r="CAU17" s="13"/>
      <c r="CAV17" s="13"/>
      <c r="CAW17" s="13"/>
      <c r="CAX17" s="13"/>
      <c r="CAY17" s="13"/>
      <c r="CAZ17" s="13"/>
      <c r="CBA17" s="13"/>
      <c r="CBB17" s="13"/>
      <c r="CBC17" s="13"/>
      <c r="CBD17" s="13"/>
      <c r="CBE17" s="13"/>
      <c r="CBF17" s="13"/>
      <c r="CBG17" s="13"/>
      <c r="CBH17" s="13"/>
      <c r="CBI17" s="13"/>
      <c r="CBJ17" s="13"/>
      <c r="CBK17" s="13"/>
      <c r="CBL17" s="13"/>
      <c r="CBM17" s="13"/>
      <c r="CBN17" s="13"/>
      <c r="CBO17" s="13"/>
      <c r="CBP17" s="13"/>
      <c r="CBQ17" s="13"/>
      <c r="CBR17" s="13"/>
      <c r="CBS17" s="13"/>
      <c r="CBT17" s="13"/>
      <c r="CBU17" s="13"/>
      <c r="CBV17" s="13"/>
      <c r="CBW17" s="13"/>
      <c r="CBX17" s="13"/>
      <c r="CBY17" s="13"/>
      <c r="CBZ17" s="13"/>
      <c r="CCA17" s="13"/>
      <c r="CCB17" s="13"/>
      <c r="CCC17" s="13"/>
      <c r="CCD17" s="13"/>
      <c r="CCE17" s="13"/>
      <c r="CCF17" s="13"/>
      <c r="CCG17" s="13"/>
      <c r="CCH17" s="13"/>
      <c r="CCI17" s="13"/>
      <c r="CCJ17" s="13"/>
      <c r="CCK17" s="13"/>
      <c r="CCL17" s="13"/>
      <c r="CCM17" s="13"/>
      <c r="CCN17" s="13"/>
      <c r="CCO17" s="13"/>
      <c r="CCP17" s="13"/>
      <c r="CCQ17" s="13"/>
      <c r="CCR17" s="13"/>
      <c r="CCS17" s="13"/>
      <c r="CCT17" s="13"/>
      <c r="CCU17" s="13"/>
      <c r="CCV17" s="13"/>
      <c r="CCW17" s="13"/>
      <c r="CCX17" s="13"/>
      <c r="CCY17" s="13"/>
      <c r="CCZ17" s="13"/>
      <c r="CDA17" s="13"/>
      <c r="CDB17" s="13"/>
      <c r="CDC17" s="13"/>
      <c r="CDD17" s="13"/>
      <c r="CDE17" s="13"/>
      <c r="CDF17" s="13"/>
      <c r="CDG17" s="13"/>
      <c r="CDH17" s="13"/>
      <c r="CDI17" s="13"/>
      <c r="CDJ17" s="13"/>
      <c r="CDK17" s="13"/>
      <c r="CDL17" s="13"/>
      <c r="CDM17" s="13"/>
      <c r="CDN17" s="13"/>
      <c r="CDO17" s="13"/>
      <c r="CDP17" s="13"/>
      <c r="CDQ17" s="13"/>
      <c r="CDR17" s="13"/>
      <c r="CDS17" s="13"/>
      <c r="CDT17" s="13"/>
      <c r="CDU17" s="13"/>
      <c r="CDV17" s="13"/>
      <c r="CDW17" s="13"/>
      <c r="CDX17" s="13"/>
      <c r="CDY17" s="13"/>
      <c r="CDZ17" s="13"/>
      <c r="CEA17" s="13"/>
      <c r="CEB17" s="13"/>
      <c r="CEC17" s="13"/>
      <c r="CED17" s="13"/>
      <c r="CEE17" s="13"/>
      <c r="CEF17" s="13"/>
      <c r="CEG17" s="13"/>
      <c r="CEH17" s="13"/>
      <c r="CEI17" s="13"/>
      <c r="CEJ17" s="13"/>
      <c r="CEK17" s="13"/>
      <c r="CEL17" s="13"/>
      <c r="CEM17" s="13"/>
      <c r="CEN17" s="13"/>
      <c r="CEO17" s="13"/>
      <c r="CEP17" s="13"/>
      <c r="CEQ17" s="13"/>
      <c r="CER17" s="13"/>
      <c r="CES17" s="13"/>
      <c r="CET17" s="13"/>
      <c r="CEU17" s="13"/>
      <c r="CEV17" s="13"/>
      <c r="CEW17" s="13"/>
      <c r="CEX17" s="13"/>
      <c r="CEY17" s="13"/>
      <c r="CEZ17" s="13"/>
      <c r="CFA17" s="13"/>
      <c r="CFB17" s="13"/>
      <c r="CFC17" s="13"/>
      <c r="CFD17" s="13"/>
      <c r="CFE17" s="13"/>
      <c r="CFF17" s="13"/>
      <c r="CFG17" s="13"/>
      <c r="CFH17" s="13"/>
      <c r="CFI17" s="13"/>
      <c r="CFJ17" s="13"/>
      <c r="CFK17" s="13"/>
      <c r="CFL17" s="13"/>
      <c r="CFM17" s="13"/>
      <c r="CFN17" s="13"/>
      <c r="CFO17" s="13"/>
      <c r="CFP17" s="13"/>
      <c r="CFQ17" s="13"/>
      <c r="CFR17" s="13"/>
      <c r="CFS17" s="13"/>
      <c r="CFT17" s="13"/>
      <c r="CFU17" s="13"/>
      <c r="CFV17" s="13"/>
      <c r="CFW17" s="13"/>
      <c r="CFX17" s="13"/>
      <c r="CFY17" s="13"/>
      <c r="CFZ17" s="13"/>
      <c r="CGA17" s="13"/>
      <c r="CGB17" s="13"/>
      <c r="CGC17" s="13"/>
      <c r="CGD17" s="13"/>
      <c r="CGE17" s="13"/>
      <c r="CGF17" s="13"/>
      <c r="CGG17" s="13"/>
      <c r="CGH17" s="13"/>
      <c r="CGI17" s="13"/>
      <c r="CGJ17" s="13"/>
      <c r="CGK17" s="13"/>
      <c r="CGL17" s="13"/>
      <c r="CGM17" s="13"/>
      <c r="CGN17" s="13"/>
      <c r="CGO17" s="13"/>
      <c r="CGP17" s="13"/>
      <c r="CGQ17" s="13"/>
      <c r="CGR17" s="13"/>
      <c r="CGS17" s="13"/>
      <c r="CGT17" s="13"/>
      <c r="CGU17" s="13"/>
      <c r="CGV17" s="13"/>
      <c r="CGW17" s="13"/>
      <c r="CGX17" s="13"/>
      <c r="CGY17" s="13"/>
      <c r="CGZ17" s="13"/>
      <c r="CHA17" s="13"/>
      <c r="CHB17" s="13"/>
      <c r="CHC17" s="13"/>
      <c r="CHD17" s="13"/>
      <c r="CHE17" s="13"/>
      <c r="CHF17" s="13"/>
      <c r="CHG17" s="13"/>
      <c r="CHH17" s="13"/>
      <c r="CHI17" s="13"/>
      <c r="CHJ17" s="13"/>
      <c r="CHK17" s="13"/>
      <c r="CHL17" s="13"/>
      <c r="CHM17" s="13"/>
      <c r="CHN17" s="13"/>
      <c r="CHO17" s="13"/>
      <c r="CHP17" s="13"/>
      <c r="CHQ17" s="13"/>
      <c r="CHR17" s="13"/>
      <c r="CHS17" s="13"/>
      <c r="CHT17" s="13"/>
      <c r="CHU17" s="13"/>
      <c r="CHV17" s="13"/>
      <c r="CHW17" s="13"/>
      <c r="CHX17" s="13"/>
      <c r="CHY17" s="13"/>
      <c r="CHZ17" s="13"/>
      <c r="CIA17" s="13"/>
      <c r="CIB17" s="13"/>
      <c r="CIC17" s="13"/>
      <c r="CID17" s="13"/>
      <c r="CIE17" s="13"/>
      <c r="CIF17" s="13"/>
      <c r="CIG17" s="13"/>
      <c r="CIH17" s="13"/>
      <c r="CII17" s="13"/>
      <c r="CIJ17" s="13"/>
      <c r="CIK17" s="13"/>
      <c r="CIL17" s="13"/>
      <c r="CIM17" s="13"/>
      <c r="CIN17" s="13"/>
      <c r="CIO17" s="13"/>
      <c r="CIP17" s="13"/>
      <c r="CIQ17" s="13"/>
      <c r="CIR17" s="13"/>
      <c r="CIS17" s="13"/>
      <c r="CIT17" s="13"/>
      <c r="CIU17" s="13"/>
      <c r="CIV17" s="13"/>
      <c r="CIW17" s="13"/>
      <c r="CIX17" s="13"/>
      <c r="CIY17" s="13"/>
      <c r="CIZ17" s="13"/>
      <c r="CJA17" s="13"/>
      <c r="CJB17" s="13"/>
      <c r="CJC17" s="13"/>
      <c r="CJD17" s="13"/>
      <c r="CJE17" s="13"/>
      <c r="CJF17" s="13"/>
      <c r="CJG17" s="13"/>
      <c r="CJH17" s="13"/>
      <c r="CJI17" s="13"/>
      <c r="CJJ17" s="13"/>
      <c r="CJK17" s="13"/>
      <c r="CJL17" s="13"/>
      <c r="CJM17" s="13"/>
      <c r="CJN17" s="13"/>
      <c r="CJO17" s="13"/>
      <c r="CJP17" s="13"/>
      <c r="CJQ17" s="13"/>
      <c r="CJR17" s="13"/>
      <c r="CJS17" s="13"/>
      <c r="CJT17" s="13"/>
      <c r="CJU17" s="13"/>
      <c r="CJV17" s="13"/>
      <c r="CJW17" s="13"/>
      <c r="CJX17" s="13"/>
      <c r="CJY17" s="13"/>
      <c r="CJZ17" s="13"/>
      <c r="CKA17" s="13"/>
      <c r="CKB17" s="13"/>
      <c r="CKC17" s="13"/>
      <c r="CKD17" s="13"/>
      <c r="CKE17" s="13"/>
      <c r="CKF17" s="13"/>
      <c r="CKG17" s="13"/>
      <c r="CKH17" s="13"/>
      <c r="CKI17" s="13"/>
      <c r="CKJ17" s="13"/>
      <c r="CKK17" s="13"/>
      <c r="CKL17" s="13"/>
      <c r="CKM17" s="13"/>
      <c r="CKN17" s="13"/>
      <c r="CKO17" s="13"/>
      <c r="CKP17" s="13"/>
      <c r="CKQ17" s="13"/>
      <c r="CKR17" s="13"/>
      <c r="CKS17" s="13"/>
      <c r="CKT17" s="13"/>
      <c r="CKU17" s="13"/>
      <c r="CKV17" s="13"/>
      <c r="CKW17" s="13"/>
      <c r="CKX17" s="13"/>
      <c r="CKY17" s="13"/>
      <c r="CKZ17" s="13"/>
      <c r="CLA17" s="13"/>
      <c r="CLB17" s="13"/>
      <c r="CLC17" s="13"/>
      <c r="CLD17" s="13"/>
      <c r="CLE17" s="13"/>
      <c r="CLF17" s="13"/>
      <c r="CLG17" s="13"/>
      <c r="CLH17" s="13"/>
      <c r="CLI17" s="13"/>
      <c r="CLJ17" s="13"/>
      <c r="CLK17" s="13"/>
      <c r="CLL17" s="13"/>
      <c r="CLM17" s="13"/>
      <c r="CLN17" s="13"/>
      <c r="CLO17" s="13"/>
      <c r="CLP17" s="13"/>
      <c r="CLQ17" s="13"/>
      <c r="CLR17" s="13"/>
      <c r="CLS17" s="13"/>
      <c r="CLT17" s="13"/>
      <c r="CLU17" s="13"/>
      <c r="CLV17" s="13"/>
      <c r="CLW17" s="13"/>
      <c r="CLX17" s="13"/>
      <c r="CLY17" s="13"/>
      <c r="CLZ17" s="13"/>
      <c r="CMA17" s="13"/>
      <c r="CMB17" s="13"/>
      <c r="CMC17" s="13"/>
      <c r="CMD17" s="13"/>
      <c r="CME17" s="13"/>
      <c r="CMF17" s="13"/>
      <c r="CMG17" s="13"/>
      <c r="CMH17" s="13"/>
      <c r="CMI17" s="13"/>
      <c r="CMJ17" s="13"/>
      <c r="CMK17" s="13"/>
      <c r="CML17" s="13"/>
      <c r="CMM17" s="13"/>
      <c r="CMN17" s="13"/>
      <c r="CMO17" s="13"/>
      <c r="CMP17" s="13"/>
      <c r="CMQ17" s="13"/>
      <c r="CMR17" s="13"/>
      <c r="CMS17" s="13"/>
      <c r="CMT17" s="13"/>
      <c r="CMU17" s="13"/>
      <c r="CMV17" s="13"/>
      <c r="CMW17" s="13"/>
      <c r="CMX17" s="13"/>
      <c r="CMY17" s="13"/>
      <c r="CMZ17" s="13"/>
      <c r="CNA17" s="13"/>
      <c r="CNB17" s="13"/>
      <c r="CNC17" s="13"/>
      <c r="CND17" s="13"/>
      <c r="CNE17" s="13"/>
      <c r="CNF17" s="13"/>
      <c r="CNG17" s="13"/>
      <c r="CNH17" s="13"/>
      <c r="CNI17" s="13"/>
      <c r="CNJ17" s="13"/>
      <c r="CNK17" s="13"/>
      <c r="CNL17" s="13"/>
      <c r="CNM17" s="13"/>
      <c r="CNN17" s="13"/>
      <c r="CNO17" s="13"/>
      <c r="CNP17" s="13"/>
      <c r="CNQ17" s="13"/>
      <c r="CNR17" s="13"/>
      <c r="CNS17" s="13"/>
      <c r="CNT17" s="13"/>
      <c r="CNU17" s="13"/>
      <c r="CNV17" s="13"/>
      <c r="CNW17" s="13"/>
      <c r="CNX17" s="13"/>
      <c r="CNY17" s="13"/>
      <c r="CNZ17" s="13"/>
      <c r="COA17" s="13"/>
      <c r="COB17" s="13"/>
      <c r="COC17" s="13"/>
      <c r="COD17" s="13"/>
      <c r="COE17" s="13"/>
      <c r="COF17" s="13"/>
      <c r="COG17" s="13"/>
      <c r="COH17" s="13"/>
      <c r="COI17" s="13"/>
      <c r="COJ17" s="13"/>
      <c r="COK17" s="13"/>
      <c r="COL17" s="13"/>
      <c r="COM17" s="13"/>
      <c r="CON17" s="13"/>
      <c r="COO17" s="13"/>
      <c r="COP17" s="13"/>
      <c r="COQ17" s="13"/>
      <c r="COR17" s="13"/>
      <c r="COS17" s="13"/>
      <c r="COT17" s="13"/>
      <c r="COU17" s="13"/>
      <c r="COV17" s="13"/>
      <c r="COW17" s="13"/>
      <c r="COX17" s="13"/>
      <c r="COY17" s="13"/>
      <c r="COZ17" s="13"/>
      <c r="CPA17" s="13"/>
      <c r="CPB17" s="13"/>
      <c r="CPC17" s="13"/>
      <c r="CPD17" s="13"/>
      <c r="CPE17" s="13"/>
      <c r="CPF17" s="13"/>
      <c r="CPG17" s="13"/>
      <c r="CPH17" s="13"/>
      <c r="CPI17" s="13"/>
      <c r="CPJ17" s="13"/>
      <c r="CPK17" s="13"/>
      <c r="CPL17" s="13"/>
      <c r="CPM17" s="13"/>
      <c r="CPN17" s="13"/>
      <c r="CPO17" s="13"/>
      <c r="CPP17" s="13"/>
      <c r="CPQ17" s="13"/>
      <c r="CPR17" s="13"/>
      <c r="CPS17" s="13"/>
      <c r="CPT17" s="13"/>
      <c r="CPU17" s="13"/>
      <c r="CPV17" s="13"/>
      <c r="CPW17" s="13"/>
      <c r="CPX17" s="13"/>
      <c r="CPY17" s="13"/>
      <c r="CPZ17" s="13"/>
      <c r="CQA17" s="13"/>
      <c r="CQB17" s="13"/>
      <c r="CQC17" s="13"/>
      <c r="CQD17" s="13"/>
      <c r="CQE17" s="13"/>
      <c r="CQF17" s="13"/>
      <c r="CQG17" s="13"/>
      <c r="CQH17" s="13"/>
      <c r="CQI17" s="13"/>
      <c r="CQJ17" s="13"/>
      <c r="CQK17" s="13"/>
      <c r="CQL17" s="13"/>
      <c r="CQM17" s="13"/>
      <c r="CQN17" s="13"/>
      <c r="CQO17" s="13"/>
      <c r="CQP17" s="13"/>
      <c r="CQQ17" s="13"/>
      <c r="CQR17" s="13"/>
      <c r="CQS17" s="13"/>
      <c r="CQT17" s="13"/>
      <c r="CQU17" s="13"/>
      <c r="CQV17" s="13"/>
      <c r="CQW17" s="13"/>
      <c r="CQX17" s="13"/>
      <c r="CQY17" s="13"/>
      <c r="CQZ17" s="13"/>
      <c r="CRA17" s="13"/>
      <c r="CRB17" s="13"/>
      <c r="CRC17" s="13"/>
      <c r="CRD17" s="13"/>
      <c r="CRE17" s="13"/>
      <c r="CRF17" s="13"/>
      <c r="CRG17" s="13"/>
      <c r="CRH17" s="13"/>
      <c r="CRI17" s="13"/>
      <c r="CRJ17" s="13"/>
      <c r="CRK17" s="13"/>
      <c r="CRL17" s="13"/>
      <c r="CRM17" s="13"/>
      <c r="CRN17" s="13"/>
      <c r="CRO17" s="13"/>
      <c r="CRP17" s="13"/>
      <c r="CRQ17" s="13"/>
      <c r="CRR17" s="13"/>
      <c r="CRS17" s="13"/>
      <c r="CRT17" s="13"/>
      <c r="CRU17" s="13"/>
      <c r="CRV17" s="13"/>
      <c r="CRW17" s="13"/>
      <c r="CRX17" s="13"/>
      <c r="CRY17" s="13"/>
      <c r="CRZ17" s="13"/>
      <c r="CSA17" s="13"/>
      <c r="CSB17" s="13"/>
      <c r="CSC17" s="13"/>
      <c r="CSD17" s="13"/>
      <c r="CSE17" s="13"/>
      <c r="CSF17" s="13"/>
      <c r="CSG17" s="13"/>
      <c r="CSH17" s="13"/>
      <c r="CSI17" s="13"/>
      <c r="CSJ17" s="13"/>
      <c r="CSK17" s="13"/>
      <c r="CSL17" s="13"/>
      <c r="CSM17" s="13"/>
      <c r="CSN17" s="13"/>
      <c r="CSO17" s="13"/>
      <c r="CSP17" s="13"/>
      <c r="CSQ17" s="13"/>
      <c r="CSR17" s="13"/>
      <c r="CSS17" s="13"/>
      <c r="CST17" s="13"/>
      <c r="CSU17" s="13"/>
      <c r="CSV17" s="13"/>
      <c r="CSW17" s="13"/>
      <c r="CSX17" s="13"/>
      <c r="CSY17" s="13"/>
      <c r="CSZ17" s="13"/>
      <c r="CTA17" s="13"/>
      <c r="CTB17" s="13"/>
      <c r="CTC17" s="13"/>
      <c r="CTD17" s="13"/>
      <c r="CTE17" s="13"/>
      <c r="CTF17" s="13"/>
      <c r="CTG17" s="13"/>
      <c r="CTH17" s="13"/>
      <c r="CTI17" s="13"/>
      <c r="CTJ17" s="13"/>
      <c r="CTK17" s="13"/>
      <c r="CTL17" s="13"/>
      <c r="CTM17" s="13"/>
      <c r="CTN17" s="13"/>
      <c r="CTO17" s="13"/>
      <c r="CTP17" s="13"/>
      <c r="CTQ17" s="13"/>
      <c r="CTR17" s="13"/>
      <c r="CTS17" s="13"/>
      <c r="CTT17" s="13"/>
      <c r="CTU17" s="13"/>
      <c r="CTV17" s="13"/>
      <c r="CTW17" s="13"/>
      <c r="CTX17" s="13"/>
      <c r="CTY17" s="13"/>
      <c r="CTZ17" s="13"/>
      <c r="CUA17" s="13"/>
      <c r="CUB17" s="13"/>
      <c r="CUC17" s="13"/>
      <c r="CUD17" s="13"/>
      <c r="CUE17" s="13"/>
      <c r="CUF17" s="13"/>
      <c r="CUG17" s="13"/>
      <c r="CUH17" s="13"/>
      <c r="CUI17" s="13"/>
      <c r="CUJ17" s="13"/>
      <c r="CUK17" s="13"/>
      <c r="CUL17" s="13"/>
      <c r="CUM17" s="13"/>
      <c r="CUN17" s="13"/>
      <c r="CUO17" s="13"/>
      <c r="CUP17" s="13"/>
      <c r="CUQ17" s="13"/>
      <c r="CUR17" s="13"/>
      <c r="CUS17" s="13"/>
      <c r="CUT17" s="13"/>
      <c r="CUU17" s="13"/>
      <c r="CUV17" s="13"/>
      <c r="CUW17" s="13"/>
      <c r="CUX17" s="13"/>
      <c r="CUY17" s="13"/>
      <c r="CUZ17" s="13"/>
      <c r="CVA17" s="13"/>
      <c r="CVB17" s="13"/>
      <c r="CVC17" s="13"/>
      <c r="CVD17" s="13"/>
      <c r="CVE17" s="13"/>
      <c r="CVF17" s="13"/>
      <c r="CVG17" s="13"/>
      <c r="CVH17" s="13"/>
      <c r="CVI17" s="13"/>
      <c r="CVJ17" s="13"/>
      <c r="CVK17" s="13"/>
      <c r="CVL17" s="13"/>
      <c r="CVM17" s="13"/>
      <c r="CVN17" s="13"/>
      <c r="CVO17" s="13"/>
      <c r="CVP17" s="13"/>
      <c r="CVQ17" s="13"/>
      <c r="CVR17" s="13"/>
      <c r="CVS17" s="13"/>
      <c r="CVT17" s="13"/>
      <c r="CVU17" s="13"/>
      <c r="CVV17" s="13"/>
      <c r="CVW17" s="13"/>
      <c r="CVX17" s="13"/>
      <c r="CVY17" s="13"/>
      <c r="CVZ17" s="13"/>
      <c r="CWA17" s="13"/>
      <c r="CWB17" s="13"/>
      <c r="CWC17" s="13"/>
      <c r="CWD17" s="13"/>
      <c r="CWE17" s="13"/>
      <c r="CWF17" s="13"/>
      <c r="CWG17" s="13"/>
      <c r="CWH17" s="13"/>
      <c r="CWI17" s="13"/>
      <c r="CWJ17" s="13"/>
      <c r="CWK17" s="13"/>
      <c r="CWL17" s="13"/>
      <c r="CWM17" s="13"/>
      <c r="CWN17" s="13"/>
      <c r="CWO17" s="13"/>
      <c r="CWP17" s="13"/>
      <c r="CWQ17" s="13"/>
      <c r="CWR17" s="13"/>
      <c r="CWS17" s="13"/>
      <c r="CWT17" s="13"/>
      <c r="CWU17" s="13"/>
      <c r="CWV17" s="13"/>
      <c r="CWW17" s="13"/>
      <c r="CWX17" s="13"/>
      <c r="CWY17" s="13"/>
      <c r="CWZ17" s="13"/>
      <c r="CXA17" s="13"/>
      <c r="CXB17" s="13"/>
      <c r="CXC17" s="13"/>
      <c r="CXD17" s="13"/>
      <c r="CXE17" s="13"/>
      <c r="CXF17" s="13"/>
      <c r="CXG17" s="13"/>
      <c r="CXH17" s="13"/>
      <c r="CXI17" s="13"/>
      <c r="CXJ17" s="13"/>
      <c r="CXK17" s="13"/>
      <c r="CXL17" s="13"/>
      <c r="CXM17" s="13"/>
      <c r="CXN17" s="13"/>
      <c r="CXO17" s="13"/>
      <c r="CXP17" s="13"/>
      <c r="CXQ17" s="13"/>
      <c r="CXR17" s="13"/>
      <c r="CXS17" s="13"/>
      <c r="CXT17" s="13"/>
      <c r="CXU17" s="13"/>
      <c r="CXV17" s="13"/>
      <c r="CXW17" s="13"/>
      <c r="CXX17" s="13"/>
      <c r="CXY17" s="13"/>
      <c r="CXZ17" s="13"/>
      <c r="CYA17" s="13"/>
      <c r="CYB17" s="13"/>
      <c r="CYC17" s="13"/>
      <c r="CYD17" s="13"/>
      <c r="CYE17" s="13"/>
      <c r="CYF17" s="13"/>
      <c r="CYG17" s="13"/>
      <c r="CYH17" s="13"/>
      <c r="CYI17" s="13"/>
      <c r="CYJ17" s="13"/>
      <c r="CYK17" s="13"/>
      <c r="CYL17" s="13"/>
      <c r="CYM17" s="13"/>
      <c r="CYN17" s="13"/>
      <c r="CYO17" s="13"/>
      <c r="CYP17" s="13"/>
      <c r="CYQ17" s="13"/>
      <c r="CYR17" s="13"/>
      <c r="CYS17" s="13"/>
      <c r="CYT17" s="13"/>
      <c r="CYU17" s="13"/>
      <c r="CYV17" s="13"/>
      <c r="CYW17" s="13"/>
      <c r="CYX17" s="13"/>
      <c r="CYY17" s="13"/>
      <c r="CYZ17" s="13"/>
      <c r="CZA17" s="13"/>
      <c r="CZB17" s="13"/>
      <c r="CZC17" s="13"/>
      <c r="CZD17" s="13"/>
      <c r="CZE17" s="13"/>
      <c r="CZF17" s="13"/>
      <c r="CZG17" s="13"/>
      <c r="CZH17" s="13"/>
      <c r="CZI17" s="13"/>
      <c r="CZJ17" s="13"/>
      <c r="CZK17" s="13"/>
      <c r="CZL17" s="13"/>
      <c r="CZM17" s="13"/>
      <c r="CZN17" s="13"/>
      <c r="CZO17" s="13"/>
      <c r="CZP17" s="13"/>
      <c r="CZQ17" s="13"/>
      <c r="CZR17" s="13"/>
      <c r="CZS17" s="13"/>
      <c r="CZT17" s="13"/>
      <c r="CZU17" s="13"/>
      <c r="CZV17" s="13"/>
      <c r="CZW17" s="13"/>
      <c r="CZX17" s="13"/>
      <c r="CZY17" s="13"/>
      <c r="CZZ17" s="13"/>
      <c r="DAA17" s="13"/>
      <c r="DAB17" s="13"/>
      <c r="DAC17" s="13"/>
      <c r="DAD17" s="13"/>
      <c r="DAE17" s="13"/>
      <c r="DAF17" s="13"/>
      <c r="DAG17" s="13"/>
      <c r="DAH17" s="13"/>
      <c r="DAI17" s="13"/>
      <c r="DAJ17" s="13"/>
      <c r="DAK17" s="13"/>
      <c r="DAL17" s="13"/>
      <c r="DAM17" s="13"/>
      <c r="DAN17" s="13"/>
      <c r="DAO17" s="13"/>
      <c r="DAP17" s="13"/>
      <c r="DAQ17" s="13"/>
      <c r="DAR17" s="13"/>
      <c r="DAS17" s="13"/>
      <c r="DAT17" s="13"/>
      <c r="DAU17" s="13"/>
      <c r="DAV17" s="13"/>
      <c r="DAW17" s="13"/>
      <c r="DAX17" s="13"/>
      <c r="DAY17" s="13"/>
      <c r="DAZ17" s="13"/>
      <c r="DBA17" s="13"/>
      <c r="DBB17" s="13"/>
      <c r="DBC17" s="13"/>
      <c r="DBD17" s="13"/>
      <c r="DBE17" s="13"/>
      <c r="DBF17" s="13"/>
      <c r="DBG17" s="13"/>
      <c r="DBH17" s="13"/>
      <c r="DBI17" s="13"/>
      <c r="DBJ17" s="13"/>
      <c r="DBK17" s="13"/>
      <c r="DBL17" s="13"/>
      <c r="DBM17" s="13"/>
      <c r="DBN17" s="13"/>
      <c r="DBO17" s="13"/>
      <c r="DBP17" s="13"/>
      <c r="DBQ17" s="13"/>
      <c r="DBR17" s="13"/>
      <c r="DBS17" s="13"/>
      <c r="DBT17" s="13"/>
      <c r="DBU17" s="13"/>
      <c r="DBV17" s="13"/>
      <c r="DBW17" s="13"/>
      <c r="DBX17" s="13"/>
      <c r="DBY17" s="13"/>
      <c r="DBZ17" s="13"/>
      <c r="DCA17" s="13"/>
      <c r="DCB17" s="13"/>
      <c r="DCC17" s="13"/>
      <c r="DCD17" s="13"/>
      <c r="DCE17" s="13"/>
      <c r="DCF17" s="13"/>
      <c r="DCG17" s="13"/>
      <c r="DCH17" s="13"/>
      <c r="DCI17" s="13"/>
      <c r="DCJ17" s="13"/>
      <c r="DCK17" s="13"/>
      <c r="DCL17" s="13"/>
      <c r="DCM17" s="13"/>
      <c r="DCN17" s="13"/>
      <c r="DCO17" s="13"/>
      <c r="DCP17" s="13"/>
      <c r="DCQ17" s="13"/>
      <c r="DCR17" s="13"/>
      <c r="DCS17" s="13"/>
      <c r="DCT17" s="13"/>
      <c r="DCU17" s="13"/>
      <c r="DCV17" s="13"/>
      <c r="DCW17" s="13"/>
      <c r="DCX17" s="13"/>
      <c r="DCY17" s="13"/>
      <c r="DCZ17" s="13"/>
      <c r="DDA17" s="13"/>
      <c r="DDB17" s="13"/>
      <c r="DDC17" s="13"/>
      <c r="DDD17" s="13"/>
      <c r="DDE17" s="13"/>
      <c r="DDF17" s="13"/>
      <c r="DDG17" s="13"/>
      <c r="DDH17" s="13"/>
      <c r="DDI17" s="13"/>
      <c r="DDJ17" s="13"/>
      <c r="DDK17" s="13"/>
      <c r="DDL17" s="13"/>
      <c r="DDM17" s="13"/>
      <c r="DDN17" s="13"/>
      <c r="DDO17" s="13"/>
      <c r="DDP17" s="13"/>
      <c r="DDQ17" s="13"/>
      <c r="DDR17" s="13"/>
      <c r="DDS17" s="13"/>
      <c r="DDT17" s="13"/>
      <c r="DDU17" s="13"/>
      <c r="DDV17" s="13"/>
      <c r="DDW17" s="13"/>
      <c r="DDX17" s="13"/>
      <c r="DDY17" s="13"/>
      <c r="DDZ17" s="13"/>
      <c r="DEA17" s="13"/>
      <c r="DEB17" s="13"/>
      <c r="DEC17" s="13"/>
      <c r="DED17" s="13"/>
      <c r="DEE17" s="13"/>
      <c r="DEF17" s="13"/>
      <c r="DEG17" s="13"/>
      <c r="DEH17" s="13"/>
      <c r="DEI17" s="13"/>
      <c r="DEJ17" s="13"/>
      <c r="DEK17" s="13"/>
      <c r="DEL17" s="13"/>
      <c r="DEM17" s="13"/>
      <c r="DEN17" s="13"/>
      <c r="DEO17" s="13"/>
      <c r="DEP17" s="13"/>
      <c r="DEQ17" s="13"/>
      <c r="DER17" s="13"/>
      <c r="DES17" s="13"/>
      <c r="DET17" s="13"/>
      <c r="DEU17" s="13"/>
      <c r="DEV17" s="13"/>
      <c r="DEW17" s="13"/>
      <c r="DEX17" s="13"/>
      <c r="DEY17" s="13"/>
      <c r="DEZ17" s="13"/>
      <c r="DFA17" s="13"/>
      <c r="DFB17" s="13"/>
      <c r="DFC17" s="13"/>
      <c r="DFD17" s="13"/>
      <c r="DFE17" s="13"/>
      <c r="DFF17" s="13"/>
      <c r="DFG17" s="13"/>
      <c r="DFH17" s="13"/>
      <c r="DFI17" s="13"/>
      <c r="DFJ17" s="13"/>
      <c r="DFK17" s="13"/>
      <c r="DFL17" s="13"/>
      <c r="DFM17" s="13"/>
      <c r="DFN17" s="13"/>
      <c r="DFO17" s="13"/>
      <c r="DFP17" s="13"/>
      <c r="DFQ17" s="13"/>
      <c r="DFR17" s="13"/>
      <c r="DFS17" s="13"/>
      <c r="DFT17" s="13"/>
      <c r="DFU17" s="13"/>
      <c r="DFV17" s="13"/>
      <c r="DFW17" s="13"/>
      <c r="DFX17" s="13"/>
      <c r="DFY17" s="13"/>
      <c r="DFZ17" s="13"/>
      <c r="DGA17" s="13"/>
      <c r="DGB17" s="13"/>
      <c r="DGC17" s="13"/>
      <c r="DGD17" s="13"/>
      <c r="DGE17" s="13"/>
      <c r="DGF17" s="13"/>
      <c r="DGG17" s="13"/>
      <c r="DGH17" s="13"/>
      <c r="DGI17" s="13"/>
      <c r="DGJ17" s="13"/>
      <c r="DGK17" s="13"/>
      <c r="DGL17" s="13"/>
      <c r="DGM17" s="13"/>
      <c r="DGN17" s="13"/>
      <c r="DGO17" s="13"/>
      <c r="DGP17" s="13"/>
      <c r="DGQ17" s="13"/>
      <c r="DGR17" s="13"/>
      <c r="DGS17" s="13"/>
      <c r="DGT17" s="13"/>
      <c r="DGU17" s="13"/>
      <c r="DGV17" s="13"/>
      <c r="DGW17" s="13"/>
      <c r="DGX17" s="13"/>
      <c r="DGY17" s="13"/>
      <c r="DGZ17" s="13"/>
      <c r="DHA17" s="13"/>
      <c r="DHB17" s="13"/>
      <c r="DHC17" s="13"/>
      <c r="DHD17" s="13"/>
      <c r="DHE17" s="13"/>
      <c r="DHF17" s="13"/>
      <c r="DHG17" s="13"/>
      <c r="DHH17" s="13"/>
      <c r="DHI17" s="13"/>
      <c r="DHJ17" s="13"/>
      <c r="DHK17" s="13"/>
      <c r="DHL17" s="13"/>
      <c r="DHM17" s="13"/>
      <c r="DHN17" s="13"/>
      <c r="DHO17" s="13"/>
      <c r="DHP17" s="13"/>
      <c r="DHQ17" s="13"/>
      <c r="DHR17" s="13"/>
      <c r="DHS17" s="13"/>
      <c r="DHT17" s="13"/>
      <c r="DHU17" s="13"/>
      <c r="DHV17" s="13"/>
      <c r="DHW17" s="13"/>
      <c r="DHX17" s="13"/>
      <c r="DHY17" s="13"/>
      <c r="DHZ17" s="13"/>
      <c r="DIA17" s="13"/>
      <c r="DIB17" s="13"/>
      <c r="DIC17" s="13"/>
      <c r="DID17" s="13"/>
      <c r="DIE17" s="13"/>
      <c r="DIF17" s="13"/>
      <c r="DIG17" s="13"/>
      <c r="DIH17" s="13"/>
      <c r="DII17" s="13"/>
      <c r="DIJ17" s="13"/>
      <c r="DIK17" s="13"/>
      <c r="DIL17" s="13"/>
      <c r="DIM17" s="13"/>
      <c r="DIN17" s="13"/>
      <c r="DIO17" s="13"/>
      <c r="DIP17" s="13"/>
      <c r="DIQ17" s="13"/>
      <c r="DIR17" s="13"/>
      <c r="DIS17" s="13"/>
      <c r="DIT17" s="13"/>
      <c r="DIU17" s="13"/>
      <c r="DIV17" s="13"/>
      <c r="DIW17" s="13"/>
      <c r="DIX17" s="13"/>
      <c r="DIY17" s="13"/>
      <c r="DIZ17" s="13"/>
      <c r="DJA17" s="13"/>
      <c r="DJB17" s="13"/>
      <c r="DJC17" s="13"/>
      <c r="DJD17" s="13"/>
      <c r="DJE17" s="13"/>
      <c r="DJF17" s="13"/>
      <c r="DJG17" s="13"/>
      <c r="DJH17" s="13"/>
      <c r="DJI17" s="13"/>
      <c r="DJJ17" s="13"/>
      <c r="DJK17" s="13"/>
      <c r="DJL17" s="13"/>
      <c r="DJM17" s="13"/>
      <c r="DJN17" s="13"/>
      <c r="DJO17" s="13"/>
      <c r="DJP17" s="13"/>
      <c r="DJQ17" s="13"/>
      <c r="DJR17" s="13"/>
      <c r="DJS17" s="13"/>
      <c r="DJT17" s="13"/>
      <c r="DJU17" s="13"/>
      <c r="DJV17" s="13"/>
      <c r="DJW17" s="13"/>
      <c r="DJX17" s="13"/>
      <c r="DJY17" s="13"/>
      <c r="DJZ17" s="13"/>
      <c r="DKA17" s="13"/>
      <c r="DKB17" s="13"/>
      <c r="DKC17" s="13"/>
      <c r="DKD17" s="13"/>
      <c r="DKE17" s="13"/>
      <c r="DKF17" s="13"/>
      <c r="DKG17" s="13"/>
      <c r="DKH17" s="13"/>
      <c r="DKI17" s="13"/>
      <c r="DKJ17" s="13"/>
      <c r="DKK17" s="13"/>
      <c r="DKL17" s="13"/>
      <c r="DKM17" s="13"/>
      <c r="DKN17" s="13"/>
      <c r="DKO17" s="13"/>
      <c r="DKP17" s="13"/>
      <c r="DKQ17" s="13"/>
      <c r="DKR17" s="13"/>
      <c r="DKS17" s="13"/>
      <c r="DKT17" s="13"/>
      <c r="DKU17" s="13"/>
      <c r="DKV17" s="13"/>
      <c r="DKW17" s="13"/>
      <c r="DKX17" s="13"/>
      <c r="DKY17" s="13"/>
      <c r="DKZ17" s="13"/>
      <c r="DLA17" s="13"/>
      <c r="DLB17" s="13"/>
      <c r="DLC17" s="13"/>
      <c r="DLD17" s="13"/>
      <c r="DLE17" s="13"/>
      <c r="DLF17" s="13"/>
      <c r="DLG17" s="13"/>
      <c r="DLH17" s="13"/>
      <c r="DLI17" s="13"/>
      <c r="DLJ17" s="13"/>
      <c r="DLK17" s="13"/>
      <c r="DLL17" s="13"/>
      <c r="DLM17" s="13"/>
      <c r="DLN17" s="13"/>
      <c r="DLO17" s="13"/>
      <c r="DLP17" s="13"/>
      <c r="DLQ17" s="13"/>
      <c r="DLR17" s="13"/>
      <c r="DLS17" s="13"/>
      <c r="DLT17" s="13"/>
      <c r="DLU17" s="13"/>
      <c r="DLV17" s="13"/>
      <c r="DLW17" s="13"/>
      <c r="DLX17" s="13"/>
      <c r="DLY17" s="13"/>
      <c r="DLZ17" s="13"/>
      <c r="DMA17" s="13"/>
      <c r="DMB17" s="13"/>
      <c r="DMC17" s="13"/>
      <c r="DMD17" s="13"/>
      <c r="DME17" s="13"/>
      <c r="DMF17" s="13"/>
      <c r="DMG17" s="13"/>
      <c r="DMH17" s="13"/>
      <c r="DMI17" s="13"/>
      <c r="DMJ17" s="13"/>
      <c r="DMK17" s="13"/>
      <c r="DML17" s="13"/>
      <c r="DMM17" s="13"/>
      <c r="DMN17" s="13"/>
      <c r="DMO17" s="13"/>
      <c r="DMP17" s="13"/>
      <c r="DMQ17" s="13"/>
      <c r="DMR17" s="13"/>
      <c r="DMS17" s="13"/>
      <c r="DMT17" s="13"/>
      <c r="DMU17" s="13"/>
      <c r="DMV17" s="13"/>
      <c r="DMW17" s="13"/>
      <c r="DMX17" s="13"/>
      <c r="DMY17" s="13"/>
      <c r="DMZ17" s="13"/>
      <c r="DNA17" s="13"/>
      <c r="DNB17" s="13"/>
      <c r="DNC17" s="13"/>
      <c r="DND17" s="13"/>
      <c r="DNE17" s="13"/>
      <c r="DNF17" s="13"/>
      <c r="DNG17" s="13"/>
      <c r="DNH17" s="13"/>
      <c r="DNI17" s="13"/>
      <c r="DNJ17" s="13"/>
      <c r="DNK17" s="13"/>
      <c r="DNL17" s="13"/>
      <c r="DNM17" s="13"/>
      <c r="DNN17" s="13"/>
      <c r="DNO17" s="13"/>
      <c r="DNP17" s="13"/>
      <c r="DNQ17" s="13"/>
      <c r="DNR17" s="13"/>
      <c r="DNS17" s="13"/>
      <c r="DNT17" s="13"/>
      <c r="DNU17" s="13"/>
      <c r="DNV17" s="13"/>
      <c r="DNW17" s="13"/>
      <c r="DNX17" s="13"/>
      <c r="DNY17" s="13"/>
      <c r="DNZ17" s="13"/>
      <c r="DOA17" s="13"/>
      <c r="DOB17" s="13"/>
      <c r="DOC17" s="13"/>
      <c r="DOD17" s="13"/>
      <c r="DOE17" s="13"/>
      <c r="DOF17" s="13"/>
      <c r="DOG17" s="13"/>
      <c r="DOH17" s="13"/>
      <c r="DOI17" s="13"/>
      <c r="DOJ17" s="13"/>
      <c r="DOK17" s="13"/>
      <c r="DOL17" s="13"/>
      <c r="DOM17" s="13"/>
      <c r="DON17" s="13"/>
      <c r="DOO17" s="13"/>
      <c r="DOP17" s="13"/>
      <c r="DOQ17" s="13"/>
      <c r="DOR17" s="13"/>
      <c r="DOS17" s="13"/>
      <c r="DOT17" s="13"/>
      <c r="DOU17" s="13"/>
      <c r="DOV17" s="13"/>
      <c r="DOW17" s="13"/>
      <c r="DOX17" s="13"/>
      <c r="DOY17" s="13"/>
      <c r="DOZ17" s="13"/>
      <c r="DPA17" s="13"/>
      <c r="DPB17" s="13"/>
      <c r="DPC17" s="13"/>
      <c r="DPD17" s="13"/>
      <c r="DPE17" s="13"/>
      <c r="DPF17" s="13"/>
      <c r="DPG17" s="13"/>
      <c r="DPH17" s="13"/>
      <c r="DPI17" s="13"/>
      <c r="DPJ17" s="13"/>
      <c r="DPK17" s="13"/>
      <c r="DPL17" s="13"/>
      <c r="DPM17" s="13"/>
      <c r="DPN17" s="13"/>
      <c r="DPO17" s="13"/>
      <c r="DPP17" s="13"/>
      <c r="DPQ17" s="13"/>
      <c r="DPR17" s="13"/>
      <c r="DPS17" s="13"/>
      <c r="DPT17" s="13"/>
      <c r="DPU17" s="13"/>
      <c r="DPV17" s="13"/>
      <c r="DPW17" s="13"/>
      <c r="DPX17" s="13"/>
      <c r="DPY17" s="13"/>
      <c r="DPZ17" s="13"/>
      <c r="DQA17" s="13"/>
      <c r="DQB17" s="13"/>
      <c r="DQC17" s="13"/>
      <c r="DQD17" s="13"/>
      <c r="DQE17" s="13"/>
      <c r="DQF17" s="13"/>
      <c r="DQG17" s="13"/>
      <c r="DQH17" s="13"/>
      <c r="DQI17" s="13"/>
      <c r="DQJ17" s="13"/>
      <c r="DQK17" s="13"/>
      <c r="DQL17" s="13"/>
      <c r="DQM17" s="13"/>
      <c r="DQN17" s="13"/>
      <c r="DQO17" s="13"/>
      <c r="DQP17" s="13"/>
      <c r="DQQ17" s="13"/>
      <c r="DQR17" s="13"/>
      <c r="DQS17" s="13"/>
      <c r="DQT17" s="13"/>
      <c r="DQU17" s="13"/>
      <c r="DQV17" s="13"/>
      <c r="DQW17" s="13"/>
      <c r="DQX17" s="13"/>
      <c r="DQY17" s="13"/>
      <c r="DQZ17" s="13"/>
      <c r="DRA17" s="13"/>
      <c r="DRB17" s="13"/>
      <c r="DRC17" s="13"/>
      <c r="DRD17" s="13"/>
      <c r="DRE17" s="13"/>
      <c r="DRF17" s="13"/>
      <c r="DRG17" s="13"/>
      <c r="DRH17" s="13"/>
      <c r="DRI17" s="13"/>
      <c r="DRJ17" s="13"/>
      <c r="DRK17" s="13"/>
      <c r="DRL17" s="13"/>
      <c r="DRM17" s="13"/>
      <c r="DRN17" s="13"/>
      <c r="DRO17" s="13"/>
      <c r="DRP17" s="13"/>
      <c r="DRQ17" s="13"/>
      <c r="DRR17" s="13"/>
      <c r="DRS17" s="13"/>
      <c r="DRT17" s="13"/>
      <c r="DRU17" s="13"/>
      <c r="DRV17" s="13"/>
      <c r="DRW17" s="13"/>
      <c r="DRX17" s="13"/>
      <c r="DRY17" s="13"/>
      <c r="DRZ17" s="13"/>
      <c r="DSA17" s="13"/>
      <c r="DSB17" s="13"/>
      <c r="DSC17" s="13"/>
      <c r="DSD17" s="13"/>
      <c r="DSE17" s="13"/>
      <c r="DSF17" s="13"/>
      <c r="DSG17" s="13"/>
      <c r="DSH17" s="13"/>
      <c r="DSI17" s="13"/>
      <c r="DSJ17" s="13"/>
      <c r="DSK17" s="13"/>
      <c r="DSL17" s="13"/>
      <c r="DSM17" s="13"/>
      <c r="DSN17" s="13"/>
      <c r="DSO17" s="13"/>
      <c r="DSP17" s="13"/>
      <c r="DSQ17" s="13"/>
      <c r="DSR17" s="13"/>
      <c r="DSS17" s="13"/>
      <c r="DST17" s="13"/>
      <c r="DSU17" s="13"/>
      <c r="DSV17" s="13"/>
      <c r="DSW17" s="13"/>
      <c r="DSX17" s="13"/>
      <c r="DSY17" s="13"/>
      <c r="DSZ17" s="13"/>
      <c r="DTA17" s="13"/>
      <c r="DTB17" s="13"/>
      <c r="DTC17" s="13"/>
      <c r="DTD17" s="13"/>
      <c r="DTE17" s="13"/>
      <c r="DTF17" s="13"/>
      <c r="DTG17" s="13"/>
      <c r="DTH17" s="13"/>
      <c r="DTI17" s="13"/>
      <c r="DTJ17" s="13"/>
      <c r="DTK17" s="13"/>
      <c r="DTL17" s="13"/>
      <c r="DTM17" s="13"/>
      <c r="DTN17" s="13"/>
      <c r="DTO17" s="13"/>
      <c r="DTP17" s="13"/>
      <c r="DTQ17" s="13"/>
      <c r="DTR17" s="13"/>
      <c r="DTS17" s="13"/>
      <c r="DTT17" s="13"/>
      <c r="DTU17" s="13"/>
      <c r="DTV17" s="13"/>
      <c r="DTW17" s="13"/>
      <c r="DTX17" s="13"/>
      <c r="DTY17" s="13"/>
      <c r="DTZ17" s="13"/>
      <c r="DUA17" s="13"/>
      <c r="DUB17" s="13"/>
      <c r="DUC17" s="13"/>
      <c r="DUD17" s="13"/>
      <c r="DUE17" s="13"/>
      <c r="DUF17" s="13"/>
      <c r="DUG17" s="13"/>
      <c r="DUH17" s="13"/>
      <c r="DUI17" s="13"/>
      <c r="DUJ17" s="13"/>
      <c r="DUK17" s="13"/>
      <c r="DUL17" s="13"/>
      <c r="DUM17" s="13"/>
      <c r="DUN17" s="13"/>
      <c r="DUO17" s="13"/>
      <c r="DUP17" s="13"/>
      <c r="DUQ17" s="13"/>
      <c r="DUR17" s="13"/>
      <c r="DUS17" s="13"/>
      <c r="DUT17" s="13"/>
      <c r="DUU17" s="13"/>
      <c r="DUV17" s="13"/>
      <c r="DUW17" s="13"/>
      <c r="DUX17" s="13"/>
      <c r="DUY17" s="13"/>
      <c r="DUZ17" s="13"/>
      <c r="DVA17" s="13"/>
      <c r="DVB17" s="13"/>
      <c r="DVC17" s="13"/>
      <c r="DVD17" s="13"/>
      <c r="DVE17" s="13"/>
      <c r="DVF17" s="13"/>
      <c r="DVG17" s="13"/>
      <c r="DVH17" s="13"/>
      <c r="DVI17" s="13"/>
      <c r="DVJ17" s="13"/>
      <c r="DVK17" s="13"/>
      <c r="DVL17" s="13"/>
      <c r="DVM17" s="13"/>
      <c r="DVN17" s="13"/>
      <c r="DVO17" s="13"/>
      <c r="DVP17" s="13"/>
      <c r="DVQ17" s="13"/>
      <c r="DVR17" s="13"/>
      <c r="DVS17" s="13"/>
      <c r="DVT17" s="13"/>
      <c r="DVU17" s="13"/>
      <c r="DVV17" s="13"/>
      <c r="DVW17" s="13"/>
      <c r="DVX17" s="13"/>
      <c r="DVY17" s="13"/>
      <c r="DVZ17" s="13"/>
      <c r="DWA17" s="13"/>
      <c r="DWB17" s="13"/>
      <c r="DWC17" s="13"/>
      <c r="DWD17" s="13"/>
      <c r="DWE17" s="13"/>
      <c r="DWF17" s="13"/>
      <c r="DWG17" s="13"/>
      <c r="DWH17" s="13"/>
      <c r="DWI17" s="13"/>
      <c r="DWJ17" s="13"/>
      <c r="DWK17" s="13"/>
      <c r="DWL17" s="13"/>
      <c r="DWM17" s="13"/>
      <c r="DWN17" s="13"/>
      <c r="DWO17" s="13"/>
      <c r="DWP17" s="13"/>
      <c r="DWQ17" s="13"/>
      <c r="DWR17" s="13"/>
      <c r="DWS17" s="13"/>
      <c r="DWT17" s="13"/>
      <c r="DWU17" s="13"/>
      <c r="DWV17" s="13"/>
      <c r="DWW17" s="13"/>
      <c r="DWX17" s="13"/>
      <c r="DWY17" s="13"/>
      <c r="DWZ17" s="13"/>
      <c r="DXA17" s="13"/>
      <c r="DXB17" s="13"/>
      <c r="DXC17" s="13"/>
      <c r="DXD17" s="13"/>
      <c r="DXE17" s="13"/>
      <c r="DXF17" s="13"/>
      <c r="DXG17" s="13"/>
      <c r="DXH17" s="13"/>
      <c r="DXI17" s="13"/>
      <c r="DXJ17" s="13"/>
      <c r="DXK17" s="13"/>
      <c r="DXL17" s="13"/>
      <c r="DXM17" s="13"/>
      <c r="DXN17" s="13"/>
      <c r="DXO17" s="13"/>
      <c r="DXP17" s="13"/>
      <c r="DXQ17" s="13"/>
      <c r="DXR17" s="13"/>
      <c r="DXS17" s="13"/>
      <c r="DXT17" s="13"/>
      <c r="DXU17" s="13"/>
      <c r="DXV17" s="13"/>
      <c r="DXW17" s="13"/>
      <c r="DXX17" s="13"/>
      <c r="DXY17" s="13"/>
      <c r="DXZ17" s="13"/>
      <c r="DYA17" s="13"/>
      <c r="DYB17" s="13"/>
      <c r="DYC17" s="13"/>
      <c r="DYD17" s="13"/>
      <c r="DYE17" s="13"/>
      <c r="DYF17" s="13"/>
      <c r="DYG17" s="13"/>
      <c r="DYH17" s="13"/>
      <c r="DYI17" s="13"/>
      <c r="DYJ17" s="13"/>
      <c r="DYK17" s="13"/>
      <c r="DYL17" s="13"/>
      <c r="DYM17" s="13"/>
      <c r="DYN17" s="13"/>
      <c r="DYO17" s="13"/>
      <c r="DYP17" s="13"/>
      <c r="DYQ17" s="13"/>
      <c r="DYR17" s="13"/>
      <c r="DYS17" s="13"/>
      <c r="DYT17" s="13"/>
      <c r="DYU17" s="13"/>
      <c r="DYV17" s="13"/>
      <c r="DYW17" s="13"/>
      <c r="DYX17" s="13"/>
      <c r="DYY17" s="13"/>
      <c r="DYZ17" s="13"/>
      <c r="DZA17" s="13"/>
      <c r="DZB17" s="13"/>
      <c r="DZC17" s="13"/>
      <c r="DZD17" s="13"/>
      <c r="DZE17" s="13"/>
      <c r="DZF17" s="13"/>
      <c r="DZG17" s="13"/>
      <c r="DZH17" s="13"/>
      <c r="DZI17" s="13"/>
      <c r="DZJ17" s="13"/>
      <c r="DZK17" s="13"/>
      <c r="DZL17" s="13"/>
      <c r="DZM17" s="13"/>
      <c r="DZN17" s="13"/>
      <c r="DZO17" s="13"/>
      <c r="DZP17" s="13"/>
      <c r="DZQ17" s="13"/>
      <c r="DZR17" s="13"/>
      <c r="DZS17" s="13"/>
      <c r="DZT17" s="13"/>
      <c r="DZU17" s="13"/>
      <c r="DZV17" s="13"/>
      <c r="DZW17" s="13"/>
      <c r="DZX17" s="13"/>
      <c r="DZY17" s="13"/>
      <c r="DZZ17" s="13"/>
      <c r="EAA17" s="13"/>
      <c r="EAB17" s="13"/>
      <c r="EAC17" s="13"/>
      <c r="EAD17" s="13"/>
      <c r="EAE17" s="13"/>
      <c r="EAF17" s="13"/>
      <c r="EAG17" s="13"/>
      <c r="EAH17" s="13"/>
      <c r="EAI17" s="13"/>
      <c r="EAJ17" s="13"/>
      <c r="EAK17" s="13"/>
      <c r="EAL17" s="13"/>
      <c r="EAM17" s="13"/>
      <c r="EAN17" s="13"/>
      <c r="EAO17" s="13"/>
      <c r="EAP17" s="13"/>
      <c r="EAQ17" s="13"/>
      <c r="EAR17" s="13"/>
      <c r="EAS17" s="13"/>
      <c r="EAT17" s="13"/>
      <c r="EAU17" s="13"/>
      <c r="EAV17" s="13"/>
      <c r="EAW17" s="13"/>
      <c r="EAX17" s="13"/>
      <c r="EAY17" s="13"/>
      <c r="EAZ17" s="13"/>
      <c r="EBA17" s="13"/>
      <c r="EBB17" s="13"/>
      <c r="EBC17" s="13"/>
      <c r="EBD17" s="13"/>
      <c r="EBE17" s="13"/>
      <c r="EBF17" s="13"/>
      <c r="EBG17" s="13"/>
      <c r="EBH17" s="13"/>
      <c r="EBI17" s="13"/>
      <c r="EBJ17" s="13"/>
      <c r="EBK17" s="13"/>
      <c r="EBL17" s="13"/>
      <c r="EBM17" s="13"/>
      <c r="EBN17" s="13"/>
      <c r="EBO17" s="13"/>
      <c r="EBP17" s="13"/>
      <c r="EBQ17" s="13"/>
      <c r="EBR17" s="13"/>
      <c r="EBS17" s="13"/>
      <c r="EBT17" s="13"/>
      <c r="EBU17" s="13"/>
      <c r="EBV17" s="13"/>
      <c r="EBW17" s="13"/>
      <c r="EBX17" s="13"/>
      <c r="EBY17" s="13"/>
      <c r="EBZ17" s="13"/>
      <c r="ECA17" s="13"/>
      <c r="ECB17" s="13"/>
      <c r="ECC17" s="13"/>
      <c r="ECD17" s="13"/>
      <c r="ECE17" s="13"/>
      <c r="ECF17" s="13"/>
      <c r="ECG17" s="13"/>
      <c r="ECH17" s="13"/>
      <c r="ECI17" s="13"/>
      <c r="ECJ17" s="13"/>
      <c r="ECK17" s="13"/>
      <c r="ECL17" s="13"/>
      <c r="ECM17" s="13"/>
      <c r="ECN17" s="13"/>
      <c r="ECO17" s="13"/>
      <c r="ECP17" s="13"/>
      <c r="ECQ17" s="13"/>
      <c r="ECR17" s="13"/>
      <c r="ECS17" s="13"/>
      <c r="ECT17" s="13"/>
      <c r="ECU17" s="13"/>
      <c r="ECV17" s="13"/>
      <c r="ECW17" s="13"/>
      <c r="ECX17" s="13"/>
      <c r="ECY17" s="13"/>
      <c r="ECZ17" s="13"/>
      <c r="EDA17" s="13"/>
      <c r="EDB17" s="13"/>
      <c r="EDC17" s="13"/>
      <c r="EDD17" s="13"/>
      <c r="EDE17" s="13"/>
      <c r="EDF17" s="13"/>
      <c r="EDG17" s="13"/>
      <c r="EDH17" s="13"/>
      <c r="EDI17" s="13"/>
      <c r="EDJ17" s="13"/>
      <c r="EDK17" s="13"/>
      <c r="EDL17" s="13"/>
      <c r="EDM17" s="13"/>
      <c r="EDN17" s="13"/>
      <c r="EDO17" s="13"/>
      <c r="EDP17" s="13"/>
      <c r="EDQ17" s="13"/>
      <c r="EDR17" s="13"/>
      <c r="EDS17" s="13"/>
      <c r="EDT17" s="13"/>
      <c r="EDU17" s="13"/>
      <c r="EDV17" s="13"/>
      <c r="EDW17" s="13"/>
      <c r="EDX17" s="13"/>
      <c r="EDY17" s="13"/>
      <c r="EDZ17" s="13"/>
      <c r="EEA17" s="13"/>
      <c r="EEB17" s="13"/>
      <c r="EEC17" s="13"/>
      <c r="EED17" s="13"/>
      <c r="EEE17" s="13"/>
      <c r="EEF17" s="13"/>
      <c r="EEG17" s="13"/>
      <c r="EEH17" s="13"/>
      <c r="EEI17" s="13"/>
      <c r="EEJ17" s="13"/>
      <c r="EEK17" s="13"/>
      <c r="EEL17" s="13"/>
      <c r="EEM17" s="13"/>
      <c r="EEN17" s="13"/>
      <c r="EEO17" s="13"/>
      <c r="EEP17" s="13"/>
      <c r="EEQ17" s="13"/>
      <c r="EER17" s="13"/>
      <c r="EES17" s="13"/>
      <c r="EET17" s="13"/>
      <c r="EEU17" s="13"/>
      <c r="EEV17" s="13"/>
      <c r="EEW17" s="13"/>
      <c r="EEX17" s="13"/>
      <c r="EEY17" s="13"/>
      <c r="EEZ17" s="13"/>
      <c r="EFA17" s="13"/>
      <c r="EFB17" s="13"/>
      <c r="EFC17" s="13"/>
      <c r="EFD17" s="13"/>
      <c r="EFE17" s="13"/>
      <c r="EFF17" s="13"/>
      <c r="EFG17" s="13"/>
      <c r="EFH17" s="13"/>
      <c r="EFI17" s="13"/>
      <c r="EFJ17" s="13"/>
      <c r="EFK17" s="13"/>
      <c r="EFL17" s="13"/>
      <c r="EFM17" s="13"/>
      <c r="EFN17" s="13"/>
      <c r="EFO17" s="13"/>
      <c r="EFP17" s="13"/>
      <c r="EFQ17" s="13"/>
      <c r="EFR17" s="13"/>
      <c r="EFS17" s="13"/>
      <c r="EFT17" s="13"/>
      <c r="EFU17" s="13"/>
      <c r="EFV17" s="13"/>
      <c r="EFW17" s="13"/>
      <c r="EFX17" s="13"/>
      <c r="EFY17" s="13"/>
      <c r="EFZ17" s="13"/>
      <c r="EGA17" s="13"/>
      <c r="EGB17" s="13"/>
      <c r="EGC17" s="13"/>
      <c r="EGD17" s="13"/>
      <c r="EGE17" s="13"/>
      <c r="EGF17" s="13"/>
      <c r="EGG17" s="13"/>
      <c r="EGH17" s="13"/>
      <c r="EGI17" s="13"/>
      <c r="EGJ17" s="13"/>
      <c r="EGK17" s="13"/>
      <c r="EGL17" s="13"/>
      <c r="EGM17" s="13"/>
      <c r="EGN17" s="13"/>
      <c r="EGO17" s="13"/>
      <c r="EGP17" s="13"/>
      <c r="EGQ17" s="13"/>
      <c r="EGR17" s="13"/>
      <c r="EGS17" s="13"/>
      <c r="EGT17" s="13"/>
      <c r="EGU17" s="13"/>
      <c r="EGV17" s="13"/>
      <c r="EGW17" s="13"/>
      <c r="EGX17" s="13"/>
      <c r="EGY17" s="13"/>
      <c r="EGZ17" s="13"/>
      <c r="EHA17" s="13"/>
      <c r="EHB17" s="13"/>
      <c r="EHC17" s="13"/>
      <c r="EHD17" s="13"/>
      <c r="EHE17" s="13"/>
      <c r="EHF17" s="13"/>
      <c r="EHG17" s="13"/>
      <c r="EHH17" s="13"/>
      <c r="EHI17" s="13"/>
      <c r="EHJ17" s="13"/>
      <c r="EHK17" s="13"/>
      <c r="EHL17" s="13"/>
      <c r="EHM17" s="13"/>
      <c r="EHN17" s="13"/>
      <c r="EHO17" s="13"/>
      <c r="EHP17" s="13"/>
      <c r="EHQ17" s="13"/>
      <c r="EHR17" s="13"/>
      <c r="EHS17" s="13"/>
      <c r="EHT17" s="13"/>
      <c r="EHU17" s="13"/>
      <c r="EHV17" s="13"/>
      <c r="EHW17" s="13"/>
      <c r="EHX17" s="13"/>
      <c r="EHY17" s="13"/>
      <c r="EHZ17" s="13"/>
      <c r="EIA17" s="13"/>
      <c r="EIB17" s="13"/>
      <c r="EIC17" s="13"/>
      <c r="EID17" s="13"/>
      <c r="EIE17" s="13"/>
      <c r="EIF17" s="13"/>
      <c r="EIG17" s="13"/>
      <c r="EIH17" s="13"/>
      <c r="EII17" s="13"/>
      <c r="EIJ17" s="13"/>
      <c r="EIK17" s="13"/>
      <c r="EIL17" s="13"/>
      <c r="EIM17" s="13"/>
      <c r="EIN17" s="13"/>
      <c r="EIO17" s="13"/>
      <c r="EIP17" s="13"/>
      <c r="EIQ17" s="13"/>
      <c r="EIR17" s="13"/>
      <c r="EIS17" s="13"/>
      <c r="EIT17" s="13"/>
      <c r="EIU17" s="13"/>
      <c r="EIV17" s="13"/>
      <c r="EIW17" s="13"/>
      <c r="EIX17" s="13"/>
      <c r="EIY17" s="13"/>
      <c r="EIZ17" s="13"/>
      <c r="EJA17" s="13"/>
      <c r="EJB17" s="13"/>
      <c r="EJC17" s="13"/>
      <c r="EJD17" s="13"/>
      <c r="EJE17" s="13"/>
      <c r="EJF17" s="13"/>
      <c r="EJG17" s="13"/>
      <c r="EJH17" s="13"/>
      <c r="EJI17" s="13"/>
      <c r="EJJ17" s="13"/>
      <c r="EJK17" s="13"/>
      <c r="EJL17" s="13"/>
      <c r="EJM17" s="13"/>
      <c r="EJN17" s="13"/>
      <c r="EJO17" s="13"/>
      <c r="EJP17" s="13"/>
      <c r="EJQ17" s="13"/>
      <c r="EJR17" s="13"/>
      <c r="EJS17" s="13"/>
      <c r="EJT17" s="13"/>
      <c r="EJU17" s="13"/>
      <c r="EJV17" s="13"/>
      <c r="EJW17" s="13"/>
      <c r="EJX17" s="13"/>
      <c r="EJY17" s="13"/>
      <c r="EJZ17" s="13"/>
      <c r="EKA17" s="13"/>
      <c r="EKB17" s="13"/>
      <c r="EKC17" s="13"/>
      <c r="EKD17" s="13"/>
      <c r="EKE17" s="13"/>
      <c r="EKF17" s="13"/>
      <c r="EKG17" s="13"/>
      <c r="EKH17" s="13"/>
      <c r="EKI17" s="13"/>
      <c r="EKJ17" s="13"/>
      <c r="EKK17" s="13"/>
      <c r="EKL17" s="13"/>
      <c r="EKM17" s="13"/>
      <c r="EKN17" s="13"/>
      <c r="EKO17" s="13"/>
      <c r="EKP17" s="13"/>
      <c r="EKQ17" s="13"/>
      <c r="EKR17" s="13"/>
      <c r="EKS17" s="13"/>
      <c r="EKT17" s="13"/>
      <c r="EKU17" s="13"/>
      <c r="EKV17" s="13"/>
      <c r="EKW17" s="13"/>
      <c r="EKX17" s="13"/>
      <c r="EKY17" s="13"/>
      <c r="EKZ17" s="13"/>
      <c r="ELA17" s="13"/>
      <c r="ELB17" s="13"/>
      <c r="ELC17" s="13"/>
      <c r="ELD17" s="13"/>
      <c r="ELE17" s="13"/>
      <c r="ELF17" s="13"/>
      <c r="ELG17" s="13"/>
      <c r="ELH17" s="13"/>
      <c r="ELI17" s="13"/>
      <c r="ELJ17" s="13"/>
      <c r="ELK17" s="13"/>
      <c r="ELL17" s="13"/>
      <c r="ELM17" s="13"/>
      <c r="ELN17" s="13"/>
      <c r="ELO17" s="13"/>
      <c r="ELP17" s="13"/>
      <c r="ELQ17" s="13"/>
      <c r="ELR17" s="13"/>
      <c r="ELS17" s="13"/>
      <c r="ELT17" s="13"/>
      <c r="ELU17" s="13"/>
      <c r="ELV17" s="13"/>
      <c r="ELW17" s="13"/>
      <c r="ELX17" s="13"/>
      <c r="ELY17" s="13"/>
      <c r="ELZ17" s="13"/>
      <c r="EMA17" s="13"/>
      <c r="EMB17" s="13"/>
      <c r="EMC17" s="13"/>
      <c r="EMD17" s="13"/>
      <c r="EME17" s="13"/>
      <c r="EMF17" s="13"/>
      <c r="EMG17" s="13"/>
      <c r="EMH17" s="13"/>
      <c r="EMI17" s="13"/>
      <c r="EMJ17" s="13"/>
      <c r="EMK17" s="13"/>
      <c r="EML17" s="13"/>
      <c r="EMM17" s="13"/>
      <c r="EMN17" s="13"/>
      <c r="EMO17" s="13"/>
      <c r="EMP17" s="13"/>
      <c r="EMQ17" s="13"/>
      <c r="EMR17" s="13"/>
      <c r="EMS17" s="13"/>
      <c r="EMT17" s="13"/>
      <c r="EMU17" s="13"/>
      <c r="EMV17" s="13"/>
      <c r="EMW17" s="13"/>
      <c r="EMX17" s="13"/>
      <c r="EMY17" s="13"/>
      <c r="EMZ17" s="13"/>
      <c r="ENA17" s="13"/>
      <c r="ENB17" s="13"/>
      <c r="ENC17" s="13"/>
      <c r="END17" s="13"/>
      <c r="ENE17" s="13"/>
      <c r="ENF17" s="13"/>
      <c r="ENG17" s="13"/>
      <c r="ENH17" s="13"/>
      <c r="ENI17" s="13"/>
      <c r="ENJ17" s="13"/>
      <c r="ENK17" s="13"/>
      <c r="ENL17" s="13"/>
      <c r="ENM17" s="13"/>
      <c r="ENN17" s="13"/>
      <c r="ENO17" s="13"/>
      <c r="ENP17" s="13"/>
      <c r="ENQ17" s="13"/>
      <c r="ENR17" s="13"/>
      <c r="ENS17" s="13"/>
      <c r="ENT17" s="13"/>
      <c r="ENU17" s="13"/>
      <c r="ENV17" s="13"/>
      <c r="ENW17" s="13"/>
      <c r="ENX17" s="13"/>
      <c r="ENY17" s="13"/>
      <c r="ENZ17" s="13"/>
      <c r="EOA17" s="13"/>
      <c r="EOB17" s="13"/>
      <c r="EOC17" s="13"/>
      <c r="EOD17" s="13"/>
      <c r="EOE17" s="13"/>
      <c r="EOF17" s="13"/>
      <c r="EOG17" s="13"/>
      <c r="EOH17" s="13"/>
      <c r="EOI17" s="13"/>
      <c r="EOJ17" s="13"/>
      <c r="EOK17" s="13"/>
      <c r="EOL17" s="13"/>
      <c r="EOM17" s="13"/>
      <c r="EON17" s="13"/>
      <c r="EOO17" s="13"/>
      <c r="EOP17" s="13"/>
      <c r="EOQ17" s="13"/>
      <c r="EOR17" s="13"/>
      <c r="EOS17" s="13"/>
      <c r="EOT17" s="13"/>
      <c r="EOU17" s="13"/>
      <c r="EOV17" s="13"/>
      <c r="EOW17" s="13"/>
      <c r="EOX17" s="13"/>
      <c r="EOY17" s="13"/>
      <c r="EOZ17" s="13"/>
      <c r="EPA17" s="13"/>
      <c r="EPB17" s="13"/>
      <c r="EPC17" s="13"/>
      <c r="EPD17" s="13"/>
      <c r="EPE17" s="13"/>
      <c r="EPF17" s="13"/>
      <c r="EPG17" s="13"/>
      <c r="EPH17" s="13"/>
      <c r="EPI17" s="13"/>
      <c r="EPJ17" s="13"/>
      <c r="EPK17" s="13"/>
      <c r="EPL17" s="13"/>
      <c r="EPM17" s="13"/>
      <c r="EPN17" s="13"/>
      <c r="EPO17" s="13"/>
      <c r="EPP17" s="13"/>
      <c r="EPQ17" s="13"/>
      <c r="EPR17" s="13"/>
      <c r="EPS17" s="13"/>
      <c r="EPT17" s="13"/>
      <c r="EPU17" s="13"/>
      <c r="EPV17" s="13"/>
      <c r="EPW17" s="13"/>
      <c r="EPX17" s="13"/>
      <c r="EPY17" s="13"/>
      <c r="EPZ17" s="13"/>
      <c r="EQA17" s="13"/>
      <c r="EQB17" s="13"/>
      <c r="EQC17" s="13"/>
      <c r="EQD17" s="13"/>
      <c r="EQE17" s="13"/>
      <c r="EQF17" s="13"/>
      <c r="EQG17" s="13"/>
      <c r="EQH17" s="13"/>
      <c r="EQI17" s="13"/>
      <c r="EQJ17" s="13"/>
      <c r="EQK17" s="13"/>
      <c r="EQL17" s="13"/>
      <c r="EQM17" s="13"/>
      <c r="EQN17" s="13"/>
      <c r="EQO17" s="13"/>
      <c r="EQP17" s="13"/>
      <c r="EQQ17" s="13"/>
      <c r="EQR17" s="13"/>
      <c r="EQS17" s="13"/>
      <c r="EQT17" s="13"/>
      <c r="EQU17" s="13"/>
      <c r="EQV17" s="13"/>
      <c r="EQW17" s="13"/>
      <c r="EQX17" s="13"/>
      <c r="EQY17" s="13"/>
      <c r="EQZ17" s="13"/>
      <c r="ERA17" s="13"/>
      <c r="ERB17" s="13"/>
      <c r="ERC17" s="13"/>
      <c r="ERD17" s="13"/>
      <c r="ERE17" s="13"/>
      <c r="ERF17" s="13"/>
      <c r="ERG17" s="13"/>
      <c r="ERH17" s="13"/>
      <c r="ERI17" s="13"/>
      <c r="ERJ17" s="13"/>
      <c r="ERK17" s="13"/>
      <c r="ERL17" s="13"/>
      <c r="ERM17" s="13"/>
      <c r="ERN17" s="13"/>
      <c r="ERO17" s="13"/>
      <c r="ERP17" s="13"/>
      <c r="ERQ17" s="13"/>
      <c r="ERR17" s="13"/>
      <c r="ERS17" s="13"/>
      <c r="ERT17" s="13"/>
      <c r="ERU17" s="13"/>
      <c r="ERV17" s="13"/>
      <c r="ERW17" s="13"/>
      <c r="ERX17" s="13"/>
      <c r="ERY17" s="13"/>
      <c r="ERZ17" s="13"/>
      <c r="ESA17" s="13"/>
      <c r="ESB17" s="13"/>
      <c r="ESC17" s="13"/>
      <c r="ESD17" s="13"/>
      <c r="ESE17" s="13"/>
      <c r="ESF17" s="13"/>
      <c r="ESG17" s="13"/>
      <c r="ESH17" s="13"/>
      <c r="ESI17" s="13"/>
      <c r="ESJ17" s="13"/>
      <c r="ESK17" s="13"/>
      <c r="ESL17" s="13"/>
      <c r="ESM17" s="13"/>
      <c r="ESN17" s="13"/>
      <c r="ESO17" s="13"/>
      <c r="ESP17" s="13"/>
      <c r="ESQ17" s="13"/>
      <c r="ESR17" s="13"/>
      <c r="ESS17" s="13"/>
      <c r="EST17" s="13"/>
      <c r="ESU17" s="13"/>
      <c r="ESV17" s="13"/>
      <c r="ESW17" s="13"/>
      <c r="ESX17" s="13"/>
      <c r="ESY17" s="13"/>
      <c r="ESZ17" s="13"/>
      <c r="ETA17" s="13"/>
      <c r="ETB17" s="13"/>
      <c r="ETC17" s="13"/>
      <c r="ETD17" s="13"/>
      <c r="ETE17" s="13"/>
      <c r="ETF17" s="13"/>
      <c r="ETG17" s="13"/>
      <c r="ETH17" s="13"/>
      <c r="ETI17" s="13"/>
      <c r="ETJ17" s="13"/>
      <c r="ETK17" s="13"/>
      <c r="ETL17" s="13"/>
      <c r="ETM17" s="13"/>
      <c r="ETN17" s="13"/>
      <c r="ETO17" s="13"/>
      <c r="ETP17" s="13"/>
      <c r="ETQ17" s="13"/>
      <c r="ETR17" s="13"/>
      <c r="ETS17" s="13"/>
      <c r="ETT17" s="13"/>
      <c r="ETU17" s="13"/>
      <c r="ETV17" s="13"/>
      <c r="ETW17" s="13"/>
      <c r="ETX17" s="13"/>
      <c r="ETY17" s="13"/>
      <c r="ETZ17" s="13"/>
      <c r="EUA17" s="13"/>
      <c r="EUB17" s="13"/>
      <c r="EUC17" s="13"/>
      <c r="EUD17" s="13"/>
      <c r="EUE17" s="13"/>
      <c r="EUF17" s="13"/>
      <c r="EUG17" s="13"/>
      <c r="EUH17" s="13"/>
      <c r="EUI17" s="13"/>
      <c r="EUJ17" s="13"/>
      <c r="EUK17" s="13"/>
      <c r="EUL17" s="13"/>
      <c r="EUM17" s="13"/>
      <c r="EUN17" s="13"/>
      <c r="EUO17" s="13"/>
      <c r="EUP17" s="13"/>
      <c r="EUQ17" s="13"/>
      <c r="EUR17" s="13"/>
      <c r="EUS17" s="13"/>
      <c r="EUT17" s="13"/>
      <c r="EUU17" s="13"/>
      <c r="EUV17" s="13"/>
      <c r="EUW17" s="13"/>
      <c r="EUX17" s="13"/>
      <c r="EUY17" s="13"/>
      <c r="EUZ17" s="13"/>
      <c r="EVA17" s="13"/>
      <c r="EVB17" s="13"/>
      <c r="EVC17" s="13"/>
      <c r="EVD17" s="13"/>
      <c r="EVE17" s="13"/>
      <c r="EVF17" s="13"/>
      <c r="EVG17" s="13"/>
      <c r="EVH17" s="13"/>
      <c r="EVI17" s="13"/>
      <c r="EVJ17" s="13"/>
      <c r="EVK17" s="13"/>
      <c r="EVL17" s="13"/>
      <c r="EVM17" s="13"/>
      <c r="EVN17" s="13"/>
      <c r="EVO17" s="13"/>
      <c r="EVP17" s="13"/>
      <c r="EVQ17" s="13"/>
      <c r="EVR17" s="13"/>
      <c r="EVS17" s="13"/>
      <c r="EVT17" s="13"/>
      <c r="EVU17" s="13"/>
      <c r="EVV17" s="13"/>
      <c r="EVW17" s="13"/>
      <c r="EVX17" s="13"/>
      <c r="EVY17" s="13"/>
      <c r="EVZ17" s="13"/>
      <c r="EWA17" s="13"/>
      <c r="EWB17" s="13"/>
      <c r="EWC17" s="13"/>
      <c r="EWD17" s="13"/>
      <c r="EWE17" s="13"/>
      <c r="EWF17" s="13"/>
      <c r="EWG17" s="13"/>
      <c r="EWH17" s="13"/>
      <c r="EWI17" s="13"/>
      <c r="EWJ17" s="13"/>
      <c r="EWK17" s="13"/>
      <c r="EWL17" s="13"/>
      <c r="EWM17" s="13"/>
      <c r="EWN17" s="13"/>
      <c r="EWO17" s="13"/>
      <c r="EWP17" s="13"/>
      <c r="EWQ17" s="13"/>
      <c r="EWR17" s="13"/>
      <c r="EWS17" s="13"/>
      <c r="EWT17" s="13"/>
      <c r="EWU17" s="13"/>
      <c r="EWV17" s="13"/>
      <c r="EWW17" s="13"/>
      <c r="EWX17" s="13"/>
      <c r="EWY17" s="13"/>
      <c r="EWZ17" s="13"/>
      <c r="EXA17" s="13"/>
      <c r="EXB17" s="13"/>
      <c r="EXC17" s="13"/>
      <c r="EXD17" s="13"/>
      <c r="EXE17" s="13"/>
      <c r="EXF17" s="13"/>
      <c r="EXG17" s="13"/>
      <c r="EXH17" s="13"/>
      <c r="EXI17" s="13"/>
      <c r="EXJ17" s="13"/>
      <c r="EXK17" s="13"/>
      <c r="EXL17" s="13"/>
      <c r="EXM17" s="13"/>
      <c r="EXN17" s="13"/>
      <c r="EXO17" s="13"/>
      <c r="EXP17" s="13"/>
      <c r="EXQ17" s="13"/>
      <c r="EXR17" s="13"/>
      <c r="EXS17" s="13"/>
      <c r="EXT17" s="13"/>
      <c r="EXU17" s="13"/>
      <c r="EXV17" s="13"/>
      <c r="EXW17" s="13"/>
      <c r="EXX17" s="13"/>
      <c r="EXY17" s="13"/>
      <c r="EXZ17" s="13"/>
      <c r="EYA17" s="13"/>
      <c r="EYB17" s="13"/>
      <c r="EYC17" s="13"/>
      <c r="EYD17" s="13"/>
      <c r="EYE17" s="13"/>
      <c r="EYF17" s="13"/>
      <c r="EYG17" s="13"/>
      <c r="EYH17" s="13"/>
      <c r="EYI17" s="13"/>
      <c r="EYJ17" s="13"/>
      <c r="EYK17" s="13"/>
      <c r="EYL17" s="13"/>
      <c r="EYM17" s="13"/>
      <c r="EYN17" s="13"/>
      <c r="EYO17" s="13"/>
      <c r="EYP17" s="13"/>
      <c r="EYQ17" s="13"/>
      <c r="EYR17" s="13"/>
      <c r="EYS17" s="13"/>
      <c r="EYT17" s="13"/>
      <c r="EYU17" s="13"/>
      <c r="EYV17" s="13"/>
      <c r="EYW17" s="13"/>
      <c r="EYX17" s="13"/>
      <c r="EYY17" s="13"/>
      <c r="EYZ17" s="13"/>
      <c r="EZA17" s="13"/>
      <c r="EZB17" s="13"/>
      <c r="EZC17" s="13"/>
      <c r="EZD17" s="13"/>
      <c r="EZE17" s="13"/>
      <c r="EZF17" s="13"/>
      <c r="EZG17" s="13"/>
      <c r="EZH17" s="13"/>
      <c r="EZI17" s="13"/>
      <c r="EZJ17" s="13"/>
      <c r="EZK17" s="13"/>
      <c r="EZL17" s="13"/>
      <c r="EZM17" s="13"/>
      <c r="EZN17" s="13"/>
      <c r="EZO17" s="13"/>
      <c r="EZP17" s="13"/>
      <c r="EZQ17" s="13"/>
      <c r="EZR17" s="13"/>
      <c r="EZS17" s="13"/>
      <c r="EZT17" s="13"/>
      <c r="EZU17" s="13"/>
      <c r="EZV17" s="13"/>
      <c r="EZW17" s="13"/>
      <c r="EZX17" s="13"/>
      <c r="EZY17" s="13"/>
      <c r="EZZ17" s="13"/>
      <c r="FAA17" s="13"/>
      <c r="FAB17" s="13"/>
      <c r="FAC17" s="13"/>
      <c r="FAD17" s="13"/>
      <c r="FAE17" s="13"/>
      <c r="FAF17" s="13"/>
      <c r="FAG17" s="13"/>
      <c r="FAH17" s="13"/>
      <c r="FAI17" s="13"/>
      <c r="FAJ17" s="13"/>
      <c r="FAK17" s="13"/>
      <c r="FAL17" s="13"/>
      <c r="FAM17" s="13"/>
      <c r="FAN17" s="13"/>
      <c r="FAO17" s="13"/>
      <c r="FAP17" s="13"/>
      <c r="FAQ17" s="13"/>
      <c r="FAR17" s="13"/>
      <c r="FAS17" s="13"/>
      <c r="FAT17" s="13"/>
      <c r="FAU17" s="13"/>
      <c r="FAV17" s="13"/>
      <c r="FAW17" s="13"/>
      <c r="FAX17" s="13"/>
      <c r="FAY17" s="13"/>
      <c r="FAZ17" s="13"/>
      <c r="FBA17" s="13"/>
      <c r="FBB17" s="13"/>
      <c r="FBC17" s="13"/>
      <c r="FBD17" s="13"/>
      <c r="FBE17" s="13"/>
      <c r="FBF17" s="13"/>
      <c r="FBG17" s="13"/>
      <c r="FBH17" s="13"/>
      <c r="FBI17" s="13"/>
      <c r="FBJ17" s="13"/>
      <c r="FBK17" s="13"/>
      <c r="FBL17" s="13"/>
      <c r="FBM17" s="13"/>
      <c r="FBN17" s="13"/>
      <c r="FBO17" s="13"/>
      <c r="FBP17" s="13"/>
      <c r="FBQ17" s="13"/>
      <c r="FBR17" s="13"/>
      <c r="FBS17" s="13"/>
      <c r="FBT17" s="13"/>
      <c r="FBU17" s="13"/>
      <c r="FBV17" s="13"/>
      <c r="FBW17" s="13"/>
      <c r="FBX17" s="13"/>
      <c r="FBY17" s="13"/>
      <c r="FBZ17" s="13"/>
      <c r="FCA17" s="13"/>
      <c r="FCB17" s="13"/>
      <c r="FCC17" s="13"/>
      <c r="FCD17" s="13"/>
      <c r="FCE17" s="13"/>
      <c r="FCF17" s="13"/>
      <c r="FCG17" s="13"/>
      <c r="FCH17" s="13"/>
      <c r="FCI17" s="13"/>
      <c r="FCJ17" s="13"/>
      <c r="FCK17" s="13"/>
      <c r="FCL17" s="13"/>
      <c r="FCM17" s="13"/>
      <c r="FCN17" s="13"/>
      <c r="FCO17" s="13"/>
      <c r="FCP17" s="13"/>
      <c r="FCQ17" s="13"/>
      <c r="FCR17" s="13"/>
      <c r="FCS17" s="13"/>
      <c r="FCT17" s="13"/>
      <c r="FCU17" s="13"/>
      <c r="FCV17" s="13"/>
      <c r="FCW17" s="13"/>
      <c r="FCX17" s="13"/>
      <c r="FCY17" s="13"/>
      <c r="FCZ17" s="13"/>
      <c r="FDA17" s="13"/>
      <c r="FDB17" s="13"/>
      <c r="FDC17" s="13"/>
      <c r="FDD17" s="13"/>
      <c r="FDE17" s="13"/>
      <c r="FDF17" s="13"/>
      <c r="FDG17" s="13"/>
      <c r="FDH17" s="13"/>
      <c r="FDI17" s="13"/>
      <c r="FDJ17" s="13"/>
      <c r="FDK17" s="13"/>
      <c r="FDL17" s="13"/>
      <c r="FDM17" s="13"/>
      <c r="FDN17" s="13"/>
      <c r="FDO17" s="13"/>
      <c r="FDP17" s="13"/>
      <c r="FDQ17" s="13"/>
      <c r="FDR17" s="13"/>
      <c r="FDS17" s="13"/>
      <c r="FDT17" s="13"/>
      <c r="FDU17" s="13"/>
      <c r="FDV17" s="13"/>
      <c r="FDW17" s="13"/>
      <c r="FDX17" s="13"/>
      <c r="FDY17" s="13"/>
      <c r="FDZ17" s="13"/>
      <c r="FEA17" s="13"/>
      <c r="FEB17" s="13"/>
      <c r="FEC17" s="13"/>
      <c r="FED17" s="13"/>
      <c r="FEE17" s="13"/>
      <c r="FEF17" s="13"/>
      <c r="FEG17" s="13"/>
      <c r="FEH17" s="13"/>
      <c r="FEI17" s="13"/>
      <c r="FEJ17" s="13"/>
      <c r="FEK17" s="13"/>
      <c r="FEL17" s="13"/>
      <c r="FEM17" s="13"/>
      <c r="FEN17" s="13"/>
      <c r="FEO17" s="13"/>
      <c r="FEP17" s="13"/>
      <c r="FEQ17" s="13"/>
      <c r="FER17" s="13"/>
      <c r="FES17" s="13"/>
      <c r="FET17" s="13"/>
      <c r="FEU17" s="13"/>
      <c r="FEV17" s="13"/>
      <c r="FEW17" s="13"/>
      <c r="FEX17" s="13"/>
      <c r="FEY17" s="13"/>
      <c r="FEZ17" s="13"/>
      <c r="FFA17" s="13"/>
      <c r="FFB17" s="13"/>
      <c r="FFC17" s="13"/>
      <c r="FFD17" s="13"/>
      <c r="FFE17" s="13"/>
      <c r="FFF17" s="13"/>
      <c r="FFG17" s="13"/>
      <c r="FFH17" s="13"/>
      <c r="FFI17" s="13"/>
      <c r="FFJ17" s="13"/>
      <c r="FFK17" s="13"/>
      <c r="FFL17" s="13"/>
      <c r="FFM17" s="13"/>
      <c r="FFN17" s="13"/>
      <c r="FFO17" s="13"/>
      <c r="FFP17" s="13"/>
      <c r="FFQ17" s="13"/>
      <c r="FFR17" s="13"/>
      <c r="FFS17" s="13"/>
      <c r="FFT17" s="13"/>
      <c r="FFU17" s="13"/>
      <c r="FFV17" s="13"/>
      <c r="FFW17" s="13"/>
      <c r="FFX17" s="13"/>
      <c r="FFY17" s="13"/>
      <c r="FFZ17" s="13"/>
      <c r="FGA17" s="13"/>
      <c r="FGB17" s="13"/>
      <c r="FGC17" s="13"/>
      <c r="FGD17" s="13"/>
      <c r="FGE17" s="13"/>
      <c r="FGF17" s="13"/>
      <c r="FGG17" s="13"/>
      <c r="FGH17" s="13"/>
      <c r="FGI17" s="13"/>
      <c r="FGJ17" s="13"/>
      <c r="FGK17" s="13"/>
      <c r="FGL17" s="13"/>
      <c r="FGM17" s="13"/>
      <c r="FGN17" s="13"/>
      <c r="FGO17" s="13"/>
      <c r="FGP17" s="13"/>
      <c r="FGQ17" s="13"/>
      <c r="FGR17" s="13"/>
      <c r="FGS17" s="13"/>
      <c r="FGT17" s="13"/>
      <c r="FGU17" s="13"/>
      <c r="FGV17" s="13"/>
      <c r="FGW17" s="13"/>
      <c r="FGX17" s="13"/>
      <c r="FGY17" s="13"/>
      <c r="FGZ17" s="13"/>
      <c r="FHA17" s="13"/>
      <c r="FHB17" s="13"/>
      <c r="FHC17" s="13"/>
      <c r="FHD17" s="13"/>
      <c r="FHE17" s="13"/>
      <c r="FHF17" s="13"/>
      <c r="FHG17" s="13"/>
      <c r="FHH17" s="13"/>
      <c r="FHI17" s="13"/>
      <c r="FHJ17" s="13"/>
      <c r="FHK17" s="13"/>
      <c r="FHL17" s="13"/>
      <c r="FHM17" s="13"/>
      <c r="FHN17" s="13"/>
      <c r="FHO17" s="13"/>
      <c r="FHP17" s="13"/>
      <c r="FHQ17" s="13"/>
      <c r="FHR17" s="13"/>
      <c r="FHS17" s="13"/>
      <c r="FHT17" s="13"/>
      <c r="FHU17" s="13"/>
      <c r="FHV17" s="13"/>
      <c r="FHW17" s="13"/>
      <c r="FHX17" s="13"/>
      <c r="FHY17" s="13"/>
      <c r="FHZ17" s="13"/>
      <c r="FIA17" s="13"/>
      <c r="FIB17" s="13"/>
      <c r="FIC17" s="13"/>
      <c r="FID17" s="13"/>
      <c r="FIE17" s="13"/>
      <c r="FIF17" s="13"/>
      <c r="FIG17" s="13"/>
      <c r="FIH17" s="13"/>
      <c r="FII17" s="13"/>
      <c r="FIJ17" s="13"/>
      <c r="FIK17" s="13"/>
      <c r="FIL17" s="13"/>
      <c r="FIM17" s="13"/>
      <c r="FIN17" s="13"/>
      <c r="FIO17" s="13"/>
      <c r="FIP17" s="13"/>
      <c r="FIQ17" s="13"/>
      <c r="FIR17" s="13"/>
      <c r="FIS17" s="13"/>
      <c r="FIT17" s="13"/>
      <c r="FIU17" s="13"/>
      <c r="FIV17" s="13"/>
      <c r="FIW17" s="13"/>
      <c r="FIX17" s="13"/>
      <c r="FIY17" s="13"/>
      <c r="FIZ17" s="13"/>
      <c r="FJA17" s="13"/>
      <c r="FJB17" s="13"/>
      <c r="FJC17" s="13"/>
      <c r="FJD17" s="13"/>
      <c r="FJE17" s="13"/>
      <c r="FJF17" s="13"/>
      <c r="FJG17" s="13"/>
      <c r="FJH17" s="13"/>
      <c r="FJI17" s="13"/>
      <c r="FJJ17" s="13"/>
      <c r="FJK17" s="13"/>
      <c r="FJL17" s="13"/>
      <c r="FJM17" s="13"/>
      <c r="FJN17" s="13"/>
      <c r="FJO17" s="13"/>
      <c r="FJP17" s="13"/>
      <c r="FJQ17" s="13"/>
      <c r="FJR17" s="13"/>
      <c r="FJS17" s="13"/>
      <c r="FJT17" s="13"/>
      <c r="FJU17" s="13"/>
      <c r="FJV17" s="13"/>
      <c r="FJW17" s="13"/>
      <c r="FJX17" s="13"/>
      <c r="FJY17" s="13"/>
      <c r="FJZ17" s="13"/>
      <c r="FKA17" s="13"/>
      <c r="FKB17" s="13"/>
      <c r="FKC17" s="13"/>
      <c r="FKD17" s="13"/>
      <c r="FKE17" s="13"/>
      <c r="FKF17" s="13"/>
      <c r="FKG17" s="13"/>
      <c r="FKH17" s="13"/>
      <c r="FKI17" s="13"/>
      <c r="FKJ17" s="13"/>
      <c r="FKK17" s="13"/>
      <c r="FKL17" s="13"/>
      <c r="FKM17" s="13"/>
      <c r="FKN17" s="13"/>
      <c r="FKO17" s="13"/>
      <c r="FKP17" s="13"/>
      <c r="FKQ17" s="13"/>
      <c r="FKR17" s="13"/>
      <c r="FKS17" s="13"/>
      <c r="FKT17" s="13"/>
      <c r="FKU17" s="13"/>
      <c r="FKV17" s="13"/>
      <c r="FKW17" s="13"/>
      <c r="FKX17" s="13"/>
      <c r="FKY17" s="13"/>
      <c r="FKZ17" s="13"/>
      <c r="FLA17" s="13"/>
      <c r="FLB17" s="13"/>
      <c r="FLC17" s="13"/>
      <c r="FLD17" s="13"/>
      <c r="FLE17" s="13"/>
      <c r="FLF17" s="13"/>
      <c r="FLG17" s="13"/>
      <c r="FLH17" s="13"/>
      <c r="FLI17" s="13"/>
      <c r="FLJ17" s="13"/>
      <c r="FLK17" s="13"/>
      <c r="FLL17" s="13"/>
      <c r="FLM17" s="13"/>
      <c r="FLN17" s="13"/>
      <c r="FLO17" s="13"/>
      <c r="FLP17" s="13"/>
      <c r="FLQ17" s="13"/>
      <c r="FLR17" s="13"/>
      <c r="FLS17" s="13"/>
      <c r="FLT17" s="13"/>
      <c r="FLU17" s="13"/>
      <c r="FLV17" s="13"/>
      <c r="FLW17" s="13"/>
      <c r="FLX17" s="13"/>
      <c r="FLY17" s="13"/>
      <c r="FLZ17" s="13"/>
      <c r="FMA17" s="13"/>
      <c r="FMB17" s="13"/>
      <c r="FMC17" s="13"/>
      <c r="FMD17" s="13"/>
      <c r="FME17" s="13"/>
      <c r="FMF17" s="13"/>
      <c r="FMG17" s="13"/>
      <c r="FMH17" s="13"/>
      <c r="FMI17" s="13"/>
      <c r="FMJ17" s="13"/>
      <c r="FMK17" s="13"/>
      <c r="FML17" s="13"/>
      <c r="FMM17" s="13"/>
      <c r="FMN17" s="13"/>
      <c r="FMO17" s="13"/>
      <c r="FMP17" s="13"/>
      <c r="FMQ17" s="13"/>
      <c r="FMR17" s="13"/>
      <c r="FMS17" s="13"/>
      <c r="FMT17" s="13"/>
      <c r="FMU17" s="13"/>
      <c r="FMV17" s="13"/>
      <c r="FMW17" s="13"/>
      <c r="FMX17" s="13"/>
      <c r="FMY17" s="13"/>
      <c r="FMZ17" s="13"/>
      <c r="FNA17" s="13"/>
      <c r="FNB17" s="13"/>
      <c r="FNC17" s="13"/>
      <c r="FND17" s="13"/>
      <c r="FNE17" s="13"/>
      <c r="FNF17" s="13"/>
      <c r="FNG17" s="13"/>
      <c r="FNH17" s="13"/>
      <c r="FNI17" s="13"/>
      <c r="FNJ17" s="13"/>
      <c r="FNK17" s="13"/>
      <c r="FNL17" s="13"/>
      <c r="FNM17" s="13"/>
      <c r="FNN17" s="13"/>
      <c r="FNO17" s="13"/>
      <c r="FNP17" s="13"/>
      <c r="FNQ17" s="13"/>
      <c r="FNR17" s="13"/>
      <c r="FNS17" s="13"/>
      <c r="FNT17" s="13"/>
      <c r="FNU17" s="13"/>
      <c r="FNV17" s="13"/>
      <c r="FNW17" s="13"/>
      <c r="FNX17" s="13"/>
      <c r="FNY17" s="13"/>
      <c r="FNZ17" s="13"/>
      <c r="FOA17" s="13"/>
      <c r="FOB17" s="13"/>
      <c r="FOC17" s="13"/>
      <c r="FOD17" s="13"/>
      <c r="FOE17" s="13"/>
      <c r="FOF17" s="13"/>
      <c r="FOG17" s="13"/>
      <c r="FOH17" s="13"/>
      <c r="FOI17" s="13"/>
      <c r="FOJ17" s="13"/>
      <c r="FOK17" s="13"/>
      <c r="FOL17" s="13"/>
      <c r="FOM17" s="13"/>
      <c r="FON17" s="13"/>
      <c r="FOO17" s="13"/>
      <c r="FOP17" s="13"/>
      <c r="FOQ17" s="13"/>
      <c r="FOR17" s="13"/>
      <c r="FOS17" s="13"/>
      <c r="FOT17" s="13"/>
      <c r="FOU17" s="13"/>
      <c r="FOV17" s="13"/>
      <c r="FOW17" s="13"/>
      <c r="FOX17" s="13"/>
      <c r="FOY17" s="13"/>
      <c r="FOZ17" s="13"/>
      <c r="FPA17" s="13"/>
      <c r="FPB17" s="13"/>
      <c r="FPC17" s="13"/>
      <c r="FPD17" s="13"/>
      <c r="FPE17" s="13"/>
      <c r="FPF17" s="13"/>
      <c r="FPG17" s="13"/>
      <c r="FPH17" s="13"/>
      <c r="FPI17" s="13"/>
      <c r="FPJ17" s="13"/>
      <c r="FPK17" s="13"/>
      <c r="FPL17" s="13"/>
      <c r="FPM17" s="13"/>
      <c r="FPN17" s="13"/>
      <c r="FPO17" s="13"/>
      <c r="FPP17" s="13"/>
      <c r="FPQ17" s="13"/>
      <c r="FPR17" s="13"/>
      <c r="FPS17" s="13"/>
      <c r="FPT17" s="13"/>
      <c r="FPU17" s="13"/>
      <c r="FPV17" s="13"/>
      <c r="FPW17" s="13"/>
      <c r="FPX17" s="13"/>
      <c r="FPY17" s="13"/>
      <c r="FPZ17" s="13"/>
      <c r="FQA17" s="13"/>
      <c r="FQB17" s="13"/>
      <c r="FQC17" s="13"/>
      <c r="FQD17" s="13"/>
      <c r="FQE17" s="13"/>
      <c r="FQF17" s="13"/>
      <c r="FQG17" s="13"/>
      <c r="FQH17" s="13"/>
      <c r="FQI17" s="13"/>
      <c r="FQJ17" s="13"/>
      <c r="FQK17" s="13"/>
      <c r="FQL17" s="13"/>
      <c r="FQM17" s="13"/>
      <c r="FQN17" s="13"/>
      <c r="FQO17" s="13"/>
      <c r="FQP17" s="13"/>
      <c r="FQQ17" s="13"/>
      <c r="FQR17" s="13"/>
      <c r="FQS17" s="13"/>
      <c r="FQT17" s="13"/>
      <c r="FQU17" s="13"/>
      <c r="FQV17" s="13"/>
      <c r="FQW17" s="13"/>
      <c r="FQX17" s="13"/>
      <c r="FQY17" s="13"/>
      <c r="FQZ17" s="13"/>
      <c r="FRA17" s="13"/>
      <c r="FRB17" s="13"/>
      <c r="FRC17" s="13"/>
      <c r="FRD17" s="13"/>
      <c r="FRE17" s="13"/>
      <c r="FRF17" s="13"/>
      <c r="FRG17" s="13"/>
      <c r="FRH17" s="13"/>
      <c r="FRI17" s="13"/>
      <c r="FRJ17" s="13"/>
      <c r="FRK17" s="13"/>
      <c r="FRL17" s="13"/>
      <c r="FRM17" s="13"/>
      <c r="FRN17" s="13"/>
      <c r="FRO17" s="13"/>
      <c r="FRP17" s="13"/>
      <c r="FRQ17" s="13"/>
      <c r="FRR17" s="13"/>
      <c r="FRS17" s="13"/>
      <c r="FRT17" s="13"/>
      <c r="FRU17" s="13"/>
      <c r="FRV17" s="13"/>
      <c r="FRW17" s="13"/>
      <c r="FRX17" s="13"/>
      <c r="FRY17" s="13"/>
      <c r="FRZ17" s="13"/>
      <c r="FSA17" s="13"/>
      <c r="FSB17" s="13"/>
      <c r="FSC17" s="13"/>
      <c r="FSD17" s="13"/>
      <c r="FSE17" s="13"/>
      <c r="FSF17" s="13"/>
      <c r="FSG17" s="13"/>
      <c r="FSH17" s="13"/>
      <c r="FSI17" s="13"/>
      <c r="FSJ17" s="13"/>
      <c r="FSK17" s="13"/>
      <c r="FSL17" s="13"/>
      <c r="FSM17" s="13"/>
      <c r="FSN17" s="13"/>
      <c r="FSO17" s="13"/>
      <c r="FSP17" s="13"/>
      <c r="FSQ17" s="13"/>
      <c r="FSR17" s="13"/>
      <c r="FSS17" s="13"/>
      <c r="FST17" s="13"/>
      <c r="FSU17" s="13"/>
      <c r="FSV17" s="13"/>
      <c r="FSW17" s="13"/>
      <c r="FSX17" s="13"/>
      <c r="FSY17" s="13"/>
      <c r="FSZ17" s="13"/>
      <c r="FTA17" s="13"/>
      <c r="FTB17" s="13"/>
      <c r="FTC17" s="13"/>
      <c r="FTD17" s="13"/>
      <c r="FTE17" s="13"/>
      <c r="FTF17" s="13"/>
      <c r="FTG17" s="13"/>
      <c r="FTH17" s="13"/>
      <c r="FTI17" s="13"/>
      <c r="FTJ17" s="13"/>
      <c r="FTK17" s="13"/>
      <c r="FTL17" s="13"/>
      <c r="FTM17" s="13"/>
      <c r="FTN17" s="13"/>
      <c r="FTO17" s="13"/>
      <c r="FTP17" s="13"/>
      <c r="FTQ17" s="13"/>
      <c r="FTR17" s="13"/>
      <c r="FTS17" s="13"/>
      <c r="FTT17" s="13"/>
      <c r="FTU17" s="13"/>
      <c r="FTV17" s="13"/>
      <c r="FTW17" s="13"/>
      <c r="FTX17" s="13"/>
      <c r="FTY17" s="13"/>
      <c r="FTZ17" s="13"/>
      <c r="FUA17" s="13"/>
      <c r="FUB17" s="13"/>
      <c r="FUC17" s="13"/>
      <c r="FUD17" s="13"/>
      <c r="FUE17" s="13"/>
      <c r="FUF17" s="13"/>
      <c r="FUG17" s="13"/>
      <c r="FUH17" s="13"/>
      <c r="FUI17" s="13"/>
      <c r="FUJ17" s="13"/>
      <c r="FUK17" s="13"/>
      <c r="FUL17" s="13"/>
      <c r="FUM17" s="13"/>
      <c r="FUN17" s="13"/>
      <c r="FUO17" s="13"/>
      <c r="FUP17" s="13"/>
      <c r="FUQ17" s="13"/>
      <c r="FUR17" s="13"/>
      <c r="FUS17" s="13"/>
      <c r="FUT17" s="13"/>
      <c r="FUU17" s="13"/>
      <c r="FUV17" s="13"/>
      <c r="FUW17" s="13"/>
      <c r="FUX17" s="13"/>
      <c r="FUY17" s="13"/>
      <c r="FUZ17" s="13"/>
      <c r="FVA17" s="13"/>
      <c r="FVB17" s="13"/>
      <c r="FVC17" s="13"/>
      <c r="FVD17" s="13"/>
      <c r="FVE17" s="13"/>
      <c r="FVF17" s="13"/>
      <c r="FVG17" s="13"/>
      <c r="FVH17" s="13"/>
      <c r="FVI17" s="13"/>
      <c r="FVJ17" s="13"/>
      <c r="FVK17" s="13"/>
      <c r="FVL17" s="13"/>
      <c r="FVM17" s="13"/>
      <c r="FVN17" s="13"/>
      <c r="FVO17" s="13"/>
      <c r="FVP17" s="13"/>
      <c r="FVQ17" s="13"/>
      <c r="FVR17" s="13"/>
      <c r="FVS17" s="13"/>
      <c r="FVT17" s="13"/>
      <c r="FVU17" s="13"/>
      <c r="FVV17" s="13"/>
      <c r="FVW17" s="13"/>
      <c r="FVX17" s="13"/>
      <c r="FVY17" s="13"/>
      <c r="FVZ17" s="13"/>
      <c r="FWA17" s="13"/>
      <c r="FWB17" s="13"/>
      <c r="FWC17" s="13"/>
      <c r="FWD17" s="13"/>
      <c r="FWE17" s="13"/>
      <c r="FWF17" s="13"/>
      <c r="FWG17" s="13"/>
      <c r="FWH17" s="13"/>
      <c r="FWI17" s="13"/>
      <c r="FWJ17" s="13"/>
      <c r="FWK17" s="13"/>
      <c r="FWL17" s="13"/>
      <c r="FWM17" s="13"/>
      <c r="FWN17" s="13"/>
      <c r="FWO17" s="13"/>
      <c r="FWP17" s="13"/>
      <c r="FWQ17" s="13"/>
      <c r="FWR17" s="13"/>
      <c r="FWS17" s="13"/>
      <c r="FWT17" s="13"/>
      <c r="FWU17" s="13"/>
      <c r="FWV17" s="13"/>
      <c r="FWW17" s="13"/>
      <c r="FWX17" s="13"/>
      <c r="FWY17" s="13"/>
      <c r="FWZ17" s="13"/>
      <c r="FXA17" s="13"/>
      <c r="FXB17" s="13"/>
      <c r="FXC17" s="13"/>
      <c r="FXD17" s="13"/>
      <c r="FXE17" s="13"/>
      <c r="FXF17" s="13"/>
      <c r="FXG17" s="13"/>
      <c r="FXH17" s="13"/>
      <c r="FXI17" s="13"/>
      <c r="FXJ17" s="13"/>
      <c r="FXK17" s="13"/>
      <c r="FXL17" s="13"/>
      <c r="FXM17" s="13"/>
      <c r="FXN17" s="13"/>
      <c r="FXO17" s="13"/>
      <c r="FXP17" s="13"/>
      <c r="FXQ17" s="13"/>
      <c r="FXR17" s="13"/>
      <c r="FXS17" s="13"/>
      <c r="FXT17" s="13"/>
      <c r="FXU17" s="13"/>
      <c r="FXV17" s="13"/>
      <c r="FXW17" s="13"/>
      <c r="FXX17" s="13"/>
      <c r="FXY17" s="13"/>
      <c r="FXZ17" s="13"/>
      <c r="FYA17" s="13"/>
      <c r="FYB17" s="13"/>
      <c r="FYC17" s="13"/>
      <c r="FYD17" s="13"/>
      <c r="FYE17" s="13"/>
      <c r="FYF17" s="13"/>
      <c r="FYG17" s="13"/>
      <c r="FYH17" s="13"/>
      <c r="FYI17" s="13"/>
      <c r="FYJ17" s="13"/>
      <c r="FYK17" s="13"/>
      <c r="FYL17" s="13"/>
      <c r="FYM17" s="13"/>
      <c r="FYN17" s="13"/>
      <c r="FYO17" s="13"/>
      <c r="FYP17" s="13"/>
      <c r="FYQ17" s="13"/>
      <c r="FYR17" s="13"/>
      <c r="FYS17" s="13"/>
      <c r="FYT17" s="13"/>
      <c r="FYU17" s="13"/>
      <c r="FYV17" s="13"/>
      <c r="FYW17" s="13"/>
      <c r="FYX17" s="13"/>
      <c r="FYY17" s="13"/>
      <c r="FYZ17" s="13"/>
      <c r="FZA17" s="13"/>
      <c r="FZB17" s="13"/>
      <c r="FZC17" s="13"/>
      <c r="FZD17" s="13"/>
      <c r="FZE17" s="13"/>
      <c r="FZF17" s="13"/>
      <c r="FZG17" s="13"/>
      <c r="FZH17" s="13"/>
      <c r="FZI17" s="13"/>
      <c r="FZJ17" s="13"/>
      <c r="FZK17" s="13"/>
      <c r="FZL17" s="13"/>
      <c r="FZM17" s="13"/>
      <c r="FZN17" s="13"/>
      <c r="FZO17" s="13"/>
      <c r="FZP17" s="13"/>
      <c r="FZQ17" s="13"/>
      <c r="FZR17" s="13"/>
      <c r="FZS17" s="13"/>
      <c r="FZT17" s="13"/>
      <c r="FZU17" s="13"/>
      <c r="FZV17" s="13"/>
      <c r="FZW17" s="13"/>
      <c r="FZX17" s="13"/>
      <c r="FZY17" s="13"/>
      <c r="FZZ17" s="13"/>
      <c r="GAA17" s="13"/>
      <c r="GAB17" s="13"/>
      <c r="GAC17" s="13"/>
      <c r="GAD17" s="13"/>
      <c r="GAE17" s="13"/>
      <c r="GAF17" s="13"/>
      <c r="GAG17" s="13"/>
      <c r="GAH17" s="13"/>
      <c r="GAI17" s="13"/>
      <c r="GAJ17" s="13"/>
      <c r="GAK17" s="13"/>
      <c r="GAL17" s="13"/>
      <c r="GAM17" s="13"/>
      <c r="GAN17" s="13"/>
      <c r="GAO17" s="13"/>
      <c r="GAP17" s="13"/>
      <c r="GAQ17" s="13"/>
      <c r="GAR17" s="13"/>
      <c r="GAS17" s="13"/>
      <c r="GAT17" s="13"/>
      <c r="GAU17" s="13"/>
      <c r="GAV17" s="13"/>
      <c r="GAW17" s="13"/>
      <c r="GAX17" s="13"/>
      <c r="GAY17" s="13"/>
      <c r="GAZ17" s="13"/>
      <c r="GBA17" s="13"/>
      <c r="GBB17" s="13"/>
      <c r="GBC17" s="13"/>
      <c r="GBD17" s="13"/>
      <c r="GBE17" s="13"/>
      <c r="GBF17" s="13"/>
      <c r="GBG17" s="13"/>
      <c r="GBH17" s="13"/>
      <c r="GBI17" s="13"/>
      <c r="GBJ17" s="13"/>
      <c r="GBK17" s="13"/>
      <c r="GBL17" s="13"/>
      <c r="GBM17" s="13"/>
      <c r="GBN17" s="13"/>
      <c r="GBO17" s="13"/>
      <c r="GBP17" s="13"/>
      <c r="GBQ17" s="13"/>
      <c r="GBR17" s="13"/>
      <c r="GBS17" s="13"/>
      <c r="GBT17" s="13"/>
      <c r="GBU17" s="13"/>
      <c r="GBV17" s="13"/>
      <c r="GBW17" s="13"/>
      <c r="GBX17" s="13"/>
      <c r="GBY17" s="13"/>
      <c r="GBZ17" s="13"/>
      <c r="GCA17" s="13"/>
      <c r="GCB17" s="13"/>
      <c r="GCC17" s="13"/>
      <c r="GCD17" s="13"/>
      <c r="GCE17" s="13"/>
      <c r="GCF17" s="13"/>
      <c r="GCG17" s="13"/>
      <c r="GCH17" s="13"/>
      <c r="GCI17" s="13"/>
      <c r="GCJ17" s="13"/>
      <c r="GCK17" s="13"/>
      <c r="GCL17" s="13"/>
      <c r="GCM17" s="13"/>
      <c r="GCN17" s="13"/>
      <c r="GCO17" s="13"/>
      <c r="GCP17" s="13"/>
      <c r="GCQ17" s="13"/>
      <c r="GCR17" s="13"/>
      <c r="GCS17" s="13"/>
      <c r="GCT17" s="13"/>
      <c r="GCU17" s="13"/>
      <c r="GCV17" s="13"/>
      <c r="GCW17" s="13"/>
      <c r="GCX17" s="13"/>
      <c r="GCY17" s="13"/>
      <c r="GCZ17" s="13"/>
      <c r="GDA17" s="13"/>
      <c r="GDB17" s="13"/>
      <c r="GDC17" s="13"/>
      <c r="GDD17" s="13"/>
      <c r="GDE17" s="13"/>
      <c r="GDF17" s="13"/>
      <c r="GDG17" s="13"/>
      <c r="GDH17" s="13"/>
      <c r="GDI17" s="13"/>
      <c r="GDJ17" s="13"/>
      <c r="GDK17" s="13"/>
      <c r="GDL17" s="13"/>
      <c r="GDM17" s="13"/>
      <c r="GDN17" s="13"/>
      <c r="GDO17" s="13"/>
      <c r="GDP17" s="13"/>
      <c r="GDQ17" s="13"/>
      <c r="GDR17" s="13"/>
      <c r="GDS17" s="13"/>
      <c r="GDT17" s="13"/>
      <c r="GDU17" s="13"/>
      <c r="GDV17" s="13"/>
      <c r="GDW17" s="13"/>
      <c r="GDX17" s="13"/>
      <c r="GDY17" s="13"/>
      <c r="GDZ17" s="13"/>
      <c r="GEA17" s="13"/>
      <c r="GEB17" s="13"/>
      <c r="GEC17" s="13"/>
      <c r="GED17" s="13"/>
      <c r="GEE17" s="13"/>
      <c r="GEF17" s="13"/>
      <c r="GEG17" s="13"/>
      <c r="GEH17" s="13"/>
      <c r="GEI17" s="13"/>
      <c r="GEJ17" s="13"/>
      <c r="GEK17" s="13"/>
      <c r="GEL17" s="13"/>
      <c r="GEM17" s="13"/>
      <c r="GEN17" s="13"/>
      <c r="GEO17" s="13"/>
      <c r="GEP17" s="13"/>
      <c r="GEQ17" s="13"/>
      <c r="GER17" s="13"/>
      <c r="GES17" s="13"/>
      <c r="GET17" s="13"/>
      <c r="GEU17" s="13"/>
      <c r="GEV17" s="13"/>
      <c r="GEW17" s="13"/>
      <c r="GEX17" s="13"/>
      <c r="GEY17" s="13"/>
      <c r="GEZ17" s="13"/>
      <c r="GFA17" s="13"/>
      <c r="GFB17" s="13"/>
      <c r="GFC17" s="13"/>
      <c r="GFD17" s="13"/>
      <c r="GFE17" s="13"/>
      <c r="GFF17" s="13"/>
      <c r="GFG17" s="13"/>
      <c r="GFH17" s="13"/>
      <c r="GFI17" s="13"/>
      <c r="GFJ17" s="13"/>
      <c r="GFK17" s="13"/>
      <c r="GFL17" s="13"/>
      <c r="GFM17" s="13"/>
      <c r="GFN17" s="13"/>
      <c r="GFO17" s="13"/>
      <c r="GFP17" s="13"/>
      <c r="GFQ17" s="13"/>
      <c r="GFR17" s="13"/>
      <c r="GFS17" s="13"/>
      <c r="GFT17" s="13"/>
      <c r="GFU17" s="13"/>
      <c r="GFV17" s="13"/>
      <c r="GFW17" s="13"/>
      <c r="GFX17" s="13"/>
      <c r="GFY17" s="13"/>
      <c r="GFZ17" s="13"/>
      <c r="GGA17" s="13"/>
      <c r="GGB17" s="13"/>
      <c r="GGC17" s="13"/>
      <c r="GGD17" s="13"/>
      <c r="GGE17" s="13"/>
      <c r="GGF17" s="13"/>
      <c r="GGG17" s="13"/>
      <c r="GGH17" s="13"/>
      <c r="GGI17" s="13"/>
      <c r="GGJ17" s="13"/>
      <c r="GGK17" s="13"/>
      <c r="GGL17" s="13"/>
      <c r="GGM17" s="13"/>
      <c r="GGN17" s="13"/>
      <c r="GGO17" s="13"/>
      <c r="GGP17" s="13"/>
      <c r="GGQ17" s="13"/>
      <c r="GGR17" s="13"/>
      <c r="GGS17" s="13"/>
      <c r="GGT17" s="13"/>
      <c r="GGU17" s="13"/>
      <c r="GGV17" s="13"/>
      <c r="GGW17" s="13"/>
      <c r="GGX17" s="13"/>
      <c r="GGY17" s="13"/>
      <c r="GGZ17" s="13"/>
      <c r="GHA17" s="13"/>
      <c r="GHB17" s="13"/>
      <c r="GHC17" s="13"/>
      <c r="GHD17" s="13"/>
      <c r="GHE17" s="13"/>
      <c r="GHF17" s="13"/>
      <c r="GHG17" s="13"/>
      <c r="GHH17" s="13"/>
      <c r="GHI17" s="13"/>
      <c r="GHJ17" s="13"/>
      <c r="GHK17" s="13"/>
      <c r="GHL17" s="13"/>
      <c r="GHM17" s="13"/>
      <c r="GHN17" s="13"/>
      <c r="GHO17" s="13"/>
      <c r="GHP17" s="13"/>
      <c r="GHQ17" s="13"/>
      <c r="GHR17" s="13"/>
      <c r="GHS17" s="13"/>
      <c r="GHT17" s="13"/>
      <c r="GHU17" s="13"/>
      <c r="GHV17" s="13"/>
      <c r="GHW17" s="13"/>
      <c r="GHX17" s="13"/>
      <c r="GHY17" s="13"/>
      <c r="GHZ17" s="13"/>
      <c r="GIA17" s="13"/>
      <c r="GIB17" s="13"/>
      <c r="GIC17" s="13"/>
      <c r="GID17" s="13"/>
      <c r="GIE17" s="13"/>
      <c r="GIF17" s="13"/>
      <c r="GIG17" s="13"/>
      <c r="GIH17" s="13"/>
      <c r="GII17" s="13"/>
      <c r="GIJ17" s="13"/>
      <c r="GIK17" s="13"/>
      <c r="GIL17" s="13"/>
      <c r="GIM17" s="13"/>
      <c r="GIN17" s="13"/>
      <c r="GIO17" s="13"/>
      <c r="GIP17" s="13"/>
      <c r="GIQ17" s="13"/>
      <c r="GIR17" s="13"/>
      <c r="GIS17" s="13"/>
      <c r="GIT17" s="13"/>
      <c r="GIU17" s="13"/>
      <c r="GIV17" s="13"/>
      <c r="GIW17" s="13"/>
      <c r="GIX17" s="13"/>
      <c r="GIY17" s="13"/>
      <c r="GIZ17" s="13"/>
      <c r="GJA17" s="13"/>
      <c r="GJB17" s="13"/>
      <c r="GJC17" s="13"/>
      <c r="GJD17" s="13"/>
      <c r="GJE17" s="13"/>
      <c r="GJF17" s="13"/>
      <c r="GJG17" s="13"/>
      <c r="GJH17" s="13"/>
      <c r="GJI17" s="13"/>
      <c r="GJJ17" s="13"/>
      <c r="GJK17" s="13"/>
      <c r="GJL17" s="13"/>
      <c r="GJM17" s="13"/>
      <c r="GJN17" s="13"/>
      <c r="GJO17" s="13"/>
      <c r="GJP17" s="13"/>
      <c r="GJQ17" s="13"/>
      <c r="GJR17" s="13"/>
      <c r="GJS17" s="13"/>
      <c r="GJT17" s="13"/>
      <c r="GJU17" s="13"/>
      <c r="GJV17" s="13"/>
      <c r="GJW17" s="13"/>
      <c r="GJX17" s="13"/>
      <c r="GJY17" s="13"/>
      <c r="GJZ17" s="13"/>
      <c r="GKA17" s="13"/>
      <c r="GKB17" s="13"/>
      <c r="GKC17" s="13"/>
      <c r="GKD17" s="13"/>
      <c r="GKE17" s="13"/>
      <c r="GKF17" s="13"/>
      <c r="GKG17" s="13"/>
      <c r="GKH17" s="13"/>
      <c r="GKI17" s="13"/>
      <c r="GKJ17" s="13"/>
      <c r="GKK17" s="13"/>
      <c r="GKL17" s="13"/>
      <c r="GKM17" s="13"/>
      <c r="GKN17" s="13"/>
      <c r="GKO17" s="13"/>
      <c r="GKP17" s="13"/>
      <c r="GKQ17" s="13"/>
      <c r="GKR17" s="13"/>
      <c r="GKS17" s="13"/>
      <c r="GKT17" s="13"/>
      <c r="GKU17" s="13"/>
      <c r="GKV17" s="13"/>
      <c r="GKW17" s="13"/>
      <c r="GKX17" s="13"/>
      <c r="GKY17" s="13"/>
      <c r="GKZ17" s="13"/>
      <c r="GLA17" s="13"/>
      <c r="GLB17" s="13"/>
      <c r="GLC17" s="13"/>
      <c r="GLD17" s="13"/>
      <c r="GLE17" s="13"/>
      <c r="GLF17" s="13"/>
      <c r="GLG17" s="13"/>
      <c r="GLH17" s="13"/>
      <c r="GLI17" s="13"/>
      <c r="GLJ17" s="13"/>
      <c r="GLK17" s="13"/>
      <c r="GLL17" s="13"/>
      <c r="GLM17" s="13"/>
      <c r="GLN17" s="13"/>
      <c r="GLO17" s="13"/>
      <c r="GLP17" s="13"/>
      <c r="GLQ17" s="13"/>
      <c r="GLR17" s="13"/>
      <c r="GLS17" s="13"/>
      <c r="GLT17" s="13"/>
      <c r="GLU17" s="13"/>
      <c r="GLV17" s="13"/>
      <c r="GLW17" s="13"/>
      <c r="GLX17" s="13"/>
      <c r="GLY17" s="13"/>
      <c r="GLZ17" s="13"/>
      <c r="GMA17" s="13"/>
      <c r="GMB17" s="13"/>
      <c r="GMC17" s="13"/>
      <c r="GMD17" s="13"/>
      <c r="GME17" s="13"/>
      <c r="GMF17" s="13"/>
      <c r="GMG17" s="13"/>
      <c r="GMH17" s="13"/>
      <c r="GMI17" s="13"/>
      <c r="GMJ17" s="13"/>
      <c r="GMK17" s="13"/>
      <c r="GML17" s="13"/>
      <c r="GMM17" s="13"/>
      <c r="GMN17" s="13"/>
      <c r="GMO17" s="13"/>
      <c r="GMP17" s="13"/>
      <c r="GMQ17" s="13"/>
      <c r="GMR17" s="13"/>
      <c r="GMS17" s="13"/>
      <c r="GMT17" s="13"/>
      <c r="GMU17" s="13"/>
      <c r="GMV17" s="13"/>
      <c r="GMW17" s="13"/>
      <c r="GMX17" s="13"/>
      <c r="GMY17" s="13"/>
      <c r="GMZ17" s="13"/>
      <c r="GNA17" s="13"/>
      <c r="GNB17" s="13"/>
      <c r="GNC17" s="13"/>
      <c r="GND17" s="13"/>
      <c r="GNE17" s="13"/>
      <c r="GNF17" s="13"/>
      <c r="GNG17" s="13"/>
      <c r="GNH17" s="13"/>
      <c r="GNI17" s="13"/>
      <c r="GNJ17" s="13"/>
      <c r="GNK17" s="13"/>
      <c r="GNL17" s="13"/>
      <c r="GNM17" s="13"/>
      <c r="GNN17" s="13"/>
      <c r="GNO17" s="13"/>
      <c r="GNP17" s="13"/>
      <c r="GNQ17" s="13"/>
      <c r="GNR17" s="13"/>
      <c r="GNS17" s="13"/>
      <c r="GNT17" s="13"/>
      <c r="GNU17" s="13"/>
      <c r="GNV17" s="13"/>
      <c r="GNW17" s="13"/>
      <c r="GNX17" s="13"/>
      <c r="GNY17" s="13"/>
      <c r="GNZ17" s="13"/>
      <c r="GOA17" s="13"/>
      <c r="GOB17" s="13"/>
      <c r="GOC17" s="13"/>
      <c r="GOD17" s="13"/>
      <c r="GOE17" s="13"/>
      <c r="GOF17" s="13"/>
      <c r="GOG17" s="13"/>
      <c r="GOH17" s="13"/>
      <c r="GOI17" s="13"/>
      <c r="GOJ17" s="13"/>
      <c r="GOK17" s="13"/>
      <c r="GOL17" s="13"/>
      <c r="GOM17" s="13"/>
      <c r="GON17" s="13"/>
      <c r="GOO17" s="13"/>
      <c r="GOP17" s="13"/>
      <c r="GOQ17" s="13"/>
      <c r="GOR17" s="13"/>
      <c r="GOS17" s="13"/>
      <c r="GOT17" s="13"/>
      <c r="GOU17" s="13"/>
      <c r="GOV17" s="13"/>
      <c r="GOW17" s="13"/>
      <c r="GOX17" s="13"/>
      <c r="GOY17" s="13"/>
      <c r="GOZ17" s="13"/>
      <c r="GPA17" s="13"/>
      <c r="GPB17" s="13"/>
      <c r="GPC17" s="13"/>
      <c r="GPD17" s="13"/>
      <c r="GPE17" s="13"/>
      <c r="GPF17" s="13"/>
      <c r="GPG17" s="13"/>
      <c r="GPH17" s="13"/>
      <c r="GPI17" s="13"/>
      <c r="GPJ17" s="13"/>
      <c r="GPK17" s="13"/>
      <c r="GPL17" s="13"/>
      <c r="GPM17" s="13"/>
      <c r="GPN17" s="13"/>
      <c r="GPO17" s="13"/>
      <c r="GPP17" s="13"/>
      <c r="GPQ17" s="13"/>
      <c r="GPR17" s="13"/>
      <c r="GPS17" s="13"/>
      <c r="GPT17" s="13"/>
      <c r="GPU17" s="13"/>
      <c r="GPV17" s="13"/>
      <c r="GPW17" s="13"/>
      <c r="GPX17" s="13"/>
      <c r="GPY17" s="13"/>
      <c r="GPZ17" s="13"/>
      <c r="GQA17" s="13"/>
      <c r="GQB17" s="13"/>
      <c r="GQC17" s="13"/>
      <c r="GQD17" s="13"/>
      <c r="GQE17" s="13"/>
      <c r="GQF17" s="13"/>
      <c r="GQG17" s="13"/>
      <c r="GQH17" s="13"/>
      <c r="GQI17" s="13"/>
      <c r="GQJ17" s="13"/>
      <c r="GQK17" s="13"/>
      <c r="GQL17" s="13"/>
      <c r="GQM17" s="13"/>
      <c r="GQN17" s="13"/>
      <c r="GQO17" s="13"/>
      <c r="GQP17" s="13"/>
      <c r="GQQ17" s="13"/>
      <c r="GQR17" s="13"/>
      <c r="GQS17" s="13"/>
      <c r="GQT17" s="13"/>
      <c r="GQU17" s="13"/>
      <c r="GQV17" s="13"/>
      <c r="GQW17" s="13"/>
      <c r="GQX17" s="13"/>
      <c r="GQY17" s="13"/>
      <c r="GQZ17" s="13"/>
      <c r="GRA17" s="13"/>
      <c r="GRB17" s="13"/>
      <c r="GRC17" s="13"/>
      <c r="GRD17" s="13"/>
      <c r="GRE17" s="13"/>
      <c r="GRF17" s="13"/>
      <c r="GRG17" s="13"/>
      <c r="GRH17" s="13"/>
      <c r="GRI17" s="13"/>
      <c r="GRJ17" s="13"/>
      <c r="GRK17" s="13"/>
      <c r="GRL17" s="13"/>
      <c r="GRM17" s="13"/>
      <c r="GRN17" s="13"/>
      <c r="GRO17" s="13"/>
      <c r="GRP17" s="13"/>
      <c r="GRQ17" s="13"/>
      <c r="GRR17" s="13"/>
      <c r="GRS17" s="13"/>
      <c r="GRT17" s="13"/>
      <c r="GRU17" s="13"/>
      <c r="GRV17" s="13"/>
      <c r="GRW17" s="13"/>
      <c r="GRX17" s="13"/>
      <c r="GRY17" s="13"/>
      <c r="GRZ17" s="13"/>
      <c r="GSA17" s="13"/>
      <c r="GSB17" s="13"/>
      <c r="GSC17" s="13"/>
      <c r="GSD17" s="13"/>
      <c r="GSE17" s="13"/>
      <c r="GSF17" s="13"/>
      <c r="GSG17" s="13"/>
      <c r="GSH17" s="13"/>
      <c r="GSI17" s="13"/>
      <c r="GSJ17" s="13"/>
      <c r="GSK17" s="13"/>
      <c r="GSL17" s="13"/>
      <c r="GSM17" s="13"/>
      <c r="GSN17" s="13"/>
      <c r="GSO17" s="13"/>
      <c r="GSP17" s="13"/>
      <c r="GSQ17" s="13"/>
      <c r="GSR17" s="13"/>
      <c r="GSS17" s="13"/>
      <c r="GST17" s="13"/>
      <c r="GSU17" s="13"/>
      <c r="GSV17" s="13"/>
      <c r="GSW17" s="13"/>
      <c r="GSX17" s="13"/>
      <c r="GSY17" s="13"/>
      <c r="GSZ17" s="13"/>
      <c r="GTA17" s="13"/>
      <c r="GTB17" s="13"/>
      <c r="GTC17" s="13"/>
      <c r="GTD17" s="13"/>
      <c r="GTE17" s="13"/>
      <c r="GTF17" s="13"/>
      <c r="GTG17" s="13"/>
      <c r="GTH17" s="13"/>
      <c r="GTI17" s="13"/>
      <c r="GTJ17" s="13"/>
      <c r="GTK17" s="13"/>
      <c r="GTL17" s="13"/>
      <c r="GTM17" s="13"/>
      <c r="GTN17" s="13"/>
      <c r="GTO17" s="13"/>
      <c r="GTP17" s="13"/>
      <c r="GTQ17" s="13"/>
      <c r="GTR17" s="13"/>
      <c r="GTS17" s="13"/>
      <c r="GTT17" s="13"/>
      <c r="GTU17" s="13"/>
      <c r="GTV17" s="13"/>
      <c r="GTW17" s="13"/>
      <c r="GTX17" s="13"/>
      <c r="GTY17" s="13"/>
      <c r="GTZ17" s="13"/>
      <c r="GUA17" s="13"/>
      <c r="GUB17" s="13"/>
      <c r="GUC17" s="13"/>
      <c r="GUD17" s="13"/>
      <c r="GUE17" s="13"/>
      <c r="GUF17" s="13"/>
      <c r="GUG17" s="13"/>
      <c r="GUH17" s="13"/>
      <c r="GUI17" s="13"/>
      <c r="GUJ17" s="13"/>
      <c r="GUK17" s="13"/>
      <c r="GUL17" s="13"/>
      <c r="GUM17" s="13"/>
      <c r="GUN17" s="13"/>
      <c r="GUO17" s="13"/>
      <c r="GUP17" s="13"/>
      <c r="GUQ17" s="13"/>
      <c r="GUR17" s="13"/>
      <c r="GUS17" s="13"/>
      <c r="GUT17" s="13"/>
      <c r="GUU17" s="13"/>
      <c r="GUV17" s="13"/>
      <c r="GUW17" s="13"/>
      <c r="GUX17" s="13"/>
      <c r="GUY17" s="13"/>
      <c r="GUZ17" s="13"/>
      <c r="GVA17" s="13"/>
      <c r="GVB17" s="13"/>
      <c r="GVC17" s="13"/>
      <c r="GVD17" s="13"/>
      <c r="GVE17" s="13"/>
      <c r="GVF17" s="13"/>
      <c r="GVG17" s="13"/>
      <c r="GVH17" s="13"/>
      <c r="GVI17" s="13"/>
      <c r="GVJ17" s="13"/>
      <c r="GVK17" s="13"/>
      <c r="GVL17" s="13"/>
      <c r="GVM17" s="13"/>
      <c r="GVN17" s="13"/>
      <c r="GVO17" s="13"/>
      <c r="GVP17" s="13"/>
      <c r="GVQ17" s="13"/>
      <c r="GVR17" s="13"/>
      <c r="GVS17" s="13"/>
      <c r="GVT17" s="13"/>
      <c r="GVU17" s="13"/>
      <c r="GVV17" s="13"/>
      <c r="GVW17" s="13"/>
      <c r="GVX17" s="13"/>
      <c r="GVY17" s="13"/>
      <c r="GVZ17" s="13"/>
      <c r="GWA17" s="13"/>
      <c r="GWB17" s="13"/>
      <c r="GWC17" s="13"/>
      <c r="GWD17" s="13"/>
      <c r="GWE17" s="13"/>
      <c r="GWF17" s="13"/>
      <c r="GWG17" s="13"/>
      <c r="GWH17" s="13"/>
      <c r="GWI17" s="13"/>
      <c r="GWJ17" s="13"/>
      <c r="GWK17" s="13"/>
      <c r="GWL17" s="13"/>
      <c r="GWM17" s="13"/>
      <c r="GWN17" s="13"/>
      <c r="GWO17" s="13"/>
      <c r="GWP17" s="13"/>
      <c r="GWQ17" s="13"/>
      <c r="GWR17" s="13"/>
      <c r="GWS17" s="13"/>
      <c r="GWT17" s="13"/>
      <c r="GWU17" s="13"/>
      <c r="GWV17" s="13"/>
      <c r="GWW17" s="13"/>
      <c r="GWX17" s="13"/>
      <c r="GWY17" s="13"/>
      <c r="GWZ17" s="13"/>
      <c r="GXA17" s="13"/>
      <c r="GXB17" s="13"/>
      <c r="GXC17" s="13"/>
      <c r="GXD17" s="13"/>
      <c r="GXE17" s="13"/>
      <c r="GXF17" s="13"/>
      <c r="GXG17" s="13"/>
      <c r="GXH17" s="13"/>
      <c r="GXI17" s="13"/>
      <c r="GXJ17" s="13"/>
      <c r="GXK17" s="13"/>
      <c r="GXL17" s="13"/>
      <c r="GXM17" s="13"/>
      <c r="GXN17" s="13"/>
      <c r="GXO17" s="13"/>
      <c r="GXP17" s="13"/>
      <c r="GXQ17" s="13"/>
      <c r="GXR17" s="13"/>
      <c r="GXS17" s="13"/>
      <c r="GXT17" s="13"/>
      <c r="GXU17" s="13"/>
      <c r="GXV17" s="13"/>
      <c r="GXW17" s="13"/>
      <c r="GXX17" s="13"/>
      <c r="GXY17" s="13"/>
      <c r="GXZ17" s="13"/>
      <c r="GYA17" s="13"/>
      <c r="GYB17" s="13"/>
      <c r="GYC17" s="13"/>
      <c r="GYD17" s="13"/>
      <c r="GYE17" s="13"/>
      <c r="GYF17" s="13"/>
      <c r="GYG17" s="13"/>
      <c r="GYH17" s="13"/>
      <c r="GYI17" s="13"/>
      <c r="GYJ17" s="13"/>
      <c r="GYK17" s="13"/>
      <c r="GYL17" s="13"/>
      <c r="GYM17" s="13"/>
      <c r="GYN17" s="13"/>
      <c r="GYO17" s="13"/>
      <c r="GYP17" s="13"/>
      <c r="GYQ17" s="13"/>
      <c r="GYR17" s="13"/>
      <c r="GYS17" s="13"/>
      <c r="GYT17" s="13"/>
      <c r="GYU17" s="13"/>
      <c r="GYV17" s="13"/>
      <c r="GYW17" s="13"/>
      <c r="GYX17" s="13"/>
      <c r="GYY17" s="13"/>
      <c r="GYZ17" s="13"/>
      <c r="GZA17" s="13"/>
      <c r="GZB17" s="13"/>
      <c r="GZC17" s="13"/>
      <c r="GZD17" s="13"/>
      <c r="GZE17" s="13"/>
      <c r="GZF17" s="13"/>
      <c r="GZG17" s="13"/>
      <c r="GZH17" s="13"/>
      <c r="GZI17" s="13"/>
      <c r="GZJ17" s="13"/>
      <c r="GZK17" s="13"/>
      <c r="GZL17" s="13"/>
      <c r="GZM17" s="13"/>
      <c r="GZN17" s="13"/>
      <c r="GZO17" s="13"/>
      <c r="GZP17" s="13"/>
      <c r="GZQ17" s="13"/>
      <c r="GZR17" s="13"/>
      <c r="GZS17" s="13"/>
      <c r="GZT17" s="13"/>
      <c r="GZU17" s="13"/>
      <c r="GZV17" s="13"/>
      <c r="GZW17" s="13"/>
      <c r="GZX17" s="13"/>
      <c r="GZY17" s="13"/>
      <c r="GZZ17" s="13"/>
      <c r="HAA17" s="13"/>
      <c r="HAB17" s="13"/>
      <c r="HAC17" s="13"/>
      <c r="HAD17" s="13"/>
      <c r="HAE17" s="13"/>
      <c r="HAF17" s="13"/>
      <c r="HAG17" s="13"/>
      <c r="HAH17" s="13"/>
      <c r="HAI17" s="13"/>
      <c r="HAJ17" s="13"/>
      <c r="HAK17" s="13"/>
      <c r="HAL17" s="13"/>
      <c r="HAM17" s="13"/>
      <c r="HAN17" s="13"/>
      <c r="HAO17" s="13"/>
      <c r="HAP17" s="13"/>
      <c r="HAQ17" s="13"/>
      <c r="HAR17" s="13"/>
      <c r="HAS17" s="13"/>
      <c r="HAT17" s="13"/>
      <c r="HAU17" s="13"/>
      <c r="HAV17" s="13"/>
      <c r="HAW17" s="13"/>
      <c r="HAX17" s="13"/>
      <c r="HAY17" s="13"/>
      <c r="HAZ17" s="13"/>
      <c r="HBA17" s="13"/>
      <c r="HBB17" s="13"/>
      <c r="HBC17" s="13"/>
      <c r="HBD17" s="13"/>
      <c r="HBE17" s="13"/>
      <c r="HBF17" s="13"/>
      <c r="HBG17" s="13"/>
      <c r="HBH17" s="13"/>
      <c r="HBI17" s="13"/>
      <c r="HBJ17" s="13"/>
      <c r="HBK17" s="13"/>
      <c r="HBL17" s="13"/>
      <c r="HBM17" s="13"/>
      <c r="HBN17" s="13"/>
      <c r="HBO17" s="13"/>
      <c r="HBP17" s="13"/>
      <c r="HBQ17" s="13"/>
      <c r="HBR17" s="13"/>
      <c r="HBS17" s="13"/>
      <c r="HBT17" s="13"/>
      <c r="HBU17" s="13"/>
      <c r="HBV17" s="13"/>
      <c r="HBW17" s="13"/>
      <c r="HBX17" s="13"/>
      <c r="HBY17" s="13"/>
      <c r="HBZ17" s="13"/>
      <c r="HCA17" s="13"/>
      <c r="HCB17" s="13"/>
      <c r="HCC17" s="13"/>
      <c r="HCD17" s="13"/>
      <c r="HCE17" s="13"/>
      <c r="HCF17" s="13"/>
      <c r="HCG17" s="13"/>
      <c r="HCH17" s="13"/>
      <c r="HCI17" s="13"/>
      <c r="HCJ17" s="13"/>
      <c r="HCK17" s="13"/>
      <c r="HCL17" s="13"/>
      <c r="HCM17" s="13"/>
      <c r="HCN17" s="13"/>
      <c r="HCO17" s="13"/>
      <c r="HCP17" s="13"/>
      <c r="HCQ17" s="13"/>
      <c r="HCR17" s="13"/>
      <c r="HCS17" s="13"/>
      <c r="HCT17" s="13"/>
      <c r="HCU17" s="13"/>
      <c r="HCV17" s="13"/>
      <c r="HCW17" s="13"/>
      <c r="HCX17" s="13"/>
      <c r="HCY17" s="13"/>
      <c r="HCZ17" s="13"/>
      <c r="HDA17" s="13"/>
      <c r="HDB17" s="13"/>
      <c r="HDC17" s="13"/>
      <c r="HDD17" s="13"/>
      <c r="HDE17" s="13"/>
      <c r="HDF17" s="13"/>
      <c r="HDG17" s="13"/>
      <c r="HDH17" s="13"/>
      <c r="HDI17" s="13"/>
      <c r="HDJ17" s="13"/>
      <c r="HDK17" s="13"/>
      <c r="HDL17" s="13"/>
      <c r="HDM17" s="13"/>
      <c r="HDN17" s="13"/>
      <c r="HDO17" s="13"/>
      <c r="HDP17" s="13"/>
      <c r="HDQ17" s="13"/>
      <c r="HDR17" s="13"/>
      <c r="HDS17" s="13"/>
      <c r="HDT17" s="13"/>
      <c r="HDU17" s="13"/>
      <c r="HDV17" s="13"/>
      <c r="HDW17" s="13"/>
      <c r="HDX17" s="13"/>
      <c r="HDY17" s="13"/>
      <c r="HDZ17" s="13"/>
      <c r="HEA17" s="13"/>
      <c r="HEB17" s="13"/>
      <c r="HEC17" s="13"/>
      <c r="HED17" s="13"/>
      <c r="HEE17" s="13"/>
      <c r="HEF17" s="13"/>
      <c r="HEG17" s="13"/>
      <c r="HEH17" s="13"/>
      <c r="HEI17" s="13"/>
      <c r="HEJ17" s="13"/>
      <c r="HEK17" s="13"/>
      <c r="HEL17" s="13"/>
      <c r="HEM17" s="13"/>
      <c r="HEN17" s="13"/>
      <c r="HEO17" s="13"/>
      <c r="HEP17" s="13"/>
      <c r="HEQ17" s="13"/>
      <c r="HER17" s="13"/>
      <c r="HES17" s="13"/>
      <c r="HET17" s="13"/>
      <c r="HEU17" s="13"/>
      <c r="HEV17" s="13"/>
      <c r="HEW17" s="13"/>
      <c r="HEX17" s="13"/>
      <c r="HEY17" s="13"/>
      <c r="HEZ17" s="13"/>
      <c r="HFA17" s="13"/>
      <c r="HFB17" s="13"/>
      <c r="HFC17" s="13"/>
      <c r="HFD17" s="13"/>
      <c r="HFE17" s="13"/>
      <c r="HFF17" s="13"/>
      <c r="HFG17" s="13"/>
      <c r="HFH17" s="13"/>
      <c r="HFI17" s="13"/>
      <c r="HFJ17" s="13"/>
      <c r="HFK17" s="13"/>
      <c r="HFL17" s="13"/>
      <c r="HFM17" s="13"/>
      <c r="HFN17" s="13"/>
      <c r="HFO17" s="13"/>
      <c r="HFP17" s="13"/>
      <c r="HFQ17" s="13"/>
      <c r="HFR17" s="13"/>
      <c r="HFS17" s="13"/>
      <c r="HFT17" s="13"/>
      <c r="HFU17" s="13"/>
      <c r="HFV17" s="13"/>
      <c r="HFW17" s="13"/>
      <c r="HFX17" s="13"/>
      <c r="HFY17" s="13"/>
      <c r="HFZ17" s="13"/>
      <c r="HGA17" s="13"/>
      <c r="HGB17" s="13"/>
      <c r="HGC17" s="13"/>
      <c r="HGD17" s="13"/>
      <c r="HGE17" s="13"/>
      <c r="HGF17" s="13"/>
      <c r="HGG17" s="13"/>
      <c r="HGH17" s="13"/>
      <c r="HGI17" s="13"/>
      <c r="HGJ17" s="13"/>
      <c r="HGK17" s="13"/>
      <c r="HGL17" s="13"/>
      <c r="HGM17" s="13"/>
      <c r="HGN17" s="13"/>
      <c r="HGO17" s="13"/>
      <c r="HGP17" s="13"/>
      <c r="HGQ17" s="13"/>
      <c r="HGR17" s="13"/>
      <c r="HGS17" s="13"/>
      <c r="HGT17" s="13"/>
      <c r="HGU17" s="13"/>
      <c r="HGV17" s="13"/>
      <c r="HGW17" s="13"/>
      <c r="HGX17" s="13"/>
      <c r="HGY17" s="13"/>
      <c r="HGZ17" s="13"/>
      <c r="HHA17" s="13"/>
      <c r="HHB17" s="13"/>
      <c r="HHC17" s="13"/>
      <c r="HHD17" s="13"/>
      <c r="HHE17" s="13"/>
      <c r="HHF17" s="13"/>
      <c r="HHG17" s="13"/>
      <c r="HHH17" s="13"/>
      <c r="HHI17" s="13"/>
      <c r="HHJ17" s="13"/>
      <c r="HHK17" s="13"/>
      <c r="HHL17" s="13"/>
      <c r="HHM17" s="13"/>
      <c r="HHN17" s="13"/>
      <c r="HHO17" s="13"/>
      <c r="HHP17" s="13"/>
      <c r="HHQ17" s="13"/>
      <c r="HHR17" s="13"/>
      <c r="HHS17" s="13"/>
      <c r="HHT17" s="13"/>
      <c r="HHU17" s="13"/>
      <c r="HHV17" s="13"/>
      <c r="HHW17" s="13"/>
      <c r="HHX17" s="13"/>
      <c r="HHY17" s="13"/>
      <c r="HHZ17" s="13"/>
      <c r="HIA17" s="13"/>
      <c r="HIB17" s="13"/>
      <c r="HIC17" s="13"/>
      <c r="HID17" s="13"/>
      <c r="HIE17" s="13"/>
      <c r="HIF17" s="13"/>
      <c r="HIG17" s="13"/>
      <c r="HIH17" s="13"/>
      <c r="HII17" s="13"/>
      <c r="HIJ17" s="13"/>
      <c r="HIK17" s="13"/>
      <c r="HIL17" s="13"/>
      <c r="HIM17" s="13"/>
      <c r="HIN17" s="13"/>
      <c r="HIO17" s="13"/>
      <c r="HIP17" s="13"/>
      <c r="HIQ17" s="13"/>
      <c r="HIR17" s="13"/>
      <c r="HIS17" s="13"/>
      <c r="HIT17" s="13"/>
      <c r="HIU17" s="13"/>
      <c r="HIV17" s="13"/>
      <c r="HIW17" s="13"/>
      <c r="HIX17" s="13"/>
      <c r="HIY17" s="13"/>
      <c r="HIZ17" s="13"/>
      <c r="HJA17" s="13"/>
      <c r="HJB17" s="13"/>
      <c r="HJC17" s="13"/>
      <c r="HJD17" s="13"/>
      <c r="HJE17" s="13"/>
      <c r="HJF17" s="13"/>
      <c r="HJG17" s="13"/>
      <c r="HJH17" s="13"/>
      <c r="HJI17" s="13"/>
      <c r="HJJ17" s="13"/>
      <c r="HJK17" s="13"/>
      <c r="HJL17" s="13"/>
      <c r="HJM17" s="13"/>
      <c r="HJN17" s="13"/>
      <c r="HJO17" s="13"/>
      <c r="HJP17" s="13"/>
      <c r="HJQ17" s="13"/>
      <c r="HJR17" s="13"/>
      <c r="HJS17" s="13"/>
      <c r="HJT17" s="13"/>
      <c r="HJU17" s="13"/>
      <c r="HJV17" s="13"/>
      <c r="HJW17" s="13"/>
      <c r="HJX17" s="13"/>
      <c r="HJY17" s="13"/>
      <c r="HJZ17" s="13"/>
      <c r="HKA17" s="13"/>
      <c r="HKB17" s="13"/>
      <c r="HKC17" s="13"/>
      <c r="HKD17" s="13"/>
      <c r="HKE17" s="13"/>
      <c r="HKF17" s="13"/>
      <c r="HKG17" s="13"/>
      <c r="HKH17" s="13"/>
      <c r="HKI17" s="13"/>
      <c r="HKJ17" s="13"/>
      <c r="HKK17" s="13"/>
      <c r="HKL17" s="13"/>
      <c r="HKM17" s="13"/>
      <c r="HKN17" s="13"/>
      <c r="HKO17" s="13"/>
      <c r="HKP17" s="13"/>
      <c r="HKQ17" s="13"/>
      <c r="HKR17" s="13"/>
      <c r="HKS17" s="13"/>
      <c r="HKT17" s="13"/>
      <c r="HKU17" s="13"/>
      <c r="HKV17" s="13"/>
      <c r="HKW17" s="13"/>
      <c r="HKX17" s="13"/>
      <c r="HKY17" s="13"/>
      <c r="HKZ17" s="13"/>
      <c r="HLA17" s="13"/>
      <c r="HLB17" s="13"/>
      <c r="HLC17" s="13"/>
      <c r="HLD17" s="13"/>
      <c r="HLE17" s="13"/>
      <c r="HLF17" s="13"/>
      <c r="HLG17" s="13"/>
      <c r="HLH17" s="13"/>
      <c r="HLI17" s="13"/>
      <c r="HLJ17" s="13"/>
      <c r="HLK17" s="13"/>
      <c r="HLL17" s="13"/>
      <c r="HLM17" s="13"/>
      <c r="HLN17" s="13"/>
      <c r="HLO17" s="13"/>
      <c r="HLP17" s="13"/>
      <c r="HLQ17" s="13"/>
      <c r="HLR17" s="13"/>
      <c r="HLS17" s="13"/>
      <c r="HLT17" s="13"/>
      <c r="HLU17" s="13"/>
      <c r="HLV17" s="13"/>
      <c r="HLW17" s="13"/>
      <c r="HLX17" s="13"/>
      <c r="HLY17" s="13"/>
      <c r="HLZ17" s="13"/>
      <c r="HMA17" s="13"/>
      <c r="HMB17" s="13"/>
      <c r="HMC17" s="13"/>
      <c r="HMD17" s="13"/>
      <c r="HME17" s="13"/>
      <c r="HMF17" s="13"/>
      <c r="HMG17" s="13"/>
      <c r="HMH17" s="13"/>
      <c r="HMI17" s="13"/>
      <c r="HMJ17" s="13"/>
      <c r="HMK17" s="13"/>
      <c r="HML17" s="13"/>
      <c r="HMM17" s="13"/>
      <c r="HMN17" s="13"/>
      <c r="HMO17" s="13"/>
      <c r="HMP17" s="13"/>
      <c r="HMQ17" s="13"/>
      <c r="HMR17" s="13"/>
      <c r="HMS17" s="13"/>
      <c r="HMT17" s="13"/>
      <c r="HMU17" s="13"/>
      <c r="HMV17" s="13"/>
      <c r="HMW17" s="13"/>
      <c r="HMX17" s="13"/>
      <c r="HMY17" s="13"/>
      <c r="HMZ17" s="13"/>
      <c r="HNA17" s="13"/>
      <c r="HNB17" s="13"/>
      <c r="HNC17" s="13"/>
      <c r="HND17" s="13"/>
      <c r="HNE17" s="13"/>
      <c r="HNF17" s="13"/>
      <c r="HNG17" s="13"/>
      <c r="HNH17" s="13"/>
      <c r="HNI17" s="13"/>
      <c r="HNJ17" s="13"/>
      <c r="HNK17" s="13"/>
      <c r="HNL17" s="13"/>
      <c r="HNM17" s="13"/>
      <c r="HNN17" s="13"/>
      <c r="HNO17" s="13"/>
      <c r="HNP17" s="13"/>
      <c r="HNQ17" s="13"/>
      <c r="HNR17" s="13"/>
      <c r="HNS17" s="13"/>
      <c r="HNT17" s="13"/>
      <c r="HNU17" s="13"/>
      <c r="HNV17" s="13"/>
      <c r="HNW17" s="13"/>
      <c r="HNX17" s="13"/>
      <c r="HNY17" s="13"/>
      <c r="HNZ17" s="13"/>
      <c r="HOA17" s="13"/>
      <c r="HOB17" s="13"/>
      <c r="HOC17" s="13"/>
      <c r="HOD17" s="13"/>
      <c r="HOE17" s="13"/>
      <c r="HOF17" s="13"/>
      <c r="HOG17" s="13"/>
      <c r="HOH17" s="13"/>
      <c r="HOI17" s="13"/>
      <c r="HOJ17" s="13"/>
      <c r="HOK17" s="13"/>
      <c r="HOL17" s="13"/>
      <c r="HOM17" s="13"/>
      <c r="HON17" s="13"/>
      <c r="HOO17" s="13"/>
      <c r="HOP17" s="13"/>
      <c r="HOQ17" s="13"/>
      <c r="HOR17" s="13"/>
      <c r="HOS17" s="13"/>
      <c r="HOT17" s="13"/>
      <c r="HOU17" s="13"/>
      <c r="HOV17" s="13"/>
      <c r="HOW17" s="13"/>
      <c r="HOX17" s="13"/>
      <c r="HOY17" s="13"/>
      <c r="HOZ17" s="13"/>
      <c r="HPA17" s="13"/>
      <c r="HPB17" s="13"/>
      <c r="HPC17" s="13"/>
      <c r="HPD17" s="13"/>
      <c r="HPE17" s="13"/>
      <c r="HPF17" s="13"/>
      <c r="HPG17" s="13"/>
      <c r="HPH17" s="13"/>
      <c r="HPI17" s="13"/>
      <c r="HPJ17" s="13"/>
      <c r="HPK17" s="13"/>
      <c r="HPL17" s="13"/>
      <c r="HPM17" s="13"/>
      <c r="HPN17" s="13"/>
      <c r="HPO17" s="13"/>
      <c r="HPP17" s="13"/>
      <c r="HPQ17" s="13"/>
      <c r="HPR17" s="13"/>
      <c r="HPS17" s="13"/>
      <c r="HPT17" s="13"/>
      <c r="HPU17" s="13"/>
      <c r="HPV17" s="13"/>
      <c r="HPW17" s="13"/>
      <c r="HPX17" s="13"/>
      <c r="HPY17" s="13"/>
      <c r="HPZ17" s="13"/>
      <c r="HQA17" s="13"/>
      <c r="HQB17" s="13"/>
      <c r="HQC17" s="13"/>
      <c r="HQD17" s="13"/>
      <c r="HQE17" s="13"/>
      <c r="HQF17" s="13"/>
      <c r="HQG17" s="13"/>
      <c r="HQH17" s="13"/>
      <c r="HQI17" s="13"/>
      <c r="HQJ17" s="13"/>
      <c r="HQK17" s="13"/>
      <c r="HQL17" s="13"/>
      <c r="HQM17" s="13"/>
      <c r="HQN17" s="13"/>
      <c r="HQO17" s="13"/>
      <c r="HQP17" s="13"/>
      <c r="HQQ17" s="13"/>
      <c r="HQR17" s="13"/>
      <c r="HQS17" s="13"/>
      <c r="HQT17" s="13"/>
      <c r="HQU17" s="13"/>
      <c r="HQV17" s="13"/>
      <c r="HQW17" s="13"/>
      <c r="HQX17" s="13"/>
      <c r="HQY17" s="13"/>
      <c r="HQZ17" s="13"/>
      <c r="HRA17" s="13"/>
      <c r="HRB17" s="13"/>
      <c r="HRC17" s="13"/>
      <c r="HRD17" s="13"/>
      <c r="HRE17" s="13"/>
      <c r="HRF17" s="13"/>
      <c r="HRG17" s="13"/>
      <c r="HRH17" s="13"/>
      <c r="HRI17" s="13"/>
      <c r="HRJ17" s="13"/>
      <c r="HRK17" s="13"/>
      <c r="HRL17" s="13"/>
      <c r="HRM17" s="13"/>
      <c r="HRN17" s="13"/>
      <c r="HRO17" s="13"/>
      <c r="HRP17" s="13"/>
      <c r="HRQ17" s="13"/>
      <c r="HRR17" s="13"/>
      <c r="HRS17" s="13"/>
      <c r="HRT17" s="13"/>
      <c r="HRU17" s="13"/>
      <c r="HRV17" s="13"/>
      <c r="HRW17" s="13"/>
      <c r="HRX17" s="13"/>
      <c r="HRY17" s="13"/>
      <c r="HRZ17" s="13"/>
      <c r="HSA17" s="13"/>
      <c r="HSB17" s="13"/>
      <c r="HSC17" s="13"/>
      <c r="HSD17" s="13"/>
      <c r="HSE17" s="13"/>
      <c r="HSF17" s="13"/>
      <c r="HSG17" s="13"/>
      <c r="HSH17" s="13"/>
      <c r="HSI17" s="13"/>
      <c r="HSJ17" s="13"/>
      <c r="HSK17" s="13"/>
      <c r="HSL17" s="13"/>
      <c r="HSM17" s="13"/>
      <c r="HSN17" s="13"/>
      <c r="HSO17" s="13"/>
      <c r="HSP17" s="13"/>
      <c r="HSQ17" s="13"/>
      <c r="HSR17" s="13"/>
      <c r="HSS17" s="13"/>
      <c r="HST17" s="13"/>
      <c r="HSU17" s="13"/>
      <c r="HSV17" s="13"/>
      <c r="HSW17" s="13"/>
      <c r="HSX17" s="13"/>
      <c r="HSY17" s="13"/>
      <c r="HSZ17" s="13"/>
      <c r="HTA17" s="13"/>
      <c r="HTB17" s="13"/>
      <c r="HTC17" s="13"/>
      <c r="HTD17" s="13"/>
      <c r="HTE17" s="13"/>
      <c r="HTF17" s="13"/>
      <c r="HTG17" s="13"/>
      <c r="HTH17" s="13"/>
      <c r="HTI17" s="13"/>
      <c r="HTJ17" s="13"/>
      <c r="HTK17" s="13"/>
      <c r="HTL17" s="13"/>
      <c r="HTM17" s="13"/>
      <c r="HTN17" s="13"/>
      <c r="HTO17" s="13"/>
      <c r="HTP17" s="13"/>
      <c r="HTQ17" s="13"/>
      <c r="HTR17" s="13"/>
      <c r="HTS17" s="13"/>
      <c r="HTT17" s="13"/>
      <c r="HTU17" s="13"/>
      <c r="HTV17" s="13"/>
      <c r="HTW17" s="13"/>
      <c r="HTX17" s="13"/>
      <c r="HTY17" s="13"/>
      <c r="HTZ17" s="13"/>
      <c r="HUA17" s="13"/>
      <c r="HUB17" s="13"/>
      <c r="HUC17" s="13"/>
      <c r="HUD17" s="13"/>
      <c r="HUE17" s="13"/>
      <c r="HUF17" s="13"/>
      <c r="HUG17" s="13"/>
      <c r="HUH17" s="13"/>
      <c r="HUI17" s="13"/>
      <c r="HUJ17" s="13"/>
      <c r="HUK17" s="13"/>
      <c r="HUL17" s="13"/>
      <c r="HUM17" s="13"/>
      <c r="HUN17" s="13"/>
      <c r="HUO17" s="13"/>
      <c r="HUP17" s="13"/>
      <c r="HUQ17" s="13"/>
      <c r="HUR17" s="13"/>
      <c r="HUS17" s="13"/>
      <c r="HUT17" s="13"/>
      <c r="HUU17" s="13"/>
      <c r="HUV17" s="13"/>
      <c r="HUW17" s="13"/>
      <c r="HUX17" s="13"/>
      <c r="HUY17" s="13"/>
      <c r="HUZ17" s="13"/>
      <c r="HVA17" s="13"/>
      <c r="HVB17" s="13"/>
      <c r="HVC17" s="13"/>
      <c r="HVD17" s="13"/>
      <c r="HVE17" s="13"/>
      <c r="HVF17" s="13"/>
      <c r="HVG17" s="13"/>
      <c r="HVH17" s="13"/>
      <c r="HVI17" s="13"/>
      <c r="HVJ17" s="13"/>
      <c r="HVK17" s="13"/>
      <c r="HVL17" s="13"/>
      <c r="HVM17" s="13"/>
      <c r="HVN17" s="13"/>
      <c r="HVO17" s="13"/>
      <c r="HVP17" s="13"/>
      <c r="HVQ17" s="13"/>
      <c r="HVR17" s="13"/>
      <c r="HVS17" s="13"/>
      <c r="HVT17" s="13"/>
      <c r="HVU17" s="13"/>
      <c r="HVV17" s="13"/>
      <c r="HVW17" s="13"/>
      <c r="HVX17" s="13"/>
      <c r="HVY17" s="13"/>
      <c r="HVZ17" s="13"/>
      <c r="HWA17" s="13"/>
      <c r="HWB17" s="13"/>
      <c r="HWC17" s="13"/>
      <c r="HWD17" s="13"/>
      <c r="HWE17" s="13"/>
      <c r="HWF17" s="13"/>
      <c r="HWG17" s="13"/>
      <c r="HWH17" s="13"/>
      <c r="HWI17" s="13"/>
      <c r="HWJ17" s="13"/>
      <c r="HWK17" s="13"/>
      <c r="HWL17" s="13"/>
      <c r="HWM17" s="13"/>
      <c r="HWN17" s="13"/>
      <c r="HWO17" s="13"/>
      <c r="HWP17" s="13"/>
      <c r="HWQ17" s="13"/>
      <c r="HWR17" s="13"/>
      <c r="HWS17" s="13"/>
      <c r="HWT17" s="13"/>
      <c r="HWU17" s="13"/>
      <c r="HWV17" s="13"/>
      <c r="HWW17" s="13"/>
      <c r="HWX17" s="13"/>
      <c r="HWY17" s="13"/>
      <c r="HWZ17" s="13"/>
      <c r="HXA17" s="13"/>
      <c r="HXB17" s="13"/>
      <c r="HXC17" s="13"/>
      <c r="HXD17" s="13"/>
      <c r="HXE17" s="13"/>
      <c r="HXF17" s="13"/>
      <c r="HXG17" s="13"/>
      <c r="HXH17" s="13"/>
      <c r="HXI17" s="13"/>
      <c r="HXJ17" s="13"/>
      <c r="HXK17" s="13"/>
      <c r="HXL17" s="13"/>
      <c r="HXM17" s="13"/>
      <c r="HXN17" s="13"/>
      <c r="HXO17" s="13"/>
      <c r="HXP17" s="13"/>
      <c r="HXQ17" s="13"/>
      <c r="HXR17" s="13"/>
      <c r="HXS17" s="13"/>
      <c r="HXT17" s="13"/>
      <c r="HXU17" s="13"/>
      <c r="HXV17" s="13"/>
      <c r="HXW17" s="13"/>
      <c r="HXX17" s="13"/>
      <c r="HXY17" s="13"/>
      <c r="HXZ17" s="13"/>
      <c r="HYA17" s="13"/>
      <c r="HYB17" s="13"/>
      <c r="HYC17" s="13"/>
      <c r="HYD17" s="13"/>
      <c r="HYE17" s="13"/>
      <c r="HYF17" s="13"/>
      <c r="HYG17" s="13"/>
      <c r="HYH17" s="13"/>
      <c r="HYI17" s="13"/>
      <c r="HYJ17" s="13"/>
      <c r="HYK17" s="13"/>
      <c r="HYL17" s="13"/>
      <c r="HYM17" s="13"/>
      <c r="HYN17" s="13"/>
      <c r="HYO17" s="13"/>
      <c r="HYP17" s="13"/>
      <c r="HYQ17" s="13"/>
      <c r="HYR17" s="13"/>
      <c r="HYS17" s="13"/>
      <c r="HYT17" s="13"/>
      <c r="HYU17" s="13"/>
      <c r="HYV17" s="13"/>
      <c r="HYW17" s="13"/>
      <c r="HYX17" s="13"/>
      <c r="HYY17" s="13"/>
      <c r="HYZ17" s="13"/>
      <c r="HZA17" s="13"/>
      <c r="HZB17" s="13"/>
      <c r="HZC17" s="13"/>
      <c r="HZD17" s="13"/>
      <c r="HZE17" s="13"/>
      <c r="HZF17" s="13"/>
      <c r="HZG17" s="13"/>
      <c r="HZH17" s="13"/>
      <c r="HZI17" s="13"/>
      <c r="HZJ17" s="13"/>
      <c r="HZK17" s="13"/>
      <c r="HZL17" s="13"/>
      <c r="HZM17" s="13"/>
      <c r="HZN17" s="13"/>
      <c r="HZO17" s="13"/>
      <c r="HZP17" s="13"/>
      <c r="HZQ17" s="13"/>
      <c r="HZR17" s="13"/>
      <c r="HZS17" s="13"/>
      <c r="HZT17" s="13"/>
      <c r="HZU17" s="13"/>
      <c r="HZV17" s="13"/>
      <c r="HZW17" s="13"/>
      <c r="HZX17" s="13"/>
      <c r="HZY17" s="13"/>
      <c r="HZZ17" s="13"/>
      <c r="IAA17" s="13"/>
      <c r="IAB17" s="13"/>
      <c r="IAC17" s="13"/>
      <c r="IAD17" s="13"/>
      <c r="IAE17" s="13"/>
      <c r="IAF17" s="13"/>
      <c r="IAG17" s="13"/>
      <c r="IAH17" s="13"/>
      <c r="IAI17" s="13"/>
      <c r="IAJ17" s="13"/>
      <c r="IAK17" s="13"/>
      <c r="IAL17" s="13"/>
      <c r="IAM17" s="13"/>
      <c r="IAN17" s="13"/>
      <c r="IAO17" s="13"/>
      <c r="IAP17" s="13"/>
      <c r="IAQ17" s="13"/>
      <c r="IAR17" s="13"/>
      <c r="IAS17" s="13"/>
      <c r="IAT17" s="13"/>
      <c r="IAU17" s="13"/>
      <c r="IAV17" s="13"/>
      <c r="IAW17" s="13"/>
      <c r="IAX17" s="13"/>
      <c r="IAY17" s="13"/>
      <c r="IAZ17" s="13"/>
      <c r="IBA17" s="13"/>
      <c r="IBB17" s="13"/>
      <c r="IBC17" s="13"/>
      <c r="IBD17" s="13"/>
      <c r="IBE17" s="13"/>
      <c r="IBF17" s="13"/>
      <c r="IBG17" s="13"/>
      <c r="IBH17" s="13"/>
      <c r="IBI17" s="13"/>
      <c r="IBJ17" s="13"/>
      <c r="IBK17" s="13"/>
      <c r="IBL17" s="13"/>
      <c r="IBM17" s="13"/>
      <c r="IBN17" s="13"/>
      <c r="IBO17" s="13"/>
      <c r="IBP17" s="13"/>
      <c r="IBQ17" s="13"/>
      <c r="IBR17" s="13"/>
      <c r="IBS17" s="13"/>
      <c r="IBT17" s="13"/>
      <c r="IBU17" s="13"/>
      <c r="IBV17" s="13"/>
      <c r="IBW17" s="13"/>
      <c r="IBX17" s="13"/>
      <c r="IBY17" s="13"/>
      <c r="IBZ17" s="13"/>
      <c r="ICA17" s="13"/>
      <c r="ICB17" s="13"/>
      <c r="ICC17" s="13"/>
      <c r="ICD17" s="13"/>
      <c r="ICE17" s="13"/>
      <c r="ICF17" s="13"/>
      <c r="ICG17" s="13"/>
      <c r="ICH17" s="13"/>
      <c r="ICI17" s="13"/>
      <c r="ICJ17" s="13"/>
      <c r="ICK17" s="13"/>
      <c r="ICL17" s="13"/>
      <c r="ICM17" s="13"/>
      <c r="ICN17" s="13"/>
      <c r="ICO17" s="13"/>
      <c r="ICP17" s="13"/>
      <c r="ICQ17" s="13"/>
      <c r="ICR17" s="13"/>
      <c r="ICS17" s="13"/>
      <c r="ICT17" s="13"/>
      <c r="ICU17" s="13"/>
      <c r="ICV17" s="13"/>
      <c r="ICW17" s="13"/>
      <c r="ICX17" s="13"/>
      <c r="ICY17" s="13"/>
      <c r="ICZ17" s="13"/>
      <c r="IDA17" s="13"/>
      <c r="IDB17" s="13"/>
      <c r="IDC17" s="13"/>
      <c r="IDD17" s="13"/>
      <c r="IDE17" s="13"/>
      <c r="IDF17" s="13"/>
      <c r="IDG17" s="13"/>
      <c r="IDH17" s="13"/>
      <c r="IDI17" s="13"/>
      <c r="IDJ17" s="13"/>
      <c r="IDK17" s="13"/>
      <c r="IDL17" s="13"/>
      <c r="IDM17" s="13"/>
      <c r="IDN17" s="13"/>
      <c r="IDO17" s="13"/>
      <c r="IDP17" s="13"/>
      <c r="IDQ17" s="13"/>
      <c r="IDR17" s="13"/>
      <c r="IDS17" s="13"/>
      <c r="IDT17" s="13"/>
      <c r="IDU17" s="13"/>
      <c r="IDV17" s="13"/>
      <c r="IDW17" s="13"/>
      <c r="IDX17" s="13"/>
      <c r="IDY17" s="13"/>
      <c r="IDZ17" s="13"/>
      <c r="IEA17" s="13"/>
      <c r="IEB17" s="13"/>
      <c r="IEC17" s="13"/>
      <c r="IED17" s="13"/>
      <c r="IEE17" s="13"/>
      <c r="IEF17" s="13"/>
      <c r="IEG17" s="13"/>
      <c r="IEH17" s="13"/>
      <c r="IEI17" s="13"/>
      <c r="IEJ17" s="13"/>
      <c r="IEK17" s="13"/>
      <c r="IEL17" s="13"/>
      <c r="IEM17" s="13"/>
      <c r="IEN17" s="13"/>
      <c r="IEO17" s="13"/>
      <c r="IEP17" s="13"/>
      <c r="IEQ17" s="13"/>
      <c r="IER17" s="13"/>
      <c r="IES17" s="13"/>
      <c r="IET17" s="13"/>
      <c r="IEU17" s="13"/>
      <c r="IEV17" s="13"/>
      <c r="IEW17" s="13"/>
      <c r="IEX17" s="13"/>
      <c r="IEY17" s="13"/>
      <c r="IEZ17" s="13"/>
      <c r="IFA17" s="13"/>
      <c r="IFB17" s="13"/>
      <c r="IFC17" s="13"/>
      <c r="IFD17" s="13"/>
      <c r="IFE17" s="13"/>
      <c r="IFF17" s="13"/>
      <c r="IFG17" s="13"/>
      <c r="IFH17" s="13"/>
      <c r="IFI17" s="13"/>
      <c r="IFJ17" s="13"/>
      <c r="IFK17" s="13"/>
      <c r="IFL17" s="13"/>
      <c r="IFM17" s="13"/>
      <c r="IFN17" s="13"/>
      <c r="IFO17" s="13"/>
      <c r="IFP17" s="13"/>
      <c r="IFQ17" s="13"/>
      <c r="IFR17" s="13"/>
      <c r="IFS17" s="13"/>
      <c r="IFT17" s="13"/>
      <c r="IFU17" s="13"/>
      <c r="IFV17" s="13"/>
      <c r="IFW17" s="13"/>
      <c r="IFX17" s="13"/>
      <c r="IFY17" s="13"/>
      <c r="IFZ17" s="13"/>
      <c r="IGA17" s="13"/>
      <c r="IGB17" s="13"/>
      <c r="IGC17" s="13"/>
      <c r="IGD17" s="13"/>
      <c r="IGE17" s="13"/>
      <c r="IGF17" s="13"/>
      <c r="IGG17" s="13"/>
      <c r="IGH17" s="13"/>
      <c r="IGI17" s="13"/>
      <c r="IGJ17" s="13"/>
      <c r="IGK17" s="13"/>
      <c r="IGL17" s="13"/>
      <c r="IGM17" s="13"/>
      <c r="IGN17" s="13"/>
      <c r="IGO17" s="13"/>
      <c r="IGP17" s="13"/>
      <c r="IGQ17" s="13"/>
      <c r="IGR17" s="13"/>
      <c r="IGS17" s="13"/>
      <c r="IGT17" s="13"/>
      <c r="IGU17" s="13"/>
      <c r="IGV17" s="13"/>
      <c r="IGW17" s="13"/>
      <c r="IGX17" s="13"/>
      <c r="IGY17" s="13"/>
      <c r="IGZ17" s="13"/>
      <c r="IHA17" s="13"/>
      <c r="IHB17" s="13"/>
      <c r="IHC17" s="13"/>
      <c r="IHD17" s="13"/>
      <c r="IHE17" s="13"/>
      <c r="IHF17" s="13"/>
      <c r="IHG17" s="13"/>
      <c r="IHH17" s="13"/>
      <c r="IHI17" s="13"/>
      <c r="IHJ17" s="13"/>
      <c r="IHK17" s="13"/>
      <c r="IHL17" s="13"/>
      <c r="IHM17" s="13"/>
      <c r="IHN17" s="13"/>
      <c r="IHO17" s="13"/>
      <c r="IHP17" s="13"/>
      <c r="IHQ17" s="13"/>
      <c r="IHR17" s="13"/>
      <c r="IHS17" s="13"/>
      <c r="IHT17" s="13"/>
      <c r="IHU17" s="13"/>
      <c r="IHV17" s="13"/>
      <c r="IHW17" s="13"/>
      <c r="IHX17" s="13"/>
      <c r="IHY17" s="13"/>
      <c r="IHZ17" s="13"/>
      <c r="IIA17" s="13"/>
      <c r="IIB17" s="13"/>
      <c r="IIC17" s="13"/>
      <c r="IID17" s="13"/>
      <c r="IIE17" s="13"/>
      <c r="IIF17" s="13"/>
      <c r="IIG17" s="13"/>
      <c r="IIH17" s="13"/>
      <c r="III17" s="13"/>
      <c r="IIJ17" s="13"/>
      <c r="IIK17" s="13"/>
      <c r="IIL17" s="13"/>
      <c r="IIM17" s="13"/>
      <c r="IIN17" s="13"/>
      <c r="IIO17" s="13"/>
      <c r="IIP17" s="13"/>
      <c r="IIQ17" s="13"/>
      <c r="IIR17" s="13"/>
      <c r="IIS17" s="13"/>
      <c r="IIT17" s="13"/>
      <c r="IIU17" s="13"/>
      <c r="IIV17" s="13"/>
      <c r="IIW17" s="13"/>
      <c r="IIX17" s="13"/>
      <c r="IIY17" s="13"/>
      <c r="IIZ17" s="13"/>
      <c r="IJA17" s="13"/>
      <c r="IJB17" s="13"/>
      <c r="IJC17" s="13"/>
      <c r="IJD17" s="13"/>
      <c r="IJE17" s="13"/>
      <c r="IJF17" s="13"/>
      <c r="IJG17" s="13"/>
      <c r="IJH17" s="13"/>
      <c r="IJI17" s="13"/>
      <c r="IJJ17" s="13"/>
      <c r="IJK17" s="13"/>
      <c r="IJL17" s="13"/>
      <c r="IJM17" s="13"/>
      <c r="IJN17" s="13"/>
      <c r="IJO17" s="13"/>
      <c r="IJP17" s="13"/>
      <c r="IJQ17" s="13"/>
      <c r="IJR17" s="13"/>
      <c r="IJS17" s="13"/>
      <c r="IJT17" s="13"/>
      <c r="IJU17" s="13"/>
      <c r="IJV17" s="13"/>
      <c r="IJW17" s="13"/>
      <c r="IJX17" s="13"/>
      <c r="IJY17" s="13"/>
      <c r="IJZ17" s="13"/>
      <c r="IKA17" s="13"/>
      <c r="IKB17" s="13"/>
      <c r="IKC17" s="13"/>
      <c r="IKD17" s="13"/>
      <c r="IKE17" s="13"/>
      <c r="IKF17" s="13"/>
      <c r="IKG17" s="13"/>
      <c r="IKH17" s="13"/>
      <c r="IKI17" s="13"/>
      <c r="IKJ17" s="13"/>
      <c r="IKK17" s="13"/>
      <c r="IKL17" s="13"/>
      <c r="IKM17" s="13"/>
      <c r="IKN17" s="13"/>
      <c r="IKO17" s="13"/>
      <c r="IKP17" s="13"/>
      <c r="IKQ17" s="13"/>
      <c r="IKR17" s="13"/>
      <c r="IKS17" s="13"/>
      <c r="IKT17" s="13"/>
      <c r="IKU17" s="13"/>
      <c r="IKV17" s="13"/>
      <c r="IKW17" s="13"/>
      <c r="IKX17" s="13"/>
      <c r="IKY17" s="13"/>
      <c r="IKZ17" s="13"/>
      <c r="ILA17" s="13"/>
      <c r="ILB17" s="13"/>
      <c r="ILC17" s="13"/>
      <c r="ILD17" s="13"/>
      <c r="ILE17" s="13"/>
      <c r="ILF17" s="13"/>
      <c r="ILG17" s="13"/>
      <c r="ILH17" s="13"/>
      <c r="ILI17" s="13"/>
      <c r="ILJ17" s="13"/>
      <c r="ILK17" s="13"/>
      <c r="ILL17" s="13"/>
      <c r="ILM17" s="13"/>
      <c r="ILN17" s="13"/>
      <c r="ILO17" s="13"/>
      <c r="ILP17" s="13"/>
      <c r="ILQ17" s="13"/>
      <c r="ILR17" s="13"/>
      <c r="ILS17" s="13"/>
      <c r="ILT17" s="13"/>
      <c r="ILU17" s="13"/>
      <c r="ILV17" s="13"/>
      <c r="ILW17" s="13"/>
      <c r="ILX17" s="13"/>
      <c r="ILY17" s="13"/>
      <c r="ILZ17" s="13"/>
      <c r="IMA17" s="13"/>
      <c r="IMB17" s="13"/>
      <c r="IMC17" s="13"/>
      <c r="IMD17" s="13"/>
      <c r="IME17" s="13"/>
      <c r="IMF17" s="13"/>
      <c r="IMG17" s="13"/>
      <c r="IMH17" s="13"/>
      <c r="IMI17" s="13"/>
      <c r="IMJ17" s="13"/>
      <c r="IMK17" s="13"/>
      <c r="IML17" s="13"/>
      <c r="IMM17" s="13"/>
      <c r="IMN17" s="13"/>
      <c r="IMO17" s="13"/>
      <c r="IMP17" s="13"/>
      <c r="IMQ17" s="13"/>
      <c r="IMR17" s="13"/>
      <c r="IMS17" s="13"/>
      <c r="IMT17" s="13"/>
      <c r="IMU17" s="13"/>
      <c r="IMV17" s="13"/>
      <c r="IMW17" s="13"/>
      <c r="IMX17" s="13"/>
      <c r="IMY17" s="13"/>
      <c r="IMZ17" s="13"/>
      <c r="INA17" s="13"/>
      <c r="INB17" s="13"/>
      <c r="INC17" s="13"/>
      <c r="IND17" s="13"/>
      <c r="INE17" s="13"/>
      <c r="INF17" s="13"/>
      <c r="ING17" s="13"/>
      <c r="INH17" s="13"/>
      <c r="INI17" s="13"/>
      <c r="INJ17" s="13"/>
      <c r="INK17" s="13"/>
      <c r="INL17" s="13"/>
      <c r="INM17" s="13"/>
      <c r="INN17" s="13"/>
      <c r="INO17" s="13"/>
      <c r="INP17" s="13"/>
      <c r="INQ17" s="13"/>
      <c r="INR17" s="13"/>
      <c r="INS17" s="13"/>
      <c r="INT17" s="13"/>
      <c r="INU17" s="13"/>
      <c r="INV17" s="13"/>
      <c r="INW17" s="13"/>
      <c r="INX17" s="13"/>
      <c r="INY17" s="13"/>
      <c r="INZ17" s="13"/>
      <c r="IOA17" s="13"/>
      <c r="IOB17" s="13"/>
      <c r="IOC17" s="13"/>
      <c r="IOD17" s="13"/>
      <c r="IOE17" s="13"/>
      <c r="IOF17" s="13"/>
      <c r="IOG17" s="13"/>
      <c r="IOH17" s="13"/>
      <c r="IOI17" s="13"/>
      <c r="IOJ17" s="13"/>
      <c r="IOK17" s="13"/>
      <c r="IOL17" s="13"/>
      <c r="IOM17" s="13"/>
      <c r="ION17" s="13"/>
      <c r="IOO17" s="13"/>
      <c r="IOP17" s="13"/>
      <c r="IOQ17" s="13"/>
      <c r="IOR17" s="13"/>
      <c r="IOS17" s="13"/>
      <c r="IOT17" s="13"/>
      <c r="IOU17" s="13"/>
      <c r="IOV17" s="13"/>
      <c r="IOW17" s="13"/>
      <c r="IOX17" s="13"/>
      <c r="IOY17" s="13"/>
      <c r="IOZ17" s="13"/>
      <c r="IPA17" s="13"/>
      <c r="IPB17" s="13"/>
      <c r="IPC17" s="13"/>
      <c r="IPD17" s="13"/>
      <c r="IPE17" s="13"/>
      <c r="IPF17" s="13"/>
      <c r="IPG17" s="13"/>
      <c r="IPH17" s="13"/>
      <c r="IPI17" s="13"/>
      <c r="IPJ17" s="13"/>
      <c r="IPK17" s="13"/>
      <c r="IPL17" s="13"/>
      <c r="IPM17" s="13"/>
      <c r="IPN17" s="13"/>
      <c r="IPO17" s="13"/>
      <c r="IPP17" s="13"/>
      <c r="IPQ17" s="13"/>
      <c r="IPR17" s="13"/>
      <c r="IPS17" s="13"/>
      <c r="IPT17" s="13"/>
      <c r="IPU17" s="13"/>
      <c r="IPV17" s="13"/>
      <c r="IPW17" s="13"/>
      <c r="IPX17" s="13"/>
      <c r="IPY17" s="13"/>
      <c r="IPZ17" s="13"/>
      <c r="IQA17" s="13"/>
      <c r="IQB17" s="13"/>
      <c r="IQC17" s="13"/>
      <c r="IQD17" s="13"/>
      <c r="IQE17" s="13"/>
      <c r="IQF17" s="13"/>
      <c r="IQG17" s="13"/>
      <c r="IQH17" s="13"/>
      <c r="IQI17" s="13"/>
      <c r="IQJ17" s="13"/>
      <c r="IQK17" s="13"/>
      <c r="IQL17" s="13"/>
      <c r="IQM17" s="13"/>
      <c r="IQN17" s="13"/>
      <c r="IQO17" s="13"/>
      <c r="IQP17" s="13"/>
      <c r="IQQ17" s="13"/>
      <c r="IQR17" s="13"/>
      <c r="IQS17" s="13"/>
      <c r="IQT17" s="13"/>
      <c r="IQU17" s="13"/>
      <c r="IQV17" s="13"/>
      <c r="IQW17" s="13"/>
      <c r="IQX17" s="13"/>
      <c r="IQY17" s="13"/>
      <c r="IQZ17" s="13"/>
      <c r="IRA17" s="13"/>
      <c r="IRB17" s="13"/>
      <c r="IRC17" s="13"/>
      <c r="IRD17" s="13"/>
      <c r="IRE17" s="13"/>
      <c r="IRF17" s="13"/>
      <c r="IRG17" s="13"/>
      <c r="IRH17" s="13"/>
      <c r="IRI17" s="13"/>
      <c r="IRJ17" s="13"/>
      <c r="IRK17" s="13"/>
      <c r="IRL17" s="13"/>
      <c r="IRM17" s="13"/>
      <c r="IRN17" s="13"/>
      <c r="IRO17" s="13"/>
      <c r="IRP17" s="13"/>
      <c r="IRQ17" s="13"/>
      <c r="IRR17" s="13"/>
      <c r="IRS17" s="13"/>
      <c r="IRT17" s="13"/>
      <c r="IRU17" s="13"/>
      <c r="IRV17" s="13"/>
      <c r="IRW17" s="13"/>
      <c r="IRX17" s="13"/>
      <c r="IRY17" s="13"/>
      <c r="IRZ17" s="13"/>
      <c r="ISA17" s="13"/>
      <c r="ISB17" s="13"/>
      <c r="ISC17" s="13"/>
      <c r="ISD17" s="13"/>
      <c r="ISE17" s="13"/>
      <c r="ISF17" s="13"/>
      <c r="ISG17" s="13"/>
      <c r="ISH17" s="13"/>
      <c r="ISI17" s="13"/>
      <c r="ISJ17" s="13"/>
      <c r="ISK17" s="13"/>
      <c r="ISL17" s="13"/>
      <c r="ISM17" s="13"/>
      <c r="ISN17" s="13"/>
      <c r="ISO17" s="13"/>
      <c r="ISP17" s="13"/>
      <c r="ISQ17" s="13"/>
      <c r="ISR17" s="13"/>
      <c r="ISS17" s="13"/>
      <c r="IST17" s="13"/>
      <c r="ISU17" s="13"/>
      <c r="ISV17" s="13"/>
      <c r="ISW17" s="13"/>
      <c r="ISX17" s="13"/>
      <c r="ISY17" s="13"/>
      <c r="ISZ17" s="13"/>
      <c r="ITA17" s="13"/>
      <c r="ITB17" s="13"/>
      <c r="ITC17" s="13"/>
      <c r="ITD17" s="13"/>
      <c r="ITE17" s="13"/>
      <c r="ITF17" s="13"/>
      <c r="ITG17" s="13"/>
      <c r="ITH17" s="13"/>
      <c r="ITI17" s="13"/>
      <c r="ITJ17" s="13"/>
      <c r="ITK17" s="13"/>
      <c r="ITL17" s="13"/>
      <c r="ITM17" s="13"/>
      <c r="ITN17" s="13"/>
      <c r="ITO17" s="13"/>
      <c r="ITP17" s="13"/>
      <c r="ITQ17" s="13"/>
      <c r="ITR17" s="13"/>
      <c r="ITS17" s="13"/>
      <c r="ITT17" s="13"/>
      <c r="ITU17" s="13"/>
      <c r="ITV17" s="13"/>
      <c r="ITW17" s="13"/>
      <c r="ITX17" s="13"/>
      <c r="ITY17" s="13"/>
      <c r="ITZ17" s="13"/>
      <c r="IUA17" s="13"/>
      <c r="IUB17" s="13"/>
      <c r="IUC17" s="13"/>
      <c r="IUD17" s="13"/>
      <c r="IUE17" s="13"/>
      <c r="IUF17" s="13"/>
      <c r="IUG17" s="13"/>
      <c r="IUH17" s="13"/>
      <c r="IUI17" s="13"/>
      <c r="IUJ17" s="13"/>
      <c r="IUK17" s="13"/>
      <c r="IUL17" s="13"/>
      <c r="IUM17" s="13"/>
      <c r="IUN17" s="13"/>
      <c r="IUO17" s="13"/>
      <c r="IUP17" s="13"/>
      <c r="IUQ17" s="13"/>
      <c r="IUR17" s="13"/>
      <c r="IUS17" s="13"/>
      <c r="IUT17" s="13"/>
      <c r="IUU17" s="13"/>
      <c r="IUV17" s="13"/>
      <c r="IUW17" s="13"/>
      <c r="IUX17" s="13"/>
      <c r="IUY17" s="13"/>
      <c r="IUZ17" s="13"/>
      <c r="IVA17" s="13"/>
      <c r="IVB17" s="13"/>
      <c r="IVC17" s="13"/>
      <c r="IVD17" s="13"/>
      <c r="IVE17" s="13"/>
      <c r="IVF17" s="13"/>
      <c r="IVG17" s="13"/>
      <c r="IVH17" s="13"/>
      <c r="IVI17" s="13"/>
      <c r="IVJ17" s="13"/>
      <c r="IVK17" s="13"/>
      <c r="IVL17" s="13"/>
      <c r="IVM17" s="13"/>
      <c r="IVN17" s="13"/>
      <c r="IVO17" s="13"/>
      <c r="IVP17" s="13"/>
      <c r="IVQ17" s="13"/>
      <c r="IVR17" s="13"/>
      <c r="IVS17" s="13"/>
      <c r="IVT17" s="13"/>
      <c r="IVU17" s="13"/>
      <c r="IVV17" s="13"/>
      <c r="IVW17" s="13"/>
      <c r="IVX17" s="13"/>
      <c r="IVY17" s="13"/>
      <c r="IVZ17" s="13"/>
      <c r="IWA17" s="13"/>
      <c r="IWB17" s="13"/>
      <c r="IWC17" s="13"/>
      <c r="IWD17" s="13"/>
      <c r="IWE17" s="13"/>
      <c r="IWF17" s="13"/>
      <c r="IWG17" s="13"/>
      <c r="IWH17" s="13"/>
      <c r="IWI17" s="13"/>
      <c r="IWJ17" s="13"/>
      <c r="IWK17" s="13"/>
      <c r="IWL17" s="13"/>
      <c r="IWM17" s="13"/>
      <c r="IWN17" s="13"/>
      <c r="IWO17" s="13"/>
      <c r="IWP17" s="13"/>
      <c r="IWQ17" s="13"/>
      <c r="IWR17" s="13"/>
      <c r="IWS17" s="13"/>
      <c r="IWT17" s="13"/>
      <c r="IWU17" s="13"/>
      <c r="IWV17" s="13"/>
      <c r="IWW17" s="13"/>
      <c r="IWX17" s="13"/>
      <c r="IWY17" s="13"/>
      <c r="IWZ17" s="13"/>
      <c r="IXA17" s="13"/>
      <c r="IXB17" s="13"/>
      <c r="IXC17" s="13"/>
      <c r="IXD17" s="13"/>
      <c r="IXE17" s="13"/>
      <c r="IXF17" s="13"/>
      <c r="IXG17" s="13"/>
      <c r="IXH17" s="13"/>
      <c r="IXI17" s="13"/>
      <c r="IXJ17" s="13"/>
      <c r="IXK17" s="13"/>
      <c r="IXL17" s="13"/>
      <c r="IXM17" s="13"/>
      <c r="IXN17" s="13"/>
      <c r="IXO17" s="13"/>
      <c r="IXP17" s="13"/>
      <c r="IXQ17" s="13"/>
      <c r="IXR17" s="13"/>
      <c r="IXS17" s="13"/>
      <c r="IXT17" s="13"/>
      <c r="IXU17" s="13"/>
      <c r="IXV17" s="13"/>
      <c r="IXW17" s="13"/>
      <c r="IXX17" s="13"/>
      <c r="IXY17" s="13"/>
      <c r="IXZ17" s="13"/>
      <c r="IYA17" s="13"/>
      <c r="IYB17" s="13"/>
      <c r="IYC17" s="13"/>
      <c r="IYD17" s="13"/>
      <c r="IYE17" s="13"/>
      <c r="IYF17" s="13"/>
      <c r="IYG17" s="13"/>
      <c r="IYH17" s="13"/>
      <c r="IYI17" s="13"/>
      <c r="IYJ17" s="13"/>
      <c r="IYK17" s="13"/>
      <c r="IYL17" s="13"/>
      <c r="IYM17" s="13"/>
      <c r="IYN17" s="13"/>
      <c r="IYO17" s="13"/>
      <c r="IYP17" s="13"/>
      <c r="IYQ17" s="13"/>
      <c r="IYR17" s="13"/>
      <c r="IYS17" s="13"/>
      <c r="IYT17" s="13"/>
      <c r="IYU17" s="13"/>
      <c r="IYV17" s="13"/>
      <c r="IYW17" s="13"/>
      <c r="IYX17" s="13"/>
      <c r="IYY17" s="13"/>
      <c r="IYZ17" s="13"/>
      <c r="IZA17" s="13"/>
      <c r="IZB17" s="13"/>
      <c r="IZC17" s="13"/>
      <c r="IZD17" s="13"/>
      <c r="IZE17" s="13"/>
      <c r="IZF17" s="13"/>
      <c r="IZG17" s="13"/>
      <c r="IZH17" s="13"/>
      <c r="IZI17" s="13"/>
      <c r="IZJ17" s="13"/>
      <c r="IZK17" s="13"/>
      <c r="IZL17" s="13"/>
      <c r="IZM17" s="13"/>
      <c r="IZN17" s="13"/>
      <c r="IZO17" s="13"/>
      <c r="IZP17" s="13"/>
      <c r="IZQ17" s="13"/>
      <c r="IZR17" s="13"/>
      <c r="IZS17" s="13"/>
      <c r="IZT17" s="13"/>
      <c r="IZU17" s="13"/>
      <c r="IZV17" s="13"/>
      <c r="IZW17" s="13"/>
      <c r="IZX17" s="13"/>
      <c r="IZY17" s="13"/>
      <c r="IZZ17" s="13"/>
      <c r="JAA17" s="13"/>
      <c r="JAB17" s="13"/>
      <c r="JAC17" s="13"/>
      <c r="JAD17" s="13"/>
      <c r="JAE17" s="13"/>
      <c r="JAF17" s="13"/>
      <c r="JAG17" s="13"/>
      <c r="JAH17" s="13"/>
      <c r="JAI17" s="13"/>
      <c r="JAJ17" s="13"/>
      <c r="JAK17" s="13"/>
      <c r="JAL17" s="13"/>
      <c r="JAM17" s="13"/>
      <c r="JAN17" s="13"/>
      <c r="JAO17" s="13"/>
      <c r="JAP17" s="13"/>
      <c r="JAQ17" s="13"/>
      <c r="JAR17" s="13"/>
      <c r="JAS17" s="13"/>
      <c r="JAT17" s="13"/>
      <c r="JAU17" s="13"/>
      <c r="JAV17" s="13"/>
      <c r="JAW17" s="13"/>
      <c r="JAX17" s="13"/>
      <c r="JAY17" s="13"/>
      <c r="JAZ17" s="13"/>
      <c r="JBA17" s="13"/>
      <c r="JBB17" s="13"/>
      <c r="JBC17" s="13"/>
      <c r="JBD17" s="13"/>
      <c r="JBE17" s="13"/>
      <c r="JBF17" s="13"/>
      <c r="JBG17" s="13"/>
      <c r="JBH17" s="13"/>
      <c r="JBI17" s="13"/>
      <c r="JBJ17" s="13"/>
      <c r="JBK17" s="13"/>
      <c r="JBL17" s="13"/>
      <c r="JBM17" s="13"/>
      <c r="JBN17" s="13"/>
      <c r="JBO17" s="13"/>
      <c r="JBP17" s="13"/>
      <c r="JBQ17" s="13"/>
      <c r="JBR17" s="13"/>
      <c r="JBS17" s="13"/>
      <c r="JBT17" s="13"/>
      <c r="JBU17" s="13"/>
      <c r="JBV17" s="13"/>
      <c r="JBW17" s="13"/>
      <c r="JBX17" s="13"/>
      <c r="JBY17" s="13"/>
      <c r="JBZ17" s="13"/>
      <c r="JCA17" s="13"/>
      <c r="JCB17" s="13"/>
      <c r="JCC17" s="13"/>
      <c r="JCD17" s="13"/>
      <c r="JCE17" s="13"/>
      <c r="JCF17" s="13"/>
      <c r="JCG17" s="13"/>
      <c r="JCH17" s="13"/>
      <c r="JCI17" s="13"/>
      <c r="JCJ17" s="13"/>
      <c r="JCK17" s="13"/>
      <c r="JCL17" s="13"/>
      <c r="JCM17" s="13"/>
      <c r="JCN17" s="13"/>
      <c r="JCO17" s="13"/>
      <c r="JCP17" s="13"/>
      <c r="JCQ17" s="13"/>
      <c r="JCR17" s="13"/>
      <c r="JCS17" s="13"/>
      <c r="JCT17" s="13"/>
      <c r="JCU17" s="13"/>
      <c r="JCV17" s="13"/>
      <c r="JCW17" s="13"/>
      <c r="JCX17" s="13"/>
      <c r="JCY17" s="13"/>
      <c r="JCZ17" s="13"/>
      <c r="JDA17" s="13"/>
      <c r="JDB17" s="13"/>
      <c r="JDC17" s="13"/>
      <c r="JDD17" s="13"/>
      <c r="JDE17" s="13"/>
      <c r="JDF17" s="13"/>
      <c r="JDG17" s="13"/>
      <c r="JDH17" s="13"/>
      <c r="JDI17" s="13"/>
      <c r="JDJ17" s="13"/>
      <c r="JDK17" s="13"/>
      <c r="JDL17" s="13"/>
      <c r="JDM17" s="13"/>
      <c r="JDN17" s="13"/>
      <c r="JDO17" s="13"/>
      <c r="JDP17" s="13"/>
      <c r="JDQ17" s="13"/>
      <c r="JDR17" s="13"/>
      <c r="JDS17" s="13"/>
      <c r="JDT17" s="13"/>
      <c r="JDU17" s="13"/>
      <c r="JDV17" s="13"/>
      <c r="JDW17" s="13"/>
      <c r="JDX17" s="13"/>
      <c r="JDY17" s="13"/>
      <c r="JDZ17" s="13"/>
      <c r="JEA17" s="13"/>
      <c r="JEB17" s="13"/>
      <c r="JEC17" s="13"/>
      <c r="JED17" s="13"/>
      <c r="JEE17" s="13"/>
      <c r="JEF17" s="13"/>
      <c r="JEG17" s="13"/>
      <c r="JEH17" s="13"/>
      <c r="JEI17" s="13"/>
      <c r="JEJ17" s="13"/>
      <c r="JEK17" s="13"/>
      <c r="JEL17" s="13"/>
      <c r="JEM17" s="13"/>
      <c r="JEN17" s="13"/>
      <c r="JEO17" s="13"/>
      <c r="JEP17" s="13"/>
      <c r="JEQ17" s="13"/>
      <c r="JER17" s="13"/>
      <c r="JES17" s="13"/>
      <c r="JET17" s="13"/>
      <c r="JEU17" s="13"/>
      <c r="JEV17" s="13"/>
      <c r="JEW17" s="13"/>
      <c r="JEX17" s="13"/>
      <c r="JEY17" s="13"/>
      <c r="JEZ17" s="13"/>
      <c r="JFA17" s="13"/>
      <c r="JFB17" s="13"/>
      <c r="JFC17" s="13"/>
      <c r="JFD17" s="13"/>
      <c r="JFE17" s="13"/>
      <c r="JFF17" s="13"/>
      <c r="JFG17" s="13"/>
      <c r="JFH17" s="13"/>
      <c r="JFI17" s="13"/>
      <c r="JFJ17" s="13"/>
      <c r="JFK17" s="13"/>
      <c r="JFL17" s="13"/>
      <c r="JFM17" s="13"/>
      <c r="JFN17" s="13"/>
      <c r="JFO17" s="13"/>
      <c r="JFP17" s="13"/>
      <c r="JFQ17" s="13"/>
      <c r="JFR17" s="13"/>
      <c r="JFS17" s="13"/>
      <c r="JFT17" s="13"/>
      <c r="JFU17" s="13"/>
      <c r="JFV17" s="13"/>
      <c r="JFW17" s="13"/>
      <c r="JFX17" s="13"/>
      <c r="JFY17" s="13"/>
      <c r="JFZ17" s="13"/>
      <c r="JGA17" s="13"/>
      <c r="JGB17" s="13"/>
      <c r="JGC17" s="13"/>
      <c r="JGD17" s="13"/>
      <c r="JGE17" s="13"/>
      <c r="JGF17" s="13"/>
      <c r="JGG17" s="13"/>
      <c r="JGH17" s="13"/>
      <c r="JGI17" s="13"/>
      <c r="JGJ17" s="13"/>
      <c r="JGK17" s="13"/>
      <c r="JGL17" s="13"/>
      <c r="JGM17" s="13"/>
      <c r="JGN17" s="13"/>
      <c r="JGO17" s="13"/>
      <c r="JGP17" s="13"/>
      <c r="JGQ17" s="13"/>
      <c r="JGR17" s="13"/>
      <c r="JGS17" s="13"/>
      <c r="JGT17" s="13"/>
      <c r="JGU17" s="13"/>
      <c r="JGV17" s="13"/>
      <c r="JGW17" s="13"/>
      <c r="JGX17" s="13"/>
      <c r="JGY17" s="13"/>
      <c r="JGZ17" s="13"/>
      <c r="JHA17" s="13"/>
      <c r="JHB17" s="13"/>
      <c r="JHC17" s="13"/>
      <c r="JHD17" s="13"/>
      <c r="JHE17" s="13"/>
      <c r="JHF17" s="13"/>
      <c r="JHG17" s="13"/>
      <c r="JHH17" s="13"/>
      <c r="JHI17" s="13"/>
      <c r="JHJ17" s="13"/>
      <c r="JHK17" s="13"/>
      <c r="JHL17" s="13"/>
      <c r="JHM17" s="13"/>
      <c r="JHN17" s="13"/>
      <c r="JHO17" s="13"/>
      <c r="JHP17" s="13"/>
      <c r="JHQ17" s="13"/>
      <c r="JHR17" s="13"/>
      <c r="JHS17" s="13"/>
      <c r="JHT17" s="13"/>
      <c r="JHU17" s="13"/>
      <c r="JHV17" s="13"/>
      <c r="JHW17" s="13"/>
      <c r="JHX17" s="13"/>
      <c r="JHY17" s="13"/>
      <c r="JHZ17" s="13"/>
      <c r="JIA17" s="13"/>
      <c r="JIB17" s="13"/>
      <c r="JIC17" s="13"/>
      <c r="JID17" s="13"/>
      <c r="JIE17" s="13"/>
      <c r="JIF17" s="13"/>
      <c r="JIG17" s="13"/>
      <c r="JIH17" s="13"/>
      <c r="JII17" s="13"/>
      <c r="JIJ17" s="13"/>
      <c r="JIK17" s="13"/>
      <c r="JIL17" s="13"/>
      <c r="JIM17" s="13"/>
      <c r="JIN17" s="13"/>
      <c r="JIO17" s="13"/>
      <c r="JIP17" s="13"/>
      <c r="JIQ17" s="13"/>
      <c r="JIR17" s="13"/>
      <c r="JIS17" s="13"/>
      <c r="JIT17" s="13"/>
      <c r="JIU17" s="13"/>
      <c r="JIV17" s="13"/>
      <c r="JIW17" s="13"/>
      <c r="JIX17" s="13"/>
      <c r="JIY17" s="13"/>
      <c r="JIZ17" s="13"/>
      <c r="JJA17" s="13"/>
      <c r="JJB17" s="13"/>
      <c r="JJC17" s="13"/>
      <c r="JJD17" s="13"/>
      <c r="JJE17" s="13"/>
      <c r="JJF17" s="13"/>
      <c r="JJG17" s="13"/>
      <c r="JJH17" s="13"/>
      <c r="JJI17" s="13"/>
      <c r="JJJ17" s="13"/>
      <c r="JJK17" s="13"/>
      <c r="JJL17" s="13"/>
      <c r="JJM17" s="13"/>
      <c r="JJN17" s="13"/>
      <c r="JJO17" s="13"/>
      <c r="JJP17" s="13"/>
      <c r="JJQ17" s="13"/>
      <c r="JJR17" s="13"/>
      <c r="JJS17" s="13"/>
      <c r="JJT17" s="13"/>
      <c r="JJU17" s="13"/>
      <c r="JJV17" s="13"/>
      <c r="JJW17" s="13"/>
      <c r="JJX17" s="13"/>
      <c r="JJY17" s="13"/>
      <c r="JJZ17" s="13"/>
      <c r="JKA17" s="13"/>
      <c r="JKB17" s="13"/>
      <c r="JKC17" s="13"/>
      <c r="JKD17" s="13"/>
      <c r="JKE17" s="13"/>
      <c r="JKF17" s="13"/>
      <c r="JKG17" s="13"/>
      <c r="JKH17" s="13"/>
      <c r="JKI17" s="13"/>
      <c r="JKJ17" s="13"/>
      <c r="JKK17" s="13"/>
      <c r="JKL17" s="13"/>
      <c r="JKM17" s="13"/>
      <c r="JKN17" s="13"/>
      <c r="JKO17" s="13"/>
      <c r="JKP17" s="13"/>
      <c r="JKQ17" s="13"/>
      <c r="JKR17" s="13"/>
      <c r="JKS17" s="13"/>
      <c r="JKT17" s="13"/>
      <c r="JKU17" s="13"/>
      <c r="JKV17" s="13"/>
      <c r="JKW17" s="13"/>
      <c r="JKX17" s="13"/>
      <c r="JKY17" s="13"/>
      <c r="JKZ17" s="13"/>
      <c r="JLA17" s="13"/>
      <c r="JLB17" s="13"/>
      <c r="JLC17" s="13"/>
      <c r="JLD17" s="13"/>
      <c r="JLE17" s="13"/>
      <c r="JLF17" s="13"/>
      <c r="JLG17" s="13"/>
      <c r="JLH17" s="13"/>
      <c r="JLI17" s="13"/>
      <c r="JLJ17" s="13"/>
      <c r="JLK17" s="13"/>
      <c r="JLL17" s="13"/>
      <c r="JLM17" s="13"/>
      <c r="JLN17" s="13"/>
      <c r="JLO17" s="13"/>
      <c r="JLP17" s="13"/>
      <c r="JLQ17" s="13"/>
      <c r="JLR17" s="13"/>
      <c r="JLS17" s="13"/>
      <c r="JLT17" s="13"/>
      <c r="JLU17" s="13"/>
      <c r="JLV17" s="13"/>
      <c r="JLW17" s="13"/>
      <c r="JLX17" s="13"/>
      <c r="JLY17" s="13"/>
      <c r="JLZ17" s="13"/>
      <c r="JMA17" s="13"/>
      <c r="JMB17" s="13"/>
      <c r="JMC17" s="13"/>
      <c r="JMD17" s="13"/>
      <c r="JME17" s="13"/>
      <c r="JMF17" s="13"/>
      <c r="JMG17" s="13"/>
      <c r="JMH17" s="13"/>
      <c r="JMI17" s="13"/>
      <c r="JMJ17" s="13"/>
      <c r="JMK17" s="13"/>
      <c r="JML17" s="13"/>
      <c r="JMM17" s="13"/>
      <c r="JMN17" s="13"/>
      <c r="JMO17" s="13"/>
      <c r="JMP17" s="13"/>
      <c r="JMQ17" s="13"/>
      <c r="JMR17" s="13"/>
      <c r="JMS17" s="13"/>
      <c r="JMT17" s="13"/>
      <c r="JMU17" s="13"/>
      <c r="JMV17" s="13"/>
      <c r="JMW17" s="13"/>
      <c r="JMX17" s="13"/>
      <c r="JMY17" s="13"/>
      <c r="JMZ17" s="13"/>
      <c r="JNA17" s="13"/>
      <c r="JNB17" s="13"/>
      <c r="JNC17" s="13"/>
      <c r="JND17" s="13"/>
      <c r="JNE17" s="13"/>
      <c r="JNF17" s="13"/>
      <c r="JNG17" s="13"/>
      <c r="JNH17" s="13"/>
      <c r="JNI17" s="13"/>
      <c r="JNJ17" s="13"/>
      <c r="JNK17" s="13"/>
      <c r="JNL17" s="13"/>
      <c r="JNM17" s="13"/>
      <c r="JNN17" s="13"/>
      <c r="JNO17" s="13"/>
      <c r="JNP17" s="13"/>
      <c r="JNQ17" s="13"/>
      <c r="JNR17" s="13"/>
      <c r="JNS17" s="13"/>
      <c r="JNT17" s="13"/>
      <c r="JNU17" s="13"/>
      <c r="JNV17" s="13"/>
      <c r="JNW17" s="13"/>
      <c r="JNX17" s="13"/>
      <c r="JNY17" s="13"/>
      <c r="JNZ17" s="13"/>
      <c r="JOA17" s="13"/>
      <c r="JOB17" s="13"/>
      <c r="JOC17" s="13"/>
      <c r="JOD17" s="13"/>
      <c r="JOE17" s="13"/>
      <c r="JOF17" s="13"/>
      <c r="JOG17" s="13"/>
      <c r="JOH17" s="13"/>
      <c r="JOI17" s="13"/>
      <c r="JOJ17" s="13"/>
      <c r="JOK17" s="13"/>
      <c r="JOL17" s="13"/>
      <c r="JOM17" s="13"/>
      <c r="JON17" s="13"/>
      <c r="JOO17" s="13"/>
      <c r="JOP17" s="13"/>
      <c r="JOQ17" s="13"/>
      <c r="JOR17" s="13"/>
      <c r="JOS17" s="13"/>
      <c r="JOT17" s="13"/>
      <c r="JOU17" s="13"/>
      <c r="JOV17" s="13"/>
      <c r="JOW17" s="13"/>
      <c r="JOX17" s="13"/>
      <c r="JOY17" s="13"/>
      <c r="JOZ17" s="13"/>
      <c r="JPA17" s="13"/>
      <c r="JPB17" s="13"/>
      <c r="JPC17" s="13"/>
      <c r="JPD17" s="13"/>
      <c r="JPE17" s="13"/>
      <c r="JPF17" s="13"/>
      <c r="JPG17" s="13"/>
      <c r="JPH17" s="13"/>
      <c r="JPI17" s="13"/>
      <c r="JPJ17" s="13"/>
      <c r="JPK17" s="13"/>
      <c r="JPL17" s="13"/>
      <c r="JPM17" s="13"/>
      <c r="JPN17" s="13"/>
      <c r="JPO17" s="13"/>
      <c r="JPP17" s="13"/>
      <c r="JPQ17" s="13"/>
      <c r="JPR17" s="13"/>
      <c r="JPS17" s="13"/>
      <c r="JPT17" s="13"/>
      <c r="JPU17" s="13"/>
      <c r="JPV17" s="13"/>
      <c r="JPW17" s="13"/>
      <c r="JPX17" s="13"/>
      <c r="JPY17" s="13"/>
      <c r="JPZ17" s="13"/>
      <c r="JQA17" s="13"/>
      <c r="JQB17" s="13"/>
      <c r="JQC17" s="13"/>
      <c r="JQD17" s="13"/>
      <c r="JQE17" s="13"/>
      <c r="JQF17" s="13"/>
      <c r="JQG17" s="13"/>
      <c r="JQH17" s="13"/>
      <c r="JQI17" s="13"/>
      <c r="JQJ17" s="13"/>
      <c r="JQK17" s="13"/>
      <c r="JQL17" s="13"/>
      <c r="JQM17" s="13"/>
      <c r="JQN17" s="13"/>
      <c r="JQO17" s="13"/>
      <c r="JQP17" s="13"/>
      <c r="JQQ17" s="13"/>
      <c r="JQR17" s="13"/>
      <c r="JQS17" s="13"/>
      <c r="JQT17" s="13"/>
      <c r="JQU17" s="13"/>
      <c r="JQV17" s="13"/>
      <c r="JQW17" s="13"/>
      <c r="JQX17" s="13"/>
      <c r="JQY17" s="13"/>
      <c r="JQZ17" s="13"/>
      <c r="JRA17" s="13"/>
      <c r="JRB17" s="13"/>
      <c r="JRC17" s="13"/>
      <c r="JRD17" s="13"/>
      <c r="JRE17" s="13"/>
      <c r="JRF17" s="13"/>
      <c r="JRG17" s="13"/>
      <c r="JRH17" s="13"/>
      <c r="JRI17" s="13"/>
      <c r="JRJ17" s="13"/>
      <c r="JRK17" s="13"/>
      <c r="JRL17" s="13"/>
      <c r="JRM17" s="13"/>
      <c r="JRN17" s="13"/>
      <c r="JRO17" s="13"/>
      <c r="JRP17" s="13"/>
      <c r="JRQ17" s="13"/>
      <c r="JRR17" s="13"/>
      <c r="JRS17" s="13"/>
      <c r="JRT17" s="13"/>
      <c r="JRU17" s="13"/>
      <c r="JRV17" s="13"/>
      <c r="JRW17" s="13"/>
      <c r="JRX17" s="13"/>
      <c r="JRY17" s="13"/>
      <c r="JRZ17" s="13"/>
      <c r="JSA17" s="13"/>
      <c r="JSB17" s="13"/>
      <c r="JSC17" s="13"/>
      <c r="JSD17" s="13"/>
      <c r="JSE17" s="13"/>
      <c r="JSF17" s="13"/>
      <c r="JSG17" s="13"/>
      <c r="JSH17" s="13"/>
      <c r="JSI17" s="13"/>
      <c r="JSJ17" s="13"/>
      <c r="JSK17" s="13"/>
      <c r="JSL17" s="13"/>
      <c r="JSM17" s="13"/>
      <c r="JSN17" s="13"/>
      <c r="JSO17" s="13"/>
      <c r="JSP17" s="13"/>
      <c r="JSQ17" s="13"/>
      <c r="JSR17" s="13"/>
      <c r="JSS17" s="13"/>
      <c r="JST17" s="13"/>
      <c r="JSU17" s="13"/>
      <c r="JSV17" s="13"/>
      <c r="JSW17" s="13"/>
      <c r="JSX17" s="13"/>
      <c r="JSY17" s="13"/>
      <c r="JSZ17" s="13"/>
      <c r="JTA17" s="13"/>
      <c r="JTB17" s="13"/>
      <c r="JTC17" s="13"/>
      <c r="JTD17" s="13"/>
      <c r="JTE17" s="13"/>
      <c r="JTF17" s="13"/>
      <c r="JTG17" s="13"/>
      <c r="JTH17" s="13"/>
      <c r="JTI17" s="13"/>
      <c r="JTJ17" s="13"/>
      <c r="JTK17" s="13"/>
      <c r="JTL17" s="13"/>
      <c r="JTM17" s="13"/>
      <c r="JTN17" s="13"/>
      <c r="JTO17" s="13"/>
      <c r="JTP17" s="13"/>
      <c r="JTQ17" s="13"/>
      <c r="JTR17" s="13"/>
      <c r="JTS17" s="13"/>
      <c r="JTT17" s="13"/>
      <c r="JTU17" s="13"/>
      <c r="JTV17" s="13"/>
      <c r="JTW17" s="13"/>
      <c r="JTX17" s="13"/>
      <c r="JTY17" s="13"/>
      <c r="JTZ17" s="13"/>
      <c r="JUA17" s="13"/>
      <c r="JUB17" s="13"/>
      <c r="JUC17" s="13"/>
      <c r="JUD17" s="13"/>
      <c r="JUE17" s="13"/>
      <c r="JUF17" s="13"/>
      <c r="JUG17" s="13"/>
      <c r="JUH17" s="13"/>
      <c r="JUI17" s="13"/>
      <c r="JUJ17" s="13"/>
      <c r="JUK17" s="13"/>
      <c r="JUL17" s="13"/>
      <c r="JUM17" s="13"/>
      <c r="JUN17" s="13"/>
      <c r="JUO17" s="13"/>
      <c r="JUP17" s="13"/>
      <c r="JUQ17" s="13"/>
      <c r="JUR17" s="13"/>
      <c r="JUS17" s="13"/>
      <c r="JUT17" s="13"/>
      <c r="JUU17" s="13"/>
      <c r="JUV17" s="13"/>
      <c r="JUW17" s="13"/>
      <c r="JUX17" s="13"/>
      <c r="JUY17" s="13"/>
      <c r="JUZ17" s="13"/>
      <c r="JVA17" s="13"/>
      <c r="JVB17" s="13"/>
      <c r="JVC17" s="13"/>
      <c r="JVD17" s="13"/>
      <c r="JVE17" s="13"/>
      <c r="JVF17" s="13"/>
      <c r="JVG17" s="13"/>
      <c r="JVH17" s="13"/>
      <c r="JVI17" s="13"/>
      <c r="JVJ17" s="13"/>
      <c r="JVK17" s="13"/>
      <c r="JVL17" s="13"/>
      <c r="JVM17" s="13"/>
      <c r="JVN17" s="13"/>
      <c r="JVO17" s="13"/>
      <c r="JVP17" s="13"/>
      <c r="JVQ17" s="13"/>
      <c r="JVR17" s="13"/>
      <c r="JVS17" s="13"/>
      <c r="JVT17" s="13"/>
      <c r="JVU17" s="13"/>
      <c r="JVV17" s="13"/>
      <c r="JVW17" s="13"/>
      <c r="JVX17" s="13"/>
      <c r="JVY17" s="13"/>
      <c r="JVZ17" s="13"/>
      <c r="JWA17" s="13"/>
      <c r="JWB17" s="13"/>
      <c r="JWC17" s="13"/>
      <c r="JWD17" s="13"/>
      <c r="JWE17" s="13"/>
      <c r="JWF17" s="13"/>
      <c r="JWG17" s="13"/>
      <c r="JWH17" s="13"/>
      <c r="JWI17" s="13"/>
      <c r="JWJ17" s="13"/>
      <c r="JWK17" s="13"/>
      <c r="JWL17" s="13"/>
      <c r="JWM17" s="13"/>
      <c r="JWN17" s="13"/>
      <c r="JWO17" s="13"/>
      <c r="JWP17" s="13"/>
      <c r="JWQ17" s="13"/>
      <c r="JWR17" s="13"/>
      <c r="JWS17" s="13"/>
      <c r="JWT17" s="13"/>
      <c r="JWU17" s="13"/>
      <c r="JWV17" s="13"/>
      <c r="JWW17" s="13"/>
      <c r="JWX17" s="13"/>
      <c r="JWY17" s="13"/>
      <c r="JWZ17" s="13"/>
      <c r="JXA17" s="13"/>
      <c r="JXB17" s="13"/>
      <c r="JXC17" s="13"/>
      <c r="JXD17" s="13"/>
      <c r="JXE17" s="13"/>
      <c r="JXF17" s="13"/>
      <c r="JXG17" s="13"/>
      <c r="JXH17" s="13"/>
      <c r="JXI17" s="13"/>
      <c r="JXJ17" s="13"/>
      <c r="JXK17" s="13"/>
      <c r="JXL17" s="13"/>
      <c r="JXM17" s="13"/>
      <c r="JXN17" s="13"/>
      <c r="JXO17" s="13"/>
      <c r="JXP17" s="13"/>
      <c r="JXQ17" s="13"/>
      <c r="JXR17" s="13"/>
      <c r="JXS17" s="13"/>
      <c r="JXT17" s="13"/>
      <c r="JXU17" s="13"/>
      <c r="JXV17" s="13"/>
      <c r="JXW17" s="13"/>
      <c r="JXX17" s="13"/>
      <c r="JXY17" s="13"/>
      <c r="JXZ17" s="13"/>
      <c r="JYA17" s="13"/>
      <c r="JYB17" s="13"/>
      <c r="JYC17" s="13"/>
      <c r="JYD17" s="13"/>
      <c r="JYE17" s="13"/>
      <c r="JYF17" s="13"/>
      <c r="JYG17" s="13"/>
      <c r="JYH17" s="13"/>
      <c r="JYI17" s="13"/>
      <c r="JYJ17" s="13"/>
      <c r="JYK17" s="13"/>
      <c r="JYL17" s="13"/>
      <c r="JYM17" s="13"/>
      <c r="JYN17" s="13"/>
      <c r="JYO17" s="13"/>
      <c r="JYP17" s="13"/>
      <c r="JYQ17" s="13"/>
      <c r="JYR17" s="13"/>
      <c r="JYS17" s="13"/>
      <c r="JYT17" s="13"/>
      <c r="JYU17" s="13"/>
      <c r="JYV17" s="13"/>
      <c r="JYW17" s="13"/>
      <c r="JYX17" s="13"/>
      <c r="JYY17" s="13"/>
      <c r="JYZ17" s="13"/>
      <c r="JZA17" s="13"/>
      <c r="JZB17" s="13"/>
      <c r="JZC17" s="13"/>
      <c r="JZD17" s="13"/>
      <c r="JZE17" s="13"/>
      <c r="JZF17" s="13"/>
      <c r="JZG17" s="13"/>
      <c r="JZH17" s="13"/>
      <c r="JZI17" s="13"/>
      <c r="JZJ17" s="13"/>
      <c r="JZK17" s="13"/>
      <c r="JZL17" s="13"/>
      <c r="JZM17" s="13"/>
      <c r="JZN17" s="13"/>
      <c r="JZO17" s="13"/>
      <c r="JZP17" s="13"/>
      <c r="JZQ17" s="13"/>
      <c r="JZR17" s="13"/>
      <c r="JZS17" s="13"/>
      <c r="JZT17" s="13"/>
      <c r="JZU17" s="13"/>
      <c r="JZV17" s="13"/>
      <c r="JZW17" s="13"/>
      <c r="JZX17" s="13"/>
      <c r="JZY17" s="13"/>
      <c r="JZZ17" s="13"/>
      <c r="KAA17" s="13"/>
      <c r="KAB17" s="13"/>
      <c r="KAC17" s="13"/>
      <c r="KAD17" s="13"/>
      <c r="KAE17" s="13"/>
      <c r="KAF17" s="13"/>
      <c r="KAG17" s="13"/>
      <c r="KAH17" s="13"/>
      <c r="KAI17" s="13"/>
      <c r="KAJ17" s="13"/>
      <c r="KAK17" s="13"/>
      <c r="KAL17" s="13"/>
      <c r="KAM17" s="13"/>
      <c r="KAN17" s="13"/>
      <c r="KAO17" s="13"/>
      <c r="KAP17" s="13"/>
      <c r="KAQ17" s="13"/>
      <c r="KAR17" s="13"/>
      <c r="KAS17" s="13"/>
      <c r="KAT17" s="13"/>
      <c r="KAU17" s="13"/>
      <c r="KAV17" s="13"/>
      <c r="KAW17" s="13"/>
      <c r="KAX17" s="13"/>
      <c r="KAY17" s="13"/>
      <c r="KAZ17" s="13"/>
      <c r="KBA17" s="13"/>
      <c r="KBB17" s="13"/>
      <c r="KBC17" s="13"/>
      <c r="KBD17" s="13"/>
      <c r="KBE17" s="13"/>
      <c r="KBF17" s="13"/>
      <c r="KBG17" s="13"/>
      <c r="KBH17" s="13"/>
      <c r="KBI17" s="13"/>
      <c r="KBJ17" s="13"/>
      <c r="KBK17" s="13"/>
      <c r="KBL17" s="13"/>
      <c r="KBM17" s="13"/>
      <c r="KBN17" s="13"/>
      <c r="KBO17" s="13"/>
      <c r="KBP17" s="13"/>
      <c r="KBQ17" s="13"/>
      <c r="KBR17" s="13"/>
      <c r="KBS17" s="13"/>
      <c r="KBT17" s="13"/>
      <c r="KBU17" s="13"/>
      <c r="KBV17" s="13"/>
      <c r="KBW17" s="13"/>
      <c r="KBX17" s="13"/>
      <c r="KBY17" s="13"/>
      <c r="KBZ17" s="13"/>
      <c r="KCA17" s="13"/>
      <c r="KCB17" s="13"/>
      <c r="KCC17" s="13"/>
      <c r="KCD17" s="13"/>
      <c r="KCE17" s="13"/>
      <c r="KCF17" s="13"/>
      <c r="KCG17" s="13"/>
      <c r="KCH17" s="13"/>
      <c r="KCI17" s="13"/>
      <c r="KCJ17" s="13"/>
      <c r="KCK17" s="13"/>
      <c r="KCL17" s="13"/>
      <c r="KCM17" s="13"/>
      <c r="KCN17" s="13"/>
      <c r="KCO17" s="13"/>
      <c r="KCP17" s="13"/>
      <c r="KCQ17" s="13"/>
      <c r="KCR17" s="13"/>
      <c r="KCS17" s="13"/>
      <c r="KCT17" s="13"/>
      <c r="KCU17" s="13"/>
      <c r="KCV17" s="13"/>
      <c r="KCW17" s="13"/>
      <c r="KCX17" s="13"/>
      <c r="KCY17" s="13"/>
      <c r="KCZ17" s="13"/>
      <c r="KDA17" s="13"/>
      <c r="KDB17" s="13"/>
      <c r="KDC17" s="13"/>
      <c r="KDD17" s="13"/>
      <c r="KDE17" s="13"/>
      <c r="KDF17" s="13"/>
      <c r="KDG17" s="13"/>
      <c r="KDH17" s="13"/>
      <c r="KDI17" s="13"/>
      <c r="KDJ17" s="13"/>
      <c r="KDK17" s="13"/>
      <c r="KDL17" s="13"/>
      <c r="KDM17" s="13"/>
      <c r="KDN17" s="13"/>
      <c r="KDO17" s="13"/>
      <c r="KDP17" s="13"/>
      <c r="KDQ17" s="13"/>
      <c r="KDR17" s="13"/>
      <c r="KDS17" s="13"/>
      <c r="KDT17" s="13"/>
      <c r="KDU17" s="13"/>
      <c r="KDV17" s="13"/>
      <c r="KDW17" s="13"/>
      <c r="KDX17" s="13"/>
      <c r="KDY17" s="13"/>
      <c r="KDZ17" s="13"/>
      <c r="KEA17" s="13"/>
      <c r="KEB17" s="13"/>
      <c r="KEC17" s="13"/>
      <c r="KED17" s="13"/>
      <c r="KEE17" s="13"/>
      <c r="KEF17" s="13"/>
      <c r="KEG17" s="13"/>
      <c r="KEH17" s="13"/>
      <c r="KEI17" s="13"/>
      <c r="KEJ17" s="13"/>
      <c r="KEK17" s="13"/>
      <c r="KEL17" s="13"/>
      <c r="KEM17" s="13"/>
      <c r="KEN17" s="13"/>
      <c r="KEO17" s="13"/>
      <c r="KEP17" s="13"/>
      <c r="KEQ17" s="13"/>
      <c r="KER17" s="13"/>
      <c r="KES17" s="13"/>
      <c r="KET17" s="13"/>
      <c r="KEU17" s="13"/>
      <c r="KEV17" s="13"/>
      <c r="KEW17" s="13"/>
      <c r="KEX17" s="13"/>
      <c r="KEY17" s="13"/>
      <c r="KEZ17" s="13"/>
      <c r="KFA17" s="13"/>
      <c r="KFB17" s="13"/>
      <c r="KFC17" s="13"/>
      <c r="KFD17" s="13"/>
      <c r="KFE17" s="13"/>
      <c r="KFF17" s="13"/>
      <c r="KFG17" s="13"/>
      <c r="KFH17" s="13"/>
      <c r="KFI17" s="13"/>
      <c r="KFJ17" s="13"/>
      <c r="KFK17" s="13"/>
      <c r="KFL17" s="13"/>
      <c r="KFM17" s="13"/>
      <c r="KFN17" s="13"/>
      <c r="KFO17" s="13"/>
      <c r="KFP17" s="13"/>
      <c r="KFQ17" s="13"/>
      <c r="KFR17" s="13"/>
      <c r="KFS17" s="13"/>
      <c r="KFT17" s="13"/>
      <c r="KFU17" s="13"/>
      <c r="KFV17" s="13"/>
      <c r="KFW17" s="13"/>
      <c r="KFX17" s="13"/>
      <c r="KFY17" s="13"/>
      <c r="KFZ17" s="13"/>
      <c r="KGA17" s="13"/>
      <c r="KGB17" s="13"/>
      <c r="KGC17" s="13"/>
      <c r="KGD17" s="13"/>
      <c r="KGE17" s="13"/>
      <c r="KGF17" s="13"/>
      <c r="KGG17" s="13"/>
      <c r="KGH17" s="13"/>
      <c r="KGI17" s="13"/>
      <c r="KGJ17" s="13"/>
      <c r="KGK17" s="13"/>
      <c r="KGL17" s="13"/>
      <c r="KGM17" s="13"/>
      <c r="KGN17" s="13"/>
      <c r="KGO17" s="13"/>
      <c r="KGP17" s="13"/>
      <c r="KGQ17" s="13"/>
      <c r="KGR17" s="13"/>
      <c r="KGS17" s="13"/>
      <c r="KGT17" s="13"/>
      <c r="KGU17" s="13"/>
      <c r="KGV17" s="13"/>
      <c r="KGW17" s="13"/>
      <c r="KGX17" s="13"/>
      <c r="KGY17" s="13"/>
      <c r="KGZ17" s="13"/>
      <c r="KHA17" s="13"/>
      <c r="KHB17" s="13"/>
      <c r="KHC17" s="13"/>
      <c r="KHD17" s="13"/>
      <c r="KHE17" s="13"/>
      <c r="KHF17" s="13"/>
      <c r="KHG17" s="13"/>
      <c r="KHH17" s="13"/>
      <c r="KHI17" s="13"/>
      <c r="KHJ17" s="13"/>
      <c r="KHK17" s="13"/>
      <c r="KHL17" s="13"/>
      <c r="KHM17" s="13"/>
      <c r="KHN17" s="13"/>
      <c r="KHO17" s="13"/>
      <c r="KHP17" s="13"/>
      <c r="KHQ17" s="13"/>
      <c r="KHR17" s="13"/>
      <c r="KHS17" s="13"/>
      <c r="KHT17" s="13"/>
      <c r="KHU17" s="13"/>
      <c r="KHV17" s="13"/>
      <c r="KHW17" s="13"/>
      <c r="KHX17" s="13"/>
      <c r="KHY17" s="13"/>
      <c r="KHZ17" s="13"/>
      <c r="KIA17" s="13"/>
      <c r="KIB17" s="13"/>
      <c r="KIC17" s="13"/>
      <c r="KID17" s="13"/>
      <c r="KIE17" s="13"/>
      <c r="KIF17" s="13"/>
      <c r="KIG17" s="13"/>
      <c r="KIH17" s="13"/>
      <c r="KII17" s="13"/>
      <c r="KIJ17" s="13"/>
      <c r="KIK17" s="13"/>
      <c r="KIL17" s="13"/>
      <c r="KIM17" s="13"/>
      <c r="KIN17" s="13"/>
      <c r="KIO17" s="13"/>
      <c r="KIP17" s="13"/>
      <c r="KIQ17" s="13"/>
      <c r="KIR17" s="13"/>
      <c r="KIS17" s="13"/>
      <c r="KIT17" s="13"/>
      <c r="KIU17" s="13"/>
      <c r="KIV17" s="13"/>
      <c r="KIW17" s="13"/>
      <c r="KIX17" s="13"/>
      <c r="KIY17" s="13"/>
      <c r="KIZ17" s="13"/>
      <c r="KJA17" s="13"/>
      <c r="KJB17" s="13"/>
      <c r="KJC17" s="13"/>
      <c r="KJD17" s="13"/>
      <c r="KJE17" s="13"/>
      <c r="KJF17" s="13"/>
      <c r="KJG17" s="13"/>
      <c r="KJH17" s="13"/>
      <c r="KJI17" s="13"/>
      <c r="KJJ17" s="13"/>
      <c r="KJK17" s="13"/>
      <c r="KJL17" s="13"/>
      <c r="KJM17" s="13"/>
      <c r="KJN17" s="13"/>
      <c r="KJO17" s="13"/>
      <c r="KJP17" s="13"/>
      <c r="KJQ17" s="13"/>
      <c r="KJR17" s="13"/>
      <c r="KJS17" s="13"/>
      <c r="KJT17" s="13"/>
      <c r="KJU17" s="13"/>
      <c r="KJV17" s="13"/>
      <c r="KJW17" s="13"/>
      <c r="KJX17" s="13"/>
      <c r="KJY17" s="13"/>
      <c r="KJZ17" s="13"/>
      <c r="KKA17" s="13"/>
      <c r="KKB17" s="13"/>
      <c r="KKC17" s="13"/>
      <c r="KKD17" s="13"/>
      <c r="KKE17" s="13"/>
      <c r="KKF17" s="13"/>
      <c r="KKG17" s="13"/>
      <c r="KKH17" s="13"/>
      <c r="KKI17" s="13"/>
      <c r="KKJ17" s="13"/>
      <c r="KKK17" s="13"/>
      <c r="KKL17" s="13"/>
      <c r="KKM17" s="13"/>
      <c r="KKN17" s="13"/>
      <c r="KKO17" s="13"/>
      <c r="KKP17" s="13"/>
      <c r="KKQ17" s="13"/>
      <c r="KKR17" s="13"/>
      <c r="KKS17" s="13"/>
      <c r="KKT17" s="13"/>
      <c r="KKU17" s="13"/>
      <c r="KKV17" s="13"/>
      <c r="KKW17" s="13"/>
      <c r="KKX17" s="13"/>
      <c r="KKY17" s="13"/>
      <c r="KKZ17" s="13"/>
      <c r="KLA17" s="13"/>
      <c r="KLB17" s="13"/>
      <c r="KLC17" s="13"/>
      <c r="KLD17" s="13"/>
      <c r="KLE17" s="13"/>
      <c r="KLF17" s="13"/>
      <c r="KLG17" s="13"/>
      <c r="KLH17" s="13"/>
      <c r="KLI17" s="13"/>
      <c r="KLJ17" s="13"/>
      <c r="KLK17" s="13"/>
      <c r="KLL17" s="13"/>
      <c r="KLM17" s="13"/>
      <c r="KLN17" s="13"/>
      <c r="KLO17" s="13"/>
      <c r="KLP17" s="13"/>
      <c r="KLQ17" s="13"/>
      <c r="KLR17" s="13"/>
      <c r="KLS17" s="13"/>
      <c r="KLT17" s="13"/>
      <c r="KLU17" s="13"/>
      <c r="KLV17" s="13"/>
      <c r="KLW17" s="13"/>
      <c r="KLX17" s="13"/>
      <c r="KLY17" s="13"/>
      <c r="KLZ17" s="13"/>
      <c r="KMA17" s="13"/>
      <c r="KMB17" s="13"/>
      <c r="KMC17" s="13"/>
      <c r="KMD17" s="13"/>
      <c r="KME17" s="13"/>
      <c r="KMF17" s="13"/>
      <c r="KMG17" s="13"/>
      <c r="KMH17" s="13"/>
      <c r="KMI17" s="13"/>
      <c r="KMJ17" s="13"/>
      <c r="KMK17" s="13"/>
      <c r="KML17" s="13"/>
      <c r="KMM17" s="13"/>
      <c r="KMN17" s="13"/>
      <c r="KMO17" s="13"/>
      <c r="KMP17" s="13"/>
      <c r="KMQ17" s="13"/>
      <c r="KMR17" s="13"/>
      <c r="KMS17" s="13"/>
      <c r="KMT17" s="13"/>
      <c r="KMU17" s="13"/>
      <c r="KMV17" s="13"/>
      <c r="KMW17" s="13"/>
      <c r="KMX17" s="13"/>
      <c r="KMY17" s="13"/>
      <c r="KMZ17" s="13"/>
      <c r="KNA17" s="13"/>
      <c r="KNB17" s="13"/>
      <c r="KNC17" s="13"/>
      <c r="KND17" s="13"/>
      <c r="KNE17" s="13"/>
      <c r="KNF17" s="13"/>
      <c r="KNG17" s="13"/>
      <c r="KNH17" s="13"/>
      <c r="KNI17" s="13"/>
      <c r="KNJ17" s="13"/>
      <c r="KNK17" s="13"/>
      <c r="KNL17" s="13"/>
      <c r="KNM17" s="13"/>
      <c r="KNN17" s="13"/>
      <c r="KNO17" s="13"/>
      <c r="KNP17" s="13"/>
      <c r="KNQ17" s="13"/>
      <c r="KNR17" s="13"/>
      <c r="KNS17" s="13"/>
      <c r="KNT17" s="13"/>
      <c r="KNU17" s="13"/>
      <c r="KNV17" s="13"/>
      <c r="KNW17" s="13"/>
      <c r="KNX17" s="13"/>
      <c r="KNY17" s="13"/>
      <c r="KNZ17" s="13"/>
      <c r="KOA17" s="13"/>
      <c r="KOB17" s="13"/>
      <c r="KOC17" s="13"/>
      <c r="KOD17" s="13"/>
      <c r="KOE17" s="13"/>
      <c r="KOF17" s="13"/>
      <c r="KOG17" s="13"/>
      <c r="KOH17" s="13"/>
      <c r="KOI17" s="13"/>
      <c r="KOJ17" s="13"/>
      <c r="KOK17" s="13"/>
      <c r="KOL17" s="13"/>
      <c r="KOM17" s="13"/>
      <c r="KON17" s="13"/>
      <c r="KOO17" s="13"/>
      <c r="KOP17" s="13"/>
      <c r="KOQ17" s="13"/>
      <c r="KOR17" s="13"/>
      <c r="KOS17" s="13"/>
      <c r="KOT17" s="13"/>
      <c r="KOU17" s="13"/>
      <c r="KOV17" s="13"/>
      <c r="KOW17" s="13"/>
      <c r="KOX17" s="13"/>
      <c r="KOY17" s="13"/>
      <c r="KOZ17" s="13"/>
      <c r="KPA17" s="13"/>
      <c r="KPB17" s="13"/>
      <c r="KPC17" s="13"/>
      <c r="KPD17" s="13"/>
      <c r="KPE17" s="13"/>
      <c r="KPF17" s="13"/>
      <c r="KPG17" s="13"/>
      <c r="KPH17" s="13"/>
      <c r="KPI17" s="13"/>
      <c r="KPJ17" s="13"/>
      <c r="KPK17" s="13"/>
      <c r="KPL17" s="13"/>
      <c r="KPM17" s="13"/>
      <c r="KPN17" s="13"/>
      <c r="KPO17" s="13"/>
      <c r="KPP17" s="13"/>
      <c r="KPQ17" s="13"/>
      <c r="KPR17" s="13"/>
      <c r="KPS17" s="13"/>
      <c r="KPT17" s="13"/>
      <c r="KPU17" s="13"/>
      <c r="KPV17" s="13"/>
      <c r="KPW17" s="13"/>
      <c r="KPX17" s="13"/>
      <c r="KPY17" s="13"/>
      <c r="KPZ17" s="13"/>
      <c r="KQA17" s="13"/>
      <c r="KQB17" s="13"/>
      <c r="KQC17" s="13"/>
      <c r="KQD17" s="13"/>
      <c r="KQE17" s="13"/>
      <c r="KQF17" s="13"/>
      <c r="KQG17" s="13"/>
      <c r="KQH17" s="13"/>
      <c r="KQI17" s="13"/>
      <c r="KQJ17" s="13"/>
      <c r="KQK17" s="13"/>
      <c r="KQL17" s="13"/>
      <c r="KQM17" s="13"/>
      <c r="KQN17" s="13"/>
      <c r="KQO17" s="13"/>
      <c r="KQP17" s="13"/>
      <c r="KQQ17" s="13"/>
      <c r="KQR17" s="13"/>
      <c r="KQS17" s="13"/>
      <c r="KQT17" s="13"/>
      <c r="KQU17" s="13"/>
      <c r="KQV17" s="13"/>
      <c r="KQW17" s="13"/>
      <c r="KQX17" s="13"/>
      <c r="KQY17" s="13"/>
      <c r="KQZ17" s="13"/>
      <c r="KRA17" s="13"/>
      <c r="KRB17" s="13"/>
      <c r="KRC17" s="13"/>
      <c r="KRD17" s="13"/>
      <c r="KRE17" s="13"/>
      <c r="KRF17" s="13"/>
      <c r="KRG17" s="13"/>
      <c r="KRH17" s="13"/>
      <c r="KRI17" s="13"/>
      <c r="KRJ17" s="13"/>
      <c r="KRK17" s="13"/>
      <c r="KRL17" s="13"/>
      <c r="KRM17" s="13"/>
      <c r="KRN17" s="13"/>
      <c r="KRO17" s="13"/>
      <c r="KRP17" s="13"/>
      <c r="KRQ17" s="13"/>
      <c r="KRR17" s="13"/>
      <c r="KRS17" s="13"/>
      <c r="KRT17" s="13"/>
      <c r="KRU17" s="13"/>
      <c r="KRV17" s="13"/>
      <c r="KRW17" s="13"/>
      <c r="KRX17" s="13"/>
      <c r="KRY17" s="13"/>
      <c r="KRZ17" s="13"/>
      <c r="KSA17" s="13"/>
      <c r="KSB17" s="13"/>
      <c r="KSC17" s="13"/>
      <c r="KSD17" s="13"/>
      <c r="KSE17" s="13"/>
      <c r="KSF17" s="13"/>
      <c r="KSG17" s="13"/>
      <c r="KSH17" s="13"/>
      <c r="KSI17" s="13"/>
      <c r="KSJ17" s="13"/>
      <c r="KSK17" s="13"/>
      <c r="KSL17" s="13"/>
      <c r="KSM17" s="13"/>
      <c r="KSN17" s="13"/>
      <c r="KSO17" s="13"/>
      <c r="KSP17" s="13"/>
      <c r="KSQ17" s="13"/>
      <c r="KSR17" s="13"/>
      <c r="KSS17" s="13"/>
      <c r="KST17" s="13"/>
      <c r="KSU17" s="13"/>
      <c r="KSV17" s="13"/>
      <c r="KSW17" s="13"/>
      <c r="KSX17" s="13"/>
      <c r="KSY17" s="13"/>
      <c r="KSZ17" s="13"/>
      <c r="KTA17" s="13"/>
      <c r="KTB17" s="13"/>
      <c r="KTC17" s="13"/>
      <c r="KTD17" s="13"/>
      <c r="KTE17" s="13"/>
      <c r="KTF17" s="13"/>
      <c r="KTG17" s="13"/>
      <c r="KTH17" s="13"/>
      <c r="KTI17" s="13"/>
      <c r="KTJ17" s="13"/>
      <c r="KTK17" s="13"/>
      <c r="KTL17" s="13"/>
      <c r="KTM17" s="13"/>
      <c r="KTN17" s="13"/>
      <c r="KTO17" s="13"/>
      <c r="KTP17" s="13"/>
      <c r="KTQ17" s="13"/>
      <c r="KTR17" s="13"/>
      <c r="KTS17" s="13"/>
      <c r="KTT17" s="13"/>
      <c r="KTU17" s="13"/>
      <c r="KTV17" s="13"/>
      <c r="KTW17" s="13"/>
      <c r="KTX17" s="13"/>
      <c r="KTY17" s="13"/>
      <c r="KTZ17" s="13"/>
      <c r="KUA17" s="13"/>
      <c r="KUB17" s="13"/>
      <c r="KUC17" s="13"/>
      <c r="KUD17" s="13"/>
      <c r="KUE17" s="13"/>
      <c r="KUF17" s="13"/>
      <c r="KUG17" s="13"/>
      <c r="KUH17" s="13"/>
      <c r="KUI17" s="13"/>
      <c r="KUJ17" s="13"/>
      <c r="KUK17" s="13"/>
      <c r="KUL17" s="13"/>
      <c r="KUM17" s="13"/>
      <c r="KUN17" s="13"/>
      <c r="KUO17" s="13"/>
      <c r="KUP17" s="13"/>
      <c r="KUQ17" s="13"/>
      <c r="KUR17" s="13"/>
      <c r="KUS17" s="13"/>
      <c r="KUT17" s="13"/>
      <c r="KUU17" s="13"/>
      <c r="KUV17" s="13"/>
      <c r="KUW17" s="13"/>
      <c r="KUX17" s="13"/>
      <c r="KUY17" s="13"/>
      <c r="KUZ17" s="13"/>
      <c r="KVA17" s="13"/>
      <c r="KVB17" s="13"/>
      <c r="KVC17" s="13"/>
      <c r="KVD17" s="13"/>
      <c r="KVE17" s="13"/>
      <c r="KVF17" s="13"/>
      <c r="KVG17" s="13"/>
      <c r="KVH17" s="13"/>
      <c r="KVI17" s="13"/>
      <c r="KVJ17" s="13"/>
      <c r="KVK17" s="13"/>
      <c r="KVL17" s="13"/>
      <c r="KVM17" s="13"/>
      <c r="KVN17" s="13"/>
      <c r="KVO17" s="13"/>
      <c r="KVP17" s="13"/>
      <c r="KVQ17" s="13"/>
      <c r="KVR17" s="13"/>
      <c r="KVS17" s="13"/>
      <c r="KVT17" s="13"/>
      <c r="KVU17" s="13"/>
      <c r="KVV17" s="13"/>
      <c r="KVW17" s="13"/>
      <c r="KVX17" s="13"/>
      <c r="KVY17" s="13"/>
      <c r="KVZ17" s="13"/>
      <c r="KWA17" s="13"/>
      <c r="KWB17" s="13"/>
      <c r="KWC17" s="13"/>
      <c r="KWD17" s="13"/>
      <c r="KWE17" s="13"/>
      <c r="KWF17" s="13"/>
      <c r="KWG17" s="13"/>
      <c r="KWH17" s="13"/>
      <c r="KWI17" s="13"/>
      <c r="KWJ17" s="13"/>
      <c r="KWK17" s="13"/>
      <c r="KWL17" s="13"/>
      <c r="KWM17" s="13"/>
      <c r="KWN17" s="13"/>
      <c r="KWO17" s="13"/>
      <c r="KWP17" s="13"/>
      <c r="KWQ17" s="13"/>
      <c r="KWR17" s="13"/>
      <c r="KWS17" s="13"/>
      <c r="KWT17" s="13"/>
      <c r="KWU17" s="13"/>
      <c r="KWV17" s="13"/>
      <c r="KWW17" s="13"/>
      <c r="KWX17" s="13"/>
      <c r="KWY17" s="13"/>
      <c r="KWZ17" s="13"/>
      <c r="KXA17" s="13"/>
      <c r="KXB17" s="13"/>
      <c r="KXC17" s="13"/>
      <c r="KXD17" s="13"/>
      <c r="KXE17" s="13"/>
      <c r="KXF17" s="13"/>
      <c r="KXG17" s="13"/>
      <c r="KXH17" s="13"/>
      <c r="KXI17" s="13"/>
      <c r="KXJ17" s="13"/>
      <c r="KXK17" s="13"/>
      <c r="KXL17" s="13"/>
      <c r="KXM17" s="13"/>
      <c r="KXN17" s="13"/>
      <c r="KXO17" s="13"/>
      <c r="KXP17" s="13"/>
      <c r="KXQ17" s="13"/>
      <c r="KXR17" s="13"/>
      <c r="KXS17" s="13"/>
      <c r="KXT17" s="13"/>
      <c r="KXU17" s="13"/>
      <c r="KXV17" s="13"/>
      <c r="KXW17" s="13"/>
      <c r="KXX17" s="13"/>
      <c r="KXY17" s="13"/>
      <c r="KXZ17" s="13"/>
      <c r="KYA17" s="13"/>
      <c r="KYB17" s="13"/>
      <c r="KYC17" s="13"/>
      <c r="KYD17" s="13"/>
      <c r="KYE17" s="13"/>
      <c r="KYF17" s="13"/>
      <c r="KYG17" s="13"/>
      <c r="KYH17" s="13"/>
      <c r="KYI17" s="13"/>
      <c r="KYJ17" s="13"/>
      <c r="KYK17" s="13"/>
      <c r="KYL17" s="13"/>
      <c r="KYM17" s="13"/>
      <c r="KYN17" s="13"/>
      <c r="KYO17" s="13"/>
      <c r="KYP17" s="13"/>
      <c r="KYQ17" s="13"/>
      <c r="KYR17" s="13"/>
      <c r="KYS17" s="13"/>
      <c r="KYT17" s="13"/>
      <c r="KYU17" s="13"/>
      <c r="KYV17" s="13"/>
      <c r="KYW17" s="13"/>
      <c r="KYX17" s="13"/>
      <c r="KYY17" s="13"/>
      <c r="KYZ17" s="13"/>
      <c r="KZA17" s="13"/>
      <c r="KZB17" s="13"/>
      <c r="KZC17" s="13"/>
      <c r="KZD17" s="13"/>
      <c r="KZE17" s="13"/>
      <c r="KZF17" s="13"/>
      <c r="KZG17" s="13"/>
      <c r="KZH17" s="13"/>
      <c r="KZI17" s="13"/>
      <c r="KZJ17" s="13"/>
      <c r="KZK17" s="13"/>
      <c r="KZL17" s="13"/>
      <c r="KZM17" s="13"/>
      <c r="KZN17" s="13"/>
      <c r="KZO17" s="13"/>
      <c r="KZP17" s="13"/>
      <c r="KZQ17" s="13"/>
      <c r="KZR17" s="13"/>
      <c r="KZS17" s="13"/>
      <c r="KZT17" s="13"/>
      <c r="KZU17" s="13"/>
      <c r="KZV17" s="13"/>
      <c r="KZW17" s="13"/>
      <c r="KZX17" s="13"/>
      <c r="KZY17" s="13"/>
      <c r="KZZ17" s="13"/>
      <c r="LAA17" s="13"/>
      <c r="LAB17" s="13"/>
      <c r="LAC17" s="13"/>
      <c r="LAD17" s="13"/>
      <c r="LAE17" s="13"/>
      <c r="LAF17" s="13"/>
      <c r="LAG17" s="13"/>
      <c r="LAH17" s="13"/>
      <c r="LAI17" s="13"/>
      <c r="LAJ17" s="13"/>
      <c r="LAK17" s="13"/>
      <c r="LAL17" s="13"/>
      <c r="LAM17" s="13"/>
      <c r="LAN17" s="13"/>
      <c r="LAO17" s="13"/>
      <c r="LAP17" s="13"/>
      <c r="LAQ17" s="13"/>
      <c r="LAR17" s="13"/>
      <c r="LAS17" s="13"/>
      <c r="LAT17" s="13"/>
      <c r="LAU17" s="13"/>
      <c r="LAV17" s="13"/>
      <c r="LAW17" s="13"/>
      <c r="LAX17" s="13"/>
      <c r="LAY17" s="13"/>
      <c r="LAZ17" s="13"/>
      <c r="LBA17" s="13"/>
      <c r="LBB17" s="13"/>
      <c r="LBC17" s="13"/>
      <c r="LBD17" s="13"/>
      <c r="LBE17" s="13"/>
      <c r="LBF17" s="13"/>
      <c r="LBG17" s="13"/>
      <c r="LBH17" s="13"/>
      <c r="LBI17" s="13"/>
      <c r="LBJ17" s="13"/>
      <c r="LBK17" s="13"/>
      <c r="LBL17" s="13"/>
      <c r="LBM17" s="13"/>
      <c r="LBN17" s="13"/>
      <c r="LBO17" s="13"/>
      <c r="LBP17" s="13"/>
      <c r="LBQ17" s="13"/>
      <c r="LBR17" s="13"/>
      <c r="LBS17" s="13"/>
      <c r="LBT17" s="13"/>
      <c r="LBU17" s="13"/>
      <c r="LBV17" s="13"/>
      <c r="LBW17" s="13"/>
      <c r="LBX17" s="13"/>
      <c r="LBY17" s="13"/>
      <c r="LBZ17" s="13"/>
      <c r="LCA17" s="13"/>
      <c r="LCB17" s="13"/>
      <c r="LCC17" s="13"/>
      <c r="LCD17" s="13"/>
      <c r="LCE17" s="13"/>
      <c r="LCF17" s="13"/>
      <c r="LCG17" s="13"/>
      <c r="LCH17" s="13"/>
      <c r="LCI17" s="13"/>
      <c r="LCJ17" s="13"/>
      <c r="LCK17" s="13"/>
      <c r="LCL17" s="13"/>
      <c r="LCM17" s="13"/>
      <c r="LCN17" s="13"/>
      <c r="LCO17" s="13"/>
      <c r="LCP17" s="13"/>
      <c r="LCQ17" s="13"/>
      <c r="LCR17" s="13"/>
      <c r="LCS17" s="13"/>
      <c r="LCT17" s="13"/>
      <c r="LCU17" s="13"/>
      <c r="LCV17" s="13"/>
      <c r="LCW17" s="13"/>
      <c r="LCX17" s="13"/>
      <c r="LCY17" s="13"/>
      <c r="LCZ17" s="13"/>
      <c r="LDA17" s="13"/>
      <c r="LDB17" s="13"/>
      <c r="LDC17" s="13"/>
      <c r="LDD17" s="13"/>
      <c r="LDE17" s="13"/>
      <c r="LDF17" s="13"/>
      <c r="LDG17" s="13"/>
      <c r="LDH17" s="13"/>
      <c r="LDI17" s="13"/>
      <c r="LDJ17" s="13"/>
      <c r="LDK17" s="13"/>
      <c r="LDL17" s="13"/>
      <c r="LDM17" s="13"/>
      <c r="LDN17" s="13"/>
      <c r="LDO17" s="13"/>
      <c r="LDP17" s="13"/>
      <c r="LDQ17" s="13"/>
      <c r="LDR17" s="13"/>
      <c r="LDS17" s="13"/>
      <c r="LDT17" s="13"/>
      <c r="LDU17" s="13"/>
      <c r="LDV17" s="13"/>
      <c r="LDW17" s="13"/>
      <c r="LDX17" s="13"/>
      <c r="LDY17" s="13"/>
      <c r="LDZ17" s="13"/>
      <c r="LEA17" s="13"/>
      <c r="LEB17" s="13"/>
      <c r="LEC17" s="13"/>
      <c r="LED17" s="13"/>
      <c r="LEE17" s="13"/>
      <c r="LEF17" s="13"/>
      <c r="LEG17" s="13"/>
      <c r="LEH17" s="13"/>
      <c r="LEI17" s="13"/>
      <c r="LEJ17" s="13"/>
      <c r="LEK17" s="13"/>
      <c r="LEL17" s="13"/>
      <c r="LEM17" s="13"/>
      <c r="LEN17" s="13"/>
      <c r="LEO17" s="13"/>
      <c r="LEP17" s="13"/>
      <c r="LEQ17" s="13"/>
      <c r="LER17" s="13"/>
      <c r="LES17" s="13"/>
      <c r="LET17" s="13"/>
      <c r="LEU17" s="13"/>
      <c r="LEV17" s="13"/>
      <c r="LEW17" s="13"/>
      <c r="LEX17" s="13"/>
      <c r="LEY17" s="13"/>
      <c r="LEZ17" s="13"/>
      <c r="LFA17" s="13"/>
      <c r="LFB17" s="13"/>
      <c r="LFC17" s="13"/>
      <c r="LFD17" s="13"/>
      <c r="LFE17" s="13"/>
      <c r="LFF17" s="13"/>
      <c r="LFG17" s="13"/>
      <c r="LFH17" s="13"/>
      <c r="LFI17" s="13"/>
      <c r="LFJ17" s="13"/>
      <c r="LFK17" s="13"/>
      <c r="LFL17" s="13"/>
      <c r="LFM17" s="13"/>
      <c r="LFN17" s="13"/>
      <c r="LFO17" s="13"/>
      <c r="LFP17" s="13"/>
      <c r="LFQ17" s="13"/>
      <c r="LFR17" s="13"/>
      <c r="LFS17" s="13"/>
      <c r="LFT17" s="13"/>
      <c r="LFU17" s="13"/>
      <c r="LFV17" s="13"/>
      <c r="LFW17" s="13"/>
      <c r="LFX17" s="13"/>
      <c r="LFY17" s="13"/>
      <c r="LFZ17" s="13"/>
      <c r="LGA17" s="13"/>
      <c r="LGB17" s="13"/>
      <c r="LGC17" s="13"/>
      <c r="LGD17" s="13"/>
      <c r="LGE17" s="13"/>
      <c r="LGF17" s="13"/>
      <c r="LGG17" s="13"/>
      <c r="LGH17" s="13"/>
      <c r="LGI17" s="13"/>
      <c r="LGJ17" s="13"/>
      <c r="LGK17" s="13"/>
      <c r="LGL17" s="13"/>
      <c r="LGM17" s="13"/>
      <c r="LGN17" s="13"/>
      <c r="LGO17" s="13"/>
      <c r="LGP17" s="13"/>
      <c r="LGQ17" s="13"/>
      <c r="LGR17" s="13"/>
      <c r="LGS17" s="13"/>
      <c r="LGT17" s="13"/>
      <c r="LGU17" s="13"/>
      <c r="LGV17" s="13"/>
      <c r="LGW17" s="13"/>
      <c r="LGX17" s="13"/>
      <c r="LGY17" s="13"/>
      <c r="LGZ17" s="13"/>
      <c r="LHA17" s="13"/>
      <c r="LHB17" s="13"/>
      <c r="LHC17" s="13"/>
      <c r="LHD17" s="13"/>
      <c r="LHE17" s="13"/>
      <c r="LHF17" s="13"/>
      <c r="LHG17" s="13"/>
      <c r="LHH17" s="13"/>
      <c r="LHI17" s="13"/>
      <c r="LHJ17" s="13"/>
      <c r="LHK17" s="13"/>
      <c r="LHL17" s="13"/>
      <c r="LHM17" s="13"/>
      <c r="LHN17" s="13"/>
      <c r="LHO17" s="13"/>
      <c r="LHP17" s="13"/>
      <c r="LHQ17" s="13"/>
      <c r="LHR17" s="13"/>
      <c r="LHS17" s="13"/>
      <c r="LHT17" s="13"/>
      <c r="LHU17" s="13"/>
      <c r="LHV17" s="13"/>
      <c r="LHW17" s="13"/>
      <c r="LHX17" s="13"/>
      <c r="LHY17" s="13"/>
      <c r="LHZ17" s="13"/>
      <c r="LIA17" s="13"/>
      <c r="LIB17" s="13"/>
      <c r="LIC17" s="13"/>
      <c r="LID17" s="13"/>
      <c r="LIE17" s="13"/>
      <c r="LIF17" s="13"/>
      <c r="LIG17" s="13"/>
      <c r="LIH17" s="13"/>
      <c r="LII17" s="13"/>
      <c r="LIJ17" s="13"/>
      <c r="LIK17" s="13"/>
      <c r="LIL17" s="13"/>
      <c r="LIM17" s="13"/>
      <c r="LIN17" s="13"/>
      <c r="LIO17" s="13"/>
      <c r="LIP17" s="13"/>
      <c r="LIQ17" s="13"/>
      <c r="LIR17" s="13"/>
      <c r="LIS17" s="13"/>
      <c r="LIT17" s="13"/>
      <c r="LIU17" s="13"/>
      <c r="LIV17" s="13"/>
      <c r="LIW17" s="13"/>
      <c r="LIX17" s="13"/>
      <c r="LIY17" s="13"/>
      <c r="LIZ17" s="13"/>
      <c r="LJA17" s="13"/>
      <c r="LJB17" s="13"/>
      <c r="LJC17" s="13"/>
      <c r="LJD17" s="13"/>
      <c r="LJE17" s="13"/>
      <c r="LJF17" s="13"/>
      <c r="LJG17" s="13"/>
      <c r="LJH17" s="13"/>
      <c r="LJI17" s="13"/>
      <c r="LJJ17" s="13"/>
      <c r="LJK17" s="13"/>
      <c r="LJL17" s="13"/>
      <c r="LJM17" s="13"/>
      <c r="LJN17" s="13"/>
      <c r="LJO17" s="13"/>
      <c r="LJP17" s="13"/>
      <c r="LJQ17" s="13"/>
      <c r="LJR17" s="13"/>
      <c r="LJS17" s="13"/>
      <c r="LJT17" s="13"/>
      <c r="LJU17" s="13"/>
      <c r="LJV17" s="13"/>
      <c r="LJW17" s="13"/>
      <c r="LJX17" s="13"/>
      <c r="LJY17" s="13"/>
      <c r="LJZ17" s="13"/>
      <c r="LKA17" s="13"/>
      <c r="LKB17" s="13"/>
      <c r="LKC17" s="13"/>
      <c r="LKD17" s="13"/>
      <c r="LKE17" s="13"/>
      <c r="LKF17" s="13"/>
      <c r="LKG17" s="13"/>
      <c r="LKH17" s="13"/>
      <c r="LKI17" s="13"/>
      <c r="LKJ17" s="13"/>
      <c r="LKK17" s="13"/>
      <c r="LKL17" s="13"/>
      <c r="LKM17" s="13"/>
      <c r="LKN17" s="13"/>
      <c r="LKO17" s="13"/>
      <c r="LKP17" s="13"/>
      <c r="LKQ17" s="13"/>
      <c r="LKR17" s="13"/>
      <c r="LKS17" s="13"/>
      <c r="LKT17" s="13"/>
      <c r="LKU17" s="13"/>
      <c r="LKV17" s="13"/>
      <c r="LKW17" s="13"/>
      <c r="LKX17" s="13"/>
      <c r="LKY17" s="13"/>
      <c r="LKZ17" s="13"/>
      <c r="LLA17" s="13"/>
      <c r="LLB17" s="13"/>
      <c r="LLC17" s="13"/>
      <c r="LLD17" s="13"/>
      <c r="LLE17" s="13"/>
      <c r="LLF17" s="13"/>
      <c r="LLG17" s="13"/>
      <c r="LLH17" s="13"/>
      <c r="LLI17" s="13"/>
      <c r="LLJ17" s="13"/>
      <c r="LLK17" s="13"/>
      <c r="LLL17" s="13"/>
      <c r="LLM17" s="13"/>
      <c r="LLN17" s="13"/>
      <c r="LLO17" s="13"/>
      <c r="LLP17" s="13"/>
      <c r="LLQ17" s="13"/>
      <c r="LLR17" s="13"/>
      <c r="LLS17" s="13"/>
      <c r="LLT17" s="13"/>
      <c r="LLU17" s="13"/>
      <c r="LLV17" s="13"/>
      <c r="LLW17" s="13"/>
      <c r="LLX17" s="13"/>
      <c r="LLY17" s="13"/>
      <c r="LLZ17" s="13"/>
      <c r="LMA17" s="13"/>
      <c r="LMB17" s="13"/>
      <c r="LMC17" s="13"/>
      <c r="LMD17" s="13"/>
      <c r="LME17" s="13"/>
      <c r="LMF17" s="13"/>
      <c r="LMG17" s="13"/>
      <c r="LMH17" s="13"/>
      <c r="LMI17" s="13"/>
      <c r="LMJ17" s="13"/>
      <c r="LMK17" s="13"/>
      <c r="LML17" s="13"/>
      <c r="LMM17" s="13"/>
      <c r="LMN17" s="13"/>
      <c r="LMO17" s="13"/>
      <c r="LMP17" s="13"/>
      <c r="LMQ17" s="13"/>
      <c r="LMR17" s="13"/>
      <c r="LMS17" s="13"/>
      <c r="LMT17" s="13"/>
      <c r="LMU17" s="13"/>
      <c r="LMV17" s="13"/>
      <c r="LMW17" s="13"/>
      <c r="LMX17" s="13"/>
      <c r="LMY17" s="13"/>
      <c r="LMZ17" s="13"/>
      <c r="LNA17" s="13"/>
      <c r="LNB17" s="13"/>
      <c r="LNC17" s="13"/>
      <c r="LND17" s="13"/>
      <c r="LNE17" s="13"/>
      <c r="LNF17" s="13"/>
      <c r="LNG17" s="13"/>
      <c r="LNH17" s="13"/>
      <c r="LNI17" s="13"/>
      <c r="LNJ17" s="13"/>
      <c r="LNK17" s="13"/>
      <c r="LNL17" s="13"/>
      <c r="LNM17" s="13"/>
      <c r="LNN17" s="13"/>
      <c r="LNO17" s="13"/>
      <c r="LNP17" s="13"/>
      <c r="LNQ17" s="13"/>
      <c r="LNR17" s="13"/>
      <c r="LNS17" s="13"/>
      <c r="LNT17" s="13"/>
      <c r="LNU17" s="13"/>
      <c r="LNV17" s="13"/>
      <c r="LNW17" s="13"/>
      <c r="LNX17" s="13"/>
      <c r="LNY17" s="13"/>
      <c r="LNZ17" s="13"/>
      <c r="LOA17" s="13"/>
      <c r="LOB17" s="13"/>
      <c r="LOC17" s="13"/>
      <c r="LOD17" s="13"/>
      <c r="LOE17" s="13"/>
      <c r="LOF17" s="13"/>
      <c r="LOG17" s="13"/>
      <c r="LOH17" s="13"/>
      <c r="LOI17" s="13"/>
      <c r="LOJ17" s="13"/>
      <c r="LOK17" s="13"/>
      <c r="LOL17" s="13"/>
      <c r="LOM17" s="13"/>
      <c r="LON17" s="13"/>
      <c r="LOO17" s="13"/>
      <c r="LOP17" s="13"/>
      <c r="LOQ17" s="13"/>
      <c r="LOR17" s="13"/>
      <c r="LOS17" s="13"/>
      <c r="LOT17" s="13"/>
      <c r="LOU17" s="13"/>
      <c r="LOV17" s="13"/>
      <c r="LOW17" s="13"/>
      <c r="LOX17" s="13"/>
      <c r="LOY17" s="13"/>
      <c r="LOZ17" s="13"/>
      <c r="LPA17" s="13"/>
      <c r="LPB17" s="13"/>
      <c r="LPC17" s="13"/>
      <c r="LPD17" s="13"/>
      <c r="LPE17" s="13"/>
      <c r="LPF17" s="13"/>
      <c r="LPG17" s="13"/>
      <c r="LPH17" s="13"/>
      <c r="LPI17" s="13"/>
      <c r="LPJ17" s="13"/>
      <c r="LPK17" s="13"/>
      <c r="LPL17" s="13"/>
      <c r="LPM17" s="13"/>
      <c r="LPN17" s="13"/>
      <c r="LPO17" s="13"/>
      <c r="LPP17" s="13"/>
      <c r="LPQ17" s="13"/>
      <c r="LPR17" s="13"/>
      <c r="LPS17" s="13"/>
      <c r="LPT17" s="13"/>
      <c r="LPU17" s="13"/>
      <c r="LPV17" s="13"/>
      <c r="LPW17" s="13"/>
      <c r="LPX17" s="13"/>
      <c r="LPY17" s="13"/>
      <c r="LPZ17" s="13"/>
      <c r="LQA17" s="13"/>
      <c r="LQB17" s="13"/>
      <c r="LQC17" s="13"/>
      <c r="LQD17" s="13"/>
      <c r="LQE17" s="13"/>
      <c r="LQF17" s="13"/>
      <c r="LQG17" s="13"/>
      <c r="LQH17" s="13"/>
      <c r="LQI17" s="13"/>
      <c r="LQJ17" s="13"/>
      <c r="LQK17" s="13"/>
      <c r="LQL17" s="13"/>
      <c r="LQM17" s="13"/>
      <c r="LQN17" s="13"/>
      <c r="LQO17" s="13"/>
      <c r="LQP17" s="13"/>
      <c r="LQQ17" s="13"/>
      <c r="LQR17" s="13"/>
      <c r="LQS17" s="13"/>
      <c r="LQT17" s="13"/>
      <c r="LQU17" s="13"/>
      <c r="LQV17" s="13"/>
      <c r="LQW17" s="13"/>
      <c r="LQX17" s="13"/>
      <c r="LQY17" s="13"/>
      <c r="LQZ17" s="13"/>
      <c r="LRA17" s="13"/>
      <c r="LRB17" s="13"/>
      <c r="LRC17" s="13"/>
      <c r="LRD17" s="13"/>
      <c r="LRE17" s="13"/>
      <c r="LRF17" s="13"/>
      <c r="LRG17" s="13"/>
      <c r="LRH17" s="13"/>
      <c r="LRI17" s="13"/>
      <c r="LRJ17" s="13"/>
      <c r="LRK17" s="13"/>
      <c r="LRL17" s="13"/>
      <c r="LRM17" s="13"/>
      <c r="LRN17" s="13"/>
      <c r="LRO17" s="13"/>
      <c r="LRP17" s="13"/>
      <c r="LRQ17" s="13"/>
      <c r="LRR17" s="13"/>
      <c r="LRS17" s="13"/>
      <c r="LRT17" s="13"/>
      <c r="LRU17" s="13"/>
      <c r="LRV17" s="13"/>
      <c r="LRW17" s="13"/>
      <c r="LRX17" s="13"/>
      <c r="LRY17" s="13"/>
      <c r="LRZ17" s="13"/>
      <c r="LSA17" s="13"/>
      <c r="LSB17" s="13"/>
      <c r="LSC17" s="13"/>
      <c r="LSD17" s="13"/>
      <c r="LSE17" s="13"/>
      <c r="LSF17" s="13"/>
      <c r="LSG17" s="13"/>
      <c r="LSH17" s="13"/>
      <c r="LSI17" s="13"/>
      <c r="LSJ17" s="13"/>
      <c r="LSK17" s="13"/>
      <c r="LSL17" s="13"/>
      <c r="LSM17" s="13"/>
      <c r="LSN17" s="13"/>
      <c r="LSO17" s="13"/>
      <c r="LSP17" s="13"/>
      <c r="LSQ17" s="13"/>
      <c r="LSR17" s="13"/>
      <c r="LSS17" s="13"/>
      <c r="LST17" s="13"/>
      <c r="LSU17" s="13"/>
      <c r="LSV17" s="13"/>
      <c r="LSW17" s="13"/>
      <c r="LSX17" s="13"/>
      <c r="LSY17" s="13"/>
      <c r="LSZ17" s="13"/>
      <c r="LTA17" s="13"/>
      <c r="LTB17" s="13"/>
      <c r="LTC17" s="13"/>
      <c r="LTD17" s="13"/>
      <c r="LTE17" s="13"/>
      <c r="LTF17" s="13"/>
      <c r="LTG17" s="13"/>
      <c r="LTH17" s="13"/>
      <c r="LTI17" s="13"/>
      <c r="LTJ17" s="13"/>
      <c r="LTK17" s="13"/>
      <c r="LTL17" s="13"/>
      <c r="LTM17" s="13"/>
      <c r="LTN17" s="13"/>
      <c r="LTO17" s="13"/>
      <c r="LTP17" s="13"/>
      <c r="LTQ17" s="13"/>
      <c r="LTR17" s="13"/>
      <c r="LTS17" s="13"/>
      <c r="LTT17" s="13"/>
      <c r="LTU17" s="13"/>
      <c r="LTV17" s="13"/>
      <c r="LTW17" s="13"/>
      <c r="LTX17" s="13"/>
      <c r="LTY17" s="13"/>
      <c r="LTZ17" s="13"/>
      <c r="LUA17" s="13"/>
      <c r="LUB17" s="13"/>
      <c r="LUC17" s="13"/>
      <c r="LUD17" s="13"/>
      <c r="LUE17" s="13"/>
      <c r="LUF17" s="13"/>
      <c r="LUG17" s="13"/>
      <c r="LUH17" s="13"/>
      <c r="LUI17" s="13"/>
      <c r="LUJ17" s="13"/>
      <c r="LUK17" s="13"/>
      <c r="LUL17" s="13"/>
      <c r="LUM17" s="13"/>
      <c r="LUN17" s="13"/>
      <c r="LUO17" s="13"/>
      <c r="LUP17" s="13"/>
      <c r="LUQ17" s="13"/>
      <c r="LUR17" s="13"/>
      <c r="LUS17" s="13"/>
      <c r="LUT17" s="13"/>
      <c r="LUU17" s="13"/>
      <c r="LUV17" s="13"/>
      <c r="LUW17" s="13"/>
      <c r="LUX17" s="13"/>
      <c r="LUY17" s="13"/>
      <c r="LUZ17" s="13"/>
      <c r="LVA17" s="13"/>
      <c r="LVB17" s="13"/>
      <c r="LVC17" s="13"/>
      <c r="LVD17" s="13"/>
      <c r="LVE17" s="13"/>
      <c r="LVF17" s="13"/>
      <c r="LVG17" s="13"/>
      <c r="LVH17" s="13"/>
      <c r="LVI17" s="13"/>
      <c r="LVJ17" s="13"/>
      <c r="LVK17" s="13"/>
      <c r="LVL17" s="13"/>
      <c r="LVM17" s="13"/>
      <c r="LVN17" s="13"/>
      <c r="LVO17" s="13"/>
      <c r="LVP17" s="13"/>
      <c r="LVQ17" s="13"/>
      <c r="LVR17" s="13"/>
      <c r="LVS17" s="13"/>
      <c r="LVT17" s="13"/>
      <c r="LVU17" s="13"/>
      <c r="LVV17" s="13"/>
      <c r="LVW17" s="13"/>
      <c r="LVX17" s="13"/>
      <c r="LVY17" s="13"/>
      <c r="LVZ17" s="13"/>
      <c r="LWA17" s="13"/>
      <c r="LWB17" s="13"/>
      <c r="LWC17" s="13"/>
      <c r="LWD17" s="13"/>
      <c r="LWE17" s="13"/>
      <c r="LWF17" s="13"/>
      <c r="LWG17" s="13"/>
      <c r="LWH17" s="13"/>
      <c r="LWI17" s="13"/>
      <c r="LWJ17" s="13"/>
      <c r="LWK17" s="13"/>
      <c r="LWL17" s="13"/>
      <c r="LWM17" s="13"/>
      <c r="LWN17" s="13"/>
      <c r="LWO17" s="13"/>
      <c r="LWP17" s="13"/>
      <c r="LWQ17" s="13"/>
      <c r="LWR17" s="13"/>
      <c r="LWS17" s="13"/>
      <c r="LWT17" s="13"/>
      <c r="LWU17" s="13"/>
      <c r="LWV17" s="13"/>
      <c r="LWW17" s="13"/>
      <c r="LWX17" s="13"/>
      <c r="LWY17" s="13"/>
      <c r="LWZ17" s="13"/>
      <c r="LXA17" s="13"/>
      <c r="LXB17" s="13"/>
      <c r="LXC17" s="13"/>
      <c r="LXD17" s="13"/>
      <c r="LXE17" s="13"/>
      <c r="LXF17" s="13"/>
      <c r="LXG17" s="13"/>
      <c r="LXH17" s="13"/>
      <c r="LXI17" s="13"/>
      <c r="LXJ17" s="13"/>
      <c r="LXK17" s="13"/>
      <c r="LXL17" s="13"/>
      <c r="LXM17" s="13"/>
      <c r="LXN17" s="13"/>
      <c r="LXO17" s="13"/>
      <c r="LXP17" s="13"/>
      <c r="LXQ17" s="13"/>
      <c r="LXR17" s="13"/>
      <c r="LXS17" s="13"/>
      <c r="LXT17" s="13"/>
      <c r="LXU17" s="13"/>
      <c r="LXV17" s="13"/>
      <c r="LXW17" s="13"/>
      <c r="LXX17" s="13"/>
      <c r="LXY17" s="13"/>
      <c r="LXZ17" s="13"/>
      <c r="LYA17" s="13"/>
      <c r="LYB17" s="13"/>
      <c r="LYC17" s="13"/>
      <c r="LYD17" s="13"/>
      <c r="LYE17" s="13"/>
      <c r="LYF17" s="13"/>
      <c r="LYG17" s="13"/>
      <c r="LYH17" s="13"/>
      <c r="LYI17" s="13"/>
      <c r="LYJ17" s="13"/>
      <c r="LYK17" s="13"/>
      <c r="LYL17" s="13"/>
      <c r="LYM17" s="13"/>
      <c r="LYN17" s="13"/>
      <c r="LYO17" s="13"/>
      <c r="LYP17" s="13"/>
      <c r="LYQ17" s="13"/>
      <c r="LYR17" s="13"/>
      <c r="LYS17" s="13"/>
      <c r="LYT17" s="13"/>
      <c r="LYU17" s="13"/>
      <c r="LYV17" s="13"/>
      <c r="LYW17" s="13"/>
      <c r="LYX17" s="13"/>
      <c r="LYY17" s="13"/>
      <c r="LYZ17" s="13"/>
      <c r="LZA17" s="13"/>
      <c r="LZB17" s="13"/>
      <c r="LZC17" s="13"/>
      <c r="LZD17" s="13"/>
      <c r="LZE17" s="13"/>
      <c r="LZF17" s="13"/>
      <c r="LZG17" s="13"/>
      <c r="LZH17" s="13"/>
      <c r="LZI17" s="13"/>
      <c r="LZJ17" s="13"/>
      <c r="LZK17" s="13"/>
      <c r="LZL17" s="13"/>
      <c r="LZM17" s="13"/>
      <c r="LZN17" s="13"/>
      <c r="LZO17" s="13"/>
      <c r="LZP17" s="13"/>
      <c r="LZQ17" s="13"/>
      <c r="LZR17" s="13"/>
      <c r="LZS17" s="13"/>
      <c r="LZT17" s="13"/>
      <c r="LZU17" s="13"/>
      <c r="LZV17" s="13"/>
      <c r="LZW17" s="13"/>
      <c r="LZX17" s="13"/>
      <c r="LZY17" s="13"/>
      <c r="LZZ17" s="13"/>
      <c r="MAA17" s="13"/>
      <c r="MAB17" s="13"/>
      <c r="MAC17" s="13"/>
      <c r="MAD17" s="13"/>
      <c r="MAE17" s="13"/>
      <c r="MAF17" s="13"/>
      <c r="MAG17" s="13"/>
      <c r="MAH17" s="13"/>
      <c r="MAI17" s="13"/>
      <c r="MAJ17" s="13"/>
      <c r="MAK17" s="13"/>
      <c r="MAL17" s="13"/>
      <c r="MAM17" s="13"/>
      <c r="MAN17" s="13"/>
      <c r="MAO17" s="13"/>
      <c r="MAP17" s="13"/>
      <c r="MAQ17" s="13"/>
      <c r="MAR17" s="13"/>
      <c r="MAS17" s="13"/>
      <c r="MAT17" s="13"/>
      <c r="MAU17" s="13"/>
      <c r="MAV17" s="13"/>
      <c r="MAW17" s="13"/>
      <c r="MAX17" s="13"/>
      <c r="MAY17" s="13"/>
      <c r="MAZ17" s="13"/>
      <c r="MBA17" s="13"/>
      <c r="MBB17" s="13"/>
      <c r="MBC17" s="13"/>
      <c r="MBD17" s="13"/>
      <c r="MBE17" s="13"/>
      <c r="MBF17" s="13"/>
      <c r="MBG17" s="13"/>
      <c r="MBH17" s="13"/>
      <c r="MBI17" s="13"/>
      <c r="MBJ17" s="13"/>
      <c r="MBK17" s="13"/>
      <c r="MBL17" s="13"/>
      <c r="MBM17" s="13"/>
      <c r="MBN17" s="13"/>
      <c r="MBO17" s="13"/>
      <c r="MBP17" s="13"/>
      <c r="MBQ17" s="13"/>
      <c r="MBR17" s="13"/>
      <c r="MBS17" s="13"/>
      <c r="MBT17" s="13"/>
      <c r="MBU17" s="13"/>
      <c r="MBV17" s="13"/>
      <c r="MBW17" s="13"/>
      <c r="MBX17" s="13"/>
      <c r="MBY17" s="13"/>
      <c r="MBZ17" s="13"/>
      <c r="MCA17" s="13"/>
      <c r="MCB17" s="13"/>
      <c r="MCC17" s="13"/>
      <c r="MCD17" s="13"/>
      <c r="MCE17" s="13"/>
      <c r="MCF17" s="13"/>
      <c r="MCG17" s="13"/>
      <c r="MCH17" s="13"/>
      <c r="MCI17" s="13"/>
      <c r="MCJ17" s="13"/>
      <c r="MCK17" s="13"/>
      <c r="MCL17" s="13"/>
      <c r="MCM17" s="13"/>
      <c r="MCN17" s="13"/>
      <c r="MCO17" s="13"/>
      <c r="MCP17" s="13"/>
      <c r="MCQ17" s="13"/>
      <c r="MCR17" s="13"/>
      <c r="MCS17" s="13"/>
      <c r="MCT17" s="13"/>
      <c r="MCU17" s="13"/>
      <c r="MCV17" s="13"/>
      <c r="MCW17" s="13"/>
      <c r="MCX17" s="13"/>
      <c r="MCY17" s="13"/>
      <c r="MCZ17" s="13"/>
      <c r="MDA17" s="13"/>
      <c r="MDB17" s="13"/>
      <c r="MDC17" s="13"/>
      <c r="MDD17" s="13"/>
      <c r="MDE17" s="13"/>
      <c r="MDF17" s="13"/>
      <c r="MDG17" s="13"/>
      <c r="MDH17" s="13"/>
      <c r="MDI17" s="13"/>
      <c r="MDJ17" s="13"/>
      <c r="MDK17" s="13"/>
      <c r="MDL17" s="13"/>
      <c r="MDM17" s="13"/>
      <c r="MDN17" s="13"/>
      <c r="MDO17" s="13"/>
      <c r="MDP17" s="13"/>
      <c r="MDQ17" s="13"/>
      <c r="MDR17" s="13"/>
      <c r="MDS17" s="13"/>
      <c r="MDT17" s="13"/>
      <c r="MDU17" s="13"/>
      <c r="MDV17" s="13"/>
      <c r="MDW17" s="13"/>
      <c r="MDX17" s="13"/>
      <c r="MDY17" s="13"/>
      <c r="MDZ17" s="13"/>
      <c r="MEA17" s="13"/>
      <c r="MEB17" s="13"/>
      <c r="MEC17" s="13"/>
      <c r="MED17" s="13"/>
      <c r="MEE17" s="13"/>
      <c r="MEF17" s="13"/>
      <c r="MEG17" s="13"/>
      <c r="MEH17" s="13"/>
      <c r="MEI17" s="13"/>
      <c r="MEJ17" s="13"/>
      <c r="MEK17" s="13"/>
      <c r="MEL17" s="13"/>
      <c r="MEM17" s="13"/>
      <c r="MEN17" s="13"/>
      <c r="MEO17" s="13"/>
      <c r="MEP17" s="13"/>
      <c r="MEQ17" s="13"/>
      <c r="MER17" s="13"/>
      <c r="MES17" s="13"/>
      <c r="MET17" s="13"/>
      <c r="MEU17" s="13"/>
      <c r="MEV17" s="13"/>
      <c r="MEW17" s="13"/>
      <c r="MEX17" s="13"/>
      <c r="MEY17" s="13"/>
      <c r="MEZ17" s="13"/>
      <c r="MFA17" s="13"/>
      <c r="MFB17" s="13"/>
      <c r="MFC17" s="13"/>
      <c r="MFD17" s="13"/>
      <c r="MFE17" s="13"/>
      <c r="MFF17" s="13"/>
      <c r="MFG17" s="13"/>
      <c r="MFH17" s="13"/>
      <c r="MFI17" s="13"/>
      <c r="MFJ17" s="13"/>
      <c r="MFK17" s="13"/>
      <c r="MFL17" s="13"/>
      <c r="MFM17" s="13"/>
      <c r="MFN17" s="13"/>
      <c r="MFO17" s="13"/>
      <c r="MFP17" s="13"/>
      <c r="MFQ17" s="13"/>
      <c r="MFR17" s="13"/>
      <c r="MFS17" s="13"/>
      <c r="MFT17" s="13"/>
      <c r="MFU17" s="13"/>
      <c r="MFV17" s="13"/>
      <c r="MFW17" s="13"/>
      <c r="MFX17" s="13"/>
      <c r="MFY17" s="13"/>
      <c r="MFZ17" s="13"/>
      <c r="MGA17" s="13"/>
      <c r="MGB17" s="13"/>
      <c r="MGC17" s="13"/>
      <c r="MGD17" s="13"/>
      <c r="MGE17" s="13"/>
      <c r="MGF17" s="13"/>
      <c r="MGG17" s="13"/>
      <c r="MGH17" s="13"/>
      <c r="MGI17" s="13"/>
      <c r="MGJ17" s="13"/>
      <c r="MGK17" s="13"/>
      <c r="MGL17" s="13"/>
      <c r="MGM17" s="13"/>
      <c r="MGN17" s="13"/>
      <c r="MGO17" s="13"/>
      <c r="MGP17" s="13"/>
      <c r="MGQ17" s="13"/>
      <c r="MGR17" s="13"/>
      <c r="MGS17" s="13"/>
      <c r="MGT17" s="13"/>
      <c r="MGU17" s="13"/>
      <c r="MGV17" s="13"/>
      <c r="MGW17" s="13"/>
      <c r="MGX17" s="13"/>
      <c r="MGY17" s="13"/>
      <c r="MGZ17" s="13"/>
      <c r="MHA17" s="13"/>
      <c r="MHB17" s="13"/>
      <c r="MHC17" s="13"/>
      <c r="MHD17" s="13"/>
      <c r="MHE17" s="13"/>
      <c r="MHF17" s="13"/>
      <c r="MHG17" s="13"/>
      <c r="MHH17" s="13"/>
      <c r="MHI17" s="13"/>
      <c r="MHJ17" s="13"/>
      <c r="MHK17" s="13"/>
      <c r="MHL17" s="13"/>
      <c r="MHM17" s="13"/>
      <c r="MHN17" s="13"/>
      <c r="MHO17" s="13"/>
      <c r="MHP17" s="13"/>
      <c r="MHQ17" s="13"/>
      <c r="MHR17" s="13"/>
      <c r="MHS17" s="13"/>
      <c r="MHT17" s="13"/>
      <c r="MHU17" s="13"/>
      <c r="MHV17" s="13"/>
      <c r="MHW17" s="13"/>
      <c r="MHX17" s="13"/>
      <c r="MHY17" s="13"/>
      <c r="MHZ17" s="13"/>
      <c r="MIA17" s="13"/>
      <c r="MIB17" s="13"/>
      <c r="MIC17" s="13"/>
      <c r="MID17" s="13"/>
      <c r="MIE17" s="13"/>
      <c r="MIF17" s="13"/>
      <c r="MIG17" s="13"/>
      <c r="MIH17" s="13"/>
      <c r="MII17" s="13"/>
      <c r="MIJ17" s="13"/>
      <c r="MIK17" s="13"/>
      <c r="MIL17" s="13"/>
      <c r="MIM17" s="13"/>
      <c r="MIN17" s="13"/>
      <c r="MIO17" s="13"/>
      <c r="MIP17" s="13"/>
      <c r="MIQ17" s="13"/>
      <c r="MIR17" s="13"/>
      <c r="MIS17" s="13"/>
      <c r="MIT17" s="13"/>
      <c r="MIU17" s="13"/>
      <c r="MIV17" s="13"/>
      <c r="MIW17" s="13"/>
      <c r="MIX17" s="13"/>
      <c r="MIY17" s="13"/>
      <c r="MIZ17" s="13"/>
      <c r="MJA17" s="13"/>
      <c r="MJB17" s="13"/>
      <c r="MJC17" s="13"/>
      <c r="MJD17" s="13"/>
      <c r="MJE17" s="13"/>
      <c r="MJF17" s="13"/>
      <c r="MJG17" s="13"/>
      <c r="MJH17" s="13"/>
      <c r="MJI17" s="13"/>
      <c r="MJJ17" s="13"/>
      <c r="MJK17" s="13"/>
      <c r="MJL17" s="13"/>
      <c r="MJM17" s="13"/>
      <c r="MJN17" s="13"/>
      <c r="MJO17" s="13"/>
      <c r="MJP17" s="13"/>
      <c r="MJQ17" s="13"/>
      <c r="MJR17" s="13"/>
      <c r="MJS17" s="13"/>
      <c r="MJT17" s="13"/>
      <c r="MJU17" s="13"/>
      <c r="MJV17" s="13"/>
      <c r="MJW17" s="13"/>
      <c r="MJX17" s="13"/>
      <c r="MJY17" s="13"/>
      <c r="MJZ17" s="13"/>
      <c r="MKA17" s="13"/>
      <c r="MKB17" s="13"/>
      <c r="MKC17" s="13"/>
      <c r="MKD17" s="13"/>
      <c r="MKE17" s="13"/>
      <c r="MKF17" s="13"/>
      <c r="MKG17" s="13"/>
      <c r="MKH17" s="13"/>
      <c r="MKI17" s="13"/>
      <c r="MKJ17" s="13"/>
      <c r="MKK17" s="13"/>
      <c r="MKL17" s="13"/>
      <c r="MKM17" s="13"/>
      <c r="MKN17" s="13"/>
      <c r="MKO17" s="13"/>
      <c r="MKP17" s="13"/>
      <c r="MKQ17" s="13"/>
      <c r="MKR17" s="13"/>
      <c r="MKS17" s="13"/>
      <c r="MKT17" s="13"/>
      <c r="MKU17" s="13"/>
      <c r="MKV17" s="13"/>
      <c r="MKW17" s="13"/>
      <c r="MKX17" s="13"/>
      <c r="MKY17" s="13"/>
      <c r="MKZ17" s="13"/>
      <c r="MLA17" s="13"/>
      <c r="MLB17" s="13"/>
      <c r="MLC17" s="13"/>
      <c r="MLD17" s="13"/>
      <c r="MLE17" s="13"/>
      <c r="MLF17" s="13"/>
      <c r="MLG17" s="13"/>
      <c r="MLH17" s="13"/>
      <c r="MLI17" s="13"/>
      <c r="MLJ17" s="13"/>
      <c r="MLK17" s="13"/>
      <c r="MLL17" s="13"/>
      <c r="MLM17" s="13"/>
      <c r="MLN17" s="13"/>
      <c r="MLO17" s="13"/>
      <c r="MLP17" s="13"/>
      <c r="MLQ17" s="13"/>
      <c r="MLR17" s="13"/>
      <c r="MLS17" s="13"/>
      <c r="MLT17" s="13"/>
      <c r="MLU17" s="13"/>
      <c r="MLV17" s="13"/>
      <c r="MLW17" s="13"/>
      <c r="MLX17" s="13"/>
      <c r="MLY17" s="13"/>
      <c r="MLZ17" s="13"/>
      <c r="MMA17" s="13"/>
      <c r="MMB17" s="13"/>
      <c r="MMC17" s="13"/>
      <c r="MMD17" s="13"/>
      <c r="MME17" s="13"/>
      <c r="MMF17" s="13"/>
      <c r="MMG17" s="13"/>
      <c r="MMH17" s="13"/>
      <c r="MMI17" s="13"/>
      <c r="MMJ17" s="13"/>
      <c r="MMK17" s="13"/>
      <c r="MML17" s="13"/>
      <c r="MMM17" s="13"/>
      <c r="MMN17" s="13"/>
      <c r="MMO17" s="13"/>
      <c r="MMP17" s="13"/>
      <c r="MMQ17" s="13"/>
      <c r="MMR17" s="13"/>
      <c r="MMS17" s="13"/>
      <c r="MMT17" s="13"/>
      <c r="MMU17" s="13"/>
      <c r="MMV17" s="13"/>
      <c r="MMW17" s="13"/>
      <c r="MMX17" s="13"/>
      <c r="MMY17" s="13"/>
      <c r="MMZ17" s="13"/>
      <c r="MNA17" s="13"/>
      <c r="MNB17" s="13"/>
      <c r="MNC17" s="13"/>
      <c r="MND17" s="13"/>
      <c r="MNE17" s="13"/>
      <c r="MNF17" s="13"/>
      <c r="MNG17" s="13"/>
      <c r="MNH17" s="13"/>
      <c r="MNI17" s="13"/>
      <c r="MNJ17" s="13"/>
      <c r="MNK17" s="13"/>
      <c r="MNL17" s="13"/>
      <c r="MNM17" s="13"/>
      <c r="MNN17" s="13"/>
      <c r="MNO17" s="13"/>
      <c r="MNP17" s="13"/>
      <c r="MNQ17" s="13"/>
      <c r="MNR17" s="13"/>
      <c r="MNS17" s="13"/>
      <c r="MNT17" s="13"/>
      <c r="MNU17" s="13"/>
      <c r="MNV17" s="13"/>
      <c r="MNW17" s="13"/>
      <c r="MNX17" s="13"/>
      <c r="MNY17" s="13"/>
      <c r="MNZ17" s="13"/>
      <c r="MOA17" s="13"/>
      <c r="MOB17" s="13"/>
      <c r="MOC17" s="13"/>
      <c r="MOD17" s="13"/>
      <c r="MOE17" s="13"/>
      <c r="MOF17" s="13"/>
      <c r="MOG17" s="13"/>
      <c r="MOH17" s="13"/>
      <c r="MOI17" s="13"/>
      <c r="MOJ17" s="13"/>
      <c r="MOK17" s="13"/>
      <c r="MOL17" s="13"/>
      <c r="MOM17" s="13"/>
      <c r="MON17" s="13"/>
      <c r="MOO17" s="13"/>
      <c r="MOP17" s="13"/>
      <c r="MOQ17" s="13"/>
      <c r="MOR17" s="13"/>
      <c r="MOS17" s="13"/>
      <c r="MOT17" s="13"/>
      <c r="MOU17" s="13"/>
      <c r="MOV17" s="13"/>
      <c r="MOW17" s="13"/>
      <c r="MOX17" s="13"/>
      <c r="MOY17" s="13"/>
      <c r="MOZ17" s="13"/>
      <c r="MPA17" s="13"/>
      <c r="MPB17" s="13"/>
      <c r="MPC17" s="13"/>
      <c r="MPD17" s="13"/>
      <c r="MPE17" s="13"/>
      <c r="MPF17" s="13"/>
      <c r="MPG17" s="13"/>
      <c r="MPH17" s="13"/>
      <c r="MPI17" s="13"/>
      <c r="MPJ17" s="13"/>
      <c r="MPK17" s="13"/>
      <c r="MPL17" s="13"/>
      <c r="MPM17" s="13"/>
      <c r="MPN17" s="13"/>
      <c r="MPO17" s="13"/>
      <c r="MPP17" s="13"/>
      <c r="MPQ17" s="13"/>
      <c r="MPR17" s="13"/>
      <c r="MPS17" s="13"/>
      <c r="MPT17" s="13"/>
      <c r="MPU17" s="13"/>
      <c r="MPV17" s="13"/>
      <c r="MPW17" s="13"/>
      <c r="MPX17" s="13"/>
      <c r="MPY17" s="13"/>
      <c r="MPZ17" s="13"/>
      <c r="MQA17" s="13"/>
      <c r="MQB17" s="13"/>
      <c r="MQC17" s="13"/>
      <c r="MQD17" s="13"/>
      <c r="MQE17" s="13"/>
      <c r="MQF17" s="13"/>
      <c r="MQG17" s="13"/>
      <c r="MQH17" s="13"/>
      <c r="MQI17" s="13"/>
      <c r="MQJ17" s="13"/>
      <c r="MQK17" s="13"/>
      <c r="MQL17" s="13"/>
      <c r="MQM17" s="13"/>
      <c r="MQN17" s="13"/>
      <c r="MQO17" s="13"/>
      <c r="MQP17" s="13"/>
      <c r="MQQ17" s="13"/>
      <c r="MQR17" s="13"/>
      <c r="MQS17" s="13"/>
      <c r="MQT17" s="13"/>
      <c r="MQU17" s="13"/>
      <c r="MQV17" s="13"/>
      <c r="MQW17" s="13"/>
      <c r="MQX17" s="13"/>
      <c r="MQY17" s="13"/>
      <c r="MQZ17" s="13"/>
      <c r="MRA17" s="13"/>
      <c r="MRB17" s="13"/>
      <c r="MRC17" s="13"/>
      <c r="MRD17" s="13"/>
      <c r="MRE17" s="13"/>
      <c r="MRF17" s="13"/>
      <c r="MRG17" s="13"/>
      <c r="MRH17" s="13"/>
      <c r="MRI17" s="13"/>
      <c r="MRJ17" s="13"/>
      <c r="MRK17" s="13"/>
      <c r="MRL17" s="13"/>
      <c r="MRM17" s="13"/>
      <c r="MRN17" s="13"/>
      <c r="MRO17" s="13"/>
      <c r="MRP17" s="13"/>
      <c r="MRQ17" s="13"/>
      <c r="MRR17" s="13"/>
      <c r="MRS17" s="13"/>
      <c r="MRT17" s="13"/>
      <c r="MRU17" s="13"/>
      <c r="MRV17" s="13"/>
      <c r="MRW17" s="13"/>
      <c r="MRX17" s="13"/>
      <c r="MRY17" s="13"/>
      <c r="MRZ17" s="13"/>
      <c r="MSA17" s="13"/>
      <c r="MSB17" s="13"/>
      <c r="MSC17" s="13"/>
      <c r="MSD17" s="13"/>
      <c r="MSE17" s="13"/>
      <c r="MSF17" s="13"/>
      <c r="MSG17" s="13"/>
      <c r="MSH17" s="13"/>
      <c r="MSI17" s="13"/>
      <c r="MSJ17" s="13"/>
      <c r="MSK17" s="13"/>
      <c r="MSL17" s="13"/>
      <c r="MSM17" s="13"/>
      <c r="MSN17" s="13"/>
      <c r="MSO17" s="13"/>
      <c r="MSP17" s="13"/>
      <c r="MSQ17" s="13"/>
      <c r="MSR17" s="13"/>
      <c r="MSS17" s="13"/>
      <c r="MST17" s="13"/>
      <c r="MSU17" s="13"/>
      <c r="MSV17" s="13"/>
      <c r="MSW17" s="13"/>
      <c r="MSX17" s="13"/>
      <c r="MSY17" s="13"/>
      <c r="MSZ17" s="13"/>
      <c r="MTA17" s="13"/>
      <c r="MTB17" s="13"/>
      <c r="MTC17" s="13"/>
      <c r="MTD17" s="13"/>
      <c r="MTE17" s="13"/>
      <c r="MTF17" s="13"/>
      <c r="MTG17" s="13"/>
      <c r="MTH17" s="13"/>
      <c r="MTI17" s="13"/>
      <c r="MTJ17" s="13"/>
      <c r="MTK17" s="13"/>
      <c r="MTL17" s="13"/>
      <c r="MTM17" s="13"/>
      <c r="MTN17" s="13"/>
      <c r="MTO17" s="13"/>
      <c r="MTP17" s="13"/>
      <c r="MTQ17" s="13"/>
      <c r="MTR17" s="13"/>
      <c r="MTS17" s="13"/>
      <c r="MTT17" s="13"/>
      <c r="MTU17" s="13"/>
      <c r="MTV17" s="13"/>
      <c r="MTW17" s="13"/>
      <c r="MTX17" s="13"/>
      <c r="MTY17" s="13"/>
      <c r="MTZ17" s="13"/>
      <c r="MUA17" s="13"/>
      <c r="MUB17" s="13"/>
      <c r="MUC17" s="13"/>
      <c r="MUD17" s="13"/>
      <c r="MUE17" s="13"/>
      <c r="MUF17" s="13"/>
      <c r="MUG17" s="13"/>
      <c r="MUH17" s="13"/>
      <c r="MUI17" s="13"/>
      <c r="MUJ17" s="13"/>
      <c r="MUK17" s="13"/>
      <c r="MUL17" s="13"/>
      <c r="MUM17" s="13"/>
      <c r="MUN17" s="13"/>
      <c r="MUO17" s="13"/>
      <c r="MUP17" s="13"/>
      <c r="MUQ17" s="13"/>
      <c r="MUR17" s="13"/>
      <c r="MUS17" s="13"/>
      <c r="MUT17" s="13"/>
      <c r="MUU17" s="13"/>
      <c r="MUV17" s="13"/>
      <c r="MUW17" s="13"/>
      <c r="MUX17" s="13"/>
      <c r="MUY17" s="13"/>
      <c r="MUZ17" s="13"/>
      <c r="MVA17" s="13"/>
      <c r="MVB17" s="13"/>
      <c r="MVC17" s="13"/>
      <c r="MVD17" s="13"/>
      <c r="MVE17" s="13"/>
      <c r="MVF17" s="13"/>
      <c r="MVG17" s="13"/>
      <c r="MVH17" s="13"/>
      <c r="MVI17" s="13"/>
      <c r="MVJ17" s="13"/>
      <c r="MVK17" s="13"/>
      <c r="MVL17" s="13"/>
      <c r="MVM17" s="13"/>
      <c r="MVN17" s="13"/>
      <c r="MVO17" s="13"/>
      <c r="MVP17" s="13"/>
      <c r="MVQ17" s="13"/>
      <c r="MVR17" s="13"/>
      <c r="MVS17" s="13"/>
      <c r="MVT17" s="13"/>
      <c r="MVU17" s="13"/>
      <c r="MVV17" s="13"/>
      <c r="MVW17" s="13"/>
      <c r="MVX17" s="13"/>
      <c r="MVY17" s="13"/>
      <c r="MVZ17" s="13"/>
      <c r="MWA17" s="13"/>
      <c r="MWB17" s="13"/>
      <c r="MWC17" s="13"/>
      <c r="MWD17" s="13"/>
      <c r="MWE17" s="13"/>
      <c r="MWF17" s="13"/>
      <c r="MWG17" s="13"/>
      <c r="MWH17" s="13"/>
      <c r="MWI17" s="13"/>
      <c r="MWJ17" s="13"/>
      <c r="MWK17" s="13"/>
      <c r="MWL17" s="13"/>
      <c r="MWM17" s="13"/>
      <c r="MWN17" s="13"/>
      <c r="MWO17" s="13"/>
      <c r="MWP17" s="13"/>
      <c r="MWQ17" s="13"/>
      <c r="MWR17" s="13"/>
      <c r="MWS17" s="13"/>
      <c r="MWT17" s="13"/>
      <c r="MWU17" s="13"/>
      <c r="MWV17" s="13"/>
      <c r="MWW17" s="13"/>
      <c r="MWX17" s="13"/>
      <c r="MWY17" s="13"/>
      <c r="MWZ17" s="13"/>
      <c r="MXA17" s="13"/>
      <c r="MXB17" s="13"/>
      <c r="MXC17" s="13"/>
      <c r="MXD17" s="13"/>
      <c r="MXE17" s="13"/>
      <c r="MXF17" s="13"/>
      <c r="MXG17" s="13"/>
      <c r="MXH17" s="13"/>
      <c r="MXI17" s="13"/>
      <c r="MXJ17" s="13"/>
      <c r="MXK17" s="13"/>
      <c r="MXL17" s="13"/>
      <c r="MXM17" s="13"/>
      <c r="MXN17" s="13"/>
      <c r="MXO17" s="13"/>
      <c r="MXP17" s="13"/>
      <c r="MXQ17" s="13"/>
      <c r="MXR17" s="13"/>
      <c r="MXS17" s="13"/>
      <c r="MXT17" s="13"/>
      <c r="MXU17" s="13"/>
      <c r="MXV17" s="13"/>
      <c r="MXW17" s="13"/>
      <c r="MXX17" s="13"/>
      <c r="MXY17" s="13"/>
      <c r="MXZ17" s="13"/>
      <c r="MYA17" s="13"/>
      <c r="MYB17" s="13"/>
      <c r="MYC17" s="13"/>
      <c r="MYD17" s="13"/>
      <c r="MYE17" s="13"/>
      <c r="MYF17" s="13"/>
      <c r="MYG17" s="13"/>
      <c r="MYH17" s="13"/>
      <c r="MYI17" s="13"/>
      <c r="MYJ17" s="13"/>
      <c r="MYK17" s="13"/>
      <c r="MYL17" s="13"/>
      <c r="MYM17" s="13"/>
      <c r="MYN17" s="13"/>
      <c r="MYO17" s="13"/>
      <c r="MYP17" s="13"/>
      <c r="MYQ17" s="13"/>
      <c r="MYR17" s="13"/>
      <c r="MYS17" s="13"/>
      <c r="MYT17" s="13"/>
      <c r="MYU17" s="13"/>
      <c r="MYV17" s="13"/>
      <c r="MYW17" s="13"/>
      <c r="MYX17" s="13"/>
      <c r="MYY17" s="13"/>
      <c r="MYZ17" s="13"/>
      <c r="MZA17" s="13"/>
      <c r="MZB17" s="13"/>
      <c r="MZC17" s="13"/>
      <c r="MZD17" s="13"/>
      <c r="MZE17" s="13"/>
      <c r="MZF17" s="13"/>
      <c r="MZG17" s="13"/>
      <c r="MZH17" s="13"/>
      <c r="MZI17" s="13"/>
      <c r="MZJ17" s="13"/>
      <c r="MZK17" s="13"/>
      <c r="MZL17" s="13"/>
      <c r="MZM17" s="13"/>
      <c r="MZN17" s="13"/>
      <c r="MZO17" s="13"/>
      <c r="MZP17" s="13"/>
      <c r="MZQ17" s="13"/>
      <c r="MZR17" s="13"/>
      <c r="MZS17" s="13"/>
      <c r="MZT17" s="13"/>
      <c r="MZU17" s="13"/>
      <c r="MZV17" s="13"/>
      <c r="MZW17" s="13"/>
      <c r="MZX17" s="13"/>
      <c r="MZY17" s="13"/>
      <c r="MZZ17" s="13"/>
      <c r="NAA17" s="13"/>
      <c r="NAB17" s="13"/>
      <c r="NAC17" s="13"/>
      <c r="NAD17" s="13"/>
      <c r="NAE17" s="13"/>
      <c r="NAF17" s="13"/>
      <c r="NAG17" s="13"/>
      <c r="NAH17" s="13"/>
      <c r="NAI17" s="13"/>
      <c r="NAJ17" s="13"/>
      <c r="NAK17" s="13"/>
      <c r="NAL17" s="13"/>
      <c r="NAM17" s="13"/>
      <c r="NAN17" s="13"/>
      <c r="NAO17" s="13"/>
      <c r="NAP17" s="13"/>
      <c r="NAQ17" s="13"/>
      <c r="NAR17" s="13"/>
      <c r="NAS17" s="13"/>
      <c r="NAT17" s="13"/>
      <c r="NAU17" s="13"/>
      <c r="NAV17" s="13"/>
      <c r="NAW17" s="13"/>
      <c r="NAX17" s="13"/>
      <c r="NAY17" s="13"/>
      <c r="NAZ17" s="13"/>
      <c r="NBA17" s="13"/>
      <c r="NBB17" s="13"/>
      <c r="NBC17" s="13"/>
      <c r="NBD17" s="13"/>
      <c r="NBE17" s="13"/>
      <c r="NBF17" s="13"/>
      <c r="NBG17" s="13"/>
      <c r="NBH17" s="13"/>
      <c r="NBI17" s="13"/>
      <c r="NBJ17" s="13"/>
      <c r="NBK17" s="13"/>
      <c r="NBL17" s="13"/>
      <c r="NBM17" s="13"/>
      <c r="NBN17" s="13"/>
      <c r="NBO17" s="13"/>
      <c r="NBP17" s="13"/>
      <c r="NBQ17" s="13"/>
      <c r="NBR17" s="13"/>
      <c r="NBS17" s="13"/>
      <c r="NBT17" s="13"/>
      <c r="NBU17" s="13"/>
      <c r="NBV17" s="13"/>
      <c r="NBW17" s="13"/>
      <c r="NBX17" s="13"/>
      <c r="NBY17" s="13"/>
      <c r="NBZ17" s="13"/>
      <c r="NCA17" s="13"/>
      <c r="NCB17" s="13"/>
      <c r="NCC17" s="13"/>
      <c r="NCD17" s="13"/>
      <c r="NCE17" s="13"/>
      <c r="NCF17" s="13"/>
      <c r="NCG17" s="13"/>
      <c r="NCH17" s="13"/>
      <c r="NCI17" s="13"/>
      <c r="NCJ17" s="13"/>
      <c r="NCK17" s="13"/>
      <c r="NCL17" s="13"/>
      <c r="NCM17" s="13"/>
      <c r="NCN17" s="13"/>
      <c r="NCO17" s="13"/>
      <c r="NCP17" s="13"/>
      <c r="NCQ17" s="13"/>
      <c r="NCR17" s="13"/>
      <c r="NCS17" s="13"/>
      <c r="NCT17" s="13"/>
      <c r="NCU17" s="13"/>
      <c r="NCV17" s="13"/>
      <c r="NCW17" s="13"/>
      <c r="NCX17" s="13"/>
      <c r="NCY17" s="13"/>
      <c r="NCZ17" s="13"/>
      <c r="NDA17" s="13"/>
      <c r="NDB17" s="13"/>
      <c r="NDC17" s="13"/>
      <c r="NDD17" s="13"/>
      <c r="NDE17" s="13"/>
      <c r="NDF17" s="13"/>
      <c r="NDG17" s="13"/>
      <c r="NDH17" s="13"/>
      <c r="NDI17" s="13"/>
      <c r="NDJ17" s="13"/>
      <c r="NDK17" s="13"/>
      <c r="NDL17" s="13"/>
      <c r="NDM17" s="13"/>
      <c r="NDN17" s="13"/>
      <c r="NDO17" s="13"/>
      <c r="NDP17" s="13"/>
      <c r="NDQ17" s="13"/>
      <c r="NDR17" s="13"/>
      <c r="NDS17" s="13"/>
      <c r="NDT17" s="13"/>
      <c r="NDU17" s="13"/>
      <c r="NDV17" s="13"/>
      <c r="NDW17" s="13"/>
      <c r="NDX17" s="13"/>
      <c r="NDY17" s="13"/>
      <c r="NDZ17" s="13"/>
      <c r="NEA17" s="13"/>
      <c r="NEB17" s="13"/>
      <c r="NEC17" s="13"/>
      <c r="NED17" s="13"/>
      <c r="NEE17" s="13"/>
      <c r="NEF17" s="13"/>
      <c r="NEG17" s="13"/>
      <c r="NEH17" s="13"/>
      <c r="NEI17" s="13"/>
      <c r="NEJ17" s="13"/>
      <c r="NEK17" s="13"/>
      <c r="NEL17" s="13"/>
      <c r="NEM17" s="13"/>
      <c r="NEN17" s="13"/>
      <c r="NEO17" s="13"/>
      <c r="NEP17" s="13"/>
      <c r="NEQ17" s="13"/>
      <c r="NER17" s="13"/>
      <c r="NES17" s="13"/>
      <c r="NET17" s="13"/>
      <c r="NEU17" s="13"/>
      <c r="NEV17" s="13"/>
      <c r="NEW17" s="13"/>
      <c r="NEX17" s="13"/>
      <c r="NEY17" s="13"/>
      <c r="NEZ17" s="13"/>
      <c r="NFA17" s="13"/>
      <c r="NFB17" s="13"/>
      <c r="NFC17" s="13"/>
      <c r="NFD17" s="13"/>
      <c r="NFE17" s="13"/>
      <c r="NFF17" s="13"/>
      <c r="NFG17" s="13"/>
      <c r="NFH17" s="13"/>
      <c r="NFI17" s="13"/>
      <c r="NFJ17" s="13"/>
      <c r="NFK17" s="13"/>
      <c r="NFL17" s="13"/>
      <c r="NFM17" s="13"/>
      <c r="NFN17" s="13"/>
      <c r="NFO17" s="13"/>
      <c r="NFP17" s="13"/>
      <c r="NFQ17" s="13"/>
      <c r="NFR17" s="13"/>
      <c r="NFS17" s="13"/>
      <c r="NFT17" s="13"/>
      <c r="NFU17" s="13"/>
      <c r="NFV17" s="13"/>
      <c r="NFW17" s="13"/>
      <c r="NFX17" s="13"/>
      <c r="NFY17" s="13"/>
      <c r="NFZ17" s="13"/>
      <c r="NGA17" s="13"/>
      <c r="NGB17" s="13"/>
      <c r="NGC17" s="13"/>
      <c r="NGD17" s="13"/>
      <c r="NGE17" s="13"/>
      <c r="NGF17" s="13"/>
      <c r="NGG17" s="13"/>
      <c r="NGH17" s="13"/>
      <c r="NGI17" s="13"/>
      <c r="NGJ17" s="13"/>
      <c r="NGK17" s="13"/>
      <c r="NGL17" s="13"/>
      <c r="NGM17" s="13"/>
      <c r="NGN17" s="13"/>
      <c r="NGO17" s="13"/>
      <c r="NGP17" s="13"/>
      <c r="NGQ17" s="13"/>
      <c r="NGR17" s="13"/>
      <c r="NGS17" s="13"/>
      <c r="NGT17" s="13"/>
      <c r="NGU17" s="13"/>
      <c r="NGV17" s="13"/>
      <c r="NGW17" s="13"/>
      <c r="NGX17" s="13"/>
      <c r="NGY17" s="13"/>
      <c r="NGZ17" s="13"/>
      <c r="NHA17" s="13"/>
      <c r="NHB17" s="13"/>
      <c r="NHC17" s="13"/>
      <c r="NHD17" s="13"/>
      <c r="NHE17" s="13"/>
      <c r="NHF17" s="13"/>
      <c r="NHG17" s="13"/>
      <c r="NHH17" s="13"/>
      <c r="NHI17" s="13"/>
      <c r="NHJ17" s="13"/>
      <c r="NHK17" s="13"/>
      <c r="NHL17" s="13"/>
      <c r="NHM17" s="13"/>
      <c r="NHN17" s="13"/>
      <c r="NHO17" s="13"/>
      <c r="NHP17" s="13"/>
      <c r="NHQ17" s="13"/>
      <c r="NHR17" s="13"/>
      <c r="NHS17" s="13"/>
      <c r="NHT17" s="13"/>
      <c r="NHU17" s="13"/>
      <c r="NHV17" s="13"/>
      <c r="NHW17" s="13"/>
      <c r="NHX17" s="13"/>
      <c r="NHY17" s="13"/>
      <c r="NHZ17" s="13"/>
      <c r="NIA17" s="13"/>
      <c r="NIB17" s="13"/>
      <c r="NIC17" s="13"/>
      <c r="NID17" s="13"/>
      <c r="NIE17" s="13"/>
      <c r="NIF17" s="13"/>
      <c r="NIG17" s="13"/>
      <c r="NIH17" s="13"/>
      <c r="NII17" s="13"/>
      <c r="NIJ17" s="13"/>
      <c r="NIK17" s="13"/>
      <c r="NIL17" s="13"/>
      <c r="NIM17" s="13"/>
      <c r="NIN17" s="13"/>
      <c r="NIO17" s="13"/>
      <c r="NIP17" s="13"/>
      <c r="NIQ17" s="13"/>
      <c r="NIR17" s="13"/>
      <c r="NIS17" s="13"/>
      <c r="NIT17" s="13"/>
      <c r="NIU17" s="13"/>
      <c r="NIV17" s="13"/>
      <c r="NIW17" s="13"/>
      <c r="NIX17" s="13"/>
      <c r="NIY17" s="13"/>
      <c r="NIZ17" s="13"/>
      <c r="NJA17" s="13"/>
      <c r="NJB17" s="13"/>
      <c r="NJC17" s="13"/>
      <c r="NJD17" s="13"/>
      <c r="NJE17" s="13"/>
      <c r="NJF17" s="13"/>
      <c r="NJG17" s="13"/>
      <c r="NJH17" s="13"/>
      <c r="NJI17" s="13"/>
      <c r="NJJ17" s="13"/>
      <c r="NJK17" s="13"/>
      <c r="NJL17" s="13"/>
      <c r="NJM17" s="13"/>
      <c r="NJN17" s="13"/>
      <c r="NJO17" s="13"/>
      <c r="NJP17" s="13"/>
      <c r="NJQ17" s="13"/>
      <c r="NJR17" s="13"/>
      <c r="NJS17" s="13"/>
      <c r="NJT17" s="13"/>
      <c r="NJU17" s="13"/>
      <c r="NJV17" s="13"/>
      <c r="NJW17" s="13"/>
      <c r="NJX17" s="13"/>
      <c r="NJY17" s="13"/>
      <c r="NJZ17" s="13"/>
      <c r="NKA17" s="13"/>
      <c r="NKB17" s="13"/>
      <c r="NKC17" s="13"/>
      <c r="NKD17" s="13"/>
      <c r="NKE17" s="13"/>
      <c r="NKF17" s="13"/>
      <c r="NKG17" s="13"/>
      <c r="NKH17" s="13"/>
      <c r="NKI17" s="13"/>
      <c r="NKJ17" s="13"/>
      <c r="NKK17" s="13"/>
      <c r="NKL17" s="13"/>
      <c r="NKM17" s="13"/>
      <c r="NKN17" s="13"/>
      <c r="NKO17" s="13"/>
      <c r="NKP17" s="13"/>
      <c r="NKQ17" s="13"/>
      <c r="NKR17" s="13"/>
      <c r="NKS17" s="13"/>
      <c r="NKT17" s="13"/>
      <c r="NKU17" s="13"/>
      <c r="NKV17" s="13"/>
      <c r="NKW17" s="13"/>
      <c r="NKX17" s="13"/>
      <c r="NKY17" s="13"/>
      <c r="NKZ17" s="13"/>
      <c r="NLA17" s="13"/>
      <c r="NLB17" s="13"/>
      <c r="NLC17" s="13"/>
      <c r="NLD17" s="13"/>
      <c r="NLE17" s="13"/>
      <c r="NLF17" s="13"/>
      <c r="NLG17" s="13"/>
      <c r="NLH17" s="13"/>
      <c r="NLI17" s="13"/>
      <c r="NLJ17" s="13"/>
      <c r="NLK17" s="13"/>
      <c r="NLL17" s="13"/>
      <c r="NLM17" s="13"/>
      <c r="NLN17" s="13"/>
      <c r="NLO17" s="13"/>
      <c r="NLP17" s="13"/>
      <c r="NLQ17" s="13"/>
      <c r="NLR17" s="13"/>
      <c r="NLS17" s="13"/>
      <c r="NLT17" s="13"/>
      <c r="NLU17" s="13"/>
      <c r="NLV17" s="13"/>
      <c r="NLW17" s="13"/>
      <c r="NLX17" s="13"/>
      <c r="NLY17" s="13"/>
      <c r="NLZ17" s="13"/>
      <c r="NMA17" s="13"/>
      <c r="NMB17" s="13"/>
      <c r="NMC17" s="13"/>
      <c r="NMD17" s="13"/>
      <c r="NME17" s="13"/>
      <c r="NMF17" s="13"/>
      <c r="NMG17" s="13"/>
      <c r="NMH17" s="13"/>
      <c r="NMI17" s="13"/>
      <c r="NMJ17" s="13"/>
      <c r="NMK17" s="13"/>
      <c r="NML17" s="13"/>
      <c r="NMM17" s="13"/>
      <c r="NMN17" s="13"/>
      <c r="NMO17" s="13"/>
      <c r="NMP17" s="13"/>
      <c r="NMQ17" s="13"/>
      <c r="NMR17" s="13"/>
      <c r="NMS17" s="13"/>
      <c r="NMT17" s="13"/>
      <c r="NMU17" s="13"/>
      <c r="NMV17" s="13"/>
      <c r="NMW17" s="13"/>
      <c r="NMX17" s="13"/>
      <c r="NMY17" s="13"/>
      <c r="NMZ17" s="13"/>
      <c r="NNA17" s="13"/>
      <c r="NNB17" s="13"/>
      <c r="NNC17" s="13"/>
      <c r="NND17" s="13"/>
      <c r="NNE17" s="13"/>
      <c r="NNF17" s="13"/>
      <c r="NNG17" s="13"/>
      <c r="NNH17" s="13"/>
      <c r="NNI17" s="13"/>
      <c r="NNJ17" s="13"/>
      <c r="NNK17" s="13"/>
      <c r="NNL17" s="13"/>
      <c r="NNM17" s="13"/>
      <c r="NNN17" s="13"/>
      <c r="NNO17" s="13"/>
      <c r="NNP17" s="13"/>
      <c r="NNQ17" s="13"/>
      <c r="NNR17" s="13"/>
      <c r="NNS17" s="13"/>
      <c r="NNT17" s="13"/>
      <c r="NNU17" s="13"/>
      <c r="NNV17" s="13"/>
      <c r="NNW17" s="13"/>
      <c r="NNX17" s="13"/>
      <c r="NNY17" s="13"/>
      <c r="NNZ17" s="13"/>
      <c r="NOA17" s="13"/>
      <c r="NOB17" s="13"/>
      <c r="NOC17" s="13"/>
      <c r="NOD17" s="13"/>
      <c r="NOE17" s="13"/>
      <c r="NOF17" s="13"/>
      <c r="NOG17" s="13"/>
      <c r="NOH17" s="13"/>
      <c r="NOI17" s="13"/>
      <c r="NOJ17" s="13"/>
      <c r="NOK17" s="13"/>
      <c r="NOL17" s="13"/>
      <c r="NOM17" s="13"/>
      <c r="NON17" s="13"/>
      <c r="NOO17" s="13"/>
      <c r="NOP17" s="13"/>
      <c r="NOQ17" s="13"/>
      <c r="NOR17" s="13"/>
      <c r="NOS17" s="13"/>
      <c r="NOT17" s="13"/>
      <c r="NOU17" s="13"/>
      <c r="NOV17" s="13"/>
      <c r="NOW17" s="13"/>
      <c r="NOX17" s="13"/>
      <c r="NOY17" s="13"/>
      <c r="NOZ17" s="13"/>
      <c r="NPA17" s="13"/>
      <c r="NPB17" s="13"/>
      <c r="NPC17" s="13"/>
      <c r="NPD17" s="13"/>
      <c r="NPE17" s="13"/>
      <c r="NPF17" s="13"/>
      <c r="NPG17" s="13"/>
      <c r="NPH17" s="13"/>
      <c r="NPI17" s="13"/>
      <c r="NPJ17" s="13"/>
      <c r="NPK17" s="13"/>
      <c r="NPL17" s="13"/>
      <c r="NPM17" s="13"/>
      <c r="NPN17" s="13"/>
      <c r="NPO17" s="13"/>
      <c r="NPP17" s="13"/>
      <c r="NPQ17" s="13"/>
      <c r="NPR17" s="13"/>
      <c r="NPS17" s="13"/>
      <c r="NPT17" s="13"/>
      <c r="NPU17" s="13"/>
      <c r="NPV17" s="13"/>
      <c r="NPW17" s="13"/>
      <c r="NPX17" s="13"/>
      <c r="NPY17" s="13"/>
      <c r="NPZ17" s="13"/>
      <c r="NQA17" s="13"/>
      <c r="NQB17" s="13"/>
      <c r="NQC17" s="13"/>
      <c r="NQD17" s="13"/>
      <c r="NQE17" s="13"/>
      <c r="NQF17" s="13"/>
      <c r="NQG17" s="13"/>
      <c r="NQH17" s="13"/>
      <c r="NQI17" s="13"/>
      <c r="NQJ17" s="13"/>
      <c r="NQK17" s="13"/>
      <c r="NQL17" s="13"/>
      <c r="NQM17" s="13"/>
      <c r="NQN17" s="13"/>
      <c r="NQO17" s="13"/>
      <c r="NQP17" s="13"/>
      <c r="NQQ17" s="13"/>
      <c r="NQR17" s="13"/>
      <c r="NQS17" s="13"/>
      <c r="NQT17" s="13"/>
      <c r="NQU17" s="13"/>
      <c r="NQV17" s="13"/>
      <c r="NQW17" s="13"/>
      <c r="NQX17" s="13"/>
      <c r="NQY17" s="13"/>
      <c r="NQZ17" s="13"/>
      <c r="NRA17" s="13"/>
      <c r="NRB17" s="13"/>
      <c r="NRC17" s="13"/>
      <c r="NRD17" s="13"/>
      <c r="NRE17" s="13"/>
      <c r="NRF17" s="13"/>
      <c r="NRG17" s="13"/>
      <c r="NRH17" s="13"/>
      <c r="NRI17" s="13"/>
      <c r="NRJ17" s="13"/>
      <c r="NRK17" s="13"/>
      <c r="NRL17" s="13"/>
      <c r="NRM17" s="13"/>
      <c r="NRN17" s="13"/>
      <c r="NRO17" s="13"/>
      <c r="NRP17" s="13"/>
      <c r="NRQ17" s="13"/>
      <c r="NRR17" s="13"/>
      <c r="NRS17" s="13"/>
      <c r="NRT17" s="13"/>
      <c r="NRU17" s="13"/>
      <c r="NRV17" s="13"/>
      <c r="NRW17" s="13"/>
      <c r="NRX17" s="13"/>
      <c r="NRY17" s="13"/>
      <c r="NRZ17" s="13"/>
      <c r="NSA17" s="13"/>
      <c r="NSB17" s="13"/>
      <c r="NSC17" s="13"/>
      <c r="NSD17" s="13"/>
      <c r="NSE17" s="13"/>
      <c r="NSF17" s="13"/>
      <c r="NSG17" s="13"/>
      <c r="NSH17" s="13"/>
      <c r="NSI17" s="13"/>
      <c r="NSJ17" s="13"/>
      <c r="NSK17" s="13"/>
      <c r="NSL17" s="13"/>
      <c r="NSM17" s="13"/>
      <c r="NSN17" s="13"/>
      <c r="NSO17" s="13"/>
      <c r="NSP17" s="13"/>
      <c r="NSQ17" s="13"/>
      <c r="NSR17" s="13"/>
      <c r="NSS17" s="13"/>
      <c r="NST17" s="13"/>
      <c r="NSU17" s="13"/>
      <c r="NSV17" s="13"/>
      <c r="NSW17" s="13"/>
      <c r="NSX17" s="13"/>
      <c r="NSY17" s="13"/>
      <c r="NSZ17" s="13"/>
      <c r="NTA17" s="13"/>
      <c r="NTB17" s="13"/>
      <c r="NTC17" s="13"/>
      <c r="NTD17" s="13"/>
      <c r="NTE17" s="13"/>
      <c r="NTF17" s="13"/>
      <c r="NTG17" s="13"/>
      <c r="NTH17" s="13"/>
      <c r="NTI17" s="13"/>
      <c r="NTJ17" s="13"/>
      <c r="NTK17" s="13"/>
      <c r="NTL17" s="13"/>
      <c r="NTM17" s="13"/>
      <c r="NTN17" s="13"/>
      <c r="NTO17" s="13"/>
      <c r="NTP17" s="13"/>
      <c r="NTQ17" s="13"/>
      <c r="NTR17" s="13"/>
      <c r="NTS17" s="13"/>
      <c r="NTT17" s="13"/>
      <c r="NTU17" s="13"/>
      <c r="NTV17" s="13"/>
      <c r="NTW17" s="13"/>
      <c r="NTX17" s="13"/>
      <c r="NTY17" s="13"/>
      <c r="NTZ17" s="13"/>
      <c r="NUA17" s="13"/>
      <c r="NUB17" s="13"/>
      <c r="NUC17" s="13"/>
      <c r="NUD17" s="13"/>
      <c r="NUE17" s="13"/>
      <c r="NUF17" s="13"/>
      <c r="NUG17" s="13"/>
      <c r="NUH17" s="13"/>
      <c r="NUI17" s="13"/>
      <c r="NUJ17" s="13"/>
      <c r="NUK17" s="13"/>
      <c r="NUL17" s="13"/>
      <c r="NUM17" s="13"/>
      <c r="NUN17" s="13"/>
      <c r="NUO17" s="13"/>
      <c r="NUP17" s="13"/>
      <c r="NUQ17" s="13"/>
      <c r="NUR17" s="13"/>
      <c r="NUS17" s="13"/>
      <c r="NUT17" s="13"/>
      <c r="NUU17" s="13"/>
      <c r="NUV17" s="13"/>
      <c r="NUW17" s="13"/>
      <c r="NUX17" s="13"/>
      <c r="NUY17" s="13"/>
      <c r="NUZ17" s="13"/>
      <c r="NVA17" s="13"/>
      <c r="NVB17" s="13"/>
      <c r="NVC17" s="13"/>
      <c r="NVD17" s="13"/>
      <c r="NVE17" s="13"/>
      <c r="NVF17" s="13"/>
      <c r="NVG17" s="13"/>
      <c r="NVH17" s="13"/>
      <c r="NVI17" s="13"/>
      <c r="NVJ17" s="13"/>
      <c r="NVK17" s="13"/>
      <c r="NVL17" s="13"/>
      <c r="NVM17" s="13"/>
      <c r="NVN17" s="13"/>
      <c r="NVO17" s="13"/>
      <c r="NVP17" s="13"/>
      <c r="NVQ17" s="13"/>
      <c r="NVR17" s="13"/>
      <c r="NVS17" s="13"/>
      <c r="NVT17" s="13"/>
      <c r="NVU17" s="13"/>
      <c r="NVV17" s="13"/>
      <c r="NVW17" s="13"/>
      <c r="NVX17" s="13"/>
      <c r="NVY17" s="13"/>
      <c r="NVZ17" s="13"/>
      <c r="NWA17" s="13"/>
      <c r="NWB17" s="13"/>
      <c r="NWC17" s="13"/>
      <c r="NWD17" s="13"/>
      <c r="NWE17" s="13"/>
      <c r="NWF17" s="13"/>
      <c r="NWG17" s="13"/>
      <c r="NWH17" s="13"/>
      <c r="NWI17" s="13"/>
      <c r="NWJ17" s="13"/>
      <c r="NWK17" s="13"/>
      <c r="NWL17" s="13"/>
      <c r="NWM17" s="13"/>
      <c r="NWN17" s="13"/>
      <c r="NWO17" s="13"/>
      <c r="NWP17" s="13"/>
      <c r="NWQ17" s="13"/>
      <c r="NWR17" s="13"/>
      <c r="NWS17" s="13"/>
      <c r="NWT17" s="13"/>
      <c r="NWU17" s="13"/>
      <c r="NWV17" s="13"/>
      <c r="NWW17" s="13"/>
      <c r="NWX17" s="13"/>
      <c r="NWY17" s="13"/>
      <c r="NWZ17" s="13"/>
      <c r="NXA17" s="13"/>
      <c r="NXB17" s="13"/>
      <c r="NXC17" s="13"/>
      <c r="NXD17" s="13"/>
      <c r="NXE17" s="13"/>
      <c r="NXF17" s="13"/>
      <c r="NXG17" s="13"/>
      <c r="NXH17" s="13"/>
      <c r="NXI17" s="13"/>
      <c r="NXJ17" s="13"/>
      <c r="NXK17" s="13"/>
      <c r="NXL17" s="13"/>
      <c r="NXM17" s="13"/>
      <c r="NXN17" s="13"/>
      <c r="NXO17" s="13"/>
      <c r="NXP17" s="13"/>
      <c r="NXQ17" s="13"/>
      <c r="NXR17" s="13"/>
      <c r="NXS17" s="13"/>
      <c r="NXT17" s="13"/>
      <c r="NXU17" s="13"/>
      <c r="NXV17" s="13"/>
      <c r="NXW17" s="13"/>
      <c r="NXX17" s="13"/>
      <c r="NXY17" s="13"/>
      <c r="NXZ17" s="13"/>
      <c r="NYA17" s="13"/>
      <c r="NYB17" s="13"/>
      <c r="NYC17" s="13"/>
      <c r="NYD17" s="13"/>
      <c r="NYE17" s="13"/>
      <c r="NYF17" s="13"/>
      <c r="NYG17" s="13"/>
      <c r="NYH17" s="13"/>
      <c r="NYI17" s="13"/>
      <c r="NYJ17" s="13"/>
      <c r="NYK17" s="13"/>
      <c r="NYL17" s="13"/>
      <c r="NYM17" s="13"/>
      <c r="NYN17" s="13"/>
      <c r="NYO17" s="13"/>
      <c r="NYP17" s="13"/>
      <c r="NYQ17" s="13"/>
      <c r="NYR17" s="13"/>
      <c r="NYS17" s="13"/>
      <c r="NYT17" s="13"/>
      <c r="NYU17" s="13"/>
      <c r="NYV17" s="13"/>
      <c r="NYW17" s="13"/>
      <c r="NYX17" s="13"/>
      <c r="NYY17" s="13"/>
      <c r="NYZ17" s="13"/>
      <c r="NZA17" s="13"/>
      <c r="NZB17" s="13"/>
      <c r="NZC17" s="13"/>
      <c r="NZD17" s="13"/>
      <c r="NZE17" s="13"/>
      <c r="NZF17" s="13"/>
      <c r="NZG17" s="13"/>
      <c r="NZH17" s="13"/>
      <c r="NZI17" s="13"/>
      <c r="NZJ17" s="13"/>
      <c r="NZK17" s="13"/>
      <c r="NZL17" s="13"/>
      <c r="NZM17" s="13"/>
      <c r="NZN17" s="13"/>
      <c r="NZO17" s="13"/>
      <c r="NZP17" s="13"/>
      <c r="NZQ17" s="13"/>
      <c r="NZR17" s="13"/>
      <c r="NZS17" s="13"/>
      <c r="NZT17" s="13"/>
      <c r="NZU17" s="13"/>
      <c r="NZV17" s="13"/>
      <c r="NZW17" s="13"/>
      <c r="NZX17" s="13"/>
      <c r="NZY17" s="13"/>
      <c r="NZZ17" s="13"/>
      <c r="OAA17" s="13"/>
      <c r="OAB17" s="13"/>
      <c r="OAC17" s="13"/>
      <c r="OAD17" s="13"/>
      <c r="OAE17" s="13"/>
      <c r="OAF17" s="13"/>
      <c r="OAG17" s="13"/>
      <c r="OAH17" s="13"/>
      <c r="OAI17" s="13"/>
      <c r="OAJ17" s="13"/>
      <c r="OAK17" s="13"/>
      <c r="OAL17" s="13"/>
      <c r="OAM17" s="13"/>
      <c r="OAN17" s="13"/>
      <c r="OAO17" s="13"/>
      <c r="OAP17" s="13"/>
      <c r="OAQ17" s="13"/>
      <c r="OAR17" s="13"/>
      <c r="OAS17" s="13"/>
      <c r="OAT17" s="13"/>
      <c r="OAU17" s="13"/>
      <c r="OAV17" s="13"/>
      <c r="OAW17" s="13"/>
      <c r="OAX17" s="13"/>
      <c r="OAY17" s="13"/>
      <c r="OAZ17" s="13"/>
      <c r="OBA17" s="13"/>
      <c r="OBB17" s="13"/>
      <c r="OBC17" s="13"/>
      <c r="OBD17" s="13"/>
      <c r="OBE17" s="13"/>
      <c r="OBF17" s="13"/>
      <c r="OBG17" s="13"/>
      <c r="OBH17" s="13"/>
      <c r="OBI17" s="13"/>
      <c r="OBJ17" s="13"/>
      <c r="OBK17" s="13"/>
      <c r="OBL17" s="13"/>
      <c r="OBM17" s="13"/>
      <c r="OBN17" s="13"/>
      <c r="OBO17" s="13"/>
      <c r="OBP17" s="13"/>
      <c r="OBQ17" s="13"/>
      <c r="OBR17" s="13"/>
      <c r="OBS17" s="13"/>
      <c r="OBT17" s="13"/>
      <c r="OBU17" s="13"/>
      <c r="OBV17" s="13"/>
      <c r="OBW17" s="13"/>
      <c r="OBX17" s="13"/>
      <c r="OBY17" s="13"/>
      <c r="OBZ17" s="13"/>
      <c r="OCA17" s="13"/>
      <c r="OCB17" s="13"/>
      <c r="OCC17" s="13"/>
      <c r="OCD17" s="13"/>
      <c r="OCE17" s="13"/>
      <c r="OCF17" s="13"/>
      <c r="OCG17" s="13"/>
      <c r="OCH17" s="13"/>
      <c r="OCI17" s="13"/>
      <c r="OCJ17" s="13"/>
      <c r="OCK17" s="13"/>
      <c r="OCL17" s="13"/>
      <c r="OCM17" s="13"/>
      <c r="OCN17" s="13"/>
      <c r="OCO17" s="13"/>
      <c r="OCP17" s="13"/>
      <c r="OCQ17" s="13"/>
      <c r="OCR17" s="13"/>
      <c r="OCS17" s="13"/>
      <c r="OCT17" s="13"/>
      <c r="OCU17" s="13"/>
      <c r="OCV17" s="13"/>
      <c r="OCW17" s="13"/>
      <c r="OCX17" s="13"/>
      <c r="OCY17" s="13"/>
      <c r="OCZ17" s="13"/>
      <c r="ODA17" s="13"/>
      <c r="ODB17" s="13"/>
      <c r="ODC17" s="13"/>
      <c r="ODD17" s="13"/>
      <c r="ODE17" s="13"/>
      <c r="ODF17" s="13"/>
      <c r="ODG17" s="13"/>
      <c r="ODH17" s="13"/>
      <c r="ODI17" s="13"/>
      <c r="ODJ17" s="13"/>
      <c r="ODK17" s="13"/>
      <c r="ODL17" s="13"/>
      <c r="ODM17" s="13"/>
      <c r="ODN17" s="13"/>
      <c r="ODO17" s="13"/>
      <c r="ODP17" s="13"/>
      <c r="ODQ17" s="13"/>
      <c r="ODR17" s="13"/>
      <c r="ODS17" s="13"/>
      <c r="ODT17" s="13"/>
      <c r="ODU17" s="13"/>
      <c r="ODV17" s="13"/>
      <c r="ODW17" s="13"/>
      <c r="ODX17" s="13"/>
      <c r="ODY17" s="13"/>
      <c r="ODZ17" s="13"/>
      <c r="OEA17" s="13"/>
      <c r="OEB17" s="13"/>
      <c r="OEC17" s="13"/>
      <c r="OED17" s="13"/>
      <c r="OEE17" s="13"/>
      <c r="OEF17" s="13"/>
      <c r="OEG17" s="13"/>
      <c r="OEH17" s="13"/>
      <c r="OEI17" s="13"/>
      <c r="OEJ17" s="13"/>
      <c r="OEK17" s="13"/>
      <c r="OEL17" s="13"/>
      <c r="OEM17" s="13"/>
      <c r="OEN17" s="13"/>
      <c r="OEO17" s="13"/>
      <c r="OEP17" s="13"/>
      <c r="OEQ17" s="13"/>
      <c r="OER17" s="13"/>
      <c r="OES17" s="13"/>
      <c r="OET17" s="13"/>
      <c r="OEU17" s="13"/>
      <c r="OEV17" s="13"/>
      <c r="OEW17" s="13"/>
      <c r="OEX17" s="13"/>
      <c r="OEY17" s="13"/>
      <c r="OEZ17" s="13"/>
      <c r="OFA17" s="13"/>
      <c r="OFB17" s="13"/>
      <c r="OFC17" s="13"/>
      <c r="OFD17" s="13"/>
      <c r="OFE17" s="13"/>
      <c r="OFF17" s="13"/>
      <c r="OFG17" s="13"/>
      <c r="OFH17" s="13"/>
      <c r="OFI17" s="13"/>
      <c r="OFJ17" s="13"/>
      <c r="OFK17" s="13"/>
      <c r="OFL17" s="13"/>
      <c r="OFM17" s="13"/>
      <c r="OFN17" s="13"/>
      <c r="OFO17" s="13"/>
      <c r="OFP17" s="13"/>
      <c r="OFQ17" s="13"/>
      <c r="OFR17" s="13"/>
      <c r="OFS17" s="13"/>
      <c r="OFT17" s="13"/>
      <c r="OFU17" s="13"/>
      <c r="OFV17" s="13"/>
      <c r="OFW17" s="13"/>
      <c r="OFX17" s="13"/>
      <c r="OFY17" s="13"/>
      <c r="OFZ17" s="13"/>
      <c r="OGA17" s="13"/>
      <c r="OGB17" s="13"/>
      <c r="OGC17" s="13"/>
      <c r="OGD17" s="13"/>
      <c r="OGE17" s="13"/>
      <c r="OGF17" s="13"/>
      <c r="OGG17" s="13"/>
      <c r="OGH17" s="13"/>
      <c r="OGI17" s="13"/>
      <c r="OGJ17" s="13"/>
      <c r="OGK17" s="13"/>
      <c r="OGL17" s="13"/>
      <c r="OGM17" s="13"/>
      <c r="OGN17" s="13"/>
      <c r="OGO17" s="13"/>
      <c r="OGP17" s="13"/>
      <c r="OGQ17" s="13"/>
      <c r="OGR17" s="13"/>
      <c r="OGS17" s="13"/>
      <c r="OGT17" s="13"/>
      <c r="OGU17" s="13"/>
      <c r="OGV17" s="13"/>
      <c r="OGW17" s="13"/>
      <c r="OGX17" s="13"/>
      <c r="OGY17" s="13"/>
      <c r="OGZ17" s="13"/>
      <c r="OHA17" s="13"/>
      <c r="OHB17" s="13"/>
      <c r="OHC17" s="13"/>
      <c r="OHD17" s="13"/>
      <c r="OHE17" s="13"/>
      <c r="OHF17" s="13"/>
      <c r="OHG17" s="13"/>
      <c r="OHH17" s="13"/>
      <c r="OHI17" s="13"/>
      <c r="OHJ17" s="13"/>
      <c r="OHK17" s="13"/>
      <c r="OHL17" s="13"/>
      <c r="OHM17" s="13"/>
      <c r="OHN17" s="13"/>
      <c r="OHO17" s="13"/>
      <c r="OHP17" s="13"/>
      <c r="OHQ17" s="13"/>
      <c r="OHR17" s="13"/>
      <c r="OHS17" s="13"/>
      <c r="OHT17" s="13"/>
      <c r="OHU17" s="13"/>
      <c r="OHV17" s="13"/>
      <c r="OHW17" s="13"/>
      <c r="OHX17" s="13"/>
      <c r="OHY17" s="13"/>
      <c r="OHZ17" s="13"/>
      <c r="OIA17" s="13"/>
      <c r="OIB17" s="13"/>
      <c r="OIC17" s="13"/>
      <c r="OID17" s="13"/>
      <c r="OIE17" s="13"/>
      <c r="OIF17" s="13"/>
      <c r="OIG17" s="13"/>
      <c r="OIH17" s="13"/>
      <c r="OII17" s="13"/>
      <c r="OIJ17" s="13"/>
      <c r="OIK17" s="13"/>
      <c r="OIL17" s="13"/>
      <c r="OIM17" s="13"/>
      <c r="OIN17" s="13"/>
      <c r="OIO17" s="13"/>
      <c r="OIP17" s="13"/>
      <c r="OIQ17" s="13"/>
      <c r="OIR17" s="13"/>
      <c r="OIS17" s="13"/>
      <c r="OIT17" s="13"/>
      <c r="OIU17" s="13"/>
      <c r="OIV17" s="13"/>
      <c r="OIW17" s="13"/>
      <c r="OIX17" s="13"/>
      <c r="OIY17" s="13"/>
      <c r="OIZ17" s="13"/>
      <c r="OJA17" s="13"/>
      <c r="OJB17" s="13"/>
      <c r="OJC17" s="13"/>
      <c r="OJD17" s="13"/>
      <c r="OJE17" s="13"/>
      <c r="OJF17" s="13"/>
      <c r="OJG17" s="13"/>
      <c r="OJH17" s="13"/>
      <c r="OJI17" s="13"/>
      <c r="OJJ17" s="13"/>
      <c r="OJK17" s="13"/>
      <c r="OJL17" s="13"/>
      <c r="OJM17" s="13"/>
      <c r="OJN17" s="13"/>
      <c r="OJO17" s="13"/>
      <c r="OJP17" s="13"/>
      <c r="OJQ17" s="13"/>
      <c r="OJR17" s="13"/>
      <c r="OJS17" s="13"/>
      <c r="OJT17" s="13"/>
      <c r="OJU17" s="13"/>
      <c r="OJV17" s="13"/>
      <c r="OJW17" s="13"/>
      <c r="OJX17" s="13"/>
      <c r="OJY17" s="13"/>
      <c r="OJZ17" s="13"/>
      <c r="OKA17" s="13"/>
      <c r="OKB17" s="13"/>
      <c r="OKC17" s="13"/>
      <c r="OKD17" s="13"/>
      <c r="OKE17" s="13"/>
      <c r="OKF17" s="13"/>
      <c r="OKG17" s="13"/>
      <c r="OKH17" s="13"/>
      <c r="OKI17" s="13"/>
      <c r="OKJ17" s="13"/>
      <c r="OKK17" s="13"/>
      <c r="OKL17" s="13"/>
      <c r="OKM17" s="13"/>
      <c r="OKN17" s="13"/>
      <c r="OKO17" s="13"/>
      <c r="OKP17" s="13"/>
      <c r="OKQ17" s="13"/>
      <c r="OKR17" s="13"/>
      <c r="OKS17" s="13"/>
      <c r="OKT17" s="13"/>
      <c r="OKU17" s="13"/>
      <c r="OKV17" s="13"/>
      <c r="OKW17" s="13"/>
      <c r="OKX17" s="13"/>
      <c r="OKY17" s="13"/>
      <c r="OKZ17" s="13"/>
      <c r="OLA17" s="13"/>
      <c r="OLB17" s="13"/>
      <c r="OLC17" s="13"/>
      <c r="OLD17" s="13"/>
      <c r="OLE17" s="13"/>
      <c r="OLF17" s="13"/>
      <c r="OLG17" s="13"/>
      <c r="OLH17" s="13"/>
      <c r="OLI17" s="13"/>
      <c r="OLJ17" s="13"/>
      <c r="OLK17" s="13"/>
      <c r="OLL17" s="13"/>
      <c r="OLM17" s="13"/>
      <c r="OLN17" s="13"/>
      <c r="OLO17" s="13"/>
      <c r="OLP17" s="13"/>
      <c r="OLQ17" s="13"/>
      <c r="OLR17" s="13"/>
      <c r="OLS17" s="13"/>
      <c r="OLT17" s="13"/>
      <c r="OLU17" s="13"/>
      <c r="OLV17" s="13"/>
      <c r="OLW17" s="13"/>
      <c r="OLX17" s="13"/>
      <c r="OLY17" s="13"/>
      <c r="OLZ17" s="13"/>
      <c r="OMA17" s="13"/>
      <c r="OMB17" s="13"/>
      <c r="OMC17" s="13"/>
      <c r="OMD17" s="13"/>
      <c r="OME17" s="13"/>
      <c r="OMF17" s="13"/>
      <c r="OMG17" s="13"/>
      <c r="OMH17" s="13"/>
      <c r="OMI17" s="13"/>
      <c r="OMJ17" s="13"/>
      <c r="OMK17" s="13"/>
      <c r="OML17" s="13"/>
      <c r="OMM17" s="13"/>
      <c r="OMN17" s="13"/>
      <c r="OMO17" s="13"/>
      <c r="OMP17" s="13"/>
      <c r="OMQ17" s="13"/>
      <c r="OMR17" s="13"/>
      <c r="OMS17" s="13"/>
      <c r="OMT17" s="13"/>
      <c r="OMU17" s="13"/>
      <c r="OMV17" s="13"/>
      <c r="OMW17" s="13"/>
      <c r="OMX17" s="13"/>
      <c r="OMY17" s="13"/>
      <c r="OMZ17" s="13"/>
      <c r="ONA17" s="13"/>
      <c r="ONB17" s="13"/>
      <c r="ONC17" s="13"/>
      <c r="OND17" s="13"/>
      <c r="ONE17" s="13"/>
      <c r="ONF17" s="13"/>
      <c r="ONG17" s="13"/>
      <c r="ONH17" s="13"/>
      <c r="ONI17" s="13"/>
      <c r="ONJ17" s="13"/>
      <c r="ONK17" s="13"/>
      <c r="ONL17" s="13"/>
      <c r="ONM17" s="13"/>
      <c r="ONN17" s="13"/>
      <c r="ONO17" s="13"/>
      <c r="ONP17" s="13"/>
      <c r="ONQ17" s="13"/>
      <c r="ONR17" s="13"/>
      <c r="ONS17" s="13"/>
      <c r="ONT17" s="13"/>
      <c r="ONU17" s="13"/>
      <c r="ONV17" s="13"/>
      <c r="ONW17" s="13"/>
      <c r="ONX17" s="13"/>
      <c r="ONY17" s="13"/>
      <c r="ONZ17" s="13"/>
      <c r="OOA17" s="13"/>
      <c r="OOB17" s="13"/>
      <c r="OOC17" s="13"/>
      <c r="OOD17" s="13"/>
      <c r="OOE17" s="13"/>
      <c r="OOF17" s="13"/>
      <c r="OOG17" s="13"/>
      <c r="OOH17" s="13"/>
      <c r="OOI17" s="13"/>
      <c r="OOJ17" s="13"/>
      <c r="OOK17" s="13"/>
      <c r="OOL17" s="13"/>
      <c r="OOM17" s="13"/>
      <c r="OON17" s="13"/>
      <c r="OOO17" s="13"/>
      <c r="OOP17" s="13"/>
      <c r="OOQ17" s="13"/>
      <c r="OOR17" s="13"/>
      <c r="OOS17" s="13"/>
      <c r="OOT17" s="13"/>
      <c r="OOU17" s="13"/>
      <c r="OOV17" s="13"/>
      <c r="OOW17" s="13"/>
      <c r="OOX17" s="13"/>
      <c r="OOY17" s="13"/>
      <c r="OOZ17" s="13"/>
      <c r="OPA17" s="13"/>
      <c r="OPB17" s="13"/>
      <c r="OPC17" s="13"/>
      <c r="OPD17" s="13"/>
      <c r="OPE17" s="13"/>
      <c r="OPF17" s="13"/>
      <c r="OPG17" s="13"/>
      <c r="OPH17" s="13"/>
      <c r="OPI17" s="13"/>
      <c r="OPJ17" s="13"/>
      <c r="OPK17" s="13"/>
      <c r="OPL17" s="13"/>
      <c r="OPM17" s="13"/>
      <c r="OPN17" s="13"/>
      <c r="OPO17" s="13"/>
      <c r="OPP17" s="13"/>
      <c r="OPQ17" s="13"/>
      <c r="OPR17" s="13"/>
      <c r="OPS17" s="13"/>
      <c r="OPT17" s="13"/>
      <c r="OPU17" s="13"/>
      <c r="OPV17" s="13"/>
      <c r="OPW17" s="13"/>
      <c r="OPX17" s="13"/>
      <c r="OPY17" s="13"/>
      <c r="OPZ17" s="13"/>
      <c r="OQA17" s="13"/>
      <c r="OQB17" s="13"/>
      <c r="OQC17" s="13"/>
      <c r="OQD17" s="13"/>
      <c r="OQE17" s="13"/>
      <c r="OQF17" s="13"/>
      <c r="OQG17" s="13"/>
      <c r="OQH17" s="13"/>
      <c r="OQI17" s="13"/>
      <c r="OQJ17" s="13"/>
      <c r="OQK17" s="13"/>
      <c r="OQL17" s="13"/>
      <c r="OQM17" s="13"/>
      <c r="OQN17" s="13"/>
      <c r="OQO17" s="13"/>
      <c r="OQP17" s="13"/>
      <c r="OQQ17" s="13"/>
      <c r="OQR17" s="13"/>
      <c r="OQS17" s="13"/>
      <c r="OQT17" s="13"/>
      <c r="OQU17" s="13"/>
      <c r="OQV17" s="13"/>
      <c r="OQW17" s="13"/>
      <c r="OQX17" s="13"/>
      <c r="OQY17" s="13"/>
      <c r="OQZ17" s="13"/>
      <c r="ORA17" s="13"/>
      <c r="ORB17" s="13"/>
      <c r="ORC17" s="13"/>
      <c r="ORD17" s="13"/>
      <c r="ORE17" s="13"/>
      <c r="ORF17" s="13"/>
      <c r="ORG17" s="13"/>
      <c r="ORH17" s="13"/>
      <c r="ORI17" s="13"/>
      <c r="ORJ17" s="13"/>
      <c r="ORK17" s="13"/>
      <c r="ORL17" s="13"/>
      <c r="ORM17" s="13"/>
      <c r="ORN17" s="13"/>
      <c r="ORO17" s="13"/>
      <c r="ORP17" s="13"/>
      <c r="ORQ17" s="13"/>
      <c r="ORR17" s="13"/>
      <c r="ORS17" s="13"/>
      <c r="ORT17" s="13"/>
      <c r="ORU17" s="13"/>
      <c r="ORV17" s="13"/>
      <c r="ORW17" s="13"/>
      <c r="ORX17" s="13"/>
      <c r="ORY17" s="13"/>
      <c r="ORZ17" s="13"/>
      <c r="OSA17" s="13"/>
      <c r="OSB17" s="13"/>
      <c r="OSC17" s="13"/>
      <c r="OSD17" s="13"/>
      <c r="OSE17" s="13"/>
      <c r="OSF17" s="13"/>
      <c r="OSG17" s="13"/>
      <c r="OSH17" s="13"/>
      <c r="OSI17" s="13"/>
      <c r="OSJ17" s="13"/>
      <c r="OSK17" s="13"/>
      <c r="OSL17" s="13"/>
      <c r="OSM17" s="13"/>
      <c r="OSN17" s="13"/>
      <c r="OSO17" s="13"/>
      <c r="OSP17" s="13"/>
      <c r="OSQ17" s="13"/>
      <c r="OSR17" s="13"/>
      <c r="OSS17" s="13"/>
      <c r="OST17" s="13"/>
      <c r="OSU17" s="13"/>
      <c r="OSV17" s="13"/>
      <c r="OSW17" s="13"/>
      <c r="OSX17" s="13"/>
      <c r="OSY17" s="13"/>
      <c r="OSZ17" s="13"/>
      <c r="OTA17" s="13"/>
      <c r="OTB17" s="13"/>
      <c r="OTC17" s="13"/>
      <c r="OTD17" s="13"/>
      <c r="OTE17" s="13"/>
      <c r="OTF17" s="13"/>
      <c r="OTG17" s="13"/>
      <c r="OTH17" s="13"/>
      <c r="OTI17" s="13"/>
      <c r="OTJ17" s="13"/>
      <c r="OTK17" s="13"/>
      <c r="OTL17" s="13"/>
      <c r="OTM17" s="13"/>
      <c r="OTN17" s="13"/>
      <c r="OTO17" s="13"/>
      <c r="OTP17" s="13"/>
      <c r="OTQ17" s="13"/>
      <c r="OTR17" s="13"/>
      <c r="OTS17" s="13"/>
      <c r="OTT17" s="13"/>
      <c r="OTU17" s="13"/>
      <c r="OTV17" s="13"/>
      <c r="OTW17" s="13"/>
      <c r="OTX17" s="13"/>
      <c r="OTY17" s="13"/>
      <c r="OTZ17" s="13"/>
      <c r="OUA17" s="13"/>
      <c r="OUB17" s="13"/>
      <c r="OUC17" s="13"/>
      <c r="OUD17" s="13"/>
      <c r="OUE17" s="13"/>
      <c r="OUF17" s="13"/>
      <c r="OUG17" s="13"/>
      <c r="OUH17" s="13"/>
      <c r="OUI17" s="13"/>
      <c r="OUJ17" s="13"/>
      <c r="OUK17" s="13"/>
      <c r="OUL17" s="13"/>
      <c r="OUM17" s="13"/>
      <c r="OUN17" s="13"/>
      <c r="OUO17" s="13"/>
      <c r="OUP17" s="13"/>
      <c r="OUQ17" s="13"/>
      <c r="OUR17" s="13"/>
      <c r="OUS17" s="13"/>
      <c r="OUT17" s="13"/>
      <c r="OUU17" s="13"/>
      <c r="OUV17" s="13"/>
      <c r="OUW17" s="13"/>
      <c r="OUX17" s="13"/>
      <c r="OUY17" s="13"/>
      <c r="OUZ17" s="13"/>
      <c r="OVA17" s="13"/>
      <c r="OVB17" s="13"/>
      <c r="OVC17" s="13"/>
      <c r="OVD17" s="13"/>
      <c r="OVE17" s="13"/>
      <c r="OVF17" s="13"/>
      <c r="OVG17" s="13"/>
      <c r="OVH17" s="13"/>
      <c r="OVI17" s="13"/>
      <c r="OVJ17" s="13"/>
      <c r="OVK17" s="13"/>
      <c r="OVL17" s="13"/>
      <c r="OVM17" s="13"/>
      <c r="OVN17" s="13"/>
      <c r="OVO17" s="13"/>
      <c r="OVP17" s="13"/>
      <c r="OVQ17" s="13"/>
      <c r="OVR17" s="13"/>
      <c r="OVS17" s="13"/>
      <c r="OVT17" s="13"/>
      <c r="OVU17" s="13"/>
      <c r="OVV17" s="13"/>
      <c r="OVW17" s="13"/>
      <c r="OVX17" s="13"/>
      <c r="OVY17" s="13"/>
      <c r="OVZ17" s="13"/>
      <c r="OWA17" s="13"/>
      <c r="OWB17" s="13"/>
      <c r="OWC17" s="13"/>
      <c r="OWD17" s="13"/>
      <c r="OWE17" s="13"/>
      <c r="OWF17" s="13"/>
      <c r="OWG17" s="13"/>
      <c r="OWH17" s="13"/>
      <c r="OWI17" s="13"/>
      <c r="OWJ17" s="13"/>
      <c r="OWK17" s="13"/>
      <c r="OWL17" s="13"/>
      <c r="OWM17" s="13"/>
      <c r="OWN17" s="13"/>
      <c r="OWO17" s="13"/>
      <c r="OWP17" s="13"/>
      <c r="OWQ17" s="13"/>
      <c r="OWR17" s="13"/>
      <c r="OWS17" s="13"/>
      <c r="OWT17" s="13"/>
      <c r="OWU17" s="13"/>
      <c r="OWV17" s="13"/>
      <c r="OWW17" s="13"/>
      <c r="OWX17" s="13"/>
      <c r="OWY17" s="13"/>
      <c r="OWZ17" s="13"/>
      <c r="OXA17" s="13"/>
      <c r="OXB17" s="13"/>
      <c r="OXC17" s="13"/>
      <c r="OXD17" s="13"/>
      <c r="OXE17" s="13"/>
      <c r="OXF17" s="13"/>
      <c r="OXG17" s="13"/>
      <c r="OXH17" s="13"/>
      <c r="OXI17" s="13"/>
      <c r="OXJ17" s="13"/>
      <c r="OXK17" s="13"/>
      <c r="OXL17" s="13"/>
      <c r="OXM17" s="13"/>
      <c r="OXN17" s="13"/>
      <c r="OXO17" s="13"/>
      <c r="OXP17" s="13"/>
      <c r="OXQ17" s="13"/>
      <c r="OXR17" s="13"/>
      <c r="OXS17" s="13"/>
      <c r="OXT17" s="13"/>
      <c r="OXU17" s="13"/>
      <c r="OXV17" s="13"/>
      <c r="OXW17" s="13"/>
      <c r="OXX17" s="13"/>
      <c r="OXY17" s="13"/>
      <c r="OXZ17" s="13"/>
      <c r="OYA17" s="13"/>
      <c r="OYB17" s="13"/>
      <c r="OYC17" s="13"/>
      <c r="OYD17" s="13"/>
      <c r="OYE17" s="13"/>
      <c r="OYF17" s="13"/>
      <c r="OYG17" s="13"/>
      <c r="OYH17" s="13"/>
      <c r="OYI17" s="13"/>
      <c r="OYJ17" s="13"/>
      <c r="OYK17" s="13"/>
      <c r="OYL17" s="13"/>
      <c r="OYM17" s="13"/>
      <c r="OYN17" s="13"/>
      <c r="OYO17" s="13"/>
      <c r="OYP17" s="13"/>
      <c r="OYQ17" s="13"/>
      <c r="OYR17" s="13"/>
      <c r="OYS17" s="13"/>
      <c r="OYT17" s="13"/>
      <c r="OYU17" s="13"/>
      <c r="OYV17" s="13"/>
      <c r="OYW17" s="13"/>
      <c r="OYX17" s="13"/>
      <c r="OYY17" s="13"/>
      <c r="OYZ17" s="13"/>
      <c r="OZA17" s="13"/>
      <c r="OZB17" s="13"/>
      <c r="OZC17" s="13"/>
      <c r="OZD17" s="13"/>
      <c r="OZE17" s="13"/>
      <c r="OZF17" s="13"/>
      <c r="OZG17" s="13"/>
      <c r="OZH17" s="13"/>
      <c r="OZI17" s="13"/>
      <c r="OZJ17" s="13"/>
      <c r="OZK17" s="13"/>
      <c r="OZL17" s="13"/>
      <c r="OZM17" s="13"/>
      <c r="OZN17" s="13"/>
      <c r="OZO17" s="13"/>
      <c r="OZP17" s="13"/>
      <c r="OZQ17" s="13"/>
      <c r="OZR17" s="13"/>
      <c r="OZS17" s="13"/>
      <c r="OZT17" s="13"/>
      <c r="OZU17" s="13"/>
      <c r="OZV17" s="13"/>
      <c r="OZW17" s="13"/>
      <c r="OZX17" s="13"/>
      <c r="OZY17" s="13"/>
      <c r="OZZ17" s="13"/>
      <c r="PAA17" s="13"/>
      <c r="PAB17" s="13"/>
      <c r="PAC17" s="13"/>
      <c r="PAD17" s="13"/>
      <c r="PAE17" s="13"/>
      <c r="PAF17" s="13"/>
      <c r="PAG17" s="13"/>
      <c r="PAH17" s="13"/>
      <c r="PAI17" s="13"/>
      <c r="PAJ17" s="13"/>
      <c r="PAK17" s="13"/>
      <c r="PAL17" s="13"/>
      <c r="PAM17" s="13"/>
      <c r="PAN17" s="13"/>
      <c r="PAO17" s="13"/>
      <c r="PAP17" s="13"/>
      <c r="PAQ17" s="13"/>
      <c r="PAR17" s="13"/>
      <c r="PAS17" s="13"/>
      <c r="PAT17" s="13"/>
      <c r="PAU17" s="13"/>
      <c r="PAV17" s="13"/>
      <c r="PAW17" s="13"/>
      <c r="PAX17" s="13"/>
      <c r="PAY17" s="13"/>
      <c r="PAZ17" s="13"/>
      <c r="PBA17" s="13"/>
      <c r="PBB17" s="13"/>
      <c r="PBC17" s="13"/>
      <c r="PBD17" s="13"/>
      <c r="PBE17" s="13"/>
      <c r="PBF17" s="13"/>
      <c r="PBG17" s="13"/>
      <c r="PBH17" s="13"/>
      <c r="PBI17" s="13"/>
      <c r="PBJ17" s="13"/>
      <c r="PBK17" s="13"/>
      <c r="PBL17" s="13"/>
      <c r="PBM17" s="13"/>
      <c r="PBN17" s="13"/>
      <c r="PBO17" s="13"/>
      <c r="PBP17" s="13"/>
      <c r="PBQ17" s="13"/>
      <c r="PBR17" s="13"/>
      <c r="PBS17" s="13"/>
      <c r="PBT17" s="13"/>
      <c r="PBU17" s="13"/>
      <c r="PBV17" s="13"/>
      <c r="PBW17" s="13"/>
      <c r="PBX17" s="13"/>
      <c r="PBY17" s="13"/>
      <c r="PBZ17" s="13"/>
      <c r="PCA17" s="13"/>
      <c r="PCB17" s="13"/>
      <c r="PCC17" s="13"/>
      <c r="PCD17" s="13"/>
      <c r="PCE17" s="13"/>
      <c r="PCF17" s="13"/>
      <c r="PCG17" s="13"/>
      <c r="PCH17" s="13"/>
      <c r="PCI17" s="13"/>
      <c r="PCJ17" s="13"/>
      <c r="PCK17" s="13"/>
      <c r="PCL17" s="13"/>
      <c r="PCM17" s="13"/>
      <c r="PCN17" s="13"/>
      <c r="PCO17" s="13"/>
      <c r="PCP17" s="13"/>
      <c r="PCQ17" s="13"/>
      <c r="PCR17" s="13"/>
      <c r="PCS17" s="13"/>
      <c r="PCT17" s="13"/>
      <c r="PCU17" s="13"/>
      <c r="PCV17" s="13"/>
      <c r="PCW17" s="13"/>
      <c r="PCX17" s="13"/>
      <c r="PCY17" s="13"/>
      <c r="PCZ17" s="13"/>
      <c r="PDA17" s="13"/>
      <c r="PDB17" s="13"/>
      <c r="PDC17" s="13"/>
      <c r="PDD17" s="13"/>
      <c r="PDE17" s="13"/>
      <c r="PDF17" s="13"/>
      <c r="PDG17" s="13"/>
      <c r="PDH17" s="13"/>
      <c r="PDI17" s="13"/>
      <c r="PDJ17" s="13"/>
      <c r="PDK17" s="13"/>
      <c r="PDL17" s="13"/>
      <c r="PDM17" s="13"/>
      <c r="PDN17" s="13"/>
      <c r="PDO17" s="13"/>
      <c r="PDP17" s="13"/>
      <c r="PDQ17" s="13"/>
      <c r="PDR17" s="13"/>
      <c r="PDS17" s="13"/>
      <c r="PDT17" s="13"/>
      <c r="PDU17" s="13"/>
      <c r="PDV17" s="13"/>
      <c r="PDW17" s="13"/>
      <c r="PDX17" s="13"/>
      <c r="PDY17" s="13"/>
      <c r="PDZ17" s="13"/>
      <c r="PEA17" s="13"/>
      <c r="PEB17" s="13"/>
      <c r="PEC17" s="13"/>
      <c r="PED17" s="13"/>
      <c r="PEE17" s="13"/>
      <c r="PEF17" s="13"/>
      <c r="PEG17" s="13"/>
      <c r="PEH17" s="13"/>
      <c r="PEI17" s="13"/>
      <c r="PEJ17" s="13"/>
      <c r="PEK17" s="13"/>
      <c r="PEL17" s="13"/>
      <c r="PEM17" s="13"/>
      <c r="PEN17" s="13"/>
      <c r="PEO17" s="13"/>
      <c r="PEP17" s="13"/>
      <c r="PEQ17" s="13"/>
      <c r="PER17" s="13"/>
      <c r="PES17" s="13"/>
      <c r="PET17" s="13"/>
      <c r="PEU17" s="13"/>
      <c r="PEV17" s="13"/>
      <c r="PEW17" s="13"/>
      <c r="PEX17" s="13"/>
      <c r="PEY17" s="13"/>
      <c r="PEZ17" s="13"/>
      <c r="PFA17" s="13"/>
      <c r="PFB17" s="13"/>
      <c r="PFC17" s="13"/>
      <c r="PFD17" s="13"/>
      <c r="PFE17" s="13"/>
      <c r="PFF17" s="13"/>
      <c r="PFG17" s="13"/>
      <c r="PFH17" s="13"/>
      <c r="PFI17" s="13"/>
      <c r="PFJ17" s="13"/>
      <c r="PFK17" s="13"/>
      <c r="PFL17" s="13"/>
      <c r="PFM17" s="13"/>
      <c r="PFN17" s="13"/>
      <c r="PFO17" s="13"/>
      <c r="PFP17" s="13"/>
      <c r="PFQ17" s="13"/>
      <c r="PFR17" s="13"/>
      <c r="PFS17" s="13"/>
      <c r="PFT17" s="13"/>
      <c r="PFU17" s="13"/>
      <c r="PFV17" s="13"/>
      <c r="PFW17" s="13"/>
      <c r="PFX17" s="13"/>
      <c r="PFY17" s="13"/>
      <c r="PFZ17" s="13"/>
      <c r="PGA17" s="13"/>
      <c r="PGB17" s="13"/>
      <c r="PGC17" s="13"/>
      <c r="PGD17" s="13"/>
      <c r="PGE17" s="13"/>
      <c r="PGF17" s="13"/>
      <c r="PGG17" s="13"/>
      <c r="PGH17" s="13"/>
      <c r="PGI17" s="13"/>
      <c r="PGJ17" s="13"/>
      <c r="PGK17" s="13"/>
      <c r="PGL17" s="13"/>
      <c r="PGM17" s="13"/>
      <c r="PGN17" s="13"/>
      <c r="PGO17" s="13"/>
      <c r="PGP17" s="13"/>
      <c r="PGQ17" s="13"/>
      <c r="PGR17" s="13"/>
      <c r="PGS17" s="13"/>
      <c r="PGT17" s="13"/>
      <c r="PGU17" s="13"/>
      <c r="PGV17" s="13"/>
      <c r="PGW17" s="13"/>
      <c r="PGX17" s="13"/>
      <c r="PGY17" s="13"/>
      <c r="PGZ17" s="13"/>
      <c r="PHA17" s="13"/>
      <c r="PHB17" s="13"/>
      <c r="PHC17" s="13"/>
      <c r="PHD17" s="13"/>
      <c r="PHE17" s="13"/>
      <c r="PHF17" s="13"/>
      <c r="PHG17" s="13"/>
      <c r="PHH17" s="13"/>
      <c r="PHI17" s="13"/>
      <c r="PHJ17" s="13"/>
      <c r="PHK17" s="13"/>
      <c r="PHL17" s="13"/>
      <c r="PHM17" s="13"/>
      <c r="PHN17" s="13"/>
      <c r="PHO17" s="13"/>
      <c r="PHP17" s="13"/>
      <c r="PHQ17" s="13"/>
      <c r="PHR17" s="13"/>
      <c r="PHS17" s="13"/>
      <c r="PHT17" s="13"/>
      <c r="PHU17" s="13"/>
      <c r="PHV17" s="13"/>
      <c r="PHW17" s="13"/>
      <c r="PHX17" s="13"/>
      <c r="PHY17" s="13"/>
      <c r="PHZ17" s="13"/>
      <c r="PIA17" s="13"/>
      <c r="PIB17" s="13"/>
      <c r="PIC17" s="13"/>
      <c r="PID17" s="13"/>
      <c r="PIE17" s="13"/>
      <c r="PIF17" s="13"/>
      <c r="PIG17" s="13"/>
      <c r="PIH17" s="13"/>
      <c r="PII17" s="13"/>
      <c r="PIJ17" s="13"/>
      <c r="PIK17" s="13"/>
      <c r="PIL17" s="13"/>
      <c r="PIM17" s="13"/>
      <c r="PIN17" s="13"/>
      <c r="PIO17" s="13"/>
      <c r="PIP17" s="13"/>
      <c r="PIQ17" s="13"/>
      <c r="PIR17" s="13"/>
      <c r="PIS17" s="13"/>
      <c r="PIT17" s="13"/>
      <c r="PIU17" s="13"/>
      <c r="PIV17" s="13"/>
      <c r="PIW17" s="13"/>
      <c r="PIX17" s="13"/>
      <c r="PIY17" s="13"/>
      <c r="PIZ17" s="13"/>
      <c r="PJA17" s="13"/>
      <c r="PJB17" s="13"/>
      <c r="PJC17" s="13"/>
      <c r="PJD17" s="13"/>
      <c r="PJE17" s="13"/>
      <c r="PJF17" s="13"/>
      <c r="PJG17" s="13"/>
      <c r="PJH17" s="13"/>
      <c r="PJI17" s="13"/>
      <c r="PJJ17" s="13"/>
      <c r="PJK17" s="13"/>
      <c r="PJL17" s="13"/>
      <c r="PJM17" s="13"/>
      <c r="PJN17" s="13"/>
      <c r="PJO17" s="13"/>
      <c r="PJP17" s="13"/>
      <c r="PJQ17" s="13"/>
      <c r="PJR17" s="13"/>
      <c r="PJS17" s="13"/>
      <c r="PJT17" s="13"/>
      <c r="PJU17" s="13"/>
      <c r="PJV17" s="13"/>
      <c r="PJW17" s="13"/>
      <c r="PJX17" s="13"/>
      <c r="PJY17" s="13"/>
      <c r="PJZ17" s="13"/>
      <c r="PKA17" s="13"/>
      <c r="PKB17" s="13"/>
      <c r="PKC17" s="13"/>
      <c r="PKD17" s="13"/>
      <c r="PKE17" s="13"/>
      <c r="PKF17" s="13"/>
      <c r="PKG17" s="13"/>
      <c r="PKH17" s="13"/>
      <c r="PKI17" s="13"/>
      <c r="PKJ17" s="13"/>
      <c r="PKK17" s="13"/>
      <c r="PKL17" s="13"/>
      <c r="PKM17" s="13"/>
      <c r="PKN17" s="13"/>
      <c r="PKO17" s="13"/>
      <c r="PKP17" s="13"/>
      <c r="PKQ17" s="13"/>
      <c r="PKR17" s="13"/>
      <c r="PKS17" s="13"/>
      <c r="PKT17" s="13"/>
      <c r="PKU17" s="13"/>
      <c r="PKV17" s="13"/>
      <c r="PKW17" s="13"/>
      <c r="PKX17" s="13"/>
      <c r="PKY17" s="13"/>
      <c r="PKZ17" s="13"/>
      <c r="PLA17" s="13"/>
      <c r="PLB17" s="13"/>
      <c r="PLC17" s="13"/>
      <c r="PLD17" s="13"/>
      <c r="PLE17" s="13"/>
      <c r="PLF17" s="13"/>
      <c r="PLG17" s="13"/>
      <c r="PLH17" s="13"/>
      <c r="PLI17" s="13"/>
      <c r="PLJ17" s="13"/>
      <c r="PLK17" s="13"/>
      <c r="PLL17" s="13"/>
      <c r="PLM17" s="13"/>
      <c r="PLN17" s="13"/>
      <c r="PLO17" s="13"/>
      <c r="PLP17" s="13"/>
      <c r="PLQ17" s="13"/>
      <c r="PLR17" s="13"/>
      <c r="PLS17" s="13"/>
      <c r="PLT17" s="13"/>
      <c r="PLU17" s="13"/>
      <c r="PLV17" s="13"/>
      <c r="PLW17" s="13"/>
      <c r="PLX17" s="13"/>
      <c r="PLY17" s="13"/>
      <c r="PLZ17" s="13"/>
      <c r="PMA17" s="13"/>
      <c r="PMB17" s="13"/>
      <c r="PMC17" s="13"/>
      <c r="PMD17" s="13"/>
      <c r="PME17" s="13"/>
      <c r="PMF17" s="13"/>
      <c r="PMG17" s="13"/>
      <c r="PMH17" s="13"/>
      <c r="PMI17" s="13"/>
      <c r="PMJ17" s="13"/>
      <c r="PMK17" s="13"/>
      <c r="PML17" s="13"/>
      <c r="PMM17" s="13"/>
      <c r="PMN17" s="13"/>
      <c r="PMO17" s="13"/>
      <c r="PMP17" s="13"/>
      <c r="PMQ17" s="13"/>
      <c r="PMR17" s="13"/>
      <c r="PMS17" s="13"/>
      <c r="PMT17" s="13"/>
      <c r="PMU17" s="13"/>
      <c r="PMV17" s="13"/>
      <c r="PMW17" s="13"/>
      <c r="PMX17" s="13"/>
      <c r="PMY17" s="13"/>
      <c r="PMZ17" s="13"/>
      <c r="PNA17" s="13"/>
      <c r="PNB17" s="13"/>
      <c r="PNC17" s="13"/>
      <c r="PND17" s="13"/>
      <c r="PNE17" s="13"/>
      <c r="PNF17" s="13"/>
      <c r="PNG17" s="13"/>
      <c r="PNH17" s="13"/>
      <c r="PNI17" s="13"/>
      <c r="PNJ17" s="13"/>
      <c r="PNK17" s="13"/>
      <c r="PNL17" s="13"/>
      <c r="PNM17" s="13"/>
      <c r="PNN17" s="13"/>
      <c r="PNO17" s="13"/>
      <c r="PNP17" s="13"/>
      <c r="PNQ17" s="13"/>
      <c r="PNR17" s="13"/>
      <c r="PNS17" s="13"/>
      <c r="PNT17" s="13"/>
      <c r="PNU17" s="13"/>
      <c r="PNV17" s="13"/>
      <c r="PNW17" s="13"/>
      <c r="PNX17" s="13"/>
      <c r="PNY17" s="13"/>
      <c r="PNZ17" s="13"/>
      <c r="POA17" s="13"/>
      <c r="POB17" s="13"/>
      <c r="POC17" s="13"/>
      <c r="POD17" s="13"/>
      <c r="POE17" s="13"/>
      <c r="POF17" s="13"/>
      <c r="POG17" s="13"/>
      <c r="POH17" s="13"/>
      <c r="POI17" s="13"/>
      <c r="POJ17" s="13"/>
      <c r="POK17" s="13"/>
      <c r="POL17" s="13"/>
      <c r="POM17" s="13"/>
      <c r="PON17" s="13"/>
      <c r="POO17" s="13"/>
      <c r="POP17" s="13"/>
      <c r="POQ17" s="13"/>
      <c r="POR17" s="13"/>
      <c r="POS17" s="13"/>
      <c r="POT17" s="13"/>
      <c r="POU17" s="13"/>
      <c r="POV17" s="13"/>
      <c r="POW17" s="13"/>
      <c r="POX17" s="13"/>
      <c r="POY17" s="13"/>
      <c r="POZ17" s="13"/>
      <c r="PPA17" s="13"/>
      <c r="PPB17" s="13"/>
      <c r="PPC17" s="13"/>
      <c r="PPD17" s="13"/>
      <c r="PPE17" s="13"/>
      <c r="PPF17" s="13"/>
      <c r="PPG17" s="13"/>
      <c r="PPH17" s="13"/>
      <c r="PPI17" s="13"/>
      <c r="PPJ17" s="13"/>
      <c r="PPK17" s="13"/>
      <c r="PPL17" s="13"/>
      <c r="PPM17" s="13"/>
      <c r="PPN17" s="13"/>
      <c r="PPO17" s="13"/>
      <c r="PPP17" s="13"/>
      <c r="PPQ17" s="13"/>
      <c r="PPR17" s="13"/>
      <c r="PPS17" s="13"/>
      <c r="PPT17" s="13"/>
      <c r="PPU17" s="13"/>
      <c r="PPV17" s="13"/>
      <c r="PPW17" s="13"/>
      <c r="PPX17" s="13"/>
      <c r="PPY17" s="13"/>
      <c r="PPZ17" s="13"/>
      <c r="PQA17" s="13"/>
      <c r="PQB17" s="13"/>
      <c r="PQC17" s="13"/>
      <c r="PQD17" s="13"/>
      <c r="PQE17" s="13"/>
      <c r="PQF17" s="13"/>
      <c r="PQG17" s="13"/>
      <c r="PQH17" s="13"/>
      <c r="PQI17" s="13"/>
      <c r="PQJ17" s="13"/>
      <c r="PQK17" s="13"/>
      <c r="PQL17" s="13"/>
      <c r="PQM17" s="13"/>
      <c r="PQN17" s="13"/>
      <c r="PQO17" s="13"/>
      <c r="PQP17" s="13"/>
      <c r="PQQ17" s="13"/>
      <c r="PQR17" s="13"/>
      <c r="PQS17" s="13"/>
      <c r="PQT17" s="13"/>
      <c r="PQU17" s="13"/>
      <c r="PQV17" s="13"/>
      <c r="PQW17" s="13"/>
      <c r="PQX17" s="13"/>
      <c r="PQY17" s="13"/>
      <c r="PQZ17" s="13"/>
      <c r="PRA17" s="13"/>
      <c r="PRB17" s="13"/>
      <c r="PRC17" s="13"/>
      <c r="PRD17" s="13"/>
      <c r="PRE17" s="13"/>
      <c r="PRF17" s="13"/>
      <c r="PRG17" s="13"/>
      <c r="PRH17" s="13"/>
      <c r="PRI17" s="13"/>
      <c r="PRJ17" s="13"/>
      <c r="PRK17" s="13"/>
      <c r="PRL17" s="13"/>
      <c r="PRM17" s="13"/>
      <c r="PRN17" s="13"/>
      <c r="PRO17" s="13"/>
      <c r="PRP17" s="13"/>
      <c r="PRQ17" s="13"/>
      <c r="PRR17" s="13"/>
      <c r="PRS17" s="13"/>
      <c r="PRT17" s="13"/>
      <c r="PRU17" s="13"/>
      <c r="PRV17" s="13"/>
      <c r="PRW17" s="13"/>
      <c r="PRX17" s="13"/>
      <c r="PRY17" s="13"/>
      <c r="PRZ17" s="13"/>
      <c r="PSA17" s="13"/>
      <c r="PSB17" s="13"/>
      <c r="PSC17" s="13"/>
      <c r="PSD17" s="13"/>
      <c r="PSE17" s="13"/>
      <c r="PSF17" s="13"/>
      <c r="PSG17" s="13"/>
      <c r="PSH17" s="13"/>
      <c r="PSI17" s="13"/>
      <c r="PSJ17" s="13"/>
      <c r="PSK17" s="13"/>
      <c r="PSL17" s="13"/>
      <c r="PSM17" s="13"/>
      <c r="PSN17" s="13"/>
      <c r="PSO17" s="13"/>
      <c r="PSP17" s="13"/>
      <c r="PSQ17" s="13"/>
      <c r="PSR17" s="13"/>
      <c r="PSS17" s="13"/>
      <c r="PST17" s="13"/>
      <c r="PSU17" s="13"/>
      <c r="PSV17" s="13"/>
      <c r="PSW17" s="13"/>
      <c r="PSX17" s="13"/>
      <c r="PSY17" s="13"/>
      <c r="PSZ17" s="13"/>
      <c r="PTA17" s="13"/>
      <c r="PTB17" s="13"/>
      <c r="PTC17" s="13"/>
      <c r="PTD17" s="13"/>
      <c r="PTE17" s="13"/>
      <c r="PTF17" s="13"/>
      <c r="PTG17" s="13"/>
      <c r="PTH17" s="13"/>
      <c r="PTI17" s="13"/>
      <c r="PTJ17" s="13"/>
      <c r="PTK17" s="13"/>
      <c r="PTL17" s="13"/>
      <c r="PTM17" s="13"/>
      <c r="PTN17" s="13"/>
      <c r="PTO17" s="13"/>
      <c r="PTP17" s="13"/>
      <c r="PTQ17" s="13"/>
      <c r="PTR17" s="13"/>
      <c r="PTS17" s="13"/>
      <c r="PTT17" s="13"/>
      <c r="PTU17" s="13"/>
      <c r="PTV17" s="13"/>
      <c r="PTW17" s="13"/>
      <c r="PTX17" s="13"/>
      <c r="PTY17" s="13"/>
      <c r="PTZ17" s="13"/>
      <c r="PUA17" s="13"/>
      <c r="PUB17" s="13"/>
      <c r="PUC17" s="13"/>
      <c r="PUD17" s="13"/>
      <c r="PUE17" s="13"/>
      <c r="PUF17" s="13"/>
      <c r="PUG17" s="13"/>
      <c r="PUH17" s="13"/>
      <c r="PUI17" s="13"/>
      <c r="PUJ17" s="13"/>
      <c r="PUK17" s="13"/>
      <c r="PUL17" s="13"/>
      <c r="PUM17" s="13"/>
      <c r="PUN17" s="13"/>
      <c r="PUO17" s="13"/>
      <c r="PUP17" s="13"/>
      <c r="PUQ17" s="13"/>
      <c r="PUR17" s="13"/>
      <c r="PUS17" s="13"/>
      <c r="PUT17" s="13"/>
      <c r="PUU17" s="13"/>
      <c r="PUV17" s="13"/>
      <c r="PUW17" s="13"/>
      <c r="PUX17" s="13"/>
      <c r="PUY17" s="13"/>
      <c r="PUZ17" s="13"/>
      <c r="PVA17" s="13"/>
      <c r="PVB17" s="13"/>
      <c r="PVC17" s="13"/>
      <c r="PVD17" s="13"/>
      <c r="PVE17" s="13"/>
      <c r="PVF17" s="13"/>
      <c r="PVG17" s="13"/>
      <c r="PVH17" s="13"/>
      <c r="PVI17" s="13"/>
      <c r="PVJ17" s="13"/>
      <c r="PVK17" s="13"/>
      <c r="PVL17" s="13"/>
      <c r="PVM17" s="13"/>
      <c r="PVN17" s="13"/>
      <c r="PVO17" s="13"/>
      <c r="PVP17" s="13"/>
      <c r="PVQ17" s="13"/>
      <c r="PVR17" s="13"/>
      <c r="PVS17" s="13"/>
      <c r="PVT17" s="13"/>
      <c r="PVU17" s="13"/>
      <c r="PVV17" s="13"/>
      <c r="PVW17" s="13"/>
      <c r="PVX17" s="13"/>
      <c r="PVY17" s="13"/>
      <c r="PVZ17" s="13"/>
      <c r="PWA17" s="13"/>
      <c r="PWB17" s="13"/>
      <c r="PWC17" s="13"/>
      <c r="PWD17" s="13"/>
      <c r="PWE17" s="13"/>
      <c r="PWF17" s="13"/>
      <c r="PWG17" s="13"/>
      <c r="PWH17" s="13"/>
      <c r="PWI17" s="13"/>
      <c r="PWJ17" s="13"/>
      <c r="PWK17" s="13"/>
      <c r="PWL17" s="13"/>
      <c r="PWM17" s="13"/>
      <c r="PWN17" s="13"/>
      <c r="PWO17" s="13"/>
      <c r="PWP17" s="13"/>
      <c r="PWQ17" s="13"/>
      <c r="PWR17" s="13"/>
      <c r="PWS17" s="13"/>
      <c r="PWT17" s="13"/>
      <c r="PWU17" s="13"/>
      <c r="PWV17" s="13"/>
      <c r="PWW17" s="13"/>
      <c r="PWX17" s="13"/>
      <c r="PWY17" s="13"/>
      <c r="PWZ17" s="13"/>
      <c r="PXA17" s="13"/>
      <c r="PXB17" s="13"/>
      <c r="PXC17" s="13"/>
      <c r="PXD17" s="13"/>
      <c r="PXE17" s="13"/>
      <c r="PXF17" s="13"/>
      <c r="PXG17" s="13"/>
      <c r="PXH17" s="13"/>
      <c r="PXI17" s="13"/>
      <c r="PXJ17" s="13"/>
      <c r="PXK17" s="13"/>
      <c r="PXL17" s="13"/>
      <c r="PXM17" s="13"/>
      <c r="PXN17" s="13"/>
      <c r="PXO17" s="13"/>
      <c r="PXP17" s="13"/>
      <c r="PXQ17" s="13"/>
      <c r="PXR17" s="13"/>
      <c r="PXS17" s="13"/>
      <c r="PXT17" s="13"/>
      <c r="PXU17" s="13"/>
      <c r="PXV17" s="13"/>
      <c r="PXW17" s="13"/>
      <c r="PXX17" s="13"/>
      <c r="PXY17" s="13"/>
      <c r="PXZ17" s="13"/>
      <c r="PYA17" s="13"/>
      <c r="PYB17" s="13"/>
      <c r="PYC17" s="13"/>
      <c r="PYD17" s="13"/>
      <c r="PYE17" s="13"/>
      <c r="PYF17" s="13"/>
      <c r="PYG17" s="13"/>
      <c r="PYH17" s="13"/>
      <c r="PYI17" s="13"/>
      <c r="PYJ17" s="13"/>
      <c r="PYK17" s="13"/>
      <c r="PYL17" s="13"/>
      <c r="PYM17" s="13"/>
      <c r="PYN17" s="13"/>
      <c r="PYO17" s="13"/>
      <c r="PYP17" s="13"/>
      <c r="PYQ17" s="13"/>
      <c r="PYR17" s="13"/>
      <c r="PYS17" s="13"/>
      <c r="PYT17" s="13"/>
      <c r="PYU17" s="13"/>
      <c r="PYV17" s="13"/>
      <c r="PYW17" s="13"/>
      <c r="PYX17" s="13"/>
      <c r="PYY17" s="13"/>
      <c r="PYZ17" s="13"/>
      <c r="PZA17" s="13"/>
      <c r="PZB17" s="13"/>
      <c r="PZC17" s="13"/>
      <c r="PZD17" s="13"/>
      <c r="PZE17" s="13"/>
      <c r="PZF17" s="13"/>
      <c r="PZG17" s="13"/>
      <c r="PZH17" s="13"/>
      <c r="PZI17" s="13"/>
      <c r="PZJ17" s="13"/>
      <c r="PZK17" s="13"/>
      <c r="PZL17" s="13"/>
      <c r="PZM17" s="13"/>
      <c r="PZN17" s="13"/>
      <c r="PZO17" s="13"/>
      <c r="PZP17" s="13"/>
      <c r="PZQ17" s="13"/>
      <c r="PZR17" s="13"/>
      <c r="PZS17" s="13"/>
      <c r="PZT17" s="13"/>
      <c r="PZU17" s="13"/>
      <c r="PZV17" s="13"/>
      <c r="PZW17" s="13"/>
      <c r="PZX17" s="13"/>
      <c r="PZY17" s="13"/>
      <c r="PZZ17" s="13"/>
      <c r="QAA17" s="13"/>
      <c r="QAB17" s="13"/>
      <c r="QAC17" s="13"/>
      <c r="QAD17" s="13"/>
      <c r="QAE17" s="13"/>
      <c r="QAF17" s="13"/>
      <c r="QAG17" s="13"/>
      <c r="QAH17" s="13"/>
      <c r="QAI17" s="13"/>
      <c r="QAJ17" s="13"/>
      <c r="QAK17" s="13"/>
      <c r="QAL17" s="13"/>
      <c r="QAM17" s="13"/>
      <c r="QAN17" s="13"/>
      <c r="QAO17" s="13"/>
      <c r="QAP17" s="13"/>
      <c r="QAQ17" s="13"/>
      <c r="QAR17" s="13"/>
      <c r="QAS17" s="13"/>
      <c r="QAT17" s="13"/>
      <c r="QAU17" s="13"/>
      <c r="QAV17" s="13"/>
      <c r="QAW17" s="13"/>
      <c r="QAX17" s="13"/>
      <c r="QAY17" s="13"/>
      <c r="QAZ17" s="13"/>
      <c r="QBA17" s="13"/>
      <c r="QBB17" s="13"/>
      <c r="QBC17" s="13"/>
      <c r="QBD17" s="13"/>
      <c r="QBE17" s="13"/>
      <c r="QBF17" s="13"/>
      <c r="QBG17" s="13"/>
      <c r="QBH17" s="13"/>
      <c r="QBI17" s="13"/>
      <c r="QBJ17" s="13"/>
      <c r="QBK17" s="13"/>
      <c r="QBL17" s="13"/>
      <c r="QBM17" s="13"/>
      <c r="QBN17" s="13"/>
      <c r="QBO17" s="13"/>
      <c r="QBP17" s="13"/>
      <c r="QBQ17" s="13"/>
      <c r="QBR17" s="13"/>
      <c r="QBS17" s="13"/>
      <c r="QBT17" s="13"/>
      <c r="QBU17" s="13"/>
      <c r="QBV17" s="13"/>
      <c r="QBW17" s="13"/>
      <c r="QBX17" s="13"/>
      <c r="QBY17" s="13"/>
      <c r="QBZ17" s="13"/>
      <c r="QCA17" s="13"/>
      <c r="QCB17" s="13"/>
      <c r="QCC17" s="13"/>
      <c r="QCD17" s="13"/>
      <c r="QCE17" s="13"/>
      <c r="QCF17" s="13"/>
      <c r="QCG17" s="13"/>
      <c r="QCH17" s="13"/>
      <c r="QCI17" s="13"/>
      <c r="QCJ17" s="13"/>
      <c r="QCK17" s="13"/>
      <c r="QCL17" s="13"/>
      <c r="QCM17" s="13"/>
      <c r="QCN17" s="13"/>
      <c r="QCO17" s="13"/>
      <c r="QCP17" s="13"/>
      <c r="QCQ17" s="13"/>
      <c r="QCR17" s="13"/>
      <c r="QCS17" s="13"/>
      <c r="QCT17" s="13"/>
      <c r="QCU17" s="13"/>
      <c r="QCV17" s="13"/>
      <c r="QCW17" s="13"/>
      <c r="QCX17" s="13"/>
      <c r="QCY17" s="13"/>
      <c r="QCZ17" s="13"/>
      <c r="QDA17" s="13"/>
      <c r="QDB17" s="13"/>
      <c r="QDC17" s="13"/>
      <c r="QDD17" s="13"/>
      <c r="QDE17" s="13"/>
      <c r="QDF17" s="13"/>
      <c r="QDG17" s="13"/>
      <c r="QDH17" s="13"/>
      <c r="QDI17" s="13"/>
      <c r="QDJ17" s="13"/>
      <c r="QDK17" s="13"/>
      <c r="QDL17" s="13"/>
      <c r="QDM17" s="13"/>
      <c r="QDN17" s="13"/>
      <c r="QDO17" s="13"/>
      <c r="QDP17" s="13"/>
      <c r="QDQ17" s="13"/>
      <c r="QDR17" s="13"/>
      <c r="QDS17" s="13"/>
      <c r="QDT17" s="13"/>
      <c r="QDU17" s="13"/>
      <c r="QDV17" s="13"/>
      <c r="QDW17" s="13"/>
      <c r="QDX17" s="13"/>
      <c r="QDY17" s="13"/>
      <c r="QDZ17" s="13"/>
      <c r="QEA17" s="13"/>
      <c r="QEB17" s="13"/>
      <c r="QEC17" s="13"/>
      <c r="QED17" s="13"/>
      <c r="QEE17" s="13"/>
      <c r="QEF17" s="13"/>
      <c r="QEG17" s="13"/>
      <c r="QEH17" s="13"/>
      <c r="QEI17" s="13"/>
      <c r="QEJ17" s="13"/>
      <c r="QEK17" s="13"/>
      <c r="QEL17" s="13"/>
      <c r="QEM17" s="13"/>
      <c r="QEN17" s="13"/>
      <c r="QEO17" s="13"/>
      <c r="QEP17" s="13"/>
      <c r="QEQ17" s="13"/>
      <c r="QER17" s="13"/>
      <c r="QES17" s="13"/>
      <c r="QET17" s="13"/>
      <c r="QEU17" s="13"/>
      <c r="QEV17" s="13"/>
      <c r="QEW17" s="13"/>
      <c r="QEX17" s="13"/>
      <c r="QEY17" s="13"/>
      <c r="QEZ17" s="13"/>
      <c r="QFA17" s="13"/>
      <c r="QFB17" s="13"/>
      <c r="QFC17" s="13"/>
      <c r="QFD17" s="13"/>
      <c r="QFE17" s="13"/>
      <c r="QFF17" s="13"/>
      <c r="QFG17" s="13"/>
      <c r="QFH17" s="13"/>
      <c r="QFI17" s="13"/>
      <c r="QFJ17" s="13"/>
      <c r="QFK17" s="13"/>
      <c r="QFL17" s="13"/>
      <c r="QFM17" s="13"/>
      <c r="QFN17" s="13"/>
      <c r="QFO17" s="13"/>
      <c r="QFP17" s="13"/>
      <c r="QFQ17" s="13"/>
      <c r="QFR17" s="13"/>
      <c r="QFS17" s="13"/>
      <c r="QFT17" s="13"/>
      <c r="QFU17" s="13"/>
      <c r="QFV17" s="13"/>
      <c r="QFW17" s="13"/>
      <c r="QFX17" s="13"/>
      <c r="QFY17" s="13"/>
      <c r="QFZ17" s="13"/>
      <c r="QGA17" s="13"/>
      <c r="QGB17" s="13"/>
      <c r="QGC17" s="13"/>
      <c r="QGD17" s="13"/>
      <c r="QGE17" s="13"/>
      <c r="QGF17" s="13"/>
      <c r="QGG17" s="13"/>
      <c r="QGH17" s="13"/>
      <c r="QGI17" s="13"/>
      <c r="QGJ17" s="13"/>
      <c r="QGK17" s="13"/>
      <c r="QGL17" s="13"/>
      <c r="QGM17" s="13"/>
      <c r="QGN17" s="13"/>
      <c r="QGO17" s="13"/>
      <c r="QGP17" s="13"/>
      <c r="QGQ17" s="13"/>
      <c r="QGR17" s="13"/>
      <c r="QGS17" s="13"/>
      <c r="QGT17" s="13"/>
      <c r="QGU17" s="13"/>
      <c r="QGV17" s="13"/>
      <c r="QGW17" s="13"/>
      <c r="QGX17" s="13"/>
      <c r="QGY17" s="13"/>
      <c r="QGZ17" s="13"/>
      <c r="QHA17" s="13"/>
      <c r="QHB17" s="13"/>
      <c r="QHC17" s="13"/>
      <c r="QHD17" s="13"/>
      <c r="QHE17" s="13"/>
      <c r="QHF17" s="13"/>
      <c r="QHG17" s="13"/>
      <c r="QHH17" s="13"/>
      <c r="QHI17" s="13"/>
      <c r="QHJ17" s="13"/>
      <c r="QHK17" s="13"/>
      <c r="QHL17" s="13"/>
      <c r="QHM17" s="13"/>
      <c r="QHN17" s="13"/>
      <c r="QHO17" s="13"/>
      <c r="QHP17" s="13"/>
      <c r="QHQ17" s="13"/>
      <c r="QHR17" s="13"/>
      <c r="QHS17" s="13"/>
      <c r="QHT17" s="13"/>
      <c r="QHU17" s="13"/>
      <c r="QHV17" s="13"/>
      <c r="QHW17" s="13"/>
      <c r="QHX17" s="13"/>
      <c r="QHY17" s="13"/>
      <c r="QHZ17" s="13"/>
      <c r="QIA17" s="13"/>
      <c r="QIB17" s="13"/>
      <c r="QIC17" s="13"/>
      <c r="QID17" s="13"/>
      <c r="QIE17" s="13"/>
      <c r="QIF17" s="13"/>
      <c r="QIG17" s="13"/>
      <c r="QIH17" s="13"/>
      <c r="QII17" s="13"/>
      <c r="QIJ17" s="13"/>
      <c r="QIK17" s="13"/>
      <c r="QIL17" s="13"/>
      <c r="QIM17" s="13"/>
      <c r="QIN17" s="13"/>
      <c r="QIO17" s="13"/>
      <c r="QIP17" s="13"/>
      <c r="QIQ17" s="13"/>
      <c r="QIR17" s="13"/>
      <c r="QIS17" s="13"/>
      <c r="QIT17" s="13"/>
      <c r="QIU17" s="13"/>
      <c r="QIV17" s="13"/>
      <c r="QIW17" s="13"/>
      <c r="QIX17" s="13"/>
      <c r="QIY17" s="13"/>
      <c r="QIZ17" s="13"/>
      <c r="QJA17" s="13"/>
      <c r="QJB17" s="13"/>
      <c r="QJC17" s="13"/>
      <c r="QJD17" s="13"/>
      <c r="QJE17" s="13"/>
      <c r="QJF17" s="13"/>
      <c r="QJG17" s="13"/>
      <c r="QJH17" s="13"/>
      <c r="QJI17" s="13"/>
      <c r="QJJ17" s="13"/>
      <c r="QJK17" s="13"/>
      <c r="QJL17" s="13"/>
      <c r="QJM17" s="13"/>
      <c r="QJN17" s="13"/>
      <c r="QJO17" s="13"/>
      <c r="QJP17" s="13"/>
      <c r="QJQ17" s="13"/>
      <c r="QJR17" s="13"/>
      <c r="QJS17" s="13"/>
      <c r="QJT17" s="13"/>
      <c r="QJU17" s="13"/>
      <c r="QJV17" s="13"/>
      <c r="QJW17" s="13"/>
      <c r="QJX17" s="13"/>
      <c r="QJY17" s="13"/>
      <c r="QJZ17" s="13"/>
      <c r="QKA17" s="13"/>
      <c r="QKB17" s="13"/>
      <c r="QKC17" s="13"/>
      <c r="QKD17" s="13"/>
      <c r="QKE17" s="13"/>
      <c r="QKF17" s="13"/>
      <c r="QKG17" s="13"/>
      <c r="QKH17" s="13"/>
      <c r="QKI17" s="13"/>
      <c r="QKJ17" s="13"/>
      <c r="QKK17" s="13"/>
      <c r="QKL17" s="13"/>
      <c r="QKM17" s="13"/>
      <c r="QKN17" s="13"/>
      <c r="QKO17" s="13"/>
      <c r="QKP17" s="13"/>
      <c r="QKQ17" s="13"/>
      <c r="QKR17" s="13"/>
      <c r="QKS17" s="13"/>
      <c r="QKT17" s="13"/>
      <c r="QKU17" s="13"/>
      <c r="QKV17" s="13"/>
      <c r="QKW17" s="13"/>
      <c r="QKX17" s="13"/>
      <c r="QKY17" s="13"/>
      <c r="QKZ17" s="13"/>
      <c r="QLA17" s="13"/>
      <c r="QLB17" s="13"/>
      <c r="QLC17" s="13"/>
      <c r="QLD17" s="13"/>
      <c r="QLE17" s="13"/>
      <c r="QLF17" s="13"/>
      <c r="QLG17" s="13"/>
      <c r="QLH17" s="13"/>
      <c r="QLI17" s="13"/>
      <c r="QLJ17" s="13"/>
      <c r="QLK17" s="13"/>
      <c r="QLL17" s="13"/>
      <c r="QLM17" s="13"/>
      <c r="QLN17" s="13"/>
      <c r="QLO17" s="13"/>
      <c r="QLP17" s="13"/>
      <c r="QLQ17" s="13"/>
      <c r="QLR17" s="13"/>
      <c r="QLS17" s="13"/>
      <c r="QLT17" s="13"/>
      <c r="QLU17" s="13"/>
      <c r="QLV17" s="13"/>
      <c r="QLW17" s="13"/>
      <c r="QLX17" s="13"/>
      <c r="QLY17" s="13"/>
      <c r="QLZ17" s="13"/>
      <c r="QMA17" s="13"/>
      <c r="QMB17" s="13"/>
      <c r="QMC17" s="13"/>
      <c r="QMD17" s="13"/>
      <c r="QME17" s="13"/>
      <c r="QMF17" s="13"/>
      <c r="QMG17" s="13"/>
      <c r="QMH17" s="13"/>
      <c r="QMI17" s="13"/>
      <c r="QMJ17" s="13"/>
      <c r="QMK17" s="13"/>
      <c r="QML17" s="13"/>
      <c r="QMM17" s="13"/>
      <c r="QMN17" s="13"/>
      <c r="QMO17" s="13"/>
      <c r="QMP17" s="13"/>
      <c r="QMQ17" s="13"/>
      <c r="QMR17" s="13"/>
      <c r="QMS17" s="13"/>
      <c r="QMT17" s="13"/>
      <c r="QMU17" s="13"/>
      <c r="QMV17" s="13"/>
      <c r="QMW17" s="13"/>
      <c r="QMX17" s="13"/>
      <c r="QMY17" s="13"/>
      <c r="QMZ17" s="13"/>
      <c r="QNA17" s="13"/>
      <c r="QNB17" s="13"/>
      <c r="QNC17" s="13"/>
      <c r="QND17" s="13"/>
      <c r="QNE17" s="13"/>
      <c r="QNF17" s="13"/>
      <c r="QNG17" s="13"/>
      <c r="QNH17" s="13"/>
      <c r="QNI17" s="13"/>
      <c r="QNJ17" s="13"/>
      <c r="QNK17" s="13"/>
      <c r="QNL17" s="13"/>
      <c r="QNM17" s="13"/>
      <c r="QNN17" s="13"/>
      <c r="QNO17" s="13"/>
      <c r="QNP17" s="13"/>
      <c r="QNQ17" s="13"/>
      <c r="QNR17" s="13"/>
      <c r="QNS17" s="13"/>
      <c r="QNT17" s="13"/>
      <c r="QNU17" s="13"/>
      <c r="QNV17" s="13"/>
      <c r="QNW17" s="13"/>
      <c r="QNX17" s="13"/>
      <c r="QNY17" s="13"/>
      <c r="QNZ17" s="13"/>
      <c r="QOA17" s="13"/>
      <c r="QOB17" s="13"/>
      <c r="QOC17" s="13"/>
      <c r="QOD17" s="13"/>
      <c r="QOE17" s="13"/>
      <c r="QOF17" s="13"/>
      <c r="QOG17" s="13"/>
      <c r="QOH17" s="13"/>
      <c r="QOI17" s="13"/>
      <c r="QOJ17" s="13"/>
      <c r="QOK17" s="13"/>
      <c r="QOL17" s="13"/>
      <c r="QOM17" s="13"/>
      <c r="QON17" s="13"/>
      <c r="QOO17" s="13"/>
      <c r="QOP17" s="13"/>
      <c r="QOQ17" s="13"/>
      <c r="QOR17" s="13"/>
      <c r="QOS17" s="13"/>
      <c r="QOT17" s="13"/>
      <c r="QOU17" s="13"/>
      <c r="QOV17" s="13"/>
      <c r="QOW17" s="13"/>
      <c r="QOX17" s="13"/>
      <c r="QOY17" s="13"/>
      <c r="QOZ17" s="13"/>
      <c r="QPA17" s="13"/>
      <c r="QPB17" s="13"/>
      <c r="QPC17" s="13"/>
      <c r="QPD17" s="13"/>
      <c r="QPE17" s="13"/>
      <c r="QPF17" s="13"/>
      <c r="QPG17" s="13"/>
      <c r="QPH17" s="13"/>
      <c r="QPI17" s="13"/>
      <c r="QPJ17" s="13"/>
      <c r="QPK17" s="13"/>
      <c r="QPL17" s="13"/>
      <c r="QPM17" s="13"/>
      <c r="QPN17" s="13"/>
      <c r="QPO17" s="13"/>
      <c r="QPP17" s="13"/>
      <c r="QPQ17" s="13"/>
      <c r="QPR17" s="13"/>
      <c r="QPS17" s="13"/>
      <c r="QPT17" s="13"/>
      <c r="QPU17" s="13"/>
      <c r="QPV17" s="13"/>
      <c r="QPW17" s="13"/>
      <c r="QPX17" s="13"/>
      <c r="QPY17" s="13"/>
      <c r="QPZ17" s="13"/>
      <c r="QQA17" s="13"/>
      <c r="QQB17" s="13"/>
      <c r="QQC17" s="13"/>
      <c r="QQD17" s="13"/>
      <c r="QQE17" s="13"/>
      <c r="QQF17" s="13"/>
      <c r="QQG17" s="13"/>
      <c r="QQH17" s="13"/>
      <c r="QQI17" s="13"/>
      <c r="QQJ17" s="13"/>
      <c r="QQK17" s="13"/>
      <c r="QQL17" s="13"/>
      <c r="QQM17" s="13"/>
      <c r="QQN17" s="13"/>
      <c r="QQO17" s="13"/>
      <c r="QQP17" s="13"/>
      <c r="QQQ17" s="13"/>
      <c r="QQR17" s="13"/>
      <c r="QQS17" s="13"/>
      <c r="QQT17" s="13"/>
      <c r="QQU17" s="13"/>
      <c r="QQV17" s="13"/>
      <c r="QQW17" s="13"/>
      <c r="QQX17" s="13"/>
      <c r="QQY17" s="13"/>
      <c r="QQZ17" s="13"/>
      <c r="QRA17" s="13"/>
      <c r="QRB17" s="13"/>
      <c r="QRC17" s="13"/>
      <c r="QRD17" s="13"/>
      <c r="QRE17" s="13"/>
      <c r="QRF17" s="13"/>
      <c r="QRG17" s="13"/>
      <c r="QRH17" s="13"/>
      <c r="QRI17" s="13"/>
      <c r="QRJ17" s="13"/>
      <c r="QRK17" s="13"/>
      <c r="QRL17" s="13"/>
      <c r="QRM17" s="13"/>
      <c r="QRN17" s="13"/>
      <c r="QRO17" s="13"/>
      <c r="QRP17" s="13"/>
      <c r="QRQ17" s="13"/>
      <c r="QRR17" s="13"/>
      <c r="QRS17" s="13"/>
      <c r="QRT17" s="13"/>
      <c r="QRU17" s="13"/>
      <c r="QRV17" s="13"/>
      <c r="QRW17" s="13"/>
      <c r="QRX17" s="13"/>
      <c r="QRY17" s="13"/>
      <c r="QRZ17" s="13"/>
      <c r="QSA17" s="13"/>
      <c r="QSB17" s="13"/>
      <c r="QSC17" s="13"/>
      <c r="QSD17" s="13"/>
      <c r="QSE17" s="13"/>
      <c r="QSF17" s="13"/>
      <c r="QSG17" s="13"/>
      <c r="QSH17" s="13"/>
      <c r="QSI17" s="13"/>
      <c r="QSJ17" s="13"/>
      <c r="QSK17" s="13"/>
      <c r="QSL17" s="13"/>
      <c r="QSM17" s="13"/>
      <c r="QSN17" s="13"/>
      <c r="QSO17" s="13"/>
      <c r="QSP17" s="13"/>
      <c r="QSQ17" s="13"/>
      <c r="QSR17" s="13"/>
      <c r="QSS17" s="13"/>
      <c r="QST17" s="13"/>
      <c r="QSU17" s="13"/>
      <c r="QSV17" s="13"/>
      <c r="QSW17" s="13"/>
      <c r="QSX17" s="13"/>
      <c r="QSY17" s="13"/>
      <c r="QSZ17" s="13"/>
      <c r="QTA17" s="13"/>
      <c r="QTB17" s="13"/>
      <c r="QTC17" s="13"/>
      <c r="QTD17" s="13"/>
      <c r="QTE17" s="13"/>
      <c r="QTF17" s="13"/>
      <c r="QTG17" s="13"/>
      <c r="QTH17" s="13"/>
      <c r="QTI17" s="13"/>
      <c r="QTJ17" s="13"/>
      <c r="QTK17" s="13"/>
      <c r="QTL17" s="13"/>
      <c r="QTM17" s="13"/>
      <c r="QTN17" s="13"/>
      <c r="QTO17" s="13"/>
      <c r="QTP17" s="13"/>
      <c r="QTQ17" s="13"/>
      <c r="QTR17" s="13"/>
      <c r="QTS17" s="13"/>
      <c r="QTT17" s="13"/>
      <c r="QTU17" s="13"/>
      <c r="QTV17" s="13"/>
      <c r="QTW17" s="13"/>
      <c r="QTX17" s="13"/>
      <c r="QTY17" s="13"/>
      <c r="QTZ17" s="13"/>
      <c r="QUA17" s="13"/>
      <c r="QUB17" s="13"/>
      <c r="QUC17" s="13"/>
      <c r="QUD17" s="13"/>
      <c r="QUE17" s="13"/>
      <c r="QUF17" s="13"/>
      <c r="QUG17" s="13"/>
      <c r="QUH17" s="13"/>
      <c r="QUI17" s="13"/>
      <c r="QUJ17" s="13"/>
      <c r="QUK17" s="13"/>
      <c r="QUL17" s="13"/>
      <c r="QUM17" s="13"/>
      <c r="QUN17" s="13"/>
      <c r="QUO17" s="13"/>
      <c r="QUP17" s="13"/>
      <c r="QUQ17" s="13"/>
      <c r="QUR17" s="13"/>
      <c r="QUS17" s="13"/>
      <c r="QUT17" s="13"/>
      <c r="QUU17" s="13"/>
      <c r="QUV17" s="13"/>
      <c r="QUW17" s="13"/>
      <c r="QUX17" s="13"/>
      <c r="QUY17" s="13"/>
      <c r="QUZ17" s="13"/>
      <c r="QVA17" s="13"/>
      <c r="QVB17" s="13"/>
      <c r="QVC17" s="13"/>
      <c r="QVD17" s="13"/>
      <c r="QVE17" s="13"/>
      <c r="QVF17" s="13"/>
      <c r="QVG17" s="13"/>
      <c r="QVH17" s="13"/>
      <c r="QVI17" s="13"/>
      <c r="QVJ17" s="13"/>
      <c r="QVK17" s="13"/>
      <c r="QVL17" s="13"/>
      <c r="QVM17" s="13"/>
      <c r="QVN17" s="13"/>
      <c r="QVO17" s="13"/>
      <c r="QVP17" s="13"/>
      <c r="QVQ17" s="13"/>
      <c r="QVR17" s="13"/>
      <c r="QVS17" s="13"/>
      <c r="QVT17" s="13"/>
      <c r="QVU17" s="13"/>
      <c r="QVV17" s="13"/>
      <c r="QVW17" s="13"/>
      <c r="QVX17" s="13"/>
      <c r="QVY17" s="13"/>
      <c r="QVZ17" s="13"/>
      <c r="QWA17" s="13"/>
      <c r="QWB17" s="13"/>
      <c r="QWC17" s="13"/>
      <c r="QWD17" s="13"/>
      <c r="QWE17" s="13"/>
      <c r="QWF17" s="13"/>
      <c r="QWG17" s="13"/>
      <c r="QWH17" s="13"/>
      <c r="QWI17" s="13"/>
      <c r="QWJ17" s="13"/>
      <c r="QWK17" s="13"/>
      <c r="QWL17" s="13"/>
      <c r="QWM17" s="13"/>
      <c r="QWN17" s="13"/>
      <c r="QWO17" s="13"/>
      <c r="QWP17" s="13"/>
      <c r="QWQ17" s="13"/>
      <c r="QWR17" s="13"/>
      <c r="QWS17" s="13"/>
      <c r="QWT17" s="13"/>
      <c r="QWU17" s="13"/>
      <c r="QWV17" s="13"/>
      <c r="QWW17" s="13"/>
      <c r="QWX17" s="13"/>
      <c r="QWY17" s="13"/>
      <c r="QWZ17" s="13"/>
      <c r="QXA17" s="13"/>
      <c r="QXB17" s="13"/>
      <c r="QXC17" s="13"/>
      <c r="QXD17" s="13"/>
      <c r="QXE17" s="13"/>
      <c r="QXF17" s="13"/>
      <c r="QXG17" s="13"/>
      <c r="QXH17" s="13"/>
      <c r="QXI17" s="13"/>
      <c r="QXJ17" s="13"/>
      <c r="QXK17" s="13"/>
      <c r="QXL17" s="13"/>
      <c r="QXM17" s="13"/>
      <c r="QXN17" s="13"/>
      <c r="QXO17" s="13"/>
      <c r="QXP17" s="13"/>
      <c r="QXQ17" s="13"/>
      <c r="QXR17" s="13"/>
      <c r="QXS17" s="13"/>
      <c r="QXT17" s="13"/>
      <c r="QXU17" s="13"/>
      <c r="QXV17" s="13"/>
      <c r="QXW17" s="13"/>
      <c r="QXX17" s="13"/>
      <c r="QXY17" s="13"/>
      <c r="QXZ17" s="13"/>
      <c r="QYA17" s="13"/>
      <c r="QYB17" s="13"/>
      <c r="QYC17" s="13"/>
      <c r="QYD17" s="13"/>
      <c r="QYE17" s="13"/>
      <c r="QYF17" s="13"/>
      <c r="QYG17" s="13"/>
      <c r="QYH17" s="13"/>
      <c r="QYI17" s="13"/>
      <c r="QYJ17" s="13"/>
      <c r="QYK17" s="13"/>
      <c r="QYL17" s="13"/>
      <c r="QYM17" s="13"/>
      <c r="QYN17" s="13"/>
      <c r="QYO17" s="13"/>
      <c r="QYP17" s="13"/>
      <c r="QYQ17" s="13"/>
      <c r="QYR17" s="13"/>
      <c r="QYS17" s="13"/>
      <c r="QYT17" s="13"/>
      <c r="QYU17" s="13"/>
      <c r="QYV17" s="13"/>
      <c r="QYW17" s="13"/>
      <c r="QYX17" s="13"/>
      <c r="QYY17" s="13"/>
      <c r="QYZ17" s="13"/>
      <c r="QZA17" s="13"/>
      <c r="QZB17" s="13"/>
      <c r="QZC17" s="13"/>
      <c r="QZD17" s="13"/>
      <c r="QZE17" s="13"/>
      <c r="QZF17" s="13"/>
      <c r="QZG17" s="13"/>
      <c r="QZH17" s="13"/>
      <c r="QZI17" s="13"/>
      <c r="QZJ17" s="13"/>
      <c r="QZK17" s="13"/>
      <c r="QZL17" s="13"/>
      <c r="QZM17" s="13"/>
      <c r="QZN17" s="13"/>
      <c r="QZO17" s="13"/>
      <c r="QZP17" s="13"/>
      <c r="QZQ17" s="13"/>
      <c r="QZR17" s="13"/>
      <c r="QZS17" s="13"/>
      <c r="QZT17" s="13"/>
      <c r="QZU17" s="13"/>
      <c r="QZV17" s="13"/>
      <c r="QZW17" s="13"/>
      <c r="QZX17" s="13"/>
      <c r="QZY17" s="13"/>
      <c r="QZZ17" s="13"/>
      <c r="RAA17" s="13"/>
      <c r="RAB17" s="13"/>
      <c r="RAC17" s="13"/>
      <c r="RAD17" s="13"/>
      <c r="RAE17" s="13"/>
      <c r="RAF17" s="13"/>
      <c r="RAG17" s="13"/>
      <c r="RAH17" s="13"/>
      <c r="RAI17" s="13"/>
      <c r="RAJ17" s="13"/>
      <c r="RAK17" s="13"/>
      <c r="RAL17" s="13"/>
      <c r="RAM17" s="13"/>
      <c r="RAN17" s="13"/>
      <c r="RAO17" s="13"/>
      <c r="RAP17" s="13"/>
      <c r="RAQ17" s="13"/>
      <c r="RAR17" s="13"/>
      <c r="RAS17" s="13"/>
      <c r="RAT17" s="13"/>
      <c r="RAU17" s="13"/>
      <c r="RAV17" s="13"/>
      <c r="RAW17" s="13"/>
      <c r="RAX17" s="13"/>
      <c r="RAY17" s="13"/>
      <c r="RAZ17" s="13"/>
      <c r="RBA17" s="13"/>
      <c r="RBB17" s="13"/>
      <c r="RBC17" s="13"/>
      <c r="RBD17" s="13"/>
      <c r="RBE17" s="13"/>
      <c r="RBF17" s="13"/>
      <c r="RBG17" s="13"/>
      <c r="RBH17" s="13"/>
      <c r="RBI17" s="13"/>
      <c r="RBJ17" s="13"/>
      <c r="RBK17" s="13"/>
      <c r="RBL17" s="13"/>
      <c r="RBM17" s="13"/>
      <c r="RBN17" s="13"/>
      <c r="RBO17" s="13"/>
      <c r="RBP17" s="13"/>
      <c r="RBQ17" s="13"/>
      <c r="RBR17" s="13"/>
      <c r="RBS17" s="13"/>
      <c r="RBT17" s="13"/>
      <c r="RBU17" s="13"/>
      <c r="RBV17" s="13"/>
      <c r="RBW17" s="13"/>
      <c r="RBX17" s="13"/>
      <c r="RBY17" s="13"/>
      <c r="RBZ17" s="13"/>
      <c r="RCA17" s="13"/>
      <c r="RCB17" s="13"/>
      <c r="RCC17" s="13"/>
      <c r="RCD17" s="13"/>
      <c r="RCE17" s="13"/>
      <c r="RCF17" s="13"/>
      <c r="RCG17" s="13"/>
      <c r="RCH17" s="13"/>
      <c r="RCI17" s="13"/>
      <c r="RCJ17" s="13"/>
      <c r="RCK17" s="13"/>
      <c r="RCL17" s="13"/>
      <c r="RCM17" s="13"/>
      <c r="RCN17" s="13"/>
      <c r="RCO17" s="13"/>
      <c r="RCP17" s="13"/>
      <c r="RCQ17" s="13"/>
      <c r="RCR17" s="13"/>
      <c r="RCS17" s="13"/>
      <c r="RCT17" s="13"/>
      <c r="RCU17" s="13"/>
      <c r="RCV17" s="13"/>
      <c r="RCW17" s="13"/>
      <c r="RCX17" s="13"/>
      <c r="RCY17" s="13"/>
      <c r="RCZ17" s="13"/>
      <c r="RDA17" s="13"/>
      <c r="RDB17" s="13"/>
      <c r="RDC17" s="13"/>
      <c r="RDD17" s="13"/>
      <c r="RDE17" s="13"/>
      <c r="RDF17" s="13"/>
      <c r="RDG17" s="13"/>
      <c r="RDH17" s="13"/>
      <c r="RDI17" s="13"/>
      <c r="RDJ17" s="13"/>
      <c r="RDK17" s="13"/>
      <c r="RDL17" s="13"/>
      <c r="RDM17" s="13"/>
      <c r="RDN17" s="13"/>
      <c r="RDO17" s="13"/>
      <c r="RDP17" s="13"/>
      <c r="RDQ17" s="13"/>
      <c r="RDR17" s="13"/>
      <c r="RDS17" s="13"/>
      <c r="RDT17" s="13"/>
      <c r="RDU17" s="13"/>
      <c r="RDV17" s="13"/>
      <c r="RDW17" s="13"/>
      <c r="RDX17" s="13"/>
      <c r="RDY17" s="13"/>
      <c r="RDZ17" s="13"/>
      <c r="REA17" s="13"/>
      <c r="REB17" s="13"/>
      <c r="REC17" s="13"/>
      <c r="RED17" s="13"/>
      <c r="REE17" s="13"/>
      <c r="REF17" s="13"/>
      <c r="REG17" s="13"/>
      <c r="REH17" s="13"/>
      <c r="REI17" s="13"/>
      <c r="REJ17" s="13"/>
      <c r="REK17" s="13"/>
      <c r="REL17" s="13"/>
      <c r="REM17" s="13"/>
      <c r="REN17" s="13"/>
      <c r="REO17" s="13"/>
      <c r="REP17" s="13"/>
      <c r="REQ17" s="13"/>
      <c r="RER17" s="13"/>
      <c r="RES17" s="13"/>
      <c r="RET17" s="13"/>
      <c r="REU17" s="13"/>
      <c r="REV17" s="13"/>
      <c r="REW17" s="13"/>
      <c r="REX17" s="13"/>
      <c r="REY17" s="13"/>
      <c r="REZ17" s="13"/>
      <c r="RFA17" s="13"/>
      <c r="RFB17" s="13"/>
      <c r="RFC17" s="13"/>
      <c r="RFD17" s="13"/>
      <c r="RFE17" s="13"/>
      <c r="RFF17" s="13"/>
      <c r="RFG17" s="13"/>
      <c r="RFH17" s="13"/>
      <c r="RFI17" s="13"/>
      <c r="RFJ17" s="13"/>
      <c r="RFK17" s="13"/>
      <c r="RFL17" s="13"/>
      <c r="RFM17" s="13"/>
      <c r="RFN17" s="13"/>
      <c r="RFO17" s="13"/>
      <c r="RFP17" s="13"/>
      <c r="RFQ17" s="13"/>
      <c r="RFR17" s="13"/>
      <c r="RFS17" s="13"/>
      <c r="RFT17" s="13"/>
      <c r="RFU17" s="13"/>
      <c r="RFV17" s="13"/>
      <c r="RFW17" s="13"/>
      <c r="RFX17" s="13"/>
      <c r="RFY17" s="13"/>
      <c r="RFZ17" s="13"/>
      <c r="RGA17" s="13"/>
      <c r="RGB17" s="13"/>
      <c r="RGC17" s="13"/>
      <c r="RGD17" s="13"/>
      <c r="RGE17" s="13"/>
      <c r="RGF17" s="13"/>
      <c r="RGG17" s="13"/>
      <c r="RGH17" s="13"/>
      <c r="RGI17" s="13"/>
      <c r="RGJ17" s="13"/>
      <c r="RGK17" s="13"/>
      <c r="RGL17" s="13"/>
      <c r="RGM17" s="13"/>
      <c r="RGN17" s="13"/>
      <c r="RGO17" s="13"/>
      <c r="RGP17" s="13"/>
      <c r="RGQ17" s="13"/>
      <c r="RGR17" s="13"/>
      <c r="RGS17" s="13"/>
      <c r="RGT17" s="13"/>
      <c r="RGU17" s="13"/>
      <c r="RGV17" s="13"/>
      <c r="RGW17" s="13"/>
      <c r="RGX17" s="13"/>
      <c r="RGY17" s="13"/>
      <c r="RGZ17" s="13"/>
      <c r="RHA17" s="13"/>
      <c r="RHB17" s="13"/>
      <c r="RHC17" s="13"/>
      <c r="RHD17" s="13"/>
      <c r="RHE17" s="13"/>
      <c r="RHF17" s="13"/>
      <c r="RHG17" s="13"/>
      <c r="RHH17" s="13"/>
      <c r="RHI17" s="13"/>
      <c r="RHJ17" s="13"/>
      <c r="RHK17" s="13"/>
      <c r="RHL17" s="13"/>
      <c r="RHM17" s="13"/>
      <c r="RHN17" s="13"/>
      <c r="RHO17" s="13"/>
      <c r="RHP17" s="13"/>
      <c r="RHQ17" s="13"/>
      <c r="RHR17" s="13"/>
      <c r="RHS17" s="13"/>
      <c r="RHT17" s="13"/>
      <c r="RHU17" s="13"/>
      <c r="RHV17" s="13"/>
      <c r="RHW17" s="13"/>
      <c r="RHX17" s="13"/>
      <c r="RHY17" s="13"/>
      <c r="RHZ17" s="13"/>
      <c r="RIA17" s="13"/>
      <c r="RIB17" s="13"/>
      <c r="RIC17" s="13"/>
      <c r="RID17" s="13"/>
      <c r="RIE17" s="13"/>
      <c r="RIF17" s="13"/>
      <c r="RIG17" s="13"/>
      <c r="RIH17" s="13"/>
      <c r="RII17" s="13"/>
      <c r="RIJ17" s="13"/>
      <c r="RIK17" s="13"/>
      <c r="RIL17" s="13"/>
      <c r="RIM17" s="13"/>
      <c r="RIN17" s="13"/>
      <c r="RIO17" s="13"/>
      <c r="RIP17" s="13"/>
      <c r="RIQ17" s="13"/>
      <c r="RIR17" s="13"/>
      <c r="RIS17" s="13"/>
      <c r="RIT17" s="13"/>
      <c r="RIU17" s="13"/>
      <c r="RIV17" s="13"/>
      <c r="RIW17" s="13"/>
      <c r="RIX17" s="13"/>
      <c r="RIY17" s="13"/>
      <c r="RIZ17" s="13"/>
      <c r="RJA17" s="13"/>
      <c r="RJB17" s="13"/>
      <c r="RJC17" s="13"/>
      <c r="RJD17" s="13"/>
      <c r="RJE17" s="13"/>
      <c r="RJF17" s="13"/>
      <c r="RJG17" s="13"/>
      <c r="RJH17" s="13"/>
      <c r="RJI17" s="13"/>
      <c r="RJJ17" s="13"/>
      <c r="RJK17" s="13"/>
      <c r="RJL17" s="13"/>
      <c r="RJM17" s="13"/>
      <c r="RJN17" s="13"/>
      <c r="RJO17" s="13"/>
      <c r="RJP17" s="13"/>
      <c r="RJQ17" s="13"/>
      <c r="RJR17" s="13"/>
      <c r="RJS17" s="13"/>
      <c r="RJT17" s="13"/>
      <c r="RJU17" s="13"/>
      <c r="RJV17" s="13"/>
      <c r="RJW17" s="13"/>
      <c r="RJX17" s="13"/>
      <c r="RJY17" s="13"/>
      <c r="RJZ17" s="13"/>
      <c r="RKA17" s="13"/>
      <c r="RKB17" s="13"/>
      <c r="RKC17" s="13"/>
      <c r="RKD17" s="13"/>
      <c r="RKE17" s="13"/>
      <c r="RKF17" s="13"/>
      <c r="RKG17" s="13"/>
      <c r="RKH17" s="13"/>
      <c r="RKI17" s="13"/>
      <c r="RKJ17" s="13"/>
      <c r="RKK17" s="13"/>
      <c r="RKL17" s="13"/>
      <c r="RKM17" s="13"/>
      <c r="RKN17" s="13"/>
      <c r="RKO17" s="13"/>
      <c r="RKP17" s="13"/>
      <c r="RKQ17" s="13"/>
      <c r="RKR17" s="13"/>
      <c r="RKS17" s="13"/>
      <c r="RKT17" s="13"/>
      <c r="RKU17" s="13"/>
      <c r="RKV17" s="13"/>
      <c r="RKW17" s="13"/>
      <c r="RKX17" s="13"/>
      <c r="RKY17" s="13"/>
      <c r="RKZ17" s="13"/>
      <c r="RLA17" s="13"/>
      <c r="RLB17" s="13"/>
      <c r="RLC17" s="13"/>
      <c r="RLD17" s="13"/>
      <c r="RLE17" s="13"/>
      <c r="RLF17" s="13"/>
      <c r="RLG17" s="13"/>
      <c r="RLH17" s="13"/>
      <c r="RLI17" s="13"/>
      <c r="RLJ17" s="13"/>
      <c r="RLK17" s="13"/>
      <c r="RLL17" s="13"/>
      <c r="RLM17" s="13"/>
      <c r="RLN17" s="13"/>
      <c r="RLO17" s="13"/>
      <c r="RLP17" s="13"/>
      <c r="RLQ17" s="13"/>
      <c r="RLR17" s="13"/>
      <c r="RLS17" s="13"/>
      <c r="RLT17" s="13"/>
      <c r="RLU17" s="13"/>
      <c r="RLV17" s="13"/>
      <c r="RLW17" s="13"/>
      <c r="RLX17" s="13"/>
      <c r="RLY17" s="13"/>
      <c r="RLZ17" s="13"/>
      <c r="RMA17" s="13"/>
      <c r="RMB17" s="13"/>
      <c r="RMC17" s="13"/>
      <c r="RMD17" s="13"/>
      <c r="RME17" s="13"/>
      <c r="RMF17" s="13"/>
      <c r="RMG17" s="13"/>
      <c r="RMH17" s="13"/>
      <c r="RMI17" s="13"/>
      <c r="RMJ17" s="13"/>
      <c r="RMK17" s="13"/>
      <c r="RML17" s="13"/>
      <c r="RMM17" s="13"/>
      <c r="RMN17" s="13"/>
      <c r="RMO17" s="13"/>
      <c r="RMP17" s="13"/>
      <c r="RMQ17" s="13"/>
      <c r="RMR17" s="13"/>
      <c r="RMS17" s="13"/>
      <c r="RMT17" s="13"/>
      <c r="RMU17" s="13"/>
      <c r="RMV17" s="13"/>
      <c r="RMW17" s="13"/>
      <c r="RMX17" s="13"/>
      <c r="RMY17" s="13"/>
      <c r="RMZ17" s="13"/>
      <c r="RNA17" s="13"/>
      <c r="RNB17" s="13"/>
      <c r="RNC17" s="13"/>
      <c r="RND17" s="13"/>
      <c r="RNE17" s="13"/>
      <c r="RNF17" s="13"/>
      <c r="RNG17" s="13"/>
      <c r="RNH17" s="13"/>
      <c r="RNI17" s="13"/>
      <c r="RNJ17" s="13"/>
      <c r="RNK17" s="13"/>
      <c r="RNL17" s="13"/>
      <c r="RNM17" s="13"/>
      <c r="RNN17" s="13"/>
      <c r="RNO17" s="13"/>
      <c r="RNP17" s="13"/>
      <c r="RNQ17" s="13"/>
      <c r="RNR17" s="13"/>
      <c r="RNS17" s="13"/>
      <c r="RNT17" s="13"/>
      <c r="RNU17" s="13"/>
      <c r="RNV17" s="13"/>
      <c r="RNW17" s="13"/>
      <c r="RNX17" s="13"/>
      <c r="RNY17" s="13"/>
      <c r="RNZ17" s="13"/>
      <c r="ROA17" s="13"/>
      <c r="ROB17" s="13"/>
      <c r="ROC17" s="13"/>
      <c r="ROD17" s="13"/>
      <c r="ROE17" s="13"/>
      <c r="ROF17" s="13"/>
      <c r="ROG17" s="13"/>
      <c r="ROH17" s="13"/>
      <c r="ROI17" s="13"/>
      <c r="ROJ17" s="13"/>
      <c r="ROK17" s="13"/>
      <c r="ROL17" s="13"/>
      <c r="ROM17" s="13"/>
      <c r="RON17" s="13"/>
      <c r="ROO17" s="13"/>
      <c r="ROP17" s="13"/>
      <c r="ROQ17" s="13"/>
      <c r="ROR17" s="13"/>
      <c r="ROS17" s="13"/>
      <c r="ROT17" s="13"/>
      <c r="ROU17" s="13"/>
      <c r="ROV17" s="13"/>
      <c r="ROW17" s="13"/>
      <c r="ROX17" s="13"/>
      <c r="ROY17" s="13"/>
      <c r="ROZ17" s="13"/>
      <c r="RPA17" s="13"/>
      <c r="RPB17" s="13"/>
      <c r="RPC17" s="13"/>
      <c r="RPD17" s="13"/>
      <c r="RPE17" s="13"/>
      <c r="RPF17" s="13"/>
      <c r="RPG17" s="13"/>
      <c r="RPH17" s="13"/>
      <c r="RPI17" s="13"/>
      <c r="RPJ17" s="13"/>
      <c r="RPK17" s="13"/>
      <c r="RPL17" s="13"/>
      <c r="RPM17" s="13"/>
      <c r="RPN17" s="13"/>
      <c r="RPO17" s="13"/>
      <c r="RPP17" s="13"/>
      <c r="RPQ17" s="13"/>
      <c r="RPR17" s="13"/>
      <c r="RPS17" s="13"/>
      <c r="RPT17" s="13"/>
      <c r="RPU17" s="13"/>
      <c r="RPV17" s="13"/>
      <c r="RPW17" s="13"/>
      <c r="RPX17" s="13"/>
      <c r="RPY17" s="13"/>
      <c r="RPZ17" s="13"/>
      <c r="RQA17" s="13"/>
      <c r="RQB17" s="13"/>
      <c r="RQC17" s="13"/>
      <c r="RQD17" s="13"/>
      <c r="RQE17" s="13"/>
      <c r="RQF17" s="13"/>
      <c r="RQG17" s="13"/>
      <c r="RQH17" s="13"/>
      <c r="RQI17" s="13"/>
      <c r="RQJ17" s="13"/>
      <c r="RQK17" s="13"/>
      <c r="RQL17" s="13"/>
      <c r="RQM17" s="13"/>
      <c r="RQN17" s="13"/>
      <c r="RQO17" s="13"/>
      <c r="RQP17" s="13"/>
      <c r="RQQ17" s="13"/>
      <c r="RQR17" s="13"/>
      <c r="RQS17" s="13"/>
      <c r="RQT17" s="13"/>
      <c r="RQU17" s="13"/>
      <c r="RQV17" s="13"/>
      <c r="RQW17" s="13"/>
      <c r="RQX17" s="13"/>
      <c r="RQY17" s="13"/>
      <c r="RQZ17" s="13"/>
      <c r="RRA17" s="13"/>
      <c r="RRB17" s="13"/>
      <c r="RRC17" s="13"/>
      <c r="RRD17" s="13"/>
      <c r="RRE17" s="13"/>
      <c r="RRF17" s="13"/>
      <c r="RRG17" s="13"/>
      <c r="RRH17" s="13"/>
      <c r="RRI17" s="13"/>
      <c r="RRJ17" s="13"/>
      <c r="RRK17" s="13"/>
      <c r="RRL17" s="13"/>
      <c r="RRM17" s="13"/>
      <c r="RRN17" s="13"/>
      <c r="RRO17" s="13"/>
      <c r="RRP17" s="13"/>
      <c r="RRQ17" s="13"/>
      <c r="RRR17" s="13"/>
      <c r="RRS17" s="13"/>
      <c r="RRT17" s="13"/>
      <c r="RRU17" s="13"/>
      <c r="RRV17" s="13"/>
      <c r="RRW17" s="13"/>
      <c r="RRX17" s="13"/>
      <c r="RRY17" s="13"/>
      <c r="RRZ17" s="13"/>
      <c r="RSA17" s="13"/>
      <c r="RSB17" s="13"/>
      <c r="RSC17" s="13"/>
      <c r="RSD17" s="13"/>
      <c r="RSE17" s="13"/>
      <c r="RSF17" s="13"/>
      <c r="RSG17" s="13"/>
      <c r="RSH17" s="13"/>
      <c r="RSI17" s="13"/>
      <c r="RSJ17" s="13"/>
      <c r="RSK17" s="13"/>
      <c r="RSL17" s="13"/>
      <c r="RSM17" s="13"/>
      <c r="RSN17" s="13"/>
      <c r="RSO17" s="13"/>
      <c r="RSP17" s="13"/>
      <c r="RSQ17" s="13"/>
      <c r="RSR17" s="13"/>
      <c r="RSS17" s="13"/>
      <c r="RST17" s="13"/>
      <c r="RSU17" s="13"/>
      <c r="RSV17" s="13"/>
      <c r="RSW17" s="13"/>
      <c r="RSX17" s="13"/>
      <c r="RSY17" s="13"/>
      <c r="RSZ17" s="13"/>
      <c r="RTA17" s="13"/>
      <c r="RTB17" s="13"/>
      <c r="RTC17" s="13"/>
      <c r="RTD17" s="13"/>
      <c r="RTE17" s="13"/>
      <c r="RTF17" s="13"/>
      <c r="RTG17" s="13"/>
      <c r="RTH17" s="13"/>
      <c r="RTI17" s="13"/>
      <c r="RTJ17" s="13"/>
      <c r="RTK17" s="13"/>
      <c r="RTL17" s="13"/>
      <c r="RTM17" s="13"/>
      <c r="RTN17" s="13"/>
      <c r="RTO17" s="13"/>
      <c r="RTP17" s="13"/>
      <c r="RTQ17" s="13"/>
      <c r="RTR17" s="13"/>
      <c r="RTS17" s="13"/>
      <c r="RTT17" s="13"/>
      <c r="RTU17" s="13"/>
      <c r="RTV17" s="13"/>
      <c r="RTW17" s="13"/>
      <c r="RTX17" s="13"/>
      <c r="RTY17" s="13"/>
      <c r="RTZ17" s="13"/>
      <c r="RUA17" s="13"/>
      <c r="RUB17" s="13"/>
      <c r="RUC17" s="13"/>
      <c r="RUD17" s="13"/>
      <c r="RUE17" s="13"/>
      <c r="RUF17" s="13"/>
      <c r="RUG17" s="13"/>
      <c r="RUH17" s="13"/>
      <c r="RUI17" s="13"/>
      <c r="RUJ17" s="13"/>
      <c r="RUK17" s="13"/>
      <c r="RUL17" s="13"/>
      <c r="RUM17" s="13"/>
      <c r="RUN17" s="13"/>
      <c r="RUO17" s="13"/>
      <c r="RUP17" s="13"/>
      <c r="RUQ17" s="13"/>
      <c r="RUR17" s="13"/>
      <c r="RUS17" s="13"/>
      <c r="RUT17" s="13"/>
      <c r="RUU17" s="13"/>
      <c r="RUV17" s="13"/>
      <c r="RUW17" s="13"/>
      <c r="RUX17" s="13"/>
      <c r="RUY17" s="13"/>
      <c r="RUZ17" s="13"/>
      <c r="RVA17" s="13"/>
      <c r="RVB17" s="13"/>
      <c r="RVC17" s="13"/>
      <c r="RVD17" s="13"/>
      <c r="RVE17" s="13"/>
      <c r="RVF17" s="13"/>
      <c r="RVG17" s="13"/>
      <c r="RVH17" s="13"/>
      <c r="RVI17" s="13"/>
      <c r="RVJ17" s="13"/>
      <c r="RVK17" s="13"/>
      <c r="RVL17" s="13"/>
      <c r="RVM17" s="13"/>
      <c r="RVN17" s="13"/>
      <c r="RVO17" s="13"/>
      <c r="RVP17" s="13"/>
      <c r="RVQ17" s="13"/>
      <c r="RVR17" s="13"/>
      <c r="RVS17" s="13"/>
      <c r="RVT17" s="13"/>
      <c r="RVU17" s="13"/>
      <c r="RVV17" s="13"/>
      <c r="RVW17" s="13"/>
      <c r="RVX17" s="13"/>
      <c r="RVY17" s="13"/>
      <c r="RVZ17" s="13"/>
      <c r="RWA17" s="13"/>
      <c r="RWB17" s="13"/>
      <c r="RWC17" s="13"/>
      <c r="RWD17" s="13"/>
      <c r="RWE17" s="13"/>
      <c r="RWF17" s="13"/>
      <c r="RWG17" s="13"/>
      <c r="RWH17" s="13"/>
      <c r="RWI17" s="13"/>
      <c r="RWJ17" s="13"/>
      <c r="RWK17" s="13"/>
      <c r="RWL17" s="13"/>
      <c r="RWM17" s="13"/>
      <c r="RWN17" s="13"/>
      <c r="RWO17" s="13"/>
      <c r="RWP17" s="13"/>
      <c r="RWQ17" s="13"/>
      <c r="RWR17" s="13"/>
      <c r="RWS17" s="13"/>
      <c r="RWT17" s="13"/>
      <c r="RWU17" s="13"/>
      <c r="RWV17" s="13"/>
      <c r="RWW17" s="13"/>
      <c r="RWX17" s="13"/>
      <c r="RWY17" s="13"/>
      <c r="RWZ17" s="13"/>
      <c r="RXA17" s="13"/>
      <c r="RXB17" s="13"/>
      <c r="RXC17" s="13"/>
      <c r="RXD17" s="13"/>
      <c r="RXE17" s="13"/>
      <c r="RXF17" s="13"/>
      <c r="RXG17" s="13"/>
      <c r="RXH17" s="13"/>
      <c r="RXI17" s="13"/>
      <c r="RXJ17" s="13"/>
      <c r="RXK17" s="13"/>
      <c r="RXL17" s="13"/>
      <c r="RXM17" s="13"/>
      <c r="RXN17" s="13"/>
      <c r="RXO17" s="13"/>
      <c r="RXP17" s="13"/>
      <c r="RXQ17" s="13"/>
      <c r="RXR17" s="13"/>
      <c r="RXS17" s="13"/>
      <c r="RXT17" s="13"/>
      <c r="RXU17" s="13"/>
      <c r="RXV17" s="13"/>
      <c r="RXW17" s="13"/>
      <c r="RXX17" s="13"/>
      <c r="RXY17" s="13"/>
      <c r="RXZ17" s="13"/>
      <c r="RYA17" s="13"/>
      <c r="RYB17" s="13"/>
      <c r="RYC17" s="13"/>
      <c r="RYD17" s="13"/>
      <c r="RYE17" s="13"/>
      <c r="RYF17" s="13"/>
      <c r="RYG17" s="13"/>
      <c r="RYH17" s="13"/>
      <c r="RYI17" s="13"/>
      <c r="RYJ17" s="13"/>
      <c r="RYK17" s="13"/>
      <c r="RYL17" s="13"/>
      <c r="RYM17" s="13"/>
      <c r="RYN17" s="13"/>
      <c r="RYO17" s="13"/>
      <c r="RYP17" s="13"/>
      <c r="RYQ17" s="13"/>
      <c r="RYR17" s="13"/>
      <c r="RYS17" s="13"/>
      <c r="RYT17" s="13"/>
      <c r="RYU17" s="13"/>
      <c r="RYV17" s="13"/>
      <c r="RYW17" s="13"/>
      <c r="RYX17" s="13"/>
      <c r="RYY17" s="13"/>
      <c r="RYZ17" s="13"/>
      <c r="RZA17" s="13"/>
      <c r="RZB17" s="13"/>
      <c r="RZC17" s="13"/>
      <c r="RZD17" s="13"/>
      <c r="RZE17" s="13"/>
      <c r="RZF17" s="13"/>
      <c r="RZG17" s="13"/>
      <c r="RZH17" s="13"/>
      <c r="RZI17" s="13"/>
      <c r="RZJ17" s="13"/>
      <c r="RZK17" s="13"/>
      <c r="RZL17" s="13"/>
      <c r="RZM17" s="13"/>
      <c r="RZN17" s="13"/>
      <c r="RZO17" s="13"/>
      <c r="RZP17" s="13"/>
      <c r="RZQ17" s="13"/>
      <c r="RZR17" s="13"/>
      <c r="RZS17" s="13"/>
      <c r="RZT17" s="13"/>
      <c r="RZU17" s="13"/>
      <c r="RZV17" s="13"/>
      <c r="RZW17" s="13"/>
      <c r="RZX17" s="13"/>
      <c r="RZY17" s="13"/>
      <c r="RZZ17" s="13"/>
      <c r="SAA17" s="13"/>
      <c r="SAB17" s="13"/>
      <c r="SAC17" s="13"/>
      <c r="SAD17" s="13"/>
      <c r="SAE17" s="13"/>
      <c r="SAF17" s="13"/>
      <c r="SAG17" s="13"/>
      <c r="SAH17" s="13"/>
      <c r="SAI17" s="13"/>
      <c r="SAJ17" s="13"/>
      <c r="SAK17" s="13"/>
      <c r="SAL17" s="13"/>
      <c r="SAM17" s="13"/>
      <c r="SAN17" s="13"/>
      <c r="SAO17" s="13"/>
      <c r="SAP17" s="13"/>
      <c r="SAQ17" s="13"/>
      <c r="SAR17" s="13"/>
      <c r="SAS17" s="13"/>
      <c r="SAT17" s="13"/>
      <c r="SAU17" s="13"/>
      <c r="SAV17" s="13"/>
      <c r="SAW17" s="13"/>
      <c r="SAX17" s="13"/>
      <c r="SAY17" s="13"/>
      <c r="SAZ17" s="13"/>
      <c r="SBA17" s="13"/>
      <c r="SBB17" s="13"/>
      <c r="SBC17" s="13"/>
      <c r="SBD17" s="13"/>
      <c r="SBE17" s="13"/>
      <c r="SBF17" s="13"/>
      <c r="SBG17" s="13"/>
      <c r="SBH17" s="13"/>
      <c r="SBI17" s="13"/>
      <c r="SBJ17" s="13"/>
      <c r="SBK17" s="13"/>
      <c r="SBL17" s="13"/>
      <c r="SBM17" s="13"/>
      <c r="SBN17" s="13"/>
      <c r="SBO17" s="13"/>
      <c r="SBP17" s="13"/>
      <c r="SBQ17" s="13"/>
      <c r="SBR17" s="13"/>
      <c r="SBS17" s="13"/>
      <c r="SBT17" s="13"/>
      <c r="SBU17" s="13"/>
      <c r="SBV17" s="13"/>
      <c r="SBW17" s="13"/>
      <c r="SBX17" s="13"/>
      <c r="SBY17" s="13"/>
      <c r="SBZ17" s="13"/>
      <c r="SCA17" s="13"/>
      <c r="SCB17" s="13"/>
      <c r="SCC17" s="13"/>
      <c r="SCD17" s="13"/>
      <c r="SCE17" s="13"/>
      <c r="SCF17" s="13"/>
      <c r="SCG17" s="13"/>
      <c r="SCH17" s="13"/>
      <c r="SCI17" s="13"/>
      <c r="SCJ17" s="13"/>
      <c r="SCK17" s="13"/>
      <c r="SCL17" s="13"/>
      <c r="SCM17" s="13"/>
      <c r="SCN17" s="13"/>
      <c r="SCO17" s="13"/>
      <c r="SCP17" s="13"/>
      <c r="SCQ17" s="13"/>
      <c r="SCR17" s="13"/>
      <c r="SCS17" s="13"/>
      <c r="SCT17" s="13"/>
      <c r="SCU17" s="13"/>
      <c r="SCV17" s="13"/>
      <c r="SCW17" s="13"/>
      <c r="SCX17" s="13"/>
      <c r="SCY17" s="13"/>
      <c r="SCZ17" s="13"/>
      <c r="SDA17" s="13"/>
      <c r="SDB17" s="13"/>
      <c r="SDC17" s="13"/>
      <c r="SDD17" s="13"/>
      <c r="SDE17" s="13"/>
      <c r="SDF17" s="13"/>
      <c r="SDG17" s="13"/>
      <c r="SDH17" s="13"/>
      <c r="SDI17" s="13"/>
      <c r="SDJ17" s="13"/>
      <c r="SDK17" s="13"/>
      <c r="SDL17" s="13"/>
      <c r="SDM17" s="13"/>
      <c r="SDN17" s="13"/>
      <c r="SDO17" s="13"/>
      <c r="SDP17" s="13"/>
      <c r="SDQ17" s="13"/>
      <c r="SDR17" s="13"/>
      <c r="SDS17" s="13"/>
      <c r="SDT17" s="13"/>
      <c r="SDU17" s="13"/>
      <c r="SDV17" s="13"/>
      <c r="SDW17" s="13"/>
      <c r="SDX17" s="13"/>
      <c r="SDY17" s="13"/>
      <c r="SDZ17" s="13"/>
      <c r="SEA17" s="13"/>
      <c r="SEB17" s="13"/>
      <c r="SEC17" s="13"/>
      <c r="SED17" s="13"/>
      <c r="SEE17" s="13"/>
      <c r="SEF17" s="13"/>
      <c r="SEG17" s="13"/>
      <c r="SEH17" s="13"/>
      <c r="SEI17" s="13"/>
      <c r="SEJ17" s="13"/>
      <c r="SEK17" s="13"/>
      <c r="SEL17" s="13"/>
      <c r="SEM17" s="13"/>
      <c r="SEN17" s="13"/>
      <c r="SEO17" s="13"/>
      <c r="SEP17" s="13"/>
      <c r="SEQ17" s="13"/>
      <c r="SER17" s="13"/>
      <c r="SES17" s="13"/>
      <c r="SET17" s="13"/>
      <c r="SEU17" s="13"/>
      <c r="SEV17" s="13"/>
      <c r="SEW17" s="13"/>
      <c r="SEX17" s="13"/>
      <c r="SEY17" s="13"/>
      <c r="SEZ17" s="13"/>
      <c r="SFA17" s="13"/>
      <c r="SFB17" s="13"/>
      <c r="SFC17" s="13"/>
      <c r="SFD17" s="13"/>
      <c r="SFE17" s="13"/>
      <c r="SFF17" s="13"/>
      <c r="SFG17" s="13"/>
      <c r="SFH17" s="13"/>
      <c r="SFI17" s="13"/>
      <c r="SFJ17" s="13"/>
      <c r="SFK17" s="13"/>
      <c r="SFL17" s="13"/>
      <c r="SFM17" s="13"/>
      <c r="SFN17" s="13"/>
      <c r="SFO17" s="13"/>
      <c r="SFP17" s="13"/>
      <c r="SFQ17" s="13"/>
      <c r="SFR17" s="13"/>
      <c r="SFS17" s="13"/>
      <c r="SFT17" s="13"/>
      <c r="SFU17" s="13"/>
      <c r="SFV17" s="13"/>
      <c r="SFW17" s="13"/>
      <c r="SFX17" s="13"/>
      <c r="SFY17" s="13"/>
      <c r="SFZ17" s="13"/>
      <c r="SGA17" s="13"/>
      <c r="SGB17" s="13"/>
      <c r="SGC17" s="13"/>
      <c r="SGD17" s="13"/>
      <c r="SGE17" s="13"/>
      <c r="SGF17" s="13"/>
      <c r="SGG17" s="13"/>
      <c r="SGH17" s="13"/>
      <c r="SGI17" s="13"/>
      <c r="SGJ17" s="13"/>
      <c r="SGK17" s="13"/>
      <c r="SGL17" s="13"/>
      <c r="SGM17" s="13"/>
      <c r="SGN17" s="13"/>
      <c r="SGO17" s="13"/>
      <c r="SGP17" s="13"/>
      <c r="SGQ17" s="13"/>
      <c r="SGR17" s="13"/>
      <c r="SGS17" s="13"/>
      <c r="SGT17" s="13"/>
      <c r="SGU17" s="13"/>
      <c r="SGV17" s="13"/>
      <c r="SGW17" s="13"/>
      <c r="SGX17" s="13"/>
      <c r="SGY17" s="13"/>
      <c r="SGZ17" s="13"/>
      <c r="SHA17" s="13"/>
      <c r="SHB17" s="13"/>
      <c r="SHC17" s="13"/>
      <c r="SHD17" s="13"/>
      <c r="SHE17" s="13"/>
      <c r="SHF17" s="13"/>
      <c r="SHG17" s="13"/>
      <c r="SHH17" s="13"/>
      <c r="SHI17" s="13"/>
      <c r="SHJ17" s="13"/>
      <c r="SHK17" s="13"/>
      <c r="SHL17" s="13"/>
      <c r="SHM17" s="13"/>
      <c r="SHN17" s="13"/>
      <c r="SHO17" s="13"/>
      <c r="SHP17" s="13"/>
      <c r="SHQ17" s="13"/>
      <c r="SHR17" s="13"/>
      <c r="SHS17" s="13"/>
      <c r="SHT17" s="13"/>
      <c r="SHU17" s="13"/>
      <c r="SHV17" s="13"/>
      <c r="SHW17" s="13"/>
      <c r="SHX17" s="13"/>
      <c r="SHY17" s="13"/>
      <c r="SHZ17" s="13"/>
      <c r="SIA17" s="13"/>
      <c r="SIB17" s="13"/>
      <c r="SIC17" s="13"/>
      <c r="SID17" s="13"/>
      <c r="SIE17" s="13"/>
      <c r="SIF17" s="13"/>
      <c r="SIG17" s="13"/>
      <c r="SIH17" s="13"/>
      <c r="SII17" s="13"/>
      <c r="SIJ17" s="13"/>
      <c r="SIK17" s="13"/>
      <c r="SIL17" s="13"/>
      <c r="SIM17" s="13"/>
      <c r="SIN17" s="13"/>
      <c r="SIO17" s="13"/>
      <c r="SIP17" s="13"/>
      <c r="SIQ17" s="13"/>
      <c r="SIR17" s="13"/>
      <c r="SIS17" s="13"/>
      <c r="SIT17" s="13"/>
      <c r="SIU17" s="13"/>
      <c r="SIV17" s="13"/>
      <c r="SIW17" s="13"/>
      <c r="SIX17" s="13"/>
      <c r="SIY17" s="13"/>
      <c r="SIZ17" s="13"/>
      <c r="SJA17" s="13"/>
      <c r="SJB17" s="13"/>
      <c r="SJC17" s="13"/>
      <c r="SJD17" s="13"/>
      <c r="SJE17" s="13"/>
      <c r="SJF17" s="13"/>
      <c r="SJG17" s="13"/>
      <c r="SJH17" s="13"/>
      <c r="SJI17" s="13"/>
      <c r="SJJ17" s="13"/>
      <c r="SJK17" s="13"/>
      <c r="SJL17" s="13"/>
      <c r="SJM17" s="13"/>
      <c r="SJN17" s="13"/>
      <c r="SJO17" s="13"/>
      <c r="SJP17" s="13"/>
      <c r="SJQ17" s="13"/>
      <c r="SJR17" s="13"/>
      <c r="SJS17" s="13"/>
      <c r="SJT17" s="13"/>
      <c r="SJU17" s="13"/>
      <c r="SJV17" s="13"/>
      <c r="SJW17" s="13"/>
      <c r="SJX17" s="13"/>
      <c r="SJY17" s="13"/>
      <c r="SJZ17" s="13"/>
      <c r="SKA17" s="13"/>
      <c r="SKB17" s="13"/>
      <c r="SKC17" s="13"/>
      <c r="SKD17" s="13"/>
      <c r="SKE17" s="13"/>
      <c r="SKF17" s="13"/>
      <c r="SKG17" s="13"/>
      <c r="SKH17" s="13"/>
      <c r="SKI17" s="13"/>
      <c r="SKJ17" s="13"/>
      <c r="SKK17" s="13"/>
      <c r="SKL17" s="13"/>
      <c r="SKM17" s="13"/>
      <c r="SKN17" s="13"/>
      <c r="SKO17" s="13"/>
      <c r="SKP17" s="13"/>
      <c r="SKQ17" s="13"/>
      <c r="SKR17" s="13"/>
      <c r="SKS17" s="13"/>
      <c r="SKT17" s="13"/>
      <c r="SKU17" s="13"/>
      <c r="SKV17" s="13"/>
      <c r="SKW17" s="13"/>
      <c r="SKX17" s="13"/>
      <c r="SKY17" s="13"/>
      <c r="SKZ17" s="13"/>
      <c r="SLA17" s="13"/>
      <c r="SLB17" s="13"/>
      <c r="SLC17" s="13"/>
      <c r="SLD17" s="13"/>
      <c r="SLE17" s="13"/>
      <c r="SLF17" s="13"/>
      <c r="SLG17" s="13"/>
      <c r="SLH17" s="13"/>
      <c r="SLI17" s="13"/>
      <c r="SLJ17" s="13"/>
      <c r="SLK17" s="13"/>
      <c r="SLL17" s="13"/>
      <c r="SLM17" s="13"/>
      <c r="SLN17" s="13"/>
      <c r="SLO17" s="13"/>
      <c r="SLP17" s="13"/>
      <c r="SLQ17" s="13"/>
      <c r="SLR17" s="13"/>
      <c r="SLS17" s="13"/>
      <c r="SLT17" s="13"/>
      <c r="SLU17" s="13"/>
      <c r="SLV17" s="13"/>
      <c r="SLW17" s="13"/>
      <c r="SLX17" s="13"/>
      <c r="SLY17" s="13"/>
      <c r="SLZ17" s="13"/>
      <c r="SMA17" s="13"/>
      <c r="SMB17" s="13"/>
      <c r="SMC17" s="13"/>
      <c r="SMD17" s="13"/>
      <c r="SME17" s="13"/>
      <c r="SMF17" s="13"/>
      <c r="SMG17" s="13"/>
      <c r="SMH17" s="13"/>
      <c r="SMI17" s="13"/>
      <c r="SMJ17" s="13"/>
      <c r="SMK17" s="13"/>
      <c r="SML17" s="13"/>
      <c r="SMM17" s="13"/>
      <c r="SMN17" s="13"/>
      <c r="SMO17" s="13"/>
      <c r="SMP17" s="13"/>
      <c r="SMQ17" s="13"/>
      <c r="SMR17" s="13"/>
      <c r="SMS17" s="13"/>
      <c r="SMT17" s="13"/>
      <c r="SMU17" s="13"/>
      <c r="SMV17" s="13"/>
      <c r="SMW17" s="13"/>
      <c r="SMX17" s="13"/>
      <c r="SMY17" s="13"/>
      <c r="SMZ17" s="13"/>
      <c r="SNA17" s="13"/>
      <c r="SNB17" s="13"/>
      <c r="SNC17" s="13"/>
      <c r="SND17" s="13"/>
      <c r="SNE17" s="13"/>
      <c r="SNF17" s="13"/>
      <c r="SNG17" s="13"/>
      <c r="SNH17" s="13"/>
      <c r="SNI17" s="13"/>
      <c r="SNJ17" s="13"/>
      <c r="SNK17" s="13"/>
      <c r="SNL17" s="13"/>
      <c r="SNM17" s="13"/>
      <c r="SNN17" s="13"/>
      <c r="SNO17" s="13"/>
      <c r="SNP17" s="13"/>
      <c r="SNQ17" s="13"/>
      <c r="SNR17" s="13"/>
      <c r="SNS17" s="13"/>
      <c r="SNT17" s="13"/>
      <c r="SNU17" s="13"/>
      <c r="SNV17" s="13"/>
      <c r="SNW17" s="13"/>
      <c r="SNX17" s="13"/>
      <c r="SNY17" s="13"/>
      <c r="SNZ17" s="13"/>
      <c r="SOA17" s="13"/>
      <c r="SOB17" s="13"/>
      <c r="SOC17" s="13"/>
      <c r="SOD17" s="13"/>
      <c r="SOE17" s="13"/>
      <c r="SOF17" s="13"/>
      <c r="SOG17" s="13"/>
      <c r="SOH17" s="13"/>
      <c r="SOI17" s="13"/>
      <c r="SOJ17" s="13"/>
      <c r="SOK17" s="13"/>
      <c r="SOL17" s="13"/>
      <c r="SOM17" s="13"/>
      <c r="SON17" s="13"/>
      <c r="SOO17" s="13"/>
      <c r="SOP17" s="13"/>
      <c r="SOQ17" s="13"/>
      <c r="SOR17" s="13"/>
      <c r="SOS17" s="13"/>
      <c r="SOT17" s="13"/>
      <c r="SOU17" s="13"/>
      <c r="SOV17" s="13"/>
      <c r="SOW17" s="13"/>
      <c r="SOX17" s="13"/>
      <c r="SOY17" s="13"/>
      <c r="SOZ17" s="13"/>
      <c r="SPA17" s="13"/>
      <c r="SPB17" s="13"/>
      <c r="SPC17" s="13"/>
      <c r="SPD17" s="13"/>
      <c r="SPE17" s="13"/>
      <c r="SPF17" s="13"/>
      <c r="SPG17" s="13"/>
      <c r="SPH17" s="13"/>
      <c r="SPI17" s="13"/>
      <c r="SPJ17" s="13"/>
      <c r="SPK17" s="13"/>
      <c r="SPL17" s="13"/>
      <c r="SPM17" s="13"/>
      <c r="SPN17" s="13"/>
      <c r="SPO17" s="13"/>
      <c r="SPP17" s="13"/>
      <c r="SPQ17" s="13"/>
      <c r="SPR17" s="13"/>
      <c r="SPS17" s="13"/>
      <c r="SPT17" s="13"/>
      <c r="SPU17" s="13"/>
      <c r="SPV17" s="13"/>
      <c r="SPW17" s="13"/>
      <c r="SPX17" s="13"/>
      <c r="SPY17" s="13"/>
      <c r="SPZ17" s="13"/>
      <c r="SQA17" s="13"/>
      <c r="SQB17" s="13"/>
      <c r="SQC17" s="13"/>
      <c r="SQD17" s="13"/>
      <c r="SQE17" s="13"/>
      <c r="SQF17" s="13"/>
      <c r="SQG17" s="13"/>
      <c r="SQH17" s="13"/>
      <c r="SQI17" s="13"/>
      <c r="SQJ17" s="13"/>
      <c r="SQK17" s="13"/>
      <c r="SQL17" s="13"/>
      <c r="SQM17" s="13"/>
      <c r="SQN17" s="13"/>
      <c r="SQO17" s="13"/>
      <c r="SQP17" s="13"/>
      <c r="SQQ17" s="13"/>
      <c r="SQR17" s="13"/>
      <c r="SQS17" s="13"/>
      <c r="SQT17" s="13"/>
      <c r="SQU17" s="13"/>
      <c r="SQV17" s="13"/>
      <c r="SQW17" s="13"/>
      <c r="SQX17" s="13"/>
      <c r="SQY17" s="13"/>
      <c r="SQZ17" s="13"/>
      <c r="SRA17" s="13"/>
      <c r="SRB17" s="13"/>
      <c r="SRC17" s="13"/>
      <c r="SRD17" s="13"/>
      <c r="SRE17" s="13"/>
      <c r="SRF17" s="13"/>
      <c r="SRG17" s="13"/>
      <c r="SRH17" s="13"/>
      <c r="SRI17" s="13"/>
      <c r="SRJ17" s="13"/>
      <c r="SRK17" s="13"/>
      <c r="SRL17" s="13"/>
      <c r="SRM17" s="13"/>
      <c r="SRN17" s="13"/>
      <c r="SRO17" s="13"/>
      <c r="SRP17" s="13"/>
      <c r="SRQ17" s="13"/>
      <c r="SRR17" s="13"/>
      <c r="SRS17" s="13"/>
      <c r="SRT17" s="13"/>
      <c r="SRU17" s="13"/>
      <c r="SRV17" s="13"/>
      <c r="SRW17" s="13"/>
      <c r="SRX17" s="13"/>
      <c r="SRY17" s="13"/>
      <c r="SRZ17" s="13"/>
      <c r="SSA17" s="13"/>
      <c r="SSB17" s="13"/>
      <c r="SSC17" s="13"/>
      <c r="SSD17" s="13"/>
      <c r="SSE17" s="13"/>
      <c r="SSF17" s="13"/>
      <c r="SSG17" s="13"/>
      <c r="SSH17" s="13"/>
      <c r="SSI17" s="13"/>
      <c r="SSJ17" s="13"/>
      <c r="SSK17" s="13"/>
      <c r="SSL17" s="13"/>
      <c r="SSM17" s="13"/>
      <c r="SSN17" s="13"/>
      <c r="SSO17" s="13"/>
      <c r="SSP17" s="13"/>
      <c r="SSQ17" s="13"/>
      <c r="SSR17" s="13"/>
      <c r="SSS17" s="13"/>
      <c r="SST17" s="13"/>
      <c r="SSU17" s="13"/>
      <c r="SSV17" s="13"/>
      <c r="SSW17" s="13"/>
      <c r="SSX17" s="13"/>
      <c r="SSY17" s="13"/>
      <c r="SSZ17" s="13"/>
      <c r="STA17" s="13"/>
      <c r="STB17" s="13"/>
      <c r="STC17" s="13"/>
      <c r="STD17" s="13"/>
      <c r="STE17" s="13"/>
      <c r="STF17" s="13"/>
      <c r="STG17" s="13"/>
      <c r="STH17" s="13"/>
      <c r="STI17" s="13"/>
      <c r="STJ17" s="13"/>
      <c r="STK17" s="13"/>
      <c r="STL17" s="13"/>
      <c r="STM17" s="13"/>
      <c r="STN17" s="13"/>
      <c r="STO17" s="13"/>
      <c r="STP17" s="13"/>
      <c r="STQ17" s="13"/>
      <c r="STR17" s="13"/>
      <c r="STS17" s="13"/>
      <c r="STT17" s="13"/>
      <c r="STU17" s="13"/>
      <c r="STV17" s="13"/>
      <c r="STW17" s="13"/>
      <c r="STX17" s="13"/>
      <c r="STY17" s="13"/>
      <c r="STZ17" s="13"/>
      <c r="SUA17" s="13"/>
      <c r="SUB17" s="13"/>
      <c r="SUC17" s="13"/>
      <c r="SUD17" s="13"/>
      <c r="SUE17" s="13"/>
      <c r="SUF17" s="13"/>
      <c r="SUG17" s="13"/>
      <c r="SUH17" s="13"/>
      <c r="SUI17" s="13"/>
      <c r="SUJ17" s="13"/>
      <c r="SUK17" s="13"/>
      <c r="SUL17" s="13"/>
      <c r="SUM17" s="13"/>
      <c r="SUN17" s="13"/>
      <c r="SUO17" s="13"/>
      <c r="SUP17" s="13"/>
      <c r="SUQ17" s="13"/>
      <c r="SUR17" s="13"/>
      <c r="SUS17" s="13"/>
      <c r="SUT17" s="13"/>
      <c r="SUU17" s="13"/>
      <c r="SUV17" s="13"/>
      <c r="SUW17" s="13"/>
      <c r="SUX17" s="13"/>
      <c r="SUY17" s="13"/>
      <c r="SUZ17" s="13"/>
      <c r="SVA17" s="13"/>
      <c r="SVB17" s="13"/>
      <c r="SVC17" s="13"/>
      <c r="SVD17" s="13"/>
      <c r="SVE17" s="13"/>
      <c r="SVF17" s="13"/>
      <c r="SVG17" s="13"/>
      <c r="SVH17" s="13"/>
      <c r="SVI17" s="13"/>
      <c r="SVJ17" s="13"/>
      <c r="SVK17" s="13"/>
      <c r="SVL17" s="13"/>
      <c r="SVM17" s="13"/>
      <c r="SVN17" s="13"/>
      <c r="SVO17" s="13"/>
      <c r="SVP17" s="13"/>
      <c r="SVQ17" s="13"/>
      <c r="SVR17" s="13"/>
      <c r="SVS17" s="13"/>
      <c r="SVT17" s="13"/>
      <c r="SVU17" s="13"/>
      <c r="SVV17" s="13"/>
      <c r="SVW17" s="13"/>
      <c r="SVX17" s="13"/>
      <c r="SVY17" s="13"/>
      <c r="SVZ17" s="13"/>
      <c r="SWA17" s="13"/>
      <c r="SWB17" s="13"/>
      <c r="SWC17" s="13"/>
      <c r="SWD17" s="13"/>
      <c r="SWE17" s="13"/>
      <c r="SWF17" s="13"/>
      <c r="SWG17" s="13"/>
      <c r="SWH17" s="13"/>
      <c r="SWI17" s="13"/>
      <c r="SWJ17" s="13"/>
      <c r="SWK17" s="13"/>
      <c r="SWL17" s="13"/>
      <c r="SWM17" s="13"/>
      <c r="SWN17" s="13"/>
      <c r="SWO17" s="13"/>
      <c r="SWP17" s="13"/>
      <c r="SWQ17" s="13"/>
      <c r="SWR17" s="13"/>
      <c r="SWS17" s="13"/>
      <c r="SWT17" s="13"/>
      <c r="SWU17" s="13"/>
      <c r="SWV17" s="13"/>
      <c r="SWW17" s="13"/>
      <c r="SWX17" s="13"/>
      <c r="SWY17" s="13"/>
      <c r="SWZ17" s="13"/>
      <c r="SXA17" s="13"/>
      <c r="SXB17" s="13"/>
      <c r="SXC17" s="13"/>
      <c r="SXD17" s="13"/>
      <c r="SXE17" s="13"/>
      <c r="SXF17" s="13"/>
      <c r="SXG17" s="13"/>
      <c r="SXH17" s="13"/>
      <c r="SXI17" s="13"/>
      <c r="SXJ17" s="13"/>
      <c r="SXK17" s="13"/>
      <c r="SXL17" s="13"/>
      <c r="SXM17" s="13"/>
      <c r="SXN17" s="13"/>
      <c r="SXO17" s="13"/>
      <c r="SXP17" s="13"/>
      <c r="SXQ17" s="13"/>
      <c r="SXR17" s="13"/>
      <c r="SXS17" s="13"/>
      <c r="SXT17" s="13"/>
      <c r="SXU17" s="13"/>
      <c r="SXV17" s="13"/>
      <c r="SXW17" s="13"/>
      <c r="SXX17" s="13"/>
      <c r="SXY17" s="13"/>
      <c r="SXZ17" s="13"/>
      <c r="SYA17" s="13"/>
      <c r="SYB17" s="13"/>
      <c r="SYC17" s="13"/>
      <c r="SYD17" s="13"/>
      <c r="SYE17" s="13"/>
      <c r="SYF17" s="13"/>
      <c r="SYG17" s="13"/>
      <c r="SYH17" s="13"/>
      <c r="SYI17" s="13"/>
      <c r="SYJ17" s="13"/>
      <c r="SYK17" s="13"/>
      <c r="SYL17" s="13"/>
      <c r="SYM17" s="13"/>
      <c r="SYN17" s="13"/>
      <c r="SYO17" s="13"/>
      <c r="SYP17" s="13"/>
      <c r="SYQ17" s="13"/>
      <c r="SYR17" s="13"/>
      <c r="SYS17" s="13"/>
      <c r="SYT17" s="13"/>
      <c r="SYU17" s="13"/>
      <c r="SYV17" s="13"/>
      <c r="SYW17" s="13"/>
      <c r="SYX17" s="13"/>
      <c r="SYY17" s="13"/>
      <c r="SYZ17" s="13"/>
      <c r="SZA17" s="13"/>
      <c r="SZB17" s="13"/>
      <c r="SZC17" s="13"/>
      <c r="SZD17" s="13"/>
      <c r="SZE17" s="13"/>
      <c r="SZF17" s="13"/>
      <c r="SZG17" s="13"/>
      <c r="SZH17" s="13"/>
      <c r="SZI17" s="13"/>
      <c r="SZJ17" s="13"/>
      <c r="SZK17" s="13"/>
      <c r="SZL17" s="13"/>
      <c r="SZM17" s="13"/>
      <c r="SZN17" s="13"/>
      <c r="SZO17" s="13"/>
      <c r="SZP17" s="13"/>
      <c r="SZQ17" s="13"/>
      <c r="SZR17" s="13"/>
      <c r="SZS17" s="13"/>
      <c r="SZT17" s="13"/>
      <c r="SZU17" s="13"/>
      <c r="SZV17" s="13"/>
      <c r="SZW17" s="13"/>
      <c r="SZX17" s="13"/>
      <c r="SZY17" s="13"/>
      <c r="SZZ17" s="13"/>
      <c r="TAA17" s="13"/>
      <c r="TAB17" s="13"/>
      <c r="TAC17" s="13"/>
      <c r="TAD17" s="13"/>
      <c r="TAE17" s="13"/>
      <c r="TAF17" s="13"/>
      <c r="TAG17" s="13"/>
      <c r="TAH17" s="13"/>
      <c r="TAI17" s="13"/>
      <c r="TAJ17" s="13"/>
      <c r="TAK17" s="13"/>
      <c r="TAL17" s="13"/>
      <c r="TAM17" s="13"/>
      <c r="TAN17" s="13"/>
      <c r="TAO17" s="13"/>
      <c r="TAP17" s="13"/>
      <c r="TAQ17" s="13"/>
      <c r="TAR17" s="13"/>
      <c r="TAS17" s="13"/>
      <c r="TAT17" s="13"/>
      <c r="TAU17" s="13"/>
      <c r="TAV17" s="13"/>
      <c r="TAW17" s="13"/>
      <c r="TAX17" s="13"/>
      <c r="TAY17" s="13"/>
      <c r="TAZ17" s="13"/>
      <c r="TBA17" s="13"/>
      <c r="TBB17" s="13"/>
      <c r="TBC17" s="13"/>
      <c r="TBD17" s="13"/>
      <c r="TBE17" s="13"/>
      <c r="TBF17" s="13"/>
      <c r="TBG17" s="13"/>
      <c r="TBH17" s="13"/>
      <c r="TBI17" s="13"/>
      <c r="TBJ17" s="13"/>
      <c r="TBK17" s="13"/>
      <c r="TBL17" s="13"/>
      <c r="TBM17" s="13"/>
      <c r="TBN17" s="13"/>
      <c r="TBO17" s="13"/>
      <c r="TBP17" s="13"/>
      <c r="TBQ17" s="13"/>
      <c r="TBR17" s="13"/>
      <c r="TBS17" s="13"/>
      <c r="TBT17" s="13"/>
      <c r="TBU17" s="13"/>
      <c r="TBV17" s="13"/>
      <c r="TBW17" s="13"/>
      <c r="TBX17" s="13"/>
      <c r="TBY17" s="13"/>
      <c r="TBZ17" s="13"/>
      <c r="TCA17" s="13"/>
      <c r="TCB17" s="13"/>
      <c r="TCC17" s="13"/>
      <c r="TCD17" s="13"/>
      <c r="TCE17" s="13"/>
      <c r="TCF17" s="13"/>
      <c r="TCG17" s="13"/>
      <c r="TCH17" s="13"/>
      <c r="TCI17" s="13"/>
      <c r="TCJ17" s="13"/>
      <c r="TCK17" s="13"/>
      <c r="TCL17" s="13"/>
      <c r="TCM17" s="13"/>
      <c r="TCN17" s="13"/>
      <c r="TCO17" s="13"/>
      <c r="TCP17" s="13"/>
      <c r="TCQ17" s="13"/>
      <c r="TCR17" s="13"/>
      <c r="TCS17" s="13"/>
      <c r="TCT17" s="13"/>
      <c r="TCU17" s="13"/>
      <c r="TCV17" s="13"/>
      <c r="TCW17" s="13"/>
      <c r="TCX17" s="13"/>
      <c r="TCY17" s="13"/>
      <c r="TCZ17" s="13"/>
      <c r="TDA17" s="13"/>
      <c r="TDB17" s="13"/>
      <c r="TDC17" s="13"/>
      <c r="TDD17" s="13"/>
      <c r="TDE17" s="13"/>
      <c r="TDF17" s="13"/>
      <c r="TDG17" s="13"/>
      <c r="TDH17" s="13"/>
      <c r="TDI17" s="13"/>
      <c r="TDJ17" s="13"/>
      <c r="TDK17" s="13"/>
      <c r="TDL17" s="13"/>
      <c r="TDM17" s="13"/>
      <c r="TDN17" s="13"/>
      <c r="TDO17" s="13"/>
      <c r="TDP17" s="13"/>
      <c r="TDQ17" s="13"/>
      <c r="TDR17" s="13"/>
      <c r="TDS17" s="13"/>
      <c r="TDT17" s="13"/>
      <c r="TDU17" s="13"/>
      <c r="TDV17" s="13"/>
      <c r="TDW17" s="13"/>
      <c r="TDX17" s="13"/>
      <c r="TDY17" s="13"/>
      <c r="TDZ17" s="13"/>
      <c r="TEA17" s="13"/>
      <c r="TEB17" s="13"/>
      <c r="TEC17" s="13"/>
      <c r="TED17" s="13"/>
      <c r="TEE17" s="13"/>
      <c r="TEF17" s="13"/>
      <c r="TEG17" s="13"/>
      <c r="TEH17" s="13"/>
      <c r="TEI17" s="13"/>
      <c r="TEJ17" s="13"/>
      <c r="TEK17" s="13"/>
      <c r="TEL17" s="13"/>
      <c r="TEM17" s="13"/>
      <c r="TEN17" s="13"/>
      <c r="TEO17" s="13"/>
      <c r="TEP17" s="13"/>
      <c r="TEQ17" s="13"/>
      <c r="TER17" s="13"/>
      <c r="TES17" s="13"/>
      <c r="TET17" s="13"/>
      <c r="TEU17" s="13"/>
      <c r="TEV17" s="13"/>
      <c r="TEW17" s="13"/>
      <c r="TEX17" s="13"/>
      <c r="TEY17" s="13"/>
      <c r="TEZ17" s="13"/>
      <c r="TFA17" s="13"/>
      <c r="TFB17" s="13"/>
      <c r="TFC17" s="13"/>
      <c r="TFD17" s="13"/>
      <c r="TFE17" s="13"/>
      <c r="TFF17" s="13"/>
      <c r="TFG17" s="13"/>
      <c r="TFH17" s="13"/>
      <c r="TFI17" s="13"/>
      <c r="TFJ17" s="13"/>
      <c r="TFK17" s="13"/>
      <c r="TFL17" s="13"/>
      <c r="TFM17" s="13"/>
      <c r="TFN17" s="13"/>
      <c r="TFO17" s="13"/>
      <c r="TFP17" s="13"/>
      <c r="TFQ17" s="13"/>
      <c r="TFR17" s="13"/>
      <c r="TFS17" s="13"/>
      <c r="TFT17" s="13"/>
      <c r="TFU17" s="13"/>
      <c r="TFV17" s="13"/>
      <c r="TFW17" s="13"/>
      <c r="TFX17" s="13"/>
      <c r="TFY17" s="13"/>
      <c r="TFZ17" s="13"/>
      <c r="TGA17" s="13"/>
      <c r="TGB17" s="13"/>
      <c r="TGC17" s="13"/>
      <c r="TGD17" s="13"/>
      <c r="TGE17" s="13"/>
      <c r="TGF17" s="13"/>
      <c r="TGG17" s="13"/>
      <c r="TGH17" s="13"/>
      <c r="TGI17" s="13"/>
      <c r="TGJ17" s="13"/>
      <c r="TGK17" s="13"/>
      <c r="TGL17" s="13"/>
      <c r="TGM17" s="13"/>
      <c r="TGN17" s="13"/>
      <c r="TGO17" s="13"/>
      <c r="TGP17" s="13"/>
      <c r="TGQ17" s="13"/>
      <c r="TGR17" s="13"/>
      <c r="TGS17" s="13"/>
      <c r="TGT17" s="13"/>
      <c r="TGU17" s="13"/>
      <c r="TGV17" s="13"/>
      <c r="TGW17" s="13"/>
      <c r="TGX17" s="13"/>
      <c r="TGY17" s="13"/>
      <c r="TGZ17" s="13"/>
      <c r="THA17" s="13"/>
      <c r="THB17" s="13"/>
      <c r="THC17" s="13"/>
      <c r="THD17" s="13"/>
      <c r="THE17" s="13"/>
      <c r="THF17" s="13"/>
      <c r="THG17" s="13"/>
      <c r="THH17" s="13"/>
      <c r="THI17" s="13"/>
      <c r="THJ17" s="13"/>
      <c r="THK17" s="13"/>
      <c r="THL17" s="13"/>
      <c r="THM17" s="13"/>
      <c r="THN17" s="13"/>
      <c r="THO17" s="13"/>
      <c r="THP17" s="13"/>
      <c r="THQ17" s="13"/>
      <c r="THR17" s="13"/>
      <c r="THS17" s="13"/>
      <c r="THT17" s="13"/>
      <c r="THU17" s="13"/>
      <c r="THV17" s="13"/>
      <c r="THW17" s="13"/>
      <c r="THX17" s="13"/>
      <c r="THY17" s="13"/>
      <c r="THZ17" s="13"/>
      <c r="TIA17" s="13"/>
      <c r="TIB17" s="13"/>
      <c r="TIC17" s="13"/>
      <c r="TID17" s="13"/>
      <c r="TIE17" s="13"/>
      <c r="TIF17" s="13"/>
      <c r="TIG17" s="13"/>
      <c r="TIH17" s="13"/>
      <c r="TII17" s="13"/>
      <c r="TIJ17" s="13"/>
      <c r="TIK17" s="13"/>
      <c r="TIL17" s="13"/>
      <c r="TIM17" s="13"/>
      <c r="TIN17" s="13"/>
      <c r="TIO17" s="13"/>
      <c r="TIP17" s="13"/>
      <c r="TIQ17" s="13"/>
      <c r="TIR17" s="13"/>
      <c r="TIS17" s="13"/>
      <c r="TIT17" s="13"/>
      <c r="TIU17" s="13"/>
      <c r="TIV17" s="13"/>
      <c r="TIW17" s="13"/>
      <c r="TIX17" s="13"/>
      <c r="TIY17" s="13"/>
      <c r="TIZ17" s="13"/>
      <c r="TJA17" s="13"/>
      <c r="TJB17" s="13"/>
      <c r="TJC17" s="13"/>
      <c r="TJD17" s="13"/>
      <c r="TJE17" s="13"/>
      <c r="TJF17" s="13"/>
      <c r="TJG17" s="13"/>
      <c r="TJH17" s="13"/>
      <c r="TJI17" s="13"/>
      <c r="TJJ17" s="13"/>
      <c r="TJK17" s="13"/>
      <c r="TJL17" s="13"/>
      <c r="TJM17" s="13"/>
      <c r="TJN17" s="13"/>
      <c r="TJO17" s="13"/>
      <c r="TJP17" s="13"/>
      <c r="TJQ17" s="13"/>
      <c r="TJR17" s="13"/>
      <c r="TJS17" s="13"/>
      <c r="TJT17" s="13"/>
      <c r="TJU17" s="13"/>
      <c r="TJV17" s="13"/>
      <c r="TJW17" s="13"/>
      <c r="TJX17" s="13"/>
      <c r="TJY17" s="13"/>
      <c r="TJZ17" s="13"/>
      <c r="TKA17" s="13"/>
      <c r="TKB17" s="13"/>
      <c r="TKC17" s="13"/>
      <c r="TKD17" s="13"/>
      <c r="TKE17" s="13"/>
      <c r="TKF17" s="13"/>
      <c r="TKG17" s="13"/>
      <c r="TKH17" s="13"/>
      <c r="TKI17" s="13"/>
      <c r="TKJ17" s="13"/>
      <c r="TKK17" s="13"/>
      <c r="TKL17" s="13"/>
      <c r="TKM17" s="13"/>
      <c r="TKN17" s="13"/>
      <c r="TKO17" s="13"/>
      <c r="TKP17" s="13"/>
      <c r="TKQ17" s="13"/>
      <c r="TKR17" s="13"/>
      <c r="TKS17" s="13"/>
      <c r="TKT17" s="13"/>
      <c r="TKU17" s="13"/>
      <c r="TKV17" s="13"/>
      <c r="TKW17" s="13"/>
      <c r="TKX17" s="13"/>
      <c r="TKY17" s="13"/>
      <c r="TKZ17" s="13"/>
      <c r="TLA17" s="13"/>
      <c r="TLB17" s="13"/>
      <c r="TLC17" s="13"/>
      <c r="TLD17" s="13"/>
      <c r="TLE17" s="13"/>
      <c r="TLF17" s="13"/>
      <c r="TLG17" s="13"/>
      <c r="TLH17" s="13"/>
      <c r="TLI17" s="13"/>
      <c r="TLJ17" s="13"/>
      <c r="TLK17" s="13"/>
      <c r="TLL17" s="13"/>
      <c r="TLM17" s="13"/>
      <c r="TLN17" s="13"/>
      <c r="TLO17" s="13"/>
      <c r="TLP17" s="13"/>
      <c r="TLQ17" s="13"/>
      <c r="TLR17" s="13"/>
      <c r="TLS17" s="13"/>
      <c r="TLT17" s="13"/>
      <c r="TLU17" s="13"/>
      <c r="TLV17" s="13"/>
      <c r="TLW17" s="13"/>
      <c r="TLX17" s="13"/>
      <c r="TLY17" s="13"/>
      <c r="TLZ17" s="13"/>
      <c r="TMA17" s="13"/>
      <c r="TMB17" s="13"/>
      <c r="TMC17" s="13"/>
      <c r="TMD17" s="13"/>
      <c r="TME17" s="13"/>
      <c r="TMF17" s="13"/>
      <c r="TMG17" s="13"/>
      <c r="TMH17" s="13"/>
      <c r="TMI17" s="13"/>
      <c r="TMJ17" s="13"/>
      <c r="TMK17" s="13"/>
      <c r="TML17" s="13"/>
      <c r="TMM17" s="13"/>
      <c r="TMN17" s="13"/>
      <c r="TMO17" s="13"/>
      <c r="TMP17" s="13"/>
      <c r="TMQ17" s="13"/>
      <c r="TMR17" s="13"/>
      <c r="TMS17" s="13"/>
      <c r="TMT17" s="13"/>
      <c r="TMU17" s="13"/>
      <c r="TMV17" s="13"/>
      <c r="TMW17" s="13"/>
      <c r="TMX17" s="13"/>
      <c r="TMY17" s="13"/>
      <c r="TMZ17" s="13"/>
      <c r="TNA17" s="13"/>
      <c r="TNB17" s="13"/>
      <c r="TNC17" s="13"/>
      <c r="TND17" s="13"/>
      <c r="TNE17" s="13"/>
      <c r="TNF17" s="13"/>
      <c r="TNG17" s="13"/>
      <c r="TNH17" s="13"/>
      <c r="TNI17" s="13"/>
      <c r="TNJ17" s="13"/>
      <c r="TNK17" s="13"/>
      <c r="TNL17" s="13"/>
      <c r="TNM17" s="13"/>
      <c r="TNN17" s="13"/>
      <c r="TNO17" s="13"/>
      <c r="TNP17" s="13"/>
      <c r="TNQ17" s="13"/>
      <c r="TNR17" s="13"/>
      <c r="TNS17" s="13"/>
      <c r="TNT17" s="13"/>
      <c r="TNU17" s="13"/>
      <c r="TNV17" s="13"/>
      <c r="TNW17" s="13"/>
      <c r="TNX17" s="13"/>
      <c r="TNY17" s="13"/>
      <c r="TNZ17" s="13"/>
      <c r="TOA17" s="13"/>
      <c r="TOB17" s="13"/>
      <c r="TOC17" s="13"/>
      <c r="TOD17" s="13"/>
      <c r="TOE17" s="13"/>
      <c r="TOF17" s="13"/>
      <c r="TOG17" s="13"/>
      <c r="TOH17" s="13"/>
      <c r="TOI17" s="13"/>
      <c r="TOJ17" s="13"/>
      <c r="TOK17" s="13"/>
      <c r="TOL17" s="13"/>
      <c r="TOM17" s="13"/>
      <c r="TON17" s="13"/>
      <c r="TOO17" s="13"/>
      <c r="TOP17" s="13"/>
      <c r="TOQ17" s="13"/>
      <c r="TOR17" s="13"/>
      <c r="TOS17" s="13"/>
      <c r="TOT17" s="13"/>
      <c r="TOU17" s="13"/>
      <c r="TOV17" s="13"/>
      <c r="TOW17" s="13"/>
      <c r="TOX17" s="13"/>
      <c r="TOY17" s="13"/>
      <c r="TOZ17" s="13"/>
      <c r="TPA17" s="13"/>
      <c r="TPB17" s="13"/>
      <c r="TPC17" s="13"/>
      <c r="TPD17" s="13"/>
      <c r="TPE17" s="13"/>
      <c r="TPF17" s="13"/>
      <c r="TPG17" s="13"/>
      <c r="TPH17" s="13"/>
      <c r="TPI17" s="13"/>
      <c r="TPJ17" s="13"/>
      <c r="TPK17" s="13"/>
      <c r="TPL17" s="13"/>
      <c r="TPM17" s="13"/>
      <c r="TPN17" s="13"/>
      <c r="TPO17" s="13"/>
      <c r="TPP17" s="13"/>
      <c r="TPQ17" s="13"/>
      <c r="TPR17" s="13"/>
      <c r="TPS17" s="13"/>
      <c r="TPT17" s="13"/>
      <c r="TPU17" s="13"/>
      <c r="TPV17" s="13"/>
      <c r="TPW17" s="13"/>
      <c r="TPX17" s="13"/>
      <c r="TPY17" s="13"/>
      <c r="TPZ17" s="13"/>
      <c r="TQA17" s="13"/>
      <c r="TQB17" s="13"/>
      <c r="TQC17" s="13"/>
      <c r="TQD17" s="13"/>
      <c r="TQE17" s="13"/>
      <c r="TQF17" s="13"/>
      <c r="TQG17" s="13"/>
      <c r="TQH17" s="13"/>
      <c r="TQI17" s="13"/>
      <c r="TQJ17" s="13"/>
      <c r="TQK17" s="13"/>
      <c r="TQL17" s="13"/>
      <c r="TQM17" s="13"/>
      <c r="TQN17" s="13"/>
      <c r="TQO17" s="13"/>
      <c r="TQP17" s="13"/>
      <c r="TQQ17" s="13"/>
      <c r="TQR17" s="13"/>
      <c r="TQS17" s="13"/>
      <c r="TQT17" s="13"/>
      <c r="TQU17" s="13"/>
      <c r="TQV17" s="13"/>
      <c r="TQW17" s="13"/>
      <c r="TQX17" s="13"/>
      <c r="TQY17" s="13"/>
      <c r="TQZ17" s="13"/>
      <c r="TRA17" s="13"/>
      <c r="TRB17" s="13"/>
      <c r="TRC17" s="13"/>
      <c r="TRD17" s="13"/>
      <c r="TRE17" s="13"/>
      <c r="TRF17" s="13"/>
      <c r="TRG17" s="13"/>
      <c r="TRH17" s="13"/>
      <c r="TRI17" s="13"/>
      <c r="TRJ17" s="13"/>
      <c r="TRK17" s="13"/>
      <c r="TRL17" s="13"/>
      <c r="TRM17" s="13"/>
      <c r="TRN17" s="13"/>
      <c r="TRO17" s="13"/>
      <c r="TRP17" s="13"/>
      <c r="TRQ17" s="13"/>
      <c r="TRR17" s="13"/>
      <c r="TRS17" s="13"/>
      <c r="TRT17" s="13"/>
      <c r="TRU17" s="13"/>
      <c r="TRV17" s="13"/>
      <c r="TRW17" s="13"/>
      <c r="TRX17" s="13"/>
      <c r="TRY17" s="13"/>
      <c r="TRZ17" s="13"/>
      <c r="TSA17" s="13"/>
      <c r="TSB17" s="13"/>
      <c r="TSC17" s="13"/>
      <c r="TSD17" s="13"/>
      <c r="TSE17" s="13"/>
      <c r="TSF17" s="13"/>
      <c r="TSG17" s="13"/>
      <c r="TSH17" s="13"/>
      <c r="TSI17" s="13"/>
      <c r="TSJ17" s="13"/>
      <c r="TSK17" s="13"/>
      <c r="TSL17" s="13"/>
      <c r="TSM17" s="13"/>
      <c r="TSN17" s="13"/>
      <c r="TSO17" s="13"/>
      <c r="TSP17" s="13"/>
      <c r="TSQ17" s="13"/>
      <c r="TSR17" s="13"/>
      <c r="TSS17" s="13"/>
      <c r="TST17" s="13"/>
      <c r="TSU17" s="13"/>
      <c r="TSV17" s="13"/>
      <c r="TSW17" s="13"/>
      <c r="TSX17" s="13"/>
      <c r="TSY17" s="13"/>
      <c r="TSZ17" s="13"/>
      <c r="TTA17" s="13"/>
      <c r="TTB17" s="13"/>
      <c r="TTC17" s="13"/>
      <c r="TTD17" s="13"/>
      <c r="TTE17" s="13"/>
      <c r="TTF17" s="13"/>
      <c r="TTG17" s="13"/>
      <c r="TTH17" s="13"/>
      <c r="TTI17" s="13"/>
      <c r="TTJ17" s="13"/>
      <c r="TTK17" s="13"/>
      <c r="TTL17" s="13"/>
      <c r="TTM17" s="13"/>
      <c r="TTN17" s="13"/>
      <c r="TTO17" s="13"/>
      <c r="TTP17" s="13"/>
      <c r="TTQ17" s="13"/>
      <c r="TTR17" s="13"/>
      <c r="TTS17" s="13"/>
      <c r="TTT17" s="13"/>
      <c r="TTU17" s="13"/>
      <c r="TTV17" s="13"/>
      <c r="TTW17" s="13"/>
      <c r="TTX17" s="13"/>
      <c r="TTY17" s="13"/>
      <c r="TTZ17" s="13"/>
      <c r="TUA17" s="13"/>
      <c r="TUB17" s="13"/>
      <c r="TUC17" s="13"/>
      <c r="TUD17" s="13"/>
      <c r="TUE17" s="13"/>
      <c r="TUF17" s="13"/>
      <c r="TUG17" s="13"/>
      <c r="TUH17" s="13"/>
      <c r="TUI17" s="13"/>
      <c r="TUJ17" s="13"/>
      <c r="TUK17" s="13"/>
      <c r="TUL17" s="13"/>
      <c r="TUM17" s="13"/>
      <c r="TUN17" s="13"/>
      <c r="TUO17" s="13"/>
      <c r="TUP17" s="13"/>
      <c r="TUQ17" s="13"/>
      <c r="TUR17" s="13"/>
      <c r="TUS17" s="13"/>
      <c r="TUT17" s="13"/>
      <c r="TUU17" s="13"/>
      <c r="TUV17" s="13"/>
      <c r="TUW17" s="13"/>
      <c r="TUX17" s="13"/>
      <c r="TUY17" s="13"/>
      <c r="TUZ17" s="13"/>
      <c r="TVA17" s="13"/>
      <c r="TVB17" s="13"/>
      <c r="TVC17" s="13"/>
      <c r="TVD17" s="13"/>
      <c r="TVE17" s="13"/>
      <c r="TVF17" s="13"/>
      <c r="TVG17" s="13"/>
      <c r="TVH17" s="13"/>
      <c r="TVI17" s="13"/>
      <c r="TVJ17" s="13"/>
      <c r="TVK17" s="13"/>
      <c r="TVL17" s="13"/>
      <c r="TVM17" s="13"/>
      <c r="TVN17" s="13"/>
      <c r="TVO17" s="13"/>
      <c r="TVP17" s="13"/>
      <c r="TVQ17" s="13"/>
      <c r="TVR17" s="13"/>
      <c r="TVS17" s="13"/>
      <c r="TVT17" s="13"/>
      <c r="TVU17" s="13"/>
      <c r="TVV17" s="13"/>
      <c r="TVW17" s="13"/>
      <c r="TVX17" s="13"/>
      <c r="TVY17" s="13"/>
      <c r="TVZ17" s="13"/>
      <c r="TWA17" s="13"/>
      <c r="TWB17" s="13"/>
      <c r="TWC17" s="13"/>
      <c r="TWD17" s="13"/>
      <c r="TWE17" s="13"/>
      <c r="TWF17" s="13"/>
      <c r="TWG17" s="13"/>
      <c r="TWH17" s="13"/>
      <c r="TWI17" s="13"/>
      <c r="TWJ17" s="13"/>
      <c r="TWK17" s="13"/>
      <c r="TWL17" s="13"/>
      <c r="TWM17" s="13"/>
      <c r="TWN17" s="13"/>
      <c r="TWO17" s="13"/>
      <c r="TWP17" s="13"/>
      <c r="TWQ17" s="13"/>
      <c r="TWR17" s="13"/>
      <c r="TWS17" s="13"/>
      <c r="TWT17" s="13"/>
      <c r="TWU17" s="13"/>
      <c r="TWV17" s="13"/>
      <c r="TWW17" s="13"/>
      <c r="TWX17" s="13"/>
      <c r="TWY17" s="13"/>
      <c r="TWZ17" s="13"/>
      <c r="TXA17" s="13"/>
      <c r="TXB17" s="13"/>
      <c r="TXC17" s="13"/>
      <c r="TXD17" s="13"/>
      <c r="TXE17" s="13"/>
      <c r="TXF17" s="13"/>
      <c r="TXG17" s="13"/>
      <c r="TXH17" s="13"/>
      <c r="TXI17" s="13"/>
      <c r="TXJ17" s="13"/>
      <c r="TXK17" s="13"/>
      <c r="TXL17" s="13"/>
      <c r="TXM17" s="13"/>
      <c r="TXN17" s="13"/>
      <c r="TXO17" s="13"/>
      <c r="TXP17" s="13"/>
      <c r="TXQ17" s="13"/>
      <c r="TXR17" s="13"/>
      <c r="TXS17" s="13"/>
      <c r="TXT17" s="13"/>
      <c r="TXU17" s="13"/>
      <c r="TXV17" s="13"/>
      <c r="TXW17" s="13"/>
      <c r="TXX17" s="13"/>
      <c r="TXY17" s="13"/>
      <c r="TXZ17" s="13"/>
      <c r="TYA17" s="13"/>
      <c r="TYB17" s="13"/>
      <c r="TYC17" s="13"/>
      <c r="TYD17" s="13"/>
      <c r="TYE17" s="13"/>
      <c r="TYF17" s="13"/>
      <c r="TYG17" s="13"/>
      <c r="TYH17" s="13"/>
      <c r="TYI17" s="13"/>
      <c r="TYJ17" s="13"/>
      <c r="TYK17" s="13"/>
      <c r="TYL17" s="13"/>
      <c r="TYM17" s="13"/>
      <c r="TYN17" s="13"/>
      <c r="TYO17" s="13"/>
      <c r="TYP17" s="13"/>
      <c r="TYQ17" s="13"/>
      <c r="TYR17" s="13"/>
      <c r="TYS17" s="13"/>
      <c r="TYT17" s="13"/>
      <c r="TYU17" s="13"/>
      <c r="TYV17" s="13"/>
      <c r="TYW17" s="13"/>
      <c r="TYX17" s="13"/>
      <c r="TYY17" s="13"/>
      <c r="TYZ17" s="13"/>
      <c r="TZA17" s="13"/>
      <c r="TZB17" s="13"/>
      <c r="TZC17" s="13"/>
      <c r="TZD17" s="13"/>
      <c r="TZE17" s="13"/>
      <c r="TZF17" s="13"/>
      <c r="TZG17" s="13"/>
      <c r="TZH17" s="13"/>
      <c r="TZI17" s="13"/>
      <c r="TZJ17" s="13"/>
      <c r="TZK17" s="13"/>
      <c r="TZL17" s="13"/>
      <c r="TZM17" s="13"/>
      <c r="TZN17" s="13"/>
      <c r="TZO17" s="13"/>
      <c r="TZP17" s="13"/>
      <c r="TZQ17" s="13"/>
      <c r="TZR17" s="13"/>
      <c r="TZS17" s="13"/>
      <c r="TZT17" s="13"/>
      <c r="TZU17" s="13"/>
      <c r="TZV17" s="13"/>
      <c r="TZW17" s="13"/>
      <c r="TZX17" s="13"/>
      <c r="TZY17" s="13"/>
      <c r="TZZ17" s="13"/>
      <c r="UAA17" s="13"/>
      <c r="UAB17" s="13"/>
      <c r="UAC17" s="13"/>
      <c r="UAD17" s="13"/>
      <c r="UAE17" s="13"/>
      <c r="UAF17" s="13"/>
      <c r="UAG17" s="13"/>
      <c r="UAH17" s="13"/>
      <c r="UAI17" s="13"/>
      <c r="UAJ17" s="13"/>
      <c r="UAK17" s="13"/>
      <c r="UAL17" s="13"/>
      <c r="UAM17" s="13"/>
      <c r="UAN17" s="13"/>
      <c r="UAO17" s="13"/>
      <c r="UAP17" s="13"/>
      <c r="UAQ17" s="13"/>
      <c r="UAR17" s="13"/>
      <c r="UAS17" s="13"/>
      <c r="UAT17" s="13"/>
      <c r="UAU17" s="13"/>
      <c r="UAV17" s="13"/>
      <c r="UAW17" s="13"/>
      <c r="UAX17" s="13"/>
      <c r="UAY17" s="13"/>
      <c r="UAZ17" s="13"/>
      <c r="UBA17" s="13"/>
      <c r="UBB17" s="13"/>
      <c r="UBC17" s="13"/>
      <c r="UBD17" s="13"/>
      <c r="UBE17" s="13"/>
      <c r="UBF17" s="13"/>
      <c r="UBG17" s="13"/>
      <c r="UBH17" s="13"/>
      <c r="UBI17" s="13"/>
      <c r="UBJ17" s="13"/>
      <c r="UBK17" s="13"/>
      <c r="UBL17" s="13"/>
      <c r="UBM17" s="13"/>
      <c r="UBN17" s="13"/>
      <c r="UBO17" s="13"/>
      <c r="UBP17" s="13"/>
      <c r="UBQ17" s="13"/>
      <c r="UBR17" s="13"/>
      <c r="UBS17" s="13"/>
      <c r="UBT17" s="13"/>
      <c r="UBU17" s="13"/>
      <c r="UBV17" s="13"/>
      <c r="UBW17" s="13"/>
      <c r="UBX17" s="13"/>
      <c r="UBY17" s="13"/>
      <c r="UBZ17" s="13"/>
      <c r="UCA17" s="13"/>
      <c r="UCB17" s="13"/>
      <c r="UCC17" s="13"/>
      <c r="UCD17" s="13"/>
      <c r="UCE17" s="13"/>
      <c r="UCF17" s="13"/>
      <c r="UCG17" s="13"/>
      <c r="UCH17" s="13"/>
      <c r="UCI17" s="13"/>
      <c r="UCJ17" s="13"/>
      <c r="UCK17" s="13"/>
      <c r="UCL17" s="13"/>
      <c r="UCM17" s="13"/>
      <c r="UCN17" s="13"/>
      <c r="UCO17" s="13"/>
      <c r="UCP17" s="13"/>
      <c r="UCQ17" s="13"/>
      <c r="UCR17" s="13"/>
      <c r="UCS17" s="13"/>
      <c r="UCT17" s="13"/>
      <c r="UCU17" s="13"/>
      <c r="UCV17" s="13"/>
      <c r="UCW17" s="13"/>
      <c r="UCX17" s="13"/>
      <c r="UCY17" s="13"/>
      <c r="UCZ17" s="13"/>
      <c r="UDA17" s="13"/>
      <c r="UDB17" s="13"/>
      <c r="UDC17" s="13"/>
      <c r="UDD17" s="13"/>
      <c r="UDE17" s="13"/>
      <c r="UDF17" s="13"/>
      <c r="UDG17" s="13"/>
      <c r="UDH17" s="13"/>
      <c r="UDI17" s="13"/>
      <c r="UDJ17" s="13"/>
      <c r="UDK17" s="13"/>
      <c r="UDL17" s="13"/>
      <c r="UDM17" s="13"/>
      <c r="UDN17" s="13"/>
      <c r="UDO17" s="13"/>
      <c r="UDP17" s="13"/>
      <c r="UDQ17" s="13"/>
      <c r="UDR17" s="13"/>
      <c r="UDS17" s="13"/>
      <c r="UDT17" s="13"/>
      <c r="UDU17" s="13"/>
      <c r="UDV17" s="13"/>
      <c r="UDW17" s="13"/>
      <c r="UDX17" s="13"/>
      <c r="UDY17" s="13"/>
      <c r="UDZ17" s="13"/>
      <c r="UEA17" s="13"/>
      <c r="UEB17" s="13"/>
      <c r="UEC17" s="13"/>
      <c r="UED17" s="13"/>
      <c r="UEE17" s="13"/>
      <c r="UEF17" s="13"/>
      <c r="UEG17" s="13"/>
      <c r="UEH17" s="13"/>
      <c r="UEI17" s="13"/>
      <c r="UEJ17" s="13"/>
      <c r="UEK17" s="13"/>
      <c r="UEL17" s="13"/>
      <c r="UEM17" s="13"/>
      <c r="UEN17" s="13"/>
      <c r="UEO17" s="13"/>
      <c r="UEP17" s="13"/>
      <c r="UEQ17" s="13"/>
      <c r="UER17" s="13"/>
      <c r="UES17" s="13"/>
      <c r="UET17" s="13"/>
      <c r="UEU17" s="13"/>
      <c r="UEV17" s="13"/>
      <c r="UEW17" s="13"/>
      <c r="UEX17" s="13"/>
      <c r="UEY17" s="13"/>
      <c r="UEZ17" s="13"/>
      <c r="UFA17" s="13"/>
      <c r="UFB17" s="13"/>
      <c r="UFC17" s="13"/>
      <c r="UFD17" s="13"/>
      <c r="UFE17" s="13"/>
      <c r="UFF17" s="13"/>
      <c r="UFG17" s="13"/>
      <c r="UFH17" s="13"/>
      <c r="UFI17" s="13"/>
      <c r="UFJ17" s="13"/>
      <c r="UFK17" s="13"/>
      <c r="UFL17" s="13"/>
      <c r="UFM17" s="13"/>
      <c r="UFN17" s="13"/>
      <c r="UFO17" s="13"/>
      <c r="UFP17" s="13"/>
      <c r="UFQ17" s="13"/>
      <c r="UFR17" s="13"/>
      <c r="UFS17" s="13"/>
      <c r="UFT17" s="13"/>
      <c r="UFU17" s="13"/>
      <c r="UFV17" s="13"/>
      <c r="UFW17" s="13"/>
      <c r="UFX17" s="13"/>
      <c r="UFY17" s="13"/>
      <c r="UFZ17" s="13"/>
      <c r="UGA17" s="13"/>
      <c r="UGB17" s="13"/>
      <c r="UGC17" s="13"/>
      <c r="UGD17" s="13"/>
      <c r="UGE17" s="13"/>
      <c r="UGF17" s="13"/>
      <c r="UGG17" s="13"/>
      <c r="UGH17" s="13"/>
      <c r="UGI17" s="13"/>
      <c r="UGJ17" s="13"/>
      <c r="UGK17" s="13"/>
      <c r="UGL17" s="13"/>
      <c r="UGM17" s="13"/>
      <c r="UGN17" s="13"/>
      <c r="UGO17" s="13"/>
      <c r="UGP17" s="13"/>
      <c r="UGQ17" s="13"/>
      <c r="UGR17" s="13"/>
      <c r="UGS17" s="13"/>
      <c r="UGT17" s="13"/>
      <c r="UGU17" s="13"/>
      <c r="UGV17" s="13"/>
      <c r="UGW17" s="13"/>
      <c r="UGX17" s="13"/>
      <c r="UGY17" s="13"/>
      <c r="UGZ17" s="13"/>
      <c r="UHA17" s="13"/>
      <c r="UHB17" s="13"/>
      <c r="UHC17" s="13"/>
      <c r="UHD17" s="13"/>
      <c r="UHE17" s="13"/>
      <c r="UHF17" s="13"/>
      <c r="UHG17" s="13"/>
      <c r="UHH17" s="13"/>
      <c r="UHI17" s="13"/>
      <c r="UHJ17" s="13"/>
      <c r="UHK17" s="13"/>
      <c r="UHL17" s="13"/>
      <c r="UHM17" s="13"/>
      <c r="UHN17" s="13"/>
      <c r="UHO17" s="13"/>
      <c r="UHP17" s="13"/>
      <c r="UHQ17" s="13"/>
      <c r="UHR17" s="13"/>
      <c r="UHS17" s="13"/>
      <c r="UHT17" s="13"/>
      <c r="UHU17" s="13"/>
      <c r="UHV17" s="13"/>
      <c r="UHW17" s="13"/>
      <c r="UHX17" s="13"/>
      <c r="UHY17" s="13"/>
      <c r="UHZ17" s="13"/>
      <c r="UIA17" s="13"/>
      <c r="UIB17" s="13"/>
      <c r="UIC17" s="13"/>
      <c r="UID17" s="13"/>
      <c r="UIE17" s="13"/>
      <c r="UIF17" s="13"/>
      <c r="UIG17" s="13"/>
      <c r="UIH17" s="13"/>
      <c r="UII17" s="13"/>
      <c r="UIJ17" s="13"/>
      <c r="UIK17" s="13"/>
      <c r="UIL17" s="13"/>
      <c r="UIM17" s="13"/>
      <c r="UIN17" s="13"/>
      <c r="UIO17" s="13"/>
      <c r="UIP17" s="13"/>
      <c r="UIQ17" s="13"/>
      <c r="UIR17" s="13"/>
      <c r="UIS17" s="13"/>
      <c r="UIT17" s="13"/>
      <c r="UIU17" s="13"/>
      <c r="UIV17" s="13"/>
      <c r="UIW17" s="13"/>
      <c r="UIX17" s="13"/>
      <c r="UIY17" s="13"/>
      <c r="UIZ17" s="13"/>
      <c r="UJA17" s="13"/>
      <c r="UJB17" s="13"/>
      <c r="UJC17" s="13"/>
      <c r="UJD17" s="13"/>
      <c r="UJE17" s="13"/>
      <c r="UJF17" s="13"/>
      <c r="UJG17" s="13"/>
      <c r="UJH17" s="13"/>
      <c r="UJI17" s="13"/>
      <c r="UJJ17" s="13"/>
      <c r="UJK17" s="13"/>
      <c r="UJL17" s="13"/>
      <c r="UJM17" s="13"/>
      <c r="UJN17" s="13"/>
      <c r="UJO17" s="13"/>
      <c r="UJP17" s="13"/>
      <c r="UJQ17" s="13"/>
      <c r="UJR17" s="13"/>
      <c r="UJS17" s="13"/>
      <c r="UJT17" s="13"/>
      <c r="UJU17" s="13"/>
      <c r="UJV17" s="13"/>
      <c r="UJW17" s="13"/>
      <c r="UJX17" s="13"/>
      <c r="UJY17" s="13"/>
      <c r="UJZ17" s="13"/>
      <c r="UKA17" s="13"/>
      <c r="UKB17" s="13"/>
      <c r="UKC17" s="13"/>
      <c r="UKD17" s="13"/>
      <c r="UKE17" s="13"/>
      <c r="UKF17" s="13"/>
      <c r="UKG17" s="13"/>
      <c r="UKH17" s="13"/>
      <c r="UKI17" s="13"/>
      <c r="UKJ17" s="13"/>
      <c r="UKK17" s="13"/>
      <c r="UKL17" s="13"/>
      <c r="UKM17" s="13"/>
      <c r="UKN17" s="13"/>
      <c r="UKO17" s="13"/>
      <c r="UKP17" s="13"/>
      <c r="UKQ17" s="13"/>
      <c r="UKR17" s="13"/>
      <c r="UKS17" s="13"/>
      <c r="UKT17" s="13"/>
      <c r="UKU17" s="13"/>
      <c r="UKV17" s="13"/>
      <c r="UKW17" s="13"/>
      <c r="UKX17" s="13"/>
      <c r="UKY17" s="13"/>
      <c r="UKZ17" s="13"/>
      <c r="ULA17" s="13"/>
      <c r="ULB17" s="13"/>
      <c r="ULC17" s="13"/>
      <c r="ULD17" s="13"/>
      <c r="ULE17" s="13"/>
      <c r="ULF17" s="13"/>
      <c r="ULG17" s="13"/>
      <c r="ULH17" s="13"/>
      <c r="ULI17" s="13"/>
      <c r="ULJ17" s="13"/>
      <c r="ULK17" s="13"/>
      <c r="ULL17" s="13"/>
      <c r="ULM17" s="13"/>
      <c r="ULN17" s="13"/>
      <c r="ULO17" s="13"/>
      <c r="ULP17" s="13"/>
      <c r="ULQ17" s="13"/>
      <c r="ULR17" s="13"/>
      <c r="ULS17" s="13"/>
      <c r="ULT17" s="13"/>
      <c r="ULU17" s="13"/>
      <c r="ULV17" s="13"/>
      <c r="ULW17" s="13"/>
      <c r="ULX17" s="13"/>
      <c r="ULY17" s="13"/>
      <c r="ULZ17" s="13"/>
      <c r="UMA17" s="13"/>
      <c r="UMB17" s="13"/>
      <c r="UMC17" s="13"/>
      <c r="UMD17" s="13"/>
      <c r="UME17" s="13"/>
      <c r="UMF17" s="13"/>
      <c r="UMG17" s="13"/>
      <c r="UMH17" s="13"/>
      <c r="UMI17" s="13"/>
      <c r="UMJ17" s="13"/>
      <c r="UMK17" s="13"/>
      <c r="UML17" s="13"/>
      <c r="UMM17" s="13"/>
      <c r="UMN17" s="13"/>
      <c r="UMO17" s="13"/>
      <c r="UMP17" s="13"/>
      <c r="UMQ17" s="13"/>
      <c r="UMR17" s="13"/>
      <c r="UMS17" s="13"/>
      <c r="UMT17" s="13"/>
      <c r="UMU17" s="13"/>
      <c r="UMV17" s="13"/>
      <c r="UMW17" s="13"/>
      <c r="UMX17" s="13"/>
      <c r="UMY17" s="13"/>
      <c r="UMZ17" s="13"/>
      <c r="UNA17" s="13"/>
      <c r="UNB17" s="13"/>
      <c r="UNC17" s="13"/>
      <c r="UND17" s="13"/>
      <c r="UNE17" s="13"/>
      <c r="UNF17" s="13"/>
      <c r="UNG17" s="13"/>
      <c r="UNH17" s="13"/>
      <c r="UNI17" s="13"/>
      <c r="UNJ17" s="13"/>
      <c r="UNK17" s="13"/>
      <c r="UNL17" s="13"/>
      <c r="UNM17" s="13"/>
      <c r="UNN17" s="13"/>
      <c r="UNO17" s="13"/>
      <c r="UNP17" s="13"/>
      <c r="UNQ17" s="13"/>
      <c r="UNR17" s="13"/>
      <c r="UNS17" s="13"/>
      <c r="UNT17" s="13"/>
      <c r="UNU17" s="13"/>
      <c r="UNV17" s="13"/>
      <c r="UNW17" s="13"/>
      <c r="UNX17" s="13"/>
      <c r="UNY17" s="13"/>
      <c r="UNZ17" s="13"/>
      <c r="UOA17" s="13"/>
      <c r="UOB17" s="13"/>
      <c r="UOC17" s="13"/>
      <c r="UOD17" s="13"/>
      <c r="UOE17" s="13"/>
      <c r="UOF17" s="13"/>
      <c r="UOG17" s="13"/>
      <c r="UOH17" s="13"/>
      <c r="UOI17" s="13"/>
      <c r="UOJ17" s="13"/>
      <c r="UOK17" s="13"/>
      <c r="UOL17" s="13"/>
      <c r="UOM17" s="13"/>
      <c r="UON17" s="13"/>
      <c r="UOO17" s="13"/>
      <c r="UOP17" s="13"/>
      <c r="UOQ17" s="13"/>
      <c r="UOR17" s="13"/>
      <c r="UOS17" s="13"/>
      <c r="UOT17" s="13"/>
      <c r="UOU17" s="13"/>
      <c r="UOV17" s="13"/>
      <c r="UOW17" s="13"/>
      <c r="UOX17" s="13"/>
      <c r="UOY17" s="13"/>
      <c r="UOZ17" s="13"/>
      <c r="UPA17" s="13"/>
      <c r="UPB17" s="13"/>
      <c r="UPC17" s="13"/>
      <c r="UPD17" s="13"/>
      <c r="UPE17" s="13"/>
      <c r="UPF17" s="13"/>
      <c r="UPG17" s="13"/>
      <c r="UPH17" s="13"/>
      <c r="UPI17" s="13"/>
      <c r="UPJ17" s="13"/>
      <c r="UPK17" s="13"/>
      <c r="UPL17" s="13"/>
      <c r="UPM17" s="13"/>
      <c r="UPN17" s="13"/>
      <c r="UPO17" s="13"/>
      <c r="UPP17" s="13"/>
      <c r="UPQ17" s="13"/>
      <c r="UPR17" s="13"/>
      <c r="UPS17" s="13"/>
      <c r="UPT17" s="13"/>
      <c r="UPU17" s="13"/>
      <c r="UPV17" s="13"/>
      <c r="UPW17" s="13"/>
      <c r="UPX17" s="13"/>
      <c r="UPY17" s="13"/>
      <c r="UPZ17" s="13"/>
      <c r="UQA17" s="13"/>
      <c r="UQB17" s="13"/>
      <c r="UQC17" s="13"/>
      <c r="UQD17" s="13"/>
      <c r="UQE17" s="13"/>
      <c r="UQF17" s="13"/>
      <c r="UQG17" s="13"/>
      <c r="UQH17" s="13"/>
      <c r="UQI17" s="13"/>
      <c r="UQJ17" s="13"/>
      <c r="UQK17" s="13"/>
      <c r="UQL17" s="13"/>
      <c r="UQM17" s="13"/>
      <c r="UQN17" s="13"/>
      <c r="UQO17" s="13"/>
      <c r="UQP17" s="13"/>
      <c r="UQQ17" s="13"/>
      <c r="UQR17" s="13"/>
      <c r="UQS17" s="13"/>
      <c r="UQT17" s="13"/>
      <c r="UQU17" s="13"/>
      <c r="UQV17" s="13"/>
      <c r="UQW17" s="13"/>
      <c r="UQX17" s="13"/>
      <c r="UQY17" s="13"/>
      <c r="UQZ17" s="13"/>
      <c r="URA17" s="13"/>
      <c r="URB17" s="13"/>
      <c r="URC17" s="13"/>
      <c r="URD17" s="13"/>
      <c r="URE17" s="13"/>
      <c r="URF17" s="13"/>
      <c r="URG17" s="13"/>
      <c r="URH17" s="13"/>
      <c r="URI17" s="13"/>
      <c r="URJ17" s="13"/>
      <c r="URK17" s="13"/>
      <c r="URL17" s="13"/>
      <c r="URM17" s="13"/>
      <c r="URN17" s="13"/>
      <c r="URO17" s="13"/>
      <c r="URP17" s="13"/>
      <c r="URQ17" s="13"/>
      <c r="URR17" s="13"/>
      <c r="URS17" s="13"/>
      <c r="URT17" s="13"/>
      <c r="URU17" s="13"/>
      <c r="URV17" s="13"/>
      <c r="URW17" s="13"/>
      <c r="URX17" s="13"/>
      <c r="URY17" s="13"/>
      <c r="URZ17" s="13"/>
      <c r="USA17" s="13"/>
      <c r="USB17" s="13"/>
      <c r="USC17" s="13"/>
      <c r="USD17" s="13"/>
      <c r="USE17" s="13"/>
      <c r="USF17" s="13"/>
      <c r="USG17" s="13"/>
      <c r="USH17" s="13"/>
      <c r="USI17" s="13"/>
      <c r="USJ17" s="13"/>
      <c r="USK17" s="13"/>
      <c r="USL17" s="13"/>
      <c r="USM17" s="13"/>
      <c r="USN17" s="13"/>
      <c r="USO17" s="13"/>
      <c r="USP17" s="13"/>
      <c r="USQ17" s="13"/>
      <c r="USR17" s="13"/>
      <c r="USS17" s="13"/>
      <c r="UST17" s="13"/>
      <c r="USU17" s="13"/>
      <c r="USV17" s="13"/>
      <c r="USW17" s="13"/>
      <c r="USX17" s="13"/>
      <c r="USY17" s="13"/>
      <c r="USZ17" s="13"/>
      <c r="UTA17" s="13"/>
      <c r="UTB17" s="13"/>
      <c r="UTC17" s="13"/>
      <c r="UTD17" s="13"/>
      <c r="UTE17" s="13"/>
      <c r="UTF17" s="13"/>
      <c r="UTG17" s="13"/>
      <c r="UTH17" s="13"/>
      <c r="UTI17" s="13"/>
      <c r="UTJ17" s="13"/>
      <c r="UTK17" s="13"/>
      <c r="UTL17" s="13"/>
      <c r="UTM17" s="13"/>
      <c r="UTN17" s="13"/>
      <c r="UTO17" s="13"/>
      <c r="UTP17" s="13"/>
      <c r="UTQ17" s="13"/>
      <c r="UTR17" s="13"/>
      <c r="UTS17" s="13"/>
      <c r="UTT17" s="13"/>
      <c r="UTU17" s="13"/>
      <c r="UTV17" s="13"/>
      <c r="UTW17" s="13"/>
      <c r="UTX17" s="13"/>
      <c r="UTY17" s="13"/>
      <c r="UTZ17" s="13"/>
      <c r="UUA17" s="13"/>
      <c r="UUB17" s="13"/>
      <c r="UUC17" s="13"/>
      <c r="UUD17" s="13"/>
      <c r="UUE17" s="13"/>
      <c r="UUF17" s="13"/>
      <c r="UUG17" s="13"/>
      <c r="UUH17" s="13"/>
      <c r="UUI17" s="13"/>
      <c r="UUJ17" s="13"/>
      <c r="UUK17" s="13"/>
      <c r="UUL17" s="13"/>
      <c r="UUM17" s="13"/>
      <c r="UUN17" s="13"/>
      <c r="UUO17" s="13"/>
      <c r="UUP17" s="13"/>
      <c r="UUQ17" s="13"/>
      <c r="UUR17" s="13"/>
      <c r="UUS17" s="13"/>
      <c r="UUT17" s="13"/>
      <c r="UUU17" s="13"/>
      <c r="UUV17" s="13"/>
      <c r="UUW17" s="13"/>
      <c r="UUX17" s="13"/>
      <c r="UUY17" s="13"/>
      <c r="UUZ17" s="13"/>
      <c r="UVA17" s="13"/>
      <c r="UVB17" s="13"/>
      <c r="UVC17" s="13"/>
      <c r="UVD17" s="13"/>
      <c r="UVE17" s="13"/>
      <c r="UVF17" s="13"/>
      <c r="UVG17" s="13"/>
      <c r="UVH17" s="13"/>
      <c r="UVI17" s="13"/>
      <c r="UVJ17" s="13"/>
      <c r="UVK17" s="13"/>
      <c r="UVL17" s="13"/>
      <c r="UVM17" s="13"/>
      <c r="UVN17" s="13"/>
      <c r="UVO17" s="13"/>
      <c r="UVP17" s="13"/>
      <c r="UVQ17" s="13"/>
      <c r="UVR17" s="13"/>
      <c r="UVS17" s="13"/>
      <c r="UVT17" s="13"/>
      <c r="UVU17" s="13"/>
      <c r="UVV17" s="13"/>
      <c r="UVW17" s="13"/>
      <c r="UVX17" s="13"/>
      <c r="UVY17" s="13"/>
      <c r="UVZ17" s="13"/>
      <c r="UWA17" s="13"/>
      <c r="UWB17" s="13"/>
      <c r="UWC17" s="13"/>
      <c r="UWD17" s="13"/>
      <c r="UWE17" s="13"/>
      <c r="UWF17" s="13"/>
      <c r="UWG17" s="13"/>
      <c r="UWH17" s="13"/>
      <c r="UWI17" s="13"/>
      <c r="UWJ17" s="13"/>
      <c r="UWK17" s="13"/>
      <c r="UWL17" s="13"/>
      <c r="UWM17" s="13"/>
      <c r="UWN17" s="13"/>
      <c r="UWO17" s="13"/>
      <c r="UWP17" s="13"/>
      <c r="UWQ17" s="13"/>
      <c r="UWR17" s="13"/>
      <c r="UWS17" s="13"/>
      <c r="UWT17" s="13"/>
      <c r="UWU17" s="13"/>
      <c r="UWV17" s="13"/>
      <c r="UWW17" s="13"/>
      <c r="UWX17" s="13"/>
      <c r="UWY17" s="13"/>
      <c r="UWZ17" s="13"/>
      <c r="UXA17" s="13"/>
      <c r="UXB17" s="13"/>
      <c r="UXC17" s="13"/>
      <c r="UXD17" s="13"/>
      <c r="UXE17" s="13"/>
      <c r="UXF17" s="13"/>
      <c r="UXG17" s="13"/>
      <c r="UXH17" s="13"/>
      <c r="UXI17" s="13"/>
      <c r="UXJ17" s="13"/>
      <c r="UXK17" s="13"/>
      <c r="UXL17" s="13"/>
      <c r="UXM17" s="13"/>
      <c r="UXN17" s="13"/>
      <c r="UXO17" s="13"/>
      <c r="UXP17" s="13"/>
      <c r="UXQ17" s="13"/>
      <c r="UXR17" s="13"/>
      <c r="UXS17" s="13"/>
      <c r="UXT17" s="13"/>
      <c r="UXU17" s="13"/>
      <c r="UXV17" s="13"/>
      <c r="UXW17" s="13"/>
      <c r="UXX17" s="13"/>
      <c r="UXY17" s="13"/>
      <c r="UXZ17" s="13"/>
      <c r="UYA17" s="13"/>
      <c r="UYB17" s="13"/>
      <c r="UYC17" s="13"/>
      <c r="UYD17" s="13"/>
      <c r="UYE17" s="13"/>
      <c r="UYF17" s="13"/>
      <c r="UYG17" s="13"/>
      <c r="UYH17" s="13"/>
      <c r="UYI17" s="13"/>
      <c r="UYJ17" s="13"/>
      <c r="UYK17" s="13"/>
      <c r="UYL17" s="13"/>
      <c r="UYM17" s="13"/>
      <c r="UYN17" s="13"/>
      <c r="UYO17" s="13"/>
      <c r="UYP17" s="13"/>
      <c r="UYQ17" s="13"/>
      <c r="UYR17" s="13"/>
      <c r="UYS17" s="13"/>
      <c r="UYT17" s="13"/>
      <c r="UYU17" s="13"/>
      <c r="UYV17" s="13"/>
      <c r="UYW17" s="13"/>
      <c r="UYX17" s="13"/>
      <c r="UYY17" s="13"/>
      <c r="UYZ17" s="13"/>
      <c r="UZA17" s="13"/>
      <c r="UZB17" s="13"/>
      <c r="UZC17" s="13"/>
      <c r="UZD17" s="13"/>
      <c r="UZE17" s="13"/>
      <c r="UZF17" s="13"/>
      <c r="UZG17" s="13"/>
      <c r="UZH17" s="13"/>
      <c r="UZI17" s="13"/>
      <c r="UZJ17" s="13"/>
      <c r="UZK17" s="13"/>
      <c r="UZL17" s="13"/>
      <c r="UZM17" s="13"/>
      <c r="UZN17" s="13"/>
      <c r="UZO17" s="13"/>
      <c r="UZP17" s="13"/>
      <c r="UZQ17" s="13"/>
      <c r="UZR17" s="13"/>
      <c r="UZS17" s="13"/>
      <c r="UZT17" s="13"/>
      <c r="UZU17" s="13"/>
      <c r="UZV17" s="13"/>
      <c r="UZW17" s="13"/>
      <c r="UZX17" s="13"/>
      <c r="UZY17" s="13"/>
      <c r="UZZ17" s="13"/>
      <c r="VAA17" s="13"/>
      <c r="VAB17" s="13"/>
      <c r="VAC17" s="13"/>
      <c r="VAD17" s="13"/>
      <c r="VAE17" s="13"/>
      <c r="VAF17" s="13"/>
      <c r="VAG17" s="13"/>
      <c r="VAH17" s="13"/>
      <c r="VAI17" s="13"/>
      <c r="VAJ17" s="13"/>
      <c r="VAK17" s="13"/>
      <c r="VAL17" s="13"/>
      <c r="VAM17" s="13"/>
      <c r="VAN17" s="13"/>
      <c r="VAO17" s="13"/>
      <c r="VAP17" s="13"/>
      <c r="VAQ17" s="13"/>
      <c r="VAR17" s="13"/>
      <c r="VAS17" s="13"/>
      <c r="VAT17" s="13"/>
      <c r="VAU17" s="13"/>
      <c r="VAV17" s="13"/>
      <c r="VAW17" s="13"/>
      <c r="VAX17" s="13"/>
      <c r="VAY17" s="13"/>
      <c r="VAZ17" s="13"/>
      <c r="VBA17" s="13"/>
      <c r="VBB17" s="13"/>
      <c r="VBC17" s="13"/>
      <c r="VBD17" s="13"/>
      <c r="VBE17" s="13"/>
      <c r="VBF17" s="13"/>
      <c r="VBG17" s="13"/>
      <c r="VBH17" s="13"/>
      <c r="VBI17" s="13"/>
      <c r="VBJ17" s="13"/>
      <c r="VBK17" s="13"/>
      <c r="VBL17" s="13"/>
      <c r="VBM17" s="13"/>
      <c r="VBN17" s="13"/>
      <c r="VBO17" s="13"/>
      <c r="VBP17" s="13"/>
      <c r="VBQ17" s="13"/>
      <c r="VBR17" s="13"/>
      <c r="VBS17" s="13"/>
      <c r="VBT17" s="13"/>
      <c r="VBU17" s="13"/>
      <c r="VBV17" s="13"/>
      <c r="VBW17" s="13"/>
      <c r="VBX17" s="13"/>
      <c r="VBY17" s="13"/>
      <c r="VBZ17" s="13"/>
      <c r="VCA17" s="13"/>
      <c r="VCB17" s="13"/>
      <c r="VCC17" s="13"/>
      <c r="VCD17" s="13"/>
      <c r="VCE17" s="13"/>
      <c r="VCF17" s="13"/>
      <c r="VCG17" s="13"/>
      <c r="VCH17" s="13"/>
      <c r="VCI17" s="13"/>
      <c r="VCJ17" s="13"/>
      <c r="VCK17" s="13"/>
      <c r="VCL17" s="13"/>
      <c r="VCM17" s="13"/>
      <c r="VCN17" s="13"/>
      <c r="VCO17" s="13"/>
      <c r="VCP17" s="13"/>
      <c r="VCQ17" s="13"/>
      <c r="VCR17" s="13"/>
      <c r="VCS17" s="13"/>
      <c r="VCT17" s="13"/>
      <c r="VCU17" s="13"/>
      <c r="VCV17" s="13"/>
      <c r="VCW17" s="13"/>
      <c r="VCX17" s="13"/>
      <c r="VCY17" s="13"/>
      <c r="VCZ17" s="13"/>
      <c r="VDA17" s="13"/>
      <c r="VDB17" s="13"/>
      <c r="VDC17" s="13"/>
      <c r="VDD17" s="13"/>
      <c r="VDE17" s="13"/>
      <c r="VDF17" s="13"/>
      <c r="VDG17" s="13"/>
      <c r="VDH17" s="13"/>
      <c r="VDI17" s="13"/>
      <c r="VDJ17" s="13"/>
      <c r="VDK17" s="13"/>
      <c r="VDL17" s="13"/>
      <c r="VDM17" s="13"/>
      <c r="VDN17" s="13"/>
      <c r="VDO17" s="13"/>
      <c r="VDP17" s="13"/>
      <c r="VDQ17" s="13"/>
      <c r="VDR17" s="13"/>
      <c r="VDS17" s="13"/>
      <c r="VDT17" s="13"/>
      <c r="VDU17" s="13"/>
      <c r="VDV17" s="13"/>
      <c r="VDW17" s="13"/>
      <c r="VDX17" s="13"/>
      <c r="VDY17" s="13"/>
      <c r="VDZ17" s="13"/>
      <c r="VEA17" s="13"/>
      <c r="VEB17" s="13"/>
      <c r="VEC17" s="13"/>
      <c r="VED17" s="13"/>
      <c r="VEE17" s="13"/>
      <c r="VEF17" s="13"/>
      <c r="VEG17" s="13"/>
      <c r="VEH17" s="13"/>
      <c r="VEI17" s="13"/>
      <c r="VEJ17" s="13"/>
      <c r="VEK17" s="13"/>
      <c r="VEL17" s="13"/>
      <c r="VEM17" s="13"/>
      <c r="VEN17" s="13"/>
      <c r="VEO17" s="13"/>
      <c r="VEP17" s="13"/>
      <c r="VEQ17" s="13"/>
      <c r="VER17" s="13"/>
      <c r="VES17" s="13"/>
      <c r="VET17" s="13"/>
      <c r="VEU17" s="13"/>
      <c r="VEV17" s="13"/>
      <c r="VEW17" s="13"/>
      <c r="VEX17" s="13"/>
      <c r="VEY17" s="13"/>
      <c r="VEZ17" s="13"/>
      <c r="VFA17" s="13"/>
      <c r="VFB17" s="13"/>
      <c r="VFC17" s="13"/>
      <c r="VFD17" s="13"/>
      <c r="VFE17" s="13"/>
      <c r="VFF17" s="13"/>
      <c r="VFG17" s="13"/>
      <c r="VFH17" s="13"/>
      <c r="VFI17" s="13"/>
      <c r="VFJ17" s="13"/>
      <c r="VFK17" s="13"/>
      <c r="VFL17" s="13"/>
      <c r="VFM17" s="13"/>
      <c r="VFN17" s="13"/>
      <c r="VFO17" s="13"/>
      <c r="VFP17" s="13"/>
      <c r="VFQ17" s="13"/>
      <c r="VFR17" s="13"/>
      <c r="VFS17" s="13"/>
      <c r="VFT17" s="13"/>
      <c r="VFU17" s="13"/>
      <c r="VFV17" s="13"/>
      <c r="VFW17" s="13"/>
      <c r="VFX17" s="13"/>
      <c r="VFY17" s="13"/>
      <c r="VFZ17" s="13"/>
      <c r="VGA17" s="13"/>
      <c r="VGB17" s="13"/>
      <c r="VGC17" s="13"/>
      <c r="VGD17" s="13"/>
      <c r="VGE17" s="13"/>
      <c r="VGF17" s="13"/>
      <c r="VGG17" s="13"/>
      <c r="VGH17" s="13"/>
      <c r="VGI17" s="13"/>
      <c r="VGJ17" s="13"/>
      <c r="VGK17" s="13"/>
      <c r="VGL17" s="13"/>
      <c r="VGM17" s="13"/>
      <c r="VGN17" s="13"/>
      <c r="VGO17" s="13"/>
      <c r="VGP17" s="13"/>
      <c r="VGQ17" s="13"/>
      <c r="VGR17" s="13"/>
      <c r="VGS17" s="13"/>
      <c r="VGT17" s="13"/>
      <c r="VGU17" s="13"/>
      <c r="VGV17" s="13"/>
      <c r="VGW17" s="13"/>
      <c r="VGX17" s="13"/>
      <c r="VGY17" s="13"/>
      <c r="VGZ17" s="13"/>
      <c r="VHA17" s="13"/>
      <c r="VHB17" s="13"/>
      <c r="VHC17" s="13"/>
      <c r="VHD17" s="13"/>
      <c r="VHE17" s="13"/>
      <c r="VHF17" s="13"/>
      <c r="VHG17" s="13"/>
      <c r="VHH17" s="13"/>
      <c r="VHI17" s="13"/>
      <c r="VHJ17" s="13"/>
      <c r="VHK17" s="13"/>
      <c r="VHL17" s="13"/>
      <c r="VHM17" s="13"/>
      <c r="VHN17" s="13"/>
      <c r="VHO17" s="13"/>
      <c r="VHP17" s="13"/>
      <c r="VHQ17" s="13"/>
      <c r="VHR17" s="13"/>
      <c r="VHS17" s="13"/>
      <c r="VHT17" s="13"/>
      <c r="VHU17" s="13"/>
      <c r="VHV17" s="13"/>
      <c r="VHW17" s="13"/>
      <c r="VHX17" s="13"/>
      <c r="VHY17" s="13"/>
      <c r="VHZ17" s="13"/>
      <c r="VIA17" s="13"/>
      <c r="VIB17" s="13"/>
      <c r="VIC17" s="13"/>
      <c r="VID17" s="13"/>
      <c r="VIE17" s="13"/>
      <c r="VIF17" s="13"/>
      <c r="VIG17" s="13"/>
      <c r="VIH17" s="13"/>
      <c r="VII17" s="13"/>
      <c r="VIJ17" s="13"/>
      <c r="VIK17" s="13"/>
      <c r="VIL17" s="13"/>
      <c r="VIM17" s="13"/>
      <c r="VIN17" s="13"/>
      <c r="VIO17" s="13"/>
      <c r="VIP17" s="13"/>
      <c r="VIQ17" s="13"/>
      <c r="VIR17" s="13"/>
      <c r="VIS17" s="13"/>
      <c r="VIT17" s="13"/>
      <c r="VIU17" s="13"/>
      <c r="VIV17" s="13"/>
      <c r="VIW17" s="13"/>
      <c r="VIX17" s="13"/>
      <c r="VIY17" s="13"/>
      <c r="VIZ17" s="13"/>
      <c r="VJA17" s="13"/>
      <c r="VJB17" s="13"/>
      <c r="VJC17" s="13"/>
      <c r="VJD17" s="13"/>
      <c r="VJE17" s="13"/>
      <c r="VJF17" s="13"/>
      <c r="VJG17" s="13"/>
      <c r="VJH17" s="13"/>
      <c r="VJI17" s="13"/>
      <c r="VJJ17" s="13"/>
      <c r="VJK17" s="13"/>
      <c r="VJL17" s="13"/>
      <c r="VJM17" s="13"/>
      <c r="VJN17" s="13"/>
      <c r="VJO17" s="13"/>
      <c r="VJP17" s="13"/>
      <c r="VJQ17" s="13"/>
      <c r="VJR17" s="13"/>
      <c r="VJS17" s="13"/>
      <c r="VJT17" s="13"/>
      <c r="VJU17" s="13"/>
      <c r="VJV17" s="13"/>
      <c r="VJW17" s="13"/>
      <c r="VJX17" s="13"/>
      <c r="VJY17" s="13"/>
      <c r="VJZ17" s="13"/>
      <c r="VKA17" s="13"/>
      <c r="VKB17" s="13"/>
      <c r="VKC17" s="13"/>
      <c r="VKD17" s="13"/>
      <c r="VKE17" s="13"/>
      <c r="VKF17" s="13"/>
      <c r="VKG17" s="13"/>
      <c r="VKH17" s="13"/>
      <c r="VKI17" s="13"/>
      <c r="VKJ17" s="13"/>
      <c r="VKK17" s="13"/>
      <c r="VKL17" s="13"/>
      <c r="VKM17" s="13"/>
      <c r="VKN17" s="13"/>
      <c r="VKO17" s="13"/>
      <c r="VKP17" s="13"/>
      <c r="VKQ17" s="13"/>
      <c r="VKR17" s="13"/>
      <c r="VKS17" s="13"/>
      <c r="VKT17" s="13"/>
      <c r="VKU17" s="13"/>
      <c r="VKV17" s="13"/>
      <c r="VKW17" s="13"/>
      <c r="VKX17" s="13"/>
      <c r="VKY17" s="13"/>
      <c r="VKZ17" s="13"/>
      <c r="VLA17" s="13"/>
      <c r="VLB17" s="13"/>
      <c r="VLC17" s="13"/>
      <c r="VLD17" s="13"/>
      <c r="VLE17" s="13"/>
      <c r="VLF17" s="13"/>
      <c r="VLG17" s="13"/>
      <c r="VLH17" s="13"/>
      <c r="VLI17" s="13"/>
      <c r="VLJ17" s="13"/>
      <c r="VLK17" s="13"/>
      <c r="VLL17" s="13"/>
      <c r="VLM17" s="13"/>
      <c r="VLN17" s="13"/>
      <c r="VLO17" s="13"/>
      <c r="VLP17" s="13"/>
      <c r="VLQ17" s="13"/>
      <c r="VLR17" s="13"/>
      <c r="VLS17" s="13"/>
      <c r="VLT17" s="13"/>
      <c r="VLU17" s="13"/>
      <c r="VLV17" s="13"/>
      <c r="VLW17" s="13"/>
      <c r="VLX17" s="13"/>
      <c r="VLY17" s="13"/>
      <c r="VLZ17" s="13"/>
      <c r="VMA17" s="13"/>
      <c r="VMB17" s="13"/>
      <c r="VMC17" s="13"/>
      <c r="VMD17" s="13"/>
      <c r="VME17" s="13"/>
      <c r="VMF17" s="13"/>
      <c r="VMG17" s="13"/>
      <c r="VMH17" s="13"/>
      <c r="VMI17" s="13"/>
      <c r="VMJ17" s="13"/>
      <c r="VMK17" s="13"/>
      <c r="VML17" s="13"/>
      <c r="VMM17" s="13"/>
      <c r="VMN17" s="13"/>
      <c r="VMO17" s="13"/>
      <c r="VMP17" s="13"/>
      <c r="VMQ17" s="13"/>
      <c r="VMR17" s="13"/>
      <c r="VMS17" s="13"/>
      <c r="VMT17" s="13"/>
      <c r="VMU17" s="13"/>
      <c r="VMV17" s="13"/>
      <c r="VMW17" s="13"/>
      <c r="VMX17" s="13"/>
      <c r="VMY17" s="13"/>
      <c r="VMZ17" s="13"/>
      <c r="VNA17" s="13"/>
      <c r="VNB17" s="13"/>
      <c r="VNC17" s="13"/>
      <c r="VND17" s="13"/>
      <c r="VNE17" s="13"/>
      <c r="VNF17" s="13"/>
      <c r="VNG17" s="13"/>
      <c r="VNH17" s="13"/>
      <c r="VNI17" s="13"/>
      <c r="VNJ17" s="13"/>
      <c r="VNK17" s="13"/>
      <c r="VNL17" s="13"/>
      <c r="VNM17" s="13"/>
      <c r="VNN17" s="13"/>
      <c r="VNO17" s="13"/>
      <c r="VNP17" s="13"/>
      <c r="VNQ17" s="13"/>
      <c r="VNR17" s="13"/>
      <c r="VNS17" s="13"/>
      <c r="VNT17" s="13"/>
      <c r="VNU17" s="13"/>
      <c r="VNV17" s="13"/>
      <c r="VNW17" s="13"/>
      <c r="VNX17" s="13"/>
      <c r="VNY17" s="13"/>
      <c r="VNZ17" s="13"/>
      <c r="VOA17" s="13"/>
      <c r="VOB17" s="13"/>
      <c r="VOC17" s="13"/>
      <c r="VOD17" s="13"/>
      <c r="VOE17" s="13"/>
      <c r="VOF17" s="13"/>
      <c r="VOG17" s="13"/>
      <c r="VOH17" s="13"/>
      <c r="VOI17" s="13"/>
      <c r="VOJ17" s="13"/>
      <c r="VOK17" s="13"/>
      <c r="VOL17" s="13"/>
      <c r="VOM17" s="13"/>
      <c r="VON17" s="13"/>
      <c r="VOO17" s="13"/>
      <c r="VOP17" s="13"/>
      <c r="VOQ17" s="13"/>
      <c r="VOR17" s="13"/>
      <c r="VOS17" s="13"/>
      <c r="VOT17" s="13"/>
      <c r="VOU17" s="13"/>
      <c r="VOV17" s="13"/>
      <c r="VOW17" s="13"/>
      <c r="VOX17" s="13"/>
      <c r="VOY17" s="13"/>
      <c r="VOZ17" s="13"/>
      <c r="VPA17" s="13"/>
      <c r="VPB17" s="13"/>
      <c r="VPC17" s="13"/>
      <c r="VPD17" s="13"/>
      <c r="VPE17" s="13"/>
      <c r="VPF17" s="13"/>
      <c r="VPG17" s="13"/>
      <c r="VPH17" s="13"/>
      <c r="VPI17" s="13"/>
      <c r="VPJ17" s="13"/>
      <c r="VPK17" s="13"/>
      <c r="VPL17" s="13"/>
      <c r="VPM17" s="13"/>
      <c r="VPN17" s="13"/>
      <c r="VPO17" s="13"/>
      <c r="VPP17" s="13"/>
      <c r="VPQ17" s="13"/>
      <c r="VPR17" s="13"/>
      <c r="VPS17" s="13"/>
      <c r="VPT17" s="13"/>
      <c r="VPU17" s="13"/>
      <c r="VPV17" s="13"/>
      <c r="VPW17" s="13"/>
      <c r="VPX17" s="13"/>
      <c r="VPY17" s="13"/>
      <c r="VPZ17" s="13"/>
      <c r="VQA17" s="13"/>
      <c r="VQB17" s="13"/>
      <c r="VQC17" s="13"/>
      <c r="VQD17" s="13"/>
      <c r="VQE17" s="13"/>
      <c r="VQF17" s="13"/>
      <c r="VQG17" s="13"/>
      <c r="VQH17" s="13"/>
      <c r="VQI17" s="13"/>
      <c r="VQJ17" s="13"/>
      <c r="VQK17" s="13"/>
      <c r="VQL17" s="13"/>
      <c r="VQM17" s="13"/>
      <c r="VQN17" s="13"/>
      <c r="VQO17" s="13"/>
      <c r="VQP17" s="13"/>
      <c r="VQQ17" s="13"/>
      <c r="VQR17" s="13"/>
      <c r="VQS17" s="13"/>
      <c r="VQT17" s="13"/>
      <c r="VQU17" s="13"/>
      <c r="VQV17" s="13"/>
      <c r="VQW17" s="13"/>
      <c r="VQX17" s="13"/>
      <c r="VQY17" s="13"/>
      <c r="VQZ17" s="13"/>
      <c r="VRA17" s="13"/>
      <c r="VRB17" s="13"/>
      <c r="VRC17" s="13"/>
      <c r="VRD17" s="13"/>
      <c r="VRE17" s="13"/>
      <c r="VRF17" s="13"/>
      <c r="VRG17" s="13"/>
      <c r="VRH17" s="13"/>
      <c r="VRI17" s="13"/>
      <c r="VRJ17" s="13"/>
      <c r="VRK17" s="13"/>
      <c r="VRL17" s="13"/>
      <c r="VRM17" s="13"/>
      <c r="VRN17" s="13"/>
      <c r="VRO17" s="13"/>
      <c r="VRP17" s="13"/>
      <c r="VRQ17" s="13"/>
      <c r="VRR17" s="13"/>
      <c r="VRS17" s="13"/>
      <c r="VRT17" s="13"/>
      <c r="VRU17" s="13"/>
      <c r="VRV17" s="13"/>
      <c r="VRW17" s="13"/>
      <c r="VRX17" s="13"/>
      <c r="VRY17" s="13"/>
      <c r="VRZ17" s="13"/>
      <c r="VSA17" s="13"/>
      <c r="VSB17" s="13"/>
      <c r="VSC17" s="13"/>
      <c r="VSD17" s="13"/>
      <c r="VSE17" s="13"/>
      <c r="VSF17" s="13"/>
      <c r="VSG17" s="13"/>
      <c r="VSH17" s="13"/>
      <c r="VSI17" s="13"/>
      <c r="VSJ17" s="13"/>
      <c r="VSK17" s="13"/>
      <c r="VSL17" s="13"/>
      <c r="VSM17" s="13"/>
      <c r="VSN17" s="13"/>
      <c r="VSO17" s="13"/>
      <c r="VSP17" s="13"/>
      <c r="VSQ17" s="13"/>
      <c r="VSR17" s="13"/>
      <c r="VSS17" s="13"/>
      <c r="VST17" s="13"/>
      <c r="VSU17" s="13"/>
      <c r="VSV17" s="13"/>
      <c r="VSW17" s="13"/>
      <c r="VSX17" s="13"/>
      <c r="VSY17" s="13"/>
      <c r="VSZ17" s="13"/>
      <c r="VTA17" s="13"/>
      <c r="VTB17" s="13"/>
      <c r="VTC17" s="13"/>
      <c r="VTD17" s="13"/>
      <c r="VTE17" s="13"/>
      <c r="VTF17" s="13"/>
      <c r="VTG17" s="13"/>
      <c r="VTH17" s="13"/>
      <c r="VTI17" s="13"/>
      <c r="VTJ17" s="13"/>
      <c r="VTK17" s="13"/>
      <c r="VTL17" s="13"/>
      <c r="VTM17" s="13"/>
      <c r="VTN17" s="13"/>
      <c r="VTO17" s="13"/>
      <c r="VTP17" s="13"/>
      <c r="VTQ17" s="13"/>
      <c r="VTR17" s="13"/>
      <c r="VTS17" s="13"/>
      <c r="VTT17" s="13"/>
      <c r="VTU17" s="13"/>
      <c r="VTV17" s="13"/>
      <c r="VTW17" s="13"/>
      <c r="VTX17" s="13"/>
      <c r="VTY17" s="13"/>
      <c r="VTZ17" s="13"/>
      <c r="VUA17" s="13"/>
      <c r="VUB17" s="13"/>
      <c r="VUC17" s="13"/>
      <c r="VUD17" s="13"/>
      <c r="VUE17" s="13"/>
      <c r="VUF17" s="13"/>
      <c r="VUG17" s="13"/>
      <c r="VUH17" s="13"/>
      <c r="VUI17" s="13"/>
      <c r="VUJ17" s="13"/>
      <c r="VUK17" s="13"/>
      <c r="VUL17" s="13"/>
      <c r="VUM17" s="13"/>
      <c r="VUN17" s="13"/>
      <c r="VUO17" s="13"/>
      <c r="VUP17" s="13"/>
      <c r="VUQ17" s="13"/>
      <c r="VUR17" s="13"/>
      <c r="VUS17" s="13"/>
      <c r="VUT17" s="13"/>
      <c r="VUU17" s="13"/>
      <c r="VUV17" s="13"/>
      <c r="VUW17" s="13"/>
      <c r="VUX17" s="13"/>
      <c r="VUY17" s="13"/>
      <c r="VUZ17" s="13"/>
      <c r="VVA17" s="13"/>
      <c r="VVB17" s="13"/>
      <c r="VVC17" s="13"/>
      <c r="VVD17" s="13"/>
      <c r="VVE17" s="13"/>
      <c r="VVF17" s="13"/>
      <c r="VVG17" s="13"/>
      <c r="VVH17" s="13"/>
      <c r="VVI17" s="13"/>
      <c r="VVJ17" s="13"/>
      <c r="VVK17" s="13"/>
      <c r="VVL17" s="13"/>
      <c r="VVM17" s="13"/>
      <c r="VVN17" s="13"/>
      <c r="VVO17" s="13"/>
      <c r="VVP17" s="13"/>
      <c r="VVQ17" s="13"/>
      <c r="VVR17" s="13"/>
      <c r="VVS17" s="13"/>
      <c r="VVT17" s="13"/>
      <c r="VVU17" s="13"/>
      <c r="VVV17" s="13"/>
      <c r="VVW17" s="13"/>
      <c r="VVX17" s="13"/>
      <c r="VVY17" s="13"/>
      <c r="VVZ17" s="13"/>
      <c r="VWA17" s="13"/>
      <c r="VWB17" s="13"/>
      <c r="VWC17" s="13"/>
      <c r="VWD17" s="13"/>
      <c r="VWE17" s="13"/>
      <c r="VWF17" s="13"/>
      <c r="VWG17" s="13"/>
      <c r="VWH17" s="13"/>
      <c r="VWI17" s="13"/>
      <c r="VWJ17" s="13"/>
      <c r="VWK17" s="13"/>
      <c r="VWL17" s="13"/>
      <c r="VWM17" s="13"/>
      <c r="VWN17" s="13"/>
      <c r="VWO17" s="13"/>
      <c r="VWP17" s="13"/>
      <c r="VWQ17" s="13"/>
      <c r="VWR17" s="13"/>
      <c r="VWS17" s="13"/>
      <c r="VWT17" s="13"/>
      <c r="VWU17" s="13"/>
      <c r="VWV17" s="13"/>
      <c r="VWW17" s="13"/>
      <c r="VWX17" s="13"/>
      <c r="VWY17" s="13"/>
      <c r="VWZ17" s="13"/>
      <c r="VXA17" s="13"/>
      <c r="VXB17" s="13"/>
      <c r="VXC17" s="13"/>
      <c r="VXD17" s="13"/>
      <c r="VXE17" s="13"/>
      <c r="VXF17" s="13"/>
      <c r="VXG17" s="13"/>
      <c r="VXH17" s="13"/>
      <c r="VXI17" s="13"/>
      <c r="VXJ17" s="13"/>
      <c r="VXK17" s="13"/>
      <c r="VXL17" s="13"/>
      <c r="VXM17" s="13"/>
      <c r="VXN17" s="13"/>
      <c r="VXO17" s="13"/>
      <c r="VXP17" s="13"/>
      <c r="VXQ17" s="13"/>
      <c r="VXR17" s="13"/>
      <c r="VXS17" s="13"/>
      <c r="VXT17" s="13"/>
      <c r="VXU17" s="13"/>
      <c r="VXV17" s="13"/>
      <c r="VXW17" s="13"/>
      <c r="VXX17" s="13"/>
      <c r="VXY17" s="13"/>
      <c r="VXZ17" s="13"/>
      <c r="VYA17" s="13"/>
      <c r="VYB17" s="13"/>
      <c r="VYC17" s="13"/>
      <c r="VYD17" s="13"/>
      <c r="VYE17" s="13"/>
      <c r="VYF17" s="13"/>
      <c r="VYG17" s="13"/>
      <c r="VYH17" s="13"/>
      <c r="VYI17" s="13"/>
      <c r="VYJ17" s="13"/>
      <c r="VYK17" s="13"/>
      <c r="VYL17" s="13"/>
      <c r="VYM17" s="13"/>
      <c r="VYN17" s="13"/>
      <c r="VYO17" s="13"/>
      <c r="VYP17" s="13"/>
      <c r="VYQ17" s="13"/>
      <c r="VYR17" s="13"/>
      <c r="VYS17" s="13"/>
      <c r="VYT17" s="13"/>
      <c r="VYU17" s="13"/>
      <c r="VYV17" s="13"/>
      <c r="VYW17" s="13"/>
      <c r="VYX17" s="13"/>
      <c r="VYY17" s="13"/>
      <c r="VYZ17" s="13"/>
      <c r="VZA17" s="13"/>
      <c r="VZB17" s="13"/>
      <c r="VZC17" s="13"/>
      <c r="VZD17" s="13"/>
      <c r="VZE17" s="13"/>
      <c r="VZF17" s="13"/>
      <c r="VZG17" s="13"/>
      <c r="VZH17" s="13"/>
      <c r="VZI17" s="13"/>
      <c r="VZJ17" s="13"/>
      <c r="VZK17" s="13"/>
      <c r="VZL17" s="13"/>
      <c r="VZM17" s="13"/>
      <c r="VZN17" s="13"/>
      <c r="VZO17" s="13"/>
      <c r="VZP17" s="13"/>
      <c r="VZQ17" s="13"/>
      <c r="VZR17" s="13"/>
      <c r="VZS17" s="13"/>
      <c r="VZT17" s="13"/>
      <c r="VZU17" s="13"/>
      <c r="VZV17" s="13"/>
      <c r="VZW17" s="13"/>
      <c r="VZX17" s="13"/>
      <c r="VZY17" s="13"/>
      <c r="VZZ17" s="13"/>
      <c r="WAA17" s="13"/>
      <c r="WAB17" s="13"/>
      <c r="WAC17" s="13"/>
      <c r="WAD17" s="13"/>
      <c r="WAE17" s="13"/>
      <c r="WAF17" s="13"/>
      <c r="WAG17" s="13"/>
      <c r="WAH17" s="13"/>
      <c r="WAI17" s="13"/>
      <c r="WAJ17" s="13"/>
      <c r="WAK17" s="13"/>
      <c r="WAL17" s="13"/>
      <c r="WAM17" s="13"/>
      <c r="WAN17" s="13"/>
      <c r="WAO17" s="13"/>
      <c r="WAP17" s="13"/>
      <c r="WAQ17" s="13"/>
      <c r="WAR17" s="13"/>
      <c r="WAS17" s="13"/>
      <c r="WAT17" s="13"/>
      <c r="WAU17" s="13"/>
      <c r="WAV17" s="13"/>
      <c r="WAW17" s="13"/>
      <c r="WAX17" s="13"/>
      <c r="WAY17" s="13"/>
      <c r="WAZ17" s="13"/>
      <c r="WBA17" s="13"/>
      <c r="WBB17" s="13"/>
      <c r="WBC17" s="13"/>
      <c r="WBD17" s="13"/>
      <c r="WBE17" s="13"/>
      <c r="WBF17" s="13"/>
      <c r="WBG17" s="13"/>
      <c r="WBH17" s="13"/>
      <c r="WBI17" s="13"/>
      <c r="WBJ17" s="13"/>
      <c r="WBK17" s="13"/>
      <c r="WBL17" s="13"/>
      <c r="WBM17" s="13"/>
      <c r="WBN17" s="13"/>
      <c r="WBO17" s="13"/>
      <c r="WBP17" s="13"/>
      <c r="WBQ17" s="13"/>
      <c r="WBR17" s="13"/>
      <c r="WBS17" s="13"/>
      <c r="WBT17" s="13"/>
      <c r="WBU17" s="13"/>
      <c r="WBV17" s="13"/>
      <c r="WBW17" s="13"/>
      <c r="WBX17" s="13"/>
      <c r="WBY17" s="13"/>
      <c r="WBZ17" s="13"/>
      <c r="WCA17" s="13"/>
      <c r="WCB17" s="13"/>
      <c r="WCC17" s="13"/>
      <c r="WCD17" s="13"/>
      <c r="WCE17" s="13"/>
      <c r="WCF17" s="13"/>
      <c r="WCG17" s="13"/>
      <c r="WCH17" s="13"/>
      <c r="WCI17" s="13"/>
      <c r="WCJ17" s="13"/>
      <c r="WCK17" s="13"/>
      <c r="WCL17" s="13"/>
      <c r="WCM17" s="13"/>
      <c r="WCN17" s="13"/>
      <c r="WCO17" s="13"/>
      <c r="WCP17" s="13"/>
      <c r="WCQ17" s="13"/>
      <c r="WCR17" s="13"/>
      <c r="WCS17" s="13"/>
      <c r="WCT17" s="13"/>
      <c r="WCU17" s="13"/>
      <c r="WCV17" s="13"/>
      <c r="WCW17" s="13"/>
      <c r="WCX17" s="13"/>
      <c r="WCY17" s="13"/>
      <c r="WCZ17" s="13"/>
      <c r="WDA17" s="13"/>
      <c r="WDB17" s="13"/>
      <c r="WDC17" s="13"/>
      <c r="WDD17" s="13"/>
      <c r="WDE17" s="13"/>
      <c r="WDF17" s="13"/>
      <c r="WDG17" s="13"/>
      <c r="WDH17" s="13"/>
      <c r="WDI17" s="13"/>
      <c r="WDJ17" s="13"/>
      <c r="WDK17" s="13"/>
      <c r="WDL17" s="13"/>
      <c r="WDM17" s="13"/>
      <c r="WDN17" s="13"/>
      <c r="WDO17" s="13"/>
      <c r="WDP17" s="13"/>
      <c r="WDQ17" s="13"/>
      <c r="WDR17" s="13"/>
      <c r="WDS17" s="13"/>
      <c r="WDT17" s="13"/>
      <c r="WDU17" s="13"/>
      <c r="WDV17" s="13"/>
      <c r="WDW17" s="13"/>
      <c r="WDX17" s="13"/>
      <c r="WDY17" s="13"/>
      <c r="WDZ17" s="13"/>
      <c r="WEA17" s="13"/>
      <c r="WEB17" s="13"/>
      <c r="WEC17" s="13"/>
      <c r="WED17" s="13"/>
      <c r="WEE17" s="13"/>
      <c r="WEF17" s="13"/>
      <c r="WEG17" s="13"/>
      <c r="WEH17" s="13"/>
      <c r="WEI17" s="13"/>
      <c r="WEJ17" s="13"/>
      <c r="WEK17" s="13"/>
      <c r="WEL17" s="13"/>
      <c r="WEM17" s="13"/>
      <c r="WEN17" s="13"/>
      <c r="WEO17" s="13"/>
      <c r="WEP17" s="13"/>
      <c r="WEQ17" s="13"/>
      <c r="WER17" s="13"/>
      <c r="WES17" s="13"/>
      <c r="WET17" s="13"/>
      <c r="WEU17" s="13"/>
      <c r="WEV17" s="13"/>
      <c r="WEW17" s="13"/>
      <c r="WEX17" s="13"/>
      <c r="WEY17" s="13"/>
      <c r="WEZ17" s="13"/>
      <c r="WFA17" s="13"/>
      <c r="WFB17" s="13"/>
      <c r="WFC17" s="13"/>
      <c r="WFD17" s="13"/>
      <c r="WFE17" s="13"/>
      <c r="WFF17" s="13"/>
      <c r="WFG17" s="13"/>
      <c r="WFH17" s="13"/>
      <c r="WFI17" s="13"/>
      <c r="WFJ17" s="13"/>
      <c r="WFK17" s="13"/>
      <c r="WFL17" s="13"/>
      <c r="WFM17" s="13"/>
      <c r="WFN17" s="13"/>
      <c r="WFO17" s="13"/>
      <c r="WFP17" s="13"/>
      <c r="WFQ17" s="13"/>
      <c r="WFR17" s="13"/>
      <c r="WFS17" s="13"/>
      <c r="WFT17" s="13"/>
      <c r="WFU17" s="13"/>
      <c r="WFV17" s="13"/>
      <c r="WFW17" s="13"/>
      <c r="WFX17" s="13"/>
      <c r="WFY17" s="13"/>
      <c r="WFZ17" s="13"/>
      <c r="WGA17" s="13"/>
      <c r="WGB17" s="13"/>
      <c r="WGC17" s="13"/>
      <c r="WGD17" s="13"/>
      <c r="WGE17" s="13"/>
      <c r="WGF17" s="13"/>
      <c r="WGG17" s="13"/>
      <c r="WGH17" s="13"/>
      <c r="WGI17" s="13"/>
      <c r="WGJ17" s="13"/>
      <c r="WGK17" s="13"/>
      <c r="WGL17" s="13"/>
      <c r="WGM17" s="13"/>
      <c r="WGN17" s="13"/>
      <c r="WGO17" s="13"/>
      <c r="WGP17" s="13"/>
      <c r="WGQ17" s="13"/>
      <c r="WGR17" s="13"/>
      <c r="WGS17" s="13"/>
      <c r="WGT17" s="13"/>
      <c r="WGU17" s="13"/>
      <c r="WGV17" s="13"/>
      <c r="WGW17" s="13"/>
      <c r="WGX17" s="13"/>
      <c r="WGY17" s="13"/>
      <c r="WGZ17" s="13"/>
      <c r="WHA17" s="13"/>
      <c r="WHB17" s="13"/>
      <c r="WHC17" s="13"/>
      <c r="WHD17" s="13"/>
      <c r="WHE17" s="13"/>
      <c r="WHF17" s="13"/>
      <c r="WHG17" s="13"/>
      <c r="WHH17" s="13"/>
      <c r="WHI17" s="13"/>
      <c r="WHJ17" s="13"/>
      <c r="WHK17" s="13"/>
      <c r="WHL17" s="13"/>
      <c r="WHM17" s="13"/>
      <c r="WHN17" s="13"/>
      <c r="WHO17" s="13"/>
      <c r="WHP17" s="13"/>
      <c r="WHQ17" s="13"/>
      <c r="WHR17" s="13"/>
      <c r="WHS17" s="13"/>
      <c r="WHT17" s="13"/>
      <c r="WHU17" s="13"/>
      <c r="WHV17" s="13"/>
      <c r="WHW17" s="13"/>
      <c r="WHX17" s="13"/>
      <c r="WHY17" s="13"/>
      <c r="WHZ17" s="13"/>
      <c r="WIA17" s="13"/>
      <c r="WIB17" s="13"/>
      <c r="WIC17" s="13"/>
      <c r="WID17" s="13"/>
      <c r="WIE17" s="13"/>
      <c r="WIF17" s="13"/>
      <c r="WIG17" s="13"/>
      <c r="WIH17" s="13"/>
      <c r="WII17" s="13"/>
      <c r="WIJ17" s="13"/>
      <c r="WIK17" s="13"/>
      <c r="WIL17" s="13"/>
      <c r="WIM17" s="13"/>
      <c r="WIN17" s="13"/>
      <c r="WIO17" s="13"/>
      <c r="WIP17" s="13"/>
      <c r="WIQ17" s="13"/>
      <c r="WIR17" s="13"/>
      <c r="WIS17" s="13"/>
      <c r="WIT17" s="13"/>
      <c r="WIU17" s="13"/>
      <c r="WIV17" s="13"/>
      <c r="WIW17" s="13"/>
      <c r="WIX17" s="13"/>
      <c r="WIY17" s="13"/>
      <c r="WIZ17" s="13"/>
      <c r="WJA17" s="13"/>
      <c r="WJB17" s="13"/>
      <c r="WJC17" s="13"/>
      <c r="WJD17" s="13"/>
      <c r="WJE17" s="13"/>
      <c r="WJF17" s="13"/>
      <c r="WJG17" s="13"/>
      <c r="WJH17" s="13"/>
      <c r="WJI17" s="13"/>
      <c r="WJJ17" s="13"/>
      <c r="WJK17" s="13"/>
      <c r="WJL17" s="13"/>
      <c r="WJM17" s="13"/>
      <c r="WJN17" s="13"/>
      <c r="WJO17" s="13"/>
      <c r="WJP17" s="13"/>
      <c r="WJQ17" s="13"/>
      <c r="WJR17" s="13"/>
      <c r="WJS17" s="13"/>
      <c r="WJT17" s="13"/>
      <c r="WJU17" s="13"/>
      <c r="WJV17" s="13"/>
      <c r="WJW17" s="13"/>
      <c r="WJX17" s="13"/>
      <c r="WJY17" s="13"/>
      <c r="WJZ17" s="13"/>
      <c r="WKA17" s="13"/>
      <c r="WKB17" s="13"/>
      <c r="WKC17" s="13"/>
      <c r="WKD17" s="13"/>
      <c r="WKE17" s="13"/>
      <c r="WKF17" s="13"/>
      <c r="WKG17" s="13"/>
      <c r="WKH17" s="13"/>
      <c r="WKI17" s="13"/>
      <c r="WKJ17" s="13"/>
      <c r="WKK17" s="13"/>
      <c r="WKL17" s="13"/>
      <c r="WKM17" s="13"/>
      <c r="WKN17" s="13"/>
      <c r="WKO17" s="13"/>
      <c r="WKP17" s="13"/>
      <c r="WKQ17" s="13"/>
      <c r="WKR17" s="13"/>
      <c r="WKS17" s="13"/>
      <c r="WKT17" s="13"/>
      <c r="WKU17" s="13"/>
      <c r="WKV17" s="13"/>
      <c r="WKW17" s="13"/>
      <c r="WKX17" s="13"/>
      <c r="WKY17" s="13"/>
      <c r="WKZ17" s="13"/>
      <c r="WLA17" s="13"/>
      <c r="WLB17" s="13"/>
      <c r="WLC17" s="13"/>
      <c r="WLD17" s="13"/>
      <c r="WLE17" s="13"/>
      <c r="WLF17" s="13"/>
      <c r="WLG17" s="13"/>
      <c r="WLH17" s="13"/>
      <c r="WLI17" s="13"/>
      <c r="WLJ17" s="13"/>
      <c r="WLK17" s="13"/>
      <c r="WLL17" s="13"/>
      <c r="WLM17" s="13"/>
      <c r="WLN17" s="13"/>
      <c r="WLO17" s="13"/>
      <c r="WLP17" s="13"/>
      <c r="WLQ17" s="13"/>
      <c r="WLR17" s="13"/>
      <c r="WLS17" s="13"/>
      <c r="WLT17" s="13"/>
      <c r="WLU17" s="13"/>
      <c r="WLV17" s="13"/>
      <c r="WLW17" s="13"/>
      <c r="WLX17" s="13"/>
      <c r="WLY17" s="13"/>
      <c r="WLZ17" s="13"/>
      <c r="WMA17" s="13"/>
      <c r="WMB17" s="13"/>
      <c r="WMC17" s="13"/>
      <c r="WMD17" s="13"/>
      <c r="WME17" s="13"/>
      <c r="WMF17" s="13"/>
      <c r="WMG17" s="13"/>
      <c r="WMH17" s="13"/>
      <c r="WMI17" s="13"/>
      <c r="WMJ17" s="13"/>
      <c r="WMK17" s="13"/>
      <c r="WML17" s="13"/>
      <c r="WMM17" s="13"/>
      <c r="WMN17" s="13"/>
      <c r="WMO17" s="13"/>
      <c r="WMP17" s="13"/>
      <c r="WMQ17" s="13"/>
      <c r="WMR17" s="13"/>
      <c r="WMS17" s="13"/>
      <c r="WMT17" s="13"/>
      <c r="WMU17" s="13"/>
      <c r="WMV17" s="13"/>
      <c r="WMW17" s="13"/>
      <c r="WMX17" s="13"/>
      <c r="WMY17" s="13"/>
      <c r="WMZ17" s="13"/>
      <c r="WNA17" s="13"/>
      <c r="WNB17" s="13"/>
      <c r="WNC17" s="13"/>
      <c r="WND17" s="13"/>
      <c r="WNE17" s="13"/>
      <c r="WNF17" s="13"/>
      <c r="WNG17" s="13"/>
      <c r="WNH17" s="13"/>
      <c r="WNI17" s="13"/>
      <c r="WNJ17" s="13"/>
      <c r="WNK17" s="13"/>
      <c r="WNL17" s="13"/>
      <c r="WNM17" s="13"/>
      <c r="WNN17" s="13"/>
      <c r="WNO17" s="13"/>
      <c r="WNP17" s="13"/>
      <c r="WNQ17" s="13"/>
      <c r="WNR17" s="13"/>
      <c r="WNS17" s="13"/>
      <c r="WNT17" s="13"/>
      <c r="WNU17" s="13"/>
      <c r="WNV17" s="13"/>
      <c r="WNW17" s="13"/>
      <c r="WNX17" s="13"/>
      <c r="WNY17" s="13"/>
      <c r="WNZ17" s="13"/>
      <c r="WOA17" s="13"/>
      <c r="WOB17" s="13"/>
      <c r="WOC17" s="13"/>
      <c r="WOD17" s="13"/>
      <c r="WOE17" s="13"/>
      <c r="WOF17" s="13"/>
      <c r="WOG17" s="13"/>
      <c r="WOH17" s="13"/>
      <c r="WOI17" s="13"/>
      <c r="WOJ17" s="13"/>
      <c r="WOK17" s="13"/>
      <c r="WOL17" s="13"/>
      <c r="WOM17" s="13"/>
      <c r="WON17" s="13"/>
      <c r="WOO17" s="13"/>
      <c r="WOP17" s="13"/>
      <c r="WOQ17" s="13"/>
      <c r="WOR17" s="13"/>
      <c r="WOS17" s="13"/>
      <c r="WOT17" s="13"/>
      <c r="WOU17" s="13"/>
      <c r="WOV17" s="13"/>
      <c r="WOW17" s="13"/>
      <c r="WOX17" s="13"/>
      <c r="WOY17" s="13"/>
      <c r="WOZ17" s="13"/>
      <c r="WPA17" s="13"/>
      <c r="WPB17" s="13"/>
      <c r="WPC17" s="13"/>
      <c r="WPD17" s="13"/>
      <c r="WPE17" s="13"/>
      <c r="WPF17" s="13"/>
      <c r="WPG17" s="13"/>
      <c r="WPH17" s="13"/>
      <c r="WPI17" s="13"/>
      <c r="WPJ17" s="13"/>
      <c r="WPK17" s="13"/>
      <c r="WPL17" s="13"/>
      <c r="WPM17" s="13"/>
      <c r="WPN17" s="13"/>
      <c r="WPO17" s="13"/>
      <c r="WPP17" s="13"/>
      <c r="WPQ17" s="13"/>
      <c r="WPR17" s="13"/>
      <c r="WPS17" s="13"/>
      <c r="WPT17" s="13"/>
      <c r="WPU17" s="13"/>
      <c r="WPV17" s="13"/>
      <c r="WPW17" s="13"/>
      <c r="WPX17" s="13"/>
      <c r="WPY17" s="13"/>
      <c r="WPZ17" s="13"/>
      <c r="WQA17" s="13"/>
      <c r="WQB17" s="13"/>
      <c r="WQC17" s="13"/>
      <c r="WQD17" s="13"/>
      <c r="WQE17" s="13"/>
      <c r="WQF17" s="13"/>
      <c r="WQG17" s="13"/>
      <c r="WQH17" s="13"/>
      <c r="WQI17" s="13"/>
      <c r="WQJ17" s="13"/>
      <c r="WQK17" s="13"/>
      <c r="WQL17" s="13"/>
      <c r="WQM17" s="13"/>
      <c r="WQN17" s="13"/>
      <c r="WQO17" s="13"/>
      <c r="WQP17" s="13"/>
      <c r="WQQ17" s="13"/>
      <c r="WQR17" s="13"/>
      <c r="WQS17" s="13"/>
      <c r="WQT17" s="13"/>
      <c r="WQU17" s="13"/>
      <c r="WQV17" s="13"/>
      <c r="WQW17" s="13"/>
      <c r="WQX17" s="13"/>
      <c r="WQY17" s="13"/>
      <c r="WQZ17" s="13"/>
      <c r="WRA17" s="13"/>
      <c r="WRB17" s="13"/>
      <c r="WRC17" s="13"/>
      <c r="WRD17" s="13"/>
      <c r="WRE17" s="13"/>
      <c r="WRF17" s="13"/>
      <c r="WRG17" s="13"/>
      <c r="WRH17" s="13"/>
      <c r="WRI17" s="13"/>
      <c r="WRJ17" s="13"/>
      <c r="WRK17" s="13"/>
      <c r="WRL17" s="13"/>
      <c r="WRM17" s="13"/>
      <c r="WRN17" s="13"/>
      <c r="WRO17" s="13"/>
      <c r="WRP17" s="13"/>
      <c r="WRQ17" s="13"/>
      <c r="WRR17" s="13"/>
      <c r="WRS17" s="13"/>
      <c r="WRT17" s="13"/>
      <c r="WRU17" s="13"/>
      <c r="WRV17" s="13"/>
      <c r="WRW17" s="13"/>
      <c r="WRX17" s="13"/>
      <c r="WRY17" s="13"/>
      <c r="WRZ17" s="13"/>
      <c r="WSA17" s="13"/>
      <c r="WSB17" s="13"/>
      <c r="WSC17" s="13"/>
      <c r="WSD17" s="13"/>
      <c r="WSE17" s="13"/>
      <c r="WSF17" s="13"/>
      <c r="WSG17" s="13"/>
      <c r="WSH17" s="13"/>
      <c r="WSI17" s="13"/>
      <c r="WSJ17" s="13"/>
      <c r="WSK17" s="13"/>
      <c r="WSL17" s="13"/>
      <c r="WSM17" s="13"/>
      <c r="WSN17" s="13"/>
      <c r="WSO17" s="13"/>
      <c r="WSP17" s="13"/>
      <c r="WSQ17" s="13"/>
      <c r="WSR17" s="13"/>
      <c r="WSS17" s="13"/>
      <c r="WST17" s="13"/>
      <c r="WSU17" s="13"/>
      <c r="WSV17" s="13"/>
      <c r="WSW17" s="13"/>
      <c r="WSX17" s="13"/>
      <c r="WSY17" s="13"/>
      <c r="WSZ17" s="13"/>
      <c r="WTA17" s="13"/>
      <c r="WTB17" s="13"/>
      <c r="WTC17" s="13"/>
      <c r="WTD17" s="13"/>
      <c r="WTE17" s="13"/>
      <c r="WTF17" s="13"/>
      <c r="WTG17" s="13"/>
      <c r="WTH17" s="13"/>
      <c r="WTI17" s="13"/>
      <c r="WTJ17" s="13"/>
      <c r="WTK17" s="13"/>
      <c r="WTL17" s="13"/>
      <c r="WTM17" s="13"/>
      <c r="WTN17" s="13"/>
      <c r="WTO17" s="13"/>
      <c r="WTP17" s="13"/>
      <c r="WTQ17" s="13"/>
      <c r="WTR17" s="13"/>
      <c r="WTS17" s="13"/>
      <c r="WTT17" s="13"/>
      <c r="WTU17" s="13"/>
      <c r="WTV17" s="13"/>
    </row>
    <row r="18" spans="1:16090" ht="16" customHeight="1" thickBot="1" x14ac:dyDescent="0.25">
      <c r="A18" s="154" t="s">
        <v>371</v>
      </c>
      <c r="B18" s="106" t="s">
        <v>775</v>
      </c>
      <c r="C18" s="62">
        <f>'Raw Datas'!C88</f>
        <v>0.79061666666666663</v>
      </c>
      <c r="D18" s="62">
        <f>'Raw Datas'!D88</f>
        <v>0.85391666666666666</v>
      </c>
      <c r="E18" s="62">
        <f>'Raw Datas'!E88</f>
        <v>0.40044999999999997</v>
      </c>
      <c r="F18" s="62">
        <f>'Raw Datas'!F88</f>
        <v>2.1095999999999999</v>
      </c>
      <c r="G18" s="62">
        <f>'Raw Datas'!G88</f>
        <v>1.3896000000000002</v>
      </c>
      <c r="H18" s="62">
        <f>'Raw Datas'!H88</f>
        <v>0.5676000000000001</v>
      </c>
      <c r="I18" s="62">
        <f>'Raw Datas'!I88</f>
        <v>1.3167166666666668</v>
      </c>
      <c r="J18" s="62">
        <f>'Raw Datas'!J88</f>
        <v>0.56136666666666668</v>
      </c>
      <c r="K18" s="62">
        <f>'Raw Datas'!K88</f>
        <v>4.5957166666666662</v>
      </c>
      <c r="L18" s="62">
        <f>'Raw Datas'!L88</f>
        <v>2.0060500000000001</v>
      </c>
      <c r="M18" s="62">
        <f>'Raw Datas'!M88</f>
        <v>1.4151833333333335</v>
      </c>
      <c r="N18" s="62">
        <f>'Raw Datas'!N88</f>
        <v>0.77574999999999994</v>
      </c>
      <c r="O18" s="62">
        <f>'Raw Datas'!O88</f>
        <v>1.2581500000000001</v>
      </c>
      <c r="P18" s="62">
        <f>'Raw Datas'!P88</f>
        <v>1.4524833333333333</v>
      </c>
      <c r="Q18" s="62">
        <f>'Raw Datas'!Q88</f>
        <v>2.0669333333333335</v>
      </c>
      <c r="R18" s="62">
        <f>'Raw Datas'!R88</f>
        <v>4.7613666666666665</v>
      </c>
      <c r="S18" s="62">
        <f>'Raw Datas'!S88</f>
        <v>4.2172999999999998</v>
      </c>
      <c r="T18" s="62">
        <f>'Raw Datas'!T88</f>
        <v>0.24276666666666666</v>
      </c>
      <c r="U18" s="62">
        <f>'Raw Datas'!U88</f>
        <v>0.86763333333333337</v>
      </c>
      <c r="V18" s="62">
        <f>'Raw Datas'!V88</f>
        <v>2.1211500000000001</v>
      </c>
      <c r="W18" s="62">
        <f>'Raw Datas'!W88</f>
        <v>1.9643142857142859</v>
      </c>
      <c r="X18" s="62">
        <f>'Raw Datas'!X88</f>
        <v>0.60751999999999995</v>
      </c>
      <c r="Y18" s="62">
        <f>'Raw Datas'!Y88</f>
        <v>1.5137666666666665</v>
      </c>
      <c r="Z18" s="62">
        <f>'Raw Datas'!Z88</f>
        <v>6.04216</v>
      </c>
      <c r="AA18" s="62">
        <f>'Raw Datas'!AA88</f>
        <v>1.3471833333333334</v>
      </c>
      <c r="AB18" s="62">
        <f>'Raw Datas'!AB88</f>
        <v>1.8638833333333333</v>
      </c>
      <c r="AC18" s="62">
        <f>'Raw Datas'!AC88</f>
        <v>0.63491666666666668</v>
      </c>
      <c r="AD18" s="62">
        <f>'Raw Datas'!AD88</f>
        <v>1.1370833333333332</v>
      </c>
      <c r="AE18" s="62">
        <f>'Raw Datas'!AE88</f>
        <v>0.53525</v>
      </c>
      <c r="AF18" s="62">
        <f>'Raw Datas'!AF88</f>
        <v>0.93888333333333329</v>
      </c>
      <c r="AG18" s="62">
        <f>'Raw Datas'!AG88</f>
        <v>2.0918000000000001</v>
      </c>
      <c r="AH18" s="62">
        <f>'Raw Datas'!AH88</f>
        <v>1.1258000000000001</v>
      </c>
      <c r="AI18" s="62">
        <f>'Raw Datas'!AI88</f>
        <v>1.4144000000000001</v>
      </c>
      <c r="AJ18" s="62">
        <f>'Raw Datas'!AJ88</f>
        <v>1.7300833333333332</v>
      </c>
      <c r="AK18" s="62">
        <f>'Raw Datas'!AK88</f>
        <v>0.57756666666666656</v>
      </c>
      <c r="AL18" s="62">
        <f>'Raw Datas'!AL88</f>
        <v>1.2018500000000001</v>
      </c>
      <c r="AM18" s="62">
        <f>'Raw Datas'!AM88</f>
        <v>2.3552333333333331</v>
      </c>
      <c r="AN18" s="62">
        <f>'Raw Datas'!AN88</f>
        <v>1.4346500000000002</v>
      </c>
      <c r="AO18" s="62">
        <f>'Raw Datas'!AO88</f>
        <v>0.85391666666666666</v>
      </c>
      <c r="AP18" s="62">
        <f>'Raw Datas'!AP88</f>
        <v>1.1415833333333334</v>
      </c>
      <c r="AQ18" s="62">
        <f>'Raw Datas'!AQ88</f>
        <v>3.3933166666666663</v>
      </c>
      <c r="AR18" s="62">
        <f>'Raw Datas'!AR88</f>
        <v>0.3888833333333333</v>
      </c>
      <c r="AS18" s="62">
        <f>'Raw Datas'!AS88</f>
        <v>2.6600666666666664</v>
      </c>
      <c r="AT18" s="62">
        <f>'Raw Datas'!AT88</f>
        <v>1.6563666666666668</v>
      </c>
      <c r="AU18" s="62" t="str">
        <f>'Raw Datas'!AU88</f>
        <v>0</v>
      </c>
      <c r="AV18" s="62">
        <f>'Raw Datas'!AV88</f>
        <v>1.1708799999999999</v>
      </c>
      <c r="AW18" s="62">
        <f>'Raw Datas'!AW88</f>
        <v>0.68328333333333335</v>
      </c>
      <c r="AX18" s="62">
        <f>'Raw Datas'!AX88</f>
        <v>0.7698166666666667</v>
      </c>
      <c r="AY18" s="62">
        <f>'Raw Datas'!AY88</f>
        <v>1.0977833333333333</v>
      </c>
      <c r="AZ18" s="62">
        <f>'Raw Datas'!AZ88</f>
        <v>0.34009999999999996</v>
      </c>
      <c r="BA18" s="62">
        <f>'Raw Datas'!BA88</f>
        <v>0.9448833333333333</v>
      </c>
      <c r="BB18" s="62">
        <f>'Raw Datas'!BB88</f>
        <v>0.41339999999999999</v>
      </c>
      <c r="BC18" s="62">
        <f>'Raw Datas'!BC88</f>
        <v>1.0061333333333333</v>
      </c>
      <c r="BD18" s="62">
        <f>'Raw Datas'!BD88</f>
        <v>0.44236666666666663</v>
      </c>
      <c r="BE18" s="62">
        <f>'Raw Datas'!BE88</f>
        <v>1.5808166666666665</v>
      </c>
      <c r="BF18" s="62">
        <f>'Raw Datas'!BF88</f>
        <v>3.5002666666666666</v>
      </c>
      <c r="BG18" s="62">
        <f>'Raw Datas'!BG88</f>
        <v>0.29349999999999998</v>
      </c>
      <c r="BH18" s="62">
        <f>'Raw Datas'!BH88</f>
        <v>5.8533833333333325</v>
      </c>
      <c r="BI18" s="62">
        <f>'Raw Datas'!BI88</f>
        <v>4.6669999999999998</v>
      </c>
      <c r="BJ18" s="62">
        <f>'Raw Datas'!BJ88</f>
        <v>8.8222333333333331</v>
      </c>
      <c r="BK18" s="62">
        <f>'Raw Datas'!BK88</f>
        <v>1.4839166666666666</v>
      </c>
      <c r="BL18" s="62">
        <f>'Raw Datas'!BL88</f>
        <v>22.811400000000003</v>
      </c>
      <c r="BM18" s="62">
        <f>'Raw Datas'!BM88</f>
        <v>24.88597142857143</v>
      </c>
      <c r="BN18" s="62">
        <f>'Raw Datas'!BN88</f>
        <v>39.701483333333336</v>
      </c>
      <c r="BO18" s="62">
        <f>'Raw Datas'!BO88</f>
        <v>107.96598333333333</v>
      </c>
      <c r="BP18" s="62">
        <f>'Raw Datas'!BP88</f>
        <v>51.337800000000001</v>
      </c>
      <c r="BQ18" s="62">
        <f>'Raw Datas'!BQ88</f>
        <v>2.5672666666666668</v>
      </c>
      <c r="BR18" s="62">
        <f>'Raw Datas'!BR88</f>
        <v>0.77091428571428566</v>
      </c>
      <c r="BS18" s="62">
        <f>'Raw Datas'!BS88</f>
        <v>107.22805</v>
      </c>
      <c r="BT18" s="62">
        <f>'Raw Datas'!BT88</f>
        <v>8.6475833333333334</v>
      </c>
      <c r="BU18" s="62">
        <f>'Raw Datas'!BU88</f>
        <v>3.0842833333333335</v>
      </c>
      <c r="BV18" s="62">
        <f>'Raw Datas'!BV88</f>
        <v>2.5323333333333333</v>
      </c>
      <c r="BW18" s="62">
        <f>'Raw Datas'!BW88</f>
        <v>3.5411666666666668</v>
      </c>
      <c r="BX18" s="62">
        <f>'Raw Datas'!BX88</f>
        <v>0.85643333333333338</v>
      </c>
      <c r="BY18" s="62">
        <f>'Raw Datas'!BY88</f>
        <v>2.8419166666666671</v>
      </c>
      <c r="BZ18" s="62">
        <f>'Raw Datas'!BZ88</f>
        <v>1.2201333333333333</v>
      </c>
      <c r="CA18" s="62">
        <f>'Raw Datas'!CA88</f>
        <v>3.1940000000000004</v>
      </c>
      <c r="CB18" s="62">
        <f>'Raw Datas'!CB88</f>
        <v>0.60661666666666669</v>
      </c>
      <c r="CC18" s="62">
        <f>'Raw Datas'!CC88</f>
        <v>1.3842333333333334</v>
      </c>
      <c r="CD18" s="62">
        <f>'Raw Datas'!CD88</f>
        <v>1.1900166666666669</v>
      </c>
      <c r="CE18" s="62">
        <f>'Raw Datas'!CE88</f>
        <v>5.3199000000000005</v>
      </c>
      <c r="CF18" s="62">
        <f>'Raw Datas'!CF88</f>
        <v>0.69275000000000009</v>
      </c>
      <c r="CG18" s="62">
        <f>'Raw Datas'!CG88</f>
        <v>1.8363</v>
      </c>
      <c r="CH18" s="62">
        <f>'Raw Datas'!CH88</f>
        <v>1.1662999999999999</v>
      </c>
      <c r="CI18" s="62">
        <f>'Raw Datas'!CI88</f>
        <v>1.3339999999999999</v>
      </c>
      <c r="CJ18" s="62">
        <f>'Raw Datas'!CJ88</f>
        <v>0.53671111111111114</v>
      </c>
      <c r="CK18" s="62">
        <f>'Raw Datas'!CK88</f>
        <v>0.31470000000000004</v>
      </c>
      <c r="CL18" s="62">
        <f>'Raw Datas'!CL88</f>
        <v>0.73796666666666677</v>
      </c>
      <c r="CM18" s="62">
        <f>'Raw Datas'!CM88</f>
        <v>0.59843333333333326</v>
      </c>
      <c r="CN18" s="62">
        <f>'Raw Datas'!CN88</f>
        <v>0.38985000000000003</v>
      </c>
      <c r="CO18" s="62">
        <f>'Raw Datas'!CO88</f>
        <v>0.47430000000000005</v>
      </c>
      <c r="CP18" s="62">
        <f>'Raw Datas'!CP88</f>
        <v>2.1220166666666667</v>
      </c>
      <c r="CQ18" s="62">
        <f>'Raw Datas'!CQ88</f>
        <v>1.3571833333333336</v>
      </c>
      <c r="CR18" s="62">
        <f>'Raw Datas'!CR88</f>
        <v>1.0211833333333333</v>
      </c>
      <c r="CS18" s="62">
        <f>'Raw Datas'!CS88</f>
        <v>0.65981666666666661</v>
      </c>
      <c r="CT18" s="62">
        <f>'Raw Datas'!CT88</f>
        <v>2.0927666666666669</v>
      </c>
      <c r="CU18" s="62">
        <f>'Raw Datas'!CU88</f>
        <v>0.44483333333333336</v>
      </c>
      <c r="CV18" s="62">
        <f>'Raw Datas'!CV88</f>
        <v>0.80901666666666661</v>
      </c>
      <c r="CW18" s="62">
        <f>'Raw Datas'!CW88</f>
        <v>1.9278333333333333</v>
      </c>
      <c r="CX18" s="62">
        <f>'Raw Datas'!CX88</f>
        <v>1.0040500000000001</v>
      </c>
      <c r="CY18" s="62">
        <f>'Raw Datas'!CY88</f>
        <v>0.51161666666666672</v>
      </c>
      <c r="CZ18" s="62">
        <f>'Raw Datas'!CZ88</f>
        <v>0.48609999999999992</v>
      </c>
      <c r="DA18" s="62">
        <f>'Raw Datas'!DA88</f>
        <v>0.7001666666666666</v>
      </c>
      <c r="DB18" s="62">
        <f>'Raw Datas'!DB88</f>
        <v>1.0738166666666666</v>
      </c>
      <c r="DC18" s="62">
        <f>'Raw Datas'!DC88</f>
        <v>0.45666666666666672</v>
      </c>
      <c r="DD18" s="62">
        <f>'Raw Datas'!DD88</f>
        <v>0.78678333333333339</v>
      </c>
      <c r="DE18" s="62">
        <f>'Raw Datas'!DE88</f>
        <v>1.3071833333333334</v>
      </c>
      <c r="DF18" s="62">
        <f>'Raw Datas'!DF88</f>
        <v>1.0835499999999998</v>
      </c>
      <c r="DG18" s="62">
        <f>'Raw Datas'!DG88</f>
        <v>1.0376833333333333</v>
      </c>
      <c r="DH18" s="62">
        <f>'Raw Datas'!DH88</f>
        <v>6.8333333333333329E-2</v>
      </c>
      <c r="DI18" s="62">
        <f>'Raw Datas'!DI88</f>
        <v>1.2420499999999999</v>
      </c>
      <c r="DJ18" s="62">
        <f>'Raw Datas'!DJ88</f>
        <v>1.9496</v>
      </c>
      <c r="DK18" s="62">
        <f>'Raw Datas'!DK88</f>
        <v>1.9535666666666667</v>
      </c>
      <c r="DL18" s="62">
        <f>'Raw Datas'!DL88</f>
        <v>5.4683333333333334E-2</v>
      </c>
      <c r="DM18" s="62">
        <f>'Raw Datas'!DM88</f>
        <v>3.4924166666666663</v>
      </c>
      <c r="DN18" s="62">
        <f>'Raw Datas'!DN88</f>
        <v>1.1524333333333334</v>
      </c>
      <c r="DO18" s="62">
        <f>'Raw Datas'!DO88</f>
        <v>1.3812333333333333</v>
      </c>
      <c r="DP18" s="62">
        <f>'Raw Datas'!DP88</f>
        <v>1.3961666666666668</v>
      </c>
      <c r="DQ18" s="62">
        <f>'Raw Datas'!DQ88</f>
        <v>1.3978999999999999</v>
      </c>
      <c r="DR18" s="62">
        <f>'Raw Datas'!DR88</f>
        <v>1.4997666666666665</v>
      </c>
      <c r="DS18" s="62">
        <f>'Raw Datas'!DS88</f>
        <v>0.70761666666666667</v>
      </c>
      <c r="DT18" s="62">
        <f>'Raw Datas'!DT88</f>
        <v>1.0698833333333333</v>
      </c>
      <c r="DU18" s="62">
        <f>'Raw Datas'!DU88</f>
        <v>2.2540833333333334</v>
      </c>
      <c r="DV18" s="62">
        <f>'Raw Datas'!DV88</f>
        <v>0.67308333333333326</v>
      </c>
      <c r="DW18" s="62">
        <f>'Raw Datas'!DW88</f>
        <v>1.2669166666666667</v>
      </c>
      <c r="DX18" s="62">
        <f>'Raw Datas'!DX88</f>
        <v>0.4995666666666666</v>
      </c>
      <c r="DY18" s="62">
        <f>'Raw Datas'!DY88</f>
        <v>2.0196166666666664</v>
      </c>
      <c r="DZ18" s="62">
        <f>'Raw Datas'!DZ88</f>
        <v>2.4393000000000002</v>
      </c>
      <c r="EA18" s="62">
        <f>'Raw Datas'!EA88</f>
        <v>1.3855499999999998</v>
      </c>
      <c r="EB18" s="62">
        <f>'Raw Datas'!EB88</f>
        <v>1.9432833333333335</v>
      </c>
      <c r="EC18" s="62">
        <f>'Raw Datas'!EC88</f>
        <v>1.1539333333333335</v>
      </c>
      <c r="ED18" s="62">
        <f>'Raw Datas'!ED88</f>
        <v>1.1340000000000001</v>
      </c>
      <c r="EE18" s="62" t="str">
        <f>'Raw Datas'!EE88</f>
        <v>0</v>
      </c>
      <c r="EF18" s="62">
        <f>'Raw Datas'!EF88</f>
        <v>1.2531000000000001</v>
      </c>
      <c r="EG18" s="62">
        <f>'Raw Datas'!EG88</f>
        <v>1.2698500000000001</v>
      </c>
      <c r="EH18" s="62">
        <f>'Raw Datas'!EH88</f>
        <v>0.64075000000000004</v>
      </c>
      <c r="EI18" s="62">
        <f>'Raw Datas'!EI88</f>
        <v>0.30304999999999999</v>
      </c>
      <c r="EJ18" s="62">
        <f>'Raw Datas'!EJ88</f>
        <v>2.5122333333333331</v>
      </c>
      <c r="EK18" s="62">
        <f>'Raw Datas'!EK88</f>
        <v>0.57128333333333337</v>
      </c>
      <c r="EL18" s="62">
        <f>'Raw Datas'!EL88</f>
        <v>0.70296666666666674</v>
      </c>
      <c r="EM18" s="62">
        <f>'Raw Datas'!EM88</f>
        <v>2.0529666666666668</v>
      </c>
      <c r="EN18" s="62">
        <f>'Raw Datas'!EN88</f>
        <v>2.2278166666666666</v>
      </c>
      <c r="EO18" s="62">
        <f>'Raw Datas'!EO88</f>
        <v>0.76934999999999998</v>
      </c>
      <c r="EP18" s="62">
        <f>'Raw Datas'!EP88</f>
        <v>1.4181166666666665</v>
      </c>
      <c r="EQ18" s="62">
        <f>'Raw Datas'!EQ88</f>
        <v>0.7260833333333333</v>
      </c>
      <c r="ER18" s="62">
        <f>'Raw Datas'!ER88</f>
        <v>0.85088333333333332</v>
      </c>
      <c r="ES18" s="62">
        <f>'Raw Datas'!ES88</f>
        <v>0.72128333333333339</v>
      </c>
      <c r="ET18" s="62">
        <f>'Raw Datas'!ET88</f>
        <v>0.56723333333333337</v>
      </c>
      <c r="EU18" s="62">
        <f>'Raw Datas'!EU88</f>
        <v>1.0198166666666666</v>
      </c>
      <c r="EV18" s="62">
        <f>'Raw Datas'!EV88</f>
        <v>0.75296666666666678</v>
      </c>
      <c r="EW18" s="62">
        <f>'Raw Datas'!EW88</f>
        <v>0.75491666666666657</v>
      </c>
      <c r="EX18" s="62">
        <f>'Raw Datas'!EX88</f>
        <v>1.0623666666666667</v>
      </c>
      <c r="EY18" s="62">
        <f>'Raw Datas'!EY88</f>
        <v>10.383916666666666</v>
      </c>
      <c r="EZ18" s="62">
        <f>'Raw Datas'!EZ88</f>
        <v>1.7655833333333333</v>
      </c>
      <c r="FA18" s="62">
        <f>'Raw Datas'!FA88</f>
        <v>0.81225000000000003</v>
      </c>
      <c r="FB18" s="62">
        <f>'Raw Datas'!FB88</f>
        <v>0.50591666666666657</v>
      </c>
      <c r="FC18" s="62">
        <f>'Raw Datas'!FC88</f>
        <v>0.7920166666666667</v>
      </c>
      <c r="FD18" s="62">
        <f>'Raw Datas'!FD88</f>
        <v>0.63034999999999997</v>
      </c>
      <c r="FE18" s="62">
        <f>'Raw Datas'!FE88</f>
        <v>0.98933333333333329</v>
      </c>
      <c r="FF18" s="62">
        <f>'Raw Datas'!FF88</f>
        <v>0.72750000000000015</v>
      </c>
      <c r="FG18" s="62">
        <f>'Raw Datas'!FG88</f>
        <v>0.75321666666666676</v>
      </c>
      <c r="FH18" s="62">
        <f>'Raw Datas'!FH88</f>
        <v>1.7600666666666667</v>
      </c>
      <c r="FI18" s="62">
        <f>'Raw Datas'!FI88</f>
        <v>0.90793333333333348</v>
      </c>
      <c r="FJ18" s="62">
        <f>'Raw Datas'!FJ88</f>
        <v>1.1645833333333333</v>
      </c>
      <c r="FK18" s="62">
        <f>'Raw Datas'!FK88</f>
        <v>0.62070000000000003</v>
      </c>
      <c r="FL18" s="62">
        <f>'Raw Datas'!FL88</f>
        <v>2.7563666666666666</v>
      </c>
      <c r="FM18" s="62">
        <f>'Raw Datas'!FM88</f>
        <v>4.9281333333333333</v>
      </c>
      <c r="FN18" s="62">
        <f>'Raw Datas'!FN88</f>
        <v>2.1416499999999998</v>
      </c>
      <c r="FO18" s="62">
        <f>'Raw Datas'!FO88</f>
        <v>0.82583333333333331</v>
      </c>
    </row>
    <row r="19" spans="1:16090" ht="16" thickBot="1" x14ac:dyDescent="0.25">
      <c r="B19" s="100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  <c r="BBJ19" s="13"/>
      <c r="BBK19" s="13"/>
      <c r="BBL19" s="13"/>
      <c r="BBM19" s="13"/>
      <c r="BBN19" s="13"/>
      <c r="BBO19" s="13"/>
      <c r="BBP19" s="13"/>
      <c r="BBQ19" s="13"/>
      <c r="BBR19" s="13"/>
      <c r="BBS19" s="13"/>
      <c r="BBT19" s="13"/>
      <c r="BBU19" s="13"/>
      <c r="BBV19" s="13"/>
      <c r="BBW19" s="13"/>
      <c r="BBX19" s="13"/>
      <c r="BBY19" s="13"/>
      <c r="BBZ19" s="13"/>
      <c r="BCA19" s="13"/>
      <c r="BCB19" s="13"/>
      <c r="BCC19" s="13"/>
      <c r="BCD19" s="13"/>
      <c r="BCE19" s="13"/>
      <c r="BCF19" s="13"/>
      <c r="BCG19" s="13"/>
      <c r="BCH19" s="13"/>
      <c r="BCI19" s="13"/>
      <c r="BCJ19" s="13"/>
      <c r="BCK19" s="13"/>
      <c r="BCL19" s="13"/>
      <c r="BCM19" s="13"/>
      <c r="BCN19" s="13"/>
      <c r="BCO19" s="13"/>
      <c r="BCP19" s="13"/>
      <c r="BCQ19" s="13"/>
      <c r="BCR19" s="13"/>
      <c r="BCS19" s="13"/>
      <c r="BCT19" s="13"/>
      <c r="BCU19" s="13"/>
      <c r="BCV19" s="13"/>
      <c r="BCW19" s="13"/>
      <c r="BCX19" s="13"/>
      <c r="BCY19" s="13"/>
      <c r="BCZ19" s="13"/>
      <c r="BDA19" s="13"/>
      <c r="BDB19" s="13"/>
      <c r="BDC19" s="13"/>
      <c r="BDD19" s="13"/>
      <c r="BDE19" s="13"/>
      <c r="BDF19" s="13"/>
      <c r="BDG19" s="13"/>
      <c r="BDH19" s="13"/>
      <c r="BDI19" s="13"/>
      <c r="BDJ19" s="13"/>
      <c r="BDK19" s="13"/>
      <c r="BDL19" s="13"/>
      <c r="BDM19" s="13"/>
      <c r="BDN19" s="13"/>
      <c r="BDO19" s="13"/>
      <c r="BDP19" s="13"/>
      <c r="BDQ19" s="13"/>
      <c r="BDR19" s="13"/>
      <c r="BDS19" s="13"/>
      <c r="BDT19" s="13"/>
      <c r="BDU19" s="13"/>
      <c r="BDV19" s="13"/>
      <c r="BDW19" s="13"/>
      <c r="BDX19" s="13"/>
      <c r="BDY19" s="13"/>
      <c r="BDZ19" s="13"/>
      <c r="BEA19" s="13"/>
      <c r="BEB19" s="13"/>
      <c r="BEC19" s="13"/>
      <c r="BED19" s="13"/>
      <c r="BEE19" s="13"/>
      <c r="BEF19" s="13"/>
      <c r="BEG19" s="13"/>
      <c r="BEH19" s="13"/>
      <c r="BEI19" s="13"/>
      <c r="BEJ19" s="13"/>
      <c r="BEK19" s="13"/>
      <c r="BEL19" s="13"/>
      <c r="BEM19" s="13"/>
      <c r="BEN19" s="13"/>
      <c r="BEO19" s="13"/>
      <c r="BEP19" s="13"/>
      <c r="BEQ19" s="13"/>
      <c r="BER19" s="13"/>
      <c r="BES19" s="13"/>
      <c r="BET19" s="13"/>
      <c r="BEU19" s="13"/>
      <c r="BEV19" s="13"/>
      <c r="BEW19" s="13"/>
      <c r="BEX19" s="13"/>
      <c r="BEY19" s="13"/>
      <c r="BEZ19" s="13"/>
      <c r="BFA19" s="13"/>
      <c r="BFB19" s="13"/>
      <c r="BFC19" s="13"/>
      <c r="BFD19" s="13"/>
      <c r="BFE19" s="13"/>
      <c r="BFF19" s="13"/>
      <c r="BFG19" s="13"/>
      <c r="BFH19" s="13"/>
      <c r="BFI19" s="13"/>
      <c r="BFJ19" s="13"/>
      <c r="BFK19" s="13"/>
      <c r="BFL19" s="13"/>
      <c r="BFM19" s="13"/>
      <c r="BFN19" s="13"/>
      <c r="BFO19" s="13"/>
      <c r="BFP19" s="13"/>
      <c r="BFQ19" s="13"/>
      <c r="BFR19" s="13"/>
      <c r="BFS19" s="13"/>
      <c r="BFT19" s="13"/>
      <c r="BFU19" s="13"/>
      <c r="BFV19" s="13"/>
      <c r="BFW19" s="13"/>
      <c r="BFX19" s="13"/>
      <c r="BFY19" s="13"/>
      <c r="BFZ19" s="13"/>
      <c r="BGA19" s="13"/>
      <c r="BGB19" s="13"/>
      <c r="BGC19" s="13"/>
      <c r="BGD19" s="13"/>
      <c r="BGE19" s="13"/>
      <c r="BGF19" s="13"/>
      <c r="BGG19" s="13"/>
      <c r="BGH19" s="13"/>
      <c r="BGI19" s="13"/>
      <c r="BGJ19" s="13"/>
      <c r="BGK19" s="13"/>
      <c r="BGL19" s="13"/>
      <c r="BGM19" s="13"/>
      <c r="BGN19" s="13"/>
      <c r="BGO19" s="13"/>
      <c r="BGP19" s="13"/>
      <c r="BGQ19" s="13"/>
      <c r="BGR19" s="13"/>
      <c r="BGS19" s="13"/>
      <c r="BGT19" s="13"/>
      <c r="BGU19" s="13"/>
      <c r="BGV19" s="13"/>
      <c r="BGW19" s="13"/>
      <c r="BGX19" s="13"/>
      <c r="BGY19" s="13"/>
      <c r="BGZ19" s="13"/>
      <c r="BHA19" s="13"/>
      <c r="BHB19" s="13"/>
      <c r="BHC19" s="13"/>
      <c r="BHD19" s="13"/>
      <c r="BHE19" s="13"/>
      <c r="BHF19" s="13"/>
      <c r="BHG19" s="13"/>
      <c r="BHH19" s="13"/>
      <c r="BHI19" s="13"/>
      <c r="BHJ19" s="13"/>
      <c r="BHK19" s="13"/>
      <c r="BHL19" s="13"/>
      <c r="BHM19" s="13"/>
      <c r="BHN19" s="13"/>
      <c r="BHO19" s="13"/>
      <c r="BHP19" s="13"/>
      <c r="BHQ19" s="13"/>
      <c r="BHR19" s="13"/>
      <c r="BHS19" s="13"/>
      <c r="BHT19" s="13"/>
      <c r="BHU19" s="13"/>
      <c r="BHV19" s="13"/>
      <c r="BHW19" s="13"/>
      <c r="BHX19" s="13"/>
      <c r="BHY19" s="13"/>
      <c r="BHZ19" s="13"/>
      <c r="BIA19" s="13"/>
      <c r="BIB19" s="13"/>
      <c r="BIC19" s="13"/>
      <c r="BID19" s="13"/>
      <c r="BIE19" s="13"/>
      <c r="BIF19" s="13"/>
      <c r="BIG19" s="13"/>
      <c r="BIH19" s="13"/>
      <c r="BII19" s="13"/>
      <c r="BIJ19" s="13"/>
      <c r="BIK19" s="13"/>
      <c r="BIL19" s="13"/>
      <c r="BIM19" s="13"/>
      <c r="BIN19" s="13"/>
      <c r="BIO19" s="13"/>
      <c r="BIP19" s="13"/>
      <c r="BIQ19" s="13"/>
      <c r="BIR19" s="13"/>
      <c r="BIS19" s="13"/>
      <c r="BIT19" s="13"/>
      <c r="BIU19" s="13"/>
      <c r="BIV19" s="13"/>
      <c r="BIW19" s="13"/>
      <c r="BIX19" s="13"/>
      <c r="BIY19" s="13"/>
      <c r="BIZ19" s="13"/>
      <c r="BJA19" s="13"/>
      <c r="BJB19" s="13"/>
      <c r="BJC19" s="13"/>
      <c r="BJD19" s="13"/>
      <c r="BJE19" s="13"/>
      <c r="BJF19" s="13"/>
      <c r="BJG19" s="13"/>
      <c r="BJH19" s="13"/>
      <c r="BJI19" s="13"/>
      <c r="BJJ19" s="13"/>
      <c r="BJK19" s="13"/>
      <c r="BJL19" s="13"/>
      <c r="BJM19" s="13"/>
      <c r="BJN19" s="13"/>
      <c r="BJO19" s="13"/>
      <c r="BJP19" s="13"/>
      <c r="BJQ19" s="13"/>
      <c r="BJR19" s="13"/>
      <c r="BJS19" s="13"/>
      <c r="BJT19" s="13"/>
      <c r="BJU19" s="13"/>
      <c r="BJV19" s="13"/>
      <c r="BJW19" s="13"/>
      <c r="BJX19" s="13"/>
      <c r="BJY19" s="13"/>
      <c r="BJZ19" s="13"/>
      <c r="BKA19" s="13"/>
      <c r="BKB19" s="13"/>
      <c r="BKC19" s="13"/>
      <c r="BKD19" s="13"/>
      <c r="BKE19" s="13"/>
      <c r="BKF19" s="13"/>
      <c r="BKG19" s="13"/>
      <c r="BKH19" s="13"/>
      <c r="BKI19" s="13"/>
      <c r="BKJ19" s="13"/>
      <c r="BKK19" s="13"/>
      <c r="BKL19" s="13"/>
      <c r="BKM19" s="13"/>
      <c r="BKN19" s="13"/>
      <c r="BKO19" s="13"/>
      <c r="BKP19" s="13"/>
      <c r="BKQ19" s="13"/>
      <c r="BKR19" s="13"/>
      <c r="BKS19" s="13"/>
      <c r="BKT19" s="13"/>
      <c r="BKU19" s="13"/>
      <c r="BKV19" s="13"/>
      <c r="BKW19" s="13"/>
      <c r="BKX19" s="13"/>
      <c r="BKY19" s="13"/>
      <c r="BKZ19" s="13"/>
      <c r="BLA19" s="13"/>
      <c r="BLB19" s="13"/>
      <c r="BLC19" s="13"/>
      <c r="BLD19" s="13"/>
      <c r="BLE19" s="13"/>
      <c r="BLF19" s="13"/>
      <c r="BLG19" s="13"/>
      <c r="BLH19" s="13"/>
      <c r="BLI19" s="13"/>
      <c r="BLJ19" s="13"/>
      <c r="BLK19" s="13"/>
      <c r="BLL19" s="13"/>
      <c r="BLM19" s="13"/>
      <c r="BLN19" s="13"/>
      <c r="BLO19" s="13"/>
      <c r="BLP19" s="13"/>
      <c r="BLQ19" s="13"/>
      <c r="BLR19" s="13"/>
      <c r="BLS19" s="13"/>
      <c r="BLT19" s="13"/>
      <c r="BLU19" s="13"/>
      <c r="BLV19" s="13"/>
      <c r="BLW19" s="13"/>
      <c r="BLX19" s="13"/>
      <c r="BLY19" s="13"/>
      <c r="BLZ19" s="13"/>
      <c r="BMA19" s="13"/>
      <c r="BMB19" s="13"/>
      <c r="BMC19" s="13"/>
      <c r="BMD19" s="13"/>
      <c r="BME19" s="13"/>
      <c r="BMF19" s="13"/>
      <c r="BMG19" s="13"/>
      <c r="BMH19" s="13"/>
      <c r="BMI19" s="13"/>
      <c r="BMJ19" s="13"/>
      <c r="BMK19" s="13"/>
      <c r="BML19" s="13"/>
      <c r="BMM19" s="13"/>
      <c r="BMN19" s="13"/>
      <c r="BMO19" s="13"/>
      <c r="BMP19" s="13"/>
      <c r="BMQ19" s="13"/>
      <c r="BMR19" s="13"/>
      <c r="BMS19" s="13"/>
      <c r="BMT19" s="13"/>
      <c r="BMU19" s="13"/>
      <c r="BMV19" s="13"/>
      <c r="BMW19" s="13"/>
      <c r="BMX19" s="13"/>
      <c r="BMY19" s="13"/>
      <c r="BMZ19" s="13"/>
      <c r="BNA19" s="13"/>
      <c r="BNB19" s="13"/>
      <c r="BNC19" s="13"/>
      <c r="BND19" s="13"/>
      <c r="BNE19" s="13"/>
      <c r="BNF19" s="13"/>
      <c r="BNG19" s="13"/>
      <c r="BNH19" s="13"/>
      <c r="BNI19" s="13"/>
      <c r="BNJ19" s="13"/>
      <c r="BNK19" s="13"/>
      <c r="BNL19" s="13"/>
      <c r="BNM19" s="13"/>
      <c r="BNN19" s="13"/>
      <c r="BNO19" s="13"/>
      <c r="BNP19" s="13"/>
      <c r="BNQ19" s="13"/>
      <c r="BNR19" s="13"/>
      <c r="BNS19" s="13"/>
      <c r="BNT19" s="13"/>
      <c r="BNU19" s="13"/>
      <c r="BNV19" s="13"/>
      <c r="BNW19" s="13"/>
      <c r="BNX19" s="13"/>
      <c r="BNY19" s="13"/>
      <c r="BNZ19" s="13"/>
      <c r="BOA19" s="13"/>
      <c r="BOB19" s="13"/>
      <c r="BOC19" s="13"/>
      <c r="BOD19" s="13"/>
      <c r="BOE19" s="13"/>
      <c r="BOF19" s="13"/>
      <c r="BOG19" s="13"/>
      <c r="BOH19" s="13"/>
      <c r="BOI19" s="13"/>
      <c r="BOJ19" s="13"/>
      <c r="BOK19" s="13"/>
      <c r="BOL19" s="13"/>
      <c r="BOM19" s="13"/>
      <c r="BON19" s="13"/>
      <c r="BOO19" s="13"/>
      <c r="BOP19" s="13"/>
      <c r="BOQ19" s="13"/>
      <c r="BOR19" s="13"/>
      <c r="BOS19" s="13"/>
      <c r="BOT19" s="13"/>
      <c r="BOU19" s="13"/>
      <c r="BOV19" s="13"/>
      <c r="BOW19" s="13"/>
      <c r="BOX19" s="13"/>
      <c r="BOY19" s="13"/>
      <c r="BOZ19" s="13"/>
      <c r="BPA19" s="13"/>
      <c r="BPB19" s="13"/>
      <c r="BPC19" s="13"/>
      <c r="BPD19" s="13"/>
      <c r="BPE19" s="13"/>
      <c r="BPF19" s="13"/>
      <c r="BPG19" s="13"/>
      <c r="BPH19" s="13"/>
      <c r="BPI19" s="13"/>
      <c r="BPJ19" s="13"/>
      <c r="BPK19" s="13"/>
      <c r="BPL19" s="13"/>
      <c r="BPM19" s="13"/>
      <c r="BPN19" s="13"/>
      <c r="BPO19" s="13"/>
      <c r="BPP19" s="13"/>
      <c r="BPQ19" s="13"/>
      <c r="BPR19" s="13"/>
      <c r="BPS19" s="13"/>
      <c r="BPT19" s="13"/>
      <c r="BPU19" s="13"/>
      <c r="BPV19" s="13"/>
      <c r="BPW19" s="13"/>
      <c r="BPX19" s="13"/>
      <c r="BPY19" s="13"/>
      <c r="BPZ19" s="13"/>
      <c r="BQA19" s="13"/>
      <c r="BQB19" s="13"/>
      <c r="BQC19" s="13"/>
      <c r="BQD19" s="13"/>
      <c r="BQE19" s="13"/>
      <c r="BQF19" s="13"/>
      <c r="BQG19" s="13"/>
      <c r="BQH19" s="13"/>
      <c r="BQI19" s="13"/>
      <c r="BQJ19" s="13"/>
      <c r="BQK19" s="13"/>
      <c r="BQL19" s="13"/>
      <c r="BQM19" s="13"/>
      <c r="BQN19" s="13"/>
      <c r="BQO19" s="13"/>
      <c r="BQP19" s="13"/>
      <c r="BQQ19" s="13"/>
      <c r="BQR19" s="13"/>
      <c r="BQS19" s="13"/>
      <c r="BQT19" s="13"/>
      <c r="BQU19" s="13"/>
      <c r="BQV19" s="13"/>
      <c r="BQW19" s="13"/>
      <c r="BQX19" s="13"/>
      <c r="BQY19" s="13"/>
      <c r="BQZ19" s="13"/>
      <c r="BRA19" s="13"/>
      <c r="BRB19" s="13"/>
      <c r="BRC19" s="13"/>
      <c r="BRD19" s="13"/>
      <c r="BRE19" s="13"/>
      <c r="BRF19" s="13"/>
      <c r="BRG19" s="13"/>
      <c r="BRH19" s="13"/>
      <c r="BRI19" s="13"/>
      <c r="BRJ19" s="13"/>
      <c r="BRK19" s="13"/>
      <c r="BRL19" s="13"/>
      <c r="BRM19" s="13"/>
      <c r="BRN19" s="13"/>
      <c r="BRO19" s="13"/>
      <c r="BRP19" s="13"/>
      <c r="BRQ19" s="13"/>
      <c r="BRR19" s="13"/>
      <c r="BRS19" s="13"/>
      <c r="BRT19" s="13"/>
      <c r="BRU19" s="13"/>
      <c r="BRV19" s="13"/>
      <c r="BRW19" s="13"/>
      <c r="BRX19" s="13"/>
      <c r="BRY19" s="13"/>
      <c r="BRZ19" s="13"/>
      <c r="BSA19" s="13"/>
      <c r="BSB19" s="13"/>
      <c r="BSC19" s="13"/>
      <c r="BSD19" s="13"/>
      <c r="BSE19" s="13"/>
      <c r="BSF19" s="13"/>
      <c r="BSG19" s="13"/>
      <c r="BSH19" s="13"/>
      <c r="BSI19" s="13"/>
      <c r="BSJ19" s="13"/>
      <c r="BSK19" s="13"/>
      <c r="BSL19" s="13"/>
      <c r="BSM19" s="13"/>
      <c r="BSN19" s="13"/>
      <c r="BSO19" s="13"/>
      <c r="BSP19" s="13"/>
      <c r="BSQ19" s="13"/>
      <c r="BSR19" s="13"/>
      <c r="BSS19" s="13"/>
      <c r="BST19" s="13"/>
      <c r="BSU19" s="13"/>
      <c r="BSV19" s="13"/>
      <c r="BSW19" s="13"/>
      <c r="BSX19" s="13"/>
      <c r="BSY19" s="13"/>
      <c r="BSZ19" s="13"/>
      <c r="BTA19" s="13"/>
      <c r="BTB19" s="13"/>
      <c r="BTC19" s="13"/>
      <c r="BTD19" s="13"/>
      <c r="BTE19" s="13"/>
      <c r="BTF19" s="13"/>
      <c r="BTG19" s="13"/>
      <c r="BTH19" s="13"/>
      <c r="BTI19" s="13"/>
      <c r="BTJ19" s="13"/>
      <c r="BTK19" s="13"/>
      <c r="BTL19" s="13"/>
      <c r="BTM19" s="13"/>
      <c r="BTN19" s="13"/>
      <c r="BTO19" s="13"/>
      <c r="BTP19" s="13"/>
      <c r="BTQ19" s="13"/>
      <c r="BTR19" s="13"/>
      <c r="BTS19" s="13"/>
      <c r="BTT19" s="13"/>
      <c r="BTU19" s="13"/>
      <c r="BTV19" s="13"/>
      <c r="BTW19" s="13"/>
      <c r="BTX19" s="13"/>
      <c r="BTY19" s="13"/>
      <c r="BTZ19" s="13"/>
      <c r="BUA19" s="13"/>
      <c r="BUB19" s="13"/>
      <c r="BUC19" s="13"/>
      <c r="BUD19" s="13"/>
      <c r="BUE19" s="13"/>
      <c r="BUF19" s="13"/>
      <c r="BUG19" s="13"/>
      <c r="BUH19" s="13"/>
      <c r="BUI19" s="13"/>
      <c r="BUJ19" s="13"/>
      <c r="BUK19" s="13"/>
      <c r="BUL19" s="13"/>
      <c r="BUM19" s="13"/>
      <c r="BUN19" s="13"/>
      <c r="BUO19" s="13"/>
      <c r="BUP19" s="13"/>
      <c r="BUQ19" s="13"/>
      <c r="BUR19" s="13"/>
      <c r="BUS19" s="13"/>
      <c r="BUT19" s="13"/>
      <c r="BUU19" s="13"/>
      <c r="BUV19" s="13"/>
      <c r="BUW19" s="13"/>
      <c r="BUX19" s="13"/>
      <c r="BUY19" s="13"/>
      <c r="BUZ19" s="13"/>
      <c r="BVA19" s="13"/>
      <c r="BVB19" s="13"/>
      <c r="BVC19" s="13"/>
      <c r="BVD19" s="13"/>
      <c r="BVE19" s="13"/>
      <c r="BVF19" s="13"/>
      <c r="BVG19" s="13"/>
      <c r="BVH19" s="13"/>
      <c r="BVI19" s="13"/>
      <c r="BVJ19" s="13"/>
      <c r="BVK19" s="13"/>
      <c r="BVL19" s="13"/>
      <c r="BVM19" s="13"/>
      <c r="BVN19" s="13"/>
      <c r="BVO19" s="13"/>
      <c r="BVP19" s="13"/>
      <c r="BVQ19" s="13"/>
      <c r="BVR19" s="13"/>
      <c r="BVS19" s="13"/>
      <c r="BVT19" s="13"/>
      <c r="BVU19" s="13"/>
      <c r="BVV19" s="13"/>
      <c r="BVW19" s="13"/>
      <c r="BVX19" s="13"/>
      <c r="BVY19" s="13"/>
      <c r="BVZ19" s="13"/>
      <c r="BWA19" s="13"/>
      <c r="BWB19" s="13"/>
      <c r="BWC19" s="13"/>
      <c r="BWD19" s="13"/>
      <c r="BWE19" s="13"/>
      <c r="BWF19" s="13"/>
      <c r="BWG19" s="13"/>
      <c r="BWH19" s="13"/>
      <c r="BWI19" s="13"/>
      <c r="BWJ19" s="13"/>
      <c r="BWK19" s="13"/>
      <c r="BWL19" s="13"/>
      <c r="BWM19" s="13"/>
      <c r="BWN19" s="13"/>
      <c r="BWO19" s="13"/>
      <c r="BWP19" s="13"/>
      <c r="BWQ19" s="13"/>
      <c r="BWR19" s="13"/>
      <c r="BWS19" s="13"/>
      <c r="BWT19" s="13"/>
      <c r="BWU19" s="13"/>
      <c r="BWV19" s="13"/>
      <c r="BWW19" s="13"/>
      <c r="BWX19" s="13"/>
      <c r="BWY19" s="13"/>
      <c r="BWZ19" s="13"/>
      <c r="BXA19" s="13"/>
      <c r="BXB19" s="13"/>
      <c r="BXC19" s="13"/>
      <c r="BXD19" s="13"/>
      <c r="BXE19" s="13"/>
      <c r="BXF19" s="13"/>
      <c r="BXG19" s="13"/>
      <c r="BXH19" s="13"/>
      <c r="BXI19" s="13"/>
      <c r="BXJ19" s="13"/>
      <c r="BXK19" s="13"/>
      <c r="BXL19" s="13"/>
      <c r="BXM19" s="13"/>
      <c r="BXN19" s="13"/>
      <c r="BXO19" s="13"/>
      <c r="BXP19" s="13"/>
      <c r="BXQ19" s="13"/>
      <c r="BXR19" s="13"/>
      <c r="BXS19" s="13"/>
      <c r="BXT19" s="13"/>
      <c r="BXU19" s="13"/>
      <c r="BXV19" s="13"/>
      <c r="BXW19" s="13"/>
      <c r="BXX19" s="13"/>
      <c r="BXY19" s="13"/>
      <c r="BXZ19" s="13"/>
      <c r="BYA19" s="13"/>
      <c r="BYB19" s="13"/>
      <c r="BYC19" s="13"/>
      <c r="BYD19" s="13"/>
      <c r="BYE19" s="13"/>
      <c r="BYF19" s="13"/>
      <c r="BYG19" s="13"/>
      <c r="BYH19" s="13"/>
      <c r="BYI19" s="13"/>
      <c r="BYJ19" s="13"/>
      <c r="BYK19" s="13"/>
      <c r="BYL19" s="13"/>
      <c r="BYM19" s="13"/>
      <c r="BYN19" s="13"/>
      <c r="BYO19" s="13"/>
      <c r="BYP19" s="13"/>
      <c r="BYQ19" s="13"/>
      <c r="BYR19" s="13"/>
      <c r="BYS19" s="13"/>
      <c r="BYT19" s="13"/>
      <c r="BYU19" s="13"/>
      <c r="BYV19" s="13"/>
      <c r="BYW19" s="13"/>
      <c r="BYX19" s="13"/>
      <c r="BYY19" s="13"/>
      <c r="BYZ19" s="13"/>
      <c r="BZA19" s="13"/>
      <c r="BZB19" s="13"/>
      <c r="BZC19" s="13"/>
      <c r="BZD19" s="13"/>
      <c r="BZE19" s="13"/>
      <c r="BZF19" s="13"/>
      <c r="BZG19" s="13"/>
      <c r="BZH19" s="13"/>
      <c r="BZI19" s="13"/>
      <c r="BZJ19" s="13"/>
      <c r="BZK19" s="13"/>
      <c r="BZL19" s="13"/>
      <c r="BZM19" s="13"/>
      <c r="BZN19" s="13"/>
      <c r="BZO19" s="13"/>
      <c r="BZP19" s="13"/>
      <c r="BZQ19" s="13"/>
      <c r="BZR19" s="13"/>
      <c r="BZS19" s="13"/>
      <c r="BZT19" s="13"/>
      <c r="BZU19" s="13"/>
      <c r="BZV19" s="13"/>
      <c r="BZW19" s="13"/>
      <c r="BZX19" s="13"/>
      <c r="BZY19" s="13"/>
      <c r="BZZ19" s="13"/>
      <c r="CAA19" s="13"/>
      <c r="CAB19" s="13"/>
      <c r="CAC19" s="13"/>
      <c r="CAD19" s="13"/>
      <c r="CAE19" s="13"/>
      <c r="CAF19" s="13"/>
      <c r="CAG19" s="13"/>
      <c r="CAH19" s="13"/>
      <c r="CAI19" s="13"/>
      <c r="CAJ19" s="13"/>
      <c r="CAK19" s="13"/>
      <c r="CAL19" s="13"/>
      <c r="CAM19" s="13"/>
      <c r="CAN19" s="13"/>
      <c r="CAO19" s="13"/>
      <c r="CAP19" s="13"/>
      <c r="CAQ19" s="13"/>
      <c r="CAR19" s="13"/>
      <c r="CAS19" s="13"/>
      <c r="CAT19" s="13"/>
      <c r="CAU19" s="13"/>
      <c r="CAV19" s="13"/>
      <c r="CAW19" s="13"/>
      <c r="CAX19" s="13"/>
      <c r="CAY19" s="13"/>
      <c r="CAZ19" s="13"/>
      <c r="CBA19" s="13"/>
      <c r="CBB19" s="13"/>
      <c r="CBC19" s="13"/>
      <c r="CBD19" s="13"/>
      <c r="CBE19" s="13"/>
      <c r="CBF19" s="13"/>
      <c r="CBG19" s="13"/>
      <c r="CBH19" s="13"/>
      <c r="CBI19" s="13"/>
      <c r="CBJ19" s="13"/>
      <c r="CBK19" s="13"/>
      <c r="CBL19" s="13"/>
      <c r="CBM19" s="13"/>
      <c r="CBN19" s="13"/>
      <c r="CBO19" s="13"/>
      <c r="CBP19" s="13"/>
      <c r="CBQ19" s="13"/>
      <c r="CBR19" s="13"/>
      <c r="CBS19" s="13"/>
      <c r="CBT19" s="13"/>
      <c r="CBU19" s="13"/>
      <c r="CBV19" s="13"/>
      <c r="CBW19" s="13"/>
      <c r="CBX19" s="13"/>
      <c r="CBY19" s="13"/>
      <c r="CBZ19" s="13"/>
      <c r="CCA19" s="13"/>
      <c r="CCB19" s="13"/>
      <c r="CCC19" s="13"/>
      <c r="CCD19" s="13"/>
      <c r="CCE19" s="13"/>
      <c r="CCF19" s="13"/>
      <c r="CCG19" s="13"/>
      <c r="CCH19" s="13"/>
      <c r="CCI19" s="13"/>
      <c r="CCJ19" s="13"/>
      <c r="CCK19" s="13"/>
      <c r="CCL19" s="13"/>
      <c r="CCM19" s="13"/>
      <c r="CCN19" s="13"/>
      <c r="CCO19" s="13"/>
      <c r="CCP19" s="13"/>
      <c r="CCQ19" s="13"/>
      <c r="CCR19" s="13"/>
      <c r="CCS19" s="13"/>
      <c r="CCT19" s="13"/>
      <c r="CCU19" s="13"/>
      <c r="CCV19" s="13"/>
      <c r="CCW19" s="13"/>
      <c r="CCX19" s="13"/>
      <c r="CCY19" s="13"/>
      <c r="CCZ19" s="13"/>
      <c r="CDA19" s="13"/>
      <c r="CDB19" s="13"/>
      <c r="CDC19" s="13"/>
      <c r="CDD19" s="13"/>
      <c r="CDE19" s="13"/>
      <c r="CDF19" s="13"/>
      <c r="CDG19" s="13"/>
      <c r="CDH19" s="13"/>
      <c r="CDI19" s="13"/>
      <c r="CDJ19" s="13"/>
      <c r="CDK19" s="13"/>
      <c r="CDL19" s="13"/>
      <c r="CDM19" s="13"/>
      <c r="CDN19" s="13"/>
      <c r="CDO19" s="13"/>
      <c r="CDP19" s="13"/>
      <c r="CDQ19" s="13"/>
      <c r="CDR19" s="13"/>
      <c r="CDS19" s="13"/>
      <c r="CDT19" s="13"/>
      <c r="CDU19" s="13"/>
      <c r="CDV19" s="13"/>
      <c r="CDW19" s="13"/>
      <c r="CDX19" s="13"/>
      <c r="CDY19" s="13"/>
      <c r="CDZ19" s="13"/>
      <c r="CEA19" s="13"/>
      <c r="CEB19" s="13"/>
      <c r="CEC19" s="13"/>
      <c r="CED19" s="13"/>
      <c r="CEE19" s="13"/>
      <c r="CEF19" s="13"/>
      <c r="CEG19" s="13"/>
      <c r="CEH19" s="13"/>
      <c r="CEI19" s="13"/>
      <c r="CEJ19" s="13"/>
      <c r="CEK19" s="13"/>
      <c r="CEL19" s="13"/>
      <c r="CEM19" s="13"/>
      <c r="CEN19" s="13"/>
      <c r="CEO19" s="13"/>
      <c r="CEP19" s="13"/>
      <c r="CEQ19" s="13"/>
      <c r="CER19" s="13"/>
      <c r="CES19" s="13"/>
      <c r="CET19" s="13"/>
      <c r="CEU19" s="13"/>
      <c r="CEV19" s="13"/>
      <c r="CEW19" s="13"/>
      <c r="CEX19" s="13"/>
      <c r="CEY19" s="13"/>
      <c r="CEZ19" s="13"/>
      <c r="CFA19" s="13"/>
      <c r="CFB19" s="13"/>
      <c r="CFC19" s="13"/>
      <c r="CFD19" s="13"/>
      <c r="CFE19" s="13"/>
      <c r="CFF19" s="13"/>
      <c r="CFG19" s="13"/>
      <c r="CFH19" s="13"/>
      <c r="CFI19" s="13"/>
      <c r="CFJ19" s="13"/>
      <c r="CFK19" s="13"/>
      <c r="CFL19" s="13"/>
      <c r="CFM19" s="13"/>
      <c r="CFN19" s="13"/>
      <c r="CFO19" s="13"/>
      <c r="CFP19" s="13"/>
      <c r="CFQ19" s="13"/>
      <c r="CFR19" s="13"/>
      <c r="CFS19" s="13"/>
      <c r="CFT19" s="13"/>
      <c r="CFU19" s="13"/>
      <c r="CFV19" s="13"/>
      <c r="CFW19" s="13"/>
      <c r="CFX19" s="13"/>
      <c r="CFY19" s="13"/>
      <c r="CFZ19" s="13"/>
      <c r="CGA19" s="13"/>
      <c r="CGB19" s="13"/>
      <c r="CGC19" s="13"/>
      <c r="CGD19" s="13"/>
      <c r="CGE19" s="13"/>
      <c r="CGF19" s="13"/>
      <c r="CGG19" s="13"/>
      <c r="CGH19" s="13"/>
      <c r="CGI19" s="13"/>
      <c r="CGJ19" s="13"/>
      <c r="CGK19" s="13"/>
      <c r="CGL19" s="13"/>
      <c r="CGM19" s="13"/>
      <c r="CGN19" s="13"/>
      <c r="CGO19" s="13"/>
      <c r="CGP19" s="13"/>
      <c r="CGQ19" s="13"/>
      <c r="CGR19" s="13"/>
      <c r="CGS19" s="13"/>
      <c r="CGT19" s="13"/>
      <c r="CGU19" s="13"/>
      <c r="CGV19" s="13"/>
      <c r="CGW19" s="13"/>
      <c r="CGX19" s="13"/>
      <c r="CGY19" s="13"/>
      <c r="CGZ19" s="13"/>
      <c r="CHA19" s="13"/>
      <c r="CHB19" s="13"/>
      <c r="CHC19" s="13"/>
      <c r="CHD19" s="13"/>
      <c r="CHE19" s="13"/>
      <c r="CHF19" s="13"/>
      <c r="CHG19" s="13"/>
      <c r="CHH19" s="13"/>
      <c r="CHI19" s="13"/>
      <c r="CHJ19" s="13"/>
      <c r="CHK19" s="13"/>
      <c r="CHL19" s="13"/>
      <c r="CHM19" s="13"/>
      <c r="CHN19" s="13"/>
      <c r="CHO19" s="13"/>
      <c r="CHP19" s="13"/>
      <c r="CHQ19" s="13"/>
      <c r="CHR19" s="13"/>
      <c r="CHS19" s="13"/>
      <c r="CHT19" s="13"/>
      <c r="CHU19" s="13"/>
      <c r="CHV19" s="13"/>
      <c r="CHW19" s="13"/>
      <c r="CHX19" s="13"/>
      <c r="CHY19" s="13"/>
      <c r="CHZ19" s="13"/>
      <c r="CIA19" s="13"/>
      <c r="CIB19" s="13"/>
      <c r="CIC19" s="13"/>
      <c r="CID19" s="13"/>
      <c r="CIE19" s="13"/>
      <c r="CIF19" s="13"/>
      <c r="CIG19" s="13"/>
      <c r="CIH19" s="13"/>
      <c r="CII19" s="13"/>
      <c r="CIJ19" s="13"/>
      <c r="CIK19" s="13"/>
      <c r="CIL19" s="13"/>
      <c r="CIM19" s="13"/>
      <c r="CIN19" s="13"/>
      <c r="CIO19" s="13"/>
      <c r="CIP19" s="13"/>
      <c r="CIQ19" s="13"/>
      <c r="CIR19" s="13"/>
      <c r="CIS19" s="13"/>
      <c r="CIT19" s="13"/>
      <c r="CIU19" s="13"/>
      <c r="CIV19" s="13"/>
      <c r="CIW19" s="13"/>
      <c r="CIX19" s="13"/>
      <c r="CIY19" s="13"/>
      <c r="CIZ19" s="13"/>
      <c r="CJA19" s="13"/>
      <c r="CJB19" s="13"/>
      <c r="CJC19" s="13"/>
      <c r="CJD19" s="13"/>
      <c r="CJE19" s="13"/>
      <c r="CJF19" s="13"/>
      <c r="CJG19" s="13"/>
      <c r="CJH19" s="13"/>
      <c r="CJI19" s="13"/>
      <c r="CJJ19" s="13"/>
      <c r="CJK19" s="13"/>
      <c r="CJL19" s="13"/>
      <c r="CJM19" s="13"/>
      <c r="CJN19" s="13"/>
      <c r="CJO19" s="13"/>
      <c r="CJP19" s="13"/>
      <c r="CJQ19" s="13"/>
      <c r="CJR19" s="13"/>
      <c r="CJS19" s="13"/>
      <c r="CJT19" s="13"/>
      <c r="CJU19" s="13"/>
      <c r="CJV19" s="13"/>
      <c r="CJW19" s="13"/>
      <c r="CJX19" s="13"/>
      <c r="CJY19" s="13"/>
      <c r="CJZ19" s="13"/>
      <c r="CKA19" s="13"/>
      <c r="CKB19" s="13"/>
      <c r="CKC19" s="13"/>
      <c r="CKD19" s="13"/>
      <c r="CKE19" s="13"/>
      <c r="CKF19" s="13"/>
      <c r="CKG19" s="13"/>
      <c r="CKH19" s="13"/>
      <c r="CKI19" s="13"/>
      <c r="CKJ19" s="13"/>
      <c r="CKK19" s="13"/>
      <c r="CKL19" s="13"/>
      <c r="CKM19" s="13"/>
      <c r="CKN19" s="13"/>
      <c r="CKO19" s="13"/>
      <c r="CKP19" s="13"/>
      <c r="CKQ19" s="13"/>
      <c r="CKR19" s="13"/>
      <c r="CKS19" s="13"/>
      <c r="CKT19" s="13"/>
      <c r="CKU19" s="13"/>
      <c r="CKV19" s="13"/>
      <c r="CKW19" s="13"/>
      <c r="CKX19" s="13"/>
      <c r="CKY19" s="13"/>
      <c r="CKZ19" s="13"/>
      <c r="CLA19" s="13"/>
      <c r="CLB19" s="13"/>
      <c r="CLC19" s="13"/>
      <c r="CLD19" s="13"/>
      <c r="CLE19" s="13"/>
      <c r="CLF19" s="13"/>
      <c r="CLG19" s="13"/>
      <c r="CLH19" s="13"/>
      <c r="CLI19" s="13"/>
      <c r="CLJ19" s="13"/>
      <c r="CLK19" s="13"/>
      <c r="CLL19" s="13"/>
      <c r="CLM19" s="13"/>
      <c r="CLN19" s="13"/>
      <c r="CLO19" s="13"/>
      <c r="CLP19" s="13"/>
      <c r="CLQ19" s="13"/>
      <c r="CLR19" s="13"/>
      <c r="CLS19" s="13"/>
      <c r="CLT19" s="13"/>
      <c r="CLU19" s="13"/>
      <c r="CLV19" s="13"/>
      <c r="CLW19" s="13"/>
      <c r="CLX19" s="13"/>
      <c r="CLY19" s="13"/>
      <c r="CLZ19" s="13"/>
      <c r="CMA19" s="13"/>
      <c r="CMB19" s="13"/>
      <c r="CMC19" s="13"/>
      <c r="CMD19" s="13"/>
      <c r="CME19" s="13"/>
      <c r="CMF19" s="13"/>
      <c r="CMG19" s="13"/>
      <c r="CMH19" s="13"/>
      <c r="CMI19" s="13"/>
      <c r="CMJ19" s="13"/>
      <c r="CMK19" s="13"/>
      <c r="CML19" s="13"/>
      <c r="CMM19" s="13"/>
      <c r="CMN19" s="13"/>
      <c r="CMO19" s="13"/>
      <c r="CMP19" s="13"/>
      <c r="CMQ19" s="13"/>
      <c r="CMR19" s="13"/>
      <c r="CMS19" s="13"/>
      <c r="CMT19" s="13"/>
      <c r="CMU19" s="13"/>
      <c r="CMV19" s="13"/>
      <c r="CMW19" s="13"/>
      <c r="CMX19" s="13"/>
      <c r="CMY19" s="13"/>
      <c r="CMZ19" s="13"/>
      <c r="CNA19" s="13"/>
      <c r="CNB19" s="13"/>
      <c r="CNC19" s="13"/>
      <c r="CND19" s="13"/>
      <c r="CNE19" s="13"/>
      <c r="CNF19" s="13"/>
      <c r="CNG19" s="13"/>
      <c r="CNH19" s="13"/>
      <c r="CNI19" s="13"/>
      <c r="CNJ19" s="13"/>
      <c r="CNK19" s="13"/>
      <c r="CNL19" s="13"/>
      <c r="CNM19" s="13"/>
      <c r="CNN19" s="13"/>
      <c r="CNO19" s="13"/>
      <c r="CNP19" s="13"/>
      <c r="CNQ19" s="13"/>
      <c r="CNR19" s="13"/>
      <c r="CNS19" s="13"/>
      <c r="CNT19" s="13"/>
      <c r="CNU19" s="13"/>
      <c r="CNV19" s="13"/>
      <c r="CNW19" s="13"/>
      <c r="CNX19" s="13"/>
      <c r="CNY19" s="13"/>
      <c r="CNZ19" s="13"/>
      <c r="COA19" s="13"/>
      <c r="COB19" s="13"/>
      <c r="COC19" s="13"/>
      <c r="COD19" s="13"/>
      <c r="COE19" s="13"/>
      <c r="COF19" s="13"/>
      <c r="COG19" s="13"/>
      <c r="COH19" s="13"/>
      <c r="COI19" s="13"/>
      <c r="COJ19" s="13"/>
      <c r="COK19" s="13"/>
      <c r="COL19" s="13"/>
      <c r="COM19" s="13"/>
      <c r="CON19" s="13"/>
      <c r="COO19" s="13"/>
      <c r="COP19" s="13"/>
      <c r="COQ19" s="13"/>
      <c r="COR19" s="13"/>
      <c r="COS19" s="13"/>
      <c r="COT19" s="13"/>
      <c r="COU19" s="13"/>
      <c r="COV19" s="13"/>
      <c r="COW19" s="13"/>
      <c r="COX19" s="13"/>
      <c r="COY19" s="13"/>
      <c r="COZ19" s="13"/>
      <c r="CPA19" s="13"/>
      <c r="CPB19" s="13"/>
      <c r="CPC19" s="13"/>
      <c r="CPD19" s="13"/>
      <c r="CPE19" s="13"/>
      <c r="CPF19" s="13"/>
      <c r="CPG19" s="13"/>
      <c r="CPH19" s="13"/>
      <c r="CPI19" s="13"/>
      <c r="CPJ19" s="13"/>
      <c r="CPK19" s="13"/>
      <c r="CPL19" s="13"/>
      <c r="CPM19" s="13"/>
      <c r="CPN19" s="13"/>
      <c r="CPO19" s="13"/>
      <c r="CPP19" s="13"/>
      <c r="CPQ19" s="13"/>
      <c r="CPR19" s="13"/>
      <c r="CPS19" s="13"/>
      <c r="CPT19" s="13"/>
      <c r="CPU19" s="13"/>
      <c r="CPV19" s="13"/>
      <c r="CPW19" s="13"/>
      <c r="CPX19" s="13"/>
      <c r="CPY19" s="13"/>
      <c r="CPZ19" s="13"/>
      <c r="CQA19" s="13"/>
      <c r="CQB19" s="13"/>
      <c r="CQC19" s="13"/>
      <c r="CQD19" s="13"/>
      <c r="CQE19" s="13"/>
      <c r="CQF19" s="13"/>
      <c r="CQG19" s="13"/>
      <c r="CQH19" s="13"/>
      <c r="CQI19" s="13"/>
      <c r="CQJ19" s="13"/>
      <c r="CQK19" s="13"/>
      <c r="CQL19" s="13"/>
      <c r="CQM19" s="13"/>
      <c r="CQN19" s="13"/>
      <c r="CQO19" s="13"/>
      <c r="CQP19" s="13"/>
      <c r="CQQ19" s="13"/>
      <c r="CQR19" s="13"/>
      <c r="CQS19" s="13"/>
      <c r="CQT19" s="13"/>
      <c r="CQU19" s="13"/>
      <c r="CQV19" s="13"/>
      <c r="CQW19" s="13"/>
      <c r="CQX19" s="13"/>
      <c r="CQY19" s="13"/>
      <c r="CQZ19" s="13"/>
      <c r="CRA19" s="13"/>
      <c r="CRB19" s="13"/>
      <c r="CRC19" s="13"/>
      <c r="CRD19" s="13"/>
      <c r="CRE19" s="13"/>
      <c r="CRF19" s="13"/>
      <c r="CRG19" s="13"/>
      <c r="CRH19" s="13"/>
      <c r="CRI19" s="13"/>
      <c r="CRJ19" s="13"/>
      <c r="CRK19" s="13"/>
      <c r="CRL19" s="13"/>
      <c r="CRM19" s="13"/>
      <c r="CRN19" s="13"/>
      <c r="CRO19" s="13"/>
      <c r="CRP19" s="13"/>
      <c r="CRQ19" s="13"/>
      <c r="CRR19" s="13"/>
      <c r="CRS19" s="13"/>
      <c r="CRT19" s="13"/>
      <c r="CRU19" s="13"/>
      <c r="CRV19" s="13"/>
      <c r="CRW19" s="13"/>
      <c r="CRX19" s="13"/>
      <c r="CRY19" s="13"/>
      <c r="CRZ19" s="13"/>
      <c r="CSA19" s="13"/>
      <c r="CSB19" s="13"/>
      <c r="CSC19" s="13"/>
      <c r="CSD19" s="13"/>
      <c r="CSE19" s="13"/>
      <c r="CSF19" s="13"/>
      <c r="CSG19" s="13"/>
      <c r="CSH19" s="13"/>
      <c r="CSI19" s="13"/>
      <c r="CSJ19" s="13"/>
      <c r="CSK19" s="13"/>
      <c r="CSL19" s="13"/>
      <c r="CSM19" s="13"/>
      <c r="CSN19" s="13"/>
      <c r="CSO19" s="13"/>
      <c r="CSP19" s="13"/>
      <c r="CSQ19" s="13"/>
      <c r="CSR19" s="13"/>
      <c r="CSS19" s="13"/>
      <c r="CST19" s="13"/>
      <c r="CSU19" s="13"/>
      <c r="CSV19" s="13"/>
      <c r="CSW19" s="13"/>
      <c r="CSX19" s="13"/>
      <c r="CSY19" s="13"/>
      <c r="CSZ19" s="13"/>
      <c r="CTA19" s="13"/>
      <c r="CTB19" s="13"/>
      <c r="CTC19" s="13"/>
      <c r="CTD19" s="13"/>
      <c r="CTE19" s="13"/>
      <c r="CTF19" s="13"/>
      <c r="CTG19" s="13"/>
      <c r="CTH19" s="13"/>
      <c r="CTI19" s="13"/>
      <c r="CTJ19" s="13"/>
      <c r="CTK19" s="13"/>
      <c r="CTL19" s="13"/>
      <c r="CTM19" s="13"/>
      <c r="CTN19" s="13"/>
      <c r="CTO19" s="13"/>
      <c r="CTP19" s="13"/>
      <c r="CTQ19" s="13"/>
      <c r="CTR19" s="13"/>
      <c r="CTS19" s="13"/>
      <c r="CTT19" s="13"/>
      <c r="CTU19" s="13"/>
      <c r="CTV19" s="13"/>
      <c r="CTW19" s="13"/>
      <c r="CTX19" s="13"/>
      <c r="CTY19" s="13"/>
      <c r="CTZ19" s="13"/>
      <c r="CUA19" s="13"/>
      <c r="CUB19" s="13"/>
      <c r="CUC19" s="13"/>
      <c r="CUD19" s="13"/>
      <c r="CUE19" s="13"/>
      <c r="CUF19" s="13"/>
      <c r="CUG19" s="13"/>
      <c r="CUH19" s="13"/>
      <c r="CUI19" s="13"/>
      <c r="CUJ19" s="13"/>
      <c r="CUK19" s="13"/>
      <c r="CUL19" s="13"/>
      <c r="CUM19" s="13"/>
      <c r="CUN19" s="13"/>
      <c r="CUO19" s="13"/>
      <c r="CUP19" s="13"/>
      <c r="CUQ19" s="13"/>
      <c r="CUR19" s="13"/>
      <c r="CUS19" s="13"/>
      <c r="CUT19" s="13"/>
      <c r="CUU19" s="13"/>
      <c r="CUV19" s="13"/>
      <c r="CUW19" s="13"/>
      <c r="CUX19" s="13"/>
      <c r="CUY19" s="13"/>
      <c r="CUZ19" s="13"/>
      <c r="CVA19" s="13"/>
      <c r="CVB19" s="13"/>
      <c r="CVC19" s="13"/>
      <c r="CVD19" s="13"/>
      <c r="CVE19" s="13"/>
      <c r="CVF19" s="13"/>
      <c r="CVG19" s="13"/>
      <c r="CVH19" s="13"/>
      <c r="CVI19" s="13"/>
      <c r="CVJ19" s="13"/>
      <c r="CVK19" s="13"/>
      <c r="CVL19" s="13"/>
      <c r="CVM19" s="13"/>
      <c r="CVN19" s="13"/>
      <c r="CVO19" s="13"/>
      <c r="CVP19" s="13"/>
      <c r="CVQ19" s="13"/>
      <c r="CVR19" s="13"/>
      <c r="CVS19" s="13"/>
      <c r="CVT19" s="13"/>
      <c r="CVU19" s="13"/>
      <c r="CVV19" s="13"/>
      <c r="CVW19" s="13"/>
      <c r="CVX19" s="13"/>
      <c r="CVY19" s="13"/>
      <c r="CVZ19" s="13"/>
      <c r="CWA19" s="13"/>
      <c r="CWB19" s="13"/>
      <c r="CWC19" s="13"/>
      <c r="CWD19" s="13"/>
      <c r="CWE19" s="13"/>
      <c r="CWF19" s="13"/>
      <c r="CWG19" s="13"/>
      <c r="CWH19" s="13"/>
      <c r="CWI19" s="13"/>
      <c r="CWJ19" s="13"/>
      <c r="CWK19" s="13"/>
      <c r="CWL19" s="13"/>
      <c r="CWM19" s="13"/>
      <c r="CWN19" s="13"/>
      <c r="CWO19" s="13"/>
      <c r="CWP19" s="13"/>
      <c r="CWQ19" s="13"/>
      <c r="CWR19" s="13"/>
      <c r="CWS19" s="13"/>
      <c r="CWT19" s="13"/>
      <c r="CWU19" s="13"/>
      <c r="CWV19" s="13"/>
      <c r="CWW19" s="13"/>
      <c r="CWX19" s="13"/>
      <c r="CWY19" s="13"/>
      <c r="CWZ19" s="13"/>
      <c r="CXA19" s="13"/>
      <c r="CXB19" s="13"/>
      <c r="CXC19" s="13"/>
      <c r="CXD19" s="13"/>
      <c r="CXE19" s="13"/>
      <c r="CXF19" s="13"/>
      <c r="CXG19" s="13"/>
      <c r="CXH19" s="13"/>
      <c r="CXI19" s="13"/>
      <c r="CXJ19" s="13"/>
      <c r="CXK19" s="13"/>
      <c r="CXL19" s="13"/>
      <c r="CXM19" s="13"/>
      <c r="CXN19" s="13"/>
      <c r="CXO19" s="13"/>
      <c r="CXP19" s="13"/>
      <c r="CXQ19" s="13"/>
      <c r="CXR19" s="13"/>
      <c r="CXS19" s="13"/>
      <c r="CXT19" s="13"/>
      <c r="CXU19" s="13"/>
      <c r="CXV19" s="13"/>
      <c r="CXW19" s="13"/>
      <c r="CXX19" s="13"/>
      <c r="CXY19" s="13"/>
      <c r="CXZ19" s="13"/>
      <c r="CYA19" s="13"/>
      <c r="CYB19" s="13"/>
      <c r="CYC19" s="13"/>
      <c r="CYD19" s="13"/>
      <c r="CYE19" s="13"/>
      <c r="CYF19" s="13"/>
      <c r="CYG19" s="13"/>
      <c r="CYH19" s="13"/>
      <c r="CYI19" s="13"/>
      <c r="CYJ19" s="13"/>
      <c r="CYK19" s="13"/>
      <c r="CYL19" s="13"/>
      <c r="CYM19" s="13"/>
      <c r="CYN19" s="13"/>
      <c r="CYO19" s="13"/>
      <c r="CYP19" s="13"/>
      <c r="CYQ19" s="13"/>
      <c r="CYR19" s="13"/>
      <c r="CYS19" s="13"/>
      <c r="CYT19" s="13"/>
      <c r="CYU19" s="13"/>
      <c r="CYV19" s="13"/>
      <c r="CYW19" s="13"/>
      <c r="CYX19" s="13"/>
      <c r="CYY19" s="13"/>
      <c r="CYZ19" s="13"/>
      <c r="CZA19" s="13"/>
      <c r="CZB19" s="13"/>
      <c r="CZC19" s="13"/>
      <c r="CZD19" s="13"/>
      <c r="CZE19" s="13"/>
      <c r="CZF19" s="13"/>
      <c r="CZG19" s="13"/>
      <c r="CZH19" s="13"/>
      <c r="CZI19" s="13"/>
      <c r="CZJ19" s="13"/>
      <c r="CZK19" s="13"/>
      <c r="CZL19" s="13"/>
      <c r="CZM19" s="13"/>
      <c r="CZN19" s="13"/>
      <c r="CZO19" s="13"/>
      <c r="CZP19" s="13"/>
      <c r="CZQ19" s="13"/>
      <c r="CZR19" s="13"/>
      <c r="CZS19" s="13"/>
      <c r="CZT19" s="13"/>
      <c r="CZU19" s="13"/>
      <c r="CZV19" s="13"/>
      <c r="CZW19" s="13"/>
      <c r="CZX19" s="13"/>
      <c r="CZY19" s="13"/>
      <c r="CZZ19" s="13"/>
      <c r="DAA19" s="13"/>
      <c r="DAB19" s="13"/>
      <c r="DAC19" s="13"/>
      <c r="DAD19" s="13"/>
      <c r="DAE19" s="13"/>
      <c r="DAF19" s="13"/>
      <c r="DAG19" s="13"/>
      <c r="DAH19" s="13"/>
      <c r="DAI19" s="13"/>
      <c r="DAJ19" s="13"/>
      <c r="DAK19" s="13"/>
      <c r="DAL19" s="13"/>
      <c r="DAM19" s="13"/>
      <c r="DAN19" s="13"/>
      <c r="DAO19" s="13"/>
      <c r="DAP19" s="13"/>
      <c r="DAQ19" s="13"/>
      <c r="DAR19" s="13"/>
      <c r="DAS19" s="13"/>
      <c r="DAT19" s="13"/>
      <c r="DAU19" s="13"/>
      <c r="DAV19" s="13"/>
      <c r="DAW19" s="13"/>
      <c r="DAX19" s="13"/>
      <c r="DAY19" s="13"/>
      <c r="DAZ19" s="13"/>
      <c r="DBA19" s="13"/>
      <c r="DBB19" s="13"/>
      <c r="DBC19" s="13"/>
      <c r="DBD19" s="13"/>
      <c r="DBE19" s="13"/>
      <c r="DBF19" s="13"/>
      <c r="DBG19" s="13"/>
      <c r="DBH19" s="13"/>
      <c r="DBI19" s="13"/>
      <c r="DBJ19" s="13"/>
      <c r="DBK19" s="13"/>
      <c r="DBL19" s="13"/>
      <c r="DBM19" s="13"/>
      <c r="DBN19" s="13"/>
      <c r="DBO19" s="13"/>
      <c r="DBP19" s="13"/>
      <c r="DBQ19" s="13"/>
      <c r="DBR19" s="13"/>
      <c r="DBS19" s="13"/>
      <c r="DBT19" s="13"/>
      <c r="DBU19" s="13"/>
      <c r="DBV19" s="13"/>
      <c r="DBW19" s="13"/>
      <c r="DBX19" s="13"/>
      <c r="DBY19" s="13"/>
      <c r="DBZ19" s="13"/>
      <c r="DCA19" s="13"/>
      <c r="DCB19" s="13"/>
      <c r="DCC19" s="13"/>
      <c r="DCD19" s="13"/>
      <c r="DCE19" s="13"/>
      <c r="DCF19" s="13"/>
      <c r="DCG19" s="13"/>
      <c r="DCH19" s="13"/>
      <c r="DCI19" s="13"/>
      <c r="DCJ19" s="13"/>
      <c r="DCK19" s="13"/>
      <c r="DCL19" s="13"/>
      <c r="DCM19" s="13"/>
      <c r="DCN19" s="13"/>
      <c r="DCO19" s="13"/>
      <c r="DCP19" s="13"/>
      <c r="DCQ19" s="13"/>
      <c r="DCR19" s="13"/>
      <c r="DCS19" s="13"/>
      <c r="DCT19" s="13"/>
      <c r="DCU19" s="13"/>
      <c r="DCV19" s="13"/>
      <c r="DCW19" s="13"/>
      <c r="DCX19" s="13"/>
      <c r="DCY19" s="13"/>
      <c r="DCZ19" s="13"/>
      <c r="DDA19" s="13"/>
      <c r="DDB19" s="13"/>
      <c r="DDC19" s="13"/>
      <c r="DDD19" s="13"/>
      <c r="DDE19" s="13"/>
      <c r="DDF19" s="13"/>
      <c r="DDG19" s="13"/>
      <c r="DDH19" s="13"/>
      <c r="DDI19" s="13"/>
      <c r="DDJ19" s="13"/>
      <c r="DDK19" s="13"/>
      <c r="DDL19" s="13"/>
      <c r="DDM19" s="13"/>
      <c r="DDN19" s="13"/>
      <c r="DDO19" s="13"/>
      <c r="DDP19" s="13"/>
      <c r="DDQ19" s="13"/>
      <c r="DDR19" s="13"/>
      <c r="DDS19" s="13"/>
      <c r="DDT19" s="13"/>
      <c r="DDU19" s="13"/>
      <c r="DDV19" s="13"/>
      <c r="DDW19" s="13"/>
      <c r="DDX19" s="13"/>
      <c r="DDY19" s="13"/>
      <c r="DDZ19" s="13"/>
      <c r="DEA19" s="13"/>
      <c r="DEB19" s="13"/>
      <c r="DEC19" s="13"/>
      <c r="DED19" s="13"/>
      <c r="DEE19" s="13"/>
      <c r="DEF19" s="13"/>
      <c r="DEG19" s="13"/>
      <c r="DEH19" s="13"/>
      <c r="DEI19" s="13"/>
      <c r="DEJ19" s="13"/>
      <c r="DEK19" s="13"/>
      <c r="DEL19" s="13"/>
      <c r="DEM19" s="13"/>
      <c r="DEN19" s="13"/>
      <c r="DEO19" s="13"/>
      <c r="DEP19" s="13"/>
      <c r="DEQ19" s="13"/>
      <c r="DER19" s="13"/>
      <c r="DES19" s="13"/>
      <c r="DET19" s="13"/>
      <c r="DEU19" s="13"/>
      <c r="DEV19" s="13"/>
      <c r="DEW19" s="13"/>
      <c r="DEX19" s="13"/>
      <c r="DEY19" s="13"/>
      <c r="DEZ19" s="13"/>
      <c r="DFA19" s="13"/>
      <c r="DFB19" s="13"/>
      <c r="DFC19" s="13"/>
      <c r="DFD19" s="13"/>
      <c r="DFE19" s="13"/>
      <c r="DFF19" s="13"/>
      <c r="DFG19" s="13"/>
      <c r="DFH19" s="13"/>
      <c r="DFI19" s="13"/>
      <c r="DFJ19" s="13"/>
      <c r="DFK19" s="13"/>
      <c r="DFL19" s="13"/>
      <c r="DFM19" s="13"/>
      <c r="DFN19" s="13"/>
      <c r="DFO19" s="13"/>
      <c r="DFP19" s="13"/>
      <c r="DFQ19" s="13"/>
      <c r="DFR19" s="13"/>
      <c r="DFS19" s="13"/>
      <c r="DFT19" s="13"/>
      <c r="DFU19" s="13"/>
      <c r="DFV19" s="13"/>
      <c r="DFW19" s="13"/>
      <c r="DFX19" s="13"/>
      <c r="DFY19" s="13"/>
      <c r="DFZ19" s="13"/>
      <c r="DGA19" s="13"/>
      <c r="DGB19" s="13"/>
      <c r="DGC19" s="13"/>
      <c r="DGD19" s="13"/>
      <c r="DGE19" s="13"/>
      <c r="DGF19" s="13"/>
      <c r="DGG19" s="13"/>
      <c r="DGH19" s="13"/>
      <c r="DGI19" s="13"/>
      <c r="DGJ19" s="13"/>
      <c r="DGK19" s="13"/>
      <c r="DGL19" s="13"/>
      <c r="DGM19" s="13"/>
      <c r="DGN19" s="13"/>
      <c r="DGO19" s="13"/>
      <c r="DGP19" s="13"/>
      <c r="DGQ19" s="13"/>
      <c r="DGR19" s="13"/>
      <c r="DGS19" s="13"/>
      <c r="DGT19" s="13"/>
      <c r="DGU19" s="13"/>
      <c r="DGV19" s="13"/>
      <c r="DGW19" s="13"/>
      <c r="DGX19" s="13"/>
      <c r="DGY19" s="13"/>
      <c r="DGZ19" s="13"/>
      <c r="DHA19" s="13"/>
      <c r="DHB19" s="13"/>
      <c r="DHC19" s="13"/>
      <c r="DHD19" s="13"/>
      <c r="DHE19" s="13"/>
      <c r="DHF19" s="13"/>
      <c r="DHG19" s="13"/>
      <c r="DHH19" s="13"/>
      <c r="DHI19" s="13"/>
      <c r="DHJ19" s="13"/>
      <c r="DHK19" s="13"/>
      <c r="DHL19" s="13"/>
      <c r="DHM19" s="13"/>
      <c r="DHN19" s="13"/>
      <c r="DHO19" s="13"/>
      <c r="DHP19" s="13"/>
      <c r="DHQ19" s="13"/>
      <c r="DHR19" s="13"/>
      <c r="DHS19" s="13"/>
      <c r="DHT19" s="13"/>
      <c r="DHU19" s="13"/>
      <c r="DHV19" s="13"/>
      <c r="DHW19" s="13"/>
      <c r="DHX19" s="13"/>
      <c r="DHY19" s="13"/>
      <c r="DHZ19" s="13"/>
      <c r="DIA19" s="13"/>
      <c r="DIB19" s="13"/>
      <c r="DIC19" s="13"/>
      <c r="DID19" s="13"/>
      <c r="DIE19" s="13"/>
      <c r="DIF19" s="13"/>
      <c r="DIG19" s="13"/>
      <c r="DIH19" s="13"/>
      <c r="DII19" s="13"/>
      <c r="DIJ19" s="13"/>
      <c r="DIK19" s="13"/>
      <c r="DIL19" s="13"/>
      <c r="DIM19" s="13"/>
      <c r="DIN19" s="13"/>
      <c r="DIO19" s="13"/>
      <c r="DIP19" s="13"/>
      <c r="DIQ19" s="13"/>
      <c r="DIR19" s="13"/>
      <c r="DIS19" s="13"/>
      <c r="DIT19" s="13"/>
      <c r="DIU19" s="13"/>
      <c r="DIV19" s="13"/>
      <c r="DIW19" s="13"/>
      <c r="DIX19" s="13"/>
      <c r="DIY19" s="13"/>
      <c r="DIZ19" s="13"/>
      <c r="DJA19" s="13"/>
      <c r="DJB19" s="13"/>
      <c r="DJC19" s="13"/>
      <c r="DJD19" s="13"/>
      <c r="DJE19" s="13"/>
      <c r="DJF19" s="13"/>
      <c r="DJG19" s="13"/>
      <c r="DJH19" s="13"/>
      <c r="DJI19" s="13"/>
      <c r="DJJ19" s="13"/>
      <c r="DJK19" s="13"/>
      <c r="DJL19" s="13"/>
      <c r="DJM19" s="13"/>
      <c r="DJN19" s="13"/>
      <c r="DJO19" s="13"/>
      <c r="DJP19" s="13"/>
      <c r="DJQ19" s="13"/>
      <c r="DJR19" s="13"/>
      <c r="DJS19" s="13"/>
      <c r="DJT19" s="13"/>
      <c r="DJU19" s="13"/>
      <c r="DJV19" s="13"/>
      <c r="DJW19" s="13"/>
      <c r="DJX19" s="13"/>
      <c r="DJY19" s="13"/>
      <c r="DJZ19" s="13"/>
      <c r="DKA19" s="13"/>
      <c r="DKB19" s="13"/>
      <c r="DKC19" s="13"/>
      <c r="DKD19" s="13"/>
      <c r="DKE19" s="13"/>
      <c r="DKF19" s="13"/>
      <c r="DKG19" s="13"/>
      <c r="DKH19" s="13"/>
      <c r="DKI19" s="13"/>
      <c r="DKJ19" s="13"/>
      <c r="DKK19" s="13"/>
      <c r="DKL19" s="13"/>
      <c r="DKM19" s="13"/>
      <c r="DKN19" s="13"/>
      <c r="DKO19" s="13"/>
      <c r="DKP19" s="13"/>
      <c r="DKQ19" s="13"/>
      <c r="DKR19" s="13"/>
      <c r="DKS19" s="13"/>
      <c r="DKT19" s="13"/>
      <c r="DKU19" s="13"/>
      <c r="DKV19" s="13"/>
      <c r="DKW19" s="13"/>
      <c r="DKX19" s="13"/>
      <c r="DKY19" s="13"/>
      <c r="DKZ19" s="13"/>
      <c r="DLA19" s="13"/>
      <c r="DLB19" s="13"/>
      <c r="DLC19" s="13"/>
      <c r="DLD19" s="13"/>
      <c r="DLE19" s="13"/>
      <c r="DLF19" s="13"/>
      <c r="DLG19" s="13"/>
      <c r="DLH19" s="13"/>
      <c r="DLI19" s="13"/>
      <c r="DLJ19" s="13"/>
      <c r="DLK19" s="13"/>
      <c r="DLL19" s="13"/>
      <c r="DLM19" s="13"/>
      <c r="DLN19" s="13"/>
      <c r="DLO19" s="13"/>
      <c r="DLP19" s="13"/>
      <c r="DLQ19" s="13"/>
      <c r="DLR19" s="13"/>
      <c r="DLS19" s="13"/>
      <c r="DLT19" s="13"/>
      <c r="DLU19" s="13"/>
      <c r="DLV19" s="13"/>
      <c r="DLW19" s="13"/>
      <c r="DLX19" s="13"/>
      <c r="DLY19" s="13"/>
      <c r="DLZ19" s="13"/>
      <c r="DMA19" s="13"/>
      <c r="DMB19" s="13"/>
      <c r="DMC19" s="13"/>
      <c r="DMD19" s="13"/>
      <c r="DME19" s="13"/>
      <c r="DMF19" s="13"/>
      <c r="DMG19" s="13"/>
      <c r="DMH19" s="13"/>
      <c r="DMI19" s="13"/>
      <c r="DMJ19" s="13"/>
      <c r="DMK19" s="13"/>
      <c r="DML19" s="13"/>
      <c r="DMM19" s="13"/>
      <c r="DMN19" s="13"/>
      <c r="DMO19" s="13"/>
      <c r="DMP19" s="13"/>
      <c r="DMQ19" s="13"/>
      <c r="DMR19" s="13"/>
      <c r="DMS19" s="13"/>
      <c r="DMT19" s="13"/>
      <c r="DMU19" s="13"/>
      <c r="DMV19" s="13"/>
      <c r="DMW19" s="13"/>
      <c r="DMX19" s="13"/>
      <c r="DMY19" s="13"/>
      <c r="DMZ19" s="13"/>
      <c r="DNA19" s="13"/>
      <c r="DNB19" s="13"/>
      <c r="DNC19" s="13"/>
      <c r="DND19" s="13"/>
      <c r="DNE19" s="13"/>
      <c r="DNF19" s="13"/>
      <c r="DNG19" s="13"/>
      <c r="DNH19" s="13"/>
      <c r="DNI19" s="13"/>
      <c r="DNJ19" s="13"/>
      <c r="DNK19" s="13"/>
      <c r="DNL19" s="13"/>
      <c r="DNM19" s="13"/>
      <c r="DNN19" s="13"/>
      <c r="DNO19" s="13"/>
      <c r="DNP19" s="13"/>
      <c r="DNQ19" s="13"/>
      <c r="DNR19" s="13"/>
      <c r="DNS19" s="13"/>
      <c r="DNT19" s="13"/>
      <c r="DNU19" s="13"/>
      <c r="DNV19" s="13"/>
      <c r="DNW19" s="13"/>
      <c r="DNX19" s="13"/>
      <c r="DNY19" s="13"/>
      <c r="DNZ19" s="13"/>
      <c r="DOA19" s="13"/>
      <c r="DOB19" s="13"/>
      <c r="DOC19" s="13"/>
      <c r="DOD19" s="13"/>
      <c r="DOE19" s="13"/>
      <c r="DOF19" s="13"/>
      <c r="DOG19" s="13"/>
      <c r="DOH19" s="13"/>
      <c r="DOI19" s="13"/>
      <c r="DOJ19" s="13"/>
      <c r="DOK19" s="13"/>
      <c r="DOL19" s="13"/>
      <c r="DOM19" s="13"/>
      <c r="DON19" s="13"/>
      <c r="DOO19" s="13"/>
      <c r="DOP19" s="13"/>
      <c r="DOQ19" s="13"/>
      <c r="DOR19" s="13"/>
      <c r="DOS19" s="13"/>
      <c r="DOT19" s="13"/>
      <c r="DOU19" s="13"/>
      <c r="DOV19" s="13"/>
      <c r="DOW19" s="13"/>
      <c r="DOX19" s="13"/>
      <c r="DOY19" s="13"/>
      <c r="DOZ19" s="13"/>
      <c r="DPA19" s="13"/>
      <c r="DPB19" s="13"/>
      <c r="DPC19" s="13"/>
      <c r="DPD19" s="13"/>
      <c r="DPE19" s="13"/>
      <c r="DPF19" s="13"/>
      <c r="DPG19" s="13"/>
      <c r="DPH19" s="13"/>
      <c r="DPI19" s="13"/>
      <c r="DPJ19" s="13"/>
      <c r="DPK19" s="13"/>
      <c r="DPL19" s="13"/>
      <c r="DPM19" s="13"/>
      <c r="DPN19" s="13"/>
      <c r="DPO19" s="13"/>
      <c r="DPP19" s="13"/>
      <c r="DPQ19" s="13"/>
      <c r="DPR19" s="13"/>
      <c r="DPS19" s="13"/>
      <c r="DPT19" s="13"/>
      <c r="DPU19" s="13"/>
      <c r="DPV19" s="13"/>
      <c r="DPW19" s="13"/>
      <c r="DPX19" s="13"/>
      <c r="DPY19" s="13"/>
      <c r="DPZ19" s="13"/>
      <c r="DQA19" s="13"/>
      <c r="DQB19" s="13"/>
      <c r="DQC19" s="13"/>
      <c r="DQD19" s="13"/>
      <c r="DQE19" s="13"/>
      <c r="DQF19" s="13"/>
      <c r="DQG19" s="13"/>
      <c r="DQH19" s="13"/>
      <c r="DQI19" s="13"/>
      <c r="DQJ19" s="13"/>
      <c r="DQK19" s="13"/>
      <c r="DQL19" s="13"/>
      <c r="DQM19" s="13"/>
      <c r="DQN19" s="13"/>
      <c r="DQO19" s="13"/>
      <c r="DQP19" s="13"/>
      <c r="DQQ19" s="13"/>
      <c r="DQR19" s="13"/>
      <c r="DQS19" s="13"/>
      <c r="DQT19" s="13"/>
      <c r="DQU19" s="13"/>
      <c r="DQV19" s="13"/>
      <c r="DQW19" s="13"/>
      <c r="DQX19" s="13"/>
      <c r="DQY19" s="13"/>
      <c r="DQZ19" s="13"/>
      <c r="DRA19" s="13"/>
      <c r="DRB19" s="13"/>
      <c r="DRC19" s="13"/>
      <c r="DRD19" s="13"/>
      <c r="DRE19" s="13"/>
      <c r="DRF19" s="13"/>
      <c r="DRG19" s="13"/>
      <c r="DRH19" s="13"/>
      <c r="DRI19" s="13"/>
      <c r="DRJ19" s="13"/>
      <c r="DRK19" s="13"/>
      <c r="DRL19" s="13"/>
      <c r="DRM19" s="13"/>
      <c r="DRN19" s="13"/>
      <c r="DRO19" s="13"/>
      <c r="DRP19" s="13"/>
      <c r="DRQ19" s="13"/>
      <c r="DRR19" s="13"/>
      <c r="DRS19" s="13"/>
      <c r="DRT19" s="13"/>
      <c r="DRU19" s="13"/>
      <c r="DRV19" s="13"/>
      <c r="DRW19" s="13"/>
      <c r="DRX19" s="13"/>
      <c r="DRY19" s="13"/>
      <c r="DRZ19" s="13"/>
      <c r="DSA19" s="13"/>
      <c r="DSB19" s="13"/>
      <c r="DSC19" s="13"/>
      <c r="DSD19" s="13"/>
      <c r="DSE19" s="13"/>
      <c r="DSF19" s="13"/>
      <c r="DSG19" s="13"/>
      <c r="DSH19" s="13"/>
      <c r="DSI19" s="13"/>
      <c r="DSJ19" s="13"/>
      <c r="DSK19" s="13"/>
      <c r="DSL19" s="13"/>
      <c r="DSM19" s="13"/>
      <c r="DSN19" s="13"/>
      <c r="DSO19" s="13"/>
      <c r="DSP19" s="13"/>
      <c r="DSQ19" s="13"/>
      <c r="DSR19" s="13"/>
      <c r="DSS19" s="13"/>
      <c r="DST19" s="13"/>
      <c r="DSU19" s="13"/>
      <c r="DSV19" s="13"/>
      <c r="DSW19" s="13"/>
      <c r="DSX19" s="13"/>
      <c r="DSY19" s="13"/>
      <c r="DSZ19" s="13"/>
      <c r="DTA19" s="13"/>
      <c r="DTB19" s="13"/>
      <c r="DTC19" s="13"/>
      <c r="DTD19" s="13"/>
      <c r="DTE19" s="13"/>
      <c r="DTF19" s="13"/>
      <c r="DTG19" s="13"/>
      <c r="DTH19" s="13"/>
      <c r="DTI19" s="13"/>
      <c r="DTJ19" s="13"/>
      <c r="DTK19" s="13"/>
      <c r="DTL19" s="13"/>
      <c r="DTM19" s="13"/>
      <c r="DTN19" s="13"/>
      <c r="DTO19" s="13"/>
      <c r="DTP19" s="13"/>
      <c r="DTQ19" s="13"/>
      <c r="DTR19" s="13"/>
      <c r="DTS19" s="13"/>
      <c r="DTT19" s="13"/>
      <c r="DTU19" s="13"/>
      <c r="DTV19" s="13"/>
      <c r="DTW19" s="13"/>
      <c r="DTX19" s="13"/>
      <c r="DTY19" s="13"/>
      <c r="DTZ19" s="13"/>
      <c r="DUA19" s="13"/>
      <c r="DUB19" s="13"/>
      <c r="DUC19" s="13"/>
      <c r="DUD19" s="13"/>
      <c r="DUE19" s="13"/>
      <c r="DUF19" s="13"/>
      <c r="DUG19" s="13"/>
      <c r="DUH19" s="13"/>
      <c r="DUI19" s="13"/>
      <c r="DUJ19" s="13"/>
      <c r="DUK19" s="13"/>
      <c r="DUL19" s="13"/>
      <c r="DUM19" s="13"/>
      <c r="DUN19" s="13"/>
      <c r="DUO19" s="13"/>
      <c r="DUP19" s="13"/>
      <c r="DUQ19" s="13"/>
      <c r="DUR19" s="13"/>
      <c r="DUS19" s="13"/>
      <c r="DUT19" s="13"/>
      <c r="DUU19" s="13"/>
      <c r="DUV19" s="13"/>
      <c r="DUW19" s="13"/>
      <c r="DUX19" s="13"/>
      <c r="DUY19" s="13"/>
      <c r="DUZ19" s="13"/>
      <c r="DVA19" s="13"/>
      <c r="DVB19" s="13"/>
      <c r="DVC19" s="13"/>
      <c r="DVD19" s="13"/>
      <c r="DVE19" s="13"/>
      <c r="DVF19" s="13"/>
      <c r="DVG19" s="13"/>
      <c r="DVH19" s="13"/>
      <c r="DVI19" s="13"/>
      <c r="DVJ19" s="13"/>
      <c r="DVK19" s="13"/>
      <c r="DVL19" s="13"/>
      <c r="DVM19" s="13"/>
      <c r="DVN19" s="13"/>
      <c r="DVO19" s="13"/>
      <c r="DVP19" s="13"/>
      <c r="DVQ19" s="13"/>
      <c r="DVR19" s="13"/>
      <c r="DVS19" s="13"/>
      <c r="DVT19" s="13"/>
      <c r="DVU19" s="13"/>
      <c r="DVV19" s="13"/>
      <c r="DVW19" s="13"/>
      <c r="DVX19" s="13"/>
      <c r="DVY19" s="13"/>
      <c r="DVZ19" s="13"/>
      <c r="DWA19" s="13"/>
      <c r="DWB19" s="13"/>
      <c r="DWC19" s="13"/>
      <c r="DWD19" s="13"/>
      <c r="DWE19" s="13"/>
      <c r="DWF19" s="13"/>
      <c r="DWG19" s="13"/>
      <c r="DWH19" s="13"/>
      <c r="DWI19" s="13"/>
      <c r="DWJ19" s="13"/>
      <c r="DWK19" s="13"/>
      <c r="DWL19" s="13"/>
      <c r="DWM19" s="13"/>
      <c r="DWN19" s="13"/>
      <c r="DWO19" s="13"/>
      <c r="DWP19" s="13"/>
      <c r="DWQ19" s="13"/>
      <c r="DWR19" s="13"/>
      <c r="DWS19" s="13"/>
      <c r="DWT19" s="13"/>
      <c r="DWU19" s="13"/>
      <c r="DWV19" s="13"/>
      <c r="DWW19" s="13"/>
      <c r="DWX19" s="13"/>
      <c r="DWY19" s="13"/>
      <c r="DWZ19" s="13"/>
      <c r="DXA19" s="13"/>
      <c r="DXB19" s="13"/>
      <c r="DXC19" s="13"/>
      <c r="DXD19" s="13"/>
      <c r="DXE19" s="13"/>
      <c r="DXF19" s="13"/>
      <c r="DXG19" s="13"/>
      <c r="DXH19" s="13"/>
      <c r="DXI19" s="13"/>
      <c r="DXJ19" s="13"/>
      <c r="DXK19" s="13"/>
      <c r="DXL19" s="13"/>
      <c r="DXM19" s="13"/>
      <c r="DXN19" s="13"/>
      <c r="DXO19" s="13"/>
      <c r="DXP19" s="13"/>
      <c r="DXQ19" s="13"/>
      <c r="DXR19" s="13"/>
      <c r="DXS19" s="13"/>
      <c r="DXT19" s="13"/>
      <c r="DXU19" s="13"/>
      <c r="DXV19" s="13"/>
      <c r="DXW19" s="13"/>
      <c r="DXX19" s="13"/>
      <c r="DXY19" s="13"/>
      <c r="DXZ19" s="13"/>
      <c r="DYA19" s="13"/>
      <c r="DYB19" s="13"/>
      <c r="DYC19" s="13"/>
      <c r="DYD19" s="13"/>
      <c r="DYE19" s="13"/>
      <c r="DYF19" s="13"/>
      <c r="DYG19" s="13"/>
      <c r="DYH19" s="13"/>
      <c r="DYI19" s="13"/>
      <c r="DYJ19" s="13"/>
      <c r="DYK19" s="13"/>
      <c r="DYL19" s="13"/>
      <c r="DYM19" s="13"/>
      <c r="DYN19" s="13"/>
      <c r="DYO19" s="13"/>
      <c r="DYP19" s="13"/>
      <c r="DYQ19" s="13"/>
      <c r="DYR19" s="13"/>
      <c r="DYS19" s="13"/>
      <c r="DYT19" s="13"/>
      <c r="DYU19" s="13"/>
      <c r="DYV19" s="13"/>
      <c r="DYW19" s="13"/>
      <c r="DYX19" s="13"/>
      <c r="DYY19" s="13"/>
      <c r="DYZ19" s="13"/>
      <c r="DZA19" s="13"/>
      <c r="DZB19" s="13"/>
      <c r="DZC19" s="13"/>
      <c r="DZD19" s="13"/>
      <c r="DZE19" s="13"/>
      <c r="DZF19" s="13"/>
      <c r="DZG19" s="13"/>
      <c r="DZH19" s="13"/>
      <c r="DZI19" s="13"/>
      <c r="DZJ19" s="13"/>
      <c r="DZK19" s="13"/>
      <c r="DZL19" s="13"/>
      <c r="DZM19" s="13"/>
      <c r="DZN19" s="13"/>
      <c r="DZO19" s="13"/>
      <c r="DZP19" s="13"/>
      <c r="DZQ19" s="13"/>
      <c r="DZR19" s="13"/>
      <c r="DZS19" s="13"/>
      <c r="DZT19" s="13"/>
      <c r="DZU19" s="13"/>
      <c r="DZV19" s="13"/>
      <c r="DZW19" s="13"/>
      <c r="DZX19" s="13"/>
      <c r="DZY19" s="13"/>
      <c r="DZZ19" s="13"/>
      <c r="EAA19" s="13"/>
      <c r="EAB19" s="13"/>
      <c r="EAC19" s="13"/>
      <c r="EAD19" s="13"/>
      <c r="EAE19" s="13"/>
      <c r="EAF19" s="13"/>
      <c r="EAG19" s="13"/>
      <c r="EAH19" s="13"/>
      <c r="EAI19" s="13"/>
      <c r="EAJ19" s="13"/>
      <c r="EAK19" s="13"/>
      <c r="EAL19" s="13"/>
      <c r="EAM19" s="13"/>
      <c r="EAN19" s="13"/>
      <c r="EAO19" s="13"/>
      <c r="EAP19" s="13"/>
      <c r="EAQ19" s="13"/>
      <c r="EAR19" s="13"/>
      <c r="EAS19" s="13"/>
      <c r="EAT19" s="13"/>
      <c r="EAU19" s="13"/>
      <c r="EAV19" s="13"/>
      <c r="EAW19" s="13"/>
      <c r="EAX19" s="13"/>
      <c r="EAY19" s="13"/>
      <c r="EAZ19" s="13"/>
      <c r="EBA19" s="13"/>
      <c r="EBB19" s="13"/>
      <c r="EBC19" s="13"/>
      <c r="EBD19" s="13"/>
      <c r="EBE19" s="13"/>
      <c r="EBF19" s="13"/>
      <c r="EBG19" s="13"/>
      <c r="EBH19" s="13"/>
      <c r="EBI19" s="13"/>
      <c r="EBJ19" s="13"/>
      <c r="EBK19" s="13"/>
      <c r="EBL19" s="13"/>
      <c r="EBM19" s="13"/>
      <c r="EBN19" s="13"/>
      <c r="EBO19" s="13"/>
      <c r="EBP19" s="13"/>
      <c r="EBQ19" s="13"/>
      <c r="EBR19" s="13"/>
      <c r="EBS19" s="13"/>
      <c r="EBT19" s="13"/>
      <c r="EBU19" s="13"/>
      <c r="EBV19" s="13"/>
      <c r="EBW19" s="13"/>
      <c r="EBX19" s="13"/>
      <c r="EBY19" s="13"/>
      <c r="EBZ19" s="13"/>
      <c r="ECA19" s="13"/>
      <c r="ECB19" s="13"/>
      <c r="ECC19" s="13"/>
      <c r="ECD19" s="13"/>
      <c r="ECE19" s="13"/>
      <c r="ECF19" s="13"/>
      <c r="ECG19" s="13"/>
      <c r="ECH19" s="13"/>
      <c r="ECI19" s="13"/>
      <c r="ECJ19" s="13"/>
      <c r="ECK19" s="13"/>
      <c r="ECL19" s="13"/>
      <c r="ECM19" s="13"/>
      <c r="ECN19" s="13"/>
      <c r="ECO19" s="13"/>
      <c r="ECP19" s="13"/>
      <c r="ECQ19" s="13"/>
      <c r="ECR19" s="13"/>
      <c r="ECS19" s="13"/>
      <c r="ECT19" s="13"/>
      <c r="ECU19" s="13"/>
      <c r="ECV19" s="13"/>
      <c r="ECW19" s="13"/>
      <c r="ECX19" s="13"/>
      <c r="ECY19" s="13"/>
      <c r="ECZ19" s="13"/>
      <c r="EDA19" s="13"/>
      <c r="EDB19" s="13"/>
      <c r="EDC19" s="13"/>
      <c r="EDD19" s="13"/>
      <c r="EDE19" s="13"/>
      <c r="EDF19" s="13"/>
      <c r="EDG19" s="13"/>
      <c r="EDH19" s="13"/>
      <c r="EDI19" s="13"/>
      <c r="EDJ19" s="13"/>
      <c r="EDK19" s="13"/>
      <c r="EDL19" s="13"/>
      <c r="EDM19" s="13"/>
      <c r="EDN19" s="13"/>
      <c r="EDO19" s="13"/>
      <c r="EDP19" s="13"/>
      <c r="EDQ19" s="13"/>
      <c r="EDR19" s="13"/>
      <c r="EDS19" s="13"/>
      <c r="EDT19" s="13"/>
      <c r="EDU19" s="13"/>
      <c r="EDV19" s="13"/>
      <c r="EDW19" s="13"/>
      <c r="EDX19" s="13"/>
      <c r="EDY19" s="13"/>
      <c r="EDZ19" s="13"/>
      <c r="EEA19" s="13"/>
      <c r="EEB19" s="13"/>
      <c r="EEC19" s="13"/>
      <c r="EED19" s="13"/>
      <c r="EEE19" s="13"/>
      <c r="EEF19" s="13"/>
      <c r="EEG19" s="13"/>
      <c r="EEH19" s="13"/>
      <c r="EEI19" s="13"/>
      <c r="EEJ19" s="13"/>
      <c r="EEK19" s="13"/>
      <c r="EEL19" s="13"/>
      <c r="EEM19" s="13"/>
      <c r="EEN19" s="13"/>
      <c r="EEO19" s="13"/>
      <c r="EEP19" s="13"/>
      <c r="EEQ19" s="13"/>
      <c r="EER19" s="13"/>
      <c r="EES19" s="13"/>
      <c r="EET19" s="13"/>
      <c r="EEU19" s="13"/>
      <c r="EEV19" s="13"/>
      <c r="EEW19" s="13"/>
      <c r="EEX19" s="13"/>
      <c r="EEY19" s="13"/>
      <c r="EEZ19" s="13"/>
      <c r="EFA19" s="13"/>
      <c r="EFB19" s="13"/>
      <c r="EFC19" s="13"/>
      <c r="EFD19" s="13"/>
      <c r="EFE19" s="13"/>
      <c r="EFF19" s="13"/>
      <c r="EFG19" s="13"/>
      <c r="EFH19" s="13"/>
      <c r="EFI19" s="13"/>
      <c r="EFJ19" s="13"/>
      <c r="EFK19" s="13"/>
      <c r="EFL19" s="13"/>
      <c r="EFM19" s="13"/>
      <c r="EFN19" s="13"/>
      <c r="EFO19" s="13"/>
      <c r="EFP19" s="13"/>
      <c r="EFQ19" s="13"/>
      <c r="EFR19" s="13"/>
      <c r="EFS19" s="13"/>
      <c r="EFT19" s="13"/>
      <c r="EFU19" s="13"/>
      <c r="EFV19" s="13"/>
      <c r="EFW19" s="13"/>
      <c r="EFX19" s="13"/>
      <c r="EFY19" s="13"/>
      <c r="EFZ19" s="13"/>
      <c r="EGA19" s="13"/>
      <c r="EGB19" s="13"/>
      <c r="EGC19" s="13"/>
      <c r="EGD19" s="13"/>
      <c r="EGE19" s="13"/>
      <c r="EGF19" s="13"/>
      <c r="EGG19" s="13"/>
      <c r="EGH19" s="13"/>
      <c r="EGI19" s="13"/>
      <c r="EGJ19" s="13"/>
      <c r="EGK19" s="13"/>
      <c r="EGL19" s="13"/>
      <c r="EGM19" s="13"/>
      <c r="EGN19" s="13"/>
      <c r="EGO19" s="13"/>
      <c r="EGP19" s="13"/>
      <c r="EGQ19" s="13"/>
      <c r="EGR19" s="13"/>
      <c r="EGS19" s="13"/>
      <c r="EGT19" s="13"/>
      <c r="EGU19" s="13"/>
      <c r="EGV19" s="13"/>
      <c r="EGW19" s="13"/>
      <c r="EGX19" s="13"/>
      <c r="EGY19" s="13"/>
      <c r="EGZ19" s="13"/>
      <c r="EHA19" s="13"/>
      <c r="EHB19" s="13"/>
      <c r="EHC19" s="13"/>
      <c r="EHD19" s="13"/>
      <c r="EHE19" s="13"/>
      <c r="EHF19" s="13"/>
      <c r="EHG19" s="13"/>
      <c r="EHH19" s="13"/>
      <c r="EHI19" s="13"/>
      <c r="EHJ19" s="13"/>
      <c r="EHK19" s="13"/>
      <c r="EHL19" s="13"/>
      <c r="EHM19" s="13"/>
      <c r="EHN19" s="13"/>
      <c r="EHO19" s="13"/>
      <c r="EHP19" s="13"/>
      <c r="EHQ19" s="13"/>
      <c r="EHR19" s="13"/>
      <c r="EHS19" s="13"/>
      <c r="EHT19" s="13"/>
      <c r="EHU19" s="13"/>
      <c r="EHV19" s="13"/>
      <c r="EHW19" s="13"/>
      <c r="EHX19" s="13"/>
      <c r="EHY19" s="13"/>
      <c r="EHZ19" s="13"/>
      <c r="EIA19" s="13"/>
      <c r="EIB19" s="13"/>
      <c r="EIC19" s="13"/>
      <c r="EID19" s="13"/>
      <c r="EIE19" s="13"/>
      <c r="EIF19" s="13"/>
      <c r="EIG19" s="13"/>
      <c r="EIH19" s="13"/>
      <c r="EII19" s="13"/>
      <c r="EIJ19" s="13"/>
      <c r="EIK19" s="13"/>
      <c r="EIL19" s="13"/>
      <c r="EIM19" s="13"/>
      <c r="EIN19" s="13"/>
      <c r="EIO19" s="13"/>
      <c r="EIP19" s="13"/>
      <c r="EIQ19" s="13"/>
      <c r="EIR19" s="13"/>
      <c r="EIS19" s="13"/>
      <c r="EIT19" s="13"/>
      <c r="EIU19" s="13"/>
      <c r="EIV19" s="13"/>
      <c r="EIW19" s="13"/>
      <c r="EIX19" s="13"/>
      <c r="EIY19" s="13"/>
      <c r="EIZ19" s="13"/>
      <c r="EJA19" s="13"/>
      <c r="EJB19" s="13"/>
      <c r="EJC19" s="13"/>
      <c r="EJD19" s="13"/>
      <c r="EJE19" s="13"/>
      <c r="EJF19" s="13"/>
      <c r="EJG19" s="13"/>
      <c r="EJH19" s="13"/>
      <c r="EJI19" s="13"/>
      <c r="EJJ19" s="13"/>
      <c r="EJK19" s="13"/>
      <c r="EJL19" s="13"/>
      <c r="EJM19" s="13"/>
      <c r="EJN19" s="13"/>
      <c r="EJO19" s="13"/>
      <c r="EJP19" s="13"/>
      <c r="EJQ19" s="13"/>
      <c r="EJR19" s="13"/>
      <c r="EJS19" s="13"/>
      <c r="EJT19" s="13"/>
      <c r="EJU19" s="13"/>
      <c r="EJV19" s="13"/>
      <c r="EJW19" s="13"/>
      <c r="EJX19" s="13"/>
      <c r="EJY19" s="13"/>
      <c r="EJZ19" s="13"/>
      <c r="EKA19" s="13"/>
      <c r="EKB19" s="13"/>
      <c r="EKC19" s="13"/>
      <c r="EKD19" s="13"/>
      <c r="EKE19" s="13"/>
      <c r="EKF19" s="13"/>
      <c r="EKG19" s="13"/>
      <c r="EKH19" s="13"/>
      <c r="EKI19" s="13"/>
      <c r="EKJ19" s="13"/>
      <c r="EKK19" s="13"/>
      <c r="EKL19" s="13"/>
      <c r="EKM19" s="13"/>
      <c r="EKN19" s="13"/>
      <c r="EKO19" s="13"/>
      <c r="EKP19" s="13"/>
      <c r="EKQ19" s="13"/>
      <c r="EKR19" s="13"/>
      <c r="EKS19" s="13"/>
      <c r="EKT19" s="13"/>
      <c r="EKU19" s="13"/>
      <c r="EKV19" s="13"/>
      <c r="EKW19" s="13"/>
      <c r="EKX19" s="13"/>
      <c r="EKY19" s="13"/>
      <c r="EKZ19" s="13"/>
      <c r="ELA19" s="13"/>
      <c r="ELB19" s="13"/>
      <c r="ELC19" s="13"/>
      <c r="ELD19" s="13"/>
      <c r="ELE19" s="13"/>
      <c r="ELF19" s="13"/>
      <c r="ELG19" s="13"/>
      <c r="ELH19" s="13"/>
      <c r="ELI19" s="13"/>
      <c r="ELJ19" s="13"/>
      <c r="ELK19" s="13"/>
      <c r="ELL19" s="13"/>
      <c r="ELM19" s="13"/>
      <c r="ELN19" s="13"/>
      <c r="ELO19" s="13"/>
      <c r="ELP19" s="13"/>
      <c r="ELQ19" s="13"/>
      <c r="ELR19" s="13"/>
      <c r="ELS19" s="13"/>
      <c r="ELT19" s="13"/>
      <c r="ELU19" s="13"/>
      <c r="ELV19" s="13"/>
      <c r="ELW19" s="13"/>
      <c r="ELX19" s="13"/>
      <c r="ELY19" s="13"/>
      <c r="ELZ19" s="13"/>
      <c r="EMA19" s="13"/>
      <c r="EMB19" s="13"/>
      <c r="EMC19" s="13"/>
      <c r="EMD19" s="13"/>
      <c r="EME19" s="13"/>
      <c r="EMF19" s="13"/>
      <c r="EMG19" s="13"/>
      <c r="EMH19" s="13"/>
      <c r="EMI19" s="13"/>
      <c r="EMJ19" s="13"/>
      <c r="EMK19" s="13"/>
      <c r="EML19" s="13"/>
      <c r="EMM19" s="13"/>
      <c r="EMN19" s="13"/>
      <c r="EMO19" s="13"/>
      <c r="EMP19" s="13"/>
      <c r="EMQ19" s="13"/>
      <c r="EMR19" s="13"/>
      <c r="EMS19" s="13"/>
      <c r="EMT19" s="13"/>
      <c r="EMU19" s="13"/>
      <c r="EMV19" s="13"/>
      <c r="EMW19" s="13"/>
      <c r="EMX19" s="13"/>
      <c r="EMY19" s="13"/>
      <c r="EMZ19" s="13"/>
      <c r="ENA19" s="13"/>
      <c r="ENB19" s="13"/>
      <c r="ENC19" s="13"/>
      <c r="END19" s="13"/>
      <c r="ENE19" s="13"/>
      <c r="ENF19" s="13"/>
      <c r="ENG19" s="13"/>
      <c r="ENH19" s="13"/>
      <c r="ENI19" s="13"/>
      <c r="ENJ19" s="13"/>
      <c r="ENK19" s="13"/>
      <c r="ENL19" s="13"/>
      <c r="ENM19" s="13"/>
      <c r="ENN19" s="13"/>
      <c r="ENO19" s="13"/>
      <c r="ENP19" s="13"/>
      <c r="ENQ19" s="13"/>
      <c r="ENR19" s="13"/>
      <c r="ENS19" s="13"/>
      <c r="ENT19" s="13"/>
      <c r="ENU19" s="13"/>
      <c r="ENV19" s="13"/>
      <c r="ENW19" s="13"/>
      <c r="ENX19" s="13"/>
      <c r="ENY19" s="13"/>
      <c r="ENZ19" s="13"/>
      <c r="EOA19" s="13"/>
      <c r="EOB19" s="13"/>
      <c r="EOC19" s="13"/>
      <c r="EOD19" s="13"/>
      <c r="EOE19" s="13"/>
      <c r="EOF19" s="13"/>
      <c r="EOG19" s="13"/>
      <c r="EOH19" s="13"/>
      <c r="EOI19" s="13"/>
      <c r="EOJ19" s="13"/>
      <c r="EOK19" s="13"/>
      <c r="EOL19" s="13"/>
      <c r="EOM19" s="13"/>
      <c r="EON19" s="13"/>
      <c r="EOO19" s="13"/>
      <c r="EOP19" s="13"/>
      <c r="EOQ19" s="13"/>
      <c r="EOR19" s="13"/>
      <c r="EOS19" s="13"/>
      <c r="EOT19" s="13"/>
      <c r="EOU19" s="13"/>
      <c r="EOV19" s="13"/>
      <c r="EOW19" s="13"/>
      <c r="EOX19" s="13"/>
      <c r="EOY19" s="13"/>
      <c r="EOZ19" s="13"/>
      <c r="EPA19" s="13"/>
      <c r="EPB19" s="13"/>
      <c r="EPC19" s="13"/>
      <c r="EPD19" s="13"/>
      <c r="EPE19" s="13"/>
      <c r="EPF19" s="13"/>
      <c r="EPG19" s="13"/>
      <c r="EPH19" s="13"/>
      <c r="EPI19" s="13"/>
      <c r="EPJ19" s="13"/>
      <c r="EPK19" s="13"/>
      <c r="EPL19" s="13"/>
      <c r="EPM19" s="13"/>
      <c r="EPN19" s="13"/>
      <c r="EPO19" s="13"/>
      <c r="EPP19" s="13"/>
      <c r="EPQ19" s="13"/>
      <c r="EPR19" s="13"/>
      <c r="EPS19" s="13"/>
      <c r="EPT19" s="13"/>
      <c r="EPU19" s="13"/>
      <c r="EPV19" s="13"/>
      <c r="EPW19" s="13"/>
      <c r="EPX19" s="13"/>
      <c r="EPY19" s="13"/>
      <c r="EPZ19" s="13"/>
      <c r="EQA19" s="13"/>
      <c r="EQB19" s="13"/>
      <c r="EQC19" s="13"/>
      <c r="EQD19" s="13"/>
      <c r="EQE19" s="13"/>
      <c r="EQF19" s="13"/>
      <c r="EQG19" s="13"/>
      <c r="EQH19" s="13"/>
      <c r="EQI19" s="13"/>
      <c r="EQJ19" s="13"/>
      <c r="EQK19" s="13"/>
      <c r="EQL19" s="13"/>
      <c r="EQM19" s="13"/>
      <c r="EQN19" s="13"/>
      <c r="EQO19" s="13"/>
      <c r="EQP19" s="13"/>
      <c r="EQQ19" s="13"/>
      <c r="EQR19" s="13"/>
      <c r="EQS19" s="13"/>
      <c r="EQT19" s="13"/>
      <c r="EQU19" s="13"/>
      <c r="EQV19" s="13"/>
      <c r="EQW19" s="13"/>
      <c r="EQX19" s="13"/>
      <c r="EQY19" s="13"/>
      <c r="EQZ19" s="13"/>
      <c r="ERA19" s="13"/>
      <c r="ERB19" s="13"/>
      <c r="ERC19" s="13"/>
      <c r="ERD19" s="13"/>
      <c r="ERE19" s="13"/>
      <c r="ERF19" s="13"/>
      <c r="ERG19" s="13"/>
      <c r="ERH19" s="13"/>
      <c r="ERI19" s="13"/>
      <c r="ERJ19" s="13"/>
      <c r="ERK19" s="13"/>
      <c r="ERL19" s="13"/>
      <c r="ERM19" s="13"/>
      <c r="ERN19" s="13"/>
      <c r="ERO19" s="13"/>
      <c r="ERP19" s="13"/>
      <c r="ERQ19" s="13"/>
      <c r="ERR19" s="13"/>
      <c r="ERS19" s="13"/>
      <c r="ERT19" s="13"/>
      <c r="ERU19" s="13"/>
      <c r="ERV19" s="13"/>
      <c r="ERW19" s="13"/>
      <c r="ERX19" s="13"/>
      <c r="ERY19" s="13"/>
      <c r="ERZ19" s="13"/>
      <c r="ESA19" s="13"/>
      <c r="ESB19" s="13"/>
      <c r="ESC19" s="13"/>
      <c r="ESD19" s="13"/>
      <c r="ESE19" s="13"/>
      <c r="ESF19" s="13"/>
      <c r="ESG19" s="13"/>
      <c r="ESH19" s="13"/>
      <c r="ESI19" s="13"/>
      <c r="ESJ19" s="13"/>
      <c r="ESK19" s="13"/>
      <c r="ESL19" s="13"/>
      <c r="ESM19" s="13"/>
      <c r="ESN19" s="13"/>
      <c r="ESO19" s="13"/>
      <c r="ESP19" s="13"/>
      <c r="ESQ19" s="13"/>
      <c r="ESR19" s="13"/>
      <c r="ESS19" s="13"/>
      <c r="EST19" s="13"/>
      <c r="ESU19" s="13"/>
      <c r="ESV19" s="13"/>
      <c r="ESW19" s="13"/>
      <c r="ESX19" s="13"/>
      <c r="ESY19" s="13"/>
      <c r="ESZ19" s="13"/>
      <c r="ETA19" s="13"/>
      <c r="ETB19" s="13"/>
      <c r="ETC19" s="13"/>
      <c r="ETD19" s="13"/>
      <c r="ETE19" s="13"/>
      <c r="ETF19" s="13"/>
      <c r="ETG19" s="13"/>
      <c r="ETH19" s="13"/>
      <c r="ETI19" s="13"/>
      <c r="ETJ19" s="13"/>
      <c r="ETK19" s="13"/>
      <c r="ETL19" s="13"/>
      <c r="ETM19" s="13"/>
      <c r="ETN19" s="13"/>
      <c r="ETO19" s="13"/>
      <c r="ETP19" s="13"/>
      <c r="ETQ19" s="13"/>
      <c r="ETR19" s="13"/>
      <c r="ETS19" s="13"/>
      <c r="ETT19" s="13"/>
      <c r="ETU19" s="13"/>
      <c r="ETV19" s="13"/>
      <c r="ETW19" s="13"/>
      <c r="ETX19" s="13"/>
      <c r="ETY19" s="13"/>
      <c r="ETZ19" s="13"/>
      <c r="EUA19" s="13"/>
      <c r="EUB19" s="13"/>
      <c r="EUC19" s="13"/>
      <c r="EUD19" s="13"/>
      <c r="EUE19" s="13"/>
      <c r="EUF19" s="13"/>
      <c r="EUG19" s="13"/>
      <c r="EUH19" s="13"/>
      <c r="EUI19" s="13"/>
      <c r="EUJ19" s="13"/>
      <c r="EUK19" s="13"/>
      <c r="EUL19" s="13"/>
      <c r="EUM19" s="13"/>
      <c r="EUN19" s="13"/>
      <c r="EUO19" s="13"/>
      <c r="EUP19" s="13"/>
      <c r="EUQ19" s="13"/>
      <c r="EUR19" s="13"/>
      <c r="EUS19" s="13"/>
      <c r="EUT19" s="13"/>
      <c r="EUU19" s="13"/>
      <c r="EUV19" s="13"/>
      <c r="EUW19" s="13"/>
      <c r="EUX19" s="13"/>
      <c r="EUY19" s="13"/>
      <c r="EUZ19" s="13"/>
      <c r="EVA19" s="13"/>
      <c r="EVB19" s="13"/>
      <c r="EVC19" s="13"/>
      <c r="EVD19" s="13"/>
      <c r="EVE19" s="13"/>
      <c r="EVF19" s="13"/>
      <c r="EVG19" s="13"/>
      <c r="EVH19" s="13"/>
      <c r="EVI19" s="13"/>
      <c r="EVJ19" s="13"/>
      <c r="EVK19" s="13"/>
      <c r="EVL19" s="13"/>
      <c r="EVM19" s="13"/>
      <c r="EVN19" s="13"/>
      <c r="EVO19" s="13"/>
      <c r="EVP19" s="13"/>
      <c r="EVQ19" s="13"/>
      <c r="EVR19" s="13"/>
      <c r="EVS19" s="13"/>
      <c r="EVT19" s="13"/>
      <c r="EVU19" s="13"/>
      <c r="EVV19" s="13"/>
      <c r="EVW19" s="13"/>
      <c r="EVX19" s="13"/>
      <c r="EVY19" s="13"/>
      <c r="EVZ19" s="13"/>
      <c r="EWA19" s="13"/>
      <c r="EWB19" s="13"/>
      <c r="EWC19" s="13"/>
      <c r="EWD19" s="13"/>
      <c r="EWE19" s="13"/>
      <c r="EWF19" s="13"/>
      <c r="EWG19" s="13"/>
      <c r="EWH19" s="13"/>
      <c r="EWI19" s="13"/>
      <c r="EWJ19" s="13"/>
      <c r="EWK19" s="13"/>
      <c r="EWL19" s="13"/>
      <c r="EWM19" s="13"/>
      <c r="EWN19" s="13"/>
      <c r="EWO19" s="13"/>
      <c r="EWP19" s="13"/>
      <c r="EWQ19" s="13"/>
      <c r="EWR19" s="13"/>
      <c r="EWS19" s="13"/>
      <c r="EWT19" s="13"/>
      <c r="EWU19" s="13"/>
      <c r="EWV19" s="13"/>
      <c r="EWW19" s="13"/>
      <c r="EWX19" s="13"/>
      <c r="EWY19" s="13"/>
      <c r="EWZ19" s="13"/>
      <c r="EXA19" s="13"/>
      <c r="EXB19" s="13"/>
      <c r="EXC19" s="13"/>
      <c r="EXD19" s="13"/>
      <c r="EXE19" s="13"/>
      <c r="EXF19" s="13"/>
      <c r="EXG19" s="13"/>
      <c r="EXH19" s="13"/>
      <c r="EXI19" s="13"/>
      <c r="EXJ19" s="13"/>
      <c r="EXK19" s="13"/>
      <c r="EXL19" s="13"/>
      <c r="EXM19" s="13"/>
      <c r="EXN19" s="13"/>
      <c r="EXO19" s="13"/>
      <c r="EXP19" s="13"/>
      <c r="EXQ19" s="13"/>
      <c r="EXR19" s="13"/>
      <c r="EXS19" s="13"/>
      <c r="EXT19" s="13"/>
      <c r="EXU19" s="13"/>
      <c r="EXV19" s="13"/>
      <c r="EXW19" s="13"/>
      <c r="EXX19" s="13"/>
      <c r="EXY19" s="13"/>
      <c r="EXZ19" s="13"/>
      <c r="EYA19" s="13"/>
      <c r="EYB19" s="13"/>
      <c r="EYC19" s="13"/>
      <c r="EYD19" s="13"/>
      <c r="EYE19" s="13"/>
      <c r="EYF19" s="13"/>
      <c r="EYG19" s="13"/>
      <c r="EYH19" s="13"/>
      <c r="EYI19" s="13"/>
      <c r="EYJ19" s="13"/>
      <c r="EYK19" s="13"/>
      <c r="EYL19" s="13"/>
      <c r="EYM19" s="13"/>
      <c r="EYN19" s="13"/>
      <c r="EYO19" s="13"/>
      <c r="EYP19" s="13"/>
      <c r="EYQ19" s="13"/>
      <c r="EYR19" s="13"/>
      <c r="EYS19" s="13"/>
      <c r="EYT19" s="13"/>
      <c r="EYU19" s="13"/>
      <c r="EYV19" s="13"/>
      <c r="EYW19" s="13"/>
      <c r="EYX19" s="13"/>
      <c r="EYY19" s="13"/>
      <c r="EYZ19" s="13"/>
      <c r="EZA19" s="13"/>
      <c r="EZB19" s="13"/>
      <c r="EZC19" s="13"/>
      <c r="EZD19" s="13"/>
      <c r="EZE19" s="13"/>
      <c r="EZF19" s="13"/>
      <c r="EZG19" s="13"/>
      <c r="EZH19" s="13"/>
      <c r="EZI19" s="13"/>
      <c r="EZJ19" s="13"/>
      <c r="EZK19" s="13"/>
      <c r="EZL19" s="13"/>
      <c r="EZM19" s="13"/>
      <c r="EZN19" s="13"/>
      <c r="EZO19" s="13"/>
      <c r="EZP19" s="13"/>
      <c r="EZQ19" s="13"/>
      <c r="EZR19" s="13"/>
      <c r="EZS19" s="13"/>
      <c r="EZT19" s="13"/>
      <c r="EZU19" s="13"/>
      <c r="EZV19" s="13"/>
      <c r="EZW19" s="13"/>
      <c r="EZX19" s="13"/>
      <c r="EZY19" s="13"/>
      <c r="EZZ19" s="13"/>
      <c r="FAA19" s="13"/>
      <c r="FAB19" s="13"/>
      <c r="FAC19" s="13"/>
      <c r="FAD19" s="13"/>
      <c r="FAE19" s="13"/>
      <c r="FAF19" s="13"/>
      <c r="FAG19" s="13"/>
      <c r="FAH19" s="13"/>
      <c r="FAI19" s="13"/>
      <c r="FAJ19" s="13"/>
      <c r="FAK19" s="13"/>
      <c r="FAL19" s="13"/>
      <c r="FAM19" s="13"/>
      <c r="FAN19" s="13"/>
      <c r="FAO19" s="13"/>
      <c r="FAP19" s="13"/>
      <c r="FAQ19" s="13"/>
      <c r="FAR19" s="13"/>
      <c r="FAS19" s="13"/>
      <c r="FAT19" s="13"/>
      <c r="FAU19" s="13"/>
      <c r="FAV19" s="13"/>
      <c r="FAW19" s="13"/>
      <c r="FAX19" s="13"/>
      <c r="FAY19" s="13"/>
      <c r="FAZ19" s="13"/>
      <c r="FBA19" s="13"/>
      <c r="FBB19" s="13"/>
      <c r="FBC19" s="13"/>
      <c r="FBD19" s="13"/>
      <c r="FBE19" s="13"/>
      <c r="FBF19" s="13"/>
      <c r="FBG19" s="13"/>
      <c r="FBH19" s="13"/>
      <c r="FBI19" s="13"/>
      <c r="FBJ19" s="13"/>
      <c r="FBK19" s="13"/>
      <c r="FBL19" s="13"/>
      <c r="FBM19" s="13"/>
      <c r="FBN19" s="13"/>
      <c r="FBO19" s="13"/>
      <c r="FBP19" s="13"/>
      <c r="FBQ19" s="13"/>
      <c r="FBR19" s="13"/>
      <c r="FBS19" s="13"/>
      <c r="FBT19" s="13"/>
      <c r="FBU19" s="13"/>
      <c r="FBV19" s="13"/>
      <c r="FBW19" s="13"/>
      <c r="FBX19" s="13"/>
      <c r="FBY19" s="13"/>
      <c r="FBZ19" s="13"/>
      <c r="FCA19" s="13"/>
      <c r="FCB19" s="13"/>
      <c r="FCC19" s="13"/>
      <c r="FCD19" s="13"/>
      <c r="FCE19" s="13"/>
      <c r="FCF19" s="13"/>
      <c r="FCG19" s="13"/>
      <c r="FCH19" s="13"/>
      <c r="FCI19" s="13"/>
      <c r="FCJ19" s="13"/>
      <c r="FCK19" s="13"/>
      <c r="FCL19" s="13"/>
      <c r="FCM19" s="13"/>
      <c r="FCN19" s="13"/>
      <c r="FCO19" s="13"/>
      <c r="FCP19" s="13"/>
      <c r="FCQ19" s="13"/>
      <c r="FCR19" s="13"/>
      <c r="FCS19" s="13"/>
      <c r="FCT19" s="13"/>
      <c r="FCU19" s="13"/>
      <c r="FCV19" s="13"/>
      <c r="FCW19" s="13"/>
      <c r="FCX19" s="13"/>
      <c r="FCY19" s="13"/>
      <c r="FCZ19" s="13"/>
      <c r="FDA19" s="13"/>
      <c r="FDB19" s="13"/>
      <c r="FDC19" s="13"/>
      <c r="FDD19" s="13"/>
      <c r="FDE19" s="13"/>
      <c r="FDF19" s="13"/>
      <c r="FDG19" s="13"/>
      <c r="FDH19" s="13"/>
      <c r="FDI19" s="13"/>
      <c r="FDJ19" s="13"/>
      <c r="FDK19" s="13"/>
      <c r="FDL19" s="13"/>
      <c r="FDM19" s="13"/>
      <c r="FDN19" s="13"/>
      <c r="FDO19" s="13"/>
      <c r="FDP19" s="13"/>
      <c r="FDQ19" s="13"/>
      <c r="FDR19" s="13"/>
      <c r="FDS19" s="13"/>
      <c r="FDT19" s="13"/>
      <c r="FDU19" s="13"/>
      <c r="FDV19" s="13"/>
      <c r="FDW19" s="13"/>
      <c r="FDX19" s="13"/>
      <c r="FDY19" s="13"/>
      <c r="FDZ19" s="13"/>
      <c r="FEA19" s="13"/>
      <c r="FEB19" s="13"/>
      <c r="FEC19" s="13"/>
      <c r="FED19" s="13"/>
      <c r="FEE19" s="13"/>
      <c r="FEF19" s="13"/>
      <c r="FEG19" s="13"/>
      <c r="FEH19" s="13"/>
      <c r="FEI19" s="13"/>
      <c r="FEJ19" s="13"/>
      <c r="FEK19" s="13"/>
      <c r="FEL19" s="13"/>
      <c r="FEM19" s="13"/>
      <c r="FEN19" s="13"/>
      <c r="FEO19" s="13"/>
      <c r="FEP19" s="13"/>
      <c r="FEQ19" s="13"/>
      <c r="FER19" s="13"/>
      <c r="FES19" s="13"/>
      <c r="FET19" s="13"/>
      <c r="FEU19" s="13"/>
      <c r="FEV19" s="13"/>
      <c r="FEW19" s="13"/>
      <c r="FEX19" s="13"/>
      <c r="FEY19" s="13"/>
      <c r="FEZ19" s="13"/>
      <c r="FFA19" s="13"/>
      <c r="FFB19" s="13"/>
      <c r="FFC19" s="13"/>
      <c r="FFD19" s="13"/>
      <c r="FFE19" s="13"/>
      <c r="FFF19" s="13"/>
      <c r="FFG19" s="13"/>
      <c r="FFH19" s="13"/>
      <c r="FFI19" s="13"/>
      <c r="FFJ19" s="13"/>
      <c r="FFK19" s="13"/>
      <c r="FFL19" s="13"/>
      <c r="FFM19" s="13"/>
      <c r="FFN19" s="13"/>
      <c r="FFO19" s="13"/>
      <c r="FFP19" s="13"/>
      <c r="FFQ19" s="13"/>
      <c r="FFR19" s="13"/>
      <c r="FFS19" s="13"/>
      <c r="FFT19" s="13"/>
      <c r="FFU19" s="13"/>
      <c r="FFV19" s="13"/>
      <c r="FFW19" s="13"/>
      <c r="FFX19" s="13"/>
      <c r="FFY19" s="13"/>
      <c r="FFZ19" s="13"/>
      <c r="FGA19" s="13"/>
      <c r="FGB19" s="13"/>
      <c r="FGC19" s="13"/>
      <c r="FGD19" s="13"/>
      <c r="FGE19" s="13"/>
      <c r="FGF19" s="13"/>
      <c r="FGG19" s="13"/>
      <c r="FGH19" s="13"/>
      <c r="FGI19" s="13"/>
      <c r="FGJ19" s="13"/>
      <c r="FGK19" s="13"/>
      <c r="FGL19" s="13"/>
      <c r="FGM19" s="13"/>
      <c r="FGN19" s="13"/>
      <c r="FGO19" s="13"/>
      <c r="FGP19" s="13"/>
      <c r="FGQ19" s="13"/>
      <c r="FGR19" s="13"/>
      <c r="FGS19" s="13"/>
      <c r="FGT19" s="13"/>
      <c r="FGU19" s="13"/>
      <c r="FGV19" s="13"/>
      <c r="FGW19" s="13"/>
      <c r="FGX19" s="13"/>
      <c r="FGY19" s="13"/>
      <c r="FGZ19" s="13"/>
      <c r="FHA19" s="13"/>
      <c r="FHB19" s="13"/>
      <c r="FHC19" s="13"/>
      <c r="FHD19" s="13"/>
      <c r="FHE19" s="13"/>
      <c r="FHF19" s="13"/>
      <c r="FHG19" s="13"/>
      <c r="FHH19" s="13"/>
      <c r="FHI19" s="13"/>
      <c r="FHJ19" s="13"/>
      <c r="FHK19" s="13"/>
      <c r="FHL19" s="13"/>
      <c r="FHM19" s="13"/>
      <c r="FHN19" s="13"/>
      <c r="FHO19" s="13"/>
      <c r="FHP19" s="13"/>
      <c r="FHQ19" s="13"/>
      <c r="FHR19" s="13"/>
      <c r="FHS19" s="13"/>
      <c r="FHT19" s="13"/>
      <c r="FHU19" s="13"/>
      <c r="FHV19" s="13"/>
      <c r="FHW19" s="13"/>
      <c r="FHX19" s="13"/>
      <c r="FHY19" s="13"/>
      <c r="FHZ19" s="13"/>
      <c r="FIA19" s="13"/>
      <c r="FIB19" s="13"/>
      <c r="FIC19" s="13"/>
      <c r="FID19" s="13"/>
      <c r="FIE19" s="13"/>
      <c r="FIF19" s="13"/>
      <c r="FIG19" s="13"/>
      <c r="FIH19" s="13"/>
      <c r="FII19" s="13"/>
      <c r="FIJ19" s="13"/>
      <c r="FIK19" s="13"/>
      <c r="FIL19" s="13"/>
      <c r="FIM19" s="13"/>
      <c r="FIN19" s="13"/>
      <c r="FIO19" s="13"/>
      <c r="FIP19" s="13"/>
      <c r="FIQ19" s="13"/>
      <c r="FIR19" s="13"/>
      <c r="FIS19" s="13"/>
      <c r="FIT19" s="13"/>
      <c r="FIU19" s="13"/>
      <c r="FIV19" s="13"/>
      <c r="FIW19" s="13"/>
      <c r="FIX19" s="13"/>
      <c r="FIY19" s="13"/>
      <c r="FIZ19" s="13"/>
      <c r="FJA19" s="13"/>
      <c r="FJB19" s="13"/>
      <c r="FJC19" s="13"/>
      <c r="FJD19" s="13"/>
      <c r="FJE19" s="13"/>
      <c r="FJF19" s="13"/>
      <c r="FJG19" s="13"/>
      <c r="FJH19" s="13"/>
      <c r="FJI19" s="13"/>
      <c r="FJJ19" s="13"/>
      <c r="FJK19" s="13"/>
      <c r="FJL19" s="13"/>
      <c r="FJM19" s="13"/>
      <c r="FJN19" s="13"/>
      <c r="FJO19" s="13"/>
      <c r="FJP19" s="13"/>
      <c r="FJQ19" s="13"/>
      <c r="FJR19" s="13"/>
      <c r="FJS19" s="13"/>
      <c r="FJT19" s="13"/>
      <c r="FJU19" s="13"/>
      <c r="FJV19" s="13"/>
      <c r="FJW19" s="13"/>
      <c r="FJX19" s="13"/>
      <c r="FJY19" s="13"/>
      <c r="FJZ19" s="13"/>
      <c r="FKA19" s="13"/>
      <c r="FKB19" s="13"/>
      <c r="FKC19" s="13"/>
      <c r="FKD19" s="13"/>
      <c r="FKE19" s="13"/>
      <c r="FKF19" s="13"/>
      <c r="FKG19" s="13"/>
      <c r="FKH19" s="13"/>
      <c r="FKI19" s="13"/>
      <c r="FKJ19" s="13"/>
      <c r="FKK19" s="13"/>
      <c r="FKL19" s="13"/>
      <c r="FKM19" s="13"/>
      <c r="FKN19" s="13"/>
      <c r="FKO19" s="13"/>
      <c r="FKP19" s="13"/>
      <c r="FKQ19" s="13"/>
      <c r="FKR19" s="13"/>
      <c r="FKS19" s="13"/>
      <c r="FKT19" s="13"/>
      <c r="FKU19" s="13"/>
      <c r="FKV19" s="13"/>
      <c r="FKW19" s="13"/>
      <c r="FKX19" s="13"/>
      <c r="FKY19" s="13"/>
      <c r="FKZ19" s="13"/>
      <c r="FLA19" s="13"/>
      <c r="FLB19" s="13"/>
      <c r="FLC19" s="13"/>
      <c r="FLD19" s="13"/>
      <c r="FLE19" s="13"/>
      <c r="FLF19" s="13"/>
      <c r="FLG19" s="13"/>
      <c r="FLH19" s="13"/>
      <c r="FLI19" s="13"/>
      <c r="FLJ19" s="13"/>
      <c r="FLK19" s="13"/>
      <c r="FLL19" s="13"/>
      <c r="FLM19" s="13"/>
      <c r="FLN19" s="13"/>
      <c r="FLO19" s="13"/>
      <c r="FLP19" s="13"/>
      <c r="FLQ19" s="13"/>
      <c r="FLR19" s="13"/>
      <c r="FLS19" s="13"/>
      <c r="FLT19" s="13"/>
      <c r="FLU19" s="13"/>
      <c r="FLV19" s="13"/>
      <c r="FLW19" s="13"/>
      <c r="FLX19" s="13"/>
      <c r="FLY19" s="13"/>
      <c r="FLZ19" s="13"/>
      <c r="FMA19" s="13"/>
      <c r="FMB19" s="13"/>
      <c r="FMC19" s="13"/>
      <c r="FMD19" s="13"/>
      <c r="FME19" s="13"/>
      <c r="FMF19" s="13"/>
      <c r="FMG19" s="13"/>
      <c r="FMH19" s="13"/>
      <c r="FMI19" s="13"/>
      <c r="FMJ19" s="13"/>
      <c r="FMK19" s="13"/>
      <c r="FML19" s="13"/>
      <c r="FMM19" s="13"/>
      <c r="FMN19" s="13"/>
      <c r="FMO19" s="13"/>
      <c r="FMP19" s="13"/>
      <c r="FMQ19" s="13"/>
      <c r="FMR19" s="13"/>
      <c r="FMS19" s="13"/>
      <c r="FMT19" s="13"/>
      <c r="FMU19" s="13"/>
      <c r="FMV19" s="13"/>
      <c r="FMW19" s="13"/>
      <c r="FMX19" s="13"/>
      <c r="FMY19" s="13"/>
      <c r="FMZ19" s="13"/>
      <c r="FNA19" s="13"/>
      <c r="FNB19" s="13"/>
      <c r="FNC19" s="13"/>
      <c r="FND19" s="13"/>
      <c r="FNE19" s="13"/>
      <c r="FNF19" s="13"/>
      <c r="FNG19" s="13"/>
      <c r="FNH19" s="13"/>
      <c r="FNI19" s="13"/>
      <c r="FNJ19" s="13"/>
      <c r="FNK19" s="13"/>
      <c r="FNL19" s="13"/>
      <c r="FNM19" s="13"/>
      <c r="FNN19" s="13"/>
      <c r="FNO19" s="13"/>
      <c r="FNP19" s="13"/>
      <c r="FNQ19" s="13"/>
      <c r="FNR19" s="13"/>
      <c r="FNS19" s="13"/>
      <c r="FNT19" s="13"/>
      <c r="FNU19" s="13"/>
      <c r="FNV19" s="13"/>
      <c r="FNW19" s="13"/>
      <c r="FNX19" s="13"/>
      <c r="FNY19" s="13"/>
      <c r="FNZ19" s="13"/>
      <c r="FOA19" s="13"/>
      <c r="FOB19" s="13"/>
      <c r="FOC19" s="13"/>
      <c r="FOD19" s="13"/>
      <c r="FOE19" s="13"/>
      <c r="FOF19" s="13"/>
      <c r="FOG19" s="13"/>
      <c r="FOH19" s="13"/>
      <c r="FOI19" s="13"/>
      <c r="FOJ19" s="13"/>
      <c r="FOK19" s="13"/>
      <c r="FOL19" s="13"/>
      <c r="FOM19" s="13"/>
      <c r="FON19" s="13"/>
      <c r="FOO19" s="13"/>
      <c r="FOP19" s="13"/>
      <c r="FOQ19" s="13"/>
      <c r="FOR19" s="13"/>
      <c r="FOS19" s="13"/>
      <c r="FOT19" s="13"/>
      <c r="FOU19" s="13"/>
      <c r="FOV19" s="13"/>
      <c r="FOW19" s="13"/>
      <c r="FOX19" s="13"/>
      <c r="FOY19" s="13"/>
      <c r="FOZ19" s="13"/>
      <c r="FPA19" s="13"/>
      <c r="FPB19" s="13"/>
      <c r="FPC19" s="13"/>
      <c r="FPD19" s="13"/>
      <c r="FPE19" s="13"/>
      <c r="FPF19" s="13"/>
      <c r="FPG19" s="13"/>
      <c r="FPH19" s="13"/>
      <c r="FPI19" s="13"/>
      <c r="FPJ19" s="13"/>
      <c r="FPK19" s="13"/>
      <c r="FPL19" s="13"/>
      <c r="FPM19" s="13"/>
      <c r="FPN19" s="13"/>
      <c r="FPO19" s="13"/>
      <c r="FPP19" s="13"/>
      <c r="FPQ19" s="13"/>
      <c r="FPR19" s="13"/>
      <c r="FPS19" s="13"/>
      <c r="FPT19" s="13"/>
      <c r="FPU19" s="13"/>
      <c r="FPV19" s="13"/>
      <c r="FPW19" s="13"/>
      <c r="FPX19" s="13"/>
      <c r="FPY19" s="13"/>
      <c r="FPZ19" s="13"/>
      <c r="FQA19" s="13"/>
      <c r="FQB19" s="13"/>
      <c r="FQC19" s="13"/>
      <c r="FQD19" s="13"/>
      <c r="FQE19" s="13"/>
      <c r="FQF19" s="13"/>
      <c r="FQG19" s="13"/>
      <c r="FQH19" s="13"/>
      <c r="FQI19" s="13"/>
      <c r="FQJ19" s="13"/>
      <c r="FQK19" s="13"/>
      <c r="FQL19" s="13"/>
      <c r="FQM19" s="13"/>
      <c r="FQN19" s="13"/>
      <c r="FQO19" s="13"/>
      <c r="FQP19" s="13"/>
      <c r="FQQ19" s="13"/>
      <c r="FQR19" s="13"/>
      <c r="FQS19" s="13"/>
      <c r="FQT19" s="13"/>
      <c r="FQU19" s="13"/>
      <c r="FQV19" s="13"/>
      <c r="FQW19" s="13"/>
      <c r="FQX19" s="13"/>
      <c r="FQY19" s="13"/>
      <c r="FQZ19" s="13"/>
      <c r="FRA19" s="13"/>
      <c r="FRB19" s="13"/>
      <c r="FRC19" s="13"/>
      <c r="FRD19" s="13"/>
      <c r="FRE19" s="13"/>
      <c r="FRF19" s="13"/>
      <c r="FRG19" s="13"/>
      <c r="FRH19" s="13"/>
      <c r="FRI19" s="13"/>
      <c r="FRJ19" s="13"/>
      <c r="FRK19" s="13"/>
      <c r="FRL19" s="13"/>
      <c r="FRM19" s="13"/>
      <c r="FRN19" s="13"/>
      <c r="FRO19" s="13"/>
      <c r="FRP19" s="13"/>
      <c r="FRQ19" s="13"/>
      <c r="FRR19" s="13"/>
      <c r="FRS19" s="13"/>
      <c r="FRT19" s="13"/>
      <c r="FRU19" s="13"/>
      <c r="FRV19" s="13"/>
      <c r="FRW19" s="13"/>
      <c r="FRX19" s="13"/>
      <c r="FRY19" s="13"/>
      <c r="FRZ19" s="13"/>
      <c r="FSA19" s="13"/>
      <c r="FSB19" s="13"/>
      <c r="FSC19" s="13"/>
      <c r="FSD19" s="13"/>
      <c r="FSE19" s="13"/>
      <c r="FSF19" s="13"/>
      <c r="FSG19" s="13"/>
      <c r="FSH19" s="13"/>
      <c r="FSI19" s="13"/>
      <c r="FSJ19" s="13"/>
      <c r="FSK19" s="13"/>
      <c r="FSL19" s="13"/>
      <c r="FSM19" s="13"/>
      <c r="FSN19" s="13"/>
      <c r="FSO19" s="13"/>
      <c r="FSP19" s="13"/>
      <c r="FSQ19" s="13"/>
      <c r="FSR19" s="13"/>
      <c r="FSS19" s="13"/>
      <c r="FST19" s="13"/>
      <c r="FSU19" s="13"/>
      <c r="FSV19" s="13"/>
      <c r="FSW19" s="13"/>
      <c r="FSX19" s="13"/>
      <c r="FSY19" s="13"/>
      <c r="FSZ19" s="13"/>
      <c r="FTA19" s="13"/>
      <c r="FTB19" s="13"/>
      <c r="FTC19" s="13"/>
      <c r="FTD19" s="13"/>
      <c r="FTE19" s="13"/>
      <c r="FTF19" s="13"/>
      <c r="FTG19" s="13"/>
      <c r="FTH19" s="13"/>
      <c r="FTI19" s="13"/>
      <c r="FTJ19" s="13"/>
      <c r="FTK19" s="13"/>
      <c r="FTL19" s="13"/>
      <c r="FTM19" s="13"/>
      <c r="FTN19" s="13"/>
      <c r="FTO19" s="13"/>
      <c r="FTP19" s="13"/>
      <c r="FTQ19" s="13"/>
      <c r="FTR19" s="13"/>
      <c r="FTS19" s="13"/>
      <c r="FTT19" s="13"/>
      <c r="FTU19" s="13"/>
      <c r="FTV19" s="13"/>
      <c r="FTW19" s="13"/>
      <c r="FTX19" s="13"/>
      <c r="FTY19" s="13"/>
      <c r="FTZ19" s="13"/>
      <c r="FUA19" s="13"/>
      <c r="FUB19" s="13"/>
      <c r="FUC19" s="13"/>
      <c r="FUD19" s="13"/>
      <c r="FUE19" s="13"/>
      <c r="FUF19" s="13"/>
      <c r="FUG19" s="13"/>
      <c r="FUH19" s="13"/>
      <c r="FUI19" s="13"/>
      <c r="FUJ19" s="13"/>
      <c r="FUK19" s="13"/>
      <c r="FUL19" s="13"/>
      <c r="FUM19" s="13"/>
      <c r="FUN19" s="13"/>
      <c r="FUO19" s="13"/>
      <c r="FUP19" s="13"/>
      <c r="FUQ19" s="13"/>
      <c r="FUR19" s="13"/>
      <c r="FUS19" s="13"/>
      <c r="FUT19" s="13"/>
      <c r="FUU19" s="13"/>
      <c r="FUV19" s="13"/>
      <c r="FUW19" s="13"/>
      <c r="FUX19" s="13"/>
      <c r="FUY19" s="13"/>
      <c r="FUZ19" s="13"/>
      <c r="FVA19" s="13"/>
      <c r="FVB19" s="13"/>
      <c r="FVC19" s="13"/>
      <c r="FVD19" s="13"/>
      <c r="FVE19" s="13"/>
      <c r="FVF19" s="13"/>
      <c r="FVG19" s="13"/>
      <c r="FVH19" s="13"/>
      <c r="FVI19" s="13"/>
      <c r="FVJ19" s="13"/>
      <c r="FVK19" s="13"/>
      <c r="FVL19" s="13"/>
      <c r="FVM19" s="13"/>
      <c r="FVN19" s="13"/>
      <c r="FVO19" s="13"/>
      <c r="FVP19" s="13"/>
      <c r="FVQ19" s="13"/>
      <c r="FVR19" s="13"/>
      <c r="FVS19" s="13"/>
      <c r="FVT19" s="13"/>
      <c r="FVU19" s="13"/>
      <c r="FVV19" s="13"/>
      <c r="FVW19" s="13"/>
      <c r="FVX19" s="13"/>
      <c r="FVY19" s="13"/>
      <c r="FVZ19" s="13"/>
      <c r="FWA19" s="13"/>
      <c r="FWB19" s="13"/>
      <c r="FWC19" s="13"/>
      <c r="FWD19" s="13"/>
      <c r="FWE19" s="13"/>
      <c r="FWF19" s="13"/>
      <c r="FWG19" s="13"/>
      <c r="FWH19" s="13"/>
      <c r="FWI19" s="13"/>
      <c r="FWJ19" s="13"/>
      <c r="FWK19" s="13"/>
      <c r="FWL19" s="13"/>
      <c r="FWM19" s="13"/>
      <c r="FWN19" s="13"/>
      <c r="FWO19" s="13"/>
      <c r="FWP19" s="13"/>
      <c r="FWQ19" s="13"/>
      <c r="FWR19" s="13"/>
      <c r="FWS19" s="13"/>
      <c r="FWT19" s="13"/>
      <c r="FWU19" s="13"/>
      <c r="FWV19" s="13"/>
      <c r="FWW19" s="13"/>
      <c r="FWX19" s="13"/>
      <c r="FWY19" s="13"/>
      <c r="FWZ19" s="13"/>
      <c r="FXA19" s="13"/>
      <c r="FXB19" s="13"/>
      <c r="FXC19" s="13"/>
      <c r="FXD19" s="13"/>
      <c r="FXE19" s="13"/>
      <c r="FXF19" s="13"/>
      <c r="FXG19" s="13"/>
      <c r="FXH19" s="13"/>
      <c r="FXI19" s="13"/>
      <c r="FXJ19" s="13"/>
      <c r="FXK19" s="13"/>
      <c r="FXL19" s="13"/>
      <c r="FXM19" s="13"/>
      <c r="FXN19" s="13"/>
      <c r="FXO19" s="13"/>
      <c r="FXP19" s="13"/>
      <c r="FXQ19" s="13"/>
      <c r="FXR19" s="13"/>
      <c r="FXS19" s="13"/>
      <c r="FXT19" s="13"/>
      <c r="FXU19" s="13"/>
      <c r="FXV19" s="13"/>
      <c r="FXW19" s="13"/>
      <c r="FXX19" s="13"/>
      <c r="FXY19" s="13"/>
      <c r="FXZ19" s="13"/>
      <c r="FYA19" s="13"/>
      <c r="FYB19" s="13"/>
      <c r="FYC19" s="13"/>
      <c r="FYD19" s="13"/>
      <c r="FYE19" s="13"/>
      <c r="FYF19" s="13"/>
      <c r="FYG19" s="13"/>
      <c r="FYH19" s="13"/>
      <c r="FYI19" s="13"/>
      <c r="FYJ19" s="13"/>
      <c r="FYK19" s="13"/>
      <c r="FYL19" s="13"/>
      <c r="FYM19" s="13"/>
      <c r="FYN19" s="13"/>
      <c r="FYO19" s="13"/>
      <c r="FYP19" s="13"/>
      <c r="FYQ19" s="13"/>
      <c r="FYR19" s="13"/>
      <c r="FYS19" s="13"/>
      <c r="FYT19" s="13"/>
      <c r="FYU19" s="13"/>
      <c r="FYV19" s="13"/>
      <c r="FYW19" s="13"/>
      <c r="FYX19" s="13"/>
      <c r="FYY19" s="13"/>
      <c r="FYZ19" s="13"/>
      <c r="FZA19" s="13"/>
      <c r="FZB19" s="13"/>
      <c r="FZC19" s="13"/>
      <c r="FZD19" s="13"/>
      <c r="FZE19" s="13"/>
      <c r="FZF19" s="13"/>
      <c r="FZG19" s="13"/>
      <c r="FZH19" s="13"/>
      <c r="FZI19" s="13"/>
      <c r="FZJ19" s="13"/>
      <c r="FZK19" s="13"/>
      <c r="FZL19" s="13"/>
      <c r="FZM19" s="13"/>
      <c r="FZN19" s="13"/>
      <c r="FZO19" s="13"/>
      <c r="FZP19" s="13"/>
      <c r="FZQ19" s="13"/>
      <c r="FZR19" s="13"/>
      <c r="FZS19" s="13"/>
      <c r="FZT19" s="13"/>
      <c r="FZU19" s="13"/>
      <c r="FZV19" s="13"/>
      <c r="FZW19" s="13"/>
      <c r="FZX19" s="13"/>
      <c r="FZY19" s="13"/>
      <c r="FZZ19" s="13"/>
      <c r="GAA19" s="13"/>
      <c r="GAB19" s="13"/>
      <c r="GAC19" s="13"/>
      <c r="GAD19" s="13"/>
      <c r="GAE19" s="13"/>
      <c r="GAF19" s="13"/>
      <c r="GAG19" s="13"/>
      <c r="GAH19" s="13"/>
      <c r="GAI19" s="13"/>
      <c r="GAJ19" s="13"/>
      <c r="GAK19" s="13"/>
      <c r="GAL19" s="13"/>
      <c r="GAM19" s="13"/>
      <c r="GAN19" s="13"/>
      <c r="GAO19" s="13"/>
      <c r="GAP19" s="13"/>
      <c r="GAQ19" s="13"/>
      <c r="GAR19" s="13"/>
      <c r="GAS19" s="13"/>
      <c r="GAT19" s="13"/>
      <c r="GAU19" s="13"/>
      <c r="GAV19" s="13"/>
      <c r="GAW19" s="13"/>
      <c r="GAX19" s="13"/>
      <c r="GAY19" s="13"/>
      <c r="GAZ19" s="13"/>
      <c r="GBA19" s="13"/>
      <c r="GBB19" s="13"/>
      <c r="GBC19" s="13"/>
      <c r="GBD19" s="13"/>
      <c r="GBE19" s="13"/>
      <c r="GBF19" s="13"/>
      <c r="GBG19" s="13"/>
      <c r="GBH19" s="13"/>
      <c r="GBI19" s="13"/>
      <c r="GBJ19" s="13"/>
      <c r="GBK19" s="13"/>
      <c r="GBL19" s="13"/>
      <c r="GBM19" s="13"/>
      <c r="GBN19" s="13"/>
      <c r="GBO19" s="13"/>
      <c r="GBP19" s="13"/>
      <c r="GBQ19" s="13"/>
      <c r="GBR19" s="13"/>
      <c r="GBS19" s="13"/>
      <c r="GBT19" s="13"/>
      <c r="GBU19" s="13"/>
      <c r="GBV19" s="13"/>
      <c r="GBW19" s="13"/>
      <c r="GBX19" s="13"/>
      <c r="GBY19" s="13"/>
      <c r="GBZ19" s="13"/>
      <c r="GCA19" s="13"/>
      <c r="GCB19" s="13"/>
      <c r="GCC19" s="13"/>
      <c r="GCD19" s="13"/>
      <c r="GCE19" s="13"/>
      <c r="GCF19" s="13"/>
      <c r="GCG19" s="13"/>
      <c r="GCH19" s="13"/>
      <c r="GCI19" s="13"/>
      <c r="GCJ19" s="13"/>
      <c r="GCK19" s="13"/>
      <c r="GCL19" s="13"/>
      <c r="GCM19" s="13"/>
      <c r="GCN19" s="13"/>
      <c r="GCO19" s="13"/>
      <c r="GCP19" s="13"/>
      <c r="GCQ19" s="13"/>
      <c r="GCR19" s="13"/>
      <c r="GCS19" s="13"/>
      <c r="GCT19" s="13"/>
      <c r="GCU19" s="13"/>
      <c r="GCV19" s="13"/>
      <c r="GCW19" s="13"/>
      <c r="GCX19" s="13"/>
      <c r="GCY19" s="13"/>
      <c r="GCZ19" s="13"/>
      <c r="GDA19" s="13"/>
      <c r="GDB19" s="13"/>
      <c r="GDC19" s="13"/>
      <c r="GDD19" s="13"/>
      <c r="GDE19" s="13"/>
      <c r="GDF19" s="13"/>
      <c r="GDG19" s="13"/>
      <c r="GDH19" s="13"/>
      <c r="GDI19" s="13"/>
      <c r="GDJ19" s="13"/>
      <c r="GDK19" s="13"/>
      <c r="GDL19" s="13"/>
      <c r="GDM19" s="13"/>
      <c r="GDN19" s="13"/>
      <c r="GDO19" s="13"/>
      <c r="GDP19" s="13"/>
      <c r="GDQ19" s="13"/>
      <c r="GDR19" s="13"/>
      <c r="GDS19" s="13"/>
      <c r="GDT19" s="13"/>
      <c r="GDU19" s="13"/>
      <c r="GDV19" s="13"/>
      <c r="GDW19" s="13"/>
      <c r="GDX19" s="13"/>
      <c r="GDY19" s="13"/>
      <c r="GDZ19" s="13"/>
      <c r="GEA19" s="13"/>
      <c r="GEB19" s="13"/>
      <c r="GEC19" s="13"/>
      <c r="GED19" s="13"/>
      <c r="GEE19" s="13"/>
      <c r="GEF19" s="13"/>
      <c r="GEG19" s="13"/>
      <c r="GEH19" s="13"/>
      <c r="GEI19" s="13"/>
      <c r="GEJ19" s="13"/>
      <c r="GEK19" s="13"/>
      <c r="GEL19" s="13"/>
      <c r="GEM19" s="13"/>
      <c r="GEN19" s="13"/>
      <c r="GEO19" s="13"/>
      <c r="GEP19" s="13"/>
      <c r="GEQ19" s="13"/>
      <c r="GER19" s="13"/>
      <c r="GES19" s="13"/>
      <c r="GET19" s="13"/>
      <c r="GEU19" s="13"/>
      <c r="GEV19" s="13"/>
      <c r="GEW19" s="13"/>
      <c r="GEX19" s="13"/>
      <c r="GEY19" s="13"/>
      <c r="GEZ19" s="13"/>
      <c r="GFA19" s="13"/>
      <c r="GFB19" s="13"/>
      <c r="GFC19" s="13"/>
      <c r="GFD19" s="13"/>
      <c r="GFE19" s="13"/>
      <c r="GFF19" s="13"/>
      <c r="GFG19" s="13"/>
      <c r="GFH19" s="13"/>
      <c r="GFI19" s="13"/>
      <c r="GFJ19" s="13"/>
      <c r="GFK19" s="13"/>
      <c r="GFL19" s="13"/>
      <c r="GFM19" s="13"/>
      <c r="GFN19" s="13"/>
      <c r="GFO19" s="13"/>
      <c r="GFP19" s="13"/>
      <c r="GFQ19" s="13"/>
      <c r="GFR19" s="13"/>
      <c r="GFS19" s="13"/>
      <c r="GFT19" s="13"/>
      <c r="GFU19" s="13"/>
      <c r="GFV19" s="13"/>
      <c r="GFW19" s="13"/>
      <c r="GFX19" s="13"/>
      <c r="GFY19" s="13"/>
      <c r="GFZ19" s="13"/>
      <c r="GGA19" s="13"/>
      <c r="GGB19" s="13"/>
      <c r="GGC19" s="13"/>
      <c r="GGD19" s="13"/>
      <c r="GGE19" s="13"/>
      <c r="GGF19" s="13"/>
      <c r="GGG19" s="13"/>
      <c r="GGH19" s="13"/>
      <c r="GGI19" s="13"/>
      <c r="GGJ19" s="13"/>
      <c r="GGK19" s="13"/>
      <c r="GGL19" s="13"/>
      <c r="GGM19" s="13"/>
      <c r="GGN19" s="13"/>
      <c r="GGO19" s="13"/>
      <c r="GGP19" s="13"/>
      <c r="GGQ19" s="13"/>
      <c r="GGR19" s="13"/>
      <c r="GGS19" s="13"/>
      <c r="GGT19" s="13"/>
      <c r="GGU19" s="13"/>
      <c r="GGV19" s="13"/>
      <c r="GGW19" s="13"/>
      <c r="GGX19" s="13"/>
      <c r="GGY19" s="13"/>
      <c r="GGZ19" s="13"/>
      <c r="GHA19" s="13"/>
      <c r="GHB19" s="13"/>
      <c r="GHC19" s="13"/>
      <c r="GHD19" s="13"/>
      <c r="GHE19" s="13"/>
      <c r="GHF19" s="13"/>
      <c r="GHG19" s="13"/>
      <c r="GHH19" s="13"/>
      <c r="GHI19" s="13"/>
      <c r="GHJ19" s="13"/>
      <c r="GHK19" s="13"/>
      <c r="GHL19" s="13"/>
      <c r="GHM19" s="13"/>
      <c r="GHN19" s="13"/>
      <c r="GHO19" s="13"/>
      <c r="GHP19" s="13"/>
      <c r="GHQ19" s="13"/>
      <c r="GHR19" s="13"/>
      <c r="GHS19" s="13"/>
      <c r="GHT19" s="13"/>
      <c r="GHU19" s="13"/>
      <c r="GHV19" s="13"/>
      <c r="GHW19" s="13"/>
      <c r="GHX19" s="13"/>
      <c r="GHY19" s="13"/>
      <c r="GHZ19" s="13"/>
      <c r="GIA19" s="13"/>
      <c r="GIB19" s="13"/>
      <c r="GIC19" s="13"/>
      <c r="GID19" s="13"/>
      <c r="GIE19" s="13"/>
      <c r="GIF19" s="13"/>
      <c r="GIG19" s="13"/>
      <c r="GIH19" s="13"/>
      <c r="GII19" s="13"/>
      <c r="GIJ19" s="13"/>
      <c r="GIK19" s="13"/>
      <c r="GIL19" s="13"/>
      <c r="GIM19" s="13"/>
      <c r="GIN19" s="13"/>
      <c r="GIO19" s="13"/>
      <c r="GIP19" s="13"/>
      <c r="GIQ19" s="13"/>
      <c r="GIR19" s="13"/>
      <c r="GIS19" s="13"/>
      <c r="GIT19" s="13"/>
      <c r="GIU19" s="13"/>
      <c r="GIV19" s="13"/>
      <c r="GIW19" s="13"/>
      <c r="GIX19" s="13"/>
      <c r="GIY19" s="13"/>
      <c r="GIZ19" s="13"/>
      <c r="GJA19" s="13"/>
      <c r="GJB19" s="13"/>
      <c r="GJC19" s="13"/>
      <c r="GJD19" s="13"/>
      <c r="GJE19" s="13"/>
      <c r="GJF19" s="13"/>
      <c r="GJG19" s="13"/>
      <c r="GJH19" s="13"/>
      <c r="GJI19" s="13"/>
      <c r="GJJ19" s="13"/>
      <c r="GJK19" s="13"/>
      <c r="GJL19" s="13"/>
      <c r="GJM19" s="13"/>
      <c r="GJN19" s="13"/>
      <c r="GJO19" s="13"/>
      <c r="GJP19" s="13"/>
      <c r="GJQ19" s="13"/>
      <c r="GJR19" s="13"/>
      <c r="GJS19" s="13"/>
      <c r="GJT19" s="13"/>
      <c r="GJU19" s="13"/>
      <c r="GJV19" s="13"/>
      <c r="GJW19" s="13"/>
      <c r="GJX19" s="13"/>
      <c r="GJY19" s="13"/>
      <c r="GJZ19" s="13"/>
      <c r="GKA19" s="13"/>
      <c r="GKB19" s="13"/>
      <c r="GKC19" s="13"/>
      <c r="GKD19" s="13"/>
      <c r="GKE19" s="13"/>
      <c r="GKF19" s="13"/>
      <c r="GKG19" s="13"/>
      <c r="GKH19" s="13"/>
      <c r="GKI19" s="13"/>
      <c r="GKJ19" s="13"/>
      <c r="GKK19" s="13"/>
      <c r="GKL19" s="13"/>
      <c r="GKM19" s="13"/>
      <c r="GKN19" s="13"/>
      <c r="GKO19" s="13"/>
      <c r="GKP19" s="13"/>
      <c r="GKQ19" s="13"/>
      <c r="GKR19" s="13"/>
      <c r="GKS19" s="13"/>
      <c r="GKT19" s="13"/>
      <c r="GKU19" s="13"/>
      <c r="GKV19" s="13"/>
      <c r="GKW19" s="13"/>
      <c r="GKX19" s="13"/>
      <c r="GKY19" s="13"/>
      <c r="GKZ19" s="13"/>
      <c r="GLA19" s="13"/>
      <c r="GLB19" s="13"/>
      <c r="GLC19" s="13"/>
      <c r="GLD19" s="13"/>
      <c r="GLE19" s="13"/>
      <c r="GLF19" s="13"/>
      <c r="GLG19" s="13"/>
      <c r="GLH19" s="13"/>
      <c r="GLI19" s="13"/>
      <c r="GLJ19" s="13"/>
      <c r="GLK19" s="13"/>
      <c r="GLL19" s="13"/>
      <c r="GLM19" s="13"/>
      <c r="GLN19" s="13"/>
      <c r="GLO19" s="13"/>
      <c r="GLP19" s="13"/>
      <c r="GLQ19" s="13"/>
      <c r="GLR19" s="13"/>
      <c r="GLS19" s="13"/>
      <c r="GLT19" s="13"/>
      <c r="GLU19" s="13"/>
      <c r="GLV19" s="13"/>
      <c r="GLW19" s="13"/>
      <c r="GLX19" s="13"/>
      <c r="GLY19" s="13"/>
      <c r="GLZ19" s="13"/>
      <c r="GMA19" s="13"/>
      <c r="GMB19" s="13"/>
      <c r="GMC19" s="13"/>
      <c r="GMD19" s="13"/>
      <c r="GME19" s="13"/>
      <c r="GMF19" s="13"/>
      <c r="GMG19" s="13"/>
      <c r="GMH19" s="13"/>
      <c r="GMI19" s="13"/>
      <c r="GMJ19" s="13"/>
      <c r="GMK19" s="13"/>
      <c r="GML19" s="13"/>
      <c r="GMM19" s="13"/>
      <c r="GMN19" s="13"/>
      <c r="GMO19" s="13"/>
      <c r="GMP19" s="13"/>
      <c r="GMQ19" s="13"/>
      <c r="GMR19" s="13"/>
      <c r="GMS19" s="13"/>
      <c r="GMT19" s="13"/>
      <c r="GMU19" s="13"/>
      <c r="GMV19" s="13"/>
      <c r="GMW19" s="13"/>
      <c r="GMX19" s="13"/>
      <c r="GMY19" s="13"/>
      <c r="GMZ19" s="13"/>
      <c r="GNA19" s="13"/>
      <c r="GNB19" s="13"/>
      <c r="GNC19" s="13"/>
      <c r="GND19" s="13"/>
      <c r="GNE19" s="13"/>
      <c r="GNF19" s="13"/>
      <c r="GNG19" s="13"/>
      <c r="GNH19" s="13"/>
      <c r="GNI19" s="13"/>
      <c r="GNJ19" s="13"/>
      <c r="GNK19" s="13"/>
      <c r="GNL19" s="13"/>
      <c r="GNM19" s="13"/>
      <c r="GNN19" s="13"/>
      <c r="GNO19" s="13"/>
      <c r="GNP19" s="13"/>
      <c r="GNQ19" s="13"/>
      <c r="GNR19" s="13"/>
      <c r="GNS19" s="13"/>
      <c r="GNT19" s="13"/>
      <c r="GNU19" s="13"/>
      <c r="GNV19" s="13"/>
      <c r="GNW19" s="13"/>
      <c r="GNX19" s="13"/>
      <c r="GNY19" s="13"/>
      <c r="GNZ19" s="13"/>
      <c r="GOA19" s="13"/>
      <c r="GOB19" s="13"/>
      <c r="GOC19" s="13"/>
      <c r="GOD19" s="13"/>
      <c r="GOE19" s="13"/>
      <c r="GOF19" s="13"/>
      <c r="GOG19" s="13"/>
      <c r="GOH19" s="13"/>
      <c r="GOI19" s="13"/>
      <c r="GOJ19" s="13"/>
      <c r="GOK19" s="13"/>
      <c r="GOL19" s="13"/>
      <c r="GOM19" s="13"/>
      <c r="GON19" s="13"/>
      <c r="GOO19" s="13"/>
      <c r="GOP19" s="13"/>
      <c r="GOQ19" s="13"/>
      <c r="GOR19" s="13"/>
      <c r="GOS19" s="13"/>
      <c r="GOT19" s="13"/>
      <c r="GOU19" s="13"/>
      <c r="GOV19" s="13"/>
      <c r="GOW19" s="13"/>
      <c r="GOX19" s="13"/>
      <c r="GOY19" s="13"/>
      <c r="GOZ19" s="13"/>
      <c r="GPA19" s="13"/>
      <c r="GPB19" s="13"/>
      <c r="GPC19" s="13"/>
      <c r="GPD19" s="13"/>
      <c r="GPE19" s="13"/>
      <c r="GPF19" s="13"/>
      <c r="GPG19" s="13"/>
      <c r="GPH19" s="13"/>
      <c r="GPI19" s="13"/>
      <c r="GPJ19" s="13"/>
      <c r="GPK19" s="13"/>
      <c r="GPL19" s="13"/>
      <c r="GPM19" s="13"/>
      <c r="GPN19" s="13"/>
      <c r="GPO19" s="13"/>
      <c r="GPP19" s="13"/>
      <c r="GPQ19" s="13"/>
      <c r="GPR19" s="13"/>
      <c r="GPS19" s="13"/>
      <c r="GPT19" s="13"/>
      <c r="GPU19" s="13"/>
      <c r="GPV19" s="13"/>
      <c r="GPW19" s="13"/>
      <c r="GPX19" s="13"/>
      <c r="GPY19" s="13"/>
      <c r="GPZ19" s="13"/>
      <c r="GQA19" s="13"/>
      <c r="GQB19" s="13"/>
      <c r="GQC19" s="13"/>
      <c r="GQD19" s="13"/>
      <c r="GQE19" s="13"/>
      <c r="GQF19" s="13"/>
      <c r="GQG19" s="13"/>
      <c r="GQH19" s="13"/>
      <c r="GQI19" s="13"/>
      <c r="GQJ19" s="13"/>
      <c r="GQK19" s="13"/>
      <c r="GQL19" s="13"/>
      <c r="GQM19" s="13"/>
      <c r="GQN19" s="13"/>
      <c r="GQO19" s="13"/>
      <c r="GQP19" s="13"/>
      <c r="GQQ19" s="13"/>
      <c r="GQR19" s="13"/>
      <c r="GQS19" s="13"/>
      <c r="GQT19" s="13"/>
      <c r="GQU19" s="13"/>
      <c r="GQV19" s="13"/>
      <c r="GQW19" s="13"/>
      <c r="GQX19" s="13"/>
      <c r="GQY19" s="13"/>
      <c r="GQZ19" s="13"/>
      <c r="GRA19" s="13"/>
      <c r="GRB19" s="13"/>
      <c r="GRC19" s="13"/>
      <c r="GRD19" s="13"/>
      <c r="GRE19" s="13"/>
      <c r="GRF19" s="13"/>
      <c r="GRG19" s="13"/>
      <c r="GRH19" s="13"/>
      <c r="GRI19" s="13"/>
      <c r="GRJ19" s="13"/>
      <c r="GRK19" s="13"/>
      <c r="GRL19" s="13"/>
      <c r="GRM19" s="13"/>
      <c r="GRN19" s="13"/>
      <c r="GRO19" s="13"/>
      <c r="GRP19" s="13"/>
      <c r="GRQ19" s="13"/>
      <c r="GRR19" s="13"/>
      <c r="GRS19" s="13"/>
      <c r="GRT19" s="13"/>
      <c r="GRU19" s="13"/>
      <c r="GRV19" s="13"/>
      <c r="GRW19" s="13"/>
      <c r="GRX19" s="13"/>
      <c r="GRY19" s="13"/>
      <c r="GRZ19" s="13"/>
      <c r="GSA19" s="13"/>
      <c r="GSB19" s="13"/>
      <c r="GSC19" s="13"/>
      <c r="GSD19" s="13"/>
      <c r="GSE19" s="13"/>
      <c r="GSF19" s="13"/>
      <c r="GSG19" s="13"/>
      <c r="GSH19" s="13"/>
      <c r="GSI19" s="13"/>
      <c r="GSJ19" s="13"/>
      <c r="GSK19" s="13"/>
      <c r="GSL19" s="13"/>
      <c r="GSM19" s="13"/>
      <c r="GSN19" s="13"/>
      <c r="GSO19" s="13"/>
      <c r="GSP19" s="13"/>
      <c r="GSQ19" s="13"/>
      <c r="GSR19" s="13"/>
      <c r="GSS19" s="13"/>
      <c r="GST19" s="13"/>
      <c r="GSU19" s="13"/>
      <c r="GSV19" s="13"/>
      <c r="GSW19" s="13"/>
      <c r="GSX19" s="13"/>
      <c r="GSY19" s="13"/>
      <c r="GSZ19" s="13"/>
      <c r="GTA19" s="13"/>
      <c r="GTB19" s="13"/>
      <c r="GTC19" s="13"/>
      <c r="GTD19" s="13"/>
      <c r="GTE19" s="13"/>
      <c r="GTF19" s="13"/>
      <c r="GTG19" s="13"/>
      <c r="GTH19" s="13"/>
      <c r="GTI19" s="13"/>
      <c r="GTJ19" s="13"/>
      <c r="GTK19" s="13"/>
      <c r="GTL19" s="13"/>
      <c r="GTM19" s="13"/>
      <c r="GTN19" s="13"/>
      <c r="GTO19" s="13"/>
      <c r="GTP19" s="13"/>
      <c r="GTQ19" s="13"/>
      <c r="GTR19" s="13"/>
      <c r="GTS19" s="13"/>
      <c r="GTT19" s="13"/>
      <c r="GTU19" s="13"/>
      <c r="GTV19" s="13"/>
      <c r="GTW19" s="13"/>
      <c r="GTX19" s="13"/>
      <c r="GTY19" s="13"/>
      <c r="GTZ19" s="13"/>
      <c r="GUA19" s="13"/>
      <c r="GUB19" s="13"/>
      <c r="GUC19" s="13"/>
      <c r="GUD19" s="13"/>
      <c r="GUE19" s="13"/>
      <c r="GUF19" s="13"/>
      <c r="GUG19" s="13"/>
      <c r="GUH19" s="13"/>
      <c r="GUI19" s="13"/>
      <c r="GUJ19" s="13"/>
      <c r="GUK19" s="13"/>
      <c r="GUL19" s="13"/>
      <c r="GUM19" s="13"/>
      <c r="GUN19" s="13"/>
      <c r="GUO19" s="13"/>
      <c r="GUP19" s="13"/>
      <c r="GUQ19" s="13"/>
      <c r="GUR19" s="13"/>
      <c r="GUS19" s="13"/>
      <c r="GUT19" s="13"/>
      <c r="GUU19" s="13"/>
      <c r="GUV19" s="13"/>
      <c r="GUW19" s="13"/>
      <c r="GUX19" s="13"/>
      <c r="GUY19" s="13"/>
      <c r="GUZ19" s="13"/>
      <c r="GVA19" s="13"/>
      <c r="GVB19" s="13"/>
      <c r="GVC19" s="13"/>
      <c r="GVD19" s="13"/>
      <c r="GVE19" s="13"/>
      <c r="GVF19" s="13"/>
      <c r="GVG19" s="13"/>
      <c r="GVH19" s="13"/>
      <c r="GVI19" s="13"/>
      <c r="GVJ19" s="13"/>
      <c r="GVK19" s="13"/>
      <c r="GVL19" s="13"/>
      <c r="GVM19" s="13"/>
      <c r="GVN19" s="13"/>
      <c r="GVO19" s="13"/>
      <c r="GVP19" s="13"/>
      <c r="GVQ19" s="13"/>
      <c r="GVR19" s="13"/>
      <c r="GVS19" s="13"/>
      <c r="GVT19" s="13"/>
      <c r="GVU19" s="13"/>
      <c r="GVV19" s="13"/>
      <c r="GVW19" s="13"/>
      <c r="GVX19" s="13"/>
      <c r="GVY19" s="13"/>
      <c r="GVZ19" s="13"/>
      <c r="GWA19" s="13"/>
      <c r="GWB19" s="13"/>
      <c r="GWC19" s="13"/>
      <c r="GWD19" s="13"/>
      <c r="GWE19" s="13"/>
      <c r="GWF19" s="13"/>
      <c r="GWG19" s="13"/>
      <c r="GWH19" s="13"/>
      <c r="GWI19" s="13"/>
      <c r="GWJ19" s="13"/>
      <c r="GWK19" s="13"/>
      <c r="GWL19" s="13"/>
      <c r="GWM19" s="13"/>
      <c r="GWN19" s="13"/>
      <c r="GWO19" s="13"/>
      <c r="GWP19" s="13"/>
      <c r="GWQ19" s="13"/>
      <c r="GWR19" s="13"/>
      <c r="GWS19" s="13"/>
      <c r="GWT19" s="13"/>
      <c r="GWU19" s="13"/>
      <c r="GWV19" s="13"/>
      <c r="GWW19" s="13"/>
      <c r="GWX19" s="13"/>
      <c r="GWY19" s="13"/>
      <c r="GWZ19" s="13"/>
      <c r="GXA19" s="13"/>
      <c r="GXB19" s="13"/>
      <c r="GXC19" s="13"/>
      <c r="GXD19" s="13"/>
      <c r="GXE19" s="13"/>
      <c r="GXF19" s="13"/>
      <c r="GXG19" s="13"/>
      <c r="GXH19" s="13"/>
      <c r="GXI19" s="13"/>
      <c r="GXJ19" s="13"/>
      <c r="GXK19" s="13"/>
      <c r="GXL19" s="13"/>
      <c r="GXM19" s="13"/>
      <c r="GXN19" s="13"/>
      <c r="GXO19" s="13"/>
      <c r="GXP19" s="13"/>
      <c r="GXQ19" s="13"/>
      <c r="GXR19" s="13"/>
      <c r="GXS19" s="13"/>
      <c r="GXT19" s="13"/>
      <c r="GXU19" s="13"/>
      <c r="GXV19" s="13"/>
      <c r="GXW19" s="13"/>
      <c r="GXX19" s="13"/>
      <c r="GXY19" s="13"/>
      <c r="GXZ19" s="13"/>
      <c r="GYA19" s="13"/>
      <c r="GYB19" s="13"/>
      <c r="GYC19" s="13"/>
      <c r="GYD19" s="13"/>
      <c r="GYE19" s="13"/>
      <c r="GYF19" s="13"/>
      <c r="GYG19" s="13"/>
      <c r="GYH19" s="13"/>
      <c r="GYI19" s="13"/>
      <c r="GYJ19" s="13"/>
      <c r="GYK19" s="13"/>
      <c r="GYL19" s="13"/>
      <c r="GYM19" s="13"/>
      <c r="GYN19" s="13"/>
      <c r="GYO19" s="13"/>
      <c r="GYP19" s="13"/>
      <c r="GYQ19" s="13"/>
      <c r="GYR19" s="13"/>
      <c r="GYS19" s="13"/>
      <c r="GYT19" s="13"/>
      <c r="GYU19" s="13"/>
      <c r="GYV19" s="13"/>
      <c r="GYW19" s="13"/>
      <c r="GYX19" s="13"/>
      <c r="GYY19" s="13"/>
      <c r="GYZ19" s="13"/>
      <c r="GZA19" s="13"/>
      <c r="GZB19" s="13"/>
      <c r="GZC19" s="13"/>
      <c r="GZD19" s="13"/>
      <c r="GZE19" s="13"/>
      <c r="GZF19" s="13"/>
      <c r="GZG19" s="13"/>
      <c r="GZH19" s="13"/>
      <c r="GZI19" s="13"/>
      <c r="GZJ19" s="13"/>
      <c r="GZK19" s="13"/>
      <c r="GZL19" s="13"/>
      <c r="GZM19" s="13"/>
      <c r="GZN19" s="13"/>
      <c r="GZO19" s="13"/>
      <c r="GZP19" s="13"/>
      <c r="GZQ19" s="13"/>
      <c r="GZR19" s="13"/>
      <c r="GZS19" s="13"/>
      <c r="GZT19" s="13"/>
      <c r="GZU19" s="13"/>
      <c r="GZV19" s="13"/>
      <c r="GZW19" s="13"/>
      <c r="GZX19" s="13"/>
      <c r="GZY19" s="13"/>
      <c r="GZZ19" s="13"/>
      <c r="HAA19" s="13"/>
      <c r="HAB19" s="13"/>
      <c r="HAC19" s="13"/>
      <c r="HAD19" s="13"/>
      <c r="HAE19" s="13"/>
      <c r="HAF19" s="13"/>
      <c r="HAG19" s="13"/>
      <c r="HAH19" s="13"/>
      <c r="HAI19" s="13"/>
      <c r="HAJ19" s="13"/>
      <c r="HAK19" s="13"/>
      <c r="HAL19" s="13"/>
      <c r="HAM19" s="13"/>
      <c r="HAN19" s="13"/>
      <c r="HAO19" s="13"/>
      <c r="HAP19" s="13"/>
      <c r="HAQ19" s="13"/>
      <c r="HAR19" s="13"/>
      <c r="HAS19" s="13"/>
      <c r="HAT19" s="13"/>
      <c r="HAU19" s="13"/>
      <c r="HAV19" s="13"/>
      <c r="HAW19" s="13"/>
      <c r="HAX19" s="13"/>
      <c r="HAY19" s="13"/>
      <c r="HAZ19" s="13"/>
      <c r="HBA19" s="13"/>
      <c r="HBB19" s="13"/>
      <c r="HBC19" s="13"/>
      <c r="HBD19" s="13"/>
      <c r="HBE19" s="13"/>
      <c r="HBF19" s="13"/>
      <c r="HBG19" s="13"/>
      <c r="HBH19" s="13"/>
      <c r="HBI19" s="13"/>
      <c r="HBJ19" s="13"/>
      <c r="HBK19" s="13"/>
      <c r="HBL19" s="13"/>
      <c r="HBM19" s="13"/>
      <c r="HBN19" s="13"/>
      <c r="HBO19" s="13"/>
      <c r="HBP19" s="13"/>
      <c r="HBQ19" s="13"/>
      <c r="HBR19" s="13"/>
      <c r="HBS19" s="13"/>
      <c r="HBT19" s="13"/>
      <c r="HBU19" s="13"/>
      <c r="HBV19" s="13"/>
      <c r="HBW19" s="13"/>
      <c r="HBX19" s="13"/>
      <c r="HBY19" s="13"/>
      <c r="HBZ19" s="13"/>
      <c r="HCA19" s="13"/>
      <c r="HCB19" s="13"/>
      <c r="HCC19" s="13"/>
      <c r="HCD19" s="13"/>
      <c r="HCE19" s="13"/>
      <c r="HCF19" s="13"/>
      <c r="HCG19" s="13"/>
      <c r="HCH19" s="13"/>
      <c r="HCI19" s="13"/>
      <c r="HCJ19" s="13"/>
      <c r="HCK19" s="13"/>
      <c r="HCL19" s="13"/>
      <c r="HCM19" s="13"/>
      <c r="HCN19" s="13"/>
      <c r="HCO19" s="13"/>
      <c r="HCP19" s="13"/>
      <c r="HCQ19" s="13"/>
      <c r="HCR19" s="13"/>
      <c r="HCS19" s="13"/>
      <c r="HCT19" s="13"/>
      <c r="HCU19" s="13"/>
      <c r="HCV19" s="13"/>
      <c r="HCW19" s="13"/>
      <c r="HCX19" s="13"/>
      <c r="HCY19" s="13"/>
      <c r="HCZ19" s="13"/>
      <c r="HDA19" s="13"/>
      <c r="HDB19" s="13"/>
      <c r="HDC19" s="13"/>
      <c r="HDD19" s="13"/>
      <c r="HDE19" s="13"/>
      <c r="HDF19" s="13"/>
      <c r="HDG19" s="13"/>
      <c r="HDH19" s="13"/>
      <c r="HDI19" s="13"/>
      <c r="HDJ19" s="13"/>
      <c r="HDK19" s="13"/>
      <c r="HDL19" s="13"/>
      <c r="HDM19" s="13"/>
      <c r="HDN19" s="13"/>
      <c r="HDO19" s="13"/>
      <c r="HDP19" s="13"/>
      <c r="HDQ19" s="13"/>
      <c r="HDR19" s="13"/>
      <c r="HDS19" s="13"/>
      <c r="HDT19" s="13"/>
      <c r="HDU19" s="13"/>
      <c r="HDV19" s="13"/>
      <c r="HDW19" s="13"/>
      <c r="HDX19" s="13"/>
      <c r="HDY19" s="13"/>
      <c r="HDZ19" s="13"/>
      <c r="HEA19" s="13"/>
      <c r="HEB19" s="13"/>
      <c r="HEC19" s="13"/>
      <c r="HED19" s="13"/>
      <c r="HEE19" s="13"/>
      <c r="HEF19" s="13"/>
      <c r="HEG19" s="13"/>
      <c r="HEH19" s="13"/>
      <c r="HEI19" s="13"/>
      <c r="HEJ19" s="13"/>
      <c r="HEK19" s="13"/>
      <c r="HEL19" s="13"/>
      <c r="HEM19" s="13"/>
      <c r="HEN19" s="13"/>
      <c r="HEO19" s="13"/>
      <c r="HEP19" s="13"/>
      <c r="HEQ19" s="13"/>
      <c r="HER19" s="13"/>
      <c r="HES19" s="13"/>
      <c r="HET19" s="13"/>
      <c r="HEU19" s="13"/>
      <c r="HEV19" s="13"/>
      <c r="HEW19" s="13"/>
      <c r="HEX19" s="13"/>
      <c r="HEY19" s="13"/>
      <c r="HEZ19" s="13"/>
      <c r="HFA19" s="13"/>
      <c r="HFB19" s="13"/>
      <c r="HFC19" s="13"/>
      <c r="HFD19" s="13"/>
      <c r="HFE19" s="13"/>
      <c r="HFF19" s="13"/>
      <c r="HFG19" s="13"/>
      <c r="HFH19" s="13"/>
      <c r="HFI19" s="13"/>
      <c r="HFJ19" s="13"/>
      <c r="HFK19" s="13"/>
      <c r="HFL19" s="13"/>
      <c r="HFM19" s="13"/>
      <c r="HFN19" s="13"/>
      <c r="HFO19" s="13"/>
      <c r="HFP19" s="13"/>
      <c r="HFQ19" s="13"/>
      <c r="HFR19" s="13"/>
      <c r="HFS19" s="13"/>
      <c r="HFT19" s="13"/>
      <c r="HFU19" s="13"/>
      <c r="HFV19" s="13"/>
      <c r="HFW19" s="13"/>
      <c r="HFX19" s="13"/>
      <c r="HFY19" s="13"/>
      <c r="HFZ19" s="13"/>
      <c r="HGA19" s="13"/>
      <c r="HGB19" s="13"/>
      <c r="HGC19" s="13"/>
      <c r="HGD19" s="13"/>
      <c r="HGE19" s="13"/>
      <c r="HGF19" s="13"/>
      <c r="HGG19" s="13"/>
      <c r="HGH19" s="13"/>
      <c r="HGI19" s="13"/>
      <c r="HGJ19" s="13"/>
      <c r="HGK19" s="13"/>
      <c r="HGL19" s="13"/>
      <c r="HGM19" s="13"/>
      <c r="HGN19" s="13"/>
      <c r="HGO19" s="13"/>
      <c r="HGP19" s="13"/>
      <c r="HGQ19" s="13"/>
      <c r="HGR19" s="13"/>
      <c r="HGS19" s="13"/>
      <c r="HGT19" s="13"/>
      <c r="HGU19" s="13"/>
      <c r="HGV19" s="13"/>
      <c r="HGW19" s="13"/>
      <c r="HGX19" s="13"/>
      <c r="HGY19" s="13"/>
      <c r="HGZ19" s="13"/>
      <c r="HHA19" s="13"/>
      <c r="HHB19" s="13"/>
      <c r="HHC19" s="13"/>
      <c r="HHD19" s="13"/>
      <c r="HHE19" s="13"/>
      <c r="HHF19" s="13"/>
      <c r="HHG19" s="13"/>
      <c r="HHH19" s="13"/>
      <c r="HHI19" s="13"/>
      <c r="HHJ19" s="13"/>
      <c r="HHK19" s="13"/>
      <c r="HHL19" s="13"/>
      <c r="HHM19" s="13"/>
      <c r="HHN19" s="13"/>
      <c r="HHO19" s="13"/>
      <c r="HHP19" s="13"/>
      <c r="HHQ19" s="13"/>
      <c r="HHR19" s="13"/>
      <c r="HHS19" s="13"/>
      <c r="HHT19" s="13"/>
      <c r="HHU19" s="13"/>
      <c r="HHV19" s="13"/>
      <c r="HHW19" s="13"/>
      <c r="HHX19" s="13"/>
      <c r="HHY19" s="13"/>
      <c r="HHZ19" s="13"/>
      <c r="HIA19" s="13"/>
      <c r="HIB19" s="13"/>
      <c r="HIC19" s="13"/>
      <c r="HID19" s="13"/>
      <c r="HIE19" s="13"/>
      <c r="HIF19" s="13"/>
      <c r="HIG19" s="13"/>
      <c r="HIH19" s="13"/>
      <c r="HII19" s="13"/>
      <c r="HIJ19" s="13"/>
      <c r="HIK19" s="13"/>
      <c r="HIL19" s="13"/>
      <c r="HIM19" s="13"/>
      <c r="HIN19" s="13"/>
      <c r="HIO19" s="13"/>
      <c r="HIP19" s="13"/>
      <c r="HIQ19" s="13"/>
      <c r="HIR19" s="13"/>
      <c r="HIS19" s="13"/>
      <c r="HIT19" s="13"/>
      <c r="HIU19" s="13"/>
      <c r="HIV19" s="13"/>
      <c r="HIW19" s="13"/>
      <c r="HIX19" s="13"/>
      <c r="HIY19" s="13"/>
      <c r="HIZ19" s="13"/>
      <c r="HJA19" s="13"/>
      <c r="HJB19" s="13"/>
      <c r="HJC19" s="13"/>
      <c r="HJD19" s="13"/>
      <c r="HJE19" s="13"/>
      <c r="HJF19" s="13"/>
      <c r="HJG19" s="13"/>
      <c r="HJH19" s="13"/>
      <c r="HJI19" s="13"/>
      <c r="HJJ19" s="13"/>
      <c r="HJK19" s="13"/>
      <c r="HJL19" s="13"/>
      <c r="HJM19" s="13"/>
      <c r="HJN19" s="13"/>
      <c r="HJO19" s="13"/>
      <c r="HJP19" s="13"/>
      <c r="HJQ19" s="13"/>
      <c r="HJR19" s="13"/>
      <c r="HJS19" s="13"/>
      <c r="HJT19" s="13"/>
      <c r="HJU19" s="13"/>
      <c r="HJV19" s="13"/>
      <c r="HJW19" s="13"/>
      <c r="HJX19" s="13"/>
      <c r="HJY19" s="13"/>
      <c r="HJZ19" s="13"/>
      <c r="HKA19" s="13"/>
      <c r="HKB19" s="13"/>
      <c r="HKC19" s="13"/>
      <c r="HKD19" s="13"/>
      <c r="HKE19" s="13"/>
      <c r="HKF19" s="13"/>
      <c r="HKG19" s="13"/>
      <c r="HKH19" s="13"/>
      <c r="HKI19" s="13"/>
      <c r="HKJ19" s="13"/>
      <c r="HKK19" s="13"/>
      <c r="HKL19" s="13"/>
      <c r="HKM19" s="13"/>
      <c r="HKN19" s="13"/>
      <c r="HKO19" s="13"/>
      <c r="HKP19" s="13"/>
      <c r="HKQ19" s="13"/>
      <c r="HKR19" s="13"/>
      <c r="HKS19" s="13"/>
      <c r="HKT19" s="13"/>
      <c r="HKU19" s="13"/>
      <c r="HKV19" s="13"/>
      <c r="HKW19" s="13"/>
      <c r="HKX19" s="13"/>
      <c r="HKY19" s="13"/>
      <c r="HKZ19" s="13"/>
      <c r="HLA19" s="13"/>
      <c r="HLB19" s="13"/>
      <c r="HLC19" s="13"/>
      <c r="HLD19" s="13"/>
      <c r="HLE19" s="13"/>
      <c r="HLF19" s="13"/>
      <c r="HLG19" s="13"/>
      <c r="HLH19" s="13"/>
      <c r="HLI19" s="13"/>
      <c r="HLJ19" s="13"/>
      <c r="HLK19" s="13"/>
      <c r="HLL19" s="13"/>
      <c r="HLM19" s="13"/>
      <c r="HLN19" s="13"/>
      <c r="HLO19" s="13"/>
      <c r="HLP19" s="13"/>
      <c r="HLQ19" s="13"/>
      <c r="HLR19" s="13"/>
      <c r="HLS19" s="13"/>
      <c r="HLT19" s="13"/>
      <c r="HLU19" s="13"/>
      <c r="HLV19" s="13"/>
      <c r="HLW19" s="13"/>
      <c r="HLX19" s="13"/>
      <c r="HLY19" s="13"/>
      <c r="HLZ19" s="13"/>
      <c r="HMA19" s="13"/>
      <c r="HMB19" s="13"/>
      <c r="HMC19" s="13"/>
      <c r="HMD19" s="13"/>
      <c r="HME19" s="13"/>
      <c r="HMF19" s="13"/>
      <c r="HMG19" s="13"/>
      <c r="HMH19" s="13"/>
      <c r="HMI19" s="13"/>
      <c r="HMJ19" s="13"/>
      <c r="HMK19" s="13"/>
      <c r="HML19" s="13"/>
      <c r="HMM19" s="13"/>
      <c r="HMN19" s="13"/>
      <c r="HMO19" s="13"/>
      <c r="HMP19" s="13"/>
      <c r="HMQ19" s="13"/>
      <c r="HMR19" s="13"/>
      <c r="HMS19" s="13"/>
      <c r="HMT19" s="13"/>
      <c r="HMU19" s="13"/>
      <c r="HMV19" s="13"/>
      <c r="HMW19" s="13"/>
      <c r="HMX19" s="13"/>
      <c r="HMY19" s="13"/>
      <c r="HMZ19" s="13"/>
      <c r="HNA19" s="13"/>
      <c r="HNB19" s="13"/>
      <c r="HNC19" s="13"/>
      <c r="HND19" s="13"/>
      <c r="HNE19" s="13"/>
      <c r="HNF19" s="13"/>
      <c r="HNG19" s="13"/>
      <c r="HNH19" s="13"/>
      <c r="HNI19" s="13"/>
      <c r="HNJ19" s="13"/>
      <c r="HNK19" s="13"/>
      <c r="HNL19" s="13"/>
      <c r="HNM19" s="13"/>
      <c r="HNN19" s="13"/>
      <c r="HNO19" s="13"/>
      <c r="HNP19" s="13"/>
      <c r="HNQ19" s="13"/>
      <c r="HNR19" s="13"/>
      <c r="HNS19" s="13"/>
      <c r="HNT19" s="13"/>
      <c r="HNU19" s="13"/>
      <c r="HNV19" s="13"/>
      <c r="HNW19" s="13"/>
      <c r="HNX19" s="13"/>
      <c r="HNY19" s="13"/>
      <c r="HNZ19" s="13"/>
      <c r="HOA19" s="13"/>
      <c r="HOB19" s="13"/>
      <c r="HOC19" s="13"/>
      <c r="HOD19" s="13"/>
      <c r="HOE19" s="13"/>
      <c r="HOF19" s="13"/>
      <c r="HOG19" s="13"/>
      <c r="HOH19" s="13"/>
      <c r="HOI19" s="13"/>
      <c r="HOJ19" s="13"/>
      <c r="HOK19" s="13"/>
      <c r="HOL19" s="13"/>
      <c r="HOM19" s="13"/>
      <c r="HON19" s="13"/>
      <c r="HOO19" s="13"/>
      <c r="HOP19" s="13"/>
      <c r="HOQ19" s="13"/>
      <c r="HOR19" s="13"/>
      <c r="HOS19" s="13"/>
      <c r="HOT19" s="13"/>
      <c r="HOU19" s="13"/>
      <c r="HOV19" s="13"/>
      <c r="HOW19" s="13"/>
      <c r="HOX19" s="13"/>
      <c r="HOY19" s="13"/>
      <c r="HOZ19" s="13"/>
      <c r="HPA19" s="13"/>
      <c r="HPB19" s="13"/>
      <c r="HPC19" s="13"/>
      <c r="HPD19" s="13"/>
      <c r="HPE19" s="13"/>
      <c r="HPF19" s="13"/>
      <c r="HPG19" s="13"/>
      <c r="HPH19" s="13"/>
      <c r="HPI19" s="13"/>
      <c r="HPJ19" s="13"/>
      <c r="HPK19" s="13"/>
      <c r="HPL19" s="13"/>
      <c r="HPM19" s="13"/>
      <c r="HPN19" s="13"/>
      <c r="HPO19" s="13"/>
      <c r="HPP19" s="13"/>
      <c r="HPQ19" s="13"/>
      <c r="HPR19" s="13"/>
      <c r="HPS19" s="13"/>
      <c r="HPT19" s="13"/>
      <c r="HPU19" s="13"/>
      <c r="HPV19" s="13"/>
      <c r="HPW19" s="13"/>
      <c r="HPX19" s="13"/>
      <c r="HPY19" s="13"/>
      <c r="HPZ19" s="13"/>
      <c r="HQA19" s="13"/>
      <c r="HQB19" s="13"/>
      <c r="HQC19" s="13"/>
      <c r="HQD19" s="13"/>
      <c r="HQE19" s="13"/>
      <c r="HQF19" s="13"/>
      <c r="HQG19" s="13"/>
      <c r="HQH19" s="13"/>
      <c r="HQI19" s="13"/>
      <c r="HQJ19" s="13"/>
      <c r="HQK19" s="13"/>
      <c r="HQL19" s="13"/>
      <c r="HQM19" s="13"/>
      <c r="HQN19" s="13"/>
      <c r="HQO19" s="13"/>
      <c r="HQP19" s="13"/>
      <c r="HQQ19" s="13"/>
      <c r="HQR19" s="13"/>
      <c r="HQS19" s="13"/>
      <c r="HQT19" s="13"/>
      <c r="HQU19" s="13"/>
      <c r="HQV19" s="13"/>
      <c r="HQW19" s="13"/>
      <c r="HQX19" s="13"/>
      <c r="HQY19" s="13"/>
      <c r="HQZ19" s="13"/>
      <c r="HRA19" s="13"/>
      <c r="HRB19" s="13"/>
      <c r="HRC19" s="13"/>
      <c r="HRD19" s="13"/>
      <c r="HRE19" s="13"/>
      <c r="HRF19" s="13"/>
      <c r="HRG19" s="13"/>
      <c r="HRH19" s="13"/>
      <c r="HRI19" s="13"/>
      <c r="HRJ19" s="13"/>
      <c r="HRK19" s="13"/>
      <c r="HRL19" s="13"/>
      <c r="HRM19" s="13"/>
      <c r="HRN19" s="13"/>
      <c r="HRO19" s="13"/>
      <c r="HRP19" s="13"/>
      <c r="HRQ19" s="13"/>
      <c r="HRR19" s="13"/>
      <c r="HRS19" s="13"/>
      <c r="HRT19" s="13"/>
      <c r="HRU19" s="13"/>
      <c r="HRV19" s="13"/>
      <c r="HRW19" s="13"/>
      <c r="HRX19" s="13"/>
      <c r="HRY19" s="13"/>
      <c r="HRZ19" s="13"/>
      <c r="HSA19" s="13"/>
      <c r="HSB19" s="13"/>
      <c r="HSC19" s="13"/>
      <c r="HSD19" s="13"/>
      <c r="HSE19" s="13"/>
      <c r="HSF19" s="13"/>
      <c r="HSG19" s="13"/>
      <c r="HSH19" s="13"/>
      <c r="HSI19" s="13"/>
      <c r="HSJ19" s="13"/>
      <c r="HSK19" s="13"/>
      <c r="HSL19" s="13"/>
      <c r="HSM19" s="13"/>
      <c r="HSN19" s="13"/>
      <c r="HSO19" s="13"/>
      <c r="HSP19" s="13"/>
      <c r="HSQ19" s="13"/>
      <c r="HSR19" s="13"/>
      <c r="HSS19" s="13"/>
      <c r="HST19" s="13"/>
      <c r="HSU19" s="13"/>
      <c r="HSV19" s="13"/>
      <c r="HSW19" s="13"/>
      <c r="HSX19" s="13"/>
      <c r="HSY19" s="13"/>
      <c r="HSZ19" s="13"/>
      <c r="HTA19" s="13"/>
      <c r="HTB19" s="13"/>
      <c r="HTC19" s="13"/>
      <c r="HTD19" s="13"/>
      <c r="HTE19" s="13"/>
      <c r="HTF19" s="13"/>
      <c r="HTG19" s="13"/>
      <c r="HTH19" s="13"/>
      <c r="HTI19" s="13"/>
      <c r="HTJ19" s="13"/>
      <c r="HTK19" s="13"/>
      <c r="HTL19" s="13"/>
      <c r="HTM19" s="13"/>
      <c r="HTN19" s="13"/>
      <c r="HTO19" s="13"/>
      <c r="HTP19" s="13"/>
      <c r="HTQ19" s="13"/>
      <c r="HTR19" s="13"/>
      <c r="HTS19" s="13"/>
      <c r="HTT19" s="13"/>
      <c r="HTU19" s="13"/>
      <c r="HTV19" s="13"/>
      <c r="HTW19" s="13"/>
      <c r="HTX19" s="13"/>
      <c r="HTY19" s="13"/>
      <c r="HTZ19" s="13"/>
      <c r="HUA19" s="13"/>
      <c r="HUB19" s="13"/>
      <c r="HUC19" s="13"/>
      <c r="HUD19" s="13"/>
      <c r="HUE19" s="13"/>
      <c r="HUF19" s="13"/>
      <c r="HUG19" s="13"/>
      <c r="HUH19" s="13"/>
      <c r="HUI19" s="13"/>
      <c r="HUJ19" s="13"/>
      <c r="HUK19" s="13"/>
      <c r="HUL19" s="13"/>
      <c r="HUM19" s="13"/>
      <c r="HUN19" s="13"/>
      <c r="HUO19" s="13"/>
      <c r="HUP19" s="13"/>
      <c r="HUQ19" s="13"/>
      <c r="HUR19" s="13"/>
      <c r="HUS19" s="13"/>
      <c r="HUT19" s="13"/>
      <c r="HUU19" s="13"/>
      <c r="HUV19" s="13"/>
      <c r="HUW19" s="13"/>
      <c r="HUX19" s="13"/>
      <c r="HUY19" s="13"/>
      <c r="HUZ19" s="13"/>
      <c r="HVA19" s="13"/>
      <c r="HVB19" s="13"/>
      <c r="HVC19" s="13"/>
      <c r="HVD19" s="13"/>
      <c r="HVE19" s="13"/>
      <c r="HVF19" s="13"/>
      <c r="HVG19" s="13"/>
      <c r="HVH19" s="13"/>
      <c r="HVI19" s="13"/>
      <c r="HVJ19" s="13"/>
      <c r="HVK19" s="13"/>
      <c r="HVL19" s="13"/>
      <c r="HVM19" s="13"/>
      <c r="HVN19" s="13"/>
      <c r="HVO19" s="13"/>
      <c r="HVP19" s="13"/>
      <c r="HVQ19" s="13"/>
      <c r="HVR19" s="13"/>
      <c r="HVS19" s="13"/>
      <c r="HVT19" s="13"/>
      <c r="HVU19" s="13"/>
      <c r="HVV19" s="13"/>
      <c r="HVW19" s="13"/>
      <c r="HVX19" s="13"/>
      <c r="HVY19" s="13"/>
      <c r="HVZ19" s="13"/>
      <c r="HWA19" s="13"/>
      <c r="HWB19" s="13"/>
      <c r="HWC19" s="13"/>
      <c r="HWD19" s="13"/>
      <c r="HWE19" s="13"/>
      <c r="HWF19" s="13"/>
      <c r="HWG19" s="13"/>
      <c r="HWH19" s="13"/>
      <c r="HWI19" s="13"/>
      <c r="HWJ19" s="13"/>
      <c r="HWK19" s="13"/>
      <c r="HWL19" s="13"/>
      <c r="HWM19" s="13"/>
      <c r="HWN19" s="13"/>
      <c r="HWO19" s="13"/>
      <c r="HWP19" s="13"/>
      <c r="HWQ19" s="13"/>
      <c r="HWR19" s="13"/>
      <c r="HWS19" s="13"/>
      <c r="HWT19" s="13"/>
      <c r="HWU19" s="13"/>
      <c r="HWV19" s="13"/>
      <c r="HWW19" s="13"/>
      <c r="HWX19" s="13"/>
      <c r="HWY19" s="13"/>
      <c r="HWZ19" s="13"/>
      <c r="HXA19" s="13"/>
      <c r="HXB19" s="13"/>
      <c r="HXC19" s="13"/>
      <c r="HXD19" s="13"/>
      <c r="HXE19" s="13"/>
      <c r="HXF19" s="13"/>
      <c r="HXG19" s="13"/>
      <c r="HXH19" s="13"/>
      <c r="HXI19" s="13"/>
      <c r="HXJ19" s="13"/>
      <c r="HXK19" s="13"/>
      <c r="HXL19" s="13"/>
      <c r="HXM19" s="13"/>
      <c r="HXN19" s="13"/>
      <c r="HXO19" s="13"/>
      <c r="HXP19" s="13"/>
      <c r="HXQ19" s="13"/>
      <c r="HXR19" s="13"/>
      <c r="HXS19" s="13"/>
      <c r="HXT19" s="13"/>
      <c r="HXU19" s="13"/>
      <c r="HXV19" s="13"/>
      <c r="HXW19" s="13"/>
      <c r="HXX19" s="13"/>
      <c r="HXY19" s="13"/>
      <c r="HXZ19" s="13"/>
      <c r="HYA19" s="13"/>
      <c r="HYB19" s="13"/>
      <c r="HYC19" s="13"/>
      <c r="HYD19" s="13"/>
      <c r="HYE19" s="13"/>
      <c r="HYF19" s="13"/>
      <c r="HYG19" s="13"/>
      <c r="HYH19" s="13"/>
      <c r="HYI19" s="13"/>
      <c r="HYJ19" s="13"/>
      <c r="HYK19" s="13"/>
      <c r="HYL19" s="13"/>
      <c r="HYM19" s="13"/>
      <c r="HYN19" s="13"/>
      <c r="HYO19" s="13"/>
      <c r="HYP19" s="13"/>
      <c r="HYQ19" s="13"/>
      <c r="HYR19" s="13"/>
      <c r="HYS19" s="13"/>
      <c r="HYT19" s="13"/>
      <c r="HYU19" s="13"/>
      <c r="HYV19" s="13"/>
      <c r="HYW19" s="13"/>
      <c r="HYX19" s="13"/>
      <c r="HYY19" s="13"/>
      <c r="HYZ19" s="13"/>
      <c r="HZA19" s="13"/>
      <c r="HZB19" s="13"/>
      <c r="HZC19" s="13"/>
      <c r="HZD19" s="13"/>
      <c r="HZE19" s="13"/>
      <c r="HZF19" s="13"/>
      <c r="HZG19" s="13"/>
      <c r="HZH19" s="13"/>
      <c r="HZI19" s="13"/>
      <c r="HZJ19" s="13"/>
      <c r="HZK19" s="13"/>
      <c r="HZL19" s="13"/>
      <c r="HZM19" s="13"/>
      <c r="HZN19" s="13"/>
      <c r="HZO19" s="13"/>
      <c r="HZP19" s="13"/>
      <c r="HZQ19" s="13"/>
      <c r="HZR19" s="13"/>
      <c r="HZS19" s="13"/>
      <c r="HZT19" s="13"/>
      <c r="HZU19" s="13"/>
      <c r="HZV19" s="13"/>
      <c r="HZW19" s="13"/>
      <c r="HZX19" s="13"/>
      <c r="HZY19" s="13"/>
      <c r="HZZ19" s="13"/>
      <c r="IAA19" s="13"/>
      <c r="IAB19" s="13"/>
      <c r="IAC19" s="13"/>
      <c r="IAD19" s="13"/>
      <c r="IAE19" s="13"/>
      <c r="IAF19" s="13"/>
      <c r="IAG19" s="13"/>
      <c r="IAH19" s="13"/>
      <c r="IAI19" s="13"/>
      <c r="IAJ19" s="13"/>
      <c r="IAK19" s="13"/>
      <c r="IAL19" s="13"/>
      <c r="IAM19" s="13"/>
      <c r="IAN19" s="13"/>
      <c r="IAO19" s="13"/>
      <c r="IAP19" s="13"/>
      <c r="IAQ19" s="13"/>
      <c r="IAR19" s="13"/>
      <c r="IAS19" s="13"/>
      <c r="IAT19" s="13"/>
      <c r="IAU19" s="13"/>
      <c r="IAV19" s="13"/>
      <c r="IAW19" s="13"/>
      <c r="IAX19" s="13"/>
      <c r="IAY19" s="13"/>
      <c r="IAZ19" s="13"/>
      <c r="IBA19" s="13"/>
      <c r="IBB19" s="13"/>
      <c r="IBC19" s="13"/>
      <c r="IBD19" s="13"/>
      <c r="IBE19" s="13"/>
      <c r="IBF19" s="13"/>
      <c r="IBG19" s="13"/>
      <c r="IBH19" s="13"/>
      <c r="IBI19" s="13"/>
      <c r="IBJ19" s="13"/>
      <c r="IBK19" s="13"/>
      <c r="IBL19" s="13"/>
      <c r="IBM19" s="13"/>
      <c r="IBN19" s="13"/>
      <c r="IBO19" s="13"/>
      <c r="IBP19" s="13"/>
      <c r="IBQ19" s="13"/>
      <c r="IBR19" s="13"/>
      <c r="IBS19" s="13"/>
      <c r="IBT19" s="13"/>
      <c r="IBU19" s="13"/>
      <c r="IBV19" s="13"/>
      <c r="IBW19" s="13"/>
      <c r="IBX19" s="13"/>
      <c r="IBY19" s="13"/>
      <c r="IBZ19" s="13"/>
      <c r="ICA19" s="13"/>
      <c r="ICB19" s="13"/>
      <c r="ICC19" s="13"/>
      <c r="ICD19" s="13"/>
      <c r="ICE19" s="13"/>
      <c r="ICF19" s="13"/>
      <c r="ICG19" s="13"/>
      <c r="ICH19" s="13"/>
      <c r="ICI19" s="13"/>
      <c r="ICJ19" s="13"/>
      <c r="ICK19" s="13"/>
      <c r="ICL19" s="13"/>
      <c r="ICM19" s="13"/>
      <c r="ICN19" s="13"/>
      <c r="ICO19" s="13"/>
      <c r="ICP19" s="13"/>
      <c r="ICQ19" s="13"/>
      <c r="ICR19" s="13"/>
      <c r="ICS19" s="13"/>
      <c r="ICT19" s="13"/>
      <c r="ICU19" s="13"/>
      <c r="ICV19" s="13"/>
      <c r="ICW19" s="13"/>
      <c r="ICX19" s="13"/>
      <c r="ICY19" s="13"/>
      <c r="ICZ19" s="13"/>
      <c r="IDA19" s="13"/>
      <c r="IDB19" s="13"/>
      <c r="IDC19" s="13"/>
      <c r="IDD19" s="13"/>
      <c r="IDE19" s="13"/>
      <c r="IDF19" s="13"/>
      <c r="IDG19" s="13"/>
      <c r="IDH19" s="13"/>
      <c r="IDI19" s="13"/>
      <c r="IDJ19" s="13"/>
      <c r="IDK19" s="13"/>
      <c r="IDL19" s="13"/>
      <c r="IDM19" s="13"/>
      <c r="IDN19" s="13"/>
      <c r="IDO19" s="13"/>
      <c r="IDP19" s="13"/>
      <c r="IDQ19" s="13"/>
      <c r="IDR19" s="13"/>
      <c r="IDS19" s="13"/>
      <c r="IDT19" s="13"/>
      <c r="IDU19" s="13"/>
      <c r="IDV19" s="13"/>
      <c r="IDW19" s="13"/>
      <c r="IDX19" s="13"/>
      <c r="IDY19" s="13"/>
      <c r="IDZ19" s="13"/>
      <c r="IEA19" s="13"/>
      <c r="IEB19" s="13"/>
      <c r="IEC19" s="13"/>
      <c r="IED19" s="13"/>
      <c r="IEE19" s="13"/>
      <c r="IEF19" s="13"/>
      <c r="IEG19" s="13"/>
      <c r="IEH19" s="13"/>
      <c r="IEI19" s="13"/>
      <c r="IEJ19" s="13"/>
      <c r="IEK19" s="13"/>
      <c r="IEL19" s="13"/>
      <c r="IEM19" s="13"/>
      <c r="IEN19" s="13"/>
      <c r="IEO19" s="13"/>
      <c r="IEP19" s="13"/>
      <c r="IEQ19" s="13"/>
      <c r="IER19" s="13"/>
      <c r="IES19" s="13"/>
      <c r="IET19" s="13"/>
      <c r="IEU19" s="13"/>
      <c r="IEV19" s="13"/>
      <c r="IEW19" s="13"/>
      <c r="IEX19" s="13"/>
      <c r="IEY19" s="13"/>
      <c r="IEZ19" s="13"/>
      <c r="IFA19" s="13"/>
      <c r="IFB19" s="13"/>
      <c r="IFC19" s="13"/>
      <c r="IFD19" s="13"/>
      <c r="IFE19" s="13"/>
      <c r="IFF19" s="13"/>
      <c r="IFG19" s="13"/>
      <c r="IFH19" s="13"/>
      <c r="IFI19" s="13"/>
      <c r="IFJ19" s="13"/>
      <c r="IFK19" s="13"/>
      <c r="IFL19" s="13"/>
      <c r="IFM19" s="13"/>
      <c r="IFN19" s="13"/>
      <c r="IFO19" s="13"/>
      <c r="IFP19" s="13"/>
      <c r="IFQ19" s="13"/>
      <c r="IFR19" s="13"/>
      <c r="IFS19" s="13"/>
      <c r="IFT19" s="13"/>
      <c r="IFU19" s="13"/>
      <c r="IFV19" s="13"/>
      <c r="IFW19" s="13"/>
      <c r="IFX19" s="13"/>
      <c r="IFY19" s="13"/>
      <c r="IFZ19" s="13"/>
      <c r="IGA19" s="13"/>
      <c r="IGB19" s="13"/>
      <c r="IGC19" s="13"/>
      <c r="IGD19" s="13"/>
      <c r="IGE19" s="13"/>
      <c r="IGF19" s="13"/>
      <c r="IGG19" s="13"/>
      <c r="IGH19" s="13"/>
      <c r="IGI19" s="13"/>
      <c r="IGJ19" s="13"/>
      <c r="IGK19" s="13"/>
      <c r="IGL19" s="13"/>
      <c r="IGM19" s="13"/>
      <c r="IGN19" s="13"/>
      <c r="IGO19" s="13"/>
      <c r="IGP19" s="13"/>
      <c r="IGQ19" s="13"/>
      <c r="IGR19" s="13"/>
      <c r="IGS19" s="13"/>
      <c r="IGT19" s="13"/>
      <c r="IGU19" s="13"/>
      <c r="IGV19" s="13"/>
      <c r="IGW19" s="13"/>
      <c r="IGX19" s="13"/>
      <c r="IGY19" s="13"/>
      <c r="IGZ19" s="13"/>
      <c r="IHA19" s="13"/>
      <c r="IHB19" s="13"/>
      <c r="IHC19" s="13"/>
      <c r="IHD19" s="13"/>
      <c r="IHE19" s="13"/>
      <c r="IHF19" s="13"/>
      <c r="IHG19" s="13"/>
      <c r="IHH19" s="13"/>
      <c r="IHI19" s="13"/>
      <c r="IHJ19" s="13"/>
      <c r="IHK19" s="13"/>
      <c r="IHL19" s="13"/>
      <c r="IHM19" s="13"/>
      <c r="IHN19" s="13"/>
      <c r="IHO19" s="13"/>
      <c r="IHP19" s="13"/>
      <c r="IHQ19" s="13"/>
      <c r="IHR19" s="13"/>
      <c r="IHS19" s="13"/>
      <c r="IHT19" s="13"/>
      <c r="IHU19" s="13"/>
      <c r="IHV19" s="13"/>
      <c r="IHW19" s="13"/>
      <c r="IHX19" s="13"/>
      <c r="IHY19" s="13"/>
      <c r="IHZ19" s="13"/>
      <c r="IIA19" s="13"/>
      <c r="IIB19" s="13"/>
      <c r="IIC19" s="13"/>
      <c r="IID19" s="13"/>
      <c r="IIE19" s="13"/>
      <c r="IIF19" s="13"/>
      <c r="IIG19" s="13"/>
      <c r="IIH19" s="13"/>
      <c r="III19" s="13"/>
      <c r="IIJ19" s="13"/>
      <c r="IIK19" s="13"/>
      <c r="IIL19" s="13"/>
      <c r="IIM19" s="13"/>
      <c r="IIN19" s="13"/>
      <c r="IIO19" s="13"/>
      <c r="IIP19" s="13"/>
      <c r="IIQ19" s="13"/>
      <c r="IIR19" s="13"/>
      <c r="IIS19" s="13"/>
      <c r="IIT19" s="13"/>
      <c r="IIU19" s="13"/>
      <c r="IIV19" s="13"/>
      <c r="IIW19" s="13"/>
      <c r="IIX19" s="13"/>
      <c r="IIY19" s="13"/>
      <c r="IIZ19" s="13"/>
      <c r="IJA19" s="13"/>
      <c r="IJB19" s="13"/>
      <c r="IJC19" s="13"/>
      <c r="IJD19" s="13"/>
      <c r="IJE19" s="13"/>
      <c r="IJF19" s="13"/>
      <c r="IJG19" s="13"/>
      <c r="IJH19" s="13"/>
      <c r="IJI19" s="13"/>
      <c r="IJJ19" s="13"/>
      <c r="IJK19" s="13"/>
      <c r="IJL19" s="13"/>
      <c r="IJM19" s="13"/>
      <c r="IJN19" s="13"/>
      <c r="IJO19" s="13"/>
      <c r="IJP19" s="13"/>
      <c r="IJQ19" s="13"/>
      <c r="IJR19" s="13"/>
      <c r="IJS19" s="13"/>
      <c r="IJT19" s="13"/>
      <c r="IJU19" s="13"/>
      <c r="IJV19" s="13"/>
      <c r="IJW19" s="13"/>
      <c r="IJX19" s="13"/>
      <c r="IJY19" s="13"/>
      <c r="IJZ19" s="13"/>
      <c r="IKA19" s="13"/>
      <c r="IKB19" s="13"/>
      <c r="IKC19" s="13"/>
      <c r="IKD19" s="13"/>
      <c r="IKE19" s="13"/>
      <c r="IKF19" s="13"/>
      <c r="IKG19" s="13"/>
      <c r="IKH19" s="13"/>
      <c r="IKI19" s="13"/>
      <c r="IKJ19" s="13"/>
      <c r="IKK19" s="13"/>
      <c r="IKL19" s="13"/>
      <c r="IKM19" s="13"/>
      <c r="IKN19" s="13"/>
      <c r="IKO19" s="13"/>
      <c r="IKP19" s="13"/>
      <c r="IKQ19" s="13"/>
      <c r="IKR19" s="13"/>
      <c r="IKS19" s="13"/>
      <c r="IKT19" s="13"/>
      <c r="IKU19" s="13"/>
      <c r="IKV19" s="13"/>
      <c r="IKW19" s="13"/>
      <c r="IKX19" s="13"/>
      <c r="IKY19" s="13"/>
      <c r="IKZ19" s="13"/>
      <c r="ILA19" s="13"/>
      <c r="ILB19" s="13"/>
      <c r="ILC19" s="13"/>
      <c r="ILD19" s="13"/>
      <c r="ILE19" s="13"/>
      <c r="ILF19" s="13"/>
      <c r="ILG19" s="13"/>
      <c r="ILH19" s="13"/>
      <c r="ILI19" s="13"/>
      <c r="ILJ19" s="13"/>
      <c r="ILK19" s="13"/>
      <c r="ILL19" s="13"/>
      <c r="ILM19" s="13"/>
      <c r="ILN19" s="13"/>
      <c r="ILO19" s="13"/>
      <c r="ILP19" s="13"/>
      <c r="ILQ19" s="13"/>
      <c r="ILR19" s="13"/>
      <c r="ILS19" s="13"/>
      <c r="ILT19" s="13"/>
      <c r="ILU19" s="13"/>
      <c r="ILV19" s="13"/>
      <c r="ILW19" s="13"/>
      <c r="ILX19" s="13"/>
      <c r="ILY19" s="13"/>
      <c r="ILZ19" s="13"/>
      <c r="IMA19" s="13"/>
      <c r="IMB19" s="13"/>
      <c r="IMC19" s="13"/>
      <c r="IMD19" s="13"/>
      <c r="IME19" s="13"/>
      <c r="IMF19" s="13"/>
      <c r="IMG19" s="13"/>
      <c r="IMH19" s="13"/>
      <c r="IMI19" s="13"/>
      <c r="IMJ19" s="13"/>
      <c r="IMK19" s="13"/>
      <c r="IML19" s="13"/>
      <c r="IMM19" s="13"/>
      <c r="IMN19" s="13"/>
      <c r="IMO19" s="13"/>
      <c r="IMP19" s="13"/>
      <c r="IMQ19" s="13"/>
      <c r="IMR19" s="13"/>
      <c r="IMS19" s="13"/>
      <c r="IMT19" s="13"/>
      <c r="IMU19" s="13"/>
      <c r="IMV19" s="13"/>
      <c r="IMW19" s="13"/>
      <c r="IMX19" s="13"/>
      <c r="IMY19" s="13"/>
      <c r="IMZ19" s="13"/>
      <c r="INA19" s="13"/>
      <c r="INB19" s="13"/>
      <c r="INC19" s="13"/>
      <c r="IND19" s="13"/>
      <c r="INE19" s="13"/>
      <c r="INF19" s="13"/>
      <c r="ING19" s="13"/>
      <c r="INH19" s="13"/>
      <c r="INI19" s="13"/>
      <c r="INJ19" s="13"/>
      <c r="INK19" s="13"/>
      <c r="INL19" s="13"/>
      <c r="INM19" s="13"/>
      <c r="INN19" s="13"/>
      <c r="INO19" s="13"/>
      <c r="INP19" s="13"/>
      <c r="INQ19" s="13"/>
      <c r="INR19" s="13"/>
      <c r="INS19" s="13"/>
      <c r="INT19" s="13"/>
      <c r="INU19" s="13"/>
      <c r="INV19" s="13"/>
      <c r="INW19" s="13"/>
      <c r="INX19" s="13"/>
      <c r="INY19" s="13"/>
      <c r="INZ19" s="13"/>
      <c r="IOA19" s="13"/>
      <c r="IOB19" s="13"/>
      <c r="IOC19" s="13"/>
      <c r="IOD19" s="13"/>
      <c r="IOE19" s="13"/>
      <c r="IOF19" s="13"/>
      <c r="IOG19" s="13"/>
      <c r="IOH19" s="13"/>
      <c r="IOI19" s="13"/>
      <c r="IOJ19" s="13"/>
      <c r="IOK19" s="13"/>
      <c r="IOL19" s="13"/>
      <c r="IOM19" s="13"/>
      <c r="ION19" s="13"/>
      <c r="IOO19" s="13"/>
      <c r="IOP19" s="13"/>
      <c r="IOQ19" s="13"/>
      <c r="IOR19" s="13"/>
      <c r="IOS19" s="13"/>
      <c r="IOT19" s="13"/>
      <c r="IOU19" s="13"/>
      <c r="IOV19" s="13"/>
      <c r="IOW19" s="13"/>
      <c r="IOX19" s="13"/>
      <c r="IOY19" s="13"/>
      <c r="IOZ19" s="13"/>
      <c r="IPA19" s="13"/>
      <c r="IPB19" s="13"/>
      <c r="IPC19" s="13"/>
      <c r="IPD19" s="13"/>
      <c r="IPE19" s="13"/>
      <c r="IPF19" s="13"/>
      <c r="IPG19" s="13"/>
      <c r="IPH19" s="13"/>
      <c r="IPI19" s="13"/>
      <c r="IPJ19" s="13"/>
      <c r="IPK19" s="13"/>
      <c r="IPL19" s="13"/>
      <c r="IPM19" s="13"/>
      <c r="IPN19" s="13"/>
      <c r="IPO19" s="13"/>
      <c r="IPP19" s="13"/>
      <c r="IPQ19" s="13"/>
      <c r="IPR19" s="13"/>
      <c r="IPS19" s="13"/>
      <c r="IPT19" s="13"/>
      <c r="IPU19" s="13"/>
      <c r="IPV19" s="13"/>
      <c r="IPW19" s="13"/>
      <c r="IPX19" s="13"/>
      <c r="IPY19" s="13"/>
      <c r="IPZ19" s="13"/>
      <c r="IQA19" s="13"/>
      <c r="IQB19" s="13"/>
      <c r="IQC19" s="13"/>
      <c r="IQD19" s="13"/>
      <c r="IQE19" s="13"/>
      <c r="IQF19" s="13"/>
      <c r="IQG19" s="13"/>
      <c r="IQH19" s="13"/>
      <c r="IQI19" s="13"/>
      <c r="IQJ19" s="13"/>
      <c r="IQK19" s="13"/>
      <c r="IQL19" s="13"/>
      <c r="IQM19" s="13"/>
      <c r="IQN19" s="13"/>
      <c r="IQO19" s="13"/>
      <c r="IQP19" s="13"/>
      <c r="IQQ19" s="13"/>
      <c r="IQR19" s="13"/>
      <c r="IQS19" s="13"/>
      <c r="IQT19" s="13"/>
      <c r="IQU19" s="13"/>
      <c r="IQV19" s="13"/>
      <c r="IQW19" s="13"/>
      <c r="IQX19" s="13"/>
      <c r="IQY19" s="13"/>
      <c r="IQZ19" s="13"/>
      <c r="IRA19" s="13"/>
      <c r="IRB19" s="13"/>
      <c r="IRC19" s="13"/>
      <c r="IRD19" s="13"/>
      <c r="IRE19" s="13"/>
      <c r="IRF19" s="13"/>
      <c r="IRG19" s="13"/>
      <c r="IRH19" s="13"/>
      <c r="IRI19" s="13"/>
      <c r="IRJ19" s="13"/>
      <c r="IRK19" s="13"/>
      <c r="IRL19" s="13"/>
      <c r="IRM19" s="13"/>
      <c r="IRN19" s="13"/>
      <c r="IRO19" s="13"/>
      <c r="IRP19" s="13"/>
      <c r="IRQ19" s="13"/>
      <c r="IRR19" s="13"/>
      <c r="IRS19" s="13"/>
      <c r="IRT19" s="13"/>
      <c r="IRU19" s="13"/>
      <c r="IRV19" s="13"/>
      <c r="IRW19" s="13"/>
      <c r="IRX19" s="13"/>
      <c r="IRY19" s="13"/>
      <c r="IRZ19" s="13"/>
      <c r="ISA19" s="13"/>
      <c r="ISB19" s="13"/>
      <c r="ISC19" s="13"/>
      <c r="ISD19" s="13"/>
      <c r="ISE19" s="13"/>
      <c r="ISF19" s="13"/>
      <c r="ISG19" s="13"/>
      <c r="ISH19" s="13"/>
      <c r="ISI19" s="13"/>
      <c r="ISJ19" s="13"/>
      <c r="ISK19" s="13"/>
      <c r="ISL19" s="13"/>
      <c r="ISM19" s="13"/>
      <c r="ISN19" s="13"/>
      <c r="ISO19" s="13"/>
      <c r="ISP19" s="13"/>
      <c r="ISQ19" s="13"/>
      <c r="ISR19" s="13"/>
      <c r="ISS19" s="13"/>
      <c r="IST19" s="13"/>
      <c r="ISU19" s="13"/>
      <c r="ISV19" s="13"/>
      <c r="ISW19" s="13"/>
      <c r="ISX19" s="13"/>
      <c r="ISY19" s="13"/>
      <c r="ISZ19" s="13"/>
      <c r="ITA19" s="13"/>
      <c r="ITB19" s="13"/>
      <c r="ITC19" s="13"/>
      <c r="ITD19" s="13"/>
      <c r="ITE19" s="13"/>
      <c r="ITF19" s="13"/>
      <c r="ITG19" s="13"/>
      <c r="ITH19" s="13"/>
      <c r="ITI19" s="13"/>
      <c r="ITJ19" s="13"/>
      <c r="ITK19" s="13"/>
      <c r="ITL19" s="13"/>
      <c r="ITM19" s="13"/>
      <c r="ITN19" s="13"/>
      <c r="ITO19" s="13"/>
      <c r="ITP19" s="13"/>
      <c r="ITQ19" s="13"/>
      <c r="ITR19" s="13"/>
      <c r="ITS19" s="13"/>
      <c r="ITT19" s="13"/>
      <c r="ITU19" s="13"/>
      <c r="ITV19" s="13"/>
      <c r="ITW19" s="13"/>
      <c r="ITX19" s="13"/>
      <c r="ITY19" s="13"/>
      <c r="ITZ19" s="13"/>
      <c r="IUA19" s="13"/>
      <c r="IUB19" s="13"/>
      <c r="IUC19" s="13"/>
      <c r="IUD19" s="13"/>
      <c r="IUE19" s="13"/>
      <c r="IUF19" s="13"/>
      <c r="IUG19" s="13"/>
      <c r="IUH19" s="13"/>
      <c r="IUI19" s="13"/>
      <c r="IUJ19" s="13"/>
      <c r="IUK19" s="13"/>
      <c r="IUL19" s="13"/>
      <c r="IUM19" s="13"/>
      <c r="IUN19" s="13"/>
      <c r="IUO19" s="13"/>
      <c r="IUP19" s="13"/>
      <c r="IUQ19" s="13"/>
      <c r="IUR19" s="13"/>
      <c r="IUS19" s="13"/>
      <c r="IUT19" s="13"/>
      <c r="IUU19" s="13"/>
      <c r="IUV19" s="13"/>
      <c r="IUW19" s="13"/>
      <c r="IUX19" s="13"/>
      <c r="IUY19" s="13"/>
      <c r="IUZ19" s="13"/>
      <c r="IVA19" s="13"/>
      <c r="IVB19" s="13"/>
      <c r="IVC19" s="13"/>
      <c r="IVD19" s="13"/>
      <c r="IVE19" s="13"/>
      <c r="IVF19" s="13"/>
      <c r="IVG19" s="13"/>
      <c r="IVH19" s="13"/>
      <c r="IVI19" s="13"/>
      <c r="IVJ19" s="13"/>
      <c r="IVK19" s="13"/>
      <c r="IVL19" s="13"/>
      <c r="IVM19" s="13"/>
      <c r="IVN19" s="13"/>
      <c r="IVO19" s="13"/>
      <c r="IVP19" s="13"/>
      <c r="IVQ19" s="13"/>
      <c r="IVR19" s="13"/>
      <c r="IVS19" s="13"/>
      <c r="IVT19" s="13"/>
      <c r="IVU19" s="13"/>
      <c r="IVV19" s="13"/>
      <c r="IVW19" s="13"/>
      <c r="IVX19" s="13"/>
      <c r="IVY19" s="13"/>
      <c r="IVZ19" s="13"/>
      <c r="IWA19" s="13"/>
      <c r="IWB19" s="13"/>
      <c r="IWC19" s="13"/>
      <c r="IWD19" s="13"/>
      <c r="IWE19" s="13"/>
      <c r="IWF19" s="13"/>
      <c r="IWG19" s="13"/>
      <c r="IWH19" s="13"/>
      <c r="IWI19" s="13"/>
      <c r="IWJ19" s="13"/>
      <c r="IWK19" s="13"/>
      <c r="IWL19" s="13"/>
      <c r="IWM19" s="13"/>
      <c r="IWN19" s="13"/>
      <c r="IWO19" s="13"/>
      <c r="IWP19" s="13"/>
      <c r="IWQ19" s="13"/>
      <c r="IWR19" s="13"/>
      <c r="IWS19" s="13"/>
      <c r="IWT19" s="13"/>
      <c r="IWU19" s="13"/>
      <c r="IWV19" s="13"/>
      <c r="IWW19" s="13"/>
      <c r="IWX19" s="13"/>
      <c r="IWY19" s="13"/>
      <c r="IWZ19" s="13"/>
      <c r="IXA19" s="13"/>
      <c r="IXB19" s="13"/>
      <c r="IXC19" s="13"/>
      <c r="IXD19" s="13"/>
      <c r="IXE19" s="13"/>
      <c r="IXF19" s="13"/>
      <c r="IXG19" s="13"/>
      <c r="IXH19" s="13"/>
      <c r="IXI19" s="13"/>
      <c r="IXJ19" s="13"/>
      <c r="IXK19" s="13"/>
      <c r="IXL19" s="13"/>
      <c r="IXM19" s="13"/>
      <c r="IXN19" s="13"/>
      <c r="IXO19" s="13"/>
      <c r="IXP19" s="13"/>
      <c r="IXQ19" s="13"/>
      <c r="IXR19" s="13"/>
      <c r="IXS19" s="13"/>
      <c r="IXT19" s="13"/>
      <c r="IXU19" s="13"/>
      <c r="IXV19" s="13"/>
      <c r="IXW19" s="13"/>
      <c r="IXX19" s="13"/>
      <c r="IXY19" s="13"/>
      <c r="IXZ19" s="13"/>
      <c r="IYA19" s="13"/>
      <c r="IYB19" s="13"/>
      <c r="IYC19" s="13"/>
      <c r="IYD19" s="13"/>
      <c r="IYE19" s="13"/>
      <c r="IYF19" s="13"/>
      <c r="IYG19" s="13"/>
      <c r="IYH19" s="13"/>
      <c r="IYI19" s="13"/>
      <c r="IYJ19" s="13"/>
      <c r="IYK19" s="13"/>
      <c r="IYL19" s="13"/>
      <c r="IYM19" s="13"/>
      <c r="IYN19" s="13"/>
      <c r="IYO19" s="13"/>
      <c r="IYP19" s="13"/>
      <c r="IYQ19" s="13"/>
      <c r="IYR19" s="13"/>
      <c r="IYS19" s="13"/>
      <c r="IYT19" s="13"/>
      <c r="IYU19" s="13"/>
      <c r="IYV19" s="13"/>
      <c r="IYW19" s="13"/>
      <c r="IYX19" s="13"/>
      <c r="IYY19" s="13"/>
      <c r="IYZ19" s="13"/>
      <c r="IZA19" s="13"/>
      <c r="IZB19" s="13"/>
      <c r="IZC19" s="13"/>
      <c r="IZD19" s="13"/>
      <c r="IZE19" s="13"/>
      <c r="IZF19" s="13"/>
      <c r="IZG19" s="13"/>
      <c r="IZH19" s="13"/>
      <c r="IZI19" s="13"/>
      <c r="IZJ19" s="13"/>
      <c r="IZK19" s="13"/>
      <c r="IZL19" s="13"/>
      <c r="IZM19" s="13"/>
      <c r="IZN19" s="13"/>
      <c r="IZO19" s="13"/>
      <c r="IZP19" s="13"/>
      <c r="IZQ19" s="13"/>
      <c r="IZR19" s="13"/>
      <c r="IZS19" s="13"/>
      <c r="IZT19" s="13"/>
      <c r="IZU19" s="13"/>
      <c r="IZV19" s="13"/>
      <c r="IZW19" s="13"/>
      <c r="IZX19" s="13"/>
      <c r="IZY19" s="13"/>
      <c r="IZZ19" s="13"/>
      <c r="JAA19" s="13"/>
      <c r="JAB19" s="13"/>
      <c r="JAC19" s="13"/>
      <c r="JAD19" s="13"/>
      <c r="JAE19" s="13"/>
      <c r="JAF19" s="13"/>
      <c r="JAG19" s="13"/>
      <c r="JAH19" s="13"/>
      <c r="JAI19" s="13"/>
      <c r="JAJ19" s="13"/>
      <c r="JAK19" s="13"/>
      <c r="JAL19" s="13"/>
      <c r="JAM19" s="13"/>
      <c r="JAN19" s="13"/>
      <c r="JAO19" s="13"/>
      <c r="JAP19" s="13"/>
      <c r="JAQ19" s="13"/>
      <c r="JAR19" s="13"/>
      <c r="JAS19" s="13"/>
      <c r="JAT19" s="13"/>
      <c r="JAU19" s="13"/>
      <c r="JAV19" s="13"/>
      <c r="JAW19" s="13"/>
      <c r="JAX19" s="13"/>
      <c r="JAY19" s="13"/>
      <c r="JAZ19" s="13"/>
      <c r="JBA19" s="13"/>
      <c r="JBB19" s="13"/>
      <c r="JBC19" s="13"/>
      <c r="JBD19" s="13"/>
      <c r="JBE19" s="13"/>
      <c r="JBF19" s="13"/>
      <c r="JBG19" s="13"/>
      <c r="JBH19" s="13"/>
      <c r="JBI19" s="13"/>
      <c r="JBJ19" s="13"/>
      <c r="JBK19" s="13"/>
      <c r="JBL19" s="13"/>
      <c r="JBM19" s="13"/>
      <c r="JBN19" s="13"/>
      <c r="JBO19" s="13"/>
      <c r="JBP19" s="13"/>
      <c r="JBQ19" s="13"/>
      <c r="JBR19" s="13"/>
      <c r="JBS19" s="13"/>
      <c r="JBT19" s="13"/>
      <c r="JBU19" s="13"/>
      <c r="JBV19" s="13"/>
      <c r="JBW19" s="13"/>
      <c r="JBX19" s="13"/>
      <c r="JBY19" s="13"/>
      <c r="JBZ19" s="13"/>
      <c r="JCA19" s="13"/>
      <c r="JCB19" s="13"/>
      <c r="JCC19" s="13"/>
      <c r="JCD19" s="13"/>
      <c r="JCE19" s="13"/>
      <c r="JCF19" s="13"/>
      <c r="JCG19" s="13"/>
      <c r="JCH19" s="13"/>
      <c r="JCI19" s="13"/>
      <c r="JCJ19" s="13"/>
      <c r="JCK19" s="13"/>
      <c r="JCL19" s="13"/>
      <c r="JCM19" s="13"/>
      <c r="JCN19" s="13"/>
      <c r="JCO19" s="13"/>
      <c r="JCP19" s="13"/>
      <c r="JCQ19" s="13"/>
      <c r="JCR19" s="13"/>
      <c r="JCS19" s="13"/>
      <c r="JCT19" s="13"/>
      <c r="JCU19" s="13"/>
      <c r="JCV19" s="13"/>
      <c r="JCW19" s="13"/>
      <c r="JCX19" s="13"/>
      <c r="JCY19" s="13"/>
      <c r="JCZ19" s="13"/>
      <c r="JDA19" s="13"/>
      <c r="JDB19" s="13"/>
      <c r="JDC19" s="13"/>
      <c r="JDD19" s="13"/>
      <c r="JDE19" s="13"/>
      <c r="JDF19" s="13"/>
      <c r="JDG19" s="13"/>
      <c r="JDH19" s="13"/>
      <c r="JDI19" s="13"/>
      <c r="JDJ19" s="13"/>
      <c r="JDK19" s="13"/>
      <c r="JDL19" s="13"/>
      <c r="JDM19" s="13"/>
      <c r="JDN19" s="13"/>
      <c r="JDO19" s="13"/>
      <c r="JDP19" s="13"/>
      <c r="JDQ19" s="13"/>
      <c r="JDR19" s="13"/>
      <c r="JDS19" s="13"/>
      <c r="JDT19" s="13"/>
      <c r="JDU19" s="13"/>
      <c r="JDV19" s="13"/>
      <c r="JDW19" s="13"/>
      <c r="JDX19" s="13"/>
      <c r="JDY19" s="13"/>
      <c r="JDZ19" s="13"/>
      <c r="JEA19" s="13"/>
      <c r="JEB19" s="13"/>
      <c r="JEC19" s="13"/>
      <c r="JED19" s="13"/>
      <c r="JEE19" s="13"/>
      <c r="JEF19" s="13"/>
      <c r="JEG19" s="13"/>
      <c r="JEH19" s="13"/>
      <c r="JEI19" s="13"/>
      <c r="JEJ19" s="13"/>
      <c r="JEK19" s="13"/>
      <c r="JEL19" s="13"/>
      <c r="JEM19" s="13"/>
      <c r="JEN19" s="13"/>
      <c r="JEO19" s="13"/>
      <c r="JEP19" s="13"/>
      <c r="JEQ19" s="13"/>
      <c r="JER19" s="13"/>
      <c r="JES19" s="13"/>
      <c r="JET19" s="13"/>
      <c r="JEU19" s="13"/>
      <c r="JEV19" s="13"/>
      <c r="JEW19" s="13"/>
      <c r="JEX19" s="13"/>
      <c r="JEY19" s="13"/>
      <c r="JEZ19" s="13"/>
      <c r="JFA19" s="13"/>
      <c r="JFB19" s="13"/>
      <c r="JFC19" s="13"/>
      <c r="JFD19" s="13"/>
      <c r="JFE19" s="13"/>
      <c r="JFF19" s="13"/>
      <c r="JFG19" s="13"/>
      <c r="JFH19" s="13"/>
      <c r="JFI19" s="13"/>
      <c r="JFJ19" s="13"/>
      <c r="JFK19" s="13"/>
      <c r="JFL19" s="13"/>
      <c r="JFM19" s="13"/>
      <c r="JFN19" s="13"/>
      <c r="JFO19" s="13"/>
      <c r="JFP19" s="13"/>
      <c r="JFQ19" s="13"/>
      <c r="JFR19" s="13"/>
      <c r="JFS19" s="13"/>
      <c r="JFT19" s="13"/>
      <c r="JFU19" s="13"/>
      <c r="JFV19" s="13"/>
      <c r="JFW19" s="13"/>
      <c r="JFX19" s="13"/>
      <c r="JFY19" s="13"/>
      <c r="JFZ19" s="13"/>
      <c r="JGA19" s="13"/>
      <c r="JGB19" s="13"/>
      <c r="JGC19" s="13"/>
      <c r="JGD19" s="13"/>
      <c r="JGE19" s="13"/>
      <c r="JGF19" s="13"/>
      <c r="JGG19" s="13"/>
      <c r="JGH19" s="13"/>
      <c r="JGI19" s="13"/>
      <c r="JGJ19" s="13"/>
      <c r="JGK19" s="13"/>
      <c r="JGL19" s="13"/>
      <c r="JGM19" s="13"/>
      <c r="JGN19" s="13"/>
      <c r="JGO19" s="13"/>
      <c r="JGP19" s="13"/>
      <c r="JGQ19" s="13"/>
      <c r="JGR19" s="13"/>
      <c r="JGS19" s="13"/>
      <c r="JGT19" s="13"/>
      <c r="JGU19" s="13"/>
      <c r="JGV19" s="13"/>
      <c r="JGW19" s="13"/>
      <c r="JGX19" s="13"/>
      <c r="JGY19" s="13"/>
      <c r="JGZ19" s="13"/>
      <c r="JHA19" s="13"/>
      <c r="JHB19" s="13"/>
      <c r="JHC19" s="13"/>
      <c r="JHD19" s="13"/>
      <c r="JHE19" s="13"/>
      <c r="JHF19" s="13"/>
      <c r="JHG19" s="13"/>
      <c r="JHH19" s="13"/>
      <c r="JHI19" s="13"/>
      <c r="JHJ19" s="13"/>
      <c r="JHK19" s="13"/>
      <c r="JHL19" s="13"/>
      <c r="JHM19" s="13"/>
      <c r="JHN19" s="13"/>
      <c r="JHO19" s="13"/>
      <c r="JHP19" s="13"/>
      <c r="JHQ19" s="13"/>
      <c r="JHR19" s="13"/>
      <c r="JHS19" s="13"/>
      <c r="JHT19" s="13"/>
      <c r="JHU19" s="13"/>
      <c r="JHV19" s="13"/>
      <c r="JHW19" s="13"/>
      <c r="JHX19" s="13"/>
      <c r="JHY19" s="13"/>
      <c r="JHZ19" s="13"/>
      <c r="JIA19" s="13"/>
      <c r="JIB19" s="13"/>
      <c r="JIC19" s="13"/>
      <c r="JID19" s="13"/>
      <c r="JIE19" s="13"/>
      <c r="JIF19" s="13"/>
      <c r="JIG19" s="13"/>
      <c r="JIH19" s="13"/>
      <c r="JII19" s="13"/>
      <c r="JIJ19" s="13"/>
      <c r="JIK19" s="13"/>
      <c r="JIL19" s="13"/>
      <c r="JIM19" s="13"/>
      <c r="JIN19" s="13"/>
      <c r="JIO19" s="13"/>
      <c r="JIP19" s="13"/>
      <c r="JIQ19" s="13"/>
      <c r="JIR19" s="13"/>
      <c r="JIS19" s="13"/>
      <c r="JIT19" s="13"/>
      <c r="JIU19" s="13"/>
      <c r="JIV19" s="13"/>
      <c r="JIW19" s="13"/>
      <c r="JIX19" s="13"/>
      <c r="JIY19" s="13"/>
      <c r="JIZ19" s="13"/>
      <c r="JJA19" s="13"/>
      <c r="JJB19" s="13"/>
      <c r="JJC19" s="13"/>
      <c r="JJD19" s="13"/>
      <c r="JJE19" s="13"/>
      <c r="JJF19" s="13"/>
      <c r="JJG19" s="13"/>
      <c r="JJH19" s="13"/>
      <c r="JJI19" s="13"/>
      <c r="JJJ19" s="13"/>
      <c r="JJK19" s="13"/>
      <c r="JJL19" s="13"/>
      <c r="JJM19" s="13"/>
      <c r="JJN19" s="13"/>
      <c r="JJO19" s="13"/>
      <c r="JJP19" s="13"/>
      <c r="JJQ19" s="13"/>
      <c r="JJR19" s="13"/>
      <c r="JJS19" s="13"/>
      <c r="JJT19" s="13"/>
      <c r="JJU19" s="13"/>
      <c r="JJV19" s="13"/>
      <c r="JJW19" s="13"/>
      <c r="JJX19" s="13"/>
      <c r="JJY19" s="13"/>
      <c r="JJZ19" s="13"/>
      <c r="JKA19" s="13"/>
      <c r="JKB19" s="13"/>
      <c r="JKC19" s="13"/>
      <c r="JKD19" s="13"/>
      <c r="JKE19" s="13"/>
      <c r="JKF19" s="13"/>
      <c r="JKG19" s="13"/>
      <c r="JKH19" s="13"/>
      <c r="JKI19" s="13"/>
      <c r="JKJ19" s="13"/>
      <c r="JKK19" s="13"/>
      <c r="JKL19" s="13"/>
      <c r="JKM19" s="13"/>
      <c r="JKN19" s="13"/>
      <c r="JKO19" s="13"/>
      <c r="JKP19" s="13"/>
      <c r="JKQ19" s="13"/>
      <c r="JKR19" s="13"/>
      <c r="JKS19" s="13"/>
      <c r="JKT19" s="13"/>
      <c r="JKU19" s="13"/>
      <c r="JKV19" s="13"/>
      <c r="JKW19" s="13"/>
      <c r="JKX19" s="13"/>
      <c r="JKY19" s="13"/>
      <c r="JKZ19" s="13"/>
      <c r="JLA19" s="13"/>
      <c r="JLB19" s="13"/>
      <c r="JLC19" s="13"/>
      <c r="JLD19" s="13"/>
      <c r="JLE19" s="13"/>
      <c r="JLF19" s="13"/>
      <c r="JLG19" s="13"/>
      <c r="JLH19" s="13"/>
      <c r="JLI19" s="13"/>
      <c r="JLJ19" s="13"/>
      <c r="JLK19" s="13"/>
      <c r="JLL19" s="13"/>
      <c r="JLM19" s="13"/>
      <c r="JLN19" s="13"/>
      <c r="JLO19" s="13"/>
      <c r="JLP19" s="13"/>
      <c r="JLQ19" s="13"/>
      <c r="JLR19" s="13"/>
      <c r="JLS19" s="13"/>
      <c r="JLT19" s="13"/>
      <c r="JLU19" s="13"/>
      <c r="JLV19" s="13"/>
      <c r="JLW19" s="13"/>
      <c r="JLX19" s="13"/>
      <c r="JLY19" s="13"/>
      <c r="JLZ19" s="13"/>
      <c r="JMA19" s="13"/>
      <c r="JMB19" s="13"/>
      <c r="JMC19" s="13"/>
      <c r="JMD19" s="13"/>
      <c r="JME19" s="13"/>
      <c r="JMF19" s="13"/>
      <c r="JMG19" s="13"/>
      <c r="JMH19" s="13"/>
      <c r="JMI19" s="13"/>
      <c r="JMJ19" s="13"/>
      <c r="JMK19" s="13"/>
      <c r="JML19" s="13"/>
      <c r="JMM19" s="13"/>
      <c r="JMN19" s="13"/>
      <c r="JMO19" s="13"/>
      <c r="JMP19" s="13"/>
      <c r="JMQ19" s="13"/>
      <c r="JMR19" s="13"/>
      <c r="JMS19" s="13"/>
      <c r="JMT19" s="13"/>
      <c r="JMU19" s="13"/>
      <c r="JMV19" s="13"/>
      <c r="JMW19" s="13"/>
      <c r="JMX19" s="13"/>
      <c r="JMY19" s="13"/>
      <c r="JMZ19" s="13"/>
      <c r="JNA19" s="13"/>
      <c r="JNB19" s="13"/>
      <c r="JNC19" s="13"/>
      <c r="JND19" s="13"/>
      <c r="JNE19" s="13"/>
      <c r="JNF19" s="13"/>
      <c r="JNG19" s="13"/>
      <c r="JNH19" s="13"/>
      <c r="JNI19" s="13"/>
      <c r="JNJ19" s="13"/>
      <c r="JNK19" s="13"/>
      <c r="JNL19" s="13"/>
      <c r="JNM19" s="13"/>
      <c r="JNN19" s="13"/>
      <c r="JNO19" s="13"/>
      <c r="JNP19" s="13"/>
      <c r="JNQ19" s="13"/>
      <c r="JNR19" s="13"/>
      <c r="JNS19" s="13"/>
      <c r="JNT19" s="13"/>
      <c r="JNU19" s="13"/>
      <c r="JNV19" s="13"/>
      <c r="JNW19" s="13"/>
      <c r="JNX19" s="13"/>
      <c r="JNY19" s="13"/>
      <c r="JNZ19" s="13"/>
      <c r="JOA19" s="13"/>
      <c r="JOB19" s="13"/>
      <c r="JOC19" s="13"/>
      <c r="JOD19" s="13"/>
      <c r="JOE19" s="13"/>
      <c r="JOF19" s="13"/>
      <c r="JOG19" s="13"/>
      <c r="JOH19" s="13"/>
      <c r="JOI19" s="13"/>
      <c r="JOJ19" s="13"/>
      <c r="JOK19" s="13"/>
      <c r="JOL19" s="13"/>
      <c r="JOM19" s="13"/>
      <c r="JON19" s="13"/>
      <c r="JOO19" s="13"/>
      <c r="JOP19" s="13"/>
      <c r="JOQ19" s="13"/>
      <c r="JOR19" s="13"/>
      <c r="JOS19" s="13"/>
      <c r="JOT19" s="13"/>
      <c r="JOU19" s="13"/>
      <c r="JOV19" s="13"/>
      <c r="JOW19" s="13"/>
      <c r="JOX19" s="13"/>
      <c r="JOY19" s="13"/>
      <c r="JOZ19" s="13"/>
      <c r="JPA19" s="13"/>
      <c r="JPB19" s="13"/>
      <c r="JPC19" s="13"/>
      <c r="JPD19" s="13"/>
      <c r="JPE19" s="13"/>
      <c r="JPF19" s="13"/>
      <c r="JPG19" s="13"/>
      <c r="JPH19" s="13"/>
      <c r="JPI19" s="13"/>
      <c r="JPJ19" s="13"/>
      <c r="JPK19" s="13"/>
      <c r="JPL19" s="13"/>
      <c r="JPM19" s="13"/>
      <c r="JPN19" s="13"/>
      <c r="JPO19" s="13"/>
      <c r="JPP19" s="13"/>
      <c r="JPQ19" s="13"/>
      <c r="JPR19" s="13"/>
      <c r="JPS19" s="13"/>
      <c r="JPT19" s="13"/>
      <c r="JPU19" s="13"/>
      <c r="JPV19" s="13"/>
      <c r="JPW19" s="13"/>
      <c r="JPX19" s="13"/>
      <c r="JPY19" s="13"/>
      <c r="JPZ19" s="13"/>
      <c r="JQA19" s="13"/>
      <c r="JQB19" s="13"/>
      <c r="JQC19" s="13"/>
      <c r="JQD19" s="13"/>
      <c r="JQE19" s="13"/>
      <c r="JQF19" s="13"/>
      <c r="JQG19" s="13"/>
      <c r="JQH19" s="13"/>
      <c r="JQI19" s="13"/>
      <c r="JQJ19" s="13"/>
      <c r="JQK19" s="13"/>
      <c r="JQL19" s="13"/>
      <c r="JQM19" s="13"/>
      <c r="JQN19" s="13"/>
      <c r="JQO19" s="13"/>
      <c r="JQP19" s="13"/>
      <c r="JQQ19" s="13"/>
      <c r="JQR19" s="13"/>
      <c r="JQS19" s="13"/>
      <c r="JQT19" s="13"/>
      <c r="JQU19" s="13"/>
      <c r="JQV19" s="13"/>
      <c r="JQW19" s="13"/>
      <c r="JQX19" s="13"/>
      <c r="JQY19" s="13"/>
      <c r="JQZ19" s="13"/>
      <c r="JRA19" s="13"/>
      <c r="JRB19" s="13"/>
      <c r="JRC19" s="13"/>
      <c r="JRD19" s="13"/>
      <c r="JRE19" s="13"/>
      <c r="JRF19" s="13"/>
      <c r="JRG19" s="13"/>
      <c r="JRH19" s="13"/>
      <c r="JRI19" s="13"/>
      <c r="JRJ19" s="13"/>
      <c r="JRK19" s="13"/>
      <c r="JRL19" s="13"/>
      <c r="JRM19" s="13"/>
      <c r="JRN19" s="13"/>
      <c r="JRO19" s="13"/>
      <c r="JRP19" s="13"/>
      <c r="JRQ19" s="13"/>
      <c r="JRR19" s="13"/>
      <c r="JRS19" s="13"/>
      <c r="JRT19" s="13"/>
      <c r="JRU19" s="13"/>
      <c r="JRV19" s="13"/>
      <c r="JRW19" s="13"/>
      <c r="JRX19" s="13"/>
      <c r="JRY19" s="13"/>
      <c r="JRZ19" s="13"/>
      <c r="JSA19" s="13"/>
      <c r="JSB19" s="13"/>
      <c r="JSC19" s="13"/>
      <c r="JSD19" s="13"/>
      <c r="JSE19" s="13"/>
      <c r="JSF19" s="13"/>
      <c r="JSG19" s="13"/>
      <c r="JSH19" s="13"/>
      <c r="JSI19" s="13"/>
      <c r="JSJ19" s="13"/>
      <c r="JSK19" s="13"/>
      <c r="JSL19" s="13"/>
      <c r="JSM19" s="13"/>
      <c r="JSN19" s="13"/>
      <c r="JSO19" s="13"/>
      <c r="JSP19" s="13"/>
      <c r="JSQ19" s="13"/>
      <c r="JSR19" s="13"/>
      <c r="JSS19" s="13"/>
      <c r="JST19" s="13"/>
      <c r="JSU19" s="13"/>
      <c r="JSV19" s="13"/>
      <c r="JSW19" s="13"/>
      <c r="JSX19" s="13"/>
      <c r="JSY19" s="13"/>
      <c r="JSZ19" s="13"/>
      <c r="JTA19" s="13"/>
      <c r="JTB19" s="13"/>
      <c r="JTC19" s="13"/>
      <c r="JTD19" s="13"/>
      <c r="JTE19" s="13"/>
      <c r="JTF19" s="13"/>
      <c r="JTG19" s="13"/>
      <c r="JTH19" s="13"/>
      <c r="JTI19" s="13"/>
      <c r="JTJ19" s="13"/>
      <c r="JTK19" s="13"/>
      <c r="JTL19" s="13"/>
      <c r="JTM19" s="13"/>
      <c r="JTN19" s="13"/>
      <c r="JTO19" s="13"/>
      <c r="JTP19" s="13"/>
      <c r="JTQ19" s="13"/>
      <c r="JTR19" s="13"/>
      <c r="JTS19" s="13"/>
      <c r="JTT19" s="13"/>
      <c r="JTU19" s="13"/>
      <c r="JTV19" s="13"/>
      <c r="JTW19" s="13"/>
      <c r="JTX19" s="13"/>
      <c r="JTY19" s="13"/>
      <c r="JTZ19" s="13"/>
      <c r="JUA19" s="13"/>
      <c r="JUB19" s="13"/>
      <c r="JUC19" s="13"/>
      <c r="JUD19" s="13"/>
      <c r="JUE19" s="13"/>
      <c r="JUF19" s="13"/>
      <c r="JUG19" s="13"/>
      <c r="JUH19" s="13"/>
      <c r="JUI19" s="13"/>
      <c r="JUJ19" s="13"/>
      <c r="JUK19" s="13"/>
      <c r="JUL19" s="13"/>
      <c r="JUM19" s="13"/>
      <c r="JUN19" s="13"/>
      <c r="JUO19" s="13"/>
      <c r="JUP19" s="13"/>
      <c r="JUQ19" s="13"/>
      <c r="JUR19" s="13"/>
      <c r="JUS19" s="13"/>
      <c r="JUT19" s="13"/>
      <c r="JUU19" s="13"/>
      <c r="JUV19" s="13"/>
      <c r="JUW19" s="13"/>
      <c r="JUX19" s="13"/>
      <c r="JUY19" s="13"/>
      <c r="JUZ19" s="13"/>
      <c r="JVA19" s="13"/>
      <c r="JVB19" s="13"/>
      <c r="JVC19" s="13"/>
      <c r="JVD19" s="13"/>
      <c r="JVE19" s="13"/>
      <c r="JVF19" s="13"/>
      <c r="JVG19" s="13"/>
      <c r="JVH19" s="13"/>
      <c r="JVI19" s="13"/>
      <c r="JVJ19" s="13"/>
      <c r="JVK19" s="13"/>
      <c r="JVL19" s="13"/>
      <c r="JVM19" s="13"/>
      <c r="JVN19" s="13"/>
      <c r="JVO19" s="13"/>
      <c r="JVP19" s="13"/>
      <c r="JVQ19" s="13"/>
      <c r="JVR19" s="13"/>
      <c r="JVS19" s="13"/>
      <c r="JVT19" s="13"/>
      <c r="JVU19" s="13"/>
      <c r="JVV19" s="13"/>
      <c r="JVW19" s="13"/>
      <c r="JVX19" s="13"/>
      <c r="JVY19" s="13"/>
      <c r="JVZ19" s="13"/>
      <c r="JWA19" s="13"/>
      <c r="JWB19" s="13"/>
      <c r="JWC19" s="13"/>
      <c r="JWD19" s="13"/>
      <c r="JWE19" s="13"/>
      <c r="JWF19" s="13"/>
      <c r="JWG19" s="13"/>
      <c r="JWH19" s="13"/>
      <c r="JWI19" s="13"/>
      <c r="JWJ19" s="13"/>
      <c r="JWK19" s="13"/>
      <c r="JWL19" s="13"/>
      <c r="JWM19" s="13"/>
      <c r="JWN19" s="13"/>
      <c r="JWO19" s="13"/>
      <c r="JWP19" s="13"/>
      <c r="JWQ19" s="13"/>
      <c r="JWR19" s="13"/>
      <c r="JWS19" s="13"/>
      <c r="JWT19" s="13"/>
      <c r="JWU19" s="13"/>
      <c r="JWV19" s="13"/>
      <c r="JWW19" s="13"/>
      <c r="JWX19" s="13"/>
      <c r="JWY19" s="13"/>
      <c r="JWZ19" s="13"/>
      <c r="JXA19" s="13"/>
      <c r="JXB19" s="13"/>
      <c r="JXC19" s="13"/>
      <c r="JXD19" s="13"/>
      <c r="JXE19" s="13"/>
      <c r="JXF19" s="13"/>
      <c r="JXG19" s="13"/>
      <c r="JXH19" s="13"/>
      <c r="JXI19" s="13"/>
      <c r="JXJ19" s="13"/>
      <c r="JXK19" s="13"/>
      <c r="JXL19" s="13"/>
      <c r="JXM19" s="13"/>
      <c r="JXN19" s="13"/>
      <c r="JXO19" s="13"/>
      <c r="JXP19" s="13"/>
      <c r="JXQ19" s="13"/>
      <c r="JXR19" s="13"/>
      <c r="JXS19" s="13"/>
      <c r="JXT19" s="13"/>
      <c r="JXU19" s="13"/>
      <c r="JXV19" s="13"/>
      <c r="JXW19" s="13"/>
      <c r="JXX19" s="13"/>
      <c r="JXY19" s="13"/>
      <c r="JXZ19" s="13"/>
      <c r="JYA19" s="13"/>
      <c r="JYB19" s="13"/>
      <c r="JYC19" s="13"/>
      <c r="JYD19" s="13"/>
      <c r="JYE19" s="13"/>
      <c r="JYF19" s="13"/>
      <c r="JYG19" s="13"/>
      <c r="JYH19" s="13"/>
      <c r="JYI19" s="13"/>
      <c r="JYJ19" s="13"/>
      <c r="JYK19" s="13"/>
      <c r="JYL19" s="13"/>
      <c r="JYM19" s="13"/>
      <c r="JYN19" s="13"/>
      <c r="JYO19" s="13"/>
      <c r="JYP19" s="13"/>
      <c r="JYQ19" s="13"/>
      <c r="JYR19" s="13"/>
      <c r="JYS19" s="13"/>
      <c r="JYT19" s="13"/>
      <c r="JYU19" s="13"/>
      <c r="JYV19" s="13"/>
      <c r="JYW19" s="13"/>
      <c r="JYX19" s="13"/>
      <c r="JYY19" s="13"/>
      <c r="JYZ19" s="13"/>
      <c r="JZA19" s="13"/>
      <c r="JZB19" s="13"/>
      <c r="JZC19" s="13"/>
      <c r="JZD19" s="13"/>
      <c r="JZE19" s="13"/>
      <c r="JZF19" s="13"/>
      <c r="JZG19" s="13"/>
      <c r="JZH19" s="13"/>
      <c r="JZI19" s="13"/>
      <c r="JZJ19" s="13"/>
      <c r="JZK19" s="13"/>
      <c r="JZL19" s="13"/>
      <c r="JZM19" s="13"/>
      <c r="JZN19" s="13"/>
      <c r="JZO19" s="13"/>
      <c r="JZP19" s="13"/>
      <c r="JZQ19" s="13"/>
      <c r="JZR19" s="13"/>
      <c r="JZS19" s="13"/>
      <c r="JZT19" s="13"/>
      <c r="JZU19" s="13"/>
      <c r="JZV19" s="13"/>
      <c r="JZW19" s="13"/>
      <c r="JZX19" s="13"/>
      <c r="JZY19" s="13"/>
      <c r="JZZ19" s="13"/>
      <c r="KAA19" s="13"/>
      <c r="KAB19" s="13"/>
      <c r="KAC19" s="13"/>
      <c r="KAD19" s="13"/>
      <c r="KAE19" s="13"/>
      <c r="KAF19" s="13"/>
      <c r="KAG19" s="13"/>
      <c r="KAH19" s="13"/>
      <c r="KAI19" s="13"/>
      <c r="KAJ19" s="13"/>
      <c r="KAK19" s="13"/>
      <c r="KAL19" s="13"/>
      <c r="KAM19" s="13"/>
      <c r="KAN19" s="13"/>
      <c r="KAO19" s="13"/>
      <c r="KAP19" s="13"/>
      <c r="KAQ19" s="13"/>
      <c r="KAR19" s="13"/>
      <c r="KAS19" s="13"/>
      <c r="KAT19" s="13"/>
      <c r="KAU19" s="13"/>
      <c r="KAV19" s="13"/>
      <c r="KAW19" s="13"/>
      <c r="KAX19" s="13"/>
      <c r="KAY19" s="13"/>
      <c r="KAZ19" s="13"/>
      <c r="KBA19" s="13"/>
      <c r="KBB19" s="13"/>
      <c r="KBC19" s="13"/>
      <c r="KBD19" s="13"/>
      <c r="KBE19" s="13"/>
      <c r="KBF19" s="13"/>
      <c r="KBG19" s="13"/>
      <c r="KBH19" s="13"/>
      <c r="KBI19" s="13"/>
      <c r="KBJ19" s="13"/>
      <c r="KBK19" s="13"/>
      <c r="KBL19" s="13"/>
      <c r="KBM19" s="13"/>
      <c r="KBN19" s="13"/>
      <c r="KBO19" s="13"/>
      <c r="KBP19" s="13"/>
      <c r="KBQ19" s="13"/>
      <c r="KBR19" s="13"/>
      <c r="KBS19" s="13"/>
      <c r="KBT19" s="13"/>
      <c r="KBU19" s="13"/>
      <c r="KBV19" s="13"/>
      <c r="KBW19" s="13"/>
      <c r="KBX19" s="13"/>
      <c r="KBY19" s="13"/>
      <c r="KBZ19" s="13"/>
      <c r="KCA19" s="13"/>
      <c r="KCB19" s="13"/>
      <c r="KCC19" s="13"/>
      <c r="KCD19" s="13"/>
      <c r="KCE19" s="13"/>
      <c r="KCF19" s="13"/>
      <c r="KCG19" s="13"/>
      <c r="KCH19" s="13"/>
      <c r="KCI19" s="13"/>
      <c r="KCJ19" s="13"/>
      <c r="KCK19" s="13"/>
      <c r="KCL19" s="13"/>
      <c r="KCM19" s="13"/>
      <c r="KCN19" s="13"/>
      <c r="KCO19" s="13"/>
      <c r="KCP19" s="13"/>
      <c r="KCQ19" s="13"/>
      <c r="KCR19" s="13"/>
      <c r="KCS19" s="13"/>
      <c r="KCT19" s="13"/>
      <c r="KCU19" s="13"/>
      <c r="KCV19" s="13"/>
      <c r="KCW19" s="13"/>
      <c r="KCX19" s="13"/>
      <c r="KCY19" s="13"/>
      <c r="KCZ19" s="13"/>
      <c r="KDA19" s="13"/>
      <c r="KDB19" s="13"/>
      <c r="KDC19" s="13"/>
      <c r="KDD19" s="13"/>
      <c r="KDE19" s="13"/>
      <c r="KDF19" s="13"/>
      <c r="KDG19" s="13"/>
      <c r="KDH19" s="13"/>
      <c r="KDI19" s="13"/>
      <c r="KDJ19" s="13"/>
      <c r="KDK19" s="13"/>
      <c r="KDL19" s="13"/>
      <c r="KDM19" s="13"/>
      <c r="KDN19" s="13"/>
      <c r="KDO19" s="13"/>
      <c r="KDP19" s="13"/>
      <c r="KDQ19" s="13"/>
      <c r="KDR19" s="13"/>
      <c r="KDS19" s="13"/>
      <c r="KDT19" s="13"/>
      <c r="KDU19" s="13"/>
      <c r="KDV19" s="13"/>
      <c r="KDW19" s="13"/>
      <c r="KDX19" s="13"/>
      <c r="KDY19" s="13"/>
      <c r="KDZ19" s="13"/>
      <c r="KEA19" s="13"/>
      <c r="KEB19" s="13"/>
      <c r="KEC19" s="13"/>
      <c r="KED19" s="13"/>
      <c r="KEE19" s="13"/>
      <c r="KEF19" s="13"/>
      <c r="KEG19" s="13"/>
      <c r="KEH19" s="13"/>
      <c r="KEI19" s="13"/>
      <c r="KEJ19" s="13"/>
      <c r="KEK19" s="13"/>
      <c r="KEL19" s="13"/>
      <c r="KEM19" s="13"/>
      <c r="KEN19" s="13"/>
      <c r="KEO19" s="13"/>
      <c r="KEP19" s="13"/>
      <c r="KEQ19" s="13"/>
      <c r="KER19" s="13"/>
      <c r="KES19" s="13"/>
      <c r="KET19" s="13"/>
      <c r="KEU19" s="13"/>
      <c r="KEV19" s="13"/>
      <c r="KEW19" s="13"/>
      <c r="KEX19" s="13"/>
      <c r="KEY19" s="13"/>
      <c r="KEZ19" s="13"/>
      <c r="KFA19" s="13"/>
      <c r="KFB19" s="13"/>
      <c r="KFC19" s="13"/>
      <c r="KFD19" s="13"/>
      <c r="KFE19" s="13"/>
      <c r="KFF19" s="13"/>
      <c r="KFG19" s="13"/>
      <c r="KFH19" s="13"/>
      <c r="KFI19" s="13"/>
      <c r="KFJ19" s="13"/>
      <c r="KFK19" s="13"/>
      <c r="KFL19" s="13"/>
      <c r="KFM19" s="13"/>
      <c r="KFN19" s="13"/>
      <c r="KFO19" s="13"/>
      <c r="KFP19" s="13"/>
      <c r="KFQ19" s="13"/>
      <c r="KFR19" s="13"/>
      <c r="KFS19" s="13"/>
      <c r="KFT19" s="13"/>
      <c r="KFU19" s="13"/>
      <c r="KFV19" s="13"/>
      <c r="KFW19" s="13"/>
      <c r="KFX19" s="13"/>
      <c r="KFY19" s="13"/>
      <c r="KFZ19" s="13"/>
      <c r="KGA19" s="13"/>
      <c r="KGB19" s="13"/>
      <c r="KGC19" s="13"/>
      <c r="KGD19" s="13"/>
      <c r="KGE19" s="13"/>
      <c r="KGF19" s="13"/>
      <c r="KGG19" s="13"/>
      <c r="KGH19" s="13"/>
      <c r="KGI19" s="13"/>
      <c r="KGJ19" s="13"/>
      <c r="KGK19" s="13"/>
      <c r="KGL19" s="13"/>
      <c r="KGM19" s="13"/>
      <c r="KGN19" s="13"/>
      <c r="KGO19" s="13"/>
      <c r="KGP19" s="13"/>
      <c r="KGQ19" s="13"/>
      <c r="KGR19" s="13"/>
      <c r="KGS19" s="13"/>
      <c r="KGT19" s="13"/>
      <c r="KGU19" s="13"/>
      <c r="KGV19" s="13"/>
      <c r="KGW19" s="13"/>
      <c r="KGX19" s="13"/>
      <c r="KGY19" s="13"/>
      <c r="KGZ19" s="13"/>
      <c r="KHA19" s="13"/>
      <c r="KHB19" s="13"/>
      <c r="KHC19" s="13"/>
      <c r="KHD19" s="13"/>
      <c r="KHE19" s="13"/>
      <c r="KHF19" s="13"/>
      <c r="KHG19" s="13"/>
      <c r="KHH19" s="13"/>
      <c r="KHI19" s="13"/>
      <c r="KHJ19" s="13"/>
      <c r="KHK19" s="13"/>
      <c r="KHL19" s="13"/>
      <c r="KHM19" s="13"/>
      <c r="KHN19" s="13"/>
      <c r="KHO19" s="13"/>
      <c r="KHP19" s="13"/>
      <c r="KHQ19" s="13"/>
      <c r="KHR19" s="13"/>
      <c r="KHS19" s="13"/>
      <c r="KHT19" s="13"/>
      <c r="KHU19" s="13"/>
      <c r="KHV19" s="13"/>
      <c r="KHW19" s="13"/>
      <c r="KHX19" s="13"/>
      <c r="KHY19" s="13"/>
      <c r="KHZ19" s="13"/>
      <c r="KIA19" s="13"/>
      <c r="KIB19" s="13"/>
      <c r="KIC19" s="13"/>
      <c r="KID19" s="13"/>
      <c r="KIE19" s="13"/>
      <c r="KIF19" s="13"/>
      <c r="KIG19" s="13"/>
      <c r="KIH19" s="13"/>
      <c r="KII19" s="13"/>
      <c r="KIJ19" s="13"/>
      <c r="KIK19" s="13"/>
      <c r="KIL19" s="13"/>
      <c r="KIM19" s="13"/>
      <c r="KIN19" s="13"/>
      <c r="KIO19" s="13"/>
      <c r="KIP19" s="13"/>
      <c r="KIQ19" s="13"/>
      <c r="KIR19" s="13"/>
      <c r="KIS19" s="13"/>
      <c r="KIT19" s="13"/>
      <c r="KIU19" s="13"/>
      <c r="KIV19" s="13"/>
      <c r="KIW19" s="13"/>
      <c r="KIX19" s="13"/>
      <c r="KIY19" s="13"/>
      <c r="KIZ19" s="13"/>
      <c r="KJA19" s="13"/>
      <c r="KJB19" s="13"/>
      <c r="KJC19" s="13"/>
      <c r="KJD19" s="13"/>
      <c r="KJE19" s="13"/>
      <c r="KJF19" s="13"/>
      <c r="KJG19" s="13"/>
      <c r="KJH19" s="13"/>
      <c r="KJI19" s="13"/>
      <c r="KJJ19" s="13"/>
      <c r="KJK19" s="13"/>
      <c r="KJL19" s="13"/>
      <c r="KJM19" s="13"/>
      <c r="KJN19" s="13"/>
      <c r="KJO19" s="13"/>
      <c r="KJP19" s="13"/>
      <c r="KJQ19" s="13"/>
      <c r="KJR19" s="13"/>
      <c r="KJS19" s="13"/>
      <c r="KJT19" s="13"/>
      <c r="KJU19" s="13"/>
      <c r="KJV19" s="13"/>
      <c r="KJW19" s="13"/>
      <c r="KJX19" s="13"/>
      <c r="KJY19" s="13"/>
      <c r="KJZ19" s="13"/>
      <c r="KKA19" s="13"/>
      <c r="KKB19" s="13"/>
      <c r="KKC19" s="13"/>
      <c r="KKD19" s="13"/>
      <c r="KKE19" s="13"/>
      <c r="KKF19" s="13"/>
      <c r="KKG19" s="13"/>
      <c r="KKH19" s="13"/>
      <c r="KKI19" s="13"/>
      <c r="KKJ19" s="13"/>
      <c r="KKK19" s="13"/>
      <c r="KKL19" s="13"/>
      <c r="KKM19" s="13"/>
      <c r="KKN19" s="13"/>
      <c r="KKO19" s="13"/>
      <c r="KKP19" s="13"/>
      <c r="KKQ19" s="13"/>
      <c r="KKR19" s="13"/>
      <c r="KKS19" s="13"/>
      <c r="KKT19" s="13"/>
      <c r="KKU19" s="13"/>
      <c r="KKV19" s="13"/>
      <c r="KKW19" s="13"/>
      <c r="KKX19" s="13"/>
      <c r="KKY19" s="13"/>
      <c r="KKZ19" s="13"/>
      <c r="KLA19" s="13"/>
      <c r="KLB19" s="13"/>
      <c r="KLC19" s="13"/>
      <c r="KLD19" s="13"/>
      <c r="KLE19" s="13"/>
      <c r="KLF19" s="13"/>
      <c r="KLG19" s="13"/>
      <c r="KLH19" s="13"/>
      <c r="KLI19" s="13"/>
      <c r="KLJ19" s="13"/>
      <c r="KLK19" s="13"/>
      <c r="KLL19" s="13"/>
      <c r="KLM19" s="13"/>
      <c r="KLN19" s="13"/>
      <c r="KLO19" s="13"/>
      <c r="KLP19" s="13"/>
      <c r="KLQ19" s="13"/>
      <c r="KLR19" s="13"/>
      <c r="KLS19" s="13"/>
      <c r="KLT19" s="13"/>
      <c r="KLU19" s="13"/>
      <c r="KLV19" s="13"/>
      <c r="KLW19" s="13"/>
      <c r="KLX19" s="13"/>
      <c r="KLY19" s="13"/>
      <c r="KLZ19" s="13"/>
      <c r="KMA19" s="13"/>
      <c r="KMB19" s="13"/>
      <c r="KMC19" s="13"/>
      <c r="KMD19" s="13"/>
      <c r="KME19" s="13"/>
      <c r="KMF19" s="13"/>
      <c r="KMG19" s="13"/>
      <c r="KMH19" s="13"/>
      <c r="KMI19" s="13"/>
      <c r="KMJ19" s="13"/>
      <c r="KMK19" s="13"/>
      <c r="KML19" s="13"/>
      <c r="KMM19" s="13"/>
      <c r="KMN19" s="13"/>
      <c r="KMO19" s="13"/>
      <c r="KMP19" s="13"/>
      <c r="KMQ19" s="13"/>
      <c r="KMR19" s="13"/>
      <c r="KMS19" s="13"/>
      <c r="KMT19" s="13"/>
      <c r="KMU19" s="13"/>
      <c r="KMV19" s="13"/>
      <c r="KMW19" s="13"/>
      <c r="KMX19" s="13"/>
      <c r="KMY19" s="13"/>
      <c r="KMZ19" s="13"/>
      <c r="KNA19" s="13"/>
      <c r="KNB19" s="13"/>
      <c r="KNC19" s="13"/>
      <c r="KND19" s="13"/>
      <c r="KNE19" s="13"/>
      <c r="KNF19" s="13"/>
      <c r="KNG19" s="13"/>
      <c r="KNH19" s="13"/>
      <c r="KNI19" s="13"/>
      <c r="KNJ19" s="13"/>
      <c r="KNK19" s="13"/>
      <c r="KNL19" s="13"/>
      <c r="KNM19" s="13"/>
      <c r="KNN19" s="13"/>
      <c r="KNO19" s="13"/>
      <c r="KNP19" s="13"/>
      <c r="KNQ19" s="13"/>
      <c r="KNR19" s="13"/>
      <c r="KNS19" s="13"/>
      <c r="KNT19" s="13"/>
      <c r="KNU19" s="13"/>
      <c r="KNV19" s="13"/>
      <c r="KNW19" s="13"/>
      <c r="KNX19" s="13"/>
      <c r="KNY19" s="13"/>
      <c r="KNZ19" s="13"/>
      <c r="KOA19" s="13"/>
      <c r="KOB19" s="13"/>
      <c r="KOC19" s="13"/>
      <c r="KOD19" s="13"/>
      <c r="KOE19" s="13"/>
      <c r="KOF19" s="13"/>
      <c r="KOG19" s="13"/>
      <c r="KOH19" s="13"/>
      <c r="KOI19" s="13"/>
      <c r="KOJ19" s="13"/>
      <c r="KOK19" s="13"/>
      <c r="KOL19" s="13"/>
      <c r="KOM19" s="13"/>
      <c r="KON19" s="13"/>
      <c r="KOO19" s="13"/>
      <c r="KOP19" s="13"/>
      <c r="KOQ19" s="13"/>
      <c r="KOR19" s="13"/>
      <c r="KOS19" s="13"/>
      <c r="KOT19" s="13"/>
      <c r="KOU19" s="13"/>
      <c r="KOV19" s="13"/>
      <c r="KOW19" s="13"/>
      <c r="KOX19" s="13"/>
      <c r="KOY19" s="13"/>
      <c r="KOZ19" s="13"/>
      <c r="KPA19" s="13"/>
      <c r="KPB19" s="13"/>
      <c r="KPC19" s="13"/>
      <c r="KPD19" s="13"/>
      <c r="KPE19" s="13"/>
      <c r="KPF19" s="13"/>
      <c r="KPG19" s="13"/>
      <c r="KPH19" s="13"/>
      <c r="KPI19" s="13"/>
      <c r="KPJ19" s="13"/>
      <c r="KPK19" s="13"/>
      <c r="KPL19" s="13"/>
      <c r="KPM19" s="13"/>
      <c r="KPN19" s="13"/>
      <c r="KPO19" s="13"/>
      <c r="KPP19" s="13"/>
      <c r="KPQ19" s="13"/>
      <c r="KPR19" s="13"/>
      <c r="KPS19" s="13"/>
      <c r="KPT19" s="13"/>
      <c r="KPU19" s="13"/>
      <c r="KPV19" s="13"/>
      <c r="KPW19" s="13"/>
      <c r="KPX19" s="13"/>
      <c r="KPY19" s="13"/>
      <c r="KPZ19" s="13"/>
      <c r="KQA19" s="13"/>
      <c r="KQB19" s="13"/>
      <c r="KQC19" s="13"/>
      <c r="KQD19" s="13"/>
      <c r="KQE19" s="13"/>
      <c r="KQF19" s="13"/>
      <c r="KQG19" s="13"/>
      <c r="KQH19" s="13"/>
      <c r="KQI19" s="13"/>
      <c r="KQJ19" s="13"/>
      <c r="KQK19" s="13"/>
      <c r="KQL19" s="13"/>
      <c r="KQM19" s="13"/>
      <c r="KQN19" s="13"/>
      <c r="KQO19" s="13"/>
      <c r="KQP19" s="13"/>
      <c r="KQQ19" s="13"/>
      <c r="KQR19" s="13"/>
      <c r="KQS19" s="13"/>
      <c r="KQT19" s="13"/>
      <c r="KQU19" s="13"/>
      <c r="KQV19" s="13"/>
      <c r="KQW19" s="13"/>
      <c r="KQX19" s="13"/>
      <c r="KQY19" s="13"/>
      <c r="KQZ19" s="13"/>
      <c r="KRA19" s="13"/>
      <c r="KRB19" s="13"/>
      <c r="KRC19" s="13"/>
      <c r="KRD19" s="13"/>
      <c r="KRE19" s="13"/>
      <c r="KRF19" s="13"/>
      <c r="KRG19" s="13"/>
      <c r="KRH19" s="13"/>
      <c r="KRI19" s="13"/>
      <c r="KRJ19" s="13"/>
      <c r="KRK19" s="13"/>
      <c r="KRL19" s="13"/>
      <c r="KRM19" s="13"/>
      <c r="KRN19" s="13"/>
      <c r="KRO19" s="13"/>
      <c r="KRP19" s="13"/>
      <c r="KRQ19" s="13"/>
      <c r="KRR19" s="13"/>
      <c r="KRS19" s="13"/>
      <c r="KRT19" s="13"/>
      <c r="KRU19" s="13"/>
      <c r="KRV19" s="13"/>
      <c r="KRW19" s="13"/>
      <c r="KRX19" s="13"/>
      <c r="KRY19" s="13"/>
      <c r="KRZ19" s="13"/>
      <c r="KSA19" s="13"/>
      <c r="KSB19" s="13"/>
      <c r="KSC19" s="13"/>
      <c r="KSD19" s="13"/>
      <c r="KSE19" s="13"/>
      <c r="KSF19" s="13"/>
      <c r="KSG19" s="13"/>
      <c r="KSH19" s="13"/>
      <c r="KSI19" s="13"/>
      <c r="KSJ19" s="13"/>
      <c r="KSK19" s="13"/>
      <c r="KSL19" s="13"/>
      <c r="KSM19" s="13"/>
      <c r="KSN19" s="13"/>
      <c r="KSO19" s="13"/>
      <c r="KSP19" s="13"/>
      <c r="KSQ19" s="13"/>
      <c r="KSR19" s="13"/>
      <c r="KSS19" s="13"/>
      <c r="KST19" s="13"/>
      <c r="KSU19" s="13"/>
      <c r="KSV19" s="13"/>
      <c r="KSW19" s="13"/>
      <c r="KSX19" s="13"/>
      <c r="KSY19" s="13"/>
      <c r="KSZ19" s="13"/>
      <c r="KTA19" s="13"/>
      <c r="KTB19" s="13"/>
      <c r="KTC19" s="13"/>
      <c r="KTD19" s="13"/>
      <c r="KTE19" s="13"/>
      <c r="KTF19" s="13"/>
      <c r="KTG19" s="13"/>
      <c r="KTH19" s="13"/>
      <c r="KTI19" s="13"/>
      <c r="KTJ19" s="13"/>
      <c r="KTK19" s="13"/>
      <c r="KTL19" s="13"/>
      <c r="KTM19" s="13"/>
      <c r="KTN19" s="13"/>
      <c r="KTO19" s="13"/>
      <c r="KTP19" s="13"/>
      <c r="KTQ19" s="13"/>
      <c r="KTR19" s="13"/>
      <c r="KTS19" s="13"/>
      <c r="KTT19" s="13"/>
      <c r="KTU19" s="13"/>
      <c r="KTV19" s="13"/>
      <c r="KTW19" s="13"/>
      <c r="KTX19" s="13"/>
      <c r="KTY19" s="13"/>
      <c r="KTZ19" s="13"/>
      <c r="KUA19" s="13"/>
      <c r="KUB19" s="13"/>
      <c r="KUC19" s="13"/>
      <c r="KUD19" s="13"/>
      <c r="KUE19" s="13"/>
      <c r="KUF19" s="13"/>
      <c r="KUG19" s="13"/>
      <c r="KUH19" s="13"/>
      <c r="KUI19" s="13"/>
      <c r="KUJ19" s="13"/>
      <c r="KUK19" s="13"/>
      <c r="KUL19" s="13"/>
      <c r="KUM19" s="13"/>
      <c r="KUN19" s="13"/>
      <c r="KUO19" s="13"/>
      <c r="KUP19" s="13"/>
      <c r="KUQ19" s="13"/>
      <c r="KUR19" s="13"/>
      <c r="KUS19" s="13"/>
      <c r="KUT19" s="13"/>
      <c r="KUU19" s="13"/>
      <c r="KUV19" s="13"/>
      <c r="KUW19" s="13"/>
      <c r="KUX19" s="13"/>
      <c r="KUY19" s="13"/>
      <c r="KUZ19" s="13"/>
      <c r="KVA19" s="13"/>
      <c r="KVB19" s="13"/>
      <c r="KVC19" s="13"/>
      <c r="KVD19" s="13"/>
      <c r="KVE19" s="13"/>
      <c r="KVF19" s="13"/>
      <c r="KVG19" s="13"/>
      <c r="KVH19" s="13"/>
      <c r="KVI19" s="13"/>
      <c r="KVJ19" s="13"/>
      <c r="KVK19" s="13"/>
      <c r="KVL19" s="13"/>
      <c r="KVM19" s="13"/>
      <c r="KVN19" s="13"/>
      <c r="KVO19" s="13"/>
      <c r="KVP19" s="13"/>
      <c r="KVQ19" s="13"/>
      <c r="KVR19" s="13"/>
      <c r="KVS19" s="13"/>
      <c r="KVT19" s="13"/>
      <c r="KVU19" s="13"/>
      <c r="KVV19" s="13"/>
      <c r="KVW19" s="13"/>
      <c r="KVX19" s="13"/>
      <c r="KVY19" s="13"/>
      <c r="KVZ19" s="13"/>
      <c r="KWA19" s="13"/>
      <c r="KWB19" s="13"/>
      <c r="KWC19" s="13"/>
      <c r="KWD19" s="13"/>
      <c r="KWE19" s="13"/>
      <c r="KWF19" s="13"/>
      <c r="KWG19" s="13"/>
      <c r="KWH19" s="13"/>
      <c r="KWI19" s="13"/>
      <c r="KWJ19" s="13"/>
      <c r="KWK19" s="13"/>
      <c r="KWL19" s="13"/>
      <c r="KWM19" s="13"/>
      <c r="KWN19" s="13"/>
      <c r="KWO19" s="13"/>
      <c r="KWP19" s="13"/>
      <c r="KWQ19" s="13"/>
      <c r="KWR19" s="13"/>
      <c r="KWS19" s="13"/>
      <c r="KWT19" s="13"/>
      <c r="KWU19" s="13"/>
      <c r="KWV19" s="13"/>
      <c r="KWW19" s="13"/>
      <c r="KWX19" s="13"/>
      <c r="KWY19" s="13"/>
      <c r="KWZ19" s="13"/>
      <c r="KXA19" s="13"/>
      <c r="KXB19" s="13"/>
      <c r="KXC19" s="13"/>
      <c r="KXD19" s="13"/>
      <c r="KXE19" s="13"/>
      <c r="KXF19" s="13"/>
      <c r="KXG19" s="13"/>
      <c r="KXH19" s="13"/>
      <c r="KXI19" s="13"/>
      <c r="KXJ19" s="13"/>
      <c r="KXK19" s="13"/>
      <c r="KXL19" s="13"/>
      <c r="KXM19" s="13"/>
      <c r="KXN19" s="13"/>
      <c r="KXO19" s="13"/>
      <c r="KXP19" s="13"/>
      <c r="KXQ19" s="13"/>
      <c r="KXR19" s="13"/>
      <c r="KXS19" s="13"/>
      <c r="KXT19" s="13"/>
      <c r="KXU19" s="13"/>
      <c r="KXV19" s="13"/>
      <c r="KXW19" s="13"/>
      <c r="KXX19" s="13"/>
      <c r="KXY19" s="13"/>
      <c r="KXZ19" s="13"/>
      <c r="KYA19" s="13"/>
      <c r="KYB19" s="13"/>
      <c r="KYC19" s="13"/>
      <c r="KYD19" s="13"/>
      <c r="KYE19" s="13"/>
      <c r="KYF19" s="13"/>
      <c r="KYG19" s="13"/>
      <c r="KYH19" s="13"/>
      <c r="KYI19" s="13"/>
      <c r="KYJ19" s="13"/>
      <c r="KYK19" s="13"/>
      <c r="KYL19" s="13"/>
      <c r="KYM19" s="13"/>
      <c r="KYN19" s="13"/>
      <c r="KYO19" s="13"/>
      <c r="KYP19" s="13"/>
      <c r="KYQ19" s="13"/>
      <c r="KYR19" s="13"/>
      <c r="KYS19" s="13"/>
      <c r="KYT19" s="13"/>
      <c r="KYU19" s="13"/>
      <c r="KYV19" s="13"/>
      <c r="KYW19" s="13"/>
      <c r="KYX19" s="13"/>
      <c r="KYY19" s="13"/>
      <c r="KYZ19" s="13"/>
      <c r="KZA19" s="13"/>
      <c r="KZB19" s="13"/>
      <c r="KZC19" s="13"/>
      <c r="KZD19" s="13"/>
      <c r="KZE19" s="13"/>
      <c r="KZF19" s="13"/>
      <c r="KZG19" s="13"/>
      <c r="KZH19" s="13"/>
      <c r="KZI19" s="13"/>
      <c r="KZJ19" s="13"/>
      <c r="KZK19" s="13"/>
      <c r="KZL19" s="13"/>
      <c r="KZM19" s="13"/>
      <c r="KZN19" s="13"/>
      <c r="KZO19" s="13"/>
      <c r="KZP19" s="13"/>
      <c r="KZQ19" s="13"/>
      <c r="KZR19" s="13"/>
      <c r="KZS19" s="13"/>
      <c r="KZT19" s="13"/>
      <c r="KZU19" s="13"/>
      <c r="KZV19" s="13"/>
      <c r="KZW19" s="13"/>
      <c r="KZX19" s="13"/>
      <c r="KZY19" s="13"/>
      <c r="KZZ19" s="13"/>
      <c r="LAA19" s="13"/>
      <c r="LAB19" s="13"/>
      <c r="LAC19" s="13"/>
      <c r="LAD19" s="13"/>
      <c r="LAE19" s="13"/>
      <c r="LAF19" s="13"/>
      <c r="LAG19" s="13"/>
      <c r="LAH19" s="13"/>
      <c r="LAI19" s="13"/>
      <c r="LAJ19" s="13"/>
      <c r="LAK19" s="13"/>
      <c r="LAL19" s="13"/>
      <c r="LAM19" s="13"/>
      <c r="LAN19" s="13"/>
      <c r="LAO19" s="13"/>
      <c r="LAP19" s="13"/>
      <c r="LAQ19" s="13"/>
      <c r="LAR19" s="13"/>
      <c r="LAS19" s="13"/>
      <c r="LAT19" s="13"/>
      <c r="LAU19" s="13"/>
      <c r="LAV19" s="13"/>
      <c r="LAW19" s="13"/>
      <c r="LAX19" s="13"/>
      <c r="LAY19" s="13"/>
      <c r="LAZ19" s="13"/>
      <c r="LBA19" s="13"/>
      <c r="LBB19" s="13"/>
      <c r="LBC19" s="13"/>
      <c r="LBD19" s="13"/>
      <c r="LBE19" s="13"/>
      <c r="LBF19" s="13"/>
      <c r="LBG19" s="13"/>
      <c r="LBH19" s="13"/>
      <c r="LBI19" s="13"/>
      <c r="LBJ19" s="13"/>
      <c r="LBK19" s="13"/>
      <c r="LBL19" s="13"/>
      <c r="LBM19" s="13"/>
      <c r="LBN19" s="13"/>
      <c r="LBO19" s="13"/>
      <c r="LBP19" s="13"/>
      <c r="LBQ19" s="13"/>
      <c r="LBR19" s="13"/>
      <c r="LBS19" s="13"/>
      <c r="LBT19" s="13"/>
      <c r="LBU19" s="13"/>
      <c r="LBV19" s="13"/>
      <c r="LBW19" s="13"/>
      <c r="LBX19" s="13"/>
      <c r="LBY19" s="13"/>
      <c r="LBZ19" s="13"/>
      <c r="LCA19" s="13"/>
      <c r="LCB19" s="13"/>
      <c r="LCC19" s="13"/>
      <c r="LCD19" s="13"/>
      <c r="LCE19" s="13"/>
      <c r="LCF19" s="13"/>
      <c r="LCG19" s="13"/>
      <c r="LCH19" s="13"/>
      <c r="LCI19" s="13"/>
      <c r="LCJ19" s="13"/>
      <c r="LCK19" s="13"/>
      <c r="LCL19" s="13"/>
      <c r="LCM19" s="13"/>
      <c r="LCN19" s="13"/>
      <c r="LCO19" s="13"/>
      <c r="LCP19" s="13"/>
      <c r="LCQ19" s="13"/>
      <c r="LCR19" s="13"/>
      <c r="LCS19" s="13"/>
      <c r="LCT19" s="13"/>
      <c r="LCU19" s="13"/>
      <c r="LCV19" s="13"/>
      <c r="LCW19" s="13"/>
      <c r="LCX19" s="13"/>
      <c r="LCY19" s="13"/>
      <c r="LCZ19" s="13"/>
      <c r="LDA19" s="13"/>
      <c r="LDB19" s="13"/>
      <c r="LDC19" s="13"/>
      <c r="LDD19" s="13"/>
      <c r="LDE19" s="13"/>
      <c r="LDF19" s="13"/>
      <c r="LDG19" s="13"/>
      <c r="LDH19" s="13"/>
      <c r="LDI19" s="13"/>
      <c r="LDJ19" s="13"/>
      <c r="LDK19" s="13"/>
      <c r="LDL19" s="13"/>
      <c r="LDM19" s="13"/>
      <c r="LDN19" s="13"/>
      <c r="LDO19" s="13"/>
      <c r="LDP19" s="13"/>
      <c r="LDQ19" s="13"/>
      <c r="LDR19" s="13"/>
      <c r="LDS19" s="13"/>
      <c r="LDT19" s="13"/>
      <c r="LDU19" s="13"/>
      <c r="LDV19" s="13"/>
      <c r="LDW19" s="13"/>
      <c r="LDX19" s="13"/>
      <c r="LDY19" s="13"/>
      <c r="LDZ19" s="13"/>
      <c r="LEA19" s="13"/>
      <c r="LEB19" s="13"/>
      <c r="LEC19" s="13"/>
      <c r="LED19" s="13"/>
      <c r="LEE19" s="13"/>
      <c r="LEF19" s="13"/>
      <c r="LEG19" s="13"/>
      <c r="LEH19" s="13"/>
      <c r="LEI19" s="13"/>
      <c r="LEJ19" s="13"/>
      <c r="LEK19" s="13"/>
      <c r="LEL19" s="13"/>
      <c r="LEM19" s="13"/>
      <c r="LEN19" s="13"/>
      <c r="LEO19" s="13"/>
      <c r="LEP19" s="13"/>
      <c r="LEQ19" s="13"/>
      <c r="LER19" s="13"/>
      <c r="LES19" s="13"/>
      <c r="LET19" s="13"/>
      <c r="LEU19" s="13"/>
      <c r="LEV19" s="13"/>
      <c r="LEW19" s="13"/>
      <c r="LEX19" s="13"/>
      <c r="LEY19" s="13"/>
      <c r="LEZ19" s="13"/>
      <c r="LFA19" s="13"/>
      <c r="LFB19" s="13"/>
      <c r="LFC19" s="13"/>
      <c r="LFD19" s="13"/>
      <c r="LFE19" s="13"/>
      <c r="LFF19" s="13"/>
      <c r="LFG19" s="13"/>
      <c r="LFH19" s="13"/>
      <c r="LFI19" s="13"/>
      <c r="LFJ19" s="13"/>
      <c r="LFK19" s="13"/>
      <c r="LFL19" s="13"/>
      <c r="LFM19" s="13"/>
      <c r="LFN19" s="13"/>
      <c r="LFO19" s="13"/>
      <c r="LFP19" s="13"/>
      <c r="LFQ19" s="13"/>
      <c r="LFR19" s="13"/>
      <c r="LFS19" s="13"/>
      <c r="LFT19" s="13"/>
      <c r="LFU19" s="13"/>
      <c r="LFV19" s="13"/>
      <c r="LFW19" s="13"/>
      <c r="LFX19" s="13"/>
      <c r="LFY19" s="13"/>
      <c r="LFZ19" s="13"/>
      <c r="LGA19" s="13"/>
      <c r="LGB19" s="13"/>
      <c r="LGC19" s="13"/>
      <c r="LGD19" s="13"/>
      <c r="LGE19" s="13"/>
      <c r="LGF19" s="13"/>
      <c r="LGG19" s="13"/>
      <c r="LGH19" s="13"/>
      <c r="LGI19" s="13"/>
      <c r="LGJ19" s="13"/>
      <c r="LGK19" s="13"/>
      <c r="LGL19" s="13"/>
      <c r="LGM19" s="13"/>
      <c r="LGN19" s="13"/>
      <c r="LGO19" s="13"/>
      <c r="LGP19" s="13"/>
      <c r="LGQ19" s="13"/>
      <c r="LGR19" s="13"/>
      <c r="LGS19" s="13"/>
      <c r="LGT19" s="13"/>
      <c r="LGU19" s="13"/>
      <c r="LGV19" s="13"/>
      <c r="LGW19" s="13"/>
      <c r="LGX19" s="13"/>
      <c r="LGY19" s="13"/>
      <c r="LGZ19" s="13"/>
      <c r="LHA19" s="13"/>
      <c r="LHB19" s="13"/>
      <c r="LHC19" s="13"/>
      <c r="LHD19" s="13"/>
      <c r="LHE19" s="13"/>
      <c r="LHF19" s="13"/>
      <c r="LHG19" s="13"/>
      <c r="LHH19" s="13"/>
      <c r="LHI19" s="13"/>
      <c r="LHJ19" s="13"/>
      <c r="LHK19" s="13"/>
      <c r="LHL19" s="13"/>
      <c r="LHM19" s="13"/>
      <c r="LHN19" s="13"/>
      <c r="LHO19" s="13"/>
      <c r="LHP19" s="13"/>
      <c r="LHQ19" s="13"/>
      <c r="LHR19" s="13"/>
      <c r="LHS19" s="13"/>
      <c r="LHT19" s="13"/>
      <c r="LHU19" s="13"/>
      <c r="LHV19" s="13"/>
      <c r="LHW19" s="13"/>
      <c r="LHX19" s="13"/>
      <c r="LHY19" s="13"/>
      <c r="LHZ19" s="13"/>
      <c r="LIA19" s="13"/>
      <c r="LIB19" s="13"/>
      <c r="LIC19" s="13"/>
      <c r="LID19" s="13"/>
      <c r="LIE19" s="13"/>
      <c r="LIF19" s="13"/>
      <c r="LIG19" s="13"/>
      <c r="LIH19" s="13"/>
      <c r="LII19" s="13"/>
      <c r="LIJ19" s="13"/>
      <c r="LIK19" s="13"/>
      <c r="LIL19" s="13"/>
      <c r="LIM19" s="13"/>
      <c r="LIN19" s="13"/>
      <c r="LIO19" s="13"/>
      <c r="LIP19" s="13"/>
      <c r="LIQ19" s="13"/>
      <c r="LIR19" s="13"/>
      <c r="LIS19" s="13"/>
      <c r="LIT19" s="13"/>
      <c r="LIU19" s="13"/>
      <c r="LIV19" s="13"/>
      <c r="LIW19" s="13"/>
      <c r="LIX19" s="13"/>
      <c r="LIY19" s="13"/>
      <c r="LIZ19" s="13"/>
      <c r="LJA19" s="13"/>
      <c r="LJB19" s="13"/>
      <c r="LJC19" s="13"/>
      <c r="LJD19" s="13"/>
      <c r="LJE19" s="13"/>
      <c r="LJF19" s="13"/>
      <c r="LJG19" s="13"/>
      <c r="LJH19" s="13"/>
      <c r="LJI19" s="13"/>
      <c r="LJJ19" s="13"/>
      <c r="LJK19" s="13"/>
      <c r="LJL19" s="13"/>
      <c r="LJM19" s="13"/>
      <c r="LJN19" s="13"/>
      <c r="LJO19" s="13"/>
      <c r="LJP19" s="13"/>
      <c r="LJQ19" s="13"/>
      <c r="LJR19" s="13"/>
      <c r="LJS19" s="13"/>
      <c r="LJT19" s="13"/>
      <c r="LJU19" s="13"/>
      <c r="LJV19" s="13"/>
      <c r="LJW19" s="13"/>
      <c r="LJX19" s="13"/>
      <c r="LJY19" s="13"/>
      <c r="LJZ19" s="13"/>
      <c r="LKA19" s="13"/>
      <c r="LKB19" s="13"/>
      <c r="LKC19" s="13"/>
      <c r="LKD19" s="13"/>
      <c r="LKE19" s="13"/>
      <c r="LKF19" s="13"/>
      <c r="LKG19" s="13"/>
      <c r="LKH19" s="13"/>
      <c r="LKI19" s="13"/>
      <c r="LKJ19" s="13"/>
      <c r="LKK19" s="13"/>
      <c r="LKL19" s="13"/>
      <c r="LKM19" s="13"/>
      <c r="LKN19" s="13"/>
      <c r="LKO19" s="13"/>
      <c r="LKP19" s="13"/>
      <c r="LKQ19" s="13"/>
      <c r="LKR19" s="13"/>
      <c r="LKS19" s="13"/>
      <c r="LKT19" s="13"/>
      <c r="LKU19" s="13"/>
      <c r="LKV19" s="13"/>
      <c r="LKW19" s="13"/>
      <c r="LKX19" s="13"/>
      <c r="LKY19" s="13"/>
      <c r="LKZ19" s="13"/>
      <c r="LLA19" s="13"/>
      <c r="LLB19" s="13"/>
      <c r="LLC19" s="13"/>
      <c r="LLD19" s="13"/>
      <c r="LLE19" s="13"/>
      <c r="LLF19" s="13"/>
      <c r="LLG19" s="13"/>
      <c r="LLH19" s="13"/>
      <c r="LLI19" s="13"/>
      <c r="LLJ19" s="13"/>
      <c r="LLK19" s="13"/>
      <c r="LLL19" s="13"/>
      <c r="LLM19" s="13"/>
      <c r="LLN19" s="13"/>
      <c r="LLO19" s="13"/>
      <c r="LLP19" s="13"/>
      <c r="LLQ19" s="13"/>
      <c r="LLR19" s="13"/>
      <c r="LLS19" s="13"/>
      <c r="LLT19" s="13"/>
      <c r="LLU19" s="13"/>
      <c r="LLV19" s="13"/>
      <c r="LLW19" s="13"/>
      <c r="LLX19" s="13"/>
      <c r="LLY19" s="13"/>
      <c r="LLZ19" s="13"/>
      <c r="LMA19" s="13"/>
      <c r="LMB19" s="13"/>
      <c r="LMC19" s="13"/>
      <c r="LMD19" s="13"/>
      <c r="LME19" s="13"/>
      <c r="LMF19" s="13"/>
      <c r="LMG19" s="13"/>
      <c r="LMH19" s="13"/>
      <c r="LMI19" s="13"/>
      <c r="LMJ19" s="13"/>
      <c r="LMK19" s="13"/>
      <c r="LML19" s="13"/>
      <c r="LMM19" s="13"/>
      <c r="LMN19" s="13"/>
      <c r="LMO19" s="13"/>
      <c r="LMP19" s="13"/>
      <c r="LMQ19" s="13"/>
      <c r="LMR19" s="13"/>
      <c r="LMS19" s="13"/>
      <c r="LMT19" s="13"/>
      <c r="LMU19" s="13"/>
      <c r="LMV19" s="13"/>
      <c r="LMW19" s="13"/>
      <c r="LMX19" s="13"/>
      <c r="LMY19" s="13"/>
      <c r="LMZ19" s="13"/>
      <c r="LNA19" s="13"/>
      <c r="LNB19" s="13"/>
      <c r="LNC19" s="13"/>
      <c r="LND19" s="13"/>
      <c r="LNE19" s="13"/>
      <c r="LNF19" s="13"/>
      <c r="LNG19" s="13"/>
      <c r="LNH19" s="13"/>
      <c r="LNI19" s="13"/>
      <c r="LNJ19" s="13"/>
      <c r="LNK19" s="13"/>
      <c r="LNL19" s="13"/>
      <c r="LNM19" s="13"/>
      <c r="LNN19" s="13"/>
      <c r="LNO19" s="13"/>
      <c r="LNP19" s="13"/>
      <c r="LNQ19" s="13"/>
      <c r="LNR19" s="13"/>
      <c r="LNS19" s="13"/>
      <c r="LNT19" s="13"/>
      <c r="LNU19" s="13"/>
      <c r="LNV19" s="13"/>
      <c r="LNW19" s="13"/>
      <c r="LNX19" s="13"/>
      <c r="LNY19" s="13"/>
      <c r="LNZ19" s="13"/>
      <c r="LOA19" s="13"/>
      <c r="LOB19" s="13"/>
      <c r="LOC19" s="13"/>
      <c r="LOD19" s="13"/>
      <c r="LOE19" s="13"/>
      <c r="LOF19" s="13"/>
      <c r="LOG19" s="13"/>
      <c r="LOH19" s="13"/>
      <c r="LOI19" s="13"/>
      <c r="LOJ19" s="13"/>
      <c r="LOK19" s="13"/>
      <c r="LOL19" s="13"/>
      <c r="LOM19" s="13"/>
      <c r="LON19" s="13"/>
      <c r="LOO19" s="13"/>
      <c r="LOP19" s="13"/>
      <c r="LOQ19" s="13"/>
      <c r="LOR19" s="13"/>
      <c r="LOS19" s="13"/>
      <c r="LOT19" s="13"/>
      <c r="LOU19" s="13"/>
      <c r="LOV19" s="13"/>
      <c r="LOW19" s="13"/>
      <c r="LOX19" s="13"/>
      <c r="LOY19" s="13"/>
      <c r="LOZ19" s="13"/>
      <c r="LPA19" s="13"/>
      <c r="LPB19" s="13"/>
      <c r="LPC19" s="13"/>
      <c r="LPD19" s="13"/>
      <c r="LPE19" s="13"/>
      <c r="LPF19" s="13"/>
      <c r="LPG19" s="13"/>
      <c r="LPH19" s="13"/>
      <c r="LPI19" s="13"/>
      <c r="LPJ19" s="13"/>
      <c r="LPK19" s="13"/>
      <c r="LPL19" s="13"/>
      <c r="LPM19" s="13"/>
      <c r="LPN19" s="13"/>
      <c r="LPO19" s="13"/>
      <c r="LPP19" s="13"/>
      <c r="LPQ19" s="13"/>
      <c r="LPR19" s="13"/>
      <c r="LPS19" s="13"/>
      <c r="LPT19" s="13"/>
      <c r="LPU19" s="13"/>
      <c r="LPV19" s="13"/>
      <c r="LPW19" s="13"/>
      <c r="LPX19" s="13"/>
      <c r="LPY19" s="13"/>
      <c r="LPZ19" s="13"/>
      <c r="LQA19" s="13"/>
      <c r="LQB19" s="13"/>
      <c r="LQC19" s="13"/>
      <c r="LQD19" s="13"/>
      <c r="LQE19" s="13"/>
      <c r="LQF19" s="13"/>
      <c r="LQG19" s="13"/>
      <c r="LQH19" s="13"/>
      <c r="LQI19" s="13"/>
      <c r="LQJ19" s="13"/>
      <c r="LQK19" s="13"/>
      <c r="LQL19" s="13"/>
      <c r="LQM19" s="13"/>
      <c r="LQN19" s="13"/>
      <c r="LQO19" s="13"/>
      <c r="LQP19" s="13"/>
      <c r="LQQ19" s="13"/>
      <c r="LQR19" s="13"/>
      <c r="LQS19" s="13"/>
      <c r="LQT19" s="13"/>
      <c r="LQU19" s="13"/>
      <c r="LQV19" s="13"/>
      <c r="LQW19" s="13"/>
      <c r="LQX19" s="13"/>
      <c r="LQY19" s="13"/>
      <c r="LQZ19" s="13"/>
      <c r="LRA19" s="13"/>
      <c r="LRB19" s="13"/>
      <c r="LRC19" s="13"/>
      <c r="LRD19" s="13"/>
      <c r="LRE19" s="13"/>
      <c r="LRF19" s="13"/>
      <c r="LRG19" s="13"/>
      <c r="LRH19" s="13"/>
      <c r="LRI19" s="13"/>
      <c r="LRJ19" s="13"/>
      <c r="LRK19" s="13"/>
      <c r="LRL19" s="13"/>
      <c r="LRM19" s="13"/>
      <c r="LRN19" s="13"/>
      <c r="LRO19" s="13"/>
      <c r="LRP19" s="13"/>
      <c r="LRQ19" s="13"/>
      <c r="LRR19" s="13"/>
      <c r="LRS19" s="13"/>
      <c r="LRT19" s="13"/>
      <c r="LRU19" s="13"/>
      <c r="LRV19" s="13"/>
      <c r="LRW19" s="13"/>
      <c r="LRX19" s="13"/>
      <c r="LRY19" s="13"/>
      <c r="LRZ19" s="13"/>
      <c r="LSA19" s="13"/>
      <c r="LSB19" s="13"/>
      <c r="LSC19" s="13"/>
      <c r="LSD19" s="13"/>
      <c r="LSE19" s="13"/>
      <c r="LSF19" s="13"/>
      <c r="LSG19" s="13"/>
      <c r="LSH19" s="13"/>
      <c r="LSI19" s="13"/>
      <c r="LSJ19" s="13"/>
      <c r="LSK19" s="13"/>
      <c r="LSL19" s="13"/>
      <c r="LSM19" s="13"/>
      <c r="LSN19" s="13"/>
      <c r="LSO19" s="13"/>
      <c r="LSP19" s="13"/>
      <c r="LSQ19" s="13"/>
      <c r="LSR19" s="13"/>
      <c r="LSS19" s="13"/>
      <c r="LST19" s="13"/>
      <c r="LSU19" s="13"/>
      <c r="LSV19" s="13"/>
      <c r="LSW19" s="13"/>
      <c r="LSX19" s="13"/>
      <c r="LSY19" s="13"/>
      <c r="LSZ19" s="13"/>
      <c r="LTA19" s="13"/>
      <c r="LTB19" s="13"/>
      <c r="LTC19" s="13"/>
      <c r="LTD19" s="13"/>
      <c r="LTE19" s="13"/>
      <c r="LTF19" s="13"/>
      <c r="LTG19" s="13"/>
      <c r="LTH19" s="13"/>
      <c r="LTI19" s="13"/>
      <c r="LTJ19" s="13"/>
      <c r="LTK19" s="13"/>
      <c r="LTL19" s="13"/>
      <c r="LTM19" s="13"/>
      <c r="LTN19" s="13"/>
      <c r="LTO19" s="13"/>
      <c r="LTP19" s="13"/>
      <c r="LTQ19" s="13"/>
      <c r="LTR19" s="13"/>
      <c r="LTS19" s="13"/>
      <c r="LTT19" s="13"/>
      <c r="LTU19" s="13"/>
      <c r="LTV19" s="13"/>
      <c r="LTW19" s="13"/>
      <c r="LTX19" s="13"/>
      <c r="LTY19" s="13"/>
      <c r="LTZ19" s="13"/>
      <c r="LUA19" s="13"/>
      <c r="LUB19" s="13"/>
      <c r="LUC19" s="13"/>
      <c r="LUD19" s="13"/>
      <c r="LUE19" s="13"/>
      <c r="LUF19" s="13"/>
      <c r="LUG19" s="13"/>
      <c r="LUH19" s="13"/>
      <c r="LUI19" s="13"/>
      <c r="LUJ19" s="13"/>
      <c r="LUK19" s="13"/>
      <c r="LUL19" s="13"/>
      <c r="LUM19" s="13"/>
      <c r="LUN19" s="13"/>
      <c r="LUO19" s="13"/>
      <c r="LUP19" s="13"/>
      <c r="LUQ19" s="13"/>
      <c r="LUR19" s="13"/>
      <c r="LUS19" s="13"/>
      <c r="LUT19" s="13"/>
      <c r="LUU19" s="13"/>
      <c r="LUV19" s="13"/>
      <c r="LUW19" s="13"/>
      <c r="LUX19" s="13"/>
      <c r="LUY19" s="13"/>
      <c r="LUZ19" s="13"/>
      <c r="LVA19" s="13"/>
      <c r="LVB19" s="13"/>
      <c r="LVC19" s="13"/>
      <c r="LVD19" s="13"/>
      <c r="LVE19" s="13"/>
      <c r="LVF19" s="13"/>
      <c r="LVG19" s="13"/>
      <c r="LVH19" s="13"/>
      <c r="LVI19" s="13"/>
      <c r="LVJ19" s="13"/>
      <c r="LVK19" s="13"/>
      <c r="LVL19" s="13"/>
      <c r="LVM19" s="13"/>
      <c r="LVN19" s="13"/>
      <c r="LVO19" s="13"/>
      <c r="LVP19" s="13"/>
      <c r="LVQ19" s="13"/>
      <c r="LVR19" s="13"/>
      <c r="LVS19" s="13"/>
      <c r="LVT19" s="13"/>
      <c r="LVU19" s="13"/>
      <c r="LVV19" s="13"/>
      <c r="LVW19" s="13"/>
      <c r="LVX19" s="13"/>
      <c r="LVY19" s="13"/>
      <c r="LVZ19" s="13"/>
      <c r="LWA19" s="13"/>
      <c r="LWB19" s="13"/>
      <c r="LWC19" s="13"/>
      <c r="LWD19" s="13"/>
      <c r="LWE19" s="13"/>
      <c r="LWF19" s="13"/>
      <c r="LWG19" s="13"/>
      <c r="LWH19" s="13"/>
      <c r="LWI19" s="13"/>
      <c r="LWJ19" s="13"/>
      <c r="LWK19" s="13"/>
      <c r="LWL19" s="13"/>
      <c r="LWM19" s="13"/>
      <c r="LWN19" s="13"/>
      <c r="LWO19" s="13"/>
      <c r="LWP19" s="13"/>
      <c r="LWQ19" s="13"/>
      <c r="LWR19" s="13"/>
      <c r="LWS19" s="13"/>
      <c r="LWT19" s="13"/>
      <c r="LWU19" s="13"/>
      <c r="LWV19" s="13"/>
      <c r="LWW19" s="13"/>
      <c r="LWX19" s="13"/>
      <c r="LWY19" s="13"/>
      <c r="LWZ19" s="13"/>
      <c r="LXA19" s="13"/>
      <c r="LXB19" s="13"/>
      <c r="LXC19" s="13"/>
      <c r="LXD19" s="13"/>
      <c r="LXE19" s="13"/>
      <c r="LXF19" s="13"/>
      <c r="LXG19" s="13"/>
      <c r="LXH19" s="13"/>
      <c r="LXI19" s="13"/>
      <c r="LXJ19" s="13"/>
      <c r="LXK19" s="13"/>
      <c r="LXL19" s="13"/>
      <c r="LXM19" s="13"/>
      <c r="LXN19" s="13"/>
      <c r="LXO19" s="13"/>
      <c r="LXP19" s="13"/>
      <c r="LXQ19" s="13"/>
      <c r="LXR19" s="13"/>
      <c r="LXS19" s="13"/>
      <c r="LXT19" s="13"/>
      <c r="LXU19" s="13"/>
      <c r="LXV19" s="13"/>
      <c r="LXW19" s="13"/>
      <c r="LXX19" s="13"/>
      <c r="LXY19" s="13"/>
      <c r="LXZ19" s="13"/>
      <c r="LYA19" s="13"/>
      <c r="LYB19" s="13"/>
      <c r="LYC19" s="13"/>
      <c r="LYD19" s="13"/>
      <c r="LYE19" s="13"/>
      <c r="LYF19" s="13"/>
      <c r="LYG19" s="13"/>
      <c r="LYH19" s="13"/>
      <c r="LYI19" s="13"/>
      <c r="LYJ19" s="13"/>
      <c r="LYK19" s="13"/>
      <c r="LYL19" s="13"/>
      <c r="LYM19" s="13"/>
      <c r="LYN19" s="13"/>
      <c r="LYO19" s="13"/>
      <c r="LYP19" s="13"/>
      <c r="LYQ19" s="13"/>
      <c r="LYR19" s="13"/>
      <c r="LYS19" s="13"/>
      <c r="LYT19" s="13"/>
      <c r="LYU19" s="13"/>
      <c r="LYV19" s="13"/>
      <c r="LYW19" s="13"/>
      <c r="LYX19" s="13"/>
      <c r="LYY19" s="13"/>
      <c r="LYZ19" s="13"/>
      <c r="LZA19" s="13"/>
      <c r="LZB19" s="13"/>
      <c r="LZC19" s="13"/>
      <c r="LZD19" s="13"/>
      <c r="LZE19" s="13"/>
      <c r="LZF19" s="13"/>
      <c r="LZG19" s="13"/>
      <c r="LZH19" s="13"/>
      <c r="LZI19" s="13"/>
      <c r="LZJ19" s="13"/>
      <c r="LZK19" s="13"/>
      <c r="LZL19" s="13"/>
      <c r="LZM19" s="13"/>
      <c r="LZN19" s="13"/>
      <c r="LZO19" s="13"/>
      <c r="LZP19" s="13"/>
      <c r="LZQ19" s="13"/>
      <c r="LZR19" s="13"/>
      <c r="LZS19" s="13"/>
      <c r="LZT19" s="13"/>
      <c r="LZU19" s="13"/>
      <c r="LZV19" s="13"/>
      <c r="LZW19" s="13"/>
      <c r="LZX19" s="13"/>
      <c r="LZY19" s="13"/>
      <c r="LZZ19" s="13"/>
      <c r="MAA19" s="13"/>
      <c r="MAB19" s="13"/>
      <c r="MAC19" s="13"/>
      <c r="MAD19" s="13"/>
      <c r="MAE19" s="13"/>
      <c r="MAF19" s="13"/>
      <c r="MAG19" s="13"/>
      <c r="MAH19" s="13"/>
      <c r="MAI19" s="13"/>
      <c r="MAJ19" s="13"/>
      <c r="MAK19" s="13"/>
      <c r="MAL19" s="13"/>
      <c r="MAM19" s="13"/>
      <c r="MAN19" s="13"/>
      <c r="MAO19" s="13"/>
      <c r="MAP19" s="13"/>
      <c r="MAQ19" s="13"/>
      <c r="MAR19" s="13"/>
      <c r="MAS19" s="13"/>
      <c r="MAT19" s="13"/>
      <c r="MAU19" s="13"/>
      <c r="MAV19" s="13"/>
      <c r="MAW19" s="13"/>
      <c r="MAX19" s="13"/>
      <c r="MAY19" s="13"/>
      <c r="MAZ19" s="13"/>
      <c r="MBA19" s="13"/>
      <c r="MBB19" s="13"/>
      <c r="MBC19" s="13"/>
      <c r="MBD19" s="13"/>
      <c r="MBE19" s="13"/>
      <c r="MBF19" s="13"/>
      <c r="MBG19" s="13"/>
      <c r="MBH19" s="13"/>
      <c r="MBI19" s="13"/>
      <c r="MBJ19" s="13"/>
      <c r="MBK19" s="13"/>
      <c r="MBL19" s="13"/>
      <c r="MBM19" s="13"/>
      <c r="MBN19" s="13"/>
      <c r="MBO19" s="13"/>
      <c r="MBP19" s="13"/>
      <c r="MBQ19" s="13"/>
      <c r="MBR19" s="13"/>
      <c r="MBS19" s="13"/>
      <c r="MBT19" s="13"/>
      <c r="MBU19" s="13"/>
      <c r="MBV19" s="13"/>
      <c r="MBW19" s="13"/>
      <c r="MBX19" s="13"/>
      <c r="MBY19" s="13"/>
      <c r="MBZ19" s="13"/>
      <c r="MCA19" s="13"/>
      <c r="MCB19" s="13"/>
      <c r="MCC19" s="13"/>
      <c r="MCD19" s="13"/>
      <c r="MCE19" s="13"/>
      <c r="MCF19" s="13"/>
      <c r="MCG19" s="13"/>
      <c r="MCH19" s="13"/>
      <c r="MCI19" s="13"/>
      <c r="MCJ19" s="13"/>
      <c r="MCK19" s="13"/>
      <c r="MCL19" s="13"/>
      <c r="MCM19" s="13"/>
      <c r="MCN19" s="13"/>
      <c r="MCO19" s="13"/>
      <c r="MCP19" s="13"/>
      <c r="MCQ19" s="13"/>
      <c r="MCR19" s="13"/>
      <c r="MCS19" s="13"/>
      <c r="MCT19" s="13"/>
      <c r="MCU19" s="13"/>
      <c r="MCV19" s="13"/>
      <c r="MCW19" s="13"/>
      <c r="MCX19" s="13"/>
      <c r="MCY19" s="13"/>
      <c r="MCZ19" s="13"/>
      <c r="MDA19" s="13"/>
      <c r="MDB19" s="13"/>
      <c r="MDC19" s="13"/>
      <c r="MDD19" s="13"/>
      <c r="MDE19" s="13"/>
      <c r="MDF19" s="13"/>
      <c r="MDG19" s="13"/>
      <c r="MDH19" s="13"/>
      <c r="MDI19" s="13"/>
      <c r="MDJ19" s="13"/>
      <c r="MDK19" s="13"/>
      <c r="MDL19" s="13"/>
      <c r="MDM19" s="13"/>
      <c r="MDN19" s="13"/>
      <c r="MDO19" s="13"/>
      <c r="MDP19" s="13"/>
      <c r="MDQ19" s="13"/>
      <c r="MDR19" s="13"/>
      <c r="MDS19" s="13"/>
      <c r="MDT19" s="13"/>
      <c r="MDU19" s="13"/>
      <c r="MDV19" s="13"/>
      <c r="MDW19" s="13"/>
      <c r="MDX19" s="13"/>
      <c r="MDY19" s="13"/>
      <c r="MDZ19" s="13"/>
      <c r="MEA19" s="13"/>
      <c r="MEB19" s="13"/>
      <c r="MEC19" s="13"/>
      <c r="MED19" s="13"/>
      <c r="MEE19" s="13"/>
      <c r="MEF19" s="13"/>
      <c r="MEG19" s="13"/>
      <c r="MEH19" s="13"/>
      <c r="MEI19" s="13"/>
      <c r="MEJ19" s="13"/>
      <c r="MEK19" s="13"/>
      <c r="MEL19" s="13"/>
      <c r="MEM19" s="13"/>
      <c r="MEN19" s="13"/>
      <c r="MEO19" s="13"/>
      <c r="MEP19" s="13"/>
      <c r="MEQ19" s="13"/>
      <c r="MER19" s="13"/>
      <c r="MES19" s="13"/>
      <c r="MET19" s="13"/>
      <c r="MEU19" s="13"/>
      <c r="MEV19" s="13"/>
      <c r="MEW19" s="13"/>
      <c r="MEX19" s="13"/>
      <c r="MEY19" s="13"/>
      <c r="MEZ19" s="13"/>
      <c r="MFA19" s="13"/>
      <c r="MFB19" s="13"/>
      <c r="MFC19" s="13"/>
      <c r="MFD19" s="13"/>
      <c r="MFE19" s="13"/>
      <c r="MFF19" s="13"/>
      <c r="MFG19" s="13"/>
      <c r="MFH19" s="13"/>
      <c r="MFI19" s="13"/>
      <c r="MFJ19" s="13"/>
      <c r="MFK19" s="13"/>
      <c r="MFL19" s="13"/>
      <c r="MFM19" s="13"/>
      <c r="MFN19" s="13"/>
      <c r="MFO19" s="13"/>
      <c r="MFP19" s="13"/>
      <c r="MFQ19" s="13"/>
      <c r="MFR19" s="13"/>
      <c r="MFS19" s="13"/>
      <c r="MFT19" s="13"/>
      <c r="MFU19" s="13"/>
      <c r="MFV19" s="13"/>
      <c r="MFW19" s="13"/>
      <c r="MFX19" s="13"/>
      <c r="MFY19" s="13"/>
      <c r="MFZ19" s="13"/>
      <c r="MGA19" s="13"/>
      <c r="MGB19" s="13"/>
      <c r="MGC19" s="13"/>
      <c r="MGD19" s="13"/>
      <c r="MGE19" s="13"/>
      <c r="MGF19" s="13"/>
      <c r="MGG19" s="13"/>
      <c r="MGH19" s="13"/>
      <c r="MGI19" s="13"/>
      <c r="MGJ19" s="13"/>
      <c r="MGK19" s="13"/>
      <c r="MGL19" s="13"/>
      <c r="MGM19" s="13"/>
      <c r="MGN19" s="13"/>
      <c r="MGO19" s="13"/>
      <c r="MGP19" s="13"/>
      <c r="MGQ19" s="13"/>
      <c r="MGR19" s="13"/>
      <c r="MGS19" s="13"/>
      <c r="MGT19" s="13"/>
      <c r="MGU19" s="13"/>
      <c r="MGV19" s="13"/>
      <c r="MGW19" s="13"/>
      <c r="MGX19" s="13"/>
      <c r="MGY19" s="13"/>
      <c r="MGZ19" s="13"/>
      <c r="MHA19" s="13"/>
      <c r="MHB19" s="13"/>
      <c r="MHC19" s="13"/>
      <c r="MHD19" s="13"/>
      <c r="MHE19" s="13"/>
      <c r="MHF19" s="13"/>
      <c r="MHG19" s="13"/>
      <c r="MHH19" s="13"/>
      <c r="MHI19" s="13"/>
      <c r="MHJ19" s="13"/>
      <c r="MHK19" s="13"/>
      <c r="MHL19" s="13"/>
      <c r="MHM19" s="13"/>
      <c r="MHN19" s="13"/>
      <c r="MHO19" s="13"/>
      <c r="MHP19" s="13"/>
      <c r="MHQ19" s="13"/>
      <c r="MHR19" s="13"/>
      <c r="MHS19" s="13"/>
      <c r="MHT19" s="13"/>
      <c r="MHU19" s="13"/>
      <c r="MHV19" s="13"/>
      <c r="MHW19" s="13"/>
      <c r="MHX19" s="13"/>
      <c r="MHY19" s="13"/>
      <c r="MHZ19" s="13"/>
      <c r="MIA19" s="13"/>
      <c r="MIB19" s="13"/>
      <c r="MIC19" s="13"/>
      <c r="MID19" s="13"/>
      <c r="MIE19" s="13"/>
      <c r="MIF19" s="13"/>
      <c r="MIG19" s="13"/>
      <c r="MIH19" s="13"/>
      <c r="MII19" s="13"/>
      <c r="MIJ19" s="13"/>
      <c r="MIK19" s="13"/>
      <c r="MIL19" s="13"/>
      <c r="MIM19" s="13"/>
      <c r="MIN19" s="13"/>
      <c r="MIO19" s="13"/>
      <c r="MIP19" s="13"/>
      <c r="MIQ19" s="13"/>
      <c r="MIR19" s="13"/>
      <c r="MIS19" s="13"/>
      <c r="MIT19" s="13"/>
      <c r="MIU19" s="13"/>
      <c r="MIV19" s="13"/>
      <c r="MIW19" s="13"/>
      <c r="MIX19" s="13"/>
      <c r="MIY19" s="13"/>
      <c r="MIZ19" s="13"/>
      <c r="MJA19" s="13"/>
      <c r="MJB19" s="13"/>
      <c r="MJC19" s="13"/>
      <c r="MJD19" s="13"/>
      <c r="MJE19" s="13"/>
      <c r="MJF19" s="13"/>
      <c r="MJG19" s="13"/>
      <c r="MJH19" s="13"/>
      <c r="MJI19" s="13"/>
      <c r="MJJ19" s="13"/>
      <c r="MJK19" s="13"/>
      <c r="MJL19" s="13"/>
      <c r="MJM19" s="13"/>
      <c r="MJN19" s="13"/>
      <c r="MJO19" s="13"/>
      <c r="MJP19" s="13"/>
      <c r="MJQ19" s="13"/>
      <c r="MJR19" s="13"/>
      <c r="MJS19" s="13"/>
      <c r="MJT19" s="13"/>
      <c r="MJU19" s="13"/>
      <c r="MJV19" s="13"/>
      <c r="MJW19" s="13"/>
      <c r="MJX19" s="13"/>
      <c r="MJY19" s="13"/>
      <c r="MJZ19" s="13"/>
      <c r="MKA19" s="13"/>
      <c r="MKB19" s="13"/>
      <c r="MKC19" s="13"/>
      <c r="MKD19" s="13"/>
      <c r="MKE19" s="13"/>
      <c r="MKF19" s="13"/>
      <c r="MKG19" s="13"/>
      <c r="MKH19" s="13"/>
      <c r="MKI19" s="13"/>
      <c r="MKJ19" s="13"/>
      <c r="MKK19" s="13"/>
      <c r="MKL19" s="13"/>
      <c r="MKM19" s="13"/>
      <c r="MKN19" s="13"/>
      <c r="MKO19" s="13"/>
      <c r="MKP19" s="13"/>
      <c r="MKQ19" s="13"/>
      <c r="MKR19" s="13"/>
      <c r="MKS19" s="13"/>
      <c r="MKT19" s="13"/>
      <c r="MKU19" s="13"/>
      <c r="MKV19" s="13"/>
      <c r="MKW19" s="13"/>
      <c r="MKX19" s="13"/>
      <c r="MKY19" s="13"/>
      <c r="MKZ19" s="13"/>
      <c r="MLA19" s="13"/>
      <c r="MLB19" s="13"/>
      <c r="MLC19" s="13"/>
      <c r="MLD19" s="13"/>
      <c r="MLE19" s="13"/>
      <c r="MLF19" s="13"/>
      <c r="MLG19" s="13"/>
      <c r="MLH19" s="13"/>
      <c r="MLI19" s="13"/>
      <c r="MLJ19" s="13"/>
      <c r="MLK19" s="13"/>
      <c r="MLL19" s="13"/>
      <c r="MLM19" s="13"/>
      <c r="MLN19" s="13"/>
      <c r="MLO19" s="13"/>
      <c r="MLP19" s="13"/>
      <c r="MLQ19" s="13"/>
      <c r="MLR19" s="13"/>
      <c r="MLS19" s="13"/>
      <c r="MLT19" s="13"/>
      <c r="MLU19" s="13"/>
      <c r="MLV19" s="13"/>
      <c r="MLW19" s="13"/>
      <c r="MLX19" s="13"/>
      <c r="MLY19" s="13"/>
      <c r="MLZ19" s="13"/>
      <c r="MMA19" s="13"/>
      <c r="MMB19" s="13"/>
      <c r="MMC19" s="13"/>
      <c r="MMD19" s="13"/>
      <c r="MME19" s="13"/>
      <c r="MMF19" s="13"/>
      <c r="MMG19" s="13"/>
      <c r="MMH19" s="13"/>
      <c r="MMI19" s="13"/>
      <c r="MMJ19" s="13"/>
      <c r="MMK19" s="13"/>
      <c r="MML19" s="13"/>
      <c r="MMM19" s="13"/>
      <c r="MMN19" s="13"/>
      <c r="MMO19" s="13"/>
      <c r="MMP19" s="13"/>
      <c r="MMQ19" s="13"/>
      <c r="MMR19" s="13"/>
      <c r="MMS19" s="13"/>
      <c r="MMT19" s="13"/>
      <c r="MMU19" s="13"/>
      <c r="MMV19" s="13"/>
      <c r="MMW19" s="13"/>
      <c r="MMX19" s="13"/>
      <c r="MMY19" s="13"/>
      <c r="MMZ19" s="13"/>
      <c r="MNA19" s="13"/>
      <c r="MNB19" s="13"/>
      <c r="MNC19" s="13"/>
      <c r="MND19" s="13"/>
      <c r="MNE19" s="13"/>
      <c r="MNF19" s="13"/>
      <c r="MNG19" s="13"/>
      <c r="MNH19" s="13"/>
      <c r="MNI19" s="13"/>
      <c r="MNJ19" s="13"/>
      <c r="MNK19" s="13"/>
      <c r="MNL19" s="13"/>
      <c r="MNM19" s="13"/>
      <c r="MNN19" s="13"/>
      <c r="MNO19" s="13"/>
      <c r="MNP19" s="13"/>
      <c r="MNQ19" s="13"/>
      <c r="MNR19" s="13"/>
      <c r="MNS19" s="13"/>
      <c r="MNT19" s="13"/>
      <c r="MNU19" s="13"/>
      <c r="MNV19" s="13"/>
      <c r="MNW19" s="13"/>
      <c r="MNX19" s="13"/>
      <c r="MNY19" s="13"/>
      <c r="MNZ19" s="13"/>
      <c r="MOA19" s="13"/>
      <c r="MOB19" s="13"/>
      <c r="MOC19" s="13"/>
      <c r="MOD19" s="13"/>
      <c r="MOE19" s="13"/>
      <c r="MOF19" s="13"/>
      <c r="MOG19" s="13"/>
      <c r="MOH19" s="13"/>
      <c r="MOI19" s="13"/>
      <c r="MOJ19" s="13"/>
      <c r="MOK19" s="13"/>
      <c r="MOL19" s="13"/>
      <c r="MOM19" s="13"/>
      <c r="MON19" s="13"/>
      <c r="MOO19" s="13"/>
      <c r="MOP19" s="13"/>
      <c r="MOQ19" s="13"/>
      <c r="MOR19" s="13"/>
      <c r="MOS19" s="13"/>
      <c r="MOT19" s="13"/>
      <c r="MOU19" s="13"/>
      <c r="MOV19" s="13"/>
      <c r="MOW19" s="13"/>
      <c r="MOX19" s="13"/>
      <c r="MOY19" s="13"/>
      <c r="MOZ19" s="13"/>
      <c r="MPA19" s="13"/>
      <c r="MPB19" s="13"/>
      <c r="MPC19" s="13"/>
      <c r="MPD19" s="13"/>
      <c r="MPE19" s="13"/>
      <c r="MPF19" s="13"/>
      <c r="MPG19" s="13"/>
      <c r="MPH19" s="13"/>
      <c r="MPI19" s="13"/>
      <c r="MPJ19" s="13"/>
      <c r="MPK19" s="13"/>
      <c r="MPL19" s="13"/>
      <c r="MPM19" s="13"/>
      <c r="MPN19" s="13"/>
      <c r="MPO19" s="13"/>
      <c r="MPP19" s="13"/>
      <c r="MPQ19" s="13"/>
      <c r="MPR19" s="13"/>
      <c r="MPS19" s="13"/>
      <c r="MPT19" s="13"/>
      <c r="MPU19" s="13"/>
      <c r="MPV19" s="13"/>
      <c r="MPW19" s="13"/>
      <c r="MPX19" s="13"/>
      <c r="MPY19" s="13"/>
      <c r="MPZ19" s="13"/>
      <c r="MQA19" s="13"/>
      <c r="MQB19" s="13"/>
      <c r="MQC19" s="13"/>
      <c r="MQD19" s="13"/>
      <c r="MQE19" s="13"/>
      <c r="MQF19" s="13"/>
      <c r="MQG19" s="13"/>
      <c r="MQH19" s="13"/>
      <c r="MQI19" s="13"/>
      <c r="MQJ19" s="13"/>
      <c r="MQK19" s="13"/>
      <c r="MQL19" s="13"/>
      <c r="MQM19" s="13"/>
      <c r="MQN19" s="13"/>
      <c r="MQO19" s="13"/>
      <c r="MQP19" s="13"/>
      <c r="MQQ19" s="13"/>
      <c r="MQR19" s="13"/>
      <c r="MQS19" s="13"/>
      <c r="MQT19" s="13"/>
      <c r="MQU19" s="13"/>
      <c r="MQV19" s="13"/>
      <c r="MQW19" s="13"/>
      <c r="MQX19" s="13"/>
      <c r="MQY19" s="13"/>
      <c r="MQZ19" s="13"/>
      <c r="MRA19" s="13"/>
      <c r="MRB19" s="13"/>
      <c r="MRC19" s="13"/>
      <c r="MRD19" s="13"/>
      <c r="MRE19" s="13"/>
      <c r="MRF19" s="13"/>
      <c r="MRG19" s="13"/>
      <c r="MRH19" s="13"/>
      <c r="MRI19" s="13"/>
      <c r="MRJ19" s="13"/>
      <c r="MRK19" s="13"/>
      <c r="MRL19" s="13"/>
      <c r="MRM19" s="13"/>
      <c r="MRN19" s="13"/>
      <c r="MRO19" s="13"/>
      <c r="MRP19" s="13"/>
      <c r="MRQ19" s="13"/>
      <c r="MRR19" s="13"/>
      <c r="MRS19" s="13"/>
      <c r="MRT19" s="13"/>
      <c r="MRU19" s="13"/>
      <c r="MRV19" s="13"/>
      <c r="MRW19" s="13"/>
      <c r="MRX19" s="13"/>
      <c r="MRY19" s="13"/>
      <c r="MRZ19" s="13"/>
      <c r="MSA19" s="13"/>
      <c r="MSB19" s="13"/>
      <c r="MSC19" s="13"/>
      <c r="MSD19" s="13"/>
      <c r="MSE19" s="13"/>
      <c r="MSF19" s="13"/>
      <c r="MSG19" s="13"/>
      <c r="MSH19" s="13"/>
      <c r="MSI19" s="13"/>
      <c r="MSJ19" s="13"/>
      <c r="MSK19" s="13"/>
      <c r="MSL19" s="13"/>
      <c r="MSM19" s="13"/>
      <c r="MSN19" s="13"/>
      <c r="MSO19" s="13"/>
      <c r="MSP19" s="13"/>
      <c r="MSQ19" s="13"/>
      <c r="MSR19" s="13"/>
      <c r="MSS19" s="13"/>
      <c r="MST19" s="13"/>
      <c r="MSU19" s="13"/>
      <c r="MSV19" s="13"/>
      <c r="MSW19" s="13"/>
      <c r="MSX19" s="13"/>
      <c r="MSY19" s="13"/>
      <c r="MSZ19" s="13"/>
      <c r="MTA19" s="13"/>
      <c r="MTB19" s="13"/>
      <c r="MTC19" s="13"/>
      <c r="MTD19" s="13"/>
      <c r="MTE19" s="13"/>
      <c r="MTF19" s="13"/>
      <c r="MTG19" s="13"/>
      <c r="MTH19" s="13"/>
      <c r="MTI19" s="13"/>
      <c r="MTJ19" s="13"/>
      <c r="MTK19" s="13"/>
      <c r="MTL19" s="13"/>
      <c r="MTM19" s="13"/>
      <c r="MTN19" s="13"/>
      <c r="MTO19" s="13"/>
      <c r="MTP19" s="13"/>
      <c r="MTQ19" s="13"/>
      <c r="MTR19" s="13"/>
      <c r="MTS19" s="13"/>
      <c r="MTT19" s="13"/>
      <c r="MTU19" s="13"/>
      <c r="MTV19" s="13"/>
      <c r="MTW19" s="13"/>
      <c r="MTX19" s="13"/>
      <c r="MTY19" s="13"/>
      <c r="MTZ19" s="13"/>
      <c r="MUA19" s="13"/>
      <c r="MUB19" s="13"/>
      <c r="MUC19" s="13"/>
      <c r="MUD19" s="13"/>
      <c r="MUE19" s="13"/>
      <c r="MUF19" s="13"/>
      <c r="MUG19" s="13"/>
      <c r="MUH19" s="13"/>
      <c r="MUI19" s="13"/>
      <c r="MUJ19" s="13"/>
      <c r="MUK19" s="13"/>
      <c r="MUL19" s="13"/>
      <c r="MUM19" s="13"/>
      <c r="MUN19" s="13"/>
      <c r="MUO19" s="13"/>
      <c r="MUP19" s="13"/>
      <c r="MUQ19" s="13"/>
      <c r="MUR19" s="13"/>
      <c r="MUS19" s="13"/>
      <c r="MUT19" s="13"/>
      <c r="MUU19" s="13"/>
      <c r="MUV19" s="13"/>
      <c r="MUW19" s="13"/>
      <c r="MUX19" s="13"/>
      <c r="MUY19" s="13"/>
      <c r="MUZ19" s="13"/>
      <c r="MVA19" s="13"/>
      <c r="MVB19" s="13"/>
      <c r="MVC19" s="13"/>
      <c r="MVD19" s="13"/>
      <c r="MVE19" s="13"/>
      <c r="MVF19" s="13"/>
      <c r="MVG19" s="13"/>
      <c r="MVH19" s="13"/>
      <c r="MVI19" s="13"/>
      <c r="MVJ19" s="13"/>
      <c r="MVK19" s="13"/>
      <c r="MVL19" s="13"/>
      <c r="MVM19" s="13"/>
      <c r="MVN19" s="13"/>
      <c r="MVO19" s="13"/>
      <c r="MVP19" s="13"/>
      <c r="MVQ19" s="13"/>
      <c r="MVR19" s="13"/>
      <c r="MVS19" s="13"/>
      <c r="MVT19" s="13"/>
      <c r="MVU19" s="13"/>
      <c r="MVV19" s="13"/>
      <c r="MVW19" s="13"/>
      <c r="MVX19" s="13"/>
      <c r="MVY19" s="13"/>
      <c r="MVZ19" s="13"/>
      <c r="MWA19" s="13"/>
      <c r="MWB19" s="13"/>
      <c r="MWC19" s="13"/>
      <c r="MWD19" s="13"/>
      <c r="MWE19" s="13"/>
      <c r="MWF19" s="13"/>
      <c r="MWG19" s="13"/>
      <c r="MWH19" s="13"/>
      <c r="MWI19" s="13"/>
      <c r="MWJ19" s="13"/>
      <c r="MWK19" s="13"/>
      <c r="MWL19" s="13"/>
      <c r="MWM19" s="13"/>
      <c r="MWN19" s="13"/>
      <c r="MWO19" s="13"/>
      <c r="MWP19" s="13"/>
      <c r="MWQ19" s="13"/>
      <c r="MWR19" s="13"/>
      <c r="MWS19" s="13"/>
      <c r="MWT19" s="13"/>
      <c r="MWU19" s="13"/>
      <c r="MWV19" s="13"/>
      <c r="MWW19" s="13"/>
      <c r="MWX19" s="13"/>
      <c r="MWY19" s="13"/>
      <c r="MWZ19" s="13"/>
      <c r="MXA19" s="13"/>
      <c r="MXB19" s="13"/>
      <c r="MXC19" s="13"/>
      <c r="MXD19" s="13"/>
      <c r="MXE19" s="13"/>
      <c r="MXF19" s="13"/>
      <c r="MXG19" s="13"/>
      <c r="MXH19" s="13"/>
      <c r="MXI19" s="13"/>
      <c r="MXJ19" s="13"/>
      <c r="MXK19" s="13"/>
      <c r="MXL19" s="13"/>
      <c r="MXM19" s="13"/>
      <c r="MXN19" s="13"/>
      <c r="MXO19" s="13"/>
      <c r="MXP19" s="13"/>
      <c r="MXQ19" s="13"/>
      <c r="MXR19" s="13"/>
      <c r="MXS19" s="13"/>
      <c r="MXT19" s="13"/>
      <c r="MXU19" s="13"/>
      <c r="MXV19" s="13"/>
      <c r="MXW19" s="13"/>
      <c r="MXX19" s="13"/>
      <c r="MXY19" s="13"/>
      <c r="MXZ19" s="13"/>
      <c r="MYA19" s="13"/>
      <c r="MYB19" s="13"/>
      <c r="MYC19" s="13"/>
      <c r="MYD19" s="13"/>
      <c r="MYE19" s="13"/>
      <c r="MYF19" s="13"/>
      <c r="MYG19" s="13"/>
      <c r="MYH19" s="13"/>
      <c r="MYI19" s="13"/>
      <c r="MYJ19" s="13"/>
      <c r="MYK19" s="13"/>
      <c r="MYL19" s="13"/>
      <c r="MYM19" s="13"/>
      <c r="MYN19" s="13"/>
      <c r="MYO19" s="13"/>
      <c r="MYP19" s="13"/>
      <c r="MYQ19" s="13"/>
      <c r="MYR19" s="13"/>
      <c r="MYS19" s="13"/>
      <c r="MYT19" s="13"/>
      <c r="MYU19" s="13"/>
      <c r="MYV19" s="13"/>
      <c r="MYW19" s="13"/>
      <c r="MYX19" s="13"/>
      <c r="MYY19" s="13"/>
      <c r="MYZ19" s="13"/>
      <c r="MZA19" s="13"/>
      <c r="MZB19" s="13"/>
      <c r="MZC19" s="13"/>
      <c r="MZD19" s="13"/>
      <c r="MZE19" s="13"/>
      <c r="MZF19" s="13"/>
      <c r="MZG19" s="13"/>
      <c r="MZH19" s="13"/>
      <c r="MZI19" s="13"/>
      <c r="MZJ19" s="13"/>
      <c r="MZK19" s="13"/>
      <c r="MZL19" s="13"/>
      <c r="MZM19" s="13"/>
      <c r="MZN19" s="13"/>
      <c r="MZO19" s="13"/>
      <c r="MZP19" s="13"/>
      <c r="MZQ19" s="13"/>
      <c r="MZR19" s="13"/>
      <c r="MZS19" s="13"/>
      <c r="MZT19" s="13"/>
      <c r="MZU19" s="13"/>
      <c r="MZV19" s="13"/>
      <c r="MZW19" s="13"/>
      <c r="MZX19" s="13"/>
      <c r="MZY19" s="13"/>
      <c r="MZZ19" s="13"/>
      <c r="NAA19" s="13"/>
      <c r="NAB19" s="13"/>
      <c r="NAC19" s="13"/>
      <c r="NAD19" s="13"/>
      <c r="NAE19" s="13"/>
      <c r="NAF19" s="13"/>
      <c r="NAG19" s="13"/>
      <c r="NAH19" s="13"/>
      <c r="NAI19" s="13"/>
      <c r="NAJ19" s="13"/>
      <c r="NAK19" s="13"/>
      <c r="NAL19" s="13"/>
      <c r="NAM19" s="13"/>
      <c r="NAN19" s="13"/>
      <c r="NAO19" s="13"/>
      <c r="NAP19" s="13"/>
      <c r="NAQ19" s="13"/>
      <c r="NAR19" s="13"/>
      <c r="NAS19" s="13"/>
      <c r="NAT19" s="13"/>
      <c r="NAU19" s="13"/>
      <c r="NAV19" s="13"/>
      <c r="NAW19" s="13"/>
      <c r="NAX19" s="13"/>
      <c r="NAY19" s="13"/>
      <c r="NAZ19" s="13"/>
      <c r="NBA19" s="13"/>
      <c r="NBB19" s="13"/>
      <c r="NBC19" s="13"/>
      <c r="NBD19" s="13"/>
      <c r="NBE19" s="13"/>
      <c r="NBF19" s="13"/>
      <c r="NBG19" s="13"/>
      <c r="NBH19" s="13"/>
      <c r="NBI19" s="13"/>
      <c r="NBJ19" s="13"/>
      <c r="NBK19" s="13"/>
      <c r="NBL19" s="13"/>
      <c r="NBM19" s="13"/>
      <c r="NBN19" s="13"/>
      <c r="NBO19" s="13"/>
      <c r="NBP19" s="13"/>
      <c r="NBQ19" s="13"/>
      <c r="NBR19" s="13"/>
      <c r="NBS19" s="13"/>
      <c r="NBT19" s="13"/>
      <c r="NBU19" s="13"/>
      <c r="NBV19" s="13"/>
      <c r="NBW19" s="13"/>
      <c r="NBX19" s="13"/>
      <c r="NBY19" s="13"/>
      <c r="NBZ19" s="13"/>
      <c r="NCA19" s="13"/>
      <c r="NCB19" s="13"/>
      <c r="NCC19" s="13"/>
      <c r="NCD19" s="13"/>
      <c r="NCE19" s="13"/>
      <c r="NCF19" s="13"/>
      <c r="NCG19" s="13"/>
      <c r="NCH19" s="13"/>
      <c r="NCI19" s="13"/>
      <c r="NCJ19" s="13"/>
      <c r="NCK19" s="13"/>
      <c r="NCL19" s="13"/>
      <c r="NCM19" s="13"/>
      <c r="NCN19" s="13"/>
      <c r="NCO19" s="13"/>
      <c r="NCP19" s="13"/>
      <c r="NCQ19" s="13"/>
      <c r="NCR19" s="13"/>
      <c r="NCS19" s="13"/>
      <c r="NCT19" s="13"/>
      <c r="NCU19" s="13"/>
      <c r="NCV19" s="13"/>
      <c r="NCW19" s="13"/>
      <c r="NCX19" s="13"/>
      <c r="NCY19" s="13"/>
      <c r="NCZ19" s="13"/>
      <c r="NDA19" s="13"/>
      <c r="NDB19" s="13"/>
      <c r="NDC19" s="13"/>
      <c r="NDD19" s="13"/>
      <c r="NDE19" s="13"/>
      <c r="NDF19" s="13"/>
      <c r="NDG19" s="13"/>
      <c r="NDH19" s="13"/>
      <c r="NDI19" s="13"/>
      <c r="NDJ19" s="13"/>
      <c r="NDK19" s="13"/>
      <c r="NDL19" s="13"/>
      <c r="NDM19" s="13"/>
      <c r="NDN19" s="13"/>
      <c r="NDO19" s="13"/>
      <c r="NDP19" s="13"/>
      <c r="NDQ19" s="13"/>
      <c r="NDR19" s="13"/>
      <c r="NDS19" s="13"/>
      <c r="NDT19" s="13"/>
      <c r="NDU19" s="13"/>
      <c r="NDV19" s="13"/>
      <c r="NDW19" s="13"/>
      <c r="NDX19" s="13"/>
      <c r="NDY19" s="13"/>
      <c r="NDZ19" s="13"/>
      <c r="NEA19" s="13"/>
      <c r="NEB19" s="13"/>
      <c r="NEC19" s="13"/>
      <c r="NED19" s="13"/>
      <c r="NEE19" s="13"/>
      <c r="NEF19" s="13"/>
      <c r="NEG19" s="13"/>
      <c r="NEH19" s="13"/>
      <c r="NEI19" s="13"/>
      <c r="NEJ19" s="13"/>
      <c r="NEK19" s="13"/>
      <c r="NEL19" s="13"/>
      <c r="NEM19" s="13"/>
      <c r="NEN19" s="13"/>
      <c r="NEO19" s="13"/>
      <c r="NEP19" s="13"/>
      <c r="NEQ19" s="13"/>
      <c r="NER19" s="13"/>
      <c r="NES19" s="13"/>
      <c r="NET19" s="13"/>
      <c r="NEU19" s="13"/>
      <c r="NEV19" s="13"/>
      <c r="NEW19" s="13"/>
      <c r="NEX19" s="13"/>
      <c r="NEY19" s="13"/>
      <c r="NEZ19" s="13"/>
      <c r="NFA19" s="13"/>
      <c r="NFB19" s="13"/>
      <c r="NFC19" s="13"/>
      <c r="NFD19" s="13"/>
      <c r="NFE19" s="13"/>
      <c r="NFF19" s="13"/>
      <c r="NFG19" s="13"/>
      <c r="NFH19" s="13"/>
      <c r="NFI19" s="13"/>
      <c r="NFJ19" s="13"/>
      <c r="NFK19" s="13"/>
      <c r="NFL19" s="13"/>
      <c r="NFM19" s="13"/>
      <c r="NFN19" s="13"/>
      <c r="NFO19" s="13"/>
      <c r="NFP19" s="13"/>
      <c r="NFQ19" s="13"/>
      <c r="NFR19" s="13"/>
      <c r="NFS19" s="13"/>
      <c r="NFT19" s="13"/>
      <c r="NFU19" s="13"/>
      <c r="NFV19" s="13"/>
      <c r="NFW19" s="13"/>
      <c r="NFX19" s="13"/>
      <c r="NFY19" s="13"/>
      <c r="NFZ19" s="13"/>
      <c r="NGA19" s="13"/>
      <c r="NGB19" s="13"/>
      <c r="NGC19" s="13"/>
      <c r="NGD19" s="13"/>
      <c r="NGE19" s="13"/>
      <c r="NGF19" s="13"/>
      <c r="NGG19" s="13"/>
      <c r="NGH19" s="13"/>
      <c r="NGI19" s="13"/>
      <c r="NGJ19" s="13"/>
      <c r="NGK19" s="13"/>
      <c r="NGL19" s="13"/>
      <c r="NGM19" s="13"/>
      <c r="NGN19" s="13"/>
      <c r="NGO19" s="13"/>
      <c r="NGP19" s="13"/>
      <c r="NGQ19" s="13"/>
      <c r="NGR19" s="13"/>
      <c r="NGS19" s="13"/>
      <c r="NGT19" s="13"/>
      <c r="NGU19" s="13"/>
      <c r="NGV19" s="13"/>
      <c r="NGW19" s="13"/>
      <c r="NGX19" s="13"/>
      <c r="NGY19" s="13"/>
      <c r="NGZ19" s="13"/>
      <c r="NHA19" s="13"/>
      <c r="NHB19" s="13"/>
      <c r="NHC19" s="13"/>
      <c r="NHD19" s="13"/>
      <c r="NHE19" s="13"/>
      <c r="NHF19" s="13"/>
      <c r="NHG19" s="13"/>
      <c r="NHH19" s="13"/>
      <c r="NHI19" s="13"/>
      <c r="NHJ19" s="13"/>
      <c r="NHK19" s="13"/>
      <c r="NHL19" s="13"/>
      <c r="NHM19" s="13"/>
      <c r="NHN19" s="13"/>
      <c r="NHO19" s="13"/>
      <c r="NHP19" s="13"/>
      <c r="NHQ19" s="13"/>
      <c r="NHR19" s="13"/>
      <c r="NHS19" s="13"/>
      <c r="NHT19" s="13"/>
      <c r="NHU19" s="13"/>
      <c r="NHV19" s="13"/>
      <c r="NHW19" s="13"/>
      <c r="NHX19" s="13"/>
      <c r="NHY19" s="13"/>
      <c r="NHZ19" s="13"/>
      <c r="NIA19" s="13"/>
      <c r="NIB19" s="13"/>
      <c r="NIC19" s="13"/>
      <c r="NID19" s="13"/>
      <c r="NIE19" s="13"/>
      <c r="NIF19" s="13"/>
      <c r="NIG19" s="13"/>
      <c r="NIH19" s="13"/>
      <c r="NII19" s="13"/>
      <c r="NIJ19" s="13"/>
      <c r="NIK19" s="13"/>
      <c r="NIL19" s="13"/>
      <c r="NIM19" s="13"/>
      <c r="NIN19" s="13"/>
      <c r="NIO19" s="13"/>
      <c r="NIP19" s="13"/>
      <c r="NIQ19" s="13"/>
      <c r="NIR19" s="13"/>
      <c r="NIS19" s="13"/>
      <c r="NIT19" s="13"/>
      <c r="NIU19" s="13"/>
      <c r="NIV19" s="13"/>
      <c r="NIW19" s="13"/>
      <c r="NIX19" s="13"/>
      <c r="NIY19" s="13"/>
      <c r="NIZ19" s="13"/>
      <c r="NJA19" s="13"/>
      <c r="NJB19" s="13"/>
      <c r="NJC19" s="13"/>
      <c r="NJD19" s="13"/>
      <c r="NJE19" s="13"/>
      <c r="NJF19" s="13"/>
      <c r="NJG19" s="13"/>
      <c r="NJH19" s="13"/>
      <c r="NJI19" s="13"/>
      <c r="NJJ19" s="13"/>
      <c r="NJK19" s="13"/>
      <c r="NJL19" s="13"/>
      <c r="NJM19" s="13"/>
      <c r="NJN19" s="13"/>
      <c r="NJO19" s="13"/>
      <c r="NJP19" s="13"/>
      <c r="NJQ19" s="13"/>
      <c r="NJR19" s="13"/>
      <c r="NJS19" s="13"/>
      <c r="NJT19" s="13"/>
      <c r="NJU19" s="13"/>
      <c r="NJV19" s="13"/>
      <c r="NJW19" s="13"/>
      <c r="NJX19" s="13"/>
      <c r="NJY19" s="13"/>
      <c r="NJZ19" s="13"/>
      <c r="NKA19" s="13"/>
      <c r="NKB19" s="13"/>
      <c r="NKC19" s="13"/>
      <c r="NKD19" s="13"/>
      <c r="NKE19" s="13"/>
      <c r="NKF19" s="13"/>
      <c r="NKG19" s="13"/>
      <c r="NKH19" s="13"/>
      <c r="NKI19" s="13"/>
      <c r="NKJ19" s="13"/>
      <c r="NKK19" s="13"/>
      <c r="NKL19" s="13"/>
      <c r="NKM19" s="13"/>
      <c r="NKN19" s="13"/>
      <c r="NKO19" s="13"/>
      <c r="NKP19" s="13"/>
      <c r="NKQ19" s="13"/>
      <c r="NKR19" s="13"/>
      <c r="NKS19" s="13"/>
      <c r="NKT19" s="13"/>
      <c r="NKU19" s="13"/>
      <c r="NKV19" s="13"/>
      <c r="NKW19" s="13"/>
      <c r="NKX19" s="13"/>
      <c r="NKY19" s="13"/>
      <c r="NKZ19" s="13"/>
      <c r="NLA19" s="13"/>
      <c r="NLB19" s="13"/>
      <c r="NLC19" s="13"/>
      <c r="NLD19" s="13"/>
      <c r="NLE19" s="13"/>
      <c r="NLF19" s="13"/>
      <c r="NLG19" s="13"/>
      <c r="NLH19" s="13"/>
      <c r="NLI19" s="13"/>
      <c r="NLJ19" s="13"/>
      <c r="NLK19" s="13"/>
      <c r="NLL19" s="13"/>
      <c r="NLM19" s="13"/>
      <c r="NLN19" s="13"/>
      <c r="NLO19" s="13"/>
      <c r="NLP19" s="13"/>
      <c r="NLQ19" s="13"/>
      <c r="NLR19" s="13"/>
      <c r="NLS19" s="13"/>
      <c r="NLT19" s="13"/>
      <c r="NLU19" s="13"/>
      <c r="NLV19" s="13"/>
      <c r="NLW19" s="13"/>
      <c r="NLX19" s="13"/>
      <c r="NLY19" s="13"/>
      <c r="NLZ19" s="13"/>
      <c r="NMA19" s="13"/>
      <c r="NMB19" s="13"/>
      <c r="NMC19" s="13"/>
      <c r="NMD19" s="13"/>
      <c r="NME19" s="13"/>
      <c r="NMF19" s="13"/>
      <c r="NMG19" s="13"/>
      <c r="NMH19" s="13"/>
      <c r="NMI19" s="13"/>
      <c r="NMJ19" s="13"/>
      <c r="NMK19" s="13"/>
      <c r="NML19" s="13"/>
      <c r="NMM19" s="13"/>
      <c r="NMN19" s="13"/>
      <c r="NMO19" s="13"/>
      <c r="NMP19" s="13"/>
      <c r="NMQ19" s="13"/>
      <c r="NMR19" s="13"/>
      <c r="NMS19" s="13"/>
      <c r="NMT19" s="13"/>
      <c r="NMU19" s="13"/>
      <c r="NMV19" s="13"/>
      <c r="NMW19" s="13"/>
      <c r="NMX19" s="13"/>
      <c r="NMY19" s="13"/>
      <c r="NMZ19" s="13"/>
      <c r="NNA19" s="13"/>
      <c r="NNB19" s="13"/>
      <c r="NNC19" s="13"/>
      <c r="NND19" s="13"/>
      <c r="NNE19" s="13"/>
      <c r="NNF19" s="13"/>
      <c r="NNG19" s="13"/>
      <c r="NNH19" s="13"/>
      <c r="NNI19" s="13"/>
      <c r="NNJ19" s="13"/>
      <c r="NNK19" s="13"/>
      <c r="NNL19" s="13"/>
      <c r="NNM19" s="13"/>
      <c r="NNN19" s="13"/>
      <c r="NNO19" s="13"/>
      <c r="NNP19" s="13"/>
      <c r="NNQ19" s="13"/>
      <c r="NNR19" s="13"/>
      <c r="NNS19" s="13"/>
      <c r="NNT19" s="13"/>
      <c r="NNU19" s="13"/>
      <c r="NNV19" s="13"/>
      <c r="NNW19" s="13"/>
      <c r="NNX19" s="13"/>
      <c r="NNY19" s="13"/>
      <c r="NNZ19" s="13"/>
      <c r="NOA19" s="13"/>
      <c r="NOB19" s="13"/>
      <c r="NOC19" s="13"/>
      <c r="NOD19" s="13"/>
      <c r="NOE19" s="13"/>
      <c r="NOF19" s="13"/>
      <c r="NOG19" s="13"/>
      <c r="NOH19" s="13"/>
      <c r="NOI19" s="13"/>
      <c r="NOJ19" s="13"/>
      <c r="NOK19" s="13"/>
      <c r="NOL19" s="13"/>
      <c r="NOM19" s="13"/>
      <c r="NON19" s="13"/>
      <c r="NOO19" s="13"/>
      <c r="NOP19" s="13"/>
      <c r="NOQ19" s="13"/>
      <c r="NOR19" s="13"/>
      <c r="NOS19" s="13"/>
      <c r="NOT19" s="13"/>
      <c r="NOU19" s="13"/>
      <c r="NOV19" s="13"/>
      <c r="NOW19" s="13"/>
      <c r="NOX19" s="13"/>
      <c r="NOY19" s="13"/>
      <c r="NOZ19" s="13"/>
      <c r="NPA19" s="13"/>
      <c r="NPB19" s="13"/>
      <c r="NPC19" s="13"/>
      <c r="NPD19" s="13"/>
      <c r="NPE19" s="13"/>
      <c r="NPF19" s="13"/>
      <c r="NPG19" s="13"/>
      <c r="NPH19" s="13"/>
      <c r="NPI19" s="13"/>
      <c r="NPJ19" s="13"/>
      <c r="NPK19" s="13"/>
      <c r="NPL19" s="13"/>
      <c r="NPM19" s="13"/>
      <c r="NPN19" s="13"/>
      <c r="NPO19" s="13"/>
      <c r="NPP19" s="13"/>
      <c r="NPQ19" s="13"/>
      <c r="NPR19" s="13"/>
      <c r="NPS19" s="13"/>
      <c r="NPT19" s="13"/>
      <c r="NPU19" s="13"/>
      <c r="NPV19" s="13"/>
      <c r="NPW19" s="13"/>
      <c r="NPX19" s="13"/>
      <c r="NPY19" s="13"/>
      <c r="NPZ19" s="13"/>
      <c r="NQA19" s="13"/>
      <c r="NQB19" s="13"/>
      <c r="NQC19" s="13"/>
      <c r="NQD19" s="13"/>
      <c r="NQE19" s="13"/>
      <c r="NQF19" s="13"/>
      <c r="NQG19" s="13"/>
      <c r="NQH19" s="13"/>
      <c r="NQI19" s="13"/>
      <c r="NQJ19" s="13"/>
      <c r="NQK19" s="13"/>
      <c r="NQL19" s="13"/>
      <c r="NQM19" s="13"/>
      <c r="NQN19" s="13"/>
      <c r="NQO19" s="13"/>
      <c r="NQP19" s="13"/>
      <c r="NQQ19" s="13"/>
      <c r="NQR19" s="13"/>
      <c r="NQS19" s="13"/>
      <c r="NQT19" s="13"/>
      <c r="NQU19" s="13"/>
      <c r="NQV19" s="13"/>
      <c r="NQW19" s="13"/>
      <c r="NQX19" s="13"/>
      <c r="NQY19" s="13"/>
      <c r="NQZ19" s="13"/>
      <c r="NRA19" s="13"/>
      <c r="NRB19" s="13"/>
      <c r="NRC19" s="13"/>
      <c r="NRD19" s="13"/>
      <c r="NRE19" s="13"/>
      <c r="NRF19" s="13"/>
      <c r="NRG19" s="13"/>
      <c r="NRH19" s="13"/>
      <c r="NRI19" s="13"/>
      <c r="NRJ19" s="13"/>
      <c r="NRK19" s="13"/>
      <c r="NRL19" s="13"/>
      <c r="NRM19" s="13"/>
      <c r="NRN19" s="13"/>
      <c r="NRO19" s="13"/>
      <c r="NRP19" s="13"/>
      <c r="NRQ19" s="13"/>
      <c r="NRR19" s="13"/>
      <c r="NRS19" s="13"/>
      <c r="NRT19" s="13"/>
      <c r="NRU19" s="13"/>
      <c r="NRV19" s="13"/>
      <c r="NRW19" s="13"/>
      <c r="NRX19" s="13"/>
      <c r="NRY19" s="13"/>
      <c r="NRZ19" s="13"/>
      <c r="NSA19" s="13"/>
      <c r="NSB19" s="13"/>
      <c r="NSC19" s="13"/>
      <c r="NSD19" s="13"/>
      <c r="NSE19" s="13"/>
      <c r="NSF19" s="13"/>
      <c r="NSG19" s="13"/>
      <c r="NSH19" s="13"/>
      <c r="NSI19" s="13"/>
      <c r="NSJ19" s="13"/>
      <c r="NSK19" s="13"/>
      <c r="NSL19" s="13"/>
      <c r="NSM19" s="13"/>
      <c r="NSN19" s="13"/>
      <c r="NSO19" s="13"/>
      <c r="NSP19" s="13"/>
      <c r="NSQ19" s="13"/>
      <c r="NSR19" s="13"/>
      <c r="NSS19" s="13"/>
      <c r="NST19" s="13"/>
      <c r="NSU19" s="13"/>
      <c r="NSV19" s="13"/>
      <c r="NSW19" s="13"/>
      <c r="NSX19" s="13"/>
      <c r="NSY19" s="13"/>
      <c r="NSZ19" s="13"/>
      <c r="NTA19" s="13"/>
      <c r="NTB19" s="13"/>
      <c r="NTC19" s="13"/>
      <c r="NTD19" s="13"/>
      <c r="NTE19" s="13"/>
      <c r="NTF19" s="13"/>
      <c r="NTG19" s="13"/>
      <c r="NTH19" s="13"/>
      <c r="NTI19" s="13"/>
      <c r="NTJ19" s="13"/>
      <c r="NTK19" s="13"/>
      <c r="NTL19" s="13"/>
      <c r="NTM19" s="13"/>
      <c r="NTN19" s="13"/>
      <c r="NTO19" s="13"/>
      <c r="NTP19" s="13"/>
      <c r="NTQ19" s="13"/>
      <c r="NTR19" s="13"/>
      <c r="NTS19" s="13"/>
      <c r="NTT19" s="13"/>
      <c r="NTU19" s="13"/>
      <c r="NTV19" s="13"/>
      <c r="NTW19" s="13"/>
      <c r="NTX19" s="13"/>
      <c r="NTY19" s="13"/>
      <c r="NTZ19" s="13"/>
      <c r="NUA19" s="13"/>
      <c r="NUB19" s="13"/>
      <c r="NUC19" s="13"/>
      <c r="NUD19" s="13"/>
      <c r="NUE19" s="13"/>
      <c r="NUF19" s="13"/>
      <c r="NUG19" s="13"/>
      <c r="NUH19" s="13"/>
      <c r="NUI19" s="13"/>
      <c r="NUJ19" s="13"/>
      <c r="NUK19" s="13"/>
      <c r="NUL19" s="13"/>
      <c r="NUM19" s="13"/>
      <c r="NUN19" s="13"/>
      <c r="NUO19" s="13"/>
      <c r="NUP19" s="13"/>
      <c r="NUQ19" s="13"/>
      <c r="NUR19" s="13"/>
      <c r="NUS19" s="13"/>
      <c r="NUT19" s="13"/>
      <c r="NUU19" s="13"/>
      <c r="NUV19" s="13"/>
      <c r="NUW19" s="13"/>
      <c r="NUX19" s="13"/>
      <c r="NUY19" s="13"/>
      <c r="NUZ19" s="13"/>
      <c r="NVA19" s="13"/>
      <c r="NVB19" s="13"/>
      <c r="NVC19" s="13"/>
      <c r="NVD19" s="13"/>
      <c r="NVE19" s="13"/>
      <c r="NVF19" s="13"/>
      <c r="NVG19" s="13"/>
      <c r="NVH19" s="13"/>
      <c r="NVI19" s="13"/>
      <c r="NVJ19" s="13"/>
      <c r="NVK19" s="13"/>
      <c r="NVL19" s="13"/>
      <c r="NVM19" s="13"/>
      <c r="NVN19" s="13"/>
      <c r="NVO19" s="13"/>
      <c r="NVP19" s="13"/>
      <c r="NVQ19" s="13"/>
      <c r="NVR19" s="13"/>
      <c r="NVS19" s="13"/>
      <c r="NVT19" s="13"/>
      <c r="NVU19" s="13"/>
      <c r="NVV19" s="13"/>
      <c r="NVW19" s="13"/>
      <c r="NVX19" s="13"/>
      <c r="NVY19" s="13"/>
      <c r="NVZ19" s="13"/>
      <c r="NWA19" s="13"/>
      <c r="NWB19" s="13"/>
      <c r="NWC19" s="13"/>
      <c r="NWD19" s="13"/>
      <c r="NWE19" s="13"/>
      <c r="NWF19" s="13"/>
      <c r="NWG19" s="13"/>
      <c r="NWH19" s="13"/>
      <c r="NWI19" s="13"/>
      <c r="NWJ19" s="13"/>
      <c r="NWK19" s="13"/>
      <c r="NWL19" s="13"/>
      <c r="NWM19" s="13"/>
      <c r="NWN19" s="13"/>
      <c r="NWO19" s="13"/>
      <c r="NWP19" s="13"/>
      <c r="NWQ19" s="13"/>
      <c r="NWR19" s="13"/>
      <c r="NWS19" s="13"/>
      <c r="NWT19" s="13"/>
      <c r="NWU19" s="13"/>
      <c r="NWV19" s="13"/>
      <c r="NWW19" s="13"/>
      <c r="NWX19" s="13"/>
      <c r="NWY19" s="13"/>
      <c r="NWZ19" s="13"/>
      <c r="NXA19" s="13"/>
      <c r="NXB19" s="13"/>
      <c r="NXC19" s="13"/>
      <c r="NXD19" s="13"/>
      <c r="NXE19" s="13"/>
      <c r="NXF19" s="13"/>
      <c r="NXG19" s="13"/>
      <c r="NXH19" s="13"/>
      <c r="NXI19" s="13"/>
      <c r="NXJ19" s="13"/>
      <c r="NXK19" s="13"/>
      <c r="NXL19" s="13"/>
      <c r="NXM19" s="13"/>
      <c r="NXN19" s="13"/>
      <c r="NXO19" s="13"/>
      <c r="NXP19" s="13"/>
      <c r="NXQ19" s="13"/>
      <c r="NXR19" s="13"/>
      <c r="NXS19" s="13"/>
      <c r="NXT19" s="13"/>
      <c r="NXU19" s="13"/>
      <c r="NXV19" s="13"/>
      <c r="NXW19" s="13"/>
      <c r="NXX19" s="13"/>
      <c r="NXY19" s="13"/>
      <c r="NXZ19" s="13"/>
      <c r="NYA19" s="13"/>
      <c r="NYB19" s="13"/>
      <c r="NYC19" s="13"/>
      <c r="NYD19" s="13"/>
      <c r="NYE19" s="13"/>
      <c r="NYF19" s="13"/>
      <c r="NYG19" s="13"/>
      <c r="NYH19" s="13"/>
      <c r="NYI19" s="13"/>
      <c r="NYJ19" s="13"/>
      <c r="NYK19" s="13"/>
      <c r="NYL19" s="13"/>
      <c r="NYM19" s="13"/>
      <c r="NYN19" s="13"/>
      <c r="NYO19" s="13"/>
      <c r="NYP19" s="13"/>
      <c r="NYQ19" s="13"/>
      <c r="NYR19" s="13"/>
      <c r="NYS19" s="13"/>
      <c r="NYT19" s="13"/>
      <c r="NYU19" s="13"/>
      <c r="NYV19" s="13"/>
      <c r="NYW19" s="13"/>
      <c r="NYX19" s="13"/>
      <c r="NYY19" s="13"/>
      <c r="NYZ19" s="13"/>
      <c r="NZA19" s="13"/>
      <c r="NZB19" s="13"/>
      <c r="NZC19" s="13"/>
      <c r="NZD19" s="13"/>
      <c r="NZE19" s="13"/>
      <c r="NZF19" s="13"/>
      <c r="NZG19" s="13"/>
      <c r="NZH19" s="13"/>
      <c r="NZI19" s="13"/>
      <c r="NZJ19" s="13"/>
      <c r="NZK19" s="13"/>
      <c r="NZL19" s="13"/>
      <c r="NZM19" s="13"/>
      <c r="NZN19" s="13"/>
      <c r="NZO19" s="13"/>
      <c r="NZP19" s="13"/>
      <c r="NZQ19" s="13"/>
      <c r="NZR19" s="13"/>
      <c r="NZS19" s="13"/>
      <c r="NZT19" s="13"/>
      <c r="NZU19" s="13"/>
      <c r="NZV19" s="13"/>
      <c r="NZW19" s="13"/>
      <c r="NZX19" s="13"/>
      <c r="NZY19" s="13"/>
      <c r="NZZ19" s="13"/>
      <c r="OAA19" s="13"/>
      <c r="OAB19" s="13"/>
      <c r="OAC19" s="13"/>
      <c r="OAD19" s="13"/>
      <c r="OAE19" s="13"/>
      <c r="OAF19" s="13"/>
      <c r="OAG19" s="13"/>
      <c r="OAH19" s="13"/>
      <c r="OAI19" s="13"/>
      <c r="OAJ19" s="13"/>
      <c r="OAK19" s="13"/>
      <c r="OAL19" s="13"/>
      <c r="OAM19" s="13"/>
      <c r="OAN19" s="13"/>
      <c r="OAO19" s="13"/>
      <c r="OAP19" s="13"/>
      <c r="OAQ19" s="13"/>
      <c r="OAR19" s="13"/>
      <c r="OAS19" s="13"/>
      <c r="OAT19" s="13"/>
      <c r="OAU19" s="13"/>
      <c r="OAV19" s="13"/>
      <c r="OAW19" s="13"/>
      <c r="OAX19" s="13"/>
      <c r="OAY19" s="13"/>
      <c r="OAZ19" s="13"/>
      <c r="OBA19" s="13"/>
      <c r="OBB19" s="13"/>
      <c r="OBC19" s="13"/>
      <c r="OBD19" s="13"/>
      <c r="OBE19" s="13"/>
      <c r="OBF19" s="13"/>
      <c r="OBG19" s="13"/>
      <c r="OBH19" s="13"/>
      <c r="OBI19" s="13"/>
      <c r="OBJ19" s="13"/>
      <c r="OBK19" s="13"/>
      <c r="OBL19" s="13"/>
      <c r="OBM19" s="13"/>
      <c r="OBN19" s="13"/>
      <c r="OBO19" s="13"/>
      <c r="OBP19" s="13"/>
      <c r="OBQ19" s="13"/>
      <c r="OBR19" s="13"/>
      <c r="OBS19" s="13"/>
      <c r="OBT19" s="13"/>
      <c r="OBU19" s="13"/>
      <c r="OBV19" s="13"/>
      <c r="OBW19" s="13"/>
      <c r="OBX19" s="13"/>
      <c r="OBY19" s="13"/>
      <c r="OBZ19" s="13"/>
      <c r="OCA19" s="13"/>
      <c r="OCB19" s="13"/>
      <c r="OCC19" s="13"/>
      <c r="OCD19" s="13"/>
      <c r="OCE19" s="13"/>
      <c r="OCF19" s="13"/>
      <c r="OCG19" s="13"/>
      <c r="OCH19" s="13"/>
      <c r="OCI19" s="13"/>
      <c r="OCJ19" s="13"/>
      <c r="OCK19" s="13"/>
      <c r="OCL19" s="13"/>
      <c r="OCM19" s="13"/>
      <c r="OCN19" s="13"/>
      <c r="OCO19" s="13"/>
      <c r="OCP19" s="13"/>
      <c r="OCQ19" s="13"/>
      <c r="OCR19" s="13"/>
      <c r="OCS19" s="13"/>
      <c r="OCT19" s="13"/>
      <c r="OCU19" s="13"/>
      <c r="OCV19" s="13"/>
      <c r="OCW19" s="13"/>
      <c r="OCX19" s="13"/>
      <c r="OCY19" s="13"/>
      <c r="OCZ19" s="13"/>
      <c r="ODA19" s="13"/>
      <c r="ODB19" s="13"/>
      <c r="ODC19" s="13"/>
      <c r="ODD19" s="13"/>
      <c r="ODE19" s="13"/>
      <c r="ODF19" s="13"/>
      <c r="ODG19" s="13"/>
      <c r="ODH19" s="13"/>
      <c r="ODI19" s="13"/>
      <c r="ODJ19" s="13"/>
      <c r="ODK19" s="13"/>
      <c r="ODL19" s="13"/>
      <c r="ODM19" s="13"/>
      <c r="ODN19" s="13"/>
      <c r="ODO19" s="13"/>
      <c r="ODP19" s="13"/>
      <c r="ODQ19" s="13"/>
      <c r="ODR19" s="13"/>
      <c r="ODS19" s="13"/>
      <c r="ODT19" s="13"/>
      <c r="ODU19" s="13"/>
      <c r="ODV19" s="13"/>
      <c r="ODW19" s="13"/>
      <c r="ODX19" s="13"/>
      <c r="ODY19" s="13"/>
      <c r="ODZ19" s="13"/>
      <c r="OEA19" s="13"/>
      <c r="OEB19" s="13"/>
      <c r="OEC19" s="13"/>
      <c r="OED19" s="13"/>
      <c r="OEE19" s="13"/>
      <c r="OEF19" s="13"/>
      <c r="OEG19" s="13"/>
      <c r="OEH19" s="13"/>
      <c r="OEI19" s="13"/>
      <c r="OEJ19" s="13"/>
      <c r="OEK19" s="13"/>
      <c r="OEL19" s="13"/>
      <c r="OEM19" s="13"/>
      <c r="OEN19" s="13"/>
      <c r="OEO19" s="13"/>
      <c r="OEP19" s="13"/>
      <c r="OEQ19" s="13"/>
      <c r="OER19" s="13"/>
      <c r="OES19" s="13"/>
      <c r="OET19" s="13"/>
      <c r="OEU19" s="13"/>
      <c r="OEV19" s="13"/>
      <c r="OEW19" s="13"/>
      <c r="OEX19" s="13"/>
      <c r="OEY19" s="13"/>
      <c r="OEZ19" s="13"/>
      <c r="OFA19" s="13"/>
      <c r="OFB19" s="13"/>
      <c r="OFC19" s="13"/>
      <c r="OFD19" s="13"/>
      <c r="OFE19" s="13"/>
      <c r="OFF19" s="13"/>
      <c r="OFG19" s="13"/>
      <c r="OFH19" s="13"/>
      <c r="OFI19" s="13"/>
      <c r="OFJ19" s="13"/>
      <c r="OFK19" s="13"/>
      <c r="OFL19" s="13"/>
      <c r="OFM19" s="13"/>
      <c r="OFN19" s="13"/>
      <c r="OFO19" s="13"/>
      <c r="OFP19" s="13"/>
      <c r="OFQ19" s="13"/>
      <c r="OFR19" s="13"/>
      <c r="OFS19" s="13"/>
      <c r="OFT19" s="13"/>
      <c r="OFU19" s="13"/>
      <c r="OFV19" s="13"/>
      <c r="OFW19" s="13"/>
      <c r="OFX19" s="13"/>
      <c r="OFY19" s="13"/>
      <c r="OFZ19" s="13"/>
      <c r="OGA19" s="13"/>
      <c r="OGB19" s="13"/>
      <c r="OGC19" s="13"/>
      <c r="OGD19" s="13"/>
      <c r="OGE19" s="13"/>
      <c r="OGF19" s="13"/>
      <c r="OGG19" s="13"/>
      <c r="OGH19" s="13"/>
      <c r="OGI19" s="13"/>
      <c r="OGJ19" s="13"/>
      <c r="OGK19" s="13"/>
      <c r="OGL19" s="13"/>
      <c r="OGM19" s="13"/>
      <c r="OGN19" s="13"/>
      <c r="OGO19" s="13"/>
      <c r="OGP19" s="13"/>
      <c r="OGQ19" s="13"/>
      <c r="OGR19" s="13"/>
      <c r="OGS19" s="13"/>
      <c r="OGT19" s="13"/>
      <c r="OGU19" s="13"/>
      <c r="OGV19" s="13"/>
      <c r="OGW19" s="13"/>
      <c r="OGX19" s="13"/>
      <c r="OGY19" s="13"/>
      <c r="OGZ19" s="13"/>
      <c r="OHA19" s="13"/>
      <c r="OHB19" s="13"/>
      <c r="OHC19" s="13"/>
      <c r="OHD19" s="13"/>
      <c r="OHE19" s="13"/>
      <c r="OHF19" s="13"/>
      <c r="OHG19" s="13"/>
      <c r="OHH19" s="13"/>
      <c r="OHI19" s="13"/>
      <c r="OHJ19" s="13"/>
      <c r="OHK19" s="13"/>
      <c r="OHL19" s="13"/>
      <c r="OHM19" s="13"/>
      <c r="OHN19" s="13"/>
      <c r="OHO19" s="13"/>
      <c r="OHP19" s="13"/>
      <c r="OHQ19" s="13"/>
      <c r="OHR19" s="13"/>
      <c r="OHS19" s="13"/>
      <c r="OHT19" s="13"/>
      <c r="OHU19" s="13"/>
      <c r="OHV19" s="13"/>
      <c r="OHW19" s="13"/>
      <c r="OHX19" s="13"/>
      <c r="OHY19" s="13"/>
      <c r="OHZ19" s="13"/>
      <c r="OIA19" s="13"/>
      <c r="OIB19" s="13"/>
      <c r="OIC19" s="13"/>
      <c r="OID19" s="13"/>
      <c r="OIE19" s="13"/>
      <c r="OIF19" s="13"/>
      <c r="OIG19" s="13"/>
      <c r="OIH19" s="13"/>
      <c r="OII19" s="13"/>
      <c r="OIJ19" s="13"/>
      <c r="OIK19" s="13"/>
      <c r="OIL19" s="13"/>
      <c r="OIM19" s="13"/>
      <c r="OIN19" s="13"/>
      <c r="OIO19" s="13"/>
      <c r="OIP19" s="13"/>
      <c r="OIQ19" s="13"/>
      <c r="OIR19" s="13"/>
      <c r="OIS19" s="13"/>
      <c r="OIT19" s="13"/>
      <c r="OIU19" s="13"/>
      <c r="OIV19" s="13"/>
      <c r="OIW19" s="13"/>
      <c r="OIX19" s="13"/>
      <c r="OIY19" s="13"/>
      <c r="OIZ19" s="13"/>
      <c r="OJA19" s="13"/>
      <c r="OJB19" s="13"/>
      <c r="OJC19" s="13"/>
      <c r="OJD19" s="13"/>
      <c r="OJE19" s="13"/>
      <c r="OJF19" s="13"/>
      <c r="OJG19" s="13"/>
      <c r="OJH19" s="13"/>
      <c r="OJI19" s="13"/>
      <c r="OJJ19" s="13"/>
      <c r="OJK19" s="13"/>
      <c r="OJL19" s="13"/>
      <c r="OJM19" s="13"/>
      <c r="OJN19" s="13"/>
      <c r="OJO19" s="13"/>
      <c r="OJP19" s="13"/>
      <c r="OJQ19" s="13"/>
      <c r="OJR19" s="13"/>
      <c r="OJS19" s="13"/>
      <c r="OJT19" s="13"/>
      <c r="OJU19" s="13"/>
      <c r="OJV19" s="13"/>
      <c r="OJW19" s="13"/>
      <c r="OJX19" s="13"/>
      <c r="OJY19" s="13"/>
      <c r="OJZ19" s="13"/>
      <c r="OKA19" s="13"/>
      <c r="OKB19" s="13"/>
      <c r="OKC19" s="13"/>
      <c r="OKD19" s="13"/>
      <c r="OKE19" s="13"/>
      <c r="OKF19" s="13"/>
      <c r="OKG19" s="13"/>
      <c r="OKH19" s="13"/>
      <c r="OKI19" s="13"/>
      <c r="OKJ19" s="13"/>
      <c r="OKK19" s="13"/>
      <c r="OKL19" s="13"/>
      <c r="OKM19" s="13"/>
      <c r="OKN19" s="13"/>
      <c r="OKO19" s="13"/>
      <c r="OKP19" s="13"/>
      <c r="OKQ19" s="13"/>
      <c r="OKR19" s="13"/>
      <c r="OKS19" s="13"/>
      <c r="OKT19" s="13"/>
      <c r="OKU19" s="13"/>
      <c r="OKV19" s="13"/>
      <c r="OKW19" s="13"/>
      <c r="OKX19" s="13"/>
      <c r="OKY19" s="13"/>
      <c r="OKZ19" s="13"/>
      <c r="OLA19" s="13"/>
      <c r="OLB19" s="13"/>
      <c r="OLC19" s="13"/>
      <c r="OLD19" s="13"/>
      <c r="OLE19" s="13"/>
      <c r="OLF19" s="13"/>
      <c r="OLG19" s="13"/>
      <c r="OLH19" s="13"/>
      <c r="OLI19" s="13"/>
      <c r="OLJ19" s="13"/>
      <c r="OLK19" s="13"/>
      <c r="OLL19" s="13"/>
      <c r="OLM19" s="13"/>
      <c r="OLN19" s="13"/>
      <c r="OLO19" s="13"/>
      <c r="OLP19" s="13"/>
      <c r="OLQ19" s="13"/>
      <c r="OLR19" s="13"/>
      <c r="OLS19" s="13"/>
      <c r="OLT19" s="13"/>
      <c r="OLU19" s="13"/>
      <c r="OLV19" s="13"/>
      <c r="OLW19" s="13"/>
      <c r="OLX19" s="13"/>
      <c r="OLY19" s="13"/>
      <c r="OLZ19" s="13"/>
      <c r="OMA19" s="13"/>
      <c r="OMB19" s="13"/>
      <c r="OMC19" s="13"/>
      <c r="OMD19" s="13"/>
      <c r="OME19" s="13"/>
      <c r="OMF19" s="13"/>
      <c r="OMG19" s="13"/>
      <c r="OMH19" s="13"/>
      <c r="OMI19" s="13"/>
      <c r="OMJ19" s="13"/>
      <c r="OMK19" s="13"/>
      <c r="OML19" s="13"/>
      <c r="OMM19" s="13"/>
      <c r="OMN19" s="13"/>
      <c r="OMO19" s="13"/>
      <c r="OMP19" s="13"/>
      <c r="OMQ19" s="13"/>
      <c r="OMR19" s="13"/>
      <c r="OMS19" s="13"/>
      <c r="OMT19" s="13"/>
      <c r="OMU19" s="13"/>
      <c r="OMV19" s="13"/>
      <c r="OMW19" s="13"/>
      <c r="OMX19" s="13"/>
      <c r="OMY19" s="13"/>
      <c r="OMZ19" s="13"/>
      <c r="ONA19" s="13"/>
      <c r="ONB19" s="13"/>
      <c r="ONC19" s="13"/>
      <c r="OND19" s="13"/>
      <c r="ONE19" s="13"/>
      <c r="ONF19" s="13"/>
      <c r="ONG19" s="13"/>
      <c r="ONH19" s="13"/>
      <c r="ONI19" s="13"/>
      <c r="ONJ19" s="13"/>
      <c r="ONK19" s="13"/>
      <c r="ONL19" s="13"/>
      <c r="ONM19" s="13"/>
      <c r="ONN19" s="13"/>
      <c r="ONO19" s="13"/>
      <c r="ONP19" s="13"/>
      <c r="ONQ19" s="13"/>
      <c r="ONR19" s="13"/>
      <c r="ONS19" s="13"/>
      <c r="ONT19" s="13"/>
      <c r="ONU19" s="13"/>
      <c r="ONV19" s="13"/>
      <c r="ONW19" s="13"/>
      <c r="ONX19" s="13"/>
      <c r="ONY19" s="13"/>
      <c r="ONZ19" s="13"/>
      <c r="OOA19" s="13"/>
      <c r="OOB19" s="13"/>
      <c r="OOC19" s="13"/>
      <c r="OOD19" s="13"/>
      <c r="OOE19" s="13"/>
      <c r="OOF19" s="13"/>
      <c r="OOG19" s="13"/>
      <c r="OOH19" s="13"/>
      <c r="OOI19" s="13"/>
      <c r="OOJ19" s="13"/>
      <c r="OOK19" s="13"/>
      <c r="OOL19" s="13"/>
      <c r="OOM19" s="13"/>
      <c r="OON19" s="13"/>
      <c r="OOO19" s="13"/>
      <c r="OOP19" s="13"/>
      <c r="OOQ19" s="13"/>
      <c r="OOR19" s="13"/>
      <c r="OOS19" s="13"/>
      <c r="OOT19" s="13"/>
      <c r="OOU19" s="13"/>
      <c r="OOV19" s="13"/>
      <c r="OOW19" s="13"/>
      <c r="OOX19" s="13"/>
      <c r="OOY19" s="13"/>
      <c r="OOZ19" s="13"/>
      <c r="OPA19" s="13"/>
      <c r="OPB19" s="13"/>
      <c r="OPC19" s="13"/>
      <c r="OPD19" s="13"/>
      <c r="OPE19" s="13"/>
      <c r="OPF19" s="13"/>
      <c r="OPG19" s="13"/>
      <c r="OPH19" s="13"/>
      <c r="OPI19" s="13"/>
      <c r="OPJ19" s="13"/>
      <c r="OPK19" s="13"/>
      <c r="OPL19" s="13"/>
      <c r="OPM19" s="13"/>
      <c r="OPN19" s="13"/>
      <c r="OPO19" s="13"/>
      <c r="OPP19" s="13"/>
      <c r="OPQ19" s="13"/>
      <c r="OPR19" s="13"/>
      <c r="OPS19" s="13"/>
      <c r="OPT19" s="13"/>
      <c r="OPU19" s="13"/>
      <c r="OPV19" s="13"/>
      <c r="OPW19" s="13"/>
      <c r="OPX19" s="13"/>
      <c r="OPY19" s="13"/>
      <c r="OPZ19" s="13"/>
      <c r="OQA19" s="13"/>
      <c r="OQB19" s="13"/>
      <c r="OQC19" s="13"/>
      <c r="OQD19" s="13"/>
      <c r="OQE19" s="13"/>
      <c r="OQF19" s="13"/>
      <c r="OQG19" s="13"/>
      <c r="OQH19" s="13"/>
      <c r="OQI19" s="13"/>
      <c r="OQJ19" s="13"/>
      <c r="OQK19" s="13"/>
      <c r="OQL19" s="13"/>
      <c r="OQM19" s="13"/>
      <c r="OQN19" s="13"/>
      <c r="OQO19" s="13"/>
      <c r="OQP19" s="13"/>
      <c r="OQQ19" s="13"/>
      <c r="OQR19" s="13"/>
      <c r="OQS19" s="13"/>
      <c r="OQT19" s="13"/>
      <c r="OQU19" s="13"/>
      <c r="OQV19" s="13"/>
      <c r="OQW19" s="13"/>
      <c r="OQX19" s="13"/>
      <c r="OQY19" s="13"/>
      <c r="OQZ19" s="13"/>
      <c r="ORA19" s="13"/>
      <c r="ORB19" s="13"/>
      <c r="ORC19" s="13"/>
      <c r="ORD19" s="13"/>
      <c r="ORE19" s="13"/>
      <c r="ORF19" s="13"/>
      <c r="ORG19" s="13"/>
      <c r="ORH19" s="13"/>
      <c r="ORI19" s="13"/>
      <c r="ORJ19" s="13"/>
      <c r="ORK19" s="13"/>
      <c r="ORL19" s="13"/>
      <c r="ORM19" s="13"/>
      <c r="ORN19" s="13"/>
      <c r="ORO19" s="13"/>
      <c r="ORP19" s="13"/>
      <c r="ORQ19" s="13"/>
      <c r="ORR19" s="13"/>
      <c r="ORS19" s="13"/>
      <c r="ORT19" s="13"/>
      <c r="ORU19" s="13"/>
      <c r="ORV19" s="13"/>
      <c r="ORW19" s="13"/>
      <c r="ORX19" s="13"/>
      <c r="ORY19" s="13"/>
      <c r="ORZ19" s="13"/>
      <c r="OSA19" s="13"/>
      <c r="OSB19" s="13"/>
      <c r="OSC19" s="13"/>
      <c r="OSD19" s="13"/>
      <c r="OSE19" s="13"/>
      <c r="OSF19" s="13"/>
      <c r="OSG19" s="13"/>
      <c r="OSH19" s="13"/>
      <c r="OSI19" s="13"/>
      <c r="OSJ19" s="13"/>
      <c r="OSK19" s="13"/>
      <c r="OSL19" s="13"/>
      <c r="OSM19" s="13"/>
      <c r="OSN19" s="13"/>
      <c r="OSO19" s="13"/>
      <c r="OSP19" s="13"/>
      <c r="OSQ19" s="13"/>
      <c r="OSR19" s="13"/>
      <c r="OSS19" s="13"/>
      <c r="OST19" s="13"/>
      <c r="OSU19" s="13"/>
      <c r="OSV19" s="13"/>
      <c r="OSW19" s="13"/>
      <c r="OSX19" s="13"/>
      <c r="OSY19" s="13"/>
      <c r="OSZ19" s="13"/>
      <c r="OTA19" s="13"/>
      <c r="OTB19" s="13"/>
      <c r="OTC19" s="13"/>
      <c r="OTD19" s="13"/>
      <c r="OTE19" s="13"/>
      <c r="OTF19" s="13"/>
      <c r="OTG19" s="13"/>
      <c r="OTH19" s="13"/>
      <c r="OTI19" s="13"/>
      <c r="OTJ19" s="13"/>
      <c r="OTK19" s="13"/>
      <c r="OTL19" s="13"/>
      <c r="OTM19" s="13"/>
      <c r="OTN19" s="13"/>
      <c r="OTO19" s="13"/>
      <c r="OTP19" s="13"/>
      <c r="OTQ19" s="13"/>
      <c r="OTR19" s="13"/>
      <c r="OTS19" s="13"/>
      <c r="OTT19" s="13"/>
      <c r="OTU19" s="13"/>
      <c r="OTV19" s="13"/>
      <c r="OTW19" s="13"/>
      <c r="OTX19" s="13"/>
      <c r="OTY19" s="13"/>
      <c r="OTZ19" s="13"/>
      <c r="OUA19" s="13"/>
      <c r="OUB19" s="13"/>
      <c r="OUC19" s="13"/>
      <c r="OUD19" s="13"/>
      <c r="OUE19" s="13"/>
      <c r="OUF19" s="13"/>
      <c r="OUG19" s="13"/>
      <c r="OUH19" s="13"/>
      <c r="OUI19" s="13"/>
      <c r="OUJ19" s="13"/>
      <c r="OUK19" s="13"/>
      <c r="OUL19" s="13"/>
      <c r="OUM19" s="13"/>
      <c r="OUN19" s="13"/>
      <c r="OUO19" s="13"/>
      <c r="OUP19" s="13"/>
      <c r="OUQ19" s="13"/>
      <c r="OUR19" s="13"/>
      <c r="OUS19" s="13"/>
      <c r="OUT19" s="13"/>
      <c r="OUU19" s="13"/>
      <c r="OUV19" s="13"/>
      <c r="OUW19" s="13"/>
      <c r="OUX19" s="13"/>
      <c r="OUY19" s="13"/>
      <c r="OUZ19" s="13"/>
      <c r="OVA19" s="13"/>
      <c r="OVB19" s="13"/>
      <c r="OVC19" s="13"/>
      <c r="OVD19" s="13"/>
      <c r="OVE19" s="13"/>
      <c r="OVF19" s="13"/>
      <c r="OVG19" s="13"/>
      <c r="OVH19" s="13"/>
      <c r="OVI19" s="13"/>
      <c r="OVJ19" s="13"/>
      <c r="OVK19" s="13"/>
      <c r="OVL19" s="13"/>
      <c r="OVM19" s="13"/>
      <c r="OVN19" s="13"/>
      <c r="OVO19" s="13"/>
      <c r="OVP19" s="13"/>
      <c r="OVQ19" s="13"/>
      <c r="OVR19" s="13"/>
      <c r="OVS19" s="13"/>
      <c r="OVT19" s="13"/>
      <c r="OVU19" s="13"/>
      <c r="OVV19" s="13"/>
      <c r="OVW19" s="13"/>
      <c r="OVX19" s="13"/>
      <c r="OVY19" s="13"/>
      <c r="OVZ19" s="13"/>
      <c r="OWA19" s="13"/>
      <c r="OWB19" s="13"/>
      <c r="OWC19" s="13"/>
      <c r="OWD19" s="13"/>
      <c r="OWE19" s="13"/>
      <c r="OWF19" s="13"/>
      <c r="OWG19" s="13"/>
      <c r="OWH19" s="13"/>
      <c r="OWI19" s="13"/>
      <c r="OWJ19" s="13"/>
      <c r="OWK19" s="13"/>
      <c r="OWL19" s="13"/>
      <c r="OWM19" s="13"/>
      <c r="OWN19" s="13"/>
      <c r="OWO19" s="13"/>
      <c r="OWP19" s="13"/>
      <c r="OWQ19" s="13"/>
      <c r="OWR19" s="13"/>
      <c r="OWS19" s="13"/>
      <c r="OWT19" s="13"/>
      <c r="OWU19" s="13"/>
      <c r="OWV19" s="13"/>
      <c r="OWW19" s="13"/>
      <c r="OWX19" s="13"/>
      <c r="OWY19" s="13"/>
      <c r="OWZ19" s="13"/>
      <c r="OXA19" s="13"/>
      <c r="OXB19" s="13"/>
      <c r="OXC19" s="13"/>
      <c r="OXD19" s="13"/>
      <c r="OXE19" s="13"/>
      <c r="OXF19" s="13"/>
      <c r="OXG19" s="13"/>
      <c r="OXH19" s="13"/>
      <c r="OXI19" s="13"/>
      <c r="OXJ19" s="13"/>
      <c r="OXK19" s="13"/>
      <c r="OXL19" s="13"/>
      <c r="OXM19" s="13"/>
      <c r="OXN19" s="13"/>
      <c r="OXO19" s="13"/>
      <c r="OXP19" s="13"/>
      <c r="OXQ19" s="13"/>
      <c r="OXR19" s="13"/>
      <c r="OXS19" s="13"/>
      <c r="OXT19" s="13"/>
      <c r="OXU19" s="13"/>
      <c r="OXV19" s="13"/>
      <c r="OXW19" s="13"/>
      <c r="OXX19" s="13"/>
      <c r="OXY19" s="13"/>
      <c r="OXZ19" s="13"/>
      <c r="OYA19" s="13"/>
      <c r="OYB19" s="13"/>
      <c r="OYC19" s="13"/>
      <c r="OYD19" s="13"/>
      <c r="OYE19" s="13"/>
      <c r="OYF19" s="13"/>
      <c r="OYG19" s="13"/>
      <c r="OYH19" s="13"/>
      <c r="OYI19" s="13"/>
      <c r="OYJ19" s="13"/>
      <c r="OYK19" s="13"/>
      <c r="OYL19" s="13"/>
      <c r="OYM19" s="13"/>
      <c r="OYN19" s="13"/>
      <c r="OYO19" s="13"/>
      <c r="OYP19" s="13"/>
      <c r="OYQ19" s="13"/>
      <c r="OYR19" s="13"/>
      <c r="OYS19" s="13"/>
      <c r="OYT19" s="13"/>
      <c r="OYU19" s="13"/>
      <c r="OYV19" s="13"/>
      <c r="OYW19" s="13"/>
      <c r="OYX19" s="13"/>
      <c r="OYY19" s="13"/>
      <c r="OYZ19" s="13"/>
      <c r="OZA19" s="13"/>
      <c r="OZB19" s="13"/>
      <c r="OZC19" s="13"/>
      <c r="OZD19" s="13"/>
      <c r="OZE19" s="13"/>
      <c r="OZF19" s="13"/>
      <c r="OZG19" s="13"/>
      <c r="OZH19" s="13"/>
      <c r="OZI19" s="13"/>
      <c r="OZJ19" s="13"/>
      <c r="OZK19" s="13"/>
      <c r="OZL19" s="13"/>
      <c r="OZM19" s="13"/>
      <c r="OZN19" s="13"/>
      <c r="OZO19" s="13"/>
      <c r="OZP19" s="13"/>
      <c r="OZQ19" s="13"/>
      <c r="OZR19" s="13"/>
      <c r="OZS19" s="13"/>
      <c r="OZT19" s="13"/>
      <c r="OZU19" s="13"/>
      <c r="OZV19" s="13"/>
      <c r="OZW19" s="13"/>
      <c r="OZX19" s="13"/>
      <c r="OZY19" s="13"/>
      <c r="OZZ19" s="13"/>
      <c r="PAA19" s="13"/>
      <c r="PAB19" s="13"/>
      <c r="PAC19" s="13"/>
      <c r="PAD19" s="13"/>
      <c r="PAE19" s="13"/>
      <c r="PAF19" s="13"/>
      <c r="PAG19" s="13"/>
      <c r="PAH19" s="13"/>
      <c r="PAI19" s="13"/>
      <c r="PAJ19" s="13"/>
      <c r="PAK19" s="13"/>
      <c r="PAL19" s="13"/>
      <c r="PAM19" s="13"/>
      <c r="PAN19" s="13"/>
      <c r="PAO19" s="13"/>
      <c r="PAP19" s="13"/>
      <c r="PAQ19" s="13"/>
      <c r="PAR19" s="13"/>
      <c r="PAS19" s="13"/>
      <c r="PAT19" s="13"/>
      <c r="PAU19" s="13"/>
      <c r="PAV19" s="13"/>
      <c r="PAW19" s="13"/>
      <c r="PAX19" s="13"/>
      <c r="PAY19" s="13"/>
      <c r="PAZ19" s="13"/>
      <c r="PBA19" s="13"/>
      <c r="PBB19" s="13"/>
      <c r="PBC19" s="13"/>
      <c r="PBD19" s="13"/>
      <c r="PBE19" s="13"/>
      <c r="PBF19" s="13"/>
      <c r="PBG19" s="13"/>
      <c r="PBH19" s="13"/>
      <c r="PBI19" s="13"/>
      <c r="PBJ19" s="13"/>
      <c r="PBK19" s="13"/>
      <c r="PBL19" s="13"/>
      <c r="PBM19" s="13"/>
      <c r="PBN19" s="13"/>
      <c r="PBO19" s="13"/>
      <c r="PBP19" s="13"/>
      <c r="PBQ19" s="13"/>
      <c r="PBR19" s="13"/>
      <c r="PBS19" s="13"/>
      <c r="PBT19" s="13"/>
      <c r="PBU19" s="13"/>
      <c r="PBV19" s="13"/>
      <c r="PBW19" s="13"/>
      <c r="PBX19" s="13"/>
      <c r="PBY19" s="13"/>
      <c r="PBZ19" s="13"/>
      <c r="PCA19" s="13"/>
      <c r="PCB19" s="13"/>
      <c r="PCC19" s="13"/>
      <c r="PCD19" s="13"/>
      <c r="PCE19" s="13"/>
      <c r="PCF19" s="13"/>
      <c r="PCG19" s="13"/>
      <c r="PCH19" s="13"/>
      <c r="PCI19" s="13"/>
      <c r="PCJ19" s="13"/>
      <c r="PCK19" s="13"/>
      <c r="PCL19" s="13"/>
      <c r="PCM19" s="13"/>
      <c r="PCN19" s="13"/>
      <c r="PCO19" s="13"/>
      <c r="PCP19" s="13"/>
      <c r="PCQ19" s="13"/>
      <c r="PCR19" s="13"/>
      <c r="PCS19" s="13"/>
      <c r="PCT19" s="13"/>
      <c r="PCU19" s="13"/>
      <c r="PCV19" s="13"/>
      <c r="PCW19" s="13"/>
      <c r="PCX19" s="13"/>
      <c r="PCY19" s="13"/>
      <c r="PCZ19" s="13"/>
      <c r="PDA19" s="13"/>
      <c r="PDB19" s="13"/>
      <c r="PDC19" s="13"/>
      <c r="PDD19" s="13"/>
      <c r="PDE19" s="13"/>
      <c r="PDF19" s="13"/>
      <c r="PDG19" s="13"/>
      <c r="PDH19" s="13"/>
      <c r="PDI19" s="13"/>
      <c r="PDJ19" s="13"/>
      <c r="PDK19" s="13"/>
      <c r="PDL19" s="13"/>
      <c r="PDM19" s="13"/>
      <c r="PDN19" s="13"/>
      <c r="PDO19" s="13"/>
      <c r="PDP19" s="13"/>
      <c r="PDQ19" s="13"/>
      <c r="PDR19" s="13"/>
      <c r="PDS19" s="13"/>
      <c r="PDT19" s="13"/>
      <c r="PDU19" s="13"/>
      <c r="PDV19" s="13"/>
      <c r="PDW19" s="13"/>
      <c r="PDX19" s="13"/>
      <c r="PDY19" s="13"/>
      <c r="PDZ19" s="13"/>
      <c r="PEA19" s="13"/>
      <c r="PEB19" s="13"/>
      <c r="PEC19" s="13"/>
      <c r="PED19" s="13"/>
      <c r="PEE19" s="13"/>
      <c r="PEF19" s="13"/>
      <c r="PEG19" s="13"/>
      <c r="PEH19" s="13"/>
      <c r="PEI19" s="13"/>
      <c r="PEJ19" s="13"/>
      <c r="PEK19" s="13"/>
      <c r="PEL19" s="13"/>
      <c r="PEM19" s="13"/>
      <c r="PEN19" s="13"/>
      <c r="PEO19" s="13"/>
      <c r="PEP19" s="13"/>
      <c r="PEQ19" s="13"/>
      <c r="PER19" s="13"/>
      <c r="PES19" s="13"/>
      <c r="PET19" s="13"/>
      <c r="PEU19" s="13"/>
      <c r="PEV19" s="13"/>
      <c r="PEW19" s="13"/>
      <c r="PEX19" s="13"/>
      <c r="PEY19" s="13"/>
      <c r="PEZ19" s="13"/>
      <c r="PFA19" s="13"/>
      <c r="PFB19" s="13"/>
      <c r="PFC19" s="13"/>
      <c r="PFD19" s="13"/>
      <c r="PFE19" s="13"/>
      <c r="PFF19" s="13"/>
      <c r="PFG19" s="13"/>
      <c r="PFH19" s="13"/>
      <c r="PFI19" s="13"/>
      <c r="PFJ19" s="13"/>
      <c r="PFK19" s="13"/>
      <c r="PFL19" s="13"/>
      <c r="PFM19" s="13"/>
      <c r="PFN19" s="13"/>
      <c r="PFO19" s="13"/>
      <c r="PFP19" s="13"/>
      <c r="PFQ19" s="13"/>
      <c r="PFR19" s="13"/>
      <c r="PFS19" s="13"/>
      <c r="PFT19" s="13"/>
      <c r="PFU19" s="13"/>
      <c r="PFV19" s="13"/>
      <c r="PFW19" s="13"/>
      <c r="PFX19" s="13"/>
      <c r="PFY19" s="13"/>
      <c r="PFZ19" s="13"/>
      <c r="PGA19" s="13"/>
      <c r="PGB19" s="13"/>
      <c r="PGC19" s="13"/>
      <c r="PGD19" s="13"/>
      <c r="PGE19" s="13"/>
      <c r="PGF19" s="13"/>
      <c r="PGG19" s="13"/>
      <c r="PGH19" s="13"/>
      <c r="PGI19" s="13"/>
      <c r="PGJ19" s="13"/>
      <c r="PGK19" s="13"/>
      <c r="PGL19" s="13"/>
      <c r="PGM19" s="13"/>
      <c r="PGN19" s="13"/>
      <c r="PGO19" s="13"/>
      <c r="PGP19" s="13"/>
      <c r="PGQ19" s="13"/>
      <c r="PGR19" s="13"/>
      <c r="PGS19" s="13"/>
      <c r="PGT19" s="13"/>
      <c r="PGU19" s="13"/>
      <c r="PGV19" s="13"/>
      <c r="PGW19" s="13"/>
      <c r="PGX19" s="13"/>
      <c r="PGY19" s="13"/>
      <c r="PGZ19" s="13"/>
      <c r="PHA19" s="13"/>
      <c r="PHB19" s="13"/>
      <c r="PHC19" s="13"/>
      <c r="PHD19" s="13"/>
      <c r="PHE19" s="13"/>
      <c r="PHF19" s="13"/>
      <c r="PHG19" s="13"/>
      <c r="PHH19" s="13"/>
      <c r="PHI19" s="13"/>
      <c r="PHJ19" s="13"/>
      <c r="PHK19" s="13"/>
      <c r="PHL19" s="13"/>
      <c r="PHM19" s="13"/>
      <c r="PHN19" s="13"/>
      <c r="PHO19" s="13"/>
      <c r="PHP19" s="13"/>
      <c r="PHQ19" s="13"/>
      <c r="PHR19" s="13"/>
      <c r="PHS19" s="13"/>
      <c r="PHT19" s="13"/>
      <c r="PHU19" s="13"/>
      <c r="PHV19" s="13"/>
      <c r="PHW19" s="13"/>
      <c r="PHX19" s="13"/>
      <c r="PHY19" s="13"/>
      <c r="PHZ19" s="13"/>
      <c r="PIA19" s="13"/>
      <c r="PIB19" s="13"/>
      <c r="PIC19" s="13"/>
      <c r="PID19" s="13"/>
      <c r="PIE19" s="13"/>
      <c r="PIF19" s="13"/>
      <c r="PIG19" s="13"/>
      <c r="PIH19" s="13"/>
      <c r="PII19" s="13"/>
      <c r="PIJ19" s="13"/>
      <c r="PIK19" s="13"/>
      <c r="PIL19" s="13"/>
      <c r="PIM19" s="13"/>
      <c r="PIN19" s="13"/>
      <c r="PIO19" s="13"/>
      <c r="PIP19" s="13"/>
      <c r="PIQ19" s="13"/>
      <c r="PIR19" s="13"/>
      <c r="PIS19" s="13"/>
      <c r="PIT19" s="13"/>
      <c r="PIU19" s="13"/>
      <c r="PIV19" s="13"/>
      <c r="PIW19" s="13"/>
      <c r="PIX19" s="13"/>
      <c r="PIY19" s="13"/>
      <c r="PIZ19" s="13"/>
      <c r="PJA19" s="13"/>
      <c r="PJB19" s="13"/>
      <c r="PJC19" s="13"/>
      <c r="PJD19" s="13"/>
      <c r="PJE19" s="13"/>
      <c r="PJF19" s="13"/>
      <c r="PJG19" s="13"/>
      <c r="PJH19" s="13"/>
      <c r="PJI19" s="13"/>
      <c r="PJJ19" s="13"/>
      <c r="PJK19" s="13"/>
      <c r="PJL19" s="13"/>
      <c r="PJM19" s="13"/>
      <c r="PJN19" s="13"/>
      <c r="PJO19" s="13"/>
      <c r="PJP19" s="13"/>
      <c r="PJQ19" s="13"/>
      <c r="PJR19" s="13"/>
      <c r="PJS19" s="13"/>
      <c r="PJT19" s="13"/>
      <c r="PJU19" s="13"/>
      <c r="PJV19" s="13"/>
      <c r="PJW19" s="13"/>
      <c r="PJX19" s="13"/>
      <c r="PJY19" s="13"/>
      <c r="PJZ19" s="13"/>
      <c r="PKA19" s="13"/>
      <c r="PKB19" s="13"/>
      <c r="PKC19" s="13"/>
      <c r="PKD19" s="13"/>
      <c r="PKE19" s="13"/>
      <c r="PKF19" s="13"/>
      <c r="PKG19" s="13"/>
      <c r="PKH19" s="13"/>
      <c r="PKI19" s="13"/>
      <c r="PKJ19" s="13"/>
      <c r="PKK19" s="13"/>
      <c r="PKL19" s="13"/>
      <c r="PKM19" s="13"/>
      <c r="PKN19" s="13"/>
      <c r="PKO19" s="13"/>
      <c r="PKP19" s="13"/>
      <c r="PKQ19" s="13"/>
      <c r="PKR19" s="13"/>
      <c r="PKS19" s="13"/>
      <c r="PKT19" s="13"/>
      <c r="PKU19" s="13"/>
      <c r="PKV19" s="13"/>
      <c r="PKW19" s="13"/>
      <c r="PKX19" s="13"/>
      <c r="PKY19" s="13"/>
      <c r="PKZ19" s="13"/>
      <c r="PLA19" s="13"/>
      <c r="PLB19" s="13"/>
      <c r="PLC19" s="13"/>
      <c r="PLD19" s="13"/>
      <c r="PLE19" s="13"/>
      <c r="PLF19" s="13"/>
      <c r="PLG19" s="13"/>
      <c r="PLH19" s="13"/>
      <c r="PLI19" s="13"/>
      <c r="PLJ19" s="13"/>
      <c r="PLK19" s="13"/>
      <c r="PLL19" s="13"/>
      <c r="PLM19" s="13"/>
      <c r="PLN19" s="13"/>
      <c r="PLO19" s="13"/>
      <c r="PLP19" s="13"/>
      <c r="PLQ19" s="13"/>
      <c r="PLR19" s="13"/>
      <c r="PLS19" s="13"/>
      <c r="PLT19" s="13"/>
      <c r="PLU19" s="13"/>
      <c r="PLV19" s="13"/>
      <c r="PLW19" s="13"/>
      <c r="PLX19" s="13"/>
      <c r="PLY19" s="13"/>
      <c r="PLZ19" s="13"/>
      <c r="PMA19" s="13"/>
      <c r="PMB19" s="13"/>
      <c r="PMC19" s="13"/>
      <c r="PMD19" s="13"/>
      <c r="PME19" s="13"/>
      <c r="PMF19" s="13"/>
      <c r="PMG19" s="13"/>
      <c r="PMH19" s="13"/>
      <c r="PMI19" s="13"/>
      <c r="PMJ19" s="13"/>
      <c r="PMK19" s="13"/>
      <c r="PML19" s="13"/>
      <c r="PMM19" s="13"/>
      <c r="PMN19" s="13"/>
      <c r="PMO19" s="13"/>
      <c r="PMP19" s="13"/>
      <c r="PMQ19" s="13"/>
      <c r="PMR19" s="13"/>
      <c r="PMS19" s="13"/>
      <c r="PMT19" s="13"/>
      <c r="PMU19" s="13"/>
      <c r="PMV19" s="13"/>
      <c r="PMW19" s="13"/>
      <c r="PMX19" s="13"/>
      <c r="PMY19" s="13"/>
      <c r="PMZ19" s="13"/>
      <c r="PNA19" s="13"/>
      <c r="PNB19" s="13"/>
      <c r="PNC19" s="13"/>
      <c r="PND19" s="13"/>
      <c r="PNE19" s="13"/>
      <c r="PNF19" s="13"/>
      <c r="PNG19" s="13"/>
      <c r="PNH19" s="13"/>
      <c r="PNI19" s="13"/>
      <c r="PNJ19" s="13"/>
      <c r="PNK19" s="13"/>
      <c r="PNL19" s="13"/>
      <c r="PNM19" s="13"/>
      <c r="PNN19" s="13"/>
      <c r="PNO19" s="13"/>
      <c r="PNP19" s="13"/>
      <c r="PNQ19" s="13"/>
      <c r="PNR19" s="13"/>
      <c r="PNS19" s="13"/>
      <c r="PNT19" s="13"/>
      <c r="PNU19" s="13"/>
      <c r="PNV19" s="13"/>
      <c r="PNW19" s="13"/>
      <c r="PNX19" s="13"/>
      <c r="PNY19" s="13"/>
      <c r="PNZ19" s="13"/>
      <c r="POA19" s="13"/>
      <c r="POB19" s="13"/>
      <c r="POC19" s="13"/>
      <c r="POD19" s="13"/>
      <c r="POE19" s="13"/>
      <c r="POF19" s="13"/>
      <c r="POG19" s="13"/>
      <c r="POH19" s="13"/>
      <c r="POI19" s="13"/>
      <c r="POJ19" s="13"/>
      <c r="POK19" s="13"/>
      <c r="POL19" s="13"/>
      <c r="POM19" s="13"/>
      <c r="PON19" s="13"/>
      <c r="POO19" s="13"/>
      <c r="POP19" s="13"/>
      <c r="POQ19" s="13"/>
      <c r="POR19" s="13"/>
      <c r="POS19" s="13"/>
      <c r="POT19" s="13"/>
      <c r="POU19" s="13"/>
      <c r="POV19" s="13"/>
      <c r="POW19" s="13"/>
      <c r="POX19" s="13"/>
      <c r="POY19" s="13"/>
      <c r="POZ19" s="13"/>
      <c r="PPA19" s="13"/>
      <c r="PPB19" s="13"/>
      <c r="PPC19" s="13"/>
      <c r="PPD19" s="13"/>
      <c r="PPE19" s="13"/>
      <c r="PPF19" s="13"/>
      <c r="PPG19" s="13"/>
      <c r="PPH19" s="13"/>
      <c r="PPI19" s="13"/>
      <c r="PPJ19" s="13"/>
      <c r="PPK19" s="13"/>
      <c r="PPL19" s="13"/>
      <c r="PPM19" s="13"/>
      <c r="PPN19" s="13"/>
      <c r="PPO19" s="13"/>
      <c r="PPP19" s="13"/>
      <c r="PPQ19" s="13"/>
      <c r="PPR19" s="13"/>
      <c r="PPS19" s="13"/>
      <c r="PPT19" s="13"/>
      <c r="PPU19" s="13"/>
      <c r="PPV19" s="13"/>
      <c r="PPW19" s="13"/>
      <c r="PPX19" s="13"/>
      <c r="PPY19" s="13"/>
      <c r="PPZ19" s="13"/>
      <c r="PQA19" s="13"/>
      <c r="PQB19" s="13"/>
      <c r="PQC19" s="13"/>
      <c r="PQD19" s="13"/>
      <c r="PQE19" s="13"/>
      <c r="PQF19" s="13"/>
      <c r="PQG19" s="13"/>
      <c r="PQH19" s="13"/>
      <c r="PQI19" s="13"/>
      <c r="PQJ19" s="13"/>
      <c r="PQK19" s="13"/>
      <c r="PQL19" s="13"/>
      <c r="PQM19" s="13"/>
      <c r="PQN19" s="13"/>
      <c r="PQO19" s="13"/>
      <c r="PQP19" s="13"/>
      <c r="PQQ19" s="13"/>
      <c r="PQR19" s="13"/>
      <c r="PQS19" s="13"/>
      <c r="PQT19" s="13"/>
      <c r="PQU19" s="13"/>
      <c r="PQV19" s="13"/>
      <c r="PQW19" s="13"/>
      <c r="PQX19" s="13"/>
      <c r="PQY19" s="13"/>
      <c r="PQZ19" s="13"/>
      <c r="PRA19" s="13"/>
      <c r="PRB19" s="13"/>
      <c r="PRC19" s="13"/>
      <c r="PRD19" s="13"/>
      <c r="PRE19" s="13"/>
      <c r="PRF19" s="13"/>
      <c r="PRG19" s="13"/>
      <c r="PRH19" s="13"/>
      <c r="PRI19" s="13"/>
      <c r="PRJ19" s="13"/>
      <c r="PRK19" s="13"/>
      <c r="PRL19" s="13"/>
      <c r="PRM19" s="13"/>
      <c r="PRN19" s="13"/>
      <c r="PRO19" s="13"/>
      <c r="PRP19" s="13"/>
      <c r="PRQ19" s="13"/>
      <c r="PRR19" s="13"/>
      <c r="PRS19" s="13"/>
      <c r="PRT19" s="13"/>
      <c r="PRU19" s="13"/>
      <c r="PRV19" s="13"/>
      <c r="PRW19" s="13"/>
      <c r="PRX19" s="13"/>
      <c r="PRY19" s="13"/>
      <c r="PRZ19" s="13"/>
      <c r="PSA19" s="13"/>
      <c r="PSB19" s="13"/>
      <c r="PSC19" s="13"/>
      <c r="PSD19" s="13"/>
      <c r="PSE19" s="13"/>
      <c r="PSF19" s="13"/>
      <c r="PSG19" s="13"/>
      <c r="PSH19" s="13"/>
      <c r="PSI19" s="13"/>
      <c r="PSJ19" s="13"/>
      <c r="PSK19" s="13"/>
      <c r="PSL19" s="13"/>
      <c r="PSM19" s="13"/>
      <c r="PSN19" s="13"/>
      <c r="PSO19" s="13"/>
      <c r="PSP19" s="13"/>
      <c r="PSQ19" s="13"/>
      <c r="PSR19" s="13"/>
      <c r="PSS19" s="13"/>
      <c r="PST19" s="13"/>
      <c r="PSU19" s="13"/>
      <c r="PSV19" s="13"/>
      <c r="PSW19" s="13"/>
      <c r="PSX19" s="13"/>
      <c r="PSY19" s="13"/>
      <c r="PSZ19" s="13"/>
      <c r="PTA19" s="13"/>
      <c r="PTB19" s="13"/>
      <c r="PTC19" s="13"/>
      <c r="PTD19" s="13"/>
      <c r="PTE19" s="13"/>
      <c r="PTF19" s="13"/>
      <c r="PTG19" s="13"/>
      <c r="PTH19" s="13"/>
      <c r="PTI19" s="13"/>
      <c r="PTJ19" s="13"/>
      <c r="PTK19" s="13"/>
      <c r="PTL19" s="13"/>
      <c r="PTM19" s="13"/>
      <c r="PTN19" s="13"/>
      <c r="PTO19" s="13"/>
      <c r="PTP19" s="13"/>
      <c r="PTQ19" s="13"/>
      <c r="PTR19" s="13"/>
      <c r="PTS19" s="13"/>
      <c r="PTT19" s="13"/>
      <c r="PTU19" s="13"/>
      <c r="PTV19" s="13"/>
      <c r="PTW19" s="13"/>
      <c r="PTX19" s="13"/>
      <c r="PTY19" s="13"/>
      <c r="PTZ19" s="13"/>
      <c r="PUA19" s="13"/>
      <c r="PUB19" s="13"/>
      <c r="PUC19" s="13"/>
      <c r="PUD19" s="13"/>
      <c r="PUE19" s="13"/>
      <c r="PUF19" s="13"/>
      <c r="PUG19" s="13"/>
      <c r="PUH19" s="13"/>
      <c r="PUI19" s="13"/>
      <c r="PUJ19" s="13"/>
      <c r="PUK19" s="13"/>
      <c r="PUL19" s="13"/>
      <c r="PUM19" s="13"/>
      <c r="PUN19" s="13"/>
      <c r="PUO19" s="13"/>
      <c r="PUP19" s="13"/>
      <c r="PUQ19" s="13"/>
      <c r="PUR19" s="13"/>
      <c r="PUS19" s="13"/>
      <c r="PUT19" s="13"/>
      <c r="PUU19" s="13"/>
      <c r="PUV19" s="13"/>
      <c r="PUW19" s="13"/>
      <c r="PUX19" s="13"/>
      <c r="PUY19" s="13"/>
      <c r="PUZ19" s="13"/>
      <c r="PVA19" s="13"/>
      <c r="PVB19" s="13"/>
      <c r="PVC19" s="13"/>
      <c r="PVD19" s="13"/>
      <c r="PVE19" s="13"/>
      <c r="PVF19" s="13"/>
      <c r="PVG19" s="13"/>
      <c r="PVH19" s="13"/>
      <c r="PVI19" s="13"/>
      <c r="PVJ19" s="13"/>
      <c r="PVK19" s="13"/>
      <c r="PVL19" s="13"/>
      <c r="PVM19" s="13"/>
      <c r="PVN19" s="13"/>
      <c r="PVO19" s="13"/>
      <c r="PVP19" s="13"/>
      <c r="PVQ19" s="13"/>
      <c r="PVR19" s="13"/>
      <c r="PVS19" s="13"/>
      <c r="PVT19" s="13"/>
      <c r="PVU19" s="13"/>
      <c r="PVV19" s="13"/>
      <c r="PVW19" s="13"/>
      <c r="PVX19" s="13"/>
      <c r="PVY19" s="13"/>
      <c r="PVZ19" s="13"/>
      <c r="PWA19" s="13"/>
      <c r="PWB19" s="13"/>
      <c r="PWC19" s="13"/>
      <c r="PWD19" s="13"/>
      <c r="PWE19" s="13"/>
      <c r="PWF19" s="13"/>
      <c r="PWG19" s="13"/>
      <c r="PWH19" s="13"/>
      <c r="PWI19" s="13"/>
      <c r="PWJ19" s="13"/>
      <c r="PWK19" s="13"/>
      <c r="PWL19" s="13"/>
      <c r="PWM19" s="13"/>
      <c r="PWN19" s="13"/>
      <c r="PWO19" s="13"/>
      <c r="PWP19" s="13"/>
      <c r="PWQ19" s="13"/>
      <c r="PWR19" s="13"/>
      <c r="PWS19" s="13"/>
      <c r="PWT19" s="13"/>
      <c r="PWU19" s="13"/>
      <c r="PWV19" s="13"/>
      <c r="PWW19" s="13"/>
      <c r="PWX19" s="13"/>
      <c r="PWY19" s="13"/>
      <c r="PWZ19" s="13"/>
      <c r="PXA19" s="13"/>
      <c r="PXB19" s="13"/>
      <c r="PXC19" s="13"/>
      <c r="PXD19" s="13"/>
      <c r="PXE19" s="13"/>
      <c r="PXF19" s="13"/>
      <c r="PXG19" s="13"/>
      <c r="PXH19" s="13"/>
      <c r="PXI19" s="13"/>
      <c r="PXJ19" s="13"/>
      <c r="PXK19" s="13"/>
      <c r="PXL19" s="13"/>
      <c r="PXM19" s="13"/>
      <c r="PXN19" s="13"/>
      <c r="PXO19" s="13"/>
      <c r="PXP19" s="13"/>
      <c r="PXQ19" s="13"/>
      <c r="PXR19" s="13"/>
      <c r="PXS19" s="13"/>
      <c r="PXT19" s="13"/>
      <c r="PXU19" s="13"/>
      <c r="PXV19" s="13"/>
      <c r="PXW19" s="13"/>
      <c r="PXX19" s="13"/>
      <c r="PXY19" s="13"/>
      <c r="PXZ19" s="13"/>
      <c r="PYA19" s="13"/>
      <c r="PYB19" s="13"/>
      <c r="PYC19" s="13"/>
      <c r="PYD19" s="13"/>
      <c r="PYE19" s="13"/>
      <c r="PYF19" s="13"/>
      <c r="PYG19" s="13"/>
      <c r="PYH19" s="13"/>
      <c r="PYI19" s="13"/>
      <c r="PYJ19" s="13"/>
      <c r="PYK19" s="13"/>
      <c r="PYL19" s="13"/>
      <c r="PYM19" s="13"/>
      <c r="PYN19" s="13"/>
      <c r="PYO19" s="13"/>
      <c r="PYP19" s="13"/>
      <c r="PYQ19" s="13"/>
      <c r="PYR19" s="13"/>
      <c r="PYS19" s="13"/>
      <c r="PYT19" s="13"/>
      <c r="PYU19" s="13"/>
      <c r="PYV19" s="13"/>
      <c r="PYW19" s="13"/>
      <c r="PYX19" s="13"/>
      <c r="PYY19" s="13"/>
      <c r="PYZ19" s="13"/>
      <c r="PZA19" s="13"/>
      <c r="PZB19" s="13"/>
      <c r="PZC19" s="13"/>
      <c r="PZD19" s="13"/>
      <c r="PZE19" s="13"/>
      <c r="PZF19" s="13"/>
      <c r="PZG19" s="13"/>
      <c r="PZH19" s="13"/>
      <c r="PZI19" s="13"/>
      <c r="PZJ19" s="13"/>
      <c r="PZK19" s="13"/>
      <c r="PZL19" s="13"/>
      <c r="PZM19" s="13"/>
      <c r="PZN19" s="13"/>
      <c r="PZO19" s="13"/>
      <c r="PZP19" s="13"/>
      <c r="PZQ19" s="13"/>
      <c r="PZR19" s="13"/>
      <c r="PZS19" s="13"/>
      <c r="PZT19" s="13"/>
      <c r="PZU19" s="13"/>
      <c r="PZV19" s="13"/>
      <c r="PZW19" s="13"/>
      <c r="PZX19" s="13"/>
      <c r="PZY19" s="13"/>
      <c r="PZZ19" s="13"/>
      <c r="QAA19" s="13"/>
      <c r="QAB19" s="13"/>
      <c r="QAC19" s="13"/>
      <c r="QAD19" s="13"/>
      <c r="QAE19" s="13"/>
      <c r="QAF19" s="13"/>
      <c r="QAG19" s="13"/>
      <c r="QAH19" s="13"/>
      <c r="QAI19" s="13"/>
      <c r="QAJ19" s="13"/>
      <c r="QAK19" s="13"/>
      <c r="QAL19" s="13"/>
      <c r="QAM19" s="13"/>
      <c r="QAN19" s="13"/>
      <c r="QAO19" s="13"/>
      <c r="QAP19" s="13"/>
      <c r="QAQ19" s="13"/>
      <c r="QAR19" s="13"/>
      <c r="QAS19" s="13"/>
      <c r="QAT19" s="13"/>
      <c r="QAU19" s="13"/>
      <c r="QAV19" s="13"/>
      <c r="QAW19" s="13"/>
      <c r="QAX19" s="13"/>
      <c r="QAY19" s="13"/>
      <c r="QAZ19" s="13"/>
      <c r="QBA19" s="13"/>
      <c r="QBB19" s="13"/>
      <c r="QBC19" s="13"/>
      <c r="QBD19" s="13"/>
      <c r="QBE19" s="13"/>
      <c r="QBF19" s="13"/>
      <c r="QBG19" s="13"/>
      <c r="QBH19" s="13"/>
      <c r="QBI19" s="13"/>
      <c r="QBJ19" s="13"/>
      <c r="QBK19" s="13"/>
      <c r="QBL19" s="13"/>
      <c r="QBM19" s="13"/>
      <c r="QBN19" s="13"/>
      <c r="QBO19" s="13"/>
      <c r="QBP19" s="13"/>
      <c r="QBQ19" s="13"/>
      <c r="QBR19" s="13"/>
      <c r="QBS19" s="13"/>
      <c r="QBT19" s="13"/>
      <c r="QBU19" s="13"/>
      <c r="QBV19" s="13"/>
      <c r="QBW19" s="13"/>
      <c r="QBX19" s="13"/>
      <c r="QBY19" s="13"/>
      <c r="QBZ19" s="13"/>
      <c r="QCA19" s="13"/>
      <c r="QCB19" s="13"/>
      <c r="QCC19" s="13"/>
      <c r="QCD19" s="13"/>
      <c r="QCE19" s="13"/>
      <c r="QCF19" s="13"/>
      <c r="QCG19" s="13"/>
      <c r="QCH19" s="13"/>
      <c r="QCI19" s="13"/>
      <c r="QCJ19" s="13"/>
      <c r="QCK19" s="13"/>
      <c r="QCL19" s="13"/>
      <c r="QCM19" s="13"/>
      <c r="QCN19" s="13"/>
      <c r="QCO19" s="13"/>
      <c r="QCP19" s="13"/>
      <c r="QCQ19" s="13"/>
      <c r="QCR19" s="13"/>
      <c r="QCS19" s="13"/>
      <c r="QCT19" s="13"/>
      <c r="QCU19" s="13"/>
      <c r="QCV19" s="13"/>
      <c r="QCW19" s="13"/>
      <c r="QCX19" s="13"/>
      <c r="QCY19" s="13"/>
      <c r="QCZ19" s="13"/>
      <c r="QDA19" s="13"/>
      <c r="QDB19" s="13"/>
      <c r="QDC19" s="13"/>
      <c r="QDD19" s="13"/>
      <c r="QDE19" s="13"/>
      <c r="QDF19" s="13"/>
      <c r="QDG19" s="13"/>
      <c r="QDH19" s="13"/>
      <c r="QDI19" s="13"/>
      <c r="QDJ19" s="13"/>
      <c r="QDK19" s="13"/>
      <c r="QDL19" s="13"/>
      <c r="QDM19" s="13"/>
      <c r="QDN19" s="13"/>
      <c r="QDO19" s="13"/>
      <c r="QDP19" s="13"/>
      <c r="QDQ19" s="13"/>
      <c r="QDR19" s="13"/>
      <c r="QDS19" s="13"/>
      <c r="QDT19" s="13"/>
      <c r="QDU19" s="13"/>
      <c r="QDV19" s="13"/>
      <c r="QDW19" s="13"/>
      <c r="QDX19" s="13"/>
      <c r="QDY19" s="13"/>
      <c r="QDZ19" s="13"/>
      <c r="QEA19" s="13"/>
      <c r="QEB19" s="13"/>
      <c r="QEC19" s="13"/>
      <c r="QED19" s="13"/>
      <c r="QEE19" s="13"/>
      <c r="QEF19" s="13"/>
      <c r="QEG19" s="13"/>
      <c r="QEH19" s="13"/>
      <c r="QEI19" s="13"/>
      <c r="QEJ19" s="13"/>
      <c r="QEK19" s="13"/>
      <c r="QEL19" s="13"/>
      <c r="QEM19" s="13"/>
      <c r="QEN19" s="13"/>
      <c r="QEO19" s="13"/>
      <c r="QEP19" s="13"/>
      <c r="QEQ19" s="13"/>
      <c r="QER19" s="13"/>
      <c r="QES19" s="13"/>
      <c r="QET19" s="13"/>
      <c r="QEU19" s="13"/>
      <c r="QEV19" s="13"/>
      <c r="QEW19" s="13"/>
      <c r="QEX19" s="13"/>
      <c r="QEY19" s="13"/>
      <c r="QEZ19" s="13"/>
      <c r="QFA19" s="13"/>
      <c r="QFB19" s="13"/>
      <c r="QFC19" s="13"/>
      <c r="QFD19" s="13"/>
      <c r="QFE19" s="13"/>
      <c r="QFF19" s="13"/>
      <c r="QFG19" s="13"/>
      <c r="QFH19" s="13"/>
      <c r="QFI19" s="13"/>
      <c r="QFJ19" s="13"/>
      <c r="QFK19" s="13"/>
      <c r="QFL19" s="13"/>
      <c r="QFM19" s="13"/>
      <c r="QFN19" s="13"/>
      <c r="QFO19" s="13"/>
      <c r="QFP19" s="13"/>
      <c r="QFQ19" s="13"/>
      <c r="QFR19" s="13"/>
      <c r="QFS19" s="13"/>
      <c r="QFT19" s="13"/>
      <c r="QFU19" s="13"/>
      <c r="QFV19" s="13"/>
      <c r="QFW19" s="13"/>
      <c r="QFX19" s="13"/>
      <c r="QFY19" s="13"/>
      <c r="QFZ19" s="13"/>
      <c r="QGA19" s="13"/>
      <c r="QGB19" s="13"/>
      <c r="QGC19" s="13"/>
      <c r="QGD19" s="13"/>
      <c r="QGE19" s="13"/>
      <c r="QGF19" s="13"/>
      <c r="QGG19" s="13"/>
      <c r="QGH19" s="13"/>
      <c r="QGI19" s="13"/>
      <c r="QGJ19" s="13"/>
      <c r="QGK19" s="13"/>
      <c r="QGL19" s="13"/>
      <c r="QGM19" s="13"/>
      <c r="QGN19" s="13"/>
      <c r="QGO19" s="13"/>
      <c r="QGP19" s="13"/>
      <c r="QGQ19" s="13"/>
      <c r="QGR19" s="13"/>
      <c r="QGS19" s="13"/>
      <c r="QGT19" s="13"/>
      <c r="QGU19" s="13"/>
      <c r="QGV19" s="13"/>
      <c r="QGW19" s="13"/>
      <c r="QGX19" s="13"/>
      <c r="QGY19" s="13"/>
      <c r="QGZ19" s="13"/>
      <c r="QHA19" s="13"/>
      <c r="QHB19" s="13"/>
      <c r="QHC19" s="13"/>
      <c r="QHD19" s="13"/>
      <c r="QHE19" s="13"/>
      <c r="QHF19" s="13"/>
      <c r="QHG19" s="13"/>
      <c r="QHH19" s="13"/>
      <c r="QHI19" s="13"/>
      <c r="QHJ19" s="13"/>
      <c r="QHK19" s="13"/>
      <c r="QHL19" s="13"/>
      <c r="QHM19" s="13"/>
      <c r="QHN19" s="13"/>
      <c r="QHO19" s="13"/>
      <c r="QHP19" s="13"/>
      <c r="QHQ19" s="13"/>
      <c r="QHR19" s="13"/>
      <c r="QHS19" s="13"/>
      <c r="QHT19" s="13"/>
      <c r="QHU19" s="13"/>
      <c r="QHV19" s="13"/>
      <c r="QHW19" s="13"/>
      <c r="QHX19" s="13"/>
      <c r="QHY19" s="13"/>
      <c r="QHZ19" s="13"/>
      <c r="QIA19" s="13"/>
      <c r="QIB19" s="13"/>
      <c r="QIC19" s="13"/>
      <c r="QID19" s="13"/>
      <c r="QIE19" s="13"/>
      <c r="QIF19" s="13"/>
      <c r="QIG19" s="13"/>
      <c r="QIH19" s="13"/>
      <c r="QII19" s="13"/>
      <c r="QIJ19" s="13"/>
      <c r="QIK19" s="13"/>
      <c r="QIL19" s="13"/>
      <c r="QIM19" s="13"/>
      <c r="QIN19" s="13"/>
      <c r="QIO19" s="13"/>
      <c r="QIP19" s="13"/>
      <c r="QIQ19" s="13"/>
      <c r="QIR19" s="13"/>
      <c r="QIS19" s="13"/>
      <c r="QIT19" s="13"/>
      <c r="QIU19" s="13"/>
      <c r="QIV19" s="13"/>
      <c r="QIW19" s="13"/>
      <c r="QIX19" s="13"/>
      <c r="QIY19" s="13"/>
      <c r="QIZ19" s="13"/>
      <c r="QJA19" s="13"/>
      <c r="QJB19" s="13"/>
      <c r="QJC19" s="13"/>
      <c r="QJD19" s="13"/>
      <c r="QJE19" s="13"/>
      <c r="QJF19" s="13"/>
      <c r="QJG19" s="13"/>
      <c r="QJH19" s="13"/>
      <c r="QJI19" s="13"/>
      <c r="QJJ19" s="13"/>
      <c r="QJK19" s="13"/>
      <c r="QJL19" s="13"/>
      <c r="QJM19" s="13"/>
      <c r="QJN19" s="13"/>
      <c r="QJO19" s="13"/>
      <c r="QJP19" s="13"/>
      <c r="QJQ19" s="13"/>
      <c r="QJR19" s="13"/>
      <c r="QJS19" s="13"/>
      <c r="QJT19" s="13"/>
      <c r="QJU19" s="13"/>
      <c r="QJV19" s="13"/>
      <c r="QJW19" s="13"/>
      <c r="QJX19" s="13"/>
      <c r="QJY19" s="13"/>
      <c r="QJZ19" s="13"/>
      <c r="QKA19" s="13"/>
      <c r="QKB19" s="13"/>
      <c r="QKC19" s="13"/>
      <c r="QKD19" s="13"/>
      <c r="QKE19" s="13"/>
      <c r="QKF19" s="13"/>
      <c r="QKG19" s="13"/>
      <c r="QKH19" s="13"/>
      <c r="QKI19" s="13"/>
      <c r="QKJ19" s="13"/>
      <c r="QKK19" s="13"/>
      <c r="QKL19" s="13"/>
      <c r="QKM19" s="13"/>
      <c r="QKN19" s="13"/>
      <c r="QKO19" s="13"/>
      <c r="QKP19" s="13"/>
      <c r="QKQ19" s="13"/>
      <c r="QKR19" s="13"/>
      <c r="QKS19" s="13"/>
      <c r="QKT19" s="13"/>
      <c r="QKU19" s="13"/>
      <c r="QKV19" s="13"/>
      <c r="QKW19" s="13"/>
      <c r="QKX19" s="13"/>
      <c r="QKY19" s="13"/>
      <c r="QKZ19" s="13"/>
      <c r="QLA19" s="13"/>
      <c r="QLB19" s="13"/>
      <c r="QLC19" s="13"/>
      <c r="QLD19" s="13"/>
      <c r="QLE19" s="13"/>
      <c r="QLF19" s="13"/>
      <c r="QLG19" s="13"/>
      <c r="QLH19" s="13"/>
      <c r="QLI19" s="13"/>
      <c r="QLJ19" s="13"/>
      <c r="QLK19" s="13"/>
      <c r="QLL19" s="13"/>
      <c r="QLM19" s="13"/>
      <c r="QLN19" s="13"/>
      <c r="QLO19" s="13"/>
      <c r="QLP19" s="13"/>
      <c r="QLQ19" s="13"/>
      <c r="QLR19" s="13"/>
      <c r="QLS19" s="13"/>
      <c r="QLT19" s="13"/>
      <c r="QLU19" s="13"/>
      <c r="QLV19" s="13"/>
      <c r="QLW19" s="13"/>
      <c r="QLX19" s="13"/>
      <c r="QLY19" s="13"/>
      <c r="QLZ19" s="13"/>
      <c r="QMA19" s="13"/>
      <c r="QMB19" s="13"/>
      <c r="QMC19" s="13"/>
      <c r="QMD19" s="13"/>
      <c r="QME19" s="13"/>
      <c r="QMF19" s="13"/>
      <c r="QMG19" s="13"/>
      <c r="QMH19" s="13"/>
      <c r="QMI19" s="13"/>
      <c r="QMJ19" s="13"/>
      <c r="QMK19" s="13"/>
      <c r="QML19" s="13"/>
      <c r="QMM19" s="13"/>
      <c r="QMN19" s="13"/>
      <c r="QMO19" s="13"/>
      <c r="QMP19" s="13"/>
      <c r="QMQ19" s="13"/>
      <c r="QMR19" s="13"/>
      <c r="QMS19" s="13"/>
      <c r="QMT19" s="13"/>
      <c r="QMU19" s="13"/>
      <c r="QMV19" s="13"/>
      <c r="QMW19" s="13"/>
      <c r="QMX19" s="13"/>
      <c r="QMY19" s="13"/>
      <c r="QMZ19" s="13"/>
      <c r="QNA19" s="13"/>
      <c r="QNB19" s="13"/>
      <c r="QNC19" s="13"/>
      <c r="QND19" s="13"/>
      <c r="QNE19" s="13"/>
      <c r="QNF19" s="13"/>
      <c r="QNG19" s="13"/>
      <c r="QNH19" s="13"/>
      <c r="QNI19" s="13"/>
      <c r="QNJ19" s="13"/>
      <c r="QNK19" s="13"/>
      <c r="QNL19" s="13"/>
      <c r="QNM19" s="13"/>
      <c r="QNN19" s="13"/>
      <c r="QNO19" s="13"/>
      <c r="QNP19" s="13"/>
      <c r="QNQ19" s="13"/>
      <c r="QNR19" s="13"/>
      <c r="QNS19" s="13"/>
      <c r="QNT19" s="13"/>
      <c r="QNU19" s="13"/>
      <c r="QNV19" s="13"/>
      <c r="QNW19" s="13"/>
      <c r="QNX19" s="13"/>
      <c r="QNY19" s="13"/>
      <c r="QNZ19" s="13"/>
      <c r="QOA19" s="13"/>
      <c r="QOB19" s="13"/>
      <c r="QOC19" s="13"/>
      <c r="QOD19" s="13"/>
      <c r="QOE19" s="13"/>
      <c r="QOF19" s="13"/>
      <c r="QOG19" s="13"/>
      <c r="QOH19" s="13"/>
      <c r="QOI19" s="13"/>
      <c r="QOJ19" s="13"/>
      <c r="QOK19" s="13"/>
      <c r="QOL19" s="13"/>
      <c r="QOM19" s="13"/>
      <c r="QON19" s="13"/>
      <c r="QOO19" s="13"/>
      <c r="QOP19" s="13"/>
      <c r="QOQ19" s="13"/>
      <c r="QOR19" s="13"/>
      <c r="QOS19" s="13"/>
      <c r="QOT19" s="13"/>
      <c r="QOU19" s="13"/>
      <c r="QOV19" s="13"/>
      <c r="QOW19" s="13"/>
      <c r="QOX19" s="13"/>
      <c r="QOY19" s="13"/>
      <c r="QOZ19" s="13"/>
      <c r="QPA19" s="13"/>
      <c r="QPB19" s="13"/>
      <c r="QPC19" s="13"/>
      <c r="QPD19" s="13"/>
      <c r="QPE19" s="13"/>
      <c r="QPF19" s="13"/>
      <c r="QPG19" s="13"/>
      <c r="QPH19" s="13"/>
      <c r="QPI19" s="13"/>
      <c r="QPJ19" s="13"/>
      <c r="QPK19" s="13"/>
      <c r="QPL19" s="13"/>
      <c r="QPM19" s="13"/>
      <c r="QPN19" s="13"/>
      <c r="QPO19" s="13"/>
      <c r="QPP19" s="13"/>
      <c r="QPQ19" s="13"/>
      <c r="QPR19" s="13"/>
      <c r="QPS19" s="13"/>
      <c r="QPT19" s="13"/>
      <c r="QPU19" s="13"/>
      <c r="QPV19" s="13"/>
      <c r="QPW19" s="13"/>
      <c r="QPX19" s="13"/>
      <c r="QPY19" s="13"/>
      <c r="QPZ19" s="13"/>
      <c r="QQA19" s="13"/>
      <c r="QQB19" s="13"/>
      <c r="QQC19" s="13"/>
      <c r="QQD19" s="13"/>
      <c r="QQE19" s="13"/>
      <c r="QQF19" s="13"/>
      <c r="QQG19" s="13"/>
      <c r="QQH19" s="13"/>
      <c r="QQI19" s="13"/>
      <c r="QQJ19" s="13"/>
      <c r="QQK19" s="13"/>
      <c r="QQL19" s="13"/>
      <c r="QQM19" s="13"/>
      <c r="QQN19" s="13"/>
      <c r="QQO19" s="13"/>
      <c r="QQP19" s="13"/>
      <c r="QQQ19" s="13"/>
      <c r="QQR19" s="13"/>
      <c r="QQS19" s="13"/>
      <c r="QQT19" s="13"/>
      <c r="QQU19" s="13"/>
      <c r="QQV19" s="13"/>
      <c r="QQW19" s="13"/>
      <c r="QQX19" s="13"/>
      <c r="QQY19" s="13"/>
      <c r="QQZ19" s="13"/>
      <c r="QRA19" s="13"/>
      <c r="QRB19" s="13"/>
      <c r="QRC19" s="13"/>
      <c r="QRD19" s="13"/>
      <c r="QRE19" s="13"/>
      <c r="QRF19" s="13"/>
      <c r="QRG19" s="13"/>
      <c r="QRH19" s="13"/>
      <c r="QRI19" s="13"/>
      <c r="QRJ19" s="13"/>
      <c r="QRK19" s="13"/>
      <c r="QRL19" s="13"/>
      <c r="QRM19" s="13"/>
      <c r="QRN19" s="13"/>
      <c r="QRO19" s="13"/>
      <c r="QRP19" s="13"/>
      <c r="QRQ19" s="13"/>
      <c r="QRR19" s="13"/>
      <c r="QRS19" s="13"/>
      <c r="QRT19" s="13"/>
      <c r="QRU19" s="13"/>
      <c r="QRV19" s="13"/>
      <c r="QRW19" s="13"/>
      <c r="QRX19" s="13"/>
      <c r="QRY19" s="13"/>
      <c r="QRZ19" s="13"/>
      <c r="QSA19" s="13"/>
      <c r="QSB19" s="13"/>
      <c r="QSC19" s="13"/>
      <c r="QSD19" s="13"/>
      <c r="QSE19" s="13"/>
      <c r="QSF19" s="13"/>
      <c r="QSG19" s="13"/>
      <c r="QSH19" s="13"/>
      <c r="QSI19" s="13"/>
      <c r="QSJ19" s="13"/>
      <c r="QSK19" s="13"/>
      <c r="QSL19" s="13"/>
      <c r="QSM19" s="13"/>
      <c r="QSN19" s="13"/>
      <c r="QSO19" s="13"/>
      <c r="QSP19" s="13"/>
      <c r="QSQ19" s="13"/>
      <c r="QSR19" s="13"/>
      <c r="QSS19" s="13"/>
      <c r="QST19" s="13"/>
      <c r="QSU19" s="13"/>
      <c r="QSV19" s="13"/>
      <c r="QSW19" s="13"/>
      <c r="QSX19" s="13"/>
      <c r="QSY19" s="13"/>
      <c r="QSZ19" s="13"/>
      <c r="QTA19" s="13"/>
      <c r="QTB19" s="13"/>
      <c r="QTC19" s="13"/>
      <c r="QTD19" s="13"/>
      <c r="QTE19" s="13"/>
      <c r="QTF19" s="13"/>
      <c r="QTG19" s="13"/>
      <c r="QTH19" s="13"/>
      <c r="QTI19" s="13"/>
      <c r="QTJ19" s="13"/>
      <c r="QTK19" s="13"/>
      <c r="QTL19" s="13"/>
      <c r="QTM19" s="13"/>
      <c r="QTN19" s="13"/>
      <c r="QTO19" s="13"/>
      <c r="QTP19" s="13"/>
      <c r="QTQ19" s="13"/>
      <c r="QTR19" s="13"/>
      <c r="QTS19" s="13"/>
      <c r="QTT19" s="13"/>
      <c r="QTU19" s="13"/>
      <c r="QTV19" s="13"/>
      <c r="QTW19" s="13"/>
      <c r="QTX19" s="13"/>
      <c r="QTY19" s="13"/>
      <c r="QTZ19" s="13"/>
      <c r="QUA19" s="13"/>
      <c r="QUB19" s="13"/>
      <c r="QUC19" s="13"/>
      <c r="QUD19" s="13"/>
      <c r="QUE19" s="13"/>
      <c r="QUF19" s="13"/>
      <c r="QUG19" s="13"/>
      <c r="QUH19" s="13"/>
      <c r="QUI19" s="13"/>
      <c r="QUJ19" s="13"/>
      <c r="QUK19" s="13"/>
      <c r="QUL19" s="13"/>
      <c r="QUM19" s="13"/>
      <c r="QUN19" s="13"/>
      <c r="QUO19" s="13"/>
      <c r="QUP19" s="13"/>
      <c r="QUQ19" s="13"/>
      <c r="QUR19" s="13"/>
      <c r="QUS19" s="13"/>
      <c r="QUT19" s="13"/>
      <c r="QUU19" s="13"/>
      <c r="QUV19" s="13"/>
      <c r="QUW19" s="13"/>
      <c r="QUX19" s="13"/>
      <c r="QUY19" s="13"/>
      <c r="QUZ19" s="13"/>
      <c r="QVA19" s="13"/>
      <c r="QVB19" s="13"/>
      <c r="QVC19" s="13"/>
      <c r="QVD19" s="13"/>
      <c r="QVE19" s="13"/>
      <c r="QVF19" s="13"/>
      <c r="QVG19" s="13"/>
      <c r="QVH19" s="13"/>
      <c r="QVI19" s="13"/>
      <c r="QVJ19" s="13"/>
      <c r="QVK19" s="13"/>
      <c r="QVL19" s="13"/>
      <c r="QVM19" s="13"/>
      <c r="QVN19" s="13"/>
      <c r="QVO19" s="13"/>
      <c r="QVP19" s="13"/>
      <c r="QVQ19" s="13"/>
      <c r="QVR19" s="13"/>
      <c r="QVS19" s="13"/>
      <c r="QVT19" s="13"/>
      <c r="QVU19" s="13"/>
      <c r="QVV19" s="13"/>
      <c r="QVW19" s="13"/>
      <c r="QVX19" s="13"/>
      <c r="QVY19" s="13"/>
      <c r="QVZ19" s="13"/>
      <c r="QWA19" s="13"/>
      <c r="QWB19" s="13"/>
      <c r="QWC19" s="13"/>
      <c r="QWD19" s="13"/>
      <c r="QWE19" s="13"/>
      <c r="QWF19" s="13"/>
      <c r="QWG19" s="13"/>
      <c r="QWH19" s="13"/>
      <c r="QWI19" s="13"/>
      <c r="QWJ19" s="13"/>
      <c r="QWK19" s="13"/>
      <c r="QWL19" s="13"/>
      <c r="QWM19" s="13"/>
      <c r="QWN19" s="13"/>
      <c r="QWO19" s="13"/>
      <c r="QWP19" s="13"/>
      <c r="QWQ19" s="13"/>
      <c r="QWR19" s="13"/>
      <c r="QWS19" s="13"/>
      <c r="QWT19" s="13"/>
      <c r="QWU19" s="13"/>
      <c r="QWV19" s="13"/>
      <c r="QWW19" s="13"/>
      <c r="QWX19" s="13"/>
      <c r="QWY19" s="13"/>
      <c r="QWZ19" s="13"/>
      <c r="QXA19" s="13"/>
      <c r="QXB19" s="13"/>
      <c r="QXC19" s="13"/>
      <c r="QXD19" s="13"/>
      <c r="QXE19" s="13"/>
      <c r="QXF19" s="13"/>
      <c r="QXG19" s="13"/>
      <c r="QXH19" s="13"/>
      <c r="QXI19" s="13"/>
      <c r="QXJ19" s="13"/>
      <c r="QXK19" s="13"/>
      <c r="QXL19" s="13"/>
      <c r="QXM19" s="13"/>
      <c r="QXN19" s="13"/>
      <c r="QXO19" s="13"/>
      <c r="QXP19" s="13"/>
      <c r="QXQ19" s="13"/>
      <c r="QXR19" s="13"/>
      <c r="QXS19" s="13"/>
      <c r="QXT19" s="13"/>
      <c r="QXU19" s="13"/>
      <c r="QXV19" s="13"/>
      <c r="QXW19" s="13"/>
      <c r="QXX19" s="13"/>
      <c r="QXY19" s="13"/>
      <c r="QXZ19" s="13"/>
      <c r="QYA19" s="13"/>
      <c r="QYB19" s="13"/>
      <c r="QYC19" s="13"/>
      <c r="QYD19" s="13"/>
      <c r="QYE19" s="13"/>
      <c r="QYF19" s="13"/>
      <c r="QYG19" s="13"/>
      <c r="QYH19" s="13"/>
      <c r="QYI19" s="13"/>
      <c r="QYJ19" s="13"/>
      <c r="QYK19" s="13"/>
      <c r="QYL19" s="13"/>
      <c r="QYM19" s="13"/>
      <c r="QYN19" s="13"/>
      <c r="QYO19" s="13"/>
      <c r="QYP19" s="13"/>
      <c r="QYQ19" s="13"/>
      <c r="QYR19" s="13"/>
      <c r="QYS19" s="13"/>
      <c r="QYT19" s="13"/>
      <c r="QYU19" s="13"/>
      <c r="QYV19" s="13"/>
      <c r="QYW19" s="13"/>
      <c r="QYX19" s="13"/>
      <c r="QYY19" s="13"/>
      <c r="QYZ19" s="13"/>
      <c r="QZA19" s="13"/>
      <c r="QZB19" s="13"/>
      <c r="QZC19" s="13"/>
      <c r="QZD19" s="13"/>
      <c r="QZE19" s="13"/>
      <c r="QZF19" s="13"/>
      <c r="QZG19" s="13"/>
      <c r="QZH19" s="13"/>
      <c r="QZI19" s="13"/>
      <c r="QZJ19" s="13"/>
      <c r="QZK19" s="13"/>
      <c r="QZL19" s="13"/>
      <c r="QZM19" s="13"/>
      <c r="QZN19" s="13"/>
      <c r="QZO19" s="13"/>
      <c r="QZP19" s="13"/>
      <c r="QZQ19" s="13"/>
      <c r="QZR19" s="13"/>
      <c r="QZS19" s="13"/>
      <c r="QZT19" s="13"/>
      <c r="QZU19" s="13"/>
      <c r="QZV19" s="13"/>
      <c r="QZW19" s="13"/>
      <c r="QZX19" s="13"/>
      <c r="QZY19" s="13"/>
      <c r="QZZ19" s="13"/>
      <c r="RAA19" s="13"/>
      <c r="RAB19" s="13"/>
      <c r="RAC19" s="13"/>
      <c r="RAD19" s="13"/>
      <c r="RAE19" s="13"/>
      <c r="RAF19" s="13"/>
      <c r="RAG19" s="13"/>
      <c r="RAH19" s="13"/>
      <c r="RAI19" s="13"/>
      <c r="RAJ19" s="13"/>
      <c r="RAK19" s="13"/>
      <c r="RAL19" s="13"/>
      <c r="RAM19" s="13"/>
      <c r="RAN19" s="13"/>
      <c r="RAO19" s="13"/>
      <c r="RAP19" s="13"/>
      <c r="RAQ19" s="13"/>
      <c r="RAR19" s="13"/>
      <c r="RAS19" s="13"/>
      <c r="RAT19" s="13"/>
      <c r="RAU19" s="13"/>
      <c r="RAV19" s="13"/>
      <c r="RAW19" s="13"/>
      <c r="RAX19" s="13"/>
      <c r="RAY19" s="13"/>
      <c r="RAZ19" s="13"/>
      <c r="RBA19" s="13"/>
      <c r="RBB19" s="13"/>
      <c r="RBC19" s="13"/>
      <c r="RBD19" s="13"/>
      <c r="RBE19" s="13"/>
      <c r="RBF19" s="13"/>
      <c r="RBG19" s="13"/>
      <c r="RBH19" s="13"/>
      <c r="RBI19" s="13"/>
      <c r="RBJ19" s="13"/>
      <c r="RBK19" s="13"/>
      <c r="RBL19" s="13"/>
      <c r="RBM19" s="13"/>
      <c r="RBN19" s="13"/>
      <c r="RBO19" s="13"/>
      <c r="RBP19" s="13"/>
      <c r="RBQ19" s="13"/>
      <c r="RBR19" s="13"/>
      <c r="RBS19" s="13"/>
      <c r="RBT19" s="13"/>
      <c r="RBU19" s="13"/>
      <c r="RBV19" s="13"/>
      <c r="RBW19" s="13"/>
      <c r="RBX19" s="13"/>
      <c r="RBY19" s="13"/>
      <c r="RBZ19" s="13"/>
      <c r="RCA19" s="13"/>
      <c r="RCB19" s="13"/>
      <c r="RCC19" s="13"/>
      <c r="RCD19" s="13"/>
      <c r="RCE19" s="13"/>
      <c r="RCF19" s="13"/>
      <c r="RCG19" s="13"/>
      <c r="RCH19" s="13"/>
      <c r="RCI19" s="13"/>
      <c r="RCJ19" s="13"/>
      <c r="RCK19" s="13"/>
      <c r="RCL19" s="13"/>
      <c r="RCM19" s="13"/>
      <c r="RCN19" s="13"/>
      <c r="RCO19" s="13"/>
      <c r="RCP19" s="13"/>
      <c r="RCQ19" s="13"/>
      <c r="RCR19" s="13"/>
      <c r="RCS19" s="13"/>
      <c r="RCT19" s="13"/>
      <c r="RCU19" s="13"/>
      <c r="RCV19" s="13"/>
      <c r="RCW19" s="13"/>
      <c r="RCX19" s="13"/>
      <c r="RCY19" s="13"/>
      <c r="RCZ19" s="13"/>
      <c r="RDA19" s="13"/>
      <c r="RDB19" s="13"/>
      <c r="RDC19" s="13"/>
      <c r="RDD19" s="13"/>
      <c r="RDE19" s="13"/>
      <c r="RDF19" s="13"/>
      <c r="RDG19" s="13"/>
      <c r="RDH19" s="13"/>
      <c r="RDI19" s="13"/>
      <c r="RDJ19" s="13"/>
      <c r="RDK19" s="13"/>
      <c r="RDL19" s="13"/>
      <c r="RDM19" s="13"/>
      <c r="RDN19" s="13"/>
      <c r="RDO19" s="13"/>
      <c r="RDP19" s="13"/>
      <c r="RDQ19" s="13"/>
      <c r="RDR19" s="13"/>
      <c r="RDS19" s="13"/>
      <c r="RDT19" s="13"/>
      <c r="RDU19" s="13"/>
      <c r="RDV19" s="13"/>
      <c r="RDW19" s="13"/>
      <c r="RDX19" s="13"/>
      <c r="RDY19" s="13"/>
      <c r="RDZ19" s="13"/>
      <c r="REA19" s="13"/>
      <c r="REB19" s="13"/>
      <c r="REC19" s="13"/>
      <c r="RED19" s="13"/>
      <c r="REE19" s="13"/>
      <c r="REF19" s="13"/>
      <c r="REG19" s="13"/>
      <c r="REH19" s="13"/>
      <c r="REI19" s="13"/>
      <c r="REJ19" s="13"/>
      <c r="REK19" s="13"/>
      <c r="REL19" s="13"/>
      <c r="REM19" s="13"/>
      <c r="REN19" s="13"/>
      <c r="REO19" s="13"/>
      <c r="REP19" s="13"/>
      <c r="REQ19" s="13"/>
      <c r="RER19" s="13"/>
      <c r="RES19" s="13"/>
      <c r="RET19" s="13"/>
      <c r="REU19" s="13"/>
      <c r="REV19" s="13"/>
      <c r="REW19" s="13"/>
      <c r="REX19" s="13"/>
      <c r="REY19" s="13"/>
      <c r="REZ19" s="13"/>
      <c r="RFA19" s="13"/>
      <c r="RFB19" s="13"/>
      <c r="RFC19" s="13"/>
      <c r="RFD19" s="13"/>
      <c r="RFE19" s="13"/>
      <c r="RFF19" s="13"/>
      <c r="RFG19" s="13"/>
      <c r="RFH19" s="13"/>
      <c r="RFI19" s="13"/>
      <c r="RFJ19" s="13"/>
      <c r="RFK19" s="13"/>
      <c r="RFL19" s="13"/>
      <c r="RFM19" s="13"/>
      <c r="RFN19" s="13"/>
      <c r="RFO19" s="13"/>
      <c r="RFP19" s="13"/>
      <c r="RFQ19" s="13"/>
      <c r="RFR19" s="13"/>
      <c r="RFS19" s="13"/>
      <c r="RFT19" s="13"/>
      <c r="RFU19" s="13"/>
      <c r="RFV19" s="13"/>
      <c r="RFW19" s="13"/>
      <c r="RFX19" s="13"/>
      <c r="RFY19" s="13"/>
      <c r="RFZ19" s="13"/>
      <c r="RGA19" s="13"/>
      <c r="RGB19" s="13"/>
      <c r="RGC19" s="13"/>
      <c r="RGD19" s="13"/>
      <c r="RGE19" s="13"/>
      <c r="RGF19" s="13"/>
      <c r="RGG19" s="13"/>
      <c r="RGH19" s="13"/>
      <c r="RGI19" s="13"/>
      <c r="RGJ19" s="13"/>
      <c r="RGK19" s="13"/>
      <c r="RGL19" s="13"/>
      <c r="RGM19" s="13"/>
      <c r="RGN19" s="13"/>
      <c r="RGO19" s="13"/>
      <c r="RGP19" s="13"/>
      <c r="RGQ19" s="13"/>
      <c r="RGR19" s="13"/>
      <c r="RGS19" s="13"/>
      <c r="RGT19" s="13"/>
      <c r="RGU19" s="13"/>
      <c r="RGV19" s="13"/>
      <c r="RGW19" s="13"/>
      <c r="RGX19" s="13"/>
      <c r="RGY19" s="13"/>
      <c r="RGZ19" s="13"/>
      <c r="RHA19" s="13"/>
      <c r="RHB19" s="13"/>
      <c r="RHC19" s="13"/>
      <c r="RHD19" s="13"/>
      <c r="RHE19" s="13"/>
      <c r="RHF19" s="13"/>
      <c r="RHG19" s="13"/>
      <c r="RHH19" s="13"/>
      <c r="RHI19" s="13"/>
      <c r="RHJ19" s="13"/>
      <c r="RHK19" s="13"/>
      <c r="RHL19" s="13"/>
      <c r="RHM19" s="13"/>
      <c r="RHN19" s="13"/>
      <c r="RHO19" s="13"/>
      <c r="RHP19" s="13"/>
      <c r="RHQ19" s="13"/>
      <c r="RHR19" s="13"/>
      <c r="RHS19" s="13"/>
      <c r="RHT19" s="13"/>
      <c r="RHU19" s="13"/>
      <c r="RHV19" s="13"/>
      <c r="RHW19" s="13"/>
      <c r="RHX19" s="13"/>
      <c r="RHY19" s="13"/>
      <c r="RHZ19" s="13"/>
      <c r="RIA19" s="13"/>
      <c r="RIB19" s="13"/>
      <c r="RIC19" s="13"/>
      <c r="RID19" s="13"/>
      <c r="RIE19" s="13"/>
      <c r="RIF19" s="13"/>
      <c r="RIG19" s="13"/>
      <c r="RIH19" s="13"/>
      <c r="RII19" s="13"/>
      <c r="RIJ19" s="13"/>
      <c r="RIK19" s="13"/>
      <c r="RIL19" s="13"/>
      <c r="RIM19" s="13"/>
      <c r="RIN19" s="13"/>
      <c r="RIO19" s="13"/>
      <c r="RIP19" s="13"/>
      <c r="RIQ19" s="13"/>
      <c r="RIR19" s="13"/>
      <c r="RIS19" s="13"/>
      <c r="RIT19" s="13"/>
      <c r="RIU19" s="13"/>
      <c r="RIV19" s="13"/>
      <c r="RIW19" s="13"/>
      <c r="RIX19" s="13"/>
      <c r="RIY19" s="13"/>
      <c r="RIZ19" s="13"/>
      <c r="RJA19" s="13"/>
      <c r="RJB19" s="13"/>
      <c r="RJC19" s="13"/>
      <c r="RJD19" s="13"/>
      <c r="RJE19" s="13"/>
      <c r="RJF19" s="13"/>
      <c r="RJG19" s="13"/>
      <c r="RJH19" s="13"/>
      <c r="RJI19" s="13"/>
      <c r="RJJ19" s="13"/>
      <c r="RJK19" s="13"/>
      <c r="RJL19" s="13"/>
      <c r="RJM19" s="13"/>
      <c r="RJN19" s="13"/>
      <c r="RJO19" s="13"/>
      <c r="RJP19" s="13"/>
      <c r="RJQ19" s="13"/>
      <c r="RJR19" s="13"/>
      <c r="RJS19" s="13"/>
      <c r="RJT19" s="13"/>
      <c r="RJU19" s="13"/>
      <c r="RJV19" s="13"/>
      <c r="RJW19" s="13"/>
      <c r="RJX19" s="13"/>
      <c r="RJY19" s="13"/>
      <c r="RJZ19" s="13"/>
      <c r="RKA19" s="13"/>
      <c r="RKB19" s="13"/>
      <c r="RKC19" s="13"/>
      <c r="RKD19" s="13"/>
      <c r="RKE19" s="13"/>
      <c r="RKF19" s="13"/>
      <c r="RKG19" s="13"/>
      <c r="RKH19" s="13"/>
      <c r="RKI19" s="13"/>
      <c r="RKJ19" s="13"/>
      <c r="RKK19" s="13"/>
      <c r="RKL19" s="13"/>
      <c r="RKM19" s="13"/>
      <c r="RKN19" s="13"/>
      <c r="RKO19" s="13"/>
      <c r="RKP19" s="13"/>
      <c r="RKQ19" s="13"/>
      <c r="RKR19" s="13"/>
      <c r="RKS19" s="13"/>
      <c r="RKT19" s="13"/>
      <c r="RKU19" s="13"/>
      <c r="RKV19" s="13"/>
      <c r="RKW19" s="13"/>
      <c r="RKX19" s="13"/>
      <c r="RKY19" s="13"/>
      <c r="RKZ19" s="13"/>
      <c r="RLA19" s="13"/>
      <c r="RLB19" s="13"/>
      <c r="RLC19" s="13"/>
      <c r="RLD19" s="13"/>
      <c r="RLE19" s="13"/>
      <c r="RLF19" s="13"/>
      <c r="RLG19" s="13"/>
      <c r="RLH19" s="13"/>
      <c r="RLI19" s="13"/>
      <c r="RLJ19" s="13"/>
      <c r="RLK19" s="13"/>
      <c r="RLL19" s="13"/>
      <c r="RLM19" s="13"/>
      <c r="RLN19" s="13"/>
      <c r="RLO19" s="13"/>
      <c r="RLP19" s="13"/>
      <c r="RLQ19" s="13"/>
      <c r="RLR19" s="13"/>
      <c r="RLS19" s="13"/>
      <c r="RLT19" s="13"/>
      <c r="RLU19" s="13"/>
      <c r="RLV19" s="13"/>
      <c r="RLW19" s="13"/>
      <c r="RLX19" s="13"/>
      <c r="RLY19" s="13"/>
      <c r="RLZ19" s="13"/>
      <c r="RMA19" s="13"/>
      <c r="RMB19" s="13"/>
      <c r="RMC19" s="13"/>
      <c r="RMD19" s="13"/>
      <c r="RME19" s="13"/>
      <c r="RMF19" s="13"/>
      <c r="RMG19" s="13"/>
      <c r="RMH19" s="13"/>
      <c r="RMI19" s="13"/>
      <c r="RMJ19" s="13"/>
      <c r="RMK19" s="13"/>
      <c r="RML19" s="13"/>
      <c r="RMM19" s="13"/>
      <c r="RMN19" s="13"/>
      <c r="RMO19" s="13"/>
      <c r="RMP19" s="13"/>
      <c r="RMQ19" s="13"/>
      <c r="RMR19" s="13"/>
      <c r="RMS19" s="13"/>
      <c r="RMT19" s="13"/>
      <c r="RMU19" s="13"/>
      <c r="RMV19" s="13"/>
      <c r="RMW19" s="13"/>
      <c r="RMX19" s="13"/>
      <c r="RMY19" s="13"/>
      <c r="RMZ19" s="13"/>
      <c r="RNA19" s="13"/>
      <c r="RNB19" s="13"/>
      <c r="RNC19" s="13"/>
      <c r="RND19" s="13"/>
      <c r="RNE19" s="13"/>
      <c r="RNF19" s="13"/>
      <c r="RNG19" s="13"/>
      <c r="RNH19" s="13"/>
      <c r="RNI19" s="13"/>
      <c r="RNJ19" s="13"/>
      <c r="RNK19" s="13"/>
      <c r="RNL19" s="13"/>
      <c r="RNM19" s="13"/>
      <c r="RNN19" s="13"/>
      <c r="RNO19" s="13"/>
      <c r="RNP19" s="13"/>
      <c r="RNQ19" s="13"/>
      <c r="RNR19" s="13"/>
      <c r="RNS19" s="13"/>
      <c r="RNT19" s="13"/>
      <c r="RNU19" s="13"/>
      <c r="RNV19" s="13"/>
      <c r="RNW19" s="13"/>
      <c r="RNX19" s="13"/>
      <c r="RNY19" s="13"/>
      <c r="RNZ19" s="13"/>
      <c r="ROA19" s="13"/>
      <c r="ROB19" s="13"/>
      <c r="ROC19" s="13"/>
      <c r="ROD19" s="13"/>
      <c r="ROE19" s="13"/>
      <c r="ROF19" s="13"/>
      <c r="ROG19" s="13"/>
      <c r="ROH19" s="13"/>
      <c r="ROI19" s="13"/>
      <c r="ROJ19" s="13"/>
      <c r="ROK19" s="13"/>
      <c r="ROL19" s="13"/>
      <c r="ROM19" s="13"/>
      <c r="RON19" s="13"/>
      <c r="ROO19" s="13"/>
      <c r="ROP19" s="13"/>
      <c r="ROQ19" s="13"/>
      <c r="ROR19" s="13"/>
      <c r="ROS19" s="13"/>
      <c r="ROT19" s="13"/>
      <c r="ROU19" s="13"/>
      <c r="ROV19" s="13"/>
      <c r="ROW19" s="13"/>
      <c r="ROX19" s="13"/>
      <c r="ROY19" s="13"/>
      <c r="ROZ19" s="13"/>
      <c r="RPA19" s="13"/>
      <c r="RPB19" s="13"/>
      <c r="RPC19" s="13"/>
      <c r="RPD19" s="13"/>
      <c r="RPE19" s="13"/>
      <c r="RPF19" s="13"/>
      <c r="RPG19" s="13"/>
      <c r="RPH19" s="13"/>
      <c r="RPI19" s="13"/>
      <c r="RPJ19" s="13"/>
      <c r="RPK19" s="13"/>
      <c r="RPL19" s="13"/>
      <c r="RPM19" s="13"/>
      <c r="RPN19" s="13"/>
      <c r="RPO19" s="13"/>
      <c r="RPP19" s="13"/>
      <c r="RPQ19" s="13"/>
      <c r="RPR19" s="13"/>
      <c r="RPS19" s="13"/>
      <c r="RPT19" s="13"/>
      <c r="RPU19" s="13"/>
      <c r="RPV19" s="13"/>
      <c r="RPW19" s="13"/>
      <c r="RPX19" s="13"/>
      <c r="RPY19" s="13"/>
      <c r="RPZ19" s="13"/>
      <c r="RQA19" s="13"/>
      <c r="RQB19" s="13"/>
      <c r="RQC19" s="13"/>
      <c r="RQD19" s="13"/>
      <c r="RQE19" s="13"/>
      <c r="RQF19" s="13"/>
      <c r="RQG19" s="13"/>
      <c r="RQH19" s="13"/>
      <c r="RQI19" s="13"/>
      <c r="RQJ19" s="13"/>
      <c r="RQK19" s="13"/>
      <c r="RQL19" s="13"/>
      <c r="RQM19" s="13"/>
      <c r="RQN19" s="13"/>
      <c r="RQO19" s="13"/>
      <c r="RQP19" s="13"/>
      <c r="RQQ19" s="13"/>
      <c r="RQR19" s="13"/>
      <c r="RQS19" s="13"/>
      <c r="RQT19" s="13"/>
      <c r="RQU19" s="13"/>
      <c r="RQV19" s="13"/>
      <c r="RQW19" s="13"/>
      <c r="RQX19" s="13"/>
      <c r="RQY19" s="13"/>
      <c r="RQZ19" s="13"/>
      <c r="RRA19" s="13"/>
      <c r="RRB19" s="13"/>
      <c r="RRC19" s="13"/>
      <c r="RRD19" s="13"/>
      <c r="RRE19" s="13"/>
      <c r="RRF19" s="13"/>
      <c r="RRG19" s="13"/>
      <c r="RRH19" s="13"/>
      <c r="RRI19" s="13"/>
      <c r="RRJ19" s="13"/>
      <c r="RRK19" s="13"/>
      <c r="RRL19" s="13"/>
      <c r="RRM19" s="13"/>
      <c r="RRN19" s="13"/>
      <c r="RRO19" s="13"/>
      <c r="RRP19" s="13"/>
      <c r="RRQ19" s="13"/>
      <c r="RRR19" s="13"/>
      <c r="RRS19" s="13"/>
      <c r="RRT19" s="13"/>
      <c r="RRU19" s="13"/>
      <c r="RRV19" s="13"/>
      <c r="RRW19" s="13"/>
      <c r="RRX19" s="13"/>
      <c r="RRY19" s="13"/>
      <c r="RRZ19" s="13"/>
      <c r="RSA19" s="13"/>
      <c r="RSB19" s="13"/>
      <c r="RSC19" s="13"/>
      <c r="RSD19" s="13"/>
      <c r="RSE19" s="13"/>
      <c r="RSF19" s="13"/>
      <c r="RSG19" s="13"/>
      <c r="RSH19" s="13"/>
      <c r="RSI19" s="13"/>
      <c r="RSJ19" s="13"/>
      <c r="RSK19" s="13"/>
      <c r="RSL19" s="13"/>
      <c r="RSM19" s="13"/>
      <c r="RSN19" s="13"/>
      <c r="RSO19" s="13"/>
      <c r="RSP19" s="13"/>
      <c r="RSQ19" s="13"/>
      <c r="RSR19" s="13"/>
      <c r="RSS19" s="13"/>
      <c r="RST19" s="13"/>
      <c r="RSU19" s="13"/>
      <c r="RSV19" s="13"/>
      <c r="RSW19" s="13"/>
      <c r="RSX19" s="13"/>
      <c r="RSY19" s="13"/>
      <c r="RSZ19" s="13"/>
      <c r="RTA19" s="13"/>
      <c r="RTB19" s="13"/>
      <c r="RTC19" s="13"/>
      <c r="RTD19" s="13"/>
      <c r="RTE19" s="13"/>
      <c r="RTF19" s="13"/>
      <c r="RTG19" s="13"/>
      <c r="RTH19" s="13"/>
      <c r="RTI19" s="13"/>
      <c r="RTJ19" s="13"/>
      <c r="RTK19" s="13"/>
      <c r="RTL19" s="13"/>
      <c r="RTM19" s="13"/>
      <c r="RTN19" s="13"/>
      <c r="RTO19" s="13"/>
      <c r="RTP19" s="13"/>
      <c r="RTQ19" s="13"/>
      <c r="RTR19" s="13"/>
      <c r="RTS19" s="13"/>
      <c r="RTT19" s="13"/>
      <c r="RTU19" s="13"/>
      <c r="RTV19" s="13"/>
      <c r="RTW19" s="13"/>
      <c r="RTX19" s="13"/>
      <c r="RTY19" s="13"/>
      <c r="RTZ19" s="13"/>
      <c r="RUA19" s="13"/>
      <c r="RUB19" s="13"/>
      <c r="RUC19" s="13"/>
      <c r="RUD19" s="13"/>
      <c r="RUE19" s="13"/>
      <c r="RUF19" s="13"/>
      <c r="RUG19" s="13"/>
      <c r="RUH19" s="13"/>
      <c r="RUI19" s="13"/>
      <c r="RUJ19" s="13"/>
      <c r="RUK19" s="13"/>
      <c r="RUL19" s="13"/>
      <c r="RUM19" s="13"/>
      <c r="RUN19" s="13"/>
      <c r="RUO19" s="13"/>
      <c r="RUP19" s="13"/>
      <c r="RUQ19" s="13"/>
      <c r="RUR19" s="13"/>
      <c r="RUS19" s="13"/>
      <c r="RUT19" s="13"/>
      <c r="RUU19" s="13"/>
      <c r="RUV19" s="13"/>
      <c r="RUW19" s="13"/>
      <c r="RUX19" s="13"/>
      <c r="RUY19" s="13"/>
      <c r="RUZ19" s="13"/>
      <c r="RVA19" s="13"/>
      <c r="RVB19" s="13"/>
      <c r="RVC19" s="13"/>
      <c r="RVD19" s="13"/>
      <c r="RVE19" s="13"/>
      <c r="RVF19" s="13"/>
      <c r="RVG19" s="13"/>
      <c r="RVH19" s="13"/>
      <c r="RVI19" s="13"/>
      <c r="RVJ19" s="13"/>
      <c r="RVK19" s="13"/>
      <c r="RVL19" s="13"/>
      <c r="RVM19" s="13"/>
      <c r="RVN19" s="13"/>
      <c r="RVO19" s="13"/>
      <c r="RVP19" s="13"/>
      <c r="RVQ19" s="13"/>
      <c r="RVR19" s="13"/>
      <c r="RVS19" s="13"/>
      <c r="RVT19" s="13"/>
      <c r="RVU19" s="13"/>
      <c r="RVV19" s="13"/>
      <c r="RVW19" s="13"/>
      <c r="RVX19" s="13"/>
      <c r="RVY19" s="13"/>
      <c r="RVZ19" s="13"/>
      <c r="RWA19" s="13"/>
      <c r="RWB19" s="13"/>
      <c r="RWC19" s="13"/>
      <c r="RWD19" s="13"/>
      <c r="RWE19" s="13"/>
      <c r="RWF19" s="13"/>
      <c r="RWG19" s="13"/>
      <c r="RWH19" s="13"/>
      <c r="RWI19" s="13"/>
      <c r="RWJ19" s="13"/>
      <c r="RWK19" s="13"/>
      <c r="RWL19" s="13"/>
      <c r="RWM19" s="13"/>
      <c r="RWN19" s="13"/>
      <c r="RWO19" s="13"/>
      <c r="RWP19" s="13"/>
      <c r="RWQ19" s="13"/>
      <c r="RWR19" s="13"/>
      <c r="RWS19" s="13"/>
      <c r="RWT19" s="13"/>
      <c r="RWU19" s="13"/>
      <c r="RWV19" s="13"/>
      <c r="RWW19" s="13"/>
      <c r="RWX19" s="13"/>
      <c r="RWY19" s="13"/>
      <c r="RWZ19" s="13"/>
      <c r="RXA19" s="13"/>
      <c r="RXB19" s="13"/>
      <c r="RXC19" s="13"/>
      <c r="RXD19" s="13"/>
      <c r="RXE19" s="13"/>
      <c r="RXF19" s="13"/>
      <c r="RXG19" s="13"/>
      <c r="RXH19" s="13"/>
      <c r="RXI19" s="13"/>
      <c r="RXJ19" s="13"/>
      <c r="RXK19" s="13"/>
      <c r="RXL19" s="13"/>
      <c r="RXM19" s="13"/>
      <c r="RXN19" s="13"/>
      <c r="RXO19" s="13"/>
      <c r="RXP19" s="13"/>
      <c r="RXQ19" s="13"/>
      <c r="RXR19" s="13"/>
      <c r="RXS19" s="13"/>
      <c r="RXT19" s="13"/>
      <c r="RXU19" s="13"/>
      <c r="RXV19" s="13"/>
      <c r="RXW19" s="13"/>
      <c r="RXX19" s="13"/>
      <c r="RXY19" s="13"/>
      <c r="RXZ19" s="13"/>
      <c r="RYA19" s="13"/>
      <c r="RYB19" s="13"/>
      <c r="RYC19" s="13"/>
      <c r="RYD19" s="13"/>
      <c r="RYE19" s="13"/>
      <c r="RYF19" s="13"/>
      <c r="RYG19" s="13"/>
      <c r="RYH19" s="13"/>
      <c r="RYI19" s="13"/>
      <c r="RYJ19" s="13"/>
      <c r="RYK19" s="13"/>
      <c r="RYL19" s="13"/>
      <c r="RYM19" s="13"/>
      <c r="RYN19" s="13"/>
      <c r="RYO19" s="13"/>
      <c r="RYP19" s="13"/>
      <c r="RYQ19" s="13"/>
      <c r="RYR19" s="13"/>
      <c r="RYS19" s="13"/>
      <c r="RYT19" s="13"/>
      <c r="RYU19" s="13"/>
      <c r="RYV19" s="13"/>
      <c r="RYW19" s="13"/>
      <c r="RYX19" s="13"/>
      <c r="RYY19" s="13"/>
      <c r="RYZ19" s="13"/>
      <c r="RZA19" s="13"/>
      <c r="RZB19" s="13"/>
      <c r="RZC19" s="13"/>
      <c r="RZD19" s="13"/>
      <c r="RZE19" s="13"/>
      <c r="RZF19" s="13"/>
      <c r="RZG19" s="13"/>
      <c r="RZH19" s="13"/>
      <c r="RZI19" s="13"/>
      <c r="RZJ19" s="13"/>
      <c r="RZK19" s="13"/>
      <c r="RZL19" s="13"/>
      <c r="RZM19" s="13"/>
      <c r="RZN19" s="13"/>
      <c r="RZO19" s="13"/>
      <c r="RZP19" s="13"/>
      <c r="RZQ19" s="13"/>
      <c r="RZR19" s="13"/>
      <c r="RZS19" s="13"/>
      <c r="RZT19" s="13"/>
      <c r="RZU19" s="13"/>
      <c r="RZV19" s="13"/>
      <c r="RZW19" s="13"/>
      <c r="RZX19" s="13"/>
      <c r="RZY19" s="13"/>
      <c r="RZZ19" s="13"/>
      <c r="SAA19" s="13"/>
      <c r="SAB19" s="13"/>
      <c r="SAC19" s="13"/>
      <c r="SAD19" s="13"/>
      <c r="SAE19" s="13"/>
      <c r="SAF19" s="13"/>
      <c r="SAG19" s="13"/>
      <c r="SAH19" s="13"/>
      <c r="SAI19" s="13"/>
      <c r="SAJ19" s="13"/>
      <c r="SAK19" s="13"/>
      <c r="SAL19" s="13"/>
      <c r="SAM19" s="13"/>
      <c r="SAN19" s="13"/>
      <c r="SAO19" s="13"/>
      <c r="SAP19" s="13"/>
      <c r="SAQ19" s="13"/>
      <c r="SAR19" s="13"/>
      <c r="SAS19" s="13"/>
      <c r="SAT19" s="13"/>
      <c r="SAU19" s="13"/>
      <c r="SAV19" s="13"/>
      <c r="SAW19" s="13"/>
      <c r="SAX19" s="13"/>
      <c r="SAY19" s="13"/>
      <c r="SAZ19" s="13"/>
      <c r="SBA19" s="13"/>
      <c r="SBB19" s="13"/>
      <c r="SBC19" s="13"/>
      <c r="SBD19" s="13"/>
      <c r="SBE19" s="13"/>
      <c r="SBF19" s="13"/>
      <c r="SBG19" s="13"/>
      <c r="SBH19" s="13"/>
      <c r="SBI19" s="13"/>
      <c r="SBJ19" s="13"/>
      <c r="SBK19" s="13"/>
      <c r="SBL19" s="13"/>
      <c r="SBM19" s="13"/>
      <c r="SBN19" s="13"/>
      <c r="SBO19" s="13"/>
      <c r="SBP19" s="13"/>
      <c r="SBQ19" s="13"/>
      <c r="SBR19" s="13"/>
      <c r="SBS19" s="13"/>
      <c r="SBT19" s="13"/>
      <c r="SBU19" s="13"/>
      <c r="SBV19" s="13"/>
      <c r="SBW19" s="13"/>
      <c r="SBX19" s="13"/>
      <c r="SBY19" s="13"/>
      <c r="SBZ19" s="13"/>
      <c r="SCA19" s="13"/>
      <c r="SCB19" s="13"/>
      <c r="SCC19" s="13"/>
      <c r="SCD19" s="13"/>
      <c r="SCE19" s="13"/>
      <c r="SCF19" s="13"/>
      <c r="SCG19" s="13"/>
      <c r="SCH19" s="13"/>
      <c r="SCI19" s="13"/>
      <c r="SCJ19" s="13"/>
      <c r="SCK19" s="13"/>
      <c r="SCL19" s="13"/>
      <c r="SCM19" s="13"/>
      <c r="SCN19" s="13"/>
      <c r="SCO19" s="13"/>
      <c r="SCP19" s="13"/>
      <c r="SCQ19" s="13"/>
      <c r="SCR19" s="13"/>
      <c r="SCS19" s="13"/>
      <c r="SCT19" s="13"/>
      <c r="SCU19" s="13"/>
      <c r="SCV19" s="13"/>
      <c r="SCW19" s="13"/>
      <c r="SCX19" s="13"/>
      <c r="SCY19" s="13"/>
      <c r="SCZ19" s="13"/>
      <c r="SDA19" s="13"/>
      <c r="SDB19" s="13"/>
      <c r="SDC19" s="13"/>
      <c r="SDD19" s="13"/>
      <c r="SDE19" s="13"/>
      <c r="SDF19" s="13"/>
      <c r="SDG19" s="13"/>
      <c r="SDH19" s="13"/>
      <c r="SDI19" s="13"/>
      <c r="SDJ19" s="13"/>
      <c r="SDK19" s="13"/>
      <c r="SDL19" s="13"/>
      <c r="SDM19" s="13"/>
      <c r="SDN19" s="13"/>
      <c r="SDO19" s="13"/>
      <c r="SDP19" s="13"/>
      <c r="SDQ19" s="13"/>
      <c r="SDR19" s="13"/>
      <c r="SDS19" s="13"/>
      <c r="SDT19" s="13"/>
      <c r="SDU19" s="13"/>
      <c r="SDV19" s="13"/>
      <c r="SDW19" s="13"/>
      <c r="SDX19" s="13"/>
      <c r="SDY19" s="13"/>
      <c r="SDZ19" s="13"/>
      <c r="SEA19" s="13"/>
      <c r="SEB19" s="13"/>
      <c r="SEC19" s="13"/>
      <c r="SED19" s="13"/>
      <c r="SEE19" s="13"/>
      <c r="SEF19" s="13"/>
      <c r="SEG19" s="13"/>
      <c r="SEH19" s="13"/>
      <c r="SEI19" s="13"/>
      <c r="SEJ19" s="13"/>
      <c r="SEK19" s="13"/>
      <c r="SEL19" s="13"/>
      <c r="SEM19" s="13"/>
      <c r="SEN19" s="13"/>
      <c r="SEO19" s="13"/>
      <c r="SEP19" s="13"/>
      <c r="SEQ19" s="13"/>
      <c r="SER19" s="13"/>
      <c r="SES19" s="13"/>
      <c r="SET19" s="13"/>
      <c r="SEU19" s="13"/>
      <c r="SEV19" s="13"/>
      <c r="SEW19" s="13"/>
      <c r="SEX19" s="13"/>
      <c r="SEY19" s="13"/>
      <c r="SEZ19" s="13"/>
      <c r="SFA19" s="13"/>
      <c r="SFB19" s="13"/>
      <c r="SFC19" s="13"/>
      <c r="SFD19" s="13"/>
      <c r="SFE19" s="13"/>
      <c r="SFF19" s="13"/>
      <c r="SFG19" s="13"/>
      <c r="SFH19" s="13"/>
      <c r="SFI19" s="13"/>
      <c r="SFJ19" s="13"/>
      <c r="SFK19" s="13"/>
      <c r="SFL19" s="13"/>
      <c r="SFM19" s="13"/>
      <c r="SFN19" s="13"/>
      <c r="SFO19" s="13"/>
      <c r="SFP19" s="13"/>
      <c r="SFQ19" s="13"/>
      <c r="SFR19" s="13"/>
      <c r="SFS19" s="13"/>
      <c r="SFT19" s="13"/>
      <c r="SFU19" s="13"/>
      <c r="SFV19" s="13"/>
      <c r="SFW19" s="13"/>
      <c r="SFX19" s="13"/>
      <c r="SFY19" s="13"/>
      <c r="SFZ19" s="13"/>
      <c r="SGA19" s="13"/>
      <c r="SGB19" s="13"/>
      <c r="SGC19" s="13"/>
      <c r="SGD19" s="13"/>
      <c r="SGE19" s="13"/>
      <c r="SGF19" s="13"/>
      <c r="SGG19" s="13"/>
      <c r="SGH19" s="13"/>
      <c r="SGI19" s="13"/>
      <c r="SGJ19" s="13"/>
      <c r="SGK19" s="13"/>
      <c r="SGL19" s="13"/>
      <c r="SGM19" s="13"/>
      <c r="SGN19" s="13"/>
      <c r="SGO19" s="13"/>
      <c r="SGP19" s="13"/>
      <c r="SGQ19" s="13"/>
      <c r="SGR19" s="13"/>
      <c r="SGS19" s="13"/>
      <c r="SGT19" s="13"/>
      <c r="SGU19" s="13"/>
      <c r="SGV19" s="13"/>
      <c r="SGW19" s="13"/>
      <c r="SGX19" s="13"/>
      <c r="SGY19" s="13"/>
      <c r="SGZ19" s="13"/>
      <c r="SHA19" s="13"/>
      <c r="SHB19" s="13"/>
      <c r="SHC19" s="13"/>
      <c r="SHD19" s="13"/>
      <c r="SHE19" s="13"/>
      <c r="SHF19" s="13"/>
      <c r="SHG19" s="13"/>
      <c r="SHH19" s="13"/>
      <c r="SHI19" s="13"/>
      <c r="SHJ19" s="13"/>
      <c r="SHK19" s="13"/>
      <c r="SHL19" s="13"/>
      <c r="SHM19" s="13"/>
      <c r="SHN19" s="13"/>
      <c r="SHO19" s="13"/>
      <c r="SHP19" s="13"/>
      <c r="SHQ19" s="13"/>
      <c r="SHR19" s="13"/>
      <c r="SHS19" s="13"/>
      <c r="SHT19" s="13"/>
      <c r="SHU19" s="13"/>
      <c r="SHV19" s="13"/>
      <c r="SHW19" s="13"/>
      <c r="SHX19" s="13"/>
      <c r="SHY19" s="13"/>
      <c r="SHZ19" s="13"/>
      <c r="SIA19" s="13"/>
      <c r="SIB19" s="13"/>
      <c r="SIC19" s="13"/>
      <c r="SID19" s="13"/>
      <c r="SIE19" s="13"/>
      <c r="SIF19" s="13"/>
      <c r="SIG19" s="13"/>
      <c r="SIH19" s="13"/>
      <c r="SII19" s="13"/>
      <c r="SIJ19" s="13"/>
      <c r="SIK19" s="13"/>
      <c r="SIL19" s="13"/>
      <c r="SIM19" s="13"/>
      <c r="SIN19" s="13"/>
      <c r="SIO19" s="13"/>
      <c r="SIP19" s="13"/>
      <c r="SIQ19" s="13"/>
      <c r="SIR19" s="13"/>
      <c r="SIS19" s="13"/>
      <c r="SIT19" s="13"/>
      <c r="SIU19" s="13"/>
      <c r="SIV19" s="13"/>
      <c r="SIW19" s="13"/>
      <c r="SIX19" s="13"/>
      <c r="SIY19" s="13"/>
      <c r="SIZ19" s="13"/>
      <c r="SJA19" s="13"/>
      <c r="SJB19" s="13"/>
      <c r="SJC19" s="13"/>
      <c r="SJD19" s="13"/>
      <c r="SJE19" s="13"/>
      <c r="SJF19" s="13"/>
      <c r="SJG19" s="13"/>
      <c r="SJH19" s="13"/>
      <c r="SJI19" s="13"/>
      <c r="SJJ19" s="13"/>
      <c r="SJK19" s="13"/>
      <c r="SJL19" s="13"/>
      <c r="SJM19" s="13"/>
      <c r="SJN19" s="13"/>
      <c r="SJO19" s="13"/>
      <c r="SJP19" s="13"/>
      <c r="SJQ19" s="13"/>
      <c r="SJR19" s="13"/>
      <c r="SJS19" s="13"/>
      <c r="SJT19" s="13"/>
      <c r="SJU19" s="13"/>
      <c r="SJV19" s="13"/>
      <c r="SJW19" s="13"/>
      <c r="SJX19" s="13"/>
      <c r="SJY19" s="13"/>
      <c r="SJZ19" s="13"/>
      <c r="SKA19" s="13"/>
      <c r="SKB19" s="13"/>
      <c r="SKC19" s="13"/>
      <c r="SKD19" s="13"/>
      <c r="SKE19" s="13"/>
      <c r="SKF19" s="13"/>
      <c r="SKG19" s="13"/>
      <c r="SKH19" s="13"/>
      <c r="SKI19" s="13"/>
      <c r="SKJ19" s="13"/>
      <c r="SKK19" s="13"/>
      <c r="SKL19" s="13"/>
      <c r="SKM19" s="13"/>
      <c r="SKN19" s="13"/>
      <c r="SKO19" s="13"/>
      <c r="SKP19" s="13"/>
      <c r="SKQ19" s="13"/>
      <c r="SKR19" s="13"/>
      <c r="SKS19" s="13"/>
      <c r="SKT19" s="13"/>
      <c r="SKU19" s="13"/>
      <c r="SKV19" s="13"/>
      <c r="SKW19" s="13"/>
      <c r="SKX19" s="13"/>
      <c r="SKY19" s="13"/>
      <c r="SKZ19" s="13"/>
      <c r="SLA19" s="13"/>
      <c r="SLB19" s="13"/>
      <c r="SLC19" s="13"/>
      <c r="SLD19" s="13"/>
      <c r="SLE19" s="13"/>
      <c r="SLF19" s="13"/>
      <c r="SLG19" s="13"/>
      <c r="SLH19" s="13"/>
      <c r="SLI19" s="13"/>
      <c r="SLJ19" s="13"/>
      <c r="SLK19" s="13"/>
      <c r="SLL19" s="13"/>
      <c r="SLM19" s="13"/>
      <c r="SLN19" s="13"/>
      <c r="SLO19" s="13"/>
      <c r="SLP19" s="13"/>
      <c r="SLQ19" s="13"/>
      <c r="SLR19" s="13"/>
      <c r="SLS19" s="13"/>
      <c r="SLT19" s="13"/>
      <c r="SLU19" s="13"/>
      <c r="SLV19" s="13"/>
      <c r="SLW19" s="13"/>
      <c r="SLX19" s="13"/>
      <c r="SLY19" s="13"/>
      <c r="SLZ19" s="13"/>
      <c r="SMA19" s="13"/>
      <c r="SMB19" s="13"/>
      <c r="SMC19" s="13"/>
      <c r="SMD19" s="13"/>
      <c r="SME19" s="13"/>
      <c r="SMF19" s="13"/>
      <c r="SMG19" s="13"/>
      <c r="SMH19" s="13"/>
      <c r="SMI19" s="13"/>
      <c r="SMJ19" s="13"/>
      <c r="SMK19" s="13"/>
      <c r="SML19" s="13"/>
      <c r="SMM19" s="13"/>
      <c r="SMN19" s="13"/>
      <c r="SMO19" s="13"/>
      <c r="SMP19" s="13"/>
      <c r="SMQ19" s="13"/>
      <c r="SMR19" s="13"/>
      <c r="SMS19" s="13"/>
      <c r="SMT19" s="13"/>
      <c r="SMU19" s="13"/>
      <c r="SMV19" s="13"/>
      <c r="SMW19" s="13"/>
      <c r="SMX19" s="13"/>
      <c r="SMY19" s="13"/>
      <c r="SMZ19" s="13"/>
      <c r="SNA19" s="13"/>
      <c r="SNB19" s="13"/>
      <c r="SNC19" s="13"/>
      <c r="SND19" s="13"/>
      <c r="SNE19" s="13"/>
      <c r="SNF19" s="13"/>
      <c r="SNG19" s="13"/>
      <c r="SNH19" s="13"/>
      <c r="SNI19" s="13"/>
      <c r="SNJ19" s="13"/>
      <c r="SNK19" s="13"/>
      <c r="SNL19" s="13"/>
      <c r="SNM19" s="13"/>
      <c r="SNN19" s="13"/>
      <c r="SNO19" s="13"/>
      <c r="SNP19" s="13"/>
      <c r="SNQ19" s="13"/>
      <c r="SNR19" s="13"/>
      <c r="SNS19" s="13"/>
      <c r="SNT19" s="13"/>
      <c r="SNU19" s="13"/>
      <c r="SNV19" s="13"/>
      <c r="SNW19" s="13"/>
      <c r="SNX19" s="13"/>
      <c r="SNY19" s="13"/>
      <c r="SNZ19" s="13"/>
      <c r="SOA19" s="13"/>
      <c r="SOB19" s="13"/>
      <c r="SOC19" s="13"/>
      <c r="SOD19" s="13"/>
      <c r="SOE19" s="13"/>
      <c r="SOF19" s="13"/>
      <c r="SOG19" s="13"/>
      <c r="SOH19" s="13"/>
      <c r="SOI19" s="13"/>
      <c r="SOJ19" s="13"/>
      <c r="SOK19" s="13"/>
      <c r="SOL19" s="13"/>
      <c r="SOM19" s="13"/>
      <c r="SON19" s="13"/>
      <c r="SOO19" s="13"/>
      <c r="SOP19" s="13"/>
      <c r="SOQ19" s="13"/>
      <c r="SOR19" s="13"/>
      <c r="SOS19" s="13"/>
      <c r="SOT19" s="13"/>
      <c r="SOU19" s="13"/>
      <c r="SOV19" s="13"/>
      <c r="SOW19" s="13"/>
      <c r="SOX19" s="13"/>
      <c r="SOY19" s="13"/>
      <c r="SOZ19" s="13"/>
      <c r="SPA19" s="13"/>
      <c r="SPB19" s="13"/>
      <c r="SPC19" s="13"/>
      <c r="SPD19" s="13"/>
      <c r="SPE19" s="13"/>
      <c r="SPF19" s="13"/>
      <c r="SPG19" s="13"/>
      <c r="SPH19" s="13"/>
      <c r="SPI19" s="13"/>
      <c r="SPJ19" s="13"/>
      <c r="SPK19" s="13"/>
      <c r="SPL19" s="13"/>
      <c r="SPM19" s="13"/>
      <c r="SPN19" s="13"/>
      <c r="SPO19" s="13"/>
      <c r="SPP19" s="13"/>
      <c r="SPQ19" s="13"/>
      <c r="SPR19" s="13"/>
      <c r="SPS19" s="13"/>
      <c r="SPT19" s="13"/>
      <c r="SPU19" s="13"/>
      <c r="SPV19" s="13"/>
      <c r="SPW19" s="13"/>
      <c r="SPX19" s="13"/>
      <c r="SPY19" s="13"/>
      <c r="SPZ19" s="13"/>
      <c r="SQA19" s="13"/>
      <c r="SQB19" s="13"/>
      <c r="SQC19" s="13"/>
      <c r="SQD19" s="13"/>
      <c r="SQE19" s="13"/>
      <c r="SQF19" s="13"/>
      <c r="SQG19" s="13"/>
      <c r="SQH19" s="13"/>
      <c r="SQI19" s="13"/>
      <c r="SQJ19" s="13"/>
      <c r="SQK19" s="13"/>
      <c r="SQL19" s="13"/>
      <c r="SQM19" s="13"/>
      <c r="SQN19" s="13"/>
      <c r="SQO19" s="13"/>
      <c r="SQP19" s="13"/>
      <c r="SQQ19" s="13"/>
      <c r="SQR19" s="13"/>
      <c r="SQS19" s="13"/>
      <c r="SQT19" s="13"/>
      <c r="SQU19" s="13"/>
      <c r="SQV19" s="13"/>
      <c r="SQW19" s="13"/>
      <c r="SQX19" s="13"/>
      <c r="SQY19" s="13"/>
      <c r="SQZ19" s="13"/>
      <c r="SRA19" s="13"/>
      <c r="SRB19" s="13"/>
      <c r="SRC19" s="13"/>
      <c r="SRD19" s="13"/>
      <c r="SRE19" s="13"/>
      <c r="SRF19" s="13"/>
      <c r="SRG19" s="13"/>
      <c r="SRH19" s="13"/>
      <c r="SRI19" s="13"/>
      <c r="SRJ19" s="13"/>
      <c r="SRK19" s="13"/>
      <c r="SRL19" s="13"/>
      <c r="SRM19" s="13"/>
      <c r="SRN19" s="13"/>
      <c r="SRO19" s="13"/>
      <c r="SRP19" s="13"/>
      <c r="SRQ19" s="13"/>
      <c r="SRR19" s="13"/>
      <c r="SRS19" s="13"/>
      <c r="SRT19" s="13"/>
      <c r="SRU19" s="13"/>
      <c r="SRV19" s="13"/>
      <c r="SRW19" s="13"/>
      <c r="SRX19" s="13"/>
      <c r="SRY19" s="13"/>
      <c r="SRZ19" s="13"/>
      <c r="SSA19" s="13"/>
      <c r="SSB19" s="13"/>
      <c r="SSC19" s="13"/>
      <c r="SSD19" s="13"/>
      <c r="SSE19" s="13"/>
      <c r="SSF19" s="13"/>
      <c r="SSG19" s="13"/>
      <c r="SSH19" s="13"/>
      <c r="SSI19" s="13"/>
      <c r="SSJ19" s="13"/>
      <c r="SSK19" s="13"/>
      <c r="SSL19" s="13"/>
      <c r="SSM19" s="13"/>
      <c r="SSN19" s="13"/>
      <c r="SSO19" s="13"/>
      <c r="SSP19" s="13"/>
      <c r="SSQ19" s="13"/>
      <c r="SSR19" s="13"/>
      <c r="SSS19" s="13"/>
      <c r="SST19" s="13"/>
      <c r="SSU19" s="13"/>
      <c r="SSV19" s="13"/>
      <c r="SSW19" s="13"/>
      <c r="SSX19" s="13"/>
      <c r="SSY19" s="13"/>
      <c r="SSZ19" s="13"/>
      <c r="STA19" s="13"/>
      <c r="STB19" s="13"/>
      <c r="STC19" s="13"/>
      <c r="STD19" s="13"/>
      <c r="STE19" s="13"/>
      <c r="STF19" s="13"/>
      <c r="STG19" s="13"/>
      <c r="STH19" s="13"/>
      <c r="STI19" s="13"/>
      <c r="STJ19" s="13"/>
      <c r="STK19" s="13"/>
      <c r="STL19" s="13"/>
      <c r="STM19" s="13"/>
      <c r="STN19" s="13"/>
      <c r="STO19" s="13"/>
      <c r="STP19" s="13"/>
      <c r="STQ19" s="13"/>
      <c r="STR19" s="13"/>
      <c r="STS19" s="13"/>
      <c r="STT19" s="13"/>
      <c r="STU19" s="13"/>
      <c r="STV19" s="13"/>
      <c r="STW19" s="13"/>
      <c r="STX19" s="13"/>
      <c r="STY19" s="13"/>
      <c r="STZ19" s="13"/>
      <c r="SUA19" s="13"/>
      <c r="SUB19" s="13"/>
      <c r="SUC19" s="13"/>
      <c r="SUD19" s="13"/>
      <c r="SUE19" s="13"/>
      <c r="SUF19" s="13"/>
      <c r="SUG19" s="13"/>
      <c r="SUH19" s="13"/>
      <c r="SUI19" s="13"/>
      <c r="SUJ19" s="13"/>
      <c r="SUK19" s="13"/>
      <c r="SUL19" s="13"/>
      <c r="SUM19" s="13"/>
      <c r="SUN19" s="13"/>
      <c r="SUO19" s="13"/>
      <c r="SUP19" s="13"/>
      <c r="SUQ19" s="13"/>
      <c r="SUR19" s="13"/>
      <c r="SUS19" s="13"/>
      <c r="SUT19" s="13"/>
      <c r="SUU19" s="13"/>
      <c r="SUV19" s="13"/>
      <c r="SUW19" s="13"/>
      <c r="SUX19" s="13"/>
      <c r="SUY19" s="13"/>
      <c r="SUZ19" s="13"/>
      <c r="SVA19" s="13"/>
      <c r="SVB19" s="13"/>
      <c r="SVC19" s="13"/>
      <c r="SVD19" s="13"/>
      <c r="SVE19" s="13"/>
      <c r="SVF19" s="13"/>
      <c r="SVG19" s="13"/>
      <c r="SVH19" s="13"/>
      <c r="SVI19" s="13"/>
      <c r="SVJ19" s="13"/>
      <c r="SVK19" s="13"/>
      <c r="SVL19" s="13"/>
      <c r="SVM19" s="13"/>
      <c r="SVN19" s="13"/>
      <c r="SVO19" s="13"/>
      <c r="SVP19" s="13"/>
      <c r="SVQ19" s="13"/>
      <c r="SVR19" s="13"/>
      <c r="SVS19" s="13"/>
      <c r="SVT19" s="13"/>
      <c r="SVU19" s="13"/>
      <c r="SVV19" s="13"/>
      <c r="SVW19" s="13"/>
      <c r="SVX19" s="13"/>
      <c r="SVY19" s="13"/>
      <c r="SVZ19" s="13"/>
      <c r="SWA19" s="13"/>
      <c r="SWB19" s="13"/>
      <c r="SWC19" s="13"/>
      <c r="SWD19" s="13"/>
      <c r="SWE19" s="13"/>
      <c r="SWF19" s="13"/>
      <c r="SWG19" s="13"/>
      <c r="SWH19" s="13"/>
      <c r="SWI19" s="13"/>
      <c r="SWJ19" s="13"/>
      <c r="SWK19" s="13"/>
      <c r="SWL19" s="13"/>
      <c r="SWM19" s="13"/>
      <c r="SWN19" s="13"/>
      <c r="SWO19" s="13"/>
      <c r="SWP19" s="13"/>
      <c r="SWQ19" s="13"/>
      <c r="SWR19" s="13"/>
      <c r="SWS19" s="13"/>
      <c r="SWT19" s="13"/>
      <c r="SWU19" s="13"/>
      <c r="SWV19" s="13"/>
      <c r="SWW19" s="13"/>
      <c r="SWX19" s="13"/>
      <c r="SWY19" s="13"/>
      <c r="SWZ19" s="13"/>
      <c r="SXA19" s="13"/>
      <c r="SXB19" s="13"/>
      <c r="SXC19" s="13"/>
      <c r="SXD19" s="13"/>
      <c r="SXE19" s="13"/>
      <c r="SXF19" s="13"/>
      <c r="SXG19" s="13"/>
      <c r="SXH19" s="13"/>
      <c r="SXI19" s="13"/>
      <c r="SXJ19" s="13"/>
      <c r="SXK19" s="13"/>
      <c r="SXL19" s="13"/>
      <c r="SXM19" s="13"/>
      <c r="SXN19" s="13"/>
      <c r="SXO19" s="13"/>
      <c r="SXP19" s="13"/>
      <c r="SXQ19" s="13"/>
      <c r="SXR19" s="13"/>
      <c r="SXS19" s="13"/>
      <c r="SXT19" s="13"/>
      <c r="SXU19" s="13"/>
      <c r="SXV19" s="13"/>
      <c r="SXW19" s="13"/>
      <c r="SXX19" s="13"/>
      <c r="SXY19" s="13"/>
      <c r="SXZ19" s="13"/>
      <c r="SYA19" s="13"/>
      <c r="SYB19" s="13"/>
      <c r="SYC19" s="13"/>
      <c r="SYD19" s="13"/>
      <c r="SYE19" s="13"/>
      <c r="SYF19" s="13"/>
      <c r="SYG19" s="13"/>
      <c r="SYH19" s="13"/>
      <c r="SYI19" s="13"/>
      <c r="SYJ19" s="13"/>
      <c r="SYK19" s="13"/>
      <c r="SYL19" s="13"/>
      <c r="SYM19" s="13"/>
      <c r="SYN19" s="13"/>
      <c r="SYO19" s="13"/>
      <c r="SYP19" s="13"/>
      <c r="SYQ19" s="13"/>
      <c r="SYR19" s="13"/>
      <c r="SYS19" s="13"/>
      <c r="SYT19" s="13"/>
      <c r="SYU19" s="13"/>
      <c r="SYV19" s="13"/>
      <c r="SYW19" s="13"/>
      <c r="SYX19" s="13"/>
      <c r="SYY19" s="13"/>
      <c r="SYZ19" s="13"/>
      <c r="SZA19" s="13"/>
      <c r="SZB19" s="13"/>
      <c r="SZC19" s="13"/>
      <c r="SZD19" s="13"/>
      <c r="SZE19" s="13"/>
      <c r="SZF19" s="13"/>
      <c r="SZG19" s="13"/>
      <c r="SZH19" s="13"/>
      <c r="SZI19" s="13"/>
      <c r="SZJ19" s="13"/>
      <c r="SZK19" s="13"/>
      <c r="SZL19" s="13"/>
      <c r="SZM19" s="13"/>
      <c r="SZN19" s="13"/>
      <c r="SZO19" s="13"/>
      <c r="SZP19" s="13"/>
      <c r="SZQ19" s="13"/>
      <c r="SZR19" s="13"/>
      <c r="SZS19" s="13"/>
      <c r="SZT19" s="13"/>
      <c r="SZU19" s="13"/>
      <c r="SZV19" s="13"/>
      <c r="SZW19" s="13"/>
      <c r="SZX19" s="13"/>
      <c r="SZY19" s="13"/>
      <c r="SZZ19" s="13"/>
      <c r="TAA19" s="13"/>
      <c r="TAB19" s="13"/>
      <c r="TAC19" s="13"/>
      <c r="TAD19" s="13"/>
      <c r="TAE19" s="13"/>
      <c r="TAF19" s="13"/>
      <c r="TAG19" s="13"/>
      <c r="TAH19" s="13"/>
      <c r="TAI19" s="13"/>
      <c r="TAJ19" s="13"/>
      <c r="TAK19" s="13"/>
      <c r="TAL19" s="13"/>
      <c r="TAM19" s="13"/>
      <c r="TAN19" s="13"/>
      <c r="TAO19" s="13"/>
      <c r="TAP19" s="13"/>
      <c r="TAQ19" s="13"/>
      <c r="TAR19" s="13"/>
      <c r="TAS19" s="13"/>
      <c r="TAT19" s="13"/>
      <c r="TAU19" s="13"/>
      <c r="TAV19" s="13"/>
      <c r="TAW19" s="13"/>
      <c r="TAX19" s="13"/>
      <c r="TAY19" s="13"/>
      <c r="TAZ19" s="13"/>
      <c r="TBA19" s="13"/>
      <c r="TBB19" s="13"/>
      <c r="TBC19" s="13"/>
      <c r="TBD19" s="13"/>
      <c r="TBE19" s="13"/>
      <c r="TBF19" s="13"/>
      <c r="TBG19" s="13"/>
      <c r="TBH19" s="13"/>
      <c r="TBI19" s="13"/>
      <c r="TBJ19" s="13"/>
      <c r="TBK19" s="13"/>
      <c r="TBL19" s="13"/>
      <c r="TBM19" s="13"/>
      <c r="TBN19" s="13"/>
      <c r="TBO19" s="13"/>
      <c r="TBP19" s="13"/>
      <c r="TBQ19" s="13"/>
      <c r="TBR19" s="13"/>
      <c r="TBS19" s="13"/>
      <c r="TBT19" s="13"/>
      <c r="TBU19" s="13"/>
      <c r="TBV19" s="13"/>
      <c r="TBW19" s="13"/>
      <c r="TBX19" s="13"/>
      <c r="TBY19" s="13"/>
      <c r="TBZ19" s="13"/>
      <c r="TCA19" s="13"/>
      <c r="TCB19" s="13"/>
      <c r="TCC19" s="13"/>
      <c r="TCD19" s="13"/>
      <c r="TCE19" s="13"/>
      <c r="TCF19" s="13"/>
      <c r="TCG19" s="13"/>
      <c r="TCH19" s="13"/>
      <c r="TCI19" s="13"/>
      <c r="TCJ19" s="13"/>
      <c r="TCK19" s="13"/>
      <c r="TCL19" s="13"/>
      <c r="TCM19" s="13"/>
      <c r="TCN19" s="13"/>
      <c r="TCO19" s="13"/>
      <c r="TCP19" s="13"/>
      <c r="TCQ19" s="13"/>
      <c r="TCR19" s="13"/>
      <c r="TCS19" s="13"/>
      <c r="TCT19" s="13"/>
      <c r="TCU19" s="13"/>
      <c r="TCV19" s="13"/>
      <c r="TCW19" s="13"/>
      <c r="TCX19" s="13"/>
      <c r="TCY19" s="13"/>
      <c r="TCZ19" s="13"/>
      <c r="TDA19" s="13"/>
      <c r="TDB19" s="13"/>
      <c r="TDC19" s="13"/>
      <c r="TDD19" s="13"/>
      <c r="TDE19" s="13"/>
      <c r="TDF19" s="13"/>
      <c r="TDG19" s="13"/>
      <c r="TDH19" s="13"/>
      <c r="TDI19" s="13"/>
      <c r="TDJ19" s="13"/>
      <c r="TDK19" s="13"/>
      <c r="TDL19" s="13"/>
      <c r="TDM19" s="13"/>
      <c r="TDN19" s="13"/>
      <c r="TDO19" s="13"/>
      <c r="TDP19" s="13"/>
      <c r="TDQ19" s="13"/>
      <c r="TDR19" s="13"/>
      <c r="TDS19" s="13"/>
      <c r="TDT19" s="13"/>
      <c r="TDU19" s="13"/>
      <c r="TDV19" s="13"/>
      <c r="TDW19" s="13"/>
      <c r="TDX19" s="13"/>
      <c r="TDY19" s="13"/>
      <c r="TDZ19" s="13"/>
      <c r="TEA19" s="13"/>
      <c r="TEB19" s="13"/>
      <c r="TEC19" s="13"/>
      <c r="TED19" s="13"/>
      <c r="TEE19" s="13"/>
      <c r="TEF19" s="13"/>
      <c r="TEG19" s="13"/>
      <c r="TEH19" s="13"/>
      <c r="TEI19" s="13"/>
      <c r="TEJ19" s="13"/>
      <c r="TEK19" s="13"/>
      <c r="TEL19" s="13"/>
      <c r="TEM19" s="13"/>
      <c r="TEN19" s="13"/>
      <c r="TEO19" s="13"/>
      <c r="TEP19" s="13"/>
      <c r="TEQ19" s="13"/>
      <c r="TER19" s="13"/>
      <c r="TES19" s="13"/>
      <c r="TET19" s="13"/>
      <c r="TEU19" s="13"/>
      <c r="TEV19" s="13"/>
      <c r="TEW19" s="13"/>
      <c r="TEX19" s="13"/>
      <c r="TEY19" s="13"/>
      <c r="TEZ19" s="13"/>
      <c r="TFA19" s="13"/>
      <c r="TFB19" s="13"/>
      <c r="TFC19" s="13"/>
      <c r="TFD19" s="13"/>
      <c r="TFE19" s="13"/>
      <c r="TFF19" s="13"/>
      <c r="TFG19" s="13"/>
      <c r="TFH19" s="13"/>
      <c r="TFI19" s="13"/>
      <c r="TFJ19" s="13"/>
      <c r="TFK19" s="13"/>
      <c r="TFL19" s="13"/>
      <c r="TFM19" s="13"/>
      <c r="TFN19" s="13"/>
      <c r="TFO19" s="13"/>
      <c r="TFP19" s="13"/>
      <c r="TFQ19" s="13"/>
      <c r="TFR19" s="13"/>
      <c r="TFS19" s="13"/>
      <c r="TFT19" s="13"/>
      <c r="TFU19" s="13"/>
      <c r="TFV19" s="13"/>
      <c r="TFW19" s="13"/>
      <c r="TFX19" s="13"/>
      <c r="TFY19" s="13"/>
      <c r="TFZ19" s="13"/>
      <c r="TGA19" s="13"/>
      <c r="TGB19" s="13"/>
      <c r="TGC19" s="13"/>
      <c r="TGD19" s="13"/>
      <c r="TGE19" s="13"/>
      <c r="TGF19" s="13"/>
      <c r="TGG19" s="13"/>
      <c r="TGH19" s="13"/>
      <c r="TGI19" s="13"/>
      <c r="TGJ19" s="13"/>
      <c r="TGK19" s="13"/>
      <c r="TGL19" s="13"/>
      <c r="TGM19" s="13"/>
      <c r="TGN19" s="13"/>
      <c r="TGO19" s="13"/>
      <c r="TGP19" s="13"/>
      <c r="TGQ19" s="13"/>
      <c r="TGR19" s="13"/>
      <c r="TGS19" s="13"/>
      <c r="TGT19" s="13"/>
      <c r="TGU19" s="13"/>
      <c r="TGV19" s="13"/>
      <c r="TGW19" s="13"/>
      <c r="TGX19" s="13"/>
      <c r="TGY19" s="13"/>
      <c r="TGZ19" s="13"/>
      <c r="THA19" s="13"/>
      <c r="THB19" s="13"/>
      <c r="THC19" s="13"/>
      <c r="THD19" s="13"/>
      <c r="THE19" s="13"/>
      <c r="THF19" s="13"/>
      <c r="THG19" s="13"/>
      <c r="THH19" s="13"/>
      <c r="THI19" s="13"/>
      <c r="THJ19" s="13"/>
      <c r="THK19" s="13"/>
      <c r="THL19" s="13"/>
      <c r="THM19" s="13"/>
      <c r="THN19" s="13"/>
      <c r="THO19" s="13"/>
      <c r="THP19" s="13"/>
      <c r="THQ19" s="13"/>
      <c r="THR19" s="13"/>
      <c r="THS19" s="13"/>
      <c r="THT19" s="13"/>
      <c r="THU19" s="13"/>
      <c r="THV19" s="13"/>
      <c r="THW19" s="13"/>
      <c r="THX19" s="13"/>
      <c r="THY19" s="13"/>
      <c r="THZ19" s="13"/>
      <c r="TIA19" s="13"/>
      <c r="TIB19" s="13"/>
      <c r="TIC19" s="13"/>
      <c r="TID19" s="13"/>
      <c r="TIE19" s="13"/>
      <c r="TIF19" s="13"/>
      <c r="TIG19" s="13"/>
      <c r="TIH19" s="13"/>
      <c r="TII19" s="13"/>
      <c r="TIJ19" s="13"/>
      <c r="TIK19" s="13"/>
      <c r="TIL19" s="13"/>
      <c r="TIM19" s="13"/>
      <c r="TIN19" s="13"/>
      <c r="TIO19" s="13"/>
      <c r="TIP19" s="13"/>
      <c r="TIQ19" s="13"/>
      <c r="TIR19" s="13"/>
      <c r="TIS19" s="13"/>
      <c r="TIT19" s="13"/>
      <c r="TIU19" s="13"/>
      <c r="TIV19" s="13"/>
      <c r="TIW19" s="13"/>
      <c r="TIX19" s="13"/>
      <c r="TIY19" s="13"/>
      <c r="TIZ19" s="13"/>
      <c r="TJA19" s="13"/>
      <c r="TJB19" s="13"/>
      <c r="TJC19" s="13"/>
      <c r="TJD19" s="13"/>
      <c r="TJE19" s="13"/>
      <c r="TJF19" s="13"/>
      <c r="TJG19" s="13"/>
      <c r="TJH19" s="13"/>
      <c r="TJI19" s="13"/>
      <c r="TJJ19" s="13"/>
      <c r="TJK19" s="13"/>
      <c r="TJL19" s="13"/>
      <c r="TJM19" s="13"/>
      <c r="TJN19" s="13"/>
      <c r="TJO19" s="13"/>
      <c r="TJP19" s="13"/>
      <c r="TJQ19" s="13"/>
      <c r="TJR19" s="13"/>
      <c r="TJS19" s="13"/>
      <c r="TJT19" s="13"/>
      <c r="TJU19" s="13"/>
      <c r="TJV19" s="13"/>
      <c r="TJW19" s="13"/>
      <c r="TJX19" s="13"/>
      <c r="TJY19" s="13"/>
      <c r="TJZ19" s="13"/>
      <c r="TKA19" s="13"/>
      <c r="TKB19" s="13"/>
      <c r="TKC19" s="13"/>
      <c r="TKD19" s="13"/>
      <c r="TKE19" s="13"/>
      <c r="TKF19" s="13"/>
      <c r="TKG19" s="13"/>
      <c r="TKH19" s="13"/>
      <c r="TKI19" s="13"/>
      <c r="TKJ19" s="13"/>
      <c r="TKK19" s="13"/>
      <c r="TKL19" s="13"/>
      <c r="TKM19" s="13"/>
      <c r="TKN19" s="13"/>
      <c r="TKO19" s="13"/>
      <c r="TKP19" s="13"/>
      <c r="TKQ19" s="13"/>
      <c r="TKR19" s="13"/>
      <c r="TKS19" s="13"/>
      <c r="TKT19" s="13"/>
      <c r="TKU19" s="13"/>
      <c r="TKV19" s="13"/>
      <c r="TKW19" s="13"/>
      <c r="TKX19" s="13"/>
      <c r="TKY19" s="13"/>
      <c r="TKZ19" s="13"/>
      <c r="TLA19" s="13"/>
      <c r="TLB19" s="13"/>
      <c r="TLC19" s="13"/>
      <c r="TLD19" s="13"/>
      <c r="TLE19" s="13"/>
      <c r="TLF19" s="13"/>
      <c r="TLG19" s="13"/>
      <c r="TLH19" s="13"/>
      <c r="TLI19" s="13"/>
      <c r="TLJ19" s="13"/>
      <c r="TLK19" s="13"/>
      <c r="TLL19" s="13"/>
      <c r="TLM19" s="13"/>
      <c r="TLN19" s="13"/>
      <c r="TLO19" s="13"/>
      <c r="TLP19" s="13"/>
      <c r="TLQ19" s="13"/>
      <c r="TLR19" s="13"/>
      <c r="TLS19" s="13"/>
      <c r="TLT19" s="13"/>
      <c r="TLU19" s="13"/>
      <c r="TLV19" s="13"/>
      <c r="TLW19" s="13"/>
      <c r="TLX19" s="13"/>
      <c r="TLY19" s="13"/>
      <c r="TLZ19" s="13"/>
      <c r="TMA19" s="13"/>
      <c r="TMB19" s="13"/>
      <c r="TMC19" s="13"/>
      <c r="TMD19" s="13"/>
      <c r="TME19" s="13"/>
      <c r="TMF19" s="13"/>
      <c r="TMG19" s="13"/>
      <c r="TMH19" s="13"/>
      <c r="TMI19" s="13"/>
      <c r="TMJ19" s="13"/>
      <c r="TMK19" s="13"/>
      <c r="TML19" s="13"/>
      <c r="TMM19" s="13"/>
      <c r="TMN19" s="13"/>
      <c r="TMO19" s="13"/>
      <c r="TMP19" s="13"/>
      <c r="TMQ19" s="13"/>
      <c r="TMR19" s="13"/>
      <c r="TMS19" s="13"/>
      <c r="TMT19" s="13"/>
      <c r="TMU19" s="13"/>
      <c r="TMV19" s="13"/>
      <c r="TMW19" s="13"/>
      <c r="TMX19" s="13"/>
      <c r="TMY19" s="13"/>
      <c r="TMZ19" s="13"/>
      <c r="TNA19" s="13"/>
      <c r="TNB19" s="13"/>
      <c r="TNC19" s="13"/>
      <c r="TND19" s="13"/>
      <c r="TNE19" s="13"/>
      <c r="TNF19" s="13"/>
      <c r="TNG19" s="13"/>
      <c r="TNH19" s="13"/>
      <c r="TNI19" s="13"/>
      <c r="TNJ19" s="13"/>
      <c r="TNK19" s="13"/>
      <c r="TNL19" s="13"/>
      <c r="TNM19" s="13"/>
      <c r="TNN19" s="13"/>
      <c r="TNO19" s="13"/>
      <c r="TNP19" s="13"/>
      <c r="TNQ19" s="13"/>
      <c r="TNR19" s="13"/>
      <c r="TNS19" s="13"/>
      <c r="TNT19" s="13"/>
      <c r="TNU19" s="13"/>
      <c r="TNV19" s="13"/>
      <c r="TNW19" s="13"/>
      <c r="TNX19" s="13"/>
      <c r="TNY19" s="13"/>
      <c r="TNZ19" s="13"/>
      <c r="TOA19" s="13"/>
      <c r="TOB19" s="13"/>
      <c r="TOC19" s="13"/>
      <c r="TOD19" s="13"/>
      <c r="TOE19" s="13"/>
      <c r="TOF19" s="13"/>
      <c r="TOG19" s="13"/>
      <c r="TOH19" s="13"/>
      <c r="TOI19" s="13"/>
      <c r="TOJ19" s="13"/>
      <c r="TOK19" s="13"/>
      <c r="TOL19" s="13"/>
      <c r="TOM19" s="13"/>
      <c r="TON19" s="13"/>
      <c r="TOO19" s="13"/>
      <c r="TOP19" s="13"/>
      <c r="TOQ19" s="13"/>
      <c r="TOR19" s="13"/>
      <c r="TOS19" s="13"/>
      <c r="TOT19" s="13"/>
      <c r="TOU19" s="13"/>
      <c r="TOV19" s="13"/>
      <c r="TOW19" s="13"/>
      <c r="TOX19" s="13"/>
      <c r="TOY19" s="13"/>
      <c r="TOZ19" s="13"/>
      <c r="TPA19" s="13"/>
      <c r="TPB19" s="13"/>
      <c r="TPC19" s="13"/>
      <c r="TPD19" s="13"/>
      <c r="TPE19" s="13"/>
      <c r="TPF19" s="13"/>
      <c r="TPG19" s="13"/>
      <c r="TPH19" s="13"/>
      <c r="TPI19" s="13"/>
      <c r="TPJ19" s="13"/>
      <c r="TPK19" s="13"/>
      <c r="TPL19" s="13"/>
      <c r="TPM19" s="13"/>
      <c r="TPN19" s="13"/>
      <c r="TPO19" s="13"/>
      <c r="TPP19" s="13"/>
      <c r="TPQ19" s="13"/>
      <c r="TPR19" s="13"/>
      <c r="TPS19" s="13"/>
      <c r="TPT19" s="13"/>
      <c r="TPU19" s="13"/>
      <c r="TPV19" s="13"/>
      <c r="TPW19" s="13"/>
      <c r="TPX19" s="13"/>
      <c r="TPY19" s="13"/>
      <c r="TPZ19" s="13"/>
      <c r="TQA19" s="13"/>
      <c r="TQB19" s="13"/>
      <c r="TQC19" s="13"/>
      <c r="TQD19" s="13"/>
      <c r="TQE19" s="13"/>
      <c r="TQF19" s="13"/>
      <c r="TQG19" s="13"/>
      <c r="TQH19" s="13"/>
      <c r="TQI19" s="13"/>
      <c r="TQJ19" s="13"/>
      <c r="TQK19" s="13"/>
      <c r="TQL19" s="13"/>
      <c r="TQM19" s="13"/>
      <c r="TQN19" s="13"/>
      <c r="TQO19" s="13"/>
      <c r="TQP19" s="13"/>
      <c r="TQQ19" s="13"/>
      <c r="TQR19" s="13"/>
      <c r="TQS19" s="13"/>
      <c r="TQT19" s="13"/>
      <c r="TQU19" s="13"/>
      <c r="TQV19" s="13"/>
      <c r="TQW19" s="13"/>
      <c r="TQX19" s="13"/>
      <c r="TQY19" s="13"/>
      <c r="TQZ19" s="13"/>
      <c r="TRA19" s="13"/>
      <c r="TRB19" s="13"/>
      <c r="TRC19" s="13"/>
      <c r="TRD19" s="13"/>
      <c r="TRE19" s="13"/>
      <c r="TRF19" s="13"/>
      <c r="TRG19" s="13"/>
      <c r="TRH19" s="13"/>
      <c r="TRI19" s="13"/>
      <c r="TRJ19" s="13"/>
      <c r="TRK19" s="13"/>
      <c r="TRL19" s="13"/>
      <c r="TRM19" s="13"/>
      <c r="TRN19" s="13"/>
      <c r="TRO19" s="13"/>
      <c r="TRP19" s="13"/>
      <c r="TRQ19" s="13"/>
      <c r="TRR19" s="13"/>
      <c r="TRS19" s="13"/>
      <c r="TRT19" s="13"/>
      <c r="TRU19" s="13"/>
      <c r="TRV19" s="13"/>
      <c r="TRW19" s="13"/>
      <c r="TRX19" s="13"/>
      <c r="TRY19" s="13"/>
      <c r="TRZ19" s="13"/>
      <c r="TSA19" s="13"/>
      <c r="TSB19" s="13"/>
      <c r="TSC19" s="13"/>
      <c r="TSD19" s="13"/>
      <c r="TSE19" s="13"/>
      <c r="TSF19" s="13"/>
      <c r="TSG19" s="13"/>
      <c r="TSH19" s="13"/>
      <c r="TSI19" s="13"/>
      <c r="TSJ19" s="13"/>
      <c r="TSK19" s="13"/>
      <c r="TSL19" s="13"/>
      <c r="TSM19" s="13"/>
      <c r="TSN19" s="13"/>
      <c r="TSO19" s="13"/>
      <c r="TSP19" s="13"/>
      <c r="TSQ19" s="13"/>
      <c r="TSR19" s="13"/>
      <c r="TSS19" s="13"/>
      <c r="TST19" s="13"/>
      <c r="TSU19" s="13"/>
      <c r="TSV19" s="13"/>
      <c r="TSW19" s="13"/>
      <c r="TSX19" s="13"/>
      <c r="TSY19" s="13"/>
      <c r="TSZ19" s="13"/>
      <c r="TTA19" s="13"/>
      <c r="TTB19" s="13"/>
      <c r="TTC19" s="13"/>
      <c r="TTD19" s="13"/>
      <c r="TTE19" s="13"/>
      <c r="TTF19" s="13"/>
      <c r="TTG19" s="13"/>
      <c r="TTH19" s="13"/>
      <c r="TTI19" s="13"/>
      <c r="TTJ19" s="13"/>
      <c r="TTK19" s="13"/>
      <c r="TTL19" s="13"/>
      <c r="TTM19" s="13"/>
      <c r="TTN19" s="13"/>
      <c r="TTO19" s="13"/>
      <c r="TTP19" s="13"/>
      <c r="TTQ19" s="13"/>
      <c r="TTR19" s="13"/>
      <c r="TTS19" s="13"/>
      <c r="TTT19" s="13"/>
      <c r="TTU19" s="13"/>
      <c r="TTV19" s="13"/>
      <c r="TTW19" s="13"/>
      <c r="TTX19" s="13"/>
      <c r="TTY19" s="13"/>
      <c r="TTZ19" s="13"/>
      <c r="TUA19" s="13"/>
      <c r="TUB19" s="13"/>
      <c r="TUC19" s="13"/>
      <c r="TUD19" s="13"/>
      <c r="TUE19" s="13"/>
      <c r="TUF19" s="13"/>
      <c r="TUG19" s="13"/>
      <c r="TUH19" s="13"/>
      <c r="TUI19" s="13"/>
      <c r="TUJ19" s="13"/>
      <c r="TUK19" s="13"/>
      <c r="TUL19" s="13"/>
      <c r="TUM19" s="13"/>
      <c r="TUN19" s="13"/>
      <c r="TUO19" s="13"/>
      <c r="TUP19" s="13"/>
      <c r="TUQ19" s="13"/>
      <c r="TUR19" s="13"/>
      <c r="TUS19" s="13"/>
      <c r="TUT19" s="13"/>
      <c r="TUU19" s="13"/>
      <c r="TUV19" s="13"/>
      <c r="TUW19" s="13"/>
      <c r="TUX19" s="13"/>
      <c r="TUY19" s="13"/>
      <c r="TUZ19" s="13"/>
      <c r="TVA19" s="13"/>
      <c r="TVB19" s="13"/>
      <c r="TVC19" s="13"/>
      <c r="TVD19" s="13"/>
      <c r="TVE19" s="13"/>
      <c r="TVF19" s="13"/>
      <c r="TVG19" s="13"/>
      <c r="TVH19" s="13"/>
      <c r="TVI19" s="13"/>
      <c r="TVJ19" s="13"/>
      <c r="TVK19" s="13"/>
      <c r="TVL19" s="13"/>
      <c r="TVM19" s="13"/>
      <c r="TVN19" s="13"/>
      <c r="TVO19" s="13"/>
      <c r="TVP19" s="13"/>
      <c r="TVQ19" s="13"/>
      <c r="TVR19" s="13"/>
      <c r="TVS19" s="13"/>
      <c r="TVT19" s="13"/>
      <c r="TVU19" s="13"/>
      <c r="TVV19" s="13"/>
      <c r="TVW19" s="13"/>
      <c r="TVX19" s="13"/>
      <c r="TVY19" s="13"/>
      <c r="TVZ19" s="13"/>
      <c r="TWA19" s="13"/>
      <c r="TWB19" s="13"/>
      <c r="TWC19" s="13"/>
      <c r="TWD19" s="13"/>
      <c r="TWE19" s="13"/>
      <c r="TWF19" s="13"/>
      <c r="TWG19" s="13"/>
      <c r="TWH19" s="13"/>
      <c r="TWI19" s="13"/>
      <c r="TWJ19" s="13"/>
      <c r="TWK19" s="13"/>
      <c r="TWL19" s="13"/>
      <c r="TWM19" s="13"/>
      <c r="TWN19" s="13"/>
      <c r="TWO19" s="13"/>
      <c r="TWP19" s="13"/>
      <c r="TWQ19" s="13"/>
      <c r="TWR19" s="13"/>
      <c r="TWS19" s="13"/>
      <c r="TWT19" s="13"/>
      <c r="TWU19" s="13"/>
      <c r="TWV19" s="13"/>
      <c r="TWW19" s="13"/>
      <c r="TWX19" s="13"/>
      <c r="TWY19" s="13"/>
      <c r="TWZ19" s="13"/>
      <c r="TXA19" s="13"/>
      <c r="TXB19" s="13"/>
      <c r="TXC19" s="13"/>
      <c r="TXD19" s="13"/>
      <c r="TXE19" s="13"/>
      <c r="TXF19" s="13"/>
      <c r="TXG19" s="13"/>
      <c r="TXH19" s="13"/>
      <c r="TXI19" s="13"/>
      <c r="TXJ19" s="13"/>
      <c r="TXK19" s="13"/>
      <c r="TXL19" s="13"/>
      <c r="TXM19" s="13"/>
      <c r="TXN19" s="13"/>
      <c r="TXO19" s="13"/>
      <c r="TXP19" s="13"/>
      <c r="TXQ19" s="13"/>
      <c r="TXR19" s="13"/>
      <c r="TXS19" s="13"/>
      <c r="TXT19" s="13"/>
      <c r="TXU19" s="13"/>
      <c r="TXV19" s="13"/>
      <c r="TXW19" s="13"/>
      <c r="TXX19" s="13"/>
      <c r="TXY19" s="13"/>
      <c r="TXZ19" s="13"/>
      <c r="TYA19" s="13"/>
      <c r="TYB19" s="13"/>
      <c r="TYC19" s="13"/>
      <c r="TYD19" s="13"/>
      <c r="TYE19" s="13"/>
      <c r="TYF19" s="13"/>
      <c r="TYG19" s="13"/>
      <c r="TYH19" s="13"/>
      <c r="TYI19" s="13"/>
      <c r="TYJ19" s="13"/>
      <c r="TYK19" s="13"/>
      <c r="TYL19" s="13"/>
      <c r="TYM19" s="13"/>
      <c r="TYN19" s="13"/>
      <c r="TYO19" s="13"/>
      <c r="TYP19" s="13"/>
      <c r="TYQ19" s="13"/>
      <c r="TYR19" s="13"/>
      <c r="TYS19" s="13"/>
      <c r="TYT19" s="13"/>
      <c r="TYU19" s="13"/>
      <c r="TYV19" s="13"/>
      <c r="TYW19" s="13"/>
      <c r="TYX19" s="13"/>
      <c r="TYY19" s="13"/>
      <c r="TYZ19" s="13"/>
      <c r="TZA19" s="13"/>
      <c r="TZB19" s="13"/>
      <c r="TZC19" s="13"/>
      <c r="TZD19" s="13"/>
      <c r="TZE19" s="13"/>
      <c r="TZF19" s="13"/>
      <c r="TZG19" s="13"/>
      <c r="TZH19" s="13"/>
      <c r="TZI19" s="13"/>
      <c r="TZJ19" s="13"/>
      <c r="TZK19" s="13"/>
      <c r="TZL19" s="13"/>
      <c r="TZM19" s="13"/>
      <c r="TZN19" s="13"/>
      <c r="TZO19" s="13"/>
      <c r="TZP19" s="13"/>
      <c r="TZQ19" s="13"/>
      <c r="TZR19" s="13"/>
      <c r="TZS19" s="13"/>
      <c r="TZT19" s="13"/>
      <c r="TZU19" s="13"/>
      <c r="TZV19" s="13"/>
      <c r="TZW19" s="13"/>
      <c r="TZX19" s="13"/>
      <c r="TZY19" s="13"/>
      <c r="TZZ19" s="13"/>
      <c r="UAA19" s="13"/>
      <c r="UAB19" s="13"/>
      <c r="UAC19" s="13"/>
      <c r="UAD19" s="13"/>
      <c r="UAE19" s="13"/>
      <c r="UAF19" s="13"/>
      <c r="UAG19" s="13"/>
      <c r="UAH19" s="13"/>
      <c r="UAI19" s="13"/>
      <c r="UAJ19" s="13"/>
      <c r="UAK19" s="13"/>
      <c r="UAL19" s="13"/>
      <c r="UAM19" s="13"/>
      <c r="UAN19" s="13"/>
      <c r="UAO19" s="13"/>
      <c r="UAP19" s="13"/>
      <c r="UAQ19" s="13"/>
      <c r="UAR19" s="13"/>
      <c r="UAS19" s="13"/>
      <c r="UAT19" s="13"/>
      <c r="UAU19" s="13"/>
      <c r="UAV19" s="13"/>
      <c r="UAW19" s="13"/>
      <c r="UAX19" s="13"/>
      <c r="UAY19" s="13"/>
      <c r="UAZ19" s="13"/>
      <c r="UBA19" s="13"/>
      <c r="UBB19" s="13"/>
      <c r="UBC19" s="13"/>
      <c r="UBD19" s="13"/>
      <c r="UBE19" s="13"/>
      <c r="UBF19" s="13"/>
      <c r="UBG19" s="13"/>
      <c r="UBH19" s="13"/>
      <c r="UBI19" s="13"/>
      <c r="UBJ19" s="13"/>
      <c r="UBK19" s="13"/>
      <c r="UBL19" s="13"/>
      <c r="UBM19" s="13"/>
      <c r="UBN19" s="13"/>
      <c r="UBO19" s="13"/>
      <c r="UBP19" s="13"/>
      <c r="UBQ19" s="13"/>
      <c r="UBR19" s="13"/>
      <c r="UBS19" s="13"/>
      <c r="UBT19" s="13"/>
      <c r="UBU19" s="13"/>
      <c r="UBV19" s="13"/>
      <c r="UBW19" s="13"/>
      <c r="UBX19" s="13"/>
      <c r="UBY19" s="13"/>
      <c r="UBZ19" s="13"/>
      <c r="UCA19" s="13"/>
      <c r="UCB19" s="13"/>
      <c r="UCC19" s="13"/>
      <c r="UCD19" s="13"/>
      <c r="UCE19" s="13"/>
      <c r="UCF19" s="13"/>
      <c r="UCG19" s="13"/>
      <c r="UCH19" s="13"/>
      <c r="UCI19" s="13"/>
      <c r="UCJ19" s="13"/>
      <c r="UCK19" s="13"/>
      <c r="UCL19" s="13"/>
      <c r="UCM19" s="13"/>
      <c r="UCN19" s="13"/>
      <c r="UCO19" s="13"/>
      <c r="UCP19" s="13"/>
      <c r="UCQ19" s="13"/>
      <c r="UCR19" s="13"/>
      <c r="UCS19" s="13"/>
      <c r="UCT19" s="13"/>
      <c r="UCU19" s="13"/>
      <c r="UCV19" s="13"/>
      <c r="UCW19" s="13"/>
      <c r="UCX19" s="13"/>
      <c r="UCY19" s="13"/>
      <c r="UCZ19" s="13"/>
      <c r="UDA19" s="13"/>
      <c r="UDB19" s="13"/>
      <c r="UDC19" s="13"/>
      <c r="UDD19" s="13"/>
      <c r="UDE19" s="13"/>
      <c r="UDF19" s="13"/>
      <c r="UDG19" s="13"/>
      <c r="UDH19" s="13"/>
      <c r="UDI19" s="13"/>
      <c r="UDJ19" s="13"/>
      <c r="UDK19" s="13"/>
      <c r="UDL19" s="13"/>
      <c r="UDM19" s="13"/>
      <c r="UDN19" s="13"/>
      <c r="UDO19" s="13"/>
      <c r="UDP19" s="13"/>
      <c r="UDQ19" s="13"/>
      <c r="UDR19" s="13"/>
      <c r="UDS19" s="13"/>
      <c r="UDT19" s="13"/>
      <c r="UDU19" s="13"/>
      <c r="UDV19" s="13"/>
      <c r="UDW19" s="13"/>
      <c r="UDX19" s="13"/>
      <c r="UDY19" s="13"/>
      <c r="UDZ19" s="13"/>
      <c r="UEA19" s="13"/>
      <c r="UEB19" s="13"/>
      <c r="UEC19" s="13"/>
      <c r="UED19" s="13"/>
      <c r="UEE19" s="13"/>
      <c r="UEF19" s="13"/>
      <c r="UEG19" s="13"/>
      <c r="UEH19" s="13"/>
      <c r="UEI19" s="13"/>
      <c r="UEJ19" s="13"/>
      <c r="UEK19" s="13"/>
      <c r="UEL19" s="13"/>
      <c r="UEM19" s="13"/>
      <c r="UEN19" s="13"/>
      <c r="UEO19" s="13"/>
      <c r="UEP19" s="13"/>
      <c r="UEQ19" s="13"/>
      <c r="UER19" s="13"/>
      <c r="UES19" s="13"/>
      <c r="UET19" s="13"/>
      <c r="UEU19" s="13"/>
      <c r="UEV19" s="13"/>
      <c r="UEW19" s="13"/>
      <c r="UEX19" s="13"/>
      <c r="UEY19" s="13"/>
      <c r="UEZ19" s="13"/>
      <c r="UFA19" s="13"/>
      <c r="UFB19" s="13"/>
      <c r="UFC19" s="13"/>
      <c r="UFD19" s="13"/>
      <c r="UFE19" s="13"/>
      <c r="UFF19" s="13"/>
      <c r="UFG19" s="13"/>
      <c r="UFH19" s="13"/>
      <c r="UFI19" s="13"/>
      <c r="UFJ19" s="13"/>
      <c r="UFK19" s="13"/>
      <c r="UFL19" s="13"/>
      <c r="UFM19" s="13"/>
      <c r="UFN19" s="13"/>
      <c r="UFO19" s="13"/>
      <c r="UFP19" s="13"/>
      <c r="UFQ19" s="13"/>
      <c r="UFR19" s="13"/>
      <c r="UFS19" s="13"/>
      <c r="UFT19" s="13"/>
      <c r="UFU19" s="13"/>
      <c r="UFV19" s="13"/>
      <c r="UFW19" s="13"/>
      <c r="UFX19" s="13"/>
      <c r="UFY19" s="13"/>
      <c r="UFZ19" s="13"/>
      <c r="UGA19" s="13"/>
      <c r="UGB19" s="13"/>
      <c r="UGC19" s="13"/>
      <c r="UGD19" s="13"/>
      <c r="UGE19" s="13"/>
      <c r="UGF19" s="13"/>
      <c r="UGG19" s="13"/>
      <c r="UGH19" s="13"/>
      <c r="UGI19" s="13"/>
      <c r="UGJ19" s="13"/>
      <c r="UGK19" s="13"/>
      <c r="UGL19" s="13"/>
      <c r="UGM19" s="13"/>
      <c r="UGN19" s="13"/>
      <c r="UGO19" s="13"/>
      <c r="UGP19" s="13"/>
      <c r="UGQ19" s="13"/>
      <c r="UGR19" s="13"/>
      <c r="UGS19" s="13"/>
      <c r="UGT19" s="13"/>
      <c r="UGU19" s="13"/>
      <c r="UGV19" s="13"/>
      <c r="UGW19" s="13"/>
      <c r="UGX19" s="13"/>
      <c r="UGY19" s="13"/>
      <c r="UGZ19" s="13"/>
      <c r="UHA19" s="13"/>
      <c r="UHB19" s="13"/>
      <c r="UHC19" s="13"/>
      <c r="UHD19" s="13"/>
      <c r="UHE19" s="13"/>
      <c r="UHF19" s="13"/>
      <c r="UHG19" s="13"/>
      <c r="UHH19" s="13"/>
      <c r="UHI19" s="13"/>
      <c r="UHJ19" s="13"/>
      <c r="UHK19" s="13"/>
      <c r="UHL19" s="13"/>
      <c r="UHM19" s="13"/>
      <c r="UHN19" s="13"/>
      <c r="UHO19" s="13"/>
      <c r="UHP19" s="13"/>
      <c r="UHQ19" s="13"/>
      <c r="UHR19" s="13"/>
      <c r="UHS19" s="13"/>
      <c r="UHT19" s="13"/>
      <c r="UHU19" s="13"/>
      <c r="UHV19" s="13"/>
      <c r="UHW19" s="13"/>
      <c r="UHX19" s="13"/>
      <c r="UHY19" s="13"/>
      <c r="UHZ19" s="13"/>
      <c r="UIA19" s="13"/>
      <c r="UIB19" s="13"/>
      <c r="UIC19" s="13"/>
      <c r="UID19" s="13"/>
      <c r="UIE19" s="13"/>
      <c r="UIF19" s="13"/>
      <c r="UIG19" s="13"/>
      <c r="UIH19" s="13"/>
      <c r="UII19" s="13"/>
      <c r="UIJ19" s="13"/>
      <c r="UIK19" s="13"/>
      <c r="UIL19" s="13"/>
      <c r="UIM19" s="13"/>
      <c r="UIN19" s="13"/>
      <c r="UIO19" s="13"/>
      <c r="UIP19" s="13"/>
      <c r="UIQ19" s="13"/>
      <c r="UIR19" s="13"/>
      <c r="UIS19" s="13"/>
      <c r="UIT19" s="13"/>
      <c r="UIU19" s="13"/>
      <c r="UIV19" s="13"/>
      <c r="UIW19" s="13"/>
      <c r="UIX19" s="13"/>
      <c r="UIY19" s="13"/>
      <c r="UIZ19" s="13"/>
      <c r="UJA19" s="13"/>
      <c r="UJB19" s="13"/>
      <c r="UJC19" s="13"/>
      <c r="UJD19" s="13"/>
      <c r="UJE19" s="13"/>
      <c r="UJF19" s="13"/>
      <c r="UJG19" s="13"/>
      <c r="UJH19" s="13"/>
      <c r="UJI19" s="13"/>
      <c r="UJJ19" s="13"/>
      <c r="UJK19" s="13"/>
      <c r="UJL19" s="13"/>
      <c r="UJM19" s="13"/>
      <c r="UJN19" s="13"/>
      <c r="UJO19" s="13"/>
      <c r="UJP19" s="13"/>
      <c r="UJQ19" s="13"/>
      <c r="UJR19" s="13"/>
      <c r="UJS19" s="13"/>
      <c r="UJT19" s="13"/>
      <c r="UJU19" s="13"/>
      <c r="UJV19" s="13"/>
      <c r="UJW19" s="13"/>
      <c r="UJX19" s="13"/>
      <c r="UJY19" s="13"/>
      <c r="UJZ19" s="13"/>
      <c r="UKA19" s="13"/>
      <c r="UKB19" s="13"/>
      <c r="UKC19" s="13"/>
      <c r="UKD19" s="13"/>
      <c r="UKE19" s="13"/>
      <c r="UKF19" s="13"/>
      <c r="UKG19" s="13"/>
      <c r="UKH19" s="13"/>
      <c r="UKI19" s="13"/>
      <c r="UKJ19" s="13"/>
      <c r="UKK19" s="13"/>
      <c r="UKL19" s="13"/>
      <c r="UKM19" s="13"/>
      <c r="UKN19" s="13"/>
      <c r="UKO19" s="13"/>
      <c r="UKP19" s="13"/>
      <c r="UKQ19" s="13"/>
      <c r="UKR19" s="13"/>
      <c r="UKS19" s="13"/>
      <c r="UKT19" s="13"/>
      <c r="UKU19" s="13"/>
      <c r="UKV19" s="13"/>
      <c r="UKW19" s="13"/>
      <c r="UKX19" s="13"/>
      <c r="UKY19" s="13"/>
      <c r="UKZ19" s="13"/>
      <c r="ULA19" s="13"/>
      <c r="ULB19" s="13"/>
      <c r="ULC19" s="13"/>
      <c r="ULD19" s="13"/>
      <c r="ULE19" s="13"/>
      <c r="ULF19" s="13"/>
      <c r="ULG19" s="13"/>
      <c r="ULH19" s="13"/>
      <c r="ULI19" s="13"/>
      <c r="ULJ19" s="13"/>
      <c r="ULK19" s="13"/>
      <c r="ULL19" s="13"/>
      <c r="ULM19" s="13"/>
      <c r="ULN19" s="13"/>
      <c r="ULO19" s="13"/>
      <c r="ULP19" s="13"/>
      <c r="ULQ19" s="13"/>
      <c r="ULR19" s="13"/>
      <c r="ULS19" s="13"/>
      <c r="ULT19" s="13"/>
      <c r="ULU19" s="13"/>
      <c r="ULV19" s="13"/>
      <c r="ULW19" s="13"/>
      <c r="ULX19" s="13"/>
      <c r="ULY19" s="13"/>
      <c r="ULZ19" s="13"/>
      <c r="UMA19" s="13"/>
      <c r="UMB19" s="13"/>
      <c r="UMC19" s="13"/>
      <c r="UMD19" s="13"/>
      <c r="UME19" s="13"/>
      <c r="UMF19" s="13"/>
      <c r="UMG19" s="13"/>
      <c r="UMH19" s="13"/>
      <c r="UMI19" s="13"/>
      <c r="UMJ19" s="13"/>
      <c r="UMK19" s="13"/>
      <c r="UML19" s="13"/>
      <c r="UMM19" s="13"/>
      <c r="UMN19" s="13"/>
      <c r="UMO19" s="13"/>
      <c r="UMP19" s="13"/>
      <c r="UMQ19" s="13"/>
      <c r="UMR19" s="13"/>
      <c r="UMS19" s="13"/>
      <c r="UMT19" s="13"/>
      <c r="UMU19" s="13"/>
      <c r="UMV19" s="13"/>
      <c r="UMW19" s="13"/>
      <c r="UMX19" s="13"/>
      <c r="UMY19" s="13"/>
      <c r="UMZ19" s="13"/>
      <c r="UNA19" s="13"/>
      <c r="UNB19" s="13"/>
      <c r="UNC19" s="13"/>
      <c r="UND19" s="13"/>
      <c r="UNE19" s="13"/>
      <c r="UNF19" s="13"/>
      <c r="UNG19" s="13"/>
      <c r="UNH19" s="13"/>
      <c r="UNI19" s="13"/>
      <c r="UNJ19" s="13"/>
      <c r="UNK19" s="13"/>
      <c r="UNL19" s="13"/>
      <c r="UNM19" s="13"/>
      <c r="UNN19" s="13"/>
      <c r="UNO19" s="13"/>
      <c r="UNP19" s="13"/>
      <c r="UNQ19" s="13"/>
      <c r="UNR19" s="13"/>
      <c r="UNS19" s="13"/>
      <c r="UNT19" s="13"/>
      <c r="UNU19" s="13"/>
      <c r="UNV19" s="13"/>
      <c r="UNW19" s="13"/>
      <c r="UNX19" s="13"/>
      <c r="UNY19" s="13"/>
      <c r="UNZ19" s="13"/>
      <c r="UOA19" s="13"/>
      <c r="UOB19" s="13"/>
      <c r="UOC19" s="13"/>
      <c r="UOD19" s="13"/>
      <c r="UOE19" s="13"/>
      <c r="UOF19" s="13"/>
      <c r="UOG19" s="13"/>
      <c r="UOH19" s="13"/>
      <c r="UOI19" s="13"/>
      <c r="UOJ19" s="13"/>
      <c r="UOK19" s="13"/>
      <c r="UOL19" s="13"/>
      <c r="UOM19" s="13"/>
      <c r="UON19" s="13"/>
      <c r="UOO19" s="13"/>
      <c r="UOP19" s="13"/>
      <c r="UOQ19" s="13"/>
      <c r="UOR19" s="13"/>
      <c r="UOS19" s="13"/>
      <c r="UOT19" s="13"/>
      <c r="UOU19" s="13"/>
      <c r="UOV19" s="13"/>
      <c r="UOW19" s="13"/>
      <c r="UOX19" s="13"/>
      <c r="UOY19" s="13"/>
      <c r="UOZ19" s="13"/>
      <c r="UPA19" s="13"/>
      <c r="UPB19" s="13"/>
      <c r="UPC19" s="13"/>
      <c r="UPD19" s="13"/>
      <c r="UPE19" s="13"/>
      <c r="UPF19" s="13"/>
      <c r="UPG19" s="13"/>
      <c r="UPH19" s="13"/>
      <c r="UPI19" s="13"/>
      <c r="UPJ19" s="13"/>
      <c r="UPK19" s="13"/>
      <c r="UPL19" s="13"/>
      <c r="UPM19" s="13"/>
      <c r="UPN19" s="13"/>
      <c r="UPO19" s="13"/>
      <c r="UPP19" s="13"/>
      <c r="UPQ19" s="13"/>
      <c r="UPR19" s="13"/>
      <c r="UPS19" s="13"/>
      <c r="UPT19" s="13"/>
      <c r="UPU19" s="13"/>
      <c r="UPV19" s="13"/>
      <c r="UPW19" s="13"/>
      <c r="UPX19" s="13"/>
      <c r="UPY19" s="13"/>
      <c r="UPZ19" s="13"/>
      <c r="UQA19" s="13"/>
      <c r="UQB19" s="13"/>
      <c r="UQC19" s="13"/>
      <c r="UQD19" s="13"/>
      <c r="UQE19" s="13"/>
      <c r="UQF19" s="13"/>
      <c r="UQG19" s="13"/>
      <c r="UQH19" s="13"/>
      <c r="UQI19" s="13"/>
      <c r="UQJ19" s="13"/>
      <c r="UQK19" s="13"/>
      <c r="UQL19" s="13"/>
      <c r="UQM19" s="13"/>
      <c r="UQN19" s="13"/>
      <c r="UQO19" s="13"/>
      <c r="UQP19" s="13"/>
      <c r="UQQ19" s="13"/>
      <c r="UQR19" s="13"/>
      <c r="UQS19" s="13"/>
      <c r="UQT19" s="13"/>
      <c r="UQU19" s="13"/>
      <c r="UQV19" s="13"/>
      <c r="UQW19" s="13"/>
      <c r="UQX19" s="13"/>
      <c r="UQY19" s="13"/>
      <c r="UQZ19" s="13"/>
      <c r="URA19" s="13"/>
      <c r="URB19" s="13"/>
      <c r="URC19" s="13"/>
      <c r="URD19" s="13"/>
      <c r="URE19" s="13"/>
      <c r="URF19" s="13"/>
      <c r="URG19" s="13"/>
      <c r="URH19" s="13"/>
      <c r="URI19" s="13"/>
      <c r="URJ19" s="13"/>
      <c r="URK19" s="13"/>
      <c r="URL19" s="13"/>
      <c r="URM19" s="13"/>
      <c r="URN19" s="13"/>
      <c r="URO19" s="13"/>
      <c r="URP19" s="13"/>
      <c r="URQ19" s="13"/>
      <c r="URR19" s="13"/>
      <c r="URS19" s="13"/>
      <c r="URT19" s="13"/>
      <c r="URU19" s="13"/>
      <c r="URV19" s="13"/>
      <c r="URW19" s="13"/>
      <c r="URX19" s="13"/>
      <c r="URY19" s="13"/>
      <c r="URZ19" s="13"/>
      <c r="USA19" s="13"/>
      <c r="USB19" s="13"/>
      <c r="USC19" s="13"/>
      <c r="USD19" s="13"/>
      <c r="USE19" s="13"/>
      <c r="USF19" s="13"/>
      <c r="USG19" s="13"/>
      <c r="USH19" s="13"/>
      <c r="USI19" s="13"/>
      <c r="USJ19" s="13"/>
      <c r="USK19" s="13"/>
      <c r="USL19" s="13"/>
      <c r="USM19" s="13"/>
      <c r="USN19" s="13"/>
      <c r="USO19" s="13"/>
      <c r="USP19" s="13"/>
      <c r="USQ19" s="13"/>
      <c r="USR19" s="13"/>
      <c r="USS19" s="13"/>
      <c r="UST19" s="13"/>
      <c r="USU19" s="13"/>
      <c r="USV19" s="13"/>
      <c r="USW19" s="13"/>
      <c r="USX19" s="13"/>
      <c r="USY19" s="13"/>
      <c r="USZ19" s="13"/>
      <c r="UTA19" s="13"/>
      <c r="UTB19" s="13"/>
      <c r="UTC19" s="13"/>
      <c r="UTD19" s="13"/>
      <c r="UTE19" s="13"/>
      <c r="UTF19" s="13"/>
      <c r="UTG19" s="13"/>
      <c r="UTH19" s="13"/>
      <c r="UTI19" s="13"/>
      <c r="UTJ19" s="13"/>
      <c r="UTK19" s="13"/>
      <c r="UTL19" s="13"/>
      <c r="UTM19" s="13"/>
      <c r="UTN19" s="13"/>
      <c r="UTO19" s="13"/>
      <c r="UTP19" s="13"/>
      <c r="UTQ19" s="13"/>
      <c r="UTR19" s="13"/>
      <c r="UTS19" s="13"/>
      <c r="UTT19" s="13"/>
      <c r="UTU19" s="13"/>
      <c r="UTV19" s="13"/>
      <c r="UTW19" s="13"/>
      <c r="UTX19" s="13"/>
      <c r="UTY19" s="13"/>
      <c r="UTZ19" s="13"/>
      <c r="UUA19" s="13"/>
      <c r="UUB19" s="13"/>
      <c r="UUC19" s="13"/>
      <c r="UUD19" s="13"/>
      <c r="UUE19" s="13"/>
      <c r="UUF19" s="13"/>
      <c r="UUG19" s="13"/>
      <c r="UUH19" s="13"/>
      <c r="UUI19" s="13"/>
      <c r="UUJ19" s="13"/>
      <c r="UUK19" s="13"/>
      <c r="UUL19" s="13"/>
      <c r="UUM19" s="13"/>
      <c r="UUN19" s="13"/>
      <c r="UUO19" s="13"/>
      <c r="UUP19" s="13"/>
      <c r="UUQ19" s="13"/>
      <c r="UUR19" s="13"/>
      <c r="UUS19" s="13"/>
      <c r="UUT19" s="13"/>
      <c r="UUU19" s="13"/>
      <c r="UUV19" s="13"/>
      <c r="UUW19" s="13"/>
      <c r="UUX19" s="13"/>
      <c r="UUY19" s="13"/>
      <c r="UUZ19" s="13"/>
      <c r="UVA19" s="13"/>
      <c r="UVB19" s="13"/>
      <c r="UVC19" s="13"/>
      <c r="UVD19" s="13"/>
      <c r="UVE19" s="13"/>
      <c r="UVF19" s="13"/>
      <c r="UVG19" s="13"/>
      <c r="UVH19" s="13"/>
      <c r="UVI19" s="13"/>
      <c r="UVJ19" s="13"/>
      <c r="UVK19" s="13"/>
      <c r="UVL19" s="13"/>
      <c r="UVM19" s="13"/>
      <c r="UVN19" s="13"/>
      <c r="UVO19" s="13"/>
      <c r="UVP19" s="13"/>
      <c r="UVQ19" s="13"/>
      <c r="UVR19" s="13"/>
      <c r="UVS19" s="13"/>
      <c r="UVT19" s="13"/>
      <c r="UVU19" s="13"/>
      <c r="UVV19" s="13"/>
      <c r="UVW19" s="13"/>
      <c r="UVX19" s="13"/>
      <c r="UVY19" s="13"/>
      <c r="UVZ19" s="13"/>
      <c r="UWA19" s="13"/>
      <c r="UWB19" s="13"/>
      <c r="UWC19" s="13"/>
      <c r="UWD19" s="13"/>
      <c r="UWE19" s="13"/>
      <c r="UWF19" s="13"/>
      <c r="UWG19" s="13"/>
      <c r="UWH19" s="13"/>
      <c r="UWI19" s="13"/>
      <c r="UWJ19" s="13"/>
      <c r="UWK19" s="13"/>
      <c r="UWL19" s="13"/>
      <c r="UWM19" s="13"/>
      <c r="UWN19" s="13"/>
      <c r="UWO19" s="13"/>
      <c r="UWP19" s="13"/>
      <c r="UWQ19" s="13"/>
      <c r="UWR19" s="13"/>
      <c r="UWS19" s="13"/>
      <c r="UWT19" s="13"/>
      <c r="UWU19" s="13"/>
      <c r="UWV19" s="13"/>
      <c r="UWW19" s="13"/>
      <c r="UWX19" s="13"/>
      <c r="UWY19" s="13"/>
      <c r="UWZ19" s="13"/>
      <c r="UXA19" s="13"/>
      <c r="UXB19" s="13"/>
      <c r="UXC19" s="13"/>
      <c r="UXD19" s="13"/>
      <c r="UXE19" s="13"/>
      <c r="UXF19" s="13"/>
      <c r="UXG19" s="13"/>
      <c r="UXH19" s="13"/>
      <c r="UXI19" s="13"/>
      <c r="UXJ19" s="13"/>
      <c r="UXK19" s="13"/>
      <c r="UXL19" s="13"/>
      <c r="UXM19" s="13"/>
      <c r="UXN19" s="13"/>
      <c r="UXO19" s="13"/>
      <c r="UXP19" s="13"/>
      <c r="UXQ19" s="13"/>
      <c r="UXR19" s="13"/>
      <c r="UXS19" s="13"/>
      <c r="UXT19" s="13"/>
      <c r="UXU19" s="13"/>
      <c r="UXV19" s="13"/>
      <c r="UXW19" s="13"/>
      <c r="UXX19" s="13"/>
      <c r="UXY19" s="13"/>
      <c r="UXZ19" s="13"/>
      <c r="UYA19" s="13"/>
      <c r="UYB19" s="13"/>
      <c r="UYC19" s="13"/>
      <c r="UYD19" s="13"/>
      <c r="UYE19" s="13"/>
      <c r="UYF19" s="13"/>
      <c r="UYG19" s="13"/>
      <c r="UYH19" s="13"/>
      <c r="UYI19" s="13"/>
      <c r="UYJ19" s="13"/>
      <c r="UYK19" s="13"/>
      <c r="UYL19" s="13"/>
      <c r="UYM19" s="13"/>
      <c r="UYN19" s="13"/>
      <c r="UYO19" s="13"/>
      <c r="UYP19" s="13"/>
      <c r="UYQ19" s="13"/>
      <c r="UYR19" s="13"/>
      <c r="UYS19" s="13"/>
      <c r="UYT19" s="13"/>
      <c r="UYU19" s="13"/>
      <c r="UYV19" s="13"/>
      <c r="UYW19" s="13"/>
      <c r="UYX19" s="13"/>
      <c r="UYY19" s="13"/>
      <c r="UYZ19" s="13"/>
      <c r="UZA19" s="13"/>
      <c r="UZB19" s="13"/>
      <c r="UZC19" s="13"/>
      <c r="UZD19" s="13"/>
      <c r="UZE19" s="13"/>
      <c r="UZF19" s="13"/>
      <c r="UZG19" s="13"/>
      <c r="UZH19" s="13"/>
      <c r="UZI19" s="13"/>
      <c r="UZJ19" s="13"/>
      <c r="UZK19" s="13"/>
      <c r="UZL19" s="13"/>
      <c r="UZM19" s="13"/>
      <c r="UZN19" s="13"/>
      <c r="UZO19" s="13"/>
      <c r="UZP19" s="13"/>
      <c r="UZQ19" s="13"/>
      <c r="UZR19" s="13"/>
      <c r="UZS19" s="13"/>
      <c r="UZT19" s="13"/>
      <c r="UZU19" s="13"/>
      <c r="UZV19" s="13"/>
      <c r="UZW19" s="13"/>
      <c r="UZX19" s="13"/>
      <c r="UZY19" s="13"/>
      <c r="UZZ19" s="13"/>
      <c r="VAA19" s="13"/>
      <c r="VAB19" s="13"/>
      <c r="VAC19" s="13"/>
      <c r="VAD19" s="13"/>
      <c r="VAE19" s="13"/>
      <c r="VAF19" s="13"/>
      <c r="VAG19" s="13"/>
      <c r="VAH19" s="13"/>
      <c r="VAI19" s="13"/>
      <c r="VAJ19" s="13"/>
      <c r="VAK19" s="13"/>
      <c r="VAL19" s="13"/>
      <c r="VAM19" s="13"/>
      <c r="VAN19" s="13"/>
      <c r="VAO19" s="13"/>
      <c r="VAP19" s="13"/>
      <c r="VAQ19" s="13"/>
      <c r="VAR19" s="13"/>
      <c r="VAS19" s="13"/>
      <c r="VAT19" s="13"/>
      <c r="VAU19" s="13"/>
      <c r="VAV19" s="13"/>
      <c r="VAW19" s="13"/>
      <c r="VAX19" s="13"/>
      <c r="VAY19" s="13"/>
      <c r="VAZ19" s="13"/>
      <c r="VBA19" s="13"/>
      <c r="VBB19" s="13"/>
      <c r="VBC19" s="13"/>
      <c r="VBD19" s="13"/>
      <c r="VBE19" s="13"/>
      <c r="VBF19" s="13"/>
      <c r="VBG19" s="13"/>
      <c r="VBH19" s="13"/>
      <c r="VBI19" s="13"/>
      <c r="VBJ19" s="13"/>
      <c r="VBK19" s="13"/>
      <c r="VBL19" s="13"/>
      <c r="VBM19" s="13"/>
      <c r="VBN19" s="13"/>
      <c r="VBO19" s="13"/>
      <c r="VBP19" s="13"/>
      <c r="VBQ19" s="13"/>
      <c r="VBR19" s="13"/>
      <c r="VBS19" s="13"/>
      <c r="VBT19" s="13"/>
      <c r="VBU19" s="13"/>
      <c r="VBV19" s="13"/>
      <c r="VBW19" s="13"/>
      <c r="VBX19" s="13"/>
      <c r="VBY19" s="13"/>
      <c r="VBZ19" s="13"/>
      <c r="VCA19" s="13"/>
      <c r="VCB19" s="13"/>
      <c r="VCC19" s="13"/>
      <c r="VCD19" s="13"/>
      <c r="VCE19" s="13"/>
      <c r="VCF19" s="13"/>
      <c r="VCG19" s="13"/>
      <c r="VCH19" s="13"/>
      <c r="VCI19" s="13"/>
      <c r="VCJ19" s="13"/>
      <c r="VCK19" s="13"/>
      <c r="VCL19" s="13"/>
      <c r="VCM19" s="13"/>
      <c r="VCN19" s="13"/>
      <c r="VCO19" s="13"/>
      <c r="VCP19" s="13"/>
      <c r="VCQ19" s="13"/>
      <c r="VCR19" s="13"/>
      <c r="VCS19" s="13"/>
      <c r="VCT19" s="13"/>
      <c r="VCU19" s="13"/>
      <c r="VCV19" s="13"/>
      <c r="VCW19" s="13"/>
      <c r="VCX19" s="13"/>
      <c r="VCY19" s="13"/>
      <c r="VCZ19" s="13"/>
      <c r="VDA19" s="13"/>
      <c r="VDB19" s="13"/>
      <c r="VDC19" s="13"/>
      <c r="VDD19" s="13"/>
      <c r="VDE19" s="13"/>
      <c r="VDF19" s="13"/>
      <c r="VDG19" s="13"/>
      <c r="VDH19" s="13"/>
      <c r="VDI19" s="13"/>
      <c r="VDJ19" s="13"/>
      <c r="VDK19" s="13"/>
      <c r="VDL19" s="13"/>
      <c r="VDM19" s="13"/>
      <c r="VDN19" s="13"/>
      <c r="VDO19" s="13"/>
      <c r="VDP19" s="13"/>
      <c r="VDQ19" s="13"/>
      <c r="VDR19" s="13"/>
      <c r="VDS19" s="13"/>
      <c r="VDT19" s="13"/>
      <c r="VDU19" s="13"/>
      <c r="VDV19" s="13"/>
      <c r="VDW19" s="13"/>
      <c r="VDX19" s="13"/>
      <c r="VDY19" s="13"/>
      <c r="VDZ19" s="13"/>
      <c r="VEA19" s="13"/>
      <c r="VEB19" s="13"/>
      <c r="VEC19" s="13"/>
      <c r="VED19" s="13"/>
      <c r="VEE19" s="13"/>
      <c r="VEF19" s="13"/>
      <c r="VEG19" s="13"/>
      <c r="VEH19" s="13"/>
      <c r="VEI19" s="13"/>
      <c r="VEJ19" s="13"/>
      <c r="VEK19" s="13"/>
      <c r="VEL19" s="13"/>
      <c r="VEM19" s="13"/>
      <c r="VEN19" s="13"/>
      <c r="VEO19" s="13"/>
      <c r="VEP19" s="13"/>
      <c r="VEQ19" s="13"/>
      <c r="VER19" s="13"/>
      <c r="VES19" s="13"/>
      <c r="VET19" s="13"/>
      <c r="VEU19" s="13"/>
      <c r="VEV19" s="13"/>
      <c r="VEW19" s="13"/>
      <c r="VEX19" s="13"/>
      <c r="VEY19" s="13"/>
      <c r="VEZ19" s="13"/>
      <c r="VFA19" s="13"/>
      <c r="VFB19" s="13"/>
      <c r="VFC19" s="13"/>
      <c r="VFD19" s="13"/>
      <c r="VFE19" s="13"/>
      <c r="VFF19" s="13"/>
      <c r="VFG19" s="13"/>
      <c r="VFH19" s="13"/>
      <c r="VFI19" s="13"/>
      <c r="VFJ19" s="13"/>
      <c r="VFK19" s="13"/>
      <c r="VFL19" s="13"/>
      <c r="VFM19" s="13"/>
      <c r="VFN19" s="13"/>
      <c r="VFO19" s="13"/>
      <c r="VFP19" s="13"/>
      <c r="VFQ19" s="13"/>
      <c r="VFR19" s="13"/>
      <c r="VFS19" s="13"/>
      <c r="VFT19" s="13"/>
      <c r="VFU19" s="13"/>
      <c r="VFV19" s="13"/>
      <c r="VFW19" s="13"/>
      <c r="VFX19" s="13"/>
      <c r="VFY19" s="13"/>
      <c r="VFZ19" s="13"/>
      <c r="VGA19" s="13"/>
      <c r="VGB19" s="13"/>
      <c r="VGC19" s="13"/>
      <c r="VGD19" s="13"/>
      <c r="VGE19" s="13"/>
      <c r="VGF19" s="13"/>
      <c r="VGG19" s="13"/>
      <c r="VGH19" s="13"/>
      <c r="VGI19" s="13"/>
      <c r="VGJ19" s="13"/>
      <c r="VGK19" s="13"/>
      <c r="VGL19" s="13"/>
      <c r="VGM19" s="13"/>
      <c r="VGN19" s="13"/>
      <c r="VGO19" s="13"/>
      <c r="VGP19" s="13"/>
      <c r="VGQ19" s="13"/>
      <c r="VGR19" s="13"/>
      <c r="VGS19" s="13"/>
      <c r="VGT19" s="13"/>
      <c r="VGU19" s="13"/>
      <c r="VGV19" s="13"/>
      <c r="VGW19" s="13"/>
      <c r="VGX19" s="13"/>
      <c r="VGY19" s="13"/>
      <c r="VGZ19" s="13"/>
      <c r="VHA19" s="13"/>
      <c r="VHB19" s="13"/>
      <c r="VHC19" s="13"/>
      <c r="VHD19" s="13"/>
      <c r="VHE19" s="13"/>
      <c r="VHF19" s="13"/>
      <c r="VHG19" s="13"/>
      <c r="VHH19" s="13"/>
      <c r="VHI19" s="13"/>
      <c r="VHJ19" s="13"/>
      <c r="VHK19" s="13"/>
      <c r="VHL19" s="13"/>
      <c r="VHM19" s="13"/>
      <c r="VHN19" s="13"/>
      <c r="VHO19" s="13"/>
      <c r="VHP19" s="13"/>
      <c r="VHQ19" s="13"/>
      <c r="VHR19" s="13"/>
      <c r="VHS19" s="13"/>
      <c r="VHT19" s="13"/>
      <c r="VHU19" s="13"/>
      <c r="VHV19" s="13"/>
      <c r="VHW19" s="13"/>
      <c r="VHX19" s="13"/>
      <c r="VHY19" s="13"/>
      <c r="VHZ19" s="13"/>
      <c r="VIA19" s="13"/>
      <c r="VIB19" s="13"/>
      <c r="VIC19" s="13"/>
      <c r="VID19" s="13"/>
      <c r="VIE19" s="13"/>
      <c r="VIF19" s="13"/>
      <c r="VIG19" s="13"/>
      <c r="VIH19" s="13"/>
      <c r="VII19" s="13"/>
      <c r="VIJ19" s="13"/>
      <c r="VIK19" s="13"/>
      <c r="VIL19" s="13"/>
      <c r="VIM19" s="13"/>
      <c r="VIN19" s="13"/>
      <c r="VIO19" s="13"/>
      <c r="VIP19" s="13"/>
      <c r="VIQ19" s="13"/>
      <c r="VIR19" s="13"/>
      <c r="VIS19" s="13"/>
      <c r="VIT19" s="13"/>
      <c r="VIU19" s="13"/>
      <c r="VIV19" s="13"/>
      <c r="VIW19" s="13"/>
      <c r="VIX19" s="13"/>
      <c r="VIY19" s="13"/>
      <c r="VIZ19" s="13"/>
      <c r="VJA19" s="13"/>
      <c r="VJB19" s="13"/>
      <c r="VJC19" s="13"/>
      <c r="VJD19" s="13"/>
      <c r="VJE19" s="13"/>
      <c r="VJF19" s="13"/>
      <c r="VJG19" s="13"/>
      <c r="VJH19" s="13"/>
      <c r="VJI19" s="13"/>
      <c r="VJJ19" s="13"/>
      <c r="VJK19" s="13"/>
      <c r="VJL19" s="13"/>
      <c r="VJM19" s="13"/>
      <c r="VJN19" s="13"/>
      <c r="VJO19" s="13"/>
      <c r="VJP19" s="13"/>
      <c r="VJQ19" s="13"/>
      <c r="VJR19" s="13"/>
      <c r="VJS19" s="13"/>
      <c r="VJT19" s="13"/>
      <c r="VJU19" s="13"/>
      <c r="VJV19" s="13"/>
      <c r="VJW19" s="13"/>
      <c r="VJX19" s="13"/>
      <c r="VJY19" s="13"/>
      <c r="VJZ19" s="13"/>
      <c r="VKA19" s="13"/>
      <c r="VKB19" s="13"/>
      <c r="VKC19" s="13"/>
      <c r="VKD19" s="13"/>
      <c r="VKE19" s="13"/>
      <c r="VKF19" s="13"/>
      <c r="VKG19" s="13"/>
      <c r="VKH19" s="13"/>
      <c r="VKI19" s="13"/>
      <c r="VKJ19" s="13"/>
      <c r="VKK19" s="13"/>
      <c r="VKL19" s="13"/>
      <c r="VKM19" s="13"/>
      <c r="VKN19" s="13"/>
      <c r="VKO19" s="13"/>
      <c r="VKP19" s="13"/>
      <c r="VKQ19" s="13"/>
      <c r="VKR19" s="13"/>
      <c r="VKS19" s="13"/>
      <c r="VKT19" s="13"/>
      <c r="VKU19" s="13"/>
      <c r="VKV19" s="13"/>
      <c r="VKW19" s="13"/>
      <c r="VKX19" s="13"/>
      <c r="VKY19" s="13"/>
      <c r="VKZ19" s="13"/>
      <c r="VLA19" s="13"/>
      <c r="VLB19" s="13"/>
      <c r="VLC19" s="13"/>
      <c r="VLD19" s="13"/>
      <c r="VLE19" s="13"/>
      <c r="VLF19" s="13"/>
      <c r="VLG19" s="13"/>
      <c r="VLH19" s="13"/>
      <c r="VLI19" s="13"/>
      <c r="VLJ19" s="13"/>
      <c r="VLK19" s="13"/>
      <c r="VLL19" s="13"/>
      <c r="VLM19" s="13"/>
      <c r="VLN19" s="13"/>
      <c r="VLO19" s="13"/>
      <c r="VLP19" s="13"/>
      <c r="VLQ19" s="13"/>
      <c r="VLR19" s="13"/>
      <c r="VLS19" s="13"/>
      <c r="VLT19" s="13"/>
      <c r="VLU19" s="13"/>
      <c r="VLV19" s="13"/>
      <c r="VLW19" s="13"/>
      <c r="VLX19" s="13"/>
      <c r="VLY19" s="13"/>
      <c r="VLZ19" s="13"/>
      <c r="VMA19" s="13"/>
      <c r="VMB19" s="13"/>
      <c r="VMC19" s="13"/>
      <c r="VMD19" s="13"/>
      <c r="VME19" s="13"/>
      <c r="VMF19" s="13"/>
      <c r="VMG19" s="13"/>
      <c r="VMH19" s="13"/>
      <c r="VMI19" s="13"/>
      <c r="VMJ19" s="13"/>
      <c r="VMK19" s="13"/>
      <c r="VML19" s="13"/>
      <c r="VMM19" s="13"/>
      <c r="VMN19" s="13"/>
      <c r="VMO19" s="13"/>
      <c r="VMP19" s="13"/>
      <c r="VMQ19" s="13"/>
      <c r="VMR19" s="13"/>
      <c r="VMS19" s="13"/>
      <c r="VMT19" s="13"/>
      <c r="VMU19" s="13"/>
      <c r="VMV19" s="13"/>
      <c r="VMW19" s="13"/>
      <c r="VMX19" s="13"/>
      <c r="VMY19" s="13"/>
      <c r="VMZ19" s="13"/>
      <c r="VNA19" s="13"/>
      <c r="VNB19" s="13"/>
      <c r="VNC19" s="13"/>
      <c r="VND19" s="13"/>
      <c r="VNE19" s="13"/>
      <c r="VNF19" s="13"/>
      <c r="VNG19" s="13"/>
      <c r="VNH19" s="13"/>
      <c r="VNI19" s="13"/>
      <c r="VNJ19" s="13"/>
      <c r="VNK19" s="13"/>
      <c r="VNL19" s="13"/>
      <c r="VNM19" s="13"/>
      <c r="VNN19" s="13"/>
      <c r="VNO19" s="13"/>
      <c r="VNP19" s="13"/>
      <c r="VNQ19" s="13"/>
      <c r="VNR19" s="13"/>
      <c r="VNS19" s="13"/>
      <c r="VNT19" s="13"/>
      <c r="VNU19" s="13"/>
      <c r="VNV19" s="13"/>
      <c r="VNW19" s="13"/>
      <c r="VNX19" s="13"/>
      <c r="VNY19" s="13"/>
      <c r="VNZ19" s="13"/>
      <c r="VOA19" s="13"/>
      <c r="VOB19" s="13"/>
      <c r="VOC19" s="13"/>
      <c r="VOD19" s="13"/>
      <c r="VOE19" s="13"/>
      <c r="VOF19" s="13"/>
      <c r="VOG19" s="13"/>
      <c r="VOH19" s="13"/>
      <c r="VOI19" s="13"/>
      <c r="VOJ19" s="13"/>
      <c r="VOK19" s="13"/>
      <c r="VOL19" s="13"/>
      <c r="VOM19" s="13"/>
      <c r="VON19" s="13"/>
      <c r="VOO19" s="13"/>
      <c r="VOP19" s="13"/>
      <c r="VOQ19" s="13"/>
      <c r="VOR19" s="13"/>
      <c r="VOS19" s="13"/>
      <c r="VOT19" s="13"/>
      <c r="VOU19" s="13"/>
      <c r="VOV19" s="13"/>
      <c r="VOW19" s="13"/>
      <c r="VOX19" s="13"/>
      <c r="VOY19" s="13"/>
      <c r="VOZ19" s="13"/>
      <c r="VPA19" s="13"/>
      <c r="VPB19" s="13"/>
      <c r="VPC19" s="13"/>
      <c r="VPD19" s="13"/>
      <c r="VPE19" s="13"/>
      <c r="VPF19" s="13"/>
      <c r="VPG19" s="13"/>
      <c r="VPH19" s="13"/>
      <c r="VPI19" s="13"/>
      <c r="VPJ19" s="13"/>
      <c r="VPK19" s="13"/>
      <c r="VPL19" s="13"/>
      <c r="VPM19" s="13"/>
      <c r="VPN19" s="13"/>
      <c r="VPO19" s="13"/>
      <c r="VPP19" s="13"/>
      <c r="VPQ19" s="13"/>
      <c r="VPR19" s="13"/>
      <c r="VPS19" s="13"/>
      <c r="VPT19" s="13"/>
      <c r="VPU19" s="13"/>
      <c r="VPV19" s="13"/>
      <c r="VPW19" s="13"/>
      <c r="VPX19" s="13"/>
      <c r="VPY19" s="13"/>
      <c r="VPZ19" s="13"/>
      <c r="VQA19" s="13"/>
      <c r="VQB19" s="13"/>
      <c r="VQC19" s="13"/>
      <c r="VQD19" s="13"/>
      <c r="VQE19" s="13"/>
      <c r="VQF19" s="13"/>
      <c r="VQG19" s="13"/>
      <c r="VQH19" s="13"/>
      <c r="VQI19" s="13"/>
      <c r="VQJ19" s="13"/>
      <c r="VQK19" s="13"/>
      <c r="VQL19" s="13"/>
      <c r="VQM19" s="13"/>
      <c r="VQN19" s="13"/>
      <c r="VQO19" s="13"/>
      <c r="VQP19" s="13"/>
      <c r="VQQ19" s="13"/>
      <c r="VQR19" s="13"/>
      <c r="VQS19" s="13"/>
      <c r="VQT19" s="13"/>
      <c r="VQU19" s="13"/>
      <c r="VQV19" s="13"/>
      <c r="VQW19" s="13"/>
      <c r="VQX19" s="13"/>
      <c r="VQY19" s="13"/>
      <c r="VQZ19" s="13"/>
      <c r="VRA19" s="13"/>
      <c r="VRB19" s="13"/>
      <c r="VRC19" s="13"/>
      <c r="VRD19" s="13"/>
      <c r="VRE19" s="13"/>
      <c r="VRF19" s="13"/>
      <c r="VRG19" s="13"/>
      <c r="VRH19" s="13"/>
      <c r="VRI19" s="13"/>
      <c r="VRJ19" s="13"/>
      <c r="VRK19" s="13"/>
      <c r="VRL19" s="13"/>
      <c r="VRM19" s="13"/>
      <c r="VRN19" s="13"/>
      <c r="VRO19" s="13"/>
      <c r="VRP19" s="13"/>
      <c r="VRQ19" s="13"/>
      <c r="VRR19" s="13"/>
      <c r="VRS19" s="13"/>
      <c r="VRT19" s="13"/>
      <c r="VRU19" s="13"/>
      <c r="VRV19" s="13"/>
      <c r="VRW19" s="13"/>
      <c r="VRX19" s="13"/>
      <c r="VRY19" s="13"/>
      <c r="VRZ19" s="13"/>
      <c r="VSA19" s="13"/>
      <c r="VSB19" s="13"/>
      <c r="VSC19" s="13"/>
      <c r="VSD19" s="13"/>
      <c r="VSE19" s="13"/>
      <c r="VSF19" s="13"/>
      <c r="VSG19" s="13"/>
      <c r="VSH19" s="13"/>
      <c r="VSI19" s="13"/>
      <c r="VSJ19" s="13"/>
      <c r="VSK19" s="13"/>
      <c r="VSL19" s="13"/>
      <c r="VSM19" s="13"/>
      <c r="VSN19" s="13"/>
      <c r="VSO19" s="13"/>
      <c r="VSP19" s="13"/>
      <c r="VSQ19" s="13"/>
      <c r="VSR19" s="13"/>
      <c r="VSS19" s="13"/>
      <c r="VST19" s="13"/>
      <c r="VSU19" s="13"/>
      <c r="VSV19" s="13"/>
      <c r="VSW19" s="13"/>
      <c r="VSX19" s="13"/>
      <c r="VSY19" s="13"/>
      <c r="VSZ19" s="13"/>
      <c r="VTA19" s="13"/>
      <c r="VTB19" s="13"/>
      <c r="VTC19" s="13"/>
      <c r="VTD19" s="13"/>
      <c r="VTE19" s="13"/>
      <c r="VTF19" s="13"/>
      <c r="VTG19" s="13"/>
      <c r="VTH19" s="13"/>
      <c r="VTI19" s="13"/>
      <c r="VTJ19" s="13"/>
      <c r="VTK19" s="13"/>
      <c r="VTL19" s="13"/>
      <c r="VTM19" s="13"/>
      <c r="VTN19" s="13"/>
      <c r="VTO19" s="13"/>
      <c r="VTP19" s="13"/>
      <c r="VTQ19" s="13"/>
      <c r="VTR19" s="13"/>
      <c r="VTS19" s="13"/>
      <c r="VTT19" s="13"/>
      <c r="VTU19" s="13"/>
      <c r="VTV19" s="13"/>
      <c r="VTW19" s="13"/>
      <c r="VTX19" s="13"/>
      <c r="VTY19" s="13"/>
      <c r="VTZ19" s="13"/>
      <c r="VUA19" s="13"/>
      <c r="VUB19" s="13"/>
      <c r="VUC19" s="13"/>
      <c r="VUD19" s="13"/>
      <c r="VUE19" s="13"/>
      <c r="VUF19" s="13"/>
      <c r="VUG19" s="13"/>
      <c r="VUH19" s="13"/>
      <c r="VUI19" s="13"/>
      <c r="VUJ19" s="13"/>
      <c r="VUK19" s="13"/>
      <c r="VUL19" s="13"/>
      <c r="VUM19" s="13"/>
      <c r="VUN19" s="13"/>
      <c r="VUO19" s="13"/>
      <c r="VUP19" s="13"/>
      <c r="VUQ19" s="13"/>
      <c r="VUR19" s="13"/>
      <c r="VUS19" s="13"/>
      <c r="VUT19" s="13"/>
      <c r="VUU19" s="13"/>
      <c r="VUV19" s="13"/>
      <c r="VUW19" s="13"/>
      <c r="VUX19" s="13"/>
      <c r="VUY19" s="13"/>
      <c r="VUZ19" s="13"/>
      <c r="VVA19" s="13"/>
      <c r="VVB19" s="13"/>
      <c r="VVC19" s="13"/>
      <c r="VVD19" s="13"/>
      <c r="VVE19" s="13"/>
      <c r="VVF19" s="13"/>
      <c r="VVG19" s="13"/>
      <c r="VVH19" s="13"/>
      <c r="VVI19" s="13"/>
      <c r="VVJ19" s="13"/>
      <c r="VVK19" s="13"/>
      <c r="VVL19" s="13"/>
      <c r="VVM19" s="13"/>
      <c r="VVN19" s="13"/>
      <c r="VVO19" s="13"/>
      <c r="VVP19" s="13"/>
      <c r="VVQ19" s="13"/>
      <c r="VVR19" s="13"/>
      <c r="VVS19" s="13"/>
      <c r="VVT19" s="13"/>
      <c r="VVU19" s="13"/>
      <c r="VVV19" s="13"/>
      <c r="VVW19" s="13"/>
      <c r="VVX19" s="13"/>
      <c r="VVY19" s="13"/>
      <c r="VVZ19" s="13"/>
      <c r="VWA19" s="13"/>
      <c r="VWB19" s="13"/>
      <c r="VWC19" s="13"/>
      <c r="VWD19" s="13"/>
      <c r="VWE19" s="13"/>
      <c r="VWF19" s="13"/>
      <c r="VWG19" s="13"/>
      <c r="VWH19" s="13"/>
      <c r="VWI19" s="13"/>
      <c r="VWJ19" s="13"/>
      <c r="VWK19" s="13"/>
      <c r="VWL19" s="13"/>
      <c r="VWM19" s="13"/>
      <c r="VWN19" s="13"/>
      <c r="VWO19" s="13"/>
      <c r="VWP19" s="13"/>
      <c r="VWQ19" s="13"/>
      <c r="VWR19" s="13"/>
      <c r="VWS19" s="13"/>
      <c r="VWT19" s="13"/>
      <c r="VWU19" s="13"/>
      <c r="VWV19" s="13"/>
      <c r="VWW19" s="13"/>
      <c r="VWX19" s="13"/>
      <c r="VWY19" s="13"/>
      <c r="VWZ19" s="13"/>
      <c r="VXA19" s="13"/>
      <c r="VXB19" s="13"/>
      <c r="VXC19" s="13"/>
      <c r="VXD19" s="13"/>
      <c r="VXE19" s="13"/>
      <c r="VXF19" s="13"/>
      <c r="VXG19" s="13"/>
      <c r="VXH19" s="13"/>
      <c r="VXI19" s="13"/>
      <c r="VXJ19" s="13"/>
      <c r="VXK19" s="13"/>
      <c r="VXL19" s="13"/>
      <c r="VXM19" s="13"/>
      <c r="VXN19" s="13"/>
      <c r="VXO19" s="13"/>
      <c r="VXP19" s="13"/>
      <c r="VXQ19" s="13"/>
      <c r="VXR19" s="13"/>
      <c r="VXS19" s="13"/>
      <c r="VXT19" s="13"/>
      <c r="VXU19" s="13"/>
      <c r="VXV19" s="13"/>
      <c r="VXW19" s="13"/>
      <c r="VXX19" s="13"/>
      <c r="VXY19" s="13"/>
      <c r="VXZ19" s="13"/>
      <c r="VYA19" s="13"/>
      <c r="VYB19" s="13"/>
      <c r="VYC19" s="13"/>
      <c r="VYD19" s="13"/>
      <c r="VYE19" s="13"/>
      <c r="VYF19" s="13"/>
      <c r="VYG19" s="13"/>
      <c r="VYH19" s="13"/>
      <c r="VYI19" s="13"/>
      <c r="VYJ19" s="13"/>
      <c r="VYK19" s="13"/>
      <c r="VYL19" s="13"/>
      <c r="VYM19" s="13"/>
      <c r="VYN19" s="13"/>
      <c r="VYO19" s="13"/>
      <c r="VYP19" s="13"/>
      <c r="VYQ19" s="13"/>
      <c r="VYR19" s="13"/>
      <c r="VYS19" s="13"/>
      <c r="VYT19" s="13"/>
      <c r="VYU19" s="13"/>
      <c r="VYV19" s="13"/>
      <c r="VYW19" s="13"/>
      <c r="VYX19" s="13"/>
      <c r="VYY19" s="13"/>
      <c r="VYZ19" s="13"/>
      <c r="VZA19" s="13"/>
      <c r="VZB19" s="13"/>
      <c r="VZC19" s="13"/>
      <c r="VZD19" s="13"/>
      <c r="VZE19" s="13"/>
      <c r="VZF19" s="13"/>
      <c r="VZG19" s="13"/>
      <c r="VZH19" s="13"/>
      <c r="VZI19" s="13"/>
      <c r="VZJ19" s="13"/>
      <c r="VZK19" s="13"/>
      <c r="VZL19" s="13"/>
      <c r="VZM19" s="13"/>
      <c r="VZN19" s="13"/>
      <c r="VZO19" s="13"/>
      <c r="VZP19" s="13"/>
      <c r="VZQ19" s="13"/>
      <c r="VZR19" s="13"/>
      <c r="VZS19" s="13"/>
      <c r="VZT19" s="13"/>
      <c r="VZU19" s="13"/>
      <c r="VZV19" s="13"/>
      <c r="VZW19" s="13"/>
      <c r="VZX19" s="13"/>
      <c r="VZY19" s="13"/>
      <c r="VZZ19" s="13"/>
      <c r="WAA19" s="13"/>
      <c r="WAB19" s="13"/>
      <c r="WAC19" s="13"/>
      <c r="WAD19" s="13"/>
      <c r="WAE19" s="13"/>
      <c r="WAF19" s="13"/>
      <c r="WAG19" s="13"/>
      <c r="WAH19" s="13"/>
      <c r="WAI19" s="13"/>
      <c r="WAJ19" s="13"/>
      <c r="WAK19" s="13"/>
      <c r="WAL19" s="13"/>
      <c r="WAM19" s="13"/>
      <c r="WAN19" s="13"/>
      <c r="WAO19" s="13"/>
      <c r="WAP19" s="13"/>
      <c r="WAQ19" s="13"/>
      <c r="WAR19" s="13"/>
      <c r="WAS19" s="13"/>
      <c r="WAT19" s="13"/>
      <c r="WAU19" s="13"/>
      <c r="WAV19" s="13"/>
      <c r="WAW19" s="13"/>
      <c r="WAX19" s="13"/>
      <c r="WAY19" s="13"/>
      <c r="WAZ19" s="13"/>
      <c r="WBA19" s="13"/>
      <c r="WBB19" s="13"/>
      <c r="WBC19" s="13"/>
      <c r="WBD19" s="13"/>
      <c r="WBE19" s="13"/>
      <c r="WBF19" s="13"/>
      <c r="WBG19" s="13"/>
      <c r="WBH19" s="13"/>
      <c r="WBI19" s="13"/>
      <c r="WBJ19" s="13"/>
      <c r="WBK19" s="13"/>
      <c r="WBL19" s="13"/>
      <c r="WBM19" s="13"/>
      <c r="WBN19" s="13"/>
      <c r="WBO19" s="13"/>
      <c r="WBP19" s="13"/>
      <c r="WBQ19" s="13"/>
      <c r="WBR19" s="13"/>
      <c r="WBS19" s="13"/>
      <c r="WBT19" s="13"/>
      <c r="WBU19" s="13"/>
      <c r="WBV19" s="13"/>
      <c r="WBW19" s="13"/>
      <c r="WBX19" s="13"/>
      <c r="WBY19" s="13"/>
      <c r="WBZ19" s="13"/>
      <c r="WCA19" s="13"/>
      <c r="WCB19" s="13"/>
      <c r="WCC19" s="13"/>
      <c r="WCD19" s="13"/>
      <c r="WCE19" s="13"/>
      <c r="WCF19" s="13"/>
      <c r="WCG19" s="13"/>
      <c r="WCH19" s="13"/>
      <c r="WCI19" s="13"/>
      <c r="WCJ19" s="13"/>
      <c r="WCK19" s="13"/>
      <c r="WCL19" s="13"/>
      <c r="WCM19" s="13"/>
      <c r="WCN19" s="13"/>
      <c r="WCO19" s="13"/>
      <c r="WCP19" s="13"/>
      <c r="WCQ19" s="13"/>
      <c r="WCR19" s="13"/>
      <c r="WCS19" s="13"/>
      <c r="WCT19" s="13"/>
      <c r="WCU19" s="13"/>
      <c r="WCV19" s="13"/>
      <c r="WCW19" s="13"/>
      <c r="WCX19" s="13"/>
      <c r="WCY19" s="13"/>
      <c r="WCZ19" s="13"/>
      <c r="WDA19" s="13"/>
      <c r="WDB19" s="13"/>
      <c r="WDC19" s="13"/>
      <c r="WDD19" s="13"/>
      <c r="WDE19" s="13"/>
      <c r="WDF19" s="13"/>
      <c r="WDG19" s="13"/>
      <c r="WDH19" s="13"/>
      <c r="WDI19" s="13"/>
      <c r="WDJ19" s="13"/>
      <c r="WDK19" s="13"/>
      <c r="WDL19" s="13"/>
      <c r="WDM19" s="13"/>
      <c r="WDN19" s="13"/>
      <c r="WDO19" s="13"/>
      <c r="WDP19" s="13"/>
      <c r="WDQ19" s="13"/>
      <c r="WDR19" s="13"/>
      <c r="WDS19" s="13"/>
      <c r="WDT19" s="13"/>
      <c r="WDU19" s="13"/>
      <c r="WDV19" s="13"/>
      <c r="WDW19" s="13"/>
      <c r="WDX19" s="13"/>
      <c r="WDY19" s="13"/>
      <c r="WDZ19" s="13"/>
      <c r="WEA19" s="13"/>
      <c r="WEB19" s="13"/>
      <c r="WEC19" s="13"/>
      <c r="WED19" s="13"/>
      <c r="WEE19" s="13"/>
      <c r="WEF19" s="13"/>
      <c r="WEG19" s="13"/>
      <c r="WEH19" s="13"/>
      <c r="WEI19" s="13"/>
      <c r="WEJ19" s="13"/>
      <c r="WEK19" s="13"/>
      <c r="WEL19" s="13"/>
      <c r="WEM19" s="13"/>
      <c r="WEN19" s="13"/>
      <c r="WEO19" s="13"/>
      <c r="WEP19" s="13"/>
      <c r="WEQ19" s="13"/>
      <c r="WER19" s="13"/>
      <c r="WES19" s="13"/>
      <c r="WET19" s="13"/>
      <c r="WEU19" s="13"/>
      <c r="WEV19" s="13"/>
      <c r="WEW19" s="13"/>
      <c r="WEX19" s="13"/>
      <c r="WEY19" s="13"/>
      <c r="WEZ19" s="13"/>
      <c r="WFA19" s="13"/>
      <c r="WFB19" s="13"/>
      <c r="WFC19" s="13"/>
      <c r="WFD19" s="13"/>
      <c r="WFE19" s="13"/>
      <c r="WFF19" s="13"/>
      <c r="WFG19" s="13"/>
      <c r="WFH19" s="13"/>
      <c r="WFI19" s="13"/>
      <c r="WFJ19" s="13"/>
      <c r="WFK19" s="13"/>
      <c r="WFL19" s="13"/>
      <c r="WFM19" s="13"/>
      <c r="WFN19" s="13"/>
      <c r="WFO19" s="13"/>
      <c r="WFP19" s="13"/>
      <c r="WFQ19" s="13"/>
      <c r="WFR19" s="13"/>
      <c r="WFS19" s="13"/>
      <c r="WFT19" s="13"/>
      <c r="WFU19" s="13"/>
      <c r="WFV19" s="13"/>
      <c r="WFW19" s="13"/>
      <c r="WFX19" s="13"/>
      <c r="WFY19" s="13"/>
      <c r="WFZ19" s="13"/>
      <c r="WGA19" s="13"/>
      <c r="WGB19" s="13"/>
      <c r="WGC19" s="13"/>
      <c r="WGD19" s="13"/>
      <c r="WGE19" s="13"/>
      <c r="WGF19" s="13"/>
      <c r="WGG19" s="13"/>
      <c r="WGH19" s="13"/>
      <c r="WGI19" s="13"/>
      <c r="WGJ19" s="13"/>
      <c r="WGK19" s="13"/>
      <c r="WGL19" s="13"/>
      <c r="WGM19" s="13"/>
      <c r="WGN19" s="13"/>
      <c r="WGO19" s="13"/>
      <c r="WGP19" s="13"/>
      <c r="WGQ19" s="13"/>
      <c r="WGR19" s="13"/>
      <c r="WGS19" s="13"/>
      <c r="WGT19" s="13"/>
      <c r="WGU19" s="13"/>
      <c r="WGV19" s="13"/>
      <c r="WGW19" s="13"/>
      <c r="WGX19" s="13"/>
      <c r="WGY19" s="13"/>
      <c r="WGZ19" s="13"/>
      <c r="WHA19" s="13"/>
      <c r="WHB19" s="13"/>
      <c r="WHC19" s="13"/>
      <c r="WHD19" s="13"/>
      <c r="WHE19" s="13"/>
      <c r="WHF19" s="13"/>
      <c r="WHG19" s="13"/>
      <c r="WHH19" s="13"/>
      <c r="WHI19" s="13"/>
      <c r="WHJ19" s="13"/>
      <c r="WHK19" s="13"/>
      <c r="WHL19" s="13"/>
      <c r="WHM19" s="13"/>
      <c r="WHN19" s="13"/>
      <c r="WHO19" s="13"/>
      <c r="WHP19" s="13"/>
      <c r="WHQ19" s="13"/>
      <c r="WHR19" s="13"/>
      <c r="WHS19" s="13"/>
      <c r="WHT19" s="13"/>
      <c r="WHU19" s="13"/>
      <c r="WHV19" s="13"/>
      <c r="WHW19" s="13"/>
      <c r="WHX19" s="13"/>
      <c r="WHY19" s="13"/>
      <c r="WHZ19" s="13"/>
      <c r="WIA19" s="13"/>
      <c r="WIB19" s="13"/>
      <c r="WIC19" s="13"/>
      <c r="WID19" s="13"/>
      <c r="WIE19" s="13"/>
      <c r="WIF19" s="13"/>
      <c r="WIG19" s="13"/>
      <c r="WIH19" s="13"/>
      <c r="WII19" s="13"/>
      <c r="WIJ19" s="13"/>
      <c r="WIK19" s="13"/>
      <c r="WIL19" s="13"/>
      <c r="WIM19" s="13"/>
      <c r="WIN19" s="13"/>
      <c r="WIO19" s="13"/>
      <c r="WIP19" s="13"/>
      <c r="WIQ19" s="13"/>
      <c r="WIR19" s="13"/>
      <c r="WIS19" s="13"/>
      <c r="WIT19" s="13"/>
      <c r="WIU19" s="13"/>
      <c r="WIV19" s="13"/>
      <c r="WIW19" s="13"/>
      <c r="WIX19" s="13"/>
      <c r="WIY19" s="13"/>
      <c r="WIZ19" s="13"/>
      <c r="WJA19" s="13"/>
      <c r="WJB19" s="13"/>
      <c r="WJC19" s="13"/>
      <c r="WJD19" s="13"/>
      <c r="WJE19" s="13"/>
      <c r="WJF19" s="13"/>
      <c r="WJG19" s="13"/>
      <c r="WJH19" s="13"/>
      <c r="WJI19" s="13"/>
      <c r="WJJ19" s="13"/>
      <c r="WJK19" s="13"/>
      <c r="WJL19" s="13"/>
      <c r="WJM19" s="13"/>
      <c r="WJN19" s="13"/>
      <c r="WJO19" s="13"/>
      <c r="WJP19" s="13"/>
      <c r="WJQ19" s="13"/>
      <c r="WJR19" s="13"/>
      <c r="WJS19" s="13"/>
      <c r="WJT19" s="13"/>
      <c r="WJU19" s="13"/>
      <c r="WJV19" s="13"/>
      <c r="WJW19" s="13"/>
      <c r="WJX19" s="13"/>
      <c r="WJY19" s="13"/>
      <c r="WJZ19" s="13"/>
      <c r="WKA19" s="13"/>
      <c r="WKB19" s="13"/>
      <c r="WKC19" s="13"/>
      <c r="WKD19" s="13"/>
      <c r="WKE19" s="13"/>
      <c r="WKF19" s="13"/>
      <c r="WKG19" s="13"/>
      <c r="WKH19" s="13"/>
      <c r="WKI19" s="13"/>
      <c r="WKJ19" s="13"/>
      <c r="WKK19" s="13"/>
      <c r="WKL19" s="13"/>
      <c r="WKM19" s="13"/>
      <c r="WKN19" s="13"/>
      <c r="WKO19" s="13"/>
      <c r="WKP19" s="13"/>
      <c r="WKQ19" s="13"/>
      <c r="WKR19" s="13"/>
      <c r="WKS19" s="13"/>
      <c r="WKT19" s="13"/>
      <c r="WKU19" s="13"/>
      <c r="WKV19" s="13"/>
      <c r="WKW19" s="13"/>
      <c r="WKX19" s="13"/>
      <c r="WKY19" s="13"/>
      <c r="WKZ19" s="13"/>
      <c r="WLA19" s="13"/>
      <c r="WLB19" s="13"/>
      <c r="WLC19" s="13"/>
      <c r="WLD19" s="13"/>
      <c r="WLE19" s="13"/>
      <c r="WLF19" s="13"/>
      <c r="WLG19" s="13"/>
      <c r="WLH19" s="13"/>
      <c r="WLI19" s="13"/>
      <c r="WLJ19" s="13"/>
      <c r="WLK19" s="13"/>
      <c r="WLL19" s="13"/>
      <c r="WLM19" s="13"/>
      <c r="WLN19" s="13"/>
      <c r="WLO19" s="13"/>
      <c r="WLP19" s="13"/>
      <c r="WLQ19" s="13"/>
      <c r="WLR19" s="13"/>
      <c r="WLS19" s="13"/>
      <c r="WLT19" s="13"/>
      <c r="WLU19" s="13"/>
      <c r="WLV19" s="13"/>
      <c r="WLW19" s="13"/>
      <c r="WLX19" s="13"/>
      <c r="WLY19" s="13"/>
      <c r="WLZ19" s="13"/>
      <c r="WMA19" s="13"/>
      <c r="WMB19" s="13"/>
      <c r="WMC19" s="13"/>
      <c r="WMD19" s="13"/>
      <c r="WME19" s="13"/>
      <c r="WMF19" s="13"/>
      <c r="WMG19" s="13"/>
      <c r="WMH19" s="13"/>
      <c r="WMI19" s="13"/>
      <c r="WMJ19" s="13"/>
      <c r="WMK19" s="13"/>
      <c r="WML19" s="13"/>
      <c r="WMM19" s="13"/>
      <c r="WMN19" s="13"/>
      <c r="WMO19" s="13"/>
      <c r="WMP19" s="13"/>
      <c r="WMQ19" s="13"/>
      <c r="WMR19" s="13"/>
      <c r="WMS19" s="13"/>
      <c r="WMT19" s="13"/>
      <c r="WMU19" s="13"/>
      <c r="WMV19" s="13"/>
      <c r="WMW19" s="13"/>
      <c r="WMX19" s="13"/>
      <c r="WMY19" s="13"/>
      <c r="WMZ19" s="13"/>
      <c r="WNA19" s="13"/>
      <c r="WNB19" s="13"/>
      <c r="WNC19" s="13"/>
      <c r="WND19" s="13"/>
      <c r="WNE19" s="13"/>
      <c r="WNF19" s="13"/>
      <c r="WNG19" s="13"/>
      <c r="WNH19" s="13"/>
      <c r="WNI19" s="13"/>
      <c r="WNJ19" s="13"/>
      <c r="WNK19" s="13"/>
      <c r="WNL19" s="13"/>
      <c r="WNM19" s="13"/>
      <c r="WNN19" s="13"/>
      <c r="WNO19" s="13"/>
      <c r="WNP19" s="13"/>
      <c r="WNQ19" s="13"/>
      <c r="WNR19" s="13"/>
      <c r="WNS19" s="13"/>
      <c r="WNT19" s="13"/>
      <c r="WNU19" s="13"/>
      <c r="WNV19" s="13"/>
      <c r="WNW19" s="13"/>
      <c r="WNX19" s="13"/>
      <c r="WNY19" s="13"/>
      <c r="WNZ19" s="13"/>
      <c r="WOA19" s="13"/>
      <c r="WOB19" s="13"/>
      <c r="WOC19" s="13"/>
      <c r="WOD19" s="13"/>
      <c r="WOE19" s="13"/>
      <c r="WOF19" s="13"/>
      <c r="WOG19" s="13"/>
      <c r="WOH19" s="13"/>
      <c r="WOI19" s="13"/>
      <c r="WOJ19" s="13"/>
      <c r="WOK19" s="13"/>
      <c r="WOL19" s="13"/>
      <c r="WOM19" s="13"/>
      <c r="WON19" s="13"/>
      <c r="WOO19" s="13"/>
      <c r="WOP19" s="13"/>
      <c r="WOQ19" s="13"/>
      <c r="WOR19" s="13"/>
      <c r="WOS19" s="13"/>
      <c r="WOT19" s="13"/>
      <c r="WOU19" s="13"/>
      <c r="WOV19" s="13"/>
      <c r="WOW19" s="13"/>
      <c r="WOX19" s="13"/>
      <c r="WOY19" s="13"/>
      <c r="WOZ19" s="13"/>
      <c r="WPA19" s="13"/>
      <c r="WPB19" s="13"/>
      <c r="WPC19" s="13"/>
      <c r="WPD19" s="13"/>
      <c r="WPE19" s="13"/>
      <c r="WPF19" s="13"/>
      <c r="WPG19" s="13"/>
      <c r="WPH19" s="13"/>
      <c r="WPI19" s="13"/>
      <c r="WPJ19" s="13"/>
      <c r="WPK19" s="13"/>
      <c r="WPL19" s="13"/>
      <c r="WPM19" s="13"/>
      <c r="WPN19" s="13"/>
      <c r="WPO19" s="13"/>
      <c r="WPP19" s="13"/>
      <c r="WPQ19" s="13"/>
      <c r="WPR19" s="13"/>
      <c r="WPS19" s="13"/>
      <c r="WPT19" s="13"/>
      <c r="WPU19" s="13"/>
      <c r="WPV19" s="13"/>
      <c r="WPW19" s="13"/>
      <c r="WPX19" s="13"/>
      <c r="WPY19" s="13"/>
      <c r="WPZ19" s="13"/>
      <c r="WQA19" s="13"/>
      <c r="WQB19" s="13"/>
      <c r="WQC19" s="13"/>
      <c r="WQD19" s="13"/>
      <c r="WQE19" s="13"/>
      <c r="WQF19" s="13"/>
      <c r="WQG19" s="13"/>
      <c r="WQH19" s="13"/>
      <c r="WQI19" s="13"/>
      <c r="WQJ19" s="13"/>
      <c r="WQK19" s="13"/>
      <c r="WQL19" s="13"/>
      <c r="WQM19" s="13"/>
      <c r="WQN19" s="13"/>
      <c r="WQO19" s="13"/>
      <c r="WQP19" s="13"/>
      <c r="WQQ19" s="13"/>
      <c r="WQR19" s="13"/>
      <c r="WQS19" s="13"/>
      <c r="WQT19" s="13"/>
      <c r="WQU19" s="13"/>
      <c r="WQV19" s="13"/>
      <c r="WQW19" s="13"/>
      <c r="WQX19" s="13"/>
      <c r="WQY19" s="13"/>
      <c r="WQZ19" s="13"/>
      <c r="WRA19" s="13"/>
      <c r="WRB19" s="13"/>
      <c r="WRC19" s="13"/>
      <c r="WRD19" s="13"/>
      <c r="WRE19" s="13"/>
      <c r="WRF19" s="13"/>
      <c r="WRG19" s="13"/>
      <c r="WRH19" s="13"/>
      <c r="WRI19" s="13"/>
      <c r="WRJ19" s="13"/>
      <c r="WRK19" s="13"/>
      <c r="WRL19" s="13"/>
      <c r="WRM19" s="13"/>
      <c r="WRN19" s="13"/>
      <c r="WRO19" s="13"/>
      <c r="WRP19" s="13"/>
      <c r="WRQ19" s="13"/>
      <c r="WRR19" s="13"/>
      <c r="WRS19" s="13"/>
      <c r="WRT19" s="13"/>
      <c r="WRU19" s="13"/>
      <c r="WRV19" s="13"/>
      <c r="WRW19" s="13"/>
      <c r="WRX19" s="13"/>
      <c r="WRY19" s="13"/>
      <c r="WRZ19" s="13"/>
      <c r="WSA19" s="13"/>
      <c r="WSB19" s="13"/>
      <c r="WSC19" s="13"/>
      <c r="WSD19" s="13"/>
      <c r="WSE19" s="13"/>
      <c r="WSF19" s="13"/>
      <c r="WSG19" s="13"/>
      <c r="WSH19" s="13"/>
      <c r="WSI19" s="13"/>
      <c r="WSJ19" s="13"/>
      <c r="WSK19" s="13"/>
      <c r="WSL19" s="13"/>
      <c r="WSM19" s="13"/>
      <c r="WSN19" s="13"/>
      <c r="WSO19" s="13"/>
      <c r="WSP19" s="13"/>
      <c r="WSQ19" s="13"/>
      <c r="WSR19" s="13"/>
      <c r="WSS19" s="13"/>
      <c r="WST19" s="13"/>
      <c r="WSU19" s="13"/>
      <c r="WSV19" s="13"/>
      <c r="WSW19" s="13"/>
      <c r="WSX19" s="13"/>
      <c r="WSY19" s="13"/>
      <c r="WSZ19" s="13"/>
      <c r="WTA19" s="13"/>
      <c r="WTB19" s="13"/>
      <c r="WTC19" s="13"/>
      <c r="WTD19" s="13"/>
      <c r="WTE19" s="13"/>
      <c r="WTF19" s="13"/>
      <c r="WTG19" s="13"/>
      <c r="WTH19" s="13"/>
      <c r="WTI19" s="13"/>
      <c r="WTJ19" s="13"/>
      <c r="WTK19" s="13"/>
      <c r="WTL19" s="13"/>
      <c r="WTM19" s="13"/>
      <c r="WTN19" s="13"/>
      <c r="WTO19" s="13"/>
      <c r="WTP19" s="13"/>
      <c r="WTQ19" s="13"/>
      <c r="WTR19" s="13"/>
      <c r="WTS19" s="13"/>
      <c r="WTT19" s="13"/>
      <c r="WTU19" s="13"/>
      <c r="WTV19" s="13"/>
    </row>
    <row r="20" spans="1:16090" ht="15.75" customHeight="1" x14ac:dyDescent="0.2">
      <c r="A20" s="151" t="s">
        <v>372</v>
      </c>
      <c r="B20" s="107" t="s">
        <v>781</v>
      </c>
      <c r="C20" s="61" t="str">
        <f>'Raw Datas'!C89</f>
        <v>0</v>
      </c>
      <c r="D20" s="65">
        <f>'Raw Datas'!D89</f>
        <v>0.11438333333333334</v>
      </c>
      <c r="E20" s="65" t="str">
        <f>'Raw Datas'!E89</f>
        <v>0</v>
      </c>
      <c r="F20" s="65">
        <f>'Raw Datas'!F89</f>
        <v>0.26216666666666666</v>
      </c>
      <c r="G20" s="65">
        <f>'Raw Datas'!G89</f>
        <v>0.23558333333333334</v>
      </c>
      <c r="H20" s="65">
        <f>'Raw Datas'!H89</f>
        <v>0.14326666666666668</v>
      </c>
      <c r="I20" s="65">
        <f>'Raw Datas'!I89</f>
        <v>1.3614166666666667</v>
      </c>
      <c r="J20" s="65">
        <f>'Raw Datas'!J89</f>
        <v>0.30044999999999999</v>
      </c>
      <c r="K20" s="65" t="str">
        <f>'Raw Datas'!K89</f>
        <v>0</v>
      </c>
      <c r="L20" s="65" t="str">
        <f>'Raw Datas'!L89</f>
        <v>0</v>
      </c>
      <c r="M20" s="65">
        <f>'Raw Datas'!M89</f>
        <v>0.17911666666666667</v>
      </c>
      <c r="N20" s="65">
        <f>'Raw Datas'!N89</f>
        <v>1.9583333333333331E-2</v>
      </c>
      <c r="O20" s="65">
        <f>'Raw Datas'!O89</f>
        <v>0.18516666666666665</v>
      </c>
      <c r="P20" s="65">
        <f>'Raw Datas'!P89</f>
        <v>0.26108333333333333</v>
      </c>
      <c r="Q20" s="65">
        <f>'Raw Datas'!Q89</f>
        <v>8.3299999999999999E-2</v>
      </c>
      <c r="R20" s="65">
        <f>'Raw Datas'!R89</f>
        <v>1.1180833333333333</v>
      </c>
      <c r="S20" s="65">
        <f>'Raw Datas'!S89</f>
        <v>7.9250000000000001E-2</v>
      </c>
      <c r="T20" s="65" t="str">
        <f>'Raw Datas'!T89</f>
        <v>0</v>
      </c>
      <c r="U20" s="65">
        <f>'Raw Datas'!U89</f>
        <v>4.6149999999999997E-2</v>
      </c>
      <c r="V20" s="65">
        <f>'Raw Datas'!V89</f>
        <v>-2.6450000000000005E-2</v>
      </c>
      <c r="W20" s="65">
        <f>'Raw Datas'!W89</f>
        <v>1.4579714285714285</v>
      </c>
      <c r="X20" s="65">
        <f>'Raw Datas'!X89</f>
        <v>-2.6800000000000001E-2</v>
      </c>
      <c r="Y20" s="65">
        <f>'Raw Datas'!Y89</f>
        <v>0.3218166666666667</v>
      </c>
      <c r="Z20" s="65">
        <f>'Raw Datas'!Z89</f>
        <v>2.7280200000000003</v>
      </c>
      <c r="AA20" s="65">
        <f>'Raw Datas'!AA89</f>
        <v>0.13908333333333334</v>
      </c>
      <c r="AB20" s="65">
        <f>'Raw Datas'!AB89</f>
        <v>0.23815000000000003</v>
      </c>
      <c r="AC20" s="65">
        <f>'Raw Datas'!AC89</f>
        <v>0.22235000000000002</v>
      </c>
      <c r="AD20" s="65">
        <f>'Raw Datas'!AD89</f>
        <v>0.13621666666666668</v>
      </c>
      <c r="AE20" s="65" t="str">
        <f>'Raw Datas'!AE89</f>
        <v>0</v>
      </c>
      <c r="AF20" s="65" t="str">
        <f>'Raw Datas'!AF89</f>
        <v>0</v>
      </c>
      <c r="AG20" s="9">
        <f>'Raw Datas'!AG89</f>
        <v>0.23864999999999997</v>
      </c>
      <c r="AH20" s="9" t="str">
        <f>'Raw Datas'!AH89</f>
        <v>0</v>
      </c>
      <c r="AI20" s="9">
        <f>'Raw Datas'!AI89</f>
        <v>0.35160000000000002</v>
      </c>
      <c r="AJ20" s="9">
        <f>'Raw Datas'!AJ89</f>
        <v>0.59001666666666663</v>
      </c>
      <c r="AK20" s="9" t="str">
        <f>'Raw Datas'!AK89</f>
        <v>0</v>
      </c>
      <c r="AL20" s="9">
        <f>'Raw Datas'!AL89</f>
        <v>0.97791666666666666</v>
      </c>
      <c r="AM20" s="9">
        <f>'Raw Datas'!AM89</f>
        <v>0.17226666666666668</v>
      </c>
      <c r="AN20" s="9">
        <f>'Raw Datas'!AN89</f>
        <v>2.0983333333333336E-2</v>
      </c>
      <c r="AO20" s="9">
        <f>'Raw Datas'!AO89</f>
        <v>-1.0833333333333334E-2</v>
      </c>
      <c r="AP20" s="9" t="str">
        <f>'Raw Datas'!AP89</f>
        <v>0</v>
      </c>
      <c r="AQ20" s="9">
        <f>'Raw Datas'!AQ89</f>
        <v>9.7499999999999989E-2</v>
      </c>
      <c r="AR20" s="9">
        <f>'Raw Datas'!AR89</f>
        <v>-2.4233333333333332E-2</v>
      </c>
      <c r="AS20" s="9">
        <f>'Raw Datas'!AS89</f>
        <v>1.90005</v>
      </c>
      <c r="AT20" s="9">
        <f>'Raw Datas'!AT89</f>
        <v>0.21211666666666668</v>
      </c>
      <c r="AU20" s="9" t="str">
        <f>'Raw Datas'!AU89</f>
        <v>0</v>
      </c>
      <c r="AV20" s="9" t="str">
        <f>'Raw Datas'!AV89</f>
        <v>0</v>
      </c>
      <c r="AW20" s="9" t="str">
        <f>'Raw Datas'!AW89</f>
        <v>0</v>
      </c>
      <c r="AX20" s="9">
        <f>'Raw Datas'!AX89</f>
        <v>0.14025000000000001</v>
      </c>
      <c r="AY20" s="9">
        <f>'Raw Datas'!AY89</f>
        <v>0.27681666666666671</v>
      </c>
      <c r="AZ20" s="9" t="str">
        <f>'Raw Datas'!AZ89</f>
        <v>0</v>
      </c>
      <c r="BA20" s="9" t="str">
        <f>'Raw Datas'!BA89</f>
        <v>0</v>
      </c>
      <c r="BB20" s="9" t="str">
        <f>'Raw Datas'!BB89</f>
        <v>0</v>
      </c>
      <c r="BC20" s="9" t="str">
        <f>'Raw Datas'!BC89</f>
        <v>0</v>
      </c>
      <c r="BD20" s="9" t="str">
        <f>'Raw Datas'!BD89</f>
        <v>0</v>
      </c>
      <c r="BE20" s="9" t="str">
        <f>'Raw Datas'!BE89</f>
        <v>0</v>
      </c>
      <c r="BF20" s="9">
        <f>'Raw Datas'!BF89</f>
        <v>0.32533333333333331</v>
      </c>
      <c r="BG20" s="9" t="str">
        <f>'Raw Datas'!BG89</f>
        <v>0</v>
      </c>
      <c r="BH20" s="9">
        <f>'Raw Datas'!BH89</f>
        <v>0.70773333333333344</v>
      </c>
      <c r="BI20" s="9">
        <f>'Raw Datas'!BI89</f>
        <v>0.69168333333333343</v>
      </c>
      <c r="BJ20" s="9">
        <f>'Raw Datas'!BJ89</f>
        <v>1.7809999999999999</v>
      </c>
      <c r="BK20" s="9">
        <f>'Raw Datas'!BK89</f>
        <v>0.23905000000000001</v>
      </c>
      <c r="BL20" s="9">
        <f>'Raw Datas'!BL89</f>
        <v>11.661033333333334</v>
      </c>
      <c r="BM20" s="9">
        <f>'Raw Datas'!BM89</f>
        <v>13.175628571428572</v>
      </c>
      <c r="BN20" s="9">
        <f>'Raw Datas'!BN89</f>
        <v>12.500450000000001</v>
      </c>
      <c r="BO20" s="9">
        <f>'Raw Datas'!BO89</f>
        <v>25.832466666666665</v>
      </c>
      <c r="BP20" s="9">
        <f>'Raw Datas'!BP89</f>
        <v>10.46965</v>
      </c>
      <c r="BQ20" s="9">
        <f>'Raw Datas'!BQ89</f>
        <v>1.3425</v>
      </c>
      <c r="BR20" s="9" t="str">
        <f>'Raw Datas'!BR89</f>
        <v>0</v>
      </c>
      <c r="BS20" s="9">
        <f>'Raw Datas'!BS89</f>
        <v>10.907816666666667</v>
      </c>
      <c r="BT20" s="9">
        <f>'Raw Datas'!BT89</f>
        <v>2.9771000000000001</v>
      </c>
      <c r="BU20" s="9">
        <f>'Raw Datas'!BU89</f>
        <v>0.6014666666666667</v>
      </c>
      <c r="BV20" s="9">
        <f>'Raw Datas'!BV89</f>
        <v>1.2971000000000001</v>
      </c>
      <c r="BW20" s="9">
        <f>'Raw Datas'!BW89</f>
        <v>0.62841666666666662</v>
      </c>
      <c r="BX20" s="9" t="str">
        <f>'Raw Datas'!BX89</f>
        <v>0</v>
      </c>
      <c r="BY20" s="9">
        <f>'Raw Datas'!BY89</f>
        <v>0.95213333333333339</v>
      </c>
      <c r="BZ20" s="9">
        <f>'Raw Datas'!BZ89</f>
        <v>0.78896666666666659</v>
      </c>
      <c r="CA20" s="9">
        <f>'Raw Datas'!CA89</f>
        <v>0.6851666666666667</v>
      </c>
      <c r="CB20" s="9">
        <f>'Raw Datas'!CB89</f>
        <v>0.39558333333333334</v>
      </c>
      <c r="CC20" s="9">
        <f>'Raw Datas'!CC89</f>
        <v>0.11084999999999999</v>
      </c>
      <c r="CD20" s="9">
        <f>'Raw Datas'!CD89</f>
        <v>0.1360166666666667</v>
      </c>
      <c r="CE20" s="9">
        <f>'Raw Datas'!CE89</f>
        <v>2.8274333333333335</v>
      </c>
      <c r="CF20" s="9">
        <f>'Raw Datas'!CF89</f>
        <v>0.14256666666666667</v>
      </c>
      <c r="CG20" s="9">
        <f>'Raw Datas'!CG89</f>
        <v>3.7333333333333333E-3</v>
      </c>
      <c r="CH20" s="9" t="str">
        <f>'Raw Datas'!CH89</f>
        <v>0</v>
      </c>
      <c r="CI20" s="9">
        <f>'Raw Datas'!CI89</f>
        <v>0.3532333333333334</v>
      </c>
      <c r="CJ20" s="9" t="str">
        <f>'Raw Datas'!CJ89</f>
        <v>0</v>
      </c>
      <c r="CK20" s="9">
        <f>'Raw Datas'!CK89</f>
        <v>2.7733333333333332E-2</v>
      </c>
      <c r="CL20" s="9">
        <f>'Raw Datas'!CL89</f>
        <v>0.49035000000000001</v>
      </c>
      <c r="CM20" s="9">
        <f>'Raw Datas'!CM89</f>
        <v>3.5533333333333333E-2</v>
      </c>
      <c r="CN20" s="9" t="str">
        <f>'Raw Datas'!CN89</f>
        <v>0</v>
      </c>
      <c r="CO20" s="9">
        <f>'Raw Datas'!CO89</f>
        <v>0.19498333333333334</v>
      </c>
      <c r="CP20" s="9">
        <f>'Raw Datas'!CP89</f>
        <v>0.1711333333333333</v>
      </c>
      <c r="CQ20" s="9">
        <f>'Raw Datas'!CQ89</f>
        <v>0.12701666666666667</v>
      </c>
      <c r="CR20" s="9">
        <f>'Raw Datas'!CR89</f>
        <v>3.1651000000000002</v>
      </c>
      <c r="CS20" s="9">
        <f>'Raw Datas'!CS89</f>
        <v>-1.455E-2</v>
      </c>
      <c r="CT20" s="9" t="str">
        <f>'Raw Datas'!CT89</f>
        <v>0</v>
      </c>
      <c r="CU20" s="9">
        <f>'Raw Datas'!CU89</f>
        <v>7.8366666666666668E-2</v>
      </c>
      <c r="CV20" s="9" t="str">
        <f>'Raw Datas'!CV89</f>
        <v>0</v>
      </c>
      <c r="CW20" s="9">
        <f>'Raw Datas'!CW89</f>
        <v>2.3016666666666668E-2</v>
      </c>
      <c r="CX20" s="9" t="str">
        <f>'Raw Datas'!CX89</f>
        <v>0</v>
      </c>
      <c r="CY20" s="9">
        <f>'Raw Datas'!CY89</f>
        <v>7.1766666666666673E-2</v>
      </c>
      <c r="CZ20" s="9">
        <f>'Raw Datas'!CZ89</f>
        <v>-3.0200000000000001E-2</v>
      </c>
      <c r="DA20" s="9" t="str">
        <f>'Raw Datas'!DA89</f>
        <v>0</v>
      </c>
      <c r="DB20" s="9">
        <f>'Raw Datas'!DB89</f>
        <v>5.8050000000000004E-2</v>
      </c>
      <c r="DC20" s="9">
        <f>'Raw Datas'!DC89</f>
        <v>0.15493333333333331</v>
      </c>
      <c r="DD20" s="9" t="str">
        <f>'Raw Datas'!DD89</f>
        <v>0</v>
      </c>
      <c r="DE20" s="9">
        <f>'Raw Datas'!DE89</f>
        <v>4.4749999999999998E-2</v>
      </c>
      <c r="DF20" s="9" t="str">
        <f>'Raw Datas'!DF89</f>
        <v>0</v>
      </c>
      <c r="DG20" s="9">
        <f>'Raw Datas'!DG89</f>
        <v>0.49475000000000002</v>
      </c>
      <c r="DH20" s="9">
        <f>'Raw Datas'!DH89</f>
        <v>1.8600000000000002E-2</v>
      </c>
      <c r="DI20" s="9">
        <f>'Raw Datas'!DI89</f>
        <v>2.1233333333333333E-2</v>
      </c>
      <c r="DJ20" s="9">
        <f>'Raw Datas'!DJ89</f>
        <v>0.42313333333333336</v>
      </c>
      <c r="DK20" s="9">
        <f>'Raw Datas'!DK89</f>
        <v>0.45463333333333333</v>
      </c>
      <c r="DL20" s="9" t="str">
        <f>'Raw Datas'!DL89</f>
        <v>0</v>
      </c>
      <c r="DM20" s="9">
        <f>'Raw Datas'!DM89</f>
        <v>6.9833333333333327E-3</v>
      </c>
      <c r="DN20" s="9">
        <f>'Raw Datas'!DN89</f>
        <v>0.15258333333333332</v>
      </c>
      <c r="DO20" s="9">
        <f>'Raw Datas'!DO89</f>
        <v>0.13718333333333332</v>
      </c>
      <c r="DP20" s="9" t="str">
        <f>'Raw Datas'!DP89</f>
        <v>0</v>
      </c>
      <c r="DQ20" s="9">
        <f>'Raw Datas'!DQ89</f>
        <v>-1.8666666666666668E-2</v>
      </c>
      <c r="DR20" s="9" t="str">
        <f>'Raw Datas'!DR89</f>
        <v>0</v>
      </c>
      <c r="DS20" s="9">
        <f>'Raw Datas'!DS89</f>
        <v>-3.8E-3</v>
      </c>
      <c r="DT20" s="9">
        <f>'Raw Datas'!DT89</f>
        <v>-2.3516666666666668E-2</v>
      </c>
      <c r="DU20" s="9">
        <f>'Raw Datas'!DU89</f>
        <v>0.2268</v>
      </c>
      <c r="DV20" s="9" t="str">
        <f>'Raw Datas'!DV89</f>
        <v>0</v>
      </c>
      <c r="DW20" s="9" t="str">
        <f>'Raw Datas'!DW89</f>
        <v>0</v>
      </c>
      <c r="DX20" s="9">
        <f>'Raw Datas'!DX89</f>
        <v>0.13916666666666666</v>
      </c>
      <c r="DY20" s="9">
        <f>'Raw Datas'!DY89</f>
        <v>0.18545</v>
      </c>
      <c r="DZ20" s="9">
        <f>'Raw Datas'!DZ89</f>
        <v>4.0499999999999998E-3</v>
      </c>
      <c r="EA20" s="9">
        <f>'Raw Datas'!EA89</f>
        <v>7.0333333333333331E-2</v>
      </c>
      <c r="EB20" s="9">
        <f>'Raw Datas'!EB89</f>
        <v>-2.3916666666666662E-2</v>
      </c>
      <c r="EC20" s="9" t="str">
        <f>'Raw Datas'!EC89</f>
        <v>0</v>
      </c>
      <c r="ED20" s="9" t="str">
        <f>'Raw Datas'!ED89</f>
        <v>0</v>
      </c>
      <c r="EE20" s="9" t="str">
        <f>'Raw Datas'!EE89</f>
        <v>0</v>
      </c>
      <c r="EF20" s="9" t="str">
        <f>'Raw Datas'!EF89</f>
        <v>0</v>
      </c>
      <c r="EG20" s="9">
        <f>'Raw Datas'!EG89</f>
        <v>7.5800000000000006E-2</v>
      </c>
      <c r="EH20" s="9">
        <f>'Raw Datas'!EH89</f>
        <v>0.37414999999999998</v>
      </c>
      <c r="EI20" s="9" t="str">
        <f>'Raw Datas'!EI89</f>
        <v>0</v>
      </c>
      <c r="EJ20" s="9">
        <f>'Raw Datas'!EJ89</f>
        <v>-1.7166666666666667E-2</v>
      </c>
      <c r="EK20" s="9">
        <f>'Raw Datas'!EK89</f>
        <v>0.15435000000000001</v>
      </c>
      <c r="EL20" s="9">
        <f>'Raw Datas'!EL89</f>
        <v>4.7649999999999998E-2</v>
      </c>
      <c r="EM20" s="9" t="str">
        <f>'Raw Datas'!EM89</f>
        <v>0</v>
      </c>
      <c r="EN20" s="9">
        <f>'Raw Datas'!EN89</f>
        <v>0.43893333333333329</v>
      </c>
      <c r="EO20" s="9">
        <f>'Raw Datas'!EO89</f>
        <v>0.40383333333333332</v>
      </c>
      <c r="EP20" s="9">
        <f>'Raw Datas'!EP89</f>
        <v>0.14868333333333333</v>
      </c>
      <c r="EQ20" s="9">
        <f>'Raw Datas'!EQ89</f>
        <v>-1.4283333333333334E-2</v>
      </c>
      <c r="ER20" s="9">
        <f>'Raw Datas'!ER89</f>
        <v>8.7233333333333329E-2</v>
      </c>
      <c r="ES20" s="9">
        <f>'Raw Datas'!ES89</f>
        <v>1.0233333333333334E-2</v>
      </c>
      <c r="ET20" s="9">
        <f>'Raw Datas'!ET89</f>
        <v>0.13896666666666666</v>
      </c>
      <c r="EU20" s="9">
        <f>'Raw Datas'!EU89</f>
        <v>0.15483333333333335</v>
      </c>
      <c r="EV20" s="9" t="str">
        <f>'Raw Datas'!EV89</f>
        <v>0</v>
      </c>
      <c r="EW20" s="9" t="str">
        <f>'Raw Datas'!EW89</f>
        <v>0</v>
      </c>
      <c r="EX20" s="9">
        <f>'Raw Datas'!EX89</f>
        <v>0.55945</v>
      </c>
      <c r="EY20" s="9" t="str">
        <f>'Raw Datas'!EY89</f>
        <v>0</v>
      </c>
      <c r="EZ20" s="9">
        <f>'Raw Datas'!EZ89</f>
        <v>6.0433333333333332E-2</v>
      </c>
      <c r="FA20" s="9" t="str">
        <f>'Raw Datas'!FA89</f>
        <v>0</v>
      </c>
      <c r="FB20" s="9" t="str">
        <f>'Raw Datas'!FB89</f>
        <v>0</v>
      </c>
      <c r="FC20" s="9" t="str">
        <f>'Raw Datas'!FC89</f>
        <v>0</v>
      </c>
      <c r="FD20" s="9">
        <f>'Raw Datas'!FD89</f>
        <v>-2.1433333333333335E-2</v>
      </c>
      <c r="FE20" s="9">
        <f>'Raw Datas'!FE89</f>
        <v>1.7649999999999999E-2</v>
      </c>
      <c r="FF20" s="9">
        <f>'Raw Datas'!FF89</f>
        <v>0.10803333333333334</v>
      </c>
      <c r="FG20" s="9" t="str">
        <f>'Raw Datas'!FG89</f>
        <v>0</v>
      </c>
      <c r="FH20" s="9">
        <f>'Raw Datas'!FH89</f>
        <v>0.19223333333333331</v>
      </c>
      <c r="FI20" s="9">
        <f>'Raw Datas'!FI89</f>
        <v>0.27561666666666668</v>
      </c>
      <c r="FJ20" s="9">
        <f>'Raw Datas'!FJ89</f>
        <v>-8.483333333333334E-3</v>
      </c>
      <c r="FK20" s="9">
        <f>'Raw Datas'!FK89</f>
        <v>7.2700000000000001E-2</v>
      </c>
      <c r="FL20" s="9">
        <f>'Raw Datas'!FL89</f>
        <v>-1.3966666666666665E-2</v>
      </c>
      <c r="FM20" s="9">
        <f>'Raw Datas'!FM89</f>
        <v>5.2500000000000003E-3</v>
      </c>
      <c r="FN20" s="9" t="str">
        <f>'Raw Datas'!FN89</f>
        <v>0</v>
      </c>
      <c r="FO20" s="9" t="str">
        <f>'Raw Datas'!FO89</f>
        <v>0</v>
      </c>
    </row>
    <row r="21" spans="1:16090" ht="16" thickBot="1" x14ac:dyDescent="0.25">
      <c r="B21" s="10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</row>
    <row r="22" spans="1:16090" ht="15" customHeight="1" x14ac:dyDescent="0.2">
      <c r="A22" s="151" t="s">
        <v>370</v>
      </c>
      <c r="B22" s="112" t="s">
        <v>782</v>
      </c>
      <c r="C22" s="60">
        <f>'Raw Datas'!C95</f>
        <v>2.5767000000000002</v>
      </c>
      <c r="D22" s="63">
        <f>'Raw Datas'!D95</f>
        <v>4.1894833333333334</v>
      </c>
      <c r="E22" s="63">
        <f>'Raw Datas'!E95</f>
        <v>0.9401166666666666</v>
      </c>
      <c r="F22" s="63">
        <f>'Raw Datas'!F95</f>
        <v>2.8106000000000004</v>
      </c>
      <c r="G22" s="63">
        <f>'Raw Datas'!G95</f>
        <v>3.8370833333333336</v>
      </c>
      <c r="H22" s="63">
        <f>'Raw Datas'!H95</f>
        <v>4.9248000000000003</v>
      </c>
      <c r="I22" s="63">
        <f>'Raw Datas'!I95</f>
        <v>7.7584666666666671</v>
      </c>
      <c r="J22" s="63">
        <f>'Raw Datas'!J95</f>
        <v>4.0750166666666665</v>
      </c>
      <c r="K22" s="63">
        <f>'Raw Datas'!K95</f>
        <v>5.3613999999999997</v>
      </c>
      <c r="L22" s="63">
        <f>'Raw Datas'!L95</f>
        <v>1.9658833333333332</v>
      </c>
      <c r="M22" s="63">
        <f>'Raw Datas'!M95</f>
        <v>3.9744666666666668</v>
      </c>
      <c r="N22" s="63">
        <f>'Raw Datas'!N95</f>
        <v>5.2556666666666665</v>
      </c>
      <c r="O22" s="63">
        <f>'Raw Datas'!O95</f>
        <v>6.5911333333333326</v>
      </c>
      <c r="P22" s="63">
        <f>'Raw Datas'!P95</f>
        <v>8.3572333333333333</v>
      </c>
      <c r="Q22" s="63">
        <f>'Raw Datas'!Q95</f>
        <v>4.7140833333333338</v>
      </c>
      <c r="R22" s="63">
        <f>'Raw Datas'!R95</f>
        <v>20.597383333333333</v>
      </c>
      <c r="S22" s="63">
        <f>'Raw Datas'!S95</f>
        <v>4.7375166666666662</v>
      </c>
      <c r="T22" s="63">
        <f>'Raw Datas'!T95</f>
        <v>1.5780333333333332</v>
      </c>
      <c r="U22" s="63">
        <f>'Raw Datas'!U95</f>
        <v>1.4380499999999998</v>
      </c>
      <c r="V22" s="63">
        <f>'Raw Datas'!V95</f>
        <v>1.7859000000000003</v>
      </c>
      <c r="W22" s="63">
        <f>'Raw Datas'!W95</f>
        <v>12.638171428571429</v>
      </c>
      <c r="X22" s="63">
        <f>'Raw Datas'!X95</f>
        <v>6.1234799999999998</v>
      </c>
      <c r="Y22" s="63">
        <f>'Raw Datas'!Y95</f>
        <v>7.7328999999999999</v>
      </c>
      <c r="Z22" s="63">
        <f>'Raw Datas'!Z95</f>
        <v>25.379580000000001</v>
      </c>
      <c r="AA22" s="63">
        <f>'Raw Datas'!AA95</f>
        <v>3.5560499999999999</v>
      </c>
      <c r="AB22" s="63">
        <f>'Raw Datas'!AB95</f>
        <v>5.6275500000000003</v>
      </c>
      <c r="AC22" s="63">
        <f>'Raw Datas'!AC95</f>
        <v>1.9679166666666665</v>
      </c>
      <c r="AD22" s="63">
        <f>'Raw Datas'!AD95</f>
        <v>2.2875333333333332</v>
      </c>
      <c r="AE22" s="63">
        <f>'Raw Datas'!AE95</f>
        <v>1.4587000000000001</v>
      </c>
      <c r="AF22" s="63">
        <f>'Raw Datas'!AF95</f>
        <v>3.3823833333333329</v>
      </c>
      <c r="AG22" s="63">
        <f>'Raw Datas'!AG95</f>
        <v>7.5983999999999998</v>
      </c>
      <c r="AH22" s="63">
        <f>'Raw Datas'!AH95</f>
        <v>2.2536833333333335</v>
      </c>
      <c r="AI22" s="63">
        <f>'Raw Datas'!AI95</f>
        <v>7.0103666666666662</v>
      </c>
      <c r="AJ22" s="63">
        <f>'Raw Datas'!AJ95</f>
        <v>8.0372999999999983</v>
      </c>
      <c r="AK22" s="63">
        <f>'Raw Datas'!AK95</f>
        <v>1.8447166666666668</v>
      </c>
      <c r="AL22" s="63">
        <f>'Raw Datas'!AL95</f>
        <v>4.0986333333333338</v>
      </c>
      <c r="AM22" s="63">
        <f>'Raw Datas'!AM95</f>
        <v>11.123850000000001</v>
      </c>
      <c r="AN22" s="63">
        <f>'Raw Datas'!AN95</f>
        <v>3.6527000000000003</v>
      </c>
      <c r="AO22" s="63">
        <f>'Raw Datas'!AO95</f>
        <v>2.0621999999999998</v>
      </c>
      <c r="AP22" s="63">
        <f>'Raw Datas'!AP95</f>
        <v>2.1591333333333336</v>
      </c>
      <c r="AQ22" s="63">
        <f>'Raw Datas'!AQ95</f>
        <v>4.7780166666666668</v>
      </c>
      <c r="AR22" s="63">
        <f>'Raw Datas'!AR95</f>
        <v>1.2664333333333333</v>
      </c>
      <c r="AS22" s="63">
        <f>'Raw Datas'!AS95</f>
        <v>24.137483333333339</v>
      </c>
      <c r="AT22" s="63">
        <f>'Raw Datas'!AT95</f>
        <v>10.4259</v>
      </c>
      <c r="AU22" s="63">
        <f>'Raw Datas'!AU95</f>
        <v>1.49292</v>
      </c>
      <c r="AV22" s="63">
        <f>'Raw Datas'!AV95</f>
        <v>0.84928000000000015</v>
      </c>
      <c r="AW22" s="63">
        <f>'Raw Datas'!AW95</f>
        <v>1.8841833333333331</v>
      </c>
      <c r="AX22" s="63">
        <f>'Raw Datas'!AX95</f>
        <v>3.4001333333333337</v>
      </c>
      <c r="AY22" s="63">
        <f>'Raw Datas'!AY95</f>
        <v>2.9891166666666664</v>
      </c>
      <c r="AZ22" s="63">
        <f>'Raw Datas'!AZ95</f>
        <v>0.86456666666666671</v>
      </c>
      <c r="BA22" s="63">
        <f>'Raw Datas'!BA95</f>
        <v>2.7622666666666666</v>
      </c>
      <c r="BB22" s="63">
        <f>'Raw Datas'!BB95</f>
        <v>1.6281666666666665</v>
      </c>
      <c r="BC22" s="63">
        <f>'Raw Datas'!BC95</f>
        <v>1.2932833333333333</v>
      </c>
      <c r="BD22" s="63">
        <f>'Raw Datas'!BD95</f>
        <v>0.92774999999999985</v>
      </c>
      <c r="BE22" s="63">
        <f>'Raw Datas'!BE95</f>
        <v>2.0577666666666667</v>
      </c>
      <c r="BF22" s="63">
        <f>'Raw Datas'!BF95</f>
        <v>6.326833333333334</v>
      </c>
      <c r="BG22" s="63">
        <f>'Raw Datas'!BG95</f>
        <v>0.8652833333333334</v>
      </c>
      <c r="BH22" s="63">
        <f>'Raw Datas'!BH95</f>
        <v>10.407633333333333</v>
      </c>
      <c r="BI22" s="63">
        <f>'Raw Datas'!BI95</f>
        <v>14.6312</v>
      </c>
      <c r="BJ22" s="63">
        <f>'Raw Datas'!BJ95</f>
        <v>25.947600000000001</v>
      </c>
      <c r="BK22" s="63">
        <f>'Raw Datas'!BK95</f>
        <v>8.8493499999999994</v>
      </c>
      <c r="BL22" s="63">
        <f>'Raw Datas'!BL95</f>
        <v>98.393533333333352</v>
      </c>
      <c r="BM22" s="63">
        <f>'Raw Datas'!BM95</f>
        <v>159.55688571428573</v>
      </c>
      <c r="BN22" s="63">
        <f>'Raw Datas'!BN95</f>
        <v>164.33366666666669</v>
      </c>
      <c r="BO22" s="63">
        <f>'Raw Datas'!BO95</f>
        <v>133.52275</v>
      </c>
      <c r="BP22" s="63">
        <f>'Raw Datas'!BP95</f>
        <v>94.889733333333339</v>
      </c>
      <c r="BQ22" s="63">
        <f>'Raw Datas'!BQ95</f>
        <v>14.044199999999998</v>
      </c>
      <c r="BR22" s="63">
        <f>'Raw Datas'!BR95</f>
        <v>3.0154571428571426</v>
      </c>
      <c r="BS22" s="63">
        <f>'Raw Datas'!BS95</f>
        <v>109.65916666666666</v>
      </c>
      <c r="BT22" s="63">
        <f>'Raw Datas'!BT95</f>
        <v>25.338533333333334</v>
      </c>
      <c r="BU22" s="63">
        <f>'Raw Datas'!BU95</f>
        <v>13.243950000000002</v>
      </c>
      <c r="BV22" s="63">
        <f>'Raw Datas'!BV95</f>
        <v>21.580733333333335</v>
      </c>
      <c r="BW22" s="63">
        <f>'Raw Datas'!BW95</f>
        <v>6.8824500000000004</v>
      </c>
      <c r="BX22" s="63">
        <f>'Raw Datas'!BX95</f>
        <v>1.7989333333333333</v>
      </c>
      <c r="BY22" s="63">
        <f>'Raw Datas'!BY95</f>
        <v>25.862316666666668</v>
      </c>
      <c r="BZ22" s="63">
        <f>'Raw Datas'!BZ95</f>
        <v>12.863816666666668</v>
      </c>
      <c r="CA22" s="63">
        <f>'Raw Datas'!CA95</f>
        <v>7.8353666666666673</v>
      </c>
      <c r="CB22" s="63">
        <f>'Raw Datas'!CB95</f>
        <v>2.9450333333333334</v>
      </c>
      <c r="CC22" s="63">
        <f>'Raw Datas'!CC95</f>
        <v>5.1528833333333335</v>
      </c>
      <c r="CD22" s="63">
        <f>'Raw Datas'!CD95</f>
        <v>5.1805500000000002</v>
      </c>
      <c r="CE22" s="63">
        <f>'Raw Datas'!CE95</f>
        <v>29.586266666666667</v>
      </c>
      <c r="CF22" s="63">
        <f>'Raw Datas'!CF95</f>
        <v>4.2821833333333341</v>
      </c>
      <c r="CG22" s="63">
        <f>'Raw Datas'!CG95</f>
        <v>2.2539833333333332</v>
      </c>
      <c r="CH22" s="63">
        <f>'Raw Datas'!CH95</f>
        <v>1.6296500000000003</v>
      </c>
      <c r="CI22" s="63">
        <f>'Raw Datas'!CI95</f>
        <v>5.1645166666666675</v>
      </c>
      <c r="CJ22" s="63">
        <f>'Raw Datas'!CJ95</f>
        <v>1.3530222222222221</v>
      </c>
      <c r="CK22" s="63">
        <f>'Raw Datas'!CK95</f>
        <v>2.4565333333333332</v>
      </c>
      <c r="CL22" s="63">
        <f>'Raw Datas'!CL95</f>
        <v>7.2789166666666656</v>
      </c>
      <c r="CM22" s="63">
        <f>'Raw Datas'!CM95</f>
        <v>1.7586833333333332</v>
      </c>
      <c r="CN22" s="63">
        <f>'Raw Datas'!CN95</f>
        <v>1.1283666666666667</v>
      </c>
      <c r="CO22" s="63">
        <f>'Raw Datas'!CO95</f>
        <v>3.9622833333333336</v>
      </c>
      <c r="CP22" s="63">
        <f>'Raw Datas'!CP95</f>
        <v>5.3516166666666667</v>
      </c>
      <c r="CQ22" s="63">
        <f>'Raw Datas'!CQ95</f>
        <v>5.8603500000000004</v>
      </c>
      <c r="CR22" s="63">
        <f>'Raw Datas'!CR95</f>
        <v>5.3170999999999999</v>
      </c>
      <c r="CS22" s="63">
        <f>'Raw Datas'!CS95</f>
        <v>3.625</v>
      </c>
      <c r="CT22" s="63">
        <f>'Raw Datas'!CT95</f>
        <v>2.6280666666666668</v>
      </c>
      <c r="CU22" s="63">
        <f>'Raw Datas'!CU95</f>
        <v>3.4870833333333331</v>
      </c>
      <c r="CV22" s="63">
        <f>'Raw Datas'!CV95</f>
        <v>2.8436333333333339</v>
      </c>
      <c r="CW22" s="63">
        <f>'Raw Datas'!CW95</f>
        <v>4.1949500000000004</v>
      </c>
      <c r="CX22" s="63">
        <f>'Raw Datas'!CX95</f>
        <v>1.24285</v>
      </c>
      <c r="CY22" s="63">
        <f>'Raw Datas'!CY95</f>
        <v>1.9599166666666668</v>
      </c>
      <c r="CZ22" s="63">
        <f>'Raw Datas'!CZ95</f>
        <v>1.2513333333333334</v>
      </c>
      <c r="DA22" s="63">
        <f>'Raw Datas'!DA95</f>
        <v>1.4014499999999999</v>
      </c>
      <c r="DB22" s="63">
        <f>'Raw Datas'!DB95</f>
        <v>6.204933333333333</v>
      </c>
      <c r="DC22" s="63">
        <f>'Raw Datas'!DC95</f>
        <v>3.5921666666666665</v>
      </c>
      <c r="DD22" s="63">
        <f>'Raw Datas'!DD95</f>
        <v>3.2257833333333337</v>
      </c>
      <c r="DE22" s="63">
        <f>'Raw Datas'!DE95</f>
        <v>3.6208833333333335</v>
      </c>
      <c r="DF22" s="63">
        <f>'Raw Datas'!DF95</f>
        <v>4.2372000000000005</v>
      </c>
      <c r="DG22" s="63">
        <f>'Raw Datas'!DG95</f>
        <v>5.2802166666666661</v>
      </c>
      <c r="DH22" s="63">
        <f>'Raw Datas'!DH95</f>
        <v>0.70778333333333332</v>
      </c>
      <c r="DI22" s="63">
        <f>'Raw Datas'!DI95</f>
        <v>3.2064333333333339</v>
      </c>
      <c r="DJ22" s="63">
        <f>'Raw Datas'!DJ95</f>
        <v>9.7571833333333338</v>
      </c>
      <c r="DK22" s="63">
        <f>'Raw Datas'!DK95</f>
        <v>4.9753333333333334</v>
      </c>
      <c r="DL22" s="63">
        <f>'Raw Datas'!DL95</f>
        <v>1.4051499999999999</v>
      </c>
      <c r="DM22" s="63">
        <f>'Raw Datas'!DM95</f>
        <v>3.4744333333333328</v>
      </c>
      <c r="DN22" s="63">
        <f>'Raw Datas'!DN95</f>
        <v>8.6571833333333341</v>
      </c>
      <c r="DO22" s="63">
        <f>'Raw Datas'!DO95</f>
        <v>6.7615333333333334</v>
      </c>
      <c r="DP22" s="63">
        <f>'Raw Datas'!DP95</f>
        <v>2.0163500000000001</v>
      </c>
      <c r="DQ22" s="63">
        <f>'Raw Datas'!DQ95</f>
        <v>4.3710333333333331</v>
      </c>
      <c r="DR22" s="63">
        <f>'Raw Datas'!DR95</f>
        <v>4.7697666666666674</v>
      </c>
      <c r="DS22" s="63">
        <f>'Raw Datas'!DS95</f>
        <v>1.0911666666666666</v>
      </c>
      <c r="DT22" s="63">
        <f>'Raw Datas'!DT95</f>
        <v>3.0721500000000002</v>
      </c>
      <c r="DU22" s="63">
        <f>'Raw Datas'!DU95</f>
        <v>14.308483333333333</v>
      </c>
      <c r="DV22" s="63">
        <f>'Raw Datas'!DV95</f>
        <v>2.7908666666666666</v>
      </c>
      <c r="DW22" s="63">
        <f>'Raw Datas'!DW95</f>
        <v>3.197883333333333</v>
      </c>
      <c r="DX22" s="63">
        <f>'Raw Datas'!DX95</f>
        <v>2.6179000000000001</v>
      </c>
      <c r="DY22" s="63">
        <f>'Raw Datas'!DY95</f>
        <v>7.1657000000000002</v>
      </c>
      <c r="DZ22" s="63">
        <f>'Raw Datas'!DZ95</f>
        <v>2.8443166666666664</v>
      </c>
      <c r="EA22" s="63">
        <f>'Raw Datas'!EA95</f>
        <v>3.8538000000000001</v>
      </c>
      <c r="EB22" s="63">
        <f>'Raw Datas'!EB95</f>
        <v>2.9805499999999996</v>
      </c>
      <c r="EC22" s="63">
        <f>'Raw Datas'!EC95</f>
        <v>3.0992166666666674</v>
      </c>
      <c r="ED22" s="63">
        <f>'Raw Datas'!ED95</f>
        <v>2.5843333333333334</v>
      </c>
      <c r="EE22" s="63">
        <f>'Raw Datas'!EE95</f>
        <v>1.0931999999999999</v>
      </c>
      <c r="EF22" s="63">
        <f>'Raw Datas'!EF95</f>
        <v>2.7599</v>
      </c>
      <c r="EG22" s="63">
        <f>'Raw Datas'!EG95</f>
        <v>3.7599166666666668</v>
      </c>
      <c r="EH22" s="63">
        <f>'Raw Datas'!EH95</f>
        <v>2.80585</v>
      </c>
      <c r="EI22" s="63">
        <f>'Raw Datas'!EI95</f>
        <v>1.1154833333333334</v>
      </c>
      <c r="EJ22" s="63">
        <f>'Raw Datas'!EJ95</f>
        <v>3.2424833333333329</v>
      </c>
      <c r="EK22" s="63">
        <f>'Raw Datas'!EK95</f>
        <v>4.6827333333333332</v>
      </c>
      <c r="EL22" s="63">
        <f>'Raw Datas'!EL95</f>
        <v>2.8252499999999996</v>
      </c>
      <c r="EM22" s="63">
        <f>'Raw Datas'!EM95</f>
        <v>1.5647166666666665</v>
      </c>
      <c r="EN22" s="63">
        <f>'Raw Datas'!EN95</f>
        <v>5.7722833333333332</v>
      </c>
      <c r="EO22" s="63">
        <f>'Raw Datas'!EO95</f>
        <v>6.1697833333333332</v>
      </c>
      <c r="EP22" s="63">
        <f>'Raw Datas'!EP95</f>
        <v>3.254633333333333</v>
      </c>
      <c r="EQ22" s="63">
        <f>'Raw Datas'!EQ95</f>
        <v>2.6477166666666667</v>
      </c>
      <c r="ER22" s="63">
        <f>'Raw Datas'!ER95</f>
        <v>2.9037000000000002</v>
      </c>
      <c r="ES22" s="63">
        <f>'Raw Datas'!ES95</f>
        <v>2.3714666666666671</v>
      </c>
      <c r="ET22" s="63">
        <f>'Raw Datas'!ET95</f>
        <v>3.1059333333333332</v>
      </c>
      <c r="EU22" s="63">
        <f>'Raw Datas'!EU95</f>
        <v>2.8798666666666666</v>
      </c>
      <c r="EV22" s="63">
        <f>'Raw Datas'!EV95</f>
        <v>2.5556833333333335</v>
      </c>
      <c r="EW22" s="63">
        <f>'Raw Datas'!EW95</f>
        <v>1.9828000000000001</v>
      </c>
      <c r="EX22" s="63">
        <f>'Raw Datas'!EX95</f>
        <v>6.2151333333333323</v>
      </c>
      <c r="EY22" s="63">
        <f>'Raw Datas'!EY95</f>
        <v>3.9567166666666669</v>
      </c>
      <c r="EZ22" s="63">
        <f>'Raw Datas'!EZ95</f>
        <v>3.0473499999999998</v>
      </c>
      <c r="FA22" s="63">
        <f>'Raw Datas'!FA95</f>
        <v>1.3833666666666669</v>
      </c>
      <c r="FB22" s="63">
        <f>'Raw Datas'!FB95</f>
        <v>1.0095499999999999</v>
      </c>
      <c r="FC22" s="63">
        <f>'Raw Datas'!FC95</f>
        <v>2.4556833333333334</v>
      </c>
      <c r="FD22" s="63">
        <f>'Raw Datas'!FD95</f>
        <v>2.3445000000000005</v>
      </c>
      <c r="FE22" s="63">
        <f>'Raw Datas'!FE95</f>
        <v>3.5743833333333339</v>
      </c>
      <c r="FF22" s="63">
        <f>'Raw Datas'!FF95</f>
        <v>5.8794999999999993</v>
      </c>
      <c r="FG22" s="63">
        <f>'Raw Datas'!FG95</f>
        <v>1.8481999999999998</v>
      </c>
      <c r="FH22" s="63">
        <f>'Raw Datas'!FH95</f>
        <v>3.341366666666667</v>
      </c>
      <c r="FI22" s="63">
        <f>'Raw Datas'!FI95</f>
        <v>6.5809999999999995</v>
      </c>
      <c r="FJ22" s="63">
        <f>'Raw Datas'!FJ95</f>
        <v>5.7818000000000005</v>
      </c>
      <c r="FK22" s="63">
        <f>'Raw Datas'!FK95</f>
        <v>4.7500999999999998</v>
      </c>
      <c r="FL22" s="63">
        <f>'Raw Datas'!FL95</f>
        <v>7.6035166666666667</v>
      </c>
      <c r="FM22" s="63">
        <f>'Raw Datas'!FM95</f>
        <v>7.1265666666666663</v>
      </c>
      <c r="FN22" s="63">
        <f>'Raw Datas'!FN95</f>
        <v>3.898566666666667</v>
      </c>
      <c r="FO22" s="63">
        <f>'Raw Datas'!FO95</f>
        <v>1.9704166666666665</v>
      </c>
    </row>
    <row r="23" spans="1:16090" ht="16" x14ac:dyDescent="0.2">
      <c r="A23" s="2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6090" ht="16" thickBot="1" x14ac:dyDescent="0.25">
      <c r="B24" s="3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</row>
    <row r="25" spans="1:16090" ht="16" thickBot="1" x14ac:dyDescent="0.25">
      <c r="B25" s="6" t="str">
        <f>B7</f>
        <v>pg/µL of fluid</v>
      </c>
      <c r="C25" s="6" t="str">
        <f>C7</f>
        <v>KT-312D10</v>
      </c>
      <c r="D25" s="6" t="str">
        <f>D7</f>
        <v>BS-364D0</v>
      </c>
      <c r="E25" s="6" t="str">
        <f>E7</f>
        <v>KT-412D60</v>
      </c>
      <c r="F25" s="6" t="str">
        <f>F7</f>
        <v>KT-974D03</v>
      </c>
      <c r="G25" s="6" t="str">
        <f>G7</f>
        <v>JV-138D0</v>
      </c>
      <c r="H25" s="6" t="str">
        <f>H7</f>
        <v>BS-671D03</v>
      </c>
      <c r="I25" s="6" t="str">
        <f>I7</f>
        <v>KT-723D10</v>
      </c>
      <c r="J25" s="6" t="str">
        <f>J7</f>
        <v>KT-705D60</v>
      </c>
      <c r="K25" s="6" t="str">
        <f>K7</f>
        <v>KT-434D03</v>
      </c>
      <c r="L25" s="6" t="str">
        <f>L7</f>
        <v>BS-082D60</v>
      </c>
      <c r="M25" s="6" t="str">
        <f>M7</f>
        <v>BS-064D0</v>
      </c>
      <c r="N25" s="6" t="str">
        <f>N7</f>
        <v>BS-336D10</v>
      </c>
      <c r="O25" s="6" t="str">
        <f>O7</f>
        <v>KT-723D60</v>
      </c>
      <c r="P25" s="6" t="str">
        <f>P7</f>
        <v>KT-612D10</v>
      </c>
      <c r="Q25" s="6" t="str">
        <f>Q7</f>
        <v>KT-705D03</v>
      </c>
      <c r="R25" s="6" t="str">
        <f>R7</f>
        <v>JV-157D0</v>
      </c>
      <c r="S25" s="6" t="str">
        <f>S7</f>
        <v>JV-148D60</v>
      </c>
      <c r="T25" s="6" t="str">
        <f>T7</f>
        <v>KT-663D0</v>
      </c>
      <c r="U25" s="6" t="str">
        <f>U7</f>
        <v>BS-346D03</v>
      </c>
      <c r="V25" s="6" t="str">
        <f>V7</f>
        <v>JV-048D10</v>
      </c>
      <c r="W25" s="6" t="str">
        <f>W7</f>
        <v>BS-351D0</v>
      </c>
      <c r="X25" s="6" t="str">
        <f>X7</f>
        <v>JV-148D10</v>
      </c>
      <c r="Y25" s="6" t="str">
        <f>Y7</f>
        <v>KT-929D60</v>
      </c>
      <c r="Z25" s="6" t="str">
        <f>Z7</f>
        <v>BS-336D03</v>
      </c>
      <c r="AA25" s="6" t="str">
        <f>AA7</f>
        <v>KT-771D10</v>
      </c>
      <c r="AB25" s="6" t="str">
        <f>AB7</f>
        <v>KT-695D03</v>
      </c>
      <c r="AC25" s="6" t="str">
        <f>AC7</f>
        <v>KT-612D0</v>
      </c>
      <c r="AD25" s="6" t="str">
        <f>AD7</f>
        <v>KT-312D60</v>
      </c>
      <c r="AE25" s="6" t="str">
        <f>AE7</f>
        <v>KT-927D03</v>
      </c>
      <c r="AF25" s="6" t="str">
        <f>AF7</f>
        <v>JV-071D60</v>
      </c>
      <c r="AG25" s="6" t="str">
        <f>AG7</f>
        <v>KT-193D10</v>
      </c>
      <c r="AH25" s="6" t="str">
        <f>AH7</f>
        <v>KT-247D0</v>
      </c>
      <c r="AI25" s="6" t="str">
        <f>AI7</f>
        <v>BS-064D03</v>
      </c>
      <c r="AJ25" s="6" t="str">
        <f>AJ7</f>
        <v>KT-537D60</v>
      </c>
      <c r="AK25" s="6" t="str">
        <f>AK7</f>
        <v>BS-377D0</v>
      </c>
      <c r="AL25" s="6" t="str">
        <f>AL7</f>
        <v>KT-347D10</v>
      </c>
      <c r="AM25" s="6" t="str">
        <f>AM7</f>
        <v>JV-138D60</v>
      </c>
      <c r="AN25" s="6" t="str">
        <f>AN7</f>
        <v>JV-138D10</v>
      </c>
      <c r="AO25" s="6" t="str">
        <f>AO7</f>
        <v>KT-247D03</v>
      </c>
      <c r="AP25" s="6" t="str">
        <f>AP7</f>
        <v>KT-718D0</v>
      </c>
      <c r="AQ25" s="6" t="str">
        <f>AQ7</f>
        <v>BS-082D10</v>
      </c>
      <c r="AR25" s="6" t="str">
        <f>AR7</f>
        <v>KT-445D0</v>
      </c>
      <c r="AS25" s="6" t="str">
        <f>AS7</f>
        <v>KT-716D60</v>
      </c>
      <c r="AT25" s="6" t="str">
        <f>AT7</f>
        <v>KT-347D03</v>
      </c>
      <c r="AU25" s="6" t="str">
        <f>AU7</f>
        <v>KT-805D0</v>
      </c>
      <c r="AV25" s="6" t="str">
        <f>AV7</f>
        <v>BS-351D03</v>
      </c>
      <c r="AW25" s="6" t="str">
        <f>AW7</f>
        <v>KT-538D10</v>
      </c>
      <c r="AX25" s="6" t="str">
        <f>AX7</f>
        <v>JV-035D60</v>
      </c>
      <c r="AY25" s="6" t="str">
        <f>AY7</f>
        <v>KT-718D03</v>
      </c>
      <c r="AZ25" s="6" t="str">
        <f>AZ7</f>
        <v>KT-723D0</v>
      </c>
      <c r="BA25" s="6" t="str">
        <f>BA7</f>
        <v>KT-515D10</v>
      </c>
      <c r="BB25" s="6" t="str">
        <f>BB7</f>
        <v>KT-412D03</v>
      </c>
      <c r="BC25" s="6" t="str">
        <f>BC7</f>
        <v>KT-313D10</v>
      </c>
      <c r="BD25" s="6" t="str">
        <f>BD7</f>
        <v>BS-377D60</v>
      </c>
      <c r="BE25" s="6" t="str">
        <f>BE7</f>
        <v>KT-417D0</v>
      </c>
      <c r="BF25" s="6" t="str">
        <f>BF7</f>
        <v>KT-412D10</v>
      </c>
      <c r="BG25" s="6" t="str">
        <f>BG7</f>
        <v>KT-515D0</v>
      </c>
      <c r="BH25" s="6" t="str">
        <f>BH7</f>
        <v>JV-148D03</v>
      </c>
      <c r="BI25" s="6" t="str">
        <f>BI7</f>
        <v>KT-313D0</v>
      </c>
      <c r="BJ25" s="6" t="str">
        <f>BJ7</f>
        <v>KT-445D60</v>
      </c>
      <c r="BK25" s="6" t="str">
        <f>BK7</f>
        <v>KT-434D10</v>
      </c>
      <c r="BL25" s="6" t="str">
        <f>BL7</f>
        <v>BS-082D03</v>
      </c>
      <c r="BM25" s="6" t="str">
        <f>BM7</f>
        <v>KT-880D03</v>
      </c>
      <c r="BN25" s="6" t="str">
        <f>BN7</f>
        <v>KT-247D60</v>
      </c>
      <c r="BO25" s="6" t="str">
        <f>BO7</f>
        <v>KT-705D10</v>
      </c>
      <c r="BP25" s="6" t="str">
        <f>BP7</f>
        <v>BS-082D0</v>
      </c>
      <c r="BQ25" s="6" t="str">
        <f>BQ7</f>
        <v>JV-157D60</v>
      </c>
      <c r="BR25" s="6" t="str">
        <f>BR7</f>
        <v>KT-312D0</v>
      </c>
      <c r="BS25" s="6" t="str">
        <f>BS7</f>
        <v>KT-445D03</v>
      </c>
      <c r="BT25" s="6" t="str">
        <f>BT7</f>
        <v>BS-377D10</v>
      </c>
      <c r="BU25" s="6" t="str">
        <f>BU7</f>
        <v>KT-695D0</v>
      </c>
      <c r="BV25" s="6" t="str">
        <f>BV7</f>
        <v>BS-351D10</v>
      </c>
      <c r="BW25" s="6" t="str">
        <f>BW7</f>
        <v>KT-417D60</v>
      </c>
      <c r="BX25" s="6" t="str">
        <f>BX7</f>
        <v>JV-138D03</v>
      </c>
      <c r="BY25" s="6" t="str">
        <f>BY7</f>
        <v>KT-805D10</v>
      </c>
      <c r="BZ25" s="6" t="str">
        <f>BZ7</f>
        <v>JV-048D03</v>
      </c>
      <c r="CA25" s="6" t="str">
        <f>CA7</f>
        <v>KT-705D0</v>
      </c>
      <c r="CB25" s="6" t="str">
        <f>CB7</f>
        <v>BS-671D60</v>
      </c>
      <c r="CC25" s="6" t="str">
        <f>CC7</f>
        <v>JV-157D03</v>
      </c>
      <c r="CD25" s="6" t="str">
        <f>CD7</f>
        <v>KT-974D0</v>
      </c>
      <c r="CE25" s="6" t="str">
        <f>CE7</f>
        <v>BS-364D60</v>
      </c>
      <c r="CF25" s="6" t="str">
        <f>CF7</f>
        <v>KT-716D10</v>
      </c>
      <c r="CG25" s="6" t="str">
        <f>CG7</f>
        <v>KT-538D0</v>
      </c>
      <c r="CH25" s="6" t="str">
        <f>CH7</f>
        <v>KT-718D10</v>
      </c>
      <c r="CI25" s="6" t="str">
        <f>CI7</f>
        <v>KT-538D03</v>
      </c>
      <c r="CJ25" s="6" t="str">
        <f>CJ7</f>
        <v>KT-805D60</v>
      </c>
      <c r="CK25" s="6" t="str">
        <f>CK7</f>
        <v>KT-612D60</v>
      </c>
      <c r="CL25" s="6" t="str">
        <f>CL7</f>
        <v>KT-926D0</v>
      </c>
      <c r="CM25" s="6" t="str">
        <f>CM7</f>
        <v>KT-193D03</v>
      </c>
      <c r="CN25" s="6" t="str">
        <f>CN7</f>
        <v>KT-663D60</v>
      </c>
      <c r="CO25" s="6" t="str">
        <f>CO7</f>
        <v>KT-352D03</v>
      </c>
      <c r="CP25" s="6" t="str">
        <f>CP7</f>
        <v>KT-537D10</v>
      </c>
      <c r="CQ25" s="6" t="str">
        <f>CQ7</f>
        <v>JV-035D0</v>
      </c>
      <c r="CR25" s="6" t="str">
        <f>CR7</f>
        <v>KT-522D60</v>
      </c>
      <c r="CS25" s="6" t="str">
        <f>CS7</f>
        <v>KT-352D10</v>
      </c>
      <c r="CT25" s="6" t="str">
        <f>CT7</f>
        <v>KT-716D03</v>
      </c>
      <c r="CU25" s="6" t="str">
        <f>CU7</f>
        <v>KT-716D0</v>
      </c>
      <c r="CV25" s="6" t="str">
        <f>CV7</f>
        <v>BS-346D10</v>
      </c>
      <c r="CW25" s="6" t="str">
        <f>CW7</f>
        <v>KT-347D0</v>
      </c>
      <c r="CX25" s="6" t="str">
        <f>CX7</f>
        <v>BS-336D60</v>
      </c>
      <c r="CY25" s="6" t="str">
        <f>CY7</f>
        <v>KT-515D03</v>
      </c>
      <c r="CZ25" s="6" t="str">
        <f>CZ7</f>
        <v>KT-352D0</v>
      </c>
      <c r="DA25" s="6" t="str">
        <f>DA7</f>
        <v>KT-771D03</v>
      </c>
      <c r="DB25" s="6" t="str">
        <f>DB7</f>
        <v>BS-364D10</v>
      </c>
      <c r="DC25" s="6" t="str">
        <f>DC7</f>
        <v>BS-064D60</v>
      </c>
      <c r="DD25" s="6" t="str">
        <f>DD7</f>
        <v>KT-723D03</v>
      </c>
      <c r="DE25" s="6" t="str">
        <f>DE7</f>
        <v>KT-538D60</v>
      </c>
      <c r="DF25" s="6" t="str">
        <f>DF7</f>
        <v>KT-193D0</v>
      </c>
      <c r="DG25" s="6" t="str">
        <f>DG7</f>
        <v>KT-445D10</v>
      </c>
      <c r="DH25" s="6" t="str">
        <f>DH7</f>
        <v>KT-771D0</v>
      </c>
      <c r="DI25" s="6" t="str">
        <f>DI7</f>
        <v>KT-247D10</v>
      </c>
      <c r="DJ25" s="6" t="str">
        <f>DJ7</f>
        <v>KT-515D60</v>
      </c>
      <c r="DK25" s="6" t="str">
        <f>DK7</f>
        <v>JV-071D03</v>
      </c>
      <c r="DL25" s="6" t="str">
        <f>DL7</f>
        <v>KT-525D10</v>
      </c>
      <c r="DM25" s="6" t="str">
        <f>DM7</f>
        <v>KT-522D03</v>
      </c>
      <c r="DN25" s="6" t="str">
        <f>DN7</f>
        <v>KT-525D0</v>
      </c>
      <c r="DO25" s="6" t="str">
        <f>DO7</f>
        <v>BS-346D60</v>
      </c>
      <c r="DP25" s="6" t="str">
        <f>DP7</f>
        <v>KT-525D03</v>
      </c>
      <c r="DQ25" s="6" t="str">
        <f>DQ7</f>
        <v>KT-771D60</v>
      </c>
      <c r="DR25" s="6" t="str">
        <f>DR7</f>
        <v>KT-417D10</v>
      </c>
      <c r="DS25" s="6" t="str">
        <f>DS7</f>
        <v>JV-048D0</v>
      </c>
      <c r="DT25" s="6" t="str">
        <f>DT7</f>
        <v>KT-539D60</v>
      </c>
      <c r="DU25" s="6" t="str">
        <f>DU7</f>
        <v>KT-880D0</v>
      </c>
      <c r="DV25" s="6" t="str">
        <f>DV7</f>
        <v>KT-805D03</v>
      </c>
      <c r="DW25" s="6" t="str">
        <f>DW7</f>
        <v>KT-565D10</v>
      </c>
      <c r="DX25" s="6" t="str">
        <f>DX7</f>
        <v>BS-351D60</v>
      </c>
      <c r="DY25" s="6" t="str">
        <f>DY7</f>
        <v>KT-663D03</v>
      </c>
      <c r="DZ25" s="6" t="str">
        <f>DZ7</f>
        <v>KT-695D10</v>
      </c>
      <c r="EA25" s="6" t="str">
        <f>EA7</f>
        <v>KT-539D0</v>
      </c>
      <c r="EB25" s="6" t="str">
        <f>EB7</f>
        <v>KT-539D03</v>
      </c>
      <c r="EC25" s="6" t="str">
        <f>EC7</f>
        <v>BS-671D0</v>
      </c>
      <c r="ED25" s="6" t="str">
        <f>ED7</f>
        <v>KT-313D60</v>
      </c>
      <c r="EE25" s="6" t="str">
        <f>EE7</f>
        <v>BS-064D10</v>
      </c>
      <c r="EF25" s="6" t="str">
        <f>EF7</f>
        <v>BS-346D0</v>
      </c>
      <c r="EG25" s="6" t="str">
        <f>EG7</f>
        <v>KT-522D10</v>
      </c>
      <c r="EH25" s="6" t="str">
        <f>EH7</f>
        <v>KT-565D03</v>
      </c>
      <c r="EI25" s="6" t="str">
        <f>EI7</f>
        <v>KT-695D60</v>
      </c>
      <c r="EJ25" s="6" t="str">
        <f>EJ7</f>
        <v>KT-928D10</v>
      </c>
      <c r="EK25" s="6" t="str">
        <f>EK7</f>
        <v>KT-347D60</v>
      </c>
      <c r="EL25" s="6" t="str">
        <f>EL7</f>
        <v>KT-522D0</v>
      </c>
      <c r="EM25" s="6" t="str">
        <f>EM7</f>
        <v>BS-364D03</v>
      </c>
      <c r="EN25" s="6" t="str">
        <f>EN7</f>
        <v>KT-352D60</v>
      </c>
      <c r="EO25" s="6" t="str">
        <f>EO7</f>
        <v>JV-157D10</v>
      </c>
      <c r="EP25" s="6" t="str">
        <f>EP7</f>
        <v>KT-565D0</v>
      </c>
      <c r="EQ25" s="6" t="str">
        <f>EQ7</f>
        <v>KT-612D03</v>
      </c>
      <c r="ER25" s="6" t="str">
        <f>ER7</f>
        <v>KT-974D10</v>
      </c>
      <c r="ES25" s="6" t="str">
        <f>ES7</f>
        <v>KT-537D03</v>
      </c>
      <c r="ET25" s="6" t="str">
        <f>ET7</f>
        <v>KT-718D60</v>
      </c>
      <c r="EU25" s="6" t="str">
        <f>EU7</f>
        <v>JV-071D0</v>
      </c>
      <c r="EV25" s="6" t="str">
        <f>EV7</f>
        <v>KT-312D03</v>
      </c>
      <c r="EW25" s="6" t="str">
        <f>EW7</f>
        <v>BS-336D0</v>
      </c>
      <c r="EX25" s="6" t="str">
        <f>EX7</f>
        <v>KT-880D10</v>
      </c>
      <c r="EY25" s="6" t="str">
        <f>EY7</f>
        <v>KT-193D60</v>
      </c>
      <c r="EZ25" s="6" t="str">
        <f>EZ7</f>
        <v>JV-148D0</v>
      </c>
      <c r="FA25" s="6" t="str">
        <f>FA7</f>
        <v>KT-434D60</v>
      </c>
      <c r="FB25" s="6" t="str">
        <f>FB7</f>
        <v>KT-417D03</v>
      </c>
      <c r="FC25" s="6" t="str">
        <f>FC7</f>
        <v>KT-663D10</v>
      </c>
      <c r="FD25" s="6" t="str">
        <f>FD7</f>
        <v>KT-525D60</v>
      </c>
      <c r="FE25" s="6" t="str">
        <f>FE7</f>
        <v>KT-539D10</v>
      </c>
      <c r="FF25" s="6" t="str">
        <f>FF7</f>
        <v>KT-537D0</v>
      </c>
      <c r="FG25" s="6" t="str">
        <f>FG7</f>
        <v>KT-313D03</v>
      </c>
      <c r="FH25" s="6" t="str">
        <f>FH7</f>
        <v>JV-035D10</v>
      </c>
      <c r="FI25" s="6" t="str">
        <f>FI7</f>
        <v>BS-377D03</v>
      </c>
      <c r="FJ25" s="6" t="str">
        <f>FJ7</f>
        <v>KT-880D60</v>
      </c>
      <c r="FK25" s="6" t="str">
        <f>FK7</f>
        <v>KT-434D0</v>
      </c>
      <c r="FL25" s="6" t="str">
        <f>FL7</f>
        <v>JV-035D03</v>
      </c>
      <c r="FM25" s="6" t="str">
        <f>FM7</f>
        <v>KT-412D0</v>
      </c>
      <c r="FN25" s="6" t="str">
        <f>FN7</f>
        <v>BS-671D10</v>
      </c>
      <c r="FO25" s="6" t="str">
        <f>FO7</f>
        <v>KT-974D60</v>
      </c>
    </row>
    <row r="26" spans="1:16090" ht="17" thickBot="1" x14ac:dyDescent="0.25">
      <c r="B26" s="1" t="s">
        <v>41</v>
      </c>
      <c r="C26" s="8">
        <f>SUM(C9:C12)</f>
        <v>33.337583333333335</v>
      </c>
      <c r="D26" s="8">
        <f>SUM(D9:D12)</f>
        <v>51.686450000000008</v>
      </c>
      <c r="E26" s="8">
        <f>SUM(E9:E12)</f>
        <v>21.445250000000001</v>
      </c>
      <c r="F26" s="8">
        <f>SUM(F9:F12)</f>
        <v>150.56889999999999</v>
      </c>
      <c r="G26" s="8">
        <f>SUM(G9:G12)</f>
        <v>51.791766666666675</v>
      </c>
      <c r="H26" s="8">
        <f>SUM(H9:H12)</f>
        <v>35.689566666666671</v>
      </c>
      <c r="I26" s="8">
        <f>SUM(I9:I12)</f>
        <v>53.275783333333329</v>
      </c>
      <c r="J26" s="8">
        <f>SUM(J9:J12)</f>
        <v>21.651700000000002</v>
      </c>
      <c r="K26" s="8">
        <f>SUM(K9:K12)</f>
        <v>93.226399999999998</v>
      </c>
      <c r="L26" s="8">
        <f>SUM(L9:L12)</f>
        <v>82.689450000000008</v>
      </c>
      <c r="M26" s="8">
        <f>SUM(M9:M12)</f>
        <v>40.511000000000003</v>
      </c>
      <c r="N26" s="8">
        <f>SUM(N9:N12)</f>
        <v>43.213266666666669</v>
      </c>
      <c r="O26" s="8">
        <f>SUM(O9:O12)</f>
        <v>44.180916666666668</v>
      </c>
      <c r="P26" s="8">
        <f>SUM(P9:P12)</f>
        <v>80.353616666666653</v>
      </c>
      <c r="Q26" s="8">
        <f>SUM(Q9:Q12)</f>
        <v>154.35111666666666</v>
      </c>
      <c r="R26" s="8">
        <f>SUM(R9:R12)</f>
        <v>600.81241666666665</v>
      </c>
      <c r="S26" s="8">
        <f>SUM(S9:S12)</f>
        <v>110.98436666666666</v>
      </c>
      <c r="T26" s="8">
        <f>SUM(T9:T12)</f>
        <v>26.833483333333334</v>
      </c>
      <c r="U26" s="8">
        <f>SUM(U9:U12)</f>
        <v>47.485966666666663</v>
      </c>
      <c r="V26" s="8">
        <f>SUM(V9:V12)</f>
        <v>81.162649999999999</v>
      </c>
      <c r="W26" s="8">
        <f>SUM(W9:W12)</f>
        <v>104.66768571428571</v>
      </c>
      <c r="X26" s="8">
        <f>SUM(X9:X12)</f>
        <v>62.298400000000001</v>
      </c>
      <c r="Y26" s="8">
        <f>SUM(Y9:Y12)</f>
        <v>98.778866666666687</v>
      </c>
      <c r="Z26" s="8">
        <f>SUM(Z9:Z12)</f>
        <v>446.55998</v>
      </c>
      <c r="AA26" s="8">
        <f>SUM(AA9:AA12)</f>
        <v>48.77985000000001</v>
      </c>
      <c r="AB26" s="8">
        <f>SUM(AB9:AB12)</f>
        <v>65.394000000000005</v>
      </c>
      <c r="AC26" s="8">
        <f>SUM(AC9:AC12)</f>
        <v>31.713333333333335</v>
      </c>
      <c r="AD26" s="8">
        <f>SUM(AD9:AD12)</f>
        <v>38.294583333333335</v>
      </c>
      <c r="AE26" s="8">
        <f>SUM(AE9:AE12)</f>
        <v>26.08808333333333</v>
      </c>
      <c r="AF26" s="8">
        <f>SUM(AF9:AF12)</f>
        <v>33.537933333333328</v>
      </c>
      <c r="AG26" s="8">
        <f>SUM(AG9:AG12)</f>
        <v>113.12740000000002</v>
      </c>
      <c r="AH26" s="8">
        <f>SUM(AH9:AH12)</f>
        <v>53.066816666666661</v>
      </c>
      <c r="AI26" s="8">
        <f>SUM(AI9:AI12)</f>
        <v>98.658483333333336</v>
      </c>
      <c r="AJ26" s="8">
        <f>SUM(AJ9:AJ12)</f>
        <v>92.107366666666664</v>
      </c>
      <c r="AK26" s="8">
        <f>SUM(AK9:AK12)</f>
        <v>30.256916666666665</v>
      </c>
      <c r="AL26" s="8">
        <f>SUM(AL9:AL12)</f>
        <v>69.297700000000006</v>
      </c>
      <c r="AM26" s="8">
        <f>SUM(AM9:AM12)</f>
        <v>158.96631666666667</v>
      </c>
      <c r="AN26" s="8">
        <f>SUM(AN9:AN12)</f>
        <v>55.776233333333337</v>
      </c>
      <c r="AO26" s="8">
        <f>SUM(AO9:AO12)</f>
        <v>35.96491666666666</v>
      </c>
      <c r="AP26" s="8">
        <f>SUM(AP9:AP12)</f>
        <v>38.440899999999999</v>
      </c>
      <c r="AQ26" s="8">
        <f>SUM(AQ9:AQ12)</f>
        <v>339.43328333333335</v>
      </c>
      <c r="AR26" s="8">
        <f>SUM(AR9:AR12)</f>
        <v>23.736900000000002</v>
      </c>
      <c r="AS26" s="8">
        <f>SUM(AS9:AS12)</f>
        <v>152.35059999999999</v>
      </c>
      <c r="AT26" s="8">
        <f>SUM(AT9:AT12)</f>
        <v>91.946833333333345</v>
      </c>
      <c r="AU26" s="8">
        <f>SUM(AU9:AU12)</f>
        <v>17.598479999999999</v>
      </c>
      <c r="AV26" s="8">
        <f>SUM(AV9:AV12)</f>
        <v>27.762280000000004</v>
      </c>
      <c r="AW26" s="8">
        <f>SUM(AW9:AW12)</f>
        <v>21.165583333333334</v>
      </c>
      <c r="AX26" s="8">
        <f>SUM(AX9:AX12)</f>
        <v>31.081583333333338</v>
      </c>
      <c r="AY26" s="8">
        <f>SUM(AY9:AY12)</f>
        <v>47.08358333333333</v>
      </c>
      <c r="AZ26" s="8">
        <f>SUM(AZ9:AZ12)</f>
        <v>15.423233333333334</v>
      </c>
      <c r="BA26" s="8">
        <f>SUM(BA9:BA12)</f>
        <v>38.885966666666668</v>
      </c>
      <c r="BB26" s="8">
        <f>SUM(BB9:BB12)</f>
        <v>28.883483333333338</v>
      </c>
      <c r="BC26" s="8">
        <f>SUM(BC9:BC12)</f>
        <v>36.064749999999997</v>
      </c>
      <c r="BD26" s="8">
        <f>SUM(BD9:BD12)</f>
        <v>26.570966666666664</v>
      </c>
      <c r="BE26" s="8">
        <f>SUM(BE9:BE12)</f>
        <v>53.502500000000005</v>
      </c>
      <c r="BF26" s="8">
        <f>SUM(BF9:BF12)</f>
        <v>170.53970000000004</v>
      </c>
      <c r="BG26" s="8">
        <f>SUM(BG9:BG12)</f>
        <v>20.928383333333329</v>
      </c>
      <c r="BH26" s="8">
        <f>SUM(BH9:BH12)</f>
        <v>135.42695000000001</v>
      </c>
      <c r="BI26" s="8">
        <f>SUM(BI9:BI12)</f>
        <v>300.85573333333332</v>
      </c>
      <c r="BJ26" s="8">
        <f>SUM(BJ9:BJ12)</f>
        <v>490.93076666666673</v>
      </c>
      <c r="BK26" s="8">
        <f>SUM(BK9:BK12)</f>
        <v>124.8603</v>
      </c>
      <c r="BL26" s="8">
        <f>SUM(BL9:BL12)</f>
        <v>1513.48395</v>
      </c>
      <c r="BM26" s="8">
        <f>SUM(BM9:BM12)</f>
        <v>1094.7508285714284</v>
      </c>
      <c r="BN26" s="8">
        <f>SUM(BN9:BN12)</f>
        <v>1333.2279333333331</v>
      </c>
      <c r="BO26" s="8">
        <f>SUM(BO9:BO12)</f>
        <v>2067.2428166666668</v>
      </c>
      <c r="BP26" s="8">
        <f>SUM(BP9:BP12)</f>
        <v>926.7967000000001</v>
      </c>
      <c r="BQ26" s="8">
        <f>SUM(BQ9:BQ12)</f>
        <v>119.29583333333333</v>
      </c>
      <c r="BR26" s="8">
        <f>SUM(BR9:BR12)</f>
        <v>42.06</v>
      </c>
      <c r="BS26" s="8">
        <f>SUM(BS9:BS12)</f>
        <v>1035.7373499999999</v>
      </c>
      <c r="BT26" s="8">
        <f>SUM(BT9:BT12)</f>
        <v>323.99976666666669</v>
      </c>
      <c r="BU26" s="8">
        <f>SUM(BU9:BU12)</f>
        <v>190.29916666666668</v>
      </c>
      <c r="BV26" s="8">
        <f>SUM(BV9:BV12)</f>
        <v>147.22814999999997</v>
      </c>
      <c r="BW26" s="8">
        <f>SUM(BW9:BW12)</f>
        <v>129.42283333333333</v>
      </c>
      <c r="BX26" s="8">
        <f>SUM(BX9:BX12)</f>
        <v>37.289433333333335</v>
      </c>
      <c r="BY26" s="8">
        <f>SUM(BY9:BY12)</f>
        <v>163.00003333333333</v>
      </c>
      <c r="BZ26" s="8">
        <f>SUM(BZ9:BZ12)</f>
        <v>102.49848333333333</v>
      </c>
      <c r="CA26" s="8">
        <f>SUM(CA9:CA12)</f>
        <v>126.9216</v>
      </c>
      <c r="CB26" s="8">
        <f>SUM(CB9:CB12)</f>
        <v>30.336099999999998</v>
      </c>
      <c r="CC26" s="8">
        <f>SUM(CC9:CC12)</f>
        <v>54.501233333333339</v>
      </c>
      <c r="CD26" s="8">
        <f>SUM(CD9:CD12)</f>
        <v>46.404966666666667</v>
      </c>
      <c r="CE26" s="8">
        <f>SUM(CE9:CE12)</f>
        <v>262.48024999999996</v>
      </c>
      <c r="CF26" s="8">
        <f>SUM(CF9:CF12)</f>
        <v>36.821566666666669</v>
      </c>
      <c r="CG26" s="8">
        <f>SUM(CG9:CG12)</f>
        <v>70</v>
      </c>
      <c r="CH26" s="8">
        <f>SUM(CH9:CH12)</f>
        <v>62.461216666666665</v>
      </c>
      <c r="CI26" s="8">
        <f>SUM(CI9:CI12)</f>
        <v>95.208299999999994</v>
      </c>
      <c r="CJ26" s="8">
        <f>SUM(CJ9:CJ12)</f>
        <v>28.495466666666665</v>
      </c>
      <c r="CK26" s="8">
        <f>SUM(CK9:CK12)</f>
        <v>27.672066666666662</v>
      </c>
      <c r="CL26" s="8">
        <f>SUM(CL9:CL12)</f>
        <v>53.236999999999995</v>
      </c>
      <c r="CM26" s="8">
        <f>SUM(CM9:CM12)</f>
        <v>40.773966666666666</v>
      </c>
      <c r="CN26" s="8">
        <f>SUM(CN9:CN12)</f>
        <v>43.737883333333336</v>
      </c>
      <c r="CO26" s="8">
        <f>SUM(CO9:CO12)</f>
        <v>29.146249999999998</v>
      </c>
      <c r="CP26" s="8">
        <f>SUM(CP9:CP12)</f>
        <v>69.596833333333336</v>
      </c>
      <c r="CQ26" s="8">
        <f>SUM(CQ9:CQ12)</f>
        <v>79.37766666666667</v>
      </c>
      <c r="CR26" s="8">
        <f>SUM(CR9:CR12)</f>
        <v>107.86858333333332</v>
      </c>
      <c r="CS26" s="8">
        <f>SUM(CS9:CS12)</f>
        <v>29.921516666666665</v>
      </c>
      <c r="CT26" s="8">
        <f>SUM(CT9:CT12)</f>
        <v>85.504466666666673</v>
      </c>
      <c r="CU26" s="8">
        <f>SUM(CU9:CU12)</f>
        <v>39.448016666666675</v>
      </c>
      <c r="CV26" s="8">
        <f>SUM(CV9:CV12)</f>
        <v>36.09995</v>
      </c>
      <c r="CW26" s="8">
        <f>SUM(CW9:CW12)</f>
        <v>98.342316666666662</v>
      </c>
      <c r="CX26" s="8">
        <f>SUM(CX9:CX12)</f>
        <v>52.007833333333338</v>
      </c>
      <c r="CY26" s="8">
        <f>SUM(CY9:CY12)</f>
        <v>23.452283333333334</v>
      </c>
      <c r="CZ26" s="8">
        <f>SUM(CZ9:CZ12)</f>
        <v>15.926833333333335</v>
      </c>
      <c r="DA26" s="8">
        <f>SUM(DA9:DA12)</f>
        <v>31.513350000000003</v>
      </c>
      <c r="DB26" s="8">
        <f>SUM(DB9:DB12)</f>
        <v>57.063800000000001</v>
      </c>
      <c r="DC26" s="8">
        <f>SUM(DC9:DC12)</f>
        <v>54.617566666666669</v>
      </c>
      <c r="DD26" s="8">
        <f>SUM(DD9:DD12)</f>
        <v>51.329950000000004</v>
      </c>
      <c r="DE26" s="8">
        <f>SUM(DE9:DE12)</f>
        <v>41.015966666666664</v>
      </c>
      <c r="DF26" s="8">
        <f>SUM(DF9:DF12)</f>
        <v>55.831066666666665</v>
      </c>
      <c r="DG26" s="8">
        <f>SUM(DG9:DG12)</f>
        <v>65.076466666666661</v>
      </c>
      <c r="DH26" s="8">
        <f>SUM(DH9:DH12)</f>
        <v>13.463233333333333</v>
      </c>
      <c r="DI26" s="8">
        <f>SUM(DI9:DI12)</f>
        <v>68.259483333333336</v>
      </c>
      <c r="DJ26" s="8">
        <f>SUM(DJ9:DJ12)</f>
        <v>159.23878333333334</v>
      </c>
      <c r="DK26" s="8">
        <f>SUM(DK9:DK12)</f>
        <v>138.5326</v>
      </c>
      <c r="DL26" s="8">
        <f>SUM(DL9:DL12)</f>
        <v>17.365316666666665</v>
      </c>
      <c r="DM26" s="8">
        <f>SUM(DM9:DM12)</f>
        <v>88.007966666666661</v>
      </c>
      <c r="DN26" s="8">
        <f>SUM(DN9:DN12)</f>
        <v>94.603350000000006</v>
      </c>
      <c r="DO26" s="8">
        <f>SUM(DO9:DO12)</f>
        <v>65.720050000000001</v>
      </c>
      <c r="DP26" s="8">
        <f>SUM(DP9:DP12)</f>
        <v>57.489283333333326</v>
      </c>
      <c r="DQ26" s="8">
        <f>SUM(DQ9:DQ12)</f>
        <v>66.054783333333333</v>
      </c>
      <c r="DR26" s="8">
        <f>SUM(DR9:DR12)</f>
        <v>63.862816666666667</v>
      </c>
      <c r="DS26" s="8">
        <f>SUM(DS9:DS12)</f>
        <v>31.183550000000004</v>
      </c>
      <c r="DT26" s="8">
        <f>SUM(DT9:DT12)</f>
        <v>35.564266666666668</v>
      </c>
      <c r="DU26" s="8">
        <f>SUM(DU9:DU12)</f>
        <v>138.79028333333335</v>
      </c>
      <c r="DV26" s="8">
        <f>SUM(DV9:DV12)</f>
        <v>40.11901666666666</v>
      </c>
      <c r="DW26" s="8">
        <f>SUM(DW9:DW12)</f>
        <v>53.871216666666669</v>
      </c>
      <c r="DX26" s="8">
        <f>SUM(DX9:DX12)</f>
        <v>28.932916666666671</v>
      </c>
      <c r="DY26" s="8">
        <f>SUM(DY9:DY12)</f>
        <v>69.103183333333334</v>
      </c>
      <c r="DZ26" s="8">
        <f>SUM(DZ9:DZ12)</f>
        <v>58.486933333333347</v>
      </c>
      <c r="EA26" s="8">
        <f>SUM(EA9:EA12)</f>
        <v>46.060283333333331</v>
      </c>
      <c r="EB26" s="8">
        <f>SUM(EB9:EB12)</f>
        <v>59.054766666666659</v>
      </c>
      <c r="EC26" s="8">
        <f>SUM(EC9:EC12)</f>
        <v>32.56198333333333</v>
      </c>
      <c r="ED26" s="8">
        <f>SUM(ED9:ED12)</f>
        <v>49.905866666666668</v>
      </c>
      <c r="EE26" s="8">
        <f>SUM(EE9:EE12)</f>
        <v>16.528549999999999</v>
      </c>
      <c r="EF26" s="8">
        <f>SUM(EF9:EF12)</f>
        <v>59.320050000000009</v>
      </c>
      <c r="EG26" s="8">
        <f>SUM(EG9:EG12)</f>
        <v>60.555416666666659</v>
      </c>
      <c r="EH26" s="8">
        <f>SUM(EH9:EH12)</f>
        <v>29.730650000000001</v>
      </c>
      <c r="EI26" s="8">
        <f>SUM(EI9:EI12)</f>
        <v>18.10561666666667</v>
      </c>
      <c r="EJ26" s="8">
        <f>SUM(EJ9:EJ12)</f>
        <v>80.923550000000006</v>
      </c>
      <c r="EK26" s="8">
        <f>SUM(EK9:EK12)</f>
        <v>35.407533333333326</v>
      </c>
      <c r="EL26" s="8">
        <f>SUM(EL9:EL12)</f>
        <v>47.587316666666666</v>
      </c>
      <c r="EM26" s="8">
        <f>SUM(EM9:EM12)</f>
        <v>91.444366666666667</v>
      </c>
      <c r="EN26" s="8">
        <f>SUM(EN9:EN12)</f>
        <v>79.400000000000006</v>
      </c>
      <c r="EO26" s="8">
        <f>SUM(EO9:EO12)</f>
        <v>52.369766666666671</v>
      </c>
      <c r="EP26" s="8">
        <f>SUM(EP9:EP12)</f>
        <v>89.324033333333347</v>
      </c>
      <c r="EQ26" s="8">
        <f>SUM(EQ9:EQ12)</f>
        <v>26.917333333333332</v>
      </c>
      <c r="ER26" s="8">
        <f>SUM(ER9:ER12)</f>
        <v>32.288649999999997</v>
      </c>
      <c r="ES26" s="8">
        <f>SUM(ES9:ES12)</f>
        <v>31.121883333333333</v>
      </c>
      <c r="ET26" s="8">
        <f>SUM(ET9:ET12)</f>
        <v>30.422066666666669</v>
      </c>
      <c r="EU26" s="8">
        <f>SUM(EU9:EU12)</f>
        <v>48.118083333333331</v>
      </c>
      <c r="EV26" s="8">
        <f>SUM(EV9:EV12)</f>
        <v>41.600850000000001</v>
      </c>
      <c r="EW26" s="8">
        <f>SUM(EW9:EW12)</f>
        <v>41.346016666666671</v>
      </c>
      <c r="EX26" s="8">
        <f>SUM(EX9:EX12)</f>
        <v>70.520833333333329</v>
      </c>
      <c r="EY26" s="8">
        <f>SUM(EY9:EY12)</f>
        <v>163.33151666666663</v>
      </c>
      <c r="EZ26" s="8">
        <f>SUM(EZ9:EZ12)</f>
        <v>90.633183333333335</v>
      </c>
      <c r="FA26" s="8">
        <f>SUM(FA9:FA12)</f>
        <v>23.914566666666662</v>
      </c>
      <c r="FB26" s="8">
        <f>SUM(FB9:FB12)</f>
        <v>23.996833333333335</v>
      </c>
      <c r="FC26" s="8">
        <f>SUM(FC9:FC12)</f>
        <v>53.329999999999991</v>
      </c>
      <c r="FD26" s="8">
        <f>SUM(FD9:FD12)</f>
        <v>23.920983333333336</v>
      </c>
      <c r="FE26" s="8">
        <f>SUM(FE9:FE12)</f>
        <v>33.658883333333335</v>
      </c>
      <c r="FF26" s="8">
        <f>SUM(FF9:FF12)</f>
        <v>50.849716666666659</v>
      </c>
      <c r="FG26" s="8">
        <f>SUM(FG9:FG12)</f>
        <v>23.807866666666666</v>
      </c>
      <c r="FH26" s="8">
        <f>SUM(FH9:FH12)</f>
        <v>54.370683333333332</v>
      </c>
      <c r="FI26" s="8">
        <f>SUM(FI9:FI12)</f>
        <v>46.197300000000006</v>
      </c>
      <c r="FJ26" s="8">
        <f>SUM(FJ9:FJ12)</f>
        <v>73.623099999999994</v>
      </c>
      <c r="FK26" s="8">
        <f>SUM(FK9:FK12)</f>
        <v>89.453316666666666</v>
      </c>
      <c r="FL26" s="8">
        <f>SUM(FL9:FL12)</f>
        <v>89.372033333333334</v>
      </c>
      <c r="FM26" s="8">
        <f>SUM(FM9:FM12)</f>
        <v>72.99485</v>
      </c>
      <c r="FN26" s="8">
        <f>SUM(FN9:FN12)</f>
        <v>102.49829999999999</v>
      </c>
      <c r="FO26" s="8">
        <f>SUM(FO9:FO12)</f>
        <v>33.630533333333332</v>
      </c>
    </row>
    <row r="27" spans="1:16090" ht="17" thickBot="1" x14ac:dyDescent="0.25">
      <c r="B27" s="1" t="s">
        <v>38</v>
      </c>
      <c r="C27" s="8" t="e">
        <f>SUM(#REF!)</f>
        <v>#REF!</v>
      </c>
      <c r="D27" s="8" t="e">
        <f>SUM(#REF!)</f>
        <v>#REF!</v>
      </c>
      <c r="E27" s="8" t="e">
        <f>SUM(#REF!)</f>
        <v>#REF!</v>
      </c>
      <c r="F27" s="8" t="e">
        <f>SUM(#REF!)</f>
        <v>#REF!</v>
      </c>
      <c r="G27" s="8" t="e">
        <f>SUM(#REF!)</f>
        <v>#REF!</v>
      </c>
      <c r="H27" s="8" t="e">
        <f>SUM(#REF!)</f>
        <v>#REF!</v>
      </c>
      <c r="I27" s="8" t="e">
        <f>SUM(#REF!)</f>
        <v>#REF!</v>
      </c>
      <c r="J27" s="8" t="e">
        <f>SUM(#REF!)</f>
        <v>#REF!</v>
      </c>
      <c r="K27" s="8" t="e">
        <f>SUM(#REF!)</f>
        <v>#REF!</v>
      </c>
      <c r="L27" s="8" t="e">
        <f>SUM(#REF!)</f>
        <v>#REF!</v>
      </c>
      <c r="M27" s="8" t="e">
        <f>SUM(#REF!)</f>
        <v>#REF!</v>
      </c>
      <c r="N27" s="8" t="e">
        <f>SUM(#REF!)</f>
        <v>#REF!</v>
      </c>
      <c r="O27" s="8" t="e">
        <f>SUM(#REF!)</f>
        <v>#REF!</v>
      </c>
      <c r="P27" s="8" t="e">
        <f>SUM(#REF!)</f>
        <v>#REF!</v>
      </c>
      <c r="Q27" s="8" t="e">
        <f>SUM(#REF!)</f>
        <v>#REF!</v>
      </c>
      <c r="R27" s="8" t="e">
        <f>SUM(#REF!)</f>
        <v>#REF!</v>
      </c>
      <c r="S27" s="8" t="e">
        <f>SUM(#REF!)</f>
        <v>#REF!</v>
      </c>
      <c r="T27" s="8" t="e">
        <f>SUM(#REF!)</f>
        <v>#REF!</v>
      </c>
      <c r="U27" s="8" t="e">
        <f>SUM(#REF!)</f>
        <v>#REF!</v>
      </c>
      <c r="V27" s="8" t="e">
        <f>SUM(#REF!)</f>
        <v>#REF!</v>
      </c>
      <c r="W27" s="8" t="e">
        <f>SUM(#REF!)</f>
        <v>#REF!</v>
      </c>
      <c r="X27" s="8" t="e">
        <f>SUM(#REF!)</f>
        <v>#REF!</v>
      </c>
      <c r="Y27" s="8" t="e">
        <f>SUM(#REF!)</f>
        <v>#REF!</v>
      </c>
      <c r="Z27" s="8" t="e">
        <f>SUM(#REF!)</f>
        <v>#REF!</v>
      </c>
      <c r="AA27" s="8" t="e">
        <f>SUM(#REF!)</f>
        <v>#REF!</v>
      </c>
      <c r="AB27" s="8" t="e">
        <f>SUM(#REF!)</f>
        <v>#REF!</v>
      </c>
      <c r="AC27" s="8" t="e">
        <f>SUM(#REF!)</f>
        <v>#REF!</v>
      </c>
      <c r="AD27" s="8" t="e">
        <f>SUM(#REF!)</f>
        <v>#REF!</v>
      </c>
      <c r="AE27" s="8" t="e">
        <f>SUM(#REF!)</f>
        <v>#REF!</v>
      </c>
      <c r="AF27" s="8" t="e">
        <f>SUM(#REF!)</f>
        <v>#REF!</v>
      </c>
      <c r="AG27" s="8" t="e">
        <f>SUM(#REF!)</f>
        <v>#REF!</v>
      </c>
      <c r="AH27" s="8" t="e">
        <f>SUM(#REF!)</f>
        <v>#REF!</v>
      </c>
      <c r="AI27" s="8" t="e">
        <f>SUM(#REF!)</f>
        <v>#REF!</v>
      </c>
      <c r="AJ27" s="8" t="e">
        <f>SUM(#REF!)</f>
        <v>#REF!</v>
      </c>
      <c r="AK27" s="8" t="e">
        <f>SUM(#REF!)</f>
        <v>#REF!</v>
      </c>
      <c r="AL27" s="8" t="e">
        <f>SUM(#REF!)</f>
        <v>#REF!</v>
      </c>
      <c r="AM27" s="8" t="e">
        <f>SUM(#REF!)</f>
        <v>#REF!</v>
      </c>
      <c r="AN27" s="8" t="e">
        <f>SUM(#REF!)</f>
        <v>#REF!</v>
      </c>
      <c r="AO27" s="8" t="e">
        <f>SUM(#REF!)</f>
        <v>#REF!</v>
      </c>
      <c r="AP27" s="8" t="e">
        <f>SUM(#REF!)</f>
        <v>#REF!</v>
      </c>
      <c r="AQ27" s="8" t="e">
        <f>SUM(#REF!)</f>
        <v>#REF!</v>
      </c>
      <c r="AR27" s="8" t="e">
        <f>SUM(#REF!)</f>
        <v>#REF!</v>
      </c>
      <c r="AS27" s="8" t="e">
        <f>SUM(#REF!)</f>
        <v>#REF!</v>
      </c>
      <c r="AT27" s="8" t="e">
        <f>SUM(#REF!)</f>
        <v>#REF!</v>
      </c>
      <c r="AU27" s="8" t="e">
        <f>SUM(#REF!)</f>
        <v>#REF!</v>
      </c>
      <c r="AV27" s="8" t="e">
        <f>SUM(#REF!)</f>
        <v>#REF!</v>
      </c>
      <c r="AW27" s="8" t="e">
        <f>SUM(#REF!)</f>
        <v>#REF!</v>
      </c>
      <c r="AX27" s="8" t="e">
        <f>SUM(#REF!)</f>
        <v>#REF!</v>
      </c>
      <c r="AY27" s="8" t="e">
        <f>SUM(#REF!)</f>
        <v>#REF!</v>
      </c>
      <c r="AZ27" s="8" t="e">
        <f>SUM(#REF!)</f>
        <v>#REF!</v>
      </c>
      <c r="BA27" s="8" t="e">
        <f>SUM(#REF!)</f>
        <v>#REF!</v>
      </c>
      <c r="BB27" s="8" t="e">
        <f>SUM(#REF!)</f>
        <v>#REF!</v>
      </c>
      <c r="BC27" s="8" t="e">
        <f>SUM(#REF!)</f>
        <v>#REF!</v>
      </c>
      <c r="BD27" s="8" t="e">
        <f>SUM(#REF!)</f>
        <v>#REF!</v>
      </c>
      <c r="BE27" s="8" t="e">
        <f>SUM(#REF!)</f>
        <v>#REF!</v>
      </c>
      <c r="BF27" s="8" t="e">
        <f>SUM(#REF!)</f>
        <v>#REF!</v>
      </c>
      <c r="BG27" s="8" t="e">
        <f>SUM(#REF!)</f>
        <v>#REF!</v>
      </c>
      <c r="BH27" s="8" t="e">
        <f>SUM(#REF!)</f>
        <v>#REF!</v>
      </c>
      <c r="BI27" s="8" t="e">
        <f>SUM(#REF!)</f>
        <v>#REF!</v>
      </c>
      <c r="BJ27" s="8" t="e">
        <f>SUM(#REF!)</f>
        <v>#REF!</v>
      </c>
      <c r="BK27" s="8" t="e">
        <f>SUM(#REF!)</f>
        <v>#REF!</v>
      </c>
      <c r="BL27" s="8" t="e">
        <f>SUM(#REF!)</f>
        <v>#REF!</v>
      </c>
      <c r="BM27" s="8" t="e">
        <f>SUM(#REF!)</f>
        <v>#REF!</v>
      </c>
      <c r="BN27" s="8" t="e">
        <f>SUM(#REF!)</f>
        <v>#REF!</v>
      </c>
      <c r="BO27" s="8" t="e">
        <f>SUM(#REF!)</f>
        <v>#REF!</v>
      </c>
      <c r="BP27" s="8" t="e">
        <f>SUM(#REF!)</f>
        <v>#REF!</v>
      </c>
      <c r="BQ27" s="8" t="e">
        <f>SUM(#REF!)</f>
        <v>#REF!</v>
      </c>
      <c r="BR27" s="8" t="e">
        <f>SUM(#REF!)</f>
        <v>#REF!</v>
      </c>
      <c r="BS27" s="8" t="e">
        <f>SUM(#REF!)</f>
        <v>#REF!</v>
      </c>
      <c r="BT27" s="8" t="e">
        <f>SUM(#REF!)</f>
        <v>#REF!</v>
      </c>
      <c r="BU27" s="8" t="e">
        <f>SUM(#REF!)</f>
        <v>#REF!</v>
      </c>
      <c r="BV27" s="8" t="e">
        <f>SUM(#REF!)</f>
        <v>#REF!</v>
      </c>
      <c r="BW27" s="8" t="e">
        <f>SUM(#REF!)</f>
        <v>#REF!</v>
      </c>
      <c r="BX27" s="8" t="e">
        <f>SUM(#REF!)</f>
        <v>#REF!</v>
      </c>
      <c r="BY27" s="8" t="e">
        <f>SUM(#REF!)</f>
        <v>#REF!</v>
      </c>
      <c r="BZ27" s="8" t="e">
        <f>SUM(#REF!)</f>
        <v>#REF!</v>
      </c>
      <c r="CA27" s="8" t="e">
        <f>SUM(#REF!)</f>
        <v>#REF!</v>
      </c>
      <c r="CB27" s="8" t="e">
        <f>SUM(#REF!)</f>
        <v>#REF!</v>
      </c>
      <c r="CC27" s="8" t="e">
        <f>SUM(#REF!)</f>
        <v>#REF!</v>
      </c>
      <c r="CD27" s="8" t="e">
        <f>SUM(#REF!)</f>
        <v>#REF!</v>
      </c>
      <c r="CE27" s="8" t="e">
        <f>SUM(#REF!)</f>
        <v>#REF!</v>
      </c>
      <c r="CF27" s="8" t="e">
        <f>SUM(#REF!)</f>
        <v>#REF!</v>
      </c>
      <c r="CG27" s="8" t="e">
        <f>SUM(#REF!)</f>
        <v>#REF!</v>
      </c>
      <c r="CH27" s="8" t="e">
        <f>SUM(#REF!)</f>
        <v>#REF!</v>
      </c>
      <c r="CI27" s="8" t="e">
        <f>SUM(#REF!)</f>
        <v>#REF!</v>
      </c>
      <c r="CJ27" s="8" t="e">
        <f>SUM(#REF!)</f>
        <v>#REF!</v>
      </c>
      <c r="CK27" s="8" t="e">
        <f>SUM(#REF!)</f>
        <v>#REF!</v>
      </c>
      <c r="CL27" s="8" t="e">
        <f>SUM(#REF!)</f>
        <v>#REF!</v>
      </c>
      <c r="CM27" s="8" t="e">
        <f>SUM(#REF!)</f>
        <v>#REF!</v>
      </c>
      <c r="CN27" s="8" t="e">
        <f>SUM(#REF!)</f>
        <v>#REF!</v>
      </c>
      <c r="CO27" s="8" t="e">
        <f>SUM(#REF!)</f>
        <v>#REF!</v>
      </c>
      <c r="CP27" s="8" t="e">
        <f>SUM(#REF!)</f>
        <v>#REF!</v>
      </c>
      <c r="CQ27" s="8" t="e">
        <f>SUM(#REF!)</f>
        <v>#REF!</v>
      </c>
      <c r="CR27" s="8" t="e">
        <f>SUM(#REF!)</f>
        <v>#REF!</v>
      </c>
      <c r="CS27" s="8" t="e">
        <f>SUM(#REF!)</f>
        <v>#REF!</v>
      </c>
      <c r="CT27" s="8" t="e">
        <f>SUM(#REF!)</f>
        <v>#REF!</v>
      </c>
      <c r="CU27" s="8" t="e">
        <f>SUM(#REF!)</f>
        <v>#REF!</v>
      </c>
      <c r="CV27" s="8" t="e">
        <f>SUM(#REF!)</f>
        <v>#REF!</v>
      </c>
      <c r="CW27" s="8" t="e">
        <f>SUM(#REF!)</f>
        <v>#REF!</v>
      </c>
      <c r="CX27" s="8" t="e">
        <f>SUM(#REF!)</f>
        <v>#REF!</v>
      </c>
      <c r="CY27" s="8" t="e">
        <f>SUM(#REF!)</f>
        <v>#REF!</v>
      </c>
      <c r="CZ27" s="8" t="e">
        <f>SUM(#REF!)</f>
        <v>#REF!</v>
      </c>
      <c r="DA27" s="8" t="e">
        <f>SUM(#REF!)</f>
        <v>#REF!</v>
      </c>
      <c r="DB27" s="8" t="e">
        <f>SUM(#REF!)</f>
        <v>#REF!</v>
      </c>
      <c r="DC27" s="8" t="e">
        <f>SUM(#REF!)</f>
        <v>#REF!</v>
      </c>
      <c r="DD27" s="8" t="e">
        <f>SUM(#REF!)</f>
        <v>#REF!</v>
      </c>
      <c r="DE27" s="8" t="e">
        <f>SUM(#REF!)</f>
        <v>#REF!</v>
      </c>
      <c r="DF27" s="8" t="e">
        <f>SUM(#REF!)</f>
        <v>#REF!</v>
      </c>
      <c r="DG27" s="8" t="e">
        <f>SUM(#REF!)</f>
        <v>#REF!</v>
      </c>
      <c r="DH27" s="8" t="e">
        <f>SUM(#REF!)</f>
        <v>#REF!</v>
      </c>
      <c r="DI27" s="8" t="e">
        <f>SUM(#REF!)</f>
        <v>#REF!</v>
      </c>
      <c r="DJ27" s="8" t="e">
        <f>SUM(#REF!)</f>
        <v>#REF!</v>
      </c>
      <c r="DK27" s="8" t="e">
        <f>SUM(#REF!)</f>
        <v>#REF!</v>
      </c>
      <c r="DL27" s="8" t="e">
        <f>SUM(#REF!)</f>
        <v>#REF!</v>
      </c>
      <c r="DM27" s="8" t="e">
        <f>SUM(#REF!)</f>
        <v>#REF!</v>
      </c>
      <c r="DN27" s="8" t="e">
        <f>SUM(#REF!)</f>
        <v>#REF!</v>
      </c>
      <c r="DO27" s="8" t="e">
        <f>SUM(#REF!)</f>
        <v>#REF!</v>
      </c>
      <c r="DP27" s="8" t="e">
        <f>SUM(#REF!)</f>
        <v>#REF!</v>
      </c>
      <c r="DQ27" s="8" t="e">
        <f>SUM(#REF!)</f>
        <v>#REF!</v>
      </c>
      <c r="DR27" s="8" t="e">
        <f>SUM(#REF!)</f>
        <v>#REF!</v>
      </c>
      <c r="DS27" s="8" t="e">
        <f>SUM(#REF!)</f>
        <v>#REF!</v>
      </c>
      <c r="DT27" s="8" t="e">
        <f>SUM(#REF!)</f>
        <v>#REF!</v>
      </c>
      <c r="DU27" s="8" t="e">
        <f>SUM(#REF!)</f>
        <v>#REF!</v>
      </c>
      <c r="DV27" s="8" t="e">
        <f>SUM(#REF!)</f>
        <v>#REF!</v>
      </c>
      <c r="DW27" s="8" t="e">
        <f>SUM(#REF!)</f>
        <v>#REF!</v>
      </c>
      <c r="DX27" s="8" t="e">
        <f>SUM(#REF!)</f>
        <v>#REF!</v>
      </c>
      <c r="DY27" s="8" t="e">
        <f>SUM(#REF!)</f>
        <v>#REF!</v>
      </c>
      <c r="DZ27" s="8" t="e">
        <f>SUM(#REF!)</f>
        <v>#REF!</v>
      </c>
      <c r="EA27" s="8" t="e">
        <f>SUM(#REF!)</f>
        <v>#REF!</v>
      </c>
      <c r="EB27" s="8" t="e">
        <f>SUM(#REF!)</f>
        <v>#REF!</v>
      </c>
      <c r="EC27" s="8" t="e">
        <f>SUM(#REF!)</f>
        <v>#REF!</v>
      </c>
      <c r="ED27" s="8" t="e">
        <f>SUM(#REF!)</f>
        <v>#REF!</v>
      </c>
      <c r="EE27" s="8" t="e">
        <f>SUM(#REF!)</f>
        <v>#REF!</v>
      </c>
      <c r="EF27" s="8" t="e">
        <f>SUM(#REF!)</f>
        <v>#REF!</v>
      </c>
      <c r="EG27" s="8" t="e">
        <f>SUM(#REF!)</f>
        <v>#REF!</v>
      </c>
      <c r="EH27" s="8" t="e">
        <f>SUM(#REF!)</f>
        <v>#REF!</v>
      </c>
      <c r="EI27" s="8" t="e">
        <f>SUM(#REF!)</f>
        <v>#REF!</v>
      </c>
      <c r="EJ27" s="8" t="e">
        <f>SUM(#REF!)</f>
        <v>#REF!</v>
      </c>
      <c r="EK27" s="8" t="e">
        <f>SUM(#REF!)</f>
        <v>#REF!</v>
      </c>
      <c r="EL27" s="8" t="e">
        <f>SUM(#REF!)</f>
        <v>#REF!</v>
      </c>
      <c r="EM27" s="8" t="e">
        <f>SUM(#REF!)</f>
        <v>#REF!</v>
      </c>
      <c r="EN27" s="8" t="e">
        <f>SUM(#REF!)</f>
        <v>#REF!</v>
      </c>
      <c r="EO27" s="8" t="e">
        <f>SUM(#REF!)</f>
        <v>#REF!</v>
      </c>
      <c r="EP27" s="8" t="e">
        <f>SUM(#REF!)</f>
        <v>#REF!</v>
      </c>
      <c r="EQ27" s="8" t="e">
        <f>SUM(#REF!)</f>
        <v>#REF!</v>
      </c>
      <c r="ER27" s="8" t="e">
        <f>SUM(#REF!)</f>
        <v>#REF!</v>
      </c>
      <c r="ES27" s="8" t="e">
        <f>SUM(#REF!)</f>
        <v>#REF!</v>
      </c>
      <c r="ET27" s="8" t="e">
        <f>SUM(#REF!)</f>
        <v>#REF!</v>
      </c>
      <c r="EU27" s="8" t="e">
        <f>SUM(#REF!)</f>
        <v>#REF!</v>
      </c>
      <c r="EV27" s="8" t="e">
        <f>SUM(#REF!)</f>
        <v>#REF!</v>
      </c>
      <c r="EW27" s="8" t="e">
        <f>SUM(#REF!)</f>
        <v>#REF!</v>
      </c>
      <c r="EX27" s="8" t="e">
        <f>SUM(#REF!)</f>
        <v>#REF!</v>
      </c>
      <c r="EY27" s="8" t="e">
        <f>SUM(#REF!)</f>
        <v>#REF!</v>
      </c>
      <c r="EZ27" s="8" t="e">
        <f>SUM(#REF!)</f>
        <v>#REF!</v>
      </c>
      <c r="FA27" s="8" t="e">
        <f>SUM(#REF!)</f>
        <v>#REF!</v>
      </c>
      <c r="FB27" s="8" t="e">
        <f>SUM(#REF!)</f>
        <v>#REF!</v>
      </c>
      <c r="FC27" s="8" t="e">
        <f>SUM(#REF!)</f>
        <v>#REF!</v>
      </c>
      <c r="FD27" s="8" t="e">
        <f>SUM(#REF!)</f>
        <v>#REF!</v>
      </c>
      <c r="FE27" s="8" t="e">
        <f>SUM(#REF!)</f>
        <v>#REF!</v>
      </c>
      <c r="FF27" s="8" t="e">
        <f>SUM(#REF!)</f>
        <v>#REF!</v>
      </c>
      <c r="FG27" s="8" t="e">
        <f>SUM(#REF!)</f>
        <v>#REF!</v>
      </c>
      <c r="FH27" s="8" t="e">
        <f>SUM(#REF!)</f>
        <v>#REF!</v>
      </c>
      <c r="FI27" s="8" t="e">
        <f>SUM(#REF!)</f>
        <v>#REF!</v>
      </c>
      <c r="FJ27" s="8" t="e">
        <f>SUM(#REF!)</f>
        <v>#REF!</v>
      </c>
      <c r="FK27" s="8" t="e">
        <f>SUM(#REF!)</f>
        <v>#REF!</v>
      </c>
      <c r="FL27" s="8" t="e">
        <f>SUM(#REF!)</f>
        <v>#REF!</v>
      </c>
      <c r="FM27" s="8" t="e">
        <f>SUM(#REF!)</f>
        <v>#REF!</v>
      </c>
      <c r="FN27" s="8" t="e">
        <f>SUM(#REF!)</f>
        <v>#REF!</v>
      </c>
      <c r="FO27" s="8" t="e">
        <f>SUM(#REF!)</f>
        <v>#REF!</v>
      </c>
    </row>
    <row r="28" spans="1:16090" ht="17" thickBot="1" x14ac:dyDescent="0.25">
      <c r="B28" s="1" t="s">
        <v>37</v>
      </c>
      <c r="C28" s="8">
        <f>SUM(C15:C16)</f>
        <v>96.875466666666668</v>
      </c>
      <c r="D28" s="8">
        <f>SUM(D15:D16)</f>
        <v>118.98988333333334</v>
      </c>
      <c r="E28" s="8">
        <f>SUM(E15:E16)</f>
        <v>125.04509999999999</v>
      </c>
      <c r="F28" s="8">
        <f>SUM(F15:F16)</f>
        <v>157.93963333333332</v>
      </c>
      <c r="G28" s="8">
        <f>SUM(G15:G16)</f>
        <v>174.42695000000001</v>
      </c>
      <c r="H28" s="8">
        <f>SUM(H15:H16)</f>
        <v>194.51086666666669</v>
      </c>
      <c r="I28" s="8">
        <f>SUM(I15:I16)</f>
        <v>94.294666666666657</v>
      </c>
      <c r="J28" s="8">
        <f>SUM(J15:J16)</f>
        <v>50.037816666666671</v>
      </c>
      <c r="K28" s="8">
        <f>SUM(K15:K16)</f>
        <v>45.0702</v>
      </c>
      <c r="L28" s="8">
        <f>SUM(L15:L16)</f>
        <v>146.29208333333335</v>
      </c>
      <c r="M28" s="8">
        <f>SUM(M15:M16)</f>
        <v>40.642616666666669</v>
      </c>
      <c r="N28" s="8">
        <f>SUM(N15:N16)</f>
        <v>225.77925000000005</v>
      </c>
      <c r="O28" s="8">
        <f>SUM(O15:O16)</f>
        <v>168.61446666666669</v>
      </c>
      <c r="P28" s="8">
        <f>SUM(P15:P16)</f>
        <v>162.40606666666667</v>
      </c>
      <c r="Q28" s="8">
        <f>SUM(Q15:Q16)</f>
        <v>196.42911666666669</v>
      </c>
      <c r="R28" s="8">
        <f>SUM(R15:R16)</f>
        <v>1209.8726500000002</v>
      </c>
      <c r="S28" s="8">
        <f>SUM(S15:S16)</f>
        <v>16.7148</v>
      </c>
      <c r="T28" s="8">
        <f>SUM(T15:T16)</f>
        <v>63.4129</v>
      </c>
      <c r="U28" s="8">
        <f>SUM(U15:U16)</f>
        <v>134.15203333333332</v>
      </c>
      <c r="V28" s="8">
        <f>SUM(V15:V16)</f>
        <v>49.190466666666673</v>
      </c>
      <c r="W28" s="8">
        <f>SUM(W15:W16)</f>
        <v>431.78008571428569</v>
      </c>
      <c r="X28" s="8">
        <f>SUM(X15:X16)</f>
        <v>116.77408</v>
      </c>
      <c r="Y28" s="8">
        <f>SUM(Y15:Y16)</f>
        <v>116.19905</v>
      </c>
      <c r="Z28" s="8">
        <f>SUM(Z15:Z16)</f>
        <v>1027.0499000000002</v>
      </c>
      <c r="AA28" s="8">
        <f>SUM(AA15:AA16)</f>
        <v>46.039516666666671</v>
      </c>
      <c r="AB28" s="8">
        <f>SUM(AB15:AB16)</f>
        <v>98.415333333333336</v>
      </c>
      <c r="AC28" s="8">
        <f>SUM(AC15:AC16)</f>
        <v>71.167633333333328</v>
      </c>
      <c r="AD28" s="8">
        <f>SUM(AD15:AD16)</f>
        <v>162.99411666666666</v>
      </c>
      <c r="AE28" s="8">
        <f>SUM(AE15:AE16)</f>
        <v>45.801699999999997</v>
      </c>
      <c r="AF28" s="8">
        <f>SUM(AF15:AF16)</f>
        <v>104.67716666666666</v>
      </c>
      <c r="AG28" s="8">
        <f>SUM(AG15:AG16)</f>
        <v>323.68610000000001</v>
      </c>
      <c r="AH28" s="8">
        <f>SUM(AH15:AH16)</f>
        <v>65.948366666666658</v>
      </c>
      <c r="AI28" s="8">
        <f>SUM(AI15:AI16)</f>
        <v>308.81621666666666</v>
      </c>
      <c r="AJ28" s="8">
        <f>SUM(AJ15:AJ16)</f>
        <v>285.18389999999999</v>
      </c>
      <c r="AK28" s="8">
        <f>SUM(AK15:AK16)</f>
        <v>80.498633333333331</v>
      </c>
      <c r="AL28" s="8">
        <f>SUM(AL15:AL16)</f>
        <v>133.36949999999999</v>
      </c>
      <c r="AM28" s="8">
        <f>SUM(AM15:AM16)</f>
        <v>254.16910000000001</v>
      </c>
      <c r="AN28" s="8">
        <f>SUM(AN15:AN16)</f>
        <v>134.33998333333332</v>
      </c>
      <c r="AO28" s="8">
        <f>SUM(AO15:AO16)</f>
        <v>30.750399999999999</v>
      </c>
      <c r="AP28" s="8">
        <f>SUM(AP15:AP16)</f>
        <v>179.95054999999999</v>
      </c>
      <c r="AQ28" s="8">
        <f>SUM(AQ15:AQ16)</f>
        <v>221.44746666666666</v>
      </c>
      <c r="AR28" s="8">
        <f>SUM(AR15:AR16)</f>
        <v>102.22284999999998</v>
      </c>
      <c r="AS28" s="8">
        <f>SUM(AS15:AS16)</f>
        <v>1546.1854500000002</v>
      </c>
      <c r="AT28" s="8">
        <f>SUM(AT15:AT16)</f>
        <v>349.91435000000001</v>
      </c>
      <c r="AU28" s="8">
        <f>SUM(AU15:AU16)</f>
        <v>59.576880000000003</v>
      </c>
      <c r="AV28" s="8">
        <f>SUM(AV15:AV16)</f>
        <v>18.45636</v>
      </c>
      <c r="AW28" s="8">
        <f>SUM(AW15:AW16)</f>
        <v>99.323816666666673</v>
      </c>
      <c r="AX28" s="8">
        <f>SUM(AX15:AX16)</f>
        <v>154.27348333333333</v>
      </c>
      <c r="AY28" s="8">
        <f>SUM(AY15:AY16)</f>
        <v>336.86656666666664</v>
      </c>
      <c r="AZ28" s="8">
        <f>SUM(AZ15:AZ16)</f>
        <v>14.695116666666665</v>
      </c>
      <c r="BA28" s="8">
        <f>SUM(BA15:BA16)</f>
        <v>88.255700000000004</v>
      </c>
      <c r="BB28" s="8">
        <f>SUM(BB15:BB16)</f>
        <v>42.485900000000001</v>
      </c>
      <c r="BC28" s="8">
        <f>SUM(BC15:BC16)</f>
        <v>211.86595</v>
      </c>
      <c r="BD28" s="8">
        <f>SUM(BD15:BD16)</f>
        <v>207.32430000000002</v>
      </c>
      <c r="BE28" s="8">
        <f>SUM(BE15:BE16)</f>
        <v>20.31015</v>
      </c>
      <c r="BF28" s="8">
        <f>SUM(BF15:BF16)</f>
        <v>439.38136666666668</v>
      </c>
      <c r="BG28" s="8">
        <f>SUM(BG15:BG16)</f>
        <v>42.308616666666666</v>
      </c>
      <c r="BH28" s="8">
        <f>SUM(BH15:BH16)</f>
        <v>357.71801666666659</v>
      </c>
      <c r="BI28" s="8">
        <f>SUM(BI15:BI16)</f>
        <v>380.58443333333338</v>
      </c>
      <c r="BJ28" s="8">
        <f>SUM(BJ15:BJ16)</f>
        <v>744.77544999999998</v>
      </c>
      <c r="BK28" s="8">
        <f>SUM(BK15:BK16)</f>
        <v>389.34251666666671</v>
      </c>
      <c r="BL28" s="8">
        <f>SUM(BL15:BL16)</f>
        <v>2318.3474666666666</v>
      </c>
      <c r="BM28" s="8">
        <f>SUM(BM15:BM16)</f>
        <v>879.63162857142868</v>
      </c>
      <c r="BN28" s="8">
        <f>SUM(BN15:BN16)</f>
        <v>2315.8532666666665</v>
      </c>
      <c r="BO28" s="8">
        <f>SUM(BO15:BO16)</f>
        <v>1769.8313666666666</v>
      </c>
      <c r="BP28" s="8">
        <f>SUM(BP15:BP16)</f>
        <v>1759.5002833333333</v>
      </c>
      <c r="BQ28" s="8">
        <f>SUM(BQ15:BQ16)</f>
        <v>519.19443333333334</v>
      </c>
      <c r="BR28" s="8">
        <f>SUM(BR15:BR16)</f>
        <v>113.59911428571429</v>
      </c>
      <c r="BS28" s="8">
        <f>SUM(BS15:BS16)</f>
        <v>1418.4833166666665</v>
      </c>
      <c r="BT28" s="8">
        <f>SUM(BT15:BT16)</f>
        <v>1007.8498666666667</v>
      </c>
      <c r="BU28" s="8">
        <f>SUM(BU15:BU16)</f>
        <v>345.61496666666665</v>
      </c>
      <c r="BV28" s="8">
        <f>SUM(BV15:BV16)</f>
        <v>245.7982833333333</v>
      </c>
      <c r="BW28" s="8">
        <f>SUM(BW15:BW16)</f>
        <v>390.75646666666671</v>
      </c>
      <c r="BX28" s="8">
        <f>SUM(BX15:BX16)</f>
        <v>109.06278333333333</v>
      </c>
      <c r="BY28" s="8">
        <f>SUM(BY15:BY16)</f>
        <v>278.22036666666668</v>
      </c>
      <c r="BZ28" s="8">
        <f>SUM(BZ15:BZ16)</f>
        <v>181.17239999999998</v>
      </c>
      <c r="CA28" s="8">
        <f>SUM(CA15:CA16)</f>
        <v>255.12900000000002</v>
      </c>
      <c r="CB28" s="8">
        <f>SUM(CB15:CB16)</f>
        <v>189.43281666666664</v>
      </c>
      <c r="CC28" s="8">
        <f>SUM(CC15:CC16)</f>
        <v>218.64533333333338</v>
      </c>
      <c r="CD28" s="8">
        <f>SUM(CD15:CD16)</f>
        <v>115.0843</v>
      </c>
      <c r="CE28" s="8">
        <f>SUM(CE15:CE16)</f>
        <v>792.97905000000003</v>
      </c>
      <c r="CF28" s="8">
        <f>SUM(CF15:CF16)</f>
        <v>73.402383333333333</v>
      </c>
      <c r="CG28" s="8">
        <f>SUM(CG15:CG16)</f>
        <v>81.481416666666675</v>
      </c>
      <c r="CH28" s="8">
        <f>SUM(CH15:CH16)</f>
        <v>33.093499999999999</v>
      </c>
      <c r="CI28" s="8">
        <f>SUM(CI15:CI16)</f>
        <v>145.03594999999999</v>
      </c>
      <c r="CJ28" s="8">
        <f>SUM(CJ15:CJ16)</f>
        <v>202.09326666666666</v>
      </c>
      <c r="CK28" s="8">
        <f>SUM(CK15:CK16)</f>
        <v>22.660000000000004</v>
      </c>
      <c r="CL28" s="8">
        <f>SUM(CL15:CL16)</f>
        <v>87.620566666666662</v>
      </c>
      <c r="CM28" s="8">
        <f>SUM(CM15:CM16)</f>
        <v>46.403283333333334</v>
      </c>
      <c r="CN28" s="8">
        <f>SUM(CN15:CN16)</f>
        <v>19.923499999999997</v>
      </c>
      <c r="CO28" s="8">
        <f>SUM(CO15:CO16)</f>
        <v>62.461699999999993</v>
      </c>
      <c r="CP28" s="8">
        <f>SUM(CP15:CP16)</f>
        <v>156.93019999999999</v>
      </c>
      <c r="CQ28" s="8">
        <f>SUM(CQ15:CQ16)</f>
        <v>231.14083333333335</v>
      </c>
      <c r="CR28" s="8">
        <f>SUM(CR15:CR16)</f>
        <v>107.63981666666668</v>
      </c>
      <c r="CS28" s="8">
        <f>SUM(CS15:CS16)</f>
        <v>26.097383333333333</v>
      </c>
      <c r="CT28" s="8">
        <f>SUM(CT15:CT16)</f>
        <v>23.582583333333332</v>
      </c>
      <c r="CU28" s="8">
        <f>SUM(CU15:CU16)</f>
        <v>118.29228333333334</v>
      </c>
      <c r="CV28" s="8">
        <f>SUM(CV15:CV16)</f>
        <v>546.92185000000006</v>
      </c>
      <c r="CW28" s="8">
        <f>SUM(CW15:CW16)</f>
        <v>70.250550000000004</v>
      </c>
      <c r="CX28" s="8">
        <f>SUM(CX15:CX16)</f>
        <v>16.011599999999998</v>
      </c>
      <c r="CY28" s="8">
        <f>SUM(CY15:CY16)</f>
        <v>256.5185166666667</v>
      </c>
      <c r="CZ28" s="8">
        <f>SUM(CZ15:CZ16)</f>
        <v>91.768550000000005</v>
      </c>
      <c r="DA28" s="8">
        <f>SUM(DA15:DA16)</f>
        <v>24.089183333333335</v>
      </c>
      <c r="DB28" s="8">
        <f>SUM(DB15:DB16)</f>
        <v>262.94265000000001</v>
      </c>
      <c r="DC28" s="8">
        <f>SUM(DC15:DC16)</f>
        <v>163.74301666666668</v>
      </c>
      <c r="DD28" s="8">
        <f>SUM(DD15:DD16)</f>
        <v>34.871616666666668</v>
      </c>
      <c r="DE28" s="8">
        <f>SUM(DE15:DE16)</f>
        <v>129.58323333333334</v>
      </c>
      <c r="DF28" s="8">
        <f>SUM(DF15:DF16)</f>
        <v>83.315133333333335</v>
      </c>
      <c r="DG28" s="8">
        <f>SUM(DG15:DG16)</f>
        <v>308.7086333333333</v>
      </c>
      <c r="DH28" s="8">
        <f>SUM(DH15:DH16)</f>
        <v>17.121316666666665</v>
      </c>
      <c r="DI28" s="8">
        <f>SUM(DI15:DI16)</f>
        <v>124.07951666666666</v>
      </c>
      <c r="DJ28" s="8">
        <f>SUM(DJ15:DJ16)</f>
        <v>395.41576666666668</v>
      </c>
      <c r="DK28" s="8">
        <f>SUM(DK15:DK16)</f>
        <v>326.77785</v>
      </c>
      <c r="DL28" s="8">
        <f>SUM(DL15:DL16)</f>
        <v>55.981350000000006</v>
      </c>
      <c r="DM28" s="8">
        <f>SUM(DM15:DM16)</f>
        <v>61.475699999999996</v>
      </c>
      <c r="DN28" s="8">
        <f>SUM(DN15:DN16)</f>
        <v>271.68115</v>
      </c>
      <c r="DO28" s="8">
        <f>SUM(DO15:DO16)</f>
        <v>307.7249333333333</v>
      </c>
      <c r="DP28" s="8">
        <f>SUM(DP15:DP16)</f>
        <v>74.946416666666664</v>
      </c>
      <c r="DQ28" s="8">
        <f>SUM(DQ15:DQ16)</f>
        <v>63.543066666666661</v>
      </c>
      <c r="DR28" s="8">
        <f>SUM(DR15:DR16)</f>
        <v>31.706149999999997</v>
      </c>
      <c r="DS28" s="8">
        <f>SUM(DS15:DS16)</f>
        <v>73.360599999999991</v>
      </c>
      <c r="DT28" s="8">
        <f>SUM(DT15:DT16)</f>
        <v>105.61505000000001</v>
      </c>
      <c r="DU28" s="8">
        <f>SUM(DU15:DU16)</f>
        <v>249.84706666666671</v>
      </c>
      <c r="DV28" s="8">
        <f>SUM(DV15:DV16)</f>
        <v>83.744683333333327</v>
      </c>
      <c r="DW28" s="8">
        <f>SUM(DW15:DW16)</f>
        <v>75.641383333333323</v>
      </c>
      <c r="DX28" s="8">
        <f>SUM(DX15:DX16)</f>
        <v>188.69903333333332</v>
      </c>
      <c r="DY28" s="8">
        <f>SUM(DY15:DY16)</f>
        <v>112.97154999999999</v>
      </c>
      <c r="DZ28" s="8">
        <f>SUM(DZ15:DZ16)</f>
        <v>248.91913333333332</v>
      </c>
      <c r="EA28" s="8">
        <f>SUM(EA15:EA16)</f>
        <v>83.908933333333337</v>
      </c>
      <c r="EB28" s="8">
        <f>SUM(EB15:EB16)</f>
        <v>23.078583333333331</v>
      </c>
      <c r="EC28" s="8">
        <f>SUM(EC15:EC16)</f>
        <v>85.300966666666667</v>
      </c>
      <c r="ED28" s="8">
        <f>SUM(ED15:ED16)</f>
        <v>101.32588333333334</v>
      </c>
      <c r="EE28" s="8">
        <f>SUM(EE15:EE16)</f>
        <v>82.642466666666664</v>
      </c>
      <c r="EF28" s="8">
        <f>SUM(EF15:EF16)</f>
        <v>113.31355000000001</v>
      </c>
      <c r="EG28" s="8">
        <f>SUM(EG15:EG16)</f>
        <v>142.68658333333332</v>
      </c>
      <c r="EH28" s="8">
        <f>SUM(EH15:EH16)</f>
        <v>252.44239999999996</v>
      </c>
      <c r="EI28" s="8">
        <f>SUM(EI15:EI16)</f>
        <v>26.569366666666667</v>
      </c>
      <c r="EJ28" s="8">
        <f>SUM(EJ15:EJ16)</f>
        <v>144.53558333333334</v>
      </c>
      <c r="EK28" s="8">
        <f>SUM(EK15:EK16)</f>
        <v>252.75561666666664</v>
      </c>
      <c r="EL28" s="8">
        <f>SUM(EL15:EL16)</f>
        <v>313.73031666666668</v>
      </c>
      <c r="EM28" s="8">
        <f>SUM(EM15:EM16)</f>
        <v>20.819166666666668</v>
      </c>
      <c r="EN28" s="8">
        <f>SUM(EN15:EN16)</f>
        <v>229.71311666666668</v>
      </c>
      <c r="EO28" s="8">
        <f>SUM(EO15:EO16)</f>
        <v>81.619316666666663</v>
      </c>
      <c r="EP28" s="8">
        <f>SUM(EP15:EP16)</f>
        <v>182.9537</v>
      </c>
      <c r="EQ28" s="8">
        <f>SUM(EQ15:EQ16)</f>
        <v>56.642733333333332</v>
      </c>
      <c r="ER28" s="8">
        <f>SUM(ER15:ER16)</f>
        <v>82.242300000000014</v>
      </c>
      <c r="ES28" s="8">
        <f>SUM(ES15:ES16)</f>
        <v>76.975766666666672</v>
      </c>
      <c r="ET28" s="8">
        <f>SUM(ET15:ET16)</f>
        <v>142.31935000000001</v>
      </c>
      <c r="EU28" s="8">
        <f>SUM(EU15:EU16)</f>
        <v>199.84166666666667</v>
      </c>
      <c r="EV28" s="8">
        <f>SUM(EV15:EV16)</f>
        <v>133.25809999999998</v>
      </c>
      <c r="EW28" s="8">
        <f>SUM(EW15:EW16)</f>
        <v>122.38018333333335</v>
      </c>
      <c r="EX28" s="8">
        <f>SUM(EX15:EX16)</f>
        <v>182.57273333333336</v>
      </c>
      <c r="EY28" s="8">
        <f>SUM(EY15:EY16)</f>
        <v>36.389483333333338</v>
      </c>
      <c r="EZ28" s="8">
        <f>SUM(EZ15:EZ16)</f>
        <v>19.331466666666664</v>
      </c>
      <c r="FA28" s="8">
        <f>SUM(FA15:FA16)</f>
        <v>29.214416666666661</v>
      </c>
      <c r="FB28" s="8">
        <f>SUM(FB15:FB16)</f>
        <v>85.616216666666659</v>
      </c>
      <c r="FC28" s="8">
        <f>SUM(FC15:FC16)</f>
        <v>60.301433333333335</v>
      </c>
      <c r="FD28" s="8">
        <f>SUM(FD15:FD16)</f>
        <v>218.3559166666667</v>
      </c>
      <c r="FE28" s="8">
        <f>SUM(FE15:FE16)</f>
        <v>111.68713333333334</v>
      </c>
      <c r="FF28" s="8">
        <f>SUM(FF15:FF16)</f>
        <v>205.55596666666665</v>
      </c>
      <c r="FG28" s="8">
        <f>SUM(FG15:FG16)</f>
        <v>41.702449999999992</v>
      </c>
      <c r="FH28" s="8">
        <f>SUM(FH15:FH16)</f>
        <v>88.157833333333343</v>
      </c>
      <c r="FI28" s="8">
        <f>SUM(FI15:FI16)</f>
        <v>251.60198333333332</v>
      </c>
      <c r="FJ28" s="8">
        <f>SUM(FJ15:FJ16)</f>
        <v>51.391149999999996</v>
      </c>
      <c r="FK28" s="8">
        <f>SUM(FK15:FK16)</f>
        <v>34.865733333333331</v>
      </c>
      <c r="FL28" s="8">
        <f>SUM(FL15:FL16)</f>
        <v>5.5661166666666677</v>
      </c>
      <c r="FM28" s="8">
        <f>SUM(FM15:FM16)</f>
        <v>11.948700000000001</v>
      </c>
      <c r="FN28" s="8">
        <f>SUM(FN15:FN16)</f>
        <v>97.012750000000011</v>
      </c>
      <c r="FO28" s="8">
        <f>SUM(FO15:FO16)</f>
        <v>28.8748</v>
      </c>
    </row>
    <row r="29" spans="1:16090" ht="17" thickBot="1" x14ac:dyDescent="0.25">
      <c r="B29" s="1" t="s">
        <v>380</v>
      </c>
      <c r="C29" s="8">
        <f>SUM(C18:C18)</f>
        <v>0.79061666666666663</v>
      </c>
      <c r="D29" s="8">
        <f>SUM(D18:D18)</f>
        <v>0.85391666666666666</v>
      </c>
      <c r="E29" s="8">
        <f>SUM(E18:E18)</f>
        <v>0.40044999999999997</v>
      </c>
      <c r="F29" s="8">
        <f>SUM(F18:F18)</f>
        <v>2.1095999999999999</v>
      </c>
      <c r="G29" s="8">
        <f>SUM(G18:G18)</f>
        <v>1.3896000000000002</v>
      </c>
      <c r="H29" s="8">
        <f>SUM(H18:H18)</f>
        <v>0.5676000000000001</v>
      </c>
      <c r="I29" s="8">
        <f>SUM(I18:I18)</f>
        <v>1.3167166666666668</v>
      </c>
      <c r="J29" s="8">
        <f>SUM(J18:J18)</f>
        <v>0.56136666666666668</v>
      </c>
      <c r="K29" s="8">
        <f>SUM(K18:K18)</f>
        <v>4.5957166666666662</v>
      </c>
      <c r="L29" s="8">
        <f>SUM(L18:L18)</f>
        <v>2.0060500000000001</v>
      </c>
      <c r="M29" s="8">
        <f>SUM(M18:M18)</f>
        <v>1.4151833333333335</v>
      </c>
      <c r="N29" s="8">
        <f>SUM(N18:N18)</f>
        <v>0.77574999999999994</v>
      </c>
      <c r="O29" s="8">
        <f>SUM(O18:O18)</f>
        <v>1.2581500000000001</v>
      </c>
      <c r="P29" s="8">
        <f>SUM(P18:P18)</f>
        <v>1.4524833333333333</v>
      </c>
      <c r="Q29" s="8">
        <f>SUM(Q18:Q18)</f>
        <v>2.0669333333333335</v>
      </c>
      <c r="R29" s="8">
        <f>SUM(R18:R18)</f>
        <v>4.7613666666666665</v>
      </c>
      <c r="S29" s="8">
        <f>SUM(S18:S18)</f>
        <v>4.2172999999999998</v>
      </c>
      <c r="T29" s="8">
        <f>SUM(T18:T18)</f>
        <v>0.24276666666666666</v>
      </c>
      <c r="U29" s="8">
        <f>SUM(U18:U18)</f>
        <v>0.86763333333333337</v>
      </c>
      <c r="V29" s="8">
        <f>SUM(V18:V18)</f>
        <v>2.1211500000000001</v>
      </c>
      <c r="W29" s="8">
        <f>SUM(W18:W18)</f>
        <v>1.9643142857142859</v>
      </c>
      <c r="X29" s="8">
        <f>SUM(X18:X18)</f>
        <v>0.60751999999999995</v>
      </c>
      <c r="Y29" s="8">
        <f>SUM(Y18:Y18)</f>
        <v>1.5137666666666665</v>
      </c>
      <c r="Z29" s="8">
        <f>SUM(Z18:Z18)</f>
        <v>6.04216</v>
      </c>
      <c r="AA29" s="8">
        <f>SUM(AA18:AA18)</f>
        <v>1.3471833333333334</v>
      </c>
      <c r="AB29" s="8">
        <f>SUM(AB18:AB18)</f>
        <v>1.8638833333333333</v>
      </c>
      <c r="AC29" s="8">
        <f>SUM(AC18:AC18)</f>
        <v>0.63491666666666668</v>
      </c>
      <c r="AD29" s="8">
        <f>SUM(AD18:AD18)</f>
        <v>1.1370833333333332</v>
      </c>
      <c r="AE29" s="8">
        <f>SUM(AE18:AE18)</f>
        <v>0.53525</v>
      </c>
      <c r="AF29" s="8">
        <f>SUM(AF18:AF18)</f>
        <v>0.93888333333333329</v>
      </c>
      <c r="AG29" s="8">
        <f>SUM(AG18:AG18)</f>
        <v>2.0918000000000001</v>
      </c>
      <c r="AH29" s="8">
        <f>SUM(AH18:AH18)</f>
        <v>1.1258000000000001</v>
      </c>
      <c r="AI29" s="8">
        <f>SUM(AI18:AI18)</f>
        <v>1.4144000000000001</v>
      </c>
      <c r="AJ29" s="8">
        <f>SUM(AJ18:AJ18)</f>
        <v>1.7300833333333332</v>
      </c>
      <c r="AK29" s="8">
        <f>SUM(AK18:AK18)</f>
        <v>0.57756666666666656</v>
      </c>
      <c r="AL29" s="8">
        <f>SUM(AL18:AL18)</f>
        <v>1.2018500000000001</v>
      </c>
      <c r="AM29" s="8">
        <f>SUM(AM18:AM18)</f>
        <v>2.3552333333333331</v>
      </c>
      <c r="AN29" s="8">
        <f>SUM(AN18:AN18)</f>
        <v>1.4346500000000002</v>
      </c>
      <c r="AO29" s="8">
        <f>SUM(AO18:AO18)</f>
        <v>0.85391666666666666</v>
      </c>
      <c r="AP29" s="8">
        <f>SUM(AP18:AP18)</f>
        <v>1.1415833333333334</v>
      </c>
      <c r="AQ29" s="8">
        <f>SUM(AQ18:AQ18)</f>
        <v>3.3933166666666663</v>
      </c>
      <c r="AR29" s="8">
        <f>SUM(AR18:AR18)</f>
        <v>0.3888833333333333</v>
      </c>
      <c r="AS29" s="8">
        <f>SUM(AS18:AS18)</f>
        <v>2.6600666666666664</v>
      </c>
      <c r="AT29" s="8">
        <f>SUM(AT18:AT18)</f>
        <v>1.6563666666666668</v>
      </c>
      <c r="AU29" s="8">
        <f>SUM(AU18:AU18)</f>
        <v>0</v>
      </c>
      <c r="AV29" s="8">
        <f>SUM(AV18:AV18)</f>
        <v>1.1708799999999999</v>
      </c>
      <c r="AW29" s="8">
        <f>SUM(AW18:AW18)</f>
        <v>0.68328333333333335</v>
      </c>
      <c r="AX29" s="8">
        <f>SUM(AX18:AX18)</f>
        <v>0.7698166666666667</v>
      </c>
      <c r="AY29" s="8">
        <f>SUM(AY18:AY18)</f>
        <v>1.0977833333333333</v>
      </c>
      <c r="AZ29" s="8">
        <f>SUM(AZ18:AZ18)</f>
        <v>0.34009999999999996</v>
      </c>
      <c r="BA29" s="8">
        <f>SUM(BA18:BA18)</f>
        <v>0.9448833333333333</v>
      </c>
      <c r="BB29" s="8">
        <f>SUM(BB18:BB18)</f>
        <v>0.41339999999999999</v>
      </c>
      <c r="BC29" s="8">
        <f>SUM(BC18:BC18)</f>
        <v>1.0061333333333333</v>
      </c>
      <c r="BD29" s="8">
        <f>SUM(BD18:BD18)</f>
        <v>0.44236666666666663</v>
      </c>
      <c r="BE29" s="8">
        <f>SUM(BE18:BE18)</f>
        <v>1.5808166666666665</v>
      </c>
      <c r="BF29" s="8">
        <f>SUM(BF18:BF18)</f>
        <v>3.5002666666666666</v>
      </c>
      <c r="BG29" s="8">
        <f>SUM(BG18:BG18)</f>
        <v>0.29349999999999998</v>
      </c>
      <c r="BH29" s="8">
        <f>SUM(BH18:BH18)</f>
        <v>5.8533833333333325</v>
      </c>
      <c r="BI29" s="8">
        <f>SUM(BI18:BI18)</f>
        <v>4.6669999999999998</v>
      </c>
      <c r="BJ29" s="8">
        <f>SUM(BJ18:BJ18)</f>
        <v>8.8222333333333331</v>
      </c>
      <c r="BK29" s="8">
        <f>SUM(BK18:BK18)</f>
        <v>1.4839166666666666</v>
      </c>
      <c r="BL29" s="8">
        <f>SUM(BL18:BL18)</f>
        <v>22.811400000000003</v>
      </c>
      <c r="BM29" s="8">
        <f>SUM(BM18:BM18)</f>
        <v>24.88597142857143</v>
      </c>
      <c r="BN29" s="8">
        <f>SUM(BN18:BN18)</f>
        <v>39.701483333333336</v>
      </c>
      <c r="BO29" s="8">
        <f>SUM(BO18:BO18)</f>
        <v>107.96598333333333</v>
      </c>
      <c r="BP29" s="8">
        <f>SUM(BP18:BP18)</f>
        <v>51.337800000000001</v>
      </c>
      <c r="BQ29" s="8">
        <f>SUM(BQ18:BQ18)</f>
        <v>2.5672666666666668</v>
      </c>
      <c r="BR29" s="8">
        <f>SUM(BR18:BR18)</f>
        <v>0.77091428571428566</v>
      </c>
      <c r="BS29" s="8">
        <f>SUM(BS18:BS18)</f>
        <v>107.22805</v>
      </c>
      <c r="BT29" s="8">
        <f>SUM(BT18:BT18)</f>
        <v>8.6475833333333334</v>
      </c>
      <c r="BU29" s="8">
        <f>SUM(BU18:BU18)</f>
        <v>3.0842833333333335</v>
      </c>
      <c r="BV29" s="8">
        <f>SUM(BV18:BV18)</f>
        <v>2.5323333333333333</v>
      </c>
      <c r="BW29" s="8">
        <f>SUM(BW18:BW18)</f>
        <v>3.5411666666666668</v>
      </c>
      <c r="BX29" s="8">
        <f>SUM(BX18:BX18)</f>
        <v>0.85643333333333338</v>
      </c>
      <c r="BY29" s="8">
        <f>SUM(BY18:BY18)</f>
        <v>2.8419166666666671</v>
      </c>
      <c r="BZ29" s="8">
        <f>SUM(BZ18:BZ18)</f>
        <v>1.2201333333333333</v>
      </c>
      <c r="CA29" s="8">
        <f>SUM(CA18:CA18)</f>
        <v>3.1940000000000004</v>
      </c>
      <c r="CB29" s="8">
        <f>SUM(CB18:CB18)</f>
        <v>0.60661666666666669</v>
      </c>
      <c r="CC29" s="8">
        <f>SUM(CC18:CC18)</f>
        <v>1.3842333333333334</v>
      </c>
      <c r="CD29" s="8">
        <f>SUM(CD18:CD18)</f>
        <v>1.1900166666666669</v>
      </c>
      <c r="CE29" s="8">
        <f>SUM(CE18:CE18)</f>
        <v>5.3199000000000005</v>
      </c>
      <c r="CF29" s="8">
        <f>SUM(CF18:CF18)</f>
        <v>0.69275000000000009</v>
      </c>
      <c r="CG29" s="8">
        <f>SUM(CG18:CG18)</f>
        <v>1.8363</v>
      </c>
      <c r="CH29" s="8">
        <f>SUM(CH18:CH18)</f>
        <v>1.1662999999999999</v>
      </c>
      <c r="CI29" s="8">
        <f>SUM(CI18:CI18)</f>
        <v>1.3339999999999999</v>
      </c>
      <c r="CJ29" s="8">
        <f>SUM(CJ18:CJ18)</f>
        <v>0.53671111111111114</v>
      </c>
      <c r="CK29" s="8">
        <f>SUM(CK18:CK18)</f>
        <v>0.31470000000000004</v>
      </c>
      <c r="CL29" s="8">
        <f>SUM(CL18:CL18)</f>
        <v>0.73796666666666677</v>
      </c>
      <c r="CM29" s="8">
        <f>SUM(CM18:CM18)</f>
        <v>0.59843333333333326</v>
      </c>
      <c r="CN29" s="8">
        <f>SUM(CN18:CN18)</f>
        <v>0.38985000000000003</v>
      </c>
      <c r="CO29" s="8">
        <f>SUM(CO18:CO18)</f>
        <v>0.47430000000000005</v>
      </c>
      <c r="CP29" s="8">
        <f>SUM(CP18:CP18)</f>
        <v>2.1220166666666667</v>
      </c>
      <c r="CQ29" s="8">
        <f>SUM(CQ18:CQ18)</f>
        <v>1.3571833333333336</v>
      </c>
      <c r="CR29" s="8">
        <f>SUM(CR18:CR18)</f>
        <v>1.0211833333333333</v>
      </c>
      <c r="CS29" s="8">
        <f>SUM(CS18:CS18)</f>
        <v>0.65981666666666661</v>
      </c>
      <c r="CT29" s="8">
        <f>SUM(CT18:CT18)</f>
        <v>2.0927666666666669</v>
      </c>
      <c r="CU29" s="8">
        <f>SUM(CU18:CU18)</f>
        <v>0.44483333333333336</v>
      </c>
      <c r="CV29" s="8">
        <f>SUM(CV18:CV18)</f>
        <v>0.80901666666666661</v>
      </c>
      <c r="CW29" s="8">
        <f>SUM(CW18:CW18)</f>
        <v>1.9278333333333333</v>
      </c>
      <c r="CX29" s="8">
        <f>SUM(CX18:CX18)</f>
        <v>1.0040500000000001</v>
      </c>
      <c r="CY29" s="8">
        <f>SUM(CY18:CY18)</f>
        <v>0.51161666666666672</v>
      </c>
      <c r="CZ29" s="8">
        <f>SUM(CZ18:CZ18)</f>
        <v>0.48609999999999992</v>
      </c>
      <c r="DA29" s="8">
        <f>SUM(DA18:DA18)</f>
        <v>0.7001666666666666</v>
      </c>
      <c r="DB29" s="8">
        <f>SUM(DB18:DB18)</f>
        <v>1.0738166666666666</v>
      </c>
      <c r="DC29" s="8">
        <f>SUM(DC18:DC18)</f>
        <v>0.45666666666666672</v>
      </c>
      <c r="DD29" s="8">
        <f>SUM(DD18:DD18)</f>
        <v>0.78678333333333339</v>
      </c>
      <c r="DE29" s="8">
        <f>SUM(DE18:DE18)</f>
        <v>1.3071833333333334</v>
      </c>
      <c r="DF29" s="8">
        <f>SUM(DF18:DF18)</f>
        <v>1.0835499999999998</v>
      </c>
      <c r="DG29" s="8">
        <f>SUM(DG18:DG18)</f>
        <v>1.0376833333333333</v>
      </c>
      <c r="DH29" s="8">
        <f>SUM(DH18:DH18)</f>
        <v>6.8333333333333329E-2</v>
      </c>
      <c r="DI29" s="8">
        <f>SUM(DI18:DI18)</f>
        <v>1.2420499999999999</v>
      </c>
      <c r="DJ29" s="8">
        <f>SUM(DJ18:DJ18)</f>
        <v>1.9496</v>
      </c>
      <c r="DK29" s="8">
        <f>SUM(DK18:DK18)</f>
        <v>1.9535666666666667</v>
      </c>
      <c r="DL29" s="8">
        <f>SUM(DL18:DL18)</f>
        <v>5.4683333333333334E-2</v>
      </c>
      <c r="DM29" s="8">
        <f>SUM(DM18:DM18)</f>
        <v>3.4924166666666663</v>
      </c>
      <c r="DN29" s="8">
        <f>SUM(DN18:DN18)</f>
        <v>1.1524333333333334</v>
      </c>
      <c r="DO29" s="8">
        <f>SUM(DO18:DO18)</f>
        <v>1.3812333333333333</v>
      </c>
      <c r="DP29" s="8">
        <f>SUM(DP18:DP18)</f>
        <v>1.3961666666666668</v>
      </c>
      <c r="DQ29" s="8">
        <f>SUM(DQ18:DQ18)</f>
        <v>1.3978999999999999</v>
      </c>
      <c r="DR29" s="8">
        <f>SUM(DR18:DR18)</f>
        <v>1.4997666666666665</v>
      </c>
      <c r="DS29" s="8">
        <f>SUM(DS18:DS18)</f>
        <v>0.70761666666666667</v>
      </c>
      <c r="DT29" s="8">
        <f>SUM(DT18:DT18)</f>
        <v>1.0698833333333333</v>
      </c>
      <c r="DU29" s="8">
        <f>SUM(DU18:DU18)</f>
        <v>2.2540833333333334</v>
      </c>
      <c r="DV29" s="8">
        <f>SUM(DV18:DV18)</f>
        <v>0.67308333333333326</v>
      </c>
      <c r="DW29" s="8">
        <f>SUM(DW18:DW18)</f>
        <v>1.2669166666666667</v>
      </c>
      <c r="DX29" s="8">
        <f>SUM(DX18:DX18)</f>
        <v>0.4995666666666666</v>
      </c>
      <c r="DY29" s="8">
        <f>SUM(DY18:DY18)</f>
        <v>2.0196166666666664</v>
      </c>
      <c r="DZ29" s="8">
        <f>SUM(DZ18:DZ18)</f>
        <v>2.4393000000000002</v>
      </c>
      <c r="EA29" s="8">
        <f>SUM(EA18:EA18)</f>
        <v>1.3855499999999998</v>
      </c>
      <c r="EB29" s="8">
        <f>SUM(EB18:EB18)</f>
        <v>1.9432833333333335</v>
      </c>
      <c r="EC29" s="8">
        <f>SUM(EC18:EC18)</f>
        <v>1.1539333333333335</v>
      </c>
      <c r="ED29" s="8">
        <f>SUM(ED18:ED18)</f>
        <v>1.1340000000000001</v>
      </c>
      <c r="EE29" s="8">
        <f>SUM(EE18:EE18)</f>
        <v>0</v>
      </c>
      <c r="EF29" s="8">
        <f>SUM(EF18:EF18)</f>
        <v>1.2531000000000001</v>
      </c>
      <c r="EG29" s="8">
        <f>SUM(EG18:EG18)</f>
        <v>1.2698500000000001</v>
      </c>
      <c r="EH29" s="8">
        <f>SUM(EH18:EH18)</f>
        <v>0.64075000000000004</v>
      </c>
      <c r="EI29" s="8">
        <f>SUM(EI18:EI18)</f>
        <v>0.30304999999999999</v>
      </c>
      <c r="EJ29" s="8">
        <f>SUM(EJ18:EJ18)</f>
        <v>2.5122333333333331</v>
      </c>
      <c r="EK29" s="8">
        <f>SUM(EK18:EK18)</f>
        <v>0.57128333333333337</v>
      </c>
      <c r="EL29" s="8">
        <f>SUM(EL18:EL18)</f>
        <v>0.70296666666666674</v>
      </c>
      <c r="EM29" s="8">
        <f>SUM(EM18:EM18)</f>
        <v>2.0529666666666668</v>
      </c>
      <c r="EN29" s="8">
        <f>SUM(EN18:EN18)</f>
        <v>2.2278166666666666</v>
      </c>
      <c r="EO29" s="8">
        <f>SUM(EO18:EO18)</f>
        <v>0.76934999999999998</v>
      </c>
      <c r="EP29" s="8">
        <f>SUM(EP18:EP18)</f>
        <v>1.4181166666666665</v>
      </c>
      <c r="EQ29" s="8">
        <f>SUM(EQ18:EQ18)</f>
        <v>0.7260833333333333</v>
      </c>
      <c r="ER29" s="8">
        <f>SUM(ER18:ER18)</f>
        <v>0.85088333333333332</v>
      </c>
      <c r="ES29" s="8">
        <f>SUM(ES18:ES18)</f>
        <v>0.72128333333333339</v>
      </c>
      <c r="ET29" s="8">
        <f>SUM(ET18:ET18)</f>
        <v>0.56723333333333337</v>
      </c>
      <c r="EU29" s="8">
        <f>SUM(EU18:EU18)</f>
        <v>1.0198166666666666</v>
      </c>
      <c r="EV29" s="8">
        <f>SUM(EV18:EV18)</f>
        <v>0.75296666666666678</v>
      </c>
      <c r="EW29" s="8">
        <f>SUM(EW18:EW18)</f>
        <v>0.75491666666666657</v>
      </c>
      <c r="EX29" s="8">
        <f>SUM(EX18:EX18)</f>
        <v>1.0623666666666667</v>
      </c>
      <c r="EY29" s="8">
        <f>SUM(EY18:EY18)</f>
        <v>10.383916666666666</v>
      </c>
      <c r="EZ29" s="8">
        <f>SUM(EZ18:EZ18)</f>
        <v>1.7655833333333333</v>
      </c>
      <c r="FA29" s="8">
        <f>SUM(FA18:FA18)</f>
        <v>0.81225000000000003</v>
      </c>
      <c r="FB29" s="8">
        <f>SUM(FB18:FB18)</f>
        <v>0.50591666666666657</v>
      </c>
      <c r="FC29" s="8">
        <f>SUM(FC18:FC18)</f>
        <v>0.7920166666666667</v>
      </c>
      <c r="FD29" s="8">
        <f>SUM(FD18:FD18)</f>
        <v>0.63034999999999997</v>
      </c>
      <c r="FE29" s="8">
        <f>SUM(FE18:FE18)</f>
        <v>0.98933333333333329</v>
      </c>
      <c r="FF29" s="8">
        <f>SUM(FF18:FF18)</f>
        <v>0.72750000000000015</v>
      </c>
      <c r="FG29" s="8">
        <f>SUM(FG18:FG18)</f>
        <v>0.75321666666666676</v>
      </c>
      <c r="FH29" s="8">
        <f>SUM(FH18:FH18)</f>
        <v>1.7600666666666667</v>
      </c>
      <c r="FI29" s="8">
        <f>SUM(FI18:FI18)</f>
        <v>0.90793333333333348</v>
      </c>
      <c r="FJ29" s="8">
        <f>SUM(FJ18:FJ18)</f>
        <v>1.1645833333333333</v>
      </c>
      <c r="FK29" s="8">
        <f>SUM(FK18:FK18)</f>
        <v>0.62070000000000003</v>
      </c>
      <c r="FL29" s="8">
        <f>SUM(FL18:FL18)</f>
        <v>2.7563666666666666</v>
      </c>
      <c r="FM29" s="8">
        <f>SUM(FM18:FM18)</f>
        <v>4.9281333333333333</v>
      </c>
      <c r="FN29" s="8">
        <f>SUM(FN18:FN18)</f>
        <v>2.1416499999999998</v>
      </c>
      <c r="FO29" s="8">
        <f>SUM(FO18:FO18)</f>
        <v>0.82583333333333331</v>
      </c>
    </row>
    <row r="30" spans="1:16090" ht="17" thickBot="1" x14ac:dyDescent="0.25">
      <c r="B30" s="1" t="s">
        <v>40</v>
      </c>
      <c r="C30" s="8">
        <f>SUM(C20:C20)</f>
        <v>0</v>
      </c>
      <c r="D30" s="8">
        <f>SUM(D20:D20)</f>
        <v>0.11438333333333334</v>
      </c>
      <c r="E30" s="8">
        <f>SUM(E20:E20)</f>
        <v>0</v>
      </c>
      <c r="F30" s="8">
        <f>SUM(F20:F20)</f>
        <v>0.26216666666666666</v>
      </c>
      <c r="G30" s="8">
        <f>SUM(G20:G20)</f>
        <v>0.23558333333333334</v>
      </c>
      <c r="H30" s="8">
        <f>SUM(H20:H20)</f>
        <v>0.14326666666666668</v>
      </c>
      <c r="I30" s="8">
        <f>SUM(I20:I20)</f>
        <v>1.3614166666666667</v>
      </c>
      <c r="J30" s="8">
        <f>SUM(J20:J20)</f>
        <v>0.30044999999999999</v>
      </c>
      <c r="K30" s="8">
        <f>SUM(K20:K20)</f>
        <v>0</v>
      </c>
      <c r="L30" s="8">
        <f>SUM(L20:L20)</f>
        <v>0</v>
      </c>
      <c r="M30" s="8">
        <f>SUM(M20:M20)</f>
        <v>0.17911666666666667</v>
      </c>
      <c r="N30" s="8">
        <f>SUM(N20:N20)</f>
        <v>1.9583333333333331E-2</v>
      </c>
      <c r="O30" s="8">
        <f>SUM(O20:O20)</f>
        <v>0.18516666666666665</v>
      </c>
      <c r="P30" s="8">
        <f>SUM(P20:P20)</f>
        <v>0.26108333333333333</v>
      </c>
      <c r="Q30" s="8">
        <f>SUM(Q20:Q20)</f>
        <v>8.3299999999999999E-2</v>
      </c>
      <c r="R30" s="8">
        <f>SUM(R20:R20)</f>
        <v>1.1180833333333333</v>
      </c>
      <c r="S30" s="8">
        <f>SUM(S20:S20)</f>
        <v>7.9250000000000001E-2</v>
      </c>
      <c r="T30" s="8">
        <f>SUM(T20:T20)</f>
        <v>0</v>
      </c>
      <c r="U30" s="8">
        <f>SUM(U20:U20)</f>
        <v>4.6149999999999997E-2</v>
      </c>
      <c r="V30" s="8">
        <f>SUM(V20:V20)</f>
        <v>-2.6450000000000005E-2</v>
      </c>
      <c r="W30" s="8">
        <f>SUM(W20:W20)</f>
        <v>1.4579714285714285</v>
      </c>
      <c r="X30" s="8">
        <f>SUM(X20:X20)</f>
        <v>-2.6800000000000001E-2</v>
      </c>
      <c r="Y30" s="8">
        <f>SUM(Y20:Y20)</f>
        <v>0.3218166666666667</v>
      </c>
      <c r="Z30" s="8">
        <f>SUM(Z20:Z20)</f>
        <v>2.7280200000000003</v>
      </c>
      <c r="AA30" s="8">
        <f>SUM(AA20:AA20)</f>
        <v>0.13908333333333334</v>
      </c>
      <c r="AB30" s="8">
        <f>SUM(AB20:AB20)</f>
        <v>0.23815000000000003</v>
      </c>
      <c r="AC30" s="8">
        <f>SUM(AC20:AC20)</f>
        <v>0.22235000000000002</v>
      </c>
      <c r="AD30" s="8">
        <f>SUM(AD20:AD20)</f>
        <v>0.13621666666666668</v>
      </c>
      <c r="AE30" s="8">
        <f>SUM(AE20:AE20)</f>
        <v>0</v>
      </c>
      <c r="AF30" s="8">
        <f>SUM(AF20:AF20)</f>
        <v>0</v>
      </c>
      <c r="AG30" s="8">
        <f>SUM(AG20:AG20)</f>
        <v>0.23864999999999997</v>
      </c>
      <c r="AH30" s="8">
        <f>SUM(AH20:AH20)</f>
        <v>0</v>
      </c>
      <c r="AI30" s="8">
        <f>SUM(AI20:AI20)</f>
        <v>0.35160000000000002</v>
      </c>
      <c r="AJ30" s="8">
        <f>SUM(AJ20:AJ20)</f>
        <v>0.59001666666666663</v>
      </c>
      <c r="AK30" s="8">
        <f>SUM(AK20:AK20)</f>
        <v>0</v>
      </c>
      <c r="AL30" s="8">
        <f>SUM(AL20:AL20)</f>
        <v>0.97791666666666666</v>
      </c>
      <c r="AM30" s="8">
        <f>SUM(AM20:AM20)</f>
        <v>0.17226666666666668</v>
      </c>
      <c r="AN30" s="8">
        <f>SUM(AN20:AN20)</f>
        <v>2.0983333333333336E-2</v>
      </c>
      <c r="AO30" s="8">
        <f>SUM(AO20:AO20)</f>
        <v>-1.0833333333333334E-2</v>
      </c>
      <c r="AP30" s="8">
        <f>SUM(AP20:AP20)</f>
        <v>0</v>
      </c>
      <c r="AQ30" s="8">
        <f>SUM(AQ20:AQ20)</f>
        <v>9.7499999999999989E-2</v>
      </c>
      <c r="AR30" s="8">
        <f>SUM(AR20:AR20)</f>
        <v>-2.4233333333333332E-2</v>
      </c>
      <c r="AS30" s="8">
        <f>SUM(AS20:AS20)</f>
        <v>1.90005</v>
      </c>
      <c r="AT30" s="8">
        <f>SUM(AT20:AT20)</f>
        <v>0.21211666666666668</v>
      </c>
      <c r="AU30" s="8">
        <f>SUM(AU20:AU20)</f>
        <v>0</v>
      </c>
      <c r="AV30" s="8">
        <f>SUM(AV20:AV20)</f>
        <v>0</v>
      </c>
      <c r="AW30" s="8">
        <f>SUM(AW20:AW20)</f>
        <v>0</v>
      </c>
      <c r="AX30" s="8">
        <f>SUM(AX20:AX20)</f>
        <v>0.14025000000000001</v>
      </c>
      <c r="AY30" s="8">
        <f>SUM(AY20:AY20)</f>
        <v>0.27681666666666671</v>
      </c>
      <c r="AZ30" s="8">
        <f>SUM(AZ20:AZ20)</f>
        <v>0</v>
      </c>
      <c r="BA30" s="8">
        <f>SUM(BA20:BA20)</f>
        <v>0</v>
      </c>
      <c r="BB30" s="8">
        <f>SUM(BB20:BB20)</f>
        <v>0</v>
      </c>
      <c r="BC30" s="8">
        <f>SUM(BC20:BC20)</f>
        <v>0</v>
      </c>
      <c r="BD30" s="8">
        <f>SUM(BD20:BD20)</f>
        <v>0</v>
      </c>
      <c r="BE30" s="8">
        <f>SUM(BE20:BE20)</f>
        <v>0</v>
      </c>
      <c r="BF30" s="8">
        <f>SUM(BF20:BF20)</f>
        <v>0.32533333333333331</v>
      </c>
      <c r="BG30" s="8">
        <f>SUM(BG20:BG20)</f>
        <v>0</v>
      </c>
      <c r="BH30" s="8">
        <f>SUM(BH20:BH20)</f>
        <v>0.70773333333333344</v>
      </c>
      <c r="BI30" s="8">
        <f>SUM(BI20:BI20)</f>
        <v>0.69168333333333343</v>
      </c>
      <c r="BJ30" s="8">
        <f>SUM(BJ20:BJ20)</f>
        <v>1.7809999999999999</v>
      </c>
      <c r="BK30" s="8">
        <f>SUM(BK20:BK20)</f>
        <v>0.23905000000000001</v>
      </c>
      <c r="BL30" s="8">
        <f>SUM(BL20:BL20)</f>
        <v>11.661033333333334</v>
      </c>
      <c r="BM30" s="8">
        <f>SUM(BM20:BM20)</f>
        <v>13.175628571428572</v>
      </c>
      <c r="BN30" s="8">
        <f>SUM(BN20:BN20)</f>
        <v>12.500450000000001</v>
      </c>
      <c r="BO30" s="8">
        <f>SUM(BO20:BO20)</f>
        <v>25.832466666666665</v>
      </c>
      <c r="BP30" s="8">
        <f>SUM(BP20:BP20)</f>
        <v>10.46965</v>
      </c>
      <c r="BQ30" s="8">
        <f>SUM(BQ20:BQ20)</f>
        <v>1.3425</v>
      </c>
      <c r="BR30" s="8">
        <f>SUM(BR20:BR20)</f>
        <v>0</v>
      </c>
      <c r="BS30" s="8">
        <f>SUM(BS20:BS20)</f>
        <v>10.907816666666667</v>
      </c>
      <c r="BT30" s="8">
        <f>SUM(BT20:BT20)</f>
        <v>2.9771000000000001</v>
      </c>
      <c r="BU30" s="8">
        <f>SUM(BU20:BU20)</f>
        <v>0.6014666666666667</v>
      </c>
      <c r="BV30" s="8">
        <f>SUM(BV20:BV20)</f>
        <v>1.2971000000000001</v>
      </c>
      <c r="BW30" s="8">
        <f>SUM(BW20:BW20)</f>
        <v>0.62841666666666662</v>
      </c>
      <c r="BX30" s="8">
        <f>SUM(BX20:BX20)</f>
        <v>0</v>
      </c>
      <c r="BY30" s="8">
        <f>SUM(BY20:BY20)</f>
        <v>0.95213333333333339</v>
      </c>
      <c r="BZ30" s="8">
        <f>SUM(BZ20:BZ20)</f>
        <v>0.78896666666666659</v>
      </c>
      <c r="CA30" s="8">
        <f>SUM(CA20:CA20)</f>
        <v>0.6851666666666667</v>
      </c>
      <c r="CB30" s="8">
        <f>SUM(CB20:CB20)</f>
        <v>0.39558333333333334</v>
      </c>
      <c r="CC30" s="8">
        <f>SUM(CC20:CC20)</f>
        <v>0.11084999999999999</v>
      </c>
      <c r="CD30" s="8">
        <f>SUM(CD20:CD20)</f>
        <v>0.1360166666666667</v>
      </c>
      <c r="CE30" s="8">
        <f>SUM(CE20:CE20)</f>
        <v>2.8274333333333335</v>
      </c>
      <c r="CF30" s="8">
        <f>SUM(CF20:CF20)</f>
        <v>0.14256666666666667</v>
      </c>
      <c r="CG30" s="8">
        <f>SUM(CG20:CG20)</f>
        <v>3.7333333333333333E-3</v>
      </c>
      <c r="CH30" s="8">
        <f>SUM(CH20:CH20)</f>
        <v>0</v>
      </c>
      <c r="CI30" s="8">
        <f>SUM(CI20:CI20)</f>
        <v>0.3532333333333334</v>
      </c>
      <c r="CJ30" s="8">
        <f>SUM(CJ20:CJ20)</f>
        <v>0</v>
      </c>
      <c r="CK30" s="8">
        <f>SUM(CK20:CK20)</f>
        <v>2.7733333333333332E-2</v>
      </c>
      <c r="CL30" s="8">
        <f>SUM(CL20:CL20)</f>
        <v>0.49035000000000001</v>
      </c>
      <c r="CM30" s="8">
        <f>SUM(CM20:CM20)</f>
        <v>3.5533333333333333E-2</v>
      </c>
      <c r="CN30" s="8">
        <f>SUM(CN20:CN20)</f>
        <v>0</v>
      </c>
      <c r="CO30" s="8">
        <f>SUM(CO20:CO20)</f>
        <v>0.19498333333333334</v>
      </c>
      <c r="CP30" s="8">
        <f>SUM(CP20:CP20)</f>
        <v>0.1711333333333333</v>
      </c>
      <c r="CQ30" s="8">
        <f>SUM(CQ20:CQ20)</f>
        <v>0.12701666666666667</v>
      </c>
      <c r="CR30" s="8">
        <f>SUM(CR20:CR20)</f>
        <v>3.1651000000000002</v>
      </c>
      <c r="CS30" s="8">
        <f>SUM(CS20:CS20)</f>
        <v>-1.455E-2</v>
      </c>
      <c r="CT30" s="8">
        <f>SUM(CT20:CT20)</f>
        <v>0</v>
      </c>
      <c r="CU30" s="8">
        <f>SUM(CU20:CU20)</f>
        <v>7.8366666666666668E-2</v>
      </c>
      <c r="CV30" s="8">
        <f>SUM(CV20:CV20)</f>
        <v>0</v>
      </c>
      <c r="CW30" s="8">
        <f>SUM(CW20:CW20)</f>
        <v>2.3016666666666668E-2</v>
      </c>
      <c r="CX30" s="8">
        <f>SUM(CX20:CX20)</f>
        <v>0</v>
      </c>
      <c r="CY30" s="8">
        <f>SUM(CY20:CY20)</f>
        <v>7.1766666666666673E-2</v>
      </c>
      <c r="CZ30" s="8">
        <f>SUM(CZ20:CZ20)</f>
        <v>-3.0200000000000001E-2</v>
      </c>
      <c r="DA30" s="8">
        <f>SUM(DA20:DA20)</f>
        <v>0</v>
      </c>
      <c r="DB30" s="8">
        <f>SUM(DB20:DB20)</f>
        <v>5.8050000000000004E-2</v>
      </c>
      <c r="DC30" s="8">
        <f>SUM(DC20:DC20)</f>
        <v>0.15493333333333331</v>
      </c>
      <c r="DD30" s="8">
        <f>SUM(DD20:DD20)</f>
        <v>0</v>
      </c>
      <c r="DE30" s="8">
        <f>SUM(DE20:DE20)</f>
        <v>4.4749999999999998E-2</v>
      </c>
      <c r="DF30" s="8">
        <f>SUM(DF20:DF20)</f>
        <v>0</v>
      </c>
      <c r="DG30" s="8">
        <f>SUM(DG20:DG20)</f>
        <v>0.49475000000000002</v>
      </c>
      <c r="DH30" s="8">
        <f>SUM(DH20:DH20)</f>
        <v>1.8600000000000002E-2</v>
      </c>
      <c r="DI30" s="8">
        <f>SUM(DI20:DI20)</f>
        <v>2.1233333333333333E-2</v>
      </c>
      <c r="DJ30" s="8">
        <f>SUM(DJ20:DJ20)</f>
        <v>0.42313333333333336</v>
      </c>
      <c r="DK30" s="8">
        <f>SUM(DK20:DK20)</f>
        <v>0.45463333333333333</v>
      </c>
      <c r="DL30" s="8">
        <f>SUM(DL20:DL20)</f>
        <v>0</v>
      </c>
      <c r="DM30" s="8">
        <f>SUM(DM20:DM20)</f>
        <v>6.9833333333333327E-3</v>
      </c>
      <c r="DN30" s="8">
        <f>SUM(DN20:DN20)</f>
        <v>0.15258333333333332</v>
      </c>
      <c r="DO30" s="8">
        <f>SUM(DO20:DO20)</f>
        <v>0.13718333333333332</v>
      </c>
      <c r="DP30" s="8">
        <f>SUM(DP20:DP20)</f>
        <v>0</v>
      </c>
      <c r="DQ30" s="8">
        <f>SUM(DQ20:DQ20)</f>
        <v>-1.8666666666666668E-2</v>
      </c>
      <c r="DR30" s="8">
        <f>SUM(DR20:DR20)</f>
        <v>0</v>
      </c>
      <c r="DS30" s="8">
        <f>SUM(DS20:DS20)</f>
        <v>-3.8E-3</v>
      </c>
      <c r="DT30" s="8">
        <f>SUM(DT20:DT20)</f>
        <v>-2.3516666666666668E-2</v>
      </c>
      <c r="DU30" s="8">
        <f>SUM(DU20:DU20)</f>
        <v>0.2268</v>
      </c>
      <c r="DV30" s="8">
        <f>SUM(DV20:DV20)</f>
        <v>0</v>
      </c>
      <c r="DW30" s="8">
        <f>SUM(DW20:DW20)</f>
        <v>0</v>
      </c>
      <c r="DX30" s="8">
        <f>SUM(DX20:DX20)</f>
        <v>0.13916666666666666</v>
      </c>
      <c r="DY30" s="8">
        <f>SUM(DY20:DY20)</f>
        <v>0.18545</v>
      </c>
      <c r="DZ30" s="8">
        <f>SUM(DZ20:DZ20)</f>
        <v>4.0499999999999998E-3</v>
      </c>
      <c r="EA30" s="8">
        <f>SUM(EA20:EA20)</f>
        <v>7.0333333333333331E-2</v>
      </c>
      <c r="EB30" s="8">
        <f>SUM(EB20:EB20)</f>
        <v>-2.3916666666666662E-2</v>
      </c>
      <c r="EC30" s="8">
        <f>SUM(EC20:EC20)</f>
        <v>0</v>
      </c>
      <c r="ED30" s="8">
        <f>SUM(ED20:ED20)</f>
        <v>0</v>
      </c>
      <c r="EE30" s="8">
        <f>SUM(EE20:EE20)</f>
        <v>0</v>
      </c>
      <c r="EF30" s="8">
        <f>SUM(EF20:EF20)</f>
        <v>0</v>
      </c>
      <c r="EG30" s="8">
        <f>SUM(EG20:EG20)</f>
        <v>7.5800000000000006E-2</v>
      </c>
      <c r="EH30" s="8">
        <f>SUM(EH20:EH20)</f>
        <v>0.37414999999999998</v>
      </c>
      <c r="EI30" s="8">
        <f>SUM(EI20:EI20)</f>
        <v>0</v>
      </c>
      <c r="EJ30" s="8">
        <f>SUM(EJ20:EJ20)</f>
        <v>-1.7166666666666667E-2</v>
      </c>
      <c r="EK30" s="8">
        <f>SUM(EK20:EK20)</f>
        <v>0.15435000000000001</v>
      </c>
      <c r="EL30" s="8">
        <f>SUM(EL20:EL20)</f>
        <v>4.7649999999999998E-2</v>
      </c>
      <c r="EM30" s="8">
        <f>SUM(EM20:EM20)</f>
        <v>0</v>
      </c>
      <c r="EN30" s="8">
        <f>SUM(EN20:EN20)</f>
        <v>0.43893333333333329</v>
      </c>
      <c r="EO30" s="8">
        <f>SUM(EO20:EO20)</f>
        <v>0.40383333333333332</v>
      </c>
      <c r="EP30" s="8">
        <f>SUM(EP20:EP20)</f>
        <v>0.14868333333333333</v>
      </c>
      <c r="EQ30" s="8">
        <f>SUM(EQ20:EQ20)</f>
        <v>-1.4283333333333334E-2</v>
      </c>
      <c r="ER30" s="8">
        <f>SUM(ER20:ER20)</f>
        <v>8.7233333333333329E-2</v>
      </c>
      <c r="ES30" s="8">
        <f>SUM(ES20:ES20)</f>
        <v>1.0233333333333334E-2</v>
      </c>
      <c r="ET30" s="8">
        <f>SUM(ET20:ET20)</f>
        <v>0.13896666666666666</v>
      </c>
      <c r="EU30" s="8">
        <f>SUM(EU20:EU20)</f>
        <v>0.15483333333333335</v>
      </c>
      <c r="EV30" s="8">
        <f>SUM(EV20:EV20)</f>
        <v>0</v>
      </c>
      <c r="EW30" s="8">
        <f>SUM(EW20:EW20)</f>
        <v>0</v>
      </c>
      <c r="EX30" s="8">
        <f>SUM(EX20:EX20)</f>
        <v>0.55945</v>
      </c>
      <c r="EY30" s="8">
        <f>SUM(EY20:EY20)</f>
        <v>0</v>
      </c>
      <c r="EZ30" s="8">
        <f>SUM(EZ20:EZ20)</f>
        <v>6.0433333333333332E-2</v>
      </c>
      <c r="FA30" s="8">
        <f>SUM(FA20:FA20)</f>
        <v>0</v>
      </c>
      <c r="FB30" s="8">
        <f>SUM(FB20:FB20)</f>
        <v>0</v>
      </c>
      <c r="FC30" s="8">
        <f>SUM(FC20:FC20)</f>
        <v>0</v>
      </c>
      <c r="FD30" s="8">
        <f>SUM(FD20:FD20)</f>
        <v>-2.1433333333333335E-2</v>
      </c>
      <c r="FE30" s="8">
        <f>SUM(FE20:FE20)</f>
        <v>1.7649999999999999E-2</v>
      </c>
      <c r="FF30" s="8">
        <f>SUM(FF20:FF20)</f>
        <v>0.10803333333333334</v>
      </c>
      <c r="FG30" s="8">
        <f>SUM(FG20:FG20)</f>
        <v>0</v>
      </c>
      <c r="FH30" s="8">
        <f>SUM(FH20:FH20)</f>
        <v>0.19223333333333331</v>
      </c>
      <c r="FI30" s="8">
        <f>SUM(FI20:FI20)</f>
        <v>0.27561666666666668</v>
      </c>
      <c r="FJ30" s="8">
        <f>SUM(FJ20:FJ20)</f>
        <v>-8.483333333333334E-3</v>
      </c>
      <c r="FK30" s="8">
        <f>SUM(FK20:FK20)</f>
        <v>7.2700000000000001E-2</v>
      </c>
      <c r="FL30" s="8">
        <f>SUM(FL20:FL20)</f>
        <v>-1.3966666666666665E-2</v>
      </c>
      <c r="FM30" s="8">
        <f>SUM(FM20:FM20)</f>
        <v>5.2500000000000003E-3</v>
      </c>
      <c r="FN30" s="8">
        <f>SUM(FN20:FN20)</f>
        <v>0</v>
      </c>
      <c r="FO30" s="8">
        <f>SUM(FO20:FO20)</f>
        <v>0</v>
      </c>
    </row>
    <row r="31" spans="1:16090" ht="17" thickBot="1" x14ac:dyDescent="0.25">
      <c r="B31" s="1" t="s">
        <v>39</v>
      </c>
      <c r="C31" s="88">
        <f>SUM(C22:C22)</f>
        <v>2.5767000000000002</v>
      </c>
      <c r="D31" s="88">
        <f>SUM(D22:D22)</f>
        <v>4.1894833333333334</v>
      </c>
      <c r="E31" s="88">
        <f>SUM(E22:E22)</f>
        <v>0.9401166666666666</v>
      </c>
      <c r="F31" s="88">
        <f>SUM(F22:F22)</f>
        <v>2.8106000000000004</v>
      </c>
      <c r="G31" s="88">
        <f>SUM(G22:G22)</f>
        <v>3.8370833333333336</v>
      </c>
      <c r="H31" s="88">
        <f>SUM(H22:H22)</f>
        <v>4.9248000000000003</v>
      </c>
      <c r="I31" s="88">
        <f>SUM(I22:I22)</f>
        <v>7.7584666666666671</v>
      </c>
      <c r="J31" s="88">
        <f>SUM(J22:J22)</f>
        <v>4.0750166666666665</v>
      </c>
      <c r="K31" s="88">
        <f>SUM(K22:K22)</f>
        <v>5.3613999999999997</v>
      </c>
      <c r="L31" s="88">
        <f>SUM(L22:L22)</f>
        <v>1.9658833333333332</v>
      </c>
      <c r="M31" s="88">
        <f>SUM(M22:M22)</f>
        <v>3.9744666666666668</v>
      </c>
      <c r="N31" s="88">
        <f>SUM(N22:N22)</f>
        <v>5.2556666666666665</v>
      </c>
      <c r="O31" s="88">
        <f>SUM(O22:O22)</f>
        <v>6.5911333333333326</v>
      </c>
      <c r="P31" s="88">
        <f>SUM(P22:P22)</f>
        <v>8.3572333333333333</v>
      </c>
      <c r="Q31" s="88">
        <f>SUM(Q22:Q22)</f>
        <v>4.7140833333333338</v>
      </c>
      <c r="R31" s="88">
        <f>SUM(R22:R22)</f>
        <v>20.597383333333333</v>
      </c>
      <c r="S31" s="88">
        <f>SUM(S22:S22)</f>
        <v>4.7375166666666662</v>
      </c>
      <c r="T31" s="88">
        <f>SUM(T22:T22)</f>
        <v>1.5780333333333332</v>
      </c>
      <c r="U31" s="88">
        <f>SUM(U22:U22)</f>
        <v>1.4380499999999998</v>
      </c>
      <c r="V31" s="88">
        <f>SUM(V22:V22)</f>
        <v>1.7859000000000003</v>
      </c>
      <c r="W31" s="88">
        <f>SUM(W22:W22)</f>
        <v>12.638171428571429</v>
      </c>
      <c r="X31" s="88">
        <f>SUM(X22:X22)</f>
        <v>6.1234799999999998</v>
      </c>
      <c r="Y31" s="88">
        <f>SUM(Y22:Y22)</f>
        <v>7.7328999999999999</v>
      </c>
      <c r="Z31" s="88">
        <f>SUM(Z22:Z22)</f>
        <v>25.379580000000001</v>
      </c>
      <c r="AA31" s="88">
        <f>SUM(AA22:AA22)</f>
        <v>3.5560499999999999</v>
      </c>
      <c r="AB31" s="88">
        <f>SUM(AB22:AB22)</f>
        <v>5.6275500000000003</v>
      </c>
      <c r="AC31" s="88">
        <f>SUM(AC22:AC22)</f>
        <v>1.9679166666666665</v>
      </c>
      <c r="AD31" s="88">
        <f>SUM(AD22:AD22)</f>
        <v>2.2875333333333332</v>
      </c>
      <c r="AE31" s="88">
        <f>SUM(AE22:AE22)</f>
        <v>1.4587000000000001</v>
      </c>
      <c r="AF31" s="88">
        <f>SUM(AF22:AF22)</f>
        <v>3.3823833333333329</v>
      </c>
      <c r="AG31" s="88">
        <f>SUM(AG22:AG22)</f>
        <v>7.5983999999999998</v>
      </c>
      <c r="AH31" s="88">
        <f>SUM(AH22:AH22)</f>
        <v>2.2536833333333335</v>
      </c>
      <c r="AI31" s="88">
        <f>SUM(AI22:AI22)</f>
        <v>7.0103666666666662</v>
      </c>
      <c r="AJ31" s="88">
        <f>SUM(AJ22:AJ22)</f>
        <v>8.0372999999999983</v>
      </c>
      <c r="AK31" s="88">
        <f>SUM(AK22:AK22)</f>
        <v>1.8447166666666668</v>
      </c>
      <c r="AL31" s="88">
        <f>SUM(AL22:AL22)</f>
        <v>4.0986333333333338</v>
      </c>
      <c r="AM31" s="88">
        <f>SUM(AM22:AM22)</f>
        <v>11.123850000000001</v>
      </c>
      <c r="AN31" s="88">
        <f>SUM(AN22:AN22)</f>
        <v>3.6527000000000003</v>
      </c>
      <c r="AO31" s="88">
        <f>SUM(AO22:AO22)</f>
        <v>2.0621999999999998</v>
      </c>
      <c r="AP31" s="88">
        <f>SUM(AP22:AP22)</f>
        <v>2.1591333333333336</v>
      </c>
      <c r="AQ31" s="88">
        <f>SUM(AQ22:AQ22)</f>
        <v>4.7780166666666668</v>
      </c>
      <c r="AR31" s="88">
        <f>SUM(AR22:AR22)</f>
        <v>1.2664333333333333</v>
      </c>
      <c r="AS31" s="88">
        <f>SUM(AS22:AS22)</f>
        <v>24.137483333333339</v>
      </c>
      <c r="AT31" s="88">
        <f>SUM(AT22:AT22)</f>
        <v>10.4259</v>
      </c>
      <c r="AU31" s="88">
        <f>SUM(AU22:AU22)</f>
        <v>1.49292</v>
      </c>
      <c r="AV31" s="88">
        <f>SUM(AV22:AV22)</f>
        <v>0.84928000000000015</v>
      </c>
      <c r="AW31" s="88">
        <f>SUM(AW22:AW22)</f>
        <v>1.8841833333333331</v>
      </c>
      <c r="AX31" s="88">
        <f>SUM(AX22:AX22)</f>
        <v>3.4001333333333337</v>
      </c>
      <c r="AY31" s="88">
        <f>SUM(AY22:AY22)</f>
        <v>2.9891166666666664</v>
      </c>
      <c r="AZ31" s="88">
        <f>SUM(AZ22:AZ22)</f>
        <v>0.86456666666666671</v>
      </c>
      <c r="BA31" s="88">
        <f>SUM(BA22:BA22)</f>
        <v>2.7622666666666666</v>
      </c>
      <c r="BB31" s="88">
        <f>SUM(BB22:BB22)</f>
        <v>1.6281666666666665</v>
      </c>
      <c r="BC31" s="88">
        <f>SUM(BC22:BC22)</f>
        <v>1.2932833333333333</v>
      </c>
      <c r="BD31" s="88">
        <f>SUM(BD22:BD22)</f>
        <v>0.92774999999999985</v>
      </c>
      <c r="BE31" s="88">
        <f>SUM(BE22:BE22)</f>
        <v>2.0577666666666667</v>
      </c>
      <c r="BF31" s="88">
        <f>SUM(BF22:BF22)</f>
        <v>6.326833333333334</v>
      </c>
      <c r="BG31" s="88">
        <f>SUM(BG22:BG22)</f>
        <v>0.8652833333333334</v>
      </c>
      <c r="BH31" s="88">
        <f>SUM(BH22:BH22)</f>
        <v>10.407633333333333</v>
      </c>
      <c r="BI31" s="88">
        <f>SUM(BI22:BI22)</f>
        <v>14.6312</v>
      </c>
      <c r="BJ31" s="88">
        <f>SUM(BJ22:BJ22)</f>
        <v>25.947600000000001</v>
      </c>
      <c r="BK31" s="88">
        <f>SUM(BK22:BK22)</f>
        <v>8.8493499999999994</v>
      </c>
      <c r="BL31" s="88">
        <f>SUM(BL22:BL22)</f>
        <v>98.393533333333352</v>
      </c>
      <c r="BM31" s="88">
        <f>SUM(BM22:BM22)</f>
        <v>159.55688571428573</v>
      </c>
      <c r="BN31" s="88">
        <f>SUM(BN22:BN22)</f>
        <v>164.33366666666669</v>
      </c>
      <c r="BO31" s="88">
        <f>SUM(BO22:BO22)</f>
        <v>133.52275</v>
      </c>
      <c r="BP31" s="88">
        <f>SUM(BP22:BP22)</f>
        <v>94.889733333333339</v>
      </c>
      <c r="BQ31" s="88">
        <f>SUM(BQ22:BQ22)</f>
        <v>14.044199999999998</v>
      </c>
      <c r="BR31" s="88">
        <f>SUM(BR22:BR22)</f>
        <v>3.0154571428571426</v>
      </c>
      <c r="BS31" s="88">
        <f>SUM(BS22:BS22)</f>
        <v>109.65916666666666</v>
      </c>
      <c r="BT31" s="88">
        <f>SUM(BT22:BT22)</f>
        <v>25.338533333333334</v>
      </c>
      <c r="BU31" s="88">
        <f>SUM(BU22:BU22)</f>
        <v>13.243950000000002</v>
      </c>
      <c r="BV31" s="88">
        <f>SUM(BV22:BV22)</f>
        <v>21.580733333333335</v>
      </c>
      <c r="BW31" s="88">
        <f>SUM(BW22:BW22)</f>
        <v>6.8824500000000004</v>
      </c>
      <c r="BX31" s="88">
        <f>SUM(BX22:BX22)</f>
        <v>1.7989333333333333</v>
      </c>
      <c r="BY31" s="88">
        <f>SUM(BY22:BY22)</f>
        <v>25.862316666666668</v>
      </c>
      <c r="BZ31" s="88">
        <f>SUM(BZ22:BZ22)</f>
        <v>12.863816666666668</v>
      </c>
      <c r="CA31" s="88">
        <f>SUM(CA22:CA22)</f>
        <v>7.8353666666666673</v>
      </c>
      <c r="CB31" s="88">
        <f>SUM(CB22:CB22)</f>
        <v>2.9450333333333334</v>
      </c>
      <c r="CC31" s="88">
        <f>SUM(CC22:CC22)</f>
        <v>5.1528833333333335</v>
      </c>
      <c r="CD31" s="88">
        <f>SUM(CD22:CD22)</f>
        <v>5.1805500000000002</v>
      </c>
      <c r="CE31" s="88">
        <f>SUM(CE22:CE22)</f>
        <v>29.586266666666667</v>
      </c>
      <c r="CF31" s="88">
        <f>SUM(CF22:CF22)</f>
        <v>4.2821833333333341</v>
      </c>
      <c r="CG31" s="88">
        <f>SUM(CG22:CG22)</f>
        <v>2.2539833333333332</v>
      </c>
      <c r="CH31" s="88">
        <f>SUM(CH22:CH22)</f>
        <v>1.6296500000000003</v>
      </c>
      <c r="CI31" s="88">
        <f>SUM(CI22:CI22)</f>
        <v>5.1645166666666675</v>
      </c>
      <c r="CJ31" s="88">
        <f>SUM(CJ22:CJ22)</f>
        <v>1.3530222222222221</v>
      </c>
      <c r="CK31" s="88">
        <f>SUM(CK22:CK22)</f>
        <v>2.4565333333333332</v>
      </c>
      <c r="CL31" s="88">
        <f>SUM(CL22:CL22)</f>
        <v>7.2789166666666656</v>
      </c>
      <c r="CM31" s="88">
        <f>SUM(CM22:CM22)</f>
        <v>1.7586833333333332</v>
      </c>
      <c r="CN31" s="88">
        <f>SUM(CN22:CN22)</f>
        <v>1.1283666666666667</v>
      </c>
      <c r="CO31" s="88">
        <f>SUM(CO22:CO22)</f>
        <v>3.9622833333333336</v>
      </c>
      <c r="CP31" s="88">
        <f>SUM(CP22:CP22)</f>
        <v>5.3516166666666667</v>
      </c>
      <c r="CQ31" s="88">
        <f>SUM(CQ22:CQ22)</f>
        <v>5.8603500000000004</v>
      </c>
      <c r="CR31" s="88">
        <f>SUM(CR22:CR22)</f>
        <v>5.3170999999999999</v>
      </c>
      <c r="CS31" s="88">
        <f>SUM(CS22:CS22)</f>
        <v>3.625</v>
      </c>
      <c r="CT31" s="88">
        <f>SUM(CT22:CT22)</f>
        <v>2.6280666666666668</v>
      </c>
      <c r="CU31" s="88">
        <f>SUM(CU22:CU22)</f>
        <v>3.4870833333333331</v>
      </c>
      <c r="CV31" s="88">
        <f>SUM(CV22:CV22)</f>
        <v>2.8436333333333339</v>
      </c>
      <c r="CW31" s="88">
        <f>SUM(CW22:CW22)</f>
        <v>4.1949500000000004</v>
      </c>
      <c r="CX31" s="88">
        <f>SUM(CX22:CX22)</f>
        <v>1.24285</v>
      </c>
      <c r="CY31" s="88">
        <f>SUM(CY22:CY22)</f>
        <v>1.9599166666666668</v>
      </c>
      <c r="CZ31" s="88">
        <f>SUM(CZ22:CZ22)</f>
        <v>1.2513333333333334</v>
      </c>
      <c r="DA31" s="88">
        <f>SUM(DA22:DA22)</f>
        <v>1.4014499999999999</v>
      </c>
      <c r="DB31" s="88">
        <f>SUM(DB22:DB22)</f>
        <v>6.204933333333333</v>
      </c>
      <c r="DC31" s="88">
        <f>SUM(DC22:DC22)</f>
        <v>3.5921666666666665</v>
      </c>
      <c r="DD31" s="88">
        <f>SUM(DD22:DD22)</f>
        <v>3.2257833333333337</v>
      </c>
      <c r="DE31" s="88">
        <f>SUM(DE22:DE22)</f>
        <v>3.6208833333333335</v>
      </c>
      <c r="DF31" s="88">
        <f>SUM(DF22:DF22)</f>
        <v>4.2372000000000005</v>
      </c>
      <c r="DG31" s="88">
        <f>SUM(DG22:DG22)</f>
        <v>5.2802166666666661</v>
      </c>
      <c r="DH31" s="88">
        <f>SUM(DH22:DH22)</f>
        <v>0.70778333333333332</v>
      </c>
      <c r="DI31" s="88">
        <f>SUM(DI22:DI22)</f>
        <v>3.2064333333333339</v>
      </c>
      <c r="DJ31" s="88">
        <f>SUM(DJ22:DJ22)</f>
        <v>9.7571833333333338</v>
      </c>
      <c r="DK31" s="88">
        <f>SUM(DK22:DK22)</f>
        <v>4.9753333333333334</v>
      </c>
      <c r="DL31" s="88">
        <f>SUM(DL22:DL22)</f>
        <v>1.4051499999999999</v>
      </c>
      <c r="DM31" s="88">
        <f>SUM(DM22:DM22)</f>
        <v>3.4744333333333328</v>
      </c>
      <c r="DN31" s="88">
        <f>SUM(DN22:DN22)</f>
        <v>8.6571833333333341</v>
      </c>
      <c r="DO31" s="88">
        <f>SUM(DO22:DO22)</f>
        <v>6.7615333333333334</v>
      </c>
      <c r="DP31" s="88">
        <f>SUM(DP22:DP22)</f>
        <v>2.0163500000000001</v>
      </c>
      <c r="DQ31" s="88">
        <f>SUM(DQ22:DQ22)</f>
        <v>4.3710333333333331</v>
      </c>
      <c r="DR31" s="88">
        <f>SUM(DR22:DR22)</f>
        <v>4.7697666666666674</v>
      </c>
      <c r="DS31" s="88">
        <f>SUM(DS22:DS22)</f>
        <v>1.0911666666666666</v>
      </c>
      <c r="DT31" s="88">
        <f>SUM(DT22:DT22)</f>
        <v>3.0721500000000002</v>
      </c>
      <c r="DU31" s="88">
        <f>SUM(DU22:DU22)</f>
        <v>14.308483333333333</v>
      </c>
      <c r="DV31" s="88">
        <f>SUM(DV22:DV22)</f>
        <v>2.7908666666666666</v>
      </c>
      <c r="DW31" s="88">
        <f>SUM(DW22:DW22)</f>
        <v>3.197883333333333</v>
      </c>
      <c r="DX31" s="88">
        <f>SUM(DX22:DX22)</f>
        <v>2.6179000000000001</v>
      </c>
      <c r="DY31" s="88">
        <f>SUM(DY22:DY22)</f>
        <v>7.1657000000000002</v>
      </c>
      <c r="DZ31" s="88">
        <f>SUM(DZ22:DZ22)</f>
        <v>2.8443166666666664</v>
      </c>
      <c r="EA31" s="88">
        <f>SUM(EA22:EA22)</f>
        <v>3.8538000000000001</v>
      </c>
      <c r="EB31" s="88">
        <f>SUM(EB22:EB22)</f>
        <v>2.9805499999999996</v>
      </c>
      <c r="EC31" s="88">
        <f>SUM(EC22:EC22)</f>
        <v>3.0992166666666674</v>
      </c>
      <c r="ED31" s="88">
        <f>SUM(ED22:ED22)</f>
        <v>2.5843333333333334</v>
      </c>
      <c r="EE31" s="88">
        <f>SUM(EE22:EE22)</f>
        <v>1.0931999999999999</v>
      </c>
      <c r="EF31" s="88">
        <f>SUM(EF22:EF22)</f>
        <v>2.7599</v>
      </c>
      <c r="EG31" s="88">
        <f>SUM(EG22:EG22)</f>
        <v>3.7599166666666668</v>
      </c>
      <c r="EH31" s="88">
        <f>SUM(EH22:EH22)</f>
        <v>2.80585</v>
      </c>
      <c r="EI31" s="88">
        <f>SUM(EI22:EI22)</f>
        <v>1.1154833333333334</v>
      </c>
      <c r="EJ31" s="88">
        <f>SUM(EJ22:EJ22)</f>
        <v>3.2424833333333329</v>
      </c>
      <c r="EK31" s="88">
        <f>SUM(EK22:EK22)</f>
        <v>4.6827333333333332</v>
      </c>
      <c r="EL31" s="88">
        <f>SUM(EL22:EL22)</f>
        <v>2.8252499999999996</v>
      </c>
      <c r="EM31" s="88">
        <f>SUM(EM22:EM22)</f>
        <v>1.5647166666666665</v>
      </c>
      <c r="EN31" s="88">
        <f>SUM(EN22:EN22)</f>
        <v>5.7722833333333332</v>
      </c>
      <c r="EO31" s="88">
        <f>SUM(EO22:EO22)</f>
        <v>6.1697833333333332</v>
      </c>
      <c r="EP31" s="88">
        <f>SUM(EP22:EP22)</f>
        <v>3.254633333333333</v>
      </c>
      <c r="EQ31" s="88">
        <f>SUM(EQ22:EQ22)</f>
        <v>2.6477166666666667</v>
      </c>
      <c r="ER31" s="88">
        <f>SUM(ER22:ER22)</f>
        <v>2.9037000000000002</v>
      </c>
      <c r="ES31" s="88">
        <f>SUM(ES22:ES22)</f>
        <v>2.3714666666666671</v>
      </c>
      <c r="ET31" s="88">
        <f>SUM(ET22:ET22)</f>
        <v>3.1059333333333332</v>
      </c>
      <c r="EU31" s="88">
        <f>SUM(EU22:EU22)</f>
        <v>2.8798666666666666</v>
      </c>
      <c r="EV31" s="88">
        <f>SUM(EV22:EV22)</f>
        <v>2.5556833333333335</v>
      </c>
      <c r="EW31" s="88">
        <f>SUM(EW22:EW22)</f>
        <v>1.9828000000000001</v>
      </c>
      <c r="EX31" s="88">
        <f>SUM(EX22:EX22)</f>
        <v>6.2151333333333323</v>
      </c>
      <c r="EY31" s="88">
        <f>SUM(EY22:EY22)</f>
        <v>3.9567166666666669</v>
      </c>
      <c r="EZ31" s="88">
        <f>SUM(EZ22:EZ22)</f>
        <v>3.0473499999999998</v>
      </c>
      <c r="FA31" s="88">
        <f>SUM(FA22:FA22)</f>
        <v>1.3833666666666669</v>
      </c>
      <c r="FB31" s="88">
        <f>SUM(FB22:FB22)</f>
        <v>1.0095499999999999</v>
      </c>
      <c r="FC31" s="88">
        <f>SUM(FC22:FC22)</f>
        <v>2.4556833333333334</v>
      </c>
      <c r="FD31" s="88">
        <f>SUM(FD22:FD22)</f>
        <v>2.3445000000000005</v>
      </c>
      <c r="FE31" s="88">
        <f>SUM(FE22:FE22)</f>
        <v>3.5743833333333339</v>
      </c>
      <c r="FF31" s="88">
        <f>SUM(FF22:FF22)</f>
        <v>5.8794999999999993</v>
      </c>
      <c r="FG31" s="88">
        <f>SUM(FG22:FG22)</f>
        <v>1.8481999999999998</v>
      </c>
      <c r="FH31" s="88">
        <f>SUM(FH22:FH22)</f>
        <v>3.341366666666667</v>
      </c>
      <c r="FI31" s="88">
        <f>SUM(FI22:FI22)</f>
        <v>6.5809999999999995</v>
      </c>
      <c r="FJ31" s="88">
        <f>SUM(FJ22:FJ22)</f>
        <v>5.7818000000000005</v>
      </c>
      <c r="FK31" s="88">
        <f>SUM(FK22:FK22)</f>
        <v>4.7500999999999998</v>
      </c>
      <c r="FL31" s="88">
        <f>SUM(FL22:FL22)</f>
        <v>7.6035166666666667</v>
      </c>
      <c r="FM31" s="88">
        <f>SUM(FM22:FM22)</f>
        <v>7.1265666666666663</v>
      </c>
      <c r="FN31" s="88">
        <f>SUM(FN22:FN22)</f>
        <v>3.898566666666667</v>
      </c>
      <c r="FO31" s="88">
        <f>SUM(FO22:FO22)</f>
        <v>1.9704166666666665</v>
      </c>
    </row>
    <row r="32" spans="1:16090" ht="16" thickBot="1" x14ac:dyDescent="0.25">
      <c r="B32" s="10" t="s">
        <v>390</v>
      </c>
      <c r="C32" s="11" t="e">
        <f>SUM(C26:C31)</f>
        <v>#REF!</v>
      </c>
      <c r="D32" s="11" t="e">
        <f t="shared" ref="D32:BO32" si="0">SUM(D26:D31)</f>
        <v>#REF!</v>
      </c>
      <c r="E32" s="11" t="e">
        <f t="shared" si="0"/>
        <v>#REF!</v>
      </c>
      <c r="F32" s="11" t="e">
        <f t="shared" si="0"/>
        <v>#REF!</v>
      </c>
      <c r="G32" s="11" t="e">
        <f t="shared" si="0"/>
        <v>#REF!</v>
      </c>
      <c r="H32" s="11" t="e">
        <f t="shared" si="0"/>
        <v>#REF!</v>
      </c>
      <c r="I32" s="11" t="e">
        <f t="shared" si="0"/>
        <v>#REF!</v>
      </c>
      <c r="J32" s="11" t="e">
        <f t="shared" si="0"/>
        <v>#REF!</v>
      </c>
      <c r="K32" s="11" t="e">
        <f t="shared" si="0"/>
        <v>#REF!</v>
      </c>
      <c r="L32" s="11" t="e">
        <f t="shared" si="0"/>
        <v>#REF!</v>
      </c>
      <c r="M32" s="11" t="e">
        <f t="shared" si="0"/>
        <v>#REF!</v>
      </c>
      <c r="N32" s="11" t="e">
        <f t="shared" si="0"/>
        <v>#REF!</v>
      </c>
      <c r="O32" s="11" t="e">
        <f t="shared" si="0"/>
        <v>#REF!</v>
      </c>
      <c r="P32" s="11" t="e">
        <f t="shared" si="0"/>
        <v>#REF!</v>
      </c>
      <c r="Q32" s="11" t="e">
        <f t="shared" si="0"/>
        <v>#REF!</v>
      </c>
      <c r="R32" s="11" t="e">
        <f t="shared" si="0"/>
        <v>#REF!</v>
      </c>
      <c r="S32" s="11" t="e">
        <f t="shared" si="0"/>
        <v>#REF!</v>
      </c>
      <c r="T32" s="11" t="e">
        <f t="shared" si="0"/>
        <v>#REF!</v>
      </c>
      <c r="U32" s="11" t="e">
        <f t="shared" si="0"/>
        <v>#REF!</v>
      </c>
      <c r="V32" s="11" t="e">
        <f t="shared" si="0"/>
        <v>#REF!</v>
      </c>
      <c r="W32" s="11" t="e">
        <f t="shared" si="0"/>
        <v>#REF!</v>
      </c>
      <c r="X32" s="11" t="e">
        <f t="shared" si="0"/>
        <v>#REF!</v>
      </c>
      <c r="Y32" s="11" t="e">
        <f t="shared" si="0"/>
        <v>#REF!</v>
      </c>
      <c r="Z32" s="11" t="e">
        <f t="shared" si="0"/>
        <v>#REF!</v>
      </c>
      <c r="AA32" s="11" t="e">
        <f t="shared" si="0"/>
        <v>#REF!</v>
      </c>
      <c r="AB32" s="11" t="e">
        <f t="shared" si="0"/>
        <v>#REF!</v>
      </c>
      <c r="AC32" s="11" t="e">
        <f t="shared" si="0"/>
        <v>#REF!</v>
      </c>
      <c r="AD32" s="11" t="e">
        <f t="shared" si="0"/>
        <v>#REF!</v>
      </c>
      <c r="AE32" s="11" t="e">
        <f t="shared" si="0"/>
        <v>#REF!</v>
      </c>
      <c r="AF32" s="11" t="e">
        <f t="shared" si="0"/>
        <v>#REF!</v>
      </c>
      <c r="AG32" s="11" t="e">
        <f t="shared" si="0"/>
        <v>#REF!</v>
      </c>
      <c r="AH32" s="11" t="e">
        <f t="shared" si="0"/>
        <v>#REF!</v>
      </c>
      <c r="AI32" s="11" t="e">
        <f t="shared" si="0"/>
        <v>#REF!</v>
      </c>
      <c r="AJ32" s="11" t="e">
        <f t="shared" si="0"/>
        <v>#REF!</v>
      </c>
      <c r="AK32" s="11" t="e">
        <f t="shared" si="0"/>
        <v>#REF!</v>
      </c>
      <c r="AL32" s="11" t="e">
        <f t="shared" si="0"/>
        <v>#REF!</v>
      </c>
      <c r="AM32" s="11" t="e">
        <f t="shared" si="0"/>
        <v>#REF!</v>
      </c>
      <c r="AN32" s="11" t="e">
        <f t="shared" si="0"/>
        <v>#REF!</v>
      </c>
      <c r="AO32" s="11" t="e">
        <f t="shared" si="0"/>
        <v>#REF!</v>
      </c>
      <c r="AP32" s="11" t="e">
        <f t="shared" si="0"/>
        <v>#REF!</v>
      </c>
      <c r="AQ32" s="11" t="e">
        <f t="shared" si="0"/>
        <v>#REF!</v>
      </c>
      <c r="AR32" s="11" t="e">
        <f t="shared" si="0"/>
        <v>#REF!</v>
      </c>
      <c r="AS32" s="11" t="e">
        <f t="shared" si="0"/>
        <v>#REF!</v>
      </c>
      <c r="AT32" s="11" t="e">
        <f t="shared" si="0"/>
        <v>#REF!</v>
      </c>
      <c r="AU32" s="11" t="e">
        <f t="shared" si="0"/>
        <v>#REF!</v>
      </c>
      <c r="AV32" s="11" t="e">
        <f t="shared" si="0"/>
        <v>#REF!</v>
      </c>
      <c r="AW32" s="11" t="e">
        <f t="shared" si="0"/>
        <v>#REF!</v>
      </c>
      <c r="AX32" s="11" t="e">
        <f t="shared" si="0"/>
        <v>#REF!</v>
      </c>
      <c r="AY32" s="11" t="e">
        <f t="shared" si="0"/>
        <v>#REF!</v>
      </c>
      <c r="AZ32" s="11" t="e">
        <f t="shared" si="0"/>
        <v>#REF!</v>
      </c>
      <c r="BA32" s="11" t="e">
        <f t="shared" si="0"/>
        <v>#REF!</v>
      </c>
      <c r="BB32" s="11" t="e">
        <f t="shared" si="0"/>
        <v>#REF!</v>
      </c>
      <c r="BC32" s="11" t="e">
        <f t="shared" si="0"/>
        <v>#REF!</v>
      </c>
      <c r="BD32" s="11" t="e">
        <f t="shared" si="0"/>
        <v>#REF!</v>
      </c>
      <c r="BE32" s="11" t="e">
        <f t="shared" si="0"/>
        <v>#REF!</v>
      </c>
      <c r="BF32" s="11" t="e">
        <f t="shared" si="0"/>
        <v>#REF!</v>
      </c>
      <c r="BG32" s="11" t="e">
        <f t="shared" si="0"/>
        <v>#REF!</v>
      </c>
      <c r="BH32" s="11" t="e">
        <f t="shared" si="0"/>
        <v>#REF!</v>
      </c>
      <c r="BI32" s="11" t="e">
        <f t="shared" si="0"/>
        <v>#REF!</v>
      </c>
      <c r="BJ32" s="11" t="e">
        <f t="shared" si="0"/>
        <v>#REF!</v>
      </c>
      <c r="BK32" s="11" t="e">
        <f t="shared" si="0"/>
        <v>#REF!</v>
      </c>
      <c r="BL32" s="11" t="e">
        <f t="shared" si="0"/>
        <v>#REF!</v>
      </c>
      <c r="BM32" s="11" t="e">
        <f t="shared" si="0"/>
        <v>#REF!</v>
      </c>
      <c r="BN32" s="11" t="e">
        <f t="shared" si="0"/>
        <v>#REF!</v>
      </c>
      <c r="BO32" s="11" t="e">
        <f t="shared" si="0"/>
        <v>#REF!</v>
      </c>
      <c r="BP32" s="11" t="e">
        <f t="shared" ref="BP32:EA32" si="1">SUM(BP26:BP31)</f>
        <v>#REF!</v>
      </c>
      <c r="BQ32" s="11" t="e">
        <f t="shared" si="1"/>
        <v>#REF!</v>
      </c>
      <c r="BR32" s="11" t="e">
        <f t="shared" si="1"/>
        <v>#REF!</v>
      </c>
      <c r="BS32" s="11" t="e">
        <f t="shared" si="1"/>
        <v>#REF!</v>
      </c>
      <c r="BT32" s="11" t="e">
        <f t="shared" si="1"/>
        <v>#REF!</v>
      </c>
      <c r="BU32" s="11" t="e">
        <f t="shared" si="1"/>
        <v>#REF!</v>
      </c>
      <c r="BV32" s="11" t="e">
        <f t="shared" si="1"/>
        <v>#REF!</v>
      </c>
      <c r="BW32" s="11" t="e">
        <f t="shared" si="1"/>
        <v>#REF!</v>
      </c>
      <c r="BX32" s="11" t="e">
        <f t="shared" si="1"/>
        <v>#REF!</v>
      </c>
      <c r="BY32" s="11" t="e">
        <f t="shared" si="1"/>
        <v>#REF!</v>
      </c>
      <c r="BZ32" s="11" t="e">
        <f t="shared" si="1"/>
        <v>#REF!</v>
      </c>
      <c r="CA32" s="11" t="e">
        <f t="shared" si="1"/>
        <v>#REF!</v>
      </c>
      <c r="CB32" s="11" t="e">
        <f t="shared" si="1"/>
        <v>#REF!</v>
      </c>
      <c r="CC32" s="11" t="e">
        <f t="shared" si="1"/>
        <v>#REF!</v>
      </c>
      <c r="CD32" s="11" t="e">
        <f t="shared" si="1"/>
        <v>#REF!</v>
      </c>
      <c r="CE32" s="11" t="e">
        <f t="shared" si="1"/>
        <v>#REF!</v>
      </c>
      <c r="CF32" s="11" t="e">
        <f t="shared" si="1"/>
        <v>#REF!</v>
      </c>
      <c r="CG32" s="11" t="e">
        <f t="shared" si="1"/>
        <v>#REF!</v>
      </c>
      <c r="CH32" s="11" t="e">
        <f t="shared" si="1"/>
        <v>#REF!</v>
      </c>
      <c r="CI32" s="11" t="e">
        <f t="shared" si="1"/>
        <v>#REF!</v>
      </c>
      <c r="CJ32" s="11" t="e">
        <f t="shared" si="1"/>
        <v>#REF!</v>
      </c>
      <c r="CK32" s="11" t="e">
        <f t="shared" si="1"/>
        <v>#REF!</v>
      </c>
      <c r="CL32" s="11" t="e">
        <f t="shared" si="1"/>
        <v>#REF!</v>
      </c>
      <c r="CM32" s="11" t="e">
        <f t="shared" si="1"/>
        <v>#REF!</v>
      </c>
      <c r="CN32" s="11" t="e">
        <f t="shared" si="1"/>
        <v>#REF!</v>
      </c>
      <c r="CO32" s="11" t="e">
        <f t="shared" si="1"/>
        <v>#REF!</v>
      </c>
      <c r="CP32" s="11" t="e">
        <f t="shared" si="1"/>
        <v>#REF!</v>
      </c>
      <c r="CQ32" s="11" t="e">
        <f t="shared" si="1"/>
        <v>#REF!</v>
      </c>
      <c r="CR32" s="11" t="e">
        <f t="shared" si="1"/>
        <v>#REF!</v>
      </c>
      <c r="CS32" s="11" t="e">
        <f t="shared" si="1"/>
        <v>#REF!</v>
      </c>
      <c r="CT32" s="11" t="e">
        <f t="shared" si="1"/>
        <v>#REF!</v>
      </c>
      <c r="CU32" s="11" t="e">
        <f t="shared" si="1"/>
        <v>#REF!</v>
      </c>
      <c r="CV32" s="11" t="e">
        <f t="shared" si="1"/>
        <v>#REF!</v>
      </c>
      <c r="CW32" s="11" t="e">
        <f t="shared" si="1"/>
        <v>#REF!</v>
      </c>
      <c r="CX32" s="11" t="e">
        <f t="shared" si="1"/>
        <v>#REF!</v>
      </c>
      <c r="CY32" s="11" t="e">
        <f t="shared" si="1"/>
        <v>#REF!</v>
      </c>
      <c r="CZ32" s="11" t="e">
        <f t="shared" si="1"/>
        <v>#REF!</v>
      </c>
      <c r="DA32" s="11" t="e">
        <f t="shared" si="1"/>
        <v>#REF!</v>
      </c>
      <c r="DB32" s="11" t="e">
        <f t="shared" si="1"/>
        <v>#REF!</v>
      </c>
      <c r="DC32" s="11" t="e">
        <f t="shared" si="1"/>
        <v>#REF!</v>
      </c>
      <c r="DD32" s="11" t="e">
        <f t="shared" si="1"/>
        <v>#REF!</v>
      </c>
      <c r="DE32" s="11" t="e">
        <f t="shared" si="1"/>
        <v>#REF!</v>
      </c>
      <c r="DF32" s="11" t="e">
        <f t="shared" si="1"/>
        <v>#REF!</v>
      </c>
      <c r="DG32" s="11" t="e">
        <f t="shared" si="1"/>
        <v>#REF!</v>
      </c>
      <c r="DH32" s="11" t="e">
        <f t="shared" si="1"/>
        <v>#REF!</v>
      </c>
      <c r="DI32" s="11" t="e">
        <f t="shared" si="1"/>
        <v>#REF!</v>
      </c>
      <c r="DJ32" s="11" t="e">
        <f t="shared" si="1"/>
        <v>#REF!</v>
      </c>
      <c r="DK32" s="11" t="e">
        <f t="shared" si="1"/>
        <v>#REF!</v>
      </c>
      <c r="DL32" s="11" t="e">
        <f t="shared" si="1"/>
        <v>#REF!</v>
      </c>
      <c r="DM32" s="11" t="e">
        <f t="shared" si="1"/>
        <v>#REF!</v>
      </c>
      <c r="DN32" s="11" t="e">
        <f t="shared" si="1"/>
        <v>#REF!</v>
      </c>
      <c r="DO32" s="11" t="e">
        <f t="shared" si="1"/>
        <v>#REF!</v>
      </c>
      <c r="DP32" s="11" t="e">
        <f t="shared" si="1"/>
        <v>#REF!</v>
      </c>
      <c r="DQ32" s="11" t="e">
        <f t="shared" si="1"/>
        <v>#REF!</v>
      </c>
      <c r="DR32" s="11" t="e">
        <f t="shared" si="1"/>
        <v>#REF!</v>
      </c>
      <c r="DS32" s="11" t="e">
        <f t="shared" si="1"/>
        <v>#REF!</v>
      </c>
      <c r="DT32" s="11" t="e">
        <f t="shared" si="1"/>
        <v>#REF!</v>
      </c>
      <c r="DU32" s="11" t="e">
        <f t="shared" si="1"/>
        <v>#REF!</v>
      </c>
      <c r="DV32" s="11" t="e">
        <f t="shared" si="1"/>
        <v>#REF!</v>
      </c>
      <c r="DW32" s="11" t="e">
        <f t="shared" si="1"/>
        <v>#REF!</v>
      </c>
      <c r="DX32" s="11" t="e">
        <f t="shared" si="1"/>
        <v>#REF!</v>
      </c>
      <c r="DY32" s="11" t="e">
        <f t="shared" si="1"/>
        <v>#REF!</v>
      </c>
      <c r="DZ32" s="11" t="e">
        <f t="shared" si="1"/>
        <v>#REF!</v>
      </c>
      <c r="EA32" s="11" t="e">
        <f t="shared" si="1"/>
        <v>#REF!</v>
      </c>
      <c r="EB32" s="11" t="e">
        <f t="shared" ref="EB32:GM32" si="2">SUM(EB26:EB31)</f>
        <v>#REF!</v>
      </c>
      <c r="EC32" s="11" t="e">
        <f t="shared" si="2"/>
        <v>#REF!</v>
      </c>
      <c r="ED32" s="11" t="e">
        <f t="shared" si="2"/>
        <v>#REF!</v>
      </c>
      <c r="EE32" s="11" t="e">
        <f t="shared" si="2"/>
        <v>#REF!</v>
      </c>
      <c r="EF32" s="11" t="e">
        <f t="shared" si="2"/>
        <v>#REF!</v>
      </c>
      <c r="EG32" s="11" t="e">
        <f t="shared" si="2"/>
        <v>#REF!</v>
      </c>
      <c r="EH32" s="11" t="e">
        <f t="shared" si="2"/>
        <v>#REF!</v>
      </c>
      <c r="EI32" s="11" t="e">
        <f t="shared" si="2"/>
        <v>#REF!</v>
      </c>
      <c r="EJ32" s="11" t="e">
        <f t="shared" si="2"/>
        <v>#REF!</v>
      </c>
      <c r="EK32" s="11" t="e">
        <f t="shared" si="2"/>
        <v>#REF!</v>
      </c>
      <c r="EL32" s="11" t="e">
        <f t="shared" si="2"/>
        <v>#REF!</v>
      </c>
      <c r="EM32" s="11" t="e">
        <f t="shared" si="2"/>
        <v>#REF!</v>
      </c>
      <c r="EN32" s="11" t="e">
        <f t="shared" si="2"/>
        <v>#REF!</v>
      </c>
      <c r="EO32" s="11" t="e">
        <f t="shared" si="2"/>
        <v>#REF!</v>
      </c>
      <c r="EP32" s="11" t="e">
        <f t="shared" si="2"/>
        <v>#REF!</v>
      </c>
      <c r="EQ32" s="11" t="e">
        <f t="shared" si="2"/>
        <v>#REF!</v>
      </c>
      <c r="ER32" s="11" t="e">
        <f t="shared" si="2"/>
        <v>#REF!</v>
      </c>
      <c r="ES32" s="11" t="e">
        <f t="shared" si="2"/>
        <v>#REF!</v>
      </c>
      <c r="ET32" s="11" t="e">
        <f t="shared" si="2"/>
        <v>#REF!</v>
      </c>
      <c r="EU32" s="11" t="e">
        <f t="shared" si="2"/>
        <v>#REF!</v>
      </c>
      <c r="EV32" s="11" t="e">
        <f t="shared" si="2"/>
        <v>#REF!</v>
      </c>
      <c r="EW32" s="11" t="e">
        <f t="shared" si="2"/>
        <v>#REF!</v>
      </c>
      <c r="EX32" s="11" t="e">
        <f t="shared" si="2"/>
        <v>#REF!</v>
      </c>
      <c r="EY32" s="11" t="e">
        <f t="shared" si="2"/>
        <v>#REF!</v>
      </c>
      <c r="EZ32" s="11" t="e">
        <f t="shared" si="2"/>
        <v>#REF!</v>
      </c>
      <c r="FA32" s="11" t="e">
        <f t="shared" si="2"/>
        <v>#REF!</v>
      </c>
      <c r="FB32" s="11" t="e">
        <f t="shared" si="2"/>
        <v>#REF!</v>
      </c>
      <c r="FC32" s="11" t="e">
        <f t="shared" si="2"/>
        <v>#REF!</v>
      </c>
      <c r="FD32" s="11" t="e">
        <f t="shared" si="2"/>
        <v>#REF!</v>
      </c>
      <c r="FE32" s="11" t="e">
        <f t="shared" si="2"/>
        <v>#REF!</v>
      </c>
      <c r="FF32" s="11" t="e">
        <f t="shared" si="2"/>
        <v>#REF!</v>
      </c>
      <c r="FG32" s="11" t="e">
        <f t="shared" si="2"/>
        <v>#REF!</v>
      </c>
      <c r="FH32" s="11" t="e">
        <f t="shared" si="2"/>
        <v>#REF!</v>
      </c>
      <c r="FI32" s="11" t="e">
        <f t="shared" si="2"/>
        <v>#REF!</v>
      </c>
      <c r="FJ32" s="11" t="e">
        <f t="shared" si="2"/>
        <v>#REF!</v>
      </c>
      <c r="FK32" s="11" t="e">
        <f t="shared" si="2"/>
        <v>#REF!</v>
      </c>
      <c r="FL32" s="11" t="e">
        <f t="shared" si="2"/>
        <v>#REF!</v>
      </c>
      <c r="FM32" s="11" t="e">
        <f t="shared" si="2"/>
        <v>#REF!</v>
      </c>
      <c r="FN32" s="11" t="e">
        <f t="shared" si="2"/>
        <v>#REF!</v>
      </c>
      <c r="FO32" s="11" t="e">
        <f t="shared" si="2"/>
        <v>#REF!</v>
      </c>
    </row>
    <row r="33" spans="2:8" x14ac:dyDescent="0.2">
      <c r="B33" s="3"/>
      <c r="C33" s="3"/>
      <c r="D33" s="3"/>
      <c r="E33" s="3"/>
      <c r="F33" s="3"/>
      <c r="G33" s="3"/>
      <c r="H33" s="3"/>
    </row>
    <row r="34" spans="2:8" x14ac:dyDescent="0.2">
      <c r="C34" s="91"/>
      <c r="D34" s="3"/>
      <c r="E34" s="3"/>
      <c r="F34" s="3"/>
      <c r="G34" s="3"/>
      <c r="H34" s="3"/>
    </row>
    <row r="35" spans="2:8" x14ac:dyDescent="0.2">
      <c r="B35" s="3"/>
      <c r="C35" s="3"/>
      <c r="D35" s="3"/>
      <c r="E35" s="3"/>
      <c r="F35" s="3"/>
      <c r="G35" s="3"/>
      <c r="H35" s="3"/>
    </row>
    <row r="36" spans="2:8" x14ac:dyDescent="0.2">
      <c r="C36" s="92"/>
    </row>
  </sheetData>
  <mergeCells count="1">
    <mergeCell ref="B1:H1"/>
  </mergeCells>
  <dataValidations count="2">
    <dataValidation type="list" allowBlank="1" showInputMessage="1" showErrorMessage="1" sqref="C4" xr:uid="{983AADCE-77BC-D54C-9C33-6D918173FAF9}">
      <formula1>"Fluid, Tissue, Cells"</formula1>
    </dataValidation>
    <dataValidation type="list" allowBlank="1" showInputMessage="1" showErrorMessage="1" sqref="C5" xr:uid="{603B1D63-C160-D341-8B84-0A40B0027DCA}">
      <formula1>"Weight, Volume, Protein, Million"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15D4-144E-1741-B602-3DAA46A827CB}">
  <dimension ref="A1:FQ31"/>
  <sheetViews>
    <sheetView workbookViewId="0">
      <selection activeCell="C18" sqref="C18"/>
    </sheetView>
  </sheetViews>
  <sheetFormatPr baseColWidth="10" defaultColWidth="19" defaultRowHeight="15" x14ac:dyDescent="0.2"/>
  <cols>
    <col min="1" max="1" width="32" style="15" bestFit="1" customWidth="1"/>
    <col min="2" max="2" width="38" style="15" bestFit="1" customWidth="1"/>
    <col min="3" max="4" width="38" style="100" customWidth="1"/>
    <col min="5" max="5" width="35.5" style="15" bestFit="1" customWidth="1"/>
    <col min="6" max="6" width="33.1640625" style="15" bestFit="1" customWidth="1"/>
    <col min="7" max="7" width="38.6640625" style="15" bestFit="1" customWidth="1"/>
    <col min="8" max="9" width="39.33203125" style="15" bestFit="1" customWidth="1"/>
    <col min="10" max="10" width="35" style="15" bestFit="1" customWidth="1"/>
    <col min="11" max="11" width="40.33203125" style="15" bestFit="1" customWidth="1"/>
    <col min="12" max="12" width="40" style="15" bestFit="1" customWidth="1"/>
    <col min="13" max="13" width="35.5" style="15" bestFit="1" customWidth="1"/>
    <col min="14" max="14" width="33.1640625" style="15" bestFit="1" customWidth="1"/>
    <col min="15" max="15" width="24.5" style="15" bestFit="1" customWidth="1"/>
    <col min="16" max="16" width="32.83203125" style="15" bestFit="1" customWidth="1"/>
    <col min="17" max="18" width="35.5" style="15" bestFit="1" customWidth="1"/>
    <col min="19" max="19" width="35" style="15" bestFit="1" customWidth="1"/>
    <col min="20" max="20" width="35.5" style="15" bestFit="1" customWidth="1"/>
    <col min="21" max="21" width="33.1640625" style="15" bestFit="1" customWidth="1"/>
    <col min="22" max="22" width="40.33203125" style="15" bestFit="1" customWidth="1"/>
    <col min="23" max="23" width="35.5" style="15" bestFit="1" customWidth="1"/>
    <col min="24" max="24" width="14.33203125" style="15" bestFit="1" customWidth="1"/>
    <col min="25" max="25" width="13.83203125" style="15" bestFit="1" customWidth="1"/>
    <col min="26" max="34" width="14.33203125" style="15" bestFit="1" customWidth="1"/>
    <col min="35" max="35" width="13.83203125" style="15" bestFit="1" customWidth="1"/>
    <col min="36" max="16384" width="19" style="15"/>
  </cols>
  <sheetData>
    <row r="1" spans="1:173" ht="21" x14ac:dyDescent="0.2">
      <c r="B1" s="119" t="s">
        <v>386</v>
      </c>
      <c r="C1" s="119"/>
      <c r="D1" s="119"/>
      <c r="E1" s="119"/>
      <c r="F1" s="119"/>
      <c r="G1" s="119"/>
      <c r="H1" s="119"/>
      <c r="I1" s="119"/>
      <c r="J1" s="119"/>
    </row>
    <row r="2" spans="1:173" ht="21" x14ac:dyDescent="0.2">
      <c r="B2" s="16"/>
      <c r="C2" s="101"/>
      <c r="D2" s="101"/>
      <c r="E2" s="16"/>
      <c r="F2" s="16"/>
      <c r="G2" s="16"/>
      <c r="H2" s="16"/>
      <c r="I2" s="16"/>
    </row>
    <row r="4" spans="1:173" x14ac:dyDescent="0.2">
      <c r="B4" s="17" t="s">
        <v>0</v>
      </c>
      <c r="C4" s="99"/>
      <c r="D4" s="99"/>
      <c r="E4" s="15" t="s">
        <v>387</v>
      </c>
    </row>
    <row r="5" spans="1:173" x14ac:dyDescent="0.2">
      <c r="B5" s="17" t="s">
        <v>1</v>
      </c>
      <c r="C5" s="99"/>
      <c r="D5" s="99"/>
      <c r="E5" s="15" t="s">
        <v>388</v>
      </c>
    </row>
    <row r="6" spans="1:173" ht="16" thickBot="1" x14ac:dyDescent="0.25"/>
    <row r="7" spans="1:173" ht="16" thickBot="1" x14ac:dyDescent="0.25">
      <c r="B7" s="5" t="str">
        <f>'Raw Datas'!A55</f>
        <v>pg/µL of fluid</v>
      </c>
      <c r="C7" s="102"/>
      <c r="D7" s="102"/>
      <c r="E7" s="6" t="str">
        <f>'Raw Datas'!C1</f>
        <v>KT-312D10</v>
      </c>
      <c r="F7" s="6" t="str">
        <f>'Raw Datas'!D1</f>
        <v>BS-364D0</v>
      </c>
      <c r="G7" s="6" t="str">
        <f>'Raw Datas'!E1</f>
        <v>KT-412D60</v>
      </c>
      <c r="H7" s="6" t="str">
        <f>'Raw Datas'!F1</f>
        <v>KT-974D03</v>
      </c>
      <c r="I7" s="6" t="str">
        <f>'Raw Datas'!G1</f>
        <v>JV-138D0</v>
      </c>
      <c r="J7" s="6" t="str">
        <f>'Raw Datas'!H1</f>
        <v>BS-671D03</v>
      </c>
      <c r="K7" s="6" t="str">
        <f>'Raw Datas'!I1</f>
        <v>KT-723D10</v>
      </c>
      <c r="L7" s="6" t="str">
        <f>'Raw Datas'!J1</f>
        <v>KT-705D60</v>
      </c>
      <c r="M7" s="6" t="str">
        <f>'Raw Datas'!K1</f>
        <v>KT-434D03</v>
      </c>
      <c r="N7" s="6" t="str">
        <f>'Raw Datas'!L1</f>
        <v>BS-082D60</v>
      </c>
      <c r="O7" s="6" t="str">
        <f>'Raw Datas'!M1</f>
        <v>BS-064D0</v>
      </c>
      <c r="P7" s="6" t="str">
        <f>'Raw Datas'!N1</f>
        <v>BS-336D10</v>
      </c>
      <c r="Q7" s="6" t="str">
        <f>'Raw Datas'!O1</f>
        <v>KT-723D60</v>
      </c>
      <c r="R7" s="6" t="str">
        <f>'Raw Datas'!P1</f>
        <v>KT-612D10</v>
      </c>
      <c r="S7" s="6" t="str">
        <f>'Raw Datas'!Q1</f>
        <v>KT-705D03</v>
      </c>
      <c r="T7" s="6" t="str">
        <f>'Raw Datas'!R1</f>
        <v>JV-157D0</v>
      </c>
      <c r="U7" s="6" t="str">
        <f>'Raw Datas'!S1</f>
        <v>JV-148D60</v>
      </c>
      <c r="V7" s="6" t="str">
        <f>'Raw Datas'!T1</f>
        <v>KT-663D0</v>
      </c>
      <c r="W7" s="6" t="str">
        <f>'Raw Datas'!U1</f>
        <v>BS-346D03</v>
      </c>
      <c r="X7" s="6" t="str">
        <f>'Raw Datas'!V1</f>
        <v>JV-048D10</v>
      </c>
      <c r="Y7" s="6" t="str">
        <f>'Raw Datas'!W1</f>
        <v>BS-351D0</v>
      </c>
      <c r="Z7" s="6" t="str">
        <f>'Raw Datas'!X1</f>
        <v>JV-148D10</v>
      </c>
      <c r="AA7" s="6" t="str">
        <f>'Raw Datas'!Y1</f>
        <v>KT-929D60</v>
      </c>
      <c r="AB7" s="6" t="str">
        <f>'Raw Datas'!Z1</f>
        <v>BS-336D03</v>
      </c>
      <c r="AC7" s="6" t="str">
        <f>'Raw Datas'!AA1</f>
        <v>KT-771D10</v>
      </c>
      <c r="AD7" s="6" t="str">
        <f>'Raw Datas'!AB1</f>
        <v>KT-695D03</v>
      </c>
      <c r="AE7" s="6" t="str">
        <f>'Raw Datas'!AC1</f>
        <v>KT-612D0</v>
      </c>
      <c r="AF7" s="6" t="str">
        <f>'Raw Datas'!AD1</f>
        <v>KT-312D60</v>
      </c>
      <c r="AG7" s="6" t="str">
        <f>'Raw Datas'!AE1</f>
        <v>KT-927D03</v>
      </c>
      <c r="AH7" s="6" t="str">
        <f>'Raw Datas'!AF1</f>
        <v>JV-071D60</v>
      </c>
      <c r="AI7" s="6" t="str">
        <f>'Raw Datas'!AG1</f>
        <v>KT-193D10</v>
      </c>
      <c r="AJ7" s="6" t="str">
        <f>'Raw Datas'!AH1</f>
        <v>KT-247D0</v>
      </c>
      <c r="AK7" s="6" t="str">
        <f>'Raw Datas'!AI1</f>
        <v>BS-064D03</v>
      </c>
      <c r="AL7" s="6" t="str">
        <f>'Raw Datas'!AJ1</f>
        <v>KT-537D60</v>
      </c>
      <c r="AM7" s="6" t="str">
        <f>'Raw Datas'!AK1</f>
        <v>BS-377D0</v>
      </c>
      <c r="AN7" s="6" t="str">
        <f>'Raw Datas'!AL1</f>
        <v>KT-347D10</v>
      </c>
      <c r="AO7" s="6" t="str">
        <f>'Raw Datas'!AM1</f>
        <v>JV-138D60</v>
      </c>
      <c r="AP7" s="6" t="str">
        <f>'Raw Datas'!AN1</f>
        <v>JV-138D10</v>
      </c>
      <c r="AQ7" s="6" t="str">
        <f>'Raw Datas'!AO1</f>
        <v>KT-247D03</v>
      </c>
      <c r="AR7" s="6" t="str">
        <f>'Raw Datas'!AP1</f>
        <v>KT-718D0</v>
      </c>
      <c r="AS7" s="6" t="str">
        <f>'Raw Datas'!AQ1</f>
        <v>BS-082D10</v>
      </c>
      <c r="AT7" s="6" t="str">
        <f>'Raw Datas'!AR1</f>
        <v>KT-445D0</v>
      </c>
      <c r="AU7" s="6" t="str">
        <f>'Raw Datas'!AS1</f>
        <v>KT-716D60</v>
      </c>
      <c r="AV7" s="6" t="str">
        <f>'Raw Datas'!AT1</f>
        <v>KT-347D03</v>
      </c>
      <c r="AW7" s="6" t="str">
        <f>'Raw Datas'!AU1</f>
        <v>KT-805D0</v>
      </c>
      <c r="AX7" s="6" t="str">
        <f>'Raw Datas'!AV1</f>
        <v>BS-351D03</v>
      </c>
      <c r="AY7" s="6" t="str">
        <f>'Raw Datas'!AW1</f>
        <v>KT-538D10</v>
      </c>
      <c r="AZ7" s="6" t="str">
        <f>'Raw Datas'!AX1</f>
        <v>JV-035D60</v>
      </c>
      <c r="BA7" s="6" t="str">
        <f>'Raw Datas'!AY1</f>
        <v>KT-718D03</v>
      </c>
      <c r="BB7" s="6" t="str">
        <f>'Raw Datas'!AZ1</f>
        <v>KT-723D0</v>
      </c>
      <c r="BC7" s="6" t="str">
        <f>'Raw Datas'!BA1</f>
        <v>KT-515D10</v>
      </c>
      <c r="BD7" s="6" t="str">
        <f>'Raw Datas'!BB1</f>
        <v>KT-412D03</v>
      </c>
      <c r="BE7" s="6" t="str">
        <f>'Raw Datas'!BC1</f>
        <v>KT-313D10</v>
      </c>
      <c r="BF7" s="6" t="str">
        <f>'Raw Datas'!BD1</f>
        <v>BS-377D60</v>
      </c>
      <c r="BG7" s="6" t="str">
        <f>'Raw Datas'!BE1</f>
        <v>KT-417D0</v>
      </c>
      <c r="BH7" s="6" t="str">
        <f>'Raw Datas'!BF1</f>
        <v>KT-412D10</v>
      </c>
      <c r="BI7" s="6" t="str">
        <f>'Raw Datas'!BG1</f>
        <v>KT-515D0</v>
      </c>
      <c r="BJ7" s="6" t="str">
        <f>'Raw Datas'!BH1</f>
        <v>JV-148D03</v>
      </c>
      <c r="BK7" s="6" t="str">
        <f>'Raw Datas'!BI1</f>
        <v>KT-313D0</v>
      </c>
      <c r="BL7" s="6" t="str">
        <f>'Raw Datas'!BJ1</f>
        <v>KT-445D60</v>
      </c>
      <c r="BM7" s="6" t="str">
        <f>'Raw Datas'!BK1</f>
        <v>KT-434D10</v>
      </c>
      <c r="BN7" s="6" t="str">
        <f>'Raw Datas'!BL1</f>
        <v>BS-082D03</v>
      </c>
      <c r="BO7" s="6" t="str">
        <f>'Raw Datas'!BM1</f>
        <v>KT-880D03</v>
      </c>
      <c r="BP7" s="6" t="str">
        <f>'Raw Datas'!BN1</f>
        <v>KT-247D60</v>
      </c>
      <c r="BQ7" s="6" t="str">
        <f>'Raw Datas'!BO1</f>
        <v>KT-705D10</v>
      </c>
      <c r="BR7" s="6" t="str">
        <f>'Raw Datas'!BP1</f>
        <v>BS-082D0</v>
      </c>
      <c r="BS7" s="6" t="str">
        <f>'Raw Datas'!BQ1</f>
        <v>JV-157D60</v>
      </c>
      <c r="BT7" s="6" t="str">
        <f>'Raw Datas'!BR1</f>
        <v>KT-312D0</v>
      </c>
      <c r="BU7" s="6" t="str">
        <f>'Raw Datas'!BS1</f>
        <v>KT-445D03</v>
      </c>
      <c r="BV7" s="6" t="str">
        <f>'Raw Datas'!BT1</f>
        <v>BS-377D10</v>
      </c>
      <c r="BW7" s="6" t="str">
        <f>'Raw Datas'!BU1</f>
        <v>KT-695D0</v>
      </c>
      <c r="BX7" s="6" t="str">
        <f>'Raw Datas'!BV1</f>
        <v>BS-351D10</v>
      </c>
      <c r="BY7" s="6" t="str">
        <f>'Raw Datas'!BW1</f>
        <v>KT-417D60</v>
      </c>
      <c r="BZ7" s="6" t="str">
        <f>'Raw Datas'!BX1</f>
        <v>JV-138D03</v>
      </c>
      <c r="CA7" s="6" t="str">
        <f>'Raw Datas'!BY1</f>
        <v>KT-805D10</v>
      </c>
      <c r="CB7" s="6" t="str">
        <f>'Raw Datas'!BZ1</f>
        <v>JV-048D03</v>
      </c>
      <c r="CC7" s="6" t="str">
        <f>'Raw Datas'!CA1</f>
        <v>KT-705D0</v>
      </c>
      <c r="CD7" s="6" t="str">
        <f>'Raw Datas'!CB1</f>
        <v>BS-671D60</v>
      </c>
      <c r="CE7" s="6" t="str">
        <f>'Raw Datas'!CC1</f>
        <v>JV-157D03</v>
      </c>
      <c r="CF7" s="6" t="str">
        <f>'Raw Datas'!CD1</f>
        <v>KT-974D0</v>
      </c>
      <c r="CG7" s="6" t="str">
        <f>'Raw Datas'!CE1</f>
        <v>BS-364D60</v>
      </c>
      <c r="CH7" s="6" t="str">
        <f>'Raw Datas'!CF1</f>
        <v>KT-716D10</v>
      </c>
      <c r="CI7" s="6" t="str">
        <f>'Raw Datas'!CG1</f>
        <v>KT-538D0</v>
      </c>
      <c r="CJ7" s="6" t="str">
        <f>'Raw Datas'!CH1</f>
        <v>KT-718D10</v>
      </c>
      <c r="CK7" s="6" t="str">
        <f>'Raw Datas'!CI1</f>
        <v>KT-538D03</v>
      </c>
      <c r="CL7" s="6" t="str">
        <f>'Raw Datas'!CJ1</f>
        <v>KT-805D60</v>
      </c>
      <c r="CM7" s="6" t="str">
        <f>'Raw Datas'!CK1</f>
        <v>KT-612D60</v>
      </c>
      <c r="CN7" s="6" t="str">
        <f>'Raw Datas'!CL1</f>
        <v>KT-926D0</v>
      </c>
      <c r="CO7" s="6" t="str">
        <f>'Raw Datas'!CM1</f>
        <v>KT-193D03</v>
      </c>
      <c r="CP7" s="6" t="str">
        <f>'Raw Datas'!CN1</f>
        <v>KT-663D60</v>
      </c>
      <c r="CQ7" s="6" t="str">
        <f>'Raw Datas'!CO1</f>
        <v>KT-352D03</v>
      </c>
      <c r="CR7" s="6" t="str">
        <f>'Raw Datas'!CP1</f>
        <v>KT-537D10</v>
      </c>
      <c r="CS7" s="6" t="str">
        <f>'Raw Datas'!CQ1</f>
        <v>JV-035D0</v>
      </c>
      <c r="CT7" s="6" t="str">
        <f>'Raw Datas'!CR1</f>
        <v>KT-522D60</v>
      </c>
      <c r="CU7" s="6" t="str">
        <f>'Raw Datas'!CS1</f>
        <v>KT-352D10</v>
      </c>
      <c r="CV7" s="6" t="str">
        <f>'Raw Datas'!CT1</f>
        <v>KT-716D03</v>
      </c>
      <c r="CW7" s="6" t="str">
        <f>'Raw Datas'!CU1</f>
        <v>KT-716D0</v>
      </c>
      <c r="CX7" s="6" t="str">
        <f>'Raw Datas'!CV1</f>
        <v>BS-346D10</v>
      </c>
      <c r="CY7" s="6" t="str">
        <f>'Raw Datas'!CW1</f>
        <v>KT-347D0</v>
      </c>
      <c r="CZ7" s="6" t="str">
        <f>'Raw Datas'!CX1</f>
        <v>BS-336D60</v>
      </c>
      <c r="DA7" s="6" t="str">
        <f>'Raw Datas'!CY1</f>
        <v>KT-515D03</v>
      </c>
      <c r="DB7" s="6" t="str">
        <f>'Raw Datas'!CZ1</f>
        <v>KT-352D0</v>
      </c>
      <c r="DC7" s="6" t="str">
        <f>'Raw Datas'!DA1</f>
        <v>KT-771D03</v>
      </c>
      <c r="DD7" s="6" t="str">
        <f>'Raw Datas'!DB1</f>
        <v>BS-364D10</v>
      </c>
      <c r="DE7" s="6" t="str">
        <f>'Raw Datas'!DC1</f>
        <v>BS-064D60</v>
      </c>
      <c r="DF7" s="6" t="str">
        <f>'Raw Datas'!DD1</f>
        <v>KT-723D03</v>
      </c>
      <c r="DG7" s="6" t="str">
        <f>'Raw Datas'!DE1</f>
        <v>KT-538D60</v>
      </c>
      <c r="DH7" s="6" t="str">
        <f>'Raw Datas'!DF1</f>
        <v>KT-193D0</v>
      </c>
      <c r="DI7" s="6" t="str">
        <f>'Raw Datas'!DG1</f>
        <v>KT-445D10</v>
      </c>
      <c r="DJ7" s="6" t="str">
        <f>'Raw Datas'!DH1</f>
        <v>KT-771D0</v>
      </c>
      <c r="DK7" s="6" t="str">
        <f>'Raw Datas'!DI1</f>
        <v>KT-247D10</v>
      </c>
      <c r="DL7" s="6" t="str">
        <f>'Raw Datas'!DJ1</f>
        <v>KT-515D60</v>
      </c>
      <c r="DM7" s="6" t="str">
        <f>'Raw Datas'!DK1</f>
        <v>JV-071D03</v>
      </c>
      <c r="DN7" s="6" t="str">
        <f>'Raw Datas'!DL1</f>
        <v>KT-525D10</v>
      </c>
      <c r="DO7" s="6" t="str">
        <f>'Raw Datas'!DM1</f>
        <v>KT-522D03</v>
      </c>
      <c r="DP7" s="6" t="str">
        <f>'Raw Datas'!DN1</f>
        <v>KT-525D0</v>
      </c>
      <c r="DQ7" s="6" t="str">
        <f>'Raw Datas'!DO1</f>
        <v>BS-346D60</v>
      </c>
      <c r="DR7" s="6" t="str">
        <f>'Raw Datas'!DP1</f>
        <v>KT-525D03</v>
      </c>
      <c r="DS7" s="6" t="str">
        <f>'Raw Datas'!DQ1</f>
        <v>KT-771D60</v>
      </c>
      <c r="DT7" s="6" t="str">
        <f>'Raw Datas'!DR1</f>
        <v>KT-417D10</v>
      </c>
      <c r="DU7" s="6" t="str">
        <f>'Raw Datas'!DS1</f>
        <v>JV-048D0</v>
      </c>
      <c r="DV7" s="6" t="str">
        <f>'Raw Datas'!DT1</f>
        <v>KT-539D60</v>
      </c>
      <c r="DW7" s="6" t="str">
        <f>'Raw Datas'!DU1</f>
        <v>KT-880D0</v>
      </c>
      <c r="DX7" s="6" t="str">
        <f>'Raw Datas'!DV1</f>
        <v>KT-805D03</v>
      </c>
      <c r="DY7" s="6" t="str">
        <f>'Raw Datas'!DW1</f>
        <v>KT-565D10</v>
      </c>
      <c r="DZ7" s="6" t="str">
        <f>'Raw Datas'!DX1</f>
        <v>BS-351D60</v>
      </c>
      <c r="EA7" s="6" t="str">
        <f>'Raw Datas'!DY1</f>
        <v>KT-663D03</v>
      </c>
      <c r="EB7" s="6" t="str">
        <f>'Raw Datas'!DZ1</f>
        <v>KT-695D10</v>
      </c>
      <c r="EC7" s="6" t="str">
        <f>'Raw Datas'!EA1</f>
        <v>KT-539D0</v>
      </c>
      <c r="ED7" s="6" t="str">
        <f>'Raw Datas'!EB1</f>
        <v>KT-539D03</v>
      </c>
      <c r="EE7" s="6" t="str">
        <f>'Raw Datas'!EC1</f>
        <v>BS-671D0</v>
      </c>
      <c r="EF7" s="6" t="str">
        <f>'Raw Datas'!ED1</f>
        <v>KT-313D60</v>
      </c>
      <c r="EG7" s="6" t="str">
        <f>'Raw Datas'!EE1</f>
        <v>BS-064D10</v>
      </c>
      <c r="EH7" s="6" t="str">
        <f>'Raw Datas'!EF1</f>
        <v>BS-346D0</v>
      </c>
      <c r="EI7" s="6" t="str">
        <f>'Raw Datas'!EG1</f>
        <v>KT-522D10</v>
      </c>
      <c r="EJ7" s="6" t="str">
        <f>'Raw Datas'!EH1</f>
        <v>KT-565D03</v>
      </c>
      <c r="EK7" s="6" t="str">
        <f>'Raw Datas'!EI1</f>
        <v>KT-695D60</v>
      </c>
      <c r="EL7" s="6" t="str">
        <f>'Raw Datas'!EJ1</f>
        <v>KT-928D10</v>
      </c>
      <c r="EM7" s="6" t="str">
        <f>'Raw Datas'!EK1</f>
        <v>KT-347D60</v>
      </c>
      <c r="EN7" s="6" t="str">
        <f>'Raw Datas'!EL1</f>
        <v>KT-522D0</v>
      </c>
      <c r="EO7" s="6" t="str">
        <f>'Raw Datas'!EM1</f>
        <v>BS-364D03</v>
      </c>
      <c r="EP7" s="6" t="str">
        <f>'Raw Datas'!EN1</f>
        <v>KT-352D60</v>
      </c>
      <c r="EQ7" s="6" t="str">
        <f>'Raw Datas'!EO1</f>
        <v>JV-157D10</v>
      </c>
      <c r="ER7" s="6" t="str">
        <f>'Raw Datas'!EP1</f>
        <v>KT-565D0</v>
      </c>
      <c r="ES7" s="6" t="str">
        <f>'Raw Datas'!EQ1</f>
        <v>KT-612D03</v>
      </c>
      <c r="ET7" s="6" t="str">
        <f>'Raw Datas'!ER1</f>
        <v>KT-974D10</v>
      </c>
      <c r="EU7" s="6" t="str">
        <f>'Raw Datas'!ES1</f>
        <v>KT-537D03</v>
      </c>
      <c r="EV7" s="6" t="str">
        <f>'Raw Datas'!ET1</f>
        <v>KT-718D60</v>
      </c>
      <c r="EW7" s="6" t="str">
        <f>'Raw Datas'!EU1</f>
        <v>JV-071D0</v>
      </c>
      <c r="EX7" s="6" t="str">
        <f>'Raw Datas'!EV1</f>
        <v>KT-312D03</v>
      </c>
      <c r="EY7" s="6" t="str">
        <f>'Raw Datas'!EW1</f>
        <v>BS-336D0</v>
      </c>
      <c r="EZ7" s="6" t="str">
        <f>'Raw Datas'!EX1</f>
        <v>KT-880D10</v>
      </c>
      <c r="FA7" s="6" t="str">
        <f>'Raw Datas'!EY1</f>
        <v>KT-193D60</v>
      </c>
      <c r="FB7" s="6" t="str">
        <f>'Raw Datas'!EZ1</f>
        <v>JV-148D0</v>
      </c>
      <c r="FC7" s="6" t="str">
        <f>'Raw Datas'!FA1</f>
        <v>KT-434D60</v>
      </c>
      <c r="FD7" s="6" t="str">
        <f>'Raw Datas'!FB1</f>
        <v>KT-417D03</v>
      </c>
      <c r="FE7" s="6" t="str">
        <f>'Raw Datas'!FC1</f>
        <v>KT-663D10</v>
      </c>
      <c r="FF7" s="6" t="str">
        <f>'Raw Datas'!FD1</f>
        <v>KT-525D60</v>
      </c>
      <c r="FG7" s="6" t="str">
        <f>'Raw Datas'!FE1</f>
        <v>KT-539D10</v>
      </c>
      <c r="FH7" s="6" t="str">
        <f>'Raw Datas'!FF1</f>
        <v>KT-537D0</v>
      </c>
      <c r="FI7" s="6" t="str">
        <f>'Raw Datas'!FG1</f>
        <v>KT-313D03</v>
      </c>
      <c r="FJ7" s="6" t="str">
        <f>'Raw Datas'!FH1</f>
        <v>JV-035D10</v>
      </c>
      <c r="FK7" s="6" t="str">
        <f>'Raw Datas'!FI1</f>
        <v>BS-377D03</v>
      </c>
      <c r="FL7" s="6" t="str">
        <f>'Raw Datas'!FJ1</f>
        <v>KT-880D60</v>
      </c>
      <c r="FM7" s="6" t="str">
        <f>'Raw Datas'!FK1</f>
        <v>KT-434D0</v>
      </c>
      <c r="FN7" s="6" t="str">
        <f>'Raw Datas'!FL1</f>
        <v>JV-035D03</v>
      </c>
      <c r="FO7" s="6" t="str">
        <f>'Raw Datas'!FM1</f>
        <v>KT-412D0</v>
      </c>
      <c r="FP7" s="6" t="str">
        <f>'Raw Datas'!FN1</f>
        <v>BS-671D10</v>
      </c>
      <c r="FQ7" s="6" t="str">
        <f>'Raw Datas'!FO1</f>
        <v>KT-974D60</v>
      </c>
    </row>
    <row r="8" spans="1:173" x14ac:dyDescent="0.2">
      <c r="A8" s="21" t="s">
        <v>385</v>
      </c>
      <c r="B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</row>
    <row r="9" spans="1:173" ht="15.75" customHeight="1" x14ac:dyDescent="0.2">
      <c r="A9" s="152"/>
      <c r="B9" s="97" t="s">
        <v>375</v>
      </c>
      <c r="C9" s="104" t="s">
        <v>737</v>
      </c>
      <c r="D9" s="104"/>
      <c r="E9" s="60">
        <f>'Raw Datas'!C67</f>
        <v>0.76226666666666665</v>
      </c>
      <c r="F9" s="63">
        <f>'Raw Datas'!D67</f>
        <v>2.2586333333333335</v>
      </c>
      <c r="G9" s="63" t="str">
        <f>'Raw Datas'!E67</f>
        <v>0</v>
      </c>
      <c r="H9" s="63">
        <f>'Raw Datas'!F67</f>
        <v>2.6011333333333329</v>
      </c>
      <c r="I9" s="63">
        <f>'Raw Datas'!G67</f>
        <v>0.82863333333333344</v>
      </c>
      <c r="J9" s="63">
        <f>'Raw Datas'!H67</f>
        <v>1.5406000000000002</v>
      </c>
      <c r="K9" s="63">
        <f>'Raw Datas'!I67</f>
        <v>2.9791000000000003</v>
      </c>
      <c r="L9" s="63">
        <f>'Raw Datas'!J67</f>
        <v>1.6943000000000004</v>
      </c>
      <c r="M9" s="63">
        <f>'Raw Datas'!K67</f>
        <v>2.1067</v>
      </c>
      <c r="N9" s="63">
        <f>'Raw Datas'!L67</f>
        <v>3.0104333333333333</v>
      </c>
      <c r="O9" s="63">
        <f>'Raw Datas'!M67</f>
        <v>1.7687166666666665</v>
      </c>
      <c r="P9" s="63" t="str">
        <f>'Raw Datas'!N67</f>
        <v>0</v>
      </c>
      <c r="Q9" s="63">
        <f>'Raw Datas'!O67</f>
        <v>2.0067333333333335</v>
      </c>
      <c r="R9" s="63">
        <f>'Raw Datas'!P67</f>
        <v>1.9183166666666667</v>
      </c>
      <c r="S9" s="63">
        <f>'Raw Datas'!Q67</f>
        <v>1.5540833333333335</v>
      </c>
      <c r="T9" s="63">
        <f>'Raw Datas'!R67</f>
        <v>4.6751333333333331</v>
      </c>
      <c r="U9" s="63">
        <f>'Raw Datas'!S67</f>
        <v>3.2365166666666667</v>
      </c>
      <c r="V9" s="63">
        <f>'Raw Datas'!T67</f>
        <v>0.56718333333333326</v>
      </c>
      <c r="W9" s="63">
        <f>'Raw Datas'!U67</f>
        <v>1.2656666666666667</v>
      </c>
      <c r="X9" s="63" t="str">
        <f>'Raw Datas'!V67</f>
        <v>0</v>
      </c>
      <c r="Y9" s="63" t="str">
        <f>'Raw Datas'!W67</f>
        <v>0</v>
      </c>
      <c r="Z9" s="63" t="str">
        <f>'Raw Datas'!X67</f>
        <v>0</v>
      </c>
      <c r="AA9" s="63">
        <f>'Raw Datas'!Y67</f>
        <v>1.9705166666666665</v>
      </c>
      <c r="AB9" s="63" t="str">
        <f>'Raw Datas'!Z67</f>
        <v>0</v>
      </c>
      <c r="AC9" s="63">
        <f>'Raw Datas'!AA67</f>
        <v>1.1262000000000001</v>
      </c>
      <c r="AD9" s="63">
        <f>'Raw Datas'!AB67</f>
        <v>1.7968999999999999</v>
      </c>
      <c r="AE9" s="63">
        <f>'Raw Datas'!AC67</f>
        <v>2.3373500000000003</v>
      </c>
      <c r="AF9" s="63">
        <f>'Raw Datas'!AD67</f>
        <v>1.03725</v>
      </c>
      <c r="AG9" s="63">
        <f>'Raw Datas'!AE67</f>
        <v>1.2503333333333333</v>
      </c>
      <c r="AH9" s="63">
        <f>'Raw Datas'!AF67</f>
        <v>0.24400000000000002</v>
      </c>
      <c r="AI9" s="63">
        <f>'Raw Datas'!AG67</f>
        <v>1.0787499999999999</v>
      </c>
      <c r="AJ9" s="63">
        <f>'Raw Datas'!AH67</f>
        <v>0.84753333333333336</v>
      </c>
      <c r="AK9" s="63">
        <f>'Raw Datas'!AI67</f>
        <v>0.73925000000000007</v>
      </c>
      <c r="AL9" s="63" t="str">
        <f>'Raw Datas'!AJ67</f>
        <v>0</v>
      </c>
      <c r="AM9" s="63">
        <f>'Raw Datas'!AK67</f>
        <v>1.4956500000000001</v>
      </c>
      <c r="AN9" s="63" t="str">
        <f>'Raw Datas'!AL67</f>
        <v>0</v>
      </c>
      <c r="AO9" s="63" t="str">
        <f>'Raw Datas'!AM67</f>
        <v>0</v>
      </c>
      <c r="AP9" s="63">
        <f>'Raw Datas'!AN67</f>
        <v>1.7513833333333333</v>
      </c>
      <c r="AQ9" s="63">
        <f>'Raw Datas'!AO67</f>
        <v>1.2157333333333333</v>
      </c>
      <c r="AR9" s="63" t="str">
        <f>'Raw Datas'!AP67</f>
        <v>0</v>
      </c>
      <c r="AS9" s="63">
        <f>'Raw Datas'!AQ67</f>
        <v>1.1088166666666666</v>
      </c>
      <c r="AT9" s="63" t="str">
        <f>'Raw Datas'!AR67</f>
        <v>0</v>
      </c>
      <c r="AU9" s="63">
        <f>'Raw Datas'!AS67</f>
        <v>1.7926833333333334</v>
      </c>
      <c r="AV9" s="63">
        <f>'Raw Datas'!AT67</f>
        <v>0.58029999999999993</v>
      </c>
      <c r="AW9" s="63" t="str">
        <f>'Raw Datas'!AU67</f>
        <v>0</v>
      </c>
      <c r="AX9" s="63">
        <f>'Raw Datas'!AV67</f>
        <v>1.2223599999999999</v>
      </c>
      <c r="AY9" s="63" t="str">
        <f>'Raw Datas'!AW67</f>
        <v>0</v>
      </c>
      <c r="AZ9" s="63">
        <f>'Raw Datas'!AX67</f>
        <v>0.56568333333333343</v>
      </c>
      <c r="BA9" s="63">
        <f>'Raw Datas'!AY67</f>
        <v>2.4613999999999998</v>
      </c>
      <c r="BB9" s="63" t="str">
        <f>'Raw Datas'!AZ67</f>
        <v>0</v>
      </c>
      <c r="BC9" s="63">
        <f>'Raw Datas'!BA67</f>
        <v>0.66771666666666674</v>
      </c>
      <c r="BD9" s="63">
        <f>'Raw Datas'!BB67</f>
        <v>0.54123333333333323</v>
      </c>
      <c r="BE9" s="63">
        <f>'Raw Datas'!BC67</f>
        <v>1.25735</v>
      </c>
      <c r="BF9" s="63">
        <f>'Raw Datas'!BD67</f>
        <v>0.66425000000000012</v>
      </c>
      <c r="BG9" s="63" t="str">
        <f>'Raw Datas'!BE67</f>
        <v>0</v>
      </c>
      <c r="BH9" s="63">
        <f>'Raw Datas'!BF67</f>
        <v>0.35031666666666672</v>
      </c>
      <c r="BI9" s="63" t="str">
        <f>'Raw Datas'!BG67</f>
        <v>0</v>
      </c>
      <c r="BJ9" s="63" t="str">
        <f>'Raw Datas'!BH67</f>
        <v>0</v>
      </c>
      <c r="BK9" s="63">
        <f>'Raw Datas'!BI67</f>
        <v>0.39321666666666671</v>
      </c>
      <c r="BL9" s="63">
        <f>'Raw Datas'!BJ67</f>
        <v>3.0922333333333332</v>
      </c>
      <c r="BM9" s="63">
        <f>'Raw Datas'!BK67</f>
        <v>5.209316666666667</v>
      </c>
      <c r="BN9" s="63">
        <f>'Raw Datas'!BL67</f>
        <v>2.7296499999999999</v>
      </c>
      <c r="BO9" s="63">
        <f>'Raw Datas'!BM67</f>
        <v>3.5019999999999998</v>
      </c>
      <c r="BP9" s="63">
        <f>'Raw Datas'!BN67</f>
        <v>6.313083333333334</v>
      </c>
      <c r="BQ9" s="63">
        <f>'Raw Datas'!BO67</f>
        <v>2.0297000000000001</v>
      </c>
      <c r="BR9" s="63">
        <f>'Raw Datas'!BP67</f>
        <v>1.61555</v>
      </c>
      <c r="BS9" s="63">
        <f>'Raw Datas'!BQ67</f>
        <v>0.53649999999999998</v>
      </c>
      <c r="BT9" s="63" t="str">
        <f>'Raw Datas'!BR67</f>
        <v>0</v>
      </c>
      <c r="BU9" s="63">
        <f>'Raw Datas'!BS67</f>
        <v>1.9818166666666668</v>
      </c>
      <c r="BV9" s="63">
        <f>'Raw Datas'!BT67</f>
        <v>1.6108166666666668</v>
      </c>
      <c r="BW9" s="63" t="str">
        <f>'Raw Datas'!BU67</f>
        <v>0</v>
      </c>
      <c r="BX9" s="63">
        <f>'Raw Datas'!BV67</f>
        <v>1.3097500000000002</v>
      </c>
      <c r="BY9" s="63">
        <f>'Raw Datas'!BW67</f>
        <v>2.0626000000000002</v>
      </c>
      <c r="BZ9" s="63">
        <f>'Raw Datas'!BX67</f>
        <v>0.41833333333333328</v>
      </c>
      <c r="CA9" s="63">
        <f>'Raw Datas'!BY67</f>
        <v>3.0598999999999998</v>
      </c>
      <c r="CB9" s="63">
        <f>'Raw Datas'!BZ67</f>
        <v>1.2577</v>
      </c>
      <c r="CC9" s="63">
        <f>'Raw Datas'!CA67</f>
        <v>1.622166666666667</v>
      </c>
      <c r="CD9" s="63">
        <f>'Raw Datas'!CB67</f>
        <v>0.43714999999999998</v>
      </c>
      <c r="CE9" s="63">
        <f>'Raw Datas'!CC67</f>
        <v>0.62090000000000001</v>
      </c>
      <c r="CF9" s="63" t="str">
        <f>'Raw Datas'!CD67</f>
        <v>0</v>
      </c>
      <c r="CG9" s="63">
        <f>'Raw Datas'!CE67</f>
        <v>1.4082999999999999</v>
      </c>
      <c r="CH9" s="63" t="str">
        <f>'Raw Datas'!CF67</f>
        <v>0</v>
      </c>
      <c r="CI9" s="63" t="str">
        <f>'Raw Datas'!CG67</f>
        <v>0</v>
      </c>
      <c r="CJ9" s="63">
        <f>'Raw Datas'!CH67</f>
        <v>5.1285333333333334</v>
      </c>
      <c r="CK9" s="63" t="str">
        <f>'Raw Datas'!CI67</f>
        <v>0</v>
      </c>
      <c r="CL9" s="63">
        <f>'Raw Datas'!CJ67</f>
        <v>0.56486666666666663</v>
      </c>
      <c r="CM9" s="63" t="str">
        <f>'Raw Datas'!CK67</f>
        <v>0</v>
      </c>
      <c r="CN9" s="63" t="str">
        <f>'Raw Datas'!CL67</f>
        <v>0</v>
      </c>
      <c r="CO9" s="63">
        <f>'Raw Datas'!CM67</f>
        <v>1.7423499999999998</v>
      </c>
      <c r="CP9" s="63">
        <f>'Raw Datas'!CN67</f>
        <v>0.98731666666666662</v>
      </c>
      <c r="CQ9" s="63">
        <f>'Raw Datas'!CO67</f>
        <v>17.711383333333334</v>
      </c>
      <c r="CR9" s="63">
        <f>'Raw Datas'!CP67</f>
        <v>2.6013833333333332</v>
      </c>
      <c r="CS9" s="63">
        <f>'Raw Datas'!CQ67</f>
        <v>4.5282833333333334</v>
      </c>
      <c r="CT9" s="63">
        <f>'Raw Datas'!CR67</f>
        <v>3.1566333333333336</v>
      </c>
      <c r="CU9" s="63">
        <f>'Raw Datas'!CS67</f>
        <v>2.0075833333333337</v>
      </c>
      <c r="CV9" s="63" t="str">
        <f>'Raw Datas'!CT67</f>
        <v>0</v>
      </c>
      <c r="CW9" s="63">
        <f>'Raw Datas'!CU67</f>
        <v>1.3866166666666664</v>
      </c>
      <c r="CX9" s="63">
        <f>'Raw Datas'!CV67</f>
        <v>4.261916666666667</v>
      </c>
      <c r="CY9" s="63">
        <f>'Raw Datas'!CW67</f>
        <v>1.0163</v>
      </c>
      <c r="CZ9" s="63">
        <f>'Raw Datas'!CX67</f>
        <v>1.0815333333333332</v>
      </c>
      <c r="DA9" s="63">
        <f>'Raw Datas'!CY67</f>
        <v>0.38605</v>
      </c>
      <c r="DB9" s="63" t="str">
        <f>'Raw Datas'!CZ67</f>
        <v>0</v>
      </c>
      <c r="DC9" s="63">
        <f>'Raw Datas'!DA67</f>
        <v>0.40365000000000001</v>
      </c>
      <c r="DD9" s="63">
        <f>'Raw Datas'!DB67</f>
        <v>0.59740000000000004</v>
      </c>
      <c r="DE9" s="63">
        <f>'Raw Datas'!DC67</f>
        <v>2.7759499999999999</v>
      </c>
      <c r="DF9" s="63">
        <f>'Raw Datas'!DD67</f>
        <v>4.4661499999999998</v>
      </c>
      <c r="DG9" s="63">
        <f>'Raw Datas'!DE67</f>
        <v>0.9791333333333333</v>
      </c>
      <c r="DH9" s="63" t="str">
        <f>'Raw Datas'!DF67</f>
        <v>0</v>
      </c>
      <c r="DI9" s="63">
        <f>'Raw Datas'!DG67</f>
        <v>1.9403000000000001</v>
      </c>
      <c r="DJ9" s="63" t="str">
        <f>'Raw Datas'!DH67</f>
        <v>0</v>
      </c>
      <c r="DK9" s="63">
        <f>'Raw Datas'!DI67</f>
        <v>1.6078999999999999</v>
      </c>
      <c r="DL9" s="63">
        <f>'Raw Datas'!DJ67</f>
        <v>1.0328333333333333</v>
      </c>
      <c r="DM9" s="63">
        <f>'Raw Datas'!DK67</f>
        <v>1.5007666666666666</v>
      </c>
      <c r="DN9" s="63" t="str">
        <f>'Raw Datas'!DL67</f>
        <v>0</v>
      </c>
      <c r="DO9" s="63">
        <f>'Raw Datas'!DM67</f>
        <v>3.3772499999999996</v>
      </c>
      <c r="DP9" s="63">
        <f>'Raw Datas'!DN67</f>
        <v>2.0115166666666666</v>
      </c>
      <c r="DQ9" s="63">
        <f>'Raw Datas'!DO67</f>
        <v>5.2689500000000002</v>
      </c>
      <c r="DR9" s="63" t="str">
        <f>'Raw Datas'!DP67</f>
        <v>0</v>
      </c>
      <c r="DS9" s="63" t="str">
        <f>'Raw Datas'!DQ67</f>
        <v>0</v>
      </c>
      <c r="DT9" s="63">
        <f>'Raw Datas'!DR67</f>
        <v>1.5314833333333335</v>
      </c>
      <c r="DU9" s="63" t="str">
        <f>'Raw Datas'!DS67</f>
        <v>0</v>
      </c>
      <c r="DV9" s="63">
        <f>'Raw Datas'!DT67</f>
        <v>1.1598666666666666</v>
      </c>
      <c r="DW9" s="63">
        <f>'Raw Datas'!DU67</f>
        <v>3.8379666666666665</v>
      </c>
      <c r="DX9" s="63">
        <f>'Raw Datas'!DV67</f>
        <v>1.0676999999999999</v>
      </c>
      <c r="DY9" s="63">
        <f>'Raw Datas'!DW67</f>
        <v>0.999</v>
      </c>
      <c r="DZ9" s="63" t="str">
        <f>'Raw Datas'!DX67</f>
        <v>0</v>
      </c>
      <c r="EA9" s="63">
        <f>'Raw Datas'!DY67</f>
        <v>1.0488999999999999</v>
      </c>
      <c r="EB9" s="63">
        <f>'Raw Datas'!DZ67</f>
        <v>0.60068333333333324</v>
      </c>
      <c r="EC9" s="63">
        <f>'Raw Datas'!EA67</f>
        <v>1.1946666666666668</v>
      </c>
      <c r="ED9" s="63">
        <f>'Raw Datas'!EB67</f>
        <v>4.7552833333333338</v>
      </c>
      <c r="EE9" s="63">
        <f>'Raw Datas'!EC67</f>
        <v>0.36184999999999995</v>
      </c>
      <c r="EF9" s="63" t="str">
        <f>'Raw Datas'!ED67</f>
        <v>0</v>
      </c>
      <c r="EG9" s="63" t="str">
        <f>'Raw Datas'!EE67</f>
        <v>0</v>
      </c>
      <c r="EH9" s="63">
        <f>'Raw Datas'!EF67</f>
        <v>0.30360000000000004</v>
      </c>
      <c r="EI9" s="63">
        <f>'Raw Datas'!EG67</f>
        <v>0.46096666666666669</v>
      </c>
      <c r="EJ9" s="63">
        <f>'Raw Datas'!EH67</f>
        <v>0.60428333333333339</v>
      </c>
      <c r="EK9" s="63">
        <f>'Raw Datas'!EI67</f>
        <v>0.33565</v>
      </c>
      <c r="EL9" s="63">
        <f>'Raw Datas'!EJ67</f>
        <v>0.83050000000000002</v>
      </c>
      <c r="EM9" s="63" t="str">
        <f>'Raw Datas'!EK67</f>
        <v>0</v>
      </c>
      <c r="EN9" s="63">
        <f>'Raw Datas'!EL67</f>
        <v>0.4451</v>
      </c>
      <c r="EO9" s="63">
        <f>'Raw Datas'!EM67</f>
        <v>0.82550000000000001</v>
      </c>
      <c r="EP9" s="63">
        <f>'Raw Datas'!EN67</f>
        <v>0.55946666666666667</v>
      </c>
      <c r="EQ9" s="63" t="str">
        <f>'Raw Datas'!EO67</f>
        <v>0</v>
      </c>
      <c r="ER9" s="63">
        <f>'Raw Datas'!EP67</f>
        <v>0.43873333333333336</v>
      </c>
      <c r="ES9" s="63" t="str">
        <f>'Raw Datas'!EQ67</f>
        <v>0</v>
      </c>
      <c r="ET9" s="63">
        <f>'Raw Datas'!ER67</f>
        <v>2.2169499999999998</v>
      </c>
      <c r="EU9" s="63" t="str">
        <f>'Raw Datas'!ES67</f>
        <v>0</v>
      </c>
      <c r="EV9" s="63">
        <f>'Raw Datas'!ET67</f>
        <v>0.61759999999999993</v>
      </c>
      <c r="EW9" s="63">
        <f>'Raw Datas'!EU67</f>
        <v>1.8024999999999998</v>
      </c>
      <c r="EX9" s="63">
        <f>'Raw Datas'!EV67</f>
        <v>1.2998666666666667</v>
      </c>
      <c r="EY9" s="63" t="str">
        <f>'Raw Datas'!EW67</f>
        <v>0</v>
      </c>
      <c r="EZ9" s="63">
        <f>'Raw Datas'!EX67</f>
        <v>3.4348666666666667</v>
      </c>
      <c r="FA9" s="63">
        <f>'Raw Datas'!EY67</f>
        <v>1.5818166666666664</v>
      </c>
      <c r="FB9" s="63">
        <f>'Raw Datas'!EZ67</f>
        <v>3.8414166666666669</v>
      </c>
      <c r="FC9" s="63" t="str">
        <f>'Raw Datas'!FA67</f>
        <v>0</v>
      </c>
      <c r="FD9" s="63" t="str">
        <f>'Raw Datas'!FB67</f>
        <v>0</v>
      </c>
      <c r="FE9" s="63">
        <f>'Raw Datas'!FC67</f>
        <v>1.6433666666666666</v>
      </c>
      <c r="FF9" s="63" t="str">
        <f>'Raw Datas'!FD67</f>
        <v>0</v>
      </c>
      <c r="FG9" s="63">
        <f>'Raw Datas'!FE67</f>
        <v>0.82181666666666675</v>
      </c>
      <c r="FH9" s="63">
        <f>'Raw Datas'!FF67</f>
        <v>2.1832833333333337</v>
      </c>
      <c r="FI9" s="63">
        <f>'Raw Datas'!FG67</f>
        <v>0.4119166666666666</v>
      </c>
      <c r="FJ9" s="63">
        <f>'Raw Datas'!FH67</f>
        <v>0.42185</v>
      </c>
      <c r="FK9" s="63">
        <f>'Raw Datas'!FI67</f>
        <v>1.6161333333333332</v>
      </c>
      <c r="FL9" s="63">
        <f>'Raw Datas'!FJ67</f>
        <v>4.4556500000000003</v>
      </c>
      <c r="FM9" s="63">
        <f>'Raw Datas'!FK67</f>
        <v>10.225199999999999</v>
      </c>
      <c r="FN9" s="63">
        <f>'Raw Datas'!FL67</f>
        <v>0.44101666666666672</v>
      </c>
      <c r="FO9" s="63">
        <f>'Raw Datas'!FM67</f>
        <v>1.4871000000000001</v>
      </c>
      <c r="FP9" s="63">
        <f>'Raw Datas'!FN67</f>
        <v>0.42286666666666667</v>
      </c>
      <c r="FQ9" s="63" t="str">
        <f>'Raw Datas'!FO67</f>
        <v>0</v>
      </c>
    </row>
    <row r="10" spans="1:173" ht="15.75" customHeight="1" x14ac:dyDescent="0.2">
      <c r="A10" s="152"/>
      <c r="B10" s="97" t="s">
        <v>10</v>
      </c>
      <c r="C10" s="104" t="s">
        <v>742</v>
      </c>
      <c r="D10" s="104"/>
      <c r="E10" s="60">
        <f>'Raw Datas'!C70</f>
        <v>96.875466666666668</v>
      </c>
      <c r="F10" s="63">
        <f>'Raw Datas'!D70</f>
        <v>118.98988333333334</v>
      </c>
      <c r="G10" s="63">
        <f>'Raw Datas'!E70</f>
        <v>125.04509999999999</v>
      </c>
      <c r="H10" s="63">
        <f>'Raw Datas'!F70</f>
        <v>156.13639999999998</v>
      </c>
      <c r="I10" s="63">
        <f>'Raw Datas'!G70</f>
        <v>173.93033333333335</v>
      </c>
      <c r="J10" s="63">
        <f>'Raw Datas'!H70</f>
        <v>193.97865000000002</v>
      </c>
      <c r="K10" s="63">
        <f>'Raw Datas'!I70</f>
        <v>93.744783333333331</v>
      </c>
      <c r="L10" s="63">
        <f>'Raw Datas'!J70</f>
        <v>49.465500000000006</v>
      </c>
      <c r="M10" s="63">
        <f>'Raw Datas'!K70</f>
        <v>45.0702</v>
      </c>
      <c r="N10" s="63">
        <f>'Raw Datas'!L70</f>
        <v>145.09745000000001</v>
      </c>
      <c r="O10" s="63">
        <f>'Raw Datas'!M70</f>
        <v>40.642616666666669</v>
      </c>
      <c r="P10" s="63">
        <f>'Raw Datas'!N70</f>
        <v>225.31681666666671</v>
      </c>
      <c r="Q10" s="63">
        <f>'Raw Datas'!O70</f>
        <v>168.17400000000001</v>
      </c>
      <c r="R10" s="63">
        <f>'Raw Datas'!P70</f>
        <v>161.93221666666668</v>
      </c>
      <c r="S10" s="63">
        <f>'Raw Datas'!Q70</f>
        <v>196.14561666666668</v>
      </c>
      <c r="T10" s="63">
        <f>'Raw Datas'!R70</f>
        <v>1199.7205500000002</v>
      </c>
      <c r="U10" s="63">
        <f>'Raw Datas'!S70</f>
        <v>16.7148</v>
      </c>
      <c r="V10" s="63">
        <f>'Raw Datas'!T70</f>
        <v>63.4129</v>
      </c>
      <c r="W10" s="63">
        <f>'Raw Datas'!U70</f>
        <v>133.57703333333333</v>
      </c>
      <c r="X10" s="63">
        <f>'Raw Datas'!V70</f>
        <v>49.190466666666673</v>
      </c>
      <c r="Y10" s="63">
        <f>'Raw Datas'!W70</f>
        <v>431.78008571428569</v>
      </c>
      <c r="Z10" s="63">
        <f>'Raw Datas'!X70</f>
        <v>116.77408</v>
      </c>
      <c r="AA10" s="63">
        <f>'Raw Datas'!Y70</f>
        <v>116.19905</v>
      </c>
      <c r="AB10" s="63">
        <f>'Raw Datas'!Z70</f>
        <v>1025.1311600000001</v>
      </c>
      <c r="AC10" s="63">
        <f>'Raw Datas'!AA70</f>
        <v>46.039516666666671</v>
      </c>
      <c r="AD10" s="63">
        <f>'Raw Datas'!AB70</f>
        <v>98.415333333333336</v>
      </c>
      <c r="AE10" s="63">
        <f>'Raw Datas'!AC70</f>
        <v>69.51188333333333</v>
      </c>
      <c r="AF10" s="63">
        <f>'Raw Datas'!AD70</f>
        <v>162.15625</v>
      </c>
      <c r="AG10" s="63">
        <f>'Raw Datas'!AE70</f>
        <v>45.801699999999997</v>
      </c>
      <c r="AH10" s="63">
        <f>'Raw Datas'!AF70</f>
        <v>104.67716666666666</v>
      </c>
      <c r="AI10" s="63">
        <f>'Raw Datas'!AG70</f>
        <v>323.68610000000001</v>
      </c>
      <c r="AJ10" s="63">
        <f>'Raw Datas'!AH70</f>
        <v>65.459266666666664</v>
      </c>
      <c r="AK10" s="63">
        <f>'Raw Datas'!AI70</f>
        <v>308.17806666666667</v>
      </c>
      <c r="AL10" s="63">
        <f>'Raw Datas'!AJ70</f>
        <v>285.18389999999999</v>
      </c>
      <c r="AM10" s="63">
        <f>'Raw Datas'!AK70</f>
        <v>79.968649999999997</v>
      </c>
      <c r="AN10" s="63">
        <f>'Raw Datas'!AL70</f>
        <v>133.36949999999999</v>
      </c>
      <c r="AO10" s="63">
        <f>'Raw Datas'!AM70</f>
        <v>254.16910000000001</v>
      </c>
      <c r="AP10" s="63">
        <f>'Raw Datas'!AN70</f>
        <v>133.45201666666665</v>
      </c>
      <c r="AQ10" s="63">
        <f>'Raw Datas'!AO70</f>
        <v>30.750399999999999</v>
      </c>
      <c r="AR10" s="63">
        <f>'Raw Datas'!AP70</f>
        <v>179.95054999999999</v>
      </c>
      <c r="AS10" s="63">
        <f>'Raw Datas'!AQ70</f>
        <v>221.44746666666666</v>
      </c>
      <c r="AT10" s="63">
        <f>'Raw Datas'!AR70</f>
        <v>102.22284999999998</v>
      </c>
      <c r="AU10" s="63">
        <f>'Raw Datas'!AS70</f>
        <v>1541.3184833333335</v>
      </c>
      <c r="AV10" s="63">
        <f>'Raw Datas'!AT70</f>
        <v>348.89668333333333</v>
      </c>
      <c r="AW10" s="63">
        <f>'Raw Datas'!AU70</f>
        <v>59.576880000000003</v>
      </c>
      <c r="AX10" s="63">
        <f>'Raw Datas'!AV70</f>
        <v>18.45636</v>
      </c>
      <c r="AY10" s="63">
        <f>'Raw Datas'!AW70</f>
        <v>99.323816666666673</v>
      </c>
      <c r="AZ10" s="63">
        <f>'Raw Datas'!AX70</f>
        <v>154.27348333333333</v>
      </c>
      <c r="BA10" s="63">
        <f>'Raw Datas'!AY70</f>
        <v>336.14206666666666</v>
      </c>
      <c r="BB10" s="63">
        <f>'Raw Datas'!AZ70</f>
        <v>14.536016666666665</v>
      </c>
      <c r="BC10" s="63">
        <f>'Raw Datas'!BA70</f>
        <v>88.255700000000004</v>
      </c>
      <c r="BD10" s="63">
        <f>'Raw Datas'!BB70</f>
        <v>42.485900000000001</v>
      </c>
      <c r="BE10" s="63">
        <f>'Raw Datas'!BC70</f>
        <v>211.34151666666668</v>
      </c>
      <c r="BF10" s="63">
        <f>'Raw Datas'!BD70</f>
        <v>205.29680000000002</v>
      </c>
      <c r="BG10" s="63">
        <f>'Raw Datas'!BE70</f>
        <v>20.31015</v>
      </c>
      <c r="BH10" s="63">
        <f>'Raw Datas'!BF70</f>
        <v>438.77215000000001</v>
      </c>
      <c r="BI10" s="63">
        <f>'Raw Datas'!BG70</f>
        <v>42.308616666666666</v>
      </c>
      <c r="BJ10" s="63">
        <f>'Raw Datas'!BH70</f>
        <v>357.05779999999993</v>
      </c>
      <c r="BK10" s="63">
        <f>'Raw Datas'!BI70</f>
        <v>380.58443333333338</v>
      </c>
      <c r="BL10" s="63">
        <f>'Raw Datas'!BJ70</f>
        <v>743.57584999999995</v>
      </c>
      <c r="BM10" s="63">
        <f>'Raw Datas'!BK70</f>
        <v>388.68473333333338</v>
      </c>
      <c r="BN10" s="63">
        <f>'Raw Datas'!BL70</f>
        <v>2311.3289500000001</v>
      </c>
      <c r="BO10" s="63">
        <f>'Raw Datas'!BM70</f>
        <v>877.3998857142858</v>
      </c>
      <c r="BP10" s="63">
        <f>'Raw Datas'!BN70</f>
        <v>2309.7009666666663</v>
      </c>
      <c r="BQ10" s="63">
        <f>'Raw Datas'!BO70</f>
        <v>1768.2849999999999</v>
      </c>
      <c r="BR10" s="63">
        <f>'Raw Datas'!BP70</f>
        <v>1754.8267499999999</v>
      </c>
      <c r="BS10" s="63">
        <f>'Raw Datas'!BQ70</f>
        <v>518.75113333333331</v>
      </c>
      <c r="BT10" s="63">
        <f>'Raw Datas'!BR70</f>
        <v>113.59911428571429</v>
      </c>
      <c r="BU10" s="63">
        <f>'Raw Datas'!BS70</f>
        <v>1416.2715666666666</v>
      </c>
      <c r="BV10" s="63">
        <f>'Raw Datas'!BT70</f>
        <v>1005.6605333333333</v>
      </c>
      <c r="BW10" s="63">
        <f>'Raw Datas'!BU70</f>
        <v>344.64445000000001</v>
      </c>
      <c r="BX10" s="63">
        <f>'Raw Datas'!BV70</f>
        <v>245.23633333333331</v>
      </c>
      <c r="BY10" s="63">
        <f>'Raw Datas'!BW70</f>
        <v>390.09896666666668</v>
      </c>
      <c r="BZ10" s="63">
        <f>'Raw Datas'!BX70</f>
        <v>109.06278333333333</v>
      </c>
      <c r="CA10" s="63">
        <f>'Raw Datas'!BY70</f>
        <v>277.6807</v>
      </c>
      <c r="CB10" s="63">
        <f>'Raw Datas'!BZ70</f>
        <v>180.84933333333331</v>
      </c>
      <c r="CC10" s="63">
        <f>'Raw Datas'!CA70</f>
        <v>254.17478333333335</v>
      </c>
      <c r="CD10" s="63">
        <f>'Raw Datas'!CB70</f>
        <v>188.79878333333332</v>
      </c>
      <c r="CE10" s="63">
        <f>'Raw Datas'!CC70</f>
        <v>218.02423333333337</v>
      </c>
      <c r="CF10" s="63">
        <f>'Raw Datas'!CD70</f>
        <v>115.0843</v>
      </c>
      <c r="CG10" s="63">
        <f>'Raw Datas'!CE70</f>
        <v>790.79500000000007</v>
      </c>
      <c r="CH10" s="63">
        <f>'Raw Datas'!CF70</f>
        <v>73.402383333333333</v>
      </c>
      <c r="CI10" s="63">
        <f>'Raw Datas'!CG70</f>
        <v>81.481416666666675</v>
      </c>
      <c r="CJ10" s="63">
        <f>'Raw Datas'!CH70</f>
        <v>33.093499999999999</v>
      </c>
      <c r="CK10" s="63">
        <f>'Raw Datas'!CI70</f>
        <v>143.77553333333333</v>
      </c>
      <c r="CL10" s="63">
        <f>'Raw Datas'!CJ70</f>
        <v>202.09326666666666</v>
      </c>
      <c r="CM10" s="63">
        <f>'Raw Datas'!CK70</f>
        <v>22.660000000000004</v>
      </c>
      <c r="CN10" s="63">
        <f>'Raw Datas'!CL70</f>
        <v>87.073933333333329</v>
      </c>
      <c r="CO10" s="63">
        <f>'Raw Datas'!CM70</f>
        <v>45.765816666666666</v>
      </c>
      <c r="CP10" s="63">
        <f>'Raw Datas'!CN70</f>
        <v>19.923499999999997</v>
      </c>
      <c r="CQ10" s="63">
        <f>'Raw Datas'!CO70</f>
        <v>62.461699999999993</v>
      </c>
      <c r="CR10" s="63">
        <f>'Raw Datas'!CP70</f>
        <v>156.93019999999999</v>
      </c>
      <c r="CS10" s="63">
        <f>'Raw Datas'!CQ70</f>
        <v>230.30600000000001</v>
      </c>
      <c r="CT10" s="63">
        <f>'Raw Datas'!CR70</f>
        <v>104.69818333333335</v>
      </c>
      <c r="CU10" s="63">
        <f>'Raw Datas'!CS70</f>
        <v>26.097383333333333</v>
      </c>
      <c r="CV10" s="63">
        <f>'Raw Datas'!CT70</f>
        <v>23.582583333333332</v>
      </c>
      <c r="CW10" s="63">
        <f>'Raw Datas'!CU70</f>
        <v>117.50406666666667</v>
      </c>
      <c r="CX10" s="63">
        <f>'Raw Datas'!CV70</f>
        <v>546.16430000000003</v>
      </c>
      <c r="CY10" s="63">
        <f>'Raw Datas'!CW70</f>
        <v>70.250550000000004</v>
      </c>
      <c r="CZ10" s="63">
        <f>'Raw Datas'!CX70</f>
        <v>16.011599999999998</v>
      </c>
      <c r="DA10" s="63">
        <f>'Raw Datas'!CY70</f>
        <v>256.5185166666667</v>
      </c>
      <c r="DB10" s="63">
        <f>'Raw Datas'!CZ70</f>
        <v>91.768550000000005</v>
      </c>
      <c r="DC10" s="63">
        <f>'Raw Datas'!DA70</f>
        <v>24.089183333333335</v>
      </c>
      <c r="DD10" s="63">
        <f>'Raw Datas'!DB70</f>
        <v>262.94265000000001</v>
      </c>
      <c r="DE10" s="63">
        <f>'Raw Datas'!DC70</f>
        <v>163.02405000000002</v>
      </c>
      <c r="DF10" s="63">
        <f>'Raw Datas'!DD70</f>
        <v>32.755850000000002</v>
      </c>
      <c r="DG10" s="63">
        <f>'Raw Datas'!DE70</f>
        <v>129.58323333333334</v>
      </c>
      <c r="DH10" s="63">
        <f>'Raw Datas'!DF70</f>
        <v>83.315133333333335</v>
      </c>
      <c r="DI10" s="63">
        <f>'Raw Datas'!DG70</f>
        <v>306.97133333333329</v>
      </c>
      <c r="DJ10" s="63">
        <f>'Raw Datas'!DH70</f>
        <v>17.121316666666665</v>
      </c>
      <c r="DK10" s="63">
        <f>'Raw Datas'!DI70</f>
        <v>124.07951666666666</v>
      </c>
      <c r="DL10" s="63">
        <f>'Raw Datas'!DJ70</f>
        <v>394.17758333333336</v>
      </c>
      <c r="DM10" s="63">
        <f>'Raw Datas'!DK70</f>
        <v>325.74871666666667</v>
      </c>
      <c r="DN10" s="63">
        <f>'Raw Datas'!DL70</f>
        <v>55.981350000000006</v>
      </c>
      <c r="DO10" s="63">
        <f>'Raw Datas'!DM70</f>
        <v>61.475699999999996</v>
      </c>
      <c r="DP10" s="63">
        <f>'Raw Datas'!DN70</f>
        <v>271.40213333333332</v>
      </c>
      <c r="DQ10" s="63">
        <f>'Raw Datas'!DO70</f>
        <v>305.61849999999998</v>
      </c>
      <c r="DR10" s="63">
        <f>'Raw Datas'!DP70</f>
        <v>74.946416666666664</v>
      </c>
      <c r="DS10" s="63">
        <f>'Raw Datas'!DQ70</f>
        <v>63.543066666666661</v>
      </c>
      <c r="DT10" s="63">
        <f>'Raw Datas'!DR70</f>
        <v>31.706149999999997</v>
      </c>
      <c r="DU10" s="63">
        <f>'Raw Datas'!DS70</f>
        <v>73.040533333333329</v>
      </c>
      <c r="DV10" s="63">
        <f>'Raw Datas'!DT70</f>
        <v>105.61505000000001</v>
      </c>
      <c r="DW10" s="63">
        <f>'Raw Datas'!DU70</f>
        <v>249.49056666666669</v>
      </c>
      <c r="DX10" s="63">
        <f>'Raw Datas'!DV70</f>
        <v>83.291883333333331</v>
      </c>
      <c r="DY10" s="63">
        <f>'Raw Datas'!DW70</f>
        <v>74.94338333333333</v>
      </c>
      <c r="DZ10" s="63">
        <f>'Raw Datas'!DX70</f>
        <v>188.69903333333332</v>
      </c>
      <c r="EA10" s="63">
        <f>'Raw Datas'!DY70</f>
        <v>112.97154999999999</v>
      </c>
      <c r="EB10" s="63">
        <f>'Raw Datas'!DZ70</f>
        <v>248.91913333333332</v>
      </c>
      <c r="EC10" s="63">
        <f>'Raw Datas'!EA70</f>
        <v>83.908933333333337</v>
      </c>
      <c r="ED10" s="63">
        <f>'Raw Datas'!EB70</f>
        <v>23.078583333333331</v>
      </c>
      <c r="EE10" s="63">
        <f>'Raw Datas'!EC70</f>
        <v>85.300966666666667</v>
      </c>
      <c r="EF10" s="63">
        <f>'Raw Datas'!ED70</f>
        <v>101.32588333333334</v>
      </c>
      <c r="EG10" s="63">
        <f>'Raw Datas'!EE70</f>
        <v>82.642466666666664</v>
      </c>
      <c r="EH10" s="63">
        <f>'Raw Datas'!EF70</f>
        <v>113.31355000000001</v>
      </c>
      <c r="EI10" s="63">
        <f>'Raw Datas'!EG70</f>
        <v>142.68658333333332</v>
      </c>
      <c r="EJ10" s="63">
        <f>'Raw Datas'!EH70</f>
        <v>252.44239999999996</v>
      </c>
      <c r="EK10" s="63">
        <f>'Raw Datas'!EI70</f>
        <v>26.569366666666667</v>
      </c>
      <c r="EL10" s="63">
        <f>'Raw Datas'!EJ70</f>
        <v>144.53558333333334</v>
      </c>
      <c r="EM10" s="63">
        <f>'Raw Datas'!EK70</f>
        <v>252.17774999999997</v>
      </c>
      <c r="EN10" s="63">
        <f>'Raw Datas'!EL70</f>
        <v>313.73031666666668</v>
      </c>
      <c r="EO10" s="63">
        <f>'Raw Datas'!EM70</f>
        <v>20.819166666666668</v>
      </c>
      <c r="EP10" s="63">
        <f>'Raw Datas'!EN70</f>
        <v>229.30823333333333</v>
      </c>
      <c r="EQ10" s="63">
        <f>'Raw Datas'!EO70</f>
        <v>81.124916666666664</v>
      </c>
      <c r="ER10" s="63">
        <f>'Raw Datas'!EP70</f>
        <v>182.49086666666668</v>
      </c>
      <c r="ES10" s="63">
        <f>'Raw Datas'!EQ70</f>
        <v>55.233116666666668</v>
      </c>
      <c r="ET10" s="63">
        <f>'Raw Datas'!ER70</f>
        <v>82.242300000000014</v>
      </c>
      <c r="EU10" s="63">
        <f>'Raw Datas'!ES70</f>
        <v>76.975766666666672</v>
      </c>
      <c r="EV10" s="63">
        <f>'Raw Datas'!ET70</f>
        <v>142.31935000000001</v>
      </c>
      <c r="EW10" s="63">
        <f>'Raw Datas'!EU70</f>
        <v>198.57679999999999</v>
      </c>
      <c r="EX10" s="63">
        <f>'Raw Datas'!EV70</f>
        <v>133.25809999999998</v>
      </c>
      <c r="EY10" s="63">
        <f>'Raw Datas'!EW70</f>
        <v>122.38018333333335</v>
      </c>
      <c r="EZ10" s="63">
        <f>'Raw Datas'!EX70</f>
        <v>181.64563333333336</v>
      </c>
      <c r="FA10" s="63">
        <f>'Raw Datas'!EY70</f>
        <v>36.389483333333338</v>
      </c>
      <c r="FB10" s="63">
        <f>'Raw Datas'!EZ70</f>
        <v>19.331466666666664</v>
      </c>
      <c r="FC10" s="63">
        <f>'Raw Datas'!FA70</f>
        <v>29.214416666666661</v>
      </c>
      <c r="FD10" s="63">
        <f>'Raw Datas'!FB70</f>
        <v>85.616216666666659</v>
      </c>
      <c r="FE10" s="63">
        <f>'Raw Datas'!FC70</f>
        <v>59.616216666666666</v>
      </c>
      <c r="FF10" s="63">
        <f>'Raw Datas'!FD70</f>
        <v>218.3559166666667</v>
      </c>
      <c r="FG10" s="63">
        <f>'Raw Datas'!FE70</f>
        <v>111.68713333333334</v>
      </c>
      <c r="FH10" s="63">
        <f>'Raw Datas'!FF70</f>
        <v>204.27706666666666</v>
      </c>
      <c r="FI10" s="63">
        <f>'Raw Datas'!FG70</f>
        <v>41.275049999999993</v>
      </c>
      <c r="FJ10" s="63">
        <f>'Raw Datas'!FH70</f>
        <v>87.794900000000013</v>
      </c>
      <c r="FK10" s="63">
        <f>'Raw Datas'!FI70</f>
        <v>250.75799999999998</v>
      </c>
      <c r="FL10" s="63">
        <f>'Raw Datas'!FJ70</f>
        <v>50.098316666666662</v>
      </c>
      <c r="FM10" s="63">
        <f>'Raw Datas'!FK70</f>
        <v>34.865733333333331</v>
      </c>
      <c r="FN10" s="63">
        <f>'Raw Datas'!FL70</f>
        <v>5.5661166666666677</v>
      </c>
      <c r="FO10" s="63">
        <f>'Raw Datas'!FM70</f>
        <v>11.948700000000001</v>
      </c>
      <c r="FP10" s="63">
        <f>'Raw Datas'!FN70</f>
        <v>97.012750000000011</v>
      </c>
      <c r="FQ10" s="63">
        <f>'Raw Datas'!FO70</f>
        <v>28.531366666666667</v>
      </c>
    </row>
    <row r="11" spans="1:173" ht="15.75" customHeight="1" x14ac:dyDescent="0.2">
      <c r="A11" s="152"/>
      <c r="B11" s="97" t="s">
        <v>14</v>
      </c>
      <c r="C11" s="104" t="s">
        <v>743</v>
      </c>
      <c r="D11" s="104"/>
      <c r="E11" s="60">
        <f>'Raw Datas'!C71</f>
        <v>5.1227499999999999</v>
      </c>
      <c r="F11" s="63">
        <f>'Raw Datas'!D71</f>
        <v>11.544283333333333</v>
      </c>
      <c r="G11" s="63">
        <f>'Raw Datas'!E71</f>
        <v>3.9440499999999998</v>
      </c>
      <c r="H11" s="63">
        <f>'Raw Datas'!F71</f>
        <v>11.911616666666667</v>
      </c>
      <c r="I11" s="63">
        <f>'Raw Datas'!G71</f>
        <v>7.9660833333333336</v>
      </c>
      <c r="J11" s="63">
        <f>'Raw Datas'!H71</f>
        <v>12.411300000000001</v>
      </c>
      <c r="K11" s="63">
        <f>'Raw Datas'!I71</f>
        <v>13.142166666666666</v>
      </c>
      <c r="L11" s="63">
        <f>'Raw Datas'!J71</f>
        <v>7.8844666666666674</v>
      </c>
      <c r="M11" s="63">
        <f>'Raw Datas'!K71</f>
        <v>6.4571166666666668</v>
      </c>
      <c r="N11" s="63">
        <f>'Raw Datas'!L71</f>
        <v>16.568716666666667</v>
      </c>
      <c r="O11" s="63">
        <f>'Raw Datas'!M71</f>
        <v>4.7501666666666669</v>
      </c>
      <c r="P11" s="63">
        <f>'Raw Datas'!N71</f>
        <v>8.940316666666666</v>
      </c>
      <c r="Q11" s="63">
        <f>'Raw Datas'!O71</f>
        <v>10.454033333333335</v>
      </c>
      <c r="R11" s="63">
        <f>'Raw Datas'!P71</f>
        <v>11.161283333333332</v>
      </c>
      <c r="S11" s="63">
        <f>'Raw Datas'!Q71</f>
        <v>6.681116666666667</v>
      </c>
      <c r="T11" s="63">
        <f>'Raw Datas'!R71</f>
        <v>60.126549999999995</v>
      </c>
      <c r="U11" s="63">
        <f>'Raw Datas'!S71</f>
        <v>6.3704333333333336</v>
      </c>
      <c r="V11" s="63">
        <f>'Raw Datas'!T71</f>
        <v>3.0799500000000006</v>
      </c>
      <c r="W11" s="63">
        <f>'Raw Datas'!U71</f>
        <v>6.9404166666666658</v>
      </c>
      <c r="X11" s="63">
        <f>'Raw Datas'!V71</f>
        <v>2.8482500000000002</v>
      </c>
      <c r="Y11" s="63">
        <f>'Raw Datas'!W71</f>
        <v>22.416799999999999</v>
      </c>
      <c r="Z11" s="63">
        <f>'Raw Datas'!X71</f>
        <v>12.516439999999999</v>
      </c>
      <c r="AA11" s="63">
        <f>'Raw Datas'!Y71</f>
        <v>12.222900000000001</v>
      </c>
      <c r="AB11" s="63">
        <f>'Raw Datas'!Z71</f>
        <v>74.304540000000003</v>
      </c>
      <c r="AC11" s="63">
        <f>'Raw Datas'!AA71</f>
        <v>4.4564000000000004</v>
      </c>
      <c r="AD11" s="63">
        <f>'Raw Datas'!AB71</f>
        <v>13.414733333333334</v>
      </c>
      <c r="AE11" s="63">
        <f>'Raw Datas'!AC71</f>
        <v>10.789499999999999</v>
      </c>
      <c r="AF11" s="63">
        <f>'Raw Datas'!AD71</f>
        <v>5.0983000000000001</v>
      </c>
      <c r="AG11" s="63">
        <f>'Raw Datas'!AE71</f>
        <v>3.3539499999999998</v>
      </c>
      <c r="AH11" s="63">
        <f>'Raw Datas'!AF71</f>
        <v>5.9813999999999989</v>
      </c>
      <c r="AI11" s="63">
        <f>'Raw Datas'!AG71</f>
        <v>22.491933333333336</v>
      </c>
      <c r="AJ11" s="63">
        <f>'Raw Datas'!AH71</f>
        <v>4.7712166666666667</v>
      </c>
      <c r="AK11" s="63">
        <f>'Raw Datas'!AI71</f>
        <v>13.815850000000001</v>
      </c>
      <c r="AL11" s="63">
        <f>'Raw Datas'!AJ71</f>
        <v>13.566366666666665</v>
      </c>
      <c r="AM11" s="63">
        <f>'Raw Datas'!AK71</f>
        <v>6.9360999999999997</v>
      </c>
      <c r="AN11" s="63">
        <f>'Raw Datas'!AL71</f>
        <v>6.1569833333333328</v>
      </c>
      <c r="AO11" s="63">
        <f>'Raw Datas'!AM71</f>
        <v>19.323950000000004</v>
      </c>
      <c r="AP11" s="63">
        <f>'Raw Datas'!AN71</f>
        <v>9.3495666666666679</v>
      </c>
      <c r="AQ11" s="63">
        <f>'Raw Datas'!AO71</f>
        <v>4.8732499999999996</v>
      </c>
      <c r="AR11" s="63">
        <f>'Raw Datas'!AP71</f>
        <v>4.3388499999999999</v>
      </c>
      <c r="AS11" s="63">
        <f>'Raw Datas'!AQ71</f>
        <v>11.781883333333333</v>
      </c>
      <c r="AT11" s="63">
        <f>'Raw Datas'!AR71</f>
        <v>4.0019499999999999</v>
      </c>
      <c r="AU11" s="63">
        <f>'Raw Datas'!AS71</f>
        <v>30.702216666666668</v>
      </c>
      <c r="AV11" s="63">
        <f>'Raw Datas'!AT71</f>
        <v>14.598800000000001</v>
      </c>
      <c r="AW11" s="63">
        <f>'Raw Datas'!AU71</f>
        <v>1.9552800000000001</v>
      </c>
      <c r="AX11" s="63">
        <f>'Raw Datas'!AV71</f>
        <v>4.0258399999999996</v>
      </c>
      <c r="AY11" s="63">
        <f>'Raw Datas'!AW71</f>
        <v>3.6421333333333332</v>
      </c>
      <c r="AZ11" s="63">
        <f>'Raw Datas'!AX71</f>
        <v>4.8273333333333328</v>
      </c>
      <c r="BA11" s="63">
        <f>'Raw Datas'!AY71</f>
        <v>7.9563166666666669</v>
      </c>
      <c r="BB11" s="63">
        <f>'Raw Datas'!AZ71</f>
        <v>1.4800833333333332</v>
      </c>
      <c r="BC11" s="63">
        <f>'Raw Datas'!BA71</f>
        <v>5.4782833333333336</v>
      </c>
      <c r="BD11" s="63">
        <f>'Raw Datas'!BB71</f>
        <v>3.1761166666666667</v>
      </c>
      <c r="BE11" s="63">
        <f>'Raw Datas'!BC71</f>
        <v>4.2630166666666671</v>
      </c>
      <c r="BF11" s="63">
        <f>'Raw Datas'!BD71</f>
        <v>5.5551333333333339</v>
      </c>
      <c r="BG11" s="63">
        <f>'Raw Datas'!BE71</f>
        <v>2.863633333333333</v>
      </c>
      <c r="BH11" s="63">
        <f>'Raw Datas'!BF71</f>
        <v>9.0152999999999999</v>
      </c>
      <c r="BI11" s="63">
        <f>'Raw Datas'!BG71</f>
        <v>1.4133333333333336</v>
      </c>
      <c r="BJ11" s="63">
        <f>'Raw Datas'!BH71</f>
        <v>16.243649999999999</v>
      </c>
      <c r="BK11" s="63">
        <f>'Raw Datas'!BI71</f>
        <v>29.8309</v>
      </c>
      <c r="BL11" s="63">
        <f>'Raw Datas'!BJ71</f>
        <v>37.944383333333334</v>
      </c>
      <c r="BM11" s="63">
        <f>'Raw Datas'!BK71</f>
        <v>25.1311</v>
      </c>
      <c r="BN11" s="63">
        <f>'Raw Datas'!BL71</f>
        <v>258.91165000000001</v>
      </c>
      <c r="BO11" s="63">
        <f>'Raw Datas'!BM71</f>
        <v>229.25377142857141</v>
      </c>
      <c r="BP11" s="63">
        <f>'Raw Datas'!BN71</f>
        <v>258.38666666666666</v>
      </c>
      <c r="BQ11" s="63">
        <f>'Raw Datas'!BO71</f>
        <v>142.79788333333332</v>
      </c>
      <c r="BR11" s="63">
        <f>'Raw Datas'!BP71</f>
        <v>136.25606666666667</v>
      </c>
      <c r="BS11" s="63">
        <f>'Raw Datas'!BQ71</f>
        <v>33.309033333333332</v>
      </c>
      <c r="BT11" s="63">
        <f>'Raw Datas'!BR71</f>
        <v>9.6425714285714292</v>
      </c>
      <c r="BU11" s="63">
        <f>'Raw Datas'!BS71</f>
        <v>243.05183333333332</v>
      </c>
      <c r="BV11" s="63">
        <f>'Raw Datas'!BT71</f>
        <v>74.041250000000005</v>
      </c>
      <c r="BW11" s="63">
        <f>'Raw Datas'!BU71</f>
        <v>35.93085</v>
      </c>
      <c r="BX11" s="63">
        <f>'Raw Datas'!BV71</f>
        <v>36.27055</v>
      </c>
      <c r="BY11" s="63">
        <f>'Raw Datas'!BW71</f>
        <v>15.773099999999999</v>
      </c>
      <c r="BZ11" s="63">
        <f>'Raw Datas'!BX71</f>
        <v>4.3901833333333338</v>
      </c>
      <c r="CA11" s="63">
        <f>'Raw Datas'!BY71</f>
        <v>48.254466666666666</v>
      </c>
      <c r="CB11" s="63">
        <f>'Raw Datas'!BZ71</f>
        <v>24.431049999999995</v>
      </c>
      <c r="CC11" s="63">
        <f>'Raw Datas'!CA71</f>
        <v>20.681449999999998</v>
      </c>
      <c r="CD11" s="63">
        <f>'Raw Datas'!CB71</f>
        <v>8.5188500000000005</v>
      </c>
      <c r="CE11" s="63">
        <f>'Raw Datas'!CC71</f>
        <v>13.411966666666668</v>
      </c>
      <c r="CF11" s="63">
        <f>'Raw Datas'!CD71</f>
        <v>5.6875999999999998</v>
      </c>
      <c r="CG11" s="63">
        <f>'Raw Datas'!CE71</f>
        <v>46.346216666666663</v>
      </c>
      <c r="CH11" s="63">
        <f>'Raw Datas'!CF71</f>
        <v>3.4651666666666667</v>
      </c>
      <c r="CI11" s="63">
        <f>'Raw Datas'!CG71</f>
        <v>4.3594166666666663</v>
      </c>
      <c r="CJ11" s="63">
        <f>'Raw Datas'!CH71</f>
        <v>3.4619666666666666</v>
      </c>
      <c r="CK11" s="63">
        <f>'Raw Datas'!CI71</f>
        <v>14.682600000000001</v>
      </c>
      <c r="CL11" s="63">
        <f>'Raw Datas'!CJ71</f>
        <v>4.3516000000000004</v>
      </c>
      <c r="CM11" s="63">
        <f>'Raw Datas'!CK71</f>
        <v>6.1311666666666671</v>
      </c>
      <c r="CN11" s="63">
        <f>'Raw Datas'!CL71</f>
        <v>12.245216666666666</v>
      </c>
      <c r="CO11" s="63">
        <f>'Raw Datas'!CM71</f>
        <v>7.6308333333333325</v>
      </c>
      <c r="CP11" s="63">
        <f>'Raw Datas'!CN71</f>
        <v>3.1765666666666665</v>
      </c>
      <c r="CQ11" s="63">
        <f>'Raw Datas'!CO71</f>
        <v>6.6954333333333329</v>
      </c>
      <c r="CR11" s="63">
        <f>'Raw Datas'!CP71</f>
        <v>10.226166666666666</v>
      </c>
      <c r="CS11" s="63">
        <f>'Raw Datas'!CQ71</f>
        <v>17.604966666666666</v>
      </c>
      <c r="CT11" s="63">
        <f>'Raw Datas'!CR71</f>
        <v>14.423533333333333</v>
      </c>
      <c r="CU11" s="63">
        <f>'Raw Datas'!CS71</f>
        <v>5.0686833333333334</v>
      </c>
      <c r="CV11" s="63">
        <f>'Raw Datas'!CT71</f>
        <v>4.6686666666666667</v>
      </c>
      <c r="CW11" s="63">
        <f>'Raw Datas'!CU71</f>
        <v>10.534233333333333</v>
      </c>
      <c r="CX11" s="63">
        <f>'Raw Datas'!CV71</f>
        <v>10.077833333333333</v>
      </c>
      <c r="CY11" s="63">
        <f>'Raw Datas'!CW71</f>
        <v>6.6107833333333339</v>
      </c>
      <c r="CZ11" s="63">
        <f>'Raw Datas'!CX71</f>
        <v>2.1109833333333334</v>
      </c>
      <c r="DA11" s="63">
        <f>'Raw Datas'!CY71</f>
        <v>6.8549500000000005</v>
      </c>
      <c r="DB11" s="63">
        <f>'Raw Datas'!CZ71</f>
        <v>2.4981333333333335</v>
      </c>
      <c r="DC11" s="63">
        <f>'Raw Datas'!DA71</f>
        <v>2.4120833333333334</v>
      </c>
      <c r="DD11" s="63">
        <f>'Raw Datas'!DB71</f>
        <v>15.348050000000001</v>
      </c>
      <c r="DE11" s="63">
        <f>'Raw Datas'!DC71</f>
        <v>9.7645500000000016</v>
      </c>
      <c r="DF11" s="63">
        <f>'Raw Datas'!DD71</f>
        <v>9.8413000000000004</v>
      </c>
      <c r="DG11" s="63">
        <f>'Raw Datas'!DE71</f>
        <v>8.2931499999999989</v>
      </c>
      <c r="DH11" s="63">
        <f>'Raw Datas'!DF71</f>
        <v>6.5299333333333331</v>
      </c>
      <c r="DI11" s="63">
        <f>'Raw Datas'!DG71</f>
        <v>15.088516666666665</v>
      </c>
      <c r="DJ11" s="63">
        <f>'Raw Datas'!DH71</f>
        <v>1.7356833333333332</v>
      </c>
      <c r="DK11" s="63">
        <f>'Raw Datas'!DI71</f>
        <v>6.7020333333333335</v>
      </c>
      <c r="DL11" s="63">
        <f>'Raw Datas'!DJ71</f>
        <v>18.423199999999998</v>
      </c>
      <c r="DM11" s="63">
        <f>'Raw Datas'!DK71</f>
        <v>18.30855</v>
      </c>
      <c r="DN11" s="63">
        <f>'Raw Datas'!DL71</f>
        <v>4.4598500000000003</v>
      </c>
      <c r="DO11" s="63">
        <f>'Raw Datas'!DM71</f>
        <v>10.7155</v>
      </c>
      <c r="DP11" s="63">
        <f>'Raw Datas'!DN71</f>
        <v>21.414550000000002</v>
      </c>
      <c r="DQ11" s="63">
        <f>'Raw Datas'!DO71</f>
        <v>20.809816666666666</v>
      </c>
      <c r="DR11" s="63">
        <f>'Raw Datas'!DP71</f>
        <v>3.4028666666666672</v>
      </c>
      <c r="DS11" s="63">
        <f>'Raw Datas'!DQ71</f>
        <v>6.0826500000000001</v>
      </c>
      <c r="DT11" s="63">
        <f>'Raw Datas'!DR71</f>
        <v>5.1641333333333339</v>
      </c>
      <c r="DU11" s="63">
        <f>'Raw Datas'!DS71</f>
        <v>4.0095000000000001</v>
      </c>
      <c r="DV11" s="63">
        <f>'Raw Datas'!DT71</f>
        <v>6.2557666666666671</v>
      </c>
      <c r="DW11" s="63">
        <f>'Raw Datas'!DU71</f>
        <v>21.165416666666669</v>
      </c>
      <c r="DX11" s="63">
        <f>'Raw Datas'!DV71</f>
        <v>5.2678166666666666</v>
      </c>
      <c r="DY11" s="63">
        <f>'Raw Datas'!DW71</f>
        <v>5.4405500000000009</v>
      </c>
      <c r="DZ11" s="63">
        <f>'Raw Datas'!DX71</f>
        <v>4.6917833333333334</v>
      </c>
      <c r="EA11" s="63">
        <f>'Raw Datas'!DY71</f>
        <v>11.6869</v>
      </c>
      <c r="EB11" s="63">
        <f>'Raw Datas'!DZ71</f>
        <v>7.2564500000000001</v>
      </c>
      <c r="EC11" s="63">
        <f>'Raw Datas'!EA71</f>
        <v>6.8685166666666664</v>
      </c>
      <c r="ED11" s="63">
        <f>'Raw Datas'!EB71</f>
        <v>6.3657500000000002</v>
      </c>
      <c r="EE11" s="63">
        <f>'Raw Datas'!EC71</f>
        <v>5.0129999999999999</v>
      </c>
      <c r="EF11" s="63">
        <f>'Raw Datas'!ED71</f>
        <v>6.4125499999999995</v>
      </c>
      <c r="EG11" s="63">
        <f>'Raw Datas'!EE71</f>
        <v>3.4882833333333334</v>
      </c>
      <c r="EH11" s="63">
        <f>'Raw Datas'!EF71</f>
        <v>5.3078500000000002</v>
      </c>
      <c r="EI11" s="63">
        <f>'Raw Datas'!EG71</f>
        <v>4.4604999999999997</v>
      </c>
      <c r="EJ11" s="63">
        <f>'Raw Datas'!EH71</f>
        <v>6.6306833333333337</v>
      </c>
      <c r="EK11" s="63">
        <f>'Raw Datas'!EI71</f>
        <v>0.91484999999999994</v>
      </c>
      <c r="EL11" s="63">
        <f>'Raw Datas'!EJ71</f>
        <v>5.0029333333333339</v>
      </c>
      <c r="EM11" s="63">
        <f>'Raw Datas'!EK71</f>
        <v>11.142983333333332</v>
      </c>
      <c r="EN11" s="63">
        <f>'Raw Datas'!EL71</f>
        <v>9.515366666666667</v>
      </c>
      <c r="EO11" s="63">
        <f>'Raw Datas'!EM71</f>
        <v>3.0046999999999997</v>
      </c>
      <c r="EP11" s="63">
        <f>'Raw Datas'!EN71</f>
        <v>8.2377166666666657</v>
      </c>
      <c r="EQ11" s="63">
        <f>'Raw Datas'!EO71</f>
        <v>8.6413333333333338</v>
      </c>
      <c r="ER11" s="63">
        <f>'Raw Datas'!EP71</f>
        <v>6.4109166666666662</v>
      </c>
      <c r="ES11" s="63">
        <f>'Raw Datas'!EQ71</f>
        <v>5.9122500000000002</v>
      </c>
      <c r="ET11" s="63">
        <f>'Raw Datas'!ER71</f>
        <v>8.580916666666667</v>
      </c>
      <c r="EU11" s="63">
        <f>'Raw Datas'!ES71</f>
        <v>7.3613833333333334</v>
      </c>
      <c r="EV11" s="63">
        <f>'Raw Datas'!ET71</f>
        <v>6.1471666666666671</v>
      </c>
      <c r="EW11" s="63">
        <f>'Raw Datas'!EU71</f>
        <v>9.0227166666666658</v>
      </c>
      <c r="EX11" s="63">
        <f>'Raw Datas'!EV71</f>
        <v>6.9765833333333331</v>
      </c>
      <c r="EY11" s="63">
        <f>'Raw Datas'!EW71</f>
        <v>4.3586166666666664</v>
      </c>
      <c r="EZ11" s="63">
        <f>'Raw Datas'!EX71</f>
        <v>17.989316666666664</v>
      </c>
      <c r="FA11" s="63">
        <f>'Raw Datas'!EY71</f>
        <v>9.7361500000000003</v>
      </c>
      <c r="FB11" s="63">
        <f>'Raw Datas'!EZ71</f>
        <v>4.2618333333333336</v>
      </c>
      <c r="FC11" s="63">
        <f>'Raw Datas'!FA71</f>
        <v>3.3644166666666662</v>
      </c>
      <c r="FD11" s="63">
        <f>'Raw Datas'!FB71</f>
        <v>2.638233333333333</v>
      </c>
      <c r="FE11" s="63">
        <f>'Raw Datas'!FC71</f>
        <v>5.9695166666666672</v>
      </c>
      <c r="FF11" s="63">
        <f>'Raw Datas'!FD71</f>
        <v>3.9125500000000004</v>
      </c>
      <c r="FG11" s="63">
        <f>'Raw Datas'!FE71</f>
        <v>3.1000999999999999</v>
      </c>
      <c r="FH11" s="63">
        <f>'Raw Datas'!FF71</f>
        <v>12.643333333333334</v>
      </c>
      <c r="FI11" s="63">
        <f>'Raw Datas'!FG71</f>
        <v>3.5760666666666667</v>
      </c>
      <c r="FJ11" s="63">
        <f>'Raw Datas'!FH71</f>
        <v>5.9246166666666662</v>
      </c>
      <c r="FK11" s="63">
        <f>'Raw Datas'!FI71</f>
        <v>13.396283333333335</v>
      </c>
      <c r="FL11" s="63">
        <f>'Raw Datas'!FJ71</f>
        <v>13.592616666666666</v>
      </c>
      <c r="FM11" s="63">
        <f>'Raw Datas'!FK71</f>
        <v>16.789116666666665</v>
      </c>
      <c r="FN11" s="63">
        <f>'Raw Datas'!FL71</f>
        <v>5.4099666666666666</v>
      </c>
      <c r="FO11" s="63">
        <f>'Raw Datas'!FM71</f>
        <v>4.4873000000000003</v>
      </c>
      <c r="FP11" s="63">
        <f>'Raw Datas'!FN71</f>
        <v>2.6546333333333334</v>
      </c>
      <c r="FQ11" s="63">
        <f>'Raw Datas'!FO71</f>
        <v>2.1349833333333335</v>
      </c>
    </row>
    <row r="12" spans="1:173" ht="15.75" customHeight="1" x14ac:dyDescent="0.2">
      <c r="A12" s="152"/>
      <c r="B12" s="97" t="s">
        <v>4</v>
      </c>
      <c r="C12" s="104" t="s">
        <v>744</v>
      </c>
      <c r="D12" s="104"/>
      <c r="E12" s="60">
        <f>'Raw Datas'!C72</f>
        <v>208.29615000000001</v>
      </c>
      <c r="F12" s="63">
        <f>'Raw Datas'!D72</f>
        <v>954.2748499999999</v>
      </c>
      <c r="G12" s="63">
        <f>'Raw Datas'!E72</f>
        <v>138.65638333333334</v>
      </c>
      <c r="H12" s="63">
        <f>'Raw Datas'!F72</f>
        <v>927.74048333333337</v>
      </c>
      <c r="I12" s="63">
        <f>'Raw Datas'!G72</f>
        <v>399.92991666666666</v>
      </c>
      <c r="J12" s="63">
        <f>'Raw Datas'!H72</f>
        <v>444.51615000000004</v>
      </c>
      <c r="K12" s="63">
        <f>'Raw Datas'!I72</f>
        <v>1101.6004</v>
      </c>
      <c r="L12" s="63">
        <f>'Raw Datas'!J72</f>
        <v>594.95651666666663</v>
      </c>
      <c r="M12" s="63">
        <f>'Raw Datas'!K72</f>
        <v>569.94891666666661</v>
      </c>
      <c r="N12" s="63">
        <f>'Raw Datas'!L72</f>
        <v>989.11405000000002</v>
      </c>
      <c r="O12" s="63">
        <f>'Raw Datas'!M72</f>
        <v>480.37016666666665</v>
      </c>
      <c r="P12" s="63">
        <f>'Raw Datas'!N72</f>
        <v>167.75941666666668</v>
      </c>
      <c r="Q12" s="63">
        <f>'Raw Datas'!O72</f>
        <v>438.96519999999998</v>
      </c>
      <c r="R12" s="63">
        <f>'Raw Datas'!P72</f>
        <v>284.9972166666667</v>
      </c>
      <c r="S12" s="63">
        <f>'Raw Datas'!Q72</f>
        <v>221.90058333333334</v>
      </c>
      <c r="T12" s="63">
        <f>'Raw Datas'!R72</f>
        <v>770.84855000000005</v>
      </c>
      <c r="U12" s="63">
        <f>'Raw Datas'!S72</f>
        <v>544.62098333333336</v>
      </c>
      <c r="V12" s="63">
        <f>'Raw Datas'!T72</f>
        <v>118.16533333333334</v>
      </c>
      <c r="W12" s="63">
        <f>'Raw Datas'!U72</f>
        <v>368.46401666666668</v>
      </c>
      <c r="X12" s="63">
        <f>'Raw Datas'!V72</f>
        <v>133.47001666666668</v>
      </c>
      <c r="Y12" s="63">
        <f>'Raw Datas'!W72</f>
        <v>273.9361428571429</v>
      </c>
      <c r="Z12" s="63">
        <f>'Raw Datas'!X72</f>
        <v>74.394120000000001</v>
      </c>
      <c r="AA12" s="63">
        <f>'Raw Datas'!Y72</f>
        <v>813.87490000000003</v>
      </c>
      <c r="AB12" s="63">
        <f>'Raw Datas'!Z72</f>
        <v>307.59179999999998</v>
      </c>
      <c r="AC12" s="63">
        <f>'Raw Datas'!AA72</f>
        <v>316.31490000000002</v>
      </c>
      <c r="AD12" s="63">
        <f>'Raw Datas'!AB72</f>
        <v>777.52753333333339</v>
      </c>
      <c r="AE12" s="63">
        <f>'Raw Datas'!AC72</f>
        <v>1052.9700833333334</v>
      </c>
      <c r="AF12" s="63">
        <f>'Raw Datas'!AD72</f>
        <v>214.27083333333334</v>
      </c>
      <c r="AG12" s="63">
        <f>'Raw Datas'!AE72</f>
        <v>240.28228333333334</v>
      </c>
      <c r="AH12" s="63">
        <f>'Raw Datas'!AF72</f>
        <v>15.52295</v>
      </c>
      <c r="AI12" s="63">
        <f>'Raw Datas'!AG72</f>
        <v>278.60861666666665</v>
      </c>
      <c r="AJ12" s="63">
        <f>'Raw Datas'!AH72</f>
        <v>210.14044999999999</v>
      </c>
      <c r="AK12" s="63">
        <f>'Raw Datas'!AI72</f>
        <v>148.58415000000002</v>
      </c>
      <c r="AL12" s="63">
        <f>'Raw Datas'!AJ72</f>
        <v>485.25783333333334</v>
      </c>
      <c r="AM12" s="63">
        <f>'Raw Datas'!AK72</f>
        <v>640.53073333333327</v>
      </c>
      <c r="AN12" s="63">
        <f>'Raw Datas'!AL72</f>
        <v>146.02453333333332</v>
      </c>
      <c r="AO12" s="63">
        <f>'Raw Datas'!AM72</f>
        <v>235.06438333333332</v>
      </c>
      <c r="AP12" s="63">
        <f>'Raw Datas'!AN72</f>
        <v>593.0157333333334</v>
      </c>
      <c r="AQ12" s="63">
        <f>'Raw Datas'!AO72</f>
        <v>433.92586666666659</v>
      </c>
      <c r="AR12" s="63">
        <f>'Raw Datas'!AP72</f>
        <v>81.024766666666665</v>
      </c>
      <c r="AS12" s="63">
        <f>'Raw Datas'!AQ72</f>
        <v>399.07468333333333</v>
      </c>
      <c r="AT12" s="63">
        <f>'Raw Datas'!AR72</f>
        <v>233.64596666666665</v>
      </c>
      <c r="AU12" s="63">
        <f>'Raw Datas'!AS72</f>
        <v>172.69731666666667</v>
      </c>
      <c r="AV12" s="63">
        <f>'Raw Datas'!AT72</f>
        <v>148.85865000000001</v>
      </c>
      <c r="AW12" s="63">
        <f>'Raw Datas'!AU72</f>
        <v>169.42099999999999</v>
      </c>
      <c r="AX12" s="63">
        <f>'Raw Datas'!AV72</f>
        <v>413.76472000000001</v>
      </c>
      <c r="AY12" s="63">
        <f>'Raw Datas'!AW72</f>
        <v>54.729533333333329</v>
      </c>
      <c r="AZ12" s="63">
        <f>'Raw Datas'!AX72</f>
        <v>205.36454999999998</v>
      </c>
      <c r="BA12" s="63">
        <f>'Raw Datas'!AY72</f>
        <v>804.25903333333326</v>
      </c>
      <c r="BB12" s="63">
        <f>'Raw Datas'!AZ72</f>
        <v>181.32031666666668</v>
      </c>
      <c r="BC12" s="63">
        <f>'Raw Datas'!BA72</f>
        <v>299.41070000000002</v>
      </c>
      <c r="BD12" s="63">
        <f>'Raw Datas'!BB72</f>
        <v>205.26735000000002</v>
      </c>
      <c r="BE12" s="63">
        <f>'Raw Datas'!BC72</f>
        <v>529.3593166666667</v>
      </c>
      <c r="BF12" s="63">
        <f>'Raw Datas'!BD72</f>
        <v>483.73651666666666</v>
      </c>
      <c r="BG12" s="63">
        <f>'Raw Datas'!BE72</f>
        <v>249.89201666666668</v>
      </c>
      <c r="BH12" s="63">
        <f>'Raw Datas'!BF72</f>
        <v>70.007849999999991</v>
      </c>
      <c r="BI12" s="63">
        <f>'Raw Datas'!BG72</f>
        <v>97.022483333333341</v>
      </c>
      <c r="BJ12" s="63">
        <f>'Raw Datas'!BH72</f>
        <v>411.47064999999998</v>
      </c>
      <c r="BK12" s="63">
        <f>'Raw Datas'!BI72</f>
        <v>436.74831666666671</v>
      </c>
      <c r="BL12" s="63">
        <f>'Raw Datas'!BJ72</f>
        <v>634.75688333333335</v>
      </c>
      <c r="BM12" s="63">
        <f>'Raw Datas'!BK72</f>
        <v>1829.6059666666667</v>
      </c>
      <c r="BN12" s="63">
        <f>'Raw Datas'!BL72</f>
        <v>1049.3517166666668</v>
      </c>
      <c r="BO12" s="63">
        <f>'Raw Datas'!BM72</f>
        <v>601.78620000000001</v>
      </c>
      <c r="BP12" s="63">
        <f>'Raw Datas'!BN72</f>
        <v>1269.2368333333334</v>
      </c>
      <c r="BQ12" s="63">
        <f>'Raw Datas'!BO72</f>
        <v>439.25993333333338</v>
      </c>
      <c r="BR12" s="63">
        <f>'Raw Datas'!BP72</f>
        <v>881.73198333333323</v>
      </c>
      <c r="BS12" s="63">
        <f>'Raw Datas'!BQ72</f>
        <v>339.48826666666662</v>
      </c>
      <c r="BT12" s="63">
        <f>'Raw Datas'!BR72</f>
        <v>235.93308571428571</v>
      </c>
      <c r="BU12" s="63">
        <f>'Raw Datas'!BS72</f>
        <v>644.46969999999999</v>
      </c>
      <c r="BV12" s="63">
        <f>'Raw Datas'!BT72</f>
        <v>250.2911666666667</v>
      </c>
      <c r="BW12" s="63">
        <f>'Raw Datas'!BU72</f>
        <v>264.27896666666669</v>
      </c>
      <c r="BX12" s="63">
        <f>'Raw Datas'!BV72</f>
        <v>192.96975000000003</v>
      </c>
      <c r="BY12" s="63">
        <f>'Raw Datas'!BW72</f>
        <v>641.18976666666663</v>
      </c>
      <c r="BZ12" s="63">
        <f>'Raw Datas'!BX72</f>
        <v>252.69985</v>
      </c>
      <c r="CA12" s="63">
        <f>'Raw Datas'!BY72</f>
        <v>686.32090000000005</v>
      </c>
      <c r="CB12" s="63">
        <f>'Raw Datas'!BZ72</f>
        <v>227.21941666666666</v>
      </c>
      <c r="CC12" s="63">
        <f>'Raw Datas'!CA72</f>
        <v>382.31733333333335</v>
      </c>
      <c r="CD12" s="63">
        <f>'Raw Datas'!CB72</f>
        <v>167.24761666666666</v>
      </c>
      <c r="CE12" s="63">
        <f>'Raw Datas'!CC72</f>
        <v>499.15445</v>
      </c>
      <c r="CF12" s="63">
        <f>'Raw Datas'!CD72</f>
        <v>282.60433333333333</v>
      </c>
      <c r="CG12" s="63">
        <f>'Raw Datas'!CE72</f>
        <v>263.32364999999999</v>
      </c>
      <c r="CH12" s="63">
        <f>'Raw Datas'!CF72</f>
        <v>173.61765</v>
      </c>
      <c r="CI12" s="63">
        <f>'Raw Datas'!CG72</f>
        <v>161.65234999999998</v>
      </c>
      <c r="CJ12" s="63">
        <f>'Raw Datas'!CH72</f>
        <v>197.87791666666666</v>
      </c>
      <c r="CK12" s="63">
        <f>'Raw Datas'!CI72</f>
        <v>834.26673333333338</v>
      </c>
      <c r="CL12" s="63">
        <f>'Raw Datas'!CJ72</f>
        <v>133.41717777777779</v>
      </c>
      <c r="CM12" s="63">
        <f>'Raw Datas'!CK72</f>
        <v>19.222383333333333</v>
      </c>
      <c r="CN12" s="63">
        <f>'Raw Datas'!CL72</f>
        <v>30.136050000000001</v>
      </c>
      <c r="CO12" s="63">
        <f>'Raw Datas'!CM72</f>
        <v>605.2746166666667</v>
      </c>
      <c r="CP12" s="63">
        <f>'Raw Datas'!CN72</f>
        <v>273.56620000000004</v>
      </c>
      <c r="CQ12" s="63">
        <f>'Raw Datas'!CO72</f>
        <v>287.64508333333339</v>
      </c>
      <c r="CR12" s="63">
        <f>'Raw Datas'!CP72</f>
        <v>567.45931666666672</v>
      </c>
      <c r="CS12" s="63">
        <f>'Raw Datas'!CQ72</f>
        <v>658.19275000000005</v>
      </c>
      <c r="CT12" s="63">
        <f>'Raw Datas'!CR72</f>
        <v>276.65078333333332</v>
      </c>
      <c r="CU12" s="63">
        <f>'Raw Datas'!CS72</f>
        <v>417.77751666666671</v>
      </c>
      <c r="CV12" s="63">
        <f>'Raw Datas'!CT72</f>
        <v>483.97148333333337</v>
      </c>
      <c r="CW12" s="63">
        <f>'Raw Datas'!CU72</f>
        <v>740.55664999999999</v>
      </c>
      <c r="CX12" s="63">
        <f>'Raw Datas'!CV72</f>
        <v>1286.6532166666666</v>
      </c>
      <c r="CY12" s="63">
        <f>'Raw Datas'!CW72</f>
        <v>294.73301666666669</v>
      </c>
      <c r="CZ12" s="63">
        <f>'Raw Datas'!CX72</f>
        <v>159.16388333333333</v>
      </c>
      <c r="DA12" s="63">
        <f>'Raw Datas'!CY72</f>
        <v>291.71861666666666</v>
      </c>
      <c r="DB12" s="63">
        <f>'Raw Datas'!CZ72</f>
        <v>129.83494999999999</v>
      </c>
      <c r="DC12" s="63">
        <f>'Raw Datas'!DA72</f>
        <v>198.63013333333336</v>
      </c>
      <c r="DD12" s="63">
        <f>'Raw Datas'!DB72</f>
        <v>554.73765000000014</v>
      </c>
      <c r="DE12" s="63">
        <f>'Raw Datas'!DC72</f>
        <v>387.32173333333338</v>
      </c>
      <c r="DF12" s="63">
        <f>'Raw Datas'!DD72</f>
        <v>1126.4889499999999</v>
      </c>
      <c r="DG12" s="63">
        <f>'Raw Datas'!DE72</f>
        <v>280.00830000000002</v>
      </c>
      <c r="DH12" s="63">
        <f>'Raw Datas'!DF72</f>
        <v>86.494083333333336</v>
      </c>
      <c r="DI12" s="63">
        <f>'Raw Datas'!DG72</f>
        <v>199.03556666666671</v>
      </c>
      <c r="DJ12" s="63">
        <f>'Raw Datas'!DH72</f>
        <v>170.12871666666666</v>
      </c>
      <c r="DK12" s="63">
        <f>'Raw Datas'!DI72</f>
        <v>581.36626666666666</v>
      </c>
      <c r="DL12" s="63">
        <f>'Raw Datas'!DJ72</f>
        <v>299.46948333333336</v>
      </c>
      <c r="DM12" s="63">
        <f>'Raw Datas'!DK72</f>
        <v>202.76486666666668</v>
      </c>
      <c r="DN12" s="63">
        <f>'Raw Datas'!DL72</f>
        <v>206.79088333333337</v>
      </c>
      <c r="DO12" s="63">
        <f>'Raw Datas'!DM72</f>
        <v>943.42393333333337</v>
      </c>
      <c r="DP12" s="63">
        <f>'Raw Datas'!DN72</f>
        <v>637.18926666666664</v>
      </c>
      <c r="DQ12" s="63">
        <f>'Raw Datas'!DO72</f>
        <v>1046.1483833333334</v>
      </c>
      <c r="DR12" s="63">
        <f>'Raw Datas'!DP72</f>
        <v>135.34196666666668</v>
      </c>
      <c r="DS12" s="63">
        <f>'Raw Datas'!DQ72</f>
        <v>250.42771666666667</v>
      </c>
      <c r="DT12" s="63">
        <f>'Raw Datas'!DR72</f>
        <v>523.596</v>
      </c>
      <c r="DU12" s="63">
        <f>'Raw Datas'!DS72</f>
        <v>336.97891666666669</v>
      </c>
      <c r="DV12" s="63">
        <f>'Raw Datas'!DT72</f>
        <v>346.07214999999997</v>
      </c>
      <c r="DW12" s="63">
        <f>'Raw Datas'!DU72</f>
        <v>187.03519999999997</v>
      </c>
      <c r="DX12" s="63">
        <f>'Raw Datas'!DV72</f>
        <v>346.6533</v>
      </c>
      <c r="DY12" s="63">
        <f>'Raw Datas'!DW72</f>
        <v>422.35511666666667</v>
      </c>
      <c r="DZ12" s="63">
        <f>'Raw Datas'!DX72</f>
        <v>273.86118333333332</v>
      </c>
      <c r="EA12" s="63">
        <f>'Raw Datas'!DY72</f>
        <v>579.46629999999993</v>
      </c>
      <c r="EB12" s="63">
        <f>'Raw Datas'!DZ72</f>
        <v>169.36228333333335</v>
      </c>
      <c r="EC12" s="63">
        <f>'Raw Datas'!EA72</f>
        <v>567.53261666666674</v>
      </c>
      <c r="ED12" s="63">
        <f>'Raw Datas'!EB72</f>
        <v>621.53793333333329</v>
      </c>
      <c r="EE12" s="63">
        <f>'Raw Datas'!EC72</f>
        <v>78.02621666666667</v>
      </c>
      <c r="EF12" s="63">
        <f>'Raw Datas'!ED72</f>
        <v>542.14088333333336</v>
      </c>
      <c r="EG12" s="63">
        <f>'Raw Datas'!EE72</f>
        <v>180.71965</v>
      </c>
      <c r="EH12" s="63">
        <f>'Raw Datas'!EF72</f>
        <v>74.368300000000005</v>
      </c>
      <c r="EI12" s="63">
        <f>'Raw Datas'!EG72</f>
        <v>90.374266666666671</v>
      </c>
      <c r="EJ12" s="63">
        <f>'Raw Datas'!EH72</f>
        <v>149.26168333333334</v>
      </c>
      <c r="EK12" s="63">
        <f>'Raw Datas'!EI72</f>
        <v>88.996066666666664</v>
      </c>
      <c r="EL12" s="63">
        <f>'Raw Datas'!EJ72</f>
        <v>359.34456666666665</v>
      </c>
      <c r="EM12" s="63">
        <f>'Raw Datas'!EK72</f>
        <v>592.94796666666673</v>
      </c>
      <c r="EN12" s="63">
        <f>'Raw Datas'!EL72</f>
        <v>174.66626666666664</v>
      </c>
      <c r="EO12" s="63">
        <f>'Raw Datas'!EM72</f>
        <v>321.05681666666663</v>
      </c>
      <c r="EP12" s="63">
        <f>'Raw Datas'!EN72</f>
        <v>227.80636666666666</v>
      </c>
      <c r="EQ12" s="63">
        <f>'Raw Datas'!EO72</f>
        <v>60.341533333333331</v>
      </c>
      <c r="ER12" s="63">
        <f>'Raw Datas'!EP72</f>
        <v>151.71956666666668</v>
      </c>
      <c r="ES12" s="63">
        <f>'Raw Datas'!EQ72</f>
        <v>461.10658333333339</v>
      </c>
      <c r="ET12" s="63">
        <f>'Raw Datas'!ER72</f>
        <v>688.53324999999995</v>
      </c>
      <c r="EU12" s="63">
        <f>'Raw Datas'!ES72</f>
        <v>610.12779999999998</v>
      </c>
      <c r="EV12" s="63">
        <f>'Raw Datas'!ET72</f>
        <v>221.6979</v>
      </c>
      <c r="EW12" s="63">
        <f>'Raw Datas'!EU72</f>
        <v>818.36933333333343</v>
      </c>
      <c r="EX12" s="63">
        <f>'Raw Datas'!EV72</f>
        <v>370.36768333333328</v>
      </c>
      <c r="EY12" s="63">
        <f>'Raw Datas'!EW72</f>
        <v>153.40625</v>
      </c>
      <c r="EZ12" s="63">
        <f>'Raw Datas'!EX72</f>
        <v>2030.8532500000001</v>
      </c>
      <c r="FA12" s="63">
        <f>'Raw Datas'!EY72</f>
        <v>925.01698333333331</v>
      </c>
      <c r="FB12" s="63">
        <f>'Raw Datas'!EZ72</f>
        <v>459.84988333333331</v>
      </c>
      <c r="FC12" s="63">
        <f>'Raw Datas'!FA72</f>
        <v>269.64536666666669</v>
      </c>
      <c r="FD12" s="63">
        <f>'Raw Datas'!FB72</f>
        <v>67.82501666666667</v>
      </c>
      <c r="FE12" s="63">
        <f>'Raw Datas'!FC72</f>
        <v>553.69624999999985</v>
      </c>
      <c r="FF12" s="63">
        <f>'Raw Datas'!FD72</f>
        <v>148.64535000000004</v>
      </c>
      <c r="FG12" s="63">
        <f>'Raw Datas'!FE72</f>
        <v>101.91023333333334</v>
      </c>
      <c r="FH12" s="63">
        <f>'Raw Datas'!FF72</f>
        <v>602.13591666666662</v>
      </c>
      <c r="FI12" s="63">
        <f>'Raw Datas'!FG72</f>
        <v>239.15995000000004</v>
      </c>
      <c r="FJ12" s="63">
        <f>'Raw Datas'!FH72</f>
        <v>476.53466666666668</v>
      </c>
      <c r="FK12" s="63">
        <f>'Raw Datas'!FI72</f>
        <v>396.72839999999997</v>
      </c>
      <c r="FL12" s="63">
        <f>'Raw Datas'!FJ72</f>
        <v>1245.4189666666666</v>
      </c>
      <c r="FM12" s="63">
        <f>'Raw Datas'!FK72</f>
        <v>1847.8667666666665</v>
      </c>
      <c r="FN12" s="63">
        <f>'Raw Datas'!FL72</f>
        <v>694.18961666666667</v>
      </c>
      <c r="FO12" s="63">
        <f>'Raw Datas'!FM72</f>
        <v>497.23676666666665</v>
      </c>
      <c r="FP12" s="63">
        <f>'Raw Datas'!FN72</f>
        <v>214.04519999999999</v>
      </c>
      <c r="FQ12" s="63">
        <f>'Raw Datas'!FO72</f>
        <v>216.58351666666664</v>
      </c>
    </row>
    <row r="13" spans="1:173" ht="15.75" customHeight="1" x14ac:dyDescent="0.2">
      <c r="A13" s="152"/>
      <c r="B13" s="97" t="s">
        <v>7</v>
      </c>
      <c r="C13" s="104" t="s">
        <v>745</v>
      </c>
      <c r="D13" s="104"/>
      <c r="E13" s="60">
        <f>'Raw Datas'!C73</f>
        <v>2.6258166666666662</v>
      </c>
      <c r="F13" s="63">
        <f>'Raw Datas'!D73</f>
        <v>7.1346999999999996</v>
      </c>
      <c r="G13" s="63">
        <f>'Raw Datas'!E73</f>
        <v>1.6251</v>
      </c>
      <c r="H13" s="63">
        <f>'Raw Datas'!F73</f>
        <v>7.2202000000000002</v>
      </c>
      <c r="I13" s="63">
        <f>'Raw Datas'!G73</f>
        <v>4.5138500000000006</v>
      </c>
      <c r="J13" s="63">
        <f>'Raw Datas'!H73</f>
        <v>6.9961500000000001</v>
      </c>
      <c r="K13" s="63">
        <f>'Raw Datas'!I73</f>
        <v>8.9310166666666664</v>
      </c>
      <c r="L13" s="63">
        <f>'Raw Datas'!J73</f>
        <v>5.3078000000000003</v>
      </c>
      <c r="M13" s="63">
        <f>'Raw Datas'!K73</f>
        <v>3.8795500000000001</v>
      </c>
      <c r="N13" s="63">
        <f>'Raw Datas'!L73</f>
        <v>5.2875833333333331</v>
      </c>
      <c r="O13" s="63">
        <f>'Raw Datas'!M73</f>
        <v>2.8511333333333329</v>
      </c>
      <c r="P13" s="63">
        <f>'Raw Datas'!N73</f>
        <v>4.2226166666666662</v>
      </c>
      <c r="Q13" s="63">
        <f>'Raw Datas'!O73</f>
        <v>6.8487833333333334</v>
      </c>
      <c r="R13" s="63">
        <f>'Raw Datas'!P73</f>
        <v>5.5964166666666664</v>
      </c>
      <c r="S13" s="63">
        <f>'Raw Datas'!Q73</f>
        <v>3.4638833333333334</v>
      </c>
      <c r="T13" s="63">
        <f>'Raw Datas'!R73</f>
        <v>41.959966666666666</v>
      </c>
      <c r="U13" s="63">
        <f>'Raw Datas'!S73</f>
        <v>4.6123666666666656</v>
      </c>
      <c r="V13" s="63">
        <f>'Raw Datas'!T73</f>
        <v>1.7943166666666668</v>
      </c>
      <c r="W13" s="63">
        <f>'Raw Datas'!U73</f>
        <v>4.5547166666666667</v>
      </c>
      <c r="X13" s="63">
        <f>'Raw Datas'!V73</f>
        <v>2.1001833333333333</v>
      </c>
      <c r="Y13" s="63">
        <f>'Raw Datas'!W73</f>
        <v>14.07977142857143</v>
      </c>
      <c r="Z13" s="63">
        <f>'Raw Datas'!X73</f>
        <v>6.5048400000000006</v>
      </c>
      <c r="AA13" s="63">
        <f>'Raw Datas'!Y73</f>
        <v>8.7395166666666668</v>
      </c>
      <c r="AB13" s="63">
        <f>'Raw Datas'!Z73</f>
        <v>33.1252</v>
      </c>
      <c r="AC13" s="63">
        <f>'Raw Datas'!AA73</f>
        <v>3.7121666666666666</v>
      </c>
      <c r="AD13" s="63">
        <f>'Raw Datas'!AB73</f>
        <v>8.0690333333333335</v>
      </c>
      <c r="AE13" s="63">
        <f>'Raw Datas'!AC73</f>
        <v>5.9821000000000009</v>
      </c>
      <c r="AF13" s="63">
        <f>'Raw Datas'!AD73</f>
        <v>4.27745</v>
      </c>
      <c r="AG13" s="63">
        <f>'Raw Datas'!AE73</f>
        <v>2.0497333333333336</v>
      </c>
      <c r="AH13" s="63">
        <f>'Raw Datas'!AF73</f>
        <v>2.1131666666666669</v>
      </c>
      <c r="AI13" s="63">
        <f>'Raw Datas'!AG73</f>
        <v>8.383916666666666</v>
      </c>
      <c r="AJ13" s="63">
        <f>'Raw Datas'!AH73</f>
        <v>3.5447000000000002</v>
      </c>
      <c r="AK13" s="63">
        <f>'Raw Datas'!AI73</f>
        <v>5.6508833333333337</v>
      </c>
      <c r="AL13" s="63">
        <f>'Raw Datas'!AJ73</f>
        <v>6.2525666666666666</v>
      </c>
      <c r="AM13" s="63">
        <f>'Raw Datas'!AK73</f>
        <v>2.7878666666666665</v>
      </c>
      <c r="AN13" s="63">
        <f>'Raw Datas'!AL73</f>
        <v>2.7332833333333331</v>
      </c>
      <c r="AO13" s="63">
        <f>'Raw Datas'!AM73</f>
        <v>11.044016666666666</v>
      </c>
      <c r="AP13" s="63">
        <f>'Raw Datas'!AN73</f>
        <v>9.4727333333333341</v>
      </c>
      <c r="AQ13" s="63">
        <f>'Raw Datas'!AO73</f>
        <v>3.2707833333333336</v>
      </c>
      <c r="AR13" s="63">
        <f>'Raw Datas'!AP73</f>
        <v>1.9823333333333333</v>
      </c>
      <c r="AS13" s="63">
        <f>'Raw Datas'!AQ73</f>
        <v>5.3709333333333324</v>
      </c>
      <c r="AT13" s="63">
        <f>'Raw Datas'!AR73</f>
        <v>2.0381499999999999</v>
      </c>
      <c r="AU13" s="63">
        <f>'Raw Datas'!AS73</f>
        <v>16.983166666666666</v>
      </c>
      <c r="AV13" s="63">
        <f>'Raw Datas'!AT73</f>
        <v>6.2506000000000004</v>
      </c>
      <c r="AW13" s="63">
        <f>'Raw Datas'!AU73</f>
        <v>0.96796000000000004</v>
      </c>
      <c r="AX13" s="63">
        <f>'Raw Datas'!AV73</f>
        <v>3.1446800000000001</v>
      </c>
      <c r="AY13" s="63">
        <f>'Raw Datas'!AW73</f>
        <v>1.5491999999999999</v>
      </c>
      <c r="AZ13" s="63">
        <f>'Raw Datas'!AX73</f>
        <v>2.0534166666666662</v>
      </c>
      <c r="BA13" s="63">
        <f>'Raw Datas'!AY73</f>
        <v>5.5875000000000004</v>
      </c>
      <c r="BB13" s="63">
        <f>'Raw Datas'!AZ73</f>
        <v>1.0527833333333334</v>
      </c>
      <c r="BC13" s="63">
        <f>'Raw Datas'!BA73</f>
        <v>3.0940166666666666</v>
      </c>
      <c r="BD13" s="63">
        <f>'Raw Datas'!BB73</f>
        <v>1.5156666666666667</v>
      </c>
      <c r="BE13" s="63">
        <f>'Raw Datas'!BC73</f>
        <v>2.3218000000000001</v>
      </c>
      <c r="BF13" s="63">
        <f>'Raw Datas'!BD73</f>
        <v>4.8200833333333328</v>
      </c>
      <c r="BG13" s="63">
        <f>'Raw Datas'!BE73</f>
        <v>1.8058000000000001</v>
      </c>
      <c r="BH13" s="63">
        <f>'Raw Datas'!BF73</f>
        <v>4.0068833333333336</v>
      </c>
      <c r="BI13" s="63">
        <f>'Raw Datas'!BG73</f>
        <v>0.63331666666666675</v>
      </c>
      <c r="BJ13" s="63">
        <f>'Raw Datas'!BH73</f>
        <v>8.8280333333333338</v>
      </c>
      <c r="BK13" s="63">
        <f>'Raw Datas'!BI73</f>
        <v>15.588750000000001</v>
      </c>
      <c r="BL13" s="63">
        <f>'Raw Datas'!BJ73</f>
        <v>26.416150000000002</v>
      </c>
      <c r="BM13" s="63">
        <f>'Raw Datas'!BK73</f>
        <v>14.12655</v>
      </c>
      <c r="BN13" s="63">
        <f>'Raw Datas'!BL73</f>
        <v>128.57378333333332</v>
      </c>
      <c r="BO13" s="63">
        <f>'Raw Datas'!BM73</f>
        <v>121.50745714285713</v>
      </c>
      <c r="BP13" s="63">
        <f>'Raw Datas'!BN73</f>
        <v>165.56954999999999</v>
      </c>
      <c r="BQ13" s="63">
        <f>'Raw Datas'!BO73</f>
        <v>97.239516666666674</v>
      </c>
      <c r="BR13" s="63">
        <f>'Raw Datas'!BP73</f>
        <v>73.148316666666673</v>
      </c>
      <c r="BS13" s="63">
        <f>'Raw Datas'!BQ73</f>
        <v>19.176766666666666</v>
      </c>
      <c r="BT13" s="63">
        <f>'Raw Datas'!BR73</f>
        <v>5.1632857142857143</v>
      </c>
      <c r="BU13" s="63">
        <f>'Raw Datas'!BS73</f>
        <v>123.93554999999999</v>
      </c>
      <c r="BV13" s="63">
        <f>'Raw Datas'!BT73</f>
        <v>33.249549999999999</v>
      </c>
      <c r="BW13" s="63">
        <f>'Raw Datas'!BU73</f>
        <v>15.296483333333333</v>
      </c>
      <c r="BX13" s="63">
        <f>'Raw Datas'!BV73</f>
        <v>18.390833333333333</v>
      </c>
      <c r="BY13" s="63">
        <f>'Raw Datas'!BW73</f>
        <v>6.6035166666666667</v>
      </c>
      <c r="BZ13" s="63">
        <f>'Raw Datas'!BX73</f>
        <v>3.1821666666666668</v>
      </c>
      <c r="CA13" s="63">
        <f>'Raw Datas'!BY73</f>
        <v>22.218800000000002</v>
      </c>
      <c r="CB13" s="63">
        <f>'Raw Datas'!BZ73</f>
        <v>11.916066666666666</v>
      </c>
      <c r="CC13" s="63">
        <f>'Raw Datas'!CA73</f>
        <v>9.5396000000000001</v>
      </c>
      <c r="CD13" s="63">
        <f>'Raw Datas'!CB73</f>
        <v>3.4175666666666671</v>
      </c>
      <c r="CE13" s="63">
        <f>'Raw Datas'!CC73</f>
        <v>6.045583333333334</v>
      </c>
      <c r="CF13" s="63">
        <f>'Raw Datas'!CD73</f>
        <v>3.8154166666666662</v>
      </c>
      <c r="CG13" s="63">
        <f>'Raw Datas'!CE73</f>
        <v>23.247116666666667</v>
      </c>
      <c r="CH13" s="63">
        <f>'Raw Datas'!CF73</f>
        <v>3.4717166666666666</v>
      </c>
      <c r="CI13" s="63">
        <f>'Raw Datas'!CG73</f>
        <v>2.8163333333333331</v>
      </c>
      <c r="CJ13" s="63">
        <f>'Raw Datas'!CH73</f>
        <v>2.2328000000000001</v>
      </c>
      <c r="CK13" s="63">
        <f>'Raw Datas'!CI73</f>
        <v>9.1918166666666661</v>
      </c>
      <c r="CL13" s="63">
        <f>'Raw Datas'!CJ73</f>
        <v>1.8668444444444448</v>
      </c>
      <c r="CM13" s="63">
        <f>'Raw Datas'!CK73</f>
        <v>3.1640333333333337</v>
      </c>
      <c r="CN13" s="63">
        <f>'Raw Datas'!CL73</f>
        <v>6.9398000000000009</v>
      </c>
      <c r="CO13" s="63">
        <f>'Raw Datas'!CM73</f>
        <v>3.9220833333333331</v>
      </c>
      <c r="CP13" s="63">
        <f>'Raw Datas'!CN73</f>
        <v>2.6310999999999996</v>
      </c>
      <c r="CQ13" s="63">
        <f>'Raw Datas'!CO73</f>
        <v>3.7029333333333336</v>
      </c>
      <c r="CR13" s="63">
        <f>'Raw Datas'!CP73</f>
        <v>5.8373166666666663</v>
      </c>
      <c r="CS13" s="63">
        <f>'Raw Datas'!CQ73</f>
        <v>7.0821833333333331</v>
      </c>
      <c r="CT13" s="63">
        <f>'Raw Datas'!CR73</f>
        <v>8.7559500000000003</v>
      </c>
      <c r="CU13" s="63">
        <f>'Raw Datas'!CS73</f>
        <v>3.4745166666666667</v>
      </c>
      <c r="CV13" s="63">
        <f>'Raw Datas'!CT73</f>
        <v>3.1052666666666662</v>
      </c>
      <c r="CW13" s="63">
        <f>'Raw Datas'!CU73</f>
        <v>4.2114666666666665</v>
      </c>
      <c r="CX13" s="63">
        <f>'Raw Datas'!CV73</f>
        <v>7.3066333333333331</v>
      </c>
      <c r="CY13" s="63">
        <f>'Raw Datas'!CW73</f>
        <v>2.7003333333333335</v>
      </c>
      <c r="CZ13" s="63">
        <f>'Raw Datas'!CX73</f>
        <v>1.7725833333333334</v>
      </c>
      <c r="DA13" s="63">
        <f>'Raw Datas'!CY73</f>
        <v>2.8230500000000003</v>
      </c>
      <c r="DB13" s="63">
        <f>'Raw Datas'!CZ73</f>
        <v>1.2238666666666667</v>
      </c>
      <c r="DC13" s="63">
        <f>'Raw Datas'!DA73</f>
        <v>1.2123666666666668</v>
      </c>
      <c r="DD13" s="63">
        <f>'Raw Datas'!DB73</f>
        <v>7.1037166666666671</v>
      </c>
      <c r="DE13" s="63">
        <f>'Raw Datas'!DC73</f>
        <v>5.5661666666666658</v>
      </c>
      <c r="DF13" s="63">
        <f>'Raw Datas'!DD73</f>
        <v>6.3972166666666661</v>
      </c>
      <c r="DG13" s="63">
        <f>'Raw Datas'!DE73</f>
        <v>3.19075</v>
      </c>
      <c r="DH13" s="63">
        <f>'Raw Datas'!DF73</f>
        <v>3.291233333333333</v>
      </c>
      <c r="DI13" s="63">
        <f>'Raw Datas'!DG73</f>
        <v>5.4610833333333337</v>
      </c>
      <c r="DJ13" s="63">
        <f>'Raw Datas'!DH73</f>
        <v>1.7254166666666666</v>
      </c>
      <c r="DK13" s="63">
        <f>'Raw Datas'!DI73</f>
        <v>3.5508833333333332</v>
      </c>
      <c r="DL13" s="63">
        <f>'Raw Datas'!DJ73</f>
        <v>10.047216666666666</v>
      </c>
      <c r="DM13" s="63">
        <f>'Raw Datas'!DK73</f>
        <v>7.3690500000000005</v>
      </c>
      <c r="DN13" s="63">
        <f>'Raw Datas'!DL73</f>
        <v>1.8178000000000003</v>
      </c>
      <c r="DO13" s="63">
        <f>'Raw Datas'!DM73</f>
        <v>5.7406833333333331</v>
      </c>
      <c r="DP13" s="63">
        <f>'Raw Datas'!DN73</f>
        <v>9.9145000000000003</v>
      </c>
      <c r="DQ13" s="63">
        <f>'Raw Datas'!DO73</f>
        <v>10.631583333333333</v>
      </c>
      <c r="DR13" s="63">
        <f>'Raw Datas'!DP73</f>
        <v>2.5605333333333333</v>
      </c>
      <c r="DS13" s="63">
        <f>'Raw Datas'!DQ73</f>
        <v>2.7203500000000003</v>
      </c>
      <c r="DT13" s="63">
        <f>'Raw Datas'!DR73</f>
        <v>3.4193333333333329</v>
      </c>
      <c r="DU13" s="63">
        <f>'Raw Datas'!DS73</f>
        <v>2.6596166666666665</v>
      </c>
      <c r="DV13" s="63">
        <f>'Raw Datas'!DT73</f>
        <v>4.0940833333333329</v>
      </c>
      <c r="DW13" s="63">
        <f>'Raw Datas'!DU73</f>
        <v>12.596116666666667</v>
      </c>
      <c r="DX13" s="63">
        <f>'Raw Datas'!DV73</f>
        <v>3.1739666666666668</v>
      </c>
      <c r="DY13" s="63">
        <f>'Raw Datas'!DW73</f>
        <v>4.4525500000000005</v>
      </c>
      <c r="DZ13" s="63">
        <f>'Raw Datas'!DX73</f>
        <v>2.5810999999999997</v>
      </c>
      <c r="EA13" s="63">
        <f>'Raw Datas'!DY73</f>
        <v>8.1455000000000002</v>
      </c>
      <c r="EB13" s="63">
        <f>'Raw Datas'!DZ73</f>
        <v>3.0210999999999997</v>
      </c>
      <c r="EC13" s="63">
        <f>'Raw Datas'!EA73</f>
        <v>4.8428499999999994</v>
      </c>
      <c r="ED13" s="63">
        <f>'Raw Datas'!EB73</f>
        <v>4.8647333333333336</v>
      </c>
      <c r="EE13" s="63">
        <f>'Raw Datas'!EC73</f>
        <v>2.3014833333333331</v>
      </c>
      <c r="EF13" s="63">
        <f>'Raw Datas'!ED73</f>
        <v>3.0166666666666666</v>
      </c>
      <c r="EG13" s="63">
        <f>'Raw Datas'!EE73</f>
        <v>1.6075666666666668</v>
      </c>
      <c r="EH13" s="63">
        <f>'Raw Datas'!EF73</f>
        <v>2.1014166666666667</v>
      </c>
      <c r="EI13" s="63">
        <f>'Raw Datas'!EG73</f>
        <v>2.5827333333333331</v>
      </c>
      <c r="EJ13" s="63">
        <f>'Raw Datas'!EH73</f>
        <v>3.378716666666667</v>
      </c>
      <c r="EK13" s="63">
        <f>'Raw Datas'!EI73</f>
        <v>0.88926666666666665</v>
      </c>
      <c r="EL13" s="63">
        <f>'Raw Datas'!EJ73</f>
        <v>3.8810333333333338</v>
      </c>
      <c r="EM13" s="63">
        <f>'Raw Datas'!EK73</f>
        <v>5.7586166666666658</v>
      </c>
      <c r="EN13" s="63">
        <f>'Raw Datas'!EL73</f>
        <v>4.0647666666666664</v>
      </c>
      <c r="EO13" s="63">
        <f>'Raw Datas'!EM73</f>
        <v>2.0231666666666666</v>
      </c>
      <c r="EP13" s="63">
        <f>'Raw Datas'!EN73</f>
        <v>3.9239999999999999</v>
      </c>
      <c r="EQ13" s="63">
        <f>'Raw Datas'!EO73</f>
        <v>5.0020999999999995</v>
      </c>
      <c r="ER13" s="63">
        <f>'Raw Datas'!EP73</f>
        <v>2.8630500000000003</v>
      </c>
      <c r="ES13" s="63">
        <f>'Raw Datas'!EQ73</f>
        <v>4.1570333333333336</v>
      </c>
      <c r="ET13" s="63">
        <f>'Raw Datas'!ER73</f>
        <v>5.1044166666666664</v>
      </c>
      <c r="EU13" s="63">
        <f>'Raw Datas'!ES73</f>
        <v>4.258866666666667</v>
      </c>
      <c r="EV13" s="63">
        <f>'Raw Datas'!ET73</f>
        <v>2.3380000000000001</v>
      </c>
      <c r="EW13" s="63">
        <f>'Raw Datas'!EU73</f>
        <v>5.5884999999999998</v>
      </c>
      <c r="EX13" s="63">
        <f>'Raw Datas'!EV73</f>
        <v>3.0195999999999996</v>
      </c>
      <c r="EY13" s="63">
        <f>'Raw Datas'!EW73</f>
        <v>2.0664500000000001</v>
      </c>
      <c r="EZ13" s="63">
        <f>'Raw Datas'!EX73</f>
        <v>12.185283333333333</v>
      </c>
      <c r="FA13" s="63">
        <f>'Raw Datas'!EY73</f>
        <v>10.3817</v>
      </c>
      <c r="FB13" s="63">
        <f>'Raw Datas'!EZ73</f>
        <v>2.9693666666666663</v>
      </c>
      <c r="FC13" s="63">
        <f>'Raw Datas'!FA73</f>
        <v>1.6402499999999998</v>
      </c>
      <c r="FD13" s="63">
        <f>'Raw Datas'!FB73</f>
        <v>1.1818833333333336</v>
      </c>
      <c r="FE13" s="63">
        <f>'Raw Datas'!FC73</f>
        <v>4.1858333333333331</v>
      </c>
      <c r="FF13" s="63">
        <f>'Raw Datas'!FD73</f>
        <v>1.6731833333333332</v>
      </c>
      <c r="FG13" s="63">
        <f>'Raw Datas'!FE73</f>
        <v>1.8888333333333334</v>
      </c>
      <c r="FH13" s="63">
        <f>'Raw Datas'!FF73</f>
        <v>6.5149333333333326</v>
      </c>
      <c r="FI13" s="63">
        <f>'Raw Datas'!FG73</f>
        <v>1.8955166666666667</v>
      </c>
      <c r="FJ13" s="63">
        <f>'Raw Datas'!FH73</f>
        <v>3.4544000000000001</v>
      </c>
      <c r="FK13" s="63">
        <f>'Raw Datas'!FI73</f>
        <v>4.8866666666666667</v>
      </c>
      <c r="FL13" s="63">
        <f>'Raw Datas'!FJ73</f>
        <v>9.2325833333333325</v>
      </c>
      <c r="FM13" s="63">
        <f>'Raw Datas'!FK73</f>
        <v>9.8156999999999996</v>
      </c>
      <c r="FN13" s="63">
        <f>'Raw Datas'!FL73</f>
        <v>6.0565333333333333</v>
      </c>
      <c r="FO13" s="63">
        <f>'Raw Datas'!FM73</f>
        <v>5.1306833333333337</v>
      </c>
      <c r="FP13" s="63">
        <f>'Raw Datas'!FN73</f>
        <v>5.9866333333333337</v>
      </c>
      <c r="FQ13" s="63">
        <f>'Raw Datas'!FO73</f>
        <v>3.4712333333333332</v>
      </c>
    </row>
    <row r="14" spans="1:173" ht="15.75" customHeight="1" thickBot="1" x14ac:dyDescent="0.25">
      <c r="A14" s="152"/>
      <c r="B14" s="97" t="s">
        <v>21</v>
      </c>
      <c r="C14" s="104" t="s">
        <v>749</v>
      </c>
      <c r="D14" s="104" t="s">
        <v>750</v>
      </c>
      <c r="E14" s="60">
        <f>'Raw Datas'!C81</f>
        <v>0.81108333333333349</v>
      </c>
      <c r="F14" s="63">
        <f>'Raw Datas'!D81</f>
        <v>3.1465166666666664</v>
      </c>
      <c r="G14" s="63" t="str">
        <f>'Raw Datas'!E81</f>
        <v>0</v>
      </c>
      <c r="H14" s="63">
        <f>'Raw Datas'!F81</f>
        <v>11.769666666666666</v>
      </c>
      <c r="I14" s="63">
        <f>'Raw Datas'!G81</f>
        <v>1.9535499999999999</v>
      </c>
      <c r="J14" s="63">
        <f>'Raw Datas'!H81</f>
        <v>2.0054833333333333</v>
      </c>
      <c r="K14" s="63">
        <f>'Raw Datas'!I81</f>
        <v>5.8764333333333338</v>
      </c>
      <c r="L14" s="63">
        <f>'Raw Datas'!J81</f>
        <v>6.9467000000000008</v>
      </c>
      <c r="M14" s="63">
        <f>'Raw Datas'!K81</f>
        <v>1.7200166666666665</v>
      </c>
      <c r="N14" s="63">
        <f>'Raw Datas'!L81</f>
        <v>8.8204166666666666</v>
      </c>
      <c r="O14" s="63">
        <f>'Raw Datas'!M81</f>
        <v>2.1837499999999994</v>
      </c>
      <c r="P14" s="63">
        <f>'Raw Datas'!N81</f>
        <v>1.8338833333333331</v>
      </c>
      <c r="Q14" s="63" t="str">
        <f>'Raw Datas'!O81</f>
        <v>0</v>
      </c>
      <c r="R14" s="63" t="str">
        <f>'Raw Datas'!P81</f>
        <v>0</v>
      </c>
      <c r="S14" s="63">
        <f>'Raw Datas'!Q81</f>
        <v>1.0959333333333334</v>
      </c>
      <c r="T14" s="63" t="str">
        <f>'Raw Datas'!R81</f>
        <v>0</v>
      </c>
      <c r="U14" s="63">
        <f>'Raw Datas'!S81</f>
        <v>0.95136666666666658</v>
      </c>
      <c r="V14" s="63" t="str">
        <f>'Raw Datas'!T81</f>
        <v>0</v>
      </c>
      <c r="W14" s="63">
        <f>'Raw Datas'!U81</f>
        <v>3.9360166666666667</v>
      </c>
      <c r="X14" s="63" t="str">
        <f>'Raw Datas'!V81</f>
        <v>0</v>
      </c>
      <c r="Y14" s="63" t="str">
        <f>'Raw Datas'!W81</f>
        <v>0</v>
      </c>
      <c r="Z14" s="63" t="str">
        <f>'Raw Datas'!X81</f>
        <v>0</v>
      </c>
      <c r="AA14" s="63">
        <f>'Raw Datas'!Y81</f>
        <v>3.7842166666666666</v>
      </c>
      <c r="AB14" s="63" t="str">
        <f>'Raw Datas'!Z81</f>
        <v>0</v>
      </c>
      <c r="AC14" s="63">
        <f>'Raw Datas'!AA81</f>
        <v>1.2625</v>
      </c>
      <c r="AD14" s="63">
        <f>'Raw Datas'!AB81</f>
        <v>2.7008999999999999</v>
      </c>
      <c r="AE14" s="63">
        <f>'Raw Datas'!AC81</f>
        <v>8.3943500000000011</v>
      </c>
      <c r="AF14" s="63">
        <f>'Raw Datas'!AD81</f>
        <v>3.8487500000000003</v>
      </c>
      <c r="AG14" s="63" t="str">
        <f>'Raw Datas'!AE81</f>
        <v>0</v>
      </c>
      <c r="AH14" s="63" t="str">
        <f>'Raw Datas'!AF81</f>
        <v>0</v>
      </c>
      <c r="AI14" s="63">
        <f>'Raw Datas'!AG81</f>
        <v>2.4477500000000001</v>
      </c>
      <c r="AJ14" s="63" t="str">
        <f>'Raw Datas'!AH81</f>
        <v>0</v>
      </c>
      <c r="AK14" s="63" t="str">
        <f>'Raw Datas'!AI81</f>
        <v>0</v>
      </c>
      <c r="AL14" s="63" t="str">
        <f>'Raw Datas'!AJ81</f>
        <v>0</v>
      </c>
      <c r="AM14" s="63">
        <f>'Raw Datas'!AK81</f>
        <v>2.4838</v>
      </c>
      <c r="AN14" s="63" t="str">
        <f>'Raw Datas'!AL81</f>
        <v>0</v>
      </c>
      <c r="AO14" s="63" t="str">
        <f>'Raw Datas'!AM81</f>
        <v>0</v>
      </c>
      <c r="AP14" s="63">
        <f>'Raw Datas'!AN81</f>
        <v>7.1710166666666657</v>
      </c>
      <c r="AQ14" s="63">
        <f>'Raw Datas'!AO81</f>
        <v>2.4753500000000002</v>
      </c>
      <c r="AR14" s="63" t="str">
        <f>'Raw Datas'!AP81</f>
        <v>0</v>
      </c>
      <c r="AS14" s="63">
        <f>'Raw Datas'!AQ81</f>
        <v>1.2662499999999999</v>
      </c>
      <c r="AT14" s="63">
        <f>'Raw Datas'!AR81</f>
        <v>2.0163666666666669</v>
      </c>
      <c r="AU14" s="63" t="str">
        <f>'Raw Datas'!AS81</f>
        <v>0</v>
      </c>
      <c r="AV14" s="63" t="str">
        <f>'Raw Datas'!AT81</f>
        <v>0</v>
      </c>
      <c r="AW14" s="63">
        <f>'Raw Datas'!AU81</f>
        <v>1.4905200000000003</v>
      </c>
      <c r="AX14" s="63">
        <f>'Raw Datas'!AV81</f>
        <v>4.039159999999999</v>
      </c>
      <c r="AY14" s="63" t="str">
        <f>'Raw Datas'!AW81</f>
        <v>0</v>
      </c>
      <c r="AZ14" s="63" t="str">
        <f>'Raw Datas'!AX81</f>
        <v>0</v>
      </c>
      <c r="BA14" s="63">
        <f>'Raw Datas'!AY81</f>
        <v>7.3167833333333334</v>
      </c>
      <c r="BB14" s="63">
        <f>'Raw Datas'!AZ81</f>
        <v>1.3601166666666666</v>
      </c>
      <c r="BC14" s="63">
        <f>'Raw Datas'!BA81</f>
        <v>2.1952833333333333</v>
      </c>
      <c r="BD14" s="63">
        <f>'Raw Datas'!BB81</f>
        <v>0.51713333333333333</v>
      </c>
      <c r="BE14" s="63">
        <f>'Raw Datas'!BC81</f>
        <v>3.7424666666666666</v>
      </c>
      <c r="BF14" s="63">
        <f>'Raw Datas'!BD81</f>
        <v>8.8316000000000017</v>
      </c>
      <c r="BG14" s="63">
        <f>'Raw Datas'!BE81</f>
        <v>1.3700833333333333</v>
      </c>
      <c r="BH14" s="63" t="str">
        <f>'Raw Datas'!BF81</f>
        <v>0</v>
      </c>
      <c r="BI14" s="63" t="str">
        <f>'Raw Datas'!BG81</f>
        <v>0</v>
      </c>
      <c r="BJ14" s="63">
        <f>'Raw Datas'!BH81</f>
        <v>5.0181166666666668</v>
      </c>
      <c r="BK14" s="63" t="str">
        <f>'Raw Datas'!BI81</f>
        <v>0</v>
      </c>
      <c r="BL14" s="63">
        <f>'Raw Datas'!BJ81</f>
        <v>2.5586833333333336</v>
      </c>
      <c r="BM14" s="63">
        <f>'Raw Datas'!BK81</f>
        <v>10.336833333333335</v>
      </c>
      <c r="BN14" s="63">
        <f>'Raw Datas'!BL81</f>
        <v>8.0765333333333338</v>
      </c>
      <c r="BO14" s="63" t="str">
        <f>'Raw Datas'!BM81</f>
        <v>0</v>
      </c>
      <c r="BP14" s="63" t="str">
        <f>'Raw Datas'!BN81</f>
        <v>0</v>
      </c>
      <c r="BQ14" s="63" t="str">
        <f>'Raw Datas'!BO81</f>
        <v>0</v>
      </c>
      <c r="BR14" s="63">
        <f>'Raw Datas'!BP81</f>
        <v>10.097916666666666</v>
      </c>
      <c r="BS14" s="63" t="str">
        <f>'Raw Datas'!BQ81</f>
        <v>0</v>
      </c>
      <c r="BT14" s="63" t="str">
        <f>'Raw Datas'!BR81</f>
        <v>0</v>
      </c>
      <c r="BU14" s="63">
        <f>'Raw Datas'!BS81</f>
        <v>2.1078333333333332</v>
      </c>
      <c r="BV14" s="63" t="str">
        <f>'Raw Datas'!BT81</f>
        <v>0</v>
      </c>
      <c r="BW14" s="63" t="str">
        <f>'Raw Datas'!BU81</f>
        <v>0</v>
      </c>
      <c r="BX14" s="63" t="str">
        <f>'Raw Datas'!BV81</f>
        <v>0</v>
      </c>
      <c r="BY14" s="63">
        <f>'Raw Datas'!BW81</f>
        <v>2.4464166666666665</v>
      </c>
      <c r="BZ14" s="63">
        <f>'Raw Datas'!BX81</f>
        <v>2.6590166666666666</v>
      </c>
      <c r="CA14" s="63" t="str">
        <f>'Raw Datas'!BY81</f>
        <v>0</v>
      </c>
      <c r="CB14" s="63" t="str">
        <f>'Raw Datas'!BZ81</f>
        <v>0</v>
      </c>
      <c r="CC14" s="63" t="str">
        <f>'Raw Datas'!CA81</f>
        <v>0</v>
      </c>
      <c r="CD14" s="63">
        <f>'Raw Datas'!CB81</f>
        <v>2.1677833333333334</v>
      </c>
      <c r="CE14" s="63">
        <f>'Raw Datas'!CC81</f>
        <v>1.5627</v>
      </c>
      <c r="CF14" s="63">
        <f>'Raw Datas'!CD81</f>
        <v>1.0324333333333333</v>
      </c>
      <c r="CG14" s="63" t="str">
        <f>'Raw Datas'!CE81</f>
        <v>0</v>
      </c>
      <c r="CH14" s="63">
        <f>'Raw Datas'!CF81</f>
        <v>0.81991666666666663</v>
      </c>
      <c r="CI14" s="63" t="str">
        <f>'Raw Datas'!CG81</f>
        <v>0</v>
      </c>
      <c r="CJ14" s="63" t="str">
        <f>'Raw Datas'!CH81</f>
        <v>0</v>
      </c>
      <c r="CK14" s="63">
        <f>'Raw Datas'!CI81</f>
        <v>7.6003666666666678</v>
      </c>
      <c r="CL14" s="63" t="str">
        <f>'Raw Datas'!CJ81</f>
        <v>0</v>
      </c>
      <c r="CM14" s="63" t="str">
        <f>'Raw Datas'!CK81</f>
        <v>0</v>
      </c>
      <c r="CN14" s="63" t="str">
        <f>'Raw Datas'!CL81</f>
        <v>0</v>
      </c>
      <c r="CO14" s="63">
        <f>'Raw Datas'!CM81</f>
        <v>4.1228333333333333</v>
      </c>
      <c r="CP14" s="63">
        <f>'Raw Datas'!CN81</f>
        <v>3.6087166666666666</v>
      </c>
      <c r="CQ14" s="63" t="str">
        <f>'Raw Datas'!CO81</f>
        <v>0</v>
      </c>
      <c r="CR14" s="63">
        <f>'Raw Datas'!CP81</f>
        <v>2.1637166666666667</v>
      </c>
      <c r="CS14" s="63">
        <f>'Raw Datas'!CQ81</f>
        <v>2.3006666666666664</v>
      </c>
      <c r="CT14" s="63">
        <f>'Raw Datas'!CR81</f>
        <v>3.0596999999999999</v>
      </c>
      <c r="CU14" s="63">
        <f>'Raw Datas'!CS81</f>
        <v>1.27685</v>
      </c>
      <c r="CV14" s="63">
        <f>'Raw Datas'!CT81</f>
        <v>2.6612</v>
      </c>
      <c r="CW14" s="63">
        <f>'Raw Datas'!CU81</f>
        <v>4.6689999999999996</v>
      </c>
      <c r="CX14" s="63">
        <f>'Raw Datas'!CV81</f>
        <v>2.8646000000000003</v>
      </c>
      <c r="CY14" s="63" t="str">
        <f>'Raw Datas'!CW81</f>
        <v>0</v>
      </c>
      <c r="CZ14" s="63">
        <f>'Raw Datas'!CX81</f>
        <v>0.62243333333333328</v>
      </c>
      <c r="DA14" s="63">
        <f>'Raw Datas'!CY81</f>
        <v>2.6598833333333336</v>
      </c>
      <c r="DB14" s="63">
        <f>'Raw Datas'!CZ81</f>
        <v>1.0734833333333333</v>
      </c>
      <c r="DC14" s="63" t="str">
        <f>'Raw Datas'!DA81</f>
        <v>0</v>
      </c>
      <c r="DD14" s="63" t="str">
        <f>'Raw Datas'!DB81</f>
        <v>0</v>
      </c>
      <c r="DE14" s="63">
        <f>'Raw Datas'!DC81</f>
        <v>3.9828499999999996</v>
      </c>
      <c r="DF14" s="63">
        <f>'Raw Datas'!DD81</f>
        <v>9.4775166666666664</v>
      </c>
      <c r="DG14" s="63" t="str">
        <f>'Raw Datas'!DE81</f>
        <v>0</v>
      </c>
      <c r="DH14" s="63" t="str">
        <f>'Raw Datas'!DF81</f>
        <v>0</v>
      </c>
      <c r="DI14" s="63">
        <f>'Raw Datas'!DG81</f>
        <v>2.7706166666666667</v>
      </c>
      <c r="DJ14" s="63">
        <f>'Raw Datas'!DH81</f>
        <v>1.4110333333333334</v>
      </c>
      <c r="DK14" s="63" t="str">
        <f>'Raw Datas'!DI81</f>
        <v>0</v>
      </c>
      <c r="DL14" s="63">
        <f>'Raw Datas'!DJ81</f>
        <v>1.0654333333333335</v>
      </c>
      <c r="DM14" s="63">
        <f>'Raw Datas'!DK81</f>
        <v>1.8652666666666666</v>
      </c>
      <c r="DN14" s="63">
        <f>'Raw Datas'!DL81</f>
        <v>1.2272000000000001</v>
      </c>
      <c r="DO14" s="63">
        <f>'Raw Datas'!DM81</f>
        <v>3.7907500000000001</v>
      </c>
      <c r="DP14" s="63" t="str">
        <f>'Raw Datas'!DN81</f>
        <v>0</v>
      </c>
      <c r="DQ14" s="63">
        <f>'Raw Datas'!DO81</f>
        <v>5.8945499999999997</v>
      </c>
      <c r="DR14" s="63" t="str">
        <f>'Raw Datas'!DP81</f>
        <v>0</v>
      </c>
      <c r="DS14" s="63">
        <f>'Raw Datas'!DQ81</f>
        <v>2.0725666666666664</v>
      </c>
      <c r="DT14" s="63">
        <f>'Raw Datas'!DR81</f>
        <v>1.7430666666666665</v>
      </c>
      <c r="DU14" s="63">
        <f>'Raw Datas'!DS81</f>
        <v>3.7060833333333334</v>
      </c>
      <c r="DV14" s="63" t="str">
        <f>'Raw Datas'!DT81</f>
        <v>0</v>
      </c>
      <c r="DW14" s="63" t="str">
        <f>'Raw Datas'!DU81</f>
        <v>0</v>
      </c>
      <c r="DX14" s="63">
        <f>'Raw Datas'!DV81</f>
        <v>3.8067833333333332</v>
      </c>
      <c r="DY14" s="63">
        <f>'Raw Datas'!DW81</f>
        <v>4.7441500000000003</v>
      </c>
      <c r="DZ14" s="63">
        <f>'Raw Datas'!DX81</f>
        <v>0.87983333333333336</v>
      </c>
      <c r="EA14" s="63" t="str">
        <f>'Raw Datas'!DY81</f>
        <v>0</v>
      </c>
      <c r="EB14" s="63">
        <f>'Raw Datas'!DZ81</f>
        <v>0.7472833333333333</v>
      </c>
      <c r="EC14" s="63">
        <f>'Raw Datas'!EA81</f>
        <v>4.1116166666666665</v>
      </c>
      <c r="ED14" s="63">
        <f>'Raw Datas'!EB81</f>
        <v>3.2105833333333331</v>
      </c>
      <c r="EE14" s="63" t="str">
        <f>'Raw Datas'!EC81</f>
        <v>0</v>
      </c>
      <c r="EF14" s="63">
        <f>'Raw Datas'!ED81</f>
        <v>2.4615999999999998</v>
      </c>
      <c r="EG14" s="63">
        <f>'Raw Datas'!EE81</f>
        <v>0.39481666666666665</v>
      </c>
      <c r="EH14" s="63" t="str">
        <f>'Raw Datas'!EF81</f>
        <v>0</v>
      </c>
      <c r="EI14" s="63">
        <f>'Raw Datas'!EG81</f>
        <v>0.85196666666666654</v>
      </c>
      <c r="EJ14" s="63">
        <f>'Raw Datas'!EH81</f>
        <v>0.68035000000000001</v>
      </c>
      <c r="EK14" s="63">
        <f>'Raw Datas'!EI81</f>
        <v>0.85123333333333329</v>
      </c>
      <c r="EL14" s="63">
        <f>'Raw Datas'!EJ81</f>
        <v>1.4108166666666666</v>
      </c>
      <c r="EM14" s="63">
        <f>'Raw Datas'!EK81</f>
        <v>3.3922666666666665</v>
      </c>
      <c r="EN14" s="63" t="str">
        <f>'Raw Datas'!EL81</f>
        <v>0</v>
      </c>
      <c r="EO14" s="63">
        <f>'Raw Datas'!EM81</f>
        <v>2.3075999999999999</v>
      </c>
      <c r="EP14" s="63">
        <f>'Raw Datas'!EN81</f>
        <v>1.5876166666666667</v>
      </c>
      <c r="EQ14" s="63" t="str">
        <f>'Raw Datas'!EO81</f>
        <v>0</v>
      </c>
      <c r="ER14" s="63" t="str">
        <f>'Raw Datas'!EP81</f>
        <v>0</v>
      </c>
      <c r="ES14" s="63">
        <f>'Raw Datas'!EQ81</f>
        <v>6.3778833333333331</v>
      </c>
      <c r="ET14" s="63">
        <f>'Raw Datas'!ER81</f>
        <v>3.4591833333333333</v>
      </c>
      <c r="EU14" s="63">
        <f>'Raw Datas'!ES81</f>
        <v>3.4482499999999998</v>
      </c>
      <c r="EV14" s="63">
        <f>'Raw Datas'!ET81</f>
        <v>0.98724999999999996</v>
      </c>
      <c r="EW14" s="63">
        <f>'Raw Datas'!EU81</f>
        <v>10.427733333333332</v>
      </c>
      <c r="EX14" s="63">
        <f>'Raw Datas'!EV81</f>
        <v>1.2888500000000001</v>
      </c>
      <c r="EY14" s="63">
        <f>'Raw Datas'!EW81</f>
        <v>0.54178333333333339</v>
      </c>
      <c r="EZ14" s="63">
        <f>'Raw Datas'!EX81</f>
        <v>7.1046166666666668</v>
      </c>
      <c r="FA14" s="63">
        <f>'Raw Datas'!EY81</f>
        <v>8.7318333333333324</v>
      </c>
      <c r="FB14" s="63">
        <f>'Raw Datas'!EZ81</f>
        <v>2.6745333333333337</v>
      </c>
      <c r="FC14" s="63">
        <f>'Raw Datas'!FA81</f>
        <v>1.0346166666666667</v>
      </c>
      <c r="FD14" s="63" t="str">
        <f>'Raw Datas'!FB81</f>
        <v>0</v>
      </c>
      <c r="FE14" s="63">
        <f>'Raw Datas'!FC81</f>
        <v>2.4259666666666666</v>
      </c>
      <c r="FF14" s="63" t="str">
        <f>'Raw Datas'!FD81</f>
        <v>0</v>
      </c>
      <c r="FG14" s="63" t="str">
        <f>'Raw Datas'!FE81</f>
        <v>0</v>
      </c>
      <c r="FH14" s="63">
        <f>'Raw Datas'!FF81</f>
        <v>7.8145999999999995</v>
      </c>
      <c r="FI14" s="63">
        <f>'Raw Datas'!FG81</f>
        <v>1.7201333333333333</v>
      </c>
      <c r="FJ14" s="63">
        <f>'Raw Datas'!FH81</f>
        <v>1.9694</v>
      </c>
      <c r="FK14" s="63">
        <f>'Raw Datas'!FI81</f>
        <v>2.1083500000000002</v>
      </c>
      <c r="FL14" s="63">
        <f>'Raw Datas'!FJ81</f>
        <v>10.375333333333334</v>
      </c>
      <c r="FM14" s="63">
        <f>'Raw Datas'!FK81</f>
        <v>2.3200333333333334</v>
      </c>
      <c r="FN14" s="63">
        <f>'Raw Datas'!FL81</f>
        <v>1.8708</v>
      </c>
      <c r="FO14" s="63">
        <f>'Raw Datas'!FM81</f>
        <v>1.3322000000000001</v>
      </c>
      <c r="FP14" s="63" t="str">
        <f>'Raw Datas'!FN81</f>
        <v>0</v>
      </c>
      <c r="FQ14" s="63">
        <f>'Raw Datas'!FO81</f>
        <v>2.4813666666666667</v>
      </c>
    </row>
    <row r="15" spans="1:173" ht="15" customHeight="1" thickBot="1" x14ac:dyDescent="0.25">
      <c r="B15" s="97" t="s">
        <v>345</v>
      </c>
      <c r="C15" s="107" t="s">
        <v>775</v>
      </c>
      <c r="D15" s="61">
        <f>'Raw Datas'!C87</f>
        <v>0.28581666666666666</v>
      </c>
      <c r="E15" s="61">
        <f>'Raw Datas'!D87</f>
        <v>0.20909999999999998</v>
      </c>
      <c r="F15" s="61">
        <f>'Raw Datas'!E87</f>
        <v>0.23959999999999998</v>
      </c>
      <c r="G15" s="61">
        <f>'Raw Datas'!F87</f>
        <v>2.0031666666666665</v>
      </c>
      <c r="H15" s="61">
        <f>'Raw Datas'!G87</f>
        <v>0.40756666666666663</v>
      </c>
      <c r="I15" s="61">
        <f>'Raw Datas'!H87</f>
        <v>0.23084999999999997</v>
      </c>
      <c r="J15" s="61">
        <f>'Raw Datas'!I87</f>
        <v>0.10843333333333333</v>
      </c>
      <c r="K15" s="61">
        <f>'Raw Datas'!J87</f>
        <v>7.8516666666666665E-2</v>
      </c>
      <c r="L15" s="61">
        <f>'Raw Datas'!K87</f>
        <v>0.43979999999999997</v>
      </c>
      <c r="M15" s="61">
        <f>'Raw Datas'!L87</f>
        <v>2.0112999999999999</v>
      </c>
      <c r="N15" s="61">
        <f>'Raw Datas'!M87</f>
        <v>0.29068333333333329</v>
      </c>
      <c r="O15" s="61">
        <f>'Raw Datas'!N87</f>
        <v>0.47341666666666671</v>
      </c>
      <c r="P15" s="61">
        <f>'Raw Datas'!O87</f>
        <v>0.24301666666666666</v>
      </c>
      <c r="Q15" s="61">
        <f>'Raw Datas'!P87</f>
        <v>0.50816666666666666</v>
      </c>
      <c r="R15" s="61">
        <f>'Raw Datas'!Q87</f>
        <v>1.7056666666666667</v>
      </c>
      <c r="S15" s="61">
        <f>'Raw Datas'!R87</f>
        <v>3.5438166666666664</v>
      </c>
      <c r="T15" s="61">
        <f>'Raw Datas'!S87</f>
        <v>0.56936666666666669</v>
      </c>
      <c r="U15" s="61">
        <f>'Raw Datas'!T87</f>
        <v>0.188</v>
      </c>
      <c r="V15" s="61">
        <f>'Raw Datas'!U87</f>
        <v>0.49278333333333335</v>
      </c>
      <c r="W15" s="61">
        <f>'Raw Datas'!V87</f>
        <v>0.45856666666666668</v>
      </c>
      <c r="X15" s="61">
        <f>'Raw Datas'!W87</f>
        <v>0.59477142857142862</v>
      </c>
      <c r="Y15" s="61">
        <f>'Raw Datas'!X87</f>
        <v>6.6679999999999989E-2</v>
      </c>
      <c r="Z15" s="61">
        <f>'Raw Datas'!Y87</f>
        <v>0.16906666666666667</v>
      </c>
      <c r="AA15" s="61">
        <f>'Raw Datas'!Z87</f>
        <v>3.2901400000000001</v>
      </c>
      <c r="AB15" s="61">
        <f>'Raw Datas'!AA87</f>
        <v>0.16694999999999999</v>
      </c>
      <c r="AC15" s="61">
        <f>'Raw Datas'!AB87</f>
        <v>0.52861666666666662</v>
      </c>
      <c r="AD15" s="61">
        <f>'Raw Datas'!AC87</f>
        <v>0.22391666666666665</v>
      </c>
      <c r="AE15" s="61">
        <f>'Raw Datas'!AD87</f>
        <v>0.39091666666666663</v>
      </c>
      <c r="AF15" s="61">
        <f>'Raw Datas'!AE87</f>
        <v>0.14256666666666667</v>
      </c>
      <c r="AG15" s="61">
        <f>'Raw Datas'!AF87</f>
        <v>0.7825333333333333</v>
      </c>
      <c r="AH15" s="61">
        <f>'Raw Datas'!AG87</f>
        <v>1.4867833333333331</v>
      </c>
      <c r="AI15" s="61">
        <f>'Raw Datas'!AH87</f>
        <v>0.63180000000000003</v>
      </c>
      <c r="AJ15" s="61">
        <f>'Raw Datas'!AI87</f>
        <v>0.85808333333333331</v>
      </c>
      <c r="AK15" s="61">
        <f>'Raw Datas'!AJ87</f>
        <v>0.52823333333333333</v>
      </c>
      <c r="AL15" s="61">
        <f>'Raw Datas'!AK87</f>
        <v>0.27591666666666664</v>
      </c>
      <c r="AM15" s="61">
        <f>'Raw Datas'!AL87</f>
        <v>1.0558666666666667</v>
      </c>
      <c r="AN15" s="61">
        <f>'Raw Datas'!AM87</f>
        <v>1.2067000000000001</v>
      </c>
      <c r="AO15" s="61">
        <f>'Raw Datas'!AN87</f>
        <v>0.46768333333333334</v>
      </c>
      <c r="AP15" s="61">
        <f>'Raw Datas'!AO87</f>
        <v>0.17733333333333334</v>
      </c>
      <c r="AQ15" s="61">
        <f>'Raw Datas'!AP87</f>
        <v>0.73061666666666669</v>
      </c>
      <c r="AR15" s="61">
        <f>'Raw Datas'!AQ87</f>
        <v>2.6803833333333333</v>
      </c>
      <c r="AS15" s="61">
        <f>'Raw Datas'!AR87</f>
        <v>0.16786666666666669</v>
      </c>
      <c r="AT15" s="61">
        <f>'Raw Datas'!AS87</f>
        <v>1.7397666666666667</v>
      </c>
      <c r="AU15" s="61">
        <f>'Raw Datas'!AT87</f>
        <v>0.92558333333333331</v>
      </c>
      <c r="AV15" s="61">
        <f>'Raw Datas'!AU87</f>
        <v>0.13832</v>
      </c>
      <c r="AW15" s="61">
        <f>'Raw Datas'!AV87</f>
        <v>0.10183999999999999</v>
      </c>
      <c r="AX15" s="61">
        <f>'Raw Datas'!AW87</f>
        <v>0.33800000000000002</v>
      </c>
      <c r="AY15" s="61">
        <f>'Raw Datas'!AX87</f>
        <v>0.21903333333333333</v>
      </c>
      <c r="AZ15" s="61">
        <f>'Raw Datas'!AY87</f>
        <v>0.92830000000000001</v>
      </c>
      <c r="BA15" s="61">
        <f>'Raw Datas'!AZ87</f>
        <v>0.21791666666666668</v>
      </c>
      <c r="BB15" s="61">
        <f>'Raw Datas'!BA87</f>
        <v>0.32043333333333329</v>
      </c>
      <c r="BC15" s="61">
        <f>'Raw Datas'!BB87</f>
        <v>0.11741666666666667</v>
      </c>
      <c r="BD15" s="61">
        <f>'Raw Datas'!BC87</f>
        <v>0.28699999999999998</v>
      </c>
      <c r="BE15" s="61">
        <f>'Raw Datas'!BD87</f>
        <v>0.23415</v>
      </c>
      <c r="BF15" s="61">
        <f>'Raw Datas'!BE87</f>
        <v>0.21939999999999998</v>
      </c>
      <c r="BG15" s="61">
        <f>'Raw Datas'!BF87</f>
        <v>2.6203500000000002</v>
      </c>
      <c r="BH15" s="61">
        <f>'Raw Datas'!BG87</f>
        <v>0.16326666666666664</v>
      </c>
      <c r="BI15" s="61">
        <f>'Raw Datas'!BH87</f>
        <v>3.40265</v>
      </c>
      <c r="BJ15" s="61">
        <f>'Raw Datas'!BI87</f>
        <v>2.1504833333333333</v>
      </c>
      <c r="BK15" s="61">
        <f>'Raw Datas'!BJ87</f>
        <v>4.1920166666666665</v>
      </c>
      <c r="BL15" s="61">
        <f>'Raw Datas'!BK87</f>
        <v>0.67230000000000001</v>
      </c>
      <c r="BM15" s="61">
        <f>'Raw Datas'!BL87</f>
        <v>15.065666666666667</v>
      </c>
      <c r="BN15" s="61">
        <f>'Raw Datas'!BM87</f>
        <v>17.187428571428569</v>
      </c>
      <c r="BO15" s="61">
        <f>'Raw Datas'!BN87</f>
        <v>18.27313333333333</v>
      </c>
      <c r="BP15" s="61">
        <f>'Raw Datas'!BO87</f>
        <v>56.307699999999997</v>
      </c>
      <c r="BQ15" s="61">
        <f>'Raw Datas'!BP87</f>
        <v>27.954116666666668</v>
      </c>
      <c r="BR15" s="61">
        <f>'Raw Datas'!BQ87</f>
        <v>1.2273000000000001</v>
      </c>
      <c r="BS15" s="61">
        <f>'Raw Datas'!BR87</f>
        <v>0.50554285714285718</v>
      </c>
      <c r="BT15" s="61">
        <f>'Raw Datas'!BS87</f>
        <v>61.874050000000004</v>
      </c>
      <c r="BU15" s="61">
        <f>'Raw Datas'!BT87</f>
        <v>4.9980333333333338</v>
      </c>
      <c r="BV15" s="61">
        <f>'Raw Datas'!BU87</f>
        <v>1.8054833333333336</v>
      </c>
      <c r="BW15" s="61">
        <f>'Raw Datas'!BV87</f>
        <v>1.6138333333333332</v>
      </c>
      <c r="BX15" s="61">
        <f>'Raw Datas'!BW87</f>
        <v>2.0467666666666666</v>
      </c>
      <c r="BY15" s="61">
        <f>'Raw Datas'!BX87</f>
        <v>0.34921666666666668</v>
      </c>
      <c r="BZ15" s="61">
        <f>'Raw Datas'!BY87</f>
        <v>1.4857666666666667</v>
      </c>
      <c r="CA15" s="61">
        <f>'Raw Datas'!BZ87</f>
        <v>1.0634833333333333</v>
      </c>
      <c r="CB15" s="61">
        <f>'Raw Datas'!CA87</f>
        <v>1.5531000000000001</v>
      </c>
      <c r="CC15" s="61">
        <f>'Raw Datas'!CB87</f>
        <v>0.53120000000000001</v>
      </c>
      <c r="CD15" s="61">
        <f>'Raw Datas'!CC87</f>
        <v>0.25261666666666666</v>
      </c>
      <c r="CE15" s="61">
        <f>'Raw Datas'!CD87</f>
        <v>0.43086666666666668</v>
      </c>
      <c r="CF15" s="61">
        <f>'Raw Datas'!CE87</f>
        <v>3.0249499999999996</v>
      </c>
      <c r="CG15" s="61">
        <f>'Raw Datas'!CF87</f>
        <v>0.47503333333333336</v>
      </c>
      <c r="CH15" s="61">
        <f>'Raw Datas'!CG87</f>
        <v>0.59916666666666674</v>
      </c>
      <c r="CI15" s="61">
        <f>'Raw Datas'!CH87</f>
        <v>0.46100000000000002</v>
      </c>
      <c r="CJ15" s="61">
        <f>'Raw Datas'!CI87</f>
        <v>1.7525833333333334</v>
      </c>
      <c r="CK15" s="61">
        <f>'Raw Datas'!CJ87</f>
        <v>0.29657777777777777</v>
      </c>
      <c r="CL15" s="61">
        <f>'Raw Datas'!CK87</f>
        <v>0.18283333333333332</v>
      </c>
      <c r="CM15" s="61">
        <f>'Raw Datas'!CL87</f>
        <v>0.37719999999999998</v>
      </c>
      <c r="CN15" s="61">
        <f>'Raw Datas'!CM87</f>
        <v>0.25240000000000001</v>
      </c>
      <c r="CO15" s="61">
        <f>'Raw Datas'!CN87</f>
        <v>0.19738333333333333</v>
      </c>
      <c r="CP15" s="61">
        <f>'Raw Datas'!CO87</f>
        <v>0.11006666666666667</v>
      </c>
      <c r="CQ15" s="61">
        <f>'Raw Datas'!CP87</f>
        <v>0.87616666666666654</v>
      </c>
      <c r="CR15" s="61">
        <f>'Raw Datas'!CQ87</f>
        <v>0.71406666666666652</v>
      </c>
      <c r="CS15" s="61">
        <f>'Raw Datas'!CR87</f>
        <v>0.77436666666666676</v>
      </c>
      <c r="CT15" s="61">
        <f>'Raw Datas'!CS87</f>
        <v>0.11488333333333335</v>
      </c>
      <c r="CU15" s="61">
        <f>'Raw Datas'!CT87</f>
        <v>0.51626666666666665</v>
      </c>
      <c r="CV15" s="61">
        <f>'Raw Datas'!CU87</f>
        <v>0.19729999999999998</v>
      </c>
      <c r="CW15" s="61">
        <f>'Raw Datas'!CV87</f>
        <v>6.1050000000000007E-2</v>
      </c>
      <c r="CX15" s="61">
        <f>'Raw Datas'!CW87</f>
        <v>0.5158666666666667</v>
      </c>
      <c r="CY15" s="61">
        <f>'Raw Datas'!CX87</f>
        <v>0.22430000000000003</v>
      </c>
      <c r="CZ15" s="61">
        <f>'Raw Datas'!CY87</f>
        <v>0.40798333333333336</v>
      </c>
      <c r="DA15" s="61">
        <f>'Raw Datas'!CZ87</f>
        <v>0.37680000000000002</v>
      </c>
      <c r="DB15" s="61">
        <f>'Raw Datas'!DA87</f>
        <v>0.13793333333333332</v>
      </c>
      <c r="DC15" s="61">
        <f>'Raw Datas'!DB87</f>
        <v>0.31678333333333336</v>
      </c>
      <c r="DD15" s="61">
        <f>'Raw Datas'!DC87</f>
        <v>0.17706666666666668</v>
      </c>
      <c r="DE15" s="61">
        <f>'Raw Datas'!DD87</f>
        <v>9.0766666666666662E-2</v>
      </c>
      <c r="DF15" s="61">
        <f>'Raw Datas'!DE87</f>
        <v>0.53621666666666667</v>
      </c>
      <c r="DG15" s="61">
        <f>'Raw Datas'!DF87</f>
        <v>0.83791666666666664</v>
      </c>
      <c r="DH15" s="61">
        <f>'Raw Datas'!DG87</f>
        <v>0.9180666666666667</v>
      </c>
      <c r="DI15" s="61">
        <f>'Raw Datas'!DH87</f>
        <v>-5.0000000000000001E-4</v>
      </c>
      <c r="DJ15" s="61">
        <f>'Raw Datas'!DI87</f>
        <v>0.26513333333333333</v>
      </c>
      <c r="DK15" s="61">
        <f>'Raw Datas'!DJ87</f>
        <v>0.93394999999999995</v>
      </c>
      <c r="DL15" s="61">
        <f>'Raw Datas'!DK87</f>
        <v>3.965066666666667</v>
      </c>
      <c r="DM15" s="61">
        <f>'Raw Datas'!DL87</f>
        <v>-1.3500000000000002E-2</v>
      </c>
      <c r="DN15" s="61">
        <f>'Raw Datas'!DM87</f>
        <v>0.21195</v>
      </c>
      <c r="DO15" s="61">
        <f>'Raw Datas'!DN87</f>
        <v>0.42849999999999999</v>
      </c>
      <c r="DP15" s="61">
        <f>'Raw Datas'!DO87</f>
        <v>0.19748333333333334</v>
      </c>
      <c r="DQ15" s="61">
        <f>'Raw Datas'!DP87</f>
        <v>0.98240000000000005</v>
      </c>
      <c r="DR15" s="61">
        <f>'Raw Datas'!DQ87</f>
        <v>0.4467166666666666</v>
      </c>
      <c r="DS15" s="61">
        <f>'Raw Datas'!DR87</f>
        <v>0.1211</v>
      </c>
      <c r="DT15" s="61">
        <f>'Raw Datas'!DS87</f>
        <v>0.23773333333333332</v>
      </c>
      <c r="DU15" s="61">
        <f>'Raw Datas'!DT87</f>
        <v>0.20873333333333333</v>
      </c>
      <c r="DV15" s="61">
        <f>'Raw Datas'!DU87</f>
        <v>1.7006500000000002</v>
      </c>
      <c r="DW15" s="61">
        <f>'Raw Datas'!DV87</f>
        <v>0.36186666666666661</v>
      </c>
      <c r="DX15" s="61">
        <f>'Raw Datas'!DW87</f>
        <v>1.1689333333333332</v>
      </c>
      <c r="DY15" s="61">
        <f>'Raw Datas'!DX87</f>
        <v>0.16389999999999999</v>
      </c>
      <c r="DZ15" s="61">
        <f>'Raw Datas'!DY87</f>
        <v>0.39838333333333331</v>
      </c>
      <c r="EA15" s="61">
        <f>'Raw Datas'!DZ87</f>
        <v>0.97383333333333333</v>
      </c>
      <c r="EB15" s="61">
        <f>'Raw Datas'!EA87</f>
        <v>0.37233333333333335</v>
      </c>
      <c r="EC15" s="61">
        <f>'Raw Datas'!EB87</f>
        <v>0.21146666666666664</v>
      </c>
      <c r="ED15" s="61">
        <f>'Raw Datas'!EC87</f>
        <v>0.54273333333333329</v>
      </c>
      <c r="EE15" s="61">
        <f>'Raw Datas'!ED87</f>
        <v>0.33901666666666669</v>
      </c>
      <c r="EF15" s="61">
        <f>'Raw Datas'!EE87</f>
        <v>8.5833333333333345E-2</v>
      </c>
      <c r="EG15" s="61">
        <f>'Raw Datas'!EF87</f>
        <v>0.58991666666666664</v>
      </c>
      <c r="EH15" s="61">
        <f>'Raw Datas'!EG87</f>
        <v>0.64008333333333334</v>
      </c>
      <c r="EI15" s="61">
        <f>'Raw Datas'!EH87</f>
        <v>0.62423333333333331</v>
      </c>
      <c r="EJ15" s="61">
        <f>'Raw Datas'!EI87</f>
        <v>5.0349999999999999E-2</v>
      </c>
      <c r="EK15" s="61">
        <f>'Raw Datas'!EJ87</f>
        <v>0.78575000000000006</v>
      </c>
      <c r="EL15" s="61">
        <f>'Raw Datas'!EK87</f>
        <v>0.39265</v>
      </c>
      <c r="EM15" s="61">
        <f>'Raw Datas'!EL87</f>
        <v>0.2469166666666667</v>
      </c>
      <c r="EN15" s="61">
        <f>'Raw Datas'!EM87</f>
        <v>4.1524999999999999</v>
      </c>
      <c r="EO15" s="61">
        <f>'Raw Datas'!EN87</f>
        <v>0.88701666666666656</v>
      </c>
      <c r="EP15" s="61">
        <f>'Raw Datas'!EO87</f>
        <v>0.47591666666666665</v>
      </c>
      <c r="EQ15" s="61">
        <f>'Raw Datas'!EP87</f>
        <v>1.4662333333333331</v>
      </c>
      <c r="ER15" s="61">
        <f>'Raw Datas'!EQ87</f>
        <v>0.23551666666666668</v>
      </c>
      <c r="ES15" s="61">
        <f>'Raw Datas'!ER87</f>
        <v>0.20594999999999999</v>
      </c>
      <c r="ET15" s="61">
        <f>'Raw Datas'!ES87</f>
        <v>0.19196666666666665</v>
      </c>
      <c r="EU15" s="61">
        <f>'Raw Datas'!ET87</f>
        <v>0.79441666666666666</v>
      </c>
      <c r="EV15" s="61">
        <f>'Raw Datas'!EU87</f>
        <v>0.34598333333333336</v>
      </c>
      <c r="EW15" s="61">
        <f>'Raw Datas'!EV87</f>
        <v>0.28026666666666666</v>
      </c>
      <c r="EX15" s="61">
        <f>'Raw Datas'!EW87</f>
        <v>0.25159999999999999</v>
      </c>
      <c r="EY15" s="61">
        <f>'Raw Datas'!EX87</f>
        <v>0.15725</v>
      </c>
      <c r="EZ15" s="61">
        <f>'Raw Datas'!EY87</f>
        <v>2.9873999999999996</v>
      </c>
      <c r="FA15" s="61">
        <f>'Raw Datas'!EZ87</f>
        <v>0.32965</v>
      </c>
      <c r="FB15" s="61">
        <f>'Raw Datas'!FA87</f>
        <v>8.9699999999999988E-2</v>
      </c>
      <c r="FC15" s="61">
        <f>'Raw Datas'!FB87</f>
        <v>0.30941666666666667</v>
      </c>
      <c r="FD15" s="61">
        <f>'Raw Datas'!FC87</f>
        <v>1.2863</v>
      </c>
      <c r="FE15" s="61">
        <f>'Raw Datas'!FD87</f>
        <v>0.18129999999999999</v>
      </c>
      <c r="FF15" s="61">
        <f>'Raw Datas'!FE87</f>
        <v>0.39173333333333338</v>
      </c>
      <c r="FG15" s="61">
        <f>'Raw Datas'!FF87</f>
        <v>0.22998333333333332</v>
      </c>
      <c r="FH15" s="61">
        <f>'Raw Datas'!FG87</f>
        <v>0.38971666666666666</v>
      </c>
      <c r="FI15" s="61">
        <f>'Raw Datas'!FH87</f>
        <v>0.47683333333333339</v>
      </c>
      <c r="FJ15" s="61">
        <f>'Raw Datas'!FI87</f>
        <v>0.5053833333333333</v>
      </c>
      <c r="FK15" s="61">
        <f>'Raw Datas'!FJ87</f>
        <v>0.12831666666666666</v>
      </c>
      <c r="FL15" s="61">
        <f>'Raw Datas'!FK87</f>
        <v>7.091666666666667E-2</v>
      </c>
      <c r="FM15" s="61">
        <f>'Raw Datas'!FL87</f>
        <v>0.1767</v>
      </c>
      <c r="FN15" s="61">
        <f>'Raw Datas'!FM87</f>
        <v>0.89729999999999999</v>
      </c>
      <c r="FO15" s="61">
        <f>'Raw Datas'!FN87</f>
        <v>0.34221666666666667</v>
      </c>
      <c r="FP15" s="61">
        <f>'Raw Datas'!FO87</f>
        <v>0.78630000000000011</v>
      </c>
    </row>
    <row r="16" spans="1:173" ht="15.75" customHeight="1" x14ac:dyDescent="0.2">
      <c r="A16" s="151" t="s">
        <v>370</v>
      </c>
      <c r="B16" s="94" t="s">
        <v>122</v>
      </c>
      <c r="C16" s="107" t="s">
        <v>769</v>
      </c>
      <c r="D16" s="107"/>
      <c r="E16" s="61">
        <f>'Raw Datas'!C94</f>
        <v>60.110000000000007</v>
      </c>
      <c r="F16" s="9">
        <f>'Raw Datas'!D94</f>
        <v>223.86981666666668</v>
      </c>
      <c r="G16" s="9">
        <f>'Raw Datas'!E94</f>
        <v>28.000933333333329</v>
      </c>
      <c r="H16" s="9">
        <f>'Raw Datas'!F94</f>
        <v>162.63759999999999</v>
      </c>
      <c r="I16" s="9">
        <f>'Raw Datas'!G94</f>
        <v>122.10464999999999</v>
      </c>
      <c r="J16" s="9">
        <f>'Raw Datas'!H94</f>
        <v>143.19369999999998</v>
      </c>
      <c r="K16" s="9">
        <f>'Raw Datas'!I94</f>
        <v>551.66066666666666</v>
      </c>
      <c r="L16" s="9">
        <f>'Raw Datas'!J94</f>
        <v>214.54028333333335</v>
      </c>
      <c r="M16" s="9">
        <f>'Raw Datas'!K94</f>
        <v>431.0721166666666</v>
      </c>
      <c r="N16" s="9">
        <f>'Raw Datas'!L94</f>
        <v>71.09086666666667</v>
      </c>
      <c r="O16" s="9">
        <f>'Raw Datas'!M94</f>
        <v>197.91578333333334</v>
      </c>
      <c r="P16" s="9">
        <f>'Raw Datas'!N94</f>
        <v>50.422766666666668</v>
      </c>
      <c r="Q16" s="9">
        <f>'Raw Datas'!O94</f>
        <v>246.52026666666669</v>
      </c>
      <c r="R16" s="9">
        <f>'Raw Datas'!P94</f>
        <v>165.83494999999999</v>
      </c>
      <c r="S16" s="9">
        <f>'Raw Datas'!Q94</f>
        <v>98.153166666666664</v>
      </c>
      <c r="T16" s="9">
        <f>'Raw Datas'!R94</f>
        <v>209.00958333333332</v>
      </c>
      <c r="U16" s="9">
        <f>'Raw Datas'!S94</f>
        <v>231.97386666666668</v>
      </c>
      <c r="V16" s="9">
        <f>'Raw Datas'!T94</f>
        <v>46.342333333333336</v>
      </c>
      <c r="W16" s="9">
        <f>'Raw Datas'!U94</f>
        <v>38.072733333333332</v>
      </c>
      <c r="X16" s="9">
        <f>'Raw Datas'!V94</f>
        <v>61.690666666666665</v>
      </c>
      <c r="Y16" s="9">
        <f>'Raw Datas'!W94</f>
        <v>128.68354285714287</v>
      </c>
      <c r="Z16" s="9">
        <f>'Raw Datas'!X94</f>
        <v>43.80348</v>
      </c>
      <c r="AA16" s="9">
        <f>'Raw Datas'!Y94</f>
        <v>308.68146666666667</v>
      </c>
      <c r="AB16" s="9">
        <f>'Raw Datas'!Z94</f>
        <v>157.71106</v>
      </c>
      <c r="AC16" s="9">
        <f>'Raw Datas'!AA94</f>
        <v>198.07669999999999</v>
      </c>
      <c r="AD16" s="9">
        <f>'Raw Datas'!AB94</f>
        <v>273.81428333333332</v>
      </c>
      <c r="AE16" s="9">
        <f>'Raw Datas'!AC94</f>
        <v>106.19616666666667</v>
      </c>
      <c r="AF16" s="9">
        <f>'Raw Datas'!AD94</f>
        <v>45.856133333333332</v>
      </c>
      <c r="AG16" s="9">
        <f>'Raw Datas'!AE94</f>
        <v>68.358866666666671</v>
      </c>
      <c r="AH16" s="9">
        <f>'Raw Datas'!AF94</f>
        <v>8.1821833333333327</v>
      </c>
      <c r="AI16" s="9">
        <f>'Raw Datas'!AG94</f>
        <v>63.621416666666661</v>
      </c>
      <c r="AJ16" s="9">
        <f>'Raw Datas'!AH94</f>
        <v>71.286783333333332</v>
      </c>
      <c r="AK16" s="9">
        <f>'Raw Datas'!AI94</f>
        <v>106.37280000000001</v>
      </c>
      <c r="AL16" s="9">
        <f>'Raw Datas'!AJ94</f>
        <v>290.3582833333333</v>
      </c>
      <c r="AM16" s="9">
        <f>'Raw Datas'!AK94</f>
        <v>104.91336666666666</v>
      </c>
      <c r="AN16" s="9">
        <f>'Raw Datas'!AL94</f>
        <v>75.81938333333332</v>
      </c>
      <c r="AO16" s="9">
        <f>'Raw Datas'!AM94</f>
        <v>137.45633333333336</v>
      </c>
      <c r="AP16" s="9">
        <f>'Raw Datas'!AN94</f>
        <v>108.55281666666666</v>
      </c>
      <c r="AQ16" s="9">
        <f>'Raw Datas'!AO94</f>
        <v>95.268133333333324</v>
      </c>
      <c r="AR16" s="9">
        <f>'Raw Datas'!AP94</f>
        <v>36.071066666666667</v>
      </c>
      <c r="AS16" s="9">
        <f>'Raw Datas'!AQ94</f>
        <v>132.92846666666665</v>
      </c>
      <c r="AT16" s="9">
        <f>'Raw Datas'!AR94</f>
        <v>51.000716666666669</v>
      </c>
      <c r="AU16" s="9">
        <f>'Raw Datas'!AS94</f>
        <v>89.817000000000007</v>
      </c>
      <c r="AV16" s="9">
        <f>'Raw Datas'!AT94</f>
        <v>93.929366666666667</v>
      </c>
      <c r="AW16" s="9">
        <f>'Raw Datas'!AU94</f>
        <v>47.361279999999994</v>
      </c>
      <c r="AX16" s="9">
        <f>'Raw Datas'!AV94</f>
        <v>67.896079999999998</v>
      </c>
      <c r="AY16" s="9">
        <f>'Raw Datas'!AW94</f>
        <v>34.700050000000005</v>
      </c>
      <c r="AZ16" s="9">
        <f>'Raw Datas'!AX94</f>
        <v>131.32813333333334</v>
      </c>
      <c r="BA16" s="9">
        <f>'Raw Datas'!AY94</f>
        <v>173.6671</v>
      </c>
      <c r="BB16" s="9">
        <f>'Raw Datas'!AZ94</f>
        <v>37.562750000000001</v>
      </c>
      <c r="BC16" s="9">
        <f>'Raw Datas'!BA94</f>
        <v>71.39703333333334</v>
      </c>
      <c r="BD16" s="9">
        <f>'Raw Datas'!BB94</f>
        <v>90.880966666666666</v>
      </c>
      <c r="BE16" s="9">
        <f>'Raw Datas'!BC94</f>
        <v>103.04704999999998</v>
      </c>
      <c r="BF16" s="9">
        <f>'Raw Datas'!BD94</f>
        <v>55.080199999999998</v>
      </c>
      <c r="BG16" s="9">
        <f>'Raw Datas'!BE94</f>
        <v>146.68530000000001</v>
      </c>
      <c r="BH16" s="9">
        <f>'Raw Datas'!BF94</f>
        <v>46.656483333333334</v>
      </c>
      <c r="BI16" s="9">
        <f>'Raw Datas'!BG94</f>
        <v>38.01423333333333</v>
      </c>
      <c r="BJ16" s="9">
        <f>'Raw Datas'!BH94</f>
        <v>129.12803333333332</v>
      </c>
      <c r="BK16" s="9">
        <f>'Raw Datas'!BI94</f>
        <v>153.50790000000001</v>
      </c>
      <c r="BL16" s="9">
        <f>'Raw Datas'!BJ94</f>
        <v>332.65163333333328</v>
      </c>
      <c r="BM16" s="9">
        <f>'Raw Datas'!BK94</f>
        <v>296.76788333333332</v>
      </c>
      <c r="BN16" s="9">
        <f>'Raw Datas'!BL94</f>
        <v>261.69086666666664</v>
      </c>
      <c r="BO16" s="9">
        <f>'Raw Datas'!BM94</f>
        <v>426.70885714285714</v>
      </c>
      <c r="BP16" s="9">
        <f>'Raw Datas'!BN94</f>
        <v>615.32083333333333</v>
      </c>
      <c r="BQ16" s="9">
        <f>'Raw Datas'!BO94</f>
        <v>198.35104999999996</v>
      </c>
      <c r="BR16" s="9">
        <f>'Raw Datas'!BP94</f>
        <v>239.46855000000002</v>
      </c>
      <c r="BS16" s="9">
        <f>'Raw Datas'!BQ94</f>
        <v>144.23748333333333</v>
      </c>
      <c r="BT16" s="9">
        <f>'Raw Datas'!BR94</f>
        <v>55.534942857142859</v>
      </c>
      <c r="BU16" s="9">
        <f>'Raw Datas'!BS94</f>
        <v>294.8271666666667</v>
      </c>
      <c r="BV16" s="9">
        <f>'Raw Datas'!BT94</f>
        <v>79.07371666666667</v>
      </c>
      <c r="BW16" s="9">
        <f>'Raw Datas'!BU94</f>
        <v>94.477000000000004</v>
      </c>
      <c r="BX16" s="9">
        <f>'Raw Datas'!BV94</f>
        <v>95.731849999999994</v>
      </c>
      <c r="BY16" s="9">
        <f>'Raw Datas'!BW94</f>
        <v>240.36003333333335</v>
      </c>
      <c r="BZ16" s="9">
        <f>'Raw Datas'!BX94</f>
        <v>39.700150000000001</v>
      </c>
      <c r="CA16" s="9">
        <f>'Raw Datas'!BY94</f>
        <v>305.53213333333332</v>
      </c>
      <c r="CB16" s="9">
        <f>'Raw Datas'!BZ94</f>
        <v>88.147233333333347</v>
      </c>
      <c r="CC16" s="9">
        <f>'Raw Datas'!CA94</f>
        <v>144.31963333333334</v>
      </c>
      <c r="CD16" s="9">
        <f>'Raw Datas'!CB94</f>
        <v>31.100300000000001</v>
      </c>
      <c r="CE16" s="9">
        <f>'Raw Datas'!CC94</f>
        <v>135.72261666666665</v>
      </c>
      <c r="CF16" s="9">
        <f>'Raw Datas'!CD94</f>
        <v>150.99146666666667</v>
      </c>
      <c r="CG16" s="9">
        <f>'Raw Datas'!CE94</f>
        <v>144.53834999999998</v>
      </c>
      <c r="CH16" s="9">
        <f>'Raw Datas'!CF94</f>
        <v>53.037633333333332</v>
      </c>
      <c r="CI16" s="9">
        <f>'Raw Datas'!CG94</f>
        <v>65.838000000000008</v>
      </c>
      <c r="CJ16" s="9">
        <f>'Raw Datas'!CH94</f>
        <v>58.129983333333335</v>
      </c>
      <c r="CK16" s="9">
        <f>'Raw Datas'!CI94</f>
        <v>78.708816666666678</v>
      </c>
      <c r="CL16" s="9">
        <f>'Raw Datas'!CJ94</f>
        <v>27.542755555555555</v>
      </c>
      <c r="CM16" s="9">
        <f>'Raw Datas'!CK94</f>
        <v>10.220233333333333</v>
      </c>
      <c r="CN16" s="9">
        <f>'Raw Datas'!CL94</f>
        <v>13.31475</v>
      </c>
      <c r="CO16" s="9">
        <f>'Raw Datas'!CM94</f>
        <v>96.036500000000004</v>
      </c>
      <c r="CP16" s="9">
        <f>'Raw Datas'!CN94</f>
        <v>49.148850000000003</v>
      </c>
      <c r="CQ16" s="9">
        <f>'Raw Datas'!CO94</f>
        <v>162.41958333333335</v>
      </c>
      <c r="CR16" s="9">
        <f>'Raw Datas'!CP94</f>
        <v>198.42590000000001</v>
      </c>
      <c r="CS16" s="9">
        <f>'Raw Datas'!CQ94</f>
        <v>186.84304999999998</v>
      </c>
      <c r="CT16" s="9">
        <f>'Raw Datas'!CR94</f>
        <v>53.327550000000002</v>
      </c>
      <c r="CU16" s="9">
        <f>'Raw Datas'!CS94</f>
        <v>129.19343333333333</v>
      </c>
      <c r="CV16" s="9">
        <f>'Raw Datas'!CT94</f>
        <v>160.35921666666667</v>
      </c>
      <c r="CW16" s="9">
        <f>'Raw Datas'!CU94</f>
        <v>115.63453333333334</v>
      </c>
      <c r="CX16" s="9">
        <f>'Raw Datas'!CV94</f>
        <v>154.85266666666666</v>
      </c>
      <c r="CY16" s="9">
        <f>'Raw Datas'!CW94</f>
        <v>180.17723333333333</v>
      </c>
      <c r="CZ16" s="9">
        <f>'Raw Datas'!CX94</f>
        <v>77.618400000000008</v>
      </c>
      <c r="DA16" s="9">
        <f>'Raw Datas'!CY94</f>
        <v>34.482733333333336</v>
      </c>
      <c r="DB16" s="9">
        <f>'Raw Datas'!CZ94</f>
        <v>35.850483333333337</v>
      </c>
      <c r="DC16" s="9">
        <f>'Raw Datas'!DA94</f>
        <v>95.413333333333341</v>
      </c>
      <c r="DD16" s="9">
        <f>'Raw Datas'!DB94</f>
        <v>157.41670000000002</v>
      </c>
      <c r="DE16" s="9">
        <f>'Raw Datas'!DC94</f>
        <v>65.941316666666665</v>
      </c>
      <c r="DF16" s="9">
        <f>'Raw Datas'!DD94</f>
        <v>173.68723333333335</v>
      </c>
      <c r="DG16" s="9">
        <f>'Raw Datas'!DE94</f>
        <v>83.265349999999998</v>
      </c>
      <c r="DH16" s="9">
        <f>'Raw Datas'!DF94</f>
        <v>51.319516666666672</v>
      </c>
      <c r="DI16" s="9">
        <f>'Raw Datas'!DG94</f>
        <v>44.327700000000007</v>
      </c>
      <c r="DJ16" s="9">
        <f>'Raw Datas'!DH94</f>
        <v>19.648766666666667</v>
      </c>
      <c r="DK16" s="9">
        <f>'Raw Datas'!DI94</f>
        <v>175.00936666666666</v>
      </c>
      <c r="DL16" s="9">
        <f>'Raw Datas'!DJ94</f>
        <v>133.89473333333333</v>
      </c>
      <c r="DM16" s="9">
        <f>'Raw Datas'!DK94</f>
        <v>40.030116666666665</v>
      </c>
      <c r="DN16" s="9">
        <f>'Raw Datas'!DL94</f>
        <v>24.660716666666666</v>
      </c>
      <c r="DO16" s="9">
        <f>'Raw Datas'!DM94</f>
        <v>213.22576666666663</v>
      </c>
      <c r="DP16" s="9">
        <f>'Raw Datas'!DN94</f>
        <v>210.98278333333334</v>
      </c>
      <c r="DQ16" s="9">
        <f>'Raw Datas'!DO94</f>
        <v>252.16094999999999</v>
      </c>
      <c r="DR16" s="9">
        <f>'Raw Datas'!DP94</f>
        <v>49.504533333333335</v>
      </c>
      <c r="DS16" s="9">
        <f>'Raw Datas'!DQ94</f>
        <v>124.75709999999999</v>
      </c>
      <c r="DT16" s="9">
        <f>'Raw Datas'!DR94</f>
        <v>318.23220000000003</v>
      </c>
      <c r="DU16" s="9">
        <f>'Raw Datas'!DS94</f>
        <v>52.696966666666668</v>
      </c>
      <c r="DV16" s="9">
        <f>'Raw Datas'!DT94</f>
        <v>117.27551666666666</v>
      </c>
      <c r="DW16" s="9">
        <f>'Raw Datas'!DU94</f>
        <v>92.306799999999996</v>
      </c>
      <c r="DX16" s="9">
        <f>'Raw Datas'!DV94</f>
        <v>78.499700000000004</v>
      </c>
      <c r="DY16" s="9">
        <f>'Raw Datas'!DW94</f>
        <v>151.16223333333335</v>
      </c>
      <c r="DZ16" s="9">
        <f>'Raw Datas'!DX94</f>
        <v>74.189983333333345</v>
      </c>
      <c r="EA16" s="9">
        <f>'Raw Datas'!DY94</f>
        <v>237.51140000000001</v>
      </c>
      <c r="EB16" s="9">
        <f>'Raw Datas'!DZ94</f>
        <v>77.507900000000006</v>
      </c>
      <c r="EC16" s="9">
        <f>'Raw Datas'!EA94</f>
        <v>169.70553333333334</v>
      </c>
      <c r="ED16" s="9">
        <f>'Raw Datas'!EB94</f>
        <v>172.69633333333334</v>
      </c>
      <c r="EE16" s="9">
        <f>'Raw Datas'!EC94</f>
        <v>37.097583333333333</v>
      </c>
      <c r="EF16" s="9">
        <f>'Raw Datas'!ED94</f>
        <v>155.67108333333334</v>
      </c>
      <c r="EG16" s="9">
        <f>'Raw Datas'!EE94</f>
        <v>49.364766666666668</v>
      </c>
      <c r="EH16" s="9">
        <f>'Raw Datas'!EF94</f>
        <v>32.975383333333333</v>
      </c>
      <c r="EI16" s="9">
        <f>'Raw Datas'!EG94</f>
        <v>42.758333333333333</v>
      </c>
      <c r="EJ16" s="9">
        <f>'Raw Datas'!EH94</f>
        <v>35.724283333333332</v>
      </c>
      <c r="EK16" s="9">
        <f>'Raw Datas'!EI94</f>
        <v>18.386583333333338</v>
      </c>
      <c r="EL16" s="9">
        <f>'Raw Datas'!EJ94</f>
        <v>132.05855000000003</v>
      </c>
      <c r="EM16" s="9">
        <f>'Raw Datas'!EK94</f>
        <v>115.3522</v>
      </c>
      <c r="EN16" s="9">
        <f>'Raw Datas'!EL94</f>
        <v>60.44636666666667</v>
      </c>
      <c r="EO16" s="9">
        <f>'Raw Datas'!EM94</f>
        <v>64.204016666666661</v>
      </c>
      <c r="EP16" s="9">
        <f>'Raw Datas'!EN94</f>
        <v>122.93671666666667</v>
      </c>
      <c r="EQ16" s="9">
        <f>'Raw Datas'!EO94</f>
        <v>46.232566666666663</v>
      </c>
      <c r="ER16" s="9">
        <f>'Raw Datas'!EP94</f>
        <v>46.357733333333343</v>
      </c>
      <c r="ES16" s="9">
        <f>'Raw Datas'!EQ94</f>
        <v>65.782883333333331</v>
      </c>
      <c r="ET16" s="9">
        <f>'Raw Datas'!ER94</f>
        <v>158.33530000000002</v>
      </c>
      <c r="EU16" s="9">
        <f>'Raw Datas'!ES94</f>
        <v>116.63046666666666</v>
      </c>
      <c r="EV16" s="9">
        <f>'Raw Datas'!ET94</f>
        <v>55.082349999999998</v>
      </c>
      <c r="EW16" s="9">
        <f>'Raw Datas'!EU94</f>
        <v>94.170466666666655</v>
      </c>
      <c r="EX16" s="9">
        <f>'Raw Datas'!EV94</f>
        <v>83.92968333333333</v>
      </c>
      <c r="EY16" s="9">
        <f>'Raw Datas'!EW94</f>
        <v>37.000183333333332</v>
      </c>
      <c r="EZ16" s="9">
        <f>'Raw Datas'!EX94</f>
        <v>323.98106666666666</v>
      </c>
      <c r="FA16" s="9">
        <f>'Raw Datas'!EY94</f>
        <v>109.50086666666667</v>
      </c>
      <c r="FB16" s="9">
        <f>'Raw Datas'!EZ94</f>
        <v>224.14035000000001</v>
      </c>
      <c r="FC16" s="9">
        <f>'Raw Datas'!FA94</f>
        <v>112.94586666666667</v>
      </c>
      <c r="FD16" s="9">
        <f>'Raw Datas'!FB94</f>
        <v>28.176499999999997</v>
      </c>
      <c r="FE16" s="9">
        <f>'Raw Datas'!FC94</f>
        <v>128.97808333333333</v>
      </c>
      <c r="FF16" s="9">
        <f>'Raw Datas'!FD94</f>
        <v>77.49733333333333</v>
      </c>
      <c r="FG16" s="9">
        <f>'Raw Datas'!FE94</f>
        <v>75.393133333333324</v>
      </c>
      <c r="FH16" s="9">
        <f>'Raw Datas'!FF94</f>
        <v>173.83825000000004</v>
      </c>
      <c r="FI16" s="9">
        <f>'Raw Datas'!FG94</f>
        <v>69.858133333333342</v>
      </c>
      <c r="FJ16" s="9">
        <f>'Raw Datas'!FH94</f>
        <v>189.06283333333334</v>
      </c>
      <c r="FK16" s="9">
        <f>'Raw Datas'!FI94</f>
        <v>153.9187</v>
      </c>
      <c r="FL16" s="9">
        <f>'Raw Datas'!FJ94</f>
        <v>300.14238333333327</v>
      </c>
      <c r="FM16" s="9">
        <f>'Raw Datas'!FK94</f>
        <v>199.86124999999998</v>
      </c>
      <c r="FN16" s="9">
        <f>'Raw Datas'!FL94</f>
        <v>282.9570333333333</v>
      </c>
      <c r="FO16" s="9">
        <f>'Raw Datas'!FM94</f>
        <v>218.71658333333335</v>
      </c>
      <c r="FP16" s="9">
        <f>'Raw Datas'!FN94</f>
        <v>83.043166666666664</v>
      </c>
      <c r="FQ16" s="9">
        <f>'Raw Datas'!FO94</f>
        <v>78.768316666666664</v>
      </c>
    </row>
    <row r="17" spans="1:173" ht="15" customHeight="1" x14ac:dyDescent="0.2">
      <c r="A17" s="152"/>
      <c r="B17" s="97" t="s">
        <v>125</v>
      </c>
      <c r="C17" s="112" t="s">
        <v>768</v>
      </c>
      <c r="D17" s="104"/>
      <c r="E17" s="60">
        <f>'Raw Datas'!C95</f>
        <v>2.5767000000000002</v>
      </c>
      <c r="F17" s="63">
        <f>'Raw Datas'!D95</f>
        <v>4.1894833333333334</v>
      </c>
      <c r="G17" s="63">
        <f>'Raw Datas'!E95</f>
        <v>0.9401166666666666</v>
      </c>
      <c r="H17" s="63">
        <f>'Raw Datas'!F95</f>
        <v>2.8106000000000004</v>
      </c>
      <c r="I17" s="63">
        <f>'Raw Datas'!G95</f>
        <v>3.8370833333333336</v>
      </c>
      <c r="J17" s="63">
        <f>'Raw Datas'!H95</f>
        <v>4.9248000000000003</v>
      </c>
      <c r="K17" s="63">
        <f>'Raw Datas'!I95</f>
        <v>7.7584666666666671</v>
      </c>
      <c r="L17" s="63">
        <f>'Raw Datas'!J95</f>
        <v>4.0750166666666665</v>
      </c>
      <c r="M17" s="63">
        <f>'Raw Datas'!K95</f>
        <v>5.3613999999999997</v>
      </c>
      <c r="N17" s="63">
        <f>'Raw Datas'!L95</f>
        <v>1.9658833333333332</v>
      </c>
      <c r="O17" s="63">
        <f>'Raw Datas'!M95</f>
        <v>3.9744666666666668</v>
      </c>
      <c r="P17" s="63">
        <f>'Raw Datas'!N95</f>
        <v>5.2556666666666665</v>
      </c>
      <c r="Q17" s="63">
        <f>'Raw Datas'!O95</f>
        <v>6.5911333333333326</v>
      </c>
      <c r="R17" s="63">
        <f>'Raw Datas'!P95</f>
        <v>8.3572333333333333</v>
      </c>
      <c r="S17" s="63">
        <f>'Raw Datas'!Q95</f>
        <v>4.7140833333333338</v>
      </c>
      <c r="T17" s="63">
        <f>'Raw Datas'!R95</f>
        <v>20.597383333333333</v>
      </c>
      <c r="U17" s="63">
        <f>'Raw Datas'!S95</f>
        <v>4.7375166666666662</v>
      </c>
      <c r="V17" s="63">
        <f>'Raw Datas'!T95</f>
        <v>1.5780333333333332</v>
      </c>
      <c r="W17" s="63">
        <f>'Raw Datas'!U95</f>
        <v>1.4380499999999998</v>
      </c>
      <c r="X17" s="63">
        <f>'Raw Datas'!V95</f>
        <v>1.7859000000000003</v>
      </c>
      <c r="Y17" s="63">
        <f>'Raw Datas'!W95</f>
        <v>12.638171428571429</v>
      </c>
      <c r="Z17" s="63">
        <f>'Raw Datas'!X95</f>
        <v>6.1234799999999998</v>
      </c>
      <c r="AA17" s="63">
        <f>'Raw Datas'!Y95</f>
        <v>7.7328999999999999</v>
      </c>
      <c r="AB17" s="63">
        <f>'Raw Datas'!Z95</f>
        <v>25.379580000000001</v>
      </c>
      <c r="AC17" s="63">
        <f>'Raw Datas'!AA95</f>
        <v>3.5560499999999999</v>
      </c>
      <c r="AD17" s="63">
        <f>'Raw Datas'!AB95</f>
        <v>5.6275500000000003</v>
      </c>
      <c r="AE17" s="63">
        <f>'Raw Datas'!AC95</f>
        <v>1.9679166666666665</v>
      </c>
      <c r="AF17" s="63">
        <f>'Raw Datas'!AD95</f>
        <v>2.2875333333333332</v>
      </c>
      <c r="AG17" s="63">
        <f>'Raw Datas'!AE95</f>
        <v>1.4587000000000001</v>
      </c>
      <c r="AH17" s="63">
        <f>'Raw Datas'!AF95</f>
        <v>3.3823833333333329</v>
      </c>
      <c r="AI17" s="63">
        <f>'Raw Datas'!AG95</f>
        <v>7.5983999999999998</v>
      </c>
      <c r="AJ17" s="63">
        <f>'Raw Datas'!AH95</f>
        <v>2.2536833333333335</v>
      </c>
      <c r="AK17" s="63">
        <f>'Raw Datas'!AI95</f>
        <v>7.0103666666666662</v>
      </c>
      <c r="AL17" s="63">
        <f>'Raw Datas'!AJ95</f>
        <v>8.0372999999999983</v>
      </c>
      <c r="AM17" s="63">
        <f>'Raw Datas'!AK95</f>
        <v>1.8447166666666668</v>
      </c>
      <c r="AN17" s="63">
        <f>'Raw Datas'!AL95</f>
        <v>4.0986333333333338</v>
      </c>
      <c r="AO17" s="63">
        <f>'Raw Datas'!AM95</f>
        <v>11.123850000000001</v>
      </c>
      <c r="AP17" s="63">
        <f>'Raw Datas'!AN95</f>
        <v>3.6527000000000003</v>
      </c>
      <c r="AQ17" s="63">
        <f>'Raw Datas'!AO95</f>
        <v>2.0621999999999998</v>
      </c>
      <c r="AR17" s="63">
        <f>'Raw Datas'!AP95</f>
        <v>2.1591333333333336</v>
      </c>
      <c r="AS17" s="63">
        <f>'Raw Datas'!AQ95</f>
        <v>4.7780166666666668</v>
      </c>
      <c r="AT17" s="63">
        <f>'Raw Datas'!AR95</f>
        <v>1.2664333333333333</v>
      </c>
      <c r="AU17" s="63">
        <f>'Raw Datas'!AS95</f>
        <v>24.137483333333339</v>
      </c>
      <c r="AV17" s="63">
        <f>'Raw Datas'!AT95</f>
        <v>10.4259</v>
      </c>
      <c r="AW17" s="63">
        <f>'Raw Datas'!AU95</f>
        <v>1.49292</v>
      </c>
      <c r="AX17" s="63">
        <f>'Raw Datas'!AV95</f>
        <v>0.84928000000000015</v>
      </c>
      <c r="AY17" s="63">
        <f>'Raw Datas'!AW95</f>
        <v>1.8841833333333331</v>
      </c>
      <c r="AZ17" s="63">
        <f>'Raw Datas'!AX95</f>
        <v>3.4001333333333337</v>
      </c>
      <c r="BA17" s="63">
        <f>'Raw Datas'!AY95</f>
        <v>2.9891166666666664</v>
      </c>
      <c r="BB17" s="63">
        <f>'Raw Datas'!AZ95</f>
        <v>0.86456666666666671</v>
      </c>
      <c r="BC17" s="63">
        <f>'Raw Datas'!BA95</f>
        <v>2.7622666666666666</v>
      </c>
      <c r="BD17" s="63">
        <f>'Raw Datas'!BB95</f>
        <v>1.6281666666666665</v>
      </c>
      <c r="BE17" s="63">
        <f>'Raw Datas'!BC95</f>
        <v>1.2932833333333333</v>
      </c>
      <c r="BF17" s="63">
        <f>'Raw Datas'!BD95</f>
        <v>0.92774999999999985</v>
      </c>
      <c r="BG17" s="63">
        <f>'Raw Datas'!BE95</f>
        <v>2.0577666666666667</v>
      </c>
      <c r="BH17" s="63">
        <f>'Raw Datas'!BF95</f>
        <v>6.326833333333334</v>
      </c>
      <c r="BI17" s="63">
        <f>'Raw Datas'!BG95</f>
        <v>0.8652833333333334</v>
      </c>
      <c r="BJ17" s="63">
        <f>'Raw Datas'!BH95</f>
        <v>10.407633333333333</v>
      </c>
      <c r="BK17" s="63">
        <f>'Raw Datas'!BI95</f>
        <v>14.6312</v>
      </c>
      <c r="BL17" s="63">
        <f>'Raw Datas'!BJ95</f>
        <v>25.947600000000001</v>
      </c>
      <c r="BM17" s="63">
        <f>'Raw Datas'!BK95</f>
        <v>8.8493499999999994</v>
      </c>
      <c r="BN17" s="63">
        <f>'Raw Datas'!BL95</f>
        <v>98.393533333333352</v>
      </c>
      <c r="BO17" s="63">
        <f>'Raw Datas'!BM95</f>
        <v>159.55688571428573</v>
      </c>
      <c r="BP17" s="63">
        <f>'Raw Datas'!BN95</f>
        <v>164.33366666666669</v>
      </c>
      <c r="BQ17" s="63">
        <f>'Raw Datas'!BO95</f>
        <v>133.52275</v>
      </c>
      <c r="BR17" s="63">
        <f>'Raw Datas'!BP95</f>
        <v>94.889733333333339</v>
      </c>
      <c r="BS17" s="63">
        <f>'Raw Datas'!BQ95</f>
        <v>14.044199999999998</v>
      </c>
      <c r="BT17" s="63">
        <f>'Raw Datas'!BR95</f>
        <v>3.0154571428571426</v>
      </c>
      <c r="BU17" s="63">
        <f>'Raw Datas'!BS95</f>
        <v>109.65916666666666</v>
      </c>
      <c r="BV17" s="63">
        <f>'Raw Datas'!BT95</f>
        <v>25.338533333333334</v>
      </c>
      <c r="BW17" s="63">
        <f>'Raw Datas'!BU95</f>
        <v>13.243950000000002</v>
      </c>
      <c r="BX17" s="63">
        <f>'Raw Datas'!BV95</f>
        <v>21.580733333333335</v>
      </c>
      <c r="BY17" s="63">
        <f>'Raw Datas'!BW95</f>
        <v>6.8824500000000004</v>
      </c>
      <c r="BZ17" s="63">
        <f>'Raw Datas'!BX95</f>
        <v>1.7989333333333333</v>
      </c>
      <c r="CA17" s="63">
        <f>'Raw Datas'!BY95</f>
        <v>25.862316666666668</v>
      </c>
      <c r="CB17" s="63">
        <f>'Raw Datas'!BZ95</f>
        <v>12.863816666666668</v>
      </c>
      <c r="CC17" s="63">
        <f>'Raw Datas'!CA95</f>
        <v>7.8353666666666673</v>
      </c>
      <c r="CD17" s="63">
        <f>'Raw Datas'!CB95</f>
        <v>2.9450333333333334</v>
      </c>
      <c r="CE17" s="63">
        <f>'Raw Datas'!CC95</f>
        <v>5.1528833333333335</v>
      </c>
      <c r="CF17" s="63">
        <f>'Raw Datas'!CD95</f>
        <v>5.1805500000000002</v>
      </c>
      <c r="CG17" s="63">
        <f>'Raw Datas'!CE95</f>
        <v>29.586266666666667</v>
      </c>
      <c r="CH17" s="63">
        <f>'Raw Datas'!CF95</f>
        <v>4.2821833333333341</v>
      </c>
      <c r="CI17" s="63">
        <f>'Raw Datas'!CG95</f>
        <v>2.2539833333333332</v>
      </c>
      <c r="CJ17" s="63">
        <f>'Raw Datas'!CH95</f>
        <v>1.6296500000000003</v>
      </c>
      <c r="CK17" s="63">
        <f>'Raw Datas'!CI95</f>
        <v>5.1645166666666675</v>
      </c>
      <c r="CL17" s="63">
        <f>'Raw Datas'!CJ95</f>
        <v>1.3530222222222221</v>
      </c>
      <c r="CM17" s="63">
        <f>'Raw Datas'!CK95</f>
        <v>2.4565333333333332</v>
      </c>
      <c r="CN17" s="63">
        <f>'Raw Datas'!CL95</f>
        <v>7.2789166666666656</v>
      </c>
      <c r="CO17" s="63">
        <f>'Raw Datas'!CM95</f>
        <v>1.7586833333333332</v>
      </c>
      <c r="CP17" s="63">
        <f>'Raw Datas'!CN95</f>
        <v>1.1283666666666667</v>
      </c>
      <c r="CQ17" s="63">
        <f>'Raw Datas'!CO95</f>
        <v>3.9622833333333336</v>
      </c>
      <c r="CR17" s="63">
        <f>'Raw Datas'!CP95</f>
        <v>5.3516166666666667</v>
      </c>
      <c r="CS17" s="63">
        <f>'Raw Datas'!CQ95</f>
        <v>5.8603500000000004</v>
      </c>
      <c r="CT17" s="63">
        <f>'Raw Datas'!CR95</f>
        <v>5.3170999999999999</v>
      </c>
      <c r="CU17" s="63">
        <f>'Raw Datas'!CS95</f>
        <v>3.625</v>
      </c>
      <c r="CV17" s="63">
        <f>'Raw Datas'!CT95</f>
        <v>2.6280666666666668</v>
      </c>
      <c r="CW17" s="63">
        <f>'Raw Datas'!CU95</f>
        <v>3.4870833333333331</v>
      </c>
      <c r="CX17" s="63">
        <f>'Raw Datas'!CV95</f>
        <v>2.8436333333333339</v>
      </c>
      <c r="CY17" s="63">
        <f>'Raw Datas'!CW95</f>
        <v>4.1949500000000004</v>
      </c>
      <c r="CZ17" s="63">
        <f>'Raw Datas'!CX95</f>
        <v>1.24285</v>
      </c>
      <c r="DA17" s="63">
        <f>'Raw Datas'!CY95</f>
        <v>1.9599166666666668</v>
      </c>
      <c r="DB17" s="63">
        <f>'Raw Datas'!CZ95</f>
        <v>1.2513333333333334</v>
      </c>
      <c r="DC17" s="63">
        <f>'Raw Datas'!DA95</f>
        <v>1.4014499999999999</v>
      </c>
      <c r="DD17" s="63">
        <f>'Raw Datas'!DB95</f>
        <v>6.204933333333333</v>
      </c>
      <c r="DE17" s="63">
        <f>'Raw Datas'!DC95</f>
        <v>3.5921666666666665</v>
      </c>
      <c r="DF17" s="63">
        <f>'Raw Datas'!DD95</f>
        <v>3.2257833333333337</v>
      </c>
      <c r="DG17" s="63">
        <f>'Raw Datas'!DE95</f>
        <v>3.6208833333333335</v>
      </c>
      <c r="DH17" s="63">
        <f>'Raw Datas'!DF95</f>
        <v>4.2372000000000005</v>
      </c>
      <c r="DI17" s="63">
        <f>'Raw Datas'!DG95</f>
        <v>5.2802166666666661</v>
      </c>
      <c r="DJ17" s="63">
        <f>'Raw Datas'!DH95</f>
        <v>0.70778333333333332</v>
      </c>
      <c r="DK17" s="63">
        <f>'Raw Datas'!DI95</f>
        <v>3.2064333333333339</v>
      </c>
      <c r="DL17" s="63">
        <f>'Raw Datas'!DJ95</f>
        <v>9.7571833333333338</v>
      </c>
      <c r="DM17" s="63">
        <f>'Raw Datas'!DK95</f>
        <v>4.9753333333333334</v>
      </c>
      <c r="DN17" s="63">
        <f>'Raw Datas'!DL95</f>
        <v>1.4051499999999999</v>
      </c>
      <c r="DO17" s="63">
        <f>'Raw Datas'!DM95</f>
        <v>3.4744333333333328</v>
      </c>
      <c r="DP17" s="63">
        <f>'Raw Datas'!DN95</f>
        <v>8.6571833333333341</v>
      </c>
      <c r="DQ17" s="63">
        <f>'Raw Datas'!DO95</f>
        <v>6.7615333333333334</v>
      </c>
      <c r="DR17" s="63">
        <f>'Raw Datas'!DP95</f>
        <v>2.0163500000000001</v>
      </c>
      <c r="DS17" s="63">
        <f>'Raw Datas'!DQ95</f>
        <v>4.3710333333333331</v>
      </c>
      <c r="DT17" s="63">
        <f>'Raw Datas'!DR95</f>
        <v>4.7697666666666674</v>
      </c>
      <c r="DU17" s="63">
        <f>'Raw Datas'!DS95</f>
        <v>1.0911666666666666</v>
      </c>
      <c r="DV17" s="63">
        <f>'Raw Datas'!DT95</f>
        <v>3.0721500000000002</v>
      </c>
      <c r="DW17" s="63">
        <f>'Raw Datas'!DU95</f>
        <v>14.308483333333333</v>
      </c>
      <c r="DX17" s="63">
        <f>'Raw Datas'!DV95</f>
        <v>2.7908666666666666</v>
      </c>
      <c r="DY17" s="63">
        <f>'Raw Datas'!DW95</f>
        <v>3.197883333333333</v>
      </c>
      <c r="DZ17" s="63">
        <f>'Raw Datas'!DX95</f>
        <v>2.6179000000000001</v>
      </c>
      <c r="EA17" s="63">
        <f>'Raw Datas'!DY95</f>
        <v>7.1657000000000002</v>
      </c>
      <c r="EB17" s="63">
        <f>'Raw Datas'!DZ95</f>
        <v>2.8443166666666664</v>
      </c>
      <c r="EC17" s="63">
        <f>'Raw Datas'!EA95</f>
        <v>3.8538000000000001</v>
      </c>
      <c r="ED17" s="63">
        <f>'Raw Datas'!EB95</f>
        <v>2.9805499999999996</v>
      </c>
      <c r="EE17" s="63">
        <f>'Raw Datas'!EC95</f>
        <v>3.0992166666666674</v>
      </c>
      <c r="EF17" s="63">
        <f>'Raw Datas'!ED95</f>
        <v>2.5843333333333334</v>
      </c>
      <c r="EG17" s="63">
        <f>'Raw Datas'!EE95</f>
        <v>1.0931999999999999</v>
      </c>
      <c r="EH17" s="63">
        <f>'Raw Datas'!EF95</f>
        <v>2.7599</v>
      </c>
      <c r="EI17" s="63">
        <f>'Raw Datas'!EG95</f>
        <v>3.7599166666666668</v>
      </c>
      <c r="EJ17" s="63">
        <f>'Raw Datas'!EH95</f>
        <v>2.80585</v>
      </c>
      <c r="EK17" s="63">
        <f>'Raw Datas'!EI95</f>
        <v>1.1154833333333334</v>
      </c>
      <c r="EL17" s="63">
        <f>'Raw Datas'!EJ95</f>
        <v>3.2424833333333329</v>
      </c>
      <c r="EM17" s="63">
        <f>'Raw Datas'!EK95</f>
        <v>4.6827333333333332</v>
      </c>
      <c r="EN17" s="63">
        <f>'Raw Datas'!EL95</f>
        <v>2.8252499999999996</v>
      </c>
      <c r="EO17" s="63">
        <f>'Raw Datas'!EM95</f>
        <v>1.5647166666666665</v>
      </c>
      <c r="EP17" s="63">
        <f>'Raw Datas'!EN95</f>
        <v>5.7722833333333332</v>
      </c>
      <c r="EQ17" s="63">
        <f>'Raw Datas'!EO95</f>
        <v>6.1697833333333332</v>
      </c>
      <c r="ER17" s="63">
        <f>'Raw Datas'!EP95</f>
        <v>3.254633333333333</v>
      </c>
      <c r="ES17" s="63">
        <f>'Raw Datas'!EQ95</f>
        <v>2.6477166666666667</v>
      </c>
      <c r="ET17" s="63">
        <f>'Raw Datas'!ER95</f>
        <v>2.9037000000000002</v>
      </c>
      <c r="EU17" s="63">
        <f>'Raw Datas'!ES95</f>
        <v>2.3714666666666671</v>
      </c>
      <c r="EV17" s="63">
        <f>'Raw Datas'!ET95</f>
        <v>3.1059333333333332</v>
      </c>
      <c r="EW17" s="63">
        <f>'Raw Datas'!EU95</f>
        <v>2.8798666666666666</v>
      </c>
      <c r="EX17" s="63">
        <f>'Raw Datas'!EV95</f>
        <v>2.5556833333333335</v>
      </c>
      <c r="EY17" s="63">
        <f>'Raw Datas'!EW95</f>
        <v>1.9828000000000001</v>
      </c>
      <c r="EZ17" s="63">
        <f>'Raw Datas'!EX95</f>
        <v>6.2151333333333323</v>
      </c>
      <c r="FA17" s="63">
        <f>'Raw Datas'!EY95</f>
        <v>3.9567166666666669</v>
      </c>
      <c r="FB17" s="63">
        <f>'Raw Datas'!EZ95</f>
        <v>3.0473499999999998</v>
      </c>
      <c r="FC17" s="63">
        <f>'Raw Datas'!FA95</f>
        <v>1.3833666666666669</v>
      </c>
      <c r="FD17" s="63">
        <f>'Raw Datas'!FB95</f>
        <v>1.0095499999999999</v>
      </c>
      <c r="FE17" s="63">
        <f>'Raw Datas'!FC95</f>
        <v>2.4556833333333334</v>
      </c>
      <c r="FF17" s="63">
        <f>'Raw Datas'!FD95</f>
        <v>2.3445000000000005</v>
      </c>
      <c r="FG17" s="63">
        <f>'Raw Datas'!FE95</f>
        <v>3.5743833333333339</v>
      </c>
      <c r="FH17" s="63">
        <f>'Raw Datas'!FF95</f>
        <v>5.8794999999999993</v>
      </c>
      <c r="FI17" s="63">
        <f>'Raw Datas'!FG95</f>
        <v>1.8481999999999998</v>
      </c>
      <c r="FJ17" s="63">
        <f>'Raw Datas'!FH95</f>
        <v>3.341366666666667</v>
      </c>
      <c r="FK17" s="63">
        <f>'Raw Datas'!FI95</f>
        <v>6.5809999999999995</v>
      </c>
      <c r="FL17" s="63">
        <f>'Raw Datas'!FJ95</f>
        <v>5.7818000000000005</v>
      </c>
      <c r="FM17" s="63">
        <f>'Raw Datas'!FK95</f>
        <v>4.7500999999999998</v>
      </c>
      <c r="FN17" s="63">
        <f>'Raw Datas'!FL95</f>
        <v>7.6035166666666667</v>
      </c>
      <c r="FO17" s="63">
        <f>'Raw Datas'!FM95</f>
        <v>7.1265666666666663</v>
      </c>
      <c r="FP17" s="63">
        <f>'Raw Datas'!FN95</f>
        <v>3.898566666666667</v>
      </c>
      <c r="FQ17" s="63">
        <f>'Raw Datas'!FO95</f>
        <v>1.9704166666666665</v>
      </c>
    </row>
    <row r="18" spans="1:173" ht="16" x14ac:dyDescent="0.2">
      <c r="A18" s="2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</row>
    <row r="19" spans="1:173" ht="16" thickBot="1" x14ac:dyDescent="0.25">
      <c r="B19" s="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</row>
    <row r="20" spans="1:173" ht="16" thickBot="1" x14ac:dyDescent="0.25">
      <c r="B20" s="6" t="str">
        <f>B7</f>
        <v>pg/µL of fluid</v>
      </c>
      <c r="C20" s="108"/>
      <c r="D20" s="108"/>
      <c r="E20" s="6" t="str">
        <f>E7</f>
        <v>KT-312D10</v>
      </c>
      <c r="F20" s="6" t="str">
        <f>F7</f>
        <v>BS-364D0</v>
      </c>
      <c r="G20" s="6" t="str">
        <f>G7</f>
        <v>KT-412D60</v>
      </c>
      <c r="H20" s="6" t="str">
        <f>H7</f>
        <v>KT-974D03</v>
      </c>
      <c r="I20" s="6" t="str">
        <f>I7</f>
        <v>JV-138D0</v>
      </c>
      <c r="J20" s="6" t="str">
        <f>J7</f>
        <v>BS-671D03</v>
      </c>
      <c r="K20" s="6" t="str">
        <f>K7</f>
        <v>KT-723D10</v>
      </c>
      <c r="L20" s="6" t="str">
        <f>L7</f>
        <v>KT-705D60</v>
      </c>
      <c r="M20" s="6" t="str">
        <f>M7</f>
        <v>KT-434D03</v>
      </c>
      <c r="N20" s="6" t="str">
        <f>N7</f>
        <v>BS-082D60</v>
      </c>
      <c r="O20" s="6" t="str">
        <f>O7</f>
        <v>BS-064D0</v>
      </c>
      <c r="P20" s="6" t="str">
        <f>P7</f>
        <v>BS-336D10</v>
      </c>
      <c r="Q20" s="6" t="str">
        <f>Q7</f>
        <v>KT-723D60</v>
      </c>
      <c r="R20" s="6" t="str">
        <f>R7</f>
        <v>KT-612D10</v>
      </c>
      <c r="S20" s="6" t="str">
        <f>S7</f>
        <v>KT-705D03</v>
      </c>
      <c r="T20" s="6" t="str">
        <f>T7</f>
        <v>JV-157D0</v>
      </c>
      <c r="U20" s="6" t="str">
        <f>U7</f>
        <v>JV-148D60</v>
      </c>
      <c r="V20" s="6" t="str">
        <f>V7</f>
        <v>KT-663D0</v>
      </c>
      <c r="W20" s="6" t="str">
        <f>W7</f>
        <v>BS-346D03</v>
      </c>
      <c r="X20" s="6" t="str">
        <f>X7</f>
        <v>JV-048D10</v>
      </c>
      <c r="Y20" s="6" t="str">
        <f>Y7</f>
        <v>BS-351D0</v>
      </c>
      <c r="Z20" s="6" t="str">
        <f>Z7</f>
        <v>JV-148D10</v>
      </c>
      <c r="AA20" s="6" t="str">
        <f>AA7</f>
        <v>KT-929D60</v>
      </c>
      <c r="AB20" s="6" t="str">
        <f>AB7</f>
        <v>BS-336D03</v>
      </c>
      <c r="AC20" s="6" t="str">
        <f>AC7</f>
        <v>KT-771D10</v>
      </c>
      <c r="AD20" s="6" t="str">
        <f>AD7</f>
        <v>KT-695D03</v>
      </c>
      <c r="AE20" s="6" t="str">
        <f>AE7</f>
        <v>KT-612D0</v>
      </c>
      <c r="AF20" s="6" t="str">
        <f>AF7</f>
        <v>KT-312D60</v>
      </c>
      <c r="AG20" s="6" t="str">
        <f>AG7</f>
        <v>KT-927D03</v>
      </c>
      <c r="AH20" s="6" t="str">
        <f>AH7</f>
        <v>JV-071D60</v>
      </c>
      <c r="AI20" s="6" t="str">
        <f>AI7</f>
        <v>KT-193D10</v>
      </c>
      <c r="AJ20" s="6" t="str">
        <f>AJ7</f>
        <v>KT-247D0</v>
      </c>
      <c r="AK20" s="6" t="str">
        <f>AK7</f>
        <v>BS-064D03</v>
      </c>
      <c r="AL20" s="6" t="str">
        <f>AL7</f>
        <v>KT-537D60</v>
      </c>
      <c r="AM20" s="6" t="str">
        <f>AM7</f>
        <v>BS-377D0</v>
      </c>
      <c r="AN20" s="6" t="str">
        <f>AN7</f>
        <v>KT-347D10</v>
      </c>
      <c r="AO20" s="6" t="str">
        <f>AO7</f>
        <v>JV-138D60</v>
      </c>
      <c r="AP20" s="6" t="str">
        <f>AP7</f>
        <v>JV-138D10</v>
      </c>
      <c r="AQ20" s="6" t="str">
        <f>AQ7</f>
        <v>KT-247D03</v>
      </c>
      <c r="AR20" s="6" t="str">
        <f>AR7</f>
        <v>KT-718D0</v>
      </c>
      <c r="AS20" s="6" t="str">
        <f>AS7</f>
        <v>BS-082D10</v>
      </c>
      <c r="AT20" s="6" t="str">
        <f>AT7</f>
        <v>KT-445D0</v>
      </c>
      <c r="AU20" s="6" t="str">
        <f>AU7</f>
        <v>KT-716D60</v>
      </c>
      <c r="AV20" s="6" t="str">
        <f>AV7</f>
        <v>KT-347D03</v>
      </c>
      <c r="AW20" s="6" t="str">
        <f>AW7</f>
        <v>KT-805D0</v>
      </c>
      <c r="AX20" s="6" t="str">
        <f>AX7</f>
        <v>BS-351D03</v>
      </c>
      <c r="AY20" s="6" t="str">
        <f>AY7</f>
        <v>KT-538D10</v>
      </c>
      <c r="AZ20" s="6" t="str">
        <f>AZ7</f>
        <v>JV-035D60</v>
      </c>
      <c r="BA20" s="6" t="str">
        <f>BA7</f>
        <v>KT-718D03</v>
      </c>
      <c r="BB20" s="6" t="str">
        <f>BB7</f>
        <v>KT-723D0</v>
      </c>
      <c r="BC20" s="6" t="str">
        <f>BC7</f>
        <v>KT-515D10</v>
      </c>
      <c r="BD20" s="6" t="str">
        <f>BD7</f>
        <v>KT-412D03</v>
      </c>
      <c r="BE20" s="6" t="str">
        <f>BE7</f>
        <v>KT-313D10</v>
      </c>
      <c r="BF20" s="6" t="str">
        <f>BF7</f>
        <v>BS-377D60</v>
      </c>
      <c r="BG20" s="6" t="str">
        <f>BG7</f>
        <v>KT-417D0</v>
      </c>
      <c r="BH20" s="6" t="str">
        <f>BH7</f>
        <v>KT-412D10</v>
      </c>
      <c r="BI20" s="6" t="str">
        <f>BI7</f>
        <v>KT-515D0</v>
      </c>
      <c r="BJ20" s="6" t="str">
        <f>BJ7</f>
        <v>JV-148D03</v>
      </c>
      <c r="BK20" s="6" t="str">
        <f>BK7</f>
        <v>KT-313D0</v>
      </c>
      <c r="BL20" s="6" t="str">
        <f>BL7</f>
        <v>KT-445D60</v>
      </c>
      <c r="BM20" s="6" t="str">
        <f>BM7</f>
        <v>KT-434D10</v>
      </c>
      <c r="BN20" s="6" t="str">
        <f>BN7</f>
        <v>BS-082D03</v>
      </c>
      <c r="BO20" s="6" t="str">
        <f>BO7</f>
        <v>KT-880D03</v>
      </c>
      <c r="BP20" s="6" t="str">
        <f>BP7</f>
        <v>KT-247D60</v>
      </c>
      <c r="BQ20" s="6" t="str">
        <f>BQ7</f>
        <v>KT-705D10</v>
      </c>
      <c r="BR20" s="6" t="str">
        <f>BR7</f>
        <v>BS-082D0</v>
      </c>
      <c r="BS20" s="6" t="str">
        <f>BS7</f>
        <v>JV-157D60</v>
      </c>
      <c r="BT20" s="6" t="str">
        <f>BT7</f>
        <v>KT-312D0</v>
      </c>
      <c r="BU20" s="6" t="str">
        <f>BU7</f>
        <v>KT-445D03</v>
      </c>
      <c r="BV20" s="6" t="str">
        <f>BV7</f>
        <v>BS-377D10</v>
      </c>
      <c r="BW20" s="6" t="str">
        <f>BW7</f>
        <v>KT-695D0</v>
      </c>
      <c r="BX20" s="6" t="str">
        <f>BX7</f>
        <v>BS-351D10</v>
      </c>
      <c r="BY20" s="6" t="str">
        <f>BY7</f>
        <v>KT-417D60</v>
      </c>
      <c r="BZ20" s="6" t="str">
        <f>BZ7</f>
        <v>JV-138D03</v>
      </c>
      <c r="CA20" s="6" t="str">
        <f>CA7</f>
        <v>KT-805D10</v>
      </c>
      <c r="CB20" s="6" t="str">
        <f>CB7</f>
        <v>JV-048D03</v>
      </c>
      <c r="CC20" s="6" t="str">
        <f>CC7</f>
        <v>KT-705D0</v>
      </c>
      <c r="CD20" s="6" t="str">
        <f>CD7</f>
        <v>BS-671D60</v>
      </c>
      <c r="CE20" s="6" t="str">
        <f>CE7</f>
        <v>JV-157D03</v>
      </c>
      <c r="CF20" s="6" t="str">
        <f>CF7</f>
        <v>KT-974D0</v>
      </c>
      <c r="CG20" s="6" t="str">
        <f>CG7</f>
        <v>BS-364D60</v>
      </c>
      <c r="CH20" s="6" t="str">
        <f>CH7</f>
        <v>KT-716D10</v>
      </c>
      <c r="CI20" s="6" t="str">
        <f>CI7</f>
        <v>KT-538D0</v>
      </c>
      <c r="CJ20" s="6" t="str">
        <f>CJ7</f>
        <v>KT-718D10</v>
      </c>
      <c r="CK20" s="6" t="str">
        <f>CK7</f>
        <v>KT-538D03</v>
      </c>
      <c r="CL20" s="6" t="str">
        <f>CL7</f>
        <v>KT-805D60</v>
      </c>
      <c r="CM20" s="6" t="str">
        <f>CM7</f>
        <v>KT-612D60</v>
      </c>
      <c r="CN20" s="6" t="str">
        <f>CN7</f>
        <v>KT-926D0</v>
      </c>
      <c r="CO20" s="6" t="str">
        <f>CO7</f>
        <v>KT-193D03</v>
      </c>
      <c r="CP20" s="6" t="str">
        <f>CP7</f>
        <v>KT-663D60</v>
      </c>
      <c r="CQ20" s="6" t="str">
        <f>CQ7</f>
        <v>KT-352D03</v>
      </c>
      <c r="CR20" s="6" t="str">
        <f>CR7</f>
        <v>KT-537D10</v>
      </c>
      <c r="CS20" s="6" t="str">
        <f>CS7</f>
        <v>JV-035D0</v>
      </c>
      <c r="CT20" s="6" t="str">
        <f>CT7</f>
        <v>KT-522D60</v>
      </c>
      <c r="CU20" s="6" t="str">
        <f>CU7</f>
        <v>KT-352D10</v>
      </c>
      <c r="CV20" s="6" t="str">
        <f>CV7</f>
        <v>KT-716D03</v>
      </c>
      <c r="CW20" s="6" t="str">
        <f>CW7</f>
        <v>KT-716D0</v>
      </c>
      <c r="CX20" s="6" t="str">
        <f>CX7</f>
        <v>BS-346D10</v>
      </c>
      <c r="CY20" s="6" t="str">
        <f>CY7</f>
        <v>KT-347D0</v>
      </c>
      <c r="CZ20" s="6" t="str">
        <f>CZ7</f>
        <v>BS-336D60</v>
      </c>
      <c r="DA20" s="6" t="str">
        <f>DA7</f>
        <v>KT-515D03</v>
      </c>
      <c r="DB20" s="6" t="str">
        <f>DB7</f>
        <v>KT-352D0</v>
      </c>
      <c r="DC20" s="6" t="str">
        <f>DC7</f>
        <v>KT-771D03</v>
      </c>
      <c r="DD20" s="6" t="str">
        <f>DD7</f>
        <v>BS-364D10</v>
      </c>
      <c r="DE20" s="6" t="str">
        <f>DE7</f>
        <v>BS-064D60</v>
      </c>
      <c r="DF20" s="6" t="str">
        <f>DF7</f>
        <v>KT-723D03</v>
      </c>
      <c r="DG20" s="6" t="str">
        <f>DG7</f>
        <v>KT-538D60</v>
      </c>
      <c r="DH20" s="6" t="str">
        <f>DH7</f>
        <v>KT-193D0</v>
      </c>
      <c r="DI20" s="6" t="str">
        <f>DI7</f>
        <v>KT-445D10</v>
      </c>
      <c r="DJ20" s="6" t="str">
        <f>DJ7</f>
        <v>KT-771D0</v>
      </c>
      <c r="DK20" s="6" t="str">
        <f>DK7</f>
        <v>KT-247D10</v>
      </c>
      <c r="DL20" s="6" t="str">
        <f>DL7</f>
        <v>KT-515D60</v>
      </c>
      <c r="DM20" s="6" t="str">
        <f>DM7</f>
        <v>JV-071D03</v>
      </c>
      <c r="DN20" s="6" t="str">
        <f>DN7</f>
        <v>KT-525D10</v>
      </c>
      <c r="DO20" s="6" t="str">
        <f>DO7</f>
        <v>KT-522D03</v>
      </c>
      <c r="DP20" s="6" t="str">
        <f>DP7</f>
        <v>KT-525D0</v>
      </c>
      <c r="DQ20" s="6" t="str">
        <f>DQ7</f>
        <v>BS-346D60</v>
      </c>
      <c r="DR20" s="6" t="str">
        <f>DR7</f>
        <v>KT-525D03</v>
      </c>
      <c r="DS20" s="6" t="str">
        <f>DS7</f>
        <v>KT-771D60</v>
      </c>
      <c r="DT20" s="6" t="str">
        <f>DT7</f>
        <v>KT-417D10</v>
      </c>
      <c r="DU20" s="6" t="str">
        <f>DU7</f>
        <v>JV-048D0</v>
      </c>
      <c r="DV20" s="6" t="str">
        <f>DV7</f>
        <v>KT-539D60</v>
      </c>
      <c r="DW20" s="6" t="str">
        <f>DW7</f>
        <v>KT-880D0</v>
      </c>
      <c r="DX20" s="6" t="str">
        <f>DX7</f>
        <v>KT-805D03</v>
      </c>
      <c r="DY20" s="6" t="str">
        <f>DY7</f>
        <v>KT-565D10</v>
      </c>
      <c r="DZ20" s="6" t="str">
        <f>DZ7</f>
        <v>BS-351D60</v>
      </c>
      <c r="EA20" s="6" t="str">
        <f>EA7</f>
        <v>KT-663D03</v>
      </c>
      <c r="EB20" s="6" t="str">
        <f>EB7</f>
        <v>KT-695D10</v>
      </c>
      <c r="EC20" s="6" t="str">
        <f>EC7</f>
        <v>KT-539D0</v>
      </c>
      <c r="ED20" s="6" t="str">
        <f>ED7</f>
        <v>KT-539D03</v>
      </c>
      <c r="EE20" s="6" t="str">
        <f>EE7</f>
        <v>BS-671D0</v>
      </c>
      <c r="EF20" s="6" t="str">
        <f>EF7</f>
        <v>KT-313D60</v>
      </c>
      <c r="EG20" s="6" t="str">
        <f>EG7</f>
        <v>BS-064D10</v>
      </c>
      <c r="EH20" s="6" t="str">
        <f>EH7</f>
        <v>BS-346D0</v>
      </c>
      <c r="EI20" s="6" t="str">
        <f>EI7</f>
        <v>KT-522D10</v>
      </c>
      <c r="EJ20" s="6" t="str">
        <f>EJ7</f>
        <v>KT-565D03</v>
      </c>
      <c r="EK20" s="6" t="str">
        <f>EK7</f>
        <v>KT-695D60</v>
      </c>
      <c r="EL20" s="6" t="str">
        <f>EL7</f>
        <v>KT-928D10</v>
      </c>
      <c r="EM20" s="6" t="str">
        <f>EM7</f>
        <v>KT-347D60</v>
      </c>
      <c r="EN20" s="6" t="str">
        <f>EN7</f>
        <v>KT-522D0</v>
      </c>
      <c r="EO20" s="6" t="str">
        <f>EO7</f>
        <v>BS-364D03</v>
      </c>
      <c r="EP20" s="6" t="str">
        <f>EP7</f>
        <v>KT-352D60</v>
      </c>
      <c r="EQ20" s="6" t="str">
        <f>EQ7</f>
        <v>JV-157D10</v>
      </c>
      <c r="ER20" s="6" t="str">
        <f>ER7</f>
        <v>KT-565D0</v>
      </c>
      <c r="ES20" s="6" t="str">
        <f>ES7</f>
        <v>KT-612D03</v>
      </c>
      <c r="ET20" s="6" t="str">
        <f>ET7</f>
        <v>KT-974D10</v>
      </c>
      <c r="EU20" s="6" t="str">
        <f>EU7</f>
        <v>KT-537D03</v>
      </c>
      <c r="EV20" s="6" t="str">
        <f>EV7</f>
        <v>KT-718D60</v>
      </c>
      <c r="EW20" s="6" t="str">
        <f>EW7</f>
        <v>JV-071D0</v>
      </c>
      <c r="EX20" s="6" t="str">
        <f>EX7</f>
        <v>KT-312D03</v>
      </c>
      <c r="EY20" s="6" t="str">
        <f>EY7</f>
        <v>BS-336D0</v>
      </c>
      <c r="EZ20" s="6" t="str">
        <f>EZ7</f>
        <v>KT-880D10</v>
      </c>
      <c r="FA20" s="6" t="str">
        <f>FA7</f>
        <v>KT-193D60</v>
      </c>
      <c r="FB20" s="6" t="str">
        <f>FB7</f>
        <v>JV-148D0</v>
      </c>
      <c r="FC20" s="6" t="str">
        <f>FC7</f>
        <v>KT-434D60</v>
      </c>
      <c r="FD20" s="6" t="str">
        <f>FD7</f>
        <v>KT-417D03</v>
      </c>
      <c r="FE20" s="6" t="str">
        <f>FE7</f>
        <v>KT-663D10</v>
      </c>
      <c r="FF20" s="6" t="str">
        <f>FF7</f>
        <v>KT-525D60</v>
      </c>
      <c r="FG20" s="6" t="str">
        <f>FG7</f>
        <v>KT-539D10</v>
      </c>
      <c r="FH20" s="6" t="str">
        <f>FH7</f>
        <v>KT-537D0</v>
      </c>
      <c r="FI20" s="6" t="str">
        <f>FI7</f>
        <v>KT-313D03</v>
      </c>
      <c r="FJ20" s="6" t="str">
        <f>FJ7</f>
        <v>JV-035D10</v>
      </c>
      <c r="FK20" s="6" t="str">
        <f>FK7</f>
        <v>BS-377D03</v>
      </c>
      <c r="FL20" s="6" t="str">
        <f>FL7</f>
        <v>KT-880D60</v>
      </c>
      <c r="FM20" s="6" t="str">
        <f>FM7</f>
        <v>KT-434D0</v>
      </c>
      <c r="FN20" s="6" t="str">
        <f>FN7</f>
        <v>JV-035D03</v>
      </c>
      <c r="FO20" s="6" t="str">
        <f>FO7</f>
        <v>KT-412D0</v>
      </c>
      <c r="FP20" s="6" t="str">
        <f>FP7</f>
        <v>BS-671D10</v>
      </c>
      <c r="FQ20" s="6" t="str">
        <f>FQ7</f>
        <v>KT-974D60</v>
      </c>
    </row>
    <row r="21" spans="1:173" ht="17" thickBot="1" x14ac:dyDescent="0.25">
      <c r="B21" s="1" t="s">
        <v>41</v>
      </c>
      <c r="C21" s="109"/>
      <c r="D21" s="109"/>
      <c r="E21" s="8" t="e">
        <f>SUM(#REF!)</f>
        <v>#REF!</v>
      </c>
      <c r="F21" s="8" t="e">
        <f>SUM(#REF!)</f>
        <v>#REF!</v>
      </c>
      <c r="G21" s="8" t="e">
        <f>SUM(#REF!)</f>
        <v>#REF!</v>
      </c>
      <c r="H21" s="8" t="e">
        <f>SUM(#REF!)</f>
        <v>#REF!</v>
      </c>
      <c r="I21" s="8" t="e">
        <f>SUM(#REF!)</f>
        <v>#REF!</v>
      </c>
      <c r="J21" s="8" t="e">
        <f>SUM(#REF!)</f>
        <v>#REF!</v>
      </c>
      <c r="K21" s="8" t="e">
        <f>SUM(#REF!)</f>
        <v>#REF!</v>
      </c>
      <c r="L21" s="8" t="e">
        <f>SUM(#REF!)</f>
        <v>#REF!</v>
      </c>
      <c r="M21" s="8" t="e">
        <f>SUM(#REF!)</f>
        <v>#REF!</v>
      </c>
      <c r="N21" s="8" t="e">
        <f>SUM(#REF!)</f>
        <v>#REF!</v>
      </c>
      <c r="O21" s="8" t="e">
        <f>SUM(#REF!)</f>
        <v>#REF!</v>
      </c>
      <c r="P21" s="8" t="e">
        <f>SUM(#REF!)</f>
        <v>#REF!</v>
      </c>
      <c r="Q21" s="8" t="e">
        <f>SUM(#REF!)</f>
        <v>#REF!</v>
      </c>
      <c r="R21" s="8" t="e">
        <f>SUM(#REF!)</f>
        <v>#REF!</v>
      </c>
      <c r="S21" s="8" t="e">
        <f>SUM(#REF!)</f>
        <v>#REF!</v>
      </c>
      <c r="T21" s="8" t="e">
        <f>SUM(#REF!)</f>
        <v>#REF!</v>
      </c>
      <c r="U21" s="8" t="e">
        <f>SUM(#REF!)</f>
        <v>#REF!</v>
      </c>
      <c r="V21" s="8" t="e">
        <f>SUM(#REF!)</f>
        <v>#REF!</v>
      </c>
      <c r="W21" s="8" t="e">
        <f>SUM(#REF!)</f>
        <v>#REF!</v>
      </c>
      <c r="X21" s="8" t="e">
        <f>SUM(#REF!)</f>
        <v>#REF!</v>
      </c>
      <c r="Y21" s="8" t="e">
        <f>SUM(#REF!)</f>
        <v>#REF!</v>
      </c>
      <c r="Z21" s="8" t="e">
        <f>SUM(#REF!)</f>
        <v>#REF!</v>
      </c>
      <c r="AA21" s="8" t="e">
        <f>SUM(#REF!)</f>
        <v>#REF!</v>
      </c>
      <c r="AB21" s="8" t="e">
        <f>SUM(#REF!)</f>
        <v>#REF!</v>
      </c>
      <c r="AC21" s="8" t="e">
        <f>SUM(#REF!)</f>
        <v>#REF!</v>
      </c>
      <c r="AD21" s="8" t="e">
        <f>SUM(#REF!)</f>
        <v>#REF!</v>
      </c>
      <c r="AE21" s="8" t="e">
        <f>SUM(#REF!)</f>
        <v>#REF!</v>
      </c>
      <c r="AF21" s="8" t="e">
        <f>SUM(#REF!)</f>
        <v>#REF!</v>
      </c>
      <c r="AG21" s="8" t="e">
        <f>SUM(#REF!)</f>
        <v>#REF!</v>
      </c>
      <c r="AH21" s="8" t="e">
        <f>SUM(#REF!)</f>
        <v>#REF!</v>
      </c>
      <c r="AI21" s="8" t="e">
        <f>SUM(#REF!)</f>
        <v>#REF!</v>
      </c>
      <c r="AJ21" s="8" t="e">
        <f>SUM(#REF!)</f>
        <v>#REF!</v>
      </c>
      <c r="AK21" s="8" t="e">
        <f>SUM(#REF!)</f>
        <v>#REF!</v>
      </c>
      <c r="AL21" s="8" t="e">
        <f>SUM(#REF!)</f>
        <v>#REF!</v>
      </c>
      <c r="AM21" s="8" t="e">
        <f>SUM(#REF!)</f>
        <v>#REF!</v>
      </c>
      <c r="AN21" s="8" t="e">
        <f>SUM(#REF!)</f>
        <v>#REF!</v>
      </c>
      <c r="AO21" s="8" t="e">
        <f>SUM(#REF!)</f>
        <v>#REF!</v>
      </c>
      <c r="AP21" s="8" t="e">
        <f>SUM(#REF!)</f>
        <v>#REF!</v>
      </c>
      <c r="AQ21" s="8" t="e">
        <f>SUM(#REF!)</f>
        <v>#REF!</v>
      </c>
      <c r="AR21" s="8" t="e">
        <f>SUM(#REF!)</f>
        <v>#REF!</v>
      </c>
      <c r="AS21" s="8" t="e">
        <f>SUM(#REF!)</f>
        <v>#REF!</v>
      </c>
      <c r="AT21" s="8" t="e">
        <f>SUM(#REF!)</f>
        <v>#REF!</v>
      </c>
      <c r="AU21" s="8" t="e">
        <f>SUM(#REF!)</f>
        <v>#REF!</v>
      </c>
      <c r="AV21" s="8" t="e">
        <f>SUM(#REF!)</f>
        <v>#REF!</v>
      </c>
      <c r="AW21" s="8" t="e">
        <f>SUM(#REF!)</f>
        <v>#REF!</v>
      </c>
      <c r="AX21" s="8" t="e">
        <f>SUM(#REF!)</f>
        <v>#REF!</v>
      </c>
      <c r="AY21" s="8" t="e">
        <f>SUM(#REF!)</f>
        <v>#REF!</v>
      </c>
      <c r="AZ21" s="8" t="e">
        <f>SUM(#REF!)</f>
        <v>#REF!</v>
      </c>
      <c r="BA21" s="8" t="e">
        <f>SUM(#REF!)</f>
        <v>#REF!</v>
      </c>
      <c r="BB21" s="8" t="e">
        <f>SUM(#REF!)</f>
        <v>#REF!</v>
      </c>
      <c r="BC21" s="8" t="e">
        <f>SUM(#REF!)</f>
        <v>#REF!</v>
      </c>
      <c r="BD21" s="8" t="e">
        <f>SUM(#REF!)</f>
        <v>#REF!</v>
      </c>
      <c r="BE21" s="8" t="e">
        <f>SUM(#REF!)</f>
        <v>#REF!</v>
      </c>
      <c r="BF21" s="8" t="e">
        <f>SUM(#REF!)</f>
        <v>#REF!</v>
      </c>
      <c r="BG21" s="8" t="e">
        <f>SUM(#REF!)</f>
        <v>#REF!</v>
      </c>
      <c r="BH21" s="8" t="e">
        <f>SUM(#REF!)</f>
        <v>#REF!</v>
      </c>
      <c r="BI21" s="8" t="e">
        <f>SUM(#REF!)</f>
        <v>#REF!</v>
      </c>
      <c r="BJ21" s="8" t="e">
        <f>SUM(#REF!)</f>
        <v>#REF!</v>
      </c>
      <c r="BK21" s="8" t="e">
        <f>SUM(#REF!)</f>
        <v>#REF!</v>
      </c>
      <c r="BL21" s="8" t="e">
        <f>SUM(#REF!)</f>
        <v>#REF!</v>
      </c>
      <c r="BM21" s="8" t="e">
        <f>SUM(#REF!)</f>
        <v>#REF!</v>
      </c>
      <c r="BN21" s="8" t="e">
        <f>SUM(#REF!)</f>
        <v>#REF!</v>
      </c>
      <c r="BO21" s="8" t="e">
        <f>SUM(#REF!)</f>
        <v>#REF!</v>
      </c>
      <c r="BP21" s="8" t="e">
        <f>SUM(#REF!)</f>
        <v>#REF!</v>
      </c>
      <c r="BQ21" s="8" t="e">
        <f>SUM(#REF!)</f>
        <v>#REF!</v>
      </c>
      <c r="BR21" s="8" t="e">
        <f>SUM(#REF!)</f>
        <v>#REF!</v>
      </c>
      <c r="BS21" s="8" t="e">
        <f>SUM(#REF!)</f>
        <v>#REF!</v>
      </c>
      <c r="BT21" s="8" t="e">
        <f>SUM(#REF!)</f>
        <v>#REF!</v>
      </c>
      <c r="BU21" s="8" t="e">
        <f>SUM(#REF!)</f>
        <v>#REF!</v>
      </c>
      <c r="BV21" s="8" t="e">
        <f>SUM(#REF!)</f>
        <v>#REF!</v>
      </c>
      <c r="BW21" s="8" t="e">
        <f>SUM(#REF!)</f>
        <v>#REF!</v>
      </c>
      <c r="BX21" s="8" t="e">
        <f>SUM(#REF!)</f>
        <v>#REF!</v>
      </c>
      <c r="BY21" s="8" t="e">
        <f>SUM(#REF!)</f>
        <v>#REF!</v>
      </c>
      <c r="BZ21" s="8" t="e">
        <f>SUM(#REF!)</f>
        <v>#REF!</v>
      </c>
      <c r="CA21" s="8" t="e">
        <f>SUM(#REF!)</f>
        <v>#REF!</v>
      </c>
      <c r="CB21" s="8" t="e">
        <f>SUM(#REF!)</f>
        <v>#REF!</v>
      </c>
      <c r="CC21" s="8" t="e">
        <f>SUM(#REF!)</f>
        <v>#REF!</v>
      </c>
      <c r="CD21" s="8" t="e">
        <f>SUM(#REF!)</f>
        <v>#REF!</v>
      </c>
      <c r="CE21" s="8" t="e">
        <f>SUM(#REF!)</f>
        <v>#REF!</v>
      </c>
      <c r="CF21" s="8" t="e">
        <f>SUM(#REF!)</f>
        <v>#REF!</v>
      </c>
      <c r="CG21" s="8" t="e">
        <f>SUM(#REF!)</f>
        <v>#REF!</v>
      </c>
      <c r="CH21" s="8" t="e">
        <f>SUM(#REF!)</f>
        <v>#REF!</v>
      </c>
      <c r="CI21" s="8" t="e">
        <f>SUM(#REF!)</f>
        <v>#REF!</v>
      </c>
      <c r="CJ21" s="8" t="e">
        <f>SUM(#REF!)</f>
        <v>#REF!</v>
      </c>
      <c r="CK21" s="8" t="e">
        <f>SUM(#REF!)</f>
        <v>#REF!</v>
      </c>
      <c r="CL21" s="8" t="e">
        <f>SUM(#REF!)</f>
        <v>#REF!</v>
      </c>
      <c r="CM21" s="8" t="e">
        <f>SUM(#REF!)</f>
        <v>#REF!</v>
      </c>
      <c r="CN21" s="8" t="e">
        <f>SUM(#REF!)</f>
        <v>#REF!</v>
      </c>
      <c r="CO21" s="8" t="e">
        <f>SUM(#REF!)</f>
        <v>#REF!</v>
      </c>
      <c r="CP21" s="8" t="e">
        <f>SUM(#REF!)</f>
        <v>#REF!</v>
      </c>
      <c r="CQ21" s="8" t="e">
        <f>SUM(#REF!)</f>
        <v>#REF!</v>
      </c>
      <c r="CR21" s="8" t="e">
        <f>SUM(#REF!)</f>
        <v>#REF!</v>
      </c>
      <c r="CS21" s="8" t="e">
        <f>SUM(#REF!)</f>
        <v>#REF!</v>
      </c>
      <c r="CT21" s="8" t="e">
        <f>SUM(#REF!)</f>
        <v>#REF!</v>
      </c>
      <c r="CU21" s="8" t="e">
        <f>SUM(#REF!)</f>
        <v>#REF!</v>
      </c>
      <c r="CV21" s="8" t="e">
        <f>SUM(#REF!)</f>
        <v>#REF!</v>
      </c>
      <c r="CW21" s="8" t="e">
        <f>SUM(#REF!)</f>
        <v>#REF!</v>
      </c>
      <c r="CX21" s="8" t="e">
        <f>SUM(#REF!)</f>
        <v>#REF!</v>
      </c>
      <c r="CY21" s="8" t="e">
        <f>SUM(#REF!)</f>
        <v>#REF!</v>
      </c>
      <c r="CZ21" s="8" t="e">
        <f>SUM(#REF!)</f>
        <v>#REF!</v>
      </c>
      <c r="DA21" s="8" t="e">
        <f>SUM(#REF!)</f>
        <v>#REF!</v>
      </c>
      <c r="DB21" s="8" t="e">
        <f>SUM(#REF!)</f>
        <v>#REF!</v>
      </c>
      <c r="DC21" s="8" t="e">
        <f>SUM(#REF!)</f>
        <v>#REF!</v>
      </c>
      <c r="DD21" s="8" t="e">
        <f>SUM(#REF!)</f>
        <v>#REF!</v>
      </c>
      <c r="DE21" s="8" t="e">
        <f>SUM(#REF!)</f>
        <v>#REF!</v>
      </c>
      <c r="DF21" s="8" t="e">
        <f>SUM(#REF!)</f>
        <v>#REF!</v>
      </c>
      <c r="DG21" s="8" t="e">
        <f>SUM(#REF!)</f>
        <v>#REF!</v>
      </c>
      <c r="DH21" s="8" t="e">
        <f>SUM(#REF!)</f>
        <v>#REF!</v>
      </c>
      <c r="DI21" s="8" t="e">
        <f>SUM(#REF!)</f>
        <v>#REF!</v>
      </c>
      <c r="DJ21" s="8" t="e">
        <f>SUM(#REF!)</f>
        <v>#REF!</v>
      </c>
      <c r="DK21" s="8" t="e">
        <f>SUM(#REF!)</f>
        <v>#REF!</v>
      </c>
      <c r="DL21" s="8" t="e">
        <f>SUM(#REF!)</f>
        <v>#REF!</v>
      </c>
      <c r="DM21" s="8" t="e">
        <f>SUM(#REF!)</f>
        <v>#REF!</v>
      </c>
      <c r="DN21" s="8" t="e">
        <f>SUM(#REF!)</f>
        <v>#REF!</v>
      </c>
      <c r="DO21" s="8" t="e">
        <f>SUM(#REF!)</f>
        <v>#REF!</v>
      </c>
      <c r="DP21" s="8" t="e">
        <f>SUM(#REF!)</f>
        <v>#REF!</v>
      </c>
      <c r="DQ21" s="8" t="e">
        <f>SUM(#REF!)</f>
        <v>#REF!</v>
      </c>
      <c r="DR21" s="8" t="e">
        <f>SUM(#REF!)</f>
        <v>#REF!</v>
      </c>
      <c r="DS21" s="8" t="e">
        <f>SUM(#REF!)</f>
        <v>#REF!</v>
      </c>
      <c r="DT21" s="8" t="e">
        <f>SUM(#REF!)</f>
        <v>#REF!</v>
      </c>
      <c r="DU21" s="8" t="e">
        <f>SUM(#REF!)</f>
        <v>#REF!</v>
      </c>
      <c r="DV21" s="8" t="e">
        <f>SUM(#REF!)</f>
        <v>#REF!</v>
      </c>
      <c r="DW21" s="8" t="e">
        <f>SUM(#REF!)</f>
        <v>#REF!</v>
      </c>
      <c r="DX21" s="8" t="e">
        <f>SUM(#REF!)</f>
        <v>#REF!</v>
      </c>
      <c r="DY21" s="8" t="e">
        <f>SUM(#REF!)</f>
        <v>#REF!</v>
      </c>
      <c r="DZ21" s="8" t="e">
        <f>SUM(#REF!)</f>
        <v>#REF!</v>
      </c>
      <c r="EA21" s="8" t="e">
        <f>SUM(#REF!)</f>
        <v>#REF!</v>
      </c>
      <c r="EB21" s="8" t="e">
        <f>SUM(#REF!)</f>
        <v>#REF!</v>
      </c>
      <c r="EC21" s="8" t="e">
        <f>SUM(#REF!)</f>
        <v>#REF!</v>
      </c>
      <c r="ED21" s="8" t="e">
        <f>SUM(#REF!)</f>
        <v>#REF!</v>
      </c>
      <c r="EE21" s="8" t="e">
        <f>SUM(#REF!)</f>
        <v>#REF!</v>
      </c>
      <c r="EF21" s="8" t="e">
        <f>SUM(#REF!)</f>
        <v>#REF!</v>
      </c>
      <c r="EG21" s="8" t="e">
        <f>SUM(#REF!)</f>
        <v>#REF!</v>
      </c>
      <c r="EH21" s="8" t="e">
        <f>SUM(#REF!)</f>
        <v>#REF!</v>
      </c>
      <c r="EI21" s="8" t="e">
        <f>SUM(#REF!)</f>
        <v>#REF!</v>
      </c>
      <c r="EJ21" s="8" t="e">
        <f>SUM(#REF!)</f>
        <v>#REF!</v>
      </c>
      <c r="EK21" s="8" t="e">
        <f>SUM(#REF!)</f>
        <v>#REF!</v>
      </c>
      <c r="EL21" s="8" t="e">
        <f>SUM(#REF!)</f>
        <v>#REF!</v>
      </c>
      <c r="EM21" s="8" t="e">
        <f>SUM(#REF!)</f>
        <v>#REF!</v>
      </c>
      <c r="EN21" s="8" t="e">
        <f>SUM(#REF!)</f>
        <v>#REF!</v>
      </c>
      <c r="EO21" s="8" t="e">
        <f>SUM(#REF!)</f>
        <v>#REF!</v>
      </c>
      <c r="EP21" s="8" t="e">
        <f>SUM(#REF!)</f>
        <v>#REF!</v>
      </c>
      <c r="EQ21" s="8" t="e">
        <f>SUM(#REF!)</f>
        <v>#REF!</v>
      </c>
      <c r="ER21" s="8" t="e">
        <f>SUM(#REF!)</f>
        <v>#REF!</v>
      </c>
      <c r="ES21" s="8" t="e">
        <f>SUM(#REF!)</f>
        <v>#REF!</v>
      </c>
      <c r="ET21" s="8" t="e">
        <f>SUM(#REF!)</f>
        <v>#REF!</v>
      </c>
      <c r="EU21" s="8" t="e">
        <f>SUM(#REF!)</f>
        <v>#REF!</v>
      </c>
      <c r="EV21" s="8" t="e">
        <f>SUM(#REF!)</f>
        <v>#REF!</v>
      </c>
      <c r="EW21" s="8" t="e">
        <f>SUM(#REF!)</f>
        <v>#REF!</v>
      </c>
      <c r="EX21" s="8" t="e">
        <f>SUM(#REF!)</f>
        <v>#REF!</v>
      </c>
      <c r="EY21" s="8" t="e">
        <f>SUM(#REF!)</f>
        <v>#REF!</v>
      </c>
      <c r="EZ21" s="8" t="e">
        <f>SUM(#REF!)</f>
        <v>#REF!</v>
      </c>
      <c r="FA21" s="8" t="e">
        <f>SUM(#REF!)</f>
        <v>#REF!</v>
      </c>
      <c r="FB21" s="8" t="e">
        <f>SUM(#REF!)</f>
        <v>#REF!</v>
      </c>
      <c r="FC21" s="8" t="e">
        <f>SUM(#REF!)</f>
        <v>#REF!</v>
      </c>
      <c r="FD21" s="8" t="e">
        <f>SUM(#REF!)</f>
        <v>#REF!</v>
      </c>
      <c r="FE21" s="8" t="e">
        <f>SUM(#REF!)</f>
        <v>#REF!</v>
      </c>
      <c r="FF21" s="8" t="e">
        <f>SUM(#REF!)</f>
        <v>#REF!</v>
      </c>
      <c r="FG21" s="8" t="e">
        <f>SUM(#REF!)</f>
        <v>#REF!</v>
      </c>
      <c r="FH21" s="8" t="e">
        <f>SUM(#REF!)</f>
        <v>#REF!</v>
      </c>
      <c r="FI21" s="8" t="e">
        <f>SUM(#REF!)</f>
        <v>#REF!</v>
      </c>
      <c r="FJ21" s="8" t="e">
        <f>SUM(#REF!)</f>
        <v>#REF!</v>
      </c>
      <c r="FK21" s="8" t="e">
        <f>SUM(#REF!)</f>
        <v>#REF!</v>
      </c>
      <c r="FL21" s="8" t="e">
        <f>SUM(#REF!)</f>
        <v>#REF!</v>
      </c>
      <c r="FM21" s="8" t="e">
        <f>SUM(#REF!)</f>
        <v>#REF!</v>
      </c>
      <c r="FN21" s="8" t="e">
        <f>SUM(#REF!)</f>
        <v>#REF!</v>
      </c>
      <c r="FO21" s="8" t="e">
        <f>SUM(#REF!)</f>
        <v>#REF!</v>
      </c>
      <c r="FP21" s="8" t="e">
        <f>SUM(#REF!)</f>
        <v>#REF!</v>
      </c>
      <c r="FQ21" s="8" t="e">
        <f>SUM(#REF!)</f>
        <v>#REF!</v>
      </c>
    </row>
    <row r="22" spans="1:173" ht="17" thickBot="1" x14ac:dyDescent="0.25">
      <c r="B22" s="1" t="s">
        <v>38</v>
      </c>
      <c r="C22" s="109"/>
      <c r="D22" s="109"/>
      <c r="E22" s="8" t="e">
        <f>SUM(#REF!)</f>
        <v>#REF!</v>
      </c>
      <c r="F22" s="8" t="e">
        <f>SUM(#REF!)</f>
        <v>#REF!</v>
      </c>
      <c r="G22" s="8" t="e">
        <f>SUM(#REF!)</f>
        <v>#REF!</v>
      </c>
      <c r="H22" s="8" t="e">
        <f>SUM(#REF!)</f>
        <v>#REF!</v>
      </c>
      <c r="I22" s="8" t="e">
        <f>SUM(#REF!)</f>
        <v>#REF!</v>
      </c>
      <c r="J22" s="8" t="e">
        <f>SUM(#REF!)</f>
        <v>#REF!</v>
      </c>
      <c r="K22" s="8" t="e">
        <f>SUM(#REF!)</f>
        <v>#REF!</v>
      </c>
      <c r="L22" s="8" t="e">
        <f>SUM(#REF!)</f>
        <v>#REF!</v>
      </c>
      <c r="M22" s="8" t="e">
        <f>SUM(#REF!)</f>
        <v>#REF!</v>
      </c>
      <c r="N22" s="8" t="e">
        <f>SUM(#REF!)</f>
        <v>#REF!</v>
      </c>
      <c r="O22" s="8" t="e">
        <f>SUM(#REF!)</f>
        <v>#REF!</v>
      </c>
      <c r="P22" s="8" t="e">
        <f>SUM(#REF!)</f>
        <v>#REF!</v>
      </c>
      <c r="Q22" s="8" t="e">
        <f>SUM(#REF!)</f>
        <v>#REF!</v>
      </c>
      <c r="R22" s="8" t="e">
        <f>SUM(#REF!)</f>
        <v>#REF!</v>
      </c>
      <c r="S22" s="8" t="e">
        <f>SUM(#REF!)</f>
        <v>#REF!</v>
      </c>
      <c r="T22" s="8" t="e">
        <f>SUM(#REF!)</f>
        <v>#REF!</v>
      </c>
      <c r="U22" s="8" t="e">
        <f>SUM(#REF!)</f>
        <v>#REF!</v>
      </c>
      <c r="V22" s="8" t="e">
        <f>SUM(#REF!)</f>
        <v>#REF!</v>
      </c>
      <c r="W22" s="8" t="e">
        <f>SUM(#REF!)</f>
        <v>#REF!</v>
      </c>
      <c r="X22" s="8" t="e">
        <f>SUM(#REF!)</f>
        <v>#REF!</v>
      </c>
      <c r="Y22" s="8" t="e">
        <f>SUM(#REF!)</f>
        <v>#REF!</v>
      </c>
      <c r="Z22" s="8" t="e">
        <f>SUM(#REF!)</f>
        <v>#REF!</v>
      </c>
      <c r="AA22" s="8" t="e">
        <f>SUM(#REF!)</f>
        <v>#REF!</v>
      </c>
      <c r="AB22" s="8" t="e">
        <f>SUM(#REF!)</f>
        <v>#REF!</v>
      </c>
      <c r="AC22" s="8" t="e">
        <f>SUM(#REF!)</f>
        <v>#REF!</v>
      </c>
      <c r="AD22" s="8" t="e">
        <f>SUM(#REF!)</f>
        <v>#REF!</v>
      </c>
      <c r="AE22" s="8" t="e">
        <f>SUM(#REF!)</f>
        <v>#REF!</v>
      </c>
      <c r="AF22" s="8" t="e">
        <f>SUM(#REF!)</f>
        <v>#REF!</v>
      </c>
      <c r="AG22" s="8" t="e">
        <f>SUM(#REF!)</f>
        <v>#REF!</v>
      </c>
      <c r="AH22" s="8" t="e">
        <f>SUM(#REF!)</f>
        <v>#REF!</v>
      </c>
      <c r="AI22" s="8" t="e">
        <f>SUM(#REF!)</f>
        <v>#REF!</v>
      </c>
      <c r="AJ22" s="8" t="e">
        <f>SUM(#REF!)</f>
        <v>#REF!</v>
      </c>
      <c r="AK22" s="8" t="e">
        <f>SUM(#REF!)</f>
        <v>#REF!</v>
      </c>
      <c r="AL22" s="8" t="e">
        <f>SUM(#REF!)</f>
        <v>#REF!</v>
      </c>
      <c r="AM22" s="8" t="e">
        <f>SUM(#REF!)</f>
        <v>#REF!</v>
      </c>
      <c r="AN22" s="8" t="e">
        <f>SUM(#REF!)</f>
        <v>#REF!</v>
      </c>
      <c r="AO22" s="8" t="e">
        <f>SUM(#REF!)</f>
        <v>#REF!</v>
      </c>
      <c r="AP22" s="8" t="e">
        <f>SUM(#REF!)</f>
        <v>#REF!</v>
      </c>
      <c r="AQ22" s="8" t="e">
        <f>SUM(#REF!)</f>
        <v>#REF!</v>
      </c>
      <c r="AR22" s="8" t="e">
        <f>SUM(#REF!)</f>
        <v>#REF!</v>
      </c>
      <c r="AS22" s="8" t="e">
        <f>SUM(#REF!)</f>
        <v>#REF!</v>
      </c>
      <c r="AT22" s="8" t="e">
        <f>SUM(#REF!)</f>
        <v>#REF!</v>
      </c>
      <c r="AU22" s="8" t="e">
        <f>SUM(#REF!)</f>
        <v>#REF!</v>
      </c>
      <c r="AV22" s="8" t="e">
        <f>SUM(#REF!)</f>
        <v>#REF!</v>
      </c>
      <c r="AW22" s="8" t="e">
        <f>SUM(#REF!)</f>
        <v>#REF!</v>
      </c>
      <c r="AX22" s="8" t="e">
        <f>SUM(#REF!)</f>
        <v>#REF!</v>
      </c>
      <c r="AY22" s="8" t="e">
        <f>SUM(#REF!)</f>
        <v>#REF!</v>
      </c>
      <c r="AZ22" s="8" t="e">
        <f>SUM(#REF!)</f>
        <v>#REF!</v>
      </c>
      <c r="BA22" s="8" t="e">
        <f>SUM(#REF!)</f>
        <v>#REF!</v>
      </c>
      <c r="BB22" s="8" t="e">
        <f>SUM(#REF!)</f>
        <v>#REF!</v>
      </c>
      <c r="BC22" s="8" t="e">
        <f>SUM(#REF!)</f>
        <v>#REF!</v>
      </c>
      <c r="BD22" s="8" t="e">
        <f>SUM(#REF!)</f>
        <v>#REF!</v>
      </c>
      <c r="BE22" s="8" t="e">
        <f>SUM(#REF!)</f>
        <v>#REF!</v>
      </c>
      <c r="BF22" s="8" t="e">
        <f>SUM(#REF!)</f>
        <v>#REF!</v>
      </c>
      <c r="BG22" s="8" t="e">
        <f>SUM(#REF!)</f>
        <v>#REF!</v>
      </c>
      <c r="BH22" s="8" t="e">
        <f>SUM(#REF!)</f>
        <v>#REF!</v>
      </c>
      <c r="BI22" s="8" t="e">
        <f>SUM(#REF!)</f>
        <v>#REF!</v>
      </c>
      <c r="BJ22" s="8" t="e">
        <f>SUM(#REF!)</f>
        <v>#REF!</v>
      </c>
      <c r="BK22" s="8" t="e">
        <f>SUM(#REF!)</f>
        <v>#REF!</v>
      </c>
      <c r="BL22" s="8" t="e">
        <f>SUM(#REF!)</f>
        <v>#REF!</v>
      </c>
      <c r="BM22" s="8" t="e">
        <f>SUM(#REF!)</f>
        <v>#REF!</v>
      </c>
      <c r="BN22" s="8" t="e">
        <f>SUM(#REF!)</f>
        <v>#REF!</v>
      </c>
      <c r="BO22" s="8" t="e">
        <f>SUM(#REF!)</f>
        <v>#REF!</v>
      </c>
      <c r="BP22" s="8" t="e">
        <f>SUM(#REF!)</f>
        <v>#REF!</v>
      </c>
      <c r="BQ22" s="8" t="e">
        <f>SUM(#REF!)</f>
        <v>#REF!</v>
      </c>
      <c r="BR22" s="8" t="e">
        <f>SUM(#REF!)</f>
        <v>#REF!</v>
      </c>
      <c r="BS22" s="8" t="e">
        <f>SUM(#REF!)</f>
        <v>#REF!</v>
      </c>
      <c r="BT22" s="8" t="e">
        <f>SUM(#REF!)</f>
        <v>#REF!</v>
      </c>
      <c r="BU22" s="8" t="e">
        <f>SUM(#REF!)</f>
        <v>#REF!</v>
      </c>
      <c r="BV22" s="8" t="e">
        <f>SUM(#REF!)</f>
        <v>#REF!</v>
      </c>
      <c r="BW22" s="8" t="e">
        <f>SUM(#REF!)</f>
        <v>#REF!</v>
      </c>
      <c r="BX22" s="8" t="e">
        <f>SUM(#REF!)</f>
        <v>#REF!</v>
      </c>
      <c r="BY22" s="8" t="e">
        <f>SUM(#REF!)</f>
        <v>#REF!</v>
      </c>
      <c r="BZ22" s="8" t="e">
        <f>SUM(#REF!)</f>
        <v>#REF!</v>
      </c>
      <c r="CA22" s="8" t="e">
        <f>SUM(#REF!)</f>
        <v>#REF!</v>
      </c>
      <c r="CB22" s="8" t="e">
        <f>SUM(#REF!)</f>
        <v>#REF!</v>
      </c>
      <c r="CC22" s="8" t="e">
        <f>SUM(#REF!)</f>
        <v>#REF!</v>
      </c>
      <c r="CD22" s="8" t="e">
        <f>SUM(#REF!)</f>
        <v>#REF!</v>
      </c>
      <c r="CE22" s="8" t="e">
        <f>SUM(#REF!)</f>
        <v>#REF!</v>
      </c>
      <c r="CF22" s="8" t="e">
        <f>SUM(#REF!)</f>
        <v>#REF!</v>
      </c>
      <c r="CG22" s="8" t="e">
        <f>SUM(#REF!)</f>
        <v>#REF!</v>
      </c>
      <c r="CH22" s="8" t="e">
        <f>SUM(#REF!)</f>
        <v>#REF!</v>
      </c>
      <c r="CI22" s="8" t="e">
        <f>SUM(#REF!)</f>
        <v>#REF!</v>
      </c>
      <c r="CJ22" s="8" t="e">
        <f>SUM(#REF!)</f>
        <v>#REF!</v>
      </c>
      <c r="CK22" s="8" t="e">
        <f>SUM(#REF!)</f>
        <v>#REF!</v>
      </c>
      <c r="CL22" s="8" t="e">
        <f>SUM(#REF!)</f>
        <v>#REF!</v>
      </c>
      <c r="CM22" s="8" t="e">
        <f>SUM(#REF!)</f>
        <v>#REF!</v>
      </c>
      <c r="CN22" s="8" t="e">
        <f>SUM(#REF!)</f>
        <v>#REF!</v>
      </c>
      <c r="CO22" s="8" t="e">
        <f>SUM(#REF!)</f>
        <v>#REF!</v>
      </c>
      <c r="CP22" s="8" t="e">
        <f>SUM(#REF!)</f>
        <v>#REF!</v>
      </c>
      <c r="CQ22" s="8" t="e">
        <f>SUM(#REF!)</f>
        <v>#REF!</v>
      </c>
      <c r="CR22" s="8" t="e">
        <f>SUM(#REF!)</f>
        <v>#REF!</v>
      </c>
      <c r="CS22" s="8" t="e">
        <f>SUM(#REF!)</f>
        <v>#REF!</v>
      </c>
      <c r="CT22" s="8" t="e">
        <f>SUM(#REF!)</f>
        <v>#REF!</v>
      </c>
      <c r="CU22" s="8" t="e">
        <f>SUM(#REF!)</f>
        <v>#REF!</v>
      </c>
      <c r="CV22" s="8" t="e">
        <f>SUM(#REF!)</f>
        <v>#REF!</v>
      </c>
      <c r="CW22" s="8" t="e">
        <f>SUM(#REF!)</f>
        <v>#REF!</v>
      </c>
      <c r="CX22" s="8" t="e">
        <f>SUM(#REF!)</f>
        <v>#REF!</v>
      </c>
      <c r="CY22" s="8" t="e">
        <f>SUM(#REF!)</f>
        <v>#REF!</v>
      </c>
      <c r="CZ22" s="8" t="e">
        <f>SUM(#REF!)</f>
        <v>#REF!</v>
      </c>
      <c r="DA22" s="8" t="e">
        <f>SUM(#REF!)</f>
        <v>#REF!</v>
      </c>
      <c r="DB22" s="8" t="e">
        <f>SUM(#REF!)</f>
        <v>#REF!</v>
      </c>
      <c r="DC22" s="8" t="e">
        <f>SUM(#REF!)</f>
        <v>#REF!</v>
      </c>
      <c r="DD22" s="8" t="e">
        <f>SUM(#REF!)</f>
        <v>#REF!</v>
      </c>
      <c r="DE22" s="8" t="e">
        <f>SUM(#REF!)</f>
        <v>#REF!</v>
      </c>
      <c r="DF22" s="8" t="e">
        <f>SUM(#REF!)</f>
        <v>#REF!</v>
      </c>
      <c r="DG22" s="8" t="e">
        <f>SUM(#REF!)</f>
        <v>#REF!</v>
      </c>
      <c r="DH22" s="8" t="e">
        <f>SUM(#REF!)</f>
        <v>#REF!</v>
      </c>
      <c r="DI22" s="8" t="e">
        <f>SUM(#REF!)</f>
        <v>#REF!</v>
      </c>
      <c r="DJ22" s="8" t="e">
        <f>SUM(#REF!)</f>
        <v>#REF!</v>
      </c>
      <c r="DK22" s="8" t="e">
        <f>SUM(#REF!)</f>
        <v>#REF!</v>
      </c>
      <c r="DL22" s="8" t="e">
        <f>SUM(#REF!)</f>
        <v>#REF!</v>
      </c>
      <c r="DM22" s="8" t="e">
        <f>SUM(#REF!)</f>
        <v>#REF!</v>
      </c>
      <c r="DN22" s="8" t="e">
        <f>SUM(#REF!)</f>
        <v>#REF!</v>
      </c>
      <c r="DO22" s="8" t="e">
        <f>SUM(#REF!)</f>
        <v>#REF!</v>
      </c>
      <c r="DP22" s="8" t="e">
        <f>SUM(#REF!)</f>
        <v>#REF!</v>
      </c>
      <c r="DQ22" s="8" t="e">
        <f>SUM(#REF!)</f>
        <v>#REF!</v>
      </c>
      <c r="DR22" s="8" t="e">
        <f>SUM(#REF!)</f>
        <v>#REF!</v>
      </c>
      <c r="DS22" s="8" t="e">
        <f>SUM(#REF!)</f>
        <v>#REF!</v>
      </c>
      <c r="DT22" s="8" t="e">
        <f>SUM(#REF!)</f>
        <v>#REF!</v>
      </c>
      <c r="DU22" s="8" t="e">
        <f>SUM(#REF!)</f>
        <v>#REF!</v>
      </c>
      <c r="DV22" s="8" t="e">
        <f>SUM(#REF!)</f>
        <v>#REF!</v>
      </c>
      <c r="DW22" s="8" t="e">
        <f>SUM(#REF!)</f>
        <v>#REF!</v>
      </c>
      <c r="DX22" s="8" t="e">
        <f>SUM(#REF!)</f>
        <v>#REF!</v>
      </c>
      <c r="DY22" s="8" t="e">
        <f>SUM(#REF!)</f>
        <v>#REF!</v>
      </c>
      <c r="DZ22" s="8" t="e">
        <f>SUM(#REF!)</f>
        <v>#REF!</v>
      </c>
      <c r="EA22" s="8" t="e">
        <f>SUM(#REF!)</f>
        <v>#REF!</v>
      </c>
      <c r="EB22" s="8" t="e">
        <f>SUM(#REF!)</f>
        <v>#REF!</v>
      </c>
      <c r="EC22" s="8" t="e">
        <f>SUM(#REF!)</f>
        <v>#REF!</v>
      </c>
      <c r="ED22" s="8" t="e">
        <f>SUM(#REF!)</f>
        <v>#REF!</v>
      </c>
      <c r="EE22" s="8" t="e">
        <f>SUM(#REF!)</f>
        <v>#REF!</v>
      </c>
      <c r="EF22" s="8" t="e">
        <f>SUM(#REF!)</f>
        <v>#REF!</v>
      </c>
      <c r="EG22" s="8" t="e">
        <f>SUM(#REF!)</f>
        <v>#REF!</v>
      </c>
      <c r="EH22" s="8" t="e">
        <f>SUM(#REF!)</f>
        <v>#REF!</v>
      </c>
      <c r="EI22" s="8" t="e">
        <f>SUM(#REF!)</f>
        <v>#REF!</v>
      </c>
      <c r="EJ22" s="8" t="e">
        <f>SUM(#REF!)</f>
        <v>#REF!</v>
      </c>
      <c r="EK22" s="8" t="e">
        <f>SUM(#REF!)</f>
        <v>#REF!</v>
      </c>
      <c r="EL22" s="8" t="e">
        <f>SUM(#REF!)</f>
        <v>#REF!</v>
      </c>
      <c r="EM22" s="8" t="e">
        <f>SUM(#REF!)</f>
        <v>#REF!</v>
      </c>
      <c r="EN22" s="8" t="e">
        <f>SUM(#REF!)</f>
        <v>#REF!</v>
      </c>
      <c r="EO22" s="8" t="e">
        <f>SUM(#REF!)</f>
        <v>#REF!</v>
      </c>
      <c r="EP22" s="8" t="e">
        <f>SUM(#REF!)</f>
        <v>#REF!</v>
      </c>
      <c r="EQ22" s="8" t="e">
        <f>SUM(#REF!)</f>
        <v>#REF!</v>
      </c>
      <c r="ER22" s="8" t="e">
        <f>SUM(#REF!)</f>
        <v>#REF!</v>
      </c>
      <c r="ES22" s="8" t="e">
        <f>SUM(#REF!)</f>
        <v>#REF!</v>
      </c>
      <c r="ET22" s="8" t="e">
        <f>SUM(#REF!)</f>
        <v>#REF!</v>
      </c>
      <c r="EU22" s="8" t="e">
        <f>SUM(#REF!)</f>
        <v>#REF!</v>
      </c>
      <c r="EV22" s="8" t="e">
        <f>SUM(#REF!)</f>
        <v>#REF!</v>
      </c>
      <c r="EW22" s="8" t="e">
        <f>SUM(#REF!)</f>
        <v>#REF!</v>
      </c>
      <c r="EX22" s="8" t="e">
        <f>SUM(#REF!)</f>
        <v>#REF!</v>
      </c>
      <c r="EY22" s="8" t="e">
        <f>SUM(#REF!)</f>
        <v>#REF!</v>
      </c>
      <c r="EZ22" s="8" t="e">
        <f>SUM(#REF!)</f>
        <v>#REF!</v>
      </c>
      <c r="FA22" s="8" t="e">
        <f>SUM(#REF!)</f>
        <v>#REF!</v>
      </c>
      <c r="FB22" s="8" t="e">
        <f>SUM(#REF!)</f>
        <v>#REF!</v>
      </c>
      <c r="FC22" s="8" t="e">
        <f>SUM(#REF!)</f>
        <v>#REF!</v>
      </c>
      <c r="FD22" s="8" t="e">
        <f>SUM(#REF!)</f>
        <v>#REF!</v>
      </c>
      <c r="FE22" s="8" t="e">
        <f>SUM(#REF!)</f>
        <v>#REF!</v>
      </c>
      <c r="FF22" s="8" t="e">
        <f>SUM(#REF!)</f>
        <v>#REF!</v>
      </c>
      <c r="FG22" s="8" t="e">
        <f>SUM(#REF!)</f>
        <v>#REF!</v>
      </c>
      <c r="FH22" s="8" t="e">
        <f>SUM(#REF!)</f>
        <v>#REF!</v>
      </c>
      <c r="FI22" s="8" t="e">
        <f>SUM(#REF!)</f>
        <v>#REF!</v>
      </c>
      <c r="FJ22" s="8" t="e">
        <f>SUM(#REF!)</f>
        <v>#REF!</v>
      </c>
      <c r="FK22" s="8" t="e">
        <f>SUM(#REF!)</f>
        <v>#REF!</v>
      </c>
      <c r="FL22" s="8" t="e">
        <f>SUM(#REF!)</f>
        <v>#REF!</v>
      </c>
      <c r="FM22" s="8" t="e">
        <f>SUM(#REF!)</f>
        <v>#REF!</v>
      </c>
      <c r="FN22" s="8" t="e">
        <f>SUM(#REF!)</f>
        <v>#REF!</v>
      </c>
      <c r="FO22" s="8" t="e">
        <f>SUM(#REF!)</f>
        <v>#REF!</v>
      </c>
      <c r="FP22" s="8" t="e">
        <f>SUM(#REF!)</f>
        <v>#REF!</v>
      </c>
      <c r="FQ22" s="8" t="e">
        <f>SUM(#REF!)</f>
        <v>#REF!</v>
      </c>
    </row>
    <row r="23" spans="1:173" ht="17" thickBot="1" x14ac:dyDescent="0.25">
      <c r="B23" s="1" t="s">
        <v>37</v>
      </c>
      <c r="C23" s="109"/>
      <c r="D23" s="109"/>
      <c r="E23" s="8">
        <f>SUM(E9:E14)</f>
        <v>314.49353333333335</v>
      </c>
      <c r="F23" s="8">
        <f>SUM(F9:F14)</f>
        <v>1097.3488666666667</v>
      </c>
      <c r="G23" s="8">
        <f>SUM(G9:G14)</f>
        <v>269.27063333333331</v>
      </c>
      <c r="H23" s="8">
        <f>SUM(H9:H14)</f>
        <v>1117.3795</v>
      </c>
      <c r="I23" s="8">
        <f>SUM(I9:I14)</f>
        <v>589.12236666666672</v>
      </c>
      <c r="J23" s="8">
        <f>SUM(J9:J14)</f>
        <v>661.44833333333349</v>
      </c>
      <c r="K23" s="8">
        <f>SUM(K9:K14)</f>
        <v>1226.2739000000001</v>
      </c>
      <c r="L23" s="8">
        <f>SUM(L9:L14)</f>
        <v>666.2552833333333</v>
      </c>
      <c r="M23" s="8">
        <f>SUM(M9:M14)</f>
        <v>629.18249999999989</v>
      </c>
      <c r="N23" s="8">
        <f>SUM(N9:N14)</f>
        <v>1167.8986499999999</v>
      </c>
      <c r="O23" s="8">
        <f>SUM(O9:O14)</f>
        <v>532.56655000000001</v>
      </c>
      <c r="P23" s="8">
        <f>SUM(P9:P14)</f>
        <v>408.07305000000008</v>
      </c>
      <c r="Q23" s="8">
        <f>SUM(Q9:Q14)</f>
        <v>626.44875000000002</v>
      </c>
      <c r="R23" s="8">
        <f>SUM(R9:R14)</f>
        <v>465.60545000000002</v>
      </c>
      <c r="S23" s="8">
        <f>SUM(S9:S14)</f>
        <v>430.8412166666667</v>
      </c>
      <c r="T23" s="8">
        <f>SUM(T9:T14)</f>
        <v>2077.3307500000005</v>
      </c>
      <c r="U23" s="8">
        <f>SUM(U9:U14)</f>
        <v>576.5064666666666</v>
      </c>
      <c r="V23" s="8">
        <f>SUM(V9:V14)</f>
        <v>187.01968333333335</v>
      </c>
      <c r="W23" s="8">
        <f>SUM(W9:W14)</f>
        <v>518.73786666666672</v>
      </c>
      <c r="X23" s="8">
        <f>SUM(X9:X14)</f>
        <v>187.60891666666666</v>
      </c>
      <c r="Y23" s="8">
        <f>SUM(Y9:Y14)</f>
        <v>742.21280000000013</v>
      </c>
      <c r="Z23" s="8">
        <f>SUM(Z9:Z14)</f>
        <v>210.18948</v>
      </c>
      <c r="AA23" s="8">
        <f>SUM(AA9:AA14)</f>
        <v>956.79110000000003</v>
      </c>
      <c r="AB23" s="8">
        <f>SUM(AB9:AB14)</f>
        <v>1440.1527000000001</v>
      </c>
      <c r="AC23" s="8">
        <f>SUM(AC9:AC14)</f>
        <v>372.91168333333337</v>
      </c>
      <c r="AD23" s="8">
        <f>SUM(AD9:AD14)</f>
        <v>901.92443333333347</v>
      </c>
      <c r="AE23" s="8">
        <f>SUM(AE9:AE14)</f>
        <v>1149.9852666666668</v>
      </c>
      <c r="AF23" s="8">
        <f>SUM(AF9:AF14)</f>
        <v>390.68883333333332</v>
      </c>
      <c r="AG23" s="8">
        <f>SUM(AG9:AG14)</f>
        <v>292.738</v>
      </c>
      <c r="AH23" s="8">
        <f>SUM(AH9:AH14)</f>
        <v>128.53868333333332</v>
      </c>
      <c r="AI23" s="8">
        <f>SUM(AI9:AI14)</f>
        <v>636.69706666666673</v>
      </c>
      <c r="AJ23" s="8">
        <f>SUM(AJ9:AJ14)</f>
        <v>284.76316666666662</v>
      </c>
      <c r="AK23" s="8">
        <f>SUM(AK9:AK14)</f>
        <v>476.96820000000008</v>
      </c>
      <c r="AL23" s="8">
        <f>SUM(AL9:AL14)</f>
        <v>790.26066666666668</v>
      </c>
      <c r="AM23" s="8">
        <f>SUM(AM9:AM14)</f>
        <v>734.20279999999991</v>
      </c>
      <c r="AN23" s="8">
        <f>SUM(AN9:AN14)</f>
        <v>288.28430000000003</v>
      </c>
      <c r="AO23" s="8">
        <f>SUM(AO9:AO14)</f>
        <v>519.60145000000011</v>
      </c>
      <c r="AP23" s="8">
        <f>SUM(AP9:AP14)</f>
        <v>754.21244999999999</v>
      </c>
      <c r="AQ23" s="8">
        <f>SUM(AQ9:AQ14)</f>
        <v>476.51138333333324</v>
      </c>
      <c r="AR23" s="8">
        <f>SUM(AR9:AR14)</f>
        <v>267.29649999999998</v>
      </c>
      <c r="AS23" s="8">
        <f>SUM(AS9:AS14)</f>
        <v>640.05003333333332</v>
      </c>
      <c r="AT23" s="8">
        <f>SUM(AT9:AT14)</f>
        <v>343.92528333333325</v>
      </c>
      <c r="AU23" s="8">
        <f>SUM(AU9:AU14)</f>
        <v>1763.4938666666667</v>
      </c>
      <c r="AV23" s="8">
        <f>SUM(AV9:AV14)</f>
        <v>519.18503333333331</v>
      </c>
      <c r="AW23" s="8">
        <f>SUM(AW9:AW14)</f>
        <v>233.41164000000001</v>
      </c>
      <c r="AX23" s="8">
        <f>SUM(AX9:AX14)</f>
        <v>444.65312</v>
      </c>
      <c r="AY23" s="8">
        <f>SUM(AY9:AY14)</f>
        <v>159.24468333333334</v>
      </c>
      <c r="AZ23" s="8">
        <f>SUM(AZ9:AZ14)</f>
        <v>367.08446666666669</v>
      </c>
      <c r="BA23" s="8">
        <f>SUM(BA9:BA14)</f>
        <v>1163.7231000000002</v>
      </c>
      <c r="BB23" s="8">
        <f>SUM(BB9:BB14)</f>
        <v>199.74931666666669</v>
      </c>
      <c r="BC23" s="8">
        <f>SUM(BC9:BC14)</f>
        <v>399.10170000000005</v>
      </c>
      <c r="BD23" s="8">
        <f>SUM(BD9:BD14)</f>
        <v>253.50340000000003</v>
      </c>
      <c r="BE23" s="8">
        <f>SUM(BE9:BE14)</f>
        <v>752.28546666666682</v>
      </c>
      <c r="BF23" s="8">
        <f>SUM(BF9:BF14)</f>
        <v>708.90438333333327</v>
      </c>
      <c r="BG23" s="8">
        <f>SUM(BG9:BG14)</f>
        <v>276.24168333333336</v>
      </c>
      <c r="BH23" s="8">
        <f>SUM(BH9:BH14)</f>
        <v>522.15250000000003</v>
      </c>
      <c r="BI23" s="8">
        <f>SUM(BI9:BI14)</f>
        <v>141.37775000000002</v>
      </c>
      <c r="BJ23" s="8">
        <f>SUM(BJ9:BJ14)</f>
        <v>798.61824999999988</v>
      </c>
      <c r="BK23" s="8">
        <f>SUM(BK9:BK14)</f>
        <v>863.1456166666668</v>
      </c>
      <c r="BL23" s="8">
        <f>SUM(BL9:BL14)</f>
        <v>1448.3441833333334</v>
      </c>
      <c r="BM23" s="8">
        <f>SUM(BM9:BM14)</f>
        <v>2273.0945000000002</v>
      </c>
      <c r="BN23" s="8">
        <f>SUM(BN9:BN14)</f>
        <v>3758.972283333334</v>
      </c>
      <c r="BO23" s="8">
        <f>SUM(BO9:BO14)</f>
        <v>1833.4493142857143</v>
      </c>
      <c r="BP23" s="8">
        <f>SUM(BP9:BP14)</f>
        <v>4009.2071000000001</v>
      </c>
      <c r="BQ23" s="8">
        <f>SUM(BQ9:BQ14)</f>
        <v>2449.6120333333333</v>
      </c>
      <c r="BR23" s="8">
        <f>SUM(BR9:BR14)</f>
        <v>2857.6765833333329</v>
      </c>
      <c r="BS23" s="8">
        <f>SUM(BS9:BS14)</f>
        <v>911.26170000000002</v>
      </c>
      <c r="BT23" s="8">
        <f>SUM(BT9:BT14)</f>
        <v>364.33805714285717</v>
      </c>
      <c r="BU23" s="8">
        <f>SUM(BU9:BU14)</f>
        <v>2431.8183000000004</v>
      </c>
      <c r="BV23" s="8">
        <f>SUM(BV9:BV14)</f>
        <v>1364.8533166666666</v>
      </c>
      <c r="BW23" s="8">
        <f>SUM(BW9:BW14)</f>
        <v>660.15075000000002</v>
      </c>
      <c r="BX23" s="8">
        <f>SUM(BX9:BX14)</f>
        <v>494.17721666666665</v>
      </c>
      <c r="BY23" s="8">
        <f>SUM(BY9:BY14)</f>
        <v>1058.1743666666666</v>
      </c>
      <c r="BZ23" s="8">
        <f>SUM(BZ9:BZ14)</f>
        <v>372.41233333333332</v>
      </c>
      <c r="CA23" s="8">
        <f>SUM(CA9:CA14)</f>
        <v>1037.5347666666669</v>
      </c>
      <c r="CB23" s="8">
        <f>SUM(CB9:CB14)</f>
        <v>445.6735666666666</v>
      </c>
      <c r="CC23" s="8">
        <f>SUM(CC9:CC14)</f>
        <v>668.33533333333332</v>
      </c>
      <c r="CD23" s="8">
        <f>SUM(CD9:CD14)</f>
        <v>370.58774999999997</v>
      </c>
      <c r="CE23" s="8">
        <f>SUM(CE9:CE14)</f>
        <v>738.81983333333324</v>
      </c>
      <c r="CF23" s="8">
        <f>SUM(CF9:CF14)</f>
        <v>408.2240833333334</v>
      </c>
      <c r="CG23" s="8">
        <f>SUM(CG9:CG14)</f>
        <v>1125.1202833333334</v>
      </c>
      <c r="CH23" s="8">
        <f>SUM(CH9:CH14)</f>
        <v>254.77683333333334</v>
      </c>
      <c r="CI23" s="8">
        <f>SUM(CI9:CI14)</f>
        <v>250.30951666666667</v>
      </c>
      <c r="CJ23" s="8">
        <f>SUM(CJ9:CJ14)</f>
        <v>241.79471666666666</v>
      </c>
      <c r="CK23" s="8">
        <f>SUM(CK9:CK14)</f>
        <v>1009.51705</v>
      </c>
      <c r="CL23" s="8">
        <f>SUM(CL9:CL14)</f>
        <v>342.29375555555555</v>
      </c>
      <c r="CM23" s="8">
        <f>SUM(CM9:CM14)</f>
        <v>51.177583333333338</v>
      </c>
      <c r="CN23" s="8">
        <f>SUM(CN9:CN14)</f>
        <v>136.39499999999998</v>
      </c>
      <c r="CO23" s="8">
        <f>SUM(CO9:CO14)</f>
        <v>668.45853333333343</v>
      </c>
      <c r="CP23" s="8">
        <f>SUM(CP9:CP14)</f>
        <v>303.89340000000004</v>
      </c>
      <c r="CQ23" s="8">
        <f>SUM(CQ9:CQ14)</f>
        <v>378.21653333333336</v>
      </c>
      <c r="CR23" s="8">
        <f>SUM(CR9:CR14)</f>
        <v>745.21810000000005</v>
      </c>
      <c r="CS23" s="8">
        <f>SUM(CS9:CS14)</f>
        <v>920.01485000000002</v>
      </c>
      <c r="CT23" s="8">
        <f>SUM(CT9:CT14)</f>
        <v>410.74478333333332</v>
      </c>
      <c r="CU23" s="8">
        <f>SUM(CU9:CU14)</f>
        <v>455.70253333333341</v>
      </c>
      <c r="CV23" s="8">
        <f>SUM(CV9:CV14)</f>
        <v>517.9892000000001</v>
      </c>
      <c r="CW23" s="8">
        <f>SUM(CW9:CW14)</f>
        <v>878.86203333333322</v>
      </c>
      <c r="CX23" s="8">
        <f>SUM(CX9:CX14)</f>
        <v>1857.3285000000001</v>
      </c>
      <c r="CY23" s="8">
        <f>SUM(CY9:CY14)</f>
        <v>375.31098333333335</v>
      </c>
      <c r="CZ23" s="8">
        <f>SUM(CZ9:CZ14)</f>
        <v>180.76301666666666</v>
      </c>
      <c r="DA23" s="8">
        <f>SUM(DA9:DA14)</f>
        <v>560.96106666666662</v>
      </c>
      <c r="DB23" s="8">
        <f>SUM(DB9:DB14)</f>
        <v>226.39898333333335</v>
      </c>
      <c r="DC23" s="8">
        <f>SUM(DC9:DC14)</f>
        <v>226.74741666666668</v>
      </c>
      <c r="DD23" s="8">
        <f>SUM(DD9:DD14)</f>
        <v>840.72946666666678</v>
      </c>
      <c r="DE23" s="8">
        <f>SUM(DE9:DE14)</f>
        <v>572.43529999999998</v>
      </c>
      <c r="DF23" s="8">
        <f>SUM(DF9:DF14)</f>
        <v>1189.4269833333333</v>
      </c>
      <c r="DG23" s="8">
        <f>SUM(DG9:DG14)</f>
        <v>422.05456666666669</v>
      </c>
      <c r="DH23" s="8">
        <f>SUM(DH9:DH14)</f>
        <v>179.63038333333336</v>
      </c>
      <c r="DI23" s="8">
        <f>SUM(DI9:DI14)</f>
        <v>531.26741666666669</v>
      </c>
      <c r="DJ23" s="8">
        <f>SUM(DJ9:DJ14)</f>
        <v>192.12216666666666</v>
      </c>
      <c r="DK23" s="8">
        <f>SUM(DK9:DK14)</f>
        <v>717.3066</v>
      </c>
      <c r="DL23" s="8">
        <f>SUM(DL9:DL14)</f>
        <v>724.21575000000007</v>
      </c>
      <c r="DM23" s="8">
        <f>SUM(DM9:DM14)</f>
        <v>557.5572166666667</v>
      </c>
      <c r="DN23" s="8">
        <f>SUM(DN9:DN14)</f>
        <v>270.27708333333334</v>
      </c>
      <c r="DO23" s="8">
        <f>SUM(DO9:DO14)</f>
        <v>1028.5238166666666</v>
      </c>
      <c r="DP23" s="8">
        <f>SUM(DP9:DP14)</f>
        <v>941.93196666666665</v>
      </c>
      <c r="DQ23" s="8">
        <f>SUM(DQ9:DQ14)</f>
        <v>1394.3717833333335</v>
      </c>
      <c r="DR23" s="8">
        <f>SUM(DR9:DR14)</f>
        <v>216.25178333333335</v>
      </c>
      <c r="DS23" s="8">
        <f>SUM(DS9:DS14)</f>
        <v>324.84634999999997</v>
      </c>
      <c r="DT23" s="8">
        <f>SUM(DT9:DT14)</f>
        <v>567.16016666666667</v>
      </c>
      <c r="DU23" s="8">
        <f>SUM(DU9:DU14)</f>
        <v>420.39465000000001</v>
      </c>
      <c r="DV23" s="8">
        <f>SUM(DV9:DV14)</f>
        <v>463.19691666666665</v>
      </c>
      <c r="DW23" s="8">
        <f>SUM(DW9:DW14)</f>
        <v>474.12526666666668</v>
      </c>
      <c r="DX23" s="8">
        <f>SUM(DX9:DX14)</f>
        <v>443.26145000000002</v>
      </c>
      <c r="DY23" s="8">
        <f>SUM(DY9:DY14)</f>
        <v>512.93475000000001</v>
      </c>
      <c r="DZ23" s="8">
        <f>SUM(DZ9:DZ14)</f>
        <v>470.7129333333333</v>
      </c>
      <c r="EA23" s="8">
        <f>SUM(EA9:EA14)</f>
        <v>713.31914999999992</v>
      </c>
      <c r="EB23" s="8">
        <f>SUM(EB9:EB14)</f>
        <v>429.90693333333331</v>
      </c>
      <c r="EC23" s="8">
        <f>SUM(EC9:EC14)</f>
        <v>668.45920000000012</v>
      </c>
      <c r="ED23" s="8">
        <f>SUM(ED9:ED14)</f>
        <v>663.81286666666665</v>
      </c>
      <c r="EE23" s="8">
        <f>SUM(EE9:EE14)</f>
        <v>171.00351666666668</v>
      </c>
      <c r="EF23" s="8">
        <f>SUM(EF9:EF14)</f>
        <v>655.35758333333331</v>
      </c>
      <c r="EG23" s="8">
        <f>SUM(EG9:EG14)</f>
        <v>268.85278333333332</v>
      </c>
      <c r="EH23" s="8">
        <f>SUM(EH9:EH14)</f>
        <v>195.39471666666668</v>
      </c>
      <c r="EI23" s="8">
        <f>SUM(EI9:EI14)</f>
        <v>241.41701666666665</v>
      </c>
      <c r="EJ23" s="8">
        <f>SUM(EJ9:EJ14)</f>
        <v>412.99811666666659</v>
      </c>
      <c r="EK23" s="8">
        <f>SUM(EK9:EK14)</f>
        <v>118.55643333333335</v>
      </c>
      <c r="EL23" s="8">
        <f>SUM(EL9:EL14)</f>
        <v>515.00543333333326</v>
      </c>
      <c r="EM23" s="8">
        <f>SUM(EM9:EM14)</f>
        <v>865.41958333333332</v>
      </c>
      <c r="EN23" s="8">
        <f>SUM(EN9:EN14)</f>
        <v>502.42181666666676</v>
      </c>
      <c r="EO23" s="8">
        <f>SUM(EO9:EO14)</f>
        <v>350.03694999999993</v>
      </c>
      <c r="EP23" s="8">
        <f>SUM(EP9:EP14)</f>
        <v>471.42340000000002</v>
      </c>
      <c r="EQ23" s="8">
        <f>SUM(EQ9:EQ14)</f>
        <v>155.10988333333333</v>
      </c>
      <c r="ER23" s="8">
        <f>SUM(ER9:ER14)</f>
        <v>343.9231333333334</v>
      </c>
      <c r="ES23" s="8">
        <f>SUM(ES9:ES14)</f>
        <v>532.7868666666667</v>
      </c>
      <c r="ET23" s="8">
        <f>SUM(ET9:ET14)</f>
        <v>790.13701666666668</v>
      </c>
      <c r="EU23" s="8">
        <f>SUM(EU9:EU14)</f>
        <v>702.17206666666675</v>
      </c>
      <c r="EV23" s="8">
        <f>SUM(EV9:EV14)</f>
        <v>374.1072666666667</v>
      </c>
      <c r="EW23" s="8">
        <f>SUM(EW9:EW14)</f>
        <v>1043.7875833333335</v>
      </c>
      <c r="EX23" s="8">
        <f>SUM(EX9:EX14)</f>
        <v>516.21068333333324</v>
      </c>
      <c r="EY23" s="8">
        <f>SUM(EY9:EY14)</f>
        <v>282.75328333333334</v>
      </c>
      <c r="EZ23" s="8">
        <f>SUM(EZ9:EZ14)</f>
        <v>2253.2129666666665</v>
      </c>
      <c r="FA23" s="8">
        <f>SUM(FA9:FA14)</f>
        <v>991.83796666666672</v>
      </c>
      <c r="FB23" s="8">
        <f>SUM(FB9:FB14)</f>
        <v>492.92849999999993</v>
      </c>
      <c r="FC23" s="8">
        <f>SUM(FC9:FC14)</f>
        <v>304.89906666666667</v>
      </c>
      <c r="FD23" s="8">
        <f>SUM(FD9:FD14)</f>
        <v>157.26134999999999</v>
      </c>
      <c r="FE23" s="8">
        <f>SUM(FE9:FE14)</f>
        <v>627.53714999999988</v>
      </c>
      <c r="FF23" s="8">
        <f>SUM(FF9:FF14)</f>
        <v>372.5870000000001</v>
      </c>
      <c r="FG23" s="8">
        <f>SUM(FG9:FG14)</f>
        <v>219.40811666666667</v>
      </c>
      <c r="FH23" s="8">
        <f>SUM(FH9:FH14)</f>
        <v>835.5691333333333</v>
      </c>
      <c r="FI23" s="8">
        <f>SUM(FI9:FI14)</f>
        <v>288.03863333333334</v>
      </c>
      <c r="FJ23" s="8">
        <f>SUM(FJ9:FJ14)</f>
        <v>576.09983333333332</v>
      </c>
      <c r="FK23" s="8">
        <f>SUM(FK9:FK14)</f>
        <v>669.49383333333321</v>
      </c>
      <c r="FL23" s="8">
        <f>SUM(FL9:FL14)</f>
        <v>1333.1734666666669</v>
      </c>
      <c r="FM23" s="8">
        <f>SUM(FM9:FM14)</f>
        <v>1921.88255</v>
      </c>
      <c r="FN23" s="8">
        <f>SUM(FN9:FN14)</f>
        <v>713.53404999999998</v>
      </c>
      <c r="FO23" s="8">
        <f>SUM(FO9:FO14)</f>
        <v>521.62274999999988</v>
      </c>
      <c r="FP23" s="8">
        <f>SUM(FP9:FP14)</f>
        <v>320.12208333333331</v>
      </c>
      <c r="FQ23" s="8">
        <f>SUM(FQ9:FQ14)</f>
        <v>253.20246666666665</v>
      </c>
    </row>
    <row r="24" spans="1:173" ht="17" thickBot="1" x14ac:dyDescent="0.25">
      <c r="B24" s="1" t="s">
        <v>380</v>
      </c>
      <c r="C24" s="109"/>
      <c r="D24" s="109"/>
      <c r="E24" s="8" t="e">
        <f>SUM(#REF!)</f>
        <v>#REF!</v>
      </c>
      <c r="F24" s="8" t="e">
        <f>SUM(#REF!)</f>
        <v>#REF!</v>
      </c>
      <c r="G24" s="8" t="e">
        <f>SUM(#REF!)</f>
        <v>#REF!</v>
      </c>
      <c r="H24" s="8" t="e">
        <f>SUM(#REF!)</f>
        <v>#REF!</v>
      </c>
      <c r="I24" s="8" t="e">
        <f>SUM(#REF!)</f>
        <v>#REF!</v>
      </c>
      <c r="J24" s="8" t="e">
        <f>SUM(#REF!)</f>
        <v>#REF!</v>
      </c>
      <c r="K24" s="8" t="e">
        <f>SUM(#REF!)</f>
        <v>#REF!</v>
      </c>
      <c r="L24" s="8" t="e">
        <f>SUM(#REF!)</f>
        <v>#REF!</v>
      </c>
      <c r="M24" s="8" t="e">
        <f>SUM(#REF!)</f>
        <v>#REF!</v>
      </c>
      <c r="N24" s="8" t="e">
        <f>SUM(#REF!)</f>
        <v>#REF!</v>
      </c>
      <c r="O24" s="8" t="e">
        <f>SUM(#REF!)</f>
        <v>#REF!</v>
      </c>
      <c r="P24" s="8" t="e">
        <f>SUM(#REF!)</f>
        <v>#REF!</v>
      </c>
      <c r="Q24" s="8" t="e">
        <f>SUM(#REF!)</f>
        <v>#REF!</v>
      </c>
      <c r="R24" s="8" t="e">
        <f>SUM(#REF!)</f>
        <v>#REF!</v>
      </c>
      <c r="S24" s="8" t="e">
        <f>SUM(#REF!)</f>
        <v>#REF!</v>
      </c>
      <c r="T24" s="8" t="e">
        <f>SUM(#REF!)</f>
        <v>#REF!</v>
      </c>
      <c r="U24" s="8" t="e">
        <f>SUM(#REF!)</f>
        <v>#REF!</v>
      </c>
      <c r="V24" s="8" t="e">
        <f>SUM(#REF!)</f>
        <v>#REF!</v>
      </c>
      <c r="W24" s="8" t="e">
        <f>SUM(#REF!)</f>
        <v>#REF!</v>
      </c>
      <c r="X24" s="8" t="e">
        <f>SUM(#REF!)</f>
        <v>#REF!</v>
      </c>
      <c r="Y24" s="8" t="e">
        <f>SUM(#REF!)</f>
        <v>#REF!</v>
      </c>
      <c r="Z24" s="8" t="e">
        <f>SUM(#REF!)</f>
        <v>#REF!</v>
      </c>
      <c r="AA24" s="8" t="e">
        <f>SUM(#REF!)</f>
        <v>#REF!</v>
      </c>
      <c r="AB24" s="8" t="e">
        <f>SUM(#REF!)</f>
        <v>#REF!</v>
      </c>
      <c r="AC24" s="8" t="e">
        <f>SUM(#REF!)</f>
        <v>#REF!</v>
      </c>
      <c r="AD24" s="8" t="e">
        <f>SUM(#REF!)</f>
        <v>#REF!</v>
      </c>
      <c r="AE24" s="8" t="e">
        <f>SUM(#REF!)</f>
        <v>#REF!</v>
      </c>
      <c r="AF24" s="8" t="e">
        <f>SUM(#REF!)</f>
        <v>#REF!</v>
      </c>
      <c r="AG24" s="8" t="e">
        <f>SUM(#REF!)</f>
        <v>#REF!</v>
      </c>
      <c r="AH24" s="8" t="e">
        <f>SUM(#REF!)</f>
        <v>#REF!</v>
      </c>
      <c r="AI24" s="8" t="e">
        <f>SUM(#REF!)</f>
        <v>#REF!</v>
      </c>
      <c r="AJ24" s="8" t="e">
        <f>SUM(#REF!)</f>
        <v>#REF!</v>
      </c>
      <c r="AK24" s="8" t="e">
        <f>SUM(#REF!)</f>
        <v>#REF!</v>
      </c>
      <c r="AL24" s="8" t="e">
        <f>SUM(#REF!)</f>
        <v>#REF!</v>
      </c>
      <c r="AM24" s="8" t="e">
        <f>SUM(#REF!)</f>
        <v>#REF!</v>
      </c>
      <c r="AN24" s="8" t="e">
        <f>SUM(#REF!)</f>
        <v>#REF!</v>
      </c>
      <c r="AO24" s="8" t="e">
        <f>SUM(#REF!)</f>
        <v>#REF!</v>
      </c>
      <c r="AP24" s="8" t="e">
        <f>SUM(#REF!)</f>
        <v>#REF!</v>
      </c>
      <c r="AQ24" s="8" t="e">
        <f>SUM(#REF!)</f>
        <v>#REF!</v>
      </c>
      <c r="AR24" s="8" t="e">
        <f>SUM(#REF!)</f>
        <v>#REF!</v>
      </c>
      <c r="AS24" s="8" t="e">
        <f>SUM(#REF!)</f>
        <v>#REF!</v>
      </c>
      <c r="AT24" s="8" t="e">
        <f>SUM(#REF!)</f>
        <v>#REF!</v>
      </c>
      <c r="AU24" s="8" t="e">
        <f>SUM(#REF!)</f>
        <v>#REF!</v>
      </c>
      <c r="AV24" s="8" t="e">
        <f>SUM(#REF!)</f>
        <v>#REF!</v>
      </c>
      <c r="AW24" s="8" t="e">
        <f>SUM(#REF!)</f>
        <v>#REF!</v>
      </c>
      <c r="AX24" s="8" t="e">
        <f>SUM(#REF!)</f>
        <v>#REF!</v>
      </c>
      <c r="AY24" s="8" t="e">
        <f>SUM(#REF!)</f>
        <v>#REF!</v>
      </c>
      <c r="AZ24" s="8" t="e">
        <f>SUM(#REF!)</f>
        <v>#REF!</v>
      </c>
      <c r="BA24" s="8" t="e">
        <f>SUM(#REF!)</f>
        <v>#REF!</v>
      </c>
      <c r="BB24" s="8" t="e">
        <f>SUM(#REF!)</f>
        <v>#REF!</v>
      </c>
      <c r="BC24" s="8" t="e">
        <f>SUM(#REF!)</f>
        <v>#REF!</v>
      </c>
      <c r="BD24" s="8" t="e">
        <f>SUM(#REF!)</f>
        <v>#REF!</v>
      </c>
      <c r="BE24" s="8" t="e">
        <f>SUM(#REF!)</f>
        <v>#REF!</v>
      </c>
      <c r="BF24" s="8" t="e">
        <f>SUM(#REF!)</f>
        <v>#REF!</v>
      </c>
      <c r="BG24" s="8" t="e">
        <f>SUM(#REF!)</f>
        <v>#REF!</v>
      </c>
      <c r="BH24" s="8" t="e">
        <f>SUM(#REF!)</f>
        <v>#REF!</v>
      </c>
      <c r="BI24" s="8" t="e">
        <f>SUM(#REF!)</f>
        <v>#REF!</v>
      </c>
      <c r="BJ24" s="8" t="e">
        <f>SUM(#REF!)</f>
        <v>#REF!</v>
      </c>
      <c r="BK24" s="8" t="e">
        <f>SUM(#REF!)</f>
        <v>#REF!</v>
      </c>
      <c r="BL24" s="8" t="e">
        <f>SUM(#REF!)</f>
        <v>#REF!</v>
      </c>
      <c r="BM24" s="8" t="e">
        <f>SUM(#REF!)</f>
        <v>#REF!</v>
      </c>
      <c r="BN24" s="8" t="e">
        <f>SUM(#REF!)</f>
        <v>#REF!</v>
      </c>
      <c r="BO24" s="8" t="e">
        <f>SUM(#REF!)</f>
        <v>#REF!</v>
      </c>
      <c r="BP24" s="8" t="e">
        <f>SUM(#REF!)</f>
        <v>#REF!</v>
      </c>
      <c r="BQ24" s="8" t="e">
        <f>SUM(#REF!)</f>
        <v>#REF!</v>
      </c>
      <c r="BR24" s="8" t="e">
        <f>SUM(#REF!)</f>
        <v>#REF!</v>
      </c>
      <c r="BS24" s="8" t="e">
        <f>SUM(#REF!)</f>
        <v>#REF!</v>
      </c>
      <c r="BT24" s="8" t="e">
        <f>SUM(#REF!)</f>
        <v>#REF!</v>
      </c>
      <c r="BU24" s="8" t="e">
        <f>SUM(#REF!)</f>
        <v>#REF!</v>
      </c>
      <c r="BV24" s="8" t="e">
        <f>SUM(#REF!)</f>
        <v>#REF!</v>
      </c>
      <c r="BW24" s="8" t="e">
        <f>SUM(#REF!)</f>
        <v>#REF!</v>
      </c>
      <c r="BX24" s="8" t="e">
        <f>SUM(#REF!)</f>
        <v>#REF!</v>
      </c>
      <c r="BY24" s="8" t="e">
        <f>SUM(#REF!)</f>
        <v>#REF!</v>
      </c>
      <c r="BZ24" s="8" t="e">
        <f>SUM(#REF!)</f>
        <v>#REF!</v>
      </c>
      <c r="CA24" s="8" t="e">
        <f>SUM(#REF!)</f>
        <v>#REF!</v>
      </c>
      <c r="CB24" s="8" t="e">
        <f>SUM(#REF!)</f>
        <v>#REF!</v>
      </c>
      <c r="CC24" s="8" t="e">
        <f>SUM(#REF!)</f>
        <v>#REF!</v>
      </c>
      <c r="CD24" s="8" t="e">
        <f>SUM(#REF!)</f>
        <v>#REF!</v>
      </c>
      <c r="CE24" s="8" t="e">
        <f>SUM(#REF!)</f>
        <v>#REF!</v>
      </c>
      <c r="CF24" s="8" t="e">
        <f>SUM(#REF!)</f>
        <v>#REF!</v>
      </c>
      <c r="CG24" s="8" t="e">
        <f>SUM(#REF!)</f>
        <v>#REF!</v>
      </c>
      <c r="CH24" s="8" t="e">
        <f>SUM(#REF!)</f>
        <v>#REF!</v>
      </c>
      <c r="CI24" s="8" t="e">
        <f>SUM(#REF!)</f>
        <v>#REF!</v>
      </c>
      <c r="CJ24" s="8" t="e">
        <f>SUM(#REF!)</f>
        <v>#REF!</v>
      </c>
      <c r="CK24" s="8" t="e">
        <f>SUM(#REF!)</f>
        <v>#REF!</v>
      </c>
      <c r="CL24" s="8" t="e">
        <f>SUM(#REF!)</f>
        <v>#REF!</v>
      </c>
      <c r="CM24" s="8" t="e">
        <f>SUM(#REF!)</f>
        <v>#REF!</v>
      </c>
      <c r="CN24" s="8" t="e">
        <f>SUM(#REF!)</f>
        <v>#REF!</v>
      </c>
      <c r="CO24" s="8" t="e">
        <f>SUM(#REF!)</f>
        <v>#REF!</v>
      </c>
      <c r="CP24" s="8" t="e">
        <f>SUM(#REF!)</f>
        <v>#REF!</v>
      </c>
      <c r="CQ24" s="8" t="e">
        <f>SUM(#REF!)</f>
        <v>#REF!</v>
      </c>
      <c r="CR24" s="8" t="e">
        <f>SUM(#REF!)</f>
        <v>#REF!</v>
      </c>
      <c r="CS24" s="8" t="e">
        <f>SUM(#REF!)</f>
        <v>#REF!</v>
      </c>
      <c r="CT24" s="8" t="e">
        <f>SUM(#REF!)</f>
        <v>#REF!</v>
      </c>
      <c r="CU24" s="8" t="e">
        <f>SUM(#REF!)</f>
        <v>#REF!</v>
      </c>
      <c r="CV24" s="8" t="e">
        <f>SUM(#REF!)</f>
        <v>#REF!</v>
      </c>
      <c r="CW24" s="8" t="e">
        <f>SUM(#REF!)</f>
        <v>#REF!</v>
      </c>
      <c r="CX24" s="8" t="e">
        <f>SUM(#REF!)</f>
        <v>#REF!</v>
      </c>
      <c r="CY24" s="8" t="e">
        <f>SUM(#REF!)</f>
        <v>#REF!</v>
      </c>
      <c r="CZ24" s="8" t="e">
        <f>SUM(#REF!)</f>
        <v>#REF!</v>
      </c>
      <c r="DA24" s="8" t="e">
        <f>SUM(#REF!)</f>
        <v>#REF!</v>
      </c>
      <c r="DB24" s="8" t="e">
        <f>SUM(#REF!)</f>
        <v>#REF!</v>
      </c>
      <c r="DC24" s="8" t="e">
        <f>SUM(#REF!)</f>
        <v>#REF!</v>
      </c>
      <c r="DD24" s="8" t="e">
        <f>SUM(#REF!)</f>
        <v>#REF!</v>
      </c>
      <c r="DE24" s="8" t="e">
        <f>SUM(#REF!)</f>
        <v>#REF!</v>
      </c>
      <c r="DF24" s="8" t="e">
        <f>SUM(#REF!)</f>
        <v>#REF!</v>
      </c>
      <c r="DG24" s="8" t="e">
        <f>SUM(#REF!)</f>
        <v>#REF!</v>
      </c>
      <c r="DH24" s="8" t="e">
        <f>SUM(#REF!)</f>
        <v>#REF!</v>
      </c>
      <c r="DI24" s="8" t="e">
        <f>SUM(#REF!)</f>
        <v>#REF!</v>
      </c>
      <c r="DJ24" s="8" t="e">
        <f>SUM(#REF!)</f>
        <v>#REF!</v>
      </c>
      <c r="DK24" s="8" t="e">
        <f>SUM(#REF!)</f>
        <v>#REF!</v>
      </c>
      <c r="DL24" s="8" t="e">
        <f>SUM(#REF!)</f>
        <v>#REF!</v>
      </c>
      <c r="DM24" s="8" t="e">
        <f>SUM(#REF!)</f>
        <v>#REF!</v>
      </c>
      <c r="DN24" s="8" t="e">
        <f>SUM(#REF!)</f>
        <v>#REF!</v>
      </c>
      <c r="DO24" s="8" t="e">
        <f>SUM(#REF!)</f>
        <v>#REF!</v>
      </c>
      <c r="DP24" s="8" t="e">
        <f>SUM(#REF!)</f>
        <v>#REF!</v>
      </c>
      <c r="DQ24" s="8" t="e">
        <f>SUM(#REF!)</f>
        <v>#REF!</v>
      </c>
      <c r="DR24" s="8" t="e">
        <f>SUM(#REF!)</f>
        <v>#REF!</v>
      </c>
      <c r="DS24" s="8" t="e">
        <f>SUM(#REF!)</f>
        <v>#REF!</v>
      </c>
      <c r="DT24" s="8" t="e">
        <f>SUM(#REF!)</f>
        <v>#REF!</v>
      </c>
      <c r="DU24" s="8" t="e">
        <f>SUM(#REF!)</f>
        <v>#REF!</v>
      </c>
      <c r="DV24" s="8" t="e">
        <f>SUM(#REF!)</f>
        <v>#REF!</v>
      </c>
      <c r="DW24" s="8" t="e">
        <f>SUM(#REF!)</f>
        <v>#REF!</v>
      </c>
      <c r="DX24" s="8" t="e">
        <f>SUM(#REF!)</f>
        <v>#REF!</v>
      </c>
      <c r="DY24" s="8" t="e">
        <f>SUM(#REF!)</f>
        <v>#REF!</v>
      </c>
      <c r="DZ24" s="8" t="e">
        <f>SUM(#REF!)</f>
        <v>#REF!</v>
      </c>
      <c r="EA24" s="8" t="e">
        <f>SUM(#REF!)</f>
        <v>#REF!</v>
      </c>
      <c r="EB24" s="8" t="e">
        <f>SUM(#REF!)</f>
        <v>#REF!</v>
      </c>
      <c r="EC24" s="8" t="e">
        <f>SUM(#REF!)</f>
        <v>#REF!</v>
      </c>
      <c r="ED24" s="8" t="e">
        <f>SUM(#REF!)</f>
        <v>#REF!</v>
      </c>
      <c r="EE24" s="8" t="e">
        <f>SUM(#REF!)</f>
        <v>#REF!</v>
      </c>
      <c r="EF24" s="8" t="e">
        <f>SUM(#REF!)</f>
        <v>#REF!</v>
      </c>
      <c r="EG24" s="8" t="e">
        <f>SUM(#REF!)</f>
        <v>#REF!</v>
      </c>
      <c r="EH24" s="8" t="e">
        <f>SUM(#REF!)</f>
        <v>#REF!</v>
      </c>
      <c r="EI24" s="8" t="e">
        <f>SUM(#REF!)</f>
        <v>#REF!</v>
      </c>
      <c r="EJ24" s="8" t="e">
        <f>SUM(#REF!)</f>
        <v>#REF!</v>
      </c>
      <c r="EK24" s="8" t="e">
        <f>SUM(#REF!)</f>
        <v>#REF!</v>
      </c>
      <c r="EL24" s="8" t="e">
        <f>SUM(#REF!)</f>
        <v>#REF!</v>
      </c>
      <c r="EM24" s="8" t="e">
        <f>SUM(#REF!)</f>
        <v>#REF!</v>
      </c>
      <c r="EN24" s="8" t="e">
        <f>SUM(#REF!)</f>
        <v>#REF!</v>
      </c>
      <c r="EO24" s="8" t="e">
        <f>SUM(#REF!)</f>
        <v>#REF!</v>
      </c>
      <c r="EP24" s="8" t="e">
        <f>SUM(#REF!)</f>
        <v>#REF!</v>
      </c>
      <c r="EQ24" s="8" t="e">
        <f>SUM(#REF!)</f>
        <v>#REF!</v>
      </c>
      <c r="ER24" s="8" t="e">
        <f>SUM(#REF!)</f>
        <v>#REF!</v>
      </c>
      <c r="ES24" s="8" t="e">
        <f>SUM(#REF!)</f>
        <v>#REF!</v>
      </c>
      <c r="ET24" s="8" t="e">
        <f>SUM(#REF!)</f>
        <v>#REF!</v>
      </c>
      <c r="EU24" s="8" t="e">
        <f>SUM(#REF!)</f>
        <v>#REF!</v>
      </c>
      <c r="EV24" s="8" t="e">
        <f>SUM(#REF!)</f>
        <v>#REF!</v>
      </c>
      <c r="EW24" s="8" t="e">
        <f>SUM(#REF!)</f>
        <v>#REF!</v>
      </c>
      <c r="EX24" s="8" t="e">
        <f>SUM(#REF!)</f>
        <v>#REF!</v>
      </c>
      <c r="EY24" s="8" t="e">
        <f>SUM(#REF!)</f>
        <v>#REF!</v>
      </c>
      <c r="EZ24" s="8" t="e">
        <f>SUM(#REF!)</f>
        <v>#REF!</v>
      </c>
      <c r="FA24" s="8" t="e">
        <f>SUM(#REF!)</f>
        <v>#REF!</v>
      </c>
      <c r="FB24" s="8" t="e">
        <f>SUM(#REF!)</f>
        <v>#REF!</v>
      </c>
      <c r="FC24" s="8" t="e">
        <f>SUM(#REF!)</f>
        <v>#REF!</v>
      </c>
      <c r="FD24" s="8" t="e">
        <f>SUM(#REF!)</f>
        <v>#REF!</v>
      </c>
      <c r="FE24" s="8" t="e">
        <f>SUM(#REF!)</f>
        <v>#REF!</v>
      </c>
      <c r="FF24" s="8" t="e">
        <f>SUM(#REF!)</f>
        <v>#REF!</v>
      </c>
      <c r="FG24" s="8" t="e">
        <f>SUM(#REF!)</f>
        <v>#REF!</v>
      </c>
      <c r="FH24" s="8" t="e">
        <f>SUM(#REF!)</f>
        <v>#REF!</v>
      </c>
      <c r="FI24" s="8" t="e">
        <f>SUM(#REF!)</f>
        <v>#REF!</v>
      </c>
      <c r="FJ24" s="8" t="e">
        <f>SUM(#REF!)</f>
        <v>#REF!</v>
      </c>
      <c r="FK24" s="8" t="e">
        <f>SUM(#REF!)</f>
        <v>#REF!</v>
      </c>
      <c r="FL24" s="8" t="e">
        <f>SUM(#REF!)</f>
        <v>#REF!</v>
      </c>
      <c r="FM24" s="8" t="e">
        <f>SUM(#REF!)</f>
        <v>#REF!</v>
      </c>
      <c r="FN24" s="8" t="e">
        <f>SUM(#REF!)</f>
        <v>#REF!</v>
      </c>
      <c r="FO24" s="8" t="e">
        <f>SUM(#REF!)</f>
        <v>#REF!</v>
      </c>
      <c r="FP24" s="8" t="e">
        <f>SUM(#REF!)</f>
        <v>#REF!</v>
      </c>
      <c r="FQ24" s="8" t="e">
        <f>SUM(#REF!)</f>
        <v>#REF!</v>
      </c>
    </row>
    <row r="25" spans="1:173" ht="17" thickBot="1" x14ac:dyDescent="0.25">
      <c r="B25" s="1" t="s">
        <v>40</v>
      </c>
      <c r="C25" s="109"/>
      <c r="D25" s="109"/>
      <c r="E25" s="8" t="e">
        <f>SUM(#REF!)</f>
        <v>#REF!</v>
      </c>
      <c r="F25" s="8" t="e">
        <f>SUM(#REF!)</f>
        <v>#REF!</v>
      </c>
      <c r="G25" s="8" t="e">
        <f>SUM(#REF!)</f>
        <v>#REF!</v>
      </c>
      <c r="H25" s="8" t="e">
        <f>SUM(#REF!)</f>
        <v>#REF!</v>
      </c>
      <c r="I25" s="8" t="e">
        <f>SUM(#REF!)</f>
        <v>#REF!</v>
      </c>
      <c r="J25" s="8" t="e">
        <f>SUM(#REF!)</f>
        <v>#REF!</v>
      </c>
      <c r="K25" s="8" t="e">
        <f>SUM(#REF!)</f>
        <v>#REF!</v>
      </c>
      <c r="L25" s="8" t="e">
        <f>SUM(#REF!)</f>
        <v>#REF!</v>
      </c>
      <c r="M25" s="8" t="e">
        <f>SUM(#REF!)</f>
        <v>#REF!</v>
      </c>
      <c r="N25" s="8" t="e">
        <f>SUM(#REF!)</f>
        <v>#REF!</v>
      </c>
      <c r="O25" s="8" t="e">
        <f>SUM(#REF!)</f>
        <v>#REF!</v>
      </c>
      <c r="P25" s="8" t="e">
        <f>SUM(#REF!)</f>
        <v>#REF!</v>
      </c>
      <c r="Q25" s="8" t="e">
        <f>SUM(#REF!)</f>
        <v>#REF!</v>
      </c>
      <c r="R25" s="8" t="e">
        <f>SUM(#REF!)</f>
        <v>#REF!</v>
      </c>
      <c r="S25" s="8" t="e">
        <f>SUM(#REF!)</f>
        <v>#REF!</v>
      </c>
      <c r="T25" s="8" t="e">
        <f>SUM(#REF!)</f>
        <v>#REF!</v>
      </c>
      <c r="U25" s="8" t="e">
        <f>SUM(#REF!)</f>
        <v>#REF!</v>
      </c>
      <c r="V25" s="8" t="e">
        <f>SUM(#REF!)</f>
        <v>#REF!</v>
      </c>
      <c r="W25" s="8" t="e">
        <f>SUM(#REF!)</f>
        <v>#REF!</v>
      </c>
      <c r="X25" s="8" t="e">
        <f>SUM(#REF!)</f>
        <v>#REF!</v>
      </c>
      <c r="Y25" s="8" t="e">
        <f>SUM(#REF!)</f>
        <v>#REF!</v>
      </c>
      <c r="Z25" s="8" t="e">
        <f>SUM(#REF!)</f>
        <v>#REF!</v>
      </c>
      <c r="AA25" s="8" t="e">
        <f>SUM(#REF!)</f>
        <v>#REF!</v>
      </c>
      <c r="AB25" s="8" t="e">
        <f>SUM(#REF!)</f>
        <v>#REF!</v>
      </c>
      <c r="AC25" s="8" t="e">
        <f>SUM(#REF!)</f>
        <v>#REF!</v>
      </c>
      <c r="AD25" s="8" t="e">
        <f>SUM(#REF!)</f>
        <v>#REF!</v>
      </c>
      <c r="AE25" s="8" t="e">
        <f>SUM(#REF!)</f>
        <v>#REF!</v>
      </c>
      <c r="AF25" s="8" t="e">
        <f>SUM(#REF!)</f>
        <v>#REF!</v>
      </c>
      <c r="AG25" s="8" t="e">
        <f>SUM(#REF!)</f>
        <v>#REF!</v>
      </c>
      <c r="AH25" s="8" t="e">
        <f>SUM(#REF!)</f>
        <v>#REF!</v>
      </c>
      <c r="AI25" s="8" t="e">
        <f>SUM(#REF!)</f>
        <v>#REF!</v>
      </c>
      <c r="AJ25" s="8" t="e">
        <f>SUM(#REF!)</f>
        <v>#REF!</v>
      </c>
      <c r="AK25" s="8" t="e">
        <f>SUM(#REF!)</f>
        <v>#REF!</v>
      </c>
      <c r="AL25" s="8" t="e">
        <f>SUM(#REF!)</f>
        <v>#REF!</v>
      </c>
      <c r="AM25" s="8" t="e">
        <f>SUM(#REF!)</f>
        <v>#REF!</v>
      </c>
      <c r="AN25" s="8" t="e">
        <f>SUM(#REF!)</f>
        <v>#REF!</v>
      </c>
      <c r="AO25" s="8" t="e">
        <f>SUM(#REF!)</f>
        <v>#REF!</v>
      </c>
      <c r="AP25" s="8" t="e">
        <f>SUM(#REF!)</f>
        <v>#REF!</v>
      </c>
      <c r="AQ25" s="8" t="e">
        <f>SUM(#REF!)</f>
        <v>#REF!</v>
      </c>
      <c r="AR25" s="8" t="e">
        <f>SUM(#REF!)</f>
        <v>#REF!</v>
      </c>
      <c r="AS25" s="8" t="e">
        <f>SUM(#REF!)</f>
        <v>#REF!</v>
      </c>
      <c r="AT25" s="8" t="e">
        <f>SUM(#REF!)</f>
        <v>#REF!</v>
      </c>
      <c r="AU25" s="8" t="e">
        <f>SUM(#REF!)</f>
        <v>#REF!</v>
      </c>
      <c r="AV25" s="8" t="e">
        <f>SUM(#REF!)</f>
        <v>#REF!</v>
      </c>
      <c r="AW25" s="8" t="e">
        <f>SUM(#REF!)</f>
        <v>#REF!</v>
      </c>
      <c r="AX25" s="8" t="e">
        <f>SUM(#REF!)</f>
        <v>#REF!</v>
      </c>
      <c r="AY25" s="8" t="e">
        <f>SUM(#REF!)</f>
        <v>#REF!</v>
      </c>
      <c r="AZ25" s="8" t="e">
        <f>SUM(#REF!)</f>
        <v>#REF!</v>
      </c>
      <c r="BA25" s="8" t="e">
        <f>SUM(#REF!)</f>
        <v>#REF!</v>
      </c>
      <c r="BB25" s="8" t="e">
        <f>SUM(#REF!)</f>
        <v>#REF!</v>
      </c>
      <c r="BC25" s="8" t="e">
        <f>SUM(#REF!)</f>
        <v>#REF!</v>
      </c>
      <c r="BD25" s="8" t="e">
        <f>SUM(#REF!)</f>
        <v>#REF!</v>
      </c>
      <c r="BE25" s="8" t="e">
        <f>SUM(#REF!)</f>
        <v>#REF!</v>
      </c>
      <c r="BF25" s="8" t="e">
        <f>SUM(#REF!)</f>
        <v>#REF!</v>
      </c>
      <c r="BG25" s="8" t="e">
        <f>SUM(#REF!)</f>
        <v>#REF!</v>
      </c>
      <c r="BH25" s="8" t="e">
        <f>SUM(#REF!)</f>
        <v>#REF!</v>
      </c>
      <c r="BI25" s="8" t="e">
        <f>SUM(#REF!)</f>
        <v>#REF!</v>
      </c>
      <c r="BJ25" s="8" t="e">
        <f>SUM(#REF!)</f>
        <v>#REF!</v>
      </c>
      <c r="BK25" s="8" t="e">
        <f>SUM(#REF!)</f>
        <v>#REF!</v>
      </c>
      <c r="BL25" s="8" t="e">
        <f>SUM(#REF!)</f>
        <v>#REF!</v>
      </c>
      <c r="BM25" s="8" t="e">
        <f>SUM(#REF!)</f>
        <v>#REF!</v>
      </c>
      <c r="BN25" s="8" t="e">
        <f>SUM(#REF!)</f>
        <v>#REF!</v>
      </c>
      <c r="BO25" s="8" t="e">
        <f>SUM(#REF!)</f>
        <v>#REF!</v>
      </c>
      <c r="BP25" s="8" t="e">
        <f>SUM(#REF!)</f>
        <v>#REF!</v>
      </c>
      <c r="BQ25" s="8" t="e">
        <f>SUM(#REF!)</f>
        <v>#REF!</v>
      </c>
      <c r="BR25" s="8" t="e">
        <f>SUM(#REF!)</f>
        <v>#REF!</v>
      </c>
      <c r="BS25" s="8" t="e">
        <f>SUM(#REF!)</f>
        <v>#REF!</v>
      </c>
      <c r="BT25" s="8" t="e">
        <f>SUM(#REF!)</f>
        <v>#REF!</v>
      </c>
      <c r="BU25" s="8" t="e">
        <f>SUM(#REF!)</f>
        <v>#REF!</v>
      </c>
      <c r="BV25" s="8" t="e">
        <f>SUM(#REF!)</f>
        <v>#REF!</v>
      </c>
      <c r="BW25" s="8" t="e">
        <f>SUM(#REF!)</f>
        <v>#REF!</v>
      </c>
      <c r="BX25" s="8" t="e">
        <f>SUM(#REF!)</f>
        <v>#REF!</v>
      </c>
      <c r="BY25" s="8" t="e">
        <f>SUM(#REF!)</f>
        <v>#REF!</v>
      </c>
      <c r="BZ25" s="8" t="e">
        <f>SUM(#REF!)</f>
        <v>#REF!</v>
      </c>
      <c r="CA25" s="8" t="e">
        <f>SUM(#REF!)</f>
        <v>#REF!</v>
      </c>
      <c r="CB25" s="8" t="e">
        <f>SUM(#REF!)</f>
        <v>#REF!</v>
      </c>
      <c r="CC25" s="8" t="e">
        <f>SUM(#REF!)</f>
        <v>#REF!</v>
      </c>
      <c r="CD25" s="8" t="e">
        <f>SUM(#REF!)</f>
        <v>#REF!</v>
      </c>
      <c r="CE25" s="8" t="e">
        <f>SUM(#REF!)</f>
        <v>#REF!</v>
      </c>
      <c r="CF25" s="8" t="e">
        <f>SUM(#REF!)</f>
        <v>#REF!</v>
      </c>
      <c r="CG25" s="8" t="e">
        <f>SUM(#REF!)</f>
        <v>#REF!</v>
      </c>
      <c r="CH25" s="8" t="e">
        <f>SUM(#REF!)</f>
        <v>#REF!</v>
      </c>
      <c r="CI25" s="8" t="e">
        <f>SUM(#REF!)</f>
        <v>#REF!</v>
      </c>
      <c r="CJ25" s="8" t="e">
        <f>SUM(#REF!)</f>
        <v>#REF!</v>
      </c>
      <c r="CK25" s="8" t="e">
        <f>SUM(#REF!)</f>
        <v>#REF!</v>
      </c>
      <c r="CL25" s="8" t="e">
        <f>SUM(#REF!)</f>
        <v>#REF!</v>
      </c>
      <c r="CM25" s="8" t="e">
        <f>SUM(#REF!)</f>
        <v>#REF!</v>
      </c>
      <c r="CN25" s="8" t="e">
        <f>SUM(#REF!)</f>
        <v>#REF!</v>
      </c>
      <c r="CO25" s="8" t="e">
        <f>SUM(#REF!)</f>
        <v>#REF!</v>
      </c>
      <c r="CP25" s="8" t="e">
        <f>SUM(#REF!)</f>
        <v>#REF!</v>
      </c>
      <c r="CQ25" s="8" t="e">
        <f>SUM(#REF!)</f>
        <v>#REF!</v>
      </c>
      <c r="CR25" s="8" t="e">
        <f>SUM(#REF!)</f>
        <v>#REF!</v>
      </c>
      <c r="CS25" s="8" t="e">
        <f>SUM(#REF!)</f>
        <v>#REF!</v>
      </c>
      <c r="CT25" s="8" t="e">
        <f>SUM(#REF!)</f>
        <v>#REF!</v>
      </c>
      <c r="CU25" s="8" t="e">
        <f>SUM(#REF!)</f>
        <v>#REF!</v>
      </c>
      <c r="CV25" s="8" t="e">
        <f>SUM(#REF!)</f>
        <v>#REF!</v>
      </c>
      <c r="CW25" s="8" t="e">
        <f>SUM(#REF!)</f>
        <v>#REF!</v>
      </c>
      <c r="CX25" s="8" t="e">
        <f>SUM(#REF!)</f>
        <v>#REF!</v>
      </c>
      <c r="CY25" s="8" t="e">
        <f>SUM(#REF!)</f>
        <v>#REF!</v>
      </c>
      <c r="CZ25" s="8" t="e">
        <f>SUM(#REF!)</f>
        <v>#REF!</v>
      </c>
      <c r="DA25" s="8" t="e">
        <f>SUM(#REF!)</f>
        <v>#REF!</v>
      </c>
      <c r="DB25" s="8" t="e">
        <f>SUM(#REF!)</f>
        <v>#REF!</v>
      </c>
      <c r="DC25" s="8" t="e">
        <f>SUM(#REF!)</f>
        <v>#REF!</v>
      </c>
      <c r="DD25" s="8" t="e">
        <f>SUM(#REF!)</f>
        <v>#REF!</v>
      </c>
      <c r="DE25" s="8" t="e">
        <f>SUM(#REF!)</f>
        <v>#REF!</v>
      </c>
      <c r="DF25" s="8" t="e">
        <f>SUM(#REF!)</f>
        <v>#REF!</v>
      </c>
      <c r="DG25" s="8" t="e">
        <f>SUM(#REF!)</f>
        <v>#REF!</v>
      </c>
      <c r="DH25" s="8" t="e">
        <f>SUM(#REF!)</f>
        <v>#REF!</v>
      </c>
      <c r="DI25" s="8" t="e">
        <f>SUM(#REF!)</f>
        <v>#REF!</v>
      </c>
      <c r="DJ25" s="8" t="e">
        <f>SUM(#REF!)</f>
        <v>#REF!</v>
      </c>
      <c r="DK25" s="8" t="e">
        <f>SUM(#REF!)</f>
        <v>#REF!</v>
      </c>
      <c r="DL25" s="8" t="e">
        <f>SUM(#REF!)</f>
        <v>#REF!</v>
      </c>
      <c r="DM25" s="8" t="e">
        <f>SUM(#REF!)</f>
        <v>#REF!</v>
      </c>
      <c r="DN25" s="8" t="e">
        <f>SUM(#REF!)</f>
        <v>#REF!</v>
      </c>
      <c r="DO25" s="8" t="e">
        <f>SUM(#REF!)</f>
        <v>#REF!</v>
      </c>
      <c r="DP25" s="8" t="e">
        <f>SUM(#REF!)</f>
        <v>#REF!</v>
      </c>
      <c r="DQ25" s="8" t="e">
        <f>SUM(#REF!)</f>
        <v>#REF!</v>
      </c>
      <c r="DR25" s="8" t="e">
        <f>SUM(#REF!)</f>
        <v>#REF!</v>
      </c>
      <c r="DS25" s="8" t="e">
        <f>SUM(#REF!)</f>
        <v>#REF!</v>
      </c>
      <c r="DT25" s="8" t="e">
        <f>SUM(#REF!)</f>
        <v>#REF!</v>
      </c>
      <c r="DU25" s="8" t="e">
        <f>SUM(#REF!)</f>
        <v>#REF!</v>
      </c>
      <c r="DV25" s="8" t="e">
        <f>SUM(#REF!)</f>
        <v>#REF!</v>
      </c>
      <c r="DW25" s="8" t="e">
        <f>SUM(#REF!)</f>
        <v>#REF!</v>
      </c>
      <c r="DX25" s="8" t="e">
        <f>SUM(#REF!)</f>
        <v>#REF!</v>
      </c>
      <c r="DY25" s="8" t="e">
        <f>SUM(#REF!)</f>
        <v>#REF!</v>
      </c>
      <c r="DZ25" s="8" t="e">
        <f>SUM(#REF!)</f>
        <v>#REF!</v>
      </c>
      <c r="EA25" s="8" t="e">
        <f>SUM(#REF!)</f>
        <v>#REF!</v>
      </c>
      <c r="EB25" s="8" t="e">
        <f>SUM(#REF!)</f>
        <v>#REF!</v>
      </c>
      <c r="EC25" s="8" t="e">
        <f>SUM(#REF!)</f>
        <v>#REF!</v>
      </c>
      <c r="ED25" s="8" t="e">
        <f>SUM(#REF!)</f>
        <v>#REF!</v>
      </c>
      <c r="EE25" s="8" t="e">
        <f>SUM(#REF!)</f>
        <v>#REF!</v>
      </c>
      <c r="EF25" s="8" t="e">
        <f>SUM(#REF!)</f>
        <v>#REF!</v>
      </c>
      <c r="EG25" s="8" t="e">
        <f>SUM(#REF!)</f>
        <v>#REF!</v>
      </c>
      <c r="EH25" s="8" t="e">
        <f>SUM(#REF!)</f>
        <v>#REF!</v>
      </c>
      <c r="EI25" s="8" t="e">
        <f>SUM(#REF!)</f>
        <v>#REF!</v>
      </c>
      <c r="EJ25" s="8" t="e">
        <f>SUM(#REF!)</f>
        <v>#REF!</v>
      </c>
      <c r="EK25" s="8" t="e">
        <f>SUM(#REF!)</f>
        <v>#REF!</v>
      </c>
      <c r="EL25" s="8" t="e">
        <f>SUM(#REF!)</f>
        <v>#REF!</v>
      </c>
      <c r="EM25" s="8" t="e">
        <f>SUM(#REF!)</f>
        <v>#REF!</v>
      </c>
      <c r="EN25" s="8" t="e">
        <f>SUM(#REF!)</f>
        <v>#REF!</v>
      </c>
      <c r="EO25" s="8" t="e">
        <f>SUM(#REF!)</f>
        <v>#REF!</v>
      </c>
      <c r="EP25" s="8" t="e">
        <f>SUM(#REF!)</f>
        <v>#REF!</v>
      </c>
      <c r="EQ25" s="8" t="e">
        <f>SUM(#REF!)</f>
        <v>#REF!</v>
      </c>
      <c r="ER25" s="8" t="e">
        <f>SUM(#REF!)</f>
        <v>#REF!</v>
      </c>
      <c r="ES25" s="8" t="e">
        <f>SUM(#REF!)</f>
        <v>#REF!</v>
      </c>
      <c r="ET25" s="8" t="e">
        <f>SUM(#REF!)</f>
        <v>#REF!</v>
      </c>
      <c r="EU25" s="8" t="e">
        <f>SUM(#REF!)</f>
        <v>#REF!</v>
      </c>
      <c r="EV25" s="8" t="e">
        <f>SUM(#REF!)</f>
        <v>#REF!</v>
      </c>
      <c r="EW25" s="8" t="e">
        <f>SUM(#REF!)</f>
        <v>#REF!</v>
      </c>
      <c r="EX25" s="8" t="e">
        <f>SUM(#REF!)</f>
        <v>#REF!</v>
      </c>
      <c r="EY25" s="8" t="e">
        <f>SUM(#REF!)</f>
        <v>#REF!</v>
      </c>
      <c r="EZ25" s="8" t="e">
        <f>SUM(#REF!)</f>
        <v>#REF!</v>
      </c>
      <c r="FA25" s="8" t="e">
        <f>SUM(#REF!)</f>
        <v>#REF!</v>
      </c>
      <c r="FB25" s="8" t="e">
        <f>SUM(#REF!)</f>
        <v>#REF!</v>
      </c>
      <c r="FC25" s="8" t="e">
        <f>SUM(#REF!)</f>
        <v>#REF!</v>
      </c>
      <c r="FD25" s="8" t="e">
        <f>SUM(#REF!)</f>
        <v>#REF!</v>
      </c>
      <c r="FE25" s="8" t="e">
        <f>SUM(#REF!)</f>
        <v>#REF!</v>
      </c>
      <c r="FF25" s="8" t="e">
        <f>SUM(#REF!)</f>
        <v>#REF!</v>
      </c>
      <c r="FG25" s="8" t="e">
        <f>SUM(#REF!)</f>
        <v>#REF!</v>
      </c>
      <c r="FH25" s="8" t="e">
        <f>SUM(#REF!)</f>
        <v>#REF!</v>
      </c>
      <c r="FI25" s="8" t="e">
        <f>SUM(#REF!)</f>
        <v>#REF!</v>
      </c>
      <c r="FJ25" s="8" t="e">
        <f>SUM(#REF!)</f>
        <v>#REF!</v>
      </c>
      <c r="FK25" s="8" t="e">
        <f>SUM(#REF!)</f>
        <v>#REF!</v>
      </c>
      <c r="FL25" s="8" t="e">
        <f>SUM(#REF!)</f>
        <v>#REF!</v>
      </c>
      <c r="FM25" s="8" t="e">
        <f>SUM(#REF!)</f>
        <v>#REF!</v>
      </c>
      <c r="FN25" s="8" t="e">
        <f>SUM(#REF!)</f>
        <v>#REF!</v>
      </c>
      <c r="FO25" s="8" t="e">
        <f>SUM(#REF!)</f>
        <v>#REF!</v>
      </c>
      <c r="FP25" s="8" t="e">
        <f>SUM(#REF!)</f>
        <v>#REF!</v>
      </c>
      <c r="FQ25" s="8" t="e">
        <f>SUM(#REF!)</f>
        <v>#REF!</v>
      </c>
    </row>
    <row r="26" spans="1:173" ht="17" thickBot="1" x14ac:dyDescent="0.25">
      <c r="B26" s="1" t="s">
        <v>39</v>
      </c>
      <c r="C26" s="109"/>
      <c r="D26" s="109"/>
      <c r="E26" s="88">
        <f>SUM(E16:E17)</f>
        <v>62.686700000000009</v>
      </c>
      <c r="F26" s="88">
        <f>SUM(F16:F17)</f>
        <v>228.05930000000001</v>
      </c>
      <c r="G26" s="88">
        <f>SUM(G16:G17)</f>
        <v>28.941049999999997</v>
      </c>
      <c r="H26" s="88">
        <f>SUM(H16:H17)</f>
        <v>165.44819999999999</v>
      </c>
      <c r="I26" s="88">
        <f>SUM(I16:I17)</f>
        <v>125.94173333333333</v>
      </c>
      <c r="J26" s="88">
        <f>SUM(J16:J17)</f>
        <v>148.11849999999998</v>
      </c>
      <c r="K26" s="88">
        <f>SUM(K16:K17)</f>
        <v>559.41913333333332</v>
      </c>
      <c r="L26" s="88">
        <f>SUM(L16:L17)</f>
        <v>218.61530000000002</v>
      </c>
      <c r="M26" s="88">
        <f>SUM(M16:M17)</f>
        <v>436.43351666666661</v>
      </c>
      <c r="N26" s="88">
        <f>SUM(N16:N17)</f>
        <v>73.056750000000008</v>
      </c>
      <c r="O26" s="88">
        <f>SUM(O16:O17)</f>
        <v>201.89025000000001</v>
      </c>
      <c r="P26" s="88">
        <f>SUM(P16:P17)</f>
        <v>55.678433333333331</v>
      </c>
      <c r="Q26" s="88">
        <f>SUM(Q16:Q17)</f>
        <v>253.11140000000003</v>
      </c>
      <c r="R26" s="88">
        <f>SUM(R16:R17)</f>
        <v>174.19218333333333</v>
      </c>
      <c r="S26" s="88">
        <f>SUM(S16:S17)</f>
        <v>102.86725</v>
      </c>
      <c r="T26" s="88">
        <f>SUM(T16:T17)</f>
        <v>229.60696666666666</v>
      </c>
      <c r="U26" s="88">
        <f>SUM(U16:U17)</f>
        <v>236.71138333333334</v>
      </c>
      <c r="V26" s="88">
        <f>SUM(V16:V17)</f>
        <v>47.920366666666666</v>
      </c>
      <c r="W26" s="88">
        <f>SUM(W16:W17)</f>
        <v>39.510783333333329</v>
      </c>
      <c r="X26" s="88">
        <f>SUM(X16:X17)</f>
        <v>63.476566666666663</v>
      </c>
      <c r="Y26" s="88">
        <f>SUM(Y16:Y17)</f>
        <v>141.32171428571431</v>
      </c>
      <c r="Z26" s="88">
        <f>SUM(Z16:Z17)</f>
        <v>49.926960000000001</v>
      </c>
      <c r="AA26" s="88">
        <f>SUM(AA16:AA17)</f>
        <v>316.41436666666664</v>
      </c>
      <c r="AB26" s="88">
        <f>SUM(AB16:AB17)</f>
        <v>183.09064000000001</v>
      </c>
      <c r="AC26" s="88">
        <f>SUM(AC16:AC17)</f>
        <v>201.63274999999999</v>
      </c>
      <c r="AD26" s="88">
        <f>SUM(AD16:AD17)</f>
        <v>279.44183333333331</v>
      </c>
      <c r="AE26" s="88">
        <f>SUM(AE16:AE17)</f>
        <v>108.16408333333334</v>
      </c>
      <c r="AF26" s="88">
        <f>SUM(AF16:AF17)</f>
        <v>48.143666666666668</v>
      </c>
      <c r="AG26" s="88">
        <f>SUM(AG16:AG17)</f>
        <v>69.817566666666664</v>
      </c>
      <c r="AH26" s="88">
        <f>SUM(AH16:AH17)</f>
        <v>11.564566666666666</v>
      </c>
      <c r="AI26" s="88">
        <f>SUM(AI16:AI17)</f>
        <v>71.219816666666659</v>
      </c>
      <c r="AJ26" s="88">
        <f>SUM(AJ16:AJ17)</f>
        <v>73.54046666666666</v>
      </c>
      <c r="AK26" s="88">
        <f>SUM(AK16:AK17)</f>
        <v>113.38316666666668</v>
      </c>
      <c r="AL26" s="88">
        <f>SUM(AL16:AL17)</f>
        <v>298.39558333333332</v>
      </c>
      <c r="AM26" s="88">
        <f>SUM(AM16:AM17)</f>
        <v>106.75808333333333</v>
      </c>
      <c r="AN26" s="88">
        <f>SUM(AN16:AN17)</f>
        <v>79.918016666666659</v>
      </c>
      <c r="AO26" s="88">
        <f>SUM(AO16:AO17)</f>
        <v>148.58018333333337</v>
      </c>
      <c r="AP26" s="88">
        <f>SUM(AP16:AP17)</f>
        <v>112.20551666666665</v>
      </c>
      <c r="AQ26" s="88">
        <f>SUM(AQ16:AQ17)</f>
        <v>97.330333333333328</v>
      </c>
      <c r="AR26" s="88">
        <f>SUM(AR16:AR17)</f>
        <v>38.230200000000004</v>
      </c>
      <c r="AS26" s="88">
        <f>SUM(AS16:AS17)</f>
        <v>137.70648333333332</v>
      </c>
      <c r="AT26" s="88">
        <f>SUM(AT16:AT17)</f>
        <v>52.267150000000001</v>
      </c>
      <c r="AU26" s="88">
        <f>SUM(AU16:AU17)</f>
        <v>113.95448333333334</v>
      </c>
      <c r="AV26" s="88">
        <f>SUM(AV16:AV17)</f>
        <v>104.35526666666667</v>
      </c>
      <c r="AW26" s="88">
        <f>SUM(AW16:AW17)</f>
        <v>48.854199999999992</v>
      </c>
      <c r="AX26" s="88">
        <f>SUM(AX16:AX17)</f>
        <v>68.745359999999991</v>
      </c>
      <c r="AY26" s="88">
        <f>SUM(AY16:AY17)</f>
        <v>36.584233333333337</v>
      </c>
      <c r="AZ26" s="88">
        <f>SUM(AZ16:AZ17)</f>
        <v>134.72826666666668</v>
      </c>
      <c r="BA26" s="88">
        <f>SUM(BA16:BA17)</f>
        <v>176.65621666666667</v>
      </c>
      <c r="BB26" s="88">
        <f>SUM(BB16:BB17)</f>
        <v>38.42731666666667</v>
      </c>
      <c r="BC26" s="88">
        <f>SUM(BC16:BC17)</f>
        <v>74.159300000000002</v>
      </c>
      <c r="BD26" s="88">
        <f>SUM(BD16:BD17)</f>
        <v>92.509133333333338</v>
      </c>
      <c r="BE26" s="88">
        <f>SUM(BE16:BE17)</f>
        <v>104.34033333333332</v>
      </c>
      <c r="BF26" s="88">
        <f>SUM(BF16:BF17)</f>
        <v>56.007950000000001</v>
      </c>
      <c r="BG26" s="88">
        <f>SUM(BG16:BG17)</f>
        <v>148.74306666666669</v>
      </c>
      <c r="BH26" s="88">
        <f>SUM(BH16:BH17)</f>
        <v>52.983316666666667</v>
      </c>
      <c r="BI26" s="88">
        <f>SUM(BI16:BI17)</f>
        <v>38.87951666666666</v>
      </c>
      <c r="BJ26" s="88">
        <f>SUM(BJ16:BJ17)</f>
        <v>139.53566666666666</v>
      </c>
      <c r="BK26" s="88">
        <f>SUM(BK16:BK17)</f>
        <v>168.13910000000001</v>
      </c>
      <c r="BL26" s="88">
        <f>SUM(BL16:BL17)</f>
        <v>358.5992333333333</v>
      </c>
      <c r="BM26" s="88">
        <f>SUM(BM16:BM17)</f>
        <v>305.61723333333333</v>
      </c>
      <c r="BN26" s="88">
        <f>SUM(BN16:BN17)</f>
        <v>360.08439999999996</v>
      </c>
      <c r="BO26" s="88">
        <f>SUM(BO16:BO17)</f>
        <v>586.26574285714287</v>
      </c>
      <c r="BP26" s="88">
        <f>SUM(BP16:BP17)</f>
        <v>779.65449999999998</v>
      </c>
      <c r="BQ26" s="88">
        <f>SUM(BQ16:BQ17)</f>
        <v>331.87379999999996</v>
      </c>
      <c r="BR26" s="88">
        <f>SUM(BR16:BR17)</f>
        <v>334.35828333333336</v>
      </c>
      <c r="BS26" s="88">
        <f>SUM(BS16:BS17)</f>
        <v>158.28168333333332</v>
      </c>
      <c r="BT26" s="88">
        <f>SUM(BT16:BT17)</f>
        <v>58.550400000000003</v>
      </c>
      <c r="BU26" s="88">
        <f>SUM(BU16:BU17)</f>
        <v>404.48633333333339</v>
      </c>
      <c r="BV26" s="88">
        <f>SUM(BV16:BV17)</f>
        <v>104.41225</v>
      </c>
      <c r="BW26" s="88">
        <f>SUM(BW16:BW17)</f>
        <v>107.72095</v>
      </c>
      <c r="BX26" s="88">
        <f>SUM(BX16:BX17)</f>
        <v>117.31258333333332</v>
      </c>
      <c r="BY26" s="88">
        <f>SUM(BY16:BY17)</f>
        <v>247.24248333333335</v>
      </c>
      <c r="BZ26" s="88">
        <f>SUM(BZ16:BZ17)</f>
        <v>41.499083333333331</v>
      </c>
      <c r="CA26" s="88">
        <f>SUM(CA16:CA17)</f>
        <v>331.39445000000001</v>
      </c>
      <c r="CB26" s="88">
        <f>SUM(CB16:CB17)</f>
        <v>101.01105000000001</v>
      </c>
      <c r="CC26" s="88">
        <f>SUM(CC16:CC17)</f>
        <v>152.155</v>
      </c>
      <c r="CD26" s="88">
        <f>SUM(CD16:CD17)</f>
        <v>34.045333333333332</v>
      </c>
      <c r="CE26" s="88">
        <f>SUM(CE16:CE17)</f>
        <v>140.87549999999999</v>
      </c>
      <c r="CF26" s="88">
        <f>SUM(CF16:CF17)</f>
        <v>156.17201666666668</v>
      </c>
      <c r="CG26" s="88">
        <f>SUM(CG16:CG17)</f>
        <v>174.12461666666664</v>
      </c>
      <c r="CH26" s="88">
        <f>SUM(CH16:CH17)</f>
        <v>57.319816666666668</v>
      </c>
      <c r="CI26" s="88">
        <f>SUM(CI16:CI17)</f>
        <v>68.091983333333346</v>
      </c>
      <c r="CJ26" s="88">
        <f>SUM(CJ16:CJ17)</f>
        <v>59.759633333333333</v>
      </c>
      <c r="CK26" s="88">
        <f>SUM(CK16:CK17)</f>
        <v>83.873333333333349</v>
      </c>
      <c r="CL26" s="88">
        <f>SUM(CL16:CL17)</f>
        <v>28.895777777777777</v>
      </c>
      <c r="CM26" s="88">
        <f>SUM(CM16:CM17)</f>
        <v>12.676766666666666</v>
      </c>
      <c r="CN26" s="88">
        <f>SUM(CN16:CN17)</f>
        <v>20.593666666666664</v>
      </c>
      <c r="CO26" s="88">
        <f>SUM(CO16:CO17)</f>
        <v>97.795183333333341</v>
      </c>
      <c r="CP26" s="88">
        <f>SUM(CP16:CP17)</f>
        <v>50.277216666666668</v>
      </c>
      <c r="CQ26" s="88">
        <f>SUM(CQ16:CQ17)</f>
        <v>166.3818666666667</v>
      </c>
      <c r="CR26" s="88">
        <f>SUM(CR16:CR17)</f>
        <v>203.77751666666668</v>
      </c>
      <c r="CS26" s="88">
        <f>SUM(CS16:CS17)</f>
        <v>192.70339999999999</v>
      </c>
      <c r="CT26" s="88">
        <f>SUM(CT16:CT17)</f>
        <v>58.644649999999999</v>
      </c>
      <c r="CU26" s="88">
        <f>SUM(CU16:CU17)</f>
        <v>132.81843333333333</v>
      </c>
      <c r="CV26" s="88">
        <f>SUM(CV16:CV17)</f>
        <v>162.98728333333332</v>
      </c>
      <c r="CW26" s="88">
        <f>SUM(CW16:CW17)</f>
        <v>119.12161666666667</v>
      </c>
      <c r="CX26" s="88">
        <f>SUM(CX16:CX17)</f>
        <v>157.69630000000001</v>
      </c>
      <c r="CY26" s="88">
        <f>SUM(CY16:CY17)</f>
        <v>184.37218333333334</v>
      </c>
      <c r="CZ26" s="88">
        <f>SUM(CZ16:CZ17)</f>
        <v>78.861250000000013</v>
      </c>
      <c r="DA26" s="88">
        <f>SUM(DA16:DA17)</f>
        <v>36.44265</v>
      </c>
      <c r="DB26" s="88">
        <f>SUM(DB16:DB17)</f>
        <v>37.101816666666672</v>
      </c>
      <c r="DC26" s="88">
        <f>SUM(DC16:DC17)</f>
        <v>96.814783333333338</v>
      </c>
      <c r="DD26" s="88">
        <f>SUM(DD16:DD17)</f>
        <v>163.62163333333336</v>
      </c>
      <c r="DE26" s="88">
        <f>SUM(DE16:DE17)</f>
        <v>69.533483333333336</v>
      </c>
      <c r="DF26" s="88">
        <f>SUM(DF16:DF17)</f>
        <v>176.91301666666669</v>
      </c>
      <c r="DG26" s="88">
        <f>SUM(DG16:DG17)</f>
        <v>86.886233333333337</v>
      </c>
      <c r="DH26" s="88">
        <f>SUM(DH16:DH17)</f>
        <v>55.556716666666674</v>
      </c>
      <c r="DI26" s="88">
        <f>SUM(DI16:DI17)</f>
        <v>49.607916666666675</v>
      </c>
      <c r="DJ26" s="88">
        <f>SUM(DJ16:DJ17)</f>
        <v>20.356549999999999</v>
      </c>
      <c r="DK26" s="88">
        <f>SUM(DK16:DK17)</f>
        <v>178.2158</v>
      </c>
      <c r="DL26" s="88">
        <f>SUM(DL16:DL17)</f>
        <v>143.65191666666666</v>
      </c>
      <c r="DM26" s="88">
        <f>SUM(DM16:DM17)</f>
        <v>45.005449999999996</v>
      </c>
      <c r="DN26" s="88">
        <f>SUM(DN16:DN17)</f>
        <v>26.065866666666665</v>
      </c>
      <c r="DO26" s="88">
        <f>SUM(DO16:DO17)</f>
        <v>216.70019999999997</v>
      </c>
      <c r="DP26" s="88">
        <f>SUM(DP16:DP17)</f>
        <v>219.63996666666668</v>
      </c>
      <c r="DQ26" s="88">
        <f>SUM(DQ16:DQ17)</f>
        <v>258.92248333333333</v>
      </c>
      <c r="DR26" s="88">
        <f>SUM(DR16:DR17)</f>
        <v>51.520883333333337</v>
      </c>
      <c r="DS26" s="88">
        <f>SUM(DS16:DS17)</f>
        <v>129.12813333333332</v>
      </c>
      <c r="DT26" s="88">
        <f>SUM(DT16:DT17)</f>
        <v>323.0019666666667</v>
      </c>
      <c r="DU26" s="88">
        <f>SUM(DU16:DU17)</f>
        <v>53.788133333333334</v>
      </c>
      <c r="DV26" s="88">
        <f>SUM(DV16:DV17)</f>
        <v>120.34766666666665</v>
      </c>
      <c r="DW26" s="88">
        <f>SUM(DW16:DW17)</f>
        <v>106.61528333333332</v>
      </c>
      <c r="DX26" s="88">
        <f>SUM(DX16:DX17)</f>
        <v>81.290566666666678</v>
      </c>
      <c r="DY26" s="88">
        <f>SUM(DY16:DY17)</f>
        <v>154.36011666666667</v>
      </c>
      <c r="DZ26" s="88">
        <f>SUM(DZ16:DZ17)</f>
        <v>76.807883333333351</v>
      </c>
      <c r="EA26" s="88">
        <f>SUM(EA16:EA17)</f>
        <v>244.6771</v>
      </c>
      <c r="EB26" s="88">
        <f>SUM(EB16:EB17)</f>
        <v>80.352216666666678</v>
      </c>
      <c r="EC26" s="88">
        <f>SUM(EC16:EC17)</f>
        <v>173.55933333333334</v>
      </c>
      <c r="ED26" s="88">
        <f>SUM(ED16:ED17)</f>
        <v>175.67688333333334</v>
      </c>
      <c r="EE26" s="88">
        <f>SUM(EE16:EE17)</f>
        <v>40.196800000000003</v>
      </c>
      <c r="EF26" s="88">
        <f>SUM(EF16:EF17)</f>
        <v>158.25541666666669</v>
      </c>
      <c r="EG26" s="88">
        <f>SUM(EG16:EG17)</f>
        <v>50.457966666666671</v>
      </c>
      <c r="EH26" s="88">
        <f>SUM(EH16:EH17)</f>
        <v>35.735283333333335</v>
      </c>
      <c r="EI26" s="88">
        <f>SUM(EI16:EI17)</f>
        <v>46.518250000000002</v>
      </c>
      <c r="EJ26" s="88">
        <f>SUM(EJ16:EJ17)</f>
        <v>38.530133333333332</v>
      </c>
      <c r="EK26" s="88">
        <f>SUM(EK16:EK17)</f>
        <v>19.502066666666671</v>
      </c>
      <c r="EL26" s="88">
        <f>SUM(EL16:EL17)</f>
        <v>135.30103333333335</v>
      </c>
      <c r="EM26" s="88">
        <f>SUM(EM16:EM17)</f>
        <v>120.03493333333333</v>
      </c>
      <c r="EN26" s="88">
        <f>SUM(EN16:EN17)</f>
        <v>63.271616666666667</v>
      </c>
      <c r="EO26" s="88">
        <f>SUM(EO16:EO17)</f>
        <v>65.76873333333333</v>
      </c>
      <c r="EP26" s="88">
        <f>SUM(EP16:EP17)</f>
        <v>128.709</v>
      </c>
      <c r="EQ26" s="88">
        <f>SUM(EQ16:EQ17)</f>
        <v>52.402349999999998</v>
      </c>
      <c r="ER26" s="88">
        <f>SUM(ER16:ER17)</f>
        <v>49.612366666666674</v>
      </c>
      <c r="ES26" s="88">
        <f>SUM(ES16:ES17)</f>
        <v>68.430599999999998</v>
      </c>
      <c r="ET26" s="88">
        <f>SUM(ET16:ET17)</f>
        <v>161.239</v>
      </c>
      <c r="EU26" s="88">
        <f>SUM(EU16:EU17)</f>
        <v>119.00193333333333</v>
      </c>
      <c r="EV26" s="88">
        <f>SUM(EV16:EV17)</f>
        <v>58.188283333333331</v>
      </c>
      <c r="EW26" s="88">
        <f>SUM(EW16:EW17)</f>
        <v>97.050333333333327</v>
      </c>
      <c r="EX26" s="88">
        <f>SUM(EX16:EX17)</f>
        <v>86.485366666666664</v>
      </c>
      <c r="EY26" s="88">
        <f>SUM(EY16:EY17)</f>
        <v>38.98298333333333</v>
      </c>
      <c r="EZ26" s="88">
        <f>SUM(EZ16:EZ17)</f>
        <v>330.19619999999998</v>
      </c>
      <c r="FA26" s="88">
        <f>SUM(FA16:FA17)</f>
        <v>113.45758333333333</v>
      </c>
      <c r="FB26" s="88">
        <f>SUM(FB16:FB17)</f>
        <v>227.18770000000001</v>
      </c>
      <c r="FC26" s="88">
        <f>SUM(FC16:FC17)</f>
        <v>114.32923333333333</v>
      </c>
      <c r="FD26" s="88">
        <f>SUM(FD16:FD17)</f>
        <v>29.186049999999998</v>
      </c>
      <c r="FE26" s="88">
        <f>SUM(FE16:FE17)</f>
        <v>131.43376666666666</v>
      </c>
      <c r="FF26" s="88">
        <f>SUM(FF16:FF17)</f>
        <v>79.841833333333327</v>
      </c>
      <c r="FG26" s="88">
        <f>SUM(FG16:FG17)</f>
        <v>78.967516666666654</v>
      </c>
      <c r="FH26" s="88">
        <f>SUM(FH16:FH17)</f>
        <v>179.71775000000005</v>
      </c>
      <c r="FI26" s="88">
        <f>SUM(FI16:FI17)</f>
        <v>71.706333333333347</v>
      </c>
      <c r="FJ26" s="88">
        <f>SUM(FJ16:FJ17)</f>
        <v>192.4042</v>
      </c>
      <c r="FK26" s="88">
        <f>SUM(FK16:FK17)</f>
        <v>160.49969999999999</v>
      </c>
      <c r="FL26" s="88">
        <f>SUM(FL16:FL17)</f>
        <v>305.92418333333325</v>
      </c>
      <c r="FM26" s="88">
        <f>SUM(FM16:FM17)</f>
        <v>204.61134999999999</v>
      </c>
      <c r="FN26" s="88">
        <f>SUM(FN16:FN17)</f>
        <v>290.56054999999998</v>
      </c>
      <c r="FO26" s="88">
        <f>SUM(FO16:FO17)</f>
        <v>225.84315000000001</v>
      </c>
      <c r="FP26" s="88">
        <f>SUM(FP16:FP17)</f>
        <v>86.941733333333332</v>
      </c>
      <c r="FQ26" s="88">
        <f>SUM(FQ16:FQ17)</f>
        <v>80.738733333333329</v>
      </c>
    </row>
    <row r="27" spans="1:173" ht="16" thickBot="1" x14ac:dyDescent="0.25">
      <c r="B27" s="10" t="s">
        <v>390</v>
      </c>
      <c r="C27" s="110"/>
      <c r="D27" s="110"/>
      <c r="E27" s="11" t="e">
        <f>SUM(E21:E26)</f>
        <v>#REF!</v>
      </c>
      <c r="F27" s="11" t="e">
        <f t="shared" ref="F27:BQ27" si="0">SUM(F21:F26)</f>
        <v>#REF!</v>
      </c>
      <c r="G27" s="11" t="e">
        <f t="shared" si="0"/>
        <v>#REF!</v>
      </c>
      <c r="H27" s="11" t="e">
        <f t="shared" si="0"/>
        <v>#REF!</v>
      </c>
      <c r="I27" s="11" t="e">
        <f t="shared" si="0"/>
        <v>#REF!</v>
      </c>
      <c r="J27" s="11" t="e">
        <f t="shared" si="0"/>
        <v>#REF!</v>
      </c>
      <c r="K27" s="11" t="e">
        <f t="shared" si="0"/>
        <v>#REF!</v>
      </c>
      <c r="L27" s="11" t="e">
        <f t="shared" si="0"/>
        <v>#REF!</v>
      </c>
      <c r="M27" s="11" t="e">
        <f t="shared" si="0"/>
        <v>#REF!</v>
      </c>
      <c r="N27" s="11" t="e">
        <f t="shared" si="0"/>
        <v>#REF!</v>
      </c>
      <c r="O27" s="11" t="e">
        <f t="shared" si="0"/>
        <v>#REF!</v>
      </c>
      <c r="P27" s="11" t="e">
        <f t="shared" si="0"/>
        <v>#REF!</v>
      </c>
      <c r="Q27" s="11" t="e">
        <f t="shared" si="0"/>
        <v>#REF!</v>
      </c>
      <c r="R27" s="11" t="e">
        <f t="shared" si="0"/>
        <v>#REF!</v>
      </c>
      <c r="S27" s="11" t="e">
        <f t="shared" si="0"/>
        <v>#REF!</v>
      </c>
      <c r="T27" s="11" t="e">
        <f t="shared" si="0"/>
        <v>#REF!</v>
      </c>
      <c r="U27" s="11" t="e">
        <f t="shared" si="0"/>
        <v>#REF!</v>
      </c>
      <c r="V27" s="11" t="e">
        <f t="shared" si="0"/>
        <v>#REF!</v>
      </c>
      <c r="W27" s="11" t="e">
        <f t="shared" si="0"/>
        <v>#REF!</v>
      </c>
      <c r="X27" s="11" t="e">
        <f t="shared" si="0"/>
        <v>#REF!</v>
      </c>
      <c r="Y27" s="11" t="e">
        <f t="shared" si="0"/>
        <v>#REF!</v>
      </c>
      <c r="Z27" s="11" t="e">
        <f t="shared" si="0"/>
        <v>#REF!</v>
      </c>
      <c r="AA27" s="11" t="e">
        <f t="shared" si="0"/>
        <v>#REF!</v>
      </c>
      <c r="AB27" s="11" t="e">
        <f t="shared" si="0"/>
        <v>#REF!</v>
      </c>
      <c r="AC27" s="11" t="e">
        <f t="shared" si="0"/>
        <v>#REF!</v>
      </c>
      <c r="AD27" s="11" t="e">
        <f t="shared" si="0"/>
        <v>#REF!</v>
      </c>
      <c r="AE27" s="11" t="e">
        <f t="shared" si="0"/>
        <v>#REF!</v>
      </c>
      <c r="AF27" s="11" t="e">
        <f t="shared" si="0"/>
        <v>#REF!</v>
      </c>
      <c r="AG27" s="11" t="e">
        <f t="shared" si="0"/>
        <v>#REF!</v>
      </c>
      <c r="AH27" s="11" t="e">
        <f t="shared" si="0"/>
        <v>#REF!</v>
      </c>
      <c r="AI27" s="11" t="e">
        <f t="shared" si="0"/>
        <v>#REF!</v>
      </c>
      <c r="AJ27" s="11" t="e">
        <f t="shared" si="0"/>
        <v>#REF!</v>
      </c>
      <c r="AK27" s="11" t="e">
        <f t="shared" si="0"/>
        <v>#REF!</v>
      </c>
      <c r="AL27" s="11" t="e">
        <f t="shared" si="0"/>
        <v>#REF!</v>
      </c>
      <c r="AM27" s="11" t="e">
        <f t="shared" si="0"/>
        <v>#REF!</v>
      </c>
      <c r="AN27" s="11" t="e">
        <f t="shared" si="0"/>
        <v>#REF!</v>
      </c>
      <c r="AO27" s="11" t="e">
        <f t="shared" si="0"/>
        <v>#REF!</v>
      </c>
      <c r="AP27" s="11" t="e">
        <f t="shared" si="0"/>
        <v>#REF!</v>
      </c>
      <c r="AQ27" s="11" t="e">
        <f t="shared" si="0"/>
        <v>#REF!</v>
      </c>
      <c r="AR27" s="11" t="e">
        <f t="shared" si="0"/>
        <v>#REF!</v>
      </c>
      <c r="AS27" s="11" t="e">
        <f t="shared" si="0"/>
        <v>#REF!</v>
      </c>
      <c r="AT27" s="11" t="e">
        <f t="shared" si="0"/>
        <v>#REF!</v>
      </c>
      <c r="AU27" s="11" t="e">
        <f t="shared" si="0"/>
        <v>#REF!</v>
      </c>
      <c r="AV27" s="11" t="e">
        <f t="shared" si="0"/>
        <v>#REF!</v>
      </c>
      <c r="AW27" s="11" t="e">
        <f t="shared" si="0"/>
        <v>#REF!</v>
      </c>
      <c r="AX27" s="11" t="e">
        <f t="shared" si="0"/>
        <v>#REF!</v>
      </c>
      <c r="AY27" s="11" t="e">
        <f t="shared" si="0"/>
        <v>#REF!</v>
      </c>
      <c r="AZ27" s="11" t="e">
        <f t="shared" si="0"/>
        <v>#REF!</v>
      </c>
      <c r="BA27" s="11" t="e">
        <f t="shared" si="0"/>
        <v>#REF!</v>
      </c>
      <c r="BB27" s="11" t="e">
        <f t="shared" si="0"/>
        <v>#REF!</v>
      </c>
      <c r="BC27" s="11" t="e">
        <f t="shared" si="0"/>
        <v>#REF!</v>
      </c>
      <c r="BD27" s="11" t="e">
        <f t="shared" si="0"/>
        <v>#REF!</v>
      </c>
      <c r="BE27" s="11" t="e">
        <f t="shared" si="0"/>
        <v>#REF!</v>
      </c>
      <c r="BF27" s="11" t="e">
        <f t="shared" si="0"/>
        <v>#REF!</v>
      </c>
      <c r="BG27" s="11" t="e">
        <f t="shared" si="0"/>
        <v>#REF!</v>
      </c>
      <c r="BH27" s="11" t="e">
        <f t="shared" si="0"/>
        <v>#REF!</v>
      </c>
      <c r="BI27" s="11" t="e">
        <f t="shared" si="0"/>
        <v>#REF!</v>
      </c>
      <c r="BJ27" s="11" t="e">
        <f t="shared" si="0"/>
        <v>#REF!</v>
      </c>
      <c r="BK27" s="11" t="e">
        <f t="shared" si="0"/>
        <v>#REF!</v>
      </c>
      <c r="BL27" s="11" t="e">
        <f t="shared" si="0"/>
        <v>#REF!</v>
      </c>
      <c r="BM27" s="11" t="e">
        <f t="shared" si="0"/>
        <v>#REF!</v>
      </c>
      <c r="BN27" s="11" t="e">
        <f t="shared" si="0"/>
        <v>#REF!</v>
      </c>
      <c r="BO27" s="11" t="e">
        <f t="shared" si="0"/>
        <v>#REF!</v>
      </c>
      <c r="BP27" s="11" t="e">
        <f t="shared" si="0"/>
        <v>#REF!</v>
      </c>
      <c r="BQ27" s="11" t="e">
        <f t="shared" si="0"/>
        <v>#REF!</v>
      </c>
      <c r="BR27" s="11" t="e">
        <f t="shared" ref="BR27:EC27" si="1">SUM(BR21:BR26)</f>
        <v>#REF!</v>
      </c>
      <c r="BS27" s="11" t="e">
        <f t="shared" si="1"/>
        <v>#REF!</v>
      </c>
      <c r="BT27" s="11" t="e">
        <f t="shared" si="1"/>
        <v>#REF!</v>
      </c>
      <c r="BU27" s="11" t="e">
        <f t="shared" si="1"/>
        <v>#REF!</v>
      </c>
      <c r="BV27" s="11" t="e">
        <f t="shared" si="1"/>
        <v>#REF!</v>
      </c>
      <c r="BW27" s="11" t="e">
        <f t="shared" si="1"/>
        <v>#REF!</v>
      </c>
      <c r="BX27" s="11" t="e">
        <f t="shared" si="1"/>
        <v>#REF!</v>
      </c>
      <c r="BY27" s="11" t="e">
        <f t="shared" si="1"/>
        <v>#REF!</v>
      </c>
      <c r="BZ27" s="11" t="e">
        <f t="shared" si="1"/>
        <v>#REF!</v>
      </c>
      <c r="CA27" s="11" t="e">
        <f t="shared" si="1"/>
        <v>#REF!</v>
      </c>
      <c r="CB27" s="11" t="e">
        <f t="shared" si="1"/>
        <v>#REF!</v>
      </c>
      <c r="CC27" s="11" t="e">
        <f t="shared" si="1"/>
        <v>#REF!</v>
      </c>
      <c r="CD27" s="11" t="e">
        <f t="shared" si="1"/>
        <v>#REF!</v>
      </c>
      <c r="CE27" s="11" t="e">
        <f t="shared" si="1"/>
        <v>#REF!</v>
      </c>
      <c r="CF27" s="11" t="e">
        <f t="shared" si="1"/>
        <v>#REF!</v>
      </c>
      <c r="CG27" s="11" t="e">
        <f t="shared" si="1"/>
        <v>#REF!</v>
      </c>
      <c r="CH27" s="11" t="e">
        <f t="shared" si="1"/>
        <v>#REF!</v>
      </c>
      <c r="CI27" s="11" t="e">
        <f t="shared" si="1"/>
        <v>#REF!</v>
      </c>
      <c r="CJ27" s="11" t="e">
        <f t="shared" si="1"/>
        <v>#REF!</v>
      </c>
      <c r="CK27" s="11" t="e">
        <f t="shared" si="1"/>
        <v>#REF!</v>
      </c>
      <c r="CL27" s="11" t="e">
        <f t="shared" si="1"/>
        <v>#REF!</v>
      </c>
      <c r="CM27" s="11" t="e">
        <f t="shared" si="1"/>
        <v>#REF!</v>
      </c>
      <c r="CN27" s="11" t="e">
        <f t="shared" si="1"/>
        <v>#REF!</v>
      </c>
      <c r="CO27" s="11" t="e">
        <f t="shared" si="1"/>
        <v>#REF!</v>
      </c>
      <c r="CP27" s="11" t="e">
        <f t="shared" si="1"/>
        <v>#REF!</v>
      </c>
      <c r="CQ27" s="11" t="e">
        <f t="shared" si="1"/>
        <v>#REF!</v>
      </c>
      <c r="CR27" s="11" t="e">
        <f t="shared" si="1"/>
        <v>#REF!</v>
      </c>
      <c r="CS27" s="11" t="e">
        <f t="shared" si="1"/>
        <v>#REF!</v>
      </c>
      <c r="CT27" s="11" t="e">
        <f t="shared" si="1"/>
        <v>#REF!</v>
      </c>
      <c r="CU27" s="11" t="e">
        <f t="shared" si="1"/>
        <v>#REF!</v>
      </c>
      <c r="CV27" s="11" t="e">
        <f t="shared" si="1"/>
        <v>#REF!</v>
      </c>
      <c r="CW27" s="11" t="e">
        <f t="shared" si="1"/>
        <v>#REF!</v>
      </c>
      <c r="CX27" s="11" t="e">
        <f t="shared" si="1"/>
        <v>#REF!</v>
      </c>
      <c r="CY27" s="11" t="e">
        <f t="shared" si="1"/>
        <v>#REF!</v>
      </c>
      <c r="CZ27" s="11" t="e">
        <f t="shared" si="1"/>
        <v>#REF!</v>
      </c>
      <c r="DA27" s="11" t="e">
        <f t="shared" si="1"/>
        <v>#REF!</v>
      </c>
      <c r="DB27" s="11" t="e">
        <f t="shared" si="1"/>
        <v>#REF!</v>
      </c>
      <c r="DC27" s="11" t="e">
        <f t="shared" si="1"/>
        <v>#REF!</v>
      </c>
      <c r="DD27" s="11" t="e">
        <f t="shared" si="1"/>
        <v>#REF!</v>
      </c>
      <c r="DE27" s="11" t="e">
        <f t="shared" si="1"/>
        <v>#REF!</v>
      </c>
      <c r="DF27" s="11" t="e">
        <f t="shared" si="1"/>
        <v>#REF!</v>
      </c>
      <c r="DG27" s="11" t="e">
        <f t="shared" si="1"/>
        <v>#REF!</v>
      </c>
      <c r="DH27" s="11" t="e">
        <f t="shared" si="1"/>
        <v>#REF!</v>
      </c>
      <c r="DI27" s="11" t="e">
        <f t="shared" si="1"/>
        <v>#REF!</v>
      </c>
      <c r="DJ27" s="11" t="e">
        <f t="shared" si="1"/>
        <v>#REF!</v>
      </c>
      <c r="DK27" s="11" t="e">
        <f t="shared" si="1"/>
        <v>#REF!</v>
      </c>
      <c r="DL27" s="11" t="e">
        <f t="shared" si="1"/>
        <v>#REF!</v>
      </c>
      <c r="DM27" s="11" t="e">
        <f t="shared" si="1"/>
        <v>#REF!</v>
      </c>
      <c r="DN27" s="11" t="e">
        <f t="shared" si="1"/>
        <v>#REF!</v>
      </c>
      <c r="DO27" s="11" t="e">
        <f t="shared" si="1"/>
        <v>#REF!</v>
      </c>
      <c r="DP27" s="11" t="e">
        <f t="shared" si="1"/>
        <v>#REF!</v>
      </c>
      <c r="DQ27" s="11" t="e">
        <f t="shared" si="1"/>
        <v>#REF!</v>
      </c>
      <c r="DR27" s="11" t="e">
        <f t="shared" si="1"/>
        <v>#REF!</v>
      </c>
      <c r="DS27" s="11" t="e">
        <f t="shared" si="1"/>
        <v>#REF!</v>
      </c>
      <c r="DT27" s="11" t="e">
        <f t="shared" si="1"/>
        <v>#REF!</v>
      </c>
      <c r="DU27" s="11" t="e">
        <f t="shared" si="1"/>
        <v>#REF!</v>
      </c>
      <c r="DV27" s="11" t="e">
        <f t="shared" si="1"/>
        <v>#REF!</v>
      </c>
      <c r="DW27" s="11" t="e">
        <f t="shared" si="1"/>
        <v>#REF!</v>
      </c>
      <c r="DX27" s="11" t="e">
        <f t="shared" si="1"/>
        <v>#REF!</v>
      </c>
      <c r="DY27" s="11" t="e">
        <f t="shared" si="1"/>
        <v>#REF!</v>
      </c>
      <c r="DZ27" s="11" t="e">
        <f t="shared" si="1"/>
        <v>#REF!</v>
      </c>
      <c r="EA27" s="11" t="e">
        <f t="shared" si="1"/>
        <v>#REF!</v>
      </c>
      <c r="EB27" s="11" t="e">
        <f t="shared" si="1"/>
        <v>#REF!</v>
      </c>
      <c r="EC27" s="11" t="e">
        <f t="shared" si="1"/>
        <v>#REF!</v>
      </c>
      <c r="ED27" s="11" t="e">
        <f t="shared" ref="ED27:GO27" si="2">SUM(ED21:ED26)</f>
        <v>#REF!</v>
      </c>
      <c r="EE27" s="11" t="e">
        <f t="shared" si="2"/>
        <v>#REF!</v>
      </c>
      <c r="EF27" s="11" t="e">
        <f t="shared" si="2"/>
        <v>#REF!</v>
      </c>
      <c r="EG27" s="11" t="e">
        <f t="shared" si="2"/>
        <v>#REF!</v>
      </c>
      <c r="EH27" s="11" t="e">
        <f t="shared" si="2"/>
        <v>#REF!</v>
      </c>
      <c r="EI27" s="11" t="e">
        <f t="shared" si="2"/>
        <v>#REF!</v>
      </c>
      <c r="EJ27" s="11" t="e">
        <f t="shared" si="2"/>
        <v>#REF!</v>
      </c>
      <c r="EK27" s="11" t="e">
        <f t="shared" si="2"/>
        <v>#REF!</v>
      </c>
      <c r="EL27" s="11" t="e">
        <f t="shared" si="2"/>
        <v>#REF!</v>
      </c>
      <c r="EM27" s="11" t="e">
        <f t="shared" si="2"/>
        <v>#REF!</v>
      </c>
      <c r="EN27" s="11" t="e">
        <f t="shared" si="2"/>
        <v>#REF!</v>
      </c>
      <c r="EO27" s="11" t="e">
        <f t="shared" si="2"/>
        <v>#REF!</v>
      </c>
      <c r="EP27" s="11" t="e">
        <f t="shared" si="2"/>
        <v>#REF!</v>
      </c>
      <c r="EQ27" s="11" t="e">
        <f t="shared" si="2"/>
        <v>#REF!</v>
      </c>
      <c r="ER27" s="11" t="e">
        <f t="shared" si="2"/>
        <v>#REF!</v>
      </c>
      <c r="ES27" s="11" t="e">
        <f t="shared" si="2"/>
        <v>#REF!</v>
      </c>
      <c r="ET27" s="11" t="e">
        <f t="shared" si="2"/>
        <v>#REF!</v>
      </c>
      <c r="EU27" s="11" t="e">
        <f t="shared" si="2"/>
        <v>#REF!</v>
      </c>
      <c r="EV27" s="11" t="e">
        <f t="shared" si="2"/>
        <v>#REF!</v>
      </c>
      <c r="EW27" s="11" t="e">
        <f t="shared" si="2"/>
        <v>#REF!</v>
      </c>
      <c r="EX27" s="11" t="e">
        <f t="shared" si="2"/>
        <v>#REF!</v>
      </c>
      <c r="EY27" s="11" t="e">
        <f t="shared" si="2"/>
        <v>#REF!</v>
      </c>
      <c r="EZ27" s="11" t="e">
        <f t="shared" si="2"/>
        <v>#REF!</v>
      </c>
      <c r="FA27" s="11" t="e">
        <f t="shared" si="2"/>
        <v>#REF!</v>
      </c>
      <c r="FB27" s="11" t="e">
        <f t="shared" si="2"/>
        <v>#REF!</v>
      </c>
      <c r="FC27" s="11" t="e">
        <f t="shared" si="2"/>
        <v>#REF!</v>
      </c>
      <c r="FD27" s="11" t="e">
        <f t="shared" si="2"/>
        <v>#REF!</v>
      </c>
      <c r="FE27" s="11" t="e">
        <f t="shared" si="2"/>
        <v>#REF!</v>
      </c>
      <c r="FF27" s="11" t="e">
        <f t="shared" si="2"/>
        <v>#REF!</v>
      </c>
      <c r="FG27" s="11" t="e">
        <f t="shared" si="2"/>
        <v>#REF!</v>
      </c>
      <c r="FH27" s="11" t="e">
        <f t="shared" si="2"/>
        <v>#REF!</v>
      </c>
      <c r="FI27" s="11" t="e">
        <f t="shared" si="2"/>
        <v>#REF!</v>
      </c>
      <c r="FJ27" s="11" t="e">
        <f t="shared" si="2"/>
        <v>#REF!</v>
      </c>
      <c r="FK27" s="11" t="e">
        <f t="shared" si="2"/>
        <v>#REF!</v>
      </c>
      <c r="FL27" s="11" t="e">
        <f t="shared" si="2"/>
        <v>#REF!</v>
      </c>
      <c r="FM27" s="11" t="e">
        <f t="shared" si="2"/>
        <v>#REF!</v>
      </c>
      <c r="FN27" s="11" t="e">
        <f t="shared" si="2"/>
        <v>#REF!</v>
      </c>
      <c r="FO27" s="11" t="e">
        <f t="shared" si="2"/>
        <v>#REF!</v>
      </c>
      <c r="FP27" s="11" t="e">
        <f t="shared" si="2"/>
        <v>#REF!</v>
      </c>
      <c r="FQ27" s="11" t="e">
        <f t="shared" si="2"/>
        <v>#REF!</v>
      </c>
    </row>
    <row r="28" spans="1:173" x14ac:dyDescent="0.2">
      <c r="B28" s="3"/>
      <c r="E28" s="3"/>
      <c r="F28" s="3"/>
      <c r="G28" s="3"/>
      <c r="H28" s="3"/>
      <c r="I28" s="3"/>
      <c r="J28" s="3"/>
    </row>
    <row r="29" spans="1:173" x14ac:dyDescent="0.2">
      <c r="E29" s="91"/>
      <c r="F29" s="3"/>
      <c r="G29" s="3"/>
      <c r="H29" s="3"/>
      <c r="I29" s="3"/>
      <c r="J29" s="3"/>
    </row>
    <row r="30" spans="1:173" x14ac:dyDescent="0.2">
      <c r="B30" s="3"/>
      <c r="E30" s="3"/>
      <c r="F30" s="3"/>
      <c r="G30" s="3"/>
      <c r="H30" s="3"/>
      <c r="I30" s="3"/>
      <c r="J30" s="3"/>
    </row>
    <row r="31" spans="1:173" x14ac:dyDescent="0.2">
      <c r="E31" s="92"/>
    </row>
  </sheetData>
  <mergeCells count="1">
    <mergeCell ref="B1:J1"/>
  </mergeCells>
  <dataValidations count="2">
    <dataValidation type="list" allowBlank="1" showInputMessage="1" showErrorMessage="1" sqref="E5" xr:uid="{DC7D76C2-C931-2748-85BD-A0C1757B118A}">
      <formula1>"Weight, Volume, Protein, Million"</formula1>
    </dataValidation>
    <dataValidation type="list" allowBlank="1" showInputMessage="1" showErrorMessage="1" sqref="E4" xr:uid="{17BAB2F7-3887-A440-B2D8-6C5981CFF569}">
      <formula1>"Fluid, Tissue, Cells"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FO102"/>
  <sheetViews>
    <sheetView zoomScale="70" zoomScaleNormal="7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C54" sqref="C54:FO54"/>
    </sheetView>
  </sheetViews>
  <sheetFormatPr baseColWidth="10" defaultRowHeight="15" x14ac:dyDescent="0.2"/>
  <cols>
    <col min="1" max="1" width="27.83203125" bestFit="1" customWidth="1"/>
    <col min="2" max="2" width="4.33203125" bestFit="1" customWidth="1"/>
    <col min="3" max="3" width="29.1640625" style="15" bestFit="1" customWidth="1"/>
    <col min="4" max="4" width="30" style="15" bestFit="1" customWidth="1"/>
    <col min="5" max="5" width="29.5" style="15" bestFit="1" customWidth="1"/>
    <col min="6" max="11" width="30" bestFit="1" customWidth="1"/>
    <col min="12" max="12" width="29.5" bestFit="1" customWidth="1"/>
    <col min="13" max="13" width="29.1640625" bestFit="1" customWidth="1"/>
    <col min="14" max="14" width="29.5" bestFit="1" customWidth="1"/>
    <col min="15" max="15" width="29.1640625" bestFit="1" customWidth="1"/>
    <col min="16" max="21" width="29.5" bestFit="1" customWidth="1"/>
    <col min="22" max="22" width="30" bestFit="1" customWidth="1"/>
    <col min="23" max="23" width="29.5" bestFit="1" customWidth="1"/>
    <col min="24" max="24" width="30" bestFit="1" customWidth="1"/>
    <col min="25" max="25" width="29.5" bestFit="1" customWidth="1"/>
    <col min="26" max="26" width="34.5" bestFit="1" customWidth="1"/>
    <col min="27" max="32" width="30" bestFit="1" customWidth="1"/>
    <col min="33" max="33" width="29.5" bestFit="1" customWidth="1"/>
    <col min="34" max="34" width="25.5" bestFit="1" customWidth="1"/>
    <col min="35" max="35" width="29.5" bestFit="1" customWidth="1"/>
    <col min="36" max="42" width="30" bestFit="1" customWidth="1"/>
    <col min="43" max="43" width="29.5" bestFit="1" customWidth="1"/>
    <col min="44" max="44" width="30" bestFit="1" customWidth="1"/>
    <col min="45" max="45" width="29.5" bestFit="1" customWidth="1"/>
    <col min="46" max="51" width="30" bestFit="1" customWidth="1"/>
    <col min="52" max="52" width="29.5" bestFit="1" customWidth="1"/>
    <col min="53" max="54" width="30" bestFit="1" customWidth="1"/>
    <col min="55" max="55" width="29.5" bestFit="1" customWidth="1"/>
    <col min="56" max="60" width="30" bestFit="1" customWidth="1"/>
    <col min="61" max="61" width="29.5" bestFit="1" customWidth="1"/>
    <col min="62" max="64" width="30" bestFit="1" customWidth="1"/>
    <col min="65" max="65" width="29.5" bestFit="1" customWidth="1"/>
    <col min="66" max="70" width="30" bestFit="1" customWidth="1"/>
    <col min="71" max="71" width="29.5" bestFit="1" customWidth="1"/>
    <col min="72" max="74" width="30" bestFit="1" customWidth="1"/>
    <col min="75" max="75" width="29.5" bestFit="1" customWidth="1"/>
    <col min="76" max="80" width="30" bestFit="1" customWidth="1"/>
    <col min="81" max="81" width="29.5" bestFit="1" customWidth="1"/>
    <col min="82" max="83" width="30" bestFit="1" customWidth="1"/>
    <col min="84" max="84" width="31" bestFit="1" customWidth="1"/>
    <col min="85" max="85" width="30.5" bestFit="1" customWidth="1"/>
    <col min="86" max="89" width="31" bestFit="1" customWidth="1"/>
    <col min="90" max="90" width="30.5" bestFit="1" customWidth="1"/>
    <col min="91" max="93" width="31" bestFit="1" customWidth="1"/>
    <col min="94" max="94" width="30.5" bestFit="1" customWidth="1"/>
    <col min="95" max="95" width="30.1640625" bestFit="1" customWidth="1"/>
    <col min="96" max="98" width="30.5" bestFit="1" customWidth="1"/>
    <col min="99" max="99" width="30.1640625" bestFit="1" customWidth="1"/>
    <col min="100" max="100" width="29.6640625" bestFit="1" customWidth="1"/>
    <col min="101" max="103" width="30.1640625" bestFit="1" customWidth="1"/>
    <col min="104" max="104" width="30.5" bestFit="1" customWidth="1"/>
    <col min="105" max="105" width="30.1640625" bestFit="1" customWidth="1"/>
    <col min="106" max="108" width="30.5" bestFit="1" customWidth="1"/>
    <col min="109" max="109" width="30.1640625" bestFit="1" customWidth="1"/>
    <col min="110" max="110" width="29.6640625" bestFit="1" customWidth="1"/>
    <col min="111" max="114" width="30.1640625" bestFit="1" customWidth="1"/>
    <col min="115" max="115" width="29.6640625" bestFit="1" customWidth="1"/>
    <col min="116" max="118" width="30.1640625" bestFit="1" customWidth="1"/>
    <col min="119" max="119" width="30.5" bestFit="1" customWidth="1"/>
    <col min="120" max="120" width="30.1640625" bestFit="1" customWidth="1"/>
    <col min="121" max="124" width="30.5" bestFit="1" customWidth="1"/>
    <col min="125" max="125" width="30.1640625" bestFit="1" customWidth="1"/>
    <col min="126" max="129" width="30.5" bestFit="1" customWidth="1"/>
    <col min="130" max="130" width="30.1640625" bestFit="1" customWidth="1"/>
    <col min="131" max="134" width="30.5" bestFit="1" customWidth="1"/>
    <col min="135" max="135" width="30.1640625" bestFit="1" customWidth="1"/>
    <col min="136" max="139" width="30.5" bestFit="1" customWidth="1"/>
    <col min="140" max="140" width="30.1640625" bestFit="1" customWidth="1"/>
    <col min="141" max="144" width="30.5" bestFit="1" customWidth="1"/>
    <col min="145" max="145" width="30.1640625" bestFit="1" customWidth="1"/>
    <col min="146" max="149" width="30.5" bestFit="1" customWidth="1"/>
    <col min="150" max="150" width="30.1640625" bestFit="1" customWidth="1"/>
    <col min="151" max="154" width="30.5" bestFit="1" customWidth="1"/>
    <col min="155" max="155" width="30.1640625" bestFit="1" customWidth="1"/>
    <col min="156" max="159" width="30.5" bestFit="1" customWidth="1"/>
    <col min="160" max="160" width="30.1640625" bestFit="1" customWidth="1"/>
    <col min="161" max="164" width="30.5" bestFit="1" customWidth="1"/>
    <col min="165" max="165" width="30.1640625" bestFit="1" customWidth="1"/>
    <col min="166" max="169" width="30.5" bestFit="1" customWidth="1"/>
    <col min="170" max="170" width="30.1640625" bestFit="1" customWidth="1"/>
    <col min="171" max="171" width="30.5" bestFit="1" customWidth="1"/>
  </cols>
  <sheetData>
    <row r="1" spans="1:171" s="86" customFormat="1" x14ac:dyDescent="0.2">
      <c r="A1" s="86" t="s">
        <v>384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  <c r="K1" t="s">
        <v>568</v>
      </c>
      <c r="L1" t="s">
        <v>569</v>
      </c>
      <c r="M1" t="s">
        <v>570</v>
      </c>
      <c r="N1" t="s">
        <v>571</v>
      </c>
      <c r="O1" t="s">
        <v>572</v>
      </c>
      <c r="P1" t="s">
        <v>573</v>
      </c>
      <c r="Q1" t="s">
        <v>574</v>
      </c>
      <c r="R1" t="s">
        <v>575</v>
      </c>
      <c r="S1" t="s">
        <v>576</v>
      </c>
      <c r="T1" t="s">
        <v>577</v>
      </c>
      <c r="U1" t="s">
        <v>578</v>
      </c>
      <c r="V1" t="s">
        <v>579</v>
      </c>
      <c r="W1" t="s">
        <v>580</v>
      </c>
      <c r="X1" t="s">
        <v>581</v>
      </c>
      <c r="Y1" t="s">
        <v>582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591</v>
      </c>
      <c r="AI1" t="s">
        <v>592</v>
      </c>
      <c r="AJ1" t="s">
        <v>593</v>
      </c>
      <c r="AK1" t="s">
        <v>594</v>
      </c>
      <c r="AL1" t="s">
        <v>595</v>
      </c>
      <c r="AM1" t="s">
        <v>596</v>
      </c>
      <c r="AN1" t="s">
        <v>597</v>
      </c>
      <c r="AO1" t="s">
        <v>598</v>
      </c>
      <c r="AP1" t="s">
        <v>599</v>
      </c>
      <c r="AQ1" t="s">
        <v>600</v>
      </c>
      <c r="AR1" t="s">
        <v>601</v>
      </c>
      <c r="AS1" t="s">
        <v>602</v>
      </c>
      <c r="AT1" t="s">
        <v>603</v>
      </c>
      <c r="AU1" t="s">
        <v>604</v>
      </c>
      <c r="AV1" t="s">
        <v>605</v>
      </c>
      <c r="AW1" t="s">
        <v>606</v>
      </c>
      <c r="AX1" t="s">
        <v>607</v>
      </c>
      <c r="AY1" t="s">
        <v>608</v>
      </c>
      <c r="AZ1" t="s">
        <v>609</v>
      </c>
      <c r="BA1" t="s">
        <v>610</v>
      </c>
      <c r="BB1" t="s">
        <v>611</v>
      </c>
      <c r="BC1" t="s">
        <v>612</v>
      </c>
      <c r="BD1" t="s">
        <v>613</v>
      </c>
      <c r="BE1" t="s">
        <v>614</v>
      </c>
      <c r="BF1" t="s">
        <v>615</v>
      </c>
      <c r="BG1" t="s">
        <v>616</v>
      </c>
      <c r="BH1" t="s">
        <v>617</v>
      </c>
      <c r="BI1" t="s">
        <v>618</v>
      </c>
      <c r="BJ1" t="s">
        <v>619</v>
      </c>
      <c r="BK1" t="s">
        <v>620</v>
      </c>
      <c r="BL1" t="s">
        <v>621</v>
      </c>
      <c r="BM1" t="s">
        <v>622</v>
      </c>
      <c r="BN1" t="s">
        <v>623</v>
      </c>
      <c r="BO1" t="s">
        <v>624</v>
      </c>
      <c r="BP1" t="s">
        <v>625</v>
      </c>
      <c r="BQ1" t="s">
        <v>626</v>
      </c>
      <c r="BR1" t="s">
        <v>627</v>
      </c>
      <c r="BS1" t="s">
        <v>628</v>
      </c>
      <c r="BT1" t="s">
        <v>629</v>
      </c>
      <c r="BU1" t="s">
        <v>630</v>
      </c>
      <c r="BV1" t="s">
        <v>631</v>
      </c>
      <c r="BW1" t="s">
        <v>632</v>
      </c>
      <c r="BX1" t="s">
        <v>633</v>
      </c>
      <c r="BY1" t="s">
        <v>634</v>
      </c>
      <c r="BZ1" t="s">
        <v>635</v>
      </c>
      <c r="CA1" t="s">
        <v>636</v>
      </c>
      <c r="CB1" t="s">
        <v>637</v>
      </c>
      <c r="CC1" t="s">
        <v>638</v>
      </c>
      <c r="CD1" t="s">
        <v>639</v>
      </c>
      <c r="CE1" t="s">
        <v>640</v>
      </c>
      <c r="CF1" t="s">
        <v>641</v>
      </c>
      <c r="CG1" t="s">
        <v>642</v>
      </c>
      <c r="CH1" t="s">
        <v>643</v>
      </c>
      <c r="CI1" t="s">
        <v>644</v>
      </c>
      <c r="CJ1" t="s">
        <v>645</v>
      </c>
      <c r="CK1" t="s">
        <v>646</v>
      </c>
      <c r="CL1" t="s">
        <v>647</v>
      </c>
      <c r="CM1" t="s">
        <v>648</v>
      </c>
      <c r="CN1" t="s">
        <v>649</v>
      </c>
      <c r="CO1" t="s">
        <v>650</v>
      </c>
      <c r="CP1" t="s">
        <v>651</v>
      </c>
      <c r="CQ1" t="s">
        <v>652</v>
      </c>
      <c r="CR1" t="s">
        <v>653</v>
      </c>
      <c r="CS1" t="s">
        <v>654</v>
      </c>
      <c r="CT1" t="s">
        <v>655</v>
      </c>
      <c r="CU1" t="s">
        <v>656</v>
      </c>
      <c r="CV1" t="s">
        <v>657</v>
      </c>
      <c r="CW1" t="s">
        <v>658</v>
      </c>
      <c r="CX1" t="s">
        <v>659</v>
      </c>
      <c r="CY1" t="s">
        <v>660</v>
      </c>
      <c r="CZ1" t="s">
        <v>661</v>
      </c>
      <c r="DA1" t="s">
        <v>662</v>
      </c>
      <c r="DB1" t="s">
        <v>663</v>
      </c>
      <c r="DC1" t="s">
        <v>664</v>
      </c>
      <c r="DD1" t="s">
        <v>665</v>
      </c>
      <c r="DE1" t="s">
        <v>666</v>
      </c>
      <c r="DF1" t="s">
        <v>667</v>
      </c>
      <c r="DG1" t="s">
        <v>668</v>
      </c>
      <c r="DH1" t="s">
        <v>669</v>
      </c>
      <c r="DI1" t="s">
        <v>670</v>
      </c>
      <c r="DJ1" t="s">
        <v>671</v>
      </c>
      <c r="DK1" t="s">
        <v>672</v>
      </c>
      <c r="DL1" t="s">
        <v>673</v>
      </c>
      <c r="DM1" t="s">
        <v>674</v>
      </c>
      <c r="DN1" t="s">
        <v>675</v>
      </c>
      <c r="DO1" t="s">
        <v>676</v>
      </c>
      <c r="DP1" t="s">
        <v>677</v>
      </c>
      <c r="DQ1" t="s">
        <v>678</v>
      </c>
      <c r="DR1" t="s">
        <v>679</v>
      </c>
      <c r="DS1" t="s">
        <v>680</v>
      </c>
      <c r="DT1" t="s">
        <v>681</v>
      </c>
      <c r="DU1" t="s">
        <v>682</v>
      </c>
      <c r="DV1" t="s">
        <v>683</v>
      </c>
      <c r="DW1" t="s">
        <v>684</v>
      </c>
      <c r="DX1" t="s">
        <v>685</v>
      </c>
      <c r="DY1" t="s">
        <v>686</v>
      </c>
      <c r="DZ1" t="s">
        <v>687</v>
      </c>
      <c r="EA1" t="s">
        <v>688</v>
      </c>
      <c r="EB1" t="s">
        <v>689</v>
      </c>
      <c r="EC1" t="s">
        <v>690</v>
      </c>
      <c r="ED1" t="s">
        <v>691</v>
      </c>
      <c r="EE1" t="s">
        <v>692</v>
      </c>
      <c r="EF1" t="s">
        <v>693</v>
      </c>
      <c r="EG1" t="s">
        <v>694</v>
      </c>
      <c r="EH1" t="s">
        <v>695</v>
      </c>
      <c r="EI1" t="s">
        <v>696</v>
      </c>
      <c r="EJ1" t="s">
        <v>697</v>
      </c>
      <c r="EK1" t="s">
        <v>698</v>
      </c>
      <c r="EL1" t="s">
        <v>699</v>
      </c>
      <c r="EM1" t="s">
        <v>700</v>
      </c>
      <c r="EN1" t="s">
        <v>701</v>
      </c>
      <c r="EO1" t="s">
        <v>702</v>
      </c>
      <c r="EP1" t="s">
        <v>703</v>
      </c>
      <c r="EQ1" t="s">
        <v>704</v>
      </c>
      <c r="ER1" t="s">
        <v>705</v>
      </c>
      <c r="ES1" t="s">
        <v>706</v>
      </c>
      <c r="ET1" t="s">
        <v>707</v>
      </c>
      <c r="EU1" t="s">
        <v>708</v>
      </c>
      <c r="EV1" t="s">
        <v>709</v>
      </c>
      <c r="EW1" t="s">
        <v>710</v>
      </c>
      <c r="EX1" t="s">
        <v>711</v>
      </c>
      <c r="EY1" t="s">
        <v>712</v>
      </c>
      <c r="EZ1" t="s">
        <v>713</v>
      </c>
      <c r="FA1" t="s">
        <v>714</v>
      </c>
      <c r="FB1" t="s">
        <v>715</v>
      </c>
      <c r="FC1" t="s">
        <v>716</v>
      </c>
      <c r="FD1" t="s">
        <v>717</v>
      </c>
      <c r="FE1" t="s">
        <v>718</v>
      </c>
      <c r="FF1" t="s">
        <v>719</v>
      </c>
      <c r="FG1" t="s">
        <v>720</v>
      </c>
      <c r="FH1" t="s">
        <v>721</v>
      </c>
      <c r="FI1" t="s">
        <v>722</v>
      </c>
      <c r="FJ1" t="s">
        <v>723</v>
      </c>
      <c r="FK1" t="s">
        <v>724</v>
      </c>
      <c r="FL1" t="s">
        <v>725</v>
      </c>
      <c r="FM1" t="s">
        <v>726</v>
      </c>
      <c r="FN1" t="s">
        <v>727</v>
      </c>
      <c r="FO1" t="s">
        <v>728</v>
      </c>
    </row>
    <row r="2" spans="1:171" s="86" customFormat="1" x14ac:dyDescent="0.2">
      <c r="C2" t="s">
        <v>401</v>
      </c>
      <c r="D2" t="s">
        <v>423</v>
      </c>
      <c r="E2" t="s">
        <v>523</v>
      </c>
      <c r="F2" t="s">
        <v>495</v>
      </c>
      <c r="G2" t="s">
        <v>456</v>
      </c>
      <c r="H2" t="s">
        <v>452</v>
      </c>
      <c r="I2" t="s">
        <v>431</v>
      </c>
      <c r="J2" t="s">
        <v>400</v>
      </c>
      <c r="K2" t="s">
        <v>541</v>
      </c>
      <c r="L2" t="s">
        <v>414</v>
      </c>
      <c r="M2" t="s">
        <v>402</v>
      </c>
      <c r="N2" t="s">
        <v>490</v>
      </c>
      <c r="O2" t="s">
        <v>524</v>
      </c>
      <c r="P2" t="s">
        <v>409</v>
      </c>
      <c r="Q2" t="s">
        <v>488</v>
      </c>
      <c r="R2" t="s">
        <v>507</v>
      </c>
      <c r="S2" t="s">
        <v>411</v>
      </c>
      <c r="T2" t="s">
        <v>436</v>
      </c>
      <c r="U2" t="s">
        <v>462</v>
      </c>
      <c r="V2" t="s">
        <v>516</v>
      </c>
      <c r="W2" t="s">
        <v>392</v>
      </c>
      <c r="X2" t="s">
        <v>531</v>
      </c>
      <c r="Y2" t="s">
        <v>494</v>
      </c>
      <c r="Z2" t="s">
        <v>471</v>
      </c>
      <c r="AA2" t="s">
        <v>425</v>
      </c>
      <c r="AB2" t="s">
        <v>553</v>
      </c>
      <c r="AC2" t="s">
        <v>460</v>
      </c>
      <c r="AD2" t="s">
        <v>444</v>
      </c>
      <c r="AE2" t="s">
        <v>521</v>
      </c>
      <c r="AF2" t="s">
        <v>396</v>
      </c>
      <c r="AG2" t="s">
        <v>558</v>
      </c>
      <c r="AH2" t="s">
        <v>468</v>
      </c>
      <c r="AI2" t="s">
        <v>483</v>
      </c>
      <c r="AJ2" t="s">
        <v>556</v>
      </c>
      <c r="AK2" t="s">
        <v>552</v>
      </c>
      <c r="AL2" t="s">
        <v>438</v>
      </c>
      <c r="AM2" t="s">
        <v>511</v>
      </c>
      <c r="AN2" t="s">
        <v>466</v>
      </c>
      <c r="AO2" t="s">
        <v>410</v>
      </c>
      <c r="AP2" t="s">
        <v>539</v>
      </c>
      <c r="AQ2" t="s">
        <v>503</v>
      </c>
      <c r="AR2" t="s">
        <v>420</v>
      </c>
      <c r="AS2" t="s">
        <v>395</v>
      </c>
      <c r="AT2" t="s">
        <v>464</v>
      </c>
      <c r="AU2" t="s">
        <v>428</v>
      </c>
      <c r="AV2" t="s">
        <v>427</v>
      </c>
      <c r="AW2" t="s">
        <v>544</v>
      </c>
      <c r="AX2" t="s">
        <v>448</v>
      </c>
      <c r="AY2" t="s">
        <v>412</v>
      </c>
      <c r="AZ2" t="s">
        <v>407</v>
      </c>
      <c r="BA2" t="s">
        <v>406</v>
      </c>
      <c r="BB2" t="s">
        <v>469</v>
      </c>
      <c r="BC2" t="s">
        <v>533</v>
      </c>
      <c r="BD2" t="s">
        <v>457</v>
      </c>
      <c r="BE2" t="s">
        <v>498</v>
      </c>
      <c r="BF2" t="s">
        <v>479</v>
      </c>
      <c r="BG2" t="s">
        <v>421</v>
      </c>
      <c r="BH2" t="s">
        <v>543</v>
      </c>
      <c r="BI2" t="s">
        <v>422</v>
      </c>
      <c r="BJ2" t="s">
        <v>429</v>
      </c>
      <c r="BK2" t="s">
        <v>501</v>
      </c>
      <c r="BL2" t="s">
        <v>454</v>
      </c>
      <c r="BM2" t="s">
        <v>458</v>
      </c>
      <c r="BN2" t="s">
        <v>540</v>
      </c>
      <c r="BO2" t="s">
        <v>391</v>
      </c>
      <c r="BP2" t="s">
        <v>418</v>
      </c>
      <c r="BQ2" t="s">
        <v>449</v>
      </c>
      <c r="BR2" t="s">
        <v>551</v>
      </c>
      <c r="BS2" t="s">
        <v>443</v>
      </c>
      <c r="BT2" t="s">
        <v>522</v>
      </c>
      <c r="BU2" t="s">
        <v>489</v>
      </c>
      <c r="BV2" t="s">
        <v>434</v>
      </c>
      <c r="BW2" t="s">
        <v>426</v>
      </c>
      <c r="BX2" t="s">
        <v>529</v>
      </c>
      <c r="BY2" t="s">
        <v>492</v>
      </c>
      <c r="BZ2" t="s">
        <v>481</v>
      </c>
      <c r="CA2" t="s">
        <v>485</v>
      </c>
      <c r="CB2" t="s">
        <v>532</v>
      </c>
      <c r="CC2" t="s">
        <v>557</v>
      </c>
      <c r="CD2" t="s">
        <v>442</v>
      </c>
      <c r="CE2" t="s">
        <v>446</v>
      </c>
      <c r="CF2" t="s">
        <v>393</v>
      </c>
      <c r="CG2" t="s">
        <v>445</v>
      </c>
      <c r="CH2" t="s">
        <v>546</v>
      </c>
      <c r="CI2" t="s">
        <v>510</v>
      </c>
      <c r="CJ2" t="s">
        <v>463</v>
      </c>
      <c r="CK2" t="s">
        <v>555</v>
      </c>
      <c r="CL2" t="s">
        <v>399</v>
      </c>
      <c r="CM2" t="s">
        <v>451</v>
      </c>
      <c r="CN2" t="s">
        <v>545</v>
      </c>
      <c r="CO2" t="s">
        <v>432</v>
      </c>
      <c r="CP2" t="s">
        <v>459</v>
      </c>
      <c r="CQ2" t="s">
        <v>499</v>
      </c>
      <c r="CR2" t="s">
        <v>450</v>
      </c>
      <c r="CS2" t="s">
        <v>447</v>
      </c>
      <c r="CT2" t="s">
        <v>491</v>
      </c>
      <c r="CU2" t="s">
        <v>441</v>
      </c>
      <c r="CV2" t="s">
        <v>502</v>
      </c>
      <c r="CW2" t="s">
        <v>530</v>
      </c>
      <c r="CX2" t="s">
        <v>505</v>
      </c>
      <c r="CY2" t="s">
        <v>525</v>
      </c>
      <c r="CZ2" t="s">
        <v>484</v>
      </c>
      <c r="DA2" t="s">
        <v>506</v>
      </c>
      <c r="DB2" t="s">
        <v>508</v>
      </c>
      <c r="DC2" t="s">
        <v>504</v>
      </c>
      <c r="DD2" t="s">
        <v>548</v>
      </c>
      <c r="DE2" t="s">
        <v>550</v>
      </c>
      <c r="DF2" t="s">
        <v>537</v>
      </c>
      <c r="DG2" t="s">
        <v>482</v>
      </c>
      <c r="DH2" t="s">
        <v>424</v>
      </c>
      <c r="DI2" t="s">
        <v>473</v>
      </c>
      <c r="DJ2" t="s">
        <v>475</v>
      </c>
      <c r="DK2" t="s">
        <v>437</v>
      </c>
      <c r="DL2" t="s">
        <v>497</v>
      </c>
      <c r="DM2" t="s">
        <v>519</v>
      </c>
      <c r="DN2" t="s">
        <v>520</v>
      </c>
      <c r="DO2" t="s">
        <v>549</v>
      </c>
      <c r="DP2" t="s">
        <v>512</v>
      </c>
      <c r="DQ2" t="s">
        <v>534</v>
      </c>
      <c r="DR2" t="s">
        <v>526</v>
      </c>
      <c r="DS2" t="s">
        <v>515</v>
      </c>
      <c r="DT2" t="s">
        <v>417</v>
      </c>
      <c r="DU2" t="s">
        <v>535</v>
      </c>
      <c r="DV2" t="s">
        <v>404</v>
      </c>
      <c r="DW2" t="s">
        <v>477</v>
      </c>
      <c r="DX2" t="s">
        <v>408</v>
      </c>
      <c r="DY2" t="s">
        <v>517</v>
      </c>
      <c r="DZ2" t="s">
        <v>547</v>
      </c>
      <c r="EA2" t="s">
        <v>480</v>
      </c>
      <c r="EB2" t="s">
        <v>461</v>
      </c>
      <c r="EC2" t="s">
        <v>416</v>
      </c>
      <c r="ED2" t="s">
        <v>518</v>
      </c>
      <c r="EE2" t="s">
        <v>527</v>
      </c>
      <c r="EF2" t="s">
        <v>467</v>
      </c>
      <c r="EG2" t="s">
        <v>405</v>
      </c>
      <c r="EH2" t="s">
        <v>455</v>
      </c>
      <c r="EI2" t="s">
        <v>398</v>
      </c>
      <c r="EJ2" t="s">
        <v>487</v>
      </c>
      <c r="EK2" t="s">
        <v>486</v>
      </c>
      <c r="EL2" t="s">
        <v>472</v>
      </c>
      <c r="EM2" t="s">
        <v>433</v>
      </c>
      <c r="EN2" t="s">
        <v>430</v>
      </c>
      <c r="EO2" t="s">
        <v>439</v>
      </c>
      <c r="EP2" t="s">
        <v>474</v>
      </c>
      <c r="EQ2" t="s">
        <v>538</v>
      </c>
      <c r="ER2" t="s">
        <v>440</v>
      </c>
      <c r="ES2" t="s">
        <v>496</v>
      </c>
      <c r="ET2" t="s">
        <v>397</v>
      </c>
      <c r="EU2" t="s">
        <v>403</v>
      </c>
      <c r="EV2" t="s">
        <v>500</v>
      </c>
      <c r="EW2" t="s">
        <v>493</v>
      </c>
      <c r="EX2" t="s">
        <v>415</v>
      </c>
      <c r="EY2" t="s">
        <v>509</v>
      </c>
      <c r="EZ2" t="s">
        <v>435</v>
      </c>
      <c r="FA2" t="s">
        <v>514</v>
      </c>
      <c r="FB2" t="s">
        <v>465</v>
      </c>
      <c r="FC2" t="s">
        <v>476</v>
      </c>
      <c r="FD2" t="s">
        <v>513</v>
      </c>
      <c r="FE2" t="s">
        <v>453</v>
      </c>
      <c r="FF2" t="s">
        <v>542</v>
      </c>
      <c r="FG2" t="s">
        <v>554</v>
      </c>
      <c r="FH2" t="s">
        <v>478</v>
      </c>
      <c r="FI2" t="s">
        <v>419</v>
      </c>
      <c r="FJ2" t="s">
        <v>528</v>
      </c>
      <c r="FK2" t="s">
        <v>413</v>
      </c>
      <c r="FL2" t="s">
        <v>470</v>
      </c>
      <c r="FM2" t="s">
        <v>394</v>
      </c>
      <c r="FN2" t="s">
        <v>536</v>
      </c>
      <c r="FO2" t="s">
        <v>559</v>
      </c>
    </row>
    <row r="3" spans="1:171" x14ac:dyDescent="0.2">
      <c r="A3" s="120" t="s">
        <v>36</v>
      </c>
      <c r="B3" s="121"/>
      <c r="C3" s="93">
        <v>89.191699999999997</v>
      </c>
      <c r="D3" s="93">
        <v>128.9854</v>
      </c>
      <c r="E3" s="93">
        <v>65.081400000000002</v>
      </c>
      <c r="F3" s="93">
        <v>537.351</v>
      </c>
      <c r="G3" s="93">
        <v>215.14590000000001</v>
      </c>
      <c r="H3" s="93">
        <v>164.89930000000001</v>
      </c>
      <c r="I3" s="93">
        <v>84.773899999999998</v>
      </c>
      <c r="J3" s="93">
        <v>44.510399999999997</v>
      </c>
      <c r="K3" s="93">
        <v>172.05779999999999</v>
      </c>
      <c r="L3" s="93">
        <v>421.1112</v>
      </c>
      <c r="M3" s="93">
        <v>68.965900000000005</v>
      </c>
      <c r="N3" s="93">
        <v>204.20599999999999</v>
      </c>
      <c r="O3" s="93">
        <v>137.4288</v>
      </c>
      <c r="P3" s="93">
        <v>271.77010000000001</v>
      </c>
      <c r="Q3" s="93">
        <v>484.78739999999999</v>
      </c>
      <c r="R3" s="93">
        <v>2378.7011000000002</v>
      </c>
      <c r="S3" s="93">
        <v>207.38239999999999</v>
      </c>
      <c r="T3" s="93">
        <v>110.62820000000001</v>
      </c>
      <c r="U3" s="93">
        <v>160.93350000000001</v>
      </c>
      <c r="V3" s="93">
        <v>127.63160000000001</v>
      </c>
      <c r="W3" s="93">
        <v>196.44040000000001</v>
      </c>
      <c r="X3" s="93">
        <v>117.1816</v>
      </c>
      <c r="Y3" s="93">
        <v>153.6918</v>
      </c>
      <c r="Z3" s="93">
        <v>1979.7330999999999</v>
      </c>
      <c r="AA3" s="93">
        <v>128.19069999999999</v>
      </c>
      <c r="AB3" s="93">
        <v>151.43510000000001</v>
      </c>
      <c r="AC3" s="93">
        <v>105.8734</v>
      </c>
      <c r="AD3" s="93">
        <v>114.8253</v>
      </c>
      <c r="AE3" s="93">
        <v>67.766900000000007</v>
      </c>
      <c r="AF3" s="93">
        <v>182.92</v>
      </c>
      <c r="AG3" s="93">
        <v>624.18129999999996</v>
      </c>
      <c r="AH3" s="93">
        <v>134.02500000000001</v>
      </c>
      <c r="AI3" s="93">
        <v>536.3877</v>
      </c>
      <c r="AJ3" s="93">
        <v>229.1465</v>
      </c>
      <c r="AK3" s="93">
        <v>97.853399999999993</v>
      </c>
      <c r="AL3" s="93">
        <v>256.29219999999998</v>
      </c>
      <c r="AM3" s="93">
        <v>700.78120000000001</v>
      </c>
      <c r="AN3" s="93">
        <v>162.07040000000001</v>
      </c>
      <c r="AO3" s="93">
        <v>50.727400000000003</v>
      </c>
      <c r="AP3" s="93">
        <v>193.8357</v>
      </c>
      <c r="AQ3" s="93">
        <v>472.80549999999999</v>
      </c>
      <c r="AR3" s="93">
        <v>73.297899999999998</v>
      </c>
      <c r="AS3" s="93">
        <v>741.05349999999999</v>
      </c>
      <c r="AT3" s="93">
        <v>503.68169999999998</v>
      </c>
      <c r="AU3" s="93">
        <v>22.644500000000001</v>
      </c>
      <c r="AV3" s="93">
        <v>24.863199999999999</v>
      </c>
      <c r="AW3" s="93">
        <v>68.765100000000004</v>
      </c>
      <c r="AX3" s="93">
        <v>100.7081</v>
      </c>
      <c r="AY3" s="93">
        <v>130.0608</v>
      </c>
      <c r="AZ3" s="93">
        <v>39.071800000000003</v>
      </c>
      <c r="BA3" s="93">
        <v>140.57570000000001</v>
      </c>
      <c r="BB3" s="93">
        <v>84.696399999999997</v>
      </c>
      <c r="BC3" s="93">
        <v>70.3095</v>
      </c>
      <c r="BD3" s="93">
        <v>108.1353</v>
      </c>
      <c r="BE3" s="93">
        <v>147.76830000000001</v>
      </c>
      <c r="BF3" s="93">
        <v>687.38909999999998</v>
      </c>
      <c r="BG3" s="93">
        <v>38.1479</v>
      </c>
      <c r="BH3" s="93">
        <v>577.69079999999997</v>
      </c>
      <c r="BI3" s="93">
        <v>1375.1398999999999</v>
      </c>
      <c r="BJ3" s="93">
        <v>1828.3126</v>
      </c>
      <c r="BK3" s="93">
        <v>355.43279999999999</v>
      </c>
      <c r="BL3" s="93">
        <v>8921.0722000000005</v>
      </c>
      <c r="BM3" s="93">
        <v>3963.4911999999999</v>
      </c>
      <c r="BN3" s="93">
        <v>6845.8945000000003</v>
      </c>
      <c r="BO3" s="93">
        <v>9760.0951999999997</v>
      </c>
      <c r="BP3" s="93">
        <v>5180.9058999999997</v>
      </c>
      <c r="BQ3" s="93">
        <v>507.08010000000002</v>
      </c>
      <c r="BR3" s="93">
        <v>101.83880000000001</v>
      </c>
      <c r="BS3" s="93">
        <v>5462.2745000000004</v>
      </c>
      <c r="BT3" s="93">
        <v>1822.6614</v>
      </c>
      <c r="BU3" s="93">
        <v>905.6078</v>
      </c>
      <c r="BV3" s="93">
        <v>777.41129999999998</v>
      </c>
      <c r="BW3" s="93">
        <v>429.63499999999999</v>
      </c>
      <c r="BX3" s="93">
        <v>94.816800000000001</v>
      </c>
      <c r="BY3" s="93">
        <v>819.09169999999995</v>
      </c>
      <c r="BZ3" s="93">
        <v>488.88339999999999</v>
      </c>
      <c r="CA3" s="93">
        <v>562.01819999999998</v>
      </c>
      <c r="CB3" s="93">
        <v>167.09520000000001</v>
      </c>
      <c r="CC3" s="93">
        <v>150.3503</v>
      </c>
      <c r="CD3" s="93">
        <v>155.48419999999999</v>
      </c>
      <c r="CE3" s="93">
        <v>1180.6699000000001</v>
      </c>
      <c r="CF3" s="93">
        <v>94.5886</v>
      </c>
      <c r="CG3" s="93">
        <v>208.5813</v>
      </c>
      <c r="CH3" s="93">
        <v>155.54499999999999</v>
      </c>
      <c r="CI3" s="93">
        <v>445.32580000000002</v>
      </c>
      <c r="CJ3" s="93">
        <v>74.833699999999993</v>
      </c>
      <c r="CK3" s="93">
        <v>129.70429999999999</v>
      </c>
      <c r="CL3" s="93">
        <v>253.3493</v>
      </c>
      <c r="CM3" s="93">
        <v>120.4687</v>
      </c>
      <c r="CN3" s="93">
        <v>97.3703</v>
      </c>
      <c r="CO3" s="93">
        <v>66.597899999999996</v>
      </c>
      <c r="CP3" s="93">
        <v>247.94149999999999</v>
      </c>
      <c r="CQ3" s="93">
        <v>251.95590000000001</v>
      </c>
      <c r="CR3" s="93">
        <v>376.2054</v>
      </c>
      <c r="CS3" s="93">
        <v>67.831500000000005</v>
      </c>
      <c r="CT3" s="93">
        <v>284.19729999999998</v>
      </c>
      <c r="CU3" s="93">
        <v>159.97200000000001</v>
      </c>
      <c r="CV3" s="93">
        <v>67.406599999999997</v>
      </c>
      <c r="CW3" s="93">
        <v>198.8502</v>
      </c>
      <c r="CX3" s="93">
        <v>131.32429999999999</v>
      </c>
      <c r="CY3" s="93">
        <v>82.2239</v>
      </c>
      <c r="CZ3" s="93">
        <v>38.1526</v>
      </c>
      <c r="DA3" s="93">
        <v>60.017499999999998</v>
      </c>
      <c r="DB3" s="93">
        <v>227.47219999999999</v>
      </c>
      <c r="DC3" s="93">
        <v>185.43379999999999</v>
      </c>
      <c r="DD3" s="93">
        <v>127.9991</v>
      </c>
      <c r="DE3" s="93">
        <v>129.4753</v>
      </c>
      <c r="DF3" s="93">
        <v>246.1429</v>
      </c>
      <c r="DG3" s="93">
        <v>337.33699999999999</v>
      </c>
      <c r="DH3" s="93">
        <v>36.611400000000003</v>
      </c>
      <c r="DI3" s="93">
        <v>159.43299999999999</v>
      </c>
      <c r="DJ3" s="93">
        <v>722.88189999999997</v>
      </c>
      <c r="DK3" s="93">
        <v>789.72839999999997</v>
      </c>
      <c r="DL3" s="93">
        <v>71.811400000000006</v>
      </c>
      <c r="DM3" s="93">
        <v>168.81489999999999</v>
      </c>
      <c r="DN3" s="93">
        <v>427.21769999999998</v>
      </c>
      <c r="DO3" s="93">
        <v>197.92330000000001</v>
      </c>
      <c r="DP3" s="93">
        <v>125.4175</v>
      </c>
      <c r="DQ3" s="93">
        <v>224.8991</v>
      </c>
      <c r="DR3" s="93">
        <v>101.49760000000001</v>
      </c>
      <c r="DS3" s="93">
        <v>88.562899999999999</v>
      </c>
      <c r="DT3" s="93">
        <v>57.506100000000004</v>
      </c>
      <c r="DU3" s="93">
        <v>698.99599999999998</v>
      </c>
      <c r="DV3" s="93">
        <v>102.16589999999999</v>
      </c>
      <c r="DW3" s="93">
        <v>202.10810000000001</v>
      </c>
      <c r="DX3" s="93">
        <v>64.727900000000005</v>
      </c>
      <c r="DY3" s="93">
        <v>132.21610000000001</v>
      </c>
      <c r="DZ3" s="93">
        <v>201.96430000000001</v>
      </c>
      <c r="EA3" s="93">
        <v>107.8334</v>
      </c>
      <c r="EB3" s="93">
        <v>198.6994</v>
      </c>
      <c r="EC3" s="93">
        <v>139.17679999999999</v>
      </c>
      <c r="ED3" s="93">
        <v>126.1189</v>
      </c>
      <c r="EE3" s="93">
        <v>52.196800000000003</v>
      </c>
      <c r="EF3" s="93">
        <v>243.14169999999999</v>
      </c>
      <c r="EG3" s="93">
        <v>205.7021</v>
      </c>
      <c r="EH3" s="93">
        <v>152.744</v>
      </c>
      <c r="EI3" s="93">
        <v>42.409300000000002</v>
      </c>
      <c r="EJ3" s="93">
        <v>207.41589999999999</v>
      </c>
      <c r="EK3" s="93">
        <v>185.0866</v>
      </c>
      <c r="EL3" s="93">
        <v>164.11109999999999</v>
      </c>
      <c r="EM3" s="93">
        <v>415.64940000000001</v>
      </c>
      <c r="EN3" s="93">
        <v>337.96710000000002</v>
      </c>
      <c r="EO3" s="93">
        <v>259.24169999999998</v>
      </c>
      <c r="EP3" s="93">
        <v>298.99349999999998</v>
      </c>
      <c r="EQ3" s="93">
        <v>71.834400000000002</v>
      </c>
      <c r="ER3" s="93">
        <v>66.685599999999994</v>
      </c>
      <c r="ES3" s="93">
        <v>113.77290000000001</v>
      </c>
      <c r="ET3" s="93">
        <v>142.15700000000001</v>
      </c>
      <c r="EU3" s="93">
        <v>147.9041</v>
      </c>
      <c r="EV3" s="93">
        <v>167.09610000000001</v>
      </c>
      <c r="EW3" s="93">
        <v>153.22300000000001</v>
      </c>
      <c r="EX3" s="93">
        <v>115.85080000000001</v>
      </c>
      <c r="EY3" s="93">
        <v>352.72449999999998</v>
      </c>
      <c r="EZ3" s="93">
        <v>244.4528</v>
      </c>
      <c r="FA3" s="93">
        <v>69.424000000000007</v>
      </c>
      <c r="FB3" s="93">
        <v>88.039000000000001</v>
      </c>
      <c r="FC3" s="93">
        <v>221.24690000000001</v>
      </c>
      <c r="FD3" s="93">
        <v>78.768799999999999</v>
      </c>
      <c r="FE3" s="93">
        <v>95.594499999999996</v>
      </c>
      <c r="FF3" s="93">
        <v>132.9813</v>
      </c>
      <c r="FG3" s="93">
        <v>65.2637</v>
      </c>
      <c r="FH3" s="93">
        <v>142.2039</v>
      </c>
      <c r="FI3" s="93">
        <v>239.86609999999999</v>
      </c>
      <c r="FJ3" s="93">
        <v>182.46690000000001</v>
      </c>
      <c r="FK3" s="93">
        <v>79.265699999999995</v>
      </c>
      <c r="FL3" s="93">
        <v>123.3699</v>
      </c>
      <c r="FM3" s="93">
        <v>81.923100000000005</v>
      </c>
      <c r="FN3" s="93">
        <v>83.686499999999995</v>
      </c>
      <c r="FO3" s="93">
        <v>107.3845</v>
      </c>
    </row>
    <row r="4" spans="1:171" x14ac:dyDescent="0.2">
      <c r="A4" s="120" t="s">
        <v>236</v>
      </c>
      <c r="B4" s="121"/>
      <c r="C4" s="93">
        <v>0</v>
      </c>
      <c r="D4" s="93">
        <v>0</v>
      </c>
      <c r="E4" s="93">
        <v>0</v>
      </c>
      <c r="F4" s="93">
        <v>0</v>
      </c>
      <c r="G4" s="93">
        <v>0</v>
      </c>
      <c r="H4" s="93">
        <v>0</v>
      </c>
      <c r="I4" s="93">
        <v>0</v>
      </c>
      <c r="J4" s="93">
        <v>0</v>
      </c>
      <c r="K4" s="93">
        <v>0</v>
      </c>
      <c r="L4" s="93">
        <v>0</v>
      </c>
      <c r="M4" s="93">
        <v>0</v>
      </c>
      <c r="N4" s="93">
        <v>0</v>
      </c>
      <c r="O4" s="93">
        <v>0</v>
      </c>
      <c r="P4" s="93">
        <v>0</v>
      </c>
      <c r="Q4" s="93">
        <v>0</v>
      </c>
      <c r="R4" s="93">
        <v>0</v>
      </c>
      <c r="S4" s="93">
        <v>0</v>
      </c>
      <c r="T4" s="93">
        <v>0</v>
      </c>
      <c r="U4" s="93">
        <v>0</v>
      </c>
      <c r="V4" s="93">
        <v>0</v>
      </c>
      <c r="W4" s="93">
        <v>0</v>
      </c>
      <c r="X4" s="93">
        <v>0</v>
      </c>
      <c r="Y4" s="93">
        <v>0</v>
      </c>
      <c r="Z4" s="93">
        <v>0</v>
      </c>
      <c r="AA4" s="93">
        <v>0</v>
      </c>
      <c r="AB4" s="93">
        <v>0</v>
      </c>
      <c r="AC4" s="93">
        <v>0</v>
      </c>
      <c r="AD4" s="93">
        <v>0</v>
      </c>
      <c r="AE4" s="93">
        <v>0</v>
      </c>
      <c r="AF4" s="93">
        <v>0</v>
      </c>
      <c r="AG4" s="93">
        <v>0</v>
      </c>
      <c r="AH4" s="93">
        <v>0</v>
      </c>
      <c r="AI4" s="93">
        <v>0</v>
      </c>
      <c r="AJ4" s="93">
        <v>0</v>
      </c>
      <c r="AK4" s="93">
        <v>0</v>
      </c>
      <c r="AL4" s="93">
        <v>0</v>
      </c>
      <c r="AM4" s="93">
        <v>0</v>
      </c>
      <c r="AN4" s="93">
        <v>0</v>
      </c>
      <c r="AO4" s="93">
        <v>0</v>
      </c>
      <c r="AP4" s="93">
        <v>0</v>
      </c>
      <c r="AQ4" s="93">
        <v>0</v>
      </c>
      <c r="AR4" s="93">
        <v>0</v>
      </c>
      <c r="AS4" s="93">
        <v>0</v>
      </c>
      <c r="AT4" s="93">
        <v>0</v>
      </c>
      <c r="AU4" s="93">
        <v>0</v>
      </c>
      <c r="AV4" s="93">
        <v>0</v>
      </c>
      <c r="AW4" s="93">
        <v>0</v>
      </c>
      <c r="AX4" s="93">
        <v>0</v>
      </c>
      <c r="AY4" s="93">
        <v>0</v>
      </c>
      <c r="AZ4" s="93">
        <v>0</v>
      </c>
      <c r="BA4" s="93">
        <v>0</v>
      </c>
      <c r="BB4" s="93">
        <v>0</v>
      </c>
      <c r="BC4" s="93">
        <v>0</v>
      </c>
      <c r="BD4" s="93">
        <v>0</v>
      </c>
      <c r="BE4" s="93">
        <v>0</v>
      </c>
      <c r="BF4" s="93">
        <v>0</v>
      </c>
      <c r="BG4" s="93">
        <v>0</v>
      </c>
      <c r="BH4" s="93">
        <v>0</v>
      </c>
      <c r="BI4" s="93">
        <v>0</v>
      </c>
      <c r="BJ4" s="93">
        <v>0</v>
      </c>
      <c r="BK4" s="93">
        <v>0</v>
      </c>
      <c r="BL4" s="93">
        <v>0</v>
      </c>
      <c r="BM4" s="93">
        <v>0</v>
      </c>
      <c r="BN4" s="93">
        <v>0</v>
      </c>
      <c r="BO4" s="93">
        <v>0</v>
      </c>
      <c r="BP4" s="93">
        <v>0</v>
      </c>
      <c r="BQ4" s="93">
        <v>0</v>
      </c>
      <c r="BR4" s="93">
        <v>0</v>
      </c>
      <c r="BS4" s="93">
        <v>0</v>
      </c>
      <c r="BT4" s="93">
        <v>0</v>
      </c>
      <c r="BU4" s="93">
        <v>0</v>
      </c>
      <c r="BV4" s="93">
        <v>0</v>
      </c>
      <c r="BW4" s="93">
        <v>0</v>
      </c>
      <c r="BX4" s="93">
        <v>0</v>
      </c>
      <c r="BY4" s="93">
        <v>0</v>
      </c>
      <c r="BZ4" s="93">
        <v>0</v>
      </c>
      <c r="CA4" s="93">
        <v>0</v>
      </c>
      <c r="CB4" s="93">
        <v>0</v>
      </c>
      <c r="CC4" s="93">
        <v>0</v>
      </c>
      <c r="CD4" s="93">
        <v>0</v>
      </c>
      <c r="CE4" s="93">
        <v>0</v>
      </c>
      <c r="CF4" s="93">
        <v>0</v>
      </c>
      <c r="CG4" s="93">
        <v>0</v>
      </c>
      <c r="CH4" s="93">
        <v>0</v>
      </c>
      <c r="CI4" s="93">
        <v>0</v>
      </c>
      <c r="CJ4" s="93">
        <v>0</v>
      </c>
      <c r="CK4" s="93">
        <v>0</v>
      </c>
      <c r="CL4" s="93">
        <v>0</v>
      </c>
      <c r="CM4" s="93">
        <v>0</v>
      </c>
      <c r="CN4" s="93">
        <v>0</v>
      </c>
      <c r="CO4" s="93">
        <v>0</v>
      </c>
      <c r="CP4" s="93">
        <v>0</v>
      </c>
      <c r="CQ4" s="93">
        <v>0</v>
      </c>
      <c r="CR4" s="93">
        <v>0</v>
      </c>
      <c r="CS4" s="93">
        <v>0</v>
      </c>
      <c r="CT4" s="93">
        <v>0</v>
      </c>
      <c r="CU4" s="93">
        <v>0</v>
      </c>
      <c r="CV4" s="93">
        <v>0</v>
      </c>
      <c r="CW4" s="93">
        <v>0</v>
      </c>
      <c r="CX4" s="93">
        <v>0</v>
      </c>
      <c r="CY4" s="93">
        <v>0</v>
      </c>
      <c r="CZ4" s="93">
        <v>0</v>
      </c>
      <c r="DA4" s="93">
        <v>0</v>
      </c>
      <c r="DB4" s="93">
        <v>0</v>
      </c>
      <c r="DC4" s="93">
        <v>0</v>
      </c>
      <c r="DD4" s="93">
        <v>0</v>
      </c>
      <c r="DE4" s="93">
        <v>0</v>
      </c>
      <c r="DF4" s="93">
        <v>0</v>
      </c>
      <c r="DG4" s="93">
        <v>0</v>
      </c>
      <c r="DH4" s="93">
        <v>0</v>
      </c>
      <c r="DI4" s="93">
        <v>0</v>
      </c>
      <c r="DJ4" s="93">
        <v>0</v>
      </c>
      <c r="DK4" s="93">
        <v>0</v>
      </c>
      <c r="DL4" s="93">
        <v>0</v>
      </c>
      <c r="DM4" s="93">
        <v>0</v>
      </c>
      <c r="DN4" s="93">
        <v>0</v>
      </c>
      <c r="DO4" s="93">
        <v>0</v>
      </c>
      <c r="DP4" s="93">
        <v>0</v>
      </c>
      <c r="DQ4" s="93">
        <v>0</v>
      </c>
      <c r="DR4" s="93">
        <v>0</v>
      </c>
      <c r="DS4" s="93">
        <v>0</v>
      </c>
      <c r="DT4" s="93">
        <v>0</v>
      </c>
      <c r="DU4" s="93">
        <v>0</v>
      </c>
      <c r="DV4" s="93">
        <v>0</v>
      </c>
      <c r="DW4" s="93">
        <v>0</v>
      </c>
      <c r="DX4" s="93">
        <v>0</v>
      </c>
      <c r="DY4" s="93">
        <v>0</v>
      </c>
      <c r="DZ4" s="93">
        <v>0</v>
      </c>
      <c r="EA4" s="93">
        <v>0</v>
      </c>
      <c r="EB4" s="93">
        <v>0</v>
      </c>
      <c r="EC4" s="93">
        <v>0</v>
      </c>
      <c r="ED4" s="93">
        <v>0</v>
      </c>
      <c r="EE4" s="93">
        <v>0</v>
      </c>
      <c r="EF4" s="93">
        <v>0</v>
      </c>
      <c r="EG4" s="93">
        <v>0</v>
      </c>
      <c r="EH4" s="93">
        <v>0</v>
      </c>
      <c r="EI4" s="93">
        <v>0</v>
      </c>
      <c r="EJ4" s="93">
        <v>0</v>
      </c>
      <c r="EK4" s="93">
        <v>0</v>
      </c>
      <c r="EL4" s="93">
        <v>0</v>
      </c>
      <c r="EM4" s="93">
        <v>0</v>
      </c>
      <c r="EN4" s="93">
        <v>0</v>
      </c>
      <c r="EO4" s="93">
        <v>0</v>
      </c>
      <c r="EP4" s="93">
        <v>0</v>
      </c>
      <c r="EQ4" s="93">
        <v>0</v>
      </c>
      <c r="ER4" s="93">
        <v>0</v>
      </c>
      <c r="ES4" s="93">
        <v>0</v>
      </c>
      <c r="ET4" s="93">
        <v>0</v>
      </c>
      <c r="EU4" s="93">
        <v>0</v>
      </c>
      <c r="EV4" s="93">
        <v>0</v>
      </c>
      <c r="EW4" s="93">
        <v>0</v>
      </c>
      <c r="EX4" s="93">
        <v>0</v>
      </c>
      <c r="EY4" s="93">
        <v>0</v>
      </c>
      <c r="EZ4" s="93">
        <v>0</v>
      </c>
      <c r="FA4" s="93">
        <v>0</v>
      </c>
      <c r="FB4" s="93">
        <v>0</v>
      </c>
      <c r="FC4" s="93">
        <v>0</v>
      </c>
      <c r="FD4" s="93">
        <v>0</v>
      </c>
      <c r="FE4" s="93">
        <v>0</v>
      </c>
      <c r="FF4" s="93">
        <v>0</v>
      </c>
      <c r="FG4" s="93">
        <v>0</v>
      </c>
      <c r="FH4" s="93">
        <v>0</v>
      </c>
      <c r="FI4" s="93">
        <v>0</v>
      </c>
      <c r="FJ4" s="93">
        <v>0</v>
      </c>
      <c r="FK4" s="93">
        <v>0</v>
      </c>
      <c r="FL4" s="93">
        <v>0</v>
      </c>
      <c r="FM4" s="93">
        <v>0</v>
      </c>
      <c r="FN4" s="93">
        <v>0</v>
      </c>
      <c r="FO4" s="93">
        <v>0</v>
      </c>
    </row>
    <row r="5" spans="1:171" x14ac:dyDescent="0.2">
      <c r="A5" s="120" t="s">
        <v>285</v>
      </c>
      <c r="B5" s="121"/>
      <c r="C5" s="93">
        <v>163.94</v>
      </c>
      <c r="D5" s="93">
        <v>283.5172</v>
      </c>
      <c r="E5" s="93">
        <v>82.439099999999996</v>
      </c>
      <c r="F5" s="93">
        <v>648.00689999999997</v>
      </c>
      <c r="G5" s="93">
        <v>280.8184</v>
      </c>
      <c r="H5" s="93">
        <v>201.14840000000001</v>
      </c>
      <c r="I5" s="93">
        <v>286.48469999999998</v>
      </c>
      <c r="J5" s="93">
        <v>116.5076</v>
      </c>
      <c r="K5" s="93">
        <v>522.93759999999997</v>
      </c>
      <c r="L5" s="93">
        <v>403.1277</v>
      </c>
      <c r="M5" s="93">
        <v>211.87479999999999</v>
      </c>
      <c r="N5" s="93">
        <v>250.3494</v>
      </c>
      <c r="O5" s="93">
        <v>245.32490000000001</v>
      </c>
      <c r="P5" s="93">
        <v>427.52780000000001</v>
      </c>
      <c r="Q5" s="93">
        <v>759.01480000000004</v>
      </c>
      <c r="R5" s="93">
        <v>2848.8485999999998</v>
      </c>
      <c r="S5" s="93">
        <v>601.13570000000004</v>
      </c>
      <c r="T5" s="93">
        <v>138.6104</v>
      </c>
      <c r="U5" s="93">
        <v>229.5864</v>
      </c>
      <c r="V5" s="93">
        <v>372.88159999999999</v>
      </c>
      <c r="W5" s="93">
        <v>334.74680000000001</v>
      </c>
      <c r="X5" s="93">
        <v>139.22970000000001</v>
      </c>
      <c r="Y5" s="93">
        <v>553.77160000000003</v>
      </c>
      <c r="Z5" s="93">
        <v>2165.6590999999999</v>
      </c>
      <c r="AA5" s="93">
        <v>263.20150000000001</v>
      </c>
      <c r="AB5" s="93">
        <v>366.77879999999999</v>
      </c>
      <c r="AC5" s="93">
        <v>154.7825</v>
      </c>
      <c r="AD5" s="93">
        <v>196.5932</v>
      </c>
      <c r="AE5" s="93">
        <v>138.76830000000001</v>
      </c>
      <c r="AF5" s="93">
        <v>158.38460000000001</v>
      </c>
      <c r="AG5" s="93">
        <v>630.60310000000004</v>
      </c>
      <c r="AH5" s="93">
        <v>259.62049999999999</v>
      </c>
      <c r="AI5" s="93">
        <v>539.76340000000005</v>
      </c>
      <c r="AJ5" s="93">
        <v>528.10379999999998</v>
      </c>
      <c r="AK5" s="93">
        <v>168.44839999999999</v>
      </c>
      <c r="AL5" s="93">
        <v>320.93529999999998</v>
      </c>
      <c r="AM5" s="93">
        <v>930.64869999999996</v>
      </c>
      <c r="AN5" s="93">
        <v>306.33940000000001</v>
      </c>
      <c r="AO5" s="93">
        <v>171.3399</v>
      </c>
      <c r="AP5" s="93">
        <v>214.60749999999999</v>
      </c>
      <c r="AQ5" s="93">
        <v>1638.2602999999999</v>
      </c>
      <c r="AR5" s="93">
        <v>127.2822</v>
      </c>
      <c r="AS5" s="93">
        <v>786.84249999999997</v>
      </c>
      <c r="AT5" s="93">
        <v>461.31569999999999</v>
      </c>
      <c r="AU5" s="93">
        <v>38.347299999999997</v>
      </c>
      <c r="AV5" s="93">
        <v>58.991300000000003</v>
      </c>
      <c r="AW5" s="93">
        <v>105.8143</v>
      </c>
      <c r="AX5" s="93">
        <v>153.85220000000001</v>
      </c>
      <c r="AY5" s="93">
        <v>192.66900000000001</v>
      </c>
      <c r="AZ5" s="93">
        <v>72.743700000000004</v>
      </c>
      <c r="BA5" s="93">
        <v>192.00790000000001</v>
      </c>
      <c r="BB5" s="93">
        <v>141.3323</v>
      </c>
      <c r="BC5" s="93">
        <v>172.3913</v>
      </c>
      <c r="BD5" s="93">
        <v>142.62889999999999</v>
      </c>
      <c r="BE5" s="93">
        <v>302.30070000000001</v>
      </c>
      <c r="BF5" s="93">
        <v>928.21370000000002</v>
      </c>
      <c r="BG5" s="93">
        <v>96.749899999999997</v>
      </c>
      <c r="BH5" s="93">
        <v>793.98400000000004</v>
      </c>
      <c r="BI5" s="93">
        <v>1766.5820000000001</v>
      </c>
      <c r="BJ5" s="93">
        <v>2731.7505000000001</v>
      </c>
      <c r="BK5" s="93">
        <v>685.13109999999995</v>
      </c>
      <c r="BL5" s="93">
        <v>8917.6133000000009</v>
      </c>
      <c r="BM5" s="93">
        <v>3729.8526000000002</v>
      </c>
      <c r="BN5" s="93">
        <v>7706.5734000000002</v>
      </c>
      <c r="BO5" s="93">
        <v>12136.489</v>
      </c>
      <c r="BP5" s="93">
        <v>5415.7138000000004</v>
      </c>
      <c r="BQ5" s="93">
        <v>681.41049999999996</v>
      </c>
      <c r="BR5" s="93">
        <v>127.70869999999999</v>
      </c>
      <c r="BS5" s="93">
        <v>6148.9087</v>
      </c>
      <c r="BT5" s="93">
        <v>1905.9585999999999</v>
      </c>
      <c r="BU5" s="93">
        <v>1082.7887000000001</v>
      </c>
      <c r="BV5" s="93">
        <v>851.07979999999998</v>
      </c>
      <c r="BW5" s="93">
        <v>622.24900000000002</v>
      </c>
      <c r="BX5" s="93">
        <v>176.18379999999999</v>
      </c>
      <c r="BY5" s="93">
        <v>940.58870000000002</v>
      </c>
      <c r="BZ5" s="93">
        <v>585.52189999999996</v>
      </c>
      <c r="CA5" s="93">
        <v>732.46420000000001</v>
      </c>
      <c r="CB5" s="93">
        <v>161.8287</v>
      </c>
      <c r="CC5" s="93">
        <v>290.428</v>
      </c>
      <c r="CD5" s="93">
        <v>253.0676</v>
      </c>
      <c r="CE5" s="93">
        <v>1510.8676</v>
      </c>
      <c r="CF5" s="93">
        <v>192.0368</v>
      </c>
      <c r="CG5" s="93">
        <v>375.27510000000001</v>
      </c>
      <c r="CH5" s="93">
        <v>273.74599999999998</v>
      </c>
      <c r="CI5" s="93">
        <v>457.94380000000001</v>
      </c>
      <c r="CJ5" s="93">
        <v>105.9204</v>
      </c>
      <c r="CK5" s="93">
        <v>147.90899999999999</v>
      </c>
      <c r="CL5" s="93">
        <v>277.80459999999999</v>
      </c>
      <c r="CM5" s="93">
        <v>196.614</v>
      </c>
      <c r="CN5" s="93">
        <v>236.3143</v>
      </c>
      <c r="CO5" s="93">
        <v>153.90459999999999</v>
      </c>
      <c r="CP5" s="93">
        <v>382.98450000000003</v>
      </c>
      <c r="CQ5" s="93">
        <v>372.73320000000001</v>
      </c>
      <c r="CR5" s="93">
        <v>427.42270000000002</v>
      </c>
      <c r="CS5" s="93">
        <v>155.09620000000001</v>
      </c>
      <c r="CT5" s="93">
        <v>475.20679999999999</v>
      </c>
      <c r="CU5" s="93">
        <v>210.79230000000001</v>
      </c>
      <c r="CV5" s="93">
        <v>199.51079999999999</v>
      </c>
      <c r="CW5" s="93">
        <v>551.48879999999997</v>
      </c>
      <c r="CX5" s="93">
        <v>268.1773</v>
      </c>
      <c r="CY5" s="93">
        <v>118.6448</v>
      </c>
      <c r="CZ5" s="93">
        <v>84.989500000000007</v>
      </c>
      <c r="DA5" s="93">
        <v>170.84229999999999</v>
      </c>
      <c r="DB5" s="93">
        <v>329.04509999999999</v>
      </c>
      <c r="DC5" s="93">
        <v>295.5804</v>
      </c>
      <c r="DD5" s="93">
        <v>293.04410000000001</v>
      </c>
      <c r="DE5" s="93">
        <v>183.41720000000001</v>
      </c>
      <c r="DF5" s="93">
        <v>324.97469999999998</v>
      </c>
      <c r="DG5" s="93">
        <v>337.33150000000001</v>
      </c>
      <c r="DH5" s="93">
        <v>73.105000000000004</v>
      </c>
      <c r="DI5" s="93">
        <v>334.36660000000001</v>
      </c>
      <c r="DJ5" s="93">
        <v>905.22159999999997</v>
      </c>
      <c r="DK5" s="93">
        <v>590.15589999999997</v>
      </c>
      <c r="DL5" s="93">
        <v>89.114500000000007</v>
      </c>
      <c r="DM5" s="93">
        <v>488.53879999999998</v>
      </c>
      <c r="DN5" s="93">
        <v>542.05889999999999</v>
      </c>
      <c r="DO5" s="93">
        <v>369.29840000000002</v>
      </c>
      <c r="DP5" s="93">
        <v>249.32749999999999</v>
      </c>
      <c r="DQ5" s="93">
        <v>363.09019999999998</v>
      </c>
      <c r="DR5" s="93">
        <v>365.06139999999999</v>
      </c>
      <c r="DS5" s="93">
        <v>155.04150000000001</v>
      </c>
      <c r="DT5" s="93">
        <v>131.5369</v>
      </c>
      <c r="DU5" s="93">
        <v>802.11919999999998</v>
      </c>
      <c r="DV5" s="93">
        <v>210.43700000000001</v>
      </c>
      <c r="DW5" s="93">
        <v>278.99020000000002</v>
      </c>
      <c r="DX5" s="93">
        <v>125.55500000000001</v>
      </c>
      <c r="DY5" s="93">
        <v>382.55590000000001</v>
      </c>
      <c r="DZ5" s="93">
        <v>336.93060000000003</v>
      </c>
      <c r="EA5" s="93">
        <v>253.8527</v>
      </c>
      <c r="EB5" s="93">
        <v>324.70409999999998</v>
      </c>
      <c r="EC5" s="93">
        <v>168.37960000000001</v>
      </c>
      <c r="ED5" s="93">
        <v>257.0702</v>
      </c>
      <c r="EE5" s="93">
        <v>88.761200000000002</v>
      </c>
      <c r="EF5" s="93">
        <v>318.53219999999999</v>
      </c>
      <c r="EG5" s="93">
        <v>311.55169999999998</v>
      </c>
      <c r="EH5" s="93">
        <v>160.82740000000001</v>
      </c>
      <c r="EI5" s="93">
        <v>93.554100000000005</v>
      </c>
      <c r="EJ5" s="93">
        <v>411.6148</v>
      </c>
      <c r="EK5" s="93">
        <v>195.61449999999999</v>
      </c>
      <c r="EL5" s="93">
        <v>232.31809999999999</v>
      </c>
      <c r="EM5" s="93">
        <v>360.00470000000001</v>
      </c>
      <c r="EN5" s="93">
        <v>439.88560000000001</v>
      </c>
      <c r="EO5" s="93">
        <v>298.47620000000001</v>
      </c>
      <c r="EP5" s="93">
        <v>338.70600000000002</v>
      </c>
      <c r="EQ5" s="93">
        <v>143.1952</v>
      </c>
      <c r="ER5" s="93">
        <v>164.05099999999999</v>
      </c>
      <c r="ES5" s="93">
        <v>171.8006</v>
      </c>
      <c r="ET5" s="93">
        <v>146.4118</v>
      </c>
      <c r="EU5" s="93">
        <v>258.21469999999999</v>
      </c>
      <c r="EV5" s="93">
        <v>222.4248</v>
      </c>
      <c r="EW5" s="93">
        <v>212.54929999999999</v>
      </c>
      <c r="EX5" s="93">
        <v>391.59449999999998</v>
      </c>
      <c r="EY5" s="93">
        <v>855.71019999999999</v>
      </c>
      <c r="EZ5" s="93">
        <v>494.77870000000001</v>
      </c>
      <c r="FA5" s="93">
        <v>140.8689</v>
      </c>
      <c r="FB5" s="93">
        <v>125.25879999999999</v>
      </c>
      <c r="FC5" s="93">
        <v>266.43869999999998</v>
      </c>
      <c r="FD5" s="93">
        <v>120.0809</v>
      </c>
      <c r="FE5" s="93">
        <v>161.00200000000001</v>
      </c>
      <c r="FF5" s="93">
        <v>201.64320000000001</v>
      </c>
      <c r="FG5" s="93">
        <v>120.9406</v>
      </c>
      <c r="FH5" s="93">
        <v>286.90660000000003</v>
      </c>
      <c r="FI5" s="93">
        <v>236.1216</v>
      </c>
      <c r="FJ5" s="93">
        <v>380.33300000000003</v>
      </c>
      <c r="FK5" s="93">
        <v>403.07530000000003</v>
      </c>
      <c r="FL5" s="93">
        <v>496.20490000000001</v>
      </c>
      <c r="FM5" s="93">
        <v>399.73649999999998</v>
      </c>
      <c r="FN5" s="93">
        <v>539.39179999999999</v>
      </c>
      <c r="FO5" s="93">
        <v>174.5205</v>
      </c>
    </row>
    <row r="6" spans="1:171" x14ac:dyDescent="0.2">
      <c r="A6" s="120" t="s">
        <v>47</v>
      </c>
      <c r="B6" s="121"/>
      <c r="C6" s="93">
        <v>11.822100000000001</v>
      </c>
      <c r="D6" s="93">
        <v>16.9206</v>
      </c>
      <c r="E6" s="93">
        <v>27.727399999999999</v>
      </c>
      <c r="F6" s="93">
        <v>83.189700000000002</v>
      </c>
      <c r="G6" s="93">
        <v>15.061</v>
      </c>
      <c r="H6" s="93">
        <v>3.5924</v>
      </c>
      <c r="I6" s="93">
        <v>16.499600000000001</v>
      </c>
      <c r="J6" s="93">
        <v>7.2061999999999999</v>
      </c>
      <c r="K6" s="93">
        <v>14.3992</v>
      </c>
      <c r="L6" s="93">
        <v>25.043299999999999</v>
      </c>
      <c r="M6" s="93">
        <v>17.8322</v>
      </c>
      <c r="N6" s="93">
        <v>3.7681</v>
      </c>
      <c r="O6" s="93">
        <v>13.519</v>
      </c>
      <c r="P6" s="93">
        <v>18.842600000000001</v>
      </c>
      <c r="Q6" s="93">
        <v>139.29679999999999</v>
      </c>
      <c r="R6" s="93">
        <v>70.452799999999996</v>
      </c>
      <c r="S6" s="93">
        <v>31.434699999999999</v>
      </c>
      <c r="T6" s="93">
        <v>16.121099999999998</v>
      </c>
      <c r="U6" s="93">
        <v>21.939800000000002</v>
      </c>
      <c r="V6" s="93">
        <v>61.037399999999998</v>
      </c>
      <c r="W6" s="93">
        <v>11.642899999999999</v>
      </c>
      <c r="X6" s="93">
        <v>2.1827999999999999</v>
      </c>
      <c r="Y6" s="93">
        <v>21.231000000000002</v>
      </c>
      <c r="Z6" s="93">
        <v>28.305399999999999</v>
      </c>
      <c r="AA6" s="93">
        <v>13.364000000000001</v>
      </c>
      <c r="AB6" s="93">
        <v>12.837999999999999</v>
      </c>
      <c r="AC6" s="93">
        <v>11.068199999999999</v>
      </c>
      <c r="AD6" s="93">
        <v>19.173999999999999</v>
      </c>
      <c r="AE6" s="93">
        <v>10.4122</v>
      </c>
      <c r="AF6" s="93">
        <v>5.7430000000000003</v>
      </c>
      <c r="AG6" s="93">
        <v>22.300799999999999</v>
      </c>
      <c r="AH6" s="93">
        <v>52.487000000000002</v>
      </c>
      <c r="AI6" s="93">
        <v>10.036899999999999</v>
      </c>
      <c r="AJ6" s="93">
        <v>29.683800000000002</v>
      </c>
      <c r="AK6" s="93">
        <v>17.601600000000001</v>
      </c>
      <c r="AL6" s="93">
        <v>29.066199999999998</v>
      </c>
      <c r="AM6" s="93">
        <v>16.6449</v>
      </c>
      <c r="AN6" s="93">
        <v>16.096299999999999</v>
      </c>
      <c r="AO6" s="93">
        <v>39.964300000000001</v>
      </c>
      <c r="AP6" s="93">
        <v>15.8636</v>
      </c>
      <c r="AQ6" s="93">
        <v>240.45670000000001</v>
      </c>
      <c r="AR6" s="93">
        <v>6.8262999999999998</v>
      </c>
      <c r="AS6" s="93">
        <v>7.6211000000000002</v>
      </c>
      <c r="AT6" s="93">
        <v>6.3453999999999997</v>
      </c>
      <c r="AU6" s="93">
        <v>4.4819000000000004</v>
      </c>
      <c r="AV6" s="93">
        <v>10.8881</v>
      </c>
      <c r="AW6" s="93">
        <v>7.0282999999999998</v>
      </c>
      <c r="AX6" s="93">
        <v>8.0480999999999998</v>
      </c>
      <c r="AY6" s="93">
        <v>20.4101</v>
      </c>
      <c r="AZ6" s="93">
        <v>13.6637</v>
      </c>
      <c r="BA6" s="93">
        <v>12.404</v>
      </c>
      <c r="BB6" s="93">
        <v>20.528300000000002</v>
      </c>
      <c r="BC6" s="93">
        <v>41.860700000000001</v>
      </c>
      <c r="BD6" s="93">
        <v>10.1099</v>
      </c>
      <c r="BE6" s="93">
        <v>7.7632000000000003</v>
      </c>
      <c r="BF6" s="93">
        <v>27.847000000000001</v>
      </c>
      <c r="BG6" s="93">
        <v>32.586300000000001</v>
      </c>
      <c r="BH6" s="93">
        <v>18.297999999999998</v>
      </c>
      <c r="BI6" s="93">
        <v>12.715999999999999</v>
      </c>
      <c r="BJ6" s="93">
        <v>26.143000000000001</v>
      </c>
      <c r="BK6" s="93">
        <v>71.554500000000004</v>
      </c>
      <c r="BL6" s="93">
        <v>16.082799999999999</v>
      </c>
      <c r="BM6" s="93">
        <v>3.5221</v>
      </c>
      <c r="BN6" s="93">
        <v>9.0527999999999995</v>
      </c>
      <c r="BO6" s="93">
        <v>127.2653</v>
      </c>
      <c r="BP6" s="93">
        <v>17.814900000000002</v>
      </c>
      <c r="BQ6" s="93">
        <v>18.976099999999999</v>
      </c>
      <c r="BR6" s="93">
        <v>14.9496</v>
      </c>
      <c r="BS6" s="93">
        <v>5.2110000000000003</v>
      </c>
      <c r="BT6" s="93">
        <v>14.888500000000001</v>
      </c>
      <c r="BU6" s="93">
        <v>17.174700000000001</v>
      </c>
      <c r="BV6" s="93">
        <v>9.0585000000000004</v>
      </c>
      <c r="BW6" s="93">
        <v>101.0248</v>
      </c>
      <c r="BX6" s="93">
        <v>53.303600000000003</v>
      </c>
      <c r="BY6" s="93">
        <v>9.1341999999999999</v>
      </c>
      <c r="BZ6" s="93">
        <v>9.3717000000000006</v>
      </c>
      <c r="CA6" s="93">
        <v>12.270200000000001</v>
      </c>
      <c r="CB6" s="93">
        <v>9.2517999999999994</v>
      </c>
      <c r="CC6" s="93">
        <v>19.4374</v>
      </c>
      <c r="CD6" s="93">
        <v>13.122</v>
      </c>
      <c r="CE6" s="93">
        <v>45.754199999999997</v>
      </c>
      <c r="CF6" s="93">
        <v>10.7605</v>
      </c>
      <c r="CG6" s="93">
        <v>33.705300000000001</v>
      </c>
      <c r="CH6" s="93">
        <v>56.845199999999998</v>
      </c>
      <c r="CI6" s="93">
        <v>26.964400000000001</v>
      </c>
      <c r="CJ6" s="93">
        <v>12.935</v>
      </c>
      <c r="CK6" s="93">
        <v>7.2122000000000002</v>
      </c>
      <c r="CL6" s="93">
        <v>19.122199999999999</v>
      </c>
      <c r="CM6" s="93">
        <v>32.2059</v>
      </c>
      <c r="CN6" s="93">
        <v>32.656999999999996</v>
      </c>
      <c r="CO6" s="93">
        <v>8.5905000000000005</v>
      </c>
      <c r="CP6" s="93">
        <v>23.5837</v>
      </c>
      <c r="CQ6" s="93">
        <v>50.906399999999998</v>
      </c>
      <c r="CR6" s="93">
        <v>35.784599999999998</v>
      </c>
      <c r="CS6" s="93">
        <v>15.1547</v>
      </c>
      <c r="CT6" s="93">
        <v>15.619400000000001</v>
      </c>
      <c r="CU6" s="93">
        <v>16.9344</v>
      </c>
      <c r="CV6" s="93">
        <v>20.809100000000001</v>
      </c>
      <c r="CW6" s="93">
        <v>17.506799999999998</v>
      </c>
      <c r="CX6" s="93">
        <v>46.929699999999997</v>
      </c>
      <c r="CY6" s="93">
        <v>15.4323</v>
      </c>
      <c r="CZ6" s="93">
        <v>8.2826000000000004</v>
      </c>
      <c r="DA6" s="93">
        <v>16.814</v>
      </c>
      <c r="DB6" s="93">
        <v>7.4721000000000002</v>
      </c>
      <c r="DC6" s="93">
        <v>14.5501</v>
      </c>
      <c r="DD6" s="93">
        <v>7.4824999999999999</v>
      </c>
      <c r="DE6" s="93">
        <v>59.584499999999998</v>
      </c>
      <c r="DF6" s="93">
        <v>3.4817999999999998</v>
      </c>
      <c r="DG6" s="93">
        <v>26.6281</v>
      </c>
      <c r="DH6" s="93">
        <v>6.4904999999999999</v>
      </c>
      <c r="DI6" s="93">
        <v>30.642600000000002</v>
      </c>
      <c r="DJ6" s="93">
        <v>36.163200000000003</v>
      </c>
      <c r="DK6" s="93">
        <v>76.944500000000005</v>
      </c>
      <c r="DL6" s="93">
        <v>8.9911999999999992</v>
      </c>
      <c r="DM6" s="93">
        <v>20.447199999999999</v>
      </c>
      <c r="DN6" s="93">
        <v>14.390700000000001</v>
      </c>
      <c r="DO6" s="93">
        <v>9.5152999999999999</v>
      </c>
      <c r="DP6" s="93">
        <v>38.0002</v>
      </c>
      <c r="DQ6" s="93">
        <v>11.2613</v>
      </c>
      <c r="DR6" s="93">
        <v>9.4237000000000002</v>
      </c>
      <c r="DS6" s="93">
        <v>40.808</v>
      </c>
      <c r="DT6" s="93">
        <v>20.380400000000002</v>
      </c>
      <c r="DU6" s="93">
        <v>5.1031000000000004</v>
      </c>
      <c r="DV6" s="93">
        <v>22.076499999999999</v>
      </c>
      <c r="DW6" s="93">
        <v>26.4008</v>
      </c>
      <c r="DX6" s="93">
        <v>35.412100000000002</v>
      </c>
      <c r="DY6" s="93">
        <v>37.916600000000003</v>
      </c>
      <c r="DZ6" s="93">
        <v>13.712999999999999</v>
      </c>
      <c r="EA6" s="93">
        <v>16.447199999999999</v>
      </c>
      <c r="EB6" s="93">
        <v>15.2187</v>
      </c>
      <c r="EC6" s="93">
        <v>8.9077999999999999</v>
      </c>
      <c r="ED6" s="93">
        <v>35.717700000000001</v>
      </c>
      <c r="EE6" s="93">
        <v>9.5105000000000004</v>
      </c>
      <c r="EF6" s="93">
        <v>13.0969</v>
      </c>
      <c r="EG6" s="93">
        <v>32.858499999999999</v>
      </c>
      <c r="EH6" s="93">
        <v>8.5184999999999995</v>
      </c>
      <c r="EI6" s="93">
        <v>17.241099999999999</v>
      </c>
      <c r="EJ6" s="93">
        <v>53.1111</v>
      </c>
      <c r="EK6" s="93">
        <v>7.1275000000000004</v>
      </c>
      <c r="EL6" s="93">
        <v>25.4072</v>
      </c>
      <c r="EM6" s="93">
        <v>69.897000000000006</v>
      </c>
      <c r="EN6" s="93">
        <v>7.9252000000000002</v>
      </c>
      <c r="EO6" s="93">
        <v>6.0175000000000001</v>
      </c>
      <c r="EP6" s="93">
        <v>78.286500000000004</v>
      </c>
      <c r="EQ6" s="93">
        <v>13.108599999999999</v>
      </c>
      <c r="ER6" s="93">
        <v>12.5778</v>
      </c>
      <c r="ES6" s="93">
        <v>9.1732999999999993</v>
      </c>
      <c r="ET6" s="93">
        <v>13.819800000000001</v>
      </c>
      <c r="EU6" s="93">
        <v>20.089400000000001</v>
      </c>
      <c r="EV6" s="93">
        <v>13.858700000000001</v>
      </c>
      <c r="EW6" s="93">
        <v>30.070399999999999</v>
      </c>
      <c r="EX6" s="93">
        <v>18.130800000000001</v>
      </c>
      <c r="EY6" s="93">
        <v>200.46729999999999</v>
      </c>
      <c r="EZ6" s="93">
        <v>16.160900000000002</v>
      </c>
      <c r="FA6" s="93">
        <v>4.194</v>
      </c>
      <c r="FB6" s="93">
        <v>14.811500000000001</v>
      </c>
      <c r="FC6" s="93">
        <v>20.1295</v>
      </c>
      <c r="FD6" s="93">
        <v>11.796099999999999</v>
      </c>
      <c r="FE6" s="93">
        <v>9.7637999999999998</v>
      </c>
      <c r="FF6" s="93">
        <v>31.636199999999999</v>
      </c>
      <c r="FG6" s="93">
        <v>9.1905000000000001</v>
      </c>
      <c r="FH6" s="93">
        <v>19.287299999999998</v>
      </c>
      <c r="FI6" s="93">
        <v>4.2365000000000004</v>
      </c>
      <c r="FJ6" s="93">
        <v>24.880299999999998</v>
      </c>
      <c r="FK6" s="93">
        <v>71.284800000000004</v>
      </c>
      <c r="FL6" s="93">
        <v>26.423100000000002</v>
      </c>
      <c r="FM6" s="93">
        <v>47.642000000000003</v>
      </c>
      <c r="FN6" s="93">
        <v>42.036799999999999</v>
      </c>
      <c r="FO6" s="93">
        <v>10.014699999999999</v>
      </c>
    </row>
    <row r="7" spans="1:171" x14ac:dyDescent="0.2">
      <c r="A7" s="120" t="s">
        <v>46</v>
      </c>
      <c r="B7" s="121"/>
      <c r="C7" s="93">
        <v>14.894600000000001</v>
      </c>
      <c r="D7" s="93">
        <v>13.5411</v>
      </c>
      <c r="E7" s="93">
        <v>29.860499999999998</v>
      </c>
      <c r="F7" s="93">
        <v>118.73439999999999</v>
      </c>
      <c r="G7" s="93">
        <v>13.1144</v>
      </c>
      <c r="H7" s="93">
        <v>3.6789000000000001</v>
      </c>
      <c r="I7" s="93">
        <v>21.8019</v>
      </c>
      <c r="J7" s="93">
        <v>5.6253000000000002</v>
      </c>
      <c r="K7" s="93">
        <v>15.2867</v>
      </c>
      <c r="L7" s="93">
        <v>50.195999999999998</v>
      </c>
      <c r="M7" s="93">
        <v>20.441500000000001</v>
      </c>
      <c r="N7" s="93">
        <v>2.2231000000000001</v>
      </c>
      <c r="O7" s="93">
        <v>12.133599999999999</v>
      </c>
      <c r="P7" s="93">
        <v>20.646899999999999</v>
      </c>
      <c r="Q7" s="93">
        <v>120.00879999999999</v>
      </c>
      <c r="R7" s="93">
        <v>89.055999999999997</v>
      </c>
      <c r="S7" s="93">
        <v>43.314999999999998</v>
      </c>
      <c r="T7" s="93">
        <v>14.259399999999999</v>
      </c>
      <c r="U7" s="93">
        <v>28.747399999999999</v>
      </c>
      <c r="V7" s="93">
        <v>101.4849</v>
      </c>
      <c r="W7" s="93">
        <v>20.0547</v>
      </c>
      <c r="X7" s="93">
        <v>3.6686000000000001</v>
      </c>
      <c r="Y7" s="93">
        <v>21.437100000000001</v>
      </c>
      <c r="Z7" s="93">
        <v>50.665999999999997</v>
      </c>
      <c r="AA7" s="93">
        <v>16.709499999999998</v>
      </c>
      <c r="AB7" s="93">
        <v>11.7348</v>
      </c>
      <c r="AC7" s="93">
        <v>13.8591</v>
      </c>
      <c r="AD7" s="93">
        <v>14.166700000000001</v>
      </c>
      <c r="AE7" s="93">
        <v>13.2502</v>
      </c>
      <c r="AF7" s="93">
        <v>11.026899999999999</v>
      </c>
      <c r="AG7" s="93">
        <v>19.200500000000002</v>
      </c>
      <c r="AH7" s="93">
        <v>39.022599999999997</v>
      </c>
      <c r="AI7" s="93">
        <v>9.2684999999999995</v>
      </c>
      <c r="AJ7" s="93">
        <v>9.6123999999999992</v>
      </c>
      <c r="AK7" s="93">
        <v>7.4189999999999996</v>
      </c>
      <c r="AL7" s="93">
        <v>50.210900000000002</v>
      </c>
      <c r="AM7" s="93">
        <v>15.862399999999999</v>
      </c>
      <c r="AN7" s="93">
        <v>11.729100000000001</v>
      </c>
      <c r="AO7" s="93">
        <v>31.910499999999999</v>
      </c>
      <c r="AP7" s="93">
        <v>12.4481</v>
      </c>
      <c r="AQ7" s="93">
        <v>172.52109999999999</v>
      </c>
      <c r="AR7" s="93">
        <v>5.6707000000000001</v>
      </c>
      <c r="AS7" s="93">
        <v>9.1172000000000004</v>
      </c>
      <c r="AT7" s="93">
        <v>7.8876999999999997</v>
      </c>
      <c r="AU7" s="93">
        <v>2.5236000000000001</v>
      </c>
      <c r="AV7" s="93">
        <v>6.2720000000000002</v>
      </c>
      <c r="AW7" s="93">
        <v>5.4280999999999997</v>
      </c>
      <c r="AX7" s="93">
        <v>6.3742000000000001</v>
      </c>
      <c r="AY7" s="93">
        <v>48.916499999999999</v>
      </c>
      <c r="AZ7" s="93">
        <v>13.6449</v>
      </c>
      <c r="BA7" s="93">
        <v>16.180199999999999</v>
      </c>
      <c r="BB7" s="93">
        <v>24.043900000000001</v>
      </c>
      <c r="BC7" s="93">
        <v>37.792200000000001</v>
      </c>
      <c r="BD7" s="93">
        <v>8.5909999999999993</v>
      </c>
      <c r="BE7" s="93">
        <v>10.2636</v>
      </c>
      <c r="BF7" s="93">
        <v>28.603000000000002</v>
      </c>
      <c r="BG7" s="93">
        <v>19.6371</v>
      </c>
      <c r="BH7" s="93">
        <v>13.629099999999999</v>
      </c>
      <c r="BI7" s="93">
        <v>9.8161000000000005</v>
      </c>
      <c r="BJ7" s="93">
        <v>23.6492</v>
      </c>
      <c r="BK7" s="93">
        <v>35.726399999999998</v>
      </c>
      <c r="BL7" s="93">
        <v>12.3043</v>
      </c>
      <c r="BM7" s="93">
        <v>3.3134999999999999</v>
      </c>
      <c r="BN7" s="93">
        <v>7.1304999999999996</v>
      </c>
      <c r="BO7" s="93">
        <v>109.96080000000001</v>
      </c>
      <c r="BP7" s="93">
        <v>13.642799999999999</v>
      </c>
      <c r="BQ7" s="93">
        <v>19.453800000000001</v>
      </c>
      <c r="BR7" s="93">
        <v>12.1165</v>
      </c>
      <c r="BS7" s="93">
        <v>4.8701999999999996</v>
      </c>
      <c r="BT7" s="93">
        <v>8.0300999999999991</v>
      </c>
      <c r="BU7" s="93">
        <v>12.5534</v>
      </c>
      <c r="BV7" s="93">
        <v>6.1890999999999998</v>
      </c>
      <c r="BW7" s="93">
        <v>82.567999999999998</v>
      </c>
      <c r="BX7" s="93">
        <v>35.221699999999998</v>
      </c>
      <c r="BY7" s="93">
        <v>11.936400000000001</v>
      </c>
      <c r="BZ7" s="93">
        <v>7.6139999999999999</v>
      </c>
      <c r="CA7" s="93">
        <v>11.403</v>
      </c>
      <c r="CB7" s="93">
        <v>3.8306</v>
      </c>
      <c r="CC7" s="93">
        <v>23.6203</v>
      </c>
      <c r="CD7" s="93">
        <v>13.011900000000001</v>
      </c>
      <c r="CE7" s="93">
        <v>31.5014</v>
      </c>
      <c r="CF7" s="93">
        <v>14.7591</v>
      </c>
      <c r="CG7" s="93">
        <v>27.991700000000002</v>
      </c>
      <c r="CH7" s="93">
        <v>76.306200000000004</v>
      </c>
      <c r="CI7" s="93">
        <v>62.284100000000002</v>
      </c>
      <c r="CJ7" s="93">
        <v>13.8893</v>
      </c>
      <c r="CK7" s="93">
        <v>6.5846999999999998</v>
      </c>
      <c r="CL7" s="93">
        <v>13.3607</v>
      </c>
      <c r="CM7" s="93">
        <v>24.271599999999999</v>
      </c>
      <c r="CN7" s="93">
        <v>16.9238</v>
      </c>
      <c r="CO7" s="93">
        <v>12.8972</v>
      </c>
      <c r="CP7" s="93">
        <v>19.320499999999999</v>
      </c>
      <c r="CQ7" s="93">
        <v>74.644400000000005</v>
      </c>
      <c r="CR7" s="93">
        <v>51.707900000000002</v>
      </c>
      <c r="CS7" s="93">
        <v>15.4201</v>
      </c>
      <c r="CT7" s="93">
        <v>27.537099999999999</v>
      </c>
      <c r="CU7" s="93">
        <v>11.928699999999999</v>
      </c>
      <c r="CV7" s="93">
        <v>10.9061</v>
      </c>
      <c r="CW7" s="93">
        <v>19.602599999999999</v>
      </c>
      <c r="CX7" s="93">
        <v>31.313199999999998</v>
      </c>
      <c r="CY7" s="93">
        <v>12.903499999999999</v>
      </c>
      <c r="CZ7" s="93">
        <v>6.5014000000000003</v>
      </c>
      <c r="DA7" s="93">
        <v>18.2378</v>
      </c>
      <c r="DB7" s="93">
        <v>4.1276000000000002</v>
      </c>
      <c r="DC7" s="93">
        <v>11.225300000000001</v>
      </c>
      <c r="DD7" s="93">
        <v>7.4947999999999997</v>
      </c>
      <c r="DE7" s="93">
        <v>40.749299999999998</v>
      </c>
      <c r="DF7" s="93">
        <v>2.7056</v>
      </c>
      <c r="DG7" s="93">
        <v>16.200600000000001</v>
      </c>
      <c r="DH7" s="93">
        <v>4.1040000000000001</v>
      </c>
      <c r="DI7" s="93">
        <v>35.409399999999998</v>
      </c>
      <c r="DJ7" s="93">
        <v>27.3124</v>
      </c>
      <c r="DK7" s="93">
        <v>157.7774</v>
      </c>
      <c r="DL7" s="93">
        <v>6.9292999999999996</v>
      </c>
      <c r="DM7" s="93">
        <v>25.3413</v>
      </c>
      <c r="DN7" s="93">
        <v>12.3011</v>
      </c>
      <c r="DO7" s="93">
        <v>9.1525999999999996</v>
      </c>
      <c r="DP7" s="93">
        <v>61.773499999999999</v>
      </c>
      <c r="DQ7" s="93">
        <v>14.515700000000001</v>
      </c>
      <c r="DR7" s="93">
        <v>8.2408000000000001</v>
      </c>
      <c r="DS7" s="93">
        <v>27.649899999999999</v>
      </c>
      <c r="DT7" s="93">
        <v>48.023400000000002</v>
      </c>
      <c r="DU7" s="93">
        <v>3.3332999999999999</v>
      </c>
      <c r="DV7" s="93">
        <v>15.7867</v>
      </c>
      <c r="DW7" s="93">
        <v>36.844900000000003</v>
      </c>
      <c r="DX7" s="93">
        <v>32.430900000000001</v>
      </c>
      <c r="DY7" s="93">
        <v>19.976400000000002</v>
      </c>
      <c r="DZ7" s="93">
        <v>10.4451</v>
      </c>
      <c r="EA7" s="93">
        <v>10.7378</v>
      </c>
      <c r="EB7" s="93">
        <v>15.5349</v>
      </c>
      <c r="EC7" s="93">
        <v>8.0893999999999995</v>
      </c>
      <c r="ED7" s="93">
        <v>31.7089</v>
      </c>
      <c r="EE7" s="93">
        <v>6.6436000000000002</v>
      </c>
      <c r="EF7" s="93">
        <v>15.2059</v>
      </c>
      <c r="EG7" s="93">
        <v>27.789200000000001</v>
      </c>
      <c r="EH7" s="93">
        <v>5.3994</v>
      </c>
      <c r="EI7" s="93">
        <v>9.1012000000000004</v>
      </c>
      <c r="EJ7" s="93">
        <v>63.441899999999997</v>
      </c>
      <c r="EK7" s="93">
        <v>6.2980999999999998</v>
      </c>
      <c r="EL7" s="93">
        <v>26.653400000000001</v>
      </c>
      <c r="EM7" s="93">
        <v>161.87649999999999</v>
      </c>
      <c r="EN7" s="93">
        <v>6.7846000000000002</v>
      </c>
      <c r="EO7" s="93">
        <v>5.1303000000000001</v>
      </c>
      <c r="EP7" s="93">
        <v>108.8583</v>
      </c>
      <c r="EQ7" s="93">
        <v>9.9513999999999996</v>
      </c>
      <c r="ER7" s="93">
        <v>10.684200000000001</v>
      </c>
      <c r="ES7" s="93">
        <v>8.5374999999999996</v>
      </c>
      <c r="ET7" s="93">
        <v>25.295999999999999</v>
      </c>
      <c r="EU7" s="93">
        <v>18.823399999999999</v>
      </c>
      <c r="EV7" s="93">
        <v>11.4353</v>
      </c>
      <c r="EW7" s="93">
        <v>24.167400000000001</v>
      </c>
      <c r="EX7" s="93">
        <v>17.0883</v>
      </c>
      <c r="EY7" s="93">
        <v>95.503299999999996</v>
      </c>
      <c r="EZ7" s="93">
        <v>18.012699999999999</v>
      </c>
      <c r="FA7" s="93">
        <v>2.6185</v>
      </c>
      <c r="FB7" s="93">
        <v>10.1386</v>
      </c>
      <c r="FC7" s="93">
        <v>46.309199999999997</v>
      </c>
      <c r="FD7" s="93">
        <v>8.9710000000000001</v>
      </c>
      <c r="FE7" s="93">
        <v>17.453900000000001</v>
      </c>
      <c r="FF7" s="93">
        <v>57.907200000000003</v>
      </c>
      <c r="FG7" s="93">
        <v>8.4929000000000006</v>
      </c>
      <c r="FH7" s="93">
        <v>22.2288</v>
      </c>
      <c r="FI7" s="93">
        <v>4.6405000000000003</v>
      </c>
      <c r="FJ7" s="93">
        <v>29.3263</v>
      </c>
      <c r="FK7" s="93">
        <v>89.657600000000002</v>
      </c>
      <c r="FL7" s="93">
        <v>25.238399999999999</v>
      </c>
      <c r="FM7" s="93">
        <v>23.384399999999999</v>
      </c>
      <c r="FN7" s="93">
        <v>39.168300000000002</v>
      </c>
      <c r="FO7" s="93">
        <v>17.1783</v>
      </c>
    </row>
    <row r="8" spans="1:171" x14ac:dyDescent="0.2">
      <c r="A8" s="120" t="s">
        <v>49</v>
      </c>
      <c r="B8" s="121"/>
      <c r="C8" s="93">
        <v>10.419700000000001</v>
      </c>
      <c r="D8" s="93">
        <v>4.3102</v>
      </c>
      <c r="E8" s="93">
        <v>0</v>
      </c>
      <c r="F8" s="93">
        <v>38.154299999999999</v>
      </c>
      <c r="G8" s="93">
        <v>3.3782999999999999</v>
      </c>
      <c r="H8" s="93">
        <v>1.0933999999999999</v>
      </c>
      <c r="I8" s="93">
        <v>0.80589999999999995</v>
      </c>
      <c r="J8" s="93">
        <v>0.81630000000000003</v>
      </c>
      <c r="K8" s="93">
        <v>3.2723</v>
      </c>
      <c r="L8" s="93">
        <v>10.862399999999999</v>
      </c>
      <c r="M8" s="93">
        <v>2.1265999999999998</v>
      </c>
      <c r="N8" s="93">
        <v>0.97629999999999995</v>
      </c>
      <c r="O8" s="93">
        <v>0.77229999999999999</v>
      </c>
      <c r="P8" s="93">
        <v>12.6328</v>
      </c>
      <c r="Q8" s="93">
        <v>12.978999999999999</v>
      </c>
      <c r="R8" s="93">
        <v>134.26070000000001</v>
      </c>
      <c r="S8" s="93">
        <v>7.5411000000000001</v>
      </c>
      <c r="T8" s="93">
        <v>2.3374999999999999</v>
      </c>
      <c r="U8" s="93">
        <v>11.565200000000001</v>
      </c>
      <c r="V8" s="93">
        <v>1.6504000000000001</v>
      </c>
      <c r="W8" s="93">
        <v>0.51119999999999999</v>
      </c>
      <c r="X8" s="93">
        <v>0</v>
      </c>
      <c r="Y8" s="93">
        <v>2.0720999999999998</v>
      </c>
      <c r="Z8" s="93">
        <v>2.786</v>
      </c>
      <c r="AA8" s="93">
        <v>5.8197000000000001</v>
      </c>
      <c r="AB8" s="93">
        <v>1.3526</v>
      </c>
      <c r="AC8" s="93">
        <v>6.1394000000000002</v>
      </c>
      <c r="AD8" s="93">
        <v>2.2707999999999999</v>
      </c>
      <c r="AE8" s="93">
        <v>1.4963</v>
      </c>
      <c r="AF8" s="93">
        <v>1.1904999999999999</v>
      </c>
      <c r="AG8" s="93">
        <v>4.782</v>
      </c>
      <c r="AH8" s="93">
        <v>0.50870000000000004</v>
      </c>
      <c r="AI8" s="93">
        <v>9.6950000000000003</v>
      </c>
      <c r="AJ8" s="93">
        <v>2.6221000000000001</v>
      </c>
      <c r="AK8" s="93">
        <v>0.9677</v>
      </c>
      <c r="AL8" s="93">
        <v>3.8784000000000001</v>
      </c>
      <c r="AM8" s="93">
        <v>3.6817000000000002</v>
      </c>
      <c r="AN8" s="93">
        <v>3.552</v>
      </c>
      <c r="AO8" s="93">
        <v>1.5593999999999999</v>
      </c>
      <c r="AP8" s="93">
        <v>1.5026999999999999</v>
      </c>
      <c r="AQ8" s="93">
        <v>20.777200000000001</v>
      </c>
      <c r="AR8" s="93">
        <v>1.5647</v>
      </c>
      <c r="AS8" s="93">
        <v>9.5177999999999994</v>
      </c>
      <c r="AT8" s="93">
        <v>7.9919000000000002</v>
      </c>
      <c r="AU8" s="93">
        <v>0</v>
      </c>
      <c r="AV8" s="93">
        <v>0.96230000000000004</v>
      </c>
      <c r="AW8" s="93">
        <v>1.4489000000000001</v>
      </c>
      <c r="AX8" s="93">
        <v>3.2391999999999999</v>
      </c>
      <c r="AY8" s="93">
        <v>4.6077000000000004</v>
      </c>
      <c r="AZ8" s="93">
        <v>3.2968000000000002</v>
      </c>
      <c r="BA8" s="93">
        <v>2.0467</v>
      </c>
      <c r="BB8" s="93">
        <v>1.9569000000000001</v>
      </c>
      <c r="BC8" s="93">
        <v>0.63849999999999996</v>
      </c>
      <c r="BD8" s="93">
        <v>2.7566999999999999</v>
      </c>
      <c r="BE8" s="93">
        <v>4.4820000000000002</v>
      </c>
      <c r="BF8" s="93">
        <v>13.6572</v>
      </c>
      <c r="BG8" s="93">
        <v>0.6986</v>
      </c>
      <c r="BH8" s="93">
        <v>1.8187</v>
      </c>
      <c r="BI8" s="93">
        <v>5.4786999999999999</v>
      </c>
      <c r="BJ8" s="93">
        <v>69.272099999999995</v>
      </c>
      <c r="BK8" s="93">
        <v>3.9961000000000002</v>
      </c>
      <c r="BL8" s="93">
        <v>39.046999999999997</v>
      </c>
      <c r="BM8" s="93">
        <v>27.8306</v>
      </c>
      <c r="BN8" s="93">
        <v>72.227699999999999</v>
      </c>
      <c r="BO8" s="93">
        <v>32.949199999999998</v>
      </c>
      <c r="BP8" s="93">
        <v>26.024899999999999</v>
      </c>
      <c r="BQ8" s="93">
        <v>7.8590999999999998</v>
      </c>
      <c r="BR8" s="93">
        <v>0.48649999999999999</v>
      </c>
      <c r="BS8" s="93">
        <v>14.5563</v>
      </c>
      <c r="BT8" s="93">
        <v>6.0773999999999999</v>
      </c>
      <c r="BU8" s="93">
        <v>10.4313</v>
      </c>
      <c r="BV8" s="93">
        <v>7.3491999999999997</v>
      </c>
      <c r="BW8" s="93">
        <v>8.1982999999999997</v>
      </c>
      <c r="BX8" s="93">
        <v>2.3382000000000001</v>
      </c>
      <c r="BY8" s="93">
        <v>5.7241999999999997</v>
      </c>
      <c r="BZ8" s="93">
        <v>5.8719000000000001</v>
      </c>
      <c r="CA8" s="93">
        <v>3.7008999999999999</v>
      </c>
      <c r="CB8" s="93">
        <v>4.4740000000000002</v>
      </c>
      <c r="CC8" s="93">
        <v>2.0444</v>
      </c>
      <c r="CD8" s="93">
        <v>3.2073999999999998</v>
      </c>
      <c r="CE8" s="93">
        <v>2.5619999999999998</v>
      </c>
      <c r="CF8" s="93">
        <v>3.0638000000000001</v>
      </c>
      <c r="CG8" s="93">
        <v>5.3247999999999998</v>
      </c>
      <c r="CH8" s="93">
        <v>2.9870000000000001</v>
      </c>
      <c r="CI8" s="93">
        <v>11.7058</v>
      </c>
      <c r="CJ8" s="93">
        <v>1.2695000000000001</v>
      </c>
      <c r="CK8" s="93">
        <v>0.46610000000000001</v>
      </c>
      <c r="CL8" s="93">
        <v>0.99560000000000004</v>
      </c>
      <c r="CM8" s="93">
        <v>3.7086000000000001</v>
      </c>
      <c r="CN8" s="93">
        <v>2.0802999999999998</v>
      </c>
      <c r="CO8" s="93">
        <v>0.93779999999999997</v>
      </c>
      <c r="CP8" s="93">
        <v>5.0659999999999998</v>
      </c>
      <c r="CQ8" s="93">
        <v>1.6094999999999999</v>
      </c>
      <c r="CR8" s="93">
        <v>29.775500000000001</v>
      </c>
      <c r="CS8" s="93">
        <v>0.64810000000000001</v>
      </c>
      <c r="CT8" s="93">
        <v>5.8110999999999997</v>
      </c>
      <c r="CU8" s="93">
        <v>2.3532000000000002</v>
      </c>
      <c r="CV8" s="93">
        <v>0</v>
      </c>
      <c r="CW8" s="93">
        <v>6.9488000000000003</v>
      </c>
      <c r="CX8" s="93">
        <v>4.6188000000000002</v>
      </c>
      <c r="CY8" s="93">
        <v>0.37340000000000001</v>
      </c>
      <c r="CZ8" s="93">
        <v>0</v>
      </c>
      <c r="DA8" s="93">
        <v>0</v>
      </c>
      <c r="DB8" s="93">
        <v>0.44180000000000003</v>
      </c>
      <c r="DC8" s="93">
        <v>5.2747000000000002</v>
      </c>
      <c r="DD8" s="93">
        <v>0</v>
      </c>
      <c r="DE8" s="93">
        <v>0</v>
      </c>
      <c r="DF8" s="93">
        <v>1.4136</v>
      </c>
      <c r="DG8" s="93">
        <v>8.8337000000000003</v>
      </c>
      <c r="DH8" s="93">
        <v>1.1106</v>
      </c>
      <c r="DI8" s="93">
        <v>2.8582000000000001</v>
      </c>
      <c r="DJ8" s="93">
        <v>5.0297000000000001</v>
      </c>
      <c r="DK8" s="93">
        <v>13.595700000000001</v>
      </c>
      <c r="DL8" s="93">
        <v>0.76480000000000004</v>
      </c>
      <c r="DM8" s="93">
        <v>2.4964</v>
      </c>
      <c r="DN8" s="93">
        <v>0.69079999999999997</v>
      </c>
      <c r="DO8" s="93">
        <v>0.72309999999999997</v>
      </c>
      <c r="DP8" s="93">
        <v>2.3041</v>
      </c>
      <c r="DQ8" s="93">
        <v>7.0273000000000003</v>
      </c>
      <c r="DR8" s="93">
        <v>2.0476999999999999</v>
      </c>
      <c r="DS8" s="93">
        <v>0</v>
      </c>
      <c r="DT8" s="93">
        <v>0.59950000000000003</v>
      </c>
      <c r="DU8" s="93">
        <v>3.1345000000000001</v>
      </c>
      <c r="DV8" s="93">
        <v>1.9013</v>
      </c>
      <c r="DW8" s="93">
        <v>2.2210000000000001</v>
      </c>
      <c r="DX8" s="93">
        <v>0</v>
      </c>
      <c r="DY8" s="93">
        <v>0</v>
      </c>
      <c r="DZ8" s="93">
        <v>0.34039999999999998</v>
      </c>
      <c r="EA8" s="93">
        <v>3.0325000000000002</v>
      </c>
      <c r="EB8" s="93">
        <v>4.2428999999999997</v>
      </c>
      <c r="EC8" s="93">
        <v>6.1893000000000002</v>
      </c>
      <c r="ED8" s="93">
        <v>1.4419</v>
      </c>
      <c r="EE8" s="93">
        <v>0</v>
      </c>
      <c r="EF8" s="93">
        <v>11.8925</v>
      </c>
      <c r="EG8" s="93">
        <v>11.492599999999999</v>
      </c>
      <c r="EH8" s="93">
        <v>2.3536999999999999</v>
      </c>
      <c r="EI8" s="93">
        <v>1.0416000000000001</v>
      </c>
      <c r="EJ8" s="93">
        <v>4.2760999999999996</v>
      </c>
      <c r="EK8" s="93">
        <v>0</v>
      </c>
      <c r="EL8" s="93">
        <v>1.5939000000000001</v>
      </c>
      <c r="EM8" s="93">
        <v>13.1287</v>
      </c>
      <c r="EN8" s="93">
        <v>14.970700000000001</v>
      </c>
      <c r="EO8" s="93">
        <v>4.0468999999999999</v>
      </c>
      <c r="EP8" s="93">
        <v>3.3233999999999999</v>
      </c>
      <c r="EQ8" s="93">
        <v>1.204</v>
      </c>
      <c r="ER8" s="93">
        <v>2.0146999999999999</v>
      </c>
      <c r="ES8" s="93">
        <v>1.6950000000000001</v>
      </c>
      <c r="ET8" s="93">
        <v>4.3840000000000003</v>
      </c>
      <c r="EU8" s="93">
        <v>3.4083999999999999</v>
      </c>
      <c r="EV8" s="93">
        <v>5.7804000000000002</v>
      </c>
      <c r="EW8" s="93">
        <v>4.0187999999999997</v>
      </c>
      <c r="EX8" s="93">
        <v>1.8804000000000001</v>
      </c>
      <c r="EY8" s="93">
        <v>5.5594999999999999</v>
      </c>
      <c r="EZ8" s="93">
        <v>18.764800000000001</v>
      </c>
      <c r="FA8" s="93">
        <v>0</v>
      </c>
      <c r="FB8" s="93">
        <v>1.1059000000000001</v>
      </c>
      <c r="FC8" s="93">
        <v>3.4521000000000002</v>
      </c>
      <c r="FD8" s="93">
        <v>1.8638999999999999</v>
      </c>
      <c r="FE8" s="93">
        <v>4.4146999999999998</v>
      </c>
      <c r="FF8" s="93">
        <v>1.8564000000000001</v>
      </c>
      <c r="FG8" s="93">
        <v>2.7412000000000001</v>
      </c>
      <c r="FH8" s="93">
        <v>1.9104000000000001</v>
      </c>
      <c r="FI8" s="93">
        <v>5.1783999999999999</v>
      </c>
      <c r="FJ8" s="93">
        <v>4.3091999999999997</v>
      </c>
      <c r="FK8" s="93">
        <v>0</v>
      </c>
      <c r="FL8" s="93">
        <v>4.5911</v>
      </c>
      <c r="FM8" s="93">
        <v>4.9541000000000004</v>
      </c>
      <c r="FN8" s="93">
        <v>0.81410000000000005</v>
      </c>
      <c r="FO8" s="93">
        <v>1.1140000000000001</v>
      </c>
    </row>
    <row r="9" spans="1:171" x14ac:dyDescent="0.2">
      <c r="A9" s="120" t="s">
        <v>48</v>
      </c>
      <c r="B9" s="121"/>
      <c r="C9" s="93">
        <v>12.5244</v>
      </c>
      <c r="D9" s="93">
        <v>5.6547999999999998</v>
      </c>
      <c r="E9" s="93">
        <v>0</v>
      </c>
      <c r="F9" s="93">
        <v>44.8857</v>
      </c>
      <c r="G9" s="93">
        <v>13.889699999999999</v>
      </c>
      <c r="H9" s="93">
        <v>3.7593000000000001</v>
      </c>
      <c r="I9" s="93">
        <v>0</v>
      </c>
      <c r="J9" s="93">
        <v>1.4059999999999999</v>
      </c>
      <c r="K9" s="93">
        <v>4.1764999999999999</v>
      </c>
      <c r="L9" s="93">
        <v>10.4672</v>
      </c>
      <c r="M9" s="93">
        <v>5.8072999999999997</v>
      </c>
      <c r="N9" s="93">
        <v>2.2096</v>
      </c>
      <c r="O9" s="93">
        <v>0</v>
      </c>
      <c r="P9" s="93">
        <v>15.4823</v>
      </c>
      <c r="Q9" s="93">
        <v>14.233599999999999</v>
      </c>
      <c r="R9" s="93">
        <v>172.61330000000001</v>
      </c>
      <c r="S9" s="93">
        <v>10.683999999999999</v>
      </c>
      <c r="T9" s="93">
        <v>3.2035</v>
      </c>
      <c r="U9" s="93">
        <v>9.4436999999999998</v>
      </c>
      <c r="V9" s="93">
        <v>4.8003999999999998</v>
      </c>
      <c r="W9" s="93">
        <v>2.4521000000000002</v>
      </c>
      <c r="X9" s="93">
        <v>0</v>
      </c>
      <c r="Y9" s="93">
        <v>0</v>
      </c>
      <c r="Z9" s="93">
        <v>8.2574000000000005</v>
      </c>
      <c r="AA9" s="93">
        <v>6.7461000000000002</v>
      </c>
      <c r="AB9" s="93">
        <v>0</v>
      </c>
      <c r="AC9" s="93">
        <v>5.0919999999999996</v>
      </c>
      <c r="AD9" s="93">
        <v>7.7069000000000001</v>
      </c>
      <c r="AE9" s="93">
        <v>0</v>
      </c>
      <c r="AF9" s="93">
        <v>17.1997</v>
      </c>
      <c r="AG9" s="93">
        <v>17.831</v>
      </c>
      <c r="AH9" s="93">
        <v>3.1555</v>
      </c>
      <c r="AI9" s="93">
        <v>24.578900000000001</v>
      </c>
      <c r="AJ9" s="93">
        <v>0</v>
      </c>
      <c r="AK9" s="93">
        <v>1.4500999999999999</v>
      </c>
      <c r="AL9" s="93">
        <v>19.0261</v>
      </c>
      <c r="AM9" s="93">
        <v>0</v>
      </c>
      <c r="AN9" s="93">
        <v>6.3240999999999996</v>
      </c>
      <c r="AO9" s="93">
        <v>2.169</v>
      </c>
      <c r="AP9" s="93">
        <v>0</v>
      </c>
      <c r="AQ9" s="93">
        <v>23.699300000000001</v>
      </c>
      <c r="AR9" s="93">
        <v>3.6842000000000001</v>
      </c>
      <c r="AS9" s="93">
        <v>112.93770000000001</v>
      </c>
      <c r="AT9" s="93">
        <v>75.020200000000003</v>
      </c>
      <c r="AU9" s="93">
        <v>0</v>
      </c>
      <c r="AV9" s="93">
        <v>0</v>
      </c>
      <c r="AW9" s="93">
        <v>3.26</v>
      </c>
      <c r="AX9" s="93">
        <v>11.7524</v>
      </c>
      <c r="AY9" s="93">
        <v>5.1069000000000004</v>
      </c>
      <c r="AZ9" s="93">
        <v>1.2476</v>
      </c>
      <c r="BA9" s="93">
        <v>22.718399999999999</v>
      </c>
      <c r="BB9" s="93">
        <v>3.4630000000000001</v>
      </c>
      <c r="BC9" s="93">
        <v>0</v>
      </c>
      <c r="BD9" s="93">
        <v>3.8573</v>
      </c>
      <c r="BE9" s="93">
        <v>3.3163</v>
      </c>
      <c r="BF9" s="93">
        <v>40.149099999999997</v>
      </c>
      <c r="BG9" s="93">
        <v>2.9708000000000001</v>
      </c>
      <c r="BH9" s="93">
        <v>0</v>
      </c>
      <c r="BI9" s="93">
        <v>8.4555000000000007</v>
      </c>
      <c r="BJ9" s="93">
        <v>58.586399999999998</v>
      </c>
      <c r="BK9" s="93">
        <v>10.8552</v>
      </c>
      <c r="BL9" s="93">
        <v>107.977</v>
      </c>
      <c r="BM9" s="93">
        <v>79.169700000000006</v>
      </c>
      <c r="BN9" s="93">
        <v>147.107</v>
      </c>
      <c r="BO9" s="93">
        <v>127.1887</v>
      </c>
      <c r="BP9" s="93">
        <v>116.4897</v>
      </c>
      <c r="BQ9" s="93">
        <v>9.0947999999999993</v>
      </c>
      <c r="BR9" s="93">
        <v>1.0871999999999999</v>
      </c>
      <c r="BS9" s="93">
        <v>47.609400000000001</v>
      </c>
      <c r="BT9" s="93">
        <v>23.314</v>
      </c>
      <c r="BU9" s="93">
        <v>22.743300000000001</v>
      </c>
      <c r="BV9" s="93">
        <v>11.0619</v>
      </c>
      <c r="BW9" s="93">
        <v>39.750999999999998</v>
      </c>
      <c r="BX9" s="93">
        <v>2.5297999999999998</v>
      </c>
      <c r="BY9" s="93">
        <v>12.9278</v>
      </c>
      <c r="BZ9" s="93">
        <v>9.4868000000000006</v>
      </c>
      <c r="CA9" s="93">
        <v>9.7247000000000003</v>
      </c>
      <c r="CB9" s="93">
        <v>9.7340999999999998</v>
      </c>
      <c r="CC9" s="93">
        <v>4.8151000000000002</v>
      </c>
      <c r="CD9" s="93">
        <v>8.9160000000000004</v>
      </c>
      <c r="CE9" s="93">
        <v>19.8704</v>
      </c>
      <c r="CF9" s="93">
        <v>9.7690000000000001</v>
      </c>
      <c r="CG9" s="93">
        <v>5.4311999999999996</v>
      </c>
      <c r="CH9" s="93">
        <v>4.7068000000000003</v>
      </c>
      <c r="CI9" s="93">
        <v>12.4612</v>
      </c>
      <c r="CJ9" s="93">
        <v>3.8816000000000002</v>
      </c>
      <c r="CK9" s="93">
        <v>0</v>
      </c>
      <c r="CL9" s="93">
        <v>3.6876000000000002</v>
      </c>
      <c r="CM9" s="93">
        <v>5.7022000000000004</v>
      </c>
      <c r="CN9" s="93">
        <v>0</v>
      </c>
      <c r="CO9" s="93">
        <v>2.8197999999999999</v>
      </c>
      <c r="CP9" s="93">
        <v>9.8533000000000008</v>
      </c>
      <c r="CQ9" s="93">
        <v>7.6402999999999999</v>
      </c>
      <c r="CR9" s="93">
        <v>37.350299999999997</v>
      </c>
      <c r="CS9" s="93">
        <v>2.7141999999999999</v>
      </c>
      <c r="CT9" s="93">
        <v>3.4956999999999998</v>
      </c>
      <c r="CU9" s="93">
        <v>6.4303999999999997</v>
      </c>
      <c r="CV9" s="93">
        <v>0</v>
      </c>
      <c r="CW9" s="93">
        <v>6.7262000000000004</v>
      </c>
      <c r="CX9" s="93">
        <v>3.8252000000000002</v>
      </c>
      <c r="CY9" s="93">
        <v>2.7134</v>
      </c>
      <c r="CZ9" s="93">
        <v>0</v>
      </c>
      <c r="DA9" s="93">
        <v>0</v>
      </c>
      <c r="DB9" s="93">
        <v>2.7286999999999999</v>
      </c>
      <c r="DC9" s="93">
        <v>6.5575999999999999</v>
      </c>
      <c r="DD9" s="93">
        <v>0</v>
      </c>
      <c r="DE9" s="93">
        <v>1.6966000000000001</v>
      </c>
      <c r="DF9" s="93">
        <v>2.4178999999999999</v>
      </c>
      <c r="DG9" s="93">
        <v>21.3855</v>
      </c>
      <c r="DH9" s="93">
        <v>0</v>
      </c>
      <c r="DI9" s="93">
        <v>3.4948999999999999</v>
      </c>
      <c r="DJ9" s="93">
        <v>13.913399999999999</v>
      </c>
      <c r="DK9" s="93">
        <v>18.603400000000001</v>
      </c>
      <c r="DL9" s="93">
        <v>3.3978000000000002</v>
      </c>
      <c r="DM9" s="93">
        <v>6.4999000000000002</v>
      </c>
      <c r="DN9" s="93">
        <v>8.0909999999999993</v>
      </c>
      <c r="DO9" s="93">
        <v>7.2660999999999998</v>
      </c>
      <c r="DP9" s="93">
        <v>4.8997000000000002</v>
      </c>
      <c r="DQ9" s="93">
        <v>10.640700000000001</v>
      </c>
      <c r="DR9" s="93">
        <v>1.8807</v>
      </c>
      <c r="DS9" s="93">
        <v>0</v>
      </c>
      <c r="DT9" s="93">
        <v>0</v>
      </c>
      <c r="DU9" s="93">
        <v>16.342199999999998</v>
      </c>
      <c r="DV9" s="93">
        <v>4.6315999999999997</v>
      </c>
      <c r="DW9" s="93">
        <v>0</v>
      </c>
      <c r="DX9" s="93">
        <v>3.9498000000000002</v>
      </c>
      <c r="DY9" s="93">
        <v>0.2233</v>
      </c>
      <c r="DZ9" s="93">
        <v>0</v>
      </c>
      <c r="EA9" s="93">
        <v>2.46</v>
      </c>
      <c r="EB9" s="93">
        <v>5.7737999999999996</v>
      </c>
      <c r="EC9" s="93">
        <v>10.4048</v>
      </c>
      <c r="ED9" s="93">
        <v>2.8479999999999999</v>
      </c>
      <c r="EE9" s="93">
        <v>0</v>
      </c>
      <c r="EF9" s="93">
        <v>12.4679</v>
      </c>
      <c r="EG9" s="93">
        <v>12.8565</v>
      </c>
      <c r="EH9" s="93">
        <v>8.6857000000000006</v>
      </c>
      <c r="EI9" s="93">
        <v>2.0156999999999998</v>
      </c>
      <c r="EJ9" s="93">
        <v>4.7270000000000003</v>
      </c>
      <c r="EK9" s="93">
        <v>2.8006000000000002</v>
      </c>
      <c r="EL9" s="93">
        <v>8.2395999999999994</v>
      </c>
      <c r="EM9" s="93">
        <v>6.3719999999999999</v>
      </c>
      <c r="EN9" s="93">
        <v>17.099900000000002</v>
      </c>
      <c r="EO9" s="93">
        <v>4.0362</v>
      </c>
      <c r="EP9" s="93">
        <v>15.0007</v>
      </c>
      <c r="EQ9" s="93">
        <v>3.5432000000000001</v>
      </c>
      <c r="ER9" s="93">
        <v>2.0154000000000001</v>
      </c>
      <c r="ES9" s="93">
        <v>2.9106000000000001</v>
      </c>
      <c r="ET9" s="93">
        <v>6.3334000000000001</v>
      </c>
      <c r="EU9" s="93">
        <v>5.915</v>
      </c>
      <c r="EV9" s="93">
        <v>9.4227000000000007</v>
      </c>
      <c r="EW9" s="93">
        <v>4.3974000000000002</v>
      </c>
      <c r="EX9" s="93">
        <v>2.4243999999999999</v>
      </c>
      <c r="EY9" s="93">
        <v>8.5409000000000006</v>
      </c>
      <c r="EZ9" s="93">
        <v>14.845800000000001</v>
      </c>
      <c r="FA9" s="93">
        <v>0</v>
      </c>
      <c r="FB9" s="93">
        <v>5.9012000000000002</v>
      </c>
      <c r="FC9" s="93">
        <v>0</v>
      </c>
      <c r="FD9" s="93">
        <v>2.6625000000000001</v>
      </c>
      <c r="FE9" s="93">
        <v>7.1951999999999998</v>
      </c>
      <c r="FF9" s="93">
        <v>0</v>
      </c>
      <c r="FG9" s="93">
        <v>0</v>
      </c>
      <c r="FH9" s="93">
        <v>6.2267000000000001</v>
      </c>
      <c r="FI9" s="93">
        <v>34.027299999999997</v>
      </c>
      <c r="FJ9" s="93">
        <v>8.4834999999999994</v>
      </c>
      <c r="FK9" s="93">
        <v>1.4719</v>
      </c>
      <c r="FL9" s="93">
        <v>4.1231</v>
      </c>
      <c r="FM9" s="93">
        <v>6.7885</v>
      </c>
      <c r="FN9" s="93">
        <v>2.6225000000000001</v>
      </c>
      <c r="FO9" s="93">
        <v>0</v>
      </c>
    </row>
    <row r="10" spans="1:171" x14ac:dyDescent="0.2">
      <c r="A10" s="120" t="s">
        <v>50</v>
      </c>
      <c r="B10" s="121"/>
      <c r="C10" s="93">
        <v>2.1945999999999999</v>
      </c>
      <c r="D10" s="93">
        <v>1.8521000000000001</v>
      </c>
      <c r="E10" s="93">
        <v>2.8258999999999999</v>
      </c>
      <c r="F10" s="93">
        <v>32.801299999999998</v>
      </c>
      <c r="G10" s="93">
        <v>0</v>
      </c>
      <c r="H10" s="93">
        <v>1.1921999999999999</v>
      </c>
      <c r="I10" s="93">
        <v>0.87760000000000005</v>
      </c>
      <c r="J10" s="93">
        <v>1.4718</v>
      </c>
      <c r="K10" s="93">
        <v>5.5785</v>
      </c>
      <c r="L10" s="93">
        <v>4.0278</v>
      </c>
      <c r="M10" s="93">
        <v>0.80210000000000004</v>
      </c>
      <c r="N10" s="93">
        <v>1.0496000000000001</v>
      </c>
      <c r="O10" s="93">
        <v>1.4295</v>
      </c>
      <c r="P10" s="93">
        <v>4.7005999999999997</v>
      </c>
      <c r="Q10" s="93">
        <v>5.4085999999999999</v>
      </c>
      <c r="R10" s="93">
        <v>173.63630000000001</v>
      </c>
      <c r="S10" s="93">
        <v>3.1844999999999999</v>
      </c>
      <c r="T10" s="93">
        <v>1.2002999999999999</v>
      </c>
      <c r="U10" s="93">
        <v>4.5712000000000002</v>
      </c>
      <c r="V10" s="93">
        <v>1.4127000000000001</v>
      </c>
      <c r="W10" s="93">
        <v>1.6408</v>
      </c>
      <c r="X10" s="93">
        <v>2.4626999999999999</v>
      </c>
      <c r="Y10" s="93">
        <v>3.0426000000000002</v>
      </c>
      <c r="Z10" s="93">
        <v>1.6437999999999999</v>
      </c>
      <c r="AA10" s="93">
        <v>1.4457</v>
      </c>
      <c r="AB10" s="93">
        <v>2.5051000000000001</v>
      </c>
      <c r="AC10" s="93">
        <v>5.6310000000000002</v>
      </c>
      <c r="AD10" s="93">
        <v>6.5833000000000004</v>
      </c>
      <c r="AE10" s="93">
        <v>0.76029999999999998</v>
      </c>
      <c r="AF10" s="93">
        <v>0</v>
      </c>
      <c r="AG10" s="93">
        <v>1.4959</v>
      </c>
      <c r="AH10" s="93">
        <v>3.5962999999999998</v>
      </c>
      <c r="AI10" s="93">
        <v>6.2564000000000002</v>
      </c>
      <c r="AJ10" s="93">
        <v>2.5268000000000002</v>
      </c>
      <c r="AK10" s="93">
        <v>0</v>
      </c>
      <c r="AL10" s="93">
        <v>2.2823000000000002</v>
      </c>
      <c r="AM10" s="93">
        <v>2.0512999999999999</v>
      </c>
      <c r="AN10" s="93">
        <v>2.1690999999999998</v>
      </c>
      <c r="AO10" s="93">
        <v>1.3214999999999999</v>
      </c>
      <c r="AP10" s="93">
        <v>0</v>
      </c>
      <c r="AQ10" s="93">
        <v>40.811</v>
      </c>
      <c r="AR10" s="93">
        <v>1.0043</v>
      </c>
      <c r="AS10" s="93">
        <v>0</v>
      </c>
      <c r="AT10" s="93">
        <v>2.9264999999999999</v>
      </c>
      <c r="AU10" s="93">
        <v>0</v>
      </c>
      <c r="AV10" s="93">
        <v>0</v>
      </c>
      <c r="AW10" s="93">
        <v>3.0901000000000001</v>
      </c>
      <c r="AX10" s="93">
        <v>3.4487000000000001</v>
      </c>
      <c r="AY10" s="93">
        <v>2.5781000000000001</v>
      </c>
      <c r="AZ10" s="93">
        <v>0</v>
      </c>
      <c r="BA10" s="93">
        <v>0</v>
      </c>
      <c r="BB10" s="93">
        <v>0.96209999999999996</v>
      </c>
      <c r="BC10" s="93">
        <v>0</v>
      </c>
      <c r="BD10" s="93">
        <v>1.1408</v>
      </c>
      <c r="BE10" s="93">
        <v>1.5207999999999999</v>
      </c>
      <c r="BF10" s="93">
        <v>5.8243999999999998</v>
      </c>
      <c r="BG10" s="93">
        <v>0.95269999999999999</v>
      </c>
      <c r="BH10" s="93">
        <v>0</v>
      </c>
      <c r="BI10" s="93">
        <v>8.0135000000000005</v>
      </c>
      <c r="BJ10" s="93">
        <v>43.689100000000003</v>
      </c>
      <c r="BK10" s="93">
        <v>2.9359000000000002</v>
      </c>
      <c r="BL10" s="93">
        <v>15.696300000000001</v>
      </c>
      <c r="BM10" s="93">
        <v>7.4092000000000002</v>
      </c>
      <c r="BN10" s="93">
        <v>43.8217</v>
      </c>
      <c r="BO10" s="93">
        <v>7.5429000000000004</v>
      </c>
      <c r="BP10" s="93">
        <v>3.8591000000000002</v>
      </c>
      <c r="BQ10" s="93">
        <v>1.6941999999999999</v>
      </c>
      <c r="BR10" s="93">
        <v>0.96150000000000002</v>
      </c>
      <c r="BS10" s="93">
        <v>3.3241000000000001</v>
      </c>
      <c r="BT10" s="93">
        <v>1.8190999999999999</v>
      </c>
      <c r="BU10" s="93">
        <v>7.1749999999999998</v>
      </c>
      <c r="BV10" s="93">
        <v>3.7932000000000001</v>
      </c>
      <c r="BW10" s="93">
        <v>5.6741999999999999</v>
      </c>
      <c r="BX10" s="93">
        <v>2.4093</v>
      </c>
      <c r="BY10" s="93">
        <v>2.7986</v>
      </c>
      <c r="BZ10" s="93">
        <v>2.8306</v>
      </c>
      <c r="CA10" s="93">
        <v>1.5918000000000001</v>
      </c>
      <c r="CB10" s="93">
        <v>1.2441</v>
      </c>
      <c r="CC10" s="93">
        <v>1.9334</v>
      </c>
      <c r="CD10" s="93">
        <v>0</v>
      </c>
      <c r="CE10" s="93">
        <v>3.4226999999999999</v>
      </c>
      <c r="CF10" s="93">
        <v>0</v>
      </c>
      <c r="CG10" s="93">
        <v>2.8847999999999998</v>
      </c>
      <c r="CH10" s="93">
        <v>4.0511999999999997</v>
      </c>
      <c r="CI10" s="93">
        <v>7.8277000000000001</v>
      </c>
      <c r="CJ10" s="93">
        <v>0</v>
      </c>
      <c r="CK10" s="93">
        <v>1.9873000000000001</v>
      </c>
      <c r="CL10" s="93">
        <v>5.8853</v>
      </c>
      <c r="CM10" s="93">
        <v>4.7957999999999998</v>
      </c>
      <c r="CN10" s="93">
        <v>1.1109</v>
      </c>
      <c r="CO10" s="93">
        <v>0.91369999999999996</v>
      </c>
      <c r="CP10" s="93">
        <v>1.3746</v>
      </c>
      <c r="CQ10" s="93">
        <v>3.1964000000000001</v>
      </c>
      <c r="CR10" s="93">
        <v>31.7666</v>
      </c>
      <c r="CS10" s="93">
        <v>1.2054</v>
      </c>
      <c r="CT10" s="93">
        <v>1.4688000000000001</v>
      </c>
      <c r="CU10" s="93">
        <v>1.9921</v>
      </c>
      <c r="CV10" s="93">
        <v>0</v>
      </c>
      <c r="CW10" s="93">
        <v>2.8344</v>
      </c>
      <c r="CX10" s="93">
        <v>1.927</v>
      </c>
      <c r="CY10" s="93">
        <v>0.8387</v>
      </c>
      <c r="CZ10" s="93">
        <v>0</v>
      </c>
      <c r="DA10" s="93">
        <v>0</v>
      </c>
      <c r="DB10" s="93">
        <v>0.97850000000000004</v>
      </c>
      <c r="DC10" s="93">
        <v>3.7538</v>
      </c>
      <c r="DD10" s="93">
        <v>0</v>
      </c>
      <c r="DE10" s="93">
        <v>4.9619</v>
      </c>
      <c r="DF10" s="93">
        <v>1.5119</v>
      </c>
      <c r="DG10" s="93">
        <v>4.5278999999999998</v>
      </c>
      <c r="DH10" s="93">
        <v>0</v>
      </c>
      <c r="DI10" s="93">
        <v>6.9550999999999998</v>
      </c>
      <c r="DJ10" s="93">
        <v>4.0869999999999997</v>
      </c>
      <c r="DK10" s="93">
        <v>6.4435000000000002</v>
      </c>
      <c r="DL10" s="93">
        <v>0</v>
      </c>
      <c r="DM10" s="93">
        <v>1.0224</v>
      </c>
      <c r="DN10" s="93">
        <v>1.4999</v>
      </c>
      <c r="DO10" s="93">
        <v>0.87439999999999996</v>
      </c>
      <c r="DP10" s="93">
        <v>2.4167000000000001</v>
      </c>
      <c r="DQ10" s="93">
        <v>2.0407999999999999</v>
      </c>
      <c r="DR10" s="93">
        <v>0.77490000000000003</v>
      </c>
      <c r="DS10" s="93">
        <v>0</v>
      </c>
      <c r="DT10" s="93">
        <v>1.5490999999999999</v>
      </c>
      <c r="DU10" s="93">
        <v>3.9121999999999999</v>
      </c>
      <c r="DV10" s="93">
        <v>1.5948</v>
      </c>
      <c r="DW10" s="93">
        <v>0</v>
      </c>
      <c r="DX10" s="93">
        <v>2.2698</v>
      </c>
      <c r="DY10" s="93">
        <v>2.8157000000000001</v>
      </c>
      <c r="DZ10" s="93">
        <v>0</v>
      </c>
      <c r="EA10" s="93">
        <v>1.3383</v>
      </c>
      <c r="EB10" s="93">
        <v>1.7464</v>
      </c>
      <c r="EC10" s="93">
        <v>2.1972999999999998</v>
      </c>
      <c r="ED10" s="93">
        <v>1.3678999999999999</v>
      </c>
      <c r="EE10" s="93">
        <v>0</v>
      </c>
      <c r="EF10" s="93">
        <v>2.7991000000000001</v>
      </c>
      <c r="EG10" s="93">
        <v>2.8658999999999999</v>
      </c>
      <c r="EH10" s="93">
        <v>0</v>
      </c>
      <c r="EI10" s="93">
        <v>0</v>
      </c>
      <c r="EJ10" s="93">
        <v>0</v>
      </c>
      <c r="EK10" s="93">
        <v>2.2343000000000002</v>
      </c>
      <c r="EL10" s="93">
        <v>1.4138999999999999</v>
      </c>
      <c r="EM10" s="93">
        <v>1.7522</v>
      </c>
      <c r="EN10" s="93">
        <v>3.6978</v>
      </c>
      <c r="EO10" s="93">
        <v>0</v>
      </c>
      <c r="EP10" s="93">
        <v>6.5810000000000004</v>
      </c>
      <c r="EQ10" s="93">
        <v>0</v>
      </c>
      <c r="ER10" s="93">
        <v>3.7671000000000001</v>
      </c>
      <c r="ES10" s="93">
        <v>0</v>
      </c>
      <c r="ET10" s="93">
        <v>0</v>
      </c>
      <c r="EU10" s="93">
        <v>0.88759999999999994</v>
      </c>
      <c r="EV10" s="93">
        <v>1.0804</v>
      </c>
      <c r="EW10" s="93">
        <v>1.7403999999999999</v>
      </c>
      <c r="EX10" s="93">
        <v>1.4118999999999999</v>
      </c>
      <c r="EY10" s="93">
        <v>3.6021000000000001</v>
      </c>
      <c r="EZ10" s="93">
        <v>4.2927999999999997</v>
      </c>
      <c r="FA10" s="93">
        <v>0</v>
      </c>
      <c r="FB10" s="93">
        <v>0</v>
      </c>
      <c r="FC10" s="93">
        <v>0</v>
      </c>
      <c r="FD10" s="93">
        <v>2.3325</v>
      </c>
      <c r="FE10" s="93">
        <v>5.7225000000000001</v>
      </c>
      <c r="FF10" s="93">
        <v>9.7428000000000008</v>
      </c>
      <c r="FG10" s="93">
        <v>3.9211999999999998</v>
      </c>
      <c r="FH10" s="93">
        <v>2.6728999999999998</v>
      </c>
      <c r="FI10" s="93">
        <v>0</v>
      </c>
      <c r="FJ10" s="93">
        <v>5.1393000000000004</v>
      </c>
      <c r="FK10" s="93">
        <v>13.2788</v>
      </c>
      <c r="FL10" s="93">
        <v>1.5144</v>
      </c>
      <c r="FM10" s="93">
        <v>1.3447</v>
      </c>
      <c r="FN10" s="93">
        <v>2.1324000000000001</v>
      </c>
      <c r="FO10" s="93">
        <v>0</v>
      </c>
    </row>
    <row r="11" spans="1:171" x14ac:dyDescent="0.2">
      <c r="A11" s="120" t="s">
        <v>51</v>
      </c>
      <c r="B11" s="121"/>
      <c r="C11" s="93">
        <v>8.6664999999999992</v>
      </c>
      <c r="D11" s="93">
        <v>7.4055999999999997</v>
      </c>
      <c r="E11" s="93">
        <v>16.3719</v>
      </c>
      <c r="F11" s="93">
        <v>91.7864</v>
      </c>
      <c r="G11" s="93">
        <v>2.9281000000000001</v>
      </c>
      <c r="H11" s="93">
        <v>5.5507999999999997</v>
      </c>
      <c r="I11" s="93">
        <v>11.3681</v>
      </c>
      <c r="J11" s="93">
        <v>6.3712999999999997</v>
      </c>
      <c r="K11" s="93">
        <v>16.957599999999999</v>
      </c>
      <c r="L11" s="93">
        <v>32.345799999999997</v>
      </c>
      <c r="M11" s="93">
        <v>4.9424000000000001</v>
      </c>
      <c r="N11" s="93">
        <v>4.4974999999999996</v>
      </c>
      <c r="O11" s="93">
        <v>7.6269999999999998</v>
      </c>
      <c r="P11" s="93">
        <v>18.464700000000001</v>
      </c>
      <c r="Q11" s="93">
        <v>32.849499999999999</v>
      </c>
      <c r="R11" s="93">
        <v>494.35660000000001</v>
      </c>
      <c r="S11" s="93">
        <v>10.7715</v>
      </c>
      <c r="T11" s="93">
        <v>4.9276</v>
      </c>
      <c r="U11" s="93">
        <v>17.138300000000001</v>
      </c>
      <c r="V11" s="93">
        <v>7.8090000000000002</v>
      </c>
      <c r="W11" s="93">
        <v>9.0832999999999995</v>
      </c>
      <c r="X11" s="93">
        <v>12.8477</v>
      </c>
      <c r="Y11" s="93">
        <v>17.464500000000001</v>
      </c>
      <c r="Z11" s="93">
        <v>8.2173999999999996</v>
      </c>
      <c r="AA11" s="93">
        <v>6.0220000000000002</v>
      </c>
      <c r="AB11" s="93">
        <v>13.8504</v>
      </c>
      <c r="AC11" s="93">
        <v>16.546399999999998</v>
      </c>
      <c r="AD11" s="93">
        <v>11.300700000000001</v>
      </c>
      <c r="AE11" s="93">
        <v>4.51</v>
      </c>
      <c r="AF11" s="93">
        <v>14.616400000000001</v>
      </c>
      <c r="AG11" s="93">
        <v>11.129799999999999</v>
      </c>
      <c r="AH11" s="93">
        <v>16.6023</v>
      </c>
      <c r="AI11" s="93">
        <v>18.3401</v>
      </c>
      <c r="AJ11" s="93">
        <v>14.928000000000001</v>
      </c>
      <c r="AK11" s="93">
        <v>4.2240000000000002</v>
      </c>
      <c r="AL11" s="93">
        <v>25.613900000000001</v>
      </c>
      <c r="AM11" s="93">
        <v>7.2868000000000004</v>
      </c>
      <c r="AN11" s="93">
        <v>10.264799999999999</v>
      </c>
      <c r="AO11" s="93">
        <v>10.370100000000001</v>
      </c>
      <c r="AP11" s="93">
        <v>3.5897999999999999</v>
      </c>
      <c r="AQ11" s="93">
        <v>202.119</v>
      </c>
      <c r="AR11" s="93">
        <v>5.7843</v>
      </c>
      <c r="AS11" s="93">
        <v>5.2061999999999999</v>
      </c>
      <c r="AT11" s="93">
        <v>7.4573999999999998</v>
      </c>
      <c r="AU11" s="93">
        <v>3.1253000000000002</v>
      </c>
      <c r="AV11" s="93">
        <v>4.1424000000000003</v>
      </c>
      <c r="AW11" s="93">
        <v>12.491099999999999</v>
      </c>
      <c r="AX11" s="93">
        <v>14.5107</v>
      </c>
      <c r="AY11" s="93">
        <v>35.809100000000001</v>
      </c>
      <c r="AZ11" s="93">
        <v>4.9032</v>
      </c>
      <c r="BA11" s="93">
        <v>2.4093</v>
      </c>
      <c r="BB11" s="93">
        <v>4.4617000000000004</v>
      </c>
      <c r="BC11" s="93">
        <v>6.2050000000000001</v>
      </c>
      <c r="BD11" s="93">
        <v>4.3486000000000002</v>
      </c>
      <c r="BE11" s="93">
        <v>5.1344000000000003</v>
      </c>
      <c r="BF11" s="93">
        <v>26.272400000000001</v>
      </c>
      <c r="BG11" s="93">
        <v>6.2125000000000004</v>
      </c>
      <c r="BH11" s="93">
        <v>4.9485999999999999</v>
      </c>
      <c r="BI11" s="93">
        <v>20.280799999999999</v>
      </c>
      <c r="BJ11" s="93">
        <v>131.5985</v>
      </c>
      <c r="BK11" s="93">
        <v>17.449100000000001</v>
      </c>
      <c r="BL11" s="93">
        <v>43.009099999999997</v>
      </c>
      <c r="BM11" s="93">
        <v>19.292100000000001</v>
      </c>
      <c r="BN11" s="93">
        <v>138.55670000000001</v>
      </c>
      <c r="BO11" s="93">
        <v>29.8184</v>
      </c>
      <c r="BP11" s="93">
        <v>14.9339</v>
      </c>
      <c r="BQ11" s="93">
        <v>5.8159000000000001</v>
      </c>
      <c r="BR11" s="93">
        <v>6.2976000000000001</v>
      </c>
      <c r="BS11" s="93">
        <v>13.0358</v>
      </c>
      <c r="BT11" s="93">
        <v>6.6959</v>
      </c>
      <c r="BU11" s="93">
        <v>23.709599999999998</v>
      </c>
      <c r="BV11" s="93">
        <v>15.0381</v>
      </c>
      <c r="BW11" s="93">
        <v>31.969000000000001</v>
      </c>
      <c r="BX11" s="93">
        <v>9.8012999999999995</v>
      </c>
      <c r="BY11" s="93">
        <v>12.5473</v>
      </c>
      <c r="BZ11" s="93">
        <v>12.3682</v>
      </c>
      <c r="CA11" s="93">
        <v>7.9377000000000004</v>
      </c>
      <c r="CB11" s="93">
        <v>6.6231999999999998</v>
      </c>
      <c r="CC11" s="93">
        <v>8.1440000000000001</v>
      </c>
      <c r="CD11" s="93">
        <v>3.4342999999999999</v>
      </c>
      <c r="CE11" s="93">
        <v>12.642099999999999</v>
      </c>
      <c r="CF11" s="93">
        <v>4.3644999999999996</v>
      </c>
      <c r="CG11" s="93">
        <v>11.302</v>
      </c>
      <c r="CH11" s="93">
        <v>20.008299999999998</v>
      </c>
      <c r="CI11" s="93">
        <v>38.560699999999997</v>
      </c>
      <c r="CJ11" s="93">
        <v>4.5382999999999996</v>
      </c>
      <c r="CK11" s="93">
        <v>11.5387</v>
      </c>
      <c r="CL11" s="93">
        <v>24.569099999999999</v>
      </c>
      <c r="CM11" s="93">
        <v>18.056000000000001</v>
      </c>
      <c r="CN11" s="93">
        <v>9.1891999999999996</v>
      </c>
      <c r="CO11" s="93">
        <v>5.2558999999999996</v>
      </c>
      <c r="CP11" s="93">
        <v>5.4226999999999999</v>
      </c>
      <c r="CQ11" s="93">
        <v>21.248100000000001</v>
      </c>
      <c r="CR11" s="93">
        <v>130.73060000000001</v>
      </c>
      <c r="CS11" s="93">
        <v>6.2986000000000004</v>
      </c>
      <c r="CT11" s="93">
        <v>6.7872000000000003</v>
      </c>
      <c r="CU11" s="93">
        <v>7.5366999999999997</v>
      </c>
      <c r="CV11" s="93">
        <v>6.1828000000000003</v>
      </c>
      <c r="CW11" s="93">
        <v>12.2363</v>
      </c>
      <c r="CX11" s="93">
        <v>8.7312999999999992</v>
      </c>
      <c r="CY11" s="93">
        <v>6.452</v>
      </c>
      <c r="CZ11" s="93">
        <v>4.0701000000000001</v>
      </c>
      <c r="DA11" s="93">
        <v>0</v>
      </c>
      <c r="DB11" s="93">
        <v>6.4813999999999998</v>
      </c>
      <c r="DC11" s="93">
        <v>14.3421</v>
      </c>
      <c r="DD11" s="93">
        <v>7.4408000000000003</v>
      </c>
      <c r="DE11" s="93">
        <v>20.232700000000001</v>
      </c>
      <c r="DF11" s="93">
        <v>4.8882000000000003</v>
      </c>
      <c r="DG11" s="93">
        <v>15.5412</v>
      </c>
      <c r="DH11" s="93">
        <v>3.5703999999999998</v>
      </c>
      <c r="DI11" s="93">
        <v>36.286000000000001</v>
      </c>
      <c r="DJ11" s="93">
        <v>8.9853000000000005</v>
      </c>
      <c r="DK11" s="93">
        <v>64.658900000000003</v>
      </c>
      <c r="DL11" s="93">
        <v>4.7503000000000002</v>
      </c>
      <c r="DM11" s="93">
        <v>7.6677999999999997</v>
      </c>
      <c r="DN11" s="93">
        <v>5.1691000000000003</v>
      </c>
      <c r="DO11" s="93">
        <v>8.6031999999999993</v>
      </c>
      <c r="DP11" s="93">
        <v>28.934999999999999</v>
      </c>
      <c r="DQ11" s="93">
        <v>8.0821000000000005</v>
      </c>
      <c r="DR11" s="93">
        <v>7.9939999999999998</v>
      </c>
      <c r="DS11" s="93">
        <v>4.4099000000000004</v>
      </c>
      <c r="DT11" s="93">
        <v>33.825299999999999</v>
      </c>
      <c r="DU11" s="93">
        <v>10.946999999999999</v>
      </c>
      <c r="DV11" s="93">
        <v>9.8588000000000005</v>
      </c>
      <c r="DW11" s="93">
        <v>7.3921999999999999</v>
      </c>
      <c r="DX11" s="93">
        <v>11.661799999999999</v>
      </c>
      <c r="DY11" s="93">
        <v>11.8635</v>
      </c>
      <c r="DZ11" s="93">
        <v>3.5459000000000001</v>
      </c>
      <c r="EA11" s="93">
        <v>9.3111999999999995</v>
      </c>
      <c r="EB11" s="93">
        <v>8.3157999999999994</v>
      </c>
      <c r="EC11" s="93">
        <v>8.4981000000000009</v>
      </c>
      <c r="ED11" s="93">
        <v>7.8080999999999996</v>
      </c>
      <c r="EE11" s="93">
        <v>3.7665000000000002</v>
      </c>
      <c r="EF11" s="93">
        <v>9.7142999999999997</v>
      </c>
      <c r="EG11" s="93">
        <v>11.1351</v>
      </c>
      <c r="EH11" s="93">
        <v>3.4714</v>
      </c>
      <c r="EI11" s="93">
        <v>3.9626999999999999</v>
      </c>
      <c r="EJ11" s="93">
        <v>5.7576000000000001</v>
      </c>
      <c r="EK11" s="93">
        <v>7.7320000000000002</v>
      </c>
      <c r="EL11" s="93">
        <v>18.312799999999999</v>
      </c>
      <c r="EM11" s="93">
        <v>20.413</v>
      </c>
      <c r="EN11" s="93">
        <v>12.629899999999999</v>
      </c>
      <c r="EO11" s="93">
        <v>6.5758999999999999</v>
      </c>
      <c r="EP11" s="93">
        <v>73.379199999999997</v>
      </c>
      <c r="EQ11" s="93">
        <v>4.8141999999999996</v>
      </c>
      <c r="ER11" s="93">
        <v>16.981300000000001</v>
      </c>
      <c r="ES11" s="93">
        <v>3.4826000000000001</v>
      </c>
      <c r="ET11" s="93">
        <v>4.4912000000000001</v>
      </c>
      <c r="EU11" s="93">
        <v>5.7553999999999998</v>
      </c>
      <c r="EV11" s="93">
        <v>6.3223000000000003</v>
      </c>
      <c r="EW11" s="93">
        <v>6.9619999999999997</v>
      </c>
      <c r="EX11" s="93">
        <v>12.017799999999999</v>
      </c>
      <c r="EY11" s="93">
        <v>20.2347</v>
      </c>
      <c r="EZ11" s="93">
        <v>16.161899999999999</v>
      </c>
      <c r="FA11" s="93">
        <v>0</v>
      </c>
      <c r="FB11" s="93">
        <v>2.6823999999999999</v>
      </c>
      <c r="FC11" s="93">
        <v>7.2321</v>
      </c>
      <c r="FD11" s="93">
        <v>11.811500000000001</v>
      </c>
      <c r="FE11" s="93">
        <v>16.302199999999999</v>
      </c>
      <c r="FF11" s="93">
        <v>45.547899999999998</v>
      </c>
      <c r="FG11" s="93">
        <v>13.4137</v>
      </c>
      <c r="FH11" s="93">
        <v>10.862</v>
      </c>
      <c r="FI11" s="93">
        <v>2.3944000000000001</v>
      </c>
      <c r="FJ11" s="93">
        <v>23.595800000000001</v>
      </c>
      <c r="FK11" s="93">
        <v>42.515099999999997</v>
      </c>
      <c r="FL11" s="93">
        <v>10.665800000000001</v>
      </c>
      <c r="FM11" s="93">
        <v>8.0596999999999994</v>
      </c>
      <c r="FN11" s="93">
        <v>33.807200000000002</v>
      </c>
      <c r="FO11" s="93">
        <v>10.0844</v>
      </c>
    </row>
    <row r="12" spans="1:171" x14ac:dyDescent="0.2">
      <c r="A12" s="120" t="s">
        <v>30</v>
      </c>
      <c r="B12" s="121"/>
      <c r="C12" s="93">
        <v>0</v>
      </c>
      <c r="D12" s="93">
        <v>0</v>
      </c>
      <c r="E12" s="93">
        <v>0</v>
      </c>
      <c r="F12" s="93">
        <v>0</v>
      </c>
      <c r="G12" s="93">
        <v>0</v>
      </c>
      <c r="H12" s="93">
        <v>0</v>
      </c>
      <c r="I12" s="93">
        <v>0</v>
      </c>
      <c r="J12" s="93">
        <v>0</v>
      </c>
      <c r="K12" s="93">
        <v>0</v>
      </c>
      <c r="L12" s="93">
        <v>0</v>
      </c>
      <c r="M12" s="93">
        <v>0</v>
      </c>
      <c r="N12" s="93">
        <v>0</v>
      </c>
      <c r="O12" s="93">
        <v>0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93">
        <v>0</v>
      </c>
      <c r="W12" s="93">
        <v>0</v>
      </c>
      <c r="X12" s="93">
        <v>0</v>
      </c>
      <c r="Y12" s="93">
        <v>0</v>
      </c>
      <c r="Z12" s="93">
        <v>0</v>
      </c>
      <c r="AA12" s="93">
        <v>0</v>
      </c>
      <c r="AB12" s="93">
        <v>0</v>
      </c>
      <c r="AC12" s="93">
        <v>0</v>
      </c>
      <c r="AD12" s="93">
        <v>0</v>
      </c>
      <c r="AE12" s="93">
        <v>0</v>
      </c>
      <c r="AF12" s="93">
        <v>0</v>
      </c>
      <c r="AG12" s="93">
        <v>0</v>
      </c>
      <c r="AH12" s="93">
        <v>0</v>
      </c>
      <c r="AI12" s="93">
        <v>0</v>
      </c>
      <c r="AJ12" s="93">
        <v>0</v>
      </c>
      <c r="AK12" s="93">
        <v>0</v>
      </c>
      <c r="AL12" s="93">
        <v>0</v>
      </c>
      <c r="AM12" s="93">
        <v>0</v>
      </c>
      <c r="AN12" s="93">
        <v>0</v>
      </c>
      <c r="AO12" s="93">
        <v>0</v>
      </c>
      <c r="AP12" s="93">
        <v>0</v>
      </c>
      <c r="AQ12" s="93">
        <v>0</v>
      </c>
      <c r="AR12" s="93">
        <v>0</v>
      </c>
      <c r="AS12" s="93">
        <v>0</v>
      </c>
      <c r="AT12" s="93">
        <v>0</v>
      </c>
      <c r="AU12" s="93">
        <v>0</v>
      </c>
      <c r="AV12" s="93">
        <v>0</v>
      </c>
      <c r="AW12" s="93">
        <v>0</v>
      </c>
      <c r="AX12" s="93">
        <v>0</v>
      </c>
      <c r="AY12" s="93">
        <v>0</v>
      </c>
      <c r="AZ12" s="93">
        <v>0</v>
      </c>
      <c r="BA12" s="93">
        <v>0</v>
      </c>
      <c r="BB12" s="93">
        <v>0</v>
      </c>
      <c r="BC12" s="93">
        <v>0</v>
      </c>
      <c r="BD12" s="93">
        <v>0</v>
      </c>
      <c r="BE12" s="93">
        <v>0</v>
      </c>
      <c r="BF12" s="93">
        <v>0</v>
      </c>
      <c r="BG12" s="93">
        <v>0</v>
      </c>
      <c r="BH12" s="93">
        <v>0</v>
      </c>
      <c r="BI12" s="93">
        <v>0</v>
      </c>
      <c r="BJ12" s="93">
        <v>0</v>
      </c>
      <c r="BK12" s="93">
        <v>0</v>
      </c>
      <c r="BL12" s="93">
        <v>0</v>
      </c>
      <c r="BM12" s="93">
        <v>0</v>
      </c>
      <c r="BN12" s="93">
        <v>0</v>
      </c>
      <c r="BO12" s="93">
        <v>0</v>
      </c>
      <c r="BP12" s="93">
        <v>0</v>
      </c>
      <c r="BQ12" s="93">
        <v>0</v>
      </c>
      <c r="BR12" s="93">
        <v>0</v>
      </c>
      <c r="BS12" s="93">
        <v>0</v>
      </c>
      <c r="BT12" s="93">
        <v>0</v>
      </c>
      <c r="BU12" s="93">
        <v>0</v>
      </c>
      <c r="BV12" s="93">
        <v>0</v>
      </c>
      <c r="BW12" s="93">
        <v>0</v>
      </c>
      <c r="BX12" s="93">
        <v>0</v>
      </c>
      <c r="BY12" s="93">
        <v>0</v>
      </c>
      <c r="BZ12" s="93">
        <v>0</v>
      </c>
      <c r="CA12" s="93">
        <v>0</v>
      </c>
      <c r="CB12" s="93">
        <v>0</v>
      </c>
      <c r="CC12" s="93">
        <v>0</v>
      </c>
      <c r="CD12" s="93">
        <v>0</v>
      </c>
      <c r="CE12" s="93">
        <v>0</v>
      </c>
      <c r="CF12" s="93">
        <v>0</v>
      </c>
      <c r="CG12" s="93">
        <v>0</v>
      </c>
      <c r="CH12" s="93">
        <v>0</v>
      </c>
      <c r="CI12" s="93">
        <v>0</v>
      </c>
      <c r="CJ12" s="93">
        <v>0</v>
      </c>
      <c r="CK12" s="93">
        <v>0</v>
      </c>
      <c r="CL12" s="93">
        <v>0</v>
      </c>
      <c r="CM12" s="93">
        <v>0</v>
      </c>
      <c r="CN12" s="93">
        <v>0</v>
      </c>
      <c r="CO12" s="93">
        <v>0</v>
      </c>
      <c r="CP12" s="93">
        <v>0</v>
      </c>
      <c r="CQ12" s="93">
        <v>0</v>
      </c>
      <c r="CR12" s="93">
        <v>0</v>
      </c>
      <c r="CS12" s="93">
        <v>0</v>
      </c>
      <c r="CT12" s="93">
        <v>0</v>
      </c>
      <c r="CU12" s="93">
        <v>0</v>
      </c>
      <c r="CV12" s="93">
        <v>0</v>
      </c>
      <c r="CW12" s="93">
        <v>0</v>
      </c>
      <c r="CX12" s="93">
        <v>0</v>
      </c>
      <c r="CY12" s="93">
        <v>0</v>
      </c>
      <c r="CZ12" s="93">
        <v>0</v>
      </c>
      <c r="DA12" s="93">
        <v>0</v>
      </c>
      <c r="DB12" s="93">
        <v>0</v>
      </c>
      <c r="DC12" s="93">
        <v>0</v>
      </c>
      <c r="DD12" s="93">
        <v>0</v>
      </c>
      <c r="DE12" s="93">
        <v>0</v>
      </c>
      <c r="DF12" s="93">
        <v>0</v>
      </c>
      <c r="DG12" s="93">
        <v>0</v>
      </c>
      <c r="DH12" s="93">
        <v>0</v>
      </c>
      <c r="DI12" s="93">
        <v>0</v>
      </c>
      <c r="DJ12" s="93">
        <v>0</v>
      </c>
      <c r="DK12" s="93">
        <v>0</v>
      </c>
      <c r="DL12" s="93">
        <v>0</v>
      </c>
      <c r="DM12" s="93">
        <v>0</v>
      </c>
      <c r="DN12" s="93">
        <v>0</v>
      </c>
      <c r="DO12" s="93">
        <v>0</v>
      </c>
      <c r="DP12" s="93">
        <v>0</v>
      </c>
      <c r="DQ12" s="93">
        <v>0</v>
      </c>
      <c r="DR12" s="93">
        <v>0</v>
      </c>
      <c r="DS12" s="93">
        <v>0</v>
      </c>
      <c r="DT12" s="93">
        <v>0</v>
      </c>
      <c r="DU12" s="93">
        <v>0</v>
      </c>
      <c r="DV12" s="93">
        <v>0</v>
      </c>
      <c r="DW12" s="93">
        <v>0</v>
      </c>
      <c r="DX12" s="93">
        <v>0</v>
      </c>
      <c r="DY12" s="93">
        <v>0</v>
      </c>
      <c r="DZ12" s="93">
        <v>0</v>
      </c>
      <c r="EA12" s="93">
        <v>0</v>
      </c>
      <c r="EB12" s="93">
        <v>0</v>
      </c>
      <c r="EC12" s="93">
        <v>0</v>
      </c>
      <c r="ED12" s="93">
        <v>0</v>
      </c>
      <c r="EE12" s="93">
        <v>0</v>
      </c>
      <c r="EF12" s="93">
        <v>0</v>
      </c>
      <c r="EG12" s="93">
        <v>0</v>
      </c>
      <c r="EH12" s="93">
        <v>0</v>
      </c>
      <c r="EI12" s="93">
        <v>0</v>
      </c>
      <c r="EJ12" s="93">
        <v>0</v>
      </c>
      <c r="EK12" s="93">
        <v>0</v>
      </c>
      <c r="EL12" s="93">
        <v>0</v>
      </c>
      <c r="EM12" s="93">
        <v>0</v>
      </c>
      <c r="EN12" s="93">
        <v>0</v>
      </c>
      <c r="EO12" s="93">
        <v>0</v>
      </c>
      <c r="EP12" s="93">
        <v>0</v>
      </c>
      <c r="EQ12" s="93">
        <v>0</v>
      </c>
      <c r="ER12" s="93">
        <v>0</v>
      </c>
      <c r="ES12" s="93">
        <v>0</v>
      </c>
      <c r="ET12" s="93">
        <v>0</v>
      </c>
      <c r="EU12" s="93">
        <v>0</v>
      </c>
      <c r="EV12" s="93">
        <v>0</v>
      </c>
      <c r="EW12" s="93">
        <v>0</v>
      </c>
      <c r="EX12" s="93">
        <v>0</v>
      </c>
      <c r="EY12" s="93">
        <v>0</v>
      </c>
      <c r="EZ12" s="93">
        <v>0</v>
      </c>
      <c r="FA12" s="93">
        <v>0</v>
      </c>
      <c r="FB12" s="93">
        <v>0</v>
      </c>
      <c r="FC12" s="93">
        <v>0</v>
      </c>
      <c r="FD12" s="93">
        <v>0</v>
      </c>
      <c r="FE12" s="93">
        <v>0</v>
      </c>
      <c r="FF12" s="93">
        <v>0</v>
      </c>
      <c r="FG12" s="93">
        <v>0</v>
      </c>
      <c r="FH12" s="93">
        <v>0</v>
      </c>
      <c r="FI12" s="93">
        <v>0</v>
      </c>
      <c r="FJ12" s="93">
        <v>0</v>
      </c>
      <c r="FK12" s="93">
        <v>0</v>
      </c>
      <c r="FL12" s="93">
        <v>0</v>
      </c>
      <c r="FM12" s="93">
        <v>0</v>
      </c>
      <c r="FN12" s="93">
        <v>0</v>
      </c>
      <c r="FO12" s="93">
        <v>0</v>
      </c>
    </row>
    <row r="13" spans="1:171" x14ac:dyDescent="0.2">
      <c r="A13" s="120" t="s">
        <v>9</v>
      </c>
      <c r="B13" s="121"/>
      <c r="C13" s="93">
        <v>0</v>
      </c>
      <c r="D13" s="93">
        <v>0</v>
      </c>
      <c r="E13" s="93">
        <v>0</v>
      </c>
      <c r="F13" s="93">
        <v>0</v>
      </c>
      <c r="G13" s="93">
        <v>0</v>
      </c>
      <c r="H13" s="93">
        <v>0</v>
      </c>
      <c r="I13" s="93">
        <v>0</v>
      </c>
      <c r="J13" s="93">
        <v>0</v>
      </c>
      <c r="K13" s="93">
        <v>0</v>
      </c>
      <c r="L13" s="93">
        <v>0</v>
      </c>
      <c r="M13" s="93">
        <v>0</v>
      </c>
      <c r="N13" s="93">
        <v>0</v>
      </c>
      <c r="O13" s="93">
        <v>0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0</v>
      </c>
      <c r="X13" s="93">
        <v>0</v>
      </c>
      <c r="Y13" s="93">
        <v>0</v>
      </c>
      <c r="Z13" s="93">
        <v>0</v>
      </c>
      <c r="AA13" s="93">
        <v>0</v>
      </c>
      <c r="AB13" s="93">
        <v>0</v>
      </c>
      <c r="AC13" s="93">
        <v>0</v>
      </c>
      <c r="AD13" s="93">
        <v>0</v>
      </c>
      <c r="AE13" s="93">
        <v>0</v>
      </c>
      <c r="AF13" s="93">
        <v>0</v>
      </c>
      <c r="AG13" s="93">
        <v>0</v>
      </c>
      <c r="AH13" s="93">
        <v>0</v>
      </c>
      <c r="AI13" s="93">
        <v>0</v>
      </c>
      <c r="AJ13" s="93">
        <v>0</v>
      </c>
      <c r="AK13" s="93">
        <v>0</v>
      </c>
      <c r="AL13" s="93">
        <v>0</v>
      </c>
      <c r="AM13" s="93">
        <v>0</v>
      </c>
      <c r="AN13" s="93">
        <v>0</v>
      </c>
      <c r="AO13" s="93">
        <v>0</v>
      </c>
      <c r="AP13" s="93">
        <v>0</v>
      </c>
      <c r="AQ13" s="93">
        <v>0</v>
      </c>
      <c r="AR13" s="93">
        <v>0</v>
      </c>
      <c r="AS13" s="93">
        <v>0</v>
      </c>
      <c r="AT13" s="93">
        <v>0</v>
      </c>
      <c r="AU13" s="93">
        <v>0</v>
      </c>
      <c r="AV13" s="93">
        <v>0</v>
      </c>
      <c r="AW13" s="93">
        <v>0</v>
      </c>
      <c r="AX13" s="93">
        <v>0</v>
      </c>
      <c r="AY13" s="93">
        <v>0</v>
      </c>
      <c r="AZ13" s="93">
        <v>0</v>
      </c>
      <c r="BA13" s="93">
        <v>0</v>
      </c>
      <c r="BB13" s="93">
        <v>0</v>
      </c>
      <c r="BC13" s="93">
        <v>0</v>
      </c>
      <c r="BD13" s="93">
        <v>0</v>
      </c>
      <c r="BE13" s="93">
        <v>0</v>
      </c>
      <c r="BF13" s="93">
        <v>0</v>
      </c>
      <c r="BG13" s="93">
        <v>0</v>
      </c>
      <c r="BH13" s="93">
        <v>0</v>
      </c>
      <c r="BI13" s="93">
        <v>0</v>
      </c>
      <c r="BJ13" s="93">
        <v>0</v>
      </c>
      <c r="BK13" s="93">
        <v>0</v>
      </c>
      <c r="BL13" s="93">
        <v>0</v>
      </c>
      <c r="BM13" s="93">
        <v>0</v>
      </c>
      <c r="BN13" s="93">
        <v>0</v>
      </c>
      <c r="BO13" s="93">
        <v>0</v>
      </c>
      <c r="BP13" s="93">
        <v>0</v>
      </c>
      <c r="BQ13" s="93">
        <v>0</v>
      </c>
      <c r="BR13" s="93">
        <v>0</v>
      </c>
      <c r="BS13" s="93">
        <v>0</v>
      </c>
      <c r="BT13" s="93">
        <v>0</v>
      </c>
      <c r="BU13" s="93">
        <v>0</v>
      </c>
      <c r="BV13" s="93">
        <v>0</v>
      </c>
      <c r="BW13" s="93">
        <v>0</v>
      </c>
      <c r="BX13" s="93">
        <v>0</v>
      </c>
      <c r="BY13" s="93">
        <v>0</v>
      </c>
      <c r="BZ13" s="93">
        <v>0</v>
      </c>
      <c r="CA13" s="93">
        <v>0</v>
      </c>
      <c r="CB13" s="93">
        <v>0</v>
      </c>
      <c r="CC13" s="93">
        <v>0</v>
      </c>
      <c r="CD13" s="93">
        <v>0</v>
      </c>
      <c r="CE13" s="93">
        <v>0</v>
      </c>
      <c r="CF13" s="93">
        <v>0</v>
      </c>
      <c r="CG13" s="93">
        <v>0</v>
      </c>
      <c r="CH13" s="93">
        <v>0</v>
      </c>
      <c r="CI13" s="93">
        <v>0</v>
      </c>
      <c r="CJ13" s="93">
        <v>0</v>
      </c>
      <c r="CK13" s="93">
        <v>0</v>
      </c>
      <c r="CL13" s="93">
        <v>0</v>
      </c>
      <c r="CM13" s="93">
        <v>0</v>
      </c>
      <c r="CN13" s="93">
        <v>0</v>
      </c>
      <c r="CO13" s="93">
        <v>0</v>
      </c>
      <c r="CP13" s="93">
        <v>0</v>
      </c>
      <c r="CQ13" s="93">
        <v>0</v>
      </c>
      <c r="CR13" s="93">
        <v>0</v>
      </c>
      <c r="CS13" s="93">
        <v>0</v>
      </c>
      <c r="CT13" s="93">
        <v>0</v>
      </c>
      <c r="CU13" s="93">
        <v>0</v>
      </c>
      <c r="CV13" s="93">
        <v>0</v>
      </c>
      <c r="CW13" s="93">
        <v>0</v>
      </c>
      <c r="CX13" s="93">
        <v>0</v>
      </c>
      <c r="CY13" s="93">
        <v>0</v>
      </c>
      <c r="CZ13" s="93">
        <v>0</v>
      </c>
      <c r="DA13" s="93">
        <v>0</v>
      </c>
      <c r="DB13" s="93">
        <v>0</v>
      </c>
      <c r="DC13" s="93">
        <v>0</v>
      </c>
      <c r="DD13" s="93">
        <v>0</v>
      </c>
      <c r="DE13" s="93">
        <v>0</v>
      </c>
      <c r="DF13" s="93">
        <v>0</v>
      </c>
      <c r="DG13" s="93">
        <v>0</v>
      </c>
      <c r="DH13" s="93">
        <v>0</v>
      </c>
      <c r="DI13" s="93">
        <v>0</v>
      </c>
      <c r="DJ13" s="93">
        <v>0</v>
      </c>
      <c r="DK13" s="93">
        <v>0</v>
      </c>
      <c r="DL13" s="93">
        <v>0</v>
      </c>
      <c r="DM13" s="93">
        <v>0</v>
      </c>
      <c r="DN13" s="93">
        <v>0</v>
      </c>
      <c r="DO13" s="93">
        <v>0</v>
      </c>
      <c r="DP13" s="93">
        <v>0</v>
      </c>
      <c r="DQ13" s="93">
        <v>0</v>
      </c>
      <c r="DR13" s="93">
        <v>0</v>
      </c>
      <c r="DS13" s="93">
        <v>0</v>
      </c>
      <c r="DT13" s="93">
        <v>0</v>
      </c>
      <c r="DU13" s="93">
        <v>0</v>
      </c>
      <c r="DV13" s="93">
        <v>0</v>
      </c>
      <c r="DW13" s="93">
        <v>0</v>
      </c>
      <c r="DX13" s="93">
        <v>0</v>
      </c>
      <c r="DY13" s="93">
        <v>0</v>
      </c>
      <c r="DZ13" s="93">
        <v>0</v>
      </c>
      <c r="EA13" s="93">
        <v>0</v>
      </c>
      <c r="EB13" s="93">
        <v>0</v>
      </c>
      <c r="EC13" s="93">
        <v>0</v>
      </c>
      <c r="ED13" s="93">
        <v>0</v>
      </c>
      <c r="EE13" s="93">
        <v>0</v>
      </c>
      <c r="EF13" s="93">
        <v>0</v>
      </c>
      <c r="EG13" s="93">
        <v>0</v>
      </c>
      <c r="EH13" s="93">
        <v>0</v>
      </c>
      <c r="EI13" s="93">
        <v>0</v>
      </c>
      <c r="EJ13" s="93">
        <v>0</v>
      </c>
      <c r="EK13" s="93">
        <v>0</v>
      </c>
      <c r="EL13" s="93">
        <v>0</v>
      </c>
      <c r="EM13" s="93">
        <v>0</v>
      </c>
      <c r="EN13" s="93">
        <v>0</v>
      </c>
      <c r="EO13" s="93">
        <v>0</v>
      </c>
      <c r="EP13" s="93">
        <v>0</v>
      </c>
      <c r="EQ13" s="93">
        <v>0</v>
      </c>
      <c r="ER13" s="93">
        <v>0</v>
      </c>
      <c r="ES13" s="93">
        <v>0</v>
      </c>
      <c r="ET13" s="93">
        <v>0</v>
      </c>
      <c r="EU13" s="93">
        <v>0</v>
      </c>
      <c r="EV13" s="93">
        <v>0</v>
      </c>
      <c r="EW13" s="93">
        <v>0</v>
      </c>
      <c r="EX13" s="93">
        <v>0</v>
      </c>
      <c r="EY13" s="93">
        <v>0</v>
      </c>
      <c r="EZ13" s="93">
        <v>0</v>
      </c>
      <c r="FA13" s="93">
        <v>0</v>
      </c>
      <c r="FB13" s="93">
        <v>0</v>
      </c>
      <c r="FC13" s="93">
        <v>0</v>
      </c>
      <c r="FD13" s="93">
        <v>0</v>
      </c>
      <c r="FE13" s="93">
        <v>0</v>
      </c>
      <c r="FF13" s="93">
        <v>0</v>
      </c>
      <c r="FG13" s="93">
        <v>0</v>
      </c>
      <c r="FH13" s="93">
        <v>0</v>
      </c>
      <c r="FI13" s="93">
        <v>0</v>
      </c>
      <c r="FJ13" s="93">
        <v>0</v>
      </c>
      <c r="FK13" s="93">
        <v>0</v>
      </c>
      <c r="FL13" s="93">
        <v>0</v>
      </c>
      <c r="FM13" s="93">
        <v>0</v>
      </c>
      <c r="FN13" s="93">
        <v>0</v>
      </c>
      <c r="FO13" s="93">
        <v>0</v>
      </c>
    </row>
    <row r="14" spans="1:171" x14ac:dyDescent="0.2">
      <c r="A14" s="120" t="s">
        <v>375</v>
      </c>
      <c r="B14" s="121"/>
      <c r="C14" s="93">
        <v>4.5735999999999999</v>
      </c>
      <c r="D14" s="93">
        <v>13.5518</v>
      </c>
      <c r="E14" s="93">
        <v>0</v>
      </c>
      <c r="F14" s="93">
        <v>15.6068</v>
      </c>
      <c r="G14" s="93">
        <v>4.9718</v>
      </c>
      <c r="H14" s="93">
        <v>9.2436000000000007</v>
      </c>
      <c r="I14" s="93">
        <v>17.874600000000001</v>
      </c>
      <c r="J14" s="93">
        <v>10.165800000000001</v>
      </c>
      <c r="K14" s="93">
        <v>12.6402</v>
      </c>
      <c r="L14" s="93">
        <v>18.0626</v>
      </c>
      <c r="M14" s="93">
        <v>10.612299999999999</v>
      </c>
      <c r="N14" s="93">
        <v>0</v>
      </c>
      <c r="O14" s="93">
        <v>12.0404</v>
      </c>
      <c r="P14" s="93">
        <v>11.5099</v>
      </c>
      <c r="Q14" s="93">
        <v>9.3245000000000005</v>
      </c>
      <c r="R14" s="93">
        <v>28.050799999999999</v>
      </c>
      <c r="S14" s="93">
        <v>19.4191</v>
      </c>
      <c r="T14" s="93">
        <v>3.4030999999999998</v>
      </c>
      <c r="U14" s="93">
        <v>7.5940000000000003</v>
      </c>
      <c r="V14" s="93">
        <v>0</v>
      </c>
      <c r="W14" s="93">
        <v>0</v>
      </c>
      <c r="X14" s="93">
        <v>0</v>
      </c>
      <c r="Y14" s="93">
        <v>11.8231</v>
      </c>
      <c r="Z14" s="93">
        <v>0</v>
      </c>
      <c r="AA14" s="93">
        <v>6.7572000000000001</v>
      </c>
      <c r="AB14" s="93">
        <v>10.7814</v>
      </c>
      <c r="AC14" s="93">
        <v>14.024100000000001</v>
      </c>
      <c r="AD14" s="93">
        <v>6.2234999999999996</v>
      </c>
      <c r="AE14" s="93">
        <v>7.5019999999999998</v>
      </c>
      <c r="AF14" s="93">
        <v>1.464</v>
      </c>
      <c r="AG14" s="93">
        <v>6.4725000000000001</v>
      </c>
      <c r="AH14" s="93">
        <v>5.0852000000000004</v>
      </c>
      <c r="AI14" s="93">
        <v>4.4355000000000002</v>
      </c>
      <c r="AJ14" s="93">
        <v>0</v>
      </c>
      <c r="AK14" s="93">
        <v>8.9739000000000004</v>
      </c>
      <c r="AL14" s="93">
        <v>0</v>
      </c>
      <c r="AM14" s="93">
        <v>0</v>
      </c>
      <c r="AN14" s="93">
        <v>10.5083</v>
      </c>
      <c r="AO14" s="93">
        <v>7.2944000000000004</v>
      </c>
      <c r="AP14" s="93">
        <v>0</v>
      </c>
      <c r="AQ14" s="93">
        <v>6.6528999999999998</v>
      </c>
      <c r="AR14" s="93">
        <v>0</v>
      </c>
      <c r="AS14" s="93">
        <v>10.7561</v>
      </c>
      <c r="AT14" s="93">
        <v>3.4817999999999998</v>
      </c>
      <c r="AU14" s="93">
        <v>0</v>
      </c>
      <c r="AV14" s="93">
        <v>3.0558999999999998</v>
      </c>
      <c r="AW14" s="93">
        <v>0</v>
      </c>
      <c r="AX14" s="93">
        <v>3.3940999999999999</v>
      </c>
      <c r="AY14" s="93">
        <v>14.7684</v>
      </c>
      <c r="AZ14" s="93">
        <v>0</v>
      </c>
      <c r="BA14" s="93">
        <v>4.0063000000000004</v>
      </c>
      <c r="BB14" s="93">
        <v>3.2473999999999998</v>
      </c>
      <c r="BC14" s="93">
        <v>7.5441000000000003</v>
      </c>
      <c r="BD14" s="93">
        <v>3.9855</v>
      </c>
      <c r="BE14" s="93">
        <v>0</v>
      </c>
      <c r="BF14" s="93">
        <v>2.1019000000000001</v>
      </c>
      <c r="BG14" s="93">
        <v>0</v>
      </c>
      <c r="BH14" s="93">
        <v>0</v>
      </c>
      <c r="BI14" s="93">
        <v>2.3593000000000002</v>
      </c>
      <c r="BJ14" s="93">
        <v>18.5534</v>
      </c>
      <c r="BK14" s="93">
        <v>31.2559</v>
      </c>
      <c r="BL14" s="93">
        <v>16.3779</v>
      </c>
      <c r="BM14" s="93">
        <v>12.257</v>
      </c>
      <c r="BN14" s="93">
        <v>37.878500000000003</v>
      </c>
      <c r="BO14" s="93">
        <v>12.1782</v>
      </c>
      <c r="BP14" s="93">
        <v>9.6933000000000007</v>
      </c>
      <c r="BQ14" s="93">
        <v>3.2189999999999999</v>
      </c>
      <c r="BR14" s="93">
        <v>0</v>
      </c>
      <c r="BS14" s="93">
        <v>11.8909</v>
      </c>
      <c r="BT14" s="93">
        <v>9.6648999999999994</v>
      </c>
      <c r="BU14" s="93">
        <v>0</v>
      </c>
      <c r="BV14" s="93">
        <v>7.8585000000000003</v>
      </c>
      <c r="BW14" s="93">
        <v>12.3756</v>
      </c>
      <c r="BX14" s="93">
        <v>2.5099999999999998</v>
      </c>
      <c r="BY14" s="93">
        <v>18.359400000000001</v>
      </c>
      <c r="BZ14" s="93">
        <v>7.5461999999999998</v>
      </c>
      <c r="CA14" s="93">
        <v>9.7330000000000005</v>
      </c>
      <c r="CB14" s="93">
        <v>2.6229</v>
      </c>
      <c r="CC14" s="93">
        <v>3.7254</v>
      </c>
      <c r="CD14" s="93">
        <v>0</v>
      </c>
      <c r="CE14" s="93">
        <v>8.4497999999999998</v>
      </c>
      <c r="CF14" s="93">
        <v>0</v>
      </c>
      <c r="CG14" s="93">
        <v>0</v>
      </c>
      <c r="CH14" s="93">
        <v>30.7712</v>
      </c>
      <c r="CI14" s="93">
        <v>0</v>
      </c>
      <c r="CJ14" s="93">
        <v>2.5419</v>
      </c>
      <c r="CK14" s="93">
        <v>0</v>
      </c>
      <c r="CL14" s="93">
        <v>0</v>
      </c>
      <c r="CM14" s="93">
        <v>10.4541</v>
      </c>
      <c r="CN14" s="93">
        <v>5.9238999999999997</v>
      </c>
      <c r="CO14" s="93">
        <v>106.2683</v>
      </c>
      <c r="CP14" s="93">
        <v>15.6083</v>
      </c>
      <c r="CQ14" s="93">
        <v>27.169699999999999</v>
      </c>
      <c r="CR14" s="93">
        <v>18.939800000000002</v>
      </c>
      <c r="CS14" s="93">
        <v>12.045500000000001</v>
      </c>
      <c r="CT14" s="93">
        <v>0</v>
      </c>
      <c r="CU14" s="93">
        <v>8.3196999999999992</v>
      </c>
      <c r="CV14" s="93">
        <v>25.5715</v>
      </c>
      <c r="CW14" s="93">
        <v>6.0978000000000003</v>
      </c>
      <c r="CX14" s="93">
        <v>6.4892000000000003</v>
      </c>
      <c r="CY14" s="93">
        <v>2.3163</v>
      </c>
      <c r="CZ14" s="93">
        <v>0</v>
      </c>
      <c r="DA14" s="93">
        <v>2.4218999999999999</v>
      </c>
      <c r="DB14" s="93">
        <v>3.5844</v>
      </c>
      <c r="DC14" s="93">
        <v>16.6557</v>
      </c>
      <c r="DD14" s="93">
        <v>26.796900000000001</v>
      </c>
      <c r="DE14" s="93">
        <v>5.8747999999999996</v>
      </c>
      <c r="DF14" s="93">
        <v>0</v>
      </c>
      <c r="DG14" s="93">
        <v>11.6418</v>
      </c>
      <c r="DH14" s="93">
        <v>0</v>
      </c>
      <c r="DI14" s="93">
        <v>9.6473999999999993</v>
      </c>
      <c r="DJ14" s="93">
        <v>6.1970000000000001</v>
      </c>
      <c r="DK14" s="93">
        <v>9.0045999999999999</v>
      </c>
      <c r="DL14" s="93">
        <v>0</v>
      </c>
      <c r="DM14" s="93">
        <v>20.263500000000001</v>
      </c>
      <c r="DN14" s="93">
        <v>12.069100000000001</v>
      </c>
      <c r="DO14" s="93">
        <v>31.613700000000001</v>
      </c>
      <c r="DP14" s="93">
        <v>0</v>
      </c>
      <c r="DQ14" s="93">
        <v>0</v>
      </c>
      <c r="DR14" s="93">
        <v>9.1889000000000003</v>
      </c>
      <c r="DS14" s="93">
        <v>0</v>
      </c>
      <c r="DT14" s="93">
        <v>6.9592000000000001</v>
      </c>
      <c r="DU14" s="93">
        <v>23.027799999999999</v>
      </c>
      <c r="DV14" s="93">
        <v>6.4062000000000001</v>
      </c>
      <c r="DW14" s="93">
        <v>5.9939999999999998</v>
      </c>
      <c r="DX14" s="93">
        <v>0</v>
      </c>
      <c r="DY14" s="93">
        <v>6.2934000000000001</v>
      </c>
      <c r="DZ14" s="93">
        <v>3.6040999999999999</v>
      </c>
      <c r="EA14" s="93">
        <v>7.1680000000000001</v>
      </c>
      <c r="EB14" s="93">
        <v>28.531700000000001</v>
      </c>
      <c r="EC14" s="93">
        <v>2.1711</v>
      </c>
      <c r="ED14" s="93">
        <v>0</v>
      </c>
      <c r="EE14" s="93">
        <v>0</v>
      </c>
      <c r="EF14" s="93">
        <v>1.8216000000000001</v>
      </c>
      <c r="EG14" s="93">
        <v>2.7658</v>
      </c>
      <c r="EH14" s="93">
        <v>3.6257000000000001</v>
      </c>
      <c r="EI14" s="93">
        <v>2.0139</v>
      </c>
      <c r="EJ14" s="93">
        <v>4.9829999999999997</v>
      </c>
      <c r="EK14" s="93">
        <v>0</v>
      </c>
      <c r="EL14" s="93">
        <v>2.6705999999999999</v>
      </c>
      <c r="EM14" s="93">
        <v>4.9530000000000003</v>
      </c>
      <c r="EN14" s="93">
        <v>3.3567999999999998</v>
      </c>
      <c r="EO14" s="93">
        <v>0</v>
      </c>
      <c r="EP14" s="93">
        <v>2.6324000000000001</v>
      </c>
      <c r="EQ14" s="93">
        <v>0</v>
      </c>
      <c r="ER14" s="93">
        <v>13.3017</v>
      </c>
      <c r="ES14" s="93">
        <v>0</v>
      </c>
      <c r="ET14" s="93">
        <v>3.7056</v>
      </c>
      <c r="EU14" s="93">
        <v>10.815</v>
      </c>
      <c r="EV14" s="93">
        <v>7.7991999999999999</v>
      </c>
      <c r="EW14" s="93">
        <v>0</v>
      </c>
      <c r="EX14" s="93">
        <v>20.609200000000001</v>
      </c>
      <c r="EY14" s="93">
        <v>9.4908999999999999</v>
      </c>
      <c r="EZ14" s="93">
        <v>23.048500000000001</v>
      </c>
      <c r="FA14" s="93">
        <v>0</v>
      </c>
      <c r="FB14" s="93">
        <v>0</v>
      </c>
      <c r="FC14" s="93">
        <v>9.8602000000000007</v>
      </c>
      <c r="FD14" s="93">
        <v>0</v>
      </c>
      <c r="FE14" s="93">
        <v>4.9309000000000003</v>
      </c>
      <c r="FF14" s="93">
        <v>13.0997</v>
      </c>
      <c r="FG14" s="93">
        <v>2.4714999999999998</v>
      </c>
      <c r="FH14" s="93">
        <v>2.5310999999999999</v>
      </c>
      <c r="FI14" s="93">
        <v>9.6967999999999996</v>
      </c>
      <c r="FJ14" s="93">
        <v>26.733899999999998</v>
      </c>
      <c r="FK14" s="93">
        <v>61.351199999999999</v>
      </c>
      <c r="FL14" s="93">
        <v>2.6461000000000001</v>
      </c>
      <c r="FM14" s="93">
        <v>8.9225999999999992</v>
      </c>
      <c r="FN14" s="93">
        <v>2.5371999999999999</v>
      </c>
      <c r="FO14" s="93">
        <v>0</v>
      </c>
    </row>
    <row r="15" spans="1:171" x14ac:dyDescent="0.2">
      <c r="A15" s="120" t="s">
        <v>376</v>
      </c>
      <c r="B15" s="121"/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  <c r="AA15" s="93">
        <v>0</v>
      </c>
      <c r="AB15" s="93">
        <v>0</v>
      </c>
      <c r="AC15" s="93">
        <v>0</v>
      </c>
      <c r="AD15" s="93">
        <v>0</v>
      </c>
      <c r="AE15" s="93">
        <v>0</v>
      </c>
      <c r="AF15" s="93">
        <v>0</v>
      </c>
      <c r="AG15" s="93">
        <v>0</v>
      </c>
      <c r="AH15" s="93">
        <v>0</v>
      </c>
      <c r="AI15" s="93">
        <v>0</v>
      </c>
      <c r="AJ15" s="93">
        <v>0</v>
      </c>
      <c r="AK15" s="93">
        <v>0</v>
      </c>
      <c r="AL15" s="93">
        <v>0</v>
      </c>
      <c r="AM15" s="93">
        <v>0</v>
      </c>
      <c r="AN15" s="93">
        <v>0</v>
      </c>
      <c r="AO15" s="93">
        <v>0</v>
      </c>
      <c r="AP15" s="93">
        <v>0</v>
      </c>
      <c r="AQ15" s="93">
        <v>0</v>
      </c>
      <c r="AR15" s="93">
        <v>0</v>
      </c>
      <c r="AS15" s="93">
        <v>0</v>
      </c>
      <c r="AT15" s="93">
        <v>0</v>
      </c>
      <c r="AU15" s="93">
        <v>0</v>
      </c>
      <c r="AV15" s="93">
        <v>0</v>
      </c>
      <c r="AW15" s="93">
        <v>0</v>
      </c>
      <c r="AX15" s="93">
        <v>0</v>
      </c>
      <c r="AY15" s="93">
        <v>0</v>
      </c>
      <c r="AZ15" s="93">
        <v>0</v>
      </c>
      <c r="BA15" s="93">
        <v>0</v>
      </c>
      <c r="BB15" s="93">
        <v>0</v>
      </c>
      <c r="BC15" s="93">
        <v>0</v>
      </c>
      <c r="BD15" s="93">
        <v>0</v>
      </c>
      <c r="BE15" s="93">
        <v>0</v>
      </c>
      <c r="BF15" s="93">
        <v>0</v>
      </c>
      <c r="BG15" s="93">
        <v>0</v>
      </c>
      <c r="BH15" s="93">
        <v>0</v>
      </c>
      <c r="BI15" s="93">
        <v>0</v>
      </c>
      <c r="BJ15" s="93">
        <v>0</v>
      </c>
      <c r="BK15" s="93">
        <v>0</v>
      </c>
      <c r="BL15" s="93">
        <v>0</v>
      </c>
      <c r="BM15" s="93">
        <v>0</v>
      </c>
      <c r="BN15" s="93">
        <v>0</v>
      </c>
      <c r="BO15" s="93">
        <v>0</v>
      </c>
      <c r="BP15" s="93">
        <v>0</v>
      </c>
      <c r="BQ15" s="93">
        <v>0</v>
      </c>
      <c r="BR15" s="93">
        <v>0</v>
      </c>
      <c r="BS15" s="93">
        <v>0</v>
      </c>
      <c r="BT15" s="93">
        <v>0</v>
      </c>
      <c r="BU15" s="93">
        <v>0</v>
      </c>
      <c r="BV15" s="93">
        <v>0</v>
      </c>
      <c r="BW15" s="93">
        <v>0</v>
      </c>
      <c r="BX15" s="93">
        <v>0</v>
      </c>
      <c r="BY15" s="93">
        <v>0</v>
      </c>
      <c r="BZ15" s="93">
        <v>0</v>
      </c>
      <c r="CA15" s="93">
        <v>0</v>
      </c>
      <c r="CB15" s="93">
        <v>0</v>
      </c>
      <c r="CC15" s="93">
        <v>0</v>
      </c>
      <c r="CD15" s="93">
        <v>0</v>
      </c>
      <c r="CE15" s="93">
        <v>0</v>
      </c>
      <c r="CF15" s="93">
        <v>0</v>
      </c>
      <c r="CG15" s="93">
        <v>0</v>
      </c>
      <c r="CH15" s="93">
        <v>0</v>
      </c>
      <c r="CI15" s="93">
        <v>0</v>
      </c>
      <c r="CJ15" s="93">
        <v>0</v>
      </c>
      <c r="CK15" s="93">
        <v>0</v>
      </c>
      <c r="CL15" s="93">
        <v>0</v>
      </c>
      <c r="CM15" s="93">
        <v>0</v>
      </c>
      <c r="CN15" s="93">
        <v>0</v>
      </c>
      <c r="CO15" s="93">
        <v>0</v>
      </c>
      <c r="CP15" s="93">
        <v>0</v>
      </c>
      <c r="CQ15" s="93">
        <v>0</v>
      </c>
      <c r="CR15" s="93">
        <v>0</v>
      </c>
      <c r="CS15" s="93">
        <v>0</v>
      </c>
      <c r="CT15" s="93">
        <v>0</v>
      </c>
      <c r="CU15" s="93">
        <v>0</v>
      </c>
      <c r="CV15" s="93">
        <v>0</v>
      </c>
      <c r="CW15" s="93">
        <v>0</v>
      </c>
      <c r="CX15" s="93">
        <v>0</v>
      </c>
      <c r="CY15" s="93">
        <v>0</v>
      </c>
      <c r="CZ15" s="93">
        <v>0</v>
      </c>
      <c r="DA15" s="93">
        <v>0</v>
      </c>
      <c r="DB15" s="93">
        <v>0</v>
      </c>
      <c r="DC15" s="93">
        <v>0</v>
      </c>
      <c r="DD15" s="93">
        <v>0</v>
      </c>
      <c r="DE15" s="93">
        <v>0</v>
      </c>
      <c r="DF15" s="93">
        <v>0</v>
      </c>
      <c r="DG15" s="93">
        <v>0</v>
      </c>
      <c r="DH15" s="93">
        <v>0</v>
      </c>
      <c r="DI15" s="93">
        <v>0</v>
      </c>
      <c r="DJ15" s="93">
        <v>0</v>
      </c>
      <c r="DK15" s="93">
        <v>0</v>
      </c>
      <c r="DL15" s="93">
        <v>0</v>
      </c>
      <c r="DM15" s="93">
        <v>0</v>
      </c>
      <c r="DN15" s="93">
        <v>0</v>
      </c>
      <c r="DO15" s="93">
        <v>0</v>
      </c>
      <c r="DP15" s="93">
        <v>0</v>
      </c>
      <c r="DQ15" s="93">
        <v>0</v>
      </c>
      <c r="DR15" s="93">
        <v>0</v>
      </c>
      <c r="DS15" s="93">
        <v>0</v>
      </c>
      <c r="DT15" s="93">
        <v>0</v>
      </c>
      <c r="DU15" s="93">
        <v>0</v>
      </c>
      <c r="DV15" s="93">
        <v>0</v>
      </c>
      <c r="DW15" s="93">
        <v>0</v>
      </c>
      <c r="DX15" s="93">
        <v>0</v>
      </c>
      <c r="DY15" s="93">
        <v>0</v>
      </c>
      <c r="DZ15" s="93">
        <v>0</v>
      </c>
      <c r="EA15" s="93">
        <v>0</v>
      </c>
      <c r="EB15" s="93">
        <v>0</v>
      </c>
      <c r="EC15" s="93">
        <v>0</v>
      </c>
      <c r="ED15" s="93">
        <v>0</v>
      </c>
      <c r="EE15" s="93">
        <v>0</v>
      </c>
      <c r="EF15" s="93">
        <v>0</v>
      </c>
      <c r="EG15" s="93">
        <v>0</v>
      </c>
      <c r="EH15" s="93">
        <v>0</v>
      </c>
      <c r="EI15" s="93">
        <v>0</v>
      </c>
      <c r="EJ15" s="93">
        <v>0</v>
      </c>
      <c r="EK15" s="93">
        <v>0</v>
      </c>
      <c r="EL15" s="93">
        <v>0</v>
      </c>
      <c r="EM15" s="93">
        <v>0</v>
      </c>
      <c r="EN15" s="93">
        <v>0</v>
      </c>
      <c r="EO15" s="93">
        <v>0</v>
      </c>
      <c r="EP15" s="93">
        <v>0</v>
      </c>
      <c r="EQ15" s="93">
        <v>0</v>
      </c>
      <c r="ER15" s="93">
        <v>0</v>
      </c>
      <c r="ES15" s="93">
        <v>0</v>
      </c>
      <c r="ET15" s="93">
        <v>0</v>
      </c>
      <c r="EU15" s="93">
        <v>0</v>
      </c>
      <c r="EV15" s="93">
        <v>0</v>
      </c>
      <c r="EW15" s="93">
        <v>0</v>
      </c>
      <c r="EX15" s="93">
        <v>0</v>
      </c>
      <c r="EY15" s="93">
        <v>0</v>
      </c>
      <c r="EZ15" s="93">
        <v>0</v>
      </c>
      <c r="FA15" s="93">
        <v>0</v>
      </c>
      <c r="FB15" s="93">
        <v>0</v>
      </c>
      <c r="FC15" s="93">
        <v>0</v>
      </c>
      <c r="FD15" s="93">
        <v>0</v>
      </c>
      <c r="FE15" s="93">
        <v>0</v>
      </c>
      <c r="FF15" s="93">
        <v>0</v>
      </c>
      <c r="FG15" s="93">
        <v>0</v>
      </c>
      <c r="FH15" s="93">
        <v>0</v>
      </c>
      <c r="FI15" s="93">
        <v>0</v>
      </c>
      <c r="FJ15" s="93">
        <v>0</v>
      </c>
      <c r="FK15" s="93">
        <v>0</v>
      </c>
      <c r="FL15" s="93">
        <v>0</v>
      </c>
      <c r="FM15" s="93">
        <v>0</v>
      </c>
      <c r="FN15" s="93">
        <v>0</v>
      </c>
      <c r="FO15" s="93">
        <v>0</v>
      </c>
    </row>
    <row r="16" spans="1:171" x14ac:dyDescent="0.2">
      <c r="A16" s="120" t="s">
        <v>5</v>
      </c>
      <c r="B16" s="121"/>
      <c r="C16" s="93">
        <v>0</v>
      </c>
      <c r="D16" s="93">
        <v>0</v>
      </c>
      <c r="E16" s="93">
        <v>0</v>
      </c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  <c r="L16" s="93">
        <v>0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0</v>
      </c>
      <c r="X16" s="93">
        <v>0</v>
      </c>
      <c r="Y16" s="93">
        <v>0</v>
      </c>
      <c r="Z16" s="93">
        <v>0</v>
      </c>
      <c r="AA16" s="93">
        <v>0</v>
      </c>
      <c r="AB16" s="93">
        <v>0</v>
      </c>
      <c r="AC16" s="93">
        <v>0</v>
      </c>
      <c r="AD16" s="93">
        <v>0</v>
      </c>
      <c r="AE16" s="93">
        <v>0</v>
      </c>
      <c r="AF16" s="93">
        <v>0</v>
      </c>
      <c r="AG16" s="93">
        <v>0</v>
      </c>
      <c r="AH16" s="93">
        <v>0</v>
      </c>
      <c r="AI16" s="93">
        <v>0</v>
      </c>
      <c r="AJ16" s="93">
        <v>0</v>
      </c>
      <c r="AK16" s="93">
        <v>0</v>
      </c>
      <c r="AL16" s="93">
        <v>0</v>
      </c>
      <c r="AM16" s="93">
        <v>0</v>
      </c>
      <c r="AN16" s="93">
        <v>0</v>
      </c>
      <c r="AO16" s="93">
        <v>0</v>
      </c>
      <c r="AP16" s="93">
        <v>0</v>
      </c>
      <c r="AQ16" s="93">
        <v>0</v>
      </c>
      <c r="AR16" s="93">
        <v>0</v>
      </c>
      <c r="AS16" s="93">
        <v>0</v>
      </c>
      <c r="AT16" s="93">
        <v>0</v>
      </c>
      <c r="AU16" s="93">
        <v>0</v>
      </c>
      <c r="AV16" s="93">
        <v>0</v>
      </c>
      <c r="AW16" s="93">
        <v>0</v>
      </c>
      <c r="AX16" s="93">
        <v>0</v>
      </c>
      <c r="AY16" s="93">
        <v>0</v>
      </c>
      <c r="AZ16" s="93">
        <v>0</v>
      </c>
      <c r="BA16" s="93">
        <v>0</v>
      </c>
      <c r="BB16" s="93">
        <v>0</v>
      </c>
      <c r="BC16" s="93">
        <v>0</v>
      </c>
      <c r="BD16" s="93">
        <v>0</v>
      </c>
      <c r="BE16" s="93">
        <v>0</v>
      </c>
      <c r="BF16" s="93">
        <v>0</v>
      </c>
      <c r="BG16" s="93">
        <v>0</v>
      </c>
      <c r="BH16" s="93">
        <v>0</v>
      </c>
      <c r="BI16" s="93">
        <v>0</v>
      </c>
      <c r="BJ16" s="93">
        <v>0</v>
      </c>
      <c r="BK16" s="93">
        <v>0</v>
      </c>
      <c r="BL16" s="93">
        <v>0</v>
      </c>
      <c r="BM16" s="93">
        <v>0</v>
      </c>
      <c r="BN16" s="93">
        <v>0</v>
      </c>
      <c r="BO16" s="93">
        <v>0</v>
      </c>
      <c r="BP16" s="93">
        <v>0</v>
      </c>
      <c r="BQ16" s="93">
        <v>0</v>
      </c>
      <c r="BR16" s="93">
        <v>0</v>
      </c>
      <c r="BS16" s="93">
        <v>0</v>
      </c>
      <c r="BT16" s="93">
        <v>0</v>
      </c>
      <c r="BU16" s="93">
        <v>0</v>
      </c>
      <c r="BV16" s="93">
        <v>0</v>
      </c>
      <c r="BW16" s="93">
        <v>0</v>
      </c>
      <c r="BX16" s="93">
        <v>0</v>
      </c>
      <c r="BY16" s="93">
        <v>0</v>
      </c>
      <c r="BZ16" s="93">
        <v>0</v>
      </c>
      <c r="CA16" s="93">
        <v>0</v>
      </c>
      <c r="CB16" s="93">
        <v>0</v>
      </c>
      <c r="CC16" s="93">
        <v>0</v>
      </c>
      <c r="CD16" s="93">
        <v>0</v>
      </c>
      <c r="CE16" s="93">
        <v>0</v>
      </c>
      <c r="CF16" s="93">
        <v>0</v>
      </c>
      <c r="CG16" s="93">
        <v>0</v>
      </c>
      <c r="CH16" s="93">
        <v>0</v>
      </c>
      <c r="CI16" s="93">
        <v>0</v>
      </c>
      <c r="CJ16" s="93">
        <v>0</v>
      </c>
      <c r="CK16" s="93">
        <v>0</v>
      </c>
      <c r="CL16" s="93">
        <v>0</v>
      </c>
      <c r="CM16" s="93">
        <v>0</v>
      </c>
      <c r="CN16" s="93">
        <v>0</v>
      </c>
      <c r="CO16" s="93">
        <v>0</v>
      </c>
      <c r="CP16" s="93">
        <v>0</v>
      </c>
      <c r="CQ16" s="93">
        <v>0</v>
      </c>
      <c r="CR16" s="93">
        <v>0</v>
      </c>
      <c r="CS16" s="93">
        <v>0</v>
      </c>
      <c r="CT16" s="93">
        <v>0</v>
      </c>
      <c r="CU16" s="93">
        <v>0</v>
      </c>
      <c r="CV16" s="93">
        <v>0</v>
      </c>
      <c r="CW16" s="93">
        <v>0</v>
      </c>
      <c r="CX16" s="93">
        <v>0</v>
      </c>
      <c r="CY16" s="93">
        <v>0</v>
      </c>
      <c r="CZ16" s="93">
        <v>0</v>
      </c>
      <c r="DA16" s="93">
        <v>0</v>
      </c>
      <c r="DB16" s="93">
        <v>0</v>
      </c>
      <c r="DC16" s="93">
        <v>0</v>
      </c>
      <c r="DD16" s="93">
        <v>0</v>
      </c>
      <c r="DE16" s="93">
        <v>0</v>
      </c>
      <c r="DF16" s="93">
        <v>0</v>
      </c>
      <c r="DG16" s="93">
        <v>0</v>
      </c>
      <c r="DH16" s="93">
        <v>0</v>
      </c>
      <c r="DI16" s="93">
        <v>0</v>
      </c>
      <c r="DJ16" s="93">
        <v>0</v>
      </c>
      <c r="DK16" s="93">
        <v>0</v>
      </c>
      <c r="DL16" s="93">
        <v>0</v>
      </c>
      <c r="DM16" s="93">
        <v>0</v>
      </c>
      <c r="DN16" s="93">
        <v>0</v>
      </c>
      <c r="DO16" s="93">
        <v>0</v>
      </c>
      <c r="DP16" s="93">
        <v>0</v>
      </c>
      <c r="DQ16" s="93">
        <v>0</v>
      </c>
      <c r="DR16" s="93">
        <v>0</v>
      </c>
      <c r="DS16" s="93">
        <v>0</v>
      </c>
      <c r="DT16" s="93">
        <v>0</v>
      </c>
      <c r="DU16" s="93">
        <v>0</v>
      </c>
      <c r="DV16" s="93">
        <v>0</v>
      </c>
      <c r="DW16" s="93">
        <v>0</v>
      </c>
      <c r="DX16" s="93">
        <v>0</v>
      </c>
      <c r="DY16" s="93">
        <v>0</v>
      </c>
      <c r="DZ16" s="93">
        <v>0</v>
      </c>
      <c r="EA16" s="93">
        <v>0</v>
      </c>
      <c r="EB16" s="93">
        <v>0</v>
      </c>
      <c r="EC16" s="93">
        <v>0</v>
      </c>
      <c r="ED16" s="93">
        <v>0</v>
      </c>
      <c r="EE16" s="93">
        <v>0</v>
      </c>
      <c r="EF16" s="93">
        <v>0</v>
      </c>
      <c r="EG16" s="93">
        <v>0</v>
      </c>
      <c r="EH16" s="93">
        <v>0</v>
      </c>
      <c r="EI16" s="93">
        <v>0</v>
      </c>
      <c r="EJ16" s="93">
        <v>0</v>
      </c>
      <c r="EK16" s="93">
        <v>0</v>
      </c>
      <c r="EL16" s="93">
        <v>0</v>
      </c>
      <c r="EM16" s="93">
        <v>0</v>
      </c>
      <c r="EN16" s="93">
        <v>0</v>
      </c>
      <c r="EO16" s="93">
        <v>0</v>
      </c>
      <c r="EP16" s="93">
        <v>0</v>
      </c>
      <c r="EQ16" s="93">
        <v>0</v>
      </c>
      <c r="ER16" s="93">
        <v>0</v>
      </c>
      <c r="ES16" s="93">
        <v>0</v>
      </c>
      <c r="ET16" s="93">
        <v>0</v>
      </c>
      <c r="EU16" s="93">
        <v>0</v>
      </c>
      <c r="EV16" s="93">
        <v>0</v>
      </c>
      <c r="EW16" s="93">
        <v>0</v>
      </c>
      <c r="EX16" s="93">
        <v>0</v>
      </c>
      <c r="EY16" s="93">
        <v>0</v>
      </c>
      <c r="EZ16" s="93">
        <v>0</v>
      </c>
      <c r="FA16" s="93">
        <v>0</v>
      </c>
      <c r="FB16" s="93">
        <v>0</v>
      </c>
      <c r="FC16" s="93">
        <v>0</v>
      </c>
      <c r="FD16" s="93">
        <v>0</v>
      </c>
      <c r="FE16" s="93">
        <v>0</v>
      </c>
      <c r="FF16" s="93">
        <v>0</v>
      </c>
      <c r="FG16" s="93">
        <v>0</v>
      </c>
      <c r="FH16" s="93">
        <v>0</v>
      </c>
      <c r="FI16" s="93">
        <v>0</v>
      </c>
      <c r="FJ16" s="93">
        <v>0</v>
      </c>
      <c r="FK16" s="93">
        <v>0</v>
      </c>
      <c r="FL16" s="93">
        <v>0</v>
      </c>
      <c r="FM16" s="93">
        <v>0</v>
      </c>
      <c r="FN16" s="93">
        <v>0</v>
      </c>
      <c r="FO16" s="93">
        <v>0</v>
      </c>
    </row>
    <row r="17" spans="1:171" x14ac:dyDescent="0.2">
      <c r="A17" s="120" t="s">
        <v>10</v>
      </c>
      <c r="B17" s="121"/>
      <c r="C17" s="93">
        <v>581.25279999999998</v>
      </c>
      <c r="D17" s="93">
        <v>713.9393</v>
      </c>
      <c r="E17" s="93">
        <v>750.27059999999994</v>
      </c>
      <c r="F17" s="93">
        <v>936.8184</v>
      </c>
      <c r="G17" s="93">
        <v>1043.5820000000001</v>
      </c>
      <c r="H17" s="93">
        <v>1163.8719000000001</v>
      </c>
      <c r="I17" s="93">
        <v>562.46870000000001</v>
      </c>
      <c r="J17" s="93">
        <v>296.79300000000001</v>
      </c>
      <c r="K17" s="93">
        <v>270.4212</v>
      </c>
      <c r="L17" s="93">
        <v>870.5847</v>
      </c>
      <c r="M17" s="93">
        <v>243.85570000000001</v>
      </c>
      <c r="N17" s="93">
        <v>1351.9009000000001</v>
      </c>
      <c r="O17" s="93">
        <v>1009.044</v>
      </c>
      <c r="P17" s="93">
        <v>971.5933</v>
      </c>
      <c r="Q17" s="93">
        <v>1176.8737000000001</v>
      </c>
      <c r="R17" s="93">
        <v>7198.3233</v>
      </c>
      <c r="S17" s="93">
        <v>100.28879999999999</v>
      </c>
      <c r="T17" s="93">
        <v>380.47739999999999</v>
      </c>
      <c r="U17" s="93">
        <v>801.46220000000005</v>
      </c>
      <c r="V17" s="93">
        <v>295.14280000000002</v>
      </c>
      <c r="W17" s="93">
        <v>1511.2302999999999</v>
      </c>
      <c r="X17" s="93">
        <v>291.93520000000001</v>
      </c>
      <c r="Y17" s="93">
        <v>697.1943</v>
      </c>
      <c r="Z17" s="93">
        <v>5125.6558000000005</v>
      </c>
      <c r="AA17" s="93">
        <v>276.2371</v>
      </c>
      <c r="AB17" s="93">
        <v>590.49199999999996</v>
      </c>
      <c r="AC17" s="93">
        <v>417.07130000000001</v>
      </c>
      <c r="AD17" s="93">
        <v>972.9375</v>
      </c>
      <c r="AE17" s="93">
        <v>274.81020000000001</v>
      </c>
      <c r="AF17" s="93">
        <v>628.06299999999999</v>
      </c>
      <c r="AG17" s="93">
        <v>1942.1166000000001</v>
      </c>
      <c r="AH17" s="93">
        <v>392.75560000000002</v>
      </c>
      <c r="AI17" s="93">
        <v>1849.0684000000001</v>
      </c>
      <c r="AJ17" s="93">
        <v>1711.1034</v>
      </c>
      <c r="AK17" s="93">
        <v>479.81189999999998</v>
      </c>
      <c r="AL17" s="93">
        <v>800.21699999999998</v>
      </c>
      <c r="AM17" s="93">
        <v>1525.0146</v>
      </c>
      <c r="AN17" s="93">
        <v>800.71209999999996</v>
      </c>
      <c r="AO17" s="93">
        <v>184.50239999999999</v>
      </c>
      <c r="AP17" s="93">
        <v>1079.7032999999999</v>
      </c>
      <c r="AQ17" s="93">
        <v>1328.6848</v>
      </c>
      <c r="AR17" s="93">
        <v>613.33709999999996</v>
      </c>
      <c r="AS17" s="93">
        <v>9247.9109000000008</v>
      </c>
      <c r="AT17" s="93">
        <v>2093.3800999999999</v>
      </c>
      <c r="AU17" s="93">
        <v>148.94220000000001</v>
      </c>
      <c r="AV17" s="93">
        <v>46.140900000000002</v>
      </c>
      <c r="AW17" s="93">
        <v>595.94290000000001</v>
      </c>
      <c r="AX17" s="93">
        <v>925.64089999999999</v>
      </c>
      <c r="AY17" s="93">
        <v>2016.8524</v>
      </c>
      <c r="AZ17" s="93">
        <v>87.216099999999997</v>
      </c>
      <c r="BA17" s="93">
        <v>529.53420000000006</v>
      </c>
      <c r="BB17" s="93">
        <v>254.91540000000001</v>
      </c>
      <c r="BC17" s="93">
        <v>1268.0491</v>
      </c>
      <c r="BD17" s="93">
        <v>1231.7808</v>
      </c>
      <c r="BE17" s="93">
        <v>121.8609</v>
      </c>
      <c r="BF17" s="93">
        <v>2632.6329000000001</v>
      </c>
      <c r="BG17" s="93">
        <v>253.85169999999999</v>
      </c>
      <c r="BH17" s="93">
        <v>2142.3467999999998</v>
      </c>
      <c r="BI17" s="93">
        <v>2283.5066000000002</v>
      </c>
      <c r="BJ17" s="93">
        <v>4461.4551000000001</v>
      </c>
      <c r="BK17" s="93">
        <v>2332.1084000000001</v>
      </c>
      <c r="BL17" s="93">
        <v>13867.9737</v>
      </c>
      <c r="BM17" s="93">
        <v>3070.8996000000002</v>
      </c>
      <c r="BN17" s="93">
        <v>13858.2058</v>
      </c>
      <c r="BO17" s="93">
        <v>10609.71</v>
      </c>
      <c r="BP17" s="93">
        <v>10528.960499999999</v>
      </c>
      <c r="BQ17" s="93">
        <v>3112.5068000000001</v>
      </c>
      <c r="BR17" s="93">
        <v>397.59690000000001</v>
      </c>
      <c r="BS17" s="93">
        <v>8497.6293999999998</v>
      </c>
      <c r="BT17" s="93">
        <v>6033.9632000000001</v>
      </c>
      <c r="BU17" s="93">
        <v>2067.8667</v>
      </c>
      <c r="BV17" s="93">
        <v>1471.4179999999999</v>
      </c>
      <c r="BW17" s="93">
        <v>2340.5938000000001</v>
      </c>
      <c r="BX17" s="93">
        <v>654.37670000000003</v>
      </c>
      <c r="BY17" s="93">
        <v>1666.0842</v>
      </c>
      <c r="BZ17" s="93">
        <v>1085.096</v>
      </c>
      <c r="CA17" s="93">
        <v>1525.0487000000001</v>
      </c>
      <c r="CB17" s="93">
        <v>1132.7927</v>
      </c>
      <c r="CC17" s="93">
        <v>1308.1454000000001</v>
      </c>
      <c r="CD17" s="93">
        <v>690.50580000000002</v>
      </c>
      <c r="CE17" s="93">
        <v>4744.7700000000004</v>
      </c>
      <c r="CF17" s="93">
        <v>440.41430000000003</v>
      </c>
      <c r="CG17" s="93">
        <v>488.88850000000002</v>
      </c>
      <c r="CH17" s="93">
        <v>198.56100000000001</v>
      </c>
      <c r="CI17" s="93">
        <v>862.65319999999997</v>
      </c>
      <c r="CJ17" s="93">
        <v>909.41970000000003</v>
      </c>
      <c r="CK17" s="93">
        <v>135.96</v>
      </c>
      <c r="CL17" s="93">
        <v>522.44359999999995</v>
      </c>
      <c r="CM17" s="93">
        <v>274.5949</v>
      </c>
      <c r="CN17" s="93">
        <v>119.541</v>
      </c>
      <c r="CO17" s="93">
        <v>374.77019999999999</v>
      </c>
      <c r="CP17" s="93">
        <v>941.58119999999997</v>
      </c>
      <c r="CQ17" s="93">
        <v>1381.836</v>
      </c>
      <c r="CR17" s="93">
        <v>628.18910000000005</v>
      </c>
      <c r="CS17" s="93">
        <v>156.58430000000001</v>
      </c>
      <c r="CT17" s="93">
        <v>141.49549999999999</v>
      </c>
      <c r="CU17" s="93">
        <v>705.02440000000001</v>
      </c>
      <c r="CV17" s="93">
        <v>3276.9857999999999</v>
      </c>
      <c r="CW17" s="93">
        <v>421.50330000000002</v>
      </c>
      <c r="CX17" s="93">
        <v>96.069599999999994</v>
      </c>
      <c r="CY17" s="93">
        <v>1539.1111000000001</v>
      </c>
      <c r="CZ17" s="93">
        <v>550.61130000000003</v>
      </c>
      <c r="DA17" s="93">
        <v>144.5351</v>
      </c>
      <c r="DB17" s="93">
        <v>1577.6559</v>
      </c>
      <c r="DC17" s="93">
        <v>978.14430000000004</v>
      </c>
      <c r="DD17" s="93">
        <v>196.5351</v>
      </c>
      <c r="DE17" s="93">
        <v>777.49940000000004</v>
      </c>
      <c r="DF17" s="93">
        <v>499.89080000000001</v>
      </c>
      <c r="DG17" s="93">
        <v>1841.828</v>
      </c>
      <c r="DH17" s="93">
        <v>102.72790000000001</v>
      </c>
      <c r="DI17" s="93">
        <v>744.47709999999995</v>
      </c>
      <c r="DJ17" s="93">
        <v>2365.0655000000002</v>
      </c>
      <c r="DK17" s="93">
        <v>1954.4922999999999</v>
      </c>
      <c r="DL17" s="93">
        <v>335.88810000000001</v>
      </c>
      <c r="DM17" s="93">
        <v>368.85419999999999</v>
      </c>
      <c r="DN17" s="93">
        <v>1628.4128000000001</v>
      </c>
      <c r="DO17" s="93">
        <v>1833.711</v>
      </c>
      <c r="DP17" s="93">
        <v>449.67849999999999</v>
      </c>
      <c r="DQ17" s="93">
        <v>381.25839999999999</v>
      </c>
      <c r="DR17" s="93">
        <v>190.23689999999999</v>
      </c>
      <c r="DS17" s="93">
        <v>438.2432</v>
      </c>
      <c r="DT17" s="93">
        <v>633.69029999999998</v>
      </c>
      <c r="DU17" s="93">
        <v>1496.9434000000001</v>
      </c>
      <c r="DV17" s="93">
        <v>499.75130000000001</v>
      </c>
      <c r="DW17" s="93">
        <v>449.66030000000001</v>
      </c>
      <c r="DX17" s="93">
        <v>1132.1941999999999</v>
      </c>
      <c r="DY17" s="93">
        <v>677.82929999999999</v>
      </c>
      <c r="DZ17" s="93">
        <v>1493.5147999999999</v>
      </c>
      <c r="EA17" s="93">
        <v>503.45359999999999</v>
      </c>
      <c r="EB17" s="93">
        <v>138.47149999999999</v>
      </c>
      <c r="EC17" s="93">
        <v>511.80579999999998</v>
      </c>
      <c r="ED17" s="93">
        <v>607.95529999999997</v>
      </c>
      <c r="EE17" s="93">
        <v>495.85480000000001</v>
      </c>
      <c r="EF17" s="93">
        <v>679.88130000000001</v>
      </c>
      <c r="EG17" s="93">
        <v>856.11950000000002</v>
      </c>
      <c r="EH17" s="93">
        <v>1514.6543999999999</v>
      </c>
      <c r="EI17" s="93">
        <v>159.4162</v>
      </c>
      <c r="EJ17" s="93">
        <v>867.21349999999995</v>
      </c>
      <c r="EK17" s="93">
        <v>1513.0664999999999</v>
      </c>
      <c r="EL17" s="93">
        <v>1882.3819000000001</v>
      </c>
      <c r="EM17" s="93">
        <v>124.91500000000001</v>
      </c>
      <c r="EN17" s="93">
        <v>1375.8494000000001</v>
      </c>
      <c r="EO17" s="93">
        <v>486.74950000000001</v>
      </c>
      <c r="EP17" s="93">
        <v>1094.9452000000001</v>
      </c>
      <c r="EQ17" s="93">
        <v>331.39870000000002</v>
      </c>
      <c r="ER17" s="93">
        <v>493.4538</v>
      </c>
      <c r="ES17" s="93">
        <v>461.8546</v>
      </c>
      <c r="ET17" s="93">
        <v>853.91610000000003</v>
      </c>
      <c r="EU17" s="93">
        <v>1191.4608000000001</v>
      </c>
      <c r="EV17" s="93">
        <v>799.54859999999996</v>
      </c>
      <c r="EW17" s="93">
        <v>734.28110000000004</v>
      </c>
      <c r="EX17" s="93">
        <v>1089.8738000000001</v>
      </c>
      <c r="EY17" s="93">
        <v>218.33690000000001</v>
      </c>
      <c r="EZ17" s="93">
        <v>115.9888</v>
      </c>
      <c r="FA17" s="93">
        <v>175.28649999999999</v>
      </c>
      <c r="FB17" s="93">
        <v>513.69730000000004</v>
      </c>
      <c r="FC17" s="93">
        <v>357.69729999999998</v>
      </c>
      <c r="FD17" s="93">
        <v>1310.1355000000001</v>
      </c>
      <c r="FE17" s="93">
        <v>670.12279999999998</v>
      </c>
      <c r="FF17" s="93">
        <v>1225.6623999999999</v>
      </c>
      <c r="FG17" s="93">
        <v>247.65029999999999</v>
      </c>
      <c r="FH17" s="93">
        <v>526.76940000000002</v>
      </c>
      <c r="FI17" s="93">
        <v>1504.548</v>
      </c>
      <c r="FJ17" s="93">
        <v>300.5899</v>
      </c>
      <c r="FK17" s="93">
        <v>209.1944</v>
      </c>
      <c r="FL17" s="93">
        <v>33.396700000000003</v>
      </c>
      <c r="FM17" s="93">
        <v>71.6922</v>
      </c>
      <c r="FN17" s="93">
        <v>582.07650000000001</v>
      </c>
      <c r="FO17" s="93">
        <v>171.18819999999999</v>
      </c>
    </row>
    <row r="18" spans="1:171" x14ac:dyDescent="0.2">
      <c r="A18" s="120" t="s">
        <v>14</v>
      </c>
      <c r="B18" s="121"/>
      <c r="C18" s="93">
        <v>30.736499999999999</v>
      </c>
      <c r="D18" s="93">
        <v>69.265699999999995</v>
      </c>
      <c r="E18" s="93">
        <v>23.664300000000001</v>
      </c>
      <c r="F18" s="93">
        <v>71.469700000000003</v>
      </c>
      <c r="G18" s="93">
        <v>47.796500000000002</v>
      </c>
      <c r="H18" s="93">
        <v>74.467799999999997</v>
      </c>
      <c r="I18" s="93">
        <v>78.852999999999994</v>
      </c>
      <c r="J18" s="93">
        <v>47.306800000000003</v>
      </c>
      <c r="K18" s="93">
        <v>38.742699999999999</v>
      </c>
      <c r="L18" s="93">
        <v>99.412300000000002</v>
      </c>
      <c r="M18" s="93">
        <v>28.501000000000001</v>
      </c>
      <c r="N18" s="93">
        <v>53.6419</v>
      </c>
      <c r="O18" s="93">
        <v>62.724200000000003</v>
      </c>
      <c r="P18" s="93">
        <v>66.967699999999994</v>
      </c>
      <c r="Q18" s="93">
        <v>40.0867</v>
      </c>
      <c r="R18" s="93">
        <v>360.7593</v>
      </c>
      <c r="S18" s="93">
        <v>38.2226</v>
      </c>
      <c r="T18" s="93">
        <v>18.479700000000001</v>
      </c>
      <c r="U18" s="93">
        <v>41.642499999999998</v>
      </c>
      <c r="V18" s="93">
        <v>17.089500000000001</v>
      </c>
      <c r="W18" s="93">
        <v>78.458799999999997</v>
      </c>
      <c r="X18" s="93">
        <v>31.2911</v>
      </c>
      <c r="Y18" s="93">
        <v>73.337400000000002</v>
      </c>
      <c r="Z18" s="93">
        <v>371.52269999999999</v>
      </c>
      <c r="AA18" s="93">
        <v>26.738399999999999</v>
      </c>
      <c r="AB18" s="93">
        <v>80.488399999999999</v>
      </c>
      <c r="AC18" s="93">
        <v>64.736999999999995</v>
      </c>
      <c r="AD18" s="93">
        <v>30.5898</v>
      </c>
      <c r="AE18" s="93">
        <v>20.123699999999999</v>
      </c>
      <c r="AF18" s="93">
        <v>35.888399999999997</v>
      </c>
      <c r="AG18" s="93">
        <v>134.95160000000001</v>
      </c>
      <c r="AH18" s="93">
        <v>28.627300000000002</v>
      </c>
      <c r="AI18" s="93">
        <v>82.895099999999999</v>
      </c>
      <c r="AJ18" s="93">
        <v>81.398200000000003</v>
      </c>
      <c r="AK18" s="93">
        <v>41.616599999999998</v>
      </c>
      <c r="AL18" s="93">
        <v>36.941899999999997</v>
      </c>
      <c r="AM18" s="93">
        <v>115.94370000000001</v>
      </c>
      <c r="AN18" s="93">
        <v>56.0974</v>
      </c>
      <c r="AO18" s="93">
        <v>29.2395</v>
      </c>
      <c r="AP18" s="93">
        <v>26.033100000000001</v>
      </c>
      <c r="AQ18" s="93">
        <v>70.691299999999998</v>
      </c>
      <c r="AR18" s="93">
        <v>24.011700000000001</v>
      </c>
      <c r="AS18" s="93">
        <v>184.2133</v>
      </c>
      <c r="AT18" s="93">
        <v>87.592799999999997</v>
      </c>
      <c r="AU18" s="93">
        <v>4.8882000000000003</v>
      </c>
      <c r="AV18" s="93">
        <v>10.0646</v>
      </c>
      <c r="AW18" s="93">
        <v>21.852799999999998</v>
      </c>
      <c r="AX18" s="93">
        <v>28.963999999999999</v>
      </c>
      <c r="AY18" s="93">
        <v>47.737900000000003</v>
      </c>
      <c r="AZ18" s="93">
        <v>8.8804999999999996</v>
      </c>
      <c r="BA18" s="93">
        <v>32.869700000000002</v>
      </c>
      <c r="BB18" s="93">
        <v>19.056699999999999</v>
      </c>
      <c r="BC18" s="93">
        <v>25.578099999999999</v>
      </c>
      <c r="BD18" s="93">
        <v>33.330800000000004</v>
      </c>
      <c r="BE18" s="93">
        <v>17.181799999999999</v>
      </c>
      <c r="BF18" s="93">
        <v>54.091799999999999</v>
      </c>
      <c r="BG18" s="93">
        <v>8.48</v>
      </c>
      <c r="BH18" s="93">
        <v>97.4619</v>
      </c>
      <c r="BI18" s="93">
        <v>178.9854</v>
      </c>
      <c r="BJ18" s="93">
        <v>227.66630000000001</v>
      </c>
      <c r="BK18" s="93">
        <v>150.78659999999999</v>
      </c>
      <c r="BL18" s="93">
        <v>1553.4699000000001</v>
      </c>
      <c r="BM18" s="93">
        <v>802.38819999999998</v>
      </c>
      <c r="BN18" s="93">
        <v>1550.32</v>
      </c>
      <c r="BO18" s="93">
        <v>856.78729999999996</v>
      </c>
      <c r="BP18" s="93">
        <v>817.53639999999996</v>
      </c>
      <c r="BQ18" s="93">
        <v>199.85419999999999</v>
      </c>
      <c r="BR18" s="93">
        <v>33.749000000000002</v>
      </c>
      <c r="BS18" s="93">
        <v>1458.3109999999999</v>
      </c>
      <c r="BT18" s="93">
        <v>444.2475</v>
      </c>
      <c r="BU18" s="93">
        <v>215.58510000000001</v>
      </c>
      <c r="BV18" s="93">
        <v>217.6233</v>
      </c>
      <c r="BW18" s="93">
        <v>94.638599999999997</v>
      </c>
      <c r="BX18" s="93">
        <v>26.341100000000001</v>
      </c>
      <c r="BY18" s="93">
        <v>289.52679999999998</v>
      </c>
      <c r="BZ18" s="93">
        <v>146.58629999999999</v>
      </c>
      <c r="CA18" s="93">
        <v>124.0887</v>
      </c>
      <c r="CB18" s="93">
        <v>51.113100000000003</v>
      </c>
      <c r="CC18" s="93">
        <v>80.471800000000002</v>
      </c>
      <c r="CD18" s="93">
        <v>34.125599999999999</v>
      </c>
      <c r="CE18" s="93">
        <v>278.07729999999998</v>
      </c>
      <c r="CF18" s="93">
        <v>20.791</v>
      </c>
      <c r="CG18" s="93">
        <v>26.156500000000001</v>
      </c>
      <c r="CH18" s="93">
        <v>20.771799999999999</v>
      </c>
      <c r="CI18" s="93">
        <v>88.095600000000005</v>
      </c>
      <c r="CJ18" s="93">
        <v>19.5822</v>
      </c>
      <c r="CK18" s="93">
        <v>36.786999999999999</v>
      </c>
      <c r="CL18" s="93">
        <v>73.471299999999999</v>
      </c>
      <c r="CM18" s="93">
        <v>45.784999999999997</v>
      </c>
      <c r="CN18" s="93">
        <v>19.0594</v>
      </c>
      <c r="CO18" s="93">
        <v>40.172600000000003</v>
      </c>
      <c r="CP18" s="93">
        <v>61.356999999999999</v>
      </c>
      <c r="CQ18" s="93">
        <v>105.6298</v>
      </c>
      <c r="CR18" s="93">
        <v>86.541200000000003</v>
      </c>
      <c r="CS18" s="93">
        <v>30.412099999999999</v>
      </c>
      <c r="CT18" s="93">
        <v>28.012</v>
      </c>
      <c r="CU18" s="93">
        <v>63.205399999999997</v>
      </c>
      <c r="CV18" s="93">
        <v>60.466999999999999</v>
      </c>
      <c r="CW18" s="93">
        <v>39.664700000000003</v>
      </c>
      <c r="CX18" s="93">
        <v>12.665900000000001</v>
      </c>
      <c r="CY18" s="93">
        <v>41.1297</v>
      </c>
      <c r="CZ18" s="93">
        <v>14.988799999999999</v>
      </c>
      <c r="DA18" s="93">
        <v>14.4725</v>
      </c>
      <c r="DB18" s="93">
        <v>92.088300000000004</v>
      </c>
      <c r="DC18" s="93">
        <v>58.587299999999999</v>
      </c>
      <c r="DD18" s="93">
        <v>59.047800000000002</v>
      </c>
      <c r="DE18" s="93">
        <v>49.758899999999997</v>
      </c>
      <c r="DF18" s="93">
        <v>39.179600000000001</v>
      </c>
      <c r="DG18" s="93">
        <v>90.531099999999995</v>
      </c>
      <c r="DH18" s="93">
        <v>10.414099999999999</v>
      </c>
      <c r="DI18" s="93">
        <v>40.212200000000003</v>
      </c>
      <c r="DJ18" s="93">
        <v>110.53919999999999</v>
      </c>
      <c r="DK18" s="93">
        <v>109.85129999999999</v>
      </c>
      <c r="DL18" s="93">
        <v>26.7591</v>
      </c>
      <c r="DM18" s="93">
        <v>64.293000000000006</v>
      </c>
      <c r="DN18" s="93">
        <v>128.4873</v>
      </c>
      <c r="DO18" s="93">
        <v>124.85890000000001</v>
      </c>
      <c r="DP18" s="93">
        <v>20.417200000000001</v>
      </c>
      <c r="DQ18" s="93">
        <v>36.495899999999999</v>
      </c>
      <c r="DR18" s="93">
        <v>30.9848</v>
      </c>
      <c r="DS18" s="93">
        <v>24.056999999999999</v>
      </c>
      <c r="DT18" s="93">
        <v>37.534599999999998</v>
      </c>
      <c r="DU18" s="93">
        <v>126.99250000000001</v>
      </c>
      <c r="DV18" s="93">
        <v>31.6069</v>
      </c>
      <c r="DW18" s="93">
        <v>32.643300000000004</v>
      </c>
      <c r="DX18" s="93">
        <v>28.150700000000001</v>
      </c>
      <c r="DY18" s="93">
        <v>70.121399999999994</v>
      </c>
      <c r="DZ18" s="93">
        <v>43.538699999999999</v>
      </c>
      <c r="EA18" s="93">
        <v>41.211100000000002</v>
      </c>
      <c r="EB18" s="93">
        <v>38.194499999999998</v>
      </c>
      <c r="EC18" s="93">
        <v>30.077999999999999</v>
      </c>
      <c r="ED18" s="93">
        <v>38.475299999999997</v>
      </c>
      <c r="EE18" s="93">
        <v>20.9297</v>
      </c>
      <c r="EF18" s="93">
        <v>31.847100000000001</v>
      </c>
      <c r="EG18" s="93">
        <v>26.763000000000002</v>
      </c>
      <c r="EH18" s="93">
        <v>39.784100000000002</v>
      </c>
      <c r="EI18" s="93">
        <v>5.4890999999999996</v>
      </c>
      <c r="EJ18" s="93">
        <v>30.017600000000002</v>
      </c>
      <c r="EK18" s="93">
        <v>66.857900000000001</v>
      </c>
      <c r="EL18" s="93">
        <v>57.092199999999998</v>
      </c>
      <c r="EM18" s="93">
        <v>18.028199999999998</v>
      </c>
      <c r="EN18" s="93">
        <v>49.426299999999998</v>
      </c>
      <c r="EO18" s="93">
        <v>51.847999999999999</v>
      </c>
      <c r="EP18" s="93">
        <v>38.465499999999999</v>
      </c>
      <c r="EQ18" s="93">
        <v>35.473500000000001</v>
      </c>
      <c r="ER18" s="93">
        <v>51.485500000000002</v>
      </c>
      <c r="ES18" s="93">
        <v>44.168300000000002</v>
      </c>
      <c r="ET18" s="93">
        <v>36.883000000000003</v>
      </c>
      <c r="EU18" s="93">
        <v>54.136299999999999</v>
      </c>
      <c r="EV18" s="93">
        <v>41.859499999999997</v>
      </c>
      <c r="EW18" s="93">
        <v>26.151700000000002</v>
      </c>
      <c r="EX18" s="93">
        <v>107.9359</v>
      </c>
      <c r="EY18" s="93">
        <v>58.416899999999998</v>
      </c>
      <c r="EZ18" s="93">
        <v>25.571000000000002</v>
      </c>
      <c r="FA18" s="93">
        <v>20.186499999999999</v>
      </c>
      <c r="FB18" s="93">
        <v>15.8294</v>
      </c>
      <c r="FC18" s="93">
        <v>35.817100000000003</v>
      </c>
      <c r="FD18" s="93">
        <v>23.475300000000001</v>
      </c>
      <c r="FE18" s="93">
        <v>18.6006</v>
      </c>
      <c r="FF18" s="93">
        <v>75.86</v>
      </c>
      <c r="FG18" s="93">
        <v>21.456399999999999</v>
      </c>
      <c r="FH18" s="93">
        <v>35.547699999999999</v>
      </c>
      <c r="FI18" s="93">
        <v>80.377700000000004</v>
      </c>
      <c r="FJ18" s="93">
        <v>81.555700000000002</v>
      </c>
      <c r="FK18" s="93">
        <v>100.7347</v>
      </c>
      <c r="FL18" s="93">
        <v>32.459800000000001</v>
      </c>
      <c r="FM18" s="93">
        <v>26.9238</v>
      </c>
      <c r="FN18" s="93">
        <v>15.9278</v>
      </c>
      <c r="FO18" s="93">
        <v>12.809900000000001</v>
      </c>
    </row>
    <row r="19" spans="1:171" x14ac:dyDescent="0.2">
      <c r="A19" s="120" t="s">
        <v>4</v>
      </c>
      <c r="B19" s="121"/>
      <c r="C19" s="93">
        <v>1249.7769000000001</v>
      </c>
      <c r="D19" s="93">
        <v>5725.6490999999996</v>
      </c>
      <c r="E19" s="93">
        <v>831.93830000000003</v>
      </c>
      <c r="F19" s="93">
        <v>5566.4429</v>
      </c>
      <c r="G19" s="93">
        <v>2399.5794999999998</v>
      </c>
      <c r="H19" s="93">
        <v>2667.0969</v>
      </c>
      <c r="I19" s="93">
        <v>6609.6023999999998</v>
      </c>
      <c r="J19" s="93">
        <v>3569.7390999999998</v>
      </c>
      <c r="K19" s="93">
        <v>3419.6934999999999</v>
      </c>
      <c r="L19" s="93">
        <v>5934.6842999999999</v>
      </c>
      <c r="M19" s="93">
        <v>2882.221</v>
      </c>
      <c r="N19" s="93">
        <v>1006.5565</v>
      </c>
      <c r="O19" s="93">
        <v>2633.7912000000001</v>
      </c>
      <c r="P19" s="93">
        <v>1709.9833000000001</v>
      </c>
      <c r="Q19" s="93">
        <v>1331.4034999999999</v>
      </c>
      <c r="R19" s="93">
        <v>4625.0913</v>
      </c>
      <c r="S19" s="93">
        <v>3267.7258999999999</v>
      </c>
      <c r="T19" s="93">
        <v>708.99199999999996</v>
      </c>
      <c r="U19" s="93">
        <v>2210.7840999999999</v>
      </c>
      <c r="V19" s="93">
        <v>800.82010000000002</v>
      </c>
      <c r="W19" s="93">
        <v>958.77650000000006</v>
      </c>
      <c r="X19" s="93">
        <v>185.9853</v>
      </c>
      <c r="Y19" s="93">
        <v>4883.2493999999997</v>
      </c>
      <c r="Z19" s="93">
        <v>1537.9590000000001</v>
      </c>
      <c r="AA19" s="93">
        <v>1897.8894</v>
      </c>
      <c r="AB19" s="93">
        <v>4665.1652000000004</v>
      </c>
      <c r="AC19" s="93">
        <v>6317.8204999999998</v>
      </c>
      <c r="AD19" s="93">
        <v>1285.625</v>
      </c>
      <c r="AE19" s="93">
        <v>1441.6937</v>
      </c>
      <c r="AF19" s="93">
        <v>93.137699999999995</v>
      </c>
      <c r="AG19" s="93">
        <v>1671.6516999999999</v>
      </c>
      <c r="AH19" s="93">
        <v>1260.8426999999999</v>
      </c>
      <c r="AI19" s="93">
        <v>891.50490000000002</v>
      </c>
      <c r="AJ19" s="93">
        <v>2911.547</v>
      </c>
      <c r="AK19" s="93">
        <v>3843.1844000000001</v>
      </c>
      <c r="AL19" s="93">
        <v>876.1472</v>
      </c>
      <c r="AM19" s="93">
        <v>1410.3862999999999</v>
      </c>
      <c r="AN19" s="93">
        <v>3558.0944</v>
      </c>
      <c r="AO19" s="93">
        <v>2603.5551999999998</v>
      </c>
      <c r="AP19" s="93">
        <v>486.14859999999999</v>
      </c>
      <c r="AQ19" s="93">
        <v>2394.4481000000001</v>
      </c>
      <c r="AR19" s="93">
        <v>1401.8758</v>
      </c>
      <c r="AS19" s="93">
        <v>1036.1839</v>
      </c>
      <c r="AT19" s="93">
        <v>893.15189999999996</v>
      </c>
      <c r="AU19" s="93">
        <v>423.55250000000001</v>
      </c>
      <c r="AV19" s="93">
        <v>1034.4118000000001</v>
      </c>
      <c r="AW19" s="93">
        <v>328.37720000000002</v>
      </c>
      <c r="AX19" s="93">
        <v>1232.1873000000001</v>
      </c>
      <c r="AY19" s="93">
        <v>4825.5541999999996</v>
      </c>
      <c r="AZ19" s="93">
        <v>1087.9219000000001</v>
      </c>
      <c r="BA19" s="93">
        <v>1796.4641999999999</v>
      </c>
      <c r="BB19" s="93">
        <v>1231.6041</v>
      </c>
      <c r="BC19" s="93">
        <v>3176.1559000000002</v>
      </c>
      <c r="BD19" s="93">
        <v>2902.4191000000001</v>
      </c>
      <c r="BE19" s="93">
        <v>1499.3521000000001</v>
      </c>
      <c r="BF19" s="93">
        <v>420.0471</v>
      </c>
      <c r="BG19" s="93">
        <v>582.13490000000002</v>
      </c>
      <c r="BH19" s="93">
        <v>2468.8238999999999</v>
      </c>
      <c r="BI19" s="93">
        <v>2620.4899</v>
      </c>
      <c r="BJ19" s="93">
        <v>3808.5412999999999</v>
      </c>
      <c r="BK19" s="93">
        <v>10977.6358</v>
      </c>
      <c r="BL19" s="93">
        <v>6296.1103000000003</v>
      </c>
      <c r="BM19" s="93">
        <v>2106.2516999999998</v>
      </c>
      <c r="BN19" s="93">
        <v>7615.4210000000003</v>
      </c>
      <c r="BO19" s="93">
        <v>2635.5596</v>
      </c>
      <c r="BP19" s="93">
        <v>5290.3918999999996</v>
      </c>
      <c r="BQ19" s="93">
        <v>2036.9295999999999</v>
      </c>
      <c r="BR19" s="93">
        <v>825.76580000000001</v>
      </c>
      <c r="BS19" s="93">
        <v>3866.8182000000002</v>
      </c>
      <c r="BT19" s="93">
        <v>1501.7470000000001</v>
      </c>
      <c r="BU19" s="93">
        <v>1585.6738</v>
      </c>
      <c r="BV19" s="93">
        <v>1157.8185000000001</v>
      </c>
      <c r="BW19" s="93">
        <v>3847.1386000000002</v>
      </c>
      <c r="BX19" s="93">
        <v>1516.1991</v>
      </c>
      <c r="BY19" s="93">
        <v>4117.9254000000001</v>
      </c>
      <c r="BZ19" s="93">
        <v>1363.3164999999999</v>
      </c>
      <c r="CA19" s="93">
        <v>2293.904</v>
      </c>
      <c r="CB19" s="93">
        <v>1003.4857</v>
      </c>
      <c r="CC19" s="93">
        <v>2994.9267</v>
      </c>
      <c r="CD19" s="93">
        <v>1695.626</v>
      </c>
      <c r="CE19" s="93">
        <v>1579.9419</v>
      </c>
      <c r="CF19" s="93">
        <v>1041.7058999999999</v>
      </c>
      <c r="CG19" s="93">
        <v>969.91409999999996</v>
      </c>
      <c r="CH19" s="93">
        <v>1187.2674999999999</v>
      </c>
      <c r="CI19" s="93">
        <v>5005.6004000000003</v>
      </c>
      <c r="CJ19" s="93">
        <v>600.37729999999999</v>
      </c>
      <c r="CK19" s="93">
        <v>115.3343</v>
      </c>
      <c r="CL19" s="93">
        <v>180.81630000000001</v>
      </c>
      <c r="CM19" s="93">
        <v>3631.6477</v>
      </c>
      <c r="CN19" s="93">
        <v>1641.3972000000001</v>
      </c>
      <c r="CO19" s="93">
        <v>1725.8705</v>
      </c>
      <c r="CP19" s="93">
        <v>3404.7559000000001</v>
      </c>
      <c r="CQ19" s="93">
        <v>3949.1565000000001</v>
      </c>
      <c r="CR19" s="93">
        <v>1659.9047</v>
      </c>
      <c r="CS19" s="93">
        <v>2506.6651000000002</v>
      </c>
      <c r="CT19" s="93">
        <v>2903.8289</v>
      </c>
      <c r="CU19" s="93">
        <v>4443.3398999999999</v>
      </c>
      <c r="CV19" s="93">
        <v>7719.9192999999996</v>
      </c>
      <c r="CW19" s="93">
        <v>1768.3981000000001</v>
      </c>
      <c r="CX19" s="93">
        <v>954.98329999999999</v>
      </c>
      <c r="CY19" s="93">
        <v>1750.3117</v>
      </c>
      <c r="CZ19" s="93">
        <v>779.00969999999995</v>
      </c>
      <c r="DA19" s="93">
        <v>1191.7808</v>
      </c>
      <c r="DB19" s="93">
        <v>3328.4259000000002</v>
      </c>
      <c r="DC19" s="93">
        <v>2323.9304000000002</v>
      </c>
      <c r="DD19" s="93">
        <v>6758.9336999999996</v>
      </c>
      <c r="DE19" s="93">
        <v>1680.0498</v>
      </c>
      <c r="DF19" s="93">
        <v>518.96450000000004</v>
      </c>
      <c r="DG19" s="93">
        <v>1194.2134000000001</v>
      </c>
      <c r="DH19" s="93">
        <v>1020.7723</v>
      </c>
      <c r="DI19" s="93">
        <v>3488.1976</v>
      </c>
      <c r="DJ19" s="93">
        <v>1796.8169</v>
      </c>
      <c r="DK19" s="93">
        <v>1216.5891999999999</v>
      </c>
      <c r="DL19" s="93">
        <v>1240.7453</v>
      </c>
      <c r="DM19" s="93">
        <v>5660.5436</v>
      </c>
      <c r="DN19" s="93">
        <v>3823.1356000000001</v>
      </c>
      <c r="DO19" s="93">
        <v>6276.8903</v>
      </c>
      <c r="DP19" s="93">
        <v>812.05179999999996</v>
      </c>
      <c r="DQ19" s="93">
        <v>1502.5663</v>
      </c>
      <c r="DR19" s="93">
        <v>3141.576</v>
      </c>
      <c r="DS19" s="93">
        <v>2021.8734999999999</v>
      </c>
      <c r="DT19" s="93">
        <v>2076.4328999999998</v>
      </c>
      <c r="DU19" s="93">
        <v>1122.2112</v>
      </c>
      <c r="DV19" s="93">
        <v>2079.9198000000001</v>
      </c>
      <c r="DW19" s="93">
        <v>2534.1307000000002</v>
      </c>
      <c r="DX19" s="93">
        <v>1643.1670999999999</v>
      </c>
      <c r="DY19" s="93">
        <v>3476.7977999999998</v>
      </c>
      <c r="DZ19" s="93">
        <v>1016.1737000000001</v>
      </c>
      <c r="EA19" s="93">
        <v>3405.1957000000002</v>
      </c>
      <c r="EB19" s="93">
        <v>3729.2276000000002</v>
      </c>
      <c r="EC19" s="93">
        <v>468.15730000000002</v>
      </c>
      <c r="ED19" s="93">
        <v>3252.8453</v>
      </c>
      <c r="EE19" s="93">
        <v>1084.3179</v>
      </c>
      <c r="EF19" s="93">
        <v>446.20979999999997</v>
      </c>
      <c r="EG19" s="93">
        <v>542.24559999999997</v>
      </c>
      <c r="EH19" s="93">
        <v>895.57010000000002</v>
      </c>
      <c r="EI19" s="93">
        <v>533.97640000000001</v>
      </c>
      <c r="EJ19" s="93">
        <v>2156.0673999999999</v>
      </c>
      <c r="EK19" s="93">
        <v>3557.6878000000002</v>
      </c>
      <c r="EL19" s="93">
        <v>1047.9975999999999</v>
      </c>
      <c r="EM19" s="93">
        <v>1926.3408999999999</v>
      </c>
      <c r="EN19" s="93">
        <v>1366.8381999999999</v>
      </c>
      <c r="EO19" s="93">
        <v>362.04919999999998</v>
      </c>
      <c r="EP19" s="93">
        <v>910.31740000000002</v>
      </c>
      <c r="EQ19" s="93">
        <v>2766.6395000000002</v>
      </c>
      <c r="ER19" s="93">
        <v>4131.1994999999997</v>
      </c>
      <c r="ES19" s="93">
        <v>3660.7667999999999</v>
      </c>
      <c r="ET19" s="93">
        <v>1330.1874</v>
      </c>
      <c r="EU19" s="93">
        <v>4910.2160000000003</v>
      </c>
      <c r="EV19" s="93">
        <v>2222.2060999999999</v>
      </c>
      <c r="EW19" s="93">
        <v>920.4375</v>
      </c>
      <c r="EX19" s="93">
        <v>12185.119500000001</v>
      </c>
      <c r="EY19" s="93">
        <v>5550.1018999999997</v>
      </c>
      <c r="EZ19" s="93">
        <v>2759.0992999999999</v>
      </c>
      <c r="FA19" s="93">
        <v>1617.8722</v>
      </c>
      <c r="FB19" s="93">
        <v>406.95010000000002</v>
      </c>
      <c r="FC19" s="93">
        <v>3322.1774999999998</v>
      </c>
      <c r="FD19" s="93">
        <v>891.87210000000005</v>
      </c>
      <c r="FE19" s="93">
        <v>611.46140000000003</v>
      </c>
      <c r="FF19" s="93">
        <v>3612.8155000000002</v>
      </c>
      <c r="FG19" s="93">
        <v>1434.9597000000001</v>
      </c>
      <c r="FH19" s="93">
        <v>2859.2080000000001</v>
      </c>
      <c r="FI19" s="93">
        <v>2380.3703999999998</v>
      </c>
      <c r="FJ19" s="93">
        <v>7472.5137999999997</v>
      </c>
      <c r="FK19" s="93">
        <v>11087.2006</v>
      </c>
      <c r="FL19" s="93">
        <v>4165.1377000000002</v>
      </c>
      <c r="FM19" s="93">
        <v>2983.4205999999999</v>
      </c>
      <c r="FN19" s="93">
        <v>1284.2711999999999</v>
      </c>
      <c r="FO19" s="93">
        <v>1299.5011</v>
      </c>
    </row>
    <row r="20" spans="1:171" x14ac:dyDescent="0.2">
      <c r="A20" s="120" t="s">
        <v>7</v>
      </c>
      <c r="B20" s="121"/>
      <c r="C20" s="93">
        <v>15.754899999999999</v>
      </c>
      <c r="D20" s="93">
        <v>42.808199999999999</v>
      </c>
      <c r="E20" s="93">
        <v>9.7506000000000004</v>
      </c>
      <c r="F20" s="93">
        <v>43.321199999999997</v>
      </c>
      <c r="G20" s="93">
        <v>27.083100000000002</v>
      </c>
      <c r="H20" s="93">
        <v>41.976900000000001</v>
      </c>
      <c r="I20" s="93">
        <v>53.586100000000002</v>
      </c>
      <c r="J20" s="93">
        <v>31.846800000000002</v>
      </c>
      <c r="K20" s="93">
        <v>23.2773</v>
      </c>
      <c r="L20" s="93">
        <v>31.7255</v>
      </c>
      <c r="M20" s="93">
        <v>17.1068</v>
      </c>
      <c r="N20" s="93">
        <v>25.335699999999999</v>
      </c>
      <c r="O20" s="93">
        <v>41.092700000000001</v>
      </c>
      <c r="P20" s="93">
        <v>33.578499999999998</v>
      </c>
      <c r="Q20" s="93">
        <v>20.783300000000001</v>
      </c>
      <c r="R20" s="93">
        <v>251.75980000000001</v>
      </c>
      <c r="S20" s="93">
        <v>27.674199999999999</v>
      </c>
      <c r="T20" s="93">
        <v>10.7659</v>
      </c>
      <c r="U20" s="93">
        <v>27.328299999999999</v>
      </c>
      <c r="V20" s="93">
        <v>12.601100000000001</v>
      </c>
      <c r="W20" s="93">
        <v>49.279200000000003</v>
      </c>
      <c r="X20" s="93">
        <v>16.2621</v>
      </c>
      <c r="Y20" s="93">
        <v>52.437100000000001</v>
      </c>
      <c r="Z20" s="93">
        <v>165.626</v>
      </c>
      <c r="AA20" s="93">
        <v>22.273</v>
      </c>
      <c r="AB20" s="93">
        <v>48.414200000000001</v>
      </c>
      <c r="AC20" s="93">
        <v>35.892600000000002</v>
      </c>
      <c r="AD20" s="93">
        <v>25.6647</v>
      </c>
      <c r="AE20" s="93">
        <v>12.298400000000001</v>
      </c>
      <c r="AF20" s="93">
        <v>12.679</v>
      </c>
      <c r="AG20" s="93">
        <v>50.3035</v>
      </c>
      <c r="AH20" s="93">
        <v>21.2682</v>
      </c>
      <c r="AI20" s="93">
        <v>33.905299999999997</v>
      </c>
      <c r="AJ20" s="93">
        <v>37.5154</v>
      </c>
      <c r="AK20" s="93">
        <v>16.7272</v>
      </c>
      <c r="AL20" s="93">
        <v>16.399699999999999</v>
      </c>
      <c r="AM20" s="93">
        <v>66.264099999999999</v>
      </c>
      <c r="AN20" s="93">
        <v>56.836399999999998</v>
      </c>
      <c r="AO20" s="93">
        <v>19.624700000000001</v>
      </c>
      <c r="AP20" s="93">
        <v>11.894</v>
      </c>
      <c r="AQ20" s="93">
        <v>32.2256</v>
      </c>
      <c r="AR20" s="93">
        <v>12.228899999999999</v>
      </c>
      <c r="AS20" s="93">
        <v>101.899</v>
      </c>
      <c r="AT20" s="93">
        <v>37.503599999999999</v>
      </c>
      <c r="AU20" s="93">
        <v>2.4199000000000002</v>
      </c>
      <c r="AV20" s="93">
        <v>7.8616999999999999</v>
      </c>
      <c r="AW20" s="93">
        <v>9.2951999999999995</v>
      </c>
      <c r="AX20" s="93">
        <v>12.320499999999999</v>
      </c>
      <c r="AY20" s="93">
        <v>33.524999999999999</v>
      </c>
      <c r="AZ20" s="93">
        <v>6.3167</v>
      </c>
      <c r="BA20" s="93">
        <v>18.5641</v>
      </c>
      <c r="BB20" s="93">
        <v>9.0939999999999994</v>
      </c>
      <c r="BC20" s="93">
        <v>13.9308</v>
      </c>
      <c r="BD20" s="93">
        <v>28.920500000000001</v>
      </c>
      <c r="BE20" s="93">
        <v>10.8348</v>
      </c>
      <c r="BF20" s="93">
        <v>24.0413</v>
      </c>
      <c r="BG20" s="93">
        <v>3.7999000000000001</v>
      </c>
      <c r="BH20" s="93">
        <v>52.968200000000003</v>
      </c>
      <c r="BI20" s="93">
        <v>93.532499999999999</v>
      </c>
      <c r="BJ20" s="93">
        <v>158.49690000000001</v>
      </c>
      <c r="BK20" s="93">
        <v>84.759299999999996</v>
      </c>
      <c r="BL20" s="93">
        <v>771.44269999999995</v>
      </c>
      <c r="BM20" s="93">
        <v>425.27609999999999</v>
      </c>
      <c r="BN20" s="93">
        <v>993.41729999999995</v>
      </c>
      <c r="BO20" s="93">
        <v>583.43709999999999</v>
      </c>
      <c r="BP20" s="93">
        <v>438.88990000000001</v>
      </c>
      <c r="BQ20" s="93">
        <v>115.06059999999999</v>
      </c>
      <c r="BR20" s="93">
        <v>18.0715</v>
      </c>
      <c r="BS20" s="93">
        <v>743.61329999999998</v>
      </c>
      <c r="BT20" s="93">
        <v>199.4973</v>
      </c>
      <c r="BU20" s="93">
        <v>91.778899999999993</v>
      </c>
      <c r="BV20" s="93">
        <v>110.345</v>
      </c>
      <c r="BW20" s="93">
        <v>39.621099999999998</v>
      </c>
      <c r="BX20" s="93">
        <v>19.093</v>
      </c>
      <c r="BY20" s="93">
        <v>133.31280000000001</v>
      </c>
      <c r="BZ20" s="93">
        <v>71.496399999999994</v>
      </c>
      <c r="CA20" s="93">
        <v>57.2376</v>
      </c>
      <c r="CB20" s="93">
        <v>20.505400000000002</v>
      </c>
      <c r="CC20" s="93">
        <v>36.273499999999999</v>
      </c>
      <c r="CD20" s="93">
        <v>22.892499999999998</v>
      </c>
      <c r="CE20" s="93">
        <v>139.48269999999999</v>
      </c>
      <c r="CF20" s="93">
        <v>20.830300000000001</v>
      </c>
      <c r="CG20" s="93">
        <v>16.898</v>
      </c>
      <c r="CH20" s="93">
        <v>13.396800000000001</v>
      </c>
      <c r="CI20" s="93">
        <v>55.1509</v>
      </c>
      <c r="CJ20" s="93">
        <v>8.4008000000000003</v>
      </c>
      <c r="CK20" s="93">
        <v>18.984200000000001</v>
      </c>
      <c r="CL20" s="93">
        <v>41.638800000000003</v>
      </c>
      <c r="CM20" s="93">
        <v>23.532499999999999</v>
      </c>
      <c r="CN20" s="93">
        <v>15.7866</v>
      </c>
      <c r="CO20" s="93">
        <v>22.217600000000001</v>
      </c>
      <c r="CP20" s="93">
        <v>35.023899999999998</v>
      </c>
      <c r="CQ20" s="93">
        <v>42.493099999999998</v>
      </c>
      <c r="CR20" s="93">
        <v>52.535699999999999</v>
      </c>
      <c r="CS20" s="93">
        <v>20.847100000000001</v>
      </c>
      <c r="CT20" s="93">
        <v>18.631599999999999</v>
      </c>
      <c r="CU20" s="93">
        <v>25.268799999999999</v>
      </c>
      <c r="CV20" s="93">
        <v>43.839799999999997</v>
      </c>
      <c r="CW20" s="93">
        <v>16.202000000000002</v>
      </c>
      <c r="CX20" s="93">
        <v>10.6355</v>
      </c>
      <c r="CY20" s="93">
        <v>16.938300000000002</v>
      </c>
      <c r="CZ20" s="93">
        <v>7.3432000000000004</v>
      </c>
      <c r="DA20" s="93">
        <v>7.2742000000000004</v>
      </c>
      <c r="DB20" s="93">
        <v>42.622300000000003</v>
      </c>
      <c r="DC20" s="93">
        <v>33.396999999999998</v>
      </c>
      <c r="DD20" s="93">
        <v>38.383299999999998</v>
      </c>
      <c r="DE20" s="93">
        <v>19.144500000000001</v>
      </c>
      <c r="DF20" s="93">
        <v>19.747399999999999</v>
      </c>
      <c r="DG20" s="93">
        <v>32.766500000000001</v>
      </c>
      <c r="DH20" s="93">
        <v>10.352499999999999</v>
      </c>
      <c r="DI20" s="93">
        <v>21.305299999999999</v>
      </c>
      <c r="DJ20" s="93">
        <v>60.283299999999997</v>
      </c>
      <c r="DK20" s="93">
        <v>44.214300000000001</v>
      </c>
      <c r="DL20" s="93">
        <v>10.9068</v>
      </c>
      <c r="DM20" s="93">
        <v>34.444099999999999</v>
      </c>
      <c r="DN20" s="93">
        <v>59.487000000000002</v>
      </c>
      <c r="DO20" s="93">
        <v>63.789499999999997</v>
      </c>
      <c r="DP20" s="93">
        <v>15.363200000000001</v>
      </c>
      <c r="DQ20" s="93">
        <v>16.322099999999999</v>
      </c>
      <c r="DR20" s="93">
        <v>20.515999999999998</v>
      </c>
      <c r="DS20" s="93">
        <v>15.957700000000001</v>
      </c>
      <c r="DT20" s="93">
        <v>24.564499999999999</v>
      </c>
      <c r="DU20" s="93">
        <v>75.576700000000002</v>
      </c>
      <c r="DV20" s="93">
        <v>19.043800000000001</v>
      </c>
      <c r="DW20" s="93">
        <v>26.715299999999999</v>
      </c>
      <c r="DX20" s="93">
        <v>15.486599999999999</v>
      </c>
      <c r="DY20" s="93">
        <v>48.872999999999998</v>
      </c>
      <c r="DZ20" s="93">
        <v>18.1266</v>
      </c>
      <c r="EA20" s="93">
        <v>29.057099999999998</v>
      </c>
      <c r="EB20" s="93">
        <v>29.188400000000001</v>
      </c>
      <c r="EC20" s="93">
        <v>13.8089</v>
      </c>
      <c r="ED20" s="93">
        <v>18.100000000000001</v>
      </c>
      <c r="EE20" s="93">
        <v>9.6454000000000004</v>
      </c>
      <c r="EF20" s="93">
        <v>12.608499999999999</v>
      </c>
      <c r="EG20" s="93">
        <v>15.4964</v>
      </c>
      <c r="EH20" s="93">
        <v>20.272300000000001</v>
      </c>
      <c r="EI20" s="93">
        <v>5.3356000000000003</v>
      </c>
      <c r="EJ20" s="93">
        <v>23.286200000000001</v>
      </c>
      <c r="EK20" s="93">
        <v>34.551699999999997</v>
      </c>
      <c r="EL20" s="93">
        <v>24.3886</v>
      </c>
      <c r="EM20" s="93">
        <v>12.138999999999999</v>
      </c>
      <c r="EN20" s="93">
        <v>23.544</v>
      </c>
      <c r="EO20" s="93">
        <v>30.012599999999999</v>
      </c>
      <c r="EP20" s="93">
        <v>17.1783</v>
      </c>
      <c r="EQ20" s="93">
        <v>24.9422</v>
      </c>
      <c r="ER20" s="93">
        <v>30.6265</v>
      </c>
      <c r="ES20" s="93">
        <v>25.5532</v>
      </c>
      <c r="ET20" s="93">
        <v>14.028</v>
      </c>
      <c r="EU20" s="93">
        <v>33.530999999999999</v>
      </c>
      <c r="EV20" s="93">
        <v>18.117599999999999</v>
      </c>
      <c r="EW20" s="93">
        <v>12.3987</v>
      </c>
      <c r="EX20" s="93">
        <v>73.111699999999999</v>
      </c>
      <c r="EY20" s="93">
        <v>62.290199999999999</v>
      </c>
      <c r="EZ20" s="93">
        <v>17.816199999999998</v>
      </c>
      <c r="FA20" s="93">
        <v>9.8414999999999999</v>
      </c>
      <c r="FB20" s="93">
        <v>7.0913000000000004</v>
      </c>
      <c r="FC20" s="93">
        <v>25.114999999999998</v>
      </c>
      <c r="FD20" s="93">
        <v>10.039099999999999</v>
      </c>
      <c r="FE20" s="93">
        <v>11.333</v>
      </c>
      <c r="FF20" s="93">
        <v>39.089599999999997</v>
      </c>
      <c r="FG20" s="93">
        <v>11.373100000000001</v>
      </c>
      <c r="FH20" s="93">
        <v>20.726400000000002</v>
      </c>
      <c r="FI20" s="93">
        <v>29.32</v>
      </c>
      <c r="FJ20" s="93">
        <v>55.395499999999998</v>
      </c>
      <c r="FK20" s="93">
        <v>58.894199999999998</v>
      </c>
      <c r="FL20" s="93">
        <v>36.339199999999998</v>
      </c>
      <c r="FM20" s="93">
        <v>30.784099999999999</v>
      </c>
      <c r="FN20" s="93">
        <v>35.919800000000002</v>
      </c>
      <c r="FO20" s="93">
        <v>20.827400000000001</v>
      </c>
    </row>
    <row r="21" spans="1:171" x14ac:dyDescent="0.2">
      <c r="A21" s="120" t="s">
        <v>11</v>
      </c>
      <c r="B21" s="121"/>
      <c r="C21" s="93">
        <v>21.3094</v>
      </c>
      <c r="D21" s="93">
        <v>11.2784</v>
      </c>
      <c r="E21" s="93">
        <v>7.3372999999999999</v>
      </c>
      <c r="F21" s="93">
        <v>44.8934</v>
      </c>
      <c r="G21" s="93">
        <v>12.8047</v>
      </c>
      <c r="H21" s="93">
        <v>8.8232999999999997</v>
      </c>
      <c r="I21" s="93">
        <v>5.1771000000000003</v>
      </c>
      <c r="J21" s="93">
        <v>4.1452999999999998</v>
      </c>
      <c r="K21" s="93">
        <v>2.1454</v>
      </c>
      <c r="L21" s="93">
        <v>15.831899999999999</v>
      </c>
      <c r="M21" s="93">
        <v>4.7141999999999999</v>
      </c>
      <c r="N21" s="93">
        <v>5.2534999999999998</v>
      </c>
      <c r="O21" s="93">
        <v>4.9828999999999999</v>
      </c>
      <c r="P21" s="93">
        <v>16.881399999999999</v>
      </c>
      <c r="Q21" s="93">
        <v>13.545999999999999</v>
      </c>
      <c r="R21" s="93">
        <v>90.195300000000003</v>
      </c>
      <c r="S21" s="93">
        <v>3.9790000000000001</v>
      </c>
      <c r="T21" s="93">
        <v>2.4028999999999998</v>
      </c>
      <c r="U21" s="93">
        <v>13.1911</v>
      </c>
      <c r="V21" s="93">
        <v>0.54849999999999999</v>
      </c>
      <c r="W21" s="93">
        <v>4.3219000000000003</v>
      </c>
      <c r="X21" s="93">
        <v>0.89070000000000005</v>
      </c>
      <c r="Y21" s="93">
        <v>2.7787000000000002</v>
      </c>
      <c r="Z21" s="93">
        <v>9.2639999999999993</v>
      </c>
      <c r="AA21" s="93">
        <v>4.3440000000000003</v>
      </c>
      <c r="AB21" s="93">
        <v>3.2925</v>
      </c>
      <c r="AC21" s="93">
        <v>13.9739</v>
      </c>
      <c r="AD21" s="93">
        <v>14.630100000000001</v>
      </c>
      <c r="AE21" s="93">
        <v>0.96089999999999998</v>
      </c>
      <c r="AF21" s="93">
        <v>19.641400000000001</v>
      </c>
      <c r="AG21" s="93">
        <v>34.900100000000002</v>
      </c>
      <c r="AH21" s="93">
        <v>0.61240000000000006</v>
      </c>
      <c r="AI21" s="93">
        <v>30.704599999999999</v>
      </c>
      <c r="AJ21" s="93">
        <v>5.7460000000000004</v>
      </c>
      <c r="AK21" s="93">
        <v>10.1761</v>
      </c>
      <c r="AL21" s="93">
        <v>20.343499999999999</v>
      </c>
      <c r="AM21" s="93">
        <v>3.5407000000000002</v>
      </c>
      <c r="AN21" s="93">
        <v>15.560600000000001</v>
      </c>
      <c r="AO21" s="93">
        <v>3.1063999999999998</v>
      </c>
      <c r="AP21" s="93">
        <v>22.811599999999999</v>
      </c>
      <c r="AQ21" s="93">
        <v>26.939</v>
      </c>
      <c r="AR21" s="93">
        <v>10.3942</v>
      </c>
      <c r="AS21" s="93">
        <v>411.6284</v>
      </c>
      <c r="AT21" s="93">
        <v>118.2807</v>
      </c>
      <c r="AU21" s="93">
        <v>4.3556999999999997</v>
      </c>
      <c r="AV21" s="93">
        <v>1.9709000000000001</v>
      </c>
      <c r="AW21" s="93">
        <v>12.6976</v>
      </c>
      <c r="AX21" s="93">
        <v>17.077500000000001</v>
      </c>
      <c r="AY21" s="93">
        <v>5.4466999999999999</v>
      </c>
      <c r="AZ21" s="93">
        <v>4.6673999999999998</v>
      </c>
      <c r="BA21" s="93">
        <v>13.6767</v>
      </c>
      <c r="BB21" s="93">
        <v>1.6742999999999999</v>
      </c>
      <c r="BC21" s="93">
        <v>0.49030000000000001</v>
      </c>
      <c r="BD21" s="93">
        <v>2.4516</v>
      </c>
      <c r="BE21" s="93">
        <v>2.3624999999999998</v>
      </c>
      <c r="BF21" s="93">
        <v>64.4542</v>
      </c>
      <c r="BG21" s="93">
        <v>4.0514999999999999</v>
      </c>
      <c r="BH21" s="93">
        <v>10.473100000000001</v>
      </c>
      <c r="BI21" s="93">
        <v>14.6371</v>
      </c>
      <c r="BJ21" s="93">
        <v>80.415000000000006</v>
      </c>
      <c r="BK21" s="93">
        <v>36.010199999999998</v>
      </c>
      <c r="BL21" s="93">
        <v>223.7945</v>
      </c>
      <c r="BM21" s="93">
        <v>60.164499999999997</v>
      </c>
      <c r="BN21" s="93">
        <v>275.31459999999998</v>
      </c>
      <c r="BO21" s="93">
        <v>252.6183</v>
      </c>
      <c r="BP21" s="93">
        <v>174.0727</v>
      </c>
      <c r="BQ21" s="93">
        <v>11.3528</v>
      </c>
      <c r="BR21" s="93">
        <v>0.91410000000000002</v>
      </c>
      <c r="BS21" s="93">
        <v>108.744</v>
      </c>
      <c r="BT21" s="93">
        <v>71.475499999999997</v>
      </c>
      <c r="BU21" s="93">
        <v>25.499600000000001</v>
      </c>
      <c r="BV21" s="93">
        <v>8.9339999999999993</v>
      </c>
      <c r="BW21" s="93">
        <v>63.411900000000003</v>
      </c>
      <c r="BX21" s="93">
        <v>10.4008</v>
      </c>
      <c r="BY21" s="93">
        <v>10.3886</v>
      </c>
      <c r="BZ21" s="93">
        <v>6.8498999999999999</v>
      </c>
      <c r="CA21" s="93">
        <v>24.0352</v>
      </c>
      <c r="CB21" s="93">
        <v>20.6464</v>
      </c>
      <c r="CC21" s="93">
        <v>7.9603999999999999</v>
      </c>
      <c r="CD21" s="93">
        <v>3.1110000000000002</v>
      </c>
      <c r="CE21" s="93">
        <v>16.287299999999998</v>
      </c>
      <c r="CF21" s="93">
        <v>11.350199999999999</v>
      </c>
      <c r="CG21" s="93">
        <v>2.4255</v>
      </c>
      <c r="CH21" s="93">
        <v>2.5489000000000002</v>
      </c>
      <c r="CI21" s="93">
        <v>15.561400000000001</v>
      </c>
      <c r="CJ21" s="93">
        <v>13.730600000000001</v>
      </c>
      <c r="CK21" s="93">
        <v>0.2974</v>
      </c>
      <c r="CL21" s="93">
        <v>1.591</v>
      </c>
      <c r="CM21" s="93">
        <v>6.7206000000000001</v>
      </c>
      <c r="CN21" s="93">
        <v>1.925</v>
      </c>
      <c r="CO21" s="93">
        <v>2.41</v>
      </c>
      <c r="CP21" s="93">
        <v>9.1564999999999994</v>
      </c>
      <c r="CQ21" s="93">
        <v>11.225199999999999</v>
      </c>
      <c r="CR21" s="93">
        <v>37.700099999999999</v>
      </c>
      <c r="CS21" s="93">
        <v>1.1707000000000001</v>
      </c>
      <c r="CT21" s="93">
        <v>0.61429999999999996</v>
      </c>
      <c r="CU21" s="93">
        <v>13.226900000000001</v>
      </c>
      <c r="CV21" s="93">
        <v>2.5689000000000002</v>
      </c>
      <c r="CW21" s="93">
        <v>13.117599999999999</v>
      </c>
      <c r="CX21" s="93">
        <v>1.9184000000000001</v>
      </c>
      <c r="CY21" s="93">
        <v>24.7074</v>
      </c>
      <c r="CZ21" s="93">
        <v>6.0789999999999997</v>
      </c>
      <c r="DA21" s="93">
        <v>1.5824</v>
      </c>
      <c r="DB21" s="93">
        <v>5.5050999999999997</v>
      </c>
      <c r="DC21" s="93">
        <v>19.6187</v>
      </c>
      <c r="DD21" s="93">
        <v>3.1395</v>
      </c>
      <c r="DE21" s="93">
        <v>1.6924999999999999</v>
      </c>
      <c r="DF21" s="93">
        <v>2.4504999999999999</v>
      </c>
      <c r="DG21" s="93">
        <v>39.323700000000002</v>
      </c>
      <c r="DH21" s="93">
        <v>1.0271999999999999</v>
      </c>
      <c r="DI21" s="93">
        <v>2.5428999999999999</v>
      </c>
      <c r="DJ21" s="93">
        <v>15.744300000000001</v>
      </c>
      <c r="DK21" s="93">
        <v>42.235599999999998</v>
      </c>
      <c r="DL21" s="93">
        <v>9.3407999999999998</v>
      </c>
      <c r="DM21" s="93">
        <v>1.0029999999999999</v>
      </c>
      <c r="DN21" s="93">
        <v>8.8918999999999997</v>
      </c>
      <c r="DO21" s="93">
        <v>24.6159</v>
      </c>
      <c r="DP21" s="93">
        <v>18.973600000000001</v>
      </c>
      <c r="DQ21" s="93">
        <v>7.9097</v>
      </c>
      <c r="DR21" s="93">
        <v>2.3062999999999998</v>
      </c>
      <c r="DS21" s="93">
        <v>5.6635</v>
      </c>
      <c r="DT21" s="93">
        <v>3.6625999999999999</v>
      </c>
      <c r="DU21" s="93">
        <v>18.164999999999999</v>
      </c>
      <c r="DV21" s="93">
        <v>7.2214</v>
      </c>
      <c r="DW21" s="93">
        <v>2.2747000000000002</v>
      </c>
      <c r="DX21" s="93">
        <v>9.1563999999999997</v>
      </c>
      <c r="DY21" s="93">
        <v>4.0877999999999997</v>
      </c>
      <c r="DZ21" s="93">
        <v>9.2194000000000003</v>
      </c>
      <c r="EA21" s="93">
        <v>4.5191999999999997</v>
      </c>
      <c r="EB21" s="93">
        <v>4.2984</v>
      </c>
      <c r="EC21" s="93">
        <v>11.389900000000001</v>
      </c>
      <c r="ED21" s="93">
        <v>4.7610000000000001</v>
      </c>
      <c r="EE21" s="93">
        <v>7.3944000000000001</v>
      </c>
      <c r="EF21" s="93">
        <v>15.959099999999999</v>
      </c>
      <c r="EG21" s="93">
        <v>12.0794</v>
      </c>
      <c r="EH21" s="93">
        <v>22.490200000000002</v>
      </c>
      <c r="EI21" s="93">
        <v>2.242</v>
      </c>
      <c r="EJ21" s="93">
        <v>3.2199</v>
      </c>
      <c r="EK21" s="93">
        <v>7.1582999999999997</v>
      </c>
      <c r="EL21" s="93">
        <v>21.091999999999999</v>
      </c>
      <c r="EM21" s="93">
        <v>1.1436999999999999</v>
      </c>
      <c r="EN21" s="93">
        <v>39.615900000000003</v>
      </c>
      <c r="EO21" s="93">
        <v>4.3654000000000002</v>
      </c>
      <c r="EP21" s="93">
        <v>17.3931</v>
      </c>
      <c r="EQ21" s="93">
        <v>4.9539</v>
      </c>
      <c r="ER21" s="93">
        <v>2.3860000000000001</v>
      </c>
      <c r="ES21" s="93">
        <v>6.8825000000000003</v>
      </c>
      <c r="ET21" s="93">
        <v>20.9192</v>
      </c>
      <c r="EU21" s="93">
        <v>8.35</v>
      </c>
      <c r="EV21" s="93">
        <v>15.985300000000001</v>
      </c>
      <c r="EW21" s="93">
        <v>3.1808999999999998</v>
      </c>
      <c r="EX21" s="93">
        <v>9.8120999999999992</v>
      </c>
      <c r="EY21" s="93">
        <v>4.7453000000000003</v>
      </c>
      <c r="EZ21" s="93">
        <v>7.1932</v>
      </c>
      <c r="FA21" s="93">
        <v>1.2199</v>
      </c>
      <c r="FB21" s="93">
        <v>5.7504</v>
      </c>
      <c r="FC21" s="93">
        <v>1.9217</v>
      </c>
      <c r="FD21" s="93">
        <v>23.473800000000001</v>
      </c>
      <c r="FE21" s="93">
        <v>7.4726999999999997</v>
      </c>
      <c r="FF21" s="93">
        <v>9.6784999999999997</v>
      </c>
      <c r="FG21" s="93">
        <v>3.4411999999999998</v>
      </c>
      <c r="FH21" s="93">
        <v>7.6140999999999996</v>
      </c>
      <c r="FI21" s="93">
        <v>56.250399999999999</v>
      </c>
      <c r="FJ21" s="93">
        <v>12.555899999999999</v>
      </c>
      <c r="FK21" s="93">
        <v>2.1720000000000002</v>
      </c>
      <c r="FL21" s="93">
        <v>1.3005</v>
      </c>
      <c r="FM21" s="93">
        <v>2.2416999999999998</v>
      </c>
      <c r="FN21" s="93">
        <v>9.0695999999999994</v>
      </c>
      <c r="FO21" s="93">
        <v>1.1216999999999999</v>
      </c>
    </row>
    <row r="22" spans="1:171" x14ac:dyDescent="0.2">
      <c r="A22" s="120" t="s">
        <v>16</v>
      </c>
      <c r="B22" s="121"/>
      <c r="C22" s="93">
        <v>0</v>
      </c>
      <c r="D22" s="93">
        <v>0</v>
      </c>
      <c r="E22" s="93">
        <v>0</v>
      </c>
      <c r="F22" s="93">
        <v>0</v>
      </c>
      <c r="G22" s="93">
        <v>0</v>
      </c>
      <c r="H22" s="93">
        <v>0</v>
      </c>
      <c r="I22" s="93">
        <v>0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0</v>
      </c>
      <c r="X22" s="93">
        <v>0</v>
      </c>
      <c r="Y22" s="93">
        <v>0</v>
      </c>
      <c r="Z22" s="93">
        <v>0</v>
      </c>
      <c r="AA22" s="93">
        <v>0</v>
      </c>
      <c r="AB22" s="93">
        <v>0</v>
      </c>
      <c r="AC22" s="93">
        <v>0</v>
      </c>
      <c r="AD22" s="93">
        <v>0</v>
      </c>
      <c r="AE22" s="93">
        <v>0</v>
      </c>
      <c r="AF22" s="93">
        <v>0</v>
      </c>
      <c r="AG22" s="93">
        <v>0</v>
      </c>
      <c r="AH22" s="93">
        <v>0</v>
      </c>
      <c r="AI22" s="93">
        <v>0</v>
      </c>
      <c r="AJ22" s="93">
        <v>0</v>
      </c>
      <c r="AK22" s="93">
        <v>0</v>
      </c>
      <c r="AL22" s="93">
        <v>0</v>
      </c>
      <c r="AM22" s="93">
        <v>0</v>
      </c>
      <c r="AN22" s="93">
        <v>0</v>
      </c>
      <c r="AO22" s="93">
        <v>0</v>
      </c>
      <c r="AP22" s="93">
        <v>0</v>
      </c>
      <c r="AQ22" s="93">
        <v>0</v>
      </c>
      <c r="AR22" s="93">
        <v>0</v>
      </c>
      <c r="AS22" s="93">
        <v>0</v>
      </c>
      <c r="AT22" s="93">
        <v>0</v>
      </c>
      <c r="AU22" s="93">
        <v>0</v>
      </c>
      <c r="AV22" s="93">
        <v>0</v>
      </c>
      <c r="AW22" s="93">
        <v>0</v>
      </c>
      <c r="AX22" s="93">
        <v>0</v>
      </c>
      <c r="AY22" s="93">
        <v>0</v>
      </c>
      <c r="AZ22" s="93">
        <v>0</v>
      </c>
      <c r="BA22" s="93">
        <v>0</v>
      </c>
      <c r="BB22" s="93">
        <v>0</v>
      </c>
      <c r="BC22" s="93">
        <v>0</v>
      </c>
      <c r="BD22" s="93">
        <v>0</v>
      </c>
      <c r="BE22" s="93">
        <v>0</v>
      </c>
      <c r="BF22" s="93">
        <v>0</v>
      </c>
      <c r="BG22" s="93">
        <v>0</v>
      </c>
      <c r="BH22" s="93">
        <v>0</v>
      </c>
      <c r="BI22" s="93">
        <v>0</v>
      </c>
      <c r="BJ22" s="93">
        <v>0</v>
      </c>
      <c r="BK22" s="93">
        <v>0</v>
      </c>
      <c r="BL22" s="93">
        <v>0</v>
      </c>
      <c r="BM22" s="93">
        <v>0</v>
      </c>
      <c r="BN22" s="93">
        <v>0</v>
      </c>
      <c r="BO22" s="93">
        <v>0</v>
      </c>
      <c r="BP22" s="93">
        <v>0</v>
      </c>
      <c r="BQ22" s="93">
        <v>0</v>
      </c>
      <c r="BR22" s="93">
        <v>0</v>
      </c>
      <c r="BS22" s="93">
        <v>0</v>
      </c>
      <c r="BT22" s="93">
        <v>0</v>
      </c>
      <c r="BU22" s="93">
        <v>0</v>
      </c>
      <c r="BV22" s="93">
        <v>0</v>
      </c>
      <c r="BW22" s="93">
        <v>0</v>
      </c>
      <c r="BX22" s="93">
        <v>0</v>
      </c>
      <c r="BY22" s="93">
        <v>0</v>
      </c>
      <c r="BZ22" s="93">
        <v>0</v>
      </c>
      <c r="CA22" s="93">
        <v>0</v>
      </c>
      <c r="CB22" s="93">
        <v>0</v>
      </c>
      <c r="CC22" s="93">
        <v>0</v>
      </c>
      <c r="CD22" s="93">
        <v>0</v>
      </c>
      <c r="CE22" s="93">
        <v>0</v>
      </c>
      <c r="CF22" s="93">
        <v>0</v>
      </c>
      <c r="CG22" s="93">
        <v>0</v>
      </c>
      <c r="CH22" s="93">
        <v>0</v>
      </c>
      <c r="CI22" s="93">
        <v>0</v>
      </c>
      <c r="CJ22" s="93">
        <v>0</v>
      </c>
      <c r="CK22" s="93">
        <v>0</v>
      </c>
      <c r="CL22" s="93">
        <v>0</v>
      </c>
      <c r="CM22" s="93">
        <v>0</v>
      </c>
      <c r="CN22" s="93">
        <v>0</v>
      </c>
      <c r="CO22" s="93">
        <v>0</v>
      </c>
      <c r="CP22" s="93">
        <v>0</v>
      </c>
      <c r="CQ22" s="93">
        <v>0</v>
      </c>
      <c r="CR22" s="93">
        <v>0</v>
      </c>
      <c r="CS22" s="93">
        <v>0</v>
      </c>
      <c r="CT22" s="93">
        <v>0</v>
      </c>
      <c r="CU22" s="93">
        <v>0</v>
      </c>
      <c r="CV22" s="93">
        <v>0</v>
      </c>
      <c r="CW22" s="93">
        <v>0</v>
      </c>
      <c r="CX22" s="93">
        <v>0</v>
      </c>
      <c r="CY22" s="93">
        <v>0</v>
      </c>
      <c r="CZ22" s="93">
        <v>0</v>
      </c>
      <c r="DA22" s="93">
        <v>0</v>
      </c>
      <c r="DB22" s="93">
        <v>0</v>
      </c>
      <c r="DC22" s="93">
        <v>0</v>
      </c>
      <c r="DD22" s="93">
        <v>0</v>
      </c>
      <c r="DE22" s="93">
        <v>0</v>
      </c>
      <c r="DF22" s="93">
        <v>0</v>
      </c>
      <c r="DG22" s="93">
        <v>0</v>
      </c>
      <c r="DH22" s="93">
        <v>0</v>
      </c>
      <c r="DI22" s="93">
        <v>0</v>
      </c>
      <c r="DJ22" s="93">
        <v>0</v>
      </c>
      <c r="DK22" s="93">
        <v>0</v>
      </c>
      <c r="DL22" s="93">
        <v>0</v>
      </c>
      <c r="DM22" s="93">
        <v>0</v>
      </c>
      <c r="DN22" s="93">
        <v>0</v>
      </c>
      <c r="DO22" s="93">
        <v>0</v>
      </c>
      <c r="DP22" s="93">
        <v>0</v>
      </c>
      <c r="DQ22" s="93">
        <v>0</v>
      </c>
      <c r="DR22" s="93">
        <v>0</v>
      </c>
      <c r="DS22" s="93">
        <v>0</v>
      </c>
      <c r="DT22" s="93">
        <v>0</v>
      </c>
      <c r="DU22" s="93">
        <v>0</v>
      </c>
      <c r="DV22" s="93">
        <v>0</v>
      </c>
      <c r="DW22" s="93">
        <v>0</v>
      </c>
      <c r="DX22" s="93">
        <v>0</v>
      </c>
      <c r="DY22" s="93">
        <v>0</v>
      </c>
      <c r="DZ22" s="93">
        <v>0</v>
      </c>
      <c r="EA22" s="93">
        <v>0</v>
      </c>
      <c r="EB22" s="93">
        <v>0</v>
      </c>
      <c r="EC22" s="93">
        <v>0</v>
      </c>
      <c r="ED22" s="93">
        <v>0</v>
      </c>
      <c r="EE22" s="93">
        <v>0</v>
      </c>
      <c r="EF22" s="93">
        <v>0</v>
      </c>
      <c r="EG22" s="93">
        <v>0</v>
      </c>
      <c r="EH22" s="93">
        <v>0</v>
      </c>
      <c r="EI22" s="93">
        <v>0</v>
      </c>
      <c r="EJ22" s="93">
        <v>0</v>
      </c>
      <c r="EK22" s="93">
        <v>0</v>
      </c>
      <c r="EL22" s="93">
        <v>0</v>
      </c>
      <c r="EM22" s="93">
        <v>0</v>
      </c>
      <c r="EN22" s="93">
        <v>0</v>
      </c>
      <c r="EO22" s="93">
        <v>0</v>
      </c>
      <c r="EP22" s="93">
        <v>0</v>
      </c>
      <c r="EQ22" s="93">
        <v>0</v>
      </c>
      <c r="ER22" s="93">
        <v>0</v>
      </c>
      <c r="ES22" s="93">
        <v>0</v>
      </c>
      <c r="ET22" s="93">
        <v>0</v>
      </c>
      <c r="EU22" s="93">
        <v>0</v>
      </c>
      <c r="EV22" s="93">
        <v>0</v>
      </c>
      <c r="EW22" s="93">
        <v>0</v>
      </c>
      <c r="EX22" s="93">
        <v>0</v>
      </c>
      <c r="EY22" s="93">
        <v>0</v>
      </c>
      <c r="EZ22" s="93">
        <v>0</v>
      </c>
      <c r="FA22" s="93">
        <v>0</v>
      </c>
      <c r="FB22" s="93">
        <v>0</v>
      </c>
      <c r="FC22" s="93">
        <v>0</v>
      </c>
      <c r="FD22" s="93">
        <v>0</v>
      </c>
      <c r="FE22" s="93">
        <v>0</v>
      </c>
      <c r="FF22" s="93">
        <v>0</v>
      </c>
      <c r="FG22" s="93">
        <v>0</v>
      </c>
      <c r="FH22" s="93">
        <v>0</v>
      </c>
      <c r="FI22" s="93">
        <v>0</v>
      </c>
      <c r="FJ22" s="93">
        <v>0</v>
      </c>
      <c r="FK22" s="93">
        <v>0</v>
      </c>
      <c r="FL22" s="93">
        <v>0</v>
      </c>
      <c r="FM22" s="93">
        <v>0</v>
      </c>
      <c r="FN22" s="93">
        <v>0</v>
      </c>
      <c r="FO22" s="93">
        <v>0</v>
      </c>
    </row>
    <row r="23" spans="1:171" x14ac:dyDescent="0.2">
      <c r="A23" s="120" t="s">
        <v>17</v>
      </c>
      <c r="B23" s="121"/>
      <c r="C23" s="93">
        <v>2.7875000000000001</v>
      </c>
      <c r="D23" s="93">
        <v>5.4116999999999997</v>
      </c>
      <c r="E23" s="93">
        <v>7.2861000000000002</v>
      </c>
      <c r="F23" s="93">
        <v>33.921700000000001</v>
      </c>
      <c r="G23" s="93">
        <v>6.5526999999999997</v>
      </c>
      <c r="H23" s="93">
        <v>12.183299999999999</v>
      </c>
      <c r="I23" s="93">
        <v>4.0827999999999998</v>
      </c>
      <c r="J23" s="93">
        <v>0</v>
      </c>
      <c r="K23" s="93">
        <v>1.4516</v>
      </c>
      <c r="L23" s="93">
        <v>8.8142999999999994</v>
      </c>
      <c r="M23" s="93">
        <v>0</v>
      </c>
      <c r="N23" s="93">
        <v>10.9696</v>
      </c>
      <c r="O23" s="93">
        <v>9.6010000000000009</v>
      </c>
      <c r="P23" s="93">
        <v>7.4602000000000004</v>
      </c>
      <c r="Q23" s="93">
        <v>12.341200000000001</v>
      </c>
      <c r="R23" s="93">
        <v>176.1053</v>
      </c>
      <c r="S23" s="93">
        <v>1.0448</v>
      </c>
      <c r="T23" s="93">
        <v>2.3277999999999999</v>
      </c>
      <c r="U23" s="93">
        <v>9.9557000000000002</v>
      </c>
      <c r="V23" s="93">
        <v>2.6676000000000002</v>
      </c>
      <c r="W23" s="93">
        <v>8.1179000000000006</v>
      </c>
      <c r="X23" s="93">
        <v>0</v>
      </c>
      <c r="Y23" s="93">
        <v>4.7171000000000003</v>
      </c>
      <c r="Z23" s="93">
        <v>40.8688</v>
      </c>
      <c r="AA23" s="93">
        <v>1.1908000000000001</v>
      </c>
      <c r="AB23" s="93">
        <v>5.5705</v>
      </c>
      <c r="AC23" s="93">
        <v>6.6996000000000002</v>
      </c>
      <c r="AD23" s="93">
        <v>7.3647999999999998</v>
      </c>
      <c r="AE23" s="93">
        <v>0</v>
      </c>
      <c r="AF23" s="93">
        <v>3.5112999999999999</v>
      </c>
      <c r="AG23" s="93">
        <v>16.104500000000002</v>
      </c>
      <c r="AH23" s="93">
        <v>3.7907000000000002</v>
      </c>
      <c r="AI23" s="93">
        <v>19.430800000000001</v>
      </c>
      <c r="AJ23" s="93">
        <v>9.8064</v>
      </c>
      <c r="AK23" s="93">
        <v>3.8328000000000002</v>
      </c>
      <c r="AL23" s="93">
        <v>7.3575999999999997</v>
      </c>
      <c r="AM23" s="93">
        <v>7.3781999999999996</v>
      </c>
      <c r="AN23" s="93">
        <v>7.3856000000000002</v>
      </c>
      <c r="AO23" s="93">
        <v>0</v>
      </c>
      <c r="AP23" s="93">
        <v>7.0517000000000003</v>
      </c>
      <c r="AQ23" s="93">
        <v>10.5328</v>
      </c>
      <c r="AR23" s="93">
        <v>3.3408000000000002</v>
      </c>
      <c r="AS23" s="93">
        <v>85.616600000000005</v>
      </c>
      <c r="AT23" s="93">
        <v>27.281500000000001</v>
      </c>
      <c r="AU23" s="93">
        <v>0</v>
      </c>
      <c r="AV23" s="93">
        <v>0</v>
      </c>
      <c r="AW23" s="93">
        <v>0</v>
      </c>
      <c r="AX23" s="93">
        <v>6.1878000000000002</v>
      </c>
      <c r="AY23" s="93">
        <v>0.91569999999999996</v>
      </c>
      <c r="AZ23" s="93">
        <v>0</v>
      </c>
      <c r="BA23" s="93">
        <v>2.5152999999999999</v>
      </c>
      <c r="BB23" s="93">
        <v>1.4123000000000001</v>
      </c>
      <c r="BC23" s="93">
        <v>0</v>
      </c>
      <c r="BD23" s="93">
        <v>0</v>
      </c>
      <c r="BE23" s="93">
        <v>0</v>
      </c>
      <c r="BF23" s="93">
        <v>27.955200000000001</v>
      </c>
      <c r="BG23" s="93">
        <v>0</v>
      </c>
      <c r="BH23" s="93">
        <v>15.6839</v>
      </c>
      <c r="BI23" s="93">
        <v>15.0745</v>
      </c>
      <c r="BJ23" s="93">
        <v>47.392299999999999</v>
      </c>
      <c r="BK23" s="93">
        <v>14.9834</v>
      </c>
      <c r="BL23" s="93">
        <v>99.572000000000003</v>
      </c>
      <c r="BM23" s="93">
        <v>25.084299999999999</v>
      </c>
      <c r="BN23" s="93">
        <v>180.6035</v>
      </c>
      <c r="BO23" s="93">
        <v>71.362399999999994</v>
      </c>
      <c r="BP23" s="93">
        <v>88.779600000000002</v>
      </c>
      <c r="BQ23" s="93">
        <v>16.445599999999999</v>
      </c>
      <c r="BR23" s="93">
        <v>1.5094000000000001</v>
      </c>
      <c r="BS23" s="93">
        <v>48.187600000000003</v>
      </c>
      <c r="BT23" s="93">
        <v>48.269300000000001</v>
      </c>
      <c r="BU23" s="93">
        <v>17.743400000000001</v>
      </c>
      <c r="BV23" s="93">
        <v>8.6273</v>
      </c>
      <c r="BW23" s="93">
        <v>20.431699999999999</v>
      </c>
      <c r="BX23" s="93">
        <v>6.0021000000000004</v>
      </c>
      <c r="BY23" s="93">
        <v>10.554600000000001</v>
      </c>
      <c r="BZ23" s="93">
        <v>7.8765999999999998</v>
      </c>
      <c r="CA23" s="93">
        <v>15.6295</v>
      </c>
      <c r="CB23" s="93">
        <v>15.831099999999999</v>
      </c>
      <c r="CC23" s="93">
        <v>8.0091000000000001</v>
      </c>
      <c r="CD23" s="93">
        <v>4.4690000000000003</v>
      </c>
      <c r="CE23" s="93">
        <v>50.538200000000003</v>
      </c>
      <c r="CF23" s="93">
        <v>2.8892000000000002</v>
      </c>
      <c r="CG23" s="93">
        <v>3.8006000000000002</v>
      </c>
      <c r="CH23" s="93">
        <v>2.6705999999999999</v>
      </c>
      <c r="CI23" s="93">
        <v>11.0297</v>
      </c>
      <c r="CJ23" s="93">
        <v>8.2964000000000002</v>
      </c>
      <c r="CK23" s="93">
        <v>0</v>
      </c>
      <c r="CL23" s="93">
        <v>5.5328999999999997</v>
      </c>
      <c r="CM23" s="93">
        <v>2.9550999999999998</v>
      </c>
      <c r="CN23" s="93">
        <v>0</v>
      </c>
      <c r="CO23" s="93">
        <v>1.8562000000000001</v>
      </c>
      <c r="CP23" s="93">
        <v>7.6672000000000002</v>
      </c>
      <c r="CQ23" s="93">
        <v>15.924099999999999</v>
      </c>
      <c r="CR23" s="93">
        <v>40.106900000000003</v>
      </c>
      <c r="CS23" s="93">
        <v>1.198</v>
      </c>
      <c r="CT23" s="93">
        <v>0.87609999999999999</v>
      </c>
      <c r="CU23" s="93">
        <v>6.1223000000000001</v>
      </c>
      <c r="CV23" s="93">
        <v>0</v>
      </c>
      <c r="CW23" s="93">
        <v>3.7827000000000002</v>
      </c>
      <c r="CX23" s="93">
        <v>0</v>
      </c>
      <c r="CY23" s="93">
        <v>15.119899999999999</v>
      </c>
      <c r="CZ23" s="93">
        <v>3.5777000000000001</v>
      </c>
      <c r="DA23" s="93">
        <v>0.94869999999999999</v>
      </c>
      <c r="DB23" s="93">
        <v>8.5228999999999999</v>
      </c>
      <c r="DC23" s="93">
        <v>11.983599999999999</v>
      </c>
      <c r="DD23" s="93">
        <v>2.1762000000000001</v>
      </c>
      <c r="DE23" s="93">
        <v>5.8148999999999997</v>
      </c>
      <c r="DF23" s="93">
        <v>2.6846000000000001</v>
      </c>
      <c r="DG23" s="93">
        <v>24.206</v>
      </c>
      <c r="DH23" s="93">
        <v>0</v>
      </c>
      <c r="DI23" s="93">
        <v>4.0853000000000002</v>
      </c>
      <c r="DJ23" s="93">
        <v>24.469200000000001</v>
      </c>
      <c r="DK23" s="93">
        <v>17.864999999999998</v>
      </c>
      <c r="DL23" s="93">
        <v>5.4859</v>
      </c>
      <c r="DM23" s="93">
        <v>2.7759</v>
      </c>
      <c r="DN23" s="93">
        <v>13.014900000000001</v>
      </c>
      <c r="DO23" s="93">
        <v>18.048200000000001</v>
      </c>
      <c r="DP23" s="93">
        <v>4.2423999999999999</v>
      </c>
      <c r="DQ23" s="93">
        <v>2.7071999999999998</v>
      </c>
      <c r="DR23" s="93">
        <v>0.91849999999999998</v>
      </c>
      <c r="DS23" s="93">
        <v>3.0895999999999999</v>
      </c>
      <c r="DT23" s="93">
        <v>0</v>
      </c>
      <c r="DU23" s="93">
        <v>8.3848000000000003</v>
      </c>
      <c r="DV23" s="93">
        <v>2.6265999999999998</v>
      </c>
      <c r="DW23" s="93">
        <v>4.0420999999999996</v>
      </c>
      <c r="DX23" s="93">
        <v>7.3971999999999998</v>
      </c>
      <c r="DY23" s="93">
        <v>4.0410000000000004</v>
      </c>
      <c r="DZ23" s="93">
        <v>13.7829</v>
      </c>
      <c r="EA23" s="93">
        <v>4.6460999999999997</v>
      </c>
      <c r="EB23" s="93">
        <v>1.363</v>
      </c>
      <c r="EC23" s="93">
        <v>2.6795</v>
      </c>
      <c r="ED23" s="93">
        <v>3.8645</v>
      </c>
      <c r="EE23" s="93">
        <v>3.5872000000000002</v>
      </c>
      <c r="EF23" s="93">
        <v>5.7476000000000003</v>
      </c>
      <c r="EG23" s="93">
        <v>4.4503000000000004</v>
      </c>
      <c r="EH23" s="93">
        <v>17.698</v>
      </c>
      <c r="EI23" s="93">
        <v>0</v>
      </c>
      <c r="EJ23" s="93">
        <v>4.9393000000000002</v>
      </c>
      <c r="EK23" s="93">
        <v>14.1069</v>
      </c>
      <c r="EL23" s="93">
        <v>21.023599999999998</v>
      </c>
      <c r="EM23" s="93">
        <v>0</v>
      </c>
      <c r="EN23" s="93">
        <v>12.297499999999999</v>
      </c>
      <c r="EO23" s="93">
        <v>10.5463</v>
      </c>
      <c r="EP23" s="93">
        <v>9.5091999999999999</v>
      </c>
      <c r="EQ23" s="93">
        <v>2.1006999999999998</v>
      </c>
      <c r="ER23" s="93">
        <v>2.5918999999999999</v>
      </c>
      <c r="ES23" s="93">
        <v>3.6181999999999999</v>
      </c>
      <c r="ET23" s="93">
        <v>4.3624999999999998</v>
      </c>
      <c r="EU23" s="93">
        <v>8.8163999999999998</v>
      </c>
      <c r="EV23" s="93">
        <v>7.3974000000000002</v>
      </c>
      <c r="EW23" s="93">
        <v>3.6602000000000001</v>
      </c>
      <c r="EX23" s="93">
        <v>6.1679000000000004</v>
      </c>
      <c r="EY23" s="93">
        <v>2.2682000000000002</v>
      </c>
      <c r="EZ23" s="93">
        <v>1.4594</v>
      </c>
      <c r="FA23" s="93">
        <v>1.0603</v>
      </c>
      <c r="FB23" s="93">
        <v>3.4594999999999998</v>
      </c>
      <c r="FC23" s="93">
        <v>2.7492999999999999</v>
      </c>
      <c r="FD23" s="93">
        <v>7.7916999999999996</v>
      </c>
      <c r="FE23" s="93">
        <v>0</v>
      </c>
      <c r="FF23" s="93">
        <v>12.0748</v>
      </c>
      <c r="FG23" s="93">
        <v>0.95250000000000001</v>
      </c>
      <c r="FH23" s="93">
        <v>4.7240000000000002</v>
      </c>
      <c r="FI23" s="93">
        <v>13.7193</v>
      </c>
      <c r="FJ23" s="93">
        <v>4.4465000000000003</v>
      </c>
      <c r="FK23" s="93">
        <v>1.7067000000000001</v>
      </c>
      <c r="FL23" s="93">
        <v>0</v>
      </c>
      <c r="FM23" s="93">
        <v>0</v>
      </c>
      <c r="FN23" s="93">
        <v>5.1288</v>
      </c>
      <c r="FO23" s="93">
        <v>0.73480000000000001</v>
      </c>
    </row>
    <row r="24" spans="1:171" x14ac:dyDescent="0.2">
      <c r="A24" s="120" t="s">
        <v>18</v>
      </c>
      <c r="B24" s="121"/>
      <c r="C24" s="93">
        <v>0</v>
      </c>
      <c r="D24" s="93">
        <v>0</v>
      </c>
      <c r="E24" s="93">
        <v>0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>
        <v>0</v>
      </c>
      <c r="P24" s="93">
        <v>0</v>
      </c>
      <c r="Q24" s="93">
        <v>0</v>
      </c>
      <c r="R24" s="93">
        <v>0</v>
      </c>
      <c r="S24" s="93">
        <v>0</v>
      </c>
      <c r="T24" s="93">
        <v>0</v>
      </c>
      <c r="U24" s="93">
        <v>0</v>
      </c>
      <c r="V24" s="93">
        <v>0</v>
      </c>
      <c r="W24" s="93">
        <v>0</v>
      </c>
      <c r="X24" s="93">
        <v>0</v>
      </c>
      <c r="Y24" s="93">
        <v>0</v>
      </c>
      <c r="Z24" s="93">
        <v>0</v>
      </c>
      <c r="AA24" s="93">
        <v>0</v>
      </c>
      <c r="AB24" s="93">
        <v>0</v>
      </c>
      <c r="AC24" s="93">
        <v>0</v>
      </c>
      <c r="AD24" s="93">
        <v>0</v>
      </c>
      <c r="AE24" s="93">
        <v>0</v>
      </c>
      <c r="AF24" s="93">
        <v>0</v>
      </c>
      <c r="AG24" s="93">
        <v>0</v>
      </c>
      <c r="AH24" s="93">
        <v>0</v>
      </c>
      <c r="AI24" s="93">
        <v>0</v>
      </c>
      <c r="AJ24" s="93">
        <v>0</v>
      </c>
      <c r="AK24" s="93">
        <v>0</v>
      </c>
      <c r="AL24" s="93">
        <v>0</v>
      </c>
      <c r="AM24" s="93">
        <v>0</v>
      </c>
      <c r="AN24" s="93">
        <v>0</v>
      </c>
      <c r="AO24" s="93">
        <v>0</v>
      </c>
      <c r="AP24" s="93">
        <v>0</v>
      </c>
      <c r="AQ24" s="93">
        <v>0</v>
      </c>
      <c r="AR24" s="93">
        <v>0</v>
      </c>
      <c r="AS24" s="93">
        <v>0</v>
      </c>
      <c r="AT24" s="93">
        <v>0</v>
      </c>
      <c r="AU24" s="93">
        <v>0</v>
      </c>
      <c r="AV24" s="93">
        <v>0</v>
      </c>
      <c r="AW24" s="93">
        <v>0</v>
      </c>
      <c r="AX24" s="93">
        <v>0</v>
      </c>
      <c r="AY24" s="93">
        <v>0</v>
      </c>
      <c r="AZ24" s="93">
        <v>0</v>
      </c>
      <c r="BA24" s="93">
        <v>0</v>
      </c>
      <c r="BB24" s="93">
        <v>0</v>
      </c>
      <c r="BC24" s="93">
        <v>0</v>
      </c>
      <c r="BD24" s="93">
        <v>0</v>
      </c>
      <c r="BE24" s="93">
        <v>0</v>
      </c>
      <c r="BF24" s="93">
        <v>0</v>
      </c>
      <c r="BG24" s="93">
        <v>0</v>
      </c>
      <c r="BH24" s="93">
        <v>0</v>
      </c>
      <c r="BI24" s="93">
        <v>0</v>
      </c>
      <c r="BJ24" s="93">
        <v>0</v>
      </c>
      <c r="BK24" s="93">
        <v>0</v>
      </c>
      <c r="BL24" s="93">
        <v>0</v>
      </c>
      <c r="BM24" s="93">
        <v>0</v>
      </c>
      <c r="BN24" s="93">
        <v>0</v>
      </c>
      <c r="BO24" s="93">
        <v>0</v>
      </c>
      <c r="BP24" s="93">
        <v>0</v>
      </c>
      <c r="BQ24" s="93">
        <v>0</v>
      </c>
      <c r="BR24" s="93">
        <v>0</v>
      </c>
      <c r="BS24" s="93">
        <v>0</v>
      </c>
      <c r="BT24" s="93">
        <v>0</v>
      </c>
      <c r="BU24" s="93">
        <v>0</v>
      </c>
      <c r="BV24" s="93">
        <v>0</v>
      </c>
      <c r="BW24" s="93">
        <v>0</v>
      </c>
      <c r="BX24" s="93">
        <v>0</v>
      </c>
      <c r="BY24" s="93">
        <v>0</v>
      </c>
      <c r="BZ24" s="93">
        <v>0</v>
      </c>
      <c r="CA24" s="93">
        <v>0</v>
      </c>
      <c r="CB24" s="93">
        <v>0</v>
      </c>
      <c r="CC24" s="93">
        <v>0</v>
      </c>
      <c r="CD24" s="93">
        <v>0</v>
      </c>
      <c r="CE24" s="93">
        <v>0</v>
      </c>
      <c r="CF24" s="93">
        <v>0</v>
      </c>
      <c r="CG24" s="93">
        <v>0</v>
      </c>
      <c r="CH24" s="93">
        <v>0</v>
      </c>
      <c r="CI24" s="93">
        <v>0</v>
      </c>
      <c r="CJ24" s="93">
        <v>0</v>
      </c>
      <c r="CK24" s="93">
        <v>0</v>
      </c>
      <c r="CL24" s="93">
        <v>0</v>
      </c>
      <c r="CM24" s="93">
        <v>0</v>
      </c>
      <c r="CN24" s="93">
        <v>0</v>
      </c>
      <c r="CO24" s="93">
        <v>0</v>
      </c>
      <c r="CP24" s="93">
        <v>0</v>
      </c>
      <c r="CQ24" s="93">
        <v>0</v>
      </c>
      <c r="CR24" s="93">
        <v>0</v>
      </c>
      <c r="CS24" s="93">
        <v>0</v>
      </c>
      <c r="CT24" s="93">
        <v>0</v>
      </c>
      <c r="CU24" s="93">
        <v>0</v>
      </c>
      <c r="CV24" s="93">
        <v>0</v>
      </c>
      <c r="CW24" s="93">
        <v>0</v>
      </c>
      <c r="CX24" s="93">
        <v>0</v>
      </c>
      <c r="CY24" s="93">
        <v>0</v>
      </c>
      <c r="CZ24" s="93">
        <v>0</v>
      </c>
      <c r="DA24" s="93">
        <v>0</v>
      </c>
      <c r="DB24" s="93">
        <v>0</v>
      </c>
      <c r="DC24" s="93">
        <v>0</v>
      </c>
      <c r="DD24" s="93">
        <v>0</v>
      </c>
      <c r="DE24" s="93">
        <v>0</v>
      </c>
      <c r="DF24" s="93">
        <v>0</v>
      </c>
      <c r="DG24" s="93">
        <v>0</v>
      </c>
      <c r="DH24" s="93">
        <v>0</v>
      </c>
      <c r="DI24" s="93">
        <v>0</v>
      </c>
      <c r="DJ24" s="93">
        <v>0</v>
      </c>
      <c r="DK24" s="93">
        <v>0</v>
      </c>
      <c r="DL24" s="93">
        <v>0</v>
      </c>
      <c r="DM24" s="93">
        <v>0</v>
      </c>
      <c r="DN24" s="93">
        <v>0</v>
      </c>
      <c r="DO24" s="93">
        <v>0</v>
      </c>
      <c r="DP24" s="93">
        <v>0</v>
      </c>
      <c r="DQ24" s="93">
        <v>0</v>
      </c>
      <c r="DR24" s="93">
        <v>0</v>
      </c>
      <c r="DS24" s="93">
        <v>0</v>
      </c>
      <c r="DT24" s="93">
        <v>0</v>
      </c>
      <c r="DU24" s="93">
        <v>0</v>
      </c>
      <c r="DV24" s="93">
        <v>0</v>
      </c>
      <c r="DW24" s="93">
        <v>0</v>
      </c>
      <c r="DX24" s="93">
        <v>0</v>
      </c>
      <c r="DY24" s="93">
        <v>0</v>
      </c>
      <c r="DZ24" s="93">
        <v>0</v>
      </c>
      <c r="EA24" s="93">
        <v>0</v>
      </c>
      <c r="EB24" s="93">
        <v>0</v>
      </c>
      <c r="EC24" s="93">
        <v>0</v>
      </c>
      <c r="ED24" s="93">
        <v>0</v>
      </c>
      <c r="EE24" s="93">
        <v>0</v>
      </c>
      <c r="EF24" s="93">
        <v>0</v>
      </c>
      <c r="EG24" s="93">
        <v>0</v>
      </c>
      <c r="EH24" s="93">
        <v>0</v>
      </c>
      <c r="EI24" s="93">
        <v>0</v>
      </c>
      <c r="EJ24" s="93">
        <v>0</v>
      </c>
      <c r="EK24" s="93">
        <v>0</v>
      </c>
      <c r="EL24" s="93">
        <v>0</v>
      </c>
      <c r="EM24" s="93">
        <v>0</v>
      </c>
      <c r="EN24" s="93">
        <v>0</v>
      </c>
      <c r="EO24" s="93">
        <v>0</v>
      </c>
      <c r="EP24" s="93">
        <v>0</v>
      </c>
      <c r="EQ24" s="93">
        <v>0</v>
      </c>
      <c r="ER24" s="93">
        <v>0</v>
      </c>
      <c r="ES24" s="93">
        <v>0</v>
      </c>
      <c r="ET24" s="93">
        <v>0</v>
      </c>
      <c r="EU24" s="93">
        <v>0</v>
      </c>
      <c r="EV24" s="93">
        <v>0</v>
      </c>
      <c r="EW24" s="93">
        <v>0</v>
      </c>
      <c r="EX24" s="93">
        <v>0</v>
      </c>
      <c r="EY24" s="93">
        <v>0</v>
      </c>
      <c r="EZ24" s="93">
        <v>0</v>
      </c>
      <c r="FA24" s="93">
        <v>0</v>
      </c>
      <c r="FB24" s="93">
        <v>0</v>
      </c>
      <c r="FC24" s="93">
        <v>0</v>
      </c>
      <c r="FD24" s="93">
        <v>0</v>
      </c>
      <c r="FE24" s="93">
        <v>0</v>
      </c>
      <c r="FF24" s="93">
        <v>0</v>
      </c>
      <c r="FG24" s="93">
        <v>0</v>
      </c>
      <c r="FH24" s="93">
        <v>0</v>
      </c>
      <c r="FI24" s="93">
        <v>0</v>
      </c>
      <c r="FJ24" s="93">
        <v>0</v>
      </c>
      <c r="FK24" s="93">
        <v>0</v>
      </c>
      <c r="FL24" s="93">
        <v>0</v>
      </c>
      <c r="FM24" s="93">
        <v>0</v>
      </c>
      <c r="FN24" s="93">
        <v>0</v>
      </c>
      <c r="FO24" s="93">
        <v>0</v>
      </c>
    </row>
    <row r="25" spans="1:171" x14ac:dyDescent="0.2">
      <c r="A25" s="120" t="s">
        <v>15</v>
      </c>
      <c r="B25" s="121"/>
      <c r="C25" s="93">
        <v>0</v>
      </c>
      <c r="D25" s="93">
        <v>1.0502</v>
      </c>
      <c r="E25" s="93">
        <v>0</v>
      </c>
      <c r="F25" s="93">
        <v>6.0982000000000003</v>
      </c>
      <c r="G25" s="93">
        <v>0.66169999999999995</v>
      </c>
      <c r="H25" s="93">
        <v>1.5849</v>
      </c>
      <c r="I25" s="93">
        <v>1.2161999999999999</v>
      </c>
      <c r="J25" s="93">
        <v>1.0975999999999999</v>
      </c>
      <c r="K25" s="93">
        <v>0</v>
      </c>
      <c r="L25" s="93">
        <v>0</v>
      </c>
      <c r="M25" s="93">
        <v>0</v>
      </c>
      <c r="N25" s="93">
        <v>0</v>
      </c>
      <c r="O25" s="93">
        <v>0</v>
      </c>
      <c r="P25" s="93">
        <v>0</v>
      </c>
      <c r="Q25" s="93">
        <v>0</v>
      </c>
      <c r="R25" s="93">
        <v>23.755600000000001</v>
      </c>
      <c r="S25" s="93">
        <v>0</v>
      </c>
      <c r="T25" s="93">
        <v>0</v>
      </c>
      <c r="U25" s="93">
        <v>1.7311000000000001</v>
      </c>
      <c r="V25" s="93">
        <v>0</v>
      </c>
      <c r="W25" s="93">
        <v>0.81810000000000005</v>
      </c>
      <c r="X25" s="93">
        <v>0</v>
      </c>
      <c r="Y25" s="93">
        <v>0</v>
      </c>
      <c r="Z25" s="93">
        <v>0</v>
      </c>
      <c r="AA25" s="93">
        <v>0</v>
      </c>
      <c r="AB25" s="93">
        <v>0</v>
      </c>
      <c r="AC25" s="93">
        <v>3.9220999999999999</v>
      </c>
      <c r="AD25" s="93">
        <v>2.0861000000000001</v>
      </c>
      <c r="AE25" s="93">
        <v>0</v>
      </c>
      <c r="AF25" s="93">
        <v>0</v>
      </c>
      <c r="AG25" s="93">
        <v>1.6618999999999999</v>
      </c>
      <c r="AH25" s="93">
        <v>0</v>
      </c>
      <c r="AI25" s="93">
        <v>0</v>
      </c>
      <c r="AJ25" s="93">
        <v>0</v>
      </c>
      <c r="AK25" s="93">
        <v>1.4450000000000001</v>
      </c>
      <c r="AL25" s="93">
        <v>0</v>
      </c>
      <c r="AM25" s="93">
        <v>0</v>
      </c>
      <c r="AN25" s="93">
        <v>2.411</v>
      </c>
      <c r="AO25" s="93">
        <v>0.629</v>
      </c>
      <c r="AP25" s="93">
        <v>0</v>
      </c>
      <c r="AQ25" s="93">
        <v>1.5297000000000001</v>
      </c>
      <c r="AR25" s="93">
        <v>0.16769999999999999</v>
      </c>
      <c r="AS25" s="93">
        <v>6.0978000000000003</v>
      </c>
      <c r="AT25" s="93">
        <v>2.3578000000000001</v>
      </c>
      <c r="AU25" s="93">
        <v>0</v>
      </c>
      <c r="AV25" s="93">
        <v>0.51200000000000001</v>
      </c>
      <c r="AW25" s="93">
        <v>0</v>
      </c>
      <c r="AX25" s="93">
        <v>0</v>
      </c>
      <c r="AY25" s="93">
        <v>1.7198</v>
      </c>
      <c r="AZ25" s="93">
        <v>0.312</v>
      </c>
      <c r="BA25" s="93">
        <v>0.3659</v>
      </c>
      <c r="BB25" s="93">
        <v>0</v>
      </c>
      <c r="BC25" s="93">
        <v>0.79300000000000004</v>
      </c>
      <c r="BD25" s="93">
        <v>2.9432999999999998</v>
      </c>
      <c r="BE25" s="93">
        <v>0</v>
      </c>
      <c r="BF25" s="93">
        <v>0</v>
      </c>
      <c r="BG25" s="93">
        <v>0</v>
      </c>
      <c r="BH25" s="93">
        <v>2.0729000000000002</v>
      </c>
      <c r="BI25" s="93">
        <v>0</v>
      </c>
      <c r="BJ25" s="93">
        <v>0</v>
      </c>
      <c r="BK25" s="93">
        <v>0</v>
      </c>
      <c r="BL25" s="93">
        <v>21.708400000000001</v>
      </c>
      <c r="BM25" s="93">
        <v>4.3311999999999999</v>
      </c>
      <c r="BN25" s="93">
        <v>29.243400000000001</v>
      </c>
      <c r="BO25" s="93">
        <v>9.8954000000000004</v>
      </c>
      <c r="BP25" s="93">
        <v>11.866899999999999</v>
      </c>
      <c r="BQ25" s="93">
        <v>0</v>
      </c>
      <c r="BR25" s="93">
        <v>0</v>
      </c>
      <c r="BS25" s="93">
        <v>6.9298999999999999</v>
      </c>
      <c r="BT25" s="93">
        <v>7.4766000000000004</v>
      </c>
      <c r="BU25" s="93">
        <v>3.0329000000000002</v>
      </c>
      <c r="BV25" s="93">
        <v>0</v>
      </c>
      <c r="BW25" s="93">
        <v>1.3507</v>
      </c>
      <c r="BX25" s="93">
        <v>0.7097</v>
      </c>
      <c r="BY25" s="93">
        <v>0</v>
      </c>
      <c r="BZ25" s="93">
        <v>0</v>
      </c>
      <c r="CA25" s="93">
        <v>2.5506000000000002</v>
      </c>
      <c r="CB25" s="93">
        <v>0</v>
      </c>
      <c r="CC25" s="93">
        <v>0.87709999999999999</v>
      </c>
      <c r="CD25" s="93">
        <v>0</v>
      </c>
      <c r="CE25" s="93">
        <v>3.0672000000000001</v>
      </c>
      <c r="CF25" s="93">
        <v>0.39019999999999999</v>
      </c>
      <c r="CG25" s="93">
        <v>0</v>
      </c>
      <c r="CH25" s="93">
        <v>0</v>
      </c>
      <c r="CI25" s="93">
        <v>0</v>
      </c>
      <c r="CJ25" s="93">
        <v>0</v>
      </c>
      <c r="CK25" s="93">
        <v>0.51559999999999995</v>
      </c>
      <c r="CL25" s="93">
        <v>2.6063000000000001</v>
      </c>
      <c r="CM25" s="93">
        <v>1.9302999999999999</v>
      </c>
      <c r="CN25" s="93">
        <v>0.82050000000000001</v>
      </c>
      <c r="CO25" s="93">
        <v>0</v>
      </c>
      <c r="CP25" s="93">
        <v>0.7369</v>
      </c>
      <c r="CQ25" s="93">
        <v>2.3014000000000001</v>
      </c>
      <c r="CR25" s="93">
        <v>7.0674999999999999</v>
      </c>
      <c r="CS25" s="93">
        <v>0</v>
      </c>
      <c r="CT25" s="93">
        <v>0</v>
      </c>
      <c r="CU25" s="93">
        <v>1.6942999999999999</v>
      </c>
      <c r="CV25" s="93">
        <v>1.9362999999999999</v>
      </c>
      <c r="CW25" s="93">
        <v>0</v>
      </c>
      <c r="CX25" s="93">
        <v>0</v>
      </c>
      <c r="CY25" s="93">
        <v>0</v>
      </c>
      <c r="CZ25" s="93">
        <v>0.1575</v>
      </c>
      <c r="DA25" s="93">
        <v>0</v>
      </c>
      <c r="DB25" s="93">
        <v>0</v>
      </c>
      <c r="DC25" s="93">
        <v>0</v>
      </c>
      <c r="DD25" s="93">
        <v>4.7313999999999998</v>
      </c>
      <c r="DE25" s="93">
        <v>0</v>
      </c>
      <c r="DF25" s="93">
        <v>0</v>
      </c>
      <c r="DG25" s="93">
        <v>2.9018999999999999</v>
      </c>
      <c r="DH25" s="93">
        <v>0.3049</v>
      </c>
      <c r="DI25" s="93">
        <v>0</v>
      </c>
      <c r="DJ25" s="93">
        <v>0</v>
      </c>
      <c r="DK25" s="93">
        <v>1.0831999999999999</v>
      </c>
      <c r="DL25" s="93">
        <v>0</v>
      </c>
      <c r="DM25" s="93">
        <v>0</v>
      </c>
      <c r="DN25" s="93">
        <v>0</v>
      </c>
      <c r="DO25" s="93">
        <v>2.0991</v>
      </c>
      <c r="DP25" s="93">
        <v>0.49270000000000003</v>
      </c>
      <c r="DQ25" s="93">
        <v>0</v>
      </c>
      <c r="DR25" s="93">
        <v>0</v>
      </c>
      <c r="DS25" s="93">
        <v>1.0486</v>
      </c>
      <c r="DT25" s="93">
        <v>0</v>
      </c>
      <c r="DU25" s="93">
        <v>0</v>
      </c>
      <c r="DV25" s="93">
        <v>0.79490000000000005</v>
      </c>
      <c r="DW25" s="93">
        <v>1.1065</v>
      </c>
      <c r="DX25" s="93">
        <v>0</v>
      </c>
      <c r="DY25" s="93">
        <v>0</v>
      </c>
      <c r="DZ25" s="93">
        <v>0</v>
      </c>
      <c r="EA25" s="93">
        <v>1.5561</v>
      </c>
      <c r="EB25" s="93">
        <v>0</v>
      </c>
      <c r="EC25" s="93">
        <v>0</v>
      </c>
      <c r="ED25" s="93">
        <v>0.79659999999999997</v>
      </c>
      <c r="EE25" s="93">
        <v>0</v>
      </c>
      <c r="EF25" s="93">
        <v>0</v>
      </c>
      <c r="EG25" s="93">
        <v>0</v>
      </c>
      <c r="EH25" s="93">
        <v>0.67100000000000004</v>
      </c>
      <c r="EI25" s="93">
        <v>0</v>
      </c>
      <c r="EJ25" s="93">
        <v>0</v>
      </c>
      <c r="EK25" s="93">
        <v>3.4243000000000001</v>
      </c>
      <c r="EL25" s="93">
        <v>0.59840000000000004</v>
      </c>
      <c r="EM25" s="93">
        <v>0</v>
      </c>
      <c r="EN25" s="93">
        <v>0</v>
      </c>
      <c r="EO25" s="93">
        <v>0</v>
      </c>
      <c r="EP25" s="93">
        <v>0.58179999999999998</v>
      </c>
      <c r="EQ25" s="93">
        <v>1.7626999999999999</v>
      </c>
      <c r="ER25" s="93">
        <v>0.28910000000000002</v>
      </c>
      <c r="ES25" s="93">
        <v>1.5633999999999999</v>
      </c>
      <c r="ET25" s="93">
        <v>0.40839999999999999</v>
      </c>
      <c r="EU25" s="93">
        <v>1.7197</v>
      </c>
      <c r="EV25" s="93">
        <v>0</v>
      </c>
      <c r="EW25" s="93">
        <v>0</v>
      </c>
      <c r="EX25" s="93">
        <v>2.8370000000000002</v>
      </c>
      <c r="EY25" s="93">
        <v>1.8835999999999999</v>
      </c>
      <c r="EZ25" s="93">
        <v>0</v>
      </c>
      <c r="FA25" s="93">
        <v>0</v>
      </c>
      <c r="FB25" s="93">
        <v>0</v>
      </c>
      <c r="FC25" s="93">
        <v>0.71179999999999999</v>
      </c>
      <c r="FD25" s="93">
        <v>0</v>
      </c>
      <c r="FE25" s="93">
        <v>0</v>
      </c>
      <c r="FF25" s="93">
        <v>3.6970000000000001</v>
      </c>
      <c r="FG25" s="93">
        <v>0.57010000000000005</v>
      </c>
      <c r="FH25" s="93">
        <v>0</v>
      </c>
      <c r="FI25" s="93">
        <v>1.1144000000000001</v>
      </c>
      <c r="FJ25" s="93">
        <v>3.2549999999999999</v>
      </c>
      <c r="FK25" s="93">
        <v>0</v>
      </c>
      <c r="FL25" s="93">
        <v>0</v>
      </c>
      <c r="FM25" s="93">
        <v>0</v>
      </c>
      <c r="FN25" s="93">
        <v>0</v>
      </c>
      <c r="FO25" s="93">
        <v>0.44440000000000002</v>
      </c>
    </row>
    <row r="26" spans="1:171" x14ac:dyDescent="0.2">
      <c r="A26" s="120" t="s">
        <v>19</v>
      </c>
      <c r="B26" s="121"/>
      <c r="C26" s="93">
        <v>0</v>
      </c>
      <c r="D26" s="93">
        <v>0</v>
      </c>
      <c r="E26" s="93">
        <v>0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  <c r="Z26" s="93">
        <v>0</v>
      </c>
      <c r="AA26" s="93">
        <v>0</v>
      </c>
      <c r="AB26" s="93">
        <v>0</v>
      </c>
      <c r="AC26" s="93">
        <v>0</v>
      </c>
      <c r="AD26" s="93">
        <v>0</v>
      </c>
      <c r="AE26" s="93">
        <v>0</v>
      </c>
      <c r="AF26" s="93">
        <v>0</v>
      </c>
      <c r="AG26" s="93">
        <v>0</v>
      </c>
      <c r="AH26" s="93">
        <v>0</v>
      </c>
      <c r="AI26" s="93">
        <v>0</v>
      </c>
      <c r="AJ26" s="93">
        <v>0</v>
      </c>
      <c r="AK26" s="93">
        <v>0</v>
      </c>
      <c r="AL26" s="93">
        <v>0</v>
      </c>
      <c r="AM26" s="93">
        <v>0</v>
      </c>
      <c r="AN26" s="93">
        <v>0</v>
      </c>
      <c r="AO26" s="93">
        <v>0</v>
      </c>
      <c r="AP26" s="93">
        <v>0</v>
      </c>
      <c r="AQ26" s="93">
        <v>0</v>
      </c>
      <c r="AR26" s="93">
        <v>0</v>
      </c>
      <c r="AS26" s="93">
        <v>0</v>
      </c>
      <c r="AT26" s="93">
        <v>0</v>
      </c>
      <c r="AU26" s="93">
        <v>0</v>
      </c>
      <c r="AV26" s="93">
        <v>0</v>
      </c>
      <c r="AW26" s="93">
        <v>0</v>
      </c>
      <c r="AX26" s="93">
        <v>0</v>
      </c>
      <c r="AY26" s="93">
        <v>0</v>
      </c>
      <c r="AZ26" s="93">
        <v>0</v>
      </c>
      <c r="BA26" s="93">
        <v>0</v>
      </c>
      <c r="BB26" s="93">
        <v>0</v>
      </c>
      <c r="BC26" s="93">
        <v>0</v>
      </c>
      <c r="BD26" s="93">
        <v>0</v>
      </c>
      <c r="BE26" s="93">
        <v>0</v>
      </c>
      <c r="BF26" s="93">
        <v>0</v>
      </c>
      <c r="BG26" s="93">
        <v>0</v>
      </c>
      <c r="BH26" s="93">
        <v>0</v>
      </c>
      <c r="BI26" s="93">
        <v>0</v>
      </c>
      <c r="BJ26" s="93">
        <v>0</v>
      </c>
      <c r="BK26" s="93">
        <v>0</v>
      </c>
      <c r="BL26" s="93">
        <v>0</v>
      </c>
      <c r="BM26" s="93">
        <v>0</v>
      </c>
      <c r="BN26" s="93">
        <v>0</v>
      </c>
      <c r="BO26" s="93">
        <v>0</v>
      </c>
      <c r="BP26" s="93">
        <v>0</v>
      </c>
      <c r="BQ26" s="93">
        <v>0</v>
      </c>
      <c r="BR26" s="93">
        <v>0</v>
      </c>
      <c r="BS26" s="93">
        <v>0</v>
      </c>
      <c r="BT26" s="93">
        <v>0</v>
      </c>
      <c r="BU26" s="93">
        <v>0</v>
      </c>
      <c r="BV26" s="93">
        <v>0</v>
      </c>
      <c r="BW26" s="93">
        <v>0</v>
      </c>
      <c r="BX26" s="93">
        <v>0</v>
      </c>
      <c r="BY26" s="93">
        <v>0</v>
      </c>
      <c r="BZ26" s="93">
        <v>0</v>
      </c>
      <c r="CA26" s="93">
        <v>0</v>
      </c>
      <c r="CB26" s="93">
        <v>0</v>
      </c>
      <c r="CC26" s="93">
        <v>0</v>
      </c>
      <c r="CD26" s="93">
        <v>0</v>
      </c>
      <c r="CE26" s="93">
        <v>0</v>
      </c>
      <c r="CF26" s="93">
        <v>0</v>
      </c>
      <c r="CG26" s="93">
        <v>0</v>
      </c>
      <c r="CH26" s="93">
        <v>0</v>
      </c>
      <c r="CI26" s="93">
        <v>0</v>
      </c>
      <c r="CJ26" s="93">
        <v>0</v>
      </c>
      <c r="CK26" s="93">
        <v>0</v>
      </c>
      <c r="CL26" s="93">
        <v>0</v>
      </c>
      <c r="CM26" s="93">
        <v>0</v>
      </c>
      <c r="CN26" s="93">
        <v>0</v>
      </c>
      <c r="CO26" s="93">
        <v>0</v>
      </c>
      <c r="CP26" s="93">
        <v>0</v>
      </c>
      <c r="CQ26" s="93">
        <v>0</v>
      </c>
      <c r="CR26" s="93">
        <v>0</v>
      </c>
      <c r="CS26" s="93">
        <v>0</v>
      </c>
      <c r="CT26" s="93">
        <v>0</v>
      </c>
      <c r="CU26" s="93">
        <v>0</v>
      </c>
      <c r="CV26" s="93">
        <v>0</v>
      </c>
      <c r="CW26" s="93">
        <v>0</v>
      </c>
      <c r="CX26" s="93">
        <v>0</v>
      </c>
      <c r="CY26" s="93">
        <v>0</v>
      </c>
      <c r="CZ26" s="93">
        <v>0</v>
      </c>
      <c r="DA26" s="93">
        <v>0</v>
      </c>
      <c r="DB26" s="93">
        <v>0</v>
      </c>
      <c r="DC26" s="93">
        <v>0</v>
      </c>
      <c r="DD26" s="93">
        <v>0</v>
      </c>
      <c r="DE26" s="93">
        <v>0</v>
      </c>
      <c r="DF26" s="93">
        <v>0</v>
      </c>
      <c r="DG26" s="93">
        <v>0</v>
      </c>
      <c r="DH26" s="93">
        <v>0</v>
      </c>
      <c r="DI26" s="93">
        <v>0</v>
      </c>
      <c r="DJ26" s="93">
        <v>0</v>
      </c>
      <c r="DK26" s="93">
        <v>0</v>
      </c>
      <c r="DL26" s="93">
        <v>0</v>
      </c>
      <c r="DM26" s="93">
        <v>0</v>
      </c>
      <c r="DN26" s="93">
        <v>0</v>
      </c>
      <c r="DO26" s="93">
        <v>0</v>
      </c>
      <c r="DP26" s="93">
        <v>0</v>
      </c>
      <c r="DQ26" s="93">
        <v>0</v>
      </c>
      <c r="DR26" s="93">
        <v>0</v>
      </c>
      <c r="DS26" s="93">
        <v>0</v>
      </c>
      <c r="DT26" s="93">
        <v>0</v>
      </c>
      <c r="DU26" s="93">
        <v>0</v>
      </c>
      <c r="DV26" s="93">
        <v>0</v>
      </c>
      <c r="DW26" s="93">
        <v>0</v>
      </c>
      <c r="DX26" s="93">
        <v>0</v>
      </c>
      <c r="DY26" s="93">
        <v>0</v>
      </c>
      <c r="DZ26" s="93">
        <v>0</v>
      </c>
      <c r="EA26" s="93">
        <v>0</v>
      </c>
      <c r="EB26" s="93">
        <v>0</v>
      </c>
      <c r="EC26" s="93">
        <v>0</v>
      </c>
      <c r="ED26" s="93">
        <v>0</v>
      </c>
      <c r="EE26" s="93">
        <v>0</v>
      </c>
      <c r="EF26" s="93">
        <v>0</v>
      </c>
      <c r="EG26" s="93">
        <v>0</v>
      </c>
      <c r="EH26" s="93">
        <v>0</v>
      </c>
      <c r="EI26" s="93">
        <v>0</v>
      </c>
      <c r="EJ26" s="93">
        <v>0</v>
      </c>
      <c r="EK26" s="93">
        <v>0</v>
      </c>
      <c r="EL26" s="93">
        <v>0</v>
      </c>
      <c r="EM26" s="93">
        <v>0</v>
      </c>
      <c r="EN26" s="93">
        <v>0</v>
      </c>
      <c r="EO26" s="93">
        <v>0</v>
      </c>
      <c r="EP26" s="93">
        <v>0</v>
      </c>
      <c r="EQ26" s="93">
        <v>0</v>
      </c>
      <c r="ER26" s="93">
        <v>0</v>
      </c>
      <c r="ES26" s="93">
        <v>0</v>
      </c>
      <c r="ET26" s="93">
        <v>0</v>
      </c>
      <c r="EU26" s="93">
        <v>0</v>
      </c>
      <c r="EV26" s="93">
        <v>0</v>
      </c>
      <c r="EW26" s="93">
        <v>0</v>
      </c>
      <c r="EX26" s="93">
        <v>0</v>
      </c>
      <c r="EY26" s="93">
        <v>0</v>
      </c>
      <c r="EZ26" s="93">
        <v>0</v>
      </c>
      <c r="FA26" s="93">
        <v>0</v>
      </c>
      <c r="FB26" s="93">
        <v>0</v>
      </c>
      <c r="FC26" s="93">
        <v>0</v>
      </c>
      <c r="FD26" s="93">
        <v>0</v>
      </c>
      <c r="FE26" s="93">
        <v>0</v>
      </c>
      <c r="FF26" s="93">
        <v>0</v>
      </c>
      <c r="FG26" s="93">
        <v>0</v>
      </c>
      <c r="FH26" s="93">
        <v>0</v>
      </c>
      <c r="FI26" s="93">
        <v>0</v>
      </c>
      <c r="FJ26" s="93">
        <v>0</v>
      </c>
      <c r="FK26" s="93">
        <v>0</v>
      </c>
      <c r="FL26" s="93">
        <v>0</v>
      </c>
      <c r="FM26" s="93">
        <v>0</v>
      </c>
      <c r="FN26" s="93">
        <v>0</v>
      </c>
      <c r="FO26" s="93">
        <v>0</v>
      </c>
    </row>
    <row r="27" spans="1:171" x14ac:dyDescent="0.2">
      <c r="A27" s="120" t="s">
        <v>20</v>
      </c>
      <c r="B27" s="121"/>
      <c r="C27" s="93">
        <v>0</v>
      </c>
      <c r="D27" s="93">
        <v>0</v>
      </c>
      <c r="E27" s="93">
        <v>0</v>
      </c>
      <c r="F27" s="93">
        <v>10.8194</v>
      </c>
      <c r="G27" s="93">
        <v>2.9796999999999998</v>
      </c>
      <c r="H27" s="93">
        <v>3.1932999999999998</v>
      </c>
      <c r="I27" s="93">
        <v>3.2993000000000001</v>
      </c>
      <c r="J27" s="93">
        <v>3.4339</v>
      </c>
      <c r="K27" s="93">
        <v>0</v>
      </c>
      <c r="L27" s="93">
        <v>7.1677999999999997</v>
      </c>
      <c r="M27" s="93">
        <v>0</v>
      </c>
      <c r="N27" s="93">
        <v>2.7746</v>
      </c>
      <c r="O27" s="93">
        <v>2.6427999999999998</v>
      </c>
      <c r="P27" s="93">
        <v>2.8431000000000002</v>
      </c>
      <c r="Q27" s="93">
        <v>1.7010000000000001</v>
      </c>
      <c r="R27" s="93">
        <v>60.912599999999998</v>
      </c>
      <c r="S27" s="93">
        <v>0</v>
      </c>
      <c r="T27" s="93">
        <v>0</v>
      </c>
      <c r="U27" s="93">
        <v>3.45</v>
      </c>
      <c r="V27" s="93">
        <v>0</v>
      </c>
      <c r="W27" s="93">
        <v>0</v>
      </c>
      <c r="X27" s="93">
        <v>0</v>
      </c>
      <c r="Y27" s="93">
        <v>0</v>
      </c>
      <c r="Z27" s="93">
        <v>9.5937000000000001</v>
      </c>
      <c r="AA27" s="93">
        <v>0</v>
      </c>
      <c r="AB27" s="93">
        <v>0</v>
      </c>
      <c r="AC27" s="93">
        <v>9.9344999999999999</v>
      </c>
      <c r="AD27" s="93">
        <v>5.0271999999999997</v>
      </c>
      <c r="AE27" s="93">
        <v>0</v>
      </c>
      <c r="AF27" s="93">
        <v>0</v>
      </c>
      <c r="AG27" s="93">
        <v>0</v>
      </c>
      <c r="AH27" s="93">
        <v>2.9346000000000001</v>
      </c>
      <c r="AI27" s="93">
        <v>3.8289</v>
      </c>
      <c r="AJ27" s="93">
        <v>0</v>
      </c>
      <c r="AK27" s="93">
        <v>3.1798999999999999</v>
      </c>
      <c r="AL27" s="93">
        <v>0</v>
      </c>
      <c r="AM27" s="93">
        <v>0</v>
      </c>
      <c r="AN27" s="93">
        <v>5.3277999999999999</v>
      </c>
      <c r="AO27" s="93">
        <v>0</v>
      </c>
      <c r="AP27" s="93">
        <v>0</v>
      </c>
      <c r="AQ27" s="93">
        <v>0</v>
      </c>
      <c r="AR27" s="93">
        <v>0</v>
      </c>
      <c r="AS27" s="93">
        <v>29.201799999999999</v>
      </c>
      <c r="AT27" s="93">
        <v>6.1059999999999999</v>
      </c>
      <c r="AU27" s="93">
        <v>0</v>
      </c>
      <c r="AV27" s="93">
        <v>0</v>
      </c>
      <c r="AW27" s="93">
        <v>0</v>
      </c>
      <c r="AX27" s="93">
        <v>0</v>
      </c>
      <c r="AY27" s="93">
        <v>4.3470000000000004</v>
      </c>
      <c r="AZ27" s="93">
        <v>0.9546</v>
      </c>
      <c r="BA27" s="93">
        <v>0</v>
      </c>
      <c r="BB27" s="93">
        <v>0</v>
      </c>
      <c r="BC27" s="93">
        <v>3.1465999999999998</v>
      </c>
      <c r="BD27" s="93">
        <v>12.164999999999999</v>
      </c>
      <c r="BE27" s="93">
        <v>0</v>
      </c>
      <c r="BF27" s="93">
        <v>3.6553</v>
      </c>
      <c r="BG27" s="93">
        <v>0</v>
      </c>
      <c r="BH27" s="93">
        <v>3.9613</v>
      </c>
      <c r="BI27" s="93">
        <v>0</v>
      </c>
      <c r="BJ27" s="93">
        <v>7.1976000000000004</v>
      </c>
      <c r="BK27" s="93">
        <v>3.9466999999999999</v>
      </c>
      <c r="BL27" s="93">
        <v>42.1111</v>
      </c>
      <c r="BM27" s="93">
        <v>7.8110999999999997</v>
      </c>
      <c r="BN27" s="93">
        <v>36.913800000000002</v>
      </c>
      <c r="BO27" s="93">
        <v>9.2782</v>
      </c>
      <c r="BP27" s="93">
        <v>28.0412</v>
      </c>
      <c r="BQ27" s="93">
        <v>2.6598000000000002</v>
      </c>
      <c r="BR27" s="93">
        <v>0</v>
      </c>
      <c r="BS27" s="93">
        <v>13.2705</v>
      </c>
      <c r="BT27" s="93">
        <v>13.135999999999999</v>
      </c>
      <c r="BU27" s="93">
        <v>5.8231000000000002</v>
      </c>
      <c r="BV27" s="93">
        <v>3.3717000000000001</v>
      </c>
      <c r="BW27" s="93">
        <v>3.9449999999999998</v>
      </c>
      <c r="BX27" s="93">
        <v>0</v>
      </c>
      <c r="BY27" s="93">
        <v>3.238</v>
      </c>
      <c r="BZ27" s="93">
        <v>1.9383999999999999</v>
      </c>
      <c r="CA27" s="93">
        <v>5.7252999999999998</v>
      </c>
      <c r="CB27" s="93">
        <v>3.8041999999999998</v>
      </c>
      <c r="CC27" s="93">
        <v>3.7265999999999999</v>
      </c>
      <c r="CD27" s="93">
        <v>0</v>
      </c>
      <c r="CE27" s="93">
        <v>13.1043</v>
      </c>
      <c r="CF27" s="93">
        <v>0</v>
      </c>
      <c r="CG27" s="93">
        <v>0</v>
      </c>
      <c r="CH27" s="93">
        <v>0</v>
      </c>
      <c r="CI27" s="93">
        <v>7.5625</v>
      </c>
      <c r="CJ27" s="93">
        <v>0</v>
      </c>
      <c r="CK27" s="93">
        <v>0</v>
      </c>
      <c r="CL27" s="93">
        <v>3.2797999999999998</v>
      </c>
      <c r="CM27" s="93">
        <v>3.8248000000000002</v>
      </c>
      <c r="CN27" s="93">
        <v>0</v>
      </c>
      <c r="CO27" s="93">
        <v>0</v>
      </c>
      <c r="CP27" s="93">
        <v>0</v>
      </c>
      <c r="CQ27" s="93">
        <v>5.0090000000000003</v>
      </c>
      <c r="CR27" s="93">
        <v>17.649799999999999</v>
      </c>
      <c r="CS27" s="93">
        <v>0</v>
      </c>
      <c r="CT27" s="93">
        <v>0</v>
      </c>
      <c r="CU27" s="93">
        <v>4.7293000000000003</v>
      </c>
      <c r="CV27" s="93">
        <v>4.5453000000000001</v>
      </c>
      <c r="CW27" s="93">
        <v>0</v>
      </c>
      <c r="CX27" s="93">
        <v>0</v>
      </c>
      <c r="CY27" s="93">
        <v>0</v>
      </c>
      <c r="CZ27" s="93">
        <v>0</v>
      </c>
      <c r="DA27" s="93">
        <v>0</v>
      </c>
      <c r="DB27" s="93">
        <v>0</v>
      </c>
      <c r="DC27" s="93">
        <v>4.3137999999999996</v>
      </c>
      <c r="DD27" s="93">
        <v>12.694599999999999</v>
      </c>
      <c r="DE27" s="93">
        <v>0</v>
      </c>
      <c r="DF27" s="93">
        <v>0</v>
      </c>
      <c r="DG27" s="93">
        <v>10.4238</v>
      </c>
      <c r="DH27" s="93">
        <v>0</v>
      </c>
      <c r="DI27" s="93">
        <v>0</v>
      </c>
      <c r="DJ27" s="93">
        <v>7.4291</v>
      </c>
      <c r="DK27" s="93">
        <v>6.1748000000000003</v>
      </c>
      <c r="DL27" s="93">
        <v>0</v>
      </c>
      <c r="DM27" s="93">
        <v>0</v>
      </c>
      <c r="DN27" s="93">
        <v>1.6740999999999999</v>
      </c>
      <c r="DO27" s="93">
        <v>12.6386</v>
      </c>
      <c r="DP27" s="93">
        <v>0</v>
      </c>
      <c r="DQ27" s="93">
        <v>0</v>
      </c>
      <c r="DR27" s="93">
        <v>0</v>
      </c>
      <c r="DS27" s="93">
        <v>1.9204000000000001</v>
      </c>
      <c r="DT27" s="93">
        <v>0</v>
      </c>
      <c r="DU27" s="93">
        <v>2.1389999999999998</v>
      </c>
      <c r="DV27" s="93">
        <v>2.7168000000000001</v>
      </c>
      <c r="DW27" s="93">
        <v>4.1879999999999997</v>
      </c>
      <c r="DX27" s="93">
        <v>0</v>
      </c>
      <c r="DY27" s="93">
        <v>0</v>
      </c>
      <c r="DZ27" s="93">
        <v>0</v>
      </c>
      <c r="EA27" s="93">
        <v>0</v>
      </c>
      <c r="EB27" s="93">
        <v>0</v>
      </c>
      <c r="EC27" s="93">
        <v>0</v>
      </c>
      <c r="ED27" s="93">
        <v>0</v>
      </c>
      <c r="EE27" s="93">
        <v>0</v>
      </c>
      <c r="EF27" s="93">
        <v>0</v>
      </c>
      <c r="EG27" s="93">
        <v>0</v>
      </c>
      <c r="EH27" s="93">
        <v>0</v>
      </c>
      <c r="EI27" s="93">
        <v>0</v>
      </c>
      <c r="EJ27" s="93">
        <v>0</v>
      </c>
      <c r="EK27" s="93">
        <v>3.4672000000000001</v>
      </c>
      <c r="EL27" s="93">
        <v>0</v>
      </c>
      <c r="EM27" s="93">
        <v>0</v>
      </c>
      <c r="EN27" s="93">
        <v>2.4293</v>
      </c>
      <c r="EO27" s="93">
        <v>2.9664000000000001</v>
      </c>
      <c r="EP27" s="93">
        <v>2.7770000000000001</v>
      </c>
      <c r="EQ27" s="93">
        <v>8.4577000000000009</v>
      </c>
      <c r="ER27" s="93">
        <v>0</v>
      </c>
      <c r="ES27" s="93">
        <v>0</v>
      </c>
      <c r="ET27" s="93">
        <v>0</v>
      </c>
      <c r="EU27" s="93">
        <v>7.5891999999999999</v>
      </c>
      <c r="EV27" s="93">
        <v>0</v>
      </c>
      <c r="EW27" s="93">
        <v>0</v>
      </c>
      <c r="EX27" s="93">
        <v>5.5625999999999998</v>
      </c>
      <c r="EY27" s="93">
        <v>0</v>
      </c>
      <c r="EZ27" s="93">
        <v>0</v>
      </c>
      <c r="FA27" s="93">
        <v>0</v>
      </c>
      <c r="FB27" s="93">
        <v>0</v>
      </c>
      <c r="FC27" s="93">
        <v>4.1113</v>
      </c>
      <c r="FD27" s="93">
        <v>0</v>
      </c>
      <c r="FE27" s="93">
        <v>0</v>
      </c>
      <c r="FF27" s="93">
        <v>7.6734</v>
      </c>
      <c r="FG27" s="93">
        <v>2.5644</v>
      </c>
      <c r="FH27" s="93">
        <v>2.1776</v>
      </c>
      <c r="FI27" s="93">
        <v>5.0639000000000003</v>
      </c>
      <c r="FJ27" s="93">
        <v>7.7569999999999997</v>
      </c>
      <c r="FK27" s="93">
        <v>0</v>
      </c>
      <c r="FL27" s="93">
        <v>0</v>
      </c>
      <c r="FM27" s="93">
        <v>0</v>
      </c>
      <c r="FN27" s="93">
        <v>0</v>
      </c>
      <c r="FO27" s="93">
        <v>2.0606</v>
      </c>
    </row>
    <row r="28" spans="1:171" x14ac:dyDescent="0.2">
      <c r="A28" s="120" t="s">
        <v>21</v>
      </c>
      <c r="B28" s="121"/>
      <c r="C28" s="93">
        <v>4.8665000000000003</v>
      </c>
      <c r="D28" s="93">
        <v>18.879100000000001</v>
      </c>
      <c r="E28" s="93">
        <v>0</v>
      </c>
      <c r="F28" s="93">
        <v>70.617999999999995</v>
      </c>
      <c r="G28" s="93">
        <v>11.721299999999999</v>
      </c>
      <c r="H28" s="93">
        <v>12.0329</v>
      </c>
      <c r="I28" s="93">
        <v>35.258600000000001</v>
      </c>
      <c r="J28" s="93">
        <v>41.680199999999999</v>
      </c>
      <c r="K28" s="93">
        <v>10.3201</v>
      </c>
      <c r="L28" s="93">
        <v>52.922499999999999</v>
      </c>
      <c r="M28" s="93">
        <v>13.102499999999999</v>
      </c>
      <c r="N28" s="93">
        <v>11.003299999999999</v>
      </c>
      <c r="O28" s="93">
        <v>0</v>
      </c>
      <c r="P28" s="93">
        <v>0</v>
      </c>
      <c r="Q28" s="93">
        <v>6.5755999999999997</v>
      </c>
      <c r="R28" s="93">
        <v>0</v>
      </c>
      <c r="S28" s="93">
        <v>5.7081999999999997</v>
      </c>
      <c r="T28" s="93">
        <v>0</v>
      </c>
      <c r="U28" s="93">
        <v>23.616099999999999</v>
      </c>
      <c r="V28" s="93">
        <v>0</v>
      </c>
      <c r="W28" s="93">
        <v>0</v>
      </c>
      <c r="X28" s="93">
        <v>0</v>
      </c>
      <c r="Y28" s="93">
        <v>22.705300000000001</v>
      </c>
      <c r="Z28" s="93">
        <v>0</v>
      </c>
      <c r="AA28" s="93">
        <v>7.5750000000000002</v>
      </c>
      <c r="AB28" s="93">
        <v>16.205400000000001</v>
      </c>
      <c r="AC28" s="93">
        <v>50.366100000000003</v>
      </c>
      <c r="AD28" s="93">
        <v>23.092500000000001</v>
      </c>
      <c r="AE28" s="93">
        <v>0</v>
      </c>
      <c r="AF28" s="93">
        <v>0</v>
      </c>
      <c r="AG28" s="93">
        <v>14.686500000000001</v>
      </c>
      <c r="AH28" s="93">
        <v>0</v>
      </c>
      <c r="AI28" s="93">
        <v>0</v>
      </c>
      <c r="AJ28" s="93">
        <v>0</v>
      </c>
      <c r="AK28" s="93">
        <v>14.902799999999999</v>
      </c>
      <c r="AL28" s="93">
        <v>0</v>
      </c>
      <c r="AM28" s="93">
        <v>0</v>
      </c>
      <c r="AN28" s="93">
        <v>43.0261</v>
      </c>
      <c r="AO28" s="93">
        <v>14.8521</v>
      </c>
      <c r="AP28" s="93">
        <v>0</v>
      </c>
      <c r="AQ28" s="93">
        <v>7.5975000000000001</v>
      </c>
      <c r="AR28" s="93">
        <v>12.0982</v>
      </c>
      <c r="AS28" s="93">
        <v>0</v>
      </c>
      <c r="AT28" s="93">
        <v>0</v>
      </c>
      <c r="AU28" s="93">
        <v>3.7263000000000002</v>
      </c>
      <c r="AV28" s="93">
        <v>10.097899999999999</v>
      </c>
      <c r="AW28" s="93">
        <v>0</v>
      </c>
      <c r="AX28" s="93">
        <v>0</v>
      </c>
      <c r="AY28" s="93">
        <v>43.900700000000001</v>
      </c>
      <c r="AZ28" s="93">
        <v>8.1607000000000003</v>
      </c>
      <c r="BA28" s="93">
        <v>13.1717</v>
      </c>
      <c r="BB28" s="93">
        <v>3.1027999999999998</v>
      </c>
      <c r="BC28" s="93">
        <v>22.454799999999999</v>
      </c>
      <c r="BD28" s="93">
        <v>52.989600000000003</v>
      </c>
      <c r="BE28" s="93">
        <v>8.2204999999999995</v>
      </c>
      <c r="BF28" s="93">
        <v>0</v>
      </c>
      <c r="BG28" s="93">
        <v>0</v>
      </c>
      <c r="BH28" s="93">
        <v>30.108699999999999</v>
      </c>
      <c r="BI28" s="93">
        <v>0</v>
      </c>
      <c r="BJ28" s="93">
        <v>15.3521</v>
      </c>
      <c r="BK28" s="93">
        <v>62.021000000000001</v>
      </c>
      <c r="BL28" s="93">
        <v>48.459200000000003</v>
      </c>
      <c r="BM28" s="93">
        <v>0</v>
      </c>
      <c r="BN28" s="93">
        <v>0</v>
      </c>
      <c r="BO28" s="93">
        <v>0</v>
      </c>
      <c r="BP28" s="93">
        <v>60.587499999999999</v>
      </c>
      <c r="BQ28" s="93">
        <v>0</v>
      </c>
      <c r="BR28" s="93">
        <v>0</v>
      </c>
      <c r="BS28" s="93">
        <v>12.647</v>
      </c>
      <c r="BT28" s="93">
        <v>0</v>
      </c>
      <c r="BU28" s="93">
        <v>0</v>
      </c>
      <c r="BV28" s="93">
        <v>0</v>
      </c>
      <c r="BW28" s="93">
        <v>14.6785</v>
      </c>
      <c r="BX28" s="93">
        <v>15.9541</v>
      </c>
      <c r="BY28" s="93">
        <v>0</v>
      </c>
      <c r="BZ28" s="93">
        <v>0</v>
      </c>
      <c r="CA28" s="93">
        <v>0</v>
      </c>
      <c r="CB28" s="93">
        <v>13.0067</v>
      </c>
      <c r="CC28" s="93">
        <v>9.3762000000000008</v>
      </c>
      <c r="CD28" s="93">
        <v>6.1946000000000003</v>
      </c>
      <c r="CE28" s="93">
        <v>0</v>
      </c>
      <c r="CF28" s="93">
        <v>4.9195000000000002</v>
      </c>
      <c r="CG28" s="93">
        <v>0</v>
      </c>
      <c r="CH28" s="93">
        <v>0</v>
      </c>
      <c r="CI28" s="93">
        <v>45.602200000000003</v>
      </c>
      <c r="CJ28" s="93">
        <v>0</v>
      </c>
      <c r="CK28" s="93">
        <v>0</v>
      </c>
      <c r="CL28" s="93">
        <v>0</v>
      </c>
      <c r="CM28" s="93">
        <v>24.736999999999998</v>
      </c>
      <c r="CN28" s="93">
        <v>21.6523</v>
      </c>
      <c r="CO28" s="93">
        <v>0</v>
      </c>
      <c r="CP28" s="93">
        <v>12.9823</v>
      </c>
      <c r="CQ28" s="93">
        <v>13.804</v>
      </c>
      <c r="CR28" s="93">
        <v>18.3582</v>
      </c>
      <c r="CS28" s="93">
        <v>7.6611000000000002</v>
      </c>
      <c r="CT28" s="93">
        <v>15.9672</v>
      </c>
      <c r="CU28" s="93">
        <v>28.013999999999999</v>
      </c>
      <c r="CV28" s="93">
        <v>17.1876</v>
      </c>
      <c r="CW28" s="93">
        <v>0</v>
      </c>
      <c r="CX28" s="93">
        <v>3.7345999999999999</v>
      </c>
      <c r="CY28" s="93">
        <v>15.959300000000001</v>
      </c>
      <c r="CZ28" s="93">
        <v>6.4409000000000001</v>
      </c>
      <c r="DA28" s="93">
        <v>0</v>
      </c>
      <c r="DB28" s="93">
        <v>0</v>
      </c>
      <c r="DC28" s="93">
        <v>23.897099999999998</v>
      </c>
      <c r="DD28" s="93">
        <v>56.865099999999998</v>
      </c>
      <c r="DE28" s="93">
        <v>0</v>
      </c>
      <c r="DF28" s="93">
        <v>0</v>
      </c>
      <c r="DG28" s="93">
        <v>16.623699999999999</v>
      </c>
      <c r="DH28" s="93">
        <v>8.4662000000000006</v>
      </c>
      <c r="DI28" s="93">
        <v>0</v>
      </c>
      <c r="DJ28" s="93">
        <v>6.3925999999999998</v>
      </c>
      <c r="DK28" s="93">
        <v>11.191599999999999</v>
      </c>
      <c r="DL28" s="93">
        <v>7.3632</v>
      </c>
      <c r="DM28" s="93">
        <v>22.744499999999999</v>
      </c>
      <c r="DN28" s="93">
        <v>0</v>
      </c>
      <c r="DO28" s="93">
        <v>35.3673</v>
      </c>
      <c r="DP28" s="93">
        <v>0</v>
      </c>
      <c r="DQ28" s="93">
        <v>12.4354</v>
      </c>
      <c r="DR28" s="93">
        <v>10.458399999999999</v>
      </c>
      <c r="DS28" s="93">
        <v>22.236499999999999</v>
      </c>
      <c r="DT28" s="93">
        <v>0</v>
      </c>
      <c r="DU28" s="93">
        <v>0</v>
      </c>
      <c r="DV28" s="93">
        <v>22.840699999999998</v>
      </c>
      <c r="DW28" s="93">
        <v>28.4649</v>
      </c>
      <c r="DX28" s="93">
        <v>5.2789999999999999</v>
      </c>
      <c r="DY28" s="93">
        <v>0</v>
      </c>
      <c r="DZ28" s="93">
        <v>4.4836999999999998</v>
      </c>
      <c r="EA28" s="93">
        <v>24.669699999999999</v>
      </c>
      <c r="EB28" s="93">
        <v>19.263500000000001</v>
      </c>
      <c r="EC28" s="93">
        <v>0</v>
      </c>
      <c r="ED28" s="93">
        <v>14.769600000000001</v>
      </c>
      <c r="EE28" s="93">
        <v>2.3689</v>
      </c>
      <c r="EF28" s="93">
        <v>0</v>
      </c>
      <c r="EG28" s="93">
        <v>5.1117999999999997</v>
      </c>
      <c r="EH28" s="93">
        <v>4.0820999999999996</v>
      </c>
      <c r="EI28" s="93">
        <v>5.1074000000000002</v>
      </c>
      <c r="EJ28" s="93">
        <v>8.4649000000000001</v>
      </c>
      <c r="EK28" s="93">
        <v>20.3536</v>
      </c>
      <c r="EL28" s="93">
        <v>0</v>
      </c>
      <c r="EM28" s="93">
        <v>13.845599999999999</v>
      </c>
      <c r="EN28" s="93">
        <v>9.5257000000000005</v>
      </c>
      <c r="EO28" s="93">
        <v>0</v>
      </c>
      <c r="EP28" s="93">
        <v>0</v>
      </c>
      <c r="EQ28" s="93">
        <v>38.267299999999999</v>
      </c>
      <c r="ER28" s="93">
        <v>20.755099999999999</v>
      </c>
      <c r="ES28" s="93">
        <v>20.689499999999999</v>
      </c>
      <c r="ET28" s="93">
        <v>5.9234999999999998</v>
      </c>
      <c r="EU28" s="93">
        <v>62.566400000000002</v>
      </c>
      <c r="EV28" s="93">
        <v>7.7331000000000003</v>
      </c>
      <c r="EW28" s="93">
        <v>3.2507000000000001</v>
      </c>
      <c r="EX28" s="93">
        <v>42.627699999999997</v>
      </c>
      <c r="EY28" s="93">
        <v>52.390999999999998</v>
      </c>
      <c r="EZ28" s="93">
        <v>16.0472</v>
      </c>
      <c r="FA28" s="93">
        <v>6.2077</v>
      </c>
      <c r="FB28" s="93">
        <v>0</v>
      </c>
      <c r="FC28" s="93">
        <v>14.5558</v>
      </c>
      <c r="FD28" s="93">
        <v>0</v>
      </c>
      <c r="FE28" s="93">
        <v>0</v>
      </c>
      <c r="FF28" s="93">
        <v>46.887599999999999</v>
      </c>
      <c r="FG28" s="93">
        <v>10.3208</v>
      </c>
      <c r="FH28" s="93">
        <v>11.8164</v>
      </c>
      <c r="FI28" s="93">
        <v>12.6501</v>
      </c>
      <c r="FJ28" s="93">
        <v>62.252000000000002</v>
      </c>
      <c r="FK28" s="93">
        <v>13.920199999999999</v>
      </c>
      <c r="FL28" s="93">
        <v>11.2248</v>
      </c>
      <c r="FM28" s="93">
        <v>7.9931999999999999</v>
      </c>
      <c r="FN28" s="93">
        <v>0</v>
      </c>
      <c r="FO28" s="93">
        <v>14.888199999999999</v>
      </c>
    </row>
    <row r="29" spans="1:171" x14ac:dyDescent="0.2">
      <c r="A29" s="120" t="s">
        <v>3</v>
      </c>
      <c r="B29" s="121"/>
      <c r="C29" s="93">
        <v>0</v>
      </c>
      <c r="D29" s="93">
        <v>0</v>
      </c>
      <c r="E29" s="93">
        <v>0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  <c r="Z29" s="93">
        <v>0</v>
      </c>
      <c r="AA29" s="93">
        <v>0</v>
      </c>
      <c r="AB29" s="93">
        <v>0</v>
      </c>
      <c r="AC29" s="93">
        <v>0</v>
      </c>
      <c r="AD29" s="93">
        <v>0</v>
      </c>
      <c r="AE29" s="93">
        <v>0</v>
      </c>
      <c r="AF29" s="93">
        <v>0</v>
      </c>
      <c r="AG29" s="93">
        <v>0</v>
      </c>
      <c r="AH29" s="93">
        <v>0</v>
      </c>
      <c r="AI29" s="93">
        <v>0</v>
      </c>
      <c r="AJ29" s="93">
        <v>0</v>
      </c>
      <c r="AK29" s="93">
        <v>0</v>
      </c>
      <c r="AL29" s="93">
        <v>0</v>
      </c>
      <c r="AM29" s="93">
        <v>0</v>
      </c>
      <c r="AN29" s="93">
        <v>0</v>
      </c>
      <c r="AO29" s="93">
        <v>0</v>
      </c>
      <c r="AP29" s="93">
        <v>0</v>
      </c>
      <c r="AQ29" s="93">
        <v>0</v>
      </c>
      <c r="AR29" s="93">
        <v>0</v>
      </c>
      <c r="AS29" s="93">
        <v>0</v>
      </c>
      <c r="AT29" s="93">
        <v>0</v>
      </c>
      <c r="AU29" s="93">
        <v>0</v>
      </c>
      <c r="AV29" s="93">
        <v>0</v>
      </c>
      <c r="AW29" s="93">
        <v>0</v>
      </c>
      <c r="AX29" s="93">
        <v>0</v>
      </c>
      <c r="AY29" s="93">
        <v>0</v>
      </c>
      <c r="AZ29" s="93">
        <v>0</v>
      </c>
      <c r="BA29" s="93">
        <v>0</v>
      </c>
      <c r="BB29" s="93">
        <v>0</v>
      </c>
      <c r="BC29" s="93">
        <v>0</v>
      </c>
      <c r="BD29" s="93">
        <v>0</v>
      </c>
      <c r="BE29" s="93">
        <v>0</v>
      </c>
      <c r="BF29" s="93">
        <v>0</v>
      </c>
      <c r="BG29" s="93">
        <v>0</v>
      </c>
      <c r="BH29" s="93">
        <v>0</v>
      </c>
      <c r="BI29" s="93">
        <v>0</v>
      </c>
      <c r="BJ29" s="93">
        <v>0</v>
      </c>
      <c r="BK29" s="93">
        <v>0</v>
      </c>
      <c r="BL29" s="93">
        <v>0</v>
      </c>
      <c r="BM29" s="93">
        <v>0</v>
      </c>
      <c r="BN29" s="93">
        <v>0</v>
      </c>
      <c r="BO29" s="93">
        <v>0</v>
      </c>
      <c r="BP29" s="93">
        <v>0</v>
      </c>
      <c r="BQ29" s="93">
        <v>0</v>
      </c>
      <c r="BR29" s="93">
        <v>0</v>
      </c>
      <c r="BS29" s="93">
        <v>0</v>
      </c>
      <c r="BT29" s="93">
        <v>0</v>
      </c>
      <c r="BU29" s="93">
        <v>0</v>
      </c>
      <c r="BV29" s="93">
        <v>0</v>
      </c>
      <c r="BW29" s="93">
        <v>0</v>
      </c>
      <c r="BX29" s="93">
        <v>0</v>
      </c>
      <c r="BY29" s="93">
        <v>0</v>
      </c>
      <c r="BZ29" s="93">
        <v>0</v>
      </c>
      <c r="CA29" s="93">
        <v>0</v>
      </c>
      <c r="CB29" s="93">
        <v>0</v>
      </c>
      <c r="CC29" s="93">
        <v>0</v>
      </c>
      <c r="CD29" s="93">
        <v>0</v>
      </c>
      <c r="CE29" s="93">
        <v>0</v>
      </c>
      <c r="CF29" s="93">
        <v>0</v>
      </c>
      <c r="CG29" s="93">
        <v>0</v>
      </c>
      <c r="CH29" s="93">
        <v>0</v>
      </c>
      <c r="CI29" s="93">
        <v>0</v>
      </c>
      <c r="CJ29" s="93">
        <v>0</v>
      </c>
      <c r="CK29" s="93">
        <v>0</v>
      </c>
      <c r="CL29" s="93">
        <v>0</v>
      </c>
      <c r="CM29" s="93">
        <v>0</v>
      </c>
      <c r="CN29" s="93">
        <v>0</v>
      </c>
      <c r="CO29" s="93">
        <v>0</v>
      </c>
      <c r="CP29" s="93">
        <v>0</v>
      </c>
      <c r="CQ29" s="93">
        <v>0</v>
      </c>
      <c r="CR29" s="93">
        <v>0</v>
      </c>
      <c r="CS29" s="93">
        <v>0</v>
      </c>
      <c r="CT29" s="93">
        <v>0</v>
      </c>
      <c r="CU29" s="93">
        <v>0</v>
      </c>
      <c r="CV29" s="93">
        <v>0</v>
      </c>
      <c r="CW29" s="93">
        <v>0</v>
      </c>
      <c r="CX29" s="93">
        <v>0</v>
      </c>
      <c r="CY29" s="93">
        <v>0</v>
      </c>
      <c r="CZ29" s="93">
        <v>0</v>
      </c>
      <c r="DA29" s="93">
        <v>0</v>
      </c>
      <c r="DB29" s="93">
        <v>0</v>
      </c>
      <c r="DC29" s="93">
        <v>0</v>
      </c>
      <c r="DD29" s="93">
        <v>0</v>
      </c>
      <c r="DE29" s="93">
        <v>0</v>
      </c>
      <c r="DF29" s="93">
        <v>0</v>
      </c>
      <c r="DG29" s="93">
        <v>0</v>
      </c>
      <c r="DH29" s="93">
        <v>0</v>
      </c>
      <c r="DI29" s="93">
        <v>0</v>
      </c>
      <c r="DJ29" s="93">
        <v>0</v>
      </c>
      <c r="DK29" s="93">
        <v>0</v>
      </c>
      <c r="DL29" s="93">
        <v>0</v>
      </c>
      <c r="DM29" s="93">
        <v>0</v>
      </c>
      <c r="DN29" s="93">
        <v>0</v>
      </c>
      <c r="DO29" s="93">
        <v>0</v>
      </c>
      <c r="DP29" s="93">
        <v>0</v>
      </c>
      <c r="DQ29" s="93">
        <v>0</v>
      </c>
      <c r="DR29" s="93">
        <v>0</v>
      </c>
      <c r="DS29" s="93">
        <v>0</v>
      </c>
      <c r="DT29" s="93">
        <v>0</v>
      </c>
      <c r="DU29" s="93">
        <v>0</v>
      </c>
      <c r="DV29" s="93">
        <v>0</v>
      </c>
      <c r="DW29" s="93">
        <v>0</v>
      </c>
      <c r="DX29" s="93">
        <v>0</v>
      </c>
      <c r="DY29" s="93">
        <v>0</v>
      </c>
      <c r="DZ29" s="93">
        <v>0</v>
      </c>
      <c r="EA29" s="93">
        <v>0</v>
      </c>
      <c r="EB29" s="93">
        <v>0</v>
      </c>
      <c r="EC29" s="93">
        <v>0</v>
      </c>
      <c r="ED29" s="93">
        <v>0</v>
      </c>
      <c r="EE29" s="93">
        <v>0</v>
      </c>
      <c r="EF29" s="93">
        <v>0</v>
      </c>
      <c r="EG29" s="93">
        <v>0</v>
      </c>
      <c r="EH29" s="93">
        <v>0</v>
      </c>
      <c r="EI29" s="93">
        <v>0</v>
      </c>
      <c r="EJ29" s="93">
        <v>0</v>
      </c>
      <c r="EK29" s="93">
        <v>0</v>
      </c>
      <c r="EL29" s="93">
        <v>0</v>
      </c>
      <c r="EM29" s="93">
        <v>0</v>
      </c>
      <c r="EN29" s="93">
        <v>0</v>
      </c>
      <c r="EO29" s="93">
        <v>0</v>
      </c>
      <c r="EP29" s="93">
        <v>0</v>
      </c>
      <c r="EQ29" s="93">
        <v>0</v>
      </c>
      <c r="ER29" s="93">
        <v>0</v>
      </c>
      <c r="ES29" s="93">
        <v>0</v>
      </c>
      <c r="ET29" s="93">
        <v>0</v>
      </c>
      <c r="EU29" s="93">
        <v>0</v>
      </c>
      <c r="EV29" s="93">
        <v>0</v>
      </c>
      <c r="EW29" s="93">
        <v>0</v>
      </c>
      <c r="EX29" s="93">
        <v>0</v>
      </c>
      <c r="EY29" s="93">
        <v>0</v>
      </c>
      <c r="EZ29" s="93">
        <v>0</v>
      </c>
      <c r="FA29" s="93">
        <v>0</v>
      </c>
      <c r="FB29" s="93">
        <v>0</v>
      </c>
      <c r="FC29" s="93">
        <v>0</v>
      </c>
      <c r="FD29" s="93">
        <v>0</v>
      </c>
      <c r="FE29" s="93">
        <v>0</v>
      </c>
      <c r="FF29" s="93">
        <v>0</v>
      </c>
      <c r="FG29" s="93">
        <v>0</v>
      </c>
      <c r="FH29" s="93">
        <v>0</v>
      </c>
      <c r="FI29" s="93">
        <v>0</v>
      </c>
      <c r="FJ29" s="93">
        <v>0</v>
      </c>
      <c r="FK29" s="93">
        <v>0</v>
      </c>
      <c r="FL29" s="93">
        <v>0</v>
      </c>
      <c r="FM29" s="93">
        <v>0</v>
      </c>
      <c r="FN29" s="93">
        <v>0</v>
      </c>
      <c r="FO29" s="93">
        <v>0</v>
      </c>
    </row>
    <row r="30" spans="1:171" x14ac:dyDescent="0.2">
      <c r="A30" s="120" t="s">
        <v>235</v>
      </c>
      <c r="B30" s="121"/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0</v>
      </c>
      <c r="X30" s="93">
        <v>0</v>
      </c>
      <c r="Y30" s="93">
        <v>0</v>
      </c>
      <c r="Z30" s="93">
        <v>0</v>
      </c>
      <c r="AA30" s="93">
        <v>0</v>
      </c>
      <c r="AB30" s="93">
        <v>0</v>
      </c>
      <c r="AC30" s="93">
        <v>0</v>
      </c>
      <c r="AD30" s="93">
        <v>0</v>
      </c>
      <c r="AE30" s="93">
        <v>0</v>
      </c>
      <c r="AF30" s="93">
        <v>0</v>
      </c>
      <c r="AG30" s="93">
        <v>0</v>
      </c>
      <c r="AH30" s="93">
        <v>0</v>
      </c>
      <c r="AI30" s="93">
        <v>0</v>
      </c>
      <c r="AJ30" s="93">
        <v>0</v>
      </c>
      <c r="AK30" s="93">
        <v>0</v>
      </c>
      <c r="AL30" s="93">
        <v>0</v>
      </c>
      <c r="AM30" s="93">
        <v>0</v>
      </c>
      <c r="AN30" s="93">
        <v>0</v>
      </c>
      <c r="AO30" s="93">
        <v>0</v>
      </c>
      <c r="AP30" s="93">
        <v>0</v>
      </c>
      <c r="AQ30" s="93">
        <v>0</v>
      </c>
      <c r="AR30" s="93">
        <v>0</v>
      </c>
      <c r="AS30" s="93">
        <v>0</v>
      </c>
      <c r="AT30" s="93">
        <v>0</v>
      </c>
      <c r="AU30" s="93">
        <v>0</v>
      </c>
      <c r="AV30" s="93">
        <v>0</v>
      </c>
      <c r="AW30" s="93">
        <v>0</v>
      </c>
      <c r="AX30" s="93">
        <v>0</v>
      </c>
      <c r="AY30" s="93">
        <v>0</v>
      </c>
      <c r="AZ30" s="93">
        <v>0</v>
      </c>
      <c r="BA30" s="93">
        <v>0</v>
      </c>
      <c r="BB30" s="93">
        <v>0</v>
      </c>
      <c r="BC30" s="93">
        <v>0</v>
      </c>
      <c r="BD30" s="93">
        <v>0</v>
      </c>
      <c r="BE30" s="93">
        <v>0</v>
      </c>
      <c r="BF30" s="93">
        <v>0</v>
      </c>
      <c r="BG30" s="93">
        <v>0</v>
      </c>
      <c r="BH30" s="93">
        <v>0</v>
      </c>
      <c r="BI30" s="93">
        <v>0</v>
      </c>
      <c r="BJ30" s="93">
        <v>0</v>
      </c>
      <c r="BK30" s="93">
        <v>0</v>
      </c>
      <c r="BL30" s="93">
        <v>0</v>
      </c>
      <c r="BM30" s="93">
        <v>0</v>
      </c>
      <c r="BN30" s="93">
        <v>0</v>
      </c>
      <c r="BO30" s="93">
        <v>0</v>
      </c>
      <c r="BP30" s="93">
        <v>0</v>
      </c>
      <c r="BQ30" s="93">
        <v>0</v>
      </c>
      <c r="BR30" s="93">
        <v>0</v>
      </c>
      <c r="BS30" s="93">
        <v>0</v>
      </c>
      <c r="BT30" s="93">
        <v>0</v>
      </c>
      <c r="BU30" s="93">
        <v>0</v>
      </c>
      <c r="BV30" s="93">
        <v>0</v>
      </c>
      <c r="BW30" s="93">
        <v>0</v>
      </c>
      <c r="BX30" s="93">
        <v>0</v>
      </c>
      <c r="BY30" s="93">
        <v>0</v>
      </c>
      <c r="BZ30" s="93">
        <v>0</v>
      </c>
      <c r="CA30" s="93">
        <v>0</v>
      </c>
      <c r="CB30" s="93">
        <v>0</v>
      </c>
      <c r="CC30" s="93">
        <v>0</v>
      </c>
      <c r="CD30" s="93">
        <v>0</v>
      </c>
      <c r="CE30" s="93">
        <v>0</v>
      </c>
      <c r="CF30" s="93">
        <v>0</v>
      </c>
      <c r="CG30" s="93">
        <v>0</v>
      </c>
      <c r="CH30" s="93">
        <v>0</v>
      </c>
      <c r="CI30" s="93">
        <v>0</v>
      </c>
      <c r="CJ30" s="93">
        <v>0</v>
      </c>
      <c r="CK30" s="93">
        <v>0</v>
      </c>
      <c r="CL30" s="93">
        <v>0</v>
      </c>
      <c r="CM30" s="93">
        <v>0</v>
      </c>
      <c r="CN30" s="93">
        <v>0</v>
      </c>
      <c r="CO30" s="93">
        <v>0</v>
      </c>
      <c r="CP30" s="93">
        <v>0</v>
      </c>
      <c r="CQ30" s="93">
        <v>0</v>
      </c>
      <c r="CR30" s="93">
        <v>0</v>
      </c>
      <c r="CS30" s="93">
        <v>0</v>
      </c>
      <c r="CT30" s="93">
        <v>0</v>
      </c>
      <c r="CU30" s="93">
        <v>0</v>
      </c>
      <c r="CV30" s="93">
        <v>0</v>
      </c>
      <c r="CW30" s="93">
        <v>0</v>
      </c>
      <c r="CX30" s="93">
        <v>0</v>
      </c>
      <c r="CY30" s="93">
        <v>0</v>
      </c>
      <c r="CZ30" s="93">
        <v>0</v>
      </c>
      <c r="DA30" s="93">
        <v>0</v>
      </c>
      <c r="DB30" s="93">
        <v>0</v>
      </c>
      <c r="DC30" s="93">
        <v>0</v>
      </c>
      <c r="DD30" s="93">
        <v>0</v>
      </c>
      <c r="DE30" s="93">
        <v>0</v>
      </c>
      <c r="DF30" s="93">
        <v>0</v>
      </c>
      <c r="DG30" s="93">
        <v>0</v>
      </c>
      <c r="DH30" s="93">
        <v>0</v>
      </c>
      <c r="DI30" s="93">
        <v>0</v>
      </c>
      <c r="DJ30" s="93">
        <v>0</v>
      </c>
      <c r="DK30" s="93">
        <v>0</v>
      </c>
      <c r="DL30" s="93">
        <v>0</v>
      </c>
      <c r="DM30" s="93">
        <v>0</v>
      </c>
      <c r="DN30" s="93">
        <v>0</v>
      </c>
      <c r="DO30" s="93">
        <v>0</v>
      </c>
      <c r="DP30" s="93">
        <v>0</v>
      </c>
      <c r="DQ30" s="93">
        <v>0</v>
      </c>
      <c r="DR30" s="93">
        <v>0</v>
      </c>
      <c r="DS30" s="93">
        <v>0</v>
      </c>
      <c r="DT30" s="93">
        <v>0</v>
      </c>
      <c r="DU30" s="93">
        <v>0</v>
      </c>
      <c r="DV30" s="93">
        <v>0</v>
      </c>
      <c r="DW30" s="93">
        <v>0</v>
      </c>
      <c r="DX30" s="93">
        <v>0</v>
      </c>
      <c r="DY30" s="93">
        <v>0</v>
      </c>
      <c r="DZ30" s="93">
        <v>0</v>
      </c>
      <c r="EA30" s="93">
        <v>0</v>
      </c>
      <c r="EB30" s="93">
        <v>0</v>
      </c>
      <c r="EC30" s="93">
        <v>0</v>
      </c>
      <c r="ED30" s="93">
        <v>0</v>
      </c>
      <c r="EE30" s="93">
        <v>0</v>
      </c>
      <c r="EF30" s="93">
        <v>0</v>
      </c>
      <c r="EG30" s="93">
        <v>0</v>
      </c>
      <c r="EH30" s="93">
        <v>0</v>
      </c>
      <c r="EI30" s="93">
        <v>0</v>
      </c>
      <c r="EJ30" s="93">
        <v>0</v>
      </c>
      <c r="EK30" s="93">
        <v>0</v>
      </c>
      <c r="EL30" s="93">
        <v>0</v>
      </c>
      <c r="EM30" s="93">
        <v>0</v>
      </c>
      <c r="EN30" s="93">
        <v>0</v>
      </c>
      <c r="EO30" s="93">
        <v>0</v>
      </c>
      <c r="EP30" s="93">
        <v>0</v>
      </c>
      <c r="EQ30" s="93">
        <v>0</v>
      </c>
      <c r="ER30" s="93">
        <v>0</v>
      </c>
      <c r="ES30" s="93">
        <v>0</v>
      </c>
      <c r="ET30" s="93">
        <v>0</v>
      </c>
      <c r="EU30" s="93">
        <v>0</v>
      </c>
      <c r="EV30" s="93">
        <v>0</v>
      </c>
      <c r="EW30" s="93">
        <v>0</v>
      </c>
      <c r="EX30" s="93">
        <v>0</v>
      </c>
      <c r="EY30" s="93">
        <v>0</v>
      </c>
      <c r="EZ30" s="93">
        <v>0</v>
      </c>
      <c r="FA30" s="93">
        <v>0</v>
      </c>
      <c r="FB30" s="93">
        <v>0</v>
      </c>
      <c r="FC30" s="93">
        <v>0</v>
      </c>
      <c r="FD30" s="93">
        <v>0</v>
      </c>
      <c r="FE30" s="93">
        <v>0</v>
      </c>
      <c r="FF30" s="93">
        <v>0</v>
      </c>
      <c r="FG30" s="93">
        <v>0</v>
      </c>
      <c r="FH30" s="93">
        <v>0</v>
      </c>
      <c r="FI30" s="93">
        <v>0</v>
      </c>
      <c r="FJ30" s="93">
        <v>0</v>
      </c>
      <c r="FK30" s="93">
        <v>0</v>
      </c>
      <c r="FL30" s="93">
        <v>0</v>
      </c>
      <c r="FM30" s="93">
        <v>0</v>
      </c>
      <c r="FN30" s="93">
        <v>0</v>
      </c>
      <c r="FO30" s="93">
        <v>0</v>
      </c>
    </row>
    <row r="31" spans="1:171" x14ac:dyDescent="0.2">
      <c r="A31" s="120" t="s">
        <v>6</v>
      </c>
      <c r="B31" s="121"/>
      <c r="C31" s="93">
        <v>0</v>
      </c>
      <c r="D31" s="93">
        <v>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  <c r="AA31" s="93">
        <v>0</v>
      </c>
      <c r="AB31" s="93">
        <v>0</v>
      </c>
      <c r="AC31" s="93">
        <v>0</v>
      </c>
      <c r="AD31" s="93">
        <v>0</v>
      </c>
      <c r="AE31" s="93">
        <v>0</v>
      </c>
      <c r="AF31" s="93">
        <v>0</v>
      </c>
      <c r="AG31" s="93">
        <v>0</v>
      </c>
      <c r="AH31" s="93">
        <v>0</v>
      </c>
      <c r="AI31" s="93">
        <v>0</v>
      </c>
      <c r="AJ31" s="93">
        <v>0</v>
      </c>
      <c r="AK31" s="93">
        <v>0</v>
      </c>
      <c r="AL31" s="93">
        <v>0</v>
      </c>
      <c r="AM31" s="93">
        <v>0</v>
      </c>
      <c r="AN31" s="93">
        <v>0</v>
      </c>
      <c r="AO31" s="93">
        <v>0</v>
      </c>
      <c r="AP31" s="93">
        <v>0</v>
      </c>
      <c r="AQ31" s="93">
        <v>0</v>
      </c>
      <c r="AR31" s="93">
        <v>0</v>
      </c>
      <c r="AS31" s="93">
        <v>0</v>
      </c>
      <c r="AT31" s="93">
        <v>0</v>
      </c>
      <c r="AU31" s="93">
        <v>0</v>
      </c>
      <c r="AV31" s="93">
        <v>0</v>
      </c>
      <c r="AW31" s="93">
        <v>0</v>
      </c>
      <c r="AX31" s="93">
        <v>0</v>
      </c>
      <c r="AY31" s="93">
        <v>0</v>
      </c>
      <c r="AZ31" s="93">
        <v>0</v>
      </c>
      <c r="BA31" s="93">
        <v>0</v>
      </c>
      <c r="BB31" s="93">
        <v>0</v>
      </c>
      <c r="BC31" s="93">
        <v>0</v>
      </c>
      <c r="BD31" s="93">
        <v>0</v>
      </c>
      <c r="BE31" s="93">
        <v>0</v>
      </c>
      <c r="BF31" s="93">
        <v>0</v>
      </c>
      <c r="BG31" s="93">
        <v>0</v>
      </c>
      <c r="BH31" s="93">
        <v>0</v>
      </c>
      <c r="BI31" s="93">
        <v>0</v>
      </c>
      <c r="BJ31" s="93">
        <v>0</v>
      </c>
      <c r="BK31" s="93">
        <v>0</v>
      </c>
      <c r="BL31" s="93">
        <v>0</v>
      </c>
      <c r="BM31" s="93">
        <v>0</v>
      </c>
      <c r="BN31" s="93">
        <v>0</v>
      </c>
      <c r="BO31" s="93">
        <v>0</v>
      </c>
      <c r="BP31" s="93">
        <v>0</v>
      </c>
      <c r="BQ31" s="93">
        <v>0</v>
      </c>
      <c r="BR31" s="93">
        <v>0</v>
      </c>
      <c r="BS31" s="93">
        <v>0</v>
      </c>
      <c r="BT31" s="93">
        <v>0</v>
      </c>
      <c r="BU31" s="93">
        <v>0</v>
      </c>
      <c r="BV31" s="93">
        <v>0</v>
      </c>
      <c r="BW31" s="93">
        <v>0</v>
      </c>
      <c r="BX31" s="93">
        <v>0</v>
      </c>
      <c r="BY31" s="93">
        <v>0</v>
      </c>
      <c r="BZ31" s="93">
        <v>0</v>
      </c>
      <c r="CA31" s="93">
        <v>0</v>
      </c>
      <c r="CB31" s="93">
        <v>0</v>
      </c>
      <c r="CC31" s="93">
        <v>0</v>
      </c>
      <c r="CD31" s="93">
        <v>0</v>
      </c>
      <c r="CE31" s="93">
        <v>0</v>
      </c>
      <c r="CF31" s="93">
        <v>0</v>
      </c>
      <c r="CG31" s="93">
        <v>0</v>
      </c>
      <c r="CH31" s="93">
        <v>0</v>
      </c>
      <c r="CI31" s="93">
        <v>0</v>
      </c>
      <c r="CJ31" s="93">
        <v>0</v>
      </c>
      <c r="CK31" s="93">
        <v>0</v>
      </c>
      <c r="CL31" s="93">
        <v>0</v>
      </c>
      <c r="CM31" s="93">
        <v>0</v>
      </c>
      <c r="CN31" s="93">
        <v>0</v>
      </c>
      <c r="CO31" s="93">
        <v>0</v>
      </c>
      <c r="CP31" s="93">
        <v>0</v>
      </c>
      <c r="CQ31" s="93">
        <v>0</v>
      </c>
      <c r="CR31" s="93">
        <v>0</v>
      </c>
      <c r="CS31" s="93">
        <v>0</v>
      </c>
      <c r="CT31" s="93">
        <v>0</v>
      </c>
      <c r="CU31" s="93">
        <v>0</v>
      </c>
      <c r="CV31" s="93">
        <v>0</v>
      </c>
      <c r="CW31" s="93">
        <v>0</v>
      </c>
      <c r="CX31" s="93">
        <v>0</v>
      </c>
      <c r="CY31" s="93">
        <v>0</v>
      </c>
      <c r="CZ31" s="93">
        <v>0</v>
      </c>
      <c r="DA31" s="93">
        <v>0</v>
      </c>
      <c r="DB31" s="93">
        <v>0</v>
      </c>
      <c r="DC31" s="93">
        <v>0</v>
      </c>
      <c r="DD31" s="93">
        <v>0</v>
      </c>
      <c r="DE31" s="93">
        <v>0</v>
      </c>
      <c r="DF31" s="93">
        <v>0</v>
      </c>
      <c r="DG31" s="93">
        <v>0</v>
      </c>
      <c r="DH31" s="93">
        <v>0</v>
      </c>
      <c r="DI31" s="93">
        <v>0</v>
      </c>
      <c r="DJ31" s="93">
        <v>0</v>
      </c>
      <c r="DK31" s="93">
        <v>0</v>
      </c>
      <c r="DL31" s="93">
        <v>0</v>
      </c>
      <c r="DM31" s="93">
        <v>0</v>
      </c>
      <c r="DN31" s="93">
        <v>0</v>
      </c>
      <c r="DO31" s="93">
        <v>0</v>
      </c>
      <c r="DP31" s="93">
        <v>0</v>
      </c>
      <c r="DQ31" s="93">
        <v>0</v>
      </c>
      <c r="DR31" s="93">
        <v>0</v>
      </c>
      <c r="DS31" s="93">
        <v>0</v>
      </c>
      <c r="DT31" s="93">
        <v>0</v>
      </c>
      <c r="DU31" s="93">
        <v>0</v>
      </c>
      <c r="DV31" s="93">
        <v>0</v>
      </c>
      <c r="DW31" s="93">
        <v>0</v>
      </c>
      <c r="DX31" s="93">
        <v>0</v>
      </c>
      <c r="DY31" s="93">
        <v>0</v>
      </c>
      <c r="DZ31" s="93">
        <v>0</v>
      </c>
      <c r="EA31" s="93">
        <v>0</v>
      </c>
      <c r="EB31" s="93">
        <v>0</v>
      </c>
      <c r="EC31" s="93">
        <v>0</v>
      </c>
      <c r="ED31" s="93">
        <v>0</v>
      </c>
      <c r="EE31" s="93">
        <v>0</v>
      </c>
      <c r="EF31" s="93">
        <v>0</v>
      </c>
      <c r="EG31" s="93">
        <v>0</v>
      </c>
      <c r="EH31" s="93">
        <v>0</v>
      </c>
      <c r="EI31" s="93">
        <v>0</v>
      </c>
      <c r="EJ31" s="93">
        <v>0</v>
      </c>
      <c r="EK31" s="93">
        <v>0</v>
      </c>
      <c r="EL31" s="93">
        <v>0</v>
      </c>
      <c r="EM31" s="93">
        <v>0</v>
      </c>
      <c r="EN31" s="93">
        <v>0</v>
      </c>
      <c r="EO31" s="93">
        <v>0</v>
      </c>
      <c r="EP31" s="93">
        <v>0</v>
      </c>
      <c r="EQ31" s="93">
        <v>0</v>
      </c>
      <c r="ER31" s="93">
        <v>0</v>
      </c>
      <c r="ES31" s="93">
        <v>0</v>
      </c>
      <c r="ET31" s="93">
        <v>0</v>
      </c>
      <c r="EU31" s="93">
        <v>0</v>
      </c>
      <c r="EV31" s="93">
        <v>0</v>
      </c>
      <c r="EW31" s="93">
        <v>0</v>
      </c>
      <c r="EX31" s="93">
        <v>0</v>
      </c>
      <c r="EY31" s="93">
        <v>0</v>
      </c>
      <c r="EZ31" s="93">
        <v>0</v>
      </c>
      <c r="FA31" s="93">
        <v>0</v>
      </c>
      <c r="FB31" s="93">
        <v>0</v>
      </c>
      <c r="FC31" s="93">
        <v>0</v>
      </c>
      <c r="FD31" s="93">
        <v>0</v>
      </c>
      <c r="FE31" s="93">
        <v>0</v>
      </c>
      <c r="FF31" s="93">
        <v>0</v>
      </c>
      <c r="FG31" s="93">
        <v>0</v>
      </c>
      <c r="FH31" s="93">
        <v>0</v>
      </c>
      <c r="FI31" s="93">
        <v>0</v>
      </c>
      <c r="FJ31" s="93">
        <v>0</v>
      </c>
      <c r="FK31" s="93">
        <v>0</v>
      </c>
      <c r="FL31" s="93">
        <v>0</v>
      </c>
      <c r="FM31" s="93">
        <v>0</v>
      </c>
      <c r="FN31" s="93">
        <v>0</v>
      </c>
      <c r="FO31" s="93">
        <v>0</v>
      </c>
    </row>
    <row r="32" spans="1:171" x14ac:dyDescent="0.2">
      <c r="A32" s="120" t="s">
        <v>12</v>
      </c>
      <c r="B32" s="121"/>
      <c r="C32" s="93">
        <v>0</v>
      </c>
      <c r="D32" s="93">
        <v>0</v>
      </c>
      <c r="E32" s="93">
        <v>0</v>
      </c>
      <c r="F32" s="93">
        <v>0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0</v>
      </c>
      <c r="O32" s="93">
        <v>0</v>
      </c>
      <c r="P32" s="93">
        <v>0</v>
      </c>
      <c r="Q32" s="93">
        <v>0</v>
      </c>
      <c r="R32" s="93">
        <v>0</v>
      </c>
      <c r="S32" s="93">
        <v>0</v>
      </c>
      <c r="T32" s="93">
        <v>0</v>
      </c>
      <c r="U32" s="93">
        <v>0</v>
      </c>
      <c r="V32" s="93">
        <v>0</v>
      </c>
      <c r="W32" s="93">
        <v>0</v>
      </c>
      <c r="X32" s="93">
        <v>0</v>
      </c>
      <c r="Y32" s="93">
        <v>0</v>
      </c>
      <c r="Z32" s="93">
        <v>0</v>
      </c>
      <c r="AA32" s="93">
        <v>0</v>
      </c>
      <c r="AB32" s="93">
        <v>0</v>
      </c>
      <c r="AC32" s="93">
        <v>0</v>
      </c>
      <c r="AD32" s="93">
        <v>0</v>
      </c>
      <c r="AE32" s="93">
        <v>0</v>
      </c>
      <c r="AF32" s="93">
        <v>0</v>
      </c>
      <c r="AG32" s="93">
        <v>0</v>
      </c>
      <c r="AH32" s="93">
        <v>0</v>
      </c>
      <c r="AI32" s="93">
        <v>0</v>
      </c>
      <c r="AJ32" s="93">
        <v>0</v>
      </c>
      <c r="AK32" s="93">
        <v>0</v>
      </c>
      <c r="AL32" s="93">
        <v>0</v>
      </c>
      <c r="AM32" s="93">
        <v>0</v>
      </c>
      <c r="AN32" s="93">
        <v>0</v>
      </c>
      <c r="AO32" s="93">
        <v>0</v>
      </c>
      <c r="AP32" s="93">
        <v>0</v>
      </c>
      <c r="AQ32" s="93">
        <v>0</v>
      </c>
      <c r="AR32" s="93">
        <v>0</v>
      </c>
      <c r="AS32" s="93">
        <v>0</v>
      </c>
      <c r="AT32" s="93">
        <v>0</v>
      </c>
      <c r="AU32" s="93">
        <v>0</v>
      </c>
      <c r="AV32" s="93">
        <v>0</v>
      </c>
      <c r="AW32" s="93">
        <v>0</v>
      </c>
      <c r="AX32" s="93">
        <v>0</v>
      </c>
      <c r="AY32" s="93">
        <v>0</v>
      </c>
      <c r="AZ32" s="93">
        <v>0</v>
      </c>
      <c r="BA32" s="93">
        <v>0</v>
      </c>
      <c r="BB32" s="93">
        <v>0</v>
      </c>
      <c r="BC32" s="93">
        <v>0</v>
      </c>
      <c r="BD32" s="93">
        <v>0</v>
      </c>
      <c r="BE32" s="93">
        <v>0</v>
      </c>
      <c r="BF32" s="93">
        <v>0</v>
      </c>
      <c r="BG32" s="93">
        <v>0</v>
      </c>
      <c r="BH32" s="93">
        <v>0</v>
      </c>
      <c r="BI32" s="93">
        <v>0</v>
      </c>
      <c r="BJ32" s="93">
        <v>0</v>
      </c>
      <c r="BK32" s="93">
        <v>0</v>
      </c>
      <c r="BL32" s="93">
        <v>0</v>
      </c>
      <c r="BM32" s="93">
        <v>0</v>
      </c>
      <c r="BN32" s="93">
        <v>0</v>
      </c>
      <c r="BO32" s="93">
        <v>0</v>
      </c>
      <c r="BP32" s="93">
        <v>0</v>
      </c>
      <c r="BQ32" s="93">
        <v>0</v>
      </c>
      <c r="BR32" s="93">
        <v>0</v>
      </c>
      <c r="BS32" s="93">
        <v>0</v>
      </c>
      <c r="BT32" s="93">
        <v>0</v>
      </c>
      <c r="BU32" s="93">
        <v>0</v>
      </c>
      <c r="BV32" s="93">
        <v>0</v>
      </c>
      <c r="BW32" s="93">
        <v>0</v>
      </c>
      <c r="BX32" s="93">
        <v>0</v>
      </c>
      <c r="BY32" s="93">
        <v>0</v>
      </c>
      <c r="BZ32" s="93">
        <v>0</v>
      </c>
      <c r="CA32" s="93">
        <v>0</v>
      </c>
      <c r="CB32" s="93">
        <v>0</v>
      </c>
      <c r="CC32" s="93">
        <v>0</v>
      </c>
      <c r="CD32" s="93">
        <v>0</v>
      </c>
      <c r="CE32" s="93">
        <v>0</v>
      </c>
      <c r="CF32" s="93">
        <v>0</v>
      </c>
      <c r="CG32" s="93">
        <v>0</v>
      </c>
      <c r="CH32" s="93">
        <v>0</v>
      </c>
      <c r="CI32" s="93">
        <v>0</v>
      </c>
      <c r="CJ32" s="93">
        <v>0</v>
      </c>
      <c r="CK32" s="93">
        <v>0</v>
      </c>
      <c r="CL32" s="93">
        <v>0</v>
      </c>
      <c r="CM32" s="93">
        <v>0</v>
      </c>
      <c r="CN32" s="93">
        <v>0</v>
      </c>
      <c r="CO32" s="93">
        <v>0</v>
      </c>
      <c r="CP32" s="93">
        <v>0</v>
      </c>
      <c r="CQ32" s="93">
        <v>0</v>
      </c>
      <c r="CR32" s="93">
        <v>0</v>
      </c>
      <c r="CS32" s="93">
        <v>0</v>
      </c>
      <c r="CT32" s="93">
        <v>0</v>
      </c>
      <c r="CU32" s="93">
        <v>0</v>
      </c>
      <c r="CV32" s="93">
        <v>0</v>
      </c>
      <c r="CW32" s="93">
        <v>0</v>
      </c>
      <c r="CX32" s="93">
        <v>0</v>
      </c>
      <c r="CY32" s="93">
        <v>0</v>
      </c>
      <c r="CZ32" s="93">
        <v>0</v>
      </c>
      <c r="DA32" s="93">
        <v>0</v>
      </c>
      <c r="DB32" s="93">
        <v>0</v>
      </c>
      <c r="DC32" s="93">
        <v>0</v>
      </c>
      <c r="DD32" s="93">
        <v>0</v>
      </c>
      <c r="DE32" s="93">
        <v>0</v>
      </c>
      <c r="DF32" s="93">
        <v>0</v>
      </c>
      <c r="DG32" s="93">
        <v>0</v>
      </c>
      <c r="DH32" s="93">
        <v>0</v>
      </c>
      <c r="DI32" s="93">
        <v>0</v>
      </c>
      <c r="DJ32" s="93">
        <v>0</v>
      </c>
      <c r="DK32" s="93">
        <v>0</v>
      </c>
      <c r="DL32" s="93">
        <v>0</v>
      </c>
      <c r="DM32" s="93">
        <v>0</v>
      </c>
      <c r="DN32" s="93">
        <v>0</v>
      </c>
      <c r="DO32" s="93">
        <v>0</v>
      </c>
      <c r="DP32" s="93">
        <v>0</v>
      </c>
      <c r="DQ32" s="93">
        <v>0</v>
      </c>
      <c r="DR32" s="93">
        <v>0</v>
      </c>
      <c r="DS32" s="93">
        <v>0</v>
      </c>
      <c r="DT32" s="93">
        <v>0</v>
      </c>
      <c r="DU32" s="93">
        <v>0</v>
      </c>
      <c r="DV32" s="93">
        <v>0</v>
      </c>
      <c r="DW32" s="93">
        <v>0</v>
      </c>
      <c r="DX32" s="93">
        <v>0</v>
      </c>
      <c r="DY32" s="93">
        <v>0</v>
      </c>
      <c r="DZ32" s="93">
        <v>0</v>
      </c>
      <c r="EA32" s="93">
        <v>0</v>
      </c>
      <c r="EB32" s="93">
        <v>0</v>
      </c>
      <c r="EC32" s="93">
        <v>0</v>
      </c>
      <c r="ED32" s="93">
        <v>0</v>
      </c>
      <c r="EE32" s="93">
        <v>0</v>
      </c>
      <c r="EF32" s="93">
        <v>0</v>
      </c>
      <c r="EG32" s="93">
        <v>0</v>
      </c>
      <c r="EH32" s="93">
        <v>0</v>
      </c>
      <c r="EI32" s="93">
        <v>0</v>
      </c>
      <c r="EJ32" s="93">
        <v>0</v>
      </c>
      <c r="EK32" s="93">
        <v>0</v>
      </c>
      <c r="EL32" s="93">
        <v>0</v>
      </c>
      <c r="EM32" s="93">
        <v>0</v>
      </c>
      <c r="EN32" s="93">
        <v>0</v>
      </c>
      <c r="EO32" s="93">
        <v>0</v>
      </c>
      <c r="EP32" s="93">
        <v>0</v>
      </c>
      <c r="EQ32" s="93">
        <v>0</v>
      </c>
      <c r="ER32" s="93">
        <v>0</v>
      </c>
      <c r="ES32" s="93">
        <v>0</v>
      </c>
      <c r="ET32" s="93">
        <v>0</v>
      </c>
      <c r="EU32" s="93">
        <v>0</v>
      </c>
      <c r="EV32" s="93">
        <v>0</v>
      </c>
      <c r="EW32" s="93">
        <v>0</v>
      </c>
      <c r="EX32" s="93">
        <v>0</v>
      </c>
      <c r="EY32" s="93">
        <v>0</v>
      </c>
      <c r="EZ32" s="93">
        <v>0</v>
      </c>
      <c r="FA32" s="93">
        <v>0</v>
      </c>
      <c r="FB32" s="93">
        <v>0</v>
      </c>
      <c r="FC32" s="93">
        <v>0</v>
      </c>
      <c r="FD32" s="93">
        <v>0</v>
      </c>
      <c r="FE32" s="93">
        <v>0</v>
      </c>
      <c r="FF32" s="93">
        <v>0</v>
      </c>
      <c r="FG32" s="93">
        <v>0</v>
      </c>
      <c r="FH32" s="93">
        <v>0</v>
      </c>
      <c r="FI32" s="93">
        <v>0</v>
      </c>
      <c r="FJ32" s="93">
        <v>0</v>
      </c>
      <c r="FK32" s="93">
        <v>0</v>
      </c>
      <c r="FL32" s="93">
        <v>0</v>
      </c>
      <c r="FM32" s="93">
        <v>0</v>
      </c>
      <c r="FN32" s="93">
        <v>0</v>
      </c>
      <c r="FO32" s="93">
        <v>0</v>
      </c>
    </row>
    <row r="33" spans="1:171" x14ac:dyDescent="0.2">
      <c r="A33" s="120" t="s">
        <v>22</v>
      </c>
      <c r="B33" s="121"/>
      <c r="C33" s="93">
        <v>69.783799999999999</v>
      </c>
      <c r="D33" s="93">
        <v>130.4443</v>
      </c>
      <c r="E33" s="93">
        <v>19.909199999999998</v>
      </c>
      <c r="F33" s="93">
        <v>338.68439999999998</v>
      </c>
      <c r="G33" s="93">
        <v>90.424700000000001</v>
      </c>
      <c r="H33" s="93">
        <v>94.879400000000004</v>
      </c>
      <c r="I33" s="93">
        <v>81.085899999999995</v>
      </c>
      <c r="J33" s="93">
        <v>77.397900000000007</v>
      </c>
      <c r="K33" s="93">
        <v>44.627299999999998</v>
      </c>
      <c r="L33" s="93">
        <v>276.82089999999999</v>
      </c>
      <c r="M33" s="93">
        <v>69.740399999999994</v>
      </c>
      <c r="N33" s="93">
        <v>43.66</v>
      </c>
      <c r="O33" s="93">
        <v>19.584199999999999</v>
      </c>
      <c r="P33" s="93">
        <v>43.861800000000002</v>
      </c>
      <c r="Q33" s="93">
        <v>38.368499999999997</v>
      </c>
      <c r="R33" s="93">
        <v>170.5077</v>
      </c>
      <c r="S33" s="93">
        <v>59.538699999999999</v>
      </c>
      <c r="T33" s="93">
        <v>21.3095</v>
      </c>
      <c r="U33" s="93">
        <v>137.39879999999999</v>
      </c>
      <c r="V33" s="93">
        <v>74.620900000000006</v>
      </c>
      <c r="W33" s="93">
        <v>4.4763000000000002</v>
      </c>
      <c r="X33" s="93">
        <v>1.1382000000000001</v>
      </c>
      <c r="Y33" s="93">
        <v>62.42</v>
      </c>
      <c r="Z33" s="93">
        <v>20.872599999999998</v>
      </c>
      <c r="AA33" s="93">
        <v>15.369</v>
      </c>
      <c r="AB33" s="93">
        <v>147.9538</v>
      </c>
      <c r="AC33" s="93">
        <v>237.23050000000001</v>
      </c>
      <c r="AD33" s="93">
        <v>113.7105</v>
      </c>
      <c r="AE33" s="93">
        <v>36.616999999999997</v>
      </c>
      <c r="AF33" s="93">
        <v>5.5556999999999999</v>
      </c>
      <c r="AG33" s="93">
        <v>56.626300000000001</v>
      </c>
      <c r="AH33" s="93">
        <v>40.869100000000003</v>
      </c>
      <c r="AI33" s="93">
        <v>43.223399999999998</v>
      </c>
      <c r="AJ33" s="93">
        <v>12.4504</v>
      </c>
      <c r="AK33" s="93">
        <v>114.99850000000001</v>
      </c>
      <c r="AL33" s="93">
        <v>28.4209</v>
      </c>
      <c r="AM33" s="93">
        <v>1.2221</v>
      </c>
      <c r="AN33" s="93">
        <v>136.04920000000001</v>
      </c>
      <c r="AO33" s="93">
        <v>54.883299999999998</v>
      </c>
      <c r="AP33" s="93">
        <v>5.4593999999999996</v>
      </c>
      <c r="AQ33" s="93">
        <v>47.895000000000003</v>
      </c>
      <c r="AR33" s="93">
        <v>31.325299999999999</v>
      </c>
      <c r="AS33" s="93">
        <v>1.673</v>
      </c>
      <c r="AT33" s="93">
        <v>26.718499999999999</v>
      </c>
      <c r="AU33" s="93">
        <v>9.8855000000000004</v>
      </c>
      <c r="AV33" s="93">
        <v>40.113100000000003</v>
      </c>
      <c r="AW33" s="93">
        <v>4.2712000000000003</v>
      </c>
      <c r="AX33" s="93">
        <v>19.7134</v>
      </c>
      <c r="AY33" s="93">
        <v>90.2149</v>
      </c>
      <c r="AZ33" s="93">
        <v>19.190000000000001</v>
      </c>
      <c r="BA33" s="93">
        <v>129.3219</v>
      </c>
      <c r="BB33" s="93">
        <v>40.717599999999997</v>
      </c>
      <c r="BC33" s="93">
        <v>132.08580000000001</v>
      </c>
      <c r="BD33" s="93">
        <v>222.22489999999999</v>
      </c>
      <c r="BE33" s="93">
        <v>30.9893</v>
      </c>
      <c r="BF33" s="93">
        <v>8.9789999999999992</v>
      </c>
      <c r="BG33" s="93">
        <v>22.738700000000001</v>
      </c>
      <c r="BH33" s="93">
        <v>93.593900000000005</v>
      </c>
      <c r="BI33" s="93">
        <v>19.6645</v>
      </c>
      <c r="BJ33" s="93">
        <v>32.320599999999999</v>
      </c>
      <c r="BK33" s="93">
        <v>315.65929999999997</v>
      </c>
      <c r="BL33" s="93">
        <v>215.22640000000001</v>
      </c>
      <c r="BM33" s="93">
        <v>17.758900000000001</v>
      </c>
      <c r="BN33" s="93">
        <v>74.361800000000002</v>
      </c>
      <c r="BO33" s="93">
        <v>15.5677</v>
      </c>
      <c r="BP33" s="93">
        <v>207.7747</v>
      </c>
      <c r="BQ33" s="93">
        <v>0</v>
      </c>
      <c r="BR33" s="93">
        <v>1.4502999999999999</v>
      </c>
      <c r="BS33" s="93">
        <v>37.314700000000002</v>
      </c>
      <c r="BT33" s="93">
        <v>24.237300000000001</v>
      </c>
      <c r="BU33" s="93">
        <v>43.636400000000002</v>
      </c>
      <c r="BV33" s="93">
        <v>26.4771</v>
      </c>
      <c r="BW33" s="93">
        <v>90.798000000000002</v>
      </c>
      <c r="BX33" s="93">
        <v>52.3123</v>
      </c>
      <c r="BY33" s="93">
        <v>97.923400000000001</v>
      </c>
      <c r="BZ33" s="93">
        <v>31.4178</v>
      </c>
      <c r="CA33" s="93">
        <v>69.684700000000007</v>
      </c>
      <c r="CB33" s="93">
        <v>46.522300000000001</v>
      </c>
      <c r="CC33" s="93">
        <v>63.939900000000002</v>
      </c>
      <c r="CD33" s="93">
        <v>60.930500000000002</v>
      </c>
      <c r="CE33" s="93">
        <v>57.9422</v>
      </c>
      <c r="CF33" s="93">
        <v>27.929099999999998</v>
      </c>
      <c r="CG33" s="93">
        <v>1.9734</v>
      </c>
      <c r="CH33" s="93">
        <v>6.5579999999999998</v>
      </c>
      <c r="CI33" s="93">
        <v>311.64249999999998</v>
      </c>
      <c r="CJ33" s="93">
        <v>28.392399999999999</v>
      </c>
      <c r="CK33" s="93">
        <v>0.97760000000000002</v>
      </c>
      <c r="CL33" s="93">
        <v>1.6389</v>
      </c>
      <c r="CM33" s="93">
        <v>221.33760000000001</v>
      </c>
      <c r="CN33" s="93">
        <v>121.0748</v>
      </c>
      <c r="CO33" s="93">
        <v>6.2309000000000001</v>
      </c>
      <c r="CP33" s="93">
        <v>61.8506</v>
      </c>
      <c r="CQ33" s="93">
        <v>121.39109999999999</v>
      </c>
      <c r="CR33" s="93">
        <v>248.00659999999999</v>
      </c>
      <c r="CS33" s="93">
        <v>37.226199999999999</v>
      </c>
      <c r="CT33" s="93">
        <v>129.12530000000001</v>
      </c>
      <c r="CU33" s="93">
        <v>267.87079999999997</v>
      </c>
      <c r="CV33" s="93">
        <v>344.15910000000002</v>
      </c>
      <c r="CW33" s="93">
        <v>0</v>
      </c>
      <c r="CX33" s="93">
        <v>22.533000000000001</v>
      </c>
      <c r="CY33" s="93">
        <v>117.24630000000001</v>
      </c>
      <c r="CZ33" s="93">
        <v>19.609100000000002</v>
      </c>
      <c r="DA33" s="93">
        <v>0</v>
      </c>
      <c r="DB33" s="93">
        <v>53.287999999999997</v>
      </c>
      <c r="DC33" s="93">
        <v>113.0029</v>
      </c>
      <c r="DD33" s="93">
        <v>298.66180000000003</v>
      </c>
      <c r="DE33" s="93">
        <v>20.605899999999998</v>
      </c>
      <c r="DF33" s="93">
        <v>16.839200000000002</v>
      </c>
      <c r="DG33" s="93">
        <v>31.621500000000001</v>
      </c>
      <c r="DH33" s="93">
        <v>79.002499999999998</v>
      </c>
      <c r="DI33" s="93">
        <v>27.523599999999998</v>
      </c>
      <c r="DJ33" s="93">
        <v>26.018799999999999</v>
      </c>
      <c r="DK33" s="93">
        <v>27.8826</v>
      </c>
      <c r="DL33" s="93">
        <v>34.560600000000001</v>
      </c>
      <c r="DM33" s="93">
        <v>84.047499999999999</v>
      </c>
      <c r="DN33" s="93">
        <v>132.46250000000001</v>
      </c>
      <c r="DO33" s="93">
        <v>246.72280000000001</v>
      </c>
      <c r="DP33" s="93">
        <v>35.988500000000002</v>
      </c>
      <c r="DQ33" s="93">
        <v>24.1997</v>
      </c>
      <c r="DR33" s="93">
        <v>48.718299999999999</v>
      </c>
      <c r="DS33" s="93">
        <v>131.63990000000001</v>
      </c>
      <c r="DT33" s="93">
        <v>4.1268000000000002</v>
      </c>
      <c r="DU33" s="93">
        <v>20.921700000000001</v>
      </c>
      <c r="DV33" s="93">
        <v>83.564599999999999</v>
      </c>
      <c r="DW33" s="93">
        <v>90.054599999999994</v>
      </c>
      <c r="DX33" s="93">
        <v>102.74679999999999</v>
      </c>
      <c r="DY33" s="93">
        <v>4.4672000000000001</v>
      </c>
      <c r="DZ33" s="93">
        <v>26.765499999999999</v>
      </c>
      <c r="EA33" s="93">
        <v>121.02070000000001</v>
      </c>
      <c r="EB33" s="93">
        <v>129.2088</v>
      </c>
      <c r="EC33" s="93">
        <v>10.459300000000001</v>
      </c>
      <c r="ED33" s="93">
        <v>106.51900000000001</v>
      </c>
      <c r="EE33" s="93">
        <v>27.6175</v>
      </c>
      <c r="EF33" s="93">
        <v>9.2591999999999999</v>
      </c>
      <c r="EG33" s="93">
        <v>22.1922</v>
      </c>
      <c r="EH33" s="93">
        <v>45.822699999999998</v>
      </c>
      <c r="EI33" s="93">
        <v>31.141300000000001</v>
      </c>
      <c r="EJ33" s="93">
        <v>22.8293</v>
      </c>
      <c r="EK33" s="93">
        <v>95.680499999999995</v>
      </c>
      <c r="EL33" s="93">
        <v>18.743500000000001</v>
      </c>
      <c r="EM33" s="93">
        <v>99.987200000000001</v>
      </c>
      <c r="EN33" s="93">
        <v>82.968100000000007</v>
      </c>
      <c r="EO33" s="93">
        <v>33.455399999999997</v>
      </c>
      <c r="EP33" s="93">
        <v>20.085599999999999</v>
      </c>
      <c r="EQ33" s="93">
        <v>141.3013</v>
      </c>
      <c r="ER33" s="93">
        <v>51.864699999999999</v>
      </c>
      <c r="ES33" s="93">
        <v>180.45849999999999</v>
      </c>
      <c r="ET33" s="93">
        <v>38.701099999999997</v>
      </c>
      <c r="EU33" s="93">
        <v>230.6397</v>
      </c>
      <c r="EV33" s="93">
        <v>121.6819</v>
      </c>
      <c r="EW33" s="93">
        <v>24.590399999999999</v>
      </c>
      <c r="EX33" s="93">
        <v>372.40440000000001</v>
      </c>
      <c r="EY33" s="93">
        <v>281.69639999999998</v>
      </c>
      <c r="EZ33" s="93">
        <v>31.746500000000001</v>
      </c>
      <c r="FA33" s="93">
        <v>26.934999999999999</v>
      </c>
      <c r="FB33" s="93">
        <v>15.292400000000001</v>
      </c>
      <c r="FC33" s="93">
        <v>85.110699999999994</v>
      </c>
      <c r="FD33" s="93">
        <v>4.0103999999999997</v>
      </c>
      <c r="FE33" s="93">
        <v>7.1391</v>
      </c>
      <c r="FF33" s="93">
        <v>212.00720000000001</v>
      </c>
      <c r="FG33" s="93">
        <v>96.959900000000005</v>
      </c>
      <c r="FH33" s="93">
        <v>129.7955</v>
      </c>
      <c r="FI33" s="93">
        <v>84.847300000000004</v>
      </c>
      <c r="FJ33" s="93">
        <v>171.0386</v>
      </c>
      <c r="FK33" s="93">
        <v>574.29459999999995</v>
      </c>
      <c r="FL33" s="93">
        <v>35.691499999999998</v>
      </c>
      <c r="FM33" s="93">
        <v>50.368400000000001</v>
      </c>
      <c r="FN33" s="93">
        <v>32.748800000000003</v>
      </c>
      <c r="FO33" s="93">
        <v>57.979900000000001</v>
      </c>
    </row>
    <row r="34" spans="1:171" x14ac:dyDescent="0.2">
      <c r="A34" s="120" t="s">
        <v>345</v>
      </c>
      <c r="B34" s="121"/>
      <c r="C34" s="93">
        <v>1.7149000000000001</v>
      </c>
      <c r="D34" s="93">
        <v>1.2545999999999999</v>
      </c>
      <c r="E34" s="93">
        <v>1.4376</v>
      </c>
      <c r="F34" s="93">
        <v>12.019</v>
      </c>
      <c r="G34" s="93">
        <v>2.4453999999999998</v>
      </c>
      <c r="H34" s="93">
        <v>1.3851</v>
      </c>
      <c r="I34" s="93">
        <v>0.65059999999999996</v>
      </c>
      <c r="J34" s="93">
        <v>0.47110000000000002</v>
      </c>
      <c r="K34" s="93">
        <v>2.6387999999999998</v>
      </c>
      <c r="L34" s="93">
        <v>12.0678</v>
      </c>
      <c r="M34" s="93">
        <v>1.7441</v>
      </c>
      <c r="N34" s="93">
        <v>2.8405</v>
      </c>
      <c r="O34" s="93">
        <v>1.4581</v>
      </c>
      <c r="P34" s="93">
        <v>3.0489999999999999</v>
      </c>
      <c r="Q34" s="93">
        <v>10.234</v>
      </c>
      <c r="R34" s="93">
        <v>21.262899999999998</v>
      </c>
      <c r="S34" s="93">
        <v>3.4161999999999999</v>
      </c>
      <c r="T34" s="93">
        <v>1.1279999999999999</v>
      </c>
      <c r="U34" s="93">
        <v>2.9567000000000001</v>
      </c>
      <c r="V34" s="93">
        <v>2.7513999999999998</v>
      </c>
      <c r="W34" s="93">
        <v>2.0817000000000001</v>
      </c>
      <c r="X34" s="93">
        <v>0.16669999999999999</v>
      </c>
      <c r="Y34" s="93">
        <v>1.0144</v>
      </c>
      <c r="Z34" s="93">
        <v>16.450700000000001</v>
      </c>
      <c r="AA34" s="93">
        <v>1.0017</v>
      </c>
      <c r="AB34" s="93">
        <v>3.1717</v>
      </c>
      <c r="AC34" s="93">
        <v>1.3434999999999999</v>
      </c>
      <c r="AD34" s="93">
        <v>2.3454999999999999</v>
      </c>
      <c r="AE34" s="93">
        <v>0.85540000000000005</v>
      </c>
      <c r="AF34" s="93">
        <v>4.6951999999999998</v>
      </c>
      <c r="AG34" s="93">
        <v>8.9207000000000001</v>
      </c>
      <c r="AH34" s="93">
        <v>3.7907999999999999</v>
      </c>
      <c r="AI34" s="93">
        <v>5.1485000000000003</v>
      </c>
      <c r="AJ34" s="93">
        <v>3.1694</v>
      </c>
      <c r="AK34" s="93">
        <v>1.6555</v>
      </c>
      <c r="AL34" s="93">
        <v>6.3352000000000004</v>
      </c>
      <c r="AM34" s="93">
        <v>7.2401999999999997</v>
      </c>
      <c r="AN34" s="93">
        <v>2.8060999999999998</v>
      </c>
      <c r="AO34" s="93">
        <v>1.0640000000000001</v>
      </c>
      <c r="AP34" s="93">
        <v>4.3837000000000002</v>
      </c>
      <c r="AQ34" s="93">
        <v>16.0823</v>
      </c>
      <c r="AR34" s="93">
        <v>1.0072000000000001</v>
      </c>
      <c r="AS34" s="93">
        <v>10.438599999999999</v>
      </c>
      <c r="AT34" s="93">
        <v>5.5534999999999997</v>
      </c>
      <c r="AU34" s="93">
        <v>0.3458</v>
      </c>
      <c r="AV34" s="93">
        <v>0.25459999999999999</v>
      </c>
      <c r="AW34" s="93">
        <v>2.028</v>
      </c>
      <c r="AX34" s="93">
        <v>1.3142</v>
      </c>
      <c r="AY34" s="93">
        <v>5.5697999999999999</v>
      </c>
      <c r="AZ34" s="93">
        <v>1.3075000000000001</v>
      </c>
      <c r="BA34" s="93">
        <v>1.9226000000000001</v>
      </c>
      <c r="BB34" s="93">
        <v>0.70450000000000002</v>
      </c>
      <c r="BC34" s="93">
        <v>1.722</v>
      </c>
      <c r="BD34" s="93">
        <v>1.4049</v>
      </c>
      <c r="BE34" s="93">
        <v>1.3164</v>
      </c>
      <c r="BF34" s="93">
        <v>15.722099999999999</v>
      </c>
      <c r="BG34" s="93">
        <v>0.97960000000000003</v>
      </c>
      <c r="BH34" s="93">
        <v>20.415900000000001</v>
      </c>
      <c r="BI34" s="93">
        <v>12.902900000000001</v>
      </c>
      <c r="BJ34" s="93">
        <v>25.152100000000001</v>
      </c>
      <c r="BK34" s="93">
        <v>4.0338000000000003</v>
      </c>
      <c r="BL34" s="93">
        <v>90.394000000000005</v>
      </c>
      <c r="BM34" s="93">
        <v>60.155999999999999</v>
      </c>
      <c r="BN34" s="93">
        <v>109.6388</v>
      </c>
      <c r="BO34" s="93">
        <v>337.84620000000001</v>
      </c>
      <c r="BP34" s="93">
        <v>167.72470000000001</v>
      </c>
      <c r="BQ34" s="93">
        <v>7.3638000000000003</v>
      </c>
      <c r="BR34" s="93">
        <v>1.7694000000000001</v>
      </c>
      <c r="BS34" s="93">
        <v>371.24430000000001</v>
      </c>
      <c r="BT34" s="93">
        <v>29.988199999999999</v>
      </c>
      <c r="BU34" s="93">
        <v>10.8329</v>
      </c>
      <c r="BV34" s="93">
        <v>9.6829999999999998</v>
      </c>
      <c r="BW34" s="93">
        <v>12.2806</v>
      </c>
      <c r="BX34" s="93">
        <v>2.0952999999999999</v>
      </c>
      <c r="BY34" s="93">
        <v>8.9146000000000001</v>
      </c>
      <c r="BZ34" s="93">
        <v>6.3808999999999996</v>
      </c>
      <c r="CA34" s="93">
        <v>9.3186</v>
      </c>
      <c r="CB34" s="93">
        <v>3.1871999999999998</v>
      </c>
      <c r="CC34" s="93">
        <v>1.5157</v>
      </c>
      <c r="CD34" s="93">
        <v>2.5851999999999999</v>
      </c>
      <c r="CE34" s="93">
        <v>18.149699999999999</v>
      </c>
      <c r="CF34" s="93">
        <v>2.8502000000000001</v>
      </c>
      <c r="CG34" s="93">
        <v>3.5950000000000002</v>
      </c>
      <c r="CH34" s="93">
        <v>2.766</v>
      </c>
      <c r="CI34" s="93">
        <v>10.515499999999999</v>
      </c>
      <c r="CJ34" s="93">
        <v>1.3346</v>
      </c>
      <c r="CK34" s="93">
        <v>1.097</v>
      </c>
      <c r="CL34" s="93">
        <v>2.2631999999999999</v>
      </c>
      <c r="CM34" s="93">
        <v>1.5144</v>
      </c>
      <c r="CN34" s="93">
        <v>1.1842999999999999</v>
      </c>
      <c r="CO34" s="93">
        <v>0.66039999999999999</v>
      </c>
      <c r="CP34" s="93">
        <v>5.2569999999999997</v>
      </c>
      <c r="CQ34" s="93">
        <v>4.2843999999999998</v>
      </c>
      <c r="CR34" s="93">
        <v>4.6462000000000003</v>
      </c>
      <c r="CS34" s="93">
        <v>0.68930000000000002</v>
      </c>
      <c r="CT34" s="93">
        <v>3.0975999999999999</v>
      </c>
      <c r="CU34" s="93">
        <v>1.1838</v>
      </c>
      <c r="CV34" s="93">
        <v>0.36630000000000001</v>
      </c>
      <c r="CW34" s="93">
        <v>3.0952000000000002</v>
      </c>
      <c r="CX34" s="93">
        <v>1.3458000000000001</v>
      </c>
      <c r="CY34" s="93">
        <v>2.4479000000000002</v>
      </c>
      <c r="CZ34" s="93">
        <v>2.2608000000000001</v>
      </c>
      <c r="DA34" s="93">
        <v>0.8276</v>
      </c>
      <c r="DB34" s="93">
        <v>1.9007000000000001</v>
      </c>
      <c r="DC34" s="93">
        <v>1.0624</v>
      </c>
      <c r="DD34" s="93">
        <v>0.54459999999999997</v>
      </c>
      <c r="DE34" s="93">
        <v>3.2172999999999998</v>
      </c>
      <c r="DF34" s="93">
        <v>5.0274999999999999</v>
      </c>
      <c r="DG34" s="93">
        <v>5.5084</v>
      </c>
      <c r="DH34" s="93">
        <v>-3.0000000000000001E-3</v>
      </c>
      <c r="DI34" s="93">
        <v>1.5908</v>
      </c>
      <c r="DJ34" s="93">
        <v>5.6036999999999999</v>
      </c>
      <c r="DK34" s="93">
        <v>23.790400000000002</v>
      </c>
      <c r="DL34" s="93">
        <v>-8.1000000000000003E-2</v>
      </c>
      <c r="DM34" s="93">
        <v>1.2717000000000001</v>
      </c>
      <c r="DN34" s="93">
        <v>2.5710000000000002</v>
      </c>
      <c r="DO34" s="93">
        <v>1.1849000000000001</v>
      </c>
      <c r="DP34" s="93">
        <v>5.8944000000000001</v>
      </c>
      <c r="DQ34" s="93">
        <v>2.6802999999999999</v>
      </c>
      <c r="DR34" s="93">
        <v>0.72660000000000002</v>
      </c>
      <c r="DS34" s="93">
        <v>1.4263999999999999</v>
      </c>
      <c r="DT34" s="93">
        <v>1.2524</v>
      </c>
      <c r="DU34" s="93">
        <v>10.203900000000001</v>
      </c>
      <c r="DV34" s="93">
        <v>2.1711999999999998</v>
      </c>
      <c r="DW34" s="93">
        <v>7.0136000000000003</v>
      </c>
      <c r="DX34" s="93">
        <v>0.98340000000000005</v>
      </c>
      <c r="DY34" s="93">
        <v>2.3902999999999999</v>
      </c>
      <c r="DZ34" s="93">
        <v>5.843</v>
      </c>
      <c r="EA34" s="93">
        <v>2.234</v>
      </c>
      <c r="EB34" s="93">
        <v>1.2687999999999999</v>
      </c>
      <c r="EC34" s="93">
        <v>3.2564000000000002</v>
      </c>
      <c r="ED34" s="93">
        <v>2.0341</v>
      </c>
      <c r="EE34" s="93">
        <v>0.51500000000000001</v>
      </c>
      <c r="EF34" s="93">
        <v>3.5394999999999999</v>
      </c>
      <c r="EG34" s="93">
        <v>3.8405</v>
      </c>
      <c r="EH34" s="93">
        <v>3.7454000000000001</v>
      </c>
      <c r="EI34" s="93">
        <v>0.30209999999999998</v>
      </c>
      <c r="EJ34" s="93">
        <v>4.7145000000000001</v>
      </c>
      <c r="EK34" s="93">
        <v>2.3559000000000001</v>
      </c>
      <c r="EL34" s="93">
        <v>1.4815</v>
      </c>
      <c r="EM34" s="93">
        <v>24.914999999999999</v>
      </c>
      <c r="EN34" s="93">
        <v>5.3220999999999998</v>
      </c>
      <c r="EO34" s="93">
        <v>2.8555000000000001</v>
      </c>
      <c r="EP34" s="93">
        <v>8.7973999999999997</v>
      </c>
      <c r="EQ34" s="93">
        <v>1.4131</v>
      </c>
      <c r="ER34" s="93">
        <v>1.2357</v>
      </c>
      <c r="ES34" s="93">
        <v>1.1517999999999999</v>
      </c>
      <c r="ET34" s="93">
        <v>4.7664999999999997</v>
      </c>
      <c r="EU34" s="93">
        <v>2.0758999999999999</v>
      </c>
      <c r="EV34" s="93">
        <v>1.6816</v>
      </c>
      <c r="EW34" s="93">
        <v>1.5096000000000001</v>
      </c>
      <c r="EX34" s="93">
        <v>0.94350000000000001</v>
      </c>
      <c r="EY34" s="93">
        <v>17.924399999999999</v>
      </c>
      <c r="EZ34" s="93">
        <v>1.9779</v>
      </c>
      <c r="FA34" s="93">
        <v>0.53820000000000001</v>
      </c>
      <c r="FB34" s="93">
        <v>1.8565</v>
      </c>
      <c r="FC34" s="93">
        <v>7.7178000000000004</v>
      </c>
      <c r="FD34" s="93">
        <v>1.0878000000000001</v>
      </c>
      <c r="FE34" s="93">
        <v>2.3504</v>
      </c>
      <c r="FF34" s="93">
        <v>1.3798999999999999</v>
      </c>
      <c r="FG34" s="93">
        <v>2.3382999999999998</v>
      </c>
      <c r="FH34" s="93">
        <v>2.8610000000000002</v>
      </c>
      <c r="FI34" s="93">
        <v>3.0323000000000002</v>
      </c>
      <c r="FJ34" s="93">
        <v>0.76990000000000003</v>
      </c>
      <c r="FK34" s="93">
        <v>0.42549999999999999</v>
      </c>
      <c r="FL34" s="93">
        <v>1.0602</v>
      </c>
      <c r="FM34" s="93">
        <v>5.3837999999999999</v>
      </c>
      <c r="FN34" s="93">
        <v>2.0533000000000001</v>
      </c>
      <c r="FO34" s="93">
        <v>4.7178000000000004</v>
      </c>
    </row>
    <row r="35" spans="1:171" x14ac:dyDescent="0.2">
      <c r="A35" s="120" t="s">
        <v>347</v>
      </c>
      <c r="B35" s="121"/>
      <c r="C35" s="93">
        <v>4.7436999999999996</v>
      </c>
      <c r="D35" s="93">
        <v>5.1234999999999999</v>
      </c>
      <c r="E35" s="93">
        <v>2.4026999999999998</v>
      </c>
      <c r="F35" s="93">
        <v>12.6576</v>
      </c>
      <c r="G35" s="93">
        <v>8.3376000000000001</v>
      </c>
      <c r="H35" s="93">
        <v>3.4056000000000002</v>
      </c>
      <c r="I35" s="93">
        <v>7.9002999999999997</v>
      </c>
      <c r="J35" s="93">
        <v>3.3681999999999999</v>
      </c>
      <c r="K35" s="93">
        <v>27.574300000000001</v>
      </c>
      <c r="L35" s="93">
        <v>12.036300000000001</v>
      </c>
      <c r="M35" s="93">
        <v>8.4910999999999994</v>
      </c>
      <c r="N35" s="93">
        <v>4.6544999999999996</v>
      </c>
      <c r="O35" s="93">
        <v>7.5488999999999997</v>
      </c>
      <c r="P35" s="93">
        <v>8.7149000000000001</v>
      </c>
      <c r="Q35" s="93">
        <v>12.4016</v>
      </c>
      <c r="R35" s="93">
        <v>28.568200000000001</v>
      </c>
      <c r="S35" s="93">
        <v>25.303799999999999</v>
      </c>
      <c r="T35" s="93">
        <v>1.4565999999999999</v>
      </c>
      <c r="U35" s="93">
        <v>5.2058</v>
      </c>
      <c r="V35" s="93">
        <v>12.726900000000001</v>
      </c>
      <c r="W35" s="93">
        <v>6.8750999999999998</v>
      </c>
      <c r="X35" s="93">
        <v>1.5187999999999999</v>
      </c>
      <c r="Y35" s="93">
        <v>9.0825999999999993</v>
      </c>
      <c r="Z35" s="93">
        <v>30.210799999999999</v>
      </c>
      <c r="AA35" s="93">
        <v>8.0831</v>
      </c>
      <c r="AB35" s="93">
        <v>11.183299999999999</v>
      </c>
      <c r="AC35" s="93">
        <v>3.8094999999999999</v>
      </c>
      <c r="AD35" s="93">
        <v>6.8224999999999998</v>
      </c>
      <c r="AE35" s="93">
        <v>3.2115</v>
      </c>
      <c r="AF35" s="93">
        <v>5.6333000000000002</v>
      </c>
      <c r="AG35" s="93">
        <v>12.550800000000001</v>
      </c>
      <c r="AH35" s="93">
        <v>6.7548000000000004</v>
      </c>
      <c r="AI35" s="93">
        <v>8.4863999999999997</v>
      </c>
      <c r="AJ35" s="93">
        <v>10.3805</v>
      </c>
      <c r="AK35" s="93">
        <v>3.4653999999999998</v>
      </c>
      <c r="AL35" s="93">
        <v>7.2111000000000001</v>
      </c>
      <c r="AM35" s="93">
        <v>14.131399999999999</v>
      </c>
      <c r="AN35" s="93">
        <v>8.6079000000000008</v>
      </c>
      <c r="AO35" s="93">
        <v>5.1234999999999999</v>
      </c>
      <c r="AP35" s="93">
        <v>6.8494999999999999</v>
      </c>
      <c r="AQ35" s="93">
        <v>20.3599</v>
      </c>
      <c r="AR35" s="93">
        <v>2.3332999999999999</v>
      </c>
      <c r="AS35" s="93">
        <v>15.9604</v>
      </c>
      <c r="AT35" s="93">
        <v>9.9382000000000001</v>
      </c>
      <c r="AU35" s="93">
        <v>0</v>
      </c>
      <c r="AV35" s="93">
        <v>2.9272</v>
      </c>
      <c r="AW35" s="93">
        <v>4.0997000000000003</v>
      </c>
      <c r="AX35" s="93">
        <v>4.6189</v>
      </c>
      <c r="AY35" s="93">
        <v>6.5867000000000004</v>
      </c>
      <c r="AZ35" s="93">
        <v>2.0406</v>
      </c>
      <c r="BA35" s="93">
        <v>5.6692999999999998</v>
      </c>
      <c r="BB35" s="93">
        <v>2.4803999999999999</v>
      </c>
      <c r="BC35" s="93">
        <v>6.0368000000000004</v>
      </c>
      <c r="BD35" s="93">
        <v>2.6541999999999999</v>
      </c>
      <c r="BE35" s="93">
        <v>9.4848999999999997</v>
      </c>
      <c r="BF35" s="93">
        <v>21.0016</v>
      </c>
      <c r="BG35" s="93">
        <v>1.7609999999999999</v>
      </c>
      <c r="BH35" s="93">
        <v>35.1203</v>
      </c>
      <c r="BI35" s="93">
        <v>28.001999999999999</v>
      </c>
      <c r="BJ35" s="93">
        <v>52.933399999999999</v>
      </c>
      <c r="BK35" s="93">
        <v>8.9034999999999993</v>
      </c>
      <c r="BL35" s="93">
        <v>136.86840000000001</v>
      </c>
      <c r="BM35" s="93">
        <v>87.100899999999996</v>
      </c>
      <c r="BN35" s="93">
        <v>238.2089</v>
      </c>
      <c r="BO35" s="93">
        <v>647.79589999999996</v>
      </c>
      <c r="BP35" s="93">
        <v>308.02679999999998</v>
      </c>
      <c r="BQ35" s="93">
        <v>15.403600000000001</v>
      </c>
      <c r="BR35" s="93">
        <v>2.6981999999999999</v>
      </c>
      <c r="BS35" s="93">
        <v>643.36829999999998</v>
      </c>
      <c r="BT35" s="93">
        <v>51.8855</v>
      </c>
      <c r="BU35" s="93">
        <v>18.505700000000001</v>
      </c>
      <c r="BV35" s="93">
        <v>15.194000000000001</v>
      </c>
      <c r="BW35" s="93">
        <v>21.247</v>
      </c>
      <c r="BX35" s="93">
        <v>5.1386000000000003</v>
      </c>
      <c r="BY35" s="93">
        <v>17.051500000000001</v>
      </c>
      <c r="BZ35" s="93">
        <v>7.3208000000000002</v>
      </c>
      <c r="CA35" s="93">
        <v>19.164000000000001</v>
      </c>
      <c r="CB35" s="93">
        <v>3.6396999999999999</v>
      </c>
      <c r="CC35" s="93">
        <v>8.3054000000000006</v>
      </c>
      <c r="CD35" s="93">
        <v>7.1401000000000003</v>
      </c>
      <c r="CE35" s="93">
        <v>31.9194</v>
      </c>
      <c r="CF35" s="93">
        <v>4.1565000000000003</v>
      </c>
      <c r="CG35" s="93">
        <v>11.017799999999999</v>
      </c>
      <c r="CH35" s="93">
        <v>6.9977999999999998</v>
      </c>
      <c r="CI35" s="93">
        <v>8.0039999999999996</v>
      </c>
      <c r="CJ35" s="93">
        <v>2.4152</v>
      </c>
      <c r="CK35" s="93">
        <v>1.8882000000000001</v>
      </c>
      <c r="CL35" s="93">
        <v>4.4278000000000004</v>
      </c>
      <c r="CM35" s="93">
        <v>3.5905999999999998</v>
      </c>
      <c r="CN35" s="93">
        <v>2.3391000000000002</v>
      </c>
      <c r="CO35" s="93">
        <v>2.8458000000000001</v>
      </c>
      <c r="CP35" s="93">
        <v>12.732100000000001</v>
      </c>
      <c r="CQ35" s="93">
        <v>8.1431000000000004</v>
      </c>
      <c r="CR35" s="93">
        <v>6.1271000000000004</v>
      </c>
      <c r="CS35" s="93">
        <v>3.9588999999999999</v>
      </c>
      <c r="CT35" s="93">
        <v>12.5566</v>
      </c>
      <c r="CU35" s="93">
        <v>2.669</v>
      </c>
      <c r="CV35" s="93">
        <v>4.8540999999999999</v>
      </c>
      <c r="CW35" s="93">
        <v>11.567</v>
      </c>
      <c r="CX35" s="93">
        <v>6.0243000000000002</v>
      </c>
      <c r="CY35" s="93">
        <v>3.0697000000000001</v>
      </c>
      <c r="CZ35" s="93">
        <v>2.9165999999999999</v>
      </c>
      <c r="DA35" s="93">
        <v>4.2009999999999996</v>
      </c>
      <c r="DB35" s="93">
        <v>6.4428999999999998</v>
      </c>
      <c r="DC35" s="93">
        <v>2.74</v>
      </c>
      <c r="DD35" s="93">
        <v>4.7206999999999999</v>
      </c>
      <c r="DE35" s="93">
        <v>7.8430999999999997</v>
      </c>
      <c r="DF35" s="93">
        <v>6.5012999999999996</v>
      </c>
      <c r="DG35" s="93">
        <v>6.2260999999999997</v>
      </c>
      <c r="DH35" s="93">
        <v>0.41</v>
      </c>
      <c r="DI35" s="93">
        <v>7.4523000000000001</v>
      </c>
      <c r="DJ35" s="93">
        <v>11.6976</v>
      </c>
      <c r="DK35" s="93">
        <v>11.721399999999999</v>
      </c>
      <c r="DL35" s="93">
        <v>0.3281</v>
      </c>
      <c r="DM35" s="93">
        <v>20.954499999999999</v>
      </c>
      <c r="DN35" s="93">
        <v>6.9146000000000001</v>
      </c>
      <c r="DO35" s="93">
        <v>8.2873999999999999</v>
      </c>
      <c r="DP35" s="93">
        <v>8.3770000000000007</v>
      </c>
      <c r="DQ35" s="93">
        <v>8.3873999999999995</v>
      </c>
      <c r="DR35" s="93">
        <v>8.9985999999999997</v>
      </c>
      <c r="DS35" s="93">
        <v>4.2457000000000003</v>
      </c>
      <c r="DT35" s="93">
        <v>6.4192999999999998</v>
      </c>
      <c r="DU35" s="93">
        <v>13.5245</v>
      </c>
      <c r="DV35" s="93">
        <v>4.0385</v>
      </c>
      <c r="DW35" s="93">
        <v>7.6014999999999997</v>
      </c>
      <c r="DX35" s="93">
        <v>2.9973999999999998</v>
      </c>
      <c r="DY35" s="93">
        <v>12.117699999999999</v>
      </c>
      <c r="DZ35" s="93">
        <v>14.6358</v>
      </c>
      <c r="EA35" s="93">
        <v>8.3132999999999999</v>
      </c>
      <c r="EB35" s="93">
        <v>11.659700000000001</v>
      </c>
      <c r="EC35" s="93">
        <v>6.9236000000000004</v>
      </c>
      <c r="ED35" s="93">
        <v>6.8040000000000003</v>
      </c>
      <c r="EE35" s="93">
        <v>0</v>
      </c>
      <c r="EF35" s="93">
        <v>7.5186000000000002</v>
      </c>
      <c r="EG35" s="93">
        <v>7.6191000000000004</v>
      </c>
      <c r="EH35" s="93">
        <v>3.8445</v>
      </c>
      <c r="EI35" s="93">
        <v>1.8183</v>
      </c>
      <c r="EJ35" s="93">
        <v>15.073399999999999</v>
      </c>
      <c r="EK35" s="93">
        <v>3.4277000000000002</v>
      </c>
      <c r="EL35" s="93">
        <v>4.2178000000000004</v>
      </c>
      <c r="EM35" s="93">
        <v>12.3178</v>
      </c>
      <c r="EN35" s="93">
        <v>13.366899999999999</v>
      </c>
      <c r="EO35" s="93">
        <v>4.6161000000000003</v>
      </c>
      <c r="EP35" s="93">
        <v>8.5086999999999993</v>
      </c>
      <c r="EQ35" s="93">
        <v>4.3564999999999996</v>
      </c>
      <c r="ER35" s="93">
        <v>5.1052999999999997</v>
      </c>
      <c r="ES35" s="93">
        <v>4.3277000000000001</v>
      </c>
      <c r="ET35" s="93">
        <v>3.4034</v>
      </c>
      <c r="EU35" s="93">
        <v>6.1189</v>
      </c>
      <c r="EV35" s="93">
        <v>4.5178000000000003</v>
      </c>
      <c r="EW35" s="93">
        <v>4.5294999999999996</v>
      </c>
      <c r="EX35" s="93">
        <v>6.3742000000000001</v>
      </c>
      <c r="EY35" s="93">
        <v>62.3035</v>
      </c>
      <c r="EZ35" s="93">
        <v>10.593500000000001</v>
      </c>
      <c r="FA35" s="93">
        <v>4.8734999999999999</v>
      </c>
      <c r="FB35" s="93">
        <v>3.0354999999999999</v>
      </c>
      <c r="FC35" s="93">
        <v>4.7521000000000004</v>
      </c>
      <c r="FD35" s="93">
        <v>3.7820999999999998</v>
      </c>
      <c r="FE35" s="93">
        <v>5.9359999999999999</v>
      </c>
      <c r="FF35" s="93">
        <v>4.3650000000000002</v>
      </c>
      <c r="FG35" s="93">
        <v>4.5193000000000003</v>
      </c>
      <c r="FH35" s="93">
        <v>10.5604</v>
      </c>
      <c r="FI35" s="93">
        <v>5.4476000000000004</v>
      </c>
      <c r="FJ35" s="93">
        <v>6.9874999999999998</v>
      </c>
      <c r="FK35" s="93">
        <v>3.7242000000000002</v>
      </c>
      <c r="FL35" s="93">
        <v>16.5382</v>
      </c>
      <c r="FM35" s="93">
        <v>29.5688</v>
      </c>
      <c r="FN35" s="93">
        <v>12.8499</v>
      </c>
      <c r="FO35" s="93">
        <v>4.9550000000000001</v>
      </c>
    </row>
    <row r="36" spans="1:171" x14ac:dyDescent="0.2">
      <c r="A36" s="120" t="s">
        <v>31</v>
      </c>
      <c r="B36" s="121"/>
      <c r="C36" s="93">
        <v>0</v>
      </c>
      <c r="D36" s="93">
        <v>0.68630000000000002</v>
      </c>
      <c r="E36" s="93">
        <v>0</v>
      </c>
      <c r="F36" s="93">
        <v>1.573</v>
      </c>
      <c r="G36" s="93">
        <v>1.4135</v>
      </c>
      <c r="H36" s="93">
        <v>0.85960000000000003</v>
      </c>
      <c r="I36" s="93">
        <v>8.1684999999999999</v>
      </c>
      <c r="J36" s="93">
        <v>1.8027</v>
      </c>
      <c r="K36" s="93">
        <v>0</v>
      </c>
      <c r="L36" s="93">
        <v>0</v>
      </c>
      <c r="M36" s="93">
        <v>1.0747</v>
      </c>
      <c r="N36" s="93">
        <v>0.11749999999999999</v>
      </c>
      <c r="O36" s="93">
        <v>1.111</v>
      </c>
      <c r="P36" s="93">
        <v>1.5665</v>
      </c>
      <c r="Q36" s="93">
        <v>0.49980000000000002</v>
      </c>
      <c r="R36" s="93">
        <v>6.7084999999999999</v>
      </c>
      <c r="S36" s="93">
        <v>0.47549999999999998</v>
      </c>
      <c r="T36" s="93">
        <v>0</v>
      </c>
      <c r="U36" s="93">
        <v>0.27689999999999998</v>
      </c>
      <c r="V36" s="93">
        <v>-0.15870000000000001</v>
      </c>
      <c r="W36" s="93">
        <v>5.1029</v>
      </c>
      <c r="X36" s="93">
        <v>-6.7000000000000004E-2</v>
      </c>
      <c r="Y36" s="93">
        <v>1.9309000000000001</v>
      </c>
      <c r="Z36" s="93">
        <v>13.6401</v>
      </c>
      <c r="AA36" s="93">
        <v>0.83450000000000002</v>
      </c>
      <c r="AB36" s="93">
        <v>1.4289000000000001</v>
      </c>
      <c r="AC36" s="93">
        <v>1.3341000000000001</v>
      </c>
      <c r="AD36" s="93">
        <v>0.81730000000000003</v>
      </c>
      <c r="AE36" s="93">
        <v>0</v>
      </c>
      <c r="AF36" s="93">
        <v>0</v>
      </c>
      <c r="AG36" s="93">
        <v>1.4319</v>
      </c>
      <c r="AH36" s="93">
        <v>0</v>
      </c>
      <c r="AI36" s="93">
        <v>2.1095999999999999</v>
      </c>
      <c r="AJ36" s="93">
        <v>3.5400999999999998</v>
      </c>
      <c r="AK36" s="93">
        <v>0</v>
      </c>
      <c r="AL36" s="93">
        <v>5.8674999999999997</v>
      </c>
      <c r="AM36" s="93">
        <v>1.0336000000000001</v>
      </c>
      <c r="AN36" s="93">
        <v>0.12590000000000001</v>
      </c>
      <c r="AO36" s="93">
        <v>-6.5000000000000002E-2</v>
      </c>
      <c r="AP36" s="93">
        <v>0</v>
      </c>
      <c r="AQ36" s="93">
        <v>0.58499999999999996</v>
      </c>
      <c r="AR36" s="93">
        <v>-0.1454</v>
      </c>
      <c r="AS36" s="93">
        <v>11.4003</v>
      </c>
      <c r="AT36" s="93">
        <v>1.2726999999999999</v>
      </c>
      <c r="AU36" s="93">
        <v>0</v>
      </c>
      <c r="AV36" s="93">
        <v>0</v>
      </c>
      <c r="AW36" s="93">
        <v>0</v>
      </c>
      <c r="AX36" s="93">
        <v>0.84150000000000003</v>
      </c>
      <c r="AY36" s="93">
        <v>1.6609</v>
      </c>
      <c r="AZ36" s="93">
        <v>0</v>
      </c>
      <c r="BA36" s="93">
        <v>0</v>
      </c>
      <c r="BB36" s="93">
        <v>0</v>
      </c>
      <c r="BC36" s="93">
        <v>0</v>
      </c>
      <c r="BD36" s="93">
        <v>0</v>
      </c>
      <c r="BE36" s="93">
        <v>0</v>
      </c>
      <c r="BF36" s="93">
        <v>1.952</v>
      </c>
      <c r="BG36" s="93">
        <v>0</v>
      </c>
      <c r="BH36" s="93">
        <v>4.2464000000000004</v>
      </c>
      <c r="BI36" s="93">
        <v>4.1501000000000001</v>
      </c>
      <c r="BJ36" s="93">
        <v>10.686</v>
      </c>
      <c r="BK36" s="93">
        <v>1.4342999999999999</v>
      </c>
      <c r="BL36" s="93">
        <v>69.966200000000001</v>
      </c>
      <c r="BM36" s="93">
        <v>46.114699999999999</v>
      </c>
      <c r="BN36" s="93">
        <v>75.002700000000004</v>
      </c>
      <c r="BO36" s="93">
        <v>154.9948</v>
      </c>
      <c r="BP36" s="93">
        <v>62.817900000000002</v>
      </c>
      <c r="BQ36" s="93">
        <v>8.0549999999999997</v>
      </c>
      <c r="BR36" s="93">
        <v>0</v>
      </c>
      <c r="BS36" s="93">
        <v>65.446899999999999</v>
      </c>
      <c r="BT36" s="93">
        <v>17.8626</v>
      </c>
      <c r="BU36" s="93">
        <v>3.6088</v>
      </c>
      <c r="BV36" s="93">
        <v>7.7826000000000004</v>
      </c>
      <c r="BW36" s="93">
        <v>3.7705000000000002</v>
      </c>
      <c r="BX36" s="93">
        <v>0</v>
      </c>
      <c r="BY36" s="93">
        <v>5.7127999999999997</v>
      </c>
      <c r="BZ36" s="93">
        <v>4.7337999999999996</v>
      </c>
      <c r="CA36" s="93">
        <v>4.1109999999999998</v>
      </c>
      <c r="CB36" s="93">
        <v>2.3734999999999999</v>
      </c>
      <c r="CC36" s="93">
        <v>0.66510000000000002</v>
      </c>
      <c r="CD36" s="93">
        <v>0.81610000000000005</v>
      </c>
      <c r="CE36" s="93">
        <v>16.964600000000001</v>
      </c>
      <c r="CF36" s="93">
        <v>0.85540000000000005</v>
      </c>
      <c r="CG36" s="93">
        <v>2.24E-2</v>
      </c>
      <c r="CH36" s="93">
        <v>0</v>
      </c>
      <c r="CI36" s="93">
        <v>2.1194000000000002</v>
      </c>
      <c r="CJ36" s="93">
        <v>0</v>
      </c>
      <c r="CK36" s="93">
        <v>0.16639999999999999</v>
      </c>
      <c r="CL36" s="93">
        <v>2.9420999999999999</v>
      </c>
      <c r="CM36" s="93">
        <v>0.2132</v>
      </c>
      <c r="CN36" s="93">
        <v>0</v>
      </c>
      <c r="CO36" s="93">
        <v>1.1698999999999999</v>
      </c>
      <c r="CP36" s="93">
        <v>1.0267999999999999</v>
      </c>
      <c r="CQ36" s="93">
        <v>0.7621</v>
      </c>
      <c r="CR36" s="93">
        <v>18.990600000000001</v>
      </c>
      <c r="CS36" s="93">
        <v>-8.7300000000000003E-2</v>
      </c>
      <c r="CT36" s="93">
        <v>0</v>
      </c>
      <c r="CU36" s="93">
        <v>0.47020000000000001</v>
      </c>
      <c r="CV36" s="93">
        <v>0</v>
      </c>
      <c r="CW36" s="93">
        <v>0.1381</v>
      </c>
      <c r="CX36" s="93">
        <v>0</v>
      </c>
      <c r="CY36" s="93">
        <v>0.43059999999999998</v>
      </c>
      <c r="CZ36" s="93">
        <v>-0.1812</v>
      </c>
      <c r="DA36" s="93">
        <v>0</v>
      </c>
      <c r="DB36" s="93">
        <v>0.3483</v>
      </c>
      <c r="DC36" s="93">
        <v>0.92959999999999998</v>
      </c>
      <c r="DD36" s="93">
        <v>0</v>
      </c>
      <c r="DE36" s="93">
        <v>0.26850000000000002</v>
      </c>
      <c r="DF36" s="93">
        <v>0</v>
      </c>
      <c r="DG36" s="93">
        <v>2.9685000000000001</v>
      </c>
      <c r="DH36" s="93">
        <v>0.1116</v>
      </c>
      <c r="DI36" s="93">
        <v>0.12740000000000001</v>
      </c>
      <c r="DJ36" s="93">
        <v>2.5388000000000002</v>
      </c>
      <c r="DK36" s="93">
        <v>2.7277999999999998</v>
      </c>
      <c r="DL36" s="93">
        <v>0</v>
      </c>
      <c r="DM36" s="93">
        <v>4.19E-2</v>
      </c>
      <c r="DN36" s="93">
        <v>0.91549999999999998</v>
      </c>
      <c r="DO36" s="93">
        <v>0.82310000000000005</v>
      </c>
      <c r="DP36" s="93">
        <v>0</v>
      </c>
      <c r="DQ36" s="93">
        <v>-0.112</v>
      </c>
      <c r="DR36" s="93">
        <v>0</v>
      </c>
      <c r="DS36" s="93">
        <v>-2.2800000000000001E-2</v>
      </c>
      <c r="DT36" s="93">
        <v>-0.1411</v>
      </c>
      <c r="DU36" s="93">
        <v>1.3608</v>
      </c>
      <c r="DV36" s="93">
        <v>0</v>
      </c>
      <c r="DW36" s="93">
        <v>0</v>
      </c>
      <c r="DX36" s="93">
        <v>0.83499999999999996</v>
      </c>
      <c r="DY36" s="93">
        <v>1.1127</v>
      </c>
      <c r="DZ36" s="93">
        <v>2.4299999999999999E-2</v>
      </c>
      <c r="EA36" s="93">
        <v>0.42199999999999999</v>
      </c>
      <c r="EB36" s="93">
        <v>-0.14349999999999999</v>
      </c>
      <c r="EC36" s="93">
        <v>0</v>
      </c>
      <c r="ED36" s="93">
        <v>0</v>
      </c>
      <c r="EE36" s="93">
        <v>0</v>
      </c>
      <c r="EF36" s="93">
        <v>0</v>
      </c>
      <c r="EG36" s="93">
        <v>0.45479999999999998</v>
      </c>
      <c r="EH36" s="93">
        <v>2.2448999999999999</v>
      </c>
      <c r="EI36" s="93">
        <v>0</v>
      </c>
      <c r="EJ36" s="93">
        <v>-0.10299999999999999</v>
      </c>
      <c r="EK36" s="93">
        <v>0.92610000000000003</v>
      </c>
      <c r="EL36" s="93">
        <v>0.28589999999999999</v>
      </c>
      <c r="EM36" s="93">
        <v>0</v>
      </c>
      <c r="EN36" s="93">
        <v>2.6335999999999999</v>
      </c>
      <c r="EO36" s="93">
        <v>2.423</v>
      </c>
      <c r="EP36" s="93">
        <v>0.8921</v>
      </c>
      <c r="EQ36" s="93">
        <v>-8.5699999999999998E-2</v>
      </c>
      <c r="ER36" s="93">
        <v>0.52339999999999998</v>
      </c>
      <c r="ES36" s="93">
        <v>6.1400000000000003E-2</v>
      </c>
      <c r="ET36" s="93">
        <v>0.83379999999999999</v>
      </c>
      <c r="EU36" s="93">
        <v>0.92900000000000005</v>
      </c>
      <c r="EV36" s="93">
        <v>0</v>
      </c>
      <c r="EW36" s="93">
        <v>0</v>
      </c>
      <c r="EX36" s="93">
        <v>3.3567</v>
      </c>
      <c r="EY36" s="93">
        <v>0</v>
      </c>
      <c r="EZ36" s="93">
        <v>0.36259999999999998</v>
      </c>
      <c r="FA36" s="93">
        <v>0</v>
      </c>
      <c r="FB36" s="93">
        <v>0</v>
      </c>
      <c r="FC36" s="93">
        <v>0</v>
      </c>
      <c r="FD36" s="93">
        <v>-0.12859999999999999</v>
      </c>
      <c r="FE36" s="93">
        <v>0.10589999999999999</v>
      </c>
      <c r="FF36" s="93">
        <v>0.6482</v>
      </c>
      <c r="FG36" s="93">
        <v>0</v>
      </c>
      <c r="FH36" s="93">
        <v>1.1534</v>
      </c>
      <c r="FI36" s="93">
        <v>1.6536999999999999</v>
      </c>
      <c r="FJ36" s="93">
        <v>-5.0900000000000001E-2</v>
      </c>
      <c r="FK36" s="93">
        <v>0.43619999999999998</v>
      </c>
      <c r="FL36" s="93">
        <v>-8.3799999999999999E-2</v>
      </c>
      <c r="FM36" s="93">
        <v>3.15E-2</v>
      </c>
      <c r="FN36" s="93">
        <v>0</v>
      </c>
      <c r="FO36" s="93">
        <v>0</v>
      </c>
    </row>
    <row r="37" spans="1:171" x14ac:dyDescent="0.2">
      <c r="A37" s="120" t="s">
        <v>32</v>
      </c>
      <c r="B37" s="121"/>
      <c r="C37" s="93">
        <v>0</v>
      </c>
      <c r="D37" s="93">
        <v>0</v>
      </c>
      <c r="E37" s="93">
        <v>0</v>
      </c>
      <c r="F37" s="93">
        <v>0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  <c r="Z37" s="93">
        <v>0</v>
      </c>
      <c r="AA37" s="93">
        <v>0</v>
      </c>
      <c r="AB37" s="93">
        <v>0</v>
      </c>
      <c r="AC37" s="93">
        <v>0</v>
      </c>
      <c r="AD37" s="93">
        <v>0</v>
      </c>
      <c r="AE37" s="93">
        <v>0</v>
      </c>
      <c r="AF37" s="93">
        <v>0</v>
      </c>
      <c r="AG37" s="93">
        <v>0</v>
      </c>
      <c r="AH37" s="93">
        <v>0</v>
      </c>
      <c r="AI37" s="93">
        <v>0</v>
      </c>
      <c r="AJ37" s="93">
        <v>0</v>
      </c>
      <c r="AK37" s="93">
        <v>0</v>
      </c>
      <c r="AL37" s="93">
        <v>0</v>
      </c>
      <c r="AM37" s="93">
        <v>0</v>
      </c>
      <c r="AN37" s="93">
        <v>0</v>
      </c>
      <c r="AO37" s="93">
        <v>0</v>
      </c>
      <c r="AP37" s="93">
        <v>0</v>
      </c>
      <c r="AQ37" s="93">
        <v>0</v>
      </c>
      <c r="AR37" s="93">
        <v>0</v>
      </c>
      <c r="AS37" s="93">
        <v>0</v>
      </c>
      <c r="AT37" s="93">
        <v>0</v>
      </c>
      <c r="AU37" s="93">
        <v>0</v>
      </c>
      <c r="AV37" s="93">
        <v>0</v>
      </c>
      <c r="AW37" s="93">
        <v>0</v>
      </c>
      <c r="AX37" s="93">
        <v>0</v>
      </c>
      <c r="AY37" s="93">
        <v>0</v>
      </c>
      <c r="AZ37" s="93">
        <v>0</v>
      </c>
      <c r="BA37" s="93">
        <v>0</v>
      </c>
      <c r="BB37" s="93">
        <v>0</v>
      </c>
      <c r="BC37" s="93">
        <v>0</v>
      </c>
      <c r="BD37" s="93">
        <v>0</v>
      </c>
      <c r="BE37" s="93">
        <v>0</v>
      </c>
      <c r="BF37" s="93">
        <v>0</v>
      </c>
      <c r="BG37" s="93">
        <v>0</v>
      </c>
      <c r="BH37" s="93">
        <v>0</v>
      </c>
      <c r="BI37" s="93">
        <v>0</v>
      </c>
      <c r="BJ37" s="93">
        <v>0</v>
      </c>
      <c r="BK37" s="93">
        <v>0</v>
      </c>
      <c r="BL37" s="93">
        <v>0</v>
      </c>
      <c r="BM37" s="93">
        <v>0</v>
      </c>
      <c r="BN37" s="93">
        <v>0</v>
      </c>
      <c r="BO37" s="93">
        <v>0</v>
      </c>
      <c r="BP37" s="93">
        <v>0</v>
      </c>
      <c r="BQ37" s="93">
        <v>0</v>
      </c>
      <c r="BR37" s="93">
        <v>0</v>
      </c>
      <c r="BS37" s="93">
        <v>0</v>
      </c>
      <c r="BT37" s="93">
        <v>0</v>
      </c>
      <c r="BU37" s="93">
        <v>0</v>
      </c>
      <c r="BV37" s="93">
        <v>0</v>
      </c>
      <c r="BW37" s="93">
        <v>0</v>
      </c>
      <c r="BX37" s="93">
        <v>0</v>
      </c>
      <c r="BY37" s="93">
        <v>0</v>
      </c>
      <c r="BZ37" s="93">
        <v>0</v>
      </c>
      <c r="CA37" s="93">
        <v>0</v>
      </c>
      <c r="CB37" s="93">
        <v>0</v>
      </c>
      <c r="CC37" s="93">
        <v>0</v>
      </c>
      <c r="CD37" s="93">
        <v>0</v>
      </c>
      <c r="CE37" s="93">
        <v>0</v>
      </c>
      <c r="CF37" s="93">
        <v>0</v>
      </c>
      <c r="CG37" s="93">
        <v>0</v>
      </c>
      <c r="CH37" s="93">
        <v>0</v>
      </c>
      <c r="CI37" s="93">
        <v>0</v>
      </c>
      <c r="CJ37" s="93">
        <v>0</v>
      </c>
      <c r="CK37" s="93">
        <v>0</v>
      </c>
      <c r="CL37" s="93">
        <v>0</v>
      </c>
      <c r="CM37" s="93">
        <v>0</v>
      </c>
      <c r="CN37" s="93">
        <v>0</v>
      </c>
      <c r="CO37" s="93">
        <v>0</v>
      </c>
      <c r="CP37" s="93">
        <v>0</v>
      </c>
      <c r="CQ37" s="93">
        <v>0</v>
      </c>
      <c r="CR37" s="93">
        <v>0</v>
      </c>
      <c r="CS37" s="93">
        <v>0</v>
      </c>
      <c r="CT37" s="93">
        <v>0</v>
      </c>
      <c r="CU37" s="93">
        <v>0</v>
      </c>
      <c r="CV37" s="93">
        <v>0</v>
      </c>
      <c r="CW37" s="93">
        <v>0</v>
      </c>
      <c r="CX37" s="93">
        <v>0</v>
      </c>
      <c r="CY37" s="93">
        <v>0</v>
      </c>
      <c r="CZ37" s="93">
        <v>0</v>
      </c>
      <c r="DA37" s="93">
        <v>0</v>
      </c>
      <c r="DB37" s="93">
        <v>0</v>
      </c>
      <c r="DC37" s="93">
        <v>0</v>
      </c>
      <c r="DD37" s="93">
        <v>0</v>
      </c>
      <c r="DE37" s="93">
        <v>0</v>
      </c>
      <c r="DF37" s="93">
        <v>0</v>
      </c>
      <c r="DG37" s="93">
        <v>0</v>
      </c>
      <c r="DH37" s="93">
        <v>0</v>
      </c>
      <c r="DI37" s="93">
        <v>0</v>
      </c>
      <c r="DJ37" s="93">
        <v>0</v>
      </c>
      <c r="DK37" s="93">
        <v>0</v>
      </c>
      <c r="DL37" s="93">
        <v>0</v>
      </c>
      <c r="DM37" s="93">
        <v>0</v>
      </c>
      <c r="DN37" s="93">
        <v>0</v>
      </c>
      <c r="DO37" s="93">
        <v>0</v>
      </c>
      <c r="DP37" s="93">
        <v>0</v>
      </c>
      <c r="DQ37" s="93">
        <v>0</v>
      </c>
      <c r="DR37" s="93">
        <v>0</v>
      </c>
      <c r="DS37" s="93">
        <v>0</v>
      </c>
      <c r="DT37" s="93">
        <v>0</v>
      </c>
      <c r="DU37" s="93">
        <v>0</v>
      </c>
      <c r="DV37" s="93">
        <v>0</v>
      </c>
      <c r="DW37" s="93">
        <v>0</v>
      </c>
      <c r="DX37" s="93">
        <v>0</v>
      </c>
      <c r="DY37" s="93">
        <v>0</v>
      </c>
      <c r="DZ37" s="93">
        <v>0</v>
      </c>
      <c r="EA37" s="93">
        <v>0</v>
      </c>
      <c r="EB37" s="93">
        <v>0</v>
      </c>
      <c r="EC37" s="93">
        <v>0</v>
      </c>
      <c r="ED37" s="93">
        <v>0</v>
      </c>
      <c r="EE37" s="93">
        <v>0</v>
      </c>
      <c r="EF37" s="93">
        <v>0</v>
      </c>
      <c r="EG37" s="93">
        <v>0</v>
      </c>
      <c r="EH37" s="93">
        <v>0</v>
      </c>
      <c r="EI37" s="93">
        <v>0</v>
      </c>
      <c r="EJ37" s="93">
        <v>0</v>
      </c>
      <c r="EK37" s="93">
        <v>0</v>
      </c>
      <c r="EL37" s="93">
        <v>0</v>
      </c>
      <c r="EM37" s="93">
        <v>0</v>
      </c>
      <c r="EN37" s="93">
        <v>0</v>
      </c>
      <c r="EO37" s="93">
        <v>0</v>
      </c>
      <c r="EP37" s="93">
        <v>0</v>
      </c>
      <c r="EQ37" s="93">
        <v>0</v>
      </c>
      <c r="ER37" s="93">
        <v>0</v>
      </c>
      <c r="ES37" s="93">
        <v>0</v>
      </c>
      <c r="ET37" s="93">
        <v>0</v>
      </c>
      <c r="EU37" s="93">
        <v>0</v>
      </c>
      <c r="EV37" s="93">
        <v>0</v>
      </c>
      <c r="EW37" s="93">
        <v>0</v>
      </c>
      <c r="EX37" s="93">
        <v>0</v>
      </c>
      <c r="EY37" s="93">
        <v>0</v>
      </c>
      <c r="EZ37" s="93">
        <v>0</v>
      </c>
      <c r="FA37" s="93">
        <v>0</v>
      </c>
      <c r="FB37" s="93">
        <v>0</v>
      </c>
      <c r="FC37" s="93">
        <v>0</v>
      </c>
      <c r="FD37" s="93">
        <v>0</v>
      </c>
      <c r="FE37" s="93">
        <v>0</v>
      </c>
      <c r="FF37" s="93">
        <v>0</v>
      </c>
      <c r="FG37" s="93">
        <v>0</v>
      </c>
      <c r="FH37" s="93">
        <v>0</v>
      </c>
      <c r="FI37" s="93">
        <v>0</v>
      </c>
      <c r="FJ37" s="93">
        <v>0</v>
      </c>
      <c r="FK37" s="93">
        <v>0</v>
      </c>
      <c r="FL37" s="93">
        <v>0</v>
      </c>
      <c r="FM37" s="93">
        <v>0</v>
      </c>
      <c r="FN37" s="93">
        <v>0</v>
      </c>
      <c r="FO37" s="93">
        <v>0</v>
      </c>
    </row>
    <row r="38" spans="1:171" x14ac:dyDescent="0.2">
      <c r="A38" s="120" t="s">
        <v>33</v>
      </c>
      <c r="B38" s="121"/>
      <c r="C38" s="93">
        <v>0</v>
      </c>
      <c r="D38" s="93">
        <v>0</v>
      </c>
      <c r="E38" s="93">
        <v>0</v>
      </c>
      <c r="F38" s="93">
        <v>0</v>
      </c>
      <c r="G38" s="93">
        <v>0</v>
      </c>
      <c r="H38" s="93">
        <v>0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0</v>
      </c>
      <c r="Z38" s="93">
        <v>0</v>
      </c>
      <c r="AA38" s="93">
        <v>0</v>
      </c>
      <c r="AB38" s="93">
        <v>0</v>
      </c>
      <c r="AC38" s="93">
        <v>0</v>
      </c>
      <c r="AD38" s="93">
        <v>0</v>
      </c>
      <c r="AE38" s="93">
        <v>0</v>
      </c>
      <c r="AF38" s="93">
        <v>0</v>
      </c>
      <c r="AG38" s="93">
        <v>0</v>
      </c>
      <c r="AH38" s="93">
        <v>0</v>
      </c>
      <c r="AI38" s="93">
        <v>0</v>
      </c>
      <c r="AJ38" s="93">
        <v>0</v>
      </c>
      <c r="AK38" s="93">
        <v>0</v>
      </c>
      <c r="AL38" s="93">
        <v>0</v>
      </c>
      <c r="AM38" s="93">
        <v>0</v>
      </c>
      <c r="AN38" s="93">
        <v>0</v>
      </c>
      <c r="AO38" s="93">
        <v>0</v>
      </c>
      <c r="AP38" s="93">
        <v>0</v>
      </c>
      <c r="AQ38" s="93">
        <v>0</v>
      </c>
      <c r="AR38" s="93">
        <v>0</v>
      </c>
      <c r="AS38" s="93">
        <v>0</v>
      </c>
      <c r="AT38" s="93">
        <v>0</v>
      </c>
      <c r="AU38" s="93">
        <v>0</v>
      </c>
      <c r="AV38" s="93">
        <v>0</v>
      </c>
      <c r="AW38" s="93">
        <v>0</v>
      </c>
      <c r="AX38" s="93">
        <v>0</v>
      </c>
      <c r="AY38" s="93">
        <v>0</v>
      </c>
      <c r="AZ38" s="93">
        <v>0</v>
      </c>
      <c r="BA38" s="93">
        <v>0</v>
      </c>
      <c r="BB38" s="93">
        <v>0</v>
      </c>
      <c r="BC38" s="93">
        <v>0</v>
      </c>
      <c r="BD38" s="93">
        <v>0</v>
      </c>
      <c r="BE38" s="93">
        <v>0</v>
      </c>
      <c r="BF38" s="93">
        <v>0</v>
      </c>
      <c r="BG38" s="93">
        <v>0</v>
      </c>
      <c r="BH38" s="93">
        <v>0</v>
      </c>
      <c r="BI38" s="93">
        <v>0</v>
      </c>
      <c r="BJ38" s="93">
        <v>0</v>
      </c>
      <c r="BK38" s="93">
        <v>0</v>
      </c>
      <c r="BL38" s="93">
        <v>0</v>
      </c>
      <c r="BM38" s="93">
        <v>0</v>
      </c>
      <c r="BN38" s="93">
        <v>0</v>
      </c>
      <c r="BO38" s="93">
        <v>0</v>
      </c>
      <c r="BP38" s="93">
        <v>0</v>
      </c>
      <c r="BQ38" s="93">
        <v>0</v>
      </c>
      <c r="BR38" s="93">
        <v>0</v>
      </c>
      <c r="BS38" s="93">
        <v>0</v>
      </c>
      <c r="BT38" s="93">
        <v>0</v>
      </c>
      <c r="BU38" s="93">
        <v>0</v>
      </c>
      <c r="BV38" s="93">
        <v>0</v>
      </c>
      <c r="BW38" s="93">
        <v>0</v>
      </c>
      <c r="BX38" s="93">
        <v>0</v>
      </c>
      <c r="BY38" s="93">
        <v>0</v>
      </c>
      <c r="BZ38" s="93">
        <v>0</v>
      </c>
      <c r="CA38" s="93">
        <v>0</v>
      </c>
      <c r="CB38" s="93">
        <v>0</v>
      </c>
      <c r="CC38" s="93">
        <v>0</v>
      </c>
      <c r="CD38" s="93">
        <v>0</v>
      </c>
      <c r="CE38" s="93">
        <v>0</v>
      </c>
      <c r="CF38" s="93">
        <v>0</v>
      </c>
      <c r="CG38" s="93">
        <v>0</v>
      </c>
      <c r="CH38" s="93">
        <v>0</v>
      </c>
      <c r="CI38" s="93">
        <v>0</v>
      </c>
      <c r="CJ38" s="93">
        <v>0</v>
      </c>
      <c r="CK38" s="93">
        <v>0</v>
      </c>
      <c r="CL38" s="93">
        <v>0</v>
      </c>
      <c r="CM38" s="93">
        <v>0</v>
      </c>
      <c r="CN38" s="93">
        <v>0</v>
      </c>
      <c r="CO38" s="93">
        <v>0</v>
      </c>
      <c r="CP38" s="93">
        <v>0</v>
      </c>
      <c r="CQ38" s="93">
        <v>0</v>
      </c>
      <c r="CR38" s="93">
        <v>0</v>
      </c>
      <c r="CS38" s="93">
        <v>0</v>
      </c>
      <c r="CT38" s="93">
        <v>0</v>
      </c>
      <c r="CU38" s="93">
        <v>0</v>
      </c>
      <c r="CV38" s="93">
        <v>0</v>
      </c>
      <c r="CW38" s="93">
        <v>0</v>
      </c>
      <c r="CX38" s="93">
        <v>0</v>
      </c>
      <c r="CY38" s="93">
        <v>0</v>
      </c>
      <c r="CZ38" s="93">
        <v>0</v>
      </c>
      <c r="DA38" s="93">
        <v>0</v>
      </c>
      <c r="DB38" s="93">
        <v>0</v>
      </c>
      <c r="DC38" s="93">
        <v>0</v>
      </c>
      <c r="DD38" s="93">
        <v>0</v>
      </c>
      <c r="DE38" s="93">
        <v>0</v>
      </c>
      <c r="DF38" s="93">
        <v>0</v>
      </c>
      <c r="DG38" s="93">
        <v>0</v>
      </c>
      <c r="DH38" s="93">
        <v>0</v>
      </c>
      <c r="DI38" s="93">
        <v>0</v>
      </c>
      <c r="DJ38" s="93">
        <v>0</v>
      </c>
      <c r="DK38" s="93">
        <v>0</v>
      </c>
      <c r="DL38" s="93">
        <v>0</v>
      </c>
      <c r="DM38" s="93">
        <v>0</v>
      </c>
      <c r="DN38" s="93">
        <v>0</v>
      </c>
      <c r="DO38" s="93">
        <v>0</v>
      </c>
      <c r="DP38" s="93">
        <v>0</v>
      </c>
      <c r="DQ38" s="93">
        <v>0</v>
      </c>
      <c r="DR38" s="93">
        <v>0</v>
      </c>
      <c r="DS38" s="93">
        <v>0</v>
      </c>
      <c r="DT38" s="93">
        <v>0</v>
      </c>
      <c r="DU38" s="93">
        <v>0</v>
      </c>
      <c r="DV38" s="93">
        <v>0</v>
      </c>
      <c r="DW38" s="93">
        <v>0</v>
      </c>
      <c r="DX38" s="93">
        <v>0</v>
      </c>
      <c r="DY38" s="93">
        <v>0</v>
      </c>
      <c r="DZ38" s="93">
        <v>0</v>
      </c>
      <c r="EA38" s="93">
        <v>0</v>
      </c>
      <c r="EB38" s="93">
        <v>0</v>
      </c>
      <c r="EC38" s="93">
        <v>0</v>
      </c>
      <c r="ED38" s="93">
        <v>0</v>
      </c>
      <c r="EE38" s="93">
        <v>0</v>
      </c>
      <c r="EF38" s="93">
        <v>0</v>
      </c>
      <c r="EG38" s="93">
        <v>0</v>
      </c>
      <c r="EH38" s="93">
        <v>0</v>
      </c>
      <c r="EI38" s="93">
        <v>0</v>
      </c>
      <c r="EJ38" s="93">
        <v>0</v>
      </c>
      <c r="EK38" s="93">
        <v>0</v>
      </c>
      <c r="EL38" s="93">
        <v>0</v>
      </c>
      <c r="EM38" s="93">
        <v>0</v>
      </c>
      <c r="EN38" s="93">
        <v>0</v>
      </c>
      <c r="EO38" s="93">
        <v>0</v>
      </c>
      <c r="EP38" s="93">
        <v>0</v>
      </c>
      <c r="EQ38" s="93">
        <v>0</v>
      </c>
      <c r="ER38" s="93">
        <v>0</v>
      </c>
      <c r="ES38" s="93">
        <v>0</v>
      </c>
      <c r="ET38" s="93">
        <v>0</v>
      </c>
      <c r="EU38" s="93">
        <v>0</v>
      </c>
      <c r="EV38" s="93">
        <v>0</v>
      </c>
      <c r="EW38" s="93">
        <v>0</v>
      </c>
      <c r="EX38" s="93">
        <v>0</v>
      </c>
      <c r="EY38" s="93">
        <v>0</v>
      </c>
      <c r="EZ38" s="93">
        <v>0</v>
      </c>
      <c r="FA38" s="93">
        <v>0</v>
      </c>
      <c r="FB38" s="93">
        <v>0</v>
      </c>
      <c r="FC38" s="93">
        <v>0</v>
      </c>
      <c r="FD38" s="93">
        <v>0</v>
      </c>
      <c r="FE38" s="93">
        <v>0</v>
      </c>
      <c r="FF38" s="93">
        <v>0</v>
      </c>
      <c r="FG38" s="93">
        <v>0</v>
      </c>
      <c r="FH38" s="93">
        <v>0</v>
      </c>
      <c r="FI38" s="93">
        <v>0</v>
      </c>
      <c r="FJ38" s="93">
        <v>0</v>
      </c>
      <c r="FK38" s="93">
        <v>0</v>
      </c>
      <c r="FL38" s="93">
        <v>0</v>
      </c>
      <c r="FM38" s="93">
        <v>0</v>
      </c>
      <c r="FN38" s="93">
        <v>0</v>
      </c>
      <c r="FO38" s="93">
        <v>0</v>
      </c>
    </row>
    <row r="39" spans="1:171" x14ac:dyDescent="0.2">
      <c r="A39" s="120" t="s">
        <v>34</v>
      </c>
      <c r="B39" s="121"/>
      <c r="C39" s="93">
        <v>0</v>
      </c>
      <c r="D39" s="93">
        <v>0</v>
      </c>
      <c r="E39" s="93">
        <v>0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  <c r="Z39" s="93">
        <v>0</v>
      </c>
      <c r="AA39" s="93">
        <v>0</v>
      </c>
      <c r="AB39" s="93">
        <v>0</v>
      </c>
      <c r="AC39" s="93">
        <v>0</v>
      </c>
      <c r="AD39" s="93">
        <v>0</v>
      </c>
      <c r="AE39" s="93">
        <v>0</v>
      </c>
      <c r="AF39" s="93">
        <v>0</v>
      </c>
      <c r="AG39" s="93">
        <v>0</v>
      </c>
      <c r="AH39" s="93">
        <v>0</v>
      </c>
      <c r="AI39" s="93">
        <v>0</v>
      </c>
      <c r="AJ39" s="93">
        <v>0</v>
      </c>
      <c r="AK39" s="93">
        <v>0</v>
      </c>
      <c r="AL39" s="93">
        <v>0</v>
      </c>
      <c r="AM39" s="93">
        <v>0</v>
      </c>
      <c r="AN39" s="93">
        <v>0</v>
      </c>
      <c r="AO39" s="93">
        <v>0</v>
      </c>
      <c r="AP39" s="93">
        <v>0</v>
      </c>
      <c r="AQ39" s="93">
        <v>0</v>
      </c>
      <c r="AR39" s="93">
        <v>0</v>
      </c>
      <c r="AS39" s="93">
        <v>0</v>
      </c>
      <c r="AT39" s="93">
        <v>0</v>
      </c>
      <c r="AU39" s="93">
        <v>0</v>
      </c>
      <c r="AV39" s="93">
        <v>0</v>
      </c>
      <c r="AW39" s="93">
        <v>0</v>
      </c>
      <c r="AX39" s="93">
        <v>0</v>
      </c>
      <c r="AY39" s="93">
        <v>0</v>
      </c>
      <c r="AZ39" s="93">
        <v>0</v>
      </c>
      <c r="BA39" s="93">
        <v>0</v>
      </c>
      <c r="BB39" s="93">
        <v>0</v>
      </c>
      <c r="BC39" s="93">
        <v>0</v>
      </c>
      <c r="BD39" s="93">
        <v>0</v>
      </c>
      <c r="BE39" s="93">
        <v>0</v>
      </c>
      <c r="BF39" s="93">
        <v>0</v>
      </c>
      <c r="BG39" s="93">
        <v>0</v>
      </c>
      <c r="BH39" s="93">
        <v>0</v>
      </c>
      <c r="BI39" s="93">
        <v>0</v>
      </c>
      <c r="BJ39" s="93">
        <v>0</v>
      </c>
      <c r="BK39" s="93">
        <v>0</v>
      </c>
      <c r="BL39" s="93">
        <v>0</v>
      </c>
      <c r="BM39" s="93">
        <v>0</v>
      </c>
      <c r="BN39" s="93">
        <v>0</v>
      </c>
      <c r="BO39" s="93">
        <v>0</v>
      </c>
      <c r="BP39" s="93">
        <v>0</v>
      </c>
      <c r="BQ39" s="93">
        <v>0</v>
      </c>
      <c r="BR39" s="93">
        <v>0</v>
      </c>
      <c r="BS39" s="93">
        <v>0</v>
      </c>
      <c r="BT39" s="93">
        <v>0</v>
      </c>
      <c r="BU39" s="93">
        <v>0</v>
      </c>
      <c r="BV39" s="93">
        <v>0</v>
      </c>
      <c r="BW39" s="93">
        <v>0</v>
      </c>
      <c r="BX39" s="93">
        <v>0</v>
      </c>
      <c r="BY39" s="93">
        <v>0</v>
      </c>
      <c r="BZ39" s="93">
        <v>0</v>
      </c>
      <c r="CA39" s="93">
        <v>0</v>
      </c>
      <c r="CB39" s="93">
        <v>0</v>
      </c>
      <c r="CC39" s="93">
        <v>0</v>
      </c>
      <c r="CD39" s="93">
        <v>0</v>
      </c>
      <c r="CE39" s="93">
        <v>0</v>
      </c>
      <c r="CF39" s="93">
        <v>0</v>
      </c>
      <c r="CG39" s="93">
        <v>0</v>
      </c>
      <c r="CH39" s="93">
        <v>0</v>
      </c>
      <c r="CI39" s="93">
        <v>0</v>
      </c>
      <c r="CJ39" s="93">
        <v>0</v>
      </c>
      <c r="CK39" s="93">
        <v>0</v>
      </c>
      <c r="CL39" s="93">
        <v>0</v>
      </c>
      <c r="CM39" s="93">
        <v>0</v>
      </c>
      <c r="CN39" s="93">
        <v>0</v>
      </c>
      <c r="CO39" s="93">
        <v>0</v>
      </c>
      <c r="CP39" s="93">
        <v>0</v>
      </c>
      <c r="CQ39" s="93">
        <v>0</v>
      </c>
      <c r="CR39" s="93">
        <v>0</v>
      </c>
      <c r="CS39" s="93">
        <v>0</v>
      </c>
      <c r="CT39" s="93">
        <v>0</v>
      </c>
      <c r="CU39" s="93">
        <v>0</v>
      </c>
      <c r="CV39" s="93">
        <v>0</v>
      </c>
      <c r="CW39" s="93">
        <v>0</v>
      </c>
      <c r="CX39" s="93">
        <v>0</v>
      </c>
      <c r="CY39" s="93">
        <v>0</v>
      </c>
      <c r="CZ39" s="93">
        <v>0</v>
      </c>
      <c r="DA39" s="93">
        <v>0</v>
      </c>
      <c r="DB39" s="93">
        <v>0</v>
      </c>
      <c r="DC39" s="93">
        <v>0</v>
      </c>
      <c r="DD39" s="93">
        <v>0</v>
      </c>
      <c r="DE39" s="93">
        <v>0</v>
      </c>
      <c r="DF39" s="93">
        <v>0</v>
      </c>
      <c r="DG39" s="93">
        <v>0</v>
      </c>
      <c r="DH39" s="93">
        <v>0</v>
      </c>
      <c r="DI39" s="93">
        <v>0</v>
      </c>
      <c r="DJ39" s="93">
        <v>0</v>
      </c>
      <c r="DK39" s="93">
        <v>0</v>
      </c>
      <c r="DL39" s="93">
        <v>0</v>
      </c>
      <c r="DM39" s="93">
        <v>0</v>
      </c>
      <c r="DN39" s="93">
        <v>0</v>
      </c>
      <c r="DO39" s="93">
        <v>0</v>
      </c>
      <c r="DP39" s="93">
        <v>0</v>
      </c>
      <c r="DQ39" s="93">
        <v>0</v>
      </c>
      <c r="DR39" s="93">
        <v>0</v>
      </c>
      <c r="DS39" s="93">
        <v>0</v>
      </c>
      <c r="DT39" s="93">
        <v>0</v>
      </c>
      <c r="DU39" s="93">
        <v>0</v>
      </c>
      <c r="DV39" s="93">
        <v>0</v>
      </c>
      <c r="DW39" s="93">
        <v>0</v>
      </c>
      <c r="DX39" s="93">
        <v>0</v>
      </c>
      <c r="DY39" s="93">
        <v>0</v>
      </c>
      <c r="DZ39" s="93">
        <v>0</v>
      </c>
      <c r="EA39" s="93">
        <v>0</v>
      </c>
      <c r="EB39" s="93">
        <v>0</v>
      </c>
      <c r="EC39" s="93">
        <v>0</v>
      </c>
      <c r="ED39" s="93">
        <v>0</v>
      </c>
      <c r="EE39" s="93">
        <v>0</v>
      </c>
      <c r="EF39" s="93">
        <v>0</v>
      </c>
      <c r="EG39" s="93">
        <v>0</v>
      </c>
      <c r="EH39" s="93">
        <v>0</v>
      </c>
      <c r="EI39" s="93">
        <v>0</v>
      </c>
      <c r="EJ39" s="93">
        <v>0</v>
      </c>
      <c r="EK39" s="93">
        <v>0</v>
      </c>
      <c r="EL39" s="93">
        <v>0</v>
      </c>
      <c r="EM39" s="93">
        <v>0</v>
      </c>
      <c r="EN39" s="93">
        <v>0</v>
      </c>
      <c r="EO39" s="93">
        <v>0</v>
      </c>
      <c r="EP39" s="93">
        <v>0</v>
      </c>
      <c r="EQ39" s="93">
        <v>0</v>
      </c>
      <c r="ER39" s="93">
        <v>0</v>
      </c>
      <c r="ES39" s="93">
        <v>0</v>
      </c>
      <c r="ET39" s="93">
        <v>0</v>
      </c>
      <c r="EU39" s="93">
        <v>0</v>
      </c>
      <c r="EV39" s="93">
        <v>0</v>
      </c>
      <c r="EW39" s="93">
        <v>0</v>
      </c>
      <c r="EX39" s="93">
        <v>0</v>
      </c>
      <c r="EY39" s="93">
        <v>0</v>
      </c>
      <c r="EZ39" s="93">
        <v>0</v>
      </c>
      <c r="FA39" s="93">
        <v>0</v>
      </c>
      <c r="FB39" s="93">
        <v>0</v>
      </c>
      <c r="FC39" s="93">
        <v>0</v>
      </c>
      <c r="FD39" s="93">
        <v>0</v>
      </c>
      <c r="FE39" s="93">
        <v>0</v>
      </c>
      <c r="FF39" s="93">
        <v>0</v>
      </c>
      <c r="FG39" s="93">
        <v>0</v>
      </c>
      <c r="FH39" s="93">
        <v>0</v>
      </c>
      <c r="FI39" s="93">
        <v>0</v>
      </c>
      <c r="FJ39" s="93">
        <v>0</v>
      </c>
      <c r="FK39" s="93">
        <v>0</v>
      </c>
      <c r="FL39" s="93">
        <v>0</v>
      </c>
      <c r="FM39" s="93">
        <v>0</v>
      </c>
      <c r="FN39" s="93">
        <v>0</v>
      </c>
      <c r="FO39" s="93">
        <v>0</v>
      </c>
    </row>
    <row r="40" spans="1:171" x14ac:dyDescent="0.2">
      <c r="A40" s="120" t="s">
        <v>8</v>
      </c>
      <c r="B40" s="121"/>
      <c r="C40" s="93">
        <v>0</v>
      </c>
      <c r="D40" s="93">
        <v>0</v>
      </c>
      <c r="E40" s="93">
        <v>0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  <c r="Z40" s="93">
        <v>0</v>
      </c>
      <c r="AA40" s="93">
        <v>0</v>
      </c>
      <c r="AB40" s="93">
        <v>0</v>
      </c>
      <c r="AC40" s="93">
        <v>0</v>
      </c>
      <c r="AD40" s="93">
        <v>0</v>
      </c>
      <c r="AE40" s="93">
        <v>0</v>
      </c>
      <c r="AF40" s="93">
        <v>0</v>
      </c>
      <c r="AG40" s="93">
        <v>0</v>
      </c>
      <c r="AH40" s="93">
        <v>0</v>
      </c>
      <c r="AI40" s="93">
        <v>0</v>
      </c>
      <c r="AJ40" s="93">
        <v>0</v>
      </c>
      <c r="AK40" s="93">
        <v>0</v>
      </c>
      <c r="AL40" s="93">
        <v>0</v>
      </c>
      <c r="AM40" s="93">
        <v>0</v>
      </c>
      <c r="AN40" s="93">
        <v>0</v>
      </c>
      <c r="AO40" s="93">
        <v>0</v>
      </c>
      <c r="AP40" s="93">
        <v>0</v>
      </c>
      <c r="AQ40" s="93">
        <v>0</v>
      </c>
      <c r="AR40" s="93">
        <v>0</v>
      </c>
      <c r="AS40" s="93">
        <v>0</v>
      </c>
      <c r="AT40" s="93">
        <v>0</v>
      </c>
      <c r="AU40" s="93">
        <v>0</v>
      </c>
      <c r="AV40" s="93">
        <v>0</v>
      </c>
      <c r="AW40" s="93">
        <v>0</v>
      </c>
      <c r="AX40" s="93">
        <v>0</v>
      </c>
      <c r="AY40" s="93">
        <v>0</v>
      </c>
      <c r="AZ40" s="93">
        <v>0</v>
      </c>
      <c r="BA40" s="93">
        <v>0</v>
      </c>
      <c r="BB40" s="93">
        <v>0</v>
      </c>
      <c r="BC40" s="93">
        <v>0</v>
      </c>
      <c r="BD40" s="93">
        <v>0</v>
      </c>
      <c r="BE40" s="93">
        <v>0</v>
      </c>
      <c r="BF40" s="93">
        <v>0</v>
      </c>
      <c r="BG40" s="93">
        <v>0</v>
      </c>
      <c r="BH40" s="93">
        <v>0</v>
      </c>
      <c r="BI40" s="93">
        <v>0</v>
      </c>
      <c r="BJ40" s="93">
        <v>0</v>
      </c>
      <c r="BK40" s="93">
        <v>0</v>
      </c>
      <c r="BL40" s="93">
        <v>0</v>
      </c>
      <c r="BM40" s="93">
        <v>0</v>
      </c>
      <c r="BN40" s="93">
        <v>0</v>
      </c>
      <c r="BO40" s="93">
        <v>0</v>
      </c>
      <c r="BP40" s="93">
        <v>0</v>
      </c>
      <c r="BQ40" s="93">
        <v>0</v>
      </c>
      <c r="BR40" s="93">
        <v>0</v>
      </c>
      <c r="BS40" s="93">
        <v>0</v>
      </c>
      <c r="BT40" s="93">
        <v>0</v>
      </c>
      <c r="BU40" s="93">
        <v>0</v>
      </c>
      <c r="BV40" s="93">
        <v>0</v>
      </c>
      <c r="BW40" s="93">
        <v>0</v>
      </c>
      <c r="BX40" s="93">
        <v>0</v>
      </c>
      <c r="BY40" s="93">
        <v>0</v>
      </c>
      <c r="BZ40" s="93">
        <v>0</v>
      </c>
      <c r="CA40" s="93">
        <v>0</v>
      </c>
      <c r="CB40" s="93">
        <v>0</v>
      </c>
      <c r="CC40" s="93">
        <v>0</v>
      </c>
      <c r="CD40" s="93">
        <v>0</v>
      </c>
      <c r="CE40" s="93">
        <v>0</v>
      </c>
      <c r="CF40" s="93">
        <v>0</v>
      </c>
      <c r="CG40" s="93">
        <v>0</v>
      </c>
      <c r="CH40" s="93">
        <v>0</v>
      </c>
      <c r="CI40" s="93">
        <v>0</v>
      </c>
      <c r="CJ40" s="93">
        <v>0</v>
      </c>
      <c r="CK40" s="93">
        <v>0</v>
      </c>
      <c r="CL40" s="93">
        <v>0</v>
      </c>
      <c r="CM40" s="93">
        <v>0</v>
      </c>
      <c r="CN40" s="93">
        <v>0</v>
      </c>
      <c r="CO40" s="93">
        <v>0</v>
      </c>
      <c r="CP40" s="93">
        <v>0</v>
      </c>
      <c r="CQ40" s="93">
        <v>0</v>
      </c>
      <c r="CR40" s="93">
        <v>0</v>
      </c>
      <c r="CS40" s="93">
        <v>0</v>
      </c>
      <c r="CT40" s="93">
        <v>0</v>
      </c>
      <c r="CU40" s="93">
        <v>0</v>
      </c>
      <c r="CV40" s="93">
        <v>0</v>
      </c>
      <c r="CW40" s="93">
        <v>0</v>
      </c>
      <c r="CX40" s="93">
        <v>0</v>
      </c>
      <c r="CY40" s="93">
        <v>0</v>
      </c>
      <c r="CZ40" s="93">
        <v>0</v>
      </c>
      <c r="DA40" s="93">
        <v>0</v>
      </c>
      <c r="DB40" s="93">
        <v>0</v>
      </c>
      <c r="DC40" s="93">
        <v>0</v>
      </c>
      <c r="DD40" s="93">
        <v>0</v>
      </c>
      <c r="DE40" s="93">
        <v>0</v>
      </c>
      <c r="DF40" s="93">
        <v>0</v>
      </c>
      <c r="DG40" s="93">
        <v>0</v>
      </c>
      <c r="DH40" s="93">
        <v>0</v>
      </c>
      <c r="DI40" s="93">
        <v>0</v>
      </c>
      <c r="DJ40" s="93">
        <v>0</v>
      </c>
      <c r="DK40" s="93">
        <v>0</v>
      </c>
      <c r="DL40" s="93">
        <v>0</v>
      </c>
      <c r="DM40" s="93">
        <v>0</v>
      </c>
      <c r="DN40" s="93">
        <v>0</v>
      </c>
      <c r="DO40" s="93">
        <v>0</v>
      </c>
      <c r="DP40" s="93">
        <v>0</v>
      </c>
      <c r="DQ40" s="93">
        <v>0</v>
      </c>
      <c r="DR40" s="93">
        <v>0</v>
      </c>
      <c r="DS40" s="93">
        <v>0</v>
      </c>
      <c r="DT40" s="93">
        <v>0</v>
      </c>
      <c r="DU40" s="93">
        <v>0</v>
      </c>
      <c r="DV40" s="93">
        <v>0</v>
      </c>
      <c r="DW40" s="93">
        <v>0</v>
      </c>
      <c r="DX40" s="93">
        <v>0</v>
      </c>
      <c r="DY40" s="93">
        <v>0</v>
      </c>
      <c r="DZ40" s="93">
        <v>0</v>
      </c>
      <c r="EA40" s="93">
        <v>0</v>
      </c>
      <c r="EB40" s="93">
        <v>0</v>
      </c>
      <c r="EC40" s="93">
        <v>0</v>
      </c>
      <c r="ED40" s="93">
        <v>0</v>
      </c>
      <c r="EE40" s="93">
        <v>0</v>
      </c>
      <c r="EF40" s="93">
        <v>0</v>
      </c>
      <c r="EG40" s="93">
        <v>0</v>
      </c>
      <c r="EH40" s="93">
        <v>0</v>
      </c>
      <c r="EI40" s="93">
        <v>0</v>
      </c>
      <c r="EJ40" s="93">
        <v>0</v>
      </c>
      <c r="EK40" s="93">
        <v>0</v>
      </c>
      <c r="EL40" s="93">
        <v>0</v>
      </c>
      <c r="EM40" s="93">
        <v>0</v>
      </c>
      <c r="EN40" s="93">
        <v>0</v>
      </c>
      <c r="EO40" s="93">
        <v>0</v>
      </c>
      <c r="EP40" s="93">
        <v>0</v>
      </c>
      <c r="EQ40" s="93">
        <v>0</v>
      </c>
      <c r="ER40" s="93">
        <v>0</v>
      </c>
      <c r="ES40" s="93">
        <v>0</v>
      </c>
      <c r="ET40" s="93">
        <v>0</v>
      </c>
      <c r="EU40" s="93">
        <v>0</v>
      </c>
      <c r="EV40" s="93">
        <v>0</v>
      </c>
      <c r="EW40" s="93">
        <v>0</v>
      </c>
      <c r="EX40" s="93">
        <v>0</v>
      </c>
      <c r="EY40" s="93">
        <v>0</v>
      </c>
      <c r="EZ40" s="93">
        <v>0</v>
      </c>
      <c r="FA40" s="93">
        <v>0</v>
      </c>
      <c r="FB40" s="93">
        <v>0</v>
      </c>
      <c r="FC40" s="93">
        <v>0</v>
      </c>
      <c r="FD40" s="93">
        <v>0</v>
      </c>
      <c r="FE40" s="93">
        <v>0</v>
      </c>
      <c r="FF40" s="93">
        <v>0</v>
      </c>
      <c r="FG40" s="93">
        <v>0</v>
      </c>
      <c r="FH40" s="93">
        <v>0</v>
      </c>
      <c r="FI40" s="93">
        <v>0</v>
      </c>
      <c r="FJ40" s="93">
        <v>0</v>
      </c>
      <c r="FK40" s="93">
        <v>0</v>
      </c>
      <c r="FL40" s="93">
        <v>0</v>
      </c>
      <c r="FM40" s="93">
        <v>0</v>
      </c>
      <c r="FN40" s="93">
        <v>0</v>
      </c>
      <c r="FO40" s="93">
        <v>0</v>
      </c>
    </row>
    <row r="41" spans="1:171" x14ac:dyDescent="0.2">
      <c r="A41" s="120" t="s">
        <v>122</v>
      </c>
      <c r="B41" s="121"/>
      <c r="C41" s="93">
        <v>360.66</v>
      </c>
      <c r="D41" s="93">
        <v>1343.2189000000001</v>
      </c>
      <c r="E41" s="93">
        <v>168.00559999999999</v>
      </c>
      <c r="F41" s="93">
        <v>975.82560000000001</v>
      </c>
      <c r="G41" s="93">
        <v>732.62789999999995</v>
      </c>
      <c r="H41" s="93">
        <v>859.16219999999998</v>
      </c>
      <c r="I41" s="93">
        <v>3309.9639999999999</v>
      </c>
      <c r="J41" s="93">
        <v>1287.2417</v>
      </c>
      <c r="K41" s="93">
        <v>2586.4326999999998</v>
      </c>
      <c r="L41" s="93">
        <v>426.54520000000002</v>
      </c>
      <c r="M41" s="93">
        <v>1187.4947</v>
      </c>
      <c r="N41" s="93">
        <v>302.53660000000002</v>
      </c>
      <c r="O41" s="93">
        <v>1479.1215999999999</v>
      </c>
      <c r="P41" s="93">
        <v>995.00969999999995</v>
      </c>
      <c r="Q41" s="93">
        <v>588.91899999999998</v>
      </c>
      <c r="R41" s="93">
        <v>1254.0574999999999</v>
      </c>
      <c r="S41" s="93">
        <v>1391.8432</v>
      </c>
      <c r="T41" s="93">
        <v>278.05399999999997</v>
      </c>
      <c r="U41" s="93">
        <v>228.43639999999999</v>
      </c>
      <c r="V41" s="93">
        <v>370.14400000000001</v>
      </c>
      <c r="W41" s="93">
        <v>450.39240000000001</v>
      </c>
      <c r="X41" s="93">
        <v>109.5087</v>
      </c>
      <c r="Y41" s="93">
        <v>1852.0888</v>
      </c>
      <c r="Z41" s="93">
        <v>788.55529999999999</v>
      </c>
      <c r="AA41" s="93">
        <v>1188.4602</v>
      </c>
      <c r="AB41" s="93">
        <v>1642.8857</v>
      </c>
      <c r="AC41" s="93">
        <v>637.17700000000002</v>
      </c>
      <c r="AD41" s="93">
        <v>275.13679999999999</v>
      </c>
      <c r="AE41" s="93">
        <v>410.15320000000003</v>
      </c>
      <c r="AF41" s="93">
        <v>49.0931</v>
      </c>
      <c r="AG41" s="93">
        <v>381.7285</v>
      </c>
      <c r="AH41" s="93">
        <v>427.72070000000002</v>
      </c>
      <c r="AI41" s="93">
        <v>638.23680000000002</v>
      </c>
      <c r="AJ41" s="93">
        <v>1742.1496999999999</v>
      </c>
      <c r="AK41" s="93">
        <v>629.48019999999997</v>
      </c>
      <c r="AL41" s="93">
        <v>454.91629999999998</v>
      </c>
      <c r="AM41" s="93">
        <v>824.73800000000006</v>
      </c>
      <c r="AN41" s="93">
        <v>651.31690000000003</v>
      </c>
      <c r="AO41" s="93">
        <v>571.60879999999997</v>
      </c>
      <c r="AP41" s="93">
        <v>216.4264</v>
      </c>
      <c r="AQ41" s="93">
        <v>797.57079999999996</v>
      </c>
      <c r="AR41" s="93">
        <v>306.0043</v>
      </c>
      <c r="AS41" s="93">
        <v>538.90200000000004</v>
      </c>
      <c r="AT41" s="93">
        <v>563.57619999999997</v>
      </c>
      <c r="AU41" s="93">
        <v>118.4032</v>
      </c>
      <c r="AV41" s="93">
        <v>169.74019999999999</v>
      </c>
      <c r="AW41" s="93">
        <v>208.2003</v>
      </c>
      <c r="AX41" s="93">
        <v>787.96879999999999</v>
      </c>
      <c r="AY41" s="93">
        <v>1042.0026</v>
      </c>
      <c r="AZ41" s="93">
        <v>225.37649999999999</v>
      </c>
      <c r="BA41" s="93">
        <v>428.38220000000001</v>
      </c>
      <c r="BB41" s="93">
        <v>545.28579999999999</v>
      </c>
      <c r="BC41" s="93">
        <v>618.28229999999996</v>
      </c>
      <c r="BD41" s="93">
        <v>330.4812</v>
      </c>
      <c r="BE41" s="93">
        <v>880.11180000000002</v>
      </c>
      <c r="BF41" s="93">
        <v>279.93889999999999</v>
      </c>
      <c r="BG41" s="93">
        <v>228.08539999999999</v>
      </c>
      <c r="BH41" s="93">
        <v>774.76819999999998</v>
      </c>
      <c r="BI41" s="93">
        <v>921.04740000000004</v>
      </c>
      <c r="BJ41" s="93">
        <v>1995.9097999999999</v>
      </c>
      <c r="BK41" s="93">
        <v>1780.6072999999999</v>
      </c>
      <c r="BL41" s="93">
        <v>1570.1451999999999</v>
      </c>
      <c r="BM41" s="93">
        <v>1493.481</v>
      </c>
      <c r="BN41" s="93">
        <v>3691.9250000000002</v>
      </c>
      <c r="BO41" s="93">
        <v>1190.1062999999999</v>
      </c>
      <c r="BP41" s="93">
        <v>1436.8113000000001</v>
      </c>
      <c r="BQ41" s="93">
        <v>865.42489999999998</v>
      </c>
      <c r="BR41" s="93">
        <v>194.3723</v>
      </c>
      <c r="BS41" s="93">
        <v>1768.963</v>
      </c>
      <c r="BT41" s="93">
        <v>474.44229999999999</v>
      </c>
      <c r="BU41" s="93">
        <v>566.86199999999997</v>
      </c>
      <c r="BV41" s="93">
        <v>574.39110000000005</v>
      </c>
      <c r="BW41" s="93">
        <v>1442.1602</v>
      </c>
      <c r="BX41" s="93">
        <v>238.20089999999999</v>
      </c>
      <c r="BY41" s="93">
        <v>1833.1928</v>
      </c>
      <c r="BZ41" s="93">
        <v>528.88340000000005</v>
      </c>
      <c r="CA41" s="93">
        <v>865.91780000000006</v>
      </c>
      <c r="CB41" s="93">
        <v>186.6018</v>
      </c>
      <c r="CC41" s="93">
        <v>814.33569999999997</v>
      </c>
      <c r="CD41" s="93">
        <v>905.94880000000001</v>
      </c>
      <c r="CE41" s="93">
        <v>867.23009999999999</v>
      </c>
      <c r="CF41" s="93">
        <v>318.22579999999999</v>
      </c>
      <c r="CG41" s="93">
        <v>395.02800000000002</v>
      </c>
      <c r="CH41" s="93">
        <v>348.7799</v>
      </c>
      <c r="CI41" s="93">
        <v>472.25290000000001</v>
      </c>
      <c r="CJ41" s="93">
        <v>123.94240000000001</v>
      </c>
      <c r="CK41" s="93">
        <v>61.321399999999997</v>
      </c>
      <c r="CL41" s="93">
        <v>79.888499999999993</v>
      </c>
      <c r="CM41" s="93">
        <v>576.21900000000005</v>
      </c>
      <c r="CN41" s="93">
        <v>294.8931</v>
      </c>
      <c r="CO41" s="93">
        <v>974.51750000000004</v>
      </c>
      <c r="CP41" s="93">
        <v>1190.5554</v>
      </c>
      <c r="CQ41" s="93">
        <v>1121.0582999999999</v>
      </c>
      <c r="CR41" s="93">
        <v>319.96530000000001</v>
      </c>
      <c r="CS41" s="93">
        <v>775.16060000000004</v>
      </c>
      <c r="CT41" s="93">
        <v>962.15530000000001</v>
      </c>
      <c r="CU41" s="93">
        <v>693.80719999999997</v>
      </c>
      <c r="CV41" s="93">
        <v>929.11599999999999</v>
      </c>
      <c r="CW41" s="93">
        <v>1081.0634</v>
      </c>
      <c r="CX41" s="93">
        <v>465.71039999999999</v>
      </c>
      <c r="CY41" s="93">
        <v>206.8964</v>
      </c>
      <c r="CZ41" s="93">
        <v>215.10290000000001</v>
      </c>
      <c r="DA41" s="93">
        <v>572.48</v>
      </c>
      <c r="DB41" s="93">
        <v>944.50019999999995</v>
      </c>
      <c r="DC41" s="93">
        <v>395.64789999999999</v>
      </c>
      <c r="DD41" s="93">
        <v>1042.1233999999999</v>
      </c>
      <c r="DE41" s="93">
        <v>499.59210000000002</v>
      </c>
      <c r="DF41" s="93">
        <v>307.9171</v>
      </c>
      <c r="DG41" s="93">
        <v>265.96620000000001</v>
      </c>
      <c r="DH41" s="93">
        <v>117.8926</v>
      </c>
      <c r="DI41" s="93">
        <v>1050.0562</v>
      </c>
      <c r="DJ41" s="93">
        <v>803.36839999999995</v>
      </c>
      <c r="DK41" s="93">
        <v>240.1807</v>
      </c>
      <c r="DL41" s="93">
        <v>147.96430000000001</v>
      </c>
      <c r="DM41" s="93">
        <v>1279.3545999999999</v>
      </c>
      <c r="DN41" s="93">
        <v>1265.8967</v>
      </c>
      <c r="DO41" s="93">
        <v>1512.9657</v>
      </c>
      <c r="DP41" s="93">
        <v>297.02719999999999</v>
      </c>
      <c r="DQ41" s="93">
        <v>748.54259999999999</v>
      </c>
      <c r="DR41" s="93">
        <v>1909.3932</v>
      </c>
      <c r="DS41" s="93">
        <v>316.18180000000001</v>
      </c>
      <c r="DT41" s="93">
        <v>703.65309999999999</v>
      </c>
      <c r="DU41" s="93">
        <v>553.84079999999994</v>
      </c>
      <c r="DV41" s="93">
        <v>470.9982</v>
      </c>
      <c r="DW41" s="93">
        <v>906.97339999999997</v>
      </c>
      <c r="DX41" s="93">
        <v>445.13990000000001</v>
      </c>
      <c r="DY41" s="93">
        <v>1425.0684000000001</v>
      </c>
      <c r="DZ41" s="93">
        <v>465.04739999999998</v>
      </c>
      <c r="EA41" s="93">
        <v>1018.2332</v>
      </c>
      <c r="EB41" s="93">
        <v>1036.1780000000001</v>
      </c>
      <c r="EC41" s="93">
        <v>222.5855</v>
      </c>
      <c r="ED41" s="93">
        <v>934.02650000000006</v>
      </c>
      <c r="EE41" s="93">
        <v>296.18860000000001</v>
      </c>
      <c r="EF41" s="93">
        <v>197.85230000000001</v>
      </c>
      <c r="EG41" s="93">
        <v>256.55</v>
      </c>
      <c r="EH41" s="93">
        <v>214.34569999999999</v>
      </c>
      <c r="EI41" s="93">
        <v>110.31950000000001</v>
      </c>
      <c r="EJ41" s="93">
        <v>792.35130000000004</v>
      </c>
      <c r="EK41" s="93">
        <v>692.11320000000001</v>
      </c>
      <c r="EL41" s="93">
        <v>362.6782</v>
      </c>
      <c r="EM41" s="93">
        <v>385.22410000000002</v>
      </c>
      <c r="EN41" s="93">
        <v>737.62030000000004</v>
      </c>
      <c r="EO41" s="93">
        <v>277.3954</v>
      </c>
      <c r="EP41" s="93">
        <v>278.14640000000003</v>
      </c>
      <c r="EQ41" s="93">
        <v>394.69729999999998</v>
      </c>
      <c r="ER41" s="93">
        <v>950.01179999999999</v>
      </c>
      <c r="ES41" s="93">
        <v>699.78279999999995</v>
      </c>
      <c r="ET41" s="93">
        <v>330.4941</v>
      </c>
      <c r="EU41" s="93">
        <v>565.02279999999996</v>
      </c>
      <c r="EV41" s="93">
        <v>503.57810000000001</v>
      </c>
      <c r="EW41" s="93">
        <v>222.00110000000001</v>
      </c>
      <c r="EX41" s="93">
        <v>1943.8864000000001</v>
      </c>
      <c r="EY41" s="93">
        <v>657.00519999999995</v>
      </c>
      <c r="EZ41" s="93">
        <v>1344.8421000000001</v>
      </c>
      <c r="FA41" s="93">
        <v>677.67520000000002</v>
      </c>
      <c r="FB41" s="93">
        <v>169.059</v>
      </c>
      <c r="FC41" s="93">
        <v>773.86850000000004</v>
      </c>
      <c r="FD41" s="93">
        <v>464.98399999999998</v>
      </c>
      <c r="FE41" s="93">
        <v>452.35879999999997</v>
      </c>
      <c r="FF41" s="93">
        <v>1043.0295000000001</v>
      </c>
      <c r="FG41" s="93">
        <v>419.14879999999999</v>
      </c>
      <c r="FH41" s="93">
        <v>1134.377</v>
      </c>
      <c r="FI41" s="93">
        <v>923.51220000000001</v>
      </c>
      <c r="FJ41" s="93">
        <v>1800.8543</v>
      </c>
      <c r="FK41" s="93">
        <v>1199.1675</v>
      </c>
      <c r="FL41" s="93">
        <v>1697.7421999999999</v>
      </c>
      <c r="FM41" s="93">
        <v>1312.2995000000001</v>
      </c>
      <c r="FN41" s="93">
        <v>498.25900000000001</v>
      </c>
      <c r="FO41" s="93">
        <v>472.60989999999998</v>
      </c>
    </row>
    <row r="42" spans="1:171" x14ac:dyDescent="0.2">
      <c r="A42" s="120" t="s">
        <v>125</v>
      </c>
      <c r="B42" s="121"/>
      <c r="C42" s="93">
        <v>15.4602</v>
      </c>
      <c r="D42" s="93">
        <v>25.136900000000001</v>
      </c>
      <c r="E42" s="93">
        <v>5.6406999999999998</v>
      </c>
      <c r="F42" s="93">
        <v>16.863600000000002</v>
      </c>
      <c r="G42" s="93">
        <v>23.022500000000001</v>
      </c>
      <c r="H42" s="93">
        <v>29.5488</v>
      </c>
      <c r="I42" s="93">
        <v>46.550800000000002</v>
      </c>
      <c r="J42" s="93">
        <v>24.450099999999999</v>
      </c>
      <c r="K42" s="93">
        <v>32.168399999999998</v>
      </c>
      <c r="L42" s="93">
        <v>11.795299999999999</v>
      </c>
      <c r="M42" s="93">
        <v>23.846800000000002</v>
      </c>
      <c r="N42" s="93">
        <v>31.533999999999999</v>
      </c>
      <c r="O42" s="93">
        <v>39.546799999999998</v>
      </c>
      <c r="P42" s="93">
        <v>50.1434</v>
      </c>
      <c r="Q42" s="93">
        <v>28.284500000000001</v>
      </c>
      <c r="R42" s="93">
        <v>123.5843</v>
      </c>
      <c r="S42" s="93">
        <v>28.4251</v>
      </c>
      <c r="T42" s="93">
        <v>9.4681999999999995</v>
      </c>
      <c r="U42" s="93">
        <v>8.6282999999999994</v>
      </c>
      <c r="V42" s="93">
        <v>10.715400000000001</v>
      </c>
      <c r="W42" s="93">
        <v>44.233600000000003</v>
      </c>
      <c r="X42" s="93">
        <v>15.3087</v>
      </c>
      <c r="Y42" s="93">
        <v>46.397399999999998</v>
      </c>
      <c r="Z42" s="93">
        <v>126.89790000000001</v>
      </c>
      <c r="AA42" s="93">
        <v>21.336300000000001</v>
      </c>
      <c r="AB42" s="93">
        <v>33.765300000000003</v>
      </c>
      <c r="AC42" s="93">
        <v>11.807499999999999</v>
      </c>
      <c r="AD42" s="93">
        <v>13.725199999999999</v>
      </c>
      <c r="AE42" s="93">
        <v>8.7522000000000002</v>
      </c>
      <c r="AF42" s="93">
        <v>20.2943</v>
      </c>
      <c r="AG42" s="93">
        <v>45.590400000000002</v>
      </c>
      <c r="AH42" s="93">
        <v>13.5221</v>
      </c>
      <c r="AI42" s="93">
        <v>42.062199999999997</v>
      </c>
      <c r="AJ42" s="93">
        <v>48.223799999999997</v>
      </c>
      <c r="AK42" s="93">
        <v>11.068300000000001</v>
      </c>
      <c r="AL42" s="93">
        <v>24.591799999999999</v>
      </c>
      <c r="AM42" s="93">
        <v>66.743099999999998</v>
      </c>
      <c r="AN42" s="93">
        <v>21.9162</v>
      </c>
      <c r="AO42" s="93">
        <v>12.373200000000001</v>
      </c>
      <c r="AP42" s="93">
        <v>12.954800000000001</v>
      </c>
      <c r="AQ42" s="93">
        <v>28.668099999999999</v>
      </c>
      <c r="AR42" s="93">
        <v>7.5986000000000002</v>
      </c>
      <c r="AS42" s="93">
        <v>144.82490000000001</v>
      </c>
      <c r="AT42" s="93">
        <v>62.555399999999999</v>
      </c>
      <c r="AU42" s="93">
        <v>3.7323</v>
      </c>
      <c r="AV42" s="93">
        <v>2.1232000000000002</v>
      </c>
      <c r="AW42" s="93">
        <v>11.305099999999999</v>
      </c>
      <c r="AX42" s="93">
        <v>20.4008</v>
      </c>
      <c r="AY42" s="93">
        <v>17.934699999999999</v>
      </c>
      <c r="AZ42" s="93">
        <v>5.1874000000000002</v>
      </c>
      <c r="BA42" s="93">
        <v>16.573599999999999</v>
      </c>
      <c r="BB42" s="93">
        <v>9.7690000000000001</v>
      </c>
      <c r="BC42" s="93">
        <v>7.7596999999999996</v>
      </c>
      <c r="BD42" s="93">
        <v>5.5664999999999996</v>
      </c>
      <c r="BE42" s="93">
        <v>12.3466</v>
      </c>
      <c r="BF42" s="93">
        <v>37.960999999999999</v>
      </c>
      <c r="BG42" s="93">
        <v>5.1917</v>
      </c>
      <c r="BH42" s="93">
        <v>62.445799999999998</v>
      </c>
      <c r="BI42" s="93">
        <v>87.787199999999999</v>
      </c>
      <c r="BJ42" s="93">
        <v>155.68559999999999</v>
      </c>
      <c r="BK42" s="93">
        <v>53.0961</v>
      </c>
      <c r="BL42" s="93">
        <v>590.36120000000005</v>
      </c>
      <c r="BM42" s="93">
        <v>558.44910000000004</v>
      </c>
      <c r="BN42" s="93">
        <v>986.00199999999995</v>
      </c>
      <c r="BO42" s="93">
        <v>801.13649999999996</v>
      </c>
      <c r="BP42" s="93">
        <v>569.33839999999998</v>
      </c>
      <c r="BQ42" s="93">
        <v>84.265199999999993</v>
      </c>
      <c r="BR42" s="93">
        <v>10.5541</v>
      </c>
      <c r="BS42" s="93">
        <v>657.95500000000004</v>
      </c>
      <c r="BT42" s="93">
        <v>152.03120000000001</v>
      </c>
      <c r="BU42" s="93">
        <v>79.463700000000003</v>
      </c>
      <c r="BV42" s="93">
        <v>129.48439999999999</v>
      </c>
      <c r="BW42" s="93">
        <v>41.294699999999999</v>
      </c>
      <c r="BX42" s="93">
        <v>10.7936</v>
      </c>
      <c r="BY42" s="93">
        <v>155.1739</v>
      </c>
      <c r="BZ42" s="93">
        <v>77.182900000000004</v>
      </c>
      <c r="CA42" s="93">
        <v>47.0122</v>
      </c>
      <c r="CB42" s="93">
        <v>17.670200000000001</v>
      </c>
      <c r="CC42" s="93">
        <v>30.917300000000001</v>
      </c>
      <c r="CD42" s="93">
        <v>31.083300000000001</v>
      </c>
      <c r="CE42" s="93">
        <v>177.51759999999999</v>
      </c>
      <c r="CF42" s="93">
        <v>25.693100000000001</v>
      </c>
      <c r="CG42" s="93">
        <v>13.523899999999999</v>
      </c>
      <c r="CH42" s="93">
        <v>9.7779000000000007</v>
      </c>
      <c r="CI42" s="93">
        <v>30.987100000000002</v>
      </c>
      <c r="CJ42" s="93">
        <v>6.0885999999999996</v>
      </c>
      <c r="CK42" s="93">
        <v>14.7392</v>
      </c>
      <c r="CL42" s="93">
        <v>43.673499999999997</v>
      </c>
      <c r="CM42" s="93">
        <v>10.552099999999999</v>
      </c>
      <c r="CN42" s="93">
        <v>6.7702</v>
      </c>
      <c r="CO42" s="93">
        <v>23.773700000000002</v>
      </c>
      <c r="CP42" s="93">
        <v>32.109699999999997</v>
      </c>
      <c r="CQ42" s="93">
        <v>35.162100000000002</v>
      </c>
      <c r="CR42" s="93">
        <v>31.9026</v>
      </c>
      <c r="CS42" s="93">
        <v>21.75</v>
      </c>
      <c r="CT42" s="93">
        <v>15.7684</v>
      </c>
      <c r="CU42" s="93">
        <v>20.922499999999999</v>
      </c>
      <c r="CV42" s="93">
        <v>17.061800000000002</v>
      </c>
      <c r="CW42" s="93">
        <v>25.169699999999999</v>
      </c>
      <c r="CX42" s="93">
        <v>7.4570999999999996</v>
      </c>
      <c r="CY42" s="93">
        <v>11.759499999999999</v>
      </c>
      <c r="CZ42" s="93">
        <v>7.508</v>
      </c>
      <c r="DA42" s="93">
        <v>8.4086999999999996</v>
      </c>
      <c r="DB42" s="93">
        <v>37.229599999999998</v>
      </c>
      <c r="DC42" s="93">
        <v>21.553000000000001</v>
      </c>
      <c r="DD42" s="93">
        <v>19.354700000000001</v>
      </c>
      <c r="DE42" s="93">
        <v>21.725300000000001</v>
      </c>
      <c r="DF42" s="93">
        <v>25.423200000000001</v>
      </c>
      <c r="DG42" s="93">
        <v>31.6813</v>
      </c>
      <c r="DH42" s="93">
        <v>4.2466999999999997</v>
      </c>
      <c r="DI42" s="93">
        <v>19.238600000000002</v>
      </c>
      <c r="DJ42" s="93">
        <v>58.543100000000003</v>
      </c>
      <c r="DK42" s="93">
        <v>29.852</v>
      </c>
      <c r="DL42" s="93">
        <v>8.4308999999999994</v>
      </c>
      <c r="DM42" s="93">
        <v>20.846599999999999</v>
      </c>
      <c r="DN42" s="93">
        <v>51.943100000000001</v>
      </c>
      <c r="DO42" s="93">
        <v>40.569200000000002</v>
      </c>
      <c r="DP42" s="93">
        <v>12.098100000000001</v>
      </c>
      <c r="DQ42" s="93">
        <v>26.226199999999999</v>
      </c>
      <c r="DR42" s="93">
        <v>28.618600000000001</v>
      </c>
      <c r="DS42" s="93">
        <v>6.5469999999999997</v>
      </c>
      <c r="DT42" s="93">
        <v>18.4329</v>
      </c>
      <c r="DU42" s="93">
        <v>85.850899999999996</v>
      </c>
      <c r="DV42" s="93">
        <v>16.745200000000001</v>
      </c>
      <c r="DW42" s="93">
        <v>19.1873</v>
      </c>
      <c r="DX42" s="93">
        <v>15.7074</v>
      </c>
      <c r="DY42" s="93">
        <v>42.994199999999999</v>
      </c>
      <c r="DZ42" s="93">
        <v>17.065899999999999</v>
      </c>
      <c r="EA42" s="93">
        <v>23.122800000000002</v>
      </c>
      <c r="EB42" s="93">
        <v>17.883299999999998</v>
      </c>
      <c r="EC42" s="93">
        <v>18.595300000000002</v>
      </c>
      <c r="ED42" s="93">
        <v>15.506</v>
      </c>
      <c r="EE42" s="93">
        <v>6.5591999999999997</v>
      </c>
      <c r="EF42" s="93">
        <v>16.5594</v>
      </c>
      <c r="EG42" s="93">
        <v>22.5595</v>
      </c>
      <c r="EH42" s="93">
        <v>16.835100000000001</v>
      </c>
      <c r="EI42" s="93">
        <v>6.6928999999999998</v>
      </c>
      <c r="EJ42" s="93">
        <v>19.454899999999999</v>
      </c>
      <c r="EK42" s="93">
        <v>28.096399999999999</v>
      </c>
      <c r="EL42" s="93">
        <v>16.951499999999999</v>
      </c>
      <c r="EM42" s="93">
        <v>9.3882999999999992</v>
      </c>
      <c r="EN42" s="93">
        <v>34.633699999999997</v>
      </c>
      <c r="EO42" s="93">
        <v>37.018700000000003</v>
      </c>
      <c r="EP42" s="93">
        <v>19.527799999999999</v>
      </c>
      <c r="EQ42" s="93">
        <v>15.8863</v>
      </c>
      <c r="ER42" s="93">
        <v>17.4222</v>
      </c>
      <c r="ES42" s="93">
        <v>14.2288</v>
      </c>
      <c r="ET42" s="93">
        <v>18.6356</v>
      </c>
      <c r="EU42" s="93">
        <v>17.279199999999999</v>
      </c>
      <c r="EV42" s="93">
        <v>15.334099999999999</v>
      </c>
      <c r="EW42" s="93">
        <v>11.896800000000001</v>
      </c>
      <c r="EX42" s="93">
        <v>37.290799999999997</v>
      </c>
      <c r="EY42" s="93">
        <v>23.740300000000001</v>
      </c>
      <c r="EZ42" s="93">
        <v>18.284099999999999</v>
      </c>
      <c r="FA42" s="93">
        <v>8.3002000000000002</v>
      </c>
      <c r="FB42" s="93">
        <v>6.0572999999999997</v>
      </c>
      <c r="FC42" s="93">
        <v>14.7341</v>
      </c>
      <c r="FD42" s="93">
        <v>14.067</v>
      </c>
      <c r="FE42" s="93">
        <v>21.446300000000001</v>
      </c>
      <c r="FF42" s="93">
        <v>35.277000000000001</v>
      </c>
      <c r="FG42" s="93">
        <v>11.0892</v>
      </c>
      <c r="FH42" s="93">
        <v>20.048200000000001</v>
      </c>
      <c r="FI42" s="93">
        <v>39.485999999999997</v>
      </c>
      <c r="FJ42" s="93">
        <v>34.690800000000003</v>
      </c>
      <c r="FK42" s="93">
        <v>28.500599999999999</v>
      </c>
      <c r="FL42" s="93">
        <v>45.621099999999998</v>
      </c>
      <c r="FM42" s="93">
        <v>42.759399999999999</v>
      </c>
      <c r="FN42" s="93">
        <v>23.391400000000001</v>
      </c>
      <c r="FO42" s="93">
        <v>11.8225</v>
      </c>
    </row>
    <row r="43" spans="1:171" x14ac:dyDescent="0.2">
      <c r="A43" s="120" t="s">
        <v>379</v>
      </c>
      <c r="B43" s="121"/>
      <c r="C43" s="93">
        <v>0</v>
      </c>
      <c r="D43" s="93">
        <v>0</v>
      </c>
      <c r="E43" s="93">
        <v>0</v>
      </c>
      <c r="F43" s="93">
        <v>0</v>
      </c>
      <c r="G43" s="93">
        <v>0</v>
      </c>
      <c r="H43" s="93">
        <v>0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0</v>
      </c>
      <c r="X43" s="93">
        <v>0</v>
      </c>
      <c r="Y43" s="93">
        <v>0</v>
      </c>
      <c r="Z43" s="93">
        <v>0</v>
      </c>
      <c r="AA43" s="93">
        <v>0</v>
      </c>
      <c r="AB43" s="93">
        <v>0</v>
      </c>
      <c r="AC43" s="93">
        <v>0</v>
      </c>
      <c r="AD43" s="93">
        <v>0</v>
      </c>
      <c r="AE43" s="93">
        <v>0</v>
      </c>
      <c r="AF43" s="93">
        <v>0</v>
      </c>
      <c r="AG43" s="93">
        <v>0</v>
      </c>
      <c r="AH43" s="93">
        <v>0</v>
      </c>
      <c r="AI43" s="93">
        <v>0</v>
      </c>
      <c r="AJ43" s="93">
        <v>0</v>
      </c>
      <c r="AK43" s="93">
        <v>0</v>
      </c>
      <c r="AL43" s="93">
        <v>0</v>
      </c>
      <c r="AM43" s="93">
        <v>0</v>
      </c>
      <c r="AN43" s="93">
        <v>0</v>
      </c>
      <c r="AO43" s="93">
        <v>0</v>
      </c>
      <c r="AP43" s="93">
        <v>0</v>
      </c>
      <c r="AQ43" s="93">
        <v>0</v>
      </c>
      <c r="AR43" s="93">
        <v>0</v>
      </c>
      <c r="AS43" s="93">
        <v>0</v>
      </c>
      <c r="AT43" s="93">
        <v>0</v>
      </c>
      <c r="AU43" s="93">
        <v>0</v>
      </c>
      <c r="AV43" s="93">
        <v>0</v>
      </c>
      <c r="AW43" s="93">
        <v>0</v>
      </c>
      <c r="AX43" s="93">
        <v>0</v>
      </c>
      <c r="AY43" s="93">
        <v>0</v>
      </c>
      <c r="AZ43" s="93">
        <v>0</v>
      </c>
      <c r="BA43" s="93">
        <v>0</v>
      </c>
      <c r="BB43" s="93">
        <v>0</v>
      </c>
      <c r="BC43" s="93">
        <v>0</v>
      </c>
      <c r="BD43" s="93">
        <v>0</v>
      </c>
      <c r="BE43" s="93">
        <v>0</v>
      </c>
      <c r="BF43" s="93">
        <v>0</v>
      </c>
      <c r="BG43" s="93">
        <v>0</v>
      </c>
      <c r="BH43" s="93">
        <v>0</v>
      </c>
      <c r="BI43" s="93">
        <v>0</v>
      </c>
      <c r="BJ43" s="93">
        <v>0</v>
      </c>
      <c r="BK43" s="93">
        <v>0</v>
      </c>
      <c r="BL43" s="93">
        <v>0</v>
      </c>
      <c r="BM43" s="93">
        <v>0</v>
      </c>
      <c r="BN43" s="93">
        <v>0</v>
      </c>
      <c r="BO43" s="93">
        <v>0</v>
      </c>
      <c r="BP43" s="93">
        <v>0</v>
      </c>
      <c r="BQ43" s="93">
        <v>0</v>
      </c>
      <c r="BR43" s="93">
        <v>0</v>
      </c>
      <c r="BS43" s="93">
        <v>0</v>
      </c>
      <c r="BT43" s="93">
        <v>0</v>
      </c>
      <c r="BU43" s="93">
        <v>0</v>
      </c>
      <c r="BV43" s="93">
        <v>0</v>
      </c>
      <c r="BW43" s="93">
        <v>0</v>
      </c>
      <c r="BX43" s="93">
        <v>0</v>
      </c>
      <c r="BY43" s="93">
        <v>0</v>
      </c>
      <c r="BZ43" s="93">
        <v>0</v>
      </c>
      <c r="CA43" s="93">
        <v>0</v>
      </c>
      <c r="CB43" s="93">
        <v>0</v>
      </c>
      <c r="CC43" s="93">
        <v>0</v>
      </c>
      <c r="CD43" s="93">
        <v>0</v>
      </c>
      <c r="CE43" s="93">
        <v>0</v>
      </c>
      <c r="CF43" s="93">
        <v>0</v>
      </c>
      <c r="CG43" s="93">
        <v>0</v>
      </c>
      <c r="CH43" s="93">
        <v>0</v>
      </c>
      <c r="CI43" s="93">
        <v>0</v>
      </c>
      <c r="CJ43" s="93">
        <v>0</v>
      </c>
      <c r="CK43" s="93">
        <v>0</v>
      </c>
      <c r="CL43" s="93">
        <v>0</v>
      </c>
      <c r="CM43" s="93">
        <v>0</v>
      </c>
      <c r="CN43" s="93">
        <v>0</v>
      </c>
      <c r="CO43" s="93">
        <v>0</v>
      </c>
      <c r="CP43" s="93">
        <v>0</v>
      </c>
      <c r="CQ43" s="93">
        <v>0</v>
      </c>
      <c r="CR43" s="93">
        <v>0</v>
      </c>
      <c r="CS43" s="93">
        <v>0</v>
      </c>
      <c r="CT43" s="93">
        <v>0</v>
      </c>
      <c r="CU43" s="93">
        <v>0</v>
      </c>
      <c r="CV43" s="93">
        <v>0</v>
      </c>
      <c r="CW43" s="93">
        <v>0</v>
      </c>
      <c r="CX43" s="93">
        <v>0</v>
      </c>
      <c r="CY43" s="93">
        <v>0</v>
      </c>
      <c r="CZ43" s="93">
        <v>0</v>
      </c>
      <c r="DA43" s="93">
        <v>0</v>
      </c>
      <c r="DB43" s="93">
        <v>0</v>
      </c>
      <c r="DC43" s="93">
        <v>0</v>
      </c>
      <c r="DD43" s="93">
        <v>0</v>
      </c>
      <c r="DE43" s="93">
        <v>0</v>
      </c>
      <c r="DF43" s="93">
        <v>0</v>
      </c>
      <c r="DG43" s="93">
        <v>0</v>
      </c>
      <c r="DH43" s="93">
        <v>0</v>
      </c>
      <c r="DI43" s="93">
        <v>0</v>
      </c>
      <c r="DJ43" s="93">
        <v>0</v>
      </c>
      <c r="DK43" s="93">
        <v>0</v>
      </c>
      <c r="DL43" s="93">
        <v>0</v>
      </c>
      <c r="DM43" s="93">
        <v>0</v>
      </c>
      <c r="DN43" s="93">
        <v>0</v>
      </c>
      <c r="DO43" s="93">
        <v>0</v>
      </c>
      <c r="DP43" s="93">
        <v>0</v>
      </c>
      <c r="DQ43" s="93">
        <v>0</v>
      </c>
      <c r="DR43" s="93">
        <v>0</v>
      </c>
      <c r="DS43" s="93">
        <v>0</v>
      </c>
      <c r="DT43" s="93">
        <v>0</v>
      </c>
      <c r="DU43" s="93">
        <v>0</v>
      </c>
      <c r="DV43" s="93">
        <v>0</v>
      </c>
      <c r="DW43" s="93">
        <v>0</v>
      </c>
      <c r="DX43" s="93">
        <v>0</v>
      </c>
      <c r="DY43" s="93">
        <v>0</v>
      </c>
      <c r="DZ43" s="93">
        <v>0</v>
      </c>
      <c r="EA43" s="93">
        <v>0</v>
      </c>
      <c r="EB43" s="93">
        <v>0</v>
      </c>
      <c r="EC43" s="93">
        <v>0</v>
      </c>
      <c r="ED43" s="93">
        <v>0</v>
      </c>
      <c r="EE43" s="93">
        <v>0</v>
      </c>
      <c r="EF43" s="93">
        <v>0</v>
      </c>
      <c r="EG43" s="93">
        <v>0</v>
      </c>
      <c r="EH43" s="93">
        <v>0</v>
      </c>
      <c r="EI43" s="93">
        <v>0</v>
      </c>
      <c r="EJ43" s="93">
        <v>0</v>
      </c>
      <c r="EK43" s="93">
        <v>0</v>
      </c>
      <c r="EL43" s="93">
        <v>0</v>
      </c>
      <c r="EM43" s="93">
        <v>0</v>
      </c>
      <c r="EN43" s="93">
        <v>0</v>
      </c>
      <c r="EO43" s="93">
        <v>0</v>
      </c>
      <c r="EP43" s="93">
        <v>0</v>
      </c>
      <c r="EQ43" s="93">
        <v>0</v>
      </c>
      <c r="ER43" s="93">
        <v>0</v>
      </c>
      <c r="ES43" s="93">
        <v>0</v>
      </c>
      <c r="ET43" s="93">
        <v>0</v>
      </c>
      <c r="EU43" s="93">
        <v>0</v>
      </c>
      <c r="EV43" s="93">
        <v>0</v>
      </c>
      <c r="EW43" s="93">
        <v>0</v>
      </c>
      <c r="EX43" s="93">
        <v>0</v>
      </c>
      <c r="EY43" s="93">
        <v>0</v>
      </c>
      <c r="EZ43" s="93">
        <v>0</v>
      </c>
      <c r="FA43" s="93">
        <v>0</v>
      </c>
      <c r="FB43" s="93">
        <v>0</v>
      </c>
      <c r="FC43" s="93">
        <v>0</v>
      </c>
      <c r="FD43" s="93">
        <v>0</v>
      </c>
      <c r="FE43" s="93">
        <v>0</v>
      </c>
      <c r="FF43" s="93">
        <v>0</v>
      </c>
      <c r="FG43" s="93">
        <v>0</v>
      </c>
      <c r="FH43" s="93">
        <v>0</v>
      </c>
      <c r="FI43" s="93">
        <v>0</v>
      </c>
      <c r="FJ43" s="93">
        <v>0</v>
      </c>
      <c r="FK43" s="93">
        <v>0</v>
      </c>
      <c r="FL43" s="93">
        <v>0</v>
      </c>
      <c r="FM43" s="93">
        <v>0</v>
      </c>
      <c r="FN43" s="93">
        <v>0</v>
      </c>
      <c r="FO43" s="93">
        <v>0</v>
      </c>
    </row>
    <row r="44" spans="1:171" x14ac:dyDescent="0.2">
      <c r="A44" s="120" t="s">
        <v>25</v>
      </c>
      <c r="B44" s="121"/>
      <c r="C44" s="93">
        <v>0</v>
      </c>
      <c r="D44" s="93">
        <v>0</v>
      </c>
      <c r="E44" s="93">
        <v>0</v>
      </c>
      <c r="F44" s="93">
        <v>0</v>
      </c>
      <c r="G44" s="93">
        <v>0</v>
      </c>
      <c r="H44" s="93">
        <v>0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0</v>
      </c>
      <c r="X44" s="93">
        <v>0</v>
      </c>
      <c r="Y44" s="93">
        <v>0</v>
      </c>
      <c r="Z44" s="93">
        <v>0</v>
      </c>
      <c r="AA44" s="93">
        <v>0</v>
      </c>
      <c r="AB44" s="93">
        <v>0</v>
      </c>
      <c r="AC44" s="93">
        <v>0</v>
      </c>
      <c r="AD44" s="93">
        <v>0</v>
      </c>
      <c r="AE44" s="93">
        <v>0</v>
      </c>
      <c r="AF44" s="93">
        <v>0</v>
      </c>
      <c r="AG44" s="93">
        <v>0</v>
      </c>
      <c r="AH44" s="93">
        <v>0</v>
      </c>
      <c r="AI44" s="93">
        <v>0</v>
      </c>
      <c r="AJ44" s="93">
        <v>0</v>
      </c>
      <c r="AK44" s="93">
        <v>0</v>
      </c>
      <c r="AL44" s="93">
        <v>0</v>
      </c>
      <c r="AM44" s="93">
        <v>0</v>
      </c>
      <c r="AN44" s="93">
        <v>0</v>
      </c>
      <c r="AO44" s="93">
        <v>0</v>
      </c>
      <c r="AP44" s="93">
        <v>0</v>
      </c>
      <c r="AQ44" s="93">
        <v>0</v>
      </c>
      <c r="AR44" s="93">
        <v>0</v>
      </c>
      <c r="AS44" s="93">
        <v>0</v>
      </c>
      <c r="AT44" s="93">
        <v>0</v>
      </c>
      <c r="AU44" s="93">
        <v>0</v>
      </c>
      <c r="AV44" s="93">
        <v>0</v>
      </c>
      <c r="AW44" s="93">
        <v>0</v>
      </c>
      <c r="AX44" s="93">
        <v>0</v>
      </c>
      <c r="AY44" s="93">
        <v>0</v>
      </c>
      <c r="AZ44" s="93">
        <v>0</v>
      </c>
      <c r="BA44" s="93">
        <v>0</v>
      </c>
      <c r="BB44" s="93">
        <v>0</v>
      </c>
      <c r="BC44" s="93">
        <v>0</v>
      </c>
      <c r="BD44" s="93">
        <v>0</v>
      </c>
      <c r="BE44" s="93">
        <v>0</v>
      </c>
      <c r="BF44" s="93">
        <v>0</v>
      </c>
      <c r="BG44" s="93">
        <v>0</v>
      </c>
      <c r="BH44" s="93">
        <v>0</v>
      </c>
      <c r="BI44" s="93">
        <v>0</v>
      </c>
      <c r="BJ44" s="93">
        <v>0</v>
      </c>
      <c r="BK44" s="93">
        <v>0</v>
      </c>
      <c r="BL44" s="93">
        <v>0</v>
      </c>
      <c r="BM44" s="93">
        <v>0</v>
      </c>
      <c r="BN44" s="93">
        <v>0</v>
      </c>
      <c r="BO44" s="93">
        <v>0</v>
      </c>
      <c r="BP44" s="93">
        <v>0</v>
      </c>
      <c r="BQ44" s="93">
        <v>0</v>
      </c>
      <c r="BR44" s="93">
        <v>0</v>
      </c>
      <c r="BS44" s="93">
        <v>0</v>
      </c>
      <c r="BT44" s="93">
        <v>0</v>
      </c>
      <c r="BU44" s="93">
        <v>0</v>
      </c>
      <c r="BV44" s="93">
        <v>0</v>
      </c>
      <c r="BW44" s="93">
        <v>0</v>
      </c>
      <c r="BX44" s="93">
        <v>0</v>
      </c>
      <c r="BY44" s="93">
        <v>0</v>
      </c>
      <c r="BZ44" s="93">
        <v>0</v>
      </c>
      <c r="CA44" s="93">
        <v>0</v>
      </c>
      <c r="CB44" s="93">
        <v>0</v>
      </c>
      <c r="CC44" s="93">
        <v>0</v>
      </c>
      <c r="CD44" s="93">
        <v>0</v>
      </c>
      <c r="CE44" s="93">
        <v>0</v>
      </c>
      <c r="CF44" s="93">
        <v>0</v>
      </c>
      <c r="CG44" s="93">
        <v>0</v>
      </c>
      <c r="CH44" s="93">
        <v>0</v>
      </c>
      <c r="CI44" s="93">
        <v>0</v>
      </c>
      <c r="CJ44" s="93">
        <v>0</v>
      </c>
      <c r="CK44" s="93">
        <v>0</v>
      </c>
      <c r="CL44" s="93">
        <v>0</v>
      </c>
      <c r="CM44" s="93">
        <v>0</v>
      </c>
      <c r="CN44" s="93">
        <v>0</v>
      </c>
      <c r="CO44" s="93">
        <v>0</v>
      </c>
      <c r="CP44" s="93">
        <v>0</v>
      </c>
      <c r="CQ44" s="93">
        <v>0</v>
      </c>
      <c r="CR44" s="93">
        <v>0</v>
      </c>
      <c r="CS44" s="93">
        <v>0</v>
      </c>
      <c r="CT44" s="93">
        <v>0</v>
      </c>
      <c r="CU44" s="93">
        <v>0</v>
      </c>
      <c r="CV44" s="93">
        <v>0</v>
      </c>
      <c r="CW44" s="93">
        <v>0</v>
      </c>
      <c r="CX44" s="93">
        <v>0</v>
      </c>
      <c r="CY44" s="93">
        <v>0</v>
      </c>
      <c r="CZ44" s="93">
        <v>0</v>
      </c>
      <c r="DA44" s="93">
        <v>0</v>
      </c>
      <c r="DB44" s="93">
        <v>0</v>
      </c>
      <c r="DC44" s="93">
        <v>0</v>
      </c>
      <c r="DD44" s="93">
        <v>0</v>
      </c>
      <c r="DE44" s="93">
        <v>0</v>
      </c>
      <c r="DF44" s="93">
        <v>0</v>
      </c>
      <c r="DG44" s="93">
        <v>0</v>
      </c>
      <c r="DH44" s="93">
        <v>0</v>
      </c>
      <c r="DI44" s="93">
        <v>0</v>
      </c>
      <c r="DJ44" s="93">
        <v>0</v>
      </c>
      <c r="DK44" s="93">
        <v>0</v>
      </c>
      <c r="DL44" s="93">
        <v>0</v>
      </c>
      <c r="DM44" s="93">
        <v>0</v>
      </c>
      <c r="DN44" s="93">
        <v>0</v>
      </c>
      <c r="DO44" s="93">
        <v>0</v>
      </c>
      <c r="DP44" s="93">
        <v>0</v>
      </c>
      <c r="DQ44" s="93">
        <v>0</v>
      </c>
      <c r="DR44" s="93">
        <v>0</v>
      </c>
      <c r="DS44" s="93">
        <v>0</v>
      </c>
      <c r="DT44" s="93">
        <v>0</v>
      </c>
      <c r="DU44" s="93">
        <v>0</v>
      </c>
      <c r="DV44" s="93">
        <v>0</v>
      </c>
      <c r="DW44" s="93">
        <v>0</v>
      </c>
      <c r="DX44" s="93">
        <v>0</v>
      </c>
      <c r="DY44" s="93">
        <v>0</v>
      </c>
      <c r="DZ44" s="93">
        <v>0</v>
      </c>
      <c r="EA44" s="93">
        <v>0</v>
      </c>
      <c r="EB44" s="93">
        <v>0</v>
      </c>
      <c r="EC44" s="93">
        <v>0</v>
      </c>
      <c r="ED44" s="93">
        <v>0</v>
      </c>
      <c r="EE44" s="93">
        <v>0</v>
      </c>
      <c r="EF44" s="93">
        <v>0</v>
      </c>
      <c r="EG44" s="93">
        <v>0</v>
      </c>
      <c r="EH44" s="93">
        <v>0</v>
      </c>
      <c r="EI44" s="93">
        <v>0</v>
      </c>
      <c r="EJ44" s="93">
        <v>0</v>
      </c>
      <c r="EK44" s="93">
        <v>0</v>
      </c>
      <c r="EL44" s="93">
        <v>0</v>
      </c>
      <c r="EM44" s="93">
        <v>0</v>
      </c>
      <c r="EN44" s="93">
        <v>0</v>
      </c>
      <c r="EO44" s="93">
        <v>0</v>
      </c>
      <c r="EP44" s="93">
        <v>0</v>
      </c>
      <c r="EQ44" s="93">
        <v>0</v>
      </c>
      <c r="ER44" s="93">
        <v>0</v>
      </c>
      <c r="ES44" s="93">
        <v>0</v>
      </c>
      <c r="ET44" s="93">
        <v>0</v>
      </c>
      <c r="EU44" s="93">
        <v>0</v>
      </c>
      <c r="EV44" s="93">
        <v>0</v>
      </c>
      <c r="EW44" s="93">
        <v>0</v>
      </c>
      <c r="EX44" s="93">
        <v>0</v>
      </c>
      <c r="EY44" s="93">
        <v>0</v>
      </c>
      <c r="EZ44" s="93">
        <v>0</v>
      </c>
      <c r="FA44" s="93">
        <v>0</v>
      </c>
      <c r="FB44" s="93">
        <v>0</v>
      </c>
      <c r="FC44" s="93">
        <v>0</v>
      </c>
      <c r="FD44" s="93">
        <v>0</v>
      </c>
      <c r="FE44" s="93">
        <v>0</v>
      </c>
      <c r="FF44" s="93">
        <v>0</v>
      </c>
      <c r="FG44" s="93">
        <v>0</v>
      </c>
      <c r="FH44" s="93">
        <v>0</v>
      </c>
      <c r="FI44" s="93">
        <v>0</v>
      </c>
      <c r="FJ44" s="93">
        <v>0</v>
      </c>
      <c r="FK44" s="93">
        <v>0</v>
      </c>
      <c r="FL44" s="93">
        <v>0</v>
      </c>
      <c r="FM44" s="93">
        <v>0</v>
      </c>
      <c r="FN44" s="93">
        <v>0</v>
      </c>
      <c r="FO44" s="93">
        <v>0</v>
      </c>
    </row>
    <row r="45" spans="1:171" x14ac:dyDescent="0.2">
      <c r="A45" s="120" t="s">
        <v>383</v>
      </c>
      <c r="B45" s="121"/>
      <c r="C45" s="93">
        <v>0</v>
      </c>
      <c r="D45" s="93">
        <v>0</v>
      </c>
      <c r="E45" s="93">
        <v>0</v>
      </c>
      <c r="F45" s="93">
        <v>0</v>
      </c>
      <c r="G45" s="93">
        <v>0</v>
      </c>
      <c r="H45" s="93">
        <v>0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  <c r="Z45" s="93">
        <v>0</v>
      </c>
      <c r="AA45" s="93">
        <v>0</v>
      </c>
      <c r="AB45" s="93">
        <v>0</v>
      </c>
      <c r="AC45" s="93">
        <v>0</v>
      </c>
      <c r="AD45" s="93">
        <v>0</v>
      </c>
      <c r="AE45" s="93">
        <v>0</v>
      </c>
      <c r="AF45" s="93">
        <v>0</v>
      </c>
      <c r="AG45" s="93">
        <v>0</v>
      </c>
      <c r="AH45" s="93">
        <v>0</v>
      </c>
      <c r="AI45" s="93">
        <v>0</v>
      </c>
      <c r="AJ45" s="93">
        <v>0</v>
      </c>
      <c r="AK45" s="93">
        <v>0</v>
      </c>
      <c r="AL45" s="93">
        <v>0</v>
      </c>
      <c r="AM45" s="93">
        <v>0</v>
      </c>
      <c r="AN45" s="93">
        <v>0</v>
      </c>
      <c r="AO45" s="93">
        <v>0</v>
      </c>
      <c r="AP45" s="93">
        <v>0</v>
      </c>
      <c r="AQ45" s="93">
        <v>0</v>
      </c>
      <c r="AR45" s="93">
        <v>0</v>
      </c>
      <c r="AS45" s="93">
        <v>0</v>
      </c>
      <c r="AT45" s="93">
        <v>0</v>
      </c>
      <c r="AU45" s="93">
        <v>0</v>
      </c>
      <c r="AV45" s="93">
        <v>0</v>
      </c>
      <c r="AW45" s="93">
        <v>0</v>
      </c>
      <c r="AX45" s="93">
        <v>0</v>
      </c>
      <c r="AY45" s="93">
        <v>0</v>
      </c>
      <c r="AZ45" s="93">
        <v>0</v>
      </c>
      <c r="BA45" s="93">
        <v>0</v>
      </c>
      <c r="BB45" s="93">
        <v>0</v>
      </c>
      <c r="BC45" s="93">
        <v>0</v>
      </c>
      <c r="BD45" s="93">
        <v>0</v>
      </c>
      <c r="BE45" s="93">
        <v>0</v>
      </c>
      <c r="BF45" s="93">
        <v>0</v>
      </c>
      <c r="BG45" s="93">
        <v>0</v>
      </c>
      <c r="BH45" s="93">
        <v>0</v>
      </c>
      <c r="BI45" s="93">
        <v>0</v>
      </c>
      <c r="BJ45" s="93">
        <v>0</v>
      </c>
      <c r="BK45" s="93">
        <v>0</v>
      </c>
      <c r="BL45" s="93">
        <v>0</v>
      </c>
      <c r="BM45" s="93">
        <v>0</v>
      </c>
      <c r="BN45" s="93">
        <v>0</v>
      </c>
      <c r="BO45" s="93">
        <v>0</v>
      </c>
      <c r="BP45" s="93">
        <v>0</v>
      </c>
      <c r="BQ45" s="93">
        <v>0</v>
      </c>
      <c r="BR45" s="93">
        <v>0</v>
      </c>
      <c r="BS45" s="93">
        <v>0</v>
      </c>
      <c r="BT45" s="93">
        <v>0</v>
      </c>
      <c r="BU45" s="93">
        <v>0</v>
      </c>
      <c r="BV45" s="93">
        <v>0</v>
      </c>
      <c r="BW45" s="93">
        <v>0</v>
      </c>
      <c r="BX45" s="93">
        <v>0</v>
      </c>
      <c r="BY45" s="93">
        <v>0</v>
      </c>
      <c r="BZ45" s="93">
        <v>0</v>
      </c>
      <c r="CA45" s="93">
        <v>0</v>
      </c>
      <c r="CB45" s="93">
        <v>0</v>
      </c>
      <c r="CC45" s="93">
        <v>0</v>
      </c>
      <c r="CD45" s="93">
        <v>0</v>
      </c>
      <c r="CE45" s="93">
        <v>0</v>
      </c>
      <c r="CF45" s="93">
        <v>0</v>
      </c>
      <c r="CG45" s="93">
        <v>0</v>
      </c>
      <c r="CH45" s="93">
        <v>0</v>
      </c>
      <c r="CI45" s="93">
        <v>0</v>
      </c>
      <c r="CJ45" s="93">
        <v>0</v>
      </c>
      <c r="CK45" s="93">
        <v>0</v>
      </c>
      <c r="CL45" s="93">
        <v>0</v>
      </c>
      <c r="CM45" s="93">
        <v>0</v>
      </c>
      <c r="CN45" s="93">
        <v>0</v>
      </c>
      <c r="CO45" s="93">
        <v>0</v>
      </c>
      <c r="CP45" s="93">
        <v>0</v>
      </c>
      <c r="CQ45" s="93">
        <v>0</v>
      </c>
      <c r="CR45" s="93">
        <v>0</v>
      </c>
      <c r="CS45" s="93">
        <v>0</v>
      </c>
      <c r="CT45" s="93">
        <v>0</v>
      </c>
      <c r="CU45" s="93">
        <v>0</v>
      </c>
      <c r="CV45" s="93">
        <v>0</v>
      </c>
      <c r="CW45" s="93">
        <v>0</v>
      </c>
      <c r="CX45" s="93">
        <v>0</v>
      </c>
      <c r="CY45" s="93">
        <v>0</v>
      </c>
      <c r="CZ45" s="93">
        <v>0</v>
      </c>
      <c r="DA45" s="93">
        <v>0</v>
      </c>
      <c r="DB45" s="93">
        <v>0</v>
      </c>
      <c r="DC45" s="93">
        <v>0</v>
      </c>
      <c r="DD45" s="93">
        <v>0</v>
      </c>
      <c r="DE45" s="93">
        <v>0</v>
      </c>
      <c r="DF45" s="93">
        <v>0</v>
      </c>
      <c r="DG45" s="93">
        <v>0</v>
      </c>
      <c r="DH45" s="93">
        <v>0</v>
      </c>
      <c r="DI45" s="93">
        <v>0</v>
      </c>
      <c r="DJ45" s="93">
        <v>0</v>
      </c>
      <c r="DK45" s="93">
        <v>0</v>
      </c>
      <c r="DL45" s="93">
        <v>0</v>
      </c>
      <c r="DM45" s="93">
        <v>0</v>
      </c>
      <c r="DN45" s="93">
        <v>0</v>
      </c>
      <c r="DO45" s="93">
        <v>0</v>
      </c>
      <c r="DP45" s="93">
        <v>0</v>
      </c>
      <c r="DQ45" s="93">
        <v>0</v>
      </c>
      <c r="DR45" s="93">
        <v>0</v>
      </c>
      <c r="DS45" s="93">
        <v>0</v>
      </c>
      <c r="DT45" s="93">
        <v>0</v>
      </c>
      <c r="DU45" s="93">
        <v>0</v>
      </c>
      <c r="DV45" s="93">
        <v>0</v>
      </c>
      <c r="DW45" s="93">
        <v>0</v>
      </c>
      <c r="DX45" s="93">
        <v>0</v>
      </c>
      <c r="DY45" s="93">
        <v>0</v>
      </c>
      <c r="DZ45" s="93">
        <v>0</v>
      </c>
      <c r="EA45" s="93">
        <v>0</v>
      </c>
      <c r="EB45" s="93">
        <v>0</v>
      </c>
      <c r="EC45" s="93">
        <v>0</v>
      </c>
      <c r="ED45" s="93">
        <v>0</v>
      </c>
      <c r="EE45" s="93">
        <v>0</v>
      </c>
      <c r="EF45" s="93">
        <v>0</v>
      </c>
      <c r="EG45" s="93">
        <v>0</v>
      </c>
      <c r="EH45" s="93">
        <v>0</v>
      </c>
      <c r="EI45" s="93">
        <v>0</v>
      </c>
      <c r="EJ45" s="93">
        <v>0</v>
      </c>
      <c r="EK45" s="93">
        <v>0</v>
      </c>
      <c r="EL45" s="93">
        <v>0</v>
      </c>
      <c r="EM45" s="93">
        <v>0</v>
      </c>
      <c r="EN45" s="93">
        <v>0</v>
      </c>
      <c r="EO45" s="93">
        <v>0</v>
      </c>
      <c r="EP45" s="93">
        <v>0</v>
      </c>
      <c r="EQ45" s="93">
        <v>0</v>
      </c>
      <c r="ER45" s="93">
        <v>0</v>
      </c>
      <c r="ES45" s="93">
        <v>0</v>
      </c>
      <c r="ET45" s="93">
        <v>0</v>
      </c>
      <c r="EU45" s="93">
        <v>0</v>
      </c>
      <c r="EV45" s="93">
        <v>0</v>
      </c>
      <c r="EW45" s="93">
        <v>0</v>
      </c>
      <c r="EX45" s="93">
        <v>0</v>
      </c>
      <c r="EY45" s="93">
        <v>0</v>
      </c>
      <c r="EZ45" s="93">
        <v>0</v>
      </c>
      <c r="FA45" s="93">
        <v>0</v>
      </c>
      <c r="FB45" s="93">
        <v>0</v>
      </c>
      <c r="FC45" s="93">
        <v>0</v>
      </c>
      <c r="FD45" s="93">
        <v>0</v>
      </c>
      <c r="FE45" s="93">
        <v>0</v>
      </c>
      <c r="FF45" s="93">
        <v>0</v>
      </c>
      <c r="FG45" s="93">
        <v>0</v>
      </c>
      <c r="FH45" s="93">
        <v>0</v>
      </c>
      <c r="FI45" s="93">
        <v>0</v>
      </c>
      <c r="FJ45" s="93">
        <v>0</v>
      </c>
      <c r="FK45" s="93">
        <v>0</v>
      </c>
      <c r="FL45" s="93">
        <v>0</v>
      </c>
      <c r="FM45" s="93">
        <v>0</v>
      </c>
      <c r="FN45" s="93">
        <v>0</v>
      </c>
      <c r="FO45" s="93">
        <v>0</v>
      </c>
    </row>
    <row r="46" spans="1:171" x14ac:dyDescent="0.2">
      <c r="A46" s="120" t="s">
        <v>26</v>
      </c>
      <c r="B46" s="121"/>
      <c r="C46" s="93">
        <v>0</v>
      </c>
      <c r="D46" s="93">
        <v>0</v>
      </c>
      <c r="E46" s="93">
        <v>0</v>
      </c>
      <c r="F46" s="93">
        <v>0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  <c r="AA46" s="93">
        <v>0</v>
      </c>
      <c r="AB46" s="93">
        <v>0</v>
      </c>
      <c r="AC46" s="93">
        <v>0</v>
      </c>
      <c r="AD46" s="93">
        <v>0</v>
      </c>
      <c r="AE46" s="93">
        <v>0</v>
      </c>
      <c r="AF46" s="93">
        <v>0</v>
      </c>
      <c r="AG46" s="93">
        <v>0</v>
      </c>
      <c r="AH46" s="93">
        <v>0</v>
      </c>
      <c r="AI46" s="93">
        <v>0</v>
      </c>
      <c r="AJ46" s="93">
        <v>0</v>
      </c>
      <c r="AK46" s="93">
        <v>0</v>
      </c>
      <c r="AL46" s="93">
        <v>0</v>
      </c>
      <c r="AM46" s="93">
        <v>0</v>
      </c>
      <c r="AN46" s="93">
        <v>0</v>
      </c>
      <c r="AO46" s="93">
        <v>0</v>
      </c>
      <c r="AP46" s="93">
        <v>0</v>
      </c>
      <c r="AQ46" s="93">
        <v>0</v>
      </c>
      <c r="AR46" s="93">
        <v>0</v>
      </c>
      <c r="AS46" s="93">
        <v>0</v>
      </c>
      <c r="AT46" s="93">
        <v>0</v>
      </c>
      <c r="AU46" s="93">
        <v>0</v>
      </c>
      <c r="AV46" s="93">
        <v>0</v>
      </c>
      <c r="AW46" s="93">
        <v>0</v>
      </c>
      <c r="AX46" s="93">
        <v>0</v>
      </c>
      <c r="AY46" s="93">
        <v>0</v>
      </c>
      <c r="AZ46" s="93">
        <v>0</v>
      </c>
      <c r="BA46" s="93">
        <v>0</v>
      </c>
      <c r="BB46" s="93">
        <v>0</v>
      </c>
      <c r="BC46" s="93">
        <v>0</v>
      </c>
      <c r="BD46" s="93">
        <v>0</v>
      </c>
      <c r="BE46" s="93">
        <v>0</v>
      </c>
      <c r="BF46" s="93">
        <v>0</v>
      </c>
      <c r="BG46" s="93">
        <v>0</v>
      </c>
      <c r="BH46" s="93">
        <v>0</v>
      </c>
      <c r="BI46" s="93">
        <v>0</v>
      </c>
      <c r="BJ46" s="93">
        <v>0</v>
      </c>
      <c r="BK46" s="93">
        <v>0</v>
      </c>
      <c r="BL46" s="93">
        <v>0</v>
      </c>
      <c r="BM46" s="93">
        <v>0</v>
      </c>
      <c r="BN46" s="93">
        <v>0</v>
      </c>
      <c r="BO46" s="93">
        <v>0</v>
      </c>
      <c r="BP46" s="93">
        <v>0</v>
      </c>
      <c r="BQ46" s="93">
        <v>0</v>
      </c>
      <c r="BR46" s="93">
        <v>0</v>
      </c>
      <c r="BS46" s="93">
        <v>0</v>
      </c>
      <c r="BT46" s="93">
        <v>0</v>
      </c>
      <c r="BU46" s="93">
        <v>0</v>
      </c>
      <c r="BV46" s="93">
        <v>0</v>
      </c>
      <c r="BW46" s="93">
        <v>0</v>
      </c>
      <c r="BX46" s="93">
        <v>0</v>
      </c>
      <c r="BY46" s="93">
        <v>0</v>
      </c>
      <c r="BZ46" s="93">
        <v>0</v>
      </c>
      <c r="CA46" s="93">
        <v>0</v>
      </c>
      <c r="CB46" s="93">
        <v>0</v>
      </c>
      <c r="CC46" s="93">
        <v>0</v>
      </c>
      <c r="CD46" s="93">
        <v>0</v>
      </c>
      <c r="CE46" s="93">
        <v>0</v>
      </c>
      <c r="CF46" s="93">
        <v>0</v>
      </c>
      <c r="CG46" s="93">
        <v>0</v>
      </c>
      <c r="CH46" s="93">
        <v>0</v>
      </c>
      <c r="CI46" s="93">
        <v>0</v>
      </c>
      <c r="CJ46" s="93">
        <v>0</v>
      </c>
      <c r="CK46" s="93">
        <v>0</v>
      </c>
      <c r="CL46" s="93">
        <v>0</v>
      </c>
      <c r="CM46" s="93">
        <v>0</v>
      </c>
      <c r="CN46" s="93">
        <v>0</v>
      </c>
      <c r="CO46" s="93">
        <v>0</v>
      </c>
      <c r="CP46" s="93">
        <v>0</v>
      </c>
      <c r="CQ46" s="93">
        <v>0</v>
      </c>
      <c r="CR46" s="93">
        <v>0</v>
      </c>
      <c r="CS46" s="93">
        <v>0</v>
      </c>
      <c r="CT46" s="93">
        <v>0</v>
      </c>
      <c r="CU46" s="93">
        <v>0</v>
      </c>
      <c r="CV46" s="93">
        <v>0</v>
      </c>
      <c r="CW46" s="93">
        <v>0</v>
      </c>
      <c r="CX46" s="93">
        <v>0</v>
      </c>
      <c r="CY46" s="93">
        <v>0</v>
      </c>
      <c r="CZ46" s="93">
        <v>0</v>
      </c>
      <c r="DA46" s="93">
        <v>0</v>
      </c>
      <c r="DB46" s="93">
        <v>0</v>
      </c>
      <c r="DC46" s="93">
        <v>0</v>
      </c>
      <c r="DD46" s="93">
        <v>0</v>
      </c>
      <c r="DE46" s="93">
        <v>0</v>
      </c>
      <c r="DF46" s="93">
        <v>0</v>
      </c>
      <c r="DG46" s="93">
        <v>0</v>
      </c>
      <c r="DH46" s="93">
        <v>0</v>
      </c>
      <c r="DI46" s="93">
        <v>0</v>
      </c>
      <c r="DJ46" s="93">
        <v>0</v>
      </c>
      <c r="DK46" s="93">
        <v>0</v>
      </c>
      <c r="DL46" s="93">
        <v>0</v>
      </c>
      <c r="DM46" s="93">
        <v>0</v>
      </c>
      <c r="DN46" s="93">
        <v>0</v>
      </c>
      <c r="DO46" s="93">
        <v>0</v>
      </c>
      <c r="DP46" s="93">
        <v>0</v>
      </c>
      <c r="DQ46" s="93">
        <v>0</v>
      </c>
      <c r="DR46" s="93">
        <v>0</v>
      </c>
      <c r="DS46" s="93">
        <v>0</v>
      </c>
      <c r="DT46" s="93">
        <v>0</v>
      </c>
      <c r="DU46" s="93">
        <v>0</v>
      </c>
      <c r="DV46" s="93">
        <v>0</v>
      </c>
      <c r="DW46" s="93">
        <v>0</v>
      </c>
      <c r="DX46" s="93">
        <v>0</v>
      </c>
      <c r="DY46" s="93">
        <v>0</v>
      </c>
      <c r="DZ46" s="93">
        <v>0</v>
      </c>
      <c r="EA46" s="93">
        <v>0</v>
      </c>
      <c r="EB46" s="93">
        <v>0</v>
      </c>
      <c r="EC46" s="93">
        <v>0</v>
      </c>
      <c r="ED46" s="93">
        <v>0</v>
      </c>
      <c r="EE46" s="93">
        <v>0</v>
      </c>
      <c r="EF46" s="93">
        <v>0</v>
      </c>
      <c r="EG46" s="93">
        <v>0</v>
      </c>
      <c r="EH46" s="93">
        <v>0</v>
      </c>
      <c r="EI46" s="93">
        <v>0</v>
      </c>
      <c r="EJ46" s="93">
        <v>0</v>
      </c>
      <c r="EK46" s="93">
        <v>0</v>
      </c>
      <c r="EL46" s="93">
        <v>0</v>
      </c>
      <c r="EM46" s="93">
        <v>0</v>
      </c>
      <c r="EN46" s="93">
        <v>0</v>
      </c>
      <c r="EO46" s="93">
        <v>0</v>
      </c>
      <c r="EP46" s="93">
        <v>0</v>
      </c>
      <c r="EQ46" s="93">
        <v>0</v>
      </c>
      <c r="ER46" s="93">
        <v>0</v>
      </c>
      <c r="ES46" s="93">
        <v>0</v>
      </c>
      <c r="ET46" s="93">
        <v>0</v>
      </c>
      <c r="EU46" s="93">
        <v>0</v>
      </c>
      <c r="EV46" s="93">
        <v>0</v>
      </c>
      <c r="EW46" s="93">
        <v>0</v>
      </c>
      <c r="EX46" s="93">
        <v>0</v>
      </c>
      <c r="EY46" s="93">
        <v>0</v>
      </c>
      <c r="EZ46" s="93">
        <v>0</v>
      </c>
      <c r="FA46" s="93">
        <v>0</v>
      </c>
      <c r="FB46" s="93">
        <v>0</v>
      </c>
      <c r="FC46" s="93">
        <v>0</v>
      </c>
      <c r="FD46" s="93">
        <v>0</v>
      </c>
      <c r="FE46" s="93">
        <v>0</v>
      </c>
      <c r="FF46" s="93">
        <v>0</v>
      </c>
      <c r="FG46" s="93">
        <v>0</v>
      </c>
      <c r="FH46" s="93">
        <v>0</v>
      </c>
      <c r="FI46" s="93">
        <v>0</v>
      </c>
      <c r="FJ46" s="93">
        <v>0</v>
      </c>
      <c r="FK46" s="93">
        <v>0</v>
      </c>
      <c r="FL46" s="93">
        <v>0</v>
      </c>
      <c r="FM46" s="93">
        <v>0</v>
      </c>
      <c r="FN46" s="93">
        <v>0</v>
      </c>
      <c r="FO46" s="93">
        <v>0</v>
      </c>
    </row>
    <row r="47" spans="1:171" x14ac:dyDescent="0.2">
      <c r="A47" s="120" t="s">
        <v>27</v>
      </c>
      <c r="B47" s="121"/>
      <c r="C47" s="93">
        <v>0</v>
      </c>
      <c r="D47" s="93">
        <v>0</v>
      </c>
      <c r="E47" s="93">
        <v>0</v>
      </c>
      <c r="F47" s="93">
        <v>0</v>
      </c>
      <c r="G47" s="93">
        <v>0</v>
      </c>
      <c r="H47" s="93">
        <v>0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  <c r="Z47" s="93">
        <v>0</v>
      </c>
      <c r="AA47" s="93">
        <v>0</v>
      </c>
      <c r="AB47" s="93">
        <v>0</v>
      </c>
      <c r="AC47" s="93">
        <v>0</v>
      </c>
      <c r="AD47" s="93">
        <v>0</v>
      </c>
      <c r="AE47" s="93">
        <v>0</v>
      </c>
      <c r="AF47" s="93">
        <v>0</v>
      </c>
      <c r="AG47" s="93">
        <v>0</v>
      </c>
      <c r="AH47" s="93">
        <v>0</v>
      </c>
      <c r="AI47" s="93">
        <v>0</v>
      </c>
      <c r="AJ47" s="93">
        <v>0</v>
      </c>
      <c r="AK47" s="93">
        <v>0</v>
      </c>
      <c r="AL47" s="93">
        <v>0</v>
      </c>
      <c r="AM47" s="93">
        <v>0</v>
      </c>
      <c r="AN47" s="93">
        <v>0</v>
      </c>
      <c r="AO47" s="93">
        <v>0</v>
      </c>
      <c r="AP47" s="93">
        <v>0</v>
      </c>
      <c r="AQ47" s="93">
        <v>0</v>
      </c>
      <c r="AR47" s="93">
        <v>0</v>
      </c>
      <c r="AS47" s="93">
        <v>0</v>
      </c>
      <c r="AT47" s="93">
        <v>0</v>
      </c>
      <c r="AU47" s="93">
        <v>0</v>
      </c>
      <c r="AV47" s="93">
        <v>0</v>
      </c>
      <c r="AW47" s="93">
        <v>0</v>
      </c>
      <c r="AX47" s="93">
        <v>0</v>
      </c>
      <c r="AY47" s="93">
        <v>0</v>
      </c>
      <c r="AZ47" s="93">
        <v>0</v>
      </c>
      <c r="BA47" s="93">
        <v>0</v>
      </c>
      <c r="BB47" s="93">
        <v>0</v>
      </c>
      <c r="BC47" s="93">
        <v>0</v>
      </c>
      <c r="BD47" s="93">
        <v>0</v>
      </c>
      <c r="BE47" s="93">
        <v>0</v>
      </c>
      <c r="BF47" s="93">
        <v>0</v>
      </c>
      <c r="BG47" s="93">
        <v>0</v>
      </c>
      <c r="BH47" s="93">
        <v>0</v>
      </c>
      <c r="BI47" s="93">
        <v>0</v>
      </c>
      <c r="BJ47" s="93">
        <v>0</v>
      </c>
      <c r="BK47" s="93">
        <v>0</v>
      </c>
      <c r="BL47" s="93">
        <v>0</v>
      </c>
      <c r="BM47" s="93">
        <v>0</v>
      </c>
      <c r="BN47" s="93">
        <v>0</v>
      </c>
      <c r="BO47" s="93">
        <v>0</v>
      </c>
      <c r="BP47" s="93">
        <v>0</v>
      </c>
      <c r="BQ47" s="93">
        <v>0</v>
      </c>
      <c r="BR47" s="93">
        <v>0</v>
      </c>
      <c r="BS47" s="93">
        <v>0</v>
      </c>
      <c r="BT47" s="93">
        <v>0</v>
      </c>
      <c r="BU47" s="93">
        <v>0</v>
      </c>
      <c r="BV47" s="93">
        <v>0</v>
      </c>
      <c r="BW47" s="93">
        <v>0</v>
      </c>
      <c r="BX47" s="93">
        <v>0</v>
      </c>
      <c r="BY47" s="93">
        <v>0</v>
      </c>
      <c r="BZ47" s="93">
        <v>0</v>
      </c>
      <c r="CA47" s="93">
        <v>0</v>
      </c>
      <c r="CB47" s="93">
        <v>0</v>
      </c>
      <c r="CC47" s="93">
        <v>0</v>
      </c>
      <c r="CD47" s="93">
        <v>0</v>
      </c>
      <c r="CE47" s="93">
        <v>0</v>
      </c>
      <c r="CF47" s="93">
        <v>0</v>
      </c>
      <c r="CG47" s="93">
        <v>0</v>
      </c>
      <c r="CH47" s="93">
        <v>0</v>
      </c>
      <c r="CI47" s="93">
        <v>0</v>
      </c>
      <c r="CJ47" s="93">
        <v>0</v>
      </c>
      <c r="CK47" s="93">
        <v>0</v>
      </c>
      <c r="CL47" s="93">
        <v>0</v>
      </c>
      <c r="CM47" s="93">
        <v>0</v>
      </c>
      <c r="CN47" s="93">
        <v>0</v>
      </c>
      <c r="CO47" s="93">
        <v>0</v>
      </c>
      <c r="CP47" s="93">
        <v>0</v>
      </c>
      <c r="CQ47" s="93">
        <v>0</v>
      </c>
      <c r="CR47" s="93">
        <v>0</v>
      </c>
      <c r="CS47" s="93">
        <v>0</v>
      </c>
      <c r="CT47" s="93">
        <v>0</v>
      </c>
      <c r="CU47" s="93">
        <v>0</v>
      </c>
      <c r="CV47" s="93">
        <v>0</v>
      </c>
      <c r="CW47" s="93">
        <v>0</v>
      </c>
      <c r="CX47" s="93">
        <v>0</v>
      </c>
      <c r="CY47" s="93">
        <v>0</v>
      </c>
      <c r="CZ47" s="93">
        <v>0</v>
      </c>
      <c r="DA47" s="93">
        <v>0</v>
      </c>
      <c r="DB47" s="93">
        <v>0</v>
      </c>
      <c r="DC47" s="93">
        <v>0</v>
      </c>
      <c r="DD47" s="93">
        <v>0</v>
      </c>
      <c r="DE47" s="93">
        <v>0</v>
      </c>
      <c r="DF47" s="93">
        <v>0</v>
      </c>
      <c r="DG47" s="93">
        <v>0</v>
      </c>
      <c r="DH47" s="93">
        <v>0</v>
      </c>
      <c r="DI47" s="93">
        <v>0</v>
      </c>
      <c r="DJ47" s="93">
        <v>0</v>
      </c>
      <c r="DK47" s="93">
        <v>0</v>
      </c>
      <c r="DL47" s="93">
        <v>0</v>
      </c>
      <c r="DM47" s="93">
        <v>0</v>
      </c>
      <c r="DN47" s="93">
        <v>0</v>
      </c>
      <c r="DO47" s="93">
        <v>0</v>
      </c>
      <c r="DP47" s="93">
        <v>0</v>
      </c>
      <c r="DQ47" s="93">
        <v>0</v>
      </c>
      <c r="DR47" s="93">
        <v>0</v>
      </c>
      <c r="DS47" s="93">
        <v>0</v>
      </c>
      <c r="DT47" s="93">
        <v>0</v>
      </c>
      <c r="DU47" s="93">
        <v>0</v>
      </c>
      <c r="DV47" s="93">
        <v>0</v>
      </c>
      <c r="DW47" s="93">
        <v>0</v>
      </c>
      <c r="DX47" s="93">
        <v>0</v>
      </c>
      <c r="DY47" s="93">
        <v>0</v>
      </c>
      <c r="DZ47" s="93">
        <v>0</v>
      </c>
      <c r="EA47" s="93">
        <v>0</v>
      </c>
      <c r="EB47" s="93">
        <v>0</v>
      </c>
      <c r="EC47" s="93">
        <v>0</v>
      </c>
      <c r="ED47" s="93">
        <v>0</v>
      </c>
      <c r="EE47" s="93">
        <v>0</v>
      </c>
      <c r="EF47" s="93">
        <v>0</v>
      </c>
      <c r="EG47" s="93">
        <v>0</v>
      </c>
      <c r="EH47" s="93">
        <v>0</v>
      </c>
      <c r="EI47" s="93">
        <v>0</v>
      </c>
      <c r="EJ47" s="93">
        <v>0</v>
      </c>
      <c r="EK47" s="93">
        <v>0</v>
      </c>
      <c r="EL47" s="93">
        <v>0</v>
      </c>
      <c r="EM47" s="93">
        <v>0</v>
      </c>
      <c r="EN47" s="93">
        <v>0</v>
      </c>
      <c r="EO47" s="93">
        <v>0</v>
      </c>
      <c r="EP47" s="93">
        <v>0</v>
      </c>
      <c r="EQ47" s="93">
        <v>0</v>
      </c>
      <c r="ER47" s="93">
        <v>0</v>
      </c>
      <c r="ES47" s="93">
        <v>0</v>
      </c>
      <c r="ET47" s="93">
        <v>0</v>
      </c>
      <c r="EU47" s="93">
        <v>0</v>
      </c>
      <c r="EV47" s="93">
        <v>0</v>
      </c>
      <c r="EW47" s="93">
        <v>0</v>
      </c>
      <c r="EX47" s="93">
        <v>0</v>
      </c>
      <c r="EY47" s="93">
        <v>0</v>
      </c>
      <c r="EZ47" s="93">
        <v>0</v>
      </c>
      <c r="FA47" s="93">
        <v>0</v>
      </c>
      <c r="FB47" s="93">
        <v>0</v>
      </c>
      <c r="FC47" s="93">
        <v>0</v>
      </c>
      <c r="FD47" s="93">
        <v>0</v>
      </c>
      <c r="FE47" s="93">
        <v>0</v>
      </c>
      <c r="FF47" s="93">
        <v>0</v>
      </c>
      <c r="FG47" s="93">
        <v>0</v>
      </c>
      <c r="FH47" s="93">
        <v>0</v>
      </c>
      <c r="FI47" s="93">
        <v>0</v>
      </c>
      <c r="FJ47" s="93">
        <v>0</v>
      </c>
      <c r="FK47" s="93">
        <v>0</v>
      </c>
      <c r="FL47" s="93">
        <v>0</v>
      </c>
      <c r="FM47" s="93">
        <v>0</v>
      </c>
      <c r="FN47" s="93">
        <v>0</v>
      </c>
      <c r="FO47" s="93">
        <v>0</v>
      </c>
    </row>
    <row r="48" spans="1:171" x14ac:dyDescent="0.2">
      <c r="A48" s="120" t="s">
        <v>28</v>
      </c>
      <c r="B48" s="121"/>
      <c r="C48" s="93">
        <v>0</v>
      </c>
      <c r="D48" s="93">
        <v>0</v>
      </c>
      <c r="E48" s="93">
        <v>0</v>
      </c>
      <c r="F48" s="93">
        <v>0</v>
      </c>
      <c r="G48" s="93">
        <v>0</v>
      </c>
      <c r="H48" s="93">
        <v>0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0</v>
      </c>
      <c r="Z48" s="93">
        <v>0</v>
      </c>
      <c r="AA48" s="93">
        <v>0</v>
      </c>
      <c r="AB48" s="93">
        <v>0</v>
      </c>
      <c r="AC48" s="93">
        <v>0</v>
      </c>
      <c r="AD48" s="93">
        <v>0</v>
      </c>
      <c r="AE48" s="93">
        <v>0</v>
      </c>
      <c r="AF48" s="93">
        <v>0</v>
      </c>
      <c r="AG48" s="93">
        <v>0</v>
      </c>
      <c r="AH48" s="93">
        <v>0</v>
      </c>
      <c r="AI48" s="93">
        <v>0</v>
      </c>
      <c r="AJ48" s="93">
        <v>0</v>
      </c>
      <c r="AK48" s="93">
        <v>0</v>
      </c>
      <c r="AL48" s="93">
        <v>0</v>
      </c>
      <c r="AM48" s="93">
        <v>0</v>
      </c>
      <c r="AN48" s="93">
        <v>0</v>
      </c>
      <c r="AO48" s="93">
        <v>0</v>
      </c>
      <c r="AP48" s="93">
        <v>0</v>
      </c>
      <c r="AQ48" s="93">
        <v>0</v>
      </c>
      <c r="AR48" s="93">
        <v>0</v>
      </c>
      <c r="AS48" s="93">
        <v>0</v>
      </c>
      <c r="AT48" s="93">
        <v>0</v>
      </c>
      <c r="AU48" s="93">
        <v>0</v>
      </c>
      <c r="AV48" s="93">
        <v>0</v>
      </c>
      <c r="AW48" s="93">
        <v>0</v>
      </c>
      <c r="AX48" s="93">
        <v>0</v>
      </c>
      <c r="AY48" s="93">
        <v>0</v>
      </c>
      <c r="AZ48" s="93">
        <v>0</v>
      </c>
      <c r="BA48" s="93">
        <v>0</v>
      </c>
      <c r="BB48" s="93">
        <v>0</v>
      </c>
      <c r="BC48" s="93">
        <v>0</v>
      </c>
      <c r="BD48" s="93">
        <v>0</v>
      </c>
      <c r="BE48" s="93">
        <v>0</v>
      </c>
      <c r="BF48" s="93">
        <v>0</v>
      </c>
      <c r="BG48" s="93">
        <v>0</v>
      </c>
      <c r="BH48" s="93">
        <v>0</v>
      </c>
      <c r="BI48" s="93">
        <v>0</v>
      </c>
      <c r="BJ48" s="93">
        <v>0</v>
      </c>
      <c r="BK48" s="93">
        <v>0</v>
      </c>
      <c r="BL48" s="93">
        <v>0</v>
      </c>
      <c r="BM48" s="93">
        <v>0</v>
      </c>
      <c r="BN48" s="93">
        <v>0</v>
      </c>
      <c r="BO48" s="93">
        <v>0</v>
      </c>
      <c r="BP48" s="93">
        <v>0</v>
      </c>
      <c r="BQ48" s="93">
        <v>0</v>
      </c>
      <c r="BR48" s="93">
        <v>0</v>
      </c>
      <c r="BS48" s="93">
        <v>0</v>
      </c>
      <c r="BT48" s="93">
        <v>0</v>
      </c>
      <c r="BU48" s="93">
        <v>0</v>
      </c>
      <c r="BV48" s="93">
        <v>0</v>
      </c>
      <c r="BW48" s="93">
        <v>0</v>
      </c>
      <c r="BX48" s="93">
        <v>0</v>
      </c>
      <c r="BY48" s="93">
        <v>0</v>
      </c>
      <c r="BZ48" s="93">
        <v>0</v>
      </c>
      <c r="CA48" s="93">
        <v>0</v>
      </c>
      <c r="CB48" s="93">
        <v>0</v>
      </c>
      <c r="CC48" s="93">
        <v>0</v>
      </c>
      <c r="CD48" s="93">
        <v>0</v>
      </c>
      <c r="CE48" s="93">
        <v>0</v>
      </c>
      <c r="CF48" s="93">
        <v>0</v>
      </c>
      <c r="CG48" s="93">
        <v>0</v>
      </c>
      <c r="CH48" s="93">
        <v>0</v>
      </c>
      <c r="CI48" s="93">
        <v>0</v>
      </c>
      <c r="CJ48" s="93">
        <v>0</v>
      </c>
      <c r="CK48" s="93">
        <v>0</v>
      </c>
      <c r="CL48" s="93">
        <v>0</v>
      </c>
      <c r="CM48" s="93">
        <v>0</v>
      </c>
      <c r="CN48" s="93">
        <v>0</v>
      </c>
      <c r="CO48" s="93">
        <v>0</v>
      </c>
      <c r="CP48" s="93">
        <v>0</v>
      </c>
      <c r="CQ48" s="93">
        <v>0</v>
      </c>
      <c r="CR48" s="93">
        <v>0</v>
      </c>
      <c r="CS48" s="93">
        <v>0</v>
      </c>
      <c r="CT48" s="93">
        <v>0</v>
      </c>
      <c r="CU48" s="93">
        <v>0</v>
      </c>
      <c r="CV48" s="93">
        <v>0</v>
      </c>
      <c r="CW48" s="93">
        <v>0</v>
      </c>
      <c r="CX48" s="93">
        <v>0</v>
      </c>
      <c r="CY48" s="93">
        <v>0</v>
      </c>
      <c r="CZ48" s="93">
        <v>0</v>
      </c>
      <c r="DA48" s="93">
        <v>0</v>
      </c>
      <c r="DB48" s="93">
        <v>0</v>
      </c>
      <c r="DC48" s="93">
        <v>0</v>
      </c>
      <c r="DD48" s="93">
        <v>0</v>
      </c>
      <c r="DE48" s="93">
        <v>0</v>
      </c>
      <c r="DF48" s="93">
        <v>0</v>
      </c>
      <c r="DG48" s="93">
        <v>0</v>
      </c>
      <c r="DH48" s="93">
        <v>0</v>
      </c>
      <c r="DI48" s="93">
        <v>0</v>
      </c>
      <c r="DJ48" s="93">
        <v>0</v>
      </c>
      <c r="DK48" s="93">
        <v>0</v>
      </c>
      <c r="DL48" s="93">
        <v>0</v>
      </c>
      <c r="DM48" s="93">
        <v>0</v>
      </c>
      <c r="DN48" s="93">
        <v>0</v>
      </c>
      <c r="DO48" s="93">
        <v>0</v>
      </c>
      <c r="DP48" s="93">
        <v>0</v>
      </c>
      <c r="DQ48" s="93">
        <v>0</v>
      </c>
      <c r="DR48" s="93">
        <v>0</v>
      </c>
      <c r="DS48" s="93">
        <v>0</v>
      </c>
      <c r="DT48" s="93">
        <v>0</v>
      </c>
      <c r="DU48" s="93">
        <v>0</v>
      </c>
      <c r="DV48" s="93">
        <v>0</v>
      </c>
      <c r="DW48" s="93">
        <v>0</v>
      </c>
      <c r="DX48" s="93">
        <v>0</v>
      </c>
      <c r="DY48" s="93">
        <v>0</v>
      </c>
      <c r="DZ48" s="93">
        <v>0</v>
      </c>
      <c r="EA48" s="93">
        <v>0</v>
      </c>
      <c r="EB48" s="93">
        <v>0</v>
      </c>
      <c r="EC48" s="93">
        <v>0</v>
      </c>
      <c r="ED48" s="93">
        <v>0</v>
      </c>
      <c r="EE48" s="93">
        <v>0</v>
      </c>
      <c r="EF48" s="93">
        <v>0</v>
      </c>
      <c r="EG48" s="93">
        <v>0</v>
      </c>
      <c r="EH48" s="93">
        <v>0</v>
      </c>
      <c r="EI48" s="93">
        <v>0</v>
      </c>
      <c r="EJ48" s="93">
        <v>0</v>
      </c>
      <c r="EK48" s="93">
        <v>0</v>
      </c>
      <c r="EL48" s="93">
        <v>0</v>
      </c>
      <c r="EM48" s="93">
        <v>0</v>
      </c>
      <c r="EN48" s="93">
        <v>0</v>
      </c>
      <c r="EO48" s="93">
        <v>0</v>
      </c>
      <c r="EP48" s="93">
        <v>0</v>
      </c>
      <c r="EQ48" s="93">
        <v>0</v>
      </c>
      <c r="ER48" s="93">
        <v>0</v>
      </c>
      <c r="ES48" s="93">
        <v>0</v>
      </c>
      <c r="ET48" s="93">
        <v>0</v>
      </c>
      <c r="EU48" s="93">
        <v>0</v>
      </c>
      <c r="EV48" s="93">
        <v>0</v>
      </c>
      <c r="EW48" s="93">
        <v>0</v>
      </c>
      <c r="EX48" s="93">
        <v>0</v>
      </c>
      <c r="EY48" s="93">
        <v>0</v>
      </c>
      <c r="EZ48" s="93">
        <v>0</v>
      </c>
      <c r="FA48" s="93">
        <v>0</v>
      </c>
      <c r="FB48" s="93">
        <v>0</v>
      </c>
      <c r="FC48" s="93">
        <v>0</v>
      </c>
      <c r="FD48" s="93">
        <v>0</v>
      </c>
      <c r="FE48" s="93">
        <v>0</v>
      </c>
      <c r="FF48" s="93">
        <v>0</v>
      </c>
      <c r="FG48" s="93">
        <v>0</v>
      </c>
      <c r="FH48" s="93">
        <v>0</v>
      </c>
      <c r="FI48" s="93">
        <v>0</v>
      </c>
      <c r="FJ48" s="93">
        <v>0</v>
      </c>
      <c r="FK48" s="93">
        <v>0</v>
      </c>
      <c r="FL48" s="93">
        <v>0</v>
      </c>
      <c r="FM48" s="93">
        <v>0</v>
      </c>
      <c r="FN48" s="93">
        <v>0</v>
      </c>
      <c r="FO48" s="93">
        <v>0</v>
      </c>
    </row>
    <row r="49" spans="1:171" x14ac:dyDescent="0.2">
      <c r="A49" s="120" t="s">
        <v>29</v>
      </c>
      <c r="B49" s="121"/>
      <c r="C49" s="93">
        <v>0</v>
      </c>
      <c r="D49" s="93">
        <v>0</v>
      </c>
      <c r="E49" s="93">
        <v>0</v>
      </c>
      <c r="F49" s="93">
        <v>0</v>
      </c>
      <c r="G49" s="93">
        <v>0</v>
      </c>
      <c r="H49" s="93">
        <v>0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0</v>
      </c>
      <c r="Z49" s="93">
        <v>0</v>
      </c>
      <c r="AA49" s="93">
        <v>0</v>
      </c>
      <c r="AB49" s="93">
        <v>0</v>
      </c>
      <c r="AC49" s="93">
        <v>0</v>
      </c>
      <c r="AD49" s="93">
        <v>0</v>
      </c>
      <c r="AE49" s="93">
        <v>0</v>
      </c>
      <c r="AF49" s="93">
        <v>0</v>
      </c>
      <c r="AG49" s="93">
        <v>0</v>
      </c>
      <c r="AH49" s="93">
        <v>0</v>
      </c>
      <c r="AI49" s="93">
        <v>0</v>
      </c>
      <c r="AJ49" s="93">
        <v>0</v>
      </c>
      <c r="AK49" s="93">
        <v>0</v>
      </c>
      <c r="AL49" s="93">
        <v>0</v>
      </c>
      <c r="AM49" s="93">
        <v>0</v>
      </c>
      <c r="AN49" s="93">
        <v>0</v>
      </c>
      <c r="AO49" s="93">
        <v>0</v>
      </c>
      <c r="AP49" s="93">
        <v>0</v>
      </c>
      <c r="AQ49" s="93">
        <v>0</v>
      </c>
      <c r="AR49" s="93">
        <v>0</v>
      </c>
      <c r="AS49" s="93">
        <v>0</v>
      </c>
      <c r="AT49" s="93">
        <v>0</v>
      </c>
      <c r="AU49" s="93">
        <v>0</v>
      </c>
      <c r="AV49" s="93">
        <v>0</v>
      </c>
      <c r="AW49" s="93">
        <v>0</v>
      </c>
      <c r="AX49" s="93">
        <v>0</v>
      </c>
      <c r="AY49" s="93">
        <v>0</v>
      </c>
      <c r="AZ49" s="93">
        <v>0</v>
      </c>
      <c r="BA49" s="93">
        <v>0</v>
      </c>
      <c r="BB49" s="93">
        <v>0</v>
      </c>
      <c r="BC49" s="93">
        <v>0</v>
      </c>
      <c r="BD49" s="93">
        <v>0</v>
      </c>
      <c r="BE49" s="93">
        <v>0</v>
      </c>
      <c r="BF49" s="93">
        <v>0</v>
      </c>
      <c r="BG49" s="93">
        <v>0</v>
      </c>
      <c r="BH49" s="93">
        <v>0</v>
      </c>
      <c r="BI49" s="93">
        <v>0</v>
      </c>
      <c r="BJ49" s="93">
        <v>0</v>
      </c>
      <c r="BK49" s="93">
        <v>0</v>
      </c>
      <c r="BL49" s="93">
        <v>0</v>
      </c>
      <c r="BM49" s="93">
        <v>0</v>
      </c>
      <c r="BN49" s="93">
        <v>0</v>
      </c>
      <c r="BO49" s="93">
        <v>0</v>
      </c>
      <c r="BP49" s="93">
        <v>0</v>
      </c>
      <c r="BQ49" s="93">
        <v>0</v>
      </c>
      <c r="BR49" s="93">
        <v>0</v>
      </c>
      <c r="BS49" s="93">
        <v>0</v>
      </c>
      <c r="BT49" s="93">
        <v>0</v>
      </c>
      <c r="BU49" s="93">
        <v>0</v>
      </c>
      <c r="BV49" s="93">
        <v>0</v>
      </c>
      <c r="BW49" s="93">
        <v>0</v>
      </c>
      <c r="BX49" s="93">
        <v>0</v>
      </c>
      <c r="BY49" s="93">
        <v>0</v>
      </c>
      <c r="BZ49" s="93">
        <v>0</v>
      </c>
      <c r="CA49" s="93">
        <v>0</v>
      </c>
      <c r="CB49" s="93">
        <v>0</v>
      </c>
      <c r="CC49" s="93">
        <v>0</v>
      </c>
      <c r="CD49" s="93">
        <v>0</v>
      </c>
      <c r="CE49" s="93">
        <v>0</v>
      </c>
      <c r="CF49" s="93">
        <v>0</v>
      </c>
      <c r="CG49" s="93">
        <v>0</v>
      </c>
      <c r="CH49" s="93">
        <v>0</v>
      </c>
      <c r="CI49" s="93">
        <v>0</v>
      </c>
      <c r="CJ49" s="93">
        <v>0</v>
      </c>
      <c r="CK49" s="93">
        <v>0</v>
      </c>
      <c r="CL49" s="93">
        <v>0</v>
      </c>
      <c r="CM49" s="93">
        <v>0</v>
      </c>
      <c r="CN49" s="93">
        <v>0</v>
      </c>
      <c r="CO49" s="93">
        <v>0</v>
      </c>
      <c r="CP49" s="93">
        <v>0</v>
      </c>
      <c r="CQ49" s="93">
        <v>0</v>
      </c>
      <c r="CR49" s="93">
        <v>0</v>
      </c>
      <c r="CS49" s="93">
        <v>0</v>
      </c>
      <c r="CT49" s="93">
        <v>0</v>
      </c>
      <c r="CU49" s="93">
        <v>0</v>
      </c>
      <c r="CV49" s="93">
        <v>0</v>
      </c>
      <c r="CW49" s="93">
        <v>0</v>
      </c>
      <c r="CX49" s="93">
        <v>0</v>
      </c>
      <c r="CY49" s="93">
        <v>0</v>
      </c>
      <c r="CZ49" s="93">
        <v>0</v>
      </c>
      <c r="DA49" s="93">
        <v>0</v>
      </c>
      <c r="DB49" s="93">
        <v>0</v>
      </c>
      <c r="DC49" s="93">
        <v>0</v>
      </c>
      <c r="DD49" s="93">
        <v>0</v>
      </c>
      <c r="DE49" s="93">
        <v>0</v>
      </c>
      <c r="DF49" s="93">
        <v>0</v>
      </c>
      <c r="DG49" s="93">
        <v>0</v>
      </c>
      <c r="DH49" s="93">
        <v>0</v>
      </c>
      <c r="DI49" s="93">
        <v>0</v>
      </c>
      <c r="DJ49" s="93">
        <v>0</v>
      </c>
      <c r="DK49" s="93">
        <v>0</v>
      </c>
      <c r="DL49" s="93">
        <v>0</v>
      </c>
      <c r="DM49" s="93">
        <v>0</v>
      </c>
      <c r="DN49" s="93">
        <v>0</v>
      </c>
      <c r="DO49" s="93">
        <v>0</v>
      </c>
      <c r="DP49" s="93">
        <v>0</v>
      </c>
      <c r="DQ49" s="93">
        <v>0</v>
      </c>
      <c r="DR49" s="93">
        <v>0</v>
      </c>
      <c r="DS49" s="93">
        <v>0</v>
      </c>
      <c r="DT49" s="93">
        <v>0</v>
      </c>
      <c r="DU49" s="93">
        <v>0</v>
      </c>
      <c r="DV49" s="93">
        <v>0</v>
      </c>
      <c r="DW49" s="93">
        <v>0</v>
      </c>
      <c r="DX49" s="93">
        <v>0</v>
      </c>
      <c r="DY49" s="93">
        <v>0</v>
      </c>
      <c r="DZ49" s="93">
        <v>0</v>
      </c>
      <c r="EA49" s="93">
        <v>0</v>
      </c>
      <c r="EB49" s="93">
        <v>0</v>
      </c>
      <c r="EC49" s="93">
        <v>0</v>
      </c>
      <c r="ED49" s="93">
        <v>0</v>
      </c>
      <c r="EE49" s="93">
        <v>0</v>
      </c>
      <c r="EF49" s="93">
        <v>0</v>
      </c>
      <c r="EG49" s="93">
        <v>0</v>
      </c>
      <c r="EH49" s="93">
        <v>0</v>
      </c>
      <c r="EI49" s="93">
        <v>0</v>
      </c>
      <c r="EJ49" s="93">
        <v>0</v>
      </c>
      <c r="EK49" s="93">
        <v>0</v>
      </c>
      <c r="EL49" s="93">
        <v>0</v>
      </c>
      <c r="EM49" s="93">
        <v>0</v>
      </c>
      <c r="EN49" s="93">
        <v>0</v>
      </c>
      <c r="EO49" s="93">
        <v>0</v>
      </c>
      <c r="EP49" s="93">
        <v>0</v>
      </c>
      <c r="EQ49" s="93">
        <v>0</v>
      </c>
      <c r="ER49" s="93">
        <v>0</v>
      </c>
      <c r="ES49" s="93">
        <v>0</v>
      </c>
      <c r="ET49" s="93">
        <v>0</v>
      </c>
      <c r="EU49" s="93">
        <v>0</v>
      </c>
      <c r="EV49" s="93">
        <v>0</v>
      </c>
      <c r="EW49" s="93">
        <v>0</v>
      </c>
      <c r="EX49" s="93">
        <v>0</v>
      </c>
      <c r="EY49" s="93">
        <v>0</v>
      </c>
      <c r="EZ49" s="93">
        <v>0</v>
      </c>
      <c r="FA49" s="93">
        <v>0</v>
      </c>
      <c r="FB49" s="93">
        <v>0</v>
      </c>
      <c r="FC49" s="93">
        <v>0</v>
      </c>
      <c r="FD49" s="93">
        <v>0</v>
      </c>
      <c r="FE49" s="93">
        <v>0</v>
      </c>
      <c r="FF49" s="93">
        <v>0</v>
      </c>
      <c r="FG49" s="93">
        <v>0</v>
      </c>
      <c r="FH49" s="93">
        <v>0</v>
      </c>
      <c r="FI49" s="93">
        <v>0</v>
      </c>
      <c r="FJ49" s="93">
        <v>0</v>
      </c>
      <c r="FK49" s="93">
        <v>0</v>
      </c>
      <c r="FL49" s="93">
        <v>0</v>
      </c>
      <c r="FM49" s="93">
        <v>0</v>
      </c>
      <c r="FN49" s="93">
        <v>0</v>
      </c>
      <c r="FO49" s="93">
        <v>0</v>
      </c>
    </row>
    <row r="50" spans="1:171" ht="16" thickBot="1" x14ac:dyDescent="0.25">
      <c r="A50" s="19"/>
    </row>
    <row r="51" spans="1:171" ht="16" thickBot="1" x14ac:dyDescent="0.25">
      <c r="A51" s="18" t="s">
        <v>44</v>
      </c>
      <c r="B51" s="18" t="s">
        <v>389</v>
      </c>
      <c r="C51">
        <v>20</v>
      </c>
      <c r="D51">
        <v>20</v>
      </c>
      <c r="E51">
        <v>20</v>
      </c>
      <c r="F51">
        <v>20</v>
      </c>
      <c r="G51">
        <v>20</v>
      </c>
      <c r="H51">
        <v>20</v>
      </c>
      <c r="I51">
        <v>20</v>
      </c>
      <c r="J51">
        <v>20</v>
      </c>
      <c r="K51">
        <v>20</v>
      </c>
      <c r="L51">
        <v>20</v>
      </c>
      <c r="M51">
        <v>20</v>
      </c>
      <c r="N51">
        <v>20</v>
      </c>
      <c r="O51">
        <v>20</v>
      </c>
      <c r="P51">
        <v>20</v>
      </c>
      <c r="Q51">
        <v>20</v>
      </c>
      <c r="R51">
        <v>20</v>
      </c>
      <c r="S51">
        <v>20</v>
      </c>
      <c r="T51">
        <v>20</v>
      </c>
      <c r="U51">
        <v>20</v>
      </c>
      <c r="V51">
        <v>20</v>
      </c>
      <c r="W51">
        <v>20</v>
      </c>
      <c r="X51">
        <v>20</v>
      </c>
      <c r="Y51">
        <v>20</v>
      </c>
      <c r="Z51">
        <v>20</v>
      </c>
      <c r="AA51">
        <v>20</v>
      </c>
      <c r="AB51">
        <v>20</v>
      </c>
      <c r="AC51">
        <v>20</v>
      </c>
      <c r="AD51">
        <v>20</v>
      </c>
      <c r="AE51">
        <v>20</v>
      </c>
      <c r="AF51">
        <v>20</v>
      </c>
      <c r="AG51">
        <v>20</v>
      </c>
      <c r="AH51">
        <v>20</v>
      </c>
      <c r="AI51">
        <v>20</v>
      </c>
      <c r="AJ51">
        <v>20</v>
      </c>
      <c r="AK51">
        <v>20</v>
      </c>
      <c r="AL51">
        <v>20</v>
      </c>
      <c r="AM51">
        <v>20</v>
      </c>
      <c r="AN51">
        <v>20</v>
      </c>
      <c r="AO51">
        <v>20</v>
      </c>
      <c r="AP51">
        <v>20</v>
      </c>
      <c r="AQ51">
        <v>20</v>
      </c>
      <c r="AR51">
        <v>20</v>
      </c>
      <c r="AS51">
        <v>20</v>
      </c>
      <c r="AT51">
        <v>20</v>
      </c>
      <c r="AU51">
        <v>20</v>
      </c>
      <c r="AV51">
        <v>20</v>
      </c>
      <c r="AW51">
        <v>20</v>
      </c>
      <c r="AX51">
        <v>20</v>
      </c>
      <c r="AY51">
        <v>20</v>
      </c>
      <c r="AZ51">
        <v>20</v>
      </c>
      <c r="BA51">
        <v>20</v>
      </c>
      <c r="BB51">
        <v>20</v>
      </c>
      <c r="BC51">
        <v>20</v>
      </c>
      <c r="BD51">
        <v>20</v>
      </c>
      <c r="BE51">
        <v>20</v>
      </c>
      <c r="BF51">
        <v>20</v>
      </c>
      <c r="BG51">
        <v>20</v>
      </c>
      <c r="BH51">
        <v>20</v>
      </c>
      <c r="BI51">
        <v>20</v>
      </c>
      <c r="BJ51">
        <v>20</v>
      </c>
      <c r="BK51">
        <v>20</v>
      </c>
      <c r="BL51">
        <v>20</v>
      </c>
      <c r="BM51">
        <v>20</v>
      </c>
      <c r="BN51">
        <v>20</v>
      </c>
      <c r="BO51">
        <v>20</v>
      </c>
      <c r="BP51">
        <v>20</v>
      </c>
      <c r="BQ51">
        <v>20</v>
      </c>
      <c r="BR51">
        <v>20</v>
      </c>
      <c r="BS51">
        <v>20</v>
      </c>
      <c r="BT51">
        <v>20</v>
      </c>
      <c r="BU51">
        <v>20</v>
      </c>
      <c r="BV51">
        <v>20</v>
      </c>
      <c r="BW51">
        <v>20</v>
      </c>
      <c r="BX51">
        <v>20</v>
      </c>
      <c r="BY51">
        <v>20</v>
      </c>
      <c r="BZ51">
        <v>20</v>
      </c>
      <c r="CA51">
        <v>20</v>
      </c>
      <c r="CB51">
        <v>20</v>
      </c>
      <c r="CC51">
        <v>20</v>
      </c>
      <c r="CD51">
        <v>20</v>
      </c>
      <c r="CE51">
        <v>20</v>
      </c>
      <c r="CF51">
        <v>20</v>
      </c>
      <c r="CG51">
        <v>20</v>
      </c>
      <c r="CH51">
        <v>20</v>
      </c>
      <c r="CI51">
        <v>20</v>
      </c>
      <c r="CJ51">
        <v>20</v>
      </c>
      <c r="CK51">
        <v>20</v>
      </c>
      <c r="CL51">
        <v>20</v>
      </c>
      <c r="CM51">
        <v>20</v>
      </c>
      <c r="CN51">
        <v>20</v>
      </c>
      <c r="CO51">
        <v>20</v>
      </c>
      <c r="CP51">
        <v>20</v>
      </c>
      <c r="CQ51">
        <v>20</v>
      </c>
      <c r="CR51">
        <v>20</v>
      </c>
      <c r="CS51">
        <v>20</v>
      </c>
      <c r="CT51">
        <v>20</v>
      </c>
      <c r="CU51">
        <v>20</v>
      </c>
      <c r="CV51">
        <v>20</v>
      </c>
      <c r="CW51">
        <v>20</v>
      </c>
      <c r="CX51">
        <v>20</v>
      </c>
      <c r="CY51">
        <v>20</v>
      </c>
      <c r="CZ51">
        <v>20</v>
      </c>
      <c r="DA51">
        <v>20</v>
      </c>
      <c r="DB51">
        <v>20</v>
      </c>
      <c r="DC51">
        <v>20</v>
      </c>
      <c r="DD51">
        <v>20</v>
      </c>
      <c r="DE51">
        <v>20</v>
      </c>
      <c r="DF51">
        <v>20</v>
      </c>
      <c r="DG51">
        <v>20</v>
      </c>
      <c r="DH51">
        <v>20</v>
      </c>
      <c r="DI51">
        <v>20</v>
      </c>
      <c r="DJ51">
        <v>20</v>
      </c>
      <c r="DK51">
        <v>20</v>
      </c>
      <c r="DL51">
        <v>20</v>
      </c>
      <c r="DM51">
        <v>20</v>
      </c>
      <c r="DN51">
        <v>20</v>
      </c>
      <c r="DO51">
        <v>20</v>
      </c>
      <c r="DP51">
        <v>20</v>
      </c>
      <c r="DQ51">
        <v>20</v>
      </c>
      <c r="DR51">
        <v>20</v>
      </c>
      <c r="DS51">
        <v>20</v>
      </c>
      <c r="DT51">
        <v>20</v>
      </c>
      <c r="DU51">
        <v>20</v>
      </c>
      <c r="DV51">
        <v>20</v>
      </c>
      <c r="DW51">
        <v>20</v>
      </c>
      <c r="DX51">
        <v>20</v>
      </c>
      <c r="DY51">
        <v>20</v>
      </c>
      <c r="DZ51">
        <v>20</v>
      </c>
      <c r="EA51">
        <v>20</v>
      </c>
      <c r="EB51">
        <v>20</v>
      </c>
      <c r="EC51">
        <v>20</v>
      </c>
      <c r="ED51">
        <v>20</v>
      </c>
      <c r="EE51">
        <v>20</v>
      </c>
      <c r="EF51">
        <v>20</v>
      </c>
      <c r="EG51">
        <v>20</v>
      </c>
      <c r="EH51">
        <v>20</v>
      </c>
      <c r="EI51">
        <v>20</v>
      </c>
      <c r="EJ51">
        <v>20</v>
      </c>
      <c r="EK51">
        <v>20</v>
      </c>
      <c r="EL51">
        <v>20</v>
      </c>
      <c r="EM51">
        <v>20</v>
      </c>
      <c r="EN51">
        <v>20</v>
      </c>
      <c r="EO51">
        <v>20</v>
      </c>
      <c r="EP51">
        <v>20</v>
      </c>
      <c r="EQ51">
        <v>20</v>
      </c>
      <c r="ER51">
        <v>20</v>
      </c>
      <c r="ES51">
        <v>20</v>
      </c>
      <c r="ET51">
        <v>20</v>
      </c>
      <c r="EU51">
        <v>20</v>
      </c>
      <c r="EV51">
        <v>20</v>
      </c>
      <c r="EW51">
        <v>20</v>
      </c>
      <c r="EX51">
        <v>20</v>
      </c>
      <c r="EY51">
        <v>20</v>
      </c>
      <c r="EZ51">
        <v>20</v>
      </c>
      <c r="FA51">
        <v>20</v>
      </c>
      <c r="FB51">
        <v>20</v>
      </c>
      <c r="FC51">
        <v>20</v>
      </c>
      <c r="FD51">
        <v>20</v>
      </c>
      <c r="FE51">
        <v>20</v>
      </c>
      <c r="FF51">
        <v>20</v>
      </c>
      <c r="FG51">
        <v>20</v>
      </c>
      <c r="FH51">
        <v>20</v>
      </c>
      <c r="FI51">
        <v>20</v>
      </c>
      <c r="FJ51">
        <v>20</v>
      </c>
      <c r="FK51">
        <v>20</v>
      </c>
      <c r="FL51">
        <v>20</v>
      </c>
      <c r="FM51">
        <v>20</v>
      </c>
      <c r="FN51">
        <v>20</v>
      </c>
      <c r="FO51">
        <v>20</v>
      </c>
    </row>
    <row r="52" spans="1:171" ht="16" thickBot="1" x14ac:dyDescent="0.25">
      <c r="A52" s="18" t="s">
        <v>45</v>
      </c>
      <c r="B52" s="18" t="s">
        <v>42</v>
      </c>
    </row>
    <row r="53" spans="1:171" ht="16" thickBot="1" x14ac:dyDescent="0.25">
      <c r="A53" s="18" t="s">
        <v>43</v>
      </c>
      <c r="B53" s="18" t="s">
        <v>42</v>
      </c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0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0"/>
      <c r="DQ53" s="90"/>
      <c r="DR53" s="90"/>
      <c r="DS53" s="90"/>
      <c r="DT53" s="90"/>
      <c r="DU53" s="90"/>
      <c r="DV53" s="90"/>
      <c r="DW53" s="90"/>
      <c r="DX53" s="90"/>
      <c r="DY53" s="90"/>
      <c r="DZ53" s="90"/>
      <c r="EA53" s="90"/>
      <c r="EB53" s="90"/>
      <c r="EC53" s="90"/>
      <c r="ED53" s="90"/>
      <c r="EE53" s="90"/>
      <c r="EF53" s="90"/>
      <c r="EG53" s="90"/>
      <c r="EH53" s="90"/>
      <c r="EI53" s="90"/>
      <c r="EJ53" s="90"/>
      <c r="EK53" s="90"/>
      <c r="EL53" s="90"/>
      <c r="EM53" s="90"/>
      <c r="EN53" s="90"/>
      <c r="EO53" s="90"/>
      <c r="EP53" s="90"/>
      <c r="EQ53" s="90"/>
      <c r="ER53" s="90"/>
      <c r="ES53" s="90"/>
      <c r="ET53" s="90"/>
      <c r="EU53" s="90"/>
      <c r="EV53" s="90"/>
      <c r="EW53" s="90"/>
      <c r="EX53" s="90"/>
      <c r="EY53" s="90"/>
      <c r="EZ53" s="90"/>
      <c r="FA53" s="90"/>
      <c r="FB53" s="90"/>
      <c r="FC53" s="90"/>
      <c r="FD53" s="90"/>
      <c r="FE53" s="90"/>
      <c r="FF53" s="90"/>
      <c r="FG53" s="90"/>
      <c r="FH53" s="90"/>
      <c r="FI53" s="90"/>
      <c r="FJ53" s="90"/>
      <c r="FK53" s="90"/>
      <c r="FL53" s="90"/>
      <c r="FM53" s="90"/>
      <c r="FN53" s="90"/>
      <c r="FO53" s="90"/>
    </row>
    <row r="54" spans="1:171" ht="16" thickBot="1" x14ac:dyDescent="0.25">
      <c r="A54" s="4" t="s">
        <v>382</v>
      </c>
      <c r="B54" s="18" t="s">
        <v>381</v>
      </c>
      <c r="C54">
        <v>120</v>
      </c>
      <c r="D54">
        <v>120</v>
      </c>
      <c r="E54">
        <v>120</v>
      </c>
      <c r="F54">
        <v>120</v>
      </c>
      <c r="G54">
        <v>120</v>
      </c>
      <c r="H54">
        <v>120</v>
      </c>
      <c r="I54">
        <v>120</v>
      </c>
      <c r="J54">
        <v>120</v>
      </c>
      <c r="K54">
        <v>120</v>
      </c>
      <c r="L54">
        <v>120</v>
      </c>
      <c r="M54">
        <v>120</v>
      </c>
      <c r="N54">
        <v>120</v>
      </c>
      <c r="O54">
        <v>120</v>
      </c>
      <c r="P54">
        <v>120</v>
      </c>
      <c r="Q54">
        <v>120</v>
      </c>
      <c r="R54">
        <v>120</v>
      </c>
      <c r="S54">
        <v>120</v>
      </c>
      <c r="T54">
        <v>120</v>
      </c>
      <c r="U54">
        <v>120</v>
      </c>
      <c r="V54">
        <v>120</v>
      </c>
      <c r="W54">
        <v>70</v>
      </c>
      <c r="X54">
        <v>50</v>
      </c>
      <c r="Y54">
        <v>120</v>
      </c>
      <c r="Z54">
        <v>100</v>
      </c>
      <c r="AA54">
        <v>120</v>
      </c>
      <c r="AB54">
        <v>120</v>
      </c>
      <c r="AC54">
        <v>120</v>
      </c>
      <c r="AD54">
        <v>120</v>
      </c>
      <c r="AE54">
        <v>120</v>
      </c>
      <c r="AF54">
        <v>120</v>
      </c>
      <c r="AG54">
        <v>120</v>
      </c>
      <c r="AH54">
        <v>120</v>
      </c>
      <c r="AI54">
        <v>120</v>
      </c>
      <c r="AJ54">
        <v>120</v>
      </c>
      <c r="AK54">
        <v>120</v>
      </c>
      <c r="AL54">
        <v>120</v>
      </c>
      <c r="AM54">
        <v>120</v>
      </c>
      <c r="AN54">
        <v>120</v>
      </c>
      <c r="AO54">
        <v>120</v>
      </c>
      <c r="AP54">
        <v>120</v>
      </c>
      <c r="AQ54">
        <v>120</v>
      </c>
      <c r="AR54">
        <v>120</v>
      </c>
      <c r="AS54">
        <v>120</v>
      </c>
      <c r="AT54">
        <v>120</v>
      </c>
      <c r="AU54">
        <v>50</v>
      </c>
      <c r="AV54">
        <v>50</v>
      </c>
      <c r="AW54">
        <v>120</v>
      </c>
      <c r="AX54">
        <v>120</v>
      </c>
      <c r="AY54">
        <v>120</v>
      </c>
      <c r="AZ54">
        <v>120</v>
      </c>
      <c r="BA54">
        <v>120</v>
      </c>
      <c r="BB54">
        <v>120</v>
      </c>
      <c r="BC54">
        <v>120</v>
      </c>
      <c r="BD54">
        <v>120</v>
      </c>
      <c r="BE54">
        <v>120</v>
      </c>
      <c r="BF54">
        <v>120</v>
      </c>
      <c r="BG54">
        <v>120</v>
      </c>
      <c r="BH54">
        <v>120</v>
      </c>
      <c r="BI54">
        <v>120</v>
      </c>
      <c r="BJ54">
        <v>120</v>
      </c>
      <c r="BK54">
        <v>120</v>
      </c>
      <c r="BL54">
        <v>120</v>
      </c>
      <c r="BM54">
        <v>70</v>
      </c>
      <c r="BN54">
        <v>120</v>
      </c>
      <c r="BO54">
        <v>120</v>
      </c>
      <c r="BP54">
        <v>120</v>
      </c>
      <c r="BQ54">
        <v>120</v>
      </c>
      <c r="BR54">
        <v>70</v>
      </c>
      <c r="BS54">
        <v>120</v>
      </c>
      <c r="BT54">
        <v>120</v>
      </c>
      <c r="BU54">
        <v>120</v>
      </c>
      <c r="BV54">
        <v>120</v>
      </c>
      <c r="BW54">
        <v>120</v>
      </c>
      <c r="BX54">
        <v>120</v>
      </c>
      <c r="BY54">
        <v>120</v>
      </c>
      <c r="BZ54">
        <v>120</v>
      </c>
      <c r="CA54">
        <v>120</v>
      </c>
      <c r="CB54">
        <v>120</v>
      </c>
      <c r="CC54">
        <v>120</v>
      </c>
      <c r="CD54">
        <v>120</v>
      </c>
      <c r="CE54">
        <v>120</v>
      </c>
      <c r="CF54">
        <v>120</v>
      </c>
      <c r="CG54">
        <v>120</v>
      </c>
      <c r="CH54">
        <v>120</v>
      </c>
      <c r="CI54">
        <v>120</v>
      </c>
      <c r="CJ54">
        <v>90</v>
      </c>
      <c r="CK54">
        <v>120</v>
      </c>
      <c r="CL54">
        <v>120</v>
      </c>
      <c r="CM54">
        <v>120</v>
      </c>
      <c r="CN54">
        <v>120</v>
      </c>
      <c r="CO54">
        <v>120</v>
      </c>
      <c r="CP54">
        <v>120</v>
      </c>
      <c r="CQ54">
        <v>120</v>
      </c>
      <c r="CR54">
        <v>120</v>
      </c>
      <c r="CS54">
        <v>120</v>
      </c>
      <c r="CT54">
        <v>120</v>
      </c>
      <c r="CU54">
        <v>120</v>
      </c>
      <c r="CV54">
        <v>120</v>
      </c>
      <c r="CW54">
        <v>120</v>
      </c>
      <c r="CX54">
        <v>120</v>
      </c>
      <c r="CY54">
        <v>120</v>
      </c>
      <c r="CZ54">
        <v>120</v>
      </c>
      <c r="DA54">
        <v>120</v>
      </c>
      <c r="DB54">
        <v>120</v>
      </c>
      <c r="DC54">
        <v>120</v>
      </c>
      <c r="DD54">
        <v>120</v>
      </c>
      <c r="DE54">
        <v>120</v>
      </c>
      <c r="DF54">
        <v>120</v>
      </c>
      <c r="DG54">
        <v>120</v>
      </c>
      <c r="DH54">
        <v>120</v>
      </c>
      <c r="DI54">
        <v>120</v>
      </c>
      <c r="DJ54">
        <v>120</v>
      </c>
      <c r="DK54">
        <v>120</v>
      </c>
      <c r="DL54">
        <v>120</v>
      </c>
      <c r="DM54">
        <v>120</v>
      </c>
      <c r="DN54">
        <v>120</v>
      </c>
      <c r="DO54">
        <v>120</v>
      </c>
      <c r="DP54">
        <v>120</v>
      </c>
      <c r="DQ54">
        <v>120</v>
      </c>
      <c r="DR54">
        <v>120</v>
      </c>
      <c r="DS54">
        <v>120</v>
      </c>
      <c r="DT54">
        <v>120</v>
      </c>
      <c r="DU54">
        <v>120</v>
      </c>
      <c r="DV54">
        <v>120</v>
      </c>
      <c r="DW54">
        <v>120</v>
      </c>
      <c r="DX54">
        <v>120</v>
      </c>
      <c r="DY54">
        <v>120</v>
      </c>
      <c r="DZ54">
        <v>120</v>
      </c>
      <c r="EA54">
        <v>120</v>
      </c>
      <c r="EB54">
        <v>120</v>
      </c>
      <c r="EC54">
        <v>120</v>
      </c>
      <c r="ED54">
        <v>120</v>
      </c>
      <c r="EE54">
        <v>120</v>
      </c>
      <c r="EF54">
        <v>120</v>
      </c>
      <c r="EG54">
        <v>120</v>
      </c>
      <c r="EH54">
        <v>120</v>
      </c>
      <c r="EI54">
        <v>120</v>
      </c>
      <c r="EJ54">
        <v>120</v>
      </c>
      <c r="EK54">
        <v>120</v>
      </c>
      <c r="EL54">
        <v>120</v>
      </c>
      <c r="EM54">
        <v>120</v>
      </c>
      <c r="EN54">
        <v>120</v>
      </c>
      <c r="EO54">
        <v>120</v>
      </c>
      <c r="EP54">
        <v>120</v>
      </c>
      <c r="EQ54">
        <v>120</v>
      </c>
      <c r="ER54">
        <v>120</v>
      </c>
      <c r="ES54">
        <v>120</v>
      </c>
      <c r="ET54">
        <v>120</v>
      </c>
      <c r="EU54">
        <v>120</v>
      </c>
      <c r="EV54">
        <v>120</v>
      </c>
      <c r="EW54">
        <v>120</v>
      </c>
      <c r="EX54">
        <v>120</v>
      </c>
      <c r="EY54">
        <v>120</v>
      </c>
      <c r="EZ54">
        <v>120</v>
      </c>
      <c r="FA54">
        <v>120</v>
      </c>
      <c r="FB54">
        <v>120</v>
      </c>
      <c r="FC54">
        <v>120</v>
      </c>
      <c r="FD54">
        <v>120</v>
      </c>
      <c r="FE54">
        <v>120</v>
      </c>
      <c r="FF54">
        <v>120</v>
      </c>
      <c r="FG54">
        <v>120</v>
      </c>
      <c r="FH54">
        <v>120</v>
      </c>
      <c r="FI54">
        <v>120</v>
      </c>
      <c r="FJ54">
        <v>120</v>
      </c>
      <c r="FK54">
        <v>120</v>
      </c>
      <c r="FL54">
        <v>120</v>
      </c>
      <c r="FM54">
        <v>120</v>
      </c>
      <c r="FN54">
        <v>120</v>
      </c>
      <c r="FO54">
        <v>120</v>
      </c>
    </row>
    <row r="55" spans="1:171" x14ac:dyDescent="0.2">
      <c r="A55" s="19" t="str">
        <f>IF(AND(Results!E4="Tissue",Results!E5="Weight",C52&gt;0,B52="mg",B51="ml"),"ng/mg of tissue",IF(AND(Results!E4="Tissue",Results!E5="Protein",C53&gt;0,B53="mg",B51="ml"),"ng/mg of protein",IF(AND(Results!E4="Fluid",Results!E5="Volume",C54&gt;0,B54="µl"),"pg/µL of fluid",IF(AND(Results!E4="Fluid",Results!E5="Volume",C54&gt;0,B54="ml"),"pg/mL of fluid",IF(AND(Results!E4="Cells",Results!E5="Million",C52&gt;0,B52="million"),"pg/million of cells","-")))))</f>
        <v>pg/µL of fluid</v>
      </c>
    </row>
    <row r="56" spans="1:171" x14ac:dyDescent="0.2">
      <c r="A56" s="120" t="str">
        <f t="shared" ref="A56:A83" si="0">A3</f>
        <v xml:space="preserve">9-HODE </v>
      </c>
      <c r="B56" s="121"/>
      <c r="C56" s="20">
        <f>IF(C3=0,"0",IF(AND(Results!$E$5="Protein",$C$53&gt;0,OR(Results!$E$4="Tissue",Results!$E$4="Cells")),((C3*C$51)/(C$53)),IF(AND(Results!$E$5="Weight",$C$52&gt;0, Results!$E$4="Tissue",OR($B$52="g",$B$52="mg")),((C3*C$51)/(C$52)),IF(AND(Results!$E$5="Volume",$C$54&gt;0,Results!$E$4="Fluid"),((C3*C$51)/(C$54)),IF(AND(Results!$E$4="Cells",Results!$E$5="Million",$B$52="million"),((C3*C$51)/(C$52)),"0")))))</f>
        <v>14.865283333333332</v>
      </c>
      <c r="D56" s="20">
        <f>IF(D3=0,"0",IF(AND(Results!$E$5="Protein",$C$53&gt;0,OR(Results!$E$4="Tissue",Results!$E$4="Cells")),((D3*D$51)/(D$53)),IF(AND(Results!$E$5="Weight",$C$52&gt;0, Results!$E$4="Tissue",OR($B$52="g",$B$52="mg")),((D3*D$51)/(D$52)),IF(AND(Results!$E$5="Volume",$C$54&gt;0,Results!$E$4="Fluid"),((D3*D$51)/(D$54)),IF(AND(Results!$E$4="Cells",Results!$E$5="Million",$B$52="million"),((D3*D$51)/(D$52)),"0")))))</f>
        <v>21.497566666666668</v>
      </c>
      <c r="E56" s="20">
        <f>IF(E3=0,"0",IF(AND(Results!$E$5="Protein",$C$53&gt;0,OR(Results!$E$4="Tissue",Results!$E$4="Cells")),((E3*E$51)/(E$53)),IF(AND(Results!$E$5="Weight",$C$52&gt;0, Results!$E$4="Tissue",OR($B$52="g",$B$52="mg")),((E3*E$51)/(E$52)),IF(AND(Results!$E$5="Volume",$C$54&gt;0,Results!$E$4="Fluid"),((E3*E$51)/(E$54)),IF(AND(Results!$E$4="Cells",Results!$E$5="Million",$B$52="million"),((E3*E$51)/(E$52)),"0")))))</f>
        <v>10.846900000000002</v>
      </c>
      <c r="F56" s="20">
        <f>IF(F3=0,"0",IF(AND(Results!$E$5="Protein",$C$53&gt;0,OR(Results!$E$4="Tissue",Results!$E$4="Cells")),((F3*F$51)/(F$53)),IF(AND(Results!$E$5="Weight",$C$52&gt;0, Results!$E$4="Tissue",OR($B$52="g",$B$52="mg")),((F3*F$51)/(F$52)),IF(AND(Results!$E$5="Volume",$C$54&gt;0,Results!$E$4="Fluid"),((F3*F$51)/(F$54)),IF(AND(Results!$E$4="Cells",Results!$E$5="Million",$B$52="million"),((F3*F$51)/(F$52)),"0")))))</f>
        <v>89.558500000000009</v>
      </c>
      <c r="G56" s="20">
        <f>IF(G3=0,"0",IF(AND(Results!$E$5="Protein",$C$53&gt;0,OR(Results!$E$4="Tissue",Results!$E$4="Cells")),((G3*G$51)/(G$53)),IF(AND(Results!$E$5="Weight",$C$52&gt;0, Results!$E$4="Tissue",OR($B$52="g",$B$52="mg")),((G3*G$51)/(G$52)),IF(AND(Results!$E$5="Volume",$C$54&gt;0,Results!$E$4="Fluid"),((G3*G$51)/(G$54)),IF(AND(Results!$E$4="Cells",Results!$E$5="Million",$B$52="million"),((G3*G$51)/(G$52)),"0")))))</f>
        <v>35.857650000000007</v>
      </c>
      <c r="H56" s="20">
        <f>IF(H3=0,"0",IF(AND(Results!$E$5="Protein",$C$53&gt;0,OR(Results!$E$4="Tissue",Results!$E$4="Cells")),((H3*H$51)/(H$53)),IF(AND(Results!$E$5="Weight",$C$52&gt;0, Results!$E$4="Tissue",OR($B$52="g",$B$52="mg")),((H3*H$51)/(H$52)),IF(AND(Results!$E$5="Volume",$C$54&gt;0,Results!$E$4="Fluid"),((H3*H$51)/(H$54)),IF(AND(Results!$E$4="Cells",Results!$E$5="Million",$B$52="million"),((H3*H$51)/(H$52)),"0")))))</f>
        <v>27.483216666666671</v>
      </c>
      <c r="I56" s="20">
        <f>IF(I3=0,"0",IF(AND(Results!$E$5="Protein",$C$53&gt;0,OR(Results!$E$4="Tissue",Results!$E$4="Cells")),((I3*I$51)/(I$53)),IF(AND(Results!$E$5="Weight",$C$52&gt;0, Results!$E$4="Tissue",OR($B$52="g",$B$52="mg")),((I3*I$51)/(I$52)),IF(AND(Results!$E$5="Volume",$C$54&gt;0,Results!$E$4="Fluid"),((I3*I$51)/(I$54)),IF(AND(Results!$E$4="Cells",Results!$E$5="Million",$B$52="million"),((I3*I$51)/(I$52)),"0")))))</f>
        <v>14.128983333333334</v>
      </c>
      <c r="J56" s="20">
        <f>IF(J3=0,"0",IF(AND(Results!$E$5="Protein",$C$53&gt;0,OR(Results!$E$4="Tissue",Results!$E$4="Cells")),((J3*J$51)/(J$53)),IF(AND(Results!$E$5="Weight",$C$52&gt;0, Results!$E$4="Tissue",OR($B$52="g",$B$52="mg")),((J3*J$51)/(J$52)),IF(AND(Results!$E$5="Volume",$C$54&gt;0,Results!$E$4="Fluid"),((J3*J$51)/(J$54)),IF(AND(Results!$E$4="Cells",Results!$E$5="Million",$B$52="million"),((J3*J$51)/(J$52)),"0")))))</f>
        <v>7.4184000000000001</v>
      </c>
      <c r="K56" s="20">
        <f>IF(K3=0,"0",IF(AND(Results!$E$5="Protein",$C$53&gt;0,OR(Results!$E$4="Tissue",Results!$E$4="Cells")),((K3*K$51)/(K$53)),IF(AND(Results!$E$5="Weight",$C$52&gt;0, Results!$E$4="Tissue",OR($B$52="g",$B$52="mg")),((K3*K$51)/(K$52)),IF(AND(Results!$E$5="Volume",$C$54&gt;0,Results!$E$4="Fluid"),((K3*K$51)/(K$54)),IF(AND(Results!$E$4="Cells",Results!$E$5="Million",$B$52="million"),((K3*K$51)/(K$52)),"0")))))</f>
        <v>28.676300000000001</v>
      </c>
      <c r="L56" s="20">
        <f>IF(L3=0,"0",IF(AND(Results!$E$5="Protein",$C$53&gt;0,OR(Results!$E$4="Tissue",Results!$E$4="Cells")),((L3*L$51)/(L$53)),IF(AND(Results!$E$5="Weight",$C$52&gt;0, Results!$E$4="Tissue",OR($B$52="g",$B$52="mg")),((L3*L$51)/(L$52)),IF(AND(Results!$E$5="Volume",$C$54&gt;0,Results!$E$4="Fluid"),((L3*L$51)/(L$54)),IF(AND(Results!$E$4="Cells",Results!$E$5="Million",$B$52="million"),((L3*L$51)/(L$52)),"0")))))</f>
        <v>70.185199999999995</v>
      </c>
      <c r="M56" s="20">
        <f>IF(M3=0,"0",IF(AND(Results!$E$5="Protein",$C$53&gt;0,OR(Results!$E$4="Tissue",Results!$E$4="Cells")),((M3*M$51)/(M$53)),IF(AND(Results!$E$5="Weight",$C$52&gt;0, Results!$E$4="Tissue",OR($B$52="g",$B$52="mg")),((M3*M$51)/(M$52)),IF(AND(Results!$E$5="Volume",$C$54&gt;0,Results!$E$4="Fluid"),((M3*M$51)/(M$54)),IF(AND(Results!$E$4="Cells",Results!$E$5="Million",$B$52="million"),((M3*M$51)/(M$52)),"0")))))</f>
        <v>11.494316666666668</v>
      </c>
      <c r="N56" s="20">
        <f>IF(N3=0,"0",IF(AND(Results!$E$5="Protein",$C$53&gt;0,OR(Results!$E$4="Tissue",Results!$E$4="Cells")),((N3*N$51)/(N$53)),IF(AND(Results!$E$5="Weight",$C$52&gt;0, Results!$E$4="Tissue",OR($B$52="g",$B$52="mg")),((N3*N$51)/(N$52)),IF(AND(Results!$E$5="Volume",$C$54&gt;0,Results!$E$4="Fluid"),((N3*N$51)/(N$54)),IF(AND(Results!$E$4="Cells",Results!$E$5="Million",$B$52="million"),((N3*N$51)/(N$52)),"0")))))</f>
        <v>34.034333333333329</v>
      </c>
      <c r="O56" s="20">
        <f>IF(O3=0,"0",IF(AND(Results!$E$5="Protein",$C$53&gt;0,OR(Results!$E$4="Tissue",Results!$E$4="Cells")),((O3*O$51)/(O$53)),IF(AND(Results!$E$5="Weight",$C$52&gt;0, Results!$E$4="Tissue",OR($B$52="g",$B$52="mg")),((O3*O$51)/(O$52)),IF(AND(Results!$E$5="Volume",$C$54&gt;0,Results!$E$4="Fluid"),((O3*O$51)/(O$54)),IF(AND(Results!$E$4="Cells",Results!$E$5="Million",$B$52="million"),((O3*O$51)/(O$52)),"0")))))</f>
        <v>22.904800000000002</v>
      </c>
      <c r="P56" s="20">
        <f>IF(P3=0,"0",IF(AND(Results!$E$5="Protein",$C$53&gt;0,OR(Results!$E$4="Tissue",Results!$E$4="Cells")),((P3*P$51)/(P$53)),IF(AND(Results!$E$5="Weight",$C$52&gt;0, Results!$E$4="Tissue",OR($B$52="g",$B$52="mg")),((P3*P$51)/(P$52)),IF(AND(Results!$E$5="Volume",$C$54&gt;0,Results!$E$4="Fluid"),((P3*P$51)/(P$54)),IF(AND(Results!$E$4="Cells",Results!$E$5="Million",$B$52="million"),((P3*P$51)/(P$52)),"0")))))</f>
        <v>45.295016666666669</v>
      </c>
      <c r="Q56" s="20">
        <f>IF(Q3=0,"0",IF(AND(Results!$E$5="Protein",$C$53&gt;0,OR(Results!$E$4="Tissue",Results!$E$4="Cells")),((Q3*Q$51)/(Q$53)),IF(AND(Results!$E$5="Weight",$C$52&gt;0, Results!$E$4="Tissue",OR($B$52="g",$B$52="mg")),((Q3*Q$51)/(Q$52)),IF(AND(Results!$E$5="Volume",$C$54&gt;0,Results!$E$4="Fluid"),((Q3*Q$51)/(Q$54)),IF(AND(Results!$E$4="Cells",Results!$E$5="Million",$B$52="million"),((Q3*Q$51)/(Q$52)),"0")))))</f>
        <v>80.797899999999998</v>
      </c>
      <c r="R56" s="20">
        <f>IF(R3=0,"0",IF(AND(Results!$E$5="Protein",$C$53&gt;0,OR(Results!$E$4="Tissue",Results!$E$4="Cells")),((R3*R$51)/(R$53)),IF(AND(Results!$E$5="Weight",$C$52&gt;0, Results!$E$4="Tissue",OR($B$52="g",$B$52="mg")),((R3*R$51)/(R$52)),IF(AND(Results!$E$5="Volume",$C$54&gt;0,Results!$E$4="Fluid"),((R3*R$51)/(R$54)),IF(AND(Results!$E$4="Cells",Results!$E$5="Million",$B$52="million"),((R3*R$51)/(R$52)),"0")))))</f>
        <v>396.45018333333337</v>
      </c>
      <c r="S56" s="20">
        <f>IF(S3=0,"0",IF(AND(Results!$E$5="Protein",$C$53&gt;0,OR(Results!$E$4="Tissue",Results!$E$4="Cells")),((S3*S$51)/(S$53)),IF(AND(Results!$E$5="Weight",$C$52&gt;0, Results!$E$4="Tissue",OR($B$52="g",$B$52="mg")),((S3*S$51)/(S$52)),IF(AND(Results!$E$5="Volume",$C$54&gt;0,Results!$E$4="Fluid"),((S3*S$51)/(S$54)),IF(AND(Results!$E$4="Cells",Results!$E$5="Million",$B$52="million"),((S3*S$51)/(S$52)),"0")))))</f>
        <v>34.563733333333332</v>
      </c>
      <c r="T56" s="20">
        <f>IF(T3=0,"0",IF(AND(Results!$E$5="Protein",$C$53&gt;0,OR(Results!$E$4="Tissue",Results!$E$4="Cells")),((T3*T$51)/(T$53)),IF(AND(Results!$E$5="Weight",$C$52&gt;0, Results!$E$4="Tissue",OR($B$52="g",$B$52="mg")),((T3*T$51)/(T$52)),IF(AND(Results!$E$5="Volume",$C$54&gt;0,Results!$E$4="Fluid"),((T3*T$51)/(T$54)),IF(AND(Results!$E$4="Cells",Results!$E$5="Million",$B$52="million"),((T3*T$51)/(T$52)),"0")))))</f>
        <v>18.438033333333337</v>
      </c>
      <c r="U56" s="20">
        <f>IF(U3=0,"0",IF(AND(Results!$E$5="Protein",$C$53&gt;0,OR(Results!$E$4="Tissue",Results!$E$4="Cells")),((U3*U$51)/(U$53)),IF(AND(Results!$E$5="Weight",$C$52&gt;0, Results!$E$4="Tissue",OR($B$52="g",$B$52="mg")),((U3*U$51)/(U$52)),IF(AND(Results!$E$5="Volume",$C$54&gt;0,Results!$E$4="Fluid"),((U3*U$51)/(U$54)),IF(AND(Results!$E$4="Cells",Results!$E$5="Million",$B$52="million"),((U3*U$51)/(U$52)),"0")))))</f>
        <v>26.82225</v>
      </c>
      <c r="V56" s="20">
        <f>IF(V3=0,"0",IF(AND(Results!$E$5="Protein",$C$53&gt;0,OR(Results!$E$4="Tissue",Results!$E$4="Cells")),((V3*V$51)/(V$53)),IF(AND(Results!$E$5="Weight",$C$52&gt;0, Results!$E$4="Tissue",OR($B$52="g",$B$52="mg")),((V3*V$51)/(V$52)),IF(AND(Results!$E$5="Volume",$C$54&gt;0,Results!$E$4="Fluid"),((V3*V$51)/(V$54)),IF(AND(Results!$E$4="Cells",Results!$E$5="Million",$B$52="million"),((V3*V$51)/(V$52)),"0")))))</f>
        <v>21.271933333333333</v>
      </c>
      <c r="W56" s="20">
        <f>IF(W3=0,"0",IF(AND(Results!$E$5="Protein",$C$53&gt;0,OR(Results!$E$4="Tissue",Results!$E$4="Cells")),((W3*W$51)/(W$53)),IF(AND(Results!$E$5="Weight",$C$52&gt;0, Results!$E$4="Tissue",OR($B$52="g",$B$52="mg")),((W3*W$51)/(W$52)),IF(AND(Results!$E$5="Volume",$C$54&gt;0,Results!$E$4="Fluid"),((W3*W$51)/(W$54)),IF(AND(Results!$E$4="Cells",Results!$E$5="Million",$B$52="million"),((W3*W$51)/(W$52)),"0")))))</f>
        <v>56.125828571428571</v>
      </c>
      <c r="X56" s="20">
        <f>IF(X3=0,"0",IF(AND(Results!$E$5="Protein",$C$53&gt;0,OR(Results!$E$4="Tissue",Results!$E$4="Cells")),((X3*X$51)/(X$53)),IF(AND(Results!$E$5="Weight",$C$52&gt;0, Results!$E$4="Tissue",OR($B$52="g",$B$52="mg")),((X3*X$51)/(X$52)),IF(AND(Results!$E$5="Volume",$C$54&gt;0,Results!$E$4="Fluid"),((X3*X$51)/(X$54)),IF(AND(Results!$E$4="Cells",Results!$E$5="Million",$B$52="million"),((X3*X$51)/(X$52)),"0")))))</f>
        <v>46.872640000000004</v>
      </c>
      <c r="Y56" s="20">
        <f>IF(Y3=0,"0",IF(AND(Results!$E$5="Protein",$C$53&gt;0,OR(Results!$E$4="Tissue",Results!$E$4="Cells")),((Y3*Y$51)/(Y$53)),IF(AND(Results!$E$5="Weight",$C$52&gt;0, Results!$E$4="Tissue",OR($B$52="g",$B$52="mg")),((Y3*Y$51)/(Y$52)),IF(AND(Results!$E$5="Volume",$C$54&gt;0,Results!$E$4="Fluid"),((Y3*Y$51)/(Y$54)),IF(AND(Results!$E$4="Cells",Results!$E$5="Million",$B$52="million"),((Y3*Y$51)/(Y$52)),"0")))))</f>
        <v>25.615300000000001</v>
      </c>
      <c r="Z56" s="20">
        <f>IF(Z3=0,"0",IF(AND(Results!$E$5="Protein",$C$53&gt;0,OR(Results!$E$4="Tissue",Results!$E$4="Cells")),((Z3*Z$51)/(Z$53)),IF(AND(Results!$E$5="Weight",$C$52&gt;0, Results!$E$4="Tissue",OR($B$52="g",$B$52="mg")),((Z3*Z$51)/(Z$52)),IF(AND(Results!$E$5="Volume",$C$54&gt;0,Results!$E$4="Fluid"),((Z3*Z$51)/(Z$54)),IF(AND(Results!$E$4="Cells",Results!$E$5="Million",$B$52="million"),((Z3*Z$51)/(Z$52)),"0")))))</f>
        <v>395.94661999999994</v>
      </c>
      <c r="AA56" s="20">
        <f>IF(AA3=0,"0",IF(AND(Results!$E$5="Protein",$C$53&gt;0,OR(Results!$E$4="Tissue",Results!$E$4="Cells")),((AA3*AA$51)/(AA$53)),IF(AND(Results!$E$5="Weight",$C$52&gt;0, Results!$E$4="Tissue",OR($B$52="g",$B$52="mg")),((AA3*AA$51)/(AA$52)),IF(AND(Results!$E$5="Volume",$C$54&gt;0,Results!$E$4="Fluid"),((AA3*AA$51)/(AA$54)),IF(AND(Results!$E$4="Cells",Results!$E$5="Million",$B$52="million"),((AA3*AA$51)/(AA$52)),"0")))))</f>
        <v>21.365116666666665</v>
      </c>
      <c r="AB56" s="20">
        <f>IF(AB3=0,"0",IF(AND(Results!$E$5="Protein",$C$53&gt;0,OR(Results!$E$4="Tissue",Results!$E$4="Cells")),((AB3*AB$51)/(AB$53)),IF(AND(Results!$E$5="Weight",$C$52&gt;0, Results!$E$4="Tissue",OR($B$52="g",$B$52="mg")),((AB3*AB$51)/(AB$52)),IF(AND(Results!$E$5="Volume",$C$54&gt;0,Results!$E$4="Fluid"),((AB3*AB$51)/(AB$54)),IF(AND(Results!$E$4="Cells",Results!$E$5="Million",$B$52="million"),((AB3*AB$51)/(AB$52)),"0")))))</f>
        <v>25.239183333333337</v>
      </c>
      <c r="AC56" s="20">
        <f>IF(AC3=0,"0",IF(AND(Results!$E$5="Protein",$C$53&gt;0,OR(Results!$E$4="Tissue",Results!$E$4="Cells")),((AC3*AC$51)/(AC$53)),IF(AND(Results!$E$5="Weight",$C$52&gt;0, Results!$E$4="Tissue",OR($B$52="g",$B$52="mg")),((AC3*AC$51)/(AC$52)),IF(AND(Results!$E$5="Volume",$C$54&gt;0,Results!$E$4="Fluid"),((AC3*AC$51)/(AC$54)),IF(AND(Results!$E$4="Cells",Results!$E$5="Million",$B$52="million"),((AC3*AC$51)/(AC$52)),"0")))))</f>
        <v>17.645566666666664</v>
      </c>
      <c r="AD56" s="20">
        <f>IF(AD3=0,"0",IF(AND(Results!$E$5="Protein",$C$53&gt;0,OR(Results!$E$4="Tissue",Results!$E$4="Cells")),((AD3*AD$51)/(AD$53)),IF(AND(Results!$E$5="Weight",$C$52&gt;0, Results!$E$4="Tissue",OR($B$52="g",$B$52="mg")),((AD3*AD$51)/(AD$52)),IF(AND(Results!$E$5="Volume",$C$54&gt;0,Results!$E$4="Fluid"),((AD3*AD$51)/(AD$54)),IF(AND(Results!$E$4="Cells",Results!$E$5="Million",$B$52="million"),((AD3*AD$51)/(AD$52)),"0")))))</f>
        <v>19.137549999999997</v>
      </c>
      <c r="AE56" s="20">
        <f>IF(AE3=0,"0",IF(AND(Results!$E$5="Protein",$C$53&gt;0,OR(Results!$E$4="Tissue",Results!$E$4="Cells")),((AE3*AE$51)/(AE$53)),IF(AND(Results!$E$5="Weight",$C$52&gt;0, Results!$E$4="Tissue",OR($B$52="g",$B$52="mg")),((AE3*AE$51)/(AE$52)),IF(AND(Results!$E$5="Volume",$C$54&gt;0,Results!$E$4="Fluid"),((AE3*AE$51)/(AE$54)),IF(AND(Results!$E$4="Cells",Results!$E$5="Million",$B$52="million"),((AE3*AE$51)/(AE$52)),"0")))))</f>
        <v>11.294483333333336</v>
      </c>
      <c r="AF56" s="20">
        <f>IF(AF3=0,"0",IF(AND(Results!$E$5="Protein",$C$53&gt;0,OR(Results!$E$4="Tissue",Results!$E$4="Cells")),((AF3*AF$51)/(AF$53)),IF(AND(Results!$E$5="Weight",$C$52&gt;0, Results!$E$4="Tissue",OR($B$52="g",$B$52="mg")),((AF3*AF$51)/(AF$52)),IF(AND(Results!$E$5="Volume",$C$54&gt;0,Results!$E$4="Fluid"),((AF3*AF$51)/(AF$54)),IF(AND(Results!$E$4="Cells",Results!$E$5="Million",$B$52="million"),((AF3*AF$51)/(AF$52)),"0")))))</f>
        <v>30.486666666666665</v>
      </c>
      <c r="AG56" s="20">
        <f>IF(AG3=0,"0",IF(AND(Results!$E$5="Protein",$C$53&gt;0,OR(Results!$E$4="Tissue",Results!$E$4="Cells")),((AG3*AG$51)/(AG$53)),IF(AND(Results!$E$5="Weight",$C$52&gt;0, Results!$E$4="Tissue",OR($B$52="g",$B$52="mg")),((AG3*AG$51)/(AG$52)),IF(AND(Results!$E$5="Volume",$C$54&gt;0,Results!$E$4="Fluid"),((AG3*AG$51)/(AG$54)),IF(AND(Results!$E$4="Cells",Results!$E$5="Million",$B$52="million"),((AG3*AG$51)/(AG$52)),"0")))))</f>
        <v>104.03021666666667</v>
      </c>
      <c r="AH56" s="20">
        <f>IF(AH3=0,"0",IF(AND(Results!$E$5="Protein",$C$53&gt;0,OR(Results!$E$4="Tissue",Results!$E$4="Cells")),((AH3*AH$51)/(AH$53)),IF(AND(Results!$E$5="Weight",$C$52&gt;0, Results!$E$4="Tissue",OR($B$52="g",$B$52="mg")),((AH3*AH$51)/(AH$52)),IF(AND(Results!$E$5="Volume",$C$54&gt;0,Results!$E$4="Fluid"),((AH3*AH$51)/(AH$54)),IF(AND(Results!$E$4="Cells",Results!$E$5="Million",$B$52="million"),((AH3*AH$51)/(AH$52)),"0")))))</f>
        <v>22.337499999999999</v>
      </c>
      <c r="AI56" s="20">
        <f>IF(AI3=0,"0",IF(AND(Results!$E$5="Protein",$C$53&gt;0,OR(Results!$E$4="Tissue",Results!$E$4="Cells")),((AI3*AI$51)/(AI$53)),IF(AND(Results!$E$5="Weight",$C$52&gt;0, Results!$E$4="Tissue",OR($B$52="g",$B$52="mg")),((AI3*AI$51)/(AI$52)),IF(AND(Results!$E$5="Volume",$C$54&gt;0,Results!$E$4="Fluid"),((AI3*AI$51)/(AI$54)),IF(AND(Results!$E$4="Cells",Results!$E$5="Million",$B$52="million"),((AI3*AI$51)/(AI$52)),"0")))))</f>
        <v>89.397950000000009</v>
      </c>
      <c r="AJ56" s="20">
        <f>IF(AJ3=0,"0",IF(AND(Results!$E$5="Protein",$C$53&gt;0,OR(Results!$E$4="Tissue",Results!$E$4="Cells")),((AJ3*AJ$51)/(AJ$53)),IF(AND(Results!$E$5="Weight",$C$52&gt;0, Results!$E$4="Tissue",OR($B$52="g",$B$52="mg")),((AJ3*AJ$51)/(AJ$52)),IF(AND(Results!$E$5="Volume",$C$54&gt;0,Results!$E$4="Fluid"),((AJ3*AJ$51)/(AJ$54)),IF(AND(Results!$E$4="Cells",Results!$E$5="Million",$B$52="million"),((AJ3*AJ$51)/(AJ$52)),"0")))))</f>
        <v>38.191083333333339</v>
      </c>
      <c r="AK56" s="20">
        <f>IF(AK3=0,"0",IF(AND(Results!$E$5="Protein",$C$53&gt;0,OR(Results!$E$4="Tissue",Results!$E$4="Cells")),((AK3*AK$51)/(AK$53)),IF(AND(Results!$E$5="Weight",$C$52&gt;0, Results!$E$4="Tissue",OR($B$52="g",$B$52="mg")),((AK3*AK$51)/(AK$52)),IF(AND(Results!$E$5="Volume",$C$54&gt;0,Results!$E$4="Fluid"),((AK3*AK$51)/(AK$54)),IF(AND(Results!$E$4="Cells",Results!$E$5="Million",$B$52="million"),((AK3*AK$51)/(AK$52)),"0")))))</f>
        <v>16.308899999999998</v>
      </c>
      <c r="AL56" s="20">
        <f>IF(AL3=0,"0",IF(AND(Results!$E$5="Protein",$C$53&gt;0,OR(Results!$E$4="Tissue",Results!$E$4="Cells")),((AL3*AL$51)/(AL$53)),IF(AND(Results!$E$5="Weight",$C$52&gt;0, Results!$E$4="Tissue",OR($B$52="g",$B$52="mg")),((AL3*AL$51)/(AL$52)),IF(AND(Results!$E$5="Volume",$C$54&gt;0,Results!$E$4="Fluid"),((AL3*AL$51)/(AL$54)),IF(AND(Results!$E$4="Cells",Results!$E$5="Million",$B$52="million"),((AL3*AL$51)/(AL$52)),"0")))))</f>
        <v>42.715366666666661</v>
      </c>
      <c r="AM56" s="20">
        <f>IF(AM3=0,"0",IF(AND(Results!$E$5="Protein",$C$53&gt;0,OR(Results!$E$4="Tissue",Results!$E$4="Cells")),((AM3*AM$51)/(AM$53)),IF(AND(Results!$E$5="Weight",$C$52&gt;0, Results!$E$4="Tissue",OR($B$52="g",$B$52="mg")),((AM3*AM$51)/(AM$52)),IF(AND(Results!$E$5="Volume",$C$54&gt;0,Results!$E$4="Fluid"),((AM3*AM$51)/(AM$54)),IF(AND(Results!$E$4="Cells",Results!$E$5="Million",$B$52="million"),((AM3*AM$51)/(AM$52)),"0")))))</f>
        <v>116.79686666666666</v>
      </c>
      <c r="AN56" s="20">
        <f>IF(AN3=0,"0",IF(AND(Results!$E$5="Protein",$C$53&gt;0,OR(Results!$E$4="Tissue",Results!$E$4="Cells")),((AN3*AN$51)/(AN$53)),IF(AND(Results!$E$5="Weight",$C$52&gt;0, Results!$E$4="Tissue",OR($B$52="g",$B$52="mg")),((AN3*AN$51)/(AN$52)),IF(AND(Results!$E$5="Volume",$C$54&gt;0,Results!$E$4="Fluid"),((AN3*AN$51)/(AN$54)),IF(AND(Results!$E$4="Cells",Results!$E$5="Million",$B$52="million"),((AN3*AN$51)/(AN$52)),"0")))))</f>
        <v>27.011733333333336</v>
      </c>
      <c r="AO56" s="20">
        <f>IF(AO3=0,"0",IF(AND(Results!$E$5="Protein",$C$53&gt;0,OR(Results!$E$4="Tissue",Results!$E$4="Cells")),((AO3*AO$51)/(AO$53)),IF(AND(Results!$E$5="Weight",$C$52&gt;0, Results!$E$4="Tissue",OR($B$52="g",$B$52="mg")),((AO3*AO$51)/(AO$52)),IF(AND(Results!$E$5="Volume",$C$54&gt;0,Results!$E$4="Fluid"),((AO3*AO$51)/(AO$54)),IF(AND(Results!$E$4="Cells",Results!$E$5="Million",$B$52="million"),((AO3*AO$51)/(AO$52)),"0")))))</f>
        <v>8.4545666666666666</v>
      </c>
      <c r="AP56" s="20">
        <f>IF(AP3=0,"0",IF(AND(Results!$E$5="Protein",$C$53&gt;0,OR(Results!$E$4="Tissue",Results!$E$4="Cells")),((AP3*AP$51)/(AP$53)),IF(AND(Results!$E$5="Weight",$C$52&gt;0, Results!$E$4="Tissue",OR($B$52="g",$B$52="mg")),((AP3*AP$51)/(AP$52)),IF(AND(Results!$E$5="Volume",$C$54&gt;0,Results!$E$4="Fluid"),((AP3*AP$51)/(AP$54)),IF(AND(Results!$E$4="Cells",Results!$E$5="Million",$B$52="million"),((AP3*AP$51)/(AP$52)),"0")))))</f>
        <v>32.305950000000003</v>
      </c>
      <c r="AQ56" s="20">
        <f>IF(AQ3=0,"0",IF(AND(Results!$E$5="Protein",$C$53&gt;0,OR(Results!$E$4="Tissue",Results!$E$4="Cells")),((AQ3*AQ$51)/(AQ$53)),IF(AND(Results!$E$5="Weight",$C$52&gt;0, Results!$E$4="Tissue",OR($B$52="g",$B$52="mg")),((AQ3*AQ$51)/(AQ$52)),IF(AND(Results!$E$5="Volume",$C$54&gt;0,Results!$E$4="Fluid"),((AQ3*AQ$51)/(AQ$54)),IF(AND(Results!$E$4="Cells",Results!$E$5="Million",$B$52="million"),((AQ3*AQ$51)/(AQ$52)),"0")))))</f>
        <v>78.800916666666666</v>
      </c>
      <c r="AR56" s="20">
        <f>IF(AR3=0,"0",IF(AND(Results!$E$5="Protein",$C$53&gt;0,OR(Results!$E$4="Tissue",Results!$E$4="Cells")),((AR3*AR$51)/(AR$53)),IF(AND(Results!$E$5="Weight",$C$52&gt;0, Results!$E$4="Tissue",OR($B$52="g",$B$52="mg")),((AR3*AR$51)/(AR$52)),IF(AND(Results!$E$5="Volume",$C$54&gt;0,Results!$E$4="Fluid"),((AR3*AR$51)/(AR$54)),IF(AND(Results!$E$4="Cells",Results!$E$5="Million",$B$52="million"),((AR3*AR$51)/(AR$52)),"0")))))</f>
        <v>12.216316666666668</v>
      </c>
      <c r="AS56" s="20">
        <f>IF(AS3=0,"0",IF(AND(Results!$E$5="Protein",$C$53&gt;0,OR(Results!$E$4="Tissue",Results!$E$4="Cells")),((AS3*AS$51)/(AS$53)),IF(AND(Results!$E$5="Weight",$C$52&gt;0, Results!$E$4="Tissue",OR($B$52="g",$B$52="mg")),((AS3*AS$51)/(AS$52)),IF(AND(Results!$E$5="Volume",$C$54&gt;0,Results!$E$4="Fluid"),((AS3*AS$51)/(AS$54)),IF(AND(Results!$E$4="Cells",Results!$E$5="Million",$B$52="million"),((AS3*AS$51)/(AS$52)),"0")))))</f>
        <v>123.50891666666666</v>
      </c>
      <c r="AT56" s="20">
        <f>IF(AT3=0,"0",IF(AND(Results!$E$5="Protein",$C$53&gt;0,OR(Results!$E$4="Tissue",Results!$E$4="Cells")),((AT3*AT$51)/(AT$53)),IF(AND(Results!$E$5="Weight",$C$52&gt;0, Results!$E$4="Tissue",OR($B$52="g",$B$52="mg")),((AT3*AT$51)/(AT$52)),IF(AND(Results!$E$5="Volume",$C$54&gt;0,Results!$E$4="Fluid"),((AT3*AT$51)/(AT$54)),IF(AND(Results!$E$4="Cells",Results!$E$5="Million",$B$52="million"),((AT3*AT$51)/(AT$52)),"0")))))</f>
        <v>83.946950000000001</v>
      </c>
      <c r="AU56" s="20">
        <f>IF(AU3=0,"0",IF(AND(Results!$E$5="Protein",$C$53&gt;0,OR(Results!$E$4="Tissue",Results!$E$4="Cells")),((AU3*AU$51)/(AU$53)),IF(AND(Results!$E$5="Weight",$C$52&gt;0, Results!$E$4="Tissue",OR($B$52="g",$B$52="mg")),((AU3*AU$51)/(AU$52)),IF(AND(Results!$E$5="Volume",$C$54&gt;0,Results!$E$4="Fluid"),((AU3*AU$51)/(AU$54)),IF(AND(Results!$E$4="Cells",Results!$E$5="Million",$B$52="million"),((AU3*AU$51)/(AU$52)),"0")))))</f>
        <v>9.0578000000000003</v>
      </c>
      <c r="AV56" s="20">
        <f>IF(AV3=0,"0",IF(AND(Results!$E$5="Protein",$C$53&gt;0,OR(Results!$E$4="Tissue",Results!$E$4="Cells")),((AV3*AV$51)/(AV$53)),IF(AND(Results!$E$5="Weight",$C$52&gt;0, Results!$E$4="Tissue",OR($B$52="g",$B$52="mg")),((AV3*AV$51)/(AV$52)),IF(AND(Results!$E$5="Volume",$C$54&gt;0,Results!$E$4="Fluid"),((AV3*AV$51)/(AV$54)),IF(AND(Results!$E$4="Cells",Results!$E$5="Million",$B$52="million"),((AV3*AV$51)/(AV$52)),"0")))))</f>
        <v>9.9452800000000003</v>
      </c>
      <c r="AW56" s="20">
        <f>IF(AW3=0,"0",IF(AND(Results!$E$5="Protein",$C$53&gt;0,OR(Results!$E$4="Tissue",Results!$E$4="Cells")),((AW3*AW$51)/(AW$53)),IF(AND(Results!$E$5="Weight",$C$52&gt;0, Results!$E$4="Tissue",OR($B$52="g",$B$52="mg")),((AW3*AW$51)/(AW$52)),IF(AND(Results!$E$5="Volume",$C$54&gt;0,Results!$E$4="Fluid"),((AW3*AW$51)/(AW$54)),IF(AND(Results!$E$4="Cells",Results!$E$5="Million",$B$52="million"),((AW3*AW$51)/(AW$52)),"0")))))</f>
        <v>11.460850000000001</v>
      </c>
      <c r="AX56" s="20">
        <f>IF(AX3=0,"0",IF(AND(Results!$E$5="Protein",$C$53&gt;0,OR(Results!$E$4="Tissue",Results!$E$4="Cells")),((AX3*AX$51)/(AX$53)),IF(AND(Results!$E$5="Weight",$C$52&gt;0, Results!$E$4="Tissue",OR($B$52="g",$B$52="mg")),((AX3*AX$51)/(AX$52)),IF(AND(Results!$E$5="Volume",$C$54&gt;0,Results!$E$4="Fluid"),((AX3*AX$51)/(AX$54)),IF(AND(Results!$E$4="Cells",Results!$E$5="Million",$B$52="million"),((AX3*AX$51)/(AX$52)),"0")))))</f>
        <v>16.784683333333334</v>
      </c>
      <c r="AY56" s="20">
        <f>IF(AY3=0,"0",IF(AND(Results!$E$5="Protein",$C$53&gt;0,OR(Results!$E$4="Tissue",Results!$E$4="Cells")),((AY3*AY$51)/(AY$53)),IF(AND(Results!$E$5="Weight",$C$52&gt;0, Results!$E$4="Tissue",OR($B$52="g",$B$52="mg")),((AY3*AY$51)/(AY$52)),IF(AND(Results!$E$5="Volume",$C$54&gt;0,Results!$E$4="Fluid"),((AY3*AY$51)/(AY$54)),IF(AND(Results!$E$4="Cells",Results!$E$5="Million",$B$52="million"),((AY3*AY$51)/(AY$52)),"0")))))</f>
        <v>21.6768</v>
      </c>
      <c r="AZ56" s="20">
        <f>IF(AZ3=0,"0",IF(AND(Results!$E$5="Protein",$C$53&gt;0,OR(Results!$E$4="Tissue",Results!$E$4="Cells")),((AZ3*AZ$51)/(AZ$53)),IF(AND(Results!$E$5="Weight",$C$52&gt;0, Results!$E$4="Tissue",OR($B$52="g",$B$52="mg")),((AZ3*AZ$51)/(AZ$52)),IF(AND(Results!$E$5="Volume",$C$54&gt;0,Results!$E$4="Fluid"),((AZ3*AZ$51)/(AZ$54)),IF(AND(Results!$E$4="Cells",Results!$E$5="Million",$B$52="million"),((AZ3*AZ$51)/(AZ$52)),"0")))))</f>
        <v>6.5119666666666669</v>
      </c>
      <c r="BA56" s="20">
        <f>IF(BA3=0,"0",IF(AND(Results!$E$5="Protein",$C$53&gt;0,OR(Results!$E$4="Tissue",Results!$E$4="Cells")),((BA3*BA$51)/(BA$53)),IF(AND(Results!$E$5="Weight",$C$52&gt;0, Results!$E$4="Tissue",OR($B$52="g",$B$52="mg")),((BA3*BA$51)/(BA$52)),IF(AND(Results!$E$5="Volume",$C$54&gt;0,Results!$E$4="Fluid"),((BA3*BA$51)/(BA$54)),IF(AND(Results!$E$4="Cells",Results!$E$5="Million",$B$52="million"),((BA3*BA$51)/(BA$52)),"0")))))</f>
        <v>23.429283333333334</v>
      </c>
      <c r="BB56" s="20">
        <f>IF(BB3=0,"0",IF(AND(Results!$E$5="Protein",$C$53&gt;0,OR(Results!$E$4="Tissue",Results!$E$4="Cells")),((BB3*BB$51)/(BB$53)),IF(AND(Results!$E$5="Weight",$C$52&gt;0, Results!$E$4="Tissue",OR($B$52="g",$B$52="mg")),((BB3*BB$51)/(BB$52)),IF(AND(Results!$E$5="Volume",$C$54&gt;0,Results!$E$4="Fluid"),((BB3*BB$51)/(BB$54)),IF(AND(Results!$E$4="Cells",Results!$E$5="Million",$B$52="million"),((BB3*BB$51)/(BB$52)),"0")))))</f>
        <v>14.116066666666665</v>
      </c>
      <c r="BC56" s="20">
        <f>IF(BC3=0,"0",IF(AND(Results!$E$5="Protein",$C$53&gt;0,OR(Results!$E$4="Tissue",Results!$E$4="Cells")),((BC3*BC$51)/(BC$53)),IF(AND(Results!$E$5="Weight",$C$52&gt;0, Results!$E$4="Tissue",OR($B$52="g",$B$52="mg")),((BC3*BC$51)/(BC$52)),IF(AND(Results!$E$5="Volume",$C$54&gt;0,Results!$E$4="Fluid"),((BC3*BC$51)/(BC$54)),IF(AND(Results!$E$4="Cells",Results!$E$5="Million",$B$52="million"),((BC3*BC$51)/(BC$52)),"0")))))</f>
        <v>11.718250000000001</v>
      </c>
      <c r="BD56" s="20">
        <f>IF(BD3=0,"0",IF(AND(Results!$E$5="Protein",$C$53&gt;0,OR(Results!$E$4="Tissue",Results!$E$4="Cells")),((BD3*BD$51)/(BD$53)),IF(AND(Results!$E$5="Weight",$C$52&gt;0, Results!$E$4="Tissue",OR($B$52="g",$B$52="mg")),((BD3*BD$51)/(BD$52)),IF(AND(Results!$E$5="Volume",$C$54&gt;0,Results!$E$4="Fluid"),((BD3*BD$51)/(BD$54)),IF(AND(Results!$E$4="Cells",Results!$E$5="Million",$B$52="million"),((BD3*BD$51)/(BD$52)),"0")))))</f>
        <v>18.022550000000003</v>
      </c>
      <c r="BE56" s="20">
        <f>IF(BE3=0,"0",IF(AND(Results!$E$5="Protein",$C$53&gt;0,OR(Results!$E$4="Tissue",Results!$E$4="Cells")),((BE3*BE$51)/(BE$53)),IF(AND(Results!$E$5="Weight",$C$52&gt;0, Results!$E$4="Tissue",OR($B$52="g",$B$52="mg")),((BE3*BE$51)/(BE$52)),IF(AND(Results!$E$5="Volume",$C$54&gt;0,Results!$E$4="Fluid"),((BE3*BE$51)/(BE$54)),IF(AND(Results!$E$4="Cells",Results!$E$5="Million",$B$52="million"),((BE3*BE$51)/(BE$52)),"0")))))</f>
        <v>24.628049999999998</v>
      </c>
      <c r="BF56" s="20">
        <f>IF(BF3=0,"0",IF(AND(Results!$E$5="Protein",$C$53&gt;0,OR(Results!$E$4="Tissue",Results!$E$4="Cells")),((BF3*BF$51)/(BF$53)),IF(AND(Results!$E$5="Weight",$C$52&gt;0, Results!$E$4="Tissue",OR($B$52="g",$B$52="mg")),((BF3*BF$51)/(BF$52)),IF(AND(Results!$E$5="Volume",$C$54&gt;0,Results!$E$4="Fluid"),((BF3*BF$51)/(BF$54)),IF(AND(Results!$E$4="Cells",Results!$E$5="Million",$B$52="million"),((BF3*BF$51)/(BF$52)),"0")))))</f>
        <v>114.56484999999999</v>
      </c>
      <c r="BG56" s="20">
        <f>IF(BG3=0,"0",IF(AND(Results!$E$5="Protein",$C$53&gt;0,OR(Results!$E$4="Tissue",Results!$E$4="Cells")),((BG3*BG$51)/(BG$53)),IF(AND(Results!$E$5="Weight",$C$52&gt;0, Results!$E$4="Tissue",OR($B$52="g",$B$52="mg")),((BG3*BG$51)/(BG$52)),IF(AND(Results!$E$5="Volume",$C$54&gt;0,Results!$E$4="Fluid"),((BG3*BG$51)/(BG$54)),IF(AND(Results!$E$4="Cells",Results!$E$5="Million",$B$52="million"),((BG3*BG$51)/(BG$52)),"0")))))</f>
        <v>6.3579833333333333</v>
      </c>
      <c r="BH56" s="20">
        <f>IF(BH3=0,"0",IF(AND(Results!$E$5="Protein",$C$53&gt;0,OR(Results!$E$4="Tissue",Results!$E$4="Cells")),((BH3*BH$51)/(BH$53)),IF(AND(Results!$E$5="Weight",$C$52&gt;0, Results!$E$4="Tissue",OR($B$52="g",$B$52="mg")),((BH3*BH$51)/(BH$52)),IF(AND(Results!$E$5="Volume",$C$54&gt;0,Results!$E$4="Fluid"),((BH3*BH$51)/(BH$54)),IF(AND(Results!$E$4="Cells",Results!$E$5="Million",$B$52="million"),((BH3*BH$51)/(BH$52)),"0")))))</f>
        <v>96.28179999999999</v>
      </c>
      <c r="BI56" s="20">
        <f>IF(BI3=0,"0",IF(AND(Results!$E$5="Protein",$C$53&gt;0,OR(Results!$E$4="Tissue",Results!$E$4="Cells")),((BI3*BI$51)/(BI$53)),IF(AND(Results!$E$5="Weight",$C$52&gt;0, Results!$E$4="Tissue",OR($B$52="g",$B$52="mg")),((BI3*BI$51)/(BI$52)),IF(AND(Results!$E$5="Volume",$C$54&gt;0,Results!$E$4="Fluid"),((BI3*BI$51)/(BI$54)),IF(AND(Results!$E$4="Cells",Results!$E$5="Million",$B$52="million"),((BI3*BI$51)/(BI$52)),"0")))))</f>
        <v>229.18998333333332</v>
      </c>
      <c r="BJ56" s="20">
        <f>IF(BJ3=0,"0",IF(AND(Results!$E$5="Protein",$C$53&gt;0,OR(Results!$E$4="Tissue",Results!$E$4="Cells")),((BJ3*BJ$51)/(BJ$53)),IF(AND(Results!$E$5="Weight",$C$52&gt;0, Results!$E$4="Tissue",OR($B$52="g",$B$52="mg")),((BJ3*BJ$51)/(BJ$52)),IF(AND(Results!$E$5="Volume",$C$54&gt;0,Results!$E$4="Fluid"),((BJ3*BJ$51)/(BJ$54)),IF(AND(Results!$E$4="Cells",Results!$E$5="Million",$B$52="million"),((BJ3*BJ$51)/(BJ$52)),"0")))))</f>
        <v>304.71876666666668</v>
      </c>
      <c r="BK56" s="20">
        <f>IF(BK3=0,"0",IF(AND(Results!$E$5="Protein",$C$53&gt;0,OR(Results!$E$4="Tissue",Results!$E$4="Cells")),((BK3*BK$51)/(BK$53)),IF(AND(Results!$E$5="Weight",$C$52&gt;0, Results!$E$4="Tissue",OR($B$52="g",$B$52="mg")),((BK3*BK$51)/(BK$52)),IF(AND(Results!$E$5="Volume",$C$54&gt;0,Results!$E$4="Fluid"),((BK3*BK$51)/(BK$54)),IF(AND(Results!$E$4="Cells",Results!$E$5="Million",$B$52="million"),((BK3*BK$51)/(BK$52)),"0")))))</f>
        <v>59.238799999999998</v>
      </c>
      <c r="BL56" s="20">
        <f>IF(BL3=0,"0",IF(AND(Results!$E$5="Protein",$C$53&gt;0,OR(Results!$E$4="Tissue",Results!$E$4="Cells")),((BL3*BL$51)/(BL$53)),IF(AND(Results!$E$5="Weight",$C$52&gt;0, Results!$E$4="Tissue",OR($B$52="g",$B$52="mg")),((BL3*BL$51)/(BL$52)),IF(AND(Results!$E$5="Volume",$C$54&gt;0,Results!$E$4="Fluid"),((BL3*BL$51)/(BL$54)),IF(AND(Results!$E$4="Cells",Results!$E$5="Million",$B$52="million"),((BL3*BL$51)/(BL$52)),"0")))))</f>
        <v>1486.8453666666669</v>
      </c>
      <c r="BM56" s="20">
        <f>IF(BM3=0,"0",IF(AND(Results!$E$5="Protein",$C$53&gt;0,OR(Results!$E$4="Tissue",Results!$E$4="Cells")),((BM3*BM$51)/(BM$53)),IF(AND(Results!$E$5="Weight",$C$52&gt;0, Results!$E$4="Tissue",OR($B$52="g",$B$52="mg")),((BM3*BM$51)/(BM$52)),IF(AND(Results!$E$5="Volume",$C$54&gt;0,Results!$E$4="Fluid"),((BM3*BM$51)/(BM$54)),IF(AND(Results!$E$4="Cells",Results!$E$5="Million",$B$52="million"),((BM3*BM$51)/(BM$52)),"0")))))</f>
        <v>1132.426057142857</v>
      </c>
      <c r="BN56" s="20">
        <f>IF(BN3=0,"0",IF(AND(Results!$E$5="Protein",$C$53&gt;0,OR(Results!$E$4="Tissue",Results!$E$4="Cells")),((BN3*BN$51)/(BN$53)),IF(AND(Results!$E$5="Weight",$C$52&gt;0, Results!$E$4="Tissue",OR($B$52="g",$B$52="mg")),((BN3*BN$51)/(BN$52)),IF(AND(Results!$E$5="Volume",$C$54&gt;0,Results!$E$4="Fluid"),((BN3*BN$51)/(BN$54)),IF(AND(Results!$E$4="Cells",Results!$E$5="Million",$B$52="million"),((BN3*BN$51)/(BN$52)),"0")))))</f>
        <v>1140.9824166666667</v>
      </c>
      <c r="BO56" s="20">
        <f>IF(BO3=0,"0",IF(AND(Results!$E$5="Protein",$C$53&gt;0,OR(Results!$E$4="Tissue",Results!$E$4="Cells")),((BO3*BO$51)/(BO$53)),IF(AND(Results!$E$5="Weight",$C$52&gt;0, Results!$E$4="Tissue",OR($B$52="g",$B$52="mg")),((BO3*BO$51)/(BO$52)),IF(AND(Results!$E$5="Volume",$C$54&gt;0,Results!$E$4="Fluid"),((BO3*BO$51)/(BO$54)),IF(AND(Results!$E$4="Cells",Results!$E$5="Million",$B$52="million"),((BO3*BO$51)/(BO$52)),"0")))))</f>
        <v>1626.6825333333331</v>
      </c>
      <c r="BP56" s="20">
        <f>IF(BP3=0,"0",IF(AND(Results!$E$5="Protein",$C$53&gt;0,OR(Results!$E$4="Tissue",Results!$E$4="Cells")),((BP3*BP$51)/(BP$53)),IF(AND(Results!$E$5="Weight",$C$52&gt;0, Results!$E$4="Tissue",OR($B$52="g",$B$52="mg")),((BP3*BP$51)/(BP$52)),IF(AND(Results!$E$5="Volume",$C$54&gt;0,Results!$E$4="Fluid"),((BP3*BP$51)/(BP$54)),IF(AND(Results!$E$4="Cells",Results!$E$5="Million",$B$52="million"),((BP3*BP$51)/(BP$52)),"0")))))</f>
        <v>863.48431666666659</v>
      </c>
      <c r="BQ56" s="20">
        <f>IF(BQ3=0,"0",IF(AND(Results!$E$5="Protein",$C$53&gt;0,OR(Results!$E$4="Tissue",Results!$E$4="Cells")),((BQ3*BQ$51)/(BQ$53)),IF(AND(Results!$E$5="Weight",$C$52&gt;0, Results!$E$4="Tissue",OR($B$52="g",$B$52="mg")),((BQ3*BQ$51)/(BQ$52)),IF(AND(Results!$E$5="Volume",$C$54&gt;0,Results!$E$4="Fluid"),((BQ3*BQ$51)/(BQ$54)),IF(AND(Results!$E$4="Cells",Results!$E$5="Million",$B$52="million"),((BQ3*BQ$51)/(BQ$52)),"0")))))</f>
        <v>84.513350000000003</v>
      </c>
      <c r="BR56" s="20">
        <f>IF(BR3=0,"0",IF(AND(Results!$E$5="Protein",$C$53&gt;0,OR(Results!$E$4="Tissue",Results!$E$4="Cells")),((BR3*BR$51)/(BR$53)),IF(AND(Results!$E$5="Weight",$C$52&gt;0, Results!$E$4="Tissue",OR($B$52="g",$B$52="mg")),((BR3*BR$51)/(BR$52)),IF(AND(Results!$E$5="Volume",$C$54&gt;0,Results!$E$4="Fluid"),((BR3*BR$51)/(BR$54)),IF(AND(Results!$E$4="Cells",Results!$E$5="Million",$B$52="million"),((BR3*BR$51)/(BR$52)),"0")))))</f>
        <v>29.096800000000002</v>
      </c>
      <c r="BS56" s="20">
        <f>IF(BS3=0,"0",IF(AND(Results!$E$5="Protein",$C$53&gt;0,OR(Results!$E$4="Tissue",Results!$E$4="Cells")),((BS3*BS$51)/(BS$53)),IF(AND(Results!$E$5="Weight",$C$52&gt;0, Results!$E$4="Tissue",OR($B$52="g",$B$52="mg")),((BS3*BS$51)/(BS$52)),IF(AND(Results!$E$5="Volume",$C$54&gt;0,Results!$E$4="Fluid"),((BS3*BS$51)/(BS$54)),IF(AND(Results!$E$4="Cells",Results!$E$5="Million",$B$52="million"),((BS3*BS$51)/(BS$52)),"0")))))</f>
        <v>910.37908333333337</v>
      </c>
      <c r="BT56" s="20">
        <f>IF(BT3=0,"0",IF(AND(Results!$E$5="Protein",$C$53&gt;0,OR(Results!$E$4="Tissue",Results!$E$4="Cells")),((BT3*BT$51)/(BT$53)),IF(AND(Results!$E$5="Weight",$C$52&gt;0, Results!$E$4="Tissue",OR($B$52="g",$B$52="mg")),((BT3*BT$51)/(BT$52)),IF(AND(Results!$E$5="Volume",$C$54&gt;0,Results!$E$4="Fluid"),((BT3*BT$51)/(BT$54)),IF(AND(Results!$E$4="Cells",Results!$E$5="Million",$B$52="million"),((BT3*BT$51)/(BT$52)),"0")))))</f>
        <v>303.77690000000001</v>
      </c>
      <c r="BU56" s="20">
        <f>IF(BU3=0,"0",IF(AND(Results!$E$5="Protein",$C$53&gt;0,OR(Results!$E$4="Tissue",Results!$E$4="Cells")),((BU3*BU$51)/(BU$53)),IF(AND(Results!$E$5="Weight",$C$52&gt;0, Results!$E$4="Tissue",OR($B$52="g",$B$52="mg")),((BU3*BU$51)/(BU$52)),IF(AND(Results!$E$5="Volume",$C$54&gt;0,Results!$E$4="Fluid"),((BU3*BU$51)/(BU$54)),IF(AND(Results!$E$4="Cells",Results!$E$5="Million",$B$52="million"),((BU3*BU$51)/(BU$52)),"0")))))</f>
        <v>150.93463333333332</v>
      </c>
      <c r="BV56" s="20">
        <f>IF(BV3=0,"0",IF(AND(Results!$E$5="Protein",$C$53&gt;0,OR(Results!$E$4="Tissue",Results!$E$4="Cells")),((BV3*BV$51)/(BV$53)),IF(AND(Results!$E$5="Weight",$C$52&gt;0, Results!$E$4="Tissue",OR($B$52="g",$B$52="mg")),((BV3*BV$51)/(BV$52)),IF(AND(Results!$E$5="Volume",$C$54&gt;0,Results!$E$4="Fluid"),((BV3*BV$51)/(BV$54)),IF(AND(Results!$E$4="Cells",Results!$E$5="Million",$B$52="million"),((BV3*BV$51)/(BV$52)),"0")))))</f>
        <v>129.56854999999999</v>
      </c>
      <c r="BW56" s="20">
        <f>IF(BW3=0,"0",IF(AND(Results!$E$5="Protein",$C$53&gt;0,OR(Results!$E$4="Tissue",Results!$E$4="Cells")),((BW3*BW$51)/(BW$53)),IF(AND(Results!$E$5="Weight",$C$52&gt;0, Results!$E$4="Tissue",OR($B$52="g",$B$52="mg")),((BW3*BW$51)/(BW$52)),IF(AND(Results!$E$5="Volume",$C$54&gt;0,Results!$E$4="Fluid"),((BW3*BW$51)/(BW$54)),IF(AND(Results!$E$4="Cells",Results!$E$5="Million",$B$52="million"),((BW3*BW$51)/(BW$52)),"0")))))</f>
        <v>71.605833333333337</v>
      </c>
      <c r="BX56" s="20">
        <f>IF(BX3=0,"0",IF(AND(Results!$E$5="Protein",$C$53&gt;0,OR(Results!$E$4="Tissue",Results!$E$4="Cells")),((BX3*BX$51)/(BX$53)),IF(AND(Results!$E$5="Weight",$C$52&gt;0, Results!$E$4="Tissue",OR($B$52="g",$B$52="mg")),((BX3*BX$51)/(BX$52)),IF(AND(Results!$E$5="Volume",$C$54&gt;0,Results!$E$4="Fluid"),((BX3*BX$51)/(BX$54)),IF(AND(Results!$E$4="Cells",Results!$E$5="Million",$B$52="million"),((BX3*BX$51)/(BX$52)),"0")))))</f>
        <v>15.8028</v>
      </c>
      <c r="BY56" s="20">
        <f>IF(BY3=0,"0",IF(AND(Results!$E$5="Protein",$C$53&gt;0,OR(Results!$E$4="Tissue",Results!$E$4="Cells")),((BY3*BY$51)/(BY$53)),IF(AND(Results!$E$5="Weight",$C$52&gt;0, Results!$E$4="Tissue",OR($B$52="g",$B$52="mg")),((BY3*BY$51)/(BY$52)),IF(AND(Results!$E$5="Volume",$C$54&gt;0,Results!$E$4="Fluid"),((BY3*BY$51)/(BY$54)),IF(AND(Results!$E$4="Cells",Results!$E$5="Million",$B$52="million"),((BY3*BY$51)/(BY$52)),"0")))))</f>
        <v>136.51528333333331</v>
      </c>
      <c r="BZ56" s="20">
        <f>IF(BZ3=0,"0",IF(AND(Results!$E$5="Protein",$C$53&gt;0,OR(Results!$E$4="Tissue",Results!$E$4="Cells")),((BZ3*BZ$51)/(BZ$53)),IF(AND(Results!$E$5="Weight",$C$52&gt;0, Results!$E$4="Tissue",OR($B$52="g",$B$52="mg")),((BZ3*BZ$51)/(BZ$52)),IF(AND(Results!$E$5="Volume",$C$54&gt;0,Results!$E$4="Fluid"),((BZ3*BZ$51)/(BZ$54)),IF(AND(Results!$E$4="Cells",Results!$E$5="Million",$B$52="million"),((BZ3*BZ$51)/(BZ$52)),"0")))))</f>
        <v>81.480566666666661</v>
      </c>
      <c r="CA56" s="20">
        <f>IF(CA3=0,"0",IF(AND(Results!$E$5="Protein",$C$53&gt;0,OR(Results!$E$4="Tissue",Results!$E$4="Cells")),((CA3*CA$51)/(CA$53)),IF(AND(Results!$E$5="Weight",$C$52&gt;0, Results!$E$4="Tissue",OR($B$52="g",$B$52="mg")),((CA3*CA$51)/(CA$52)),IF(AND(Results!$E$5="Volume",$C$54&gt;0,Results!$E$4="Fluid"),((CA3*CA$51)/(CA$54)),IF(AND(Results!$E$4="Cells",Results!$E$5="Million",$B$52="million"),((CA3*CA$51)/(CA$52)),"0")))))</f>
        <v>93.669699999999992</v>
      </c>
      <c r="CB56" s="20">
        <f>IF(CB3=0,"0",IF(AND(Results!$E$5="Protein",$C$53&gt;0,OR(Results!$E$4="Tissue",Results!$E$4="Cells")),((CB3*CB$51)/(CB$53)),IF(AND(Results!$E$5="Weight",$C$52&gt;0, Results!$E$4="Tissue",OR($B$52="g",$B$52="mg")),((CB3*CB$51)/(CB$52)),IF(AND(Results!$E$5="Volume",$C$54&gt;0,Results!$E$4="Fluid"),((CB3*CB$51)/(CB$54)),IF(AND(Results!$E$4="Cells",Results!$E$5="Million",$B$52="million"),((CB3*CB$51)/(CB$52)),"0")))))</f>
        <v>27.8492</v>
      </c>
      <c r="CC56" s="20">
        <f>IF(CC3=0,"0",IF(AND(Results!$E$5="Protein",$C$53&gt;0,OR(Results!$E$4="Tissue",Results!$E$4="Cells")),((CC3*CC$51)/(CC$53)),IF(AND(Results!$E$5="Weight",$C$52&gt;0, Results!$E$4="Tissue",OR($B$52="g",$B$52="mg")),((CC3*CC$51)/(CC$52)),IF(AND(Results!$E$5="Volume",$C$54&gt;0,Results!$E$4="Fluid"),((CC3*CC$51)/(CC$54)),IF(AND(Results!$E$4="Cells",Results!$E$5="Million",$B$52="million"),((CC3*CC$51)/(CC$52)),"0")))))</f>
        <v>25.058383333333335</v>
      </c>
      <c r="CD56" s="20">
        <f>IF(CD3=0,"0",IF(AND(Results!$E$5="Protein",$C$53&gt;0,OR(Results!$E$4="Tissue",Results!$E$4="Cells")),((CD3*CD$51)/(CD$53)),IF(AND(Results!$E$5="Weight",$C$52&gt;0, Results!$E$4="Tissue",OR($B$52="g",$B$52="mg")),((CD3*CD$51)/(CD$52)),IF(AND(Results!$E$5="Volume",$C$54&gt;0,Results!$E$4="Fluid"),((CD3*CD$51)/(CD$54)),IF(AND(Results!$E$4="Cells",Results!$E$5="Million",$B$52="million"),((CD3*CD$51)/(CD$52)),"0")))))</f>
        <v>25.914033333333332</v>
      </c>
      <c r="CE56" s="20">
        <f>IF(CE3=0,"0",IF(AND(Results!$E$5="Protein",$C$53&gt;0,OR(Results!$E$4="Tissue",Results!$E$4="Cells")),((CE3*CE$51)/(CE$53)),IF(AND(Results!$E$5="Weight",$C$52&gt;0, Results!$E$4="Tissue",OR($B$52="g",$B$52="mg")),((CE3*CE$51)/(CE$52)),IF(AND(Results!$E$5="Volume",$C$54&gt;0,Results!$E$4="Fluid"),((CE3*CE$51)/(CE$54)),IF(AND(Results!$E$4="Cells",Results!$E$5="Million",$B$52="million"),((CE3*CE$51)/(CE$52)),"0")))))</f>
        <v>196.77831666666668</v>
      </c>
      <c r="CF56" s="20">
        <f>IF(CF3=0,"0",IF(AND(Results!$E$5="Protein",$C$53&gt;0,OR(Results!$E$4="Tissue",Results!$E$4="Cells")),((CF3*CF$51)/(CF$53)),IF(AND(Results!$E$5="Weight",$C$52&gt;0, Results!$E$4="Tissue",OR($B$52="g",$B$52="mg")),((CF3*CF$51)/(CF$52)),IF(AND(Results!$E$5="Volume",$C$54&gt;0,Results!$E$4="Fluid"),((CF3*CF$51)/(CF$54)),IF(AND(Results!$E$4="Cells",Results!$E$5="Million",$B$52="million"),((CF3*CF$51)/(CF$52)),"0")))))</f>
        <v>15.764766666666667</v>
      </c>
      <c r="CG56" s="20">
        <f>IF(CG3=0,"0",IF(AND(Results!$E$5="Protein",$C$53&gt;0,OR(Results!$E$4="Tissue",Results!$E$4="Cells")),((CG3*CG$51)/(CG$53)),IF(AND(Results!$E$5="Weight",$C$52&gt;0, Results!$E$4="Tissue",OR($B$52="g",$B$52="mg")),((CG3*CG$51)/(CG$52)),IF(AND(Results!$E$5="Volume",$C$54&gt;0,Results!$E$4="Fluid"),((CG3*CG$51)/(CG$54)),IF(AND(Results!$E$4="Cells",Results!$E$5="Million",$B$52="million"),((CG3*CG$51)/(CG$52)),"0")))))</f>
        <v>34.763550000000002</v>
      </c>
      <c r="CH56" s="20">
        <f>IF(CH3=0,"0",IF(AND(Results!$E$5="Protein",$C$53&gt;0,OR(Results!$E$4="Tissue",Results!$E$4="Cells")),((CH3*CH$51)/(CH$53)),IF(AND(Results!$E$5="Weight",$C$52&gt;0, Results!$E$4="Tissue",OR($B$52="g",$B$52="mg")),((CH3*CH$51)/(CH$52)),IF(AND(Results!$E$5="Volume",$C$54&gt;0,Results!$E$4="Fluid"),((CH3*CH$51)/(CH$54)),IF(AND(Results!$E$4="Cells",Results!$E$5="Million",$B$52="million"),((CH3*CH$51)/(CH$52)),"0")))))</f>
        <v>25.924166666666665</v>
      </c>
      <c r="CI56" s="20">
        <f>IF(CI3=0,"0",IF(AND(Results!$E$5="Protein",$C$53&gt;0,OR(Results!$E$4="Tissue",Results!$E$4="Cells")),((CI3*CI$51)/(CI$53)),IF(AND(Results!$E$5="Weight",$C$52&gt;0, Results!$E$4="Tissue",OR($B$52="g",$B$52="mg")),((CI3*CI$51)/(CI$52)),IF(AND(Results!$E$5="Volume",$C$54&gt;0,Results!$E$4="Fluid"),((CI3*CI$51)/(CI$54)),IF(AND(Results!$E$4="Cells",Results!$E$5="Million",$B$52="million"),((CI3*CI$51)/(CI$52)),"0")))))</f>
        <v>74.220966666666669</v>
      </c>
      <c r="CJ56" s="20">
        <f>IF(CJ3=0,"0",IF(AND(Results!$E$5="Protein",$C$53&gt;0,OR(Results!$E$4="Tissue",Results!$E$4="Cells")),((CJ3*CJ$51)/(CJ$53)),IF(AND(Results!$E$5="Weight",$C$52&gt;0, Results!$E$4="Tissue",OR($B$52="g",$B$52="mg")),((CJ3*CJ$51)/(CJ$52)),IF(AND(Results!$E$5="Volume",$C$54&gt;0,Results!$E$4="Fluid"),((CJ3*CJ$51)/(CJ$54)),IF(AND(Results!$E$4="Cells",Results!$E$5="Million",$B$52="million"),((CJ3*CJ$51)/(CJ$52)),"0")))))</f>
        <v>16.62971111111111</v>
      </c>
      <c r="CK56" s="20">
        <f>IF(CK3=0,"0",IF(AND(Results!$E$5="Protein",$C$53&gt;0,OR(Results!$E$4="Tissue",Results!$E$4="Cells")),((CK3*CK$51)/(CK$53)),IF(AND(Results!$E$5="Weight",$C$52&gt;0, Results!$E$4="Tissue",OR($B$52="g",$B$52="mg")),((CK3*CK$51)/(CK$52)),IF(AND(Results!$E$5="Volume",$C$54&gt;0,Results!$E$4="Fluid"),((CK3*CK$51)/(CK$54)),IF(AND(Results!$E$4="Cells",Results!$E$5="Million",$B$52="million"),((CK3*CK$51)/(CK$52)),"0")))))</f>
        <v>21.617383333333333</v>
      </c>
      <c r="CL56" s="20">
        <f>IF(CL3=0,"0",IF(AND(Results!$E$5="Protein",$C$53&gt;0,OR(Results!$E$4="Tissue",Results!$E$4="Cells")),((CL3*CL$51)/(CL$53)),IF(AND(Results!$E$5="Weight",$C$52&gt;0, Results!$E$4="Tissue",OR($B$52="g",$B$52="mg")),((CL3*CL$51)/(CL$52)),IF(AND(Results!$E$5="Volume",$C$54&gt;0,Results!$E$4="Fluid"),((CL3*CL$51)/(CL$54)),IF(AND(Results!$E$4="Cells",Results!$E$5="Million",$B$52="million"),((CL3*CL$51)/(CL$52)),"0")))))</f>
        <v>42.224883333333331</v>
      </c>
      <c r="CM56" s="20">
        <f>IF(CM3=0,"0",IF(AND(Results!$E$5="Protein",$C$53&gt;0,OR(Results!$E$4="Tissue",Results!$E$4="Cells")),((CM3*CM$51)/(CM$53)),IF(AND(Results!$E$5="Weight",$C$52&gt;0, Results!$E$4="Tissue",OR($B$52="g",$B$52="mg")),((CM3*CM$51)/(CM$52)),IF(AND(Results!$E$5="Volume",$C$54&gt;0,Results!$E$4="Fluid"),((CM3*CM$51)/(CM$54)),IF(AND(Results!$E$4="Cells",Results!$E$5="Million",$B$52="million"),((CM3*CM$51)/(CM$52)),"0")))))</f>
        <v>20.078116666666666</v>
      </c>
      <c r="CN56" s="20">
        <f>IF(CN3=0,"0",IF(AND(Results!$E$5="Protein",$C$53&gt;0,OR(Results!$E$4="Tissue",Results!$E$4="Cells")),((CN3*CN$51)/(CN$53)),IF(AND(Results!$E$5="Weight",$C$52&gt;0, Results!$E$4="Tissue",OR($B$52="g",$B$52="mg")),((CN3*CN$51)/(CN$52)),IF(AND(Results!$E$5="Volume",$C$54&gt;0,Results!$E$4="Fluid"),((CN3*CN$51)/(CN$54)),IF(AND(Results!$E$4="Cells",Results!$E$5="Million",$B$52="million"),((CN3*CN$51)/(CN$52)),"0")))))</f>
        <v>16.228383333333333</v>
      </c>
      <c r="CO56" s="20">
        <f>IF(CO3=0,"0",IF(AND(Results!$E$5="Protein",$C$53&gt;0,OR(Results!$E$4="Tissue",Results!$E$4="Cells")),((CO3*CO$51)/(CO$53)),IF(AND(Results!$E$5="Weight",$C$52&gt;0, Results!$E$4="Tissue",OR($B$52="g",$B$52="mg")),((CO3*CO$51)/(CO$52)),IF(AND(Results!$E$5="Volume",$C$54&gt;0,Results!$E$4="Fluid"),((CO3*CO$51)/(CO$54)),IF(AND(Results!$E$4="Cells",Results!$E$5="Million",$B$52="million"),((CO3*CO$51)/(CO$52)),"0")))))</f>
        <v>11.099649999999999</v>
      </c>
      <c r="CP56" s="20">
        <f>IF(CP3=0,"0",IF(AND(Results!$E$5="Protein",$C$53&gt;0,OR(Results!$E$4="Tissue",Results!$E$4="Cells")),((CP3*CP$51)/(CP$53)),IF(AND(Results!$E$5="Weight",$C$52&gt;0, Results!$E$4="Tissue",OR($B$52="g",$B$52="mg")),((CP3*CP$51)/(CP$52)),IF(AND(Results!$E$5="Volume",$C$54&gt;0,Results!$E$4="Fluid"),((CP3*CP$51)/(CP$54)),IF(AND(Results!$E$4="Cells",Results!$E$5="Million",$B$52="million"),((CP3*CP$51)/(CP$52)),"0")))))</f>
        <v>41.323583333333332</v>
      </c>
      <c r="CQ56" s="20">
        <f>IF(CQ3=0,"0",IF(AND(Results!$E$5="Protein",$C$53&gt;0,OR(Results!$E$4="Tissue",Results!$E$4="Cells")),((CQ3*CQ$51)/(CQ$53)),IF(AND(Results!$E$5="Weight",$C$52&gt;0, Results!$E$4="Tissue",OR($B$52="g",$B$52="mg")),((CQ3*CQ$51)/(CQ$52)),IF(AND(Results!$E$5="Volume",$C$54&gt;0,Results!$E$4="Fluid"),((CQ3*CQ$51)/(CQ$54)),IF(AND(Results!$E$4="Cells",Results!$E$5="Million",$B$52="million"),((CQ3*CQ$51)/(CQ$52)),"0")))))</f>
        <v>41.992650000000005</v>
      </c>
      <c r="CR56" s="20">
        <f>IF(CR3=0,"0",IF(AND(Results!$E$5="Protein",$C$53&gt;0,OR(Results!$E$4="Tissue",Results!$E$4="Cells")),((CR3*CR$51)/(CR$53)),IF(AND(Results!$E$5="Weight",$C$52&gt;0, Results!$E$4="Tissue",OR($B$52="g",$B$52="mg")),((CR3*CR$51)/(CR$52)),IF(AND(Results!$E$5="Volume",$C$54&gt;0,Results!$E$4="Fluid"),((CR3*CR$51)/(CR$54)),IF(AND(Results!$E$4="Cells",Results!$E$5="Million",$B$52="million"),((CR3*CR$51)/(CR$52)),"0")))))</f>
        <v>62.700900000000004</v>
      </c>
      <c r="CS56" s="20">
        <f>IF(CS3=0,"0",IF(AND(Results!$E$5="Protein",$C$53&gt;0,OR(Results!$E$4="Tissue",Results!$E$4="Cells")),((CS3*CS$51)/(CS$53)),IF(AND(Results!$E$5="Weight",$C$52&gt;0, Results!$E$4="Tissue",OR($B$52="g",$B$52="mg")),((CS3*CS$51)/(CS$52)),IF(AND(Results!$E$5="Volume",$C$54&gt;0,Results!$E$4="Fluid"),((CS3*CS$51)/(CS$54)),IF(AND(Results!$E$4="Cells",Results!$E$5="Million",$B$52="million"),((CS3*CS$51)/(CS$52)),"0")))))</f>
        <v>11.305250000000001</v>
      </c>
      <c r="CT56" s="20">
        <f>IF(CT3=0,"0",IF(AND(Results!$E$5="Protein",$C$53&gt;0,OR(Results!$E$4="Tissue",Results!$E$4="Cells")),((CT3*CT$51)/(CT$53)),IF(AND(Results!$E$5="Weight",$C$52&gt;0, Results!$E$4="Tissue",OR($B$52="g",$B$52="mg")),((CT3*CT$51)/(CT$52)),IF(AND(Results!$E$5="Volume",$C$54&gt;0,Results!$E$4="Fluid"),((CT3*CT$51)/(CT$54)),IF(AND(Results!$E$4="Cells",Results!$E$5="Million",$B$52="million"),((CT3*CT$51)/(CT$52)),"0")))))</f>
        <v>47.366216666666666</v>
      </c>
      <c r="CU56" s="20">
        <f>IF(CU3=0,"0",IF(AND(Results!$E$5="Protein",$C$53&gt;0,OR(Results!$E$4="Tissue",Results!$E$4="Cells")),((CU3*CU$51)/(CU$53)),IF(AND(Results!$E$5="Weight",$C$52&gt;0, Results!$E$4="Tissue",OR($B$52="g",$B$52="mg")),((CU3*CU$51)/(CU$52)),IF(AND(Results!$E$5="Volume",$C$54&gt;0,Results!$E$4="Fluid"),((CU3*CU$51)/(CU$54)),IF(AND(Results!$E$4="Cells",Results!$E$5="Million",$B$52="million"),((CU3*CU$51)/(CU$52)),"0")))))</f>
        <v>26.661999999999999</v>
      </c>
      <c r="CV56" s="20">
        <f>IF(CV3=0,"0",IF(AND(Results!$E$5="Protein",$C$53&gt;0,OR(Results!$E$4="Tissue",Results!$E$4="Cells")),((CV3*CV$51)/(CV$53)),IF(AND(Results!$E$5="Weight",$C$52&gt;0, Results!$E$4="Tissue",OR($B$52="g",$B$52="mg")),((CV3*CV$51)/(CV$52)),IF(AND(Results!$E$5="Volume",$C$54&gt;0,Results!$E$4="Fluid"),((CV3*CV$51)/(CV$54)),IF(AND(Results!$E$4="Cells",Results!$E$5="Million",$B$52="million"),((CV3*CV$51)/(CV$52)),"0")))))</f>
        <v>11.234433333333333</v>
      </c>
      <c r="CW56" s="20">
        <f>IF(CW3=0,"0",IF(AND(Results!$E$5="Protein",$C$53&gt;0,OR(Results!$E$4="Tissue",Results!$E$4="Cells")),((CW3*CW$51)/(CW$53)),IF(AND(Results!$E$5="Weight",$C$52&gt;0, Results!$E$4="Tissue",OR($B$52="g",$B$52="mg")),((CW3*CW$51)/(CW$52)),IF(AND(Results!$E$5="Volume",$C$54&gt;0,Results!$E$4="Fluid"),((CW3*CW$51)/(CW$54)),IF(AND(Results!$E$4="Cells",Results!$E$5="Million",$B$52="million"),((CW3*CW$51)/(CW$52)),"0")))))</f>
        <v>33.1417</v>
      </c>
      <c r="CX56" s="20">
        <f>IF(CX3=0,"0",IF(AND(Results!$E$5="Protein",$C$53&gt;0,OR(Results!$E$4="Tissue",Results!$E$4="Cells")),((CX3*CX$51)/(CX$53)),IF(AND(Results!$E$5="Weight",$C$52&gt;0, Results!$E$4="Tissue",OR($B$52="g",$B$52="mg")),((CX3*CX$51)/(CX$52)),IF(AND(Results!$E$5="Volume",$C$54&gt;0,Results!$E$4="Fluid"),((CX3*CX$51)/(CX$54)),IF(AND(Results!$E$4="Cells",Results!$E$5="Million",$B$52="million"),((CX3*CX$51)/(CX$52)),"0")))))</f>
        <v>21.887383333333332</v>
      </c>
      <c r="CY56" s="20">
        <f>IF(CY3=0,"0",IF(AND(Results!$E$5="Protein",$C$53&gt;0,OR(Results!$E$4="Tissue",Results!$E$4="Cells")),((CY3*CY$51)/(CY$53)),IF(AND(Results!$E$5="Weight",$C$52&gt;0, Results!$E$4="Tissue",OR($B$52="g",$B$52="mg")),((CY3*CY$51)/(CY$52)),IF(AND(Results!$E$5="Volume",$C$54&gt;0,Results!$E$4="Fluid"),((CY3*CY$51)/(CY$54)),IF(AND(Results!$E$4="Cells",Results!$E$5="Million",$B$52="million"),((CY3*CY$51)/(CY$52)),"0")))))</f>
        <v>13.703983333333333</v>
      </c>
      <c r="CZ56" s="20">
        <f>IF(CZ3=0,"0",IF(AND(Results!$E$5="Protein",$C$53&gt;0,OR(Results!$E$4="Tissue",Results!$E$4="Cells")),((CZ3*CZ$51)/(CZ$53)),IF(AND(Results!$E$5="Weight",$C$52&gt;0, Results!$E$4="Tissue",OR($B$52="g",$B$52="mg")),((CZ3*CZ$51)/(CZ$52)),IF(AND(Results!$E$5="Volume",$C$54&gt;0,Results!$E$4="Fluid"),((CZ3*CZ$51)/(CZ$54)),IF(AND(Results!$E$4="Cells",Results!$E$5="Million",$B$52="million"),((CZ3*CZ$51)/(CZ$52)),"0")))))</f>
        <v>6.3587666666666669</v>
      </c>
      <c r="DA56" s="20">
        <f>IF(DA3=0,"0",IF(AND(Results!$E$5="Protein",$C$53&gt;0,OR(Results!$E$4="Tissue",Results!$E$4="Cells")),((DA3*DA$51)/(DA$53)),IF(AND(Results!$E$5="Weight",$C$52&gt;0, Results!$E$4="Tissue",OR($B$52="g",$B$52="mg")),((DA3*DA$51)/(DA$52)),IF(AND(Results!$E$5="Volume",$C$54&gt;0,Results!$E$4="Fluid"),((DA3*DA$51)/(DA$54)),IF(AND(Results!$E$4="Cells",Results!$E$5="Million",$B$52="million"),((DA3*DA$51)/(DA$52)),"0")))))</f>
        <v>10.002916666666666</v>
      </c>
      <c r="DB56" s="20">
        <f>IF(DB3=0,"0",IF(AND(Results!$E$5="Protein",$C$53&gt;0,OR(Results!$E$4="Tissue",Results!$E$4="Cells")),((DB3*DB$51)/(DB$53)),IF(AND(Results!$E$5="Weight",$C$52&gt;0, Results!$E$4="Tissue",OR($B$52="g",$B$52="mg")),((DB3*DB$51)/(DB$52)),IF(AND(Results!$E$5="Volume",$C$54&gt;0,Results!$E$4="Fluid"),((DB3*DB$51)/(DB$54)),IF(AND(Results!$E$4="Cells",Results!$E$5="Million",$B$52="million"),((DB3*DB$51)/(DB$52)),"0")))))</f>
        <v>37.912033333333326</v>
      </c>
      <c r="DC56" s="20">
        <f>IF(DC3=0,"0",IF(AND(Results!$E$5="Protein",$C$53&gt;0,OR(Results!$E$4="Tissue",Results!$E$4="Cells")),((DC3*DC$51)/(DC$53)),IF(AND(Results!$E$5="Weight",$C$52&gt;0, Results!$E$4="Tissue",OR($B$52="g",$B$52="mg")),((DC3*DC$51)/(DC$52)),IF(AND(Results!$E$5="Volume",$C$54&gt;0,Results!$E$4="Fluid"),((DC3*DC$51)/(DC$54)),IF(AND(Results!$E$4="Cells",Results!$E$5="Million",$B$52="million"),((DC3*DC$51)/(DC$52)),"0")))))</f>
        <v>30.905633333333334</v>
      </c>
      <c r="DD56" s="20">
        <f>IF(DD3=0,"0",IF(AND(Results!$E$5="Protein",$C$53&gt;0,OR(Results!$E$4="Tissue",Results!$E$4="Cells")),((DD3*DD$51)/(DD$53)),IF(AND(Results!$E$5="Weight",$C$52&gt;0, Results!$E$4="Tissue",OR($B$52="g",$B$52="mg")),((DD3*DD$51)/(DD$52)),IF(AND(Results!$E$5="Volume",$C$54&gt;0,Results!$E$4="Fluid"),((DD3*DD$51)/(DD$54)),IF(AND(Results!$E$4="Cells",Results!$E$5="Million",$B$52="million"),((DD3*DD$51)/(DD$52)),"0")))))</f>
        <v>21.333183333333334</v>
      </c>
      <c r="DE56" s="20">
        <f>IF(DE3=0,"0",IF(AND(Results!$E$5="Protein",$C$53&gt;0,OR(Results!$E$4="Tissue",Results!$E$4="Cells")),((DE3*DE$51)/(DE$53)),IF(AND(Results!$E$5="Weight",$C$52&gt;0, Results!$E$4="Tissue",OR($B$52="g",$B$52="mg")),((DE3*DE$51)/(DE$52)),IF(AND(Results!$E$5="Volume",$C$54&gt;0,Results!$E$4="Fluid"),((DE3*DE$51)/(DE$54)),IF(AND(Results!$E$4="Cells",Results!$E$5="Million",$B$52="million"),((DE3*DE$51)/(DE$52)),"0")))))</f>
        <v>21.579216666666671</v>
      </c>
      <c r="DF56" s="20">
        <f>IF(DF3=0,"0",IF(AND(Results!$E$5="Protein",$C$53&gt;0,OR(Results!$E$4="Tissue",Results!$E$4="Cells")),((DF3*DF$51)/(DF$53)),IF(AND(Results!$E$5="Weight",$C$52&gt;0, Results!$E$4="Tissue",OR($B$52="g",$B$52="mg")),((DF3*DF$51)/(DF$52)),IF(AND(Results!$E$5="Volume",$C$54&gt;0,Results!$E$4="Fluid"),((DF3*DF$51)/(DF$54)),IF(AND(Results!$E$4="Cells",Results!$E$5="Million",$B$52="million"),((DF3*DF$51)/(DF$52)),"0")))))</f>
        <v>41.023816666666669</v>
      </c>
      <c r="DG56" s="20">
        <f>IF(DG3=0,"0",IF(AND(Results!$E$5="Protein",$C$53&gt;0,OR(Results!$E$4="Tissue",Results!$E$4="Cells")),((DG3*DG$51)/(DG$53)),IF(AND(Results!$E$5="Weight",$C$52&gt;0, Results!$E$4="Tissue",OR($B$52="g",$B$52="mg")),((DG3*DG$51)/(DG$52)),IF(AND(Results!$E$5="Volume",$C$54&gt;0,Results!$E$4="Fluid"),((DG3*DG$51)/(DG$54)),IF(AND(Results!$E$4="Cells",Results!$E$5="Million",$B$52="million"),((DG3*DG$51)/(DG$52)),"0")))))</f>
        <v>56.222833333333334</v>
      </c>
      <c r="DH56" s="20">
        <f>IF(DH3=0,"0",IF(AND(Results!$E$5="Protein",$C$53&gt;0,OR(Results!$E$4="Tissue",Results!$E$4="Cells")),((DH3*DH$51)/(DH$53)),IF(AND(Results!$E$5="Weight",$C$52&gt;0, Results!$E$4="Tissue",OR($B$52="g",$B$52="mg")),((DH3*DH$51)/(DH$52)),IF(AND(Results!$E$5="Volume",$C$54&gt;0,Results!$E$4="Fluid"),((DH3*DH$51)/(DH$54)),IF(AND(Results!$E$4="Cells",Results!$E$5="Million",$B$52="million"),((DH3*DH$51)/(DH$52)),"0")))))</f>
        <v>6.1019000000000005</v>
      </c>
      <c r="DI56" s="20">
        <f>IF(DI3=0,"0",IF(AND(Results!$E$5="Protein",$C$53&gt;0,OR(Results!$E$4="Tissue",Results!$E$4="Cells")),((DI3*DI$51)/(DI$53)),IF(AND(Results!$E$5="Weight",$C$52&gt;0, Results!$E$4="Tissue",OR($B$52="g",$B$52="mg")),((DI3*DI$51)/(DI$52)),IF(AND(Results!$E$5="Volume",$C$54&gt;0,Results!$E$4="Fluid"),((DI3*DI$51)/(DI$54)),IF(AND(Results!$E$4="Cells",Results!$E$5="Million",$B$52="million"),((DI3*DI$51)/(DI$52)),"0")))))</f>
        <v>26.572166666666664</v>
      </c>
      <c r="DJ56" s="20">
        <f>IF(DJ3=0,"0",IF(AND(Results!$E$5="Protein",$C$53&gt;0,OR(Results!$E$4="Tissue",Results!$E$4="Cells")),((DJ3*DJ$51)/(DJ$53)),IF(AND(Results!$E$5="Weight",$C$52&gt;0, Results!$E$4="Tissue",OR($B$52="g",$B$52="mg")),((DJ3*DJ$51)/(DJ$52)),IF(AND(Results!$E$5="Volume",$C$54&gt;0,Results!$E$4="Fluid"),((DJ3*DJ$51)/(DJ$54)),IF(AND(Results!$E$4="Cells",Results!$E$5="Million",$B$52="million"),((DJ3*DJ$51)/(DJ$52)),"0")))))</f>
        <v>120.48031666666665</v>
      </c>
      <c r="DK56" s="20">
        <f>IF(DK3=0,"0",IF(AND(Results!$E$5="Protein",$C$53&gt;0,OR(Results!$E$4="Tissue",Results!$E$4="Cells")),((DK3*DK$51)/(DK$53)),IF(AND(Results!$E$5="Weight",$C$52&gt;0, Results!$E$4="Tissue",OR($B$52="g",$B$52="mg")),((DK3*DK$51)/(DK$52)),IF(AND(Results!$E$5="Volume",$C$54&gt;0,Results!$E$4="Fluid"),((DK3*DK$51)/(DK$54)),IF(AND(Results!$E$4="Cells",Results!$E$5="Million",$B$52="million"),((DK3*DK$51)/(DK$52)),"0")))))</f>
        <v>131.62139999999999</v>
      </c>
      <c r="DL56" s="20">
        <f>IF(DL3=0,"0",IF(AND(Results!$E$5="Protein",$C$53&gt;0,OR(Results!$E$4="Tissue",Results!$E$4="Cells")),((DL3*DL$51)/(DL$53)),IF(AND(Results!$E$5="Weight",$C$52&gt;0, Results!$E$4="Tissue",OR($B$52="g",$B$52="mg")),((DL3*DL$51)/(DL$52)),IF(AND(Results!$E$5="Volume",$C$54&gt;0,Results!$E$4="Fluid"),((DL3*DL$51)/(DL$54)),IF(AND(Results!$E$4="Cells",Results!$E$5="Million",$B$52="million"),((DL3*DL$51)/(DL$52)),"0")))))</f>
        <v>11.968566666666668</v>
      </c>
      <c r="DM56" s="20">
        <f>IF(DM3=0,"0",IF(AND(Results!$E$5="Protein",$C$53&gt;0,OR(Results!$E$4="Tissue",Results!$E$4="Cells")),((DM3*DM$51)/(DM$53)),IF(AND(Results!$E$5="Weight",$C$52&gt;0, Results!$E$4="Tissue",OR($B$52="g",$B$52="mg")),((DM3*DM$51)/(DM$52)),IF(AND(Results!$E$5="Volume",$C$54&gt;0,Results!$E$4="Fluid"),((DM3*DM$51)/(DM$54)),IF(AND(Results!$E$4="Cells",Results!$E$5="Million",$B$52="million"),((DM3*DM$51)/(DM$52)),"0")))))</f>
        <v>28.135816666666663</v>
      </c>
      <c r="DN56" s="20">
        <f>IF(DN3=0,"0",IF(AND(Results!$E$5="Protein",$C$53&gt;0,OR(Results!$E$4="Tissue",Results!$E$4="Cells")),((DN3*DN$51)/(DN$53)),IF(AND(Results!$E$5="Weight",$C$52&gt;0, Results!$E$4="Tissue",OR($B$52="g",$B$52="mg")),((DN3*DN$51)/(DN$52)),IF(AND(Results!$E$5="Volume",$C$54&gt;0,Results!$E$4="Fluid"),((DN3*DN$51)/(DN$54)),IF(AND(Results!$E$4="Cells",Results!$E$5="Million",$B$52="million"),((DN3*DN$51)/(DN$52)),"0")))))</f>
        <v>71.202950000000001</v>
      </c>
      <c r="DO56" s="20">
        <f>IF(DO3=0,"0",IF(AND(Results!$E$5="Protein",$C$53&gt;0,OR(Results!$E$4="Tissue",Results!$E$4="Cells")),((DO3*DO$51)/(DO$53)),IF(AND(Results!$E$5="Weight",$C$52&gt;0, Results!$E$4="Tissue",OR($B$52="g",$B$52="mg")),((DO3*DO$51)/(DO$52)),IF(AND(Results!$E$5="Volume",$C$54&gt;0,Results!$E$4="Fluid"),((DO3*DO$51)/(DO$54)),IF(AND(Results!$E$4="Cells",Results!$E$5="Million",$B$52="million"),((DO3*DO$51)/(DO$52)),"0")))))</f>
        <v>32.987216666666669</v>
      </c>
      <c r="DP56" s="20">
        <f>IF(DP3=0,"0",IF(AND(Results!$E$5="Protein",$C$53&gt;0,OR(Results!$E$4="Tissue",Results!$E$4="Cells")),((DP3*DP$51)/(DP$53)),IF(AND(Results!$E$5="Weight",$C$52&gt;0, Results!$E$4="Tissue",OR($B$52="g",$B$52="mg")),((DP3*DP$51)/(DP$52)),IF(AND(Results!$E$5="Volume",$C$54&gt;0,Results!$E$4="Fluid"),((DP3*DP$51)/(DP$54)),IF(AND(Results!$E$4="Cells",Results!$E$5="Million",$B$52="million"),((DP3*DP$51)/(DP$52)),"0")))))</f>
        <v>20.902916666666666</v>
      </c>
      <c r="DQ56" s="20">
        <f>IF(DQ3=0,"0",IF(AND(Results!$E$5="Protein",$C$53&gt;0,OR(Results!$E$4="Tissue",Results!$E$4="Cells")),((DQ3*DQ$51)/(DQ$53)),IF(AND(Results!$E$5="Weight",$C$52&gt;0, Results!$E$4="Tissue",OR($B$52="g",$B$52="mg")),((DQ3*DQ$51)/(DQ$52)),IF(AND(Results!$E$5="Volume",$C$54&gt;0,Results!$E$4="Fluid"),((DQ3*DQ$51)/(DQ$54)),IF(AND(Results!$E$4="Cells",Results!$E$5="Million",$B$52="million"),((DQ3*DQ$51)/(DQ$52)),"0")))))</f>
        <v>37.483183333333336</v>
      </c>
      <c r="DR56" s="20">
        <f>IF(DR3=0,"0",IF(AND(Results!$E$5="Protein",$C$53&gt;0,OR(Results!$E$4="Tissue",Results!$E$4="Cells")),((DR3*DR$51)/(DR$53)),IF(AND(Results!$E$5="Weight",$C$52&gt;0, Results!$E$4="Tissue",OR($B$52="g",$B$52="mg")),((DR3*DR$51)/(DR$52)),IF(AND(Results!$E$5="Volume",$C$54&gt;0,Results!$E$4="Fluid"),((DR3*DR$51)/(DR$54)),IF(AND(Results!$E$4="Cells",Results!$E$5="Million",$B$52="million"),((DR3*DR$51)/(DR$52)),"0")))))</f>
        <v>16.916266666666669</v>
      </c>
      <c r="DS56" s="20">
        <f>IF(DS3=0,"0",IF(AND(Results!$E$5="Protein",$C$53&gt;0,OR(Results!$E$4="Tissue",Results!$E$4="Cells")),((DS3*DS$51)/(DS$53)),IF(AND(Results!$E$5="Weight",$C$52&gt;0, Results!$E$4="Tissue",OR($B$52="g",$B$52="mg")),((DS3*DS$51)/(DS$52)),IF(AND(Results!$E$5="Volume",$C$54&gt;0,Results!$E$4="Fluid"),((DS3*DS$51)/(DS$54)),IF(AND(Results!$E$4="Cells",Results!$E$5="Million",$B$52="million"),((DS3*DS$51)/(DS$52)),"0")))))</f>
        <v>14.760483333333333</v>
      </c>
      <c r="DT56" s="20">
        <f>IF(DT3=0,"0",IF(AND(Results!$E$5="Protein",$C$53&gt;0,OR(Results!$E$4="Tissue",Results!$E$4="Cells")),((DT3*DT$51)/(DT$53)),IF(AND(Results!$E$5="Weight",$C$52&gt;0, Results!$E$4="Tissue",OR($B$52="g",$B$52="mg")),((DT3*DT$51)/(DT$52)),IF(AND(Results!$E$5="Volume",$C$54&gt;0,Results!$E$4="Fluid"),((DT3*DT$51)/(DT$54)),IF(AND(Results!$E$4="Cells",Results!$E$5="Million",$B$52="million"),((DT3*DT$51)/(DT$52)),"0")))))</f>
        <v>9.5843500000000006</v>
      </c>
      <c r="DU56" s="20">
        <f>IF(DU3=0,"0",IF(AND(Results!$E$5="Protein",$C$53&gt;0,OR(Results!$E$4="Tissue",Results!$E$4="Cells")),((DU3*DU$51)/(DU$53)),IF(AND(Results!$E$5="Weight",$C$52&gt;0, Results!$E$4="Tissue",OR($B$52="g",$B$52="mg")),((DU3*DU$51)/(DU$52)),IF(AND(Results!$E$5="Volume",$C$54&gt;0,Results!$E$4="Fluid"),((DU3*DU$51)/(DU$54)),IF(AND(Results!$E$4="Cells",Results!$E$5="Million",$B$52="million"),((DU3*DU$51)/(DU$52)),"0")))))</f>
        <v>116.49933333333334</v>
      </c>
      <c r="DV56" s="20">
        <f>IF(DV3=0,"0",IF(AND(Results!$E$5="Protein",$C$53&gt;0,OR(Results!$E$4="Tissue",Results!$E$4="Cells")),((DV3*DV$51)/(DV$53)),IF(AND(Results!$E$5="Weight",$C$52&gt;0, Results!$E$4="Tissue",OR($B$52="g",$B$52="mg")),((DV3*DV$51)/(DV$52)),IF(AND(Results!$E$5="Volume",$C$54&gt;0,Results!$E$4="Fluid"),((DV3*DV$51)/(DV$54)),IF(AND(Results!$E$4="Cells",Results!$E$5="Million",$B$52="million"),((DV3*DV$51)/(DV$52)),"0")))))</f>
        <v>17.027649999999998</v>
      </c>
      <c r="DW56" s="20">
        <f>IF(DW3=0,"0",IF(AND(Results!$E$5="Protein",$C$53&gt;0,OR(Results!$E$4="Tissue",Results!$E$4="Cells")),((DW3*DW$51)/(DW$53)),IF(AND(Results!$E$5="Weight",$C$52&gt;0, Results!$E$4="Tissue",OR($B$52="g",$B$52="mg")),((DW3*DW$51)/(DW$52)),IF(AND(Results!$E$5="Volume",$C$54&gt;0,Results!$E$4="Fluid"),((DW3*DW$51)/(DW$54)),IF(AND(Results!$E$4="Cells",Results!$E$5="Million",$B$52="million"),((DW3*DW$51)/(DW$52)),"0")))))</f>
        <v>33.684683333333332</v>
      </c>
      <c r="DX56" s="20">
        <f>IF(DX3=0,"0",IF(AND(Results!$E$5="Protein",$C$53&gt;0,OR(Results!$E$4="Tissue",Results!$E$4="Cells")),((DX3*DX$51)/(DX$53)),IF(AND(Results!$E$5="Weight",$C$52&gt;0, Results!$E$4="Tissue",OR($B$52="g",$B$52="mg")),((DX3*DX$51)/(DX$52)),IF(AND(Results!$E$5="Volume",$C$54&gt;0,Results!$E$4="Fluid"),((DX3*DX$51)/(DX$54)),IF(AND(Results!$E$4="Cells",Results!$E$5="Million",$B$52="million"),((DX3*DX$51)/(DX$52)),"0")))))</f>
        <v>10.787983333333333</v>
      </c>
      <c r="DY56" s="20">
        <f>IF(DY3=0,"0",IF(AND(Results!$E$5="Protein",$C$53&gt;0,OR(Results!$E$4="Tissue",Results!$E$4="Cells")),((DY3*DY$51)/(DY$53)),IF(AND(Results!$E$5="Weight",$C$52&gt;0, Results!$E$4="Tissue",OR($B$52="g",$B$52="mg")),((DY3*DY$51)/(DY$52)),IF(AND(Results!$E$5="Volume",$C$54&gt;0,Results!$E$4="Fluid"),((DY3*DY$51)/(DY$54)),IF(AND(Results!$E$4="Cells",Results!$E$5="Million",$B$52="million"),((DY3*DY$51)/(DY$52)),"0")))))</f>
        <v>22.036016666666669</v>
      </c>
      <c r="DZ56" s="20">
        <f>IF(DZ3=0,"0",IF(AND(Results!$E$5="Protein",$C$53&gt;0,OR(Results!$E$4="Tissue",Results!$E$4="Cells")),((DZ3*DZ$51)/(DZ$53)),IF(AND(Results!$E$5="Weight",$C$52&gt;0, Results!$E$4="Tissue",OR($B$52="g",$B$52="mg")),((DZ3*DZ$51)/(DZ$52)),IF(AND(Results!$E$5="Volume",$C$54&gt;0,Results!$E$4="Fluid"),((DZ3*DZ$51)/(DZ$54)),IF(AND(Results!$E$4="Cells",Results!$E$5="Million",$B$52="million"),((DZ3*DZ$51)/(DZ$52)),"0")))))</f>
        <v>33.660716666666666</v>
      </c>
      <c r="EA56" s="20">
        <f>IF(EA3=0,"0",IF(AND(Results!$E$5="Protein",$C$53&gt;0,OR(Results!$E$4="Tissue",Results!$E$4="Cells")),((EA3*EA$51)/(EA$53)),IF(AND(Results!$E$5="Weight",$C$52&gt;0, Results!$E$4="Tissue",OR($B$52="g",$B$52="mg")),((EA3*EA$51)/(EA$52)),IF(AND(Results!$E$5="Volume",$C$54&gt;0,Results!$E$4="Fluid"),((EA3*EA$51)/(EA$54)),IF(AND(Results!$E$4="Cells",Results!$E$5="Million",$B$52="million"),((EA3*EA$51)/(EA$52)),"0")))))</f>
        <v>17.972233333333335</v>
      </c>
      <c r="EB56" s="20">
        <f>IF(EB3=0,"0",IF(AND(Results!$E$5="Protein",$C$53&gt;0,OR(Results!$E$4="Tissue",Results!$E$4="Cells")),((EB3*EB$51)/(EB$53)),IF(AND(Results!$E$5="Weight",$C$52&gt;0, Results!$E$4="Tissue",OR($B$52="g",$B$52="mg")),((EB3*EB$51)/(EB$52)),IF(AND(Results!$E$5="Volume",$C$54&gt;0,Results!$E$4="Fluid"),((EB3*EB$51)/(EB$54)),IF(AND(Results!$E$4="Cells",Results!$E$5="Million",$B$52="million"),((EB3*EB$51)/(EB$52)),"0")))))</f>
        <v>33.116566666666664</v>
      </c>
      <c r="EC56" s="20">
        <f>IF(EC3=0,"0",IF(AND(Results!$E$5="Protein",$C$53&gt;0,OR(Results!$E$4="Tissue",Results!$E$4="Cells")),((EC3*EC$51)/(EC$53)),IF(AND(Results!$E$5="Weight",$C$52&gt;0, Results!$E$4="Tissue",OR($B$52="g",$B$52="mg")),((EC3*EC$51)/(EC$52)),IF(AND(Results!$E$5="Volume",$C$54&gt;0,Results!$E$4="Fluid"),((EC3*EC$51)/(EC$54)),IF(AND(Results!$E$4="Cells",Results!$E$5="Million",$B$52="million"),((EC3*EC$51)/(EC$52)),"0")))))</f>
        <v>23.196133333333329</v>
      </c>
      <c r="ED56" s="20">
        <f>IF(ED3=0,"0",IF(AND(Results!$E$5="Protein",$C$53&gt;0,OR(Results!$E$4="Tissue",Results!$E$4="Cells")),((ED3*ED$51)/(ED$53)),IF(AND(Results!$E$5="Weight",$C$52&gt;0, Results!$E$4="Tissue",OR($B$52="g",$B$52="mg")),((ED3*ED$51)/(ED$52)),IF(AND(Results!$E$5="Volume",$C$54&gt;0,Results!$E$4="Fluid"),((ED3*ED$51)/(ED$54)),IF(AND(Results!$E$4="Cells",Results!$E$5="Million",$B$52="million"),((ED3*ED$51)/(ED$52)),"0")))))</f>
        <v>21.019816666666664</v>
      </c>
      <c r="EE56" s="20">
        <f>IF(EE3=0,"0",IF(AND(Results!$E$5="Protein",$C$53&gt;0,OR(Results!$E$4="Tissue",Results!$E$4="Cells")),((EE3*EE$51)/(EE$53)),IF(AND(Results!$E$5="Weight",$C$52&gt;0, Results!$E$4="Tissue",OR($B$52="g",$B$52="mg")),((EE3*EE$51)/(EE$52)),IF(AND(Results!$E$5="Volume",$C$54&gt;0,Results!$E$4="Fluid"),((EE3*EE$51)/(EE$54)),IF(AND(Results!$E$4="Cells",Results!$E$5="Million",$B$52="million"),((EE3*EE$51)/(EE$52)),"0")))))</f>
        <v>8.6994666666666678</v>
      </c>
      <c r="EF56" s="20">
        <f>IF(EF3=0,"0",IF(AND(Results!$E$5="Protein",$C$53&gt;0,OR(Results!$E$4="Tissue",Results!$E$4="Cells")),((EF3*EF$51)/(EF$53)),IF(AND(Results!$E$5="Weight",$C$52&gt;0, Results!$E$4="Tissue",OR($B$52="g",$B$52="mg")),((EF3*EF$51)/(EF$52)),IF(AND(Results!$E$5="Volume",$C$54&gt;0,Results!$E$4="Fluid"),((EF3*EF$51)/(EF$54)),IF(AND(Results!$E$4="Cells",Results!$E$5="Million",$B$52="million"),((EF3*EF$51)/(EF$52)),"0")))))</f>
        <v>40.523616666666662</v>
      </c>
      <c r="EG56" s="20">
        <f>IF(EG3=0,"0",IF(AND(Results!$E$5="Protein",$C$53&gt;0,OR(Results!$E$4="Tissue",Results!$E$4="Cells")),((EG3*EG$51)/(EG$53)),IF(AND(Results!$E$5="Weight",$C$52&gt;0, Results!$E$4="Tissue",OR($B$52="g",$B$52="mg")),((EG3*EG$51)/(EG$52)),IF(AND(Results!$E$5="Volume",$C$54&gt;0,Results!$E$4="Fluid"),((EG3*EG$51)/(EG$54)),IF(AND(Results!$E$4="Cells",Results!$E$5="Million",$B$52="million"),((EG3*EG$51)/(EG$52)),"0")))))</f>
        <v>34.283683333333336</v>
      </c>
      <c r="EH56" s="20">
        <f>IF(EH3=0,"0",IF(AND(Results!$E$5="Protein",$C$53&gt;0,OR(Results!$E$4="Tissue",Results!$E$4="Cells")),((EH3*EH$51)/(EH$53)),IF(AND(Results!$E$5="Weight",$C$52&gt;0, Results!$E$4="Tissue",OR($B$52="g",$B$52="mg")),((EH3*EH$51)/(EH$52)),IF(AND(Results!$E$5="Volume",$C$54&gt;0,Results!$E$4="Fluid"),((EH3*EH$51)/(EH$54)),IF(AND(Results!$E$4="Cells",Results!$E$5="Million",$B$52="million"),((EH3*EH$51)/(EH$52)),"0")))))</f>
        <v>25.457333333333334</v>
      </c>
      <c r="EI56" s="20">
        <f>IF(EI3=0,"0",IF(AND(Results!$E$5="Protein",$C$53&gt;0,OR(Results!$E$4="Tissue",Results!$E$4="Cells")),((EI3*EI$51)/(EI$53)),IF(AND(Results!$E$5="Weight",$C$52&gt;0, Results!$E$4="Tissue",OR($B$52="g",$B$52="mg")),((EI3*EI$51)/(EI$52)),IF(AND(Results!$E$5="Volume",$C$54&gt;0,Results!$E$4="Fluid"),((EI3*EI$51)/(EI$54)),IF(AND(Results!$E$4="Cells",Results!$E$5="Million",$B$52="million"),((EI3*EI$51)/(EI$52)),"0")))))</f>
        <v>7.0682166666666673</v>
      </c>
      <c r="EJ56" s="20">
        <f>IF(EJ3=0,"0",IF(AND(Results!$E$5="Protein",$C$53&gt;0,OR(Results!$E$4="Tissue",Results!$E$4="Cells")),((EJ3*EJ$51)/(EJ$53)),IF(AND(Results!$E$5="Weight",$C$52&gt;0, Results!$E$4="Tissue",OR($B$52="g",$B$52="mg")),((EJ3*EJ$51)/(EJ$52)),IF(AND(Results!$E$5="Volume",$C$54&gt;0,Results!$E$4="Fluid"),((EJ3*EJ$51)/(EJ$54)),IF(AND(Results!$E$4="Cells",Results!$E$5="Million",$B$52="million"),((EJ3*EJ$51)/(EJ$52)),"0")))))</f>
        <v>34.569316666666666</v>
      </c>
      <c r="EK56" s="20">
        <f>IF(EK3=0,"0",IF(AND(Results!$E$5="Protein",$C$53&gt;0,OR(Results!$E$4="Tissue",Results!$E$4="Cells")),((EK3*EK$51)/(EK$53)),IF(AND(Results!$E$5="Weight",$C$52&gt;0, Results!$E$4="Tissue",OR($B$52="g",$B$52="mg")),((EK3*EK$51)/(EK$52)),IF(AND(Results!$E$5="Volume",$C$54&gt;0,Results!$E$4="Fluid"),((EK3*EK$51)/(EK$54)),IF(AND(Results!$E$4="Cells",Results!$E$5="Million",$B$52="million"),((EK3*EK$51)/(EK$52)),"0")))))</f>
        <v>30.847766666666665</v>
      </c>
      <c r="EL56" s="20">
        <f>IF(EL3=0,"0",IF(AND(Results!$E$5="Protein",$C$53&gt;0,OR(Results!$E$4="Tissue",Results!$E$4="Cells")),((EL3*EL$51)/(EL$53)),IF(AND(Results!$E$5="Weight",$C$52&gt;0, Results!$E$4="Tissue",OR($B$52="g",$B$52="mg")),((EL3*EL$51)/(EL$52)),IF(AND(Results!$E$5="Volume",$C$54&gt;0,Results!$E$4="Fluid"),((EL3*EL$51)/(EL$54)),IF(AND(Results!$E$4="Cells",Results!$E$5="Million",$B$52="million"),((EL3*EL$51)/(EL$52)),"0")))))</f>
        <v>27.351849999999999</v>
      </c>
      <c r="EM56" s="20">
        <f>IF(EM3=0,"0",IF(AND(Results!$E$5="Protein",$C$53&gt;0,OR(Results!$E$4="Tissue",Results!$E$4="Cells")),((EM3*EM$51)/(EM$53)),IF(AND(Results!$E$5="Weight",$C$52&gt;0, Results!$E$4="Tissue",OR($B$52="g",$B$52="mg")),((EM3*EM$51)/(EM$52)),IF(AND(Results!$E$5="Volume",$C$54&gt;0,Results!$E$4="Fluid"),((EM3*EM$51)/(EM$54)),IF(AND(Results!$E$4="Cells",Results!$E$5="Million",$B$52="million"),((EM3*EM$51)/(EM$52)),"0")))))</f>
        <v>69.274900000000017</v>
      </c>
      <c r="EN56" s="20">
        <f>IF(EN3=0,"0",IF(AND(Results!$E$5="Protein",$C$53&gt;0,OR(Results!$E$4="Tissue",Results!$E$4="Cells")),((EN3*EN$51)/(EN$53)),IF(AND(Results!$E$5="Weight",$C$52&gt;0, Results!$E$4="Tissue",OR($B$52="g",$B$52="mg")),((EN3*EN$51)/(EN$52)),IF(AND(Results!$E$5="Volume",$C$54&gt;0,Results!$E$4="Fluid"),((EN3*EN$51)/(EN$54)),IF(AND(Results!$E$4="Cells",Results!$E$5="Million",$B$52="million"),((EN3*EN$51)/(EN$52)),"0")))))</f>
        <v>56.327850000000005</v>
      </c>
      <c r="EO56" s="20">
        <f>IF(EO3=0,"0",IF(AND(Results!$E$5="Protein",$C$53&gt;0,OR(Results!$E$4="Tissue",Results!$E$4="Cells")),((EO3*EO$51)/(EO$53)),IF(AND(Results!$E$5="Weight",$C$52&gt;0, Results!$E$4="Tissue",OR($B$52="g",$B$52="mg")),((EO3*EO$51)/(EO$52)),IF(AND(Results!$E$5="Volume",$C$54&gt;0,Results!$E$4="Fluid"),((EO3*EO$51)/(EO$54)),IF(AND(Results!$E$4="Cells",Results!$E$5="Million",$B$52="million"),((EO3*EO$51)/(EO$52)),"0")))))</f>
        <v>43.206949999999999</v>
      </c>
      <c r="EP56" s="20">
        <f>IF(EP3=0,"0",IF(AND(Results!$E$5="Protein",$C$53&gt;0,OR(Results!$E$4="Tissue",Results!$E$4="Cells")),((EP3*EP$51)/(EP$53)),IF(AND(Results!$E$5="Weight",$C$52&gt;0, Results!$E$4="Tissue",OR($B$52="g",$B$52="mg")),((EP3*EP$51)/(EP$52)),IF(AND(Results!$E$5="Volume",$C$54&gt;0,Results!$E$4="Fluid"),((EP3*EP$51)/(EP$54)),IF(AND(Results!$E$4="Cells",Results!$E$5="Million",$B$52="million"),((EP3*EP$51)/(EP$52)),"0")))))</f>
        <v>49.832250000000002</v>
      </c>
      <c r="EQ56" s="20">
        <f>IF(EQ3=0,"0",IF(AND(Results!$E$5="Protein",$C$53&gt;0,OR(Results!$E$4="Tissue",Results!$E$4="Cells")),((EQ3*EQ$51)/(EQ$53)),IF(AND(Results!$E$5="Weight",$C$52&gt;0, Results!$E$4="Tissue",OR($B$52="g",$B$52="mg")),((EQ3*EQ$51)/(EQ$52)),IF(AND(Results!$E$5="Volume",$C$54&gt;0,Results!$E$4="Fluid"),((EQ3*EQ$51)/(EQ$54)),IF(AND(Results!$E$4="Cells",Results!$E$5="Million",$B$52="million"),((EQ3*EQ$51)/(EQ$52)),"0")))))</f>
        <v>11.9724</v>
      </c>
      <c r="ER56" s="20">
        <f>IF(ER3=0,"0",IF(AND(Results!$E$5="Protein",$C$53&gt;0,OR(Results!$E$4="Tissue",Results!$E$4="Cells")),((ER3*ER$51)/(ER$53)),IF(AND(Results!$E$5="Weight",$C$52&gt;0, Results!$E$4="Tissue",OR($B$52="g",$B$52="mg")),((ER3*ER$51)/(ER$52)),IF(AND(Results!$E$5="Volume",$C$54&gt;0,Results!$E$4="Fluid"),((ER3*ER$51)/(ER$54)),IF(AND(Results!$E$4="Cells",Results!$E$5="Million",$B$52="million"),((ER3*ER$51)/(ER$52)),"0")))))</f>
        <v>11.114266666666667</v>
      </c>
      <c r="ES56" s="20">
        <f>IF(ES3=0,"0",IF(AND(Results!$E$5="Protein",$C$53&gt;0,OR(Results!$E$4="Tissue",Results!$E$4="Cells")),((ES3*ES$51)/(ES$53)),IF(AND(Results!$E$5="Weight",$C$52&gt;0, Results!$E$4="Tissue",OR($B$52="g",$B$52="mg")),((ES3*ES$51)/(ES$52)),IF(AND(Results!$E$5="Volume",$C$54&gt;0,Results!$E$4="Fluid"),((ES3*ES$51)/(ES$54)),IF(AND(Results!$E$4="Cells",Results!$E$5="Million",$B$52="million"),((ES3*ES$51)/(ES$52)),"0")))))</f>
        <v>18.962150000000001</v>
      </c>
      <c r="ET56" s="20">
        <f>IF(ET3=0,"0",IF(AND(Results!$E$5="Protein",$C$53&gt;0,OR(Results!$E$4="Tissue",Results!$E$4="Cells")),((ET3*ET$51)/(ET$53)),IF(AND(Results!$E$5="Weight",$C$52&gt;0, Results!$E$4="Tissue",OR($B$52="g",$B$52="mg")),((ET3*ET$51)/(ET$52)),IF(AND(Results!$E$5="Volume",$C$54&gt;0,Results!$E$4="Fluid"),((ET3*ET$51)/(ET$54)),IF(AND(Results!$E$4="Cells",Results!$E$5="Million",$B$52="million"),((ET3*ET$51)/(ET$52)),"0")))))</f>
        <v>23.692833333333336</v>
      </c>
      <c r="EU56" s="20">
        <f>IF(EU3=0,"0",IF(AND(Results!$E$5="Protein",$C$53&gt;0,OR(Results!$E$4="Tissue",Results!$E$4="Cells")),((EU3*EU$51)/(EU$53)),IF(AND(Results!$E$5="Weight",$C$52&gt;0, Results!$E$4="Tissue",OR($B$52="g",$B$52="mg")),((EU3*EU$51)/(EU$52)),IF(AND(Results!$E$5="Volume",$C$54&gt;0,Results!$E$4="Fluid"),((EU3*EU$51)/(EU$54)),IF(AND(Results!$E$4="Cells",Results!$E$5="Million",$B$52="million"),((EU3*EU$51)/(EU$52)),"0")))))</f>
        <v>24.650683333333333</v>
      </c>
      <c r="EV56" s="20">
        <f>IF(EV3=0,"0",IF(AND(Results!$E$5="Protein",$C$53&gt;0,OR(Results!$E$4="Tissue",Results!$E$4="Cells")),((EV3*EV$51)/(EV$53)),IF(AND(Results!$E$5="Weight",$C$52&gt;0, Results!$E$4="Tissue",OR($B$52="g",$B$52="mg")),((EV3*EV$51)/(EV$52)),IF(AND(Results!$E$5="Volume",$C$54&gt;0,Results!$E$4="Fluid"),((EV3*EV$51)/(EV$54)),IF(AND(Results!$E$4="Cells",Results!$E$5="Million",$B$52="million"),((EV3*EV$51)/(EV$52)),"0")))))</f>
        <v>27.849350000000001</v>
      </c>
      <c r="EW56" s="20">
        <f>IF(EW3=0,"0",IF(AND(Results!$E$5="Protein",$C$53&gt;0,OR(Results!$E$4="Tissue",Results!$E$4="Cells")),((EW3*EW$51)/(EW$53)),IF(AND(Results!$E$5="Weight",$C$52&gt;0, Results!$E$4="Tissue",OR($B$52="g",$B$52="mg")),((EW3*EW$51)/(EW$52)),IF(AND(Results!$E$5="Volume",$C$54&gt;0,Results!$E$4="Fluid"),((EW3*EW$51)/(EW$54)),IF(AND(Results!$E$4="Cells",Results!$E$5="Million",$B$52="million"),((EW3*EW$51)/(EW$52)),"0")))))</f>
        <v>25.537166666666668</v>
      </c>
      <c r="EX56" s="20">
        <f>IF(EX3=0,"0",IF(AND(Results!$E$5="Protein",$C$53&gt;0,OR(Results!$E$4="Tissue",Results!$E$4="Cells")),((EX3*EX$51)/(EX$53)),IF(AND(Results!$E$5="Weight",$C$52&gt;0, Results!$E$4="Tissue",OR($B$52="g",$B$52="mg")),((EX3*EX$51)/(EX$52)),IF(AND(Results!$E$5="Volume",$C$54&gt;0,Results!$E$4="Fluid"),((EX3*EX$51)/(EX$54)),IF(AND(Results!$E$4="Cells",Results!$E$5="Million",$B$52="million"),((EX3*EX$51)/(EX$52)),"0")))))</f>
        <v>19.308466666666668</v>
      </c>
      <c r="EY56" s="20">
        <f>IF(EY3=0,"0",IF(AND(Results!$E$5="Protein",$C$53&gt;0,OR(Results!$E$4="Tissue",Results!$E$4="Cells")),((EY3*EY$51)/(EY$53)),IF(AND(Results!$E$5="Weight",$C$52&gt;0, Results!$E$4="Tissue",OR($B$52="g",$B$52="mg")),((EY3*EY$51)/(EY$52)),IF(AND(Results!$E$5="Volume",$C$54&gt;0,Results!$E$4="Fluid"),((EY3*EY$51)/(EY$54)),IF(AND(Results!$E$4="Cells",Results!$E$5="Million",$B$52="million"),((EY3*EY$51)/(EY$52)),"0")))))</f>
        <v>58.787416666666665</v>
      </c>
      <c r="EZ56" s="20">
        <f>IF(EZ3=0,"0",IF(AND(Results!$E$5="Protein",$C$53&gt;0,OR(Results!$E$4="Tissue",Results!$E$4="Cells")),((EZ3*EZ$51)/(EZ$53)),IF(AND(Results!$E$5="Weight",$C$52&gt;0, Results!$E$4="Tissue",OR($B$52="g",$B$52="mg")),((EZ3*EZ$51)/(EZ$52)),IF(AND(Results!$E$5="Volume",$C$54&gt;0,Results!$E$4="Fluid"),((EZ3*EZ$51)/(EZ$54)),IF(AND(Results!$E$4="Cells",Results!$E$5="Million",$B$52="million"),((EZ3*EZ$51)/(EZ$52)),"0")))))</f>
        <v>40.742133333333328</v>
      </c>
      <c r="FA56" s="20">
        <f>IF(FA3=0,"0",IF(AND(Results!$E$5="Protein",$C$53&gt;0,OR(Results!$E$4="Tissue",Results!$E$4="Cells")),((FA3*FA$51)/(FA$53)),IF(AND(Results!$E$5="Weight",$C$52&gt;0, Results!$E$4="Tissue",OR($B$52="g",$B$52="mg")),((FA3*FA$51)/(FA$52)),IF(AND(Results!$E$5="Volume",$C$54&gt;0,Results!$E$4="Fluid"),((FA3*FA$51)/(FA$54)),IF(AND(Results!$E$4="Cells",Results!$E$5="Million",$B$52="million"),((FA3*FA$51)/(FA$52)),"0")))))</f>
        <v>11.570666666666666</v>
      </c>
      <c r="FB56" s="20">
        <f>IF(FB3=0,"0",IF(AND(Results!$E$5="Protein",$C$53&gt;0,OR(Results!$E$4="Tissue",Results!$E$4="Cells")),((FB3*FB$51)/(FB$53)),IF(AND(Results!$E$5="Weight",$C$52&gt;0, Results!$E$4="Tissue",OR($B$52="g",$B$52="mg")),((FB3*FB$51)/(FB$52)),IF(AND(Results!$E$5="Volume",$C$54&gt;0,Results!$E$4="Fluid"),((FB3*FB$51)/(FB$54)),IF(AND(Results!$E$4="Cells",Results!$E$5="Million",$B$52="million"),((FB3*FB$51)/(FB$52)),"0")))))</f>
        <v>14.673166666666667</v>
      </c>
      <c r="FC56" s="20">
        <f>IF(FC3=0,"0",IF(AND(Results!$E$5="Protein",$C$53&gt;0,OR(Results!$E$4="Tissue",Results!$E$4="Cells")),((FC3*FC$51)/(FC$53)),IF(AND(Results!$E$5="Weight",$C$52&gt;0, Results!$E$4="Tissue",OR($B$52="g",$B$52="mg")),((FC3*FC$51)/(FC$52)),IF(AND(Results!$E$5="Volume",$C$54&gt;0,Results!$E$4="Fluid"),((FC3*FC$51)/(FC$54)),IF(AND(Results!$E$4="Cells",Results!$E$5="Million",$B$52="million"),((FC3*FC$51)/(FC$52)),"0")))))</f>
        <v>36.874483333333337</v>
      </c>
      <c r="FD56" s="20">
        <f>IF(FD3=0,"0",IF(AND(Results!$E$5="Protein",$C$53&gt;0,OR(Results!$E$4="Tissue",Results!$E$4="Cells")),((FD3*FD$51)/(FD$53)),IF(AND(Results!$E$5="Weight",$C$52&gt;0, Results!$E$4="Tissue",OR($B$52="g",$B$52="mg")),((FD3*FD$51)/(FD$52)),IF(AND(Results!$E$5="Volume",$C$54&gt;0,Results!$E$4="Fluid"),((FD3*FD$51)/(FD$54)),IF(AND(Results!$E$4="Cells",Results!$E$5="Million",$B$52="million"),((FD3*FD$51)/(FD$52)),"0")))))</f>
        <v>13.128133333333333</v>
      </c>
      <c r="FE56" s="20">
        <f>IF(FE3=0,"0",IF(AND(Results!$E$5="Protein",$C$53&gt;0,OR(Results!$E$4="Tissue",Results!$E$4="Cells")),((FE3*FE$51)/(FE$53)),IF(AND(Results!$E$5="Weight",$C$52&gt;0, Results!$E$4="Tissue",OR($B$52="g",$B$52="mg")),((FE3*FE$51)/(FE$52)),IF(AND(Results!$E$5="Volume",$C$54&gt;0,Results!$E$4="Fluid"),((FE3*FE$51)/(FE$54)),IF(AND(Results!$E$4="Cells",Results!$E$5="Million",$B$52="million"),((FE3*FE$51)/(FE$52)),"0")))))</f>
        <v>15.932416666666665</v>
      </c>
      <c r="FF56" s="20">
        <f>IF(FF3=0,"0",IF(AND(Results!$E$5="Protein",$C$53&gt;0,OR(Results!$E$4="Tissue",Results!$E$4="Cells")),((FF3*FF$51)/(FF$53)),IF(AND(Results!$E$5="Weight",$C$52&gt;0, Results!$E$4="Tissue",OR($B$52="g",$B$52="mg")),((FF3*FF$51)/(FF$52)),IF(AND(Results!$E$5="Volume",$C$54&gt;0,Results!$E$4="Fluid"),((FF3*FF$51)/(FF$54)),IF(AND(Results!$E$4="Cells",Results!$E$5="Million",$B$52="million"),((FF3*FF$51)/(FF$52)),"0")))))</f>
        <v>22.163550000000001</v>
      </c>
      <c r="FG56" s="20">
        <f>IF(FG3=0,"0",IF(AND(Results!$E$5="Protein",$C$53&gt;0,OR(Results!$E$4="Tissue",Results!$E$4="Cells")),((FG3*FG$51)/(FG$53)),IF(AND(Results!$E$5="Weight",$C$52&gt;0, Results!$E$4="Tissue",OR($B$52="g",$B$52="mg")),((FG3*FG$51)/(FG$52)),IF(AND(Results!$E$5="Volume",$C$54&gt;0,Results!$E$4="Fluid"),((FG3*FG$51)/(FG$54)),IF(AND(Results!$E$4="Cells",Results!$E$5="Million",$B$52="million"),((FG3*FG$51)/(FG$52)),"0")))))</f>
        <v>10.877283333333333</v>
      </c>
      <c r="FH56" s="20">
        <f>IF(FH3=0,"0",IF(AND(Results!$E$5="Protein",$C$53&gt;0,OR(Results!$E$4="Tissue",Results!$E$4="Cells")),((FH3*FH$51)/(FH$53)),IF(AND(Results!$E$5="Weight",$C$52&gt;0, Results!$E$4="Tissue",OR($B$52="g",$B$52="mg")),((FH3*FH$51)/(FH$52)),IF(AND(Results!$E$5="Volume",$C$54&gt;0,Results!$E$4="Fluid"),((FH3*FH$51)/(FH$54)),IF(AND(Results!$E$4="Cells",Results!$E$5="Million",$B$52="million"),((FH3*FH$51)/(FH$52)),"0")))))</f>
        <v>23.70065</v>
      </c>
      <c r="FI56" s="20">
        <f>IF(FI3=0,"0",IF(AND(Results!$E$5="Protein",$C$53&gt;0,OR(Results!$E$4="Tissue",Results!$E$4="Cells")),((FI3*FI$51)/(FI$53)),IF(AND(Results!$E$5="Weight",$C$52&gt;0, Results!$E$4="Tissue",OR($B$52="g",$B$52="mg")),((FI3*FI$51)/(FI$52)),IF(AND(Results!$E$5="Volume",$C$54&gt;0,Results!$E$4="Fluid"),((FI3*FI$51)/(FI$54)),IF(AND(Results!$E$4="Cells",Results!$E$5="Million",$B$52="million"),((FI3*FI$51)/(FI$52)),"0")))))</f>
        <v>39.977683333333331</v>
      </c>
      <c r="FJ56" s="20">
        <f>IF(FJ3=0,"0",IF(AND(Results!$E$5="Protein",$C$53&gt;0,OR(Results!$E$4="Tissue",Results!$E$4="Cells")),((FJ3*FJ$51)/(FJ$53)),IF(AND(Results!$E$5="Weight",$C$52&gt;0, Results!$E$4="Tissue",OR($B$52="g",$B$52="mg")),((FJ3*FJ$51)/(FJ$52)),IF(AND(Results!$E$5="Volume",$C$54&gt;0,Results!$E$4="Fluid"),((FJ3*FJ$51)/(FJ$54)),IF(AND(Results!$E$4="Cells",Results!$E$5="Million",$B$52="million"),((FJ3*FJ$51)/(FJ$52)),"0")))))</f>
        <v>30.411150000000003</v>
      </c>
      <c r="FK56" s="20">
        <f>IF(FK3=0,"0",IF(AND(Results!$E$5="Protein",$C$53&gt;0,OR(Results!$E$4="Tissue",Results!$E$4="Cells")),((FK3*FK$51)/(FK$53)),IF(AND(Results!$E$5="Weight",$C$52&gt;0, Results!$E$4="Tissue",OR($B$52="g",$B$52="mg")),((FK3*FK$51)/(FK$52)),IF(AND(Results!$E$5="Volume",$C$54&gt;0,Results!$E$4="Fluid"),((FK3*FK$51)/(FK$54)),IF(AND(Results!$E$4="Cells",Results!$E$5="Million",$B$52="million"),((FK3*FK$51)/(FK$52)),"0")))))</f>
        <v>13.210949999999999</v>
      </c>
      <c r="FL56" s="20">
        <f>IF(FL3=0,"0",IF(AND(Results!$E$5="Protein",$C$53&gt;0,OR(Results!$E$4="Tissue",Results!$E$4="Cells")),((FL3*FL$51)/(FL$53)),IF(AND(Results!$E$5="Weight",$C$52&gt;0, Results!$E$4="Tissue",OR($B$52="g",$B$52="mg")),((FL3*FL$51)/(FL$52)),IF(AND(Results!$E$5="Volume",$C$54&gt;0,Results!$E$4="Fluid"),((FL3*FL$51)/(FL$54)),IF(AND(Results!$E$4="Cells",Results!$E$5="Million",$B$52="million"),((FL3*FL$51)/(FL$52)),"0")))))</f>
        <v>20.56165</v>
      </c>
      <c r="FM56" s="20">
        <f>IF(FM3=0,"0",IF(AND(Results!$E$5="Protein",$C$53&gt;0,OR(Results!$E$4="Tissue",Results!$E$4="Cells")),((FM3*FM$51)/(FM$53)),IF(AND(Results!$E$5="Weight",$C$52&gt;0, Results!$E$4="Tissue",OR($B$52="g",$B$52="mg")),((FM3*FM$51)/(FM$52)),IF(AND(Results!$E$5="Volume",$C$54&gt;0,Results!$E$4="Fluid"),((FM3*FM$51)/(FM$54)),IF(AND(Results!$E$4="Cells",Results!$E$5="Million",$B$52="million"),((FM3*FM$51)/(FM$52)),"0")))))</f>
        <v>13.65385</v>
      </c>
      <c r="FN56" s="20">
        <f>IF(FN3=0,"0",IF(AND(Results!$E$5="Protein",$C$53&gt;0,OR(Results!$E$4="Tissue",Results!$E$4="Cells")),((FN3*FN$51)/(FN$53)),IF(AND(Results!$E$5="Weight",$C$52&gt;0, Results!$E$4="Tissue",OR($B$52="g",$B$52="mg")),((FN3*FN$51)/(FN$52)),IF(AND(Results!$E$5="Volume",$C$54&gt;0,Results!$E$4="Fluid"),((FN3*FN$51)/(FN$54)),IF(AND(Results!$E$4="Cells",Results!$E$5="Million",$B$52="million"),((FN3*FN$51)/(FN$52)),"0")))))</f>
        <v>13.947750000000001</v>
      </c>
      <c r="FO56" s="20">
        <f>IF(FO3=0,"0",IF(AND(Results!$E$5="Protein",$C$53&gt;0,OR(Results!$E$4="Tissue",Results!$E$4="Cells")),((FO3*FO$51)/(FO$53)),IF(AND(Results!$E$5="Weight",$C$52&gt;0, Results!$E$4="Tissue",OR($B$52="g",$B$52="mg")),((FO3*FO$51)/(FO$52)),IF(AND(Results!$E$5="Volume",$C$54&gt;0,Results!$E$4="Fluid"),((FO3*FO$51)/(FO$54)),IF(AND(Results!$E$4="Cells",Results!$E$5="Million",$B$52="million"),((FO3*FO$51)/(FO$52)),"0")))))</f>
        <v>17.897416666666668</v>
      </c>
    </row>
    <row r="57" spans="1:171" x14ac:dyDescent="0.2">
      <c r="A57" s="120" t="str">
        <f t="shared" si="0"/>
        <v>10-HODE</v>
      </c>
      <c r="B57" s="121"/>
      <c r="C57" s="20" t="str">
        <f>IF(C4=0,"0",IF(AND(Results!$E$5="Protein",$C$53&gt;0,OR(Results!$E$4="Tissue",Results!$E$4="Cells")),((C4*C$51)/(C$53)),IF(AND(Results!$E$5="Weight",$C$52&gt;0, Results!$E$4="Tissue",OR($B$52="g",$B$52="mg")),((C4*C$51)/(C$52)),IF(AND(Results!$E$5="Volume",$C$54&gt;0,Results!$E$4="Fluid"),((C4*C$51)/(C$54)),IF(AND(Results!$E$4="Cells",Results!$E$5="Million",$B$52="million"),((C4*C$51)/(C$52)),"0")))))</f>
        <v>0</v>
      </c>
      <c r="D57" s="20" t="str">
        <f>IF(D4=0,"0",IF(AND(Results!$E$5="Protein",$C$53&gt;0,OR(Results!$E$4="Tissue",Results!$E$4="Cells")),((D4*D$51)/(D$53)),IF(AND(Results!$E$5="Weight",$C$52&gt;0, Results!$E$4="Tissue",OR($B$52="g",$B$52="mg")),((D4*D$51)/(D$52)),IF(AND(Results!$E$5="Volume",$C$54&gt;0,Results!$E$4="Fluid"),((D4*D$51)/(D$54)),IF(AND(Results!$E$4="Cells",Results!$E$5="Million",$B$52="million"),((D4*D$51)/(D$52)),"0")))))</f>
        <v>0</v>
      </c>
      <c r="E57" s="20" t="str">
        <f>IF(E4=0,"0",IF(AND(Results!$E$5="Protein",$C$53&gt;0,OR(Results!$E$4="Tissue",Results!$E$4="Cells")),((E4*E$51)/(E$53)),IF(AND(Results!$E$5="Weight",$C$52&gt;0, Results!$E$4="Tissue",OR($B$52="g",$B$52="mg")),((E4*E$51)/(E$52)),IF(AND(Results!$E$5="Volume",$C$54&gt;0,Results!$E$4="Fluid"),((E4*E$51)/(E$54)),IF(AND(Results!$E$4="Cells",Results!$E$5="Million",$B$52="million"),((E4*E$51)/(E$52)),"0")))))</f>
        <v>0</v>
      </c>
      <c r="F57" s="20" t="str">
        <f>IF(F4=0,"0",IF(AND(Results!$E$5="Protein",$C$53&gt;0,OR(Results!$E$4="Tissue",Results!$E$4="Cells")),((F4*F$51)/(F$53)),IF(AND(Results!$E$5="Weight",$C$52&gt;0, Results!$E$4="Tissue",OR($B$52="g",$B$52="mg")),((F4*F$51)/(F$52)),IF(AND(Results!$E$5="Volume",$C$54&gt;0,Results!$E$4="Fluid"),((F4*F$51)/(F$54)),IF(AND(Results!$E$4="Cells",Results!$E$5="Million",$B$52="million"),((F4*F$51)/(F$52)),"0")))))</f>
        <v>0</v>
      </c>
      <c r="G57" s="20" t="str">
        <f>IF(G4=0,"0",IF(AND(Results!$E$5="Protein",$C$53&gt;0,OR(Results!$E$4="Tissue",Results!$E$4="Cells")),((G4*G$51)/(G$53)),IF(AND(Results!$E$5="Weight",$C$52&gt;0, Results!$E$4="Tissue",OR($B$52="g",$B$52="mg")),((G4*G$51)/(G$52)),IF(AND(Results!$E$5="Volume",$C$54&gt;0,Results!$E$4="Fluid"),((G4*G$51)/(G$54)),IF(AND(Results!$E$4="Cells",Results!$E$5="Million",$B$52="million"),((G4*G$51)/(G$52)),"0")))))</f>
        <v>0</v>
      </c>
      <c r="H57" s="20" t="str">
        <f>IF(H4=0,"0",IF(AND(Results!$E$5="Protein",$C$53&gt;0,OR(Results!$E$4="Tissue",Results!$E$4="Cells")),((H4*H$51)/(H$53)),IF(AND(Results!$E$5="Weight",$C$52&gt;0, Results!$E$4="Tissue",OR($B$52="g",$B$52="mg")),((H4*H$51)/(H$52)),IF(AND(Results!$E$5="Volume",$C$54&gt;0,Results!$E$4="Fluid"),((H4*H$51)/(H$54)),IF(AND(Results!$E$4="Cells",Results!$E$5="Million",$B$52="million"),((H4*H$51)/(H$52)),"0")))))</f>
        <v>0</v>
      </c>
      <c r="I57" s="20" t="str">
        <f>IF(I4=0,"0",IF(AND(Results!$E$5="Protein",$C$53&gt;0,OR(Results!$E$4="Tissue",Results!$E$4="Cells")),((I4*I$51)/(I$53)),IF(AND(Results!$E$5="Weight",$C$52&gt;0, Results!$E$4="Tissue",OR($B$52="g",$B$52="mg")),((I4*I$51)/(I$52)),IF(AND(Results!$E$5="Volume",$C$54&gt;0,Results!$E$4="Fluid"),((I4*I$51)/(I$54)),IF(AND(Results!$E$4="Cells",Results!$E$5="Million",$B$52="million"),((I4*I$51)/(I$52)),"0")))))</f>
        <v>0</v>
      </c>
      <c r="J57" s="20" t="str">
        <f>IF(J4=0,"0",IF(AND(Results!$E$5="Protein",$C$53&gt;0,OR(Results!$E$4="Tissue",Results!$E$4="Cells")),((J4*J$51)/(J$53)),IF(AND(Results!$E$5="Weight",$C$52&gt;0, Results!$E$4="Tissue",OR($B$52="g",$B$52="mg")),((J4*J$51)/(J$52)),IF(AND(Results!$E$5="Volume",$C$54&gt;0,Results!$E$4="Fluid"),((J4*J$51)/(J$54)),IF(AND(Results!$E$4="Cells",Results!$E$5="Million",$B$52="million"),((J4*J$51)/(J$52)),"0")))))</f>
        <v>0</v>
      </c>
      <c r="K57" s="20" t="str">
        <f>IF(K4=0,"0",IF(AND(Results!$E$5="Protein",$C$53&gt;0,OR(Results!$E$4="Tissue",Results!$E$4="Cells")),((K4*K$51)/(K$53)),IF(AND(Results!$E$5="Weight",$C$52&gt;0, Results!$E$4="Tissue",OR($B$52="g",$B$52="mg")),((K4*K$51)/(K$52)),IF(AND(Results!$E$5="Volume",$C$54&gt;0,Results!$E$4="Fluid"),((K4*K$51)/(K$54)),IF(AND(Results!$E$4="Cells",Results!$E$5="Million",$B$52="million"),((K4*K$51)/(K$52)),"0")))))</f>
        <v>0</v>
      </c>
      <c r="L57" s="20" t="str">
        <f>IF(L4=0,"0",IF(AND(Results!$E$5="Protein",$C$53&gt;0,OR(Results!$E$4="Tissue",Results!$E$4="Cells")),((L4*L$51)/(L$53)),IF(AND(Results!$E$5="Weight",$C$52&gt;0, Results!$E$4="Tissue",OR($B$52="g",$B$52="mg")),((L4*L$51)/(L$52)),IF(AND(Results!$E$5="Volume",$C$54&gt;0,Results!$E$4="Fluid"),((L4*L$51)/(L$54)),IF(AND(Results!$E$4="Cells",Results!$E$5="Million",$B$52="million"),((L4*L$51)/(L$52)),"0")))))</f>
        <v>0</v>
      </c>
      <c r="M57" s="20" t="str">
        <f>IF(M4=0,"0",IF(AND(Results!$E$5="Protein",$C$53&gt;0,OR(Results!$E$4="Tissue",Results!$E$4="Cells")),((M4*M$51)/(M$53)),IF(AND(Results!$E$5="Weight",$C$52&gt;0, Results!$E$4="Tissue",OR($B$52="g",$B$52="mg")),((M4*M$51)/(M$52)),IF(AND(Results!$E$5="Volume",$C$54&gt;0,Results!$E$4="Fluid"),((M4*M$51)/(M$54)),IF(AND(Results!$E$4="Cells",Results!$E$5="Million",$B$52="million"),((M4*M$51)/(M$52)),"0")))))</f>
        <v>0</v>
      </c>
      <c r="N57" s="20" t="str">
        <f>IF(N4=0,"0",IF(AND(Results!$E$5="Protein",$C$53&gt;0,OR(Results!$E$4="Tissue",Results!$E$4="Cells")),((N4*N$51)/(N$53)),IF(AND(Results!$E$5="Weight",$C$52&gt;0, Results!$E$4="Tissue",OR($B$52="g",$B$52="mg")),((N4*N$51)/(N$52)),IF(AND(Results!$E$5="Volume",$C$54&gt;0,Results!$E$4="Fluid"),((N4*N$51)/(N$54)),IF(AND(Results!$E$4="Cells",Results!$E$5="Million",$B$52="million"),((N4*N$51)/(N$52)),"0")))))</f>
        <v>0</v>
      </c>
      <c r="O57" s="20" t="str">
        <f>IF(O4=0,"0",IF(AND(Results!$E$5="Protein",$C$53&gt;0,OR(Results!$E$4="Tissue",Results!$E$4="Cells")),((O4*O$51)/(O$53)),IF(AND(Results!$E$5="Weight",$C$52&gt;0, Results!$E$4="Tissue",OR($B$52="g",$B$52="mg")),((O4*O$51)/(O$52)),IF(AND(Results!$E$5="Volume",$C$54&gt;0,Results!$E$4="Fluid"),((O4*O$51)/(O$54)),IF(AND(Results!$E$4="Cells",Results!$E$5="Million",$B$52="million"),((O4*O$51)/(O$52)),"0")))))</f>
        <v>0</v>
      </c>
      <c r="P57" s="20" t="str">
        <f>IF(P4=0,"0",IF(AND(Results!$E$5="Protein",$C$53&gt;0,OR(Results!$E$4="Tissue",Results!$E$4="Cells")),((P4*P$51)/(P$53)),IF(AND(Results!$E$5="Weight",$C$52&gt;0, Results!$E$4="Tissue",OR($B$52="g",$B$52="mg")),((P4*P$51)/(P$52)),IF(AND(Results!$E$5="Volume",$C$54&gt;0,Results!$E$4="Fluid"),((P4*P$51)/(P$54)),IF(AND(Results!$E$4="Cells",Results!$E$5="Million",$B$52="million"),((P4*P$51)/(P$52)),"0")))))</f>
        <v>0</v>
      </c>
      <c r="Q57" s="20" t="str">
        <f>IF(Q4=0,"0",IF(AND(Results!$E$5="Protein",$C$53&gt;0,OR(Results!$E$4="Tissue",Results!$E$4="Cells")),((Q4*Q$51)/(Q$53)),IF(AND(Results!$E$5="Weight",$C$52&gt;0, Results!$E$4="Tissue",OR($B$52="g",$B$52="mg")),((Q4*Q$51)/(Q$52)),IF(AND(Results!$E$5="Volume",$C$54&gt;0,Results!$E$4="Fluid"),((Q4*Q$51)/(Q$54)),IF(AND(Results!$E$4="Cells",Results!$E$5="Million",$B$52="million"),((Q4*Q$51)/(Q$52)),"0")))))</f>
        <v>0</v>
      </c>
      <c r="R57" s="20" t="str">
        <f>IF(R4=0,"0",IF(AND(Results!$E$5="Protein",$C$53&gt;0,OR(Results!$E$4="Tissue",Results!$E$4="Cells")),((R4*R$51)/(R$53)),IF(AND(Results!$E$5="Weight",$C$52&gt;0, Results!$E$4="Tissue",OR($B$52="g",$B$52="mg")),((R4*R$51)/(R$52)),IF(AND(Results!$E$5="Volume",$C$54&gt;0,Results!$E$4="Fluid"),((R4*R$51)/(R$54)),IF(AND(Results!$E$4="Cells",Results!$E$5="Million",$B$52="million"),((R4*R$51)/(R$52)),"0")))))</f>
        <v>0</v>
      </c>
      <c r="S57" s="20" t="str">
        <f>IF(S4=0,"0",IF(AND(Results!$E$5="Protein",$C$53&gt;0,OR(Results!$E$4="Tissue",Results!$E$4="Cells")),((S4*S$51)/(S$53)),IF(AND(Results!$E$5="Weight",$C$52&gt;0, Results!$E$4="Tissue",OR($B$52="g",$B$52="mg")),((S4*S$51)/(S$52)),IF(AND(Results!$E$5="Volume",$C$54&gt;0,Results!$E$4="Fluid"),((S4*S$51)/(S$54)),IF(AND(Results!$E$4="Cells",Results!$E$5="Million",$B$52="million"),((S4*S$51)/(S$52)),"0")))))</f>
        <v>0</v>
      </c>
      <c r="T57" s="20" t="str">
        <f>IF(T4=0,"0",IF(AND(Results!$E$5="Protein",$C$53&gt;0,OR(Results!$E$4="Tissue",Results!$E$4="Cells")),((T4*T$51)/(T$53)),IF(AND(Results!$E$5="Weight",$C$52&gt;0, Results!$E$4="Tissue",OR($B$52="g",$B$52="mg")),((T4*T$51)/(T$52)),IF(AND(Results!$E$5="Volume",$C$54&gt;0,Results!$E$4="Fluid"),((T4*T$51)/(T$54)),IF(AND(Results!$E$4="Cells",Results!$E$5="Million",$B$52="million"),((T4*T$51)/(T$52)),"0")))))</f>
        <v>0</v>
      </c>
      <c r="U57" s="20" t="str">
        <f>IF(U4=0,"0",IF(AND(Results!$E$5="Protein",$C$53&gt;0,OR(Results!$E$4="Tissue",Results!$E$4="Cells")),((U4*U$51)/(U$53)),IF(AND(Results!$E$5="Weight",$C$52&gt;0, Results!$E$4="Tissue",OR($B$52="g",$B$52="mg")),((U4*U$51)/(U$52)),IF(AND(Results!$E$5="Volume",$C$54&gt;0,Results!$E$4="Fluid"),((U4*U$51)/(U$54)),IF(AND(Results!$E$4="Cells",Results!$E$5="Million",$B$52="million"),((U4*U$51)/(U$52)),"0")))))</f>
        <v>0</v>
      </c>
      <c r="V57" s="20" t="str">
        <f>IF(V4=0,"0",IF(AND(Results!$E$5="Protein",$C$53&gt;0,OR(Results!$E$4="Tissue",Results!$E$4="Cells")),((V4*V$51)/(V$53)),IF(AND(Results!$E$5="Weight",$C$52&gt;0, Results!$E$4="Tissue",OR($B$52="g",$B$52="mg")),((V4*V$51)/(V$52)),IF(AND(Results!$E$5="Volume",$C$54&gt;0,Results!$E$4="Fluid"),((V4*V$51)/(V$54)),IF(AND(Results!$E$4="Cells",Results!$E$5="Million",$B$52="million"),((V4*V$51)/(V$52)),"0")))))</f>
        <v>0</v>
      </c>
      <c r="W57" s="20" t="str">
        <f>IF(W4=0,"0",IF(AND(Results!$E$5="Protein",$C$53&gt;0,OR(Results!$E$4="Tissue",Results!$E$4="Cells")),((W4*W$51)/(W$53)),IF(AND(Results!$E$5="Weight",$C$52&gt;0, Results!$E$4="Tissue",OR($B$52="g",$B$52="mg")),((W4*W$51)/(W$52)),IF(AND(Results!$E$5="Volume",$C$54&gt;0,Results!$E$4="Fluid"),((W4*W$51)/(W$54)),IF(AND(Results!$E$4="Cells",Results!$E$5="Million",$B$52="million"),((W4*W$51)/(W$52)),"0")))))</f>
        <v>0</v>
      </c>
      <c r="X57" s="20" t="str">
        <f>IF(X4=0,"0",IF(AND(Results!$E$5="Protein",$C$53&gt;0,OR(Results!$E$4="Tissue",Results!$E$4="Cells")),((X4*X$51)/(X$53)),IF(AND(Results!$E$5="Weight",$C$52&gt;0, Results!$E$4="Tissue",OR($B$52="g",$B$52="mg")),((X4*X$51)/(X$52)),IF(AND(Results!$E$5="Volume",$C$54&gt;0,Results!$E$4="Fluid"),((X4*X$51)/(X$54)),IF(AND(Results!$E$4="Cells",Results!$E$5="Million",$B$52="million"),((X4*X$51)/(X$52)),"0")))))</f>
        <v>0</v>
      </c>
      <c r="Y57" s="20" t="str">
        <f>IF(Y4=0,"0",IF(AND(Results!$E$5="Protein",$C$53&gt;0,OR(Results!$E$4="Tissue",Results!$E$4="Cells")),((Y4*Y$51)/(Y$53)),IF(AND(Results!$E$5="Weight",$C$52&gt;0, Results!$E$4="Tissue",OR($B$52="g",$B$52="mg")),((Y4*Y$51)/(Y$52)),IF(AND(Results!$E$5="Volume",$C$54&gt;0,Results!$E$4="Fluid"),((Y4*Y$51)/(Y$54)),IF(AND(Results!$E$4="Cells",Results!$E$5="Million",$B$52="million"),((Y4*Y$51)/(Y$52)),"0")))))</f>
        <v>0</v>
      </c>
      <c r="Z57" s="20" t="str">
        <f>IF(Z4=0,"0",IF(AND(Results!$E$5="Protein",$C$53&gt;0,OR(Results!$E$4="Tissue",Results!$E$4="Cells")),((Z4*Z$51)/(Z$53)),IF(AND(Results!$E$5="Weight",$C$52&gt;0, Results!$E$4="Tissue",OR($B$52="g",$B$52="mg")),((Z4*Z$51)/(Z$52)),IF(AND(Results!$E$5="Volume",$C$54&gt;0,Results!$E$4="Fluid"),((Z4*Z$51)/(Z$54)),IF(AND(Results!$E$4="Cells",Results!$E$5="Million",$B$52="million"),((Z4*Z$51)/(Z$52)),"0")))))</f>
        <v>0</v>
      </c>
      <c r="AA57" s="20" t="str">
        <f>IF(AA4=0,"0",IF(AND(Results!$E$5="Protein",$C$53&gt;0,OR(Results!$E$4="Tissue",Results!$E$4="Cells")),((AA4*AA$51)/(AA$53)),IF(AND(Results!$E$5="Weight",$C$52&gt;0, Results!$E$4="Tissue",OR($B$52="g",$B$52="mg")),((AA4*AA$51)/(AA$52)),IF(AND(Results!$E$5="Volume",$C$54&gt;0,Results!$E$4="Fluid"),((AA4*AA$51)/(AA$54)),IF(AND(Results!$E$4="Cells",Results!$E$5="Million",$B$52="million"),((AA4*AA$51)/(AA$52)),"0")))))</f>
        <v>0</v>
      </c>
      <c r="AB57" s="20" t="str">
        <f>IF(AB4=0,"0",IF(AND(Results!$E$5="Protein",$C$53&gt;0,OR(Results!$E$4="Tissue",Results!$E$4="Cells")),((AB4*AB$51)/(AB$53)),IF(AND(Results!$E$5="Weight",$C$52&gt;0, Results!$E$4="Tissue",OR($B$52="g",$B$52="mg")),((AB4*AB$51)/(AB$52)),IF(AND(Results!$E$5="Volume",$C$54&gt;0,Results!$E$4="Fluid"),((AB4*AB$51)/(AB$54)),IF(AND(Results!$E$4="Cells",Results!$E$5="Million",$B$52="million"),((AB4*AB$51)/(AB$52)),"0")))))</f>
        <v>0</v>
      </c>
      <c r="AC57" s="20" t="str">
        <f>IF(AC4=0,"0",IF(AND(Results!$E$5="Protein",$C$53&gt;0,OR(Results!$E$4="Tissue",Results!$E$4="Cells")),((AC4*AC$51)/(AC$53)),IF(AND(Results!$E$5="Weight",$C$52&gt;0, Results!$E$4="Tissue",OR($B$52="g",$B$52="mg")),((AC4*AC$51)/(AC$52)),IF(AND(Results!$E$5="Volume",$C$54&gt;0,Results!$E$4="Fluid"),((AC4*AC$51)/(AC$54)),IF(AND(Results!$E$4="Cells",Results!$E$5="Million",$B$52="million"),((AC4*AC$51)/(AC$52)),"0")))))</f>
        <v>0</v>
      </c>
      <c r="AD57" s="20" t="str">
        <f>IF(AD4=0,"0",IF(AND(Results!$E$5="Protein",$C$53&gt;0,OR(Results!$E$4="Tissue",Results!$E$4="Cells")),((AD4*AD$51)/(AD$53)),IF(AND(Results!$E$5="Weight",$C$52&gt;0, Results!$E$4="Tissue",OR($B$52="g",$B$52="mg")),((AD4*AD$51)/(AD$52)),IF(AND(Results!$E$5="Volume",$C$54&gt;0,Results!$E$4="Fluid"),((AD4*AD$51)/(AD$54)),IF(AND(Results!$E$4="Cells",Results!$E$5="Million",$B$52="million"),((AD4*AD$51)/(AD$52)),"0")))))</f>
        <v>0</v>
      </c>
      <c r="AE57" s="20" t="str">
        <f>IF(AE4=0,"0",IF(AND(Results!$E$5="Protein",$C$53&gt;0,OR(Results!$E$4="Tissue",Results!$E$4="Cells")),((AE4*AE$51)/(AE$53)),IF(AND(Results!$E$5="Weight",$C$52&gt;0, Results!$E$4="Tissue",OR($B$52="g",$B$52="mg")),((AE4*AE$51)/(AE$52)),IF(AND(Results!$E$5="Volume",$C$54&gt;0,Results!$E$4="Fluid"),((AE4*AE$51)/(AE$54)),IF(AND(Results!$E$4="Cells",Results!$E$5="Million",$B$52="million"),((AE4*AE$51)/(AE$52)),"0")))))</f>
        <v>0</v>
      </c>
      <c r="AF57" s="20" t="str">
        <f>IF(AF4=0,"0",IF(AND(Results!$E$5="Protein",$C$53&gt;0,OR(Results!$E$4="Tissue",Results!$E$4="Cells")),((AF4*AF$51)/(AF$53)),IF(AND(Results!$E$5="Weight",$C$52&gt;0, Results!$E$4="Tissue",OR($B$52="g",$B$52="mg")),((AF4*AF$51)/(AF$52)),IF(AND(Results!$E$5="Volume",$C$54&gt;0,Results!$E$4="Fluid"),((AF4*AF$51)/(AF$54)),IF(AND(Results!$E$4="Cells",Results!$E$5="Million",$B$52="million"),((AF4*AF$51)/(AF$52)),"0")))))</f>
        <v>0</v>
      </c>
      <c r="AG57" s="20" t="str">
        <f>IF(AG4=0,"0",IF(AND(Results!$E$5="Protein",$C$53&gt;0,OR(Results!$E$4="Tissue",Results!$E$4="Cells")),((AG4*AG$51)/(AG$53)),IF(AND(Results!$E$5="Weight",$C$52&gt;0, Results!$E$4="Tissue",OR($B$52="g",$B$52="mg")),((AG4*AG$51)/(AG$52)),IF(AND(Results!$E$5="Volume",$C$54&gt;0,Results!$E$4="Fluid"),((AG4*AG$51)/(AG$54)),IF(AND(Results!$E$4="Cells",Results!$E$5="Million",$B$52="million"),((AG4*AG$51)/(AG$52)),"0")))))</f>
        <v>0</v>
      </c>
      <c r="AH57" s="20" t="str">
        <f>IF(AH4=0,"0",IF(AND(Results!$E$5="Protein",$C$53&gt;0,OR(Results!$E$4="Tissue",Results!$E$4="Cells")),((AH4*AH$51)/(AH$53)),IF(AND(Results!$E$5="Weight",$C$52&gt;0, Results!$E$4="Tissue",OR($B$52="g",$B$52="mg")),((AH4*AH$51)/(AH$52)),IF(AND(Results!$E$5="Volume",$C$54&gt;0,Results!$E$4="Fluid"),((AH4*AH$51)/(AH$54)),IF(AND(Results!$E$4="Cells",Results!$E$5="Million",$B$52="million"),((AH4*AH$51)/(AH$52)),"0")))))</f>
        <v>0</v>
      </c>
      <c r="AI57" s="20" t="str">
        <f>IF(AI4=0,"0",IF(AND(Results!$E$5="Protein",$C$53&gt;0,OR(Results!$E$4="Tissue",Results!$E$4="Cells")),((AI4*AI$51)/(AI$53)),IF(AND(Results!$E$5="Weight",$C$52&gt;0, Results!$E$4="Tissue",OR($B$52="g",$B$52="mg")),((AI4*AI$51)/(AI$52)),IF(AND(Results!$E$5="Volume",$C$54&gt;0,Results!$E$4="Fluid"),((AI4*AI$51)/(AI$54)),IF(AND(Results!$E$4="Cells",Results!$E$5="Million",$B$52="million"),((AI4*AI$51)/(AI$52)),"0")))))</f>
        <v>0</v>
      </c>
      <c r="AJ57" s="20" t="str">
        <f>IF(AJ4=0,"0",IF(AND(Results!$E$5="Protein",$C$53&gt;0,OR(Results!$E$4="Tissue",Results!$E$4="Cells")),((AJ4*AJ$51)/(AJ$53)),IF(AND(Results!$E$5="Weight",$C$52&gt;0, Results!$E$4="Tissue",OR($B$52="g",$B$52="mg")),((AJ4*AJ$51)/(AJ$52)),IF(AND(Results!$E$5="Volume",$C$54&gt;0,Results!$E$4="Fluid"),((AJ4*AJ$51)/(AJ$54)),IF(AND(Results!$E$4="Cells",Results!$E$5="Million",$B$52="million"),((AJ4*AJ$51)/(AJ$52)),"0")))))</f>
        <v>0</v>
      </c>
      <c r="AK57" s="20" t="str">
        <f>IF(AK4=0,"0",IF(AND(Results!$E$5="Protein",$C$53&gt;0,OR(Results!$E$4="Tissue",Results!$E$4="Cells")),((AK4*AK$51)/(AK$53)),IF(AND(Results!$E$5="Weight",$C$52&gt;0, Results!$E$4="Tissue",OR($B$52="g",$B$52="mg")),((AK4*AK$51)/(AK$52)),IF(AND(Results!$E$5="Volume",$C$54&gt;0,Results!$E$4="Fluid"),((AK4*AK$51)/(AK$54)),IF(AND(Results!$E$4="Cells",Results!$E$5="Million",$B$52="million"),((AK4*AK$51)/(AK$52)),"0")))))</f>
        <v>0</v>
      </c>
      <c r="AL57" s="20" t="str">
        <f>IF(AL4=0,"0",IF(AND(Results!$E$5="Protein",$C$53&gt;0,OR(Results!$E$4="Tissue",Results!$E$4="Cells")),((AL4*AL$51)/(AL$53)),IF(AND(Results!$E$5="Weight",$C$52&gt;0, Results!$E$4="Tissue",OR($B$52="g",$B$52="mg")),((AL4*AL$51)/(AL$52)),IF(AND(Results!$E$5="Volume",$C$54&gt;0,Results!$E$4="Fluid"),((AL4*AL$51)/(AL$54)),IF(AND(Results!$E$4="Cells",Results!$E$5="Million",$B$52="million"),((AL4*AL$51)/(AL$52)),"0")))))</f>
        <v>0</v>
      </c>
      <c r="AM57" s="20" t="str">
        <f>IF(AM4=0,"0",IF(AND(Results!$E$5="Protein",$C$53&gt;0,OR(Results!$E$4="Tissue",Results!$E$4="Cells")),((AM4*AM$51)/(AM$53)),IF(AND(Results!$E$5="Weight",$C$52&gt;0, Results!$E$4="Tissue",OR($B$52="g",$B$52="mg")),((AM4*AM$51)/(AM$52)),IF(AND(Results!$E$5="Volume",$C$54&gt;0,Results!$E$4="Fluid"),((AM4*AM$51)/(AM$54)),IF(AND(Results!$E$4="Cells",Results!$E$5="Million",$B$52="million"),((AM4*AM$51)/(AM$52)),"0")))))</f>
        <v>0</v>
      </c>
      <c r="AN57" s="20" t="str">
        <f>IF(AN4=0,"0",IF(AND(Results!$E$5="Protein",$C$53&gt;0,OR(Results!$E$4="Tissue",Results!$E$4="Cells")),((AN4*AN$51)/(AN$53)),IF(AND(Results!$E$5="Weight",$C$52&gt;0, Results!$E$4="Tissue",OR($B$52="g",$B$52="mg")),((AN4*AN$51)/(AN$52)),IF(AND(Results!$E$5="Volume",$C$54&gt;0,Results!$E$4="Fluid"),((AN4*AN$51)/(AN$54)),IF(AND(Results!$E$4="Cells",Results!$E$5="Million",$B$52="million"),((AN4*AN$51)/(AN$52)),"0")))))</f>
        <v>0</v>
      </c>
      <c r="AO57" s="20" t="str">
        <f>IF(AO4=0,"0",IF(AND(Results!$E$5="Protein",$C$53&gt;0,OR(Results!$E$4="Tissue",Results!$E$4="Cells")),((AO4*AO$51)/(AO$53)),IF(AND(Results!$E$5="Weight",$C$52&gt;0, Results!$E$4="Tissue",OR($B$52="g",$B$52="mg")),((AO4*AO$51)/(AO$52)),IF(AND(Results!$E$5="Volume",$C$54&gt;0,Results!$E$4="Fluid"),((AO4*AO$51)/(AO$54)),IF(AND(Results!$E$4="Cells",Results!$E$5="Million",$B$52="million"),((AO4*AO$51)/(AO$52)),"0")))))</f>
        <v>0</v>
      </c>
      <c r="AP57" s="20" t="str">
        <f>IF(AP4=0,"0",IF(AND(Results!$E$5="Protein",$C$53&gt;0,OR(Results!$E$4="Tissue",Results!$E$4="Cells")),((AP4*AP$51)/(AP$53)),IF(AND(Results!$E$5="Weight",$C$52&gt;0, Results!$E$4="Tissue",OR($B$52="g",$B$52="mg")),((AP4*AP$51)/(AP$52)),IF(AND(Results!$E$5="Volume",$C$54&gt;0,Results!$E$4="Fluid"),((AP4*AP$51)/(AP$54)),IF(AND(Results!$E$4="Cells",Results!$E$5="Million",$B$52="million"),((AP4*AP$51)/(AP$52)),"0")))))</f>
        <v>0</v>
      </c>
      <c r="AQ57" s="20" t="str">
        <f>IF(AQ4=0,"0",IF(AND(Results!$E$5="Protein",$C$53&gt;0,OR(Results!$E$4="Tissue",Results!$E$4="Cells")),((AQ4*AQ$51)/(AQ$53)),IF(AND(Results!$E$5="Weight",$C$52&gt;0, Results!$E$4="Tissue",OR($B$52="g",$B$52="mg")),((AQ4*AQ$51)/(AQ$52)),IF(AND(Results!$E$5="Volume",$C$54&gt;0,Results!$E$4="Fluid"),((AQ4*AQ$51)/(AQ$54)),IF(AND(Results!$E$4="Cells",Results!$E$5="Million",$B$52="million"),((AQ4*AQ$51)/(AQ$52)),"0")))))</f>
        <v>0</v>
      </c>
      <c r="AR57" s="20" t="str">
        <f>IF(AR4=0,"0",IF(AND(Results!$E$5="Protein",$C$53&gt;0,OR(Results!$E$4="Tissue",Results!$E$4="Cells")),((AR4*AR$51)/(AR$53)),IF(AND(Results!$E$5="Weight",$C$52&gt;0, Results!$E$4="Tissue",OR($B$52="g",$B$52="mg")),((AR4*AR$51)/(AR$52)),IF(AND(Results!$E$5="Volume",$C$54&gt;0,Results!$E$4="Fluid"),((AR4*AR$51)/(AR$54)),IF(AND(Results!$E$4="Cells",Results!$E$5="Million",$B$52="million"),((AR4*AR$51)/(AR$52)),"0")))))</f>
        <v>0</v>
      </c>
      <c r="AS57" s="20" t="str">
        <f>IF(AS4=0,"0",IF(AND(Results!$E$5="Protein",$C$53&gt;0,OR(Results!$E$4="Tissue",Results!$E$4="Cells")),((AS4*AS$51)/(AS$53)),IF(AND(Results!$E$5="Weight",$C$52&gt;0, Results!$E$4="Tissue",OR($B$52="g",$B$52="mg")),((AS4*AS$51)/(AS$52)),IF(AND(Results!$E$5="Volume",$C$54&gt;0,Results!$E$4="Fluid"),((AS4*AS$51)/(AS$54)),IF(AND(Results!$E$4="Cells",Results!$E$5="Million",$B$52="million"),((AS4*AS$51)/(AS$52)),"0")))))</f>
        <v>0</v>
      </c>
      <c r="AT57" s="20" t="str">
        <f>IF(AT4=0,"0",IF(AND(Results!$E$5="Protein",$C$53&gt;0,OR(Results!$E$4="Tissue",Results!$E$4="Cells")),((AT4*AT$51)/(AT$53)),IF(AND(Results!$E$5="Weight",$C$52&gt;0, Results!$E$4="Tissue",OR($B$52="g",$B$52="mg")),((AT4*AT$51)/(AT$52)),IF(AND(Results!$E$5="Volume",$C$54&gt;0,Results!$E$4="Fluid"),((AT4*AT$51)/(AT$54)),IF(AND(Results!$E$4="Cells",Results!$E$5="Million",$B$52="million"),((AT4*AT$51)/(AT$52)),"0")))))</f>
        <v>0</v>
      </c>
      <c r="AU57" s="20" t="str">
        <f>IF(AU4=0,"0",IF(AND(Results!$E$5="Protein",$C$53&gt;0,OR(Results!$E$4="Tissue",Results!$E$4="Cells")),((AU4*AU$51)/(AU$53)),IF(AND(Results!$E$5="Weight",$C$52&gt;0, Results!$E$4="Tissue",OR($B$52="g",$B$52="mg")),((AU4*AU$51)/(AU$52)),IF(AND(Results!$E$5="Volume",$C$54&gt;0,Results!$E$4="Fluid"),((AU4*AU$51)/(AU$54)),IF(AND(Results!$E$4="Cells",Results!$E$5="Million",$B$52="million"),((AU4*AU$51)/(AU$52)),"0")))))</f>
        <v>0</v>
      </c>
      <c r="AV57" s="20" t="str">
        <f>IF(AV4=0,"0",IF(AND(Results!$E$5="Protein",$C$53&gt;0,OR(Results!$E$4="Tissue",Results!$E$4="Cells")),((AV4*AV$51)/(AV$53)),IF(AND(Results!$E$5="Weight",$C$52&gt;0, Results!$E$4="Tissue",OR($B$52="g",$B$52="mg")),((AV4*AV$51)/(AV$52)),IF(AND(Results!$E$5="Volume",$C$54&gt;0,Results!$E$4="Fluid"),((AV4*AV$51)/(AV$54)),IF(AND(Results!$E$4="Cells",Results!$E$5="Million",$B$52="million"),((AV4*AV$51)/(AV$52)),"0")))))</f>
        <v>0</v>
      </c>
      <c r="AW57" s="20" t="str">
        <f>IF(AW4=0,"0",IF(AND(Results!$E$5="Protein",$C$53&gt;0,OR(Results!$E$4="Tissue",Results!$E$4="Cells")),((AW4*AW$51)/(AW$53)),IF(AND(Results!$E$5="Weight",$C$52&gt;0, Results!$E$4="Tissue",OR($B$52="g",$B$52="mg")),((AW4*AW$51)/(AW$52)),IF(AND(Results!$E$5="Volume",$C$54&gt;0,Results!$E$4="Fluid"),((AW4*AW$51)/(AW$54)),IF(AND(Results!$E$4="Cells",Results!$E$5="Million",$B$52="million"),((AW4*AW$51)/(AW$52)),"0")))))</f>
        <v>0</v>
      </c>
      <c r="AX57" s="20" t="str">
        <f>IF(AX4=0,"0",IF(AND(Results!$E$5="Protein",$C$53&gt;0,OR(Results!$E$4="Tissue",Results!$E$4="Cells")),((AX4*AX$51)/(AX$53)),IF(AND(Results!$E$5="Weight",$C$52&gt;0, Results!$E$4="Tissue",OR($B$52="g",$B$52="mg")),((AX4*AX$51)/(AX$52)),IF(AND(Results!$E$5="Volume",$C$54&gt;0,Results!$E$4="Fluid"),((AX4*AX$51)/(AX$54)),IF(AND(Results!$E$4="Cells",Results!$E$5="Million",$B$52="million"),((AX4*AX$51)/(AX$52)),"0")))))</f>
        <v>0</v>
      </c>
      <c r="AY57" s="20" t="str">
        <f>IF(AY4=0,"0",IF(AND(Results!$E$5="Protein",$C$53&gt;0,OR(Results!$E$4="Tissue",Results!$E$4="Cells")),((AY4*AY$51)/(AY$53)),IF(AND(Results!$E$5="Weight",$C$52&gt;0, Results!$E$4="Tissue",OR($B$52="g",$B$52="mg")),((AY4*AY$51)/(AY$52)),IF(AND(Results!$E$5="Volume",$C$54&gt;0,Results!$E$4="Fluid"),((AY4*AY$51)/(AY$54)),IF(AND(Results!$E$4="Cells",Results!$E$5="Million",$B$52="million"),((AY4*AY$51)/(AY$52)),"0")))))</f>
        <v>0</v>
      </c>
      <c r="AZ57" s="20" t="str">
        <f>IF(AZ4=0,"0",IF(AND(Results!$E$5="Protein",$C$53&gt;0,OR(Results!$E$4="Tissue",Results!$E$4="Cells")),((AZ4*AZ$51)/(AZ$53)),IF(AND(Results!$E$5="Weight",$C$52&gt;0, Results!$E$4="Tissue",OR($B$52="g",$B$52="mg")),((AZ4*AZ$51)/(AZ$52)),IF(AND(Results!$E$5="Volume",$C$54&gt;0,Results!$E$4="Fluid"),((AZ4*AZ$51)/(AZ$54)),IF(AND(Results!$E$4="Cells",Results!$E$5="Million",$B$52="million"),((AZ4*AZ$51)/(AZ$52)),"0")))))</f>
        <v>0</v>
      </c>
      <c r="BA57" s="20" t="str">
        <f>IF(BA4=0,"0",IF(AND(Results!$E$5="Protein",$C$53&gt;0,OR(Results!$E$4="Tissue",Results!$E$4="Cells")),((BA4*BA$51)/(BA$53)),IF(AND(Results!$E$5="Weight",$C$52&gt;0, Results!$E$4="Tissue",OR($B$52="g",$B$52="mg")),((BA4*BA$51)/(BA$52)),IF(AND(Results!$E$5="Volume",$C$54&gt;0,Results!$E$4="Fluid"),((BA4*BA$51)/(BA$54)),IF(AND(Results!$E$4="Cells",Results!$E$5="Million",$B$52="million"),((BA4*BA$51)/(BA$52)),"0")))))</f>
        <v>0</v>
      </c>
      <c r="BB57" s="20" t="str">
        <f>IF(BB4=0,"0",IF(AND(Results!$E$5="Protein",$C$53&gt;0,OR(Results!$E$4="Tissue",Results!$E$4="Cells")),((BB4*BB$51)/(BB$53)),IF(AND(Results!$E$5="Weight",$C$52&gt;0, Results!$E$4="Tissue",OR($B$52="g",$B$52="mg")),((BB4*BB$51)/(BB$52)),IF(AND(Results!$E$5="Volume",$C$54&gt;0,Results!$E$4="Fluid"),((BB4*BB$51)/(BB$54)),IF(AND(Results!$E$4="Cells",Results!$E$5="Million",$B$52="million"),((BB4*BB$51)/(BB$52)),"0")))))</f>
        <v>0</v>
      </c>
      <c r="BC57" s="20" t="str">
        <f>IF(BC4=0,"0",IF(AND(Results!$E$5="Protein",$C$53&gt;0,OR(Results!$E$4="Tissue",Results!$E$4="Cells")),((BC4*BC$51)/(BC$53)),IF(AND(Results!$E$5="Weight",$C$52&gt;0, Results!$E$4="Tissue",OR($B$52="g",$B$52="mg")),((BC4*BC$51)/(BC$52)),IF(AND(Results!$E$5="Volume",$C$54&gt;0,Results!$E$4="Fluid"),((BC4*BC$51)/(BC$54)),IF(AND(Results!$E$4="Cells",Results!$E$5="Million",$B$52="million"),((BC4*BC$51)/(BC$52)),"0")))))</f>
        <v>0</v>
      </c>
      <c r="BD57" s="20" t="str">
        <f>IF(BD4=0,"0",IF(AND(Results!$E$5="Protein",$C$53&gt;0,OR(Results!$E$4="Tissue",Results!$E$4="Cells")),((BD4*BD$51)/(BD$53)),IF(AND(Results!$E$5="Weight",$C$52&gt;0, Results!$E$4="Tissue",OR($B$52="g",$B$52="mg")),((BD4*BD$51)/(BD$52)),IF(AND(Results!$E$5="Volume",$C$54&gt;0,Results!$E$4="Fluid"),((BD4*BD$51)/(BD$54)),IF(AND(Results!$E$4="Cells",Results!$E$5="Million",$B$52="million"),((BD4*BD$51)/(BD$52)),"0")))))</f>
        <v>0</v>
      </c>
      <c r="BE57" s="20" t="str">
        <f>IF(BE4=0,"0",IF(AND(Results!$E$5="Protein",$C$53&gt;0,OR(Results!$E$4="Tissue",Results!$E$4="Cells")),((BE4*BE$51)/(BE$53)),IF(AND(Results!$E$5="Weight",$C$52&gt;0, Results!$E$4="Tissue",OR($B$52="g",$B$52="mg")),((BE4*BE$51)/(BE$52)),IF(AND(Results!$E$5="Volume",$C$54&gt;0,Results!$E$4="Fluid"),((BE4*BE$51)/(BE$54)),IF(AND(Results!$E$4="Cells",Results!$E$5="Million",$B$52="million"),((BE4*BE$51)/(BE$52)),"0")))))</f>
        <v>0</v>
      </c>
      <c r="BF57" s="20" t="str">
        <f>IF(BF4=0,"0",IF(AND(Results!$E$5="Protein",$C$53&gt;0,OR(Results!$E$4="Tissue",Results!$E$4="Cells")),((BF4*BF$51)/(BF$53)),IF(AND(Results!$E$5="Weight",$C$52&gt;0, Results!$E$4="Tissue",OR($B$52="g",$B$52="mg")),((BF4*BF$51)/(BF$52)),IF(AND(Results!$E$5="Volume",$C$54&gt;0,Results!$E$4="Fluid"),((BF4*BF$51)/(BF$54)),IF(AND(Results!$E$4="Cells",Results!$E$5="Million",$B$52="million"),((BF4*BF$51)/(BF$52)),"0")))))</f>
        <v>0</v>
      </c>
      <c r="BG57" s="20" t="str">
        <f>IF(BG4=0,"0",IF(AND(Results!$E$5="Protein",$C$53&gt;0,OR(Results!$E$4="Tissue",Results!$E$4="Cells")),((BG4*BG$51)/(BG$53)),IF(AND(Results!$E$5="Weight",$C$52&gt;0, Results!$E$4="Tissue",OR($B$52="g",$B$52="mg")),((BG4*BG$51)/(BG$52)),IF(AND(Results!$E$5="Volume",$C$54&gt;0,Results!$E$4="Fluid"),((BG4*BG$51)/(BG$54)),IF(AND(Results!$E$4="Cells",Results!$E$5="Million",$B$52="million"),((BG4*BG$51)/(BG$52)),"0")))))</f>
        <v>0</v>
      </c>
      <c r="BH57" s="20" t="str">
        <f>IF(BH4=0,"0",IF(AND(Results!$E$5="Protein",$C$53&gt;0,OR(Results!$E$4="Tissue",Results!$E$4="Cells")),((BH4*BH$51)/(BH$53)),IF(AND(Results!$E$5="Weight",$C$52&gt;0, Results!$E$4="Tissue",OR($B$52="g",$B$52="mg")),((BH4*BH$51)/(BH$52)),IF(AND(Results!$E$5="Volume",$C$54&gt;0,Results!$E$4="Fluid"),((BH4*BH$51)/(BH$54)),IF(AND(Results!$E$4="Cells",Results!$E$5="Million",$B$52="million"),((BH4*BH$51)/(BH$52)),"0")))))</f>
        <v>0</v>
      </c>
      <c r="BI57" s="20" t="str">
        <f>IF(BI4=0,"0",IF(AND(Results!$E$5="Protein",$C$53&gt;0,OR(Results!$E$4="Tissue",Results!$E$4="Cells")),((BI4*BI$51)/(BI$53)),IF(AND(Results!$E$5="Weight",$C$52&gt;0, Results!$E$4="Tissue",OR($B$52="g",$B$52="mg")),((BI4*BI$51)/(BI$52)),IF(AND(Results!$E$5="Volume",$C$54&gt;0,Results!$E$4="Fluid"),((BI4*BI$51)/(BI$54)),IF(AND(Results!$E$4="Cells",Results!$E$5="Million",$B$52="million"),((BI4*BI$51)/(BI$52)),"0")))))</f>
        <v>0</v>
      </c>
      <c r="BJ57" s="20" t="str">
        <f>IF(BJ4=0,"0",IF(AND(Results!$E$5="Protein",$C$53&gt;0,OR(Results!$E$4="Tissue",Results!$E$4="Cells")),((BJ4*BJ$51)/(BJ$53)),IF(AND(Results!$E$5="Weight",$C$52&gt;0, Results!$E$4="Tissue",OR($B$52="g",$B$52="mg")),((BJ4*BJ$51)/(BJ$52)),IF(AND(Results!$E$5="Volume",$C$54&gt;0,Results!$E$4="Fluid"),((BJ4*BJ$51)/(BJ$54)),IF(AND(Results!$E$4="Cells",Results!$E$5="Million",$B$52="million"),((BJ4*BJ$51)/(BJ$52)),"0")))))</f>
        <v>0</v>
      </c>
      <c r="BK57" s="20" t="str">
        <f>IF(BK4=0,"0",IF(AND(Results!$E$5="Protein",$C$53&gt;0,OR(Results!$E$4="Tissue",Results!$E$4="Cells")),((BK4*BK$51)/(BK$53)),IF(AND(Results!$E$5="Weight",$C$52&gt;0, Results!$E$4="Tissue",OR($B$52="g",$B$52="mg")),((BK4*BK$51)/(BK$52)),IF(AND(Results!$E$5="Volume",$C$54&gt;0,Results!$E$4="Fluid"),((BK4*BK$51)/(BK$54)),IF(AND(Results!$E$4="Cells",Results!$E$5="Million",$B$52="million"),((BK4*BK$51)/(BK$52)),"0")))))</f>
        <v>0</v>
      </c>
      <c r="BL57" s="20" t="str">
        <f>IF(BL4=0,"0",IF(AND(Results!$E$5="Protein",$C$53&gt;0,OR(Results!$E$4="Tissue",Results!$E$4="Cells")),((BL4*BL$51)/(BL$53)),IF(AND(Results!$E$5="Weight",$C$52&gt;0, Results!$E$4="Tissue",OR($B$52="g",$B$52="mg")),((BL4*BL$51)/(BL$52)),IF(AND(Results!$E$5="Volume",$C$54&gt;0,Results!$E$4="Fluid"),((BL4*BL$51)/(BL$54)),IF(AND(Results!$E$4="Cells",Results!$E$5="Million",$B$52="million"),((BL4*BL$51)/(BL$52)),"0")))))</f>
        <v>0</v>
      </c>
      <c r="BM57" s="20" t="str">
        <f>IF(BM4=0,"0",IF(AND(Results!$E$5="Protein",$C$53&gt;0,OR(Results!$E$4="Tissue",Results!$E$4="Cells")),((BM4*BM$51)/(BM$53)),IF(AND(Results!$E$5="Weight",$C$52&gt;0, Results!$E$4="Tissue",OR($B$52="g",$B$52="mg")),((BM4*BM$51)/(BM$52)),IF(AND(Results!$E$5="Volume",$C$54&gt;0,Results!$E$4="Fluid"),((BM4*BM$51)/(BM$54)),IF(AND(Results!$E$4="Cells",Results!$E$5="Million",$B$52="million"),((BM4*BM$51)/(BM$52)),"0")))))</f>
        <v>0</v>
      </c>
      <c r="BN57" s="20" t="str">
        <f>IF(BN4=0,"0",IF(AND(Results!$E$5="Protein",$C$53&gt;0,OR(Results!$E$4="Tissue",Results!$E$4="Cells")),((BN4*BN$51)/(BN$53)),IF(AND(Results!$E$5="Weight",$C$52&gt;0, Results!$E$4="Tissue",OR($B$52="g",$B$52="mg")),((BN4*BN$51)/(BN$52)),IF(AND(Results!$E$5="Volume",$C$54&gt;0,Results!$E$4="Fluid"),((BN4*BN$51)/(BN$54)),IF(AND(Results!$E$4="Cells",Results!$E$5="Million",$B$52="million"),((BN4*BN$51)/(BN$52)),"0")))))</f>
        <v>0</v>
      </c>
      <c r="BO57" s="20" t="str">
        <f>IF(BO4=0,"0",IF(AND(Results!$E$5="Protein",$C$53&gt;0,OR(Results!$E$4="Tissue",Results!$E$4="Cells")),((BO4*BO$51)/(BO$53)),IF(AND(Results!$E$5="Weight",$C$52&gt;0, Results!$E$4="Tissue",OR($B$52="g",$B$52="mg")),((BO4*BO$51)/(BO$52)),IF(AND(Results!$E$5="Volume",$C$54&gt;0,Results!$E$4="Fluid"),((BO4*BO$51)/(BO$54)),IF(AND(Results!$E$4="Cells",Results!$E$5="Million",$B$52="million"),((BO4*BO$51)/(BO$52)),"0")))))</f>
        <v>0</v>
      </c>
      <c r="BP57" s="20" t="str">
        <f>IF(BP4=0,"0",IF(AND(Results!$E$5="Protein",$C$53&gt;0,OR(Results!$E$4="Tissue",Results!$E$4="Cells")),((BP4*BP$51)/(BP$53)),IF(AND(Results!$E$5="Weight",$C$52&gt;0, Results!$E$4="Tissue",OR($B$52="g",$B$52="mg")),((BP4*BP$51)/(BP$52)),IF(AND(Results!$E$5="Volume",$C$54&gt;0,Results!$E$4="Fluid"),((BP4*BP$51)/(BP$54)),IF(AND(Results!$E$4="Cells",Results!$E$5="Million",$B$52="million"),((BP4*BP$51)/(BP$52)),"0")))))</f>
        <v>0</v>
      </c>
      <c r="BQ57" s="20" t="str">
        <f>IF(BQ4=0,"0",IF(AND(Results!$E$5="Protein",$C$53&gt;0,OR(Results!$E$4="Tissue",Results!$E$4="Cells")),((BQ4*BQ$51)/(BQ$53)),IF(AND(Results!$E$5="Weight",$C$52&gt;0, Results!$E$4="Tissue",OR($B$52="g",$B$52="mg")),((BQ4*BQ$51)/(BQ$52)),IF(AND(Results!$E$5="Volume",$C$54&gt;0,Results!$E$4="Fluid"),((BQ4*BQ$51)/(BQ$54)),IF(AND(Results!$E$4="Cells",Results!$E$5="Million",$B$52="million"),((BQ4*BQ$51)/(BQ$52)),"0")))))</f>
        <v>0</v>
      </c>
      <c r="BR57" s="20" t="str">
        <f>IF(BR4=0,"0",IF(AND(Results!$E$5="Protein",$C$53&gt;0,OR(Results!$E$4="Tissue",Results!$E$4="Cells")),((BR4*BR$51)/(BR$53)),IF(AND(Results!$E$5="Weight",$C$52&gt;0, Results!$E$4="Tissue",OR($B$52="g",$B$52="mg")),((BR4*BR$51)/(BR$52)),IF(AND(Results!$E$5="Volume",$C$54&gt;0,Results!$E$4="Fluid"),((BR4*BR$51)/(BR$54)),IF(AND(Results!$E$4="Cells",Results!$E$5="Million",$B$52="million"),((BR4*BR$51)/(BR$52)),"0")))))</f>
        <v>0</v>
      </c>
      <c r="BS57" s="20" t="str">
        <f>IF(BS4=0,"0",IF(AND(Results!$E$5="Protein",$C$53&gt;0,OR(Results!$E$4="Tissue",Results!$E$4="Cells")),((BS4*BS$51)/(BS$53)),IF(AND(Results!$E$5="Weight",$C$52&gt;0, Results!$E$4="Tissue",OR($B$52="g",$B$52="mg")),((BS4*BS$51)/(BS$52)),IF(AND(Results!$E$5="Volume",$C$54&gt;0,Results!$E$4="Fluid"),((BS4*BS$51)/(BS$54)),IF(AND(Results!$E$4="Cells",Results!$E$5="Million",$B$52="million"),((BS4*BS$51)/(BS$52)),"0")))))</f>
        <v>0</v>
      </c>
      <c r="BT57" s="20" t="str">
        <f>IF(BT4=0,"0",IF(AND(Results!$E$5="Protein",$C$53&gt;0,OR(Results!$E$4="Tissue",Results!$E$4="Cells")),((BT4*BT$51)/(BT$53)),IF(AND(Results!$E$5="Weight",$C$52&gt;0, Results!$E$4="Tissue",OR($B$52="g",$B$52="mg")),((BT4*BT$51)/(BT$52)),IF(AND(Results!$E$5="Volume",$C$54&gt;0,Results!$E$4="Fluid"),((BT4*BT$51)/(BT$54)),IF(AND(Results!$E$4="Cells",Results!$E$5="Million",$B$52="million"),((BT4*BT$51)/(BT$52)),"0")))))</f>
        <v>0</v>
      </c>
      <c r="BU57" s="20" t="str">
        <f>IF(BU4=0,"0",IF(AND(Results!$E$5="Protein",$C$53&gt;0,OR(Results!$E$4="Tissue",Results!$E$4="Cells")),((BU4*BU$51)/(BU$53)),IF(AND(Results!$E$5="Weight",$C$52&gt;0, Results!$E$4="Tissue",OR($B$52="g",$B$52="mg")),((BU4*BU$51)/(BU$52)),IF(AND(Results!$E$5="Volume",$C$54&gt;0,Results!$E$4="Fluid"),((BU4*BU$51)/(BU$54)),IF(AND(Results!$E$4="Cells",Results!$E$5="Million",$B$52="million"),((BU4*BU$51)/(BU$52)),"0")))))</f>
        <v>0</v>
      </c>
      <c r="BV57" s="20" t="str">
        <f>IF(BV4=0,"0",IF(AND(Results!$E$5="Protein",$C$53&gt;0,OR(Results!$E$4="Tissue",Results!$E$4="Cells")),((BV4*BV$51)/(BV$53)),IF(AND(Results!$E$5="Weight",$C$52&gt;0, Results!$E$4="Tissue",OR($B$52="g",$B$52="mg")),((BV4*BV$51)/(BV$52)),IF(AND(Results!$E$5="Volume",$C$54&gt;0,Results!$E$4="Fluid"),((BV4*BV$51)/(BV$54)),IF(AND(Results!$E$4="Cells",Results!$E$5="Million",$B$52="million"),((BV4*BV$51)/(BV$52)),"0")))))</f>
        <v>0</v>
      </c>
      <c r="BW57" s="20" t="str">
        <f>IF(BW4=0,"0",IF(AND(Results!$E$5="Protein",$C$53&gt;0,OR(Results!$E$4="Tissue",Results!$E$4="Cells")),((BW4*BW$51)/(BW$53)),IF(AND(Results!$E$5="Weight",$C$52&gt;0, Results!$E$4="Tissue",OR($B$52="g",$B$52="mg")),((BW4*BW$51)/(BW$52)),IF(AND(Results!$E$5="Volume",$C$54&gt;0,Results!$E$4="Fluid"),((BW4*BW$51)/(BW$54)),IF(AND(Results!$E$4="Cells",Results!$E$5="Million",$B$52="million"),((BW4*BW$51)/(BW$52)),"0")))))</f>
        <v>0</v>
      </c>
      <c r="BX57" s="20" t="str">
        <f>IF(BX4=0,"0",IF(AND(Results!$E$5="Protein",$C$53&gt;0,OR(Results!$E$4="Tissue",Results!$E$4="Cells")),((BX4*BX$51)/(BX$53)),IF(AND(Results!$E$5="Weight",$C$52&gt;0, Results!$E$4="Tissue",OR($B$52="g",$B$52="mg")),((BX4*BX$51)/(BX$52)),IF(AND(Results!$E$5="Volume",$C$54&gt;0,Results!$E$4="Fluid"),((BX4*BX$51)/(BX$54)),IF(AND(Results!$E$4="Cells",Results!$E$5="Million",$B$52="million"),((BX4*BX$51)/(BX$52)),"0")))))</f>
        <v>0</v>
      </c>
      <c r="BY57" s="20" t="str">
        <f>IF(BY4=0,"0",IF(AND(Results!$E$5="Protein",$C$53&gt;0,OR(Results!$E$4="Tissue",Results!$E$4="Cells")),((BY4*BY$51)/(BY$53)),IF(AND(Results!$E$5="Weight",$C$52&gt;0, Results!$E$4="Tissue",OR($B$52="g",$B$52="mg")),((BY4*BY$51)/(BY$52)),IF(AND(Results!$E$5="Volume",$C$54&gt;0,Results!$E$4="Fluid"),((BY4*BY$51)/(BY$54)),IF(AND(Results!$E$4="Cells",Results!$E$5="Million",$B$52="million"),((BY4*BY$51)/(BY$52)),"0")))))</f>
        <v>0</v>
      </c>
      <c r="BZ57" s="20" t="str">
        <f>IF(BZ4=0,"0",IF(AND(Results!$E$5="Protein",$C$53&gt;0,OR(Results!$E$4="Tissue",Results!$E$4="Cells")),((BZ4*BZ$51)/(BZ$53)),IF(AND(Results!$E$5="Weight",$C$52&gt;0, Results!$E$4="Tissue",OR($B$52="g",$B$52="mg")),((BZ4*BZ$51)/(BZ$52)),IF(AND(Results!$E$5="Volume",$C$54&gt;0,Results!$E$4="Fluid"),((BZ4*BZ$51)/(BZ$54)),IF(AND(Results!$E$4="Cells",Results!$E$5="Million",$B$52="million"),((BZ4*BZ$51)/(BZ$52)),"0")))))</f>
        <v>0</v>
      </c>
      <c r="CA57" s="20" t="str">
        <f>IF(CA4=0,"0",IF(AND(Results!$E$5="Protein",$C$53&gt;0,OR(Results!$E$4="Tissue",Results!$E$4="Cells")),((CA4*CA$51)/(CA$53)),IF(AND(Results!$E$5="Weight",$C$52&gt;0, Results!$E$4="Tissue",OR($B$52="g",$B$52="mg")),((CA4*CA$51)/(CA$52)),IF(AND(Results!$E$5="Volume",$C$54&gt;0,Results!$E$4="Fluid"),((CA4*CA$51)/(CA$54)),IF(AND(Results!$E$4="Cells",Results!$E$5="Million",$B$52="million"),((CA4*CA$51)/(CA$52)),"0")))))</f>
        <v>0</v>
      </c>
      <c r="CB57" s="20" t="str">
        <f>IF(CB4=0,"0",IF(AND(Results!$E$5="Protein",$C$53&gt;0,OR(Results!$E$4="Tissue",Results!$E$4="Cells")),((CB4*CB$51)/(CB$53)),IF(AND(Results!$E$5="Weight",$C$52&gt;0, Results!$E$4="Tissue",OR($B$52="g",$B$52="mg")),((CB4*CB$51)/(CB$52)),IF(AND(Results!$E$5="Volume",$C$54&gt;0,Results!$E$4="Fluid"),((CB4*CB$51)/(CB$54)),IF(AND(Results!$E$4="Cells",Results!$E$5="Million",$B$52="million"),((CB4*CB$51)/(CB$52)),"0")))))</f>
        <v>0</v>
      </c>
      <c r="CC57" s="20" t="str">
        <f>IF(CC4=0,"0",IF(AND(Results!$E$5="Protein",$C$53&gt;0,OR(Results!$E$4="Tissue",Results!$E$4="Cells")),((CC4*CC$51)/(CC$53)),IF(AND(Results!$E$5="Weight",$C$52&gt;0, Results!$E$4="Tissue",OR($B$52="g",$B$52="mg")),((CC4*CC$51)/(CC$52)),IF(AND(Results!$E$5="Volume",$C$54&gt;0,Results!$E$4="Fluid"),((CC4*CC$51)/(CC$54)),IF(AND(Results!$E$4="Cells",Results!$E$5="Million",$B$52="million"),((CC4*CC$51)/(CC$52)),"0")))))</f>
        <v>0</v>
      </c>
      <c r="CD57" s="20" t="str">
        <f>IF(CD4=0,"0",IF(AND(Results!$E$5="Protein",$C$53&gt;0,OR(Results!$E$4="Tissue",Results!$E$4="Cells")),((CD4*CD$51)/(CD$53)),IF(AND(Results!$E$5="Weight",$C$52&gt;0, Results!$E$4="Tissue",OR($B$52="g",$B$52="mg")),((CD4*CD$51)/(CD$52)),IF(AND(Results!$E$5="Volume",$C$54&gt;0,Results!$E$4="Fluid"),((CD4*CD$51)/(CD$54)),IF(AND(Results!$E$4="Cells",Results!$E$5="Million",$B$52="million"),((CD4*CD$51)/(CD$52)),"0")))))</f>
        <v>0</v>
      </c>
      <c r="CE57" s="20" t="str">
        <f>IF(CE4=0,"0",IF(AND(Results!$E$5="Protein",$C$53&gt;0,OR(Results!$E$4="Tissue",Results!$E$4="Cells")),((CE4*CE$51)/(CE$53)),IF(AND(Results!$E$5="Weight",$C$52&gt;0, Results!$E$4="Tissue",OR($B$52="g",$B$52="mg")),((CE4*CE$51)/(CE$52)),IF(AND(Results!$E$5="Volume",$C$54&gt;0,Results!$E$4="Fluid"),((CE4*CE$51)/(CE$54)),IF(AND(Results!$E$4="Cells",Results!$E$5="Million",$B$52="million"),((CE4*CE$51)/(CE$52)),"0")))))</f>
        <v>0</v>
      </c>
      <c r="CF57" s="20" t="str">
        <f>IF(CF4=0,"0",IF(AND(Results!$E$5="Protein",$C$53&gt;0,OR(Results!$E$4="Tissue",Results!$E$4="Cells")),((CF4*CF$51)/(CF$53)),IF(AND(Results!$E$5="Weight",$C$52&gt;0, Results!$E$4="Tissue",OR($B$52="g",$B$52="mg")),((CF4*CF$51)/(CF$52)),IF(AND(Results!$E$5="Volume",$C$54&gt;0,Results!$E$4="Fluid"),((CF4*CF$51)/(CF$54)),IF(AND(Results!$E$4="Cells",Results!$E$5="Million",$B$52="million"),((CF4*CF$51)/(CF$52)),"0")))))</f>
        <v>0</v>
      </c>
      <c r="CG57" s="20" t="str">
        <f>IF(CG4=0,"0",IF(AND(Results!$E$5="Protein",$C$53&gt;0,OR(Results!$E$4="Tissue",Results!$E$4="Cells")),((CG4*CG$51)/(CG$53)),IF(AND(Results!$E$5="Weight",$C$52&gt;0, Results!$E$4="Tissue",OR($B$52="g",$B$52="mg")),((CG4*CG$51)/(CG$52)),IF(AND(Results!$E$5="Volume",$C$54&gt;0,Results!$E$4="Fluid"),((CG4*CG$51)/(CG$54)),IF(AND(Results!$E$4="Cells",Results!$E$5="Million",$B$52="million"),((CG4*CG$51)/(CG$52)),"0")))))</f>
        <v>0</v>
      </c>
      <c r="CH57" s="20" t="str">
        <f>IF(CH4=0,"0",IF(AND(Results!$E$5="Protein",$C$53&gt;0,OR(Results!$E$4="Tissue",Results!$E$4="Cells")),((CH4*CH$51)/(CH$53)),IF(AND(Results!$E$5="Weight",$C$52&gt;0, Results!$E$4="Tissue",OR($B$52="g",$B$52="mg")),((CH4*CH$51)/(CH$52)),IF(AND(Results!$E$5="Volume",$C$54&gt;0,Results!$E$4="Fluid"),((CH4*CH$51)/(CH$54)),IF(AND(Results!$E$4="Cells",Results!$E$5="Million",$B$52="million"),((CH4*CH$51)/(CH$52)),"0")))))</f>
        <v>0</v>
      </c>
      <c r="CI57" s="20" t="str">
        <f>IF(CI4=0,"0",IF(AND(Results!$E$5="Protein",$C$53&gt;0,OR(Results!$E$4="Tissue",Results!$E$4="Cells")),((CI4*CI$51)/(CI$53)),IF(AND(Results!$E$5="Weight",$C$52&gt;0, Results!$E$4="Tissue",OR($B$52="g",$B$52="mg")),((CI4*CI$51)/(CI$52)),IF(AND(Results!$E$5="Volume",$C$54&gt;0,Results!$E$4="Fluid"),((CI4*CI$51)/(CI$54)),IF(AND(Results!$E$4="Cells",Results!$E$5="Million",$B$52="million"),((CI4*CI$51)/(CI$52)),"0")))))</f>
        <v>0</v>
      </c>
      <c r="CJ57" s="20" t="str">
        <f>IF(CJ4=0,"0",IF(AND(Results!$E$5="Protein",$C$53&gt;0,OR(Results!$E$4="Tissue",Results!$E$4="Cells")),((CJ4*CJ$51)/(CJ$53)),IF(AND(Results!$E$5="Weight",$C$52&gt;0, Results!$E$4="Tissue",OR($B$52="g",$B$52="mg")),((CJ4*CJ$51)/(CJ$52)),IF(AND(Results!$E$5="Volume",$C$54&gt;0,Results!$E$4="Fluid"),((CJ4*CJ$51)/(CJ$54)),IF(AND(Results!$E$4="Cells",Results!$E$5="Million",$B$52="million"),((CJ4*CJ$51)/(CJ$52)),"0")))))</f>
        <v>0</v>
      </c>
      <c r="CK57" s="20" t="str">
        <f>IF(CK4=0,"0",IF(AND(Results!$E$5="Protein",$C$53&gt;0,OR(Results!$E$4="Tissue",Results!$E$4="Cells")),((CK4*CK$51)/(CK$53)),IF(AND(Results!$E$5="Weight",$C$52&gt;0, Results!$E$4="Tissue",OR($B$52="g",$B$52="mg")),((CK4*CK$51)/(CK$52)),IF(AND(Results!$E$5="Volume",$C$54&gt;0,Results!$E$4="Fluid"),((CK4*CK$51)/(CK$54)),IF(AND(Results!$E$4="Cells",Results!$E$5="Million",$B$52="million"),((CK4*CK$51)/(CK$52)),"0")))))</f>
        <v>0</v>
      </c>
      <c r="CL57" s="20" t="str">
        <f>IF(CL4=0,"0",IF(AND(Results!$E$5="Protein",$C$53&gt;0,OR(Results!$E$4="Tissue",Results!$E$4="Cells")),((CL4*CL$51)/(CL$53)),IF(AND(Results!$E$5="Weight",$C$52&gt;0, Results!$E$4="Tissue",OR($B$52="g",$B$52="mg")),((CL4*CL$51)/(CL$52)),IF(AND(Results!$E$5="Volume",$C$54&gt;0,Results!$E$4="Fluid"),((CL4*CL$51)/(CL$54)),IF(AND(Results!$E$4="Cells",Results!$E$5="Million",$B$52="million"),((CL4*CL$51)/(CL$52)),"0")))))</f>
        <v>0</v>
      </c>
      <c r="CM57" s="20" t="str">
        <f>IF(CM4=0,"0",IF(AND(Results!$E$5="Protein",$C$53&gt;0,OR(Results!$E$4="Tissue",Results!$E$4="Cells")),((CM4*CM$51)/(CM$53)),IF(AND(Results!$E$5="Weight",$C$52&gt;0, Results!$E$4="Tissue",OR($B$52="g",$B$52="mg")),((CM4*CM$51)/(CM$52)),IF(AND(Results!$E$5="Volume",$C$54&gt;0,Results!$E$4="Fluid"),((CM4*CM$51)/(CM$54)),IF(AND(Results!$E$4="Cells",Results!$E$5="Million",$B$52="million"),((CM4*CM$51)/(CM$52)),"0")))))</f>
        <v>0</v>
      </c>
      <c r="CN57" s="20" t="str">
        <f>IF(CN4=0,"0",IF(AND(Results!$E$5="Protein",$C$53&gt;0,OR(Results!$E$4="Tissue",Results!$E$4="Cells")),((CN4*CN$51)/(CN$53)),IF(AND(Results!$E$5="Weight",$C$52&gt;0, Results!$E$4="Tissue",OR($B$52="g",$B$52="mg")),((CN4*CN$51)/(CN$52)),IF(AND(Results!$E$5="Volume",$C$54&gt;0,Results!$E$4="Fluid"),((CN4*CN$51)/(CN$54)),IF(AND(Results!$E$4="Cells",Results!$E$5="Million",$B$52="million"),((CN4*CN$51)/(CN$52)),"0")))))</f>
        <v>0</v>
      </c>
      <c r="CO57" s="20" t="str">
        <f>IF(CO4=0,"0",IF(AND(Results!$E$5="Protein",$C$53&gt;0,OR(Results!$E$4="Tissue",Results!$E$4="Cells")),((CO4*CO$51)/(CO$53)),IF(AND(Results!$E$5="Weight",$C$52&gt;0, Results!$E$4="Tissue",OR($B$52="g",$B$52="mg")),((CO4*CO$51)/(CO$52)),IF(AND(Results!$E$5="Volume",$C$54&gt;0,Results!$E$4="Fluid"),((CO4*CO$51)/(CO$54)),IF(AND(Results!$E$4="Cells",Results!$E$5="Million",$B$52="million"),((CO4*CO$51)/(CO$52)),"0")))))</f>
        <v>0</v>
      </c>
      <c r="CP57" s="20" t="str">
        <f>IF(CP4=0,"0",IF(AND(Results!$E$5="Protein",$C$53&gt;0,OR(Results!$E$4="Tissue",Results!$E$4="Cells")),((CP4*CP$51)/(CP$53)),IF(AND(Results!$E$5="Weight",$C$52&gt;0, Results!$E$4="Tissue",OR($B$52="g",$B$52="mg")),((CP4*CP$51)/(CP$52)),IF(AND(Results!$E$5="Volume",$C$54&gt;0,Results!$E$4="Fluid"),((CP4*CP$51)/(CP$54)),IF(AND(Results!$E$4="Cells",Results!$E$5="Million",$B$52="million"),((CP4*CP$51)/(CP$52)),"0")))))</f>
        <v>0</v>
      </c>
      <c r="CQ57" s="20" t="str">
        <f>IF(CQ4=0,"0",IF(AND(Results!$E$5="Protein",$C$53&gt;0,OR(Results!$E$4="Tissue",Results!$E$4="Cells")),((CQ4*CQ$51)/(CQ$53)),IF(AND(Results!$E$5="Weight",$C$52&gt;0, Results!$E$4="Tissue",OR($B$52="g",$B$52="mg")),((CQ4*CQ$51)/(CQ$52)),IF(AND(Results!$E$5="Volume",$C$54&gt;0,Results!$E$4="Fluid"),((CQ4*CQ$51)/(CQ$54)),IF(AND(Results!$E$4="Cells",Results!$E$5="Million",$B$52="million"),((CQ4*CQ$51)/(CQ$52)),"0")))))</f>
        <v>0</v>
      </c>
      <c r="CR57" s="20" t="str">
        <f>IF(CR4=0,"0",IF(AND(Results!$E$5="Protein",$C$53&gt;0,OR(Results!$E$4="Tissue",Results!$E$4="Cells")),((CR4*CR$51)/(CR$53)),IF(AND(Results!$E$5="Weight",$C$52&gt;0, Results!$E$4="Tissue",OR($B$52="g",$B$52="mg")),((CR4*CR$51)/(CR$52)),IF(AND(Results!$E$5="Volume",$C$54&gt;0,Results!$E$4="Fluid"),((CR4*CR$51)/(CR$54)),IF(AND(Results!$E$4="Cells",Results!$E$5="Million",$B$52="million"),((CR4*CR$51)/(CR$52)),"0")))))</f>
        <v>0</v>
      </c>
      <c r="CS57" s="20" t="str">
        <f>IF(CS4=0,"0",IF(AND(Results!$E$5="Protein",$C$53&gt;0,OR(Results!$E$4="Tissue",Results!$E$4="Cells")),((CS4*CS$51)/(CS$53)),IF(AND(Results!$E$5="Weight",$C$52&gt;0, Results!$E$4="Tissue",OR($B$52="g",$B$52="mg")),((CS4*CS$51)/(CS$52)),IF(AND(Results!$E$5="Volume",$C$54&gt;0,Results!$E$4="Fluid"),((CS4*CS$51)/(CS$54)),IF(AND(Results!$E$4="Cells",Results!$E$5="Million",$B$52="million"),((CS4*CS$51)/(CS$52)),"0")))))</f>
        <v>0</v>
      </c>
      <c r="CT57" s="20" t="str">
        <f>IF(CT4=0,"0",IF(AND(Results!$E$5="Protein",$C$53&gt;0,OR(Results!$E$4="Tissue",Results!$E$4="Cells")),((CT4*CT$51)/(CT$53)),IF(AND(Results!$E$5="Weight",$C$52&gt;0, Results!$E$4="Tissue",OR($B$52="g",$B$52="mg")),((CT4*CT$51)/(CT$52)),IF(AND(Results!$E$5="Volume",$C$54&gt;0,Results!$E$4="Fluid"),((CT4*CT$51)/(CT$54)),IF(AND(Results!$E$4="Cells",Results!$E$5="Million",$B$52="million"),((CT4*CT$51)/(CT$52)),"0")))))</f>
        <v>0</v>
      </c>
      <c r="CU57" s="20" t="str">
        <f>IF(CU4=0,"0",IF(AND(Results!$E$5="Protein",$C$53&gt;0,OR(Results!$E$4="Tissue",Results!$E$4="Cells")),((CU4*CU$51)/(CU$53)),IF(AND(Results!$E$5="Weight",$C$52&gt;0, Results!$E$4="Tissue",OR($B$52="g",$B$52="mg")),((CU4*CU$51)/(CU$52)),IF(AND(Results!$E$5="Volume",$C$54&gt;0,Results!$E$4="Fluid"),((CU4*CU$51)/(CU$54)),IF(AND(Results!$E$4="Cells",Results!$E$5="Million",$B$52="million"),((CU4*CU$51)/(CU$52)),"0")))))</f>
        <v>0</v>
      </c>
      <c r="CV57" s="20" t="str">
        <f>IF(CV4=0,"0",IF(AND(Results!$E$5="Protein",$C$53&gt;0,OR(Results!$E$4="Tissue",Results!$E$4="Cells")),((CV4*CV$51)/(CV$53)),IF(AND(Results!$E$5="Weight",$C$52&gt;0, Results!$E$4="Tissue",OR($B$52="g",$B$52="mg")),((CV4*CV$51)/(CV$52)),IF(AND(Results!$E$5="Volume",$C$54&gt;0,Results!$E$4="Fluid"),((CV4*CV$51)/(CV$54)),IF(AND(Results!$E$4="Cells",Results!$E$5="Million",$B$52="million"),((CV4*CV$51)/(CV$52)),"0")))))</f>
        <v>0</v>
      </c>
      <c r="CW57" s="20" t="str">
        <f>IF(CW4=0,"0",IF(AND(Results!$E$5="Protein",$C$53&gt;0,OR(Results!$E$4="Tissue",Results!$E$4="Cells")),((CW4*CW$51)/(CW$53)),IF(AND(Results!$E$5="Weight",$C$52&gt;0, Results!$E$4="Tissue",OR($B$52="g",$B$52="mg")),((CW4*CW$51)/(CW$52)),IF(AND(Results!$E$5="Volume",$C$54&gt;0,Results!$E$4="Fluid"),((CW4*CW$51)/(CW$54)),IF(AND(Results!$E$4="Cells",Results!$E$5="Million",$B$52="million"),((CW4*CW$51)/(CW$52)),"0")))))</f>
        <v>0</v>
      </c>
      <c r="CX57" s="20" t="str">
        <f>IF(CX4=0,"0",IF(AND(Results!$E$5="Protein",$C$53&gt;0,OR(Results!$E$4="Tissue",Results!$E$4="Cells")),((CX4*CX$51)/(CX$53)),IF(AND(Results!$E$5="Weight",$C$52&gt;0, Results!$E$4="Tissue",OR($B$52="g",$B$52="mg")),((CX4*CX$51)/(CX$52)),IF(AND(Results!$E$5="Volume",$C$54&gt;0,Results!$E$4="Fluid"),((CX4*CX$51)/(CX$54)),IF(AND(Results!$E$4="Cells",Results!$E$5="Million",$B$52="million"),((CX4*CX$51)/(CX$52)),"0")))))</f>
        <v>0</v>
      </c>
      <c r="CY57" s="20" t="str">
        <f>IF(CY4=0,"0",IF(AND(Results!$E$5="Protein",$C$53&gt;0,OR(Results!$E$4="Tissue",Results!$E$4="Cells")),((CY4*CY$51)/(CY$53)),IF(AND(Results!$E$5="Weight",$C$52&gt;0, Results!$E$4="Tissue",OR($B$52="g",$B$52="mg")),((CY4*CY$51)/(CY$52)),IF(AND(Results!$E$5="Volume",$C$54&gt;0,Results!$E$4="Fluid"),((CY4*CY$51)/(CY$54)),IF(AND(Results!$E$4="Cells",Results!$E$5="Million",$B$52="million"),((CY4*CY$51)/(CY$52)),"0")))))</f>
        <v>0</v>
      </c>
      <c r="CZ57" s="20" t="str">
        <f>IF(CZ4=0,"0",IF(AND(Results!$E$5="Protein",$C$53&gt;0,OR(Results!$E$4="Tissue",Results!$E$4="Cells")),((CZ4*CZ$51)/(CZ$53)),IF(AND(Results!$E$5="Weight",$C$52&gt;0, Results!$E$4="Tissue",OR($B$52="g",$B$52="mg")),((CZ4*CZ$51)/(CZ$52)),IF(AND(Results!$E$5="Volume",$C$54&gt;0,Results!$E$4="Fluid"),((CZ4*CZ$51)/(CZ$54)),IF(AND(Results!$E$4="Cells",Results!$E$5="Million",$B$52="million"),((CZ4*CZ$51)/(CZ$52)),"0")))))</f>
        <v>0</v>
      </c>
      <c r="DA57" s="20" t="str">
        <f>IF(DA4=0,"0",IF(AND(Results!$E$5="Protein",$C$53&gt;0,OR(Results!$E$4="Tissue",Results!$E$4="Cells")),((DA4*DA$51)/(DA$53)),IF(AND(Results!$E$5="Weight",$C$52&gt;0, Results!$E$4="Tissue",OR($B$52="g",$B$52="mg")),((DA4*DA$51)/(DA$52)),IF(AND(Results!$E$5="Volume",$C$54&gt;0,Results!$E$4="Fluid"),((DA4*DA$51)/(DA$54)),IF(AND(Results!$E$4="Cells",Results!$E$5="Million",$B$52="million"),((DA4*DA$51)/(DA$52)),"0")))))</f>
        <v>0</v>
      </c>
      <c r="DB57" s="20" t="str">
        <f>IF(DB4=0,"0",IF(AND(Results!$E$5="Protein",$C$53&gt;0,OR(Results!$E$4="Tissue",Results!$E$4="Cells")),((DB4*DB$51)/(DB$53)),IF(AND(Results!$E$5="Weight",$C$52&gt;0, Results!$E$4="Tissue",OR($B$52="g",$B$52="mg")),((DB4*DB$51)/(DB$52)),IF(AND(Results!$E$5="Volume",$C$54&gt;0,Results!$E$4="Fluid"),((DB4*DB$51)/(DB$54)),IF(AND(Results!$E$4="Cells",Results!$E$5="Million",$B$52="million"),((DB4*DB$51)/(DB$52)),"0")))))</f>
        <v>0</v>
      </c>
      <c r="DC57" s="20" t="str">
        <f>IF(DC4=0,"0",IF(AND(Results!$E$5="Protein",$C$53&gt;0,OR(Results!$E$4="Tissue",Results!$E$4="Cells")),((DC4*DC$51)/(DC$53)),IF(AND(Results!$E$5="Weight",$C$52&gt;0, Results!$E$4="Tissue",OR($B$52="g",$B$52="mg")),((DC4*DC$51)/(DC$52)),IF(AND(Results!$E$5="Volume",$C$54&gt;0,Results!$E$4="Fluid"),((DC4*DC$51)/(DC$54)),IF(AND(Results!$E$4="Cells",Results!$E$5="Million",$B$52="million"),((DC4*DC$51)/(DC$52)),"0")))))</f>
        <v>0</v>
      </c>
      <c r="DD57" s="20" t="str">
        <f>IF(DD4=0,"0",IF(AND(Results!$E$5="Protein",$C$53&gt;0,OR(Results!$E$4="Tissue",Results!$E$4="Cells")),((DD4*DD$51)/(DD$53)),IF(AND(Results!$E$5="Weight",$C$52&gt;0, Results!$E$4="Tissue",OR($B$52="g",$B$52="mg")),((DD4*DD$51)/(DD$52)),IF(AND(Results!$E$5="Volume",$C$54&gt;0,Results!$E$4="Fluid"),((DD4*DD$51)/(DD$54)),IF(AND(Results!$E$4="Cells",Results!$E$5="Million",$B$52="million"),((DD4*DD$51)/(DD$52)),"0")))))</f>
        <v>0</v>
      </c>
      <c r="DE57" s="20" t="str">
        <f>IF(DE4=0,"0",IF(AND(Results!$E$5="Protein",$C$53&gt;0,OR(Results!$E$4="Tissue",Results!$E$4="Cells")),((DE4*DE$51)/(DE$53)),IF(AND(Results!$E$5="Weight",$C$52&gt;0, Results!$E$4="Tissue",OR($B$52="g",$B$52="mg")),((DE4*DE$51)/(DE$52)),IF(AND(Results!$E$5="Volume",$C$54&gt;0,Results!$E$4="Fluid"),((DE4*DE$51)/(DE$54)),IF(AND(Results!$E$4="Cells",Results!$E$5="Million",$B$52="million"),((DE4*DE$51)/(DE$52)),"0")))))</f>
        <v>0</v>
      </c>
      <c r="DF57" s="20" t="str">
        <f>IF(DF4=0,"0",IF(AND(Results!$E$5="Protein",$C$53&gt;0,OR(Results!$E$4="Tissue",Results!$E$4="Cells")),((DF4*DF$51)/(DF$53)),IF(AND(Results!$E$5="Weight",$C$52&gt;0, Results!$E$4="Tissue",OR($B$52="g",$B$52="mg")),((DF4*DF$51)/(DF$52)),IF(AND(Results!$E$5="Volume",$C$54&gt;0,Results!$E$4="Fluid"),((DF4*DF$51)/(DF$54)),IF(AND(Results!$E$4="Cells",Results!$E$5="Million",$B$52="million"),((DF4*DF$51)/(DF$52)),"0")))))</f>
        <v>0</v>
      </c>
      <c r="DG57" s="20" t="str">
        <f>IF(DG4=0,"0",IF(AND(Results!$E$5="Protein",$C$53&gt;0,OR(Results!$E$4="Tissue",Results!$E$4="Cells")),((DG4*DG$51)/(DG$53)),IF(AND(Results!$E$5="Weight",$C$52&gt;0, Results!$E$4="Tissue",OR($B$52="g",$B$52="mg")),((DG4*DG$51)/(DG$52)),IF(AND(Results!$E$5="Volume",$C$54&gt;0,Results!$E$4="Fluid"),((DG4*DG$51)/(DG$54)),IF(AND(Results!$E$4="Cells",Results!$E$5="Million",$B$52="million"),((DG4*DG$51)/(DG$52)),"0")))))</f>
        <v>0</v>
      </c>
      <c r="DH57" s="20" t="str">
        <f>IF(DH4=0,"0",IF(AND(Results!$E$5="Protein",$C$53&gt;0,OR(Results!$E$4="Tissue",Results!$E$4="Cells")),((DH4*DH$51)/(DH$53)),IF(AND(Results!$E$5="Weight",$C$52&gt;0, Results!$E$4="Tissue",OR($B$52="g",$B$52="mg")),((DH4*DH$51)/(DH$52)),IF(AND(Results!$E$5="Volume",$C$54&gt;0,Results!$E$4="Fluid"),((DH4*DH$51)/(DH$54)),IF(AND(Results!$E$4="Cells",Results!$E$5="Million",$B$52="million"),((DH4*DH$51)/(DH$52)),"0")))))</f>
        <v>0</v>
      </c>
      <c r="DI57" s="20" t="str">
        <f>IF(DI4=0,"0",IF(AND(Results!$E$5="Protein",$C$53&gt;0,OR(Results!$E$4="Tissue",Results!$E$4="Cells")),((DI4*DI$51)/(DI$53)),IF(AND(Results!$E$5="Weight",$C$52&gt;0, Results!$E$4="Tissue",OR($B$52="g",$B$52="mg")),((DI4*DI$51)/(DI$52)),IF(AND(Results!$E$5="Volume",$C$54&gt;0,Results!$E$4="Fluid"),((DI4*DI$51)/(DI$54)),IF(AND(Results!$E$4="Cells",Results!$E$5="Million",$B$52="million"),((DI4*DI$51)/(DI$52)),"0")))))</f>
        <v>0</v>
      </c>
      <c r="DJ57" s="20" t="str">
        <f>IF(DJ4=0,"0",IF(AND(Results!$E$5="Protein",$C$53&gt;0,OR(Results!$E$4="Tissue",Results!$E$4="Cells")),((DJ4*DJ$51)/(DJ$53)),IF(AND(Results!$E$5="Weight",$C$52&gt;0, Results!$E$4="Tissue",OR($B$52="g",$B$52="mg")),((DJ4*DJ$51)/(DJ$52)),IF(AND(Results!$E$5="Volume",$C$54&gt;0,Results!$E$4="Fluid"),((DJ4*DJ$51)/(DJ$54)),IF(AND(Results!$E$4="Cells",Results!$E$5="Million",$B$52="million"),((DJ4*DJ$51)/(DJ$52)),"0")))))</f>
        <v>0</v>
      </c>
      <c r="DK57" s="20" t="str">
        <f>IF(DK4=0,"0",IF(AND(Results!$E$5="Protein",$C$53&gt;0,OR(Results!$E$4="Tissue",Results!$E$4="Cells")),((DK4*DK$51)/(DK$53)),IF(AND(Results!$E$5="Weight",$C$52&gt;0, Results!$E$4="Tissue",OR($B$52="g",$B$52="mg")),((DK4*DK$51)/(DK$52)),IF(AND(Results!$E$5="Volume",$C$54&gt;0,Results!$E$4="Fluid"),((DK4*DK$51)/(DK$54)),IF(AND(Results!$E$4="Cells",Results!$E$5="Million",$B$52="million"),((DK4*DK$51)/(DK$52)),"0")))))</f>
        <v>0</v>
      </c>
      <c r="DL57" s="20" t="str">
        <f>IF(DL4=0,"0",IF(AND(Results!$E$5="Protein",$C$53&gt;0,OR(Results!$E$4="Tissue",Results!$E$4="Cells")),((DL4*DL$51)/(DL$53)),IF(AND(Results!$E$5="Weight",$C$52&gt;0, Results!$E$4="Tissue",OR($B$52="g",$B$52="mg")),((DL4*DL$51)/(DL$52)),IF(AND(Results!$E$5="Volume",$C$54&gt;0,Results!$E$4="Fluid"),((DL4*DL$51)/(DL$54)),IF(AND(Results!$E$4="Cells",Results!$E$5="Million",$B$52="million"),((DL4*DL$51)/(DL$52)),"0")))))</f>
        <v>0</v>
      </c>
      <c r="DM57" s="20" t="str">
        <f>IF(DM4=0,"0",IF(AND(Results!$E$5="Protein",$C$53&gt;0,OR(Results!$E$4="Tissue",Results!$E$4="Cells")),((DM4*DM$51)/(DM$53)),IF(AND(Results!$E$5="Weight",$C$52&gt;0, Results!$E$4="Tissue",OR($B$52="g",$B$52="mg")),((DM4*DM$51)/(DM$52)),IF(AND(Results!$E$5="Volume",$C$54&gt;0,Results!$E$4="Fluid"),((DM4*DM$51)/(DM$54)),IF(AND(Results!$E$4="Cells",Results!$E$5="Million",$B$52="million"),((DM4*DM$51)/(DM$52)),"0")))))</f>
        <v>0</v>
      </c>
      <c r="DN57" s="20" t="str">
        <f>IF(DN4=0,"0",IF(AND(Results!$E$5="Protein",$C$53&gt;0,OR(Results!$E$4="Tissue",Results!$E$4="Cells")),((DN4*DN$51)/(DN$53)),IF(AND(Results!$E$5="Weight",$C$52&gt;0, Results!$E$4="Tissue",OR($B$52="g",$B$52="mg")),((DN4*DN$51)/(DN$52)),IF(AND(Results!$E$5="Volume",$C$54&gt;0,Results!$E$4="Fluid"),((DN4*DN$51)/(DN$54)),IF(AND(Results!$E$4="Cells",Results!$E$5="Million",$B$52="million"),((DN4*DN$51)/(DN$52)),"0")))))</f>
        <v>0</v>
      </c>
      <c r="DO57" s="20" t="str">
        <f>IF(DO4=0,"0",IF(AND(Results!$E$5="Protein",$C$53&gt;0,OR(Results!$E$4="Tissue",Results!$E$4="Cells")),((DO4*DO$51)/(DO$53)),IF(AND(Results!$E$5="Weight",$C$52&gt;0, Results!$E$4="Tissue",OR($B$52="g",$B$52="mg")),((DO4*DO$51)/(DO$52)),IF(AND(Results!$E$5="Volume",$C$54&gt;0,Results!$E$4="Fluid"),((DO4*DO$51)/(DO$54)),IF(AND(Results!$E$4="Cells",Results!$E$5="Million",$B$52="million"),((DO4*DO$51)/(DO$52)),"0")))))</f>
        <v>0</v>
      </c>
      <c r="DP57" s="20" t="str">
        <f>IF(DP4=0,"0",IF(AND(Results!$E$5="Protein",$C$53&gt;0,OR(Results!$E$4="Tissue",Results!$E$4="Cells")),((DP4*DP$51)/(DP$53)),IF(AND(Results!$E$5="Weight",$C$52&gt;0, Results!$E$4="Tissue",OR($B$52="g",$B$52="mg")),((DP4*DP$51)/(DP$52)),IF(AND(Results!$E$5="Volume",$C$54&gt;0,Results!$E$4="Fluid"),((DP4*DP$51)/(DP$54)),IF(AND(Results!$E$4="Cells",Results!$E$5="Million",$B$52="million"),((DP4*DP$51)/(DP$52)),"0")))))</f>
        <v>0</v>
      </c>
      <c r="DQ57" s="20" t="str">
        <f>IF(DQ4=0,"0",IF(AND(Results!$E$5="Protein",$C$53&gt;0,OR(Results!$E$4="Tissue",Results!$E$4="Cells")),((DQ4*DQ$51)/(DQ$53)),IF(AND(Results!$E$5="Weight",$C$52&gt;0, Results!$E$4="Tissue",OR($B$52="g",$B$52="mg")),((DQ4*DQ$51)/(DQ$52)),IF(AND(Results!$E$5="Volume",$C$54&gt;0,Results!$E$4="Fluid"),((DQ4*DQ$51)/(DQ$54)),IF(AND(Results!$E$4="Cells",Results!$E$5="Million",$B$52="million"),((DQ4*DQ$51)/(DQ$52)),"0")))))</f>
        <v>0</v>
      </c>
      <c r="DR57" s="20" t="str">
        <f>IF(DR4=0,"0",IF(AND(Results!$E$5="Protein",$C$53&gt;0,OR(Results!$E$4="Tissue",Results!$E$4="Cells")),((DR4*DR$51)/(DR$53)),IF(AND(Results!$E$5="Weight",$C$52&gt;0, Results!$E$4="Tissue",OR($B$52="g",$B$52="mg")),((DR4*DR$51)/(DR$52)),IF(AND(Results!$E$5="Volume",$C$54&gt;0,Results!$E$4="Fluid"),((DR4*DR$51)/(DR$54)),IF(AND(Results!$E$4="Cells",Results!$E$5="Million",$B$52="million"),((DR4*DR$51)/(DR$52)),"0")))))</f>
        <v>0</v>
      </c>
      <c r="DS57" s="20" t="str">
        <f>IF(DS4=0,"0",IF(AND(Results!$E$5="Protein",$C$53&gt;0,OR(Results!$E$4="Tissue",Results!$E$4="Cells")),((DS4*DS$51)/(DS$53)),IF(AND(Results!$E$5="Weight",$C$52&gt;0, Results!$E$4="Tissue",OR($B$52="g",$B$52="mg")),((DS4*DS$51)/(DS$52)),IF(AND(Results!$E$5="Volume",$C$54&gt;0,Results!$E$4="Fluid"),((DS4*DS$51)/(DS$54)),IF(AND(Results!$E$4="Cells",Results!$E$5="Million",$B$52="million"),((DS4*DS$51)/(DS$52)),"0")))))</f>
        <v>0</v>
      </c>
      <c r="DT57" s="20" t="str">
        <f>IF(DT4=0,"0",IF(AND(Results!$E$5="Protein",$C$53&gt;0,OR(Results!$E$4="Tissue",Results!$E$4="Cells")),((DT4*DT$51)/(DT$53)),IF(AND(Results!$E$5="Weight",$C$52&gt;0, Results!$E$4="Tissue",OR($B$52="g",$B$52="mg")),((DT4*DT$51)/(DT$52)),IF(AND(Results!$E$5="Volume",$C$54&gt;0,Results!$E$4="Fluid"),((DT4*DT$51)/(DT$54)),IF(AND(Results!$E$4="Cells",Results!$E$5="Million",$B$52="million"),((DT4*DT$51)/(DT$52)),"0")))))</f>
        <v>0</v>
      </c>
      <c r="DU57" s="20" t="str">
        <f>IF(DU4=0,"0",IF(AND(Results!$E$5="Protein",$C$53&gt;0,OR(Results!$E$4="Tissue",Results!$E$4="Cells")),((DU4*DU$51)/(DU$53)),IF(AND(Results!$E$5="Weight",$C$52&gt;0, Results!$E$4="Tissue",OR($B$52="g",$B$52="mg")),((DU4*DU$51)/(DU$52)),IF(AND(Results!$E$5="Volume",$C$54&gt;0,Results!$E$4="Fluid"),((DU4*DU$51)/(DU$54)),IF(AND(Results!$E$4="Cells",Results!$E$5="Million",$B$52="million"),((DU4*DU$51)/(DU$52)),"0")))))</f>
        <v>0</v>
      </c>
      <c r="DV57" s="20" t="str">
        <f>IF(DV4=0,"0",IF(AND(Results!$E$5="Protein",$C$53&gt;0,OR(Results!$E$4="Tissue",Results!$E$4="Cells")),((DV4*DV$51)/(DV$53)),IF(AND(Results!$E$5="Weight",$C$52&gt;0, Results!$E$4="Tissue",OR($B$52="g",$B$52="mg")),((DV4*DV$51)/(DV$52)),IF(AND(Results!$E$5="Volume",$C$54&gt;0,Results!$E$4="Fluid"),((DV4*DV$51)/(DV$54)),IF(AND(Results!$E$4="Cells",Results!$E$5="Million",$B$52="million"),((DV4*DV$51)/(DV$52)),"0")))))</f>
        <v>0</v>
      </c>
      <c r="DW57" s="20" t="str">
        <f>IF(DW4=0,"0",IF(AND(Results!$E$5="Protein",$C$53&gt;0,OR(Results!$E$4="Tissue",Results!$E$4="Cells")),((DW4*DW$51)/(DW$53)),IF(AND(Results!$E$5="Weight",$C$52&gt;0, Results!$E$4="Tissue",OR($B$52="g",$B$52="mg")),((DW4*DW$51)/(DW$52)),IF(AND(Results!$E$5="Volume",$C$54&gt;0,Results!$E$4="Fluid"),((DW4*DW$51)/(DW$54)),IF(AND(Results!$E$4="Cells",Results!$E$5="Million",$B$52="million"),((DW4*DW$51)/(DW$52)),"0")))))</f>
        <v>0</v>
      </c>
      <c r="DX57" s="20" t="str">
        <f>IF(DX4=0,"0",IF(AND(Results!$E$5="Protein",$C$53&gt;0,OR(Results!$E$4="Tissue",Results!$E$4="Cells")),((DX4*DX$51)/(DX$53)),IF(AND(Results!$E$5="Weight",$C$52&gt;0, Results!$E$4="Tissue",OR($B$52="g",$B$52="mg")),((DX4*DX$51)/(DX$52)),IF(AND(Results!$E$5="Volume",$C$54&gt;0,Results!$E$4="Fluid"),((DX4*DX$51)/(DX$54)),IF(AND(Results!$E$4="Cells",Results!$E$5="Million",$B$52="million"),((DX4*DX$51)/(DX$52)),"0")))))</f>
        <v>0</v>
      </c>
      <c r="DY57" s="20" t="str">
        <f>IF(DY4=0,"0",IF(AND(Results!$E$5="Protein",$C$53&gt;0,OR(Results!$E$4="Tissue",Results!$E$4="Cells")),((DY4*DY$51)/(DY$53)),IF(AND(Results!$E$5="Weight",$C$52&gt;0, Results!$E$4="Tissue",OR($B$52="g",$B$52="mg")),((DY4*DY$51)/(DY$52)),IF(AND(Results!$E$5="Volume",$C$54&gt;0,Results!$E$4="Fluid"),((DY4*DY$51)/(DY$54)),IF(AND(Results!$E$4="Cells",Results!$E$5="Million",$B$52="million"),((DY4*DY$51)/(DY$52)),"0")))))</f>
        <v>0</v>
      </c>
      <c r="DZ57" s="20" t="str">
        <f>IF(DZ4=0,"0",IF(AND(Results!$E$5="Protein",$C$53&gt;0,OR(Results!$E$4="Tissue",Results!$E$4="Cells")),((DZ4*DZ$51)/(DZ$53)),IF(AND(Results!$E$5="Weight",$C$52&gt;0, Results!$E$4="Tissue",OR($B$52="g",$B$52="mg")),((DZ4*DZ$51)/(DZ$52)),IF(AND(Results!$E$5="Volume",$C$54&gt;0,Results!$E$4="Fluid"),((DZ4*DZ$51)/(DZ$54)),IF(AND(Results!$E$4="Cells",Results!$E$5="Million",$B$52="million"),((DZ4*DZ$51)/(DZ$52)),"0")))))</f>
        <v>0</v>
      </c>
      <c r="EA57" s="20" t="str">
        <f>IF(EA4=0,"0",IF(AND(Results!$E$5="Protein",$C$53&gt;0,OR(Results!$E$4="Tissue",Results!$E$4="Cells")),((EA4*EA$51)/(EA$53)),IF(AND(Results!$E$5="Weight",$C$52&gt;0, Results!$E$4="Tissue",OR($B$52="g",$B$52="mg")),((EA4*EA$51)/(EA$52)),IF(AND(Results!$E$5="Volume",$C$54&gt;0,Results!$E$4="Fluid"),((EA4*EA$51)/(EA$54)),IF(AND(Results!$E$4="Cells",Results!$E$5="Million",$B$52="million"),((EA4*EA$51)/(EA$52)),"0")))))</f>
        <v>0</v>
      </c>
      <c r="EB57" s="20" t="str">
        <f>IF(EB4=0,"0",IF(AND(Results!$E$5="Protein",$C$53&gt;0,OR(Results!$E$4="Tissue",Results!$E$4="Cells")),((EB4*EB$51)/(EB$53)),IF(AND(Results!$E$5="Weight",$C$52&gt;0, Results!$E$4="Tissue",OR($B$52="g",$B$52="mg")),((EB4*EB$51)/(EB$52)),IF(AND(Results!$E$5="Volume",$C$54&gt;0,Results!$E$4="Fluid"),((EB4*EB$51)/(EB$54)),IF(AND(Results!$E$4="Cells",Results!$E$5="Million",$B$52="million"),((EB4*EB$51)/(EB$52)),"0")))))</f>
        <v>0</v>
      </c>
      <c r="EC57" s="20" t="str">
        <f>IF(EC4=0,"0",IF(AND(Results!$E$5="Protein",$C$53&gt;0,OR(Results!$E$4="Tissue",Results!$E$4="Cells")),((EC4*EC$51)/(EC$53)),IF(AND(Results!$E$5="Weight",$C$52&gt;0, Results!$E$4="Tissue",OR($B$52="g",$B$52="mg")),((EC4*EC$51)/(EC$52)),IF(AND(Results!$E$5="Volume",$C$54&gt;0,Results!$E$4="Fluid"),((EC4*EC$51)/(EC$54)),IF(AND(Results!$E$4="Cells",Results!$E$5="Million",$B$52="million"),((EC4*EC$51)/(EC$52)),"0")))))</f>
        <v>0</v>
      </c>
      <c r="ED57" s="20" t="str">
        <f>IF(ED4=0,"0",IF(AND(Results!$E$5="Protein",$C$53&gt;0,OR(Results!$E$4="Tissue",Results!$E$4="Cells")),((ED4*ED$51)/(ED$53)),IF(AND(Results!$E$5="Weight",$C$52&gt;0, Results!$E$4="Tissue",OR($B$52="g",$B$52="mg")),((ED4*ED$51)/(ED$52)),IF(AND(Results!$E$5="Volume",$C$54&gt;0,Results!$E$4="Fluid"),((ED4*ED$51)/(ED$54)),IF(AND(Results!$E$4="Cells",Results!$E$5="Million",$B$52="million"),((ED4*ED$51)/(ED$52)),"0")))))</f>
        <v>0</v>
      </c>
      <c r="EE57" s="20" t="str">
        <f>IF(EE4=0,"0",IF(AND(Results!$E$5="Protein",$C$53&gt;0,OR(Results!$E$4="Tissue",Results!$E$4="Cells")),((EE4*EE$51)/(EE$53)),IF(AND(Results!$E$5="Weight",$C$52&gt;0, Results!$E$4="Tissue",OR($B$52="g",$B$52="mg")),((EE4*EE$51)/(EE$52)),IF(AND(Results!$E$5="Volume",$C$54&gt;0,Results!$E$4="Fluid"),((EE4*EE$51)/(EE$54)),IF(AND(Results!$E$4="Cells",Results!$E$5="Million",$B$52="million"),((EE4*EE$51)/(EE$52)),"0")))))</f>
        <v>0</v>
      </c>
      <c r="EF57" s="20" t="str">
        <f>IF(EF4=0,"0",IF(AND(Results!$E$5="Protein",$C$53&gt;0,OR(Results!$E$4="Tissue",Results!$E$4="Cells")),((EF4*EF$51)/(EF$53)),IF(AND(Results!$E$5="Weight",$C$52&gt;0, Results!$E$4="Tissue",OR($B$52="g",$B$52="mg")),((EF4*EF$51)/(EF$52)),IF(AND(Results!$E$5="Volume",$C$54&gt;0,Results!$E$4="Fluid"),((EF4*EF$51)/(EF$54)),IF(AND(Results!$E$4="Cells",Results!$E$5="Million",$B$52="million"),((EF4*EF$51)/(EF$52)),"0")))))</f>
        <v>0</v>
      </c>
      <c r="EG57" s="20" t="str">
        <f>IF(EG4=0,"0",IF(AND(Results!$E$5="Protein",$C$53&gt;0,OR(Results!$E$4="Tissue",Results!$E$4="Cells")),((EG4*EG$51)/(EG$53)),IF(AND(Results!$E$5="Weight",$C$52&gt;0, Results!$E$4="Tissue",OR($B$52="g",$B$52="mg")),((EG4*EG$51)/(EG$52)),IF(AND(Results!$E$5="Volume",$C$54&gt;0,Results!$E$4="Fluid"),((EG4*EG$51)/(EG$54)),IF(AND(Results!$E$4="Cells",Results!$E$5="Million",$B$52="million"),((EG4*EG$51)/(EG$52)),"0")))))</f>
        <v>0</v>
      </c>
      <c r="EH57" s="20" t="str">
        <f>IF(EH4=0,"0",IF(AND(Results!$E$5="Protein",$C$53&gt;0,OR(Results!$E$4="Tissue",Results!$E$4="Cells")),((EH4*EH$51)/(EH$53)),IF(AND(Results!$E$5="Weight",$C$52&gt;0, Results!$E$4="Tissue",OR($B$52="g",$B$52="mg")),((EH4*EH$51)/(EH$52)),IF(AND(Results!$E$5="Volume",$C$54&gt;0,Results!$E$4="Fluid"),((EH4*EH$51)/(EH$54)),IF(AND(Results!$E$4="Cells",Results!$E$5="Million",$B$52="million"),((EH4*EH$51)/(EH$52)),"0")))))</f>
        <v>0</v>
      </c>
      <c r="EI57" s="20" t="str">
        <f>IF(EI4=0,"0",IF(AND(Results!$E$5="Protein",$C$53&gt;0,OR(Results!$E$4="Tissue",Results!$E$4="Cells")),((EI4*EI$51)/(EI$53)),IF(AND(Results!$E$5="Weight",$C$52&gt;0, Results!$E$4="Tissue",OR($B$52="g",$B$52="mg")),((EI4*EI$51)/(EI$52)),IF(AND(Results!$E$5="Volume",$C$54&gt;0,Results!$E$4="Fluid"),((EI4*EI$51)/(EI$54)),IF(AND(Results!$E$4="Cells",Results!$E$5="Million",$B$52="million"),((EI4*EI$51)/(EI$52)),"0")))))</f>
        <v>0</v>
      </c>
      <c r="EJ57" s="20" t="str">
        <f>IF(EJ4=0,"0",IF(AND(Results!$E$5="Protein",$C$53&gt;0,OR(Results!$E$4="Tissue",Results!$E$4="Cells")),((EJ4*EJ$51)/(EJ$53)),IF(AND(Results!$E$5="Weight",$C$52&gt;0, Results!$E$4="Tissue",OR($B$52="g",$B$52="mg")),((EJ4*EJ$51)/(EJ$52)),IF(AND(Results!$E$5="Volume",$C$54&gt;0,Results!$E$4="Fluid"),((EJ4*EJ$51)/(EJ$54)),IF(AND(Results!$E$4="Cells",Results!$E$5="Million",$B$52="million"),((EJ4*EJ$51)/(EJ$52)),"0")))))</f>
        <v>0</v>
      </c>
      <c r="EK57" s="20" t="str">
        <f>IF(EK4=0,"0",IF(AND(Results!$E$5="Protein",$C$53&gt;0,OR(Results!$E$4="Tissue",Results!$E$4="Cells")),((EK4*EK$51)/(EK$53)),IF(AND(Results!$E$5="Weight",$C$52&gt;0, Results!$E$4="Tissue",OR($B$52="g",$B$52="mg")),((EK4*EK$51)/(EK$52)),IF(AND(Results!$E$5="Volume",$C$54&gt;0,Results!$E$4="Fluid"),((EK4*EK$51)/(EK$54)),IF(AND(Results!$E$4="Cells",Results!$E$5="Million",$B$52="million"),((EK4*EK$51)/(EK$52)),"0")))))</f>
        <v>0</v>
      </c>
      <c r="EL57" s="20" t="str">
        <f>IF(EL4=0,"0",IF(AND(Results!$E$5="Protein",$C$53&gt;0,OR(Results!$E$4="Tissue",Results!$E$4="Cells")),((EL4*EL$51)/(EL$53)),IF(AND(Results!$E$5="Weight",$C$52&gt;0, Results!$E$4="Tissue",OR($B$52="g",$B$52="mg")),((EL4*EL$51)/(EL$52)),IF(AND(Results!$E$5="Volume",$C$54&gt;0,Results!$E$4="Fluid"),((EL4*EL$51)/(EL$54)),IF(AND(Results!$E$4="Cells",Results!$E$5="Million",$B$52="million"),((EL4*EL$51)/(EL$52)),"0")))))</f>
        <v>0</v>
      </c>
      <c r="EM57" s="20" t="str">
        <f>IF(EM4=0,"0",IF(AND(Results!$E$5="Protein",$C$53&gt;0,OR(Results!$E$4="Tissue",Results!$E$4="Cells")),((EM4*EM$51)/(EM$53)),IF(AND(Results!$E$5="Weight",$C$52&gt;0, Results!$E$4="Tissue",OR($B$52="g",$B$52="mg")),((EM4*EM$51)/(EM$52)),IF(AND(Results!$E$5="Volume",$C$54&gt;0,Results!$E$4="Fluid"),((EM4*EM$51)/(EM$54)),IF(AND(Results!$E$4="Cells",Results!$E$5="Million",$B$52="million"),((EM4*EM$51)/(EM$52)),"0")))))</f>
        <v>0</v>
      </c>
      <c r="EN57" s="20" t="str">
        <f>IF(EN4=0,"0",IF(AND(Results!$E$5="Protein",$C$53&gt;0,OR(Results!$E$4="Tissue",Results!$E$4="Cells")),((EN4*EN$51)/(EN$53)),IF(AND(Results!$E$5="Weight",$C$52&gt;0, Results!$E$4="Tissue",OR($B$52="g",$B$52="mg")),((EN4*EN$51)/(EN$52)),IF(AND(Results!$E$5="Volume",$C$54&gt;0,Results!$E$4="Fluid"),((EN4*EN$51)/(EN$54)),IF(AND(Results!$E$4="Cells",Results!$E$5="Million",$B$52="million"),((EN4*EN$51)/(EN$52)),"0")))))</f>
        <v>0</v>
      </c>
      <c r="EO57" s="20" t="str">
        <f>IF(EO4=0,"0",IF(AND(Results!$E$5="Protein",$C$53&gt;0,OR(Results!$E$4="Tissue",Results!$E$4="Cells")),((EO4*EO$51)/(EO$53)),IF(AND(Results!$E$5="Weight",$C$52&gt;0, Results!$E$4="Tissue",OR($B$52="g",$B$52="mg")),((EO4*EO$51)/(EO$52)),IF(AND(Results!$E$5="Volume",$C$54&gt;0,Results!$E$4="Fluid"),((EO4*EO$51)/(EO$54)),IF(AND(Results!$E$4="Cells",Results!$E$5="Million",$B$52="million"),((EO4*EO$51)/(EO$52)),"0")))))</f>
        <v>0</v>
      </c>
      <c r="EP57" s="20" t="str">
        <f>IF(EP4=0,"0",IF(AND(Results!$E$5="Protein",$C$53&gt;0,OR(Results!$E$4="Tissue",Results!$E$4="Cells")),((EP4*EP$51)/(EP$53)),IF(AND(Results!$E$5="Weight",$C$52&gt;0, Results!$E$4="Tissue",OR($B$52="g",$B$52="mg")),((EP4*EP$51)/(EP$52)),IF(AND(Results!$E$5="Volume",$C$54&gt;0,Results!$E$4="Fluid"),((EP4*EP$51)/(EP$54)),IF(AND(Results!$E$4="Cells",Results!$E$5="Million",$B$52="million"),((EP4*EP$51)/(EP$52)),"0")))))</f>
        <v>0</v>
      </c>
      <c r="EQ57" s="20" t="str">
        <f>IF(EQ4=0,"0",IF(AND(Results!$E$5="Protein",$C$53&gt;0,OR(Results!$E$4="Tissue",Results!$E$4="Cells")),((EQ4*EQ$51)/(EQ$53)),IF(AND(Results!$E$5="Weight",$C$52&gt;0, Results!$E$4="Tissue",OR($B$52="g",$B$52="mg")),((EQ4*EQ$51)/(EQ$52)),IF(AND(Results!$E$5="Volume",$C$54&gt;0,Results!$E$4="Fluid"),((EQ4*EQ$51)/(EQ$54)),IF(AND(Results!$E$4="Cells",Results!$E$5="Million",$B$52="million"),((EQ4*EQ$51)/(EQ$52)),"0")))))</f>
        <v>0</v>
      </c>
      <c r="ER57" s="20" t="str">
        <f>IF(ER4=0,"0",IF(AND(Results!$E$5="Protein",$C$53&gt;0,OR(Results!$E$4="Tissue",Results!$E$4="Cells")),((ER4*ER$51)/(ER$53)),IF(AND(Results!$E$5="Weight",$C$52&gt;0, Results!$E$4="Tissue",OR($B$52="g",$B$52="mg")),((ER4*ER$51)/(ER$52)),IF(AND(Results!$E$5="Volume",$C$54&gt;0,Results!$E$4="Fluid"),((ER4*ER$51)/(ER$54)),IF(AND(Results!$E$4="Cells",Results!$E$5="Million",$B$52="million"),((ER4*ER$51)/(ER$52)),"0")))))</f>
        <v>0</v>
      </c>
      <c r="ES57" s="20" t="str">
        <f>IF(ES4=0,"0",IF(AND(Results!$E$5="Protein",$C$53&gt;0,OR(Results!$E$4="Tissue",Results!$E$4="Cells")),((ES4*ES$51)/(ES$53)),IF(AND(Results!$E$5="Weight",$C$52&gt;0, Results!$E$4="Tissue",OR($B$52="g",$B$52="mg")),((ES4*ES$51)/(ES$52)),IF(AND(Results!$E$5="Volume",$C$54&gt;0,Results!$E$4="Fluid"),((ES4*ES$51)/(ES$54)),IF(AND(Results!$E$4="Cells",Results!$E$5="Million",$B$52="million"),((ES4*ES$51)/(ES$52)),"0")))))</f>
        <v>0</v>
      </c>
      <c r="ET57" s="20" t="str">
        <f>IF(ET4=0,"0",IF(AND(Results!$E$5="Protein",$C$53&gt;0,OR(Results!$E$4="Tissue",Results!$E$4="Cells")),((ET4*ET$51)/(ET$53)),IF(AND(Results!$E$5="Weight",$C$52&gt;0, Results!$E$4="Tissue",OR($B$52="g",$B$52="mg")),((ET4*ET$51)/(ET$52)),IF(AND(Results!$E$5="Volume",$C$54&gt;0,Results!$E$4="Fluid"),((ET4*ET$51)/(ET$54)),IF(AND(Results!$E$4="Cells",Results!$E$5="Million",$B$52="million"),((ET4*ET$51)/(ET$52)),"0")))))</f>
        <v>0</v>
      </c>
      <c r="EU57" s="20" t="str">
        <f>IF(EU4=0,"0",IF(AND(Results!$E$5="Protein",$C$53&gt;0,OR(Results!$E$4="Tissue",Results!$E$4="Cells")),((EU4*EU$51)/(EU$53)),IF(AND(Results!$E$5="Weight",$C$52&gt;0, Results!$E$4="Tissue",OR($B$52="g",$B$52="mg")),((EU4*EU$51)/(EU$52)),IF(AND(Results!$E$5="Volume",$C$54&gt;0,Results!$E$4="Fluid"),((EU4*EU$51)/(EU$54)),IF(AND(Results!$E$4="Cells",Results!$E$5="Million",$B$52="million"),((EU4*EU$51)/(EU$52)),"0")))))</f>
        <v>0</v>
      </c>
      <c r="EV57" s="20" t="str">
        <f>IF(EV4=0,"0",IF(AND(Results!$E$5="Protein",$C$53&gt;0,OR(Results!$E$4="Tissue",Results!$E$4="Cells")),((EV4*EV$51)/(EV$53)),IF(AND(Results!$E$5="Weight",$C$52&gt;0, Results!$E$4="Tissue",OR($B$52="g",$B$52="mg")),((EV4*EV$51)/(EV$52)),IF(AND(Results!$E$5="Volume",$C$54&gt;0,Results!$E$4="Fluid"),((EV4*EV$51)/(EV$54)),IF(AND(Results!$E$4="Cells",Results!$E$5="Million",$B$52="million"),((EV4*EV$51)/(EV$52)),"0")))))</f>
        <v>0</v>
      </c>
      <c r="EW57" s="20" t="str">
        <f>IF(EW4=0,"0",IF(AND(Results!$E$5="Protein",$C$53&gt;0,OR(Results!$E$4="Tissue",Results!$E$4="Cells")),((EW4*EW$51)/(EW$53)),IF(AND(Results!$E$5="Weight",$C$52&gt;0, Results!$E$4="Tissue",OR($B$52="g",$B$52="mg")),((EW4*EW$51)/(EW$52)),IF(AND(Results!$E$5="Volume",$C$54&gt;0,Results!$E$4="Fluid"),((EW4*EW$51)/(EW$54)),IF(AND(Results!$E$4="Cells",Results!$E$5="Million",$B$52="million"),((EW4*EW$51)/(EW$52)),"0")))))</f>
        <v>0</v>
      </c>
      <c r="EX57" s="20" t="str">
        <f>IF(EX4=0,"0",IF(AND(Results!$E$5="Protein",$C$53&gt;0,OR(Results!$E$4="Tissue",Results!$E$4="Cells")),((EX4*EX$51)/(EX$53)),IF(AND(Results!$E$5="Weight",$C$52&gt;0, Results!$E$4="Tissue",OR($B$52="g",$B$52="mg")),((EX4*EX$51)/(EX$52)),IF(AND(Results!$E$5="Volume",$C$54&gt;0,Results!$E$4="Fluid"),((EX4*EX$51)/(EX$54)),IF(AND(Results!$E$4="Cells",Results!$E$5="Million",$B$52="million"),((EX4*EX$51)/(EX$52)),"0")))))</f>
        <v>0</v>
      </c>
      <c r="EY57" s="20" t="str">
        <f>IF(EY4=0,"0",IF(AND(Results!$E$5="Protein",$C$53&gt;0,OR(Results!$E$4="Tissue",Results!$E$4="Cells")),((EY4*EY$51)/(EY$53)),IF(AND(Results!$E$5="Weight",$C$52&gt;0, Results!$E$4="Tissue",OR($B$52="g",$B$52="mg")),((EY4*EY$51)/(EY$52)),IF(AND(Results!$E$5="Volume",$C$54&gt;0,Results!$E$4="Fluid"),((EY4*EY$51)/(EY$54)),IF(AND(Results!$E$4="Cells",Results!$E$5="Million",$B$52="million"),((EY4*EY$51)/(EY$52)),"0")))))</f>
        <v>0</v>
      </c>
      <c r="EZ57" s="20" t="str">
        <f>IF(EZ4=0,"0",IF(AND(Results!$E$5="Protein",$C$53&gt;0,OR(Results!$E$4="Tissue",Results!$E$4="Cells")),((EZ4*EZ$51)/(EZ$53)),IF(AND(Results!$E$5="Weight",$C$52&gt;0, Results!$E$4="Tissue",OR($B$52="g",$B$52="mg")),((EZ4*EZ$51)/(EZ$52)),IF(AND(Results!$E$5="Volume",$C$54&gt;0,Results!$E$4="Fluid"),((EZ4*EZ$51)/(EZ$54)),IF(AND(Results!$E$4="Cells",Results!$E$5="Million",$B$52="million"),((EZ4*EZ$51)/(EZ$52)),"0")))))</f>
        <v>0</v>
      </c>
      <c r="FA57" s="20" t="str">
        <f>IF(FA4=0,"0",IF(AND(Results!$E$5="Protein",$C$53&gt;0,OR(Results!$E$4="Tissue",Results!$E$4="Cells")),((FA4*FA$51)/(FA$53)),IF(AND(Results!$E$5="Weight",$C$52&gt;0, Results!$E$4="Tissue",OR($B$52="g",$B$52="mg")),((FA4*FA$51)/(FA$52)),IF(AND(Results!$E$5="Volume",$C$54&gt;0,Results!$E$4="Fluid"),((FA4*FA$51)/(FA$54)),IF(AND(Results!$E$4="Cells",Results!$E$5="Million",$B$52="million"),((FA4*FA$51)/(FA$52)),"0")))))</f>
        <v>0</v>
      </c>
      <c r="FB57" s="20" t="str">
        <f>IF(FB4=0,"0",IF(AND(Results!$E$5="Protein",$C$53&gt;0,OR(Results!$E$4="Tissue",Results!$E$4="Cells")),((FB4*FB$51)/(FB$53)),IF(AND(Results!$E$5="Weight",$C$52&gt;0, Results!$E$4="Tissue",OR($B$52="g",$B$52="mg")),((FB4*FB$51)/(FB$52)),IF(AND(Results!$E$5="Volume",$C$54&gt;0,Results!$E$4="Fluid"),((FB4*FB$51)/(FB$54)),IF(AND(Results!$E$4="Cells",Results!$E$5="Million",$B$52="million"),((FB4*FB$51)/(FB$52)),"0")))))</f>
        <v>0</v>
      </c>
      <c r="FC57" s="20" t="str">
        <f>IF(FC4=0,"0",IF(AND(Results!$E$5="Protein",$C$53&gt;0,OR(Results!$E$4="Tissue",Results!$E$4="Cells")),((FC4*FC$51)/(FC$53)),IF(AND(Results!$E$5="Weight",$C$52&gt;0, Results!$E$4="Tissue",OR($B$52="g",$B$52="mg")),((FC4*FC$51)/(FC$52)),IF(AND(Results!$E$5="Volume",$C$54&gt;0,Results!$E$4="Fluid"),((FC4*FC$51)/(FC$54)),IF(AND(Results!$E$4="Cells",Results!$E$5="Million",$B$52="million"),((FC4*FC$51)/(FC$52)),"0")))))</f>
        <v>0</v>
      </c>
      <c r="FD57" s="20" t="str">
        <f>IF(FD4=0,"0",IF(AND(Results!$E$5="Protein",$C$53&gt;0,OR(Results!$E$4="Tissue",Results!$E$4="Cells")),((FD4*FD$51)/(FD$53)),IF(AND(Results!$E$5="Weight",$C$52&gt;0, Results!$E$4="Tissue",OR($B$52="g",$B$52="mg")),((FD4*FD$51)/(FD$52)),IF(AND(Results!$E$5="Volume",$C$54&gt;0,Results!$E$4="Fluid"),((FD4*FD$51)/(FD$54)),IF(AND(Results!$E$4="Cells",Results!$E$5="Million",$B$52="million"),((FD4*FD$51)/(FD$52)),"0")))))</f>
        <v>0</v>
      </c>
      <c r="FE57" s="20" t="str">
        <f>IF(FE4=0,"0",IF(AND(Results!$E$5="Protein",$C$53&gt;0,OR(Results!$E$4="Tissue",Results!$E$4="Cells")),((FE4*FE$51)/(FE$53)),IF(AND(Results!$E$5="Weight",$C$52&gt;0, Results!$E$4="Tissue",OR($B$52="g",$B$52="mg")),((FE4*FE$51)/(FE$52)),IF(AND(Results!$E$5="Volume",$C$54&gt;0,Results!$E$4="Fluid"),((FE4*FE$51)/(FE$54)),IF(AND(Results!$E$4="Cells",Results!$E$5="Million",$B$52="million"),((FE4*FE$51)/(FE$52)),"0")))))</f>
        <v>0</v>
      </c>
      <c r="FF57" s="20" t="str">
        <f>IF(FF4=0,"0",IF(AND(Results!$E$5="Protein",$C$53&gt;0,OR(Results!$E$4="Tissue",Results!$E$4="Cells")),((FF4*FF$51)/(FF$53)),IF(AND(Results!$E$5="Weight",$C$52&gt;0, Results!$E$4="Tissue",OR($B$52="g",$B$52="mg")),((FF4*FF$51)/(FF$52)),IF(AND(Results!$E$5="Volume",$C$54&gt;0,Results!$E$4="Fluid"),((FF4*FF$51)/(FF$54)),IF(AND(Results!$E$4="Cells",Results!$E$5="Million",$B$52="million"),((FF4*FF$51)/(FF$52)),"0")))))</f>
        <v>0</v>
      </c>
      <c r="FG57" s="20" t="str">
        <f>IF(FG4=0,"0",IF(AND(Results!$E$5="Protein",$C$53&gt;0,OR(Results!$E$4="Tissue",Results!$E$4="Cells")),((FG4*FG$51)/(FG$53)),IF(AND(Results!$E$5="Weight",$C$52&gt;0, Results!$E$4="Tissue",OR($B$52="g",$B$52="mg")),((FG4*FG$51)/(FG$52)),IF(AND(Results!$E$5="Volume",$C$54&gt;0,Results!$E$4="Fluid"),((FG4*FG$51)/(FG$54)),IF(AND(Results!$E$4="Cells",Results!$E$5="Million",$B$52="million"),((FG4*FG$51)/(FG$52)),"0")))))</f>
        <v>0</v>
      </c>
      <c r="FH57" s="20" t="str">
        <f>IF(FH4=0,"0",IF(AND(Results!$E$5="Protein",$C$53&gt;0,OR(Results!$E$4="Tissue",Results!$E$4="Cells")),((FH4*FH$51)/(FH$53)),IF(AND(Results!$E$5="Weight",$C$52&gt;0, Results!$E$4="Tissue",OR($B$52="g",$B$52="mg")),((FH4*FH$51)/(FH$52)),IF(AND(Results!$E$5="Volume",$C$54&gt;0,Results!$E$4="Fluid"),((FH4*FH$51)/(FH$54)),IF(AND(Results!$E$4="Cells",Results!$E$5="Million",$B$52="million"),((FH4*FH$51)/(FH$52)),"0")))))</f>
        <v>0</v>
      </c>
      <c r="FI57" s="20" t="str">
        <f>IF(FI4=0,"0",IF(AND(Results!$E$5="Protein",$C$53&gt;0,OR(Results!$E$4="Tissue",Results!$E$4="Cells")),((FI4*FI$51)/(FI$53)),IF(AND(Results!$E$5="Weight",$C$52&gt;0, Results!$E$4="Tissue",OR($B$52="g",$B$52="mg")),((FI4*FI$51)/(FI$52)),IF(AND(Results!$E$5="Volume",$C$54&gt;0,Results!$E$4="Fluid"),((FI4*FI$51)/(FI$54)),IF(AND(Results!$E$4="Cells",Results!$E$5="Million",$B$52="million"),((FI4*FI$51)/(FI$52)),"0")))))</f>
        <v>0</v>
      </c>
      <c r="FJ57" s="20" t="str">
        <f>IF(FJ4=0,"0",IF(AND(Results!$E$5="Protein",$C$53&gt;0,OR(Results!$E$4="Tissue",Results!$E$4="Cells")),((FJ4*FJ$51)/(FJ$53)),IF(AND(Results!$E$5="Weight",$C$52&gt;0, Results!$E$4="Tissue",OR($B$52="g",$B$52="mg")),((FJ4*FJ$51)/(FJ$52)),IF(AND(Results!$E$5="Volume",$C$54&gt;0,Results!$E$4="Fluid"),((FJ4*FJ$51)/(FJ$54)),IF(AND(Results!$E$4="Cells",Results!$E$5="Million",$B$52="million"),((FJ4*FJ$51)/(FJ$52)),"0")))))</f>
        <v>0</v>
      </c>
      <c r="FK57" s="20" t="str">
        <f>IF(FK4=0,"0",IF(AND(Results!$E$5="Protein",$C$53&gt;0,OR(Results!$E$4="Tissue",Results!$E$4="Cells")),((FK4*FK$51)/(FK$53)),IF(AND(Results!$E$5="Weight",$C$52&gt;0, Results!$E$4="Tissue",OR($B$52="g",$B$52="mg")),((FK4*FK$51)/(FK$52)),IF(AND(Results!$E$5="Volume",$C$54&gt;0,Results!$E$4="Fluid"),((FK4*FK$51)/(FK$54)),IF(AND(Results!$E$4="Cells",Results!$E$5="Million",$B$52="million"),((FK4*FK$51)/(FK$52)),"0")))))</f>
        <v>0</v>
      </c>
      <c r="FL57" s="20" t="str">
        <f>IF(FL4=0,"0",IF(AND(Results!$E$5="Protein",$C$53&gt;0,OR(Results!$E$4="Tissue",Results!$E$4="Cells")),((FL4*FL$51)/(FL$53)),IF(AND(Results!$E$5="Weight",$C$52&gt;0, Results!$E$4="Tissue",OR($B$52="g",$B$52="mg")),((FL4*FL$51)/(FL$52)),IF(AND(Results!$E$5="Volume",$C$54&gt;0,Results!$E$4="Fluid"),((FL4*FL$51)/(FL$54)),IF(AND(Results!$E$4="Cells",Results!$E$5="Million",$B$52="million"),((FL4*FL$51)/(FL$52)),"0")))))</f>
        <v>0</v>
      </c>
      <c r="FM57" s="20" t="str">
        <f>IF(FM4=0,"0",IF(AND(Results!$E$5="Protein",$C$53&gt;0,OR(Results!$E$4="Tissue",Results!$E$4="Cells")),((FM4*FM$51)/(FM$53)),IF(AND(Results!$E$5="Weight",$C$52&gt;0, Results!$E$4="Tissue",OR($B$52="g",$B$52="mg")),((FM4*FM$51)/(FM$52)),IF(AND(Results!$E$5="Volume",$C$54&gt;0,Results!$E$4="Fluid"),((FM4*FM$51)/(FM$54)),IF(AND(Results!$E$4="Cells",Results!$E$5="Million",$B$52="million"),((FM4*FM$51)/(FM$52)),"0")))))</f>
        <v>0</v>
      </c>
      <c r="FN57" s="20" t="str">
        <f>IF(FN4=0,"0",IF(AND(Results!$E$5="Protein",$C$53&gt;0,OR(Results!$E$4="Tissue",Results!$E$4="Cells")),((FN4*FN$51)/(FN$53)),IF(AND(Results!$E$5="Weight",$C$52&gt;0, Results!$E$4="Tissue",OR($B$52="g",$B$52="mg")),((FN4*FN$51)/(FN$52)),IF(AND(Results!$E$5="Volume",$C$54&gt;0,Results!$E$4="Fluid"),((FN4*FN$51)/(FN$54)),IF(AND(Results!$E$4="Cells",Results!$E$5="Million",$B$52="million"),((FN4*FN$51)/(FN$52)),"0")))))</f>
        <v>0</v>
      </c>
      <c r="FO57" s="20" t="str">
        <f>IF(FO4=0,"0",IF(AND(Results!$E$5="Protein",$C$53&gt;0,OR(Results!$E$4="Tissue",Results!$E$4="Cells")),((FO4*FO$51)/(FO$53)),IF(AND(Results!$E$5="Weight",$C$52&gt;0, Results!$E$4="Tissue",OR($B$52="g",$B$52="mg")),((FO4*FO$51)/(FO$52)),IF(AND(Results!$E$5="Volume",$C$54&gt;0,Results!$E$4="Fluid"),((FO4*FO$51)/(FO$54)),IF(AND(Results!$E$4="Cells",Results!$E$5="Million",$B$52="million"),((FO4*FO$51)/(FO$52)),"0")))))</f>
        <v>0</v>
      </c>
    </row>
    <row r="58" spans="1:171" x14ac:dyDescent="0.2">
      <c r="A58" s="120" t="str">
        <f t="shared" si="0"/>
        <v>13-HODE</v>
      </c>
      <c r="B58" s="121"/>
      <c r="C58" s="20">
        <f>IF(C5=0,"0",IF(AND(Results!$E$5="Protein",$C$53&gt;0,OR(Results!$E$4="Tissue",Results!$E$4="Cells")),((C5*C$51)/(C$53)),IF(AND(Results!$E$5="Weight",$C$52&gt;0, Results!$E$4="Tissue",OR($B$52="g",$B$52="mg")),((C5*C$51)/(C$52)),IF(AND(Results!$E$5="Volume",$C$54&gt;0,Results!$E$4="Fluid"),((C5*C$51)/(C$54)),IF(AND(Results!$E$4="Cells",Results!$E$5="Million",$B$52="million"),((C5*C$51)/(C$52)),"0")))))</f>
        <v>27.323333333333334</v>
      </c>
      <c r="D58" s="20">
        <f>IF(D5=0,"0",IF(AND(Results!$E$5="Protein",$C$53&gt;0,OR(Results!$E$4="Tissue",Results!$E$4="Cells")),((D5*D$51)/(D$53)),IF(AND(Results!$E$5="Weight",$C$52&gt;0, Results!$E$4="Tissue",OR($B$52="g",$B$52="mg")),((D5*D$51)/(D$52)),IF(AND(Results!$E$5="Volume",$C$54&gt;0,Results!$E$4="Fluid"),((D5*D$51)/(D$54)),IF(AND(Results!$E$4="Cells",Results!$E$5="Million",$B$52="million"),((D5*D$51)/(D$52)),"0")))))</f>
        <v>47.252866666666669</v>
      </c>
      <c r="E58" s="20">
        <f>IF(E5=0,"0",IF(AND(Results!$E$5="Protein",$C$53&gt;0,OR(Results!$E$4="Tissue",Results!$E$4="Cells")),((E5*E$51)/(E$53)),IF(AND(Results!$E$5="Weight",$C$52&gt;0, Results!$E$4="Tissue",OR($B$52="g",$B$52="mg")),((E5*E$51)/(E$52)),IF(AND(Results!$E$5="Volume",$C$54&gt;0,Results!$E$4="Fluid"),((E5*E$51)/(E$54)),IF(AND(Results!$E$4="Cells",Results!$E$5="Million",$B$52="million"),((E5*E$51)/(E$52)),"0")))))</f>
        <v>13.739849999999999</v>
      </c>
      <c r="F58" s="20">
        <f>IF(F5=0,"0",IF(AND(Results!$E$5="Protein",$C$53&gt;0,OR(Results!$E$4="Tissue",Results!$E$4="Cells")),((F5*F$51)/(F$53)),IF(AND(Results!$E$5="Weight",$C$52&gt;0, Results!$E$4="Tissue",OR($B$52="g",$B$52="mg")),((F5*F$51)/(F$52)),IF(AND(Results!$E$5="Volume",$C$54&gt;0,Results!$E$4="Fluid"),((F5*F$51)/(F$54)),IF(AND(Results!$E$4="Cells",Results!$E$5="Million",$B$52="million"),((F5*F$51)/(F$52)),"0")))))</f>
        <v>108.00115</v>
      </c>
      <c r="G58" s="20">
        <f>IF(G5=0,"0",IF(AND(Results!$E$5="Protein",$C$53&gt;0,OR(Results!$E$4="Tissue",Results!$E$4="Cells")),((G5*G$51)/(G$53)),IF(AND(Results!$E$5="Weight",$C$52&gt;0, Results!$E$4="Tissue",OR($B$52="g",$B$52="mg")),((G5*G$51)/(G$52)),IF(AND(Results!$E$5="Volume",$C$54&gt;0,Results!$E$4="Fluid"),((G5*G$51)/(G$54)),IF(AND(Results!$E$4="Cells",Results!$E$5="Million",$B$52="million"),((G5*G$51)/(G$52)),"0")))))</f>
        <v>46.803066666666673</v>
      </c>
      <c r="H58" s="20">
        <f>IF(H5=0,"0",IF(AND(Results!$E$5="Protein",$C$53&gt;0,OR(Results!$E$4="Tissue",Results!$E$4="Cells")),((H5*H$51)/(H$53)),IF(AND(Results!$E$5="Weight",$C$52&gt;0, Results!$E$4="Tissue",OR($B$52="g",$B$52="mg")),((H5*H$51)/(H$52)),IF(AND(Results!$E$5="Volume",$C$54&gt;0,Results!$E$4="Fluid"),((H5*H$51)/(H$54)),IF(AND(Results!$E$4="Cells",Results!$E$5="Million",$B$52="million"),((H5*H$51)/(H$52)),"0")))))</f>
        <v>33.524733333333337</v>
      </c>
      <c r="I58" s="20">
        <f>IF(I5=0,"0",IF(AND(Results!$E$5="Protein",$C$53&gt;0,OR(Results!$E$4="Tissue",Results!$E$4="Cells")),((I5*I$51)/(I$53)),IF(AND(Results!$E$5="Weight",$C$52&gt;0, Results!$E$4="Tissue",OR($B$52="g",$B$52="mg")),((I5*I$51)/(I$52)),IF(AND(Results!$E$5="Volume",$C$54&gt;0,Results!$E$4="Fluid"),((I5*I$51)/(I$54)),IF(AND(Results!$E$4="Cells",Results!$E$5="Million",$B$52="million"),((I5*I$51)/(I$52)),"0")))))</f>
        <v>47.747449999999994</v>
      </c>
      <c r="J58" s="20">
        <f>IF(J5=0,"0",IF(AND(Results!$E$5="Protein",$C$53&gt;0,OR(Results!$E$4="Tissue",Results!$E$4="Cells")),((J5*J$51)/(J$53)),IF(AND(Results!$E$5="Weight",$C$52&gt;0, Results!$E$4="Tissue",OR($B$52="g",$B$52="mg")),((J5*J$51)/(J$52)),IF(AND(Results!$E$5="Volume",$C$54&gt;0,Results!$E$4="Fluid"),((J5*J$51)/(J$54)),IF(AND(Results!$E$4="Cells",Results!$E$5="Million",$B$52="million"),((J5*J$51)/(J$52)),"0")))))</f>
        <v>19.417933333333334</v>
      </c>
      <c r="K58" s="20">
        <f>IF(K5=0,"0",IF(AND(Results!$E$5="Protein",$C$53&gt;0,OR(Results!$E$4="Tissue",Results!$E$4="Cells")),((K5*K$51)/(K$53)),IF(AND(Results!$E$5="Weight",$C$52&gt;0, Results!$E$4="Tissue",OR($B$52="g",$B$52="mg")),((K5*K$51)/(K$52)),IF(AND(Results!$E$5="Volume",$C$54&gt;0,Results!$E$4="Fluid"),((K5*K$51)/(K$54)),IF(AND(Results!$E$4="Cells",Results!$E$5="Million",$B$52="million"),((K5*K$51)/(K$52)),"0")))))</f>
        <v>87.156266666666667</v>
      </c>
      <c r="L58" s="20">
        <f>IF(L5=0,"0",IF(AND(Results!$E$5="Protein",$C$53&gt;0,OR(Results!$E$4="Tissue",Results!$E$4="Cells")),((L5*L$51)/(L$53)),IF(AND(Results!$E$5="Weight",$C$52&gt;0, Results!$E$4="Tissue",OR($B$52="g",$B$52="mg")),((L5*L$51)/(L$52)),IF(AND(Results!$E$5="Volume",$C$54&gt;0,Results!$E$4="Fluid"),((L5*L$51)/(L$54)),IF(AND(Results!$E$4="Cells",Results!$E$5="Million",$B$52="million"),((L5*L$51)/(L$52)),"0")))))</f>
        <v>67.187950000000001</v>
      </c>
      <c r="M58" s="20">
        <f>IF(M5=0,"0",IF(AND(Results!$E$5="Protein",$C$53&gt;0,OR(Results!$E$4="Tissue",Results!$E$4="Cells")),((M5*M$51)/(M$53)),IF(AND(Results!$E$5="Weight",$C$52&gt;0, Results!$E$4="Tissue",OR($B$52="g",$B$52="mg")),((M5*M$51)/(M$52)),IF(AND(Results!$E$5="Volume",$C$54&gt;0,Results!$E$4="Fluid"),((M5*M$51)/(M$54)),IF(AND(Results!$E$4="Cells",Results!$E$5="Million",$B$52="million"),((M5*M$51)/(M$52)),"0")))))</f>
        <v>35.312466666666666</v>
      </c>
      <c r="N58" s="20">
        <f>IF(N5=0,"0",IF(AND(Results!$E$5="Protein",$C$53&gt;0,OR(Results!$E$4="Tissue",Results!$E$4="Cells")),((N5*N$51)/(N$53)),IF(AND(Results!$E$5="Weight",$C$52&gt;0, Results!$E$4="Tissue",OR($B$52="g",$B$52="mg")),((N5*N$51)/(N$52)),IF(AND(Results!$E$5="Volume",$C$54&gt;0,Results!$E$4="Fluid"),((N5*N$51)/(N$54)),IF(AND(Results!$E$4="Cells",Results!$E$5="Million",$B$52="million"),((N5*N$51)/(N$52)),"0")))))</f>
        <v>41.724900000000005</v>
      </c>
      <c r="O58" s="20">
        <f>IF(O5=0,"0",IF(AND(Results!$E$5="Protein",$C$53&gt;0,OR(Results!$E$4="Tissue",Results!$E$4="Cells")),((O5*O$51)/(O$53)),IF(AND(Results!$E$5="Weight",$C$52&gt;0, Results!$E$4="Tissue",OR($B$52="g",$B$52="mg")),((O5*O$51)/(O$52)),IF(AND(Results!$E$5="Volume",$C$54&gt;0,Results!$E$4="Fluid"),((O5*O$51)/(O$54)),IF(AND(Results!$E$4="Cells",Results!$E$5="Million",$B$52="million"),((O5*O$51)/(O$52)),"0")))))</f>
        <v>40.887483333333336</v>
      </c>
      <c r="P58" s="20">
        <f>IF(P5=0,"0",IF(AND(Results!$E$5="Protein",$C$53&gt;0,OR(Results!$E$4="Tissue",Results!$E$4="Cells")),((P5*P$51)/(P$53)),IF(AND(Results!$E$5="Weight",$C$52&gt;0, Results!$E$4="Tissue",OR($B$52="g",$B$52="mg")),((P5*P$51)/(P$52)),IF(AND(Results!$E$5="Volume",$C$54&gt;0,Results!$E$4="Fluid"),((P5*P$51)/(P$54)),IF(AND(Results!$E$4="Cells",Results!$E$5="Million",$B$52="million"),((P5*P$51)/(P$52)),"0")))))</f>
        <v>71.254633333333331</v>
      </c>
      <c r="Q58" s="20">
        <f>IF(Q5=0,"0",IF(AND(Results!$E$5="Protein",$C$53&gt;0,OR(Results!$E$4="Tissue",Results!$E$4="Cells")),((Q5*Q$51)/(Q$53)),IF(AND(Results!$E$5="Weight",$C$52&gt;0, Results!$E$4="Tissue",OR($B$52="g",$B$52="mg")),((Q5*Q$51)/(Q$52)),IF(AND(Results!$E$5="Volume",$C$54&gt;0,Results!$E$4="Fluid"),((Q5*Q$51)/(Q$54)),IF(AND(Results!$E$4="Cells",Results!$E$5="Million",$B$52="million"),((Q5*Q$51)/(Q$52)),"0")))))</f>
        <v>126.50246666666666</v>
      </c>
      <c r="R58" s="20">
        <f>IF(R5=0,"0",IF(AND(Results!$E$5="Protein",$C$53&gt;0,OR(Results!$E$4="Tissue",Results!$E$4="Cells")),((R5*R$51)/(R$53)),IF(AND(Results!$E$5="Weight",$C$52&gt;0, Results!$E$4="Tissue",OR($B$52="g",$B$52="mg")),((R5*R$51)/(R$52)),IF(AND(Results!$E$5="Volume",$C$54&gt;0,Results!$E$4="Fluid"),((R5*R$51)/(R$54)),IF(AND(Results!$E$4="Cells",Results!$E$5="Million",$B$52="million"),((R5*R$51)/(R$52)),"0")))))</f>
        <v>474.80809999999997</v>
      </c>
      <c r="S58" s="20">
        <f>IF(S5=0,"0",IF(AND(Results!$E$5="Protein",$C$53&gt;0,OR(Results!$E$4="Tissue",Results!$E$4="Cells")),((S5*S$51)/(S$53)),IF(AND(Results!$E$5="Weight",$C$52&gt;0, Results!$E$4="Tissue",OR($B$52="g",$B$52="mg")),((S5*S$51)/(S$52)),IF(AND(Results!$E$5="Volume",$C$54&gt;0,Results!$E$4="Fluid"),((S5*S$51)/(S$54)),IF(AND(Results!$E$4="Cells",Results!$E$5="Million",$B$52="million"),((S5*S$51)/(S$52)),"0")))))</f>
        <v>100.18928333333334</v>
      </c>
      <c r="T58" s="20">
        <f>IF(T5=0,"0",IF(AND(Results!$E$5="Protein",$C$53&gt;0,OR(Results!$E$4="Tissue",Results!$E$4="Cells")),((T5*T$51)/(T$53)),IF(AND(Results!$E$5="Weight",$C$52&gt;0, Results!$E$4="Tissue",OR($B$52="g",$B$52="mg")),((T5*T$51)/(T$52)),IF(AND(Results!$E$5="Volume",$C$54&gt;0,Results!$E$4="Fluid"),((T5*T$51)/(T$54)),IF(AND(Results!$E$4="Cells",Results!$E$5="Million",$B$52="million"),((T5*T$51)/(T$52)),"0")))))</f>
        <v>23.101733333333335</v>
      </c>
      <c r="U58" s="20">
        <f>IF(U5=0,"0",IF(AND(Results!$E$5="Protein",$C$53&gt;0,OR(Results!$E$4="Tissue",Results!$E$4="Cells")),((U5*U$51)/(U$53)),IF(AND(Results!$E$5="Weight",$C$52&gt;0, Results!$E$4="Tissue",OR($B$52="g",$B$52="mg")),((U5*U$51)/(U$52)),IF(AND(Results!$E$5="Volume",$C$54&gt;0,Results!$E$4="Fluid"),((U5*U$51)/(U$54)),IF(AND(Results!$E$4="Cells",Results!$E$5="Million",$B$52="million"),((U5*U$51)/(U$52)),"0")))))</f>
        <v>38.264400000000002</v>
      </c>
      <c r="V58" s="20">
        <f>IF(V5=0,"0",IF(AND(Results!$E$5="Protein",$C$53&gt;0,OR(Results!$E$4="Tissue",Results!$E$4="Cells")),((V5*V$51)/(V$53)),IF(AND(Results!$E$5="Weight",$C$52&gt;0, Results!$E$4="Tissue",OR($B$52="g",$B$52="mg")),((V5*V$51)/(V$52)),IF(AND(Results!$E$5="Volume",$C$54&gt;0,Results!$E$4="Fluid"),((V5*V$51)/(V$54)),IF(AND(Results!$E$4="Cells",Results!$E$5="Million",$B$52="million"),((V5*V$51)/(V$52)),"0")))))</f>
        <v>62.14693333333333</v>
      </c>
      <c r="W58" s="20">
        <f>IF(W5=0,"0",IF(AND(Results!$E$5="Protein",$C$53&gt;0,OR(Results!$E$4="Tissue",Results!$E$4="Cells")),((W5*W$51)/(W$53)),IF(AND(Results!$E$5="Weight",$C$52&gt;0, Results!$E$4="Tissue",OR($B$52="g",$B$52="mg")),((W5*W$51)/(W$52)),IF(AND(Results!$E$5="Volume",$C$54&gt;0,Results!$E$4="Fluid"),((W5*W$51)/(W$54)),IF(AND(Results!$E$4="Cells",Results!$E$5="Million",$B$52="million"),((W5*W$51)/(W$52)),"0")))))</f>
        <v>95.641942857142851</v>
      </c>
      <c r="X58" s="20">
        <f>IF(X5=0,"0",IF(AND(Results!$E$5="Protein",$C$53&gt;0,OR(Results!$E$4="Tissue",Results!$E$4="Cells")),((X5*X$51)/(X$53)),IF(AND(Results!$E$5="Weight",$C$52&gt;0, Results!$E$4="Tissue",OR($B$52="g",$B$52="mg")),((X5*X$51)/(X$52)),IF(AND(Results!$E$5="Volume",$C$54&gt;0,Results!$E$4="Fluid"),((X5*X$51)/(X$54)),IF(AND(Results!$E$4="Cells",Results!$E$5="Million",$B$52="million"),((X5*X$51)/(X$52)),"0")))))</f>
        <v>55.691879999999998</v>
      </c>
      <c r="Y58" s="20">
        <f>IF(Y5=0,"0",IF(AND(Results!$E$5="Protein",$C$53&gt;0,OR(Results!$E$4="Tissue",Results!$E$4="Cells")),((Y5*Y$51)/(Y$53)),IF(AND(Results!$E$5="Weight",$C$52&gt;0, Results!$E$4="Tissue",OR($B$52="g",$B$52="mg")),((Y5*Y$51)/(Y$52)),IF(AND(Results!$E$5="Volume",$C$54&gt;0,Results!$E$4="Fluid"),((Y5*Y$51)/(Y$54)),IF(AND(Results!$E$4="Cells",Results!$E$5="Million",$B$52="million"),((Y5*Y$51)/(Y$52)),"0")))))</f>
        <v>92.295266666666677</v>
      </c>
      <c r="Z58" s="20">
        <f>IF(Z5=0,"0",IF(AND(Results!$E$5="Protein",$C$53&gt;0,OR(Results!$E$4="Tissue",Results!$E$4="Cells")),((Z5*Z$51)/(Z$53)),IF(AND(Results!$E$5="Weight",$C$52&gt;0, Results!$E$4="Tissue",OR($B$52="g",$B$52="mg")),((Z5*Z$51)/(Z$52)),IF(AND(Results!$E$5="Volume",$C$54&gt;0,Results!$E$4="Fluid"),((Z5*Z$51)/(Z$54)),IF(AND(Results!$E$4="Cells",Results!$E$5="Million",$B$52="million"),((Z5*Z$51)/(Z$52)),"0")))))</f>
        <v>433.13182</v>
      </c>
      <c r="AA58" s="20">
        <f>IF(AA5=0,"0",IF(AND(Results!$E$5="Protein",$C$53&gt;0,OR(Results!$E$4="Tissue",Results!$E$4="Cells")),((AA5*AA$51)/(AA$53)),IF(AND(Results!$E$5="Weight",$C$52&gt;0, Results!$E$4="Tissue",OR($B$52="g",$B$52="mg")),((AA5*AA$51)/(AA$52)),IF(AND(Results!$E$5="Volume",$C$54&gt;0,Results!$E$4="Fluid"),((AA5*AA$51)/(AA$54)),IF(AND(Results!$E$4="Cells",Results!$E$5="Million",$B$52="million"),((AA5*AA$51)/(AA$52)),"0")))))</f>
        <v>43.866916666666675</v>
      </c>
      <c r="AB58" s="20">
        <f>IF(AB5=0,"0",IF(AND(Results!$E$5="Protein",$C$53&gt;0,OR(Results!$E$4="Tissue",Results!$E$4="Cells")),((AB5*AB$51)/(AB$53)),IF(AND(Results!$E$5="Weight",$C$52&gt;0, Results!$E$4="Tissue",OR($B$52="g",$B$52="mg")),((AB5*AB$51)/(AB$52)),IF(AND(Results!$E$5="Volume",$C$54&gt;0,Results!$E$4="Fluid"),((AB5*AB$51)/(AB$54)),IF(AND(Results!$E$4="Cells",Results!$E$5="Million",$B$52="million"),((AB5*AB$51)/(AB$52)),"0")))))</f>
        <v>61.129800000000003</v>
      </c>
      <c r="AC58" s="20">
        <f>IF(AC5=0,"0",IF(AND(Results!$E$5="Protein",$C$53&gt;0,OR(Results!$E$4="Tissue",Results!$E$4="Cells")),((AC5*AC$51)/(AC$53)),IF(AND(Results!$E$5="Weight",$C$52&gt;0, Results!$E$4="Tissue",OR($B$52="g",$B$52="mg")),((AC5*AC$51)/(AC$52)),IF(AND(Results!$E$5="Volume",$C$54&gt;0,Results!$E$4="Fluid"),((AC5*AC$51)/(AC$54)),IF(AND(Results!$E$4="Cells",Results!$E$5="Million",$B$52="million"),((AC5*AC$51)/(AC$52)),"0")))))</f>
        <v>25.797083333333333</v>
      </c>
      <c r="AD58" s="20">
        <f>IF(AD5=0,"0",IF(AND(Results!$E$5="Protein",$C$53&gt;0,OR(Results!$E$4="Tissue",Results!$E$4="Cells")),((AD5*AD$51)/(AD$53)),IF(AND(Results!$E$5="Weight",$C$52&gt;0, Results!$E$4="Tissue",OR($B$52="g",$B$52="mg")),((AD5*AD$51)/(AD$52)),IF(AND(Results!$E$5="Volume",$C$54&gt;0,Results!$E$4="Fluid"),((AD5*AD$51)/(AD$54)),IF(AND(Results!$E$4="Cells",Results!$E$5="Million",$B$52="million"),((AD5*AD$51)/(AD$52)),"0")))))</f>
        <v>32.76553333333333</v>
      </c>
      <c r="AE58" s="20">
        <f>IF(AE5=0,"0",IF(AND(Results!$E$5="Protein",$C$53&gt;0,OR(Results!$E$4="Tissue",Results!$E$4="Cells")),((AE5*AE$51)/(AE$53)),IF(AND(Results!$E$5="Weight",$C$52&gt;0, Results!$E$4="Tissue",OR($B$52="g",$B$52="mg")),((AE5*AE$51)/(AE$52)),IF(AND(Results!$E$5="Volume",$C$54&gt;0,Results!$E$4="Fluid"),((AE5*AE$51)/(AE$54)),IF(AND(Results!$E$4="Cells",Results!$E$5="Million",$B$52="million"),((AE5*AE$51)/(AE$52)),"0")))))</f>
        <v>23.128049999999998</v>
      </c>
      <c r="AF58" s="20">
        <f>IF(AF5=0,"0",IF(AND(Results!$E$5="Protein",$C$53&gt;0,OR(Results!$E$4="Tissue",Results!$E$4="Cells")),((AF5*AF$51)/(AF$53)),IF(AND(Results!$E$5="Weight",$C$52&gt;0, Results!$E$4="Tissue",OR($B$52="g",$B$52="mg")),((AF5*AF$51)/(AF$52)),IF(AND(Results!$E$5="Volume",$C$54&gt;0,Results!$E$4="Fluid"),((AF5*AF$51)/(AF$54)),IF(AND(Results!$E$4="Cells",Results!$E$5="Million",$B$52="million"),((AF5*AF$51)/(AF$52)),"0")))))</f>
        <v>26.397433333333332</v>
      </c>
      <c r="AG58" s="20">
        <f>IF(AG5=0,"0",IF(AND(Results!$E$5="Protein",$C$53&gt;0,OR(Results!$E$4="Tissue",Results!$E$4="Cells")),((AG5*AG$51)/(AG$53)),IF(AND(Results!$E$5="Weight",$C$52&gt;0, Results!$E$4="Tissue",OR($B$52="g",$B$52="mg")),((AG5*AG$51)/(AG$52)),IF(AND(Results!$E$5="Volume",$C$54&gt;0,Results!$E$4="Fluid"),((AG5*AG$51)/(AG$54)),IF(AND(Results!$E$4="Cells",Results!$E$5="Million",$B$52="million"),((AG5*AG$51)/(AG$52)),"0")))))</f>
        <v>105.10051666666668</v>
      </c>
      <c r="AH58" s="20">
        <f>IF(AH5=0,"0",IF(AND(Results!$E$5="Protein",$C$53&gt;0,OR(Results!$E$4="Tissue",Results!$E$4="Cells")),((AH5*AH$51)/(AH$53)),IF(AND(Results!$E$5="Weight",$C$52&gt;0, Results!$E$4="Tissue",OR($B$52="g",$B$52="mg")),((AH5*AH$51)/(AH$52)),IF(AND(Results!$E$5="Volume",$C$54&gt;0,Results!$E$4="Fluid"),((AH5*AH$51)/(AH$54)),IF(AND(Results!$E$4="Cells",Results!$E$5="Million",$B$52="million"),((AH5*AH$51)/(AH$52)),"0")))))</f>
        <v>43.270083333333332</v>
      </c>
      <c r="AI58" s="20">
        <f>IF(AI5=0,"0",IF(AND(Results!$E$5="Protein",$C$53&gt;0,OR(Results!$E$4="Tissue",Results!$E$4="Cells")),((AI5*AI$51)/(AI$53)),IF(AND(Results!$E$5="Weight",$C$52&gt;0, Results!$E$4="Tissue",OR($B$52="g",$B$52="mg")),((AI5*AI$51)/(AI$52)),IF(AND(Results!$E$5="Volume",$C$54&gt;0,Results!$E$4="Fluid"),((AI5*AI$51)/(AI$54)),IF(AND(Results!$E$4="Cells",Results!$E$5="Million",$B$52="million"),((AI5*AI$51)/(AI$52)),"0")))))</f>
        <v>89.960566666666665</v>
      </c>
      <c r="AJ58" s="20">
        <f>IF(AJ5=0,"0",IF(AND(Results!$E$5="Protein",$C$53&gt;0,OR(Results!$E$4="Tissue",Results!$E$4="Cells")),((AJ5*AJ$51)/(AJ$53)),IF(AND(Results!$E$5="Weight",$C$52&gt;0, Results!$E$4="Tissue",OR($B$52="g",$B$52="mg")),((AJ5*AJ$51)/(AJ$52)),IF(AND(Results!$E$5="Volume",$C$54&gt;0,Results!$E$4="Fluid"),((AJ5*AJ$51)/(AJ$54)),IF(AND(Results!$E$4="Cells",Results!$E$5="Million",$B$52="million"),((AJ5*AJ$51)/(AJ$52)),"0")))))</f>
        <v>88.017299999999992</v>
      </c>
      <c r="AK58" s="20">
        <f>IF(AK5=0,"0",IF(AND(Results!$E$5="Protein",$C$53&gt;0,OR(Results!$E$4="Tissue",Results!$E$4="Cells")),((AK5*AK$51)/(AK$53)),IF(AND(Results!$E$5="Weight",$C$52&gt;0, Results!$E$4="Tissue",OR($B$52="g",$B$52="mg")),((AK5*AK$51)/(AK$52)),IF(AND(Results!$E$5="Volume",$C$54&gt;0,Results!$E$4="Fluid"),((AK5*AK$51)/(AK$54)),IF(AND(Results!$E$4="Cells",Results!$E$5="Million",$B$52="million"),((AK5*AK$51)/(AK$52)),"0")))))</f>
        <v>28.074733333333331</v>
      </c>
      <c r="AL58" s="20">
        <f>IF(AL5=0,"0",IF(AND(Results!$E$5="Protein",$C$53&gt;0,OR(Results!$E$4="Tissue",Results!$E$4="Cells")),((AL5*AL$51)/(AL$53)),IF(AND(Results!$E$5="Weight",$C$52&gt;0, Results!$E$4="Tissue",OR($B$52="g",$B$52="mg")),((AL5*AL$51)/(AL$52)),IF(AND(Results!$E$5="Volume",$C$54&gt;0,Results!$E$4="Fluid"),((AL5*AL$51)/(AL$54)),IF(AND(Results!$E$4="Cells",Results!$E$5="Million",$B$52="million"),((AL5*AL$51)/(AL$52)),"0")))))</f>
        <v>53.489216666666671</v>
      </c>
      <c r="AM58" s="20">
        <f>IF(AM5=0,"0",IF(AND(Results!$E$5="Protein",$C$53&gt;0,OR(Results!$E$4="Tissue",Results!$E$4="Cells")),((AM5*AM$51)/(AM$53)),IF(AND(Results!$E$5="Weight",$C$52&gt;0, Results!$E$4="Tissue",OR($B$52="g",$B$52="mg")),((AM5*AM$51)/(AM$52)),IF(AND(Results!$E$5="Volume",$C$54&gt;0,Results!$E$4="Fluid"),((AM5*AM$51)/(AM$54)),IF(AND(Results!$E$4="Cells",Results!$E$5="Million",$B$52="million"),((AM5*AM$51)/(AM$52)),"0")))))</f>
        <v>155.10811666666666</v>
      </c>
      <c r="AN58" s="20">
        <f>IF(AN5=0,"0",IF(AND(Results!$E$5="Protein",$C$53&gt;0,OR(Results!$E$4="Tissue",Results!$E$4="Cells")),((AN5*AN$51)/(AN$53)),IF(AND(Results!$E$5="Weight",$C$52&gt;0, Results!$E$4="Tissue",OR($B$52="g",$B$52="mg")),((AN5*AN$51)/(AN$52)),IF(AND(Results!$E$5="Volume",$C$54&gt;0,Results!$E$4="Fluid"),((AN5*AN$51)/(AN$54)),IF(AND(Results!$E$4="Cells",Results!$E$5="Million",$B$52="million"),((AN5*AN$51)/(AN$52)),"0")))))</f>
        <v>51.056566666666669</v>
      </c>
      <c r="AO58" s="20">
        <f>IF(AO5=0,"0",IF(AND(Results!$E$5="Protein",$C$53&gt;0,OR(Results!$E$4="Tissue",Results!$E$4="Cells")),((AO5*AO$51)/(AO$53)),IF(AND(Results!$E$5="Weight",$C$52&gt;0, Results!$E$4="Tissue",OR($B$52="g",$B$52="mg")),((AO5*AO$51)/(AO$52)),IF(AND(Results!$E$5="Volume",$C$54&gt;0,Results!$E$4="Fluid"),((AO5*AO$51)/(AO$54)),IF(AND(Results!$E$4="Cells",Results!$E$5="Million",$B$52="million"),((AO5*AO$51)/(AO$52)),"0")))))</f>
        <v>28.556649999999998</v>
      </c>
      <c r="AP58" s="20">
        <f>IF(AP5=0,"0",IF(AND(Results!$E$5="Protein",$C$53&gt;0,OR(Results!$E$4="Tissue",Results!$E$4="Cells")),((AP5*AP$51)/(AP$53)),IF(AND(Results!$E$5="Weight",$C$52&gt;0, Results!$E$4="Tissue",OR($B$52="g",$B$52="mg")),((AP5*AP$51)/(AP$52)),IF(AND(Results!$E$5="Volume",$C$54&gt;0,Results!$E$4="Fluid"),((AP5*AP$51)/(AP$54)),IF(AND(Results!$E$4="Cells",Results!$E$5="Million",$B$52="million"),((AP5*AP$51)/(AP$52)),"0")))))</f>
        <v>35.767916666666665</v>
      </c>
      <c r="AQ58" s="20">
        <f>IF(AQ5=0,"0",IF(AND(Results!$E$5="Protein",$C$53&gt;0,OR(Results!$E$4="Tissue",Results!$E$4="Cells")),((AQ5*AQ$51)/(AQ$53)),IF(AND(Results!$E$5="Weight",$C$52&gt;0, Results!$E$4="Tissue",OR($B$52="g",$B$52="mg")),((AQ5*AQ$51)/(AQ$52)),IF(AND(Results!$E$5="Volume",$C$54&gt;0,Results!$E$4="Fluid"),((AQ5*AQ$51)/(AQ$54)),IF(AND(Results!$E$4="Cells",Results!$E$5="Million",$B$52="million"),((AQ5*AQ$51)/(AQ$52)),"0")))))</f>
        <v>273.04338333333334</v>
      </c>
      <c r="AR58" s="20">
        <f>IF(AR5=0,"0",IF(AND(Results!$E$5="Protein",$C$53&gt;0,OR(Results!$E$4="Tissue",Results!$E$4="Cells")),((AR5*AR$51)/(AR$53)),IF(AND(Results!$E$5="Weight",$C$52&gt;0, Results!$E$4="Tissue",OR($B$52="g",$B$52="mg")),((AR5*AR$51)/(AR$52)),IF(AND(Results!$E$5="Volume",$C$54&gt;0,Results!$E$4="Fluid"),((AR5*AR$51)/(AR$54)),IF(AND(Results!$E$4="Cells",Results!$E$5="Million",$B$52="million"),((AR5*AR$51)/(AR$52)),"0")))))</f>
        <v>21.213700000000003</v>
      </c>
      <c r="AS58" s="20">
        <f>IF(AS5=0,"0",IF(AND(Results!$E$5="Protein",$C$53&gt;0,OR(Results!$E$4="Tissue",Results!$E$4="Cells")),((AS5*AS$51)/(AS$53)),IF(AND(Results!$E$5="Weight",$C$52&gt;0, Results!$E$4="Tissue",OR($B$52="g",$B$52="mg")),((AS5*AS$51)/(AS$52)),IF(AND(Results!$E$5="Volume",$C$54&gt;0,Results!$E$4="Fluid"),((AS5*AS$51)/(AS$54)),IF(AND(Results!$E$4="Cells",Results!$E$5="Million",$B$52="million"),((AS5*AS$51)/(AS$52)),"0")))))</f>
        <v>131.14041666666665</v>
      </c>
      <c r="AT58" s="20">
        <f>IF(AT5=0,"0",IF(AND(Results!$E$5="Protein",$C$53&gt;0,OR(Results!$E$4="Tissue",Results!$E$4="Cells")),((AT5*AT$51)/(AT$53)),IF(AND(Results!$E$5="Weight",$C$52&gt;0, Results!$E$4="Tissue",OR($B$52="g",$B$52="mg")),((AT5*AT$51)/(AT$52)),IF(AND(Results!$E$5="Volume",$C$54&gt;0,Results!$E$4="Fluid"),((AT5*AT$51)/(AT$54)),IF(AND(Results!$E$4="Cells",Results!$E$5="Million",$B$52="million"),((AT5*AT$51)/(AT$52)),"0")))))</f>
        <v>76.885950000000008</v>
      </c>
      <c r="AU58" s="20">
        <f>IF(AU5=0,"0",IF(AND(Results!$E$5="Protein",$C$53&gt;0,OR(Results!$E$4="Tissue",Results!$E$4="Cells")),((AU5*AU$51)/(AU$53)),IF(AND(Results!$E$5="Weight",$C$52&gt;0, Results!$E$4="Tissue",OR($B$52="g",$B$52="mg")),((AU5*AU$51)/(AU$52)),IF(AND(Results!$E$5="Volume",$C$54&gt;0,Results!$E$4="Fluid"),((AU5*AU$51)/(AU$54)),IF(AND(Results!$E$4="Cells",Results!$E$5="Million",$B$52="million"),((AU5*AU$51)/(AU$52)),"0")))))</f>
        <v>15.338919999999998</v>
      </c>
      <c r="AV58" s="20">
        <f>IF(AV5=0,"0",IF(AND(Results!$E$5="Protein",$C$53&gt;0,OR(Results!$E$4="Tissue",Results!$E$4="Cells")),((AV5*AV$51)/(AV$53)),IF(AND(Results!$E$5="Weight",$C$52&gt;0, Results!$E$4="Tissue",OR($B$52="g",$B$52="mg")),((AV5*AV$51)/(AV$52)),IF(AND(Results!$E$5="Volume",$C$54&gt;0,Results!$E$4="Fluid"),((AV5*AV$51)/(AV$54)),IF(AND(Results!$E$4="Cells",Results!$E$5="Million",$B$52="million"),((AV5*AV$51)/(AV$52)),"0")))))</f>
        <v>23.596520000000002</v>
      </c>
      <c r="AW58" s="20">
        <f>IF(AW5=0,"0",IF(AND(Results!$E$5="Protein",$C$53&gt;0,OR(Results!$E$4="Tissue",Results!$E$4="Cells")),((AW5*AW$51)/(AW$53)),IF(AND(Results!$E$5="Weight",$C$52&gt;0, Results!$E$4="Tissue",OR($B$52="g",$B$52="mg")),((AW5*AW$51)/(AW$52)),IF(AND(Results!$E$5="Volume",$C$54&gt;0,Results!$E$4="Fluid"),((AW5*AW$51)/(AW$54)),IF(AND(Results!$E$4="Cells",Results!$E$5="Million",$B$52="million"),((AW5*AW$51)/(AW$52)),"0")))))</f>
        <v>17.635716666666667</v>
      </c>
      <c r="AX58" s="20">
        <f>IF(AX5=0,"0",IF(AND(Results!$E$5="Protein",$C$53&gt;0,OR(Results!$E$4="Tissue",Results!$E$4="Cells")),((AX5*AX$51)/(AX$53)),IF(AND(Results!$E$5="Weight",$C$52&gt;0, Results!$E$4="Tissue",OR($B$52="g",$B$52="mg")),((AX5*AX$51)/(AX$52)),IF(AND(Results!$E$5="Volume",$C$54&gt;0,Results!$E$4="Fluid"),((AX5*AX$51)/(AX$54)),IF(AND(Results!$E$4="Cells",Results!$E$5="Million",$B$52="million"),((AX5*AX$51)/(AX$52)),"0")))))</f>
        <v>25.642033333333337</v>
      </c>
      <c r="AY58" s="20">
        <f>IF(AY5=0,"0",IF(AND(Results!$E$5="Protein",$C$53&gt;0,OR(Results!$E$4="Tissue",Results!$E$4="Cells")),((AY5*AY$51)/(AY$53)),IF(AND(Results!$E$5="Weight",$C$52&gt;0, Results!$E$4="Tissue",OR($B$52="g",$B$52="mg")),((AY5*AY$51)/(AY$52)),IF(AND(Results!$E$5="Volume",$C$54&gt;0,Results!$E$4="Fluid"),((AY5*AY$51)/(AY$54)),IF(AND(Results!$E$4="Cells",Results!$E$5="Million",$B$52="million"),((AY5*AY$51)/(AY$52)),"0")))))</f>
        <v>32.111499999999999</v>
      </c>
      <c r="AZ58" s="20">
        <f>IF(AZ5=0,"0",IF(AND(Results!$E$5="Protein",$C$53&gt;0,OR(Results!$E$4="Tissue",Results!$E$4="Cells")),((AZ5*AZ$51)/(AZ$53)),IF(AND(Results!$E$5="Weight",$C$52&gt;0, Results!$E$4="Tissue",OR($B$52="g",$B$52="mg")),((AZ5*AZ$51)/(AZ$52)),IF(AND(Results!$E$5="Volume",$C$54&gt;0,Results!$E$4="Fluid"),((AZ5*AZ$51)/(AZ$54)),IF(AND(Results!$E$4="Cells",Results!$E$5="Million",$B$52="million"),((AZ5*AZ$51)/(AZ$52)),"0")))))</f>
        <v>12.123950000000001</v>
      </c>
      <c r="BA58" s="20">
        <f>IF(BA5=0,"0",IF(AND(Results!$E$5="Protein",$C$53&gt;0,OR(Results!$E$4="Tissue",Results!$E$4="Cells")),((BA5*BA$51)/(BA$53)),IF(AND(Results!$E$5="Weight",$C$52&gt;0, Results!$E$4="Tissue",OR($B$52="g",$B$52="mg")),((BA5*BA$51)/(BA$52)),IF(AND(Results!$E$5="Volume",$C$54&gt;0,Results!$E$4="Fluid"),((BA5*BA$51)/(BA$54)),IF(AND(Results!$E$4="Cells",Results!$E$5="Million",$B$52="million"),((BA5*BA$51)/(BA$52)),"0")))))</f>
        <v>32.001316666666668</v>
      </c>
      <c r="BB58" s="20">
        <f>IF(BB5=0,"0",IF(AND(Results!$E$5="Protein",$C$53&gt;0,OR(Results!$E$4="Tissue",Results!$E$4="Cells")),((BB5*BB$51)/(BB$53)),IF(AND(Results!$E$5="Weight",$C$52&gt;0, Results!$E$4="Tissue",OR($B$52="g",$B$52="mg")),((BB5*BB$51)/(BB$52)),IF(AND(Results!$E$5="Volume",$C$54&gt;0,Results!$E$4="Fluid"),((BB5*BB$51)/(BB$54)),IF(AND(Results!$E$4="Cells",Results!$E$5="Million",$B$52="million"),((BB5*BB$51)/(BB$52)),"0")))))</f>
        <v>23.555383333333335</v>
      </c>
      <c r="BC58" s="20">
        <f>IF(BC5=0,"0",IF(AND(Results!$E$5="Protein",$C$53&gt;0,OR(Results!$E$4="Tissue",Results!$E$4="Cells")),((BC5*BC$51)/(BC$53)),IF(AND(Results!$E$5="Weight",$C$52&gt;0, Results!$E$4="Tissue",OR($B$52="g",$B$52="mg")),((BC5*BC$51)/(BC$52)),IF(AND(Results!$E$5="Volume",$C$54&gt;0,Results!$E$4="Fluid"),((BC5*BC$51)/(BC$54)),IF(AND(Results!$E$4="Cells",Results!$E$5="Million",$B$52="million"),((BC5*BC$51)/(BC$52)),"0")))))</f>
        <v>28.731883333333332</v>
      </c>
      <c r="BD58" s="20">
        <f>IF(BD5=0,"0",IF(AND(Results!$E$5="Protein",$C$53&gt;0,OR(Results!$E$4="Tissue",Results!$E$4="Cells")),((BD5*BD$51)/(BD$53)),IF(AND(Results!$E$5="Weight",$C$52&gt;0, Results!$E$4="Tissue",OR($B$52="g",$B$52="mg")),((BD5*BD$51)/(BD$52)),IF(AND(Results!$E$5="Volume",$C$54&gt;0,Results!$E$4="Fluid"),((BD5*BD$51)/(BD$54)),IF(AND(Results!$E$4="Cells",Results!$E$5="Million",$B$52="million"),((BD5*BD$51)/(BD$52)),"0")))))</f>
        <v>23.771483333333329</v>
      </c>
      <c r="BE58" s="20">
        <f>IF(BE5=0,"0",IF(AND(Results!$E$5="Protein",$C$53&gt;0,OR(Results!$E$4="Tissue",Results!$E$4="Cells")),((BE5*BE$51)/(BE$53)),IF(AND(Results!$E$5="Weight",$C$52&gt;0, Results!$E$4="Tissue",OR($B$52="g",$B$52="mg")),((BE5*BE$51)/(BE$52)),IF(AND(Results!$E$5="Volume",$C$54&gt;0,Results!$E$4="Fluid"),((BE5*BE$51)/(BE$54)),IF(AND(Results!$E$4="Cells",Results!$E$5="Million",$B$52="million"),((BE5*BE$51)/(BE$52)),"0")))))</f>
        <v>50.383450000000003</v>
      </c>
      <c r="BF58" s="20">
        <f>IF(BF5=0,"0",IF(AND(Results!$E$5="Protein",$C$53&gt;0,OR(Results!$E$4="Tissue",Results!$E$4="Cells")),((BF5*BF$51)/(BF$53)),IF(AND(Results!$E$5="Weight",$C$52&gt;0, Results!$E$4="Tissue",OR($B$52="g",$B$52="mg")),((BF5*BF$51)/(BF$52)),IF(AND(Results!$E$5="Volume",$C$54&gt;0,Results!$E$4="Fluid"),((BF5*BF$51)/(BF$54)),IF(AND(Results!$E$4="Cells",Results!$E$5="Million",$B$52="million"),((BF5*BF$51)/(BF$52)),"0")))))</f>
        <v>154.70228333333336</v>
      </c>
      <c r="BG58" s="20">
        <f>IF(BG5=0,"0",IF(AND(Results!$E$5="Protein",$C$53&gt;0,OR(Results!$E$4="Tissue",Results!$E$4="Cells")),((BG5*BG$51)/(BG$53)),IF(AND(Results!$E$5="Weight",$C$52&gt;0, Results!$E$4="Tissue",OR($B$52="g",$B$52="mg")),((BG5*BG$51)/(BG$52)),IF(AND(Results!$E$5="Volume",$C$54&gt;0,Results!$E$4="Fluid"),((BG5*BG$51)/(BG$54)),IF(AND(Results!$E$4="Cells",Results!$E$5="Million",$B$52="million"),((BG5*BG$51)/(BG$52)),"0")))))</f>
        <v>16.124983333333333</v>
      </c>
      <c r="BH58" s="20">
        <f>IF(BH5=0,"0",IF(AND(Results!$E$5="Protein",$C$53&gt;0,OR(Results!$E$4="Tissue",Results!$E$4="Cells")),((BH5*BH$51)/(BH$53)),IF(AND(Results!$E$5="Weight",$C$52&gt;0, Results!$E$4="Tissue",OR($B$52="g",$B$52="mg")),((BH5*BH$51)/(BH$52)),IF(AND(Results!$E$5="Volume",$C$54&gt;0,Results!$E$4="Fluid"),((BH5*BH$51)/(BH$54)),IF(AND(Results!$E$4="Cells",Results!$E$5="Million",$B$52="million"),((BH5*BH$51)/(BH$52)),"0")))))</f>
        <v>132.33066666666667</v>
      </c>
      <c r="BI58" s="20">
        <f>IF(BI5=0,"0",IF(AND(Results!$E$5="Protein",$C$53&gt;0,OR(Results!$E$4="Tissue",Results!$E$4="Cells")),((BI5*BI$51)/(BI$53)),IF(AND(Results!$E$5="Weight",$C$52&gt;0, Results!$E$4="Tissue",OR($B$52="g",$B$52="mg")),((BI5*BI$51)/(BI$52)),IF(AND(Results!$E$5="Volume",$C$54&gt;0,Results!$E$4="Fluid"),((BI5*BI$51)/(BI$54)),IF(AND(Results!$E$4="Cells",Results!$E$5="Million",$B$52="million"),((BI5*BI$51)/(BI$52)),"0")))))</f>
        <v>294.43033333333335</v>
      </c>
      <c r="BJ58" s="20">
        <f>IF(BJ5=0,"0",IF(AND(Results!$E$5="Protein",$C$53&gt;0,OR(Results!$E$4="Tissue",Results!$E$4="Cells")),((BJ5*BJ$51)/(BJ$53)),IF(AND(Results!$E$5="Weight",$C$52&gt;0, Results!$E$4="Tissue",OR($B$52="g",$B$52="mg")),((BJ5*BJ$51)/(BJ$52)),IF(AND(Results!$E$5="Volume",$C$54&gt;0,Results!$E$4="Fluid"),((BJ5*BJ$51)/(BJ$54)),IF(AND(Results!$E$4="Cells",Results!$E$5="Million",$B$52="million"),((BJ5*BJ$51)/(BJ$52)),"0")))))</f>
        <v>455.29175000000004</v>
      </c>
      <c r="BK58" s="20">
        <f>IF(BK5=0,"0",IF(AND(Results!$E$5="Protein",$C$53&gt;0,OR(Results!$E$4="Tissue",Results!$E$4="Cells")),((BK5*BK$51)/(BK$53)),IF(AND(Results!$E$5="Weight",$C$52&gt;0, Results!$E$4="Tissue",OR($B$52="g",$B$52="mg")),((BK5*BK$51)/(BK$52)),IF(AND(Results!$E$5="Volume",$C$54&gt;0,Results!$E$4="Fluid"),((BK5*BK$51)/(BK$54)),IF(AND(Results!$E$4="Cells",Results!$E$5="Million",$B$52="million"),((BK5*BK$51)/(BK$52)),"0")))))</f>
        <v>114.18851666666666</v>
      </c>
      <c r="BL58" s="20">
        <f>IF(BL5=0,"0",IF(AND(Results!$E$5="Protein",$C$53&gt;0,OR(Results!$E$4="Tissue",Results!$E$4="Cells")),((BL5*BL$51)/(BL$53)),IF(AND(Results!$E$5="Weight",$C$52&gt;0, Results!$E$4="Tissue",OR($B$52="g",$B$52="mg")),((BL5*BL$51)/(BL$52)),IF(AND(Results!$E$5="Volume",$C$54&gt;0,Results!$E$4="Fluid"),((BL5*BL$51)/(BL$54)),IF(AND(Results!$E$4="Cells",Results!$E$5="Million",$B$52="million"),((BL5*BL$51)/(BL$52)),"0")))))</f>
        <v>1486.2688833333334</v>
      </c>
      <c r="BM58" s="20">
        <f>IF(BM5=0,"0",IF(AND(Results!$E$5="Protein",$C$53&gt;0,OR(Results!$E$4="Tissue",Results!$E$4="Cells")),((BM5*BM$51)/(BM$53)),IF(AND(Results!$E$5="Weight",$C$52&gt;0, Results!$E$4="Tissue",OR($B$52="g",$B$52="mg")),((BM5*BM$51)/(BM$52)),IF(AND(Results!$E$5="Volume",$C$54&gt;0,Results!$E$4="Fluid"),((BM5*BM$51)/(BM$54)),IF(AND(Results!$E$4="Cells",Results!$E$5="Million",$B$52="million"),((BM5*BM$51)/(BM$52)),"0")))))</f>
        <v>1065.6721714285713</v>
      </c>
      <c r="BN58" s="20">
        <f>IF(BN5=0,"0",IF(AND(Results!$E$5="Protein",$C$53&gt;0,OR(Results!$E$4="Tissue",Results!$E$4="Cells")),((BN5*BN$51)/(BN$53)),IF(AND(Results!$E$5="Weight",$C$52&gt;0, Results!$E$4="Tissue",OR($B$52="g",$B$52="mg")),((BN5*BN$51)/(BN$52)),IF(AND(Results!$E$5="Volume",$C$54&gt;0,Results!$E$4="Fluid"),((BN5*BN$51)/(BN$54)),IF(AND(Results!$E$4="Cells",Results!$E$5="Million",$B$52="million"),((BN5*BN$51)/(BN$52)),"0")))))</f>
        <v>1284.4288999999999</v>
      </c>
      <c r="BO58" s="20">
        <f>IF(BO5=0,"0",IF(AND(Results!$E$5="Protein",$C$53&gt;0,OR(Results!$E$4="Tissue",Results!$E$4="Cells")),((BO5*BO$51)/(BO$53)),IF(AND(Results!$E$5="Weight",$C$52&gt;0, Results!$E$4="Tissue",OR($B$52="g",$B$52="mg")),((BO5*BO$51)/(BO$52)),IF(AND(Results!$E$5="Volume",$C$54&gt;0,Results!$E$4="Fluid"),((BO5*BO$51)/(BO$54)),IF(AND(Results!$E$4="Cells",Results!$E$5="Million",$B$52="million"),((BO5*BO$51)/(BO$52)),"0")))))</f>
        <v>2022.7481666666667</v>
      </c>
      <c r="BP58" s="20">
        <f>IF(BP5=0,"0",IF(AND(Results!$E$5="Protein",$C$53&gt;0,OR(Results!$E$4="Tissue",Results!$E$4="Cells")),((BP5*BP$51)/(BP$53)),IF(AND(Results!$E$5="Weight",$C$52&gt;0, Results!$E$4="Tissue",OR($B$52="g",$B$52="mg")),((BP5*BP$51)/(BP$52)),IF(AND(Results!$E$5="Volume",$C$54&gt;0,Results!$E$4="Fluid"),((BP5*BP$51)/(BP$54)),IF(AND(Results!$E$4="Cells",Results!$E$5="Million",$B$52="million"),((BP5*BP$51)/(BP$52)),"0")))))</f>
        <v>902.61896666666678</v>
      </c>
      <c r="BQ58" s="20">
        <f>IF(BQ5=0,"0",IF(AND(Results!$E$5="Protein",$C$53&gt;0,OR(Results!$E$4="Tissue",Results!$E$4="Cells")),((BQ5*BQ$51)/(BQ$53)),IF(AND(Results!$E$5="Weight",$C$52&gt;0, Results!$E$4="Tissue",OR($B$52="g",$B$52="mg")),((BQ5*BQ$51)/(BQ$52)),IF(AND(Results!$E$5="Volume",$C$54&gt;0,Results!$E$4="Fluid"),((BQ5*BQ$51)/(BQ$54)),IF(AND(Results!$E$4="Cells",Results!$E$5="Million",$B$52="million"),((BQ5*BQ$51)/(BQ$52)),"0")))))</f>
        <v>113.56841666666666</v>
      </c>
      <c r="BR58" s="20">
        <f>IF(BR5=0,"0",IF(AND(Results!$E$5="Protein",$C$53&gt;0,OR(Results!$E$4="Tissue",Results!$E$4="Cells")),((BR5*BR$51)/(BR$53)),IF(AND(Results!$E$5="Weight",$C$52&gt;0, Results!$E$4="Tissue",OR($B$52="g",$B$52="mg")),((BR5*BR$51)/(BR$52)),IF(AND(Results!$E$5="Volume",$C$54&gt;0,Results!$E$4="Fluid"),((BR5*BR$51)/(BR$54)),IF(AND(Results!$E$4="Cells",Results!$E$5="Million",$B$52="million"),((BR5*BR$51)/(BR$52)),"0")))))</f>
        <v>36.488199999999999</v>
      </c>
      <c r="BS58" s="20">
        <f>IF(BS5=0,"0",IF(AND(Results!$E$5="Protein",$C$53&gt;0,OR(Results!$E$4="Tissue",Results!$E$4="Cells")),((BS5*BS$51)/(BS$53)),IF(AND(Results!$E$5="Weight",$C$52&gt;0, Results!$E$4="Tissue",OR($B$52="g",$B$52="mg")),((BS5*BS$51)/(BS$52)),IF(AND(Results!$E$5="Volume",$C$54&gt;0,Results!$E$4="Fluid"),((BS5*BS$51)/(BS$54)),IF(AND(Results!$E$4="Cells",Results!$E$5="Million",$B$52="million"),((BS5*BS$51)/(BS$52)),"0")))))</f>
        <v>1024.8181166666666</v>
      </c>
      <c r="BT58" s="20">
        <f>IF(BT5=0,"0",IF(AND(Results!$E$5="Protein",$C$53&gt;0,OR(Results!$E$4="Tissue",Results!$E$4="Cells")),((BT5*BT$51)/(BT$53)),IF(AND(Results!$E$5="Weight",$C$52&gt;0, Results!$E$4="Tissue",OR($B$52="g",$B$52="mg")),((BT5*BT$51)/(BT$52)),IF(AND(Results!$E$5="Volume",$C$54&gt;0,Results!$E$4="Fluid"),((BT5*BT$51)/(BT$54)),IF(AND(Results!$E$4="Cells",Results!$E$5="Million",$B$52="million"),((BT5*BT$51)/(BT$52)),"0")))))</f>
        <v>317.65976666666666</v>
      </c>
      <c r="BU58" s="20">
        <f>IF(BU5=0,"0",IF(AND(Results!$E$5="Protein",$C$53&gt;0,OR(Results!$E$4="Tissue",Results!$E$4="Cells")),((BU5*BU$51)/(BU$53)),IF(AND(Results!$E$5="Weight",$C$52&gt;0, Results!$E$4="Tissue",OR($B$52="g",$B$52="mg")),((BU5*BU$51)/(BU$52)),IF(AND(Results!$E$5="Volume",$C$54&gt;0,Results!$E$4="Fluid"),((BU5*BU$51)/(BU$54)),IF(AND(Results!$E$4="Cells",Results!$E$5="Million",$B$52="million"),((BU5*BU$51)/(BU$52)),"0")))))</f>
        <v>180.46478333333334</v>
      </c>
      <c r="BV58" s="20">
        <f>IF(BV5=0,"0",IF(AND(Results!$E$5="Protein",$C$53&gt;0,OR(Results!$E$4="Tissue",Results!$E$4="Cells")),((BV5*BV$51)/(BV$53)),IF(AND(Results!$E$5="Weight",$C$52&gt;0, Results!$E$4="Tissue",OR($B$52="g",$B$52="mg")),((BV5*BV$51)/(BV$52)),IF(AND(Results!$E$5="Volume",$C$54&gt;0,Results!$E$4="Fluid"),((BV5*BV$51)/(BV$54)),IF(AND(Results!$E$4="Cells",Results!$E$5="Million",$B$52="million"),((BV5*BV$51)/(BV$52)),"0")))))</f>
        <v>141.8466333333333</v>
      </c>
      <c r="BW58" s="20">
        <f>IF(BW5=0,"0",IF(AND(Results!$E$5="Protein",$C$53&gt;0,OR(Results!$E$4="Tissue",Results!$E$4="Cells")),((BW5*BW$51)/(BW$53)),IF(AND(Results!$E$5="Weight",$C$52&gt;0, Results!$E$4="Tissue",OR($B$52="g",$B$52="mg")),((BW5*BW$51)/(BW$52)),IF(AND(Results!$E$5="Volume",$C$54&gt;0,Results!$E$4="Fluid"),((BW5*BW$51)/(BW$54)),IF(AND(Results!$E$4="Cells",Results!$E$5="Million",$B$52="million"),((BW5*BW$51)/(BW$52)),"0")))))</f>
        <v>103.70816666666666</v>
      </c>
      <c r="BX58" s="20">
        <f>IF(BX5=0,"0",IF(AND(Results!$E$5="Protein",$C$53&gt;0,OR(Results!$E$4="Tissue",Results!$E$4="Cells")),((BX5*BX$51)/(BX$53)),IF(AND(Results!$E$5="Weight",$C$52&gt;0, Results!$E$4="Tissue",OR($B$52="g",$B$52="mg")),((BX5*BX$51)/(BX$52)),IF(AND(Results!$E$5="Volume",$C$54&gt;0,Results!$E$4="Fluid"),((BX5*BX$51)/(BX$54)),IF(AND(Results!$E$4="Cells",Results!$E$5="Million",$B$52="million"),((BX5*BX$51)/(BX$52)),"0")))))</f>
        <v>29.363966666666666</v>
      </c>
      <c r="BY58" s="20">
        <f>IF(BY5=0,"0",IF(AND(Results!$E$5="Protein",$C$53&gt;0,OR(Results!$E$4="Tissue",Results!$E$4="Cells")),((BY5*BY$51)/(BY$53)),IF(AND(Results!$E$5="Weight",$C$52&gt;0, Results!$E$4="Tissue",OR($B$52="g",$B$52="mg")),((BY5*BY$51)/(BY$52)),IF(AND(Results!$E$5="Volume",$C$54&gt;0,Results!$E$4="Fluid"),((BY5*BY$51)/(BY$54)),IF(AND(Results!$E$4="Cells",Results!$E$5="Million",$B$52="million"),((BY5*BY$51)/(BY$52)),"0")))))</f>
        <v>156.76478333333336</v>
      </c>
      <c r="BZ58" s="20">
        <f>IF(BZ5=0,"0",IF(AND(Results!$E$5="Protein",$C$53&gt;0,OR(Results!$E$4="Tissue",Results!$E$4="Cells")),((BZ5*BZ$51)/(BZ$53)),IF(AND(Results!$E$5="Weight",$C$52&gt;0, Results!$E$4="Tissue",OR($B$52="g",$B$52="mg")),((BZ5*BZ$51)/(BZ$52)),IF(AND(Results!$E$5="Volume",$C$54&gt;0,Results!$E$4="Fluid"),((BZ5*BZ$51)/(BZ$54)),IF(AND(Results!$E$4="Cells",Results!$E$5="Million",$B$52="million"),((BZ5*BZ$51)/(BZ$52)),"0")))))</f>
        <v>97.586983333333322</v>
      </c>
      <c r="CA58" s="20">
        <f>IF(CA5=0,"0",IF(AND(Results!$E$5="Protein",$C$53&gt;0,OR(Results!$E$4="Tissue",Results!$E$4="Cells")),((CA5*CA$51)/(CA$53)),IF(AND(Results!$E$5="Weight",$C$52&gt;0, Results!$E$4="Tissue",OR($B$52="g",$B$52="mg")),((CA5*CA$51)/(CA$52)),IF(AND(Results!$E$5="Volume",$C$54&gt;0,Results!$E$4="Fluid"),((CA5*CA$51)/(CA$54)),IF(AND(Results!$E$4="Cells",Results!$E$5="Million",$B$52="million"),((CA5*CA$51)/(CA$52)),"0")))))</f>
        <v>122.07736666666666</v>
      </c>
      <c r="CB58" s="20">
        <f>IF(CB5=0,"0",IF(AND(Results!$E$5="Protein",$C$53&gt;0,OR(Results!$E$4="Tissue",Results!$E$4="Cells")),((CB5*CB$51)/(CB$53)),IF(AND(Results!$E$5="Weight",$C$52&gt;0, Results!$E$4="Tissue",OR($B$52="g",$B$52="mg")),((CB5*CB$51)/(CB$52)),IF(AND(Results!$E$5="Volume",$C$54&gt;0,Results!$E$4="Fluid"),((CB5*CB$51)/(CB$54)),IF(AND(Results!$E$4="Cells",Results!$E$5="Million",$B$52="million"),((CB5*CB$51)/(CB$52)),"0")))))</f>
        <v>26.971450000000001</v>
      </c>
      <c r="CC58" s="20">
        <f>IF(CC5=0,"0",IF(AND(Results!$E$5="Protein",$C$53&gt;0,OR(Results!$E$4="Tissue",Results!$E$4="Cells")),((CC5*CC$51)/(CC$53)),IF(AND(Results!$E$5="Weight",$C$52&gt;0, Results!$E$4="Tissue",OR($B$52="g",$B$52="mg")),((CC5*CC$51)/(CC$52)),IF(AND(Results!$E$5="Volume",$C$54&gt;0,Results!$E$4="Fluid"),((CC5*CC$51)/(CC$54)),IF(AND(Results!$E$4="Cells",Results!$E$5="Million",$B$52="million"),((CC5*CC$51)/(CC$52)),"0")))))</f>
        <v>48.404666666666664</v>
      </c>
      <c r="CD58" s="20">
        <f>IF(CD5=0,"0",IF(AND(Results!$E$5="Protein",$C$53&gt;0,OR(Results!$E$4="Tissue",Results!$E$4="Cells")),((CD5*CD$51)/(CD$53)),IF(AND(Results!$E$5="Weight",$C$52&gt;0, Results!$E$4="Tissue",OR($B$52="g",$B$52="mg")),((CD5*CD$51)/(CD$52)),IF(AND(Results!$E$5="Volume",$C$54&gt;0,Results!$E$4="Fluid"),((CD5*CD$51)/(CD$54)),IF(AND(Results!$E$4="Cells",Results!$E$5="Million",$B$52="million"),((CD5*CD$51)/(CD$52)),"0")))))</f>
        <v>42.177933333333335</v>
      </c>
      <c r="CE58" s="20">
        <f>IF(CE5=0,"0",IF(AND(Results!$E$5="Protein",$C$53&gt;0,OR(Results!$E$4="Tissue",Results!$E$4="Cells")),((CE5*CE$51)/(CE$53)),IF(AND(Results!$E$5="Weight",$C$52&gt;0, Results!$E$4="Tissue",OR($B$52="g",$B$52="mg")),((CE5*CE$51)/(CE$52)),IF(AND(Results!$E$5="Volume",$C$54&gt;0,Results!$E$4="Fluid"),((CE5*CE$51)/(CE$54)),IF(AND(Results!$E$4="Cells",Results!$E$5="Million",$B$52="million"),((CE5*CE$51)/(CE$52)),"0")))))</f>
        <v>251.81126666666665</v>
      </c>
      <c r="CF58" s="20">
        <f>IF(CF5=0,"0",IF(AND(Results!$E$5="Protein",$C$53&gt;0,OR(Results!$E$4="Tissue",Results!$E$4="Cells")),((CF5*CF$51)/(CF$53)),IF(AND(Results!$E$5="Weight",$C$52&gt;0, Results!$E$4="Tissue",OR($B$52="g",$B$52="mg")),((CF5*CF$51)/(CF$52)),IF(AND(Results!$E$5="Volume",$C$54&gt;0,Results!$E$4="Fluid"),((CF5*CF$51)/(CF$54)),IF(AND(Results!$E$4="Cells",Results!$E$5="Million",$B$52="million"),((CF5*CF$51)/(CF$52)),"0")))))</f>
        <v>32.006133333333331</v>
      </c>
      <c r="CG58" s="20">
        <f>IF(CG5=0,"0",IF(AND(Results!$E$5="Protein",$C$53&gt;0,OR(Results!$E$4="Tissue",Results!$E$4="Cells")),((CG5*CG$51)/(CG$53)),IF(AND(Results!$E$5="Weight",$C$52&gt;0, Results!$E$4="Tissue",OR($B$52="g",$B$52="mg")),((CG5*CG$51)/(CG$52)),IF(AND(Results!$E$5="Volume",$C$54&gt;0,Results!$E$4="Fluid"),((CG5*CG$51)/(CG$54)),IF(AND(Results!$E$4="Cells",Results!$E$5="Million",$B$52="million"),((CG5*CG$51)/(CG$52)),"0")))))</f>
        <v>62.545850000000002</v>
      </c>
      <c r="CH58" s="20">
        <f>IF(CH5=0,"0",IF(AND(Results!$E$5="Protein",$C$53&gt;0,OR(Results!$E$4="Tissue",Results!$E$4="Cells")),((CH5*CH$51)/(CH$53)),IF(AND(Results!$E$5="Weight",$C$52&gt;0, Results!$E$4="Tissue",OR($B$52="g",$B$52="mg")),((CH5*CH$51)/(CH$52)),IF(AND(Results!$E$5="Volume",$C$54&gt;0,Results!$E$4="Fluid"),((CH5*CH$51)/(CH$54)),IF(AND(Results!$E$4="Cells",Results!$E$5="Million",$B$52="million"),((CH5*CH$51)/(CH$52)),"0")))))</f>
        <v>45.624333333333333</v>
      </c>
      <c r="CI58" s="20">
        <f>IF(CI5=0,"0",IF(AND(Results!$E$5="Protein",$C$53&gt;0,OR(Results!$E$4="Tissue",Results!$E$4="Cells")),((CI5*CI$51)/(CI$53)),IF(AND(Results!$E$5="Weight",$C$52&gt;0, Results!$E$4="Tissue",OR($B$52="g",$B$52="mg")),((CI5*CI$51)/(CI$52)),IF(AND(Results!$E$5="Volume",$C$54&gt;0,Results!$E$4="Fluid"),((CI5*CI$51)/(CI$54)),IF(AND(Results!$E$4="Cells",Results!$E$5="Million",$B$52="million"),((CI5*CI$51)/(CI$52)),"0")))))</f>
        <v>76.323966666666664</v>
      </c>
      <c r="CJ58" s="20">
        <f>IF(CJ5=0,"0",IF(AND(Results!$E$5="Protein",$C$53&gt;0,OR(Results!$E$4="Tissue",Results!$E$4="Cells")),((CJ5*CJ$51)/(CJ$53)),IF(AND(Results!$E$5="Weight",$C$52&gt;0, Results!$E$4="Tissue",OR($B$52="g",$B$52="mg")),((CJ5*CJ$51)/(CJ$52)),IF(AND(Results!$E$5="Volume",$C$54&gt;0,Results!$E$4="Fluid"),((CJ5*CJ$51)/(CJ$54)),IF(AND(Results!$E$4="Cells",Results!$E$5="Million",$B$52="million"),((CJ5*CJ$51)/(CJ$52)),"0")))))</f>
        <v>23.537866666666666</v>
      </c>
      <c r="CK58" s="20">
        <f>IF(CK5=0,"0",IF(AND(Results!$E$5="Protein",$C$53&gt;0,OR(Results!$E$4="Tissue",Results!$E$4="Cells")),((CK5*CK$51)/(CK$53)),IF(AND(Results!$E$5="Weight",$C$52&gt;0, Results!$E$4="Tissue",OR($B$52="g",$B$52="mg")),((CK5*CK$51)/(CK$52)),IF(AND(Results!$E$5="Volume",$C$54&gt;0,Results!$E$4="Fluid"),((CK5*CK$51)/(CK$54)),IF(AND(Results!$E$4="Cells",Results!$E$5="Million",$B$52="million"),((CK5*CK$51)/(CK$52)),"0")))))</f>
        <v>24.651499999999999</v>
      </c>
      <c r="CL58" s="20">
        <f>IF(CL5=0,"0",IF(AND(Results!$E$5="Protein",$C$53&gt;0,OR(Results!$E$4="Tissue",Results!$E$4="Cells")),((CL5*CL$51)/(CL$53)),IF(AND(Results!$E$5="Weight",$C$52&gt;0, Results!$E$4="Tissue",OR($B$52="g",$B$52="mg")),((CL5*CL$51)/(CL$52)),IF(AND(Results!$E$5="Volume",$C$54&gt;0,Results!$E$4="Fluid"),((CL5*CL$51)/(CL$54)),IF(AND(Results!$E$4="Cells",Results!$E$5="Million",$B$52="million"),((CL5*CL$51)/(CL$52)),"0")))))</f>
        <v>46.300766666666661</v>
      </c>
      <c r="CM58" s="20">
        <f>IF(CM5=0,"0",IF(AND(Results!$E$5="Protein",$C$53&gt;0,OR(Results!$E$4="Tissue",Results!$E$4="Cells")),((CM5*CM$51)/(CM$53)),IF(AND(Results!$E$5="Weight",$C$52&gt;0, Results!$E$4="Tissue",OR($B$52="g",$B$52="mg")),((CM5*CM$51)/(CM$52)),IF(AND(Results!$E$5="Volume",$C$54&gt;0,Results!$E$4="Fluid"),((CM5*CM$51)/(CM$54)),IF(AND(Results!$E$4="Cells",Results!$E$5="Million",$B$52="million"),((CM5*CM$51)/(CM$52)),"0")))))</f>
        <v>32.768999999999998</v>
      </c>
      <c r="CN58" s="20">
        <f>IF(CN5=0,"0",IF(AND(Results!$E$5="Protein",$C$53&gt;0,OR(Results!$E$4="Tissue",Results!$E$4="Cells")),((CN5*CN$51)/(CN$53)),IF(AND(Results!$E$5="Weight",$C$52&gt;0, Results!$E$4="Tissue",OR($B$52="g",$B$52="mg")),((CN5*CN$51)/(CN$52)),IF(AND(Results!$E$5="Volume",$C$54&gt;0,Results!$E$4="Fluid"),((CN5*CN$51)/(CN$54)),IF(AND(Results!$E$4="Cells",Results!$E$5="Million",$B$52="million"),((CN5*CN$51)/(CN$52)),"0")))))</f>
        <v>39.385716666666667</v>
      </c>
      <c r="CO58" s="20">
        <f>IF(CO5=0,"0",IF(AND(Results!$E$5="Protein",$C$53&gt;0,OR(Results!$E$4="Tissue",Results!$E$4="Cells")),((CO5*CO$51)/(CO$53)),IF(AND(Results!$E$5="Weight",$C$52&gt;0, Results!$E$4="Tissue",OR($B$52="g",$B$52="mg")),((CO5*CO$51)/(CO$52)),IF(AND(Results!$E$5="Volume",$C$54&gt;0,Results!$E$4="Fluid"),((CO5*CO$51)/(CO$54)),IF(AND(Results!$E$4="Cells",Results!$E$5="Million",$B$52="million"),((CO5*CO$51)/(CO$52)),"0")))))</f>
        <v>25.650766666666662</v>
      </c>
      <c r="CP58" s="20">
        <f>IF(CP5=0,"0",IF(AND(Results!$E$5="Protein",$C$53&gt;0,OR(Results!$E$4="Tissue",Results!$E$4="Cells")),((CP5*CP$51)/(CP$53)),IF(AND(Results!$E$5="Weight",$C$52&gt;0, Results!$E$4="Tissue",OR($B$52="g",$B$52="mg")),((CP5*CP$51)/(CP$52)),IF(AND(Results!$E$5="Volume",$C$54&gt;0,Results!$E$4="Fluid"),((CP5*CP$51)/(CP$54)),IF(AND(Results!$E$4="Cells",Results!$E$5="Million",$B$52="million"),((CP5*CP$51)/(CP$52)),"0")))))</f>
        <v>63.830750000000002</v>
      </c>
      <c r="CQ58" s="20">
        <f>IF(CQ5=0,"0",IF(AND(Results!$E$5="Protein",$C$53&gt;0,OR(Results!$E$4="Tissue",Results!$E$4="Cells")),((CQ5*CQ$51)/(CQ$53)),IF(AND(Results!$E$5="Weight",$C$52&gt;0, Results!$E$4="Tissue",OR($B$52="g",$B$52="mg")),((CQ5*CQ$51)/(CQ$52)),IF(AND(Results!$E$5="Volume",$C$54&gt;0,Results!$E$4="Fluid"),((CQ5*CQ$51)/(CQ$54)),IF(AND(Results!$E$4="Cells",Results!$E$5="Million",$B$52="million"),((CQ5*CQ$51)/(CQ$52)),"0")))))</f>
        <v>62.122200000000007</v>
      </c>
      <c r="CR58" s="20">
        <f>IF(CR5=0,"0",IF(AND(Results!$E$5="Protein",$C$53&gt;0,OR(Results!$E$4="Tissue",Results!$E$4="Cells")),((CR5*CR$51)/(CR$53)),IF(AND(Results!$E$5="Weight",$C$52&gt;0, Results!$E$4="Tissue",OR($B$52="g",$B$52="mg")),((CR5*CR$51)/(CR$52)),IF(AND(Results!$E$5="Volume",$C$54&gt;0,Results!$E$4="Fluid"),((CR5*CR$51)/(CR$54)),IF(AND(Results!$E$4="Cells",Results!$E$5="Million",$B$52="million"),((CR5*CR$51)/(CR$52)),"0")))))</f>
        <v>71.237116666666665</v>
      </c>
      <c r="CS58" s="20">
        <f>IF(CS5=0,"0",IF(AND(Results!$E$5="Protein",$C$53&gt;0,OR(Results!$E$4="Tissue",Results!$E$4="Cells")),((CS5*CS$51)/(CS$53)),IF(AND(Results!$E$5="Weight",$C$52&gt;0, Results!$E$4="Tissue",OR($B$52="g",$B$52="mg")),((CS5*CS$51)/(CS$52)),IF(AND(Results!$E$5="Volume",$C$54&gt;0,Results!$E$4="Fluid"),((CS5*CS$51)/(CS$54)),IF(AND(Results!$E$4="Cells",Results!$E$5="Million",$B$52="million"),((CS5*CS$51)/(CS$52)),"0")))))</f>
        <v>25.849366666666665</v>
      </c>
      <c r="CT58" s="20">
        <f>IF(CT5=0,"0",IF(AND(Results!$E$5="Protein",$C$53&gt;0,OR(Results!$E$4="Tissue",Results!$E$4="Cells")),((CT5*CT$51)/(CT$53)),IF(AND(Results!$E$5="Weight",$C$52&gt;0, Results!$E$4="Tissue",OR($B$52="g",$B$52="mg")),((CT5*CT$51)/(CT$52)),IF(AND(Results!$E$5="Volume",$C$54&gt;0,Results!$E$4="Fluid"),((CT5*CT$51)/(CT$54)),IF(AND(Results!$E$4="Cells",Results!$E$5="Million",$B$52="million"),((CT5*CT$51)/(CT$52)),"0")))))</f>
        <v>79.201133333333331</v>
      </c>
      <c r="CU58" s="20">
        <f>IF(CU5=0,"0",IF(AND(Results!$E$5="Protein",$C$53&gt;0,OR(Results!$E$4="Tissue",Results!$E$4="Cells")),((CU5*CU$51)/(CU$53)),IF(AND(Results!$E$5="Weight",$C$52&gt;0, Results!$E$4="Tissue",OR($B$52="g",$B$52="mg")),((CU5*CU$51)/(CU$52)),IF(AND(Results!$E$5="Volume",$C$54&gt;0,Results!$E$4="Fluid"),((CU5*CU$51)/(CU$54)),IF(AND(Results!$E$4="Cells",Results!$E$5="Million",$B$52="million"),((CU5*CU$51)/(CU$52)),"0")))))</f>
        <v>35.132050000000007</v>
      </c>
      <c r="CV58" s="20">
        <f>IF(CV5=0,"0",IF(AND(Results!$E$5="Protein",$C$53&gt;0,OR(Results!$E$4="Tissue",Results!$E$4="Cells")),((CV5*CV$51)/(CV$53)),IF(AND(Results!$E$5="Weight",$C$52&gt;0, Results!$E$4="Tissue",OR($B$52="g",$B$52="mg")),((CV5*CV$51)/(CV$52)),IF(AND(Results!$E$5="Volume",$C$54&gt;0,Results!$E$4="Fluid"),((CV5*CV$51)/(CV$54)),IF(AND(Results!$E$4="Cells",Results!$E$5="Million",$B$52="million"),((CV5*CV$51)/(CV$52)),"0")))))</f>
        <v>33.251799999999996</v>
      </c>
      <c r="CW58" s="20">
        <f>IF(CW5=0,"0",IF(AND(Results!$E$5="Protein",$C$53&gt;0,OR(Results!$E$4="Tissue",Results!$E$4="Cells")),((CW5*CW$51)/(CW$53)),IF(AND(Results!$E$5="Weight",$C$52&gt;0, Results!$E$4="Tissue",OR($B$52="g",$B$52="mg")),((CW5*CW$51)/(CW$52)),IF(AND(Results!$E$5="Volume",$C$54&gt;0,Results!$E$4="Fluid"),((CW5*CW$51)/(CW$54)),IF(AND(Results!$E$4="Cells",Results!$E$5="Million",$B$52="million"),((CW5*CW$51)/(CW$52)),"0")))))</f>
        <v>91.9148</v>
      </c>
      <c r="CX58" s="20">
        <f>IF(CX5=0,"0",IF(AND(Results!$E$5="Protein",$C$53&gt;0,OR(Results!$E$4="Tissue",Results!$E$4="Cells")),((CX5*CX$51)/(CX$53)),IF(AND(Results!$E$5="Weight",$C$52&gt;0, Results!$E$4="Tissue",OR($B$52="g",$B$52="mg")),((CX5*CX$51)/(CX$52)),IF(AND(Results!$E$5="Volume",$C$54&gt;0,Results!$E$4="Fluid"),((CX5*CX$51)/(CX$54)),IF(AND(Results!$E$4="Cells",Results!$E$5="Million",$B$52="million"),((CX5*CX$51)/(CX$52)),"0")))))</f>
        <v>44.696216666666672</v>
      </c>
      <c r="CY58" s="20">
        <f>IF(CY5=0,"0",IF(AND(Results!$E$5="Protein",$C$53&gt;0,OR(Results!$E$4="Tissue",Results!$E$4="Cells")),((CY5*CY$51)/(CY$53)),IF(AND(Results!$E$5="Weight",$C$52&gt;0, Results!$E$4="Tissue",OR($B$52="g",$B$52="mg")),((CY5*CY$51)/(CY$52)),IF(AND(Results!$E$5="Volume",$C$54&gt;0,Results!$E$4="Fluid"),((CY5*CY$51)/(CY$54)),IF(AND(Results!$E$4="Cells",Results!$E$5="Million",$B$52="million"),((CY5*CY$51)/(CY$52)),"0")))))</f>
        <v>19.774133333333335</v>
      </c>
      <c r="CZ58" s="20">
        <f>IF(CZ5=0,"0",IF(AND(Results!$E$5="Protein",$C$53&gt;0,OR(Results!$E$4="Tissue",Results!$E$4="Cells")),((CZ5*CZ$51)/(CZ$53)),IF(AND(Results!$E$5="Weight",$C$52&gt;0, Results!$E$4="Tissue",OR($B$52="g",$B$52="mg")),((CZ5*CZ$51)/(CZ$52)),IF(AND(Results!$E$5="Volume",$C$54&gt;0,Results!$E$4="Fluid"),((CZ5*CZ$51)/(CZ$54)),IF(AND(Results!$E$4="Cells",Results!$E$5="Million",$B$52="million"),((CZ5*CZ$51)/(CZ$52)),"0")))))</f>
        <v>14.164916666666668</v>
      </c>
      <c r="DA58" s="20">
        <f>IF(DA5=0,"0",IF(AND(Results!$E$5="Protein",$C$53&gt;0,OR(Results!$E$4="Tissue",Results!$E$4="Cells")),((DA5*DA$51)/(DA$53)),IF(AND(Results!$E$5="Weight",$C$52&gt;0, Results!$E$4="Tissue",OR($B$52="g",$B$52="mg")),((DA5*DA$51)/(DA$52)),IF(AND(Results!$E$5="Volume",$C$54&gt;0,Results!$E$4="Fluid"),((DA5*DA$51)/(DA$54)),IF(AND(Results!$E$4="Cells",Results!$E$5="Million",$B$52="million"),((DA5*DA$51)/(DA$52)),"0")))))</f>
        <v>28.473716666666668</v>
      </c>
      <c r="DB58" s="20">
        <f>IF(DB5=0,"0",IF(AND(Results!$E$5="Protein",$C$53&gt;0,OR(Results!$E$4="Tissue",Results!$E$4="Cells")),((DB5*DB$51)/(DB$53)),IF(AND(Results!$E$5="Weight",$C$52&gt;0, Results!$E$4="Tissue",OR($B$52="g",$B$52="mg")),((DB5*DB$51)/(DB$52)),IF(AND(Results!$E$5="Volume",$C$54&gt;0,Results!$E$4="Fluid"),((DB5*DB$51)/(DB$54)),IF(AND(Results!$E$4="Cells",Results!$E$5="Million",$B$52="million"),((DB5*DB$51)/(DB$52)),"0")))))</f>
        <v>54.840850000000003</v>
      </c>
      <c r="DC58" s="20">
        <f>IF(DC5=0,"0",IF(AND(Results!$E$5="Protein",$C$53&gt;0,OR(Results!$E$4="Tissue",Results!$E$4="Cells")),((DC5*DC$51)/(DC$53)),IF(AND(Results!$E$5="Weight",$C$52&gt;0, Results!$E$4="Tissue",OR($B$52="g",$B$52="mg")),((DC5*DC$51)/(DC$52)),IF(AND(Results!$E$5="Volume",$C$54&gt;0,Results!$E$4="Fluid"),((DC5*DC$51)/(DC$54)),IF(AND(Results!$E$4="Cells",Results!$E$5="Million",$B$52="million"),((DC5*DC$51)/(DC$52)),"0")))))</f>
        <v>49.263400000000004</v>
      </c>
      <c r="DD58" s="20">
        <f>IF(DD5=0,"0",IF(AND(Results!$E$5="Protein",$C$53&gt;0,OR(Results!$E$4="Tissue",Results!$E$4="Cells")),((DD5*DD$51)/(DD$53)),IF(AND(Results!$E$5="Weight",$C$52&gt;0, Results!$E$4="Tissue",OR($B$52="g",$B$52="mg")),((DD5*DD$51)/(DD$52)),IF(AND(Results!$E$5="Volume",$C$54&gt;0,Results!$E$4="Fluid"),((DD5*DD$51)/(DD$54)),IF(AND(Results!$E$4="Cells",Results!$E$5="Million",$B$52="million"),((DD5*DD$51)/(DD$52)),"0")))))</f>
        <v>48.840683333333338</v>
      </c>
      <c r="DE58" s="20">
        <f>IF(DE5=0,"0",IF(AND(Results!$E$5="Protein",$C$53&gt;0,OR(Results!$E$4="Tissue",Results!$E$4="Cells")),((DE5*DE$51)/(DE$53)),IF(AND(Results!$E$5="Weight",$C$52&gt;0, Results!$E$4="Tissue",OR($B$52="g",$B$52="mg")),((DE5*DE$51)/(DE$52)),IF(AND(Results!$E$5="Volume",$C$54&gt;0,Results!$E$4="Fluid"),((DE5*DE$51)/(DE$54)),IF(AND(Results!$E$4="Cells",Results!$E$5="Million",$B$52="million"),((DE5*DE$51)/(DE$52)),"0")))))</f>
        <v>30.569533333333332</v>
      </c>
      <c r="DF58" s="20">
        <f>IF(DF5=0,"0",IF(AND(Results!$E$5="Protein",$C$53&gt;0,OR(Results!$E$4="Tissue",Results!$E$4="Cells")),((DF5*DF$51)/(DF$53)),IF(AND(Results!$E$5="Weight",$C$52&gt;0, Results!$E$4="Tissue",OR($B$52="g",$B$52="mg")),((DF5*DF$51)/(DF$52)),IF(AND(Results!$E$5="Volume",$C$54&gt;0,Results!$E$4="Fluid"),((DF5*DF$51)/(DF$54)),IF(AND(Results!$E$4="Cells",Results!$E$5="Million",$B$52="million"),((DF5*DF$51)/(DF$52)),"0")))))</f>
        <v>54.16245</v>
      </c>
      <c r="DG58" s="20">
        <f>IF(DG5=0,"0",IF(AND(Results!$E$5="Protein",$C$53&gt;0,OR(Results!$E$4="Tissue",Results!$E$4="Cells")),((DG5*DG$51)/(DG$53)),IF(AND(Results!$E$5="Weight",$C$52&gt;0, Results!$E$4="Tissue",OR($B$52="g",$B$52="mg")),((DG5*DG$51)/(DG$52)),IF(AND(Results!$E$5="Volume",$C$54&gt;0,Results!$E$4="Fluid"),((DG5*DG$51)/(DG$54)),IF(AND(Results!$E$4="Cells",Results!$E$5="Million",$B$52="million"),((DG5*DG$51)/(DG$52)),"0")))))</f>
        <v>56.221916666666665</v>
      </c>
      <c r="DH58" s="20">
        <f>IF(DH5=0,"0",IF(AND(Results!$E$5="Protein",$C$53&gt;0,OR(Results!$E$4="Tissue",Results!$E$4="Cells")),((DH5*DH$51)/(DH$53)),IF(AND(Results!$E$5="Weight",$C$52&gt;0, Results!$E$4="Tissue",OR($B$52="g",$B$52="mg")),((DH5*DH$51)/(DH$52)),IF(AND(Results!$E$5="Volume",$C$54&gt;0,Results!$E$4="Fluid"),((DH5*DH$51)/(DH$54)),IF(AND(Results!$E$4="Cells",Results!$E$5="Million",$B$52="million"),((DH5*DH$51)/(DH$52)),"0")))))</f>
        <v>12.184166666666668</v>
      </c>
      <c r="DI58" s="20">
        <f>IF(DI5=0,"0",IF(AND(Results!$E$5="Protein",$C$53&gt;0,OR(Results!$E$4="Tissue",Results!$E$4="Cells")),((DI5*DI$51)/(DI$53)),IF(AND(Results!$E$5="Weight",$C$52&gt;0, Results!$E$4="Tissue",OR($B$52="g",$B$52="mg")),((DI5*DI$51)/(DI$52)),IF(AND(Results!$E$5="Volume",$C$54&gt;0,Results!$E$4="Fluid"),((DI5*DI$51)/(DI$54)),IF(AND(Results!$E$4="Cells",Results!$E$5="Million",$B$52="million"),((DI5*DI$51)/(DI$52)),"0")))))</f>
        <v>55.727766666666668</v>
      </c>
      <c r="DJ58" s="20">
        <f>IF(DJ5=0,"0",IF(AND(Results!$E$5="Protein",$C$53&gt;0,OR(Results!$E$4="Tissue",Results!$E$4="Cells")),((DJ5*DJ$51)/(DJ$53)),IF(AND(Results!$E$5="Weight",$C$52&gt;0, Results!$E$4="Tissue",OR($B$52="g",$B$52="mg")),((DJ5*DJ$51)/(DJ$52)),IF(AND(Results!$E$5="Volume",$C$54&gt;0,Results!$E$4="Fluid"),((DJ5*DJ$51)/(DJ$54)),IF(AND(Results!$E$4="Cells",Results!$E$5="Million",$B$52="million"),((DJ5*DJ$51)/(DJ$52)),"0")))))</f>
        <v>150.87026666666668</v>
      </c>
      <c r="DK58" s="20">
        <f>IF(DK5=0,"0",IF(AND(Results!$E$5="Protein",$C$53&gt;0,OR(Results!$E$4="Tissue",Results!$E$4="Cells")),((DK5*DK$51)/(DK$53)),IF(AND(Results!$E$5="Weight",$C$52&gt;0, Results!$E$4="Tissue",OR($B$52="g",$B$52="mg")),((DK5*DK$51)/(DK$52)),IF(AND(Results!$E$5="Volume",$C$54&gt;0,Results!$E$4="Fluid"),((DK5*DK$51)/(DK$54)),IF(AND(Results!$E$4="Cells",Results!$E$5="Million",$B$52="million"),((DK5*DK$51)/(DK$52)),"0")))))</f>
        <v>98.359316666666658</v>
      </c>
      <c r="DL58" s="20">
        <f>IF(DL5=0,"0",IF(AND(Results!$E$5="Protein",$C$53&gt;0,OR(Results!$E$4="Tissue",Results!$E$4="Cells")),((DL5*DL$51)/(DL$53)),IF(AND(Results!$E$5="Weight",$C$52&gt;0, Results!$E$4="Tissue",OR($B$52="g",$B$52="mg")),((DL5*DL$51)/(DL$52)),IF(AND(Results!$E$5="Volume",$C$54&gt;0,Results!$E$4="Fluid"),((DL5*DL$51)/(DL$54)),IF(AND(Results!$E$4="Cells",Results!$E$5="Million",$B$52="million"),((DL5*DL$51)/(DL$52)),"0")))))</f>
        <v>14.852416666666668</v>
      </c>
      <c r="DM58" s="20">
        <f>IF(DM5=0,"0",IF(AND(Results!$E$5="Protein",$C$53&gt;0,OR(Results!$E$4="Tissue",Results!$E$4="Cells")),((DM5*DM$51)/(DM$53)),IF(AND(Results!$E$5="Weight",$C$52&gt;0, Results!$E$4="Tissue",OR($B$52="g",$B$52="mg")),((DM5*DM$51)/(DM$52)),IF(AND(Results!$E$5="Volume",$C$54&gt;0,Results!$E$4="Fluid"),((DM5*DM$51)/(DM$54)),IF(AND(Results!$E$4="Cells",Results!$E$5="Million",$B$52="million"),((DM5*DM$51)/(DM$52)),"0")))))</f>
        <v>81.423133333333325</v>
      </c>
      <c r="DN58" s="20">
        <f>IF(DN5=0,"0",IF(AND(Results!$E$5="Protein",$C$53&gt;0,OR(Results!$E$4="Tissue",Results!$E$4="Cells")),((DN5*DN$51)/(DN$53)),IF(AND(Results!$E$5="Weight",$C$52&gt;0, Results!$E$4="Tissue",OR($B$52="g",$B$52="mg")),((DN5*DN$51)/(DN$52)),IF(AND(Results!$E$5="Volume",$C$54&gt;0,Results!$E$4="Fluid"),((DN5*DN$51)/(DN$54)),IF(AND(Results!$E$4="Cells",Results!$E$5="Million",$B$52="million"),((DN5*DN$51)/(DN$52)),"0")))))</f>
        <v>90.343149999999994</v>
      </c>
      <c r="DO58" s="20">
        <f>IF(DO5=0,"0",IF(AND(Results!$E$5="Protein",$C$53&gt;0,OR(Results!$E$4="Tissue",Results!$E$4="Cells")),((DO5*DO$51)/(DO$53)),IF(AND(Results!$E$5="Weight",$C$52&gt;0, Results!$E$4="Tissue",OR($B$52="g",$B$52="mg")),((DO5*DO$51)/(DO$52)),IF(AND(Results!$E$5="Volume",$C$54&gt;0,Results!$E$4="Fluid"),((DO5*DO$51)/(DO$54)),IF(AND(Results!$E$4="Cells",Results!$E$5="Million",$B$52="million"),((DO5*DO$51)/(DO$52)),"0")))))</f>
        <v>61.549733333333343</v>
      </c>
      <c r="DP58" s="20">
        <f>IF(DP5=0,"0",IF(AND(Results!$E$5="Protein",$C$53&gt;0,OR(Results!$E$4="Tissue",Results!$E$4="Cells")),((DP5*DP$51)/(DP$53)),IF(AND(Results!$E$5="Weight",$C$52&gt;0, Results!$E$4="Tissue",OR($B$52="g",$B$52="mg")),((DP5*DP$51)/(DP$52)),IF(AND(Results!$E$5="Volume",$C$54&gt;0,Results!$E$4="Fluid"),((DP5*DP$51)/(DP$54)),IF(AND(Results!$E$4="Cells",Results!$E$5="Million",$B$52="million"),((DP5*DP$51)/(DP$52)),"0")))))</f>
        <v>41.554583333333326</v>
      </c>
      <c r="DQ58" s="20">
        <f>IF(DQ5=0,"0",IF(AND(Results!$E$5="Protein",$C$53&gt;0,OR(Results!$E$4="Tissue",Results!$E$4="Cells")),((DQ5*DQ$51)/(DQ$53)),IF(AND(Results!$E$5="Weight",$C$52&gt;0, Results!$E$4="Tissue",OR($B$52="g",$B$52="mg")),((DQ5*DQ$51)/(DQ$52)),IF(AND(Results!$E$5="Volume",$C$54&gt;0,Results!$E$4="Fluid"),((DQ5*DQ$51)/(DQ$54)),IF(AND(Results!$E$4="Cells",Results!$E$5="Million",$B$52="million"),((DQ5*DQ$51)/(DQ$52)),"0")))))</f>
        <v>60.515033333333335</v>
      </c>
      <c r="DR58" s="20">
        <f>IF(DR5=0,"0",IF(AND(Results!$E$5="Protein",$C$53&gt;0,OR(Results!$E$4="Tissue",Results!$E$4="Cells")),((DR5*DR$51)/(DR$53)),IF(AND(Results!$E$5="Weight",$C$52&gt;0, Results!$E$4="Tissue",OR($B$52="g",$B$52="mg")),((DR5*DR$51)/(DR$52)),IF(AND(Results!$E$5="Volume",$C$54&gt;0,Results!$E$4="Fluid"),((DR5*DR$51)/(DR$54)),IF(AND(Results!$E$4="Cells",Results!$E$5="Million",$B$52="million"),((DR5*DR$51)/(DR$52)),"0")))))</f>
        <v>60.843566666666668</v>
      </c>
      <c r="DS58" s="20">
        <f>IF(DS5=0,"0",IF(AND(Results!$E$5="Protein",$C$53&gt;0,OR(Results!$E$4="Tissue",Results!$E$4="Cells")),((DS5*DS$51)/(DS$53)),IF(AND(Results!$E$5="Weight",$C$52&gt;0, Results!$E$4="Tissue",OR($B$52="g",$B$52="mg")),((DS5*DS$51)/(DS$52)),IF(AND(Results!$E$5="Volume",$C$54&gt;0,Results!$E$4="Fluid"),((DS5*DS$51)/(DS$54)),IF(AND(Results!$E$4="Cells",Results!$E$5="Million",$B$52="million"),((DS5*DS$51)/(DS$52)),"0")))))</f>
        <v>25.840250000000005</v>
      </c>
      <c r="DT58" s="20">
        <f>IF(DT5=0,"0",IF(AND(Results!$E$5="Protein",$C$53&gt;0,OR(Results!$E$4="Tissue",Results!$E$4="Cells")),((DT5*DT$51)/(DT$53)),IF(AND(Results!$E$5="Weight",$C$52&gt;0, Results!$E$4="Tissue",OR($B$52="g",$B$52="mg")),((DT5*DT$51)/(DT$52)),IF(AND(Results!$E$5="Volume",$C$54&gt;0,Results!$E$4="Fluid"),((DT5*DT$51)/(DT$54)),IF(AND(Results!$E$4="Cells",Results!$E$5="Million",$B$52="million"),((DT5*DT$51)/(DT$52)),"0")))))</f>
        <v>21.92281666666667</v>
      </c>
      <c r="DU58" s="20">
        <f>IF(DU5=0,"0",IF(AND(Results!$E$5="Protein",$C$53&gt;0,OR(Results!$E$4="Tissue",Results!$E$4="Cells")),((DU5*DU$51)/(DU$53)),IF(AND(Results!$E$5="Weight",$C$52&gt;0, Results!$E$4="Tissue",OR($B$52="g",$B$52="mg")),((DU5*DU$51)/(DU$52)),IF(AND(Results!$E$5="Volume",$C$54&gt;0,Results!$E$4="Fluid"),((DU5*DU$51)/(DU$54)),IF(AND(Results!$E$4="Cells",Results!$E$5="Million",$B$52="million"),((DU5*DU$51)/(DU$52)),"0")))))</f>
        <v>133.68653333333333</v>
      </c>
      <c r="DV58" s="20">
        <f>IF(DV5=0,"0",IF(AND(Results!$E$5="Protein",$C$53&gt;0,OR(Results!$E$4="Tissue",Results!$E$4="Cells")),((DV5*DV$51)/(DV$53)),IF(AND(Results!$E$5="Weight",$C$52&gt;0, Results!$E$4="Tissue",OR($B$52="g",$B$52="mg")),((DV5*DV$51)/(DV$52)),IF(AND(Results!$E$5="Volume",$C$54&gt;0,Results!$E$4="Fluid"),((DV5*DV$51)/(DV$54)),IF(AND(Results!$E$4="Cells",Results!$E$5="Million",$B$52="million"),((DV5*DV$51)/(DV$52)),"0")))))</f>
        <v>35.072833333333328</v>
      </c>
      <c r="DW58" s="20">
        <f>IF(DW5=0,"0",IF(AND(Results!$E$5="Protein",$C$53&gt;0,OR(Results!$E$4="Tissue",Results!$E$4="Cells")),((DW5*DW$51)/(DW$53)),IF(AND(Results!$E$5="Weight",$C$52&gt;0, Results!$E$4="Tissue",OR($B$52="g",$B$52="mg")),((DW5*DW$51)/(DW$52)),IF(AND(Results!$E$5="Volume",$C$54&gt;0,Results!$E$4="Fluid"),((DW5*DW$51)/(DW$54)),IF(AND(Results!$E$4="Cells",Results!$E$5="Million",$B$52="million"),((DW5*DW$51)/(DW$52)),"0")))))</f>
        <v>46.498366666666669</v>
      </c>
      <c r="DX58" s="20">
        <f>IF(DX5=0,"0",IF(AND(Results!$E$5="Protein",$C$53&gt;0,OR(Results!$E$4="Tissue",Results!$E$4="Cells")),((DX5*DX$51)/(DX$53)),IF(AND(Results!$E$5="Weight",$C$52&gt;0, Results!$E$4="Tissue",OR($B$52="g",$B$52="mg")),((DX5*DX$51)/(DX$52)),IF(AND(Results!$E$5="Volume",$C$54&gt;0,Results!$E$4="Fluid"),((DX5*DX$51)/(DX$54)),IF(AND(Results!$E$4="Cells",Results!$E$5="Million",$B$52="million"),((DX5*DX$51)/(DX$52)),"0")))))</f>
        <v>20.925833333333337</v>
      </c>
      <c r="DY58" s="20">
        <f>IF(DY5=0,"0",IF(AND(Results!$E$5="Protein",$C$53&gt;0,OR(Results!$E$4="Tissue",Results!$E$4="Cells")),((DY5*DY$51)/(DY$53)),IF(AND(Results!$E$5="Weight",$C$52&gt;0, Results!$E$4="Tissue",OR($B$52="g",$B$52="mg")),((DY5*DY$51)/(DY$52)),IF(AND(Results!$E$5="Volume",$C$54&gt;0,Results!$E$4="Fluid"),((DY5*DY$51)/(DY$54)),IF(AND(Results!$E$4="Cells",Results!$E$5="Million",$B$52="million"),((DY5*DY$51)/(DY$52)),"0")))))</f>
        <v>63.75931666666667</v>
      </c>
      <c r="DZ58" s="20">
        <f>IF(DZ5=0,"0",IF(AND(Results!$E$5="Protein",$C$53&gt;0,OR(Results!$E$4="Tissue",Results!$E$4="Cells")),((DZ5*DZ$51)/(DZ$53)),IF(AND(Results!$E$5="Weight",$C$52&gt;0, Results!$E$4="Tissue",OR($B$52="g",$B$52="mg")),((DZ5*DZ$51)/(DZ$52)),IF(AND(Results!$E$5="Volume",$C$54&gt;0,Results!$E$4="Fluid"),((DZ5*DZ$51)/(DZ$54)),IF(AND(Results!$E$4="Cells",Results!$E$5="Million",$B$52="million"),((DZ5*DZ$51)/(DZ$52)),"0")))))</f>
        <v>56.155100000000012</v>
      </c>
      <c r="EA58" s="20">
        <f>IF(EA5=0,"0",IF(AND(Results!$E$5="Protein",$C$53&gt;0,OR(Results!$E$4="Tissue",Results!$E$4="Cells")),((EA5*EA$51)/(EA$53)),IF(AND(Results!$E$5="Weight",$C$52&gt;0, Results!$E$4="Tissue",OR($B$52="g",$B$52="mg")),((EA5*EA$51)/(EA$52)),IF(AND(Results!$E$5="Volume",$C$54&gt;0,Results!$E$4="Fluid"),((EA5*EA$51)/(EA$54)),IF(AND(Results!$E$4="Cells",Results!$E$5="Million",$B$52="million"),((EA5*EA$51)/(EA$52)),"0")))))</f>
        <v>42.308783333333331</v>
      </c>
      <c r="EB58" s="20">
        <f>IF(EB5=0,"0",IF(AND(Results!$E$5="Protein",$C$53&gt;0,OR(Results!$E$4="Tissue",Results!$E$4="Cells")),((EB5*EB$51)/(EB$53)),IF(AND(Results!$E$5="Weight",$C$52&gt;0, Results!$E$4="Tissue",OR($B$52="g",$B$52="mg")),((EB5*EB$51)/(EB$52)),IF(AND(Results!$E$5="Volume",$C$54&gt;0,Results!$E$4="Fluid"),((EB5*EB$51)/(EB$54)),IF(AND(Results!$E$4="Cells",Results!$E$5="Million",$B$52="million"),((EB5*EB$51)/(EB$52)),"0")))))</f>
        <v>54.117349999999995</v>
      </c>
      <c r="EC58" s="20">
        <f>IF(EC5=0,"0",IF(AND(Results!$E$5="Protein",$C$53&gt;0,OR(Results!$E$4="Tissue",Results!$E$4="Cells")),((EC5*EC$51)/(EC$53)),IF(AND(Results!$E$5="Weight",$C$52&gt;0, Results!$E$4="Tissue",OR($B$52="g",$B$52="mg")),((EC5*EC$51)/(EC$52)),IF(AND(Results!$E$5="Volume",$C$54&gt;0,Results!$E$4="Fluid"),((EC5*EC$51)/(EC$54)),IF(AND(Results!$E$4="Cells",Results!$E$5="Million",$B$52="million"),((EC5*EC$51)/(EC$52)),"0")))))</f>
        <v>28.063266666666667</v>
      </c>
      <c r="ED58" s="20">
        <f>IF(ED5=0,"0",IF(AND(Results!$E$5="Protein",$C$53&gt;0,OR(Results!$E$4="Tissue",Results!$E$4="Cells")),((ED5*ED$51)/(ED$53)),IF(AND(Results!$E$5="Weight",$C$52&gt;0, Results!$E$4="Tissue",OR($B$52="g",$B$52="mg")),((ED5*ED$51)/(ED$52)),IF(AND(Results!$E$5="Volume",$C$54&gt;0,Results!$E$4="Fluid"),((ED5*ED$51)/(ED$54)),IF(AND(Results!$E$4="Cells",Results!$E$5="Million",$B$52="million"),((ED5*ED$51)/(ED$52)),"0")))))</f>
        <v>42.84503333333334</v>
      </c>
      <c r="EE58" s="20">
        <f>IF(EE5=0,"0",IF(AND(Results!$E$5="Protein",$C$53&gt;0,OR(Results!$E$4="Tissue",Results!$E$4="Cells")),((EE5*EE$51)/(EE$53)),IF(AND(Results!$E$5="Weight",$C$52&gt;0, Results!$E$4="Tissue",OR($B$52="g",$B$52="mg")),((EE5*EE$51)/(EE$52)),IF(AND(Results!$E$5="Volume",$C$54&gt;0,Results!$E$4="Fluid"),((EE5*EE$51)/(EE$54)),IF(AND(Results!$E$4="Cells",Results!$E$5="Million",$B$52="million"),((EE5*EE$51)/(EE$52)),"0")))))</f>
        <v>14.793533333333334</v>
      </c>
      <c r="EF58" s="20">
        <f>IF(EF5=0,"0",IF(AND(Results!$E$5="Protein",$C$53&gt;0,OR(Results!$E$4="Tissue",Results!$E$4="Cells")),((EF5*EF$51)/(EF$53)),IF(AND(Results!$E$5="Weight",$C$52&gt;0, Results!$E$4="Tissue",OR($B$52="g",$B$52="mg")),((EF5*EF$51)/(EF$52)),IF(AND(Results!$E$5="Volume",$C$54&gt;0,Results!$E$4="Fluid"),((EF5*EF$51)/(EF$54)),IF(AND(Results!$E$4="Cells",Results!$E$5="Million",$B$52="million"),((EF5*EF$51)/(EF$52)),"0")))))</f>
        <v>53.088700000000003</v>
      </c>
      <c r="EG58" s="20">
        <f>IF(EG5=0,"0",IF(AND(Results!$E$5="Protein",$C$53&gt;0,OR(Results!$E$4="Tissue",Results!$E$4="Cells")),((EG5*EG$51)/(EG$53)),IF(AND(Results!$E$5="Weight",$C$52&gt;0, Results!$E$4="Tissue",OR($B$52="g",$B$52="mg")),((EG5*EG$51)/(EG$52)),IF(AND(Results!$E$5="Volume",$C$54&gt;0,Results!$E$4="Fluid"),((EG5*EG$51)/(EG$54)),IF(AND(Results!$E$4="Cells",Results!$E$5="Million",$B$52="million"),((EG5*EG$51)/(EG$52)),"0")))))</f>
        <v>51.925283333333333</v>
      </c>
      <c r="EH58" s="20">
        <f>IF(EH5=0,"0",IF(AND(Results!$E$5="Protein",$C$53&gt;0,OR(Results!$E$4="Tissue",Results!$E$4="Cells")),((EH5*EH$51)/(EH$53)),IF(AND(Results!$E$5="Weight",$C$52&gt;0, Results!$E$4="Tissue",OR($B$52="g",$B$52="mg")),((EH5*EH$51)/(EH$52)),IF(AND(Results!$E$5="Volume",$C$54&gt;0,Results!$E$4="Fluid"),((EH5*EH$51)/(EH$54)),IF(AND(Results!$E$4="Cells",Results!$E$5="Million",$B$52="million"),((EH5*EH$51)/(EH$52)),"0")))))</f>
        <v>26.80456666666667</v>
      </c>
      <c r="EI58" s="20">
        <f>IF(EI5=0,"0",IF(AND(Results!$E$5="Protein",$C$53&gt;0,OR(Results!$E$4="Tissue",Results!$E$4="Cells")),((EI5*EI$51)/(EI$53)),IF(AND(Results!$E$5="Weight",$C$52&gt;0, Results!$E$4="Tissue",OR($B$52="g",$B$52="mg")),((EI5*EI$51)/(EI$52)),IF(AND(Results!$E$5="Volume",$C$54&gt;0,Results!$E$4="Fluid"),((EI5*EI$51)/(EI$54)),IF(AND(Results!$E$4="Cells",Results!$E$5="Million",$B$52="million"),((EI5*EI$51)/(EI$52)),"0")))))</f>
        <v>15.592350000000001</v>
      </c>
      <c r="EJ58" s="20">
        <f>IF(EJ5=0,"0",IF(AND(Results!$E$5="Protein",$C$53&gt;0,OR(Results!$E$4="Tissue",Results!$E$4="Cells")),((EJ5*EJ$51)/(EJ$53)),IF(AND(Results!$E$5="Weight",$C$52&gt;0, Results!$E$4="Tissue",OR($B$52="g",$B$52="mg")),((EJ5*EJ$51)/(EJ$52)),IF(AND(Results!$E$5="Volume",$C$54&gt;0,Results!$E$4="Fluid"),((EJ5*EJ$51)/(EJ$54)),IF(AND(Results!$E$4="Cells",Results!$E$5="Million",$B$52="million"),((EJ5*EJ$51)/(EJ$52)),"0")))))</f>
        <v>68.602466666666672</v>
      </c>
      <c r="EK58" s="20">
        <f>IF(EK5=0,"0",IF(AND(Results!$E$5="Protein",$C$53&gt;0,OR(Results!$E$4="Tissue",Results!$E$4="Cells")),((EK5*EK$51)/(EK$53)),IF(AND(Results!$E$5="Weight",$C$52&gt;0, Results!$E$4="Tissue",OR($B$52="g",$B$52="mg")),((EK5*EK$51)/(EK$52)),IF(AND(Results!$E$5="Volume",$C$54&gt;0,Results!$E$4="Fluid"),((EK5*EK$51)/(EK$54)),IF(AND(Results!$E$4="Cells",Results!$E$5="Million",$B$52="million"),((EK5*EK$51)/(EK$52)),"0")))))</f>
        <v>32.602416666666663</v>
      </c>
      <c r="EL58" s="20">
        <f>IF(EL5=0,"0",IF(AND(Results!$E$5="Protein",$C$53&gt;0,OR(Results!$E$4="Tissue",Results!$E$4="Cells")),((EL5*EL$51)/(EL$53)),IF(AND(Results!$E$5="Weight",$C$52&gt;0, Results!$E$4="Tissue",OR($B$52="g",$B$52="mg")),((EL5*EL$51)/(EL$52)),IF(AND(Results!$E$5="Volume",$C$54&gt;0,Results!$E$4="Fluid"),((EL5*EL$51)/(EL$54)),IF(AND(Results!$E$4="Cells",Results!$E$5="Million",$B$52="million"),((EL5*EL$51)/(EL$52)),"0")))))</f>
        <v>38.719683333333336</v>
      </c>
      <c r="EM58" s="20">
        <f>IF(EM5=0,"0",IF(AND(Results!$E$5="Protein",$C$53&gt;0,OR(Results!$E$4="Tissue",Results!$E$4="Cells")),((EM5*EM$51)/(EM$53)),IF(AND(Results!$E$5="Weight",$C$52&gt;0, Results!$E$4="Tissue",OR($B$52="g",$B$52="mg")),((EM5*EM$51)/(EM$52)),IF(AND(Results!$E$5="Volume",$C$54&gt;0,Results!$E$4="Fluid"),((EM5*EM$51)/(EM$54)),IF(AND(Results!$E$4="Cells",Results!$E$5="Million",$B$52="million"),((EM5*EM$51)/(EM$52)),"0")))))</f>
        <v>60.000783333333331</v>
      </c>
      <c r="EN58" s="20">
        <f>IF(EN5=0,"0",IF(AND(Results!$E$5="Protein",$C$53&gt;0,OR(Results!$E$4="Tissue",Results!$E$4="Cells")),((EN5*EN$51)/(EN$53)),IF(AND(Results!$E$5="Weight",$C$52&gt;0, Results!$E$4="Tissue",OR($B$52="g",$B$52="mg")),((EN5*EN$51)/(EN$52)),IF(AND(Results!$E$5="Volume",$C$54&gt;0,Results!$E$4="Fluid"),((EN5*EN$51)/(EN$54)),IF(AND(Results!$E$4="Cells",Results!$E$5="Million",$B$52="million"),((EN5*EN$51)/(EN$52)),"0")))))</f>
        <v>73.314266666666668</v>
      </c>
      <c r="EO58" s="20">
        <f>IF(EO5=0,"0",IF(AND(Results!$E$5="Protein",$C$53&gt;0,OR(Results!$E$4="Tissue",Results!$E$4="Cells")),((EO5*EO$51)/(EO$53)),IF(AND(Results!$E$5="Weight",$C$52&gt;0, Results!$E$4="Tissue",OR($B$52="g",$B$52="mg")),((EO5*EO$51)/(EO$52)),IF(AND(Results!$E$5="Volume",$C$54&gt;0,Results!$E$4="Fluid"),((EO5*EO$51)/(EO$54)),IF(AND(Results!$E$4="Cells",Results!$E$5="Million",$B$52="million"),((EO5*EO$51)/(EO$52)),"0")))))</f>
        <v>49.746033333333337</v>
      </c>
      <c r="EP58" s="20">
        <f>IF(EP5=0,"0",IF(AND(Results!$E$5="Protein",$C$53&gt;0,OR(Results!$E$4="Tissue",Results!$E$4="Cells")),((EP5*EP$51)/(EP$53)),IF(AND(Results!$E$5="Weight",$C$52&gt;0, Results!$E$4="Tissue",OR($B$52="g",$B$52="mg")),((EP5*EP$51)/(EP$52)),IF(AND(Results!$E$5="Volume",$C$54&gt;0,Results!$E$4="Fluid"),((EP5*EP$51)/(EP$54)),IF(AND(Results!$E$4="Cells",Results!$E$5="Million",$B$52="million"),((EP5*EP$51)/(EP$52)),"0")))))</f>
        <v>56.451000000000008</v>
      </c>
      <c r="EQ58" s="20">
        <f>IF(EQ5=0,"0",IF(AND(Results!$E$5="Protein",$C$53&gt;0,OR(Results!$E$4="Tissue",Results!$E$4="Cells")),((EQ5*EQ$51)/(EQ$53)),IF(AND(Results!$E$5="Weight",$C$52&gt;0, Results!$E$4="Tissue",OR($B$52="g",$B$52="mg")),((EQ5*EQ$51)/(EQ$52)),IF(AND(Results!$E$5="Volume",$C$54&gt;0,Results!$E$4="Fluid"),((EQ5*EQ$51)/(EQ$54)),IF(AND(Results!$E$4="Cells",Results!$E$5="Million",$B$52="million"),((EQ5*EQ$51)/(EQ$52)),"0")))))</f>
        <v>23.865866666666665</v>
      </c>
      <c r="ER58" s="20">
        <f>IF(ER5=0,"0",IF(AND(Results!$E$5="Protein",$C$53&gt;0,OR(Results!$E$4="Tissue",Results!$E$4="Cells")),((ER5*ER$51)/(ER$53)),IF(AND(Results!$E$5="Weight",$C$52&gt;0, Results!$E$4="Tissue",OR($B$52="g",$B$52="mg")),((ER5*ER$51)/(ER$52)),IF(AND(Results!$E$5="Volume",$C$54&gt;0,Results!$E$4="Fluid"),((ER5*ER$51)/(ER$54)),IF(AND(Results!$E$4="Cells",Results!$E$5="Million",$B$52="million"),((ER5*ER$51)/(ER$52)),"0")))))</f>
        <v>27.34183333333333</v>
      </c>
      <c r="ES58" s="20">
        <f>IF(ES5=0,"0",IF(AND(Results!$E$5="Protein",$C$53&gt;0,OR(Results!$E$4="Tissue",Results!$E$4="Cells")),((ES5*ES$51)/(ES$53)),IF(AND(Results!$E$5="Weight",$C$52&gt;0, Results!$E$4="Tissue",OR($B$52="g",$B$52="mg")),((ES5*ES$51)/(ES$52)),IF(AND(Results!$E$5="Volume",$C$54&gt;0,Results!$E$4="Fluid"),((ES5*ES$51)/(ES$54)),IF(AND(Results!$E$4="Cells",Results!$E$5="Million",$B$52="million"),((ES5*ES$51)/(ES$52)),"0")))))</f>
        <v>28.633433333333336</v>
      </c>
      <c r="ET58" s="20">
        <f>IF(ET5=0,"0",IF(AND(Results!$E$5="Protein",$C$53&gt;0,OR(Results!$E$4="Tissue",Results!$E$4="Cells")),((ET5*ET$51)/(ET$53)),IF(AND(Results!$E$5="Weight",$C$52&gt;0, Results!$E$4="Tissue",OR($B$52="g",$B$52="mg")),((ET5*ET$51)/(ET$52)),IF(AND(Results!$E$5="Volume",$C$54&gt;0,Results!$E$4="Fluid"),((ET5*ET$51)/(ET$54)),IF(AND(Results!$E$4="Cells",Results!$E$5="Million",$B$52="million"),((ET5*ET$51)/(ET$52)),"0")))))</f>
        <v>24.401966666666667</v>
      </c>
      <c r="EU58" s="20">
        <f>IF(EU5=0,"0",IF(AND(Results!$E$5="Protein",$C$53&gt;0,OR(Results!$E$4="Tissue",Results!$E$4="Cells")),((EU5*EU$51)/(EU$53)),IF(AND(Results!$E$5="Weight",$C$52&gt;0, Results!$E$4="Tissue",OR($B$52="g",$B$52="mg")),((EU5*EU$51)/(EU$52)),IF(AND(Results!$E$5="Volume",$C$54&gt;0,Results!$E$4="Fluid"),((EU5*EU$51)/(EU$54)),IF(AND(Results!$E$4="Cells",Results!$E$5="Million",$B$52="million"),((EU5*EU$51)/(EU$52)),"0")))))</f>
        <v>43.035783333333335</v>
      </c>
      <c r="EV58" s="20">
        <f>IF(EV5=0,"0",IF(AND(Results!$E$5="Protein",$C$53&gt;0,OR(Results!$E$4="Tissue",Results!$E$4="Cells")),((EV5*EV$51)/(EV$53)),IF(AND(Results!$E$5="Weight",$C$52&gt;0, Results!$E$4="Tissue",OR($B$52="g",$B$52="mg")),((EV5*EV$51)/(EV$52)),IF(AND(Results!$E$5="Volume",$C$54&gt;0,Results!$E$4="Fluid"),((EV5*EV$51)/(EV$54)),IF(AND(Results!$E$4="Cells",Results!$E$5="Million",$B$52="million"),((EV5*EV$51)/(EV$52)),"0")))))</f>
        <v>37.070799999999998</v>
      </c>
      <c r="EW58" s="20">
        <f>IF(EW5=0,"0",IF(AND(Results!$E$5="Protein",$C$53&gt;0,OR(Results!$E$4="Tissue",Results!$E$4="Cells")),((EW5*EW$51)/(EW$53)),IF(AND(Results!$E$5="Weight",$C$52&gt;0, Results!$E$4="Tissue",OR($B$52="g",$B$52="mg")),((EW5*EW$51)/(EW$52)),IF(AND(Results!$E$5="Volume",$C$54&gt;0,Results!$E$4="Fluid"),((EW5*EW$51)/(EW$54)),IF(AND(Results!$E$4="Cells",Results!$E$5="Million",$B$52="million"),((EW5*EW$51)/(EW$52)),"0")))))</f>
        <v>35.424883333333334</v>
      </c>
      <c r="EX58" s="20">
        <f>IF(EX5=0,"0",IF(AND(Results!$E$5="Protein",$C$53&gt;0,OR(Results!$E$4="Tissue",Results!$E$4="Cells")),((EX5*EX$51)/(EX$53)),IF(AND(Results!$E$5="Weight",$C$52&gt;0, Results!$E$4="Tissue",OR($B$52="g",$B$52="mg")),((EX5*EX$51)/(EX$52)),IF(AND(Results!$E$5="Volume",$C$54&gt;0,Results!$E$4="Fluid"),((EX5*EX$51)/(EX$54)),IF(AND(Results!$E$4="Cells",Results!$E$5="Million",$B$52="million"),((EX5*EX$51)/(EX$52)),"0")))))</f>
        <v>65.265749999999997</v>
      </c>
      <c r="EY58" s="20">
        <f>IF(EY5=0,"0",IF(AND(Results!$E$5="Protein",$C$53&gt;0,OR(Results!$E$4="Tissue",Results!$E$4="Cells")),((EY5*EY$51)/(EY$53)),IF(AND(Results!$E$5="Weight",$C$52&gt;0, Results!$E$4="Tissue",OR($B$52="g",$B$52="mg")),((EY5*EY$51)/(EY$52)),IF(AND(Results!$E$5="Volume",$C$54&gt;0,Results!$E$4="Fluid"),((EY5*EY$51)/(EY$54)),IF(AND(Results!$E$4="Cells",Results!$E$5="Million",$B$52="million"),((EY5*EY$51)/(EY$52)),"0")))))</f>
        <v>142.61836666666665</v>
      </c>
      <c r="EZ58" s="20">
        <f>IF(EZ5=0,"0",IF(AND(Results!$E$5="Protein",$C$53&gt;0,OR(Results!$E$4="Tissue",Results!$E$4="Cells")),((EZ5*EZ$51)/(EZ$53)),IF(AND(Results!$E$5="Weight",$C$52&gt;0, Results!$E$4="Tissue",OR($B$52="g",$B$52="mg")),((EZ5*EZ$51)/(EZ$52)),IF(AND(Results!$E$5="Volume",$C$54&gt;0,Results!$E$4="Fluid"),((EZ5*EZ$51)/(EZ$54)),IF(AND(Results!$E$4="Cells",Results!$E$5="Million",$B$52="million"),((EZ5*EZ$51)/(EZ$52)),"0")))))</f>
        <v>82.463116666666664</v>
      </c>
      <c r="FA58" s="20">
        <f>IF(FA5=0,"0",IF(AND(Results!$E$5="Protein",$C$53&gt;0,OR(Results!$E$4="Tissue",Results!$E$4="Cells")),((FA5*FA$51)/(FA$53)),IF(AND(Results!$E$5="Weight",$C$52&gt;0, Results!$E$4="Tissue",OR($B$52="g",$B$52="mg")),((FA5*FA$51)/(FA$52)),IF(AND(Results!$E$5="Volume",$C$54&gt;0,Results!$E$4="Fluid"),((FA5*FA$51)/(FA$54)),IF(AND(Results!$E$4="Cells",Results!$E$5="Million",$B$52="million"),((FA5*FA$51)/(FA$52)),"0")))))</f>
        <v>23.478149999999996</v>
      </c>
      <c r="FB58" s="20">
        <f>IF(FB5=0,"0",IF(AND(Results!$E$5="Protein",$C$53&gt;0,OR(Results!$E$4="Tissue",Results!$E$4="Cells")),((FB5*FB$51)/(FB$53)),IF(AND(Results!$E$5="Weight",$C$52&gt;0, Results!$E$4="Tissue",OR($B$52="g",$B$52="mg")),((FB5*FB$51)/(FB$52)),IF(AND(Results!$E$5="Volume",$C$54&gt;0,Results!$E$4="Fluid"),((FB5*FB$51)/(FB$54)),IF(AND(Results!$E$4="Cells",Results!$E$5="Million",$B$52="million"),((FB5*FB$51)/(FB$52)),"0")))))</f>
        <v>20.876466666666666</v>
      </c>
      <c r="FC58" s="20">
        <f>IF(FC5=0,"0",IF(AND(Results!$E$5="Protein",$C$53&gt;0,OR(Results!$E$4="Tissue",Results!$E$4="Cells")),((FC5*FC$51)/(FC$53)),IF(AND(Results!$E$5="Weight",$C$52&gt;0, Results!$E$4="Tissue",OR($B$52="g",$B$52="mg")),((FC5*FC$51)/(FC$52)),IF(AND(Results!$E$5="Volume",$C$54&gt;0,Results!$E$4="Fluid"),((FC5*FC$51)/(FC$54)),IF(AND(Results!$E$4="Cells",Results!$E$5="Million",$B$52="million"),((FC5*FC$51)/(FC$52)),"0")))))</f>
        <v>44.406449999999992</v>
      </c>
      <c r="FD58" s="20">
        <f>IF(FD5=0,"0",IF(AND(Results!$E$5="Protein",$C$53&gt;0,OR(Results!$E$4="Tissue",Results!$E$4="Cells")),((FD5*FD$51)/(FD$53)),IF(AND(Results!$E$5="Weight",$C$52&gt;0, Results!$E$4="Tissue",OR($B$52="g",$B$52="mg")),((FD5*FD$51)/(FD$52)),IF(AND(Results!$E$5="Volume",$C$54&gt;0,Results!$E$4="Fluid"),((FD5*FD$51)/(FD$54)),IF(AND(Results!$E$4="Cells",Results!$E$5="Million",$B$52="million"),((FD5*FD$51)/(FD$52)),"0")))))</f>
        <v>20.013483333333333</v>
      </c>
      <c r="FE58" s="20">
        <f>IF(FE5=0,"0",IF(AND(Results!$E$5="Protein",$C$53&gt;0,OR(Results!$E$4="Tissue",Results!$E$4="Cells")),((FE5*FE$51)/(FE$53)),IF(AND(Results!$E$5="Weight",$C$52&gt;0, Results!$E$4="Tissue",OR($B$52="g",$B$52="mg")),((FE5*FE$51)/(FE$52)),IF(AND(Results!$E$5="Volume",$C$54&gt;0,Results!$E$4="Fluid"),((FE5*FE$51)/(FE$54)),IF(AND(Results!$E$4="Cells",Results!$E$5="Million",$B$52="million"),((FE5*FE$51)/(FE$52)),"0")))))</f>
        <v>26.833666666666666</v>
      </c>
      <c r="FF58" s="20">
        <f>IF(FF5=0,"0",IF(AND(Results!$E$5="Protein",$C$53&gt;0,OR(Results!$E$4="Tissue",Results!$E$4="Cells")),((FF5*FF$51)/(FF$53)),IF(AND(Results!$E$5="Weight",$C$52&gt;0, Results!$E$4="Tissue",OR($B$52="g",$B$52="mg")),((FF5*FF$51)/(FF$52)),IF(AND(Results!$E$5="Volume",$C$54&gt;0,Results!$E$4="Fluid"),((FF5*FF$51)/(FF$54)),IF(AND(Results!$E$4="Cells",Results!$E$5="Million",$B$52="million"),((FF5*FF$51)/(FF$52)),"0")))))</f>
        <v>33.607199999999999</v>
      </c>
      <c r="FG58" s="20">
        <f>IF(FG5=0,"0",IF(AND(Results!$E$5="Protein",$C$53&gt;0,OR(Results!$E$4="Tissue",Results!$E$4="Cells")),((FG5*FG$51)/(FG$53)),IF(AND(Results!$E$5="Weight",$C$52&gt;0, Results!$E$4="Tissue",OR($B$52="g",$B$52="mg")),((FG5*FG$51)/(FG$52)),IF(AND(Results!$E$5="Volume",$C$54&gt;0,Results!$E$4="Fluid"),((FG5*FG$51)/(FG$54)),IF(AND(Results!$E$4="Cells",Results!$E$5="Million",$B$52="million"),((FG5*FG$51)/(FG$52)),"0")))))</f>
        <v>20.156766666666666</v>
      </c>
      <c r="FH58" s="20">
        <f>IF(FH5=0,"0",IF(AND(Results!$E$5="Protein",$C$53&gt;0,OR(Results!$E$4="Tissue",Results!$E$4="Cells")),((FH5*FH$51)/(FH$53)),IF(AND(Results!$E$5="Weight",$C$52&gt;0, Results!$E$4="Tissue",OR($B$52="g",$B$52="mg")),((FH5*FH$51)/(FH$52)),IF(AND(Results!$E$5="Volume",$C$54&gt;0,Results!$E$4="Fluid"),((FH5*FH$51)/(FH$54)),IF(AND(Results!$E$4="Cells",Results!$E$5="Million",$B$52="million"),((FH5*FH$51)/(FH$52)),"0")))))</f>
        <v>47.817766666666671</v>
      </c>
      <c r="FI58" s="20">
        <f>IF(FI5=0,"0",IF(AND(Results!$E$5="Protein",$C$53&gt;0,OR(Results!$E$4="Tissue",Results!$E$4="Cells")),((FI5*FI$51)/(FI$53)),IF(AND(Results!$E$5="Weight",$C$52&gt;0, Results!$E$4="Tissue",OR($B$52="g",$B$52="mg")),((FI5*FI$51)/(FI$52)),IF(AND(Results!$E$5="Volume",$C$54&gt;0,Results!$E$4="Fluid"),((FI5*FI$51)/(FI$54)),IF(AND(Results!$E$4="Cells",Results!$E$5="Million",$B$52="million"),((FI5*FI$51)/(FI$52)),"0")))))</f>
        <v>39.3536</v>
      </c>
      <c r="FJ58" s="20">
        <f>IF(FJ5=0,"0",IF(AND(Results!$E$5="Protein",$C$53&gt;0,OR(Results!$E$4="Tissue",Results!$E$4="Cells")),((FJ5*FJ$51)/(FJ$53)),IF(AND(Results!$E$5="Weight",$C$52&gt;0, Results!$E$4="Tissue",OR($B$52="g",$B$52="mg")),((FJ5*FJ$51)/(FJ$52)),IF(AND(Results!$E$5="Volume",$C$54&gt;0,Results!$E$4="Fluid"),((FJ5*FJ$51)/(FJ$54)),IF(AND(Results!$E$4="Cells",Results!$E$5="Million",$B$52="million"),((FJ5*FJ$51)/(FJ$52)),"0")))))</f>
        <v>63.388833333333338</v>
      </c>
      <c r="FK58" s="20">
        <f>IF(FK5=0,"0",IF(AND(Results!$E$5="Protein",$C$53&gt;0,OR(Results!$E$4="Tissue",Results!$E$4="Cells")),((FK5*FK$51)/(FK$53)),IF(AND(Results!$E$5="Weight",$C$52&gt;0, Results!$E$4="Tissue",OR($B$52="g",$B$52="mg")),((FK5*FK$51)/(FK$52)),IF(AND(Results!$E$5="Volume",$C$54&gt;0,Results!$E$4="Fluid"),((FK5*FK$51)/(FK$54)),IF(AND(Results!$E$4="Cells",Results!$E$5="Million",$B$52="million"),((FK5*FK$51)/(FK$52)),"0")))))</f>
        <v>67.179216666666676</v>
      </c>
      <c r="FL58" s="20">
        <f>IF(FL5=0,"0",IF(AND(Results!$E$5="Protein",$C$53&gt;0,OR(Results!$E$4="Tissue",Results!$E$4="Cells")),((FL5*FL$51)/(FL$53)),IF(AND(Results!$E$5="Weight",$C$52&gt;0, Results!$E$4="Tissue",OR($B$52="g",$B$52="mg")),((FL5*FL$51)/(FL$52)),IF(AND(Results!$E$5="Volume",$C$54&gt;0,Results!$E$4="Fluid"),((FL5*FL$51)/(FL$54)),IF(AND(Results!$E$4="Cells",Results!$E$5="Million",$B$52="million"),((FL5*FL$51)/(FL$52)),"0")))))</f>
        <v>82.700816666666668</v>
      </c>
      <c r="FM58" s="20">
        <f>IF(FM5=0,"0",IF(AND(Results!$E$5="Protein",$C$53&gt;0,OR(Results!$E$4="Tissue",Results!$E$4="Cells")),((FM5*FM$51)/(FM$53)),IF(AND(Results!$E$5="Weight",$C$52&gt;0, Results!$E$4="Tissue",OR($B$52="g",$B$52="mg")),((FM5*FM$51)/(FM$52)),IF(AND(Results!$E$5="Volume",$C$54&gt;0,Results!$E$4="Fluid"),((FM5*FM$51)/(FM$54)),IF(AND(Results!$E$4="Cells",Results!$E$5="Million",$B$52="million"),((FM5*FM$51)/(FM$52)),"0")))))</f>
        <v>66.622749999999996</v>
      </c>
      <c r="FN58" s="20">
        <f>IF(FN5=0,"0",IF(AND(Results!$E$5="Protein",$C$53&gt;0,OR(Results!$E$4="Tissue",Results!$E$4="Cells")),((FN5*FN$51)/(FN$53)),IF(AND(Results!$E$5="Weight",$C$52&gt;0, Results!$E$4="Tissue",OR($B$52="g",$B$52="mg")),((FN5*FN$51)/(FN$52)),IF(AND(Results!$E$5="Volume",$C$54&gt;0,Results!$E$4="Fluid"),((FN5*FN$51)/(FN$54)),IF(AND(Results!$E$4="Cells",Results!$E$5="Million",$B$52="million"),((FN5*FN$51)/(FN$52)),"0")))))</f>
        <v>89.898633333333322</v>
      </c>
      <c r="FO58" s="20">
        <f>IF(FO5=0,"0",IF(AND(Results!$E$5="Protein",$C$53&gt;0,OR(Results!$E$4="Tissue",Results!$E$4="Cells")),((FO5*FO$51)/(FO$53)),IF(AND(Results!$E$5="Weight",$C$52&gt;0, Results!$E$4="Tissue",OR($B$52="g",$B$52="mg")),((FO5*FO$51)/(FO$52)),IF(AND(Results!$E$5="Volume",$C$54&gt;0,Results!$E$4="Fluid"),((FO5*FO$51)/(FO$54)),IF(AND(Results!$E$4="Cells",Results!$E$5="Million",$B$52="million"),((FO5*FO$51)/(FO$52)),"0")))))</f>
        <v>29.086749999999999</v>
      </c>
    </row>
    <row r="59" spans="1:171" x14ac:dyDescent="0.2">
      <c r="A59" s="120" t="str">
        <f t="shared" si="0"/>
        <v>9,10-DiHOME</v>
      </c>
      <c r="B59" s="121"/>
      <c r="C59" s="20">
        <f>IF(C6=0,"0",IF(AND(Results!$E$5="Protein",$C$53&gt;0,OR(Results!$E$4="Tissue",Results!$E$4="Cells")),((C6*C$51)/(C$53)),IF(AND(Results!$E$5="Weight",$C$52&gt;0, Results!$E$4="Tissue",OR($B$52="g",$B$52="mg")),((C6*C$51)/(C$52)),IF(AND(Results!$E$5="Volume",$C$54&gt;0,Results!$E$4="Fluid"),((C6*C$51)/(C$54)),IF(AND(Results!$E$4="Cells",Results!$E$5="Million",$B$52="million"),((C6*C$51)/(C$52)),"0")))))</f>
        <v>1.97035</v>
      </c>
      <c r="D59" s="20">
        <f>IF(D6=0,"0",IF(AND(Results!$E$5="Protein",$C$53&gt;0,OR(Results!$E$4="Tissue",Results!$E$4="Cells")),((D6*D$51)/(D$53)),IF(AND(Results!$E$5="Weight",$C$52&gt;0, Results!$E$4="Tissue",OR($B$52="g",$B$52="mg")),((D6*D$51)/(D$52)),IF(AND(Results!$E$5="Volume",$C$54&gt;0,Results!$E$4="Fluid"),((D6*D$51)/(D$54)),IF(AND(Results!$E$4="Cells",Results!$E$5="Million",$B$52="million"),((D6*D$51)/(D$52)),"0")))))</f>
        <v>2.8201000000000005</v>
      </c>
      <c r="E59" s="20">
        <f>IF(E6=0,"0",IF(AND(Results!$E$5="Protein",$C$53&gt;0,OR(Results!$E$4="Tissue",Results!$E$4="Cells")),((E6*E$51)/(E$53)),IF(AND(Results!$E$5="Weight",$C$52&gt;0, Results!$E$4="Tissue",OR($B$52="g",$B$52="mg")),((E6*E$51)/(E$52)),IF(AND(Results!$E$5="Volume",$C$54&gt;0,Results!$E$4="Fluid"),((E6*E$51)/(E$54)),IF(AND(Results!$E$4="Cells",Results!$E$5="Million",$B$52="million"),((E6*E$51)/(E$52)),"0")))))</f>
        <v>4.6212333333333335</v>
      </c>
      <c r="F59" s="20">
        <f>IF(F6=0,"0",IF(AND(Results!$E$5="Protein",$C$53&gt;0,OR(Results!$E$4="Tissue",Results!$E$4="Cells")),((F6*F$51)/(F$53)),IF(AND(Results!$E$5="Weight",$C$52&gt;0, Results!$E$4="Tissue",OR($B$52="g",$B$52="mg")),((F6*F$51)/(F$52)),IF(AND(Results!$E$5="Volume",$C$54&gt;0,Results!$E$4="Fluid"),((F6*F$51)/(F$54)),IF(AND(Results!$E$4="Cells",Results!$E$5="Million",$B$52="million"),((F6*F$51)/(F$52)),"0")))))</f>
        <v>13.86495</v>
      </c>
      <c r="G59" s="20">
        <f>IF(G6=0,"0",IF(AND(Results!$E$5="Protein",$C$53&gt;0,OR(Results!$E$4="Tissue",Results!$E$4="Cells")),((G6*G$51)/(G$53)),IF(AND(Results!$E$5="Weight",$C$52&gt;0, Results!$E$4="Tissue",OR($B$52="g",$B$52="mg")),((G6*G$51)/(G$52)),IF(AND(Results!$E$5="Volume",$C$54&gt;0,Results!$E$4="Fluid"),((G6*G$51)/(G$54)),IF(AND(Results!$E$4="Cells",Results!$E$5="Million",$B$52="million"),((G6*G$51)/(G$52)),"0")))))</f>
        <v>2.5101666666666671</v>
      </c>
      <c r="H59" s="20">
        <f>IF(H6=0,"0",IF(AND(Results!$E$5="Protein",$C$53&gt;0,OR(Results!$E$4="Tissue",Results!$E$4="Cells")),((H6*H$51)/(H$53)),IF(AND(Results!$E$5="Weight",$C$52&gt;0, Results!$E$4="Tissue",OR($B$52="g",$B$52="mg")),((H6*H$51)/(H$52)),IF(AND(Results!$E$5="Volume",$C$54&gt;0,Results!$E$4="Fluid"),((H6*H$51)/(H$54)),IF(AND(Results!$E$4="Cells",Results!$E$5="Million",$B$52="million"),((H6*H$51)/(H$52)),"0")))))</f>
        <v>0.59873333333333334</v>
      </c>
      <c r="I59" s="20">
        <f>IF(I6=0,"0",IF(AND(Results!$E$5="Protein",$C$53&gt;0,OR(Results!$E$4="Tissue",Results!$E$4="Cells")),((I6*I$51)/(I$53)),IF(AND(Results!$E$5="Weight",$C$52&gt;0, Results!$E$4="Tissue",OR($B$52="g",$B$52="mg")),((I6*I$51)/(I$52)),IF(AND(Results!$E$5="Volume",$C$54&gt;0,Results!$E$4="Fluid"),((I6*I$51)/(I$54)),IF(AND(Results!$E$4="Cells",Results!$E$5="Million",$B$52="million"),((I6*I$51)/(I$52)),"0")))))</f>
        <v>2.7499333333333333</v>
      </c>
      <c r="J59" s="20">
        <f>IF(J6=0,"0",IF(AND(Results!$E$5="Protein",$C$53&gt;0,OR(Results!$E$4="Tissue",Results!$E$4="Cells")),((J6*J$51)/(J$53)),IF(AND(Results!$E$5="Weight",$C$52&gt;0, Results!$E$4="Tissue",OR($B$52="g",$B$52="mg")),((J6*J$51)/(J$52)),IF(AND(Results!$E$5="Volume",$C$54&gt;0,Results!$E$4="Fluid"),((J6*J$51)/(J$54)),IF(AND(Results!$E$4="Cells",Results!$E$5="Million",$B$52="million"),((J6*J$51)/(J$52)),"0")))))</f>
        <v>1.2010333333333334</v>
      </c>
      <c r="K59" s="20">
        <f>IF(K6=0,"0",IF(AND(Results!$E$5="Protein",$C$53&gt;0,OR(Results!$E$4="Tissue",Results!$E$4="Cells")),((K6*K$51)/(K$53)),IF(AND(Results!$E$5="Weight",$C$52&gt;0, Results!$E$4="Tissue",OR($B$52="g",$B$52="mg")),((K6*K$51)/(K$52)),IF(AND(Results!$E$5="Volume",$C$54&gt;0,Results!$E$4="Fluid"),((K6*K$51)/(K$54)),IF(AND(Results!$E$4="Cells",Results!$E$5="Million",$B$52="million"),((K6*K$51)/(K$52)),"0")))))</f>
        <v>2.399866666666667</v>
      </c>
      <c r="L59" s="20">
        <f>IF(L6=0,"0",IF(AND(Results!$E$5="Protein",$C$53&gt;0,OR(Results!$E$4="Tissue",Results!$E$4="Cells")),((L6*L$51)/(L$53)),IF(AND(Results!$E$5="Weight",$C$52&gt;0, Results!$E$4="Tissue",OR($B$52="g",$B$52="mg")),((L6*L$51)/(L$52)),IF(AND(Results!$E$5="Volume",$C$54&gt;0,Results!$E$4="Fluid"),((L6*L$51)/(L$54)),IF(AND(Results!$E$4="Cells",Results!$E$5="Million",$B$52="million"),((L6*L$51)/(L$52)),"0")))))</f>
        <v>4.1738833333333334</v>
      </c>
      <c r="M59" s="20">
        <f>IF(M6=0,"0",IF(AND(Results!$E$5="Protein",$C$53&gt;0,OR(Results!$E$4="Tissue",Results!$E$4="Cells")),((M6*M$51)/(M$53)),IF(AND(Results!$E$5="Weight",$C$52&gt;0, Results!$E$4="Tissue",OR($B$52="g",$B$52="mg")),((M6*M$51)/(M$52)),IF(AND(Results!$E$5="Volume",$C$54&gt;0,Results!$E$4="Fluid"),((M6*M$51)/(M$54)),IF(AND(Results!$E$4="Cells",Results!$E$5="Million",$B$52="million"),((M6*M$51)/(M$52)),"0")))))</f>
        <v>2.9720333333333335</v>
      </c>
      <c r="N59" s="20">
        <f>IF(N6=0,"0",IF(AND(Results!$E$5="Protein",$C$53&gt;0,OR(Results!$E$4="Tissue",Results!$E$4="Cells")),((N6*N$51)/(N$53)),IF(AND(Results!$E$5="Weight",$C$52&gt;0, Results!$E$4="Tissue",OR($B$52="g",$B$52="mg")),((N6*N$51)/(N$52)),IF(AND(Results!$E$5="Volume",$C$54&gt;0,Results!$E$4="Fluid"),((N6*N$51)/(N$54)),IF(AND(Results!$E$4="Cells",Results!$E$5="Million",$B$52="million"),((N6*N$51)/(N$52)),"0")))))</f>
        <v>0.62801666666666667</v>
      </c>
      <c r="O59" s="20">
        <f>IF(O6=0,"0",IF(AND(Results!$E$5="Protein",$C$53&gt;0,OR(Results!$E$4="Tissue",Results!$E$4="Cells")),((O6*O$51)/(O$53)),IF(AND(Results!$E$5="Weight",$C$52&gt;0, Results!$E$4="Tissue",OR($B$52="g",$B$52="mg")),((O6*O$51)/(O$52)),IF(AND(Results!$E$5="Volume",$C$54&gt;0,Results!$E$4="Fluid"),((O6*O$51)/(O$54)),IF(AND(Results!$E$4="Cells",Results!$E$5="Million",$B$52="million"),((O6*O$51)/(O$52)),"0")))))</f>
        <v>2.2531666666666665</v>
      </c>
      <c r="P59" s="20">
        <f>IF(P6=0,"0",IF(AND(Results!$E$5="Protein",$C$53&gt;0,OR(Results!$E$4="Tissue",Results!$E$4="Cells")),((P6*P$51)/(P$53)),IF(AND(Results!$E$5="Weight",$C$52&gt;0, Results!$E$4="Tissue",OR($B$52="g",$B$52="mg")),((P6*P$51)/(P$52)),IF(AND(Results!$E$5="Volume",$C$54&gt;0,Results!$E$4="Fluid"),((P6*P$51)/(P$54)),IF(AND(Results!$E$4="Cells",Results!$E$5="Million",$B$52="million"),((P6*P$51)/(P$52)),"0")))))</f>
        <v>3.1404333333333336</v>
      </c>
      <c r="Q59" s="20">
        <f>IF(Q6=0,"0",IF(AND(Results!$E$5="Protein",$C$53&gt;0,OR(Results!$E$4="Tissue",Results!$E$4="Cells")),((Q6*Q$51)/(Q$53)),IF(AND(Results!$E$5="Weight",$C$52&gt;0, Results!$E$4="Tissue",OR($B$52="g",$B$52="mg")),((Q6*Q$51)/(Q$52)),IF(AND(Results!$E$5="Volume",$C$54&gt;0,Results!$E$4="Fluid"),((Q6*Q$51)/(Q$54)),IF(AND(Results!$E$4="Cells",Results!$E$5="Million",$B$52="million"),((Q6*Q$51)/(Q$52)),"0")))))</f>
        <v>23.216133333333332</v>
      </c>
      <c r="R59" s="20">
        <f>IF(R6=0,"0",IF(AND(Results!$E$5="Protein",$C$53&gt;0,OR(Results!$E$4="Tissue",Results!$E$4="Cells")),((R6*R$51)/(R$53)),IF(AND(Results!$E$5="Weight",$C$52&gt;0, Results!$E$4="Tissue",OR($B$52="g",$B$52="mg")),((R6*R$51)/(R$52)),IF(AND(Results!$E$5="Volume",$C$54&gt;0,Results!$E$4="Fluid"),((R6*R$51)/(R$54)),IF(AND(Results!$E$4="Cells",Results!$E$5="Million",$B$52="million"),((R6*R$51)/(R$52)),"0")))))</f>
        <v>11.742133333333333</v>
      </c>
      <c r="S59" s="20">
        <f>IF(S6=0,"0",IF(AND(Results!$E$5="Protein",$C$53&gt;0,OR(Results!$E$4="Tissue",Results!$E$4="Cells")),((S6*S$51)/(S$53)),IF(AND(Results!$E$5="Weight",$C$52&gt;0, Results!$E$4="Tissue",OR($B$52="g",$B$52="mg")),((S6*S$51)/(S$52)),IF(AND(Results!$E$5="Volume",$C$54&gt;0,Results!$E$4="Fluid"),((S6*S$51)/(S$54)),IF(AND(Results!$E$4="Cells",Results!$E$5="Million",$B$52="million"),((S6*S$51)/(S$52)),"0")))))</f>
        <v>5.239116666666666</v>
      </c>
      <c r="T59" s="20">
        <f>IF(T6=0,"0",IF(AND(Results!$E$5="Protein",$C$53&gt;0,OR(Results!$E$4="Tissue",Results!$E$4="Cells")),((T6*T$51)/(T$53)),IF(AND(Results!$E$5="Weight",$C$52&gt;0, Results!$E$4="Tissue",OR($B$52="g",$B$52="mg")),((T6*T$51)/(T$52)),IF(AND(Results!$E$5="Volume",$C$54&gt;0,Results!$E$4="Fluid"),((T6*T$51)/(T$54)),IF(AND(Results!$E$4="Cells",Results!$E$5="Million",$B$52="million"),((T6*T$51)/(T$52)),"0")))))</f>
        <v>2.6868499999999997</v>
      </c>
      <c r="U59" s="20">
        <f>IF(U6=0,"0",IF(AND(Results!$E$5="Protein",$C$53&gt;0,OR(Results!$E$4="Tissue",Results!$E$4="Cells")),((U6*U$51)/(U$53)),IF(AND(Results!$E$5="Weight",$C$52&gt;0, Results!$E$4="Tissue",OR($B$52="g",$B$52="mg")),((U6*U$51)/(U$52)),IF(AND(Results!$E$5="Volume",$C$54&gt;0,Results!$E$4="Fluid"),((U6*U$51)/(U$54)),IF(AND(Results!$E$4="Cells",Results!$E$5="Million",$B$52="million"),((U6*U$51)/(U$52)),"0")))))</f>
        <v>3.6566333333333336</v>
      </c>
      <c r="V59" s="20">
        <f>IF(V6=0,"0",IF(AND(Results!$E$5="Protein",$C$53&gt;0,OR(Results!$E$4="Tissue",Results!$E$4="Cells")),((V6*V$51)/(V$53)),IF(AND(Results!$E$5="Weight",$C$52&gt;0, Results!$E$4="Tissue",OR($B$52="g",$B$52="mg")),((V6*V$51)/(V$52)),IF(AND(Results!$E$5="Volume",$C$54&gt;0,Results!$E$4="Fluid"),((V6*V$51)/(V$54)),IF(AND(Results!$E$4="Cells",Results!$E$5="Million",$B$52="million"),((V6*V$51)/(V$52)),"0")))))</f>
        <v>10.1729</v>
      </c>
      <c r="W59" s="20">
        <f>IF(W6=0,"0",IF(AND(Results!$E$5="Protein",$C$53&gt;0,OR(Results!$E$4="Tissue",Results!$E$4="Cells")),((W6*W$51)/(W$53)),IF(AND(Results!$E$5="Weight",$C$52&gt;0, Results!$E$4="Tissue",OR($B$52="g",$B$52="mg")),((W6*W$51)/(W$52)),IF(AND(Results!$E$5="Volume",$C$54&gt;0,Results!$E$4="Fluid"),((W6*W$51)/(W$54)),IF(AND(Results!$E$4="Cells",Results!$E$5="Million",$B$52="million"),((W6*W$51)/(W$52)),"0")))))</f>
        <v>3.3265428571428566</v>
      </c>
      <c r="X59" s="20">
        <f>IF(X6=0,"0",IF(AND(Results!$E$5="Protein",$C$53&gt;0,OR(Results!$E$4="Tissue",Results!$E$4="Cells")),((X6*X$51)/(X$53)),IF(AND(Results!$E$5="Weight",$C$52&gt;0, Results!$E$4="Tissue",OR($B$52="g",$B$52="mg")),((X6*X$51)/(X$52)),IF(AND(Results!$E$5="Volume",$C$54&gt;0,Results!$E$4="Fluid"),((X6*X$51)/(X$54)),IF(AND(Results!$E$4="Cells",Results!$E$5="Million",$B$52="million"),((X6*X$51)/(X$52)),"0")))))</f>
        <v>0.87312000000000001</v>
      </c>
      <c r="Y59" s="20">
        <f>IF(Y6=0,"0",IF(AND(Results!$E$5="Protein",$C$53&gt;0,OR(Results!$E$4="Tissue",Results!$E$4="Cells")),((Y6*Y$51)/(Y$53)),IF(AND(Results!$E$5="Weight",$C$52&gt;0, Results!$E$4="Tissue",OR($B$52="g",$B$52="mg")),((Y6*Y$51)/(Y$52)),IF(AND(Results!$E$5="Volume",$C$54&gt;0,Results!$E$4="Fluid"),((Y6*Y$51)/(Y$54)),IF(AND(Results!$E$4="Cells",Results!$E$5="Million",$B$52="million"),((Y6*Y$51)/(Y$52)),"0")))))</f>
        <v>3.5385</v>
      </c>
      <c r="Z59" s="20">
        <f>IF(Z6=0,"0",IF(AND(Results!$E$5="Protein",$C$53&gt;0,OR(Results!$E$4="Tissue",Results!$E$4="Cells")),((Z6*Z$51)/(Z$53)),IF(AND(Results!$E$5="Weight",$C$52&gt;0, Results!$E$4="Tissue",OR($B$52="g",$B$52="mg")),((Z6*Z$51)/(Z$52)),IF(AND(Results!$E$5="Volume",$C$54&gt;0,Results!$E$4="Fluid"),((Z6*Z$51)/(Z$54)),IF(AND(Results!$E$4="Cells",Results!$E$5="Million",$B$52="million"),((Z6*Z$51)/(Z$52)),"0")))))</f>
        <v>5.6610799999999992</v>
      </c>
      <c r="AA59" s="20">
        <f>IF(AA6=0,"0",IF(AND(Results!$E$5="Protein",$C$53&gt;0,OR(Results!$E$4="Tissue",Results!$E$4="Cells")),((AA6*AA$51)/(AA$53)),IF(AND(Results!$E$5="Weight",$C$52&gt;0, Results!$E$4="Tissue",OR($B$52="g",$B$52="mg")),((AA6*AA$51)/(AA$52)),IF(AND(Results!$E$5="Volume",$C$54&gt;0,Results!$E$4="Fluid"),((AA6*AA$51)/(AA$54)),IF(AND(Results!$E$4="Cells",Results!$E$5="Million",$B$52="million"),((AA6*AA$51)/(AA$52)),"0")))))</f>
        <v>2.2273333333333336</v>
      </c>
      <c r="AB59" s="20">
        <f>IF(AB6=0,"0",IF(AND(Results!$E$5="Protein",$C$53&gt;0,OR(Results!$E$4="Tissue",Results!$E$4="Cells")),((AB6*AB$51)/(AB$53)),IF(AND(Results!$E$5="Weight",$C$52&gt;0, Results!$E$4="Tissue",OR($B$52="g",$B$52="mg")),((AB6*AB$51)/(AB$52)),IF(AND(Results!$E$5="Volume",$C$54&gt;0,Results!$E$4="Fluid"),((AB6*AB$51)/(AB$54)),IF(AND(Results!$E$4="Cells",Results!$E$5="Million",$B$52="million"),((AB6*AB$51)/(AB$52)),"0")))))</f>
        <v>2.1396666666666664</v>
      </c>
      <c r="AC59" s="20">
        <f>IF(AC6=0,"0",IF(AND(Results!$E$5="Protein",$C$53&gt;0,OR(Results!$E$4="Tissue",Results!$E$4="Cells")),((AC6*AC$51)/(AC$53)),IF(AND(Results!$E$5="Weight",$C$52&gt;0, Results!$E$4="Tissue",OR($B$52="g",$B$52="mg")),((AC6*AC$51)/(AC$52)),IF(AND(Results!$E$5="Volume",$C$54&gt;0,Results!$E$4="Fluid"),((AC6*AC$51)/(AC$54)),IF(AND(Results!$E$4="Cells",Results!$E$5="Million",$B$52="million"),((AC6*AC$51)/(AC$52)),"0")))))</f>
        <v>1.8446999999999998</v>
      </c>
      <c r="AD59" s="20">
        <f>IF(AD6=0,"0",IF(AND(Results!$E$5="Protein",$C$53&gt;0,OR(Results!$E$4="Tissue",Results!$E$4="Cells")),((AD6*AD$51)/(AD$53)),IF(AND(Results!$E$5="Weight",$C$52&gt;0, Results!$E$4="Tissue",OR($B$52="g",$B$52="mg")),((AD6*AD$51)/(AD$52)),IF(AND(Results!$E$5="Volume",$C$54&gt;0,Results!$E$4="Fluid"),((AD6*AD$51)/(AD$54)),IF(AND(Results!$E$4="Cells",Results!$E$5="Million",$B$52="million"),((AD6*AD$51)/(AD$52)),"0")))))</f>
        <v>3.1956666666666669</v>
      </c>
      <c r="AE59" s="20">
        <f>IF(AE6=0,"0",IF(AND(Results!$E$5="Protein",$C$53&gt;0,OR(Results!$E$4="Tissue",Results!$E$4="Cells")),((AE6*AE$51)/(AE$53)),IF(AND(Results!$E$5="Weight",$C$52&gt;0, Results!$E$4="Tissue",OR($B$52="g",$B$52="mg")),((AE6*AE$51)/(AE$52)),IF(AND(Results!$E$5="Volume",$C$54&gt;0,Results!$E$4="Fluid"),((AE6*AE$51)/(AE$54)),IF(AND(Results!$E$4="Cells",Results!$E$5="Million",$B$52="million"),((AE6*AE$51)/(AE$52)),"0")))))</f>
        <v>1.7353666666666667</v>
      </c>
      <c r="AF59" s="20">
        <f>IF(AF6=0,"0",IF(AND(Results!$E$5="Protein",$C$53&gt;0,OR(Results!$E$4="Tissue",Results!$E$4="Cells")),((AF6*AF$51)/(AF$53)),IF(AND(Results!$E$5="Weight",$C$52&gt;0, Results!$E$4="Tissue",OR($B$52="g",$B$52="mg")),((AF6*AF$51)/(AF$52)),IF(AND(Results!$E$5="Volume",$C$54&gt;0,Results!$E$4="Fluid"),((AF6*AF$51)/(AF$54)),IF(AND(Results!$E$4="Cells",Results!$E$5="Million",$B$52="million"),((AF6*AF$51)/(AF$52)),"0")))))</f>
        <v>0.95716666666666683</v>
      </c>
      <c r="AG59" s="20">
        <f>IF(AG6=0,"0",IF(AND(Results!$E$5="Protein",$C$53&gt;0,OR(Results!$E$4="Tissue",Results!$E$4="Cells")),((AG6*AG$51)/(AG$53)),IF(AND(Results!$E$5="Weight",$C$52&gt;0, Results!$E$4="Tissue",OR($B$52="g",$B$52="mg")),((AG6*AG$51)/(AG$52)),IF(AND(Results!$E$5="Volume",$C$54&gt;0,Results!$E$4="Fluid"),((AG6*AG$51)/(AG$54)),IF(AND(Results!$E$4="Cells",Results!$E$5="Million",$B$52="million"),((AG6*AG$51)/(AG$52)),"0")))))</f>
        <v>3.7167999999999997</v>
      </c>
      <c r="AH59" s="20">
        <f>IF(AH6=0,"0",IF(AND(Results!$E$5="Protein",$C$53&gt;0,OR(Results!$E$4="Tissue",Results!$E$4="Cells")),((AH6*AH$51)/(AH$53)),IF(AND(Results!$E$5="Weight",$C$52&gt;0, Results!$E$4="Tissue",OR($B$52="g",$B$52="mg")),((AH6*AH$51)/(AH$52)),IF(AND(Results!$E$5="Volume",$C$54&gt;0,Results!$E$4="Fluid"),((AH6*AH$51)/(AH$54)),IF(AND(Results!$E$4="Cells",Results!$E$5="Million",$B$52="million"),((AH6*AH$51)/(AH$52)),"0")))))</f>
        <v>8.7478333333333342</v>
      </c>
      <c r="AI59" s="20">
        <f>IF(AI6=0,"0",IF(AND(Results!$E$5="Protein",$C$53&gt;0,OR(Results!$E$4="Tissue",Results!$E$4="Cells")),((AI6*AI$51)/(AI$53)),IF(AND(Results!$E$5="Weight",$C$52&gt;0, Results!$E$4="Tissue",OR($B$52="g",$B$52="mg")),((AI6*AI$51)/(AI$52)),IF(AND(Results!$E$5="Volume",$C$54&gt;0,Results!$E$4="Fluid"),((AI6*AI$51)/(AI$54)),IF(AND(Results!$E$4="Cells",Results!$E$5="Million",$B$52="million"),((AI6*AI$51)/(AI$52)),"0")))))</f>
        <v>1.6728166666666666</v>
      </c>
      <c r="AJ59" s="20">
        <f>IF(AJ6=0,"0",IF(AND(Results!$E$5="Protein",$C$53&gt;0,OR(Results!$E$4="Tissue",Results!$E$4="Cells")),((AJ6*AJ$51)/(AJ$53)),IF(AND(Results!$E$5="Weight",$C$52&gt;0, Results!$E$4="Tissue",OR($B$52="g",$B$52="mg")),((AJ6*AJ$51)/(AJ$52)),IF(AND(Results!$E$5="Volume",$C$54&gt;0,Results!$E$4="Fluid"),((AJ6*AJ$51)/(AJ$54)),IF(AND(Results!$E$4="Cells",Results!$E$5="Million",$B$52="million"),((AJ6*AJ$51)/(AJ$52)),"0")))))</f>
        <v>4.9473000000000003</v>
      </c>
      <c r="AK59" s="20">
        <f>IF(AK6=0,"0",IF(AND(Results!$E$5="Protein",$C$53&gt;0,OR(Results!$E$4="Tissue",Results!$E$4="Cells")),((AK6*AK$51)/(AK$53)),IF(AND(Results!$E$5="Weight",$C$52&gt;0, Results!$E$4="Tissue",OR($B$52="g",$B$52="mg")),((AK6*AK$51)/(AK$52)),IF(AND(Results!$E$5="Volume",$C$54&gt;0,Results!$E$4="Fluid"),((AK6*AK$51)/(AK$54)),IF(AND(Results!$E$4="Cells",Results!$E$5="Million",$B$52="million"),((AK6*AK$51)/(AK$52)),"0")))))</f>
        <v>2.9336000000000002</v>
      </c>
      <c r="AL59" s="20">
        <f>IF(AL6=0,"0",IF(AND(Results!$E$5="Protein",$C$53&gt;0,OR(Results!$E$4="Tissue",Results!$E$4="Cells")),((AL6*AL$51)/(AL$53)),IF(AND(Results!$E$5="Weight",$C$52&gt;0, Results!$E$4="Tissue",OR($B$52="g",$B$52="mg")),((AL6*AL$51)/(AL$52)),IF(AND(Results!$E$5="Volume",$C$54&gt;0,Results!$E$4="Fluid"),((AL6*AL$51)/(AL$54)),IF(AND(Results!$E$4="Cells",Results!$E$5="Million",$B$52="million"),((AL6*AL$51)/(AL$52)),"0")))))</f>
        <v>4.8443666666666667</v>
      </c>
      <c r="AM59" s="20">
        <f>IF(AM6=0,"0",IF(AND(Results!$E$5="Protein",$C$53&gt;0,OR(Results!$E$4="Tissue",Results!$E$4="Cells")),((AM6*AM$51)/(AM$53)),IF(AND(Results!$E$5="Weight",$C$52&gt;0, Results!$E$4="Tissue",OR($B$52="g",$B$52="mg")),((AM6*AM$51)/(AM$52)),IF(AND(Results!$E$5="Volume",$C$54&gt;0,Results!$E$4="Fluid"),((AM6*AM$51)/(AM$54)),IF(AND(Results!$E$4="Cells",Results!$E$5="Million",$B$52="million"),((AM6*AM$51)/(AM$52)),"0")))))</f>
        <v>2.7741500000000001</v>
      </c>
      <c r="AN59" s="20">
        <f>IF(AN6=0,"0",IF(AND(Results!$E$5="Protein",$C$53&gt;0,OR(Results!$E$4="Tissue",Results!$E$4="Cells")),((AN6*AN$51)/(AN$53)),IF(AND(Results!$E$5="Weight",$C$52&gt;0, Results!$E$4="Tissue",OR($B$52="g",$B$52="mg")),((AN6*AN$51)/(AN$52)),IF(AND(Results!$E$5="Volume",$C$54&gt;0,Results!$E$4="Fluid"),((AN6*AN$51)/(AN$54)),IF(AND(Results!$E$4="Cells",Results!$E$5="Million",$B$52="million"),((AN6*AN$51)/(AN$52)),"0")))))</f>
        <v>2.6827166666666664</v>
      </c>
      <c r="AO59" s="20">
        <f>IF(AO6=0,"0",IF(AND(Results!$E$5="Protein",$C$53&gt;0,OR(Results!$E$4="Tissue",Results!$E$4="Cells")),((AO6*AO$51)/(AO$53)),IF(AND(Results!$E$5="Weight",$C$52&gt;0, Results!$E$4="Tissue",OR($B$52="g",$B$52="mg")),((AO6*AO$51)/(AO$52)),IF(AND(Results!$E$5="Volume",$C$54&gt;0,Results!$E$4="Fluid"),((AO6*AO$51)/(AO$54)),IF(AND(Results!$E$4="Cells",Results!$E$5="Million",$B$52="million"),((AO6*AO$51)/(AO$52)),"0")))))</f>
        <v>6.6607166666666675</v>
      </c>
      <c r="AP59" s="20">
        <f>IF(AP6=0,"0",IF(AND(Results!$E$5="Protein",$C$53&gt;0,OR(Results!$E$4="Tissue",Results!$E$4="Cells")),((AP6*AP$51)/(AP$53)),IF(AND(Results!$E$5="Weight",$C$52&gt;0, Results!$E$4="Tissue",OR($B$52="g",$B$52="mg")),((AP6*AP$51)/(AP$52)),IF(AND(Results!$E$5="Volume",$C$54&gt;0,Results!$E$4="Fluid"),((AP6*AP$51)/(AP$54)),IF(AND(Results!$E$4="Cells",Results!$E$5="Million",$B$52="million"),((AP6*AP$51)/(AP$52)),"0")))))</f>
        <v>2.6439333333333335</v>
      </c>
      <c r="AQ59" s="20">
        <f>IF(AQ6=0,"0",IF(AND(Results!$E$5="Protein",$C$53&gt;0,OR(Results!$E$4="Tissue",Results!$E$4="Cells")),((AQ6*AQ$51)/(AQ$53)),IF(AND(Results!$E$5="Weight",$C$52&gt;0, Results!$E$4="Tissue",OR($B$52="g",$B$52="mg")),((AQ6*AQ$51)/(AQ$52)),IF(AND(Results!$E$5="Volume",$C$54&gt;0,Results!$E$4="Fluid"),((AQ6*AQ$51)/(AQ$54)),IF(AND(Results!$E$4="Cells",Results!$E$5="Million",$B$52="million"),((AQ6*AQ$51)/(AQ$52)),"0")))))</f>
        <v>40.076116666666664</v>
      </c>
      <c r="AR59" s="20">
        <f>IF(AR6=0,"0",IF(AND(Results!$E$5="Protein",$C$53&gt;0,OR(Results!$E$4="Tissue",Results!$E$4="Cells")),((AR6*AR$51)/(AR$53)),IF(AND(Results!$E$5="Weight",$C$52&gt;0, Results!$E$4="Tissue",OR($B$52="g",$B$52="mg")),((AR6*AR$51)/(AR$52)),IF(AND(Results!$E$5="Volume",$C$54&gt;0,Results!$E$4="Fluid"),((AR6*AR$51)/(AR$54)),IF(AND(Results!$E$4="Cells",Results!$E$5="Million",$B$52="million"),((AR6*AR$51)/(AR$52)),"0")))))</f>
        <v>1.1377166666666667</v>
      </c>
      <c r="AS59" s="20">
        <f>IF(AS6=0,"0",IF(AND(Results!$E$5="Protein",$C$53&gt;0,OR(Results!$E$4="Tissue",Results!$E$4="Cells")),((AS6*AS$51)/(AS$53)),IF(AND(Results!$E$5="Weight",$C$52&gt;0, Results!$E$4="Tissue",OR($B$52="g",$B$52="mg")),((AS6*AS$51)/(AS$52)),IF(AND(Results!$E$5="Volume",$C$54&gt;0,Results!$E$4="Fluid"),((AS6*AS$51)/(AS$54)),IF(AND(Results!$E$4="Cells",Results!$E$5="Million",$B$52="million"),((AS6*AS$51)/(AS$52)),"0")))))</f>
        <v>1.2701833333333332</v>
      </c>
      <c r="AT59" s="20">
        <f>IF(AT6=0,"0",IF(AND(Results!$E$5="Protein",$C$53&gt;0,OR(Results!$E$4="Tissue",Results!$E$4="Cells")),((AT6*AT$51)/(AT$53)),IF(AND(Results!$E$5="Weight",$C$52&gt;0, Results!$E$4="Tissue",OR($B$52="g",$B$52="mg")),((AT6*AT$51)/(AT$52)),IF(AND(Results!$E$5="Volume",$C$54&gt;0,Results!$E$4="Fluid"),((AT6*AT$51)/(AT$54)),IF(AND(Results!$E$4="Cells",Results!$E$5="Million",$B$52="million"),((AT6*AT$51)/(AT$52)),"0")))))</f>
        <v>1.0575666666666665</v>
      </c>
      <c r="AU59" s="20">
        <f>IF(AU6=0,"0",IF(AND(Results!$E$5="Protein",$C$53&gt;0,OR(Results!$E$4="Tissue",Results!$E$4="Cells")),((AU6*AU$51)/(AU$53)),IF(AND(Results!$E$5="Weight",$C$52&gt;0, Results!$E$4="Tissue",OR($B$52="g",$B$52="mg")),((AU6*AU$51)/(AU$52)),IF(AND(Results!$E$5="Volume",$C$54&gt;0,Results!$E$4="Fluid"),((AU6*AU$51)/(AU$54)),IF(AND(Results!$E$4="Cells",Results!$E$5="Million",$B$52="million"),((AU6*AU$51)/(AU$52)),"0")))))</f>
        <v>1.7927600000000001</v>
      </c>
      <c r="AV59" s="20">
        <f>IF(AV6=0,"0",IF(AND(Results!$E$5="Protein",$C$53&gt;0,OR(Results!$E$4="Tissue",Results!$E$4="Cells")),((AV6*AV$51)/(AV$53)),IF(AND(Results!$E$5="Weight",$C$52&gt;0, Results!$E$4="Tissue",OR($B$52="g",$B$52="mg")),((AV6*AV$51)/(AV$52)),IF(AND(Results!$E$5="Volume",$C$54&gt;0,Results!$E$4="Fluid"),((AV6*AV$51)/(AV$54)),IF(AND(Results!$E$4="Cells",Results!$E$5="Million",$B$52="million"),((AV6*AV$51)/(AV$52)),"0")))))</f>
        <v>4.3552400000000002</v>
      </c>
      <c r="AW59" s="20">
        <f>IF(AW6=0,"0",IF(AND(Results!$E$5="Protein",$C$53&gt;0,OR(Results!$E$4="Tissue",Results!$E$4="Cells")),((AW6*AW$51)/(AW$53)),IF(AND(Results!$E$5="Weight",$C$52&gt;0, Results!$E$4="Tissue",OR($B$52="g",$B$52="mg")),((AW6*AW$51)/(AW$52)),IF(AND(Results!$E$5="Volume",$C$54&gt;0,Results!$E$4="Fluid"),((AW6*AW$51)/(AW$54)),IF(AND(Results!$E$4="Cells",Results!$E$5="Million",$B$52="million"),((AW6*AW$51)/(AW$52)),"0")))))</f>
        <v>1.1713833333333334</v>
      </c>
      <c r="AX59" s="20">
        <f>IF(AX6=0,"0",IF(AND(Results!$E$5="Protein",$C$53&gt;0,OR(Results!$E$4="Tissue",Results!$E$4="Cells")),((AX6*AX$51)/(AX$53)),IF(AND(Results!$E$5="Weight",$C$52&gt;0, Results!$E$4="Tissue",OR($B$52="g",$B$52="mg")),((AX6*AX$51)/(AX$52)),IF(AND(Results!$E$5="Volume",$C$54&gt;0,Results!$E$4="Fluid"),((AX6*AX$51)/(AX$54)),IF(AND(Results!$E$4="Cells",Results!$E$5="Million",$B$52="million"),((AX6*AX$51)/(AX$52)),"0")))))</f>
        <v>1.3413499999999998</v>
      </c>
      <c r="AY59" s="20">
        <f>IF(AY6=0,"0",IF(AND(Results!$E$5="Protein",$C$53&gt;0,OR(Results!$E$4="Tissue",Results!$E$4="Cells")),((AY6*AY$51)/(AY$53)),IF(AND(Results!$E$5="Weight",$C$52&gt;0, Results!$E$4="Tissue",OR($B$52="g",$B$52="mg")),((AY6*AY$51)/(AY$52)),IF(AND(Results!$E$5="Volume",$C$54&gt;0,Results!$E$4="Fluid"),((AY6*AY$51)/(AY$54)),IF(AND(Results!$E$4="Cells",Results!$E$5="Million",$B$52="million"),((AY6*AY$51)/(AY$52)),"0")))))</f>
        <v>3.4016833333333332</v>
      </c>
      <c r="AZ59" s="20">
        <f>IF(AZ6=0,"0",IF(AND(Results!$E$5="Protein",$C$53&gt;0,OR(Results!$E$4="Tissue",Results!$E$4="Cells")),((AZ6*AZ$51)/(AZ$53)),IF(AND(Results!$E$5="Weight",$C$52&gt;0, Results!$E$4="Tissue",OR($B$52="g",$B$52="mg")),((AZ6*AZ$51)/(AZ$52)),IF(AND(Results!$E$5="Volume",$C$54&gt;0,Results!$E$4="Fluid"),((AZ6*AZ$51)/(AZ$54)),IF(AND(Results!$E$4="Cells",Results!$E$5="Million",$B$52="million"),((AZ6*AZ$51)/(AZ$52)),"0")))))</f>
        <v>2.2772833333333335</v>
      </c>
      <c r="BA59" s="20">
        <f>IF(BA6=0,"0",IF(AND(Results!$E$5="Protein",$C$53&gt;0,OR(Results!$E$4="Tissue",Results!$E$4="Cells")),((BA6*BA$51)/(BA$53)),IF(AND(Results!$E$5="Weight",$C$52&gt;0, Results!$E$4="Tissue",OR($B$52="g",$B$52="mg")),((BA6*BA$51)/(BA$52)),IF(AND(Results!$E$5="Volume",$C$54&gt;0,Results!$E$4="Fluid"),((BA6*BA$51)/(BA$54)),IF(AND(Results!$E$4="Cells",Results!$E$5="Million",$B$52="million"),((BA6*BA$51)/(BA$52)),"0")))))</f>
        <v>2.067333333333333</v>
      </c>
      <c r="BB59" s="20">
        <f>IF(BB6=0,"0",IF(AND(Results!$E$5="Protein",$C$53&gt;0,OR(Results!$E$4="Tissue",Results!$E$4="Cells")),((BB6*BB$51)/(BB$53)),IF(AND(Results!$E$5="Weight",$C$52&gt;0, Results!$E$4="Tissue",OR($B$52="g",$B$52="mg")),((BB6*BB$51)/(BB$52)),IF(AND(Results!$E$5="Volume",$C$54&gt;0,Results!$E$4="Fluid"),((BB6*BB$51)/(BB$54)),IF(AND(Results!$E$4="Cells",Results!$E$5="Million",$B$52="million"),((BB6*BB$51)/(BB$52)),"0")))))</f>
        <v>3.4213833333333334</v>
      </c>
      <c r="BC59" s="20">
        <f>IF(BC6=0,"0",IF(AND(Results!$E$5="Protein",$C$53&gt;0,OR(Results!$E$4="Tissue",Results!$E$4="Cells")),((BC6*BC$51)/(BC$53)),IF(AND(Results!$E$5="Weight",$C$52&gt;0, Results!$E$4="Tissue",OR($B$52="g",$B$52="mg")),((BC6*BC$51)/(BC$52)),IF(AND(Results!$E$5="Volume",$C$54&gt;0,Results!$E$4="Fluid"),((BC6*BC$51)/(BC$54)),IF(AND(Results!$E$4="Cells",Results!$E$5="Million",$B$52="million"),((BC6*BC$51)/(BC$52)),"0")))))</f>
        <v>6.9767833333333336</v>
      </c>
      <c r="BD59" s="20">
        <f>IF(BD6=0,"0",IF(AND(Results!$E$5="Protein",$C$53&gt;0,OR(Results!$E$4="Tissue",Results!$E$4="Cells")),((BD6*BD$51)/(BD$53)),IF(AND(Results!$E$5="Weight",$C$52&gt;0, Results!$E$4="Tissue",OR($B$52="g",$B$52="mg")),((BD6*BD$51)/(BD$52)),IF(AND(Results!$E$5="Volume",$C$54&gt;0,Results!$E$4="Fluid"),((BD6*BD$51)/(BD$54)),IF(AND(Results!$E$4="Cells",Results!$E$5="Million",$B$52="million"),((BD6*BD$51)/(BD$52)),"0")))))</f>
        <v>1.6849833333333331</v>
      </c>
      <c r="BE59" s="20">
        <f>IF(BE6=0,"0",IF(AND(Results!$E$5="Protein",$C$53&gt;0,OR(Results!$E$4="Tissue",Results!$E$4="Cells")),((BE6*BE$51)/(BE$53)),IF(AND(Results!$E$5="Weight",$C$52&gt;0, Results!$E$4="Tissue",OR($B$52="g",$B$52="mg")),((BE6*BE$51)/(BE$52)),IF(AND(Results!$E$5="Volume",$C$54&gt;0,Results!$E$4="Fluid"),((BE6*BE$51)/(BE$54)),IF(AND(Results!$E$4="Cells",Results!$E$5="Million",$B$52="million"),((BE6*BE$51)/(BE$52)),"0")))))</f>
        <v>1.2938666666666667</v>
      </c>
      <c r="BF59" s="20">
        <f>IF(BF6=0,"0",IF(AND(Results!$E$5="Protein",$C$53&gt;0,OR(Results!$E$4="Tissue",Results!$E$4="Cells")),((BF6*BF$51)/(BF$53)),IF(AND(Results!$E$5="Weight",$C$52&gt;0, Results!$E$4="Tissue",OR($B$52="g",$B$52="mg")),((BF6*BF$51)/(BF$52)),IF(AND(Results!$E$5="Volume",$C$54&gt;0,Results!$E$4="Fluid"),((BF6*BF$51)/(BF$54)),IF(AND(Results!$E$4="Cells",Results!$E$5="Million",$B$52="million"),((BF6*BF$51)/(BF$52)),"0")))))</f>
        <v>4.6411666666666669</v>
      </c>
      <c r="BG59" s="20">
        <f>IF(BG6=0,"0",IF(AND(Results!$E$5="Protein",$C$53&gt;0,OR(Results!$E$4="Tissue",Results!$E$4="Cells")),((BG6*BG$51)/(BG$53)),IF(AND(Results!$E$5="Weight",$C$52&gt;0, Results!$E$4="Tissue",OR($B$52="g",$B$52="mg")),((BG6*BG$51)/(BG$52)),IF(AND(Results!$E$5="Volume",$C$54&gt;0,Results!$E$4="Fluid"),((BG6*BG$51)/(BG$54)),IF(AND(Results!$E$4="Cells",Results!$E$5="Million",$B$52="million"),((BG6*BG$51)/(BG$52)),"0")))))</f>
        <v>5.4310499999999999</v>
      </c>
      <c r="BH59" s="20">
        <f>IF(BH6=0,"0",IF(AND(Results!$E$5="Protein",$C$53&gt;0,OR(Results!$E$4="Tissue",Results!$E$4="Cells")),((BH6*BH$51)/(BH$53)),IF(AND(Results!$E$5="Weight",$C$52&gt;0, Results!$E$4="Tissue",OR($B$52="g",$B$52="mg")),((BH6*BH$51)/(BH$52)),IF(AND(Results!$E$5="Volume",$C$54&gt;0,Results!$E$4="Fluid"),((BH6*BH$51)/(BH$54)),IF(AND(Results!$E$4="Cells",Results!$E$5="Million",$B$52="million"),((BH6*BH$51)/(BH$52)),"0")))))</f>
        <v>3.0496666666666665</v>
      </c>
      <c r="BI59" s="20">
        <f>IF(BI6=0,"0",IF(AND(Results!$E$5="Protein",$C$53&gt;0,OR(Results!$E$4="Tissue",Results!$E$4="Cells")),((BI6*BI$51)/(BI$53)),IF(AND(Results!$E$5="Weight",$C$52&gt;0, Results!$E$4="Tissue",OR($B$52="g",$B$52="mg")),((BI6*BI$51)/(BI$52)),IF(AND(Results!$E$5="Volume",$C$54&gt;0,Results!$E$4="Fluid"),((BI6*BI$51)/(BI$54)),IF(AND(Results!$E$4="Cells",Results!$E$5="Million",$B$52="million"),((BI6*BI$51)/(BI$52)),"0")))))</f>
        <v>2.1193333333333331</v>
      </c>
      <c r="BJ59" s="20">
        <f>IF(BJ6=0,"0",IF(AND(Results!$E$5="Protein",$C$53&gt;0,OR(Results!$E$4="Tissue",Results!$E$4="Cells")),((BJ6*BJ$51)/(BJ$53)),IF(AND(Results!$E$5="Weight",$C$52&gt;0, Results!$E$4="Tissue",OR($B$52="g",$B$52="mg")),((BJ6*BJ$51)/(BJ$52)),IF(AND(Results!$E$5="Volume",$C$54&gt;0,Results!$E$4="Fluid"),((BJ6*BJ$51)/(BJ$54)),IF(AND(Results!$E$4="Cells",Results!$E$5="Million",$B$52="million"),((BJ6*BJ$51)/(BJ$52)),"0")))))</f>
        <v>4.3571666666666671</v>
      </c>
      <c r="BK59" s="20">
        <f>IF(BK6=0,"0",IF(AND(Results!$E$5="Protein",$C$53&gt;0,OR(Results!$E$4="Tissue",Results!$E$4="Cells")),((BK6*BK$51)/(BK$53)),IF(AND(Results!$E$5="Weight",$C$52&gt;0, Results!$E$4="Tissue",OR($B$52="g",$B$52="mg")),((BK6*BK$51)/(BK$52)),IF(AND(Results!$E$5="Volume",$C$54&gt;0,Results!$E$4="Fluid"),((BK6*BK$51)/(BK$54)),IF(AND(Results!$E$4="Cells",Results!$E$5="Million",$B$52="million"),((BK6*BK$51)/(BK$52)),"0")))))</f>
        <v>11.925750000000001</v>
      </c>
      <c r="BL59" s="20">
        <f>IF(BL6=0,"0",IF(AND(Results!$E$5="Protein",$C$53&gt;0,OR(Results!$E$4="Tissue",Results!$E$4="Cells")),((BL6*BL$51)/(BL$53)),IF(AND(Results!$E$5="Weight",$C$52&gt;0, Results!$E$4="Tissue",OR($B$52="g",$B$52="mg")),((BL6*BL$51)/(BL$52)),IF(AND(Results!$E$5="Volume",$C$54&gt;0,Results!$E$4="Fluid"),((BL6*BL$51)/(BL$54)),IF(AND(Results!$E$4="Cells",Results!$E$5="Million",$B$52="million"),((BL6*BL$51)/(BL$52)),"0")))))</f>
        <v>2.6804666666666663</v>
      </c>
      <c r="BM59" s="20">
        <f>IF(BM6=0,"0",IF(AND(Results!$E$5="Protein",$C$53&gt;0,OR(Results!$E$4="Tissue",Results!$E$4="Cells")),((BM6*BM$51)/(BM$53)),IF(AND(Results!$E$5="Weight",$C$52&gt;0, Results!$E$4="Tissue",OR($B$52="g",$B$52="mg")),((BM6*BM$51)/(BM$52)),IF(AND(Results!$E$5="Volume",$C$54&gt;0,Results!$E$4="Fluid"),((BM6*BM$51)/(BM$54)),IF(AND(Results!$E$4="Cells",Results!$E$5="Million",$B$52="million"),((BM6*BM$51)/(BM$52)),"0")))))</f>
        <v>1.0063142857142857</v>
      </c>
      <c r="BN59" s="20">
        <f>IF(BN6=0,"0",IF(AND(Results!$E$5="Protein",$C$53&gt;0,OR(Results!$E$4="Tissue",Results!$E$4="Cells")),((BN6*BN$51)/(BN$53)),IF(AND(Results!$E$5="Weight",$C$52&gt;0, Results!$E$4="Tissue",OR($B$52="g",$B$52="mg")),((BN6*BN$51)/(BN$52)),IF(AND(Results!$E$5="Volume",$C$54&gt;0,Results!$E$4="Fluid"),((BN6*BN$51)/(BN$54)),IF(AND(Results!$E$4="Cells",Results!$E$5="Million",$B$52="million"),((BN6*BN$51)/(BN$52)),"0")))))</f>
        <v>1.5087999999999999</v>
      </c>
      <c r="BO59" s="20">
        <f>IF(BO6=0,"0",IF(AND(Results!$E$5="Protein",$C$53&gt;0,OR(Results!$E$4="Tissue",Results!$E$4="Cells")),((BO6*BO$51)/(BO$53)),IF(AND(Results!$E$5="Weight",$C$52&gt;0, Results!$E$4="Tissue",OR($B$52="g",$B$52="mg")),((BO6*BO$51)/(BO$52)),IF(AND(Results!$E$5="Volume",$C$54&gt;0,Results!$E$4="Fluid"),((BO6*BO$51)/(BO$54)),IF(AND(Results!$E$4="Cells",Results!$E$5="Million",$B$52="million"),((BO6*BO$51)/(BO$52)),"0")))))</f>
        <v>21.210883333333335</v>
      </c>
      <c r="BP59" s="20">
        <f>IF(BP6=0,"0",IF(AND(Results!$E$5="Protein",$C$53&gt;0,OR(Results!$E$4="Tissue",Results!$E$4="Cells")),((BP6*BP$51)/(BP$53)),IF(AND(Results!$E$5="Weight",$C$52&gt;0, Results!$E$4="Tissue",OR($B$52="g",$B$52="mg")),((BP6*BP$51)/(BP$52)),IF(AND(Results!$E$5="Volume",$C$54&gt;0,Results!$E$4="Fluid"),((BP6*BP$51)/(BP$54)),IF(AND(Results!$E$4="Cells",Results!$E$5="Million",$B$52="million"),((BP6*BP$51)/(BP$52)),"0")))))</f>
        <v>2.96915</v>
      </c>
      <c r="BQ59" s="20">
        <f>IF(BQ6=0,"0",IF(AND(Results!$E$5="Protein",$C$53&gt;0,OR(Results!$E$4="Tissue",Results!$E$4="Cells")),((BQ6*BQ$51)/(BQ$53)),IF(AND(Results!$E$5="Weight",$C$52&gt;0, Results!$E$4="Tissue",OR($B$52="g",$B$52="mg")),((BQ6*BQ$51)/(BQ$52)),IF(AND(Results!$E$5="Volume",$C$54&gt;0,Results!$E$4="Fluid"),((BQ6*BQ$51)/(BQ$54)),IF(AND(Results!$E$4="Cells",Results!$E$5="Million",$B$52="million"),((BQ6*BQ$51)/(BQ$52)),"0")))))</f>
        <v>3.1626833333333333</v>
      </c>
      <c r="BR59" s="20">
        <f>IF(BR6=0,"0",IF(AND(Results!$E$5="Protein",$C$53&gt;0,OR(Results!$E$4="Tissue",Results!$E$4="Cells")),((BR6*BR$51)/(BR$53)),IF(AND(Results!$E$5="Weight",$C$52&gt;0, Results!$E$4="Tissue",OR($B$52="g",$B$52="mg")),((BR6*BR$51)/(BR$52)),IF(AND(Results!$E$5="Volume",$C$54&gt;0,Results!$E$4="Fluid"),((BR6*BR$51)/(BR$54)),IF(AND(Results!$E$4="Cells",Results!$E$5="Million",$B$52="million"),((BR6*BR$51)/(BR$52)),"0")))))</f>
        <v>4.2713142857142863</v>
      </c>
      <c r="BS59" s="20">
        <f>IF(BS6=0,"0",IF(AND(Results!$E$5="Protein",$C$53&gt;0,OR(Results!$E$4="Tissue",Results!$E$4="Cells")),((BS6*BS$51)/(BS$53)),IF(AND(Results!$E$5="Weight",$C$52&gt;0, Results!$E$4="Tissue",OR($B$52="g",$B$52="mg")),((BS6*BS$51)/(BS$52)),IF(AND(Results!$E$5="Volume",$C$54&gt;0,Results!$E$4="Fluid"),((BS6*BS$51)/(BS$54)),IF(AND(Results!$E$4="Cells",Results!$E$5="Million",$B$52="million"),((BS6*BS$51)/(BS$52)),"0")))))</f>
        <v>0.86849999999999994</v>
      </c>
      <c r="BT59" s="20">
        <f>IF(BT6=0,"0",IF(AND(Results!$E$5="Protein",$C$53&gt;0,OR(Results!$E$4="Tissue",Results!$E$4="Cells")),((BT6*BT$51)/(BT$53)),IF(AND(Results!$E$5="Weight",$C$52&gt;0, Results!$E$4="Tissue",OR($B$52="g",$B$52="mg")),((BT6*BT$51)/(BT$52)),IF(AND(Results!$E$5="Volume",$C$54&gt;0,Results!$E$4="Fluid"),((BT6*BT$51)/(BT$54)),IF(AND(Results!$E$4="Cells",Results!$E$5="Million",$B$52="million"),((BT6*BT$51)/(BT$52)),"0")))))</f>
        <v>2.4814166666666666</v>
      </c>
      <c r="BU59" s="20">
        <f>IF(BU6=0,"0",IF(AND(Results!$E$5="Protein",$C$53&gt;0,OR(Results!$E$4="Tissue",Results!$E$4="Cells")),((BU6*BU$51)/(BU$53)),IF(AND(Results!$E$5="Weight",$C$52&gt;0, Results!$E$4="Tissue",OR($B$52="g",$B$52="mg")),((BU6*BU$51)/(BU$52)),IF(AND(Results!$E$5="Volume",$C$54&gt;0,Results!$E$4="Fluid"),((BU6*BU$51)/(BU$54)),IF(AND(Results!$E$4="Cells",Results!$E$5="Million",$B$52="million"),((BU6*BU$51)/(BU$52)),"0")))))</f>
        <v>2.8624500000000004</v>
      </c>
      <c r="BV59" s="20">
        <f>IF(BV6=0,"0",IF(AND(Results!$E$5="Protein",$C$53&gt;0,OR(Results!$E$4="Tissue",Results!$E$4="Cells")),((BV6*BV$51)/(BV$53)),IF(AND(Results!$E$5="Weight",$C$52&gt;0, Results!$E$4="Tissue",OR($B$52="g",$B$52="mg")),((BV6*BV$51)/(BV$52)),IF(AND(Results!$E$5="Volume",$C$54&gt;0,Results!$E$4="Fluid"),((BV6*BV$51)/(BV$54)),IF(AND(Results!$E$4="Cells",Results!$E$5="Million",$B$52="million"),((BV6*BV$51)/(BV$52)),"0")))))</f>
        <v>1.5097500000000001</v>
      </c>
      <c r="BW59" s="20">
        <f>IF(BW6=0,"0",IF(AND(Results!$E$5="Protein",$C$53&gt;0,OR(Results!$E$4="Tissue",Results!$E$4="Cells")),((BW6*BW$51)/(BW$53)),IF(AND(Results!$E$5="Weight",$C$52&gt;0, Results!$E$4="Tissue",OR($B$52="g",$B$52="mg")),((BW6*BW$51)/(BW$52)),IF(AND(Results!$E$5="Volume",$C$54&gt;0,Results!$E$4="Fluid"),((BW6*BW$51)/(BW$54)),IF(AND(Results!$E$4="Cells",Results!$E$5="Million",$B$52="million"),((BW6*BW$51)/(BW$52)),"0")))))</f>
        <v>16.837466666666668</v>
      </c>
      <c r="BX59" s="20">
        <f>IF(BX6=0,"0",IF(AND(Results!$E$5="Protein",$C$53&gt;0,OR(Results!$E$4="Tissue",Results!$E$4="Cells")),((BX6*BX$51)/(BX$53)),IF(AND(Results!$E$5="Weight",$C$52&gt;0, Results!$E$4="Tissue",OR($B$52="g",$B$52="mg")),((BX6*BX$51)/(BX$52)),IF(AND(Results!$E$5="Volume",$C$54&gt;0,Results!$E$4="Fluid"),((BX6*BX$51)/(BX$54)),IF(AND(Results!$E$4="Cells",Results!$E$5="Million",$B$52="million"),((BX6*BX$51)/(BX$52)),"0")))))</f>
        <v>8.883933333333335</v>
      </c>
      <c r="BY59" s="20">
        <f>IF(BY6=0,"0",IF(AND(Results!$E$5="Protein",$C$53&gt;0,OR(Results!$E$4="Tissue",Results!$E$4="Cells")),((BY6*BY$51)/(BY$53)),IF(AND(Results!$E$5="Weight",$C$52&gt;0, Results!$E$4="Tissue",OR($B$52="g",$B$52="mg")),((BY6*BY$51)/(BY$52)),IF(AND(Results!$E$5="Volume",$C$54&gt;0,Results!$E$4="Fluid"),((BY6*BY$51)/(BY$54)),IF(AND(Results!$E$4="Cells",Results!$E$5="Million",$B$52="million"),((BY6*BY$51)/(BY$52)),"0")))))</f>
        <v>1.5223666666666666</v>
      </c>
      <c r="BZ59" s="20">
        <f>IF(BZ6=0,"0",IF(AND(Results!$E$5="Protein",$C$53&gt;0,OR(Results!$E$4="Tissue",Results!$E$4="Cells")),((BZ6*BZ$51)/(BZ$53)),IF(AND(Results!$E$5="Weight",$C$52&gt;0, Results!$E$4="Tissue",OR($B$52="g",$B$52="mg")),((BZ6*BZ$51)/(BZ$52)),IF(AND(Results!$E$5="Volume",$C$54&gt;0,Results!$E$4="Fluid"),((BZ6*BZ$51)/(BZ$54)),IF(AND(Results!$E$4="Cells",Results!$E$5="Million",$B$52="million"),((BZ6*BZ$51)/(BZ$52)),"0")))))</f>
        <v>1.5619500000000002</v>
      </c>
      <c r="CA59" s="20">
        <f>IF(CA6=0,"0",IF(AND(Results!$E$5="Protein",$C$53&gt;0,OR(Results!$E$4="Tissue",Results!$E$4="Cells")),((CA6*CA$51)/(CA$53)),IF(AND(Results!$E$5="Weight",$C$52&gt;0, Results!$E$4="Tissue",OR($B$52="g",$B$52="mg")),((CA6*CA$51)/(CA$52)),IF(AND(Results!$E$5="Volume",$C$54&gt;0,Results!$E$4="Fluid"),((CA6*CA$51)/(CA$54)),IF(AND(Results!$E$4="Cells",Results!$E$5="Million",$B$52="million"),((CA6*CA$51)/(CA$52)),"0")))))</f>
        <v>2.0450333333333335</v>
      </c>
      <c r="CB59" s="20">
        <f>IF(CB6=0,"0",IF(AND(Results!$E$5="Protein",$C$53&gt;0,OR(Results!$E$4="Tissue",Results!$E$4="Cells")),((CB6*CB$51)/(CB$53)),IF(AND(Results!$E$5="Weight",$C$52&gt;0, Results!$E$4="Tissue",OR($B$52="g",$B$52="mg")),((CB6*CB$51)/(CB$52)),IF(AND(Results!$E$5="Volume",$C$54&gt;0,Results!$E$4="Fluid"),((CB6*CB$51)/(CB$54)),IF(AND(Results!$E$4="Cells",Results!$E$5="Million",$B$52="million"),((CB6*CB$51)/(CB$52)),"0")))))</f>
        <v>1.5419666666666667</v>
      </c>
      <c r="CC59" s="20">
        <f>IF(CC6=0,"0",IF(AND(Results!$E$5="Protein",$C$53&gt;0,OR(Results!$E$4="Tissue",Results!$E$4="Cells")),((CC6*CC$51)/(CC$53)),IF(AND(Results!$E$5="Weight",$C$52&gt;0, Results!$E$4="Tissue",OR($B$52="g",$B$52="mg")),((CC6*CC$51)/(CC$52)),IF(AND(Results!$E$5="Volume",$C$54&gt;0,Results!$E$4="Fluid"),((CC6*CC$51)/(CC$54)),IF(AND(Results!$E$4="Cells",Results!$E$5="Million",$B$52="million"),((CC6*CC$51)/(CC$52)),"0")))))</f>
        <v>3.2395666666666667</v>
      </c>
      <c r="CD59" s="20">
        <f>IF(CD6=0,"0",IF(AND(Results!$E$5="Protein",$C$53&gt;0,OR(Results!$E$4="Tissue",Results!$E$4="Cells")),((CD6*CD$51)/(CD$53)),IF(AND(Results!$E$5="Weight",$C$52&gt;0, Results!$E$4="Tissue",OR($B$52="g",$B$52="mg")),((CD6*CD$51)/(CD$52)),IF(AND(Results!$E$5="Volume",$C$54&gt;0,Results!$E$4="Fluid"),((CD6*CD$51)/(CD$54)),IF(AND(Results!$E$4="Cells",Results!$E$5="Million",$B$52="million"),((CD6*CD$51)/(CD$52)),"0")))))</f>
        <v>2.1869999999999998</v>
      </c>
      <c r="CE59" s="20">
        <f>IF(CE6=0,"0",IF(AND(Results!$E$5="Protein",$C$53&gt;0,OR(Results!$E$4="Tissue",Results!$E$4="Cells")),((CE6*CE$51)/(CE$53)),IF(AND(Results!$E$5="Weight",$C$52&gt;0, Results!$E$4="Tissue",OR($B$52="g",$B$52="mg")),((CE6*CE$51)/(CE$52)),IF(AND(Results!$E$5="Volume",$C$54&gt;0,Results!$E$4="Fluid"),((CE6*CE$51)/(CE$54)),IF(AND(Results!$E$4="Cells",Results!$E$5="Million",$B$52="million"),((CE6*CE$51)/(CE$52)),"0")))))</f>
        <v>7.6256999999999993</v>
      </c>
      <c r="CF59" s="20">
        <f>IF(CF6=0,"0",IF(AND(Results!$E$5="Protein",$C$53&gt;0,OR(Results!$E$4="Tissue",Results!$E$4="Cells")),((CF6*CF$51)/(CF$53)),IF(AND(Results!$E$5="Weight",$C$52&gt;0, Results!$E$4="Tissue",OR($B$52="g",$B$52="mg")),((CF6*CF$51)/(CF$52)),IF(AND(Results!$E$5="Volume",$C$54&gt;0,Results!$E$4="Fluid"),((CF6*CF$51)/(CF$54)),IF(AND(Results!$E$4="Cells",Results!$E$5="Million",$B$52="million"),((CF6*CF$51)/(CF$52)),"0")))))</f>
        <v>1.7934166666666667</v>
      </c>
      <c r="CG59" s="20">
        <f>IF(CG6=0,"0",IF(AND(Results!$E$5="Protein",$C$53&gt;0,OR(Results!$E$4="Tissue",Results!$E$4="Cells")),((CG6*CG$51)/(CG$53)),IF(AND(Results!$E$5="Weight",$C$52&gt;0, Results!$E$4="Tissue",OR($B$52="g",$B$52="mg")),((CG6*CG$51)/(CG$52)),IF(AND(Results!$E$5="Volume",$C$54&gt;0,Results!$E$4="Fluid"),((CG6*CG$51)/(CG$54)),IF(AND(Results!$E$4="Cells",Results!$E$5="Million",$B$52="million"),((CG6*CG$51)/(CG$52)),"0")))))</f>
        <v>5.6175499999999996</v>
      </c>
      <c r="CH59" s="20">
        <f>IF(CH6=0,"0",IF(AND(Results!$E$5="Protein",$C$53&gt;0,OR(Results!$E$4="Tissue",Results!$E$4="Cells")),((CH6*CH$51)/(CH$53)),IF(AND(Results!$E$5="Weight",$C$52&gt;0, Results!$E$4="Tissue",OR($B$52="g",$B$52="mg")),((CH6*CH$51)/(CH$52)),IF(AND(Results!$E$5="Volume",$C$54&gt;0,Results!$E$4="Fluid"),((CH6*CH$51)/(CH$54)),IF(AND(Results!$E$4="Cells",Results!$E$5="Million",$B$52="million"),((CH6*CH$51)/(CH$52)),"0")))))</f>
        <v>9.4741999999999997</v>
      </c>
      <c r="CI59" s="20">
        <f>IF(CI6=0,"0",IF(AND(Results!$E$5="Protein",$C$53&gt;0,OR(Results!$E$4="Tissue",Results!$E$4="Cells")),((CI6*CI$51)/(CI$53)),IF(AND(Results!$E$5="Weight",$C$52&gt;0, Results!$E$4="Tissue",OR($B$52="g",$B$52="mg")),((CI6*CI$51)/(CI$52)),IF(AND(Results!$E$5="Volume",$C$54&gt;0,Results!$E$4="Fluid"),((CI6*CI$51)/(CI$54)),IF(AND(Results!$E$4="Cells",Results!$E$5="Million",$B$52="million"),((CI6*CI$51)/(CI$52)),"0")))))</f>
        <v>4.4940666666666669</v>
      </c>
      <c r="CJ59" s="20">
        <f>IF(CJ6=0,"0",IF(AND(Results!$E$5="Protein",$C$53&gt;0,OR(Results!$E$4="Tissue",Results!$E$4="Cells")),((CJ6*CJ$51)/(CJ$53)),IF(AND(Results!$E$5="Weight",$C$52&gt;0, Results!$E$4="Tissue",OR($B$52="g",$B$52="mg")),((CJ6*CJ$51)/(CJ$52)),IF(AND(Results!$E$5="Volume",$C$54&gt;0,Results!$E$4="Fluid"),((CJ6*CJ$51)/(CJ$54)),IF(AND(Results!$E$4="Cells",Results!$E$5="Million",$B$52="million"),((CJ6*CJ$51)/(CJ$52)),"0")))))</f>
        <v>2.8744444444444444</v>
      </c>
      <c r="CK59" s="20">
        <f>IF(CK6=0,"0",IF(AND(Results!$E$5="Protein",$C$53&gt;0,OR(Results!$E$4="Tissue",Results!$E$4="Cells")),((CK6*CK$51)/(CK$53)),IF(AND(Results!$E$5="Weight",$C$52&gt;0, Results!$E$4="Tissue",OR($B$52="g",$B$52="mg")),((CK6*CK$51)/(CK$52)),IF(AND(Results!$E$5="Volume",$C$54&gt;0,Results!$E$4="Fluid"),((CK6*CK$51)/(CK$54)),IF(AND(Results!$E$4="Cells",Results!$E$5="Million",$B$52="million"),((CK6*CK$51)/(CK$52)),"0")))))</f>
        <v>1.2020333333333333</v>
      </c>
      <c r="CL59" s="20">
        <f>IF(CL6=0,"0",IF(AND(Results!$E$5="Protein",$C$53&gt;0,OR(Results!$E$4="Tissue",Results!$E$4="Cells")),((CL6*CL$51)/(CL$53)),IF(AND(Results!$E$5="Weight",$C$52&gt;0, Results!$E$4="Tissue",OR($B$52="g",$B$52="mg")),((CL6*CL$51)/(CL$52)),IF(AND(Results!$E$5="Volume",$C$54&gt;0,Results!$E$4="Fluid"),((CL6*CL$51)/(CL$54)),IF(AND(Results!$E$4="Cells",Results!$E$5="Million",$B$52="million"),((CL6*CL$51)/(CL$52)),"0")))))</f>
        <v>3.1870333333333329</v>
      </c>
      <c r="CM59" s="20">
        <f>IF(CM6=0,"0",IF(AND(Results!$E$5="Protein",$C$53&gt;0,OR(Results!$E$4="Tissue",Results!$E$4="Cells")),((CM6*CM$51)/(CM$53)),IF(AND(Results!$E$5="Weight",$C$52&gt;0, Results!$E$4="Tissue",OR($B$52="g",$B$52="mg")),((CM6*CM$51)/(CM$52)),IF(AND(Results!$E$5="Volume",$C$54&gt;0,Results!$E$4="Fluid"),((CM6*CM$51)/(CM$54)),IF(AND(Results!$E$4="Cells",Results!$E$5="Million",$B$52="million"),((CM6*CM$51)/(CM$52)),"0")))))</f>
        <v>5.3676499999999994</v>
      </c>
      <c r="CN59" s="20">
        <f>IF(CN6=0,"0",IF(AND(Results!$E$5="Protein",$C$53&gt;0,OR(Results!$E$4="Tissue",Results!$E$4="Cells")),((CN6*CN$51)/(CN$53)),IF(AND(Results!$E$5="Weight",$C$52&gt;0, Results!$E$4="Tissue",OR($B$52="g",$B$52="mg")),((CN6*CN$51)/(CN$52)),IF(AND(Results!$E$5="Volume",$C$54&gt;0,Results!$E$4="Fluid"),((CN6*CN$51)/(CN$54)),IF(AND(Results!$E$4="Cells",Results!$E$5="Million",$B$52="million"),((CN6*CN$51)/(CN$52)),"0")))))</f>
        <v>5.4428333333333319</v>
      </c>
      <c r="CO59" s="20">
        <f>IF(CO6=0,"0",IF(AND(Results!$E$5="Protein",$C$53&gt;0,OR(Results!$E$4="Tissue",Results!$E$4="Cells")),((CO6*CO$51)/(CO$53)),IF(AND(Results!$E$5="Weight",$C$52&gt;0, Results!$E$4="Tissue",OR($B$52="g",$B$52="mg")),((CO6*CO$51)/(CO$52)),IF(AND(Results!$E$5="Volume",$C$54&gt;0,Results!$E$4="Fluid"),((CO6*CO$51)/(CO$54)),IF(AND(Results!$E$4="Cells",Results!$E$5="Million",$B$52="million"),((CO6*CO$51)/(CO$52)),"0")))))</f>
        <v>1.4317500000000001</v>
      </c>
      <c r="CP59" s="20">
        <f>IF(CP6=0,"0",IF(AND(Results!$E$5="Protein",$C$53&gt;0,OR(Results!$E$4="Tissue",Results!$E$4="Cells")),((CP6*CP$51)/(CP$53)),IF(AND(Results!$E$5="Weight",$C$52&gt;0, Results!$E$4="Tissue",OR($B$52="g",$B$52="mg")),((CP6*CP$51)/(CP$52)),IF(AND(Results!$E$5="Volume",$C$54&gt;0,Results!$E$4="Fluid"),((CP6*CP$51)/(CP$54)),IF(AND(Results!$E$4="Cells",Results!$E$5="Million",$B$52="million"),((CP6*CP$51)/(CP$52)),"0")))))</f>
        <v>3.9306166666666664</v>
      </c>
      <c r="CQ59" s="20">
        <f>IF(CQ6=0,"0",IF(AND(Results!$E$5="Protein",$C$53&gt;0,OR(Results!$E$4="Tissue",Results!$E$4="Cells")),((CQ6*CQ$51)/(CQ$53)),IF(AND(Results!$E$5="Weight",$C$52&gt;0, Results!$E$4="Tissue",OR($B$52="g",$B$52="mg")),((CQ6*CQ$51)/(CQ$52)),IF(AND(Results!$E$5="Volume",$C$54&gt;0,Results!$E$4="Fluid"),((CQ6*CQ$51)/(CQ$54)),IF(AND(Results!$E$4="Cells",Results!$E$5="Million",$B$52="million"),((CQ6*CQ$51)/(CQ$52)),"0")))))</f>
        <v>8.4843999999999991</v>
      </c>
      <c r="CR59" s="20">
        <f>IF(CR6=0,"0",IF(AND(Results!$E$5="Protein",$C$53&gt;0,OR(Results!$E$4="Tissue",Results!$E$4="Cells")),((CR6*CR$51)/(CR$53)),IF(AND(Results!$E$5="Weight",$C$52&gt;0, Results!$E$4="Tissue",OR($B$52="g",$B$52="mg")),((CR6*CR$51)/(CR$52)),IF(AND(Results!$E$5="Volume",$C$54&gt;0,Results!$E$4="Fluid"),((CR6*CR$51)/(CR$54)),IF(AND(Results!$E$4="Cells",Results!$E$5="Million",$B$52="million"),((CR6*CR$51)/(CR$52)),"0")))))</f>
        <v>5.9641000000000002</v>
      </c>
      <c r="CS59" s="20">
        <f>IF(CS6=0,"0",IF(AND(Results!$E$5="Protein",$C$53&gt;0,OR(Results!$E$4="Tissue",Results!$E$4="Cells")),((CS6*CS$51)/(CS$53)),IF(AND(Results!$E$5="Weight",$C$52&gt;0, Results!$E$4="Tissue",OR($B$52="g",$B$52="mg")),((CS6*CS$51)/(CS$52)),IF(AND(Results!$E$5="Volume",$C$54&gt;0,Results!$E$4="Fluid"),((CS6*CS$51)/(CS$54)),IF(AND(Results!$E$4="Cells",Results!$E$5="Million",$B$52="million"),((CS6*CS$51)/(CS$52)),"0")))))</f>
        <v>2.5257833333333335</v>
      </c>
      <c r="CT59" s="20">
        <f>IF(CT6=0,"0",IF(AND(Results!$E$5="Protein",$C$53&gt;0,OR(Results!$E$4="Tissue",Results!$E$4="Cells")),((CT6*CT$51)/(CT$53)),IF(AND(Results!$E$5="Weight",$C$52&gt;0, Results!$E$4="Tissue",OR($B$52="g",$B$52="mg")),((CT6*CT$51)/(CT$52)),IF(AND(Results!$E$5="Volume",$C$54&gt;0,Results!$E$4="Fluid"),((CT6*CT$51)/(CT$54)),IF(AND(Results!$E$4="Cells",Results!$E$5="Million",$B$52="million"),((CT6*CT$51)/(CT$52)),"0")))))</f>
        <v>2.6032333333333337</v>
      </c>
      <c r="CU59" s="20">
        <f>IF(CU6=0,"0",IF(AND(Results!$E$5="Protein",$C$53&gt;0,OR(Results!$E$4="Tissue",Results!$E$4="Cells")),((CU6*CU$51)/(CU$53)),IF(AND(Results!$E$5="Weight",$C$52&gt;0, Results!$E$4="Tissue",OR($B$52="g",$B$52="mg")),((CU6*CU$51)/(CU$52)),IF(AND(Results!$E$5="Volume",$C$54&gt;0,Results!$E$4="Fluid"),((CU6*CU$51)/(CU$54)),IF(AND(Results!$E$4="Cells",Results!$E$5="Million",$B$52="million"),((CU6*CU$51)/(CU$52)),"0")))))</f>
        <v>2.8224</v>
      </c>
      <c r="CV59" s="20">
        <f>IF(CV6=0,"0",IF(AND(Results!$E$5="Protein",$C$53&gt;0,OR(Results!$E$4="Tissue",Results!$E$4="Cells")),((CV6*CV$51)/(CV$53)),IF(AND(Results!$E$5="Weight",$C$52&gt;0, Results!$E$4="Tissue",OR($B$52="g",$B$52="mg")),((CV6*CV$51)/(CV$52)),IF(AND(Results!$E$5="Volume",$C$54&gt;0,Results!$E$4="Fluid"),((CV6*CV$51)/(CV$54)),IF(AND(Results!$E$4="Cells",Results!$E$5="Million",$B$52="million"),((CV6*CV$51)/(CV$52)),"0")))))</f>
        <v>3.4681833333333336</v>
      </c>
      <c r="CW59" s="20">
        <f>IF(CW6=0,"0",IF(AND(Results!$E$5="Protein",$C$53&gt;0,OR(Results!$E$4="Tissue",Results!$E$4="Cells")),((CW6*CW$51)/(CW$53)),IF(AND(Results!$E$5="Weight",$C$52&gt;0, Results!$E$4="Tissue",OR($B$52="g",$B$52="mg")),((CW6*CW$51)/(CW$52)),IF(AND(Results!$E$5="Volume",$C$54&gt;0,Results!$E$4="Fluid"),((CW6*CW$51)/(CW$54)),IF(AND(Results!$E$4="Cells",Results!$E$5="Million",$B$52="million"),((CW6*CW$51)/(CW$52)),"0")))))</f>
        <v>2.9177999999999997</v>
      </c>
      <c r="CX59" s="20">
        <f>IF(CX6=0,"0",IF(AND(Results!$E$5="Protein",$C$53&gt;0,OR(Results!$E$4="Tissue",Results!$E$4="Cells")),((CX6*CX$51)/(CX$53)),IF(AND(Results!$E$5="Weight",$C$52&gt;0, Results!$E$4="Tissue",OR($B$52="g",$B$52="mg")),((CX6*CX$51)/(CX$52)),IF(AND(Results!$E$5="Volume",$C$54&gt;0,Results!$E$4="Fluid"),((CX6*CX$51)/(CX$54)),IF(AND(Results!$E$4="Cells",Results!$E$5="Million",$B$52="million"),((CX6*CX$51)/(CX$52)),"0")))))</f>
        <v>7.8216166666666664</v>
      </c>
      <c r="CY59" s="20">
        <f>IF(CY6=0,"0",IF(AND(Results!$E$5="Protein",$C$53&gt;0,OR(Results!$E$4="Tissue",Results!$E$4="Cells")),((CY6*CY$51)/(CY$53)),IF(AND(Results!$E$5="Weight",$C$52&gt;0, Results!$E$4="Tissue",OR($B$52="g",$B$52="mg")),((CY6*CY$51)/(CY$52)),IF(AND(Results!$E$5="Volume",$C$54&gt;0,Results!$E$4="Fluid"),((CY6*CY$51)/(CY$54)),IF(AND(Results!$E$4="Cells",Results!$E$5="Million",$B$52="million"),((CY6*CY$51)/(CY$52)),"0")))))</f>
        <v>2.5720499999999999</v>
      </c>
      <c r="CZ59" s="20">
        <f>IF(CZ6=0,"0",IF(AND(Results!$E$5="Protein",$C$53&gt;0,OR(Results!$E$4="Tissue",Results!$E$4="Cells")),((CZ6*CZ$51)/(CZ$53)),IF(AND(Results!$E$5="Weight",$C$52&gt;0, Results!$E$4="Tissue",OR($B$52="g",$B$52="mg")),((CZ6*CZ$51)/(CZ$52)),IF(AND(Results!$E$5="Volume",$C$54&gt;0,Results!$E$4="Fluid"),((CZ6*CZ$51)/(CZ$54)),IF(AND(Results!$E$4="Cells",Results!$E$5="Million",$B$52="million"),((CZ6*CZ$51)/(CZ$52)),"0")))))</f>
        <v>1.3804333333333334</v>
      </c>
      <c r="DA59" s="20">
        <f>IF(DA6=0,"0",IF(AND(Results!$E$5="Protein",$C$53&gt;0,OR(Results!$E$4="Tissue",Results!$E$4="Cells")),((DA6*DA$51)/(DA$53)),IF(AND(Results!$E$5="Weight",$C$52&gt;0, Results!$E$4="Tissue",OR($B$52="g",$B$52="mg")),((DA6*DA$51)/(DA$52)),IF(AND(Results!$E$5="Volume",$C$54&gt;0,Results!$E$4="Fluid"),((DA6*DA$51)/(DA$54)),IF(AND(Results!$E$4="Cells",Results!$E$5="Million",$B$52="million"),((DA6*DA$51)/(DA$52)),"0")))))</f>
        <v>2.8023333333333329</v>
      </c>
      <c r="DB59" s="20">
        <f>IF(DB6=0,"0",IF(AND(Results!$E$5="Protein",$C$53&gt;0,OR(Results!$E$4="Tissue",Results!$E$4="Cells")),((DB6*DB$51)/(DB$53)),IF(AND(Results!$E$5="Weight",$C$52&gt;0, Results!$E$4="Tissue",OR($B$52="g",$B$52="mg")),((DB6*DB$51)/(DB$52)),IF(AND(Results!$E$5="Volume",$C$54&gt;0,Results!$E$4="Fluid"),((DB6*DB$51)/(DB$54)),IF(AND(Results!$E$4="Cells",Results!$E$5="Million",$B$52="million"),((DB6*DB$51)/(DB$52)),"0")))))</f>
        <v>1.24535</v>
      </c>
      <c r="DC59" s="20">
        <f>IF(DC6=0,"0",IF(AND(Results!$E$5="Protein",$C$53&gt;0,OR(Results!$E$4="Tissue",Results!$E$4="Cells")),((DC6*DC$51)/(DC$53)),IF(AND(Results!$E$5="Weight",$C$52&gt;0, Results!$E$4="Tissue",OR($B$52="g",$B$52="mg")),((DC6*DC$51)/(DC$52)),IF(AND(Results!$E$5="Volume",$C$54&gt;0,Results!$E$4="Fluid"),((DC6*DC$51)/(DC$54)),IF(AND(Results!$E$4="Cells",Results!$E$5="Million",$B$52="million"),((DC6*DC$51)/(DC$52)),"0")))))</f>
        <v>2.4250166666666666</v>
      </c>
      <c r="DD59" s="20">
        <f>IF(DD6=0,"0",IF(AND(Results!$E$5="Protein",$C$53&gt;0,OR(Results!$E$4="Tissue",Results!$E$4="Cells")),((DD6*DD$51)/(DD$53)),IF(AND(Results!$E$5="Weight",$C$52&gt;0, Results!$E$4="Tissue",OR($B$52="g",$B$52="mg")),((DD6*DD$51)/(DD$52)),IF(AND(Results!$E$5="Volume",$C$54&gt;0,Results!$E$4="Fluid"),((DD6*DD$51)/(DD$54)),IF(AND(Results!$E$4="Cells",Results!$E$5="Million",$B$52="million"),((DD6*DD$51)/(DD$52)),"0")))))</f>
        <v>1.2470833333333333</v>
      </c>
      <c r="DE59" s="20">
        <f>IF(DE6=0,"0",IF(AND(Results!$E$5="Protein",$C$53&gt;0,OR(Results!$E$4="Tissue",Results!$E$4="Cells")),((DE6*DE$51)/(DE$53)),IF(AND(Results!$E$5="Weight",$C$52&gt;0, Results!$E$4="Tissue",OR($B$52="g",$B$52="mg")),((DE6*DE$51)/(DE$52)),IF(AND(Results!$E$5="Volume",$C$54&gt;0,Results!$E$4="Fluid"),((DE6*DE$51)/(DE$54)),IF(AND(Results!$E$4="Cells",Results!$E$5="Million",$B$52="million"),((DE6*DE$51)/(DE$52)),"0")))))</f>
        <v>9.9307499999999997</v>
      </c>
      <c r="DF59" s="20">
        <f>IF(DF6=0,"0",IF(AND(Results!$E$5="Protein",$C$53&gt;0,OR(Results!$E$4="Tissue",Results!$E$4="Cells")),((DF6*DF$51)/(DF$53)),IF(AND(Results!$E$5="Weight",$C$52&gt;0, Results!$E$4="Tissue",OR($B$52="g",$B$52="mg")),((DF6*DF$51)/(DF$52)),IF(AND(Results!$E$5="Volume",$C$54&gt;0,Results!$E$4="Fluid"),((DF6*DF$51)/(DF$54)),IF(AND(Results!$E$4="Cells",Results!$E$5="Million",$B$52="million"),((DF6*DF$51)/(DF$52)),"0")))))</f>
        <v>0.58029999999999993</v>
      </c>
      <c r="DG59" s="20">
        <f>IF(DG6=0,"0",IF(AND(Results!$E$5="Protein",$C$53&gt;0,OR(Results!$E$4="Tissue",Results!$E$4="Cells")),((DG6*DG$51)/(DG$53)),IF(AND(Results!$E$5="Weight",$C$52&gt;0, Results!$E$4="Tissue",OR($B$52="g",$B$52="mg")),((DG6*DG$51)/(DG$52)),IF(AND(Results!$E$5="Volume",$C$54&gt;0,Results!$E$4="Fluid"),((DG6*DG$51)/(DG$54)),IF(AND(Results!$E$4="Cells",Results!$E$5="Million",$B$52="million"),((DG6*DG$51)/(DG$52)),"0")))))</f>
        <v>4.4380166666666669</v>
      </c>
      <c r="DH59" s="20">
        <f>IF(DH6=0,"0",IF(AND(Results!$E$5="Protein",$C$53&gt;0,OR(Results!$E$4="Tissue",Results!$E$4="Cells")),((DH6*DH$51)/(DH$53)),IF(AND(Results!$E$5="Weight",$C$52&gt;0, Results!$E$4="Tissue",OR($B$52="g",$B$52="mg")),((DH6*DH$51)/(DH$52)),IF(AND(Results!$E$5="Volume",$C$54&gt;0,Results!$E$4="Fluid"),((DH6*DH$51)/(DH$54)),IF(AND(Results!$E$4="Cells",Results!$E$5="Million",$B$52="million"),((DH6*DH$51)/(DH$52)),"0")))))</f>
        <v>1.08175</v>
      </c>
      <c r="DI59" s="20">
        <f>IF(DI6=0,"0",IF(AND(Results!$E$5="Protein",$C$53&gt;0,OR(Results!$E$4="Tissue",Results!$E$4="Cells")),((DI6*DI$51)/(DI$53)),IF(AND(Results!$E$5="Weight",$C$52&gt;0, Results!$E$4="Tissue",OR($B$52="g",$B$52="mg")),((DI6*DI$51)/(DI$52)),IF(AND(Results!$E$5="Volume",$C$54&gt;0,Results!$E$4="Fluid"),((DI6*DI$51)/(DI$54)),IF(AND(Results!$E$4="Cells",Results!$E$5="Million",$B$52="million"),((DI6*DI$51)/(DI$52)),"0")))))</f>
        <v>5.1071000000000009</v>
      </c>
      <c r="DJ59" s="20">
        <f>IF(DJ6=0,"0",IF(AND(Results!$E$5="Protein",$C$53&gt;0,OR(Results!$E$4="Tissue",Results!$E$4="Cells")),((DJ6*DJ$51)/(DJ$53)),IF(AND(Results!$E$5="Weight",$C$52&gt;0, Results!$E$4="Tissue",OR($B$52="g",$B$52="mg")),((DJ6*DJ$51)/(DJ$52)),IF(AND(Results!$E$5="Volume",$C$54&gt;0,Results!$E$4="Fluid"),((DJ6*DJ$51)/(DJ$54)),IF(AND(Results!$E$4="Cells",Results!$E$5="Million",$B$52="million"),((DJ6*DJ$51)/(DJ$52)),"0")))))</f>
        <v>6.0272000000000014</v>
      </c>
      <c r="DK59" s="20">
        <f>IF(DK6=0,"0",IF(AND(Results!$E$5="Protein",$C$53&gt;0,OR(Results!$E$4="Tissue",Results!$E$4="Cells")),((DK6*DK$51)/(DK$53)),IF(AND(Results!$E$5="Weight",$C$52&gt;0, Results!$E$4="Tissue",OR($B$52="g",$B$52="mg")),((DK6*DK$51)/(DK$52)),IF(AND(Results!$E$5="Volume",$C$54&gt;0,Results!$E$4="Fluid"),((DK6*DK$51)/(DK$54)),IF(AND(Results!$E$4="Cells",Results!$E$5="Million",$B$52="million"),((DK6*DK$51)/(DK$52)),"0")))))</f>
        <v>12.824083333333334</v>
      </c>
      <c r="DL59" s="20">
        <f>IF(DL6=0,"0",IF(AND(Results!$E$5="Protein",$C$53&gt;0,OR(Results!$E$4="Tissue",Results!$E$4="Cells")),((DL6*DL$51)/(DL$53)),IF(AND(Results!$E$5="Weight",$C$52&gt;0, Results!$E$4="Tissue",OR($B$52="g",$B$52="mg")),((DL6*DL$51)/(DL$52)),IF(AND(Results!$E$5="Volume",$C$54&gt;0,Results!$E$4="Fluid"),((DL6*DL$51)/(DL$54)),IF(AND(Results!$E$4="Cells",Results!$E$5="Million",$B$52="million"),((DL6*DL$51)/(DL$52)),"0")))))</f>
        <v>1.4985333333333333</v>
      </c>
      <c r="DM59" s="20">
        <f>IF(DM6=0,"0",IF(AND(Results!$E$5="Protein",$C$53&gt;0,OR(Results!$E$4="Tissue",Results!$E$4="Cells")),((DM6*DM$51)/(DM$53)),IF(AND(Results!$E$5="Weight",$C$52&gt;0, Results!$E$4="Tissue",OR($B$52="g",$B$52="mg")),((DM6*DM$51)/(DM$52)),IF(AND(Results!$E$5="Volume",$C$54&gt;0,Results!$E$4="Fluid"),((DM6*DM$51)/(DM$54)),IF(AND(Results!$E$4="Cells",Results!$E$5="Million",$B$52="million"),((DM6*DM$51)/(DM$52)),"0")))))</f>
        <v>3.4078666666666662</v>
      </c>
      <c r="DN59" s="20">
        <f>IF(DN6=0,"0",IF(AND(Results!$E$5="Protein",$C$53&gt;0,OR(Results!$E$4="Tissue",Results!$E$4="Cells")),((DN6*DN$51)/(DN$53)),IF(AND(Results!$E$5="Weight",$C$52&gt;0, Results!$E$4="Tissue",OR($B$52="g",$B$52="mg")),((DN6*DN$51)/(DN$52)),IF(AND(Results!$E$5="Volume",$C$54&gt;0,Results!$E$4="Fluid"),((DN6*DN$51)/(DN$54)),IF(AND(Results!$E$4="Cells",Results!$E$5="Million",$B$52="million"),((DN6*DN$51)/(DN$52)),"0")))))</f>
        <v>2.39845</v>
      </c>
      <c r="DO59" s="20">
        <f>IF(DO6=0,"0",IF(AND(Results!$E$5="Protein",$C$53&gt;0,OR(Results!$E$4="Tissue",Results!$E$4="Cells")),((DO6*DO$51)/(DO$53)),IF(AND(Results!$E$5="Weight",$C$52&gt;0, Results!$E$4="Tissue",OR($B$52="g",$B$52="mg")),((DO6*DO$51)/(DO$52)),IF(AND(Results!$E$5="Volume",$C$54&gt;0,Results!$E$4="Fluid"),((DO6*DO$51)/(DO$54)),IF(AND(Results!$E$4="Cells",Results!$E$5="Million",$B$52="million"),((DO6*DO$51)/(DO$52)),"0")))))</f>
        <v>1.5858833333333331</v>
      </c>
      <c r="DP59" s="20">
        <f>IF(DP6=0,"0",IF(AND(Results!$E$5="Protein",$C$53&gt;0,OR(Results!$E$4="Tissue",Results!$E$4="Cells")),((DP6*DP$51)/(DP$53)),IF(AND(Results!$E$5="Weight",$C$52&gt;0, Results!$E$4="Tissue",OR($B$52="g",$B$52="mg")),((DP6*DP$51)/(DP$52)),IF(AND(Results!$E$5="Volume",$C$54&gt;0,Results!$E$4="Fluid"),((DP6*DP$51)/(DP$54)),IF(AND(Results!$E$4="Cells",Results!$E$5="Million",$B$52="million"),((DP6*DP$51)/(DP$52)),"0")))))</f>
        <v>6.3333666666666666</v>
      </c>
      <c r="DQ59" s="20">
        <f>IF(DQ6=0,"0",IF(AND(Results!$E$5="Protein",$C$53&gt;0,OR(Results!$E$4="Tissue",Results!$E$4="Cells")),((DQ6*DQ$51)/(DQ$53)),IF(AND(Results!$E$5="Weight",$C$52&gt;0, Results!$E$4="Tissue",OR($B$52="g",$B$52="mg")),((DQ6*DQ$51)/(DQ$52)),IF(AND(Results!$E$5="Volume",$C$54&gt;0,Results!$E$4="Fluid"),((DQ6*DQ$51)/(DQ$54)),IF(AND(Results!$E$4="Cells",Results!$E$5="Million",$B$52="million"),((DQ6*DQ$51)/(DQ$52)),"0")))))</f>
        <v>1.8768833333333332</v>
      </c>
      <c r="DR59" s="20">
        <f>IF(DR6=0,"0",IF(AND(Results!$E$5="Protein",$C$53&gt;0,OR(Results!$E$4="Tissue",Results!$E$4="Cells")),((DR6*DR$51)/(DR$53)),IF(AND(Results!$E$5="Weight",$C$52&gt;0, Results!$E$4="Tissue",OR($B$52="g",$B$52="mg")),((DR6*DR$51)/(DR$52)),IF(AND(Results!$E$5="Volume",$C$54&gt;0,Results!$E$4="Fluid"),((DR6*DR$51)/(DR$54)),IF(AND(Results!$E$4="Cells",Results!$E$5="Million",$B$52="million"),((DR6*DR$51)/(DR$52)),"0")))))</f>
        <v>1.5706166666666665</v>
      </c>
      <c r="DS59" s="20">
        <f>IF(DS6=0,"0",IF(AND(Results!$E$5="Protein",$C$53&gt;0,OR(Results!$E$4="Tissue",Results!$E$4="Cells")),((DS6*DS$51)/(DS$53)),IF(AND(Results!$E$5="Weight",$C$52&gt;0, Results!$E$4="Tissue",OR($B$52="g",$B$52="mg")),((DS6*DS$51)/(DS$52)),IF(AND(Results!$E$5="Volume",$C$54&gt;0,Results!$E$4="Fluid"),((DS6*DS$51)/(DS$54)),IF(AND(Results!$E$4="Cells",Results!$E$5="Million",$B$52="million"),((DS6*DS$51)/(DS$52)),"0")))))</f>
        <v>6.801333333333333</v>
      </c>
      <c r="DT59" s="20">
        <f>IF(DT6=0,"0",IF(AND(Results!$E$5="Protein",$C$53&gt;0,OR(Results!$E$4="Tissue",Results!$E$4="Cells")),((DT6*DT$51)/(DT$53)),IF(AND(Results!$E$5="Weight",$C$52&gt;0, Results!$E$4="Tissue",OR($B$52="g",$B$52="mg")),((DT6*DT$51)/(DT$52)),IF(AND(Results!$E$5="Volume",$C$54&gt;0,Results!$E$4="Fluid"),((DT6*DT$51)/(DT$54)),IF(AND(Results!$E$4="Cells",Results!$E$5="Million",$B$52="million"),((DT6*DT$51)/(DT$52)),"0")))))</f>
        <v>3.396733333333334</v>
      </c>
      <c r="DU59" s="20">
        <f>IF(DU6=0,"0",IF(AND(Results!$E$5="Protein",$C$53&gt;0,OR(Results!$E$4="Tissue",Results!$E$4="Cells")),((DU6*DU$51)/(DU$53)),IF(AND(Results!$E$5="Weight",$C$52&gt;0, Results!$E$4="Tissue",OR($B$52="g",$B$52="mg")),((DU6*DU$51)/(DU$52)),IF(AND(Results!$E$5="Volume",$C$54&gt;0,Results!$E$4="Fluid"),((DU6*DU$51)/(DU$54)),IF(AND(Results!$E$4="Cells",Results!$E$5="Million",$B$52="million"),((DU6*DU$51)/(DU$52)),"0")))))</f>
        <v>0.85051666666666681</v>
      </c>
      <c r="DV59" s="20">
        <f>IF(DV6=0,"0",IF(AND(Results!$E$5="Protein",$C$53&gt;0,OR(Results!$E$4="Tissue",Results!$E$4="Cells")),((DV6*DV$51)/(DV$53)),IF(AND(Results!$E$5="Weight",$C$52&gt;0, Results!$E$4="Tissue",OR($B$52="g",$B$52="mg")),((DV6*DV$51)/(DV$52)),IF(AND(Results!$E$5="Volume",$C$54&gt;0,Results!$E$4="Fluid"),((DV6*DV$51)/(DV$54)),IF(AND(Results!$E$4="Cells",Results!$E$5="Million",$B$52="million"),((DV6*DV$51)/(DV$52)),"0")))))</f>
        <v>3.6794166666666666</v>
      </c>
      <c r="DW59" s="20">
        <f>IF(DW6=0,"0",IF(AND(Results!$E$5="Protein",$C$53&gt;0,OR(Results!$E$4="Tissue",Results!$E$4="Cells")),((DW6*DW$51)/(DW$53)),IF(AND(Results!$E$5="Weight",$C$52&gt;0, Results!$E$4="Tissue",OR($B$52="g",$B$52="mg")),((DW6*DW$51)/(DW$52)),IF(AND(Results!$E$5="Volume",$C$54&gt;0,Results!$E$4="Fluid"),((DW6*DW$51)/(DW$54)),IF(AND(Results!$E$4="Cells",Results!$E$5="Million",$B$52="million"),((DW6*DW$51)/(DW$52)),"0")))))</f>
        <v>4.4001333333333328</v>
      </c>
      <c r="DX59" s="20">
        <f>IF(DX6=0,"0",IF(AND(Results!$E$5="Protein",$C$53&gt;0,OR(Results!$E$4="Tissue",Results!$E$4="Cells")),((DX6*DX$51)/(DX$53)),IF(AND(Results!$E$5="Weight",$C$52&gt;0, Results!$E$4="Tissue",OR($B$52="g",$B$52="mg")),((DX6*DX$51)/(DX$52)),IF(AND(Results!$E$5="Volume",$C$54&gt;0,Results!$E$4="Fluid"),((DX6*DX$51)/(DX$54)),IF(AND(Results!$E$4="Cells",Results!$E$5="Million",$B$52="million"),((DX6*DX$51)/(DX$52)),"0")))))</f>
        <v>5.9020166666666674</v>
      </c>
      <c r="DY59" s="20">
        <f>IF(DY6=0,"0",IF(AND(Results!$E$5="Protein",$C$53&gt;0,OR(Results!$E$4="Tissue",Results!$E$4="Cells")),((DY6*DY$51)/(DY$53)),IF(AND(Results!$E$5="Weight",$C$52&gt;0, Results!$E$4="Tissue",OR($B$52="g",$B$52="mg")),((DY6*DY$51)/(DY$52)),IF(AND(Results!$E$5="Volume",$C$54&gt;0,Results!$E$4="Fluid"),((DY6*DY$51)/(DY$54)),IF(AND(Results!$E$4="Cells",Results!$E$5="Million",$B$52="million"),((DY6*DY$51)/(DY$52)),"0")))))</f>
        <v>6.3194333333333343</v>
      </c>
      <c r="DZ59" s="20">
        <f>IF(DZ6=0,"0",IF(AND(Results!$E$5="Protein",$C$53&gt;0,OR(Results!$E$4="Tissue",Results!$E$4="Cells")),((DZ6*DZ$51)/(DZ$53)),IF(AND(Results!$E$5="Weight",$C$52&gt;0, Results!$E$4="Tissue",OR($B$52="g",$B$52="mg")),((DZ6*DZ$51)/(DZ$52)),IF(AND(Results!$E$5="Volume",$C$54&gt;0,Results!$E$4="Fluid"),((DZ6*DZ$51)/(DZ$54)),IF(AND(Results!$E$4="Cells",Results!$E$5="Million",$B$52="million"),((DZ6*DZ$51)/(DZ$52)),"0")))))</f>
        <v>2.2854999999999999</v>
      </c>
      <c r="EA59" s="20">
        <f>IF(EA6=0,"0",IF(AND(Results!$E$5="Protein",$C$53&gt;0,OR(Results!$E$4="Tissue",Results!$E$4="Cells")),((EA6*EA$51)/(EA$53)),IF(AND(Results!$E$5="Weight",$C$52&gt;0, Results!$E$4="Tissue",OR($B$52="g",$B$52="mg")),((EA6*EA$51)/(EA$52)),IF(AND(Results!$E$5="Volume",$C$54&gt;0,Results!$E$4="Fluid"),((EA6*EA$51)/(EA$54)),IF(AND(Results!$E$4="Cells",Results!$E$5="Million",$B$52="million"),((EA6*EA$51)/(EA$52)),"0")))))</f>
        <v>2.7411999999999996</v>
      </c>
      <c r="EB59" s="20">
        <f>IF(EB6=0,"0",IF(AND(Results!$E$5="Protein",$C$53&gt;0,OR(Results!$E$4="Tissue",Results!$E$4="Cells")),((EB6*EB$51)/(EB$53)),IF(AND(Results!$E$5="Weight",$C$52&gt;0, Results!$E$4="Tissue",OR($B$52="g",$B$52="mg")),((EB6*EB$51)/(EB$52)),IF(AND(Results!$E$5="Volume",$C$54&gt;0,Results!$E$4="Fluid"),((EB6*EB$51)/(EB$54)),IF(AND(Results!$E$4="Cells",Results!$E$5="Million",$B$52="million"),((EB6*EB$51)/(EB$52)),"0")))))</f>
        <v>2.5364500000000003</v>
      </c>
      <c r="EC59" s="20">
        <f>IF(EC6=0,"0",IF(AND(Results!$E$5="Protein",$C$53&gt;0,OR(Results!$E$4="Tissue",Results!$E$4="Cells")),((EC6*EC$51)/(EC$53)),IF(AND(Results!$E$5="Weight",$C$52&gt;0, Results!$E$4="Tissue",OR($B$52="g",$B$52="mg")),((EC6*EC$51)/(EC$52)),IF(AND(Results!$E$5="Volume",$C$54&gt;0,Results!$E$4="Fluid"),((EC6*EC$51)/(EC$54)),IF(AND(Results!$E$4="Cells",Results!$E$5="Million",$B$52="million"),((EC6*EC$51)/(EC$52)),"0")))))</f>
        <v>1.4846333333333335</v>
      </c>
      <c r="ED59" s="20">
        <f>IF(ED6=0,"0",IF(AND(Results!$E$5="Protein",$C$53&gt;0,OR(Results!$E$4="Tissue",Results!$E$4="Cells")),((ED6*ED$51)/(ED$53)),IF(AND(Results!$E$5="Weight",$C$52&gt;0, Results!$E$4="Tissue",OR($B$52="g",$B$52="mg")),((ED6*ED$51)/(ED$52)),IF(AND(Results!$E$5="Volume",$C$54&gt;0,Results!$E$4="Fluid"),((ED6*ED$51)/(ED$54)),IF(AND(Results!$E$4="Cells",Results!$E$5="Million",$B$52="million"),((ED6*ED$51)/(ED$52)),"0")))))</f>
        <v>5.9529500000000004</v>
      </c>
      <c r="EE59" s="20">
        <f>IF(EE6=0,"0",IF(AND(Results!$E$5="Protein",$C$53&gt;0,OR(Results!$E$4="Tissue",Results!$E$4="Cells")),((EE6*EE$51)/(EE$53)),IF(AND(Results!$E$5="Weight",$C$52&gt;0, Results!$E$4="Tissue",OR($B$52="g",$B$52="mg")),((EE6*EE$51)/(EE$52)),IF(AND(Results!$E$5="Volume",$C$54&gt;0,Results!$E$4="Fluid"),((EE6*EE$51)/(EE$54)),IF(AND(Results!$E$4="Cells",Results!$E$5="Million",$B$52="million"),((EE6*EE$51)/(EE$52)),"0")))))</f>
        <v>1.5850833333333334</v>
      </c>
      <c r="EF59" s="20">
        <f>IF(EF6=0,"0",IF(AND(Results!$E$5="Protein",$C$53&gt;0,OR(Results!$E$4="Tissue",Results!$E$4="Cells")),((EF6*EF$51)/(EF$53)),IF(AND(Results!$E$5="Weight",$C$52&gt;0, Results!$E$4="Tissue",OR($B$52="g",$B$52="mg")),((EF6*EF$51)/(EF$52)),IF(AND(Results!$E$5="Volume",$C$54&gt;0,Results!$E$4="Fluid"),((EF6*EF$51)/(EF$54)),IF(AND(Results!$E$4="Cells",Results!$E$5="Million",$B$52="million"),((EF6*EF$51)/(EF$52)),"0")))))</f>
        <v>2.1828166666666666</v>
      </c>
      <c r="EG59" s="20">
        <f>IF(EG6=0,"0",IF(AND(Results!$E$5="Protein",$C$53&gt;0,OR(Results!$E$4="Tissue",Results!$E$4="Cells")),((EG6*EG$51)/(EG$53)),IF(AND(Results!$E$5="Weight",$C$52&gt;0, Results!$E$4="Tissue",OR($B$52="g",$B$52="mg")),((EG6*EG$51)/(EG$52)),IF(AND(Results!$E$5="Volume",$C$54&gt;0,Results!$E$4="Fluid"),((EG6*EG$51)/(EG$54)),IF(AND(Results!$E$4="Cells",Results!$E$5="Million",$B$52="million"),((EG6*EG$51)/(EG$52)),"0")))))</f>
        <v>5.4764166666666663</v>
      </c>
      <c r="EH59" s="20">
        <f>IF(EH6=0,"0",IF(AND(Results!$E$5="Protein",$C$53&gt;0,OR(Results!$E$4="Tissue",Results!$E$4="Cells")),((EH6*EH$51)/(EH$53)),IF(AND(Results!$E$5="Weight",$C$52&gt;0, Results!$E$4="Tissue",OR($B$52="g",$B$52="mg")),((EH6*EH$51)/(EH$52)),IF(AND(Results!$E$5="Volume",$C$54&gt;0,Results!$E$4="Fluid"),((EH6*EH$51)/(EH$54)),IF(AND(Results!$E$4="Cells",Results!$E$5="Million",$B$52="million"),((EH6*EH$51)/(EH$52)),"0")))))</f>
        <v>1.4197500000000001</v>
      </c>
      <c r="EI59" s="20">
        <f>IF(EI6=0,"0",IF(AND(Results!$E$5="Protein",$C$53&gt;0,OR(Results!$E$4="Tissue",Results!$E$4="Cells")),((EI6*EI$51)/(EI$53)),IF(AND(Results!$E$5="Weight",$C$52&gt;0, Results!$E$4="Tissue",OR($B$52="g",$B$52="mg")),((EI6*EI$51)/(EI$52)),IF(AND(Results!$E$5="Volume",$C$54&gt;0,Results!$E$4="Fluid"),((EI6*EI$51)/(EI$54)),IF(AND(Results!$E$4="Cells",Results!$E$5="Million",$B$52="million"),((EI6*EI$51)/(EI$52)),"0")))))</f>
        <v>2.8735166666666667</v>
      </c>
      <c r="EJ59" s="20">
        <f>IF(EJ6=0,"0",IF(AND(Results!$E$5="Protein",$C$53&gt;0,OR(Results!$E$4="Tissue",Results!$E$4="Cells")),((EJ6*EJ$51)/(EJ$53)),IF(AND(Results!$E$5="Weight",$C$52&gt;0, Results!$E$4="Tissue",OR($B$52="g",$B$52="mg")),((EJ6*EJ$51)/(EJ$52)),IF(AND(Results!$E$5="Volume",$C$54&gt;0,Results!$E$4="Fluid"),((EJ6*EJ$51)/(EJ$54)),IF(AND(Results!$E$4="Cells",Results!$E$5="Million",$B$52="million"),((EJ6*EJ$51)/(EJ$52)),"0")))))</f>
        <v>8.8518500000000007</v>
      </c>
      <c r="EK59" s="20">
        <f>IF(EK6=0,"0",IF(AND(Results!$E$5="Protein",$C$53&gt;0,OR(Results!$E$4="Tissue",Results!$E$4="Cells")),((EK6*EK$51)/(EK$53)),IF(AND(Results!$E$5="Weight",$C$52&gt;0, Results!$E$4="Tissue",OR($B$52="g",$B$52="mg")),((EK6*EK$51)/(EK$52)),IF(AND(Results!$E$5="Volume",$C$54&gt;0,Results!$E$4="Fluid"),((EK6*EK$51)/(EK$54)),IF(AND(Results!$E$4="Cells",Results!$E$5="Million",$B$52="million"),((EK6*EK$51)/(EK$52)),"0")))))</f>
        <v>1.1879166666666667</v>
      </c>
      <c r="EL59" s="20">
        <f>IF(EL6=0,"0",IF(AND(Results!$E$5="Protein",$C$53&gt;0,OR(Results!$E$4="Tissue",Results!$E$4="Cells")),((EL6*EL$51)/(EL$53)),IF(AND(Results!$E$5="Weight",$C$52&gt;0, Results!$E$4="Tissue",OR($B$52="g",$B$52="mg")),((EL6*EL$51)/(EL$52)),IF(AND(Results!$E$5="Volume",$C$54&gt;0,Results!$E$4="Fluid"),((EL6*EL$51)/(EL$54)),IF(AND(Results!$E$4="Cells",Results!$E$5="Million",$B$52="million"),((EL6*EL$51)/(EL$52)),"0")))))</f>
        <v>4.2345333333333333</v>
      </c>
      <c r="EM59" s="20">
        <f>IF(EM6=0,"0",IF(AND(Results!$E$5="Protein",$C$53&gt;0,OR(Results!$E$4="Tissue",Results!$E$4="Cells")),((EM6*EM$51)/(EM$53)),IF(AND(Results!$E$5="Weight",$C$52&gt;0, Results!$E$4="Tissue",OR($B$52="g",$B$52="mg")),((EM6*EM$51)/(EM$52)),IF(AND(Results!$E$5="Volume",$C$54&gt;0,Results!$E$4="Fluid"),((EM6*EM$51)/(EM$54)),IF(AND(Results!$E$4="Cells",Results!$E$5="Million",$B$52="million"),((EM6*EM$51)/(EM$52)),"0")))))</f>
        <v>11.6495</v>
      </c>
      <c r="EN59" s="20">
        <f>IF(EN6=0,"0",IF(AND(Results!$E$5="Protein",$C$53&gt;0,OR(Results!$E$4="Tissue",Results!$E$4="Cells")),((EN6*EN$51)/(EN$53)),IF(AND(Results!$E$5="Weight",$C$52&gt;0, Results!$E$4="Tissue",OR($B$52="g",$B$52="mg")),((EN6*EN$51)/(EN$52)),IF(AND(Results!$E$5="Volume",$C$54&gt;0,Results!$E$4="Fluid"),((EN6*EN$51)/(EN$54)),IF(AND(Results!$E$4="Cells",Results!$E$5="Million",$B$52="million"),((EN6*EN$51)/(EN$52)),"0")))))</f>
        <v>1.3208666666666669</v>
      </c>
      <c r="EO59" s="20">
        <f>IF(EO6=0,"0",IF(AND(Results!$E$5="Protein",$C$53&gt;0,OR(Results!$E$4="Tissue",Results!$E$4="Cells")),((EO6*EO$51)/(EO$53)),IF(AND(Results!$E$5="Weight",$C$52&gt;0, Results!$E$4="Tissue",OR($B$52="g",$B$52="mg")),((EO6*EO$51)/(EO$52)),IF(AND(Results!$E$5="Volume",$C$54&gt;0,Results!$E$4="Fluid"),((EO6*EO$51)/(EO$54)),IF(AND(Results!$E$4="Cells",Results!$E$5="Million",$B$52="million"),((EO6*EO$51)/(EO$52)),"0")))))</f>
        <v>1.0029166666666667</v>
      </c>
      <c r="EP59" s="20">
        <f>IF(EP6=0,"0",IF(AND(Results!$E$5="Protein",$C$53&gt;0,OR(Results!$E$4="Tissue",Results!$E$4="Cells")),((EP6*EP$51)/(EP$53)),IF(AND(Results!$E$5="Weight",$C$52&gt;0, Results!$E$4="Tissue",OR($B$52="g",$B$52="mg")),((EP6*EP$51)/(EP$52)),IF(AND(Results!$E$5="Volume",$C$54&gt;0,Results!$E$4="Fluid"),((EP6*EP$51)/(EP$54)),IF(AND(Results!$E$4="Cells",Results!$E$5="Million",$B$52="million"),((EP6*EP$51)/(EP$52)),"0")))))</f>
        <v>13.047750000000001</v>
      </c>
      <c r="EQ59" s="20">
        <f>IF(EQ6=0,"0",IF(AND(Results!$E$5="Protein",$C$53&gt;0,OR(Results!$E$4="Tissue",Results!$E$4="Cells")),((EQ6*EQ$51)/(EQ$53)),IF(AND(Results!$E$5="Weight",$C$52&gt;0, Results!$E$4="Tissue",OR($B$52="g",$B$52="mg")),((EQ6*EQ$51)/(EQ$52)),IF(AND(Results!$E$5="Volume",$C$54&gt;0,Results!$E$4="Fluid"),((EQ6*EQ$51)/(EQ$54)),IF(AND(Results!$E$4="Cells",Results!$E$5="Million",$B$52="million"),((EQ6*EQ$51)/(EQ$52)),"0")))))</f>
        <v>2.1847666666666665</v>
      </c>
      <c r="ER59" s="20">
        <f>IF(ER6=0,"0",IF(AND(Results!$E$5="Protein",$C$53&gt;0,OR(Results!$E$4="Tissue",Results!$E$4="Cells")),((ER6*ER$51)/(ER$53)),IF(AND(Results!$E$5="Weight",$C$52&gt;0, Results!$E$4="Tissue",OR($B$52="g",$B$52="mg")),((ER6*ER$51)/(ER$52)),IF(AND(Results!$E$5="Volume",$C$54&gt;0,Results!$E$4="Fluid"),((ER6*ER$51)/(ER$54)),IF(AND(Results!$E$4="Cells",Results!$E$5="Million",$B$52="million"),((ER6*ER$51)/(ER$52)),"0")))))</f>
        <v>2.0962999999999998</v>
      </c>
      <c r="ES59" s="20">
        <f>IF(ES6=0,"0",IF(AND(Results!$E$5="Protein",$C$53&gt;0,OR(Results!$E$4="Tissue",Results!$E$4="Cells")),((ES6*ES$51)/(ES$53)),IF(AND(Results!$E$5="Weight",$C$52&gt;0, Results!$E$4="Tissue",OR($B$52="g",$B$52="mg")),((ES6*ES$51)/(ES$52)),IF(AND(Results!$E$5="Volume",$C$54&gt;0,Results!$E$4="Fluid"),((ES6*ES$51)/(ES$54)),IF(AND(Results!$E$4="Cells",Results!$E$5="Million",$B$52="million"),((ES6*ES$51)/(ES$52)),"0")))))</f>
        <v>1.5288833333333331</v>
      </c>
      <c r="ET59" s="20">
        <f>IF(ET6=0,"0",IF(AND(Results!$E$5="Protein",$C$53&gt;0,OR(Results!$E$4="Tissue",Results!$E$4="Cells")),((ET6*ET$51)/(ET$53)),IF(AND(Results!$E$5="Weight",$C$52&gt;0, Results!$E$4="Tissue",OR($B$52="g",$B$52="mg")),((ET6*ET$51)/(ET$52)),IF(AND(Results!$E$5="Volume",$C$54&gt;0,Results!$E$4="Fluid"),((ET6*ET$51)/(ET$54)),IF(AND(Results!$E$4="Cells",Results!$E$5="Million",$B$52="million"),((ET6*ET$51)/(ET$52)),"0")))))</f>
        <v>2.3033000000000001</v>
      </c>
      <c r="EU59" s="20">
        <f>IF(EU6=0,"0",IF(AND(Results!$E$5="Protein",$C$53&gt;0,OR(Results!$E$4="Tissue",Results!$E$4="Cells")),((EU6*EU$51)/(EU$53)),IF(AND(Results!$E$5="Weight",$C$52&gt;0, Results!$E$4="Tissue",OR($B$52="g",$B$52="mg")),((EU6*EU$51)/(EU$52)),IF(AND(Results!$E$5="Volume",$C$54&gt;0,Results!$E$4="Fluid"),((EU6*EU$51)/(EU$54)),IF(AND(Results!$E$4="Cells",Results!$E$5="Million",$B$52="million"),((EU6*EU$51)/(EU$52)),"0")))))</f>
        <v>3.3482333333333334</v>
      </c>
      <c r="EV59" s="20">
        <f>IF(EV6=0,"0",IF(AND(Results!$E$5="Protein",$C$53&gt;0,OR(Results!$E$4="Tissue",Results!$E$4="Cells")),((EV6*EV$51)/(EV$53)),IF(AND(Results!$E$5="Weight",$C$52&gt;0, Results!$E$4="Tissue",OR($B$52="g",$B$52="mg")),((EV6*EV$51)/(EV$52)),IF(AND(Results!$E$5="Volume",$C$54&gt;0,Results!$E$4="Fluid"),((EV6*EV$51)/(EV$54)),IF(AND(Results!$E$4="Cells",Results!$E$5="Million",$B$52="million"),((EV6*EV$51)/(EV$52)),"0")))))</f>
        <v>2.3097833333333337</v>
      </c>
      <c r="EW59" s="20">
        <f>IF(EW6=0,"0",IF(AND(Results!$E$5="Protein",$C$53&gt;0,OR(Results!$E$4="Tissue",Results!$E$4="Cells")),((EW6*EW$51)/(EW$53)),IF(AND(Results!$E$5="Weight",$C$52&gt;0, Results!$E$4="Tissue",OR($B$52="g",$B$52="mg")),((EW6*EW$51)/(EW$52)),IF(AND(Results!$E$5="Volume",$C$54&gt;0,Results!$E$4="Fluid"),((EW6*EW$51)/(EW$54)),IF(AND(Results!$E$4="Cells",Results!$E$5="Million",$B$52="million"),((EW6*EW$51)/(EW$52)),"0")))))</f>
        <v>5.0117333333333338</v>
      </c>
      <c r="EX59" s="20">
        <f>IF(EX6=0,"0",IF(AND(Results!$E$5="Protein",$C$53&gt;0,OR(Results!$E$4="Tissue",Results!$E$4="Cells")),((EX6*EX$51)/(EX$53)),IF(AND(Results!$E$5="Weight",$C$52&gt;0, Results!$E$4="Tissue",OR($B$52="g",$B$52="mg")),((EX6*EX$51)/(EX$52)),IF(AND(Results!$E$5="Volume",$C$54&gt;0,Results!$E$4="Fluid"),((EX6*EX$51)/(EX$54)),IF(AND(Results!$E$4="Cells",Results!$E$5="Million",$B$52="million"),((EX6*EX$51)/(EX$52)),"0")))))</f>
        <v>3.0217999999999998</v>
      </c>
      <c r="EY59" s="20">
        <f>IF(EY6=0,"0",IF(AND(Results!$E$5="Protein",$C$53&gt;0,OR(Results!$E$4="Tissue",Results!$E$4="Cells")),((EY6*EY$51)/(EY$53)),IF(AND(Results!$E$5="Weight",$C$52&gt;0, Results!$E$4="Tissue",OR($B$52="g",$B$52="mg")),((EY6*EY$51)/(EY$52)),IF(AND(Results!$E$5="Volume",$C$54&gt;0,Results!$E$4="Fluid"),((EY6*EY$51)/(EY$54)),IF(AND(Results!$E$4="Cells",Results!$E$5="Million",$B$52="million"),((EY6*EY$51)/(EY$52)),"0")))))</f>
        <v>33.411216666666668</v>
      </c>
      <c r="EZ59" s="20">
        <f>IF(EZ6=0,"0",IF(AND(Results!$E$5="Protein",$C$53&gt;0,OR(Results!$E$4="Tissue",Results!$E$4="Cells")),((EZ6*EZ$51)/(EZ$53)),IF(AND(Results!$E$5="Weight",$C$52&gt;0, Results!$E$4="Tissue",OR($B$52="g",$B$52="mg")),((EZ6*EZ$51)/(EZ$52)),IF(AND(Results!$E$5="Volume",$C$54&gt;0,Results!$E$4="Fluid"),((EZ6*EZ$51)/(EZ$54)),IF(AND(Results!$E$4="Cells",Results!$E$5="Million",$B$52="million"),((EZ6*EZ$51)/(EZ$52)),"0")))))</f>
        <v>2.6934833333333335</v>
      </c>
      <c r="FA59" s="20">
        <f>IF(FA6=0,"0",IF(AND(Results!$E$5="Protein",$C$53&gt;0,OR(Results!$E$4="Tissue",Results!$E$4="Cells")),((FA6*FA$51)/(FA$53)),IF(AND(Results!$E$5="Weight",$C$52&gt;0, Results!$E$4="Tissue",OR($B$52="g",$B$52="mg")),((FA6*FA$51)/(FA$52)),IF(AND(Results!$E$5="Volume",$C$54&gt;0,Results!$E$4="Fluid"),((FA6*FA$51)/(FA$54)),IF(AND(Results!$E$4="Cells",Results!$E$5="Million",$B$52="million"),((FA6*FA$51)/(FA$52)),"0")))))</f>
        <v>0.69899999999999995</v>
      </c>
      <c r="FB59" s="20">
        <f>IF(FB6=0,"0",IF(AND(Results!$E$5="Protein",$C$53&gt;0,OR(Results!$E$4="Tissue",Results!$E$4="Cells")),((FB6*FB$51)/(FB$53)),IF(AND(Results!$E$5="Weight",$C$52&gt;0, Results!$E$4="Tissue",OR($B$52="g",$B$52="mg")),((FB6*FB$51)/(FB$52)),IF(AND(Results!$E$5="Volume",$C$54&gt;0,Results!$E$4="Fluid"),((FB6*FB$51)/(FB$54)),IF(AND(Results!$E$4="Cells",Results!$E$5="Million",$B$52="million"),((FB6*FB$51)/(FB$52)),"0")))))</f>
        <v>2.4685833333333336</v>
      </c>
      <c r="FC59" s="20">
        <f>IF(FC6=0,"0",IF(AND(Results!$E$5="Protein",$C$53&gt;0,OR(Results!$E$4="Tissue",Results!$E$4="Cells")),((FC6*FC$51)/(FC$53)),IF(AND(Results!$E$5="Weight",$C$52&gt;0, Results!$E$4="Tissue",OR($B$52="g",$B$52="mg")),((FC6*FC$51)/(FC$52)),IF(AND(Results!$E$5="Volume",$C$54&gt;0,Results!$E$4="Fluid"),((FC6*FC$51)/(FC$54)),IF(AND(Results!$E$4="Cells",Results!$E$5="Million",$B$52="million"),((FC6*FC$51)/(FC$52)),"0")))))</f>
        <v>3.354916666666667</v>
      </c>
      <c r="FD59" s="20">
        <f>IF(FD6=0,"0",IF(AND(Results!$E$5="Protein",$C$53&gt;0,OR(Results!$E$4="Tissue",Results!$E$4="Cells")),((FD6*FD$51)/(FD$53)),IF(AND(Results!$E$5="Weight",$C$52&gt;0, Results!$E$4="Tissue",OR($B$52="g",$B$52="mg")),((FD6*FD$51)/(FD$52)),IF(AND(Results!$E$5="Volume",$C$54&gt;0,Results!$E$4="Fluid"),((FD6*FD$51)/(FD$54)),IF(AND(Results!$E$4="Cells",Results!$E$5="Million",$B$52="million"),((FD6*FD$51)/(FD$52)),"0")))))</f>
        <v>1.9660166666666663</v>
      </c>
      <c r="FE59" s="20">
        <f>IF(FE6=0,"0",IF(AND(Results!$E$5="Protein",$C$53&gt;0,OR(Results!$E$4="Tissue",Results!$E$4="Cells")),((FE6*FE$51)/(FE$53)),IF(AND(Results!$E$5="Weight",$C$52&gt;0, Results!$E$4="Tissue",OR($B$52="g",$B$52="mg")),((FE6*FE$51)/(FE$52)),IF(AND(Results!$E$5="Volume",$C$54&gt;0,Results!$E$4="Fluid"),((FE6*FE$51)/(FE$54)),IF(AND(Results!$E$4="Cells",Results!$E$5="Million",$B$52="million"),((FE6*FE$51)/(FE$52)),"0")))))</f>
        <v>1.6273000000000002</v>
      </c>
      <c r="FF59" s="20">
        <f>IF(FF6=0,"0",IF(AND(Results!$E$5="Protein",$C$53&gt;0,OR(Results!$E$4="Tissue",Results!$E$4="Cells")),((FF6*FF$51)/(FF$53)),IF(AND(Results!$E$5="Weight",$C$52&gt;0, Results!$E$4="Tissue",OR($B$52="g",$B$52="mg")),((FF6*FF$51)/(FF$52)),IF(AND(Results!$E$5="Volume",$C$54&gt;0,Results!$E$4="Fluid"),((FF6*FF$51)/(FF$54)),IF(AND(Results!$E$4="Cells",Results!$E$5="Million",$B$52="million"),((FF6*FF$51)/(FF$52)),"0")))))</f>
        <v>5.2726999999999995</v>
      </c>
      <c r="FG59" s="20">
        <f>IF(FG6=0,"0",IF(AND(Results!$E$5="Protein",$C$53&gt;0,OR(Results!$E$4="Tissue",Results!$E$4="Cells")),((FG6*FG$51)/(FG$53)),IF(AND(Results!$E$5="Weight",$C$52&gt;0, Results!$E$4="Tissue",OR($B$52="g",$B$52="mg")),((FG6*FG$51)/(FG$52)),IF(AND(Results!$E$5="Volume",$C$54&gt;0,Results!$E$4="Fluid"),((FG6*FG$51)/(FG$54)),IF(AND(Results!$E$4="Cells",Results!$E$5="Million",$B$52="million"),((FG6*FG$51)/(FG$52)),"0")))))</f>
        <v>1.5317499999999999</v>
      </c>
      <c r="FH59" s="20">
        <f>IF(FH6=0,"0",IF(AND(Results!$E$5="Protein",$C$53&gt;0,OR(Results!$E$4="Tissue",Results!$E$4="Cells")),((FH6*FH$51)/(FH$53)),IF(AND(Results!$E$5="Weight",$C$52&gt;0, Results!$E$4="Tissue",OR($B$52="g",$B$52="mg")),((FH6*FH$51)/(FH$52)),IF(AND(Results!$E$5="Volume",$C$54&gt;0,Results!$E$4="Fluid"),((FH6*FH$51)/(FH$54)),IF(AND(Results!$E$4="Cells",Results!$E$5="Million",$B$52="million"),((FH6*FH$51)/(FH$52)),"0")))))</f>
        <v>3.21455</v>
      </c>
      <c r="FI59" s="20">
        <f>IF(FI6=0,"0",IF(AND(Results!$E$5="Protein",$C$53&gt;0,OR(Results!$E$4="Tissue",Results!$E$4="Cells")),((FI6*FI$51)/(FI$53)),IF(AND(Results!$E$5="Weight",$C$52&gt;0, Results!$E$4="Tissue",OR($B$52="g",$B$52="mg")),((FI6*FI$51)/(FI$52)),IF(AND(Results!$E$5="Volume",$C$54&gt;0,Results!$E$4="Fluid"),((FI6*FI$51)/(FI$54)),IF(AND(Results!$E$4="Cells",Results!$E$5="Million",$B$52="million"),((FI6*FI$51)/(FI$52)),"0")))))</f>
        <v>0.7060833333333334</v>
      </c>
      <c r="FJ59" s="20">
        <f>IF(FJ6=0,"0",IF(AND(Results!$E$5="Protein",$C$53&gt;0,OR(Results!$E$4="Tissue",Results!$E$4="Cells")),((FJ6*FJ$51)/(FJ$53)),IF(AND(Results!$E$5="Weight",$C$52&gt;0, Results!$E$4="Tissue",OR($B$52="g",$B$52="mg")),((FJ6*FJ$51)/(FJ$52)),IF(AND(Results!$E$5="Volume",$C$54&gt;0,Results!$E$4="Fluid"),((FJ6*FJ$51)/(FJ$54)),IF(AND(Results!$E$4="Cells",Results!$E$5="Million",$B$52="million"),((FJ6*FJ$51)/(FJ$52)),"0")))))</f>
        <v>4.1467166666666664</v>
      </c>
      <c r="FK59" s="20">
        <f>IF(FK6=0,"0",IF(AND(Results!$E$5="Protein",$C$53&gt;0,OR(Results!$E$4="Tissue",Results!$E$4="Cells")),((FK6*FK$51)/(FK$53)),IF(AND(Results!$E$5="Weight",$C$52&gt;0, Results!$E$4="Tissue",OR($B$52="g",$B$52="mg")),((FK6*FK$51)/(FK$52)),IF(AND(Results!$E$5="Volume",$C$54&gt;0,Results!$E$4="Fluid"),((FK6*FK$51)/(FK$54)),IF(AND(Results!$E$4="Cells",Results!$E$5="Million",$B$52="million"),((FK6*FK$51)/(FK$52)),"0")))))</f>
        <v>11.880800000000001</v>
      </c>
      <c r="FL59" s="20">
        <f>IF(FL6=0,"0",IF(AND(Results!$E$5="Protein",$C$53&gt;0,OR(Results!$E$4="Tissue",Results!$E$4="Cells")),((FL6*FL$51)/(FL$53)),IF(AND(Results!$E$5="Weight",$C$52&gt;0, Results!$E$4="Tissue",OR($B$52="g",$B$52="mg")),((FL6*FL$51)/(FL$52)),IF(AND(Results!$E$5="Volume",$C$54&gt;0,Results!$E$4="Fluid"),((FL6*FL$51)/(FL$54)),IF(AND(Results!$E$4="Cells",Results!$E$5="Million",$B$52="million"),((FL6*FL$51)/(FL$52)),"0")))))</f>
        <v>4.4038500000000003</v>
      </c>
      <c r="FM59" s="20">
        <f>IF(FM6=0,"0",IF(AND(Results!$E$5="Protein",$C$53&gt;0,OR(Results!$E$4="Tissue",Results!$E$4="Cells")),((FM6*FM$51)/(FM$53)),IF(AND(Results!$E$5="Weight",$C$52&gt;0, Results!$E$4="Tissue",OR($B$52="g",$B$52="mg")),((FM6*FM$51)/(FM$52)),IF(AND(Results!$E$5="Volume",$C$54&gt;0,Results!$E$4="Fluid"),((FM6*FM$51)/(FM$54)),IF(AND(Results!$E$4="Cells",Results!$E$5="Million",$B$52="million"),((FM6*FM$51)/(FM$52)),"0")))))</f>
        <v>7.9403333333333332</v>
      </c>
      <c r="FN59" s="20">
        <f>IF(FN6=0,"0",IF(AND(Results!$E$5="Protein",$C$53&gt;0,OR(Results!$E$4="Tissue",Results!$E$4="Cells")),((FN6*FN$51)/(FN$53)),IF(AND(Results!$E$5="Weight",$C$52&gt;0, Results!$E$4="Tissue",OR($B$52="g",$B$52="mg")),((FN6*FN$51)/(FN$52)),IF(AND(Results!$E$5="Volume",$C$54&gt;0,Results!$E$4="Fluid"),((FN6*FN$51)/(FN$54)),IF(AND(Results!$E$4="Cells",Results!$E$5="Million",$B$52="million"),((FN6*FN$51)/(FN$52)),"0")))))</f>
        <v>7.0061333333333335</v>
      </c>
      <c r="FO59" s="20">
        <f>IF(FO6=0,"0",IF(AND(Results!$E$5="Protein",$C$53&gt;0,OR(Results!$E$4="Tissue",Results!$E$4="Cells")),((FO6*FO$51)/(FO$53)),IF(AND(Results!$E$5="Weight",$C$52&gt;0, Results!$E$4="Tissue",OR($B$52="g",$B$52="mg")),((FO6*FO$51)/(FO$52)),IF(AND(Results!$E$5="Volume",$C$54&gt;0,Results!$E$4="Fluid"),((FO6*FO$51)/(FO$54)),IF(AND(Results!$E$4="Cells",Results!$E$5="Million",$B$52="million"),((FO6*FO$51)/(FO$52)),"0")))))</f>
        <v>1.6691166666666666</v>
      </c>
    </row>
    <row r="60" spans="1:171" x14ac:dyDescent="0.2">
      <c r="A60" s="120" t="str">
        <f t="shared" si="0"/>
        <v>12,13-DiHOME</v>
      </c>
      <c r="B60" s="121"/>
      <c r="C60" s="20">
        <f>IF(C7=0,"0",IF(AND(Results!$E$5="Protein",$C$53&gt;0,OR(Results!$E$4="Tissue",Results!$E$4="Cells")),((C7*C$51)/(C$53)),IF(AND(Results!$E$5="Weight",$C$52&gt;0, Results!$E$4="Tissue",OR($B$52="g",$B$52="mg")),((C7*C$51)/(C$52)),IF(AND(Results!$E$5="Volume",$C$54&gt;0,Results!$E$4="Fluid"),((C7*C$51)/(C$54)),IF(AND(Results!$E$4="Cells",Results!$E$5="Million",$B$52="million"),((C7*C$51)/(C$52)),"0")))))</f>
        <v>2.4824333333333333</v>
      </c>
      <c r="D60" s="20">
        <f>IF(D7=0,"0",IF(AND(Results!$E$5="Protein",$C$53&gt;0,OR(Results!$E$4="Tissue",Results!$E$4="Cells")),((D7*D$51)/(D$53)),IF(AND(Results!$E$5="Weight",$C$52&gt;0, Results!$E$4="Tissue",OR($B$52="g",$B$52="mg")),((D7*D$51)/(D$52)),IF(AND(Results!$E$5="Volume",$C$54&gt;0,Results!$E$4="Fluid"),((D7*D$51)/(D$54)),IF(AND(Results!$E$4="Cells",Results!$E$5="Million",$B$52="million"),((D7*D$51)/(D$52)),"0")))))</f>
        <v>2.25685</v>
      </c>
      <c r="E60" s="20">
        <f>IF(E7=0,"0",IF(AND(Results!$E$5="Protein",$C$53&gt;0,OR(Results!$E$4="Tissue",Results!$E$4="Cells")),((E7*E$51)/(E$53)),IF(AND(Results!$E$5="Weight",$C$52&gt;0, Results!$E$4="Tissue",OR($B$52="g",$B$52="mg")),((E7*E$51)/(E$52)),IF(AND(Results!$E$5="Volume",$C$54&gt;0,Results!$E$4="Fluid"),((E7*E$51)/(E$54)),IF(AND(Results!$E$4="Cells",Results!$E$5="Million",$B$52="million"),((E7*E$51)/(E$52)),"0")))))</f>
        <v>4.9767499999999991</v>
      </c>
      <c r="F60" s="20">
        <f>IF(F7=0,"0",IF(AND(Results!$E$5="Protein",$C$53&gt;0,OR(Results!$E$4="Tissue",Results!$E$4="Cells")),((F7*F$51)/(F$53)),IF(AND(Results!$E$5="Weight",$C$52&gt;0, Results!$E$4="Tissue",OR($B$52="g",$B$52="mg")),((F7*F$51)/(F$52)),IF(AND(Results!$E$5="Volume",$C$54&gt;0,Results!$E$4="Fluid"),((F7*F$51)/(F$54)),IF(AND(Results!$E$4="Cells",Results!$E$5="Million",$B$52="million"),((F7*F$51)/(F$52)),"0")))))</f>
        <v>19.789066666666667</v>
      </c>
      <c r="G60" s="20">
        <f>IF(G7=0,"0",IF(AND(Results!$E$5="Protein",$C$53&gt;0,OR(Results!$E$4="Tissue",Results!$E$4="Cells")),((G7*G$51)/(G$53)),IF(AND(Results!$E$5="Weight",$C$52&gt;0, Results!$E$4="Tissue",OR($B$52="g",$B$52="mg")),((G7*G$51)/(G$52)),IF(AND(Results!$E$5="Volume",$C$54&gt;0,Results!$E$4="Fluid"),((G7*G$51)/(G$54)),IF(AND(Results!$E$4="Cells",Results!$E$5="Million",$B$52="million"),((G7*G$51)/(G$52)),"0")))))</f>
        <v>2.1857333333333333</v>
      </c>
      <c r="H60" s="20">
        <f>IF(H7=0,"0",IF(AND(Results!$E$5="Protein",$C$53&gt;0,OR(Results!$E$4="Tissue",Results!$E$4="Cells")),((H7*H$51)/(H$53)),IF(AND(Results!$E$5="Weight",$C$52&gt;0, Results!$E$4="Tissue",OR($B$52="g",$B$52="mg")),((H7*H$51)/(H$52)),IF(AND(Results!$E$5="Volume",$C$54&gt;0,Results!$E$4="Fluid"),((H7*H$51)/(H$54)),IF(AND(Results!$E$4="Cells",Results!$E$5="Million",$B$52="million"),((H7*H$51)/(H$52)),"0")))))</f>
        <v>0.61314999999999997</v>
      </c>
      <c r="I60" s="20">
        <f>IF(I7=0,"0",IF(AND(Results!$E$5="Protein",$C$53&gt;0,OR(Results!$E$4="Tissue",Results!$E$4="Cells")),((I7*I$51)/(I$53)),IF(AND(Results!$E$5="Weight",$C$52&gt;0, Results!$E$4="Tissue",OR($B$52="g",$B$52="mg")),((I7*I$51)/(I$52)),IF(AND(Results!$E$5="Volume",$C$54&gt;0,Results!$E$4="Fluid"),((I7*I$51)/(I$54)),IF(AND(Results!$E$4="Cells",Results!$E$5="Million",$B$52="million"),((I7*I$51)/(I$52)),"0")))))</f>
        <v>3.6336500000000003</v>
      </c>
      <c r="J60" s="20">
        <f>IF(J7=0,"0",IF(AND(Results!$E$5="Protein",$C$53&gt;0,OR(Results!$E$4="Tissue",Results!$E$4="Cells")),((J7*J$51)/(J$53)),IF(AND(Results!$E$5="Weight",$C$52&gt;0, Results!$E$4="Tissue",OR($B$52="g",$B$52="mg")),((J7*J$51)/(J$52)),IF(AND(Results!$E$5="Volume",$C$54&gt;0,Results!$E$4="Fluid"),((J7*J$51)/(J$54)),IF(AND(Results!$E$4="Cells",Results!$E$5="Million",$B$52="million"),((J7*J$51)/(J$52)),"0")))))</f>
        <v>0.93754999999999999</v>
      </c>
      <c r="K60" s="20">
        <f>IF(K7=0,"0",IF(AND(Results!$E$5="Protein",$C$53&gt;0,OR(Results!$E$4="Tissue",Results!$E$4="Cells")),((K7*K$51)/(K$53)),IF(AND(Results!$E$5="Weight",$C$52&gt;0, Results!$E$4="Tissue",OR($B$52="g",$B$52="mg")),((K7*K$51)/(K$52)),IF(AND(Results!$E$5="Volume",$C$54&gt;0,Results!$E$4="Fluid"),((K7*K$51)/(K$54)),IF(AND(Results!$E$4="Cells",Results!$E$5="Million",$B$52="million"),((K7*K$51)/(K$52)),"0")))))</f>
        <v>2.5477833333333333</v>
      </c>
      <c r="L60" s="20">
        <f>IF(L7=0,"0",IF(AND(Results!$E$5="Protein",$C$53&gt;0,OR(Results!$E$4="Tissue",Results!$E$4="Cells")),((L7*L$51)/(L$53)),IF(AND(Results!$E$5="Weight",$C$52&gt;0, Results!$E$4="Tissue",OR($B$52="g",$B$52="mg")),((L7*L$51)/(L$52)),IF(AND(Results!$E$5="Volume",$C$54&gt;0,Results!$E$4="Fluid"),((L7*L$51)/(L$54)),IF(AND(Results!$E$4="Cells",Results!$E$5="Million",$B$52="million"),((L7*L$51)/(L$52)),"0")))))</f>
        <v>8.3659999999999997</v>
      </c>
      <c r="M60" s="20">
        <f>IF(M7=0,"0",IF(AND(Results!$E$5="Protein",$C$53&gt;0,OR(Results!$E$4="Tissue",Results!$E$4="Cells")),((M7*M$51)/(M$53)),IF(AND(Results!$E$5="Weight",$C$52&gt;0, Results!$E$4="Tissue",OR($B$52="g",$B$52="mg")),((M7*M$51)/(M$52)),IF(AND(Results!$E$5="Volume",$C$54&gt;0,Results!$E$4="Fluid"),((M7*M$51)/(M$54)),IF(AND(Results!$E$4="Cells",Results!$E$5="Million",$B$52="million"),((M7*M$51)/(M$52)),"0")))))</f>
        <v>3.406916666666667</v>
      </c>
      <c r="N60" s="20">
        <f>IF(N7=0,"0",IF(AND(Results!$E$5="Protein",$C$53&gt;0,OR(Results!$E$4="Tissue",Results!$E$4="Cells")),((N7*N$51)/(N$53)),IF(AND(Results!$E$5="Weight",$C$52&gt;0, Results!$E$4="Tissue",OR($B$52="g",$B$52="mg")),((N7*N$51)/(N$52)),IF(AND(Results!$E$5="Volume",$C$54&gt;0,Results!$E$4="Fluid"),((N7*N$51)/(N$54)),IF(AND(Results!$E$4="Cells",Results!$E$5="Million",$B$52="million"),((N7*N$51)/(N$52)),"0")))))</f>
        <v>0.37051666666666672</v>
      </c>
      <c r="O60" s="20">
        <f>IF(O7=0,"0",IF(AND(Results!$E$5="Protein",$C$53&gt;0,OR(Results!$E$4="Tissue",Results!$E$4="Cells")),((O7*O$51)/(O$53)),IF(AND(Results!$E$5="Weight",$C$52&gt;0, Results!$E$4="Tissue",OR($B$52="g",$B$52="mg")),((O7*O$51)/(O$52)),IF(AND(Results!$E$5="Volume",$C$54&gt;0,Results!$E$4="Fluid"),((O7*O$51)/(O$54)),IF(AND(Results!$E$4="Cells",Results!$E$5="Million",$B$52="million"),((O7*O$51)/(O$52)),"0")))))</f>
        <v>2.0222666666666664</v>
      </c>
      <c r="P60" s="20">
        <f>IF(P7=0,"0",IF(AND(Results!$E$5="Protein",$C$53&gt;0,OR(Results!$E$4="Tissue",Results!$E$4="Cells")),((P7*P$51)/(P$53)),IF(AND(Results!$E$5="Weight",$C$52&gt;0, Results!$E$4="Tissue",OR($B$52="g",$B$52="mg")),((P7*P$51)/(P$52)),IF(AND(Results!$E$5="Volume",$C$54&gt;0,Results!$E$4="Fluid"),((P7*P$51)/(P$54)),IF(AND(Results!$E$4="Cells",Results!$E$5="Million",$B$52="million"),((P7*P$51)/(P$52)),"0")))))</f>
        <v>3.4411499999999999</v>
      </c>
      <c r="Q60" s="20">
        <f>IF(Q7=0,"0",IF(AND(Results!$E$5="Protein",$C$53&gt;0,OR(Results!$E$4="Tissue",Results!$E$4="Cells")),((Q7*Q$51)/(Q$53)),IF(AND(Results!$E$5="Weight",$C$52&gt;0, Results!$E$4="Tissue",OR($B$52="g",$B$52="mg")),((Q7*Q$51)/(Q$52)),IF(AND(Results!$E$5="Volume",$C$54&gt;0,Results!$E$4="Fluid"),((Q7*Q$51)/(Q$54)),IF(AND(Results!$E$4="Cells",Results!$E$5="Million",$B$52="million"),((Q7*Q$51)/(Q$52)),"0")))))</f>
        <v>20.001466666666666</v>
      </c>
      <c r="R60" s="20">
        <f>IF(R7=0,"0",IF(AND(Results!$E$5="Protein",$C$53&gt;0,OR(Results!$E$4="Tissue",Results!$E$4="Cells")),((R7*R$51)/(R$53)),IF(AND(Results!$E$5="Weight",$C$52&gt;0, Results!$E$4="Tissue",OR($B$52="g",$B$52="mg")),((R7*R$51)/(R$52)),IF(AND(Results!$E$5="Volume",$C$54&gt;0,Results!$E$4="Fluid"),((R7*R$51)/(R$54)),IF(AND(Results!$E$4="Cells",Results!$E$5="Million",$B$52="million"),((R7*R$51)/(R$52)),"0")))))</f>
        <v>14.842666666666666</v>
      </c>
      <c r="S60" s="20">
        <f>IF(S7=0,"0",IF(AND(Results!$E$5="Protein",$C$53&gt;0,OR(Results!$E$4="Tissue",Results!$E$4="Cells")),((S7*S$51)/(S$53)),IF(AND(Results!$E$5="Weight",$C$52&gt;0, Results!$E$4="Tissue",OR($B$52="g",$B$52="mg")),((S7*S$51)/(S$52)),IF(AND(Results!$E$5="Volume",$C$54&gt;0,Results!$E$4="Fluid"),((S7*S$51)/(S$54)),IF(AND(Results!$E$4="Cells",Results!$E$5="Million",$B$52="million"),((S7*S$51)/(S$52)),"0")))))</f>
        <v>7.2191666666666663</v>
      </c>
      <c r="T60" s="20">
        <f>IF(T7=0,"0",IF(AND(Results!$E$5="Protein",$C$53&gt;0,OR(Results!$E$4="Tissue",Results!$E$4="Cells")),((T7*T$51)/(T$53)),IF(AND(Results!$E$5="Weight",$C$52&gt;0, Results!$E$4="Tissue",OR($B$52="g",$B$52="mg")),((T7*T$51)/(T$52)),IF(AND(Results!$E$5="Volume",$C$54&gt;0,Results!$E$4="Fluid"),((T7*T$51)/(T$54)),IF(AND(Results!$E$4="Cells",Results!$E$5="Million",$B$52="million"),((T7*T$51)/(T$52)),"0")))))</f>
        <v>2.3765666666666667</v>
      </c>
      <c r="U60" s="20">
        <f>IF(U7=0,"0",IF(AND(Results!$E$5="Protein",$C$53&gt;0,OR(Results!$E$4="Tissue",Results!$E$4="Cells")),((U7*U$51)/(U$53)),IF(AND(Results!$E$5="Weight",$C$52&gt;0, Results!$E$4="Tissue",OR($B$52="g",$B$52="mg")),((U7*U$51)/(U$52)),IF(AND(Results!$E$5="Volume",$C$54&gt;0,Results!$E$4="Fluid"),((U7*U$51)/(U$54)),IF(AND(Results!$E$4="Cells",Results!$E$5="Million",$B$52="million"),((U7*U$51)/(U$52)),"0")))))</f>
        <v>4.7912333333333335</v>
      </c>
      <c r="V60" s="20">
        <f>IF(V7=0,"0",IF(AND(Results!$E$5="Protein",$C$53&gt;0,OR(Results!$E$4="Tissue",Results!$E$4="Cells")),((V7*V$51)/(V$53)),IF(AND(Results!$E$5="Weight",$C$52&gt;0, Results!$E$4="Tissue",OR($B$52="g",$B$52="mg")),((V7*V$51)/(V$52)),IF(AND(Results!$E$5="Volume",$C$54&gt;0,Results!$E$4="Fluid"),((V7*V$51)/(V$54)),IF(AND(Results!$E$4="Cells",Results!$E$5="Million",$B$52="million"),((V7*V$51)/(V$52)),"0")))))</f>
        <v>16.914149999999999</v>
      </c>
      <c r="W60" s="20">
        <f>IF(W7=0,"0",IF(AND(Results!$E$5="Protein",$C$53&gt;0,OR(Results!$E$4="Tissue",Results!$E$4="Cells")),((W7*W$51)/(W$53)),IF(AND(Results!$E$5="Weight",$C$52&gt;0, Results!$E$4="Tissue",OR($B$52="g",$B$52="mg")),((W7*W$51)/(W$52)),IF(AND(Results!$E$5="Volume",$C$54&gt;0,Results!$E$4="Fluid"),((W7*W$51)/(W$54)),IF(AND(Results!$E$4="Cells",Results!$E$5="Million",$B$52="million"),((W7*W$51)/(W$52)),"0")))))</f>
        <v>5.729914285714286</v>
      </c>
      <c r="X60" s="20">
        <f>IF(X7=0,"0",IF(AND(Results!$E$5="Protein",$C$53&gt;0,OR(Results!$E$4="Tissue",Results!$E$4="Cells")),((X7*X$51)/(X$53)),IF(AND(Results!$E$5="Weight",$C$52&gt;0, Results!$E$4="Tissue",OR($B$52="g",$B$52="mg")),((X7*X$51)/(X$52)),IF(AND(Results!$E$5="Volume",$C$54&gt;0,Results!$E$4="Fluid"),((X7*X$51)/(X$54)),IF(AND(Results!$E$4="Cells",Results!$E$5="Million",$B$52="million"),((X7*X$51)/(X$52)),"0")))))</f>
        <v>1.4674400000000001</v>
      </c>
      <c r="Y60" s="20">
        <f>IF(Y7=0,"0",IF(AND(Results!$E$5="Protein",$C$53&gt;0,OR(Results!$E$4="Tissue",Results!$E$4="Cells")),((Y7*Y$51)/(Y$53)),IF(AND(Results!$E$5="Weight",$C$52&gt;0, Results!$E$4="Tissue",OR($B$52="g",$B$52="mg")),((Y7*Y$51)/(Y$52)),IF(AND(Results!$E$5="Volume",$C$54&gt;0,Results!$E$4="Fluid"),((Y7*Y$51)/(Y$54)),IF(AND(Results!$E$4="Cells",Results!$E$5="Million",$B$52="million"),((Y7*Y$51)/(Y$52)),"0")))))</f>
        <v>3.5728500000000003</v>
      </c>
      <c r="Z60" s="20">
        <f>IF(Z7=0,"0",IF(AND(Results!$E$5="Protein",$C$53&gt;0,OR(Results!$E$4="Tissue",Results!$E$4="Cells")),((Z7*Z$51)/(Z$53)),IF(AND(Results!$E$5="Weight",$C$52&gt;0, Results!$E$4="Tissue",OR($B$52="g",$B$52="mg")),((Z7*Z$51)/(Z$52)),IF(AND(Results!$E$5="Volume",$C$54&gt;0,Results!$E$4="Fluid"),((Z7*Z$51)/(Z$54)),IF(AND(Results!$E$4="Cells",Results!$E$5="Million",$B$52="million"),((Z7*Z$51)/(Z$52)),"0")))))</f>
        <v>10.133199999999999</v>
      </c>
      <c r="AA60" s="20">
        <f>IF(AA7=0,"0",IF(AND(Results!$E$5="Protein",$C$53&gt;0,OR(Results!$E$4="Tissue",Results!$E$4="Cells")),((AA7*AA$51)/(AA$53)),IF(AND(Results!$E$5="Weight",$C$52&gt;0, Results!$E$4="Tissue",OR($B$52="g",$B$52="mg")),((AA7*AA$51)/(AA$52)),IF(AND(Results!$E$5="Volume",$C$54&gt;0,Results!$E$4="Fluid"),((AA7*AA$51)/(AA$54)),IF(AND(Results!$E$4="Cells",Results!$E$5="Million",$B$52="million"),((AA7*AA$51)/(AA$52)),"0")))))</f>
        <v>2.7849166666666663</v>
      </c>
      <c r="AB60" s="20">
        <f>IF(AB7=0,"0",IF(AND(Results!$E$5="Protein",$C$53&gt;0,OR(Results!$E$4="Tissue",Results!$E$4="Cells")),((AB7*AB$51)/(AB$53)),IF(AND(Results!$E$5="Weight",$C$52&gt;0, Results!$E$4="Tissue",OR($B$52="g",$B$52="mg")),((AB7*AB$51)/(AB$52)),IF(AND(Results!$E$5="Volume",$C$54&gt;0,Results!$E$4="Fluid"),((AB7*AB$51)/(AB$54)),IF(AND(Results!$E$4="Cells",Results!$E$5="Million",$B$52="million"),((AB7*AB$51)/(AB$52)),"0")))))</f>
        <v>1.9558</v>
      </c>
      <c r="AC60" s="20">
        <f>IF(AC7=0,"0",IF(AND(Results!$E$5="Protein",$C$53&gt;0,OR(Results!$E$4="Tissue",Results!$E$4="Cells")),((AC7*AC$51)/(AC$53)),IF(AND(Results!$E$5="Weight",$C$52&gt;0, Results!$E$4="Tissue",OR($B$52="g",$B$52="mg")),((AC7*AC$51)/(AC$52)),IF(AND(Results!$E$5="Volume",$C$54&gt;0,Results!$E$4="Fluid"),((AC7*AC$51)/(AC$54)),IF(AND(Results!$E$4="Cells",Results!$E$5="Million",$B$52="million"),((AC7*AC$51)/(AC$52)),"0")))))</f>
        <v>2.30985</v>
      </c>
      <c r="AD60" s="20">
        <f>IF(AD7=0,"0",IF(AND(Results!$E$5="Protein",$C$53&gt;0,OR(Results!$E$4="Tissue",Results!$E$4="Cells")),((AD7*AD$51)/(AD$53)),IF(AND(Results!$E$5="Weight",$C$52&gt;0, Results!$E$4="Tissue",OR($B$52="g",$B$52="mg")),((AD7*AD$51)/(AD$52)),IF(AND(Results!$E$5="Volume",$C$54&gt;0,Results!$E$4="Fluid"),((AD7*AD$51)/(AD$54)),IF(AND(Results!$E$4="Cells",Results!$E$5="Million",$B$52="million"),((AD7*AD$51)/(AD$52)),"0")))))</f>
        <v>2.3611166666666668</v>
      </c>
      <c r="AE60" s="20">
        <f>IF(AE7=0,"0",IF(AND(Results!$E$5="Protein",$C$53&gt;0,OR(Results!$E$4="Tissue",Results!$E$4="Cells")),((AE7*AE$51)/(AE$53)),IF(AND(Results!$E$5="Weight",$C$52&gt;0, Results!$E$4="Tissue",OR($B$52="g",$B$52="mg")),((AE7*AE$51)/(AE$52)),IF(AND(Results!$E$5="Volume",$C$54&gt;0,Results!$E$4="Fluid"),((AE7*AE$51)/(AE$54)),IF(AND(Results!$E$4="Cells",Results!$E$5="Million",$B$52="million"),((AE7*AE$51)/(AE$52)),"0")))))</f>
        <v>2.208366666666667</v>
      </c>
      <c r="AF60" s="20">
        <f>IF(AF7=0,"0",IF(AND(Results!$E$5="Protein",$C$53&gt;0,OR(Results!$E$4="Tissue",Results!$E$4="Cells")),((AF7*AF$51)/(AF$53)),IF(AND(Results!$E$5="Weight",$C$52&gt;0, Results!$E$4="Tissue",OR($B$52="g",$B$52="mg")),((AF7*AF$51)/(AF$52)),IF(AND(Results!$E$5="Volume",$C$54&gt;0,Results!$E$4="Fluid"),((AF7*AF$51)/(AF$54)),IF(AND(Results!$E$4="Cells",Results!$E$5="Million",$B$52="million"),((AF7*AF$51)/(AF$52)),"0")))))</f>
        <v>1.8378166666666664</v>
      </c>
      <c r="AG60" s="20">
        <f>IF(AG7=0,"0",IF(AND(Results!$E$5="Protein",$C$53&gt;0,OR(Results!$E$4="Tissue",Results!$E$4="Cells")),((AG7*AG$51)/(AG$53)),IF(AND(Results!$E$5="Weight",$C$52&gt;0, Results!$E$4="Tissue",OR($B$52="g",$B$52="mg")),((AG7*AG$51)/(AG$52)),IF(AND(Results!$E$5="Volume",$C$54&gt;0,Results!$E$4="Fluid"),((AG7*AG$51)/(AG$54)),IF(AND(Results!$E$4="Cells",Results!$E$5="Million",$B$52="million"),((AG7*AG$51)/(AG$52)),"0")))))</f>
        <v>3.2000833333333336</v>
      </c>
      <c r="AH60" s="20">
        <f>IF(AH7=0,"0",IF(AND(Results!$E$5="Protein",$C$53&gt;0,OR(Results!$E$4="Tissue",Results!$E$4="Cells")),((AH7*AH$51)/(AH$53)),IF(AND(Results!$E$5="Weight",$C$52&gt;0, Results!$E$4="Tissue",OR($B$52="g",$B$52="mg")),((AH7*AH$51)/(AH$52)),IF(AND(Results!$E$5="Volume",$C$54&gt;0,Results!$E$4="Fluid"),((AH7*AH$51)/(AH$54)),IF(AND(Results!$E$4="Cells",Results!$E$5="Million",$B$52="million"),((AH7*AH$51)/(AH$52)),"0")))))</f>
        <v>6.5037666666666665</v>
      </c>
      <c r="AI60" s="20">
        <f>IF(AI7=0,"0",IF(AND(Results!$E$5="Protein",$C$53&gt;0,OR(Results!$E$4="Tissue",Results!$E$4="Cells")),((AI7*AI$51)/(AI$53)),IF(AND(Results!$E$5="Weight",$C$52&gt;0, Results!$E$4="Tissue",OR($B$52="g",$B$52="mg")),((AI7*AI$51)/(AI$52)),IF(AND(Results!$E$5="Volume",$C$54&gt;0,Results!$E$4="Fluid"),((AI7*AI$51)/(AI$54)),IF(AND(Results!$E$4="Cells",Results!$E$5="Million",$B$52="million"),((AI7*AI$51)/(AI$52)),"0")))))</f>
        <v>1.5447500000000001</v>
      </c>
      <c r="AJ60" s="20">
        <f>IF(AJ7=0,"0",IF(AND(Results!$E$5="Protein",$C$53&gt;0,OR(Results!$E$4="Tissue",Results!$E$4="Cells")),((AJ7*AJ$51)/(AJ$53)),IF(AND(Results!$E$5="Weight",$C$52&gt;0, Results!$E$4="Tissue",OR($B$52="g",$B$52="mg")),((AJ7*AJ$51)/(AJ$52)),IF(AND(Results!$E$5="Volume",$C$54&gt;0,Results!$E$4="Fluid"),((AJ7*AJ$51)/(AJ$54)),IF(AND(Results!$E$4="Cells",Results!$E$5="Million",$B$52="million"),((AJ7*AJ$51)/(AJ$52)),"0")))))</f>
        <v>1.6020666666666665</v>
      </c>
      <c r="AK60" s="20">
        <f>IF(AK7=0,"0",IF(AND(Results!$E$5="Protein",$C$53&gt;0,OR(Results!$E$4="Tissue",Results!$E$4="Cells")),((AK7*AK$51)/(AK$53)),IF(AND(Results!$E$5="Weight",$C$52&gt;0, Results!$E$4="Tissue",OR($B$52="g",$B$52="mg")),((AK7*AK$51)/(AK$52)),IF(AND(Results!$E$5="Volume",$C$54&gt;0,Results!$E$4="Fluid"),((AK7*AK$51)/(AK$54)),IF(AND(Results!$E$4="Cells",Results!$E$5="Million",$B$52="million"),((AK7*AK$51)/(AK$52)),"0")))))</f>
        <v>1.2364999999999999</v>
      </c>
      <c r="AL60" s="20">
        <f>IF(AL7=0,"0",IF(AND(Results!$E$5="Protein",$C$53&gt;0,OR(Results!$E$4="Tissue",Results!$E$4="Cells")),((AL7*AL$51)/(AL$53)),IF(AND(Results!$E$5="Weight",$C$52&gt;0, Results!$E$4="Tissue",OR($B$52="g",$B$52="mg")),((AL7*AL$51)/(AL$52)),IF(AND(Results!$E$5="Volume",$C$54&gt;0,Results!$E$4="Fluid"),((AL7*AL$51)/(AL$54)),IF(AND(Results!$E$4="Cells",Results!$E$5="Million",$B$52="million"),((AL7*AL$51)/(AL$52)),"0")))))</f>
        <v>8.3684833333333337</v>
      </c>
      <c r="AM60" s="20">
        <f>IF(AM7=0,"0",IF(AND(Results!$E$5="Protein",$C$53&gt;0,OR(Results!$E$4="Tissue",Results!$E$4="Cells")),((AM7*AM$51)/(AM$53)),IF(AND(Results!$E$5="Weight",$C$52&gt;0, Results!$E$4="Tissue",OR($B$52="g",$B$52="mg")),((AM7*AM$51)/(AM$52)),IF(AND(Results!$E$5="Volume",$C$54&gt;0,Results!$E$4="Fluid"),((AM7*AM$51)/(AM$54)),IF(AND(Results!$E$4="Cells",Results!$E$5="Million",$B$52="million"),((AM7*AM$51)/(AM$52)),"0")))))</f>
        <v>2.643733333333333</v>
      </c>
      <c r="AN60" s="20">
        <f>IF(AN7=0,"0",IF(AND(Results!$E$5="Protein",$C$53&gt;0,OR(Results!$E$4="Tissue",Results!$E$4="Cells")),((AN7*AN$51)/(AN$53)),IF(AND(Results!$E$5="Weight",$C$52&gt;0, Results!$E$4="Tissue",OR($B$52="g",$B$52="mg")),((AN7*AN$51)/(AN$52)),IF(AND(Results!$E$5="Volume",$C$54&gt;0,Results!$E$4="Fluid"),((AN7*AN$51)/(AN$54)),IF(AND(Results!$E$4="Cells",Results!$E$5="Million",$B$52="million"),((AN7*AN$51)/(AN$52)),"0")))))</f>
        <v>1.9548500000000002</v>
      </c>
      <c r="AO60" s="20">
        <f>IF(AO7=0,"0",IF(AND(Results!$E$5="Protein",$C$53&gt;0,OR(Results!$E$4="Tissue",Results!$E$4="Cells")),((AO7*AO$51)/(AO$53)),IF(AND(Results!$E$5="Weight",$C$52&gt;0, Results!$E$4="Tissue",OR($B$52="g",$B$52="mg")),((AO7*AO$51)/(AO$52)),IF(AND(Results!$E$5="Volume",$C$54&gt;0,Results!$E$4="Fluid"),((AO7*AO$51)/(AO$54)),IF(AND(Results!$E$4="Cells",Results!$E$5="Million",$B$52="million"),((AO7*AO$51)/(AO$52)),"0")))))</f>
        <v>5.3184166666666668</v>
      </c>
      <c r="AP60" s="20">
        <f>IF(AP7=0,"0",IF(AND(Results!$E$5="Protein",$C$53&gt;0,OR(Results!$E$4="Tissue",Results!$E$4="Cells")),((AP7*AP$51)/(AP$53)),IF(AND(Results!$E$5="Weight",$C$52&gt;0, Results!$E$4="Tissue",OR($B$52="g",$B$52="mg")),((AP7*AP$51)/(AP$52)),IF(AND(Results!$E$5="Volume",$C$54&gt;0,Results!$E$4="Fluid"),((AP7*AP$51)/(AP$54)),IF(AND(Results!$E$4="Cells",Results!$E$5="Million",$B$52="million"),((AP7*AP$51)/(AP$52)),"0")))))</f>
        <v>2.0746833333333332</v>
      </c>
      <c r="AQ60" s="20">
        <f>IF(AQ7=0,"0",IF(AND(Results!$E$5="Protein",$C$53&gt;0,OR(Results!$E$4="Tissue",Results!$E$4="Cells")),((AQ7*AQ$51)/(AQ$53)),IF(AND(Results!$E$5="Weight",$C$52&gt;0, Results!$E$4="Tissue",OR($B$52="g",$B$52="mg")),((AQ7*AQ$51)/(AQ$52)),IF(AND(Results!$E$5="Volume",$C$54&gt;0,Results!$E$4="Fluid"),((AQ7*AQ$51)/(AQ$54)),IF(AND(Results!$E$4="Cells",Results!$E$5="Million",$B$52="million"),((AQ7*AQ$51)/(AQ$52)),"0")))))</f>
        <v>28.753516666666663</v>
      </c>
      <c r="AR60" s="20">
        <f>IF(AR7=0,"0",IF(AND(Results!$E$5="Protein",$C$53&gt;0,OR(Results!$E$4="Tissue",Results!$E$4="Cells")),((AR7*AR$51)/(AR$53)),IF(AND(Results!$E$5="Weight",$C$52&gt;0, Results!$E$4="Tissue",OR($B$52="g",$B$52="mg")),((AR7*AR$51)/(AR$52)),IF(AND(Results!$E$5="Volume",$C$54&gt;0,Results!$E$4="Fluid"),((AR7*AR$51)/(AR$54)),IF(AND(Results!$E$4="Cells",Results!$E$5="Million",$B$52="million"),((AR7*AR$51)/(AR$52)),"0")))))</f>
        <v>0.94511666666666672</v>
      </c>
      <c r="AS60" s="20">
        <f>IF(AS7=0,"0",IF(AND(Results!$E$5="Protein",$C$53&gt;0,OR(Results!$E$4="Tissue",Results!$E$4="Cells")),((AS7*AS$51)/(AS$53)),IF(AND(Results!$E$5="Weight",$C$52&gt;0, Results!$E$4="Tissue",OR($B$52="g",$B$52="mg")),((AS7*AS$51)/(AS$52)),IF(AND(Results!$E$5="Volume",$C$54&gt;0,Results!$E$4="Fluid"),((AS7*AS$51)/(AS$54)),IF(AND(Results!$E$4="Cells",Results!$E$5="Million",$B$52="million"),((AS7*AS$51)/(AS$52)),"0")))))</f>
        <v>1.5195333333333332</v>
      </c>
      <c r="AT60" s="20">
        <f>IF(AT7=0,"0",IF(AND(Results!$E$5="Protein",$C$53&gt;0,OR(Results!$E$4="Tissue",Results!$E$4="Cells")),((AT7*AT$51)/(AT$53)),IF(AND(Results!$E$5="Weight",$C$52&gt;0, Results!$E$4="Tissue",OR($B$52="g",$B$52="mg")),((AT7*AT$51)/(AT$52)),IF(AND(Results!$E$5="Volume",$C$54&gt;0,Results!$E$4="Fluid"),((AT7*AT$51)/(AT$54)),IF(AND(Results!$E$4="Cells",Results!$E$5="Million",$B$52="million"),((AT7*AT$51)/(AT$52)),"0")))))</f>
        <v>1.3146166666666665</v>
      </c>
      <c r="AU60" s="20">
        <f>IF(AU7=0,"0",IF(AND(Results!$E$5="Protein",$C$53&gt;0,OR(Results!$E$4="Tissue",Results!$E$4="Cells")),((AU7*AU$51)/(AU$53)),IF(AND(Results!$E$5="Weight",$C$52&gt;0, Results!$E$4="Tissue",OR($B$52="g",$B$52="mg")),((AU7*AU$51)/(AU$52)),IF(AND(Results!$E$5="Volume",$C$54&gt;0,Results!$E$4="Fluid"),((AU7*AU$51)/(AU$54)),IF(AND(Results!$E$4="Cells",Results!$E$5="Million",$B$52="million"),((AU7*AU$51)/(AU$52)),"0")))))</f>
        <v>1.0094400000000001</v>
      </c>
      <c r="AV60" s="20">
        <f>IF(AV7=0,"0",IF(AND(Results!$E$5="Protein",$C$53&gt;0,OR(Results!$E$4="Tissue",Results!$E$4="Cells")),((AV7*AV$51)/(AV$53)),IF(AND(Results!$E$5="Weight",$C$52&gt;0, Results!$E$4="Tissue",OR($B$52="g",$B$52="mg")),((AV7*AV$51)/(AV$52)),IF(AND(Results!$E$5="Volume",$C$54&gt;0,Results!$E$4="Fluid"),((AV7*AV$51)/(AV$54)),IF(AND(Results!$E$4="Cells",Results!$E$5="Million",$B$52="million"),((AV7*AV$51)/(AV$52)),"0")))))</f>
        <v>2.5087999999999999</v>
      </c>
      <c r="AW60" s="20">
        <f>IF(AW7=0,"0",IF(AND(Results!$E$5="Protein",$C$53&gt;0,OR(Results!$E$4="Tissue",Results!$E$4="Cells")),((AW7*AW$51)/(AW$53)),IF(AND(Results!$E$5="Weight",$C$52&gt;0, Results!$E$4="Tissue",OR($B$52="g",$B$52="mg")),((AW7*AW$51)/(AW$52)),IF(AND(Results!$E$5="Volume",$C$54&gt;0,Results!$E$4="Fluid"),((AW7*AW$51)/(AW$54)),IF(AND(Results!$E$4="Cells",Results!$E$5="Million",$B$52="million"),((AW7*AW$51)/(AW$52)),"0")))))</f>
        <v>0.90468333333333328</v>
      </c>
      <c r="AX60" s="20">
        <f>IF(AX7=0,"0",IF(AND(Results!$E$5="Protein",$C$53&gt;0,OR(Results!$E$4="Tissue",Results!$E$4="Cells")),((AX7*AX$51)/(AX$53)),IF(AND(Results!$E$5="Weight",$C$52&gt;0, Results!$E$4="Tissue",OR($B$52="g",$B$52="mg")),((AX7*AX$51)/(AX$52)),IF(AND(Results!$E$5="Volume",$C$54&gt;0,Results!$E$4="Fluid"),((AX7*AX$51)/(AX$54)),IF(AND(Results!$E$4="Cells",Results!$E$5="Million",$B$52="million"),((AX7*AX$51)/(AX$52)),"0")))))</f>
        <v>1.0623666666666667</v>
      </c>
      <c r="AY60" s="20">
        <f>IF(AY7=0,"0",IF(AND(Results!$E$5="Protein",$C$53&gt;0,OR(Results!$E$4="Tissue",Results!$E$4="Cells")),((AY7*AY$51)/(AY$53)),IF(AND(Results!$E$5="Weight",$C$52&gt;0, Results!$E$4="Tissue",OR($B$52="g",$B$52="mg")),((AY7*AY$51)/(AY$52)),IF(AND(Results!$E$5="Volume",$C$54&gt;0,Results!$E$4="Fluid"),((AY7*AY$51)/(AY$54)),IF(AND(Results!$E$4="Cells",Results!$E$5="Million",$B$52="million"),((AY7*AY$51)/(AY$52)),"0")))))</f>
        <v>8.1527499999999993</v>
      </c>
      <c r="AZ60" s="20">
        <f>IF(AZ7=0,"0",IF(AND(Results!$E$5="Protein",$C$53&gt;0,OR(Results!$E$4="Tissue",Results!$E$4="Cells")),((AZ7*AZ$51)/(AZ$53)),IF(AND(Results!$E$5="Weight",$C$52&gt;0, Results!$E$4="Tissue",OR($B$52="g",$B$52="mg")),((AZ7*AZ$51)/(AZ$52)),IF(AND(Results!$E$5="Volume",$C$54&gt;0,Results!$E$4="Fluid"),((AZ7*AZ$51)/(AZ$54)),IF(AND(Results!$E$4="Cells",Results!$E$5="Million",$B$52="million"),((AZ7*AZ$51)/(AZ$52)),"0")))))</f>
        <v>2.2741500000000001</v>
      </c>
      <c r="BA60" s="20">
        <f>IF(BA7=0,"0",IF(AND(Results!$E$5="Protein",$C$53&gt;0,OR(Results!$E$4="Tissue",Results!$E$4="Cells")),((BA7*BA$51)/(BA$53)),IF(AND(Results!$E$5="Weight",$C$52&gt;0, Results!$E$4="Tissue",OR($B$52="g",$B$52="mg")),((BA7*BA$51)/(BA$52)),IF(AND(Results!$E$5="Volume",$C$54&gt;0,Results!$E$4="Fluid"),((BA7*BA$51)/(BA$54)),IF(AND(Results!$E$4="Cells",Results!$E$5="Million",$B$52="million"),((BA7*BA$51)/(BA$52)),"0")))))</f>
        <v>2.6966999999999999</v>
      </c>
      <c r="BB60" s="20">
        <f>IF(BB7=0,"0",IF(AND(Results!$E$5="Protein",$C$53&gt;0,OR(Results!$E$4="Tissue",Results!$E$4="Cells")),((BB7*BB$51)/(BB$53)),IF(AND(Results!$E$5="Weight",$C$52&gt;0, Results!$E$4="Tissue",OR($B$52="g",$B$52="mg")),((BB7*BB$51)/(BB$52)),IF(AND(Results!$E$5="Volume",$C$54&gt;0,Results!$E$4="Fluid"),((BB7*BB$51)/(BB$54)),IF(AND(Results!$E$4="Cells",Results!$E$5="Million",$B$52="million"),((BB7*BB$51)/(BB$52)),"0")))))</f>
        <v>4.0073166666666671</v>
      </c>
      <c r="BC60" s="20">
        <f>IF(BC7=0,"0",IF(AND(Results!$E$5="Protein",$C$53&gt;0,OR(Results!$E$4="Tissue",Results!$E$4="Cells")),((BC7*BC$51)/(BC$53)),IF(AND(Results!$E$5="Weight",$C$52&gt;0, Results!$E$4="Tissue",OR($B$52="g",$B$52="mg")),((BC7*BC$51)/(BC$52)),IF(AND(Results!$E$5="Volume",$C$54&gt;0,Results!$E$4="Fluid"),((BC7*BC$51)/(BC$54)),IF(AND(Results!$E$4="Cells",Results!$E$5="Million",$B$52="million"),((BC7*BC$51)/(BC$52)),"0")))))</f>
        <v>6.2987000000000002</v>
      </c>
      <c r="BD60" s="20">
        <f>IF(BD7=0,"0",IF(AND(Results!$E$5="Protein",$C$53&gt;0,OR(Results!$E$4="Tissue",Results!$E$4="Cells")),((BD7*BD$51)/(BD$53)),IF(AND(Results!$E$5="Weight",$C$52&gt;0, Results!$E$4="Tissue",OR($B$52="g",$B$52="mg")),((BD7*BD$51)/(BD$52)),IF(AND(Results!$E$5="Volume",$C$54&gt;0,Results!$E$4="Fluid"),((BD7*BD$51)/(BD$54)),IF(AND(Results!$E$4="Cells",Results!$E$5="Million",$B$52="million"),((BD7*BD$51)/(BD$52)),"0")))))</f>
        <v>1.4318333333333333</v>
      </c>
      <c r="BE60" s="20">
        <f>IF(BE7=0,"0",IF(AND(Results!$E$5="Protein",$C$53&gt;0,OR(Results!$E$4="Tissue",Results!$E$4="Cells")),((BE7*BE$51)/(BE$53)),IF(AND(Results!$E$5="Weight",$C$52&gt;0, Results!$E$4="Tissue",OR($B$52="g",$B$52="mg")),((BE7*BE$51)/(BE$52)),IF(AND(Results!$E$5="Volume",$C$54&gt;0,Results!$E$4="Fluid"),((BE7*BE$51)/(BE$54)),IF(AND(Results!$E$4="Cells",Results!$E$5="Million",$B$52="million"),((BE7*BE$51)/(BE$52)),"0")))))</f>
        <v>1.7105999999999999</v>
      </c>
      <c r="BF60" s="20">
        <f>IF(BF7=0,"0",IF(AND(Results!$E$5="Protein",$C$53&gt;0,OR(Results!$E$4="Tissue",Results!$E$4="Cells")),((BF7*BF$51)/(BF$53)),IF(AND(Results!$E$5="Weight",$C$52&gt;0, Results!$E$4="Tissue",OR($B$52="g",$B$52="mg")),((BF7*BF$51)/(BF$52)),IF(AND(Results!$E$5="Volume",$C$54&gt;0,Results!$E$4="Fluid"),((BF7*BF$51)/(BF$54)),IF(AND(Results!$E$4="Cells",Results!$E$5="Million",$B$52="million"),((BF7*BF$51)/(BF$52)),"0")))))</f>
        <v>4.7671666666666672</v>
      </c>
      <c r="BG60" s="20">
        <f>IF(BG7=0,"0",IF(AND(Results!$E$5="Protein",$C$53&gt;0,OR(Results!$E$4="Tissue",Results!$E$4="Cells")),((BG7*BG$51)/(BG$53)),IF(AND(Results!$E$5="Weight",$C$52&gt;0, Results!$E$4="Tissue",OR($B$52="g",$B$52="mg")),((BG7*BG$51)/(BG$52)),IF(AND(Results!$E$5="Volume",$C$54&gt;0,Results!$E$4="Fluid"),((BG7*BG$51)/(BG$54)),IF(AND(Results!$E$4="Cells",Results!$E$5="Million",$B$52="million"),((BG7*BG$51)/(BG$52)),"0")))))</f>
        <v>3.27285</v>
      </c>
      <c r="BH60" s="20">
        <f>IF(BH7=0,"0",IF(AND(Results!$E$5="Protein",$C$53&gt;0,OR(Results!$E$4="Tissue",Results!$E$4="Cells")),((BH7*BH$51)/(BH$53)),IF(AND(Results!$E$5="Weight",$C$52&gt;0, Results!$E$4="Tissue",OR($B$52="g",$B$52="mg")),((BH7*BH$51)/(BH$52)),IF(AND(Results!$E$5="Volume",$C$54&gt;0,Results!$E$4="Fluid"),((BH7*BH$51)/(BH$54)),IF(AND(Results!$E$4="Cells",Results!$E$5="Million",$B$52="million"),((BH7*BH$51)/(BH$52)),"0")))))</f>
        <v>2.2715166666666664</v>
      </c>
      <c r="BI60" s="20">
        <f>IF(BI7=0,"0",IF(AND(Results!$E$5="Protein",$C$53&gt;0,OR(Results!$E$4="Tissue",Results!$E$4="Cells")),((BI7*BI$51)/(BI$53)),IF(AND(Results!$E$5="Weight",$C$52&gt;0, Results!$E$4="Tissue",OR($B$52="g",$B$52="mg")),((BI7*BI$51)/(BI$52)),IF(AND(Results!$E$5="Volume",$C$54&gt;0,Results!$E$4="Fluid"),((BI7*BI$51)/(BI$54)),IF(AND(Results!$E$4="Cells",Results!$E$5="Million",$B$52="million"),((BI7*BI$51)/(BI$52)),"0")))))</f>
        <v>1.6360166666666667</v>
      </c>
      <c r="BJ60" s="20">
        <f>IF(BJ7=0,"0",IF(AND(Results!$E$5="Protein",$C$53&gt;0,OR(Results!$E$4="Tissue",Results!$E$4="Cells")),((BJ7*BJ$51)/(BJ$53)),IF(AND(Results!$E$5="Weight",$C$52&gt;0, Results!$E$4="Tissue",OR($B$52="g",$B$52="mg")),((BJ7*BJ$51)/(BJ$52)),IF(AND(Results!$E$5="Volume",$C$54&gt;0,Results!$E$4="Fluid"),((BJ7*BJ$51)/(BJ$54)),IF(AND(Results!$E$4="Cells",Results!$E$5="Million",$B$52="million"),((BJ7*BJ$51)/(BJ$52)),"0")))))</f>
        <v>3.9415333333333336</v>
      </c>
      <c r="BK60" s="20">
        <f>IF(BK7=0,"0",IF(AND(Results!$E$5="Protein",$C$53&gt;0,OR(Results!$E$4="Tissue",Results!$E$4="Cells")),((BK7*BK$51)/(BK$53)),IF(AND(Results!$E$5="Weight",$C$52&gt;0, Results!$E$4="Tissue",OR($B$52="g",$B$52="mg")),((BK7*BK$51)/(BK$52)),IF(AND(Results!$E$5="Volume",$C$54&gt;0,Results!$E$4="Fluid"),((BK7*BK$51)/(BK$54)),IF(AND(Results!$E$4="Cells",Results!$E$5="Million",$B$52="million"),((BK7*BK$51)/(BK$52)),"0")))))</f>
        <v>5.9544000000000006</v>
      </c>
      <c r="BL60" s="20">
        <f>IF(BL7=0,"0",IF(AND(Results!$E$5="Protein",$C$53&gt;0,OR(Results!$E$4="Tissue",Results!$E$4="Cells")),((BL7*BL$51)/(BL$53)),IF(AND(Results!$E$5="Weight",$C$52&gt;0, Results!$E$4="Tissue",OR($B$52="g",$B$52="mg")),((BL7*BL$51)/(BL$52)),IF(AND(Results!$E$5="Volume",$C$54&gt;0,Results!$E$4="Fluid"),((BL7*BL$51)/(BL$54)),IF(AND(Results!$E$4="Cells",Results!$E$5="Million",$B$52="million"),((BL7*BL$51)/(BL$52)),"0")))))</f>
        <v>2.0507166666666667</v>
      </c>
      <c r="BM60" s="20">
        <f>IF(BM7=0,"0",IF(AND(Results!$E$5="Protein",$C$53&gt;0,OR(Results!$E$4="Tissue",Results!$E$4="Cells")),((BM7*BM$51)/(BM$53)),IF(AND(Results!$E$5="Weight",$C$52&gt;0, Results!$E$4="Tissue",OR($B$52="g",$B$52="mg")),((BM7*BM$51)/(BM$52)),IF(AND(Results!$E$5="Volume",$C$54&gt;0,Results!$E$4="Fluid"),((BM7*BM$51)/(BM$54)),IF(AND(Results!$E$4="Cells",Results!$E$5="Million",$B$52="million"),((BM7*BM$51)/(BM$52)),"0")))))</f>
        <v>0.94671428571428562</v>
      </c>
      <c r="BN60" s="20">
        <f>IF(BN7=0,"0",IF(AND(Results!$E$5="Protein",$C$53&gt;0,OR(Results!$E$4="Tissue",Results!$E$4="Cells")),((BN7*BN$51)/(BN$53)),IF(AND(Results!$E$5="Weight",$C$52&gt;0, Results!$E$4="Tissue",OR($B$52="g",$B$52="mg")),((BN7*BN$51)/(BN$52)),IF(AND(Results!$E$5="Volume",$C$54&gt;0,Results!$E$4="Fluid"),((BN7*BN$51)/(BN$54)),IF(AND(Results!$E$4="Cells",Results!$E$5="Million",$B$52="million"),((BN7*BN$51)/(BN$52)),"0")))))</f>
        <v>1.1884166666666665</v>
      </c>
      <c r="BO60" s="20">
        <f>IF(BO7=0,"0",IF(AND(Results!$E$5="Protein",$C$53&gt;0,OR(Results!$E$4="Tissue",Results!$E$4="Cells")),((BO7*BO$51)/(BO$53)),IF(AND(Results!$E$5="Weight",$C$52&gt;0, Results!$E$4="Tissue",OR($B$52="g",$B$52="mg")),((BO7*BO$51)/(BO$52)),IF(AND(Results!$E$5="Volume",$C$54&gt;0,Results!$E$4="Fluid"),((BO7*BO$51)/(BO$54)),IF(AND(Results!$E$4="Cells",Results!$E$5="Million",$B$52="million"),((BO7*BO$51)/(BO$52)),"0")))))</f>
        <v>18.326800000000002</v>
      </c>
      <c r="BP60" s="20">
        <f>IF(BP7=0,"0",IF(AND(Results!$E$5="Protein",$C$53&gt;0,OR(Results!$E$4="Tissue",Results!$E$4="Cells")),((BP7*BP$51)/(BP$53)),IF(AND(Results!$E$5="Weight",$C$52&gt;0, Results!$E$4="Tissue",OR($B$52="g",$B$52="mg")),((BP7*BP$51)/(BP$52)),IF(AND(Results!$E$5="Volume",$C$54&gt;0,Results!$E$4="Fluid"),((BP7*BP$51)/(BP$54)),IF(AND(Results!$E$4="Cells",Results!$E$5="Million",$B$52="million"),((BP7*BP$51)/(BP$52)),"0")))))</f>
        <v>2.2738</v>
      </c>
      <c r="BQ60" s="20">
        <f>IF(BQ7=0,"0",IF(AND(Results!$E$5="Protein",$C$53&gt;0,OR(Results!$E$4="Tissue",Results!$E$4="Cells")),((BQ7*BQ$51)/(BQ$53)),IF(AND(Results!$E$5="Weight",$C$52&gt;0, Results!$E$4="Tissue",OR($B$52="g",$B$52="mg")),((BQ7*BQ$51)/(BQ$52)),IF(AND(Results!$E$5="Volume",$C$54&gt;0,Results!$E$4="Fluid"),((BQ7*BQ$51)/(BQ$54)),IF(AND(Results!$E$4="Cells",Results!$E$5="Million",$B$52="million"),((BQ7*BQ$51)/(BQ$52)),"0")))))</f>
        <v>3.2423000000000002</v>
      </c>
      <c r="BR60" s="20">
        <f>IF(BR7=0,"0",IF(AND(Results!$E$5="Protein",$C$53&gt;0,OR(Results!$E$4="Tissue",Results!$E$4="Cells")),((BR7*BR$51)/(BR$53)),IF(AND(Results!$E$5="Weight",$C$52&gt;0, Results!$E$4="Tissue",OR($B$52="g",$B$52="mg")),((BR7*BR$51)/(BR$52)),IF(AND(Results!$E$5="Volume",$C$54&gt;0,Results!$E$4="Fluid"),((BR7*BR$51)/(BR$54)),IF(AND(Results!$E$4="Cells",Results!$E$5="Million",$B$52="million"),((BR7*BR$51)/(BR$52)),"0")))))</f>
        <v>3.4618571428571432</v>
      </c>
      <c r="BS60" s="20">
        <f>IF(BS7=0,"0",IF(AND(Results!$E$5="Protein",$C$53&gt;0,OR(Results!$E$4="Tissue",Results!$E$4="Cells")),((BS7*BS$51)/(BS$53)),IF(AND(Results!$E$5="Weight",$C$52&gt;0, Results!$E$4="Tissue",OR($B$52="g",$B$52="mg")),((BS7*BS$51)/(BS$52)),IF(AND(Results!$E$5="Volume",$C$54&gt;0,Results!$E$4="Fluid"),((BS7*BS$51)/(BS$54)),IF(AND(Results!$E$4="Cells",Results!$E$5="Million",$B$52="million"),((BS7*BS$51)/(BS$52)),"0")))))</f>
        <v>0.81169999999999998</v>
      </c>
      <c r="BT60" s="20">
        <f>IF(BT7=0,"0",IF(AND(Results!$E$5="Protein",$C$53&gt;0,OR(Results!$E$4="Tissue",Results!$E$4="Cells")),((BT7*BT$51)/(BT$53)),IF(AND(Results!$E$5="Weight",$C$52&gt;0, Results!$E$4="Tissue",OR($B$52="g",$B$52="mg")),((BT7*BT$51)/(BT$52)),IF(AND(Results!$E$5="Volume",$C$54&gt;0,Results!$E$4="Fluid"),((BT7*BT$51)/(BT$54)),IF(AND(Results!$E$4="Cells",Results!$E$5="Million",$B$52="million"),((BT7*BT$51)/(BT$52)),"0")))))</f>
        <v>1.3383499999999997</v>
      </c>
      <c r="BU60" s="20">
        <f>IF(BU7=0,"0",IF(AND(Results!$E$5="Protein",$C$53&gt;0,OR(Results!$E$4="Tissue",Results!$E$4="Cells")),((BU7*BU$51)/(BU$53)),IF(AND(Results!$E$5="Weight",$C$52&gt;0, Results!$E$4="Tissue",OR($B$52="g",$B$52="mg")),((BU7*BU$51)/(BU$52)),IF(AND(Results!$E$5="Volume",$C$54&gt;0,Results!$E$4="Fluid"),((BU7*BU$51)/(BU$54)),IF(AND(Results!$E$4="Cells",Results!$E$5="Million",$B$52="million"),((BU7*BU$51)/(BU$52)),"0")))))</f>
        <v>2.0922333333333332</v>
      </c>
      <c r="BV60" s="20">
        <f>IF(BV7=0,"0",IF(AND(Results!$E$5="Protein",$C$53&gt;0,OR(Results!$E$4="Tissue",Results!$E$4="Cells")),((BV7*BV$51)/(BV$53)),IF(AND(Results!$E$5="Weight",$C$52&gt;0, Results!$E$4="Tissue",OR($B$52="g",$B$52="mg")),((BV7*BV$51)/(BV$52)),IF(AND(Results!$E$5="Volume",$C$54&gt;0,Results!$E$4="Fluid"),((BV7*BV$51)/(BV$54)),IF(AND(Results!$E$4="Cells",Results!$E$5="Million",$B$52="million"),((BV7*BV$51)/(BV$52)),"0")))))</f>
        <v>1.0315166666666666</v>
      </c>
      <c r="BW60" s="20">
        <f>IF(BW7=0,"0",IF(AND(Results!$E$5="Protein",$C$53&gt;0,OR(Results!$E$4="Tissue",Results!$E$4="Cells")),((BW7*BW$51)/(BW$53)),IF(AND(Results!$E$5="Weight",$C$52&gt;0, Results!$E$4="Tissue",OR($B$52="g",$B$52="mg")),((BW7*BW$51)/(BW$52)),IF(AND(Results!$E$5="Volume",$C$54&gt;0,Results!$E$4="Fluid"),((BW7*BW$51)/(BW$54)),IF(AND(Results!$E$4="Cells",Results!$E$5="Million",$B$52="million"),((BW7*BW$51)/(BW$52)),"0")))))</f>
        <v>13.761333333333333</v>
      </c>
      <c r="BX60" s="20">
        <f>IF(BX7=0,"0",IF(AND(Results!$E$5="Protein",$C$53&gt;0,OR(Results!$E$4="Tissue",Results!$E$4="Cells")),((BX7*BX$51)/(BX$53)),IF(AND(Results!$E$5="Weight",$C$52&gt;0, Results!$E$4="Tissue",OR($B$52="g",$B$52="mg")),((BX7*BX$51)/(BX$52)),IF(AND(Results!$E$5="Volume",$C$54&gt;0,Results!$E$4="Fluid"),((BX7*BX$51)/(BX$54)),IF(AND(Results!$E$4="Cells",Results!$E$5="Million",$B$52="million"),((BX7*BX$51)/(BX$52)),"0")))))</f>
        <v>5.8702833333333331</v>
      </c>
      <c r="BY60" s="20">
        <f>IF(BY7=0,"0",IF(AND(Results!$E$5="Protein",$C$53&gt;0,OR(Results!$E$4="Tissue",Results!$E$4="Cells")),((BY7*BY$51)/(BY$53)),IF(AND(Results!$E$5="Weight",$C$52&gt;0, Results!$E$4="Tissue",OR($B$52="g",$B$52="mg")),((BY7*BY$51)/(BY$52)),IF(AND(Results!$E$5="Volume",$C$54&gt;0,Results!$E$4="Fluid"),((BY7*BY$51)/(BY$54)),IF(AND(Results!$E$4="Cells",Results!$E$5="Million",$B$52="million"),((BY7*BY$51)/(BY$52)),"0")))))</f>
        <v>1.9894000000000001</v>
      </c>
      <c r="BZ60" s="20">
        <f>IF(BZ7=0,"0",IF(AND(Results!$E$5="Protein",$C$53&gt;0,OR(Results!$E$4="Tissue",Results!$E$4="Cells")),((BZ7*BZ$51)/(BZ$53)),IF(AND(Results!$E$5="Weight",$C$52&gt;0, Results!$E$4="Tissue",OR($B$52="g",$B$52="mg")),((BZ7*BZ$51)/(BZ$52)),IF(AND(Results!$E$5="Volume",$C$54&gt;0,Results!$E$4="Fluid"),((BZ7*BZ$51)/(BZ$54)),IF(AND(Results!$E$4="Cells",Results!$E$5="Million",$B$52="million"),((BZ7*BZ$51)/(BZ$52)),"0")))))</f>
        <v>1.2689999999999999</v>
      </c>
      <c r="CA60" s="20">
        <f>IF(CA7=0,"0",IF(AND(Results!$E$5="Protein",$C$53&gt;0,OR(Results!$E$4="Tissue",Results!$E$4="Cells")),((CA7*CA$51)/(CA$53)),IF(AND(Results!$E$5="Weight",$C$52&gt;0, Results!$E$4="Tissue",OR($B$52="g",$B$52="mg")),((CA7*CA$51)/(CA$52)),IF(AND(Results!$E$5="Volume",$C$54&gt;0,Results!$E$4="Fluid"),((CA7*CA$51)/(CA$54)),IF(AND(Results!$E$4="Cells",Results!$E$5="Million",$B$52="million"),((CA7*CA$51)/(CA$52)),"0")))))</f>
        <v>1.9005000000000001</v>
      </c>
      <c r="CB60" s="20">
        <f>IF(CB7=0,"0",IF(AND(Results!$E$5="Protein",$C$53&gt;0,OR(Results!$E$4="Tissue",Results!$E$4="Cells")),((CB7*CB$51)/(CB$53)),IF(AND(Results!$E$5="Weight",$C$52&gt;0, Results!$E$4="Tissue",OR($B$52="g",$B$52="mg")),((CB7*CB$51)/(CB$52)),IF(AND(Results!$E$5="Volume",$C$54&gt;0,Results!$E$4="Fluid"),((CB7*CB$51)/(CB$54)),IF(AND(Results!$E$4="Cells",Results!$E$5="Million",$B$52="million"),((CB7*CB$51)/(CB$52)),"0")))))</f>
        <v>0.6384333333333333</v>
      </c>
      <c r="CC60" s="20">
        <f>IF(CC7=0,"0",IF(AND(Results!$E$5="Protein",$C$53&gt;0,OR(Results!$E$4="Tissue",Results!$E$4="Cells")),((CC7*CC$51)/(CC$53)),IF(AND(Results!$E$5="Weight",$C$52&gt;0, Results!$E$4="Tissue",OR($B$52="g",$B$52="mg")),((CC7*CC$51)/(CC$52)),IF(AND(Results!$E$5="Volume",$C$54&gt;0,Results!$E$4="Fluid"),((CC7*CC$51)/(CC$54)),IF(AND(Results!$E$4="Cells",Results!$E$5="Million",$B$52="million"),((CC7*CC$51)/(CC$52)),"0")))))</f>
        <v>3.9367166666666669</v>
      </c>
      <c r="CD60" s="20">
        <f>IF(CD7=0,"0",IF(AND(Results!$E$5="Protein",$C$53&gt;0,OR(Results!$E$4="Tissue",Results!$E$4="Cells")),((CD7*CD$51)/(CD$53)),IF(AND(Results!$E$5="Weight",$C$52&gt;0, Results!$E$4="Tissue",OR($B$52="g",$B$52="mg")),((CD7*CD$51)/(CD$52)),IF(AND(Results!$E$5="Volume",$C$54&gt;0,Results!$E$4="Fluid"),((CD7*CD$51)/(CD$54)),IF(AND(Results!$E$4="Cells",Results!$E$5="Million",$B$52="million"),((CD7*CD$51)/(CD$52)),"0")))))</f>
        <v>2.16865</v>
      </c>
      <c r="CE60" s="20">
        <f>IF(CE7=0,"0",IF(AND(Results!$E$5="Protein",$C$53&gt;0,OR(Results!$E$4="Tissue",Results!$E$4="Cells")),((CE7*CE$51)/(CE$53)),IF(AND(Results!$E$5="Weight",$C$52&gt;0, Results!$E$4="Tissue",OR($B$52="g",$B$52="mg")),((CE7*CE$51)/(CE$52)),IF(AND(Results!$E$5="Volume",$C$54&gt;0,Results!$E$4="Fluid"),((CE7*CE$51)/(CE$54)),IF(AND(Results!$E$4="Cells",Results!$E$5="Million",$B$52="million"),((CE7*CE$51)/(CE$52)),"0")))))</f>
        <v>5.2502333333333331</v>
      </c>
      <c r="CF60" s="20">
        <f>IF(CF7=0,"0",IF(AND(Results!$E$5="Protein",$C$53&gt;0,OR(Results!$E$4="Tissue",Results!$E$4="Cells")),((CF7*CF$51)/(CF$53)),IF(AND(Results!$E$5="Weight",$C$52&gt;0, Results!$E$4="Tissue",OR($B$52="g",$B$52="mg")),((CF7*CF$51)/(CF$52)),IF(AND(Results!$E$5="Volume",$C$54&gt;0,Results!$E$4="Fluid"),((CF7*CF$51)/(CF$54)),IF(AND(Results!$E$4="Cells",Results!$E$5="Million",$B$52="million"),((CF7*CF$51)/(CF$52)),"0")))))</f>
        <v>2.4598500000000003</v>
      </c>
      <c r="CG60" s="20">
        <f>IF(CG7=0,"0",IF(AND(Results!$E$5="Protein",$C$53&gt;0,OR(Results!$E$4="Tissue",Results!$E$4="Cells")),((CG7*CG$51)/(CG$53)),IF(AND(Results!$E$5="Weight",$C$52&gt;0, Results!$E$4="Tissue",OR($B$52="g",$B$52="mg")),((CG7*CG$51)/(CG$52)),IF(AND(Results!$E$5="Volume",$C$54&gt;0,Results!$E$4="Fluid"),((CG7*CG$51)/(CG$54)),IF(AND(Results!$E$4="Cells",Results!$E$5="Million",$B$52="million"),((CG7*CG$51)/(CG$52)),"0")))))</f>
        <v>4.6652833333333339</v>
      </c>
      <c r="CH60" s="20">
        <f>IF(CH7=0,"0",IF(AND(Results!$E$5="Protein",$C$53&gt;0,OR(Results!$E$4="Tissue",Results!$E$4="Cells")),((CH7*CH$51)/(CH$53)),IF(AND(Results!$E$5="Weight",$C$52&gt;0, Results!$E$4="Tissue",OR($B$52="g",$B$52="mg")),((CH7*CH$51)/(CH$52)),IF(AND(Results!$E$5="Volume",$C$54&gt;0,Results!$E$4="Fluid"),((CH7*CH$51)/(CH$54)),IF(AND(Results!$E$4="Cells",Results!$E$5="Million",$B$52="million"),((CH7*CH$51)/(CH$52)),"0")))))</f>
        <v>12.717700000000001</v>
      </c>
      <c r="CI60" s="20">
        <f>IF(CI7=0,"0",IF(AND(Results!$E$5="Protein",$C$53&gt;0,OR(Results!$E$4="Tissue",Results!$E$4="Cells")),((CI7*CI$51)/(CI$53)),IF(AND(Results!$E$5="Weight",$C$52&gt;0, Results!$E$4="Tissue",OR($B$52="g",$B$52="mg")),((CI7*CI$51)/(CI$52)),IF(AND(Results!$E$5="Volume",$C$54&gt;0,Results!$E$4="Fluid"),((CI7*CI$51)/(CI$54)),IF(AND(Results!$E$4="Cells",Results!$E$5="Million",$B$52="million"),((CI7*CI$51)/(CI$52)),"0")))))</f>
        <v>10.380683333333334</v>
      </c>
      <c r="CJ60" s="20">
        <f>IF(CJ7=0,"0",IF(AND(Results!$E$5="Protein",$C$53&gt;0,OR(Results!$E$4="Tissue",Results!$E$4="Cells")),((CJ7*CJ$51)/(CJ$53)),IF(AND(Results!$E$5="Weight",$C$52&gt;0, Results!$E$4="Tissue",OR($B$52="g",$B$52="mg")),((CJ7*CJ$51)/(CJ$52)),IF(AND(Results!$E$5="Volume",$C$54&gt;0,Results!$E$4="Fluid"),((CJ7*CJ$51)/(CJ$54)),IF(AND(Results!$E$4="Cells",Results!$E$5="Million",$B$52="million"),((CJ7*CJ$51)/(CJ$52)),"0")))))</f>
        <v>3.0865111111111112</v>
      </c>
      <c r="CK60" s="20">
        <f>IF(CK7=0,"0",IF(AND(Results!$E$5="Protein",$C$53&gt;0,OR(Results!$E$4="Tissue",Results!$E$4="Cells")),((CK7*CK$51)/(CK$53)),IF(AND(Results!$E$5="Weight",$C$52&gt;0, Results!$E$4="Tissue",OR($B$52="g",$B$52="mg")),((CK7*CK$51)/(CK$52)),IF(AND(Results!$E$5="Volume",$C$54&gt;0,Results!$E$4="Fluid"),((CK7*CK$51)/(CK$54)),IF(AND(Results!$E$4="Cells",Results!$E$5="Million",$B$52="million"),((CK7*CK$51)/(CK$52)),"0")))))</f>
        <v>1.0974499999999998</v>
      </c>
      <c r="CL60" s="20">
        <f>IF(CL7=0,"0",IF(AND(Results!$E$5="Protein",$C$53&gt;0,OR(Results!$E$4="Tissue",Results!$E$4="Cells")),((CL7*CL$51)/(CL$53)),IF(AND(Results!$E$5="Weight",$C$52&gt;0, Results!$E$4="Tissue",OR($B$52="g",$B$52="mg")),((CL7*CL$51)/(CL$52)),IF(AND(Results!$E$5="Volume",$C$54&gt;0,Results!$E$4="Fluid"),((CL7*CL$51)/(CL$54)),IF(AND(Results!$E$4="Cells",Results!$E$5="Million",$B$52="million"),((CL7*CL$51)/(CL$52)),"0")))))</f>
        <v>2.2267833333333331</v>
      </c>
      <c r="CM60" s="20">
        <f>IF(CM7=0,"0",IF(AND(Results!$E$5="Protein",$C$53&gt;0,OR(Results!$E$4="Tissue",Results!$E$4="Cells")),((CM7*CM$51)/(CM$53)),IF(AND(Results!$E$5="Weight",$C$52&gt;0, Results!$E$4="Tissue",OR($B$52="g",$B$52="mg")),((CM7*CM$51)/(CM$52)),IF(AND(Results!$E$5="Volume",$C$54&gt;0,Results!$E$4="Fluid"),((CM7*CM$51)/(CM$54)),IF(AND(Results!$E$4="Cells",Results!$E$5="Million",$B$52="million"),((CM7*CM$51)/(CM$52)),"0")))))</f>
        <v>4.0452666666666666</v>
      </c>
      <c r="CN60" s="20">
        <f>IF(CN7=0,"0",IF(AND(Results!$E$5="Protein",$C$53&gt;0,OR(Results!$E$4="Tissue",Results!$E$4="Cells")),((CN7*CN$51)/(CN$53)),IF(AND(Results!$E$5="Weight",$C$52&gt;0, Results!$E$4="Tissue",OR($B$52="g",$B$52="mg")),((CN7*CN$51)/(CN$52)),IF(AND(Results!$E$5="Volume",$C$54&gt;0,Results!$E$4="Fluid"),((CN7*CN$51)/(CN$54)),IF(AND(Results!$E$4="Cells",Results!$E$5="Million",$B$52="million"),((CN7*CN$51)/(CN$52)),"0")))))</f>
        <v>2.8206333333333333</v>
      </c>
      <c r="CO60" s="20">
        <f>IF(CO7=0,"0",IF(AND(Results!$E$5="Protein",$C$53&gt;0,OR(Results!$E$4="Tissue",Results!$E$4="Cells")),((CO7*CO$51)/(CO$53)),IF(AND(Results!$E$5="Weight",$C$52&gt;0, Results!$E$4="Tissue",OR($B$52="g",$B$52="mg")),((CO7*CO$51)/(CO$52)),IF(AND(Results!$E$5="Volume",$C$54&gt;0,Results!$E$4="Fluid"),((CO7*CO$51)/(CO$54)),IF(AND(Results!$E$4="Cells",Results!$E$5="Million",$B$52="million"),((CO7*CO$51)/(CO$52)),"0")))))</f>
        <v>2.1495333333333333</v>
      </c>
      <c r="CP60" s="20">
        <f>IF(CP7=0,"0",IF(AND(Results!$E$5="Protein",$C$53&gt;0,OR(Results!$E$4="Tissue",Results!$E$4="Cells")),((CP7*CP$51)/(CP$53)),IF(AND(Results!$E$5="Weight",$C$52&gt;0, Results!$E$4="Tissue",OR($B$52="g",$B$52="mg")),((CP7*CP$51)/(CP$52)),IF(AND(Results!$E$5="Volume",$C$54&gt;0,Results!$E$4="Fluid"),((CP7*CP$51)/(CP$54)),IF(AND(Results!$E$4="Cells",Results!$E$5="Million",$B$52="million"),((CP7*CP$51)/(CP$52)),"0")))))</f>
        <v>3.2200833333333332</v>
      </c>
      <c r="CQ60" s="20">
        <f>IF(CQ7=0,"0",IF(AND(Results!$E$5="Protein",$C$53&gt;0,OR(Results!$E$4="Tissue",Results!$E$4="Cells")),((CQ7*CQ$51)/(CQ$53)),IF(AND(Results!$E$5="Weight",$C$52&gt;0, Results!$E$4="Tissue",OR($B$52="g",$B$52="mg")),((CQ7*CQ$51)/(CQ$52)),IF(AND(Results!$E$5="Volume",$C$54&gt;0,Results!$E$4="Fluid"),((CQ7*CQ$51)/(CQ$54)),IF(AND(Results!$E$4="Cells",Results!$E$5="Million",$B$52="million"),((CQ7*CQ$51)/(CQ$52)),"0")))))</f>
        <v>12.440733333333334</v>
      </c>
      <c r="CR60" s="20">
        <f>IF(CR7=0,"0",IF(AND(Results!$E$5="Protein",$C$53&gt;0,OR(Results!$E$4="Tissue",Results!$E$4="Cells")),((CR7*CR$51)/(CR$53)),IF(AND(Results!$E$5="Weight",$C$52&gt;0, Results!$E$4="Tissue",OR($B$52="g",$B$52="mg")),((CR7*CR$51)/(CR$52)),IF(AND(Results!$E$5="Volume",$C$54&gt;0,Results!$E$4="Fluid"),((CR7*CR$51)/(CR$54)),IF(AND(Results!$E$4="Cells",Results!$E$5="Million",$B$52="million"),((CR7*CR$51)/(CR$52)),"0")))))</f>
        <v>8.6179833333333349</v>
      </c>
      <c r="CS60" s="20">
        <f>IF(CS7=0,"0",IF(AND(Results!$E$5="Protein",$C$53&gt;0,OR(Results!$E$4="Tissue",Results!$E$4="Cells")),((CS7*CS$51)/(CS$53)),IF(AND(Results!$E$5="Weight",$C$52&gt;0, Results!$E$4="Tissue",OR($B$52="g",$B$52="mg")),((CS7*CS$51)/(CS$52)),IF(AND(Results!$E$5="Volume",$C$54&gt;0,Results!$E$4="Fluid"),((CS7*CS$51)/(CS$54)),IF(AND(Results!$E$4="Cells",Results!$E$5="Million",$B$52="million"),((CS7*CS$51)/(CS$52)),"0")))))</f>
        <v>2.5700166666666666</v>
      </c>
      <c r="CT60" s="20">
        <f>IF(CT7=0,"0",IF(AND(Results!$E$5="Protein",$C$53&gt;0,OR(Results!$E$4="Tissue",Results!$E$4="Cells")),((CT7*CT$51)/(CT$53)),IF(AND(Results!$E$5="Weight",$C$52&gt;0, Results!$E$4="Tissue",OR($B$52="g",$B$52="mg")),((CT7*CT$51)/(CT$52)),IF(AND(Results!$E$5="Volume",$C$54&gt;0,Results!$E$4="Fluid"),((CT7*CT$51)/(CT$54)),IF(AND(Results!$E$4="Cells",Results!$E$5="Million",$B$52="million"),((CT7*CT$51)/(CT$52)),"0")))))</f>
        <v>4.5895166666666665</v>
      </c>
      <c r="CU60" s="20">
        <f>IF(CU7=0,"0",IF(AND(Results!$E$5="Protein",$C$53&gt;0,OR(Results!$E$4="Tissue",Results!$E$4="Cells")),((CU7*CU$51)/(CU$53)),IF(AND(Results!$E$5="Weight",$C$52&gt;0, Results!$E$4="Tissue",OR($B$52="g",$B$52="mg")),((CU7*CU$51)/(CU$52)),IF(AND(Results!$E$5="Volume",$C$54&gt;0,Results!$E$4="Fluid"),((CU7*CU$51)/(CU$54)),IF(AND(Results!$E$4="Cells",Results!$E$5="Million",$B$52="million"),((CU7*CU$51)/(CU$52)),"0")))))</f>
        <v>1.9881166666666665</v>
      </c>
      <c r="CV60" s="20">
        <f>IF(CV7=0,"0",IF(AND(Results!$E$5="Protein",$C$53&gt;0,OR(Results!$E$4="Tissue",Results!$E$4="Cells")),((CV7*CV$51)/(CV$53)),IF(AND(Results!$E$5="Weight",$C$52&gt;0, Results!$E$4="Tissue",OR($B$52="g",$B$52="mg")),((CV7*CV$51)/(CV$52)),IF(AND(Results!$E$5="Volume",$C$54&gt;0,Results!$E$4="Fluid"),((CV7*CV$51)/(CV$54)),IF(AND(Results!$E$4="Cells",Results!$E$5="Million",$B$52="million"),((CV7*CV$51)/(CV$52)),"0")))))</f>
        <v>1.8176833333333335</v>
      </c>
      <c r="CW60" s="20">
        <f>IF(CW7=0,"0",IF(AND(Results!$E$5="Protein",$C$53&gt;0,OR(Results!$E$4="Tissue",Results!$E$4="Cells")),((CW7*CW$51)/(CW$53)),IF(AND(Results!$E$5="Weight",$C$52&gt;0, Results!$E$4="Tissue",OR($B$52="g",$B$52="mg")),((CW7*CW$51)/(CW$52)),IF(AND(Results!$E$5="Volume",$C$54&gt;0,Results!$E$4="Fluid"),((CW7*CW$51)/(CW$54)),IF(AND(Results!$E$4="Cells",Results!$E$5="Million",$B$52="million"),((CW7*CW$51)/(CW$52)),"0")))))</f>
        <v>3.2670999999999997</v>
      </c>
      <c r="CX60" s="20">
        <f>IF(CX7=0,"0",IF(AND(Results!$E$5="Protein",$C$53&gt;0,OR(Results!$E$4="Tissue",Results!$E$4="Cells")),((CX7*CX$51)/(CX$53)),IF(AND(Results!$E$5="Weight",$C$52&gt;0, Results!$E$4="Tissue",OR($B$52="g",$B$52="mg")),((CX7*CX$51)/(CX$52)),IF(AND(Results!$E$5="Volume",$C$54&gt;0,Results!$E$4="Fluid"),((CX7*CX$51)/(CX$54)),IF(AND(Results!$E$4="Cells",Results!$E$5="Million",$B$52="million"),((CX7*CX$51)/(CX$52)),"0")))))</f>
        <v>5.218866666666667</v>
      </c>
      <c r="CY60" s="20">
        <f>IF(CY7=0,"0",IF(AND(Results!$E$5="Protein",$C$53&gt;0,OR(Results!$E$4="Tissue",Results!$E$4="Cells")),((CY7*CY$51)/(CY$53)),IF(AND(Results!$E$5="Weight",$C$52&gt;0, Results!$E$4="Tissue",OR($B$52="g",$B$52="mg")),((CY7*CY$51)/(CY$52)),IF(AND(Results!$E$5="Volume",$C$54&gt;0,Results!$E$4="Fluid"),((CY7*CY$51)/(CY$54)),IF(AND(Results!$E$4="Cells",Results!$E$5="Million",$B$52="million"),((CY7*CY$51)/(CY$52)),"0")))))</f>
        <v>2.1505833333333331</v>
      </c>
      <c r="CZ60" s="20">
        <f>IF(CZ7=0,"0",IF(AND(Results!$E$5="Protein",$C$53&gt;0,OR(Results!$E$4="Tissue",Results!$E$4="Cells")),((CZ7*CZ$51)/(CZ$53)),IF(AND(Results!$E$5="Weight",$C$52&gt;0, Results!$E$4="Tissue",OR($B$52="g",$B$52="mg")),((CZ7*CZ$51)/(CZ$52)),IF(AND(Results!$E$5="Volume",$C$54&gt;0,Results!$E$4="Fluid"),((CZ7*CZ$51)/(CZ$54)),IF(AND(Results!$E$4="Cells",Results!$E$5="Million",$B$52="million"),((CZ7*CZ$51)/(CZ$52)),"0")))))</f>
        <v>1.0835666666666668</v>
      </c>
      <c r="DA60" s="20">
        <f>IF(DA7=0,"0",IF(AND(Results!$E$5="Protein",$C$53&gt;0,OR(Results!$E$4="Tissue",Results!$E$4="Cells")),((DA7*DA$51)/(DA$53)),IF(AND(Results!$E$5="Weight",$C$52&gt;0, Results!$E$4="Tissue",OR($B$52="g",$B$52="mg")),((DA7*DA$51)/(DA$52)),IF(AND(Results!$E$5="Volume",$C$54&gt;0,Results!$E$4="Fluid"),((DA7*DA$51)/(DA$54)),IF(AND(Results!$E$4="Cells",Results!$E$5="Million",$B$52="million"),((DA7*DA$51)/(DA$52)),"0")))))</f>
        <v>3.0396333333333332</v>
      </c>
      <c r="DB60" s="20">
        <f>IF(DB7=0,"0",IF(AND(Results!$E$5="Protein",$C$53&gt;0,OR(Results!$E$4="Tissue",Results!$E$4="Cells")),((DB7*DB$51)/(DB$53)),IF(AND(Results!$E$5="Weight",$C$52&gt;0, Results!$E$4="Tissue",OR($B$52="g",$B$52="mg")),((DB7*DB$51)/(DB$52)),IF(AND(Results!$E$5="Volume",$C$54&gt;0,Results!$E$4="Fluid"),((DB7*DB$51)/(DB$54)),IF(AND(Results!$E$4="Cells",Results!$E$5="Million",$B$52="million"),((DB7*DB$51)/(DB$52)),"0")))))</f>
        <v>0.6879333333333334</v>
      </c>
      <c r="DC60" s="20">
        <f>IF(DC7=0,"0",IF(AND(Results!$E$5="Protein",$C$53&gt;0,OR(Results!$E$4="Tissue",Results!$E$4="Cells")),((DC7*DC$51)/(DC$53)),IF(AND(Results!$E$5="Weight",$C$52&gt;0, Results!$E$4="Tissue",OR($B$52="g",$B$52="mg")),((DC7*DC$51)/(DC$52)),IF(AND(Results!$E$5="Volume",$C$54&gt;0,Results!$E$4="Fluid"),((DC7*DC$51)/(DC$54)),IF(AND(Results!$E$4="Cells",Results!$E$5="Million",$B$52="million"),((DC7*DC$51)/(DC$52)),"0")))))</f>
        <v>1.8708833333333337</v>
      </c>
      <c r="DD60" s="20">
        <f>IF(DD7=0,"0",IF(AND(Results!$E$5="Protein",$C$53&gt;0,OR(Results!$E$4="Tissue",Results!$E$4="Cells")),((DD7*DD$51)/(DD$53)),IF(AND(Results!$E$5="Weight",$C$52&gt;0, Results!$E$4="Tissue",OR($B$52="g",$B$52="mg")),((DD7*DD$51)/(DD$52)),IF(AND(Results!$E$5="Volume",$C$54&gt;0,Results!$E$4="Fluid"),((DD7*DD$51)/(DD$54)),IF(AND(Results!$E$4="Cells",Results!$E$5="Million",$B$52="million"),((DD7*DD$51)/(DD$52)),"0")))))</f>
        <v>1.2491333333333332</v>
      </c>
      <c r="DE60" s="20">
        <f>IF(DE7=0,"0",IF(AND(Results!$E$5="Protein",$C$53&gt;0,OR(Results!$E$4="Tissue",Results!$E$4="Cells")),((DE7*DE$51)/(DE$53)),IF(AND(Results!$E$5="Weight",$C$52&gt;0, Results!$E$4="Tissue",OR($B$52="g",$B$52="mg")),((DE7*DE$51)/(DE$52)),IF(AND(Results!$E$5="Volume",$C$54&gt;0,Results!$E$4="Fluid"),((DE7*DE$51)/(DE$54)),IF(AND(Results!$E$4="Cells",Results!$E$5="Million",$B$52="million"),((DE7*DE$51)/(DE$52)),"0")))))</f>
        <v>6.79155</v>
      </c>
      <c r="DF60" s="20">
        <f>IF(DF7=0,"0",IF(AND(Results!$E$5="Protein",$C$53&gt;0,OR(Results!$E$4="Tissue",Results!$E$4="Cells")),((DF7*DF$51)/(DF$53)),IF(AND(Results!$E$5="Weight",$C$52&gt;0, Results!$E$4="Tissue",OR($B$52="g",$B$52="mg")),((DF7*DF$51)/(DF$52)),IF(AND(Results!$E$5="Volume",$C$54&gt;0,Results!$E$4="Fluid"),((DF7*DF$51)/(DF$54)),IF(AND(Results!$E$4="Cells",Results!$E$5="Million",$B$52="million"),((DF7*DF$51)/(DF$52)),"0")))))</f>
        <v>0.45093333333333335</v>
      </c>
      <c r="DG60" s="20">
        <f>IF(DG7=0,"0",IF(AND(Results!$E$5="Protein",$C$53&gt;0,OR(Results!$E$4="Tissue",Results!$E$4="Cells")),((DG7*DG$51)/(DG$53)),IF(AND(Results!$E$5="Weight",$C$52&gt;0, Results!$E$4="Tissue",OR($B$52="g",$B$52="mg")),((DG7*DG$51)/(DG$52)),IF(AND(Results!$E$5="Volume",$C$54&gt;0,Results!$E$4="Fluid"),((DG7*DG$51)/(DG$54)),IF(AND(Results!$E$4="Cells",Results!$E$5="Million",$B$52="million"),((DG7*DG$51)/(DG$52)),"0")))))</f>
        <v>2.7001000000000004</v>
      </c>
      <c r="DH60" s="20">
        <f>IF(DH7=0,"0",IF(AND(Results!$E$5="Protein",$C$53&gt;0,OR(Results!$E$4="Tissue",Results!$E$4="Cells")),((DH7*DH$51)/(DH$53)),IF(AND(Results!$E$5="Weight",$C$52&gt;0, Results!$E$4="Tissue",OR($B$52="g",$B$52="mg")),((DH7*DH$51)/(DH$52)),IF(AND(Results!$E$5="Volume",$C$54&gt;0,Results!$E$4="Fluid"),((DH7*DH$51)/(DH$54)),IF(AND(Results!$E$4="Cells",Results!$E$5="Million",$B$52="million"),((DH7*DH$51)/(DH$52)),"0")))))</f>
        <v>0.68399999999999994</v>
      </c>
      <c r="DI60" s="20">
        <f>IF(DI7=0,"0",IF(AND(Results!$E$5="Protein",$C$53&gt;0,OR(Results!$E$4="Tissue",Results!$E$4="Cells")),((DI7*DI$51)/(DI$53)),IF(AND(Results!$E$5="Weight",$C$52&gt;0, Results!$E$4="Tissue",OR($B$52="g",$B$52="mg")),((DI7*DI$51)/(DI$52)),IF(AND(Results!$E$5="Volume",$C$54&gt;0,Results!$E$4="Fluid"),((DI7*DI$51)/(DI$54)),IF(AND(Results!$E$4="Cells",Results!$E$5="Million",$B$52="million"),((DI7*DI$51)/(DI$52)),"0")))))</f>
        <v>5.9015666666666666</v>
      </c>
      <c r="DJ60" s="20">
        <f>IF(DJ7=0,"0",IF(AND(Results!$E$5="Protein",$C$53&gt;0,OR(Results!$E$4="Tissue",Results!$E$4="Cells")),((DJ7*DJ$51)/(DJ$53)),IF(AND(Results!$E$5="Weight",$C$52&gt;0, Results!$E$4="Tissue",OR($B$52="g",$B$52="mg")),((DJ7*DJ$51)/(DJ$52)),IF(AND(Results!$E$5="Volume",$C$54&gt;0,Results!$E$4="Fluid"),((DJ7*DJ$51)/(DJ$54)),IF(AND(Results!$E$4="Cells",Results!$E$5="Million",$B$52="million"),((DJ7*DJ$51)/(DJ$52)),"0")))))</f>
        <v>4.5520666666666667</v>
      </c>
      <c r="DK60" s="20">
        <f>IF(DK7=0,"0",IF(AND(Results!$E$5="Protein",$C$53&gt;0,OR(Results!$E$4="Tissue",Results!$E$4="Cells")),((DK7*DK$51)/(DK$53)),IF(AND(Results!$E$5="Weight",$C$52&gt;0, Results!$E$4="Tissue",OR($B$52="g",$B$52="mg")),((DK7*DK$51)/(DK$52)),IF(AND(Results!$E$5="Volume",$C$54&gt;0,Results!$E$4="Fluid"),((DK7*DK$51)/(DK$54)),IF(AND(Results!$E$4="Cells",Results!$E$5="Million",$B$52="million"),((DK7*DK$51)/(DK$52)),"0")))))</f>
        <v>26.29623333333333</v>
      </c>
      <c r="DL60" s="20">
        <f>IF(DL7=0,"0",IF(AND(Results!$E$5="Protein",$C$53&gt;0,OR(Results!$E$4="Tissue",Results!$E$4="Cells")),((DL7*DL$51)/(DL$53)),IF(AND(Results!$E$5="Weight",$C$52&gt;0, Results!$E$4="Tissue",OR($B$52="g",$B$52="mg")),((DL7*DL$51)/(DL$52)),IF(AND(Results!$E$5="Volume",$C$54&gt;0,Results!$E$4="Fluid"),((DL7*DL$51)/(DL$54)),IF(AND(Results!$E$4="Cells",Results!$E$5="Million",$B$52="million"),((DL7*DL$51)/(DL$52)),"0")))))</f>
        <v>1.1548833333333333</v>
      </c>
      <c r="DM60" s="20">
        <f>IF(DM7=0,"0",IF(AND(Results!$E$5="Protein",$C$53&gt;0,OR(Results!$E$4="Tissue",Results!$E$4="Cells")),((DM7*DM$51)/(DM$53)),IF(AND(Results!$E$5="Weight",$C$52&gt;0, Results!$E$4="Tissue",OR($B$52="g",$B$52="mg")),((DM7*DM$51)/(DM$52)),IF(AND(Results!$E$5="Volume",$C$54&gt;0,Results!$E$4="Fluid"),((DM7*DM$51)/(DM$54)),IF(AND(Results!$E$4="Cells",Results!$E$5="Million",$B$52="million"),((DM7*DM$51)/(DM$52)),"0")))))</f>
        <v>4.2235500000000004</v>
      </c>
      <c r="DN60" s="20">
        <f>IF(DN7=0,"0",IF(AND(Results!$E$5="Protein",$C$53&gt;0,OR(Results!$E$4="Tissue",Results!$E$4="Cells")),((DN7*DN$51)/(DN$53)),IF(AND(Results!$E$5="Weight",$C$52&gt;0, Results!$E$4="Tissue",OR($B$52="g",$B$52="mg")),((DN7*DN$51)/(DN$52)),IF(AND(Results!$E$5="Volume",$C$54&gt;0,Results!$E$4="Fluid"),((DN7*DN$51)/(DN$54)),IF(AND(Results!$E$4="Cells",Results!$E$5="Million",$B$52="million"),((DN7*DN$51)/(DN$52)),"0")))))</f>
        <v>2.0501833333333335</v>
      </c>
      <c r="DO60" s="20">
        <f>IF(DO7=0,"0",IF(AND(Results!$E$5="Protein",$C$53&gt;0,OR(Results!$E$4="Tissue",Results!$E$4="Cells")),((DO7*DO$51)/(DO$53)),IF(AND(Results!$E$5="Weight",$C$52&gt;0, Results!$E$4="Tissue",OR($B$52="g",$B$52="mg")),((DO7*DO$51)/(DO$52)),IF(AND(Results!$E$5="Volume",$C$54&gt;0,Results!$E$4="Fluid"),((DO7*DO$51)/(DO$54)),IF(AND(Results!$E$4="Cells",Results!$E$5="Million",$B$52="million"),((DO7*DO$51)/(DO$52)),"0")))))</f>
        <v>1.5254333333333332</v>
      </c>
      <c r="DP60" s="20">
        <f>IF(DP7=0,"0",IF(AND(Results!$E$5="Protein",$C$53&gt;0,OR(Results!$E$4="Tissue",Results!$E$4="Cells")),((DP7*DP$51)/(DP$53)),IF(AND(Results!$E$5="Weight",$C$52&gt;0, Results!$E$4="Tissue",OR($B$52="g",$B$52="mg")),((DP7*DP$51)/(DP$52)),IF(AND(Results!$E$5="Volume",$C$54&gt;0,Results!$E$4="Fluid"),((DP7*DP$51)/(DP$54)),IF(AND(Results!$E$4="Cells",Results!$E$5="Million",$B$52="million"),((DP7*DP$51)/(DP$52)),"0")))))</f>
        <v>10.295583333333333</v>
      </c>
      <c r="DQ60" s="20">
        <f>IF(DQ7=0,"0",IF(AND(Results!$E$5="Protein",$C$53&gt;0,OR(Results!$E$4="Tissue",Results!$E$4="Cells")),((DQ7*DQ$51)/(DQ$53)),IF(AND(Results!$E$5="Weight",$C$52&gt;0, Results!$E$4="Tissue",OR($B$52="g",$B$52="mg")),((DQ7*DQ$51)/(DQ$52)),IF(AND(Results!$E$5="Volume",$C$54&gt;0,Results!$E$4="Fluid"),((DQ7*DQ$51)/(DQ$54)),IF(AND(Results!$E$4="Cells",Results!$E$5="Million",$B$52="million"),((DQ7*DQ$51)/(DQ$52)),"0")))))</f>
        <v>2.4192833333333335</v>
      </c>
      <c r="DR60" s="20">
        <f>IF(DR7=0,"0",IF(AND(Results!$E$5="Protein",$C$53&gt;0,OR(Results!$E$4="Tissue",Results!$E$4="Cells")),((DR7*DR$51)/(DR$53)),IF(AND(Results!$E$5="Weight",$C$52&gt;0, Results!$E$4="Tissue",OR($B$52="g",$B$52="mg")),((DR7*DR$51)/(DR$52)),IF(AND(Results!$E$5="Volume",$C$54&gt;0,Results!$E$4="Fluid"),((DR7*DR$51)/(DR$54)),IF(AND(Results!$E$4="Cells",Results!$E$5="Million",$B$52="million"),((DR7*DR$51)/(DR$52)),"0")))))</f>
        <v>1.3734666666666666</v>
      </c>
      <c r="DS60" s="20">
        <f>IF(DS7=0,"0",IF(AND(Results!$E$5="Protein",$C$53&gt;0,OR(Results!$E$4="Tissue",Results!$E$4="Cells")),((DS7*DS$51)/(DS$53)),IF(AND(Results!$E$5="Weight",$C$52&gt;0, Results!$E$4="Tissue",OR($B$52="g",$B$52="mg")),((DS7*DS$51)/(DS$52)),IF(AND(Results!$E$5="Volume",$C$54&gt;0,Results!$E$4="Fluid"),((DS7*DS$51)/(DS$54)),IF(AND(Results!$E$4="Cells",Results!$E$5="Million",$B$52="million"),((DS7*DS$51)/(DS$52)),"0")))))</f>
        <v>4.6083166666666662</v>
      </c>
      <c r="DT60" s="20">
        <f>IF(DT7=0,"0",IF(AND(Results!$E$5="Protein",$C$53&gt;0,OR(Results!$E$4="Tissue",Results!$E$4="Cells")),((DT7*DT$51)/(DT$53)),IF(AND(Results!$E$5="Weight",$C$52&gt;0, Results!$E$4="Tissue",OR($B$52="g",$B$52="mg")),((DT7*DT$51)/(DT$52)),IF(AND(Results!$E$5="Volume",$C$54&gt;0,Results!$E$4="Fluid"),((DT7*DT$51)/(DT$54)),IF(AND(Results!$E$4="Cells",Results!$E$5="Million",$B$52="million"),((DT7*DT$51)/(DT$52)),"0")))))</f>
        <v>8.0038999999999998</v>
      </c>
      <c r="DU60" s="20">
        <f>IF(DU7=0,"0",IF(AND(Results!$E$5="Protein",$C$53&gt;0,OR(Results!$E$4="Tissue",Results!$E$4="Cells")),((DU7*DU$51)/(DU$53)),IF(AND(Results!$E$5="Weight",$C$52&gt;0, Results!$E$4="Tissue",OR($B$52="g",$B$52="mg")),((DU7*DU$51)/(DU$52)),IF(AND(Results!$E$5="Volume",$C$54&gt;0,Results!$E$4="Fluid"),((DU7*DU$51)/(DU$54)),IF(AND(Results!$E$4="Cells",Results!$E$5="Million",$B$52="million"),((DU7*DU$51)/(DU$52)),"0")))))</f>
        <v>0.55554999999999999</v>
      </c>
      <c r="DV60" s="20">
        <f>IF(DV7=0,"0",IF(AND(Results!$E$5="Protein",$C$53&gt;0,OR(Results!$E$4="Tissue",Results!$E$4="Cells")),((DV7*DV$51)/(DV$53)),IF(AND(Results!$E$5="Weight",$C$52&gt;0, Results!$E$4="Tissue",OR($B$52="g",$B$52="mg")),((DV7*DV$51)/(DV$52)),IF(AND(Results!$E$5="Volume",$C$54&gt;0,Results!$E$4="Fluid"),((DV7*DV$51)/(DV$54)),IF(AND(Results!$E$4="Cells",Results!$E$5="Million",$B$52="million"),((DV7*DV$51)/(DV$52)),"0")))))</f>
        <v>2.6311166666666663</v>
      </c>
      <c r="DW60" s="20">
        <f>IF(DW7=0,"0",IF(AND(Results!$E$5="Protein",$C$53&gt;0,OR(Results!$E$4="Tissue",Results!$E$4="Cells")),((DW7*DW$51)/(DW$53)),IF(AND(Results!$E$5="Weight",$C$52&gt;0, Results!$E$4="Tissue",OR($B$52="g",$B$52="mg")),((DW7*DW$51)/(DW$52)),IF(AND(Results!$E$5="Volume",$C$54&gt;0,Results!$E$4="Fluid"),((DW7*DW$51)/(DW$54)),IF(AND(Results!$E$4="Cells",Results!$E$5="Million",$B$52="million"),((DW7*DW$51)/(DW$52)),"0")))))</f>
        <v>6.1408166666666668</v>
      </c>
      <c r="DX60" s="20">
        <f>IF(DX7=0,"0",IF(AND(Results!$E$5="Protein",$C$53&gt;0,OR(Results!$E$4="Tissue",Results!$E$4="Cells")),((DX7*DX$51)/(DX$53)),IF(AND(Results!$E$5="Weight",$C$52&gt;0, Results!$E$4="Tissue",OR($B$52="g",$B$52="mg")),((DX7*DX$51)/(DX$52)),IF(AND(Results!$E$5="Volume",$C$54&gt;0,Results!$E$4="Fluid"),((DX7*DX$51)/(DX$54)),IF(AND(Results!$E$4="Cells",Results!$E$5="Million",$B$52="million"),((DX7*DX$51)/(DX$52)),"0")))))</f>
        <v>5.4051500000000008</v>
      </c>
      <c r="DY60" s="20">
        <f>IF(DY7=0,"0",IF(AND(Results!$E$5="Protein",$C$53&gt;0,OR(Results!$E$4="Tissue",Results!$E$4="Cells")),((DY7*DY$51)/(DY$53)),IF(AND(Results!$E$5="Weight",$C$52&gt;0, Results!$E$4="Tissue",OR($B$52="g",$B$52="mg")),((DY7*DY$51)/(DY$52)),IF(AND(Results!$E$5="Volume",$C$54&gt;0,Results!$E$4="Fluid"),((DY7*DY$51)/(DY$54)),IF(AND(Results!$E$4="Cells",Results!$E$5="Million",$B$52="million"),((DY7*DY$51)/(DY$52)),"0")))))</f>
        <v>3.3294000000000001</v>
      </c>
      <c r="DZ60" s="20">
        <f>IF(DZ7=0,"0",IF(AND(Results!$E$5="Protein",$C$53&gt;0,OR(Results!$E$4="Tissue",Results!$E$4="Cells")),((DZ7*DZ$51)/(DZ$53)),IF(AND(Results!$E$5="Weight",$C$52&gt;0, Results!$E$4="Tissue",OR($B$52="g",$B$52="mg")),((DZ7*DZ$51)/(DZ$52)),IF(AND(Results!$E$5="Volume",$C$54&gt;0,Results!$E$4="Fluid"),((DZ7*DZ$51)/(DZ$54)),IF(AND(Results!$E$4="Cells",Results!$E$5="Million",$B$52="million"),((DZ7*DZ$51)/(DZ$52)),"0")))))</f>
        <v>1.7408499999999998</v>
      </c>
      <c r="EA60" s="20">
        <f>IF(EA7=0,"0",IF(AND(Results!$E$5="Protein",$C$53&gt;0,OR(Results!$E$4="Tissue",Results!$E$4="Cells")),((EA7*EA$51)/(EA$53)),IF(AND(Results!$E$5="Weight",$C$52&gt;0, Results!$E$4="Tissue",OR($B$52="g",$B$52="mg")),((EA7*EA$51)/(EA$52)),IF(AND(Results!$E$5="Volume",$C$54&gt;0,Results!$E$4="Fluid"),((EA7*EA$51)/(EA$54)),IF(AND(Results!$E$4="Cells",Results!$E$5="Million",$B$52="million"),((EA7*EA$51)/(EA$52)),"0")))))</f>
        <v>1.7896333333333334</v>
      </c>
      <c r="EB60" s="20">
        <f>IF(EB7=0,"0",IF(AND(Results!$E$5="Protein",$C$53&gt;0,OR(Results!$E$4="Tissue",Results!$E$4="Cells")),((EB7*EB$51)/(EB$53)),IF(AND(Results!$E$5="Weight",$C$52&gt;0, Results!$E$4="Tissue",OR($B$52="g",$B$52="mg")),((EB7*EB$51)/(EB$52)),IF(AND(Results!$E$5="Volume",$C$54&gt;0,Results!$E$4="Fluid"),((EB7*EB$51)/(EB$54)),IF(AND(Results!$E$4="Cells",Results!$E$5="Million",$B$52="million"),((EB7*EB$51)/(EB$52)),"0")))))</f>
        <v>2.5891499999999996</v>
      </c>
      <c r="EC60" s="20">
        <f>IF(EC7=0,"0",IF(AND(Results!$E$5="Protein",$C$53&gt;0,OR(Results!$E$4="Tissue",Results!$E$4="Cells")),((EC7*EC$51)/(EC$53)),IF(AND(Results!$E$5="Weight",$C$52&gt;0, Results!$E$4="Tissue",OR($B$52="g",$B$52="mg")),((EC7*EC$51)/(EC$52)),IF(AND(Results!$E$5="Volume",$C$54&gt;0,Results!$E$4="Fluid"),((EC7*EC$51)/(EC$54)),IF(AND(Results!$E$4="Cells",Results!$E$5="Million",$B$52="million"),((EC7*EC$51)/(EC$52)),"0")))))</f>
        <v>1.3482333333333332</v>
      </c>
      <c r="ED60" s="20">
        <f>IF(ED7=0,"0",IF(AND(Results!$E$5="Protein",$C$53&gt;0,OR(Results!$E$4="Tissue",Results!$E$4="Cells")),((ED7*ED$51)/(ED$53)),IF(AND(Results!$E$5="Weight",$C$52&gt;0, Results!$E$4="Tissue",OR($B$52="g",$B$52="mg")),((ED7*ED$51)/(ED$52)),IF(AND(Results!$E$5="Volume",$C$54&gt;0,Results!$E$4="Fluid"),((ED7*ED$51)/(ED$54)),IF(AND(Results!$E$4="Cells",Results!$E$5="Million",$B$52="million"),((ED7*ED$51)/(ED$52)),"0")))))</f>
        <v>5.2848166666666669</v>
      </c>
      <c r="EE60" s="20">
        <f>IF(EE7=0,"0",IF(AND(Results!$E$5="Protein",$C$53&gt;0,OR(Results!$E$4="Tissue",Results!$E$4="Cells")),((EE7*EE$51)/(EE$53)),IF(AND(Results!$E$5="Weight",$C$52&gt;0, Results!$E$4="Tissue",OR($B$52="g",$B$52="mg")),((EE7*EE$51)/(EE$52)),IF(AND(Results!$E$5="Volume",$C$54&gt;0,Results!$E$4="Fluid"),((EE7*EE$51)/(EE$54)),IF(AND(Results!$E$4="Cells",Results!$E$5="Million",$B$52="million"),((EE7*EE$51)/(EE$52)),"0")))))</f>
        <v>1.1072666666666668</v>
      </c>
      <c r="EF60" s="20">
        <f>IF(EF7=0,"0",IF(AND(Results!$E$5="Protein",$C$53&gt;0,OR(Results!$E$4="Tissue",Results!$E$4="Cells")),((EF7*EF$51)/(EF$53)),IF(AND(Results!$E$5="Weight",$C$52&gt;0, Results!$E$4="Tissue",OR($B$52="g",$B$52="mg")),((EF7*EF$51)/(EF$52)),IF(AND(Results!$E$5="Volume",$C$54&gt;0,Results!$E$4="Fluid"),((EF7*EF$51)/(EF$54)),IF(AND(Results!$E$4="Cells",Results!$E$5="Million",$B$52="million"),((EF7*EF$51)/(EF$52)),"0")))))</f>
        <v>2.5343166666666668</v>
      </c>
      <c r="EG60" s="20">
        <f>IF(EG7=0,"0",IF(AND(Results!$E$5="Protein",$C$53&gt;0,OR(Results!$E$4="Tissue",Results!$E$4="Cells")),((EG7*EG$51)/(EG$53)),IF(AND(Results!$E$5="Weight",$C$52&gt;0, Results!$E$4="Tissue",OR($B$52="g",$B$52="mg")),((EG7*EG$51)/(EG$52)),IF(AND(Results!$E$5="Volume",$C$54&gt;0,Results!$E$4="Fluid"),((EG7*EG$51)/(EG$54)),IF(AND(Results!$E$4="Cells",Results!$E$5="Million",$B$52="million"),((EG7*EG$51)/(EG$52)),"0")))))</f>
        <v>4.6315333333333335</v>
      </c>
      <c r="EH60" s="20">
        <f>IF(EH7=0,"0",IF(AND(Results!$E$5="Protein",$C$53&gt;0,OR(Results!$E$4="Tissue",Results!$E$4="Cells")),((EH7*EH$51)/(EH$53)),IF(AND(Results!$E$5="Weight",$C$52&gt;0, Results!$E$4="Tissue",OR($B$52="g",$B$52="mg")),((EH7*EH$51)/(EH$52)),IF(AND(Results!$E$5="Volume",$C$54&gt;0,Results!$E$4="Fluid"),((EH7*EH$51)/(EH$54)),IF(AND(Results!$E$4="Cells",Results!$E$5="Million",$B$52="million"),((EH7*EH$51)/(EH$52)),"0")))))</f>
        <v>0.89990000000000003</v>
      </c>
      <c r="EI60" s="20">
        <f>IF(EI7=0,"0",IF(AND(Results!$E$5="Protein",$C$53&gt;0,OR(Results!$E$4="Tissue",Results!$E$4="Cells")),((EI7*EI$51)/(EI$53)),IF(AND(Results!$E$5="Weight",$C$52&gt;0, Results!$E$4="Tissue",OR($B$52="g",$B$52="mg")),((EI7*EI$51)/(EI$52)),IF(AND(Results!$E$5="Volume",$C$54&gt;0,Results!$E$4="Fluid"),((EI7*EI$51)/(EI$54)),IF(AND(Results!$E$4="Cells",Results!$E$5="Million",$B$52="million"),((EI7*EI$51)/(EI$52)),"0")))))</f>
        <v>1.5168666666666666</v>
      </c>
      <c r="EJ60" s="20">
        <f>IF(EJ7=0,"0",IF(AND(Results!$E$5="Protein",$C$53&gt;0,OR(Results!$E$4="Tissue",Results!$E$4="Cells")),((EJ7*EJ$51)/(EJ$53)),IF(AND(Results!$E$5="Weight",$C$52&gt;0, Results!$E$4="Tissue",OR($B$52="g",$B$52="mg")),((EJ7*EJ$51)/(EJ$52)),IF(AND(Results!$E$5="Volume",$C$54&gt;0,Results!$E$4="Fluid"),((EJ7*EJ$51)/(EJ$54)),IF(AND(Results!$E$4="Cells",Results!$E$5="Million",$B$52="million"),((EJ7*EJ$51)/(EJ$52)),"0")))))</f>
        <v>10.573649999999999</v>
      </c>
      <c r="EK60" s="20">
        <f>IF(EK7=0,"0",IF(AND(Results!$E$5="Protein",$C$53&gt;0,OR(Results!$E$4="Tissue",Results!$E$4="Cells")),((EK7*EK$51)/(EK$53)),IF(AND(Results!$E$5="Weight",$C$52&gt;0, Results!$E$4="Tissue",OR($B$52="g",$B$52="mg")),((EK7*EK$51)/(EK$52)),IF(AND(Results!$E$5="Volume",$C$54&gt;0,Results!$E$4="Fluid"),((EK7*EK$51)/(EK$54)),IF(AND(Results!$E$4="Cells",Results!$E$5="Million",$B$52="million"),((EK7*EK$51)/(EK$52)),"0")))))</f>
        <v>1.0496833333333333</v>
      </c>
      <c r="EL60" s="20">
        <f>IF(EL7=0,"0",IF(AND(Results!$E$5="Protein",$C$53&gt;0,OR(Results!$E$4="Tissue",Results!$E$4="Cells")),((EL7*EL$51)/(EL$53)),IF(AND(Results!$E$5="Weight",$C$52&gt;0, Results!$E$4="Tissue",OR($B$52="g",$B$52="mg")),((EL7*EL$51)/(EL$52)),IF(AND(Results!$E$5="Volume",$C$54&gt;0,Results!$E$4="Fluid"),((EL7*EL$51)/(EL$54)),IF(AND(Results!$E$4="Cells",Results!$E$5="Million",$B$52="million"),((EL7*EL$51)/(EL$52)),"0")))))</f>
        <v>4.4422333333333333</v>
      </c>
      <c r="EM60" s="20">
        <f>IF(EM7=0,"0",IF(AND(Results!$E$5="Protein",$C$53&gt;0,OR(Results!$E$4="Tissue",Results!$E$4="Cells")),((EM7*EM$51)/(EM$53)),IF(AND(Results!$E$5="Weight",$C$52&gt;0, Results!$E$4="Tissue",OR($B$52="g",$B$52="mg")),((EM7*EM$51)/(EM$52)),IF(AND(Results!$E$5="Volume",$C$54&gt;0,Results!$E$4="Fluid"),((EM7*EM$51)/(EM$54)),IF(AND(Results!$E$4="Cells",Results!$E$5="Million",$B$52="million"),((EM7*EM$51)/(EM$52)),"0")))))</f>
        <v>26.979416666666665</v>
      </c>
      <c r="EN60" s="20">
        <f>IF(EN7=0,"0",IF(AND(Results!$E$5="Protein",$C$53&gt;0,OR(Results!$E$4="Tissue",Results!$E$4="Cells")),((EN7*EN$51)/(EN$53)),IF(AND(Results!$E$5="Weight",$C$52&gt;0, Results!$E$4="Tissue",OR($B$52="g",$B$52="mg")),((EN7*EN$51)/(EN$52)),IF(AND(Results!$E$5="Volume",$C$54&gt;0,Results!$E$4="Fluid"),((EN7*EN$51)/(EN$54)),IF(AND(Results!$E$4="Cells",Results!$E$5="Million",$B$52="million"),((EN7*EN$51)/(EN$52)),"0")))))</f>
        <v>1.1307666666666667</v>
      </c>
      <c r="EO60" s="20">
        <f>IF(EO7=0,"0",IF(AND(Results!$E$5="Protein",$C$53&gt;0,OR(Results!$E$4="Tissue",Results!$E$4="Cells")),((EO7*EO$51)/(EO$53)),IF(AND(Results!$E$5="Weight",$C$52&gt;0, Results!$E$4="Tissue",OR($B$52="g",$B$52="mg")),((EO7*EO$51)/(EO$52)),IF(AND(Results!$E$5="Volume",$C$54&gt;0,Results!$E$4="Fluid"),((EO7*EO$51)/(EO$54)),IF(AND(Results!$E$4="Cells",Results!$E$5="Million",$B$52="million"),((EO7*EO$51)/(EO$52)),"0")))))</f>
        <v>0.85504999999999998</v>
      </c>
      <c r="EP60" s="20">
        <f>IF(EP7=0,"0",IF(AND(Results!$E$5="Protein",$C$53&gt;0,OR(Results!$E$4="Tissue",Results!$E$4="Cells")),((EP7*EP$51)/(EP$53)),IF(AND(Results!$E$5="Weight",$C$52&gt;0, Results!$E$4="Tissue",OR($B$52="g",$B$52="mg")),((EP7*EP$51)/(EP$52)),IF(AND(Results!$E$5="Volume",$C$54&gt;0,Results!$E$4="Fluid"),((EP7*EP$51)/(EP$54)),IF(AND(Results!$E$4="Cells",Results!$E$5="Million",$B$52="million"),((EP7*EP$51)/(EP$52)),"0")))))</f>
        <v>18.143050000000002</v>
      </c>
      <c r="EQ60" s="20">
        <f>IF(EQ7=0,"0",IF(AND(Results!$E$5="Protein",$C$53&gt;0,OR(Results!$E$4="Tissue",Results!$E$4="Cells")),((EQ7*EQ$51)/(EQ$53)),IF(AND(Results!$E$5="Weight",$C$52&gt;0, Results!$E$4="Tissue",OR($B$52="g",$B$52="mg")),((EQ7*EQ$51)/(EQ$52)),IF(AND(Results!$E$5="Volume",$C$54&gt;0,Results!$E$4="Fluid"),((EQ7*EQ$51)/(EQ$54)),IF(AND(Results!$E$4="Cells",Results!$E$5="Million",$B$52="million"),((EQ7*EQ$51)/(EQ$52)),"0")))))</f>
        <v>1.6585666666666665</v>
      </c>
      <c r="ER60" s="20">
        <f>IF(ER7=0,"0",IF(AND(Results!$E$5="Protein",$C$53&gt;0,OR(Results!$E$4="Tissue",Results!$E$4="Cells")),((ER7*ER$51)/(ER$53)),IF(AND(Results!$E$5="Weight",$C$52&gt;0, Results!$E$4="Tissue",OR($B$52="g",$B$52="mg")),((ER7*ER$51)/(ER$52)),IF(AND(Results!$E$5="Volume",$C$54&gt;0,Results!$E$4="Fluid"),((ER7*ER$51)/(ER$54)),IF(AND(Results!$E$4="Cells",Results!$E$5="Million",$B$52="million"),((ER7*ER$51)/(ER$52)),"0")))))</f>
        <v>1.7807000000000002</v>
      </c>
      <c r="ES60" s="20">
        <f>IF(ES7=0,"0",IF(AND(Results!$E$5="Protein",$C$53&gt;0,OR(Results!$E$4="Tissue",Results!$E$4="Cells")),((ES7*ES$51)/(ES$53)),IF(AND(Results!$E$5="Weight",$C$52&gt;0, Results!$E$4="Tissue",OR($B$52="g",$B$52="mg")),((ES7*ES$51)/(ES$52)),IF(AND(Results!$E$5="Volume",$C$54&gt;0,Results!$E$4="Fluid"),((ES7*ES$51)/(ES$54)),IF(AND(Results!$E$4="Cells",Results!$E$5="Million",$B$52="million"),((ES7*ES$51)/(ES$52)),"0")))))</f>
        <v>1.4229166666666666</v>
      </c>
      <c r="ET60" s="20">
        <f>IF(ET7=0,"0",IF(AND(Results!$E$5="Protein",$C$53&gt;0,OR(Results!$E$4="Tissue",Results!$E$4="Cells")),((ET7*ET$51)/(ET$53)),IF(AND(Results!$E$5="Weight",$C$52&gt;0, Results!$E$4="Tissue",OR($B$52="g",$B$52="mg")),((ET7*ET$51)/(ET$52)),IF(AND(Results!$E$5="Volume",$C$54&gt;0,Results!$E$4="Fluid"),((ET7*ET$51)/(ET$54)),IF(AND(Results!$E$4="Cells",Results!$E$5="Million",$B$52="million"),((ET7*ET$51)/(ET$52)),"0")))))</f>
        <v>4.2159999999999993</v>
      </c>
      <c r="EU60" s="20">
        <f>IF(EU7=0,"0",IF(AND(Results!$E$5="Protein",$C$53&gt;0,OR(Results!$E$4="Tissue",Results!$E$4="Cells")),((EU7*EU$51)/(EU$53)),IF(AND(Results!$E$5="Weight",$C$52&gt;0, Results!$E$4="Tissue",OR($B$52="g",$B$52="mg")),((EU7*EU$51)/(EU$52)),IF(AND(Results!$E$5="Volume",$C$54&gt;0,Results!$E$4="Fluid"),((EU7*EU$51)/(EU$54)),IF(AND(Results!$E$4="Cells",Results!$E$5="Million",$B$52="million"),((EU7*EU$51)/(EU$52)),"0")))))</f>
        <v>3.1372333333333331</v>
      </c>
      <c r="EV60" s="20">
        <f>IF(EV7=0,"0",IF(AND(Results!$E$5="Protein",$C$53&gt;0,OR(Results!$E$4="Tissue",Results!$E$4="Cells")),((EV7*EV$51)/(EV$53)),IF(AND(Results!$E$5="Weight",$C$52&gt;0, Results!$E$4="Tissue",OR($B$52="g",$B$52="mg")),((EV7*EV$51)/(EV$52)),IF(AND(Results!$E$5="Volume",$C$54&gt;0,Results!$E$4="Fluid"),((EV7*EV$51)/(EV$54)),IF(AND(Results!$E$4="Cells",Results!$E$5="Million",$B$52="million"),((EV7*EV$51)/(EV$52)),"0")))))</f>
        <v>1.9058833333333332</v>
      </c>
      <c r="EW60" s="20">
        <f>IF(EW7=0,"0",IF(AND(Results!$E$5="Protein",$C$53&gt;0,OR(Results!$E$4="Tissue",Results!$E$4="Cells")),((EW7*EW$51)/(EW$53)),IF(AND(Results!$E$5="Weight",$C$52&gt;0, Results!$E$4="Tissue",OR($B$52="g",$B$52="mg")),((EW7*EW$51)/(EW$52)),IF(AND(Results!$E$5="Volume",$C$54&gt;0,Results!$E$4="Fluid"),((EW7*EW$51)/(EW$54)),IF(AND(Results!$E$4="Cells",Results!$E$5="Million",$B$52="million"),((EW7*EW$51)/(EW$52)),"0")))))</f>
        <v>4.0278999999999998</v>
      </c>
      <c r="EX60" s="20">
        <f>IF(EX7=0,"0",IF(AND(Results!$E$5="Protein",$C$53&gt;0,OR(Results!$E$4="Tissue",Results!$E$4="Cells")),((EX7*EX$51)/(EX$53)),IF(AND(Results!$E$5="Weight",$C$52&gt;0, Results!$E$4="Tissue",OR($B$52="g",$B$52="mg")),((EX7*EX$51)/(EX$52)),IF(AND(Results!$E$5="Volume",$C$54&gt;0,Results!$E$4="Fluid"),((EX7*EX$51)/(EX$54)),IF(AND(Results!$E$4="Cells",Results!$E$5="Million",$B$52="million"),((EX7*EX$51)/(EX$52)),"0")))))</f>
        <v>2.8480500000000002</v>
      </c>
      <c r="EY60" s="20">
        <f>IF(EY7=0,"0",IF(AND(Results!$E$5="Protein",$C$53&gt;0,OR(Results!$E$4="Tissue",Results!$E$4="Cells")),((EY7*EY$51)/(EY$53)),IF(AND(Results!$E$5="Weight",$C$52&gt;0, Results!$E$4="Tissue",OR($B$52="g",$B$52="mg")),((EY7*EY$51)/(EY$52)),IF(AND(Results!$E$5="Volume",$C$54&gt;0,Results!$E$4="Fluid"),((EY7*EY$51)/(EY$54)),IF(AND(Results!$E$4="Cells",Results!$E$5="Million",$B$52="million"),((EY7*EY$51)/(EY$52)),"0")))))</f>
        <v>15.917216666666665</v>
      </c>
      <c r="EZ60" s="20">
        <f>IF(EZ7=0,"0",IF(AND(Results!$E$5="Protein",$C$53&gt;0,OR(Results!$E$4="Tissue",Results!$E$4="Cells")),((EZ7*EZ$51)/(EZ$53)),IF(AND(Results!$E$5="Weight",$C$52&gt;0, Results!$E$4="Tissue",OR($B$52="g",$B$52="mg")),((EZ7*EZ$51)/(EZ$52)),IF(AND(Results!$E$5="Volume",$C$54&gt;0,Results!$E$4="Fluid"),((EZ7*EZ$51)/(EZ$54)),IF(AND(Results!$E$4="Cells",Results!$E$5="Million",$B$52="million"),((EZ7*EZ$51)/(EZ$52)),"0")))))</f>
        <v>3.0021166666666663</v>
      </c>
      <c r="FA60" s="20">
        <f>IF(FA7=0,"0",IF(AND(Results!$E$5="Protein",$C$53&gt;0,OR(Results!$E$4="Tissue",Results!$E$4="Cells")),((FA7*FA$51)/(FA$53)),IF(AND(Results!$E$5="Weight",$C$52&gt;0, Results!$E$4="Tissue",OR($B$52="g",$B$52="mg")),((FA7*FA$51)/(FA$52)),IF(AND(Results!$E$5="Volume",$C$54&gt;0,Results!$E$4="Fluid"),((FA7*FA$51)/(FA$54)),IF(AND(Results!$E$4="Cells",Results!$E$5="Million",$B$52="million"),((FA7*FA$51)/(FA$52)),"0")))))</f>
        <v>0.43641666666666673</v>
      </c>
      <c r="FB60" s="20">
        <f>IF(FB7=0,"0",IF(AND(Results!$E$5="Protein",$C$53&gt;0,OR(Results!$E$4="Tissue",Results!$E$4="Cells")),((FB7*FB$51)/(FB$53)),IF(AND(Results!$E$5="Weight",$C$52&gt;0, Results!$E$4="Tissue",OR($B$52="g",$B$52="mg")),((FB7*FB$51)/(FB$52)),IF(AND(Results!$E$5="Volume",$C$54&gt;0,Results!$E$4="Fluid"),((FB7*FB$51)/(FB$54)),IF(AND(Results!$E$4="Cells",Results!$E$5="Million",$B$52="million"),((FB7*FB$51)/(FB$52)),"0")))))</f>
        <v>1.6897666666666666</v>
      </c>
      <c r="FC60" s="20">
        <f>IF(FC7=0,"0",IF(AND(Results!$E$5="Protein",$C$53&gt;0,OR(Results!$E$4="Tissue",Results!$E$4="Cells")),((FC7*FC$51)/(FC$53)),IF(AND(Results!$E$5="Weight",$C$52&gt;0, Results!$E$4="Tissue",OR($B$52="g",$B$52="mg")),((FC7*FC$51)/(FC$52)),IF(AND(Results!$E$5="Volume",$C$54&gt;0,Results!$E$4="Fluid"),((FC7*FC$51)/(FC$54)),IF(AND(Results!$E$4="Cells",Results!$E$5="Million",$B$52="million"),((FC7*FC$51)/(FC$52)),"0")))))</f>
        <v>7.7181999999999995</v>
      </c>
      <c r="FD60" s="20">
        <f>IF(FD7=0,"0",IF(AND(Results!$E$5="Protein",$C$53&gt;0,OR(Results!$E$4="Tissue",Results!$E$4="Cells")),((FD7*FD$51)/(FD$53)),IF(AND(Results!$E$5="Weight",$C$52&gt;0, Results!$E$4="Tissue",OR($B$52="g",$B$52="mg")),((FD7*FD$51)/(FD$52)),IF(AND(Results!$E$5="Volume",$C$54&gt;0,Results!$E$4="Fluid"),((FD7*FD$51)/(FD$54)),IF(AND(Results!$E$4="Cells",Results!$E$5="Million",$B$52="million"),((FD7*FD$51)/(FD$52)),"0")))))</f>
        <v>1.4951666666666668</v>
      </c>
      <c r="FE60" s="20">
        <f>IF(FE7=0,"0",IF(AND(Results!$E$5="Protein",$C$53&gt;0,OR(Results!$E$4="Tissue",Results!$E$4="Cells")),((FE7*FE$51)/(FE$53)),IF(AND(Results!$E$5="Weight",$C$52&gt;0, Results!$E$4="Tissue",OR($B$52="g",$B$52="mg")),((FE7*FE$51)/(FE$52)),IF(AND(Results!$E$5="Volume",$C$54&gt;0,Results!$E$4="Fluid"),((FE7*FE$51)/(FE$54)),IF(AND(Results!$E$4="Cells",Results!$E$5="Million",$B$52="million"),((FE7*FE$51)/(FE$52)),"0")))))</f>
        <v>2.9089833333333335</v>
      </c>
      <c r="FF60" s="20">
        <f>IF(FF7=0,"0",IF(AND(Results!$E$5="Protein",$C$53&gt;0,OR(Results!$E$4="Tissue",Results!$E$4="Cells")),((FF7*FF$51)/(FF$53)),IF(AND(Results!$E$5="Weight",$C$52&gt;0, Results!$E$4="Tissue",OR($B$52="g",$B$52="mg")),((FF7*FF$51)/(FF$52)),IF(AND(Results!$E$5="Volume",$C$54&gt;0,Results!$E$4="Fluid"),((FF7*FF$51)/(FF$54)),IF(AND(Results!$E$4="Cells",Results!$E$5="Million",$B$52="million"),((FF7*FF$51)/(FF$52)),"0")))))</f>
        <v>9.6511999999999993</v>
      </c>
      <c r="FG60" s="20">
        <f>IF(FG7=0,"0",IF(AND(Results!$E$5="Protein",$C$53&gt;0,OR(Results!$E$4="Tissue",Results!$E$4="Cells")),((FG7*FG$51)/(FG$53)),IF(AND(Results!$E$5="Weight",$C$52&gt;0, Results!$E$4="Tissue",OR($B$52="g",$B$52="mg")),((FG7*FG$51)/(FG$52)),IF(AND(Results!$E$5="Volume",$C$54&gt;0,Results!$E$4="Fluid"),((FG7*FG$51)/(FG$54)),IF(AND(Results!$E$4="Cells",Results!$E$5="Million",$B$52="million"),((FG7*FG$51)/(FG$52)),"0")))))</f>
        <v>1.4154833333333334</v>
      </c>
      <c r="FH60" s="20">
        <f>IF(FH7=0,"0",IF(AND(Results!$E$5="Protein",$C$53&gt;0,OR(Results!$E$4="Tissue",Results!$E$4="Cells")),((FH7*FH$51)/(FH$53)),IF(AND(Results!$E$5="Weight",$C$52&gt;0, Results!$E$4="Tissue",OR($B$52="g",$B$52="mg")),((FH7*FH$51)/(FH$52)),IF(AND(Results!$E$5="Volume",$C$54&gt;0,Results!$E$4="Fluid"),((FH7*FH$51)/(FH$54)),IF(AND(Results!$E$4="Cells",Results!$E$5="Million",$B$52="million"),((FH7*FH$51)/(FH$52)),"0")))))</f>
        <v>3.7048000000000001</v>
      </c>
      <c r="FI60" s="20">
        <f>IF(FI7=0,"0",IF(AND(Results!$E$5="Protein",$C$53&gt;0,OR(Results!$E$4="Tissue",Results!$E$4="Cells")),((FI7*FI$51)/(FI$53)),IF(AND(Results!$E$5="Weight",$C$52&gt;0, Results!$E$4="Tissue",OR($B$52="g",$B$52="mg")),((FI7*FI$51)/(FI$52)),IF(AND(Results!$E$5="Volume",$C$54&gt;0,Results!$E$4="Fluid"),((FI7*FI$51)/(FI$54)),IF(AND(Results!$E$4="Cells",Results!$E$5="Million",$B$52="million"),((FI7*FI$51)/(FI$52)),"0")))))</f>
        <v>0.77341666666666664</v>
      </c>
      <c r="FJ60" s="20">
        <f>IF(FJ7=0,"0",IF(AND(Results!$E$5="Protein",$C$53&gt;0,OR(Results!$E$4="Tissue",Results!$E$4="Cells")),((FJ7*FJ$51)/(FJ$53)),IF(AND(Results!$E$5="Weight",$C$52&gt;0, Results!$E$4="Tissue",OR($B$52="g",$B$52="mg")),((FJ7*FJ$51)/(FJ$52)),IF(AND(Results!$E$5="Volume",$C$54&gt;0,Results!$E$4="Fluid"),((FJ7*FJ$51)/(FJ$54)),IF(AND(Results!$E$4="Cells",Results!$E$5="Million",$B$52="million"),((FJ7*FJ$51)/(FJ$52)),"0")))))</f>
        <v>4.887716666666666</v>
      </c>
      <c r="FK60" s="20">
        <f>IF(FK7=0,"0",IF(AND(Results!$E$5="Protein",$C$53&gt;0,OR(Results!$E$4="Tissue",Results!$E$4="Cells")),((FK7*FK$51)/(FK$53)),IF(AND(Results!$E$5="Weight",$C$52&gt;0, Results!$E$4="Tissue",OR($B$52="g",$B$52="mg")),((FK7*FK$51)/(FK$52)),IF(AND(Results!$E$5="Volume",$C$54&gt;0,Results!$E$4="Fluid"),((FK7*FK$51)/(FK$54)),IF(AND(Results!$E$4="Cells",Results!$E$5="Million",$B$52="million"),((FK7*FK$51)/(FK$52)),"0")))))</f>
        <v>14.942933333333334</v>
      </c>
      <c r="FL60" s="20">
        <f>IF(FL7=0,"0",IF(AND(Results!$E$5="Protein",$C$53&gt;0,OR(Results!$E$4="Tissue",Results!$E$4="Cells")),((FL7*FL$51)/(FL$53)),IF(AND(Results!$E$5="Weight",$C$52&gt;0, Results!$E$4="Tissue",OR($B$52="g",$B$52="mg")),((FL7*FL$51)/(FL$52)),IF(AND(Results!$E$5="Volume",$C$54&gt;0,Results!$E$4="Fluid"),((FL7*FL$51)/(FL$54)),IF(AND(Results!$E$4="Cells",Results!$E$5="Million",$B$52="million"),((FL7*FL$51)/(FL$52)),"0")))))</f>
        <v>4.2063999999999995</v>
      </c>
      <c r="FM60" s="20">
        <f>IF(FM7=0,"0",IF(AND(Results!$E$5="Protein",$C$53&gt;0,OR(Results!$E$4="Tissue",Results!$E$4="Cells")),((FM7*FM$51)/(FM$53)),IF(AND(Results!$E$5="Weight",$C$52&gt;0, Results!$E$4="Tissue",OR($B$52="g",$B$52="mg")),((FM7*FM$51)/(FM$52)),IF(AND(Results!$E$5="Volume",$C$54&gt;0,Results!$E$4="Fluid"),((FM7*FM$51)/(FM$54)),IF(AND(Results!$E$4="Cells",Results!$E$5="Million",$B$52="million"),((FM7*FM$51)/(FM$52)),"0")))))</f>
        <v>3.8973999999999998</v>
      </c>
      <c r="FN60" s="20">
        <f>IF(FN7=0,"0",IF(AND(Results!$E$5="Protein",$C$53&gt;0,OR(Results!$E$4="Tissue",Results!$E$4="Cells")),((FN7*FN$51)/(FN$53)),IF(AND(Results!$E$5="Weight",$C$52&gt;0, Results!$E$4="Tissue",OR($B$52="g",$B$52="mg")),((FN7*FN$51)/(FN$52)),IF(AND(Results!$E$5="Volume",$C$54&gt;0,Results!$E$4="Fluid"),((FN7*FN$51)/(FN$54)),IF(AND(Results!$E$4="Cells",Results!$E$5="Million",$B$52="million"),((FN7*FN$51)/(FN$52)),"0")))))</f>
        <v>6.5280499999999995</v>
      </c>
      <c r="FO60" s="20">
        <f>IF(FO7=0,"0",IF(AND(Results!$E$5="Protein",$C$53&gt;0,OR(Results!$E$4="Tissue",Results!$E$4="Cells")),((FO7*FO$51)/(FO$53)),IF(AND(Results!$E$5="Weight",$C$52&gt;0, Results!$E$4="Tissue",OR($B$52="g",$B$52="mg")),((FO7*FO$51)/(FO$52)),IF(AND(Results!$E$5="Volume",$C$54&gt;0,Results!$E$4="Fluid"),((FO7*FO$51)/(FO$54)),IF(AND(Results!$E$4="Cells",Results!$E$5="Million",$B$52="million"),((FO7*FO$51)/(FO$52)),"0")))))</f>
        <v>2.8630500000000003</v>
      </c>
    </row>
    <row r="61" spans="1:171" x14ac:dyDescent="0.2">
      <c r="A61" s="120" t="str">
        <f t="shared" si="0"/>
        <v>9-oxo-ODE</v>
      </c>
      <c r="B61" s="121"/>
      <c r="C61" s="20">
        <f>IF(C8=0,"0",IF(AND(Results!$E$5="Protein",$C$53&gt;0,OR(Results!$E$4="Tissue",Results!$E$4="Cells")),((C8*C$51)/(C$53)),IF(AND(Results!$E$5="Weight",$C$52&gt;0, Results!$E$4="Tissue",OR($B$52="g",$B$52="mg")),((C8*C$51)/(C$52)),IF(AND(Results!$E$5="Volume",$C$54&gt;0,Results!$E$4="Fluid"),((C8*C$51)/(C$54)),IF(AND(Results!$E$4="Cells",Results!$E$5="Million",$B$52="million"),((C8*C$51)/(C$52)),"0")))))</f>
        <v>1.7366166666666667</v>
      </c>
      <c r="D61" s="20">
        <f>IF(D8=0,"0",IF(AND(Results!$E$5="Protein",$C$53&gt;0,OR(Results!$E$4="Tissue",Results!$E$4="Cells")),((D8*D$51)/(D$53)),IF(AND(Results!$E$5="Weight",$C$52&gt;0, Results!$E$4="Tissue",OR($B$52="g",$B$52="mg")),((D8*D$51)/(D$52)),IF(AND(Results!$E$5="Volume",$C$54&gt;0,Results!$E$4="Fluid"),((D8*D$51)/(D$54)),IF(AND(Results!$E$4="Cells",Results!$E$5="Million",$B$52="million"),((D8*D$51)/(D$52)),"0")))))</f>
        <v>0.71836666666666671</v>
      </c>
      <c r="E61" s="20" t="str">
        <f>IF(E8=0,"0",IF(AND(Results!$E$5="Protein",$C$53&gt;0,OR(Results!$E$4="Tissue",Results!$E$4="Cells")),((E8*E$51)/(E$53)),IF(AND(Results!$E$5="Weight",$C$52&gt;0, Results!$E$4="Tissue",OR($B$52="g",$B$52="mg")),((E8*E$51)/(E$52)),IF(AND(Results!$E$5="Volume",$C$54&gt;0,Results!$E$4="Fluid"),((E8*E$51)/(E$54)),IF(AND(Results!$E$4="Cells",Results!$E$5="Million",$B$52="million"),((E8*E$51)/(E$52)),"0")))))</f>
        <v>0</v>
      </c>
      <c r="F61" s="20">
        <f>IF(F8=0,"0",IF(AND(Results!$E$5="Protein",$C$53&gt;0,OR(Results!$E$4="Tissue",Results!$E$4="Cells")),((F8*F$51)/(F$53)),IF(AND(Results!$E$5="Weight",$C$52&gt;0, Results!$E$4="Tissue",OR($B$52="g",$B$52="mg")),((F8*F$51)/(F$52)),IF(AND(Results!$E$5="Volume",$C$54&gt;0,Results!$E$4="Fluid"),((F8*F$51)/(F$54)),IF(AND(Results!$E$4="Cells",Results!$E$5="Million",$B$52="million"),((F8*F$51)/(F$52)),"0")))))</f>
        <v>6.3590499999999999</v>
      </c>
      <c r="G61" s="20">
        <f>IF(G8=0,"0",IF(AND(Results!$E$5="Protein",$C$53&gt;0,OR(Results!$E$4="Tissue",Results!$E$4="Cells")),((G8*G$51)/(G$53)),IF(AND(Results!$E$5="Weight",$C$52&gt;0, Results!$E$4="Tissue",OR($B$52="g",$B$52="mg")),((G8*G$51)/(G$52)),IF(AND(Results!$E$5="Volume",$C$54&gt;0,Results!$E$4="Fluid"),((G8*G$51)/(G$54)),IF(AND(Results!$E$4="Cells",Results!$E$5="Million",$B$52="million"),((G8*G$51)/(G$52)),"0")))))</f>
        <v>0.56305000000000005</v>
      </c>
      <c r="H61" s="20">
        <f>IF(H8=0,"0",IF(AND(Results!$E$5="Protein",$C$53&gt;0,OR(Results!$E$4="Tissue",Results!$E$4="Cells")),((H8*H$51)/(H$53)),IF(AND(Results!$E$5="Weight",$C$52&gt;0, Results!$E$4="Tissue",OR($B$52="g",$B$52="mg")),((H8*H$51)/(H$52)),IF(AND(Results!$E$5="Volume",$C$54&gt;0,Results!$E$4="Fluid"),((H8*H$51)/(H$54)),IF(AND(Results!$E$4="Cells",Results!$E$5="Million",$B$52="million"),((H8*H$51)/(H$52)),"0")))))</f>
        <v>0.18223333333333333</v>
      </c>
      <c r="I61" s="20">
        <f>IF(I8=0,"0",IF(AND(Results!$E$5="Protein",$C$53&gt;0,OR(Results!$E$4="Tissue",Results!$E$4="Cells")),((I8*I$51)/(I$53)),IF(AND(Results!$E$5="Weight",$C$52&gt;0, Results!$E$4="Tissue",OR($B$52="g",$B$52="mg")),((I8*I$51)/(I$52)),IF(AND(Results!$E$5="Volume",$C$54&gt;0,Results!$E$4="Fluid"),((I8*I$51)/(I$54)),IF(AND(Results!$E$4="Cells",Results!$E$5="Million",$B$52="million"),((I8*I$51)/(I$52)),"0")))))</f>
        <v>0.13431666666666667</v>
      </c>
      <c r="J61" s="20">
        <f>IF(J8=0,"0",IF(AND(Results!$E$5="Protein",$C$53&gt;0,OR(Results!$E$4="Tissue",Results!$E$4="Cells")),((J8*J$51)/(J$53)),IF(AND(Results!$E$5="Weight",$C$52&gt;0, Results!$E$4="Tissue",OR($B$52="g",$B$52="mg")),((J8*J$51)/(J$52)),IF(AND(Results!$E$5="Volume",$C$54&gt;0,Results!$E$4="Fluid"),((J8*J$51)/(J$54)),IF(AND(Results!$E$4="Cells",Results!$E$5="Million",$B$52="million"),((J8*J$51)/(J$52)),"0")))))</f>
        <v>0.13605</v>
      </c>
      <c r="K61" s="20">
        <f>IF(K8=0,"0",IF(AND(Results!$E$5="Protein",$C$53&gt;0,OR(Results!$E$4="Tissue",Results!$E$4="Cells")),((K8*K$51)/(K$53)),IF(AND(Results!$E$5="Weight",$C$52&gt;0, Results!$E$4="Tissue",OR($B$52="g",$B$52="mg")),((K8*K$51)/(K$52)),IF(AND(Results!$E$5="Volume",$C$54&gt;0,Results!$E$4="Fluid"),((K8*K$51)/(K$54)),IF(AND(Results!$E$4="Cells",Results!$E$5="Million",$B$52="million"),((K8*K$51)/(K$52)),"0")))))</f>
        <v>0.54538333333333333</v>
      </c>
      <c r="L61" s="20">
        <f>IF(L8=0,"0",IF(AND(Results!$E$5="Protein",$C$53&gt;0,OR(Results!$E$4="Tissue",Results!$E$4="Cells")),((L8*L$51)/(L$53)),IF(AND(Results!$E$5="Weight",$C$52&gt;0, Results!$E$4="Tissue",OR($B$52="g",$B$52="mg")),((L8*L$51)/(L$52)),IF(AND(Results!$E$5="Volume",$C$54&gt;0,Results!$E$4="Fluid"),((L8*L$51)/(L$54)),IF(AND(Results!$E$4="Cells",Results!$E$5="Million",$B$52="million"),((L8*L$51)/(L$52)),"0")))))</f>
        <v>1.8104</v>
      </c>
      <c r="M61" s="20">
        <f>IF(M8=0,"0",IF(AND(Results!$E$5="Protein",$C$53&gt;0,OR(Results!$E$4="Tissue",Results!$E$4="Cells")),((M8*M$51)/(M$53)),IF(AND(Results!$E$5="Weight",$C$52&gt;0, Results!$E$4="Tissue",OR($B$52="g",$B$52="mg")),((M8*M$51)/(M$52)),IF(AND(Results!$E$5="Volume",$C$54&gt;0,Results!$E$4="Fluid"),((M8*M$51)/(M$54)),IF(AND(Results!$E$4="Cells",Results!$E$5="Million",$B$52="million"),((M8*M$51)/(M$52)),"0")))))</f>
        <v>0.35443333333333332</v>
      </c>
      <c r="N61" s="20">
        <f>IF(N8=0,"0",IF(AND(Results!$E$5="Protein",$C$53&gt;0,OR(Results!$E$4="Tissue",Results!$E$4="Cells")),((N8*N$51)/(N$53)),IF(AND(Results!$E$5="Weight",$C$52&gt;0, Results!$E$4="Tissue",OR($B$52="g",$B$52="mg")),((N8*N$51)/(N$52)),IF(AND(Results!$E$5="Volume",$C$54&gt;0,Results!$E$4="Fluid"),((N8*N$51)/(N$54)),IF(AND(Results!$E$4="Cells",Results!$E$5="Million",$B$52="million"),((N8*N$51)/(N$52)),"0")))))</f>
        <v>0.16271666666666668</v>
      </c>
      <c r="O61" s="20">
        <f>IF(O8=0,"0",IF(AND(Results!$E$5="Protein",$C$53&gt;0,OR(Results!$E$4="Tissue",Results!$E$4="Cells")),((O8*O$51)/(O$53)),IF(AND(Results!$E$5="Weight",$C$52&gt;0, Results!$E$4="Tissue",OR($B$52="g",$B$52="mg")),((O8*O$51)/(O$52)),IF(AND(Results!$E$5="Volume",$C$54&gt;0,Results!$E$4="Fluid"),((O8*O$51)/(O$54)),IF(AND(Results!$E$4="Cells",Results!$E$5="Million",$B$52="million"),((O8*O$51)/(O$52)),"0")))))</f>
        <v>0.12871666666666667</v>
      </c>
      <c r="P61" s="20">
        <f>IF(P8=0,"0",IF(AND(Results!$E$5="Protein",$C$53&gt;0,OR(Results!$E$4="Tissue",Results!$E$4="Cells")),((P8*P$51)/(P$53)),IF(AND(Results!$E$5="Weight",$C$52&gt;0, Results!$E$4="Tissue",OR($B$52="g",$B$52="mg")),((P8*P$51)/(P$52)),IF(AND(Results!$E$5="Volume",$C$54&gt;0,Results!$E$4="Fluid"),((P8*P$51)/(P$54)),IF(AND(Results!$E$4="Cells",Results!$E$5="Million",$B$52="million"),((P8*P$51)/(P$52)),"0")))))</f>
        <v>2.1054666666666666</v>
      </c>
      <c r="Q61" s="20">
        <f>IF(Q8=0,"0",IF(AND(Results!$E$5="Protein",$C$53&gt;0,OR(Results!$E$4="Tissue",Results!$E$4="Cells")),((Q8*Q$51)/(Q$53)),IF(AND(Results!$E$5="Weight",$C$52&gt;0, Results!$E$4="Tissue",OR($B$52="g",$B$52="mg")),((Q8*Q$51)/(Q$52)),IF(AND(Results!$E$5="Volume",$C$54&gt;0,Results!$E$4="Fluid"),((Q8*Q$51)/(Q$54)),IF(AND(Results!$E$4="Cells",Results!$E$5="Million",$B$52="million"),((Q8*Q$51)/(Q$52)),"0")))))</f>
        <v>2.1631666666666667</v>
      </c>
      <c r="R61" s="20">
        <f>IF(R8=0,"0",IF(AND(Results!$E$5="Protein",$C$53&gt;0,OR(Results!$E$4="Tissue",Results!$E$4="Cells")),((R8*R$51)/(R$53)),IF(AND(Results!$E$5="Weight",$C$52&gt;0, Results!$E$4="Tissue",OR($B$52="g",$B$52="mg")),((R8*R$51)/(R$52)),IF(AND(Results!$E$5="Volume",$C$54&gt;0,Results!$E$4="Fluid"),((R8*R$51)/(R$54)),IF(AND(Results!$E$4="Cells",Results!$E$5="Million",$B$52="million"),((R8*R$51)/(R$52)),"0")))))</f>
        <v>22.376783333333336</v>
      </c>
      <c r="S61" s="20">
        <f>IF(S8=0,"0",IF(AND(Results!$E$5="Protein",$C$53&gt;0,OR(Results!$E$4="Tissue",Results!$E$4="Cells")),((S8*S$51)/(S$53)),IF(AND(Results!$E$5="Weight",$C$52&gt;0, Results!$E$4="Tissue",OR($B$52="g",$B$52="mg")),((S8*S$51)/(S$52)),IF(AND(Results!$E$5="Volume",$C$54&gt;0,Results!$E$4="Fluid"),((S8*S$51)/(S$54)),IF(AND(Results!$E$4="Cells",Results!$E$5="Million",$B$52="million"),((S8*S$51)/(S$52)),"0")))))</f>
        <v>1.25685</v>
      </c>
      <c r="T61" s="20">
        <f>IF(T8=0,"0",IF(AND(Results!$E$5="Protein",$C$53&gt;0,OR(Results!$E$4="Tissue",Results!$E$4="Cells")),((T8*T$51)/(T$53)),IF(AND(Results!$E$5="Weight",$C$52&gt;0, Results!$E$4="Tissue",OR($B$52="g",$B$52="mg")),((T8*T$51)/(T$52)),IF(AND(Results!$E$5="Volume",$C$54&gt;0,Results!$E$4="Fluid"),((T8*T$51)/(T$54)),IF(AND(Results!$E$4="Cells",Results!$E$5="Million",$B$52="million"),((T8*T$51)/(T$52)),"0")))))</f>
        <v>0.38958333333333334</v>
      </c>
      <c r="U61" s="20">
        <f>IF(U8=0,"0",IF(AND(Results!$E$5="Protein",$C$53&gt;0,OR(Results!$E$4="Tissue",Results!$E$4="Cells")),((U8*U$51)/(U$53)),IF(AND(Results!$E$5="Weight",$C$52&gt;0, Results!$E$4="Tissue",OR($B$52="g",$B$52="mg")),((U8*U$51)/(U$52)),IF(AND(Results!$E$5="Volume",$C$54&gt;0,Results!$E$4="Fluid"),((U8*U$51)/(U$54)),IF(AND(Results!$E$4="Cells",Results!$E$5="Million",$B$52="million"),((U8*U$51)/(U$52)),"0")))))</f>
        <v>1.9275333333333335</v>
      </c>
      <c r="V61" s="20">
        <f>IF(V8=0,"0",IF(AND(Results!$E$5="Protein",$C$53&gt;0,OR(Results!$E$4="Tissue",Results!$E$4="Cells")),((V8*V$51)/(V$53)),IF(AND(Results!$E$5="Weight",$C$52&gt;0, Results!$E$4="Tissue",OR($B$52="g",$B$52="mg")),((V8*V$51)/(V$52)),IF(AND(Results!$E$5="Volume",$C$54&gt;0,Results!$E$4="Fluid"),((V8*V$51)/(V$54)),IF(AND(Results!$E$4="Cells",Results!$E$5="Million",$B$52="million"),((V8*V$51)/(V$52)),"0")))))</f>
        <v>0.27506666666666668</v>
      </c>
      <c r="W61" s="20">
        <f>IF(W8=0,"0",IF(AND(Results!$E$5="Protein",$C$53&gt;0,OR(Results!$E$4="Tissue",Results!$E$4="Cells")),((W8*W$51)/(W$53)),IF(AND(Results!$E$5="Weight",$C$52&gt;0, Results!$E$4="Tissue",OR($B$52="g",$B$52="mg")),((W8*W$51)/(W$52)),IF(AND(Results!$E$5="Volume",$C$54&gt;0,Results!$E$4="Fluid"),((W8*W$51)/(W$54)),IF(AND(Results!$E$4="Cells",Results!$E$5="Million",$B$52="million"),((W8*W$51)/(W$52)),"0")))))</f>
        <v>0.14605714285714286</v>
      </c>
      <c r="X61" s="20" t="str">
        <f>IF(X8=0,"0",IF(AND(Results!$E$5="Protein",$C$53&gt;0,OR(Results!$E$4="Tissue",Results!$E$4="Cells")),((X8*X$51)/(X$53)),IF(AND(Results!$E$5="Weight",$C$52&gt;0, Results!$E$4="Tissue",OR($B$52="g",$B$52="mg")),((X8*X$51)/(X$52)),IF(AND(Results!$E$5="Volume",$C$54&gt;0,Results!$E$4="Fluid"),((X8*X$51)/(X$54)),IF(AND(Results!$E$4="Cells",Results!$E$5="Million",$B$52="million"),((X8*X$51)/(X$52)),"0")))))</f>
        <v>0</v>
      </c>
      <c r="Y61" s="20">
        <f>IF(Y8=0,"0",IF(AND(Results!$E$5="Protein",$C$53&gt;0,OR(Results!$E$4="Tissue",Results!$E$4="Cells")),((Y8*Y$51)/(Y$53)),IF(AND(Results!$E$5="Weight",$C$52&gt;0, Results!$E$4="Tissue",OR($B$52="g",$B$52="mg")),((Y8*Y$51)/(Y$52)),IF(AND(Results!$E$5="Volume",$C$54&gt;0,Results!$E$4="Fluid"),((Y8*Y$51)/(Y$54)),IF(AND(Results!$E$4="Cells",Results!$E$5="Million",$B$52="million"),((Y8*Y$51)/(Y$52)),"0")))))</f>
        <v>0.34534999999999993</v>
      </c>
      <c r="Z61" s="20">
        <f>IF(Z8=0,"0",IF(AND(Results!$E$5="Protein",$C$53&gt;0,OR(Results!$E$4="Tissue",Results!$E$4="Cells")),((Z8*Z$51)/(Z$53)),IF(AND(Results!$E$5="Weight",$C$52&gt;0, Results!$E$4="Tissue",OR($B$52="g",$B$52="mg")),((Z8*Z$51)/(Z$52)),IF(AND(Results!$E$5="Volume",$C$54&gt;0,Results!$E$4="Fluid"),((Z8*Z$51)/(Z$54)),IF(AND(Results!$E$4="Cells",Results!$E$5="Million",$B$52="million"),((Z8*Z$51)/(Z$52)),"0")))))</f>
        <v>0.55720000000000003</v>
      </c>
      <c r="AA61" s="20">
        <f>IF(AA8=0,"0",IF(AND(Results!$E$5="Protein",$C$53&gt;0,OR(Results!$E$4="Tissue",Results!$E$4="Cells")),((AA8*AA$51)/(AA$53)),IF(AND(Results!$E$5="Weight",$C$52&gt;0, Results!$E$4="Tissue",OR($B$52="g",$B$52="mg")),((AA8*AA$51)/(AA$52)),IF(AND(Results!$E$5="Volume",$C$54&gt;0,Results!$E$4="Fluid"),((AA8*AA$51)/(AA$54)),IF(AND(Results!$E$4="Cells",Results!$E$5="Million",$B$52="million"),((AA8*AA$51)/(AA$52)),"0")))))</f>
        <v>0.96995000000000009</v>
      </c>
      <c r="AB61" s="20">
        <f>IF(AB8=0,"0",IF(AND(Results!$E$5="Protein",$C$53&gt;0,OR(Results!$E$4="Tissue",Results!$E$4="Cells")),((AB8*AB$51)/(AB$53)),IF(AND(Results!$E$5="Weight",$C$52&gt;0, Results!$E$4="Tissue",OR($B$52="g",$B$52="mg")),((AB8*AB$51)/(AB$52)),IF(AND(Results!$E$5="Volume",$C$54&gt;0,Results!$E$4="Fluid"),((AB8*AB$51)/(AB$54)),IF(AND(Results!$E$4="Cells",Results!$E$5="Million",$B$52="million"),((AB8*AB$51)/(AB$52)),"0")))))</f>
        <v>0.22543333333333332</v>
      </c>
      <c r="AC61" s="20">
        <f>IF(AC8=0,"0",IF(AND(Results!$E$5="Protein",$C$53&gt;0,OR(Results!$E$4="Tissue",Results!$E$4="Cells")),((AC8*AC$51)/(AC$53)),IF(AND(Results!$E$5="Weight",$C$52&gt;0, Results!$E$4="Tissue",OR($B$52="g",$B$52="mg")),((AC8*AC$51)/(AC$52)),IF(AND(Results!$E$5="Volume",$C$54&gt;0,Results!$E$4="Fluid"),((AC8*AC$51)/(AC$54)),IF(AND(Results!$E$4="Cells",Results!$E$5="Million",$B$52="million"),((AC8*AC$51)/(AC$52)),"0")))))</f>
        <v>1.0232333333333334</v>
      </c>
      <c r="AD61" s="20">
        <f>IF(AD8=0,"0",IF(AND(Results!$E$5="Protein",$C$53&gt;0,OR(Results!$E$4="Tissue",Results!$E$4="Cells")),((AD8*AD$51)/(AD$53)),IF(AND(Results!$E$5="Weight",$C$52&gt;0, Results!$E$4="Tissue",OR($B$52="g",$B$52="mg")),((AD8*AD$51)/(AD$52)),IF(AND(Results!$E$5="Volume",$C$54&gt;0,Results!$E$4="Fluid"),((AD8*AD$51)/(AD$54)),IF(AND(Results!$E$4="Cells",Results!$E$5="Million",$B$52="million"),((AD8*AD$51)/(AD$52)),"0")))))</f>
        <v>0.37846666666666662</v>
      </c>
      <c r="AE61" s="20">
        <f>IF(AE8=0,"0",IF(AND(Results!$E$5="Protein",$C$53&gt;0,OR(Results!$E$4="Tissue",Results!$E$4="Cells")),((AE8*AE$51)/(AE$53)),IF(AND(Results!$E$5="Weight",$C$52&gt;0, Results!$E$4="Tissue",OR($B$52="g",$B$52="mg")),((AE8*AE$51)/(AE$52)),IF(AND(Results!$E$5="Volume",$C$54&gt;0,Results!$E$4="Fluid"),((AE8*AE$51)/(AE$54)),IF(AND(Results!$E$4="Cells",Results!$E$5="Million",$B$52="million"),((AE8*AE$51)/(AE$52)),"0")))))</f>
        <v>0.24938333333333332</v>
      </c>
      <c r="AF61" s="20">
        <f>IF(AF8=0,"0",IF(AND(Results!$E$5="Protein",$C$53&gt;0,OR(Results!$E$4="Tissue",Results!$E$4="Cells")),((AF8*AF$51)/(AF$53)),IF(AND(Results!$E$5="Weight",$C$52&gt;0, Results!$E$4="Tissue",OR($B$52="g",$B$52="mg")),((AF8*AF$51)/(AF$52)),IF(AND(Results!$E$5="Volume",$C$54&gt;0,Results!$E$4="Fluid"),((AF8*AF$51)/(AF$54)),IF(AND(Results!$E$4="Cells",Results!$E$5="Million",$B$52="million"),((AF8*AF$51)/(AF$52)),"0")))))</f>
        <v>0.19841666666666666</v>
      </c>
      <c r="AG61" s="20">
        <f>IF(AG8=0,"0",IF(AND(Results!$E$5="Protein",$C$53&gt;0,OR(Results!$E$4="Tissue",Results!$E$4="Cells")),((AG8*AG$51)/(AG$53)),IF(AND(Results!$E$5="Weight",$C$52&gt;0, Results!$E$4="Tissue",OR($B$52="g",$B$52="mg")),((AG8*AG$51)/(AG$52)),IF(AND(Results!$E$5="Volume",$C$54&gt;0,Results!$E$4="Fluid"),((AG8*AG$51)/(AG$54)),IF(AND(Results!$E$4="Cells",Results!$E$5="Million",$B$52="million"),((AG8*AG$51)/(AG$52)),"0")))))</f>
        <v>0.79700000000000004</v>
      </c>
      <c r="AH61" s="20">
        <f>IF(AH8=0,"0",IF(AND(Results!$E$5="Protein",$C$53&gt;0,OR(Results!$E$4="Tissue",Results!$E$4="Cells")),((AH8*AH$51)/(AH$53)),IF(AND(Results!$E$5="Weight",$C$52&gt;0, Results!$E$4="Tissue",OR($B$52="g",$B$52="mg")),((AH8*AH$51)/(AH$52)),IF(AND(Results!$E$5="Volume",$C$54&gt;0,Results!$E$4="Fluid"),((AH8*AH$51)/(AH$54)),IF(AND(Results!$E$4="Cells",Results!$E$5="Million",$B$52="million"),((AH8*AH$51)/(AH$52)),"0")))))</f>
        <v>8.4783333333333349E-2</v>
      </c>
      <c r="AI61" s="20">
        <f>IF(AI8=0,"0",IF(AND(Results!$E$5="Protein",$C$53&gt;0,OR(Results!$E$4="Tissue",Results!$E$4="Cells")),((AI8*AI$51)/(AI$53)),IF(AND(Results!$E$5="Weight",$C$52&gt;0, Results!$E$4="Tissue",OR($B$52="g",$B$52="mg")),((AI8*AI$51)/(AI$52)),IF(AND(Results!$E$5="Volume",$C$54&gt;0,Results!$E$4="Fluid"),((AI8*AI$51)/(AI$54)),IF(AND(Results!$E$4="Cells",Results!$E$5="Million",$B$52="million"),((AI8*AI$51)/(AI$52)),"0")))))</f>
        <v>1.6158333333333335</v>
      </c>
      <c r="AJ61" s="20">
        <f>IF(AJ8=0,"0",IF(AND(Results!$E$5="Protein",$C$53&gt;0,OR(Results!$E$4="Tissue",Results!$E$4="Cells")),((AJ8*AJ$51)/(AJ$53)),IF(AND(Results!$E$5="Weight",$C$52&gt;0, Results!$E$4="Tissue",OR($B$52="g",$B$52="mg")),((AJ8*AJ$51)/(AJ$52)),IF(AND(Results!$E$5="Volume",$C$54&gt;0,Results!$E$4="Fluid"),((AJ8*AJ$51)/(AJ$54)),IF(AND(Results!$E$4="Cells",Results!$E$5="Million",$B$52="million"),((AJ8*AJ$51)/(AJ$52)),"0")))))</f>
        <v>0.43701666666666666</v>
      </c>
      <c r="AK61" s="20">
        <f>IF(AK8=0,"0",IF(AND(Results!$E$5="Protein",$C$53&gt;0,OR(Results!$E$4="Tissue",Results!$E$4="Cells")),((AK8*AK$51)/(AK$53)),IF(AND(Results!$E$5="Weight",$C$52&gt;0, Results!$E$4="Tissue",OR($B$52="g",$B$52="mg")),((AK8*AK$51)/(AK$52)),IF(AND(Results!$E$5="Volume",$C$54&gt;0,Results!$E$4="Fluid"),((AK8*AK$51)/(AK$54)),IF(AND(Results!$E$4="Cells",Results!$E$5="Million",$B$52="million"),((AK8*AK$51)/(AK$52)),"0")))))</f>
        <v>0.16128333333333333</v>
      </c>
      <c r="AL61" s="20">
        <f>IF(AL8=0,"0",IF(AND(Results!$E$5="Protein",$C$53&gt;0,OR(Results!$E$4="Tissue",Results!$E$4="Cells")),((AL8*AL$51)/(AL$53)),IF(AND(Results!$E$5="Weight",$C$52&gt;0, Results!$E$4="Tissue",OR($B$52="g",$B$52="mg")),((AL8*AL$51)/(AL$52)),IF(AND(Results!$E$5="Volume",$C$54&gt;0,Results!$E$4="Fluid"),((AL8*AL$51)/(AL$54)),IF(AND(Results!$E$4="Cells",Results!$E$5="Million",$B$52="million"),((AL8*AL$51)/(AL$52)),"0")))))</f>
        <v>0.64639999999999997</v>
      </c>
      <c r="AM61" s="20">
        <f>IF(AM8=0,"0",IF(AND(Results!$E$5="Protein",$C$53&gt;0,OR(Results!$E$4="Tissue",Results!$E$4="Cells")),((AM8*AM$51)/(AM$53)),IF(AND(Results!$E$5="Weight",$C$52&gt;0, Results!$E$4="Tissue",OR($B$52="g",$B$52="mg")),((AM8*AM$51)/(AM$52)),IF(AND(Results!$E$5="Volume",$C$54&gt;0,Results!$E$4="Fluid"),((AM8*AM$51)/(AM$54)),IF(AND(Results!$E$4="Cells",Results!$E$5="Million",$B$52="million"),((AM8*AM$51)/(AM$52)),"0")))))</f>
        <v>0.6136166666666667</v>
      </c>
      <c r="AN61" s="20">
        <f>IF(AN8=0,"0",IF(AND(Results!$E$5="Protein",$C$53&gt;0,OR(Results!$E$4="Tissue",Results!$E$4="Cells")),((AN8*AN$51)/(AN$53)),IF(AND(Results!$E$5="Weight",$C$52&gt;0, Results!$E$4="Tissue",OR($B$52="g",$B$52="mg")),((AN8*AN$51)/(AN$52)),IF(AND(Results!$E$5="Volume",$C$54&gt;0,Results!$E$4="Fluid"),((AN8*AN$51)/(AN$54)),IF(AND(Results!$E$4="Cells",Results!$E$5="Million",$B$52="million"),((AN8*AN$51)/(AN$52)),"0")))))</f>
        <v>0.59200000000000008</v>
      </c>
      <c r="AO61" s="20">
        <f>IF(AO8=0,"0",IF(AND(Results!$E$5="Protein",$C$53&gt;0,OR(Results!$E$4="Tissue",Results!$E$4="Cells")),((AO8*AO$51)/(AO$53)),IF(AND(Results!$E$5="Weight",$C$52&gt;0, Results!$E$4="Tissue",OR($B$52="g",$B$52="mg")),((AO8*AO$51)/(AO$52)),IF(AND(Results!$E$5="Volume",$C$54&gt;0,Results!$E$4="Fluid"),((AO8*AO$51)/(AO$54)),IF(AND(Results!$E$4="Cells",Results!$E$5="Million",$B$52="million"),((AO8*AO$51)/(AO$52)),"0")))))</f>
        <v>0.25989999999999996</v>
      </c>
      <c r="AP61" s="20">
        <f>IF(AP8=0,"0",IF(AND(Results!$E$5="Protein",$C$53&gt;0,OR(Results!$E$4="Tissue",Results!$E$4="Cells")),((AP8*AP$51)/(AP$53)),IF(AND(Results!$E$5="Weight",$C$52&gt;0, Results!$E$4="Tissue",OR($B$52="g",$B$52="mg")),((AP8*AP$51)/(AP$52)),IF(AND(Results!$E$5="Volume",$C$54&gt;0,Results!$E$4="Fluid"),((AP8*AP$51)/(AP$54)),IF(AND(Results!$E$4="Cells",Results!$E$5="Million",$B$52="million"),((AP8*AP$51)/(AP$52)),"0")))))</f>
        <v>0.25045000000000001</v>
      </c>
      <c r="AQ61" s="20">
        <f>IF(AQ8=0,"0",IF(AND(Results!$E$5="Protein",$C$53&gt;0,OR(Results!$E$4="Tissue",Results!$E$4="Cells")),((AQ8*AQ$51)/(AQ$53)),IF(AND(Results!$E$5="Weight",$C$52&gt;0, Results!$E$4="Tissue",OR($B$52="g",$B$52="mg")),((AQ8*AQ$51)/(AQ$52)),IF(AND(Results!$E$5="Volume",$C$54&gt;0,Results!$E$4="Fluid"),((AQ8*AQ$51)/(AQ$54)),IF(AND(Results!$E$4="Cells",Results!$E$5="Million",$B$52="million"),((AQ8*AQ$51)/(AQ$52)),"0")))))</f>
        <v>3.4628666666666663</v>
      </c>
      <c r="AR61" s="20">
        <f>IF(AR8=0,"0",IF(AND(Results!$E$5="Protein",$C$53&gt;0,OR(Results!$E$4="Tissue",Results!$E$4="Cells")),((AR8*AR$51)/(AR$53)),IF(AND(Results!$E$5="Weight",$C$52&gt;0, Results!$E$4="Tissue",OR($B$52="g",$B$52="mg")),((AR8*AR$51)/(AR$52)),IF(AND(Results!$E$5="Volume",$C$54&gt;0,Results!$E$4="Fluid"),((AR8*AR$51)/(AR$54)),IF(AND(Results!$E$4="Cells",Results!$E$5="Million",$B$52="million"),((AR8*AR$51)/(AR$52)),"0")))))</f>
        <v>0.26078333333333331</v>
      </c>
      <c r="AS61" s="20">
        <f>IF(AS8=0,"0",IF(AND(Results!$E$5="Protein",$C$53&gt;0,OR(Results!$E$4="Tissue",Results!$E$4="Cells")),((AS8*AS$51)/(AS$53)),IF(AND(Results!$E$5="Weight",$C$52&gt;0, Results!$E$4="Tissue",OR($B$52="g",$B$52="mg")),((AS8*AS$51)/(AS$52)),IF(AND(Results!$E$5="Volume",$C$54&gt;0,Results!$E$4="Fluid"),((AS8*AS$51)/(AS$54)),IF(AND(Results!$E$4="Cells",Results!$E$5="Million",$B$52="million"),((AS8*AS$51)/(AS$52)),"0")))))</f>
        <v>1.5863</v>
      </c>
      <c r="AT61" s="20">
        <f>IF(AT8=0,"0",IF(AND(Results!$E$5="Protein",$C$53&gt;0,OR(Results!$E$4="Tissue",Results!$E$4="Cells")),((AT8*AT$51)/(AT$53)),IF(AND(Results!$E$5="Weight",$C$52&gt;0, Results!$E$4="Tissue",OR($B$52="g",$B$52="mg")),((AT8*AT$51)/(AT$52)),IF(AND(Results!$E$5="Volume",$C$54&gt;0,Results!$E$4="Fluid"),((AT8*AT$51)/(AT$54)),IF(AND(Results!$E$4="Cells",Results!$E$5="Million",$B$52="million"),((AT8*AT$51)/(AT$52)),"0")))))</f>
        <v>1.3319833333333333</v>
      </c>
      <c r="AU61" s="20" t="str">
        <f>IF(AU8=0,"0",IF(AND(Results!$E$5="Protein",$C$53&gt;0,OR(Results!$E$4="Tissue",Results!$E$4="Cells")),((AU8*AU$51)/(AU$53)),IF(AND(Results!$E$5="Weight",$C$52&gt;0, Results!$E$4="Tissue",OR($B$52="g",$B$52="mg")),((AU8*AU$51)/(AU$52)),IF(AND(Results!$E$5="Volume",$C$54&gt;0,Results!$E$4="Fluid"),((AU8*AU$51)/(AU$54)),IF(AND(Results!$E$4="Cells",Results!$E$5="Million",$B$52="million"),((AU8*AU$51)/(AU$52)),"0")))))</f>
        <v>0</v>
      </c>
      <c r="AV61" s="20">
        <f>IF(AV8=0,"0",IF(AND(Results!$E$5="Protein",$C$53&gt;0,OR(Results!$E$4="Tissue",Results!$E$4="Cells")),((AV8*AV$51)/(AV$53)),IF(AND(Results!$E$5="Weight",$C$52&gt;0, Results!$E$4="Tissue",OR($B$52="g",$B$52="mg")),((AV8*AV$51)/(AV$52)),IF(AND(Results!$E$5="Volume",$C$54&gt;0,Results!$E$4="Fluid"),((AV8*AV$51)/(AV$54)),IF(AND(Results!$E$4="Cells",Results!$E$5="Million",$B$52="million"),((AV8*AV$51)/(AV$52)),"0")))))</f>
        <v>0.38492000000000004</v>
      </c>
      <c r="AW61" s="20">
        <f>IF(AW8=0,"0",IF(AND(Results!$E$5="Protein",$C$53&gt;0,OR(Results!$E$4="Tissue",Results!$E$4="Cells")),((AW8*AW$51)/(AW$53)),IF(AND(Results!$E$5="Weight",$C$52&gt;0, Results!$E$4="Tissue",OR($B$52="g",$B$52="mg")),((AW8*AW$51)/(AW$52)),IF(AND(Results!$E$5="Volume",$C$54&gt;0,Results!$E$4="Fluid"),((AW8*AW$51)/(AW$54)),IF(AND(Results!$E$4="Cells",Results!$E$5="Million",$B$52="million"),((AW8*AW$51)/(AW$52)),"0")))))</f>
        <v>0.24148333333333336</v>
      </c>
      <c r="AX61" s="20">
        <f>IF(AX8=0,"0",IF(AND(Results!$E$5="Protein",$C$53&gt;0,OR(Results!$E$4="Tissue",Results!$E$4="Cells")),((AX8*AX$51)/(AX$53)),IF(AND(Results!$E$5="Weight",$C$52&gt;0, Results!$E$4="Tissue",OR($B$52="g",$B$52="mg")),((AX8*AX$51)/(AX$52)),IF(AND(Results!$E$5="Volume",$C$54&gt;0,Results!$E$4="Fluid"),((AX8*AX$51)/(AX$54)),IF(AND(Results!$E$4="Cells",Results!$E$5="Million",$B$52="million"),((AX8*AX$51)/(AX$52)),"0")))))</f>
        <v>0.53986666666666661</v>
      </c>
      <c r="AY61" s="20">
        <f>IF(AY8=0,"0",IF(AND(Results!$E$5="Protein",$C$53&gt;0,OR(Results!$E$4="Tissue",Results!$E$4="Cells")),((AY8*AY$51)/(AY$53)),IF(AND(Results!$E$5="Weight",$C$52&gt;0, Results!$E$4="Tissue",OR($B$52="g",$B$52="mg")),((AY8*AY$51)/(AY$52)),IF(AND(Results!$E$5="Volume",$C$54&gt;0,Results!$E$4="Fluid"),((AY8*AY$51)/(AY$54)),IF(AND(Results!$E$4="Cells",Results!$E$5="Million",$B$52="million"),((AY8*AY$51)/(AY$52)),"0")))))</f>
        <v>0.76795000000000013</v>
      </c>
      <c r="AZ61" s="20">
        <f>IF(AZ8=0,"0",IF(AND(Results!$E$5="Protein",$C$53&gt;0,OR(Results!$E$4="Tissue",Results!$E$4="Cells")),((AZ8*AZ$51)/(AZ$53)),IF(AND(Results!$E$5="Weight",$C$52&gt;0, Results!$E$4="Tissue",OR($B$52="g",$B$52="mg")),((AZ8*AZ$51)/(AZ$52)),IF(AND(Results!$E$5="Volume",$C$54&gt;0,Results!$E$4="Fluid"),((AZ8*AZ$51)/(AZ$54)),IF(AND(Results!$E$4="Cells",Results!$E$5="Million",$B$52="million"),((AZ8*AZ$51)/(AZ$52)),"0")))))</f>
        <v>0.54946666666666677</v>
      </c>
      <c r="BA61" s="20">
        <f>IF(BA8=0,"0",IF(AND(Results!$E$5="Protein",$C$53&gt;0,OR(Results!$E$4="Tissue",Results!$E$4="Cells")),((BA8*BA$51)/(BA$53)),IF(AND(Results!$E$5="Weight",$C$52&gt;0, Results!$E$4="Tissue",OR($B$52="g",$B$52="mg")),((BA8*BA$51)/(BA$52)),IF(AND(Results!$E$5="Volume",$C$54&gt;0,Results!$E$4="Fluid"),((BA8*BA$51)/(BA$54)),IF(AND(Results!$E$4="Cells",Results!$E$5="Million",$B$52="million"),((BA8*BA$51)/(BA$52)),"0")))))</f>
        <v>0.34111666666666662</v>
      </c>
      <c r="BB61" s="20">
        <f>IF(BB8=0,"0",IF(AND(Results!$E$5="Protein",$C$53&gt;0,OR(Results!$E$4="Tissue",Results!$E$4="Cells")),((BB8*BB$51)/(BB$53)),IF(AND(Results!$E$5="Weight",$C$52&gt;0, Results!$E$4="Tissue",OR($B$52="g",$B$52="mg")),((BB8*BB$51)/(BB$52)),IF(AND(Results!$E$5="Volume",$C$54&gt;0,Results!$E$4="Fluid"),((BB8*BB$51)/(BB$54)),IF(AND(Results!$E$4="Cells",Results!$E$5="Million",$B$52="million"),((BB8*BB$51)/(BB$52)),"0")))))</f>
        <v>0.32615000000000005</v>
      </c>
      <c r="BC61" s="20">
        <f>IF(BC8=0,"0",IF(AND(Results!$E$5="Protein",$C$53&gt;0,OR(Results!$E$4="Tissue",Results!$E$4="Cells")),((BC8*BC$51)/(BC$53)),IF(AND(Results!$E$5="Weight",$C$52&gt;0, Results!$E$4="Tissue",OR($B$52="g",$B$52="mg")),((BC8*BC$51)/(BC$52)),IF(AND(Results!$E$5="Volume",$C$54&gt;0,Results!$E$4="Fluid"),((BC8*BC$51)/(BC$54)),IF(AND(Results!$E$4="Cells",Results!$E$5="Million",$B$52="million"),((BC8*BC$51)/(BC$52)),"0")))))</f>
        <v>0.10641666666666666</v>
      </c>
      <c r="BD61" s="20">
        <f>IF(BD8=0,"0",IF(AND(Results!$E$5="Protein",$C$53&gt;0,OR(Results!$E$4="Tissue",Results!$E$4="Cells")),((BD8*BD$51)/(BD$53)),IF(AND(Results!$E$5="Weight",$C$52&gt;0, Results!$E$4="Tissue",OR($B$52="g",$B$52="mg")),((BD8*BD$51)/(BD$52)),IF(AND(Results!$E$5="Volume",$C$54&gt;0,Results!$E$4="Fluid"),((BD8*BD$51)/(BD$54)),IF(AND(Results!$E$4="Cells",Results!$E$5="Million",$B$52="million"),((BD8*BD$51)/(BD$52)),"0")))))</f>
        <v>0.45945000000000003</v>
      </c>
      <c r="BE61" s="20">
        <f>IF(BE8=0,"0",IF(AND(Results!$E$5="Protein",$C$53&gt;0,OR(Results!$E$4="Tissue",Results!$E$4="Cells")),((BE8*BE$51)/(BE$53)),IF(AND(Results!$E$5="Weight",$C$52&gt;0, Results!$E$4="Tissue",OR($B$52="g",$B$52="mg")),((BE8*BE$51)/(BE$52)),IF(AND(Results!$E$5="Volume",$C$54&gt;0,Results!$E$4="Fluid"),((BE8*BE$51)/(BE$54)),IF(AND(Results!$E$4="Cells",Results!$E$5="Million",$B$52="million"),((BE8*BE$51)/(BE$52)),"0")))))</f>
        <v>0.747</v>
      </c>
      <c r="BF61" s="20">
        <f>IF(BF8=0,"0",IF(AND(Results!$E$5="Protein",$C$53&gt;0,OR(Results!$E$4="Tissue",Results!$E$4="Cells")),((BF8*BF$51)/(BF$53)),IF(AND(Results!$E$5="Weight",$C$52&gt;0, Results!$E$4="Tissue",OR($B$52="g",$B$52="mg")),((BF8*BF$51)/(BF$52)),IF(AND(Results!$E$5="Volume",$C$54&gt;0,Results!$E$4="Fluid"),((BF8*BF$51)/(BF$54)),IF(AND(Results!$E$4="Cells",Results!$E$5="Million",$B$52="million"),((BF8*BF$51)/(BF$52)),"0")))))</f>
        <v>2.2762000000000002</v>
      </c>
      <c r="BG61" s="20">
        <f>IF(BG8=0,"0",IF(AND(Results!$E$5="Protein",$C$53&gt;0,OR(Results!$E$4="Tissue",Results!$E$4="Cells")),((BG8*BG$51)/(BG$53)),IF(AND(Results!$E$5="Weight",$C$52&gt;0, Results!$E$4="Tissue",OR($B$52="g",$B$52="mg")),((BG8*BG$51)/(BG$52)),IF(AND(Results!$E$5="Volume",$C$54&gt;0,Results!$E$4="Fluid"),((BG8*BG$51)/(BG$54)),IF(AND(Results!$E$4="Cells",Results!$E$5="Million",$B$52="million"),((BG8*BG$51)/(BG$52)),"0")))))</f>
        <v>0.11643333333333333</v>
      </c>
      <c r="BH61" s="20">
        <f>IF(BH8=0,"0",IF(AND(Results!$E$5="Protein",$C$53&gt;0,OR(Results!$E$4="Tissue",Results!$E$4="Cells")),((BH8*BH$51)/(BH$53)),IF(AND(Results!$E$5="Weight",$C$52&gt;0, Results!$E$4="Tissue",OR($B$52="g",$B$52="mg")),((BH8*BH$51)/(BH$52)),IF(AND(Results!$E$5="Volume",$C$54&gt;0,Results!$E$4="Fluid"),((BH8*BH$51)/(BH$54)),IF(AND(Results!$E$4="Cells",Results!$E$5="Million",$B$52="million"),((BH8*BH$51)/(BH$52)),"0")))))</f>
        <v>0.3031166666666667</v>
      </c>
      <c r="BI61" s="20">
        <f>IF(BI8=0,"0",IF(AND(Results!$E$5="Protein",$C$53&gt;0,OR(Results!$E$4="Tissue",Results!$E$4="Cells")),((BI8*BI$51)/(BI$53)),IF(AND(Results!$E$5="Weight",$C$52&gt;0, Results!$E$4="Tissue",OR($B$52="g",$B$52="mg")),((BI8*BI$51)/(BI$52)),IF(AND(Results!$E$5="Volume",$C$54&gt;0,Results!$E$4="Fluid"),((BI8*BI$51)/(BI$54)),IF(AND(Results!$E$4="Cells",Results!$E$5="Million",$B$52="million"),((BI8*BI$51)/(BI$52)),"0")))))</f>
        <v>0.91311666666666669</v>
      </c>
      <c r="BJ61" s="20">
        <f>IF(BJ8=0,"0",IF(AND(Results!$E$5="Protein",$C$53&gt;0,OR(Results!$E$4="Tissue",Results!$E$4="Cells")),((BJ8*BJ$51)/(BJ$53)),IF(AND(Results!$E$5="Weight",$C$52&gt;0, Results!$E$4="Tissue",OR($B$52="g",$B$52="mg")),((BJ8*BJ$51)/(BJ$52)),IF(AND(Results!$E$5="Volume",$C$54&gt;0,Results!$E$4="Fluid"),((BJ8*BJ$51)/(BJ$54)),IF(AND(Results!$E$4="Cells",Results!$E$5="Million",$B$52="million"),((BJ8*BJ$51)/(BJ$52)),"0")))))</f>
        <v>11.545350000000001</v>
      </c>
      <c r="BK61" s="20">
        <f>IF(BK8=0,"0",IF(AND(Results!$E$5="Protein",$C$53&gt;0,OR(Results!$E$4="Tissue",Results!$E$4="Cells")),((BK8*BK$51)/(BK$53)),IF(AND(Results!$E$5="Weight",$C$52&gt;0, Results!$E$4="Tissue",OR($B$52="g",$B$52="mg")),((BK8*BK$51)/(BK$52)),IF(AND(Results!$E$5="Volume",$C$54&gt;0,Results!$E$4="Fluid"),((BK8*BK$51)/(BK$54)),IF(AND(Results!$E$4="Cells",Results!$E$5="Million",$B$52="million"),((BK8*BK$51)/(BK$52)),"0")))))</f>
        <v>0.66601666666666659</v>
      </c>
      <c r="BL61" s="20">
        <f>IF(BL8=0,"0",IF(AND(Results!$E$5="Protein",$C$53&gt;0,OR(Results!$E$4="Tissue",Results!$E$4="Cells")),((BL8*BL$51)/(BL$53)),IF(AND(Results!$E$5="Weight",$C$52&gt;0, Results!$E$4="Tissue",OR($B$52="g",$B$52="mg")),((BL8*BL$51)/(BL$52)),IF(AND(Results!$E$5="Volume",$C$54&gt;0,Results!$E$4="Fluid"),((BL8*BL$51)/(BL$54)),IF(AND(Results!$E$4="Cells",Results!$E$5="Million",$B$52="million"),((BL8*BL$51)/(BL$52)),"0")))))</f>
        <v>6.5078333333333331</v>
      </c>
      <c r="BM61" s="20">
        <f>IF(BM8=0,"0",IF(AND(Results!$E$5="Protein",$C$53&gt;0,OR(Results!$E$4="Tissue",Results!$E$4="Cells")),((BM8*BM$51)/(BM$53)),IF(AND(Results!$E$5="Weight",$C$52&gt;0, Results!$E$4="Tissue",OR($B$52="g",$B$52="mg")),((BM8*BM$51)/(BM$52)),IF(AND(Results!$E$5="Volume",$C$54&gt;0,Results!$E$4="Fluid"),((BM8*BM$51)/(BM$54)),IF(AND(Results!$E$4="Cells",Results!$E$5="Million",$B$52="million"),((BM8*BM$51)/(BM$52)),"0")))))</f>
        <v>7.9515999999999991</v>
      </c>
      <c r="BN61" s="20">
        <f>IF(BN8=0,"0",IF(AND(Results!$E$5="Protein",$C$53&gt;0,OR(Results!$E$4="Tissue",Results!$E$4="Cells")),((BN8*BN$51)/(BN$53)),IF(AND(Results!$E$5="Weight",$C$52&gt;0, Results!$E$4="Tissue",OR($B$52="g",$B$52="mg")),((BN8*BN$51)/(BN$52)),IF(AND(Results!$E$5="Volume",$C$54&gt;0,Results!$E$4="Fluid"),((BN8*BN$51)/(BN$54)),IF(AND(Results!$E$4="Cells",Results!$E$5="Million",$B$52="million"),((BN8*BN$51)/(BN$52)),"0")))))</f>
        <v>12.03795</v>
      </c>
      <c r="BO61" s="20">
        <f>IF(BO8=0,"0",IF(AND(Results!$E$5="Protein",$C$53&gt;0,OR(Results!$E$4="Tissue",Results!$E$4="Cells")),((BO8*BO$51)/(BO$53)),IF(AND(Results!$E$5="Weight",$C$52&gt;0, Results!$E$4="Tissue",OR($B$52="g",$B$52="mg")),((BO8*BO$51)/(BO$52)),IF(AND(Results!$E$5="Volume",$C$54&gt;0,Results!$E$4="Fluid"),((BO8*BO$51)/(BO$54)),IF(AND(Results!$E$4="Cells",Results!$E$5="Million",$B$52="million"),((BO8*BO$51)/(BO$52)),"0")))))</f>
        <v>5.4915333333333329</v>
      </c>
      <c r="BP61" s="20">
        <f>IF(BP8=0,"0",IF(AND(Results!$E$5="Protein",$C$53&gt;0,OR(Results!$E$4="Tissue",Results!$E$4="Cells")),((BP8*BP$51)/(BP$53)),IF(AND(Results!$E$5="Weight",$C$52&gt;0, Results!$E$4="Tissue",OR($B$52="g",$B$52="mg")),((BP8*BP$51)/(BP$52)),IF(AND(Results!$E$5="Volume",$C$54&gt;0,Results!$E$4="Fluid"),((BP8*BP$51)/(BP$54)),IF(AND(Results!$E$4="Cells",Results!$E$5="Million",$B$52="million"),((BP8*BP$51)/(BP$52)),"0")))))</f>
        <v>4.3374833333333331</v>
      </c>
      <c r="BQ61" s="20">
        <f>IF(BQ8=0,"0",IF(AND(Results!$E$5="Protein",$C$53&gt;0,OR(Results!$E$4="Tissue",Results!$E$4="Cells")),((BQ8*BQ$51)/(BQ$53)),IF(AND(Results!$E$5="Weight",$C$52&gt;0, Results!$E$4="Tissue",OR($B$52="g",$B$52="mg")),((BQ8*BQ$51)/(BQ$52)),IF(AND(Results!$E$5="Volume",$C$54&gt;0,Results!$E$4="Fluid"),((BQ8*BQ$51)/(BQ$54)),IF(AND(Results!$E$4="Cells",Results!$E$5="Million",$B$52="million"),((BQ8*BQ$51)/(BQ$52)),"0")))))</f>
        <v>1.30985</v>
      </c>
      <c r="BR61" s="20">
        <f>IF(BR8=0,"0",IF(AND(Results!$E$5="Protein",$C$53&gt;0,OR(Results!$E$4="Tissue",Results!$E$4="Cells")),((BR8*BR$51)/(BR$53)),IF(AND(Results!$E$5="Weight",$C$52&gt;0, Results!$E$4="Tissue",OR($B$52="g",$B$52="mg")),((BR8*BR$51)/(BR$52)),IF(AND(Results!$E$5="Volume",$C$54&gt;0,Results!$E$4="Fluid"),((BR8*BR$51)/(BR$54)),IF(AND(Results!$E$4="Cells",Results!$E$5="Million",$B$52="million"),((BR8*BR$51)/(BR$52)),"0")))))</f>
        <v>0.13900000000000001</v>
      </c>
      <c r="BS61" s="20">
        <f>IF(BS8=0,"0",IF(AND(Results!$E$5="Protein",$C$53&gt;0,OR(Results!$E$4="Tissue",Results!$E$4="Cells")),((BS8*BS$51)/(BS$53)),IF(AND(Results!$E$5="Weight",$C$52&gt;0, Results!$E$4="Tissue",OR($B$52="g",$B$52="mg")),((BS8*BS$51)/(BS$52)),IF(AND(Results!$E$5="Volume",$C$54&gt;0,Results!$E$4="Fluid"),((BS8*BS$51)/(BS$54)),IF(AND(Results!$E$4="Cells",Results!$E$5="Million",$B$52="million"),((BS8*BS$51)/(BS$52)),"0")))))</f>
        <v>2.4260499999999996</v>
      </c>
      <c r="BT61" s="20">
        <f>IF(BT8=0,"0",IF(AND(Results!$E$5="Protein",$C$53&gt;0,OR(Results!$E$4="Tissue",Results!$E$4="Cells")),((BT8*BT$51)/(BT$53)),IF(AND(Results!$E$5="Weight",$C$52&gt;0, Results!$E$4="Tissue",OR($B$52="g",$B$52="mg")),((BT8*BT$51)/(BT$52)),IF(AND(Results!$E$5="Volume",$C$54&gt;0,Results!$E$4="Fluid"),((BT8*BT$51)/(BT$54)),IF(AND(Results!$E$4="Cells",Results!$E$5="Million",$B$52="million"),((BT8*BT$51)/(BT$52)),"0")))))</f>
        <v>1.0128999999999999</v>
      </c>
      <c r="BU61" s="20">
        <f>IF(BU8=0,"0",IF(AND(Results!$E$5="Protein",$C$53&gt;0,OR(Results!$E$4="Tissue",Results!$E$4="Cells")),((BU8*BU$51)/(BU$53)),IF(AND(Results!$E$5="Weight",$C$52&gt;0, Results!$E$4="Tissue",OR($B$52="g",$B$52="mg")),((BU8*BU$51)/(BU$52)),IF(AND(Results!$E$5="Volume",$C$54&gt;0,Results!$E$4="Fluid"),((BU8*BU$51)/(BU$54)),IF(AND(Results!$E$4="Cells",Results!$E$5="Million",$B$52="million"),((BU8*BU$51)/(BU$52)),"0")))))</f>
        <v>1.73855</v>
      </c>
      <c r="BV61" s="20">
        <f>IF(BV8=0,"0",IF(AND(Results!$E$5="Protein",$C$53&gt;0,OR(Results!$E$4="Tissue",Results!$E$4="Cells")),((BV8*BV$51)/(BV$53)),IF(AND(Results!$E$5="Weight",$C$52&gt;0, Results!$E$4="Tissue",OR($B$52="g",$B$52="mg")),((BV8*BV$51)/(BV$52)),IF(AND(Results!$E$5="Volume",$C$54&gt;0,Results!$E$4="Fluid"),((BV8*BV$51)/(BV$54)),IF(AND(Results!$E$4="Cells",Results!$E$5="Million",$B$52="million"),((BV8*BV$51)/(BV$52)),"0")))))</f>
        <v>1.2248666666666665</v>
      </c>
      <c r="BW61" s="20">
        <f>IF(BW8=0,"0",IF(AND(Results!$E$5="Protein",$C$53&gt;0,OR(Results!$E$4="Tissue",Results!$E$4="Cells")),((BW8*BW$51)/(BW$53)),IF(AND(Results!$E$5="Weight",$C$52&gt;0, Results!$E$4="Tissue",OR($B$52="g",$B$52="mg")),((BW8*BW$51)/(BW$52)),IF(AND(Results!$E$5="Volume",$C$54&gt;0,Results!$E$4="Fluid"),((BW8*BW$51)/(BW$54)),IF(AND(Results!$E$4="Cells",Results!$E$5="Million",$B$52="million"),((BW8*BW$51)/(BW$52)),"0")))))</f>
        <v>1.3663833333333335</v>
      </c>
      <c r="BX61" s="20">
        <f>IF(BX8=0,"0",IF(AND(Results!$E$5="Protein",$C$53&gt;0,OR(Results!$E$4="Tissue",Results!$E$4="Cells")),((BX8*BX$51)/(BX$53)),IF(AND(Results!$E$5="Weight",$C$52&gt;0, Results!$E$4="Tissue",OR($B$52="g",$B$52="mg")),((BX8*BX$51)/(BX$52)),IF(AND(Results!$E$5="Volume",$C$54&gt;0,Results!$E$4="Fluid"),((BX8*BX$51)/(BX$54)),IF(AND(Results!$E$4="Cells",Results!$E$5="Million",$B$52="million"),((BX8*BX$51)/(BX$52)),"0")))))</f>
        <v>0.38970000000000005</v>
      </c>
      <c r="BY61" s="20">
        <f>IF(BY8=0,"0",IF(AND(Results!$E$5="Protein",$C$53&gt;0,OR(Results!$E$4="Tissue",Results!$E$4="Cells")),((BY8*BY$51)/(BY$53)),IF(AND(Results!$E$5="Weight",$C$52&gt;0, Results!$E$4="Tissue",OR($B$52="g",$B$52="mg")),((BY8*BY$51)/(BY$52)),IF(AND(Results!$E$5="Volume",$C$54&gt;0,Results!$E$4="Fluid"),((BY8*BY$51)/(BY$54)),IF(AND(Results!$E$4="Cells",Results!$E$5="Million",$B$52="million"),((BY8*BY$51)/(BY$52)),"0")))))</f>
        <v>0.95403333333333329</v>
      </c>
      <c r="BZ61" s="20">
        <f>IF(BZ8=0,"0",IF(AND(Results!$E$5="Protein",$C$53&gt;0,OR(Results!$E$4="Tissue",Results!$E$4="Cells")),((BZ8*BZ$51)/(BZ$53)),IF(AND(Results!$E$5="Weight",$C$52&gt;0, Results!$E$4="Tissue",OR($B$52="g",$B$52="mg")),((BZ8*BZ$51)/(BZ$52)),IF(AND(Results!$E$5="Volume",$C$54&gt;0,Results!$E$4="Fluid"),((BZ8*BZ$51)/(BZ$54)),IF(AND(Results!$E$4="Cells",Results!$E$5="Million",$B$52="million"),((BZ8*BZ$51)/(BZ$52)),"0")))))</f>
        <v>0.97865000000000002</v>
      </c>
      <c r="CA61" s="20">
        <f>IF(CA8=0,"0",IF(AND(Results!$E$5="Protein",$C$53&gt;0,OR(Results!$E$4="Tissue",Results!$E$4="Cells")),((CA8*CA$51)/(CA$53)),IF(AND(Results!$E$5="Weight",$C$52&gt;0, Results!$E$4="Tissue",OR($B$52="g",$B$52="mg")),((CA8*CA$51)/(CA$52)),IF(AND(Results!$E$5="Volume",$C$54&gt;0,Results!$E$4="Fluid"),((CA8*CA$51)/(CA$54)),IF(AND(Results!$E$4="Cells",Results!$E$5="Million",$B$52="million"),((CA8*CA$51)/(CA$52)),"0")))))</f>
        <v>0.61681666666666668</v>
      </c>
      <c r="CB61" s="20">
        <f>IF(CB8=0,"0",IF(AND(Results!$E$5="Protein",$C$53&gt;0,OR(Results!$E$4="Tissue",Results!$E$4="Cells")),((CB8*CB$51)/(CB$53)),IF(AND(Results!$E$5="Weight",$C$52&gt;0, Results!$E$4="Tissue",OR($B$52="g",$B$52="mg")),((CB8*CB$51)/(CB$52)),IF(AND(Results!$E$5="Volume",$C$54&gt;0,Results!$E$4="Fluid"),((CB8*CB$51)/(CB$54)),IF(AND(Results!$E$4="Cells",Results!$E$5="Million",$B$52="million"),((CB8*CB$51)/(CB$52)),"0")))))</f>
        <v>0.7456666666666667</v>
      </c>
      <c r="CC61" s="20">
        <f>IF(CC8=0,"0",IF(AND(Results!$E$5="Protein",$C$53&gt;0,OR(Results!$E$4="Tissue",Results!$E$4="Cells")),((CC8*CC$51)/(CC$53)),IF(AND(Results!$E$5="Weight",$C$52&gt;0, Results!$E$4="Tissue",OR($B$52="g",$B$52="mg")),((CC8*CC$51)/(CC$52)),IF(AND(Results!$E$5="Volume",$C$54&gt;0,Results!$E$4="Fluid"),((CC8*CC$51)/(CC$54)),IF(AND(Results!$E$4="Cells",Results!$E$5="Million",$B$52="million"),((CC8*CC$51)/(CC$52)),"0")))))</f>
        <v>0.34073333333333333</v>
      </c>
      <c r="CD61" s="20">
        <f>IF(CD8=0,"0",IF(AND(Results!$E$5="Protein",$C$53&gt;0,OR(Results!$E$4="Tissue",Results!$E$4="Cells")),((CD8*CD$51)/(CD$53)),IF(AND(Results!$E$5="Weight",$C$52&gt;0, Results!$E$4="Tissue",OR($B$52="g",$B$52="mg")),((CD8*CD$51)/(CD$52)),IF(AND(Results!$E$5="Volume",$C$54&gt;0,Results!$E$4="Fluid"),((CD8*CD$51)/(CD$54)),IF(AND(Results!$E$4="Cells",Results!$E$5="Million",$B$52="million"),((CD8*CD$51)/(CD$52)),"0")))))</f>
        <v>0.53456666666666663</v>
      </c>
      <c r="CE61" s="20">
        <f>IF(CE8=0,"0",IF(AND(Results!$E$5="Protein",$C$53&gt;0,OR(Results!$E$4="Tissue",Results!$E$4="Cells")),((CE8*CE$51)/(CE$53)),IF(AND(Results!$E$5="Weight",$C$52&gt;0, Results!$E$4="Tissue",OR($B$52="g",$B$52="mg")),((CE8*CE$51)/(CE$52)),IF(AND(Results!$E$5="Volume",$C$54&gt;0,Results!$E$4="Fluid"),((CE8*CE$51)/(CE$54)),IF(AND(Results!$E$4="Cells",Results!$E$5="Million",$B$52="million"),((CE8*CE$51)/(CE$52)),"0")))))</f>
        <v>0.42699999999999994</v>
      </c>
      <c r="CF61" s="20">
        <f>IF(CF8=0,"0",IF(AND(Results!$E$5="Protein",$C$53&gt;0,OR(Results!$E$4="Tissue",Results!$E$4="Cells")),((CF8*CF$51)/(CF$53)),IF(AND(Results!$E$5="Weight",$C$52&gt;0, Results!$E$4="Tissue",OR($B$52="g",$B$52="mg")),((CF8*CF$51)/(CF$52)),IF(AND(Results!$E$5="Volume",$C$54&gt;0,Results!$E$4="Fluid"),((CF8*CF$51)/(CF$54)),IF(AND(Results!$E$4="Cells",Results!$E$5="Million",$B$52="million"),((CF8*CF$51)/(CF$52)),"0")))))</f>
        <v>0.51063333333333338</v>
      </c>
      <c r="CG61" s="20">
        <f>IF(CG8=0,"0",IF(AND(Results!$E$5="Protein",$C$53&gt;0,OR(Results!$E$4="Tissue",Results!$E$4="Cells")),((CG8*CG$51)/(CG$53)),IF(AND(Results!$E$5="Weight",$C$52&gt;0, Results!$E$4="Tissue",OR($B$52="g",$B$52="mg")),((CG8*CG$51)/(CG$52)),IF(AND(Results!$E$5="Volume",$C$54&gt;0,Results!$E$4="Fluid"),((CG8*CG$51)/(CG$54)),IF(AND(Results!$E$4="Cells",Results!$E$5="Million",$B$52="million"),((CG8*CG$51)/(CG$52)),"0")))))</f>
        <v>0.88746666666666663</v>
      </c>
      <c r="CH61" s="20">
        <f>IF(CH8=0,"0",IF(AND(Results!$E$5="Protein",$C$53&gt;0,OR(Results!$E$4="Tissue",Results!$E$4="Cells")),((CH8*CH$51)/(CH$53)),IF(AND(Results!$E$5="Weight",$C$52&gt;0, Results!$E$4="Tissue",OR($B$52="g",$B$52="mg")),((CH8*CH$51)/(CH$52)),IF(AND(Results!$E$5="Volume",$C$54&gt;0,Results!$E$4="Fluid"),((CH8*CH$51)/(CH$54)),IF(AND(Results!$E$4="Cells",Results!$E$5="Million",$B$52="million"),((CH8*CH$51)/(CH$52)),"0")))))</f>
        <v>0.49783333333333335</v>
      </c>
      <c r="CI61" s="20">
        <f>IF(CI8=0,"0",IF(AND(Results!$E$5="Protein",$C$53&gt;0,OR(Results!$E$4="Tissue",Results!$E$4="Cells")),((CI8*CI$51)/(CI$53)),IF(AND(Results!$E$5="Weight",$C$52&gt;0, Results!$E$4="Tissue",OR($B$52="g",$B$52="mg")),((CI8*CI$51)/(CI$52)),IF(AND(Results!$E$5="Volume",$C$54&gt;0,Results!$E$4="Fluid"),((CI8*CI$51)/(CI$54)),IF(AND(Results!$E$4="Cells",Results!$E$5="Million",$B$52="million"),((CI8*CI$51)/(CI$52)),"0")))))</f>
        <v>1.9509666666666665</v>
      </c>
      <c r="CJ61" s="20">
        <f>IF(CJ8=0,"0",IF(AND(Results!$E$5="Protein",$C$53&gt;0,OR(Results!$E$4="Tissue",Results!$E$4="Cells")),((CJ8*CJ$51)/(CJ$53)),IF(AND(Results!$E$5="Weight",$C$52&gt;0, Results!$E$4="Tissue",OR($B$52="g",$B$52="mg")),((CJ8*CJ$51)/(CJ$52)),IF(AND(Results!$E$5="Volume",$C$54&gt;0,Results!$E$4="Fluid"),((CJ8*CJ$51)/(CJ$54)),IF(AND(Results!$E$4="Cells",Results!$E$5="Million",$B$52="million"),((CJ8*CJ$51)/(CJ$52)),"0")))))</f>
        <v>0.28211111111111109</v>
      </c>
      <c r="CK61" s="20">
        <f>IF(CK8=0,"0",IF(AND(Results!$E$5="Protein",$C$53&gt;0,OR(Results!$E$4="Tissue",Results!$E$4="Cells")),((CK8*CK$51)/(CK$53)),IF(AND(Results!$E$5="Weight",$C$52&gt;0, Results!$E$4="Tissue",OR($B$52="g",$B$52="mg")),((CK8*CK$51)/(CK$52)),IF(AND(Results!$E$5="Volume",$C$54&gt;0,Results!$E$4="Fluid"),((CK8*CK$51)/(CK$54)),IF(AND(Results!$E$4="Cells",Results!$E$5="Million",$B$52="million"),((CK8*CK$51)/(CK$52)),"0")))))</f>
        <v>7.768333333333334E-2</v>
      </c>
      <c r="CL61" s="20">
        <f>IF(CL8=0,"0",IF(AND(Results!$E$5="Protein",$C$53&gt;0,OR(Results!$E$4="Tissue",Results!$E$4="Cells")),((CL8*CL$51)/(CL$53)),IF(AND(Results!$E$5="Weight",$C$52&gt;0, Results!$E$4="Tissue",OR($B$52="g",$B$52="mg")),((CL8*CL$51)/(CL$52)),IF(AND(Results!$E$5="Volume",$C$54&gt;0,Results!$E$4="Fluid"),((CL8*CL$51)/(CL$54)),IF(AND(Results!$E$4="Cells",Results!$E$5="Million",$B$52="million"),((CL8*CL$51)/(CL$52)),"0")))))</f>
        <v>0.16593333333333332</v>
      </c>
      <c r="CM61" s="20">
        <f>IF(CM8=0,"0",IF(AND(Results!$E$5="Protein",$C$53&gt;0,OR(Results!$E$4="Tissue",Results!$E$4="Cells")),((CM8*CM$51)/(CM$53)),IF(AND(Results!$E$5="Weight",$C$52&gt;0, Results!$E$4="Tissue",OR($B$52="g",$B$52="mg")),((CM8*CM$51)/(CM$52)),IF(AND(Results!$E$5="Volume",$C$54&gt;0,Results!$E$4="Fluid"),((CM8*CM$51)/(CM$54)),IF(AND(Results!$E$4="Cells",Results!$E$5="Million",$B$52="million"),((CM8*CM$51)/(CM$52)),"0")))))</f>
        <v>0.61809999999999998</v>
      </c>
      <c r="CN61" s="20">
        <f>IF(CN8=0,"0",IF(AND(Results!$E$5="Protein",$C$53&gt;0,OR(Results!$E$4="Tissue",Results!$E$4="Cells")),((CN8*CN$51)/(CN$53)),IF(AND(Results!$E$5="Weight",$C$52&gt;0, Results!$E$4="Tissue",OR($B$52="g",$B$52="mg")),((CN8*CN$51)/(CN$52)),IF(AND(Results!$E$5="Volume",$C$54&gt;0,Results!$E$4="Fluid"),((CN8*CN$51)/(CN$54)),IF(AND(Results!$E$4="Cells",Results!$E$5="Million",$B$52="million"),((CN8*CN$51)/(CN$52)),"0")))))</f>
        <v>0.34671666666666662</v>
      </c>
      <c r="CO61" s="20">
        <f>IF(CO8=0,"0",IF(AND(Results!$E$5="Protein",$C$53&gt;0,OR(Results!$E$4="Tissue",Results!$E$4="Cells")),((CO8*CO$51)/(CO$53)),IF(AND(Results!$E$5="Weight",$C$52&gt;0, Results!$E$4="Tissue",OR($B$52="g",$B$52="mg")),((CO8*CO$51)/(CO$52)),IF(AND(Results!$E$5="Volume",$C$54&gt;0,Results!$E$4="Fluid"),((CO8*CO$51)/(CO$54)),IF(AND(Results!$E$4="Cells",Results!$E$5="Million",$B$52="million"),((CO8*CO$51)/(CO$52)),"0")))))</f>
        <v>0.15629999999999999</v>
      </c>
      <c r="CP61" s="20">
        <f>IF(CP8=0,"0",IF(AND(Results!$E$5="Protein",$C$53&gt;0,OR(Results!$E$4="Tissue",Results!$E$4="Cells")),((CP8*CP$51)/(CP$53)),IF(AND(Results!$E$5="Weight",$C$52&gt;0, Results!$E$4="Tissue",OR($B$52="g",$B$52="mg")),((CP8*CP$51)/(CP$52)),IF(AND(Results!$E$5="Volume",$C$54&gt;0,Results!$E$4="Fluid"),((CP8*CP$51)/(CP$54)),IF(AND(Results!$E$4="Cells",Results!$E$5="Million",$B$52="million"),((CP8*CP$51)/(CP$52)),"0")))))</f>
        <v>0.84433333333333327</v>
      </c>
      <c r="CQ61" s="20">
        <f>IF(CQ8=0,"0",IF(AND(Results!$E$5="Protein",$C$53&gt;0,OR(Results!$E$4="Tissue",Results!$E$4="Cells")),((CQ8*CQ$51)/(CQ$53)),IF(AND(Results!$E$5="Weight",$C$52&gt;0, Results!$E$4="Tissue",OR($B$52="g",$B$52="mg")),((CQ8*CQ$51)/(CQ$52)),IF(AND(Results!$E$5="Volume",$C$54&gt;0,Results!$E$4="Fluid"),((CQ8*CQ$51)/(CQ$54)),IF(AND(Results!$E$4="Cells",Results!$E$5="Million",$B$52="million"),((CQ8*CQ$51)/(CQ$52)),"0")))))</f>
        <v>0.26824999999999999</v>
      </c>
      <c r="CR61" s="20">
        <f>IF(CR8=0,"0",IF(AND(Results!$E$5="Protein",$C$53&gt;0,OR(Results!$E$4="Tissue",Results!$E$4="Cells")),((CR8*CR$51)/(CR$53)),IF(AND(Results!$E$5="Weight",$C$52&gt;0, Results!$E$4="Tissue",OR($B$52="g",$B$52="mg")),((CR8*CR$51)/(CR$52)),IF(AND(Results!$E$5="Volume",$C$54&gt;0,Results!$E$4="Fluid"),((CR8*CR$51)/(CR$54)),IF(AND(Results!$E$4="Cells",Results!$E$5="Million",$B$52="million"),((CR8*CR$51)/(CR$52)),"0")))))</f>
        <v>4.9625833333333329</v>
      </c>
      <c r="CS61" s="20">
        <f>IF(CS8=0,"0",IF(AND(Results!$E$5="Protein",$C$53&gt;0,OR(Results!$E$4="Tissue",Results!$E$4="Cells")),((CS8*CS$51)/(CS$53)),IF(AND(Results!$E$5="Weight",$C$52&gt;0, Results!$E$4="Tissue",OR($B$52="g",$B$52="mg")),((CS8*CS$51)/(CS$52)),IF(AND(Results!$E$5="Volume",$C$54&gt;0,Results!$E$4="Fluid"),((CS8*CS$51)/(CS$54)),IF(AND(Results!$E$4="Cells",Results!$E$5="Million",$B$52="million"),((CS8*CS$51)/(CS$52)),"0")))))</f>
        <v>0.10801666666666666</v>
      </c>
      <c r="CT61" s="20">
        <f>IF(CT8=0,"0",IF(AND(Results!$E$5="Protein",$C$53&gt;0,OR(Results!$E$4="Tissue",Results!$E$4="Cells")),((CT8*CT$51)/(CT$53)),IF(AND(Results!$E$5="Weight",$C$52&gt;0, Results!$E$4="Tissue",OR($B$52="g",$B$52="mg")),((CT8*CT$51)/(CT$52)),IF(AND(Results!$E$5="Volume",$C$54&gt;0,Results!$E$4="Fluid"),((CT8*CT$51)/(CT$54)),IF(AND(Results!$E$4="Cells",Results!$E$5="Million",$B$52="million"),((CT8*CT$51)/(CT$52)),"0")))))</f>
        <v>0.96851666666666658</v>
      </c>
      <c r="CU61" s="20">
        <f>IF(CU8=0,"0",IF(AND(Results!$E$5="Protein",$C$53&gt;0,OR(Results!$E$4="Tissue",Results!$E$4="Cells")),((CU8*CU$51)/(CU$53)),IF(AND(Results!$E$5="Weight",$C$52&gt;0, Results!$E$4="Tissue",OR($B$52="g",$B$52="mg")),((CU8*CU$51)/(CU$52)),IF(AND(Results!$E$5="Volume",$C$54&gt;0,Results!$E$4="Fluid"),((CU8*CU$51)/(CU$54)),IF(AND(Results!$E$4="Cells",Results!$E$5="Million",$B$52="million"),((CU8*CU$51)/(CU$52)),"0")))))</f>
        <v>0.39220000000000005</v>
      </c>
      <c r="CV61" s="20" t="str">
        <f>IF(CV8=0,"0",IF(AND(Results!$E$5="Protein",$C$53&gt;0,OR(Results!$E$4="Tissue",Results!$E$4="Cells")),((CV8*CV$51)/(CV$53)),IF(AND(Results!$E$5="Weight",$C$52&gt;0, Results!$E$4="Tissue",OR($B$52="g",$B$52="mg")),((CV8*CV$51)/(CV$52)),IF(AND(Results!$E$5="Volume",$C$54&gt;0,Results!$E$4="Fluid"),((CV8*CV$51)/(CV$54)),IF(AND(Results!$E$4="Cells",Results!$E$5="Million",$B$52="million"),((CV8*CV$51)/(CV$52)),"0")))))</f>
        <v>0</v>
      </c>
      <c r="CW61" s="20">
        <f>IF(CW8=0,"0",IF(AND(Results!$E$5="Protein",$C$53&gt;0,OR(Results!$E$4="Tissue",Results!$E$4="Cells")),((CW8*CW$51)/(CW$53)),IF(AND(Results!$E$5="Weight",$C$52&gt;0, Results!$E$4="Tissue",OR($B$52="g",$B$52="mg")),((CW8*CW$51)/(CW$52)),IF(AND(Results!$E$5="Volume",$C$54&gt;0,Results!$E$4="Fluid"),((CW8*CW$51)/(CW$54)),IF(AND(Results!$E$4="Cells",Results!$E$5="Million",$B$52="million"),((CW8*CW$51)/(CW$52)),"0")))))</f>
        <v>1.1581333333333332</v>
      </c>
      <c r="CX61" s="20">
        <f>IF(CX8=0,"0",IF(AND(Results!$E$5="Protein",$C$53&gt;0,OR(Results!$E$4="Tissue",Results!$E$4="Cells")),((CX8*CX$51)/(CX$53)),IF(AND(Results!$E$5="Weight",$C$52&gt;0, Results!$E$4="Tissue",OR($B$52="g",$B$52="mg")),((CX8*CX$51)/(CX$52)),IF(AND(Results!$E$5="Volume",$C$54&gt;0,Results!$E$4="Fluid"),((CX8*CX$51)/(CX$54)),IF(AND(Results!$E$4="Cells",Results!$E$5="Million",$B$52="million"),((CX8*CX$51)/(CX$52)),"0")))))</f>
        <v>0.76980000000000004</v>
      </c>
      <c r="CY61" s="20">
        <f>IF(CY8=0,"0",IF(AND(Results!$E$5="Protein",$C$53&gt;0,OR(Results!$E$4="Tissue",Results!$E$4="Cells")),((CY8*CY$51)/(CY$53)),IF(AND(Results!$E$5="Weight",$C$52&gt;0, Results!$E$4="Tissue",OR($B$52="g",$B$52="mg")),((CY8*CY$51)/(CY$52)),IF(AND(Results!$E$5="Volume",$C$54&gt;0,Results!$E$4="Fluid"),((CY8*CY$51)/(CY$54)),IF(AND(Results!$E$4="Cells",Results!$E$5="Million",$B$52="million"),((CY8*CY$51)/(CY$52)),"0")))))</f>
        <v>6.2233333333333335E-2</v>
      </c>
      <c r="CZ61" s="20" t="str">
        <f>IF(CZ8=0,"0",IF(AND(Results!$E$5="Protein",$C$53&gt;0,OR(Results!$E$4="Tissue",Results!$E$4="Cells")),((CZ8*CZ$51)/(CZ$53)),IF(AND(Results!$E$5="Weight",$C$52&gt;0, Results!$E$4="Tissue",OR($B$52="g",$B$52="mg")),((CZ8*CZ$51)/(CZ$52)),IF(AND(Results!$E$5="Volume",$C$54&gt;0,Results!$E$4="Fluid"),((CZ8*CZ$51)/(CZ$54)),IF(AND(Results!$E$4="Cells",Results!$E$5="Million",$B$52="million"),((CZ8*CZ$51)/(CZ$52)),"0")))))</f>
        <v>0</v>
      </c>
      <c r="DA61" s="20" t="str">
        <f>IF(DA8=0,"0",IF(AND(Results!$E$5="Protein",$C$53&gt;0,OR(Results!$E$4="Tissue",Results!$E$4="Cells")),((DA8*DA$51)/(DA$53)),IF(AND(Results!$E$5="Weight",$C$52&gt;0, Results!$E$4="Tissue",OR($B$52="g",$B$52="mg")),((DA8*DA$51)/(DA$52)),IF(AND(Results!$E$5="Volume",$C$54&gt;0,Results!$E$4="Fluid"),((DA8*DA$51)/(DA$54)),IF(AND(Results!$E$4="Cells",Results!$E$5="Million",$B$52="million"),((DA8*DA$51)/(DA$52)),"0")))))</f>
        <v>0</v>
      </c>
      <c r="DB61" s="20">
        <f>IF(DB8=0,"0",IF(AND(Results!$E$5="Protein",$C$53&gt;0,OR(Results!$E$4="Tissue",Results!$E$4="Cells")),((DB8*DB$51)/(DB$53)),IF(AND(Results!$E$5="Weight",$C$52&gt;0, Results!$E$4="Tissue",OR($B$52="g",$B$52="mg")),((DB8*DB$51)/(DB$52)),IF(AND(Results!$E$5="Volume",$C$54&gt;0,Results!$E$4="Fluid"),((DB8*DB$51)/(DB$54)),IF(AND(Results!$E$4="Cells",Results!$E$5="Million",$B$52="million"),((DB8*DB$51)/(DB$52)),"0")))))</f>
        <v>7.3633333333333342E-2</v>
      </c>
      <c r="DC61" s="20">
        <f>IF(DC8=0,"0",IF(AND(Results!$E$5="Protein",$C$53&gt;0,OR(Results!$E$4="Tissue",Results!$E$4="Cells")),((DC8*DC$51)/(DC$53)),IF(AND(Results!$E$5="Weight",$C$52&gt;0, Results!$E$4="Tissue",OR($B$52="g",$B$52="mg")),((DC8*DC$51)/(DC$52)),IF(AND(Results!$E$5="Volume",$C$54&gt;0,Results!$E$4="Fluid"),((DC8*DC$51)/(DC$54)),IF(AND(Results!$E$4="Cells",Results!$E$5="Million",$B$52="million"),((DC8*DC$51)/(DC$52)),"0")))))</f>
        <v>0.87911666666666666</v>
      </c>
      <c r="DD61" s="20" t="str">
        <f>IF(DD8=0,"0",IF(AND(Results!$E$5="Protein",$C$53&gt;0,OR(Results!$E$4="Tissue",Results!$E$4="Cells")),((DD8*DD$51)/(DD$53)),IF(AND(Results!$E$5="Weight",$C$52&gt;0, Results!$E$4="Tissue",OR($B$52="g",$B$52="mg")),((DD8*DD$51)/(DD$52)),IF(AND(Results!$E$5="Volume",$C$54&gt;0,Results!$E$4="Fluid"),((DD8*DD$51)/(DD$54)),IF(AND(Results!$E$4="Cells",Results!$E$5="Million",$B$52="million"),((DD8*DD$51)/(DD$52)),"0")))))</f>
        <v>0</v>
      </c>
      <c r="DE61" s="20" t="str">
        <f>IF(DE8=0,"0",IF(AND(Results!$E$5="Protein",$C$53&gt;0,OR(Results!$E$4="Tissue",Results!$E$4="Cells")),((DE8*DE$51)/(DE$53)),IF(AND(Results!$E$5="Weight",$C$52&gt;0, Results!$E$4="Tissue",OR($B$52="g",$B$52="mg")),((DE8*DE$51)/(DE$52)),IF(AND(Results!$E$5="Volume",$C$54&gt;0,Results!$E$4="Fluid"),((DE8*DE$51)/(DE$54)),IF(AND(Results!$E$4="Cells",Results!$E$5="Million",$B$52="million"),((DE8*DE$51)/(DE$52)),"0")))))</f>
        <v>0</v>
      </c>
      <c r="DF61" s="20">
        <f>IF(DF8=0,"0",IF(AND(Results!$E$5="Protein",$C$53&gt;0,OR(Results!$E$4="Tissue",Results!$E$4="Cells")),((DF8*DF$51)/(DF$53)),IF(AND(Results!$E$5="Weight",$C$52&gt;0, Results!$E$4="Tissue",OR($B$52="g",$B$52="mg")),((DF8*DF$51)/(DF$52)),IF(AND(Results!$E$5="Volume",$C$54&gt;0,Results!$E$4="Fluid"),((DF8*DF$51)/(DF$54)),IF(AND(Results!$E$4="Cells",Results!$E$5="Million",$B$52="million"),((DF8*DF$51)/(DF$52)),"0")))))</f>
        <v>0.23559999999999998</v>
      </c>
      <c r="DG61" s="20">
        <f>IF(DG8=0,"0",IF(AND(Results!$E$5="Protein",$C$53&gt;0,OR(Results!$E$4="Tissue",Results!$E$4="Cells")),((DG8*DG$51)/(DG$53)),IF(AND(Results!$E$5="Weight",$C$52&gt;0, Results!$E$4="Tissue",OR($B$52="g",$B$52="mg")),((DG8*DG$51)/(DG$52)),IF(AND(Results!$E$5="Volume",$C$54&gt;0,Results!$E$4="Fluid"),((DG8*DG$51)/(DG$54)),IF(AND(Results!$E$4="Cells",Results!$E$5="Million",$B$52="million"),((DG8*DG$51)/(DG$52)),"0")))))</f>
        <v>1.4722833333333334</v>
      </c>
      <c r="DH61" s="20">
        <f>IF(DH8=0,"0",IF(AND(Results!$E$5="Protein",$C$53&gt;0,OR(Results!$E$4="Tissue",Results!$E$4="Cells")),((DH8*DH$51)/(DH$53)),IF(AND(Results!$E$5="Weight",$C$52&gt;0, Results!$E$4="Tissue",OR($B$52="g",$B$52="mg")),((DH8*DH$51)/(DH$52)),IF(AND(Results!$E$5="Volume",$C$54&gt;0,Results!$E$4="Fluid"),((DH8*DH$51)/(DH$54)),IF(AND(Results!$E$4="Cells",Results!$E$5="Million",$B$52="million"),((DH8*DH$51)/(DH$52)),"0")))))</f>
        <v>0.18509999999999999</v>
      </c>
      <c r="DI61" s="20">
        <f>IF(DI8=0,"0",IF(AND(Results!$E$5="Protein",$C$53&gt;0,OR(Results!$E$4="Tissue",Results!$E$4="Cells")),((DI8*DI$51)/(DI$53)),IF(AND(Results!$E$5="Weight",$C$52&gt;0, Results!$E$4="Tissue",OR($B$52="g",$B$52="mg")),((DI8*DI$51)/(DI$52)),IF(AND(Results!$E$5="Volume",$C$54&gt;0,Results!$E$4="Fluid"),((DI8*DI$51)/(DI$54)),IF(AND(Results!$E$4="Cells",Results!$E$5="Million",$B$52="million"),((DI8*DI$51)/(DI$52)),"0")))))</f>
        <v>0.47636666666666666</v>
      </c>
      <c r="DJ61" s="20">
        <f>IF(DJ8=0,"0",IF(AND(Results!$E$5="Protein",$C$53&gt;0,OR(Results!$E$4="Tissue",Results!$E$4="Cells")),((DJ8*DJ$51)/(DJ$53)),IF(AND(Results!$E$5="Weight",$C$52&gt;0, Results!$E$4="Tissue",OR($B$52="g",$B$52="mg")),((DJ8*DJ$51)/(DJ$52)),IF(AND(Results!$E$5="Volume",$C$54&gt;0,Results!$E$4="Fluid"),((DJ8*DJ$51)/(DJ$54)),IF(AND(Results!$E$4="Cells",Results!$E$5="Million",$B$52="million"),((DJ8*DJ$51)/(DJ$52)),"0")))))</f>
        <v>0.83828333333333327</v>
      </c>
      <c r="DK61" s="20">
        <f>IF(DK8=0,"0",IF(AND(Results!$E$5="Protein",$C$53&gt;0,OR(Results!$E$4="Tissue",Results!$E$4="Cells")),((DK8*DK$51)/(DK$53)),IF(AND(Results!$E$5="Weight",$C$52&gt;0, Results!$E$4="Tissue",OR($B$52="g",$B$52="mg")),((DK8*DK$51)/(DK$52)),IF(AND(Results!$E$5="Volume",$C$54&gt;0,Results!$E$4="Fluid"),((DK8*DK$51)/(DK$54)),IF(AND(Results!$E$4="Cells",Results!$E$5="Million",$B$52="million"),((DK8*DK$51)/(DK$52)),"0")))))</f>
        <v>2.2659499999999997</v>
      </c>
      <c r="DL61" s="20">
        <f>IF(DL8=0,"0",IF(AND(Results!$E$5="Protein",$C$53&gt;0,OR(Results!$E$4="Tissue",Results!$E$4="Cells")),((DL8*DL$51)/(DL$53)),IF(AND(Results!$E$5="Weight",$C$52&gt;0, Results!$E$4="Tissue",OR($B$52="g",$B$52="mg")),((DL8*DL$51)/(DL$52)),IF(AND(Results!$E$5="Volume",$C$54&gt;0,Results!$E$4="Fluid"),((DL8*DL$51)/(DL$54)),IF(AND(Results!$E$4="Cells",Results!$E$5="Million",$B$52="million"),((DL8*DL$51)/(DL$52)),"0")))))</f>
        <v>0.12746666666666667</v>
      </c>
      <c r="DM61" s="20">
        <f>IF(DM8=0,"0",IF(AND(Results!$E$5="Protein",$C$53&gt;0,OR(Results!$E$4="Tissue",Results!$E$4="Cells")),((DM8*DM$51)/(DM$53)),IF(AND(Results!$E$5="Weight",$C$52&gt;0, Results!$E$4="Tissue",OR($B$52="g",$B$52="mg")),((DM8*DM$51)/(DM$52)),IF(AND(Results!$E$5="Volume",$C$54&gt;0,Results!$E$4="Fluid"),((DM8*DM$51)/(DM$54)),IF(AND(Results!$E$4="Cells",Results!$E$5="Million",$B$52="million"),((DM8*DM$51)/(DM$52)),"0")))))</f>
        <v>0.41606666666666664</v>
      </c>
      <c r="DN61" s="20">
        <f>IF(DN8=0,"0",IF(AND(Results!$E$5="Protein",$C$53&gt;0,OR(Results!$E$4="Tissue",Results!$E$4="Cells")),((DN8*DN$51)/(DN$53)),IF(AND(Results!$E$5="Weight",$C$52&gt;0, Results!$E$4="Tissue",OR($B$52="g",$B$52="mg")),((DN8*DN$51)/(DN$52)),IF(AND(Results!$E$5="Volume",$C$54&gt;0,Results!$E$4="Fluid"),((DN8*DN$51)/(DN$54)),IF(AND(Results!$E$4="Cells",Results!$E$5="Million",$B$52="million"),((DN8*DN$51)/(DN$52)),"0")))))</f>
        <v>0.11513333333333332</v>
      </c>
      <c r="DO61" s="20">
        <f>IF(DO8=0,"0",IF(AND(Results!$E$5="Protein",$C$53&gt;0,OR(Results!$E$4="Tissue",Results!$E$4="Cells")),((DO8*DO$51)/(DO$53)),IF(AND(Results!$E$5="Weight",$C$52&gt;0, Results!$E$4="Tissue",OR($B$52="g",$B$52="mg")),((DO8*DO$51)/(DO$52)),IF(AND(Results!$E$5="Volume",$C$54&gt;0,Results!$E$4="Fluid"),((DO8*DO$51)/(DO$54)),IF(AND(Results!$E$4="Cells",Results!$E$5="Million",$B$52="million"),((DO8*DO$51)/(DO$52)),"0")))))</f>
        <v>0.12051666666666666</v>
      </c>
      <c r="DP61" s="20">
        <f>IF(DP8=0,"0",IF(AND(Results!$E$5="Protein",$C$53&gt;0,OR(Results!$E$4="Tissue",Results!$E$4="Cells")),((DP8*DP$51)/(DP$53)),IF(AND(Results!$E$5="Weight",$C$52&gt;0, Results!$E$4="Tissue",OR($B$52="g",$B$52="mg")),((DP8*DP$51)/(DP$52)),IF(AND(Results!$E$5="Volume",$C$54&gt;0,Results!$E$4="Fluid"),((DP8*DP$51)/(DP$54)),IF(AND(Results!$E$4="Cells",Results!$E$5="Million",$B$52="million"),((DP8*DP$51)/(DP$52)),"0")))))</f>
        <v>0.38401666666666667</v>
      </c>
      <c r="DQ61" s="20">
        <f>IF(DQ8=0,"0",IF(AND(Results!$E$5="Protein",$C$53&gt;0,OR(Results!$E$4="Tissue",Results!$E$4="Cells")),((DQ8*DQ$51)/(DQ$53)),IF(AND(Results!$E$5="Weight",$C$52&gt;0, Results!$E$4="Tissue",OR($B$52="g",$B$52="mg")),((DQ8*DQ$51)/(DQ$52)),IF(AND(Results!$E$5="Volume",$C$54&gt;0,Results!$E$4="Fluid"),((DQ8*DQ$51)/(DQ$54)),IF(AND(Results!$E$4="Cells",Results!$E$5="Million",$B$52="million"),((DQ8*DQ$51)/(DQ$52)),"0")))))</f>
        <v>1.1712166666666666</v>
      </c>
      <c r="DR61" s="20">
        <f>IF(DR8=0,"0",IF(AND(Results!$E$5="Protein",$C$53&gt;0,OR(Results!$E$4="Tissue",Results!$E$4="Cells")),((DR8*DR$51)/(DR$53)),IF(AND(Results!$E$5="Weight",$C$52&gt;0, Results!$E$4="Tissue",OR($B$52="g",$B$52="mg")),((DR8*DR$51)/(DR$52)),IF(AND(Results!$E$5="Volume",$C$54&gt;0,Results!$E$4="Fluid"),((DR8*DR$51)/(DR$54)),IF(AND(Results!$E$4="Cells",Results!$E$5="Million",$B$52="million"),((DR8*DR$51)/(DR$52)),"0")))))</f>
        <v>0.34128333333333327</v>
      </c>
      <c r="DS61" s="20" t="str">
        <f>IF(DS8=0,"0",IF(AND(Results!$E$5="Protein",$C$53&gt;0,OR(Results!$E$4="Tissue",Results!$E$4="Cells")),((DS8*DS$51)/(DS$53)),IF(AND(Results!$E$5="Weight",$C$52&gt;0, Results!$E$4="Tissue",OR($B$52="g",$B$52="mg")),((DS8*DS$51)/(DS$52)),IF(AND(Results!$E$5="Volume",$C$54&gt;0,Results!$E$4="Fluid"),((DS8*DS$51)/(DS$54)),IF(AND(Results!$E$4="Cells",Results!$E$5="Million",$B$52="million"),((DS8*DS$51)/(DS$52)),"0")))))</f>
        <v>0</v>
      </c>
      <c r="DT61" s="20">
        <f>IF(DT8=0,"0",IF(AND(Results!$E$5="Protein",$C$53&gt;0,OR(Results!$E$4="Tissue",Results!$E$4="Cells")),((DT8*DT$51)/(DT$53)),IF(AND(Results!$E$5="Weight",$C$52&gt;0, Results!$E$4="Tissue",OR($B$52="g",$B$52="mg")),((DT8*DT$51)/(DT$52)),IF(AND(Results!$E$5="Volume",$C$54&gt;0,Results!$E$4="Fluid"),((DT8*DT$51)/(DT$54)),IF(AND(Results!$E$4="Cells",Results!$E$5="Million",$B$52="million"),((DT8*DT$51)/(DT$52)),"0")))))</f>
        <v>9.9916666666666668E-2</v>
      </c>
      <c r="DU61" s="20">
        <f>IF(DU8=0,"0",IF(AND(Results!$E$5="Protein",$C$53&gt;0,OR(Results!$E$4="Tissue",Results!$E$4="Cells")),((DU8*DU$51)/(DU$53)),IF(AND(Results!$E$5="Weight",$C$52&gt;0, Results!$E$4="Tissue",OR($B$52="g",$B$52="mg")),((DU8*DU$51)/(DU$52)),IF(AND(Results!$E$5="Volume",$C$54&gt;0,Results!$E$4="Fluid"),((DU8*DU$51)/(DU$54)),IF(AND(Results!$E$4="Cells",Results!$E$5="Million",$B$52="million"),((DU8*DU$51)/(DU$52)),"0")))))</f>
        <v>0.52241666666666664</v>
      </c>
      <c r="DV61" s="20">
        <f>IF(DV8=0,"0",IF(AND(Results!$E$5="Protein",$C$53&gt;0,OR(Results!$E$4="Tissue",Results!$E$4="Cells")),((DV8*DV$51)/(DV$53)),IF(AND(Results!$E$5="Weight",$C$52&gt;0, Results!$E$4="Tissue",OR($B$52="g",$B$52="mg")),((DV8*DV$51)/(DV$52)),IF(AND(Results!$E$5="Volume",$C$54&gt;0,Results!$E$4="Fluid"),((DV8*DV$51)/(DV$54)),IF(AND(Results!$E$4="Cells",Results!$E$5="Million",$B$52="million"),((DV8*DV$51)/(DV$52)),"0")))))</f>
        <v>0.31688333333333329</v>
      </c>
      <c r="DW61" s="20">
        <f>IF(DW8=0,"0",IF(AND(Results!$E$5="Protein",$C$53&gt;0,OR(Results!$E$4="Tissue",Results!$E$4="Cells")),((DW8*DW$51)/(DW$53)),IF(AND(Results!$E$5="Weight",$C$52&gt;0, Results!$E$4="Tissue",OR($B$52="g",$B$52="mg")),((DW8*DW$51)/(DW$52)),IF(AND(Results!$E$5="Volume",$C$54&gt;0,Results!$E$4="Fluid"),((DW8*DW$51)/(DW$54)),IF(AND(Results!$E$4="Cells",Results!$E$5="Million",$B$52="million"),((DW8*DW$51)/(DW$52)),"0")))))</f>
        <v>0.3701666666666667</v>
      </c>
      <c r="DX61" s="20" t="str">
        <f>IF(DX8=0,"0",IF(AND(Results!$E$5="Protein",$C$53&gt;0,OR(Results!$E$4="Tissue",Results!$E$4="Cells")),((DX8*DX$51)/(DX$53)),IF(AND(Results!$E$5="Weight",$C$52&gt;0, Results!$E$4="Tissue",OR($B$52="g",$B$52="mg")),((DX8*DX$51)/(DX$52)),IF(AND(Results!$E$5="Volume",$C$54&gt;0,Results!$E$4="Fluid"),((DX8*DX$51)/(DX$54)),IF(AND(Results!$E$4="Cells",Results!$E$5="Million",$B$52="million"),((DX8*DX$51)/(DX$52)),"0")))))</f>
        <v>0</v>
      </c>
      <c r="DY61" s="20" t="str">
        <f>IF(DY8=0,"0",IF(AND(Results!$E$5="Protein",$C$53&gt;0,OR(Results!$E$4="Tissue",Results!$E$4="Cells")),((DY8*DY$51)/(DY$53)),IF(AND(Results!$E$5="Weight",$C$52&gt;0, Results!$E$4="Tissue",OR($B$52="g",$B$52="mg")),((DY8*DY$51)/(DY$52)),IF(AND(Results!$E$5="Volume",$C$54&gt;0,Results!$E$4="Fluid"),((DY8*DY$51)/(DY$54)),IF(AND(Results!$E$4="Cells",Results!$E$5="Million",$B$52="million"),((DY8*DY$51)/(DY$52)),"0")))))</f>
        <v>0</v>
      </c>
      <c r="DZ61" s="20">
        <f>IF(DZ8=0,"0",IF(AND(Results!$E$5="Protein",$C$53&gt;0,OR(Results!$E$4="Tissue",Results!$E$4="Cells")),((DZ8*DZ$51)/(DZ$53)),IF(AND(Results!$E$5="Weight",$C$52&gt;0, Results!$E$4="Tissue",OR($B$52="g",$B$52="mg")),((DZ8*DZ$51)/(DZ$52)),IF(AND(Results!$E$5="Volume",$C$54&gt;0,Results!$E$4="Fluid"),((DZ8*DZ$51)/(DZ$54)),IF(AND(Results!$E$4="Cells",Results!$E$5="Million",$B$52="million"),((DZ8*DZ$51)/(DZ$52)),"0")))))</f>
        <v>5.673333333333333E-2</v>
      </c>
      <c r="EA61" s="20">
        <f>IF(EA8=0,"0",IF(AND(Results!$E$5="Protein",$C$53&gt;0,OR(Results!$E$4="Tissue",Results!$E$4="Cells")),((EA8*EA$51)/(EA$53)),IF(AND(Results!$E$5="Weight",$C$52&gt;0, Results!$E$4="Tissue",OR($B$52="g",$B$52="mg")),((EA8*EA$51)/(EA$52)),IF(AND(Results!$E$5="Volume",$C$54&gt;0,Results!$E$4="Fluid"),((EA8*EA$51)/(EA$54)),IF(AND(Results!$E$4="Cells",Results!$E$5="Million",$B$52="million"),((EA8*EA$51)/(EA$52)),"0")))))</f>
        <v>0.50541666666666674</v>
      </c>
      <c r="EB61" s="20">
        <f>IF(EB8=0,"0",IF(AND(Results!$E$5="Protein",$C$53&gt;0,OR(Results!$E$4="Tissue",Results!$E$4="Cells")),((EB8*EB$51)/(EB$53)),IF(AND(Results!$E$5="Weight",$C$52&gt;0, Results!$E$4="Tissue",OR($B$52="g",$B$52="mg")),((EB8*EB$51)/(EB$52)),IF(AND(Results!$E$5="Volume",$C$54&gt;0,Results!$E$4="Fluid"),((EB8*EB$51)/(EB$54)),IF(AND(Results!$E$4="Cells",Results!$E$5="Million",$B$52="million"),((EB8*EB$51)/(EB$52)),"0")))))</f>
        <v>0.70714999999999995</v>
      </c>
      <c r="EC61" s="20">
        <f>IF(EC8=0,"0",IF(AND(Results!$E$5="Protein",$C$53&gt;0,OR(Results!$E$4="Tissue",Results!$E$4="Cells")),((EC8*EC$51)/(EC$53)),IF(AND(Results!$E$5="Weight",$C$52&gt;0, Results!$E$4="Tissue",OR($B$52="g",$B$52="mg")),((EC8*EC$51)/(EC$52)),IF(AND(Results!$E$5="Volume",$C$54&gt;0,Results!$E$4="Fluid"),((EC8*EC$51)/(EC$54)),IF(AND(Results!$E$4="Cells",Results!$E$5="Million",$B$52="million"),((EC8*EC$51)/(EC$52)),"0")))))</f>
        <v>1.03155</v>
      </c>
      <c r="ED61" s="20">
        <f>IF(ED8=0,"0",IF(AND(Results!$E$5="Protein",$C$53&gt;0,OR(Results!$E$4="Tissue",Results!$E$4="Cells")),((ED8*ED$51)/(ED$53)),IF(AND(Results!$E$5="Weight",$C$52&gt;0, Results!$E$4="Tissue",OR($B$52="g",$B$52="mg")),((ED8*ED$51)/(ED$52)),IF(AND(Results!$E$5="Volume",$C$54&gt;0,Results!$E$4="Fluid"),((ED8*ED$51)/(ED$54)),IF(AND(Results!$E$4="Cells",Results!$E$5="Million",$B$52="million"),((ED8*ED$51)/(ED$52)),"0")))))</f>
        <v>0.24031666666666668</v>
      </c>
      <c r="EE61" s="20" t="str">
        <f>IF(EE8=0,"0",IF(AND(Results!$E$5="Protein",$C$53&gt;0,OR(Results!$E$4="Tissue",Results!$E$4="Cells")),((EE8*EE$51)/(EE$53)),IF(AND(Results!$E$5="Weight",$C$52&gt;0, Results!$E$4="Tissue",OR($B$52="g",$B$52="mg")),((EE8*EE$51)/(EE$52)),IF(AND(Results!$E$5="Volume",$C$54&gt;0,Results!$E$4="Fluid"),((EE8*EE$51)/(EE$54)),IF(AND(Results!$E$4="Cells",Results!$E$5="Million",$B$52="million"),((EE8*EE$51)/(EE$52)),"0")))))</f>
        <v>0</v>
      </c>
      <c r="EF61" s="20">
        <f>IF(EF8=0,"0",IF(AND(Results!$E$5="Protein",$C$53&gt;0,OR(Results!$E$4="Tissue",Results!$E$4="Cells")),((EF8*EF$51)/(EF$53)),IF(AND(Results!$E$5="Weight",$C$52&gt;0, Results!$E$4="Tissue",OR($B$52="g",$B$52="mg")),((EF8*EF$51)/(EF$52)),IF(AND(Results!$E$5="Volume",$C$54&gt;0,Results!$E$4="Fluid"),((EF8*EF$51)/(EF$54)),IF(AND(Results!$E$4="Cells",Results!$E$5="Million",$B$52="million"),((EF8*EF$51)/(EF$52)),"0")))))</f>
        <v>1.9820833333333332</v>
      </c>
      <c r="EG61" s="20">
        <f>IF(EG8=0,"0",IF(AND(Results!$E$5="Protein",$C$53&gt;0,OR(Results!$E$4="Tissue",Results!$E$4="Cells")),((EG8*EG$51)/(EG$53)),IF(AND(Results!$E$5="Weight",$C$52&gt;0, Results!$E$4="Tissue",OR($B$52="g",$B$52="mg")),((EG8*EG$51)/(EG$52)),IF(AND(Results!$E$5="Volume",$C$54&gt;0,Results!$E$4="Fluid"),((EG8*EG$51)/(EG$54)),IF(AND(Results!$E$4="Cells",Results!$E$5="Million",$B$52="million"),((EG8*EG$51)/(EG$52)),"0")))))</f>
        <v>1.9154333333333331</v>
      </c>
      <c r="EH61" s="20">
        <f>IF(EH8=0,"0",IF(AND(Results!$E$5="Protein",$C$53&gt;0,OR(Results!$E$4="Tissue",Results!$E$4="Cells")),((EH8*EH$51)/(EH$53)),IF(AND(Results!$E$5="Weight",$C$52&gt;0, Results!$E$4="Tissue",OR($B$52="g",$B$52="mg")),((EH8*EH$51)/(EH$52)),IF(AND(Results!$E$5="Volume",$C$54&gt;0,Results!$E$4="Fluid"),((EH8*EH$51)/(EH$54)),IF(AND(Results!$E$4="Cells",Results!$E$5="Million",$B$52="million"),((EH8*EH$51)/(EH$52)),"0")))))</f>
        <v>0.39228333333333332</v>
      </c>
      <c r="EI61" s="20">
        <f>IF(EI8=0,"0",IF(AND(Results!$E$5="Protein",$C$53&gt;0,OR(Results!$E$4="Tissue",Results!$E$4="Cells")),((EI8*EI$51)/(EI$53)),IF(AND(Results!$E$5="Weight",$C$52&gt;0, Results!$E$4="Tissue",OR($B$52="g",$B$52="mg")),((EI8*EI$51)/(EI$52)),IF(AND(Results!$E$5="Volume",$C$54&gt;0,Results!$E$4="Fluid"),((EI8*EI$51)/(EI$54)),IF(AND(Results!$E$4="Cells",Results!$E$5="Million",$B$52="million"),((EI8*EI$51)/(EI$52)),"0")))))</f>
        <v>0.1736</v>
      </c>
      <c r="EJ61" s="20">
        <f>IF(EJ8=0,"0",IF(AND(Results!$E$5="Protein",$C$53&gt;0,OR(Results!$E$4="Tissue",Results!$E$4="Cells")),((EJ8*EJ$51)/(EJ$53)),IF(AND(Results!$E$5="Weight",$C$52&gt;0, Results!$E$4="Tissue",OR($B$52="g",$B$52="mg")),((EJ8*EJ$51)/(EJ$52)),IF(AND(Results!$E$5="Volume",$C$54&gt;0,Results!$E$4="Fluid"),((EJ8*EJ$51)/(EJ$54)),IF(AND(Results!$E$4="Cells",Results!$E$5="Million",$B$52="million"),((EJ8*EJ$51)/(EJ$52)),"0")))))</f>
        <v>0.71268333333333322</v>
      </c>
      <c r="EK61" s="20" t="str">
        <f>IF(EK8=0,"0",IF(AND(Results!$E$5="Protein",$C$53&gt;0,OR(Results!$E$4="Tissue",Results!$E$4="Cells")),((EK8*EK$51)/(EK$53)),IF(AND(Results!$E$5="Weight",$C$52&gt;0, Results!$E$4="Tissue",OR($B$52="g",$B$52="mg")),((EK8*EK$51)/(EK$52)),IF(AND(Results!$E$5="Volume",$C$54&gt;0,Results!$E$4="Fluid"),((EK8*EK$51)/(EK$54)),IF(AND(Results!$E$4="Cells",Results!$E$5="Million",$B$52="million"),((EK8*EK$51)/(EK$52)),"0")))))</f>
        <v>0</v>
      </c>
      <c r="EL61" s="20">
        <f>IF(EL8=0,"0",IF(AND(Results!$E$5="Protein",$C$53&gt;0,OR(Results!$E$4="Tissue",Results!$E$4="Cells")),((EL8*EL$51)/(EL$53)),IF(AND(Results!$E$5="Weight",$C$52&gt;0, Results!$E$4="Tissue",OR($B$52="g",$B$52="mg")),((EL8*EL$51)/(EL$52)),IF(AND(Results!$E$5="Volume",$C$54&gt;0,Results!$E$4="Fluid"),((EL8*EL$51)/(EL$54)),IF(AND(Results!$E$4="Cells",Results!$E$5="Million",$B$52="million"),((EL8*EL$51)/(EL$52)),"0")))))</f>
        <v>0.26565</v>
      </c>
      <c r="EM61" s="20">
        <f>IF(EM8=0,"0",IF(AND(Results!$E$5="Protein",$C$53&gt;0,OR(Results!$E$4="Tissue",Results!$E$4="Cells")),((EM8*EM$51)/(EM$53)),IF(AND(Results!$E$5="Weight",$C$52&gt;0, Results!$E$4="Tissue",OR($B$52="g",$B$52="mg")),((EM8*EM$51)/(EM$52)),IF(AND(Results!$E$5="Volume",$C$54&gt;0,Results!$E$4="Fluid"),((EM8*EM$51)/(EM$54)),IF(AND(Results!$E$4="Cells",Results!$E$5="Million",$B$52="million"),((EM8*EM$51)/(EM$52)),"0")))))</f>
        <v>2.1881166666666667</v>
      </c>
      <c r="EN61" s="20">
        <f>IF(EN8=0,"0",IF(AND(Results!$E$5="Protein",$C$53&gt;0,OR(Results!$E$4="Tissue",Results!$E$4="Cells")),((EN8*EN$51)/(EN$53)),IF(AND(Results!$E$5="Weight",$C$52&gt;0, Results!$E$4="Tissue",OR($B$52="g",$B$52="mg")),((EN8*EN$51)/(EN$52)),IF(AND(Results!$E$5="Volume",$C$54&gt;0,Results!$E$4="Fluid"),((EN8*EN$51)/(EN$54)),IF(AND(Results!$E$4="Cells",Results!$E$5="Million",$B$52="million"),((EN8*EN$51)/(EN$52)),"0")))))</f>
        <v>2.4951166666666666</v>
      </c>
      <c r="EO61" s="20">
        <f>IF(EO8=0,"0",IF(AND(Results!$E$5="Protein",$C$53&gt;0,OR(Results!$E$4="Tissue",Results!$E$4="Cells")),((EO8*EO$51)/(EO$53)),IF(AND(Results!$E$5="Weight",$C$52&gt;0, Results!$E$4="Tissue",OR($B$52="g",$B$52="mg")),((EO8*EO$51)/(EO$52)),IF(AND(Results!$E$5="Volume",$C$54&gt;0,Results!$E$4="Fluid"),((EO8*EO$51)/(EO$54)),IF(AND(Results!$E$4="Cells",Results!$E$5="Million",$B$52="million"),((EO8*EO$51)/(EO$52)),"0")))))</f>
        <v>0.67448333333333332</v>
      </c>
      <c r="EP61" s="20">
        <f>IF(EP8=0,"0",IF(AND(Results!$E$5="Protein",$C$53&gt;0,OR(Results!$E$4="Tissue",Results!$E$4="Cells")),((EP8*EP$51)/(EP$53)),IF(AND(Results!$E$5="Weight",$C$52&gt;0, Results!$E$4="Tissue",OR($B$52="g",$B$52="mg")),((EP8*EP$51)/(EP$52)),IF(AND(Results!$E$5="Volume",$C$54&gt;0,Results!$E$4="Fluid"),((EP8*EP$51)/(EP$54)),IF(AND(Results!$E$4="Cells",Results!$E$5="Million",$B$52="million"),((EP8*EP$51)/(EP$52)),"0")))))</f>
        <v>0.55390000000000006</v>
      </c>
      <c r="EQ61" s="20">
        <f>IF(EQ8=0,"0",IF(AND(Results!$E$5="Protein",$C$53&gt;0,OR(Results!$E$4="Tissue",Results!$E$4="Cells")),((EQ8*EQ$51)/(EQ$53)),IF(AND(Results!$E$5="Weight",$C$52&gt;0, Results!$E$4="Tissue",OR($B$52="g",$B$52="mg")),((EQ8*EQ$51)/(EQ$52)),IF(AND(Results!$E$5="Volume",$C$54&gt;0,Results!$E$4="Fluid"),((EQ8*EQ$51)/(EQ$54)),IF(AND(Results!$E$4="Cells",Results!$E$5="Million",$B$52="million"),((EQ8*EQ$51)/(EQ$52)),"0")))))</f>
        <v>0.20066666666666666</v>
      </c>
      <c r="ER61" s="20">
        <f>IF(ER8=0,"0",IF(AND(Results!$E$5="Protein",$C$53&gt;0,OR(Results!$E$4="Tissue",Results!$E$4="Cells")),((ER8*ER$51)/(ER$53)),IF(AND(Results!$E$5="Weight",$C$52&gt;0, Results!$E$4="Tissue",OR($B$52="g",$B$52="mg")),((ER8*ER$51)/(ER$52)),IF(AND(Results!$E$5="Volume",$C$54&gt;0,Results!$E$4="Fluid"),((ER8*ER$51)/(ER$54)),IF(AND(Results!$E$4="Cells",Results!$E$5="Million",$B$52="million"),((ER8*ER$51)/(ER$52)),"0")))))</f>
        <v>0.33578333333333332</v>
      </c>
      <c r="ES61" s="20">
        <f>IF(ES8=0,"0",IF(AND(Results!$E$5="Protein",$C$53&gt;0,OR(Results!$E$4="Tissue",Results!$E$4="Cells")),((ES8*ES$51)/(ES$53)),IF(AND(Results!$E$5="Weight",$C$52&gt;0, Results!$E$4="Tissue",OR($B$52="g",$B$52="mg")),((ES8*ES$51)/(ES$52)),IF(AND(Results!$E$5="Volume",$C$54&gt;0,Results!$E$4="Fluid"),((ES8*ES$51)/(ES$54)),IF(AND(Results!$E$4="Cells",Results!$E$5="Million",$B$52="million"),((ES8*ES$51)/(ES$52)),"0")))))</f>
        <v>0.28249999999999997</v>
      </c>
      <c r="ET61" s="20">
        <f>IF(ET8=0,"0",IF(AND(Results!$E$5="Protein",$C$53&gt;0,OR(Results!$E$4="Tissue",Results!$E$4="Cells")),((ET8*ET$51)/(ET$53)),IF(AND(Results!$E$5="Weight",$C$52&gt;0, Results!$E$4="Tissue",OR($B$52="g",$B$52="mg")),((ET8*ET$51)/(ET$52)),IF(AND(Results!$E$5="Volume",$C$54&gt;0,Results!$E$4="Fluid"),((ET8*ET$51)/(ET$54)),IF(AND(Results!$E$4="Cells",Results!$E$5="Million",$B$52="million"),((ET8*ET$51)/(ET$52)),"0")))))</f>
        <v>0.73066666666666669</v>
      </c>
      <c r="EU61" s="20">
        <f>IF(EU8=0,"0",IF(AND(Results!$E$5="Protein",$C$53&gt;0,OR(Results!$E$4="Tissue",Results!$E$4="Cells")),((EU8*EU$51)/(EU$53)),IF(AND(Results!$E$5="Weight",$C$52&gt;0, Results!$E$4="Tissue",OR($B$52="g",$B$52="mg")),((EU8*EU$51)/(EU$52)),IF(AND(Results!$E$5="Volume",$C$54&gt;0,Results!$E$4="Fluid"),((EU8*EU$51)/(EU$54)),IF(AND(Results!$E$4="Cells",Results!$E$5="Million",$B$52="million"),((EU8*EU$51)/(EU$52)),"0")))))</f>
        <v>0.56806666666666661</v>
      </c>
      <c r="EV61" s="20">
        <f>IF(EV8=0,"0",IF(AND(Results!$E$5="Protein",$C$53&gt;0,OR(Results!$E$4="Tissue",Results!$E$4="Cells")),((EV8*EV$51)/(EV$53)),IF(AND(Results!$E$5="Weight",$C$52&gt;0, Results!$E$4="Tissue",OR($B$52="g",$B$52="mg")),((EV8*EV$51)/(EV$52)),IF(AND(Results!$E$5="Volume",$C$54&gt;0,Results!$E$4="Fluid"),((EV8*EV$51)/(EV$54)),IF(AND(Results!$E$4="Cells",Results!$E$5="Million",$B$52="million"),((EV8*EV$51)/(EV$52)),"0")))))</f>
        <v>0.96340000000000003</v>
      </c>
      <c r="EW61" s="20">
        <f>IF(EW8=0,"0",IF(AND(Results!$E$5="Protein",$C$53&gt;0,OR(Results!$E$4="Tissue",Results!$E$4="Cells")),((EW8*EW$51)/(EW$53)),IF(AND(Results!$E$5="Weight",$C$52&gt;0, Results!$E$4="Tissue",OR($B$52="g",$B$52="mg")),((EW8*EW$51)/(EW$52)),IF(AND(Results!$E$5="Volume",$C$54&gt;0,Results!$E$4="Fluid"),((EW8*EW$51)/(EW$54)),IF(AND(Results!$E$4="Cells",Results!$E$5="Million",$B$52="million"),((EW8*EW$51)/(EW$52)),"0")))))</f>
        <v>0.66979999999999995</v>
      </c>
      <c r="EX61" s="20">
        <f>IF(EX8=0,"0",IF(AND(Results!$E$5="Protein",$C$53&gt;0,OR(Results!$E$4="Tissue",Results!$E$4="Cells")),((EX8*EX$51)/(EX$53)),IF(AND(Results!$E$5="Weight",$C$52&gt;0, Results!$E$4="Tissue",OR($B$52="g",$B$52="mg")),((EX8*EX$51)/(EX$52)),IF(AND(Results!$E$5="Volume",$C$54&gt;0,Results!$E$4="Fluid"),((EX8*EX$51)/(EX$54)),IF(AND(Results!$E$4="Cells",Results!$E$5="Million",$B$52="million"),((EX8*EX$51)/(EX$52)),"0")))))</f>
        <v>0.31340000000000001</v>
      </c>
      <c r="EY61" s="20">
        <f>IF(EY8=0,"0",IF(AND(Results!$E$5="Protein",$C$53&gt;0,OR(Results!$E$4="Tissue",Results!$E$4="Cells")),((EY8*EY$51)/(EY$53)),IF(AND(Results!$E$5="Weight",$C$52&gt;0, Results!$E$4="Tissue",OR($B$52="g",$B$52="mg")),((EY8*EY$51)/(EY$52)),IF(AND(Results!$E$5="Volume",$C$54&gt;0,Results!$E$4="Fluid"),((EY8*EY$51)/(EY$54)),IF(AND(Results!$E$4="Cells",Results!$E$5="Million",$B$52="million"),((EY8*EY$51)/(EY$52)),"0")))))</f>
        <v>0.92658333333333331</v>
      </c>
      <c r="EZ61" s="20">
        <f>IF(EZ8=0,"0",IF(AND(Results!$E$5="Protein",$C$53&gt;0,OR(Results!$E$4="Tissue",Results!$E$4="Cells")),((EZ8*EZ$51)/(EZ$53)),IF(AND(Results!$E$5="Weight",$C$52&gt;0, Results!$E$4="Tissue",OR($B$52="g",$B$52="mg")),((EZ8*EZ$51)/(EZ$52)),IF(AND(Results!$E$5="Volume",$C$54&gt;0,Results!$E$4="Fluid"),((EZ8*EZ$51)/(EZ$54)),IF(AND(Results!$E$4="Cells",Results!$E$5="Million",$B$52="million"),((EZ8*EZ$51)/(EZ$52)),"0")))))</f>
        <v>3.1274666666666673</v>
      </c>
      <c r="FA61" s="20" t="str">
        <f>IF(FA8=0,"0",IF(AND(Results!$E$5="Protein",$C$53&gt;0,OR(Results!$E$4="Tissue",Results!$E$4="Cells")),((FA8*FA$51)/(FA$53)),IF(AND(Results!$E$5="Weight",$C$52&gt;0, Results!$E$4="Tissue",OR($B$52="g",$B$52="mg")),((FA8*FA$51)/(FA$52)),IF(AND(Results!$E$5="Volume",$C$54&gt;0,Results!$E$4="Fluid"),((FA8*FA$51)/(FA$54)),IF(AND(Results!$E$4="Cells",Results!$E$5="Million",$B$52="million"),((FA8*FA$51)/(FA$52)),"0")))))</f>
        <v>0</v>
      </c>
      <c r="FB61" s="20">
        <f>IF(FB8=0,"0",IF(AND(Results!$E$5="Protein",$C$53&gt;0,OR(Results!$E$4="Tissue",Results!$E$4="Cells")),((FB8*FB$51)/(FB$53)),IF(AND(Results!$E$5="Weight",$C$52&gt;0, Results!$E$4="Tissue",OR($B$52="g",$B$52="mg")),((FB8*FB$51)/(FB$52)),IF(AND(Results!$E$5="Volume",$C$54&gt;0,Results!$E$4="Fluid"),((FB8*FB$51)/(FB$54)),IF(AND(Results!$E$4="Cells",Results!$E$5="Million",$B$52="million"),((FB8*FB$51)/(FB$52)),"0")))))</f>
        <v>0.18431666666666668</v>
      </c>
      <c r="FC61" s="20">
        <f>IF(FC8=0,"0",IF(AND(Results!$E$5="Protein",$C$53&gt;0,OR(Results!$E$4="Tissue",Results!$E$4="Cells")),((FC8*FC$51)/(FC$53)),IF(AND(Results!$E$5="Weight",$C$52&gt;0, Results!$E$4="Tissue",OR($B$52="g",$B$52="mg")),((FC8*FC$51)/(FC$52)),IF(AND(Results!$E$5="Volume",$C$54&gt;0,Results!$E$4="Fluid"),((FC8*FC$51)/(FC$54)),IF(AND(Results!$E$4="Cells",Results!$E$5="Million",$B$52="million"),((FC8*FC$51)/(FC$52)),"0")))))</f>
        <v>0.57535000000000003</v>
      </c>
      <c r="FD61" s="20">
        <f>IF(FD8=0,"0",IF(AND(Results!$E$5="Protein",$C$53&gt;0,OR(Results!$E$4="Tissue",Results!$E$4="Cells")),((FD8*FD$51)/(FD$53)),IF(AND(Results!$E$5="Weight",$C$52&gt;0, Results!$E$4="Tissue",OR($B$52="g",$B$52="mg")),((FD8*FD$51)/(FD$52)),IF(AND(Results!$E$5="Volume",$C$54&gt;0,Results!$E$4="Fluid"),((FD8*FD$51)/(FD$54)),IF(AND(Results!$E$4="Cells",Results!$E$5="Million",$B$52="million"),((FD8*FD$51)/(FD$52)),"0")))))</f>
        <v>0.31064999999999998</v>
      </c>
      <c r="FE61" s="20">
        <f>IF(FE8=0,"0",IF(AND(Results!$E$5="Protein",$C$53&gt;0,OR(Results!$E$4="Tissue",Results!$E$4="Cells")),((FE8*FE$51)/(FE$53)),IF(AND(Results!$E$5="Weight",$C$52&gt;0, Results!$E$4="Tissue",OR($B$52="g",$B$52="mg")),((FE8*FE$51)/(FE$52)),IF(AND(Results!$E$5="Volume",$C$54&gt;0,Results!$E$4="Fluid"),((FE8*FE$51)/(FE$54)),IF(AND(Results!$E$4="Cells",Results!$E$5="Million",$B$52="million"),((FE8*FE$51)/(FE$52)),"0")))))</f>
        <v>0.73578333333333334</v>
      </c>
      <c r="FF61" s="20">
        <f>IF(FF8=0,"0",IF(AND(Results!$E$5="Protein",$C$53&gt;0,OR(Results!$E$4="Tissue",Results!$E$4="Cells")),((FF8*FF$51)/(FF$53)),IF(AND(Results!$E$5="Weight",$C$52&gt;0, Results!$E$4="Tissue",OR($B$52="g",$B$52="mg")),((FF8*FF$51)/(FF$52)),IF(AND(Results!$E$5="Volume",$C$54&gt;0,Results!$E$4="Fluid"),((FF8*FF$51)/(FF$54)),IF(AND(Results!$E$4="Cells",Results!$E$5="Million",$B$52="million"),((FF8*FF$51)/(FF$52)),"0")))))</f>
        <v>0.30940000000000001</v>
      </c>
      <c r="FG61" s="20">
        <f>IF(FG8=0,"0",IF(AND(Results!$E$5="Protein",$C$53&gt;0,OR(Results!$E$4="Tissue",Results!$E$4="Cells")),((FG8*FG$51)/(FG$53)),IF(AND(Results!$E$5="Weight",$C$52&gt;0, Results!$E$4="Tissue",OR($B$52="g",$B$52="mg")),((FG8*FG$51)/(FG$52)),IF(AND(Results!$E$5="Volume",$C$54&gt;0,Results!$E$4="Fluid"),((FG8*FG$51)/(FG$54)),IF(AND(Results!$E$4="Cells",Results!$E$5="Million",$B$52="million"),((FG8*FG$51)/(FG$52)),"0")))))</f>
        <v>0.45686666666666664</v>
      </c>
      <c r="FH61" s="20">
        <f>IF(FH8=0,"0",IF(AND(Results!$E$5="Protein",$C$53&gt;0,OR(Results!$E$4="Tissue",Results!$E$4="Cells")),((FH8*FH$51)/(FH$53)),IF(AND(Results!$E$5="Weight",$C$52&gt;0, Results!$E$4="Tissue",OR($B$52="g",$B$52="mg")),((FH8*FH$51)/(FH$52)),IF(AND(Results!$E$5="Volume",$C$54&gt;0,Results!$E$4="Fluid"),((FH8*FH$51)/(FH$54)),IF(AND(Results!$E$4="Cells",Results!$E$5="Million",$B$52="million"),((FH8*FH$51)/(FH$52)),"0")))))</f>
        <v>0.31839999999999996</v>
      </c>
      <c r="FI61" s="20">
        <f>IF(FI8=0,"0",IF(AND(Results!$E$5="Protein",$C$53&gt;0,OR(Results!$E$4="Tissue",Results!$E$4="Cells")),((FI8*FI$51)/(FI$53)),IF(AND(Results!$E$5="Weight",$C$52&gt;0, Results!$E$4="Tissue",OR($B$52="g",$B$52="mg")),((FI8*FI$51)/(FI$52)),IF(AND(Results!$E$5="Volume",$C$54&gt;0,Results!$E$4="Fluid"),((FI8*FI$51)/(FI$54)),IF(AND(Results!$E$4="Cells",Results!$E$5="Million",$B$52="million"),((FI8*FI$51)/(FI$52)),"0")))))</f>
        <v>0.86306666666666665</v>
      </c>
      <c r="FJ61" s="20">
        <f>IF(FJ8=0,"0",IF(AND(Results!$E$5="Protein",$C$53&gt;0,OR(Results!$E$4="Tissue",Results!$E$4="Cells")),((FJ8*FJ$51)/(FJ$53)),IF(AND(Results!$E$5="Weight",$C$52&gt;0, Results!$E$4="Tissue",OR($B$52="g",$B$52="mg")),((FJ8*FJ$51)/(FJ$52)),IF(AND(Results!$E$5="Volume",$C$54&gt;0,Results!$E$4="Fluid"),((FJ8*FJ$51)/(FJ$54)),IF(AND(Results!$E$4="Cells",Results!$E$5="Million",$B$52="million"),((FJ8*FJ$51)/(FJ$52)),"0")))))</f>
        <v>0.71819999999999995</v>
      </c>
      <c r="FK61" s="20" t="str">
        <f>IF(FK8=0,"0",IF(AND(Results!$E$5="Protein",$C$53&gt;0,OR(Results!$E$4="Tissue",Results!$E$4="Cells")),((FK8*FK$51)/(FK$53)),IF(AND(Results!$E$5="Weight",$C$52&gt;0, Results!$E$4="Tissue",OR($B$52="g",$B$52="mg")),((FK8*FK$51)/(FK$52)),IF(AND(Results!$E$5="Volume",$C$54&gt;0,Results!$E$4="Fluid"),((FK8*FK$51)/(FK$54)),IF(AND(Results!$E$4="Cells",Results!$E$5="Million",$B$52="million"),((FK8*FK$51)/(FK$52)),"0")))))</f>
        <v>0</v>
      </c>
      <c r="FL61" s="20">
        <f>IF(FL8=0,"0",IF(AND(Results!$E$5="Protein",$C$53&gt;0,OR(Results!$E$4="Tissue",Results!$E$4="Cells")),((FL8*FL$51)/(FL$53)),IF(AND(Results!$E$5="Weight",$C$52&gt;0, Results!$E$4="Tissue",OR($B$52="g",$B$52="mg")),((FL8*FL$51)/(FL$52)),IF(AND(Results!$E$5="Volume",$C$54&gt;0,Results!$E$4="Fluid"),((FL8*FL$51)/(FL$54)),IF(AND(Results!$E$4="Cells",Results!$E$5="Million",$B$52="million"),((FL8*FL$51)/(FL$52)),"0")))))</f>
        <v>0.76518333333333333</v>
      </c>
      <c r="FM61" s="20">
        <f>IF(FM8=0,"0",IF(AND(Results!$E$5="Protein",$C$53&gt;0,OR(Results!$E$4="Tissue",Results!$E$4="Cells")),((FM8*FM$51)/(FM$53)),IF(AND(Results!$E$5="Weight",$C$52&gt;0, Results!$E$4="Tissue",OR($B$52="g",$B$52="mg")),((FM8*FM$51)/(FM$52)),IF(AND(Results!$E$5="Volume",$C$54&gt;0,Results!$E$4="Fluid"),((FM8*FM$51)/(FM$54)),IF(AND(Results!$E$4="Cells",Results!$E$5="Million",$B$52="million"),((FM8*FM$51)/(FM$52)),"0")))))</f>
        <v>0.82568333333333344</v>
      </c>
      <c r="FN61" s="20">
        <f>IF(FN8=0,"0",IF(AND(Results!$E$5="Protein",$C$53&gt;0,OR(Results!$E$4="Tissue",Results!$E$4="Cells")),((FN8*FN$51)/(FN$53)),IF(AND(Results!$E$5="Weight",$C$52&gt;0, Results!$E$4="Tissue",OR($B$52="g",$B$52="mg")),((FN8*FN$51)/(FN$52)),IF(AND(Results!$E$5="Volume",$C$54&gt;0,Results!$E$4="Fluid"),((FN8*FN$51)/(FN$54)),IF(AND(Results!$E$4="Cells",Results!$E$5="Million",$B$52="million"),((FN8*FN$51)/(FN$52)),"0")))))</f>
        <v>0.13568333333333332</v>
      </c>
      <c r="FO61" s="20">
        <f>IF(FO8=0,"0",IF(AND(Results!$E$5="Protein",$C$53&gt;0,OR(Results!$E$4="Tissue",Results!$E$4="Cells")),((FO8*FO$51)/(FO$53)),IF(AND(Results!$E$5="Weight",$C$52&gt;0, Results!$E$4="Tissue",OR($B$52="g",$B$52="mg")),((FO8*FO$51)/(FO$52)),IF(AND(Results!$E$5="Volume",$C$54&gt;0,Results!$E$4="Fluid"),((FO8*FO$51)/(FO$54)),IF(AND(Results!$E$4="Cells",Results!$E$5="Million",$B$52="million"),((FO8*FO$51)/(FO$52)),"0")))))</f>
        <v>0.18566666666666667</v>
      </c>
    </row>
    <row r="62" spans="1:171" x14ac:dyDescent="0.2">
      <c r="A62" s="120" t="str">
        <f t="shared" si="0"/>
        <v>13-oxo-ODE</v>
      </c>
      <c r="B62" s="121"/>
      <c r="C62" s="20">
        <f>IF(C9=0,"0",IF(AND(Results!$E$5="Protein",$C$53&gt;0,OR(Results!$E$4="Tissue",Results!$E$4="Cells")),((C9*C$51)/(C$53)),IF(AND(Results!$E$5="Weight",$C$52&gt;0, Results!$E$4="Tissue",OR($B$52="g",$B$52="mg")),((C9*C$51)/(C$52)),IF(AND(Results!$E$5="Volume",$C$54&gt;0,Results!$E$4="Fluid"),((C9*C$51)/(C$54)),IF(AND(Results!$E$4="Cells",Results!$E$5="Million",$B$52="million"),((C9*C$51)/(C$52)),"0")))))</f>
        <v>2.0874000000000001</v>
      </c>
      <c r="D62" s="20">
        <f>IF(D9=0,"0",IF(AND(Results!$E$5="Protein",$C$53&gt;0,OR(Results!$E$4="Tissue",Results!$E$4="Cells")),((D9*D$51)/(D$53)),IF(AND(Results!$E$5="Weight",$C$52&gt;0, Results!$E$4="Tissue",OR($B$52="g",$B$52="mg")),((D9*D$51)/(D$52)),IF(AND(Results!$E$5="Volume",$C$54&gt;0,Results!$E$4="Fluid"),((D9*D$51)/(D$54)),IF(AND(Results!$E$4="Cells",Results!$E$5="Million",$B$52="million"),((D9*D$51)/(D$52)),"0")))))</f>
        <v>0.94246666666666667</v>
      </c>
      <c r="E62" s="20" t="str">
        <f>IF(E9=0,"0",IF(AND(Results!$E$5="Protein",$C$53&gt;0,OR(Results!$E$4="Tissue",Results!$E$4="Cells")),((E9*E$51)/(E$53)),IF(AND(Results!$E$5="Weight",$C$52&gt;0, Results!$E$4="Tissue",OR($B$52="g",$B$52="mg")),((E9*E$51)/(E$52)),IF(AND(Results!$E$5="Volume",$C$54&gt;0,Results!$E$4="Fluid"),((E9*E$51)/(E$54)),IF(AND(Results!$E$4="Cells",Results!$E$5="Million",$B$52="million"),((E9*E$51)/(E$52)),"0")))))</f>
        <v>0</v>
      </c>
      <c r="F62" s="20">
        <f>IF(F9=0,"0",IF(AND(Results!$E$5="Protein",$C$53&gt;0,OR(Results!$E$4="Tissue",Results!$E$4="Cells")),((F9*F$51)/(F$53)),IF(AND(Results!$E$5="Weight",$C$52&gt;0, Results!$E$4="Tissue",OR($B$52="g",$B$52="mg")),((F9*F$51)/(F$52)),IF(AND(Results!$E$5="Volume",$C$54&gt;0,Results!$E$4="Fluid"),((F9*F$51)/(F$54)),IF(AND(Results!$E$4="Cells",Results!$E$5="Million",$B$52="million"),((F9*F$51)/(F$52)),"0")))))</f>
        <v>7.4809499999999991</v>
      </c>
      <c r="G62" s="20">
        <f>IF(G9=0,"0",IF(AND(Results!$E$5="Protein",$C$53&gt;0,OR(Results!$E$4="Tissue",Results!$E$4="Cells")),((G9*G$51)/(G$53)),IF(AND(Results!$E$5="Weight",$C$52&gt;0, Results!$E$4="Tissue",OR($B$52="g",$B$52="mg")),((G9*G$51)/(G$52)),IF(AND(Results!$E$5="Volume",$C$54&gt;0,Results!$E$4="Fluid"),((G9*G$51)/(G$54)),IF(AND(Results!$E$4="Cells",Results!$E$5="Million",$B$52="million"),((G9*G$51)/(G$52)),"0")))))</f>
        <v>2.3149500000000001</v>
      </c>
      <c r="H62" s="20">
        <f>IF(H9=0,"0",IF(AND(Results!$E$5="Protein",$C$53&gt;0,OR(Results!$E$4="Tissue",Results!$E$4="Cells")),((H9*H$51)/(H$53)),IF(AND(Results!$E$5="Weight",$C$52&gt;0, Results!$E$4="Tissue",OR($B$52="g",$B$52="mg")),((H9*H$51)/(H$52)),IF(AND(Results!$E$5="Volume",$C$54&gt;0,Results!$E$4="Fluid"),((H9*H$51)/(H$54)),IF(AND(Results!$E$4="Cells",Results!$E$5="Million",$B$52="million"),((H9*H$51)/(H$52)),"0")))))</f>
        <v>0.62655000000000005</v>
      </c>
      <c r="I62" s="20" t="str">
        <f>IF(I9=0,"0",IF(AND(Results!$E$5="Protein",$C$53&gt;0,OR(Results!$E$4="Tissue",Results!$E$4="Cells")),((I9*I$51)/(I$53)),IF(AND(Results!$E$5="Weight",$C$52&gt;0, Results!$E$4="Tissue",OR($B$52="g",$B$52="mg")),((I9*I$51)/(I$52)),IF(AND(Results!$E$5="Volume",$C$54&gt;0,Results!$E$4="Fluid"),((I9*I$51)/(I$54)),IF(AND(Results!$E$4="Cells",Results!$E$5="Million",$B$52="million"),((I9*I$51)/(I$52)),"0")))))</f>
        <v>0</v>
      </c>
      <c r="J62" s="20">
        <f>IF(J9=0,"0",IF(AND(Results!$E$5="Protein",$C$53&gt;0,OR(Results!$E$4="Tissue",Results!$E$4="Cells")),((J9*J$51)/(J$53)),IF(AND(Results!$E$5="Weight",$C$52&gt;0, Results!$E$4="Tissue",OR($B$52="g",$B$52="mg")),((J9*J$51)/(J$52)),IF(AND(Results!$E$5="Volume",$C$54&gt;0,Results!$E$4="Fluid"),((J9*J$51)/(J$54)),IF(AND(Results!$E$4="Cells",Results!$E$5="Million",$B$52="million"),((J9*J$51)/(J$52)),"0")))))</f>
        <v>0.23433333333333331</v>
      </c>
      <c r="K62" s="20">
        <f>IF(K9=0,"0",IF(AND(Results!$E$5="Protein",$C$53&gt;0,OR(Results!$E$4="Tissue",Results!$E$4="Cells")),((K9*K$51)/(K$53)),IF(AND(Results!$E$5="Weight",$C$52&gt;0, Results!$E$4="Tissue",OR($B$52="g",$B$52="mg")),((K9*K$51)/(K$52)),IF(AND(Results!$E$5="Volume",$C$54&gt;0,Results!$E$4="Fluid"),((K9*K$51)/(K$54)),IF(AND(Results!$E$4="Cells",Results!$E$5="Million",$B$52="million"),((K9*K$51)/(K$52)),"0")))))</f>
        <v>0.69608333333333339</v>
      </c>
      <c r="L62" s="20">
        <f>IF(L9=0,"0",IF(AND(Results!$E$5="Protein",$C$53&gt;0,OR(Results!$E$4="Tissue",Results!$E$4="Cells")),((L9*L$51)/(L$53)),IF(AND(Results!$E$5="Weight",$C$52&gt;0, Results!$E$4="Tissue",OR($B$52="g",$B$52="mg")),((L9*L$51)/(L$52)),IF(AND(Results!$E$5="Volume",$C$54&gt;0,Results!$E$4="Fluid"),((L9*L$51)/(L$54)),IF(AND(Results!$E$4="Cells",Results!$E$5="Million",$B$52="million"),((L9*L$51)/(L$52)),"0")))))</f>
        <v>1.7445333333333333</v>
      </c>
      <c r="M62" s="20">
        <f>IF(M9=0,"0",IF(AND(Results!$E$5="Protein",$C$53&gt;0,OR(Results!$E$4="Tissue",Results!$E$4="Cells")),((M9*M$51)/(M$53)),IF(AND(Results!$E$5="Weight",$C$52&gt;0, Results!$E$4="Tissue",OR($B$52="g",$B$52="mg")),((M9*M$51)/(M$52)),IF(AND(Results!$E$5="Volume",$C$54&gt;0,Results!$E$4="Fluid"),((M9*M$51)/(M$54)),IF(AND(Results!$E$4="Cells",Results!$E$5="Million",$B$52="million"),((M9*M$51)/(M$52)),"0")))))</f>
        <v>0.96788333333333321</v>
      </c>
      <c r="N62" s="20">
        <f>IF(N9=0,"0",IF(AND(Results!$E$5="Protein",$C$53&gt;0,OR(Results!$E$4="Tissue",Results!$E$4="Cells")),((N9*N$51)/(N$53)),IF(AND(Results!$E$5="Weight",$C$52&gt;0, Results!$E$4="Tissue",OR($B$52="g",$B$52="mg")),((N9*N$51)/(N$52)),IF(AND(Results!$E$5="Volume",$C$54&gt;0,Results!$E$4="Fluid"),((N9*N$51)/(N$54)),IF(AND(Results!$E$4="Cells",Results!$E$5="Million",$B$52="million"),((N9*N$51)/(N$52)),"0")))))</f>
        <v>0.36826666666666669</v>
      </c>
      <c r="O62" s="20" t="str">
        <f>IF(O9=0,"0",IF(AND(Results!$E$5="Protein",$C$53&gt;0,OR(Results!$E$4="Tissue",Results!$E$4="Cells")),((O9*O$51)/(O$53)),IF(AND(Results!$E$5="Weight",$C$52&gt;0, Results!$E$4="Tissue",OR($B$52="g",$B$52="mg")),((O9*O$51)/(O$52)),IF(AND(Results!$E$5="Volume",$C$54&gt;0,Results!$E$4="Fluid"),((O9*O$51)/(O$54)),IF(AND(Results!$E$4="Cells",Results!$E$5="Million",$B$52="million"),((O9*O$51)/(O$52)),"0")))))</f>
        <v>0</v>
      </c>
      <c r="P62" s="20">
        <f>IF(P9=0,"0",IF(AND(Results!$E$5="Protein",$C$53&gt;0,OR(Results!$E$4="Tissue",Results!$E$4="Cells")),((P9*P$51)/(P$53)),IF(AND(Results!$E$5="Weight",$C$52&gt;0, Results!$E$4="Tissue",OR($B$52="g",$B$52="mg")),((P9*P$51)/(P$52)),IF(AND(Results!$E$5="Volume",$C$54&gt;0,Results!$E$4="Fluid"),((P9*P$51)/(P$54)),IF(AND(Results!$E$4="Cells",Results!$E$5="Million",$B$52="million"),((P9*P$51)/(P$52)),"0")))))</f>
        <v>2.5803833333333333</v>
      </c>
      <c r="Q62" s="20">
        <f>IF(Q9=0,"0",IF(AND(Results!$E$5="Protein",$C$53&gt;0,OR(Results!$E$4="Tissue",Results!$E$4="Cells")),((Q9*Q$51)/(Q$53)),IF(AND(Results!$E$5="Weight",$C$52&gt;0, Results!$E$4="Tissue",OR($B$52="g",$B$52="mg")),((Q9*Q$51)/(Q$52)),IF(AND(Results!$E$5="Volume",$C$54&gt;0,Results!$E$4="Fluid"),((Q9*Q$51)/(Q$54)),IF(AND(Results!$E$4="Cells",Results!$E$5="Million",$B$52="million"),((Q9*Q$51)/(Q$52)),"0")))))</f>
        <v>2.3722666666666665</v>
      </c>
      <c r="R62" s="20">
        <f>IF(R9=0,"0",IF(AND(Results!$E$5="Protein",$C$53&gt;0,OR(Results!$E$4="Tissue",Results!$E$4="Cells")),((R9*R$51)/(R$53)),IF(AND(Results!$E$5="Weight",$C$52&gt;0, Results!$E$4="Tissue",OR($B$52="g",$B$52="mg")),((R9*R$51)/(R$52)),IF(AND(Results!$E$5="Volume",$C$54&gt;0,Results!$E$4="Fluid"),((R9*R$51)/(R$54)),IF(AND(Results!$E$4="Cells",Results!$E$5="Million",$B$52="million"),((R9*R$51)/(R$52)),"0")))))</f>
        <v>28.768883333333335</v>
      </c>
      <c r="S62" s="20">
        <f>IF(S9=0,"0",IF(AND(Results!$E$5="Protein",$C$53&gt;0,OR(Results!$E$4="Tissue",Results!$E$4="Cells")),((S9*S$51)/(S$53)),IF(AND(Results!$E$5="Weight",$C$52&gt;0, Results!$E$4="Tissue",OR($B$52="g",$B$52="mg")),((S9*S$51)/(S$52)),IF(AND(Results!$E$5="Volume",$C$54&gt;0,Results!$E$4="Fluid"),((S9*S$51)/(S$54)),IF(AND(Results!$E$4="Cells",Results!$E$5="Million",$B$52="million"),((S9*S$51)/(S$52)),"0")))))</f>
        <v>1.7806666666666664</v>
      </c>
      <c r="T62" s="20">
        <f>IF(T9=0,"0",IF(AND(Results!$E$5="Protein",$C$53&gt;0,OR(Results!$E$4="Tissue",Results!$E$4="Cells")),((T9*T$51)/(T$53)),IF(AND(Results!$E$5="Weight",$C$52&gt;0, Results!$E$4="Tissue",OR($B$52="g",$B$52="mg")),((T9*T$51)/(T$52)),IF(AND(Results!$E$5="Volume",$C$54&gt;0,Results!$E$4="Fluid"),((T9*T$51)/(T$54)),IF(AND(Results!$E$4="Cells",Results!$E$5="Million",$B$52="million"),((T9*T$51)/(T$52)),"0")))))</f>
        <v>0.5339166666666666</v>
      </c>
      <c r="U62" s="20">
        <f>IF(U9=0,"0",IF(AND(Results!$E$5="Protein",$C$53&gt;0,OR(Results!$E$4="Tissue",Results!$E$4="Cells")),((U9*U$51)/(U$53)),IF(AND(Results!$E$5="Weight",$C$52&gt;0, Results!$E$4="Tissue",OR($B$52="g",$B$52="mg")),((U9*U$51)/(U$52)),IF(AND(Results!$E$5="Volume",$C$54&gt;0,Results!$E$4="Fluid"),((U9*U$51)/(U$54)),IF(AND(Results!$E$4="Cells",Results!$E$5="Million",$B$52="million"),((U9*U$51)/(U$52)),"0")))))</f>
        <v>1.57395</v>
      </c>
      <c r="V62" s="20">
        <f>IF(V9=0,"0",IF(AND(Results!$E$5="Protein",$C$53&gt;0,OR(Results!$E$4="Tissue",Results!$E$4="Cells")),((V9*V$51)/(V$53)),IF(AND(Results!$E$5="Weight",$C$52&gt;0, Results!$E$4="Tissue",OR($B$52="g",$B$52="mg")),((V9*V$51)/(V$52)),IF(AND(Results!$E$5="Volume",$C$54&gt;0,Results!$E$4="Fluid"),((V9*V$51)/(V$54)),IF(AND(Results!$E$4="Cells",Results!$E$5="Million",$B$52="million"),((V9*V$51)/(V$52)),"0")))))</f>
        <v>0.80006666666666659</v>
      </c>
      <c r="W62" s="20">
        <f>IF(W9=0,"0",IF(AND(Results!$E$5="Protein",$C$53&gt;0,OR(Results!$E$4="Tissue",Results!$E$4="Cells")),((W9*W$51)/(W$53)),IF(AND(Results!$E$5="Weight",$C$52&gt;0, Results!$E$4="Tissue",OR($B$52="g",$B$52="mg")),((W9*W$51)/(W$52)),IF(AND(Results!$E$5="Volume",$C$54&gt;0,Results!$E$4="Fluid"),((W9*W$51)/(W$54)),IF(AND(Results!$E$4="Cells",Results!$E$5="Million",$B$52="million"),((W9*W$51)/(W$52)),"0")))))</f>
        <v>0.7006</v>
      </c>
      <c r="X62" s="20" t="str">
        <f>IF(X9=0,"0",IF(AND(Results!$E$5="Protein",$C$53&gt;0,OR(Results!$E$4="Tissue",Results!$E$4="Cells")),((X9*X$51)/(X$53)),IF(AND(Results!$E$5="Weight",$C$52&gt;0, Results!$E$4="Tissue",OR($B$52="g",$B$52="mg")),((X9*X$51)/(X$52)),IF(AND(Results!$E$5="Volume",$C$54&gt;0,Results!$E$4="Fluid"),((X9*X$51)/(X$54)),IF(AND(Results!$E$4="Cells",Results!$E$5="Million",$B$52="million"),((X9*X$51)/(X$52)),"0")))))</f>
        <v>0</v>
      </c>
      <c r="Y62" s="20" t="str">
        <f>IF(Y9=0,"0",IF(AND(Results!$E$5="Protein",$C$53&gt;0,OR(Results!$E$4="Tissue",Results!$E$4="Cells")),((Y9*Y$51)/(Y$53)),IF(AND(Results!$E$5="Weight",$C$52&gt;0, Results!$E$4="Tissue",OR($B$52="g",$B$52="mg")),((Y9*Y$51)/(Y$52)),IF(AND(Results!$E$5="Volume",$C$54&gt;0,Results!$E$4="Fluid"),((Y9*Y$51)/(Y$54)),IF(AND(Results!$E$4="Cells",Results!$E$5="Million",$B$52="million"),((Y9*Y$51)/(Y$52)),"0")))))</f>
        <v>0</v>
      </c>
      <c r="Z62" s="20">
        <f>IF(Z9=0,"0",IF(AND(Results!$E$5="Protein",$C$53&gt;0,OR(Results!$E$4="Tissue",Results!$E$4="Cells")),((Z9*Z$51)/(Z$53)),IF(AND(Results!$E$5="Weight",$C$52&gt;0, Results!$E$4="Tissue",OR($B$52="g",$B$52="mg")),((Z9*Z$51)/(Z$52)),IF(AND(Results!$E$5="Volume",$C$54&gt;0,Results!$E$4="Fluid"),((Z9*Z$51)/(Z$54)),IF(AND(Results!$E$4="Cells",Results!$E$5="Million",$B$52="million"),((Z9*Z$51)/(Z$52)),"0")))))</f>
        <v>1.6514800000000003</v>
      </c>
      <c r="AA62" s="20">
        <f>IF(AA9=0,"0",IF(AND(Results!$E$5="Protein",$C$53&gt;0,OR(Results!$E$4="Tissue",Results!$E$4="Cells")),((AA9*AA$51)/(AA$53)),IF(AND(Results!$E$5="Weight",$C$52&gt;0, Results!$E$4="Tissue",OR($B$52="g",$B$52="mg")),((AA9*AA$51)/(AA$52)),IF(AND(Results!$E$5="Volume",$C$54&gt;0,Results!$E$4="Fluid"),((AA9*AA$51)/(AA$54)),IF(AND(Results!$E$4="Cells",Results!$E$5="Million",$B$52="million"),((AA9*AA$51)/(AA$52)),"0")))))</f>
        <v>1.12435</v>
      </c>
      <c r="AB62" s="20" t="str">
        <f>IF(AB9=0,"0",IF(AND(Results!$E$5="Protein",$C$53&gt;0,OR(Results!$E$4="Tissue",Results!$E$4="Cells")),((AB9*AB$51)/(AB$53)),IF(AND(Results!$E$5="Weight",$C$52&gt;0, Results!$E$4="Tissue",OR($B$52="g",$B$52="mg")),((AB9*AB$51)/(AB$52)),IF(AND(Results!$E$5="Volume",$C$54&gt;0,Results!$E$4="Fluid"),((AB9*AB$51)/(AB$54)),IF(AND(Results!$E$4="Cells",Results!$E$5="Million",$B$52="million"),((AB9*AB$51)/(AB$52)),"0")))))</f>
        <v>0</v>
      </c>
      <c r="AC62" s="20">
        <f>IF(AC9=0,"0",IF(AND(Results!$E$5="Protein",$C$53&gt;0,OR(Results!$E$4="Tissue",Results!$E$4="Cells")),((AC9*AC$51)/(AC$53)),IF(AND(Results!$E$5="Weight",$C$52&gt;0, Results!$E$4="Tissue",OR($B$52="g",$B$52="mg")),((AC9*AC$51)/(AC$52)),IF(AND(Results!$E$5="Volume",$C$54&gt;0,Results!$E$4="Fluid"),((AC9*AC$51)/(AC$54)),IF(AND(Results!$E$4="Cells",Results!$E$5="Million",$B$52="million"),((AC9*AC$51)/(AC$52)),"0")))))</f>
        <v>0.84866666666666657</v>
      </c>
      <c r="AD62" s="20">
        <f>IF(AD9=0,"0",IF(AND(Results!$E$5="Protein",$C$53&gt;0,OR(Results!$E$4="Tissue",Results!$E$4="Cells")),((AD9*AD$51)/(AD$53)),IF(AND(Results!$E$5="Weight",$C$52&gt;0, Results!$E$4="Tissue",OR($B$52="g",$B$52="mg")),((AD9*AD$51)/(AD$52)),IF(AND(Results!$E$5="Volume",$C$54&gt;0,Results!$E$4="Fluid"),((AD9*AD$51)/(AD$54)),IF(AND(Results!$E$4="Cells",Results!$E$5="Million",$B$52="million"),((AD9*AD$51)/(AD$52)),"0")))))</f>
        <v>1.2844833333333334</v>
      </c>
      <c r="AE62" s="20" t="str">
        <f>IF(AE9=0,"0",IF(AND(Results!$E$5="Protein",$C$53&gt;0,OR(Results!$E$4="Tissue",Results!$E$4="Cells")),((AE9*AE$51)/(AE$53)),IF(AND(Results!$E$5="Weight",$C$52&gt;0, Results!$E$4="Tissue",OR($B$52="g",$B$52="mg")),((AE9*AE$51)/(AE$52)),IF(AND(Results!$E$5="Volume",$C$54&gt;0,Results!$E$4="Fluid"),((AE9*AE$51)/(AE$54)),IF(AND(Results!$E$4="Cells",Results!$E$5="Million",$B$52="million"),((AE9*AE$51)/(AE$52)),"0")))))</f>
        <v>0</v>
      </c>
      <c r="AF62" s="20">
        <f>IF(AF9=0,"0",IF(AND(Results!$E$5="Protein",$C$53&gt;0,OR(Results!$E$4="Tissue",Results!$E$4="Cells")),((AF9*AF$51)/(AF$53)),IF(AND(Results!$E$5="Weight",$C$52&gt;0, Results!$E$4="Tissue",OR($B$52="g",$B$52="mg")),((AF9*AF$51)/(AF$52)),IF(AND(Results!$E$5="Volume",$C$54&gt;0,Results!$E$4="Fluid"),((AF9*AF$51)/(AF$54)),IF(AND(Results!$E$4="Cells",Results!$E$5="Million",$B$52="million"),((AF9*AF$51)/(AF$52)),"0")))))</f>
        <v>2.8666166666666668</v>
      </c>
      <c r="AG62" s="20">
        <f>IF(AG9=0,"0",IF(AND(Results!$E$5="Protein",$C$53&gt;0,OR(Results!$E$4="Tissue",Results!$E$4="Cells")),((AG9*AG$51)/(AG$53)),IF(AND(Results!$E$5="Weight",$C$52&gt;0, Results!$E$4="Tissue",OR($B$52="g",$B$52="mg")),((AG9*AG$51)/(AG$52)),IF(AND(Results!$E$5="Volume",$C$54&gt;0,Results!$E$4="Fluid"),((AG9*AG$51)/(AG$54)),IF(AND(Results!$E$4="Cells",Results!$E$5="Million",$B$52="million"),((AG9*AG$51)/(AG$52)),"0")))))</f>
        <v>2.9718333333333335</v>
      </c>
      <c r="AH62" s="20">
        <f>IF(AH9=0,"0",IF(AND(Results!$E$5="Protein",$C$53&gt;0,OR(Results!$E$4="Tissue",Results!$E$4="Cells")),((AH9*AH$51)/(AH$53)),IF(AND(Results!$E$5="Weight",$C$52&gt;0, Results!$E$4="Tissue",OR($B$52="g",$B$52="mg")),((AH9*AH$51)/(AH$52)),IF(AND(Results!$E$5="Volume",$C$54&gt;0,Results!$E$4="Fluid"),((AH9*AH$51)/(AH$54)),IF(AND(Results!$E$4="Cells",Results!$E$5="Million",$B$52="million"),((AH9*AH$51)/(AH$52)),"0")))))</f>
        <v>0.5259166666666667</v>
      </c>
      <c r="AI62" s="20">
        <f>IF(AI9=0,"0",IF(AND(Results!$E$5="Protein",$C$53&gt;0,OR(Results!$E$4="Tissue",Results!$E$4="Cells")),((AI9*AI$51)/(AI$53)),IF(AND(Results!$E$5="Weight",$C$52&gt;0, Results!$E$4="Tissue",OR($B$52="g",$B$52="mg")),((AI9*AI$51)/(AI$52)),IF(AND(Results!$E$5="Volume",$C$54&gt;0,Results!$E$4="Fluid"),((AI9*AI$51)/(AI$54)),IF(AND(Results!$E$4="Cells",Results!$E$5="Million",$B$52="million"),((AI9*AI$51)/(AI$52)),"0")))))</f>
        <v>4.0964833333333335</v>
      </c>
      <c r="AJ62" s="20" t="str">
        <f>IF(AJ9=0,"0",IF(AND(Results!$E$5="Protein",$C$53&gt;0,OR(Results!$E$4="Tissue",Results!$E$4="Cells")),((AJ9*AJ$51)/(AJ$53)),IF(AND(Results!$E$5="Weight",$C$52&gt;0, Results!$E$4="Tissue",OR($B$52="g",$B$52="mg")),((AJ9*AJ$51)/(AJ$52)),IF(AND(Results!$E$5="Volume",$C$54&gt;0,Results!$E$4="Fluid"),((AJ9*AJ$51)/(AJ$54)),IF(AND(Results!$E$4="Cells",Results!$E$5="Million",$B$52="million"),((AJ9*AJ$51)/(AJ$52)),"0")))))</f>
        <v>0</v>
      </c>
      <c r="AK62" s="20">
        <f>IF(AK9=0,"0",IF(AND(Results!$E$5="Protein",$C$53&gt;0,OR(Results!$E$4="Tissue",Results!$E$4="Cells")),((AK9*AK$51)/(AK$53)),IF(AND(Results!$E$5="Weight",$C$52&gt;0, Results!$E$4="Tissue",OR($B$52="g",$B$52="mg")),((AK9*AK$51)/(AK$52)),IF(AND(Results!$E$5="Volume",$C$54&gt;0,Results!$E$4="Fluid"),((AK9*AK$51)/(AK$54)),IF(AND(Results!$E$4="Cells",Results!$E$5="Million",$B$52="million"),((AK9*AK$51)/(AK$52)),"0")))))</f>
        <v>0.24168333333333333</v>
      </c>
      <c r="AL62" s="20">
        <f>IF(AL9=0,"0",IF(AND(Results!$E$5="Protein",$C$53&gt;0,OR(Results!$E$4="Tissue",Results!$E$4="Cells")),((AL9*AL$51)/(AL$53)),IF(AND(Results!$E$5="Weight",$C$52&gt;0, Results!$E$4="Tissue",OR($B$52="g",$B$52="mg")),((AL9*AL$51)/(AL$52)),IF(AND(Results!$E$5="Volume",$C$54&gt;0,Results!$E$4="Fluid"),((AL9*AL$51)/(AL$54)),IF(AND(Results!$E$4="Cells",Results!$E$5="Million",$B$52="million"),((AL9*AL$51)/(AL$52)),"0")))))</f>
        <v>3.1710166666666666</v>
      </c>
      <c r="AM62" s="20" t="str">
        <f>IF(AM9=0,"0",IF(AND(Results!$E$5="Protein",$C$53&gt;0,OR(Results!$E$4="Tissue",Results!$E$4="Cells")),((AM9*AM$51)/(AM$53)),IF(AND(Results!$E$5="Weight",$C$52&gt;0, Results!$E$4="Tissue",OR($B$52="g",$B$52="mg")),((AM9*AM$51)/(AM$52)),IF(AND(Results!$E$5="Volume",$C$54&gt;0,Results!$E$4="Fluid"),((AM9*AM$51)/(AM$54)),IF(AND(Results!$E$4="Cells",Results!$E$5="Million",$B$52="million"),((AM9*AM$51)/(AM$52)),"0")))))</f>
        <v>0</v>
      </c>
      <c r="AN62" s="20">
        <f>IF(AN9=0,"0",IF(AND(Results!$E$5="Protein",$C$53&gt;0,OR(Results!$E$4="Tissue",Results!$E$4="Cells")),((AN9*AN$51)/(AN$53)),IF(AND(Results!$E$5="Weight",$C$52&gt;0, Results!$E$4="Tissue",OR($B$52="g",$B$52="mg")),((AN9*AN$51)/(AN$52)),IF(AND(Results!$E$5="Volume",$C$54&gt;0,Results!$E$4="Fluid"),((AN9*AN$51)/(AN$54)),IF(AND(Results!$E$4="Cells",Results!$E$5="Million",$B$52="million"),((AN9*AN$51)/(AN$52)),"0")))))</f>
        <v>1.0540166666666666</v>
      </c>
      <c r="AO62" s="20">
        <f>IF(AO9=0,"0",IF(AND(Results!$E$5="Protein",$C$53&gt;0,OR(Results!$E$4="Tissue",Results!$E$4="Cells")),((AO9*AO$51)/(AO$53)),IF(AND(Results!$E$5="Weight",$C$52&gt;0, Results!$E$4="Tissue",OR($B$52="g",$B$52="mg")),((AO9*AO$51)/(AO$52)),IF(AND(Results!$E$5="Volume",$C$54&gt;0,Results!$E$4="Fluid"),((AO9*AO$51)/(AO$54)),IF(AND(Results!$E$4="Cells",Results!$E$5="Million",$B$52="million"),((AO9*AO$51)/(AO$52)),"0")))))</f>
        <v>0.36150000000000004</v>
      </c>
      <c r="AP62" s="20" t="str">
        <f>IF(AP9=0,"0",IF(AND(Results!$E$5="Protein",$C$53&gt;0,OR(Results!$E$4="Tissue",Results!$E$4="Cells")),((AP9*AP$51)/(AP$53)),IF(AND(Results!$E$5="Weight",$C$52&gt;0, Results!$E$4="Tissue",OR($B$52="g",$B$52="mg")),((AP9*AP$51)/(AP$52)),IF(AND(Results!$E$5="Volume",$C$54&gt;0,Results!$E$4="Fluid"),((AP9*AP$51)/(AP$54)),IF(AND(Results!$E$4="Cells",Results!$E$5="Million",$B$52="million"),((AP9*AP$51)/(AP$52)),"0")))))</f>
        <v>0</v>
      </c>
      <c r="AQ62" s="20">
        <f>IF(AQ9=0,"0",IF(AND(Results!$E$5="Protein",$C$53&gt;0,OR(Results!$E$4="Tissue",Results!$E$4="Cells")),((AQ9*AQ$51)/(AQ$53)),IF(AND(Results!$E$5="Weight",$C$52&gt;0, Results!$E$4="Tissue",OR($B$52="g",$B$52="mg")),((AQ9*AQ$51)/(AQ$52)),IF(AND(Results!$E$5="Volume",$C$54&gt;0,Results!$E$4="Fluid"),((AQ9*AQ$51)/(AQ$54)),IF(AND(Results!$E$4="Cells",Results!$E$5="Million",$B$52="million"),((AQ9*AQ$51)/(AQ$52)),"0")))))</f>
        <v>3.9498833333333332</v>
      </c>
      <c r="AR62" s="20">
        <f>IF(AR9=0,"0",IF(AND(Results!$E$5="Protein",$C$53&gt;0,OR(Results!$E$4="Tissue",Results!$E$4="Cells")),((AR9*AR$51)/(AR$53)),IF(AND(Results!$E$5="Weight",$C$52&gt;0, Results!$E$4="Tissue",OR($B$52="g",$B$52="mg")),((AR9*AR$51)/(AR$52)),IF(AND(Results!$E$5="Volume",$C$54&gt;0,Results!$E$4="Fluid"),((AR9*AR$51)/(AR$54)),IF(AND(Results!$E$4="Cells",Results!$E$5="Million",$B$52="million"),((AR9*AR$51)/(AR$52)),"0")))))</f>
        <v>0.61403333333333332</v>
      </c>
      <c r="AS62" s="20">
        <f>IF(AS9=0,"0",IF(AND(Results!$E$5="Protein",$C$53&gt;0,OR(Results!$E$4="Tissue",Results!$E$4="Cells")),((AS9*AS$51)/(AS$53)),IF(AND(Results!$E$5="Weight",$C$52&gt;0, Results!$E$4="Tissue",OR($B$52="g",$B$52="mg")),((AS9*AS$51)/(AS$52)),IF(AND(Results!$E$5="Volume",$C$54&gt;0,Results!$E$4="Fluid"),((AS9*AS$51)/(AS$54)),IF(AND(Results!$E$4="Cells",Results!$E$5="Million",$B$52="million"),((AS9*AS$51)/(AS$52)),"0")))))</f>
        <v>18.822949999999999</v>
      </c>
      <c r="AT62" s="20">
        <f>IF(AT9=0,"0",IF(AND(Results!$E$5="Protein",$C$53&gt;0,OR(Results!$E$4="Tissue",Results!$E$4="Cells")),((AT9*AT$51)/(AT$53)),IF(AND(Results!$E$5="Weight",$C$52&gt;0, Results!$E$4="Tissue",OR($B$52="g",$B$52="mg")),((AT9*AT$51)/(AT$52)),IF(AND(Results!$E$5="Volume",$C$54&gt;0,Results!$E$4="Fluid"),((AT9*AT$51)/(AT$54)),IF(AND(Results!$E$4="Cells",Results!$E$5="Million",$B$52="million"),((AT9*AT$51)/(AT$52)),"0")))))</f>
        <v>12.503366666666667</v>
      </c>
      <c r="AU62" s="20" t="str">
        <f>IF(AU9=0,"0",IF(AND(Results!$E$5="Protein",$C$53&gt;0,OR(Results!$E$4="Tissue",Results!$E$4="Cells")),((AU9*AU$51)/(AU$53)),IF(AND(Results!$E$5="Weight",$C$52&gt;0, Results!$E$4="Tissue",OR($B$52="g",$B$52="mg")),((AU9*AU$51)/(AU$52)),IF(AND(Results!$E$5="Volume",$C$54&gt;0,Results!$E$4="Fluid"),((AU9*AU$51)/(AU$54)),IF(AND(Results!$E$4="Cells",Results!$E$5="Million",$B$52="million"),((AU9*AU$51)/(AU$52)),"0")))))</f>
        <v>0</v>
      </c>
      <c r="AV62" s="20" t="str">
        <f>IF(AV9=0,"0",IF(AND(Results!$E$5="Protein",$C$53&gt;0,OR(Results!$E$4="Tissue",Results!$E$4="Cells")),((AV9*AV$51)/(AV$53)),IF(AND(Results!$E$5="Weight",$C$52&gt;0, Results!$E$4="Tissue",OR($B$52="g",$B$52="mg")),((AV9*AV$51)/(AV$52)),IF(AND(Results!$E$5="Volume",$C$54&gt;0,Results!$E$4="Fluid"),((AV9*AV$51)/(AV$54)),IF(AND(Results!$E$4="Cells",Results!$E$5="Million",$B$52="million"),((AV9*AV$51)/(AV$52)),"0")))))</f>
        <v>0</v>
      </c>
      <c r="AW62" s="20">
        <f>IF(AW9=0,"0",IF(AND(Results!$E$5="Protein",$C$53&gt;0,OR(Results!$E$4="Tissue",Results!$E$4="Cells")),((AW9*AW$51)/(AW$53)),IF(AND(Results!$E$5="Weight",$C$52&gt;0, Results!$E$4="Tissue",OR($B$52="g",$B$52="mg")),((AW9*AW$51)/(AW$52)),IF(AND(Results!$E$5="Volume",$C$54&gt;0,Results!$E$4="Fluid"),((AW9*AW$51)/(AW$54)),IF(AND(Results!$E$4="Cells",Results!$E$5="Million",$B$52="million"),((AW9*AW$51)/(AW$52)),"0")))))</f>
        <v>0.54333333333333322</v>
      </c>
      <c r="AX62" s="20">
        <f>IF(AX9=0,"0",IF(AND(Results!$E$5="Protein",$C$53&gt;0,OR(Results!$E$4="Tissue",Results!$E$4="Cells")),((AX9*AX$51)/(AX$53)),IF(AND(Results!$E$5="Weight",$C$52&gt;0, Results!$E$4="Tissue",OR($B$52="g",$B$52="mg")),((AX9*AX$51)/(AX$52)),IF(AND(Results!$E$5="Volume",$C$54&gt;0,Results!$E$4="Fluid"),((AX9*AX$51)/(AX$54)),IF(AND(Results!$E$4="Cells",Results!$E$5="Million",$B$52="million"),((AX9*AX$51)/(AX$52)),"0")))))</f>
        <v>1.9587333333333334</v>
      </c>
      <c r="AY62" s="20">
        <f>IF(AY9=0,"0",IF(AND(Results!$E$5="Protein",$C$53&gt;0,OR(Results!$E$4="Tissue",Results!$E$4="Cells")),((AY9*AY$51)/(AY$53)),IF(AND(Results!$E$5="Weight",$C$52&gt;0, Results!$E$4="Tissue",OR($B$52="g",$B$52="mg")),((AY9*AY$51)/(AY$52)),IF(AND(Results!$E$5="Volume",$C$54&gt;0,Results!$E$4="Fluid"),((AY9*AY$51)/(AY$54)),IF(AND(Results!$E$4="Cells",Results!$E$5="Million",$B$52="million"),((AY9*AY$51)/(AY$52)),"0")))))</f>
        <v>0.85115000000000007</v>
      </c>
      <c r="AZ62" s="20">
        <f>IF(AZ9=0,"0",IF(AND(Results!$E$5="Protein",$C$53&gt;0,OR(Results!$E$4="Tissue",Results!$E$4="Cells")),((AZ9*AZ$51)/(AZ$53)),IF(AND(Results!$E$5="Weight",$C$52&gt;0, Results!$E$4="Tissue",OR($B$52="g",$B$52="mg")),((AZ9*AZ$51)/(AZ$52)),IF(AND(Results!$E$5="Volume",$C$54&gt;0,Results!$E$4="Fluid"),((AZ9*AZ$51)/(AZ$54)),IF(AND(Results!$E$4="Cells",Results!$E$5="Million",$B$52="million"),((AZ9*AZ$51)/(AZ$52)),"0")))))</f>
        <v>0.20793333333333336</v>
      </c>
      <c r="BA62" s="20">
        <f>IF(BA9=0,"0",IF(AND(Results!$E$5="Protein",$C$53&gt;0,OR(Results!$E$4="Tissue",Results!$E$4="Cells")),((BA9*BA$51)/(BA$53)),IF(AND(Results!$E$5="Weight",$C$52&gt;0, Results!$E$4="Tissue",OR($B$52="g",$B$52="mg")),((BA9*BA$51)/(BA$52)),IF(AND(Results!$E$5="Volume",$C$54&gt;0,Results!$E$4="Fluid"),((BA9*BA$51)/(BA$54)),IF(AND(Results!$E$4="Cells",Results!$E$5="Million",$B$52="million"),((BA9*BA$51)/(BA$52)),"0")))))</f>
        <v>3.7864</v>
      </c>
      <c r="BB62" s="20">
        <f>IF(BB9=0,"0",IF(AND(Results!$E$5="Protein",$C$53&gt;0,OR(Results!$E$4="Tissue",Results!$E$4="Cells")),((BB9*BB$51)/(BB$53)),IF(AND(Results!$E$5="Weight",$C$52&gt;0, Results!$E$4="Tissue",OR($B$52="g",$B$52="mg")),((BB9*BB$51)/(BB$52)),IF(AND(Results!$E$5="Volume",$C$54&gt;0,Results!$E$4="Fluid"),((BB9*BB$51)/(BB$54)),IF(AND(Results!$E$4="Cells",Results!$E$5="Million",$B$52="million"),((BB9*BB$51)/(BB$52)),"0")))))</f>
        <v>0.57716666666666672</v>
      </c>
      <c r="BC62" s="20" t="str">
        <f>IF(BC9=0,"0",IF(AND(Results!$E$5="Protein",$C$53&gt;0,OR(Results!$E$4="Tissue",Results!$E$4="Cells")),((BC9*BC$51)/(BC$53)),IF(AND(Results!$E$5="Weight",$C$52&gt;0, Results!$E$4="Tissue",OR($B$52="g",$B$52="mg")),((BC9*BC$51)/(BC$52)),IF(AND(Results!$E$5="Volume",$C$54&gt;0,Results!$E$4="Fluid"),((BC9*BC$51)/(BC$54)),IF(AND(Results!$E$4="Cells",Results!$E$5="Million",$B$52="million"),((BC9*BC$51)/(BC$52)),"0")))))</f>
        <v>0</v>
      </c>
      <c r="BD62" s="20">
        <f>IF(BD9=0,"0",IF(AND(Results!$E$5="Protein",$C$53&gt;0,OR(Results!$E$4="Tissue",Results!$E$4="Cells")),((BD9*BD$51)/(BD$53)),IF(AND(Results!$E$5="Weight",$C$52&gt;0, Results!$E$4="Tissue",OR($B$52="g",$B$52="mg")),((BD9*BD$51)/(BD$52)),IF(AND(Results!$E$5="Volume",$C$54&gt;0,Results!$E$4="Fluid"),((BD9*BD$51)/(BD$54)),IF(AND(Results!$E$4="Cells",Results!$E$5="Million",$B$52="million"),((BD9*BD$51)/(BD$52)),"0")))))</f>
        <v>0.64288333333333336</v>
      </c>
      <c r="BE62" s="20">
        <f>IF(BE9=0,"0",IF(AND(Results!$E$5="Protein",$C$53&gt;0,OR(Results!$E$4="Tissue",Results!$E$4="Cells")),((BE9*BE$51)/(BE$53)),IF(AND(Results!$E$5="Weight",$C$52&gt;0, Results!$E$4="Tissue",OR($B$52="g",$B$52="mg")),((BE9*BE$51)/(BE$52)),IF(AND(Results!$E$5="Volume",$C$54&gt;0,Results!$E$4="Fluid"),((BE9*BE$51)/(BE$54)),IF(AND(Results!$E$4="Cells",Results!$E$5="Million",$B$52="million"),((BE9*BE$51)/(BE$52)),"0")))))</f>
        <v>0.55271666666666663</v>
      </c>
      <c r="BF62" s="20">
        <f>IF(BF9=0,"0",IF(AND(Results!$E$5="Protein",$C$53&gt;0,OR(Results!$E$4="Tissue",Results!$E$4="Cells")),((BF9*BF$51)/(BF$53)),IF(AND(Results!$E$5="Weight",$C$52&gt;0, Results!$E$4="Tissue",OR($B$52="g",$B$52="mg")),((BF9*BF$51)/(BF$52)),IF(AND(Results!$E$5="Volume",$C$54&gt;0,Results!$E$4="Fluid"),((BF9*BF$51)/(BF$54)),IF(AND(Results!$E$4="Cells",Results!$E$5="Million",$B$52="million"),((BF9*BF$51)/(BF$52)),"0")))))</f>
        <v>6.6915166666666668</v>
      </c>
      <c r="BG62" s="20">
        <f>IF(BG9=0,"0",IF(AND(Results!$E$5="Protein",$C$53&gt;0,OR(Results!$E$4="Tissue",Results!$E$4="Cells")),((BG9*BG$51)/(BG$53)),IF(AND(Results!$E$5="Weight",$C$52&gt;0, Results!$E$4="Tissue",OR($B$52="g",$B$52="mg")),((BG9*BG$51)/(BG$52)),IF(AND(Results!$E$5="Volume",$C$54&gt;0,Results!$E$4="Fluid"),((BG9*BG$51)/(BG$54)),IF(AND(Results!$E$4="Cells",Results!$E$5="Million",$B$52="million"),((BG9*BG$51)/(BG$52)),"0")))))</f>
        <v>0.49513333333333337</v>
      </c>
      <c r="BH62" s="20" t="str">
        <f>IF(BH9=0,"0",IF(AND(Results!$E$5="Protein",$C$53&gt;0,OR(Results!$E$4="Tissue",Results!$E$4="Cells")),((BH9*BH$51)/(BH$53)),IF(AND(Results!$E$5="Weight",$C$52&gt;0, Results!$E$4="Tissue",OR($B$52="g",$B$52="mg")),((BH9*BH$51)/(BH$52)),IF(AND(Results!$E$5="Volume",$C$54&gt;0,Results!$E$4="Fluid"),((BH9*BH$51)/(BH$54)),IF(AND(Results!$E$4="Cells",Results!$E$5="Million",$B$52="million"),((BH9*BH$51)/(BH$52)),"0")))))</f>
        <v>0</v>
      </c>
      <c r="BI62" s="20">
        <f>IF(BI9=0,"0",IF(AND(Results!$E$5="Protein",$C$53&gt;0,OR(Results!$E$4="Tissue",Results!$E$4="Cells")),((BI9*BI$51)/(BI$53)),IF(AND(Results!$E$5="Weight",$C$52&gt;0, Results!$E$4="Tissue",OR($B$52="g",$B$52="mg")),((BI9*BI$51)/(BI$52)),IF(AND(Results!$E$5="Volume",$C$54&gt;0,Results!$E$4="Fluid"),((BI9*BI$51)/(BI$54)),IF(AND(Results!$E$4="Cells",Results!$E$5="Million",$B$52="million"),((BI9*BI$51)/(BI$52)),"0")))))</f>
        <v>1.4092500000000001</v>
      </c>
      <c r="BJ62" s="20">
        <f>IF(BJ9=0,"0",IF(AND(Results!$E$5="Protein",$C$53&gt;0,OR(Results!$E$4="Tissue",Results!$E$4="Cells")),((BJ9*BJ$51)/(BJ$53)),IF(AND(Results!$E$5="Weight",$C$52&gt;0, Results!$E$4="Tissue",OR($B$52="g",$B$52="mg")),((BJ9*BJ$51)/(BJ$52)),IF(AND(Results!$E$5="Volume",$C$54&gt;0,Results!$E$4="Fluid"),((BJ9*BJ$51)/(BJ$54)),IF(AND(Results!$E$4="Cells",Results!$E$5="Million",$B$52="million"),((BJ9*BJ$51)/(BJ$52)),"0")))))</f>
        <v>9.7644000000000002</v>
      </c>
      <c r="BK62" s="20">
        <f>IF(BK9=0,"0",IF(AND(Results!$E$5="Protein",$C$53&gt;0,OR(Results!$E$4="Tissue",Results!$E$4="Cells")),((BK9*BK$51)/(BK$53)),IF(AND(Results!$E$5="Weight",$C$52&gt;0, Results!$E$4="Tissue",OR($B$52="g",$B$52="mg")),((BK9*BK$51)/(BK$52)),IF(AND(Results!$E$5="Volume",$C$54&gt;0,Results!$E$4="Fluid"),((BK9*BK$51)/(BK$54)),IF(AND(Results!$E$4="Cells",Results!$E$5="Million",$B$52="million"),((BK9*BK$51)/(BK$52)),"0")))))</f>
        <v>1.8091999999999999</v>
      </c>
      <c r="BL62" s="20">
        <f>IF(BL9=0,"0",IF(AND(Results!$E$5="Protein",$C$53&gt;0,OR(Results!$E$4="Tissue",Results!$E$4="Cells")),((BL9*BL$51)/(BL$53)),IF(AND(Results!$E$5="Weight",$C$52&gt;0, Results!$E$4="Tissue",OR($B$52="g",$B$52="mg")),((BL9*BL$51)/(BL$52)),IF(AND(Results!$E$5="Volume",$C$54&gt;0,Results!$E$4="Fluid"),((BL9*BL$51)/(BL$54)),IF(AND(Results!$E$4="Cells",Results!$E$5="Million",$B$52="million"),((BL9*BL$51)/(BL$52)),"0")))))</f>
        <v>17.996166666666667</v>
      </c>
      <c r="BM62" s="20">
        <f>IF(BM9=0,"0",IF(AND(Results!$E$5="Protein",$C$53&gt;0,OR(Results!$E$4="Tissue",Results!$E$4="Cells")),((BM9*BM$51)/(BM$53)),IF(AND(Results!$E$5="Weight",$C$52&gt;0, Results!$E$4="Tissue",OR($B$52="g",$B$52="mg")),((BM9*BM$51)/(BM$52)),IF(AND(Results!$E$5="Volume",$C$54&gt;0,Results!$E$4="Fluid"),((BM9*BM$51)/(BM$54)),IF(AND(Results!$E$4="Cells",Results!$E$5="Million",$B$52="million"),((BM9*BM$51)/(BM$52)),"0")))))</f>
        <v>22.619914285714287</v>
      </c>
      <c r="BN62" s="20">
        <f>IF(BN9=0,"0",IF(AND(Results!$E$5="Protein",$C$53&gt;0,OR(Results!$E$4="Tissue",Results!$E$4="Cells")),((BN9*BN$51)/(BN$53)),IF(AND(Results!$E$5="Weight",$C$52&gt;0, Results!$E$4="Tissue",OR($B$52="g",$B$52="mg")),((BN9*BN$51)/(BN$52)),IF(AND(Results!$E$5="Volume",$C$54&gt;0,Results!$E$4="Fluid"),((BN9*BN$51)/(BN$54)),IF(AND(Results!$E$4="Cells",Results!$E$5="Million",$B$52="million"),((BN9*BN$51)/(BN$52)),"0")))))</f>
        <v>24.517833333333332</v>
      </c>
      <c r="BO62" s="20">
        <f>IF(BO9=0,"0",IF(AND(Results!$E$5="Protein",$C$53&gt;0,OR(Results!$E$4="Tissue",Results!$E$4="Cells")),((BO9*BO$51)/(BO$53)),IF(AND(Results!$E$5="Weight",$C$52&gt;0, Results!$E$4="Tissue",OR($B$52="g",$B$52="mg")),((BO9*BO$51)/(BO$52)),IF(AND(Results!$E$5="Volume",$C$54&gt;0,Results!$E$4="Fluid"),((BO9*BO$51)/(BO$54)),IF(AND(Results!$E$4="Cells",Results!$E$5="Million",$B$52="million"),((BO9*BO$51)/(BO$52)),"0")))))</f>
        <v>21.198116666666667</v>
      </c>
      <c r="BP62" s="20">
        <f>IF(BP9=0,"0",IF(AND(Results!$E$5="Protein",$C$53&gt;0,OR(Results!$E$4="Tissue",Results!$E$4="Cells")),((BP9*BP$51)/(BP$53)),IF(AND(Results!$E$5="Weight",$C$52&gt;0, Results!$E$4="Tissue",OR($B$52="g",$B$52="mg")),((BP9*BP$51)/(BP$52)),IF(AND(Results!$E$5="Volume",$C$54&gt;0,Results!$E$4="Fluid"),((BP9*BP$51)/(BP$54)),IF(AND(Results!$E$4="Cells",Results!$E$5="Million",$B$52="million"),((BP9*BP$51)/(BP$52)),"0")))))</f>
        <v>19.414949999999997</v>
      </c>
      <c r="BQ62" s="20">
        <f>IF(BQ9=0,"0",IF(AND(Results!$E$5="Protein",$C$53&gt;0,OR(Results!$E$4="Tissue",Results!$E$4="Cells")),((BQ9*BQ$51)/(BQ$53)),IF(AND(Results!$E$5="Weight",$C$52&gt;0, Results!$E$4="Tissue",OR($B$52="g",$B$52="mg")),((BQ9*BQ$51)/(BQ$52)),IF(AND(Results!$E$5="Volume",$C$54&gt;0,Results!$E$4="Fluid"),((BQ9*BQ$51)/(BQ$54)),IF(AND(Results!$E$4="Cells",Results!$E$5="Million",$B$52="million"),((BQ9*BQ$51)/(BQ$52)),"0")))))</f>
        <v>1.5157999999999998</v>
      </c>
      <c r="BR62" s="20">
        <f>IF(BR9=0,"0",IF(AND(Results!$E$5="Protein",$C$53&gt;0,OR(Results!$E$4="Tissue",Results!$E$4="Cells")),((BR9*BR$51)/(BR$53)),IF(AND(Results!$E$5="Weight",$C$52&gt;0, Results!$E$4="Tissue",OR($B$52="g",$B$52="mg")),((BR9*BR$51)/(BR$52)),IF(AND(Results!$E$5="Volume",$C$54&gt;0,Results!$E$4="Fluid"),((BR9*BR$51)/(BR$54)),IF(AND(Results!$E$4="Cells",Results!$E$5="Million",$B$52="million"),((BR9*BR$51)/(BR$52)),"0")))))</f>
        <v>0.31062857142857142</v>
      </c>
      <c r="BS62" s="20">
        <f>IF(BS9=0,"0",IF(AND(Results!$E$5="Protein",$C$53&gt;0,OR(Results!$E$4="Tissue",Results!$E$4="Cells")),((BS9*BS$51)/(BS$53)),IF(AND(Results!$E$5="Weight",$C$52&gt;0, Results!$E$4="Tissue",OR($B$52="g",$B$52="mg")),((BS9*BS$51)/(BS$52)),IF(AND(Results!$E$5="Volume",$C$54&gt;0,Results!$E$4="Fluid"),((BS9*BS$51)/(BS$54)),IF(AND(Results!$E$4="Cells",Results!$E$5="Million",$B$52="million"),((BS9*BS$51)/(BS$52)),"0")))))</f>
        <v>7.9348999999999998</v>
      </c>
      <c r="BT62" s="20">
        <f>IF(BT9=0,"0",IF(AND(Results!$E$5="Protein",$C$53&gt;0,OR(Results!$E$4="Tissue",Results!$E$4="Cells")),((BT9*BT$51)/(BT$53)),IF(AND(Results!$E$5="Weight",$C$52&gt;0, Results!$E$4="Tissue",OR($B$52="g",$B$52="mg")),((BT9*BT$51)/(BT$52)),IF(AND(Results!$E$5="Volume",$C$54&gt;0,Results!$E$4="Fluid"),((BT9*BT$51)/(BT$54)),IF(AND(Results!$E$4="Cells",Results!$E$5="Million",$B$52="million"),((BT9*BT$51)/(BT$52)),"0")))))</f>
        <v>3.8856666666666664</v>
      </c>
      <c r="BU62" s="20">
        <f>IF(BU9=0,"0",IF(AND(Results!$E$5="Protein",$C$53&gt;0,OR(Results!$E$4="Tissue",Results!$E$4="Cells")),((BU9*BU$51)/(BU$53)),IF(AND(Results!$E$5="Weight",$C$52&gt;0, Results!$E$4="Tissue",OR($B$52="g",$B$52="mg")),((BU9*BU$51)/(BU$52)),IF(AND(Results!$E$5="Volume",$C$54&gt;0,Results!$E$4="Fluid"),((BU9*BU$51)/(BU$54)),IF(AND(Results!$E$4="Cells",Results!$E$5="Million",$B$52="million"),((BU9*BU$51)/(BU$52)),"0")))))</f>
        <v>3.7905500000000005</v>
      </c>
      <c r="BV62" s="20">
        <f>IF(BV9=0,"0",IF(AND(Results!$E$5="Protein",$C$53&gt;0,OR(Results!$E$4="Tissue",Results!$E$4="Cells")),((BV9*BV$51)/(BV$53)),IF(AND(Results!$E$5="Weight",$C$52&gt;0, Results!$E$4="Tissue",OR($B$52="g",$B$52="mg")),((BV9*BV$51)/(BV$52)),IF(AND(Results!$E$5="Volume",$C$54&gt;0,Results!$E$4="Fluid"),((BV9*BV$51)/(BV$54)),IF(AND(Results!$E$4="Cells",Results!$E$5="Million",$B$52="million"),((BV9*BV$51)/(BV$52)),"0")))))</f>
        <v>1.84365</v>
      </c>
      <c r="BW62" s="20">
        <f>IF(BW9=0,"0",IF(AND(Results!$E$5="Protein",$C$53&gt;0,OR(Results!$E$4="Tissue",Results!$E$4="Cells")),((BW9*BW$51)/(BW$53)),IF(AND(Results!$E$5="Weight",$C$52&gt;0, Results!$E$4="Tissue",OR($B$52="g",$B$52="mg")),((BW9*BW$51)/(BW$52)),IF(AND(Results!$E$5="Volume",$C$54&gt;0,Results!$E$4="Fluid"),((BW9*BW$51)/(BW$54)),IF(AND(Results!$E$4="Cells",Results!$E$5="Million",$B$52="million"),((BW9*BW$51)/(BW$52)),"0")))))</f>
        <v>6.6251666666666669</v>
      </c>
      <c r="BX62" s="20">
        <f>IF(BX9=0,"0",IF(AND(Results!$E$5="Protein",$C$53&gt;0,OR(Results!$E$4="Tissue",Results!$E$4="Cells")),((BX9*BX$51)/(BX$53)),IF(AND(Results!$E$5="Weight",$C$52&gt;0, Results!$E$4="Tissue",OR($B$52="g",$B$52="mg")),((BX9*BX$51)/(BX$52)),IF(AND(Results!$E$5="Volume",$C$54&gt;0,Results!$E$4="Fluid"),((BX9*BX$51)/(BX$54)),IF(AND(Results!$E$4="Cells",Results!$E$5="Million",$B$52="million"),((BX9*BX$51)/(BX$52)),"0")))))</f>
        <v>0.4216333333333333</v>
      </c>
      <c r="BY62" s="20">
        <f>IF(BY9=0,"0",IF(AND(Results!$E$5="Protein",$C$53&gt;0,OR(Results!$E$4="Tissue",Results!$E$4="Cells")),((BY9*BY$51)/(BY$53)),IF(AND(Results!$E$5="Weight",$C$52&gt;0, Results!$E$4="Tissue",OR($B$52="g",$B$52="mg")),((BY9*BY$51)/(BY$52)),IF(AND(Results!$E$5="Volume",$C$54&gt;0,Results!$E$4="Fluid"),((BY9*BY$51)/(BY$54)),IF(AND(Results!$E$4="Cells",Results!$E$5="Million",$B$52="million"),((BY9*BY$51)/(BY$52)),"0")))))</f>
        <v>2.1546333333333334</v>
      </c>
      <c r="BZ62" s="20">
        <f>IF(BZ9=0,"0",IF(AND(Results!$E$5="Protein",$C$53&gt;0,OR(Results!$E$4="Tissue",Results!$E$4="Cells")),((BZ9*BZ$51)/(BZ$53)),IF(AND(Results!$E$5="Weight",$C$52&gt;0, Results!$E$4="Tissue",OR($B$52="g",$B$52="mg")),((BZ9*BZ$51)/(BZ$52)),IF(AND(Results!$E$5="Volume",$C$54&gt;0,Results!$E$4="Fluid"),((BZ9*BZ$51)/(BZ$54)),IF(AND(Results!$E$4="Cells",Results!$E$5="Million",$B$52="million"),((BZ9*BZ$51)/(BZ$52)),"0")))))</f>
        <v>1.5811333333333335</v>
      </c>
      <c r="CA62" s="20">
        <f>IF(CA9=0,"0",IF(AND(Results!$E$5="Protein",$C$53&gt;0,OR(Results!$E$4="Tissue",Results!$E$4="Cells")),((CA9*CA$51)/(CA$53)),IF(AND(Results!$E$5="Weight",$C$52&gt;0, Results!$E$4="Tissue",OR($B$52="g",$B$52="mg")),((CA9*CA$51)/(CA$52)),IF(AND(Results!$E$5="Volume",$C$54&gt;0,Results!$E$4="Fluid"),((CA9*CA$51)/(CA$54)),IF(AND(Results!$E$4="Cells",Results!$E$5="Million",$B$52="million"),((CA9*CA$51)/(CA$52)),"0")))))</f>
        <v>1.6207833333333332</v>
      </c>
      <c r="CB62" s="20">
        <f>IF(CB9=0,"0",IF(AND(Results!$E$5="Protein",$C$53&gt;0,OR(Results!$E$4="Tissue",Results!$E$4="Cells")),((CB9*CB$51)/(CB$53)),IF(AND(Results!$E$5="Weight",$C$52&gt;0, Results!$E$4="Tissue",OR($B$52="g",$B$52="mg")),((CB9*CB$51)/(CB$52)),IF(AND(Results!$E$5="Volume",$C$54&gt;0,Results!$E$4="Fluid"),((CB9*CB$51)/(CB$54)),IF(AND(Results!$E$4="Cells",Results!$E$5="Million",$B$52="million"),((CB9*CB$51)/(CB$52)),"0")))))</f>
        <v>1.62235</v>
      </c>
      <c r="CC62" s="20">
        <f>IF(CC9=0,"0",IF(AND(Results!$E$5="Protein",$C$53&gt;0,OR(Results!$E$4="Tissue",Results!$E$4="Cells")),((CC9*CC$51)/(CC$53)),IF(AND(Results!$E$5="Weight",$C$52&gt;0, Results!$E$4="Tissue",OR($B$52="g",$B$52="mg")),((CC9*CC$51)/(CC$52)),IF(AND(Results!$E$5="Volume",$C$54&gt;0,Results!$E$4="Fluid"),((CC9*CC$51)/(CC$54)),IF(AND(Results!$E$4="Cells",Results!$E$5="Million",$B$52="million"),((CC9*CC$51)/(CC$52)),"0")))))</f>
        <v>0.80251666666666677</v>
      </c>
      <c r="CD62" s="20">
        <f>IF(CD9=0,"0",IF(AND(Results!$E$5="Protein",$C$53&gt;0,OR(Results!$E$4="Tissue",Results!$E$4="Cells")),((CD9*CD$51)/(CD$53)),IF(AND(Results!$E$5="Weight",$C$52&gt;0, Results!$E$4="Tissue",OR($B$52="g",$B$52="mg")),((CD9*CD$51)/(CD$52)),IF(AND(Results!$E$5="Volume",$C$54&gt;0,Results!$E$4="Fluid"),((CD9*CD$51)/(CD$54)),IF(AND(Results!$E$4="Cells",Results!$E$5="Million",$B$52="million"),((CD9*CD$51)/(CD$52)),"0")))))</f>
        <v>1.486</v>
      </c>
      <c r="CE62" s="20">
        <f>IF(CE9=0,"0",IF(AND(Results!$E$5="Protein",$C$53&gt;0,OR(Results!$E$4="Tissue",Results!$E$4="Cells")),((CE9*CE$51)/(CE$53)),IF(AND(Results!$E$5="Weight",$C$52&gt;0, Results!$E$4="Tissue",OR($B$52="g",$B$52="mg")),((CE9*CE$51)/(CE$52)),IF(AND(Results!$E$5="Volume",$C$54&gt;0,Results!$E$4="Fluid"),((CE9*CE$51)/(CE$54)),IF(AND(Results!$E$4="Cells",Results!$E$5="Million",$B$52="million"),((CE9*CE$51)/(CE$52)),"0")))))</f>
        <v>3.3117333333333336</v>
      </c>
      <c r="CF62" s="20">
        <f>IF(CF9=0,"0",IF(AND(Results!$E$5="Protein",$C$53&gt;0,OR(Results!$E$4="Tissue",Results!$E$4="Cells")),((CF9*CF$51)/(CF$53)),IF(AND(Results!$E$5="Weight",$C$52&gt;0, Results!$E$4="Tissue",OR($B$52="g",$B$52="mg")),((CF9*CF$51)/(CF$52)),IF(AND(Results!$E$5="Volume",$C$54&gt;0,Results!$E$4="Fluid"),((CF9*CF$51)/(CF$54)),IF(AND(Results!$E$4="Cells",Results!$E$5="Million",$B$52="million"),((CF9*CF$51)/(CF$52)),"0")))))</f>
        <v>1.6281666666666665</v>
      </c>
      <c r="CG62" s="20">
        <f>IF(CG9=0,"0",IF(AND(Results!$E$5="Protein",$C$53&gt;0,OR(Results!$E$4="Tissue",Results!$E$4="Cells")),((CG9*CG$51)/(CG$53)),IF(AND(Results!$E$5="Weight",$C$52&gt;0, Results!$E$4="Tissue",OR($B$52="g",$B$52="mg")),((CG9*CG$51)/(CG$52)),IF(AND(Results!$E$5="Volume",$C$54&gt;0,Results!$E$4="Fluid"),((CG9*CG$51)/(CG$54)),IF(AND(Results!$E$4="Cells",Results!$E$5="Million",$B$52="million"),((CG9*CG$51)/(CG$52)),"0")))))</f>
        <v>0.9052</v>
      </c>
      <c r="CH62" s="20">
        <f>IF(CH9=0,"0",IF(AND(Results!$E$5="Protein",$C$53&gt;0,OR(Results!$E$4="Tissue",Results!$E$4="Cells")),((CH9*CH$51)/(CH$53)),IF(AND(Results!$E$5="Weight",$C$52&gt;0, Results!$E$4="Tissue",OR($B$52="g",$B$52="mg")),((CH9*CH$51)/(CH$52)),IF(AND(Results!$E$5="Volume",$C$54&gt;0,Results!$E$4="Fluid"),((CH9*CH$51)/(CH$54)),IF(AND(Results!$E$4="Cells",Results!$E$5="Million",$B$52="million"),((CH9*CH$51)/(CH$52)),"0")))))</f>
        <v>0.78446666666666676</v>
      </c>
      <c r="CI62" s="20">
        <f>IF(CI9=0,"0",IF(AND(Results!$E$5="Protein",$C$53&gt;0,OR(Results!$E$4="Tissue",Results!$E$4="Cells")),((CI9*CI$51)/(CI$53)),IF(AND(Results!$E$5="Weight",$C$52&gt;0, Results!$E$4="Tissue",OR($B$52="g",$B$52="mg")),((CI9*CI$51)/(CI$52)),IF(AND(Results!$E$5="Volume",$C$54&gt;0,Results!$E$4="Fluid"),((CI9*CI$51)/(CI$54)),IF(AND(Results!$E$4="Cells",Results!$E$5="Million",$B$52="million"),((CI9*CI$51)/(CI$52)),"0")))))</f>
        <v>2.0768666666666666</v>
      </c>
      <c r="CJ62" s="20">
        <f>IF(CJ9=0,"0",IF(AND(Results!$E$5="Protein",$C$53&gt;0,OR(Results!$E$4="Tissue",Results!$E$4="Cells")),((CJ9*CJ$51)/(CJ$53)),IF(AND(Results!$E$5="Weight",$C$52&gt;0, Results!$E$4="Tissue",OR($B$52="g",$B$52="mg")),((CJ9*CJ$51)/(CJ$52)),IF(AND(Results!$E$5="Volume",$C$54&gt;0,Results!$E$4="Fluid"),((CJ9*CJ$51)/(CJ$54)),IF(AND(Results!$E$4="Cells",Results!$E$5="Million",$B$52="million"),((CJ9*CJ$51)/(CJ$52)),"0")))))</f>
        <v>0.86257777777777789</v>
      </c>
      <c r="CK62" s="20" t="str">
        <f>IF(CK9=0,"0",IF(AND(Results!$E$5="Protein",$C$53&gt;0,OR(Results!$E$4="Tissue",Results!$E$4="Cells")),((CK9*CK$51)/(CK$53)),IF(AND(Results!$E$5="Weight",$C$52&gt;0, Results!$E$4="Tissue",OR($B$52="g",$B$52="mg")),((CK9*CK$51)/(CK$52)),IF(AND(Results!$E$5="Volume",$C$54&gt;0,Results!$E$4="Fluid"),((CK9*CK$51)/(CK$54)),IF(AND(Results!$E$4="Cells",Results!$E$5="Million",$B$52="million"),((CK9*CK$51)/(CK$52)),"0")))))</f>
        <v>0</v>
      </c>
      <c r="CL62" s="20">
        <f>IF(CL9=0,"0",IF(AND(Results!$E$5="Protein",$C$53&gt;0,OR(Results!$E$4="Tissue",Results!$E$4="Cells")),((CL9*CL$51)/(CL$53)),IF(AND(Results!$E$5="Weight",$C$52&gt;0, Results!$E$4="Tissue",OR($B$52="g",$B$52="mg")),((CL9*CL$51)/(CL$52)),IF(AND(Results!$E$5="Volume",$C$54&gt;0,Results!$E$4="Fluid"),((CL9*CL$51)/(CL$54)),IF(AND(Results!$E$4="Cells",Results!$E$5="Million",$B$52="million"),((CL9*CL$51)/(CL$52)),"0")))))</f>
        <v>0.61460000000000004</v>
      </c>
      <c r="CM62" s="20">
        <f>IF(CM9=0,"0",IF(AND(Results!$E$5="Protein",$C$53&gt;0,OR(Results!$E$4="Tissue",Results!$E$4="Cells")),((CM9*CM$51)/(CM$53)),IF(AND(Results!$E$5="Weight",$C$52&gt;0, Results!$E$4="Tissue",OR($B$52="g",$B$52="mg")),((CM9*CM$51)/(CM$52)),IF(AND(Results!$E$5="Volume",$C$54&gt;0,Results!$E$4="Fluid"),((CM9*CM$51)/(CM$54)),IF(AND(Results!$E$4="Cells",Results!$E$5="Million",$B$52="million"),((CM9*CM$51)/(CM$52)),"0")))))</f>
        <v>0.9503666666666668</v>
      </c>
      <c r="CN62" s="20" t="str">
        <f>IF(CN9=0,"0",IF(AND(Results!$E$5="Protein",$C$53&gt;0,OR(Results!$E$4="Tissue",Results!$E$4="Cells")),((CN9*CN$51)/(CN$53)),IF(AND(Results!$E$5="Weight",$C$52&gt;0, Results!$E$4="Tissue",OR($B$52="g",$B$52="mg")),((CN9*CN$51)/(CN$52)),IF(AND(Results!$E$5="Volume",$C$54&gt;0,Results!$E$4="Fluid"),((CN9*CN$51)/(CN$54)),IF(AND(Results!$E$4="Cells",Results!$E$5="Million",$B$52="million"),((CN9*CN$51)/(CN$52)),"0")))))</f>
        <v>0</v>
      </c>
      <c r="CO62" s="20">
        <f>IF(CO9=0,"0",IF(AND(Results!$E$5="Protein",$C$53&gt;0,OR(Results!$E$4="Tissue",Results!$E$4="Cells")),((CO9*CO$51)/(CO$53)),IF(AND(Results!$E$5="Weight",$C$52&gt;0, Results!$E$4="Tissue",OR($B$52="g",$B$52="mg")),((CO9*CO$51)/(CO$52)),IF(AND(Results!$E$5="Volume",$C$54&gt;0,Results!$E$4="Fluid"),((CO9*CO$51)/(CO$54)),IF(AND(Results!$E$4="Cells",Results!$E$5="Million",$B$52="million"),((CO9*CO$51)/(CO$52)),"0")))))</f>
        <v>0.4699666666666667</v>
      </c>
      <c r="CP62" s="20">
        <f>IF(CP9=0,"0",IF(AND(Results!$E$5="Protein",$C$53&gt;0,OR(Results!$E$4="Tissue",Results!$E$4="Cells")),((CP9*CP$51)/(CP$53)),IF(AND(Results!$E$5="Weight",$C$52&gt;0, Results!$E$4="Tissue",OR($B$52="g",$B$52="mg")),((CP9*CP$51)/(CP$52)),IF(AND(Results!$E$5="Volume",$C$54&gt;0,Results!$E$4="Fluid"),((CP9*CP$51)/(CP$54)),IF(AND(Results!$E$4="Cells",Results!$E$5="Million",$B$52="million"),((CP9*CP$51)/(CP$52)),"0")))))</f>
        <v>1.6422166666666669</v>
      </c>
      <c r="CQ62" s="20">
        <f>IF(CQ9=0,"0",IF(AND(Results!$E$5="Protein",$C$53&gt;0,OR(Results!$E$4="Tissue",Results!$E$4="Cells")),((CQ9*CQ$51)/(CQ$53)),IF(AND(Results!$E$5="Weight",$C$52&gt;0, Results!$E$4="Tissue",OR($B$52="g",$B$52="mg")),((CQ9*CQ$51)/(CQ$52)),IF(AND(Results!$E$5="Volume",$C$54&gt;0,Results!$E$4="Fluid"),((CQ9*CQ$51)/(CQ$54)),IF(AND(Results!$E$4="Cells",Results!$E$5="Million",$B$52="million"),((CQ9*CQ$51)/(CQ$52)),"0")))))</f>
        <v>1.2733833333333331</v>
      </c>
      <c r="CR62" s="20">
        <f>IF(CR9=0,"0",IF(AND(Results!$E$5="Protein",$C$53&gt;0,OR(Results!$E$4="Tissue",Results!$E$4="Cells")),((CR9*CR$51)/(CR$53)),IF(AND(Results!$E$5="Weight",$C$52&gt;0, Results!$E$4="Tissue",OR($B$52="g",$B$52="mg")),((CR9*CR$51)/(CR$52)),IF(AND(Results!$E$5="Volume",$C$54&gt;0,Results!$E$4="Fluid"),((CR9*CR$51)/(CR$54)),IF(AND(Results!$E$4="Cells",Results!$E$5="Million",$B$52="million"),((CR9*CR$51)/(CR$52)),"0")))))</f>
        <v>6.2250499999999995</v>
      </c>
      <c r="CS62" s="20">
        <f>IF(CS9=0,"0",IF(AND(Results!$E$5="Protein",$C$53&gt;0,OR(Results!$E$4="Tissue",Results!$E$4="Cells")),((CS9*CS$51)/(CS$53)),IF(AND(Results!$E$5="Weight",$C$52&gt;0, Results!$E$4="Tissue",OR($B$52="g",$B$52="mg")),((CS9*CS$51)/(CS$52)),IF(AND(Results!$E$5="Volume",$C$54&gt;0,Results!$E$4="Fluid"),((CS9*CS$51)/(CS$54)),IF(AND(Results!$E$4="Cells",Results!$E$5="Million",$B$52="million"),((CS9*CS$51)/(CS$52)),"0")))))</f>
        <v>0.45236666666666664</v>
      </c>
      <c r="CT62" s="20">
        <f>IF(CT9=0,"0",IF(AND(Results!$E$5="Protein",$C$53&gt;0,OR(Results!$E$4="Tissue",Results!$E$4="Cells")),((CT9*CT$51)/(CT$53)),IF(AND(Results!$E$5="Weight",$C$52&gt;0, Results!$E$4="Tissue",OR($B$52="g",$B$52="mg")),((CT9*CT$51)/(CT$52)),IF(AND(Results!$E$5="Volume",$C$54&gt;0,Results!$E$4="Fluid"),((CT9*CT$51)/(CT$54)),IF(AND(Results!$E$4="Cells",Results!$E$5="Million",$B$52="million"),((CT9*CT$51)/(CT$52)),"0")))))</f>
        <v>0.58261666666666667</v>
      </c>
      <c r="CU62" s="20">
        <f>IF(CU9=0,"0",IF(AND(Results!$E$5="Protein",$C$53&gt;0,OR(Results!$E$4="Tissue",Results!$E$4="Cells")),((CU9*CU$51)/(CU$53)),IF(AND(Results!$E$5="Weight",$C$52&gt;0, Results!$E$4="Tissue",OR($B$52="g",$B$52="mg")),((CU9*CU$51)/(CU$52)),IF(AND(Results!$E$5="Volume",$C$54&gt;0,Results!$E$4="Fluid"),((CU9*CU$51)/(CU$54)),IF(AND(Results!$E$4="Cells",Results!$E$5="Million",$B$52="million"),((CU9*CU$51)/(CU$52)),"0")))))</f>
        <v>1.0717333333333334</v>
      </c>
      <c r="CV62" s="20" t="str">
        <f>IF(CV9=0,"0",IF(AND(Results!$E$5="Protein",$C$53&gt;0,OR(Results!$E$4="Tissue",Results!$E$4="Cells")),((CV9*CV$51)/(CV$53)),IF(AND(Results!$E$5="Weight",$C$52&gt;0, Results!$E$4="Tissue",OR($B$52="g",$B$52="mg")),((CV9*CV$51)/(CV$52)),IF(AND(Results!$E$5="Volume",$C$54&gt;0,Results!$E$4="Fluid"),((CV9*CV$51)/(CV$54)),IF(AND(Results!$E$4="Cells",Results!$E$5="Million",$B$52="million"),((CV9*CV$51)/(CV$52)),"0")))))</f>
        <v>0</v>
      </c>
      <c r="CW62" s="20">
        <f>IF(CW9=0,"0",IF(AND(Results!$E$5="Protein",$C$53&gt;0,OR(Results!$E$4="Tissue",Results!$E$4="Cells")),((CW9*CW$51)/(CW$53)),IF(AND(Results!$E$5="Weight",$C$52&gt;0, Results!$E$4="Tissue",OR($B$52="g",$B$52="mg")),((CW9*CW$51)/(CW$52)),IF(AND(Results!$E$5="Volume",$C$54&gt;0,Results!$E$4="Fluid"),((CW9*CW$51)/(CW$54)),IF(AND(Results!$E$4="Cells",Results!$E$5="Million",$B$52="million"),((CW9*CW$51)/(CW$52)),"0")))))</f>
        <v>1.1210333333333333</v>
      </c>
      <c r="CX62" s="20">
        <f>IF(CX9=0,"0",IF(AND(Results!$E$5="Protein",$C$53&gt;0,OR(Results!$E$4="Tissue",Results!$E$4="Cells")),((CX9*CX$51)/(CX$53)),IF(AND(Results!$E$5="Weight",$C$52&gt;0, Results!$E$4="Tissue",OR($B$52="g",$B$52="mg")),((CX9*CX$51)/(CX$52)),IF(AND(Results!$E$5="Volume",$C$54&gt;0,Results!$E$4="Fluid"),((CX9*CX$51)/(CX$54)),IF(AND(Results!$E$4="Cells",Results!$E$5="Million",$B$52="million"),((CX9*CX$51)/(CX$52)),"0")))))</f>
        <v>0.6375333333333334</v>
      </c>
      <c r="CY62" s="20">
        <f>IF(CY9=0,"0",IF(AND(Results!$E$5="Protein",$C$53&gt;0,OR(Results!$E$4="Tissue",Results!$E$4="Cells")),((CY9*CY$51)/(CY$53)),IF(AND(Results!$E$5="Weight",$C$52&gt;0, Results!$E$4="Tissue",OR($B$52="g",$B$52="mg")),((CY9*CY$51)/(CY$52)),IF(AND(Results!$E$5="Volume",$C$54&gt;0,Results!$E$4="Fluid"),((CY9*CY$51)/(CY$54)),IF(AND(Results!$E$4="Cells",Results!$E$5="Million",$B$52="million"),((CY9*CY$51)/(CY$52)),"0")))))</f>
        <v>0.45223333333333332</v>
      </c>
      <c r="CZ62" s="20" t="str">
        <f>IF(CZ9=0,"0",IF(AND(Results!$E$5="Protein",$C$53&gt;0,OR(Results!$E$4="Tissue",Results!$E$4="Cells")),((CZ9*CZ$51)/(CZ$53)),IF(AND(Results!$E$5="Weight",$C$52&gt;0, Results!$E$4="Tissue",OR($B$52="g",$B$52="mg")),((CZ9*CZ$51)/(CZ$52)),IF(AND(Results!$E$5="Volume",$C$54&gt;0,Results!$E$4="Fluid"),((CZ9*CZ$51)/(CZ$54)),IF(AND(Results!$E$4="Cells",Results!$E$5="Million",$B$52="million"),((CZ9*CZ$51)/(CZ$52)),"0")))))</f>
        <v>0</v>
      </c>
      <c r="DA62" s="20" t="str">
        <f>IF(DA9=0,"0",IF(AND(Results!$E$5="Protein",$C$53&gt;0,OR(Results!$E$4="Tissue",Results!$E$4="Cells")),((DA9*DA$51)/(DA$53)),IF(AND(Results!$E$5="Weight",$C$52&gt;0, Results!$E$4="Tissue",OR($B$52="g",$B$52="mg")),((DA9*DA$51)/(DA$52)),IF(AND(Results!$E$5="Volume",$C$54&gt;0,Results!$E$4="Fluid"),((DA9*DA$51)/(DA$54)),IF(AND(Results!$E$4="Cells",Results!$E$5="Million",$B$52="million"),((DA9*DA$51)/(DA$52)),"0")))))</f>
        <v>0</v>
      </c>
      <c r="DB62" s="20">
        <f>IF(DB9=0,"0",IF(AND(Results!$E$5="Protein",$C$53&gt;0,OR(Results!$E$4="Tissue",Results!$E$4="Cells")),((DB9*DB$51)/(DB$53)),IF(AND(Results!$E$5="Weight",$C$52&gt;0, Results!$E$4="Tissue",OR($B$52="g",$B$52="mg")),((DB9*DB$51)/(DB$52)),IF(AND(Results!$E$5="Volume",$C$54&gt;0,Results!$E$4="Fluid"),((DB9*DB$51)/(DB$54)),IF(AND(Results!$E$4="Cells",Results!$E$5="Million",$B$52="million"),((DB9*DB$51)/(DB$52)),"0")))))</f>
        <v>0.45478333333333332</v>
      </c>
      <c r="DC62" s="20">
        <f>IF(DC9=0,"0",IF(AND(Results!$E$5="Protein",$C$53&gt;0,OR(Results!$E$4="Tissue",Results!$E$4="Cells")),((DC9*DC$51)/(DC$53)),IF(AND(Results!$E$5="Weight",$C$52&gt;0, Results!$E$4="Tissue",OR($B$52="g",$B$52="mg")),((DC9*DC$51)/(DC$52)),IF(AND(Results!$E$5="Volume",$C$54&gt;0,Results!$E$4="Fluid"),((DC9*DC$51)/(DC$54)),IF(AND(Results!$E$4="Cells",Results!$E$5="Million",$B$52="million"),((DC9*DC$51)/(DC$52)),"0")))))</f>
        <v>1.0929333333333333</v>
      </c>
      <c r="DD62" s="20" t="str">
        <f>IF(DD9=0,"0",IF(AND(Results!$E$5="Protein",$C$53&gt;0,OR(Results!$E$4="Tissue",Results!$E$4="Cells")),((DD9*DD$51)/(DD$53)),IF(AND(Results!$E$5="Weight",$C$52&gt;0, Results!$E$4="Tissue",OR($B$52="g",$B$52="mg")),((DD9*DD$51)/(DD$52)),IF(AND(Results!$E$5="Volume",$C$54&gt;0,Results!$E$4="Fluid"),((DD9*DD$51)/(DD$54)),IF(AND(Results!$E$4="Cells",Results!$E$5="Million",$B$52="million"),((DD9*DD$51)/(DD$52)),"0")))))</f>
        <v>0</v>
      </c>
      <c r="DE62" s="20">
        <f>IF(DE9=0,"0",IF(AND(Results!$E$5="Protein",$C$53&gt;0,OR(Results!$E$4="Tissue",Results!$E$4="Cells")),((DE9*DE$51)/(DE$53)),IF(AND(Results!$E$5="Weight",$C$52&gt;0, Results!$E$4="Tissue",OR($B$52="g",$B$52="mg")),((DE9*DE$51)/(DE$52)),IF(AND(Results!$E$5="Volume",$C$54&gt;0,Results!$E$4="Fluid"),((DE9*DE$51)/(DE$54)),IF(AND(Results!$E$4="Cells",Results!$E$5="Million",$B$52="million"),((DE9*DE$51)/(DE$52)),"0")))))</f>
        <v>0.28276666666666667</v>
      </c>
      <c r="DF62" s="20">
        <f>IF(DF9=0,"0",IF(AND(Results!$E$5="Protein",$C$53&gt;0,OR(Results!$E$4="Tissue",Results!$E$4="Cells")),((DF9*DF$51)/(DF$53)),IF(AND(Results!$E$5="Weight",$C$52&gt;0, Results!$E$4="Tissue",OR($B$52="g",$B$52="mg")),((DF9*DF$51)/(DF$52)),IF(AND(Results!$E$5="Volume",$C$54&gt;0,Results!$E$4="Fluid"),((DF9*DF$51)/(DF$54)),IF(AND(Results!$E$4="Cells",Results!$E$5="Million",$B$52="million"),((DF9*DF$51)/(DF$52)),"0")))))</f>
        <v>0.4029833333333333</v>
      </c>
      <c r="DG62" s="20">
        <f>IF(DG9=0,"0",IF(AND(Results!$E$5="Protein",$C$53&gt;0,OR(Results!$E$4="Tissue",Results!$E$4="Cells")),((DG9*DG$51)/(DG$53)),IF(AND(Results!$E$5="Weight",$C$52&gt;0, Results!$E$4="Tissue",OR($B$52="g",$B$52="mg")),((DG9*DG$51)/(DG$52)),IF(AND(Results!$E$5="Volume",$C$54&gt;0,Results!$E$4="Fluid"),((DG9*DG$51)/(DG$54)),IF(AND(Results!$E$4="Cells",Results!$E$5="Million",$B$52="million"),((DG9*DG$51)/(DG$52)),"0")))))</f>
        <v>3.5642500000000004</v>
      </c>
      <c r="DH62" s="20" t="str">
        <f>IF(DH9=0,"0",IF(AND(Results!$E$5="Protein",$C$53&gt;0,OR(Results!$E$4="Tissue",Results!$E$4="Cells")),((DH9*DH$51)/(DH$53)),IF(AND(Results!$E$5="Weight",$C$52&gt;0, Results!$E$4="Tissue",OR($B$52="g",$B$52="mg")),((DH9*DH$51)/(DH$52)),IF(AND(Results!$E$5="Volume",$C$54&gt;0,Results!$E$4="Fluid"),((DH9*DH$51)/(DH$54)),IF(AND(Results!$E$4="Cells",Results!$E$5="Million",$B$52="million"),((DH9*DH$51)/(DH$52)),"0")))))</f>
        <v>0</v>
      </c>
      <c r="DI62" s="20">
        <f>IF(DI9=0,"0",IF(AND(Results!$E$5="Protein",$C$53&gt;0,OR(Results!$E$4="Tissue",Results!$E$4="Cells")),((DI9*DI$51)/(DI$53)),IF(AND(Results!$E$5="Weight",$C$52&gt;0, Results!$E$4="Tissue",OR($B$52="g",$B$52="mg")),((DI9*DI$51)/(DI$52)),IF(AND(Results!$E$5="Volume",$C$54&gt;0,Results!$E$4="Fluid"),((DI9*DI$51)/(DI$54)),IF(AND(Results!$E$4="Cells",Results!$E$5="Million",$B$52="million"),((DI9*DI$51)/(DI$52)),"0")))))</f>
        <v>0.58248333333333335</v>
      </c>
      <c r="DJ62" s="20">
        <f>IF(DJ9=0,"0",IF(AND(Results!$E$5="Protein",$C$53&gt;0,OR(Results!$E$4="Tissue",Results!$E$4="Cells")),((DJ9*DJ$51)/(DJ$53)),IF(AND(Results!$E$5="Weight",$C$52&gt;0, Results!$E$4="Tissue",OR($B$52="g",$B$52="mg")),((DJ9*DJ$51)/(DJ$52)),IF(AND(Results!$E$5="Volume",$C$54&gt;0,Results!$E$4="Fluid"),((DJ9*DJ$51)/(DJ$54)),IF(AND(Results!$E$4="Cells",Results!$E$5="Million",$B$52="million"),((DJ9*DJ$51)/(DJ$52)),"0")))))</f>
        <v>2.3188999999999997</v>
      </c>
      <c r="DK62" s="20">
        <f>IF(DK9=0,"0",IF(AND(Results!$E$5="Protein",$C$53&gt;0,OR(Results!$E$4="Tissue",Results!$E$4="Cells")),((DK9*DK$51)/(DK$53)),IF(AND(Results!$E$5="Weight",$C$52&gt;0, Results!$E$4="Tissue",OR($B$52="g",$B$52="mg")),((DK9*DK$51)/(DK$52)),IF(AND(Results!$E$5="Volume",$C$54&gt;0,Results!$E$4="Fluid"),((DK9*DK$51)/(DK$54)),IF(AND(Results!$E$4="Cells",Results!$E$5="Million",$B$52="million"),((DK9*DK$51)/(DK$52)),"0")))))</f>
        <v>3.1005666666666665</v>
      </c>
      <c r="DL62" s="20">
        <f>IF(DL9=0,"0",IF(AND(Results!$E$5="Protein",$C$53&gt;0,OR(Results!$E$4="Tissue",Results!$E$4="Cells")),((DL9*DL$51)/(DL$53)),IF(AND(Results!$E$5="Weight",$C$52&gt;0, Results!$E$4="Tissue",OR($B$52="g",$B$52="mg")),((DL9*DL$51)/(DL$52)),IF(AND(Results!$E$5="Volume",$C$54&gt;0,Results!$E$4="Fluid"),((DL9*DL$51)/(DL$54)),IF(AND(Results!$E$4="Cells",Results!$E$5="Million",$B$52="million"),((DL9*DL$51)/(DL$52)),"0")))))</f>
        <v>0.56630000000000003</v>
      </c>
      <c r="DM62" s="20">
        <f>IF(DM9=0,"0",IF(AND(Results!$E$5="Protein",$C$53&gt;0,OR(Results!$E$4="Tissue",Results!$E$4="Cells")),((DM9*DM$51)/(DM$53)),IF(AND(Results!$E$5="Weight",$C$52&gt;0, Results!$E$4="Tissue",OR($B$52="g",$B$52="mg")),((DM9*DM$51)/(DM$52)),IF(AND(Results!$E$5="Volume",$C$54&gt;0,Results!$E$4="Fluid"),((DM9*DM$51)/(DM$54)),IF(AND(Results!$E$4="Cells",Results!$E$5="Million",$B$52="million"),((DM9*DM$51)/(DM$52)),"0")))))</f>
        <v>1.0833166666666665</v>
      </c>
      <c r="DN62" s="20">
        <f>IF(DN9=0,"0",IF(AND(Results!$E$5="Protein",$C$53&gt;0,OR(Results!$E$4="Tissue",Results!$E$4="Cells")),((DN9*DN$51)/(DN$53)),IF(AND(Results!$E$5="Weight",$C$52&gt;0, Results!$E$4="Tissue",OR($B$52="g",$B$52="mg")),((DN9*DN$51)/(DN$52)),IF(AND(Results!$E$5="Volume",$C$54&gt;0,Results!$E$4="Fluid"),((DN9*DN$51)/(DN$54)),IF(AND(Results!$E$4="Cells",Results!$E$5="Million",$B$52="million"),((DN9*DN$51)/(DN$52)),"0")))))</f>
        <v>1.3485</v>
      </c>
      <c r="DO62" s="20">
        <f>IF(DO9=0,"0",IF(AND(Results!$E$5="Protein",$C$53&gt;0,OR(Results!$E$4="Tissue",Results!$E$4="Cells")),((DO9*DO$51)/(DO$53)),IF(AND(Results!$E$5="Weight",$C$52&gt;0, Results!$E$4="Tissue",OR($B$52="g",$B$52="mg")),((DO9*DO$51)/(DO$52)),IF(AND(Results!$E$5="Volume",$C$54&gt;0,Results!$E$4="Fluid"),((DO9*DO$51)/(DO$54)),IF(AND(Results!$E$4="Cells",Results!$E$5="Million",$B$52="million"),((DO9*DO$51)/(DO$52)),"0")))))</f>
        <v>1.2110166666666666</v>
      </c>
      <c r="DP62" s="20">
        <f>IF(DP9=0,"0",IF(AND(Results!$E$5="Protein",$C$53&gt;0,OR(Results!$E$4="Tissue",Results!$E$4="Cells")),((DP9*DP$51)/(DP$53)),IF(AND(Results!$E$5="Weight",$C$52&gt;0, Results!$E$4="Tissue",OR($B$52="g",$B$52="mg")),((DP9*DP$51)/(DP$52)),IF(AND(Results!$E$5="Volume",$C$54&gt;0,Results!$E$4="Fluid"),((DP9*DP$51)/(DP$54)),IF(AND(Results!$E$4="Cells",Results!$E$5="Million",$B$52="million"),((DP9*DP$51)/(DP$52)),"0")))))</f>
        <v>0.81661666666666666</v>
      </c>
      <c r="DQ62" s="20">
        <f>IF(DQ9=0,"0",IF(AND(Results!$E$5="Protein",$C$53&gt;0,OR(Results!$E$4="Tissue",Results!$E$4="Cells")),((DQ9*DQ$51)/(DQ$53)),IF(AND(Results!$E$5="Weight",$C$52&gt;0, Results!$E$4="Tissue",OR($B$52="g",$B$52="mg")),((DQ9*DQ$51)/(DQ$52)),IF(AND(Results!$E$5="Volume",$C$54&gt;0,Results!$E$4="Fluid"),((DQ9*DQ$51)/(DQ$54)),IF(AND(Results!$E$4="Cells",Results!$E$5="Million",$B$52="million"),((DQ9*DQ$51)/(DQ$52)),"0")))))</f>
        <v>1.7734500000000002</v>
      </c>
      <c r="DR62" s="20">
        <f>IF(DR9=0,"0",IF(AND(Results!$E$5="Protein",$C$53&gt;0,OR(Results!$E$4="Tissue",Results!$E$4="Cells")),((DR9*DR$51)/(DR$53)),IF(AND(Results!$E$5="Weight",$C$52&gt;0, Results!$E$4="Tissue",OR($B$52="g",$B$52="mg")),((DR9*DR$51)/(DR$52)),IF(AND(Results!$E$5="Volume",$C$54&gt;0,Results!$E$4="Fluid"),((DR9*DR$51)/(DR$54)),IF(AND(Results!$E$4="Cells",Results!$E$5="Million",$B$52="million"),((DR9*DR$51)/(DR$52)),"0")))))</f>
        <v>0.31345000000000006</v>
      </c>
      <c r="DS62" s="20" t="str">
        <f>IF(DS9=0,"0",IF(AND(Results!$E$5="Protein",$C$53&gt;0,OR(Results!$E$4="Tissue",Results!$E$4="Cells")),((DS9*DS$51)/(DS$53)),IF(AND(Results!$E$5="Weight",$C$52&gt;0, Results!$E$4="Tissue",OR($B$52="g",$B$52="mg")),((DS9*DS$51)/(DS$52)),IF(AND(Results!$E$5="Volume",$C$54&gt;0,Results!$E$4="Fluid"),((DS9*DS$51)/(DS$54)),IF(AND(Results!$E$4="Cells",Results!$E$5="Million",$B$52="million"),((DS9*DS$51)/(DS$52)),"0")))))</f>
        <v>0</v>
      </c>
      <c r="DT62" s="20" t="str">
        <f>IF(DT9=0,"0",IF(AND(Results!$E$5="Protein",$C$53&gt;0,OR(Results!$E$4="Tissue",Results!$E$4="Cells")),((DT9*DT$51)/(DT$53)),IF(AND(Results!$E$5="Weight",$C$52&gt;0, Results!$E$4="Tissue",OR($B$52="g",$B$52="mg")),((DT9*DT$51)/(DT$52)),IF(AND(Results!$E$5="Volume",$C$54&gt;0,Results!$E$4="Fluid"),((DT9*DT$51)/(DT$54)),IF(AND(Results!$E$4="Cells",Results!$E$5="Million",$B$52="million"),((DT9*DT$51)/(DT$52)),"0")))))</f>
        <v>0</v>
      </c>
      <c r="DU62" s="20">
        <f>IF(DU9=0,"0",IF(AND(Results!$E$5="Protein",$C$53&gt;0,OR(Results!$E$4="Tissue",Results!$E$4="Cells")),((DU9*DU$51)/(DU$53)),IF(AND(Results!$E$5="Weight",$C$52&gt;0, Results!$E$4="Tissue",OR($B$52="g",$B$52="mg")),((DU9*DU$51)/(DU$52)),IF(AND(Results!$E$5="Volume",$C$54&gt;0,Results!$E$4="Fluid"),((DU9*DU$51)/(DU$54)),IF(AND(Results!$E$4="Cells",Results!$E$5="Million",$B$52="million"),((DU9*DU$51)/(DU$52)),"0")))))</f>
        <v>2.7236999999999996</v>
      </c>
      <c r="DV62" s="20">
        <f>IF(DV9=0,"0",IF(AND(Results!$E$5="Protein",$C$53&gt;0,OR(Results!$E$4="Tissue",Results!$E$4="Cells")),((DV9*DV$51)/(DV$53)),IF(AND(Results!$E$5="Weight",$C$52&gt;0, Results!$E$4="Tissue",OR($B$52="g",$B$52="mg")),((DV9*DV$51)/(DV$52)),IF(AND(Results!$E$5="Volume",$C$54&gt;0,Results!$E$4="Fluid"),((DV9*DV$51)/(DV$54)),IF(AND(Results!$E$4="Cells",Results!$E$5="Million",$B$52="million"),((DV9*DV$51)/(DV$52)),"0")))))</f>
        <v>0.77193333333333325</v>
      </c>
      <c r="DW62" s="20" t="str">
        <f>IF(DW9=0,"0",IF(AND(Results!$E$5="Protein",$C$53&gt;0,OR(Results!$E$4="Tissue",Results!$E$4="Cells")),((DW9*DW$51)/(DW$53)),IF(AND(Results!$E$5="Weight",$C$52&gt;0, Results!$E$4="Tissue",OR($B$52="g",$B$52="mg")),((DW9*DW$51)/(DW$52)),IF(AND(Results!$E$5="Volume",$C$54&gt;0,Results!$E$4="Fluid"),((DW9*DW$51)/(DW$54)),IF(AND(Results!$E$4="Cells",Results!$E$5="Million",$B$52="million"),((DW9*DW$51)/(DW$52)),"0")))))</f>
        <v>0</v>
      </c>
      <c r="DX62" s="20">
        <f>IF(DX9=0,"0",IF(AND(Results!$E$5="Protein",$C$53&gt;0,OR(Results!$E$4="Tissue",Results!$E$4="Cells")),((DX9*DX$51)/(DX$53)),IF(AND(Results!$E$5="Weight",$C$52&gt;0, Results!$E$4="Tissue",OR($B$52="g",$B$52="mg")),((DX9*DX$51)/(DX$52)),IF(AND(Results!$E$5="Volume",$C$54&gt;0,Results!$E$4="Fluid"),((DX9*DX$51)/(DX$54)),IF(AND(Results!$E$4="Cells",Results!$E$5="Million",$B$52="million"),((DX9*DX$51)/(DX$52)),"0")))))</f>
        <v>0.65830000000000011</v>
      </c>
      <c r="DY62" s="20">
        <f>IF(DY9=0,"0",IF(AND(Results!$E$5="Protein",$C$53&gt;0,OR(Results!$E$4="Tissue",Results!$E$4="Cells")),((DY9*DY$51)/(DY$53)),IF(AND(Results!$E$5="Weight",$C$52&gt;0, Results!$E$4="Tissue",OR($B$52="g",$B$52="mg")),((DY9*DY$51)/(DY$52)),IF(AND(Results!$E$5="Volume",$C$54&gt;0,Results!$E$4="Fluid"),((DY9*DY$51)/(DY$54)),IF(AND(Results!$E$4="Cells",Results!$E$5="Million",$B$52="million"),((DY9*DY$51)/(DY$52)),"0")))))</f>
        <v>3.7216666666666669E-2</v>
      </c>
      <c r="DZ62" s="20" t="str">
        <f>IF(DZ9=0,"0",IF(AND(Results!$E$5="Protein",$C$53&gt;0,OR(Results!$E$4="Tissue",Results!$E$4="Cells")),((DZ9*DZ$51)/(DZ$53)),IF(AND(Results!$E$5="Weight",$C$52&gt;0, Results!$E$4="Tissue",OR($B$52="g",$B$52="mg")),((DZ9*DZ$51)/(DZ$52)),IF(AND(Results!$E$5="Volume",$C$54&gt;0,Results!$E$4="Fluid"),((DZ9*DZ$51)/(DZ$54)),IF(AND(Results!$E$4="Cells",Results!$E$5="Million",$B$52="million"),((DZ9*DZ$51)/(DZ$52)),"0")))))</f>
        <v>0</v>
      </c>
      <c r="EA62" s="20">
        <f>IF(EA9=0,"0",IF(AND(Results!$E$5="Protein",$C$53&gt;0,OR(Results!$E$4="Tissue",Results!$E$4="Cells")),((EA9*EA$51)/(EA$53)),IF(AND(Results!$E$5="Weight",$C$52&gt;0, Results!$E$4="Tissue",OR($B$52="g",$B$52="mg")),((EA9*EA$51)/(EA$52)),IF(AND(Results!$E$5="Volume",$C$54&gt;0,Results!$E$4="Fluid"),((EA9*EA$51)/(EA$54)),IF(AND(Results!$E$4="Cells",Results!$E$5="Million",$B$52="million"),((EA9*EA$51)/(EA$52)),"0")))))</f>
        <v>0.41000000000000003</v>
      </c>
      <c r="EB62" s="20">
        <f>IF(EB9=0,"0",IF(AND(Results!$E$5="Protein",$C$53&gt;0,OR(Results!$E$4="Tissue",Results!$E$4="Cells")),((EB9*EB$51)/(EB$53)),IF(AND(Results!$E$5="Weight",$C$52&gt;0, Results!$E$4="Tissue",OR($B$52="g",$B$52="mg")),((EB9*EB$51)/(EB$52)),IF(AND(Results!$E$5="Volume",$C$54&gt;0,Results!$E$4="Fluid"),((EB9*EB$51)/(EB$54)),IF(AND(Results!$E$4="Cells",Results!$E$5="Million",$B$52="million"),((EB9*EB$51)/(EB$52)),"0")))))</f>
        <v>0.96230000000000004</v>
      </c>
      <c r="EC62" s="20">
        <f>IF(EC9=0,"0",IF(AND(Results!$E$5="Protein",$C$53&gt;0,OR(Results!$E$4="Tissue",Results!$E$4="Cells")),((EC9*EC$51)/(EC$53)),IF(AND(Results!$E$5="Weight",$C$52&gt;0, Results!$E$4="Tissue",OR($B$52="g",$B$52="mg")),((EC9*EC$51)/(EC$52)),IF(AND(Results!$E$5="Volume",$C$54&gt;0,Results!$E$4="Fluid"),((EC9*EC$51)/(EC$54)),IF(AND(Results!$E$4="Cells",Results!$E$5="Million",$B$52="million"),((EC9*EC$51)/(EC$52)),"0")))))</f>
        <v>1.7341333333333333</v>
      </c>
      <c r="ED62" s="20">
        <f>IF(ED9=0,"0",IF(AND(Results!$E$5="Protein",$C$53&gt;0,OR(Results!$E$4="Tissue",Results!$E$4="Cells")),((ED9*ED$51)/(ED$53)),IF(AND(Results!$E$5="Weight",$C$52&gt;0, Results!$E$4="Tissue",OR($B$52="g",$B$52="mg")),((ED9*ED$51)/(ED$52)),IF(AND(Results!$E$5="Volume",$C$54&gt;0,Results!$E$4="Fluid"),((ED9*ED$51)/(ED$54)),IF(AND(Results!$E$4="Cells",Results!$E$5="Million",$B$52="million"),((ED9*ED$51)/(ED$52)),"0")))))</f>
        <v>0.47466666666666663</v>
      </c>
      <c r="EE62" s="20" t="str">
        <f>IF(EE9=0,"0",IF(AND(Results!$E$5="Protein",$C$53&gt;0,OR(Results!$E$4="Tissue",Results!$E$4="Cells")),((EE9*EE$51)/(EE$53)),IF(AND(Results!$E$5="Weight",$C$52&gt;0, Results!$E$4="Tissue",OR($B$52="g",$B$52="mg")),((EE9*EE$51)/(EE$52)),IF(AND(Results!$E$5="Volume",$C$54&gt;0,Results!$E$4="Fluid"),((EE9*EE$51)/(EE$54)),IF(AND(Results!$E$4="Cells",Results!$E$5="Million",$B$52="million"),((EE9*EE$51)/(EE$52)),"0")))))</f>
        <v>0</v>
      </c>
      <c r="EF62" s="20">
        <f>IF(EF9=0,"0",IF(AND(Results!$E$5="Protein",$C$53&gt;0,OR(Results!$E$4="Tissue",Results!$E$4="Cells")),((EF9*EF$51)/(EF$53)),IF(AND(Results!$E$5="Weight",$C$52&gt;0, Results!$E$4="Tissue",OR($B$52="g",$B$52="mg")),((EF9*EF$51)/(EF$52)),IF(AND(Results!$E$5="Volume",$C$54&gt;0,Results!$E$4="Fluid"),((EF9*EF$51)/(EF$54)),IF(AND(Results!$E$4="Cells",Results!$E$5="Million",$B$52="million"),((EF9*EF$51)/(EF$52)),"0")))))</f>
        <v>2.0779833333333335</v>
      </c>
      <c r="EG62" s="20">
        <f>IF(EG9=0,"0",IF(AND(Results!$E$5="Protein",$C$53&gt;0,OR(Results!$E$4="Tissue",Results!$E$4="Cells")),((EG9*EG$51)/(EG$53)),IF(AND(Results!$E$5="Weight",$C$52&gt;0, Results!$E$4="Tissue",OR($B$52="g",$B$52="mg")),((EG9*EG$51)/(EG$52)),IF(AND(Results!$E$5="Volume",$C$54&gt;0,Results!$E$4="Fluid"),((EG9*EG$51)/(EG$54)),IF(AND(Results!$E$4="Cells",Results!$E$5="Million",$B$52="million"),((EG9*EG$51)/(EG$52)),"0")))))</f>
        <v>2.1427499999999999</v>
      </c>
      <c r="EH62" s="20">
        <f>IF(EH9=0,"0",IF(AND(Results!$E$5="Protein",$C$53&gt;0,OR(Results!$E$4="Tissue",Results!$E$4="Cells")),((EH9*EH$51)/(EH$53)),IF(AND(Results!$E$5="Weight",$C$52&gt;0, Results!$E$4="Tissue",OR($B$52="g",$B$52="mg")),((EH9*EH$51)/(EH$52)),IF(AND(Results!$E$5="Volume",$C$54&gt;0,Results!$E$4="Fluid"),((EH9*EH$51)/(EH$54)),IF(AND(Results!$E$4="Cells",Results!$E$5="Million",$B$52="million"),((EH9*EH$51)/(EH$52)),"0")))))</f>
        <v>1.4476166666666666</v>
      </c>
      <c r="EI62" s="20">
        <f>IF(EI9=0,"0",IF(AND(Results!$E$5="Protein",$C$53&gt;0,OR(Results!$E$4="Tissue",Results!$E$4="Cells")),((EI9*EI$51)/(EI$53)),IF(AND(Results!$E$5="Weight",$C$52&gt;0, Results!$E$4="Tissue",OR($B$52="g",$B$52="mg")),((EI9*EI$51)/(EI$52)),IF(AND(Results!$E$5="Volume",$C$54&gt;0,Results!$E$4="Fluid"),((EI9*EI$51)/(EI$54)),IF(AND(Results!$E$4="Cells",Results!$E$5="Million",$B$52="million"),((EI9*EI$51)/(EI$52)),"0")))))</f>
        <v>0.33594999999999992</v>
      </c>
      <c r="EJ62" s="20">
        <f>IF(EJ9=0,"0",IF(AND(Results!$E$5="Protein",$C$53&gt;0,OR(Results!$E$4="Tissue",Results!$E$4="Cells")),((EJ9*EJ$51)/(EJ$53)),IF(AND(Results!$E$5="Weight",$C$52&gt;0, Results!$E$4="Tissue",OR($B$52="g",$B$52="mg")),((EJ9*EJ$51)/(EJ$52)),IF(AND(Results!$E$5="Volume",$C$54&gt;0,Results!$E$4="Fluid"),((EJ9*EJ$51)/(EJ$54)),IF(AND(Results!$E$4="Cells",Results!$E$5="Million",$B$52="million"),((EJ9*EJ$51)/(EJ$52)),"0")))))</f>
        <v>0.78783333333333339</v>
      </c>
      <c r="EK62" s="20">
        <f>IF(EK9=0,"0",IF(AND(Results!$E$5="Protein",$C$53&gt;0,OR(Results!$E$4="Tissue",Results!$E$4="Cells")),((EK9*EK$51)/(EK$53)),IF(AND(Results!$E$5="Weight",$C$52&gt;0, Results!$E$4="Tissue",OR($B$52="g",$B$52="mg")),((EK9*EK$51)/(EK$52)),IF(AND(Results!$E$5="Volume",$C$54&gt;0,Results!$E$4="Fluid"),((EK9*EK$51)/(EK$54)),IF(AND(Results!$E$4="Cells",Results!$E$5="Million",$B$52="million"),((EK9*EK$51)/(EK$52)),"0")))))</f>
        <v>0.46676666666666666</v>
      </c>
      <c r="EL62" s="20">
        <f>IF(EL9=0,"0",IF(AND(Results!$E$5="Protein",$C$53&gt;0,OR(Results!$E$4="Tissue",Results!$E$4="Cells")),((EL9*EL$51)/(EL$53)),IF(AND(Results!$E$5="Weight",$C$52&gt;0, Results!$E$4="Tissue",OR($B$52="g",$B$52="mg")),((EL9*EL$51)/(EL$52)),IF(AND(Results!$E$5="Volume",$C$54&gt;0,Results!$E$4="Fluid"),((EL9*EL$51)/(EL$54)),IF(AND(Results!$E$4="Cells",Results!$E$5="Million",$B$52="million"),((EL9*EL$51)/(EL$52)),"0")))))</f>
        <v>1.3732666666666664</v>
      </c>
      <c r="EM62" s="20">
        <f>IF(EM9=0,"0",IF(AND(Results!$E$5="Protein",$C$53&gt;0,OR(Results!$E$4="Tissue",Results!$E$4="Cells")),((EM9*EM$51)/(EM$53)),IF(AND(Results!$E$5="Weight",$C$52&gt;0, Results!$E$4="Tissue",OR($B$52="g",$B$52="mg")),((EM9*EM$51)/(EM$52)),IF(AND(Results!$E$5="Volume",$C$54&gt;0,Results!$E$4="Fluid"),((EM9*EM$51)/(EM$54)),IF(AND(Results!$E$4="Cells",Results!$E$5="Million",$B$52="million"),((EM9*EM$51)/(EM$52)),"0")))))</f>
        <v>1.0620000000000001</v>
      </c>
      <c r="EN62" s="20">
        <f>IF(EN9=0,"0",IF(AND(Results!$E$5="Protein",$C$53&gt;0,OR(Results!$E$4="Tissue",Results!$E$4="Cells")),((EN9*EN$51)/(EN$53)),IF(AND(Results!$E$5="Weight",$C$52&gt;0, Results!$E$4="Tissue",OR($B$52="g",$B$52="mg")),((EN9*EN$51)/(EN$52)),IF(AND(Results!$E$5="Volume",$C$54&gt;0,Results!$E$4="Fluid"),((EN9*EN$51)/(EN$54)),IF(AND(Results!$E$4="Cells",Results!$E$5="Million",$B$52="million"),((EN9*EN$51)/(EN$52)),"0")))))</f>
        <v>2.8499833333333338</v>
      </c>
      <c r="EO62" s="20">
        <f>IF(EO9=0,"0",IF(AND(Results!$E$5="Protein",$C$53&gt;0,OR(Results!$E$4="Tissue",Results!$E$4="Cells")),((EO9*EO$51)/(EO$53)),IF(AND(Results!$E$5="Weight",$C$52&gt;0, Results!$E$4="Tissue",OR($B$52="g",$B$52="mg")),((EO9*EO$51)/(EO$52)),IF(AND(Results!$E$5="Volume",$C$54&gt;0,Results!$E$4="Fluid"),((EO9*EO$51)/(EO$54)),IF(AND(Results!$E$4="Cells",Results!$E$5="Million",$B$52="million"),((EO9*EO$51)/(EO$52)),"0")))))</f>
        <v>0.67270000000000008</v>
      </c>
      <c r="EP62" s="20">
        <f>IF(EP9=0,"0",IF(AND(Results!$E$5="Protein",$C$53&gt;0,OR(Results!$E$4="Tissue",Results!$E$4="Cells")),((EP9*EP$51)/(EP$53)),IF(AND(Results!$E$5="Weight",$C$52&gt;0, Results!$E$4="Tissue",OR($B$52="g",$B$52="mg")),((EP9*EP$51)/(EP$52)),IF(AND(Results!$E$5="Volume",$C$54&gt;0,Results!$E$4="Fluid"),((EP9*EP$51)/(EP$54)),IF(AND(Results!$E$4="Cells",Results!$E$5="Million",$B$52="million"),((EP9*EP$51)/(EP$52)),"0")))))</f>
        <v>2.5001166666666665</v>
      </c>
      <c r="EQ62" s="20">
        <f>IF(EQ9=0,"0",IF(AND(Results!$E$5="Protein",$C$53&gt;0,OR(Results!$E$4="Tissue",Results!$E$4="Cells")),((EQ9*EQ$51)/(EQ$53)),IF(AND(Results!$E$5="Weight",$C$52&gt;0, Results!$E$4="Tissue",OR($B$52="g",$B$52="mg")),((EQ9*EQ$51)/(EQ$52)),IF(AND(Results!$E$5="Volume",$C$54&gt;0,Results!$E$4="Fluid"),((EQ9*EQ$51)/(EQ$54)),IF(AND(Results!$E$4="Cells",Results!$E$5="Million",$B$52="million"),((EQ9*EQ$51)/(EQ$52)),"0")))))</f>
        <v>0.59053333333333335</v>
      </c>
      <c r="ER62" s="20">
        <f>IF(ER9=0,"0",IF(AND(Results!$E$5="Protein",$C$53&gt;0,OR(Results!$E$4="Tissue",Results!$E$4="Cells")),((ER9*ER$51)/(ER$53)),IF(AND(Results!$E$5="Weight",$C$52&gt;0, Results!$E$4="Tissue",OR($B$52="g",$B$52="mg")),((ER9*ER$51)/(ER$52)),IF(AND(Results!$E$5="Volume",$C$54&gt;0,Results!$E$4="Fluid"),((ER9*ER$51)/(ER$54)),IF(AND(Results!$E$4="Cells",Results!$E$5="Million",$B$52="million"),((ER9*ER$51)/(ER$52)),"0")))))</f>
        <v>0.33589999999999998</v>
      </c>
      <c r="ES62" s="20">
        <f>IF(ES9=0,"0",IF(AND(Results!$E$5="Protein",$C$53&gt;0,OR(Results!$E$4="Tissue",Results!$E$4="Cells")),((ES9*ES$51)/(ES$53)),IF(AND(Results!$E$5="Weight",$C$52&gt;0, Results!$E$4="Tissue",OR($B$52="g",$B$52="mg")),((ES9*ES$51)/(ES$52)),IF(AND(Results!$E$5="Volume",$C$54&gt;0,Results!$E$4="Fluid"),((ES9*ES$51)/(ES$54)),IF(AND(Results!$E$4="Cells",Results!$E$5="Million",$B$52="million"),((ES9*ES$51)/(ES$52)),"0")))))</f>
        <v>0.48510000000000003</v>
      </c>
      <c r="ET62" s="20">
        <f>IF(ET9=0,"0",IF(AND(Results!$E$5="Protein",$C$53&gt;0,OR(Results!$E$4="Tissue",Results!$E$4="Cells")),((ET9*ET$51)/(ET$53)),IF(AND(Results!$E$5="Weight",$C$52&gt;0, Results!$E$4="Tissue",OR($B$52="g",$B$52="mg")),((ET9*ET$51)/(ET$52)),IF(AND(Results!$E$5="Volume",$C$54&gt;0,Results!$E$4="Fluid"),((ET9*ET$51)/(ET$54)),IF(AND(Results!$E$4="Cells",Results!$E$5="Million",$B$52="million"),((ET9*ET$51)/(ET$52)),"0")))))</f>
        <v>1.0555666666666668</v>
      </c>
      <c r="EU62" s="20">
        <f>IF(EU9=0,"0",IF(AND(Results!$E$5="Protein",$C$53&gt;0,OR(Results!$E$4="Tissue",Results!$E$4="Cells")),((EU9*EU$51)/(EU$53)),IF(AND(Results!$E$5="Weight",$C$52&gt;0, Results!$E$4="Tissue",OR($B$52="g",$B$52="mg")),((EU9*EU$51)/(EU$52)),IF(AND(Results!$E$5="Volume",$C$54&gt;0,Results!$E$4="Fluid"),((EU9*EU$51)/(EU$54)),IF(AND(Results!$E$4="Cells",Results!$E$5="Million",$B$52="million"),((EU9*EU$51)/(EU$52)),"0")))))</f>
        <v>0.98583333333333334</v>
      </c>
      <c r="EV62" s="20">
        <f>IF(EV9=0,"0",IF(AND(Results!$E$5="Protein",$C$53&gt;0,OR(Results!$E$4="Tissue",Results!$E$4="Cells")),((EV9*EV$51)/(EV$53)),IF(AND(Results!$E$5="Weight",$C$52&gt;0, Results!$E$4="Tissue",OR($B$52="g",$B$52="mg")),((EV9*EV$51)/(EV$52)),IF(AND(Results!$E$5="Volume",$C$54&gt;0,Results!$E$4="Fluid"),((EV9*EV$51)/(EV$54)),IF(AND(Results!$E$4="Cells",Results!$E$5="Million",$B$52="million"),((EV9*EV$51)/(EV$52)),"0")))))</f>
        <v>1.5704500000000001</v>
      </c>
      <c r="EW62" s="20">
        <f>IF(EW9=0,"0",IF(AND(Results!$E$5="Protein",$C$53&gt;0,OR(Results!$E$4="Tissue",Results!$E$4="Cells")),((EW9*EW$51)/(EW$53)),IF(AND(Results!$E$5="Weight",$C$52&gt;0, Results!$E$4="Tissue",OR($B$52="g",$B$52="mg")),((EW9*EW$51)/(EW$52)),IF(AND(Results!$E$5="Volume",$C$54&gt;0,Results!$E$4="Fluid"),((EW9*EW$51)/(EW$54)),IF(AND(Results!$E$4="Cells",Results!$E$5="Million",$B$52="million"),((EW9*EW$51)/(EW$52)),"0")))))</f>
        <v>0.73290000000000011</v>
      </c>
      <c r="EX62" s="20">
        <f>IF(EX9=0,"0",IF(AND(Results!$E$5="Protein",$C$53&gt;0,OR(Results!$E$4="Tissue",Results!$E$4="Cells")),((EX9*EX$51)/(EX$53)),IF(AND(Results!$E$5="Weight",$C$52&gt;0, Results!$E$4="Tissue",OR($B$52="g",$B$52="mg")),((EX9*EX$51)/(EX$52)),IF(AND(Results!$E$5="Volume",$C$54&gt;0,Results!$E$4="Fluid"),((EX9*EX$51)/(EX$54)),IF(AND(Results!$E$4="Cells",Results!$E$5="Million",$B$52="million"),((EX9*EX$51)/(EX$52)),"0")))))</f>
        <v>0.40406666666666669</v>
      </c>
      <c r="EY62" s="20">
        <f>IF(EY9=0,"0",IF(AND(Results!$E$5="Protein",$C$53&gt;0,OR(Results!$E$4="Tissue",Results!$E$4="Cells")),((EY9*EY$51)/(EY$53)),IF(AND(Results!$E$5="Weight",$C$52&gt;0, Results!$E$4="Tissue",OR($B$52="g",$B$52="mg")),((EY9*EY$51)/(EY$52)),IF(AND(Results!$E$5="Volume",$C$54&gt;0,Results!$E$4="Fluid"),((EY9*EY$51)/(EY$54)),IF(AND(Results!$E$4="Cells",Results!$E$5="Million",$B$52="million"),((EY9*EY$51)/(EY$52)),"0")))))</f>
        <v>1.4234833333333334</v>
      </c>
      <c r="EZ62" s="20">
        <f>IF(EZ9=0,"0",IF(AND(Results!$E$5="Protein",$C$53&gt;0,OR(Results!$E$4="Tissue",Results!$E$4="Cells")),((EZ9*EZ$51)/(EZ$53)),IF(AND(Results!$E$5="Weight",$C$52&gt;0, Results!$E$4="Tissue",OR($B$52="g",$B$52="mg")),((EZ9*EZ$51)/(EZ$52)),IF(AND(Results!$E$5="Volume",$C$54&gt;0,Results!$E$4="Fluid"),((EZ9*EZ$51)/(EZ$54)),IF(AND(Results!$E$4="Cells",Results!$E$5="Million",$B$52="million"),((EZ9*EZ$51)/(EZ$52)),"0")))))</f>
        <v>2.4742999999999999</v>
      </c>
      <c r="FA62" s="20" t="str">
        <f>IF(FA9=0,"0",IF(AND(Results!$E$5="Protein",$C$53&gt;0,OR(Results!$E$4="Tissue",Results!$E$4="Cells")),((FA9*FA$51)/(FA$53)),IF(AND(Results!$E$5="Weight",$C$52&gt;0, Results!$E$4="Tissue",OR($B$52="g",$B$52="mg")),((FA9*FA$51)/(FA$52)),IF(AND(Results!$E$5="Volume",$C$54&gt;0,Results!$E$4="Fluid"),((FA9*FA$51)/(FA$54)),IF(AND(Results!$E$4="Cells",Results!$E$5="Million",$B$52="million"),((FA9*FA$51)/(FA$52)),"0")))))</f>
        <v>0</v>
      </c>
      <c r="FB62" s="20">
        <f>IF(FB9=0,"0",IF(AND(Results!$E$5="Protein",$C$53&gt;0,OR(Results!$E$4="Tissue",Results!$E$4="Cells")),((FB9*FB$51)/(FB$53)),IF(AND(Results!$E$5="Weight",$C$52&gt;0, Results!$E$4="Tissue",OR($B$52="g",$B$52="mg")),((FB9*FB$51)/(FB$52)),IF(AND(Results!$E$5="Volume",$C$54&gt;0,Results!$E$4="Fluid"),((FB9*FB$51)/(FB$54)),IF(AND(Results!$E$4="Cells",Results!$E$5="Million",$B$52="million"),((FB9*FB$51)/(FB$52)),"0")))))</f>
        <v>0.98353333333333337</v>
      </c>
      <c r="FC62" s="20" t="str">
        <f>IF(FC9=0,"0",IF(AND(Results!$E$5="Protein",$C$53&gt;0,OR(Results!$E$4="Tissue",Results!$E$4="Cells")),((FC9*FC$51)/(FC$53)),IF(AND(Results!$E$5="Weight",$C$52&gt;0, Results!$E$4="Tissue",OR($B$52="g",$B$52="mg")),((FC9*FC$51)/(FC$52)),IF(AND(Results!$E$5="Volume",$C$54&gt;0,Results!$E$4="Fluid"),((FC9*FC$51)/(FC$54)),IF(AND(Results!$E$4="Cells",Results!$E$5="Million",$B$52="million"),((FC9*FC$51)/(FC$52)),"0")))))</f>
        <v>0</v>
      </c>
      <c r="FD62" s="20">
        <f>IF(FD9=0,"0",IF(AND(Results!$E$5="Protein",$C$53&gt;0,OR(Results!$E$4="Tissue",Results!$E$4="Cells")),((FD9*FD$51)/(FD$53)),IF(AND(Results!$E$5="Weight",$C$52&gt;0, Results!$E$4="Tissue",OR($B$52="g",$B$52="mg")),((FD9*FD$51)/(FD$52)),IF(AND(Results!$E$5="Volume",$C$54&gt;0,Results!$E$4="Fluid"),((FD9*FD$51)/(FD$54)),IF(AND(Results!$E$4="Cells",Results!$E$5="Million",$B$52="million"),((FD9*FD$51)/(FD$52)),"0")))))</f>
        <v>0.44374999999999998</v>
      </c>
      <c r="FE62" s="20">
        <f>IF(FE9=0,"0",IF(AND(Results!$E$5="Protein",$C$53&gt;0,OR(Results!$E$4="Tissue",Results!$E$4="Cells")),((FE9*FE$51)/(FE$53)),IF(AND(Results!$E$5="Weight",$C$52&gt;0, Results!$E$4="Tissue",OR($B$52="g",$B$52="mg")),((FE9*FE$51)/(FE$52)),IF(AND(Results!$E$5="Volume",$C$54&gt;0,Results!$E$4="Fluid"),((FE9*FE$51)/(FE$54)),IF(AND(Results!$E$4="Cells",Results!$E$5="Million",$B$52="million"),((FE9*FE$51)/(FE$52)),"0")))))</f>
        <v>1.1992</v>
      </c>
      <c r="FF62" s="20" t="str">
        <f>IF(FF9=0,"0",IF(AND(Results!$E$5="Protein",$C$53&gt;0,OR(Results!$E$4="Tissue",Results!$E$4="Cells")),((FF9*FF$51)/(FF$53)),IF(AND(Results!$E$5="Weight",$C$52&gt;0, Results!$E$4="Tissue",OR($B$52="g",$B$52="mg")),((FF9*FF$51)/(FF$52)),IF(AND(Results!$E$5="Volume",$C$54&gt;0,Results!$E$4="Fluid"),((FF9*FF$51)/(FF$54)),IF(AND(Results!$E$4="Cells",Results!$E$5="Million",$B$52="million"),((FF9*FF$51)/(FF$52)),"0")))))</f>
        <v>0</v>
      </c>
      <c r="FG62" s="20" t="str">
        <f>IF(FG9=0,"0",IF(AND(Results!$E$5="Protein",$C$53&gt;0,OR(Results!$E$4="Tissue",Results!$E$4="Cells")),((FG9*FG$51)/(FG$53)),IF(AND(Results!$E$5="Weight",$C$52&gt;0, Results!$E$4="Tissue",OR($B$52="g",$B$52="mg")),((FG9*FG$51)/(FG$52)),IF(AND(Results!$E$5="Volume",$C$54&gt;0,Results!$E$4="Fluid"),((FG9*FG$51)/(FG$54)),IF(AND(Results!$E$4="Cells",Results!$E$5="Million",$B$52="million"),((FG9*FG$51)/(FG$52)),"0")))))</f>
        <v>0</v>
      </c>
      <c r="FH62" s="20">
        <f>IF(FH9=0,"0",IF(AND(Results!$E$5="Protein",$C$53&gt;0,OR(Results!$E$4="Tissue",Results!$E$4="Cells")),((FH9*FH$51)/(FH$53)),IF(AND(Results!$E$5="Weight",$C$52&gt;0, Results!$E$4="Tissue",OR($B$52="g",$B$52="mg")),((FH9*FH$51)/(FH$52)),IF(AND(Results!$E$5="Volume",$C$54&gt;0,Results!$E$4="Fluid"),((FH9*FH$51)/(FH$54)),IF(AND(Results!$E$4="Cells",Results!$E$5="Million",$B$52="million"),((FH9*FH$51)/(FH$52)),"0")))))</f>
        <v>1.0377833333333333</v>
      </c>
      <c r="FI62" s="20">
        <f>IF(FI9=0,"0",IF(AND(Results!$E$5="Protein",$C$53&gt;0,OR(Results!$E$4="Tissue",Results!$E$4="Cells")),((FI9*FI$51)/(FI$53)),IF(AND(Results!$E$5="Weight",$C$52&gt;0, Results!$E$4="Tissue",OR($B$52="g",$B$52="mg")),((FI9*FI$51)/(FI$52)),IF(AND(Results!$E$5="Volume",$C$54&gt;0,Results!$E$4="Fluid"),((FI9*FI$51)/(FI$54)),IF(AND(Results!$E$4="Cells",Results!$E$5="Million",$B$52="million"),((FI9*FI$51)/(FI$52)),"0")))))</f>
        <v>5.6712166666666661</v>
      </c>
      <c r="FJ62" s="20">
        <f>IF(FJ9=0,"0",IF(AND(Results!$E$5="Protein",$C$53&gt;0,OR(Results!$E$4="Tissue",Results!$E$4="Cells")),((FJ9*FJ$51)/(FJ$53)),IF(AND(Results!$E$5="Weight",$C$52&gt;0, Results!$E$4="Tissue",OR($B$52="g",$B$52="mg")),((FJ9*FJ$51)/(FJ$52)),IF(AND(Results!$E$5="Volume",$C$54&gt;0,Results!$E$4="Fluid"),((FJ9*FJ$51)/(FJ$54)),IF(AND(Results!$E$4="Cells",Results!$E$5="Million",$B$52="million"),((FJ9*FJ$51)/(FJ$52)),"0")))))</f>
        <v>1.4139166666666665</v>
      </c>
      <c r="FK62" s="20">
        <f>IF(FK9=0,"0",IF(AND(Results!$E$5="Protein",$C$53&gt;0,OR(Results!$E$4="Tissue",Results!$E$4="Cells")),((FK9*FK$51)/(FK$53)),IF(AND(Results!$E$5="Weight",$C$52&gt;0, Results!$E$4="Tissue",OR($B$52="g",$B$52="mg")),((FK9*FK$51)/(FK$52)),IF(AND(Results!$E$5="Volume",$C$54&gt;0,Results!$E$4="Fluid"),((FK9*FK$51)/(FK$54)),IF(AND(Results!$E$4="Cells",Results!$E$5="Million",$B$52="million"),((FK9*FK$51)/(FK$52)),"0")))))</f>
        <v>0.24531666666666666</v>
      </c>
      <c r="FL62" s="20">
        <f>IF(FL9=0,"0",IF(AND(Results!$E$5="Protein",$C$53&gt;0,OR(Results!$E$4="Tissue",Results!$E$4="Cells")),((FL9*FL$51)/(FL$53)),IF(AND(Results!$E$5="Weight",$C$52&gt;0, Results!$E$4="Tissue",OR($B$52="g",$B$52="mg")),((FL9*FL$51)/(FL$52)),IF(AND(Results!$E$5="Volume",$C$54&gt;0,Results!$E$4="Fluid"),((FL9*FL$51)/(FL$54)),IF(AND(Results!$E$4="Cells",Results!$E$5="Million",$B$52="million"),((FL9*FL$51)/(FL$52)),"0")))))</f>
        <v>0.68718333333333337</v>
      </c>
      <c r="FM62" s="20">
        <f>IF(FM9=0,"0",IF(AND(Results!$E$5="Protein",$C$53&gt;0,OR(Results!$E$4="Tissue",Results!$E$4="Cells")),((FM9*FM$51)/(FM$53)),IF(AND(Results!$E$5="Weight",$C$52&gt;0, Results!$E$4="Tissue",OR($B$52="g",$B$52="mg")),((FM9*FM$51)/(FM$52)),IF(AND(Results!$E$5="Volume",$C$54&gt;0,Results!$E$4="Fluid"),((FM9*FM$51)/(FM$54)),IF(AND(Results!$E$4="Cells",Results!$E$5="Million",$B$52="million"),((FM9*FM$51)/(FM$52)),"0")))))</f>
        <v>1.1314166666666667</v>
      </c>
      <c r="FN62" s="20">
        <f>IF(FN9=0,"0",IF(AND(Results!$E$5="Protein",$C$53&gt;0,OR(Results!$E$4="Tissue",Results!$E$4="Cells")),((FN9*FN$51)/(FN$53)),IF(AND(Results!$E$5="Weight",$C$52&gt;0, Results!$E$4="Tissue",OR($B$52="g",$B$52="mg")),((FN9*FN$51)/(FN$52)),IF(AND(Results!$E$5="Volume",$C$54&gt;0,Results!$E$4="Fluid"),((FN9*FN$51)/(FN$54)),IF(AND(Results!$E$4="Cells",Results!$E$5="Million",$B$52="million"),((FN9*FN$51)/(FN$52)),"0")))))</f>
        <v>0.43708333333333338</v>
      </c>
      <c r="FO62" s="20" t="str">
        <f>IF(FO9=0,"0",IF(AND(Results!$E$5="Protein",$C$53&gt;0,OR(Results!$E$4="Tissue",Results!$E$4="Cells")),((FO9*FO$51)/(FO$53)),IF(AND(Results!$E$5="Weight",$C$52&gt;0, Results!$E$4="Tissue",OR($B$52="g",$B$52="mg")),((FO9*FO$51)/(FO$52)),IF(AND(Results!$E$5="Volume",$C$54&gt;0,Results!$E$4="Fluid"),((FO9*FO$51)/(FO$54)),IF(AND(Results!$E$4="Cells",Results!$E$5="Million",$B$52="million"),((FO9*FO$51)/(FO$52)),"0")))))</f>
        <v>0</v>
      </c>
    </row>
    <row r="63" spans="1:171" x14ac:dyDescent="0.2">
      <c r="A63" s="120" t="str">
        <f t="shared" si="0"/>
        <v>9,10,13-TriHOME</v>
      </c>
      <c r="B63" s="121"/>
      <c r="C63" s="20">
        <f>IF(C10=0,"0",IF(AND(Results!$E$5="Protein",$C$53&gt;0,OR(Results!$E$4="Tissue",Results!$E$4="Cells")),((C10*C$51)/(C$53)),IF(AND(Results!$E$5="Weight",$C$52&gt;0, Results!$E$4="Tissue",OR($B$52="g",$B$52="mg")),((C10*C$51)/(C$52)),IF(AND(Results!$E$5="Volume",$C$54&gt;0,Results!$E$4="Fluid"),((C10*C$51)/(C$54)),IF(AND(Results!$E$4="Cells",Results!$E$5="Million",$B$52="million"),((C10*C$51)/(C$52)),"0")))))</f>
        <v>0.36576666666666663</v>
      </c>
      <c r="D63" s="20">
        <f>IF(D10=0,"0",IF(AND(Results!$E$5="Protein",$C$53&gt;0,OR(Results!$E$4="Tissue",Results!$E$4="Cells")),((D10*D$51)/(D$53)),IF(AND(Results!$E$5="Weight",$C$52&gt;0, Results!$E$4="Tissue",OR($B$52="g",$B$52="mg")),((D10*D$51)/(D$52)),IF(AND(Results!$E$5="Volume",$C$54&gt;0,Results!$E$4="Fluid"),((D10*D$51)/(D$54)),IF(AND(Results!$E$4="Cells",Results!$E$5="Million",$B$52="million"),((D10*D$51)/(D$52)),"0")))))</f>
        <v>0.30868333333333337</v>
      </c>
      <c r="E63" s="20">
        <f>IF(E10=0,"0",IF(AND(Results!$E$5="Protein",$C$53&gt;0,OR(Results!$E$4="Tissue",Results!$E$4="Cells")),((E10*E$51)/(E$53)),IF(AND(Results!$E$5="Weight",$C$52&gt;0, Results!$E$4="Tissue",OR($B$52="g",$B$52="mg")),((E10*E$51)/(E$52)),IF(AND(Results!$E$5="Volume",$C$54&gt;0,Results!$E$4="Fluid"),((E10*E$51)/(E$54)),IF(AND(Results!$E$4="Cells",Results!$E$5="Million",$B$52="million"),((E10*E$51)/(E$52)),"0")))))</f>
        <v>0.47098333333333336</v>
      </c>
      <c r="F63" s="20">
        <f>IF(F10=0,"0",IF(AND(Results!$E$5="Protein",$C$53&gt;0,OR(Results!$E$4="Tissue",Results!$E$4="Cells")),((F10*F$51)/(F$53)),IF(AND(Results!$E$5="Weight",$C$52&gt;0, Results!$E$4="Tissue",OR($B$52="g",$B$52="mg")),((F10*F$51)/(F$52)),IF(AND(Results!$E$5="Volume",$C$54&gt;0,Results!$E$4="Fluid"),((F10*F$51)/(F$54)),IF(AND(Results!$E$4="Cells",Results!$E$5="Million",$B$52="million"),((F10*F$51)/(F$52)),"0")))))</f>
        <v>5.4668833333333327</v>
      </c>
      <c r="G63" s="20" t="str">
        <f>IF(G10=0,"0",IF(AND(Results!$E$5="Protein",$C$53&gt;0,OR(Results!$E$4="Tissue",Results!$E$4="Cells")),((G10*G$51)/(G$53)),IF(AND(Results!$E$5="Weight",$C$52&gt;0, Results!$E$4="Tissue",OR($B$52="g",$B$52="mg")),((G10*G$51)/(G$52)),IF(AND(Results!$E$5="Volume",$C$54&gt;0,Results!$E$4="Fluid"),((G10*G$51)/(G$54)),IF(AND(Results!$E$4="Cells",Results!$E$5="Million",$B$52="million"),((G10*G$51)/(G$52)),"0")))))</f>
        <v>0</v>
      </c>
      <c r="H63" s="20">
        <f>IF(H10=0,"0",IF(AND(Results!$E$5="Protein",$C$53&gt;0,OR(Results!$E$4="Tissue",Results!$E$4="Cells")),((H10*H$51)/(H$53)),IF(AND(Results!$E$5="Weight",$C$52&gt;0, Results!$E$4="Tissue",OR($B$52="g",$B$52="mg")),((H10*H$51)/(H$52)),IF(AND(Results!$E$5="Volume",$C$54&gt;0,Results!$E$4="Fluid"),((H10*H$51)/(H$54)),IF(AND(Results!$E$4="Cells",Results!$E$5="Million",$B$52="million"),((H10*H$51)/(H$52)),"0")))))</f>
        <v>0.19869999999999999</v>
      </c>
      <c r="I63" s="20">
        <f>IF(I10=0,"0",IF(AND(Results!$E$5="Protein",$C$53&gt;0,OR(Results!$E$4="Tissue",Results!$E$4="Cells")),((I10*I$51)/(I$53)),IF(AND(Results!$E$5="Weight",$C$52&gt;0, Results!$E$4="Tissue",OR($B$52="g",$B$52="mg")),((I10*I$51)/(I$52)),IF(AND(Results!$E$5="Volume",$C$54&gt;0,Results!$E$4="Fluid"),((I10*I$51)/(I$54)),IF(AND(Results!$E$4="Cells",Results!$E$5="Million",$B$52="million"),((I10*I$51)/(I$52)),"0")))))</f>
        <v>0.14626666666666666</v>
      </c>
      <c r="J63" s="20">
        <f>IF(J10=0,"0",IF(AND(Results!$E$5="Protein",$C$53&gt;0,OR(Results!$E$4="Tissue",Results!$E$4="Cells")),((J10*J$51)/(J$53)),IF(AND(Results!$E$5="Weight",$C$52&gt;0, Results!$E$4="Tissue",OR($B$52="g",$B$52="mg")),((J10*J$51)/(J$52)),IF(AND(Results!$E$5="Volume",$C$54&gt;0,Results!$E$4="Fluid"),((J10*J$51)/(J$54)),IF(AND(Results!$E$4="Cells",Results!$E$5="Million",$B$52="million"),((J10*J$51)/(J$52)),"0")))))</f>
        <v>0.24529999999999999</v>
      </c>
      <c r="K63" s="20">
        <f>IF(K10=0,"0",IF(AND(Results!$E$5="Protein",$C$53&gt;0,OR(Results!$E$4="Tissue",Results!$E$4="Cells")),((K10*K$51)/(K$53)),IF(AND(Results!$E$5="Weight",$C$52&gt;0, Results!$E$4="Tissue",OR($B$52="g",$B$52="mg")),((K10*K$51)/(K$52)),IF(AND(Results!$E$5="Volume",$C$54&gt;0,Results!$E$4="Fluid"),((K10*K$51)/(K$54)),IF(AND(Results!$E$4="Cells",Results!$E$5="Million",$B$52="million"),((K10*K$51)/(K$52)),"0")))))</f>
        <v>0.92974999999999997</v>
      </c>
      <c r="L63" s="20">
        <f>IF(L10=0,"0",IF(AND(Results!$E$5="Protein",$C$53&gt;0,OR(Results!$E$4="Tissue",Results!$E$4="Cells")),((L10*L$51)/(L$53)),IF(AND(Results!$E$5="Weight",$C$52&gt;0, Results!$E$4="Tissue",OR($B$52="g",$B$52="mg")),((L10*L$51)/(L$52)),IF(AND(Results!$E$5="Volume",$C$54&gt;0,Results!$E$4="Fluid"),((L10*L$51)/(L$54)),IF(AND(Results!$E$4="Cells",Results!$E$5="Million",$B$52="million"),((L10*L$51)/(L$52)),"0")))))</f>
        <v>0.67130000000000001</v>
      </c>
      <c r="M63" s="20">
        <f>IF(M10=0,"0",IF(AND(Results!$E$5="Protein",$C$53&gt;0,OR(Results!$E$4="Tissue",Results!$E$4="Cells")),((M10*M$51)/(M$53)),IF(AND(Results!$E$5="Weight",$C$52&gt;0, Results!$E$4="Tissue",OR($B$52="g",$B$52="mg")),((M10*M$51)/(M$52)),IF(AND(Results!$E$5="Volume",$C$54&gt;0,Results!$E$4="Fluid"),((M10*M$51)/(M$54)),IF(AND(Results!$E$4="Cells",Results!$E$5="Million",$B$52="million"),((M10*M$51)/(M$52)),"0")))))</f>
        <v>0.13368333333333335</v>
      </c>
      <c r="N63" s="20">
        <f>IF(N10=0,"0",IF(AND(Results!$E$5="Protein",$C$53&gt;0,OR(Results!$E$4="Tissue",Results!$E$4="Cells")),((N10*N$51)/(N$53)),IF(AND(Results!$E$5="Weight",$C$52&gt;0, Results!$E$4="Tissue",OR($B$52="g",$B$52="mg")),((N10*N$51)/(N$52)),IF(AND(Results!$E$5="Volume",$C$54&gt;0,Results!$E$4="Fluid"),((N10*N$51)/(N$54)),IF(AND(Results!$E$4="Cells",Results!$E$5="Million",$B$52="million"),((N10*N$51)/(N$52)),"0")))))</f>
        <v>0.17493333333333333</v>
      </c>
      <c r="O63" s="20">
        <f>IF(O10=0,"0",IF(AND(Results!$E$5="Protein",$C$53&gt;0,OR(Results!$E$4="Tissue",Results!$E$4="Cells")),((O10*O$51)/(O$53)),IF(AND(Results!$E$5="Weight",$C$52&gt;0, Results!$E$4="Tissue",OR($B$52="g",$B$52="mg")),((O10*O$51)/(O$52)),IF(AND(Results!$E$5="Volume",$C$54&gt;0,Results!$E$4="Fluid"),((O10*O$51)/(O$54)),IF(AND(Results!$E$4="Cells",Results!$E$5="Million",$B$52="million"),((O10*O$51)/(O$52)),"0")))))</f>
        <v>0.23824999999999999</v>
      </c>
      <c r="P63" s="20">
        <f>IF(P10=0,"0",IF(AND(Results!$E$5="Protein",$C$53&gt;0,OR(Results!$E$4="Tissue",Results!$E$4="Cells")),((P10*P$51)/(P$53)),IF(AND(Results!$E$5="Weight",$C$52&gt;0, Results!$E$4="Tissue",OR($B$52="g",$B$52="mg")),((P10*P$51)/(P$52)),IF(AND(Results!$E$5="Volume",$C$54&gt;0,Results!$E$4="Fluid"),((P10*P$51)/(P$54)),IF(AND(Results!$E$4="Cells",Results!$E$5="Million",$B$52="million"),((P10*P$51)/(P$52)),"0")))))</f>
        <v>0.78343333333333331</v>
      </c>
      <c r="Q63" s="20">
        <f>IF(Q10=0,"0",IF(AND(Results!$E$5="Protein",$C$53&gt;0,OR(Results!$E$4="Tissue",Results!$E$4="Cells")),((Q10*Q$51)/(Q$53)),IF(AND(Results!$E$5="Weight",$C$52&gt;0, Results!$E$4="Tissue",OR($B$52="g",$B$52="mg")),((Q10*Q$51)/(Q$52)),IF(AND(Results!$E$5="Volume",$C$54&gt;0,Results!$E$4="Fluid"),((Q10*Q$51)/(Q$54)),IF(AND(Results!$E$4="Cells",Results!$E$5="Million",$B$52="million"),((Q10*Q$51)/(Q$52)),"0")))))</f>
        <v>0.90143333333333331</v>
      </c>
      <c r="R63" s="20">
        <f>IF(R10=0,"0",IF(AND(Results!$E$5="Protein",$C$53&gt;0,OR(Results!$E$4="Tissue",Results!$E$4="Cells")),((R10*R$51)/(R$53)),IF(AND(Results!$E$5="Weight",$C$52&gt;0, Results!$E$4="Tissue",OR($B$52="g",$B$52="mg")),((R10*R$51)/(R$52)),IF(AND(Results!$E$5="Volume",$C$54&gt;0,Results!$E$4="Fluid"),((R10*R$51)/(R$54)),IF(AND(Results!$E$4="Cells",Results!$E$5="Million",$B$52="million"),((R10*R$51)/(R$52)),"0")))))</f>
        <v>28.939383333333335</v>
      </c>
      <c r="S63" s="20">
        <f>IF(S10=0,"0",IF(AND(Results!$E$5="Protein",$C$53&gt;0,OR(Results!$E$4="Tissue",Results!$E$4="Cells")),((S10*S$51)/(S$53)),IF(AND(Results!$E$5="Weight",$C$52&gt;0, Results!$E$4="Tissue",OR($B$52="g",$B$52="mg")),((S10*S$51)/(S$52)),IF(AND(Results!$E$5="Volume",$C$54&gt;0,Results!$E$4="Fluid"),((S10*S$51)/(S$54)),IF(AND(Results!$E$4="Cells",Results!$E$5="Million",$B$52="million"),((S10*S$51)/(S$52)),"0")))))</f>
        <v>0.53074999999999994</v>
      </c>
      <c r="T63" s="20">
        <f>IF(T10=0,"0",IF(AND(Results!$E$5="Protein",$C$53&gt;0,OR(Results!$E$4="Tissue",Results!$E$4="Cells")),((T10*T$51)/(T$53)),IF(AND(Results!$E$5="Weight",$C$52&gt;0, Results!$E$4="Tissue",OR($B$52="g",$B$52="mg")),((T10*T$51)/(T$52)),IF(AND(Results!$E$5="Volume",$C$54&gt;0,Results!$E$4="Fluid"),((T10*T$51)/(T$54)),IF(AND(Results!$E$4="Cells",Results!$E$5="Million",$B$52="million"),((T10*T$51)/(T$52)),"0")))))</f>
        <v>0.20005000000000001</v>
      </c>
      <c r="U63" s="20">
        <f>IF(U10=0,"0",IF(AND(Results!$E$5="Protein",$C$53&gt;0,OR(Results!$E$4="Tissue",Results!$E$4="Cells")),((U10*U$51)/(U$53)),IF(AND(Results!$E$5="Weight",$C$52&gt;0, Results!$E$4="Tissue",OR($B$52="g",$B$52="mg")),((U10*U$51)/(U$52)),IF(AND(Results!$E$5="Volume",$C$54&gt;0,Results!$E$4="Fluid"),((U10*U$51)/(U$54)),IF(AND(Results!$E$4="Cells",Results!$E$5="Million",$B$52="million"),((U10*U$51)/(U$52)),"0")))))</f>
        <v>0.76186666666666669</v>
      </c>
      <c r="V63" s="20">
        <f>IF(V10=0,"0",IF(AND(Results!$E$5="Protein",$C$53&gt;0,OR(Results!$E$4="Tissue",Results!$E$4="Cells")),((V10*V$51)/(V$53)),IF(AND(Results!$E$5="Weight",$C$52&gt;0, Results!$E$4="Tissue",OR($B$52="g",$B$52="mg")),((V10*V$51)/(V$52)),IF(AND(Results!$E$5="Volume",$C$54&gt;0,Results!$E$4="Fluid"),((V10*V$51)/(V$54)),IF(AND(Results!$E$4="Cells",Results!$E$5="Million",$B$52="million"),((V10*V$51)/(V$52)),"0")))))</f>
        <v>0.23545000000000002</v>
      </c>
      <c r="W63" s="20">
        <f>IF(W10=0,"0",IF(AND(Results!$E$5="Protein",$C$53&gt;0,OR(Results!$E$4="Tissue",Results!$E$4="Cells")),((W10*W$51)/(W$53)),IF(AND(Results!$E$5="Weight",$C$52&gt;0, Results!$E$4="Tissue",OR($B$52="g",$B$52="mg")),((W10*W$51)/(W$52)),IF(AND(Results!$E$5="Volume",$C$54&gt;0,Results!$E$4="Fluid"),((W10*W$51)/(W$54)),IF(AND(Results!$E$4="Cells",Results!$E$5="Million",$B$52="million"),((W10*W$51)/(W$52)),"0")))))</f>
        <v>0.46880000000000005</v>
      </c>
      <c r="X63" s="20">
        <f>IF(X10=0,"0",IF(AND(Results!$E$5="Protein",$C$53&gt;0,OR(Results!$E$4="Tissue",Results!$E$4="Cells")),((X10*X$51)/(X$53)),IF(AND(Results!$E$5="Weight",$C$52&gt;0, Results!$E$4="Tissue",OR($B$52="g",$B$52="mg")),((X10*X$51)/(X$52)),IF(AND(Results!$E$5="Volume",$C$54&gt;0,Results!$E$4="Fluid"),((X10*X$51)/(X$54)),IF(AND(Results!$E$4="Cells",Results!$E$5="Million",$B$52="million"),((X10*X$51)/(X$52)),"0")))))</f>
        <v>0.98507999999999996</v>
      </c>
      <c r="Y63" s="20">
        <f>IF(Y10=0,"0",IF(AND(Results!$E$5="Protein",$C$53&gt;0,OR(Results!$E$4="Tissue",Results!$E$4="Cells")),((Y10*Y$51)/(Y$53)),IF(AND(Results!$E$5="Weight",$C$52&gt;0, Results!$E$4="Tissue",OR($B$52="g",$B$52="mg")),((Y10*Y$51)/(Y$52)),IF(AND(Results!$E$5="Volume",$C$54&gt;0,Results!$E$4="Fluid"),((Y10*Y$51)/(Y$54)),IF(AND(Results!$E$4="Cells",Results!$E$5="Million",$B$52="million"),((Y10*Y$51)/(Y$52)),"0")))))</f>
        <v>0.5071</v>
      </c>
      <c r="Z63" s="20">
        <f>IF(Z10=0,"0",IF(AND(Results!$E$5="Protein",$C$53&gt;0,OR(Results!$E$4="Tissue",Results!$E$4="Cells")),((Z10*Z$51)/(Z$53)),IF(AND(Results!$E$5="Weight",$C$52&gt;0, Results!$E$4="Tissue",OR($B$52="g",$B$52="mg")),((Z10*Z$51)/(Z$52)),IF(AND(Results!$E$5="Volume",$C$54&gt;0,Results!$E$4="Fluid"),((Z10*Z$51)/(Z$54)),IF(AND(Results!$E$4="Cells",Results!$E$5="Million",$B$52="million"),((Z10*Z$51)/(Z$52)),"0")))))</f>
        <v>0.32876</v>
      </c>
      <c r="AA63" s="20">
        <f>IF(AA10=0,"0",IF(AND(Results!$E$5="Protein",$C$53&gt;0,OR(Results!$E$4="Tissue",Results!$E$4="Cells")),((AA10*AA$51)/(AA$53)),IF(AND(Results!$E$5="Weight",$C$52&gt;0, Results!$E$4="Tissue",OR($B$52="g",$B$52="mg")),((AA10*AA$51)/(AA$52)),IF(AND(Results!$E$5="Volume",$C$54&gt;0,Results!$E$4="Fluid"),((AA10*AA$51)/(AA$54)),IF(AND(Results!$E$4="Cells",Results!$E$5="Million",$B$52="million"),((AA10*AA$51)/(AA$52)),"0")))))</f>
        <v>0.24095000000000003</v>
      </c>
      <c r="AB63" s="20">
        <f>IF(AB10=0,"0",IF(AND(Results!$E$5="Protein",$C$53&gt;0,OR(Results!$E$4="Tissue",Results!$E$4="Cells")),((AB10*AB$51)/(AB$53)),IF(AND(Results!$E$5="Weight",$C$52&gt;0, Results!$E$4="Tissue",OR($B$52="g",$B$52="mg")),((AB10*AB$51)/(AB$52)),IF(AND(Results!$E$5="Volume",$C$54&gt;0,Results!$E$4="Fluid"),((AB10*AB$51)/(AB$54)),IF(AND(Results!$E$4="Cells",Results!$E$5="Million",$B$52="million"),((AB10*AB$51)/(AB$52)),"0")))))</f>
        <v>0.4175166666666667</v>
      </c>
      <c r="AC63" s="20">
        <f>IF(AC10=0,"0",IF(AND(Results!$E$5="Protein",$C$53&gt;0,OR(Results!$E$4="Tissue",Results!$E$4="Cells")),((AC10*AC$51)/(AC$53)),IF(AND(Results!$E$5="Weight",$C$52&gt;0, Results!$E$4="Tissue",OR($B$52="g",$B$52="mg")),((AC10*AC$51)/(AC$52)),IF(AND(Results!$E$5="Volume",$C$54&gt;0,Results!$E$4="Fluid"),((AC10*AC$51)/(AC$54)),IF(AND(Results!$E$4="Cells",Results!$E$5="Million",$B$52="million"),((AC10*AC$51)/(AC$52)),"0")))))</f>
        <v>0.9385</v>
      </c>
      <c r="AD63" s="20">
        <f>IF(AD10=0,"0",IF(AND(Results!$E$5="Protein",$C$53&gt;0,OR(Results!$E$4="Tissue",Results!$E$4="Cells")),((AD10*AD$51)/(AD$53)),IF(AND(Results!$E$5="Weight",$C$52&gt;0, Results!$E$4="Tissue",OR($B$52="g",$B$52="mg")),((AD10*AD$51)/(AD$52)),IF(AND(Results!$E$5="Volume",$C$54&gt;0,Results!$E$4="Fluid"),((AD10*AD$51)/(AD$54)),IF(AND(Results!$E$4="Cells",Results!$E$5="Million",$B$52="million"),((AD10*AD$51)/(AD$52)),"0")))))</f>
        <v>1.0972166666666667</v>
      </c>
      <c r="AE63" s="20">
        <f>IF(AE10=0,"0",IF(AND(Results!$E$5="Protein",$C$53&gt;0,OR(Results!$E$4="Tissue",Results!$E$4="Cells")),((AE10*AE$51)/(AE$53)),IF(AND(Results!$E$5="Weight",$C$52&gt;0, Results!$E$4="Tissue",OR($B$52="g",$B$52="mg")),((AE10*AE$51)/(AE$52)),IF(AND(Results!$E$5="Volume",$C$54&gt;0,Results!$E$4="Fluid"),((AE10*AE$51)/(AE$54)),IF(AND(Results!$E$4="Cells",Results!$E$5="Million",$B$52="million"),((AE10*AE$51)/(AE$52)),"0")))))</f>
        <v>0.12671666666666667</v>
      </c>
      <c r="AF63" s="20" t="str">
        <f>IF(AF10=0,"0",IF(AND(Results!$E$5="Protein",$C$53&gt;0,OR(Results!$E$4="Tissue",Results!$E$4="Cells")),((AF10*AF$51)/(AF$53)),IF(AND(Results!$E$5="Weight",$C$52&gt;0, Results!$E$4="Tissue",OR($B$52="g",$B$52="mg")),((AF10*AF$51)/(AF$52)),IF(AND(Results!$E$5="Volume",$C$54&gt;0,Results!$E$4="Fluid"),((AF10*AF$51)/(AF$54)),IF(AND(Results!$E$4="Cells",Results!$E$5="Million",$B$52="million"),((AF10*AF$51)/(AF$52)),"0")))))</f>
        <v>0</v>
      </c>
      <c r="AG63" s="20">
        <f>IF(AG10=0,"0",IF(AND(Results!$E$5="Protein",$C$53&gt;0,OR(Results!$E$4="Tissue",Results!$E$4="Cells")),((AG10*AG$51)/(AG$53)),IF(AND(Results!$E$5="Weight",$C$52&gt;0, Results!$E$4="Tissue",OR($B$52="g",$B$52="mg")),((AG10*AG$51)/(AG$52)),IF(AND(Results!$E$5="Volume",$C$54&gt;0,Results!$E$4="Fluid"),((AG10*AG$51)/(AG$54)),IF(AND(Results!$E$4="Cells",Results!$E$5="Million",$B$52="million"),((AG10*AG$51)/(AG$52)),"0")))))</f>
        <v>0.24931666666666666</v>
      </c>
      <c r="AH63" s="20">
        <f>IF(AH10=0,"0",IF(AND(Results!$E$5="Protein",$C$53&gt;0,OR(Results!$E$4="Tissue",Results!$E$4="Cells")),((AH10*AH$51)/(AH$53)),IF(AND(Results!$E$5="Weight",$C$52&gt;0, Results!$E$4="Tissue",OR($B$52="g",$B$52="mg")),((AH10*AH$51)/(AH$52)),IF(AND(Results!$E$5="Volume",$C$54&gt;0,Results!$E$4="Fluid"),((AH10*AH$51)/(AH$54)),IF(AND(Results!$E$4="Cells",Results!$E$5="Million",$B$52="million"),((AH10*AH$51)/(AH$52)),"0")))))</f>
        <v>0.59938333333333338</v>
      </c>
      <c r="AI63" s="20">
        <f>IF(AI10=0,"0",IF(AND(Results!$E$5="Protein",$C$53&gt;0,OR(Results!$E$4="Tissue",Results!$E$4="Cells")),((AI10*AI$51)/(AI$53)),IF(AND(Results!$E$5="Weight",$C$52&gt;0, Results!$E$4="Tissue",OR($B$52="g",$B$52="mg")),((AI10*AI$51)/(AI$52)),IF(AND(Results!$E$5="Volume",$C$54&gt;0,Results!$E$4="Fluid"),((AI10*AI$51)/(AI$54)),IF(AND(Results!$E$4="Cells",Results!$E$5="Million",$B$52="million"),((AI10*AI$51)/(AI$52)),"0")))))</f>
        <v>1.0427333333333333</v>
      </c>
      <c r="AJ63" s="20">
        <f>IF(AJ10=0,"0",IF(AND(Results!$E$5="Protein",$C$53&gt;0,OR(Results!$E$4="Tissue",Results!$E$4="Cells")),((AJ10*AJ$51)/(AJ$53)),IF(AND(Results!$E$5="Weight",$C$52&gt;0, Results!$E$4="Tissue",OR($B$52="g",$B$52="mg")),((AJ10*AJ$51)/(AJ$52)),IF(AND(Results!$E$5="Volume",$C$54&gt;0,Results!$E$4="Fluid"),((AJ10*AJ$51)/(AJ$54)),IF(AND(Results!$E$4="Cells",Results!$E$5="Million",$B$52="million"),((AJ10*AJ$51)/(AJ$52)),"0")))))</f>
        <v>0.42113333333333336</v>
      </c>
      <c r="AK63" s="20" t="str">
        <f>IF(AK10=0,"0",IF(AND(Results!$E$5="Protein",$C$53&gt;0,OR(Results!$E$4="Tissue",Results!$E$4="Cells")),((AK10*AK$51)/(AK$53)),IF(AND(Results!$E$5="Weight",$C$52&gt;0, Results!$E$4="Tissue",OR($B$52="g",$B$52="mg")),((AK10*AK$51)/(AK$52)),IF(AND(Results!$E$5="Volume",$C$54&gt;0,Results!$E$4="Fluid"),((AK10*AK$51)/(AK$54)),IF(AND(Results!$E$4="Cells",Results!$E$5="Million",$B$52="million"),((AK10*AK$51)/(AK$52)),"0")))))</f>
        <v>0</v>
      </c>
      <c r="AL63" s="20">
        <f>IF(AL10=0,"0",IF(AND(Results!$E$5="Protein",$C$53&gt;0,OR(Results!$E$4="Tissue",Results!$E$4="Cells")),((AL10*AL$51)/(AL$53)),IF(AND(Results!$E$5="Weight",$C$52&gt;0, Results!$E$4="Tissue",OR($B$52="g",$B$52="mg")),((AL10*AL$51)/(AL$52)),IF(AND(Results!$E$5="Volume",$C$54&gt;0,Results!$E$4="Fluid"),((AL10*AL$51)/(AL$54)),IF(AND(Results!$E$4="Cells",Results!$E$5="Million",$B$52="million"),((AL10*AL$51)/(AL$52)),"0")))))</f>
        <v>0.38038333333333335</v>
      </c>
      <c r="AM63" s="20">
        <f>IF(AM10=0,"0",IF(AND(Results!$E$5="Protein",$C$53&gt;0,OR(Results!$E$4="Tissue",Results!$E$4="Cells")),((AM10*AM$51)/(AM$53)),IF(AND(Results!$E$5="Weight",$C$52&gt;0, Results!$E$4="Tissue",OR($B$52="g",$B$52="mg")),((AM10*AM$51)/(AM$52)),IF(AND(Results!$E$5="Volume",$C$54&gt;0,Results!$E$4="Fluid"),((AM10*AM$51)/(AM$54)),IF(AND(Results!$E$4="Cells",Results!$E$5="Million",$B$52="million"),((AM10*AM$51)/(AM$52)),"0")))))</f>
        <v>0.34188333333333332</v>
      </c>
      <c r="AN63" s="20">
        <f>IF(AN10=0,"0",IF(AND(Results!$E$5="Protein",$C$53&gt;0,OR(Results!$E$4="Tissue",Results!$E$4="Cells")),((AN10*AN$51)/(AN$53)),IF(AND(Results!$E$5="Weight",$C$52&gt;0, Results!$E$4="Tissue",OR($B$52="g",$B$52="mg")),((AN10*AN$51)/(AN$52)),IF(AND(Results!$E$5="Volume",$C$54&gt;0,Results!$E$4="Fluid"),((AN10*AN$51)/(AN$54)),IF(AND(Results!$E$4="Cells",Results!$E$5="Million",$B$52="million"),((AN10*AN$51)/(AN$52)),"0")))))</f>
        <v>0.36151666666666665</v>
      </c>
      <c r="AO63" s="20">
        <f>IF(AO10=0,"0",IF(AND(Results!$E$5="Protein",$C$53&gt;0,OR(Results!$E$4="Tissue",Results!$E$4="Cells")),((AO10*AO$51)/(AO$53)),IF(AND(Results!$E$5="Weight",$C$52&gt;0, Results!$E$4="Tissue",OR($B$52="g",$B$52="mg")),((AO10*AO$51)/(AO$52)),IF(AND(Results!$E$5="Volume",$C$54&gt;0,Results!$E$4="Fluid"),((AO10*AO$51)/(AO$54)),IF(AND(Results!$E$4="Cells",Results!$E$5="Million",$B$52="million"),((AO10*AO$51)/(AO$52)),"0")))))</f>
        <v>0.22025</v>
      </c>
      <c r="AP63" s="20" t="str">
        <f>IF(AP10=0,"0",IF(AND(Results!$E$5="Protein",$C$53&gt;0,OR(Results!$E$4="Tissue",Results!$E$4="Cells")),((AP10*AP$51)/(AP$53)),IF(AND(Results!$E$5="Weight",$C$52&gt;0, Results!$E$4="Tissue",OR($B$52="g",$B$52="mg")),((AP10*AP$51)/(AP$52)),IF(AND(Results!$E$5="Volume",$C$54&gt;0,Results!$E$4="Fluid"),((AP10*AP$51)/(AP$54)),IF(AND(Results!$E$4="Cells",Results!$E$5="Million",$B$52="million"),((AP10*AP$51)/(AP$52)),"0")))))</f>
        <v>0</v>
      </c>
      <c r="AQ63" s="20">
        <f>IF(AQ10=0,"0",IF(AND(Results!$E$5="Protein",$C$53&gt;0,OR(Results!$E$4="Tissue",Results!$E$4="Cells")),((AQ10*AQ$51)/(AQ$53)),IF(AND(Results!$E$5="Weight",$C$52&gt;0, Results!$E$4="Tissue",OR($B$52="g",$B$52="mg")),((AQ10*AQ$51)/(AQ$52)),IF(AND(Results!$E$5="Volume",$C$54&gt;0,Results!$E$4="Fluid"),((AQ10*AQ$51)/(AQ$54)),IF(AND(Results!$E$4="Cells",Results!$E$5="Million",$B$52="million"),((AQ10*AQ$51)/(AQ$52)),"0")))))</f>
        <v>6.8018333333333336</v>
      </c>
      <c r="AR63" s="20">
        <f>IF(AR10=0,"0",IF(AND(Results!$E$5="Protein",$C$53&gt;0,OR(Results!$E$4="Tissue",Results!$E$4="Cells")),((AR10*AR$51)/(AR$53)),IF(AND(Results!$E$5="Weight",$C$52&gt;0, Results!$E$4="Tissue",OR($B$52="g",$B$52="mg")),((AR10*AR$51)/(AR$52)),IF(AND(Results!$E$5="Volume",$C$54&gt;0,Results!$E$4="Fluid"),((AR10*AR$51)/(AR$54)),IF(AND(Results!$E$4="Cells",Results!$E$5="Million",$B$52="million"),((AR10*AR$51)/(AR$52)),"0")))))</f>
        <v>0.16738333333333333</v>
      </c>
      <c r="AS63" s="20" t="str">
        <f>IF(AS10=0,"0",IF(AND(Results!$E$5="Protein",$C$53&gt;0,OR(Results!$E$4="Tissue",Results!$E$4="Cells")),((AS10*AS$51)/(AS$53)),IF(AND(Results!$E$5="Weight",$C$52&gt;0, Results!$E$4="Tissue",OR($B$52="g",$B$52="mg")),((AS10*AS$51)/(AS$52)),IF(AND(Results!$E$5="Volume",$C$54&gt;0,Results!$E$4="Fluid"),((AS10*AS$51)/(AS$54)),IF(AND(Results!$E$4="Cells",Results!$E$5="Million",$B$52="million"),((AS10*AS$51)/(AS$52)),"0")))))</f>
        <v>0</v>
      </c>
      <c r="AT63" s="20">
        <f>IF(AT10=0,"0",IF(AND(Results!$E$5="Protein",$C$53&gt;0,OR(Results!$E$4="Tissue",Results!$E$4="Cells")),((AT10*AT$51)/(AT$53)),IF(AND(Results!$E$5="Weight",$C$52&gt;0, Results!$E$4="Tissue",OR($B$52="g",$B$52="mg")),((AT10*AT$51)/(AT$52)),IF(AND(Results!$E$5="Volume",$C$54&gt;0,Results!$E$4="Fluid"),((AT10*AT$51)/(AT$54)),IF(AND(Results!$E$4="Cells",Results!$E$5="Million",$B$52="million"),((AT10*AT$51)/(AT$52)),"0")))))</f>
        <v>0.48775000000000002</v>
      </c>
      <c r="AU63" s="20" t="str">
        <f>IF(AU10=0,"0",IF(AND(Results!$E$5="Protein",$C$53&gt;0,OR(Results!$E$4="Tissue",Results!$E$4="Cells")),((AU10*AU$51)/(AU$53)),IF(AND(Results!$E$5="Weight",$C$52&gt;0, Results!$E$4="Tissue",OR($B$52="g",$B$52="mg")),((AU10*AU$51)/(AU$52)),IF(AND(Results!$E$5="Volume",$C$54&gt;0,Results!$E$4="Fluid"),((AU10*AU$51)/(AU$54)),IF(AND(Results!$E$4="Cells",Results!$E$5="Million",$B$52="million"),((AU10*AU$51)/(AU$52)),"0")))))</f>
        <v>0</v>
      </c>
      <c r="AV63" s="20" t="str">
        <f>IF(AV10=0,"0",IF(AND(Results!$E$5="Protein",$C$53&gt;0,OR(Results!$E$4="Tissue",Results!$E$4="Cells")),((AV10*AV$51)/(AV$53)),IF(AND(Results!$E$5="Weight",$C$52&gt;0, Results!$E$4="Tissue",OR($B$52="g",$B$52="mg")),((AV10*AV$51)/(AV$52)),IF(AND(Results!$E$5="Volume",$C$54&gt;0,Results!$E$4="Fluid"),((AV10*AV$51)/(AV$54)),IF(AND(Results!$E$4="Cells",Results!$E$5="Million",$B$52="million"),((AV10*AV$51)/(AV$52)),"0")))))</f>
        <v>0</v>
      </c>
      <c r="AW63" s="20">
        <f>IF(AW10=0,"0",IF(AND(Results!$E$5="Protein",$C$53&gt;0,OR(Results!$E$4="Tissue",Results!$E$4="Cells")),((AW10*AW$51)/(AW$53)),IF(AND(Results!$E$5="Weight",$C$52&gt;0, Results!$E$4="Tissue",OR($B$52="g",$B$52="mg")),((AW10*AW$51)/(AW$52)),IF(AND(Results!$E$5="Volume",$C$54&gt;0,Results!$E$4="Fluid"),((AW10*AW$51)/(AW$54)),IF(AND(Results!$E$4="Cells",Results!$E$5="Million",$B$52="million"),((AW10*AW$51)/(AW$52)),"0")))))</f>
        <v>0.51501666666666668</v>
      </c>
      <c r="AX63" s="20">
        <f>IF(AX10=0,"0",IF(AND(Results!$E$5="Protein",$C$53&gt;0,OR(Results!$E$4="Tissue",Results!$E$4="Cells")),((AX10*AX$51)/(AX$53)),IF(AND(Results!$E$5="Weight",$C$52&gt;0, Results!$E$4="Tissue",OR($B$52="g",$B$52="mg")),((AX10*AX$51)/(AX$52)),IF(AND(Results!$E$5="Volume",$C$54&gt;0,Results!$E$4="Fluid"),((AX10*AX$51)/(AX$54)),IF(AND(Results!$E$4="Cells",Results!$E$5="Million",$B$52="million"),((AX10*AX$51)/(AX$52)),"0")))))</f>
        <v>0.57478333333333331</v>
      </c>
      <c r="AY63" s="20">
        <f>IF(AY10=0,"0",IF(AND(Results!$E$5="Protein",$C$53&gt;0,OR(Results!$E$4="Tissue",Results!$E$4="Cells")),((AY10*AY$51)/(AY$53)),IF(AND(Results!$E$5="Weight",$C$52&gt;0, Results!$E$4="Tissue",OR($B$52="g",$B$52="mg")),((AY10*AY$51)/(AY$52)),IF(AND(Results!$E$5="Volume",$C$54&gt;0,Results!$E$4="Fluid"),((AY10*AY$51)/(AY$54)),IF(AND(Results!$E$4="Cells",Results!$E$5="Million",$B$52="million"),((AY10*AY$51)/(AY$52)),"0")))))</f>
        <v>0.42968333333333331</v>
      </c>
      <c r="AZ63" s="20" t="str">
        <f>IF(AZ10=0,"0",IF(AND(Results!$E$5="Protein",$C$53&gt;0,OR(Results!$E$4="Tissue",Results!$E$4="Cells")),((AZ10*AZ$51)/(AZ$53)),IF(AND(Results!$E$5="Weight",$C$52&gt;0, Results!$E$4="Tissue",OR($B$52="g",$B$52="mg")),((AZ10*AZ$51)/(AZ$52)),IF(AND(Results!$E$5="Volume",$C$54&gt;0,Results!$E$4="Fluid"),((AZ10*AZ$51)/(AZ$54)),IF(AND(Results!$E$4="Cells",Results!$E$5="Million",$B$52="million"),((AZ10*AZ$51)/(AZ$52)),"0")))))</f>
        <v>0</v>
      </c>
      <c r="BA63" s="20" t="str">
        <f>IF(BA10=0,"0",IF(AND(Results!$E$5="Protein",$C$53&gt;0,OR(Results!$E$4="Tissue",Results!$E$4="Cells")),((BA10*BA$51)/(BA$53)),IF(AND(Results!$E$5="Weight",$C$52&gt;0, Results!$E$4="Tissue",OR($B$52="g",$B$52="mg")),((BA10*BA$51)/(BA$52)),IF(AND(Results!$E$5="Volume",$C$54&gt;0,Results!$E$4="Fluid"),((BA10*BA$51)/(BA$54)),IF(AND(Results!$E$4="Cells",Results!$E$5="Million",$B$52="million"),((BA10*BA$51)/(BA$52)),"0")))))</f>
        <v>0</v>
      </c>
      <c r="BB63" s="20">
        <f>IF(BB10=0,"0",IF(AND(Results!$E$5="Protein",$C$53&gt;0,OR(Results!$E$4="Tissue",Results!$E$4="Cells")),((BB10*BB$51)/(BB$53)),IF(AND(Results!$E$5="Weight",$C$52&gt;0, Results!$E$4="Tissue",OR($B$52="g",$B$52="mg")),((BB10*BB$51)/(BB$52)),IF(AND(Results!$E$5="Volume",$C$54&gt;0,Results!$E$4="Fluid"),((BB10*BB$51)/(BB$54)),IF(AND(Results!$E$4="Cells",Results!$E$5="Million",$B$52="million"),((BB10*BB$51)/(BB$52)),"0")))))</f>
        <v>0.16034999999999996</v>
      </c>
      <c r="BC63" s="20" t="str">
        <f>IF(BC10=0,"0",IF(AND(Results!$E$5="Protein",$C$53&gt;0,OR(Results!$E$4="Tissue",Results!$E$4="Cells")),((BC10*BC$51)/(BC$53)),IF(AND(Results!$E$5="Weight",$C$52&gt;0, Results!$E$4="Tissue",OR($B$52="g",$B$52="mg")),((BC10*BC$51)/(BC$52)),IF(AND(Results!$E$5="Volume",$C$54&gt;0,Results!$E$4="Fluid"),((BC10*BC$51)/(BC$54)),IF(AND(Results!$E$4="Cells",Results!$E$5="Million",$B$52="million"),((BC10*BC$51)/(BC$52)),"0")))))</f>
        <v>0</v>
      </c>
      <c r="BD63" s="20">
        <f>IF(BD10=0,"0",IF(AND(Results!$E$5="Protein",$C$53&gt;0,OR(Results!$E$4="Tissue",Results!$E$4="Cells")),((BD10*BD$51)/(BD$53)),IF(AND(Results!$E$5="Weight",$C$52&gt;0, Results!$E$4="Tissue",OR($B$52="g",$B$52="mg")),((BD10*BD$51)/(BD$52)),IF(AND(Results!$E$5="Volume",$C$54&gt;0,Results!$E$4="Fluid"),((BD10*BD$51)/(BD$54)),IF(AND(Results!$E$4="Cells",Results!$E$5="Million",$B$52="million"),((BD10*BD$51)/(BD$52)),"0")))))</f>
        <v>0.19013333333333335</v>
      </c>
      <c r="BE63" s="20">
        <f>IF(BE10=0,"0",IF(AND(Results!$E$5="Protein",$C$53&gt;0,OR(Results!$E$4="Tissue",Results!$E$4="Cells")),((BE10*BE$51)/(BE$53)),IF(AND(Results!$E$5="Weight",$C$52&gt;0, Results!$E$4="Tissue",OR($B$52="g",$B$52="mg")),((BE10*BE$51)/(BE$52)),IF(AND(Results!$E$5="Volume",$C$54&gt;0,Results!$E$4="Fluid"),((BE10*BE$51)/(BE$54)),IF(AND(Results!$E$4="Cells",Results!$E$5="Million",$B$52="million"),((BE10*BE$51)/(BE$52)),"0")))))</f>
        <v>0.25346666666666662</v>
      </c>
      <c r="BF63" s="20">
        <f>IF(BF10=0,"0",IF(AND(Results!$E$5="Protein",$C$53&gt;0,OR(Results!$E$4="Tissue",Results!$E$4="Cells")),((BF10*BF$51)/(BF$53)),IF(AND(Results!$E$5="Weight",$C$52&gt;0, Results!$E$4="Tissue",OR($B$52="g",$B$52="mg")),((BF10*BF$51)/(BF$52)),IF(AND(Results!$E$5="Volume",$C$54&gt;0,Results!$E$4="Fluid"),((BF10*BF$51)/(BF$54)),IF(AND(Results!$E$4="Cells",Results!$E$5="Million",$B$52="million"),((BF10*BF$51)/(BF$52)),"0")))))</f>
        <v>0.97073333333333334</v>
      </c>
      <c r="BG63" s="20">
        <f>IF(BG10=0,"0",IF(AND(Results!$E$5="Protein",$C$53&gt;0,OR(Results!$E$4="Tissue",Results!$E$4="Cells")),((BG10*BG$51)/(BG$53)),IF(AND(Results!$E$5="Weight",$C$52&gt;0, Results!$E$4="Tissue",OR($B$52="g",$B$52="mg")),((BG10*BG$51)/(BG$52)),IF(AND(Results!$E$5="Volume",$C$54&gt;0,Results!$E$4="Fluid"),((BG10*BG$51)/(BG$54)),IF(AND(Results!$E$4="Cells",Results!$E$5="Million",$B$52="million"),((BG10*BG$51)/(BG$52)),"0")))))</f>
        <v>0.15878333333333333</v>
      </c>
      <c r="BH63" s="20" t="str">
        <f>IF(BH10=0,"0",IF(AND(Results!$E$5="Protein",$C$53&gt;0,OR(Results!$E$4="Tissue",Results!$E$4="Cells")),((BH10*BH$51)/(BH$53)),IF(AND(Results!$E$5="Weight",$C$52&gt;0, Results!$E$4="Tissue",OR($B$52="g",$B$52="mg")),((BH10*BH$51)/(BH$52)),IF(AND(Results!$E$5="Volume",$C$54&gt;0,Results!$E$4="Fluid"),((BH10*BH$51)/(BH$54)),IF(AND(Results!$E$4="Cells",Results!$E$5="Million",$B$52="million"),((BH10*BH$51)/(BH$52)),"0")))))</f>
        <v>0</v>
      </c>
      <c r="BI63" s="20">
        <f>IF(BI10=0,"0",IF(AND(Results!$E$5="Protein",$C$53&gt;0,OR(Results!$E$4="Tissue",Results!$E$4="Cells")),((BI10*BI$51)/(BI$53)),IF(AND(Results!$E$5="Weight",$C$52&gt;0, Results!$E$4="Tissue",OR($B$52="g",$B$52="mg")),((BI10*BI$51)/(BI$52)),IF(AND(Results!$E$5="Volume",$C$54&gt;0,Results!$E$4="Fluid"),((BI10*BI$51)/(BI$54)),IF(AND(Results!$E$4="Cells",Results!$E$5="Million",$B$52="million"),((BI10*BI$51)/(BI$52)),"0")))))</f>
        <v>1.3355833333333333</v>
      </c>
      <c r="BJ63" s="20">
        <f>IF(BJ10=0,"0",IF(AND(Results!$E$5="Protein",$C$53&gt;0,OR(Results!$E$4="Tissue",Results!$E$4="Cells")),((BJ10*BJ$51)/(BJ$53)),IF(AND(Results!$E$5="Weight",$C$52&gt;0, Results!$E$4="Tissue",OR($B$52="g",$B$52="mg")),((BJ10*BJ$51)/(BJ$52)),IF(AND(Results!$E$5="Volume",$C$54&gt;0,Results!$E$4="Fluid"),((BJ10*BJ$51)/(BJ$54)),IF(AND(Results!$E$4="Cells",Results!$E$5="Million",$B$52="million"),((BJ10*BJ$51)/(BJ$52)),"0")))))</f>
        <v>7.2815166666666666</v>
      </c>
      <c r="BK63" s="20">
        <f>IF(BK10=0,"0",IF(AND(Results!$E$5="Protein",$C$53&gt;0,OR(Results!$E$4="Tissue",Results!$E$4="Cells")),((BK10*BK$51)/(BK$53)),IF(AND(Results!$E$5="Weight",$C$52&gt;0, Results!$E$4="Tissue",OR($B$52="g",$B$52="mg")),((BK10*BK$51)/(BK$52)),IF(AND(Results!$E$5="Volume",$C$54&gt;0,Results!$E$4="Fluid"),((BK10*BK$51)/(BK$54)),IF(AND(Results!$E$4="Cells",Results!$E$5="Million",$B$52="million"),((BK10*BK$51)/(BK$52)),"0")))))</f>
        <v>0.48931666666666668</v>
      </c>
      <c r="BL63" s="20">
        <f>IF(BL10=0,"0",IF(AND(Results!$E$5="Protein",$C$53&gt;0,OR(Results!$E$4="Tissue",Results!$E$4="Cells")),((BL10*BL$51)/(BL$53)),IF(AND(Results!$E$5="Weight",$C$52&gt;0, Results!$E$4="Tissue",OR($B$52="g",$B$52="mg")),((BL10*BL$51)/(BL$52)),IF(AND(Results!$E$5="Volume",$C$54&gt;0,Results!$E$4="Fluid"),((BL10*BL$51)/(BL$54)),IF(AND(Results!$E$4="Cells",Results!$E$5="Million",$B$52="million"),((BL10*BL$51)/(BL$52)),"0")))))</f>
        <v>2.6160500000000004</v>
      </c>
      <c r="BM63" s="20">
        <f>IF(BM10=0,"0",IF(AND(Results!$E$5="Protein",$C$53&gt;0,OR(Results!$E$4="Tissue",Results!$E$4="Cells")),((BM10*BM$51)/(BM$53)),IF(AND(Results!$E$5="Weight",$C$52&gt;0, Results!$E$4="Tissue",OR($B$52="g",$B$52="mg")),((BM10*BM$51)/(BM$52)),IF(AND(Results!$E$5="Volume",$C$54&gt;0,Results!$E$4="Fluid"),((BM10*BM$51)/(BM$54)),IF(AND(Results!$E$4="Cells",Results!$E$5="Million",$B$52="million"),((BM10*BM$51)/(BM$52)),"0")))))</f>
        <v>2.1169142857142855</v>
      </c>
      <c r="BN63" s="20">
        <f>IF(BN10=0,"0",IF(AND(Results!$E$5="Protein",$C$53&gt;0,OR(Results!$E$4="Tissue",Results!$E$4="Cells")),((BN10*BN$51)/(BN$53)),IF(AND(Results!$E$5="Weight",$C$52&gt;0, Results!$E$4="Tissue",OR($B$52="g",$B$52="mg")),((BN10*BN$51)/(BN$52)),IF(AND(Results!$E$5="Volume",$C$54&gt;0,Results!$E$4="Fluid"),((BN10*BN$51)/(BN$54)),IF(AND(Results!$E$4="Cells",Results!$E$5="Million",$B$52="million"),((BN10*BN$51)/(BN$52)),"0")))))</f>
        <v>7.3036166666666666</v>
      </c>
      <c r="BO63" s="20">
        <f>IF(BO10=0,"0",IF(AND(Results!$E$5="Protein",$C$53&gt;0,OR(Results!$E$4="Tissue",Results!$E$4="Cells")),((BO10*BO$51)/(BO$53)),IF(AND(Results!$E$5="Weight",$C$52&gt;0, Results!$E$4="Tissue",OR($B$52="g",$B$52="mg")),((BO10*BO$51)/(BO$52)),IF(AND(Results!$E$5="Volume",$C$54&gt;0,Results!$E$4="Fluid"),((BO10*BO$51)/(BO$54)),IF(AND(Results!$E$4="Cells",Results!$E$5="Million",$B$52="million"),((BO10*BO$51)/(BO$52)),"0")))))</f>
        <v>1.25715</v>
      </c>
      <c r="BP63" s="20">
        <f>IF(BP10=0,"0",IF(AND(Results!$E$5="Protein",$C$53&gt;0,OR(Results!$E$4="Tissue",Results!$E$4="Cells")),((BP10*BP$51)/(BP$53)),IF(AND(Results!$E$5="Weight",$C$52&gt;0, Results!$E$4="Tissue",OR($B$52="g",$B$52="mg")),((BP10*BP$51)/(BP$52)),IF(AND(Results!$E$5="Volume",$C$54&gt;0,Results!$E$4="Fluid"),((BP10*BP$51)/(BP$54)),IF(AND(Results!$E$4="Cells",Results!$E$5="Million",$B$52="million"),((BP10*BP$51)/(BP$52)),"0")))))</f>
        <v>0.64318333333333333</v>
      </c>
      <c r="BQ63" s="20">
        <f>IF(BQ10=0,"0",IF(AND(Results!$E$5="Protein",$C$53&gt;0,OR(Results!$E$4="Tissue",Results!$E$4="Cells")),((BQ10*BQ$51)/(BQ$53)),IF(AND(Results!$E$5="Weight",$C$52&gt;0, Results!$E$4="Tissue",OR($B$52="g",$B$52="mg")),((BQ10*BQ$51)/(BQ$52)),IF(AND(Results!$E$5="Volume",$C$54&gt;0,Results!$E$4="Fluid"),((BQ10*BQ$51)/(BQ$54)),IF(AND(Results!$E$4="Cells",Results!$E$5="Million",$B$52="million"),((BQ10*BQ$51)/(BQ$52)),"0")))))</f>
        <v>0.28236666666666665</v>
      </c>
      <c r="BR63" s="20">
        <f>IF(BR10=0,"0",IF(AND(Results!$E$5="Protein",$C$53&gt;0,OR(Results!$E$4="Tissue",Results!$E$4="Cells")),((BR10*BR$51)/(BR$53)),IF(AND(Results!$E$5="Weight",$C$52&gt;0, Results!$E$4="Tissue",OR($B$52="g",$B$52="mg")),((BR10*BR$51)/(BR$52)),IF(AND(Results!$E$5="Volume",$C$54&gt;0,Results!$E$4="Fluid"),((BR10*BR$51)/(BR$54)),IF(AND(Results!$E$4="Cells",Results!$E$5="Million",$B$52="million"),((BR10*BR$51)/(BR$52)),"0")))))</f>
        <v>0.27471428571428574</v>
      </c>
      <c r="BS63" s="20">
        <f>IF(BS10=0,"0",IF(AND(Results!$E$5="Protein",$C$53&gt;0,OR(Results!$E$4="Tissue",Results!$E$4="Cells")),((BS10*BS$51)/(BS$53)),IF(AND(Results!$E$5="Weight",$C$52&gt;0, Results!$E$4="Tissue",OR($B$52="g",$B$52="mg")),((BS10*BS$51)/(BS$52)),IF(AND(Results!$E$5="Volume",$C$54&gt;0,Results!$E$4="Fluid"),((BS10*BS$51)/(BS$54)),IF(AND(Results!$E$4="Cells",Results!$E$5="Million",$B$52="million"),((BS10*BS$51)/(BS$52)),"0")))))</f>
        <v>0.55401666666666671</v>
      </c>
      <c r="BT63" s="20">
        <f>IF(BT10=0,"0",IF(AND(Results!$E$5="Protein",$C$53&gt;0,OR(Results!$E$4="Tissue",Results!$E$4="Cells")),((BT10*BT$51)/(BT$53)),IF(AND(Results!$E$5="Weight",$C$52&gt;0, Results!$E$4="Tissue",OR($B$52="g",$B$52="mg")),((BT10*BT$51)/(BT$52)),IF(AND(Results!$E$5="Volume",$C$54&gt;0,Results!$E$4="Fluid"),((BT10*BT$51)/(BT$54)),IF(AND(Results!$E$4="Cells",Results!$E$5="Million",$B$52="million"),((BT10*BT$51)/(BT$52)),"0")))))</f>
        <v>0.3031833333333333</v>
      </c>
      <c r="BU63" s="20">
        <f>IF(BU10=0,"0",IF(AND(Results!$E$5="Protein",$C$53&gt;0,OR(Results!$E$4="Tissue",Results!$E$4="Cells")),((BU10*BU$51)/(BU$53)),IF(AND(Results!$E$5="Weight",$C$52&gt;0, Results!$E$4="Tissue",OR($B$52="g",$B$52="mg")),((BU10*BU$51)/(BU$52)),IF(AND(Results!$E$5="Volume",$C$54&gt;0,Results!$E$4="Fluid"),((BU10*BU$51)/(BU$54)),IF(AND(Results!$E$4="Cells",Results!$E$5="Million",$B$52="million"),((BU10*BU$51)/(BU$52)),"0")))))</f>
        <v>1.1958333333333333</v>
      </c>
      <c r="BV63" s="20">
        <f>IF(BV10=0,"0",IF(AND(Results!$E$5="Protein",$C$53&gt;0,OR(Results!$E$4="Tissue",Results!$E$4="Cells")),((BV10*BV$51)/(BV$53)),IF(AND(Results!$E$5="Weight",$C$52&gt;0, Results!$E$4="Tissue",OR($B$52="g",$B$52="mg")),((BV10*BV$51)/(BV$52)),IF(AND(Results!$E$5="Volume",$C$54&gt;0,Results!$E$4="Fluid"),((BV10*BV$51)/(BV$54)),IF(AND(Results!$E$4="Cells",Results!$E$5="Million",$B$52="million"),((BV10*BV$51)/(BV$52)),"0")))))</f>
        <v>0.63219999999999998</v>
      </c>
      <c r="BW63" s="20">
        <f>IF(BW10=0,"0",IF(AND(Results!$E$5="Protein",$C$53&gt;0,OR(Results!$E$4="Tissue",Results!$E$4="Cells")),((BW10*BW$51)/(BW$53)),IF(AND(Results!$E$5="Weight",$C$52&gt;0, Results!$E$4="Tissue",OR($B$52="g",$B$52="mg")),((BW10*BW$51)/(BW$52)),IF(AND(Results!$E$5="Volume",$C$54&gt;0,Results!$E$4="Fluid"),((BW10*BW$51)/(BW$54)),IF(AND(Results!$E$4="Cells",Results!$E$5="Million",$B$52="million"),((BW10*BW$51)/(BW$52)),"0")))))</f>
        <v>0.94569999999999999</v>
      </c>
      <c r="BX63" s="20">
        <f>IF(BX10=0,"0",IF(AND(Results!$E$5="Protein",$C$53&gt;0,OR(Results!$E$4="Tissue",Results!$E$4="Cells")),((BX10*BX$51)/(BX$53)),IF(AND(Results!$E$5="Weight",$C$52&gt;0, Results!$E$4="Tissue",OR($B$52="g",$B$52="mg")),((BX10*BX$51)/(BX$52)),IF(AND(Results!$E$5="Volume",$C$54&gt;0,Results!$E$4="Fluid"),((BX10*BX$51)/(BX$54)),IF(AND(Results!$E$4="Cells",Results!$E$5="Million",$B$52="million"),((BX10*BX$51)/(BX$52)),"0")))))</f>
        <v>0.40155000000000002</v>
      </c>
      <c r="BY63" s="20">
        <f>IF(BY10=0,"0",IF(AND(Results!$E$5="Protein",$C$53&gt;0,OR(Results!$E$4="Tissue",Results!$E$4="Cells")),((BY10*BY$51)/(BY$53)),IF(AND(Results!$E$5="Weight",$C$52&gt;0, Results!$E$4="Tissue",OR($B$52="g",$B$52="mg")),((BY10*BY$51)/(BY$52)),IF(AND(Results!$E$5="Volume",$C$54&gt;0,Results!$E$4="Fluid"),((BY10*BY$51)/(BY$54)),IF(AND(Results!$E$4="Cells",Results!$E$5="Million",$B$52="million"),((BY10*BY$51)/(BY$52)),"0")))))</f>
        <v>0.46643333333333337</v>
      </c>
      <c r="BZ63" s="20">
        <f>IF(BZ10=0,"0",IF(AND(Results!$E$5="Protein",$C$53&gt;0,OR(Results!$E$4="Tissue",Results!$E$4="Cells")),((BZ10*BZ$51)/(BZ$53)),IF(AND(Results!$E$5="Weight",$C$52&gt;0, Results!$E$4="Tissue",OR($B$52="g",$B$52="mg")),((BZ10*BZ$51)/(BZ$52)),IF(AND(Results!$E$5="Volume",$C$54&gt;0,Results!$E$4="Fluid"),((BZ10*BZ$51)/(BZ$54)),IF(AND(Results!$E$4="Cells",Results!$E$5="Million",$B$52="million"),((BZ10*BZ$51)/(BZ$52)),"0")))))</f>
        <v>0.47176666666666667</v>
      </c>
      <c r="CA63" s="20">
        <f>IF(CA10=0,"0",IF(AND(Results!$E$5="Protein",$C$53&gt;0,OR(Results!$E$4="Tissue",Results!$E$4="Cells")),((CA10*CA$51)/(CA$53)),IF(AND(Results!$E$5="Weight",$C$52&gt;0, Results!$E$4="Tissue",OR($B$52="g",$B$52="mg")),((CA10*CA$51)/(CA$52)),IF(AND(Results!$E$5="Volume",$C$54&gt;0,Results!$E$4="Fluid"),((CA10*CA$51)/(CA$54)),IF(AND(Results!$E$4="Cells",Results!$E$5="Million",$B$52="million"),((CA10*CA$51)/(CA$52)),"0")))))</f>
        <v>0.26530000000000004</v>
      </c>
      <c r="CB63" s="20">
        <f>IF(CB10=0,"0",IF(AND(Results!$E$5="Protein",$C$53&gt;0,OR(Results!$E$4="Tissue",Results!$E$4="Cells")),((CB10*CB$51)/(CB$53)),IF(AND(Results!$E$5="Weight",$C$52&gt;0, Results!$E$4="Tissue",OR($B$52="g",$B$52="mg")),((CB10*CB$51)/(CB$52)),IF(AND(Results!$E$5="Volume",$C$54&gt;0,Results!$E$4="Fluid"),((CB10*CB$51)/(CB$54)),IF(AND(Results!$E$4="Cells",Results!$E$5="Million",$B$52="million"),((CB10*CB$51)/(CB$52)),"0")))))</f>
        <v>0.20734999999999998</v>
      </c>
      <c r="CC63" s="20">
        <f>IF(CC10=0,"0",IF(AND(Results!$E$5="Protein",$C$53&gt;0,OR(Results!$E$4="Tissue",Results!$E$4="Cells")),((CC10*CC$51)/(CC$53)),IF(AND(Results!$E$5="Weight",$C$52&gt;0, Results!$E$4="Tissue",OR($B$52="g",$B$52="mg")),((CC10*CC$51)/(CC$52)),IF(AND(Results!$E$5="Volume",$C$54&gt;0,Results!$E$4="Fluid"),((CC10*CC$51)/(CC$54)),IF(AND(Results!$E$4="Cells",Results!$E$5="Million",$B$52="million"),((CC10*CC$51)/(CC$52)),"0")))))</f>
        <v>0.32223333333333332</v>
      </c>
      <c r="CD63" s="20" t="str">
        <f>IF(CD10=0,"0",IF(AND(Results!$E$5="Protein",$C$53&gt;0,OR(Results!$E$4="Tissue",Results!$E$4="Cells")),((CD10*CD$51)/(CD$53)),IF(AND(Results!$E$5="Weight",$C$52&gt;0, Results!$E$4="Tissue",OR($B$52="g",$B$52="mg")),((CD10*CD$51)/(CD$52)),IF(AND(Results!$E$5="Volume",$C$54&gt;0,Results!$E$4="Fluid"),((CD10*CD$51)/(CD$54)),IF(AND(Results!$E$4="Cells",Results!$E$5="Million",$B$52="million"),((CD10*CD$51)/(CD$52)),"0")))))</f>
        <v>0</v>
      </c>
      <c r="CE63" s="20">
        <f>IF(CE10=0,"0",IF(AND(Results!$E$5="Protein",$C$53&gt;0,OR(Results!$E$4="Tissue",Results!$E$4="Cells")),((CE10*CE$51)/(CE$53)),IF(AND(Results!$E$5="Weight",$C$52&gt;0, Results!$E$4="Tissue",OR($B$52="g",$B$52="mg")),((CE10*CE$51)/(CE$52)),IF(AND(Results!$E$5="Volume",$C$54&gt;0,Results!$E$4="Fluid"),((CE10*CE$51)/(CE$54)),IF(AND(Results!$E$4="Cells",Results!$E$5="Million",$B$52="million"),((CE10*CE$51)/(CE$52)),"0")))))</f>
        <v>0.5704499999999999</v>
      </c>
      <c r="CF63" s="20" t="str">
        <f>IF(CF10=0,"0",IF(AND(Results!$E$5="Protein",$C$53&gt;0,OR(Results!$E$4="Tissue",Results!$E$4="Cells")),((CF10*CF$51)/(CF$53)),IF(AND(Results!$E$5="Weight",$C$52&gt;0, Results!$E$4="Tissue",OR($B$52="g",$B$52="mg")),((CF10*CF$51)/(CF$52)),IF(AND(Results!$E$5="Volume",$C$54&gt;0,Results!$E$4="Fluid"),((CF10*CF$51)/(CF$54)),IF(AND(Results!$E$4="Cells",Results!$E$5="Million",$B$52="million"),((CF10*CF$51)/(CF$52)),"0")))))</f>
        <v>0</v>
      </c>
      <c r="CG63" s="20">
        <f>IF(CG10=0,"0",IF(AND(Results!$E$5="Protein",$C$53&gt;0,OR(Results!$E$4="Tissue",Results!$E$4="Cells")),((CG10*CG$51)/(CG$53)),IF(AND(Results!$E$5="Weight",$C$52&gt;0, Results!$E$4="Tissue",OR($B$52="g",$B$52="mg")),((CG10*CG$51)/(CG$52)),IF(AND(Results!$E$5="Volume",$C$54&gt;0,Results!$E$4="Fluid"),((CG10*CG$51)/(CG$54)),IF(AND(Results!$E$4="Cells",Results!$E$5="Million",$B$52="million"),((CG10*CG$51)/(CG$52)),"0")))))</f>
        <v>0.48080000000000001</v>
      </c>
      <c r="CH63" s="20">
        <f>IF(CH10=0,"0",IF(AND(Results!$E$5="Protein",$C$53&gt;0,OR(Results!$E$4="Tissue",Results!$E$4="Cells")),((CH10*CH$51)/(CH$53)),IF(AND(Results!$E$5="Weight",$C$52&gt;0, Results!$E$4="Tissue",OR($B$52="g",$B$52="mg")),((CH10*CH$51)/(CH$52)),IF(AND(Results!$E$5="Volume",$C$54&gt;0,Results!$E$4="Fluid"),((CH10*CH$51)/(CH$54)),IF(AND(Results!$E$4="Cells",Results!$E$5="Million",$B$52="million"),((CH10*CH$51)/(CH$52)),"0")))))</f>
        <v>0.67520000000000002</v>
      </c>
      <c r="CI63" s="20">
        <f>IF(CI10=0,"0",IF(AND(Results!$E$5="Protein",$C$53&gt;0,OR(Results!$E$4="Tissue",Results!$E$4="Cells")),((CI10*CI$51)/(CI$53)),IF(AND(Results!$E$5="Weight",$C$52&gt;0, Results!$E$4="Tissue",OR($B$52="g",$B$52="mg")),((CI10*CI$51)/(CI$52)),IF(AND(Results!$E$5="Volume",$C$54&gt;0,Results!$E$4="Fluid"),((CI10*CI$51)/(CI$54)),IF(AND(Results!$E$4="Cells",Results!$E$5="Million",$B$52="million"),((CI10*CI$51)/(CI$52)),"0")))))</f>
        <v>1.3046166666666668</v>
      </c>
      <c r="CJ63" s="20" t="str">
        <f>IF(CJ10=0,"0",IF(AND(Results!$E$5="Protein",$C$53&gt;0,OR(Results!$E$4="Tissue",Results!$E$4="Cells")),((CJ10*CJ$51)/(CJ$53)),IF(AND(Results!$E$5="Weight",$C$52&gt;0, Results!$E$4="Tissue",OR($B$52="g",$B$52="mg")),((CJ10*CJ$51)/(CJ$52)),IF(AND(Results!$E$5="Volume",$C$54&gt;0,Results!$E$4="Fluid"),((CJ10*CJ$51)/(CJ$54)),IF(AND(Results!$E$4="Cells",Results!$E$5="Million",$B$52="million"),((CJ10*CJ$51)/(CJ$52)),"0")))))</f>
        <v>0</v>
      </c>
      <c r="CK63" s="20">
        <f>IF(CK10=0,"0",IF(AND(Results!$E$5="Protein",$C$53&gt;0,OR(Results!$E$4="Tissue",Results!$E$4="Cells")),((CK10*CK$51)/(CK$53)),IF(AND(Results!$E$5="Weight",$C$52&gt;0, Results!$E$4="Tissue",OR($B$52="g",$B$52="mg")),((CK10*CK$51)/(CK$52)),IF(AND(Results!$E$5="Volume",$C$54&gt;0,Results!$E$4="Fluid"),((CK10*CK$51)/(CK$54)),IF(AND(Results!$E$4="Cells",Results!$E$5="Million",$B$52="million"),((CK10*CK$51)/(CK$52)),"0")))))</f>
        <v>0.33121666666666666</v>
      </c>
      <c r="CL63" s="20">
        <f>IF(CL10=0,"0",IF(AND(Results!$E$5="Protein",$C$53&gt;0,OR(Results!$E$4="Tissue",Results!$E$4="Cells")),((CL10*CL$51)/(CL$53)),IF(AND(Results!$E$5="Weight",$C$52&gt;0, Results!$E$4="Tissue",OR($B$52="g",$B$52="mg")),((CL10*CL$51)/(CL$52)),IF(AND(Results!$E$5="Volume",$C$54&gt;0,Results!$E$4="Fluid"),((CL10*CL$51)/(CL$54)),IF(AND(Results!$E$4="Cells",Results!$E$5="Million",$B$52="million"),((CL10*CL$51)/(CL$52)),"0")))))</f>
        <v>0.98088333333333333</v>
      </c>
      <c r="CM63" s="20">
        <f>IF(CM10=0,"0",IF(AND(Results!$E$5="Protein",$C$53&gt;0,OR(Results!$E$4="Tissue",Results!$E$4="Cells")),((CM10*CM$51)/(CM$53)),IF(AND(Results!$E$5="Weight",$C$52&gt;0, Results!$E$4="Tissue",OR($B$52="g",$B$52="mg")),((CM10*CM$51)/(CM$52)),IF(AND(Results!$E$5="Volume",$C$54&gt;0,Results!$E$4="Fluid"),((CM10*CM$51)/(CM$54)),IF(AND(Results!$E$4="Cells",Results!$E$5="Million",$B$52="million"),((CM10*CM$51)/(CM$52)),"0")))))</f>
        <v>0.79930000000000001</v>
      </c>
      <c r="CN63" s="20">
        <f>IF(CN10=0,"0",IF(AND(Results!$E$5="Protein",$C$53&gt;0,OR(Results!$E$4="Tissue",Results!$E$4="Cells")),((CN10*CN$51)/(CN$53)),IF(AND(Results!$E$5="Weight",$C$52&gt;0, Results!$E$4="Tissue",OR($B$52="g",$B$52="mg")),((CN10*CN$51)/(CN$52)),IF(AND(Results!$E$5="Volume",$C$54&gt;0,Results!$E$4="Fluid"),((CN10*CN$51)/(CN$54)),IF(AND(Results!$E$4="Cells",Results!$E$5="Million",$B$52="million"),((CN10*CN$51)/(CN$52)),"0")))))</f>
        <v>0.18515000000000001</v>
      </c>
      <c r="CO63" s="20">
        <f>IF(CO10=0,"0",IF(AND(Results!$E$5="Protein",$C$53&gt;0,OR(Results!$E$4="Tissue",Results!$E$4="Cells")),((CO10*CO$51)/(CO$53)),IF(AND(Results!$E$5="Weight",$C$52&gt;0, Results!$E$4="Tissue",OR($B$52="g",$B$52="mg")),((CO10*CO$51)/(CO$52)),IF(AND(Results!$E$5="Volume",$C$54&gt;0,Results!$E$4="Fluid"),((CO10*CO$51)/(CO$54)),IF(AND(Results!$E$4="Cells",Results!$E$5="Million",$B$52="million"),((CO10*CO$51)/(CO$52)),"0")))))</f>
        <v>0.15228333333333335</v>
      </c>
      <c r="CP63" s="20">
        <f>IF(CP10=0,"0",IF(AND(Results!$E$5="Protein",$C$53&gt;0,OR(Results!$E$4="Tissue",Results!$E$4="Cells")),((CP10*CP$51)/(CP$53)),IF(AND(Results!$E$5="Weight",$C$52&gt;0, Results!$E$4="Tissue",OR($B$52="g",$B$52="mg")),((CP10*CP$51)/(CP$52)),IF(AND(Results!$E$5="Volume",$C$54&gt;0,Results!$E$4="Fluid"),((CP10*CP$51)/(CP$54)),IF(AND(Results!$E$4="Cells",Results!$E$5="Million",$B$52="million"),((CP10*CP$51)/(CP$52)),"0")))))</f>
        <v>0.2291</v>
      </c>
      <c r="CQ63" s="20">
        <f>IF(CQ10=0,"0",IF(AND(Results!$E$5="Protein",$C$53&gt;0,OR(Results!$E$4="Tissue",Results!$E$4="Cells")),((CQ10*CQ$51)/(CQ$53)),IF(AND(Results!$E$5="Weight",$C$52&gt;0, Results!$E$4="Tissue",OR($B$52="g",$B$52="mg")),((CQ10*CQ$51)/(CQ$52)),IF(AND(Results!$E$5="Volume",$C$54&gt;0,Results!$E$4="Fluid"),((CQ10*CQ$51)/(CQ$54)),IF(AND(Results!$E$4="Cells",Results!$E$5="Million",$B$52="million"),((CQ10*CQ$51)/(CQ$52)),"0")))))</f>
        <v>0.53273333333333339</v>
      </c>
      <c r="CR63" s="20">
        <f>IF(CR10=0,"0",IF(AND(Results!$E$5="Protein",$C$53&gt;0,OR(Results!$E$4="Tissue",Results!$E$4="Cells")),((CR10*CR$51)/(CR$53)),IF(AND(Results!$E$5="Weight",$C$52&gt;0, Results!$E$4="Tissue",OR($B$52="g",$B$52="mg")),((CR10*CR$51)/(CR$52)),IF(AND(Results!$E$5="Volume",$C$54&gt;0,Results!$E$4="Fluid"),((CR10*CR$51)/(CR$54)),IF(AND(Results!$E$4="Cells",Results!$E$5="Million",$B$52="million"),((CR10*CR$51)/(CR$52)),"0")))))</f>
        <v>5.2944333333333331</v>
      </c>
      <c r="CS63" s="20">
        <f>IF(CS10=0,"0",IF(AND(Results!$E$5="Protein",$C$53&gt;0,OR(Results!$E$4="Tissue",Results!$E$4="Cells")),((CS10*CS$51)/(CS$53)),IF(AND(Results!$E$5="Weight",$C$52&gt;0, Results!$E$4="Tissue",OR($B$52="g",$B$52="mg")),((CS10*CS$51)/(CS$52)),IF(AND(Results!$E$5="Volume",$C$54&gt;0,Results!$E$4="Fluid"),((CS10*CS$51)/(CS$54)),IF(AND(Results!$E$4="Cells",Results!$E$5="Million",$B$52="million"),((CS10*CS$51)/(CS$52)),"0")))))</f>
        <v>0.2009</v>
      </c>
      <c r="CT63" s="20">
        <f>IF(CT10=0,"0",IF(AND(Results!$E$5="Protein",$C$53&gt;0,OR(Results!$E$4="Tissue",Results!$E$4="Cells")),((CT10*CT$51)/(CT$53)),IF(AND(Results!$E$5="Weight",$C$52&gt;0, Results!$E$4="Tissue",OR($B$52="g",$B$52="mg")),((CT10*CT$51)/(CT$52)),IF(AND(Results!$E$5="Volume",$C$54&gt;0,Results!$E$4="Fluid"),((CT10*CT$51)/(CT$54)),IF(AND(Results!$E$4="Cells",Results!$E$5="Million",$B$52="million"),((CT10*CT$51)/(CT$52)),"0")))))</f>
        <v>0.24480000000000002</v>
      </c>
      <c r="CU63" s="20">
        <f>IF(CU10=0,"0",IF(AND(Results!$E$5="Protein",$C$53&gt;0,OR(Results!$E$4="Tissue",Results!$E$4="Cells")),((CU10*CU$51)/(CU$53)),IF(AND(Results!$E$5="Weight",$C$52&gt;0, Results!$E$4="Tissue",OR($B$52="g",$B$52="mg")),((CU10*CU$51)/(CU$52)),IF(AND(Results!$E$5="Volume",$C$54&gt;0,Results!$E$4="Fluid"),((CU10*CU$51)/(CU$54)),IF(AND(Results!$E$4="Cells",Results!$E$5="Million",$B$52="million"),((CU10*CU$51)/(CU$52)),"0")))))</f>
        <v>0.33201666666666668</v>
      </c>
      <c r="CV63" s="20" t="str">
        <f>IF(CV10=0,"0",IF(AND(Results!$E$5="Protein",$C$53&gt;0,OR(Results!$E$4="Tissue",Results!$E$4="Cells")),((CV10*CV$51)/(CV$53)),IF(AND(Results!$E$5="Weight",$C$52&gt;0, Results!$E$4="Tissue",OR($B$52="g",$B$52="mg")),((CV10*CV$51)/(CV$52)),IF(AND(Results!$E$5="Volume",$C$54&gt;0,Results!$E$4="Fluid"),((CV10*CV$51)/(CV$54)),IF(AND(Results!$E$4="Cells",Results!$E$5="Million",$B$52="million"),((CV10*CV$51)/(CV$52)),"0")))))</f>
        <v>0</v>
      </c>
      <c r="CW63" s="20">
        <f>IF(CW10=0,"0",IF(AND(Results!$E$5="Protein",$C$53&gt;0,OR(Results!$E$4="Tissue",Results!$E$4="Cells")),((CW10*CW$51)/(CW$53)),IF(AND(Results!$E$5="Weight",$C$52&gt;0, Results!$E$4="Tissue",OR($B$52="g",$B$52="mg")),((CW10*CW$51)/(CW$52)),IF(AND(Results!$E$5="Volume",$C$54&gt;0,Results!$E$4="Fluid"),((CW10*CW$51)/(CW$54)),IF(AND(Results!$E$4="Cells",Results!$E$5="Million",$B$52="million"),((CW10*CW$51)/(CW$52)),"0")))))</f>
        <v>0.47240000000000004</v>
      </c>
      <c r="CX63" s="20">
        <f>IF(CX10=0,"0",IF(AND(Results!$E$5="Protein",$C$53&gt;0,OR(Results!$E$4="Tissue",Results!$E$4="Cells")),((CX10*CX$51)/(CX$53)),IF(AND(Results!$E$5="Weight",$C$52&gt;0, Results!$E$4="Tissue",OR($B$52="g",$B$52="mg")),((CX10*CX$51)/(CX$52)),IF(AND(Results!$E$5="Volume",$C$54&gt;0,Results!$E$4="Fluid"),((CX10*CX$51)/(CX$54)),IF(AND(Results!$E$4="Cells",Results!$E$5="Million",$B$52="million"),((CX10*CX$51)/(CX$52)),"0")))))</f>
        <v>0.32116666666666666</v>
      </c>
      <c r="CY63" s="20">
        <f>IF(CY10=0,"0",IF(AND(Results!$E$5="Protein",$C$53&gt;0,OR(Results!$E$4="Tissue",Results!$E$4="Cells")),((CY10*CY$51)/(CY$53)),IF(AND(Results!$E$5="Weight",$C$52&gt;0, Results!$E$4="Tissue",OR($B$52="g",$B$52="mg")),((CY10*CY$51)/(CY$52)),IF(AND(Results!$E$5="Volume",$C$54&gt;0,Results!$E$4="Fluid"),((CY10*CY$51)/(CY$54)),IF(AND(Results!$E$4="Cells",Results!$E$5="Million",$B$52="million"),((CY10*CY$51)/(CY$52)),"0")))))</f>
        <v>0.13978333333333334</v>
      </c>
      <c r="CZ63" s="20" t="str">
        <f>IF(CZ10=0,"0",IF(AND(Results!$E$5="Protein",$C$53&gt;0,OR(Results!$E$4="Tissue",Results!$E$4="Cells")),((CZ10*CZ$51)/(CZ$53)),IF(AND(Results!$E$5="Weight",$C$52&gt;0, Results!$E$4="Tissue",OR($B$52="g",$B$52="mg")),((CZ10*CZ$51)/(CZ$52)),IF(AND(Results!$E$5="Volume",$C$54&gt;0,Results!$E$4="Fluid"),((CZ10*CZ$51)/(CZ$54)),IF(AND(Results!$E$4="Cells",Results!$E$5="Million",$B$52="million"),((CZ10*CZ$51)/(CZ$52)),"0")))))</f>
        <v>0</v>
      </c>
      <c r="DA63" s="20" t="str">
        <f>IF(DA10=0,"0",IF(AND(Results!$E$5="Protein",$C$53&gt;0,OR(Results!$E$4="Tissue",Results!$E$4="Cells")),((DA10*DA$51)/(DA$53)),IF(AND(Results!$E$5="Weight",$C$52&gt;0, Results!$E$4="Tissue",OR($B$52="g",$B$52="mg")),((DA10*DA$51)/(DA$52)),IF(AND(Results!$E$5="Volume",$C$54&gt;0,Results!$E$4="Fluid"),((DA10*DA$51)/(DA$54)),IF(AND(Results!$E$4="Cells",Results!$E$5="Million",$B$52="million"),((DA10*DA$51)/(DA$52)),"0")))))</f>
        <v>0</v>
      </c>
      <c r="DB63" s="20">
        <f>IF(DB10=0,"0",IF(AND(Results!$E$5="Protein",$C$53&gt;0,OR(Results!$E$4="Tissue",Results!$E$4="Cells")),((DB10*DB$51)/(DB$53)),IF(AND(Results!$E$5="Weight",$C$52&gt;0, Results!$E$4="Tissue",OR($B$52="g",$B$52="mg")),((DB10*DB$51)/(DB$52)),IF(AND(Results!$E$5="Volume",$C$54&gt;0,Results!$E$4="Fluid"),((DB10*DB$51)/(DB$54)),IF(AND(Results!$E$4="Cells",Results!$E$5="Million",$B$52="million"),((DB10*DB$51)/(DB$52)),"0")))))</f>
        <v>0.16308333333333333</v>
      </c>
      <c r="DC63" s="20">
        <f>IF(DC10=0,"0",IF(AND(Results!$E$5="Protein",$C$53&gt;0,OR(Results!$E$4="Tissue",Results!$E$4="Cells")),((DC10*DC$51)/(DC$53)),IF(AND(Results!$E$5="Weight",$C$52&gt;0, Results!$E$4="Tissue",OR($B$52="g",$B$52="mg")),((DC10*DC$51)/(DC$52)),IF(AND(Results!$E$5="Volume",$C$54&gt;0,Results!$E$4="Fluid"),((DC10*DC$51)/(DC$54)),IF(AND(Results!$E$4="Cells",Results!$E$5="Million",$B$52="million"),((DC10*DC$51)/(DC$52)),"0")))))</f>
        <v>0.62563333333333326</v>
      </c>
      <c r="DD63" s="20" t="str">
        <f>IF(DD10=0,"0",IF(AND(Results!$E$5="Protein",$C$53&gt;0,OR(Results!$E$4="Tissue",Results!$E$4="Cells")),((DD10*DD$51)/(DD$53)),IF(AND(Results!$E$5="Weight",$C$52&gt;0, Results!$E$4="Tissue",OR($B$52="g",$B$52="mg")),((DD10*DD$51)/(DD$52)),IF(AND(Results!$E$5="Volume",$C$54&gt;0,Results!$E$4="Fluid"),((DD10*DD$51)/(DD$54)),IF(AND(Results!$E$4="Cells",Results!$E$5="Million",$B$52="million"),((DD10*DD$51)/(DD$52)),"0")))))</f>
        <v>0</v>
      </c>
      <c r="DE63" s="20">
        <f>IF(DE10=0,"0",IF(AND(Results!$E$5="Protein",$C$53&gt;0,OR(Results!$E$4="Tissue",Results!$E$4="Cells")),((DE10*DE$51)/(DE$53)),IF(AND(Results!$E$5="Weight",$C$52&gt;0, Results!$E$4="Tissue",OR($B$52="g",$B$52="mg")),((DE10*DE$51)/(DE$52)),IF(AND(Results!$E$5="Volume",$C$54&gt;0,Results!$E$4="Fluid"),((DE10*DE$51)/(DE$54)),IF(AND(Results!$E$4="Cells",Results!$E$5="Million",$B$52="million"),((DE10*DE$51)/(DE$52)),"0")))))</f>
        <v>0.82698333333333329</v>
      </c>
      <c r="DF63" s="20">
        <f>IF(DF10=0,"0",IF(AND(Results!$E$5="Protein",$C$53&gt;0,OR(Results!$E$4="Tissue",Results!$E$4="Cells")),((DF10*DF$51)/(DF$53)),IF(AND(Results!$E$5="Weight",$C$52&gt;0, Results!$E$4="Tissue",OR($B$52="g",$B$52="mg")),((DF10*DF$51)/(DF$52)),IF(AND(Results!$E$5="Volume",$C$54&gt;0,Results!$E$4="Fluid"),((DF10*DF$51)/(DF$54)),IF(AND(Results!$E$4="Cells",Results!$E$5="Million",$B$52="million"),((DF10*DF$51)/(DF$52)),"0")))))</f>
        <v>0.25198333333333334</v>
      </c>
      <c r="DG63" s="20">
        <f>IF(DG10=0,"0",IF(AND(Results!$E$5="Protein",$C$53&gt;0,OR(Results!$E$4="Tissue",Results!$E$4="Cells")),((DG10*DG$51)/(DG$53)),IF(AND(Results!$E$5="Weight",$C$52&gt;0, Results!$E$4="Tissue",OR($B$52="g",$B$52="mg")),((DG10*DG$51)/(DG$52)),IF(AND(Results!$E$5="Volume",$C$54&gt;0,Results!$E$4="Fluid"),((DG10*DG$51)/(DG$54)),IF(AND(Results!$E$4="Cells",Results!$E$5="Million",$B$52="million"),((DG10*DG$51)/(DG$52)),"0")))))</f>
        <v>0.75464999999999993</v>
      </c>
      <c r="DH63" s="20" t="str">
        <f>IF(DH10=0,"0",IF(AND(Results!$E$5="Protein",$C$53&gt;0,OR(Results!$E$4="Tissue",Results!$E$4="Cells")),((DH10*DH$51)/(DH$53)),IF(AND(Results!$E$5="Weight",$C$52&gt;0, Results!$E$4="Tissue",OR($B$52="g",$B$52="mg")),((DH10*DH$51)/(DH$52)),IF(AND(Results!$E$5="Volume",$C$54&gt;0,Results!$E$4="Fluid"),((DH10*DH$51)/(DH$54)),IF(AND(Results!$E$4="Cells",Results!$E$5="Million",$B$52="million"),((DH10*DH$51)/(DH$52)),"0")))))</f>
        <v>0</v>
      </c>
      <c r="DI63" s="20">
        <f>IF(DI10=0,"0",IF(AND(Results!$E$5="Protein",$C$53&gt;0,OR(Results!$E$4="Tissue",Results!$E$4="Cells")),((DI10*DI$51)/(DI$53)),IF(AND(Results!$E$5="Weight",$C$52&gt;0, Results!$E$4="Tissue",OR($B$52="g",$B$52="mg")),((DI10*DI$51)/(DI$52)),IF(AND(Results!$E$5="Volume",$C$54&gt;0,Results!$E$4="Fluid"),((DI10*DI$51)/(DI$54)),IF(AND(Results!$E$4="Cells",Results!$E$5="Million",$B$52="million"),((DI10*DI$51)/(DI$52)),"0")))))</f>
        <v>1.1591833333333335</v>
      </c>
      <c r="DJ63" s="20">
        <f>IF(DJ10=0,"0",IF(AND(Results!$E$5="Protein",$C$53&gt;0,OR(Results!$E$4="Tissue",Results!$E$4="Cells")),((DJ10*DJ$51)/(DJ$53)),IF(AND(Results!$E$5="Weight",$C$52&gt;0, Results!$E$4="Tissue",OR($B$52="g",$B$52="mg")),((DJ10*DJ$51)/(DJ$52)),IF(AND(Results!$E$5="Volume",$C$54&gt;0,Results!$E$4="Fluid"),((DJ10*DJ$51)/(DJ$54)),IF(AND(Results!$E$4="Cells",Results!$E$5="Million",$B$52="million"),((DJ10*DJ$51)/(DJ$52)),"0")))))</f>
        <v>0.68116666666666659</v>
      </c>
      <c r="DK63" s="20">
        <f>IF(DK10=0,"0",IF(AND(Results!$E$5="Protein",$C$53&gt;0,OR(Results!$E$4="Tissue",Results!$E$4="Cells")),((DK10*DK$51)/(DK$53)),IF(AND(Results!$E$5="Weight",$C$52&gt;0, Results!$E$4="Tissue",OR($B$52="g",$B$52="mg")),((DK10*DK$51)/(DK$52)),IF(AND(Results!$E$5="Volume",$C$54&gt;0,Results!$E$4="Fluid"),((DK10*DK$51)/(DK$54)),IF(AND(Results!$E$4="Cells",Results!$E$5="Million",$B$52="million"),((DK10*DK$51)/(DK$52)),"0")))))</f>
        <v>1.0739166666666666</v>
      </c>
      <c r="DL63" s="20" t="str">
        <f>IF(DL10=0,"0",IF(AND(Results!$E$5="Protein",$C$53&gt;0,OR(Results!$E$4="Tissue",Results!$E$4="Cells")),((DL10*DL$51)/(DL$53)),IF(AND(Results!$E$5="Weight",$C$52&gt;0, Results!$E$4="Tissue",OR($B$52="g",$B$52="mg")),((DL10*DL$51)/(DL$52)),IF(AND(Results!$E$5="Volume",$C$54&gt;0,Results!$E$4="Fluid"),((DL10*DL$51)/(DL$54)),IF(AND(Results!$E$4="Cells",Results!$E$5="Million",$B$52="million"),((DL10*DL$51)/(DL$52)),"0")))))</f>
        <v>0</v>
      </c>
      <c r="DM63" s="20">
        <f>IF(DM10=0,"0",IF(AND(Results!$E$5="Protein",$C$53&gt;0,OR(Results!$E$4="Tissue",Results!$E$4="Cells")),((DM10*DM$51)/(DM$53)),IF(AND(Results!$E$5="Weight",$C$52&gt;0, Results!$E$4="Tissue",OR($B$52="g",$B$52="mg")),((DM10*DM$51)/(DM$52)),IF(AND(Results!$E$5="Volume",$C$54&gt;0,Results!$E$4="Fluid"),((DM10*DM$51)/(DM$54)),IF(AND(Results!$E$4="Cells",Results!$E$5="Million",$B$52="million"),((DM10*DM$51)/(DM$52)),"0")))))</f>
        <v>0.1704</v>
      </c>
      <c r="DN63" s="20">
        <f>IF(DN10=0,"0",IF(AND(Results!$E$5="Protein",$C$53&gt;0,OR(Results!$E$4="Tissue",Results!$E$4="Cells")),((DN10*DN$51)/(DN$53)),IF(AND(Results!$E$5="Weight",$C$52&gt;0, Results!$E$4="Tissue",OR($B$52="g",$B$52="mg")),((DN10*DN$51)/(DN$52)),IF(AND(Results!$E$5="Volume",$C$54&gt;0,Results!$E$4="Fluid"),((DN10*DN$51)/(DN$54)),IF(AND(Results!$E$4="Cells",Results!$E$5="Million",$B$52="million"),((DN10*DN$51)/(DN$52)),"0")))))</f>
        <v>0.24998333333333334</v>
      </c>
      <c r="DO63" s="20">
        <f>IF(DO10=0,"0",IF(AND(Results!$E$5="Protein",$C$53&gt;0,OR(Results!$E$4="Tissue",Results!$E$4="Cells")),((DO10*DO$51)/(DO$53)),IF(AND(Results!$E$5="Weight",$C$52&gt;0, Results!$E$4="Tissue",OR($B$52="g",$B$52="mg")),((DO10*DO$51)/(DO$52)),IF(AND(Results!$E$5="Volume",$C$54&gt;0,Results!$E$4="Fluid"),((DO10*DO$51)/(DO$54)),IF(AND(Results!$E$4="Cells",Results!$E$5="Million",$B$52="million"),((DO10*DO$51)/(DO$52)),"0")))))</f>
        <v>0.14573333333333333</v>
      </c>
      <c r="DP63" s="20">
        <f>IF(DP10=0,"0",IF(AND(Results!$E$5="Protein",$C$53&gt;0,OR(Results!$E$4="Tissue",Results!$E$4="Cells")),((DP10*DP$51)/(DP$53)),IF(AND(Results!$E$5="Weight",$C$52&gt;0, Results!$E$4="Tissue",OR($B$52="g",$B$52="mg")),((DP10*DP$51)/(DP$52)),IF(AND(Results!$E$5="Volume",$C$54&gt;0,Results!$E$4="Fluid"),((DP10*DP$51)/(DP$54)),IF(AND(Results!$E$4="Cells",Results!$E$5="Million",$B$52="million"),((DP10*DP$51)/(DP$52)),"0")))))</f>
        <v>0.40278333333333338</v>
      </c>
      <c r="DQ63" s="20">
        <f>IF(DQ10=0,"0",IF(AND(Results!$E$5="Protein",$C$53&gt;0,OR(Results!$E$4="Tissue",Results!$E$4="Cells")),((DQ10*DQ$51)/(DQ$53)),IF(AND(Results!$E$5="Weight",$C$52&gt;0, Results!$E$4="Tissue",OR($B$52="g",$B$52="mg")),((DQ10*DQ$51)/(DQ$52)),IF(AND(Results!$E$5="Volume",$C$54&gt;0,Results!$E$4="Fluid"),((DQ10*DQ$51)/(DQ$54)),IF(AND(Results!$E$4="Cells",Results!$E$5="Million",$B$52="million"),((DQ10*DQ$51)/(DQ$52)),"0")))))</f>
        <v>0.34013333333333334</v>
      </c>
      <c r="DR63" s="20">
        <f>IF(DR10=0,"0",IF(AND(Results!$E$5="Protein",$C$53&gt;0,OR(Results!$E$4="Tissue",Results!$E$4="Cells")),((DR10*DR$51)/(DR$53)),IF(AND(Results!$E$5="Weight",$C$52&gt;0, Results!$E$4="Tissue",OR($B$52="g",$B$52="mg")),((DR10*DR$51)/(DR$52)),IF(AND(Results!$E$5="Volume",$C$54&gt;0,Results!$E$4="Fluid"),((DR10*DR$51)/(DR$54)),IF(AND(Results!$E$4="Cells",Results!$E$5="Million",$B$52="million"),((DR10*DR$51)/(DR$52)),"0")))))</f>
        <v>0.12915000000000001</v>
      </c>
      <c r="DS63" s="20" t="str">
        <f>IF(DS10=0,"0",IF(AND(Results!$E$5="Protein",$C$53&gt;0,OR(Results!$E$4="Tissue",Results!$E$4="Cells")),((DS10*DS$51)/(DS$53)),IF(AND(Results!$E$5="Weight",$C$52&gt;0, Results!$E$4="Tissue",OR($B$52="g",$B$52="mg")),((DS10*DS$51)/(DS$52)),IF(AND(Results!$E$5="Volume",$C$54&gt;0,Results!$E$4="Fluid"),((DS10*DS$51)/(DS$54)),IF(AND(Results!$E$4="Cells",Results!$E$5="Million",$B$52="million"),((DS10*DS$51)/(DS$52)),"0")))))</f>
        <v>0</v>
      </c>
      <c r="DT63" s="20">
        <f>IF(DT10=0,"0",IF(AND(Results!$E$5="Protein",$C$53&gt;0,OR(Results!$E$4="Tissue",Results!$E$4="Cells")),((DT10*DT$51)/(DT$53)),IF(AND(Results!$E$5="Weight",$C$52&gt;0, Results!$E$4="Tissue",OR($B$52="g",$B$52="mg")),((DT10*DT$51)/(DT$52)),IF(AND(Results!$E$5="Volume",$C$54&gt;0,Results!$E$4="Fluid"),((DT10*DT$51)/(DT$54)),IF(AND(Results!$E$4="Cells",Results!$E$5="Million",$B$52="million"),((DT10*DT$51)/(DT$52)),"0")))))</f>
        <v>0.25818333333333332</v>
      </c>
      <c r="DU63" s="20">
        <f>IF(DU10=0,"0",IF(AND(Results!$E$5="Protein",$C$53&gt;0,OR(Results!$E$4="Tissue",Results!$E$4="Cells")),((DU10*DU$51)/(DU$53)),IF(AND(Results!$E$5="Weight",$C$52&gt;0, Results!$E$4="Tissue",OR($B$52="g",$B$52="mg")),((DU10*DU$51)/(DU$52)),IF(AND(Results!$E$5="Volume",$C$54&gt;0,Results!$E$4="Fluid"),((DU10*DU$51)/(DU$54)),IF(AND(Results!$E$4="Cells",Results!$E$5="Million",$B$52="million"),((DU10*DU$51)/(DU$52)),"0")))))</f>
        <v>0.65203333333333335</v>
      </c>
      <c r="DV63" s="20">
        <f>IF(DV10=0,"0",IF(AND(Results!$E$5="Protein",$C$53&gt;0,OR(Results!$E$4="Tissue",Results!$E$4="Cells")),((DV10*DV$51)/(DV$53)),IF(AND(Results!$E$5="Weight",$C$52&gt;0, Results!$E$4="Tissue",OR($B$52="g",$B$52="mg")),((DV10*DV$51)/(DV$52)),IF(AND(Results!$E$5="Volume",$C$54&gt;0,Results!$E$4="Fluid"),((DV10*DV$51)/(DV$54)),IF(AND(Results!$E$4="Cells",Results!$E$5="Million",$B$52="million"),((DV10*DV$51)/(DV$52)),"0")))))</f>
        <v>0.26579999999999998</v>
      </c>
      <c r="DW63" s="20" t="str">
        <f>IF(DW10=0,"0",IF(AND(Results!$E$5="Protein",$C$53&gt;0,OR(Results!$E$4="Tissue",Results!$E$4="Cells")),((DW10*DW$51)/(DW$53)),IF(AND(Results!$E$5="Weight",$C$52&gt;0, Results!$E$4="Tissue",OR($B$52="g",$B$52="mg")),((DW10*DW$51)/(DW$52)),IF(AND(Results!$E$5="Volume",$C$54&gt;0,Results!$E$4="Fluid"),((DW10*DW$51)/(DW$54)),IF(AND(Results!$E$4="Cells",Results!$E$5="Million",$B$52="million"),((DW10*DW$51)/(DW$52)),"0")))))</f>
        <v>0</v>
      </c>
      <c r="DX63" s="20">
        <f>IF(DX10=0,"0",IF(AND(Results!$E$5="Protein",$C$53&gt;0,OR(Results!$E$4="Tissue",Results!$E$4="Cells")),((DX10*DX$51)/(DX$53)),IF(AND(Results!$E$5="Weight",$C$52&gt;0, Results!$E$4="Tissue",OR($B$52="g",$B$52="mg")),((DX10*DX$51)/(DX$52)),IF(AND(Results!$E$5="Volume",$C$54&gt;0,Results!$E$4="Fluid"),((DX10*DX$51)/(DX$54)),IF(AND(Results!$E$4="Cells",Results!$E$5="Million",$B$52="million"),((DX10*DX$51)/(DX$52)),"0")))))</f>
        <v>0.37830000000000003</v>
      </c>
      <c r="DY63" s="20">
        <f>IF(DY10=0,"0",IF(AND(Results!$E$5="Protein",$C$53&gt;0,OR(Results!$E$4="Tissue",Results!$E$4="Cells")),((DY10*DY$51)/(DY$53)),IF(AND(Results!$E$5="Weight",$C$52&gt;0, Results!$E$4="Tissue",OR($B$52="g",$B$52="mg")),((DY10*DY$51)/(DY$52)),IF(AND(Results!$E$5="Volume",$C$54&gt;0,Results!$E$4="Fluid"),((DY10*DY$51)/(DY$54)),IF(AND(Results!$E$4="Cells",Results!$E$5="Million",$B$52="million"),((DY10*DY$51)/(DY$52)),"0")))))</f>
        <v>0.46928333333333333</v>
      </c>
      <c r="DZ63" s="20" t="str">
        <f>IF(DZ10=0,"0",IF(AND(Results!$E$5="Protein",$C$53&gt;0,OR(Results!$E$4="Tissue",Results!$E$4="Cells")),((DZ10*DZ$51)/(DZ$53)),IF(AND(Results!$E$5="Weight",$C$52&gt;0, Results!$E$4="Tissue",OR($B$52="g",$B$52="mg")),((DZ10*DZ$51)/(DZ$52)),IF(AND(Results!$E$5="Volume",$C$54&gt;0,Results!$E$4="Fluid"),((DZ10*DZ$51)/(DZ$54)),IF(AND(Results!$E$4="Cells",Results!$E$5="Million",$B$52="million"),((DZ10*DZ$51)/(DZ$52)),"0")))))</f>
        <v>0</v>
      </c>
      <c r="EA63" s="20">
        <f>IF(EA10=0,"0",IF(AND(Results!$E$5="Protein",$C$53&gt;0,OR(Results!$E$4="Tissue",Results!$E$4="Cells")),((EA10*EA$51)/(EA$53)),IF(AND(Results!$E$5="Weight",$C$52&gt;0, Results!$E$4="Tissue",OR($B$52="g",$B$52="mg")),((EA10*EA$51)/(EA$52)),IF(AND(Results!$E$5="Volume",$C$54&gt;0,Results!$E$4="Fluid"),((EA10*EA$51)/(EA$54)),IF(AND(Results!$E$4="Cells",Results!$E$5="Million",$B$52="million"),((EA10*EA$51)/(EA$52)),"0")))))</f>
        <v>0.22305000000000003</v>
      </c>
      <c r="EB63" s="20">
        <f>IF(EB10=0,"0",IF(AND(Results!$E$5="Protein",$C$53&gt;0,OR(Results!$E$4="Tissue",Results!$E$4="Cells")),((EB10*EB$51)/(EB$53)),IF(AND(Results!$E$5="Weight",$C$52&gt;0, Results!$E$4="Tissue",OR($B$52="g",$B$52="mg")),((EB10*EB$51)/(EB$52)),IF(AND(Results!$E$5="Volume",$C$54&gt;0,Results!$E$4="Fluid"),((EB10*EB$51)/(EB$54)),IF(AND(Results!$E$4="Cells",Results!$E$5="Million",$B$52="million"),((EB10*EB$51)/(EB$52)),"0")))))</f>
        <v>0.29106666666666664</v>
      </c>
      <c r="EC63" s="20">
        <f>IF(EC10=0,"0",IF(AND(Results!$E$5="Protein",$C$53&gt;0,OR(Results!$E$4="Tissue",Results!$E$4="Cells")),((EC10*EC$51)/(EC$53)),IF(AND(Results!$E$5="Weight",$C$52&gt;0, Results!$E$4="Tissue",OR($B$52="g",$B$52="mg")),((EC10*EC$51)/(EC$52)),IF(AND(Results!$E$5="Volume",$C$54&gt;0,Results!$E$4="Fluid"),((EC10*EC$51)/(EC$54)),IF(AND(Results!$E$4="Cells",Results!$E$5="Million",$B$52="million"),((EC10*EC$51)/(EC$52)),"0")))))</f>
        <v>0.36621666666666663</v>
      </c>
      <c r="ED63" s="20">
        <f>IF(ED10=0,"0",IF(AND(Results!$E$5="Protein",$C$53&gt;0,OR(Results!$E$4="Tissue",Results!$E$4="Cells")),((ED10*ED$51)/(ED$53)),IF(AND(Results!$E$5="Weight",$C$52&gt;0, Results!$E$4="Tissue",OR($B$52="g",$B$52="mg")),((ED10*ED$51)/(ED$52)),IF(AND(Results!$E$5="Volume",$C$54&gt;0,Results!$E$4="Fluid"),((ED10*ED$51)/(ED$54)),IF(AND(Results!$E$4="Cells",Results!$E$5="Million",$B$52="million"),((ED10*ED$51)/(ED$52)),"0")))))</f>
        <v>0.22798333333333332</v>
      </c>
      <c r="EE63" s="20" t="str">
        <f>IF(EE10=0,"0",IF(AND(Results!$E$5="Protein",$C$53&gt;0,OR(Results!$E$4="Tissue",Results!$E$4="Cells")),((EE10*EE$51)/(EE$53)),IF(AND(Results!$E$5="Weight",$C$52&gt;0, Results!$E$4="Tissue",OR($B$52="g",$B$52="mg")),((EE10*EE$51)/(EE$52)),IF(AND(Results!$E$5="Volume",$C$54&gt;0,Results!$E$4="Fluid"),((EE10*EE$51)/(EE$54)),IF(AND(Results!$E$4="Cells",Results!$E$5="Million",$B$52="million"),((EE10*EE$51)/(EE$52)),"0")))))</f>
        <v>0</v>
      </c>
      <c r="EF63" s="20">
        <f>IF(EF10=0,"0",IF(AND(Results!$E$5="Protein",$C$53&gt;0,OR(Results!$E$4="Tissue",Results!$E$4="Cells")),((EF10*EF$51)/(EF$53)),IF(AND(Results!$E$5="Weight",$C$52&gt;0, Results!$E$4="Tissue",OR($B$52="g",$B$52="mg")),((EF10*EF$51)/(EF$52)),IF(AND(Results!$E$5="Volume",$C$54&gt;0,Results!$E$4="Fluid"),((EF10*EF$51)/(EF$54)),IF(AND(Results!$E$4="Cells",Results!$E$5="Million",$B$52="million"),((EF10*EF$51)/(EF$52)),"0")))))</f>
        <v>0.46651666666666664</v>
      </c>
      <c r="EG63" s="20">
        <f>IF(EG10=0,"0",IF(AND(Results!$E$5="Protein",$C$53&gt;0,OR(Results!$E$4="Tissue",Results!$E$4="Cells")),((EG10*EG$51)/(EG$53)),IF(AND(Results!$E$5="Weight",$C$52&gt;0, Results!$E$4="Tissue",OR($B$52="g",$B$52="mg")),((EG10*EG$51)/(EG$52)),IF(AND(Results!$E$5="Volume",$C$54&gt;0,Results!$E$4="Fluid"),((EG10*EG$51)/(EG$54)),IF(AND(Results!$E$4="Cells",Results!$E$5="Million",$B$52="million"),((EG10*EG$51)/(EG$52)),"0")))))</f>
        <v>0.47764999999999996</v>
      </c>
      <c r="EH63" s="20" t="str">
        <f>IF(EH10=0,"0",IF(AND(Results!$E$5="Protein",$C$53&gt;0,OR(Results!$E$4="Tissue",Results!$E$4="Cells")),((EH10*EH$51)/(EH$53)),IF(AND(Results!$E$5="Weight",$C$52&gt;0, Results!$E$4="Tissue",OR($B$52="g",$B$52="mg")),((EH10*EH$51)/(EH$52)),IF(AND(Results!$E$5="Volume",$C$54&gt;0,Results!$E$4="Fluid"),((EH10*EH$51)/(EH$54)),IF(AND(Results!$E$4="Cells",Results!$E$5="Million",$B$52="million"),((EH10*EH$51)/(EH$52)),"0")))))</f>
        <v>0</v>
      </c>
      <c r="EI63" s="20" t="str">
        <f>IF(EI10=0,"0",IF(AND(Results!$E$5="Protein",$C$53&gt;0,OR(Results!$E$4="Tissue",Results!$E$4="Cells")),((EI10*EI$51)/(EI$53)),IF(AND(Results!$E$5="Weight",$C$52&gt;0, Results!$E$4="Tissue",OR($B$52="g",$B$52="mg")),((EI10*EI$51)/(EI$52)),IF(AND(Results!$E$5="Volume",$C$54&gt;0,Results!$E$4="Fluid"),((EI10*EI$51)/(EI$54)),IF(AND(Results!$E$4="Cells",Results!$E$5="Million",$B$52="million"),((EI10*EI$51)/(EI$52)),"0")))))</f>
        <v>0</v>
      </c>
      <c r="EJ63" s="20" t="str">
        <f>IF(EJ10=0,"0",IF(AND(Results!$E$5="Protein",$C$53&gt;0,OR(Results!$E$4="Tissue",Results!$E$4="Cells")),((EJ10*EJ$51)/(EJ$53)),IF(AND(Results!$E$5="Weight",$C$52&gt;0, Results!$E$4="Tissue",OR($B$52="g",$B$52="mg")),((EJ10*EJ$51)/(EJ$52)),IF(AND(Results!$E$5="Volume",$C$54&gt;0,Results!$E$4="Fluid"),((EJ10*EJ$51)/(EJ$54)),IF(AND(Results!$E$4="Cells",Results!$E$5="Million",$B$52="million"),((EJ10*EJ$51)/(EJ$52)),"0")))))</f>
        <v>0</v>
      </c>
      <c r="EK63" s="20">
        <f>IF(EK10=0,"0",IF(AND(Results!$E$5="Protein",$C$53&gt;0,OR(Results!$E$4="Tissue",Results!$E$4="Cells")),((EK10*EK$51)/(EK$53)),IF(AND(Results!$E$5="Weight",$C$52&gt;0, Results!$E$4="Tissue",OR($B$52="g",$B$52="mg")),((EK10*EK$51)/(EK$52)),IF(AND(Results!$E$5="Volume",$C$54&gt;0,Results!$E$4="Fluid"),((EK10*EK$51)/(EK$54)),IF(AND(Results!$E$4="Cells",Results!$E$5="Million",$B$52="million"),((EK10*EK$51)/(EK$52)),"0")))))</f>
        <v>0.3723833333333334</v>
      </c>
      <c r="EL63" s="20">
        <f>IF(EL10=0,"0",IF(AND(Results!$E$5="Protein",$C$53&gt;0,OR(Results!$E$4="Tissue",Results!$E$4="Cells")),((EL10*EL$51)/(EL$53)),IF(AND(Results!$E$5="Weight",$C$52&gt;0, Results!$E$4="Tissue",OR($B$52="g",$B$52="mg")),((EL10*EL$51)/(EL$52)),IF(AND(Results!$E$5="Volume",$C$54&gt;0,Results!$E$4="Fluid"),((EL10*EL$51)/(EL$54)),IF(AND(Results!$E$4="Cells",Results!$E$5="Million",$B$52="million"),((EL10*EL$51)/(EL$52)),"0")))))</f>
        <v>0.23565</v>
      </c>
      <c r="EM63" s="20">
        <f>IF(EM10=0,"0",IF(AND(Results!$E$5="Protein",$C$53&gt;0,OR(Results!$E$4="Tissue",Results!$E$4="Cells")),((EM10*EM$51)/(EM$53)),IF(AND(Results!$E$5="Weight",$C$52&gt;0, Results!$E$4="Tissue",OR($B$52="g",$B$52="mg")),((EM10*EM$51)/(EM$52)),IF(AND(Results!$E$5="Volume",$C$54&gt;0,Results!$E$4="Fluid"),((EM10*EM$51)/(EM$54)),IF(AND(Results!$E$4="Cells",Results!$E$5="Million",$B$52="million"),((EM10*EM$51)/(EM$52)),"0")))))</f>
        <v>0.29203333333333331</v>
      </c>
      <c r="EN63" s="20">
        <f>IF(EN10=0,"0",IF(AND(Results!$E$5="Protein",$C$53&gt;0,OR(Results!$E$4="Tissue",Results!$E$4="Cells")),((EN10*EN$51)/(EN$53)),IF(AND(Results!$E$5="Weight",$C$52&gt;0, Results!$E$4="Tissue",OR($B$52="g",$B$52="mg")),((EN10*EN$51)/(EN$52)),IF(AND(Results!$E$5="Volume",$C$54&gt;0,Results!$E$4="Fluid"),((EN10*EN$51)/(EN$54)),IF(AND(Results!$E$4="Cells",Results!$E$5="Million",$B$52="million"),((EN10*EN$51)/(EN$52)),"0")))))</f>
        <v>0.61630000000000007</v>
      </c>
      <c r="EO63" s="20" t="str">
        <f>IF(EO10=0,"0",IF(AND(Results!$E$5="Protein",$C$53&gt;0,OR(Results!$E$4="Tissue",Results!$E$4="Cells")),((EO10*EO$51)/(EO$53)),IF(AND(Results!$E$5="Weight",$C$52&gt;0, Results!$E$4="Tissue",OR($B$52="g",$B$52="mg")),((EO10*EO$51)/(EO$52)),IF(AND(Results!$E$5="Volume",$C$54&gt;0,Results!$E$4="Fluid"),((EO10*EO$51)/(EO$54)),IF(AND(Results!$E$4="Cells",Results!$E$5="Million",$B$52="million"),((EO10*EO$51)/(EO$52)),"0")))))</f>
        <v>0</v>
      </c>
      <c r="EP63" s="20">
        <f>IF(EP10=0,"0",IF(AND(Results!$E$5="Protein",$C$53&gt;0,OR(Results!$E$4="Tissue",Results!$E$4="Cells")),((EP10*EP$51)/(EP$53)),IF(AND(Results!$E$5="Weight",$C$52&gt;0, Results!$E$4="Tissue",OR($B$52="g",$B$52="mg")),((EP10*EP$51)/(EP$52)),IF(AND(Results!$E$5="Volume",$C$54&gt;0,Results!$E$4="Fluid"),((EP10*EP$51)/(EP$54)),IF(AND(Results!$E$4="Cells",Results!$E$5="Million",$B$52="million"),((EP10*EP$51)/(EP$52)),"0")))))</f>
        <v>1.0968333333333333</v>
      </c>
      <c r="EQ63" s="20" t="str">
        <f>IF(EQ10=0,"0",IF(AND(Results!$E$5="Protein",$C$53&gt;0,OR(Results!$E$4="Tissue",Results!$E$4="Cells")),((EQ10*EQ$51)/(EQ$53)),IF(AND(Results!$E$5="Weight",$C$52&gt;0, Results!$E$4="Tissue",OR($B$52="g",$B$52="mg")),((EQ10*EQ$51)/(EQ$52)),IF(AND(Results!$E$5="Volume",$C$54&gt;0,Results!$E$4="Fluid"),((EQ10*EQ$51)/(EQ$54)),IF(AND(Results!$E$4="Cells",Results!$E$5="Million",$B$52="million"),((EQ10*EQ$51)/(EQ$52)),"0")))))</f>
        <v>0</v>
      </c>
      <c r="ER63" s="20">
        <f>IF(ER10=0,"0",IF(AND(Results!$E$5="Protein",$C$53&gt;0,OR(Results!$E$4="Tissue",Results!$E$4="Cells")),((ER10*ER$51)/(ER$53)),IF(AND(Results!$E$5="Weight",$C$52&gt;0, Results!$E$4="Tissue",OR($B$52="g",$B$52="mg")),((ER10*ER$51)/(ER$52)),IF(AND(Results!$E$5="Volume",$C$54&gt;0,Results!$E$4="Fluid"),((ER10*ER$51)/(ER$54)),IF(AND(Results!$E$4="Cells",Results!$E$5="Million",$B$52="million"),((ER10*ER$51)/(ER$52)),"0")))))</f>
        <v>0.62785000000000002</v>
      </c>
      <c r="ES63" s="20" t="str">
        <f>IF(ES10=0,"0",IF(AND(Results!$E$5="Protein",$C$53&gt;0,OR(Results!$E$4="Tissue",Results!$E$4="Cells")),((ES10*ES$51)/(ES$53)),IF(AND(Results!$E$5="Weight",$C$52&gt;0, Results!$E$4="Tissue",OR($B$52="g",$B$52="mg")),((ES10*ES$51)/(ES$52)),IF(AND(Results!$E$5="Volume",$C$54&gt;0,Results!$E$4="Fluid"),((ES10*ES$51)/(ES$54)),IF(AND(Results!$E$4="Cells",Results!$E$5="Million",$B$52="million"),((ES10*ES$51)/(ES$52)),"0")))))</f>
        <v>0</v>
      </c>
      <c r="ET63" s="20" t="str">
        <f>IF(ET10=0,"0",IF(AND(Results!$E$5="Protein",$C$53&gt;0,OR(Results!$E$4="Tissue",Results!$E$4="Cells")),((ET10*ET$51)/(ET$53)),IF(AND(Results!$E$5="Weight",$C$52&gt;0, Results!$E$4="Tissue",OR($B$52="g",$B$52="mg")),((ET10*ET$51)/(ET$52)),IF(AND(Results!$E$5="Volume",$C$54&gt;0,Results!$E$4="Fluid"),((ET10*ET$51)/(ET$54)),IF(AND(Results!$E$4="Cells",Results!$E$5="Million",$B$52="million"),((ET10*ET$51)/(ET$52)),"0")))))</f>
        <v>0</v>
      </c>
      <c r="EU63" s="20">
        <f>IF(EU10=0,"0",IF(AND(Results!$E$5="Protein",$C$53&gt;0,OR(Results!$E$4="Tissue",Results!$E$4="Cells")),((EU10*EU$51)/(EU$53)),IF(AND(Results!$E$5="Weight",$C$52&gt;0, Results!$E$4="Tissue",OR($B$52="g",$B$52="mg")),((EU10*EU$51)/(EU$52)),IF(AND(Results!$E$5="Volume",$C$54&gt;0,Results!$E$4="Fluid"),((EU10*EU$51)/(EU$54)),IF(AND(Results!$E$4="Cells",Results!$E$5="Million",$B$52="million"),((EU10*EU$51)/(EU$52)),"0")))))</f>
        <v>0.14793333333333333</v>
      </c>
      <c r="EV63" s="20">
        <f>IF(EV10=0,"0",IF(AND(Results!$E$5="Protein",$C$53&gt;0,OR(Results!$E$4="Tissue",Results!$E$4="Cells")),((EV10*EV$51)/(EV$53)),IF(AND(Results!$E$5="Weight",$C$52&gt;0, Results!$E$4="Tissue",OR($B$52="g",$B$52="mg")),((EV10*EV$51)/(EV$52)),IF(AND(Results!$E$5="Volume",$C$54&gt;0,Results!$E$4="Fluid"),((EV10*EV$51)/(EV$54)),IF(AND(Results!$E$4="Cells",Results!$E$5="Million",$B$52="million"),((EV10*EV$51)/(EV$52)),"0")))))</f>
        <v>0.18006666666666668</v>
      </c>
      <c r="EW63" s="20">
        <f>IF(EW10=0,"0",IF(AND(Results!$E$5="Protein",$C$53&gt;0,OR(Results!$E$4="Tissue",Results!$E$4="Cells")),((EW10*EW$51)/(EW$53)),IF(AND(Results!$E$5="Weight",$C$52&gt;0, Results!$E$4="Tissue",OR($B$52="g",$B$52="mg")),((EW10*EW$51)/(EW$52)),IF(AND(Results!$E$5="Volume",$C$54&gt;0,Results!$E$4="Fluid"),((EW10*EW$51)/(EW$54)),IF(AND(Results!$E$4="Cells",Results!$E$5="Million",$B$52="million"),((EW10*EW$51)/(EW$52)),"0")))))</f>
        <v>0.29006666666666664</v>
      </c>
      <c r="EX63" s="20">
        <f>IF(EX10=0,"0",IF(AND(Results!$E$5="Protein",$C$53&gt;0,OR(Results!$E$4="Tissue",Results!$E$4="Cells")),((EX10*EX$51)/(EX$53)),IF(AND(Results!$E$5="Weight",$C$52&gt;0, Results!$E$4="Tissue",OR($B$52="g",$B$52="mg")),((EX10*EX$51)/(EX$52)),IF(AND(Results!$E$5="Volume",$C$54&gt;0,Results!$E$4="Fluid"),((EX10*EX$51)/(EX$54)),IF(AND(Results!$E$4="Cells",Results!$E$5="Million",$B$52="million"),((EX10*EX$51)/(EX$52)),"0")))))</f>
        <v>0.23531666666666667</v>
      </c>
      <c r="EY63" s="20">
        <f>IF(EY10=0,"0",IF(AND(Results!$E$5="Protein",$C$53&gt;0,OR(Results!$E$4="Tissue",Results!$E$4="Cells")),((EY10*EY$51)/(EY$53)),IF(AND(Results!$E$5="Weight",$C$52&gt;0, Results!$E$4="Tissue",OR($B$52="g",$B$52="mg")),((EY10*EY$51)/(EY$52)),IF(AND(Results!$E$5="Volume",$C$54&gt;0,Results!$E$4="Fluid"),((EY10*EY$51)/(EY$54)),IF(AND(Results!$E$4="Cells",Results!$E$5="Million",$B$52="million"),((EY10*EY$51)/(EY$52)),"0")))))</f>
        <v>0.60035000000000005</v>
      </c>
      <c r="EZ63" s="20">
        <f>IF(EZ10=0,"0",IF(AND(Results!$E$5="Protein",$C$53&gt;0,OR(Results!$E$4="Tissue",Results!$E$4="Cells")),((EZ10*EZ$51)/(EZ$53)),IF(AND(Results!$E$5="Weight",$C$52&gt;0, Results!$E$4="Tissue",OR($B$52="g",$B$52="mg")),((EZ10*EZ$51)/(EZ$52)),IF(AND(Results!$E$5="Volume",$C$54&gt;0,Results!$E$4="Fluid"),((EZ10*EZ$51)/(EZ$54)),IF(AND(Results!$E$4="Cells",Results!$E$5="Million",$B$52="million"),((EZ10*EZ$51)/(EZ$52)),"0")))))</f>
        <v>0.71546666666666658</v>
      </c>
      <c r="FA63" s="20" t="str">
        <f>IF(FA10=0,"0",IF(AND(Results!$E$5="Protein",$C$53&gt;0,OR(Results!$E$4="Tissue",Results!$E$4="Cells")),((FA10*FA$51)/(FA$53)),IF(AND(Results!$E$5="Weight",$C$52&gt;0, Results!$E$4="Tissue",OR($B$52="g",$B$52="mg")),((FA10*FA$51)/(FA$52)),IF(AND(Results!$E$5="Volume",$C$54&gt;0,Results!$E$4="Fluid"),((FA10*FA$51)/(FA$54)),IF(AND(Results!$E$4="Cells",Results!$E$5="Million",$B$52="million"),((FA10*FA$51)/(FA$52)),"0")))))</f>
        <v>0</v>
      </c>
      <c r="FB63" s="20" t="str">
        <f>IF(FB10=0,"0",IF(AND(Results!$E$5="Protein",$C$53&gt;0,OR(Results!$E$4="Tissue",Results!$E$4="Cells")),((FB10*FB$51)/(FB$53)),IF(AND(Results!$E$5="Weight",$C$52&gt;0, Results!$E$4="Tissue",OR($B$52="g",$B$52="mg")),((FB10*FB$51)/(FB$52)),IF(AND(Results!$E$5="Volume",$C$54&gt;0,Results!$E$4="Fluid"),((FB10*FB$51)/(FB$54)),IF(AND(Results!$E$4="Cells",Results!$E$5="Million",$B$52="million"),((FB10*FB$51)/(FB$52)),"0")))))</f>
        <v>0</v>
      </c>
      <c r="FC63" s="20" t="str">
        <f>IF(FC10=0,"0",IF(AND(Results!$E$5="Protein",$C$53&gt;0,OR(Results!$E$4="Tissue",Results!$E$4="Cells")),((FC10*FC$51)/(FC$53)),IF(AND(Results!$E$5="Weight",$C$52&gt;0, Results!$E$4="Tissue",OR($B$52="g",$B$52="mg")),((FC10*FC$51)/(FC$52)),IF(AND(Results!$E$5="Volume",$C$54&gt;0,Results!$E$4="Fluid"),((FC10*FC$51)/(FC$54)),IF(AND(Results!$E$4="Cells",Results!$E$5="Million",$B$52="million"),((FC10*FC$51)/(FC$52)),"0")))))</f>
        <v>0</v>
      </c>
      <c r="FD63" s="20">
        <f>IF(FD10=0,"0",IF(AND(Results!$E$5="Protein",$C$53&gt;0,OR(Results!$E$4="Tissue",Results!$E$4="Cells")),((FD10*FD$51)/(FD$53)),IF(AND(Results!$E$5="Weight",$C$52&gt;0, Results!$E$4="Tissue",OR($B$52="g",$B$52="mg")),((FD10*FD$51)/(FD$52)),IF(AND(Results!$E$5="Volume",$C$54&gt;0,Results!$E$4="Fluid"),((FD10*FD$51)/(FD$54)),IF(AND(Results!$E$4="Cells",Results!$E$5="Million",$B$52="million"),((FD10*FD$51)/(FD$52)),"0")))))</f>
        <v>0.38874999999999998</v>
      </c>
      <c r="FE63" s="20">
        <f>IF(FE10=0,"0",IF(AND(Results!$E$5="Protein",$C$53&gt;0,OR(Results!$E$4="Tissue",Results!$E$4="Cells")),((FE10*FE$51)/(FE$53)),IF(AND(Results!$E$5="Weight",$C$52&gt;0, Results!$E$4="Tissue",OR($B$52="g",$B$52="mg")),((FE10*FE$51)/(FE$52)),IF(AND(Results!$E$5="Volume",$C$54&gt;0,Results!$E$4="Fluid"),((FE10*FE$51)/(FE$54)),IF(AND(Results!$E$4="Cells",Results!$E$5="Million",$B$52="million"),((FE10*FE$51)/(FE$52)),"0")))))</f>
        <v>0.95374999999999999</v>
      </c>
      <c r="FF63" s="20">
        <f>IF(FF10=0,"0",IF(AND(Results!$E$5="Protein",$C$53&gt;0,OR(Results!$E$4="Tissue",Results!$E$4="Cells")),((FF10*FF$51)/(FF$53)),IF(AND(Results!$E$5="Weight",$C$52&gt;0, Results!$E$4="Tissue",OR($B$52="g",$B$52="mg")),((FF10*FF$51)/(FF$52)),IF(AND(Results!$E$5="Volume",$C$54&gt;0,Results!$E$4="Fluid"),((FF10*FF$51)/(FF$54)),IF(AND(Results!$E$4="Cells",Results!$E$5="Million",$B$52="million"),((FF10*FF$51)/(FF$52)),"0")))))</f>
        <v>1.6238000000000001</v>
      </c>
      <c r="FG63" s="20">
        <f>IF(FG10=0,"0",IF(AND(Results!$E$5="Protein",$C$53&gt;0,OR(Results!$E$4="Tissue",Results!$E$4="Cells")),((FG10*FG$51)/(FG$53)),IF(AND(Results!$E$5="Weight",$C$52&gt;0, Results!$E$4="Tissue",OR($B$52="g",$B$52="mg")),((FG10*FG$51)/(FG$52)),IF(AND(Results!$E$5="Volume",$C$54&gt;0,Results!$E$4="Fluid"),((FG10*FG$51)/(FG$54)),IF(AND(Results!$E$4="Cells",Results!$E$5="Million",$B$52="million"),((FG10*FG$51)/(FG$52)),"0")))))</f>
        <v>0.6535333333333333</v>
      </c>
      <c r="FH63" s="20">
        <f>IF(FH10=0,"0",IF(AND(Results!$E$5="Protein",$C$53&gt;0,OR(Results!$E$4="Tissue",Results!$E$4="Cells")),((FH10*FH$51)/(FH$53)),IF(AND(Results!$E$5="Weight",$C$52&gt;0, Results!$E$4="Tissue",OR($B$52="g",$B$52="mg")),((FH10*FH$51)/(FH$52)),IF(AND(Results!$E$5="Volume",$C$54&gt;0,Results!$E$4="Fluid"),((FH10*FH$51)/(FH$54)),IF(AND(Results!$E$4="Cells",Results!$E$5="Million",$B$52="million"),((FH10*FH$51)/(FH$52)),"0")))))</f>
        <v>0.44548333333333334</v>
      </c>
      <c r="FI63" s="20" t="str">
        <f>IF(FI10=0,"0",IF(AND(Results!$E$5="Protein",$C$53&gt;0,OR(Results!$E$4="Tissue",Results!$E$4="Cells")),((FI10*FI$51)/(FI$53)),IF(AND(Results!$E$5="Weight",$C$52&gt;0, Results!$E$4="Tissue",OR($B$52="g",$B$52="mg")),((FI10*FI$51)/(FI$52)),IF(AND(Results!$E$5="Volume",$C$54&gt;0,Results!$E$4="Fluid"),((FI10*FI$51)/(FI$54)),IF(AND(Results!$E$4="Cells",Results!$E$5="Million",$B$52="million"),((FI10*FI$51)/(FI$52)),"0")))))</f>
        <v>0</v>
      </c>
      <c r="FJ63" s="20">
        <f>IF(FJ10=0,"0",IF(AND(Results!$E$5="Protein",$C$53&gt;0,OR(Results!$E$4="Tissue",Results!$E$4="Cells")),((FJ10*FJ$51)/(FJ$53)),IF(AND(Results!$E$5="Weight",$C$52&gt;0, Results!$E$4="Tissue",OR($B$52="g",$B$52="mg")),((FJ10*FJ$51)/(FJ$52)),IF(AND(Results!$E$5="Volume",$C$54&gt;0,Results!$E$4="Fluid"),((FJ10*FJ$51)/(FJ$54)),IF(AND(Results!$E$4="Cells",Results!$E$5="Million",$B$52="million"),((FJ10*FJ$51)/(FJ$52)),"0")))))</f>
        <v>0.85655000000000003</v>
      </c>
      <c r="FK63" s="20">
        <f>IF(FK10=0,"0",IF(AND(Results!$E$5="Protein",$C$53&gt;0,OR(Results!$E$4="Tissue",Results!$E$4="Cells")),((FK10*FK$51)/(FK$53)),IF(AND(Results!$E$5="Weight",$C$52&gt;0, Results!$E$4="Tissue",OR($B$52="g",$B$52="mg")),((FK10*FK$51)/(FK$52)),IF(AND(Results!$E$5="Volume",$C$54&gt;0,Results!$E$4="Fluid"),((FK10*FK$51)/(FK$54)),IF(AND(Results!$E$4="Cells",Results!$E$5="Million",$B$52="million"),((FK10*FK$51)/(FK$52)),"0")))))</f>
        <v>2.2131333333333334</v>
      </c>
      <c r="FL63" s="20">
        <f>IF(FL10=0,"0",IF(AND(Results!$E$5="Protein",$C$53&gt;0,OR(Results!$E$4="Tissue",Results!$E$4="Cells")),((FL10*FL$51)/(FL$53)),IF(AND(Results!$E$5="Weight",$C$52&gt;0, Results!$E$4="Tissue",OR($B$52="g",$B$52="mg")),((FL10*FL$51)/(FL$52)),IF(AND(Results!$E$5="Volume",$C$54&gt;0,Results!$E$4="Fluid"),((FL10*FL$51)/(FL$54)),IF(AND(Results!$E$4="Cells",Results!$E$5="Million",$B$52="million"),((FL10*FL$51)/(FL$52)),"0")))))</f>
        <v>0.25240000000000001</v>
      </c>
      <c r="FM63" s="20">
        <f>IF(FM10=0,"0",IF(AND(Results!$E$5="Protein",$C$53&gt;0,OR(Results!$E$4="Tissue",Results!$E$4="Cells")),((FM10*FM$51)/(FM$53)),IF(AND(Results!$E$5="Weight",$C$52&gt;0, Results!$E$4="Tissue",OR($B$52="g",$B$52="mg")),((FM10*FM$51)/(FM$52)),IF(AND(Results!$E$5="Volume",$C$54&gt;0,Results!$E$4="Fluid"),((FM10*FM$51)/(FM$54)),IF(AND(Results!$E$4="Cells",Results!$E$5="Million",$B$52="million"),((FM10*FM$51)/(FM$52)),"0")))))</f>
        <v>0.22411666666666666</v>
      </c>
      <c r="FN63" s="20">
        <f>IF(FN10=0,"0",IF(AND(Results!$E$5="Protein",$C$53&gt;0,OR(Results!$E$4="Tissue",Results!$E$4="Cells")),((FN10*FN$51)/(FN$53)),IF(AND(Results!$E$5="Weight",$C$52&gt;0, Results!$E$4="Tissue",OR($B$52="g",$B$52="mg")),((FN10*FN$51)/(FN$52)),IF(AND(Results!$E$5="Volume",$C$54&gt;0,Results!$E$4="Fluid"),((FN10*FN$51)/(FN$54)),IF(AND(Results!$E$4="Cells",Results!$E$5="Million",$B$52="million"),((FN10*FN$51)/(FN$52)),"0")))))</f>
        <v>0.35540000000000005</v>
      </c>
      <c r="FO63" s="20" t="str">
        <f>IF(FO10=0,"0",IF(AND(Results!$E$5="Protein",$C$53&gt;0,OR(Results!$E$4="Tissue",Results!$E$4="Cells")),((FO10*FO$51)/(FO$53)),IF(AND(Results!$E$5="Weight",$C$52&gt;0, Results!$E$4="Tissue",OR($B$52="g",$B$52="mg")),((FO10*FO$51)/(FO$52)),IF(AND(Results!$E$5="Volume",$C$54&gt;0,Results!$E$4="Fluid"),((FO10*FO$51)/(FO$54)),IF(AND(Results!$E$4="Cells",Results!$E$5="Million",$B$52="million"),((FO10*FO$51)/(FO$52)),"0")))))</f>
        <v>0</v>
      </c>
    </row>
    <row r="64" spans="1:171" x14ac:dyDescent="0.2">
      <c r="A64" s="120" t="str">
        <f t="shared" si="0"/>
        <v>9,12,13-TriHOME</v>
      </c>
      <c r="B64" s="121"/>
      <c r="C64" s="20">
        <f>IF(C11=0,"0",IF(AND(Results!$E$5="Protein",$C$53&gt;0,OR(Results!$E$4="Tissue",Results!$E$4="Cells")),((C11*C$51)/(C$53)),IF(AND(Results!$E$5="Weight",$C$52&gt;0, Results!$E$4="Tissue",OR($B$52="g",$B$52="mg")),((C11*C$51)/(C$52)),IF(AND(Results!$E$5="Volume",$C$54&gt;0,Results!$E$4="Fluid"),((C11*C$51)/(C$54)),IF(AND(Results!$E$4="Cells",Results!$E$5="Million",$B$52="million"),((C11*C$51)/(C$52)),"0")))))</f>
        <v>1.4444166666666665</v>
      </c>
      <c r="D64" s="20">
        <f>IF(D11=0,"0",IF(AND(Results!$E$5="Protein",$C$53&gt;0,OR(Results!$E$4="Tissue",Results!$E$4="Cells")),((D11*D$51)/(D$53)),IF(AND(Results!$E$5="Weight",$C$52&gt;0, Results!$E$4="Tissue",OR($B$52="g",$B$52="mg")),((D11*D$51)/(D$52)),IF(AND(Results!$E$5="Volume",$C$54&gt;0,Results!$E$4="Fluid"),((D11*D$51)/(D$54)),IF(AND(Results!$E$4="Cells",Results!$E$5="Million",$B$52="million"),((D11*D$51)/(D$52)),"0")))))</f>
        <v>1.2342666666666666</v>
      </c>
      <c r="E64" s="20">
        <f>IF(E11=0,"0",IF(AND(Results!$E$5="Protein",$C$53&gt;0,OR(Results!$E$4="Tissue",Results!$E$4="Cells")),((E11*E$51)/(E$53)),IF(AND(Results!$E$5="Weight",$C$52&gt;0, Results!$E$4="Tissue",OR($B$52="g",$B$52="mg")),((E11*E$51)/(E$52)),IF(AND(Results!$E$5="Volume",$C$54&gt;0,Results!$E$4="Fluid"),((E11*E$51)/(E$54)),IF(AND(Results!$E$4="Cells",Results!$E$5="Million",$B$52="million"),((E11*E$51)/(E$52)),"0")))))</f>
        <v>2.72865</v>
      </c>
      <c r="F64" s="20">
        <f>IF(F11=0,"0",IF(AND(Results!$E$5="Protein",$C$53&gt;0,OR(Results!$E$4="Tissue",Results!$E$4="Cells")),((F11*F$51)/(F$53)),IF(AND(Results!$E$5="Weight",$C$52&gt;0, Results!$E$4="Tissue",OR($B$52="g",$B$52="mg")),((F11*F$51)/(F$52)),IF(AND(Results!$E$5="Volume",$C$54&gt;0,Results!$E$4="Fluid"),((F11*F$51)/(F$54)),IF(AND(Results!$E$4="Cells",Results!$E$5="Million",$B$52="million"),((F11*F$51)/(F$52)),"0")))))</f>
        <v>15.297733333333333</v>
      </c>
      <c r="G64" s="20">
        <f>IF(G11=0,"0",IF(AND(Results!$E$5="Protein",$C$53&gt;0,OR(Results!$E$4="Tissue",Results!$E$4="Cells")),((G11*G$51)/(G$53)),IF(AND(Results!$E$5="Weight",$C$52&gt;0, Results!$E$4="Tissue",OR($B$52="g",$B$52="mg")),((G11*G$51)/(G$52)),IF(AND(Results!$E$5="Volume",$C$54&gt;0,Results!$E$4="Fluid"),((G11*G$51)/(G$54)),IF(AND(Results!$E$4="Cells",Results!$E$5="Million",$B$52="million"),((G11*G$51)/(G$52)),"0")))))</f>
        <v>0.48801666666666671</v>
      </c>
      <c r="H64" s="20">
        <f>IF(H11=0,"0",IF(AND(Results!$E$5="Protein",$C$53&gt;0,OR(Results!$E$4="Tissue",Results!$E$4="Cells")),((H11*H$51)/(H$53)),IF(AND(Results!$E$5="Weight",$C$52&gt;0, Results!$E$4="Tissue",OR($B$52="g",$B$52="mg")),((H11*H$51)/(H$52)),IF(AND(Results!$E$5="Volume",$C$54&gt;0,Results!$E$4="Fluid"),((H11*H$51)/(H$54)),IF(AND(Results!$E$4="Cells",Results!$E$5="Million",$B$52="million"),((H11*H$51)/(H$52)),"0")))))</f>
        <v>0.92513333333333325</v>
      </c>
      <c r="I64" s="20">
        <f>IF(I11=0,"0",IF(AND(Results!$E$5="Protein",$C$53&gt;0,OR(Results!$E$4="Tissue",Results!$E$4="Cells")),((I11*I$51)/(I$53)),IF(AND(Results!$E$5="Weight",$C$52&gt;0, Results!$E$4="Tissue",OR($B$52="g",$B$52="mg")),((I11*I$51)/(I$52)),IF(AND(Results!$E$5="Volume",$C$54&gt;0,Results!$E$4="Fluid"),((I11*I$51)/(I$54)),IF(AND(Results!$E$4="Cells",Results!$E$5="Million",$B$52="million"),((I11*I$51)/(I$52)),"0")))))</f>
        <v>1.8946833333333333</v>
      </c>
      <c r="J64" s="20">
        <f>IF(J11=0,"0",IF(AND(Results!$E$5="Protein",$C$53&gt;0,OR(Results!$E$4="Tissue",Results!$E$4="Cells")),((J11*J$51)/(J$53)),IF(AND(Results!$E$5="Weight",$C$52&gt;0, Results!$E$4="Tissue",OR($B$52="g",$B$52="mg")),((J11*J$51)/(J$52)),IF(AND(Results!$E$5="Volume",$C$54&gt;0,Results!$E$4="Fluid"),((J11*J$51)/(J$54)),IF(AND(Results!$E$4="Cells",Results!$E$5="Million",$B$52="million"),((J11*J$51)/(J$52)),"0")))))</f>
        <v>1.0618833333333333</v>
      </c>
      <c r="K64" s="20">
        <f>IF(K11=0,"0",IF(AND(Results!$E$5="Protein",$C$53&gt;0,OR(Results!$E$4="Tissue",Results!$E$4="Cells")),((K11*K$51)/(K$53)),IF(AND(Results!$E$5="Weight",$C$52&gt;0, Results!$E$4="Tissue",OR($B$52="g",$B$52="mg")),((K11*K$51)/(K$52)),IF(AND(Results!$E$5="Volume",$C$54&gt;0,Results!$E$4="Fluid"),((K11*K$51)/(K$54)),IF(AND(Results!$E$4="Cells",Results!$E$5="Million",$B$52="million"),((K11*K$51)/(K$52)),"0")))))</f>
        <v>2.8262666666666667</v>
      </c>
      <c r="L64" s="20">
        <f>IF(L11=0,"0",IF(AND(Results!$E$5="Protein",$C$53&gt;0,OR(Results!$E$4="Tissue",Results!$E$4="Cells")),((L11*L$51)/(L$53)),IF(AND(Results!$E$5="Weight",$C$52&gt;0, Results!$E$4="Tissue",OR($B$52="g",$B$52="mg")),((L11*L$51)/(L$52)),IF(AND(Results!$E$5="Volume",$C$54&gt;0,Results!$E$4="Fluid"),((L11*L$51)/(L$54)),IF(AND(Results!$E$4="Cells",Results!$E$5="Million",$B$52="million"),((L11*L$51)/(L$52)),"0")))))</f>
        <v>5.3909666666666665</v>
      </c>
      <c r="M64" s="20">
        <f>IF(M11=0,"0",IF(AND(Results!$E$5="Protein",$C$53&gt;0,OR(Results!$E$4="Tissue",Results!$E$4="Cells")),((M11*M$51)/(M$53)),IF(AND(Results!$E$5="Weight",$C$52&gt;0, Results!$E$4="Tissue",OR($B$52="g",$B$52="mg")),((M11*M$51)/(M$52)),IF(AND(Results!$E$5="Volume",$C$54&gt;0,Results!$E$4="Fluid"),((M11*M$51)/(M$54)),IF(AND(Results!$E$4="Cells",Results!$E$5="Million",$B$52="million"),((M11*M$51)/(M$52)),"0")))))</f>
        <v>0.82373333333333332</v>
      </c>
      <c r="N64" s="20">
        <f>IF(N11=0,"0",IF(AND(Results!$E$5="Protein",$C$53&gt;0,OR(Results!$E$4="Tissue",Results!$E$4="Cells")),((N11*N$51)/(N$53)),IF(AND(Results!$E$5="Weight",$C$52&gt;0, Results!$E$4="Tissue",OR($B$52="g",$B$52="mg")),((N11*N$51)/(N$52)),IF(AND(Results!$E$5="Volume",$C$54&gt;0,Results!$E$4="Fluid"),((N11*N$51)/(N$54)),IF(AND(Results!$E$4="Cells",Results!$E$5="Million",$B$52="million"),((N11*N$51)/(N$52)),"0")))))</f>
        <v>0.74958333333333327</v>
      </c>
      <c r="O64" s="20">
        <f>IF(O11=0,"0",IF(AND(Results!$E$5="Protein",$C$53&gt;0,OR(Results!$E$4="Tissue",Results!$E$4="Cells")),((O11*O$51)/(O$53)),IF(AND(Results!$E$5="Weight",$C$52&gt;0, Results!$E$4="Tissue",OR($B$52="g",$B$52="mg")),((O11*O$51)/(O$52)),IF(AND(Results!$E$5="Volume",$C$54&gt;0,Results!$E$4="Fluid"),((O11*O$51)/(O$54)),IF(AND(Results!$E$4="Cells",Results!$E$5="Million",$B$52="million"),((O11*O$51)/(O$52)),"0")))))</f>
        <v>1.2711666666666666</v>
      </c>
      <c r="P64" s="20">
        <f>IF(P11=0,"0",IF(AND(Results!$E$5="Protein",$C$53&gt;0,OR(Results!$E$4="Tissue",Results!$E$4="Cells")),((P11*P$51)/(P$53)),IF(AND(Results!$E$5="Weight",$C$52&gt;0, Results!$E$4="Tissue",OR($B$52="g",$B$52="mg")),((P11*P$51)/(P$52)),IF(AND(Results!$E$5="Volume",$C$54&gt;0,Results!$E$4="Fluid"),((P11*P$51)/(P$54)),IF(AND(Results!$E$4="Cells",Results!$E$5="Million",$B$52="million"),((P11*P$51)/(P$52)),"0")))))</f>
        <v>3.0774499999999998</v>
      </c>
      <c r="Q64" s="20">
        <f>IF(Q11=0,"0",IF(AND(Results!$E$5="Protein",$C$53&gt;0,OR(Results!$E$4="Tissue",Results!$E$4="Cells")),((Q11*Q$51)/(Q$53)),IF(AND(Results!$E$5="Weight",$C$52&gt;0, Results!$E$4="Tissue",OR($B$52="g",$B$52="mg")),((Q11*Q$51)/(Q$52)),IF(AND(Results!$E$5="Volume",$C$54&gt;0,Results!$E$4="Fluid"),((Q11*Q$51)/(Q$54)),IF(AND(Results!$E$4="Cells",Results!$E$5="Million",$B$52="million"),((Q11*Q$51)/(Q$52)),"0")))))</f>
        <v>5.4749166666666671</v>
      </c>
      <c r="R64" s="20">
        <f>IF(R11=0,"0",IF(AND(Results!$E$5="Protein",$C$53&gt;0,OR(Results!$E$4="Tissue",Results!$E$4="Cells")),((R11*R$51)/(R$53)),IF(AND(Results!$E$5="Weight",$C$52&gt;0, Results!$E$4="Tissue",OR($B$52="g",$B$52="mg")),((R11*R$51)/(R$52)),IF(AND(Results!$E$5="Volume",$C$54&gt;0,Results!$E$4="Fluid"),((R11*R$51)/(R$54)),IF(AND(Results!$E$4="Cells",Results!$E$5="Million",$B$52="million"),((R11*R$51)/(R$52)),"0")))))</f>
        <v>82.39276666666666</v>
      </c>
      <c r="S64" s="20">
        <f>IF(S11=0,"0",IF(AND(Results!$E$5="Protein",$C$53&gt;0,OR(Results!$E$4="Tissue",Results!$E$4="Cells")),((S11*S$51)/(S$53)),IF(AND(Results!$E$5="Weight",$C$52&gt;0, Results!$E$4="Tissue",OR($B$52="g",$B$52="mg")),((S11*S$51)/(S$52)),IF(AND(Results!$E$5="Volume",$C$54&gt;0,Results!$E$4="Fluid"),((S11*S$51)/(S$54)),IF(AND(Results!$E$4="Cells",Results!$E$5="Million",$B$52="million"),((S11*S$51)/(S$52)),"0")))))</f>
        <v>1.79525</v>
      </c>
      <c r="T64" s="20">
        <f>IF(T11=0,"0",IF(AND(Results!$E$5="Protein",$C$53&gt;0,OR(Results!$E$4="Tissue",Results!$E$4="Cells")),((T11*T$51)/(T$53)),IF(AND(Results!$E$5="Weight",$C$52&gt;0, Results!$E$4="Tissue",OR($B$52="g",$B$52="mg")),((T11*T$51)/(T$52)),IF(AND(Results!$E$5="Volume",$C$54&gt;0,Results!$E$4="Fluid"),((T11*T$51)/(T$54)),IF(AND(Results!$E$4="Cells",Results!$E$5="Million",$B$52="million"),((T11*T$51)/(T$52)),"0")))))</f>
        <v>0.82126666666666659</v>
      </c>
      <c r="U64" s="20">
        <f>IF(U11=0,"0",IF(AND(Results!$E$5="Protein",$C$53&gt;0,OR(Results!$E$4="Tissue",Results!$E$4="Cells")),((U11*U$51)/(U$53)),IF(AND(Results!$E$5="Weight",$C$52&gt;0, Results!$E$4="Tissue",OR($B$52="g",$B$52="mg")),((U11*U$51)/(U$52)),IF(AND(Results!$E$5="Volume",$C$54&gt;0,Results!$E$4="Fluid"),((U11*U$51)/(U$54)),IF(AND(Results!$E$4="Cells",Results!$E$5="Million",$B$52="million"),((U11*U$51)/(U$52)),"0")))))</f>
        <v>2.8563833333333335</v>
      </c>
      <c r="V64" s="20">
        <f>IF(V11=0,"0",IF(AND(Results!$E$5="Protein",$C$53&gt;0,OR(Results!$E$4="Tissue",Results!$E$4="Cells")),((V11*V$51)/(V$53)),IF(AND(Results!$E$5="Weight",$C$52&gt;0, Results!$E$4="Tissue",OR($B$52="g",$B$52="mg")),((V11*V$51)/(V$52)),IF(AND(Results!$E$5="Volume",$C$54&gt;0,Results!$E$4="Fluid"),((V11*V$51)/(V$54)),IF(AND(Results!$E$4="Cells",Results!$E$5="Million",$B$52="million"),((V11*V$51)/(V$52)),"0")))))</f>
        <v>1.3015000000000001</v>
      </c>
      <c r="W64" s="20">
        <f>IF(W11=0,"0",IF(AND(Results!$E$5="Protein",$C$53&gt;0,OR(Results!$E$4="Tissue",Results!$E$4="Cells")),((W11*W$51)/(W$53)),IF(AND(Results!$E$5="Weight",$C$52&gt;0, Results!$E$4="Tissue",OR($B$52="g",$B$52="mg")),((W11*W$51)/(W$52)),IF(AND(Results!$E$5="Volume",$C$54&gt;0,Results!$E$4="Fluid"),((W11*W$51)/(W$54)),IF(AND(Results!$E$4="Cells",Results!$E$5="Million",$B$52="million"),((W11*W$51)/(W$52)),"0")))))</f>
        <v>2.5952285714285712</v>
      </c>
      <c r="X64" s="20">
        <f>IF(X11=0,"0",IF(AND(Results!$E$5="Protein",$C$53&gt;0,OR(Results!$E$4="Tissue",Results!$E$4="Cells")),((X11*X$51)/(X$53)),IF(AND(Results!$E$5="Weight",$C$52&gt;0, Results!$E$4="Tissue",OR($B$52="g",$B$52="mg")),((X11*X$51)/(X$52)),IF(AND(Results!$E$5="Volume",$C$54&gt;0,Results!$E$4="Fluid"),((X11*X$51)/(X$54)),IF(AND(Results!$E$4="Cells",Results!$E$5="Million",$B$52="million"),((X11*X$51)/(X$52)),"0")))))</f>
        <v>5.1390799999999999</v>
      </c>
      <c r="Y64" s="20">
        <f>IF(Y11=0,"0",IF(AND(Results!$E$5="Protein",$C$53&gt;0,OR(Results!$E$4="Tissue",Results!$E$4="Cells")),((Y11*Y$51)/(Y$53)),IF(AND(Results!$E$5="Weight",$C$52&gt;0, Results!$E$4="Tissue",OR($B$52="g",$B$52="mg")),((Y11*Y$51)/(Y$52)),IF(AND(Results!$E$5="Volume",$C$54&gt;0,Results!$E$4="Fluid"),((Y11*Y$51)/(Y$54)),IF(AND(Results!$E$4="Cells",Results!$E$5="Million",$B$52="million"),((Y11*Y$51)/(Y$52)),"0")))))</f>
        <v>2.9107500000000002</v>
      </c>
      <c r="Z64" s="20">
        <f>IF(Z11=0,"0",IF(AND(Results!$E$5="Protein",$C$53&gt;0,OR(Results!$E$4="Tissue",Results!$E$4="Cells")),((Z11*Z$51)/(Z$53)),IF(AND(Results!$E$5="Weight",$C$52&gt;0, Results!$E$4="Tissue",OR($B$52="g",$B$52="mg")),((Z11*Z$51)/(Z$52)),IF(AND(Results!$E$5="Volume",$C$54&gt;0,Results!$E$4="Fluid"),((Z11*Z$51)/(Z$54)),IF(AND(Results!$E$4="Cells",Results!$E$5="Million",$B$52="million"),((Z11*Z$51)/(Z$52)),"0")))))</f>
        <v>1.6434799999999998</v>
      </c>
      <c r="AA64" s="20">
        <f>IF(AA11=0,"0",IF(AND(Results!$E$5="Protein",$C$53&gt;0,OR(Results!$E$4="Tissue",Results!$E$4="Cells")),((AA11*AA$51)/(AA$53)),IF(AND(Results!$E$5="Weight",$C$52&gt;0, Results!$E$4="Tissue",OR($B$52="g",$B$52="mg")),((AA11*AA$51)/(AA$52)),IF(AND(Results!$E$5="Volume",$C$54&gt;0,Results!$E$4="Fluid"),((AA11*AA$51)/(AA$54)),IF(AND(Results!$E$4="Cells",Results!$E$5="Million",$B$52="million"),((AA11*AA$51)/(AA$52)),"0")))))</f>
        <v>1.0036666666666667</v>
      </c>
      <c r="AB64" s="20">
        <f>IF(AB11=0,"0",IF(AND(Results!$E$5="Protein",$C$53&gt;0,OR(Results!$E$4="Tissue",Results!$E$4="Cells")),((AB11*AB$51)/(AB$53)),IF(AND(Results!$E$5="Weight",$C$52&gt;0, Results!$E$4="Tissue",OR($B$52="g",$B$52="mg")),((AB11*AB$51)/(AB$52)),IF(AND(Results!$E$5="Volume",$C$54&gt;0,Results!$E$4="Fluid"),((AB11*AB$51)/(AB$54)),IF(AND(Results!$E$4="Cells",Results!$E$5="Million",$B$52="million"),((AB11*AB$51)/(AB$52)),"0")))))</f>
        <v>2.3084000000000002</v>
      </c>
      <c r="AC64" s="20">
        <f>IF(AC11=0,"0",IF(AND(Results!$E$5="Protein",$C$53&gt;0,OR(Results!$E$4="Tissue",Results!$E$4="Cells")),((AC11*AC$51)/(AC$53)),IF(AND(Results!$E$5="Weight",$C$52&gt;0, Results!$E$4="Tissue",OR($B$52="g",$B$52="mg")),((AC11*AC$51)/(AC$52)),IF(AND(Results!$E$5="Volume",$C$54&gt;0,Results!$E$4="Fluid"),((AC11*AC$51)/(AC$54)),IF(AND(Results!$E$4="Cells",Results!$E$5="Million",$B$52="million"),((AC11*AC$51)/(AC$52)),"0")))))</f>
        <v>2.7577333333333334</v>
      </c>
      <c r="AD64" s="20">
        <f>IF(AD11=0,"0",IF(AND(Results!$E$5="Protein",$C$53&gt;0,OR(Results!$E$4="Tissue",Results!$E$4="Cells")),((AD11*AD$51)/(AD$53)),IF(AND(Results!$E$5="Weight",$C$52&gt;0, Results!$E$4="Tissue",OR($B$52="g",$B$52="mg")),((AD11*AD$51)/(AD$52)),IF(AND(Results!$E$5="Volume",$C$54&gt;0,Results!$E$4="Fluid"),((AD11*AD$51)/(AD$54)),IF(AND(Results!$E$4="Cells",Results!$E$5="Million",$B$52="million"),((AD11*AD$51)/(AD$52)),"0")))))</f>
        <v>1.8834500000000001</v>
      </c>
      <c r="AE64" s="20">
        <f>IF(AE11=0,"0",IF(AND(Results!$E$5="Protein",$C$53&gt;0,OR(Results!$E$4="Tissue",Results!$E$4="Cells")),((AE11*AE$51)/(AE$53)),IF(AND(Results!$E$5="Weight",$C$52&gt;0, Results!$E$4="Tissue",OR($B$52="g",$B$52="mg")),((AE11*AE$51)/(AE$52)),IF(AND(Results!$E$5="Volume",$C$54&gt;0,Results!$E$4="Fluid"),((AE11*AE$51)/(AE$54)),IF(AND(Results!$E$4="Cells",Results!$E$5="Million",$B$52="million"),((AE11*AE$51)/(AE$52)),"0")))))</f>
        <v>0.75166666666666659</v>
      </c>
      <c r="AF64" s="20">
        <f>IF(AF11=0,"0",IF(AND(Results!$E$5="Protein",$C$53&gt;0,OR(Results!$E$4="Tissue",Results!$E$4="Cells")),((AF11*AF$51)/(AF$53)),IF(AND(Results!$E$5="Weight",$C$52&gt;0, Results!$E$4="Tissue",OR($B$52="g",$B$52="mg")),((AF11*AF$51)/(AF$52)),IF(AND(Results!$E$5="Volume",$C$54&gt;0,Results!$E$4="Fluid"),((AF11*AF$51)/(AF$54)),IF(AND(Results!$E$4="Cells",Results!$E$5="Million",$B$52="million"),((AF11*AF$51)/(AF$52)),"0")))))</f>
        <v>2.436066666666667</v>
      </c>
      <c r="AG64" s="20">
        <f>IF(AG11=0,"0",IF(AND(Results!$E$5="Protein",$C$53&gt;0,OR(Results!$E$4="Tissue",Results!$E$4="Cells")),((AG11*AG$51)/(AG$53)),IF(AND(Results!$E$5="Weight",$C$52&gt;0, Results!$E$4="Tissue",OR($B$52="g",$B$52="mg")),((AG11*AG$51)/(AG$52)),IF(AND(Results!$E$5="Volume",$C$54&gt;0,Results!$E$4="Fluid"),((AG11*AG$51)/(AG$54)),IF(AND(Results!$E$4="Cells",Results!$E$5="Million",$B$52="million"),((AG11*AG$51)/(AG$52)),"0")))))</f>
        <v>1.8549666666666667</v>
      </c>
      <c r="AH64" s="20">
        <f>IF(AH11=0,"0",IF(AND(Results!$E$5="Protein",$C$53&gt;0,OR(Results!$E$4="Tissue",Results!$E$4="Cells")),((AH11*AH$51)/(AH$53)),IF(AND(Results!$E$5="Weight",$C$52&gt;0, Results!$E$4="Tissue",OR($B$52="g",$B$52="mg")),((AH11*AH$51)/(AH$52)),IF(AND(Results!$E$5="Volume",$C$54&gt;0,Results!$E$4="Fluid"),((AH11*AH$51)/(AH$54)),IF(AND(Results!$E$4="Cells",Results!$E$5="Million",$B$52="million"),((AH11*AH$51)/(AH$52)),"0")))))</f>
        <v>2.7670499999999998</v>
      </c>
      <c r="AI64" s="20">
        <f>IF(AI11=0,"0",IF(AND(Results!$E$5="Protein",$C$53&gt;0,OR(Results!$E$4="Tissue",Results!$E$4="Cells")),((AI11*AI$51)/(AI$53)),IF(AND(Results!$E$5="Weight",$C$52&gt;0, Results!$E$4="Tissue",OR($B$52="g",$B$52="mg")),((AI11*AI$51)/(AI$52)),IF(AND(Results!$E$5="Volume",$C$54&gt;0,Results!$E$4="Fluid"),((AI11*AI$51)/(AI$54)),IF(AND(Results!$E$4="Cells",Results!$E$5="Million",$B$52="million"),((AI11*AI$51)/(AI$52)),"0")))))</f>
        <v>3.0566833333333334</v>
      </c>
      <c r="AJ64" s="20">
        <f>IF(AJ11=0,"0",IF(AND(Results!$E$5="Protein",$C$53&gt;0,OR(Results!$E$4="Tissue",Results!$E$4="Cells")),((AJ11*AJ$51)/(AJ$53)),IF(AND(Results!$E$5="Weight",$C$52&gt;0, Results!$E$4="Tissue",OR($B$52="g",$B$52="mg")),((AJ11*AJ$51)/(AJ$52)),IF(AND(Results!$E$5="Volume",$C$54&gt;0,Results!$E$4="Fluid"),((AJ11*AJ$51)/(AJ$54)),IF(AND(Results!$E$4="Cells",Results!$E$5="Million",$B$52="million"),((AJ11*AJ$51)/(AJ$52)),"0")))))</f>
        <v>2.488</v>
      </c>
      <c r="AK64" s="20">
        <f>IF(AK11=0,"0",IF(AND(Results!$E$5="Protein",$C$53&gt;0,OR(Results!$E$4="Tissue",Results!$E$4="Cells")),((AK11*AK$51)/(AK$53)),IF(AND(Results!$E$5="Weight",$C$52&gt;0, Results!$E$4="Tissue",OR($B$52="g",$B$52="mg")),((AK11*AK$51)/(AK$52)),IF(AND(Results!$E$5="Volume",$C$54&gt;0,Results!$E$4="Fluid"),((AK11*AK$51)/(AK$54)),IF(AND(Results!$E$4="Cells",Results!$E$5="Million",$B$52="million"),((AK11*AK$51)/(AK$52)),"0")))))</f>
        <v>0.70400000000000007</v>
      </c>
      <c r="AL64" s="20">
        <f>IF(AL11=0,"0",IF(AND(Results!$E$5="Protein",$C$53&gt;0,OR(Results!$E$4="Tissue",Results!$E$4="Cells")),((AL11*AL$51)/(AL$53)),IF(AND(Results!$E$5="Weight",$C$52&gt;0, Results!$E$4="Tissue",OR($B$52="g",$B$52="mg")),((AL11*AL$51)/(AL$52)),IF(AND(Results!$E$5="Volume",$C$54&gt;0,Results!$E$4="Fluid"),((AL11*AL$51)/(AL$54)),IF(AND(Results!$E$4="Cells",Results!$E$5="Million",$B$52="million"),((AL11*AL$51)/(AL$52)),"0")))))</f>
        <v>4.2689833333333338</v>
      </c>
      <c r="AM64" s="20">
        <f>IF(AM11=0,"0",IF(AND(Results!$E$5="Protein",$C$53&gt;0,OR(Results!$E$4="Tissue",Results!$E$4="Cells")),((AM11*AM$51)/(AM$53)),IF(AND(Results!$E$5="Weight",$C$52&gt;0, Results!$E$4="Tissue",OR($B$52="g",$B$52="mg")),((AM11*AM$51)/(AM$52)),IF(AND(Results!$E$5="Volume",$C$54&gt;0,Results!$E$4="Fluid"),((AM11*AM$51)/(AM$54)),IF(AND(Results!$E$4="Cells",Results!$E$5="Million",$B$52="million"),((AM11*AM$51)/(AM$52)),"0")))))</f>
        <v>1.2144666666666668</v>
      </c>
      <c r="AN64" s="20">
        <f>IF(AN11=0,"0",IF(AND(Results!$E$5="Protein",$C$53&gt;0,OR(Results!$E$4="Tissue",Results!$E$4="Cells")),((AN11*AN$51)/(AN$53)),IF(AND(Results!$E$5="Weight",$C$52&gt;0, Results!$E$4="Tissue",OR($B$52="g",$B$52="mg")),((AN11*AN$51)/(AN$52)),IF(AND(Results!$E$5="Volume",$C$54&gt;0,Results!$E$4="Fluid"),((AN11*AN$51)/(AN$54)),IF(AND(Results!$E$4="Cells",Results!$E$5="Million",$B$52="million"),((AN11*AN$51)/(AN$52)),"0")))))</f>
        <v>1.7107999999999999</v>
      </c>
      <c r="AO64" s="20">
        <f>IF(AO11=0,"0",IF(AND(Results!$E$5="Protein",$C$53&gt;0,OR(Results!$E$4="Tissue",Results!$E$4="Cells")),((AO11*AO$51)/(AO$53)),IF(AND(Results!$E$5="Weight",$C$52&gt;0, Results!$E$4="Tissue",OR($B$52="g",$B$52="mg")),((AO11*AO$51)/(AO$52)),IF(AND(Results!$E$5="Volume",$C$54&gt;0,Results!$E$4="Fluid"),((AO11*AO$51)/(AO$54)),IF(AND(Results!$E$4="Cells",Results!$E$5="Million",$B$52="million"),((AO11*AO$51)/(AO$52)),"0")))))</f>
        <v>1.7283500000000001</v>
      </c>
      <c r="AP64" s="20">
        <f>IF(AP11=0,"0",IF(AND(Results!$E$5="Protein",$C$53&gt;0,OR(Results!$E$4="Tissue",Results!$E$4="Cells")),((AP11*AP$51)/(AP$53)),IF(AND(Results!$E$5="Weight",$C$52&gt;0, Results!$E$4="Tissue",OR($B$52="g",$B$52="mg")),((AP11*AP$51)/(AP$52)),IF(AND(Results!$E$5="Volume",$C$54&gt;0,Results!$E$4="Fluid"),((AP11*AP$51)/(AP$54)),IF(AND(Results!$E$4="Cells",Results!$E$5="Million",$B$52="million"),((AP11*AP$51)/(AP$52)),"0")))))</f>
        <v>0.59829999999999994</v>
      </c>
      <c r="AQ64" s="20">
        <f>IF(AQ11=0,"0",IF(AND(Results!$E$5="Protein",$C$53&gt;0,OR(Results!$E$4="Tissue",Results!$E$4="Cells")),((AQ11*AQ$51)/(AQ$53)),IF(AND(Results!$E$5="Weight",$C$52&gt;0, Results!$E$4="Tissue",OR($B$52="g",$B$52="mg")),((AQ11*AQ$51)/(AQ$52)),IF(AND(Results!$E$5="Volume",$C$54&gt;0,Results!$E$4="Fluid"),((AQ11*AQ$51)/(AQ$54)),IF(AND(Results!$E$4="Cells",Results!$E$5="Million",$B$52="million"),((AQ11*AQ$51)/(AQ$52)),"0")))))</f>
        <v>33.686500000000002</v>
      </c>
      <c r="AR64" s="20">
        <f>IF(AR11=0,"0",IF(AND(Results!$E$5="Protein",$C$53&gt;0,OR(Results!$E$4="Tissue",Results!$E$4="Cells")),((AR11*AR$51)/(AR$53)),IF(AND(Results!$E$5="Weight",$C$52&gt;0, Results!$E$4="Tissue",OR($B$52="g",$B$52="mg")),((AR11*AR$51)/(AR$52)),IF(AND(Results!$E$5="Volume",$C$54&gt;0,Results!$E$4="Fluid"),((AR11*AR$51)/(AR$54)),IF(AND(Results!$E$4="Cells",Results!$E$5="Million",$B$52="million"),((AR11*AR$51)/(AR$52)),"0")))))</f>
        <v>0.96405000000000007</v>
      </c>
      <c r="AS64" s="20">
        <f>IF(AS11=0,"0",IF(AND(Results!$E$5="Protein",$C$53&gt;0,OR(Results!$E$4="Tissue",Results!$E$4="Cells")),((AS11*AS$51)/(AS$53)),IF(AND(Results!$E$5="Weight",$C$52&gt;0, Results!$E$4="Tissue",OR($B$52="g",$B$52="mg")),((AS11*AS$51)/(AS$52)),IF(AND(Results!$E$5="Volume",$C$54&gt;0,Results!$E$4="Fluid"),((AS11*AS$51)/(AS$54)),IF(AND(Results!$E$4="Cells",Results!$E$5="Million",$B$52="million"),((AS11*AS$51)/(AS$52)),"0")))))</f>
        <v>0.86769999999999992</v>
      </c>
      <c r="AT64" s="20">
        <f>IF(AT11=0,"0",IF(AND(Results!$E$5="Protein",$C$53&gt;0,OR(Results!$E$4="Tissue",Results!$E$4="Cells")),((AT11*AT$51)/(AT$53)),IF(AND(Results!$E$5="Weight",$C$52&gt;0, Results!$E$4="Tissue",OR($B$52="g",$B$52="mg")),((AT11*AT$51)/(AT$52)),IF(AND(Results!$E$5="Volume",$C$54&gt;0,Results!$E$4="Fluid"),((AT11*AT$51)/(AT$54)),IF(AND(Results!$E$4="Cells",Results!$E$5="Million",$B$52="million"),((AT11*AT$51)/(AT$52)),"0")))))</f>
        <v>1.2428999999999999</v>
      </c>
      <c r="AU64" s="20">
        <f>IF(AU11=0,"0",IF(AND(Results!$E$5="Protein",$C$53&gt;0,OR(Results!$E$4="Tissue",Results!$E$4="Cells")),((AU11*AU$51)/(AU$53)),IF(AND(Results!$E$5="Weight",$C$52&gt;0, Results!$E$4="Tissue",OR($B$52="g",$B$52="mg")),((AU11*AU$51)/(AU$52)),IF(AND(Results!$E$5="Volume",$C$54&gt;0,Results!$E$4="Fluid"),((AU11*AU$51)/(AU$54)),IF(AND(Results!$E$4="Cells",Results!$E$5="Million",$B$52="million"),((AU11*AU$51)/(AU$52)),"0")))))</f>
        <v>1.2501199999999999</v>
      </c>
      <c r="AV64" s="20">
        <f>IF(AV11=0,"0",IF(AND(Results!$E$5="Protein",$C$53&gt;0,OR(Results!$E$4="Tissue",Results!$E$4="Cells")),((AV11*AV$51)/(AV$53)),IF(AND(Results!$E$5="Weight",$C$52&gt;0, Results!$E$4="Tissue",OR($B$52="g",$B$52="mg")),((AV11*AV$51)/(AV$52)),IF(AND(Results!$E$5="Volume",$C$54&gt;0,Results!$E$4="Fluid"),((AV11*AV$51)/(AV$54)),IF(AND(Results!$E$4="Cells",Results!$E$5="Million",$B$52="million"),((AV11*AV$51)/(AV$52)),"0")))))</f>
        <v>1.6569600000000002</v>
      </c>
      <c r="AW64" s="20">
        <f>IF(AW11=0,"0",IF(AND(Results!$E$5="Protein",$C$53&gt;0,OR(Results!$E$4="Tissue",Results!$E$4="Cells")),((AW11*AW$51)/(AW$53)),IF(AND(Results!$E$5="Weight",$C$52&gt;0, Results!$E$4="Tissue",OR($B$52="g",$B$52="mg")),((AW11*AW$51)/(AW$52)),IF(AND(Results!$E$5="Volume",$C$54&gt;0,Results!$E$4="Fluid"),((AW11*AW$51)/(AW$54)),IF(AND(Results!$E$4="Cells",Results!$E$5="Million",$B$52="million"),((AW11*AW$51)/(AW$52)),"0")))))</f>
        <v>2.0818500000000002</v>
      </c>
      <c r="AX64" s="20">
        <f>IF(AX11=0,"0",IF(AND(Results!$E$5="Protein",$C$53&gt;0,OR(Results!$E$4="Tissue",Results!$E$4="Cells")),((AX11*AX$51)/(AX$53)),IF(AND(Results!$E$5="Weight",$C$52&gt;0, Results!$E$4="Tissue",OR($B$52="g",$B$52="mg")),((AX11*AX$51)/(AX$52)),IF(AND(Results!$E$5="Volume",$C$54&gt;0,Results!$E$4="Fluid"),((AX11*AX$51)/(AX$54)),IF(AND(Results!$E$4="Cells",Results!$E$5="Million",$B$52="million"),((AX11*AX$51)/(AX$52)),"0")))))</f>
        <v>2.41845</v>
      </c>
      <c r="AY64" s="20">
        <f>IF(AY11=0,"0",IF(AND(Results!$E$5="Protein",$C$53&gt;0,OR(Results!$E$4="Tissue",Results!$E$4="Cells")),((AY11*AY$51)/(AY$53)),IF(AND(Results!$E$5="Weight",$C$52&gt;0, Results!$E$4="Tissue",OR($B$52="g",$B$52="mg")),((AY11*AY$51)/(AY$52)),IF(AND(Results!$E$5="Volume",$C$54&gt;0,Results!$E$4="Fluid"),((AY11*AY$51)/(AY$54)),IF(AND(Results!$E$4="Cells",Results!$E$5="Million",$B$52="million"),((AY11*AY$51)/(AY$52)),"0")))))</f>
        <v>5.9681833333333332</v>
      </c>
      <c r="AZ64" s="20">
        <f>IF(AZ11=0,"0",IF(AND(Results!$E$5="Protein",$C$53&gt;0,OR(Results!$E$4="Tissue",Results!$E$4="Cells")),((AZ11*AZ$51)/(AZ$53)),IF(AND(Results!$E$5="Weight",$C$52&gt;0, Results!$E$4="Tissue",OR($B$52="g",$B$52="mg")),((AZ11*AZ$51)/(AZ$52)),IF(AND(Results!$E$5="Volume",$C$54&gt;0,Results!$E$4="Fluid"),((AZ11*AZ$51)/(AZ$54)),IF(AND(Results!$E$4="Cells",Results!$E$5="Million",$B$52="million"),((AZ11*AZ$51)/(AZ$52)),"0")))))</f>
        <v>0.81719999999999993</v>
      </c>
      <c r="BA64" s="20">
        <f>IF(BA11=0,"0",IF(AND(Results!$E$5="Protein",$C$53&gt;0,OR(Results!$E$4="Tissue",Results!$E$4="Cells")),((BA11*BA$51)/(BA$53)),IF(AND(Results!$E$5="Weight",$C$52&gt;0, Results!$E$4="Tissue",OR($B$52="g",$B$52="mg")),((BA11*BA$51)/(BA$52)),IF(AND(Results!$E$5="Volume",$C$54&gt;0,Results!$E$4="Fluid"),((BA11*BA$51)/(BA$54)),IF(AND(Results!$E$4="Cells",Results!$E$5="Million",$B$52="million"),((BA11*BA$51)/(BA$52)),"0")))))</f>
        <v>0.40155000000000002</v>
      </c>
      <c r="BB64" s="20">
        <f>IF(BB11=0,"0",IF(AND(Results!$E$5="Protein",$C$53&gt;0,OR(Results!$E$4="Tissue",Results!$E$4="Cells")),((BB11*BB$51)/(BB$53)),IF(AND(Results!$E$5="Weight",$C$52&gt;0, Results!$E$4="Tissue",OR($B$52="g",$B$52="mg")),((BB11*BB$51)/(BB$52)),IF(AND(Results!$E$5="Volume",$C$54&gt;0,Results!$E$4="Fluid"),((BB11*BB$51)/(BB$54)),IF(AND(Results!$E$4="Cells",Results!$E$5="Million",$B$52="million"),((BB11*BB$51)/(BB$52)),"0")))))</f>
        <v>0.7436166666666667</v>
      </c>
      <c r="BC64" s="20">
        <f>IF(BC11=0,"0",IF(AND(Results!$E$5="Protein",$C$53&gt;0,OR(Results!$E$4="Tissue",Results!$E$4="Cells")),((BC11*BC$51)/(BC$53)),IF(AND(Results!$E$5="Weight",$C$52&gt;0, Results!$E$4="Tissue",OR($B$52="g",$B$52="mg")),((BC11*BC$51)/(BC$52)),IF(AND(Results!$E$5="Volume",$C$54&gt;0,Results!$E$4="Fluid"),((BC11*BC$51)/(BC$54)),IF(AND(Results!$E$4="Cells",Results!$E$5="Million",$B$52="million"),((BC11*BC$51)/(BC$52)),"0")))))</f>
        <v>1.0341666666666667</v>
      </c>
      <c r="BD64" s="20">
        <f>IF(BD11=0,"0",IF(AND(Results!$E$5="Protein",$C$53&gt;0,OR(Results!$E$4="Tissue",Results!$E$4="Cells")),((BD11*BD$51)/(BD$53)),IF(AND(Results!$E$5="Weight",$C$52&gt;0, Results!$E$4="Tissue",OR($B$52="g",$B$52="mg")),((BD11*BD$51)/(BD$52)),IF(AND(Results!$E$5="Volume",$C$54&gt;0,Results!$E$4="Fluid"),((BD11*BD$51)/(BD$54)),IF(AND(Results!$E$4="Cells",Results!$E$5="Million",$B$52="million"),((BD11*BD$51)/(BD$52)),"0")))))</f>
        <v>0.72476666666666678</v>
      </c>
      <c r="BE64" s="20">
        <f>IF(BE11=0,"0",IF(AND(Results!$E$5="Protein",$C$53&gt;0,OR(Results!$E$4="Tissue",Results!$E$4="Cells")),((BE11*BE$51)/(BE$53)),IF(AND(Results!$E$5="Weight",$C$52&gt;0, Results!$E$4="Tissue",OR($B$52="g",$B$52="mg")),((BE11*BE$51)/(BE$52)),IF(AND(Results!$E$5="Volume",$C$54&gt;0,Results!$E$4="Fluid"),((BE11*BE$51)/(BE$54)),IF(AND(Results!$E$4="Cells",Results!$E$5="Million",$B$52="million"),((BE11*BE$51)/(BE$52)),"0")))))</f>
        <v>0.85573333333333335</v>
      </c>
      <c r="BF64" s="20">
        <f>IF(BF11=0,"0",IF(AND(Results!$E$5="Protein",$C$53&gt;0,OR(Results!$E$4="Tissue",Results!$E$4="Cells")),((BF11*BF$51)/(BF$53)),IF(AND(Results!$E$5="Weight",$C$52&gt;0, Results!$E$4="Tissue",OR($B$52="g",$B$52="mg")),((BF11*BF$51)/(BF$52)),IF(AND(Results!$E$5="Volume",$C$54&gt;0,Results!$E$4="Fluid"),((BF11*BF$51)/(BF$54)),IF(AND(Results!$E$4="Cells",Results!$E$5="Million",$B$52="million"),((BF11*BF$51)/(BF$52)),"0")))))</f>
        <v>4.3787333333333329</v>
      </c>
      <c r="BG64" s="20">
        <f>IF(BG11=0,"0",IF(AND(Results!$E$5="Protein",$C$53&gt;0,OR(Results!$E$4="Tissue",Results!$E$4="Cells")),((BG11*BG$51)/(BG$53)),IF(AND(Results!$E$5="Weight",$C$52&gt;0, Results!$E$4="Tissue",OR($B$52="g",$B$52="mg")),((BG11*BG$51)/(BG$52)),IF(AND(Results!$E$5="Volume",$C$54&gt;0,Results!$E$4="Fluid"),((BG11*BG$51)/(BG$54)),IF(AND(Results!$E$4="Cells",Results!$E$5="Million",$B$52="million"),((BG11*BG$51)/(BG$52)),"0")))))</f>
        <v>1.0354166666666667</v>
      </c>
      <c r="BH64" s="20">
        <f>IF(BH11=0,"0",IF(AND(Results!$E$5="Protein",$C$53&gt;0,OR(Results!$E$4="Tissue",Results!$E$4="Cells")),((BH11*BH$51)/(BH$53)),IF(AND(Results!$E$5="Weight",$C$52&gt;0, Results!$E$4="Tissue",OR($B$52="g",$B$52="mg")),((BH11*BH$51)/(BH$52)),IF(AND(Results!$E$5="Volume",$C$54&gt;0,Results!$E$4="Fluid"),((BH11*BH$51)/(BH$54)),IF(AND(Results!$E$4="Cells",Results!$E$5="Million",$B$52="million"),((BH11*BH$51)/(BH$52)),"0")))))</f>
        <v>0.82476666666666665</v>
      </c>
      <c r="BI64" s="20">
        <f>IF(BI11=0,"0",IF(AND(Results!$E$5="Protein",$C$53&gt;0,OR(Results!$E$4="Tissue",Results!$E$4="Cells")),((BI11*BI$51)/(BI$53)),IF(AND(Results!$E$5="Weight",$C$52&gt;0, Results!$E$4="Tissue",OR($B$52="g",$B$52="mg")),((BI11*BI$51)/(BI$52)),IF(AND(Results!$E$5="Volume",$C$54&gt;0,Results!$E$4="Fluid"),((BI11*BI$51)/(BI$54)),IF(AND(Results!$E$4="Cells",Results!$E$5="Million",$B$52="million"),((BI11*BI$51)/(BI$52)),"0")))))</f>
        <v>3.3801333333333332</v>
      </c>
      <c r="BJ64" s="20">
        <f>IF(BJ11=0,"0",IF(AND(Results!$E$5="Protein",$C$53&gt;0,OR(Results!$E$4="Tissue",Results!$E$4="Cells")),((BJ11*BJ$51)/(BJ$53)),IF(AND(Results!$E$5="Weight",$C$52&gt;0, Results!$E$4="Tissue",OR($B$52="g",$B$52="mg")),((BJ11*BJ$51)/(BJ$52)),IF(AND(Results!$E$5="Volume",$C$54&gt;0,Results!$E$4="Fluid"),((BJ11*BJ$51)/(BJ$54)),IF(AND(Results!$E$4="Cells",Results!$E$5="Million",$B$52="million"),((BJ11*BJ$51)/(BJ$52)),"0")))))</f>
        <v>21.933083333333336</v>
      </c>
      <c r="BK64" s="20">
        <f>IF(BK11=0,"0",IF(AND(Results!$E$5="Protein",$C$53&gt;0,OR(Results!$E$4="Tissue",Results!$E$4="Cells")),((BK11*BK$51)/(BK$53)),IF(AND(Results!$E$5="Weight",$C$52&gt;0, Results!$E$4="Tissue",OR($B$52="g",$B$52="mg")),((BK11*BK$51)/(BK$52)),IF(AND(Results!$E$5="Volume",$C$54&gt;0,Results!$E$4="Fluid"),((BK11*BK$51)/(BK$54)),IF(AND(Results!$E$4="Cells",Results!$E$5="Million",$B$52="million"),((BK11*BK$51)/(BK$52)),"0")))))</f>
        <v>2.9081833333333336</v>
      </c>
      <c r="BL64" s="20">
        <f>IF(BL11=0,"0",IF(AND(Results!$E$5="Protein",$C$53&gt;0,OR(Results!$E$4="Tissue",Results!$E$4="Cells")),((BL11*BL$51)/(BL$53)),IF(AND(Results!$E$5="Weight",$C$52&gt;0, Results!$E$4="Tissue",OR($B$52="g",$B$52="mg")),((BL11*BL$51)/(BL$52)),IF(AND(Results!$E$5="Volume",$C$54&gt;0,Results!$E$4="Fluid"),((BL11*BL$51)/(BL$54)),IF(AND(Results!$E$4="Cells",Results!$E$5="Million",$B$52="million"),((BL11*BL$51)/(BL$52)),"0")))))</f>
        <v>7.1681833333333325</v>
      </c>
      <c r="BM64" s="20">
        <f>IF(BM11=0,"0",IF(AND(Results!$E$5="Protein",$C$53&gt;0,OR(Results!$E$4="Tissue",Results!$E$4="Cells")),((BM11*BM$51)/(BM$53)),IF(AND(Results!$E$5="Weight",$C$52&gt;0, Results!$E$4="Tissue",OR($B$52="g",$B$52="mg")),((BM11*BM$51)/(BM$52)),IF(AND(Results!$E$5="Volume",$C$54&gt;0,Results!$E$4="Fluid"),((BM11*BM$51)/(BM$54)),IF(AND(Results!$E$4="Cells",Results!$E$5="Million",$B$52="million"),((BM11*BM$51)/(BM$52)),"0")))))</f>
        <v>5.5120285714285719</v>
      </c>
      <c r="BN64" s="20">
        <f>IF(BN11=0,"0",IF(AND(Results!$E$5="Protein",$C$53&gt;0,OR(Results!$E$4="Tissue",Results!$E$4="Cells")),((BN11*BN$51)/(BN$53)),IF(AND(Results!$E$5="Weight",$C$52&gt;0, Results!$E$4="Tissue",OR($B$52="g",$B$52="mg")),((BN11*BN$51)/(BN$52)),IF(AND(Results!$E$5="Volume",$C$54&gt;0,Results!$E$4="Fluid"),((BN11*BN$51)/(BN$54)),IF(AND(Results!$E$4="Cells",Results!$E$5="Million",$B$52="million"),((BN11*BN$51)/(BN$52)),"0")))))</f>
        <v>23.092783333333333</v>
      </c>
      <c r="BO64" s="20">
        <f>IF(BO11=0,"0",IF(AND(Results!$E$5="Protein",$C$53&gt;0,OR(Results!$E$4="Tissue",Results!$E$4="Cells")),((BO11*BO$51)/(BO$53)),IF(AND(Results!$E$5="Weight",$C$52&gt;0, Results!$E$4="Tissue",OR($B$52="g",$B$52="mg")),((BO11*BO$51)/(BO$52)),IF(AND(Results!$E$5="Volume",$C$54&gt;0,Results!$E$4="Fluid"),((BO11*BO$51)/(BO$54)),IF(AND(Results!$E$4="Cells",Results!$E$5="Million",$B$52="million"),((BO11*BO$51)/(BO$52)),"0")))))</f>
        <v>4.969733333333334</v>
      </c>
      <c r="BP64" s="20">
        <f>IF(BP11=0,"0",IF(AND(Results!$E$5="Protein",$C$53&gt;0,OR(Results!$E$4="Tissue",Results!$E$4="Cells")),((BP11*BP$51)/(BP$53)),IF(AND(Results!$E$5="Weight",$C$52&gt;0, Results!$E$4="Tissue",OR($B$52="g",$B$52="mg")),((BP11*BP$51)/(BP$52)),IF(AND(Results!$E$5="Volume",$C$54&gt;0,Results!$E$4="Fluid"),((BP11*BP$51)/(BP$54)),IF(AND(Results!$E$4="Cells",Results!$E$5="Million",$B$52="million"),((BP11*BP$51)/(BP$52)),"0")))))</f>
        <v>2.4889833333333331</v>
      </c>
      <c r="BQ64" s="20">
        <f>IF(BQ11=0,"0",IF(AND(Results!$E$5="Protein",$C$53&gt;0,OR(Results!$E$4="Tissue",Results!$E$4="Cells")),((BQ11*BQ$51)/(BQ$53)),IF(AND(Results!$E$5="Weight",$C$52&gt;0, Results!$E$4="Tissue",OR($B$52="g",$B$52="mg")),((BQ11*BQ$51)/(BQ$52)),IF(AND(Results!$E$5="Volume",$C$54&gt;0,Results!$E$4="Fluid"),((BQ11*BQ$51)/(BQ$54)),IF(AND(Results!$E$4="Cells",Results!$E$5="Million",$B$52="million"),((BQ11*BQ$51)/(BQ$52)),"0")))))</f>
        <v>0.9693166666666666</v>
      </c>
      <c r="BR64" s="20">
        <f>IF(BR11=0,"0",IF(AND(Results!$E$5="Protein",$C$53&gt;0,OR(Results!$E$4="Tissue",Results!$E$4="Cells")),((BR11*BR$51)/(BR$53)),IF(AND(Results!$E$5="Weight",$C$52&gt;0, Results!$E$4="Tissue",OR($B$52="g",$B$52="mg")),((BR11*BR$51)/(BR$52)),IF(AND(Results!$E$5="Volume",$C$54&gt;0,Results!$E$4="Fluid"),((BR11*BR$51)/(BR$54)),IF(AND(Results!$E$4="Cells",Results!$E$5="Million",$B$52="million"),((BR11*BR$51)/(BR$52)),"0")))))</f>
        <v>1.7993142857142856</v>
      </c>
      <c r="BS64" s="20">
        <f>IF(BS11=0,"0",IF(AND(Results!$E$5="Protein",$C$53&gt;0,OR(Results!$E$4="Tissue",Results!$E$4="Cells")),((BS11*BS$51)/(BS$53)),IF(AND(Results!$E$5="Weight",$C$52&gt;0, Results!$E$4="Tissue",OR($B$52="g",$B$52="mg")),((BS11*BS$51)/(BS$52)),IF(AND(Results!$E$5="Volume",$C$54&gt;0,Results!$E$4="Fluid"),((BS11*BS$51)/(BS$54)),IF(AND(Results!$E$4="Cells",Results!$E$5="Million",$B$52="million"),((BS11*BS$51)/(BS$52)),"0")))))</f>
        <v>2.1726333333333332</v>
      </c>
      <c r="BT64" s="20">
        <f>IF(BT11=0,"0",IF(AND(Results!$E$5="Protein",$C$53&gt;0,OR(Results!$E$4="Tissue",Results!$E$4="Cells")),((BT11*BT$51)/(BT$53)),IF(AND(Results!$E$5="Weight",$C$52&gt;0, Results!$E$4="Tissue",OR($B$52="g",$B$52="mg")),((BT11*BT$51)/(BT$52)),IF(AND(Results!$E$5="Volume",$C$54&gt;0,Results!$E$4="Fluid"),((BT11*BT$51)/(BT$54)),IF(AND(Results!$E$4="Cells",Results!$E$5="Million",$B$52="million"),((BT11*BT$51)/(BT$52)),"0")))))</f>
        <v>1.1159833333333333</v>
      </c>
      <c r="BU64" s="20">
        <f>IF(BU11=0,"0",IF(AND(Results!$E$5="Protein",$C$53&gt;0,OR(Results!$E$4="Tissue",Results!$E$4="Cells")),((BU11*BU$51)/(BU$53)),IF(AND(Results!$E$5="Weight",$C$52&gt;0, Results!$E$4="Tissue",OR($B$52="g",$B$52="mg")),((BU11*BU$51)/(BU$52)),IF(AND(Results!$E$5="Volume",$C$54&gt;0,Results!$E$4="Fluid"),((BU11*BU$51)/(BU$54)),IF(AND(Results!$E$4="Cells",Results!$E$5="Million",$B$52="million"),((BU11*BU$51)/(BU$52)),"0")))))</f>
        <v>3.9515999999999996</v>
      </c>
      <c r="BV64" s="20">
        <f>IF(BV11=0,"0",IF(AND(Results!$E$5="Protein",$C$53&gt;0,OR(Results!$E$4="Tissue",Results!$E$4="Cells")),((BV11*BV$51)/(BV$53)),IF(AND(Results!$E$5="Weight",$C$52&gt;0, Results!$E$4="Tissue",OR($B$52="g",$B$52="mg")),((BV11*BV$51)/(BV$52)),IF(AND(Results!$E$5="Volume",$C$54&gt;0,Results!$E$4="Fluid"),((BV11*BV$51)/(BV$54)),IF(AND(Results!$E$4="Cells",Results!$E$5="Million",$B$52="million"),((BV11*BV$51)/(BV$52)),"0")))))</f>
        <v>2.5063499999999999</v>
      </c>
      <c r="BW64" s="20">
        <f>IF(BW11=0,"0",IF(AND(Results!$E$5="Protein",$C$53&gt;0,OR(Results!$E$4="Tissue",Results!$E$4="Cells")),((BW11*BW$51)/(BW$53)),IF(AND(Results!$E$5="Weight",$C$52&gt;0, Results!$E$4="Tissue",OR($B$52="g",$B$52="mg")),((BW11*BW$51)/(BW$52)),IF(AND(Results!$E$5="Volume",$C$54&gt;0,Results!$E$4="Fluid"),((BW11*BW$51)/(BW$54)),IF(AND(Results!$E$4="Cells",Results!$E$5="Million",$B$52="million"),((BW11*BW$51)/(BW$52)),"0")))))</f>
        <v>5.3281666666666663</v>
      </c>
      <c r="BX64" s="20">
        <f>IF(BX11=0,"0",IF(AND(Results!$E$5="Protein",$C$53&gt;0,OR(Results!$E$4="Tissue",Results!$E$4="Cells")),((BX11*BX$51)/(BX$53)),IF(AND(Results!$E$5="Weight",$C$52&gt;0, Results!$E$4="Tissue",OR($B$52="g",$B$52="mg")),((BX11*BX$51)/(BX$52)),IF(AND(Results!$E$5="Volume",$C$54&gt;0,Results!$E$4="Fluid"),((BX11*BX$51)/(BX$54)),IF(AND(Results!$E$4="Cells",Results!$E$5="Million",$B$52="million"),((BX11*BX$51)/(BX$52)),"0")))))</f>
        <v>1.6335499999999998</v>
      </c>
      <c r="BY64" s="20">
        <f>IF(BY11=0,"0",IF(AND(Results!$E$5="Protein",$C$53&gt;0,OR(Results!$E$4="Tissue",Results!$E$4="Cells")),((BY11*BY$51)/(BY$53)),IF(AND(Results!$E$5="Weight",$C$52&gt;0, Results!$E$4="Tissue",OR($B$52="g",$B$52="mg")),((BY11*BY$51)/(BY$52)),IF(AND(Results!$E$5="Volume",$C$54&gt;0,Results!$E$4="Fluid"),((BY11*BY$51)/(BY$54)),IF(AND(Results!$E$4="Cells",Results!$E$5="Million",$B$52="million"),((BY11*BY$51)/(BY$52)),"0")))))</f>
        <v>2.0912166666666665</v>
      </c>
      <c r="BZ64" s="20">
        <f>IF(BZ11=0,"0",IF(AND(Results!$E$5="Protein",$C$53&gt;0,OR(Results!$E$4="Tissue",Results!$E$4="Cells")),((BZ11*BZ$51)/(BZ$53)),IF(AND(Results!$E$5="Weight",$C$52&gt;0, Results!$E$4="Tissue",OR($B$52="g",$B$52="mg")),((BZ11*BZ$51)/(BZ$52)),IF(AND(Results!$E$5="Volume",$C$54&gt;0,Results!$E$4="Fluid"),((BZ11*BZ$51)/(BZ$54)),IF(AND(Results!$E$4="Cells",Results!$E$5="Million",$B$52="million"),((BZ11*BZ$51)/(BZ$52)),"0")))))</f>
        <v>2.0613666666666668</v>
      </c>
      <c r="CA64" s="20">
        <f>IF(CA11=0,"0",IF(AND(Results!$E$5="Protein",$C$53&gt;0,OR(Results!$E$4="Tissue",Results!$E$4="Cells")),((CA11*CA$51)/(CA$53)),IF(AND(Results!$E$5="Weight",$C$52&gt;0, Results!$E$4="Tissue",OR($B$52="g",$B$52="mg")),((CA11*CA$51)/(CA$52)),IF(AND(Results!$E$5="Volume",$C$54&gt;0,Results!$E$4="Fluid"),((CA11*CA$51)/(CA$54)),IF(AND(Results!$E$4="Cells",Results!$E$5="Million",$B$52="million"),((CA11*CA$51)/(CA$52)),"0")))))</f>
        <v>1.3229500000000001</v>
      </c>
      <c r="CB64" s="20">
        <f>IF(CB11=0,"0",IF(AND(Results!$E$5="Protein",$C$53&gt;0,OR(Results!$E$4="Tissue",Results!$E$4="Cells")),((CB11*CB$51)/(CB$53)),IF(AND(Results!$E$5="Weight",$C$52&gt;0, Results!$E$4="Tissue",OR($B$52="g",$B$52="mg")),((CB11*CB$51)/(CB$52)),IF(AND(Results!$E$5="Volume",$C$54&gt;0,Results!$E$4="Fluid"),((CB11*CB$51)/(CB$54)),IF(AND(Results!$E$4="Cells",Results!$E$5="Million",$B$52="million"),((CB11*CB$51)/(CB$52)),"0")))))</f>
        <v>1.1038666666666666</v>
      </c>
      <c r="CC64" s="20">
        <f>IF(CC11=0,"0",IF(AND(Results!$E$5="Protein",$C$53&gt;0,OR(Results!$E$4="Tissue",Results!$E$4="Cells")),((CC11*CC$51)/(CC$53)),IF(AND(Results!$E$5="Weight",$C$52&gt;0, Results!$E$4="Tissue",OR($B$52="g",$B$52="mg")),((CC11*CC$51)/(CC$52)),IF(AND(Results!$E$5="Volume",$C$54&gt;0,Results!$E$4="Fluid"),((CC11*CC$51)/(CC$54)),IF(AND(Results!$E$4="Cells",Results!$E$5="Million",$B$52="million"),((CC11*CC$51)/(CC$52)),"0")))))</f>
        <v>1.3573333333333333</v>
      </c>
      <c r="CD64" s="20">
        <f>IF(CD11=0,"0",IF(AND(Results!$E$5="Protein",$C$53&gt;0,OR(Results!$E$4="Tissue",Results!$E$4="Cells")),((CD11*CD$51)/(CD$53)),IF(AND(Results!$E$5="Weight",$C$52&gt;0, Results!$E$4="Tissue",OR($B$52="g",$B$52="mg")),((CD11*CD$51)/(CD$52)),IF(AND(Results!$E$5="Volume",$C$54&gt;0,Results!$E$4="Fluid"),((CD11*CD$51)/(CD$54)),IF(AND(Results!$E$4="Cells",Results!$E$5="Million",$B$52="million"),((CD11*CD$51)/(CD$52)),"0")))))</f>
        <v>0.57238333333333324</v>
      </c>
      <c r="CE64" s="20">
        <f>IF(CE11=0,"0",IF(AND(Results!$E$5="Protein",$C$53&gt;0,OR(Results!$E$4="Tissue",Results!$E$4="Cells")),((CE11*CE$51)/(CE$53)),IF(AND(Results!$E$5="Weight",$C$52&gt;0, Results!$E$4="Tissue",OR($B$52="g",$B$52="mg")),((CE11*CE$51)/(CE$52)),IF(AND(Results!$E$5="Volume",$C$54&gt;0,Results!$E$4="Fluid"),((CE11*CE$51)/(CE$54)),IF(AND(Results!$E$4="Cells",Results!$E$5="Million",$B$52="million"),((CE11*CE$51)/(CE$52)),"0")))))</f>
        <v>2.1070166666666665</v>
      </c>
      <c r="CF64" s="20">
        <f>IF(CF11=0,"0",IF(AND(Results!$E$5="Protein",$C$53&gt;0,OR(Results!$E$4="Tissue",Results!$E$4="Cells")),((CF11*CF$51)/(CF$53)),IF(AND(Results!$E$5="Weight",$C$52&gt;0, Results!$E$4="Tissue",OR($B$52="g",$B$52="mg")),((CF11*CF$51)/(CF$52)),IF(AND(Results!$E$5="Volume",$C$54&gt;0,Results!$E$4="Fluid"),((CF11*CF$51)/(CF$54)),IF(AND(Results!$E$4="Cells",Results!$E$5="Million",$B$52="million"),((CF11*CF$51)/(CF$52)),"0")))))</f>
        <v>0.7274166666666666</v>
      </c>
      <c r="CG64" s="20">
        <f>IF(CG11=0,"0",IF(AND(Results!$E$5="Protein",$C$53&gt;0,OR(Results!$E$4="Tissue",Results!$E$4="Cells")),((CG11*CG$51)/(CG$53)),IF(AND(Results!$E$5="Weight",$C$52&gt;0, Results!$E$4="Tissue",OR($B$52="g",$B$52="mg")),((CG11*CG$51)/(CG$52)),IF(AND(Results!$E$5="Volume",$C$54&gt;0,Results!$E$4="Fluid"),((CG11*CG$51)/(CG$54)),IF(AND(Results!$E$4="Cells",Results!$E$5="Million",$B$52="million"),((CG11*CG$51)/(CG$52)),"0")))))</f>
        <v>1.8836666666666666</v>
      </c>
      <c r="CH64" s="20">
        <f>IF(CH11=0,"0",IF(AND(Results!$E$5="Protein",$C$53&gt;0,OR(Results!$E$4="Tissue",Results!$E$4="Cells")),((CH11*CH$51)/(CH$53)),IF(AND(Results!$E$5="Weight",$C$52&gt;0, Results!$E$4="Tissue",OR($B$52="g",$B$52="mg")),((CH11*CH$51)/(CH$52)),IF(AND(Results!$E$5="Volume",$C$54&gt;0,Results!$E$4="Fluid"),((CH11*CH$51)/(CH$54)),IF(AND(Results!$E$4="Cells",Results!$E$5="Million",$B$52="million"),((CH11*CH$51)/(CH$52)),"0")))))</f>
        <v>3.3347166666666661</v>
      </c>
      <c r="CI64" s="20">
        <f>IF(CI11=0,"0",IF(AND(Results!$E$5="Protein",$C$53&gt;0,OR(Results!$E$4="Tissue",Results!$E$4="Cells")),((CI11*CI$51)/(CI$53)),IF(AND(Results!$E$5="Weight",$C$52&gt;0, Results!$E$4="Tissue",OR($B$52="g",$B$52="mg")),((CI11*CI$51)/(CI$52)),IF(AND(Results!$E$5="Volume",$C$54&gt;0,Results!$E$4="Fluid"),((CI11*CI$51)/(CI$54)),IF(AND(Results!$E$4="Cells",Results!$E$5="Million",$B$52="million"),((CI11*CI$51)/(CI$52)),"0")))))</f>
        <v>6.4267833333333328</v>
      </c>
      <c r="CJ64" s="20">
        <f>IF(CJ11=0,"0",IF(AND(Results!$E$5="Protein",$C$53&gt;0,OR(Results!$E$4="Tissue",Results!$E$4="Cells")),((CJ11*CJ$51)/(CJ$53)),IF(AND(Results!$E$5="Weight",$C$52&gt;0, Results!$E$4="Tissue",OR($B$52="g",$B$52="mg")),((CJ11*CJ$51)/(CJ$52)),IF(AND(Results!$E$5="Volume",$C$54&gt;0,Results!$E$4="Fluid"),((CJ11*CJ$51)/(CJ$54)),IF(AND(Results!$E$4="Cells",Results!$E$5="Million",$B$52="million"),((CJ11*CJ$51)/(CJ$52)),"0")))))</f>
        <v>1.0085111111111109</v>
      </c>
      <c r="CK64" s="20">
        <f>IF(CK11=0,"0",IF(AND(Results!$E$5="Protein",$C$53&gt;0,OR(Results!$E$4="Tissue",Results!$E$4="Cells")),((CK11*CK$51)/(CK$53)),IF(AND(Results!$E$5="Weight",$C$52&gt;0, Results!$E$4="Tissue",OR($B$52="g",$B$52="mg")),((CK11*CK$51)/(CK$52)),IF(AND(Results!$E$5="Volume",$C$54&gt;0,Results!$E$4="Fluid"),((CK11*CK$51)/(CK$54)),IF(AND(Results!$E$4="Cells",Results!$E$5="Million",$B$52="million"),((CK11*CK$51)/(CK$52)),"0")))))</f>
        <v>1.9231166666666666</v>
      </c>
      <c r="CL64" s="20">
        <f>IF(CL11=0,"0",IF(AND(Results!$E$5="Protein",$C$53&gt;0,OR(Results!$E$4="Tissue",Results!$E$4="Cells")),((CL11*CL$51)/(CL$53)),IF(AND(Results!$E$5="Weight",$C$52&gt;0, Results!$E$4="Tissue",OR($B$52="g",$B$52="mg")),((CL11*CL$51)/(CL$52)),IF(AND(Results!$E$5="Volume",$C$54&gt;0,Results!$E$4="Fluid"),((CL11*CL$51)/(CL$54)),IF(AND(Results!$E$4="Cells",Results!$E$5="Million",$B$52="million"),((CL11*CL$51)/(CL$52)),"0")))))</f>
        <v>4.0948499999999992</v>
      </c>
      <c r="CM64" s="20">
        <f>IF(CM11=0,"0",IF(AND(Results!$E$5="Protein",$C$53&gt;0,OR(Results!$E$4="Tissue",Results!$E$4="Cells")),((CM11*CM$51)/(CM$53)),IF(AND(Results!$E$5="Weight",$C$52&gt;0, Results!$E$4="Tissue",OR($B$52="g",$B$52="mg")),((CM11*CM$51)/(CM$52)),IF(AND(Results!$E$5="Volume",$C$54&gt;0,Results!$E$4="Fluid"),((CM11*CM$51)/(CM$54)),IF(AND(Results!$E$4="Cells",Results!$E$5="Million",$B$52="million"),((CM11*CM$51)/(CM$52)),"0")))))</f>
        <v>3.0093333333333332</v>
      </c>
      <c r="CN64" s="20">
        <f>IF(CN11=0,"0",IF(AND(Results!$E$5="Protein",$C$53&gt;0,OR(Results!$E$4="Tissue",Results!$E$4="Cells")),((CN11*CN$51)/(CN$53)),IF(AND(Results!$E$5="Weight",$C$52&gt;0, Results!$E$4="Tissue",OR($B$52="g",$B$52="mg")),((CN11*CN$51)/(CN$52)),IF(AND(Results!$E$5="Volume",$C$54&gt;0,Results!$E$4="Fluid"),((CN11*CN$51)/(CN$54)),IF(AND(Results!$E$4="Cells",Results!$E$5="Million",$B$52="million"),((CN11*CN$51)/(CN$52)),"0")))))</f>
        <v>1.5315333333333332</v>
      </c>
      <c r="CO64" s="20">
        <f>IF(CO11=0,"0",IF(AND(Results!$E$5="Protein",$C$53&gt;0,OR(Results!$E$4="Tissue",Results!$E$4="Cells")),((CO11*CO$51)/(CO$53)),IF(AND(Results!$E$5="Weight",$C$52&gt;0, Results!$E$4="Tissue",OR($B$52="g",$B$52="mg")),((CO11*CO$51)/(CO$52)),IF(AND(Results!$E$5="Volume",$C$54&gt;0,Results!$E$4="Fluid"),((CO11*CO$51)/(CO$54)),IF(AND(Results!$E$4="Cells",Results!$E$5="Million",$B$52="million"),((CO11*CO$51)/(CO$52)),"0")))))</f>
        <v>0.87598333333333334</v>
      </c>
      <c r="CP64" s="20">
        <f>IF(CP11=0,"0",IF(AND(Results!$E$5="Protein",$C$53&gt;0,OR(Results!$E$4="Tissue",Results!$E$4="Cells")),((CP11*CP$51)/(CP$53)),IF(AND(Results!$E$5="Weight",$C$52&gt;0, Results!$E$4="Tissue",OR($B$52="g",$B$52="mg")),((CP11*CP$51)/(CP$52)),IF(AND(Results!$E$5="Volume",$C$54&gt;0,Results!$E$4="Fluid"),((CP11*CP$51)/(CP$54)),IF(AND(Results!$E$4="Cells",Results!$E$5="Million",$B$52="million"),((CP11*CP$51)/(CP$52)),"0")))))</f>
        <v>0.90378333333333327</v>
      </c>
      <c r="CQ64" s="20">
        <f>IF(CQ11=0,"0",IF(AND(Results!$E$5="Protein",$C$53&gt;0,OR(Results!$E$4="Tissue",Results!$E$4="Cells")),((CQ11*CQ$51)/(CQ$53)),IF(AND(Results!$E$5="Weight",$C$52&gt;0, Results!$E$4="Tissue",OR($B$52="g",$B$52="mg")),((CQ11*CQ$51)/(CQ$52)),IF(AND(Results!$E$5="Volume",$C$54&gt;0,Results!$E$4="Fluid"),((CQ11*CQ$51)/(CQ$54)),IF(AND(Results!$E$4="Cells",Results!$E$5="Million",$B$52="million"),((CQ11*CQ$51)/(CQ$52)),"0")))))</f>
        <v>3.54135</v>
      </c>
      <c r="CR64" s="20">
        <f>IF(CR11=0,"0",IF(AND(Results!$E$5="Protein",$C$53&gt;0,OR(Results!$E$4="Tissue",Results!$E$4="Cells")),((CR11*CR$51)/(CR$53)),IF(AND(Results!$E$5="Weight",$C$52&gt;0, Results!$E$4="Tissue",OR($B$52="g",$B$52="mg")),((CR11*CR$51)/(CR$52)),IF(AND(Results!$E$5="Volume",$C$54&gt;0,Results!$E$4="Fluid"),((CR11*CR$51)/(CR$54)),IF(AND(Results!$E$4="Cells",Results!$E$5="Million",$B$52="million"),((CR11*CR$51)/(CR$52)),"0")))))</f>
        <v>21.788433333333334</v>
      </c>
      <c r="CS64" s="20">
        <f>IF(CS11=0,"0",IF(AND(Results!$E$5="Protein",$C$53&gt;0,OR(Results!$E$4="Tissue",Results!$E$4="Cells")),((CS11*CS$51)/(CS$53)),IF(AND(Results!$E$5="Weight",$C$52&gt;0, Results!$E$4="Tissue",OR($B$52="g",$B$52="mg")),((CS11*CS$51)/(CS$52)),IF(AND(Results!$E$5="Volume",$C$54&gt;0,Results!$E$4="Fluid"),((CS11*CS$51)/(CS$54)),IF(AND(Results!$E$4="Cells",Results!$E$5="Million",$B$52="million"),((CS11*CS$51)/(CS$52)),"0")))))</f>
        <v>1.0497666666666667</v>
      </c>
      <c r="CT64" s="20">
        <f>IF(CT11=0,"0",IF(AND(Results!$E$5="Protein",$C$53&gt;0,OR(Results!$E$4="Tissue",Results!$E$4="Cells")),((CT11*CT$51)/(CT$53)),IF(AND(Results!$E$5="Weight",$C$52&gt;0, Results!$E$4="Tissue",OR($B$52="g",$B$52="mg")),((CT11*CT$51)/(CT$52)),IF(AND(Results!$E$5="Volume",$C$54&gt;0,Results!$E$4="Fluid"),((CT11*CT$51)/(CT$54)),IF(AND(Results!$E$4="Cells",Results!$E$5="Million",$B$52="million"),((CT11*CT$51)/(CT$52)),"0")))))</f>
        <v>1.1312</v>
      </c>
      <c r="CU64" s="20">
        <f>IF(CU11=0,"0",IF(AND(Results!$E$5="Protein",$C$53&gt;0,OR(Results!$E$4="Tissue",Results!$E$4="Cells")),((CU11*CU$51)/(CU$53)),IF(AND(Results!$E$5="Weight",$C$52&gt;0, Results!$E$4="Tissue",OR($B$52="g",$B$52="mg")),((CU11*CU$51)/(CU$52)),IF(AND(Results!$E$5="Volume",$C$54&gt;0,Results!$E$4="Fluid"),((CU11*CU$51)/(CU$54)),IF(AND(Results!$E$4="Cells",Results!$E$5="Million",$B$52="million"),((CU11*CU$51)/(CU$52)),"0")))))</f>
        <v>1.2561166666666665</v>
      </c>
      <c r="CV64" s="20">
        <f>IF(CV11=0,"0",IF(AND(Results!$E$5="Protein",$C$53&gt;0,OR(Results!$E$4="Tissue",Results!$E$4="Cells")),((CV11*CV$51)/(CV$53)),IF(AND(Results!$E$5="Weight",$C$52&gt;0, Results!$E$4="Tissue",OR($B$52="g",$B$52="mg")),((CV11*CV$51)/(CV$52)),IF(AND(Results!$E$5="Volume",$C$54&gt;0,Results!$E$4="Fluid"),((CV11*CV$51)/(CV$54)),IF(AND(Results!$E$4="Cells",Results!$E$5="Million",$B$52="million"),((CV11*CV$51)/(CV$52)),"0")))))</f>
        <v>1.0304666666666666</v>
      </c>
      <c r="CW64" s="20">
        <f>IF(CW11=0,"0",IF(AND(Results!$E$5="Protein",$C$53&gt;0,OR(Results!$E$4="Tissue",Results!$E$4="Cells")),((CW11*CW$51)/(CW$53)),IF(AND(Results!$E$5="Weight",$C$52&gt;0, Results!$E$4="Tissue",OR($B$52="g",$B$52="mg")),((CW11*CW$51)/(CW$52)),IF(AND(Results!$E$5="Volume",$C$54&gt;0,Results!$E$4="Fluid"),((CW11*CW$51)/(CW$54)),IF(AND(Results!$E$4="Cells",Results!$E$5="Million",$B$52="million"),((CW11*CW$51)/(CW$52)),"0")))))</f>
        <v>2.0393833333333333</v>
      </c>
      <c r="CX64" s="20">
        <f>IF(CX11=0,"0",IF(AND(Results!$E$5="Protein",$C$53&gt;0,OR(Results!$E$4="Tissue",Results!$E$4="Cells")),((CX11*CX$51)/(CX$53)),IF(AND(Results!$E$5="Weight",$C$52&gt;0, Results!$E$4="Tissue",OR($B$52="g",$B$52="mg")),((CX11*CX$51)/(CX$52)),IF(AND(Results!$E$5="Volume",$C$54&gt;0,Results!$E$4="Fluid"),((CX11*CX$51)/(CX$54)),IF(AND(Results!$E$4="Cells",Results!$E$5="Million",$B$52="million"),((CX11*CX$51)/(CX$52)),"0")))))</f>
        <v>1.4552166666666664</v>
      </c>
      <c r="CY64" s="20">
        <f>IF(CY11=0,"0",IF(AND(Results!$E$5="Protein",$C$53&gt;0,OR(Results!$E$4="Tissue",Results!$E$4="Cells")),((CY11*CY$51)/(CY$53)),IF(AND(Results!$E$5="Weight",$C$52&gt;0, Results!$E$4="Tissue",OR($B$52="g",$B$52="mg")),((CY11*CY$51)/(CY$52)),IF(AND(Results!$E$5="Volume",$C$54&gt;0,Results!$E$4="Fluid"),((CY11*CY$51)/(CY$54)),IF(AND(Results!$E$4="Cells",Results!$E$5="Million",$B$52="million"),((CY11*CY$51)/(CY$52)),"0")))))</f>
        <v>1.0753333333333333</v>
      </c>
      <c r="CZ64" s="20">
        <f>IF(CZ11=0,"0",IF(AND(Results!$E$5="Protein",$C$53&gt;0,OR(Results!$E$4="Tissue",Results!$E$4="Cells")),((CZ11*CZ$51)/(CZ$53)),IF(AND(Results!$E$5="Weight",$C$52&gt;0, Results!$E$4="Tissue",OR($B$52="g",$B$52="mg")),((CZ11*CZ$51)/(CZ$52)),IF(AND(Results!$E$5="Volume",$C$54&gt;0,Results!$E$4="Fluid"),((CZ11*CZ$51)/(CZ$54)),IF(AND(Results!$E$4="Cells",Results!$E$5="Million",$B$52="million"),((CZ11*CZ$51)/(CZ$52)),"0")))))</f>
        <v>0.67835000000000001</v>
      </c>
      <c r="DA64" s="20" t="str">
        <f>IF(DA11=0,"0",IF(AND(Results!$E$5="Protein",$C$53&gt;0,OR(Results!$E$4="Tissue",Results!$E$4="Cells")),((DA11*DA$51)/(DA$53)),IF(AND(Results!$E$5="Weight",$C$52&gt;0, Results!$E$4="Tissue",OR($B$52="g",$B$52="mg")),((DA11*DA$51)/(DA$52)),IF(AND(Results!$E$5="Volume",$C$54&gt;0,Results!$E$4="Fluid"),((DA11*DA$51)/(DA$54)),IF(AND(Results!$E$4="Cells",Results!$E$5="Million",$B$52="million"),((DA11*DA$51)/(DA$52)),"0")))))</f>
        <v>0</v>
      </c>
      <c r="DB64" s="20">
        <f>IF(DB11=0,"0",IF(AND(Results!$E$5="Protein",$C$53&gt;0,OR(Results!$E$4="Tissue",Results!$E$4="Cells")),((DB11*DB$51)/(DB$53)),IF(AND(Results!$E$5="Weight",$C$52&gt;0, Results!$E$4="Tissue",OR($B$52="g",$B$52="mg")),((DB11*DB$51)/(DB$52)),IF(AND(Results!$E$5="Volume",$C$54&gt;0,Results!$E$4="Fluid"),((DB11*DB$51)/(DB$54)),IF(AND(Results!$E$4="Cells",Results!$E$5="Million",$B$52="million"),((DB11*DB$51)/(DB$52)),"0")))))</f>
        <v>1.0802333333333332</v>
      </c>
      <c r="DC64" s="20">
        <f>IF(DC11=0,"0",IF(AND(Results!$E$5="Protein",$C$53&gt;0,OR(Results!$E$4="Tissue",Results!$E$4="Cells")),((DC11*DC$51)/(DC$53)),IF(AND(Results!$E$5="Weight",$C$52&gt;0, Results!$E$4="Tissue",OR($B$52="g",$B$52="mg")),((DC11*DC$51)/(DC$52)),IF(AND(Results!$E$5="Volume",$C$54&gt;0,Results!$E$4="Fluid"),((DC11*DC$51)/(DC$54)),IF(AND(Results!$E$4="Cells",Results!$E$5="Million",$B$52="million"),((DC11*DC$51)/(DC$52)),"0")))))</f>
        <v>2.3903499999999998</v>
      </c>
      <c r="DD64" s="20">
        <f>IF(DD11=0,"0",IF(AND(Results!$E$5="Protein",$C$53&gt;0,OR(Results!$E$4="Tissue",Results!$E$4="Cells")),((DD11*DD$51)/(DD$53)),IF(AND(Results!$E$5="Weight",$C$52&gt;0, Results!$E$4="Tissue",OR($B$52="g",$B$52="mg")),((DD11*DD$51)/(DD$52)),IF(AND(Results!$E$5="Volume",$C$54&gt;0,Results!$E$4="Fluid"),((DD11*DD$51)/(DD$54)),IF(AND(Results!$E$4="Cells",Results!$E$5="Million",$B$52="million"),((DD11*DD$51)/(DD$52)),"0")))))</f>
        <v>1.2401333333333333</v>
      </c>
      <c r="DE64" s="20">
        <f>IF(DE11=0,"0",IF(AND(Results!$E$5="Protein",$C$53&gt;0,OR(Results!$E$4="Tissue",Results!$E$4="Cells")),((DE11*DE$51)/(DE$53)),IF(AND(Results!$E$5="Weight",$C$52&gt;0, Results!$E$4="Tissue",OR($B$52="g",$B$52="mg")),((DE11*DE$51)/(DE$52)),IF(AND(Results!$E$5="Volume",$C$54&gt;0,Results!$E$4="Fluid"),((DE11*DE$51)/(DE$54)),IF(AND(Results!$E$4="Cells",Results!$E$5="Million",$B$52="million"),((DE11*DE$51)/(DE$52)),"0")))))</f>
        <v>3.3721166666666664</v>
      </c>
      <c r="DF64" s="20">
        <f>IF(DF11=0,"0",IF(AND(Results!$E$5="Protein",$C$53&gt;0,OR(Results!$E$4="Tissue",Results!$E$4="Cells")),((DF11*DF$51)/(DF$53)),IF(AND(Results!$E$5="Weight",$C$52&gt;0, Results!$E$4="Tissue",OR($B$52="g",$B$52="mg")),((DF11*DF$51)/(DF$52)),IF(AND(Results!$E$5="Volume",$C$54&gt;0,Results!$E$4="Fluid"),((DF11*DF$51)/(DF$54)),IF(AND(Results!$E$4="Cells",Results!$E$5="Million",$B$52="million"),((DF11*DF$51)/(DF$52)),"0")))))</f>
        <v>0.81470000000000009</v>
      </c>
      <c r="DG64" s="20">
        <f>IF(DG11=0,"0",IF(AND(Results!$E$5="Protein",$C$53&gt;0,OR(Results!$E$4="Tissue",Results!$E$4="Cells")),((DG11*DG$51)/(DG$53)),IF(AND(Results!$E$5="Weight",$C$52&gt;0, Results!$E$4="Tissue",OR($B$52="g",$B$52="mg")),((DG11*DG$51)/(DG$52)),IF(AND(Results!$E$5="Volume",$C$54&gt;0,Results!$E$4="Fluid"),((DG11*DG$51)/(DG$54)),IF(AND(Results!$E$4="Cells",Results!$E$5="Million",$B$52="million"),((DG11*DG$51)/(DG$52)),"0")))))</f>
        <v>2.5902000000000003</v>
      </c>
      <c r="DH64" s="20">
        <f>IF(DH11=0,"0",IF(AND(Results!$E$5="Protein",$C$53&gt;0,OR(Results!$E$4="Tissue",Results!$E$4="Cells")),((DH11*DH$51)/(DH$53)),IF(AND(Results!$E$5="Weight",$C$52&gt;0, Results!$E$4="Tissue",OR($B$52="g",$B$52="mg")),((DH11*DH$51)/(DH$52)),IF(AND(Results!$E$5="Volume",$C$54&gt;0,Results!$E$4="Fluid"),((DH11*DH$51)/(DH$54)),IF(AND(Results!$E$4="Cells",Results!$E$5="Million",$B$52="million"),((DH11*DH$51)/(DH$52)),"0")))))</f>
        <v>0.59506666666666663</v>
      </c>
      <c r="DI64" s="20">
        <f>IF(DI11=0,"0",IF(AND(Results!$E$5="Protein",$C$53&gt;0,OR(Results!$E$4="Tissue",Results!$E$4="Cells")),((DI11*DI$51)/(DI$53)),IF(AND(Results!$E$5="Weight",$C$52&gt;0, Results!$E$4="Tissue",OR($B$52="g",$B$52="mg")),((DI11*DI$51)/(DI$52)),IF(AND(Results!$E$5="Volume",$C$54&gt;0,Results!$E$4="Fluid"),((DI11*DI$51)/(DI$54)),IF(AND(Results!$E$4="Cells",Results!$E$5="Million",$B$52="million"),((DI11*DI$51)/(DI$52)),"0")))))</f>
        <v>6.0476666666666672</v>
      </c>
      <c r="DJ64" s="20">
        <f>IF(DJ11=0,"0",IF(AND(Results!$E$5="Protein",$C$53&gt;0,OR(Results!$E$4="Tissue",Results!$E$4="Cells")),((DJ11*DJ$51)/(DJ$53)),IF(AND(Results!$E$5="Weight",$C$52&gt;0, Results!$E$4="Tissue",OR($B$52="g",$B$52="mg")),((DJ11*DJ$51)/(DJ$52)),IF(AND(Results!$E$5="Volume",$C$54&gt;0,Results!$E$4="Fluid"),((DJ11*DJ$51)/(DJ$54)),IF(AND(Results!$E$4="Cells",Results!$E$5="Million",$B$52="million"),((DJ11*DJ$51)/(DJ$52)),"0")))))</f>
        <v>1.4975500000000002</v>
      </c>
      <c r="DK64" s="20">
        <f>IF(DK11=0,"0",IF(AND(Results!$E$5="Protein",$C$53&gt;0,OR(Results!$E$4="Tissue",Results!$E$4="Cells")),((DK11*DK$51)/(DK$53)),IF(AND(Results!$E$5="Weight",$C$52&gt;0, Results!$E$4="Tissue",OR($B$52="g",$B$52="mg")),((DK11*DK$51)/(DK$52)),IF(AND(Results!$E$5="Volume",$C$54&gt;0,Results!$E$4="Fluid"),((DK11*DK$51)/(DK$54)),IF(AND(Results!$E$4="Cells",Results!$E$5="Million",$B$52="million"),((DK11*DK$51)/(DK$52)),"0")))))</f>
        <v>10.776483333333335</v>
      </c>
      <c r="DL64" s="20">
        <f>IF(DL11=0,"0",IF(AND(Results!$E$5="Protein",$C$53&gt;0,OR(Results!$E$4="Tissue",Results!$E$4="Cells")),((DL11*DL$51)/(DL$53)),IF(AND(Results!$E$5="Weight",$C$52&gt;0, Results!$E$4="Tissue",OR($B$52="g",$B$52="mg")),((DL11*DL$51)/(DL$52)),IF(AND(Results!$E$5="Volume",$C$54&gt;0,Results!$E$4="Fluid"),((DL11*DL$51)/(DL$54)),IF(AND(Results!$E$4="Cells",Results!$E$5="Million",$B$52="million"),((DL11*DL$51)/(DL$52)),"0")))))</f>
        <v>0.79171666666666662</v>
      </c>
      <c r="DM64" s="20">
        <f>IF(DM11=0,"0",IF(AND(Results!$E$5="Protein",$C$53&gt;0,OR(Results!$E$4="Tissue",Results!$E$4="Cells")),((DM11*DM$51)/(DM$53)),IF(AND(Results!$E$5="Weight",$C$52&gt;0, Results!$E$4="Tissue",OR($B$52="g",$B$52="mg")),((DM11*DM$51)/(DM$52)),IF(AND(Results!$E$5="Volume",$C$54&gt;0,Results!$E$4="Fluid"),((DM11*DM$51)/(DM$54)),IF(AND(Results!$E$4="Cells",Results!$E$5="Million",$B$52="million"),((DM11*DM$51)/(DM$52)),"0")))))</f>
        <v>1.2779666666666667</v>
      </c>
      <c r="DN64" s="20">
        <f>IF(DN11=0,"0",IF(AND(Results!$E$5="Protein",$C$53&gt;0,OR(Results!$E$4="Tissue",Results!$E$4="Cells")),((DN11*DN$51)/(DN$53)),IF(AND(Results!$E$5="Weight",$C$52&gt;0, Results!$E$4="Tissue",OR($B$52="g",$B$52="mg")),((DN11*DN$51)/(DN$52)),IF(AND(Results!$E$5="Volume",$C$54&gt;0,Results!$E$4="Fluid"),((DN11*DN$51)/(DN$54)),IF(AND(Results!$E$4="Cells",Results!$E$5="Million",$B$52="million"),((DN11*DN$51)/(DN$52)),"0")))))</f>
        <v>0.86151666666666671</v>
      </c>
      <c r="DO64" s="20">
        <f>IF(DO11=0,"0",IF(AND(Results!$E$5="Protein",$C$53&gt;0,OR(Results!$E$4="Tissue",Results!$E$4="Cells")),((DO11*DO$51)/(DO$53)),IF(AND(Results!$E$5="Weight",$C$52&gt;0, Results!$E$4="Tissue",OR($B$52="g",$B$52="mg")),((DO11*DO$51)/(DO$52)),IF(AND(Results!$E$5="Volume",$C$54&gt;0,Results!$E$4="Fluid"),((DO11*DO$51)/(DO$54)),IF(AND(Results!$E$4="Cells",Results!$E$5="Million",$B$52="million"),((DO11*DO$51)/(DO$52)),"0")))))</f>
        <v>1.4338666666666666</v>
      </c>
      <c r="DP64" s="20">
        <f>IF(DP11=0,"0",IF(AND(Results!$E$5="Protein",$C$53&gt;0,OR(Results!$E$4="Tissue",Results!$E$4="Cells")),((DP11*DP$51)/(DP$53)),IF(AND(Results!$E$5="Weight",$C$52&gt;0, Results!$E$4="Tissue",OR($B$52="g",$B$52="mg")),((DP11*DP$51)/(DP$52)),IF(AND(Results!$E$5="Volume",$C$54&gt;0,Results!$E$4="Fluid"),((DP11*DP$51)/(DP$54)),IF(AND(Results!$E$4="Cells",Results!$E$5="Million",$B$52="million"),((DP11*DP$51)/(DP$52)),"0")))))</f>
        <v>4.8224999999999998</v>
      </c>
      <c r="DQ64" s="20">
        <f>IF(DQ11=0,"0",IF(AND(Results!$E$5="Protein",$C$53&gt;0,OR(Results!$E$4="Tissue",Results!$E$4="Cells")),((DQ11*DQ$51)/(DQ$53)),IF(AND(Results!$E$5="Weight",$C$52&gt;0, Results!$E$4="Tissue",OR($B$52="g",$B$52="mg")),((DQ11*DQ$51)/(DQ$52)),IF(AND(Results!$E$5="Volume",$C$54&gt;0,Results!$E$4="Fluid"),((DQ11*DQ$51)/(DQ$54)),IF(AND(Results!$E$4="Cells",Results!$E$5="Million",$B$52="million"),((DQ11*DQ$51)/(DQ$52)),"0")))))</f>
        <v>1.3470166666666665</v>
      </c>
      <c r="DR64" s="20">
        <f>IF(DR11=0,"0",IF(AND(Results!$E$5="Protein",$C$53&gt;0,OR(Results!$E$4="Tissue",Results!$E$4="Cells")),((DR11*DR$51)/(DR$53)),IF(AND(Results!$E$5="Weight",$C$52&gt;0, Results!$E$4="Tissue",OR($B$52="g",$B$52="mg")),((DR11*DR$51)/(DR$52)),IF(AND(Results!$E$5="Volume",$C$54&gt;0,Results!$E$4="Fluid"),((DR11*DR$51)/(DR$54)),IF(AND(Results!$E$4="Cells",Results!$E$5="Million",$B$52="million"),((DR11*DR$51)/(DR$52)),"0")))))</f>
        <v>1.3323333333333334</v>
      </c>
      <c r="DS64" s="20">
        <f>IF(DS11=0,"0",IF(AND(Results!$E$5="Protein",$C$53&gt;0,OR(Results!$E$4="Tissue",Results!$E$4="Cells")),((DS11*DS$51)/(DS$53)),IF(AND(Results!$E$5="Weight",$C$52&gt;0, Results!$E$4="Tissue",OR($B$52="g",$B$52="mg")),((DS11*DS$51)/(DS$52)),IF(AND(Results!$E$5="Volume",$C$54&gt;0,Results!$E$4="Fluid"),((DS11*DS$51)/(DS$54)),IF(AND(Results!$E$4="Cells",Results!$E$5="Million",$B$52="million"),((DS11*DS$51)/(DS$52)),"0")))))</f>
        <v>0.73498333333333343</v>
      </c>
      <c r="DT64" s="20">
        <f>IF(DT11=0,"0",IF(AND(Results!$E$5="Protein",$C$53&gt;0,OR(Results!$E$4="Tissue",Results!$E$4="Cells")),((DT11*DT$51)/(DT$53)),IF(AND(Results!$E$5="Weight",$C$52&gt;0, Results!$E$4="Tissue",OR($B$52="g",$B$52="mg")),((DT11*DT$51)/(DT$52)),IF(AND(Results!$E$5="Volume",$C$54&gt;0,Results!$E$4="Fluid"),((DT11*DT$51)/(DT$54)),IF(AND(Results!$E$4="Cells",Results!$E$5="Million",$B$52="million"),((DT11*DT$51)/(DT$52)),"0")))))</f>
        <v>5.6375500000000001</v>
      </c>
      <c r="DU64" s="20">
        <f>IF(DU11=0,"0",IF(AND(Results!$E$5="Protein",$C$53&gt;0,OR(Results!$E$4="Tissue",Results!$E$4="Cells")),((DU11*DU$51)/(DU$53)),IF(AND(Results!$E$5="Weight",$C$52&gt;0, Results!$E$4="Tissue",OR($B$52="g",$B$52="mg")),((DU11*DU$51)/(DU$52)),IF(AND(Results!$E$5="Volume",$C$54&gt;0,Results!$E$4="Fluid"),((DU11*DU$51)/(DU$54)),IF(AND(Results!$E$4="Cells",Results!$E$5="Million",$B$52="million"),((DU11*DU$51)/(DU$52)),"0")))))</f>
        <v>1.8245</v>
      </c>
      <c r="DV64" s="20">
        <f>IF(DV11=0,"0",IF(AND(Results!$E$5="Protein",$C$53&gt;0,OR(Results!$E$4="Tissue",Results!$E$4="Cells")),((DV11*DV$51)/(DV$53)),IF(AND(Results!$E$5="Weight",$C$52&gt;0, Results!$E$4="Tissue",OR($B$52="g",$B$52="mg")),((DV11*DV$51)/(DV$52)),IF(AND(Results!$E$5="Volume",$C$54&gt;0,Results!$E$4="Fluid"),((DV11*DV$51)/(DV$54)),IF(AND(Results!$E$4="Cells",Results!$E$5="Million",$B$52="million"),((DV11*DV$51)/(DV$52)),"0")))))</f>
        <v>1.6431333333333336</v>
      </c>
      <c r="DW64" s="20">
        <f>IF(DW11=0,"0",IF(AND(Results!$E$5="Protein",$C$53&gt;0,OR(Results!$E$4="Tissue",Results!$E$4="Cells")),((DW11*DW$51)/(DW$53)),IF(AND(Results!$E$5="Weight",$C$52&gt;0, Results!$E$4="Tissue",OR($B$52="g",$B$52="mg")),((DW11*DW$51)/(DW$52)),IF(AND(Results!$E$5="Volume",$C$54&gt;0,Results!$E$4="Fluid"),((DW11*DW$51)/(DW$54)),IF(AND(Results!$E$4="Cells",Results!$E$5="Million",$B$52="million"),((DW11*DW$51)/(DW$52)),"0")))))</f>
        <v>1.2320333333333333</v>
      </c>
      <c r="DX64" s="20">
        <f>IF(DX11=0,"0",IF(AND(Results!$E$5="Protein",$C$53&gt;0,OR(Results!$E$4="Tissue",Results!$E$4="Cells")),((DX11*DX$51)/(DX$53)),IF(AND(Results!$E$5="Weight",$C$52&gt;0, Results!$E$4="Tissue",OR($B$52="g",$B$52="mg")),((DX11*DX$51)/(DX$52)),IF(AND(Results!$E$5="Volume",$C$54&gt;0,Results!$E$4="Fluid"),((DX11*DX$51)/(DX$54)),IF(AND(Results!$E$4="Cells",Results!$E$5="Million",$B$52="million"),((DX11*DX$51)/(DX$52)),"0")))))</f>
        <v>1.9436333333333333</v>
      </c>
      <c r="DY64" s="20">
        <f>IF(DY11=0,"0",IF(AND(Results!$E$5="Protein",$C$53&gt;0,OR(Results!$E$4="Tissue",Results!$E$4="Cells")),((DY11*DY$51)/(DY$53)),IF(AND(Results!$E$5="Weight",$C$52&gt;0, Results!$E$4="Tissue",OR($B$52="g",$B$52="mg")),((DY11*DY$51)/(DY$52)),IF(AND(Results!$E$5="Volume",$C$54&gt;0,Results!$E$4="Fluid"),((DY11*DY$51)/(DY$54)),IF(AND(Results!$E$4="Cells",Results!$E$5="Million",$B$52="million"),((DY11*DY$51)/(DY$52)),"0")))))</f>
        <v>1.9772500000000002</v>
      </c>
      <c r="DZ64" s="20">
        <f>IF(DZ11=0,"0",IF(AND(Results!$E$5="Protein",$C$53&gt;0,OR(Results!$E$4="Tissue",Results!$E$4="Cells")),((DZ11*DZ$51)/(DZ$53)),IF(AND(Results!$E$5="Weight",$C$52&gt;0, Results!$E$4="Tissue",OR($B$52="g",$B$52="mg")),((DZ11*DZ$51)/(DZ$52)),IF(AND(Results!$E$5="Volume",$C$54&gt;0,Results!$E$4="Fluid"),((DZ11*DZ$51)/(DZ$54)),IF(AND(Results!$E$4="Cells",Results!$E$5="Million",$B$52="million"),((DZ11*DZ$51)/(DZ$52)),"0")))))</f>
        <v>0.59098333333333342</v>
      </c>
      <c r="EA64" s="20">
        <f>IF(EA11=0,"0",IF(AND(Results!$E$5="Protein",$C$53&gt;0,OR(Results!$E$4="Tissue",Results!$E$4="Cells")),((EA11*EA$51)/(EA$53)),IF(AND(Results!$E$5="Weight",$C$52&gt;0, Results!$E$4="Tissue",OR($B$52="g",$B$52="mg")),((EA11*EA$51)/(EA$52)),IF(AND(Results!$E$5="Volume",$C$54&gt;0,Results!$E$4="Fluid"),((EA11*EA$51)/(EA$54)),IF(AND(Results!$E$4="Cells",Results!$E$5="Million",$B$52="million"),((EA11*EA$51)/(EA$52)),"0")))))</f>
        <v>1.5518666666666665</v>
      </c>
      <c r="EB64" s="20">
        <f>IF(EB11=0,"0",IF(AND(Results!$E$5="Protein",$C$53&gt;0,OR(Results!$E$4="Tissue",Results!$E$4="Cells")),((EB11*EB$51)/(EB$53)),IF(AND(Results!$E$5="Weight",$C$52&gt;0, Results!$E$4="Tissue",OR($B$52="g",$B$52="mg")),((EB11*EB$51)/(EB$52)),IF(AND(Results!$E$5="Volume",$C$54&gt;0,Results!$E$4="Fluid"),((EB11*EB$51)/(EB$54)),IF(AND(Results!$E$4="Cells",Results!$E$5="Million",$B$52="million"),((EB11*EB$51)/(EB$52)),"0")))))</f>
        <v>1.3859666666666663</v>
      </c>
      <c r="EC64" s="20">
        <f>IF(EC11=0,"0",IF(AND(Results!$E$5="Protein",$C$53&gt;0,OR(Results!$E$4="Tissue",Results!$E$4="Cells")),((EC11*EC$51)/(EC$53)),IF(AND(Results!$E$5="Weight",$C$52&gt;0, Results!$E$4="Tissue",OR($B$52="g",$B$52="mg")),((EC11*EC$51)/(EC$52)),IF(AND(Results!$E$5="Volume",$C$54&gt;0,Results!$E$4="Fluid"),((EC11*EC$51)/(EC$54)),IF(AND(Results!$E$4="Cells",Results!$E$5="Million",$B$52="million"),((EC11*EC$51)/(EC$52)),"0")))))</f>
        <v>1.4163500000000002</v>
      </c>
      <c r="ED64" s="20">
        <f>IF(ED11=0,"0",IF(AND(Results!$E$5="Protein",$C$53&gt;0,OR(Results!$E$4="Tissue",Results!$E$4="Cells")),((ED11*ED$51)/(ED$53)),IF(AND(Results!$E$5="Weight",$C$52&gt;0, Results!$E$4="Tissue",OR($B$52="g",$B$52="mg")),((ED11*ED$51)/(ED$52)),IF(AND(Results!$E$5="Volume",$C$54&gt;0,Results!$E$4="Fluid"),((ED11*ED$51)/(ED$54)),IF(AND(Results!$E$4="Cells",Results!$E$5="Million",$B$52="million"),((ED11*ED$51)/(ED$52)),"0")))))</f>
        <v>1.3013499999999998</v>
      </c>
      <c r="EE64" s="20">
        <f>IF(EE11=0,"0",IF(AND(Results!$E$5="Protein",$C$53&gt;0,OR(Results!$E$4="Tissue",Results!$E$4="Cells")),((EE11*EE$51)/(EE$53)),IF(AND(Results!$E$5="Weight",$C$52&gt;0, Results!$E$4="Tissue",OR($B$52="g",$B$52="mg")),((EE11*EE$51)/(EE$52)),IF(AND(Results!$E$5="Volume",$C$54&gt;0,Results!$E$4="Fluid"),((EE11*EE$51)/(EE$54)),IF(AND(Results!$E$4="Cells",Results!$E$5="Million",$B$52="million"),((EE11*EE$51)/(EE$52)),"0")))))</f>
        <v>0.62775000000000003</v>
      </c>
      <c r="EF64" s="20">
        <f>IF(EF11=0,"0",IF(AND(Results!$E$5="Protein",$C$53&gt;0,OR(Results!$E$4="Tissue",Results!$E$4="Cells")),((EF11*EF$51)/(EF$53)),IF(AND(Results!$E$5="Weight",$C$52&gt;0, Results!$E$4="Tissue",OR($B$52="g",$B$52="mg")),((EF11*EF$51)/(EF$52)),IF(AND(Results!$E$5="Volume",$C$54&gt;0,Results!$E$4="Fluid"),((EF11*EF$51)/(EF$54)),IF(AND(Results!$E$4="Cells",Results!$E$5="Million",$B$52="million"),((EF11*EF$51)/(EF$52)),"0")))))</f>
        <v>1.6190500000000001</v>
      </c>
      <c r="EG64" s="20">
        <f>IF(EG11=0,"0",IF(AND(Results!$E$5="Protein",$C$53&gt;0,OR(Results!$E$4="Tissue",Results!$E$4="Cells")),((EG11*EG$51)/(EG$53)),IF(AND(Results!$E$5="Weight",$C$52&gt;0, Results!$E$4="Tissue",OR($B$52="g",$B$52="mg")),((EG11*EG$51)/(EG$52)),IF(AND(Results!$E$5="Volume",$C$54&gt;0,Results!$E$4="Fluid"),((EG11*EG$51)/(EG$54)),IF(AND(Results!$E$4="Cells",Results!$E$5="Million",$B$52="million"),((EG11*EG$51)/(EG$52)),"0")))))</f>
        <v>1.85585</v>
      </c>
      <c r="EH64" s="20">
        <f>IF(EH11=0,"0",IF(AND(Results!$E$5="Protein",$C$53&gt;0,OR(Results!$E$4="Tissue",Results!$E$4="Cells")),((EH11*EH$51)/(EH$53)),IF(AND(Results!$E$5="Weight",$C$52&gt;0, Results!$E$4="Tissue",OR($B$52="g",$B$52="mg")),((EH11*EH$51)/(EH$52)),IF(AND(Results!$E$5="Volume",$C$54&gt;0,Results!$E$4="Fluid"),((EH11*EH$51)/(EH$54)),IF(AND(Results!$E$4="Cells",Results!$E$5="Million",$B$52="million"),((EH11*EH$51)/(EH$52)),"0")))))</f>
        <v>0.57856666666666667</v>
      </c>
      <c r="EI64" s="20">
        <f>IF(EI11=0,"0",IF(AND(Results!$E$5="Protein",$C$53&gt;0,OR(Results!$E$4="Tissue",Results!$E$4="Cells")),((EI11*EI$51)/(EI$53)),IF(AND(Results!$E$5="Weight",$C$52&gt;0, Results!$E$4="Tissue",OR($B$52="g",$B$52="mg")),((EI11*EI$51)/(EI$52)),IF(AND(Results!$E$5="Volume",$C$54&gt;0,Results!$E$4="Fluid"),((EI11*EI$51)/(EI$54)),IF(AND(Results!$E$4="Cells",Results!$E$5="Million",$B$52="million"),((EI11*EI$51)/(EI$52)),"0")))))</f>
        <v>0.66044999999999987</v>
      </c>
      <c r="EJ64" s="20">
        <f>IF(EJ11=0,"0",IF(AND(Results!$E$5="Protein",$C$53&gt;0,OR(Results!$E$4="Tissue",Results!$E$4="Cells")),((EJ11*EJ$51)/(EJ$53)),IF(AND(Results!$E$5="Weight",$C$52&gt;0, Results!$E$4="Tissue",OR($B$52="g",$B$52="mg")),((EJ11*EJ$51)/(EJ$52)),IF(AND(Results!$E$5="Volume",$C$54&gt;0,Results!$E$4="Fluid"),((EJ11*EJ$51)/(EJ$54)),IF(AND(Results!$E$4="Cells",Results!$E$5="Million",$B$52="million"),((EJ11*EJ$51)/(EJ$52)),"0")))))</f>
        <v>0.95960000000000001</v>
      </c>
      <c r="EK64" s="20">
        <f>IF(EK11=0,"0",IF(AND(Results!$E$5="Protein",$C$53&gt;0,OR(Results!$E$4="Tissue",Results!$E$4="Cells")),((EK11*EK$51)/(EK$53)),IF(AND(Results!$E$5="Weight",$C$52&gt;0, Results!$E$4="Tissue",OR($B$52="g",$B$52="mg")),((EK11*EK$51)/(EK$52)),IF(AND(Results!$E$5="Volume",$C$54&gt;0,Results!$E$4="Fluid"),((EK11*EK$51)/(EK$54)),IF(AND(Results!$E$4="Cells",Results!$E$5="Million",$B$52="million"),((EK11*EK$51)/(EK$52)),"0")))))</f>
        <v>1.2886666666666668</v>
      </c>
      <c r="EL64" s="20">
        <f>IF(EL11=0,"0",IF(AND(Results!$E$5="Protein",$C$53&gt;0,OR(Results!$E$4="Tissue",Results!$E$4="Cells")),((EL11*EL$51)/(EL$53)),IF(AND(Results!$E$5="Weight",$C$52&gt;0, Results!$E$4="Tissue",OR($B$52="g",$B$52="mg")),((EL11*EL$51)/(EL$52)),IF(AND(Results!$E$5="Volume",$C$54&gt;0,Results!$E$4="Fluid"),((EL11*EL$51)/(EL$54)),IF(AND(Results!$E$4="Cells",Results!$E$5="Million",$B$52="million"),((EL11*EL$51)/(EL$52)),"0")))))</f>
        <v>3.0521333333333329</v>
      </c>
      <c r="EM64" s="20">
        <f>IF(EM11=0,"0",IF(AND(Results!$E$5="Protein",$C$53&gt;0,OR(Results!$E$4="Tissue",Results!$E$4="Cells")),((EM11*EM$51)/(EM$53)),IF(AND(Results!$E$5="Weight",$C$52&gt;0, Results!$E$4="Tissue",OR($B$52="g",$B$52="mg")),((EM11*EM$51)/(EM$52)),IF(AND(Results!$E$5="Volume",$C$54&gt;0,Results!$E$4="Fluid"),((EM11*EM$51)/(EM$54)),IF(AND(Results!$E$4="Cells",Results!$E$5="Million",$B$52="million"),((EM11*EM$51)/(EM$52)),"0")))))</f>
        <v>3.4021666666666666</v>
      </c>
      <c r="EN64" s="20">
        <f>IF(EN11=0,"0",IF(AND(Results!$E$5="Protein",$C$53&gt;0,OR(Results!$E$4="Tissue",Results!$E$4="Cells")),((EN11*EN$51)/(EN$53)),IF(AND(Results!$E$5="Weight",$C$52&gt;0, Results!$E$4="Tissue",OR($B$52="g",$B$52="mg")),((EN11*EN$51)/(EN$52)),IF(AND(Results!$E$5="Volume",$C$54&gt;0,Results!$E$4="Fluid"),((EN11*EN$51)/(EN$54)),IF(AND(Results!$E$4="Cells",Results!$E$5="Million",$B$52="million"),((EN11*EN$51)/(EN$52)),"0")))))</f>
        <v>2.1049833333333332</v>
      </c>
      <c r="EO64" s="20">
        <f>IF(EO11=0,"0",IF(AND(Results!$E$5="Protein",$C$53&gt;0,OR(Results!$E$4="Tissue",Results!$E$4="Cells")),((EO11*EO$51)/(EO$53)),IF(AND(Results!$E$5="Weight",$C$52&gt;0, Results!$E$4="Tissue",OR($B$52="g",$B$52="mg")),((EO11*EO$51)/(EO$52)),IF(AND(Results!$E$5="Volume",$C$54&gt;0,Results!$E$4="Fluid"),((EO11*EO$51)/(EO$54)),IF(AND(Results!$E$4="Cells",Results!$E$5="Million",$B$52="million"),((EO11*EO$51)/(EO$52)),"0")))))</f>
        <v>1.0959833333333333</v>
      </c>
      <c r="EP64" s="20">
        <f>IF(EP11=0,"0",IF(AND(Results!$E$5="Protein",$C$53&gt;0,OR(Results!$E$4="Tissue",Results!$E$4="Cells")),((EP11*EP$51)/(EP$53)),IF(AND(Results!$E$5="Weight",$C$52&gt;0, Results!$E$4="Tissue",OR($B$52="g",$B$52="mg")),((EP11*EP$51)/(EP$52)),IF(AND(Results!$E$5="Volume",$C$54&gt;0,Results!$E$4="Fluid"),((EP11*EP$51)/(EP$54)),IF(AND(Results!$E$4="Cells",Results!$E$5="Million",$B$52="million"),((EP11*EP$51)/(EP$52)),"0")))))</f>
        <v>12.229866666666664</v>
      </c>
      <c r="EQ64" s="20">
        <f>IF(EQ11=0,"0",IF(AND(Results!$E$5="Protein",$C$53&gt;0,OR(Results!$E$4="Tissue",Results!$E$4="Cells")),((EQ11*EQ$51)/(EQ$53)),IF(AND(Results!$E$5="Weight",$C$52&gt;0, Results!$E$4="Tissue",OR($B$52="g",$B$52="mg")),((EQ11*EQ$51)/(EQ$52)),IF(AND(Results!$E$5="Volume",$C$54&gt;0,Results!$E$4="Fluid"),((EQ11*EQ$51)/(EQ$54)),IF(AND(Results!$E$4="Cells",Results!$E$5="Million",$B$52="million"),((EQ11*EQ$51)/(EQ$52)),"0")))))</f>
        <v>0.80236666666666656</v>
      </c>
      <c r="ER64" s="20">
        <f>IF(ER11=0,"0",IF(AND(Results!$E$5="Protein",$C$53&gt;0,OR(Results!$E$4="Tissue",Results!$E$4="Cells")),((ER11*ER$51)/(ER$53)),IF(AND(Results!$E$5="Weight",$C$52&gt;0, Results!$E$4="Tissue",OR($B$52="g",$B$52="mg")),((ER11*ER$51)/(ER$52)),IF(AND(Results!$E$5="Volume",$C$54&gt;0,Results!$E$4="Fluid"),((ER11*ER$51)/(ER$54)),IF(AND(Results!$E$4="Cells",Results!$E$5="Million",$B$52="million"),((ER11*ER$51)/(ER$52)),"0")))))</f>
        <v>2.8302166666666668</v>
      </c>
      <c r="ES64" s="20">
        <f>IF(ES11=0,"0",IF(AND(Results!$E$5="Protein",$C$53&gt;0,OR(Results!$E$4="Tissue",Results!$E$4="Cells")),((ES11*ES$51)/(ES$53)),IF(AND(Results!$E$5="Weight",$C$52&gt;0, Results!$E$4="Tissue",OR($B$52="g",$B$52="mg")),((ES11*ES$51)/(ES$52)),IF(AND(Results!$E$5="Volume",$C$54&gt;0,Results!$E$4="Fluid"),((ES11*ES$51)/(ES$54)),IF(AND(Results!$E$4="Cells",Results!$E$5="Million",$B$52="million"),((ES11*ES$51)/(ES$52)),"0")))))</f>
        <v>0.58043333333333336</v>
      </c>
      <c r="ET64" s="20">
        <f>IF(ET11=0,"0",IF(AND(Results!$E$5="Protein",$C$53&gt;0,OR(Results!$E$4="Tissue",Results!$E$4="Cells")),((ET11*ET$51)/(ET$53)),IF(AND(Results!$E$5="Weight",$C$52&gt;0, Results!$E$4="Tissue",OR($B$52="g",$B$52="mg")),((ET11*ET$51)/(ET$52)),IF(AND(Results!$E$5="Volume",$C$54&gt;0,Results!$E$4="Fluid"),((ET11*ET$51)/(ET$54)),IF(AND(Results!$E$4="Cells",Results!$E$5="Million",$B$52="million"),((ET11*ET$51)/(ET$52)),"0")))))</f>
        <v>0.74853333333333327</v>
      </c>
      <c r="EU64" s="20">
        <f>IF(EU11=0,"0",IF(AND(Results!$E$5="Protein",$C$53&gt;0,OR(Results!$E$4="Tissue",Results!$E$4="Cells")),((EU11*EU$51)/(EU$53)),IF(AND(Results!$E$5="Weight",$C$52&gt;0, Results!$E$4="Tissue",OR($B$52="g",$B$52="mg")),((EU11*EU$51)/(EU$52)),IF(AND(Results!$E$5="Volume",$C$54&gt;0,Results!$E$4="Fluid"),((EU11*EU$51)/(EU$54)),IF(AND(Results!$E$4="Cells",Results!$E$5="Million",$B$52="million"),((EU11*EU$51)/(EU$52)),"0")))))</f>
        <v>0.95923333333333338</v>
      </c>
      <c r="EV64" s="20">
        <f>IF(EV11=0,"0",IF(AND(Results!$E$5="Protein",$C$53&gt;0,OR(Results!$E$4="Tissue",Results!$E$4="Cells")),((EV11*EV$51)/(EV$53)),IF(AND(Results!$E$5="Weight",$C$52&gt;0, Results!$E$4="Tissue",OR($B$52="g",$B$52="mg")),((EV11*EV$51)/(EV$52)),IF(AND(Results!$E$5="Volume",$C$54&gt;0,Results!$E$4="Fluid"),((EV11*EV$51)/(EV$54)),IF(AND(Results!$E$4="Cells",Results!$E$5="Million",$B$52="million"),((EV11*EV$51)/(EV$52)),"0")))))</f>
        <v>1.0537166666666666</v>
      </c>
      <c r="EW64" s="20">
        <f>IF(EW11=0,"0",IF(AND(Results!$E$5="Protein",$C$53&gt;0,OR(Results!$E$4="Tissue",Results!$E$4="Cells")),((EW11*EW$51)/(EW$53)),IF(AND(Results!$E$5="Weight",$C$52&gt;0, Results!$E$4="Tissue",OR($B$52="g",$B$52="mg")),((EW11*EW$51)/(EW$52)),IF(AND(Results!$E$5="Volume",$C$54&gt;0,Results!$E$4="Fluid"),((EW11*EW$51)/(EW$54)),IF(AND(Results!$E$4="Cells",Results!$E$5="Million",$B$52="million"),((EW11*EW$51)/(EW$52)),"0")))))</f>
        <v>1.1603333333333334</v>
      </c>
      <c r="EX64" s="20">
        <f>IF(EX11=0,"0",IF(AND(Results!$E$5="Protein",$C$53&gt;0,OR(Results!$E$4="Tissue",Results!$E$4="Cells")),((EX11*EX$51)/(EX$53)),IF(AND(Results!$E$5="Weight",$C$52&gt;0, Results!$E$4="Tissue",OR($B$52="g",$B$52="mg")),((EX11*EX$51)/(EX$52)),IF(AND(Results!$E$5="Volume",$C$54&gt;0,Results!$E$4="Fluid"),((EX11*EX$51)/(EX$54)),IF(AND(Results!$E$4="Cells",Results!$E$5="Million",$B$52="million"),((EX11*EX$51)/(EX$52)),"0")))))</f>
        <v>2.0029666666666666</v>
      </c>
      <c r="EY64" s="20">
        <f>IF(EY11=0,"0",IF(AND(Results!$E$5="Protein",$C$53&gt;0,OR(Results!$E$4="Tissue",Results!$E$4="Cells")),((EY11*EY$51)/(EY$53)),IF(AND(Results!$E$5="Weight",$C$52&gt;0, Results!$E$4="Tissue",OR($B$52="g",$B$52="mg")),((EY11*EY$51)/(EY$52)),IF(AND(Results!$E$5="Volume",$C$54&gt;0,Results!$E$4="Fluid"),((EY11*EY$51)/(EY$54)),IF(AND(Results!$E$4="Cells",Results!$E$5="Million",$B$52="million"),((EY11*EY$51)/(EY$52)),"0")))))</f>
        <v>3.3724500000000002</v>
      </c>
      <c r="EZ64" s="20">
        <f>IF(EZ11=0,"0",IF(AND(Results!$E$5="Protein",$C$53&gt;0,OR(Results!$E$4="Tissue",Results!$E$4="Cells")),((EZ11*EZ$51)/(EZ$53)),IF(AND(Results!$E$5="Weight",$C$52&gt;0, Results!$E$4="Tissue",OR($B$52="g",$B$52="mg")),((EZ11*EZ$51)/(EZ$52)),IF(AND(Results!$E$5="Volume",$C$54&gt;0,Results!$E$4="Fluid"),((EZ11*EZ$51)/(EZ$54)),IF(AND(Results!$E$4="Cells",Results!$E$5="Million",$B$52="million"),((EZ11*EZ$51)/(EZ$52)),"0")))))</f>
        <v>2.6936499999999999</v>
      </c>
      <c r="FA64" s="20" t="str">
        <f>IF(FA11=0,"0",IF(AND(Results!$E$5="Protein",$C$53&gt;0,OR(Results!$E$4="Tissue",Results!$E$4="Cells")),((FA11*FA$51)/(FA$53)),IF(AND(Results!$E$5="Weight",$C$52&gt;0, Results!$E$4="Tissue",OR($B$52="g",$B$52="mg")),((FA11*FA$51)/(FA$52)),IF(AND(Results!$E$5="Volume",$C$54&gt;0,Results!$E$4="Fluid"),((FA11*FA$51)/(FA$54)),IF(AND(Results!$E$4="Cells",Results!$E$5="Million",$B$52="million"),((FA11*FA$51)/(FA$52)),"0")))))</f>
        <v>0</v>
      </c>
      <c r="FB64" s="20">
        <f>IF(FB11=0,"0",IF(AND(Results!$E$5="Protein",$C$53&gt;0,OR(Results!$E$4="Tissue",Results!$E$4="Cells")),((FB11*FB$51)/(FB$53)),IF(AND(Results!$E$5="Weight",$C$52&gt;0, Results!$E$4="Tissue",OR($B$52="g",$B$52="mg")),((FB11*FB$51)/(FB$52)),IF(AND(Results!$E$5="Volume",$C$54&gt;0,Results!$E$4="Fluid"),((FB11*FB$51)/(FB$54)),IF(AND(Results!$E$4="Cells",Results!$E$5="Million",$B$52="million"),((FB11*FB$51)/(FB$52)),"0")))))</f>
        <v>0.44706666666666661</v>
      </c>
      <c r="FC64" s="20">
        <f>IF(FC11=0,"0",IF(AND(Results!$E$5="Protein",$C$53&gt;0,OR(Results!$E$4="Tissue",Results!$E$4="Cells")),((FC11*FC$51)/(FC$53)),IF(AND(Results!$E$5="Weight",$C$52&gt;0, Results!$E$4="Tissue",OR($B$52="g",$B$52="mg")),((FC11*FC$51)/(FC$52)),IF(AND(Results!$E$5="Volume",$C$54&gt;0,Results!$E$4="Fluid"),((FC11*FC$51)/(FC$54)),IF(AND(Results!$E$4="Cells",Results!$E$5="Million",$B$52="million"),((FC11*FC$51)/(FC$52)),"0")))))</f>
        <v>1.2053499999999999</v>
      </c>
      <c r="FD64" s="20">
        <f>IF(FD11=0,"0",IF(AND(Results!$E$5="Protein",$C$53&gt;0,OR(Results!$E$4="Tissue",Results!$E$4="Cells")),((FD11*FD$51)/(FD$53)),IF(AND(Results!$E$5="Weight",$C$52&gt;0, Results!$E$4="Tissue",OR($B$52="g",$B$52="mg")),((FD11*FD$51)/(FD$52)),IF(AND(Results!$E$5="Volume",$C$54&gt;0,Results!$E$4="Fluid"),((FD11*FD$51)/(FD$54)),IF(AND(Results!$E$4="Cells",Results!$E$5="Million",$B$52="million"),((FD11*FD$51)/(FD$52)),"0")))))</f>
        <v>1.9685833333333336</v>
      </c>
      <c r="FE64" s="20">
        <f>IF(FE11=0,"0",IF(AND(Results!$E$5="Protein",$C$53&gt;0,OR(Results!$E$4="Tissue",Results!$E$4="Cells")),((FE11*FE$51)/(FE$53)),IF(AND(Results!$E$5="Weight",$C$52&gt;0, Results!$E$4="Tissue",OR($B$52="g",$B$52="mg")),((FE11*FE$51)/(FE$52)),IF(AND(Results!$E$5="Volume",$C$54&gt;0,Results!$E$4="Fluid"),((FE11*FE$51)/(FE$54)),IF(AND(Results!$E$4="Cells",Results!$E$5="Million",$B$52="million"),((FE11*FE$51)/(FE$52)),"0")))))</f>
        <v>2.7170333333333332</v>
      </c>
      <c r="FF64" s="20">
        <f>IF(FF11=0,"0",IF(AND(Results!$E$5="Protein",$C$53&gt;0,OR(Results!$E$4="Tissue",Results!$E$4="Cells")),((FF11*FF$51)/(FF$53)),IF(AND(Results!$E$5="Weight",$C$52&gt;0, Results!$E$4="Tissue",OR($B$52="g",$B$52="mg")),((FF11*FF$51)/(FF$52)),IF(AND(Results!$E$5="Volume",$C$54&gt;0,Results!$E$4="Fluid"),((FF11*FF$51)/(FF$54)),IF(AND(Results!$E$4="Cells",Results!$E$5="Million",$B$52="million"),((FF11*FF$51)/(FF$52)),"0")))))</f>
        <v>7.5913166666666667</v>
      </c>
      <c r="FG64" s="20">
        <f>IF(FG11=0,"0",IF(AND(Results!$E$5="Protein",$C$53&gt;0,OR(Results!$E$4="Tissue",Results!$E$4="Cells")),((FG11*FG$51)/(FG$53)),IF(AND(Results!$E$5="Weight",$C$52&gt;0, Results!$E$4="Tissue",OR($B$52="g",$B$52="mg")),((FG11*FG$51)/(FG$52)),IF(AND(Results!$E$5="Volume",$C$54&gt;0,Results!$E$4="Fluid"),((FG11*FG$51)/(FG$54)),IF(AND(Results!$E$4="Cells",Results!$E$5="Million",$B$52="million"),((FG11*FG$51)/(FG$52)),"0")))))</f>
        <v>2.2356166666666666</v>
      </c>
      <c r="FH64" s="20">
        <f>IF(FH11=0,"0",IF(AND(Results!$E$5="Protein",$C$53&gt;0,OR(Results!$E$4="Tissue",Results!$E$4="Cells")),((FH11*FH$51)/(FH$53)),IF(AND(Results!$E$5="Weight",$C$52&gt;0, Results!$E$4="Tissue",OR($B$52="g",$B$52="mg")),((FH11*FH$51)/(FH$52)),IF(AND(Results!$E$5="Volume",$C$54&gt;0,Results!$E$4="Fluid"),((FH11*FH$51)/(FH$54)),IF(AND(Results!$E$4="Cells",Results!$E$5="Million",$B$52="million"),((FH11*FH$51)/(FH$52)),"0")))))</f>
        <v>1.8103333333333333</v>
      </c>
      <c r="FI64" s="20">
        <f>IF(FI11=0,"0",IF(AND(Results!$E$5="Protein",$C$53&gt;0,OR(Results!$E$4="Tissue",Results!$E$4="Cells")),((FI11*FI$51)/(FI$53)),IF(AND(Results!$E$5="Weight",$C$52&gt;0, Results!$E$4="Tissue",OR($B$52="g",$B$52="mg")),((FI11*FI$51)/(FI$52)),IF(AND(Results!$E$5="Volume",$C$54&gt;0,Results!$E$4="Fluid"),((FI11*FI$51)/(FI$54)),IF(AND(Results!$E$4="Cells",Results!$E$5="Million",$B$52="million"),((FI11*FI$51)/(FI$52)),"0")))))</f>
        <v>0.39906666666666674</v>
      </c>
      <c r="FJ64" s="20">
        <f>IF(FJ11=0,"0",IF(AND(Results!$E$5="Protein",$C$53&gt;0,OR(Results!$E$4="Tissue",Results!$E$4="Cells")),((FJ11*FJ$51)/(FJ$53)),IF(AND(Results!$E$5="Weight",$C$52&gt;0, Results!$E$4="Tissue",OR($B$52="g",$B$52="mg")),((FJ11*FJ$51)/(FJ$52)),IF(AND(Results!$E$5="Volume",$C$54&gt;0,Results!$E$4="Fluid"),((FJ11*FJ$51)/(FJ$54)),IF(AND(Results!$E$4="Cells",Results!$E$5="Million",$B$52="million"),((FJ11*FJ$51)/(FJ$52)),"0")))))</f>
        <v>3.9326333333333334</v>
      </c>
      <c r="FK64" s="20">
        <f>IF(FK11=0,"0",IF(AND(Results!$E$5="Protein",$C$53&gt;0,OR(Results!$E$4="Tissue",Results!$E$4="Cells")),((FK11*FK$51)/(FK$53)),IF(AND(Results!$E$5="Weight",$C$52&gt;0, Results!$E$4="Tissue",OR($B$52="g",$B$52="mg")),((FK11*FK$51)/(FK$52)),IF(AND(Results!$E$5="Volume",$C$54&gt;0,Results!$E$4="Fluid"),((FK11*FK$51)/(FK$54)),IF(AND(Results!$E$4="Cells",Results!$E$5="Million",$B$52="million"),((FK11*FK$51)/(FK$52)),"0")))))</f>
        <v>7.0858499999999989</v>
      </c>
      <c r="FL64" s="20">
        <f>IF(FL11=0,"0",IF(AND(Results!$E$5="Protein",$C$53&gt;0,OR(Results!$E$4="Tissue",Results!$E$4="Cells")),((FL11*FL$51)/(FL$53)),IF(AND(Results!$E$5="Weight",$C$52&gt;0, Results!$E$4="Tissue",OR($B$52="g",$B$52="mg")),((FL11*FL$51)/(FL$52)),IF(AND(Results!$E$5="Volume",$C$54&gt;0,Results!$E$4="Fluid"),((FL11*FL$51)/(FL$54)),IF(AND(Results!$E$4="Cells",Results!$E$5="Million",$B$52="million"),((FL11*FL$51)/(FL$52)),"0")))))</f>
        <v>1.7776333333333336</v>
      </c>
      <c r="FM64" s="20">
        <f>IF(FM11=0,"0",IF(AND(Results!$E$5="Protein",$C$53&gt;0,OR(Results!$E$4="Tissue",Results!$E$4="Cells")),((FM11*FM$51)/(FM$53)),IF(AND(Results!$E$5="Weight",$C$52&gt;0, Results!$E$4="Tissue",OR($B$52="g",$B$52="mg")),((FM11*FM$51)/(FM$52)),IF(AND(Results!$E$5="Volume",$C$54&gt;0,Results!$E$4="Fluid"),((FM11*FM$51)/(FM$54)),IF(AND(Results!$E$4="Cells",Results!$E$5="Million",$B$52="million"),((FM11*FM$51)/(FM$52)),"0")))))</f>
        <v>1.3432833333333332</v>
      </c>
      <c r="FN64" s="20">
        <f>IF(FN11=0,"0",IF(AND(Results!$E$5="Protein",$C$53&gt;0,OR(Results!$E$4="Tissue",Results!$E$4="Cells")),((FN11*FN$51)/(FN$53)),IF(AND(Results!$E$5="Weight",$C$52&gt;0, Results!$E$4="Tissue",OR($B$52="g",$B$52="mg")),((FN11*FN$51)/(FN$52)),IF(AND(Results!$E$5="Volume",$C$54&gt;0,Results!$E$4="Fluid"),((FN11*FN$51)/(FN$54)),IF(AND(Results!$E$4="Cells",Results!$E$5="Million",$B$52="million"),((FN11*FN$51)/(FN$52)),"0")))))</f>
        <v>5.6345333333333336</v>
      </c>
      <c r="FO64" s="20">
        <f>IF(FO11=0,"0",IF(AND(Results!$E$5="Protein",$C$53&gt;0,OR(Results!$E$4="Tissue",Results!$E$4="Cells")),((FO11*FO$51)/(FO$53)),IF(AND(Results!$E$5="Weight",$C$52&gt;0, Results!$E$4="Tissue",OR($B$52="g",$B$52="mg")),((FO11*FO$51)/(FO$52)),IF(AND(Results!$E$5="Volume",$C$54&gt;0,Results!$E$4="Fluid"),((FO11*FO$51)/(FO$54)),IF(AND(Results!$E$4="Cells",Results!$E$5="Million",$B$52="million"),((FO11*FO$51)/(FO$52)),"0")))))</f>
        <v>1.6807333333333334</v>
      </c>
    </row>
    <row r="65" spans="1:171" x14ac:dyDescent="0.2">
      <c r="A65" s="120" t="str">
        <f t="shared" si="0"/>
        <v>PGA1</v>
      </c>
      <c r="B65" s="121"/>
      <c r="C65" s="20" t="str">
        <f>IF(C12=0,"0",IF(AND(Results!$E$5="Protein",$C$53&gt;0,OR(Results!$E$4="Tissue",Results!$E$4="Cells")),((C12*C$51)/(C$53)),IF(AND(Results!$E$5="Weight",$C$52&gt;0, Results!$E$4="Tissue",OR($B$52="g",$B$52="mg")),((C12*C$51)/(C$52)),IF(AND(Results!$E$5="Volume",$C$54&gt;0,Results!$E$4="Fluid"),((C12*C$51)/(C$54)),IF(AND(Results!$E$4="Cells",Results!$E$5="Million",$B$52="million"),((C12*C$51)/(C$52)),"0")))))</f>
        <v>0</v>
      </c>
      <c r="D65" s="20" t="str">
        <f>IF(D12=0,"0",IF(AND(Results!$E$5="Protein",$C$53&gt;0,OR(Results!$E$4="Tissue",Results!$E$4="Cells")),((D12*D$51)/(D$53)),IF(AND(Results!$E$5="Weight",$C$52&gt;0, Results!$E$4="Tissue",OR($B$52="g",$B$52="mg")),((D12*D$51)/(D$52)),IF(AND(Results!$E$5="Volume",$C$54&gt;0,Results!$E$4="Fluid"),((D12*D$51)/(D$54)),IF(AND(Results!$E$4="Cells",Results!$E$5="Million",$B$52="million"),((D12*D$51)/(D$52)),"0")))))</f>
        <v>0</v>
      </c>
      <c r="E65" s="20" t="str">
        <f>IF(E12=0,"0",IF(AND(Results!$E$5="Protein",$C$53&gt;0,OR(Results!$E$4="Tissue",Results!$E$4="Cells")),((E12*E$51)/(E$53)),IF(AND(Results!$E$5="Weight",$C$52&gt;0, Results!$E$4="Tissue",OR($B$52="g",$B$52="mg")),((E12*E$51)/(E$52)),IF(AND(Results!$E$5="Volume",$C$54&gt;0,Results!$E$4="Fluid"),((E12*E$51)/(E$54)),IF(AND(Results!$E$4="Cells",Results!$E$5="Million",$B$52="million"),((E12*E$51)/(E$52)),"0")))))</f>
        <v>0</v>
      </c>
      <c r="F65" s="20" t="str">
        <f>IF(F12=0,"0",IF(AND(Results!$E$5="Protein",$C$53&gt;0,OR(Results!$E$4="Tissue",Results!$E$4="Cells")),((F12*F$51)/(F$53)),IF(AND(Results!$E$5="Weight",$C$52&gt;0, Results!$E$4="Tissue",OR($B$52="g",$B$52="mg")),((F12*F$51)/(F$52)),IF(AND(Results!$E$5="Volume",$C$54&gt;0,Results!$E$4="Fluid"),((F12*F$51)/(F$54)),IF(AND(Results!$E$4="Cells",Results!$E$5="Million",$B$52="million"),((F12*F$51)/(F$52)),"0")))))</f>
        <v>0</v>
      </c>
      <c r="G65" s="20" t="str">
        <f>IF(G12=0,"0",IF(AND(Results!$E$5="Protein",$C$53&gt;0,OR(Results!$E$4="Tissue",Results!$E$4="Cells")),((G12*G$51)/(G$53)),IF(AND(Results!$E$5="Weight",$C$52&gt;0, Results!$E$4="Tissue",OR($B$52="g",$B$52="mg")),((G12*G$51)/(G$52)),IF(AND(Results!$E$5="Volume",$C$54&gt;0,Results!$E$4="Fluid"),((G12*G$51)/(G$54)),IF(AND(Results!$E$4="Cells",Results!$E$5="Million",$B$52="million"),((G12*G$51)/(G$52)),"0")))))</f>
        <v>0</v>
      </c>
      <c r="H65" s="20" t="str">
        <f>IF(H12=0,"0",IF(AND(Results!$E$5="Protein",$C$53&gt;0,OR(Results!$E$4="Tissue",Results!$E$4="Cells")),((H12*H$51)/(H$53)),IF(AND(Results!$E$5="Weight",$C$52&gt;0, Results!$E$4="Tissue",OR($B$52="g",$B$52="mg")),((H12*H$51)/(H$52)),IF(AND(Results!$E$5="Volume",$C$54&gt;0,Results!$E$4="Fluid"),((H12*H$51)/(H$54)),IF(AND(Results!$E$4="Cells",Results!$E$5="Million",$B$52="million"),((H12*H$51)/(H$52)),"0")))))</f>
        <v>0</v>
      </c>
      <c r="I65" s="20" t="str">
        <f>IF(I12=0,"0",IF(AND(Results!$E$5="Protein",$C$53&gt;0,OR(Results!$E$4="Tissue",Results!$E$4="Cells")),((I12*I$51)/(I$53)),IF(AND(Results!$E$5="Weight",$C$52&gt;0, Results!$E$4="Tissue",OR($B$52="g",$B$52="mg")),((I12*I$51)/(I$52)),IF(AND(Results!$E$5="Volume",$C$54&gt;0,Results!$E$4="Fluid"),((I12*I$51)/(I$54)),IF(AND(Results!$E$4="Cells",Results!$E$5="Million",$B$52="million"),((I12*I$51)/(I$52)),"0")))))</f>
        <v>0</v>
      </c>
      <c r="J65" s="20" t="str">
        <f>IF(J12=0,"0",IF(AND(Results!$E$5="Protein",$C$53&gt;0,OR(Results!$E$4="Tissue",Results!$E$4="Cells")),((J12*J$51)/(J$53)),IF(AND(Results!$E$5="Weight",$C$52&gt;0, Results!$E$4="Tissue",OR($B$52="g",$B$52="mg")),((J12*J$51)/(J$52)),IF(AND(Results!$E$5="Volume",$C$54&gt;0,Results!$E$4="Fluid"),((J12*J$51)/(J$54)),IF(AND(Results!$E$4="Cells",Results!$E$5="Million",$B$52="million"),((J12*J$51)/(J$52)),"0")))))</f>
        <v>0</v>
      </c>
      <c r="K65" s="20" t="str">
        <f>IF(K12=0,"0",IF(AND(Results!$E$5="Protein",$C$53&gt;0,OR(Results!$E$4="Tissue",Results!$E$4="Cells")),((K12*K$51)/(K$53)),IF(AND(Results!$E$5="Weight",$C$52&gt;0, Results!$E$4="Tissue",OR($B$52="g",$B$52="mg")),((K12*K$51)/(K$52)),IF(AND(Results!$E$5="Volume",$C$54&gt;0,Results!$E$4="Fluid"),((K12*K$51)/(K$54)),IF(AND(Results!$E$4="Cells",Results!$E$5="Million",$B$52="million"),((K12*K$51)/(K$52)),"0")))))</f>
        <v>0</v>
      </c>
      <c r="L65" s="20" t="str">
        <f>IF(L12=0,"0",IF(AND(Results!$E$5="Protein",$C$53&gt;0,OR(Results!$E$4="Tissue",Results!$E$4="Cells")),((L12*L$51)/(L$53)),IF(AND(Results!$E$5="Weight",$C$52&gt;0, Results!$E$4="Tissue",OR($B$52="g",$B$52="mg")),((L12*L$51)/(L$52)),IF(AND(Results!$E$5="Volume",$C$54&gt;0,Results!$E$4="Fluid"),((L12*L$51)/(L$54)),IF(AND(Results!$E$4="Cells",Results!$E$5="Million",$B$52="million"),((L12*L$51)/(L$52)),"0")))))</f>
        <v>0</v>
      </c>
      <c r="M65" s="20" t="str">
        <f>IF(M12=0,"0",IF(AND(Results!$E$5="Protein",$C$53&gt;0,OR(Results!$E$4="Tissue",Results!$E$4="Cells")),((M12*M$51)/(M$53)),IF(AND(Results!$E$5="Weight",$C$52&gt;0, Results!$E$4="Tissue",OR($B$52="g",$B$52="mg")),((M12*M$51)/(M$52)),IF(AND(Results!$E$5="Volume",$C$54&gt;0,Results!$E$4="Fluid"),((M12*M$51)/(M$54)),IF(AND(Results!$E$4="Cells",Results!$E$5="Million",$B$52="million"),((M12*M$51)/(M$52)),"0")))))</f>
        <v>0</v>
      </c>
      <c r="N65" s="20" t="str">
        <f>IF(N12=0,"0",IF(AND(Results!$E$5="Protein",$C$53&gt;0,OR(Results!$E$4="Tissue",Results!$E$4="Cells")),((N12*N$51)/(N$53)),IF(AND(Results!$E$5="Weight",$C$52&gt;0, Results!$E$4="Tissue",OR($B$52="g",$B$52="mg")),((N12*N$51)/(N$52)),IF(AND(Results!$E$5="Volume",$C$54&gt;0,Results!$E$4="Fluid"),((N12*N$51)/(N$54)),IF(AND(Results!$E$4="Cells",Results!$E$5="Million",$B$52="million"),((N12*N$51)/(N$52)),"0")))))</f>
        <v>0</v>
      </c>
      <c r="O65" s="20" t="str">
        <f>IF(O12=0,"0",IF(AND(Results!$E$5="Protein",$C$53&gt;0,OR(Results!$E$4="Tissue",Results!$E$4="Cells")),((O12*O$51)/(O$53)),IF(AND(Results!$E$5="Weight",$C$52&gt;0, Results!$E$4="Tissue",OR($B$52="g",$B$52="mg")),((O12*O$51)/(O$52)),IF(AND(Results!$E$5="Volume",$C$54&gt;0,Results!$E$4="Fluid"),((O12*O$51)/(O$54)),IF(AND(Results!$E$4="Cells",Results!$E$5="Million",$B$52="million"),((O12*O$51)/(O$52)),"0")))))</f>
        <v>0</v>
      </c>
      <c r="P65" s="20" t="str">
        <f>IF(P12=0,"0",IF(AND(Results!$E$5="Protein",$C$53&gt;0,OR(Results!$E$4="Tissue",Results!$E$4="Cells")),((P12*P$51)/(P$53)),IF(AND(Results!$E$5="Weight",$C$52&gt;0, Results!$E$4="Tissue",OR($B$52="g",$B$52="mg")),((P12*P$51)/(P$52)),IF(AND(Results!$E$5="Volume",$C$54&gt;0,Results!$E$4="Fluid"),((P12*P$51)/(P$54)),IF(AND(Results!$E$4="Cells",Results!$E$5="Million",$B$52="million"),((P12*P$51)/(P$52)),"0")))))</f>
        <v>0</v>
      </c>
      <c r="Q65" s="20" t="str">
        <f>IF(Q12=0,"0",IF(AND(Results!$E$5="Protein",$C$53&gt;0,OR(Results!$E$4="Tissue",Results!$E$4="Cells")),((Q12*Q$51)/(Q$53)),IF(AND(Results!$E$5="Weight",$C$52&gt;0, Results!$E$4="Tissue",OR($B$52="g",$B$52="mg")),((Q12*Q$51)/(Q$52)),IF(AND(Results!$E$5="Volume",$C$54&gt;0,Results!$E$4="Fluid"),((Q12*Q$51)/(Q$54)),IF(AND(Results!$E$4="Cells",Results!$E$5="Million",$B$52="million"),((Q12*Q$51)/(Q$52)),"0")))))</f>
        <v>0</v>
      </c>
      <c r="R65" s="20" t="str">
        <f>IF(R12=0,"0",IF(AND(Results!$E$5="Protein",$C$53&gt;0,OR(Results!$E$4="Tissue",Results!$E$4="Cells")),((R12*R$51)/(R$53)),IF(AND(Results!$E$5="Weight",$C$52&gt;0, Results!$E$4="Tissue",OR($B$52="g",$B$52="mg")),((R12*R$51)/(R$52)),IF(AND(Results!$E$5="Volume",$C$54&gt;0,Results!$E$4="Fluid"),((R12*R$51)/(R$54)),IF(AND(Results!$E$4="Cells",Results!$E$5="Million",$B$52="million"),((R12*R$51)/(R$52)),"0")))))</f>
        <v>0</v>
      </c>
      <c r="S65" s="20" t="str">
        <f>IF(S12=0,"0",IF(AND(Results!$E$5="Protein",$C$53&gt;0,OR(Results!$E$4="Tissue",Results!$E$4="Cells")),((S12*S$51)/(S$53)),IF(AND(Results!$E$5="Weight",$C$52&gt;0, Results!$E$4="Tissue",OR($B$52="g",$B$52="mg")),((S12*S$51)/(S$52)),IF(AND(Results!$E$5="Volume",$C$54&gt;0,Results!$E$4="Fluid"),((S12*S$51)/(S$54)),IF(AND(Results!$E$4="Cells",Results!$E$5="Million",$B$52="million"),((S12*S$51)/(S$52)),"0")))))</f>
        <v>0</v>
      </c>
      <c r="T65" s="20" t="str">
        <f>IF(T12=0,"0",IF(AND(Results!$E$5="Protein",$C$53&gt;0,OR(Results!$E$4="Tissue",Results!$E$4="Cells")),((T12*T$51)/(T$53)),IF(AND(Results!$E$5="Weight",$C$52&gt;0, Results!$E$4="Tissue",OR($B$52="g",$B$52="mg")),((T12*T$51)/(T$52)),IF(AND(Results!$E$5="Volume",$C$54&gt;0,Results!$E$4="Fluid"),((T12*T$51)/(T$54)),IF(AND(Results!$E$4="Cells",Results!$E$5="Million",$B$52="million"),((T12*T$51)/(T$52)),"0")))))</f>
        <v>0</v>
      </c>
      <c r="U65" s="20" t="str">
        <f>IF(U12=0,"0",IF(AND(Results!$E$5="Protein",$C$53&gt;0,OR(Results!$E$4="Tissue",Results!$E$4="Cells")),((U12*U$51)/(U$53)),IF(AND(Results!$E$5="Weight",$C$52&gt;0, Results!$E$4="Tissue",OR($B$52="g",$B$52="mg")),((U12*U$51)/(U$52)),IF(AND(Results!$E$5="Volume",$C$54&gt;0,Results!$E$4="Fluid"),((U12*U$51)/(U$54)),IF(AND(Results!$E$4="Cells",Results!$E$5="Million",$B$52="million"),((U12*U$51)/(U$52)),"0")))))</f>
        <v>0</v>
      </c>
      <c r="V65" s="20" t="str">
        <f>IF(V12=0,"0",IF(AND(Results!$E$5="Protein",$C$53&gt;0,OR(Results!$E$4="Tissue",Results!$E$4="Cells")),((V12*V$51)/(V$53)),IF(AND(Results!$E$5="Weight",$C$52&gt;0, Results!$E$4="Tissue",OR($B$52="g",$B$52="mg")),((V12*V$51)/(V$52)),IF(AND(Results!$E$5="Volume",$C$54&gt;0,Results!$E$4="Fluid"),((V12*V$51)/(V$54)),IF(AND(Results!$E$4="Cells",Results!$E$5="Million",$B$52="million"),((V12*V$51)/(V$52)),"0")))))</f>
        <v>0</v>
      </c>
      <c r="W65" s="20" t="str">
        <f>IF(W12=0,"0",IF(AND(Results!$E$5="Protein",$C$53&gt;0,OR(Results!$E$4="Tissue",Results!$E$4="Cells")),((W12*W$51)/(W$53)),IF(AND(Results!$E$5="Weight",$C$52&gt;0, Results!$E$4="Tissue",OR($B$52="g",$B$52="mg")),((W12*W$51)/(W$52)),IF(AND(Results!$E$5="Volume",$C$54&gt;0,Results!$E$4="Fluid"),((W12*W$51)/(W$54)),IF(AND(Results!$E$4="Cells",Results!$E$5="Million",$B$52="million"),((W12*W$51)/(W$52)),"0")))))</f>
        <v>0</v>
      </c>
      <c r="X65" s="20" t="str">
        <f>IF(X12=0,"0",IF(AND(Results!$E$5="Protein",$C$53&gt;0,OR(Results!$E$4="Tissue",Results!$E$4="Cells")),((X12*X$51)/(X$53)),IF(AND(Results!$E$5="Weight",$C$52&gt;0, Results!$E$4="Tissue",OR($B$52="g",$B$52="mg")),((X12*X$51)/(X$52)),IF(AND(Results!$E$5="Volume",$C$54&gt;0,Results!$E$4="Fluid"),((X12*X$51)/(X$54)),IF(AND(Results!$E$4="Cells",Results!$E$5="Million",$B$52="million"),((X12*X$51)/(X$52)),"0")))))</f>
        <v>0</v>
      </c>
      <c r="Y65" s="20" t="str">
        <f>IF(Y12=0,"0",IF(AND(Results!$E$5="Protein",$C$53&gt;0,OR(Results!$E$4="Tissue",Results!$E$4="Cells")),((Y12*Y$51)/(Y$53)),IF(AND(Results!$E$5="Weight",$C$52&gt;0, Results!$E$4="Tissue",OR($B$52="g",$B$52="mg")),((Y12*Y$51)/(Y$52)),IF(AND(Results!$E$5="Volume",$C$54&gt;0,Results!$E$4="Fluid"),((Y12*Y$51)/(Y$54)),IF(AND(Results!$E$4="Cells",Results!$E$5="Million",$B$52="million"),((Y12*Y$51)/(Y$52)),"0")))))</f>
        <v>0</v>
      </c>
      <c r="Z65" s="20" t="str">
        <f>IF(Z12=0,"0",IF(AND(Results!$E$5="Protein",$C$53&gt;0,OR(Results!$E$4="Tissue",Results!$E$4="Cells")),((Z12*Z$51)/(Z$53)),IF(AND(Results!$E$5="Weight",$C$52&gt;0, Results!$E$4="Tissue",OR($B$52="g",$B$52="mg")),((Z12*Z$51)/(Z$52)),IF(AND(Results!$E$5="Volume",$C$54&gt;0,Results!$E$4="Fluid"),((Z12*Z$51)/(Z$54)),IF(AND(Results!$E$4="Cells",Results!$E$5="Million",$B$52="million"),((Z12*Z$51)/(Z$52)),"0")))))</f>
        <v>0</v>
      </c>
      <c r="AA65" s="20" t="str">
        <f>IF(AA12=0,"0",IF(AND(Results!$E$5="Protein",$C$53&gt;0,OR(Results!$E$4="Tissue",Results!$E$4="Cells")),((AA12*AA$51)/(AA$53)),IF(AND(Results!$E$5="Weight",$C$52&gt;0, Results!$E$4="Tissue",OR($B$52="g",$B$52="mg")),((AA12*AA$51)/(AA$52)),IF(AND(Results!$E$5="Volume",$C$54&gt;0,Results!$E$4="Fluid"),((AA12*AA$51)/(AA$54)),IF(AND(Results!$E$4="Cells",Results!$E$5="Million",$B$52="million"),((AA12*AA$51)/(AA$52)),"0")))))</f>
        <v>0</v>
      </c>
      <c r="AB65" s="20" t="str">
        <f>IF(AB12=0,"0",IF(AND(Results!$E$5="Protein",$C$53&gt;0,OR(Results!$E$4="Tissue",Results!$E$4="Cells")),((AB12*AB$51)/(AB$53)),IF(AND(Results!$E$5="Weight",$C$52&gt;0, Results!$E$4="Tissue",OR($B$52="g",$B$52="mg")),((AB12*AB$51)/(AB$52)),IF(AND(Results!$E$5="Volume",$C$54&gt;0,Results!$E$4="Fluid"),((AB12*AB$51)/(AB$54)),IF(AND(Results!$E$4="Cells",Results!$E$5="Million",$B$52="million"),((AB12*AB$51)/(AB$52)),"0")))))</f>
        <v>0</v>
      </c>
      <c r="AC65" s="20" t="str">
        <f>IF(AC12=0,"0",IF(AND(Results!$E$5="Protein",$C$53&gt;0,OR(Results!$E$4="Tissue",Results!$E$4="Cells")),((AC12*AC$51)/(AC$53)),IF(AND(Results!$E$5="Weight",$C$52&gt;0, Results!$E$4="Tissue",OR($B$52="g",$B$52="mg")),((AC12*AC$51)/(AC$52)),IF(AND(Results!$E$5="Volume",$C$54&gt;0,Results!$E$4="Fluid"),((AC12*AC$51)/(AC$54)),IF(AND(Results!$E$4="Cells",Results!$E$5="Million",$B$52="million"),((AC12*AC$51)/(AC$52)),"0")))))</f>
        <v>0</v>
      </c>
      <c r="AD65" s="20" t="str">
        <f>IF(AD12=0,"0",IF(AND(Results!$E$5="Protein",$C$53&gt;0,OR(Results!$E$4="Tissue",Results!$E$4="Cells")),((AD12*AD$51)/(AD$53)),IF(AND(Results!$E$5="Weight",$C$52&gt;0, Results!$E$4="Tissue",OR($B$52="g",$B$52="mg")),((AD12*AD$51)/(AD$52)),IF(AND(Results!$E$5="Volume",$C$54&gt;0,Results!$E$4="Fluid"),((AD12*AD$51)/(AD$54)),IF(AND(Results!$E$4="Cells",Results!$E$5="Million",$B$52="million"),((AD12*AD$51)/(AD$52)),"0")))))</f>
        <v>0</v>
      </c>
      <c r="AE65" s="20" t="str">
        <f>IF(AE12=0,"0",IF(AND(Results!$E$5="Protein",$C$53&gt;0,OR(Results!$E$4="Tissue",Results!$E$4="Cells")),((AE12*AE$51)/(AE$53)),IF(AND(Results!$E$5="Weight",$C$52&gt;0, Results!$E$4="Tissue",OR($B$52="g",$B$52="mg")),((AE12*AE$51)/(AE$52)),IF(AND(Results!$E$5="Volume",$C$54&gt;0,Results!$E$4="Fluid"),((AE12*AE$51)/(AE$54)),IF(AND(Results!$E$4="Cells",Results!$E$5="Million",$B$52="million"),((AE12*AE$51)/(AE$52)),"0")))))</f>
        <v>0</v>
      </c>
      <c r="AF65" s="20" t="str">
        <f>IF(AF12=0,"0",IF(AND(Results!$E$5="Protein",$C$53&gt;0,OR(Results!$E$4="Tissue",Results!$E$4="Cells")),((AF12*AF$51)/(AF$53)),IF(AND(Results!$E$5="Weight",$C$52&gt;0, Results!$E$4="Tissue",OR($B$52="g",$B$52="mg")),((AF12*AF$51)/(AF$52)),IF(AND(Results!$E$5="Volume",$C$54&gt;0,Results!$E$4="Fluid"),((AF12*AF$51)/(AF$54)),IF(AND(Results!$E$4="Cells",Results!$E$5="Million",$B$52="million"),((AF12*AF$51)/(AF$52)),"0")))))</f>
        <v>0</v>
      </c>
      <c r="AG65" s="20" t="str">
        <f>IF(AG12=0,"0",IF(AND(Results!$E$5="Protein",$C$53&gt;0,OR(Results!$E$4="Tissue",Results!$E$4="Cells")),((AG12*AG$51)/(AG$53)),IF(AND(Results!$E$5="Weight",$C$52&gt;0, Results!$E$4="Tissue",OR($B$52="g",$B$52="mg")),((AG12*AG$51)/(AG$52)),IF(AND(Results!$E$5="Volume",$C$54&gt;0,Results!$E$4="Fluid"),((AG12*AG$51)/(AG$54)),IF(AND(Results!$E$4="Cells",Results!$E$5="Million",$B$52="million"),((AG12*AG$51)/(AG$52)),"0")))))</f>
        <v>0</v>
      </c>
      <c r="AH65" s="20" t="str">
        <f>IF(AH12=0,"0",IF(AND(Results!$E$5="Protein",$C$53&gt;0,OR(Results!$E$4="Tissue",Results!$E$4="Cells")),((AH12*AH$51)/(AH$53)),IF(AND(Results!$E$5="Weight",$C$52&gt;0, Results!$E$4="Tissue",OR($B$52="g",$B$52="mg")),((AH12*AH$51)/(AH$52)),IF(AND(Results!$E$5="Volume",$C$54&gt;0,Results!$E$4="Fluid"),((AH12*AH$51)/(AH$54)),IF(AND(Results!$E$4="Cells",Results!$E$5="Million",$B$52="million"),((AH12*AH$51)/(AH$52)),"0")))))</f>
        <v>0</v>
      </c>
      <c r="AI65" s="20" t="str">
        <f>IF(AI12=0,"0",IF(AND(Results!$E$5="Protein",$C$53&gt;0,OR(Results!$E$4="Tissue",Results!$E$4="Cells")),((AI12*AI$51)/(AI$53)),IF(AND(Results!$E$5="Weight",$C$52&gt;0, Results!$E$4="Tissue",OR($B$52="g",$B$52="mg")),((AI12*AI$51)/(AI$52)),IF(AND(Results!$E$5="Volume",$C$54&gt;0,Results!$E$4="Fluid"),((AI12*AI$51)/(AI$54)),IF(AND(Results!$E$4="Cells",Results!$E$5="Million",$B$52="million"),((AI12*AI$51)/(AI$52)),"0")))))</f>
        <v>0</v>
      </c>
      <c r="AJ65" s="20" t="str">
        <f>IF(AJ12=0,"0",IF(AND(Results!$E$5="Protein",$C$53&gt;0,OR(Results!$E$4="Tissue",Results!$E$4="Cells")),((AJ12*AJ$51)/(AJ$53)),IF(AND(Results!$E$5="Weight",$C$52&gt;0, Results!$E$4="Tissue",OR($B$52="g",$B$52="mg")),((AJ12*AJ$51)/(AJ$52)),IF(AND(Results!$E$5="Volume",$C$54&gt;0,Results!$E$4="Fluid"),((AJ12*AJ$51)/(AJ$54)),IF(AND(Results!$E$4="Cells",Results!$E$5="Million",$B$52="million"),((AJ12*AJ$51)/(AJ$52)),"0")))))</f>
        <v>0</v>
      </c>
      <c r="AK65" s="20" t="str">
        <f>IF(AK12=0,"0",IF(AND(Results!$E$5="Protein",$C$53&gt;0,OR(Results!$E$4="Tissue",Results!$E$4="Cells")),((AK12*AK$51)/(AK$53)),IF(AND(Results!$E$5="Weight",$C$52&gt;0, Results!$E$4="Tissue",OR($B$52="g",$B$52="mg")),((AK12*AK$51)/(AK$52)),IF(AND(Results!$E$5="Volume",$C$54&gt;0,Results!$E$4="Fluid"),((AK12*AK$51)/(AK$54)),IF(AND(Results!$E$4="Cells",Results!$E$5="Million",$B$52="million"),((AK12*AK$51)/(AK$52)),"0")))))</f>
        <v>0</v>
      </c>
      <c r="AL65" s="20" t="str">
        <f>IF(AL12=0,"0",IF(AND(Results!$E$5="Protein",$C$53&gt;0,OR(Results!$E$4="Tissue",Results!$E$4="Cells")),((AL12*AL$51)/(AL$53)),IF(AND(Results!$E$5="Weight",$C$52&gt;0, Results!$E$4="Tissue",OR($B$52="g",$B$52="mg")),((AL12*AL$51)/(AL$52)),IF(AND(Results!$E$5="Volume",$C$54&gt;0,Results!$E$4="Fluid"),((AL12*AL$51)/(AL$54)),IF(AND(Results!$E$4="Cells",Results!$E$5="Million",$B$52="million"),((AL12*AL$51)/(AL$52)),"0")))))</f>
        <v>0</v>
      </c>
      <c r="AM65" s="20" t="str">
        <f>IF(AM12=0,"0",IF(AND(Results!$E$5="Protein",$C$53&gt;0,OR(Results!$E$4="Tissue",Results!$E$4="Cells")),((AM12*AM$51)/(AM$53)),IF(AND(Results!$E$5="Weight",$C$52&gt;0, Results!$E$4="Tissue",OR($B$52="g",$B$52="mg")),((AM12*AM$51)/(AM$52)),IF(AND(Results!$E$5="Volume",$C$54&gt;0,Results!$E$4="Fluid"),((AM12*AM$51)/(AM$54)),IF(AND(Results!$E$4="Cells",Results!$E$5="Million",$B$52="million"),((AM12*AM$51)/(AM$52)),"0")))))</f>
        <v>0</v>
      </c>
      <c r="AN65" s="20" t="str">
        <f>IF(AN12=0,"0",IF(AND(Results!$E$5="Protein",$C$53&gt;0,OR(Results!$E$4="Tissue",Results!$E$4="Cells")),((AN12*AN$51)/(AN$53)),IF(AND(Results!$E$5="Weight",$C$52&gt;0, Results!$E$4="Tissue",OR($B$52="g",$B$52="mg")),((AN12*AN$51)/(AN$52)),IF(AND(Results!$E$5="Volume",$C$54&gt;0,Results!$E$4="Fluid"),((AN12*AN$51)/(AN$54)),IF(AND(Results!$E$4="Cells",Results!$E$5="Million",$B$52="million"),((AN12*AN$51)/(AN$52)),"0")))))</f>
        <v>0</v>
      </c>
      <c r="AO65" s="20" t="str">
        <f>IF(AO12=0,"0",IF(AND(Results!$E$5="Protein",$C$53&gt;0,OR(Results!$E$4="Tissue",Results!$E$4="Cells")),((AO12*AO$51)/(AO$53)),IF(AND(Results!$E$5="Weight",$C$52&gt;0, Results!$E$4="Tissue",OR($B$52="g",$B$52="mg")),((AO12*AO$51)/(AO$52)),IF(AND(Results!$E$5="Volume",$C$54&gt;0,Results!$E$4="Fluid"),((AO12*AO$51)/(AO$54)),IF(AND(Results!$E$4="Cells",Results!$E$5="Million",$B$52="million"),((AO12*AO$51)/(AO$52)),"0")))))</f>
        <v>0</v>
      </c>
      <c r="AP65" s="20" t="str">
        <f>IF(AP12=0,"0",IF(AND(Results!$E$5="Protein",$C$53&gt;0,OR(Results!$E$4="Tissue",Results!$E$4="Cells")),((AP12*AP$51)/(AP$53)),IF(AND(Results!$E$5="Weight",$C$52&gt;0, Results!$E$4="Tissue",OR($B$52="g",$B$52="mg")),((AP12*AP$51)/(AP$52)),IF(AND(Results!$E$5="Volume",$C$54&gt;0,Results!$E$4="Fluid"),((AP12*AP$51)/(AP$54)),IF(AND(Results!$E$4="Cells",Results!$E$5="Million",$B$52="million"),((AP12*AP$51)/(AP$52)),"0")))))</f>
        <v>0</v>
      </c>
      <c r="AQ65" s="20" t="str">
        <f>IF(AQ12=0,"0",IF(AND(Results!$E$5="Protein",$C$53&gt;0,OR(Results!$E$4="Tissue",Results!$E$4="Cells")),((AQ12*AQ$51)/(AQ$53)),IF(AND(Results!$E$5="Weight",$C$52&gt;0, Results!$E$4="Tissue",OR($B$52="g",$B$52="mg")),((AQ12*AQ$51)/(AQ$52)),IF(AND(Results!$E$5="Volume",$C$54&gt;0,Results!$E$4="Fluid"),((AQ12*AQ$51)/(AQ$54)),IF(AND(Results!$E$4="Cells",Results!$E$5="Million",$B$52="million"),((AQ12*AQ$51)/(AQ$52)),"0")))))</f>
        <v>0</v>
      </c>
      <c r="AR65" s="20" t="str">
        <f>IF(AR12=0,"0",IF(AND(Results!$E$5="Protein",$C$53&gt;0,OR(Results!$E$4="Tissue",Results!$E$4="Cells")),((AR12*AR$51)/(AR$53)),IF(AND(Results!$E$5="Weight",$C$52&gt;0, Results!$E$4="Tissue",OR($B$52="g",$B$52="mg")),((AR12*AR$51)/(AR$52)),IF(AND(Results!$E$5="Volume",$C$54&gt;0,Results!$E$4="Fluid"),((AR12*AR$51)/(AR$54)),IF(AND(Results!$E$4="Cells",Results!$E$5="Million",$B$52="million"),((AR12*AR$51)/(AR$52)),"0")))))</f>
        <v>0</v>
      </c>
      <c r="AS65" s="20" t="str">
        <f>IF(AS12=0,"0",IF(AND(Results!$E$5="Protein",$C$53&gt;0,OR(Results!$E$4="Tissue",Results!$E$4="Cells")),((AS12*AS$51)/(AS$53)),IF(AND(Results!$E$5="Weight",$C$52&gt;0, Results!$E$4="Tissue",OR($B$52="g",$B$52="mg")),((AS12*AS$51)/(AS$52)),IF(AND(Results!$E$5="Volume",$C$54&gt;0,Results!$E$4="Fluid"),((AS12*AS$51)/(AS$54)),IF(AND(Results!$E$4="Cells",Results!$E$5="Million",$B$52="million"),((AS12*AS$51)/(AS$52)),"0")))))</f>
        <v>0</v>
      </c>
      <c r="AT65" s="20" t="str">
        <f>IF(AT12=0,"0",IF(AND(Results!$E$5="Protein",$C$53&gt;0,OR(Results!$E$4="Tissue",Results!$E$4="Cells")),((AT12*AT$51)/(AT$53)),IF(AND(Results!$E$5="Weight",$C$52&gt;0, Results!$E$4="Tissue",OR($B$52="g",$B$52="mg")),((AT12*AT$51)/(AT$52)),IF(AND(Results!$E$5="Volume",$C$54&gt;0,Results!$E$4="Fluid"),((AT12*AT$51)/(AT$54)),IF(AND(Results!$E$4="Cells",Results!$E$5="Million",$B$52="million"),((AT12*AT$51)/(AT$52)),"0")))))</f>
        <v>0</v>
      </c>
      <c r="AU65" s="20" t="str">
        <f>IF(AU12=0,"0",IF(AND(Results!$E$5="Protein",$C$53&gt;0,OR(Results!$E$4="Tissue",Results!$E$4="Cells")),((AU12*AU$51)/(AU$53)),IF(AND(Results!$E$5="Weight",$C$52&gt;0, Results!$E$4="Tissue",OR($B$52="g",$B$52="mg")),((AU12*AU$51)/(AU$52)),IF(AND(Results!$E$5="Volume",$C$54&gt;0,Results!$E$4="Fluid"),((AU12*AU$51)/(AU$54)),IF(AND(Results!$E$4="Cells",Results!$E$5="Million",$B$52="million"),((AU12*AU$51)/(AU$52)),"0")))))</f>
        <v>0</v>
      </c>
      <c r="AV65" s="20" t="str">
        <f>IF(AV12=0,"0",IF(AND(Results!$E$5="Protein",$C$53&gt;0,OR(Results!$E$4="Tissue",Results!$E$4="Cells")),((AV12*AV$51)/(AV$53)),IF(AND(Results!$E$5="Weight",$C$52&gt;0, Results!$E$4="Tissue",OR($B$52="g",$B$52="mg")),((AV12*AV$51)/(AV$52)),IF(AND(Results!$E$5="Volume",$C$54&gt;0,Results!$E$4="Fluid"),((AV12*AV$51)/(AV$54)),IF(AND(Results!$E$4="Cells",Results!$E$5="Million",$B$52="million"),((AV12*AV$51)/(AV$52)),"0")))))</f>
        <v>0</v>
      </c>
      <c r="AW65" s="20" t="str">
        <f>IF(AW12=0,"0",IF(AND(Results!$E$5="Protein",$C$53&gt;0,OR(Results!$E$4="Tissue",Results!$E$4="Cells")),((AW12*AW$51)/(AW$53)),IF(AND(Results!$E$5="Weight",$C$52&gt;0, Results!$E$4="Tissue",OR($B$52="g",$B$52="mg")),((AW12*AW$51)/(AW$52)),IF(AND(Results!$E$5="Volume",$C$54&gt;0,Results!$E$4="Fluid"),((AW12*AW$51)/(AW$54)),IF(AND(Results!$E$4="Cells",Results!$E$5="Million",$B$52="million"),((AW12*AW$51)/(AW$52)),"0")))))</f>
        <v>0</v>
      </c>
      <c r="AX65" s="20" t="str">
        <f>IF(AX12=0,"0",IF(AND(Results!$E$5="Protein",$C$53&gt;0,OR(Results!$E$4="Tissue",Results!$E$4="Cells")),((AX12*AX$51)/(AX$53)),IF(AND(Results!$E$5="Weight",$C$52&gt;0, Results!$E$4="Tissue",OR($B$52="g",$B$52="mg")),((AX12*AX$51)/(AX$52)),IF(AND(Results!$E$5="Volume",$C$54&gt;0,Results!$E$4="Fluid"),((AX12*AX$51)/(AX$54)),IF(AND(Results!$E$4="Cells",Results!$E$5="Million",$B$52="million"),((AX12*AX$51)/(AX$52)),"0")))))</f>
        <v>0</v>
      </c>
      <c r="AY65" s="20" t="str">
        <f>IF(AY12=0,"0",IF(AND(Results!$E$5="Protein",$C$53&gt;0,OR(Results!$E$4="Tissue",Results!$E$4="Cells")),((AY12*AY$51)/(AY$53)),IF(AND(Results!$E$5="Weight",$C$52&gt;0, Results!$E$4="Tissue",OR($B$52="g",$B$52="mg")),((AY12*AY$51)/(AY$52)),IF(AND(Results!$E$5="Volume",$C$54&gt;0,Results!$E$4="Fluid"),((AY12*AY$51)/(AY$54)),IF(AND(Results!$E$4="Cells",Results!$E$5="Million",$B$52="million"),((AY12*AY$51)/(AY$52)),"0")))))</f>
        <v>0</v>
      </c>
      <c r="AZ65" s="20" t="str">
        <f>IF(AZ12=0,"0",IF(AND(Results!$E$5="Protein",$C$53&gt;0,OR(Results!$E$4="Tissue",Results!$E$4="Cells")),((AZ12*AZ$51)/(AZ$53)),IF(AND(Results!$E$5="Weight",$C$52&gt;0, Results!$E$4="Tissue",OR($B$52="g",$B$52="mg")),((AZ12*AZ$51)/(AZ$52)),IF(AND(Results!$E$5="Volume",$C$54&gt;0,Results!$E$4="Fluid"),((AZ12*AZ$51)/(AZ$54)),IF(AND(Results!$E$4="Cells",Results!$E$5="Million",$B$52="million"),((AZ12*AZ$51)/(AZ$52)),"0")))))</f>
        <v>0</v>
      </c>
      <c r="BA65" s="20" t="str">
        <f>IF(BA12=0,"0",IF(AND(Results!$E$5="Protein",$C$53&gt;0,OR(Results!$E$4="Tissue",Results!$E$4="Cells")),((BA12*BA$51)/(BA$53)),IF(AND(Results!$E$5="Weight",$C$52&gt;0, Results!$E$4="Tissue",OR($B$52="g",$B$52="mg")),((BA12*BA$51)/(BA$52)),IF(AND(Results!$E$5="Volume",$C$54&gt;0,Results!$E$4="Fluid"),((BA12*BA$51)/(BA$54)),IF(AND(Results!$E$4="Cells",Results!$E$5="Million",$B$52="million"),((BA12*BA$51)/(BA$52)),"0")))))</f>
        <v>0</v>
      </c>
      <c r="BB65" s="20" t="str">
        <f>IF(BB12=0,"0",IF(AND(Results!$E$5="Protein",$C$53&gt;0,OR(Results!$E$4="Tissue",Results!$E$4="Cells")),((BB12*BB$51)/(BB$53)),IF(AND(Results!$E$5="Weight",$C$52&gt;0, Results!$E$4="Tissue",OR($B$52="g",$B$52="mg")),((BB12*BB$51)/(BB$52)),IF(AND(Results!$E$5="Volume",$C$54&gt;0,Results!$E$4="Fluid"),((BB12*BB$51)/(BB$54)),IF(AND(Results!$E$4="Cells",Results!$E$5="Million",$B$52="million"),((BB12*BB$51)/(BB$52)),"0")))))</f>
        <v>0</v>
      </c>
      <c r="BC65" s="20" t="str">
        <f>IF(BC12=0,"0",IF(AND(Results!$E$5="Protein",$C$53&gt;0,OR(Results!$E$4="Tissue",Results!$E$4="Cells")),((BC12*BC$51)/(BC$53)),IF(AND(Results!$E$5="Weight",$C$52&gt;0, Results!$E$4="Tissue",OR($B$52="g",$B$52="mg")),((BC12*BC$51)/(BC$52)),IF(AND(Results!$E$5="Volume",$C$54&gt;0,Results!$E$4="Fluid"),((BC12*BC$51)/(BC$54)),IF(AND(Results!$E$4="Cells",Results!$E$5="Million",$B$52="million"),((BC12*BC$51)/(BC$52)),"0")))))</f>
        <v>0</v>
      </c>
      <c r="BD65" s="20" t="str">
        <f>IF(BD12=0,"0",IF(AND(Results!$E$5="Protein",$C$53&gt;0,OR(Results!$E$4="Tissue",Results!$E$4="Cells")),((BD12*BD$51)/(BD$53)),IF(AND(Results!$E$5="Weight",$C$52&gt;0, Results!$E$4="Tissue",OR($B$52="g",$B$52="mg")),((BD12*BD$51)/(BD$52)),IF(AND(Results!$E$5="Volume",$C$54&gt;0,Results!$E$4="Fluid"),((BD12*BD$51)/(BD$54)),IF(AND(Results!$E$4="Cells",Results!$E$5="Million",$B$52="million"),((BD12*BD$51)/(BD$52)),"0")))))</f>
        <v>0</v>
      </c>
      <c r="BE65" s="20" t="str">
        <f>IF(BE12=0,"0",IF(AND(Results!$E$5="Protein",$C$53&gt;0,OR(Results!$E$4="Tissue",Results!$E$4="Cells")),((BE12*BE$51)/(BE$53)),IF(AND(Results!$E$5="Weight",$C$52&gt;0, Results!$E$4="Tissue",OR($B$52="g",$B$52="mg")),((BE12*BE$51)/(BE$52)),IF(AND(Results!$E$5="Volume",$C$54&gt;0,Results!$E$4="Fluid"),((BE12*BE$51)/(BE$54)),IF(AND(Results!$E$4="Cells",Results!$E$5="Million",$B$52="million"),((BE12*BE$51)/(BE$52)),"0")))))</f>
        <v>0</v>
      </c>
      <c r="BF65" s="20" t="str">
        <f>IF(BF12=0,"0",IF(AND(Results!$E$5="Protein",$C$53&gt;0,OR(Results!$E$4="Tissue",Results!$E$4="Cells")),((BF12*BF$51)/(BF$53)),IF(AND(Results!$E$5="Weight",$C$52&gt;0, Results!$E$4="Tissue",OR($B$52="g",$B$52="mg")),((BF12*BF$51)/(BF$52)),IF(AND(Results!$E$5="Volume",$C$54&gt;0,Results!$E$4="Fluid"),((BF12*BF$51)/(BF$54)),IF(AND(Results!$E$4="Cells",Results!$E$5="Million",$B$52="million"),((BF12*BF$51)/(BF$52)),"0")))))</f>
        <v>0</v>
      </c>
      <c r="BG65" s="20" t="str">
        <f>IF(BG12=0,"0",IF(AND(Results!$E$5="Protein",$C$53&gt;0,OR(Results!$E$4="Tissue",Results!$E$4="Cells")),((BG12*BG$51)/(BG$53)),IF(AND(Results!$E$5="Weight",$C$52&gt;0, Results!$E$4="Tissue",OR($B$52="g",$B$52="mg")),((BG12*BG$51)/(BG$52)),IF(AND(Results!$E$5="Volume",$C$54&gt;0,Results!$E$4="Fluid"),((BG12*BG$51)/(BG$54)),IF(AND(Results!$E$4="Cells",Results!$E$5="Million",$B$52="million"),((BG12*BG$51)/(BG$52)),"0")))))</f>
        <v>0</v>
      </c>
      <c r="BH65" s="20" t="str">
        <f>IF(BH12=0,"0",IF(AND(Results!$E$5="Protein",$C$53&gt;0,OR(Results!$E$4="Tissue",Results!$E$4="Cells")),((BH12*BH$51)/(BH$53)),IF(AND(Results!$E$5="Weight",$C$52&gt;0, Results!$E$4="Tissue",OR($B$52="g",$B$52="mg")),((BH12*BH$51)/(BH$52)),IF(AND(Results!$E$5="Volume",$C$54&gt;0,Results!$E$4="Fluid"),((BH12*BH$51)/(BH$54)),IF(AND(Results!$E$4="Cells",Results!$E$5="Million",$B$52="million"),((BH12*BH$51)/(BH$52)),"0")))))</f>
        <v>0</v>
      </c>
      <c r="BI65" s="20" t="str">
        <f>IF(BI12=0,"0",IF(AND(Results!$E$5="Protein",$C$53&gt;0,OR(Results!$E$4="Tissue",Results!$E$4="Cells")),((BI12*BI$51)/(BI$53)),IF(AND(Results!$E$5="Weight",$C$52&gt;0, Results!$E$4="Tissue",OR($B$52="g",$B$52="mg")),((BI12*BI$51)/(BI$52)),IF(AND(Results!$E$5="Volume",$C$54&gt;0,Results!$E$4="Fluid"),((BI12*BI$51)/(BI$54)),IF(AND(Results!$E$4="Cells",Results!$E$5="Million",$B$52="million"),((BI12*BI$51)/(BI$52)),"0")))))</f>
        <v>0</v>
      </c>
      <c r="BJ65" s="20" t="str">
        <f>IF(BJ12=0,"0",IF(AND(Results!$E$5="Protein",$C$53&gt;0,OR(Results!$E$4="Tissue",Results!$E$4="Cells")),((BJ12*BJ$51)/(BJ$53)),IF(AND(Results!$E$5="Weight",$C$52&gt;0, Results!$E$4="Tissue",OR($B$52="g",$B$52="mg")),((BJ12*BJ$51)/(BJ$52)),IF(AND(Results!$E$5="Volume",$C$54&gt;0,Results!$E$4="Fluid"),((BJ12*BJ$51)/(BJ$54)),IF(AND(Results!$E$4="Cells",Results!$E$5="Million",$B$52="million"),((BJ12*BJ$51)/(BJ$52)),"0")))))</f>
        <v>0</v>
      </c>
      <c r="BK65" s="20" t="str">
        <f>IF(BK12=0,"0",IF(AND(Results!$E$5="Protein",$C$53&gt;0,OR(Results!$E$4="Tissue",Results!$E$4="Cells")),((BK12*BK$51)/(BK$53)),IF(AND(Results!$E$5="Weight",$C$52&gt;0, Results!$E$4="Tissue",OR($B$52="g",$B$52="mg")),((BK12*BK$51)/(BK$52)),IF(AND(Results!$E$5="Volume",$C$54&gt;0,Results!$E$4="Fluid"),((BK12*BK$51)/(BK$54)),IF(AND(Results!$E$4="Cells",Results!$E$5="Million",$B$52="million"),((BK12*BK$51)/(BK$52)),"0")))))</f>
        <v>0</v>
      </c>
      <c r="BL65" s="20" t="str">
        <f>IF(BL12=0,"0",IF(AND(Results!$E$5="Protein",$C$53&gt;0,OR(Results!$E$4="Tissue",Results!$E$4="Cells")),((BL12*BL$51)/(BL$53)),IF(AND(Results!$E$5="Weight",$C$52&gt;0, Results!$E$4="Tissue",OR($B$52="g",$B$52="mg")),((BL12*BL$51)/(BL$52)),IF(AND(Results!$E$5="Volume",$C$54&gt;0,Results!$E$4="Fluid"),((BL12*BL$51)/(BL$54)),IF(AND(Results!$E$4="Cells",Results!$E$5="Million",$B$52="million"),((BL12*BL$51)/(BL$52)),"0")))))</f>
        <v>0</v>
      </c>
      <c r="BM65" s="20" t="str">
        <f>IF(BM12=0,"0",IF(AND(Results!$E$5="Protein",$C$53&gt;0,OR(Results!$E$4="Tissue",Results!$E$4="Cells")),((BM12*BM$51)/(BM$53)),IF(AND(Results!$E$5="Weight",$C$52&gt;0, Results!$E$4="Tissue",OR($B$52="g",$B$52="mg")),((BM12*BM$51)/(BM$52)),IF(AND(Results!$E$5="Volume",$C$54&gt;0,Results!$E$4="Fluid"),((BM12*BM$51)/(BM$54)),IF(AND(Results!$E$4="Cells",Results!$E$5="Million",$B$52="million"),((BM12*BM$51)/(BM$52)),"0")))))</f>
        <v>0</v>
      </c>
      <c r="BN65" s="20" t="str">
        <f>IF(BN12=0,"0",IF(AND(Results!$E$5="Protein",$C$53&gt;0,OR(Results!$E$4="Tissue",Results!$E$4="Cells")),((BN12*BN$51)/(BN$53)),IF(AND(Results!$E$5="Weight",$C$52&gt;0, Results!$E$4="Tissue",OR($B$52="g",$B$52="mg")),((BN12*BN$51)/(BN$52)),IF(AND(Results!$E$5="Volume",$C$54&gt;0,Results!$E$4="Fluid"),((BN12*BN$51)/(BN$54)),IF(AND(Results!$E$4="Cells",Results!$E$5="Million",$B$52="million"),((BN12*BN$51)/(BN$52)),"0")))))</f>
        <v>0</v>
      </c>
      <c r="BO65" s="20" t="str">
        <f>IF(BO12=0,"0",IF(AND(Results!$E$5="Protein",$C$53&gt;0,OR(Results!$E$4="Tissue",Results!$E$4="Cells")),((BO12*BO$51)/(BO$53)),IF(AND(Results!$E$5="Weight",$C$52&gt;0, Results!$E$4="Tissue",OR($B$52="g",$B$52="mg")),((BO12*BO$51)/(BO$52)),IF(AND(Results!$E$5="Volume",$C$54&gt;0,Results!$E$4="Fluid"),((BO12*BO$51)/(BO$54)),IF(AND(Results!$E$4="Cells",Results!$E$5="Million",$B$52="million"),((BO12*BO$51)/(BO$52)),"0")))))</f>
        <v>0</v>
      </c>
      <c r="BP65" s="20" t="str">
        <f>IF(BP12=0,"0",IF(AND(Results!$E$5="Protein",$C$53&gt;0,OR(Results!$E$4="Tissue",Results!$E$4="Cells")),((BP12*BP$51)/(BP$53)),IF(AND(Results!$E$5="Weight",$C$52&gt;0, Results!$E$4="Tissue",OR($B$52="g",$B$52="mg")),((BP12*BP$51)/(BP$52)),IF(AND(Results!$E$5="Volume",$C$54&gt;0,Results!$E$4="Fluid"),((BP12*BP$51)/(BP$54)),IF(AND(Results!$E$4="Cells",Results!$E$5="Million",$B$52="million"),((BP12*BP$51)/(BP$52)),"0")))))</f>
        <v>0</v>
      </c>
      <c r="BQ65" s="20" t="str">
        <f>IF(BQ12=0,"0",IF(AND(Results!$E$5="Protein",$C$53&gt;0,OR(Results!$E$4="Tissue",Results!$E$4="Cells")),((BQ12*BQ$51)/(BQ$53)),IF(AND(Results!$E$5="Weight",$C$52&gt;0, Results!$E$4="Tissue",OR($B$52="g",$B$52="mg")),((BQ12*BQ$51)/(BQ$52)),IF(AND(Results!$E$5="Volume",$C$54&gt;0,Results!$E$4="Fluid"),((BQ12*BQ$51)/(BQ$54)),IF(AND(Results!$E$4="Cells",Results!$E$5="Million",$B$52="million"),((BQ12*BQ$51)/(BQ$52)),"0")))))</f>
        <v>0</v>
      </c>
      <c r="BR65" s="20" t="str">
        <f>IF(BR12=0,"0",IF(AND(Results!$E$5="Protein",$C$53&gt;0,OR(Results!$E$4="Tissue",Results!$E$4="Cells")),((BR12*BR$51)/(BR$53)),IF(AND(Results!$E$5="Weight",$C$52&gt;0, Results!$E$4="Tissue",OR($B$52="g",$B$52="mg")),((BR12*BR$51)/(BR$52)),IF(AND(Results!$E$5="Volume",$C$54&gt;0,Results!$E$4="Fluid"),((BR12*BR$51)/(BR$54)),IF(AND(Results!$E$4="Cells",Results!$E$5="Million",$B$52="million"),((BR12*BR$51)/(BR$52)),"0")))))</f>
        <v>0</v>
      </c>
      <c r="BS65" s="20" t="str">
        <f>IF(BS12=0,"0",IF(AND(Results!$E$5="Protein",$C$53&gt;0,OR(Results!$E$4="Tissue",Results!$E$4="Cells")),((BS12*BS$51)/(BS$53)),IF(AND(Results!$E$5="Weight",$C$52&gt;0, Results!$E$4="Tissue",OR($B$52="g",$B$52="mg")),((BS12*BS$51)/(BS$52)),IF(AND(Results!$E$5="Volume",$C$54&gt;0,Results!$E$4="Fluid"),((BS12*BS$51)/(BS$54)),IF(AND(Results!$E$4="Cells",Results!$E$5="Million",$B$52="million"),((BS12*BS$51)/(BS$52)),"0")))))</f>
        <v>0</v>
      </c>
      <c r="BT65" s="20" t="str">
        <f>IF(BT12=0,"0",IF(AND(Results!$E$5="Protein",$C$53&gt;0,OR(Results!$E$4="Tissue",Results!$E$4="Cells")),((BT12*BT$51)/(BT$53)),IF(AND(Results!$E$5="Weight",$C$52&gt;0, Results!$E$4="Tissue",OR($B$52="g",$B$52="mg")),((BT12*BT$51)/(BT$52)),IF(AND(Results!$E$5="Volume",$C$54&gt;0,Results!$E$4="Fluid"),((BT12*BT$51)/(BT$54)),IF(AND(Results!$E$4="Cells",Results!$E$5="Million",$B$52="million"),((BT12*BT$51)/(BT$52)),"0")))))</f>
        <v>0</v>
      </c>
      <c r="BU65" s="20" t="str">
        <f>IF(BU12=0,"0",IF(AND(Results!$E$5="Protein",$C$53&gt;0,OR(Results!$E$4="Tissue",Results!$E$4="Cells")),((BU12*BU$51)/(BU$53)),IF(AND(Results!$E$5="Weight",$C$52&gt;0, Results!$E$4="Tissue",OR($B$52="g",$B$52="mg")),((BU12*BU$51)/(BU$52)),IF(AND(Results!$E$5="Volume",$C$54&gt;0,Results!$E$4="Fluid"),((BU12*BU$51)/(BU$54)),IF(AND(Results!$E$4="Cells",Results!$E$5="Million",$B$52="million"),((BU12*BU$51)/(BU$52)),"0")))))</f>
        <v>0</v>
      </c>
      <c r="BV65" s="20" t="str">
        <f>IF(BV12=0,"0",IF(AND(Results!$E$5="Protein",$C$53&gt;0,OR(Results!$E$4="Tissue",Results!$E$4="Cells")),((BV12*BV$51)/(BV$53)),IF(AND(Results!$E$5="Weight",$C$52&gt;0, Results!$E$4="Tissue",OR($B$52="g",$B$52="mg")),((BV12*BV$51)/(BV$52)),IF(AND(Results!$E$5="Volume",$C$54&gt;0,Results!$E$4="Fluid"),((BV12*BV$51)/(BV$54)),IF(AND(Results!$E$4="Cells",Results!$E$5="Million",$B$52="million"),((BV12*BV$51)/(BV$52)),"0")))))</f>
        <v>0</v>
      </c>
      <c r="BW65" s="20" t="str">
        <f>IF(BW12=0,"0",IF(AND(Results!$E$5="Protein",$C$53&gt;0,OR(Results!$E$4="Tissue",Results!$E$4="Cells")),((BW12*BW$51)/(BW$53)),IF(AND(Results!$E$5="Weight",$C$52&gt;0, Results!$E$4="Tissue",OR($B$52="g",$B$52="mg")),((BW12*BW$51)/(BW$52)),IF(AND(Results!$E$5="Volume",$C$54&gt;0,Results!$E$4="Fluid"),((BW12*BW$51)/(BW$54)),IF(AND(Results!$E$4="Cells",Results!$E$5="Million",$B$52="million"),((BW12*BW$51)/(BW$52)),"0")))))</f>
        <v>0</v>
      </c>
      <c r="BX65" s="20" t="str">
        <f>IF(BX12=0,"0",IF(AND(Results!$E$5="Protein",$C$53&gt;0,OR(Results!$E$4="Tissue",Results!$E$4="Cells")),((BX12*BX$51)/(BX$53)),IF(AND(Results!$E$5="Weight",$C$52&gt;0, Results!$E$4="Tissue",OR($B$52="g",$B$52="mg")),((BX12*BX$51)/(BX$52)),IF(AND(Results!$E$5="Volume",$C$54&gt;0,Results!$E$4="Fluid"),((BX12*BX$51)/(BX$54)),IF(AND(Results!$E$4="Cells",Results!$E$5="Million",$B$52="million"),((BX12*BX$51)/(BX$52)),"0")))))</f>
        <v>0</v>
      </c>
      <c r="BY65" s="20" t="str">
        <f>IF(BY12=0,"0",IF(AND(Results!$E$5="Protein",$C$53&gt;0,OR(Results!$E$4="Tissue",Results!$E$4="Cells")),((BY12*BY$51)/(BY$53)),IF(AND(Results!$E$5="Weight",$C$52&gt;0, Results!$E$4="Tissue",OR($B$52="g",$B$52="mg")),((BY12*BY$51)/(BY$52)),IF(AND(Results!$E$5="Volume",$C$54&gt;0,Results!$E$4="Fluid"),((BY12*BY$51)/(BY$54)),IF(AND(Results!$E$4="Cells",Results!$E$5="Million",$B$52="million"),((BY12*BY$51)/(BY$52)),"0")))))</f>
        <v>0</v>
      </c>
      <c r="BZ65" s="20" t="str">
        <f>IF(BZ12=0,"0",IF(AND(Results!$E$5="Protein",$C$53&gt;0,OR(Results!$E$4="Tissue",Results!$E$4="Cells")),((BZ12*BZ$51)/(BZ$53)),IF(AND(Results!$E$5="Weight",$C$52&gt;0, Results!$E$4="Tissue",OR($B$52="g",$B$52="mg")),((BZ12*BZ$51)/(BZ$52)),IF(AND(Results!$E$5="Volume",$C$54&gt;0,Results!$E$4="Fluid"),((BZ12*BZ$51)/(BZ$54)),IF(AND(Results!$E$4="Cells",Results!$E$5="Million",$B$52="million"),((BZ12*BZ$51)/(BZ$52)),"0")))))</f>
        <v>0</v>
      </c>
      <c r="CA65" s="20" t="str">
        <f>IF(CA12=0,"0",IF(AND(Results!$E$5="Protein",$C$53&gt;0,OR(Results!$E$4="Tissue",Results!$E$4="Cells")),((CA12*CA$51)/(CA$53)),IF(AND(Results!$E$5="Weight",$C$52&gt;0, Results!$E$4="Tissue",OR($B$52="g",$B$52="mg")),((CA12*CA$51)/(CA$52)),IF(AND(Results!$E$5="Volume",$C$54&gt;0,Results!$E$4="Fluid"),((CA12*CA$51)/(CA$54)),IF(AND(Results!$E$4="Cells",Results!$E$5="Million",$B$52="million"),((CA12*CA$51)/(CA$52)),"0")))))</f>
        <v>0</v>
      </c>
      <c r="CB65" s="20" t="str">
        <f>IF(CB12=0,"0",IF(AND(Results!$E$5="Protein",$C$53&gt;0,OR(Results!$E$4="Tissue",Results!$E$4="Cells")),((CB12*CB$51)/(CB$53)),IF(AND(Results!$E$5="Weight",$C$52&gt;0, Results!$E$4="Tissue",OR($B$52="g",$B$52="mg")),((CB12*CB$51)/(CB$52)),IF(AND(Results!$E$5="Volume",$C$54&gt;0,Results!$E$4="Fluid"),((CB12*CB$51)/(CB$54)),IF(AND(Results!$E$4="Cells",Results!$E$5="Million",$B$52="million"),((CB12*CB$51)/(CB$52)),"0")))))</f>
        <v>0</v>
      </c>
      <c r="CC65" s="20" t="str">
        <f>IF(CC12=0,"0",IF(AND(Results!$E$5="Protein",$C$53&gt;0,OR(Results!$E$4="Tissue",Results!$E$4="Cells")),((CC12*CC$51)/(CC$53)),IF(AND(Results!$E$5="Weight",$C$52&gt;0, Results!$E$4="Tissue",OR($B$52="g",$B$52="mg")),((CC12*CC$51)/(CC$52)),IF(AND(Results!$E$5="Volume",$C$54&gt;0,Results!$E$4="Fluid"),((CC12*CC$51)/(CC$54)),IF(AND(Results!$E$4="Cells",Results!$E$5="Million",$B$52="million"),((CC12*CC$51)/(CC$52)),"0")))))</f>
        <v>0</v>
      </c>
      <c r="CD65" s="20" t="str">
        <f>IF(CD12=0,"0",IF(AND(Results!$E$5="Protein",$C$53&gt;0,OR(Results!$E$4="Tissue",Results!$E$4="Cells")),((CD12*CD$51)/(CD$53)),IF(AND(Results!$E$5="Weight",$C$52&gt;0, Results!$E$4="Tissue",OR($B$52="g",$B$52="mg")),((CD12*CD$51)/(CD$52)),IF(AND(Results!$E$5="Volume",$C$54&gt;0,Results!$E$4="Fluid"),((CD12*CD$51)/(CD$54)),IF(AND(Results!$E$4="Cells",Results!$E$5="Million",$B$52="million"),((CD12*CD$51)/(CD$52)),"0")))))</f>
        <v>0</v>
      </c>
      <c r="CE65" s="20" t="str">
        <f>IF(CE12=0,"0",IF(AND(Results!$E$5="Protein",$C$53&gt;0,OR(Results!$E$4="Tissue",Results!$E$4="Cells")),((CE12*CE$51)/(CE$53)),IF(AND(Results!$E$5="Weight",$C$52&gt;0, Results!$E$4="Tissue",OR($B$52="g",$B$52="mg")),((CE12*CE$51)/(CE$52)),IF(AND(Results!$E$5="Volume",$C$54&gt;0,Results!$E$4="Fluid"),((CE12*CE$51)/(CE$54)),IF(AND(Results!$E$4="Cells",Results!$E$5="Million",$B$52="million"),((CE12*CE$51)/(CE$52)),"0")))))</f>
        <v>0</v>
      </c>
      <c r="CF65" s="20" t="str">
        <f>IF(CF12=0,"0",IF(AND(Results!$E$5="Protein",$C$53&gt;0,OR(Results!$E$4="Tissue",Results!$E$4="Cells")),((CF12*CF$51)/(CF$53)),IF(AND(Results!$E$5="Weight",$C$52&gt;0, Results!$E$4="Tissue",OR($B$52="g",$B$52="mg")),((CF12*CF$51)/(CF$52)),IF(AND(Results!$E$5="Volume",$C$54&gt;0,Results!$E$4="Fluid"),((CF12*CF$51)/(CF$54)),IF(AND(Results!$E$4="Cells",Results!$E$5="Million",$B$52="million"),((CF12*CF$51)/(CF$52)),"0")))))</f>
        <v>0</v>
      </c>
      <c r="CG65" s="20" t="str">
        <f>IF(CG12=0,"0",IF(AND(Results!$E$5="Protein",$C$53&gt;0,OR(Results!$E$4="Tissue",Results!$E$4="Cells")),((CG12*CG$51)/(CG$53)),IF(AND(Results!$E$5="Weight",$C$52&gt;0, Results!$E$4="Tissue",OR($B$52="g",$B$52="mg")),((CG12*CG$51)/(CG$52)),IF(AND(Results!$E$5="Volume",$C$54&gt;0,Results!$E$4="Fluid"),((CG12*CG$51)/(CG$54)),IF(AND(Results!$E$4="Cells",Results!$E$5="Million",$B$52="million"),((CG12*CG$51)/(CG$52)),"0")))))</f>
        <v>0</v>
      </c>
      <c r="CH65" s="20" t="str">
        <f>IF(CH12=0,"0",IF(AND(Results!$E$5="Protein",$C$53&gt;0,OR(Results!$E$4="Tissue",Results!$E$4="Cells")),((CH12*CH$51)/(CH$53)),IF(AND(Results!$E$5="Weight",$C$52&gt;0, Results!$E$4="Tissue",OR($B$52="g",$B$52="mg")),((CH12*CH$51)/(CH$52)),IF(AND(Results!$E$5="Volume",$C$54&gt;0,Results!$E$4="Fluid"),((CH12*CH$51)/(CH$54)),IF(AND(Results!$E$4="Cells",Results!$E$5="Million",$B$52="million"),((CH12*CH$51)/(CH$52)),"0")))))</f>
        <v>0</v>
      </c>
      <c r="CI65" s="20" t="str">
        <f>IF(CI12=0,"0",IF(AND(Results!$E$5="Protein",$C$53&gt;0,OR(Results!$E$4="Tissue",Results!$E$4="Cells")),((CI12*CI$51)/(CI$53)),IF(AND(Results!$E$5="Weight",$C$52&gt;0, Results!$E$4="Tissue",OR($B$52="g",$B$52="mg")),((CI12*CI$51)/(CI$52)),IF(AND(Results!$E$5="Volume",$C$54&gt;0,Results!$E$4="Fluid"),((CI12*CI$51)/(CI$54)),IF(AND(Results!$E$4="Cells",Results!$E$5="Million",$B$52="million"),((CI12*CI$51)/(CI$52)),"0")))))</f>
        <v>0</v>
      </c>
      <c r="CJ65" s="20" t="str">
        <f>IF(CJ12=0,"0",IF(AND(Results!$E$5="Protein",$C$53&gt;0,OR(Results!$E$4="Tissue",Results!$E$4="Cells")),((CJ12*CJ$51)/(CJ$53)),IF(AND(Results!$E$5="Weight",$C$52&gt;0, Results!$E$4="Tissue",OR($B$52="g",$B$52="mg")),((CJ12*CJ$51)/(CJ$52)),IF(AND(Results!$E$5="Volume",$C$54&gt;0,Results!$E$4="Fluid"),((CJ12*CJ$51)/(CJ$54)),IF(AND(Results!$E$4="Cells",Results!$E$5="Million",$B$52="million"),((CJ12*CJ$51)/(CJ$52)),"0")))))</f>
        <v>0</v>
      </c>
      <c r="CK65" s="20" t="str">
        <f>IF(CK12=0,"0",IF(AND(Results!$E$5="Protein",$C$53&gt;0,OR(Results!$E$4="Tissue",Results!$E$4="Cells")),((CK12*CK$51)/(CK$53)),IF(AND(Results!$E$5="Weight",$C$52&gt;0, Results!$E$4="Tissue",OR($B$52="g",$B$52="mg")),((CK12*CK$51)/(CK$52)),IF(AND(Results!$E$5="Volume",$C$54&gt;0,Results!$E$4="Fluid"),((CK12*CK$51)/(CK$54)),IF(AND(Results!$E$4="Cells",Results!$E$5="Million",$B$52="million"),((CK12*CK$51)/(CK$52)),"0")))))</f>
        <v>0</v>
      </c>
      <c r="CL65" s="20" t="str">
        <f>IF(CL12=0,"0",IF(AND(Results!$E$5="Protein",$C$53&gt;0,OR(Results!$E$4="Tissue",Results!$E$4="Cells")),((CL12*CL$51)/(CL$53)),IF(AND(Results!$E$5="Weight",$C$52&gt;0, Results!$E$4="Tissue",OR($B$52="g",$B$52="mg")),((CL12*CL$51)/(CL$52)),IF(AND(Results!$E$5="Volume",$C$54&gt;0,Results!$E$4="Fluid"),((CL12*CL$51)/(CL$54)),IF(AND(Results!$E$4="Cells",Results!$E$5="Million",$B$52="million"),((CL12*CL$51)/(CL$52)),"0")))))</f>
        <v>0</v>
      </c>
      <c r="CM65" s="20" t="str">
        <f>IF(CM12=0,"0",IF(AND(Results!$E$5="Protein",$C$53&gt;0,OR(Results!$E$4="Tissue",Results!$E$4="Cells")),((CM12*CM$51)/(CM$53)),IF(AND(Results!$E$5="Weight",$C$52&gt;0, Results!$E$4="Tissue",OR($B$52="g",$B$52="mg")),((CM12*CM$51)/(CM$52)),IF(AND(Results!$E$5="Volume",$C$54&gt;0,Results!$E$4="Fluid"),((CM12*CM$51)/(CM$54)),IF(AND(Results!$E$4="Cells",Results!$E$5="Million",$B$52="million"),((CM12*CM$51)/(CM$52)),"0")))))</f>
        <v>0</v>
      </c>
      <c r="CN65" s="20" t="str">
        <f>IF(CN12=0,"0",IF(AND(Results!$E$5="Protein",$C$53&gt;0,OR(Results!$E$4="Tissue",Results!$E$4="Cells")),((CN12*CN$51)/(CN$53)),IF(AND(Results!$E$5="Weight",$C$52&gt;0, Results!$E$4="Tissue",OR($B$52="g",$B$52="mg")),((CN12*CN$51)/(CN$52)),IF(AND(Results!$E$5="Volume",$C$54&gt;0,Results!$E$4="Fluid"),((CN12*CN$51)/(CN$54)),IF(AND(Results!$E$4="Cells",Results!$E$5="Million",$B$52="million"),((CN12*CN$51)/(CN$52)),"0")))))</f>
        <v>0</v>
      </c>
      <c r="CO65" s="20" t="str">
        <f>IF(CO12=0,"0",IF(AND(Results!$E$5="Protein",$C$53&gt;0,OR(Results!$E$4="Tissue",Results!$E$4="Cells")),((CO12*CO$51)/(CO$53)),IF(AND(Results!$E$5="Weight",$C$52&gt;0, Results!$E$4="Tissue",OR($B$52="g",$B$52="mg")),((CO12*CO$51)/(CO$52)),IF(AND(Results!$E$5="Volume",$C$54&gt;0,Results!$E$4="Fluid"),((CO12*CO$51)/(CO$54)),IF(AND(Results!$E$4="Cells",Results!$E$5="Million",$B$52="million"),((CO12*CO$51)/(CO$52)),"0")))))</f>
        <v>0</v>
      </c>
      <c r="CP65" s="20" t="str">
        <f>IF(CP12=0,"0",IF(AND(Results!$E$5="Protein",$C$53&gt;0,OR(Results!$E$4="Tissue",Results!$E$4="Cells")),((CP12*CP$51)/(CP$53)),IF(AND(Results!$E$5="Weight",$C$52&gt;0, Results!$E$4="Tissue",OR($B$52="g",$B$52="mg")),((CP12*CP$51)/(CP$52)),IF(AND(Results!$E$5="Volume",$C$54&gt;0,Results!$E$4="Fluid"),((CP12*CP$51)/(CP$54)),IF(AND(Results!$E$4="Cells",Results!$E$5="Million",$B$52="million"),((CP12*CP$51)/(CP$52)),"0")))))</f>
        <v>0</v>
      </c>
      <c r="CQ65" s="20" t="str">
        <f>IF(CQ12=0,"0",IF(AND(Results!$E$5="Protein",$C$53&gt;0,OR(Results!$E$4="Tissue",Results!$E$4="Cells")),((CQ12*CQ$51)/(CQ$53)),IF(AND(Results!$E$5="Weight",$C$52&gt;0, Results!$E$4="Tissue",OR($B$52="g",$B$52="mg")),((CQ12*CQ$51)/(CQ$52)),IF(AND(Results!$E$5="Volume",$C$54&gt;0,Results!$E$4="Fluid"),((CQ12*CQ$51)/(CQ$54)),IF(AND(Results!$E$4="Cells",Results!$E$5="Million",$B$52="million"),((CQ12*CQ$51)/(CQ$52)),"0")))))</f>
        <v>0</v>
      </c>
      <c r="CR65" s="20" t="str">
        <f>IF(CR12=0,"0",IF(AND(Results!$E$5="Protein",$C$53&gt;0,OR(Results!$E$4="Tissue",Results!$E$4="Cells")),((CR12*CR$51)/(CR$53)),IF(AND(Results!$E$5="Weight",$C$52&gt;0, Results!$E$4="Tissue",OR($B$52="g",$B$52="mg")),((CR12*CR$51)/(CR$52)),IF(AND(Results!$E$5="Volume",$C$54&gt;0,Results!$E$4="Fluid"),((CR12*CR$51)/(CR$54)),IF(AND(Results!$E$4="Cells",Results!$E$5="Million",$B$52="million"),((CR12*CR$51)/(CR$52)),"0")))))</f>
        <v>0</v>
      </c>
      <c r="CS65" s="20" t="str">
        <f>IF(CS12=0,"0",IF(AND(Results!$E$5="Protein",$C$53&gt;0,OR(Results!$E$4="Tissue",Results!$E$4="Cells")),((CS12*CS$51)/(CS$53)),IF(AND(Results!$E$5="Weight",$C$52&gt;0, Results!$E$4="Tissue",OR($B$52="g",$B$52="mg")),((CS12*CS$51)/(CS$52)),IF(AND(Results!$E$5="Volume",$C$54&gt;0,Results!$E$4="Fluid"),((CS12*CS$51)/(CS$54)),IF(AND(Results!$E$4="Cells",Results!$E$5="Million",$B$52="million"),((CS12*CS$51)/(CS$52)),"0")))))</f>
        <v>0</v>
      </c>
      <c r="CT65" s="20" t="str">
        <f>IF(CT12=0,"0",IF(AND(Results!$E$5="Protein",$C$53&gt;0,OR(Results!$E$4="Tissue",Results!$E$4="Cells")),((CT12*CT$51)/(CT$53)),IF(AND(Results!$E$5="Weight",$C$52&gt;0, Results!$E$4="Tissue",OR($B$52="g",$B$52="mg")),((CT12*CT$51)/(CT$52)),IF(AND(Results!$E$5="Volume",$C$54&gt;0,Results!$E$4="Fluid"),((CT12*CT$51)/(CT$54)),IF(AND(Results!$E$4="Cells",Results!$E$5="Million",$B$52="million"),((CT12*CT$51)/(CT$52)),"0")))))</f>
        <v>0</v>
      </c>
      <c r="CU65" s="20" t="str">
        <f>IF(CU12=0,"0",IF(AND(Results!$E$5="Protein",$C$53&gt;0,OR(Results!$E$4="Tissue",Results!$E$4="Cells")),((CU12*CU$51)/(CU$53)),IF(AND(Results!$E$5="Weight",$C$52&gt;0, Results!$E$4="Tissue",OR($B$52="g",$B$52="mg")),((CU12*CU$51)/(CU$52)),IF(AND(Results!$E$5="Volume",$C$54&gt;0,Results!$E$4="Fluid"),((CU12*CU$51)/(CU$54)),IF(AND(Results!$E$4="Cells",Results!$E$5="Million",$B$52="million"),((CU12*CU$51)/(CU$52)),"0")))))</f>
        <v>0</v>
      </c>
      <c r="CV65" s="20" t="str">
        <f>IF(CV12=0,"0",IF(AND(Results!$E$5="Protein",$C$53&gt;0,OR(Results!$E$4="Tissue",Results!$E$4="Cells")),((CV12*CV$51)/(CV$53)),IF(AND(Results!$E$5="Weight",$C$52&gt;0, Results!$E$4="Tissue",OR($B$52="g",$B$52="mg")),((CV12*CV$51)/(CV$52)),IF(AND(Results!$E$5="Volume",$C$54&gt;0,Results!$E$4="Fluid"),((CV12*CV$51)/(CV$54)),IF(AND(Results!$E$4="Cells",Results!$E$5="Million",$B$52="million"),((CV12*CV$51)/(CV$52)),"0")))))</f>
        <v>0</v>
      </c>
      <c r="CW65" s="20" t="str">
        <f>IF(CW12=0,"0",IF(AND(Results!$E$5="Protein",$C$53&gt;0,OR(Results!$E$4="Tissue",Results!$E$4="Cells")),((CW12*CW$51)/(CW$53)),IF(AND(Results!$E$5="Weight",$C$52&gt;0, Results!$E$4="Tissue",OR($B$52="g",$B$52="mg")),((CW12*CW$51)/(CW$52)),IF(AND(Results!$E$5="Volume",$C$54&gt;0,Results!$E$4="Fluid"),((CW12*CW$51)/(CW$54)),IF(AND(Results!$E$4="Cells",Results!$E$5="Million",$B$52="million"),((CW12*CW$51)/(CW$52)),"0")))))</f>
        <v>0</v>
      </c>
      <c r="CX65" s="20" t="str">
        <f>IF(CX12=0,"0",IF(AND(Results!$E$5="Protein",$C$53&gt;0,OR(Results!$E$4="Tissue",Results!$E$4="Cells")),((CX12*CX$51)/(CX$53)),IF(AND(Results!$E$5="Weight",$C$52&gt;0, Results!$E$4="Tissue",OR($B$52="g",$B$52="mg")),((CX12*CX$51)/(CX$52)),IF(AND(Results!$E$5="Volume",$C$54&gt;0,Results!$E$4="Fluid"),((CX12*CX$51)/(CX$54)),IF(AND(Results!$E$4="Cells",Results!$E$5="Million",$B$52="million"),((CX12*CX$51)/(CX$52)),"0")))))</f>
        <v>0</v>
      </c>
      <c r="CY65" s="20" t="str">
        <f>IF(CY12=0,"0",IF(AND(Results!$E$5="Protein",$C$53&gt;0,OR(Results!$E$4="Tissue",Results!$E$4="Cells")),((CY12*CY$51)/(CY$53)),IF(AND(Results!$E$5="Weight",$C$52&gt;0, Results!$E$4="Tissue",OR($B$52="g",$B$52="mg")),((CY12*CY$51)/(CY$52)),IF(AND(Results!$E$5="Volume",$C$54&gt;0,Results!$E$4="Fluid"),((CY12*CY$51)/(CY$54)),IF(AND(Results!$E$4="Cells",Results!$E$5="Million",$B$52="million"),((CY12*CY$51)/(CY$52)),"0")))))</f>
        <v>0</v>
      </c>
      <c r="CZ65" s="20" t="str">
        <f>IF(CZ12=0,"0",IF(AND(Results!$E$5="Protein",$C$53&gt;0,OR(Results!$E$4="Tissue",Results!$E$4="Cells")),((CZ12*CZ$51)/(CZ$53)),IF(AND(Results!$E$5="Weight",$C$52&gt;0, Results!$E$4="Tissue",OR($B$52="g",$B$52="mg")),((CZ12*CZ$51)/(CZ$52)),IF(AND(Results!$E$5="Volume",$C$54&gt;0,Results!$E$4="Fluid"),((CZ12*CZ$51)/(CZ$54)),IF(AND(Results!$E$4="Cells",Results!$E$5="Million",$B$52="million"),((CZ12*CZ$51)/(CZ$52)),"0")))))</f>
        <v>0</v>
      </c>
      <c r="DA65" s="20" t="str">
        <f>IF(DA12=0,"0",IF(AND(Results!$E$5="Protein",$C$53&gt;0,OR(Results!$E$4="Tissue",Results!$E$4="Cells")),((DA12*DA$51)/(DA$53)),IF(AND(Results!$E$5="Weight",$C$52&gt;0, Results!$E$4="Tissue",OR($B$52="g",$B$52="mg")),((DA12*DA$51)/(DA$52)),IF(AND(Results!$E$5="Volume",$C$54&gt;0,Results!$E$4="Fluid"),((DA12*DA$51)/(DA$54)),IF(AND(Results!$E$4="Cells",Results!$E$5="Million",$B$52="million"),((DA12*DA$51)/(DA$52)),"0")))))</f>
        <v>0</v>
      </c>
      <c r="DB65" s="20" t="str">
        <f>IF(DB12=0,"0",IF(AND(Results!$E$5="Protein",$C$53&gt;0,OR(Results!$E$4="Tissue",Results!$E$4="Cells")),((DB12*DB$51)/(DB$53)),IF(AND(Results!$E$5="Weight",$C$52&gt;0, Results!$E$4="Tissue",OR($B$52="g",$B$52="mg")),((DB12*DB$51)/(DB$52)),IF(AND(Results!$E$5="Volume",$C$54&gt;0,Results!$E$4="Fluid"),((DB12*DB$51)/(DB$54)),IF(AND(Results!$E$4="Cells",Results!$E$5="Million",$B$52="million"),((DB12*DB$51)/(DB$52)),"0")))))</f>
        <v>0</v>
      </c>
      <c r="DC65" s="20" t="str">
        <f>IF(DC12=0,"0",IF(AND(Results!$E$5="Protein",$C$53&gt;0,OR(Results!$E$4="Tissue",Results!$E$4="Cells")),((DC12*DC$51)/(DC$53)),IF(AND(Results!$E$5="Weight",$C$52&gt;0, Results!$E$4="Tissue",OR($B$52="g",$B$52="mg")),((DC12*DC$51)/(DC$52)),IF(AND(Results!$E$5="Volume",$C$54&gt;0,Results!$E$4="Fluid"),((DC12*DC$51)/(DC$54)),IF(AND(Results!$E$4="Cells",Results!$E$5="Million",$B$52="million"),((DC12*DC$51)/(DC$52)),"0")))))</f>
        <v>0</v>
      </c>
      <c r="DD65" s="20" t="str">
        <f>IF(DD12=0,"0",IF(AND(Results!$E$5="Protein",$C$53&gt;0,OR(Results!$E$4="Tissue",Results!$E$4="Cells")),((DD12*DD$51)/(DD$53)),IF(AND(Results!$E$5="Weight",$C$52&gt;0, Results!$E$4="Tissue",OR($B$52="g",$B$52="mg")),((DD12*DD$51)/(DD$52)),IF(AND(Results!$E$5="Volume",$C$54&gt;0,Results!$E$4="Fluid"),((DD12*DD$51)/(DD$54)),IF(AND(Results!$E$4="Cells",Results!$E$5="Million",$B$52="million"),((DD12*DD$51)/(DD$52)),"0")))))</f>
        <v>0</v>
      </c>
      <c r="DE65" s="20" t="str">
        <f>IF(DE12=0,"0",IF(AND(Results!$E$5="Protein",$C$53&gt;0,OR(Results!$E$4="Tissue",Results!$E$4="Cells")),((DE12*DE$51)/(DE$53)),IF(AND(Results!$E$5="Weight",$C$52&gt;0, Results!$E$4="Tissue",OR($B$52="g",$B$52="mg")),((DE12*DE$51)/(DE$52)),IF(AND(Results!$E$5="Volume",$C$54&gt;0,Results!$E$4="Fluid"),((DE12*DE$51)/(DE$54)),IF(AND(Results!$E$4="Cells",Results!$E$5="Million",$B$52="million"),((DE12*DE$51)/(DE$52)),"0")))))</f>
        <v>0</v>
      </c>
      <c r="DF65" s="20" t="str">
        <f>IF(DF12=0,"0",IF(AND(Results!$E$5="Protein",$C$53&gt;0,OR(Results!$E$4="Tissue",Results!$E$4="Cells")),((DF12*DF$51)/(DF$53)),IF(AND(Results!$E$5="Weight",$C$52&gt;0, Results!$E$4="Tissue",OR($B$52="g",$B$52="mg")),((DF12*DF$51)/(DF$52)),IF(AND(Results!$E$5="Volume",$C$54&gt;0,Results!$E$4="Fluid"),((DF12*DF$51)/(DF$54)),IF(AND(Results!$E$4="Cells",Results!$E$5="Million",$B$52="million"),((DF12*DF$51)/(DF$52)),"0")))))</f>
        <v>0</v>
      </c>
      <c r="DG65" s="20" t="str">
        <f>IF(DG12=0,"0",IF(AND(Results!$E$5="Protein",$C$53&gt;0,OR(Results!$E$4="Tissue",Results!$E$4="Cells")),((DG12*DG$51)/(DG$53)),IF(AND(Results!$E$5="Weight",$C$52&gt;0, Results!$E$4="Tissue",OR($B$52="g",$B$52="mg")),((DG12*DG$51)/(DG$52)),IF(AND(Results!$E$5="Volume",$C$54&gt;0,Results!$E$4="Fluid"),((DG12*DG$51)/(DG$54)),IF(AND(Results!$E$4="Cells",Results!$E$5="Million",$B$52="million"),((DG12*DG$51)/(DG$52)),"0")))))</f>
        <v>0</v>
      </c>
      <c r="DH65" s="20" t="str">
        <f>IF(DH12=0,"0",IF(AND(Results!$E$5="Protein",$C$53&gt;0,OR(Results!$E$4="Tissue",Results!$E$4="Cells")),((DH12*DH$51)/(DH$53)),IF(AND(Results!$E$5="Weight",$C$52&gt;0, Results!$E$4="Tissue",OR($B$52="g",$B$52="mg")),((DH12*DH$51)/(DH$52)),IF(AND(Results!$E$5="Volume",$C$54&gt;0,Results!$E$4="Fluid"),((DH12*DH$51)/(DH$54)),IF(AND(Results!$E$4="Cells",Results!$E$5="Million",$B$52="million"),((DH12*DH$51)/(DH$52)),"0")))))</f>
        <v>0</v>
      </c>
      <c r="DI65" s="20" t="str">
        <f>IF(DI12=0,"0",IF(AND(Results!$E$5="Protein",$C$53&gt;0,OR(Results!$E$4="Tissue",Results!$E$4="Cells")),((DI12*DI$51)/(DI$53)),IF(AND(Results!$E$5="Weight",$C$52&gt;0, Results!$E$4="Tissue",OR($B$52="g",$B$52="mg")),((DI12*DI$51)/(DI$52)),IF(AND(Results!$E$5="Volume",$C$54&gt;0,Results!$E$4="Fluid"),((DI12*DI$51)/(DI$54)),IF(AND(Results!$E$4="Cells",Results!$E$5="Million",$B$52="million"),((DI12*DI$51)/(DI$52)),"0")))))</f>
        <v>0</v>
      </c>
      <c r="DJ65" s="20" t="str">
        <f>IF(DJ12=0,"0",IF(AND(Results!$E$5="Protein",$C$53&gt;0,OR(Results!$E$4="Tissue",Results!$E$4="Cells")),((DJ12*DJ$51)/(DJ$53)),IF(AND(Results!$E$5="Weight",$C$52&gt;0, Results!$E$4="Tissue",OR($B$52="g",$B$52="mg")),((DJ12*DJ$51)/(DJ$52)),IF(AND(Results!$E$5="Volume",$C$54&gt;0,Results!$E$4="Fluid"),((DJ12*DJ$51)/(DJ$54)),IF(AND(Results!$E$4="Cells",Results!$E$5="Million",$B$52="million"),((DJ12*DJ$51)/(DJ$52)),"0")))))</f>
        <v>0</v>
      </c>
      <c r="DK65" s="20" t="str">
        <f>IF(DK12=0,"0",IF(AND(Results!$E$5="Protein",$C$53&gt;0,OR(Results!$E$4="Tissue",Results!$E$4="Cells")),((DK12*DK$51)/(DK$53)),IF(AND(Results!$E$5="Weight",$C$52&gt;0, Results!$E$4="Tissue",OR($B$52="g",$B$52="mg")),((DK12*DK$51)/(DK$52)),IF(AND(Results!$E$5="Volume",$C$54&gt;0,Results!$E$4="Fluid"),((DK12*DK$51)/(DK$54)),IF(AND(Results!$E$4="Cells",Results!$E$5="Million",$B$52="million"),((DK12*DK$51)/(DK$52)),"0")))))</f>
        <v>0</v>
      </c>
      <c r="DL65" s="20" t="str">
        <f>IF(DL12=0,"0",IF(AND(Results!$E$5="Protein",$C$53&gt;0,OR(Results!$E$4="Tissue",Results!$E$4="Cells")),((DL12*DL$51)/(DL$53)),IF(AND(Results!$E$5="Weight",$C$52&gt;0, Results!$E$4="Tissue",OR($B$52="g",$B$52="mg")),((DL12*DL$51)/(DL$52)),IF(AND(Results!$E$5="Volume",$C$54&gt;0,Results!$E$4="Fluid"),((DL12*DL$51)/(DL$54)),IF(AND(Results!$E$4="Cells",Results!$E$5="Million",$B$52="million"),((DL12*DL$51)/(DL$52)),"0")))))</f>
        <v>0</v>
      </c>
      <c r="DM65" s="20" t="str">
        <f>IF(DM12=0,"0",IF(AND(Results!$E$5="Protein",$C$53&gt;0,OR(Results!$E$4="Tissue",Results!$E$4="Cells")),((DM12*DM$51)/(DM$53)),IF(AND(Results!$E$5="Weight",$C$52&gt;0, Results!$E$4="Tissue",OR($B$52="g",$B$52="mg")),((DM12*DM$51)/(DM$52)),IF(AND(Results!$E$5="Volume",$C$54&gt;0,Results!$E$4="Fluid"),((DM12*DM$51)/(DM$54)),IF(AND(Results!$E$4="Cells",Results!$E$5="Million",$B$52="million"),((DM12*DM$51)/(DM$52)),"0")))))</f>
        <v>0</v>
      </c>
      <c r="DN65" s="20" t="str">
        <f>IF(DN12=0,"0",IF(AND(Results!$E$5="Protein",$C$53&gt;0,OR(Results!$E$4="Tissue",Results!$E$4="Cells")),((DN12*DN$51)/(DN$53)),IF(AND(Results!$E$5="Weight",$C$52&gt;0, Results!$E$4="Tissue",OR($B$52="g",$B$52="mg")),((DN12*DN$51)/(DN$52)),IF(AND(Results!$E$5="Volume",$C$54&gt;0,Results!$E$4="Fluid"),((DN12*DN$51)/(DN$54)),IF(AND(Results!$E$4="Cells",Results!$E$5="Million",$B$52="million"),((DN12*DN$51)/(DN$52)),"0")))))</f>
        <v>0</v>
      </c>
      <c r="DO65" s="20" t="str">
        <f>IF(DO12=0,"0",IF(AND(Results!$E$5="Protein",$C$53&gt;0,OR(Results!$E$4="Tissue",Results!$E$4="Cells")),((DO12*DO$51)/(DO$53)),IF(AND(Results!$E$5="Weight",$C$52&gt;0, Results!$E$4="Tissue",OR($B$52="g",$B$52="mg")),((DO12*DO$51)/(DO$52)),IF(AND(Results!$E$5="Volume",$C$54&gt;0,Results!$E$4="Fluid"),((DO12*DO$51)/(DO$54)),IF(AND(Results!$E$4="Cells",Results!$E$5="Million",$B$52="million"),((DO12*DO$51)/(DO$52)),"0")))))</f>
        <v>0</v>
      </c>
      <c r="DP65" s="20" t="str">
        <f>IF(DP12=0,"0",IF(AND(Results!$E$5="Protein",$C$53&gt;0,OR(Results!$E$4="Tissue",Results!$E$4="Cells")),((DP12*DP$51)/(DP$53)),IF(AND(Results!$E$5="Weight",$C$52&gt;0, Results!$E$4="Tissue",OR($B$52="g",$B$52="mg")),((DP12*DP$51)/(DP$52)),IF(AND(Results!$E$5="Volume",$C$54&gt;0,Results!$E$4="Fluid"),((DP12*DP$51)/(DP$54)),IF(AND(Results!$E$4="Cells",Results!$E$5="Million",$B$52="million"),((DP12*DP$51)/(DP$52)),"0")))))</f>
        <v>0</v>
      </c>
      <c r="DQ65" s="20" t="str">
        <f>IF(DQ12=0,"0",IF(AND(Results!$E$5="Protein",$C$53&gt;0,OR(Results!$E$4="Tissue",Results!$E$4="Cells")),((DQ12*DQ$51)/(DQ$53)),IF(AND(Results!$E$5="Weight",$C$52&gt;0, Results!$E$4="Tissue",OR($B$52="g",$B$52="mg")),((DQ12*DQ$51)/(DQ$52)),IF(AND(Results!$E$5="Volume",$C$54&gt;0,Results!$E$4="Fluid"),((DQ12*DQ$51)/(DQ$54)),IF(AND(Results!$E$4="Cells",Results!$E$5="Million",$B$52="million"),((DQ12*DQ$51)/(DQ$52)),"0")))))</f>
        <v>0</v>
      </c>
      <c r="DR65" s="20" t="str">
        <f>IF(DR12=0,"0",IF(AND(Results!$E$5="Protein",$C$53&gt;0,OR(Results!$E$4="Tissue",Results!$E$4="Cells")),((DR12*DR$51)/(DR$53)),IF(AND(Results!$E$5="Weight",$C$52&gt;0, Results!$E$4="Tissue",OR($B$52="g",$B$52="mg")),((DR12*DR$51)/(DR$52)),IF(AND(Results!$E$5="Volume",$C$54&gt;0,Results!$E$4="Fluid"),((DR12*DR$51)/(DR$54)),IF(AND(Results!$E$4="Cells",Results!$E$5="Million",$B$52="million"),((DR12*DR$51)/(DR$52)),"0")))))</f>
        <v>0</v>
      </c>
      <c r="DS65" s="20" t="str">
        <f>IF(DS12=0,"0",IF(AND(Results!$E$5="Protein",$C$53&gt;0,OR(Results!$E$4="Tissue",Results!$E$4="Cells")),((DS12*DS$51)/(DS$53)),IF(AND(Results!$E$5="Weight",$C$52&gt;0, Results!$E$4="Tissue",OR($B$52="g",$B$52="mg")),((DS12*DS$51)/(DS$52)),IF(AND(Results!$E$5="Volume",$C$54&gt;0,Results!$E$4="Fluid"),((DS12*DS$51)/(DS$54)),IF(AND(Results!$E$4="Cells",Results!$E$5="Million",$B$52="million"),((DS12*DS$51)/(DS$52)),"0")))))</f>
        <v>0</v>
      </c>
      <c r="DT65" s="20" t="str">
        <f>IF(DT12=0,"0",IF(AND(Results!$E$5="Protein",$C$53&gt;0,OR(Results!$E$4="Tissue",Results!$E$4="Cells")),((DT12*DT$51)/(DT$53)),IF(AND(Results!$E$5="Weight",$C$52&gt;0, Results!$E$4="Tissue",OR($B$52="g",$B$52="mg")),((DT12*DT$51)/(DT$52)),IF(AND(Results!$E$5="Volume",$C$54&gt;0,Results!$E$4="Fluid"),((DT12*DT$51)/(DT$54)),IF(AND(Results!$E$4="Cells",Results!$E$5="Million",$B$52="million"),((DT12*DT$51)/(DT$52)),"0")))))</f>
        <v>0</v>
      </c>
      <c r="DU65" s="20" t="str">
        <f>IF(DU12=0,"0",IF(AND(Results!$E$5="Protein",$C$53&gt;0,OR(Results!$E$4="Tissue",Results!$E$4="Cells")),((DU12*DU$51)/(DU$53)),IF(AND(Results!$E$5="Weight",$C$52&gt;0, Results!$E$4="Tissue",OR($B$52="g",$B$52="mg")),((DU12*DU$51)/(DU$52)),IF(AND(Results!$E$5="Volume",$C$54&gt;0,Results!$E$4="Fluid"),((DU12*DU$51)/(DU$54)),IF(AND(Results!$E$4="Cells",Results!$E$5="Million",$B$52="million"),((DU12*DU$51)/(DU$52)),"0")))))</f>
        <v>0</v>
      </c>
      <c r="DV65" s="20" t="str">
        <f>IF(DV12=0,"0",IF(AND(Results!$E$5="Protein",$C$53&gt;0,OR(Results!$E$4="Tissue",Results!$E$4="Cells")),((DV12*DV$51)/(DV$53)),IF(AND(Results!$E$5="Weight",$C$52&gt;0, Results!$E$4="Tissue",OR($B$52="g",$B$52="mg")),((DV12*DV$51)/(DV$52)),IF(AND(Results!$E$5="Volume",$C$54&gt;0,Results!$E$4="Fluid"),((DV12*DV$51)/(DV$54)),IF(AND(Results!$E$4="Cells",Results!$E$5="Million",$B$52="million"),((DV12*DV$51)/(DV$52)),"0")))))</f>
        <v>0</v>
      </c>
      <c r="DW65" s="20" t="str">
        <f>IF(DW12=0,"0",IF(AND(Results!$E$5="Protein",$C$53&gt;0,OR(Results!$E$4="Tissue",Results!$E$4="Cells")),((DW12*DW$51)/(DW$53)),IF(AND(Results!$E$5="Weight",$C$52&gt;0, Results!$E$4="Tissue",OR($B$52="g",$B$52="mg")),((DW12*DW$51)/(DW$52)),IF(AND(Results!$E$5="Volume",$C$54&gt;0,Results!$E$4="Fluid"),((DW12*DW$51)/(DW$54)),IF(AND(Results!$E$4="Cells",Results!$E$5="Million",$B$52="million"),((DW12*DW$51)/(DW$52)),"0")))))</f>
        <v>0</v>
      </c>
      <c r="DX65" s="20" t="str">
        <f>IF(DX12=0,"0",IF(AND(Results!$E$5="Protein",$C$53&gt;0,OR(Results!$E$4="Tissue",Results!$E$4="Cells")),((DX12*DX$51)/(DX$53)),IF(AND(Results!$E$5="Weight",$C$52&gt;0, Results!$E$4="Tissue",OR($B$52="g",$B$52="mg")),((DX12*DX$51)/(DX$52)),IF(AND(Results!$E$5="Volume",$C$54&gt;0,Results!$E$4="Fluid"),((DX12*DX$51)/(DX$54)),IF(AND(Results!$E$4="Cells",Results!$E$5="Million",$B$52="million"),((DX12*DX$51)/(DX$52)),"0")))))</f>
        <v>0</v>
      </c>
      <c r="DY65" s="20" t="str">
        <f>IF(DY12=0,"0",IF(AND(Results!$E$5="Protein",$C$53&gt;0,OR(Results!$E$4="Tissue",Results!$E$4="Cells")),((DY12*DY$51)/(DY$53)),IF(AND(Results!$E$5="Weight",$C$52&gt;0, Results!$E$4="Tissue",OR($B$52="g",$B$52="mg")),((DY12*DY$51)/(DY$52)),IF(AND(Results!$E$5="Volume",$C$54&gt;0,Results!$E$4="Fluid"),((DY12*DY$51)/(DY$54)),IF(AND(Results!$E$4="Cells",Results!$E$5="Million",$B$52="million"),((DY12*DY$51)/(DY$52)),"0")))))</f>
        <v>0</v>
      </c>
      <c r="DZ65" s="20" t="str">
        <f>IF(DZ12=0,"0",IF(AND(Results!$E$5="Protein",$C$53&gt;0,OR(Results!$E$4="Tissue",Results!$E$4="Cells")),((DZ12*DZ$51)/(DZ$53)),IF(AND(Results!$E$5="Weight",$C$52&gt;0, Results!$E$4="Tissue",OR($B$52="g",$B$52="mg")),((DZ12*DZ$51)/(DZ$52)),IF(AND(Results!$E$5="Volume",$C$54&gt;0,Results!$E$4="Fluid"),((DZ12*DZ$51)/(DZ$54)),IF(AND(Results!$E$4="Cells",Results!$E$5="Million",$B$52="million"),((DZ12*DZ$51)/(DZ$52)),"0")))))</f>
        <v>0</v>
      </c>
      <c r="EA65" s="20" t="str">
        <f>IF(EA12=0,"0",IF(AND(Results!$E$5="Protein",$C$53&gt;0,OR(Results!$E$4="Tissue",Results!$E$4="Cells")),((EA12*EA$51)/(EA$53)),IF(AND(Results!$E$5="Weight",$C$52&gt;0, Results!$E$4="Tissue",OR($B$52="g",$B$52="mg")),((EA12*EA$51)/(EA$52)),IF(AND(Results!$E$5="Volume",$C$54&gt;0,Results!$E$4="Fluid"),((EA12*EA$51)/(EA$54)),IF(AND(Results!$E$4="Cells",Results!$E$5="Million",$B$52="million"),((EA12*EA$51)/(EA$52)),"0")))))</f>
        <v>0</v>
      </c>
      <c r="EB65" s="20" t="str">
        <f>IF(EB12=0,"0",IF(AND(Results!$E$5="Protein",$C$53&gt;0,OR(Results!$E$4="Tissue",Results!$E$4="Cells")),((EB12*EB$51)/(EB$53)),IF(AND(Results!$E$5="Weight",$C$52&gt;0, Results!$E$4="Tissue",OR($B$52="g",$B$52="mg")),((EB12*EB$51)/(EB$52)),IF(AND(Results!$E$5="Volume",$C$54&gt;0,Results!$E$4="Fluid"),((EB12*EB$51)/(EB$54)),IF(AND(Results!$E$4="Cells",Results!$E$5="Million",$B$52="million"),((EB12*EB$51)/(EB$52)),"0")))))</f>
        <v>0</v>
      </c>
      <c r="EC65" s="20" t="str">
        <f>IF(EC12=0,"0",IF(AND(Results!$E$5="Protein",$C$53&gt;0,OR(Results!$E$4="Tissue",Results!$E$4="Cells")),((EC12*EC$51)/(EC$53)),IF(AND(Results!$E$5="Weight",$C$52&gt;0, Results!$E$4="Tissue",OR($B$52="g",$B$52="mg")),((EC12*EC$51)/(EC$52)),IF(AND(Results!$E$5="Volume",$C$54&gt;0,Results!$E$4="Fluid"),((EC12*EC$51)/(EC$54)),IF(AND(Results!$E$4="Cells",Results!$E$5="Million",$B$52="million"),((EC12*EC$51)/(EC$52)),"0")))))</f>
        <v>0</v>
      </c>
      <c r="ED65" s="20" t="str">
        <f>IF(ED12=0,"0",IF(AND(Results!$E$5="Protein",$C$53&gt;0,OR(Results!$E$4="Tissue",Results!$E$4="Cells")),((ED12*ED$51)/(ED$53)),IF(AND(Results!$E$5="Weight",$C$52&gt;0, Results!$E$4="Tissue",OR($B$52="g",$B$52="mg")),((ED12*ED$51)/(ED$52)),IF(AND(Results!$E$5="Volume",$C$54&gt;0,Results!$E$4="Fluid"),((ED12*ED$51)/(ED$54)),IF(AND(Results!$E$4="Cells",Results!$E$5="Million",$B$52="million"),((ED12*ED$51)/(ED$52)),"0")))))</f>
        <v>0</v>
      </c>
      <c r="EE65" s="20" t="str">
        <f>IF(EE12=0,"0",IF(AND(Results!$E$5="Protein",$C$53&gt;0,OR(Results!$E$4="Tissue",Results!$E$4="Cells")),((EE12*EE$51)/(EE$53)),IF(AND(Results!$E$5="Weight",$C$52&gt;0, Results!$E$4="Tissue",OR($B$52="g",$B$52="mg")),((EE12*EE$51)/(EE$52)),IF(AND(Results!$E$5="Volume",$C$54&gt;0,Results!$E$4="Fluid"),((EE12*EE$51)/(EE$54)),IF(AND(Results!$E$4="Cells",Results!$E$5="Million",$B$52="million"),((EE12*EE$51)/(EE$52)),"0")))))</f>
        <v>0</v>
      </c>
      <c r="EF65" s="20" t="str">
        <f>IF(EF12=0,"0",IF(AND(Results!$E$5="Protein",$C$53&gt;0,OR(Results!$E$4="Tissue",Results!$E$4="Cells")),((EF12*EF$51)/(EF$53)),IF(AND(Results!$E$5="Weight",$C$52&gt;0, Results!$E$4="Tissue",OR($B$52="g",$B$52="mg")),((EF12*EF$51)/(EF$52)),IF(AND(Results!$E$5="Volume",$C$54&gt;0,Results!$E$4="Fluid"),((EF12*EF$51)/(EF$54)),IF(AND(Results!$E$4="Cells",Results!$E$5="Million",$B$52="million"),((EF12*EF$51)/(EF$52)),"0")))))</f>
        <v>0</v>
      </c>
      <c r="EG65" s="20" t="str">
        <f>IF(EG12=0,"0",IF(AND(Results!$E$5="Protein",$C$53&gt;0,OR(Results!$E$4="Tissue",Results!$E$4="Cells")),((EG12*EG$51)/(EG$53)),IF(AND(Results!$E$5="Weight",$C$52&gt;0, Results!$E$4="Tissue",OR($B$52="g",$B$52="mg")),((EG12*EG$51)/(EG$52)),IF(AND(Results!$E$5="Volume",$C$54&gt;0,Results!$E$4="Fluid"),((EG12*EG$51)/(EG$54)),IF(AND(Results!$E$4="Cells",Results!$E$5="Million",$B$52="million"),((EG12*EG$51)/(EG$52)),"0")))))</f>
        <v>0</v>
      </c>
      <c r="EH65" s="20" t="str">
        <f>IF(EH12=0,"0",IF(AND(Results!$E$5="Protein",$C$53&gt;0,OR(Results!$E$4="Tissue",Results!$E$4="Cells")),((EH12*EH$51)/(EH$53)),IF(AND(Results!$E$5="Weight",$C$52&gt;0, Results!$E$4="Tissue",OR($B$52="g",$B$52="mg")),((EH12*EH$51)/(EH$52)),IF(AND(Results!$E$5="Volume",$C$54&gt;0,Results!$E$4="Fluid"),((EH12*EH$51)/(EH$54)),IF(AND(Results!$E$4="Cells",Results!$E$5="Million",$B$52="million"),((EH12*EH$51)/(EH$52)),"0")))))</f>
        <v>0</v>
      </c>
      <c r="EI65" s="20" t="str">
        <f>IF(EI12=0,"0",IF(AND(Results!$E$5="Protein",$C$53&gt;0,OR(Results!$E$4="Tissue",Results!$E$4="Cells")),((EI12*EI$51)/(EI$53)),IF(AND(Results!$E$5="Weight",$C$52&gt;0, Results!$E$4="Tissue",OR($B$52="g",$B$52="mg")),((EI12*EI$51)/(EI$52)),IF(AND(Results!$E$5="Volume",$C$54&gt;0,Results!$E$4="Fluid"),((EI12*EI$51)/(EI$54)),IF(AND(Results!$E$4="Cells",Results!$E$5="Million",$B$52="million"),((EI12*EI$51)/(EI$52)),"0")))))</f>
        <v>0</v>
      </c>
      <c r="EJ65" s="20" t="str">
        <f>IF(EJ12=0,"0",IF(AND(Results!$E$5="Protein",$C$53&gt;0,OR(Results!$E$4="Tissue",Results!$E$4="Cells")),((EJ12*EJ$51)/(EJ$53)),IF(AND(Results!$E$5="Weight",$C$52&gt;0, Results!$E$4="Tissue",OR($B$52="g",$B$52="mg")),((EJ12*EJ$51)/(EJ$52)),IF(AND(Results!$E$5="Volume",$C$54&gt;0,Results!$E$4="Fluid"),((EJ12*EJ$51)/(EJ$54)),IF(AND(Results!$E$4="Cells",Results!$E$5="Million",$B$52="million"),((EJ12*EJ$51)/(EJ$52)),"0")))))</f>
        <v>0</v>
      </c>
      <c r="EK65" s="20" t="str">
        <f>IF(EK12=0,"0",IF(AND(Results!$E$5="Protein",$C$53&gt;0,OR(Results!$E$4="Tissue",Results!$E$4="Cells")),((EK12*EK$51)/(EK$53)),IF(AND(Results!$E$5="Weight",$C$52&gt;0, Results!$E$4="Tissue",OR($B$52="g",$B$52="mg")),((EK12*EK$51)/(EK$52)),IF(AND(Results!$E$5="Volume",$C$54&gt;0,Results!$E$4="Fluid"),((EK12*EK$51)/(EK$54)),IF(AND(Results!$E$4="Cells",Results!$E$5="Million",$B$52="million"),((EK12*EK$51)/(EK$52)),"0")))))</f>
        <v>0</v>
      </c>
      <c r="EL65" s="20" t="str">
        <f>IF(EL12=0,"0",IF(AND(Results!$E$5="Protein",$C$53&gt;0,OR(Results!$E$4="Tissue",Results!$E$4="Cells")),((EL12*EL$51)/(EL$53)),IF(AND(Results!$E$5="Weight",$C$52&gt;0, Results!$E$4="Tissue",OR($B$52="g",$B$52="mg")),((EL12*EL$51)/(EL$52)),IF(AND(Results!$E$5="Volume",$C$54&gt;0,Results!$E$4="Fluid"),((EL12*EL$51)/(EL$54)),IF(AND(Results!$E$4="Cells",Results!$E$5="Million",$B$52="million"),((EL12*EL$51)/(EL$52)),"0")))))</f>
        <v>0</v>
      </c>
      <c r="EM65" s="20" t="str">
        <f>IF(EM12=0,"0",IF(AND(Results!$E$5="Protein",$C$53&gt;0,OR(Results!$E$4="Tissue",Results!$E$4="Cells")),((EM12*EM$51)/(EM$53)),IF(AND(Results!$E$5="Weight",$C$52&gt;0, Results!$E$4="Tissue",OR($B$52="g",$B$52="mg")),((EM12*EM$51)/(EM$52)),IF(AND(Results!$E$5="Volume",$C$54&gt;0,Results!$E$4="Fluid"),((EM12*EM$51)/(EM$54)),IF(AND(Results!$E$4="Cells",Results!$E$5="Million",$B$52="million"),((EM12*EM$51)/(EM$52)),"0")))))</f>
        <v>0</v>
      </c>
      <c r="EN65" s="20" t="str">
        <f>IF(EN12=0,"0",IF(AND(Results!$E$5="Protein",$C$53&gt;0,OR(Results!$E$4="Tissue",Results!$E$4="Cells")),((EN12*EN$51)/(EN$53)),IF(AND(Results!$E$5="Weight",$C$52&gt;0, Results!$E$4="Tissue",OR($B$52="g",$B$52="mg")),((EN12*EN$51)/(EN$52)),IF(AND(Results!$E$5="Volume",$C$54&gt;0,Results!$E$4="Fluid"),((EN12*EN$51)/(EN$54)),IF(AND(Results!$E$4="Cells",Results!$E$5="Million",$B$52="million"),((EN12*EN$51)/(EN$52)),"0")))))</f>
        <v>0</v>
      </c>
      <c r="EO65" s="20" t="str">
        <f>IF(EO12=0,"0",IF(AND(Results!$E$5="Protein",$C$53&gt;0,OR(Results!$E$4="Tissue",Results!$E$4="Cells")),((EO12*EO$51)/(EO$53)),IF(AND(Results!$E$5="Weight",$C$52&gt;0, Results!$E$4="Tissue",OR($B$52="g",$B$52="mg")),((EO12*EO$51)/(EO$52)),IF(AND(Results!$E$5="Volume",$C$54&gt;0,Results!$E$4="Fluid"),((EO12*EO$51)/(EO$54)),IF(AND(Results!$E$4="Cells",Results!$E$5="Million",$B$52="million"),((EO12*EO$51)/(EO$52)),"0")))))</f>
        <v>0</v>
      </c>
      <c r="EP65" s="20" t="str">
        <f>IF(EP12=0,"0",IF(AND(Results!$E$5="Protein",$C$53&gt;0,OR(Results!$E$4="Tissue",Results!$E$4="Cells")),((EP12*EP$51)/(EP$53)),IF(AND(Results!$E$5="Weight",$C$52&gt;0, Results!$E$4="Tissue",OR($B$52="g",$B$52="mg")),((EP12*EP$51)/(EP$52)),IF(AND(Results!$E$5="Volume",$C$54&gt;0,Results!$E$4="Fluid"),((EP12*EP$51)/(EP$54)),IF(AND(Results!$E$4="Cells",Results!$E$5="Million",$B$52="million"),((EP12*EP$51)/(EP$52)),"0")))))</f>
        <v>0</v>
      </c>
      <c r="EQ65" s="20" t="str">
        <f>IF(EQ12=0,"0",IF(AND(Results!$E$5="Protein",$C$53&gt;0,OR(Results!$E$4="Tissue",Results!$E$4="Cells")),((EQ12*EQ$51)/(EQ$53)),IF(AND(Results!$E$5="Weight",$C$52&gt;0, Results!$E$4="Tissue",OR($B$52="g",$B$52="mg")),((EQ12*EQ$51)/(EQ$52)),IF(AND(Results!$E$5="Volume",$C$54&gt;0,Results!$E$4="Fluid"),((EQ12*EQ$51)/(EQ$54)),IF(AND(Results!$E$4="Cells",Results!$E$5="Million",$B$52="million"),((EQ12*EQ$51)/(EQ$52)),"0")))))</f>
        <v>0</v>
      </c>
      <c r="ER65" s="20" t="str">
        <f>IF(ER12=0,"0",IF(AND(Results!$E$5="Protein",$C$53&gt;0,OR(Results!$E$4="Tissue",Results!$E$4="Cells")),((ER12*ER$51)/(ER$53)),IF(AND(Results!$E$5="Weight",$C$52&gt;0, Results!$E$4="Tissue",OR($B$52="g",$B$52="mg")),((ER12*ER$51)/(ER$52)),IF(AND(Results!$E$5="Volume",$C$54&gt;0,Results!$E$4="Fluid"),((ER12*ER$51)/(ER$54)),IF(AND(Results!$E$4="Cells",Results!$E$5="Million",$B$52="million"),((ER12*ER$51)/(ER$52)),"0")))))</f>
        <v>0</v>
      </c>
      <c r="ES65" s="20" t="str">
        <f>IF(ES12=0,"0",IF(AND(Results!$E$5="Protein",$C$53&gt;0,OR(Results!$E$4="Tissue",Results!$E$4="Cells")),((ES12*ES$51)/(ES$53)),IF(AND(Results!$E$5="Weight",$C$52&gt;0, Results!$E$4="Tissue",OR($B$52="g",$B$52="mg")),((ES12*ES$51)/(ES$52)),IF(AND(Results!$E$5="Volume",$C$54&gt;0,Results!$E$4="Fluid"),((ES12*ES$51)/(ES$54)),IF(AND(Results!$E$4="Cells",Results!$E$5="Million",$B$52="million"),((ES12*ES$51)/(ES$52)),"0")))))</f>
        <v>0</v>
      </c>
      <c r="ET65" s="20" t="str">
        <f>IF(ET12=0,"0",IF(AND(Results!$E$5="Protein",$C$53&gt;0,OR(Results!$E$4="Tissue",Results!$E$4="Cells")),((ET12*ET$51)/(ET$53)),IF(AND(Results!$E$5="Weight",$C$52&gt;0, Results!$E$4="Tissue",OR($B$52="g",$B$52="mg")),((ET12*ET$51)/(ET$52)),IF(AND(Results!$E$5="Volume",$C$54&gt;0,Results!$E$4="Fluid"),((ET12*ET$51)/(ET$54)),IF(AND(Results!$E$4="Cells",Results!$E$5="Million",$B$52="million"),((ET12*ET$51)/(ET$52)),"0")))))</f>
        <v>0</v>
      </c>
      <c r="EU65" s="20" t="str">
        <f>IF(EU12=0,"0",IF(AND(Results!$E$5="Protein",$C$53&gt;0,OR(Results!$E$4="Tissue",Results!$E$4="Cells")),((EU12*EU$51)/(EU$53)),IF(AND(Results!$E$5="Weight",$C$52&gt;0, Results!$E$4="Tissue",OR($B$52="g",$B$52="mg")),((EU12*EU$51)/(EU$52)),IF(AND(Results!$E$5="Volume",$C$54&gt;0,Results!$E$4="Fluid"),((EU12*EU$51)/(EU$54)),IF(AND(Results!$E$4="Cells",Results!$E$5="Million",$B$52="million"),((EU12*EU$51)/(EU$52)),"0")))))</f>
        <v>0</v>
      </c>
      <c r="EV65" s="20" t="str">
        <f>IF(EV12=0,"0",IF(AND(Results!$E$5="Protein",$C$53&gt;0,OR(Results!$E$4="Tissue",Results!$E$4="Cells")),((EV12*EV$51)/(EV$53)),IF(AND(Results!$E$5="Weight",$C$52&gt;0, Results!$E$4="Tissue",OR($B$52="g",$B$52="mg")),((EV12*EV$51)/(EV$52)),IF(AND(Results!$E$5="Volume",$C$54&gt;0,Results!$E$4="Fluid"),((EV12*EV$51)/(EV$54)),IF(AND(Results!$E$4="Cells",Results!$E$5="Million",$B$52="million"),((EV12*EV$51)/(EV$52)),"0")))))</f>
        <v>0</v>
      </c>
      <c r="EW65" s="20" t="str">
        <f>IF(EW12=0,"0",IF(AND(Results!$E$5="Protein",$C$53&gt;0,OR(Results!$E$4="Tissue",Results!$E$4="Cells")),((EW12*EW$51)/(EW$53)),IF(AND(Results!$E$5="Weight",$C$52&gt;0, Results!$E$4="Tissue",OR($B$52="g",$B$52="mg")),((EW12*EW$51)/(EW$52)),IF(AND(Results!$E$5="Volume",$C$54&gt;0,Results!$E$4="Fluid"),((EW12*EW$51)/(EW$54)),IF(AND(Results!$E$4="Cells",Results!$E$5="Million",$B$52="million"),((EW12*EW$51)/(EW$52)),"0")))))</f>
        <v>0</v>
      </c>
      <c r="EX65" s="20" t="str">
        <f>IF(EX12=0,"0",IF(AND(Results!$E$5="Protein",$C$53&gt;0,OR(Results!$E$4="Tissue",Results!$E$4="Cells")),((EX12*EX$51)/(EX$53)),IF(AND(Results!$E$5="Weight",$C$52&gt;0, Results!$E$4="Tissue",OR($B$52="g",$B$52="mg")),((EX12*EX$51)/(EX$52)),IF(AND(Results!$E$5="Volume",$C$54&gt;0,Results!$E$4="Fluid"),((EX12*EX$51)/(EX$54)),IF(AND(Results!$E$4="Cells",Results!$E$5="Million",$B$52="million"),((EX12*EX$51)/(EX$52)),"0")))))</f>
        <v>0</v>
      </c>
      <c r="EY65" s="20" t="str">
        <f>IF(EY12=0,"0",IF(AND(Results!$E$5="Protein",$C$53&gt;0,OR(Results!$E$4="Tissue",Results!$E$4="Cells")),((EY12*EY$51)/(EY$53)),IF(AND(Results!$E$5="Weight",$C$52&gt;0, Results!$E$4="Tissue",OR($B$52="g",$B$52="mg")),((EY12*EY$51)/(EY$52)),IF(AND(Results!$E$5="Volume",$C$54&gt;0,Results!$E$4="Fluid"),((EY12*EY$51)/(EY$54)),IF(AND(Results!$E$4="Cells",Results!$E$5="Million",$B$52="million"),((EY12*EY$51)/(EY$52)),"0")))))</f>
        <v>0</v>
      </c>
      <c r="EZ65" s="20" t="str">
        <f>IF(EZ12=0,"0",IF(AND(Results!$E$5="Protein",$C$53&gt;0,OR(Results!$E$4="Tissue",Results!$E$4="Cells")),((EZ12*EZ$51)/(EZ$53)),IF(AND(Results!$E$5="Weight",$C$52&gt;0, Results!$E$4="Tissue",OR($B$52="g",$B$52="mg")),((EZ12*EZ$51)/(EZ$52)),IF(AND(Results!$E$5="Volume",$C$54&gt;0,Results!$E$4="Fluid"),((EZ12*EZ$51)/(EZ$54)),IF(AND(Results!$E$4="Cells",Results!$E$5="Million",$B$52="million"),((EZ12*EZ$51)/(EZ$52)),"0")))))</f>
        <v>0</v>
      </c>
      <c r="FA65" s="20" t="str">
        <f>IF(FA12=0,"0",IF(AND(Results!$E$5="Protein",$C$53&gt;0,OR(Results!$E$4="Tissue",Results!$E$4="Cells")),((FA12*FA$51)/(FA$53)),IF(AND(Results!$E$5="Weight",$C$52&gt;0, Results!$E$4="Tissue",OR($B$52="g",$B$52="mg")),((FA12*FA$51)/(FA$52)),IF(AND(Results!$E$5="Volume",$C$54&gt;0,Results!$E$4="Fluid"),((FA12*FA$51)/(FA$54)),IF(AND(Results!$E$4="Cells",Results!$E$5="Million",$B$52="million"),((FA12*FA$51)/(FA$52)),"0")))))</f>
        <v>0</v>
      </c>
      <c r="FB65" s="20" t="str">
        <f>IF(FB12=0,"0",IF(AND(Results!$E$5="Protein",$C$53&gt;0,OR(Results!$E$4="Tissue",Results!$E$4="Cells")),((FB12*FB$51)/(FB$53)),IF(AND(Results!$E$5="Weight",$C$52&gt;0, Results!$E$4="Tissue",OR($B$52="g",$B$52="mg")),((FB12*FB$51)/(FB$52)),IF(AND(Results!$E$5="Volume",$C$54&gt;0,Results!$E$4="Fluid"),((FB12*FB$51)/(FB$54)),IF(AND(Results!$E$4="Cells",Results!$E$5="Million",$B$52="million"),((FB12*FB$51)/(FB$52)),"0")))))</f>
        <v>0</v>
      </c>
      <c r="FC65" s="20" t="str">
        <f>IF(FC12=0,"0",IF(AND(Results!$E$5="Protein",$C$53&gt;0,OR(Results!$E$4="Tissue",Results!$E$4="Cells")),((FC12*FC$51)/(FC$53)),IF(AND(Results!$E$5="Weight",$C$52&gt;0, Results!$E$4="Tissue",OR($B$52="g",$B$52="mg")),((FC12*FC$51)/(FC$52)),IF(AND(Results!$E$5="Volume",$C$54&gt;0,Results!$E$4="Fluid"),((FC12*FC$51)/(FC$54)),IF(AND(Results!$E$4="Cells",Results!$E$5="Million",$B$52="million"),((FC12*FC$51)/(FC$52)),"0")))))</f>
        <v>0</v>
      </c>
      <c r="FD65" s="20" t="str">
        <f>IF(FD12=0,"0",IF(AND(Results!$E$5="Protein",$C$53&gt;0,OR(Results!$E$4="Tissue",Results!$E$4="Cells")),((FD12*FD$51)/(FD$53)),IF(AND(Results!$E$5="Weight",$C$52&gt;0, Results!$E$4="Tissue",OR($B$52="g",$B$52="mg")),((FD12*FD$51)/(FD$52)),IF(AND(Results!$E$5="Volume",$C$54&gt;0,Results!$E$4="Fluid"),((FD12*FD$51)/(FD$54)),IF(AND(Results!$E$4="Cells",Results!$E$5="Million",$B$52="million"),((FD12*FD$51)/(FD$52)),"0")))))</f>
        <v>0</v>
      </c>
      <c r="FE65" s="20" t="str">
        <f>IF(FE12=0,"0",IF(AND(Results!$E$5="Protein",$C$53&gt;0,OR(Results!$E$4="Tissue",Results!$E$4="Cells")),((FE12*FE$51)/(FE$53)),IF(AND(Results!$E$5="Weight",$C$52&gt;0, Results!$E$4="Tissue",OR($B$52="g",$B$52="mg")),((FE12*FE$51)/(FE$52)),IF(AND(Results!$E$5="Volume",$C$54&gt;0,Results!$E$4="Fluid"),((FE12*FE$51)/(FE$54)),IF(AND(Results!$E$4="Cells",Results!$E$5="Million",$B$52="million"),((FE12*FE$51)/(FE$52)),"0")))))</f>
        <v>0</v>
      </c>
      <c r="FF65" s="20" t="str">
        <f>IF(FF12=0,"0",IF(AND(Results!$E$5="Protein",$C$53&gt;0,OR(Results!$E$4="Tissue",Results!$E$4="Cells")),((FF12*FF$51)/(FF$53)),IF(AND(Results!$E$5="Weight",$C$52&gt;0, Results!$E$4="Tissue",OR($B$52="g",$B$52="mg")),((FF12*FF$51)/(FF$52)),IF(AND(Results!$E$5="Volume",$C$54&gt;0,Results!$E$4="Fluid"),((FF12*FF$51)/(FF$54)),IF(AND(Results!$E$4="Cells",Results!$E$5="Million",$B$52="million"),((FF12*FF$51)/(FF$52)),"0")))))</f>
        <v>0</v>
      </c>
      <c r="FG65" s="20" t="str">
        <f>IF(FG12=0,"0",IF(AND(Results!$E$5="Protein",$C$53&gt;0,OR(Results!$E$4="Tissue",Results!$E$4="Cells")),((FG12*FG$51)/(FG$53)),IF(AND(Results!$E$5="Weight",$C$52&gt;0, Results!$E$4="Tissue",OR($B$52="g",$B$52="mg")),((FG12*FG$51)/(FG$52)),IF(AND(Results!$E$5="Volume",$C$54&gt;0,Results!$E$4="Fluid"),((FG12*FG$51)/(FG$54)),IF(AND(Results!$E$4="Cells",Results!$E$5="Million",$B$52="million"),((FG12*FG$51)/(FG$52)),"0")))))</f>
        <v>0</v>
      </c>
      <c r="FH65" s="20" t="str">
        <f>IF(FH12=0,"0",IF(AND(Results!$E$5="Protein",$C$53&gt;0,OR(Results!$E$4="Tissue",Results!$E$4="Cells")),((FH12*FH$51)/(FH$53)),IF(AND(Results!$E$5="Weight",$C$52&gt;0, Results!$E$4="Tissue",OR($B$52="g",$B$52="mg")),((FH12*FH$51)/(FH$52)),IF(AND(Results!$E$5="Volume",$C$54&gt;0,Results!$E$4="Fluid"),((FH12*FH$51)/(FH$54)),IF(AND(Results!$E$4="Cells",Results!$E$5="Million",$B$52="million"),((FH12*FH$51)/(FH$52)),"0")))))</f>
        <v>0</v>
      </c>
      <c r="FI65" s="20" t="str">
        <f>IF(FI12=0,"0",IF(AND(Results!$E$5="Protein",$C$53&gt;0,OR(Results!$E$4="Tissue",Results!$E$4="Cells")),((FI12*FI$51)/(FI$53)),IF(AND(Results!$E$5="Weight",$C$52&gt;0, Results!$E$4="Tissue",OR($B$52="g",$B$52="mg")),((FI12*FI$51)/(FI$52)),IF(AND(Results!$E$5="Volume",$C$54&gt;0,Results!$E$4="Fluid"),((FI12*FI$51)/(FI$54)),IF(AND(Results!$E$4="Cells",Results!$E$5="Million",$B$52="million"),((FI12*FI$51)/(FI$52)),"0")))))</f>
        <v>0</v>
      </c>
      <c r="FJ65" s="20" t="str">
        <f>IF(FJ12=0,"0",IF(AND(Results!$E$5="Protein",$C$53&gt;0,OR(Results!$E$4="Tissue",Results!$E$4="Cells")),((FJ12*FJ$51)/(FJ$53)),IF(AND(Results!$E$5="Weight",$C$52&gt;0, Results!$E$4="Tissue",OR($B$52="g",$B$52="mg")),((FJ12*FJ$51)/(FJ$52)),IF(AND(Results!$E$5="Volume",$C$54&gt;0,Results!$E$4="Fluid"),((FJ12*FJ$51)/(FJ$54)),IF(AND(Results!$E$4="Cells",Results!$E$5="Million",$B$52="million"),((FJ12*FJ$51)/(FJ$52)),"0")))))</f>
        <v>0</v>
      </c>
      <c r="FK65" s="20" t="str">
        <f>IF(FK12=0,"0",IF(AND(Results!$E$5="Protein",$C$53&gt;0,OR(Results!$E$4="Tissue",Results!$E$4="Cells")),((FK12*FK$51)/(FK$53)),IF(AND(Results!$E$5="Weight",$C$52&gt;0, Results!$E$4="Tissue",OR($B$52="g",$B$52="mg")),((FK12*FK$51)/(FK$52)),IF(AND(Results!$E$5="Volume",$C$54&gt;0,Results!$E$4="Fluid"),((FK12*FK$51)/(FK$54)),IF(AND(Results!$E$4="Cells",Results!$E$5="Million",$B$52="million"),((FK12*FK$51)/(FK$52)),"0")))))</f>
        <v>0</v>
      </c>
      <c r="FL65" s="20" t="str">
        <f>IF(FL12=0,"0",IF(AND(Results!$E$5="Protein",$C$53&gt;0,OR(Results!$E$4="Tissue",Results!$E$4="Cells")),((FL12*FL$51)/(FL$53)),IF(AND(Results!$E$5="Weight",$C$52&gt;0, Results!$E$4="Tissue",OR($B$52="g",$B$52="mg")),((FL12*FL$51)/(FL$52)),IF(AND(Results!$E$5="Volume",$C$54&gt;0,Results!$E$4="Fluid"),((FL12*FL$51)/(FL$54)),IF(AND(Results!$E$4="Cells",Results!$E$5="Million",$B$52="million"),((FL12*FL$51)/(FL$52)),"0")))))</f>
        <v>0</v>
      </c>
      <c r="FM65" s="20" t="str">
        <f>IF(FM12=0,"0",IF(AND(Results!$E$5="Protein",$C$53&gt;0,OR(Results!$E$4="Tissue",Results!$E$4="Cells")),((FM12*FM$51)/(FM$53)),IF(AND(Results!$E$5="Weight",$C$52&gt;0, Results!$E$4="Tissue",OR($B$52="g",$B$52="mg")),((FM12*FM$51)/(FM$52)),IF(AND(Results!$E$5="Volume",$C$54&gt;0,Results!$E$4="Fluid"),((FM12*FM$51)/(FM$54)),IF(AND(Results!$E$4="Cells",Results!$E$5="Million",$B$52="million"),((FM12*FM$51)/(FM$52)),"0")))))</f>
        <v>0</v>
      </c>
      <c r="FN65" s="20" t="str">
        <f>IF(FN12=0,"0",IF(AND(Results!$E$5="Protein",$C$53&gt;0,OR(Results!$E$4="Tissue",Results!$E$4="Cells")),((FN12*FN$51)/(FN$53)),IF(AND(Results!$E$5="Weight",$C$52&gt;0, Results!$E$4="Tissue",OR($B$52="g",$B$52="mg")),((FN12*FN$51)/(FN$52)),IF(AND(Results!$E$5="Volume",$C$54&gt;0,Results!$E$4="Fluid"),((FN12*FN$51)/(FN$54)),IF(AND(Results!$E$4="Cells",Results!$E$5="Million",$B$52="million"),((FN12*FN$51)/(FN$52)),"0")))))</f>
        <v>0</v>
      </c>
      <c r="FO65" s="20" t="str">
        <f>IF(FO12=0,"0",IF(AND(Results!$E$5="Protein",$C$53&gt;0,OR(Results!$E$4="Tissue",Results!$E$4="Cells")),((FO12*FO$51)/(FO$53)),IF(AND(Results!$E$5="Weight",$C$52&gt;0, Results!$E$4="Tissue",OR($B$52="g",$B$52="mg")),((FO12*FO$51)/(FO$52)),IF(AND(Results!$E$5="Volume",$C$54&gt;0,Results!$E$4="Fluid"),((FO12*FO$51)/(FO$54)),IF(AND(Results!$E$4="Cells",Results!$E$5="Million",$B$52="million"),((FO12*FO$51)/(FO$52)),"0")))))</f>
        <v>0</v>
      </c>
    </row>
    <row r="66" spans="1:171" x14ac:dyDescent="0.2">
      <c r="A66" s="120" t="str">
        <f t="shared" si="0"/>
        <v>5,6-EET</v>
      </c>
      <c r="B66" s="121"/>
      <c r="C66" s="20" t="str">
        <f>IF(C13=0,"0",IF(AND(Results!$E$5="Protein",$C$53&gt;0,OR(Results!$E$4="Tissue",Results!$E$4="Cells")),((C13*C$51)/(C$53)),IF(AND(Results!$E$5="Weight",$C$52&gt;0, Results!$E$4="Tissue",OR($B$52="g",$B$52="mg")),((C13*C$51)/(C$52)),IF(AND(Results!$E$5="Volume",$C$54&gt;0,Results!$E$4="Fluid"),((C13*C$51)/(C$54)),IF(AND(Results!$E$4="Cells",Results!$E$5="Million",$B$52="million"),((C13*C$51)/(C$52)),"0")))))</f>
        <v>0</v>
      </c>
      <c r="D66" s="20" t="str">
        <f>IF(D13=0,"0",IF(AND(Results!$E$5="Protein",$C$53&gt;0,OR(Results!$E$4="Tissue",Results!$E$4="Cells")),((D13*D$51)/(D$53)),IF(AND(Results!$E$5="Weight",$C$52&gt;0, Results!$E$4="Tissue",OR($B$52="g",$B$52="mg")),((D13*D$51)/(D$52)),IF(AND(Results!$E$5="Volume",$C$54&gt;0,Results!$E$4="Fluid"),((D13*D$51)/(D$54)),IF(AND(Results!$E$4="Cells",Results!$E$5="Million",$B$52="million"),((D13*D$51)/(D$52)),"0")))))</f>
        <v>0</v>
      </c>
      <c r="E66" s="20" t="str">
        <f>IF(E13=0,"0",IF(AND(Results!$E$5="Protein",$C$53&gt;0,OR(Results!$E$4="Tissue",Results!$E$4="Cells")),((E13*E$51)/(E$53)),IF(AND(Results!$E$5="Weight",$C$52&gt;0, Results!$E$4="Tissue",OR($B$52="g",$B$52="mg")),((E13*E$51)/(E$52)),IF(AND(Results!$E$5="Volume",$C$54&gt;0,Results!$E$4="Fluid"),((E13*E$51)/(E$54)),IF(AND(Results!$E$4="Cells",Results!$E$5="Million",$B$52="million"),((E13*E$51)/(E$52)),"0")))))</f>
        <v>0</v>
      </c>
      <c r="F66" s="20" t="str">
        <f>IF(F13=0,"0",IF(AND(Results!$E$5="Protein",$C$53&gt;0,OR(Results!$E$4="Tissue",Results!$E$4="Cells")),((F13*F$51)/(F$53)),IF(AND(Results!$E$5="Weight",$C$52&gt;0, Results!$E$4="Tissue",OR($B$52="g",$B$52="mg")),((F13*F$51)/(F$52)),IF(AND(Results!$E$5="Volume",$C$54&gt;0,Results!$E$4="Fluid"),((F13*F$51)/(F$54)),IF(AND(Results!$E$4="Cells",Results!$E$5="Million",$B$52="million"),((F13*F$51)/(F$52)),"0")))))</f>
        <v>0</v>
      </c>
      <c r="G66" s="20" t="str">
        <f>IF(G13=0,"0",IF(AND(Results!$E$5="Protein",$C$53&gt;0,OR(Results!$E$4="Tissue",Results!$E$4="Cells")),((G13*G$51)/(G$53)),IF(AND(Results!$E$5="Weight",$C$52&gt;0, Results!$E$4="Tissue",OR($B$52="g",$B$52="mg")),((G13*G$51)/(G$52)),IF(AND(Results!$E$5="Volume",$C$54&gt;0,Results!$E$4="Fluid"),((G13*G$51)/(G$54)),IF(AND(Results!$E$4="Cells",Results!$E$5="Million",$B$52="million"),((G13*G$51)/(G$52)),"0")))))</f>
        <v>0</v>
      </c>
      <c r="H66" s="20" t="str">
        <f>IF(H13=0,"0",IF(AND(Results!$E$5="Protein",$C$53&gt;0,OR(Results!$E$4="Tissue",Results!$E$4="Cells")),((H13*H$51)/(H$53)),IF(AND(Results!$E$5="Weight",$C$52&gt;0, Results!$E$4="Tissue",OR($B$52="g",$B$52="mg")),((H13*H$51)/(H$52)),IF(AND(Results!$E$5="Volume",$C$54&gt;0,Results!$E$4="Fluid"),((H13*H$51)/(H$54)),IF(AND(Results!$E$4="Cells",Results!$E$5="Million",$B$52="million"),((H13*H$51)/(H$52)),"0")))))</f>
        <v>0</v>
      </c>
      <c r="I66" s="20" t="str">
        <f>IF(I13=0,"0",IF(AND(Results!$E$5="Protein",$C$53&gt;0,OR(Results!$E$4="Tissue",Results!$E$4="Cells")),((I13*I$51)/(I$53)),IF(AND(Results!$E$5="Weight",$C$52&gt;0, Results!$E$4="Tissue",OR($B$52="g",$B$52="mg")),((I13*I$51)/(I$52)),IF(AND(Results!$E$5="Volume",$C$54&gt;0,Results!$E$4="Fluid"),((I13*I$51)/(I$54)),IF(AND(Results!$E$4="Cells",Results!$E$5="Million",$B$52="million"),((I13*I$51)/(I$52)),"0")))))</f>
        <v>0</v>
      </c>
      <c r="J66" s="20" t="str">
        <f>IF(J13=0,"0",IF(AND(Results!$E$5="Protein",$C$53&gt;0,OR(Results!$E$4="Tissue",Results!$E$4="Cells")),((J13*J$51)/(J$53)),IF(AND(Results!$E$5="Weight",$C$52&gt;0, Results!$E$4="Tissue",OR($B$52="g",$B$52="mg")),((J13*J$51)/(J$52)),IF(AND(Results!$E$5="Volume",$C$54&gt;0,Results!$E$4="Fluid"),((J13*J$51)/(J$54)),IF(AND(Results!$E$4="Cells",Results!$E$5="Million",$B$52="million"),((J13*J$51)/(J$52)),"0")))))</f>
        <v>0</v>
      </c>
      <c r="K66" s="20" t="str">
        <f>IF(K13=0,"0",IF(AND(Results!$E$5="Protein",$C$53&gt;0,OR(Results!$E$4="Tissue",Results!$E$4="Cells")),((K13*K$51)/(K$53)),IF(AND(Results!$E$5="Weight",$C$52&gt;0, Results!$E$4="Tissue",OR($B$52="g",$B$52="mg")),((K13*K$51)/(K$52)),IF(AND(Results!$E$5="Volume",$C$54&gt;0,Results!$E$4="Fluid"),((K13*K$51)/(K$54)),IF(AND(Results!$E$4="Cells",Results!$E$5="Million",$B$52="million"),((K13*K$51)/(K$52)),"0")))))</f>
        <v>0</v>
      </c>
      <c r="L66" s="20" t="str">
        <f>IF(L13=0,"0",IF(AND(Results!$E$5="Protein",$C$53&gt;0,OR(Results!$E$4="Tissue",Results!$E$4="Cells")),((L13*L$51)/(L$53)),IF(AND(Results!$E$5="Weight",$C$52&gt;0, Results!$E$4="Tissue",OR($B$52="g",$B$52="mg")),((L13*L$51)/(L$52)),IF(AND(Results!$E$5="Volume",$C$54&gt;0,Results!$E$4="Fluid"),((L13*L$51)/(L$54)),IF(AND(Results!$E$4="Cells",Results!$E$5="Million",$B$52="million"),((L13*L$51)/(L$52)),"0")))))</f>
        <v>0</v>
      </c>
      <c r="M66" s="20" t="str">
        <f>IF(M13=0,"0",IF(AND(Results!$E$5="Protein",$C$53&gt;0,OR(Results!$E$4="Tissue",Results!$E$4="Cells")),((M13*M$51)/(M$53)),IF(AND(Results!$E$5="Weight",$C$52&gt;0, Results!$E$4="Tissue",OR($B$52="g",$B$52="mg")),((M13*M$51)/(M$52)),IF(AND(Results!$E$5="Volume",$C$54&gt;0,Results!$E$4="Fluid"),((M13*M$51)/(M$54)),IF(AND(Results!$E$4="Cells",Results!$E$5="Million",$B$52="million"),((M13*M$51)/(M$52)),"0")))))</f>
        <v>0</v>
      </c>
      <c r="N66" s="20" t="str">
        <f>IF(N13=0,"0",IF(AND(Results!$E$5="Protein",$C$53&gt;0,OR(Results!$E$4="Tissue",Results!$E$4="Cells")),((N13*N$51)/(N$53)),IF(AND(Results!$E$5="Weight",$C$52&gt;0, Results!$E$4="Tissue",OR($B$52="g",$B$52="mg")),((N13*N$51)/(N$52)),IF(AND(Results!$E$5="Volume",$C$54&gt;0,Results!$E$4="Fluid"),((N13*N$51)/(N$54)),IF(AND(Results!$E$4="Cells",Results!$E$5="Million",$B$52="million"),((N13*N$51)/(N$52)),"0")))))</f>
        <v>0</v>
      </c>
      <c r="O66" s="20" t="str">
        <f>IF(O13=0,"0",IF(AND(Results!$E$5="Protein",$C$53&gt;0,OR(Results!$E$4="Tissue",Results!$E$4="Cells")),((O13*O$51)/(O$53)),IF(AND(Results!$E$5="Weight",$C$52&gt;0, Results!$E$4="Tissue",OR($B$52="g",$B$52="mg")),((O13*O$51)/(O$52)),IF(AND(Results!$E$5="Volume",$C$54&gt;0,Results!$E$4="Fluid"),((O13*O$51)/(O$54)),IF(AND(Results!$E$4="Cells",Results!$E$5="Million",$B$52="million"),((O13*O$51)/(O$52)),"0")))))</f>
        <v>0</v>
      </c>
      <c r="P66" s="20" t="str">
        <f>IF(P13=0,"0",IF(AND(Results!$E$5="Protein",$C$53&gt;0,OR(Results!$E$4="Tissue",Results!$E$4="Cells")),((P13*P$51)/(P$53)),IF(AND(Results!$E$5="Weight",$C$52&gt;0, Results!$E$4="Tissue",OR($B$52="g",$B$52="mg")),((P13*P$51)/(P$52)),IF(AND(Results!$E$5="Volume",$C$54&gt;0,Results!$E$4="Fluid"),((P13*P$51)/(P$54)),IF(AND(Results!$E$4="Cells",Results!$E$5="Million",$B$52="million"),((P13*P$51)/(P$52)),"0")))))</f>
        <v>0</v>
      </c>
      <c r="Q66" s="20" t="str">
        <f>IF(Q13=0,"0",IF(AND(Results!$E$5="Protein",$C$53&gt;0,OR(Results!$E$4="Tissue",Results!$E$4="Cells")),((Q13*Q$51)/(Q$53)),IF(AND(Results!$E$5="Weight",$C$52&gt;0, Results!$E$4="Tissue",OR($B$52="g",$B$52="mg")),((Q13*Q$51)/(Q$52)),IF(AND(Results!$E$5="Volume",$C$54&gt;0,Results!$E$4="Fluid"),((Q13*Q$51)/(Q$54)),IF(AND(Results!$E$4="Cells",Results!$E$5="Million",$B$52="million"),((Q13*Q$51)/(Q$52)),"0")))))</f>
        <v>0</v>
      </c>
      <c r="R66" s="20" t="str">
        <f>IF(R13=0,"0",IF(AND(Results!$E$5="Protein",$C$53&gt;0,OR(Results!$E$4="Tissue",Results!$E$4="Cells")),((R13*R$51)/(R$53)),IF(AND(Results!$E$5="Weight",$C$52&gt;0, Results!$E$4="Tissue",OR($B$52="g",$B$52="mg")),((R13*R$51)/(R$52)),IF(AND(Results!$E$5="Volume",$C$54&gt;0,Results!$E$4="Fluid"),((R13*R$51)/(R$54)),IF(AND(Results!$E$4="Cells",Results!$E$5="Million",$B$52="million"),((R13*R$51)/(R$52)),"0")))))</f>
        <v>0</v>
      </c>
      <c r="S66" s="20" t="str">
        <f>IF(S13=0,"0",IF(AND(Results!$E$5="Protein",$C$53&gt;0,OR(Results!$E$4="Tissue",Results!$E$4="Cells")),((S13*S$51)/(S$53)),IF(AND(Results!$E$5="Weight",$C$52&gt;0, Results!$E$4="Tissue",OR($B$52="g",$B$52="mg")),((S13*S$51)/(S$52)),IF(AND(Results!$E$5="Volume",$C$54&gt;0,Results!$E$4="Fluid"),((S13*S$51)/(S$54)),IF(AND(Results!$E$4="Cells",Results!$E$5="Million",$B$52="million"),((S13*S$51)/(S$52)),"0")))))</f>
        <v>0</v>
      </c>
      <c r="T66" s="20" t="str">
        <f>IF(T13=0,"0",IF(AND(Results!$E$5="Protein",$C$53&gt;0,OR(Results!$E$4="Tissue",Results!$E$4="Cells")),((T13*T$51)/(T$53)),IF(AND(Results!$E$5="Weight",$C$52&gt;0, Results!$E$4="Tissue",OR($B$52="g",$B$52="mg")),((T13*T$51)/(T$52)),IF(AND(Results!$E$5="Volume",$C$54&gt;0,Results!$E$4="Fluid"),((T13*T$51)/(T$54)),IF(AND(Results!$E$4="Cells",Results!$E$5="Million",$B$52="million"),((T13*T$51)/(T$52)),"0")))))</f>
        <v>0</v>
      </c>
      <c r="U66" s="20" t="str">
        <f>IF(U13=0,"0",IF(AND(Results!$E$5="Protein",$C$53&gt;0,OR(Results!$E$4="Tissue",Results!$E$4="Cells")),((U13*U$51)/(U$53)),IF(AND(Results!$E$5="Weight",$C$52&gt;0, Results!$E$4="Tissue",OR($B$52="g",$B$52="mg")),((U13*U$51)/(U$52)),IF(AND(Results!$E$5="Volume",$C$54&gt;0,Results!$E$4="Fluid"),((U13*U$51)/(U$54)),IF(AND(Results!$E$4="Cells",Results!$E$5="Million",$B$52="million"),((U13*U$51)/(U$52)),"0")))))</f>
        <v>0</v>
      </c>
      <c r="V66" s="20" t="str">
        <f>IF(V13=0,"0",IF(AND(Results!$E$5="Protein",$C$53&gt;0,OR(Results!$E$4="Tissue",Results!$E$4="Cells")),((V13*V$51)/(V$53)),IF(AND(Results!$E$5="Weight",$C$52&gt;0, Results!$E$4="Tissue",OR($B$52="g",$B$52="mg")),((V13*V$51)/(V$52)),IF(AND(Results!$E$5="Volume",$C$54&gt;0,Results!$E$4="Fluid"),((V13*V$51)/(V$54)),IF(AND(Results!$E$4="Cells",Results!$E$5="Million",$B$52="million"),((V13*V$51)/(V$52)),"0")))))</f>
        <v>0</v>
      </c>
      <c r="W66" s="20" t="str">
        <f>IF(W13=0,"0",IF(AND(Results!$E$5="Protein",$C$53&gt;0,OR(Results!$E$4="Tissue",Results!$E$4="Cells")),((W13*W$51)/(W$53)),IF(AND(Results!$E$5="Weight",$C$52&gt;0, Results!$E$4="Tissue",OR($B$52="g",$B$52="mg")),((W13*W$51)/(W$52)),IF(AND(Results!$E$5="Volume",$C$54&gt;0,Results!$E$4="Fluid"),((W13*W$51)/(W$54)),IF(AND(Results!$E$4="Cells",Results!$E$5="Million",$B$52="million"),((W13*W$51)/(W$52)),"0")))))</f>
        <v>0</v>
      </c>
      <c r="X66" s="20" t="str">
        <f>IF(X13=0,"0",IF(AND(Results!$E$5="Protein",$C$53&gt;0,OR(Results!$E$4="Tissue",Results!$E$4="Cells")),((X13*X$51)/(X$53)),IF(AND(Results!$E$5="Weight",$C$52&gt;0, Results!$E$4="Tissue",OR($B$52="g",$B$52="mg")),((X13*X$51)/(X$52)),IF(AND(Results!$E$5="Volume",$C$54&gt;0,Results!$E$4="Fluid"),((X13*X$51)/(X$54)),IF(AND(Results!$E$4="Cells",Results!$E$5="Million",$B$52="million"),((X13*X$51)/(X$52)),"0")))))</f>
        <v>0</v>
      </c>
      <c r="Y66" s="20" t="str">
        <f>IF(Y13=0,"0",IF(AND(Results!$E$5="Protein",$C$53&gt;0,OR(Results!$E$4="Tissue",Results!$E$4="Cells")),((Y13*Y$51)/(Y$53)),IF(AND(Results!$E$5="Weight",$C$52&gt;0, Results!$E$4="Tissue",OR($B$52="g",$B$52="mg")),((Y13*Y$51)/(Y$52)),IF(AND(Results!$E$5="Volume",$C$54&gt;0,Results!$E$4="Fluid"),((Y13*Y$51)/(Y$54)),IF(AND(Results!$E$4="Cells",Results!$E$5="Million",$B$52="million"),((Y13*Y$51)/(Y$52)),"0")))))</f>
        <v>0</v>
      </c>
      <c r="Z66" s="20" t="str">
        <f>IF(Z13=0,"0",IF(AND(Results!$E$5="Protein",$C$53&gt;0,OR(Results!$E$4="Tissue",Results!$E$4="Cells")),((Z13*Z$51)/(Z$53)),IF(AND(Results!$E$5="Weight",$C$52&gt;0, Results!$E$4="Tissue",OR($B$52="g",$B$52="mg")),((Z13*Z$51)/(Z$52)),IF(AND(Results!$E$5="Volume",$C$54&gt;0,Results!$E$4="Fluid"),((Z13*Z$51)/(Z$54)),IF(AND(Results!$E$4="Cells",Results!$E$5="Million",$B$52="million"),((Z13*Z$51)/(Z$52)),"0")))))</f>
        <v>0</v>
      </c>
      <c r="AA66" s="20" t="str">
        <f>IF(AA13=0,"0",IF(AND(Results!$E$5="Protein",$C$53&gt;0,OR(Results!$E$4="Tissue",Results!$E$4="Cells")),((AA13*AA$51)/(AA$53)),IF(AND(Results!$E$5="Weight",$C$52&gt;0, Results!$E$4="Tissue",OR($B$52="g",$B$52="mg")),((AA13*AA$51)/(AA$52)),IF(AND(Results!$E$5="Volume",$C$54&gt;0,Results!$E$4="Fluid"),((AA13*AA$51)/(AA$54)),IF(AND(Results!$E$4="Cells",Results!$E$5="Million",$B$52="million"),((AA13*AA$51)/(AA$52)),"0")))))</f>
        <v>0</v>
      </c>
      <c r="AB66" s="20" t="str">
        <f>IF(AB13=0,"0",IF(AND(Results!$E$5="Protein",$C$53&gt;0,OR(Results!$E$4="Tissue",Results!$E$4="Cells")),((AB13*AB$51)/(AB$53)),IF(AND(Results!$E$5="Weight",$C$52&gt;0, Results!$E$4="Tissue",OR($B$52="g",$B$52="mg")),((AB13*AB$51)/(AB$52)),IF(AND(Results!$E$5="Volume",$C$54&gt;0,Results!$E$4="Fluid"),((AB13*AB$51)/(AB$54)),IF(AND(Results!$E$4="Cells",Results!$E$5="Million",$B$52="million"),((AB13*AB$51)/(AB$52)),"0")))))</f>
        <v>0</v>
      </c>
      <c r="AC66" s="20" t="str">
        <f>IF(AC13=0,"0",IF(AND(Results!$E$5="Protein",$C$53&gt;0,OR(Results!$E$4="Tissue",Results!$E$4="Cells")),((AC13*AC$51)/(AC$53)),IF(AND(Results!$E$5="Weight",$C$52&gt;0, Results!$E$4="Tissue",OR($B$52="g",$B$52="mg")),((AC13*AC$51)/(AC$52)),IF(AND(Results!$E$5="Volume",$C$54&gt;0,Results!$E$4="Fluid"),((AC13*AC$51)/(AC$54)),IF(AND(Results!$E$4="Cells",Results!$E$5="Million",$B$52="million"),((AC13*AC$51)/(AC$52)),"0")))))</f>
        <v>0</v>
      </c>
      <c r="AD66" s="20" t="str">
        <f>IF(AD13=0,"0",IF(AND(Results!$E$5="Protein",$C$53&gt;0,OR(Results!$E$4="Tissue",Results!$E$4="Cells")),((AD13*AD$51)/(AD$53)),IF(AND(Results!$E$5="Weight",$C$52&gt;0, Results!$E$4="Tissue",OR($B$52="g",$B$52="mg")),((AD13*AD$51)/(AD$52)),IF(AND(Results!$E$5="Volume",$C$54&gt;0,Results!$E$4="Fluid"),((AD13*AD$51)/(AD$54)),IF(AND(Results!$E$4="Cells",Results!$E$5="Million",$B$52="million"),((AD13*AD$51)/(AD$52)),"0")))))</f>
        <v>0</v>
      </c>
      <c r="AE66" s="20" t="str">
        <f>IF(AE13=0,"0",IF(AND(Results!$E$5="Protein",$C$53&gt;0,OR(Results!$E$4="Tissue",Results!$E$4="Cells")),((AE13*AE$51)/(AE$53)),IF(AND(Results!$E$5="Weight",$C$52&gt;0, Results!$E$4="Tissue",OR($B$52="g",$B$52="mg")),((AE13*AE$51)/(AE$52)),IF(AND(Results!$E$5="Volume",$C$54&gt;0,Results!$E$4="Fluid"),((AE13*AE$51)/(AE$54)),IF(AND(Results!$E$4="Cells",Results!$E$5="Million",$B$52="million"),((AE13*AE$51)/(AE$52)),"0")))))</f>
        <v>0</v>
      </c>
      <c r="AF66" s="20" t="str">
        <f>IF(AF13=0,"0",IF(AND(Results!$E$5="Protein",$C$53&gt;0,OR(Results!$E$4="Tissue",Results!$E$4="Cells")),((AF13*AF$51)/(AF$53)),IF(AND(Results!$E$5="Weight",$C$52&gt;0, Results!$E$4="Tissue",OR($B$52="g",$B$52="mg")),((AF13*AF$51)/(AF$52)),IF(AND(Results!$E$5="Volume",$C$54&gt;0,Results!$E$4="Fluid"),((AF13*AF$51)/(AF$54)),IF(AND(Results!$E$4="Cells",Results!$E$5="Million",$B$52="million"),((AF13*AF$51)/(AF$52)),"0")))))</f>
        <v>0</v>
      </c>
      <c r="AG66" s="20" t="str">
        <f>IF(AG13=0,"0",IF(AND(Results!$E$5="Protein",$C$53&gt;0,OR(Results!$E$4="Tissue",Results!$E$4="Cells")),((AG13*AG$51)/(AG$53)),IF(AND(Results!$E$5="Weight",$C$52&gt;0, Results!$E$4="Tissue",OR($B$52="g",$B$52="mg")),((AG13*AG$51)/(AG$52)),IF(AND(Results!$E$5="Volume",$C$54&gt;0,Results!$E$4="Fluid"),((AG13*AG$51)/(AG$54)),IF(AND(Results!$E$4="Cells",Results!$E$5="Million",$B$52="million"),((AG13*AG$51)/(AG$52)),"0")))))</f>
        <v>0</v>
      </c>
      <c r="AH66" s="20" t="str">
        <f>IF(AH13=0,"0",IF(AND(Results!$E$5="Protein",$C$53&gt;0,OR(Results!$E$4="Tissue",Results!$E$4="Cells")),((AH13*AH$51)/(AH$53)),IF(AND(Results!$E$5="Weight",$C$52&gt;0, Results!$E$4="Tissue",OR($B$52="g",$B$52="mg")),((AH13*AH$51)/(AH$52)),IF(AND(Results!$E$5="Volume",$C$54&gt;0,Results!$E$4="Fluid"),((AH13*AH$51)/(AH$54)),IF(AND(Results!$E$4="Cells",Results!$E$5="Million",$B$52="million"),((AH13*AH$51)/(AH$52)),"0")))))</f>
        <v>0</v>
      </c>
      <c r="AI66" s="20" t="str">
        <f>IF(AI13=0,"0",IF(AND(Results!$E$5="Protein",$C$53&gt;0,OR(Results!$E$4="Tissue",Results!$E$4="Cells")),((AI13*AI$51)/(AI$53)),IF(AND(Results!$E$5="Weight",$C$52&gt;0, Results!$E$4="Tissue",OR($B$52="g",$B$52="mg")),((AI13*AI$51)/(AI$52)),IF(AND(Results!$E$5="Volume",$C$54&gt;0,Results!$E$4="Fluid"),((AI13*AI$51)/(AI$54)),IF(AND(Results!$E$4="Cells",Results!$E$5="Million",$B$52="million"),((AI13*AI$51)/(AI$52)),"0")))))</f>
        <v>0</v>
      </c>
      <c r="AJ66" s="20" t="str">
        <f>IF(AJ13=0,"0",IF(AND(Results!$E$5="Protein",$C$53&gt;0,OR(Results!$E$4="Tissue",Results!$E$4="Cells")),((AJ13*AJ$51)/(AJ$53)),IF(AND(Results!$E$5="Weight",$C$52&gt;0, Results!$E$4="Tissue",OR($B$52="g",$B$52="mg")),((AJ13*AJ$51)/(AJ$52)),IF(AND(Results!$E$5="Volume",$C$54&gt;0,Results!$E$4="Fluid"),((AJ13*AJ$51)/(AJ$54)),IF(AND(Results!$E$4="Cells",Results!$E$5="Million",$B$52="million"),((AJ13*AJ$51)/(AJ$52)),"0")))))</f>
        <v>0</v>
      </c>
      <c r="AK66" s="20" t="str">
        <f>IF(AK13=0,"0",IF(AND(Results!$E$5="Protein",$C$53&gt;0,OR(Results!$E$4="Tissue",Results!$E$4="Cells")),((AK13*AK$51)/(AK$53)),IF(AND(Results!$E$5="Weight",$C$52&gt;0, Results!$E$4="Tissue",OR($B$52="g",$B$52="mg")),((AK13*AK$51)/(AK$52)),IF(AND(Results!$E$5="Volume",$C$54&gt;0,Results!$E$4="Fluid"),((AK13*AK$51)/(AK$54)),IF(AND(Results!$E$4="Cells",Results!$E$5="Million",$B$52="million"),((AK13*AK$51)/(AK$52)),"0")))))</f>
        <v>0</v>
      </c>
      <c r="AL66" s="20" t="str">
        <f>IF(AL13=0,"0",IF(AND(Results!$E$5="Protein",$C$53&gt;0,OR(Results!$E$4="Tissue",Results!$E$4="Cells")),((AL13*AL$51)/(AL$53)),IF(AND(Results!$E$5="Weight",$C$52&gt;0, Results!$E$4="Tissue",OR($B$52="g",$B$52="mg")),((AL13*AL$51)/(AL$52)),IF(AND(Results!$E$5="Volume",$C$54&gt;0,Results!$E$4="Fluid"),((AL13*AL$51)/(AL$54)),IF(AND(Results!$E$4="Cells",Results!$E$5="Million",$B$52="million"),((AL13*AL$51)/(AL$52)),"0")))))</f>
        <v>0</v>
      </c>
      <c r="AM66" s="20" t="str">
        <f>IF(AM13=0,"0",IF(AND(Results!$E$5="Protein",$C$53&gt;0,OR(Results!$E$4="Tissue",Results!$E$4="Cells")),((AM13*AM$51)/(AM$53)),IF(AND(Results!$E$5="Weight",$C$52&gt;0, Results!$E$4="Tissue",OR($B$52="g",$B$52="mg")),((AM13*AM$51)/(AM$52)),IF(AND(Results!$E$5="Volume",$C$54&gt;0,Results!$E$4="Fluid"),((AM13*AM$51)/(AM$54)),IF(AND(Results!$E$4="Cells",Results!$E$5="Million",$B$52="million"),((AM13*AM$51)/(AM$52)),"0")))))</f>
        <v>0</v>
      </c>
      <c r="AN66" s="20" t="str">
        <f>IF(AN13=0,"0",IF(AND(Results!$E$5="Protein",$C$53&gt;0,OR(Results!$E$4="Tissue",Results!$E$4="Cells")),((AN13*AN$51)/(AN$53)),IF(AND(Results!$E$5="Weight",$C$52&gt;0, Results!$E$4="Tissue",OR($B$52="g",$B$52="mg")),((AN13*AN$51)/(AN$52)),IF(AND(Results!$E$5="Volume",$C$54&gt;0,Results!$E$4="Fluid"),((AN13*AN$51)/(AN$54)),IF(AND(Results!$E$4="Cells",Results!$E$5="Million",$B$52="million"),((AN13*AN$51)/(AN$52)),"0")))))</f>
        <v>0</v>
      </c>
      <c r="AO66" s="20" t="str">
        <f>IF(AO13=0,"0",IF(AND(Results!$E$5="Protein",$C$53&gt;0,OR(Results!$E$4="Tissue",Results!$E$4="Cells")),((AO13*AO$51)/(AO$53)),IF(AND(Results!$E$5="Weight",$C$52&gt;0, Results!$E$4="Tissue",OR($B$52="g",$B$52="mg")),((AO13*AO$51)/(AO$52)),IF(AND(Results!$E$5="Volume",$C$54&gt;0,Results!$E$4="Fluid"),((AO13*AO$51)/(AO$54)),IF(AND(Results!$E$4="Cells",Results!$E$5="Million",$B$52="million"),((AO13*AO$51)/(AO$52)),"0")))))</f>
        <v>0</v>
      </c>
      <c r="AP66" s="20" t="str">
        <f>IF(AP13=0,"0",IF(AND(Results!$E$5="Protein",$C$53&gt;0,OR(Results!$E$4="Tissue",Results!$E$4="Cells")),((AP13*AP$51)/(AP$53)),IF(AND(Results!$E$5="Weight",$C$52&gt;0, Results!$E$4="Tissue",OR($B$52="g",$B$52="mg")),((AP13*AP$51)/(AP$52)),IF(AND(Results!$E$5="Volume",$C$54&gt;0,Results!$E$4="Fluid"),((AP13*AP$51)/(AP$54)),IF(AND(Results!$E$4="Cells",Results!$E$5="Million",$B$52="million"),((AP13*AP$51)/(AP$52)),"0")))))</f>
        <v>0</v>
      </c>
      <c r="AQ66" s="20" t="str">
        <f>IF(AQ13=0,"0",IF(AND(Results!$E$5="Protein",$C$53&gt;0,OR(Results!$E$4="Tissue",Results!$E$4="Cells")),((AQ13*AQ$51)/(AQ$53)),IF(AND(Results!$E$5="Weight",$C$52&gt;0, Results!$E$4="Tissue",OR($B$52="g",$B$52="mg")),((AQ13*AQ$51)/(AQ$52)),IF(AND(Results!$E$5="Volume",$C$54&gt;0,Results!$E$4="Fluid"),((AQ13*AQ$51)/(AQ$54)),IF(AND(Results!$E$4="Cells",Results!$E$5="Million",$B$52="million"),((AQ13*AQ$51)/(AQ$52)),"0")))))</f>
        <v>0</v>
      </c>
      <c r="AR66" s="20" t="str">
        <f>IF(AR13=0,"0",IF(AND(Results!$E$5="Protein",$C$53&gt;0,OR(Results!$E$4="Tissue",Results!$E$4="Cells")),((AR13*AR$51)/(AR$53)),IF(AND(Results!$E$5="Weight",$C$52&gt;0, Results!$E$4="Tissue",OR($B$52="g",$B$52="mg")),((AR13*AR$51)/(AR$52)),IF(AND(Results!$E$5="Volume",$C$54&gt;0,Results!$E$4="Fluid"),((AR13*AR$51)/(AR$54)),IF(AND(Results!$E$4="Cells",Results!$E$5="Million",$B$52="million"),((AR13*AR$51)/(AR$52)),"0")))))</f>
        <v>0</v>
      </c>
      <c r="AS66" s="20" t="str">
        <f>IF(AS13=0,"0",IF(AND(Results!$E$5="Protein",$C$53&gt;0,OR(Results!$E$4="Tissue",Results!$E$4="Cells")),((AS13*AS$51)/(AS$53)),IF(AND(Results!$E$5="Weight",$C$52&gt;0, Results!$E$4="Tissue",OR($B$52="g",$B$52="mg")),((AS13*AS$51)/(AS$52)),IF(AND(Results!$E$5="Volume",$C$54&gt;0,Results!$E$4="Fluid"),((AS13*AS$51)/(AS$54)),IF(AND(Results!$E$4="Cells",Results!$E$5="Million",$B$52="million"),((AS13*AS$51)/(AS$52)),"0")))))</f>
        <v>0</v>
      </c>
      <c r="AT66" s="20" t="str">
        <f>IF(AT13=0,"0",IF(AND(Results!$E$5="Protein",$C$53&gt;0,OR(Results!$E$4="Tissue",Results!$E$4="Cells")),((AT13*AT$51)/(AT$53)),IF(AND(Results!$E$5="Weight",$C$52&gt;0, Results!$E$4="Tissue",OR($B$52="g",$B$52="mg")),((AT13*AT$51)/(AT$52)),IF(AND(Results!$E$5="Volume",$C$54&gt;0,Results!$E$4="Fluid"),((AT13*AT$51)/(AT$54)),IF(AND(Results!$E$4="Cells",Results!$E$5="Million",$B$52="million"),((AT13*AT$51)/(AT$52)),"0")))))</f>
        <v>0</v>
      </c>
      <c r="AU66" s="20" t="str">
        <f>IF(AU13=0,"0",IF(AND(Results!$E$5="Protein",$C$53&gt;0,OR(Results!$E$4="Tissue",Results!$E$4="Cells")),((AU13*AU$51)/(AU$53)),IF(AND(Results!$E$5="Weight",$C$52&gt;0, Results!$E$4="Tissue",OR($B$52="g",$B$52="mg")),((AU13*AU$51)/(AU$52)),IF(AND(Results!$E$5="Volume",$C$54&gt;0,Results!$E$4="Fluid"),((AU13*AU$51)/(AU$54)),IF(AND(Results!$E$4="Cells",Results!$E$5="Million",$B$52="million"),((AU13*AU$51)/(AU$52)),"0")))))</f>
        <v>0</v>
      </c>
      <c r="AV66" s="20" t="str">
        <f>IF(AV13=0,"0",IF(AND(Results!$E$5="Protein",$C$53&gt;0,OR(Results!$E$4="Tissue",Results!$E$4="Cells")),((AV13*AV$51)/(AV$53)),IF(AND(Results!$E$5="Weight",$C$52&gt;0, Results!$E$4="Tissue",OR($B$52="g",$B$52="mg")),((AV13*AV$51)/(AV$52)),IF(AND(Results!$E$5="Volume",$C$54&gt;0,Results!$E$4="Fluid"),((AV13*AV$51)/(AV$54)),IF(AND(Results!$E$4="Cells",Results!$E$5="Million",$B$52="million"),((AV13*AV$51)/(AV$52)),"0")))))</f>
        <v>0</v>
      </c>
      <c r="AW66" s="20" t="str">
        <f>IF(AW13=0,"0",IF(AND(Results!$E$5="Protein",$C$53&gt;0,OR(Results!$E$4="Tissue",Results!$E$4="Cells")),((AW13*AW$51)/(AW$53)),IF(AND(Results!$E$5="Weight",$C$52&gt;0, Results!$E$4="Tissue",OR($B$52="g",$B$52="mg")),((AW13*AW$51)/(AW$52)),IF(AND(Results!$E$5="Volume",$C$54&gt;0,Results!$E$4="Fluid"),((AW13*AW$51)/(AW$54)),IF(AND(Results!$E$4="Cells",Results!$E$5="Million",$B$52="million"),((AW13*AW$51)/(AW$52)),"0")))))</f>
        <v>0</v>
      </c>
      <c r="AX66" s="20" t="str">
        <f>IF(AX13=0,"0",IF(AND(Results!$E$5="Protein",$C$53&gt;0,OR(Results!$E$4="Tissue",Results!$E$4="Cells")),((AX13*AX$51)/(AX$53)),IF(AND(Results!$E$5="Weight",$C$52&gt;0, Results!$E$4="Tissue",OR($B$52="g",$B$52="mg")),((AX13*AX$51)/(AX$52)),IF(AND(Results!$E$5="Volume",$C$54&gt;0,Results!$E$4="Fluid"),((AX13*AX$51)/(AX$54)),IF(AND(Results!$E$4="Cells",Results!$E$5="Million",$B$52="million"),((AX13*AX$51)/(AX$52)),"0")))))</f>
        <v>0</v>
      </c>
      <c r="AY66" s="20" t="str">
        <f>IF(AY13=0,"0",IF(AND(Results!$E$5="Protein",$C$53&gt;0,OR(Results!$E$4="Tissue",Results!$E$4="Cells")),((AY13*AY$51)/(AY$53)),IF(AND(Results!$E$5="Weight",$C$52&gt;0, Results!$E$4="Tissue",OR($B$52="g",$B$52="mg")),((AY13*AY$51)/(AY$52)),IF(AND(Results!$E$5="Volume",$C$54&gt;0,Results!$E$4="Fluid"),((AY13*AY$51)/(AY$54)),IF(AND(Results!$E$4="Cells",Results!$E$5="Million",$B$52="million"),((AY13*AY$51)/(AY$52)),"0")))))</f>
        <v>0</v>
      </c>
      <c r="AZ66" s="20" t="str">
        <f>IF(AZ13=0,"0",IF(AND(Results!$E$5="Protein",$C$53&gt;0,OR(Results!$E$4="Tissue",Results!$E$4="Cells")),((AZ13*AZ$51)/(AZ$53)),IF(AND(Results!$E$5="Weight",$C$52&gt;0, Results!$E$4="Tissue",OR($B$52="g",$B$52="mg")),((AZ13*AZ$51)/(AZ$52)),IF(AND(Results!$E$5="Volume",$C$54&gt;0,Results!$E$4="Fluid"),((AZ13*AZ$51)/(AZ$54)),IF(AND(Results!$E$4="Cells",Results!$E$5="Million",$B$52="million"),((AZ13*AZ$51)/(AZ$52)),"0")))))</f>
        <v>0</v>
      </c>
      <c r="BA66" s="20" t="str">
        <f>IF(BA13=0,"0",IF(AND(Results!$E$5="Protein",$C$53&gt;0,OR(Results!$E$4="Tissue",Results!$E$4="Cells")),((BA13*BA$51)/(BA$53)),IF(AND(Results!$E$5="Weight",$C$52&gt;0, Results!$E$4="Tissue",OR($B$52="g",$B$52="mg")),((BA13*BA$51)/(BA$52)),IF(AND(Results!$E$5="Volume",$C$54&gt;0,Results!$E$4="Fluid"),((BA13*BA$51)/(BA$54)),IF(AND(Results!$E$4="Cells",Results!$E$5="Million",$B$52="million"),((BA13*BA$51)/(BA$52)),"0")))))</f>
        <v>0</v>
      </c>
      <c r="BB66" s="20" t="str">
        <f>IF(BB13=0,"0",IF(AND(Results!$E$5="Protein",$C$53&gt;0,OR(Results!$E$4="Tissue",Results!$E$4="Cells")),((BB13*BB$51)/(BB$53)),IF(AND(Results!$E$5="Weight",$C$52&gt;0, Results!$E$4="Tissue",OR($B$52="g",$B$52="mg")),((BB13*BB$51)/(BB$52)),IF(AND(Results!$E$5="Volume",$C$54&gt;0,Results!$E$4="Fluid"),((BB13*BB$51)/(BB$54)),IF(AND(Results!$E$4="Cells",Results!$E$5="Million",$B$52="million"),((BB13*BB$51)/(BB$52)),"0")))))</f>
        <v>0</v>
      </c>
      <c r="BC66" s="20" t="str">
        <f>IF(BC13=0,"0",IF(AND(Results!$E$5="Protein",$C$53&gt;0,OR(Results!$E$4="Tissue",Results!$E$4="Cells")),((BC13*BC$51)/(BC$53)),IF(AND(Results!$E$5="Weight",$C$52&gt;0, Results!$E$4="Tissue",OR($B$52="g",$B$52="mg")),((BC13*BC$51)/(BC$52)),IF(AND(Results!$E$5="Volume",$C$54&gt;0,Results!$E$4="Fluid"),((BC13*BC$51)/(BC$54)),IF(AND(Results!$E$4="Cells",Results!$E$5="Million",$B$52="million"),((BC13*BC$51)/(BC$52)),"0")))))</f>
        <v>0</v>
      </c>
      <c r="BD66" s="20" t="str">
        <f>IF(BD13=0,"0",IF(AND(Results!$E$5="Protein",$C$53&gt;0,OR(Results!$E$4="Tissue",Results!$E$4="Cells")),((BD13*BD$51)/(BD$53)),IF(AND(Results!$E$5="Weight",$C$52&gt;0, Results!$E$4="Tissue",OR($B$52="g",$B$52="mg")),((BD13*BD$51)/(BD$52)),IF(AND(Results!$E$5="Volume",$C$54&gt;0,Results!$E$4="Fluid"),((BD13*BD$51)/(BD$54)),IF(AND(Results!$E$4="Cells",Results!$E$5="Million",$B$52="million"),((BD13*BD$51)/(BD$52)),"0")))))</f>
        <v>0</v>
      </c>
      <c r="BE66" s="20" t="str">
        <f>IF(BE13=0,"0",IF(AND(Results!$E$5="Protein",$C$53&gt;0,OR(Results!$E$4="Tissue",Results!$E$4="Cells")),((BE13*BE$51)/(BE$53)),IF(AND(Results!$E$5="Weight",$C$52&gt;0, Results!$E$4="Tissue",OR($B$52="g",$B$52="mg")),((BE13*BE$51)/(BE$52)),IF(AND(Results!$E$5="Volume",$C$54&gt;0,Results!$E$4="Fluid"),((BE13*BE$51)/(BE$54)),IF(AND(Results!$E$4="Cells",Results!$E$5="Million",$B$52="million"),((BE13*BE$51)/(BE$52)),"0")))))</f>
        <v>0</v>
      </c>
      <c r="BF66" s="20" t="str">
        <f>IF(BF13=0,"0",IF(AND(Results!$E$5="Protein",$C$53&gt;0,OR(Results!$E$4="Tissue",Results!$E$4="Cells")),((BF13*BF$51)/(BF$53)),IF(AND(Results!$E$5="Weight",$C$52&gt;0, Results!$E$4="Tissue",OR($B$52="g",$B$52="mg")),((BF13*BF$51)/(BF$52)),IF(AND(Results!$E$5="Volume",$C$54&gt;0,Results!$E$4="Fluid"),((BF13*BF$51)/(BF$54)),IF(AND(Results!$E$4="Cells",Results!$E$5="Million",$B$52="million"),((BF13*BF$51)/(BF$52)),"0")))))</f>
        <v>0</v>
      </c>
      <c r="BG66" s="20" t="str">
        <f>IF(BG13=0,"0",IF(AND(Results!$E$5="Protein",$C$53&gt;0,OR(Results!$E$4="Tissue",Results!$E$4="Cells")),((BG13*BG$51)/(BG$53)),IF(AND(Results!$E$5="Weight",$C$52&gt;0, Results!$E$4="Tissue",OR($B$52="g",$B$52="mg")),((BG13*BG$51)/(BG$52)),IF(AND(Results!$E$5="Volume",$C$54&gt;0,Results!$E$4="Fluid"),((BG13*BG$51)/(BG$54)),IF(AND(Results!$E$4="Cells",Results!$E$5="Million",$B$52="million"),((BG13*BG$51)/(BG$52)),"0")))))</f>
        <v>0</v>
      </c>
      <c r="BH66" s="20" t="str">
        <f>IF(BH13=0,"0",IF(AND(Results!$E$5="Protein",$C$53&gt;0,OR(Results!$E$4="Tissue",Results!$E$4="Cells")),((BH13*BH$51)/(BH$53)),IF(AND(Results!$E$5="Weight",$C$52&gt;0, Results!$E$4="Tissue",OR($B$52="g",$B$52="mg")),((BH13*BH$51)/(BH$52)),IF(AND(Results!$E$5="Volume",$C$54&gt;0,Results!$E$4="Fluid"),((BH13*BH$51)/(BH$54)),IF(AND(Results!$E$4="Cells",Results!$E$5="Million",$B$52="million"),((BH13*BH$51)/(BH$52)),"0")))))</f>
        <v>0</v>
      </c>
      <c r="BI66" s="20" t="str">
        <f>IF(BI13=0,"0",IF(AND(Results!$E$5="Protein",$C$53&gt;0,OR(Results!$E$4="Tissue",Results!$E$4="Cells")),((BI13*BI$51)/(BI$53)),IF(AND(Results!$E$5="Weight",$C$52&gt;0, Results!$E$4="Tissue",OR($B$52="g",$B$52="mg")),((BI13*BI$51)/(BI$52)),IF(AND(Results!$E$5="Volume",$C$54&gt;0,Results!$E$4="Fluid"),((BI13*BI$51)/(BI$54)),IF(AND(Results!$E$4="Cells",Results!$E$5="Million",$B$52="million"),((BI13*BI$51)/(BI$52)),"0")))))</f>
        <v>0</v>
      </c>
      <c r="BJ66" s="20" t="str">
        <f>IF(BJ13=0,"0",IF(AND(Results!$E$5="Protein",$C$53&gt;0,OR(Results!$E$4="Tissue",Results!$E$4="Cells")),((BJ13*BJ$51)/(BJ$53)),IF(AND(Results!$E$5="Weight",$C$52&gt;0, Results!$E$4="Tissue",OR($B$52="g",$B$52="mg")),((BJ13*BJ$51)/(BJ$52)),IF(AND(Results!$E$5="Volume",$C$54&gt;0,Results!$E$4="Fluid"),((BJ13*BJ$51)/(BJ$54)),IF(AND(Results!$E$4="Cells",Results!$E$5="Million",$B$52="million"),((BJ13*BJ$51)/(BJ$52)),"0")))))</f>
        <v>0</v>
      </c>
      <c r="BK66" s="20" t="str">
        <f>IF(BK13=0,"0",IF(AND(Results!$E$5="Protein",$C$53&gt;0,OR(Results!$E$4="Tissue",Results!$E$4="Cells")),((BK13*BK$51)/(BK$53)),IF(AND(Results!$E$5="Weight",$C$52&gt;0, Results!$E$4="Tissue",OR($B$52="g",$B$52="mg")),((BK13*BK$51)/(BK$52)),IF(AND(Results!$E$5="Volume",$C$54&gt;0,Results!$E$4="Fluid"),((BK13*BK$51)/(BK$54)),IF(AND(Results!$E$4="Cells",Results!$E$5="Million",$B$52="million"),((BK13*BK$51)/(BK$52)),"0")))))</f>
        <v>0</v>
      </c>
      <c r="BL66" s="20" t="str">
        <f>IF(BL13=0,"0",IF(AND(Results!$E$5="Protein",$C$53&gt;0,OR(Results!$E$4="Tissue",Results!$E$4="Cells")),((BL13*BL$51)/(BL$53)),IF(AND(Results!$E$5="Weight",$C$52&gt;0, Results!$E$4="Tissue",OR($B$52="g",$B$52="mg")),((BL13*BL$51)/(BL$52)),IF(AND(Results!$E$5="Volume",$C$54&gt;0,Results!$E$4="Fluid"),((BL13*BL$51)/(BL$54)),IF(AND(Results!$E$4="Cells",Results!$E$5="Million",$B$52="million"),((BL13*BL$51)/(BL$52)),"0")))))</f>
        <v>0</v>
      </c>
      <c r="BM66" s="20" t="str">
        <f>IF(BM13=0,"0",IF(AND(Results!$E$5="Protein",$C$53&gt;0,OR(Results!$E$4="Tissue",Results!$E$4="Cells")),((BM13*BM$51)/(BM$53)),IF(AND(Results!$E$5="Weight",$C$52&gt;0, Results!$E$4="Tissue",OR($B$52="g",$B$52="mg")),((BM13*BM$51)/(BM$52)),IF(AND(Results!$E$5="Volume",$C$54&gt;0,Results!$E$4="Fluid"),((BM13*BM$51)/(BM$54)),IF(AND(Results!$E$4="Cells",Results!$E$5="Million",$B$52="million"),((BM13*BM$51)/(BM$52)),"0")))))</f>
        <v>0</v>
      </c>
      <c r="BN66" s="20" t="str">
        <f>IF(BN13=0,"0",IF(AND(Results!$E$5="Protein",$C$53&gt;0,OR(Results!$E$4="Tissue",Results!$E$4="Cells")),((BN13*BN$51)/(BN$53)),IF(AND(Results!$E$5="Weight",$C$52&gt;0, Results!$E$4="Tissue",OR($B$52="g",$B$52="mg")),((BN13*BN$51)/(BN$52)),IF(AND(Results!$E$5="Volume",$C$54&gt;0,Results!$E$4="Fluid"),((BN13*BN$51)/(BN$54)),IF(AND(Results!$E$4="Cells",Results!$E$5="Million",$B$52="million"),((BN13*BN$51)/(BN$52)),"0")))))</f>
        <v>0</v>
      </c>
      <c r="BO66" s="20" t="str">
        <f>IF(BO13=0,"0",IF(AND(Results!$E$5="Protein",$C$53&gt;0,OR(Results!$E$4="Tissue",Results!$E$4="Cells")),((BO13*BO$51)/(BO$53)),IF(AND(Results!$E$5="Weight",$C$52&gt;0, Results!$E$4="Tissue",OR($B$52="g",$B$52="mg")),((BO13*BO$51)/(BO$52)),IF(AND(Results!$E$5="Volume",$C$54&gt;0,Results!$E$4="Fluid"),((BO13*BO$51)/(BO$54)),IF(AND(Results!$E$4="Cells",Results!$E$5="Million",$B$52="million"),((BO13*BO$51)/(BO$52)),"0")))))</f>
        <v>0</v>
      </c>
      <c r="BP66" s="20" t="str">
        <f>IF(BP13=0,"0",IF(AND(Results!$E$5="Protein",$C$53&gt;0,OR(Results!$E$4="Tissue",Results!$E$4="Cells")),((BP13*BP$51)/(BP$53)),IF(AND(Results!$E$5="Weight",$C$52&gt;0, Results!$E$4="Tissue",OR($B$52="g",$B$52="mg")),((BP13*BP$51)/(BP$52)),IF(AND(Results!$E$5="Volume",$C$54&gt;0,Results!$E$4="Fluid"),((BP13*BP$51)/(BP$54)),IF(AND(Results!$E$4="Cells",Results!$E$5="Million",$B$52="million"),((BP13*BP$51)/(BP$52)),"0")))))</f>
        <v>0</v>
      </c>
      <c r="BQ66" s="20" t="str">
        <f>IF(BQ13=0,"0",IF(AND(Results!$E$5="Protein",$C$53&gt;0,OR(Results!$E$4="Tissue",Results!$E$4="Cells")),((BQ13*BQ$51)/(BQ$53)),IF(AND(Results!$E$5="Weight",$C$52&gt;0, Results!$E$4="Tissue",OR($B$52="g",$B$52="mg")),((BQ13*BQ$51)/(BQ$52)),IF(AND(Results!$E$5="Volume",$C$54&gt;0,Results!$E$4="Fluid"),((BQ13*BQ$51)/(BQ$54)),IF(AND(Results!$E$4="Cells",Results!$E$5="Million",$B$52="million"),((BQ13*BQ$51)/(BQ$52)),"0")))))</f>
        <v>0</v>
      </c>
      <c r="BR66" s="20" t="str">
        <f>IF(BR13=0,"0",IF(AND(Results!$E$5="Protein",$C$53&gt;0,OR(Results!$E$4="Tissue",Results!$E$4="Cells")),((BR13*BR$51)/(BR$53)),IF(AND(Results!$E$5="Weight",$C$52&gt;0, Results!$E$4="Tissue",OR($B$52="g",$B$52="mg")),((BR13*BR$51)/(BR$52)),IF(AND(Results!$E$5="Volume",$C$54&gt;0,Results!$E$4="Fluid"),((BR13*BR$51)/(BR$54)),IF(AND(Results!$E$4="Cells",Results!$E$5="Million",$B$52="million"),((BR13*BR$51)/(BR$52)),"0")))))</f>
        <v>0</v>
      </c>
      <c r="BS66" s="20" t="str">
        <f>IF(BS13=0,"0",IF(AND(Results!$E$5="Protein",$C$53&gt;0,OR(Results!$E$4="Tissue",Results!$E$4="Cells")),((BS13*BS$51)/(BS$53)),IF(AND(Results!$E$5="Weight",$C$52&gt;0, Results!$E$4="Tissue",OR($B$52="g",$B$52="mg")),((BS13*BS$51)/(BS$52)),IF(AND(Results!$E$5="Volume",$C$54&gt;0,Results!$E$4="Fluid"),((BS13*BS$51)/(BS$54)),IF(AND(Results!$E$4="Cells",Results!$E$5="Million",$B$52="million"),((BS13*BS$51)/(BS$52)),"0")))))</f>
        <v>0</v>
      </c>
      <c r="BT66" s="20" t="str">
        <f>IF(BT13=0,"0",IF(AND(Results!$E$5="Protein",$C$53&gt;0,OR(Results!$E$4="Tissue",Results!$E$4="Cells")),((BT13*BT$51)/(BT$53)),IF(AND(Results!$E$5="Weight",$C$52&gt;0, Results!$E$4="Tissue",OR($B$52="g",$B$52="mg")),((BT13*BT$51)/(BT$52)),IF(AND(Results!$E$5="Volume",$C$54&gt;0,Results!$E$4="Fluid"),((BT13*BT$51)/(BT$54)),IF(AND(Results!$E$4="Cells",Results!$E$5="Million",$B$52="million"),((BT13*BT$51)/(BT$52)),"0")))))</f>
        <v>0</v>
      </c>
      <c r="BU66" s="20" t="str">
        <f>IF(BU13=0,"0",IF(AND(Results!$E$5="Protein",$C$53&gt;0,OR(Results!$E$4="Tissue",Results!$E$4="Cells")),((BU13*BU$51)/(BU$53)),IF(AND(Results!$E$5="Weight",$C$52&gt;0, Results!$E$4="Tissue",OR($B$52="g",$B$52="mg")),((BU13*BU$51)/(BU$52)),IF(AND(Results!$E$5="Volume",$C$54&gt;0,Results!$E$4="Fluid"),((BU13*BU$51)/(BU$54)),IF(AND(Results!$E$4="Cells",Results!$E$5="Million",$B$52="million"),((BU13*BU$51)/(BU$52)),"0")))))</f>
        <v>0</v>
      </c>
      <c r="BV66" s="20" t="str">
        <f>IF(BV13=0,"0",IF(AND(Results!$E$5="Protein",$C$53&gt;0,OR(Results!$E$4="Tissue",Results!$E$4="Cells")),((BV13*BV$51)/(BV$53)),IF(AND(Results!$E$5="Weight",$C$52&gt;0, Results!$E$4="Tissue",OR($B$52="g",$B$52="mg")),((BV13*BV$51)/(BV$52)),IF(AND(Results!$E$5="Volume",$C$54&gt;0,Results!$E$4="Fluid"),((BV13*BV$51)/(BV$54)),IF(AND(Results!$E$4="Cells",Results!$E$5="Million",$B$52="million"),((BV13*BV$51)/(BV$52)),"0")))))</f>
        <v>0</v>
      </c>
      <c r="BW66" s="20" t="str">
        <f>IF(BW13=0,"0",IF(AND(Results!$E$5="Protein",$C$53&gt;0,OR(Results!$E$4="Tissue",Results!$E$4="Cells")),((BW13*BW$51)/(BW$53)),IF(AND(Results!$E$5="Weight",$C$52&gt;0, Results!$E$4="Tissue",OR($B$52="g",$B$52="mg")),((BW13*BW$51)/(BW$52)),IF(AND(Results!$E$5="Volume",$C$54&gt;0,Results!$E$4="Fluid"),((BW13*BW$51)/(BW$54)),IF(AND(Results!$E$4="Cells",Results!$E$5="Million",$B$52="million"),((BW13*BW$51)/(BW$52)),"0")))))</f>
        <v>0</v>
      </c>
      <c r="BX66" s="20" t="str">
        <f>IF(BX13=0,"0",IF(AND(Results!$E$5="Protein",$C$53&gt;0,OR(Results!$E$4="Tissue",Results!$E$4="Cells")),((BX13*BX$51)/(BX$53)),IF(AND(Results!$E$5="Weight",$C$52&gt;0, Results!$E$4="Tissue",OR($B$52="g",$B$52="mg")),((BX13*BX$51)/(BX$52)),IF(AND(Results!$E$5="Volume",$C$54&gt;0,Results!$E$4="Fluid"),((BX13*BX$51)/(BX$54)),IF(AND(Results!$E$4="Cells",Results!$E$5="Million",$B$52="million"),((BX13*BX$51)/(BX$52)),"0")))))</f>
        <v>0</v>
      </c>
      <c r="BY66" s="20" t="str">
        <f>IF(BY13=0,"0",IF(AND(Results!$E$5="Protein",$C$53&gt;0,OR(Results!$E$4="Tissue",Results!$E$4="Cells")),((BY13*BY$51)/(BY$53)),IF(AND(Results!$E$5="Weight",$C$52&gt;0, Results!$E$4="Tissue",OR($B$52="g",$B$52="mg")),((BY13*BY$51)/(BY$52)),IF(AND(Results!$E$5="Volume",$C$54&gt;0,Results!$E$4="Fluid"),((BY13*BY$51)/(BY$54)),IF(AND(Results!$E$4="Cells",Results!$E$5="Million",$B$52="million"),((BY13*BY$51)/(BY$52)),"0")))))</f>
        <v>0</v>
      </c>
      <c r="BZ66" s="20" t="str">
        <f>IF(BZ13=0,"0",IF(AND(Results!$E$5="Protein",$C$53&gt;0,OR(Results!$E$4="Tissue",Results!$E$4="Cells")),((BZ13*BZ$51)/(BZ$53)),IF(AND(Results!$E$5="Weight",$C$52&gt;0, Results!$E$4="Tissue",OR($B$52="g",$B$52="mg")),((BZ13*BZ$51)/(BZ$52)),IF(AND(Results!$E$5="Volume",$C$54&gt;0,Results!$E$4="Fluid"),((BZ13*BZ$51)/(BZ$54)),IF(AND(Results!$E$4="Cells",Results!$E$5="Million",$B$52="million"),((BZ13*BZ$51)/(BZ$52)),"0")))))</f>
        <v>0</v>
      </c>
      <c r="CA66" s="20" t="str">
        <f>IF(CA13=0,"0",IF(AND(Results!$E$5="Protein",$C$53&gt;0,OR(Results!$E$4="Tissue",Results!$E$4="Cells")),((CA13*CA$51)/(CA$53)),IF(AND(Results!$E$5="Weight",$C$52&gt;0, Results!$E$4="Tissue",OR($B$52="g",$B$52="mg")),((CA13*CA$51)/(CA$52)),IF(AND(Results!$E$5="Volume",$C$54&gt;0,Results!$E$4="Fluid"),((CA13*CA$51)/(CA$54)),IF(AND(Results!$E$4="Cells",Results!$E$5="Million",$B$52="million"),((CA13*CA$51)/(CA$52)),"0")))))</f>
        <v>0</v>
      </c>
      <c r="CB66" s="20" t="str">
        <f>IF(CB13=0,"0",IF(AND(Results!$E$5="Protein",$C$53&gt;0,OR(Results!$E$4="Tissue",Results!$E$4="Cells")),((CB13*CB$51)/(CB$53)),IF(AND(Results!$E$5="Weight",$C$52&gt;0, Results!$E$4="Tissue",OR($B$52="g",$B$52="mg")),((CB13*CB$51)/(CB$52)),IF(AND(Results!$E$5="Volume",$C$54&gt;0,Results!$E$4="Fluid"),((CB13*CB$51)/(CB$54)),IF(AND(Results!$E$4="Cells",Results!$E$5="Million",$B$52="million"),((CB13*CB$51)/(CB$52)),"0")))))</f>
        <v>0</v>
      </c>
      <c r="CC66" s="20" t="str">
        <f>IF(CC13=0,"0",IF(AND(Results!$E$5="Protein",$C$53&gt;0,OR(Results!$E$4="Tissue",Results!$E$4="Cells")),((CC13*CC$51)/(CC$53)),IF(AND(Results!$E$5="Weight",$C$52&gt;0, Results!$E$4="Tissue",OR($B$52="g",$B$52="mg")),((CC13*CC$51)/(CC$52)),IF(AND(Results!$E$5="Volume",$C$54&gt;0,Results!$E$4="Fluid"),((CC13*CC$51)/(CC$54)),IF(AND(Results!$E$4="Cells",Results!$E$5="Million",$B$52="million"),((CC13*CC$51)/(CC$52)),"0")))))</f>
        <v>0</v>
      </c>
      <c r="CD66" s="20" t="str">
        <f>IF(CD13=0,"0",IF(AND(Results!$E$5="Protein",$C$53&gt;0,OR(Results!$E$4="Tissue",Results!$E$4="Cells")),((CD13*CD$51)/(CD$53)),IF(AND(Results!$E$5="Weight",$C$52&gt;0, Results!$E$4="Tissue",OR($B$52="g",$B$52="mg")),((CD13*CD$51)/(CD$52)),IF(AND(Results!$E$5="Volume",$C$54&gt;0,Results!$E$4="Fluid"),((CD13*CD$51)/(CD$54)),IF(AND(Results!$E$4="Cells",Results!$E$5="Million",$B$52="million"),((CD13*CD$51)/(CD$52)),"0")))))</f>
        <v>0</v>
      </c>
      <c r="CE66" s="20" t="str">
        <f>IF(CE13=0,"0",IF(AND(Results!$E$5="Protein",$C$53&gt;0,OR(Results!$E$4="Tissue",Results!$E$4="Cells")),((CE13*CE$51)/(CE$53)),IF(AND(Results!$E$5="Weight",$C$52&gt;0, Results!$E$4="Tissue",OR($B$52="g",$B$52="mg")),((CE13*CE$51)/(CE$52)),IF(AND(Results!$E$5="Volume",$C$54&gt;0,Results!$E$4="Fluid"),((CE13*CE$51)/(CE$54)),IF(AND(Results!$E$4="Cells",Results!$E$5="Million",$B$52="million"),((CE13*CE$51)/(CE$52)),"0")))))</f>
        <v>0</v>
      </c>
      <c r="CF66" s="20" t="str">
        <f>IF(CF13=0,"0",IF(AND(Results!$E$5="Protein",$C$53&gt;0,OR(Results!$E$4="Tissue",Results!$E$4="Cells")),((CF13*CF$51)/(CF$53)),IF(AND(Results!$E$5="Weight",$C$52&gt;0, Results!$E$4="Tissue",OR($B$52="g",$B$52="mg")),((CF13*CF$51)/(CF$52)),IF(AND(Results!$E$5="Volume",$C$54&gt;0,Results!$E$4="Fluid"),((CF13*CF$51)/(CF$54)),IF(AND(Results!$E$4="Cells",Results!$E$5="Million",$B$52="million"),((CF13*CF$51)/(CF$52)),"0")))))</f>
        <v>0</v>
      </c>
      <c r="CG66" s="20" t="str">
        <f>IF(CG13=0,"0",IF(AND(Results!$E$5="Protein",$C$53&gt;0,OR(Results!$E$4="Tissue",Results!$E$4="Cells")),((CG13*CG$51)/(CG$53)),IF(AND(Results!$E$5="Weight",$C$52&gt;0, Results!$E$4="Tissue",OR($B$52="g",$B$52="mg")),((CG13*CG$51)/(CG$52)),IF(AND(Results!$E$5="Volume",$C$54&gt;0,Results!$E$4="Fluid"),((CG13*CG$51)/(CG$54)),IF(AND(Results!$E$4="Cells",Results!$E$5="Million",$B$52="million"),((CG13*CG$51)/(CG$52)),"0")))))</f>
        <v>0</v>
      </c>
      <c r="CH66" s="20" t="str">
        <f>IF(CH13=0,"0",IF(AND(Results!$E$5="Protein",$C$53&gt;0,OR(Results!$E$4="Tissue",Results!$E$4="Cells")),((CH13*CH$51)/(CH$53)),IF(AND(Results!$E$5="Weight",$C$52&gt;0, Results!$E$4="Tissue",OR($B$52="g",$B$52="mg")),((CH13*CH$51)/(CH$52)),IF(AND(Results!$E$5="Volume",$C$54&gt;0,Results!$E$4="Fluid"),((CH13*CH$51)/(CH$54)),IF(AND(Results!$E$4="Cells",Results!$E$5="Million",$B$52="million"),((CH13*CH$51)/(CH$52)),"0")))))</f>
        <v>0</v>
      </c>
      <c r="CI66" s="20" t="str">
        <f>IF(CI13=0,"0",IF(AND(Results!$E$5="Protein",$C$53&gt;0,OR(Results!$E$4="Tissue",Results!$E$4="Cells")),((CI13*CI$51)/(CI$53)),IF(AND(Results!$E$5="Weight",$C$52&gt;0, Results!$E$4="Tissue",OR($B$52="g",$B$52="mg")),((CI13*CI$51)/(CI$52)),IF(AND(Results!$E$5="Volume",$C$54&gt;0,Results!$E$4="Fluid"),((CI13*CI$51)/(CI$54)),IF(AND(Results!$E$4="Cells",Results!$E$5="Million",$B$52="million"),((CI13*CI$51)/(CI$52)),"0")))))</f>
        <v>0</v>
      </c>
      <c r="CJ66" s="20" t="str">
        <f>IF(CJ13=0,"0",IF(AND(Results!$E$5="Protein",$C$53&gt;0,OR(Results!$E$4="Tissue",Results!$E$4="Cells")),((CJ13*CJ$51)/(CJ$53)),IF(AND(Results!$E$5="Weight",$C$52&gt;0, Results!$E$4="Tissue",OR($B$52="g",$B$52="mg")),((CJ13*CJ$51)/(CJ$52)),IF(AND(Results!$E$5="Volume",$C$54&gt;0,Results!$E$4="Fluid"),((CJ13*CJ$51)/(CJ$54)),IF(AND(Results!$E$4="Cells",Results!$E$5="Million",$B$52="million"),((CJ13*CJ$51)/(CJ$52)),"0")))))</f>
        <v>0</v>
      </c>
      <c r="CK66" s="20" t="str">
        <f>IF(CK13=0,"0",IF(AND(Results!$E$5="Protein",$C$53&gt;0,OR(Results!$E$4="Tissue",Results!$E$4="Cells")),((CK13*CK$51)/(CK$53)),IF(AND(Results!$E$5="Weight",$C$52&gt;0, Results!$E$4="Tissue",OR($B$52="g",$B$52="mg")),((CK13*CK$51)/(CK$52)),IF(AND(Results!$E$5="Volume",$C$54&gt;0,Results!$E$4="Fluid"),((CK13*CK$51)/(CK$54)),IF(AND(Results!$E$4="Cells",Results!$E$5="Million",$B$52="million"),((CK13*CK$51)/(CK$52)),"0")))))</f>
        <v>0</v>
      </c>
      <c r="CL66" s="20" t="str">
        <f>IF(CL13=0,"0",IF(AND(Results!$E$5="Protein",$C$53&gt;0,OR(Results!$E$4="Tissue",Results!$E$4="Cells")),((CL13*CL$51)/(CL$53)),IF(AND(Results!$E$5="Weight",$C$52&gt;0, Results!$E$4="Tissue",OR($B$52="g",$B$52="mg")),((CL13*CL$51)/(CL$52)),IF(AND(Results!$E$5="Volume",$C$54&gt;0,Results!$E$4="Fluid"),((CL13*CL$51)/(CL$54)),IF(AND(Results!$E$4="Cells",Results!$E$5="Million",$B$52="million"),((CL13*CL$51)/(CL$52)),"0")))))</f>
        <v>0</v>
      </c>
      <c r="CM66" s="20" t="str">
        <f>IF(CM13=0,"0",IF(AND(Results!$E$5="Protein",$C$53&gt;0,OR(Results!$E$4="Tissue",Results!$E$4="Cells")),((CM13*CM$51)/(CM$53)),IF(AND(Results!$E$5="Weight",$C$52&gt;0, Results!$E$4="Tissue",OR($B$52="g",$B$52="mg")),((CM13*CM$51)/(CM$52)),IF(AND(Results!$E$5="Volume",$C$54&gt;0,Results!$E$4="Fluid"),((CM13*CM$51)/(CM$54)),IF(AND(Results!$E$4="Cells",Results!$E$5="Million",$B$52="million"),((CM13*CM$51)/(CM$52)),"0")))))</f>
        <v>0</v>
      </c>
      <c r="CN66" s="20" t="str">
        <f>IF(CN13=0,"0",IF(AND(Results!$E$5="Protein",$C$53&gt;0,OR(Results!$E$4="Tissue",Results!$E$4="Cells")),((CN13*CN$51)/(CN$53)),IF(AND(Results!$E$5="Weight",$C$52&gt;0, Results!$E$4="Tissue",OR($B$52="g",$B$52="mg")),((CN13*CN$51)/(CN$52)),IF(AND(Results!$E$5="Volume",$C$54&gt;0,Results!$E$4="Fluid"),((CN13*CN$51)/(CN$54)),IF(AND(Results!$E$4="Cells",Results!$E$5="Million",$B$52="million"),((CN13*CN$51)/(CN$52)),"0")))))</f>
        <v>0</v>
      </c>
      <c r="CO66" s="20" t="str">
        <f>IF(CO13=0,"0",IF(AND(Results!$E$5="Protein",$C$53&gt;0,OR(Results!$E$4="Tissue",Results!$E$4="Cells")),((CO13*CO$51)/(CO$53)),IF(AND(Results!$E$5="Weight",$C$52&gt;0, Results!$E$4="Tissue",OR($B$52="g",$B$52="mg")),((CO13*CO$51)/(CO$52)),IF(AND(Results!$E$5="Volume",$C$54&gt;0,Results!$E$4="Fluid"),((CO13*CO$51)/(CO$54)),IF(AND(Results!$E$4="Cells",Results!$E$5="Million",$B$52="million"),((CO13*CO$51)/(CO$52)),"0")))))</f>
        <v>0</v>
      </c>
      <c r="CP66" s="20" t="str">
        <f>IF(CP13=0,"0",IF(AND(Results!$E$5="Protein",$C$53&gt;0,OR(Results!$E$4="Tissue",Results!$E$4="Cells")),((CP13*CP$51)/(CP$53)),IF(AND(Results!$E$5="Weight",$C$52&gt;0, Results!$E$4="Tissue",OR($B$52="g",$B$52="mg")),((CP13*CP$51)/(CP$52)),IF(AND(Results!$E$5="Volume",$C$54&gt;0,Results!$E$4="Fluid"),((CP13*CP$51)/(CP$54)),IF(AND(Results!$E$4="Cells",Results!$E$5="Million",$B$52="million"),((CP13*CP$51)/(CP$52)),"0")))))</f>
        <v>0</v>
      </c>
      <c r="CQ66" s="20" t="str">
        <f>IF(CQ13=0,"0",IF(AND(Results!$E$5="Protein",$C$53&gt;0,OR(Results!$E$4="Tissue",Results!$E$4="Cells")),((CQ13*CQ$51)/(CQ$53)),IF(AND(Results!$E$5="Weight",$C$52&gt;0, Results!$E$4="Tissue",OR($B$52="g",$B$52="mg")),((CQ13*CQ$51)/(CQ$52)),IF(AND(Results!$E$5="Volume",$C$54&gt;0,Results!$E$4="Fluid"),((CQ13*CQ$51)/(CQ$54)),IF(AND(Results!$E$4="Cells",Results!$E$5="Million",$B$52="million"),((CQ13*CQ$51)/(CQ$52)),"0")))))</f>
        <v>0</v>
      </c>
      <c r="CR66" s="20" t="str">
        <f>IF(CR13=0,"0",IF(AND(Results!$E$5="Protein",$C$53&gt;0,OR(Results!$E$4="Tissue",Results!$E$4="Cells")),((CR13*CR$51)/(CR$53)),IF(AND(Results!$E$5="Weight",$C$52&gt;0, Results!$E$4="Tissue",OR($B$52="g",$B$52="mg")),((CR13*CR$51)/(CR$52)),IF(AND(Results!$E$5="Volume",$C$54&gt;0,Results!$E$4="Fluid"),((CR13*CR$51)/(CR$54)),IF(AND(Results!$E$4="Cells",Results!$E$5="Million",$B$52="million"),((CR13*CR$51)/(CR$52)),"0")))))</f>
        <v>0</v>
      </c>
      <c r="CS66" s="20" t="str">
        <f>IF(CS13=0,"0",IF(AND(Results!$E$5="Protein",$C$53&gt;0,OR(Results!$E$4="Tissue",Results!$E$4="Cells")),((CS13*CS$51)/(CS$53)),IF(AND(Results!$E$5="Weight",$C$52&gt;0, Results!$E$4="Tissue",OR($B$52="g",$B$52="mg")),((CS13*CS$51)/(CS$52)),IF(AND(Results!$E$5="Volume",$C$54&gt;0,Results!$E$4="Fluid"),((CS13*CS$51)/(CS$54)),IF(AND(Results!$E$4="Cells",Results!$E$5="Million",$B$52="million"),((CS13*CS$51)/(CS$52)),"0")))))</f>
        <v>0</v>
      </c>
      <c r="CT66" s="20" t="str">
        <f>IF(CT13=0,"0",IF(AND(Results!$E$5="Protein",$C$53&gt;0,OR(Results!$E$4="Tissue",Results!$E$4="Cells")),((CT13*CT$51)/(CT$53)),IF(AND(Results!$E$5="Weight",$C$52&gt;0, Results!$E$4="Tissue",OR($B$52="g",$B$52="mg")),((CT13*CT$51)/(CT$52)),IF(AND(Results!$E$5="Volume",$C$54&gt;0,Results!$E$4="Fluid"),((CT13*CT$51)/(CT$54)),IF(AND(Results!$E$4="Cells",Results!$E$5="Million",$B$52="million"),((CT13*CT$51)/(CT$52)),"0")))))</f>
        <v>0</v>
      </c>
      <c r="CU66" s="20" t="str">
        <f>IF(CU13=0,"0",IF(AND(Results!$E$5="Protein",$C$53&gt;0,OR(Results!$E$4="Tissue",Results!$E$4="Cells")),((CU13*CU$51)/(CU$53)),IF(AND(Results!$E$5="Weight",$C$52&gt;0, Results!$E$4="Tissue",OR($B$52="g",$B$52="mg")),((CU13*CU$51)/(CU$52)),IF(AND(Results!$E$5="Volume",$C$54&gt;0,Results!$E$4="Fluid"),((CU13*CU$51)/(CU$54)),IF(AND(Results!$E$4="Cells",Results!$E$5="Million",$B$52="million"),((CU13*CU$51)/(CU$52)),"0")))))</f>
        <v>0</v>
      </c>
      <c r="CV66" s="20" t="str">
        <f>IF(CV13=0,"0",IF(AND(Results!$E$5="Protein",$C$53&gt;0,OR(Results!$E$4="Tissue",Results!$E$4="Cells")),((CV13*CV$51)/(CV$53)),IF(AND(Results!$E$5="Weight",$C$52&gt;0, Results!$E$4="Tissue",OR($B$52="g",$B$52="mg")),((CV13*CV$51)/(CV$52)),IF(AND(Results!$E$5="Volume",$C$54&gt;0,Results!$E$4="Fluid"),((CV13*CV$51)/(CV$54)),IF(AND(Results!$E$4="Cells",Results!$E$5="Million",$B$52="million"),((CV13*CV$51)/(CV$52)),"0")))))</f>
        <v>0</v>
      </c>
      <c r="CW66" s="20" t="str">
        <f>IF(CW13=0,"0",IF(AND(Results!$E$5="Protein",$C$53&gt;0,OR(Results!$E$4="Tissue",Results!$E$4="Cells")),((CW13*CW$51)/(CW$53)),IF(AND(Results!$E$5="Weight",$C$52&gt;0, Results!$E$4="Tissue",OR($B$52="g",$B$52="mg")),((CW13*CW$51)/(CW$52)),IF(AND(Results!$E$5="Volume",$C$54&gt;0,Results!$E$4="Fluid"),((CW13*CW$51)/(CW$54)),IF(AND(Results!$E$4="Cells",Results!$E$5="Million",$B$52="million"),((CW13*CW$51)/(CW$52)),"0")))))</f>
        <v>0</v>
      </c>
      <c r="CX66" s="20" t="str">
        <f>IF(CX13=0,"0",IF(AND(Results!$E$5="Protein",$C$53&gt;0,OR(Results!$E$4="Tissue",Results!$E$4="Cells")),((CX13*CX$51)/(CX$53)),IF(AND(Results!$E$5="Weight",$C$52&gt;0, Results!$E$4="Tissue",OR($B$52="g",$B$52="mg")),((CX13*CX$51)/(CX$52)),IF(AND(Results!$E$5="Volume",$C$54&gt;0,Results!$E$4="Fluid"),((CX13*CX$51)/(CX$54)),IF(AND(Results!$E$4="Cells",Results!$E$5="Million",$B$52="million"),((CX13*CX$51)/(CX$52)),"0")))))</f>
        <v>0</v>
      </c>
      <c r="CY66" s="20" t="str">
        <f>IF(CY13=0,"0",IF(AND(Results!$E$5="Protein",$C$53&gt;0,OR(Results!$E$4="Tissue",Results!$E$4="Cells")),((CY13*CY$51)/(CY$53)),IF(AND(Results!$E$5="Weight",$C$52&gt;0, Results!$E$4="Tissue",OR($B$52="g",$B$52="mg")),((CY13*CY$51)/(CY$52)),IF(AND(Results!$E$5="Volume",$C$54&gt;0,Results!$E$4="Fluid"),((CY13*CY$51)/(CY$54)),IF(AND(Results!$E$4="Cells",Results!$E$5="Million",$B$52="million"),((CY13*CY$51)/(CY$52)),"0")))))</f>
        <v>0</v>
      </c>
      <c r="CZ66" s="20" t="str">
        <f>IF(CZ13=0,"0",IF(AND(Results!$E$5="Protein",$C$53&gt;0,OR(Results!$E$4="Tissue",Results!$E$4="Cells")),((CZ13*CZ$51)/(CZ$53)),IF(AND(Results!$E$5="Weight",$C$52&gt;0, Results!$E$4="Tissue",OR($B$52="g",$B$52="mg")),((CZ13*CZ$51)/(CZ$52)),IF(AND(Results!$E$5="Volume",$C$54&gt;0,Results!$E$4="Fluid"),((CZ13*CZ$51)/(CZ$54)),IF(AND(Results!$E$4="Cells",Results!$E$5="Million",$B$52="million"),((CZ13*CZ$51)/(CZ$52)),"0")))))</f>
        <v>0</v>
      </c>
      <c r="DA66" s="20" t="str">
        <f>IF(DA13=0,"0",IF(AND(Results!$E$5="Protein",$C$53&gt;0,OR(Results!$E$4="Tissue",Results!$E$4="Cells")),((DA13*DA$51)/(DA$53)),IF(AND(Results!$E$5="Weight",$C$52&gt;0, Results!$E$4="Tissue",OR($B$52="g",$B$52="mg")),((DA13*DA$51)/(DA$52)),IF(AND(Results!$E$5="Volume",$C$54&gt;0,Results!$E$4="Fluid"),((DA13*DA$51)/(DA$54)),IF(AND(Results!$E$4="Cells",Results!$E$5="Million",$B$52="million"),((DA13*DA$51)/(DA$52)),"0")))))</f>
        <v>0</v>
      </c>
      <c r="DB66" s="20" t="str">
        <f>IF(DB13=0,"0",IF(AND(Results!$E$5="Protein",$C$53&gt;0,OR(Results!$E$4="Tissue",Results!$E$4="Cells")),((DB13*DB$51)/(DB$53)),IF(AND(Results!$E$5="Weight",$C$52&gt;0, Results!$E$4="Tissue",OR($B$52="g",$B$52="mg")),((DB13*DB$51)/(DB$52)),IF(AND(Results!$E$5="Volume",$C$54&gt;0,Results!$E$4="Fluid"),((DB13*DB$51)/(DB$54)),IF(AND(Results!$E$4="Cells",Results!$E$5="Million",$B$52="million"),((DB13*DB$51)/(DB$52)),"0")))))</f>
        <v>0</v>
      </c>
      <c r="DC66" s="20" t="str">
        <f>IF(DC13=0,"0",IF(AND(Results!$E$5="Protein",$C$53&gt;0,OR(Results!$E$4="Tissue",Results!$E$4="Cells")),((DC13*DC$51)/(DC$53)),IF(AND(Results!$E$5="Weight",$C$52&gt;0, Results!$E$4="Tissue",OR($B$52="g",$B$52="mg")),((DC13*DC$51)/(DC$52)),IF(AND(Results!$E$5="Volume",$C$54&gt;0,Results!$E$4="Fluid"),((DC13*DC$51)/(DC$54)),IF(AND(Results!$E$4="Cells",Results!$E$5="Million",$B$52="million"),((DC13*DC$51)/(DC$52)),"0")))))</f>
        <v>0</v>
      </c>
      <c r="DD66" s="20" t="str">
        <f>IF(DD13=0,"0",IF(AND(Results!$E$5="Protein",$C$53&gt;0,OR(Results!$E$4="Tissue",Results!$E$4="Cells")),((DD13*DD$51)/(DD$53)),IF(AND(Results!$E$5="Weight",$C$52&gt;0, Results!$E$4="Tissue",OR($B$52="g",$B$52="mg")),((DD13*DD$51)/(DD$52)),IF(AND(Results!$E$5="Volume",$C$54&gt;0,Results!$E$4="Fluid"),((DD13*DD$51)/(DD$54)),IF(AND(Results!$E$4="Cells",Results!$E$5="Million",$B$52="million"),((DD13*DD$51)/(DD$52)),"0")))))</f>
        <v>0</v>
      </c>
      <c r="DE66" s="20" t="str">
        <f>IF(DE13=0,"0",IF(AND(Results!$E$5="Protein",$C$53&gt;0,OR(Results!$E$4="Tissue",Results!$E$4="Cells")),((DE13*DE$51)/(DE$53)),IF(AND(Results!$E$5="Weight",$C$52&gt;0, Results!$E$4="Tissue",OR($B$52="g",$B$52="mg")),((DE13*DE$51)/(DE$52)),IF(AND(Results!$E$5="Volume",$C$54&gt;0,Results!$E$4="Fluid"),((DE13*DE$51)/(DE$54)),IF(AND(Results!$E$4="Cells",Results!$E$5="Million",$B$52="million"),((DE13*DE$51)/(DE$52)),"0")))))</f>
        <v>0</v>
      </c>
      <c r="DF66" s="20" t="str">
        <f>IF(DF13=0,"0",IF(AND(Results!$E$5="Protein",$C$53&gt;0,OR(Results!$E$4="Tissue",Results!$E$4="Cells")),((DF13*DF$51)/(DF$53)),IF(AND(Results!$E$5="Weight",$C$52&gt;0, Results!$E$4="Tissue",OR($B$52="g",$B$52="mg")),((DF13*DF$51)/(DF$52)),IF(AND(Results!$E$5="Volume",$C$54&gt;0,Results!$E$4="Fluid"),((DF13*DF$51)/(DF$54)),IF(AND(Results!$E$4="Cells",Results!$E$5="Million",$B$52="million"),((DF13*DF$51)/(DF$52)),"0")))))</f>
        <v>0</v>
      </c>
      <c r="DG66" s="20" t="str">
        <f>IF(DG13=0,"0",IF(AND(Results!$E$5="Protein",$C$53&gt;0,OR(Results!$E$4="Tissue",Results!$E$4="Cells")),((DG13*DG$51)/(DG$53)),IF(AND(Results!$E$5="Weight",$C$52&gt;0, Results!$E$4="Tissue",OR($B$52="g",$B$52="mg")),((DG13*DG$51)/(DG$52)),IF(AND(Results!$E$5="Volume",$C$54&gt;0,Results!$E$4="Fluid"),((DG13*DG$51)/(DG$54)),IF(AND(Results!$E$4="Cells",Results!$E$5="Million",$B$52="million"),((DG13*DG$51)/(DG$52)),"0")))))</f>
        <v>0</v>
      </c>
      <c r="DH66" s="20" t="str">
        <f>IF(DH13=0,"0",IF(AND(Results!$E$5="Protein",$C$53&gt;0,OR(Results!$E$4="Tissue",Results!$E$4="Cells")),((DH13*DH$51)/(DH$53)),IF(AND(Results!$E$5="Weight",$C$52&gt;0, Results!$E$4="Tissue",OR($B$52="g",$B$52="mg")),((DH13*DH$51)/(DH$52)),IF(AND(Results!$E$5="Volume",$C$54&gt;0,Results!$E$4="Fluid"),((DH13*DH$51)/(DH$54)),IF(AND(Results!$E$4="Cells",Results!$E$5="Million",$B$52="million"),((DH13*DH$51)/(DH$52)),"0")))))</f>
        <v>0</v>
      </c>
      <c r="DI66" s="20" t="str">
        <f>IF(DI13=0,"0",IF(AND(Results!$E$5="Protein",$C$53&gt;0,OR(Results!$E$4="Tissue",Results!$E$4="Cells")),((DI13*DI$51)/(DI$53)),IF(AND(Results!$E$5="Weight",$C$52&gt;0, Results!$E$4="Tissue",OR($B$52="g",$B$52="mg")),((DI13*DI$51)/(DI$52)),IF(AND(Results!$E$5="Volume",$C$54&gt;0,Results!$E$4="Fluid"),((DI13*DI$51)/(DI$54)),IF(AND(Results!$E$4="Cells",Results!$E$5="Million",$B$52="million"),((DI13*DI$51)/(DI$52)),"0")))))</f>
        <v>0</v>
      </c>
      <c r="DJ66" s="20" t="str">
        <f>IF(DJ13=0,"0",IF(AND(Results!$E$5="Protein",$C$53&gt;0,OR(Results!$E$4="Tissue",Results!$E$4="Cells")),((DJ13*DJ$51)/(DJ$53)),IF(AND(Results!$E$5="Weight",$C$52&gt;0, Results!$E$4="Tissue",OR($B$52="g",$B$52="mg")),((DJ13*DJ$51)/(DJ$52)),IF(AND(Results!$E$5="Volume",$C$54&gt;0,Results!$E$4="Fluid"),((DJ13*DJ$51)/(DJ$54)),IF(AND(Results!$E$4="Cells",Results!$E$5="Million",$B$52="million"),((DJ13*DJ$51)/(DJ$52)),"0")))))</f>
        <v>0</v>
      </c>
      <c r="DK66" s="20" t="str">
        <f>IF(DK13=0,"0",IF(AND(Results!$E$5="Protein",$C$53&gt;0,OR(Results!$E$4="Tissue",Results!$E$4="Cells")),((DK13*DK$51)/(DK$53)),IF(AND(Results!$E$5="Weight",$C$52&gt;0, Results!$E$4="Tissue",OR($B$52="g",$B$52="mg")),((DK13*DK$51)/(DK$52)),IF(AND(Results!$E$5="Volume",$C$54&gt;0,Results!$E$4="Fluid"),((DK13*DK$51)/(DK$54)),IF(AND(Results!$E$4="Cells",Results!$E$5="Million",$B$52="million"),((DK13*DK$51)/(DK$52)),"0")))))</f>
        <v>0</v>
      </c>
      <c r="DL66" s="20" t="str">
        <f>IF(DL13=0,"0",IF(AND(Results!$E$5="Protein",$C$53&gt;0,OR(Results!$E$4="Tissue",Results!$E$4="Cells")),((DL13*DL$51)/(DL$53)),IF(AND(Results!$E$5="Weight",$C$52&gt;0, Results!$E$4="Tissue",OR($B$52="g",$B$52="mg")),((DL13*DL$51)/(DL$52)),IF(AND(Results!$E$5="Volume",$C$54&gt;0,Results!$E$4="Fluid"),((DL13*DL$51)/(DL$54)),IF(AND(Results!$E$4="Cells",Results!$E$5="Million",$B$52="million"),((DL13*DL$51)/(DL$52)),"0")))))</f>
        <v>0</v>
      </c>
      <c r="DM66" s="20" t="str">
        <f>IF(DM13=0,"0",IF(AND(Results!$E$5="Protein",$C$53&gt;0,OR(Results!$E$4="Tissue",Results!$E$4="Cells")),((DM13*DM$51)/(DM$53)),IF(AND(Results!$E$5="Weight",$C$52&gt;0, Results!$E$4="Tissue",OR($B$52="g",$B$52="mg")),((DM13*DM$51)/(DM$52)),IF(AND(Results!$E$5="Volume",$C$54&gt;0,Results!$E$4="Fluid"),((DM13*DM$51)/(DM$54)),IF(AND(Results!$E$4="Cells",Results!$E$5="Million",$B$52="million"),((DM13*DM$51)/(DM$52)),"0")))))</f>
        <v>0</v>
      </c>
      <c r="DN66" s="20" t="str">
        <f>IF(DN13=0,"0",IF(AND(Results!$E$5="Protein",$C$53&gt;0,OR(Results!$E$4="Tissue",Results!$E$4="Cells")),((DN13*DN$51)/(DN$53)),IF(AND(Results!$E$5="Weight",$C$52&gt;0, Results!$E$4="Tissue",OR($B$52="g",$B$52="mg")),((DN13*DN$51)/(DN$52)),IF(AND(Results!$E$5="Volume",$C$54&gt;0,Results!$E$4="Fluid"),((DN13*DN$51)/(DN$54)),IF(AND(Results!$E$4="Cells",Results!$E$5="Million",$B$52="million"),((DN13*DN$51)/(DN$52)),"0")))))</f>
        <v>0</v>
      </c>
      <c r="DO66" s="20" t="str">
        <f>IF(DO13=0,"0",IF(AND(Results!$E$5="Protein",$C$53&gt;0,OR(Results!$E$4="Tissue",Results!$E$4="Cells")),((DO13*DO$51)/(DO$53)),IF(AND(Results!$E$5="Weight",$C$52&gt;0, Results!$E$4="Tissue",OR($B$52="g",$B$52="mg")),((DO13*DO$51)/(DO$52)),IF(AND(Results!$E$5="Volume",$C$54&gt;0,Results!$E$4="Fluid"),((DO13*DO$51)/(DO$54)),IF(AND(Results!$E$4="Cells",Results!$E$5="Million",$B$52="million"),((DO13*DO$51)/(DO$52)),"0")))))</f>
        <v>0</v>
      </c>
      <c r="DP66" s="20" t="str">
        <f>IF(DP13=0,"0",IF(AND(Results!$E$5="Protein",$C$53&gt;0,OR(Results!$E$4="Tissue",Results!$E$4="Cells")),((DP13*DP$51)/(DP$53)),IF(AND(Results!$E$5="Weight",$C$52&gt;0, Results!$E$4="Tissue",OR($B$52="g",$B$52="mg")),((DP13*DP$51)/(DP$52)),IF(AND(Results!$E$5="Volume",$C$54&gt;0,Results!$E$4="Fluid"),((DP13*DP$51)/(DP$54)),IF(AND(Results!$E$4="Cells",Results!$E$5="Million",$B$52="million"),((DP13*DP$51)/(DP$52)),"0")))))</f>
        <v>0</v>
      </c>
      <c r="DQ66" s="20" t="str">
        <f>IF(DQ13=0,"0",IF(AND(Results!$E$5="Protein",$C$53&gt;0,OR(Results!$E$4="Tissue",Results!$E$4="Cells")),((DQ13*DQ$51)/(DQ$53)),IF(AND(Results!$E$5="Weight",$C$52&gt;0, Results!$E$4="Tissue",OR($B$52="g",$B$52="mg")),((DQ13*DQ$51)/(DQ$52)),IF(AND(Results!$E$5="Volume",$C$54&gt;0,Results!$E$4="Fluid"),((DQ13*DQ$51)/(DQ$54)),IF(AND(Results!$E$4="Cells",Results!$E$5="Million",$B$52="million"),((DQ13*DQ$51)/(DQ$52)),"0")))))</f>
        <v>0</v>
      </c>
      <c r="DR66" s="20" t="str">
        <f>IF(DR13=0,"0",IF(AND(Results!$E$5="Protein",$C$53&gt;0,OR(Results!$E$4="Tissue",Results!$E$4="Cells")),((DR13*DR$51)/(DR$53)),IF(AND(Results!$E$5="Weight",$C$52&gt;0, Results!$E$4="Tissue",OR($B$52="g",$B$52="mg")),((DR13*DR$51)/(DR$52)),IF(AND(Results!$E$5="Volume",$C$54&gt;0,Results!$E$4="Fluid"),((DR13*DR$51)/(DR$54)),IF(AND(Results!$E$4="Cells",Results!$E$5="Million",$B$52="million"),((DR13*DR$51)/(DR$52)),"0")))))</f>
        <v>0</v>
      </c>
      <c r="DS66" s="20" t="str">
        <f>IF(DS13=0,"0",IF(AND(Results!$E$5="Protein",$C$53&gt;0,OR(Results!$E$4="Tissue",Results!$E$4="Cells")),((DS13*DS$51)/(DS$53)),IF(AND(Results!$E$5="Weight",$C$52&gt;0, Results!$E$4="Tissue",OR($B$52="g",$B$52="mg")),((DS13*DS$51)/(DS$52)),IF(AND(Results!$E$5="Volume",$C$54&gt;0,Results!$E$4="Fluid"),((DS13*DS$51)/(DS$54)),IF(AND(Results!$E$4="Cells",Results!$E$5="Million",$B$52="million"),((DS13*DS$51)/(DS$52)),"0")))))</f>
        <v>0</v>
      </c>
      <c r="DT66" s="20" t="str">
        <f>IF(DT13=0,"0",IF(AND(Results!$E$5="Protein",$C$53&gt;0,OR(Results!$E$4="Tissue",Results!$E$4="Cells")),((DT13*DT$51)/(DT$53)),IF(AND(Results!$E$5="Weight",$C$52&gt;0, Results!$E$4="Tissue",OR($B$52="g",$B$52="mg")),((DT13*DT$51)/(DT$52)),IF(AND(Results!$E$5="Volume",$C$54&gt;0,Results!$E$4="Fluid"),((DT13*DT$51)/(DT$54)),IF(AND(Results!$E$4="Cells",Results!$E$5="Million",$B$52="million"),((DT13*DT$51)/(DT$52)),"0")))))</f>
        <v>0</v>
      </c>
      <c r="DU66" s="20" t="str">
        <f>IF(DU13=0,"0",IF(AND(Results!$E$5="Protein",$C$53&gt;0,OR(Results!$E$4="Tissue",Results!$E$4="Cells")),((DU13*DU$51)/(DU$53)),IF(AND(Results!$E$5="Weight",$C$52&gt;0, Results!$E$4="Tissue",OR($B$52="g",$B$52="mg")),((DU13*DU$51)/(DU$52)),IF(AND(Results!$E$5="Volume",$C$54&gt;0,Results!$E$4="Fluid"),((DU13*DU$51)/(DU$54)),IF(AND(Results!$E$4="Cells",Results!$E$5="Million",$B$52="million"),((DU13*DU$51)/(DU$52)),"0")))))</f>
        <v>0</v>
      </c>
      <c r="DV66" s="20" t="str">
        <f>IF(DV13=0,"0",IF(AND(Results!$E$5="Protein",$C$53&gt;0,OR(Results!$E$4="Tissue",Results!$E$4="Cells")),((DV13*DV$51)/(DV$53)),IF(AND(Results!$E$5="Weight",$C$52&gt;0, Results!$E$4="Tissue",OR($B$52="g",$B$52="mg")),((DV13*DV$51)/(DV$52)),IF(AND(Results!$E$5="Volume",$C$54&gt;0,Results!$E$4="Fluid"),((DV13*DV$51)/(DV$54)),IF(AND(Results!$E$4="Cells",Results!$E$5="Million",$B$52="million"),((DV13*DV$51)/(DV$52)),"0")))))</f>
        <v>0</v>
      </c>
      <c r="DW66" s="20" t="str">
        <f>IF(DW13=0,"0",IF(AND(Results!$E$5="Protein",$C$53&gt;0,OR(Results!$E$4="Tissue",Results!$E$4="Cells")),((DW13*DW$51)/(DW$53)),IF(AND(Results!$E$5="Weight",$C$52&gt;0, Results!$E$4="Tissue",OR($B$52="g",$B$52="mg")),((DW13*DW$51)/(DW$52)),IF(AND(Results!$E$5="Volume",$C$54&gt;0,Results!$E$4="Fluid"),((DW13*DW$51)/(DW$54)),IF(AND(Results!$E$4="Cells",Results!$E$5="Million",$B$52="million"),((DW13*DW$51)/(DW$52)),"0")))))</f>
        <v>0</v>
      </c>
      <c r="DX66" s="20" t="str">
        <f>IF(DX13=0,"0",IF(AND(Results!$E$5="Protein",$C$53&gt;0,OR(Results!$E$4="Tissue",Results!$E$4="Cells")),((DX13*DX$51)/(DX$53)),IF(AND(Results!$E$5="Weight",$C$52&gt;0, Results!$E$4="Tissue",OR($B$52="g",$B$52="mg")),((DX13*DX$51)/(DX$52)),IF(AND(Results!$E$5="Volume",$C$54&gt;0,Results!$E$4="Fluid"),((DX13*DX$51)/(DX$54)),IF(AND(Results!$E$4="Cells",Results!$E$5="Million",$B$52="million"),((DX13*DX$51)/(DX$52)),"0")))))</f>
        <v>0</v>
      </c>
      <c r="DY66" s="20" t="str">
        <f>IF(DY13=0,"0",IF(AND(Results!$E$5="Protein",$C$53&gt;0,OR(Results!$E$4="Tissue",Results!$E$4="Cells")),((DY13*DY$51)/(DY$53)),IF(AND(Results!$E$5="Weight",$C$52&gt;0, Results!$E$4="Tissue",OR($B$52="g",$B$52="mg")),((DY13*DY$51)/(DY$52)),IF(AND(Results!$E$5="Volume",$C$54&gt;0,Results!$E$4="Fluid"),((DY13*DY$51)/(DY$54)),IF(AND(Results!$E$4="Cells",Results!$E$5="Million",$B$52="million"),((DY13*DY$51)/(DY$52)),"0")))))</f>
        <v>0</v>
      </c>
      <c r="DZ66" s="20" t="str">
        <f>IF(DZ13=0,"0",IF(AND(Results!$E$5="Protein",$C$53&gt;0,OR(Results!$E$4="Tissue",Results!$E$4="Cells")),((DZ13*DZ$51)/(DZ$53)),IF(AND(Results!$E$5="Weight",$C$52&gt;0, Results!$E$4="Tissue",OR($B$52="g",$B$52="mg")),((DZ13*DZ$51)/(DZ$52)),IF(AND(Results!$E$5="Volume",$C$54&gt;0,Results!$E$4="Fluid"),((DZ13*DZ$51)/(DZ$54)),IF(AND(Results!$E$4="Cells",Results!$E$5="Million",$B$52="million"),((DZ13*DZ$51)/(DZ$52)),"0")))))</f>
        <v>0</v>
      </c>
      <c r="EA66" s="20" t="str">
        <f>IF(EA13=0,"0",IF(AND(Results!$E$5="Protein",$C$53&gt;0,OR(Results!$E$4="Tissue",Results!$E$4="Cells")),((EA13*EA$51)/(EA$53)),IF(AND(Results!$E$5="Weight",$C$52&gt;0, Results!$E$4="Tissue",OR($B$52="g",$B$52="mg")),((EA13*EA$51)/(EA$52)),IF(AND(Results!$E$5="Volume",$C$54&gt;0,Results!$E$4="Fluid"),((EA13*EA$51)/(EA$54)),IF(AND(Results!$E$4="Cells",Results!$E$5="Million",$B$52="million"),((EA13*EA$51)/(EA$52)),"0")))))</f>
        <v>0</v>
      </c>
      <c r="EB66" s="20" t="str">
        <f>IF(EB13=0,"0",IF(AND(Results!$E$5="Protein",$C$53&gt;0,OR(Results!$E$4="Tissue",Results!$E$4="Cells")),((EB13*EB$51)/(EB$53)),IF(AND(Results!$E$5="Weight",$C$52&gt;0, Results!$E$4="Tissue",OR($B$52="g",$B$52="mg")),((EB13*EB$51)/(EB$52)),IF(AND(Results!$E$5="Volume",$C$54&gt;0,Results!$E$4="Fluid"),((EB13*EB$51)/(EB$54)),IF(AND(Results!$E$4="Cells",Results!$E$5="Million",$B$52="million"),((EB13*EB$51)/(EB$52)),"0")))))</f>
        <v>0</v>
      </c>
      <c r="EC66" s="20" t="str">
        <f>IF(EC13=0,"0",IF(AND(Results!$E$5="Protein",$C$53&gt;0,OR(Results!$E$4="Tissue",Results!$E$4="Cells")),((EC13*EC$51)/(EC$53)),IF(AND(Results!$E$5="Weight",$C$52&gt;0, Results!$E$4="Tissue",OR($B$52="g",$B$52="mg")),((EC13*EC$51)/(EC$52)),IF(AND(Results!$E$5="Volume",$C$54&gt;0,Results!$E$4="Fluid"),((EC13*EC$51)/(EC$54)),IF(AND(Results!$E$4="Cells",Results!$E$5="Million",$B$52="million"),((EC13*EC$51)/(EC$52)),"0")))))</f>
        <v>0</v>
      </c>
      <c r="ED66" s="20" t="str">
        <f>IF(ED13=0,"0",IF(AND(Results!$E$5="Protein",$C$53&gt;0,OR(Results!$E$4="Tissue",Results!$E$4="Cells")),((ED13*ED$51)/(ED$53)),IF(AND(Results!$E$5="Weight",$C$52&gt;0, Results!$E$4="Tissue",OR($B$52="g",$B$52="mg")),((ED13*ED$51)/(ED$52)),IF(AND(Results!$E$5="Volume",$C$54&gt;0,Results!$E$4="Fluid"),((ED13*ED$51)/(ED$54)),IF(AND(Results!$E$4="Cells",Results!$E$5="Million",$B$52="million"),((ED13*ED$51)/(ED$52)),"0")))))</f>
        <v>0</v>
      </c>
      <c r="EE66" s="20" t="str">
        <f>IF(EE13=0,"0",IF(AND(Results!$E$5="Protein",$C$53&gt;0,OR(Results!$E$4="Tissue",Results!$E$4="Cells")),((EE13*EE$51)/(EE$53)),IF(AND(Results!$E$5="Weight",$C$52&gt;0, Results!$E$4="Tissue",OR($B$52="g",$B$52="mg")),((EE13*EE$51)/(EE$52)),IF(AND(Results!$E$5="Volume",$C$54&gt;0,Results!$E$4="Fluid"),((EE13*EE$51)/(EE$54)),IF(AND(Results!$E$4="Cells",Results!$E$5="Million",$B$52="million"),((EE13*EE$51)/(EE$52)),"0")))))</f>
        <v>0</v>
      </c>
      <c r="EF66" s="20" t="str">
        <f>IF(EF13=0,"0",IF(AND(Results!$E$5="Protein",$C$53&gt;0,OR(Results!$E$4="Tissue",Results!$E$4="Cells")),((EF13*EF$51)/(EF$53)),IF(AND(Results!$E$5="Weight",$C$52&gt;0, Results!$E$4="Tissue",OR($B$52="g",$B$52="mg")),((EF13*EF$51)/(EF$52)),IF(AND(Results!$E$5="Volume",$C$54&gt;0,Results!$E$4="Fluid"),((EF13*EF$51)/(EF$54)),IF(AND(Results!$E$4="Cells",Results!$E$5="Million",$B$52="million"),((EF13*EF$51)/(EF$52)),"0")))))</f>
        <v>0</v>
      </c>
      <c r="EG66" s="20" t="str">
        <f>IF(EG13=0,"0",IF(AND(Results!$E$5="Protein",$C$53&gt;0,OR(Results!$E$4="Tissue",Results!$E$4="Cells")),((EG13*EG$51)/(EG$53)),IF(AND(Results!$E$5="Weight",$C$52&gt;0, Results!$E$4="Tissue",OR($B$52="g",$B$52="mg")),((EG13*EG$51)/(EG$52)),IF(AND(Results!$E$5="Volume",$C$54&gt;0,Results!$E$4="Fluid"),((EG13*EG$51)/(EG$54)),IF(AND(Results!$E$4="Cells",Results!$E$5="Million",$B$52="million"),((EG13*EG$51)/(EG$52)),"0")))))</f>
        <v>0</v>
      </c>
      <c r="EH66" s="20" t="str">
        <f>IF(EH13=0,"0",IF(AND(Results!$E$5="Protein",$C$53&gt;0,OR(Results!$E$4="Tissue",Results!$E$4="Cells")),((EH13*EH$51)/(EH$53)),IF(AND(Results!$E$5="Weight",$C$52&gt;0, Results!$E$4="Tissue",OR($B$52="g",$B$52="mg")),((EH13*EH$51)/(EH$52)),IF(AND(Results!$E$5="Volume",$C$54&gt;0,Results!$E$4="Fluid"),((EH13*EH$51)/(EH$54)),IF(AND(Results!$E$4="Cells",Results!$E$5="Million",$B$52="million"),((EH13*EH$51)/(EH$52)),"0")))))</f>
        <v>0</v>
      </c>
      <c r="EI66" s="20" t="str">
        <f>IF(EI13=0,"0",IF(AND(Results!$E$5="Protein",$C$53&gt;0,OR(Results!$E$4="Tissue",Results!$E$4="Cells")),((EI13*EI$51)/(EI$53)),IF(AND(Results!$E$5="Weight",$C$52&gt;0, Results!$E$4="Tissue",OR($B$52="g",$B$52="mg")),((EI13*EI$51)/(EI$52)),IF(AND(Results!$E$5="Volume",$C$54&gt;0,Results!$E$4="Fluid"),((EI13*EI$51)/(EI$54)),IF(AND(Results!$E$4="Cells",Results!$E$5="Million",$B$52="million"),((EI13*EI$51)/(EI$52)),"0")))))</f>
        <v>0</v>
      </c>
      <c r="EJ66" s="20" t="str">
        <f>IF(EJ13=0,"0",IF(AND(Results!$E$5="Protein",$C$53&gt;0,OR(Results!$E$4="Tissue",Results!$E$4="Cells")),((EJ13*EJ$51)/(EJ$53)),IF(AND(Results!$E$5="Weight",$C$52&gt;0, Results!$E$4="Tissue",OR($B$52="g",$B$52="mg")),((EJ13*EJ$51)/(EJ$52)),IF(AND(Results!$E$5="Volume",$C$54&gt;0,Results!$E$4="Fluid"),((EJ13*EJ$51)/(EJ$54)),IF(AND(Results!$E$4="Cells",Results!$E$5="Million",$B$52="million"),((EJ13*EJ$51)/(EJ$52)),"0")))))</f>
        <v>0</v>
      </c>
      <c r="EK66" s="20" t="str">
        <f>IF(EK13=0,"0",IF(AND(Results!$E$5="Protein",$C$53&gt;0,OR(Results!$E$4="Tissue",Results!$E$4="Cells")),((EK13*EK$51)/(EK$53)),IF(AND(Results!$E$5="Weight",$C$52&gt;0, Results!$E$4="Tissue",OR($B$52="g",$B$52="mg")),((EK13*EK$51)/(EK$52)),IF(AND(Results!$E$5="Volume",$C$54&gt;0,Results!$E$4="Fluid"),((EK13*EK$51)/(EK$54)),IF(AND(Results!$E$4="Cells",Results!$E$5="Million",$B$52="million"),((EK13*EK$51)/(EK$52)),"0")))))</f>
        <v>0</v>
      </c>
      <c r="EL66" s="20" t="str">
        <f>IF(EL13=0,"0",IF(AND(Results!$E$5="Protein",$C$53&gt;0,OR(Results!$E$4="Tissue",Results!$E$4="Cells")),((EL13*EL$51)/(EL$53)),IF(AND(Results!$E$5="Weight",$C$52&gt;0, Results!$E$4="Tissue",OR($B$52="g",$B$52="mg")),((EL13*EL$51)/(EL$52)),IF(AND(Results!$E$5="Volume",$C$54&gt;0,Results!$E$4="Fluid"),((EL13*EL$51)/(EL$54)),IF(AND(Results!$E$4="Cells",Results!$E$5="Million",$B$52="million"),((EL13*EL$51)/(EL$52)),"0")))))</f>
        <v>0</v>
      </c>
      <c r="EM66" s="20" t="str">
        <f>IF(EM13=0,"0",IF(AND(Results!$E$5="Protein",$C$53&gt;0,OR(Results!$E$4="Tissue",Results!$E$4="Cells")),((EM13*EM$51)/(EM$53)),IF(AND(Results!$E$5="Weight",$C$52&gt;0, Results!$E$4="Tissue",OR($B$52="g",$B$52="mg")),((EM13*EM$51)/(EM$52)),IF(AND(Results!$E$5="Volume",$C$54&gt;0,Results!$E$4="Fluid"),((EM13*EM$51)/(EM$54)),IF(AND(Results!$E$4="Cells",Results!$E$5="Million",$B$52="million"),((EM13*EM$51)/(EM$52)),"0")))))</f>
        <v>0</v>
      </c>
      <c r="EN66" s="20" t="str">
        <f>IF(EN13=0,"0",IF(AND(Results!$E$5="Protein",$C$53&gt;0,OR(Results!$E$4="Tissue",Results!$E$4="Cells")),((EN13*EN$51)/(EN$53)),IF(AND(Results!$E$5="Weight",$C$52&gt;0, Results!$E$4="Tissue",OR($B$52="g",$B$52="mg")),((EN13*EN$51)/(EN$52)),IF(AND(Results!$E$5="Volume",$C$54&gt;0,Results!$E$4="Fluid"),((EN13*EN$51)/(EN$54)),IF(AND(Results!$E$4="Cells",Results!$E$5="Million",$B$52="million"),((EN13*EN$51)/(EN$52)),"0")))))</f>
        <v>0</v>
      </c>
      <c r="EO66" s="20" t="str">
        <f>IF(EO13=0,"0",IF(AND(Results!$E$5="Protein",$C$53&gt;0,OR(Results!$E$4="Tissue",Results!$E$4="Cells")),((EO13*EO$51)/(EO$53)),IF(AND(Results!$E$5="Weight",$C$52&gt;0, Results!$E$4="Tissue",OR($B$52="g",$B$52="mg")),((EO13*EO$51)/(EO$52)),IF(AND(Results!$E$5="Volume",$C$54&gt;0,Results!$E$4="Fluid"),((EO13*EO$51)/(EO$54)),IF(AND(Results!$E$4="Cells",Results!$E$5="Million",$B$52="million"),((EO13*EO$51)/(EO$52)),"0")))))</f>
        <v>0</v>
      </c>
      <c r="EP66" s="20" t="str">
        <f>IF(EP13=0,"0",IF(AND(Results!$E$5="Protein",$C$53&gt;0,OR(Results!$E$4="Tissue",Results!$E$4="Cells")),((EP13*EP$51)/(EP$53)),IF(AND(Results!$E$5="Weight",$C$52&gt;0, Results!$E$4="Tissue",OR($B$52="g",$B$52="mg")),((EP13*EP$51)/(EP$52)),IF(AND(Results!$E$5="Volume",$C$54&gt;0,Results!$E$4="Fluid"),((EP13*EP$51)/(EP$54)),IF(AND(Results!$E$4="Cells",Results!$E$5="Million",$B$52="million"),((EP13*EP$51)/(EP$52)),"0")))))</f>
        <v>0</v>
      </c>
      <c r="EQ66" s="20" t="str">
        <f>IF(EQ13=0,"0",IF(AND(Results!$E$5="Protein",$C$53&gt;0,OR(Results!$E$4="Tissue",Results!$E$4="Cells")),((EQ13*EQ$51)/(EQ$53)),IF(AND(Results!$E$5="Weight",$C$52&gt;0, Results!$E$4="Tissue",OR($B$52="g",$B$52="mg")),((EQ13*EQ$51)/(EQ$52)),IF(AND(Results!$E$5="Volume",$C$54&gt;0,Results!$E$4="Fluid"),((EQ13*EQ$51)/(EQ$54)),IF(AND(Results!$E$4="Cells",Results!$E$5="Million",$B$52="million"),((EQ13*EQ$51)/(EQ$52)),"0")))))</f>
        <v>0</v>
      </c>
      <c r="ER66" s="20" t="str">
        <f>IF(ER13=0,"0",IF(AND(Results!$E$5="Protein",$C$53&gt;0,OR(Results!$E$4="Tissue",Results!$E$4="Cells")),((ER13*ER$51)/(ER$53)),IF(AND(Results!$E$5="Weight",$C$52&gt;0, Results!$E$4="Tissue",OR($B$52="g",$B$52="mg")),((ER13*ER$51)/(ER$52)),IF(AND(Results!$E$5="Volume",$C$54&gt;0,Results!$E$4="Fluid"),((ER13*ER$51)/(ER$54)),IF(AND(Results!$E$4="Cells",Results!$E$5="Million",$B$52="million"),((ER13*ER$51)/(ER$52)),"0")))))</f>
        <v>0</v>
      </c>
      <c r="ES66" s="20" t="str">
        <f>IF(ES13=0,"0",IF(AND(Results!$E$5="Protein",$C$53&gt;0,OR(Results!$E$4="Tissue",Results!$E$4="Cells")),((ES13*ES$51)/(ES$53)),IF(AND(Results!$E$5="Weight",$C$52&gt;0, Results!$E$4="Tissue",OR($B$52="g",$B$52="mg")),((ES13*ES$51)/(ES$52)),IF(AND(Results!$E$5="Volume",$C$54&gt;0,Results!$E$4="Fluid"),((ES13*ES$51)/(ES$54)),IF(AND(Results!$E$4="Cells",Results!$E$5="Million",$B$52="million"),((ES13*ES$51)/(ES$52)),"0")))))</f>
        <v>0</v>
      </c>
      <c r="ET66" s="20" t="str">
        <f>IF(ET13=0,"0",IF(AND(Results!$E$5="Protein",$C$53&gt;0,OR(Results!$E$4="Tissue",Results!$E$4="Cells")),((ET13*ET$51)/(ET$53)),IF(AND(Results!$E$5="Weight",$C$52&gt;0, Results!$E$4="Tissue",OR($B$52="g",$B$52="mg")),((ET13*ET$51)/(ET$52)),IF(AND(Results!$E$5="Volume",$C$54&gt;0,Results!$E$4="Fluid"),((ET13*ET$51)/(ET$54)),IF(AND(Results!$E$4="Cells",Results!$E$5="Million",$B$52="million"),((ET13*ET$51)/(ET$52)),"0")))))</f>
        <v>0</v>
      </c>
      <c r="EU66" s="20" t="str">
        <f>IF(EU13=0,"0",IF(AND(Results!$E$5="Protein",$C$53&gt;0,OR(Results!$E$4="Tissue",Results!$E$4="Cells")),((EU13*EU$51)/(EU$53)),IF(AND(Results!$E$5="Weight",$C$52&gt;0, Results!$E$4="Tissue",OR($B$52="g",$B$52="mg")),((EU13*EU$51)/(EU$52)),IF(AND(Results!$E$5="Volume",$C$54&gt;0,Results!$E$4="Fluid"),((EU13*EU$51)/(EU$54)),IF(AND(Results!$E$4="Cells",Results!$E$5="Million",$B$52="million"),((EU13*EU$51)/(EU$52)),"0")))))</f>
        <v>0</v>
      </c>
      <c r="EV66" s="20" t="str">
        <f>IF(EV13=0,"0",IF(AND(Results!$E$5="Protein",$C$53&gt;0,OR(Results!$E$4="Tissue",Results!$E$4="Cells")),((EV13*EV$51)/(EV$53)),IF(AND(Results!$E$5="Weight",$C$52&gt;0, Results!$E$4="Tissue",OR($B$52="g",$B$52="mg")),((EV13*EV$51)/(EV$52)),IF(AND(Results!$E$5="Volume",$C$54&gt;0,Results!$E$4="Fluid"),((EV13*EV$51)/(EV$54)),IF(AND(Results!$E$4="Cells",Results!$E$5="Million",$B$52="million"),((EV13*EV$51)/(EV$52)),"0")))))</f>
        <v>0</v>
      </c>
      <c r="EW66" s="20" t="str">
        <f>IF(EW13=0,"0",IF(AND(Results!$E$5="Protein",$C$53&gt;0,OR(Results!$E$4="Tissue",Results!$E$4="Cells")),((EW13*EW$51)/(EW$53)),IF(AND(Results!$E$5="Weight",$C$52&gt;0, Results!$E$4="Tissue",OR($B$52="g",$B$52="mg")),((EW13*EW$51)/(EW$52)),IF(AND(Results!$E$5="Volume",$C$54&gt;0,Results!$E$4="Fluid"),((EW13*EW$51)/(EW$54)),IF(AND(Results!$E$4="Cells",Results!$E$5="Million",$B$52="million"),((EW13*EW$51)/(EW$52)),"0")))))</f>
        <v>0</v>
      </c>
      <c r="EX66" s="20" t="str">
        <f>IF(EX13=0,"0",IF(AND(Results!$E$5="Protein",$C$53&gt;0,OR(Results!$E$4="Tissue",Results!$E$4="Cells")),((EX13*EX$51)/(EX$53)),IF(AND(Results!$E$5="Weight",$C$52&gt;0, Results!$E$4="Tissue",OR($B$52="g",$B$52="mg")),((EX13*EX$51)/(EX$52)),IF(AND(Results!$E$5="Volume",$C$54&gt;0,Results!$E$4="Fluid"),((EX13*EX$51)/(EX$54)),IF(AND(Results!$E$4="Cells",Results!$E$5="Million",$B$52="million"),((EX13*EX$51)/(EX$52)),"0")))))</f>
        <v>0</v>
      </c>
      <c r="EY66" s="20" t="str">
        <f>IF(EY13=0,"0",IF(AND(Results!$E$5="Protein",$C$53&gt;0,OR(Results!$E$4="Tissue",Results!$E$4="Cells")),((EY13*EY$51)/(EY$53)),IF(AND(Results!$E$5="Weight",$C$52&gt;0, Results!$E$4="Tissue",OR($B$52="g",$B$52="mg")),((EY13*EY$51)/(EY$52)),IF(AND(Results!$E$5="Volume",$C$54&gt;0,Results!$E$4="Fluid"),((EY13*EY$51)/(EY$54)),IF(AND(Results!$E$4="Cells",Results!$E$5="Million",$B$52="million"),((EY13*EY$51)/(EY$52)),"0")))))</f>
        <v>0</v>
      </c>
      <c r="EZ66" s="20" t="str">
        <f>IF(EZ13=0,"0",IF(AND(Results!$E$5="Protein",$C$53&gt;0,OR(Results!$E$4="Tissue",Results!$E$4="Cells")),((EZ13*EZ$51)/(EZ$53)),IF(AND(Results!$E$5="Weight",$C$52&gt;0, Results!$E$4="Tissue",OR($B$52="g",$B$52="mg")),((EZ13*EZ$51)/(EZ$52)),IF(AND(Results!$E$5="Volume",$C$54&gt;0,Results!$E$4="Fluid"),((EZ13*EZ$51)/(EZ$54)),IF(AND(Results!$E$4="Cells",Results!$E$5="Million",$B$52="million"),((EZ13*EZ$51)/(EZ$52)),"0")))))</f>
        <v>0</v>
      </c>
      <c r="FA66" s="20" t="str">
        <f>IF(FA13=0,"0",IF(AND(Results!$E$5="Protein",$C$53&gt;0,OR(Results!$E$4="Tissue",Results!$E$4="Cells")),((FA13*FA$51)/(FA$53)),IF(AND(Results!$E$5="Weight",$C$52&gt;0, Results!$E$4="Tissue",OR($B$52="g",$B$52="mg")),((FA13*FA$51)/(FA$52)),IF(AND(Results!$E$5="Volume",$C$54&gt;0,Results!$E$4="Fluid"),((FA13*FA$51)/(FA$54)),IF(AND(Results!$E$4="Cells",Results!$E$5="Million",$B$52="million"),((FA13*FA$51)/(FA$52)),"0")))))</f>
        <v>0</v>
      </c>
      <c r="FB66" s="20" t="str">
        <f>IF(FB13=0,"0",IF(AND(Results!$E$5="Protein",$C$53&gt;0,OR(Results!$E$4="Tissue",Results!$E$4="Cells")),((FB13*FB$51)/(FB$53)),IF(AND(Results!$E$5="Weight",$C$52&gt;0, Results!$E$4="Tissue",OR($B$52="g",$B$52="mg")),((FB13*FB$51)/(FB$52)),IF(AND(Results!$E$5="Volume",$C$54&gt;0,Results!$E$4="Fluid"),((FB13*FB$51)/(FB$54)),IF(AND(Results!$E$4="Cells",Results!$E$5="Million",$B$52="million"),((FB13*FB$51)/(FB$52)),"0")))))</f>
        <v>0</v>
      </c>
      <c r="FC66" s="20" t="str">
        <f>IF(FC13=0,"0",IF(AND(Results!$E$5="Protein",$C$53&gt;0,OR(Results!$E$4="Tissue",Results!$E$4="Cells")),((FC13*FC$51)/(FC$53)),IF(AND(Results!$E$5="Weight",$C$52&gt;0, Results!$E$4="Tissue",OR($B$52="g",$B$52="mg")),((FC13*FC$51)/(FC$52)),IF(AND(Results!$E$5="Volume",$C$54&gt;0,Results!$E$4="Fluid"),((FC13*FC$51)/(FC$54)),IF(AND(Results!$E$4="Cells",Results!$E$5="Million",$B$52="million"),((FC13*FC$51)/(FC$52)),"0")))))</f>
        <v>0</v>
      </c>
      <c r="FD66" s="20" t="str">
        <f>IF(FD13=0,"0",IF(AND(Results!$E$5="Protein",$C$53&gt;0,OR(Results!$E$4="Tissue",Results!$E$4="Cells")),((FD13*FD$51)/(FD$53)),IF(AND(Results!$E$5="Weight",$C$52&gt;0, Results!$E$4="Tissue",OR($B$52="g",$B$52="mg")),((FD13*FD$51)/(FD$52)),IF(AND(Results!$E$5="Volume",$C$54&gt;0,Results!$E$4="Fluid"),((FD13*FD$51)/(FD$54)),IF(AND(Results!$E$4="Cells",Results!$E$5="Million",$B$52="million"),((FD13*FD$51)/(FD$52)),"0")))))</f>
        <v>0</v>
      </c>
      <c r="FE66" s="20" t="str">
        <f>IF(FE13=0,"0",IF(AND(Results!$E$5="Protein",$C$53&gt;0,OR(Results!$E$4="Tissue",Results!$E$4="Cells")),((FE13*FE$51)/(FE$53)),IF(AND(Results!$E$5="Weight",$C$52&gt;0, Results!$E$4="Tissue",OR($B$52="g",$B$52="mg")),((FE13*FE$51)/(FE$52)),IF(AND(Results!$E$5="Volume",$C$54&gt;0,Results!$E$4="Fluid"),((FE13*FE$51)/(FE$54)),IF(AND(Results!$E$4="Cells",Results!$E$5="Million",$B$52="million"),((FE13*FE$51)/(FE$52)),"0")))))</f>
        <v>0</v>
      </c>
      <c r="FF66" s="20" t="str">
        <f>IF(FF13=0,"0",IF(AND(Results!$E$5="Protein",$C$53&gt;0,OR(Results!$E$4="Tissue",Results!$E$4="Cells")),((FF13*FF$51)/(FF$53)),IF(AND(Results!$E$5="Weight",$C$52&gt;0, Results!$E$4="Tissue",OR($B$52="g",$B$52="mg")),((FF13*FF$51)/(FF$52)),IF(AND(Results!$E$5="Volume",$C$54&gt;0,Results!$E$4="Fluid"),((FF13*FF$51)/(FF$54)),IF(AND(Results!$E$4="Cells",Results!$E$5="Million",$B$52="million"),((FF13*FF$51)/(FF$52)),"0")))))</f>
        <v>0</v>
      </c>
      <c r="FG66" s="20" t="str">
        <f>IF(FG13=0,"0",IF(AND(Results!$E$5="Protein",$C$53&gt;0,OR(Results!$E$4="Tissue",Results!$E$4="Cells")),((FG13*FG$51)/(FG$53)),IF(AND(Results!$E$5="Weight",$C$52&gt;0, Results!$E$4="Tissue",OR($B$52="g",$B$52="mg")),((FG13*FG$51)/(FG$52)),IF(AND(Results!$E$5="Volume",$C$54&gt;0,Results!$E$4="Fluid"),((FG13*FG$51)/(FG$54)),IF(AND(Results!$E$4="Cells",Results!$E$5="Million",$B$52="million"),((FG13*FG$51)/(FG$52)),"0")))))</f>
        <v>0</v>
      </c>
      <c r="FH66" s="20" t="str">
        <f>IF(FH13=0,"0",IF(AND(Results!$E$5="Protein",$C$53&gt;0,OR(Results!$E$4="Tissue",Results!$E$4="Cells")),((FH13*FH$51)/(FH$53)),IF(AND(Results!$E$5="Weight",$C$52&gt;0, Results!$E$4="Tissue",OR($B$52="g",$B$52="mg")),((FH13*FH$51)/(FH$52)),IF(AND(Results!$E$5="Volume",$C$54&gt;0,Results!$E$4="Fluid"),((FH13*FH$51)/(FH$54)),IF(AND(Results!$E$4="Cells",Results!$E$5="Million",$B$52="million"),((FH13*FH$51)/(FH$52)),"0")))))</f>
        <v>0</v>
      </c>
      <c r="FI66" s="20" t="str">
        <f>IF(FI13=0,"0",IF(AND(Results!$E$5="Protein",$C$53&gt;0,OR(Results!$E$4="Tissue",Results!$E$4="Cells")),((FI13*FI$51)/(FI$53)),IF(AND(Results!$E$5="Weight",$C$52&gt;0, Results!$E$4="Tissue",OR($B$52="g",$B$52="mg")),((FI13*FI$51)/(FI$52)),IF(AND(Results!$E$5="Volume",$C$54&gt;0,Results!$E$4="Fluid"),((FI13*FI$51)/(FI$54)),IF(AND(Results!$E$4="Cells",Results!$E$5="Million",$B$52="million"),((FI13*FI$51)/(FI$52)),"0")))))</f>
        <v>0</v>
      </c>
      <c r="FJ66" s="20" t="str">
        <f>IF(FJ13=0,"0",IF(AND(Results!$E$5="Protein",$C$53&gt;0,OR(Results!$E$4="Tissue",Results!$E$4="Cells")),((FJ13*FJ$51)/(FJ$53)),IF(AND(Results!$E$5="Weight",$C$52&gt;0, Results!$E$4="Tissue",OR($B$52="g",$B$52="mg")),((FJ13*FJ$51)/(FJ$52)),IF(AND(Results!$E$5="Volume",$C$54&gt;0,Results!$E$4="Fluid"),((FJ13*FJ$51)/(FJ$54)),IF(AND(Results!$E$4="Cells",Results!$E$5="Million",$B$52="million"),((FJ13*FJ$51)/(FJ$52)),"0")))))</f>
        <v>0</v>
      </c>
      <c r="FK66" s="20" t="str">
        <f>IF(FK13=0,"0",IF(AND(Results!$E$5="Protein",$C$53&gt;0,OR(Results!$E$4="Tissue",Results!$E$4="Cells")),((FK13*FK$51)/(FK$53)),IF(AND(Results!$E$5="Weight",$C$52&gt;0, Results!$E$4="Tissue",OR($B$52="g",$B$52="mg")),((FK13*FK$51)/(FK$52)),IF(AND(Results!$E$5="Volume",$C$54&gt;0,Results!$E$4="Fluid"),((FK13*FK$51)/(FK$54)),IF(AND(Results!$E$4="Cells",Results!$E$5="Million",$B$52="million"),((FK13*FK$51)/(FK$52)),"0")))))</f>
        <v>0</v>
      </c>
      <c r="FL66" s="20" t="str">
        <f>IF(FL13=0,"0",IF(AND(Results!$E$5="Protein",$C$53&gt;0,OR(Results!$E$4="Tissue",Results!$E$4="Cells")),((FL13*FL$51)/(FL$53)),IF(AND(Results!$E$5="Weight",$C$52&gt;0, Results!$E$4="Tissue",OR($B$52="g",$B$52="mg")),((FL13*FL$51)/(FL$52)),IF(AND(Results!$E$5="Volume",$C$54&gt;0,Results!$E$4="Fluid"),((FL13*FL$51)/(FL$54)),IF(AND(Results!$E$4="Cells",Results!$E$5="Million",$B$52="million"),((FL13*FL$51)/(FL$52)),"0")))))</f>
        <v>0</v>
      </c>
      <c r="FM66" s="20" t="str">
        <f>IF(FM13=0,"0",IF(AND(Results!$E$5="Protein",$C$53&gt;0,OR(Results!$E$4="Tissue",Results!$E$4="Cells")),((FM13*FM$51)/(FM$53)),IF(AND(Results!$E$5="Weight",$C$52&gt;0, Results!$E$4="Tissue",OR($B$52="g",$B$52="mg")),((FM13*FM$51)/(FM$52)),IF(AND(Results!$E$5="Volume",$C$54&gt;0,Results!$E$4="Fluid"),((FM13*FM$51)/(FM$54)),IF(AND(Results!$E$4="Cells",Results!$E$5="Million",$B$52="million"),((FM13*FM$51)/(FM$52)),"0")))))</f>
        <v>0</v>
      </c>
      <c r="FN66" s="20" t="str">
        <f>IF(FN13=0,"0",IF(AND(Results!$E$5="Protein",$C$53&gt;0,OR(Results!$E$4="Tissue",Results!$E$4="Cells")),((FN13*FN$51)/(FN$53)),IF(AND(Results!$E$5="Weight",$C$52&gt;0, Results!$E$4="Tissue",OR($B$52="g",$B$52="mg")),((FN13*FN$51)/(FN$52)),IF(AND(Results!$E$5="Volume",$C$54&gt;0,Results!$E$4="Fluid"),((FN13*FN$51)/(FN$54)),IF(AND(Results!$E$4="Cells",Results!$E$5="Million",$B$52="million"),((FN13*FN$51)/(FN$52)),"0")))))</f>
        <v>0</v>
      </c>
      <c r="FO66" s="20" t="str">
        <f>IF(FO13=0,"0",IF(AND(Results!$E$5="Protein",$C$53&gt;0,OR(Results!$E$4="Tissue",Results!$E$4="Cells")),((FO13*FO$51)/(FO$53)),IF(AND(Results!$E$5="Weight",$C$52&gt;0, Results!$E$4="Tissue",OR($B$52="g",$B$52="mg")),((FO13*FO$51)/(FO$52)),IF(AND(Results!$E$5="Volume",$C$54&gt;0,Results!$E$4="Fluid"),((FO13*FO$51)/(FO$54)),IF(AND(Results!$E$4="Cells",Results!$E$5="Million",$B$52="million"),((FO13*FO$51)/(FO$52)),"0")))))</f>
        <v>0</v>
      </c>
    </row>
    <row r="67" spans="1:171" x14ac:dyDescent="0.2">
      <c r="A67" s="120" t="str">
        <f t="shared" si="0"/>
        <v>8,9-EET</v>
      </c>
      <c r="B67" s="121"/>
      <c r="C67" s="20">
        <f>IF(C14=0,"0",IF(AND(Results!$E$5="Protein",$C$53&gt;0,OR(Results!$E$4="Tissue",Results!$E$4="Cells")),((C14*C$51)/(C$53)),IF(AND(Results!$E$5="Weight",$C$52&gt;0, Results!$E$4="Tissue",OR($B$52="g",$B$52="mg")),((C14*C$51)/(C$52)),IF(AND(Results!$E$5="Volume",$C$54&gt;0,Results!$E$4="Fluid"),((C14*C$51)/(C$54)),IF(AND(Results!$E$4="Cells",Results!$E$5="Million",$B$52="million"),((C14*C$51)/(C$52)),"0")))))</f>
        <v>0.76226666666666665</v>
      </c>
      <c r="D67" s="20">
        <f>IF(D14=0,"0",IF(AND(Results!$E$5="Protein",$C$53&gt;0,OR(Results!$E$4="Tissue",Results!$E$4="Cells")),((D14*D$51)/(D$53)),IF(AND(Results!$E$5="Weight",$C$52&gt;0, Results!$E$4="Tissue",OR($B$52="g",$B$52="mg")),((D14*D$51)/(D$52)),IF(AND(Results!$E$5="Volume",$C$54&gt;0,Results!$E$4="Fluid"),((D14*D$51)/(D$54)),IF(AND(Results!$E$4="Cells",Results!$E$5="Million",$B$52="million"),((D14*D$51)/(D$52)),"0")))))</f>
        <v>2.2586333333333335</v>
      </c>
      <c r="E67" s="20" t="str">
        <f>IF(E14=0,"0",IF(AND(Results!$E$5="Protein",$C$53&gt;0,OR(Results!$E$4="Tissue",Results!$E$4="Cells")),((E14*E$51)/(E$53)),IF(AND(Results!$E$5="Weight",$C$52&gt;0, Results!$E$4="Tissue",OR($B$52="g",$B$52="mg")),((E14*E$51)/(E$52)),IF(AND(Results!$E$5="Volume",$C$54&gt;0,Results!$E$4="Fluid"),((E14*E$51)/(E$54)),IF(AND(Results!$E$4="Cells",Results!$E$5="Million",$B$52="million"),((E14*E$51)/(E$52)),"0")))))</f>
        <v>0</v>
      </c>
      <c r="F67" s="20">
        <f>IF(F14=0,"0",IF(AND(Results!$E$5="Protein",$C$53&gt;0,OR(Results!$E$4="Tissue",Results!$E$4="Cells")),((F14*F$51)/(F$53)),IF(AND(Results!$E$5="Weight",$C$52&gt;0, Results!$E$4="Tissue",OR($B$52="g",$B$52="mg")),((F14*F$51)/(F$52)),IF(AND(Results!$E$5="Volume",$C$54&gt;0,Results!$E$4="Fluid"),((F14*F$51)/(F$54)),IF(AND(Results!$E$4="Cells",Results!$E$5="Million",$B$52="million"),((F14*F$51)/(F$52)),"0")))))</f>
        <v>2.6011333333333329</v>
      </c>
      <c r="G67" s="20">
        <f>IF(G14=0,"0",IF(AND(Results!$E$5="Protein",$C$53&gt;0,OR(Results!$E$4="Tissue",Results!$E$4="Cells")),((G14*G$51)/(G$53)),IF(AND(Results!$E$5="Weight",$C$52&gt;0, Results!$E$4="Tissue",OR($B$52="g",$B$52="mg")),((G14*G$51)/(G$52)),IF(AND(Results!$E$5="Volume",$C$54&gt;0,Results!$E$4="Fluid"),((G14*G$51)/(G$54)),IF(AND(Results!$E$4="Cells",Results!$E$5="Million",$B$52="million"),((G14*G$51)/(G$52)),"0")))))</f>
        <v>0.82863333333333344</v>
      </c>
      <c r="H67" s="20">
        <f>IF(H14=0,"0",IF(AND(Results!$E$5="Protein",$C$53&gt;0,OR(Results!$E$4="Tissue",Results!$E$4="Cells")),((H14*H$51)/(H$53)),IF(AND(Results!$E$5="Weight",$C$52&gt;0, Results!$E$4="Tissue",OR($B$52="g",$B$52="mg")),((H14*H$51)/(H$52)),IF(AND(Results!$E$5="Volume",$C$54&gt;0,Results!$E$4="Fluid"),((H14*H$51)/(H$54)),IF(AND(Results!$E$4="Cells",Results!$E$5="Million",$B$52="million"),((H14*H$51)/(H$52)),"0")))))</f>
        <v>1.5406000000000002</v>
      </c>
      <c r="I67" s="20">
        <f>IF(I14=0,"0",IF(AND(Results!$E$5="Protein",$C$53&gt;0,OR(Results!$E$4="Tissue",Results!$E$4="Cells")),((I14*I$51)/(I$53)),IF(AND(Results!$E$5="Weight",$C$52&gt;0, Results!$E$4="Tissue",OR($B$52="g",$B$52="mg")),((I14*I$51)/(I$52)),IF(AND(Results!$E$5="Volume",$C$54&gt;0,Results!$E$4="Fluid"),((I14*I$51)/(I$54)),IF(AND(Results!$E$4="Cells",Results!$E$5="Million",$B$52="million"),((I14*I$51)/(I$52)),"0")))))</f>
        <v>2.9791000000000003</v>
      </c>
      <c r="J67" s="20">
        <f>IF(J14=0,"0",IF(AND(Results!$E$5="Protein",$C$53&gt;0,OR(Results!$E$4="Tissue",Results!$E$4="Cells")),((J14*J$51)/(J$53)),IF(AND(Results!$E$5="Weight",$C$52&gt;0, Results!$E$4="Tissue",OR($B$52="g",$B$52="mg")),((J14*J$51)/(J$52)),IF(AND(Results!$E$5="Volume",$C$54&gt;0,Results!$E$4="Fluid"),((J14*J$51)/(J$54)),IF(AND(Results!$E$4="Cells",Results!$E$5="Million",$B$52="million"),((J14*J$51)/(J$52)),"0")))))</f>
        <v>1.6943000000000004</v>
      </c>
      <c r="K67" s="20">
        <f>IF(K14=0,"0",IF(AND(Results!$E$5="Protein",$C$53&gt;0,OR(Results!$E$4="Tissue",Results!$E$4="Cells")),((K14*K$51)/(K$53)),IF(AND(Results!$E$5="Weight",$C$52&gt;0, Results!$E$4="Tissue",OR($B$52="g",$B$52="mg")),((K14*K$51)/(K$52)),IF(AND(Results!$E$5="Volume",$C$54&gt;0,Results!$E$4="Fluid"),((K14*K$51)/(K$54)),IF(AND(Results!$E$4="Cells",Results!$E$5="Million",$B$52="million"),((K14*K$51)/(K$52)),"0")))))</f>
        <v>2.1067</v>
      </c>
      <c r="L67" s="20">
        <f>IF(L14=0,"0",IF(AND(Results!$E$5="Protein",$C$53&gt;0,OR(Results!$E$4="Tissue",Results!$E$4="Cells")),((L14*L$51)/(L$53)),IF(AND(Results!$E$5="Weight",$C$52&gt;0, Results!$E$4="Tissue",OR($B$52="g",$B$52="mg")),((L14*L$51)/(L$52)),IF(AND(Results!$E$5="Volume",$C$54&gt;0,Results!$E$4="Fluid"),((L14*L$51)/(L$54)),IF(AND(Results!$E$4="Cells",Results!$E$5="Million",$B$52="million"),((L14*L$51)/(L$52)),"0")))))</f>
        <v>3.0104333333333333</v>
      </c>
      <c r="M67" s="20">
        <f>IF(M14=0,"0",IF(AND(Results!$E$5="Protein",$C$53&gt;0,OR(Results!$E$4="Tissue",Results!$E$4="Cells")),((M14*M$51)/(M$53)),IF(AND(Results!$E$5="Weight",$C$52&gt;0, Results!$E$4="Tissue",OR($B$52="g",$B$52="mg")),((M14*M$51)/(M$52)),IF(AND(Results!$E$5="Volume",$C$54&gt;0,Results!$E$4="Fluid"),((M14*M$51)/(M$54)),IF(AND(Results!$E$4="Cells",Results!$E$5="Million",$B$52="million"),((M14*M$51)/(M$52)),"0")))))</f>
        <v>1.7687166666666665</v>
      </c>
      <c r="N67" s="20" t="str">
        <f>IF(N14=0,"0",IF(AND(Results!$E$5="Protein",$C$53&gt;0,OR(Results!$E$4="Tissue",Results!$E$4="Cells")),((N14*N$51)/(N$53)),IF(AND(Results!$E$5="Weight",$C$52&gt;0, Results!$E$4="Tissue",OR($B$52="g",$B$52="mg")),((N14*N$51)/(N$52)),IF(AND(Results!$E$5="Volume",$C$54&gt;0,Results!$E$4="Fluid"),((N14*N$51)/(N$54)),IF(AND(Results!$E$4="Cells",Results!$E$5="Million",$B$52="million"),((N14*N$51)/(N$52)),"0")))))</f>
        <v>0</v>
      </c>
      <c r="O67" s="20">
        <f>IF(O14=0,"0",IF(AND(Results!$E$5="Protein",$C$53&gt;0,OR(Results!$E$4="Tissue",Results!$E$4="Cells")),((O14*O$51)/(O$53)),IF(AND(Results!$E$5="Weight",$C$52&gt;0, Results!$E$4="Tissue",OR($B$52="g",$B$52="mg")),((O14*O$51)/(O$52)),IF(AND(Results!$E$5="Volume",$C$54&gt;0,Results!$E$4="Fluid"),((O14*O$51)/(O$54)),IF(AND(Results!$E$4="Cells",Results!$E$5="Million",$B$52="million"),((O14*O$51)/(O$52)),"0")))))</f>
        <v>2.0067333333333335</v>
      </c>
      <c r="P67" s="20">
        <f>IF(P14=0,"0",IF(AND(Results!$E$5="Protein",$C$53&gt;0,OR(Results!$E$4="Tissue",Results!$E$4="Cells")),((P14*P$51)/(P$53)),IF(AND(Results!$E$5="Weight",$C$52&gt;0, Results!$E$4="Tissue",OR($B$52="g",$B$52="mg")),((P14*P$51)/(P$52)),IF(AND(Results!$E$5="Volume",$C$54&gt;0,Results!$E$4="Fluid"),((P14*P$51)/(P$54)),IF(AND(Results!$E$4="Cells",Results!$E$5="Million",$B$52="million"),((P14*P$51)/(P$52)),"0")))))</f>
        <v>1.9183166666666667</v>
      </c>
      <c r="Q67" s="20">
        <f>IF(Q14=0,"0",IF(AND(Results!$E$5="Protein",$C$53&gt;0,OR(Results!$E$4="Tissue",Results!$E$4="Cells")),((Q14*Q$51)/(Q$53)),IF(AND(Results!$E$5="Weight",$C$52&gt;0, Results!$E$4="Tissue",OR($B$52="g",$B$52="mg")),((Q14*Q$51)/(Q$52)),IF(AND(Results!$E$5="Volume",$C$54&gt;0,Results!$E$4="Fluid"),((Q14*Q$51)/(Q$54)),IF(AND(Results!$E$4="Cells",Results!$E$5="Million",$B$52="million"),((Q14*Q$51)/(Q$52)),"0")))))</f>
        <v>1.5540833333333335</v>
      </c>
      <c r="R67" s="20">
        <f>IF(R14=0,"0",IF(AND(Results!$E$5="Protein",$C$53&gt;0,OR(Results!$E$4="Tissue",Results!$E$4="Cells")),((R14*R$51)/(R$53)),IF(AND(Results!$E$5="Weight",$C$52&gt;0, Results!$E$4="Tissue",OR($B$52="g",$B$52="mg")),((R14*R$51)/(R$52)),IF(AND(Results!$E$5="Volume",$C$54&gt;0,Results!$E$4="Fluid"),((R14*R$51)/(R$54)),IF(AND(Results!$E$4="Cells",Results!$E$5="Million",$B$52="million"),((R14*R$51)/(R$52)),"0")))))</f>
        <v>4.6751333333333331</v>
      </c>
      <c r="S67" s="20">
        <f>IF(S14=0,"0",IF(AND(Results!$E$5="Protein",$C$53&gt;0,OR(Results!$E$4="Tissue",Results!$E$4="Cells")),((S14*S$51)/(S$53)),IF(AND(Results!$E$5="Weight",$C$52&gt;0, Results!$E$4="Tissue",OR($B$52="g",$B$52="mg")),((S14*S$51)/(S$52)),IF(AND(Results!$E$5="Volume",$C$54&gt;0,Results!$E$4="Fluid"),((S14*S$51)/(S$54)),IF(AND(Results!$E$4="Cells",Results!$E$5="Million",$B$52="million"),((S14*S$51)/(S$52)),"0")))))</f>
        <v>3.2365166666666667</v>
      </c>
      <c r="T67" s="20">
        <f>IF(T14=0,"0",IF(AND(Results!$E$5="Protein",$C$53&gt;0,OR(Results!$E$4="Tissue",Results!$E$4="Cells")),((T14*T$51)/(T$53)),IF(AND(Results!$E$5="Weight",$C$52&gt;0, Results!$E$4="Tissue",OR($B$52="g",$B$52="mg")),((T14*T$51)/(T$52)),IF(AND(Results!$E$5="Volume",$C$54&gt;0,Results!$E$4="Fluid"),((T14*T$51)/(T$54)),IF(AND(Results!$E$4="Cells",Results!$E$5="Million",$B$52="million"),((T14*T$51)/(T$52)),"0")))))</f>
        <v>0.56718333333333326</v>
      </c>
      <c r="U67" s="20">
        <f>IF(U14=0,"0",IF(AND(Results!$E$5="Protein",$C$53&gt;0,OR(Results!$E$4="Tissue",Results!$E$4="Cells")),((U14*U$51)/(U$53)),IF(AND(Results!$E$5="Weight",$C$52&gt;0, Results!$E$4="Tissue",OR($B$52="g",$B$52="mg")),((U14*U$51)/(U$52)),IF(AND(Results!$E$5="Volume",$C$54&gt;0,Results!$E$4="Fluid"),((U14*U$51)/(U$54)),IF(AND(Results!$E$4="Cells",Results!$E$5="Million",$B$52="million"),((U14*U$51)/(U$52)),"0")))))</f>
        <v>1.2656666666666667</v>
      </c>
      <c r="V67" s="20" t="str">
        <f>IF(V14=0,"0",IF(AND(Results!$E$5="Protein",$C$53&gt;0,OR(Results!$E$4="Tissue",Results!$E$4="Cells")),((V14*V$51)/(V$53)),IF(AND(Results!$E$5="Weight",$C$52&gt;0, Results!$E$4="Tissue",OR($B$52="g",$B$52="mg")),((V14*V$51)/(V$52)),IF(AND(Results!$E$5="Volume",$C$54&gt;0,Results!$E$4="Fluid"),((V14*V$51)/(V$54)),IF(AND(Results!$E$4="Cells",Results!$E$5="Million",$B$52="million"),((V14*V$51)/(V$52)),"0")))))</f>
        <v>0</v>
      </c>
      <c r="W67" s="20" t="str">
        <f>IF(W14=0,"0",IF(AND(Results!$E$5="Protein",$C$53&gt;0,OR(Results!$E$4="Tissue",Results!$E$4="Cells")),((W14*W$51)/(W$53)),IF(AND(Results!$E$5="Weight",$C$52&gt;0, Results!$E$4="Tissue",OR($B$52="g",$B$52="mg")),((W14*W$51)/(W$52)),IF(AND(Results!$E$5="Volume",$C$54&gt;0,Results!$E$4="Fluid"),((W14*W$51)/(W$54)),IF(AND(Results!$E$4="Cells",Results!$E$5="Million",$B$52="million"),((W14*W$51)/(W$52)),"0")))))</f>
        <v>0</v>
      </c>
      <c r="X67" s="20" t="str">
        <f>IF(X14=0,"0",IF(AND(Results!$E$5="Protein",$C$53&gt;0,OR(Results!$E$4="Tissue",Results!$E$4="Cells")),((X14*X$51)/(X$53)),IF(AND(Results!$E$5="Weight",$C$52&gt;0, Results!$E$4="Tissue",OR($B$52="g",$B$52="mg")),((X14*X$51)/(X$52)),IF(AND(Results!$E$5="Volume",$C$54&gt;0,Results!$E$4="Fluid"),((X14*X$51)/(X$54)),IF(AND(Results!$E$4="Cells",Results!$E$5="Million",$B$52="million"),((X14*X$51)/(X$52)),"0")))))</f>
        <v>0</v>
      </c>
      <c r="Y67" s="20">
        <f>IF(Y14=0,"0",IF(AND(Results!$E$5="Protein",$C$53&gt;0,OR(Results!$E$4="Tissue",Results!$E$4="Cells")),((Y14*Y$51)/(Y$53)),IF(AND(Results!$E$5="Weight",$C$52&gt;0, Results!$E$4="Tissue",OR($B$52="g",$B$52="mg")),((Y14*Y$51)/(Y$52)),IF(AND(Results!$E$5="Volume",$C$54&gt;0,Results!$E$4="Fluid"),((Y14*Y$51)/(Y$54)),IF(AND(Results!$E$4="Cells",Results!$E$5="Million",$B$52="million"),((Y14*Y$51)/(Y$52)),"0")))))</f>
        <v>1.9705166666666665</v>
      </c>
      <c r="Z67" s="20" t="str">
        <f>IF(Z14=0,"0",IF(AND(Results!$E$5="Protein",$C$53&gt;0,OR(Results!$E$4="Tissue",Results!$E$4="Cells")),((Z14*Z$51)/(Z$53)),IF(AND(Results!$E$5="Weight",$C$52&gt;0, Results!$E$4="Tissue",OR($B$52="g",$B$52="mg")),((Z14*Z$51)/(Z$52)),IF(AND(Results!$E$5="Volume",$C$54&gt;0,Results!$E$4="Fluid"),((Z14*Z$51)/(Z$54)),IF(AND(Results!$E$4="Cells",Results!$E$5="Million",$B$52="million"),((Z14*Z$51)/(Z$52)),"0")))))</f>
        <v>0</v>
      </c>
      <c r="AA67" s="20">
        <f>IF(AA14=0,"0",IF(AND(Results!$E$5="Protein",$C$53&gt;0,OR(Results!$E$4="Tissue",Results!$E$4="Cells")),((AA14*AA$51)/(AA$53)),IF(AND(Results!$E$5="Weight",$C$52&gt;0, Results!$E$4="Tissue",OR($B$52="g",$B$52="mg")),((AA14*AA$51)/(AA$52)),IF(AND(Results!$E$5="Volume",$C$54&gt;0,Results!$E$4="Fluid"),((AA14*AA$51)/(AA$54)),IF(AND(Results!$E$4="Cells",Results!$E$5="Million",$B$52="million"),((AA14*AA$51)/(AA$52)),"0")))))</f>
        <v>1.1262000000000001</v>
      </c>
      <c r="AB67" s="20">
        <f>IF(AB14=0,"0",IF(AND(Results!$E$5="Protein",$C$53&gt;0,OR(Results!$E$4="Tissue",Results!$E$4="Cells")),((AB14*AB$51)/(AB$53)),IF(AND(Results!$E$5="Weight",$C$52&gt;0, Results!$E$4="Tissue",OR($B$52="g",$B$52="mg")),((AB14*AB$51)/(AB$52)),IF(AND(Results!$E$5="Volume",$C$54&gt;0,Results!$E$4="Fluid"),((AB14*AB$51)/(AB$54)),IF(AND(Results!$E$4="Cells",Results!$E$5="Million",$B$52="million"),((AB14*AB$51)/(AB$52)),"0")))))</f>
        <v>1.7968999999999999</v>
      </c>
      <c r="AC67" s="20">
        <f>IF(AC14=0,"0",IF(AND(Results!$E$5="Protein",$C$53&gt;0,OR(Results!$E$4="Tissue",Results!$E$4="Cells")),((AC14*AC$51)/(AC$53)),IF(AND(Results!$E$5="Weight",$C$52&gt;0, Results!$E$4="Tissue",OR($B$52="g",$B$52="mg")),((AC14*AC$51)/(AC$52)),IF(AND(Results!$E$5="Volume",$C$54&gt;0,Results!$E$4="Fluid"),((AC14*AC$51)/(AC$54)),IF(AND(Results!$E$4="Cells",Results!$E$5="Million",$B$52="million"),((AC14*AC$51)/(AC$52)),"0")))))</f>
        <v>2.3373500000000003</v>
      </c>
      <c r="AD67" s="20">
        <f>IF(AD14=0,"0",IF(AND(Results!$E$5="Protein",$C$53&gt;0,OR(Results!$E$4="Tissue",Results!$E$4="Cells")),((AD14*AD$51)/(AD$53)),IF(AND(Results!$E$5="Weight",$C$52&gt;0, Results!$E$4="Tissue",OR($B$52="g",$B$52="mg")),((AD14*AD$51)/(AD$52)),IF(AND(Results!$E$5="Volume",$C$54&gt;0,Results!$E$4="Fluid"),((AD14*AD$51)/(AD$54)),IF(AND(Results!$E$4="Cells",Results!$E$5="Million",$B$52="million"),((AD14*AD$51)/(AD$52)),"0")))))</f>
        <v>1.03725</v>
      </c>
      <c r="AE67" s="20">
        <f>IF(AE14=0,"0",IF(AND(Results!$E$5="Protein",$C$53&gt;0,OR(Results!$E$4="Tissue",Results!$E$4="Cells")),((AE14*AE$51)/(AE$53)),IF(AND(Results!$E$5="Weight",$C$52&gt;0, Results!$E$4="Tissue",OR($B$52="g",$B$52="mg")),((AE14*AE$51)/(AE$52)),IF(AND(Results!$E$5="Volume",$C$54&gt;0,Results!$E$4="Fluid"),((AE14*AE$51)/(AE$54)),IF(AND(Results!$E$4="Cells",Results!$E$5="Million",$B$52="million"),((AE14*AE$51)/(AE$52)),"0")))))</f>
        <v>1.2503333333333333</v>
      </c>
      <c r="AF67" s="20">
        <f>IF(AF14=0,"0",IF(AND(Results!$E$5="Protein",$C$53&gt;0,OR(Results!$E$4="Tissue",Results!$E$4="Cells")),((AF14*AF$51)/(AF$53)),IF(AND(Results!$E$5="Weight",$C$52&gt;0, Results!$E$4="Tissue",OR($B$52="g",$B$52="mg")),((AF14*AF$51)/(AF$52)),IF(AND(Results!$E$5="Volume",$C$54&gt;0,Results!$E$4="Fluid"),((AF14*AF$51)/(AF$54)),IF(AND(Results!$E$4="Cells",Results!$E$5="Million",$B$52="million"),((AF14*AF$51)/(AF$52)),"0")))))</f>
        <v>0.24400000000000002</v>
      </c>
      <c r="AG67" s="20">
        <f>IF(AG14=0,"0",IF(AND(Results!$E$5="Protein",$C$53&gt;0,OR(Results!$E$4="Tissue",Results!$E$4="Cells")),((AG14*AG$51)/(AG$53)),IF(AND(Results!$E$5="Weight",$C$52&gt;0, Results!$E$4="Tissue",OR($B$52="g",$B$52="mg")),((AG14*AG$51)/(AG$52)),IF(AND(Results!$E$5="Volume",$C$54&gt;0,Results!$E$4="Fluid"),((AG14*AG$51)/(AG$54)),IF(AND(Results!$E$4="Cells",Results!$E$5="Million",$B$52="million"),((AG14*AG$51)/(AG$52)),"0")))))</f>
        <v>1.0787499999999999</v>
      </c>
      <c r="AH67" s="20">
        <f>IF(AH14=0,"0",IF(AND(Results!$E$5="Protein",$C$53&gt;0,OR(Results!$E$4="Tissue",Results!$E$4="Cells")),((AH14*AH$51)/(AH$53)),IF(AND(Results!$E$5="Weight",$C$52&gt;0, Results!$E$4="Tissue",OR($B$52="g",$B$52="mg")),((AH14*AH$51)/(AH$52)),IF(AND(Results!$E$5="Volume",$C$54&gt;0,Results!$E$4="Fluid"),((AH14*AH$51)/(AH$54)),IF(AND(Results!$E$4="Cells",Results!$E$5="Million",$B$52="million"),((AH14*AH$51)/(AH$52)),"0")))))</f>
        <v>0.84753333333333336</v>
      </c>
      <c r="AI67" s="20">
        <f>IF(AI14=0,"0",IF(AND(Results!$E$5="Protein",$C$53&gt;0,OR(Results!$E$4="Tissue",Results!$E$4="Cells")),((AI14*AI$51)/(AI$53)),IF(AND(Results!$E$5="Weight",$C$52&gt;0, Results!$E$4="Tissue",OR($B$52="g",$B$52="mg")),((AI14*AI$51)/(AI$52)),IF(AND(Results!$E$5="Volume",$C$54&gt;0,Results!$E$4="Fluid"),((AI14*AI$51)/(AI$54)),IF(AND(Results!$E$4="Cells",Results!$E$5="Million",$B$52="million"),((AI14*AI$51)/(AI$52)),"0")))))</f>
        <v>0.73925000000000007</v>
      </c>
      <c r="AJ67" s="20" t="str">
        <f>IF(AJ14=0,"0",IF(AND(Results!$E$5="Protein",$C$53&gt;0,OR(Results!$E$4="Tissue",Results!$E$4="Cells")),((AJ14*AJ$51)/(AJ$53)),IF(AND(Results!$E$5="Weight",$C$52&gt;0, Results!$E$4="Tissue",OR($B$52="g",$B$52="mg")),((AJ14*AJ$51)/(AJ$52)),IF(AND(Results!$E$5="Volume",$C$54&gt;0,Results!$E$4="Fluid"),((AJ14*AJ$51)/(AJ$54)),IF(AND(Results!$E$4="Cells",Results!$E$5="Million",$B$52="million"),((AJ14*AJ$51)/(AJ$52)),"0")))))</f>
        <v>0</v>
      </c>
      <c r="AK67" s="20">
        <f>IF(AK14=0,"0",IF(AND(Results!$E$5="Protein",$C$53&gt;0,OR(Results!$E$4="Tissue",Results!$E$4="Cells")),((AK14*AK$51)/(AK$53)),IF(AND(Results!$E$5="Weight",$C$52&gt;0, Results!$E$4="Tissue",OR($B$52="g",$B$52="mg")),((AK14*AK$51)/(AK$52)),IF(AND(Results!$E$5="Volume",$C$54&gt;0,Results!$E$4="Fluid"),((AK14*AK$51)/(AK$54)),IF(AND(Results!$E$4="Cells",Results!$E$5="Million",$B$52="million"),((AK14*AK$51)/(AK$52)),"0")))))</f>
        <v>1.4956500000000001</v>
      </c>
      <c r="AL67" s="20" t="str">
        <f>IF(AL14=0,"0",IF(AND(Results!$E$5="Protein",$C$53&gt;0,OR(Results!$E$4="Tissue",Results!$E$4="Cells")),((AL14*AL$51)/(AL$53)),IF(AND(Results!$E$5="Weight",$C$52&gt;0, Results!$E$4="Tissue",OR($B$52="g",$B$52="mg")),((AL14*AL$51)/(AL$52)),IF(AND(Results!$E$5="Volume",$C$54&gt;0,Results!$E$4="Fluid"),((AL14*AL$51)/(AL$54)),IF(AND(Results!$E$4="Cells",Results!$E$5="Million",$B$52="million"),((AL14*AL$51)/(AL$52)),"0")))))</f>
        <v>0</v>
      </c>
      <c r="AM67" s="20" t="str">
        <f>IF(AM14=0,"0",IF(AND(Results!$E$5="Protein",$C$53&gt;0,OR(Results!$E$4="Tissue",Results!$E$4="Cells")),((AM14*AM$51)/(AM$53)),IF(AND(Results!$E$5="Weight",$C$52&gt;0, Results!$E$4="Tissue",OR($B$52="g",$B$52="mg")),((AM14*AM$51)/(AM$52)),IF(AND(Results!$E$5="Volume",$C$54&gt;0,Results!$E$4="Fluid"),((AM14*AM$51)/(AM$54)),IF(AND(Results!$E$4="Cells",Results!$E$5="Million",$B$52="million"),((AM14*AM$51)/(AM$52)),"0")))))</f>
        <v>0</v>
      </c>
      <c r="AN67" s="20">
        <f>IF(AN14=0,"0",IF(AND(Results!$E$5="Protein",$C$53&gt;0,OR(Results!$E$4="Tissue",Results!$E$4="Cells")),((AN14*AN$51)/(AN$53)),IF(AND(Results!$E$5="Weight",$C$52&gt;0, Results!$E$4="Tissue",OR($B$52="g",$B$52="mg")),((AN14*AN$51)/(AN$52)),IF(AND(Results!$E$5="Volume",$C$54&gt;0,Results!$E$4="Fluid"),((AN14*AN$51)/(AN$54)),IF(AND(Results!$E$4="Cells",Results!$E$5="Million",$B$52="million"),((AN14*AN$51)/(AN$52)),"0")))))</f>
        <v>1.7513833333333333</v>
      </c>
      <c r="AO67" s="20">
        <f>IF(AO14=0,"0",IF(AND(Results!$E$5="Protein",$C$53&gt;0,OR(Results!$E$4="Tissue",Results!$E$4="Cells")),((AO14*AO$51)/(AO$53)),IF(AND(Results!$E$5="Weight",$C$52&gt;0, Results!$E$4="Tissue",OR($B$52="g",$B$52="mg")),((AO14*AO$51)/(AO$52)),IF(AND(Results!$E$5="Volume",$C$54&gt;0,Results!$E$4="Fluid"),((AO14*AO$51)/(AO$54)),IF(AND(Results!$E$4="Cells",Results!$E$5="Million",$B$52="million"),((AO14*AO$51)/(AO$52)),"0")))))</f>
        <v>1.2157333333333333</v>
      </c>
      <c r="AP67" s="20" t="str">
        <f>IF(AP14=0,"0",IF(AND(Results!$E$5="Protein",$C$53&gt;0,OR(Results!$E$4="Tissue",Results!$E$4="Cells")),((AP14*AP$51)/(AP$53)),IF(AND(Results!$E$5="Weight",$C$52&gt;0, Results!$E$4="Tissue",OR($B$52="g",$B$52="mg")),((AP14*AP$51)/(AP$52)),IF(AND(Results!$E$5="Volume",$C$54&gt;0,Results!$E$4="Fluid"),((AP14*AP$51)/(AP$54)),IF(AND(Results!$E$4="Cells",Results!$E$5="Million",$B$52="million"),((AP14*AP$51)/(AP$52)),"0")))))</f>
        <v>0</v>
      </c>
      <c r="AQ67" s="20">
        <f>IF(AQ14=0,"0",IF(AND(Results!$E$5="Protein",$C$53&gt;0,OR(Results!$E$4="Tissue",Results!$E$4="Cells")),((AQ14*AQ$51)/(AQ$53)),IF(AND(Results!$E$5="Weight",$C$52&gt;0, Results!$E$4="Tissue",OR($B$52="g",$B$52="mg")),((AQ14*AQ$51)/(AQ$52)),IF(AND(Results!$E$5="Volume",$C$54&gt;0,Results!$E$4="Fluid"),((AQ14*AQ$51)/(AQ$54)),IF(AND(Results!$E$4="Cells",Results!$E$5="Million",$B$52="million"),((AQ14*AQ$51)/(AQ$52)),"0")))))</f>
        <v>1.1088166666666666</v>
      </c>
      <c r="AR67" s="20" t="str">
        <f>IF(AR14=0,"0",IF(AND(Results!$E$5="Protein",$C$53&gt;0,OR(Results!$E$4="Tissue",Results!$E$4="Cells")),((AR14*AR$51)/(AR$53)),IF(AND(Results!$E$5="Weight",$C$52&gt;0, Results!$E$4="Tissue",OR($B$52="g",$B$52="mg")),((AR14*AR$51)/(AR$52)),IF(AND(Results!$E$5="Volume",$C$54&gt;0,Results!$E$4="Fluid"),((AR14*AR$51)/(AR$54)),IF(AND(Results!$E$4="Cells",Results!$E$5="Million",$B$52="million"),((AR14*AR$51)/(AR$52)),"0")))))</f>
        <v>0</v>
      </c>
      <c r="AS67" s="20">
        <f>IF(AS14=0,"0",IF(AND(Results!$E$5="Protein",$C$53&gt;0,OR(Results!$E$4="Tissue",Results!$E$4="Cells")),((AS14*AS$51)/(AS$53)),IF(AND(Results!$E$5="Weight",$C$52&gt;0, Results!$E$4="Tissue",OR($B$52="g",$B$52="mg")),((AS14*AS$51)/(AS$52)),IF(AND(Results!$E$5="Volume",$C$54&gt;0,Results!$E$4="Fluid"),((AS14*AS$51)/(AS$54)),IF(AND(Results!$E$4="Cells",Results!$E$5="Million",$B$52="million"),((AS14*AS$51)/(AS$52)),"0")))))</f>
        <v>1.7926833333333334</v>
      </c>
      <c r="AT67" s="20">
        <f>IF(AT14=0,"0",IF(AND(Results!$E$5="Protein",$C$53&gt;0,OR(Results!$E$4="Tissue",Results!$E$4="Cells")),((AT14*AT$51)/(AT$53)),IF(AND(Results!$E$5="Weight",$C$52&gt;0, Results!$E$4="Tissue",OR($B$52="g",$B$52="mg")),((AT14*AT$51)/(AT$52)),IF(AND(Results!$E$5="Volume",$C$54&gt;0,Results!$E$4="Fluid"),((AT14*AT$51)/(AT$54)),IF(AND(Results!$E$4="Cells",Results!$E$5="Million",$B$52="million"),((AT14*AT$51)/(AT$52)),"0")))))</f>
        <v>0.58029999999999993</v>
      </c>
      <c r="AU67" s="20" t="str">
        <f>IF(AU14=0,"0",IF(AND(Results!$E$5="Protein",$C$53&gt;0,OR(Results!$E$4="Tissue",Results!$E$4="Cells")),((AU14*AU$51)/(AU$53)),IF(AND(Results!$E$5="Weight",$C$52&gt;0, Results!$E$4="Tissue",OR($B$52="g",$B$52="mg")),((AU14*AU$51)/(AU$52)),IF(AND(Results!$E$5="Volume",$C$54&gt;0,Results!$E$4="Fluid"),((AU14*AU$51)/(AU$54)),IF(AND(Results!$E$4="Cells",Results!$E$5="Million",$B$52="million"),((AU14*AU$51)/(AU$52)),"0")))))</f>
        <v>0</v>
      </c>
      <c r="AV67" s="20">
        <f>IF(AV14=0,"0",IF(AND(Results!$E$5="Protein",$C$53&gt;0,OR(Results!$E$4="Tissue",Results!$E$4="Cells")),((AV14*AV$51)/(AV$53)),IF(AND(Results!$E$5="Weight",$C$52&gt;0, Results!$E$4="Tissue",OR($B$52="g",$B$52="mg")),((AV14*AV$51)/(AV$52)),IF(AND(Results!$E$5="Volume",$C$54&gt;0,Results!$E$4="Fluid"),((AV14*AV$51)/(AV$54)),IF(AND(Results!$E$4="Cells",Results!$E$5="Million",$B$52="million"),((AV14*AV$51)/(AV$52)),"0")))))</f>
        <v>1.2223599999999999</v>
      </c>
      <c r="AW67" s="20" t="str">
        <f>IF(AW14=0,"0",IF(AND(Results!$E$5="Protein",$C$53&gt;0,OR(Results!$E$4="Tissue",Results!$E$4="Cells")),((AW14*AW$51)/(AW$53)),IF(AND(Results!$E$5="Weight",$C$52&gt;0, Results!$E$4="Tissue",OR($B$52="g",$B$52="mg")),((AW14*AW$51)/(AW$52)),IF(AND(Results!$E$5="Volume",$C$54&gt;0,Results!$E$4="Fluid"),((AW14*AW$51)/(AW$54)),IF(AND(Results!$E$4="Cells",Results!$E$5="Million",$B$52="million"),((AW14*AW$51)/(AW$52)),"0")))))</f>
        <v>0</v>
      </c>
      <c r="AX67" s="20">
        <f>IF(AX14=0,"0",IF(AND(Results!$E$5="Protein",$C$53&gt;0,OR(Results!$E$4="Tissue",Results!$E$4="Cells")),((AX14*AX$51)/(AX$53)),IF(AND(Results!$E$5="Weight",$C$52&gt;0, Results!$E$4="Tissue",OR($B$52="g",$B$52="mg")),((AX14*AX$51)/(AX$52)),IF(AND(Results!$E$5="Volume",$C$54&gt;0,Results!$E$4="Fluid"),((AX14*AX$51)/(AX$54)),IF(AND(Results!$E$4="Cells",Results!$E$5="Million",$B$52="million"),((AX14*AX$51)/(AX$52)),"0")))))</f>
        <v>0.56568333333333343</v>
      </c>
      <c r="AY67" s="20">
        <f>IF(AY14=0,"0",IF(AND(Results!$E$5="Protein",$C$53&gt;0,OR(Results!$E$4="Tissue",Results!$E$4="Cells")),((AY14*AY$51)/(AY$53)),IF(AND(Results!$E$5="Weight",$C$52&gt;0, Results!$E$4="Tissue",OR($B$52="g",$B$52="mg")),((AY14*AY$51)/(AY$52)),IF(AND(Results!$E$5="Volume",$C$54&gt;0,Results!$E$4="Fluid"),((AY14*AY$51)/(AY$54)),IF(AND(Results!$E$4="Cells",Results!$E$5="Million",$B$52="million"),((AY14*AY$51)/(AY$52)),"0")))))</f>
        <v>2.4613999999999998</v>
      </c>
      <c r="AZ67" s="20" t="str">
        <f>IF(AZ14=0,"0",IF(AND(Results!$E$5="Protein",$C$53&gt;0,OR(Results!$E$4="Tissue",Results!$E$4="Cells")),((AZ14*AZ$51)/(AZ$53)),IF(AND(Results!$E$5="Weight",$C$52&gt;0, Results!$E$4="Tissue",OR($B$52="g",$B$52="mg")),((AZ14*AZ$51)/(AZ$52)),IF(AND(Results!$E$5="Volume",$C$54&gt;0,Results!$E$4="Fluid"),((AZ14*AZ$51)/(AZ$54)),IF(AND(Results!$E$4="Cells",Results!$E$5="Million",$B$52="million"),((AZ14*AZ$51)/(AZ$52)),"0")))))</f>
        <v>0</v>
      </c>
      <c r="BA67" s="20">
        <f>IF(BA14=0,"0",IF(AND(Results!$E$5="Protein",$C$53&gt;0,OR(Results!$E$4="Tissue",Results!$E$4="Cells")),((BA14*BA$51)/(BA$53)),IF(AND(Results!$E$5="Weight",$C$52&gt;0, Results!$E$4="Tissue",OR($B$52="g",$B$52="mg")),((BA14*BA$51)/(BA$52)),IF(AND(Results!$E$5="Volume",$C$54&gt;0,Results!$E$4="Fluid"),((BA14*BA$51)/(BA$54)),IF(AND(Results!$E$4="Cells",Results!$E$5="Million",$B$52="million"),((BA14*BA$51)/(BA$52)),"0")))))</f>
        <v>0.66771666666666674</v>
      </c>
      <c r="BB67" s="20">
        <f>IF(BB14=0,"0",IF(AND(Results!$E$5="Protein",$C$53&gt;0,OR(Results!$E$4="Tissue",Results!$E$4="Cells")),((BB14*BB$51)/(BB$53)),IF(AND(Results!$E$5="Weight",$C$52&gt;0, Results!$E$4="Tissue",OR($B$52="g",$B$52="mg")),((BB14*BB$51)/(BB$52)),IF(AND(Results!$E$5="Volume",$C$54&gt;0,Results!$E$4="Fluid"),((BB14*BB$51)/(BB$54)),IF(AND(Results!$E$4="Cells",Results!$E$5="Million",$B$52="million"),((BB14*BB$51)/(BB$52)),"0")))))</f>
        <v>0.54123333333333323</v>
      </c>
      <c r="BC67" s="20">
        <f>IF(BC14=0,"0",IF(AND(Results!$E$5="Protein",$C$53&gt;0,OR(Results!$E$4="Tissue",Results!$E$4="Cells")),((BC14*BC$51)/(BC$53)),IF(AND(Results!$E$5="Weight",$C$52&gt;0, Results!$E$4="Tissue",OR($B$52="g",$B$52="mg")),((BC14*BC$51)/(BC$52)),IF(AND(Results!$E$5="Volume",$C$54&gt;0,Results!$E$4="Fluid"),((BC14*BC$51)/(BC$54)),IF(AND(Results!$E$4="Cells",Results!$E$5="Million",$B$52="million"),((BC14*BC$51)/(BC$52)),"0")))))</f>
        <v>1.25735</v>
      </c>
      <c r="BD67" s="20">
        <f>IF(BD14=0,"0",IF(AND(Results!$E$5="Protein",$C$53&gt;0,OR(Results!$E$4="Tissue",Results!$E$4="Cells")),((BD14*BD$51)/(BD$53)),IF(AND(Results!$E$5="Weight",$C$52&gt;0, Results!$E$4="Tissue",OR($B$52="g",$B$52="mg")),((BD14*BD$51)/(BD$52)),IF(AND(Results!$E$5="Volume",$C$54&gt;0,Results!$E$4="Fluid"),((BD14*BD$51)/(BD$54)),IF(AND(Results!$E$4="Cells",Results!$E$5="Million",$B$52="million"),((BD14*BD$51)/(BD$52)),"0")))))</f>
        <v>0.66425000000000012</v>
      </c>
      <c r="BE67" s="20" t="str">
        <f>IF(BE14=0,"0",IF(AND(Results!$E$5="Protein",$C$53&gt;0,OR(Results!$E$4="Tissue",Results!$E$4="Cells")),((BE14*BE$51)/(BE$53)),IF(AND(Results!$E$5="Weight",$C$52&gt;0, Results!$E$4="Tissue",OR($B$52="g",$B$52="mg")),((BE14*BE$51)/(BE$52)),IF(AND(Results!$E$5="Volume",$C$54&gt;0,Results!$E$4="Fluid"),((BE14*BE$51)/(BE$54)),IF(AND(Results!$E$4="Cells",Results!$E$5="Million",$B$52="million"),((BE14*BE$51)/(BE$52)),"0")))))</f>
        <v>0</v>
      </c>
      <c r="BF67" s="20">
        <f>IF(BF14=0,"0",IF(AND(Results!$E$5="Protein",$C$53&gt;0,OR(Results!$E$4="Tissue",Results!$E$4="Cells")),((BF14*BF$51)/(BF$53)),IF(AND(Results!$E$5="Weight",$C$52&gt;0, Results!$E$4="Tissue",OR($B$52="g",$B$52="mg")),((BF14*BF$51)/(BF$52)),IF(AND(Results!$E$5="Volume",$C$54&gt;0,Results!$E$4="Fluid"),((BF14*BF$51)/(BF$54)),IF(AND(Results!$E$4="Cells",Results!$E$5="Million",$B$52="million"),((BF14*BF$51)/(BF$52)),"0")))))</f>
        <v>0.35031666666666672</v>
      </c>
      <c r="BG67" s="20" t="str">
        <f>IF(BG14=0,"0",IF(AND(Results!$E$5="Protein",$C$53&gt;0,OR(Results!$E$4="Tissue",Results!$E$4="Cells")),((BG14*BG$51)/(BG$53)),IF(AND(Results!$E$5="Weight",$C$52&gt;0, Results!$E$4="Tissue",OR($B$52="g",$B$52="mg")),((BG14*BG$51)/(BG$52)),IF(AND(Results!$E$5="Volume",$C$54&gt;0,Results!$E$4="Fluid"),((BG14*BG$51)/(BG$54)),IF(AND(Results!$E$4="Cells",Results!$E$5="Million",$B$52="million"),((BG14*BG$51)/(BG$52)),"0")))))</f>
        <v>0</v>
      </c>
      <c r="BH67" s="20" t="str">
        <f>IF(BH14=0,"0",IF(AND(Results!$E$5="Protein",$C$53&gt;0,OR(Results!$E$4="Tissue",Results!$E$4="Cells")),((BH14*BH$51)/(BH$53)),IF(AND(Results!$E$5="Weight",$C$52&gt;0, Results!$E$4="Tissue",OR($B$52="g",$B$52="mg")),((BH14*BH$51)/(BH$52)),IF(AND(Results!$E$5="Volume",$C$54&gt;0,Results!$E$4="Fluid"),((BH14*BH$51)/(BH$54)),IF(AND(Results!$E$4="Cells",Results!$E$5="Million",$B$52="million"),((BH14*BH$51)/(BH$52)),"0")))))</f>
        <v>0</v>
      </c>
      <c r="BI67" s="20">
        <f>IF(BI14=0,"0",IF(AND(Results!$E$5="Protein",$C$53&gt;0,OR(Results!$E$4="Tissue",Results!$E$4="Cells")),((BI14*BI$51)/(BI$53)),IF(AND(Results!$E$5="Weight",$C$52&gt;0, Results!$E$4="Tissue",OR($B$52="g",$B$52="mg")),((BI14*BI$51)/(BI$52)),IF(AND(Results!$E$5="Volume",$C$54&gt;0,Results!$E$4="Fluid"),((BI14*BI$51)/(BI$54)),IF(AND(Results!$E$4="Cells",Results!$E$5="Million",$B$52="million"),((BI14*BI$51)/(BI$52)),"0")))))</f>
        <v>0.39321666666666671</v>
      </c>
      <c r="BJ67" s="20">
        <f>IF(BJ14=0,"0",IF(AND(Results!$E$5="Protein",$C$53&gt;0,OR(Results!$E$4="Tissue",Results!$E$4="Cells")),((BJ14*BJ$51)/(BJ$53)),IF(AND(Results!$E$5="Weight",$C$52&gt;0, Results!$E$4="Tissue",OR($B$52="g",$B$52="mg")),((BJ14*BJ$51)/(BJ$52)),IF(AND(Results!$E$5="Volume",$C$54&gt;0,Results!$E$4="Fluid"),((BJ14*BJ$51)/(BJ$54)),IF(AND(Results!$E$4="Cells",Results!$E$5="Million",$B$52="million"),((BJ14*BJ$51)/(BJ$52)),"0")))))</f>
        <v>3.0922333333333332</v>
      </c>
      <c r="BK67" s="20">
        <f>IF(BK14=0,"0",IF(AND(Results!$E$5="Protein",$C$53&gt;0,OR(Results!$E$4="Tissue",Results!$E$4="Cells")),((BK14*BK$51)/(BK$53)),IF(AND(Results!$E$5="Weight",$C$52&gt;0, Results!$E$4="Tissue",OR($B$52="g",$B$52="mg")),((BK14*BK$51)/(BK$52)),IF(AND(Results!$E$5="Volume",$C$54&gt;0,Results!$E$4="Fluid"),((BK14*BK$51)/(BK$54)),IF(AND(Results!$E$4="Cells",Results!$E$5="Million",$B$52="million"),((BK14*BK$51)/(BK$52)),"0")))))</f>
        <v>5.209316666666667</v>
      </c>
      <c r="BL67" s="20">
        <f>IF(BL14=0,"0",IF(AND(Results!$E$5="Protein",$C$53&gt;0,OR(Results!$E$4="Tissue",Results!$E$4="Cells")),((BL14*BL$51)/(BL$53)),IF(AND(Results!$E$5="Weight",$C$52&gt;0, Results!$E$4="Tissue",OR($B$52="g",$B$52="mg")),((BL14*BL$51)/(BL$52)),IF(AND(Results!$E$5="Volume",$C$54&gt;0,Results!$E$4="Fluid"),((BL14*BL$51)/(BL$54)),IF(AND(Results!$E$4="Cells",Results!$E$5="Million",$B$52="million"),((BL14*BL$51)/(BL$52)),"0")))))</f>
        <v>2.7296499999999999</v>
      </c>
      <c r="BM67" s="20">
        <f>IF(BM14=0,"0",IF(AND(Results!$E$5="Protein",$C$53&gt;0,OR(Results!$E$4="Tissue",Results!$E$4="Cells")),((BM14*BM$51)/(BM$53)),IF(AND(Results!$E$5="Weight",$C$52&gt;0, Results!$E$4="Tissue",OR($B$52="g",$B$52="mg")),((BM14*BM$51)/(BM$52)),IF(AND(Results!$E$5="Volume",$C$54&gt;0,Results!$E$4="Fluid"),((BM14*BM$51)/(BM$54)),IF(AND(Results!$E$4="Cells",Results!$E$5="Million",$B$52="million"),((BM14*BM$51)/(BM$52)),"0")))))</f>
        <v>3.5019999999999998</v>
      </c>
      <c r="BN67" s="20">
        <f>IF(BN14=0,"0",IF(AND(Results!$E$5="Protein",$C$53&gt;0,OR(Results!$E$4="Tissue",Results!$E$4="Cells")),((BN14*BN$51)/(BN$53)),IF(AND(Results!$E$5="Weight",$C$52&gt;0, Results!$E$4="Tissue",OR($B$52="g",$B$52="mg")),((BN14*BN$51)/(BN$52)),IF(AND(Results!$E$5="Volume",$C$54&gt;0,Results!$E$4="Fluid"),((BN14*BN$51)/(BN$54)),IF(AND(Results!$E$4="Cells",Results!$E$5="Million",$B$52="million"),((BN14*BN$51)/(BN$52)),"0")))))</f>
        <v>6.313083333333334</v>
      </c>
      <c r="BO67" s="20">
        <f>IF(BO14=0,"0",IF(AND(Results!$E$5="Protein",$C$53&gt;0,OR(Results!$E$4="Tissue",Results!$E$4="Cells")),((BO14*BO$51)/(BO$53)),IF(AND(Results!$E$5="Weight",$C$52&gt;0, Results!$E$4="Tissue",OR($B$52="g",$B$52="mg")),((BO14*BO$51)/(BO$52)),IF(AND(Results!$E$5="Volume",$C$54&gt;0,Results!$E$4="Fluid"),((BO14*BO$51)/(BO$54)),IF(AND(Results!$E$4="Cells",Results!$E$5="Million",$B$52="million"),((BO14*BO$51)/(BO$52)),"0")))))</f>
        <v>2.0297000000000001</v>
      </c>
      <c r="BP67" s="20">
        <f>IF(BP14=0,"0",IF(AND(Results!$E$5="Protein",$C$53&gt;0,OR(Results!$E$4="Tissue",Results!$E$4="Cells")),((BP14*BP$51)/(BP$53)),IF(AND(Results!$E$5="Weight",$C$52&gt;0, Results!$E$4="Tissue",OR($B$52="g",$B$52="mg")),((BP14*BP$51)/(BP$52)),IF(AND(Results!$E$5="Volume",$C$54&gt;0,Results!$E$4="Fluid"),((BP14*BP$51)/(BP$54)),IF(AND(Results!$E$4="Cells",Results!$E$5="Million",$B$52="million"),((BP14*BP$51)/(BP$52)),"0")))))</f>
        <v>1.61555</v>
      </c>
      <c r="BQ67" s="20">
        <f>IF(BQ14=0,"0",IF(AND(Results!$E$5="Protein",$C$53&gt;0,OR(Results!$E$4="Tissue",Results!$E$4="Cells")),((BQ14*BQ$51)/(BQ$53)),IF(AND(Results!$E$5="Weight",$C$52&gt;0, Results!$E$4="Tissue",OR($B$52="g",$B$52="mg")),((BQ14*BQ$51)/(BQ$52)),IF(AND(Results!$E$5="Volume",$C$54&gt;0,Results!$E$4="Fluid"),((BQ14*BQ$51)/(BQ$54)),IF(AND(Results!$E$4="Cells",Results!$E$5="Million",$B$52="million"),((BQ14*BQ$51)/(BQ$52)),"0")))))</f>
        <v>0.53649999999999998</v>
      </c>
      <c r="BR67" s="20" t="str">
        <f>IF(BR14=0,"0",IF(AND(Results!$E$5="Protein",$C$53&gt;0,OR(Results!$E$4="Tissue",Results!$E$4="Cells")),((BR14*BR$51)/(BR$53)),IF(AND(Results!$E$5="Weight",$C$52&gt;0, Results!$E$4="Tissue",OR($B$52="g",$B$52="mg")),((BR14*BR$51)/(BR$52)),IF(AND(Results!$E$5="Volume",$C$54&gt;0,Results!$E$4="Fluid"),((BR14*BR$51)/(BR$54)),IF(AND(Results!$E$4="Cells",Results!$E$5="Million",$B$52="million"),((BR14*BR$51)/(BR$52)),"0")))))</f>
        <v>0</v>
      </c>
      <c r="BS67" s="20">
        <f>IF(BS14=0,"0",IF(AND(Results!$E$5="Protein",$C$53&gt;0,OR(Results!$E$4="Tissue",Results!$E$4="Cells")),((BS14*BS$51)/(BS$53)),IF(AND(Results!$E$5="Weight",$C$52&gt;0, Results!$E$4="Tissue",OR($B$52="g",$B$52="mg")),((BS14*BS$51)/(BS$52)),IF(AND(Results!$E$5="Volume",$C$54&gt;0,Results!$E$4="Fluid"),((BS14*BS$51)/(BS$54)),IF(AND(Results!$E$4="Cells",Results!$E$5="Million",$B$52="million"),((BS14*BS$51)/(BS$52)),"0")))))</f>
        <v>1.9818166666666668</v>
      </c>
      <c r="BT67" s="20">
        <f>IF(BT14=0,"0",IF(AND(Results!$E$5="Protein",$C$53&gt;0,OR(Results!$E$4="Tissue",Results!$E$4="Cells")),((BT14*BT$51)/(BT$53)),IF(AND(Results!$E$5="Weight",$C$52&gt;0, Results!$E$4="Tissue",OR($B$52="g",$B$52="mg")),((BT14*BT$51)/(BT$52)),IF(AND(Results!$E$5="Volume",$C$54&gt;0,Results!$E$4="Fluid"),((BT14*BT$51)/(BT$54)),IF(AND(Results!$E$4="Cells",Results!$E$5="Million",$B$52="million"),((BT14*BT$51)/(BT$52)),"0")))))</f>
        <v>1.6108166666666668</v>
      </c>
      <c r="BU67" s="20" t="str">
        <f>IF(BU14=0,"0",IF(AND(Results!$E$5="Protein",$C$53&gt;0,OR(Results!$E$4="Tissue",Results!$E$4="Cells")),((BU14*BU$51)/(BU$53)),IF(AND(Results!$E$5="Weight",$C$52&gt;0, Results!$E$4="Tissue",OR($B$52="g",$B$52="mg")),((BU14*BU$51)/(BU$52)),IF(AND(Results!$E$5="Volume",$C$54&gt;0,Results!$E$4="Fluid"),((BU14*BU$51)/(BU$54)),IF(AND(Results!$E$4="Cells",Results!$E$5="Million",$B$52="million"),((BU14*BU$51)/(BU$52)),"0")))))</f>
        <v>0</v>
      </c>
      <c r="BV67" s="20">
        <f>IF(BV14=0,"0",IF(AND(Results!$E$5="Protein",$C$53&gt;0,OR(Results!$E$4="Tissue",Results!$E$4="Cells")),((BV14*BV$51)/(BV$53)),IF(AND(Results!$E$5="Weight",$C$52&gt;0, Results!$E$4="Tissue",OR($B$52="g",$B$52="mg")),((BV14*BV$51)/(BV$52)),IF(AND(Results!$E$5="Volume",$C$54&gt;0,Results!$E$4="Fluid"),((BV14*BV$51)/(BV$54)),IF(AND(Results!$E$4="Cells",Results!$E$5="Million",$B$52="million"),((BV14*BV$51)/(BV$52)),"0")))))</f>
        <v>1.3097500000000002</v>
      </c>
      <c r="BW67" s="20">
        <f>IF(BW14=0,"0",IF(AND(Results!$E$5="Protein",$C$53&gt;0,OR(Results!$E$4="Tissue",Results!$E$4="Cells")),((BW14*BW$51)/(BW$53)),IF(AND(Results!$E$5="Weight",$C$52&gt;0, Results!$E$4="Tissue",OR($B$52="g",$B$52="mg")),((BW14*BW$51)/(BW$52)),IF(AND(Results!$E$5="Volume",$C$54&gt;0,Results!$E$4="Fluid"),((BW14*BW$51)/(BW$54)),IF(AND(Results!$E$4="Cells",Results!$E$5="Million",$B$52="million"),((BW14*BW$51)/(BW$52)),"0")))))</f>
        <v>2.0626000000000002</v>
      </c>
      <c r="BX67" s="20">
        <f>IF(BX14=0,"0",IF(AND(Results!$E$5="Protein",$C$53&gt;0,OR(Results!$E$4="Tissue",Results!$E$4="Cells")),((BX14*BX$51)/(BX$53)),IF(AND(Results!$E$5="Weight",$C$52&gt;0, Results!$E$4="Tissue",OR($B$52="g",$B$52="mg")),((BX14*BX$51)/(BX$52)),IF(AND(Results!$E$5="Volume",$C$54&gt;0,Results!$E$4="Fluid"),((BX14*BX$51)/(BX$54)),IF(AND(Results!$E$4="Cells",Results!$E$5="Million",$B$52="million"),((BX14*BX$51)/(BX$52)),"0")))))</f>
        <v>0.41833333333333328</v>
      </c>
      <c r="BY67" s="20">
        <f>IF(BY14=0,"0",IF(AND(Results!$E$5="Protein",$C$53&gt;0,OR(Results!$E$4="Tissue",Results!$E$4="Cells")),((BY14*BY$51)/(BY$53)),IF(AND(Results!$E$5="Weight",$C$52&gt;0, Results!$E$4="Tissue",OR($B$52="g",$B$52="mg")),((BY14*BY$51)/(BY$52)),IF(AND(Results!$E$5="Volume",$C$54&gt;0,Results!$E$4="Fluid"),((BY14*BY$51)/(BY$54)),IF(AND(Results!$E$4="Cells",Results!$E$5="Million",$B$52="million"),((BY14*BY$51)/(BY$52)),"0")))))</f>
        <v>3.0598999999999998</v>
      </c>
      <c r="BZ67" s="20">
        <f>IF(BZ14=0,"0",IF(AND(Results!$E$5="Protein",$C$53&gt;0,OR(Results!$E$4="Tissue",Results!$E$4="Cells")),((BZ14*BZ$51)/(BZ$53)),IF(AND(Results!$E$5="Weight",$C$52&gt;0, Results!$E$4="Tissue",OR($B$52="g",$B$52="mg")),((BZ14*BZ$51)/(BZ$52)),IF(AND(Results!$E$5="Volume",$C$54&gt;0,Results!$E$4="Fluid"),((BZ14*BZ$51)/(BZ$54)),IF(AND(Results!$E$4="Cells",Results!$E$5="Million",$B$52="million"),((BZ14*BZ$51)/(BZ$52)),"0")))))</f>
        <v>1.2577</v>
      </c>
      <c r="CA67" s="20">
        <f>IF(CA14=0,"0",IF(AND(Results!$E$5="Protein",$C$53&gt;0,OR(Results!$E$4="Tissue",Results!$E$4="Cells")),((CA14*CA$51)/(CA$53)),IF(AND(Results!$E$5="Weight",$C$52&gt;0, Results!$E$4="Tissue",OR($B$52="g",$B$52="mg")),((CA14*CA$51)/(CA$52)),IF(AND(Results!$E$5="Volume",$C$54&gt;0,Results!$E$4="Fluid"),((CA14*CA$51)/(CA$54)),IF(AND(Results!$E$4="Cells",Results!$E$5="Million",$B$52="million"),((CA14*CA$51)/(CA$52)),"0")))))</f>
        <v>1.622166666666667</v>
      </c>
      <c r="CB67" s="20">
        <f>IF(CB14=0,"0",IF(AND(Results!$E$5="Protein",$C$53&gt;0,OR(Results!$E$4="Tissue",Results!$E$4="Cells")),((CB14*CB$51)/(CB$53)),IF(AND(Results!$E$5="Weight",$C$52&gt;0, Results!$E$4="Tissue",OR($B$52="g",$B$52="mg")),((CB14*CB$51)/(CB$52)),IF(AND(Results!$E$5="Volume",$C$54&gt;0,Results!$E$4="Fluid"),((CB14*CB$51)/(CB$54)),IF(AND(Results!$E$4="Cells",Results!$E$5="Million",$B$52="million"),((CB14*CB$51)/(CB$52)),"0")))))</f>
        <v>0.43714999999999998</v>
      </c>
      <c r="CC67" s="20">
        <f>IF(CC14=0,"0",IF(AND(Results!$E$5="Protein",$C$53&gt;0,OR(Results!$E$4="Tissue",Results!$E$4="Cells")),((CC14*CC$51)/(CC$53)),IF(AND(Results!$E$5="Weight",$C$52&gt;0, Results!$E$4="Tissue",OR($B$52="g",$B$52="mg")),((CC14*CC$51)/(CC$52)),IF(AND(Results!$E$5="Volume",$C$54&gt;0,Results!$E$4="Fluid"),((CC14*CC$51)/(CC$54)),IF(AND(Results!$E$4="Cells",Results!$E$5="Million",$B$52="million"),((CC14*CC$51)/(CC$52)),"0")))))</f>
        <v>0.62090000000000001</v>
      </c>
      <c r="CD67" s="20" t="str">
        <f>IF(CD14=0,"0",IF(AND(Results!$E$5="Protein",$C$53&gt;0,OR(Results!$E$4="Tissue",Results!$E$4="Cells")),((CD14*CD$51)/(CD$53)),IF(AND(Results!$E$5="Weight",$C$52&gt;0, Results!$E$4="Tissue",OR($B$52="g",$B$52="mg")),((CD14*CD$51)/(CD$52)),IF(AND(Results!$E$5="Volume",$C$54&gt;0,Results!$E$4="Fluid"),((CD14*CD$51)/(CD$54)),IF(AND(Results!$E$4="Cells",Results!$E$5="Million",$B$52="million"),((CD14*CD$51)/(CD$52)),"0")))))</f>
        <v>0</v>
      </c>
      <c r="CE67" s="20">
        <f>IF(CE14=0,"0",IF(AND(Results!$E$5="Protein",$C$53&gt;0,OR(Results!$E$4="Tissue",Results!$E$4="Cells")),((CE14*CE$51)/(CE$53)),IF(AND(Results!$E$5="Weight",$C$52&gt;0, Results!$E$4="Tissue",OR($B$52="g",$B$52="mg")),((CE14*CE$51)/(CE$52)),IF(AND(Results!$E$5="Volume",$C$54&gt;0,Results!$E$4="Fluid"),((CE14*CE$51)/(CE$54)),IF(AND(Results!$E$4="Cells",Results!$E$5="Million",$B$52="million"),((CE14*CE$51)/(CE$52)),"0")))))</f>
        <v>1.4082999999999999</v>
      </c>
      <c r="CF67" s="20" t="str">
        <f>IF(CF14=0,"0",IF(AND(Results!$E$5="Protein",$C$53&gt;0,OR(Results!$E$4="Tissue",Results!$E$4="Cells")),((CF14*CF$51)/(CF$53)),IF(AND(Results!$E$5="Weight",$C$52&gt;0, Results!$E$4="Tissue",OR($B$52="g",$B$52="mg")),((CF14*CF$51)/(CF$52)),IF(AND(Results!$E$5="Volume",$C$54&gt;0,Results!$E$4="Fluid"),((CF14*CF$51)/(CF$54)),IF(AND(Results!$E$4="Cells",Results!$E$5="Million",$B$52="million"),((CF14*CF$51)/(CF$52)),"0")))))</f>
        <v>0</v>
      </c>
      <c r="CG67" s="20" t="str">
        <f>IF(CG14=0,"0",IF(AND(Results!$E$5="Protein",$C$53&gt;0,OR(Results!$E$4="Tissue",Results!$E$4="Cells")),((CG14*CG$51)/(CG$53)),IF(AND(Results!$E$5="Weight",$C$52&gt;0, Results!$E$4="Tissue",OR($B$52="g",$B$52="mg")),((CG14*CG$51)/(CG$52)),IF(AND(Results!$E$5="Volume",$C$54&gt;0,Results!$E$4="Fluid"),((CG14*CG$51)/(CG$54)),IF(AND(Results!$E$4="Cells",Results!$E$5="Million",$B$52="million"),((CG14*CG$51)/(CG$52)),"0")))))</f>
        <v>0</v>
      </c>
      <c r="CH67" s="20">
        <f>IF(CH14=0,"0",IF(AND(Results!$E$5="Protein",$C$53&gt;0,OR(Results!$E$4="Tissue",Results!$E$4="Cells")),((CH14*CH$51)/(CH$53)),IF(AND(Results!$E$5="Weight",$C$52&gt;0, Results!$E$4="Tissue",OR($B$52="g",$B$52="mg")),((CH14*CH$51)/(CH$52)),IF(AND(Results!$E$5="Volume",$C$54&gt;0,Results!$E$4="Fluid"),((CH14*CH$51)/(CH$54)),IF(AND(Results!$E$4="Cells",Results!$E$5="Million",$B$52="million"),((CH14*CH$51)/(CH$52)),"0")))))</f>
        <v>5.1285333333333334</v>
      </c>
      <c r="CI67" s="20" t="str">
        <f>IF(CI14=0,"0",IF(AND(Results!$E$5="Protein",$C$53&gt;0,OR(Results!$E$4="Tissue",Results!$E$4="Cells")),((CI14*CI$51)/(CI$53)),IF(AND(Results!$E$5="Weight",$C$52&gt;0, Results!$E$4="Tissue",OR($B$52="g",$B$52="mg")),((CI14*CI$51)/(CI$52)),IF(AND(Results!$E$5="Volume",$C$54&gt;0,Results!$E$4="Fluid"),((CI14*CI$51)/(CI$54)),IF(AND(Results!$E$4="Cells",Results!$E$5="Million",$B$52="million"),((CI14*CI$51)/(CI$52)),"0")))))</f>
        <v>0</v>
      </c>
      <c r="CJ67" s="20">
        <f>IF(CJ14=0,"0",IF(AND(Results!$E$5="Protein",$C$53&gt;0,OR(Results!$E$4="Tissue",Results!$E$4="Cells")),((CJ14*CJ$51)/(CJ$53)),IF(AND(Results!$E$5="Weight",$C$52&gt;0, Results!$E$4="Tissue",OR($B$52="g",$B$52="mg")),((CJ14*CJ$51)/(CJ$52)),IF(AND(Results!$E$5="Volume",$C$54&gt;0,Results!$E$4="Fluid"),((CJ14*CJ$51)/(CJ$54)),IF(AND(Results!$E$4="Cells",Results!$E$5="Million",$B$52="million"),((CJ14*CJ$51)/(CJ$52)),"0")))))</f>
        <v>0.56486666666666663</v>
      </c>
      <c r="CK67" s="20" t="str">
        <f>IF(CK14=0,"0",IF(AND(Results!$E$5="Protein",$C$53&gt;0,OR(Results!$E$4="Tissue",Results!$E$4="Cells")),((CK14*CK$51)/(CK$53)),IF(AND(Results!$E$5="Weight",$C$52&gt;0, Results!$E$4="Tissue",OR($B$52="g",$B$52="mg")),((CK14*CK$51)/(CK$52)),IF(AND(Results!$E$5="Volume",$C$54&gt;0,Results!$E$4="Fluid"),((CK14*CK$51)/(CK$54)),IF(AND(Results!$E$4="Cells",Results!$E$5="Million",$B$52="million"),((CK14*CK$51)/(CK$52)),"0")))))</f>
        <v>0</v>
      </c>
      <c r="CL67" s="20" t="str">
        <f>IF(CL14=0,"0",IF(AND(Results!$E$5="Protein",$C$53&gt;0,OR(Results!$E$4="Tissue",Results!$E$4="Cells")),((CL14*CL$51)/(CL$53)),IF(AND(Results!$E$5="Weight",$C$52&gt;0, Results!$E$4="Tissue",OR($B$52="g",$B$52="mg")),((CL14*CL$51)/(CL$52)),IF(AND(Results!$E$5="Volume",$C$54&gt;0,Results!$E$4="Fluid"),((CL14*CL$51)/(CL$54)),IF(AND(Results!$E$4="Cells",Results!$E$5="Million",$B$52="million"),((CL14*CL$51)/(CL$52)),"0")))))</f>
        <v>0</v>
      </c>
      <c r="CM67" s="20">
        <f>IF(CM14=0,"0",IF(AND(Results!$E$5="Protein",$C$53&gt;0,OR(Results!$E$4="Tissue",Results!$E$4="Cells")),((CM14*CM$51)/(CM$53)),IF(AND(Results!$E$5="Weight",$C$52&gt;0, Results!$E$4="Tissue",OR($B$52="g",$B$52="mg")),((CM14*CM$51)/(CM$52)),IF(AND(Results!$E$5="Volume",$C$54&gt;0,Results!$E$4="Fluid"),((CM14*CM$51)/(CM$54)),IF(AND(Results!$E$4="Cells",Results!$E$5="Million",$B$52="million"),((CM14*CM$51)/(CM$52)),"0")))))</f>
        <v>1.7423499999999998</v>
      </c>
      <c r="CN67" s="20">
        <f>IF(CN14=0,"0",IF(AND(Results!$E$5="Protein",$C$53&gt;0,OR(Results!$E$4="Tissue",Results!$E$4="Cells")),((CN14*CN$51)/(CN$53)),IF(AND(Results!$E$5="Weight",$C$52&gt;0, Results!$E$4="Tissue",OR($B$52="g",$B$52="mg")),((CN14*CN$51)/(CN$52)),IF(AND(Results!$E$5="Volume",$C$54&gt;0,Results!$E$4="Fluid"),((CN14*CN$51)/(CN$54)),IF(AND(Results!$E$4="Cells",Results!$E$5="Million",$B$52="million"),((CN14*CN$51)/(CN$52)),"0")))))</f>
        <v>0.98731666666666662</v>
      </c>
      <c r="CO67" s="20">
        <f>IF(CO14=0,"0",IF(AND(Results!$E$5="Protein",$C$53&gt;0,OR(Results!$E$4="Tissue",Results!$E$4="Cells")),((CO14*CO$51)/(CO$53)),IF(AND(Results!$E$5="Weight",$C$52&gt;0, Results!$E$4="Tissue",OR($B$52="g",$B$52="mg")),((CO14*CO$51)/(CO$52)),IF(AND(Results!$E$5="Volume",$C$54&gt;0,Results!$E$4="Fluid"),((CO14*CO$51)/(CO$54)),IF(AND(Results!$E$4="Cells",Results!$E$5="Million",$B$52="million"),((CO14*CO$51)/(CO$52)),"0")))))</f>
        <v>17.711383333333334</v>
      </c>
      <c r="CP67" s="20">
        <f>IF(CP14=0,"0",IF(AND(Results!$E$5="Protein",$C$53&gt;0,OR(Results!$E$4="Tissue",Results!$E$4="Cells")),((CP14*CP$51)/(CP$53)),IF(AND(Results!$E$5="Weight",$C$52&gt;0, Results!$E$4="Tissue",OR($B$52="g",$B$52="mg")),((CP14*CP$51)/(CP$52)),IF(AND(Results!$E$5="Volume",$C$54&gt;0,Results!$E$4="Fluid"),((CP14*CP$51)/(CP$54)),IF(AND(Results!$E$4="Cells",Results!$E$5="Million",$B$52="million"),((CP14*CP$51)/(CP$52)),"0")))))</f>
        <v>2.6013833333333332</v>
      </c>
      <c r="CQ67" s="20">
        <f>IF(CQ14=0,"0",IF(AND(Results!$E$5="Protein",$C$53&gt;0,OR(Results!$E$4="Tissue",Results!$E$4="Cells")),((CQ14*CQ$51)/(CQ$53)),IF(AND(Results!$E$5="Weight",$C$52&gt;0, Results!$E$4="Tissue",OR($B$52="g",$B$52="mg")),((CQ14*CQ$51)/(CQ$52)),IF(AND(Results!$E$5="Volume",$C$54&gt;0,Results!$E$4="Fluid"),((CQ14*CQ$51)/(CQ$54)),IF(AND(Results!$E$4="Cells",Results!$E$5="Million",$B$52="million"),((CQ14*CQ$51)/(CQ$52)),"0")))))</f>
        <v>4.5282833333333334</v>
      </c>
      <c r="CR67" s="20">
        <f>IF(CR14=0,"0",IF(AND(Results!$E$5="Protein",$C$53&gt;0,OR(Results!$E$4="Tissue",Results!$E$4="Cells")),((CR14*CR$51)/(CR$53)),IF(AND(Results!$E$5="Weight",$C$52&gt;0, Results!$E$4="Tissue",OR($B$52="g",$B$52="mg")),((CR14*CR$51)/(CR$52)),IF(AND(Results!$E$5="Volume",$C$54&gt;0,Results!$E$4="Fluid"),((CR14*CR$51)/(CR$54)),IF(AND(Results!$E$4="Cells",Results!$E$5="Million",$B$52="million"),((CR14*CR$51)/(CR$52)),"0")))))</f>
        <v>3.1566333333333336</v>
      </c>
      <c r="CS67" s="20">
        <f>IF(CS14=0,"0",IF(AND(Results!$E$5="Protein",$C$53&gt;0,OR(Results!$E$4="Tissue",Results!$E$4="Cells")),((CS14*CS$51)/(CS$53)),IF(AND(Results!$E$5="Weight",$C$52&gt;0, Results!$E$4="Tissue",OR($B$52="g",$B$52="mg")),((CS14*CS$51)/(CS$52)),IF(AND(Results!$E$5="Volume",$C$54&gt;0,Results!$E$4="Fluid"),((CS14*CS$51)/(CS$54)),IF(AND(Results!$E$4="Cells",Results!$E$5="Million",$B$52="million"),((CS14*CS$51)/(CS$52)),"0")))))</f>
        <v>2.0075833333333337</v>
      </c>
      <c r="CT67" s="20" t="str">
        <f>IF(CT14=0,"0",IF(AND(Results!$E$5="Protein",$C$53&gt;0,OR(Results!$E$4="Tissue",Results!$E$4="Cells")),((CT14*CT$51)/(CT$53)),IF(AND(Results!$E$5="Weight",$C$52&gt;0, Results!$E$4="Tissue",OR($B$52="g",$B$52="mg")),((CT14*CT$51)/(CT$52)),IF(AND(Results!$E$5="Volume",$C$54&gt;0,Results!$E$4="Fluid"),((CT14*CT$51)/(CT$54)),IF(AND(Results!$E$4="Cells",Results!$E$5="Million",$B$52="million"),((CT14*CT$51)/(CT$52)),"0")))))</f>
        <v>0</v>
      </c>
      <c r="CU67" s="20">
        <f>IF(CU14=0,"0",IF(AND(Results!$E$5="Protein",$C$53&gt;0,OR(Results!$E$4="Tissue",Results!$E$4="Cells")),((CU14*CU$51)/(CU$53)),IF(AND(Results!$E$5="Weight",$C$52&gt;0, Results!$E$4="Tissue",OR($B$52="g",$B$52="mg")),((CU14*CU$51)/(CU$52)),IF(AND(Results!$E$5="Volume",$C$54&gt;0,Results!$E$4="Fluid"),((CU14*CU$51)/(CU$54)),IF(AND(Results!$E$4="Cells",Results!$E$5="Million",$B$52="million"),((CU14*CU$51)/(CU$52)),"0")))))</f>
        <v>1.3866166666666664</v>
      </c>
      <c r="CV67" s="20">
        <f>IF(CV14=0,"0",IF(AND(Results!$E$5="Protein",$C$53&gt;0,OR(Results!$E$4="Tissue",Results!$E$4="Cells")),((CV14*CV$51)/(CV$53)),IF(AND(Results!$E$5="Weight",$C$52&gt;0, Results!$E$4="Tissue",OR($B$52="g",$B$52="mg")),((CV14*CV$51)/(CV$52)),IF(AND(Results!$E$5="Volume",$C$54&gt;0,Results!$E$4="Fluid"),((CV14*CV$51)/(CV$54)),IF(AND(Results!$E$4="Cells",Results!$E$5="Million",$B$52="million"),((CV14*CV$51)/(CV$52)),"0")))))</f>
        <v>4.261916666666667</v>
      </c>
      <c r="CW67" s="20">
        <f>IF(CW14=0,"0",IF(AND(Results!$E$5="Protein",$C$53&gt;0,OR(Results!$E$4="Tissue",Results!$E$4="Cells")),((CW14*CW$51)/(CW$53)),IF(AND(Results!$E$5="Weight",$C$52&gt;0, Results!$E$4="Tissue",OR($B$52="g",$B$52="mg")),((CW14*CW$51)/(CW$52)),IF(AND(Results!$E$5="Volume",$C$54&gt;0,Results!$E$4="Fluid"),((CW14*CW$51)/(CW$54)),IF(AND(Results!$E$4="Cells",Results!$E$5="Million",$B$52="million"),((CW14*CW$51)/(CW$52)),"0")))))</f>
        <v>1.0163</v>
      </c>
      <c r="CX67" s="20">
        <f>IF(CX14=0,"0",IF(AND(Results!$E$5="Protein",$C$53&gt;0,OR(Results!$E$4="Tissue",Results!$E$4="Cells")),((CX14*CX$51)/(CX$53)),IF(AND(Results!$E$5="Weight",$C$52&gt;0, Results!$E$4="Tissue",OR($B$52="g",$B$52="mg")),((CX14*CX$51)/(CX$52)),IF(AND(Results!$E$5="Volume",$C$54&gt;0,Results!$E$4="Fluid"),((CX14*CX$51)/(CX$54)),IF(AND(Results!$E$4="Cells",Results!$E$5="Million",$B$52="million"),((CX14*CX$51)/(CX$52)),"0")))))</f>
        <v>1.0815333333333332</v>
      </c>
      <c r="CY67" s="20">
        <f>IF(CY14=0,"0",IF(AND(Results!$E$5="Protein",$C$53&gt;0,OR(Results!$E$4="Tissue",Results!$E$4="Cells")),((CY14*CY$51)/(CY$53)),IF(AND(Results!$E$5="Weight",$C$52&gt;0, Results!$E$4="Tissue",OR($B$52="g",$B$52="mg")),((CY14*CY$51)/(CY$52)),IF(AND(Results!$E$5="Volume",$C$54&gt;0,Results!$E$4="Fluid"),((CY14*CY$51)/(CY$54)),IF(AND(Results!$E$4="Cells",Results!$E$5="Million",$B$52="million"),((CY14*CY$51)/(CY$52)),"0")))))</f>
        <v>0.38605</v>
      </c>
      <c r="CZ67" s="20" t="str">
        <f>IF(CZ14=0,"0",IF(AND(Results!$E$5="Protein",$C$53&gt;0,OR(Results!$E$4="Tissue",Results!$E$4="Cells")),((CZ14*CZ$51)/(CZ$53)),IF(AND(Results!$E$5="Weight",$C$52&gt;0, Results!$E$4="Tissue",OR($B$52="g",$B$52="mg")),((CZ14*CZ$51)/(CZ$52)),IF(AND(Results!$E$5="Volume",$C$54&gt;0,Results!$E$4="Fluid"),((CZ14*CZ$51)/(CZ$54)),IF(AND(Results!$E$4="Cells",Results!$E$5="Million",$B$52="million"),((CZ14*CZ$51)/(CZ$52)),"0")))))</f>
        <v>0</v>
      </c>
      <c r="DA67" s="20">
        <f>IF(DA14=0,"0",IF(AND(Results!$E$5="Protein",$C$53&gt;0,OR(Results!$E$4="Tissue",Results!$E$4="Cells")),((DA14*DA$51)/(DA$53)),IF(AND(Results!$E$5="Weight",$C$52&gt;0, Results!$E$4="Tissue",OR($B$52="g",$B$52="mg")),((DA14*DA$51)/(DA$52)),IF(AND(Results!$E$5="Volume",$C$54&gt;0,Results!$E$4="Fluid"),((DA14*DA$51)/(DA$54)),IF(AND(Results!$E$4="Cells",Results!$E$5="Million",$B$52="million"),((DA14*DA$51)/(DA$52)),"0")))))</f>
        <v>0.40365000000000001</v>
      </c>
      <c r="DB67" s="20">
        <f>IF(DB14=0,"0",IF(AND(Results!$E$5="Protein",$C$53&gt;0,OR(Results!$E$4="Tissue",Results!$E$4="Cells")),((DB14*DB$51)/(DB$53)),IF(AND(Results!$E$5="Weight",$C$52&gt;0, Results!$E$4="Tissue",OR($B$52="g",$B$52="mg")),((DB14*DB$51)/(DB$52)),IF(AND(Results!$E$5="Volume",$C$54&gt;0,Results!$E$4="Fluid"),((DB14*DB$51)/(DB$54)),IF(AND(Results!$E$4="Cells",Results!$E$5="Million",$B$52="million"),((DB14*DB$51)/(DB$52)),"0")))))</f>
        <v>0.59740000000000004</v>
      </c>
      <c r="DC67" s="20">
        <f>IF(DC14=0,"0",IF(AND(Results!$E$5="Protein",$C$53&gt;0,OR(Results!$E$4="Tissue",Results!$E$4="Cells")),((DC14*DC$51)/(DC$53)),IF(AND(Results!$E$5="Weight",$C$52&gt;0, Results!$E$4="Tissue",OR($B$52="g",$B$52="mg")),((DC14*DC$51)/(DC$52)),IF(AND(Results!$E$5="Volume",$C$54&gt;0,Results!$E$4="Fluid"),((DC14*DC$51)/(DC$54)),IF(AND(Results!$E$4="Cells",Results!$E$5="Million",$B$52="million"),((DC14*DC$51)/(DC$52)),"0")))))</f>
        <v>2.7759499999999999</v>
      </c>
      <c r="DD67" s="20">
        <f>IF(DD14=0,"0",IF(AND(Results!$E$5="Protein",$C$53&gt;0,OR(Results!$E$4="Tissue",Results!$E$4="Cells")),((DD14*DD$51)/(DD$53)),IF(AND(Results!$E$5="Weight",$C$52&gt;0, Results!$E$4="Tissue",OR($B$52="g",$B$52="mg")),((DD14*DD$51)/(DD$52)),IF(AND(Results!$E$5="Volume",$C$54&gt;0,Results!$E$4="Fluid"),((DD14*DD$51)/(DD$54)),IF(AND(Results!$E$4="Cells",Results!$E$5="Million",$B$52="million"),((DD14*DD$51)/(DD$52)),"0")))))</f>
        <v>4.4661499999999998</v>
      </c>
      <c r="DE67" s="20">
        <f>IF(DE14=0,"0",IF(AND(Results!$E$5="Protein",$C$53&gt;0,OR(Results!$E$4="Tissue",Results!$E$4="Cells")),((DE14*DE$51)/(DE$53)),IF(AND(Results!$E$5="Weight",$C$52&gt;0, Results!$E$4="Tissue",OR($B$52="g",$B$52="mg")),((DE14*DE$51)/(DE$52)),IF(AND(Results!$E$5="Volume",$C$54&gt;0,Results!$E$4="Fluid"),((DE14*DE$51)/(DE$54)),IF(AND(Results!$E$4="Cells",Results!$E$5="Million",$B$52="million"),((DE14*DE$51)/(DE$52)),"0")))))</f>
        <v>0.9791333333333333</v>
      </c>
      <c r="DF67" s="20" t="str">
        <f>IF(DF14=0,"0",IF(AND(Results!$E$5="Protein",$C$53&gt;0,OR(Results!$E$4="Tissue",Results!$E$4="Cells")),((DF14*DF$51)/(DF$53)),IF(AND(Results!$E$5="Weight",$C$52&gt;0, Results!$E$4="Tissue",OR($B$52="g",$B$52="mg")),((DF14*DF$51)/(DF$52)),IF(AND(Results!$E$5="Volume",$C$54&gt;0,Results!$E$4="Fluid"),((DF14*DF$51)/(DF$54)),IF(AND(Results!$E$4="Cells",Results!$E$5="Million",$B$52="million"),((DF14*DF$51)/(DF$52)),"0")))))</f>
        <v>0</v>
      </c>
      <c r="DG67" s="20">
        <f>IF(DG14=0,"0",IF(AND(Results!$E$5="Protein",$C$53&gt;0,OR(Results!$E$4="Tissue",Results!$E$4="Cells")),((DG14*DG$51)/(DG$53)),IF(AND(Results!$E$5="Weight",$C$52&gt;0, Results!$E$4="Tissue",OR($B$52="g",$B$52="mg")),((DG14*DG$51)/(DG$52)),IF(AND(Results!$E$5="Volume",$C$54&gt;0,Results!$E$4="Fluid"),((DG14*DG$51)/(DG$54)),IF(AND(Results!$E$4="Cells",Results!$E$5="Million",$B$52="million"),((DG14*DG$51)/(DG$52)),"0")))))</f>
        <v>1.9403000000000001</v>
      </c>
      <c r="DH67" s="20" t="str">
        <f>IF(DH14=0,"0",IF(AND(Results!$E$5="Protein",$C$53&gt;0,OR(Results!$E$4="Tissue",Results!$E$4="Cells")),((DH14*DH$51)/(DH$53)),IF(AND(Results!$E$5="Weight",$C$52&gt;0, Results!$E$4="Tissue",OR($B$52="g",$B$52="mg")),((DH14*DH$51)/(DH$52)),IF(AND(Results!$E$5="Volume",$C$54&gt;0,Results!$E$4="Fluid"),((DH14*DH$51)/(DH$54)),IF(AND(Results!$E$4="Cells",Results!$E$5="Million",$B$52="million"),((DH14*DH$51)/(DH$52)),"0")))))</f>
        <v>0</v>
      </c>
      <c r="DI67" s="20">
        <f>IF(DI14=0,"0",IF(AND(Results!$E$5="Protein",$C$53&gt;0,OR(Results!$E$4="Tissue",Results!$E$4="Cells")),((DI14*DI$51)/(DI$53)),IF(AND(Results!$E$5="Weight",$C$52&gt;0, Results!$E$4="Tissue",OR($B$52="g",$B$52="mg")),((DI14*DI$51)/(DI$52)),IF(AND(Results!$E$5="Volume",$C$54&gt;0,Results!$E$4="Fluid"),((DI14*DI$51)/(DI$54)),IF(AND(Results!$E$4="Cells",Results!$E$5="Million",$B$52="million"),((DI14*DI$51)/(DI$52)),"0")))))</f>
        <v>1.6078999999999999</v>
      </c>
      <c r="DJ67" s="20">
        <f>IF(DJ14=0,"0",IF(AND(Results!$E$5="Protein",$C$53&gt;0,OR(Results!$E$4="Tissue",Results!$E$4="Cells")),((DJ14*DJ$51)/(DJ$53)),IF(AND(Results!$E$5="Weight",$C$52&gt;0, Results!$E$4="Tissue",OR($B$52="g",$B$52="mg")),((DJ14*DJ$51)/(DJ$52)),IF(AND(Results!$E$5="Volume",$C$54&gt;0,Results!$E$4="Fluid"),((DJ14*DJ$51)/(DJ$54)),IF(AND(Results!$E$4="Cells",Results!$E$5="Million",$B$52="million"),((DJ14*DJ$51)/(DJ$52)),"0")))))</f>
        <v>1.0328333333333333</v>
      </c>
      <c r="DK67" s="20">
        <f>IF(DK14=0,"0",IF(AND(Results!$E$5="Protein",$C$53&gt;0,OR(Results!$E$4="Tissue",Results!$E$4="Cells")),((DK14*DK$51)/(DK$53)),IF(AND(Results!$E$5="Weight",$C$52&gt;0, Results!$E$4="Tissue",OR($B$52="g",$B$52="mg")),((DK14*DK$51)/(DK$52)),IF(AND(Results!$E$5="Volume",$C$54&gt;0,Results!$E$4="Fluid"),((DK14*DK$51)/(DK$54)),IF(AND(Results!$E$4="Cells",Results!$E$5="Million",$B$52="million"),((DK14*DK$51)/(DK$52)),"0")))))</f>
        <v>1.5007666666666666</v>
      </c>
      <c r="DL67" s="20" t="str">
        <f>IF(DL14=0,"0",IF(AND(Results!$E$5="Protein",$C$53&gt;0,OR(Results!$E$4="Tissue",Results!$E$4="Cells")),((DL14*DL$51)/(DL$53)),IF(AND(Results!$E$5="Weight",$C$52&gt;0, Results!$E$4="Tissue",OR($B$52="g",$B$52="mg")),((DL14*DL$51)/(DL$52)),IF(AND(Results!$E$5="Volume",$C$54&gt;0,Results!$E$4="Fluid"),((DL14*DL$51)/(DL$54)),IF(AND(Results!$E$4="Cells",Results!$E$5="Million",$B$52="million"),((DL14*DL$51)/(DL$52)),"0")))))</f>
        <v>0</v>
      </c>
      <c r="DM67" s="20">
        <f>IF(DM14=0,"0",IF(AND(Results!$E$5="Protein",$C$53&gt;0,OR(Results!$E$4="Tissue",Results!$E$4="Cells")),((DM14*DM$51)/(DM$53)),IF(AND(Results!$E$5="Weight",$C$52&gt;0, Results!$E$4="Tissue",OR($B$52="g",$B$52="mg")),((DM14*DM$51)/(DM$52)),IF(AND(Results!$E$5="Volume",$C$54&gt;0,Results!$E$4="Fluid"),((DM14*DM$51)/(DM$54)),IF(AND(Results!$E$4="Cells",Results!$E$5="Million",$B$52="million"),((DM14*DM$51)/(DM$52)),"0")))))</f>
        <v>3.3772499999999996</v>
      </c>
      <c r="DN67" s="20">
        <f>IF(DN14=0,"0",IF(AND(Results!$E$5="Protein",$C$53&gt;0,OR(Results!$E$4="Tissue",Results!$E$4="Cells")),((DN14*DN$51)/(DN$53)),IF(AND(Results!$E$5="Weight",$C$52&gt;0, Results!$E$4="Tissue",OR($B$52="g",$B$52="mg")),((DN14*DN$51)/(DN$52)),IF(AND(Results!$E$5="Volume",$C$54&gt;0,Results!$E$4="Fluid"),((DN14*DN$51)/(DN$54)),IF(AND(Results!$E$4="Cells",Results!$E$5="Million",$B$52="million"),((DN14*DN$51)/(DN$52)),"0")))))</f>
        <v>2.0115166666666666</v>
      </c>
      <c r="DO67" s="20">
        <f>IF(DO14=0,"0",IF(AND(Results!$E$5="Protein",$C$53&gt;0,OR(Results!$E$4="Tissue",Results!$E$4="Cells")),((DO14*DO$51)/(DO$53)),IF(AND(Results!$E$5="Weight",$C$52&gt;0, Results!$E$4="Tissue",OR($B$52="g",$B$52="mg")),((DO14*DO$51)/(DO$52)),IF(AND(Results!$E$5="Volume",$C$54&gt;0,Results!$E$4="Fluid"),((DO14*DO$51)/(DO$54)),IF(AND(Results!$E$4="Cells",Results!$E$5="Million",$B$52="million"),((DO14*DO$51)/(DO$52)),"0")))))</f>
        <v>5.2689500000000002</v>
      </c>
      <c r="DP67" s="20" t="str">
        <f>IF(DP14=0,"0",IF(AND(Results!$E$5="Protein",$C$53&gt;0,OR(Results!$E$4="Tissue",Results!$E$4="Cells")),((DP14*DP$51)/(DP$53)),IF(AND(Results!$E$5="Weight",$C$52&gt;0, Results!$E$4="Tissue",OR($B$52="g",$B$52="mg")),((DP14*DP$51)/(DP$52)),IF(AND(Results!$E$5="Volume",$C$54&gt;0,Results!$E$4="Fluid"),((DP14*DP$51)/(DP$54)),IF(AND(Results!$E$4="Cells",Results!$E$5="Million",$B$52="million"),((DP14*DP$51)/(DP$52)),"0")))))</f>
        <v>0</v>
      </c>
      <c r="DQ67" s="20" t="str">
        <f>IF(DQ14=0,"0",IF(AND(Results!$E$5="Protein",$C$53&gt;0,OR(Results!$E$4="Tissue",Results!$E$4="Cells")),((DQ14*DQ$51)/(DQ$53)),IF(AND(Results!$E$5="Weight",$C$52&gt;0, Results!$E$4="Tissue",OR($B$52="g",$B$52="mg")),((DQ14*DQ$51)/(DQ$52)),IF(AND(Results!$E$5="Volume",$C$54&gt;0,Results!$E$4="Fluid"),((DQ14*DQ$51)/(DQ$54)),IF(AND(Results!$E$4="Cells",Results!$E$5="Million",$B$52="million"),((DQ14*DQ$51)/(DQ$52)),"0")))))</f>
        <v>0</v>
      </c>
      <c r="DR67" s="20">
        <f>IF(DR14=0,"0",IF(AND(Results!$E$5="Protein",$C$53&gt;0,OR(Results!$E$4="Tissue",Results!$E$4="Cells")),((DR14*DR$51)/(DR$53)),IF(AND(Results!$E$5="Weight",$C$52&gt;0, Results!$E$4="Tissue",OR($B$52="g",$B$52="mg")),((DR14*DR$51)/(DR$52)),IF(AND(Results!$E$5="Volume",$C$54&gt;0,Results!$E$4="Fluid"),((DR14*DR$51)/(DR$54)),IF(AND(Results!$E$4="Cells",Results!$E$5="Million",$B$52="million"),((DR14*DR$51)/(DR$52)),"0")))))</f>
        <v>1.5314833333333335</v>
      </c>
      <c r="DS67" s="20" t="str">
        <f>IF(DS14=0,"0",IF(AND(Results!$E$5="Protein",$C$53&gt;0,OR(Results!$E$4="Tissue",Results!$E$4="Cells")),((DS14*DS$51)/(DS$53)),IF(AND(Results!$E$5="Weight",$C$52&gt;0, Results!$E$4="Tissue",OR($B$52="g",$B$52="mg")),((DS14*DS$51)/(DS$52)),IF(AND(Results!$E$5="Volume",$C$54&gt;0,Results!$E$4="Fluid"),((DS14*DS$51)/(DS$54)),IF(AND(Results!$E$4="Cells",Results!$E$5="Million",$B$52="million"),((DS14*DS$51)/(DS$52)),"0")))))</f>
        <v>0</v>
      </c>
      <c r="DT67" s="20">
        <f>IF(DT14=0,"0",IF(AND(Results!$E$5="Protein",$C$53&gt;0,OR(Results!$E$4="Tissue",Results!$E$4="Cells")),((DT14*DT$51)/(DT$53)),IF(AND(Results!$E$5="Weight",$C$52&gt;0, Results!$E$4="Tissue",OR($B$52="g",$B$52="mg")),((DT14*DT$51)/(DT$52)),IF(AND(Results!$E$5="Volume",$C$54&gt;0,Results!$E$4="Fluid"),((DT14*DT$51)/(DT$54)),IF(AND(Results!$E$4="Cells",Results!$E$5="Million",$B$52="million"),((DT14*DT$51)/(DT$52)),"0")))))</f>
        <v>1.1598666666666666</v>
      </c>
      <c r="DU67" s="20">
        <f>IF(DU14=0,"0",IF(AND(Results!$E$5="Protein",$C$53&gt;0,OR(Results!$E$4="Tissue",Results!$E$4="Cells")),((DU14*DU$51)/(DU$53)),IF(AND(Results!$E$5="Weight",$C$52&gt;0, Results!$E$4="Tissue",OR($B$52="g",$B$52="mg")),((DU14*DU$51)/(DU$52)),IF(AND(Results!$E$5="Volume",$C$54&gt;0,Results!$E$4="Fluid"),((DU14*DU$51)/(DU$54)),IF(AND(Results!$E$4="Cells",Results!$E$5="Million",$B$52="million"),((DU14*DU$51)/(DU$52)),"0")))))</f>
        <v>3.8379666666666665</v>
      </c>
      <c r="DV67" s="20">
        <f>IF(DV14=0,"0",IF(AND(Results!$E$5="Protein",$C$53&gt;0,OR(Results!$E$4="Tissue",Results!$E$4="Cells")),((DV14*DV$51)/(DV$53)),IF(AND(Results!$E$5="Weight",$C$52&gt;0, Results!$E$4="Tissue",OR($B$52="g",$B$52="mg")),((DV14*DV$51)/(DV$52)),IF(AND(Results!$E$5="Volume",$C$54&gt;0,Results!$E$4="Fluid"),((DV14*DV$51)/(DV$54)),IF(AND(Results!$E$4="Cells",Results!$E$5="Million",$B$52="million"),((DV14*DV$51)/(DV$52)),"0")))))</f>
        <v>1.0676999999999999</v>
      </c>
      <c r="DW67" s="20">
        <f>IF(DW14=0,"0",IF(AND(Results!$E$5="Protein",$C$53&gt;0,OR(Results!$E$4="Tissue",Results!$E$4="Cells")),((DW14*DW$51)/(DW$53)),IF(AND(Results!$E$5="Weight",$C$52&gt;0, Results!$E$4="Tissue",OR($B$52="g",$B$52="mg")),((DW14*DW$51)/(DW$52)),IF(AND(Results!$E$5="Volume",$C$54&gt;0,Results!$E$4="Fluid"),((DW14*DW$51)/(DW$54)),IF(AND(Results!$E$4="Cells",Results!$E$5="Million",$B$52="million"),((DW14*DW$51)/(DW$52)),"0")))))</f>
        <v>0.999</v>
      </c>
      <c r="DX67" s="20" t="str">
        <f>IF(DX14=0,"0",IF(AND(Results!$E$5="Protein",$C$53&gt;0,OR(Results!$E$4="Tissue",Results!$E$4="Cells")),((DX14*DX$51)/(DX$53)),IF(AND(Results!$E$5="Weight",$C$52&gt;0, Results!$E$4="Tissue",OR($B$52="g",$B$52="mg")),((DX14*DX$51)/(DX$52)),IF(AND(Results!$E$5="Volume",$C$54&gt;0,Results!$E$4="Fluid"),((DX14*DX$51)/(DX$54)),IF(AND(Results!$E$4="Cells",Results!$E$5="Million",$B$52="million"),((DX14*DX$51)/(DX$52)),"0")))))</f>
        <v>0</v>
      </c>
      <c r="DY67" s="20">
        <f>IF(DY14=0,"0",IF(AND(Results!$E$5="Protein",$C$53&gt;0,OR(Results!$E$4="Tissue",Results!$E$4="Cells")),((DY14*DY$51)/(DY$53)),IF(AND(Results!$E$5="Weight",$C$52&gt;0, Results!$E$4="Tissue",OR($B$52="g",$B$52="mg")),((DY14*DY$51)/(DY$52)),IF(AND(Results!$E$5="Volume",$C$54&gt;0,Results!$E$4="Fluid"),((DY14*DY$51)/(DY$54)),IF(AND(Results!$E$4="Cells",Results!$E$5="Million",$B$52="million"),((DY14*DY$51)/(DY$52)),"0")))))</f>
        <v>1.0488999999999999</v>
      </c>
      <c r="DZ67" s="20">
        <f>IF(DZ14=0,"0",IF(AND(Results!$E$5="Protein",$C$53&gt;0,OR(Results!$E$4="Tissue",Results!$E$4="Cells")),((DZ14*DZ$51)/(DZ$53)),IF(AND(Results!$E$5="Weight",$C$52&gt;0, Results!$E$4="Tissue",OR($B$52="g",$B$52="mg")),((DZ14*DZ$51)/(DZ$52)),IF(AND(Results!$E$5="Volume",$C$54&gt;0,Results!$E$4="Fluid"),((DZ14*DZ$51)/(DZ$54)),IF(AND(Results!$E$4="Cells",Results!$E$5="Million",$B$52="million"),((DZ14*DZ$51)/(DZ$52)),"0")))))</f>
        <v>0.60068333333333324</v>
      </c>
      <c r="EA67" s="20">
        <f>IF(EA14=0,"0",IF(AND(Results!$E$5="Protein",$C$53&gt;0,OR(Results!$E$4="Tissue",Results!$E$4="Cells")),((EA14*EA$51)/(EA$53)),IF(AND(Results!$E$5="Weight",$C$52&gt;0, Results!$E$4="Tissue",OR($B$52="g",$B$52="mg")),((EA14*EA$51)/(EA$52)),IF(AND(Results!$E$5="Volume",$C$54&gt;0,Results!$E$4="Fluid"),((EA14*EA$51)/(EA$54)),IF(AND(Results!$E$4="Cells",Results!$E$5="Million",$B$52="million"),((EA14*EA$51)/(EA$52)),"0")))))</f>
        <v>1.1946666666666668</v>
      </c>
      <c r="EB67" s="20">
        <f>IF(EB14=0,"0",IF(AND(Results!$E$5="Protein",$C$53&gt;0,OR(Results!$E$4="Tissue",Results!$E$4="Cells")),((EB14*EB$51)/(EB$53)),IF(AND(Results!$E$5="Weight",$C$52&gt;0, Results!$E$4="Tissue",OR($B$52="g",$B$52="mg")),((EB14*EB$51)/(EB$52)),IF(AND(Results!$E$5="Volume",$C$54&gt;0,Results!$E$4="Fluid"),((EB14*EB$51)/(EB$54)),IF(AND(Results!$E$4="Cells",Results!$E$5="Million",$B$52="million"),((EB14*EB$51)/(EB$52)),"0")))))</f>
        <v>4.7552833333333338</v>
      </c>
      <c r="EC67" s="20">
        <f>IF(EC14=0,"0",IF(AND(Results!$E$5="Protein",$C$53&gt;0,OR(Results!$E$4="Tissue",Results!$E$4="Cells")),((EC14*EC$51)/(EC$53)),IF(AND(Results!$E$5="Weight",$C$52&gt;0, Results!$E$4="Tissue",OR($B$52="g",$B$52="mg")),((EC14*EC$51)/(EC$52)),IF(AND(Results!$E$5="Volume",$C$54&gt;0,Results!$E$4="Fluid"),((EC14*EC$51)/(EC$54)),IF(AND(Results!$E$4="Cells",Results!$E$5="Million",$B$52="million"),((EC14*EC$51)/(EC$52)),"0")))))</f>
        <v>0.36184999999999995</v>
      </c>
      <c r="ED67" s="20" t="str">
        <f>IF(ED14=0,"0",IF(AND(Results!$E$5="Protein",$C$53&gt;0,OR(Results!$E$4="Tissue",Results!$E$4="Cells")),((ED14*ED$51)/(ED$53)),IF(AND(Results!$E$5="Weight",$C$52&gt;0, Results!$E$4="Tissue",OR($B$52="g",$B$52="mg")),((ED14*ED$51)/(ED$52)),IF(AND(Results!$E$5="Volume",$C$54&gt;0,Results!$E$4="Fluid"),((ED14*ED$51)/(ED$54)),IF(AND(Results!$E$4="Cells",Results!$E$5="Million",$B$52="million"),((ED14*ED$51)/(ED$52)),"0")))))</f>
        <v>0</v>
      </c>
      <c r="EE67" s="20" t="str">
        <f>IF(EE14=0,"0",IF(AND(Results!$E$5="Protein",$C$53&gt;0,OR(Results!$E$4="Tissue",Results!$E$4="Cells")),((EE14*EE$51)/(EE$53)),IF(AND(Results!$E$5="Weight",$C$52&gt;0, Results!$E$4="Tissue",OR($B$52="g",$B$52="mg")),((EE14*EE$51)/(EE$52)),IF(AND(Results!$E$5="Volume",$C$54&gt;0,Results!$E$4="Fluid"),((EE14*EE$51)/(EE$54)),IF(AND(Results!$E$4="Cells",Results!$E$5="Million",$B$52="million"),((EE14*EE$51)/(EE$52)),"0")))))</f>
        <v>0</v>
      </c>
      <c r="EF67" s="20">
        <f>IF(EF14=0,"0",IF(AND(Results!$E$5="Protein",$C$53&gt;0,OR(Results!$E$4="Tissue",Results!$E$4="Cells")),((EF14*EF$51)/(EF$53)),IF(AND(Results!$E$5="Weight",$C$52&gt;0, Results!$E$4="Tissue",OR($B$52="g",$B$52="mg")),((EF14*EF$51)/(EF$52)),IF(AND(Results!$E$5="Volume",$C$54&gt;0,Results!$E$4="Fluid"),((EF14*EF$51)/(EF$54)),IF(AND(Results!$E$4="Cells",Results!$E$5="Million",$B$52="million"),((EF14*EF$51)/(EF$52)),"0")))))</f>
        <v>0.30360000000000004</v>
      </c>
      <c r="EG67" s="20">
        <f>IF(EG14=0,"0",IF(AND(Results!$E$5="Protein",$C$53&gt;0,OR(Results!$E$4="Tissue",Results!$E$4="Cells")),((EG14*EG$51)/(EG$53)),IF(AND(Results!$E$5="Weight",$C$52&gt;0, Results!$E$4="Tissue",OR($B$52="g",$B$52="mg")),((EG14*EG$51)/(EG$52)),IF(AND(Results!$E$5="Volume",$C$54&gt;0,Results!$E$4="Fluid"),((EG14*EG$51)/(EG$54)),IF(AND(Results!$E$4="Cells",Results!$E$5="Million",$B$52="million"),((EG14*EG$51)/(EG$52)),"0")))))</f>
        <v>0.46096666666666669</v>
      </c>
      <c r="EH67" s="20">
        <f>IF(EH14=0,"0",IF(AND(Results!$E$5="Protein",$C$53&gt;0,OR(Results!$E$4="Tissue",Results!$E$4="Cells")),((EH14*EH$51)/(EH$53)),IF(AND(Results!$E$5="Weight",$C$52&gt;0, Results!$E$4="Tissue",OR($B$52="g",$B$52="mg")),((EH14*EH$51)/(EH$52)),IF(AND(Results!$E$5="Volume",$C$54&gt;0,Results!$E$4="Fluid"),((EH14*EH$51)/(EH$54)),IF(AND(Results!$E$4="Cells",Results!$E$5="Million",$B$52="million"),((EH14*EH$51)/(EH$52)),"0")))))</f>
        <v>0.60428333333333339</v>
      </c>
      <c r="EI67" s="20">
        <f>IF(EI14=0,"0",IF(AND(Results!$E$5="Protein",$C$53&gt;0,OR(Results!$E$4="Tissue",Results!$E$4="Cells")),((EI14*EI$51)/(EI$53)),IF(AND(Results!$E$5="Weight",$C$52&gt;0, Results!$E$4="Tissue",OR($B$52="g",$B$52="mg")),((EI14*EI$51)/(EI$52)),IF(AND(Results!$E$5="Volume",$C$54&gt;0,Results!$E$4="Fluid"),((EI14*EI$51)/(EI$54)),IF(AND(Results!$E$4="Cells",Results!$E$5="Million",$B$52="million"),((EI14*EI$51)/(EI$52)),"0")))))</f>
        <v>0.33565</v>
      </c>
      <c r="EJ67" s="20">
        <f>IF(EJ14=0,"0",IF(AND(Results!$E$5="Protein",$C$53&gt;0,OR(Results!$E$4="Tissue",Results!$E$4="Cells")),((EJ14*EJ$51)/(EJ$53)),IF(AND(Results!$E$5="Weight",$C$52&gt;0, Results!$E$4="Tissue",OR($B$52="g",$B$52="mg")),((EJ14*EJ$51)/(EJ$52)),IF(AND(Results!$E$5="Volume",$C$54&gt;0,Results!$E$4="Fluid"),((EJ14*EJ$51)/(EJ$54)),IF(AND(Results!$E$4="Cells",Results!$E$5="Million",$B$52="million"),((EJ14*EJ$51)/(EJ$52)),"0")))))</f>
        <v>0.83050000000000002</v>
      </c>
      <c r="EK67" s="20" t="str">
        <f>IF(EK14=0,"0",IF(AND(Results!$E$5="Protein",$C$53&gt;0,OR(Results!$E$4="Tissue",Results!$E$4="Cells")),((EK14*EK$51)/(EK$53)),IF(AND(Results!$E$5="Weight",$C$52&gt;0, Results!$E$4="Tissue",OR($B$52="g",$B$52="mg")),((EK14*EK$51)/(EK$52)),IF(AND(Results!$E$5="Volume",$C$54&gt;0,Results!$E$4="Fluid"),((EK14*EK$51)/(EK$54)),IF(AND(Results!$E$4="Cells",Results!$E$5="Million",$B$52="million"),((EK14*EK$51)/(EK$52)),"0")))))</f>
        <v>0</v>
      </c>
      <c r="EL67" s="20">
        <f>IF(EL14=0,"0",IF(AND(Results!$E$5="Protein",$C$53&gt;0,OR(Results!$E$4="Tissue",Results!$E$4="Cells")),((EL14*EL$51)/(EL$53)),IF(AND(Results!$E$5="Weight",$C$52&gt;0, Results!$E$4="Tissue",OR($B$52="g",$B$52="mg")),((EL14*EL$51)/(EL$52)),IF(AND(Results!$E$5="Volume",$C$54&gt;0,Results!$E$4="Fluid"),((EL14*EL$51)/(EL$54)),IF(AND(Results!$E$4="Cells",Results!$E$5="Million",$B$52="million"),((EL14*EL$51)/(EL$52)),"0")))))</f>
        <v>0.4451</v>
      </c>
      <c r="EM67" s="20">
        <f>IF(EM14=0,"0",IF(AND(Results!$E$5="Protein",$C$53&gt;0,OR(Results!$E$4="Tissue",Results!$E$4="Cells")),((EM14*EM$51)/(EM$53)),IF(AND(Results!$E$5="Weight",$C$52&gt;0, Results!$E$4="Tissue",OR($B$52="g",$B$52="mg")),((EM14*EM$51)/(EM$52)),IF(AND(Results!$E$5="Volume",$C$54&gt;0,Results!$E$4="Fluid"),((EM14*EM$51)/(EM$54)),IF(AND(Results!$E$4="Cells",Results!$E$5="Million",$B$52="million"),((EM14*EM$51)/(EM$52)),"0")))))</f>
        <v>0.82550000000000001</v>
      </c>
      <c r="EN67" s="20">
        <f>IF(EN14=0,"0",IF(AND(Results!$E$5="Protein",$C$53&gt;0,OR(Results!$E$4="Tissue",Results!$E$4="Cells")),((EN14*EN$51)/(EN$53)),IF(AND(Results!$E$5="Weight",$C$52&gt;0, Results!$E$4="Tissue",OR($B$52="g",$B$52="mg")),((EN14*EN$51)/(EN$52)),IF(AND(Results!$E$5="Volume",$C$54&gt;0,Results!$E$4="Fluid"),((EN14*EN$51)/(EN$54)),IF(AND(Results!$E$4="Cells",Results!$E$5="Million",$B$52="million"),((EN14*EN$51)/(EN$52)),"0")))))</f>
        <v>0.55946666666666667</v>
      </c>
      <c r="EO67" s="20" t="str">
        <f>IF(EO14=0,"0",IF(AND(Results!$E$5="Protein",$C$53&gt;0,OR(Results!$E$4="Tissue",Results!$E$4="Cells")),((EO14*EO$51)/(EO$53)),IF(AND(Results!$E$5="Weight",$C$52&gt;0, Results!$E$4="Tissue",OR($B$52="g",$B$52="mg")),((EO14*EO$51)/(EO$52)),IF(AND(Results!$E$5="Volume",$C$54&gt;0,Results!$E$4="Fluid"),((EO14*EO$51)/(EO$54)),IF(AND(Results!$E$4="Cells",Results!$E$5="Million",$B$52="million"),((EO14*EO$51)/(EO$52)),"0")))))</f>
        <v>0</v>
      </c>
      <c r="EP67" s="20">
        <f>IF(EP14=0,"0",IF(AND(Results!$E$5="Protein",$C$53&gt;0,OR(Results!$E$4="Tissue",Results!$E$4="Cells")),((EP14*EP$51)/(EP$53)),IF(AND(Results!$E$5="Weight",$C$52&gt;0, Results!$E$4="Tissue",OR($B$52="g",$B$52="mg")),((EP14*EP$51)/(EP$52)),IF(AND(Results!$E$5="Volume",$C$54&gt;0,Results!$E$4="Fluid"),((EP14*EP$51)/(EP$54)),IF(AND(Results!$E$4="Cells",Results!$E$5="Million",$B$52="million"),((EP14*EP$51)/(EP$52)),"0")))))</f>
        <v>0.43873333333333336</v>
      </c>
      <c r="EQ67" s="20" t="str">
        <f>IF(EQ14=0,"0",IF(AND(Results!$E$5="Protein",$C$53&gt;0,OR(Results!$E$4="Tissue",Results!$E$4="Cells")),((EQ14*EQ$51)/(EQ$53)),IF(AND(Results!$E$5="Weight",$C$52&gt;0, Results!$E$4="Tissue",OR($B$52="g",$B$52="mg")),((EQ14*EQ$51)/(EQ$52)),IF(AND(Results!$E$5="Volume",$C$54&gt;0,Results!$E$4="Fluid"),((EQ14*EQ$51)/(EQ$54)),IF(AND(Results!$E$4="Cells",Results!$E$5="Million",$B$52="million"),((EQ14*EQ$51)/(EQ$52)),"0")))))</f>
        <v>0</v>
      </c>
      <c r="ER67" s="20">
        <f>IF(ER14=0,"0",IF(AND(Results!$E$5="Protein",$C$53&gt;0,OR(Results!$E$4="Tissue",Results!$E$4="Cells")),((ER14*ER$51)/(ER$53)),IF(AND(Results!$E$5="Weight",$C$52&gt;0, Results!$E$4="Tissue",OR($B$52="g",$B$52="mg")),((ER14*ER$51)/(ER$52)),IF(AND(Results!$E$5="Volume",$C$54&gt;0,Results!$E$4="Fluid"),((ER14*ER$51)/(ER$54)),IF(AND(Results!$E$4="Cells",Results!$E$5="Million",$B$52="million"),((ER14*ER$51)/(ER$52)),"0")))))</f>
        <v>2.2169499999999998</v>
      </c>
      <c r="ES67" s="20" t="str">
        <f>IF(ES14=0,"0",IF(AND(Results!$E$5="Protein",$C$53&gt;0,OR(Results!$E$4="Tissue",Results!$E$4="Cells")),((ES14*ES$51)/(ES$53)),IF(AND(Results!$E$5="Weight",$C$52&gt;0, Results!$E$4="Tissue",OR($B$52="g",$B$52="mg")),((ES14*ES$51)/(ES$52)),IF(AND(Results!$E$5="Volume",$C$54&gt;0,Results!$E$4="Fluid"),((ES14*ES$51)/(ES$54)),IF(AND(Results!$E$4="Cells",Results!$E$5="Million",$B$52="million"),((ES14*ES$51)/(ES$52)),"0")))))</f>
        <v>0</v>
      </c>
      <c r="ET67" s="20">
        <f>IF(ET14=0,"0",IF(AND(Results!$E$5="Protein",$C$53&gt;0,OR(Results!$E$4="Tissue",Results!$E$4="Cells")),((ET14*ET$51)/(ET$53)),IF(AND(Results!$E$5="Weight",$C$52&gt;0, Results!$E$4="Tissue",OR($B$52="g",$B$52="mg")),((ET14*ET$51)/(ET$52)),IF(AND(Results!$E$5="Volume",$C$54&gt;0,Results!$E$4="Fluid"),((ET14*ET$51)/(ET$54)),IF(AND(Results!$E$4="Cells",Results!$E$5="Million",$B$52="million"),((ET14*ET$51)/(ET$52)),"0")))))</f>
        <v>0.61759999999999993</v>
      </c>
      <c r="EU67" s="20">
        <f>IF(EU14=0,"0",IF(AND(Results!$E$5="Protein",$C$53&gt;0,OR(Results!$E$4="Tissue",Results!$E$4="Cells")),((EU14*EU$51)/(EU$53)),IF(AND(Results!$E$5="Weight",$C$52&gt;0, Results!$E$4="Tissue",OR($B$52="g",$B$52="mg")),((EU14*EU$51)/(EU$52)),IF(AND(Results!$E$5="Volume",$C$54&gt;0,Results!$E$4="Fluid"),((EU14*EU$51)/(EU$54)),IF(AND(Results!$E$4="Cells",Results!$E$5="Million",$B$52="million"),((EU14*EU$51)/(EU$52)),"0")))))</f>
        <v>1.8024999999999998</v>
      </c>
      <c r="EV67" s="20">
        <f>IF(EV14=0,"0",IF(AND(Results!$E$5="Protein",$C$53&gt;0,OR(Results!$E$4="Tissue",Results!$E$4="Cells")),((EV14*EV$51)/(EV$53)),IF(AND(Results!$E$5="Weight",$C$52&gt;0, Results!$E$4="Tissue",OR($B$52="g",$B$52="mg")),((EV14*EV$51)/(EV$52)),IF(AND(Results!$E$5="Volume",$C$54&gt;0,Results!$E$4="Fluid"),((EV14*EV$51)/(EV$54)),IF(AND(Results!$E$4="Cells",Results!$E$5="Million",$B$52="million"),((EV14*EV$51)/(EV$52)),"0")))))</f>
        <v>1.2998666666666667</v>
      </c>
      <c r="EW67" s="20" t="str">
        <f>IF(EW14=0,"0",IF(AND(Results!$E$5="Protein",$C$53&gt;0,OR(Results!$E$4="Tissue",Results!$E$4="Cells")),((EW14*EW$51)/(EW$53)),IF(AND(Results!$E$5="Weight",$C$52&gt;0, Results!$E$4="Tissue",OR($B$52="g",$B$52="mg")),((EW14*EW$51)/(EW$52)),IF(AND(Results!$E$5="Volume",$C$54&gt;0,Results!$E$4="Fluid"),((EW14*EW$51)/(EW$54)),IF(AND(Results!$E$4="Cells",Results!$E$5="Million",$B$52="million"),((EW14*EW$51)/(EW$52)),"0")))))</f>
        <v>0</v>
      </c>
      <c r="EX67" s="20">
        <f>IF(EX14=0,"0",IF(AND(Results!$E$5="Protein",$C$53&gt;0,OR(Results!$E$4="Tissue",Results!$E$4="Cells")),((EX14*EX$51)/(EX$53)),IF(AND(Results!$E$5="Weight",$C$52&gt;0, Results!$E$4="Tissue",OR($B$52="g",$B$52="mg")),((EX14*EX$51)/(EX$52)),IF(AND(Results!$E$5="Volume",$C$54&gt;0,Results!$E$4="Fluid"),((EX14*EX$51)/(EX$54)),IF(AND(Results!$E$4="Cells",Results!$E$5="Million",$B$52="million"),((EX14*EX$51)/(EX$52)),"0")))))</f>
        <v>3.4348666666666667</v>
      </c>
      <c r="EY67" s="20">
        <f>IF(EY14=0,"0",IF(AND(Results!$E$5="Protein",$C$53&gt;0,OR(Results!$E$4="Tissue",Results!$E$4="Cells")),((EY14*EY$51)/(EY$53)),IF(AND(Results!$E$5="Weight",$C$52&gt;0, Results!$E$4="Tissue",OR($B$52="g",$B$52="mg")),((EY14*EY$51)/(EY$52)),IF(AND(Results!$E$5="Volume",$C$54&gt;0,Results!$E$4="Fluid"),((EY14*EY$51)/(EY$54)),IF(AND(Results!$E$4="Cells",Results!$E$5="Million",$B$52="million"),((EY14*EY$51)/(EY$52)),"0")))))</f>
        <v>1.5818166666666664</v>
      </c>
      <c r="EZ67" s="20">
        <f>IF(EZ14=0,"0",IF(AND(Results!$E$5="Protein",$C$53&gt;0,OR(Results!$E$4="Tissue",Results!$E$4="Cells")),((EZ14*EZ$51)/(EZ$53)),IF(AND(Results!$E$5="Weight",$C$52&gt;0, Results!$E$4="Tissue",OR($B$52="g",$B$52="mg")),((EZ14*EZ$51)/(EZ$52)),IF(AND(Results!$E$5="Volume",$C$54&gt;0,Results!$E$4="Fluid"),((EZ14*EZ$51)/(EZ$54)),IF(AND(Results!$E$4="Cells",Results!$E$5="Million",$B$52="million"),((EZ14*EZ$51)/(EZ$52)),"0")))))</f>
        <v>3.8414166666666669</v>
      </c>
      <c r="FA67" s="20" t="str">
        <f>IF(FA14=0,"0",IF(AND(Results!$E$5="Protein",$C$53&gt;0,OR(Results!$E$4="Tissue",Results!$E$4="Cells")),((FA14*FA$51)/(FA$53)),IF(AND(Results!$E$5="Weight",$C$52&gt;0, Results!$E$4="Tissue",OR($B$52="g",$B$52="mg")),((FA14*FA$51)/(FA$52)),IF(AND(Results!$E$5="Volume",$C$54&gt;0,Results!$E$4="Fluid"),((FA14*FA$51)/(FA$54)),IF(AND(Results!$E$4="Cells",Results!$E$5="Million",$B$52="million"),((FA14*FA$51)/(FA$52)),"0")))))</f>
        <v>0</v>
      </c>
      <c r="FB67" s="20" t="str">
        <f>IF(FB14=0,"0",IF(AND(Results!$E$5="Protein",$C$53&gt;0,OR(Results!$E$4="Tissue",Results!$E$4="Cells")),((FB14*FB$51)/(FB$53)),IF(AND(Results!$E$5="Weight",$C$52&gt;0, Results!$E$4="Tissue",OR($B$52="g",$B$52="mg")),((FB14*FB$51)/(FB$52)),IF(AND(Results!$E$5="Volume",$C$54&gt;0,Results!$E$4="Fluid"),((FB14*FB$51)/(FB$54)),IF(AND(Results!$E$4="Cells",Results!$E$5="Million",$B$52="million"),((FB14*FB$51)/(FB$52)),"0")))))</f>
        <v>0</v>
      </c>
      <c r="FC67" s="20">
        <f>IF(FC14=0,"0",IF(AND(Results!$E$5="Protein",$C$53&gt;0,OR(Results!$E$4="Tissue",Results!$E$4="Cells")),((FC14*FC$51)/(FC$53)),IF(AND(Results!$E$5="Weight",$C$52&gt;0, Results!$E$4="Tissue",OR($B$52="g",$B$52="mg")),((FC14*FC$51)/(FC$52)),IF(AND(Results!$E$5="Volume",$C$54&gt;0,Results!$E$4="Fluid"),((FC14*FC$51)/(FC$54)),IF(AND(Results!$E$4="Cells",Results!$E$5="Million",$B$52="million"),((FC14*FC$51)/(FC$52)),"0")))))</f>
        <v>1.6433666666666666</v>
      </c>
      <c r="FD67" s="20" t="str">
        <f>IF(FD14=0,"0",IF(AND(Results!$E$5="Protein",$C$53&gt;0,OR(Results!$E$4="Tissue",Results!$E$4="Cells")),((FD14*FD$51)/(FD$53)),IF(AND(Results!$E$5="Weight",$C$52&gt;0, Results!$E$4="Tissue",OR($B$52="g",$B$52="mg")),((FD14*FD$51)/(FD$52)),IF(AND(Results!$E$5="Volume",$C$54&gt;0,Results!$E$4="Fluid"),((FD14*FD$51)/(FD$54)),IF(AND(Results!$E$4="Cells",Results!$E$5="Million",$B$52="million"),((FD14*FD$51)/(FD$52)),"0")))))</f>
        <v>0</v>
      </c>
      <c r="FE67" s="20">
        <f>IF(FE14=0,"0",IF(AND(Results!$E$5="Protein",$C$53&gt;0,OR(Results!$E$4="Tissue",Results!$E$4="Cells")),((FE14*FE$51)/(FE$53)),IF(AND(Results!$E$5="Weight",$C$52&gt;0, Results!$E$4="Tissue",OR($B$52="g",$B$52="mg")),((FE14*FE$51)/(FE$52)),IF(AND(Results!$E$5="Volume",$C$54&gt;0,Results!$E$4="Fluid"),((FE14*FE$51)/(FE$54)),IF(AND(Results!$E$4="Cells",Results!$E$5="Million",$B$52="million"),((FE14*FE$51)/(FE$52)),"0")))))</f>
        <v>0.82181666666666675</v>
      </c>
      <c r="FF67" s="20">
        <f>IF(FF14=0,"0",IF(AND(Results!$E$5="Protein",$C$53&gt;0,OR(Results!$E$4="Tissue",Results!$E$4="Cells")),((FF14*FF$51)/(FF$53)),IF(AND(Results!$E$5="Weight",$C$52&gt;0, Results!$E$4="Tissue",OR($B$52="g",$B$52="mg")),((FF14*FF$51)/(FF$52)),IF(AND(Results!$E$5="Volume",$C$54&gt;0,Results!$E$4="Fluid"),((FF14*FF$51)/(FF$54)),IF(AND(Results!$E$4="Cells",Results!$E$5="Million",$B$52="million"),((FF14*FF$51)/(FF$52)),"0")))))</f>
        <v>2.1832833333333337</v>
      </c>
      <c r="FG67" s="20">
        <f>IF(FG14=0,"0",IF(AND(Results!$E$5="Protein",$C$53&gt;0,OR(Results!$E$4="Tissue",Results!$E$4="Cells")),((FG14*FG$51)/(FG$53)),IF(AND(Results!$E$5="Weight",$C$52&gt;0, Results!$E$4="Tissue",OR($B$52="g",$B$52="mg")),((FG14*FG$51)/(FG$52)),IF(AND(Results!$E$5="Volume",$C$54&gt;0,Results!$E$4="Fluid"),((FG14*FG$51)/(FG$54)),IF(AND(Results!$E$4="Cells",Results!$E$5="Million",$B$52="million"),((FG14*FG$51)/(FG$52)),"0")))))</f>
        <v>0.4119166666666666</v>
      </c>
      <c r="FH67" s="20">
        <f>IF(FH14=0,"0",IF(AND(Results!$E$5="Protein",$C$53&gt;0,OR(Results!$E$4="Tissue",Results!$E$4="Cells")),((FH14*FH$51)/(FH$53)),IF(AND(Results!$E$5="Weight",$C$52&gt;0, Results!$E$4="Tissue",OR($B$52="g",$B$52="mg")),((FH14*FH$51)/(FH$52)),IF(AND(Results!$E$5="Volume",$C$54&gt;0,Results!$E$4="Fluid"),((FH14*FH$51)/(FH$54)),IF(AND(Results!$E$4="Cells",Results!$E$5="Million",$B$52="million"),((FH14*FH$51)/(FH$52)),"0")))))</f>
        <v>0.42185</v>
      </c>
      <c r="FI67" s="20">
        <f>IF(FI14=0,"0",IF(AND(Results!$E$5="Protein",$C$53&gt;0,OR(Results!$E$4="Tissue",Results!$E$4="Cells")),((FI14*FI$51)/(FI$53)),IF(AND(Results!$E$5="Weight",$C$52&gt;0, Results!$E$4="Tissue",OR($B$52="g",$B$52="mg")),((FI14*FI$51)/(FI$52)),IF(AND(Results!$E$5="Volume",$C$54&gt;0,Results!$E$4="Fluid"),((FI14*FI$51)/(FI$54)),IF(AND(Results!$E$4="Cells",Results!$E$5="Million",$B$52="million"),((FI14*FI$51)/(FI$52)),"0")))))</f>
        <v>1.6161333333333332</v>
      </c>
      <c r="FJ67" s="20">
        <f>IF(FJ14=0,"0",IF(AND(Results!$E$5="Protein",$C$53&gt;0,OR(Results!$E$4="Tissue",Results!$E$4="Cells")),((FJ14*FJ$51)/(FJ$53)),IF(AND(Results!$E$5="Weight",$C$52&gt;0, Results!$E$4="Tissue",OR($B$52="g",$B$52="mg")),((FJ14*FJ$51)/(FJ$52)),IF(AND(Results!$E$5="Volume",$C$54&gt;0,Results!$E$4="Fluid"),((FJ14*FJ$51)/(FJ$54)),IF(AND(Results!$E$4="Cells",Results!$E$5="Million",$B$52="million"),((FJ14*FJ$51)/(FJ$52)),"0")))))</f>
        <v>4.4556500000000003</v>
      </c>
      <c r="FK67" s="20">
        <f>IF(FK14=0,"0",IF(AND(Results!$E$5="Protein",$C$53&gt;0,OR(Results!$E$4="Tissue",Results!$E$4="Cells")),((FK14*FK$51)/(FK$53)),IF(AND(Results!$E$5="Weight",$C$52&gt;0, Results!$E$4="Tissue",OR($B$52="g",$B$52="mg")),((FK14*FK$51)/(FK$52)),IF(AND(Results!$E$5="Volume",$C$54&gt;0,Results!$E$4="Fluid"),((FK14*FK$51)/(FK$54)),IF(AND(Results!$E$4="Cells",Results!$E$5="Million",$B$52="million"),((FK14*FK$51)/(FK$52)),"0")))))</f>
        <v>10.225199999999999</v>
      </c>
      <c r="FL67" s="20">
        <f>IF(FL14=0,"0",IF(AND(Results!$E$5="Protein",$C$53&gt;0,OR(Results!$E$4="Tissue",Results!$E$4="Cells")),((FL14*FL$51)/(FL$53)),IF(AND(Results!$E$5="Weight",$C$52&gt;0, Results!$E$4="Tissue",OR($B$52="g",$B$52="mg")),((FL14*FL$51)/(FL$52)),IF(AND(Results!$E$5="Volume",$C$54&gt;0,Results!$E$4="Fluid"),((FL14*FL$51)/(FL$54)),IF(AND(Results!$E$4="Cells",Results!$E$5="Million",$B$52="million"),((FL14*FL$51)/(FL$52)),"0")))))</f>
        <v>0.44101666666666672</v>
      </c>
      <c r="FM67" s="20">
        <f>IF(FM14=0,"0",IF(AND(Results!$E$5="Protein",$C$53&gt;0,OR(Results!$E$4="Tissue",Results!$E$4="Cells")),((FM14*FM$51)/(FM$53)),IF(AND(Results!$E$5="Weight",$C$52&gt;0, Results!$E$4="Tissue",OR($B$52="g",$B$52="mg")),((FM14*FM$51)/(FM$52)),IF(AND(Results!$E$5="Volume",$C$54&gt;0,Results!$E$4="Fluid"),((FM14*FM$51)/(FM$54)),IF(AND(Results!$E$4="Cells",Results!$E$5="Million",$B$52="million"),((FM14*FM$51)/(FM$52)),"0")))))</f>
        <v>1.4871000000000001</v>
      </c>
      <c r="FN67" s="20">
        <f>IF(FN14=0,"0",IF(AND(Results!$E$5="Protein",$C$53&gt;0,OR(Results!$E$4="Tissue",Results!$E$4="Cells")),((FN14*FN$51)/(FN$53)),IF(AND(Results!$E$5="Weight",$C$52&gt;0, Results!$E$4="Tissue",OR($B$52="g",$B$52="mg")),((FN14*FN$51)/(FN$52)),IF(AND(Results!$E$5="Volume",$C$54&gt;0,Results!$E$4="Fluid"),((FN14*FN$51)/(FN$54)),IF(AND(Results!$E$4="Cells",Results!$E$5="Million",$B$52="million"),((FN14*FN$51)/(FN$52)),"0")))))</f>
        <v>0.42286666666666667</v>
      </c>
      <c r="FO67" s="20" t="str">
        <f>IF(FO14=0,"0",IF(AND(Results!$E$5="Protein",$C$53&gt;0,OR(Results!$E$4="Tissue",Results!$E$4="Cells")),((FO14*FO$51)/(FO$53)),IF(AND(Results!$E$5="Weight",$C$52&gt;0, Results!$E$4="Tissue",OR($B$52="g",$B$52="mg")),((FO14*FO$51)/(FO$52)),IF(AND(Results!$E$5="Volume",$C$54&gt;0,Results!$E$4="Fluid"),((FO14*FO$51)/(FO$54)),IF(AND(Results!$E$4="Cells",Results!$E$5="Million",$B$52="million"),((FO14*FO$51)/(FO$52)),"0")))))</f>
        <v>0</v>
      </c>
    </row>
    <row r="68" spans="1:171" x14ac:dyDescent="0.2">
      <c r="A68" s="120" t="str">
        <f t="shared" si="0"/>
        <v>11,12-EET</v>
      </c>
      <c r="B68" s="121"/>
      <c r="C68" s="20" t="str">
        <f>IF(C15=0,"0",IF(AND(Results!$E$5="Protein",$C$53&gt;0,OR(Results!$E$4="Tissue",Results!$E$4="Cells")),((C15*C$51)/(C$53)),IF(AND(Results!$E$5="Weight",$C$52&gt;0, Results!$E$4="Tissue",OR($B$52="g",$B$52="mg")),((C15*C$51)/(C$52)),IF(AND(Results!$E$5="Volume",$C$54&gt;0,Results!$E$4="Fluid"),((C15*C$51)/(C$54)),IF(AND(Results!$E$4="Cells",Results!$E$5="Million",$B$52="million"),((C15*C$51)/(C$52)),"0")))))</f>
        <v>0</v>
      </c>
      <c r="D68" s="20" t="str">
        <f>IF(D15=0,"0",IF(AND(Results!$E$5="Protein",$C$53&gt;0,OR(Results!$E$4="Tissue",Results!$E$4="Cells")),((D15*D$51)/(D$53)),IF(AND(Results!$E$5="Weight",$C$52&gt;0, Results!$E$4="Tissue",OR($B$52="g",$B$52="mg")),((D15*D$51)/(D$52)),IF(AND(Results!$E$5="Volume",$C$54&gt;0,Results!$E$4="Fluid"),((D15*D$51)/(D$54)),IF(AND(Results!$E$4="Cells",Results!$E$5="Million",$B$52="million"),((D15*D$51)/(D$52)),"0")))))</f>
        <v>0</v>
      </c>
      <c r="E68" s="20" t="str">
        <f>IF(E15=0,"0",IF(AND(Results!$E$5="Protein",$C$53&gt;0,OR(Results!$E$4="Tissue",Results!$E$4="Cells")),((E15*E$51)/(E$53)),IF(AND(Results!$E$5="Weight",$C$52&gt;0, Results!$E$4="Tissue",OR($B$52="g",$B$52="mg")),((E15*E$51)/(E$52)),IF(AND(Results!$E$5="Volume",$C$54&gt;0,Results!$E$4="Fluid"),((E15*E$51)/(E$54)),IF(AND(Results!$E$4="Cells",Results!$E$5="Million",$B$52="million"),((E15*E$51)/(E$52)),"0")))))</f>
        <v>0</v>
      </c>
      <c r="F68" s="20" t="str">
        <f>IF(F15=0,"0",IF(AND(Results!$E$5="Protein",$C$53&gt;0,OR(Results!$E$4="Tissue",Results!$E$4="Cells")),((F15*F$51)/(F$53)),IF(AND(Results!$E$5="Weight",$C$52&gt;0, Results!$E$4="Tissue",OR($B$52="g",$B$52="mg")),((F15*F$51)/(F$52)),IF(AND(Results!$E$5="Volume",$C$54&gt;0,Results!$E$4="Fluid"),((F15*F$51)/(F$54)),IF(AND(Results!$E$4="Cells",Results!$E$5="Million",$B$52="million"),((F15*F$51)/(F$52)),"0")))))</f>
        <v>0</v>
      </c>
      <c r="G68" s="20" t="str">
        <f>IF(G15=0,"0",IF(AND(Results!$E$5="Protein",$C$53&gt;0,OR(Results!$E$4="Tissue",Results!$E$4="Cells")),((G15*G$51)/(G$53)),IF(AND(Results!$E$5="Weight",$C$52&gt;0, Results!$E$4="Tissue",OR($B$52="g",$B$52="mg")),((G15*G$51)/(G$52)),IF(AND(Results!$E$5="Volume",$C$54&gt;0,Results!$E$4="Fluid"),((G15*G$51)/(G$54)),IF(AND(Results!$E$4="Cells",Results!$E$5="Million",$B$52="million"),((G15*G$51)/(G$52)),"0")))))</f>
        <v>0</v>
      </c>
      <c r="H68" s="20" t="str">
        <f>IF(H15=0,"0",IF(AND(Results!$E$5="Protein",$C$53&gt;0,OR(Results!$E$4="Tissue",Results!$E$4="Cells")),((H15*H$51)/(H$53)),IF(AND(Results!$E$5="Weight",$C$52&gt;0, Results!$E$4="Tissue",OR($B$52="g",$B$52="mg")),((H15*H$51)/(H$52)),IF(AND(Results!$E$5="Volume",$C$54&gt;0,Results!$E$4="Fluid"),((H15*H$51)/(H$54)),IF(AND(Results!$E$4="Cells",Results!$E$5="Million",$B$52="million"),((H15*H$51)/(H$52)),"0")))))</f>
        <v>0</v>
      </c>
      <c r="I68" s="20" t="str">
        <f>IF(I15=0,"0",IF(AND(Results!$E$5="Protein",$C$53&gt;0,OR(Results!$E$4="Tissue",Results!$E$4="Cells")),((I15*I$51)/(I$53)),IF(AND(Results!$E$5="Weight",$C$52&gt;0, Results!$E$4="Tissue",OR($B$52="g",$B$52="mg")),((I15*I$51)/(I$52)),IF(AND(Results!$E$5="Volume",$C$54&gt;0,Results!$E$4="Fluid"),((I15*I$51)/(I$54)),IF(AND(Results!$E$4="Cells",Results!$E$5="Million",$B$52="million"),((I15*I$51)/(I$52)),"0")))))</f>
        <v>0</v>
      </c>
      <c r="J68" s="20" t="str">
        <f>IF(J15=0,"0",IF(AND(Results!$E$5="Protein",$C$53&gt;0,OR(Results!$E$4="Tissue",Results!$E$4="Cells")),((J15*J$51)/(J$53)),IF(AND(Results!$E$5="Weight",$C$52&gt;0, Results!$E$4="Tissue",OR($B$52="g",$B$52="mg")),((J15*J$51)/(J$52)),IF(AND(Results!$E$5="Volume",$C$54&gt;0,Results!$E$4="Fluid"),((J15*J$51)/(J$54)),IF(AND(Results!$E$4="Cells",Results!$E$5="Million",$B$52="million"),((J15*J$51)/(J$52)),"0")))))</f>
        <v>0</v>
      </c>
      <c r="K68" s="20" t="str">
        <f>IF(K15=0,"0",IF(AND(Results!$E$5="Protein",$C$53&gt;0,OR(Results!$E$4="Tissue",Results!$E$4="Cells")),((K15*K$51)/(K$53)),IF(AND(Results!$E$5="Weight",$C$52&gt;0, Results!$E$4="Tissue",OR($B$52="g",$B$52="mg")),((K15*K$51)/(K$52)),IF(AND(Results!$E$5="Volume",$C$54&gt;0,Results!$E$4="Fluid"),((K15*K$51)/(K$54)),IF(AND(Results!$E$4="Cells",Results!$E$5="Million",$B$52="million"),((K15*K$51)/(K$52)),"0")))))</f>
        <v>0</v>
      </c>
      <c r="L68" s="20" t="str">
        <f>IF(L15=0,"0",IF(AND(Results!$E$5="Protein",$C$53&gt;0,OR(Results!$E$4="Tissue",Results!$E$4="Cells")),((L15*L$51)/(L$53)),IF(AND(Results!$E$5="Weight",$C$52&gt;0, Results!$E$4="Tissue",OR($B$52="g",$B$52="mg")),((L15*L$51)/(L$52)),IF(AND(Results!$E$5="Volume",$C$54&gt;0,Results!$E$4="Fluid"),((L15*L$51)/(L$54)),IF(AND(Results!$E$4="Cells",Results!$E$5="Million",$B$52="million"),((L15*L$51)/(L$52)),"0")))))</f>
        <v>0</v>
      </c>
      <c r="M68" s="20" t="str">
        <f>IF(M15=0,"0",IF(AND(Results!$E$5="Protein",$C$53&gt;0,OR(Results!$E$4="Tissue",Results!$E$4="Cells")),((M15*M$51)/(M$53)),IF(AND(Results!$E$5="Weight",$C$52&gt;0, Results!$E$4="Tissue",OR($B$52="g",$B$52="mg")),((M15*M$51)/(M$52)),IF(AND(Results!$E$5="Volume",$C$54&gt;0,Results!$E$4="Fluid"),((M15*M$51)/(M$54)),IF(AND(Results!$E$4="Cells",Results!$E$5="Million",$B$52="million"),((M15*M$51)/(M$52)),"0")))))</f>
        <v>0</v>
      </c>
      <c r="N68" s="20" t="str">
        <f>IF(N15=0,"0",IF(AND(Results!$E$5="Protein",$C$53&gt;0,OR(Results!$E$4="Tissue",Results!$E$4="Cells")),((N15*N$51)/(N$53)),IF(AND(Results!$E$5="Weight",$C$52&gt;0, Results!$E$4="Tissue",OR($B$52="g",$B$52="mg")),((N15*N$51)/(N$52)),IF(AND(Results!$E$5="Volume",$C$54&gt;0,Results!$E$4="Fluid"),((N15*N$51)/(N$54)),IF(AND(Results!$E$4="Cells",Results!$E$5="Million",$B$52="million"),((N15*N$51)/(N$52)),"0")))))</f>
        <v>0</v>
      </c>
      <c r="O68" s="20" t="str">
        <f>IF(O15=0,"0",IF(AND(Results!$E$5="Protein",$C$53&gt;0,OR(Results!$E$4="Tissue",Results!$E$4="Cells")),((O15*O$51)/(O$53)),IF(AND(Results!$E$5="Weight",$C$52&gt;0, Results!$E$4="Tissue",OR($B$52="g",$B$52="mg")),((O15*O$51)/(O$52)),IF(AND(Results!$E$5="Volume",$C$54&gt;0,Results!$E$4="Fluid"),((O15*O$51)/(O$54)),IF(AND(Results!$E$4="Cells",Results!$E$5="Million",$B$52="million"),((O15*O$51)/(O$52)),"0")))))</f>
        <v>0</v>
      </c>
      <c r="P68" s="20" t="str">
        <f>IF(P15=0,"0",IF(AND(Results!$E$5="Protein",$C$53&gt;0,OR(Results!$E$4="Tissue",Results!$E$4="Cells")),((P15*P$51)/(P$53)),IF(AND(Results!$E$5="Weight",$C$52&gt;0, Results!$E$4="Tissue",OR($B$52="g",$B$52="mg")),((P15*P$51)/(P$52)),IF(AND(Results!$E$5="Volume",$C$54&gt;0,Results!$E$4="Fluid"),((P15*P$51)/(P$54)),IF(AND(Results!$E$4="Cells",Results!$E$5="Million",$B$52="million"),((P15*P$51)/(P$52)),"0")))))</f>
        <v>0</v>
      </c>
      <c r="Q68" s="20" t="str">
        <f>IF(Q15=0,"0",IF(AND(Results!$E$5="Protein",$C$53&gt;0,OR(Results!$E$4="Tissue",Results!$E$4="Cells")),((Q15*Q$51)/(Q$53)),IF(AND(Results!$E$5="Weight",$C$52&gt;0, Results!$E$4="Tissue",OR($B$52="g",$B$52="mg")),((Q15*Q$51)/(Q$52)),IF(AND(Results!$E$5="Volume",$C$54&gt;0,Results!$E$4="Fluid"),((Q15*Q$51)/(Q$54)),IF(AND(Results!$E$4="Cells",Results!$E$5="Million",$B$52="million"),((Q15*Q$51)/(Q$52)),"0")))))</f>
        <v>0</v>
      </c>
      <c r="R68" s="20" t="str">
        <f>IF(R15=0,"0",IF(AND(Results!$E$5="Protein",$C$53&gt;0,OR(Results!$E$4="Tissue",Results!$E$4="Cells")),((R15*R$51)/(R$53)),IF(AND(Results!$E$5="Weight",$C$52&gt;0, Results!$E$4="Tissue",OR($B$52="g",$B$52="mg")),((R15*R$51)/(R$52)),IF(AND(Results!$E$5="Volume",$C$54&gt;0,Results!$E$4="Fluid"),((R15*R$51)/(R$54)),IF(AND(Results!$E$4="Cells",Results!$E$5="Million",$B$52="million"),((R15*R$51)/(R$52)),"0")))))</f>
        <v>0</v>
      </c>
      <c r="S68" s="20" t="str">
        <f>IF(S15=0,"0",IF(AND(Results!$E$5="Protein",$C$53&gt;0,OR(Results!$E$4="Tissue",Results!$E$4="Cells")),((S15*S$51)/(S$53)),IF(AND(Results!$E$5="Weight",$C$52&gt;0, Results!$E$4="Tissue",OR($B$52="g",$B$52="mg")),((S15*S$51)/(S$52)),IF(AND(Results!$E$5="Volume",$C$54&gt;0,Results!$E$4="Fluid"),((S15*S$51)/(S$54)),IF(AND(Results!$E$4="Cells",Results!$E$5="Million",$B$52="million"),((S15*S$51)/(S$52)),"0")))))</f>
        <v>0</v>
      </c>
      <c r="T68" s="20" t="str">
        <f>IF(T15=0,"0",IF(AND(Results!$E$5="Protein",$C$53&gt;0,OR(Results!$E$4="Tissue",Results!$E$4="Cells")),((T15*T$51)/(T$53)),IF(AND(Results!$E$5="Weight",$C$52&gt;0, Results!$E$4="Tissue",OR($B$52="g",$B$52="mg")),((T15*T$51)/(T$52)),IF(AND(Results!$E$5="Volume",$C$54&gt;0,Results!$E$4="Fluid"),((T15*T$51)/(T$54)),IF(AND(Results!$E$4="Cells",Results!$E$5="Million",$B$52="million"),((T15*T$51)/(T$52)),"0")))))</f>
        <v>0</v>
      </c>
      <c r="U68" s="20" t="str">
        <f>IF(U15=0,"0",IF(AND(Results!$E$5="Protein",$C$53&gt;0,OR(Results!$E$4="Tissue",Results!$E$4="Cells")),((U15*U$51)/(U$53)),IF(AND(Results!$E$5="Weight",$C$52&gt;0, Results!$E$4="Tissue",OR($B$52="g",$B$52="mg")),((U15*U$51)/(U$52)),IF(AND(Results!$E$5="Volume",$C$54&gt;0,Results!$E$4="Fluid"),((U15*U$51)/(U$54)),IF(AND(Results!$E$4="Cells",Results!$E$5="Million",$B$52="million"),((U15*U$51)/(U$52)),"0")))))</f>
        <v>0</v>
      </c>
      <c r="V68" s="20" t="str">
        <f>IF(V15=0,"0",IF(AND(Results!$E$5="Protein",$C$53&gt;0,OR(Results!$E$4="Tissue",Results!$E$4="Cells")),((V15*V$51)/(V$53)),IF(AND(Results!$E$5="Weight",$C$52&gt;0, Results!$E$4="Tissue",OR($B$52="g",$B$52="mg")),((V15*V$51)/(V$52)),IF(AND(Results!$E$5="Volume",$C$54&gt;0,Results!$E$4="Fluid"),((V15*V$51)/(V$54)),IF(AND(Results!$E$4="Cells",Results!$E$5="Million",$B$52="million"),((V15*V$51)/(V$52)),"0")))))</f>
        <v>0</v>
      </c>
      <c r="W68" s="20" t="str">
        <f>IF(W15=0,"0",IF(AND(Results!$E$5="Protein",$C$53&gt;0,OR(Results!$E$4="Tissue",Results!$E$4="Cells")),((W15*W$51)/(W$53)),IF(AND(Results!$E$5="Weight",$C$52&gt;0, Results!$E$4="Tissue",OR($B$52="g",$B$52="mg")),((W15*W$51)/(W$52)),IF(AND(Results!$E$5="Volume",$C$54&gt;0,Results!$E$4="Fluid"),((W15*W$51)/(W$54)),IF(AND(Results!$E$4="Cells",Results!$E$5="Million",$B$52="million"),((W15*W$51)/(W$52)),"0")))))</f>
        <v>0</v>
      </c>
      <c r="X68" s="20" t="str">
        <f>IF(X15=0,"0",IF(AND(Results!$E$5="Protein",$C$53&gt;0,OR(Results!$E$4="Tissue",Results!$E$4="Cells")),((X15*X$51)/(X$53)),IF(AND(Results!$E$5="Weight",$C$52&gt;0, Results!$E$4="Tissue",OR($B$52="g",$B$52="mg")),((X15*X$51)/(X$52)),IF(AND(Results!$E$5="Volume",$C$54&gt;0,Results!$E$4="Fluid"),((X15*X$51)/(X$54)),IF(AND(Results!$E$4="Cells",Results!$E$5="Million",$B$52="million"),((X15*X$51)/(X$52)),"0")))))</f>
        <v>0</v>
      </c>
      <c r="Y68" s="20" t="str">
        <f>IF(Y15=0,"0",IF(AND(Results!$E$5="Protein",$C$53&gt;0,OR(Results!$E$4="Tissue",Results!$E$4="Cells")),((Y15*Y$51)/(Y$53)),IF(AND(Results!$E$5="Weight",$C$52&gt;0, Results!$E$4="Tissue",OR($B$52="g",$B$52="mg")),((Y15*Y$51)/(Y$52)),IF(AND(Results!$E$5="Volume",$C$54&gt;0,Results!$E$4="Fluid"),((Y15*Y$51)/(Y$54)),IF(AND(Results!$E$4="Cells",Results!$E$5="Million",$B$52="million"),((Y15*Y$51)/(Y$52)),"0")))))</f>
        <v>0</v>
      </c>
      <c r="Z68" s="20" t="str">
        <f>IF(Z15=0,"0",IF(AND(Results!$E$5="Protein",$C$53&gt;0,OR(Results!$E$4="Tissue",Results!$E$4="Cells")),((Z15*Z$51)/(Z$53)),IF(AND(Results!$E$5="Weight",$C$52&gt;0, Results!$E$4="Tissue",OR($B$52="g",$B$52="mg")),((Z15*Z$51)/(Z$52)),IF(AND(Results!$E$5="Volume",$C$54&gt;0,Results!$E$4="Fluid"),((Z15*Z$51)/(Z$54)),IF(AND(Results!$E$4="Cells",Results!$E$5="Million",$B$52="million"),((Z15*Z$51)/(Z$52)),"0")))))</f>
        <v>0</v>
      </c>
      <c r="AA68" s="20" t="str">
        <f>IF(AA15=0,"0",IF(AND(Results!$E$5="Protein",$C$53&gt;0,OR(Results!$E$4="Tissue",Results!$E$4="Cells")),((AA15*AA$51)/(AA$53)),IF(AND(Results!$E$5="Weight",$C$52&gt;0, Results!$E$4="Tissue",OR($B$52="g",$B$52="mg")),((AA15*AA$51)/(AA$52)),IF(AND(Results!$E$5="Volume",$C$54&gt;0,Results!$E$4="Fluid"),((AA15*AA$51)/(AA$54)),IF(AND(Results!$E$4="Cells",Results!$E$5="Million",$B$52="million"),((AA15*AA$51)/(AA$52)),"0")))))</f>
        <v>0</v>
      </c>
      <c r="AB68" s="20" t="str">
        <f>IF(AB15=0,"0",IF(AND(Results!$E$5="Protein",$C$53&gt;0,OR(Results!$E$4="Tissue",Results!$E$4="Cells")),((AB15*AB$51)/(AB$53)),IF(AND(Results!$E$5="Weight",$C$52&gt;0, Results!$E$4="Tissue",OR($B$52="g",$B$52="mg")),((AB15*AB$51)/(AB$52)),IF(AND(Results!$E$5="Volume",$C$54&gt;0,Results!$E$4="Fluid"),((AB15*AB$51)/(AB$54)),IF(AND(Results!$E$4="Cells",Results!$E$5="Million",$B$52="million"),((AB15*AB$51)/(AB$52)),"0")))))</f>
        <v>0</v>
      </c>
      <c r="AC68" s="20" t="str">
        <f>IF(AC15=0,"0",IF(AND(Results!$E$5="Protein",$C$53&gt;0,OR(Results!$E$4="Tissue",Results!$E$4="Cells")),((AC15*AC$51)/(AC$53)),IF(AND(Results!$E$5="Weight",$C$52&gt;0, Results!$E$4="Tissue",OR($B$52="g",$B$52="mg")),((AC15*AC$51)/(AC$52)),IF(AND(Results!$E$5="Volume",$C$54&gt;0,Results!$E$4="Fluid"),((AC15*AC$51)/(AC$54)),IF(AND(Results!$E$4="Cells",Results!$E$5="Million",$B$52="million"),((AC15*AC$51)/(AC$52)),"0")))))</f>
        <v>0</v>
      </c>
      <c r="AD68" s="20" t="str">
        <f>IF(AD15=0,"0",IF(AND(Results!$E$5="Protein",$C$53&gt;0,OR(Results!$E$4="Tissue",Results!$E$4="Cells")),((AD15*AD$51)/(AD$53)),IF(AND(Results!$E$5="Weight",$C$52&gt;0, Results!$E$4="Tissue",OR($B$52="g",$B$52="mg")),((AD15*AD$51)/(AD$52)),IF(AND(Results!$E$5="Volume",$C$54&gt;0,Results!$E$4="Fluid"),((AD15*AD$51)/(AD$54)),IF(AND(Results!$E$4="Cells",Results!$E$5="Million",$B$52="million"),((AD15*AD$51)/(AD$52)),"0")))))</f>
        <v>0</v>
      </c>
      <c r="AE68" s="20" t="str">
        <f>IF(AE15=0,"0",IF(AND(Results!$E$5="Protein",$C$53&gt;0,OR(Results!$E$4="Tissue",Results!$E$4="Cells")),((AE15*AE$51)/(AE$53)),IF(AND(Results!$E$5="Weight",$C$52&gt;0, Results!$E$4="Tissue",OR($B$52="g",$B$52="mg")),((AE15*AE$51)/(AE$52)),IF(AND(Results!$E$5="Volume",$C$54&gt;0,Results!$E$4="Fluid"),((AE15*AE$51)/(AE$54)),IF(AND(Results!$E$4="Cells",Results!$E$5="Million",$B$52="million"),((AE15*AE$51)/(AE$52)),"0")))))</f>
        <v>0</v>
      </c>
      <c r="AF68" s="20" t="str">
        <f>IF(AF15=0,"0",IF(AND(Results!$E$5="Protein",$C$53&gt;0,OR(Results!$E$4="Tissue",Results!$E$4="Cells")),((AF15*AF$51)/(AF$53)),IF(AND(Results!$E$5="Weight",$C$52&gt;0, Results!$E$4="Tissue",OR($B$52="g",$B$52="mg")),((AF15*AF$51)/(AF$52)),IF(AND(Results!$E$5="Volume",$C$54&gt;0,Results!$E$4="Fluid"),((AF15*AF$51)/(AF$54)),IF(AND(Results!$E$4="Cells",Results!$E$5="Million",$B$52="million"),((AF15*AF$51)/(AF$52)),"0")))))</f>
        <v>0</v>
      </c>
      <c r="AG68" s="20" t="str">
        <f>IF(AG15=0,"0",IF(AND(Results!$E$5="Protein",$C$53&gt;0,OR(Results!$E$4="Tissue",Results!$E$4="Cells")),((AG15*AG$51)/(AG$53)),IF(AND(Results!$E$5="Weight",$C$52&gt;0, Results!$E$4="Tissue",OR($B$52="g",$B$52="mg")),((AG15*AG$51)/(AG$52)),IF(AND(Results!$E$5="Volume",$C$54&gt;0,Results!$E$4="Fluid"),((AG15*AG$51)/(AG$54)),IF(AND(Results!$E$4="Cells",Results!$E$5="Million",$B$52="million"),((AG15*AG$51)/(AG$52)),"0")))))</f>
        <v>0</v>
      </c>
      <c r="AH68" s="20" t="str">
        <f>IF(AH15=0,"0",IF(AND(Results!$E$5="Protein",$C$53&gt;0,OR(Results!$E$4="Tissue",Results!$E$4="Cells")),((AH15*AH$51)/(AH$53)),IF(AND(Results!$E$5="Weight",$C$52&gt;0, Results!$E$4="Tissue",OR($B$52="g",$B$52="mg")),((AH15*AH$51)/(AH$52)),IF(AND(Results!$E$5="Volume",$C$54&gt;0,Results!$E$4="Fluid"),((AH15*AH$51)/(AH$54)),IF(AND(Results!$E$4="Cells",Results!$E$5="Million",$B$52="million"),((AH15*AH$51)/(AH$52)),"0")))))</f>
        <v>0</v>
      </c>
      <c r="AI68" s="20" t="str">
        <f>IF(AI15=0,"0",IF(AND(Results!$E$5="Protein",$C$53&gt;0,OR(Results!$E$4="Tissue",Results!$E$4="Cells")),((AI15*AI$51)/(AI$53)),IF(AND(Results!$E$5="Weight",$C$52&gt;0, Results!$E$4="Tissue",OR($B$52="g",$B$52="mg")),((AI15*AI$51)/(AI$52)),IF(AND(Results!$E$5="Volume",$C$54&gt;0,Results!$E$4="Fluid"),((AI15*AI$51)/(AI$54)),IF(AND(Results!$E$4="Cells",Results!$E$5="Million",$B$52="million"),((AI15*AI$51)/(AI$52)),"0")))))</f>
        <v>0</v>
      </c>
      <c r="AJ68" s="20" t="str">
        <f>IF(AJ15=0,"0",IF(AND(Results!$E$5="Protein",$C$53&gt;0,OR(Results!$E$4="Tissue",Results!$E$4="Cells")),((AJ15*AJ$51)/(AJ$53)),IF(AND(Results!$E$5="Weight",$C$52&gt;0, Results!$E$4="Tissue",OR($B$52="g",$B$52="mg")),((AJ15*AJ$51)/(AJ$52)),IF(AND(Results!$E$5="Volume",$C$54&gt;0,Results!$E$4="Fluid"),((AJ15*AJ$51)/(AJ$54)),IF(AND(Results!$E$4="Cells",Results!$E$5="Million",$B$52="million"),((AJ15*AJ$51)/(AJ$52)),"0")))))</f>
        <v>0</v>
      </c>
      <c r="AK68" s="20" t="str">
        <f>IF(AK15=0,"0",IF(AND(Results!$E$5="Protein",$C$53&gt;0,OR(Results!$E$4="Tissue",Results!$E$4="Cells")),((AK15*AK$51)/(AK$53)),IF(AND(Results!$E$5="Weight",$C$52&gt;0, Results!$E$4="Tissue",OR($B$52="g",$B$52="mg")),((AK15*AK$51)/(AK$52)),IF(AND(Results!$E$5="Volume",$C$54&gt;0,Results!$E$4="Fluid"),((AK15*AK$51)/(AK$54)),IF(AND(Results!$E$4="Cells",Results!$E$5="Million",$B$52="million"),((AK15*AK$51)/(AK$52)),"0")))))</f>
        <v>0</v>
      </c>
      <c r="AL68" s="20" t="str">
        <f>IF(AL15=0,"0",IF(AND(Results!$E$5="Protein",$C$53&gt;0,OR(Results!$E$4="Tissue",Results!$E$4="Cells")),((AL15*AL$51)/(AL$53)),IF(AND(Results!$E$5="Weight",$C$52&gt;0, Results!$E$4="Tissue",OR($B$52="g",$B$52="mg")),((AL15*AL$51)/(AL$52)),IF(AND(Results!$E$5="Volume",$C$54&gt;0,Results!$E$4="Fluid"),((AL15*AL$51)/(AL$54)),IF(AND(Results!$E$4="Cells",Results!$E$5="Million",$B$52="million"),((AL15*AL$51)/(AL$52)),"0")))))</f>
        <v>0</v>
      </c>
      <c r="AM68" s="20" t="str">
        <f>IF(AM15=0,"0",IF(AND(Results!$E$5="Protein",$C$53&gt;0,OR(Results!$E$4="Tissue",Results!$E$4="Cells")),((AM15*AM$51)/(AM$53)),IF(AND(Results!$E$5="Weight",$C$52&gt;0, Results!$E$4="Tissue",OR($B$52="g",$B$52="mg")),((AM15*AM$51)/(AM$52)),IF(AND(Results!$E$5="Volume",$C$54&gt;0,Results!$E$4="Fluid"),((AM15*AM$51)/(AM$54)),IF(AND(Results!$E$4="Cells",Results!$E$5="Million",$B$52="million"),((AM15*AM$51)/(AM$52)),"0")))))</f>
        <v>0</v>
      </c>
      <c r="AN68" s="20" t="str">
        <f>IF(AN15=0,"0",IF(AND(Results!$E$5="Protein",$C$53&gt;0,OR(Results!$E$4="Tissue",Results!$E$4="Cells")),((AN15*AN$51)/(AN$53)),IF(AND(Results!$E$5="Weight",$C$52&gt;0, Results!$E$4="Tissue",OR($B$52="g",$B$52="mg")),((AN15*AN$51)/(AN$52)),IF(AND(Results!$E$5="Volume",$C$54&gt;0,Results!$E$4="Fluid"),((AN15*AN$51)/(AN$54)),IF(AND(Results!$E$4="Cells",Results!$E$5="Million",$B$52="million"),((AN15*AN$51)/(AN$52)),"0")))))</f>
        <v>0</v>
      </c>
      <c r="AO68" s="20" t="str">
        <f>IF(AO15=0,"0",IF(AND(Results!$E$5="Protein",$C$53&gt;0,OR(Results!$E$4="Tissue",Results!$E$4="Cells")),((AO15*AO$51)/(AO$53)),IF(AND(Results!$E$5="Weight",$C$52&gt;0, Results!$E$4="Tissue",OR($B$52="g",$B$52="mg")),((AO15*AO$51)/(AO$52)),IF(AND(Results!$E$5="Volume",$C$54&gt;0,Results!$E$4="Fluid"),((AO15*AO$51)/(AO$54)),IF(AND(Results!$E$4="Cells",Results!$E$5="Million",$B$52="million"),((AO15*AO$51)/(AO$52)),"0")))))</f>
        <v>0</v>
      </c>
      <c r="AP68" s="20" t="str">
        <f>IF(AP15=0,"0",IF(AND(Results!$E$5="Protein",$C$53&gt;0,OR(Results!$E$4="Tissue",Results!$E$4="Cells")),((AP15*AP$51)/(AP$53)),IF(AND(Results!$E$5="Weight",$C$52&gt;0, Results!$E$4="Tissue",OR($B$52="g",$B$52="mg")),((AP15*AP$51)/(AP$52)),IF(AND(Results!$E$5="Volume",$C$54&gt;0,Results!$E$4="Fluid"),((AP15*AP$51)/(AP$54)),IF(AND(Results!$E$4="Cells",Results!$E$5="Million",$B$52="million"),((AP15*AP$51)/(AP$52)),"0")))))</f>
        <v>0</v>
      </c>
      <c r="AQ68" s="20" t="str">
        <f>IF(AQ15=0,"0",IF(AND(Results!$E$5="Protein",$C$53&gt;0,OR(Results!$E$4="Tissue",Results!$E$4="Cells")),((AQ15*AQ$51)/(AQ$53)),IF(AND(Results!$E$5="Weight",$C$52&gt;0, Results!$E$4="Tissue",OR($B$52="g",$B$52="mg")),((AQ15*AQ$51)/(AQ$52)),IF(AND(Results!$E$5="Volume",$C$54&gt;0,Results!$E$4="Fluid"),((AQ15*AQ$51)/(AQ$54)),IF(AND(Results!$E$4="Cells",Results!$E$5="Million",$B$52="million"),((AQ15*AQ$51)/(AQ$52)),"0")))))</f>
        <v>0</v>
      </c>
      <c r="AR68" s="20" t="str">
        <f>IF(AR15=0,"0",IF(AND(Results!$E$5="Protein",$C$53&gt;0,OR(Results!$E$4="Tissue",Results!$E$4="Cells")),((AR15*AR$51)/(AR$53)),IF(AND(Results!$E$5="Weight",$C$52&gt;0, Results!$E$4="Tissue",OR($B$52="g",$B$52="mg")),((AR15*AR$51)/(AR$52)),IF(AND(Results!$E$5="Volume",$C$54&gt;0,Results!$E$4="Fluid"),((AR15*AR$51)/(AR$54)),IF(AND(Results!$E$4="Cells",Results!$E$5="Million",$B$52="million"),((AR15*AR$51)/(AR$52)),"0")))))</f>
        <v>0</v>
      </c>
      <c r="AS68" s="20" t="str">
        <f>IF(AS15=0,"0",IF(AND(Results!$E$5="Protein",$C$53&gt;0,OR(Results!$E$4="Tissue",Results!$E$4="Cells")),((AS15*AS$51)/(AS$53)),IF(AND(Results!$E$5="Weight",$C$52&gt;0, Results!$E$4="Tissue",OR($B$52="g",$B$52="mg")),((AS15*AS$51)/(AS$52)),IF(AND(Results!$E$5="Volume",$C$54&gt;0,Results!$E$4="Fluid"),((AS15*AS$51)/(AS$54)),IF(AND(Results!$E$4="Cells",Results!$E$5="Million",$B$52="million"),((AS15*AS$51)/(AS$52)),"0")))))</f>
        <v>0</v>
      </c>
      <c r="AT68" s="20" t="str">
        <f>IF(AT15=0,"0",IF(AND(Results!$E$5="Protein",$C$53&gt;0,OR(Results!$E$4="Tissue",Results!$E$4="Cells")),((AT15*AT$51)/(AT$53)),IF(AND(Results!$E$5="Weight",$C$52&gt;0, Results!$E$4="Tissue",OR($B$52="g",$B$52="mg")),((AT15*AT$51)/(AT$52)),IF(AND(Results!$E$5="Volume",$C$54&gt;0,Results!$E$4="Fluid"),((AT15*AT$51)/(AT$54)),IF(AND(Results!$E$4="Cells",Results!$E$5="Million",$B$52="million"),((AT15*AT$51)/(AT$52)),"0")))))</f>
        <v>0</v>
      </c>
      <c r="AU68" s="20" t="str">
        <f>IF(AU15=0,"0",IF(AND(Results!$E$5="Protein",$C$53&gt;0,OR(Results!$E$4="Tissue",Results!$E$4="Cells")),((AU15*AU$51)/(AU$53)),IF(AND(Results!$E$5="Weight",$C$52&gt;0, Results!$E$4="Tissue",OR($B$52="g",$B$52="mg")),((AU15*AU$51)/(AU$52)),IF(AND(Results!$E$5="Volume",$C$54&gt;0,Results!$E$4="Fluid"),((AU15*AU$51)/(AU$54)),IF(AND(Results!$E$4="Cells",Results!$E$5="Million",$B$52="million"),((AU15*AU$51)/(AU$52)),"0")))))</f>
        <v>0</v>
      </c>
      <c r="AV68" s="20" t="str">
        <f>IF(AV15=0,"0",IF(AND(Results!$E$5="Protein",$C$53&gt;0,OR(Results!$E$4="Tissue",Results!$E$4="Cells")),((AV15*AV$51)/(AV$53)),IF(AND(Results!$E$5="Weight",$C$52&gt;0, Results!$E$4="Tissue",OR($B$52="g",$B$52="mg")),((AV15*AV$51)/(AV$52)),IF(AND(Results!$E$5="Volume",$C$54&gt;0,Results!$E$4="Fluid"),((AV15*AV$51)/(AV$54)),IF(AND(Results!$E$4="Cells",Results!$E$5="Million",$B$52="million"),((AV15*AV$51)/(AV$52)),"0")))))</f>
        <v>0</v>
      </c>
      <c r="AW68" s="20" t="str">
        <f>IF(AW15=0,"0",IF(AND(Results!$E$5="Protein",$C$53&gt;0,OR(Results!$E$4="Tissue",Results!$E$4="Cells")),((AW15*AW$51)/(AW$53)),IF(AND(Results!$E$5="Weight",$C$52&gt;0, Results!$E$4="Tissue",OR($B$52="g",$B$52="mg")),((AW15*AW$51)/(AW$52)),IF(AND(Results!$E$5="Volume",$C$54&gt;0,Results!$E$4="Fluid"),((AW15*AW$51)/(AW$54)),IF(AND(Results!$E$4="Cells",Results!$E$5="Million",$B$52="million"),((AW15*AW$51)/(AW$52)),"0")))))</f>
        <v>0</v>
      </c>
      <c r="AX68" s="20" t="str">
        <f>IF(AX15=0,"0",IF(AND(Results!$E$5="Protein",$C$53&gt;0,OR(Results!$E$4="Tissue",Results!$E$4="Cells")),((AX15*AX$51)/(AX$53)),IF(AND(Results!$E$5="Weight",$C$52&gt;0, Results!$E$4="Tissue",OR($B$52="g",$B$52="mg")),((AX15*AX$51)/(AX$52)),IF(AND(Results!$E$5="Volume",$C$54&gt;0,Results!$E$4="Fluid"),((AX15*AX$51)/(AX$54)),IF(AND(Results!$E$4="Cells",Results!$E$5="Million",$B$52="million"),((AX15*AX$51)/(AX$52)),"0")))))</f>
        <v>0</v>
      </c>
      <c r="AY68" s="20" t="str">
        <f>IF(AY15=0,"0",IF(AND(Results!$E$5="Protein",$C$53&gt;0,OR(Results!$E$4="Tissue",Results!$E$4="Cells")),((AY15*AY$51)/(AY$53)),IF(AND(Results!$E$5="Weight",$C$52&gt;0, Results!$E$4="Tissue",OR($B$52="g",$B$52="mg")),((AY15*AY$51)/(AY$52)),IF(AND(Results!$E$5="Volume",$C$54&gt;0,Results!$E$4="Fluid"),((AY15*AY$51)/(AY$54)),IF(AND(Results!$E$4="Cells",Results!$E$5="Million",$B$52="million"),((AY15*AY$51)/(AY$52)),"0")))))</f>
        <v>0</v>
      </c>
      <c r="AZ68" s="20" t="str">
        <f>IF(AZ15=0,"0",IF(AND(Results!$E$5="Protein",$C$53&gt;0,OR(Results!$E$4="Tissue",Results!$E$4="Cells")),((AZ15*AZ$51)/(AZ$53)),IF(AND(Results!$E$5="Weight",$C$52&gt;0, Results!$E$4="Tissue",OR($B$52="g",$B$52="mg")),((AZ15*AZ$51)/(AZ$52)),IF(AND(Results!$E$5="Volume",$C$54&gt;0,Results!$E$4="Fluid"),((AZ15*AZ$51)/(AZ$54)),IF(AND(Results!$E$4="Cells",Results!$E$5="Million",$B$52="million"),((AZ15*AZ$51)/(AZ$52)),"0")))))</f>
        <v>0</v>
      </c>
      <c r="BA68" s="20" t="str">
        <f>IF(BA15=0,"0",IF(AND(Results!$E$5="Protein",$C$53&gt;0,OR(Results!$E$4="Tissue",Results!$E$4="Cells")),((BA15*BA$51)/(BA$53)),IF(AND(Results!$E$5="Weight",$C$52&gt;0, Results!$E$4="Tissue",OR($B$52="g",$B$52="mg")),((BA15*BA$51)/(BA$52)),IF(AND(Results!$E$5="Volume",$C$54&gt;0,Results!$E$4="Fluid"),((BA15*BA$51)/(BA$54)),IF(AND(Results!$E$4="Cells",Results!$E$5="Million",$B$52="million"),((BA15*BA$51)/(BA$52)),"0")))))</f>
        <v>0</v>
      </c>
      <c r="BB68" s="20" t="str">
        <f>IF(BB15=0,"0",IF(AND(Results!$E$5="Protein",$C$53&gt;0,OR(Results!$E$4="Tissue",Results!$E$4="Cells")),((BB15*BB$51)/(BB$53)),IF(AND(Results!$E$5="Weight",$C$52&gt;0, Results!$E$4="Tissue",OR($B$52="g",$B$52="mg")),((BB15*BB$51)/(BB$52)),IF(AND(Results!$E$5="Volume",$C$54&gt;0,Results!$E$4="Fluid"),((BB15*BB$51)/(BB$54)),IF(AND(Results!$E$4="Cells",Results!$E$5="Million",$B$52="million"),((BB15*BB$51)/(BB$52)),"0")))))</f>
        <v>0</v>
      </c>
      <c r="BC68" s="20" t="str">
        <f>IF(BC15=0,"0",IF(AND(Results!$E$5="Protein",$C$53&gt;0,OR(Results!$E$4="Tissue",Results!$E$4="Cells")),((BC15*BC$51)/(BC$53)),IF(AND(Results!$E$5="Weight",$C$52&gt;0, Results!$E$4="Tissue",OR($B$52="g",$B$52="mg")),((BC15*BC$51)/(BC$52)),IF(AND(Results!$E$5="Volume",$C$54&gt;0,Results!$E$4="Fluid"),((BC15*BC$51)/(BC$54)),IF(AND(Results!$E$4="Cells",Results!$E$5="Million",$B$52="million"),((BC15*BC$51)/(BC$52)),"0")))))</f>
        <v>0</v>
      </c>
      <c r="BD68" s="20" t="str">
        <f>IF(BD15=0,"0",IF(AND(Results!$E$5="Protein",$C$53&gt;0,OR(Results!$E$4="Tissue",Results!$E$4="Cells")),((BD15*BD$51)/(BD$53)),IF(AND(Results!$E$5="Weight",$C$52&gt;0, Results!$E$4="Tissue",OR($B$52="g",$B$52="mg")),((BD15*BD$51)/(BD$52)),IF(AND(Results!$E$5="Volume",$C$54&gt;0,Results!$E$4="Fluid"),((BD15*BD$51)/(BD$54)),IF(AND(Results!$E$4="Cells",Results!$E$5="Million",$B$52="million"),((BD15*BD$51)/(BD$52)),"0")))))</f>
        <v>0</v>
      </c>
      <c r="BE68" s="20" t="str">
        <f>IF(BE15=0,"0",IF(AND(Results!$E$5="Protein",$C$53&gt;0,OR(Results!$E$4="Tissue",Results!$E$4="Cells")),((BE15*BE$51)/(BE$53)),IF(AND(Results!$E$5="Weight",$C$52&gt;0, Results!$E$4="Tissue",OR($B$52="g",$B$52="mg")),((BE15*BE$51)/(BE$52)),IF(AND(Results!$E$5="Volume",$C$54&gt;0,Results!$E$4="Fluid"),((BE15*BE$51)/(BE$54)),IF(AND(Results!$E$4="Cells",Results!$E$5="Million",$B$52="million"),((BE15*BE$51)/(BE$52)),"0")))))</f>
        <v>0</v>
      </c>
      <c r="BF68" s="20" t="str">
        <f>IF(BF15=0,"0",IF(AND(Results!$E$5="Protein",$C$53&gt;0,OR(Results!$E$4="Tissue",Results!$E$4="Cells")),((BF15*BF$51)/(BF$53)),IF(AND(Results!$E$5="Weight",$C$52&gt;0, Results!$E$4="Tissue",OR($B$52="g",$B$52="mg")),((BF15*BF$51)/(BF$52)),IF(AND(Results!$E$5="Volume",$C$54&gt;0,Results!$E$4="Fluid"),((BF15*BF$51)/(BF$54)),IF(AND(Results!$E$4="Cells",Results!$E$5="Million",$B$52="million"),((BF15*BF$51)/(BF$52)),"0")))))</f>
        <v>0</v>
      </c>
      <c r="BG68" s="20" t="str">
        <f>IF(BG15=0,"0",IF(AND(Results!$E$5="Protein",$C$53&gt;0,OR(Results!$E$4="Tissue",Results!$E$4="Cells")),((BG15*BG$51)/(BG$53)),IF(AND(Results!$E$5="Weight",$C$52&gt;0, Results!$E$4="Tissue",OR($B$52="g",$B$52="mg")),((BG15*BG$51)/(BG$52)),IF(AND(Results!$E$5="Volume",$C$54&gt;0,Results!$E$4="Fluid"),((BG15*BG$51)/(BG$54)),IF(AND(Results!$E$4="Cells",Results!$E$5="Million",$B$52="million"),((BG15*BG$51)/(BG$52)),"0")))))</f>
        <v>0</v>
      </c>
      <c r="BH68" s="20" t="str">
        <f>IF(BH15=0,"0",IF(AND(Results!$E$5="Protein",$C$53&gt;0,OR(Results!$E$4="Tissue",Results!$E$4="Cells")),((BH15*BH$51)/(BH$53)),IF(AND(Results!$E$5="Weight",$C$52&gt;0, Results!$E$4="Tissue",OR($B$52="g",$B$52="mg")),((BH15*BH$51)/(BH$52)),IF(AND(Results!$E$5="Volume",$C$54&gt;0,Results!$E$4="Fluid"),((BH15*BH$51)/(BH$54)),IF(AND(Results!$E$4="Cells",Results!$E$5="Million",$B$52="million"),((BH15*BH$51)/(BH$52)),"0")))))</f>
        <v>0</v>
      </c>
      <c r="BI68" s="20" t="str">
        <f>IF(BI15=0,"0",IF(AND(Results!$E$5="Protein",$C$53&gt;0,OR(Results!$E$4="Tissue",Results!$E$4="Cells")),((BI15*BI$51)/(BI$53)),IF(AND(Results!$E$5="Weight",$C$52&gt;0, Results!$E$4="Tissue",OR($B$52="g",$B$52="mg")),((BI15*BI$51)/(BI$52)),IF(AND(Results!$E$5="Volume",$C$54&gt;0,Results!$E$4="Fluid"),((BI15*BI$51)/(BI$54)),IF(AND(Results!$E$4="Cells",Results!$E$5="Million",$B$52="million"),((BI15*BI$51)/(BI$52)),"0")))))</f>
        <v>0</v>
      </c>
      <c r="BJ68" s="20" t="str">
        <f>IF(BJ15=0,"0",IF(AND(Results!$E$5="Protein",$C$53&gt;0,OR(Results!$E$4="Tissue",Results!$E$4="Cells")),((BJ15*BJ$51)/(BJ$53)),IF(AND(Results!$E$5="Weight",$C$52&gt;0, Results!$E$4="Tissue",OR($B$52="g",$B$52="mg")),((BJ15*BJ$51)/(BJ$52)),IF(AND(Results!$E$5="Volume",$C$54&gt;0,Results!$E$4="Fluid"),((BJ15*BJ$51)/(BJ$54)),IF(AND(Results!$E$4="Cells",Results!$E$5="Million",$B$52="million"),((BJ15*BJ$51)/(BJ$52)),"0")))))</f>
        <v>0</v>
      </c>
      <c r="BK68" s="20" t="str">
        <f>IF(BK15=0,"0",IF(AND(Results!$E$5="Protein",$C$53&gt;0,OR(Results!$E$4="Tissue",Results!$E$4="Cells")),((BK15*BK$51)/(BK$53)),IF(AND(Results!$E$5="Weight",$C$52&gt;0, Results!$E$4="Tissue",OR($B$52="g",$B$52="mg")),((BK15*BK$51)/(BK$52)),IF(AND(Results!$E$5="Volume",$C$54&gt;0,Results!$E$4="Fluid"),((BK15*BK$51)/(BK$54)),IF(AND(Results!$E$4="Cells",Results!$E$5="Million",$B$52="million"),((BK15*BK$51)/(BK$52)),"0")))))</f>
        <v>0</v>
      </c>
      <c r="BL68" s="20" t="str">
        <f>IF(BL15=0,"0",IF(AND(Results!$E$5="Protein",$C$53&gt;0,OR(Results!$E$4="Tissue",Results!$E$4="Cells")),((BL15*BL$51)/(BL$53)),IF(AND(Results!$E$5="Weight",$C$52&gt;0, Results!$E$4="Tissue",OR($B$52="g",$B$52="mg")),((BL15*BL$51)/(BL$52)),IF(AND(Results!$E$5="Volume",$C$54&gt;0,Results!$E$4="Fluid"),((BL15*BL$51)/(BL$54)),IF(AND(Results!$E$4="Cells",Results!$E$5="Million",$B$52="million"),((BL15*BL$51)/(BL$52)),"0")))))</f>
        <v>0</v>
      </c>
      <c r="BM68" s="20" t="str">
        <f>IF(BM15=0,"0",IF(AND(Results!$E$5="Protein",$C$53&gt;0,OR(Results!$E$4="Tissue",Results!$E$4="Cells")),((BM15*BM$51)/(BM$53)),IF(AND(Results!$E$5="Weight",$C$52&gt;0, Results!$E$4="Tissue",OR($B$52="g",$B$52="mg")),((BM15*BM$51)/(BM$52)),IF(AND(Results!$E$5="Volume",$C$54&gt;0,Results!$E$4="Fluid"),((BM15*BM$51)/(BM$54)),IF(AND(Results!$E$4="Cells",Results!$E$5="Million",$B$52="million"),((BM15*BM$51)/(BM$52)),"0")))))</f>
        <v>0</v>
      </c>
      <c r="BN68" s="20" t="str">
        <f>IF(BN15=0,"0",IF(AND(Results!$E$5="Protein",$C$53&gt;0,OR(Results!$E$4="Tissue",Results!$E$4="Cells")),((BN15*BN$51)/(BN$53)),IF(AND(Results!$E$5="Weight",$C$52&gt;0, Results!$E$4="Tissue",OR($B$52="g",$B$52="mg")),((BN15*BN$51)/(BN$52)),IF(AND(Results!$E$5="Volume",$C$54&gt;0,Results!$E$4="Fluid"),((BN15*BN$51)/(BN$54)),IF(AND(Results!$E$4="Cells",Results!$E$5="Million",$B$52="million"),((BN15*BN$51)/(BN$52)),"0")))))</f>
        <v>0</v>
      </c>
      <c r="BO68" s="20" t="str">
        <f>IF(BO15=0,"0",IF(AND(Results!$E$5="Protein",$C$53&gt;0,OR(Results!$E$4="Tissue",Results!$E$4="Cells")),((BO15*BO$51)/(BO$53)),IF(AND(Results!$E$5="Weight",$C$52&gt;0, Results!$E$4="Tissue",OR($B$52="g",$B$52="mg")),((BO15*BO$51)/(BO$52)),IF(AND(Results!$E$5="Volume",$C$54&gt;0,Results!$E$4="Fluid"),((BO15*BO$51)/(BO$54)),IF(AND(Results!$E$4="Cells",Results!$E$5="Million",$B$52="million"),((BO15*BO$51)/(BO$52)),"0")))))</f>
        <v>0</v>
      </c>
      <c r="BP68" s="20" t="str">
        <f>IF(BP15=0,"0",IF(AND(Results!$E$5="Protein",$C$53&gt;0,OR(Results!$E$4="Tissue",Results!$E$4="Cells")),((BP15*BP$51)/(BP$53)),IF(AND(Results!$E$5="Weight",$C$52&gt;0, Results!$E$4="Tissue",OR($B$52="g",$B$52="mg")),((BP15*BP$51)/(BP$52)),IF(AND(Results!$E$5="Volume",$C$54&gt;0,Results!$E$4="Fluid"),((BP15*BP$51)/(BP$54)),IF(AND(Results!$E$4="Cells",Results!$E$5="Million",$B$52="million"),((BP15*BP$51)/(BP$52)),"0")))))</f>
        <v>0</v>
      </c>
      <c r="BQ68" s="20" t="str">
        <f>IF(BQ15=0,"0",IF(AND(Results!$E$5="Protein",$C$53&gt;0,OR(Results!$E$4="Tissue",Results!$E$4="Cells")),((BQ15*BQ$51)/(BQ$53)),IF(AND(Results!$E$5="Weight",$C$52&gt;0, Results!$E$4="Tissue",OR($B$52="g",$B$52="mg")),((BQ15*BQ$51)/(BQ$52)),IF(AND(Results!$E$5="Volume",$C$54&gt;0,Results!$E$4="Fluid"),((BQ15*BQ$51)/(BQ$54)),IF(AND(Results!$E$4="Cells",Results!$E$5="Million",$B$52="million"),((BQ15*BQ$51)/(BQ$52)),"0")))))</f>
        <v>0</v>
      </c>
      <c r="BR68" s="20" t="str">
        <f>IF(BR15=0,"0",IF(AND(Results!$E$5="Protein",$C$53&gt;0,OR(Results!$E$4="Tissue",Results!$E$4="Cells")),((BR15*BR$51)/(BR$53)),IF(AND(Results!$E$5="Weight",$C$52&gt;0, Results!$E$4="Tissue",OR($B$52="g",$B$52="mg")),((BR15*BR$51)/(BR$52)),IF(AND(Results!$E$5="Volume",$C$54&gt;0,Results!$E$4="Fluid"),((BR15*BR$51)/(BR$54)),IF(AND(Results!$E$4="Cells",Results!$E$5="Million",$B$52="million"),((BR15*BR$51)/(BR$52)),"0")))))</f>
        <v>0</v>
      </c>
      <c r="BS68" s="20" t="str">
        <f>IF(BS15=0,"0",IF(AND(Results!$E$5="Protein",$C$53&gt;0,OR(Results!$E$4="Tissue",Results!$E$4="Cells")),((BS15*BS$51)/(BS$53)),IF(AND(Results!$E$5="Weight",$C$52&gt;0, Results!$E$4="Tissue",OR($B$52="g",$B$52="mg")),((BS15*BS$51)/(BS$52)),IF(AND(Results!$E$5="Volume",$C$54&gt;0,Results!$E$4="Fluid"),((BS15*BS$51)/(BS$54)),IF(AND(Results!$E$4="Cells",Results!$E$5="Million",$B$52="million"),((BS15*BS$51)/(BS$52)),"0")))))</f>
        <v>0</v>
      </c>
      <c r="BT68" s="20" t="str">
        <f>IF(BT15=0,"0",IF(AND(Results!$E$5="Protein",$C$53&gt;0,OR(Results!$E$4="Tissue",Results!$E$4="Cells")),((BT15*BT$51)/(BT$53)),IF(AND(Results!$E$5="Weight",$C$52&gt;0, Results!$E$4="Tissue",OR($B$52="g",$B$52="mg")),((BT15*BT$51)/(BT$52)),IF(AND(Results!$E$5="Volume",$C$54&gt;0,Results!$E$4="Fluid"),((BT15*BT$51)/(BT$54)),IF(AND(Results!$E$4="Cells",Results!$E$5="Million",$B$52="million"),((BT15*BT$51)/(BT$52)),"0")))))</f>
        <v>0</v>
      </c>
      <c r="BU68" s="20" t="str">
        <f>IF(BU15=0,"0",IF(AND(Results!$E$5="Protein",$C$53&gt;0,OR(Results!$E$4="Tissue",Results!$E$4="Cells")),((BU15*BU$51)/(BU$53)),IF(AND(Results!$E$5="Weight",$C$52&gt;0, Results!$E$4="Tissue",OR($B$52="g",$B$52="mg")),((BU15*BU$51)/(BU$52)),IF(AND(Results!$E$5="Volume",$C$54&gt;0,Results!$E$4="Fluid"),((BU15*BU$51)/(BU$54)),IF(AND(Results!$E$4="Cells",Results!$E$5="Million",$B$52="million"),((BU15*BU$51)/(BU$52)),"0")))))</f>
        <v>0</v>
      </c>
      <c r="BV68" s="20" t="str">
        <f>IF(BV15=0,"0",IF(AND(Results!$E$5="Protein",$C$53&gt;0,OR(Results!$E$4="Tissue",Results!$E$4="Cells")),((BV15*BV$51)/(BV$53)),IF(AND(Results!$E$5="Weight",$C$52&gt;0, Results!$E$4="Tissue",OR($B$52="g",$B$52="mg")),((BV15*BV$51)/(BV$52)),IF(AND(Results!$E$5="Volume",$C$54&gt;0,Results!$E$4="Fluid"),((BV15*BV$51)/(BV$54)),IF(AND(Results!$E$4="Cells",Results!$E$5="Million",$B$52="million"),((BV15*BV$51)/(BV$52)),"0")))))</f>
        <v>0</v>
      </c>
      <c r="BW68" s="20" t="str">
        <f>IF(BW15=0,"0",IF(AND(Results!$E$5="Protein",$C$53&gt;0,OR(Results!$E$4="Tissue",Results!$E$4="Cells")),((BW15*BW$51)/(BW$53)),IF(AND(Results!$E$5="Weight",$C$52&gt;0, Results!$E$4="Tissue",OR($B$52="g",$B$52="mg")),((BW15*BW$51)/(BW$52)),IF(AND(Results!$E$5="Volume",$C$54&gt;0,Results!$E$4="Fluid"),((BW15*BW$51)/(BW$54)),IF(AND(Results!$E$4="Cells",Results!$E$5="Million",$B$52="million"),((BW15*BW$51)/(BW$52)),"0")))))</f>
        <v>0</v>
      </c>
      <c r="BX68" s="20" t="str">
        <f>IF(BX15=0,"0",IF(AND(Results!$E$5="Protein",$C$53&gt;0,OR(Results!$E$4="Tissue",Results!$E$4="Cells")),((BX15*BX$51)/(BX$53)),IF(AND(Results!$E$5="Weight",$C$52&gt;0, Results!$E$4="Tissue",OR($B$52="g",$B$52="mg")),((BX15*BX$51)/(BX$52)),IF(AND(Results!$E$5="Volume",$C$54&gt;0,Results!$E$4="Fluid"),((BX15*BX$51)/(BX$54)),IF(AND(Results!$E$4="Cells",Results!$E$5="Million",$B$52="million"),((BX15*BX$51)/(BX$52)),"0")))))</f>
        <v>0</v>
      </c>
      <c r="BY68" s="20" t="str">
        <f>IF(BY15=0,"0",IF(AND(Results!$E$5="Protein",$C$53&gt;0,OR(Results!$E$4="Tissue",Results!$E$4="Cells")),((BY15*BY$51)/(BY$53)),IF(AND(Results!$E$5="Weight",$C$52&gt;0, Results!$E$4="Tissue",OR($B$52="g",$B$52="mg")),((BY15*BY$51)/(BY$52)),IF(AND(Results!$E$5="Volume",$C$54&gt;0,Results!$E$4="Fluid"),((BY15*BY$51)/(BY$54)),IF(AND(Results!$E$4="Cells",Results!$E$5="Million",$B$52="million"),((BY15*BY$51)/(BY$52)),"0")))))</f>
        <v>0</v>
      </c>
      <c r="BZ68" s="20" t="str">
        <f>IF(BZ15=0,"0",IF(AND(Results!$E$5="Protein",$C$53&gt;0,OR(Results!$E$4="Tissue",Results!$E$4="Cells")),((BZ15*BZ$51)/(BZ$53)),IF(AND(Results!$E$5="Weight",$C$52&gt;0, Results!$E$4="Tissue",OR($B$52="g",$B$52="mg")),((BZ15*BZ$51)/(BZ$52)),IF(AND(Results!$E$5="Volume",$C$54&gt;0,Results!$E$4="Fluid"),((BZ15*BZ$51)/(BZ$54)),IF(AND(Results!$E$4="Cells",Results!$E$5="Million",$B$52="million"),((BZ15*BZ$51)/(BZ$52)),"0")))))</f>
        <v>0</v>
      </c>
      <c r="CA68" s="20" t="str">
        <f>IF(CA15=0,"0",IF(AND(Results!$E$5="Protein",$C$53&gt;0,OR(Results!$E$4="Tissue",Results!$E$4="Cells")),((CA15*CA$51)/(CA$53)),IF(AND(Results!$E$5="Weight",$C$52&gt;0, Results!$E$4="Tissue",OR($B$52="g",$B$52="mg")),((CA15*CA$51)/(CA$52)),IF(AND(Results!$E$5="Volume",$C$54&gt;0,Results!$E$4="Fluid"),((CA15*CA$51)/(CA$54)),IF(AND(Results!$E$4="Cells",Results!$E$5="Million",$B$52="million"),((CA15*CA$51)/(CA$52)),"0")))))</f>
        <v>0</v>
      </c>
      <c r="CB68" s="20" t="str">
        <f>IF(CB15=0,"0",IF(AND(Results!$E$5="Protein",$C$53&gt;0,OR(Results!$E$4="Tissue",Results!$E$4="Cells")),((CB15*CB$51)/(CB$53)),IF(AND(Results!$E$5="Weight",$C$52&gt;0, Results!$E$4="Tissue",OR($B$52="g",$B$52="mg")),((CB15*CB$51)/(CB$52)),IF(AND(Results!$E$5="Volume",$C$54&gt;0,Results!$E$4="Fluid"),((CB15*CB$51)/(CB$54)),IF(AND(Results!$E$4="Cells",Results!$E$5="Million",$B$52="million"),((CB15*CB$51)/(CB$52)),"0")))))</f>
        <v>0</v>
      </c>
      <c r="CC68" s="20" t="str">
        <f>IF(CC15=0,"0",IF(AND(Results!$E$5="Protein",$C$53&gt;0,OR(Results!$E$4="Tissue",Results!$E$4="Cells")),((CC15*CC$51)/(CC$53)),IF(AND(Results!$E$5="Weight",$C$52&gt;0, Results!$E$4="Tissue",OR($B$52="g",$B$52="mg")),((CC15*CC$51)/(CC$52)),IF(AND(Results!$E$5="Volume",$C$54&gt;0,Results!$E$4="Fluid"),((CC15*CC$51)/(CC$54)),IF(AND(Results!$E$4="Cells",Results!$E$5="Million",$B$52="million"),((CC15*CC$51)/(CC$52)),"0")))))</f>
        <v>0</v>
      </c>
      <c r="CD68" s="20" t="str">
        <f>IF(CD15=0,"0",IF(AND(Results!$E$5="Protein",$C$53&gt;0,OR(Results!$E$4="Tissue",Results!$E$4="Cells")),((CD15*CD$51)/(CD$53)),IF(AND(Results!$E$5="Weight",$C$52&gt;0, Results!$E$4="Tissue",OR($B$52="g",$B$52="mg")),((CD15*CD$51)/(CD$52)),IF(AND(Results!$E$5="Volume",$C$54&gt;0,Results!$E$4="Fluid"),((CD15*CD$51)/(CD$54)),IF(AND(Results!$E$4="Cells",Results!$E$5="Million",$B$52="million"),((CD15*CD$51)/(CD$52)),"0")))))</f>
        <v>0</v>
      </c>
      <c r="CE68" s="20" t="str">
        <f>IF(CE15=0,"0",IF(AND(Results!$E$5="Protein",$C$53&gt;0,OR(Results!$E$4="Tissue",Results!$E$4="Cells")),((CE15*CE$51)/(CE$53)),IF(AND(Results!$E$5="Weight",$C$52&gt;0, Results!$E$4="Tissue",OR($B$52="g",$B$52="mg")),((CE15*CE$51)/(CE$52)),IF(AND(Results!$E$5="Volume",$C$54&gt;0,Results!$E$4="Fluid"),((CE15*CE$51)/(CE$54)),IF(AND(Results!$E$4="Cells",Results!$E$5="Million",$B$52="million"),((CE15*CE$51)/(CE$52)),"0")))))</f>
        <v>0</v>
      </c>
      <c r="CF68" s="20" t="str">
        <f>IF(CF15=0,"0",IF(AND(Results!$E$5="Protein",$C$53&gt;0,OR(Results!$E$4="Tissue",Results!$E$4="Cells")),((CF15*CF$51)/(CF$53)),IF(AND(Results!$E$5="Weight",$C$52&gt;0, Results!$E$4="Tissue",OR($B$52="g",$B$52="mg")),((CF15*CF$51)/(CF$52)),IF(AND(Results!$E$5="Volume",$C$54&gt;0,Results!$E$4="Fluid"),((CF15*CF$51)/(CF$54)),IF(AND(Results!$E$4="Cells",Results!$E$5="Million",$B$52="million"),((CF15*CF$51)/(CF$52)),"0")))))</f>
        <v>0</v>
      </c>
      <c r="CG68" s="20" t="str">
        <f>IF(CG15=0,"0",IF(AND(Results!$E$5="Protein",$C$53&gt;0,OR(Results!$E$4="Tissue",Results!$E$4="Cells")),((CG15*CG$51)/(CG$53)),IF(AND(Results!$E$5="Weight",$C$52&gt;0, Results!$E$4="Tissue",OR($B$52="g",$B$52="mg")),((CG15*CG$51)/(CG$52)),IF(AND(Results!$E$5="Volume",$C$54&gt;0,Results!$E$4="Fluid"),((CG15*CG$51)/(CG$54)),IF(AND(Results!$E$4="Cells",Results!$E$5="Million",$B$52="million"),((CG15*CG$51)/(CG$52)),"0")))))</f>
        <v>0</v>
      </c>
      <c r="CH68" s="20" t="str">
        <f>IF(CH15=0,"0",IF(AND(Results!$E$5="Protein",$C$53&gt;0,OR(Results!$E$4="Tissue",Results!$E$4="Cells")),((CH15*CH$51)/(CH$53)),IF(AND(Results!$E$5="Weight",$C$52&gt;0, Results!$E$4="Tissue",OR($B$52="g",$B$52="mg")),((CH15*CH$51)/(CH$52)),IF(AND(Results!$E$5="Volume",$C$54&gt;0,Results!$E$4="Fluid"),((CH15*CH$51)/(CH$54)),IF(AND(Results!$E$4="Cells",Results!$E$5="Million",$B$52="million"),((CH15*CH$51)/(CH$52)),"0")))))</f>
        <v>0</v>
      </c>
      <c r="CI68" s="20" t="str">
        <f>IF(CI15=0,"0",IF(AND(Results!$E$5="Protein",$C$53&gt;0,OR(Results!$E$4="Tissue",Results!$E$4="Cells")),((CI15*CI$51)/(CI$53)),IF(AND(Results!$E$5="Weight",$C$52&gt;0, Results!$E$4="Tissue",OR($B$52="g",$B$52="mg")),((CI15*CI$51)/(CI$52)),IF(AND(Results!$E$5="Volume",$C$54&gt;0,Results!$E$4="Fluid"),((CI15*CI$51)/(CI$54)),IF(AND(Results!$E$4="Cells",Results!$E$5="Million",$B$52="million"),((CI15*CI$51)/(CI$52)),"0")))))</f>
        <v>0</v>
      </c>
      <c r="CJ68" s="20" t="str">
        <f>IF(CJ15=0,"0",IF(AND(Results!$E$5="Protein",$C$53&gt;0,OR(Results!$E$4="Tissue",Results!$E$4="Cells")),((CJ15*CJ$51)/(CJ$53)),IF(AND(Results!$E$5="Weight",$C$52&gt;0, Results!$E$4="Tissue",OR($B$52="g",$B$52="mg")),((CJ15*CJ$51)/(CJ$52)),IF(AND(Results!$E$5="Volume",$C$54&gt;0,Results!$E$4="Fluid"),((CJ15*CJ$51)/(CJ$54)),IF(AND(Results!$E$4="Cells",Results!$E$5="Million",$B$52="million"),((CJ15*CJ$51)/(CJ$52)),"0")))))</f>
        <v>0</v>
      </c>
      <c r="CK68" s="20" t="str">
        <f>IF(CK15=0,"0",IF(AND(Results!$E$5="Protein",$C$53&gt;0,OR(Results!$E$4="Tissue",Results!$E$4="Cells")),((CK15*CK$51)/(CK$53)),IF(AND(Results!$E$5="Weight",$C$52&gt;0, Results!$E$4="Tissue",OR($B$52="g",$B$52="mg")),((CK15*CK$51)/(CK$52)),IF(AND(Results!$E$5="Volume",$C$54&gt;0,Results!$E$4="Fluid"),((CK15*CK$51)/(CK$54)),IF(AND(Results!$E$4="Cells",Results!$E$5="Million",$B$52="million"),((CK15*CK$51)/(CK$52)),"0")))))</f>
        <v>0</v>
      </c>
      <c r="CL68" s="20" t="str">
        <f>IF(CL15=0,"0",IF(AND(Results!$E$5="Protein",$C$53&gt;0,OR(Results!$E$4="Tissue",Results!$E$4="Cells")),((CL15*CL$51)/(CL$53)),IF(AND(Results!$E$5="Weight",$C$52&gt;0, Results!$E$4="Tissue",OR($B$52="g",$B$52="mg")),((CL15*CL$51)/(CL$52)),IF(AND(Results!$E$5="Volume",$C$54&gt;0,Results!$E$4="Fluid"),((CL15*CL$51)/(CL$54)),IF(AND(Results!$E$4="Cells",Results!$E$5="Million",$B$52="million"),((CL15*CL$51)/(CL$52)),"0")))))</f>
        <v>0</v>
      </c>
      <c r="CM68" s="20" t="str">
        <f>IF(CM15=0,"0",IF(AND(Results!$E$5="Protein",$C$53&gt;0,OR(Results!$E$4="Tissue",Results!$E$4="Cells")),((CM15*CM$51)/(CM$53)),IF(AND(Results!$E$5="Weight",$C$52&gt;0, Results!$E$4="Tissue",OR($B$52="g",$B$52="mg")),((CM15*CM$51)/(CM$52)),IF(AND(Results!$E$5="Volume",$C$54&gt;0,Results!$E$4="Fluid"),((CM15*CM$51)/(CM$54)),IF(AND(Results!$E$4="Cells",Results!$E$5="Million",$B$52="million"),((CM15*CM$51)/(CM$52)),"0")))))</f>
        <v>0</v>
      </c>
      <c r="CN68" s="20" t="str">
        <f>IF(CN15=0,"0",IF(AND(Results!$E$5="Protein",$C$53&gt;0,OR(Results!$E$4="Tissue",Results!$E$4="Cells")),((CN15*CN$51)/(CN$53)),IF(AND(Results!$E$5="Weight",$C$52&gt;0, Results!$E$4="Tissue",OR($B$52="g",$B$52="mg")),((CN15*CN$51)/(CN$52)),IF(AND(Results!$E$5="Volume",$C$54&gt;0,Results!$E$4="Fluid"),((CN15*CN$51)/(CN$54)),IF(AND(Results!$E$4="Cells",Results!$E$5="Million",$B$52="million"),((CN15*CN$51)/(CN$52)),"0")))))</f>
        <v>0</v>
      </c>
      <c r="CO68" s="20" t="str">
        <f>IF(CO15=0,"0",IF(AND(Results!$E$5="Protein",$C$53&gt;0,OR(Results!$E$4="Tissue",Results!$E$4="Cells")),((CO15*CO$51)/(CO$53)),IF(AND(Results!$E$5="Weight",$C$52&gt;0, Results!$E$4="Tissue",OR($B$52="g",$B$52="mg")),((CO15*CO$51)/(CO$52)),IF(AND(Results!$E$5="Volume",$C$54&gt;0,Results!$E$4="Fluid"),((CO15*CO$51)/(CO$54)),IF(AND(Results!$E$4="Cells",Results!$E$5="Million",$B$52="million"),((CO15*CO$51)/(CO$52)),"0")))))</f>
        <v>0</v>
      </c>
      <c r="CP68" s="20" t="str">
        <f>IF(CP15=0,"0",IF(AND(Results!$E$5="Protein",$C$53&gt;0,OR(Results!$E$4="Tissue",Results!$E$4="Cells")),((CP15*CP$51)/(CP$53)),IF(AND(Results!$E$5="Weight",$C$52&gt;0, Results!$E$4="Tissue",OR($B$52="g",$B$52="mg")),((CP15*CP$51)/(CP$52)),IF(AND(Results!$E$5="Volume",$C$54&gt;0,Results!$E$4="Fluid"),((CP15*CP$51)/(CP$54)),IF(AND(Results!$E$4="Cells",Results!$E$5="Million",$B$52="million"),((CP15*CP$51)/(CP$52)),"0")))))</f>
        <v>0</v>
      </c>
      <c r="CQ68" s="20" t="str">
        <f>IF(CQ15=0,"0",IF(AND(Results!$E$5="Protein",$C$53&gt;0,OR(Results!$E$4="Tissue",Results!$E$4="Cells")),((CQ15*CQ$51)/(CQ$53)),IF(AND(Results!$E$5="Weight",$C$52&gt;0, Results!$E$4="Tissue",OR($B$52="g",$B$52="mg")),((CQ15*CQ$51)/(CQ$52)),IF(AND(Results!$E$5="Volume",$C$54&gt;0,Results!$E$4="Fluid"),((CQ15*CQ$51)/(CQ$54)),IF(AND(Results!$E$4="Cells",Results!$E$5="Million",$B$52="million"),((CQ15*CQ$51)/(CQ$52)),"0")))))</f>
        <v>0</v>
      </c>
      <c r="CR68" s="20" t="str">
        <f>IF(CR15=0,"0",IF(AND(Results!$E$5="Protein",$C$53&gt;0,OR(Results!$E$4="Tissue",Results!$E$4="Cells")),((CR15*CR$51)/(CR$53)),IF(AND(Results!$E$5="Weight",$C$52&gt;0, Results!$E$4="Tissue",OR($B$52="g",$B$52="mg")),((CR15*CR$51)/(CR$52)),IF(AND(Results!$E$5="Volume",$C$54&gt;0,Results!$E$4="Fluid"),((CR15*CR$51)/(CR$54)),IF(AND(Results!$E$4="Cells",Results!$E$5="Million",$B$52="million"),((CR15*CR$51)/(CR$52)),"0")))))</f>
        <v>0</v>
      </c>
      <c r="CS68" s="20" t="str">
        <f>IF(CS15=0,"0",IF(AND(Results!$E$5="Protein",$C$53&gt;0,OR(Results!$E$4="Tissue",Results!$E$4="Cells")),((CS15*CS$51)/(CS$53)),IF(AND(Results!$E$5="Weight",$C$52&gt;0, Results!$E$4="Tissue",OR($B$52="g",$B$52="mg")),((CS15*CS$51)/(CS$52)),IF(AND(Results!$E$5="Volume",$C$54&gt;0,Results!$E$4="Fluid"),((CS15*CS$51)/(CS$54)),IF(AND(Results!$E$4="Cells",Results!$E$5="Million",$B$52="million"),((CS15*CS$51)/(CS$52)),"0")))))</f>
        <v>0</v>
      </c>
      <c r="CT68" s="20" t="str">
        <f>IF(CT15=0,"0",IF(AND(Results!$E$5="Protein",$C$53&gt;0,OR(Results!$E$4="Tissue",Results!$E$4="Cells")),((CT15*CT$51)/(CT$53)),IF(AND(Results!$E$5="Weight",$C$52&gt;0, Results!$E$4="Tissue",OR($B$52="g",$B$52="mg")),((CT15*CT$51)/(CT$52)),IF(AND(Results!$E$5="Volume",$C$54&gt;0,Results!$E$4="Fluid"),((CT15*CT$51)/(CT$54)),IF(AND(Results!$E$4="Cells",Results!$E$5="Million",$B$52="million"),((CT15*CT$51)/(CT$52)),"0")))))</f>
        <v>0</v>
      </c>
      <c r="CU68" s="20" t="str">
        <f>IF(CU15=0,"0",IF(AND(Results!$E$5="Protein",$C$53&gt;0,OR(Results!$E$4="Tissue",Results!$E$4="Cells")),((CU15*CU$51)/(CU$53)),IF(AND(Results!$E$5="Weight",$C$52&gt;0, Results!$E$4="Tissue",OR($B$52="g",$B$52="mg")),((CU15*CU$51)/(CU$52)),IF(AND(Results!$E$5="Volume",$C$54&gt;0,Results!$E$4="Fluid"),((CU15*CU$51)/(CU$54)),IF(AND(Results!$E$4="Cells",Results!$E$5="Million",$B$52="million"),((CU15*CU$51)/(CU$52)),"0")))))</f>
        <v>0</v>
      </c>
      <c r="CV68" s="20" t="str">
        <f>IF(CV15=0,"0",IF(AND(Results!$E$5="Protein",$C$53&gt;0,OR(Results!$E$4="Tissue",Results!$E$4="Cells")),((CV15*CV$51)/(CV$53)),IF(AND(Results!$E$5="Weight",$C$52&gt;0, Results!$E$4="Tissue",OR($B$52="g",$B$52="mg")),((CV15*CV$51)/(CV$52)),IF(AND(Results!$E$5="Volume",$C$54&gt;0,Results!$E$4="Fluid"),((CV15*CV$51)/(CV$54)),IF(AND(Results!$E$4="Cells",Results!$E$5="Million",$B$52="million"),((CV15*CV$51)/(CV$52)),"0")))))</f>
        <v>0</v>
      </c>
      <c r="CW68" s="20" t="str">
        <f>IF(CW15=0,"0",IF(AND(Results!$E$5="Protein",$C$53&gt;0,OR(Results!$E$4="Tissue",Results!$E$4="Cells")),((CW15*CW$51)/(CW$53)),IF(AND(Results!$E$5="Weight",$C$52&gt;0, Results!$E$4="Tissue",OR($B$52="g",$B$52="mg")),((CW15*CW$51)/(CW$52)),IF(AND(Results!$E$5="Volume",$C$54&gt;0,Results!$E$4="Fluid"),((CW15*CW$51)/(CW$54)),IF(AND(Results!$E$4="Cells",Results!$E$5="Million",$B$52="million"),((CW15*CW$51)/(CW$52)),"0")))))</f>
        <v>0</v>
      </c>
      <c r="CX68" s="20" t="str">
        <f>IF(CX15=0,"0",IF(AND(Results!$E$5="Protein",$C$53&gt;0,OR(Results!$E$4="Tissue",Results!$E$4="Cells")),((CX15*CX$51)/(CX$53)),IF(AND(Results!$E$5="Weight",$C$52&gt;0, Results!$E$4="Tissue",OR($B$52="g",$B$52="mg")),((CX15*CX$51)/(CX$52)),IF(AND(Results!$E$5="Volume",$C$54&gt;0,Results!$E$4="Fluid"),((CX15*CX$51)/(CX$54)),IF(AND(Results!$E$4="Cells",Results!$E$5="Million",$B$52="million"),((CX15*CX$51)/(CX$52)),"0")))))</f>
        <v>0</v>
      </c>
      <c r="CY68" s="20" t="str">
        <f>IF(CY15=0,"0",IF(AND(Results!$E$5="Protein",$C$53&gt;0,OR(Results!$E$4="Tissue",Results!$E$4="Cells")),((CY15*CY$51)/(CY$53)),IF(AND(Results!$E$5="Weight",$C$52&gt;0, Results!$E$4="Tissue",OR($B$52="g",$B$52="mg")),((CY15*CY$51)/(CY$52)),IF(AND(Results!$E$5="Volume",$C$54&gt;0,Results!$E$4="Fluid"),((CY15*CY$51)/(CY$54)),IF(AND(Results!$E$4="Cells",Results!$E$5="Million",$B$52="million"),((CY15*CY$51)/(CY$52)),"0")))))</f>
        <v>0</v>
      </c>
      <c r="CZ68" s="20" t="str">
        <f>IF(CZ15=0,"0",IF(AND(Results!$E$5="Protein",$C$53&gt;0,OR(Results!$E$4="Tissue",Results!$E$4="Cells")),((CZ15*CZ$51)/(CZ$53)),IF(AND(Results!$E$5="Weight",$C$52&gt;0, Results!$E$4="Tissue",OR($B$52="g",$B$52="mg")),((CZ15*CZ$51)/(CZ$52)),IF(AND(Results!$E$5="Volume",$C$54&gt;0,Results!$E$4="Fluid"),((CZ15*CZ$51)/(CZ$54)),IF(AND(Results!$E$4="Cells",Results!$E$5="Million",$B$52="million"),((CZ15*CZ$51)/(CZ$52)),"0")))))</f>
        <v>0</v>
      </c>
      <c r="DA68" s="20" t="str">
        <f>IF(DA15=0,"0",IF(AND(Results!$E$5="Protein",$C$53&gt;0,OR(Results!$E$4="Tissue",Results!$E$4="Cells")),((DA15*DA$51)/(DA$53)),IF(AND(Results!$E$5="Weight",$C$52&gt;0, Results!$E$4="Tissue",OR($B$52="g",$B$52="mg")),((DA15*DA$51)/(DA$52)),IF(AND(Results!$E$5="Volume",$C$54&gt;0,Results!$E$4="Fluid"),((DA15*DA$51)/(DA$54)),IF(AND(Results!$E$4="Cells",Results!$E$5="Million",$B$52="million"),((DA15*DA$51)/(DA$52)),"0")))))</f>
        <v>0</v>
      </c>
      <c r="DB68" s="20" t="str">
        <f>IF(DB15=0,"0",IF(AND(Results!$E$5="Protein",$C$53&gt;0,OR(Results!$E$4="Tissue",Results!$E$4="Cells")),((DB15*DB$51)/(DB$53)),IF(AND(Results!$E$5="Weight",$C$52&gt;0, Results!$E$4="Tissue",OR($B$52="g",$B$52="mg")),((DB15*DB$51)/(DB$52)),IF(AND(Results!$E$5="Volume",$C$54&gt;0,Results!$E$4="Fluid"),((DB15*DB$51)/(DB$54)),IF(AND(Results!$E$4="Cells",Results!$E$5="Million",$B$52="million"),((DB15*DB$51)/(DB$52)),"0")))))</f>
        <v>0</v>
      </c>
      <c r="DC68" s="20" t="str">
        <f>IF(DC15=0,"0",IF(AND(Results!$E$5="Protein",$C$53&gt;0,OR(Results!$E$4="Tissue",Results!$E$4="Cells")),((DC15*DC$51)/(DC$53)),IF(AND(Results!$E$5="Weight",$C$52&gt;0, Results!$E$4="Tissue",OR($B$52="g",$B$52="mg")),((DC15*DC$51)/(DC$52)),IF(AND(Results!$E$5="Volume",$C$54&gt;0,Results!$E$4="Fluid"),((DC15*DC$51)/(DC$54)),IF(AND(Results!$E$4="Cells",Results!$E$5="Million",$B$52="million"),((DC15*DC$51)/(DC$52)),"0")))))</f>
        <v>0</v>
      </c>
      <c r="DD68" s="20" t="str">
        <f>IF(DD15=0,"0",IF(AND(Results!$E$5="Protein",$C$53&gt;0,OR(Results!$E$4="Tissue",Results!$E$4="Cells")),((DD15*DD$51)/(DD$53)),IF(AND(Results!$E$5="Weight",$C$52&gt;0, Results!$E$4="Tissue",OR($B$52="g",$B$52="mg")),((DD15*DD$51)/(DD$52)),IF(AND(Results!$E$5="Volume",$C$54&gt;0,Results!$E$4="Fluid"),((DD15*DD$51)/(DD$54)),IF(AND(Results!$E$4="Cells",Results!$E$5="Million",$B$52="million"),((DD15*DD$51)/(DD$52)),"0")))))</f>
        <v>0</v>
      </c>
      <c r="DE68" s="20" t="str">
        <f>IF(DE15=0,"0",IF(AND(Results!$E$5="Protein",$C$53&gt;0,OR(Results!$E$4="Tissue",Results!$E$4="Cells")),((DE15*DE$51)/(DE$53)),IF(AND(Results!$E$5="Weight",$C$52&gt;0, Results!$E$4="Tissue",OR($B$52="g",$B$52="mg")),((DE15*DE$51)/(DE$52)),IF(AND(Results!$E$5="Volume",$C$54&gt;0,Results!$E$4="Fluid"),((DE15*DE$51)/(DE$54)),IF(AND(Results!$E$4="Cells",Results!$E$5="Million",$B$52="million"),((DE15*DE$51)/(DE$52)),"0")))))</f>
        <v>0</v>
      </c>
      <c r="DF68" s="20" t="str">
        <f>IF(DF15=0,"0",IF(AND(Results!$E$5="Protein",$C$53&gt;0,OR(Results!$E$4="Tissue",Results!$E$4="Cells")),((DF15*DF$51)/(DF$53)),IF(AND(Results!$E$5="Weight",$C$52&gt;0, Results!$E$4="Tissue",OR($B$52="g",$B$52="mg")),((DF15*DF$51)/(DF$52)),IF(AND(Results!$E$5="Volume",$C$54&gt;0,Results!$E$4="Fluid"),((DF15*DF$51)/(DF$54)),IF(AND(Results!$E$4="Cells",Results!$E$5="Million",$B$52="million"),((DF15*DF$51)/(DF$52)),"0")))))</f>
        <v>0</v>
      </c>
      <c r="DG68" s="20" t="str">
        <f>IF(DG15=0,"0",IF(AND(Results!$E$5="Protein",$C$53&gt;0,OR(Results!$E$4="Tissue",Results!$E$4="Cells")),((DG15*DG$51)/(DG$53)),IF(AND(Results!$E$5="Weight",$C$52&gt;0, Results!$E$4="Tissue",OR($B$52="g",$B$52="mg")),((DG15*DG$51)/(DG$52)),IF(AND(Results!$E$5="Volume",$C$54&gt;0,Results!$E$4="Fluid"),((DG15*DG$51)/(DG$54)),IF(AND(Results!$E$4="Cells",Results!$E$5="Million",$B$52="million"),((DG15*DG$51)/(DG$52)),"0")))))</f>
        <v>0</v>
      </c>
      <c r="DH68" s="20" t="str">
        <f>IF(DH15=0,"0",IF(AND(Results!$E$5="Protein",$C$53&gt;0,OR(Results!$E$4="Tissue",Results!$E$4="Cells")),((DH15*DH$51)/(DH$53)),IF(AND(Results!$E$5="Weight",$C$52&gt;0, Results!$E$4="Tissue",OR($B$52="g",$B$52="mg")),((DH15*DH$51)/(DH$52)),IF(AND(Results!$E$5="Volume",$C$54&gt;0,Results!$E$4="Fluid"),((DH15*DH$51)/(DH$54)),IF(AND(Results!$E$4="Cells",Results!$E$5="Million",$B$52="million"),((DH15*DH$51)/(DH$52)),"0")))))</f>
        <v>0</v>
      </c>
      <c r="DI68" s="20" t="str">
        <f>IF(DI15=0,"0",IF(AND(Results!$E$5="Protein",$C$53&gt;0,OR(Results!$E$4="Tissue",Results!$E$4="Cells")),((DI15*DI$51)/(DI$53)),IF(AND(Results!$E$5="Weight",$C$52&gt;0, Results!$E$4="Tissue",OR($B$52="g",$B$52="mg")),((DI15*DI$51)/(DI$52)),IF(AND(Results!$E$5="Volume",$C$54&gt;0,Results!$E$4="Fluid"),((DI15*DI$51)/(DI$54)),IF(AND(Results!$E$4="Cells",Results!$E$5="Million",$B$52="million"),((DI15*DI$51)/(DI$52)),"0")))))</f>
        <v>0</v>
      </c>
      <c r="DJ68" s="20" t="str">
        <f>IF(DJ15=0,"0",IF(AND(Results!$E$5="Protein",$C$53&gt;0,OR(Results!$E$4="Tissue",Results!$E$4="Cells")),((DJ15*DJ$51)/(DJ$53)),IF(AND(Results!$E$5="Weight",$C$52&gt;0, Results!$E$4="Tissue",OR($B$52="g",$B$52="mg")),((DJ15*DJ$51)/(DJ$52)),IF(AND(Results!$E$5="Volume",$C$54&gt;0,Results!$E$4="Fluid"),((DJ15*DJ$51)/(DJ$54)),IF(AND(Results!$E$4="Cells",Results!$E$5="Million",$B$52="million"),((DJ15*DJ$51)/(DJ$52)),"0")))))</f>
        <v>0</v>
      </c>
      <c r="DK68" s="20" t="str">
        <f>IF(DK15=0,"0",IF(AND(Results!$E$5="Protein",$C$53&gt;0,OR(Results!$E$4="Tissue",Results!$E$4="Cells")),((DK15*DK$51)/(DK$53)),IF(AND(Results!$E$5="Weight",$C$52&gt;0, Results!$E$4="Tissue",OR($B$52="g",$B$52="mg")),((DK15*DK$51)/(DK$52)),IF(AND(Results!$E$5="Volume",$C$54&gt;0,Results!$E$4="Fluid"),((DK15*DK$51)/(DK$54)),IF(AND(Results!$E$4="Cells",Results!$E$5="Million",$B$52="million"),((DK15*DK$51)/(DK$52)),"0")))))</f>
        <v>0</v>
      </c>
      <c r="DL68" s="20" t="str">
        <f>IF(DL15=0,"0",IF(AND(Results!$E$5="Protein",$C$53&gt;0,OR(Results!$E$4="Tissue",Results!$E$4="Cells")),((DL15*DL$51)/(DL$53)),IF(AND(Results!$E$5="Weight",$C$52&gt;0, Results!$E$4="Tissue",OR($B$52="g",$B$52="mg")),((DL15*DL$51)/(DL$52)),IF(AND(Results!$E$5="Volume",$C$54&gt;0,Results!$E$4="Fluid"),((DL15*DL$51)/(DL$54)),IF(AND(Results!$E$4="Cells",Results!$E$5="Million",$B$52="million"),((DL15*DL$51)/(DL$52)),"0")))))</f>
        <v>0</v>
      </c>
      <c r="DM68" s="20" t="str">
        <f>IF(DM15=0,"0",IF(AND(Results!$E$5="Protein",$C$53&gt;0,OR(Results!$E$4="Tissue",Results!$E$4="Cells")),((DM15*DM$51)/(DM$53)),IF(AND(Results!$E$5="Weight",$C$52&gt;0, Results!$E$4="Tissue",OR($B$52="g",$B$52="mg")),((DM15*DM$51)/(DM$52)),IF(AND(Results!$E$5="Volume",$C$54&gt;0,Results!$E$4="Fluid"),((DM15*DM$51)/(DM$54)),IF(AND(Results!$E$4="Cells",Results!$E$5="Million",$B$52="million"),((DM15*DM$51)/(DM$52)),"0")))))</f>
        <v>0</v>
      </c>
      <c r="DN68" s="20" t="str">
        <f>IF(DN15=0,"0",IF(AND(Results!$E$5="Protein",$C$53&gt;0,OR(Results!$E$4="Tissue",Results!$E$4="Cells")),((DN15*DN$51)/(DN$53)),IF(AND(Results!$E$5="Weight",$C$52&gt;0, Results!$E$4="Tissue",OR($B$52="g",$B$52="mg")),((DN15*DN$51)/(DN$52)),IF(AND(Results!$E$5="Volume",$C$54&gt;0,Results!$E$4="Fluid"),((DN15*DN$51)/(DN$54)),IF(AND(Results!$E$4="Cells",Results!$E$5="Million",$B$52="million"),((DN15*DN$51)/(DN$52)),"0")))))</f>
        <v>0</v>
      </c>
      <c r="DO68" s="20" t="str">
        <f>IF(DO15=0,"0",IF(AND(Results!$E$5="Protein",$C$53&gt;0,OR(Results!$E$4="Tissue",Results!$E$4="Cells")),((DO15*DO$51)/(DO$53)),IF(AND(Results!$E$5="Weight",$C$52&gt;0, Results!$E$4="Tissue",OR($B$52="g",$B$52="mg")),((DO15*DO$51)/(DO$52)),IF(AND(Results!$E$5="Volume",$C$54&gt;0,Results!$E$4="Fluid"),((DO15*DO$51)/(DO$54)),IF(AND(Results!$E$4="Cells",Results!$E$5="Million",$B$52="million"),((DO15*DO$51)/(DO$52)),"0")))))</f>
        <v>0</v>
      </c>
      <c r="DP68" s="20" t="str">
        <f>IF(DP15=0,"0",IF(AND(Results!$E$5="Protein",$C$53&gt;0,OR(Results!$E$4="Tissue",Results!$E$4="Cells")),((DP15*DP$51)/(DP$53)),IF(AND(Results!$E$5="Weight",$C$52&gt;0, Results!$E$4="Tissue",OR($B$52="g",$B$52="mg")),((DP15*DP$51)/(DP$52)),IF(AND(Results!$E$5="Volume",$C$54&gt;0,Results!$E$4="Fluid"),((DP15*DP$51)/(DP$54)),IF(AND(Results!$E$4="Cells",Results!$E$5="Million",$B$52="million"),((DP15*DP$51)/(DP$52)),"0")))))</f>
        <v>0</v>
      </c>
      <c r="DQ68" s="20" t="str">
        <f>IF(DQ15=0,"0",IF(AND(Results!$E$5="Protein",$C$53&gt;0,OR(Results!$E$4="Tissue",Results!$E$4="Cells")),((DQ15*DQ$51)/(DQ$53)),IF(AND(Results!$E$5="Weight",$C$52&gt;0, Results!$E$4="Tissue",OR($B$52="g",$B$52="mg")),((DQ15*DQ$51)/(DQ$52)),IF(AND(Results!$E$5="Volume",$C$54&gt;0,Results!$E$4="Fluid"),((DQ15*DQ$51)/(DQ$54)),IF(AND(Results!$E$4="Cells",Results!$E$5="Million",$B$52="million"),((DQ15*DQ$51)/(DQ$52)),"0")))))</f>
        <v>0</v>
      </c>
      <c r="DR68" s="20" t="str">
        <f>IF(DR15=0,"0",IF(AND(Results!$E$5="Protein",$C$53&gt;0,OR(Results!$E$4="Tissue",Results!$E$4="Cells")),((DR15*DR$51)/(DR$53)),IF(AND(Results!$E$5="Weight",$C$52&gt;0, Results!$E$4="Tissue",OR($B$52="g",$B$52="mg")),((DR15*DR$51)/(DR$52)),IF(AND(Results!$E$5="Volume",$C$54&gt;0,Results!$E$4="Fluid"),((DR15*DR$51)/(DR$54)),IF(AND(Results!$E$4="Cells",Results!$E$5="Million",$B$52="million"),((DR15*DR$51)/(DR$52)),"0")))))</f>
        <v>0</v>
      </c>
      <c r="DS68" s="20" t="str">
        <f>IF(DS15=0,"0",IF(AND(Results!$E$5="Protein",$C$53&gt;0,OR(Results!$E$4="Tissue",Results!$E$4="Cells")),((DS15*DS$51)/(DS$53)),IF(AND(Results!$E$5="Weight",$C$52&gt;0, Results!$E$4="Tissue",OR($B$52="g",$B$52="mg")),((DS15*DS$51)/(DS$52)),IF(AND(Results!$E$5="Volume",$C$54&gt;0,Results!$E$4="Fluid"),((DS15*DS$51)/(DS$54)),IF(AND(Results!$E$4="Cells",Results!$E$5="Million",$B$52="million"),((DS15*DS$51)/(DS$52)),"0")))))</f>
        <v>0</v>
      </c>
      <c r="DT68" s="20" t="str">
        <f>IF(DT15=0,"0",IF(AND(Results!$E$5="Protein",$C$53&gt;0,OR(Results!$E$4="Tissue",Results!$E$4="Cells")),((DT15*DT$51)/(DT$53)),IF(AND(Results!$E$5="Weight",$C$52&gt;0, Results!$E$4="Tissue",OR($B$52="g",$B$52="mg")),((DT15*DT$51)/(DT$52)),IF(AND(Results!$E$5="Volume",$C$54&gt;0,Results!$E$4="Fluid"),((DT15*DT$51)/(DT$54)),IF(AND(Results!$E$4="Cells",Results!$E$5="Million",$B$52="million"),((DT15*DT$51)/(DT$52)),"0")))))</f>
        <v>0</v>
      </c>
      <c r="DU68" s="20" t="str">
        <f>IF(DU15=0,"0",IF(AND(Results!$E$5="Protein",$C$53&gt;0,OR(Results!$E$4="Tissue",Results!$E$4="Cells")),((DU15*DU$51)/(DU$53)),IF(AND(Results!$E$5="Weight",$C$52&gt;0, Results!$E$4="Tissue",OR($B$52="g",$B$52="mg")),((DU15*DU$51)/(DU$52)),IF(AND(Results!$E$5="Volume",$C$54&gt;0,Results!$E$4="Fluid"),((DU15*DU$51)/(DU$54)),IF(AND(Results!$E$4="Cells",Results!$E$5="Million",$B$52="million"),((DU15*DU$51)/(DU$52)),"0")))))</f>
        <v>0</v>
      </c>
      <c r="DV68" s="20" t="str">
        <f>IF(DV15=0,"0",IF(AND(Results!$E$5="Protein",$C$53&gt;0,OR(Results!$E$4="Tissue",Results!$E$4="Cells")),((DV15*DV$51)/(DV$53)),IF(AND(Results!$E$5="Weight",$C$52&gt;0, Results!$E$4="Tissue",OR($B$52="g",$B$52="mg")),((DV15*DV$51)/(DV$52)),IF(AND(Results!$E$5="Volume",$C$54&gt;0,Results!$E$4="Fluid"),((DV15*DV$51)/(DV$54)),IF(AND(Results!$E$4="Cells",Results!$E$5="Million",$B$52="million"),((DV15*DV$51)/(DV$52)),"0")))))</f>
        <v>0</v>
      </c>
      <c r="DW68" s="20" t="str">
        <f>IF(DW15=0,"0",IF(AND(Results!$E$5="Protein",$C$53&gt;0,OR(Results!$E$4="Tissue",Results!$E$4="Cells")),((DW15*DW$51)/(DW$53)),IF(AND(Results!$E$5="Weight",$C$52&gt;0, Results!$E$4="Tissue",OR($B$52="g",$B$52="mg")),((DW15*DW$51)/(DW$52)),IF(AND(Results!$E$5="Volume",$C$54&gt;0,Results!$E$4="Fluid"),((DW15*DW$51)/(DW$54)),IF(AND(Results!$E$4="Cells",Results!$E$5="Million",$B$52="million"),((DW15*DW$51)/(DW$52)),"0")))))</f>
        <v>0</v>
      </c>
      <c r="DX68" s="20" t="str">
        <f>IF(DX15=0,"0",IF(AND(Results!$E$5="Protein",$C$53&gt;0,OR(Results!$E$4="Tissue",Results!$E$4="Cells")),((DX15*DX$51)/(DX$53)),IF(AND(Results!$E$5="Weight",$C$52&gt;0, Results!$E$4="Tissue",OR($B$52="g",$B$52="mg")),((DX15*DX$51)/(DX$52)),IF(AND(Results!$E$5="Volume",$C$54&gt;0,Results!$E$4="Fluid"),((DX15*DX$51)/(DX$54)),IF(AND(Results!$E$4="Cells",Results!$E$5="Million",$B$52="million"),((DX15*DX$51)/(DX$52)),"0")))))</f>
        <v>0</v>
      </c>
      <c r="DY68" s="20" t="str">
        <f>IF(DY15=0,"0",IF(AND(Results!$E$5="Protein",$C$53&gt;0,OR(Results!$E$4="Tissue",Results!$E$4="Cells")),((DY15*DY$51)/(DY$53)),IF(AND(Results!$E$5="Weight",$C$52&gt;0, Results!$E$4="Tissue",OR($B$52="g",$B$52="mg")),((DY15*DY$51)/(DY$52)),IF(AND(Results!$E$5="Volume",$C$54&gt;0,Results!$E$4="Fluid"),((DY15*DY$51)/(DY$54)),IF(AND(Results!$E$4="Cells",Results!$E$5="Million",$B$52="million"),((DY15*DY$51)/(DY$52)),"0")))))</f>
        <v>0</v>
      </c>
      <c r="DZ68" s="20" t="str">
        <f>IF(DZ15=0,"0",IF(AND(Results!$E$5="Protein",$C$53&gt;0,OR(Results!$E$4="Tissue",Results!$E$4="Cells")),((DZ15*DZ$51)/(DZ$53)),IF(AND(Results!$E$5="Weight",$C$52&gt;0, Results!$E$4="Tissue",OR($B$52="g",$B$52="mg")),((DZ15*DZ$51)/(DZ$52)),IF(AND(Results!$E$5="Volume",$C$54&gt;0,Results!$E$4="Fluid"),((DZ15*DZ$51)/(DZ$54)),IF(AND(Results!$E$4="Cells",Results!$E$5="Million",$B$52="million"),((DZ15*DZ$51)/(DZ$52)),"0")))))</f>
        <v>0</v>
      </c>
      <c r="EA68" s="20" t="str">
        <f>IF(EA15=0,"0",IF(AND(Results!$E$5="Protein",$C$53&gt;0,OR(Results!$E$4="Tissue",Results!$E$4="Cells")),((EA15*EA$51)/(EA$53)),IF(AND(Results!$E$5="Weight",$C$52&gt;0, Results!$E$4="Tissue",OR($B$52="g",$B$52="mg")),((EA15*EA$51)/(EA$52)),IF(AND(Results!$E$5="Volume",$C$54&gt;0,Results!$E$4="Fluid"),((EA15*EA$51)/(EA$54)),IF(AND(Results!$E$4="Cells",Results!$E$5="Million",$B$52="million"),((EA15*EA$51)/(EA$52)),"0")))))</f>
        <v>0</v>
      </c>
      <c r="EB68" s="20" t="str">
        <f>IF(EB15=0,"0",IF(AND(Results!$E$5="Protein",$C$53&gt;0,OR(Results!$E$4="Tissue",Results!$E$4="Cells")),((EB15*EB$51)/(EB$53)),IF(AND(Results!$E$5="Weight",$C$52&gt;0, Results!$E$4="Tissue",OR($B$52="g",$B$52="mg")),((EB15*EB$51)/(EB$52)),IF(AND(Results!$E$5="Volume",$C$54&gt;0,Results!$E$4="Fluid"),((EB15*EB$51)/(EB$54)),IF(AND(Results!$E$4="Cells",Results!$E$5="Million",$B$52="million"),((EB15*EB$51)/(EB$52)),"0")))))</f>
        <v>0</v>
      </c>
      <c r="EC68" s="20" t="str">
        <f>IF(EC15=0,"0",IF(AND(Results!$E$5="Protein",$C$53&gt;0,OR(Results!$E$4="Tissue",Results!$E$4="Cells")),((EC15*EC$51)/(EC$53)),IF(AND(Results!$E$5="Weight",$C$52&gt;0, Results!$E$4="Tissue",OR($B$52="g",$B$52="mg")),((EC15*EC$51)/(EC$52)),IF(AND(Results!$E$5="Volume",$C$54&gt;0,Results!$E$4="Fluid"),((EC15*EC$51)/(EC$54)),IF(AND(Results!$E$4="Cells",Results!$E$5="Million",$B$52="million"),((EC15*EC$51)/(EC$52)),"0")))))</f>
        <v>0</v>
      </c>
      <c r="ED68" s="20" t="str">
        <f>IF(ED15=0,"0",IF(AND(Results!$E$5="Protein",$C$53&gt;0,OR(Results!$E$4="Tissue",Results!$E$4="Cells")),((ED15*ED$51)/(ED$53)),IF(AND(Results!$E$5="Weight",$C$52&gt;0, Results!$E$4="Tissue",OR($B$52="g",$B$52="mg")),((ED15*ED$51)/(ED$52)),IF(AND(Results!$E$5="Volume",$C$54&gt;0,Results!$E$4="Fluid"),((ED15*ED$51)/(ED$54)),IF(AND(Results!$E$4="Cells",Results!$E$5="Million",$B$52="million"),((ED15*ED$51)/(ED$52)),"0")))))</f>
        <v>0</v>
      </c>
      <c r="EE68" s="20" t="str">
        <f>IF(EE15=0,"0",IF(AND(Results!$E$5="Protein",$C$53&gt;0,OR(Results!$E$4="Tissue",Results!$E$4="Cells")),((EE15*EE$51)/(EE$53)),IF(AND(Results!$E$5="Weight",$C$52&gt;0, Results!$E$4="Tissue",OR($B$52="g",$B$52="mg")),((EE15*EE$51)/(EE$52)),IF(AND(Results!$E$5="Volume",$C$54&gt;0,Results!$E$4="Fluid"),((EE15*EE$51)/(EE$54)),IF(AND(Results!$E$4="Cells",Results!$E$5="Million",$B$52="million"),((EE15*EE$51)/(EE$52)),"0")))))</f>
        <v>0</v>
      </c>
      <c r="EF68" s="20" t="str">
        <f>IF(EF15=0,"0",IF(AND(Results!$E$5="Protein",$C$53&gt;0,OR(Results!$E$4="Tissue",Results!$E$4="Cells")),((EF15*EF$51)/(EF$53)),IF(AND(Results!$E$5="Weight",$C$52&gt;0, Results!$E$4="Tissue",OR($B$52="g",$B$52="mg")),((EF15*EF$51)/(EF$52)),IF(AND(Results!$E$5="Volume",$C$54&gt;0,Results!$E$4="Fluid"),((EF15*EF$51)/(EF$54)),IF(AND(Results!$E$4="Cells",Results!$E$5="Million",$B$52="million"),((EF15*EF$51)/(EF$52)),"0")))))</f>
        <v>0</v>
      </c>
      <c r="EG68" s="20" t="str">
        <f>IF(EG15=0,"0",IF(AND(Results!$E$5="Protein",$C$53&gt;0,OR(Results!$E$4="Tissue",Results!$E$4="Cells")),((EG15*EG$51)/(EG$53)),IF(AND(Results!$E$5="Weight",$C$52&gt;0, Results!$E$4="Tissue",OR($B$52="g",$B$52="mg")),((EG15*EG$51)/(EG$52)),IF(AND(Results!$E$5="Volume",$C$54&gt;0,Results!$E$4="Fluid"),((EG15*EG$51)/(EG$54)),IF(AND(Results!$E$4="Cells",Results!$E$5="Million",$B$52="million"),((EG15*EG$51)/(EG$52)),"0")))))</f>
        <v>0</v>
      </c>
      <c r="EH68" s="20" t="str">
        <f>IF(EH15=0,"0",IF(AND(Results!$E$5="Protein",$C$53&gt;0,OR(Results!$E$4="Tissue",Results!$E$4="Cells")),((EH15*EH$51)/(EH$53)),IF(AND(Results!$E$5="Weight",$C$52&gt;0, Results!$E$4="Tissue",OR($B$52="g",$B$52="mg")),((EH15*EH$51)/(EH$52)),IF(AND(Results!$E$5="Volume",$C$54&gt;0,Results!$E$4="Fluid"),((EH15*EH$51)/(EH$54)),IF(AND(Results!$E$4="Cells",Results!$E$5="Million",$B$52="million"),((EH15*EH$51)/(EH$52)),"0")))))</f>
        <v>0</v>
      </c>
      <c r="EI68" s="20" t="str">
        <f>IF(EI15=0,"0",IF(AND(Results!$E$5="Protein",$C$53&gt;0,OR(Results!$E$4="Tissue",Results!$E$4="Cells")),((EI15*EI$51)/(EI$53)),IF(AND(Results!$E$5="Weight",$C$52&gt;0, Results!$E$4="Tissue",OR($B$52="g",$B$52="mg")),((EI15*EI$51)/(EI$52)),IF(AND(Results!$E$5="Volume",$C$54&gt;0,Results!$E$4="Fluid"),((EI15*EI$51)/(EI$54)),IF(AND(Results!$E$4="Cells",Results!$E$5="Million",$B$52="million"),((EI15*EI$51)/(EI$52)),"0")))))</f>
        <v>0</v>
      </c>
      <c r="EJ68" s="20" t="str">
        <f>IF(EJ15=0,"0",IF(AND(Results!$E$5="Protein",$C$53&gt;0,OR(Results!$E$4="Tissue",Results!$E$4="Cells")),((EJ15*EJ$51)/(EJ$53)),IF(AND(Results!$E$5="Weight",$C$52&gt;0, Results!$E$4="Tissue",OR($B$52="g",$B$52="mg")),((EJ15*EJ$51)/(EJ$52)),IF(AND(Results!$E$5="Volume",$C$54&gt;0,Results!$E$4="Fluid"),((EJ15*EJ$51)/(EJ$54)),IF(AND(Results!$E$4="Cells",Results!$E$5="Million",$B$52="million"),((EJ15*EJ$51)/(EJ$52)),"0")))))</f>
        <v>0</v>
      </c>
      <c r="EK68" s="20" t="str">
        <f>IF(EK15=0,"0",IF(AND(Results!$E$5="Protein",$C$53&gt;0,OR(Results!$E$4="Tissue",Results!$E$4="Cells")),((EK15*EK$51)/(EK$53)),IF(AND(Results!$E$5="Weight",$C$52&gt;0, Results!$E$4="Tissue",OR($B$52="g",$B$52="mg")),((EK15*EK$51)/(EK$52)),IF(AND(Results!$E$5="Volume",$C$54&gt;0,Results!$E$4="Fluid"),((EK15*EK$51)/(EK$54)),IF(AND(Results!$E$4="Cells",Results!$E$5="Million",$B$52="million"),((EK15*EK$51)/(EK$52)),"0")))))</f>
        <v>0</v>
      </c>
      <c r="EL68" s="20" t="str">
        <f>IF(EL15=0,"0",IF(AND(Results!$E$5="Protein",$C$53&gt;0,OR(Results!$E$4="Tissue",Results!$E$4="Cells")),((EL15*EL$51)/(EL$53)),IF(AND(Results!$E$5="Weight",$C$52&gt;0, Results!$E$4="Tissue",OR($B$52="g",$B$52="mg")),((EL15*EL$51)/(EL$52)),IF(AND(Results!$E$5="Volume",$C$54&gt;0,Results!$E$4="Fluid"),((EL15*EL$51)/(EL$54)),IF(AND(Results!$E$4="Cells",Results!$E$5="Million",$B$52="million"),((EL15*EL$51)/(EL$52)),"0")))))</f>
        <v>0</v>
      </c>
      <c r="EM68" s="20" t="str">
        <f>IF(EM15=0,"0",IF(AND(Results!$E$5="Protein",$C$53&gt;0,OR(Results!$E$4="Tissue",Results!$E$4="Cells")),((EM15*EM$51)/(EM$53)),IF(AND(Results!$E$5="Weight",$C$52&gt;0, Results!$E$4="Tissue",OR($B$52="g",$B$52="mg")),((EM15*EM$51)/(EM$52)),IF(AND(Results!$E$5="Volume",$C$54&gt;0,Results!$E$4="Fluid"),((EM15*EM$51)/(EM$54)),IF(AND(Results!$E$4="Cells",Results!$E$5="Million",$B$52="million"),((EM15*EM$51)/(EM$52)),"0")))))</f>
        <v>0</v>
      </c>
      <c r="EN68" s="20" t="str">
        <f>IF(EN15=0,"0",IF(AND(Results!$E$5="Protein",$C$53&gt;0,OR(Results!$E$4="Tissue",Results!$E$4="Cells")),((EN15*EN$51)/(EN$53)),IF(AND(Results!$E$5="Weight",$C$52&gt;0, Results!$E$4="Tissue",OR($B$52="g",$B$52="mg")),((EN15*EN$51)/(EN$52)),IF(AND(Results!$E$5="Volume",$C$54&gt;0,Results!$E$4="Fluid"),((EN15*EN$51)/(EN$54)),IF(AND(Results!$E$4="Cells",Results!$E$5="Million",$B$52="million"),((EN15*EN$51)/(EN$52)),"0")))))</f>
        <v>0</v>
      </c>
      <c r="EO68" s="20" t="str">
        <f>IF(EO15=0,"0",IF(AND(Results!$E$5="Protein",$C$53&gt;0,OR(Results!$E$4="Tissue",Results!$E$4="Cells")),((EO15*EO$51)/(EO$53)),IF(AND(Results!$E$5="Weight",$C$52&gt;0, Results!$E$4="Tissue",OR($B$52="g",$B$52="mg")),((EO15*EO$51)/(EO$52)),IF(AND(Results!$E$5="Volume",$C$54&gt;0,Results!$E$4="Fluid"),((EO15*EO$51)/(EO$54)),IF(AND(Results!$E$4="Cells",Results!$E$5="Million",$B$52="million"),((EO15*EO$51)/(EO$52)),"0")))))</f>
        <v>0</v>
      </c>
      <c r="EP68" s="20" t="str">
        <f>IF(EP15=0,"0",IF(AND(Results!$E$5="Protein",$C$53&gt;0,OR(Results!$E$4="Tissue",Results!$E$4="Cells")),((EP15*EP$51)/(EP$53)),IF(AND(Results!$E$5="Weight",$C$52&gt;0, Results!$E$4="Tissue",OR($B$52="g",$B$52="mg")),((EP15*EP$51)/(EP$52)),IF(AND(Results!$E$5="Volume",$C$54&gt;0,Results!$E$4="Fluid"),((EP15*EP$51)/(EP$54)),IF(AND(Results!$E$4="Cells",Results!$E$5="Million",$B$52="million"),((EP15*EP$51)/(EP$52)),"0")))))</f>
        <v>0</v>
      </c>
      <c r="EQ68" s="20" t="str">
        <f>IF(EQ15=0,"0",IF(AND(Results!$E$5="Protein",$C$53&gt;0,OR(Results!$E$4="Tissue",Results!$E$4="Cells")),((EQ15*EQ$51)/(EQ$53)),IF(AND(Results!$E$5="Weight",$C$52&gt;0, Results!$E$4="Tissue",OR($B$52="g",$B$52="mg")),((EQ15*EQ$51)/(EQ$52)),IF(AND(Results!$E$5="Volume",$C$54&gt;0,Results!$E$4="Fluid"),((EQ15*EQ$51)/(EQ$54)),IF(AND(Results!$E$4="Cells",Results!$E$5="Million",$B$52="million"),((EQ15*EQ$51)/(EQ$52)),"0")))))</f>
        <v>0</v>
      </c>
      <c r="ER68" s="20" t="str">
        <f>IF(ER15=0,"0",IF(AND(Results!$E$5="Protein",$C$53&gt;0,OR(Results!$E$4="Tissue",Results!$E$4="Cells")),((ER15*ER$51)/(ER$53)),IF(AND(Results!$E$5="Weight",$C$52&gt;0, Results!$E$4="Tissue",OR($B$52="g",$B$52="mg")),((ER15*ER$51)/(ER$52)),IF(AND(Results!$E$5="Volume",$C$54&gt;0,Results!$E$4="Fluid"),((ER15*ER$51)/(ER$54)),IF(AND(Results!$E$4="Cells",Results!$E$5="Million",$B$52="million"),((ER15*ER$51)/(ER$52)),"0")))))</f>
        <v>0</v>
      </c>
      <c r="ES68" s="20" t="str">
        <f>IF(ES15=0,"0",IF(AND(Results!$E$5="Protein",$C$53&gt;0,OR(Results!$E$4="Tissue",Results!$E$4="Cells")),((ES15*ES$51)/(ES$53)),IF(AND(Results!$E$5="Weight",$C$52&gt;0, Results!$E$4="Tissue",OR($B$52="g",$B$52="mg")),((ES15*ES$51)/(ES$52)),IF(AND(Results!$E$5="Volume",$C$54&gt;0,Results!$E$4="Fluid"),((ES15*ES$51)/(ES$54)),IF(AND(Results!$E$4="Cells",Results!$E$5="Million",$B$52="million"),((ES15*ES$51)/(ES$52)),"0")))))</f>
        <v>0</v>
      </c>
      <c r="ET68" s="20" t="str">
        <f>IF(ET15=0,"0",IF(AND(Results!$E$5="Protein",$C$53&gt;0,OR(Results!$E$4="Tissue",Results!$E$4="Cells")),((ET15*ET$51)/(ET$53)),IF(AND(Results!$E$5="Weight",$C$52&gt;0, Results!$E$4="Tissue",OR($B$52="g",$B$52="mg")),((ET15*ET$51)/(ET$52)),IF(AND(Results!$E$5="Volume",$C$54&gt;0,Results!$E$4="Fluid"),((ET15*ET$51)/(ET$54)),IF(AND(Results!$E$4="Cells",Results!$E$5="Million",$B$52="million"),((ET15*ET$51)/(ET$52)),"0")))))</f>
        <v>0</v>
      </c>
      <c r="EU68" s="20" t="str">
        <f>IF(EU15=0,"0",IF(AND(Results!$E$5="Protein",$C$53&gt;0,OR(Results!$E$4="Tissue",Results!$E$4="Cells")),((EU15*EU$51)/(EU$53)),IF(AND(Results!$E$5="Weight",$C$52&gt;0, Results!$E$4="Tissue",OR($B$52="g",$B$52="mg")),((EU15*EU$51)/(EU$52)),IF(AND(Results!$E$5="Volume",$C$54&gt;0,Results!$E$4="Fluid"),((EU15*EU$51)/(EU$54)),IF(AND(Results!$E$4="Cells",Results!$E$5="Million",$B$52="million"),((EU15*EU$51)/(EU$52)),"0")))))</f>
        <v>0</v>
      </c>
      <c r="EV68" s="20" t="str">
        <f>IF(EV15=0,"0",IF(AND(Results!$E$5="Protein",$C$53&gt;0,OR(Results!$E$4="Tissue",Results!$E$4="Cells")),((EV15*EV$51)/(EV$53)),IF(AND(Results!$E$5="Weight",$C$52&gt;0, Results!$E$4="Tissue",OR($B$52="g",$B$52="mg")),((EV15*EV$51)/(EV$52)),IF(AND(Results!$E$5="Volume",$C$54&gt;0,Results!$E$4="Fluid"),((EV15*EV$51)/(EV$54)),IF(AND(Results!$E$4="Cells",Results!$E$5="Million",$B$52="million"),((EV15*EV$51)/(EV$52)),"0")))))</f>
        <v>0</v>
      </c>
      <c r="EW68" s="20" t="str">
        <f>IF(EW15=0,"0",IF(AND(Results!$E$5="Protein",$C$53&gt;0,OR(Results!$E$4="Tissue",Results!$E$4="Cells")),((EW15*EW$51)/(EW$53)),IF(AND(Results!$E$5="Weight",$C$52&gt;0, Results!$E$4="Tissue",OR($B$52="g",$B$52="mg")),((EW15*EW$51)/(EW$52)),IF(AND(Results!$E$5="Volume",$C$54&gt;0,Results!$E$4="Fluid"),((EW15*EW$51)/(EW$54)),IF(AND(Results!$E$4="Cells",Results!$E$5="Million",$B$52="million"),((EW15*EW$51)/(EW$52)),"0")))))</f>
        <v>0</v>
      </c>
      <c r="EX68" s="20" t="str">
        <f>IF(EX15=0,"0",IF(AND(Results!$E$5="Protein",$C$53&gt;0,OR(Results!$E$4="Tissue",Results!$E$4="Cells")),((EX15*EX$51)/(EX$53)),IF(AND(Results!$E$5="Weight",$C$52&gt;0, Results!$E$4="Tissue",OR($B$52="g",$B$52="mg")),((EX15*EX$51)/(EX$52)),IF(AND(Results!$E$5="Volume",$C$54&gt;0,Results!$E$4="Fluid"),((EX15*EX$51)/(EX$54)),IF(AND(Results!$E$4="Cells",Results!$E$5="Million",$B$52="million"),((EX15*EX$51)/(EX$52)),"0")))))</f>
        <v>0</v>
      </c>
      <c r="EY68" s="20" t="str">
        <f>IF(EY15=0,"0",IF(AND(Results!$E$5="Protein",$C$53&gt;0,OR(Results!$E$4="Tissue",Results!$E$4="Cells")),((EY15*EY$51)/(EY$53)),IF(AND(Results!$E$5="Weight",$C$52&gt;0, Results!$E$4="Tissue",OR($B$52="g",$B$52="mg")),((EY15*EY$51)/(EY$52)),IF(AND(Results!$E$5="Volume",$C$54&gt;0,Results!$E$4="Fluid"),((EY15*EY$51)/(EY$54)),IF(AND(Results!$E$4="Cells",Results!$E$5="Million",$B$52="million"),((EY15*EY$51)/(EY$52)),"0")))))</f>
        <v>0</v>
      </c>
      <c r="EZ68" s="20" t="str">
        <f>IF(EZ15=0,"0",IF(AND(Results!$E$5="Protein",$C$53&gt;0,OR(Results!$E$4="Tissue",Results!$E$4="Cells")),((EZ15*EZ$51)/(EZ$53)),IF(AND(Results!$E$5="Weight",$C$52&gt;0, Results!$E$4="Tissue",OR($B$52="g",$B$52="mg")),((EZ15*EZ$51)/(EZ$52)),IF(AND(Results!$E$5="Volume",$C$54&gt;0,Results!$E$4="Fluid"),((EZ15*EZ$51)/(EZ$54)),IF(AND(Results!$E$4="Cells",Results!$E$5="Million",$B$52="million"),((EZ15*EZ$51)/(EZ$52)),"0")))))</f>
        <v>0</v>
      </c>
      <c r="FA68" s="20" t="str">
        <f>IF(FA15=0,"0",IF(AND(Results!$E$5="Protein",$C$53&gt;0,OR(Results!$E$4="Tissue",Results!$E$4="Cells")),((FA15*FA$51)/(FA$53)),IF(AND(Results!$E$5="Weight",$C$52&gt;0, Results!$E$4="Tissue",OR($B$52="g",$B$52="mg")),((FA15*FA$51)/(FA$52)),IF(AND(Results!$E$5="Volume",$C$54&gt;0,Results!$E$4="Fluid"),((FA15*FA$51)/(FA$54)),IF(AND(Results!$E$4="Cells",Results!$E$5="Million",$B$52="million"),((FA15*FA$51)/(FA$52)),"0")))))</f>
        <v>0</v>
      </c>
      <c r="FB68" s="20" t="str">
        <f>IF(FB15=0,"0",IF(AND(Results!$E$5="Protein",$C$53&gt;0,OR(Results!$E$4="Tissue",Results!$E$4="Cells")),((FB15*FB$51)/(FB$53)),IF(AND(Results!$E$5="Weight",$C$52&gt;0, Results!$E$4="Tissue",OR($B$52="g",$B$52="mg")),((FB15*FB$51)/(FB$52)),IF(AND(Results!$E$5="Volume",$C$54&gt;0,Results!$E$4="Fluid"),((FB15*FB$51)/(FB$54)),IF(AND(Results!$E$4="Cells",Results!$E$5="Million",$B$52="million"),((FB15*FB$51)/(FB$52)),"0")))))</f>
        <v>0</v>
      </c>
      <c r="FC68" s="20" t="str">
        <f>IF(FC15=0,"0",IF(AND(Results!$E$5="Protein",$C$53&gt;0,OR(Results!$E$4="Tissue",Results!$E$4="Cells")),((FC15*FC$51)/(FC$53)),IF(AND(Results!$E$5="Weight",$C$52&gt;0, Results!$E$4="Tissue",OR($B$52="g",$B$52="mg")),((FC15*FC$51)/(FC$52)),IF(AND(Results!$E$5="Volume",$C$54&gt;0,Results!$E$4="Fluid"),((FC15*FC$51)/(FC$54)),IF(AND(Results!$E$4="Cells",Results!$E$5="Million",$B$52="million"),((FC15*FC$51)/(FC$52)),"0")))))</f>
        <v>0</v>
      </c>
      <c r="FD68" s="20" t="str">
        <f>IF(FD15=0,"0",IF(AND(Results!$E$5="Protein",$C$53&gt;0,OR(Results!$E$4="Tissue",Results!$E$4="Cells")),((FD15*FD$51)/(FD$53)),IF(AND(Results!$E$5="Weight",$C$52&gt;0, Results!$E$4="Tissue",OR($B$52="g",$B$52="mg")),((FD15*FD$51)/(FD$52)),IF(AND(Results!$E$5="Volume",$C$54&gt;0,Results!$E$4="Fluid"),((FD15*FD$51)/(FD$54)),IF(AND(Results!$E$4="Cells",Results!$E$5="Million",$B$52="million"),((FD15*FD$51)/(FD$52)),"0")))))</f>
        <v>0</v>
      </c>
      <c r="FE68" s="20" t="str">
        <f>IF(FE15=0,"0",IF(AND(Results!$E$5="Protein",$C$53&gt;0,OR(Results!$E$4="Tissue",Results!$E$4="Cells")),((FE15*FE$51)/(FE$53)),IF(AND(Results!$E$5="Weight",$C$52&gt;0, Results!$E$4="Tissue",OR($B$52="g",$B$52="mg")),((FE15*FE$51)/(FE$52)),IF(AND(Results!$E$5="Volume",$C$54&gt;0,Results!$E$4="Fluid"),((FE15*FE$51)/(FE$54)),IF(AND(Results!$E$4="Cells",Results!$E$5="Million",$B$52="million"),((FE15*FE$51)/(FE$52)),"0")))))</f>
        <v>0</v>
      </c>
      <c r="FF68" s="20" t="str">
        <f>IF(FF15=0,"0",IF(AND(Results!$E$5="Protein",$C$53&gt;0,OR(Results!$E$4="Tissue",Results!$E$4="Cells")),((FF15*FF$51)/(FF$53)),IF(AND(Results!$E$5="Weight",$C$52&gt;0, Results!$E$4="Tissue",OR($B$52="g",$B$52="mg")),((FF15*FF$51)/(FF$52)),IF(AND(Results!$E$5="Volume",$C$54&gt;0,Results!$E$4="Fluid"),((FF15*FF$51)/(FF$54)),IF(AND(Results!$E$4="Cells",Results!$E$5="Million",$B$52="million"),((FF15*FF$51)/(FF$52)),"0")))))</f>
        <v>0</v>
      </c>
      <c r="FG68" s="20" t="str">
        <f>IF(FG15=0,"0",IF(AND(Results!$E$5="Protein",$C$53&gt;0,OR(Results!$E$4="Tissue",Results!$E$4="Cells")),((FG15*FG$51)/(FG$53)),IF(AND(Results!$E$5="Weight",$C$52&gt;0, Results!$E$4="Tissue",OR($B$52="g",$B$52="mg")),((FG15*FG$51)/(FG$52)),IF(AND(Results!$E$5="Volume",$C$54&gt;0,Results!$E$4="Fluid"),((FG15*FG$51)/(FG$54)),IF(AND(Results!$E$4="Cells",Results!$E$5="Million",$B$52="million"),((FG15*FG$51)/(FG$52)),"0")))))</f>
        <v>0</v>
      </c>
      <c r="FH68" s="20" t="str">
        <f>IF(FH15=0,"0",IF(AND(Results!$E$5="Protein",$C$53&gt;0,OR(Results!$E$4="Tissue",Results!$E$4="Cells")),((FH15*FH$51)/(FH$53)),IF(AND(Results!$E$5="Weight",$C$52&gt;0, Results!$E$4="Tissue",OR($B$52="g",$B$52="mg")),((FH15*FH$51)/(FH$52)),IF(AND(Results!$E$5="Volume",$C$54&gt;0,Results!$E$4="Fluid"),((FH15*FH$51)/(FH$54)),IF(AND(Results!$E$4="Cells",Results!$E$5="Million",$B$52="million"),((FH15*FH$51)/(FH$52)),"0")))))</f>
        <v>0</v>
      </c>
      <c r="FI68" s="20" t="str">
        <f>IF(FI15=0,"0",IF(AND(Results!$E$5="Protein",$C$53&gt;0,OR(Results!$E$4="Tissue",Results!$E$4="Cells")),((FI15*FI$51)/(FI$53)),IF(AND(Results!$E$5="Weight",$C$52&gt;0, Results!$E$4="Tissue",OR($B$52="g",$B$52="mg")),((FI15*FI$51)/(FI$52)),IF(AND(Results!$E$5="Volume",$C$54&gt;0,Results!$E$4="Fluid"),((FI15*FI$51)/(FI$54)),IF(AND(Results!$E$4="Cells",Results!$E$5="Million",$B$52="million"),((FI15*FI$51)/(FI$52)),"0")))))</f>
        <v>0</v>
      </c>
      <c r="FJ68" s="20" t="str">
        <f>IF(FJ15=0,"0",IF(AND(Results!$E$5="Protein",$C$53&gt;0,OR(Results!$E$4="Tissue",Results!$E$4="Cells")),((FJ15*FJ$51)/(FJ$53)),IF(AND(Results!$E$5="Weight",$C$52&gt;0, Results!$E$4="Tissue",OR($B$52="g",$B$52="mg")),((FJ15*FJ$51)/(FJ$52)),IF(AND(Results!$E$5="Volume",$C$54&gt;0,Results!$E$4="Fluid"),((FJ15*FJ$51)/(FJ$54)),IF(AND(Results!$E$4="Cells",Results!$E$5="Million",$B$52="million"),((FJ15*FJ$51)/(FJ$52)),"0")))))</f>
        <v>0</v>
      </c>
      <c r="FK68" s="20" t="str">
        <f>IF(FK15=0,"0",IF(AND(Results!$E$5="Protein",$C$53&gt;0,OR(Results!$E$4="Tissue",Results!$E$4="Cells")),((FK15*FK$51)/(FK$53)),IF(AND(Results!$E$5="Weight",$C$52&gt;0, Results!$E$4="Tissue",OR($B$52="g",$B$52="mg")),((FK15*FK$51)/(FK$52)),IF(AND(Results!$E$5="Volume",$C$54&gt;0,Results!$E$4="Fluid"),((FK15*FK$51)/(FK$54)),IF(AND(Results!$E$4="Cells",Results!$E$5="Million",$B$52="million"),((FK15*FK$51)/(FK$52)),"0")))))</f>
        <v>0</v>
      </c>
      <c r="FL68" s="20" t="str">
        <f>IF(FL15=0,"0",IF(AND(Results!$E$5="Protein",$C$53&gt;0,OR(Results!$E$4="Tissue",Results!$E$4="Cells")),((FL15*FL$51)/(FL$53)),IF(AND(Results!$E$5="Weight",$C$52&gt;0, Results!$E$4="Tissue",OR($B$52="g",$B$52="mg")),((FL15*FL$51)/(FL$52)),IF(AND(Results!$E$5="Volume",$C$54&gt;0,Results!$E$4="Fluid"),((FL15*FL$51)/(FL$54)),IF(AND(Results!$E$4="Cells",Results!$E$5="Million",$B$52="million"),((FL15*FL$51)/(FL$52)),"0")))))</f>
        <v>0</v>
      </c>
      <c r="FM68" s="20" t="str">
        <f>IF(FM15=0,"0",IF(AND(Results!$E$5="Protein",$C$53&gt;0,OR(Results!$E$4="Tissue",Results!$E$4="Cells")),((FM15*FM$51)/(FM$53)),IF(AND(Results!$E$5="Weight",$C$52&gt;0, Results!$E$4="Tissue",OR($B$52="g",$B$52="mg")),((FM15*FM$51)/(FM$52)),IF(AND(Results!$E$5="Volume",$C$54&gt;0,Results!$E$4="Fluid"),((FM15*FM$51)/(FM$54)),IF(AND(Results!$E$4="Cells",Results!$E$5="Million",$B$52="million"),((FM15*FM$51)/(FM$52)),"0")))))</f>
        <v>0</v>
      </c>
      <c r="FN68" s="20" t="str">
        <f>IF(FN15=0,"0",IF(AND(Results!$E$5="Protein",$C$53&gt;0,OR(Results!$E$4="Tissue",Results!$E$4="Cells")),((FN15*FN$51)/(FN$53)),IF(AND(Results!$E$5="Weight",$C$52&gt;0, Results!$E$4="Tissue",OR($B$52="g",$B$52="mg")),((FN15*FN$51)/(FN$52)),IF(AND(Results!$E$5="Volume",$C$54&gt;0,Results!$E$4="Fluid"),((FN15*FN$51)/(FN$54)),IF(AND(Results!$E$4="Cells",Results!$E$5="Million",$B$52="million"),((FN15*FN$51)/(FN$52)),"0")))))</f>
        <v>0</v>
      </c>
      <c r="FO68" s="20" t="str">
        <f>IF(FO15=0,"0",IF(AND(Results!$E$5="Protein",$C$53&gt;0,OR(Results!$E$4="Tissue",Results!$E$4="Cells")),((FO15*FO$51)/(FO$53)),IF(AND(Results!$E$5="Weight",$C$52&gt;0, Results!$E$4="Tissue",OR($B$52="g",$B$52="mg")),((FO15*FO$51)/(FO$52)),IF(AND(Results!$E$5="Volume",$C$54&gt;0,Results!$E$4="Fluid"),((FO15*FO$51)/(FO$54)),IF(AND(Results!$E$4="Cells",Results!$E$5="Million",$B$52="million"),((FO15*FO$51)/(FO$52)),"0")))))</f>
        <v>0</v>
      </c>
    </row>
    <row r="69" spans="1:171" x14ac:dyDescent="0.2">
      <c r="A69" s="120" t="str">
        <f t="shared" si="0"/>
        <v>14,15-EET</v>
      </c>
      <c r="B69" s="121"/>
      <c r="C69" s="20" t="str">
        <f>IF(C16=0,"0",IF(AND(Results!$E$5="Protein",$C$53&gt;0,OR(Results!$E$4="Tissue",Results!$E$4="Cells")),((C16*C$51)/(C$53)),IF(AND(Results!$E$5="Weight",$C$52&gt;0, Results!$E$4="Tissue",OR($B$52="g",$B$52="mg")),((C16*C$51)/(C$52)),IF(AND(Results!$E$5="Volume",$C$54&gt;0,Results!$E$4="Fluid"),((C16*C$51)/(C$54)),IF(AND(Results!$E$4="Cells",Results!$E$5="Million",$B$52="million"),((C16*C$51)/(C$52)),"0")))))</f>
        <v>0</v>
      </c>
      <c r="D69" s="20" t="str">
        <f>IF(D16=0,"0",IF(AND(Results!$E$5="Protein",$C$53&gt;0,OR(Results!$E$4="Tissue",Results!$E$4="Cells")),((D16*D$51)/(D$53)),IF(AND(Results!$E$5="Weight",$C$52&gt;0, Results!$E$4="Tissue",OR($B$52="g",$B$52="mg")),((D16*D$51)/(D$52)),IF(AND(Results!$E$5="Volume",$C$54&gt;0,Results!$E$4="Fluid"),((D16*D$51)/(D$54)),IF(AND(Results!$E$4="Cells",Results!$E$5="Million",$B$52="million"),((D16*D$51)/(D$52)),"0")))))</f>
        <v>0</v>
      </c>
      <c r="E69" s="20" t="str">
        <f>IF(E16=0,"0",IF(AND(Results!$E$5="Protein",$C$53&gt;0,OR(Results!$E$4="Tissue",Results!$E$4="Cells")),((E16*E$51)/(E$53)),IF(AND(Results!$E$5="Weight",$C$52&gt;0, Results!$E$4="Tissue",OR($B$52="g",$B$52="mg")),((E16*E$51)/(E$52)),IF(AND(Results!$E$5="Volume",$C$54&gt;0,Results!$E$4="Fluid"),((E16*E$51)/(E$54)),IF(AND(Results!$E$4="Cells",Results!$E$5="Million",$B$52="million"),((E16*E$51)/(E$52)),"0")))))</f>
        <v>0</v>
      </c>
      <c r="F69" s="20" t="str">
        <f>IF(F16=0,"0",IF(AND(Results!$E$5="Protein",$C$53&gt;0,OR(Results!$E$4="Tissue",Results!$E$4="Cells")),((F16*F$51)/(F$53)),IF(AND(Results!$E$5="Weight",$C$52&gt;0, Results!$E$4="Tissue",OR($B$52="g",$B$52="mg")),((F16*F$51)/(F$52)),IF(AND(Results!$E$5="Volume",$C$54&gt;0,Results!$E$4="Fluid"),((F16*F$51)/(F$54)),IF(AND(Results!$E$4="Cells",Results!$E$5="Million",$B$52="million"),((F16*F$51)/(F$52)),"0")))))</f>
        <v>0</v>
      </c>
      <c r="G69" s="20" t="str">
        <f>IF(G16=0,"0",IF(AND(Results!$E$5="Protein",$C$53&gt;0,OR(Results!$E$4="Tissue",Results!$E$4="Cells")),((G16*G$51)/(G$53)),IF(AND(Results!$E$5="Weight",$C$52&gt;0, Results!$E$4="Tissue",OR($B$52="g",$B$52="mg")),((G16*G$51)/(G$52)),IF(AND(Results!$E$5="Volume",$C$54&gt;0,Results!$E$4="Fluid"),((G16*G$51)/(G$54)),IF(AND(Results!$E$4="Cells",Results!$E$5="Million",$B$52="million"),((G16*G$51)/(G$52)),"0")))))</f>
        <v>0</v>
      </c>
      <c r="H69" s="20" t="str">
        <f>IF(H16=0,"0",IF(AND(Results!$E$5="Protein",$C$53&gt;0,OR(Results!$E$4="Tissue",Results!$E$4="Cells")),((H16*H$51)/(H$53)),IF(AND(Results!$E$5="Weight",$C$52&gt;0, Results!$E$4="Tissue",OR($B$52="g",$B$52="mg")),((H16*H$51)/(H$52)),IF(AND(Results!$E$5="Volume",$C$54&gt;0,Results!$E$4="Fluid"),((H16*H$51)/(H$54)),IF(AND(Results!$E$4="Cells",Results!$E$5="Million",$B$52="million"),((H16*H$51)/(H$52)),"0")))))</f>
        <v>0</v>
      </c>
      <c r="I69" s="20" t="str">
        <f>IF(I16=0,"0",IF(AND(Results!$E$5="Protein",$C$53&gt;0,OR(Results!$E$4="Tissue",Results!$E$4="Cells")),((I16*I$51)/(I$53)),IF(AND(Results!$E$5="Weight",$C$52&gt;0, Results!$E$4="Tissue",OR($B$52="g",$B$52="mg")),((I16*I$51)/(I$52)),IF(AND(Results!$E$5="Volume",$C$54&gt;0,Results!$E$4="Fluid"),((I16*I$51)/(I$54)),IF(AND(Results!$E$4="Cells",Results!$E$5="Million",$B$52="million"),((I16*I$51)/(I$52)),"0")))))</f>
        <v>0</v>
      </c>
      <c r="J69" s="20" t="str">
        <f>IF(J16=0,"0",IF(AND(Results!$E$5="Protein",$C$53&gt;0,OR(Results!$E$4="Tissue",Results!$E$4="Cells")),((J16*J$51)/(J$53)),IF(AND(Results!$E$5="Weight",$C$52&gt;0, Results!$E$4="Tissue",OR($B$52="g",$B$52="mg")),((J16*J$51)/(J$52)),IF(AND(Results!$E$5="Volume",$C$54&gt;0,Results!$E$4="Fluid"),((J16*J$51)/(J$54)),IF(AND(Results!$E$4="Cells",Results!$E$5="Million",$B$52="million"),((J16*J$51)/(J$52)),"0")))))</f>
        <v>0</v>
      </c>
      <c r="K69" s="20" t="str">
        <f>IF(K16=0,"0",IF(AND(Results!$E$5="Protein",$C$53&gt;0,OR(Results!$E$4="Tissue",Results!$E$4="Cells")),((K16*K$51)/(K$53)),IF(AND(Results!$E$5="Weight",$C$52&gt;0, Results!$E$4="Tissue",OR($B$52="g",$B$52="mg")),((K16*K$51)/(K$52)),IF(AND(Results!$E$5="Volume",$C$54&gt;0,Results!$E$4="Fluid"),((K16*K$51)/(K$54)),IF(AND(Results!$E$4="Cells",Results!$E$5="Million",$B$52="million"),((K16*K$51)/(K$52)),"0")))))</f>
        <v>0</v>
      </c>
      <c r="L69" s="20" t="str">
        <f>IF(L16=0,"0",IF(AND(Results!$E$5="Protein",$C$53&gt;0,OR(Results!$E$4="Tissue",Results!$E$4="Cells")),((L16*L$51)/(L$53)),IF(AND(Results!$E$5="Weight",$C$52&gt;0, Results!$E$4="Tissue",OR($B$52="g",$B$52="mg")),((L16*L$51)/(L$52)),IF(AND(Results!$E$5="Volume",$C$54&gt;0,Results!$E$4="Fluid"),((L16*L$51)/(L$54)),IF(AND(Results!$E$4="Cells",Results!$E$5="Million",$B$52="million"),((L16*L$51)/(L$52)),"0")))))</f>
        <v>0</v>
      </c>
      <c r="M69" s="20" t="str">
        <f>IF(M16=0,"0",IF(AND(Results!$E$5="Protein",$C$53&gt;0,OR(Results!$E$4="Tissue",Results!$E$4="Cells")),((M16*M$51)/(M$53)),IF(AND(Results!$E$5="Weight",$C$52&gt;0, Results!$E$4="Tissue",OR($B$52="g",$B$52="mg")),((M16*M$51)/(M$52)),IF(AND(Results!$E$5="Volume",$C$54&gt;0,Results!$E$4="Fluid"),((M16*M$51)/(M$54)),IF(AND(Results!$E$4="Cells",Results!$E$5="Million",$B$52="million"),((M16*M$51)/(M$52)),"0")))))</f>
        <v>0</v>
      </c>
      <c r="N69" s="20" t="str">
        <f>IF(N16=0,"0",IF(AND(Results!$E$5="Protein",$C$53&gt;0,OR(Results!$E$4="Tissue",Results!$E$4="Cells")),((N16*N$51)/(N$53)),IF(AND(Results!$E$5="Weight",$C$52&gt;0, Results!$E$4="Tissue",OR($B$52="g",$B$52="mg")),((N16*N$51)/(N$52)),IF(AND(Results!$E$5="Volume",$C$54&gt;0,Results!$E$4="Fluid"),((N16*N$51)/(N$54)),IF(AND(Results!$E$4="Cells",Results!$E$5="Million",$B$52="million"),((N16*N$51)/(N$52)),"0")))))</f>
        <v>0</v>
      </c>
      <c r="O69" s="20" t="str">
        <f>IF(O16=0,"0",IF(AND(Results!$E$5="Protein",$C$53&gt;0,OR(Results!$E$4="Tissue",Results!$E$4="Cells")),((O16*O$51)/(O$53)),IF(AND(Results!$E$5="Weight",$C$52&gt;0, Results!$E$4="Tissue",OR($B$52="g",$B$52="mg")),((O16*O$51)/(O$52)),IF(AND(Results!$E$5="Volume",$C$54&gt;0,Results!$E$4="Fluid"),((O16*O$51)/(O$54)),IF(AND(Results!$E$4="Cells",Results!$E$5="Million",$B$52="million"),((O16*O$51)/(O$52)),"0")))))</f>
        <v>0</v>
      </c>
      <c r="P69" s="20" t="str">
        <f>IF(P16=0,"0",IF(AND(Results!$E$5="Protein",$C$53&gt;0,OR(Results!$E$4="Tissue",Results!$E$4="Cells")),((P16*P$51)/(P$53)),IF(AND(Results!$E$5="Weight",$C$52&gt;0, Results!$E$4="Tissue",OR($B$52="g",$B$52="mg")),((P16*P$51)/(P$52)),IF(AND(Results!$E$5="Volume",$C$54&gt;0,Results!$E$4="Fluid"),((P16*P$51)/(P$54)),IF(AND(Results!$E$4="Cells",Results!$E$5="Million",$B$52="million"),((P16*P$51)/(P$52)),"0")))))</f>
        <v>0</v>
      </c>
      <c r="Q69" s="20" t="str">
        <f>IF(Q16=0,"0",IF(AND(Results!$E$5="Protein",$C$53&gt;0,OR(Results!$E$4="Tissue",Results!$E$4="Cells")),((Q16*Q$51)/(Q$53)),IF(AND(Results!$E$5="Weight",$C$52&gt;0, Results!$E$4="Tissue",OR($B$52="g",$B$52="mg")),((Q16*Q$51)/(Q$52)),IF(AND(Results!$E$5="Volume",$C$54&gt;0,Results!$E$4="Fluid"),((Q16*Q$51)/(Q$54)),IF(AND(Results!$E$4="Cells",Results!$E$5="Million",$B$52="million"),((Q16*Q$51)/(Q$52)),"0")))))</f>
        <v>0</v>
      </c>
      <c r="R69" s="20" t="str">
        <f>IF(R16=0,"0",IF(AND(Results!$E$5="Protein",$C$53&gt;0,OR(Results!$E$4="Tissue",Results!$E$4="Cells")),((R16*R$51)/(R$53)),IF(AND(Results!$E$5="Weight",$C$52&gt;0, Results!$E$4="Tissue",OR($B$52="g",$B$52="mg")),((R16*R$51)/(R$52)),IF(AND(Results!$E$5="Volume",$C$54&gt;0,Results!$E$4="Fluid"),((R16*R$51)/(R$54)),IF(AND(Results!$E$4="Cells",Results!$E$5="Million",$B$52="million"),((R16*R$51)/(R$52)),"0")))))</f>
        <v>0</v>
      </c>
      <c r="S69" s="20" t="str">
        <f>IF(S16=0,"0",IF(AND(Results!$E$5="Protein",$C$53&gt;0,OR(Results!$E$4="Tissue",Results!$E$4="Cells")),((S16*S$51)/(S$53)),IF(AND(Results!$E$5="Weight",$C$52&gt;0, Results!$E$4="Tissue",OR($B$52="g",$B$52="mg")),((S16*S$51)/(S$52)),IF(AND(Results!$E$5="Volume",$C$54&gt;0,Results!$E$4="Fluid"),((S16*S$51)/(S$54)),IF(AND(Results!$E$4="Cells",Results!$E$5="Million",$B$52="million"),((S16*S$51)/(S$52)),"0")))))</f>
        <v>0</v>
      </c>
      <c r="T69" s="20" t="str">
        <f>IF(T16=0,"0",IF(AND(Results!$E$5="Protein",$C$53&gt;0,OR(Results!$E$4="Tissue",Results!$E$4="Cells")),((T16*T$51)/(T$53)),IF(AND(Results!$E$5="Weight",$C$52&gt;0, Results!$E$4="Tissue",OR($B$52="g",$B$52="mg")),((T16*T$51)/(T$52)),IF(AND(Results!$E$5="Volume",$C$54&gt;0,Results!$E$4="Fluid"),((T16*T$51)/(T$54)),IF(AND(Results!$E$4="Cells",Results!$E$5="Million",$B$52="million"),((T16*T$51)/(T$52)),"0")))))</f>
        <v>0</v>
      </c>
      <c r="U69" s="20" t="str">
        <f>IF(U16=0,"0",IF(AND(Results!$E$5="Protein",$C$53&gt;0,OR(Results!$E$4="Tissue",Results!$E$4="Cells")),((U16*U$51)/(U$53)),IF(AND(Results!$E$5="Weight",$C$52&gt;0, Results!$E$4="Tissue",OR($B$52="g",$B$52="mg")),((U16*U$51)/(U$52)),IF(AND(Results!$E$5="Volume",$C$54&gt;0,Results!$E$4="Fluid"),((U16*U$51)/(U$54)),IF(AND(Results!$E$4="Cells",Results!$E$5="Million",$B$52="million"),((U16*U$51)/(U$52)),"0")))))</f>
        <v>0</v>
      </c>
      <c r="V69" s="20" t="str">
        <f>IF(V16=0,"0",IF(AND(Results!$E$5="Protein",$C$53&gt;0,OR(Results!$E$4="Tissue",Results!$E$4="Cells")),((V16*V$51)/(V$53)),IF(AND(Results!$E$5="Weight",$C$52&gt;0, Results!$E$4="Tissue",OR($B$52="g",$B$52="mg")),((V16*V$51)/(V$52)),IF(AND(Results!$E$5="Volume",$C$54&gt;0,Results!$E$4="Fluid"),((V16*V$51)/(V$54)),IF(AND(Results!$E$4="Cells",Results!$E$5="Million",$B$52="million"),((V16*V$51)/(V$52)),"0")))))</f>
        <v>0</v>
      </c>
      <c r="W69" s="20" t="str">
        <f>IF(W16=0,"0",IF(AND(Results!$E$5="Protein",$C$53&gt;0,OR(Results!$E$4="Tissue",Results!$E$4="Cells")),((W16*W$51)/(W$53)),IF(AND(Results!$E$5="Weight",$C$52&gt;0, Results!$E$4="Tissue",OR($B$52="g",$B$52="mg")),((W16*W$51)/(W$52)),IF(AND(Results!$E$5="Volume",$C$54&gt;0,Results!$E$4="Fluid"),((W16*W$51)/(W$54)),IF(AND(Results!$E$4="Cells",Results!$E$5="Million",$B$52="million"),((W16*W$51)/(W$52)),"0")))))</f>
        <v>0</v>
      </c>
      <c r="X69" s="20" t="str">
        <f>IF(X16=0,"0",IF(AND(Results!$E$5="Protein",$C$53&gt;0,OR(Results!$E$4="Tissue",Results!$E$4="Cells")),((X16*X$51)/(X$53)),IF(AND(Results!$E$5="Weight",$C$52&gt;0, Results!$E$4="Tissue",OR($B$52="g",$B$52="mg")),((X16*X$51)/(X$52)),IF(AND(Results!$E$5="Volume",$C$54&gt;0,Results!$E$4="Fluid"),((X16*X$51)/(X$54)),IF(AND(Results!$E$4="Cells",Results!$E$5="Million",$B$52="million"),((X16*X$51)/(X$52)),"0")))))</f>
        <v>0</v>
      </c>
      <c r="Y69" s="20" t="str">
        <f>IF(Y16=0,"0",IF(AND(Results!$E$5="Protein",$C$53&gt;0,OR(Results!$E$4="Tissue",Results!$E$4="Cells")),((Y16*Y$51)/(Y$53)),IF(AND(Results!$E$5="Weight",$C$52&gt;0, Results!$E$4="Tissue",OR($B$52="g",$B$52="mg")),((Y16*Y$51)/(Y$52)),IF(AND(Results!$E$5="Volume",$C$54&gt;0,Results!$E$4="Fluid"),((Y16*Y$51)/(Y$54)),IF(AND(Results!$E$4="Cells",Results!$E$5="Million",$B$52="million"),((Y16*Y$51)/(Y$52)),"0")))))</f>
        <v>0</v>
      </c>
      <c r="Z69" s="20" t="str">
        <f>IF(Z16=0,"0",IF(AND(Results!$E$5="Protein",$C$53&gt;0,OR(Results!$E$4="Tissue",Results!$E$4="Cells")),((Z16*Z$51)/(Z$53)),IF(AND(Results!$E$5="Weight",$C$52&gt;0, Results!$E$4="Tissue",OR($B$52="g",$B$52="mg")),((Z16*Z$51)/(Z$52)),IF(AND(Results!$E$5="Volume",$C$54&gt;0,Results!$E$4="Fluid"),((Z16*Z$51)/(Z$54)),IF(AND(Results!$E$4="Cells",Results!$E$5="Million",$B$52="million"),((Z16*Z$51)/(Z$52)),"0")))))</f>
        <v>0</v>
      </c>
      <c r="AA69" s="20" t="str">
        <f>IF(AA16=0,"0",IF(AND(Results!$E$5="Protein",$C$53&gt;0,OR(Results!$E$4="Tissue",Results!$E$4="Cells")),((AA16*AA$51)/(AA$53)),IF(AND(Results!$E$5="Weight",$C$52&gt;0, Results!$E$4="Tissue",OR($B$52="g",$B$52="mg")),((AA16*AA$51)/(AA$52)),IF(AND(Results!$E$5="Volume",$C$54&gt;0,Results!$E$4="Fluid"),((AA16*AA$51)/(AA$54)),IF(AND(Results!$E$4="Cells",Results!$E$5="Million",$B$52="million"),((AA16*AA$51)/(AA$52)),"0")))))</f>
        <v>0</v>
      </c>
      <c r="AB69" s="20" t="str">
        <f>IF(AB16=0,"0",IF(AND(Results!$E$5="Protein",$C$53&gt;0,OR(Results!$E$4="Tissue",Results!$E$4="Cells")),((AB16*AB$51)/(AB$53)),IF(AND(Results!$E$5="Weight",$C$52&gt;0, Results!$E$4="Tissue",OR($B$52="g",$B$52="mg")),((AB16*AB$51)/(AB$52)),IF(AND(Results!$E$5="Volume",$C$54&gt;0,Results!$E$4="Fluid"),((AB16*AB$51)/(AB$54)),IF(AND(Results!$E$4="Cells",Results!$E$5="Million",$B$52="million"),((AB16*AB$51)/(AB$52)),"0")))))</f>
        <v>0</v>
      </c>
      <c r="AC69" s="20" t="str">
        <f>IF(AC16=0,"0",IF(AND(Results!$E$5="Protein",$C$53&gt;0,OR(Results!$E$4="Tissue",Results!$E$4="Cells")),((AC16*AC$51)/(AC$53)),IF(AND(Results!$E$5="Weight",$C$52&gt;0, Results!$E$4="Tissue",OR($B$52="g",$B$52="mg")),((AC16*AC$51)/(AC$52)),IF(AND(Results!$E$5="Volume",$C$54&gt;0,Results!$E$4="Fluid"),((AC16*AC$51)/(AC$54)),IF(AND(Results!$E$4="Cells",Results!$E$5="Million",$B$52="million"),((AC16*AC$51)/(AC$52)),"0")))))</f>
        <v>0</v>
      </c>
      <c r="AD69" s="20" t="str">
        <f>IF(AD16=0,"0",IF(AND(Results!$E$5="Protein",$C$53&gt;0,OR(Results!$E$4="Tissue",Results!$E$4="Cells")),((AD16*AD$51)/(AD$53)),IF(AND(Results!$E$5="Weight",$C$52&gt;0, Results!$E$4="Tissue",OR($B$52="g",$B$52="mg")),((AD16*AD$51)/(AD$52)),IF(AND(Results!$E$5="Volume",$C$54&gt;0,Results!$E$4="Fluid"),((AD16*AD$51)/(AD$54)),IF(AND(Results!$E$4="Cells",Results!$E$5="Million",$B$52="million"),((AD16*AD$51)/(AD$52)),"0")))))</f>
        <v>0</v>
      </c>
      <c r="AE69" s="20" t="str">
        <f>IF(AE16=0,"0",IF(AND(Results!$E$5="Protein",$C$53&gt;0,OR(Results!$E$4="Tissue",Results!$E$4="Cells")),((AE16*AE$51)/(AE$53)),IF(AND(Results!$E$5="Weight",$C$52&gt;0, Results!$E$4="Tissue",OR($B$52="g",$B$52="mg")),((AE16*AE$51)/(AE$52)),IF(AND(Results!$E$5="Volume",$C$54&gt;0,Results!$E$4="Fluid"),((AE16*AE$51)/(AE$54)),IF(AND(Results!$E$4="Cells",Results!$E$5="Million",$B$52="million"),((AE16*AE$51)/(AE$52)),"0")))))</f>
        <v>0</v>
      </c>
      <c r="AF69" s="20" t="str">
        <f>IF(AF16=0,"0",IF(AND(Results!$E$5="Protein",$C$53&gt;0,OR(Results!$E$4="Tissue",Results!$E$4="Cells")),((AF16*AF$51)/(AF$53)),IF(AND(Results!$E$5="Weight",$C$52&gt;0, Results!$E$4="Tissue",OR($B$52="g",$B$52="mg")),((AF16*AF$51)/(AF$52)),IF(AND(Results!$E$5="Volume",$C$54&gt;0,Results!$E$4="Fluid"),((AF16*AF$51)/(AF$54)),IF(AND(Results!$E$4="Cells",Results!$E$5="Million",$B$52="million"),((AF16*AF$51)/(AF$52)),"0")))))</f>
        <v>0</v>
      </c>
      <c r="AG69" s="20" t="str">
        <f>IF(AG16=0,"0",IF(AND(Results!$E$5="Protein",$C$53&gt;0,OR(Results!$E$4="Tissue",Results!$E$4="Cells")),((AG16*AG$51)/(AG$53)),IF(AND(Results!$E$5="Weight",$C$52&gt;0, Results!$E$4="Tissue",OR($B$52="g",$B$52="mg")),((AG16*AG$51)/(AG$52)),IF(AND(Results!$E$5="Volume",$C$54&gt;0,Results!$E$4="Fluid"),((AG16*AG$51)/(AG$54)),IF(AND(Results!$E$4="Cells",Results!$E$5="Million",$B$52="million"),((AG16*AG$51)/(AG$52)),"0")))))</f>
        <v>0</v>
      </c>
      <c r="AH69" s="20" t="str">
        <f>IF(AH16=0,"0",IF(AND(Results!$E$5="Protein",$C$53&gt;0,OR(Results!$E$4="Tissue",Results!$E$4="Cells")),((AH16*AH$51)/(AH$53)),IF(AND(Results!$E$5="Weight",$C$52&gt;0, Results!$E$4="Tissue",OR($B$52="g",$B$52="mg")),((AH16*AH$51)/(AH$52)),IF(AND(Results!$E$5="Volume",$C$54&gt;0,Results!$E$4="Fluid"),((AH16*AH$51)/(AH$54)),IF(AND(Results!$E$4="Cells",Results!$E$5="Million",$B$52="million"),((AH16*AH$51)/(AH$52)),"0")))))</f>
        <v>0</v>
      </c>
      <c r="AI69" s="20" t="str">
        <f>IF(AI16=0,"0",IF(AND(Results!$E$5="Protein",$C$53&gt;0,OR(Results!$E$4="Tissue",Results!$E$4="Cells")),((AI16*AI$51)/(AI$53)),IF(AND(Results!$E$5="Weight",$C$52&gt;0, Results!$E$4="Tissue",OR($B$52="g",$B$52="mg")),((AI16*AI$51)/(AI$52)),IF(AND(Results!$E$5="Volume",$C$54&gt;0,Results!$E$4="Fluid"),((AI16*AI$51)/(AI$54)),IF(AND(Results!$E$4="Cells",Results!$E$5="Million",$B$52="million"),((AI16*AI$51)/(AI$52)),"0")))))</f>
        <v>0</v>
      </c>
      <c r="AJ69" s="20" t="str">
        <f>IF(AJ16=0,"0",IF(AND(Results!$E$5="Protein",$C$53&gt;0,OR(Results!$E$4="Tissue",Results!$E$4="Cells")),((AJ16*AJ$51)/(AJ$53)),IF(AND(Results!$E$5="Weight",$C$52&gt;0, Results!$E$4="Tissue",OR($B$52="g",$B$52="mg")),((AJ16*AJ$51)/(AJ$52)),IF(AND(Results!$E$5="Volume",$C$54&gt;0,Results!$E$4="Fluid"),((AJ16*AJ$51)/(AJ$54)),IF(AND(Results!$E$4="Cells",Results!$E$5="Million",$B$52="million"),((AJ16*AJ$51)/(AJ$52)),"0")))))</f>
        <v>0</v>
      </c>
      <c r="AK69" s="20" t="str">
        <f>IF(AK16=0,"0",IF(AND(Results!$E$5="Protein",$C$53&gt;0,OR(Results!$E$4="Tissue",Results!$E$4="Cells")),((AK16*AK$51)/(AK$53)),IF(AND(Results!$E$5="Weight",$C$52&gt;0, Results!$E$4="Tissue",OR($B$52="g",$B$52="mg")),((AK16*AK$51)/(AK$52)),IF(AND(Results!$E$5="Volume",$C$54&gt;0,Results!$E$4="Fluid"),((AK16*AK$51)/(AK$54)),IF(AND(Results!$E$4="Cells",Results!$E$5="Million",$B$52="million"),((AK16*AK$51)/(AK$52)),"0")))))</f>
        <v>0</v>
      </c>
      <c r="AL69" s="20" t="str">
        <f>IF(AL16=0,"0",IF(AND(Results!$E$5="Protein",$C$53&gt;0,OR(Results!$E$4="Tissue",Results!$E$4="Cells")),((AL16*AL$51)/(AL$53)),IF(AND(Results!$E$5="Weight",$C$52&gt;0, Results!$E$4="Tissue",OR($B$52="g",$B$52="mg")),((AL16*AL$51)/(AL$52)),IF(AND(Results!$E$5="Volume",$C$54&gt;0,Results!$E$4="Fluid"),((AL16*AL$51)/(AL$54)),IF(AND(Results!$E$4="Cells",Results!$E$5="Million",$B$52="million"),((AL16*AL$51)/(AL$52)),"0")))))</f>
        <v>0</v>
      </c>
      <c r="AM69" s="20" t="str">
        <f>IF(AM16=0,"0",IF(AND(Results!$E$5="Protein",$C$53&gt;0,OR(Results!$E$4="Tissue",Results!$E$4="Cells")),((AM16*AM$51)/(AM$53)),IF(AND(Results!$E$5="Weight",$C$52&gt;0, Results!$E$4="Tissue",OR($B$52="g",$B$52="mg")),((AM16*AM$51)/(AM$52)),IF(AND(Results!$E$5="Volume",$C$54&gt;0,Results!$E$4="Fluid"),((AM16*AM$51)/(AM$54)),IF(AND(Results!$E$4="Cells",Results!$E$5="Million",$B$52="million"),((AM16*AM$51)/(AM$52)),"0")))))</f>
        <v>0</v>
      </c>
      <c r="AN69" s="20" t="str">
        <f>IF(AN16=0,"0",IF(AND(Results!$E$5="Protein",$C$53&gt;0,OR(Results!$E$4="Tissue",Results!$E$4="Cells")),((AN16*AN$51)/(AN$53)),IF(AND(Results!$E$5="Weight",$C$52&gt;0, Results!$E$4="Tissue",OR($B$52="g",$B$52="mg")),((AN16*AN$51)/(AN$52)),IF(AND(Results!$E$5="Volume",$C$54&gt;0,Results!$E$4="Fluid"),((AN16*AN$51)/(AN$54)),IF(AND(Results!$E$4="Cells",Results!$E$5="Million",$B$52="million"),((AN16*AN$51)/(AN$52)),"0")))))</f>
        <v>0</v>
      </c>
      <c r="AO69" s="20" t="str">
        <f>IF(AO16=0,"0",IF(AND(Results!$E$5="Protein",$C$53&gt;0,OR(Results!$E$4="Tissue",Results!$E$4="Cells")),((AO16*AO$51)/(AO$53)),IF(AND(Results!$E$5="Weight",$C$52&gt;0, Results!$E$4="Tissue",OR($B$52="g",$B$52="mg")),((AO16*AO$51)/(AO$52)),IF(AND(Results!$E$5="Volume",$C$54&gt;0,Results!$E$4="Fluid"),((AO16*AO$51)/(AO$54)),IF(AND(Results!$E$4="Cells",Results!$E$5="Million",$B$52="million"),((AO16*AO$51)/(AO$52)),"0")))))</f>
        <v>0</v>
      </c>
      <c r="AP69" s="20" t="str">
        <f>IF(AP16=0,"0",IF(AND(Results!$E$5="Protein",$C$53&gt;0,OR(Results!$E$4="Tissue",Results!$E$4="Cells")),((AP16*AP$51)/(AP$53)),IF(AND(Results!$E$5="Weight",$C$52&gt;0, Results!$E$4="Tissue",OR($B$52="g",$B$52="mg")),((AP16*AP$51)/(AP$52)),IF(AND(Results!$E$5="Volume",$C$54&gt;0,Results!$E$4="Fluid"),((AP16*AP$51)/(AP$54)),IF(AND(Results!$E$4="Cells",Results!$E$5="Million",$B$52="million"),((AP16*AP$51)/(AP$52)),"0")))))</f>
        <v>0</v>
      </c>
      <c r="AQ69" s="20" t="str">
        <f>IF(AQ16=0,"0",IF(AND(Results!$E$5="Protein",$C$53&gt;0,OR(Results!$E$4="Tissue",Results!$E$4="Cells")),((AQ16*AQ$51)/(AQ$53)),IF(AND(Results!$E$5="Weight",$C$52&gt;0, Results!$E$4="Tissue",OR($B$52="g",$B$52="mg")),((AQ16*AQ$51)/(AQ$52)),IF(AND(Results!$E$5="Volume",$C$54&gt;0,Results!$E$4="Fluid"),((AQ16*AQ$51)/(AQ$54)),IF(AND(Results!$E$4="Cells",Results!$E$5="Million",$B$52="million"),((AQ16*AQ$51)/(AQ$52)),"0")))))</f>
        <v>0</v>
      </c>
      <c r="AR69" s="20" t="str">
        <f>IF(AR16=0,"0",IF(AND(Results!$E$5="Protein",$C$53&gt;0,OR(Results!$E$4="Tissue",Results!$E$4="Cells")),((AR16*AR$51)/(AR$53)),IF(AND(Results!$E$5="Weight",$C$52&gt;0, Results!$E$4="Tissue",OR($B$52="g",$B$52="mg")),((AR16*AR$51)/(AR$52)),IF(AND(Results!$E$5="Volume",$C$54&gt;0,Results!$E$4="Fluid"),((AR16*AR$51)/(AR$54)),IF(AND(Results!$E$4="Cells",Results!$E$5="Million",$B$52="million"),((AR16*AR$51)/(AR$52)),"0")))))</f>
        <v>0</v>
      </c>
      <c r="AS69" s="20" t="str">
        <f>IF(AS16=0,"0",IF(AND(Results!$E$5="Protein",$C$53&gt;0,OR(Results!$E$4="Tissue",Results!$E$4="Cells")),((AS16*AS$51)/(AS$53)),IF(AND(Results!$E$5="Weight",$C$52&gt;0, Results!$E$4="Tissue",OR($B$52="g",$B$52="mg")),((AS16*AS$51)/(AS$52)),IF(AND(Results!$E$5="Volume",$C$54&gt;0,Results!$E$4="Fluid"),((AS16*AS$51)/(AS$54)),IF(AND(Results!$E$4="Cells",Results!$E$5="Million",$B$52="million"),((AS16*AS$51)/(AS$52)),"0")))))</f>
        <v>0</v>
      </c>
      <c r="AT69" s="20" t="str">
        <f>IF(AT16=0,"0",IF(AND(Results!$E$5="Protein",$C$53&gt;0,OR(Results!$E$4="Tissue",Results!$E$4="Cells")),((AT16*AT$51)/(AT$53)),IF(AND(Results!$E$5="Weight",$C$52&gt;0, Results!$E$4="Tissue",OR($B$52="g",$B$52="mg")),((AT16*AT$51)/(AT$52)),IF(AND(Results!$E$5="Volume",$C$54&gt;0,Results!$E$4="Fluid"),((AT16*AT$51)/(AT$54)),IF(AND(Results!$E$4="Cells",Results!$E$5="Million",$B$52="million"),((AT16*AT$51)/(AT$52)),"0")))))</f>
        <v>0</v>
      </c>
      <c r="AU69" s="20" t="str">
        <f>IF(AU16=0,"0",IF(AND(Results!$E$5="Protein",$C$53&gt;0,OR(Results!$E$4="Tissue",Results!$E$4="Cells")),((AU16*AU$51)/(AU$53)),IF(AND(Results!$E$5="Weight",$C$52&gt;0, Results!$E$4="Tissue",OR($B$52="g",$B$52="mg")),((AU16*AU$51)/(AU$52)),IF(AND(Results!$E$5="Volume",$C$54&gt;0,Results!$E$4="Fluid"),((AU16*AU$51)/(AU$54)),IF(AND(Results!$E$4="Cells",Results!$E$5="Million",$B$52="million"),((AU16*AU$51)/(AU$52)),"0")))))</f>
        <v>0</v>
      </c>
      <c r="AV69" s="20" t="str">
        <f>IF(AV16=0,"0",IF(AND(Results!$E$5="Protein",$C$53&gt;0,OR(Results!$E$4="Tissue",Results!$E$4="Cells")),((AV16*AV$51)/(AV$53)),IF(AND(Results!$E$5="Weight",$C$52&gt;0, Results!$E$4="Tissue",OR($B$52="g",$B$52="mg")),((AV16*AV$51)/(AV$52)),IF(AND(Results!$E$5="Volume",$C$54&gt;0,Results!$E$4="Fluid"),((AV16*AV$51)/(AV$54)),IF(AND(Results!$E$4="Cells",Results!$E$5="Million",$B$52="million"),((AV16*AV$51)/(AV$52)),"0")))))</f>
        <v>0</v>
      </c>
      <c r="AW69" s="20" t="str">
        <f>IF(AW16=0,"0",IF(AND(Results!$E$5="Protein",$C$53&gt;0,OR(Results!$E$4="Tissue",Results!$E$4="Cells")),((AW16*AW$51)/(AW$53)),IF(AND(Results!$E$5="Weight",$C$52&gt;0, Results!$E$4="Tissue",OR($B$52="g",$B$52="mg")),((AW16*AW$51)/(AW$52)),IF(AND(Results!$E$5="Volume",$C$54&gt;0,Results!$E$4="Fluid"),((AW16*AW$51)/(AW$54)),IF(AND(Results!$E$4="Cells",Results!$E$5="Million",$B$52="million"),((AW16*AW$51)/(AW$52)),"0")))))</f>
        <v>0</v>
      </c>
      <c r="AX69" s="20" t="str">
        <f>IF(AX16=0,"0",IF(AND(Results!$E$5="Protein",$C$53&gt;0,OR(Results!$E$4="Tissue",Results!$E$4="Cells")),((AX16*AX$51)/(AX$53)),IF(AND(Results!$E$5="Weight",$C$52&gt;0, Results!$E$4="Tissue",OR($B$52="g",$B$52="mg")),((AX16*AX$51)/(AX$52)),IF(AND(Results!$E$5="Volume",$C$54&gt;0,Results!$E$4="Fluid"),((AX16*AX$51)/(AX$54)),IF(AND(Results!$E$4="Cells",Results!$E$5="Million",$B$52="million"),((AX16*AX$51)/(AX$52)),"0")))))</f>
        <v>0</v>
      </c>
      <c r="AY69" s="20" t="str">
        <f>IF(AY16=0,"0",IF(AND(Results!$E$5="Protein",$C$53&gt;0,OR(Results!$E$4="Tissue",Results!$E$4="Cells")),((AY16*AY$51)/(AY$53)),IF(AND(Results!$E$5="Weight",$C$52&gt;0, Results!$E$4="Tissue",OR($B$52="g",$B$52="mg")),((AY16*AY$51)/(AY$52)),IF(AND(Results!$E$5="Volume",$C$54&gt;0,Results!$E$4="Fluid"),((AY16*AY$51)/(AY$54)),IF(AND(Results!$E$4="Cells",Results!$E$5="Million",$B$52="million"),((AY16*AY$51)/(AY$52)),"0")))))</f>
        <v>0</v>
      </c>
      <c r="AZ69" s="20" t="str">
        <f>IF(AZ16=0,"0",IF(AND(Results!$E$5="Protein",$C$53&gt;0,OR(Results!$E$4="Tissue",Results!$E$4="Cells")),((AZ16*AZ$51)/(AZ$53)),IF(AND(Results!$E$5="Weight",$C$52&gt;0, Results!$E$4="Tissue",OR($B$52="g",$B$52="mg")),((AZ16*AZ$51)/(AZ$52)),IF(AND(Results!$E$5="Volume",$C$54&gt;0,Results!$E$4="Fluid"),((AZ16*AZ$51)/(AZ$54)),IF(AND(Results!$E$4="Cells",Results!$E$5="Million",$B$52="million"),((AZ16*AZ$51)/(AZ$52)),"0")))))</f>
        <v>0</v>
      </c>
      <c r="BA69" s="20" t="str">
        <f>IF(BA16=0,"0",IF(AND(Results!$E$5="Protein",$C$53&gt;0,OR(Results!$E$4="Tissue",Results!$E$4="Cells")),((BA16*BA$51)/(BA$53)),IF(AND(Results!$E$5="Weight",$C$52&gt;0, Results!$E$4="Tissue",OR($B$52="g",$B$52="mg")),((BA16*BA$51)/(BA$52)),IF(AND(Results!$E$5="Volume",$C$54&gt;0,Results!$E$4="Fluid"),((BA16*BA$51)/(BA$54)),IF(AND(Results!$E$4="Cells",Results!$E$5="Million",$B$52="million"),((BA16*BA$51)/(BA$52)),"0")))))</f>
        <v>0</v>
      </c>
      <c r="BB69" s="20" t="str">
        <f>IF(BB16=0,"0",IF(AND(Results!$E$5="Protein",$C$53&gt;0,OR(Results!$E$4="Tissue",Results!$E$4="Cells")),((BB16*BB$51)/(BB$53)),IF(AND(Results!$E$5="Weight",$C$52&gt;0, Results!$E$4="Tissue",OR($B$52="g",$B$52="mg")),((BB16*BB$51)/(BB$52)),IF(AND(Results!$E$5="Volume",$C$54&gt;0,Results!$E$4="Fluid"),((BB16*BB$51)/(BB$54)),IF(AND(Results!$E$4="Cells",Results!$E$5="Million",$B$52="million"),((BB16*BB$51)/(BB$52)),"0")))))</f>
        <v>0</v>
      </c>
      <c r="BC69" s="20" t="str">
        <f>IF(BC16=0,"0",IF(AND(Results!$E$5="Protein",$C$53&gt;0,OR(Results!$E$4="Tissue",Results!$E$4="Cells")),((BC16*BC$51)/(BC$53)),IF(AND(Results!$E$5="Weight",$C$52&gt;0, Results!$E$4="Tissue",OR($B$52="g",$B$52="mg")),((BC16*BC$51)/(BC$52)),IF(AND(Results!$E$5="Volume",$C$54&gt;0,Results!$E$4="Fluid"),((BC16*BC$51)/(BC$54)),IF(AND(Results!$E$4="Cells",Results!$E$5="Million",$B$52="million"),((BC16*BC$51)/(BC$52)),"0")))))</f>
        <v>0</v>
      </c>
      <c r="BD69" s="20" t="str">
        <f>IF(BD16=0,"0",IF(AND(Results!$E$5="Protein",$C$53&gt;0,OR(Results!$E$4="Tissue",Results!$E$4="Cells")),((BD16*BD$51)/(BD$53)),IF(AND(Results!$E$5="Weight",$C$52&gt;0, Results!$E$4="Tissue",OR($B$52="g",$B$52="mg")),((BD16*BD$51)/(BD$52)),IF(AND(Results!$E$5="Volume",$C$54&gt;0,Results!$E$4="Fluid"),((BD16*BD$51)/(BD$54)),IF(AND(Results!$E$4="Cells",Results!$E$5="Million",$B$52="million"),((BD16*BD$51)/(BD$52)),"0")))))</f>
        <v>0</v>
      </c>
      <c r="BE69" s="20" t="str">
        <f>IF(BE16=0,"0",IF(AND(Results!$E$5="Protein",$C$53&gt;0,OR(Results!$E$4="Tissue",Results!$E$4="Cells")),((BE16*BE$51)/(BE$53)),IF(AND(Results!$E$5="Weight",$C$52&gt;0, Results!$E$4="Tissue",OR($B$52="g",$B$52="mg")),((BE16*BE$51)/(BE$52)),IF(AND(Results!$E$5="Volume",$C$54&gt;0,Results!$E$4="Fluid"),((BE16*BE$51)/(BE$54)),IF(AND(Results!$E$4="Cells",Results!$E$5="Million",$B$52="million"),((BE16*BE$51)/(BE$52)),"0")))))</f>
        <v>0</v>
      </c>
      <c r="BF69" s="20" t="str">
        <f>IF(BF16=0,"0",IF(AND(Results!$E$5="Protein",$C$53&gt;0,OR(Results!$E$4="Tissue",Results!$E$4="Cells")),((BF16*BF$51)/(BF$53)),IF(AND(Results!$E$5="Weight",$C$52&gt;0, Results!$E$4="Tissue",OR($B$52="g",$B$52="mg")),((BF16*BF$51)/(BF$52)),IF(AND(Results!$E$5="Volume",$C$54&gt;0,Results!$E$4="Fluid"),((BF16*BF$51)/(BF$54)),IF(AND(Results!$E$4="Cells",Results!$E$5="Million",$B$52="million"),((BF16*BF$51)/(BF$52)),"0")))))</f>
        <v>0</v>
      </c>
      <c r="BG69" s="20" t="str">
        <f>IF(BG16=0,"0",IF(AND(Results!$E$5="Protein",$C$53&gt;0,OR(Results!$E$4="Tissue",Results!$E$4="Cells")),((BG16*BG$51)/(BG$53)),IF(AND(Results!$E$5="Weight",$C$52&gt;0, Results!$E$4="Tissue",OR($B$52="g",$B$52="mg")),((BG16*BG$51)/(BG$52)),IF(AND(Results!$E$5="Volume",$C$54&gt;0,Results!$E$4="Fluid"),((BG16*BG$51)/(BG$54)),IF(AND(Results!$E$4="Cells",Results!$E$5="Million",$B$52="million"),((BG16*BG$51)/(BG$52)),"0")))))</f>
        <v>0</v>
      </c>
      <c r="BH69" s="20" t="str">
        <f>IF(BH16=0,"0",IF(AND(Results!$E$5="Protein",$C$53&gt;0,OR(Results!$E$4="Tissue",Results!$E$4="Cells")),((BH16*BH$51)/(BH$53)),IF(AND(Results!$E$5="Weight",$C$52&gt;0, Results!$E$4="Tissue",OR($B$52="g",$B$52="mg")),((BH16*BH$51)/(BH$52)),IF(AND(Results!$E$5="Volume",$C$54&gt;0,Results!$E$4="Fluid"),((BH16*BH$51)/(BH$54)),IF(AND(Results!$E$4="Cells",Results!$E$5="Million",$B$52="million"),((BH16*BH$51)/(BH$52)),"0")))))</f>
        <v>0</v>
      </c>
      <c r="BI69" s="20" t="str">
        <f>IF(BI16=0,"0",IF(AND(Results!$E$5="Protein",$C$53&gt;0,OR(Results!$E$4="Tissue",Results!$E$4="Cells")),((BI16*BI$51)/(BI$53)),IF(AND(Results!$E$5="Weight",$C$52&gt;0, Results!$E$4="Tissue",OR($B$52="g",$B$52="mg")),((BI16*BI$51)/(BI$52)),IF(AND(Results!$E$5="Volume",$C$54&gt;0,Results!$E$4="Fluid"),((BI16*BI$51)/(BI$54)),IF(AND(Results!$E$4="Cells",Results!$E$5="Million",$B$52="million"),((BI16*BI$51)/(BI$52)),"0")))))</f>
        <v>0</v>
      </c>
      <c r="BJ69" s="20" t="str">
        <f>IF(BJ16=0,"0",IF(AND(Results!$E$5="Protein",$C$53&gt;0,OR(Results!$E$4="Tissue",Results!$E$4="Cells")),((BJ16*BJ$51)/(BJ$53)),IF(AND(Results!$E$5="Weight",$C$52&gt;0, Results!$E$4="Tissue",OR($B$52="g",$B$52="mg")),((BJ16*BJ$51)/(BJ$52)),IF(AND(Results!$E$5="Volume",$C$54&gt;0,Results!$E$4="Fluid"),((BJ16*BJ$51)/(BJ$54)),IF(AND(Results!$E$4="Cells",Results!$E$5="Million",$B$52="million"),((BJ16*BJ$51)/(BJ$52)),"0")))))</f>
        <v>0</v>
      </c>
      <c r="BK69" s="20" t="str">
        <f>IF(BK16=0,"0",IF(AND(Results!$E$5="Protein",$C$53&gt;0,OR(Results!$E$4="Tissue",Results!$E$4="Cells")),((BK16*BK$51)/(BK$53)),IF(AND(Results!$E$5="Weight",$C$52&gt;0, Results!$E$4="Tissue",OR($B$52="g",$B$52="mg")),((BK16*BK$51)/(BK$52)),IF(AND(Results!$E$5="Volume",$C$54&gt;0,Results!$E$4="Fluid"),((BK16*BK$51)/(BK$54)),IF(AND(Results!$E$4="Cells",Results!$E$5="Million",$B$52="million"),((BK16*BK$51)/(BK$52)),"0")))))</f>
        <v>0</v>
      </c>
      <c r="BL69" s="20" t="str">
        <f>IF(BL16=0,"0",IF(AND(Results!$E$5="Protein",$C$53&gt;0,OR(Results!$E$4="Tissue",Results!$E$4="Cells")),((BL16*BL$51)/(BL$53)),IF(AND(Results!$E$5="Weight",$C$52&gt;0, Results!$E$4="Tissue",OR($B$52="g",$B$52="mg")),((BL16*BL$51)/(BL$52)),IF(AND(Results!$E$5="Volume",$C$54&gt;0,Results!$E$4="Fluid"),((BL16*BL$51)/(BL$54)),IF(AND(Results!$E$4="Cells",Results!$E$5="Million",$B$52="million"),((BL16*BL$51)/(BL$52)),"0")))))</f>
        <v>0</v>
      </c>
      <c r="BM69" s="20" t="str">
        <f>IF(BM16=0,"0",IF(AND(Results!$E$5="Protein",$C$53&gt;0,OR(Results!$E$4="Tissue",Results!$E$4="Cells")),((BM16*BM$51)/(BM$53)),IF(AND(Results!$E$5="Weight",$C$52&gt;0, Results!$E$4="Tissue",OR($B$52="g",$B$52="mg")),((BM16*BM$51)/(BM$52)),IF(AND(Results!$E$5="Volume",$C$54&gt;0,Results!$E$4="Fluid"),((BM16*BM$51)/(BM$54)),IF(AND(Results!$E$4="Cells",Results!$E$5="Million",$B$52="million"),((BM16*BM$51)/(BM$52)),"0")))))</f>
        <v>0</v>
      </c>
      <c r="BN69" s="20" t="str">
        <f>IF(BN16=0,"0",IF(AND(Results!$E$5="Protein",$C$53&gt;0,OR(Results!$E$4="Tissue",Results!$E$4="Cells")),((BN16*BN$51)/(BN$53)),IF(AND(Results!$E$5="Weight",$C$52&gt;0, Results!$E$4="Tissue",OR($B$52="g",$B$52="mg")),((BN16*BN$51)/(BN$52)),IF(AND(Results!$E$5="Volume",$C$54&gt;0,Results!$E$4="Fluid"),((BN16*BN$51)/(BN$54)),IF(AND(Results!$E$4="Cells",Results!$E$5="Million",$B$52="million"),((BN16*BN$51)/(BN$52)),"0")))))</f>
        <v>0</v>
      </c>
      <c r="BO69" s="20" t="str">
        <f>IF(BO16=0,"0",IF(AND(Results!$E$5="Protein",$C$53&gt;0,OR(Results!$E$4="Tissue",Results!$E$4="Cells")),((BO16*BO$51)/(BO$53)),IF(AND(Results!$E$5="Weight",$C$52&gt;0, Results!$E$4="Tissue",OR($B$52="g",$B$52="mg")),((BO16*BO$51)/(BO$52)),IF(AND(Results!$E$5="Volume",$C$54&gt;0,Results!$E$4="Fluid"),((BO16*BO$51)/(BO$54)),IF(AND(Results!$E$4="Cells",Results!$E$5="Million",$B$52="million"),((BO16*BO$51)/(BO$52)),"0")))))</f>
        <v>0</v>
      </c>
      <c r="BP69" s="20" t="str">
        <f>IF(BP16=0,"0",IF(AND(Results!$E$5="Protein",$C$53&gt;0,OR(Results!$E$4="Tissue",Results!$E$4="Cells")),((BP16*BP$51)/(BP$53)),IF(AND(Results!$E$5="Weight",$C$52&gt;0, Results!$E$4="Tissue",OR($B$52="g",$B$52="mg")),((BP16*BP$51)/(BP$52)),IF(AND(Results!$E$5="Volume",$C$54&gt;0,Results!$E$4="Fluid"),((BP16*BP$51)/(BP$54)),IF(AND(Results!$E$4="Cells",Results!$E$5="Million",$B$52="million"),((BP16*BP$51)/(BP$52)),"0")))))</f>
        <v>0</v>
      </c>
      <c r="BQ69" s="20" t="str">
        <f>IF(BQ16=0,"0",IF(AND(Results!$E$5="Protein",$C$53&gt;0,OR(Results!$E$4="Tissue",Results!$E$4="Cells")),((BQ16*BQ$51)/(BQ$53)),IF(AND(Results!$E$5="Weight",$C$52&gt;0, Results!$E$4="Tissue",OR($B$52="g",$B$52="mg")),((BQ16*BQ$51)/(BQ$52)),IF(AND(Results!$E$5="Volume",$C$54&gt;0,Results!$E$4="Fluid"),((BQ16*BQ$51)/(BQ$54)),IF(AND(Results!$E$4="Cells",Results!$E$5="Million",$B$52="million"),((BQ16*BQ$51)/(BQ$52)),"0")))))</f>
        <v>0</v>
      </c>
      <c r="BR69" s="20" t="str">
        <f>IF(BR16=0,"0",IF(AND(Results!$E$5="Protein",$C$53&gt;0,OR(Results!$E$4="Tissue",Results!$E$4="Cells")),((BR16*BR$51)/(BR$53)),IF(AND(Results!$E$5="Weight",$C$52&gt;0, Results!$E$4="Tissue",OR($B$52="g",$B$52="mg")),((BR16*BR$51)/(BR$52)),IF(AND(Results!$E$5="Volume",$C$54&gt;0,Results!$E$4="Fluid"),((BR16*BR$51)/(BR$54)),IF(AND(Results!$E$4="Cells",Results!$E$5="Million",$B$52="million"),((BR16*BR$51)/(BR$52)),"0")))))</f>
        <v>0</v>
      </c>
      <c r="BS69" s="20" t="str">
        <f>IF(BS16=0,"0",IF(AND(Results!$E$5="Protein",$C$53&gt;0,OR(Results!$E$4="Tissue",Results!$E$4="Cells")),((BS16*BS$51)/(BS$53)),IF(AND(Results!$E$5="Weight",$C$52&gt;0, Results!$E$4="Tissue",OR($B$52="g",$B$52="mg")),((BS16*BS$51)/(BS$52)),IF(AND(Results!$E$5="Volume",$C$54&gt;0,Results!$E$4="Fluid"),((BS16*BS$51)/(BS$54)),IF(AND(Results!$E$4="Cells",Results!$E$5="Million",$B$52="million"),((BS16*BS$51)/(BS$52)),"0")))))</f>
        <v>0</v>
      </c>
      <c r="BT69" s="20" t="str">
        <f>IF(BT16=0,"0",IF(AND(Results!$E$5="Protein",$C$53&gt;0,OR(Results!$E$4="Tissue",Results!$E$4="Cells")),((BT16*BT$51)/(BT$53)),IF(AND(Results!$E$5="Weight",$C$52&gt;0, Results!$E$4="Tissue",OR($B$52="g",$B$52="mg")),((BT16*BT$51)/(BT$52)),IF(AND(Results!$E$5="Volume",$C$54&gt;0,Results!$E$4="Fluid"),((BT16*BT$51)/(BT$54)),IF(AND(Results!$E$4="Cells",Results!$E$5="Million",$B$52="million"),((BT16*BT$51)/(BT$52)),"0")))))</f>
        <v>0</v>
      </c>
      <c r="BU69" s="20" t="str">
        <f>IF(BU16=0,"0",IF(AND(Results!$E$5="Protein",$C$53&gt;0,OR(Results!$E$4="Tissue",Results!$E$4="Cells")),((BU16*BU$51)/(BU$53)),IF(AND(Results!$E$5="Weight",$C$52&gt;0, Results!$E$4="Tissue",OR($B$52="g",$B$52="mg")),((BU16*BU$51)/(BU$52)),IF(AND(Results!$E$5="Volume",$C$54&gt;0,Results!$E$4="Fluid"),((BU16*BU$51)/(BU$54)),IF(AND(Results!$E$4="Cells",Results!$E$5="Million",$B$52="million"),((BU16*BU$51)/(BU$52)),"0")))))</f>
        <v>0</v>
      </c>
      <c r="BV69" s="20" t="str">
        <f>IF(BV16=0,"0",IF(AND(Results!$E$5="Protein",$C$53&gt;0,OR(Results!$E$4="Tissue",Results!$E$4="Cells")),((BV16*BV$51)/(BV$53)),IF(AND(Results!$E$5="Weight",$C$52&gt;0, Results!$E$4="Tissue",OR($B$52="g",$B$52="mg")),((BV16*BV$51)/(BV$52)),IF(AND(Results!$E$5="Volume",$C$54&gt;0,Results!$E$4="Fluid"),((BV16*BV$51)/(BV$54)),IF(AND(Results!$E$4="Cells",Results!$E$5="Million",$B$52="million"),((BV16*BV$51)/(BV$52)),"0")))))</f>
        <v>0</v>
      </c>
      <c r="BW69" s="20" t="str">
        <f>IF(BW16=0,"0",IF(AND(Results!$E$5="Protein",$C$53&gt;0,OR(Results!$E$4="Tissue",Results!$E$4="Cells")),((BW16*BW$51)/(BW$53)),IF(AND(Results!$E$5="Weight",$C$52&gt;0, Results!$E$4="Tissue",OR($B$52="g",$B$52="mg")),((BW16*BW$51)/(BW$52)),IF(AND(Results!$E$5="Volume",$C$54&gt;0,Results!$E$4="Fluid"),((BW16*BW$51)/(BW$54)),IF(AND(Results!$E$4="Cells",Results!$E$5="Million",$B$52="million"),((BW16*BW$51)/(BW$52)),"0")))))</f>
        <v>0</v>
      </c>
      <c r="BX69" s="20" t="str">
        <f>IF(BX16=0,"0",IF(AND(Results!$E$5="Protein",$C$53&gt;0,OR(Results!$E$4="Tissue",Results!$E$4="Cells")),((BX16*BX$51)/(BX$53)),IF(AND(Results!$E$5="Weight",$C$52&gt;0, Results!$E$4="Tissue",OR($B$52="g",$B$52="mg")),((BX16*BX$51)/(BX$52)),IF(AND(Results!$E$5="Volume",$C$54&gt;0,Results!$E$4="Fluid"),((BX16*BX$51)/(BX$54)),IF(AND(Results!$E$4="Cells",Results!$E$5="Million",$B$52="million"),((BX16*BX$51)/(BX$52)),"0")))))</f>
        <v>0</v>
      </c>
      <c r="BY69" s="20" t="str">
        <f>IF(BY16=0,"0",IF(AND(Results!$E$5="Protein",$C$53&gt;0,OR(Results!$E$4="Tissue",Results!$E$4="Cells")),((BY16*BY$51)/(BY$53)),IF(AND(Results!$E$5="Weight",$C$52&gt;0, Results!$E$4="Tissue",OR($B$52="g",$B$52="mg")),((BY16*BY$51)/(BY$52)),IF(AND(Results!$E$5="Volume",$C$54&gt;0,Results!$E$4="Fluid"),((BY16*BY$51)/(BY$54)),IF(AND(Results!$E$4="Cells",Results!$E$5="Million",$B$52="million"),((BY16*BY$51)/(BY$52)),"0")))))</f>
        <v>0</v>
      </c>
      <c r="BZ69" s="20" t="str">
        <f>IF(BZ16=0,"0",IF(AND(Results!$E$5="Protein",$C$53&gt;0,OR(Results!$E$4="Tissue",Results!$E$4="Cells")),((BZ16*BZ$51)/(BZ$53)),IF(AND(Results!$E$5="Weight",$C$52&gt;0, Results!$E$4="Tissue",OR($B$52="g",$B$52="mg")),((BZ16*BZ$51)/(BZ$52)),IF(AND(Results!$E$5="Volume",$C$54&gt;0,Results!$E$4="Fluid"),((BZ16*BZ$51)/(BZ$54)),IF(AND(Results!$E$4="Cells",Results!$E$5="Million",$B$52="million"),((BZ16*BZ$51)/(BZ$52)),"0")))))</f>
        <v>0</v>
      </c>
      <c r="CA69" s="20" t="str">
        <f>IF(CA16=0,"0",IF(AND(Results!$E$5="Protein",$C$53&gt;0,OR(Results!$E$4="Tissue",Results!$E$4="Cells")),((CA16*CA$51)/(CA$53)),IF(AND(Results!$E$5="Weight",$C$52&gt;0, Results!$E$4="Tissue",OR($B$52="g",$B$52="mg")),((CA16*CA$51)/(CA$52)),IF(AND(Results!$E$5="Volume",$C$54&gt;0,Results!$E$4="Fluid"),((CA16*CA$51)/(CA$54)),IF(AND(Results!$E$4="Cells",Results!$E$5="Million",$B$52="million"),((CA16*CA$51)/(CA$52)),"0")))))</f>
        <v>0</v>
      </c>
      <c r="CB69" s="20" t="str">
        <f>IF(CB16=0,"0",IF(AND(Results!$E$5="Protein",$C$53&gt;0,OR(Results!$E$4="Tissue",Results!$E$4="Cells")),((CB16*CB$51)/(CB$53)),IF(AND(Results!$E$5="Weight",$C$52&gt;0, Results!$E$4="Tissue",OR($B$52="g",$B$52="mg")),((CB16*CB$51)/(CB$52)),IF(AND(Results!$E$5="Volume",$C$54&gt;0,Results!$E$4="Fluid"),((CB16*CB$51)/(CB$54)),IF(AND(Results!$E$4="Cells",Results!$E$5="Million",$B$52="million"),((CB16*CB$51)/(CB$52)),"0")))))</f>
        <v>0</v>
      </c>
      <c r="CC69" s="20" t="str">
        <f>IF(CC16=0,"0",IF(AND(Results!$E$5="Protein",$C$53&gt;0,OR(Results!$E$4="Tissue",Results!$E$4="Cells")),((CC16*CC$51)/(CC$53)),IF(AND(Results!$E$5="Weight",$C$52&gt;0, Results!$E$4="Tissue",OR($B$52="g",$B$52="mg")),((CC16*CC$51)/(CC$52)),IF(AND(Results!$E$5="Volume",$C$54&gt;0,Results!$E$4="Fluid"),((CC16*CC$51)/(CC$54)),IF(AND(Results!$E$4="Cells",Results!$E$5="Million",$B$52="million"),((CC16*CC$51)/(CC$52)),"0")))))</f>
        <v>0</v>
      </c>
      <c r="CD69" s="20" t="str">
        <f>IF(CD16=0,"0",IF(AND(Results!$E$5="Protein",$C$53&gt;0,OR(Results!$E$4="Tissue",Results!$E$4="Cells")),((CD16*CD$51)/(CD$53)),IF(AND(Results!$E$5="Weight",$C$52&gt;0, Results!$E$4="Tissue",OR($B$52="g",$B$52="mg")),((CD16*CD$51)/(CD$52)),IF(AND(Results!$E$5="Volume",$C$54&gt;0,Results!$E$4="Fluid"),((CD16*CD$51)/(CD$54)),IF(AND(Results!$E$4="Cells",Results!$E$5="Million",$B$52="million"),((CD16*CD$51)/(CD$52)),"0")))))</f>
        <v>0</v>
      </c>
      <c r="CE69" s="20" t="str">
        <f>IF(CE16=0,"0",IF(AND(Results!$E$5="Protein",$C$53&gt;0,OR(Results!$E$4="Tissue",Results!$E$4="Cells")),((CE16*CE$51)/(CE$53)),IF(AND(Results!$E$5="Weight",$C$52&gt;0, Results!$E$4="Tissue",OR($B$52="g",$B$52="mg")),((CE16*CE$51)/(CE$52)),IF(AND(Results!$E$5="Volume",$C$54&gt;0,Results!$E$4="Fluid"),((CE16*CE$51)/(CE$54)),IF(AND(Results!$E$4="Cells",Results!$E$5="Million",$B$52="million"),((CE16*CE$51)/(CE$52)),"0")))))</f>
        <v>0</v>
      </c>
      <c r="CF69" s="20" t="str">
        <f>IF(CF16=0,"0",IF(AND(Results!$E$5="Protein",$C$53&gt;0,OR(Results!$E$4="Tissue",Results!$E$4="Cells")),((CF16*CF$51)/(CF$53)),IF(AND(Results!$E$5="Weight",$C$52&gt;0, Results!$E$4="Tissue",OR($B$52="g",$B$52="mg")),((CF16*CF$51)/(CF$52)),IF(AND(Results!$E$5="Volume",$C$54&gt;0,Results!$E$4="Fluid"),((CF16*CF$51)/(CF$54)),IF(AND(Results!$E$4="Cells",Results!$E$5="Million",$B$52="million"),((CF16*CF$51)/(CF$52)),"0")))))</f>
        <v>0</v>
      </c>
      <c r="CG69" s="20" t="str">
        <f>IF(CG16=0,"0",IF(AND(Results!$E$5="Protein",$C$53&gt;0,OR(Results!$E$4="Tissue",Results!$E$4="Cells")),((CG16*CG$51)/(CG$53)),IF(AND(Results!$E$5="Weight",$C$52&gt;0, Results!$E$4="Tissue",OR($B$52="g",$B$52="mg")),((CG16*CG$51)/(CG$52)),IF(AND(Results!$E$5="Volume",$C$54&gt;0,Results!$E$4="Fluid"),((CG16*CG$51)/(CG$54)),IF(AND(Results!$E$4="Cells",Results!$E$5="Million",$B$52="million"),((CG16*CG$51)/(CG$52)),"0")))))</f>
        <v>0</v>
      </c>
      <c r="CH69" s="20" t="str">
        <f>IF(CH16=0,"0",IF(AND(Results!$E$5="Protein",$C$53&gt;0,OR(Results!$E$4="Tissue",Results!$E$4="Cells")),((CH16*CH$51)/(CH$53)),IF(AND(Results!$E$5="Weight",$C$52&gt;0, Results!$E$4="Tissue",OR($B$52="g",$B$52="mg")),((CH16*CH$51)/(CH$52)),IF(AND(Results!$E$5="Volume",$C$54&gt;0,Results!$E$4="Fluid"),((CH16*CH$51)/(CH$54)),IF(AND(Results!$E$4="Cells",Results!$E$5="Million",$B$52="million"),((CH16*CH$51)/(CH$52)),"0")))))</f>
        <v>0</v>
      </c>
      <c r="CI69" s="20" t="str">
        <f>IF(CI16=0,"0",IF(AND(Results!$E$5="Protein",$C$53&gt;0,OR(Results!$E$4="Tissue",Results!$E$4="Cells")),((CI16*CI$51)/(CI$53)),IF(AND(Results!$E$5="Weight",$C$52&gt;0, Results!$E$4="Tissue",OR($B$52="g",$B$52="mg")),((CI16*CI$51)/(CI$52)),IF(AND(Results!$E$5="Volume",$C$54&gt;0,Results!$E$4="Fluid"),((CI16*CI$51)/(CI$54)),IF(AND(Results!$E$4="Cells",Results!$E$5="Million",$B$52="million"),((CI16*CI$51)/(CI$52)),"0")))))</f>
        <v>0</v>
      </c>
      <c r="CJ69" s="20" t="str">
        <f>IF(CJ16=0,"0",IF(AND(Results!$E$5="Protein",$C$53&gt;0,OR(Results!$E$4="Tissue",Results!$E$4="Cells")),((CJ16*CJ$51)/(CJ$53)),IF(AND(Results!$E$5="Weight",$C$52&gt;0, Results!$E$4="Tissue",OR($B$52="g",$B$52="mg")),((CJ16*CJ$51)/(CJ$52)),IF(AND(Results!$E$5="Volume",$C$54&gt;0,Results!$E$4="Fluid"),((CJ16*CJ$51)/(CJ$54)),IF(AND(Results!$E$4="Cells",Results!$E$5="Million",$B$52="million"),((CJ16*CJ$51)/(CJ$52)),"0")))))</f>
        <v>0</v>
      </c>
      <c r="CK69" s="20" t="str">
        <f>IF(CK16=0,"0",IF(AND(Results!$E$5="Protein",$C$53&gt;0,OR(Results!$E$4="Tissue",Results!$E$4="Cells")),((CK16*CK$51)/(CK$53)),IF(AND(Results!$E$5="Weight",$C$52&gt;0, Results!$E$4="Tissue",OR($B$52="g",$B$52="mg")),((CK16*CK$51)/(CK$52)),IF(AND(Results!$E$5="Volume",$C$54&gt;0,Results!$E$4="Fluid"),((CK16*CK$51)/(CK$54)),IF(AND(Results!$E$4="Cells",Results!$E$5="Million",$B$52="million"),((CK16*CK$51)/(CK$52)),"0")))))</f>
        <v>0</v>
      </c>
      <c r="CL69" s="20" t="str">
        <f>IF(CL16=0,"0",IF(AND(Results!$E$5="Protein",$C$53&gt;0,OR(Results!$E$4="Tissue",Results!$E$4="Cells")),((CL16*CL$51)/(CL$53)),IF(AND(Results!$E$5="Weight",$C$52&gt;0, Results!$E$4="Tissue",OR($B$52="g",$B$52="mg")),((CL16*CL$51)/(CL$52)),IF(AND(Results!$E$5="Volume",$C$54&gt;0,Results!$E$4="Fluid"),((CL16*CL$51)/(CL$54)),IF(AND(Results!$E$4="Cells",Results!$E$5="Million",$B$52="million"),((CL16*CL$51)/(CL$52)),"0")))))</f>
        <v>0</v>
      </c>
      <c r="CM69" s="20" t="str">
        <f>IF(CM16=0,"0",IF(AND(Results!$E$5="Protein",$C$53&gt;0,OR(Results!$E$4="Tissue",Results!$E$4="Cells")),((CM16*CM$51)/(CM$53)),IF(AND(Results!$E$5="Weight",$C$52&gt;0, Results!$E$4="Tissue",OR($B$52="g",$B$52="mg")),((CM16*CM$51)/(CM$52)),IF(AND(Results!$E$5="Volume",$C$54&gt;0,Results!$E$4="Fluid"),((CM16*CM$51)/(CM$54)),IF(AND(Results!$E$4="Cells",Results!$E$5="Million",$B$52="million"),((CM16*CM$51)/(CM$52)),"0")))))</f>
        <v>0</v>
      </c>
      <c r="CN69" s="20" t="str">
        <f>IF(CN16=0,"0",IF(AND(Results!$E$5="Protein",$C$53&gt;0,OR(Results!$E$4="Tissue",Results!$E$4="Cells")),((CN16*CN$51)/(CN$53)),IF(AND(Results!$E$5="Weight",$C$52&gt;0, Results!$E$4="Tissue",OR($B$52="g",$B$52="mg")),((CN16*CN$51)/(CN$52)),IF(AND(Results!$E$5="Volume",$C$54&gt;0,Results!$E$4="Fluid"),((CN16*CN$51)/(CN$54)),IF(AND(Results!$E$4="Cells",Results!$E$5="Million",$B$52="million"),((CN16*CN$51)/(CN$52)),"0")))))</f>
        <v>0</v>
      </c>
      <c r="CO69" s="20" t="str">
        <f>IF(CO16=0,"0",IF(AND(Results!$E$5="Protein",$C$53&gt;0,OR(Results!$E$4="Tissue",Results!$E$4="Cells")),((CO16*CO$51)/(CO$53)),IF(AND(Results!$E$5="Weight",$C$52&gt;0, Results!$E$4="Tissue",OR($B$52="g",$B$52="mg")),((CO16*CO$51)/(CO$52)),IF(AND(Results!$E$5="Volume",$C$54&gt;0,Results!$E$4="Fluid"),((CO16*CO$51)/(CO$54)),IF(AND(Results!$E$4="Cells",Results!$E$5="Million",$B$52="million"),((CO16*CO$51)/(CO$52)),"0")))))</f>
        <v>0</v>
      </c>
      <c r="CP69" s="20" t="str">
        <f>IF(CP16=0,"0",IF(AND(Results!$E$5="Protein",$C$53&gt;0,OR(Results!$E$4="Tissue",Results!$E$4="Cells")),((CP16*CP$51)/(CP$53)),IF(AND(Results!$E$5="Weight",$C$52&gt;0, Results!$E$4="Tissue",OR($B$52="g",$B$52="mg")),((CP16*CP$51)/(CP$52)),IF(AND(Results!$E$5="Volume",$C$54&gt;0,Results!$E$4="Fluid"),((CP16*CP$51)/(CP$54)),IF(AND(Results!$E$4="Cells",Results!$E$5="Million",$B$52="million"),((CP16*CP$51)/(CP$52)),"0")))))</f>
        <v>0</v>
      </c>
      <c r="CQ69" s="20" t="str">
        <f>IF(CQ16=0,"0",IF(AND(Results!$E$5="Protein",$C$53&gt;0,OR(Results!$E$4="Tissue",Results!$E$4="Cells")),((CQ16*CQ$51)/(CQ$53)),IF(AND(Results!$E$5="Weight",$C$52&gt;0, Results!$E$4="Tissue",OR($B$52="g",$B$52="mg")),((CQ16*CQ$51)/(CQ$52)),IF(AND(Results!$E$5="Volume",$C$54&gt;0,Results!$E$4="Fluid"),((CQ16*CQ$51)/(CQ$54)),IF(AND(Results!$E$4="Cells",Results!$E$5="Million",$B$52="million"),((CQ16*CQ$51)/(CQ$52)),"0")))))</f>
        <v>0</v>
      </c>
      <c r="CR69" s="20" t="str">
        <f>IF(CR16=0,"0",IF(AND(Results!$E$5="Protein",$C$53&gt;0,OR(Results!$E$4="Tissue",Results!$E$4="Cells")),((CR16*CR$51)/(CR$53)),IF(AND(Results!$E$5="Weight",$C$52&gt;0, Results!$E$4="Tissue",OR($B$52="g",$B$52="mg")),((CR16*CR$51)/(CR$52)),IF(AND(Results!$E$5="Volume",$C$54&gt;0,Results!$E$4="Fluid"),((CR16*CR$51)/(CR$54)),IF(AND(Results!$E$4="Cells",Results!$E$5="Million",$B$52="million"),((CR16*CR$51)/(CR$52)),"0")))))</f>
        <v>0</v>
      </c>
      <c r="CS69" s="20" t="str">
        <f>IF(CS16=0,"0",IF(AND(Results!$E$5="Protein",$C$53&gt;0,OR(Results!$E$4="Tissue",Results!$E$4="Cells")),((CS16*CS$51)/(CS$53)),IF(AND(Results!$E$5="Weight",$C$52&gt;0, Results!$E$4="Tissue",OR($B$52="g",$B$52="mg")),((CS16*CS$51)/(CS$52)),IF(AND(Results!$E$5="Volume",$C$54&gt;0,Results!$E$4="Fluid"),((CS16*CS$51)/(CS$54)),IF(AND(Results!$E$4="Cells",Results!$E$5="Million",$B$52="million"),((CS16*CS$51)/(CS$52)),"0")))))</f>
        <v>0</v>
      </c>
      <c r="CT69" s="20" t="str">
        <f>IF(CT16=0,"0",IF(AND(Results!$E$5="Protein",$C$53&gt;0,OR(Results!$E$4="Tissue",Results!$E$4="Cells")),((CT16*CT$51)/(CT$53)),IF(AND(Results!$E$5="Weight",$C$52&gt;0, Results!$E$4="Tissue",OR($B$52="g",$B$52="mg")),((CT16*CT$51)/(CT$52)),IF(AND(Results!$E$5="Volume",$C$54&gt;0,Results!$E$4="Fluid"),((CT16*CT$51)/(CT$54)),IF(AND(Results!$E$4="Cells",Results!$E$5="Million",$B$52="million"),((CT16*CT$51)/(CT$52)),"0")))))</f>
        <v>0</v>
      </c>
      <c r="CU69" s="20" t="str">
        <f>IF(CU16=0,"0",IF(AND(Results!$E$5="Protein",$C$53&gt;0,OR(Results!$E$4="Tissue",Results!$E$4="Cells")),((CU16*CU$51)/(CU$53)),IF(AND(Results!$E$5="Weight",$C$52&gt;0, Results!$E$4="Tissue",OR($B$52="g",$B$52="mg")),((CU16*CU$51)/(CU$52)),IF(AND(Results!$E$5="Volume",$C$54&gt;0,Results!$E$4="Fluid"),((CU16*CU$51)/(CU$54)),IF(AND(Results!$E$4="Cells",Results!$E$5="Million",$B$52="million"),((CU16*CU$51)/(CU$52)),"0")))))</f>
        <v>0</v>
      </c>
      <c r="CV69" s="20" t="str">
        <f>IF(CV16=0,"0",IF(AND(Results!$E$5="Protein",$C$53&gt;0,OR(Results!$E$4="Tissue",Results!$E$4="Cells")),((CV16*CV$51)/(CV$53)),IF(AND(Results!$E$5="Weight",$C$52&gt;0, Results!$E$4="Tissue",OR($B$52="g",$B$52="mg")),((CV16*CV$51)/(CV$52)),IF(AND(Results!$E$5="Volume",$C$54&gt;0,Results!$E$4="Fluid"),((CV16*CV$51)/(CV$54)),IF(AND(Results!$E$4="Cells",Results!$E$5="Million",$B$52="million"),((CV16*CV$51)/(CV$52)),"0")))))</f>
        <v>0</v>
      </c>
      <c r="CW69" s="20" t="str">
        <f>IF(CW16=0,"0",IF(AND(Results!$E$5="Protein",$C$53&gt;0,OR(Results!$E$4="Tissue",Results!$E$4="Cells")),((CW16*CW$51)/(CW$53)),IF(AND(Results!$E$5="Weight",$C$52&gt;0, Results!$E$4="Tissue",OR($B$52="g",$B$52="mg")),((CW16*CW$51)/(CW$52)),IF(AND(Results!$E$5="Volume",$C$54&gt;0,Results!$E$4="Fluid"),((CW16*CW$51)/(CW$54)),IF(AND(Results!$E$4="Cells",Results!$E$5="Million",$B$52="million"),((CW16*CW$51)/(CW$52)),"0")))))</f>
        <v>0</v>
      </c>
      <c r="CX69" s="20" t="str">
        <f>IF(CX16=0,"0",IF(AND(Results!$E$5="Protein",$C$53&gt;0,OR(Results!$E$4="Tissue",Results!$E$4="Cells")),((CX16*CX$51)/(CX$53)),IF(AND(Results!$E$5="Weight",$C$52&gt;0, Results!$E$4="Tissue",OR($B$52="g",$B$52="mg")),((CX16*CX$51)/(CX$52)),IF(AND(Results!$E$5="Volume",$C$54&gt;0,Results!$E$4="Fluid"),((CX16*CX$51)/(CX$54)),IF(AND(Results!$E$4="Cells",Results!$E$5="Million",$B$52="million"),((CX16*CX$51)/(CX$52)),"0")))))</f>
        <v>0</v>
      </c>
      <c r="CY69" s="20" t="str">
        <f>IF(CY16=0,"0",IF(AND(Results!$E$5="Protein",$C$53&gt;0,OR(Results!$E$4="Tissue",Results!$E$4="Cells")),((CY16*CY$51)/(CY$53)),IF(AND(Results!$E$5="Weight",$C$52&gt;0, Results!$E$4="Tissue",OR($B$52="g",$B$52="mg")),((CY16*CY$51)/(CY$52)),IF(AND(Results!$E$5="Volume",$C$54&gt;0,Results!$E$4="Fluid"),((CY16*CY$51)/(CY$54)),IF(AND(Results!$E$4="Cells",Results!$E$5="Million",$B$52="million"),((CY16*CY$51)/(CY$52)),"0")))))</f>
        <v>0</v>
      </c>
      <c r="CZ69" s="20" t="str">
        <f>IF(CZ16=0,"0",IF(AND(Results!$E$5="Protein",$C$53&gt;0,OR(Results!$E$4="Tissue",Results!$E$4="Cells")),((CZ16*CZ$51)/(CZ$53)),IF(AND(Results!$E$5="Weight",$C$52&gt;0, Results!$E$4="Tissue",OR($B$52="g",$B$52="mg")),((CZ16*CZ$51)/(CZ$52)),IF(AND(Results!$E$5="Volume",$C$54&gt;0,Results!$E$4="Fluid"),((CZ16*CZ$51)/(CZ$54)),IF(AND(Results!$E$4="Cells",Results!$E$5="Million",$B$52="million"),((CZ16*CZ$51)/(CZ$52)),"0")))))</f>
        <v>0</v>
      </c>
      <c r="DA69" s="20" t="str">
        <f>IF(DA16=0,"0",IF(AND(Results!$E$5="Protein",$C$53&gt;0,OR(Results!$E$4="Tissue",Results!$E$4="Cells")),((DA16*DA$51)/(DA$53)),IF(AND(Results!$E$5="Weight",$C$52&gt;0, Results!$E$4="Tissue",OR($B$52="g",$B$52="mg")),((DA16*DA$51)/(DA$52)),IF(AND(Results!$E$5="Volume",$C$54&gt;0,Results!$E$4="Fluid"),((DA16*DA$51)/(DA$54)),IF(AND(Results!$E$4="Cells",Results!$E$5="Million",$B$52="million"),((DA16*DA$51)/(DA$52)),"0")))))</f>
        <v>0</v>
      </c>
      <c r="DB69" s="20" t="str">
        <f>IF(DB16=0,"0",IF(AND(Results!$E$5="Protein",$C$53&gt;0,OR(Results!$E$4="Tissue",Results!$E$4="Cells")),((DB16*DB$51)/(DB$53)),IF(AND(Results!$E$5="Weight",$C$52&gt;0, Results!$E$4="Tissue",OR($B$52="g",$B$52="mg")),((DB16*DB$51)/(DB$52)),IF(AND(Results!$E$5="Volume",$C$54&gt;0,Results!$E$4="Fluid"),((DB16*DB$51)/(DB$54)),IF(AND(Results!$E$4="Cells",Results!$E$5="Million",$B$52="million"),((DB16*DB$51)/(DB$52)),"0")))))</f>
        <v>0</v>
      </c>
      <c r="DC69" s="20" t="str">
        <f>IF(DC16=0,"0",IF(AND(Results!$E$5="Protein",$C$53&gt;0,OR(Results!$E$4="Tissue",Results!$E$4="Cells")),((DC16*DC$51)/(DC$53)),IF(AND(Results!$E$5="Weight",$C$52&gt;0, Results!$E$4="Tissue",OR($B$52="g",$B$52="mg")),((DC16*DC$51)/(DC$52)),IF(AND(Results!$E$5="Volume",$C$54&gt;0,Results!$E$4="Fluid"),((DC16*DC$51)/(DC$54)),IF(AND(Results!$E$4="Cells",Results!$E$5="Million",$B$52="million"),((DC16*DC$51)/(DC$52)),"0")))))</f>
        <v>0</v>
      </c>
      <c r="DD69" s="20" t="str">
        <f>IF(DD16=0,"0",IF(AND(Results!$E$5="Protein",$C$53&gt;0,OR(Results!$E$4="Tissue",Results!$E$4="Cells")),((DD16*DD$51)/(DD$53)),IF(AND(Results!$E$5="Weight",$C$52&gt;0, Results!$E$4="Tissue",OR($B$52="g",$B$52="mg")),((DD16*DD$51)/(DD$52)),IF(AND(Results!$E$5="Volume",$C$54&gt;0,Results!$E$4="Fluid"),((DD16*DD$51)/(DD$54)),IF(AND(Results!$E$4="Cells",Results!$E$5="Million",$B$52="million"),((DD16*DD$51)/(DD$52)),"0")))))</f>
        <v>0</v>
      </c>
      <c r="DE69" s="20" t="str">
        <f>IF(DE16=0,"0",IF(AND(Results!$E$5="Protein",$C$53&gt;0,OR(Results!$E$4="Tissue",Results!$E$4="Cells")),((DE16*DE$51)/(DE$53)),IF(AND(Results!$E$5="Weight",$C$52&gt;0, Results!$E$4="Tissue",OR($B$52="g",$B$52="mg")),((DE16*DE$51)/(DE$52)),IF(AND(Results!$E$5="Volume",$C$54&gt;0,Results!$E$4="Fluid"),((DE16*DE$51)/(DE$54)),IF(AND(Results!$E$4="Cells",Results!$E$5="Million",$B$52="million"),((DE16*DE$51)/(DE$52)),"0")))))</f>
        <v>0</v>
      </c>
      <c r="DF69" s="20" t="str">
        <f>IF(DF16=0,"0",IF(AND(Results!$E$5="Protein",$C$53&gt;0,OR(Results!$E$4="Tissue",Results!$E$4="Cells")),((DF16*DF$51)/(DF$53)),IF(AND(Results!$E$5="Weight",$C$52&gt;0, Results!$E$4="Tissue",OR($B$52="g",$B$52="mg")),((DF16*DF$51)/(DF$52)),IF(AND(Results!$E$5="Volume",$C$54&gt;0,Results!$E$4="Fluid"),((DF16*DF$51)/(DF$54)),IF(AND(Results!$E$4="Cells",Results!$E$5="Million",$B$52="million"),((DF16*DF$51)/(DF$52)),"0")))))</f>
        <v>0</v>
      </c>
      <c r="DG69" s="20" t="str">
        <f>IF(DG16=0,"0",IF(AND(Results!$E$5="Protein",$C$53&gt;0,OR(Results!$E$4="Tissue",Results!$E$4="Cells")),((DG16*DG$51)/(DG$53)),IF(AND(Results!$E$5="Weight",$C$52&gt;0, Results!$E$4="Tissue",OR($B$52="g",$B$52="mg")),((DG16*DG$51)/(DG$52)),IF(AND(Results!$E$5="Volume",$C$54&gt;0,Results!$E$4="Fluid"),((DG16*DG$51)/(DG$54)),IF(AND(Results!$E$4="Cells",Results!$E$5="Million",$B$52="million"),((DG16*DG$51)/(DG$52)),"0")))))</f>
        <v>0</v>
      </c>
      <c r="DH69" s="20" t="str">
        <f>IF(DH16=0,"0",IF(AND(Results!$E$5="Protein",$C$53&gt;0,OR(Results!$E$4="Tissue",Results!$E$4="Cells")),((DH16*DH$51)/(DH$53)),IF(AND(Results!$E$5="Weight",$C$52&gt;0, Results!$E$4="Tissue",OR($B$52="g",$B$52="mg")),((DH16*DH$51)/(DH$52)),IF(AND(Results!$E$5="Volume",$C$54&gt;0,Results!$E$4="Fluid"),((DH16*DH$51)/(DH$54)),IF(AND(Results!$E$4="Cells",Results!$E$5="Million",$B$52="million"),((DH16*DH$51)/(DH$52)),"0")))))</f>
        <v>0</v>
      </c>
      <c r="DI69" s="20" t="str">
        <f>IF(DI16=0,"0",IF(AND(Results!$E$5="Protein",$C$53&gt;0,OR(Results!$E$4="Tissue",Results!$E$4="Cells")),((DI16*DI$51)/(DI$53)),IF(AND(Results!$E$5="Weight",$C$52&gt;0, Results!$E$4="Tissue",OR($B$52="g",$B$52="mg")),((DI16*DI$51)/(DI$52)),IF(AND(Results!$E$5="Volume",$C$54&gt;0,Results!$E$4="Fluid"),((DI16*DI$51)/(DI$54)),IF(AND(Results!$E$4="Cells",Results!$E$5="Million",$B$52="million"),((DI16*DI$51)/(DI$52)),"0")))))</f>
        <v>0</v>
      </c>
      <c r="DJ69" s="20" t="str">
        <f>IF(DJ16=0,"0",IF(AND(Results!$E$5="Protein",$C$53&gt;0,OR(Results!$E$4="Tissue",Results!$E$4="Cells")),((DJ16*DJ$51)/(DJ$53)),IF(AND(Results!$E$5="Weight",$C$52&gt;0, Results!$E$4="Tissue",OR($B$52="g",$B$52="mg")),((DJ16*DJ$51)/(DJ$52)),IF(AND(Results!$E$5="Volume",$C$54&gt;0,Results!$E$4="Fluid"),((DJ16*DJ$51)/(DJ$54)),IF(AND(Results!$E$4="Cells",Results!$E$5="Million",$B$52="million"),((DJ16*DJ$51)/(DJ$52)),"0")))))</f>
        <v>0</v>
      </c>
      <c r="DK69" s="20" t="str">
        <f>IF(DK16=0,"0",IF(AND(Results!$E$5="Protein",$C$53&gt;0,OR(Results!$E$4="Tissue",Results!$E$4="Cells")),((DK16*DK$51)/(DK$53)),IF(AND(Results!$E$5="Weight",$C$52&gt;0, Results!$E$4="Tissue",OR($B$52="g",$B$52="mg")),((DK16*DK$51)/(DK$52)),IF(AND(Results!$E$5="Volume",$C$54&gt;0,Results!$E$4="Fluid"),((DK16*DK$51)/(DK$54)),IF(AND(Results!$E$4="Cells",Results!$E$5="Million",$B$52="million"),((DK16*DK$51)/(DK$52)),"0")))))</f>
        <v>0</v>
      </c>
      <c r="DL69" s="20" t="str">
        <f>IF(DL16=0,"0",IF(AND(Results!$E$5="Protein",$C$53&gt;0,OR(Results!$E$4="Tissue",Results!$E$4="Cells")),((DL16*DL$51)/(DL$53)),IF(AND(Results!$E$5="Weight",$C$52&gt;0, Results!$E$4="Tissue",OR($B$52="g",$B$52="mg")),((DL16*DL$51)/(DL$52)),IF(AND(Results!$E$5="Volume",$C$54&gt;0,Results!$E$4="Fluid"),((DL16*DL$51)/(DL$54)),IF(AND(Results!$E$4="Cells",Results!$E$5="Million",$B$52="million"),((DL16*DL$51)/(DL$52)),"0")))))</f>
        <v>0</v>
      </c>
      <c r="DM69" s="20" t="str">
        <f>IF(DM16=0,"0",IF(AND(Results!$E$5="Protein",$C$53&gt;0,OR(Results!$E$4="Tissue",Results!$E$4="Cells")),((DM16*DM$51)/(DM$53)),IF(AND(Results!$E$5="Weight",$C$52&gt;0, Results!$E$4="Tissue",OR($B$52="g",$B$52="mg")),((DM16*DM$51)/(DM$52)),IF(AND(Results!$E$5="Volume",$C$54&gt;0,Results!$E$4="Fluid"),((DM16*DM$51)/(DM$54)),IF(AND(Results!$E$4="Cells",Results!$E$5="Million",$B$52="million"),((DM16*DM$51)/(DM$52)),"0")))))</f>
        <v>0</v>
      </c>
      <c r="DN69" s="20" t="str">
        <f>IF(DN16=0,"0",IF(AND(Results!$E$5="Protein",$C$53&gt;0,OR(Results!$E$4="Tissue",Results!$E$4="Cells")),((DN16*DN$51)/(DN$53)),IF(AND(Results!$E$5="Weight",$C$52&gt;0, Results!$E$4="Tissue",OR($B$52="g",$B$52="mg")),((DN16*DN$51)/(DN$52)),IF(AND(Results!$E$5="Volume",$C$54&gt;0,Results!$E$4="Fluid"),((DN16*DN$51)/(DN$54)),IF(AND(Results!$E$4="Cells",Results!$E$5="Million",$B$52="million"),((DN16*DN$51)/(DN$52)),"0")))))</f>
        <v>0</v>
      </c>
      <c r="DO69" s="20" t="str">
        <f>IF(DO16=0,"0",IF(AND(Results!$E$5="Protein",$C$53&gt;0,OR(Results!$E$4="Tissue",Results!$E$4="Cells")),((DO16*DO$51)/(DO$53)),IF(AND(Results!$E$5="Weight",$C$52&gt;0, Results!$E$4="Tissue",OR($B$52="g",$B$52="mg")),((DO16*DO$51)/(DO$52)),IF(AND(Results!$E$5="Volume",$C$54&gt;0,Results!$E$4="Fluid"),((DO16*DO$51)/(DO$54)),IF(AND(Results!$E$4="Cells",Results!$E$5="Million",$B$52="million"),((DO16*DO$51)/(DO$52)),"0")))))</f>
        <v>0</v>
      </c>
      <c r="DP69" s="20" t="str">
        <f>IF(DP16=0,"0",IF(AND(Results!$E$5="Protein",$C$53&gt;0,OR(Results!$E$4="Tissue",Results!$E$4="Cells")),((DP16*DP$51)/(DP$53)),IF(AND(Results!$E$5="Weight",$C$52&gt;0, Results!$E$4="Tissue",OR($B$52="g",$B$52="mg")),((DP16*DP$51)/(DP$52)),IF(AND(Results!$E$5="Volume",$C$54&gt;0,Results!$E$4="Fluid"),((DP16*DP$51)/(DP$54)),IF(AND(Results!$E$4="Cells",Results!$E$5="Million",$B$52="million"),((DP16*DP$51)/(DP$52)),"0")))))</f>
        <v>0</v>
      </c>
      <c r="DQ69" s="20" t="str">
        <f>IF(DQ16=0,"0",IF(AND(Results!$E$5="Protein",$C$53&gt;0,OR(Results!$E$4="Tissue",Results!$E$4="Cells")),((DQ16*DQ$51)/(DQ$53)),IF(AND(Results!$E$5="Weight",$C$52&gt;0, Results!$E$4="Tissue",OR($B$52="g",$B$52="mg")),((DQ16*DQ$51)/(DQ$52)),IF(AND(Results!$E$5="Volume",$C$54&gt;0,Results!$E$4="Fluid"),((DQ16*DQ$51)/(DQ$54)),IF(AND(Results!$E$4="Cells",Results!$E$5="Million",$B$52="million"),((DQ16*DQ$51)/(DQ$52)),"0")))))</f>
        <v>0</v>
      </c>
      <c r="DR69" s="20" t="str">
        <f>IF(DR16=0,"0",IF(AND(Results!$E$5="Protein",$C$53&gt;0,OR(Results!$E$4="Tissue",Results!$E$4="Cells")),((DR16*DR$51)/(DR$53)),IF(AND(Results!$E$5="Weight",$C$52&gt;0, Results!$E$4="Tissue",OR($B$52="g",$B$52="mg")),((DR16*DR$51)/(DR$52)),IF(AND(Results!$E$5="Volume",$C$54&gt;0,Results!$E$4="Fluid"),((DR16*DR$51)/(DR$54)),IF(AND(Results!$E$4="Cells",Results!$E$5="Million",$B$52="million"),((DR16*DR$51)/(DR$52)),"0")))))</f>
        <v>0</v>
      </c>
      <c r="DS69" s="20" t="str">
        <f>IF(DS16=0,"0",IF(AND(Results!$E$5="Protein",$C$53&gt;0,OR(Results!$E$4="Tissue",Results!$E$4="Cells")),((DS16*DS$51)/(DS$53)),IF(AND(Results!$E$5="Weight",$C$52&gt;0, Results!$E$4="Tissue",OR($B$52="g",$B$52="mg")),((DS16*DS$51)/(DS$52)),IF(AND(Results!$E$5="Volume",$C$54&gt;0,Results!$E$4="Fluid"),((DS16*DS$51)/(DS$54)),IF(AND(Results!$E$4="Cells",Results!$E$5="Million",$B$52="million"),((DS16*DS$51)/(DS$52)),"0")))))</f>
        <v>0</v>
      </c>
      <c r="DT69" s="20" t="str">
        <f>IF(DT16=0,"0",IF(AND(Results!$E$5="Protein",$C$53&gt;0,OR(Results!$E$4="Tissue",Results!$E$4="Cells")),((DT16*DT$51)/(DT$53)),IF(AND(Results!$E$5="Weight",$C$52&gt;0, Results!$E$4="Tissue",OR($B$52="g",$B$52="mg")),((DT16*DT$51)/(DT$52)),IF(AND(Results!$E$5="Volume",$C$54&gt;0,Results!$E$4="Fluid"),((DT16*DT$51)/(DT$54)),IF(AND(Results!$E$4="Cells",Results!$E$5="Million",$B$52="million"),((DT16*DT$51)/(DT$52)),"0")))))</f>
        <v>0</v>
      </c>
      <c r="DU69" s="20" t="str">
        <f>IF(DU16=0,"0",IF(AND(Results!$E$5="Protein",$C$53&gt;0,OR(Results!$E$4="Tissue",Results!$E$4="Cells")),((DU16*DU$51)/(DU$53)),IF(AND(Results!$E$5="Weight",$C$52&gt;0, Results!$E$4="Tissue",OR($B$52="g",$B$52="mg")),((DU16*DU$51)/(DU$52)),IF(AND(Results!$E$5="Volume",$C$54&gt;0,Results!$E$4="Fluid"),((DU16*DU$51)/(DU$54)),IF(AND(Results!$E$4="Cells",Results!$E$5="Million",$B$52="million"),((DU16*DU$51)/(DU$52)),"0")))))</f>
        <v>0</v>
      </c>
      <c r="DV69" s="20" t="str">
        <f>IF(DV16=0,"0",IF(AND(Results!$E$5="Protein",$C$53&gt;0,OR(Results!$E$4="Tissue",Results!$E$4="Cells")),((DV16*DV$51)/(DV$53)),IF(AND(Results!$E$5="Weight",$C$52&gt;0, Results!$E$4="Tissue",OR($B$52="g",$B$52="mg")),((DV16*DV$51)/(DV$52)),IF(AND(Results!$E$5="Volume",$C$54&gt;0,Results!$E$4="Fluid"),((DV16*DV$51)/(DV$54)),IF(AND(Results!$E$4="Cells",Results!$E$5="Million",$B$52="million"),((DV16*DV$51)/(DV$52)),"0")))))</f>
        <v>0</v>
      </c>
      <c r="DW69" s="20" t="str">
        <f>IF(DW16=0,"0",IF(AND(Results!$E$5="Protein",$C$53&gt;0,OR(Results!$E$4="Tissue",Results!$E$4="Cells")),((DW16*DW$51)/(DW$53)),IF(AND(Results!$E$5="Weight",$C$52&gt;0, Results!$E$4="Tissue",OR($B$52="g",$B$52="mg")),((DW16*DW$51)/(DW$52)),IF(AND(Results!$E$5="Volume",$C$54&gt;0,Results!$E$4="Fluid"),((DW16*DW$51)/(DW$54)),IF(AND(Results!$E$4="Cells",Results!$E$5="Million",$B$52="million"),((DW16*DW$51)/(DW$52)),"0")))))</f>
        <v>0</v>
      </c>
      <c r="DX69" s="20" t="str">
        <f>IF(DX16=0,"0",IF(AND(Results!$E$5="Protein",$C$53&gt;0,OR(Results!$E$4="Tissue",Results!$E$4="Cells")),((DX16*DX$51)/(DX$53)),IF(AND(Results!$E$5="Weight",$C$52&gt;0, Results!$E$4="Tissue",OR($B$52="g",$B$52="mg")),((DX16*DX$51)/(DX$52)),IF(AND(Results!$E$5="Volume",$C$54&gt;0,Results!$E$4="Fluid"),((DX16*DX$51)/(DX$54)),IF(AND(Results!$E$4="Cells",Results!$E$5="Million",$B$52="million"),((DX16*DX$51)/(DX$52)),"0")))))</f>
        <v>0</v>
      </c>
      <c r="DY69" s="20" t="str">
        <f>IF(DY16=0,"0",IF(AND(Results!$E$5="Protein",$C$53&gt;0,OR(Results!$E$4="Tissue",Results!$E$4="Cells")),((DY16*DY$51)/(DY$53)),IF(AND(Results!$E$5="Weight",$C$52&gt;0, Results!$E$4="Tissue",OR($B$52="g",$B$52="mg")),((DY16*DY$51)/(DY$52)),IF(AND(Results!$E$5="Volume",$C$54&gt;0,Results!$E$4="Fluid"),((DY16*DY$51)/(DY$54)),IF(AND(Results!$E$4="Cells",Results!$E$5="Million",$B$52="million"),((DY16*DY$51)/(DY$52)),"0")))))</f>
        <v>0</v>
      </c>
      <c r="DZ69" s="20" t="str">
        <f>IF(DZ16=0,"0",IF(AND(Results!$E$5="Protein",$C$53&gt;0,OR(Results!$E$4="Tissue",Results!$E$4="Cells")),((DZ16*DZ$51)/(DZ$53)),IF(AND(Results!$E$5="Weight",$C$52&gt;0, Results!$E$4="Tissue",OR($B$52="g",$B$52="mg")),((DZ16*DZ$51)/(DZ$52)),IF(AND(Results!$E$5="Volume",$C$54&gt;0,Results!$E$4="Fluid"),((DZ16*DZ$51)/(DZ$54)),IF(AND(Results!$E$4="Cells",Results!$E$5="Million",$B$52="million"),((DZ16*DZ$51)/(DZ$52)),"0")))))</f>
        <v>0</v>
      </c>
      <c r="EA69" s="20" t="str">
        <f>IF(EA16=0,"0",IF(AND(Results!$E$5="Protein",$C$53&gt;0,OR(Results!$E$4="Tissue",Results!$E$4="Cells")),((EA16*EA$51)/(EA$53)),IF(AND(Results!$E$5="Weight",$C$52&gt;0, Results!$E$4="Tissue",OR($B$52="g",$B$52="mg")),((EA16*EA$51)/(EA$52)),IF(AND(Results!$E$5="Volume",$C$54&gt;0,Results!$E$4="Fluid"),((EA16*EA$51)/(EA$54)),IF(AND(Results!$E$4="Cells",Results!$E$5="Million",$B$52="million"),((EA16*EA$51)/(EA$52)),"0")))))</f>
        <v>0</v>
      </c>
      <c r="EB69" s="20" t="str">
        <f>IF(EB16=0,"0",IF(AND(Results!$E$5="Protein",$C$53&gt;0,OR(Results!$E$4="Tissue",Results!$E$4="Cells")),((EB16*EB$51)/(EB$53)),IF(AND(Results!$E$5="Weight",$C$52&gt;0, Results!$E$4="Tissue",OR($B$52="g",$B$52="mg")),((EB16*EB$51)/(EB$52)),IF(AND(Results!$E$5="Volume",$C$54&gt;0,Results!$E$4="Fluid"),((EB16*EB$51)/(EB$54)),IF(AND(Results!$E$4="Cells",Results!$E$5="Million",$B$52="million"),((EB16*EB$51)/(EB$52)),"0")))))</f>
        <v>0</v>
      </c>
      <c r="EC69" s="20" t="str">
        <f>IF(EC16=0,"0",IF(AND(Results!$E$5="Protein",$C$53&gt;0,OR(Results!$E$4="Tissue",Results!$E$4="Cells")),((EC16*EC$51)/(EC$53)),IF(AND(Results!$E$5="Weight",$C$52&gt;0, Results!$E$4="Tissue",OR($B$52="g",$B$52="mg")),((EC16*EC$51)/(EC$52)),IF(AND(Results!$E$5="Volume",$C$54&gt;0,Results!$E$4="Fluid"),((EC16*EC$51)/(EC$54)),IF(AND(Results!$E$4="Cells",Results!$E$5="Million",$B$52="million"),((EC16*EC$51)/(EC$52)),"0")))))</f>
        <v>0</v>
      </c>
      <c r="ED69" s="20" t="str">
        <f>IF(ED16=0,"0",IF(AND(Results!$E$5="Protein",$C$53&gt;0,OR(Results!$E$4="Tissue",Results!$E$4="Cells")),((ED16*ED$51)/(ED$53)),IF(AND(Results!$E$5="Weight",$C$52&gt;0, Results!$E$4="Tissue",OR($B$52="g",$B$52="mg")),((ED16*ED$51)/(ED$52)),IF(AND(Results!$E$5="Volume",$C$54&gt;0,Results!$E$4="Fluid"),((ED16*ED$51)/(ED$54)),IF(AND(Results!$E$4="Cells",Results!$E$5="Million",$B$52="million"),((ED16*ED$51)/(ED$52)),"0")))))</f>
        <v>0</v>
      </c>
      <c r="EE69" s="20" t="str">
        <f>IF(EE16=0,"0",IF(AND(Results!$E$5="Protein",$C$53&gt;0,OR(Results!$E$4="Tissue",Results!$E$4="Cells")),((EE16*EE$51)/(EE$53)),IF(AND(Results!$E$5="Weight",$C$52&gt;0, Results!$E$4="Tissue",OR($B$52="g",$B$52="mg")),((EE16*EE$51)/(EE$52)),IF(AND(Results!$E$5="Volume",$C$54&gt;0,Results!$E$4="Fluid"),((EE16*EE$51)/(EE$54)),IF(AND(Results!$E$4="Cells",Results!$E$5="Million",$B$52="million"),((EE16*EE$51)/(EE$52)),"0")))))</f>
        <v>0</v>
      </c>
      <c r="EF69" s="20" t="str">
        <f>IF(EF16=0,"0",IF(AND(Results!$E$5="Protein",$C$53&gt;0,OR(Results!$E$4="Tissue",Results!$E$4="Cells")),((EF16*EF$51)/(EF$53)),IF(AND(Results!$E$5="Weight",$C$52&gt;0, Results!$E$4="Tissue",OR($B$52="g",$B$52="mg")),((EF16*EF$51)/(EF$52)),IF(AND(Results!$E$5="Volume",$C$54&gt;0,Results!$E$4="Fluid"),((EF16*EF$51)/(EF$54)),IF(AND(Results!$E$4="Cells",Results!$E$5="Million",$B$52="million"),((EF16*EF$51)/(EF$52)),"0")))))</f>
        <v>0</v>
      </c>
      <c r="EG69" s="20" t="str">
        <f>IF(EG16=0,"0",IF(AND(Results!$E$5="Protein",$C$53&gt;0,OR(Results!$E$4="Tissue",Results!$E$4="Cells")),((EG16*EG$51)/(EG$53)),IF(AND(Results!$E$5="Weight",$C$52&gt;0, Results!$E$4="Tissue",OR($B$52="g",$B$52="mg")),((EG16*EG$51)/(EG$52)),IF(AND(Results!$E$5="Volume",$C$54&gt;0,Results!$E$4="Fluid"),((EG16*EG$51)/(EG$54)),IF(AND(Results!$E$4="Cells",Results!$E$5="Million",$B$52="million"),((EG16*EG$51)/(EG$52)),"0")))))</f>
        <v>0</v>
      </c>
      <c r="EH69" s="20" t="str">
        <f>IF(EH16=0,"0",IF(AND(Results!$E$5="Protein",$C$53&gt;0,OR(Results!$E$4="Tissue",Results!$E$4="Cells")),((EH16*EH$51)/(EH$53)),IF(AND(Results!$E$5="Weight",$C$52&gt;0, Results!$E$4="Tissue",OR($B$52="g",$B$52="mg")),((EH16*EH$51)/(EH$52)),IF(AND(Results!$E$5="Volume",$C$54&gt;0,Results!$E$4="Fluid"),((EH16*EH$51)/(EH$54)),IF(AND(Results!$E$4="Cells",Results!$E$5="Million",$B$52="million"),((EH16*EH$51)/(EH$52)),"0")))))</f>
        <v>0</v>
      </c>
      <c r="EI69" s="20" t="str">
        <f>IF(EI16=0,"0",IF(AND(Results!$E$5="Protein",$C$53&gt;0,OR(Results!$E$4="Tissue",Results!$E$4="Cells")),((EI16*EI$51)/(EI$53)),IF(AND(Results!$E$5="Weight",$C$52&gt;0, Results!$E$4="Tissue",OR($B$52="g",$B$52="mg")),((EI16*EI$51)/(EI$52)),IF(AND(Results!$E$5="Volume",$C$54&gt;0,Results!$E$4="Fluid"),((EI16*EI$51)/(EI$54)),IF(AND(Results!$E$4="Cells",Results!$E$5="Million",$B$52="million"),((EI16*EI$51)/(EI$52)),"0")))))</f>
        <v>0</v>
      </c>
      <c r="EJ69" s="20" t="str">
        <f>IF(EJ16=0,"0",IF(AND(Results!$E$5="Protein",$C$53&gt;0,OR(Results!$E$4="Tissue",Results!$E$4="Cells")),((EJ16*EJ$51)/(EJ$53)),IF(AND(Results!$E$5="Weight",$C$52&gt;0, Results!$E$4="Tissue",OR($B$52="g",$B$52="mg")),((EJ16*EJ$51)/(EJ$52)),IF(AND(Results!$E$5="Volume",$C$54&gt;0,Results!$E$4="Fluid"),((EJ16*EJ$51)/(EJ$54)),IF(AND(Results!$E$4="Cells",Results!$E$5="Million",$B$52="million"),((EJ16*EJ$51)/(EJ$52)),"0")))))</f>
        <v>0</v>
      </c>
      <c r="EK69" s="20" t="str">
        <f>IF(EK16=0,"0",IF(AND(Results!$E$5="Protein",$C$53&gt;0,OR(Results!$E$4="Tissue",Results!$E$4="Cells")),((EK16*EK$51)/(EK$53)),IF(AND(Results!$E$5="Weight",$C$52&gt;0, Results!$E$4="Tissue",OR($B$52="g",$B$52="mg")),((EK16*EK$51)/(EK$52)),IF(AND(Results!$E$5="Volume",$C$54&gt;0,Results!$E$4="Fluid"),((EK16*EK$51)/(EK$54)),IF(AND(Results!$E$4="Cells",Results!$E$5="Million",$B$52="million"),((EK16*EK$51)/(EK$52)),"0")))))</f>
        <v>0</v>
      </c>
      <c r="EL69" s="20" t="str">
        <f>IF(EL16=0,"0",IF(AND(Results!$E$5="Protein",$C$53&gt;0,OR(Results!$E$4="Tissue",Results!$E$4="Cells")),((EL16*EL$51)/(EL$53)),IF(AND(Results!$E$5="Weight",$C$52&gt;0, Results!$E$4="Tissue",OR($B$52="g",$B$52="mg")),((EL16*EL$51)/(EL$52)),IF(AND(Results!$E$5="Volume",$C$54&gt;0,Results!$E$4="Fluid"),((EL16*EL$51)/(EL$54)),IF(AND(Results!$E$4="Cells",Results!$E$5="Million",$B$52="million"),((EL16*EL$51)/(EL$52)),"0")))))</f>
        <v>0</v>
      </c>
      <c r="EM69" s="20" t="str">
        <f>IF(EM16=0,"0",IF(AND(Results!$E$5="Protein",$C$53&gt;0,OR(Results!$E$4="Tissue",Results!$E$4="Cells")),((EM16*EM$51)/(EM$53)),IF(AND(Results!$E$5="Weight",$C$52&gt;0, Results!$E$4="Tissue",OR($B$52="g",$B$52="mg")),((EM16*EM$51)/(EM$52)),IF(AND(Results!$E$5="Volume",$C$54&gt;0,Results!$E$4="Fluid"),((EM16*EM$51)/(EM$54)),IF(AND(Results!$E$4="Cells",Results!$E$5="Million",$B$52="million"),((EM16*EM$51)/(EM$52)),"0")))))</f>
        <v>0</v>
      </c>
      <c r="EN69" s="20" t="str">
        <f>IF(EN16=0,"0",IF(AND(Results!$E$5="Protein",$C$53&gt;0,OR(Results!$E$4="Tissue",Results!$E$4="Cells")),((EN16*EN$51)/(EN$53)),IF(AND(Results!$E$5="Weight",$C$52&gt;0, Results!$E$4="Tissue",OR($B$52="g",$B$52="mg")),((EN16*EN$51)/(EN$52)),IF(AND(Results!$E$5="Volume",$C$54&gt;0,Results!$E$4="Fluid"),((EN16*EN$51)/(EN$54)),IF(AND(Results!$E$4="Cells",Results!$E$5="Million",$B$52="million"),((EN16*EN$51)/(EN$52)),"0")))))</f>
        <v>0</v>
      </c>
      <c r="EO69" s="20" t="str">
        <f>IF(EO16=0,"0",IF(AND(Results!$E$5="Protein",$C$53&gt;0,OR(Results!$E$4="Tissue",Results!$E$4="Cells")),((EO16*EO$51)/(EO$53)),IF(AND(Results!$E$5="Weight",$C$52&gt;0, Results!$E$4="Tissue",OR($B$52="g",$B$52="mg")),((EO16*EO$51)/(EO$52)),IF(AND(Results!$E$5="Volume",$C$54&gt;0,Results!$E$4="Fluid"),((EO16*EO$51)/(EO$54)),IF(AND(Results!$E$4="Cells",Results!$E$5="Million",$B$52="million"),((EO16*EO$51)/(EO$52)),"0")))))</f>
        <v>0</v>
      </c>
      <c r="EP69" s="20" t="str">
        <f>IF(EP16=0,"0",IF(AND(Results!$E$5="Protein",$C$53&gt;0,OR(Results!$E$4="Tissue",Results!$E$4="Cells")),((EP16*EP$51)/(EP$53)),IF(AND(Results!$E$5="Weight",$C$52&gt;0, Results!$E$4="Tissue",OR($B$52="g",$B$52="mg")),((EP16*EP$51)/(EP$52)),IF(AND(Results!$E$5="Volume",$C$54&gt;0,Results!$E$4="Fluid"),((EP16*EP$51)/(EP$54)),IF(AND(Results!$E$4="Cells",Results!$E$5="Million",$B$52="million"),((EP16*EP$51)/(EP$52)),"0")))))</f>
        <v>0</v>
      </c>
      <c r="EQ69" s="20" t="str">
        <f>IF(EQ16=0,"0",IF(AND(Results!$E$5="Protein",$C$53&gt;0,OR(Results!$E$4="Tissue",Results!$E$4="Cells")),((EQ16*EQ$51)/(EQ$53)),IF(AND(Results!$E$5="Weight",$C$52&gt;0, Results!$E$4="Tissue",OR($B$52="g",$B$52="mg")),((EQ16*EQ$51)/(EQ$52)),IF(AND(Results!$E$5="Volume",$C$54&gt;0,Results!$E$4="Fluid"),((EQ16*EQ$51)/(EQ$54)),IF(AND(Results!$E$4="Cells",Results!$E$5="Million",$B$52="million"),((EQ16*EQ$51)/(EQ$52)),"0")))))</f>
        <v>0</v>
      </c>
      <c r="ER69" s="20" t="str">
        <f>IF(ER16=0,"0",IF(AND(Results!$E$5="Protein",$C$53&gt;0,OR(Results!$E$4="Tissue",Results!$E$4="Cells")),((ER16*ER$51)/(ER$53)),IF(AND(Results!$E$5="Weight",$C$52&gt;0, Results!$E$4="Tissue",OR($B$52="g",$B$52="mg")),((ER16*ER$51)/(ER$52)),IF(AND(Results!$E$5="Volume",$C$54&gt;0,Results!$E$4="Fluid"),((ER16*ER$51)/(ER$54)),IF(AND(Results!$E$4="Cells",Results!$E$5="Million",$B$52="million"),((ER16*ER$51)/(ER$52)),"0")))))</f>
        <v>0</v>
      </c>
      <c r="ES69" s="20" t="str">
        <f>IF(ES16=0,"0",IF(AND(Results!$E$5="Protein",$C$53&gt;0,OR(Results!$E$4="Tissue",Results!$E$4="Cells")),((ES16*ES$51)/(ES$53)),IF(AND(Results!$E$5="Weight",$C$52&gt;0, Results!$E$4="Tissue",OR($B$52="g",$B$52="mg")),((ES16*ES$51)/(ES$52)),IF(AND(Results!$E$5="Volume",$C$54&gt;0,Results!$E$4="Fluid"),((ES16*ES$51)/(ES$54)),IF(AND(Results!$E$4="Cells",Results!$E$5="Million",$B$52="million"),((ES16*ES$51)/(ES$52)),"0")))))</f>
        <v>0</v>
      </c>
      <c r="ET69" s="20" t="str">
        <f>IF(ET16=0,"0",IF(AND(Results!$E$5="Protein",$C$53&gt;0,OR(Results!$E$4="Tissue",Results!$E$4="Cells")),((ET16*ET$51)/(ET$53)),IF(AND(Results!$E$5="Weight",$C$52&gt;0, Results!$E$4="Tissue",OR($B$52="g",$B$52="mg")),((ET16*ET$51)/(ET$52)),IF(AND(Results!$E$5="Volume",$C$54&gt;0,Results!$E$4="Fluid"),((ET16*ET$51)/(ET$54)),IF(AND(Results!$E$4="Cells",Results!$E$5="Million",$B$52="million"),((ET16*ET$51)/(ET$52)),"0")))))</f>
        <v>0</v>
      </c>
      <c r="EU69" s="20" t="str">
        <f>IF(EU16=0,"0",IF(AND(Results!$E$5="Protein",$C$53&gt;0,OR(Results!$E$4="Tissue",Results!$E$4="Cells")),((EU16*EU$51)/(EU$53)),IF(AND(Results!$E$5="Weight",$C$52&gt;0, Results!$E$4="Tissue",OR($B$52="g",$B$52="mg")),((EU16*EU$51)/(EU$52)),IF(AND(Results!$E$5="Volume",$C$54&gt;0,Results!$E$4="Fluid"),((EU16*EU$51)/(EU$54)),IF(AND(Results!$E$4="Cells",Results!$E$5="Million",$B$52="million"),((EU16*EU$51)/(EU$52)),"0")))))</f>
        <v>0</v>
      </c>
      <c r="EV69" s="20" t="str">
        <f>IF(EV16=0,"0",IF(AND(Results!$E$5="Protein",$C$53&gt;0,OR(Results!$E$4="Tissue",Results!$E$4="Cells")),((EV16*EV$51)/(EV$53)),IF(AND(Results!$E$5="Weight",$C$52&gt;0, Results!$E$4="Tissue",OR($B$52="g",$B$52="mg")),((EV16*EV$51)/(EV$52)),IF(AND(Results!$E$5="Volume",$C$54&gt;0,Results!$E$4="Fluid"),((EV16*EV$51)/(EV$54)),IF(AND(Results!$E$4="Cells",Results!$E$5="Million",$B$52="million"),((EV16*EV$51)/(EV$52)),"0")))))</f>
        <v>0</v>
      </c>
      <c r="EW69" s="20" t="str">
        <f>IF(EW16=0,"0",IF(AND(Results!$E$5="Protein",$C$53&gt;0,OR(Results!$E$4="Tissue",Results!$E$4="Cells")),((EW16*EW$51)/(EW$53)),IF(AND(Results!$E$5="Weight",$C$52&gt;0, Results!$E$4="Tissue",OR($B$52="g",$B$52="mg")),((EW16*EW$51)/(EW$52)),IF(AND(Results!$E$5="Volume",$C$54&gt;0,Results!$E$4="Fluid"),((EW16*EW$51)/(EW$54)),IF(AND(Results!$E$4="Cells",Results!$E$5="Million",$B$52="million"),((EW16*EW$51)/(EW$52)),"0")))))</f>
        <v>0</v>
      </c>
      <c r="EX69" s="20" t="str">
        <f>IF(EX16=0,"0",IF(AND(Results!$E$5="Protein",$C$53&gt;0,OR(Results!$E$4="Tissue",Results!$E$4="Cells")),((EX16*EX$51)/(EX$53)),IF(AND(Results!$E$5="Weight",$C$52&gt;0, Results!$E$4="Tissue",OR($B$52="g",$B$52="mg")),((EX16*EX$51)/(EX$52)),IF(AND(Results!$E$5="Volume",$C$54&gt;0,Results!$E$4="Fluid"),((EX16*EX$51)/(EX$54)),IF(AND(Results!$E$4="Cells",Results!$E$5="Million",$B$52="million"),((EX16*EX$51)/(EX$52)),"0")))))</f>
        <v>0</v>
      </c>
      <c r="EY69" s="20" t="str">
        <f>IF(EY16=0,"0",IF(AND(Results!$E$5="Protein",$C$53&gt;0,OR(Results!$E$4="Tissue",Results!$E$4="Cells")),((EY16*EY$51)/(EY$53)),IF(AND(Results!$E$5="Weight",$C$52&gt;0, Results!$E$4="Tissue",OR($B$52="g",$B$52="mg")),((EY16*EY$51)/(EY$52)),IF(AND(Results!$E$5="Volume",$C$54&gt;0,Results!$E$4="Fluid"),((EY16*EY$51)/(EY$54)),IF(AND(Results!$E$4="Cells",Results!$E$5="Million",$B$52="million"),((EY16*EY$51)/(EY$52)),"0")))))</f>
        <v>0</v>
      </c>
      <c r="EZ69" s="20" t="str">
        <f>IF(EZ16=0,"0",IF(AND(Results!$E$5="Protein",$C$53&gt;0,OR(Results!$E$4="Tissue",Results!$E$4="Cells")),((EZ16*EZ$51)/(EZ$53)),IF(AND(Results!$E$5="Weight",$C$52&gt;0, Results!$E$4="Tissue",OR($B$52="g",$B$52="mg")),((EZ16*EZ$51)/(EZ$52)),IF(AND(Results!$E$5="Volume",$C$54&gt;0,Results!$E$4="Fluid"),((EZ16*EZ$51)/(EZ$54)),IF(AND(Results!$E$4="Cells",Results!$E$5="Million",$B$52="million"),((EZ16*EZ$51)/(EZ$52)),"0")))))</f>
        <v>0</v>
      </c>
      <c r="FA69" s="20" t="str">
        <f>IF(FA16=0,"0",IF(AND(Results!$E$5="Protein",$C$53&gt;0,OR(Results!$E$4="Tissue",Results!$E$4="Cells")),((FA16*FA$51)/(FA$53)),IF(AND(Results!$E$5="Weight",$C$52&gt;0, Results!$E$4="Tissue",OR($B$52="g",$B$52="mg")),((FA16*FA$51)/(FA$52)),IF(AND(Results!$E$5="Volume",$C$54&gt;0,Results!$E$4="Fluid"),((FA16*FA$51)/(FA$54)),IF(AND(Results!$E$4="Cells",Results!$E$5="Million",$B$52="million"),((FA16*FA$51)/(FA$52)),"0")))))</f>
        <v>0</v>
      </c>
      <c r="FB69" s="20" t="str">
        <f>IF(FB16=0,"0",IF(AND(Results!$E$5="Protein",$C$53&gt;0,OR(Results!$E$4="Tissue",Results!$E$4="Cells")),((FB16*FB$51)/(FB$53)),IF(AND(Results!$E$5="Weight",$C$52&gt;0, Results!$E$4="Tissue",OR($B$52="g",$B$52="mg")),((FB16*FB$51)/(FB$52)),IF(AND(Results!$E$5="Volume",$C$54&gt;0,Results!$E$4="Fluid"),((FB16*FB$51)/(FB$54)),IF(AND(Results!$E$4="Cells",Results!$E$5="Million",$B$52="million"),((FB16*FB$51)/(FB$52)),"0")))))</f>
        <v>0</v>
      </c>
      <c r="FC69" s="20" t="str">
        <f>IF(FC16=0,"0",IF(AND(Results!$E$5="Protein",$C$53&gt;0,OR(Results!$E$4="Tissue",Results!$E$4="Cells")),((FC16*FC$51)/(FC$53)),IF(AND(Results!$E$5="Weight",$C$52&gt;0, Results!$E$4="Tissue",OR($B$52="g",$B$52="mg")),((FC16*FC$51)/(FC$52)),IF(AND(Results!$E$5="Volume",$C$54&gt;0,Results!$E$4="Fluid"),((FC16*FC$51)/(FC$54)),IF(AND(Results!$E$4="Cells",Results!$E$5="Million",$B$52="million"),((FC16*FC$51)/(FC$52)),"0")))))</f>
        <v>0</v>
      </c>
      <c r="FD69" s="20" t="str">
        <f>IF(FD16=0,"0",IF(AND(Results!$E$5="Protein",$C$53&gt;0,OR(Results!$E$4="Tissue",Results!$E$4="Cells")),((FD16*FD$51)/(FD$53)),IF(AND(Results!$E$5="Weight",$C$52&gt;0, Results!$E$4="Tissue",OR($B$52="g",$B$52="mg")),((FD16*FD$51)/(FD$52)),IF(AND(Results!$E$5="Volume",$C$54&gt;0,Results!$E$4="Fluid"),((FD16*FD$51)/(FD$54)),IF(AND(Results!$E$4="Cells",Results!$E$5="Million",$B$52="million"),((FD16*FD$51)/(FD$52)),"0")))))</f>
        <v>0</v>
      </c>
      <c r="FE69" s="20" t="str">
        <f>IF(FE16=0,"0",IF(AND(Results!$E$5="Protein",$C$53&gt;0,OR(Results!$E$4="Tissue",Results!$E$4="Cells")),((FE16*FE$51)/(FE$53)),IF(AND(Results!$E$5="Weight",$C$52&gt;0, Results!$E$4="Tissue",OR($B$52="g",$B$52="mg")),((FE16*FE$51)/(FE$52)),IF(AND(Results!$E$5="Volume",$C$54&gt;0,Results!$E$4="Fluid"),((FE16*FE$51)/(FE$54)),IF(AND(Results!$E$4="Cells",Results!$E$5="Million",$B$52="million"),((FE16*FE$51)/(FE$52)),"0")))))</f>
        <v>0</v>
      </c>
      <c r="FF69" s="20" t="str">
        <f>IF(FF16=0,"0",IF(AND(Results!$E$5="Protein",$C$53&gt;0,OR(Results!$E$4="Tissue",Results!$E$4="Cells")),((FF16*FF$51)/(FF$53)),IF(AND(Results!$E$5="Weight",$C$52&gt;0, Results!$E$4="Tissue",OR($B$52="g",$B$52="mg")),((FF16*FF$51)/(FF$52)),IF(AND(Results!$E$5="Volume",$C$54&gt;0,Results!$E$4="Fluid"),((FF16*FF$51)/(FF$54)),IF(AND(Results!$E$4="Cells",Results!$E$5="Million",$B$52="million"),((FF16*FF$51)/(FF$52)),"0")))))</f>
        <v>0</v>
      </c>
      <c r="FG69" s="20" t="str">
        <f>IF(FG16=0,"0",IF(AND(Results!$E$5="Protein",$C$53&gt;0,OR(Results!$E$4="Tissue",Results!$E$4="Cells")),((FG16*FG$51)/(FG$53)),IF(AND(Results!$E$5="Weight",$C$52&gt;0, Results!$E$4="Tissue",OR($B$52="g",$B$52="mg")),((FG16*FG$51)/(FG$52)),IF(AND(Results!$E$5="Volume",$C$54&gt;0,Results!$E$4="Fluid"),((FG16*FG$51)/(FG$54)),IF(AND(Results!$E$4="Cells",Results!$E$5="Million",$B$52="million"),((FG16*FG$51)/(FG$52)),"0")))))</f>
        <v>0</v>
      </c>
      <c r="FH69" s="20" t="str">
        <f>IF(FH16=0,"0",IF(AND(Results!$E$5="Protein",$C$53&gt;0,OR(Results!$E$4="Tissue",Results!$E$4="Cells")),((FH16*FH$51)/(FH$53)),IF(AND(Results!$E$5="Weight",$C$52&gt;0, Results!$E$4="Tissue",OR($B$52="g",$B$52="mg")),((FH16*FH$51)/(FH$52)),IF(AND(Results!$E$5="Volume",$C$54&gt;0,Results!$E$4="Fluid"),((FH16*FH$51)/(FH$54)),IF(AND(Results!$E$4="Cells",Results!$E$5="Million",$B$52="million"),((FH16*FH$51)/(FH$52)),"0")))))</f>
        <v>0</v>
      </c>
      <c r="FI69" s="20" t="str">
        <f>IF(FI16=0,"0",IF(AND(Results!$E$5="Protein",$C$53&gt;0,OR(Results!$E$4="Tissue",Results!$E$4="Cells")),((FI16*FI$51)/(FI$53)),IF(AND(Results!$E$5="Weight",$C$52&gt;0, Results!$E$4="Tissue",OR($B$52="g",$B$52="mg")),((FI16*FI$51)/(FI$52)),IF(AND(Results!$E$5="Volume",$C$54&gt;0,Results!$E$4="Fluid"),((FI16*FI$51)/(FI$54)),IF(AND(Results!$E$4="Cells",Results!$E$5="Million",$B$52="million"),((FI16*FI$51)/(FI$52)),"0")))))</f>
        <v>0</v>
      </c>
      <c r="FJ69" s="20" t="str">
        <f>IF(FJ16=0,"0",IF(AND(Results!$E$5="Protein",$C$53&gt;0,OR(Results!$E$4="Tissue",Results!$E$4="Cells")),((FJ16*FJ$51)/(FJ$53)),IF(AND(Results!$E$5="Weight",$C$52&gt;0, Results!$E$4="Tissue",OR($B$52="g",$B$52="mg")),((FJ16*FJ$51)/(FJ$52)),IF(AND(Results!$E$5="Volume",$C$54&gt;0,Results!$E$4="Fluid"),((FJ16*FJ$51)/(FJ$54)),IF(AND(Results!$E$4="Cells",Results!$E$5="Million",$B$52="million"),((FJ16*FJ$51)/(FJ$52)),"0")))))</f>
        <v>0</v>
      </c>
      <c r="FK69" s="20" t="str">
        <f>IF(FK16=0,"0",IF(AND(Results!$E$5="Protein",$C$53&gt;0,OR(Results!$E$4="Tissue",Results!$E$4="Cells")),((FK16*FK$51)/(FK$53)),IF(AND(Results!$E$5="Weight",$C$52&gt;0, Results!$E$4="Tissue",OR($B$52="g",$B$52="mg")),((FK16*FK$51)/(FK$52)),IF(AND(Results!$E$5="Volume",$C$54&gt;0,Results!$E$4="Fluid"),((FK16*FK$51)/(FK$54)),IF(AND(Results!$E$4="Cells",Results!$E$5="Million",$B$52="million"),((FK16*FK$51)/(FK$52)),"0")))))</f>
        <v>0</v>
      </c>
      <c r="FL69" s="20" t="str">
        <f>IF(FL16=0,"0",IF(AND(Results!$E$5="Protein",$C$53&gt;0,OR(Results!$E$4="Tissue",Results!$E$4="Cells")),((FL16*FL$51)/(FL$53)),IF(AND(Results!$E$5="Weight",$C$52&gt;0, Results!$E$4="Tissue",OR($B$52="g",$B$52="mg")),((FL16*FL$51)/(FL$52)),IF(AND(Results!$E$5="Volume",$C$54&gt;0,Results!$E$4="Fluid"),((FL16*FL$51)/(FL$54)),IF(AND(Results!$E$4="Cells",Results!$E$5="Million",$B$52="million"),((FL16*FL$51)/(FL$52)),"0")))))</f>
        <v>0</v>
      </c>
      <c r="FM69" s="20" t="str">
        <f>IF(FM16=0,"0",IF(AND(Results!$E$5="Protein",$C$53&gt;0,OR(Results!$E$4="Tissue",Results!$E$4="Cells")),((FM16*FM$51)/(FM$53)),IF(AND(Results!$E$5="Weight",$C$52&gt;0, Results!$E$4="Tissue",OR($B$52="g",$B$52="mg")),((FM16*FM$51)/(FM$52)),IF(AND(Results!$E$5="Volume",$C$54&gt;0,Results!$E$4="Fluid"),((FM16*FM$51)/(FM$54)),IF(AND(Results!$E$4="Cells",Results!$E$5="Million",$B$52="million"),((FM16*FM$51)/(FM$52)),"0")))))</f>
        <v>0</v>
      </c>
      <c r="FN69" s="20" t="str">
        <f>IF(FN16=0,"0",IF(AND(Results!$E$5="Protein",$C$53&gt;0,OR(Results!$E$4="Tissue",Results!$E$4="Cells")),((FN16*FN$51)/(FN$53)),IF(AND(Results!$E$5="Weight",$C$52&gt;0, Results!$E$4="Tissue",OR($B$52="g",$B$52="mg")),((FN16*FN$51)/(FN$52)),IF(AND(Results!$E$5="Volume",$C$54&gt;0,Results!$E$4="Fluid"),((FN16*FN$51)/(FN$54)),IF(AND(Results!$E$4="Cells",Results!$E$5="Million",$B$52="million"),((FN16*FN$51)/(FN$52)),"0")))))</f>
        <v>0</v>
      </c>
      <c r="FO69" s="20" t="str">
        <f>IF(FO16=0,"0",IF(AND(Results!$E$5="Protein",$C$53&gt;0,OR(Results!$E$4="Tissue",Results!$E$4="Cells")),((FO16*FO$51)/(FO$53)),IF(AND(Results!$E$5="Weight",$C$52&gt;0, Results!$E$4="Tissue",OR($B$52="g",$B$52="mg")),((FO16*FO$51)/(FO$52)),IF(AND(Results!$E$5="Volume",$C$54&gt;0,Results!$E$4="Fluid"),((FO16*FO$51)/(FO$54)),IF(AND(Results!$E$4="Cells",Results!$E$5="Million",$B$52="million"),((FO16*FO$51)/(FO$52)),"0")))))</f>
        <v>0</v>
      </c>
    </row>
    <row r="70" spans="1:171" x14ac:dyDescent="0.2">
      <c r="A70" s="120" t="str">
        <f t="shared" si="0"/>
        <v>5-HETE</v>
      </c>
      <c r="B70" s="121"/>
      <c r="C70" s="20">
        <f>IF(C17=0,"0",IF(AND(Results!$E$5="Protein",$C$53&gt;0,OR(Results!$E$4="Tissue",Results!$E$4="Cells")),((C17*C$51)/(C$53)),IF(AND(Results!$E$5="Weight",$C$52&gt;0, Results!$E$4="Tissue",OR($B$52="g",$B$52="mg")),((C17*C$51)/(C$52)),IF(AND(Results!$E$5="Volume",$C$54&gt;0,Results!$E$4="Fluid"),((C17*C$51)/(C$54)),IF(AND(Results!$E$4="Cells",Results!$E$5="Million",$B$52="million"),((C17*C$51)/(C$52)),"0")))))</f>
        <v>96.875466666666668</v>
      </c>
      <c r="D70" s="20">
        <f>IF(D17=0,"0",IF(AND(Results!$E$5="Protein",$C$53&gt;0,OR(Results!$E$4="Tissue",Results!$E$4="Cells")),((D17*D$51)/(D$53)),IF(AND(Results!$E$5="Weight",$C$52&gt;0, Results!$E$4="Tissue",OR($B$52="g",$B$52="mg")),((D17*D$51)/(D$52)),IF(AND(Results!$E$5="Volume",$C$54&gt;0,Results!$E$4="Fluid"),((D17*D$51)/(D$54)),IF(AND(Results!$E$4="Cells",Results!$E$5="Million",$B$52="million"),((D17*D$51)/(D$52)),"0")))))</f>
        <v>118.98988333333334</v>
      </c>
      <c r="E70" s="20">
        <f>IF(E17=0,"0",IF(AND(Results!$E$5="Protein",$C$53&gt;0,OR(Results!$E$4="Tissue",Results!$E$4="Cells")),((E17*E$51)/(E$53)),IF(AND(Results!$E$5="Weight",$C$52&gt;0, Results!$E$4="Tissue",OR($B$52="g",$B$52="mg")),((E17*E$51)/(E$52)),IF(AND(Results!$E$5="Volume",$C$54&gt;0,Results!$E$4="Fluid"),((E17*E$51)/(E$54)),IF(AND(Results!$E$4="Cells",Results!$E$5="Million",$B$52="million"),((E17*E$51)/(E$52)),"0")))))</f>
        <v>125.04509999999999</v>
      </c>
      <c r="F70" s="20">
        <f>IF(F17=0,"0",IF(AND(Results!$E$5="Protein",$C$53&gt;0,OR(Results!$E$4="Tissue",Results!$E$4="Cells")),((F17*F$51)/(F$53)),IF(AND(Results!$E$5="Weight",$C$52&gt;0, Results!$E$4="Tissue",OR($B$52="g",$B$52="mg")),((F17*F$51)/(F$52)),IF(AND(Results!$E$5="Volume",$C$54&gt;0,Results!$E$4="Fluid"),((F17*F$51)/(F$54)),IF(AND(Results!$E$4="Cells",Results!$E$5="Million",$B$52="million"),((F17*F$51)/(F$52)),"0")))))</f>
        <v>156.13639999999998</v>
      </c>
      <c r="G70" s="20">
        <f>IF(G17=0,"0",IF(AND(Results!$E$5="Protein",$C$53&gt;0,OR(Results!$E$4="Tissue",Results!$E$4="Cells")),((G17*G$51)/(G$53)),IF(AND(Results!$E$5="Weight",$C$52&gt;0, Results!$E$4="Tissue",OR($B$52="g",$B$52="mg")),((G17*G$51)/(G$52)),IF(AND(Results!$E$5="Volume",$C$54&gt;0,Results!$E$4="Fluid"),((G17*G$51)/(G$54)),IF(AND(Results!$E$4="Cells",Results!$E$5="Million",$B$52="million"),((G17*G$51)/(G$52)),"0")))))</f>
        <v>173.93033333333335</v>
      </c>
      <c r="H70" s="20">
        <f>IF(H17=0,"0",IF(AND(Results!$E$5="Protein",$C$53&gt;0,OR(Results!$E$4="Tissue",Results!$E$4="Cells")),((H17*H$51)/(H$53)),IF(AND(Results!$E$5="Weight",$C$52&gt;0, Results!$E$4="Tissue",OR($B$52="g",$B$52="mg")),((H17*H$51)/(H$52)),IF(AND(Results!$E$5="Volume",$C$54&gt;0,Results!$E$4="Fluid"),((H17*H$51)/(H$54)),IF(AND(Results!$E$4="Cells",Results!$E$5="Million",$B$52="million"),((H17*H$51)/(H$52)),"0")))))</f>
        <v>193.97865000000002</v>
      </c>
      <c r="I70" s="20">
        <f>IF(I17=0,"0",IF(AND(Results!$E$5="Protein",$C$53&gt;0,OR(Results!$E$4="Tissue",Results!$E$4="Cells")),((I17*I$51)/(I$53)),IF(AND(Results!$E$5="Weight",$C$52&gt;0, Results!$E$4="Tissue",OR($B$52="g",$B$52="mg")),((I17*I$51)/(I$52)),IF(AND(Results!$E$5="Volume",$C$54&gt;0,Results!$E$4="Fluid"),((I17*I$51)/(I$54)),IF(AND(Results!$E$4="Cells",Results!$E$5="Million",$B$52="million"),((I17*I$51)/(I$52)),"0")))))</f>
        <v>93.744783333333331</v>
      </c>
      <c r="J70" s="20">
        <f>IF(J17=0,"0",IF(AND(Results!$E$5="Protein",$C$53&gt;0,OR(Results!$E$4="Tissue",Results!$E$4="Cells")),((J17*J$51)/(J$53)),IF(AND(Results!$E$5="Weight",$C$52&gt;0, Results!$E$4="Tissue",OR($B$52="g",$B$52="mg")),((J17*J$51)/(J$52)),IF(AND(Results!$E$5="Volume",$C$54&gt;0,Results!$E$4="Fluid"),((J17*J$51)/(J$54)),IF(AND(Results!$E$4="Cells",Results!$E$5="Million",$B$52="million"),((J17*J$51)/(J$52)),"0")))))</f>
        <v>49.465500000000006</v>
      </c>
      <c r="K70" s="20">
        <f>IF(K17=0,"0",IF(AND(Results!$E$5="Protein",$C$53&gt;0,OR(Results!$E$4="Tissue",Results!$E$4="Cells")),((K17*K$51)/(K$53)),IF(AND(Results!$E$5="Weight",$C$52&gt;0, Results!$E$4="Tissue",OR($B$52="g",$B$52="mg")),((K17*K$51)/(K$52)),IF(AND(Results!$E$5="Volume",$C$54&gt;0,Results!$E$4="Fluid"),((K17*K$51)/(K$54)),IF(AND(Results!$E$4="Cells",Results!$E$5="Million",$B$52="million"),((K17*K$51)/(K$52)),"0")))))</f>
        <v>45.0702</v>
      </c>
      <c r="L70" s="20">
        <f>IF(L17=0,"0",IF(AND(Results!$E$5="Protein",$C$53&gt;0,OR(Results!$E$4="Tissue",Results!$E$4="Cells")),((L17*L$51)/(L$53)),IF(AND(Results!$E$5="Weight",$C$52&gt;0, Results!$E$4="Tissue",OR($B$52="g",$B$52="mg")),((L17*L$51)/(L$52)),IF(AND(Results!$E$5="Volume",$C$54&gt;0,Results!$E$4="Fluid"),((L17*L$51)/(L$54)),IF(AND(Results!$E$4="Cells",Results!$E$5="Million",$B$52="million"),((L17*L$51)/(L$52)),"0")))))</f>
        <v>145.09745000000001</v>
      </c>
      <c r="M70" s="20">
        <f>IF(M17=0,"0",IF(AND(Results!$E$5="Protein",$C$53&gt;0,OR(Results!$E$4="Tissue",Results!$E$4="Cells")),((M17*M$51)/(M$53)),IF(AND(Results!$E$5="Weight",$C$52&gt;0, Results!$E$4="Tissue",OR($B$52="g",$B$52="mg")),((M17*M$51)/(M$52)),IF(AND(Results!$E$5="Volume",$C$54&gt;0,Results!$E$4="Fluid"),((M17*M$51)/(M$54)),IF(AND(Results!$E$4="Cells",Results!$E$5="Million",$B$52="million"),((M17*M$51)/(M$52)),"0")))))</f>
        <v>40.642616666666669</v>
      </c>
      <c r="N70" s="20">
        <f>IF(N17=0,"0",IF(AND(Results!$E$5="Protein",$C$53&gt;0,OR(Results!$E$4="Tissue",Results!$E$4="Cells")),((N17*N$51)/(N$53)),IF(AND(Results!$E$5="Weight",$C$52&gt;0, Results!$E$4="Tissue",OR($B$52="g",$B$52="mg")),((N17*N$51)/(N$52)),IF(AND(Results!$E$5="Volume",$C$54&gt;0,Results!$E$4="Fluid"),((N17*N$51)/(N$54)),IF(AND(Results!$E$4="Cells",Results!$E$5="Million",$B$52="million"),((N17*N$51)/(N$52)),"0")))))</f>
        <v>225.31681666666671</v>
      </c>
      <c r="O70" s="20">
        <f>IF(O17=0,"0",IF(AND(Results!$E$5="Protein",$C$53&gt;0,OR(Results!$E$4="Tissue",Results!$E$4="Cells")),((O17*O$51)/(O$53)),IF(AND(Results!$E$5="Weight",$C$52&gt;0, Results!$E$4="Tissue",OR($B$52="g",$B$52="mg")),((O17*O$51)/(O$52)),IF(AND(Results!$E$5="Volume",$C$54&gt;0,Results!$E$4="Fluid"),((O17*O$51)/(O$54)),IF(AND(Results!$E$4="Cells",Results!$E$5="Million",$B$52="million"),((O17*O$51)/(O$52)),"0")))))</f>
        <v>168.17400000000001</v>
      </c>
      <c r="P70" s="20">
        <f>IF(P17=0,"0",IF(AND(Results!$E$5="Protein",$C$53&gt;0,OR(Results!$E$4="Tissue",Results!$E$4="Cells")),((P17*P$51)/(P$53)),IF(AND(Results!$E$5="Weight",$C$52&gt;0, Results!$E$4="Tissue",OR($B$52="g",$B$52="mg")),((P17*P$51)/(P$52)),IF(AND(Results!$E$5="Volume",$C$54&gt;0,Results!$E$4="Fluid"),((P17*P$51)/(P$54)),IF(AND(Results!$E$4="Cells",Results!$E$5="Million",$B$52="million"),((P17*P$51)/(P$52)),"0")))))</f>
        <v>161.93221666666668</v>
      </c>
      <c r="Q70" s="20">
        <f>IF(Q17=0,"0",IF(AND(Results!$E$5="Protein",$C$53&gt;0,OR(Results!$E$4="Tissue",Results!$E$4="Cells")),((Q17*Q$51)/(Q$53)),IF(AND(Results!$E$5="Weight",$C$52&gt;0, Results!$E$4="Tissue",OR($B$52="g",$B$52="mg")),((Q17*Q$51)/(Q$52)),IF(AND(Results!$E$5="Volume",$C$54&gt;0,Results!$E$4="Fluid"),((Q17*Q$51)/(Q$54)),IF(AND(Results!$E$4="Cells",Results!$E$5="Million",$B$52="million"),((Q17*Q$51)/(Q$52)),"0")))))</f>
        <v>196.14561666666668</v>
      </c>
      <c r="R70" s="20">
        <f>IF(R17=0,"0",IF(AND(Results!$E$5="Protein",$C$53&gt;0,OR(Results!$E$4="Tissue",Results!$E$4="Cells")),((R17*R$51)/(R$53)),IF(AND(Results!$E$5="Weight",$C$52&gt;0, Results!$E$4="Tissue",OR($B$52="g",$B$52="mg")),((R17*R$51)/(R$52)),IF(AND(Results!$E$5="Volume",$C$54&gt;0,Results!$E$4="Fluid"),((R17*R$51)/(R$54)),IF(AND(Results!$E$4="Cells",Results!$E$5="Million",$B$52="million"),((R17*R$51)/(R$52)),"0")))))</f>
        <v>1199.7205500000002</v>
      </c>
      <c r="S70" s="20">
        <f>IF(S17=0,"0",IF(AND(Results!$E$5="Protein",$C$53&gt;0,OR(Results!$E$4="Tissue",Results!$E$4="Cells")),((S17*S$51)/(S$53)),IF(AND(Results!$E$5="Weight",$C$52&gt;0, Results!$E$4="Tissue",OR($B$52="g",$B$52="mg")),((S17*S$51)/(S$52)),IF(AND(Results!$E$5="Volume",$C$54&gt;0,Results!$E$4="Fluid"),((S17*S$51)/(S$54)),IF(AND(Results!$E$4="Cells",Results!$E$5="Million",$B$52="million"),((S17*S$51)/(S$52)),"0")))))</f>
        <v>16.7148</v>
      </c>
      <c r="T70" s="20">
        <f>IF(T17=0,"0",IF(AND(Results!$E$5="Protein",$C$53&gt;0,OR(Results!$E$4="Tissue",Results!$E$4="Cells")),((T17*T$51)/(T$53)),IF(AND(Results!$E$5="Weight",$C$52&gt;0, Results!$E$4="Tissue",OR($B$52="g",$B$52="mg")),((T17*T$51)/(T$52)),IF(AND(Results!$E$5="Volume",$C$54&gt;0,Results!$E$4="Fluid"),((T17*T$51)/(T$54)),IF(AND(Results!$E$4="Cells",Results!$E$5="Million",$B$52="million"),((T17*T$51)/(T$52)),"0")))))</f>
        <v>63.4129</v>
      </c>
      <c r="U70" s="20">
        <f>IF(U17=0,"0",IF(AND(Results!$E$5="Protein",$C$53&gt;0,OR(Results!$E$4="Tissue",Results!$E$4="Cells")),((U17*U$51)/(U$53)),IF(AND(Results!$E$5="Weight",$C$52&gt;0, Results!$E$4="Tissue",OR($B$52="g",$B$52="mg")),((U17*U$51)/(U$52)),IF(AND(Results!$E$5="Volume",$C$54&gt;0,Results!$E$4="Fluid"),((U17*U$51)/(U$54)),IF(AND(Results!$E$4="Cells",Results!$E$5="Million",$B$52="million"),((U17*U$51)/(U$52)),"0")))))</f>
        <v>133.57703333333333</v>
      </c>
      <c r="V70" s="20">
        <f>IF(V17=0,"0",IF(AND(Results!$E$5="Protein",$C$53&gt;0,OR(Results!$E$4="Tissue",Results!$E$4="Cells")),((V17*V$51)/(V$53)),IF(AND(Results!$E$5="Weight",$C$52&gt;0, Results!$E$4="Tissue",OR($B$52="g",$B$52="mg")),((V17*V$51)/(V$52)),IF(AND(Results!$E$5="Volume",$C$54&gt;0,Results!$E$4="Fluid"),((V17*V$51)/(V$54)),IF(AND(Results!$E$4="Cells",Results!$E$5="Million",$B$52="million"),((V17*V$51)/(V$52)),"0")))))</f>
        <v>49.190466666666673</v>
      </c>
      <c r="W70" s="20">
        <f>IF(W17=0,"0",IF(AND(Results!$E$5="Protein",$C$53&gt;0,OR(Results!$E$4="Tissue",Results!$E$4="Cells")),((W17*W$51)/(W$53)),IF(AND(Results!$E$5="Weight",$C$52&gt;0, Results!$E$4="Tissue",OR($B$52="g",$B$52="mg")),((W17*W$51)/(W$52)),IF(AND(Results!$E$5="Volume",$C$54&gt;0,Results!$E$4="Fluid"),((W17*W$51)/(W$54)),IF(AND(Results!$E$4="Cells",Results!$E$5="Million",$B$52="million"),((W17*W$51)/(W$52)),"0")))))</f>
        <v>431.78008571428569</v>
      </c>
      <c r="X70" s="20">
        <f>IF(X17=0,"0",IF(AND(Results!$E$5="Protein",$C$53&gt;0,OR(Results!$E$4="Tissue",Results!$E$4="Cells")),((X17*X$51)/(X$53)),IF(AND(Results!$E$5="Weight",$C$52&gt;0, Results!$E$4="Tissue",OR($B$52="g",$B$52="mg")),((X17*X$51)/(X$52)),IF(AND(Results!$E$5="Volume",$C$54&gt;0,Results!$E$4="Fluid"),((X17*X$51)/(X$54)),IF(AND(Results!$E$4="Cells",Results!$E$5="Million",$B$52="million"),((X17*X$51)/(X$52)),"0")))))</f>
        <v>116.77408</v>
      </c>
      <c r="Y70" s="20">
        <f>IF(Y17=0,"0",IF(AND(Results!$E$5="Protein",$C$53&gt;0,OR(Results!$E$4="Tissue",Results!$E$4="Cells")),((Y17*Y$51)/(Y$53)),IF(AND(Results!$E$5="Weight",$C$52&gt;0, Results!$E$4="Tissue",OR($B$52="g",$B$52="mg")),((Y17*Y$51)/(Y$52)),IF(AND(Results!$E$5="Volume",$C$54&gt;0,Results!$E$4="Fluid"),((Y17*Y$51)/(Y$54)),IF(AND(Results!$E$4="Cells",Results!$E$5="Million",$B$52="million"),((Y17*Y$51)/(Y$52)),"0")))))</f>
        <v>116.19905</v>
      </c>
      <c r="Z70" s="20">
        <f>IF(Z17=0,"0",IF(AND(Results!$E$5="Protein",$C$53&gt;0,OR(Results!$E$4="Tissue",Results!$E$4="Cells")),((Z17*Z$51)/(Z$53)),IF(AND(Results!$E$5="Weight",$C$52&gt;0, Results!$E$4="Tissue",OR($B$52="g",$B$52="mg")),((Z17*Z$51)/(Z$52)),IF(AND(Results!$E$5="Volume",$C$54&gt;0,Results!$E$4="Fluid"),((Z17*Z$51)/(Z$54)),IF(AND(Results!$E$4="Cells",Results!$E$5="Million",$B$52="million"),((Z17*Z$51)/(Z$52)),"0")))))</f>
        <v>1025.1311600000001</v>
      </c>
      <c r="AA70" s="20">
        <f>IF(AA17=0,"0",IF(AND(Results!$E$5="Protein",$C$53&gt;0,OR(Results!$E$4="Tissue",Results!$E$4="Cells")),((AA17*AA$51)/(AA$53)),IF(AND(Results!$E$5="Weight",$C$52&gt;0, Results!$E$4="Tissue",OR($B$52="g",$B$52="mg")),((AA17*AA$51)/(AA$52)),IF(AND(Results!$E$5="Volume",$C$54&gt;0,Results!$E$4="Fluid"),((AA17*AA$51)/(AA$54)),IF(AND(Results!$E$4="Cells",Results!$E$5="Million",$B$52="million"),((AA17*AA$51)/(AA$52)),"0")))))</f>
        <v>46.039516666666671</v>
      </c>
      <c r="AB70" s="20">
        <f>IF(AB17=0,"0",IF(AND(Results!$E$5="Protein",$C$53&gt;0,OR(Results!$E$4="Tissue",Results!$E$4="Cells")),((AB17*AB$51)/(AB$53)),IF(AND(Results!$E$5="Weight",$C$52&gt;0, Results!$E$4="Tissue",OR($B$52="g",$B$52="mg")),((AB17*AB$51)/(AB$52)),IF(AND(Results!$E$5="Volume",$C$54&gt;0,Results!$E$4="Fluid"),((AB17*AB$51)/(AB$54)),IF(AND(Results!$E$4="Cells",Results!$E$5="Million",$B$52="million"),((AB17*AB$51)/(AB$52)),"0")))))</f>
        <v>98.415333333333336</v>
      </c>
      <c r="AC70" s="20">
        <f>IF(AC17=0,"0",IF(AND(Results!$E$5="Protein",$C$53&gt;0,OR(Results!$E$4="Tissue",Results!$E$4="Cells")),((AC17*AC$51)/(AC$53)),IF(AND(Results!$E$5="Weight",$C$52&gt;0, Results!$E$4="Tissue",OR($B$52="g",$B$52="mg")),((AC17*AC$51)/(AC$52)),IF(AND(Results!$E$5="Volume",$C$54&gt;0,Results!$E$4="Fluid"),((AC17*AC$51)/(AC$54)),IF(AND(Results!$E$4="Cells",Results!$E$5="Million",$B$52="million"),((AC17*AC$51)/(AC$52)),"0")))))</f>
        <v>69.51188333333333</v>
      </c>
      <c r="AD70" s="20">
        <f>IF(AD17=0,"0",IF(AND(Results!$E$5="Protein",$C$53&gt;0,OR(Results!$E$4="Tissue",Results!$E$4="Cells")),((AD17*AD$51)/(AD$53)),IF(AND(Results!$E$5="Weight",$C$52&gt;0, Results!$E$4="Tissue",OR($B$52="g",$B$52="mg")),((AD17*AD$51)/(AD$52)),IF(AND(Results!$E$5="Volume",$C$54&gt;0,Results!$E$4="Fluid"),((AD17*AD$51)/(AD$54)),IF(AND(Results!$E$4="Cells",Results!$E$5="Million",$B$52="million"),((AD17*AD$51)/(AD$52)),"0")))))</f>
        <v>162.15625</v>
      </c>
      <c r="AE70" s="20">
        <f>IF(AE17=0,"0",IF(AND(Results!$E$5="Protein",$C$53&gt;0,OR(Results!$E$4="Tissue",Results!$E$4="Cells")),((AE17*AE$51)/(AE$53)),IF(AND(Results!$E$5="Weight",$C$52&gt;0, Results!$E$4="Tissue",OR($B$52="g",$B$52="mg")),((AE17*AE$51)/(AE$52)),IF(AND(Results!$E$5="Volume",$C$54&gt;0,Results!$E$4="Fluid"),((AE17*AE$51)/(AE$54)),IF(AND(Results!$E$4="Cells",Results!$E$5="Million",$B$52="million"),((AE17*AE$51)/(AE$52)),"0")))))</f>
        <v>45.801699999999997</v>
      </c>
      <c r="AF70" s="20">
        <f>IF(AF17=0,"0",IF(AND(Results!$E$5="Protein",$C$53&gt;0,OR(Results!$E$4="Tissue",Results!$E$4="Cells")),((AF17*AF$51)/(AF$53)),IF(AND(Results!$E$5="Weight",$C$52&gt;0, Results!$E$4="Tissue",OR($B$52="g",$B$52="mg")),((AF17*AF$51)/(AF$52)),IF(AND(Results!$E$5="Volume",$C$54&gt;0,Results!$E$4="Fluid"),((AF17*AF$51)/(AF$54)),IF(AND(Results!$E$4="Cells",Results!$E$5="Million",$B$52="million"),((AF17*AF$51)/(AF$52)),"0")))))</f>
        <v>104.67716666666666</v>
      </c>
      <c r="AG70" s="20">
        <f>IF(AG17=0,"0",IF(AND(Results!$E$5="Protein",$C$53&gt;0,OR(Results!$E$4="Tissue",Results!$E$4="Cells")),((AG17*AG$51)/(AG$53)),IF(AND(Results!$E$5="Weight",$C$52&gt;0, Results!$E$4="Tissue",OR($B$52="g",$B$52="mg")),((AG17*AG$51)/(AG$52)),IF(AND(Results!$E$5="Volume",$C$54&gt;0,Results!$E$4="Fluid"),((AG17*AG$51)/(AG$54)),IF(AND(Results!$E$4="Cells",Results!$E$5="Million",$B$52="million"),((AG17*AG$51)/(AG$52)),"0")))))</f>
        <v>323.68610000000001</v>
      </c>
      <c r="AH70" s="20">
        <f>IF(AH17=0,"0",IF(AND(Results!$E$5="Protein",$C$53&gt;0,OR(Results!$E$4="Tissue",Results!$E$4="Cells")),((AH17*AH$51)/(AH$53)),IF(AND(Results!$E$5="Weight",$C$52&gt;0, Results!$E$4="Tissue",OR($B$52="g",$B$52="mg")),((AH17*AH$51)/(AH$52)),IF(AND(Results!$E$5="Volume",$C$54&gt;0,Results!$E$4="Fluid"),((AH17*AH$51)/(AH$54)),IF(AND(Results!$E$4="Cells",Results!$E$5="Million",$B$52="million"),((AH17*AH$51)/(AH$52)),"0")))))</f>
        <v>65.459266666666664</v>
      </c>
      <c r="AI70" s="20">
        <f>IF(AI17=0,"0",IF(AND(Results!$E$5="Protein",$C$53&gt;0,OR(Results!$E$4="Tissue",Results!$E$4="Cells")),((AI17*AI$51)/(AI$53)),IF(AND(Results!$E$5="Weight",$C$52&gt;0, Results!$E$4="Tissue",OR($B$52="g",$B$52="mg")),((AI17*AI$51)/(AI$52)),IF(AND(Results!$E$5="Volume",$C$54&gt;0,Results!$E$4="Fluid"),((AI17*AI$51)/(AI$54)),IF(AND(Results!$E$4="Cells",Results!$E$5="Million",$B$52="million"),((AI17*AI$51)/(AI$52)),"0")))))</f>
        <v>308.17806666666667</v>
      </c>
      <c r="AJ70" s="20">
        <f>IF(AJ17=0,"0",IF(AND(Results!$E$5="Protein",$C$53&gt;0,OR(Results!$E$4="Tissue",Results!$E$4="Cells")),((AJ17*AJ$51)/(AJ$53)),IF(AND(Results!$E$5="Weight",$C$52&gt;0, Results!$E$4="Tissue",OR($B$52="g",$B$52="mg")),((AJ17*AJ$51)/(AJ$52)),IF(AND(Results!$E$5="Volume",$C$54&gt;0,Results!$E$4="Fluid"),((AJ17*AJ$51)/(AJ$54)),IF(AND(Results!$E$4="Cells",Results!$E$5="Million",$B$52="million"),((AJ17*AJ$51)/(AJ$52)),"0")))))</f>
        <v>285.18389999999999</v>
      </c>
      <c r="AK70" s="20">
        <f>IF(AK17=0,"0",IF(AND(Results!$E$5="Protein",$C$53&gt;0,OR(Results!$E$4="Tissue",Results!$E$4="Cells")),((AK17*AK$51)/(AK$53)),IF(AND(Results!$E$5="Weight",$C$52&gt;0, Results!$E$4="Tissue",OR($B$52="g",$B$52="mg")),((AK17*AK$51)/(AK$52)),IF(AND(Results!$E$5="Volume",$C$54&gt;0,Results!$E$4="Fluid"),((AK17*AK$51)/(AK$54)),IF(AND(Results!$E$4="Cells",Results!$E$5="Million",$B$52="million"),((AK17*AK$51)/(AK$52)),"0")))))</f>
        <v>79.968649999999997</v>
      </c>
      <c r="AL70" s="20">
        <f>IF(AL17=0,"0",IF(AND(Results!$E$5="Protein",$C$53&gt;0,OR(Results!$E$4="Tissue",Results!$E$4="Cells")),((AL17*AL$51)/(AL$53)),IF(AND(Results!$E$5="Weight",$C$52&gt;0, Results!$E$4="Tissue",OR($B$52="g",$B$52="mg")),((AL17*AL$51)/(AL$52)),IF(AND(Results!$E$5="Volume",$C$54&gt;0,Results!$E$4="Fluid"),((AL17*AL$51)/(AL$54)),IF(AND(Results!$E$4="Cells",Results!$E$5="Million",$B$52="million"),((AL17*AL$51)/(AL$52)),"0")))))</f>
        <v>133.36949999999999</v>
      </c>
      <c r="AM70" s="20">
        <f>IF(AM17=0,"0",IF(AND(Results!$E$5="Protein",$C$53&gt;0,OR(Results!$E$4="Tissue",Results!$E$4="Cells")),((AM17*AM$51)/(AM$53)),IF(AND(Results!$E$5="Weight",$C$52&gt;0, Results!$E$4="Tissue",OR($B$52="g",$B$52="mg")),((AM17*AM$51)/(AM$52)),IF(AND(Results!$E$5="Volume",$C$54&gt;0,Results!$E$4="Fluid"),((AM17*AM$51)/(AM$54)),IF(AND(Results!$E$4="Cells",Results!$E$5="Million",$B$52="million"),((AM17*AM$51)/(AM$52)),"0")))))</f>
        <v>254.16910000000001</v>
      </c>
      <c r="AN70" s="20">
        <f>IF(AN17=0,"0",IF(AND(Results!$E$5="Protein",$C$53&gt;0,OR(Results!$E$4="Tissue",Results!$E$4="Cells")),((AN17*AN$51)/(AN$53)),IF(AND(Results!$E$5="Weight",$C$52&gt;0, Results!$E$4="Tissue",OR($B$52="g",$B$52="mg")),((AN17*AN$51)/(AN$52)),IF(AND(Results!$E$5="Volume",$C$54&gt;0,Results!$E$4="Fluid"),((AN17*AN$51)/(AN$54)),IF(AND(Results!$E$4="Cells",Results!$E$5="Million",$B$52="million"),((AN17*AN$51)/(AN$52)),"0")))))</f>
        <v>133.45201666666665</v>
      </c>
      <c r="AO70" s="20">
        <f>IF(AO17=0,"0",IF(AND(Results!$E$5="Protein",$C$53&gt;0,OR(Results!$E$4="Tissue",Results!$E$4="Cells")),((AO17*AO$51)/(AO$53)),IF(AND(Results!$E$5="Weight",$C$52&gt;0, Results!$E$4="Tissue",OR($B$52="g",$B$52="mg")),((AO17*AO$51)/(AO$52)),IF(AND(Results!$E$5="Volume",$C$54&gt;0,Results!$E$4="Fluid"),((AO17*AO$51)/(AO$54)),IF(AND(Results!$E$4="Cells",Results!$E$5="Million",$B$52="million"),((AO17*AO$51)/(AO$52)),"0")))))</f>
        <v>30.750399999999999</v>
      </c>
      <c r="AP70" s="20">
        <f>IF(AP17=0,"0",IF(AND(Results!$E$5="Protein",$C$53&gt;0,OR(Results!$E$4="Tissue",Results!$E$4="Cells")),((AP17*AP$51)/(AP$53)),IF(AND(Results!$E$5="Weight",$C$52&gt;0, Results!$E$4="Tissue",OR($B$52="g",$B$52="mg")),((AP17*AP$51)/(AP$52)),IF(AND(Results!$E$5="Volume",$C$54&gt;0,Results!$E$4="Fluid"),((AP17*AP$51)/(AP$54)),IF(AND(Results!$E$4="Cells",Results!$E$5="Million",$B$52="million"),((AP17*AP$51)/(AP$52)),"0")))))</f>
        <v>179.95054999999999</v>
      </c>
      <c r="AQ70" s="20">
        <f>IF(AQ17=0,"0",IF(AND(Results!$E$5="Protein",$C$53&gt;0,OR(Results!$E$4="Tissue",Results!$E$4="Cells")),((AQ17*AQ$51)/(AQ$53)),IF(AND(Results!$E$5="Weight",$C$52&gt;0, Results!$E$4="Tissue",OR($B$52="g",$B$52="mg")),((AQ17*AQ$51)/(AQ$52)),IF(AND(Results!$E$5="Volume",$C$54&gt;0,Results!$E$4="Fluid"),((AQ17*AQ$51)/(AQ$54)),IF(AND(Results!$E$4="Cells",Results!$E$5="Million",$B$52="million"),((AQ17*AQ$51)/(AQ$52)),"0")))))</f>
        <v>221.44746666666666</v>
      </c>
      <c r="AR70" s="20">
        <f>IF(AR17=0,"0",IF(AND(Results!$E$5="Protein",$C$53&gt;0,OR(Results!$E$4="Tissue",Results!$E$4="Cells")),((AR17*AR$51)/(AR$53)),IF(AND(Results!$E$5="Weight",$C$52&gt;0, Results!$E$4="Tissue",OR($B$52="g",$B$52="mg")),((AR17*AR$51)/(AR$52)),IF(AND(Results!$E$5="Volume",$C$54&gt;0,Results!$E$4="Fluid"),((AR17*AR$51)/(AR$54)),IF(AND(Results!$E$4="Cells",Results!$E$5="Million",$B$52="million"),((AR17*AR$51)/(AR$52)),"0")))))</f>
        <v>102.22284999999998</v>
      </c>
      <c r="AS70" s="20">
        <f>IF(AS17=0,"0",IF(AND(Results!$E$5="Protein",$C$53&gt;0,OR(Results!$E$4="Tissue",Results!$E$4="Cells")),((AS17*AS$51)/(AS$53)),IF(AND(Results!$E$5="Weight",$C$52&gt;0, Results!$E$4="Tissue",OR($B$52="g",$B$52="mg")),((AS17*AS$51)/(AS$52)),IF(AND(Results!$E$5="Volume",$C$54&gt;0,Results!$E$4="Fluid"),((AS17*AS$51)/(AS$54)),IF(AND(Results!$E$4="Cells",Results!$E$5="Million",$B$52="million"),((AS17*AS$51)/(AS$52)),"0")))))</f>
        <v>1541.3184833333335</v>
      </c>
      <c r="AT70" s="20">
        <f>IF(AT17=0,"0",IF(AND(Results!$E$5="Protein",$C$53&gt;0,OR(Results!$E$4="Tissue",Results!$E$4="Cells")),((AT17*AT$51)/(AT$53)),IF(AND(Results!$E$5="Weight",$C$52&gt;0, Results!$E$4="Tissue",OR($B$52="g",$B$52="mg")),((AT17*AT$51)/(AT$52)),IF(AND(Results!$E$5="Volume",$C$54&gt;0,Results!$E$4="Fluid"),((AT17*AT$51)/(AT$54)),IF(AND(Results!$E$4="Cells",Results!$E$5="Million",$B$52="million"),((AT17*AT$51)/(AT$52)),"0")))))</f>
        <v>348.89668333333333</v>
      </c>
      <c r="AU70" s="20">
        <f>IF(AU17=0,"0",IF(AND(Results!$E$5="Protein",$C$53&gt;0,OR(Results!$E$4="Tissue",Results!$E$4="Cells")),((AU17*AU$51)/(AU$53)),IF(AND(Results!$E$5="Weight",$C$52&gt;0, Results!$E$4="Tissue",OR($B$52="g",$B$52="mg")),((AU17*AU$51)/(AU$52)),IF(AND(Results!$E$5="Volume",$C$54&gt;0,Results!$E$4="Fluid"),((AU17*AU$51)/(AU$54)),IF(AND(Results!$E$4="Cells",Results!$E$5="Million",$B$52="million"),((AU17*AU$51)/(AU$52)),"0")))))</f>
        <v>59.576880000000003</v>
      </c>
      <c r="AV70" s="20">
        <f>IF(AV17=0,"0",IF(AND(Results!$E$5="Protein",$C$53&gt;0,OR(Results!$E$4="Tissue",Results!$E$4="Cells")),((AV17*AV$51)/(AV$53)),IF(AND(Results!$E$5="Weight",$C$52&gt;0, Results!$E$4="Tissue",OR($B$52="g",$B$52="mg")),((AV17*AV$51)/(AV$52)),IF(AND(Results!$E$5="Volume",$C$54&gt;0,Results!$E$4="Fluid"),((AV17*AV$51)/(AV$54)),IF(AND(Results!$E$4="Cells",Results!$E$5="Million",$B$52="million"),((AV17*AV$51)/(AV$52)),"0")))))</f>
        <v>18.45636</v>
      </c>
      <c r="AW70" s="20">
        <f>IF(AW17=0,"0",IF(AND(Results!$E$5="Protein",$C$53&gt;0,OR(Results!$E$4="Tissue",Results!$E$4="Cells")),((AW17*AW$51)/(AW$53)),IF(AND(Results!$E$5="Weight",$C$52&gt;0, Results!$E$4="Tissue",OR($B$52="g",$B$52="mg")),((AW17*AW$51)/(AW$52)),IF(AND(Results!$E$5="Volume",$C$54&gt;0,Results!$E$4="Fluid"),((AW17*AW$51)/(AW$54)),IF(AND(Results!$E$4="Cells",Results!$E$5="Million",$B$52="million"),((AW17*AW$51)/(AW$52)),"0")))))</f>
        <v>99.323816666666673</v>
      </c>
      <c r="AX70" s="20">
        <f>IF(AX17=0,"0",IF(AND(Results!$E$5="Protein",$C$53&gt;0,OR(Results!$E$4="Tissue",Results!$E$4="Cells")),((AX17*AX$51)/(AX$53)),IF(AND(Results!$E$5="Weight",$C$52&gt;0, Results!$E$4="Tissue",OR($B$52="g",$B$52="mg")),((AX17*AX$51)/(AX$52)),IF(AND(Results!$E$5="Volume",$C$54&gt;0,Results!$E$4="Fluid"),((AX17*AX$51)/(AX$54)),IF(AND(Results!$E$4="Cells",Results!$E$5="Million",$B$52="million"),((AX17*AX$51)/(AX$52)),"0")))))</f>
        <v>154.27348333333333</v>
      </c>
      <c r="AY70" s="20">
        <f>IF(AY17=0,"0",IF(AND(Results!$E$5="Protein",$C$53&gt;0,OR(Results!$E$4="Tissue",Results!$E$4="Cells")),((AY17*AY$51)/(AY$53)),IF(AND(Results!$E$5="Weight",$C$52&gt;0, Results!$E$4="Tissue",OR($B$52="g",$B$52="mg")),((AY17*AY$51)/(AY$52)),IF(AND(Results!$E$5="Volume",$C$54&gt;0,Results!$E$4="Fluid"),((AY17*AY$51)/(AY$54)),IF(AND(Results!$E$4="Cells",Results!$E$5="Million",$B$52="million"),((AY17*AY$51)/(AY$52)),"0")))))</f>
        <v>336.14206666666666</v>
      </c>
      <c r="AZ70" s="20">
        <f>IF(AZ17=0,"0",IF(AND(Results!$E$5="Protein",$C$53&gt;0,OR(Results!$E$4="Tissue",Results!$E$4="Cells")),((AZ17*AZ$51)/(AZ$53)),IF(AND(Results!$E$5="Weight",$C$52&gt;0, Results!$E$4="Tissue",OR($B$52="g",$B$52="mg")),((AZ17*AZ$51)/(AZ$52)),IF(AND(Results!$E$5="Volume",$C$54&gt;0,Results!$E$4="Fluid"),((AZ17*AZ$51)/(AZ$54)),IF(AND(Results!$E$4="Cells",Results!$E$5="Million",$B$52="million"),((AZ17*AZ$51)/(AZ$52)),"0")))))</f>
        <v>14.536016666666665</v>
      </c>
      <c r="BA70" s="20">
        <f>IF(BA17=0,"0",IF(AND(Results!$E$5="Protein",$C$53&gt;0,OR(Results!$E$4="Tissue",Results!$E$4="Cells")),((BA17*BA$51)/(BA$53)),IF(AND(Results!$E$5="Weight",$C$52&gt;0, Results!$E$4="Tissue",OR($B$52="g",$B$52="mg")),((BA17*BA$51)/(BA$52)),IF(AND(Results!$E$5="Volume",$C$54&gt;0,Results!$E$4="Fluid"),((BA17*BA$51)/(BA$54)),IF(AND(Results!$E$4="Cells",Results!$E$5="Million",$B$52="million"),((BA17*BA$51)/(BA$52)),"0")))))</f>
        <v>88.255700000000004</v>
      </c>
      <c r="BB70" s="20">
        <f>IF(BB17=0,"0",IF(AND(Results!$E$5="Protein",$C$53&gt;0,OR(Results!$E$4="Tissue",Results!$E$4="Cells")),((BB17*BB$51)/(BB$53)),IF(AND(Results!$E$5="Weight",$C$52&gt;0, Results!$E$4="Tissue",OR($B$52="g",$B$52="mg")),((BB17*BB$51)/(BB$52)),IF(AND(Results!$E$5="Volume",$C$54&gt;0,Results!$E$4="Fluid"),((BB17*BB$51)/(BB$54)),IF(AND(Results!$E$4="Cells",Results!$E$5="Million",$B$52="million"),((BB17*BB$51)/(BB$52)),"0")))))</f>
        <v>42.485900000000001</v>
      </c>
      <c r="BC70" s="20">
        <f>IF(BC17=0,"0",IF(AND(Results!$E$5="Protein",$C$53&gt;0,OR(Results!$E$4="Tissue",Results!$E$4="Cells")),((BC17*BC$51)/(BC$53)),IF(AND(Results!$E$5="Weight",$C$52&gt;0, Results!$E$4="Tissue",OR($B$52="g",$B$52="mg")),((BC17*BC$51)/(BC$52)),IF(AND(Results!$E$5="Volume",$C$54&gt;0,Results!$E$4="Fluid"),((BC17*BC$51)/(BC$54)),IF(AND(Results!$E$4="Cells",Results!$E$5="Million",$B$52="million"),((BC17*BC$51)/(BC$52)),"0")))))</f>
        <v>211.34151666666668</v>
      </c>
      <c r="BD70" s="20">
        <f>IF(BD17=0,"0",IF(AND(Results!$E$5="Protein",$C$53&gt;0,OR(Results!$E$4="Tissue",Results!$E$4="Cells")),((BD17*BD$51)/(BD$53)),IF(AND(Results!$E$5="Weight",$C$52&gt;0, Results!$E$4="Tissue",OR($B$52="g",$B$52="mg")),((BD17*BD$51)/(BD$52)),IF(AND(Results!$E$5="Volume",$C$54&gt;0,Results!$E$4="Fluid"),((BD17*BD$51)/(BD$54)),IF(AND(Results!$E$4="Cells",Results!$E$5="Million",$B$52="million"),((BD17*BD$51)/(BD$52)),"0")))))</f>
        <v>205.29680000000002</v>
      </c>
      <c r="BE70" s="20">
        <f>IF(BE17=0,"0",IF(AND(Results!$E$5="Protein",$C$53&gt;0,OR(Results!$E$4="Tissue",Results!$E$4="Cells")),((BE17*BE$51)/(BE$53)),IF(AND(Results!$E$5="Weight",$C$52&gt;0, Results!$E$4="Tissue",OR($B$52="g",$B$52="mg")),((BE17*BE$51)/(BE$52)),IF(AND(Results!$E$5="Volume",$C$54&gt;0,Results!$E$4="Fluid"),((BE17*BE$51)/(BE$54)),IF(AND(Results!$E$4="Cells",Results!$E$5="Million",$B$52="million"),((BE17*BE$51)/(BE$52)),"0")))))</f>
        <v>20.31015</v>
      </c>
      <c r="BF70" s="20">
        <f>IF(BF17=0,"0",IF(AND(Results!$E$5="Protein",$C$53&gt;0,OR(Results!$E$4="Tissue",Results!$E$4="Cells")),((BF17*BF$51)/(BF$53)),IF(AND(Results!$E$5="Weight",$C$52&gt;0, Results!$E$4="Tissue",OR($B$52="g",$B$52="mg")),((BF17*BF$51)/(BF$52)),IF(AND(Results!$E$5="Volume",$C$54&gt;0,Results!$E$4="Fluid"),((BF17*BF$51)/(BF$54)),IF(AND(Results!$E$4="Cells",Results!$E$5="Million",$B$52="million"),((BF17*BF$51)/(BF$52)),"0")))))</f>
        <v>438.77215000000001</v>
      </c>
      <c r="BG70" s="20">
        <f>IF(BG17=0,"0",IF(AND(Results!$E$5="Protein",$C$53&gt;0,OR(Results!$E$4="Tissue",Results!$E$4="Cells")),((BG17*BG$51)/(BG$53)),IF(AND(Results!$E$5="Weight",$C$52&gt;0, Results!$E$4="Tissue",OR($B$52="g",$B$52="mg")),((BG17*BG$51)/(BG$52)),IF(AND(Results!$E$5="Volume",$C$54&gt;0,Results!$E$4="Fluid"),((BG17*BG$51)/(BG$54)),IF(AND(Results!$E$4="Cells",Results!$E$5="Million",$B$52="million"),((BG17*BG$51)/(BG$52)),"0")))))</f>
        <v>42.308616666666666</v>
      </c>
      <c r="BH70" s="20">
        <f>IF(BH17=0,"0",IF(AND(Results!$E$5="Protein",$C$53&gt;0,OR(Results!$E$4="Tissue",Results!$E$4="Cells")),((BH17*BH$51)/(BH$53)),IF(AND(Results!$E$5="Weight",$C$52&gt;0, Results!$E$4="Tissue",OR($B$52="g",$B$52="mg")),((BH17*BH$51)/(BH$52)),IF(AND(Results!$E$5="Volume",$C$54&gt;0,Results!$E$4="Fluid"),((BH17*BH$51)/(BH$54)),IF(AND(Results!$E$4="Cells",Results!$E$5="Million",$B$52="million"),((BH17*BH$51)/(BH$52)),"0")))))</f>
        <v>357.05779999999993</v>
      </c>
      <c r="BI70" s="20">
        <f>IF(BI17=0,"0",IF(AND(Results!$E$5="Protein",$C$53&gt;0,OR(Results!$E$4="Tissue",Results!$E$4="Cells")),((BI17*BI$51)/(BI$53)),IF(AND(Results!$E$5="Weight",$C$52&gt;0, Results!$E$4="Tissue",OR($B$52="g",$B$52="mg")),((BI17*BI$51)/(BI$52)),IF(AND(Results!$E$5="Volume",$C$54&gt;0,Results!$E$4="Fluid"),((BI17*BI$51)/(BI$54)),IF(AND(Results!$E$4="Cells",Results!$E$5="Million",$B$52="million"),((BI17*BI$51)/(BI$52)),"0")))))</f>
        <v>380.58443333333338</v>
      </c>
      <c r="BJ70" s="20">
        <f>IF(BJ17=0,"0",IF(AND(Results!$E$5="Protein",$C$53&gt;0,OR(Results!$E$4="Tissue",Results!$E$4="Cells")),((BJ17*BJ$51)/(BJ$53)),IF(AND(Results!$E$5="Weight",$C$52&gt;0, Results!$E$4="Tissue",OR($B$52="g",$B$52="mg")),((BJ17*BJ$51)/(BJ$52)),IF(AND(Results!$E$5="Volume",$C$54&gt;0,Results!$E$4="Fluid"),((BJ17*BJ$51)/(BJ$54)),IF(AND(Results!$E$4="Cells",Results!$E$5="Million",$B$52="million"),((BJ17*BJ$51)/(BJ$52)),"0")))))</f>
        <v>743.57584999999995</v>
      </c>
      <c r="BK70" s="20">
        <f>IF(BK17=0,"0",IF(AND(Results!$E$5="Protein",$C$53&gt;0,OR(Results!$E$4="Tissue",Results!$E$4="Cells")),((BK17*BK$51)/(BK$53)),IF(AND(Results!$E$5="Weight",$C$52&gt;0, Results!$E$4="Tissue",OR($B$52="g",$B$52="mg")),((BK17*BK$51)/(BK$52)),IF(AND(Results!$E$5="Volume",$C$54&gt;0,Results!$E$4="Fluid"),((BK17*BK$51)/(BK$54)),IF(AND(Results!$E$4="Cells",Results!$E$5="Million",$B$52="million"),((BK17*BK$51)/(BK$52)),"0")))))</f>
        <v>388.68473333333338</v>
      </c>
      <c r="BL70" s="20">
        <f>IF(BL17=0,"0",IF(AND(Results!$E$5="Protein",$C$53&gt;0,OR(Results!$E$4="Tissue",Results!$E$4="Cells")),((BL17*BL$51)/(BL$53)),IF(AND(Results!$E$5="Weight",$C$52&gt;0, Results!$E$4="Tissue",OR($B$52="g",$B$52="mg")),((BL17*BL$51)/(BL$52)),IF(AND(Results!$E$5="Volume",$C$54&gt;0,Results!$E$4="Fluid"),((BL17*BL$51)/(BL$54)),IF(AND(Results!$E$4="Cells",Results!$E$5="Million",$B$52="million"),((BL17*BL$51)/(BL$52)),"0")))))</f>
        <v>2311.3289500000001</v>
      </c>
      <c r="BM70" s="20">
        <f>IF(BM17=0,"0",IF(AND(Results!$E$5="Protein",$C$53&gt;0,OR(Results!$E$4="Tissue",Results!$E$4="Cells")),((BM17*BM$51)/(BM$53)),IF(AND(Results!$E$5="Weight",$C$52&gt;0, Results!$E$4="Tissue",OR($B$52="g",$B$52="mg")),((BM17*BM$51)/(BM$52)),IF(AND(Results!$E$5="Volume",$C$54&gt;0,Results!$E$4="Fluid"),((BM17*BM$51)/(BM$54)),IF(AND(Results!$E$4="Cells",Results!$E$5="Million",$B$52="million"),((BM17*BM$51)/(BM$52)),"0")))))</f>
        <v>877.3998857142858</v>
      </c>
      <c r="BN70" s="20">
        <f>IF(BN17=0,"0",IF(AND(Results!$E$5="Protein",$C$53&gt;0,OR(Results!$E$4="Tissue",Results!$E$4="Cells")),((BN17*BN$51)/(BN$53)),IF(AND(Results!$E$5="Weight",$C$52&gt;0, Results!$E$4="Tissue",OR($B$52="g",$B$52="mg")),((BN17*BN$51)/(BN$52)),IF(AND(Results!$E$5="Volume",$C$54&gt;0,Results!$E$4="Fluid"),((BN17*BN$51)/(BN$54)),IF(AND(Results!$E$4="Cells",Results!$E$5="Million",$B$52="million"),((BN17*BN$51)/(BN$52)),"0")))))</f>
        <v>2309.7009666666663</v>
      </c>
      <c r="BO70" s="20">
        <f>IF(BO17=0,"0",IF(AND(Results!$E$5="Protein",$C$53&gt;0,OR(Results!$E$4="Tissue",Results!$E$4="Cells")),((BO17*BO$51)/(BO$53)),IF(AND(Results!$E$5="Weight",$C$52&gt;0, Results!$E$4="Tissue",OR($B$52="g",$B$52="mg")),((BO17*BO$51)/(BO$52)),IF(AND(Results!$E$5="Volume",$C$54&gt;0,Results!$E$4="Fluid"),((BO17*BO$51)/(BO$54)),IF(AND(Results!$E$4="Cells",Results!$E$5="Million",$B$52="million"),((BO17*BO$51)/(BO$52)),"0")))))</f>
        <v>1768.2849999999999</v>
      </c>
      <c r="BP70" s="20">
        <f>IF(BP17=0,"0",IF(AND(Results!$E$5="Protein",$C$53&gt;0,OR(Results!$E$4="Tissue",Results!$E$4="Cells")),((BP17*BP$51)/(BP$53)),IF(AND(Results!$E$5="Weight",$C$52&gt;0, Results!$E$4="Tissue",OR($B$52="g",$B$52="mg")),((BP17*BP$51)/(BP$52)),IF(AND(Results!$E$5="Volume",$C$54&gt;0,Results!$E$4="Fluid"),((BP17*BP$51)/(BP$54)),IF(AND(Results!$E$4="Cells",Results!$E$5="Million",$B$52="million"),((BP17*BP$51)/(BP$52)),"0")))))</f>
        <v>1754.8267499999999</v>
      </c>
      <c r="BQ70" s="20">
        <f>IF(BQ17=0,"0",IF(AND(Results!$E$5="Protein",$C$53&gt;0,OR(Results!$E$4="Tissue",Results!$E$4="Cells")),((BQ17*BQ$51)/(BQ$53)),IF(AND(Results!$E$5="Weight",$C$52&gt;0, Results!$E$4="Tissue",OR($B$52="g",$B$52="mg")),((BQ17*BQ$51)/(BQ$52)),IF(AND(Results!$E$5="Volume",$C$54&gt;0,Results!$E$4="Fluid"),((BQ17*BQ$51)/(BQ$54)),IF(AND(Results!$E$4="Cells",Results!$E$5="Million",$B$52="million"),((BQ17*BQ$51)/(BQ$52)),"0")))))</f>
        <v>518.75113333333331</v>
      </c>
      <c r="BR70" s="20">
        <f>IF(BR17=0,"0",IF(AND(Results!$E$5="Protein",$C$53&gt;0,OR(Results!$E$4="Tissue",Results!$E$4="Cells")),((BR17*BR$51)/(BR$53)),IF(AND(Results!$E$5="Weight",$C$52&gt;0, Results!$E$4="Tissue",OR($B$52="g",$B$52="mg")),((BR17*BR$51)/(BR$52)),IF(AND(Results!$E$5="Volume",$C$54&gt;0,Results!$E$4="Fluid"),((BR17*BR$51)/(BR$54)),IF(AND(Results!$E$4="Cells",Results!$E$5="Million",$B$52="million"),((BR17*BR$51)/(BR$52)),"0")))))</f>
        <v>113.59911428571429</v>
      </c>
      <c r="BS70" s="20">
        <f>IF(BS17=0,"0",IF(AND(Results!$E$5="Protein",$C$53&gt;0,OR(Results!$E$4="Tissue",Results!$E$4="Cells")),((BS17*BS$51)/(BS$53)),IF(AND(Results!$E$5="Weight",$C$52&gt;0, Results!$E$4="Tissue",OR($B$52="g",$B$52="mg")),((BS17*BS$51)/(BS$52)),IF(AND(Results!$E$5="Volume",$C$54&gt;0,Results!$E$4="Fluid"),((BS17*BS$51)/(BS$54)),IF(AND(Results!$E$4="Cells",Results!$E$5="Million",$B$52="million"),((BS17*BS$51)/(BS$52)),"0")))))</f>
        <v>1416.2715666666666</v>
      </c>
      <c r="BT70" s="20">
        <f>IF(BT17=0,"0",IF(AND(Results!$E$5="Protein",$C$53&gt;0,OR(Results!$E$4="Tissue",Results!$E$4="Cells")),((BT17*BT$51)/(BT$53)),IF(AND(Results!$E$5="Weight",$C$52&gt;0, Results!$E$4="Tissue",OR($B$52="g",$B$52="mg")),((BT17*BT$51)/(BT$52)),IF(AND(Results!$E$5="Volume",$C$54&gt;0,Results!$E$4="Fluid"),((BT17*BT$51)/(BT$54)),IF(AND(Results!$E$4="Cells",Results!$E$5="Million",$B$52="million"),((BT17*BT$51)/(BT$52)),"0")))))</f>
        <v>1005.6605333333333</v>
      </c>
      <c r="BU70" s="20">
        <f>IF(BU17=0,"0",IF(AND(Results!$E$5="Protein",$C$53&gt;0,OR(Results!$E$4="Tissue",Results!$E$4="Cells")),((BU17*BU$51)/(BU$53)),IF(AND(Results!$E$5="Weight",$C$52&gt;0, Results!$E$4="Tissue",OR($B$52="g",$B$52="mg")),((BU17*BU$51)/(BU$52)),IF(AND(Results!$E$5="Volume",$C$54&gt;0,Results!$E$4="Fluid"),((BU17*BU$51)/(BU$54)),IF(AND(Results!$E$4="Cells",Results!$E$5="Million",$B$52="million"),((BU17*BU$51)/(BU$52)),"0")))))</f>
        <v>344.64445000000001</v>
      </c>
      <c r="BV70" s="20">
        <f>IF(BV17=0,"0",IF(AND(Results!$E$5="Protein",$C$53&gt;0,OR(Results!$E$4="Tissue",Results!$E$4="Cells")),((BV17*BV$51)/(BV$53)),IF(AND(Results!$E$5="Weight",$C$52&gt;0, Results!$E$4="Tissue",OR($B$52="g",$B$52="mg")),((BV17*BV$51)/(BV$52)),IF(AND(Results!$E$5="Volume",$C$54&gt;0,Results!$E$4="Fluid"),((BV17*BV$51)/(BV$54)),IF(AND(Results!$E$4="Cells",Results!$E$5="Million",$B$52="million"),((BV17*BV$51)/(BV$52)),"0")))))</f>
        <v>245.23633333333331</v>
      </c>
      <c r="BW70" s="20">
        <f>IF(BW17=0,"0",IF(AND(Results!$E$5="Protein",$C$53&gt;0,OR(Results!$E$4="Tissue",Results!$E$4="Cells")),((BW17*BW$51)/(BW$53)),IF(AND(Results!$E$5="Weight",$C$52&gt;0, Results!$E$4="Tissue",OR($B$52="g",$B$52="mg")),((BW17*BW$51)/(BW$52)),IF(AND(Results!$E$5="Volume",$C$54&gt;0,Results!$E$4="Fluid"),((BW17*BW$51)/(BW$54)),IF(AND(Results!$E$4="Cells",Results!$E$5="Million",$B$52="million"),((BW17*BW$51)/(BW$52)),"0")))))</f>
        <v>390.09896666666668</v>
      </c>
      <c r="BX70" s="20">
        <f>IF(BX17=0,"0",IF(AND(Results!$E$5="Protein",$C$53&gt;0,OR(Results!$E$4="Tissue",Results!$E$4="Cells")),((BX17*BX$51)/(BX$53)),IF(AND(Results!$E$5="Weight",$C$52&gt;0, Results!$E$4="Tissue",OR($B$52="g",$B$52="mg")),((BX17*BX$51)/(BX$52)),IF(AND(Results!$E$5="Volume",$C$54&gt;0,Results!$E$4="Fluid"),((BX17*BX$51)/(BX$54)),IF(AND(Results!$E$4="Cells",Results!$E$5="Million",$B$52="million"),((BX17*BX$51)/(BX$52)),"0")))))</f>
        <v>109.06278333333333</v>
      </c>
      <c r="BY70" s="20">
        <f>IF(BY17=0,"0",IF(AND(Results!$E$5="Protein",$C$53&gt;0,OR(Results!$E$4="Tissue",Results!$E$4="Cells")),((BY17*BY$51)/(BY$53)),IF(AND(Results!$E$5="Weight",$C$52&gt;0, Results!$E$4="Tissue",OR($B$52="g",$B$52="mg")),((BY17*BY$51)/(BY$52)),IF(AND(Results!$E$5="Volume",$C$54&gt;0,Results!$E$4="Fluid"),((BY17*BY$51)/(BY$54)),IF(AND(Results!$E$4="Cells",Results!$E$5="Million",$B$52="million"),((BY17*BY$51)/(BY$52)),"0")))))</f>
        <v>277.6807</v>
      </c>
      <c r="BZ70" s="20">
        <f>IF(BZ17=0,"0",IF(AND(Results!$E$5="Protein",$C$53&gt;0,OR(Results!$E$4="Tissue",Results!$E$4="Cells")),((BZ17*BZ$51)/(BZ$53)),IF(AND(Results!$E$5="Weight",$C$52&gt;0, Results!$E$4="Tissue",OR($B$52="g",$B$52="mg")),((BZ17*BZ$51)/(BZ$52)),IF(AND(Results!$E$5="Volume",$C$54&gt;0,Results!$E$4="Fluid"),((BZ17*BZ$51)/(BZ$54)),IF(AND(Results!$E$4="Cells",Results!$E$5="Million",$B$52="million"),((BZ17*BZ$51)/(BZ$52)),"0")))))</f>
        <v>180.84933333333331</v>
      </c>
      <c r="CA70" s="20">
        <f>IF(CA17=0,"0",IF(AND(Results!$E$5="Protein",$C$53&gt;0,OR(Results!$E$4="Tissue",Results!$E$4="Cells")),((CA17*CA$51)/(CA$53)),IF(AND(Results!$E$5="Weight",$C$52&gt;0, Results!$E$4="Tissue",OR($B$52="g",$B$52="mg")),((CA17*CA$51)/(CA$52)),IF(AND(Results!$E$5="Volume",$C$54&gt;0,Results!$E$4="Fluid"),((CA17*CA$51)/(CA$54)),IF(AND(Results!$E$4="Cells",Results!$E$5="Million",$B$52="million"),((CA17*CA$51)/(CA$52)),"0")))))</f>
        <v>254.17478333333335</v>
      </c>
      <c r="CB70" s="20">
        <f>IF(CB17=0,"0",IF(AND(Results!$E$5="Protein",$C$53&gt;0,OR(Results!$E$4="Tissue",Results!$E$4="Cells")),((CB17*CB$51)/(CB$53)),IF(AND(Results!$E$5="Weight",$C$52&gt;0, Results!$E$4="Tissue",OR($B$52="g",$B$52="mg")),((CB17*CB$51)/(CB$52)),IF(AND(Results!$E$5="Volume",$C$54&gt;0,Results!$E$4="Fluid"),((CB17*CB$51)/(CB$54)),IF(AND(Results!$E$4="Cells",Results!$E$5="Million",$B$52="million"),((CB17*CB$51)/(CB$52)),"0")))))</f>
        <v>188.79878333333332</v>
      </c>
      <c r="CC70" s="20">
        <f>IF(CC17=0,"0",IF(AND(Results!$E$5="Protein",$C$53&gt;0,OR(Results!$E$4="Tissue",Results!$E$4="Cells")),((CC17*CC$51)/(CC$53)),IF(AND(Results!$E$5="Weight",$C$52&gt;0, Results!$E$4="Tissue",OR($B$52="g",$B$52="mg")),((CC17*CC$51)/(CC$52)),IF(AND(Results!$E$5="Volume",$C$54&gt;0,Results!$E$4="Fluid"),((CC17*CC$51)/(CC$54)),IF(AND(Results!$E$4="Cells",Results!$E$5="Million",$B$52="million"),((CC17*CC$51)/(CC$52)),"0")))))</f>
        <v>218.02423333333337</v>
      </c>
      <c r="CD70" s="20">
        <f>IF(CD17=0,"0",IF(AND(Results!$E$5="Protein",$C$53&gt;0,OR(Results!$E$4="Tissue",Results!$E$4="Cells")),((CD17*CD$51)/(CD$53)),IF(AND(Results!$E$5="Weight",$C$52&gt;0, Results!$E$4="Tissue",OR($B$52="g",$B$52="mg")),((CD17*CD$51)/(CD$52)),IF(AND(Results!$E$5="Volume",$C$54&gt;0,Results!$E$4="Fluid"),((CD17*CD$51)/(CD$54)),IF(AND(Results!$E$4="Cells",Results!$E$5="Million",$B$52="million"),((CD17*CD$51)/(CD$52)),"0")))))</f>
        <v>115.0843</v>
      </c>
      <c r="CE70" s="20">
        <f>IF(CE17=0,"0",IF(AND(Results!$E$5="Protein",$C$53&gt;0,OR(Results!$E$4="Tissue",Results!$E$4="Cells")),((CE17*CE$51)/(CE$53)),IF(AND(Results!$E$5="Weight",$C$52&gt;0, Results!$E$4="Tissue",OR($B$52="g",$B$52="mg")),((CE17*CE$51)/(CE$52)),IF(AND(Results!$E$5="Volume",$C$54&gt;0,Results!$E$4="Fluid"),((CE17*CE$51)/(CE$54)),IF(AND(Results!$E$4="Cells",Results!$E$5="Million",$B$52="million"),((CE17*CE$51)/(CE$52)),"0")))))</f>
        <v>790.79500000000007</v>
      </c>
      <c r="CF70" s="20">
        <f>IF(CF17=0,"0",IF(AND(Results!$E$5="Protein",$C$53&gt;0,OR(Results!$E$4="Tissue",Results!$E$4="Cells")),((CF17*CF$51)/(CF$53)),IF(AND(Results!$E$5="Weight",$C$52&gt;0, Results!$E$4="Tissue",OR($B$52="g",$B$52="mg")),((CF17*CF$51)/(CF$52)),IF(AND(Results!$E$5="Volume",$C$54&gt;0,Results!$E$4="Fluid"),((CF17*CF$51)/(CF$54)),IF(AND(Results!$E$4="Cells",Results!$E$5="Million",$B$52="million"),((CF17*CF$51)/(CF$52)),"0")))))</f>
        <v>73.402383333333333</v>
      </c>
      <c r="CG70" s="20">
        <f>IF(CG17=0,"0",IF(AND(Results!$E$5="Protein",$C$53&gt;0,OR(Results!$E$4="Tissue",Results!$E$4="Cells")),((CG17*CG$51)/(CG$53)),IF(AND(Results!$E$5="Weight",$C$52&gt;0, Results!$E$4="Tissue",OR($B$52="g",$B$52="mg")),((CG17*CG$51)/(CG$52)),IF(AND(Results!$E$5="Volume",$C$54&gt;0,Results!$E$4="Fluid"),((CG17*CG$51)/(CG$54)),IF(AND(Results!$E$4="Cells",Results!$E$5="Million",$B$52="million"),((CG17*CG$51)/(CG$52)),"0")))))</f>
        <v>81.481416666666675</v>
      </c>
      <c r="CH70" s="20">
        <f>IF(CH17=0,"0",IF(AND(Results!$E$5="Protein",$C$53&gt;0,OR(Results!$E$4="Tissue",Results!$E$4="Cells")),((CH17*CH$51)/(CH$53)),IF(AND(Results!$E$5="Weight",$C$52&gt;0, Results!$E$4="Tissue",OR($B$52="g",$B$52="mg")),((CH17*CH$51)/(CH$52)),IF(AND(Results!$E$5="Volume",$C$54&gt;0,Results!$E$4="Fluid"),((CH17*CH$51)/(CH$54)),IF(AND(Results!$E$4="Cells",Results!$E$5="Million",$B$52="million"),((CH17*CH$51)/(CH$52)),"0")))))</f>
        <v>33.093499999999999</v>
      </c>
      <c r="CI70" s="20">
        <f>IF(CI17=0,"0",IF(AND(Results!$E$5="Protein",$C$53&gt;0,OR(Results!$E$4="Tissue",Results!$E$4="Cells")),((CI17*CI$51)/(CI$53)),IF(AND(Results!$E$5="Weight",$C$52&gt;0, Results!$E$4="Tissue",OR($B$52="g",$B$52="mg")),((CI17*CI$51)/(CI$52)),IF(AND(Results!$E$5="Volume",$C$54&gt;0,Results!$E$4="Fluid"),((CI17*CI$51)/(CI$54)),IF(AND(Results!$E$4="Cells",Results!$E$5="Million",$B$52="million"),((CI17*CI$51)/(CI$52)),"0")))))</f>
        <v>143.77553333333333</v>
      </c>
      <c r="CJ70" s="20">
        <f>IF(CJ17=0,"0",IF(AND(Results!$E$5="Protein",$C$53&gt;0,OR(Results!$E$4="Tissue",Results!$E$4="Cells")),((CJ17*CJ$51)/(CJ$53)),IF(AND(Results!$E$5="Weight",$C$52&gt;0, Results!$E$4="Tissue",OR($B$52="g",$B$52="mg")),((CJ17*CJ$51)/(CJ$52)),IF(AND(Results!$E$5="Volume",$C$54&gt;0,Results!$E$4="Fluid"),((CJ17*CJ$51)/(CJ$54)),IF(AND(Results!$E$4="Cells",Results!$E$5="Million",$B$52="million"),((CJ17*CJ$51)/(CJ$52)),"0")))))</f>
        <v>202.09326666666666</v>
      </c>
      <c r="CK70" s="20">
        <f>IF(CK17=0,"0",IF(AND(Results!$E$5="Protein",$C$53&gt;0,OR(Results!$E$4="Tissue",Results!$E$4="Cells")),((CK17*CK$51)/(CK$53)),IF(AND(Results!$E$5="Weight",$C$52&gt;0, Results!$E$4="Tissue",OR($B$52="g",$B$52="mg")),((CK17*CK$51)/(CK$52)),IF(AND(Results!$E$5="Volume",$C$54&gt;0,Results!$E$4="Fluid"),((CK17*CK$51)/(CK$54)),IF(AND(Results!$E$4="Cells",Results!$E$5="Million",$B$52="million"),((CK17*CK$51)/(CK$52)),"0")))))</f>
        <v>22.660000000000004</v>
      </c>
      <c r="CL70" s="20">
        <f>IF(CL17=0,"0",IF(AND(Results!$E$5="Protein",$C$53&gt;0,OR(Results!$E$4="Tissue",Results!$E$4="Cells")),((CL17*CL$51)/(CL$53)),IF(AND(Results!$E$5="Weight",$C$52&gt;0, Results!$E$4="Tissue",OR($B$52="g",$B$52="mg")),((CL17*CL$51)/(CL$52)),IF(AND(Results!$E$5="Volume",$C$54&gt;0,Results!$E$4="Fluid"),((CL17*CL$51)/(CL$54)),IF(AND(Results!$E$4="Cells",Results!$E$5="Million",$B$52="million"),((CL17*CL$51)/(CL$52)),"0")))))</f>
        <v>87.073933333333329</v>
      </c>
      <c r="CM70" s="20">
        <f>IF(CM17=0,"0",IF(AND(Results!$E$5="Protein",$C$53&gt;0,OR(Results!$E$4="Tissue",Results!$E$4="Cells")),((CM17*CM$51)/(CM$53)),IF(AND(Results!$E$5="Weight",$C$52&gt;0, Results!$E$4="Tissue",OR($B$52="g",$B$52="mg")),((CM17*CM$51)/(CM$52)),IF(AND(Results!$E$5="Volume",$C$54&gt;0,Results!$E$4="Fluid"),((CM17*CM$51)/(CM$54)),IF(AND(Results!$E$4="Cells",Results!$E$5="Million",$B$52="million"),((CM17*CM$51)/(CM$52)),"0")))))</f>
        <v>45.765816666666666</v>
      </c>
      <c r="CN70" s="20">
        <f>IF(CN17=0,"0",IF(AND(Results!$E$5="Protein",$C$53&gt;0,OR(Results!$E$4="Tissue",Results!$E$4="Cells")),((CN17*CN$51)/(CN$53)),IF(AND(Results!$E$5="Weight",$C$52&gt;0, Results!$E$4="Tissue",OR($B$52="g",$B$52="mg")),((CN17*CN$51)/(CN$52)),IF(AND(Results!$E$5="Volume",$C$54&gt;0,Results!$E$4="Fluid"),((CN17*CN$51)/(CN$54)),IF(AND(Results!$E$4="Cells",Results!$E$5="Million",$B$52="million"),((CN17*CN$51)/(CN$52)),"0")))))</f>
        <v>19.923499999999997</v>
      </c>
      <c r="CO70" s="20">
        <f>IF(CO17=0,"0",IF(AND(Results!$E$5="Protein",$C$53&gt;0,OR(Results!$E$4="Tissue",Results!$E$4="Cells")),((CO17*CO$51)/(CO$53)),IF(AND(Results!$E$5="Weight",$C$52&gt;0, Results!$E$4="Tissue",OR($B$52="g",$B$52="mg")),((CO17*CO$51)/(CO$52)),IF(AND(Results!$E$5="Volume",$C$54&gt;0,Results!$E$4="Fluid"),((CO17*CO$51)/(CO$54)),IF(AND(Results!$E$4="Cells",Results!$E$5="Million",$B$52="million"),((CO17*CO$51)/(CO$52)),"0")))))</f>
        <v>62.461699999999993</v>
      </c>
      <c r="CP70" s="20">
        <f>IF(CP17=0,"0",IF(AND(Results!$E$5="Protein",$C$53&gt;0,OR(Results!$E$4="Tissue",Results!$E$4="Cells")),((CP17*CP$51)/(CP$53)),IF(AND(Results!$E$5="Weight",$C$52&gt;0, Results!$E$4="Tissue",OR($B$52="g",$B$52="mg")),((CP17*CP$51)/(CP$52)),IF(AND(Results!$E$5="Volume",$C$54&gt;0,Results!$E$4="Fluid"),((CP17*CP$51)/(CP$54)),IF(AND(Results!$E$4="Cells",Results!$E$5="Million",$B$52="million"),((CP17*CP$51)/(CP$52)),"0")))))</f>
        <v>156.93019999999999</v>
      </c>
      <c r="CQ70" s="20">
        <f>IF(CQ17=0,"0",IF(AND(Results!$E$5="Protein",$C$53&gt;0,OR(Results!$E$4="Tissue",Results!$E$4="Cells")),((CQ17*CQ$51)/(CQ$53)),IF(AND(Results!$E$5="Weight",$C$52&gt;0, Results!$E$4="Tissue",OR($B$52="g",$B$52="mg")),((CQ17*CQ$51)/(CQ$52)),IF(AND(Results!$E$5="Volume",$C$54&gt;0,Results!$E$4="Fluid"),((CQ17*CQ$51)/(CQ$54)),IF(AND(Results!$E$4="Cells",Results!$E$5="Million",$B$52="million"),((CQ17*CQ$51)/(CQ$52)),"0")))))</f>
        <v>230.30600000000001</v>
      </c>
      <c r="CR70" s="20">
        <f>IF(CR17=0,"0",IF(AND(Results!$E$5="Protein",$C$53&gt;0,OR(Results!$E$4="Tissue",Results!$E$4="Cells")),((CR17*CR$51)/(CR$53)),IF(AND(Results!$E$5="Weight",$C$52&gt;0, Results!$E$4="Tissue",OR($B$52="g",$B$52="mg")),((CR17*CR$51)/(CR$52)),IF(AND(Results!$E$5="Volume",$C$54&gt;0,Results!$E$4="Fluid"),((CR17*CR$51)/(CR$54)),IF(AND(Results!$E$4="Cells",Results!$E$5="Million",$B$52="million"),((CR17*CR$51)/(CR$52)),"0")))))</f>
        <v>104.69818333333335</v>
      </c>
      <c r="CS70" s="20">
        <f>IF(CS17=0,"0",IF(AND(Results!$E$5="Protein",$C$53&gt;0,OR(Results!$E$4="Tissue",Results!$E$4="Cells")),((CS17*CS$51)/(CS$53)),IF(AND(Results!$E$5="Weight",$C$52&gt;0, Results!$E$4="Tissue",OR($B$52="g",$B$52="mg")),((CS17*CS$51)/(CS$52)),IF(AND(Results!$E$5="Volume",$C$54&gt;0,Results!$E$4="Fluid"),((CS17*CS$51)/(CS$54)),IF(AND(Results!$E$4="Cells",Results!$E$5="Million",$B$52="million"),((CS17*CS$51)/(CS$52)),"0")))))</f>
        <v>26.097383333333333</v>
      </c>
      <c r="CT70" s="20">
        <f>IF(CT17=0,"0",IF(AND(Results!$E$5="Protein",$C$53&gt;0,OR(Results!$E$4="Tissue",Results!$E$4="Cells")),((CT17*CT$51)/(CT$53)),IF(AND(Results!$E$5="Weight",$C$52&gt;0, Results!$E$4="Tissue",OR($B$52="g",$B$52="mg")),((CT17*CT$51)/(CT$52)),IF(AND(Results!$E$5="Volume",$C$54&gt;0,Results!$E$4="Fluid"),((CT17*CT$51)/(CT$54)),IF(AND(Results!$E$4="Cells",Results!$E$5="Million",$B$52="million"),((CT17*CT$51)/(CT$52)),"0")))))</f>
        <v>23.582583333333332</v>
      </c>
      <c r="CU70" s="20">
        <f>IF(CU17=0,"0",IF(AND(Results!$E$5="Protein",$C$53&gt;0,OR(Results!$E$4="Tissue",Results!$E$4="Cells")),((CU17*CU$51)/(CU$53)),IF(AND(Results!$E$5="Weight",$C$52&gt;0, Results!$E$4="Tissue",OR($B$52="g",$B$52="mg")),((CU17*CU$51)/(CU$52)),IF(AND(Results!$E$5="Volume",$C$54&gt;0,Results!$E$4="Fluid"),((CU17*CU$51)/(CU$54)),IF(AND(Results!$E$4="Cells",Results!$E$5="Million",$B$52="million"),((CU17*CU$51)/(CU$52)),"0")))))</f>
        <v>117.50406666666667</v>
      </c>
      <c r="CV70" s="20">
        <f>IF(CV17=0,"0",IF(AND(Results!$E$5="Protein",$C$53&gt;0,OR(Results!$E$4="Tissue",Results!$E$4="Cells")),((CV17*CV$51)/(CV$53)),IF(AND(Results!$E$5="Weight",$C$52&gt;0, Results!$E$4="Tissue",OR($B$52="g",$B$52="mg")),((CV17*CV$51)/(CV$52)),IF(AND(Results!$E$5="Volume",$C$54&gt;0,Results!$E$4="Fluid"),((CV17*CV$51)/(CV$54)),IF(AND(Results!$E$4="Cells",Results!$E$5="Million",$B$52="million"),((CV17*CV$51)/(CV$52)),"0")))))</f>
        <v>546.16430000000003</v>
      </c>
      <c r="CW70" s="20">
        <f>IF(CW17=0,"0",IF(AND(Results!$E$5="Protein",$C$53&gt;0,OR(Results!$E$4="Tissue",Results!$E$4="Cells")),((CW17*CW$51)/(CW$53)),IF(AND(Results!$E$5="Weight",$C$52&gt;0, Results!$E$4="Tissue",OR($B$52="g",$B$52="mg")),((CW17*CW$51)/(CW$52)),IF(AND(Results!$E$5="Volume",$C$54&gt;0,Results!$E$4="Fluid"),((CW17*CW$51)/(CW$54)),IF(AND(Results!$E$4="Cells",Results!$E$5="Million",$B$52="million"),((CW17*CW$51)/(CW$52)),"0")))))</f>
        <v>70.250550000000004</v>
      </c>
      <c r="CX70" s="20">
        <f>IF(CX17=0,"0",IF(AND(Results!$E$5="Protein",$C$53&gt;0,OR(Results!$E$4="Tissue",Results!$E$4="Cells")),((CX17*CX$51)/(CX$53)),IF(AND(Results!$E$5="Weight",$C$52&gt;0, Results!$E$4="Tissue",OR($B$52="g",$B$52="mg")),((CX17*CX$51)/(CX$52)),IF(AND(Results!$E$5="Volume",$C$54&gt;0,Results!$E$4="Fluid"),((CX17*CX$51)/(CX$54)),IF(AND(Results!$E$4="Cells",Results!$E$5="Million",$B$52="million"),((CX17*CX$51)/(CX$52)),"0")))))</f>
        <v>16.011599999999998</v>
      </c>
      <c r="CY70" s="20">
        <f>IF(CY17=0,"0",IF(AND(Results!$E$5="Protein",$C$53&gt;0,OR(Results!$E$4="Tissue",Results!$E$4="Cells")),((CY17*CY$51)/(CY$53)),IF(AND(Results!$E$5="Weight",$C$52&gt;0, Results!$E$4="Tissue",OR($B$52="g",$B$52="mg")),((CY17*CY$51)/(CY$52)),IF(AND(Results!$E$5="Volume",$C$54&gt;0,Results!$E$4="Fluid"),((CY17*CY$51)/(CY$54)),IF(AND(Results!$E$4="Cells",Results!$E$5="Million",$B$52="million"),((CY17*CY$51)/(CY$52)),"0")))))</f>
        <v>256.5185166666667</v>
      </c>
      <c r="CZ70" s="20">
        <f>IF(CZ17=0,"0",IF(AND(Results!$E$5="Protein",$C$53&gt;0,OR(Results!$E$4="Tissue",Results!$E$4="Cells")),((CZ17*CZ$51)/(CZ$53)),IF(AND(Results!$E$5="Weight",$C$52&gt;0, Results!$E$4="Tissue",OR($B$52="g",$B$52="mg")),((CZ17*CZ$51)/(CZ$52)),IF(AND(Results!$E$5="Volume",$C$54&gt;0,Results!$E$4="Fluid"),((CZ17*CZ$51)/(CZ$54)),IF(AND(Results!$E$4="Cells",Results!$E$5="Million",$B$52="million"),((CZ17*CZ$51)/(CZ$52)),"0")))))</f>
        <v>91.768550000000005</v>
      </c>
      <c r="DA70" s="20">
        <f>IF(DA17=0,"0",IF(AND(Results!$E$5="Protein",$C$53&gt;0,OR(Results!$E$4="Tissue",Results!$E$4="Cells")),((DA17*DA$51)/(DA$53)),IF(AND(Results!$E$5="Weight",$C$52&gt;0, Results!$E$4="Tissue",OR($B$52="g",$B$52="mg")),((DA17*DA$51)/(DA$52)),IF(AND(Results!$E$5="Volume",$C$54&gt;0,Results!$E$4="Fluid"),((DA17*DA$51)/(DA$54)),IF(AND(Results!$E$4="Cells",Results!$E$5="Million",$B$52="million"),((DA17*DA$51)/(DA$52)),"0")))))</f>
        <v>24.089183333333335</v>
      </c>
      <c r="DB70" s="20">
        <f>IF(DB17=0,"0",IF(AND(Results!$E$5="Protein",$C$53&gt;0,OR(Results!$E$4="Tissue",Results!$E$4="Cells")),((DB17*DB$51)/(DB$53)),IF(AND(Results!$E$5="Weight",$C$52&gt;0, Results!$E$4="Tissue",OR($B$52="g",$B$52="mg")),((DB17*DB$51)/(DB$52)),IF(AND(Results!$E$5="Volume",$C$54&gt;0,Results!$E$4="Fluid"),((DB17*DB$51)/(DB$54)),IF(AND(Results!$E$4="Cells",Results!$E$5="Million",$B$52="million"),((DB17*DB$51)/(DB$52)),"0")))))</f>
        <v>262.94265000000001</v>
      </c>
      <c r="DC70" s="20">
        <f>IF(DC17=0,"0",IF(AND(Results!$E$5="Protein",$C$53&gt;0,OR(Results!$E$4="Tissue",Results!$E$4="Cells")),((DC17*DC$51)/(DC$53)),IF(AND(Results!$E$5="Weight",$C$52&gt;0, Results!$E$4="Tissue",OR($B$52="g",$B$52="mg")),((DC17*DC$51)/(DC$52)),IF(AND(Results!$E$5="Volume",$C$54&gt;0,Results!$E$4="Fluid"),((DC17*DC$51)/(DC$54)),IF(AND(Results!$E$4="Cells",Results!$E$5="Million",$B$52="million"),((DC17*DC$51)/(DC$52)),"0")))))</f>
        <v>163.02405000000002</v>
      </c>
      <c r="DD70" s="20">
        <f>IF(DD17=0,"0",IF(AND(Results!$E$5="Protein",$C$53&gt;0,OR(Results!$E$4="Tissue",Results!$E$4="Cells")),((DD17*DD$51)/(DD$53)),IF(AND(Results!$E$5="Weight",$C$52&gt;0, Results!$E$4="Tissue",OR($B$52="g",$B$52="mg")),((DD17*DD$51)/(DD$52)),IF(AND(Results!$E$5="Volume",$C$54&gt;0,Results!$E$4="Fluid"),((DD17*DD$51)/(DD$54)),IF(AND(Results!$E$4="Cells",Results!$E$5="Million",$B$52="million"),((DD17*DD$51)/(DD$52)),"0")))))</f>
        <v>32.755850000000002</v>
      </c>
      <c r="DE70" s="20">
        <f>IF(DE17=0,"0",IF(AND(Results!$E$5="Protein",$C$53&gt;0,OR(Results!$E$4="Tissue",Results!$E$4="Cells")),((DE17*DE$51)/(DE$53)),IF(AND(Results!$E$5="Weight",$C$52&gt;0, Results!$E$4="Tissue",OR($B$52="g",$B$52="mg")),((DE17*DE$51)/(DE$52)),IF(AND(Results!$E$5="Volume",$C$54&gt;0,Results!$E$4="Fluid"),((DE17*DE$51)/(DE$54)),IF(AND(Results!$E$4="Cells",Results!$E$5="Million",$B$52="million"),((DE17*DE$51)/(DE$52)),"0")))))</f>
        <v>129.58323333333334</v>
      </c>
      <c r="DF70" s="20">
        <f>IF(DF17=0,"0",IF(AND(Results!$E$5="Protein",$C$53&gt;0,OR(Results!$E$4="Tissue",Results!$E$4="Cells")),((DF17*DF$51)/(DF$53)),IF(AND(Results!$E$5="Weight",$C$52&gt;0, Results!$E$4="Tissue",OR($B$52="g",$B$52="mg")),((DF17*DF$51)/(DF$52)),IF(AND(Results!$E$5="Volume",$C$54&gt;0,Results!$E$4="Fluid"),((DF17*DF$51)/(DF$54)),IF(AND(Results!$E$4="Cells",Results!$E$5="Million",$B$52="million"),((DF17*DF$51)/(DF$52)),"0")))))</f>
        <v>83.315133333333335</v>
      </c>
      <c r="DG70" s="20">
        <f>IF(DG17=0,"0",IF(AND(Results!$E$5="Protein",$C$53&gt;0,OR(Results!$E$4="Tissue",Results!$E$4="Cells")),((DG17*DG$51)/(DG$53)),IF(AND(Results!$E$5="Weight",$C$52&gt;0, Results!$E$4="Tissue",OR($B$52="g",$B$52="mg")),((DG17*DG$51)/(DG$52)),IF(AND(Results!$E$5="Volume",$C$54&gt;0,Results!$E$4="Fluid"),((DG17*DG$51)/(DG$54)),IF(AND(Results!$E$4="Cells",Results!$E$5="Million",$B$52="million"),((DG17*DG$51)/(DG$52)),"0")))))</f>
        <v>306.97133333333329</v>
      </c>
      <c r="DH70" s="20">
        <f>IF(DH17=0,"0",IF(AND(Results!$E$5="Protein",$C$53&gt;0,OR(Results!$E$4="Tissue",Results!$E$4="Cells")),((DH17*DH$51)/(DH$53)),IF(AND(Results!$E$5="Weight",$C$52&gt;0, Results!$E$4="Tissue",OR($B$52="g",$B$52="mg")),((DH17*DH$51)/(DH$52)),IF(AND(Results!$E$5="Volume",$C$54&gt;0,Results!$E$4="Fluid"),((DH17*DH$51)/(DH$54)),IF(AND(Results!$E$4="Cells",Results!$E$5="Million",$B$52="million"),((DH17*DH$51)/(DH$52)),"0")))))</f>
        <v>17.121316666666665</v>
      </c>
      <c r="DI70" s="20">
        <f>IF(DI17=0,"0",IF(AND(Results!$E$5="Protein",$C$53&gt;0,OR(Results!$E$4="Tissue",Results!$E$4="Cells")),((DI17*DI$51)/(DI$53)),IF(AND(Results!$E$5="Weight",$C$52&gt;0, Results!$E$4="Tissue",OR($B$52="g",$B$52="mg")),((DI17*DI$51)/(DI$52)),IF(AND(Results!$E$5="Volume",$C$54&gt;0,Results!$E$4="Fluid"),((DI17*DI$51)/(DI$54)),IF(AND(Results!$E$4="Cells",Results!$E$5="Million",$B$52="million"),((DI17*DI$51)/(DI$52)),"0")))))</f>
        <v>124.07951666666666</v>
      </c>
      <c r="DJ70" s="20">
        <f>IF(DJ17=0,"0",IF(AND(Results!$E$5="Protein",$C$53&gt;0,OR(Results!$E$4="Tissue",Results!$E$4="Cells")),((DJ17*DJ$51)/(DJ$53)),IF(AND(Results!$E$5="Weight",$C$52&gt;0, Results!$E$4="Tissue",OR($B$52="g",$B$52="mg")),((DJ17*DJ$51)/(DJ$52)),IF(AND(Results!$E$5="Volume",$C$54&gt;0,Results!$E$4="Fluid"),((DJ17*DJ$51)/(DJ$54)),IF(AND(Results!$E$4="Cells",Results!$E$5="Million",$B$52="million"),((DJ17*DJ$51)/(DJ$52)),"0")))))</f>
        <v>394.17758333333336</v>
      </c>
      <c r="DK70" s="20">
        <f>IF(DK17=0,"0",IF(AND(Results!$E$5="Protein",$C$53&gt;0,OR(Results!$E$4="Tissue",Results!$E$4="Cells")),((DK17*DK$51)/(DK$53)),IF(AND(Results!$E$5="Weight",$C$52&gt;0, Results!$E$4="Tissue",OR($B$52="g",$B$52="mg")),((DK17*DK$51)/(DK$52)),IF(AND(Results!$E$5="Volume",$C$54&gt;0,Results!$E$4="Fluid"),((DK17*DK$51)/(DK$54)),IF(AND(Results!$E$4="Cells",Results!$E$5="Million",$B$52="million"),((DK17*DK$51)/(DK$52)),"0")))))</f>
        <v>325.74871666666667</v>
      </c>
      <c r="DL70" s="20">
        <f>IF(DL17=0,"0",IF(AND(Results!$E$5="Protein",$C$53&gt;0,OR(Results!$E$4="Tissue",Results!$E$4="Cells")),((DL17*DL$51)/(DL$53)),IF(AND(Results!$E$5="Weight",$C$52&gt;0, Results!$E$4="Tissue",OR($B$52="g",$B$52="mg")),((DL17*DL$51)/(DL$52)),IF(AND(Results!$E$5="Volume",$C$54&gt;0,Results!$E$4="Fluid"),((DL17*DL$51)/(DL$54)),IF(AND(Results!$E$4="Cells",Results!$E$5="Million",$B$52="million"),((DL17*DL$51)/(DL$52)),"0")))))</f>
        <v>55.981350000000006</v>
      </c>
      <c r="DM70" s="20">
        <f>IF(DM17=0,"0",IF(AND(Results!$E$5="Protein",$C$53&gt;0,OR(Results!$E$4="Tissue",Results!$E$4="Cells")),((DM17*DM$51)/(DM$53)),IF(AND(Results!$E$5="Weight",$C$52&gt;0, Results!$E$4="Tissue",OR($B$52="g",$B$52="mg")),((DM17*DM$51)/(DM$52)),IF(AND(Results!$E$5="Volume",$C$54&gt;0,Results!$E$4="Fluid"),((DM17*DM$51)/(DM$54)),IF(AND(Results!$E$4="Cells",Results!$E$5="Million",$B$52="million"),((DM17*DM$51)/(DM$52)),"0")))))</f>
        <v>61.475699999999996</v>
      </c>
      <c r="DN70" s="20">
        <f>IF(DN17=0,"0",IF(AND(Results!$E$5="Protein",$C$53&gt;0,OR(Results!$E$4="Tissue",Results!$E$4="Cells")),((DN17*DN$51)/(DN$53)),IF(AND(Results!$E$5="Weight",$C$52&gt;0, Results!$E$4="Tissue",OR($B$52="g",$B$52="mg")),((DN17*DN$51)/(DN$52)),IF(AND(Results!$E$5="Volume",$C$54&gt;0,Results!$E$4="Fluid"),((DN17*DN$51)/(DN$54)),IF(AND(Results!$E$4="Cells",Results!$E$5="Million",$B$52="million"),((DN17*DN$51)/(DN$52)),"0")))))</f>
        <v>271.40213333333332</v>
      </c>
      <c r="DO70" s="20">
        <f>IF(DO17=0,"0",IF(AND(Results!$E$5="Protein",$C$53&gt;0,OR(Results!$E$4="Tissue",Results!$E$4="Cells")),((DO17*DO$51)/(DO$53)),IF(AND(Results!$E$5="Weight",$C$52&gt;0, Results!$E$4="Tissue",OR($B$52="g",$B$52="mg")),((DO17*DO$51)/(DO$52)),IF(AND(Results!$E$5="Volume",$C$54&gt;0,Results!$E$4="Fluid"),((DO17*DO$51)/(DO$54)),IF(AND(Results!$E$4="Cells",Results!$E$5="Million",$B$52="million"),((DO17*DO$51)/(DO$52)),"0")))))</f>
        <v>305.61849999999998</v>
      </c>
      <c r="DP70" s="20">
        <f>IF(DP17=0,"0",IF(AND(Results!$E$5="Protein",$C$53&gt;0,OR(Results!$E$4="Tissue",Results!$E$4="Cells")),((DP17*DP$51)/(DP$53)),IF(AND(Results!$E$5="Weight",$C$52&gt;0, Results!$E$4="Tissue",OR($B$52="g",$B$52="mg")),((DP17*DP$51)/(DP$52)),IF(AND(Results!$E$5="Volume",$C$54&gt;0,Results!$E$4="Fluid"),((DP17*DP$51)/(DP$54)),IF(AND(Results!$E$4="Cells",Results!$E$5="Million",$B$52="million"),((DP17*DP$51)/(DP$52)),"0")))))</f>
        <v>74.946416666666664</v>
      </c>
      <c r="DQ70" s="20">
        <f>IF(DQ17=0,"0",IF(AND(Results!$E$5="Protein",$C$53&gt;0,OR(Results!$E$4="Tissue",Results!$E$4="Cells")),((DQ17*DQ$51)/(DQ$53)),IF(AND(Results!$E$5="Weight",$C$52&gt;0, Results!$E$4="Tissue",OR($B$52="g",$B$52="mg")),((DQ17*DQ$51)/(DQ$52)),IF(AND(Results!$E$5="Volume",$C$54&gt;0,Results!$E$4="Fluid"),((DQ17*DQ$51)/(DQ$54)),IF(AND(Results!$E$4="Cells",Results!$E$5="Million",$B$52="million"),((DQ17*DQ$51)/(DQ$52)),"0")))))</f>
        <v>63.543066666666661</v>
      </c>
      <c r="DR70" s="20">
        <f>IF(DR17=0,"0",IF(AND(Results!$E$5="Protein",$C$53&gt;0,OR(Results!$E$4="Tissue",Results!$E$4="Cells")),((DR17*DR$51)/(DR$53)),IF(AND(Results!$E$5="Weight",$C$52&gt;0, Results!$E$4="Tissue",OR($B$52="g",$B$52="mg")),((DR17*DR$51)/(DR$52)),IF(AND(Results!$E$5="Volume",$C$54&gt;0,Results!$E$4="Fluid"),((DR17*DR$51)/(DR$54)),IF(AND(Results!$E$4="Cells",Results!$E$5="Million",$B$52="million"),((DR17*DR$51)/(DR$52)),"0")))))</f>
        <v>31.706149999999997</v>
      </c>
      <c r="DS70" s="20">
        <f>IF(DS17=0,"0",IF(AND(Results!$E$5="Protein",$C$53&gt;0,OR(Results!$E$4="Tissue",Results!$E$4="Cells")),((DS17*DS$51)/(DS$53)),IF(AND(Results!$E$5="Weight",$C$52&gt;0, Results!$E$4="Tissue",OR($B$52="g",$B$52="mg")),((DS17*DS$51)/(DS$52)),IF(AND(Results!$E$5="Volume",$C$54&gt;0,Results!$E$4="Fluid"),((DS17*DS$51)/(DS$54)),IF(AND(Results!$E$4="Cells",Results!$E$5="Million",$B$52="million"),((DS17*DS$51)/(DS$52)),"0")))))</f>
        <v>73.040533333333329</v>
      </c>
      <c r="DT70" s="20">
        <f>IF(DT17=0,"0",IF(AND(Results!$E$5="Protein",$C$53&gt;0,OR(Results!$E$4="Tissue",Results!$E$4="Cells")),((DT17*DT$51)/(DT$53)),IF(AND(Results!$E$5="Weight",$C$52&gt;0, Results!$E$4="Tissue",OR($B$52="g",$B$52="mg")),((DT17*DT$51)/(DT$52)),IF(AND(Results!$E$5="Volume",$C$54&gt;0,Results!$E$4="Fluid"),((DT17*DT$51)/(DT$54)),IF(AND(Results!$E$4="Cells",Results!$E$5="Million",$B$52="million"),((DT17*DT$51)/(DT$52)),"0")))))</f>
        <v>105.61505000000001</v>
      </c>
      <c r="DU70" s="20">
        <f>IF(DU17=0,"0",IF(AND(Results!$E$5="Protein",$C$53&gt;0,OR(Results!$E$4="Tissue",Results!$E$4="Cells")),((DU17*DU$51)/(DU$53)),IF(AND(Results!$E$5="Weight",$C$52&gt;0, Results!$E$4="Tissue",OR($B$52="g",$B$52="mg")),((DU17*DU$51)/(DU$52)),IF(AND(Results!$E$5="Volume",$C$54&gt;0,Results!$E$4="Fluid"),((DU17*DU$51)/(DU$54)),IF(AND(Results!$E$4="Cells",Results!$E$5="Million",$B$52="million"),((DU17*DU$51)/(DU$52)),"0")))))</f>
        <v>249.49056666666669</v>
      </c>
      <c r="DV70" s="20">
        <f>IF(DV17=0,"0",IF(AND(Results!$E$5="Protein",$C$53&gt;0,OR(Results!$E$4="Tissue",Results!$E$4="Cells")),((DV17*DV$51)/(DV$53)),IF(AND(Results!$E$5="Weight",$C$52&gt;0, Results!$E$4="Tissue",OR($B$52="g",$B$52="mg")),((DV17*DV$51)/(DV$52)),IF(AND(Results!$E$5="Volume",$C$54&gt;0,Results!$E$4="Fluid"),((DV17*DV$51)/(DV$54)),IF(AND(Results!$E$4="Cells",Results!$E$5="Million",$B$52="million"),((DV17*DV$51)/(DV$52)),"0")))))</f>
        <v>83.291883333333331</v>
      </c>
      <c r="DW70" s="20">
        <f>IF(DW17=0,"0",IF(AND(Results!$E$5="Protein",$C$53&gt;0,OR(Results!$E$4="Tissue",Results!$E$4="Cells")),((DW17*DW$51)/(DW$53)),IF(AND(Results!$E$5="Weight",$C$52&gt;0, Results!$E$4="Tissue",OR($B$52="g",$B$52="mg")),((DW17*DW$51)/(DW$52)),IF(AND(Results!$E$5="Volume",$C$54&gt;0,Results!$E$4="Fluid"),((DW17*DW$51)/(DW$54)),IF(AND(Results!$E$4="Cells",Results!$E$5="Million",$B$52="million"),((DW17*DW$51)/(DW$52)),"0")))))</f>
        <v>74.94338333333333</v>
      </c>
      <c r="DX70" s="20">
        <f>IF(DX17=0,"0",IF(AND(Results!$E$5="Protein",$C$53&gt;0,OR(Results!$E$4="Tissue",Results!$E$4="Cells")),((DX17*DX$51)/(DX$53)),IF(AND(Results!$E$5="Weight",$C$52&gt;0, Results!$E$4="Tissue",OR($B$52="g",$B$52="mg")),((DX17*DX$51)/(DX$52)),IF(AND(Results!$E$5="Volume",$C$54&gt;0,Results!$E$4="Fluid"),((DX17*DX$51)/(DX$54)),IF(AND(Results!$E$4="Cells",Results!$E$5="Million",$B$52="million"),((DX17*DX$51)/(DX$52)),"0")))))</f>
        <v>188.69903333333332</v>
      </c>
      <c r="DY70" s="20">
        <f>IF(DY17=0,"0",IF(AND(Results!$E$5="Protein",$C$53&gt;0,OR(Results!$E$4="Tissue",Results!$E$4="Cells")),((DY17*DY$51)/(DY$53)),IF(AND(Results!$E$5="Weight",$C$52&gt;0, Results!$E$4="Tissue",OR($B$52="g",$B$52="mg")),((DY17*DY$51)/(DY$52)),IF(AND(Results!$E$5="Volume",$C$54&gt;0,Results!$E$4="Fluid"),((DY17*DY$51)/(DY$54)),IF(AND(Results!$E$4="Cells",Results!$E$5="Million",$B$52="million"),((DY17*DY$51)/(DY$52)),"0")))))</f>
        <v>112.97154999999999</v>
      </c>
      <c r="DZ70" s="20">
        <f>IF(DZ17=0,"0",IF(AND(Results!$E$5="Protein",$C$53&gt;0,OR(Results!$E$4="Tissue",Results!$E$4="Cells")),((DZ17*DZ$51)/(DZ$53)),IF(AND(Results!$E$5="Weight",$C$52&gt;0, Results!$E$4="Tissue",OR($B$52="g",$B$52="mg")),((DZ17*DZ$51)/(DZ$52)),IF(AND(Results!$E$5="Volume",$C$54&gt;0,Results!$E$4="Fluid"),((DZ17*DZ$51)/(DZ$54)),IF(AND(Results!$E$4="Cells",Results!$E$5="Million",$B$52="million"),((DZ17*DZ$51)/(DZ$52)),"0")))))</f>
        <v>248.91913333333332</v>
      </c>
      <c r="EA70" s="20">
        <f>IF(EA17=0,"0",IF(AND(Results!$E$5="Protein",$C$53&gt;0,OR(Results!$E$4="Tissue",Results!$E$4="Cells")),((EA17*EA$51)/(EA$53)),IF(AND(Results!$E$5="Weight",$C$52&gt;0, Results!$E$4="Tissue",OR($B$52="g",$B$52="mg")),((EA17*EA$51)/(EA$52)),IF(AND(Results!$E$5="Volume",$C$54&gt;0,Results!$E$4="Fluid"),((EA17*EA$51)/(EA$54)),IF(AND(Results!$E$4="Cells",Results!$E$5="Million",$B$52="million"),((EA17*EA$51)/(EA$52)),"0")))))</f>
        <v>83.908933333333337</v>
      </c>
      <c r="EB70" s="20">
        <f>IF(EB17=0,"0",IF(AND(Results!$E$5="Protein",$C$53&gt;0,OR(Results!$E$4="Tissue",Results!$E$4="Cells")),((EB17*EB$51)/(EB$53)),IF(AND(Results!$E$5="Weight",$C$52&gt;0, Results!$E$4="Tissue",OR($B$52="g",$B$52="mg")),((EB17*EB$51)/(EB$52)),IF(AND(Results!$E$5="Volume",$C$54&gt;0,Results!$E$4="Fluid"),((EB17*EB$51)/(EB$54)),IF(AND(Results!$E$4="Cells",Results!$E$5="Million",$B$52="million"),((EB17*EB$51)/(EB$52)),"0")))))</f>
        <v>23.078583333333331</v>
      </c>
      <c r="EC70" s="20">
        <f>IF(EC17=0,"0",IF(AND(Results!$E$5="Protein",$C$53&gt;0,OR(Results!$E$4="Tissue",Results!$E$4="Cells")),((EC17*EC$51)/(EC$53)),IF(AND(Results!$E$5="Weight",$C$52&gt;0, Results!$E$4="Tissue",OR($B$52="g",$B$52="mg")),((EC17*EC$51)/(EC$52)),IF(AND(Results!$E$5="Volume",$C$54&gt;0,Results!$E$4="Fluid"),((EC17*EC$51)/(EC$54)),IF(AND(Results!$E$4="Cells",Results!$E$5="Million",$B$52="million"),((EC17*EC$51)/(EC$52)),"0")))))</f>
        <v>85.300966666666667</v>
      </c>
      <c r="ED70" s="20">
        <f>IF(ED17=0,"0",IF(AND(Results!$E$5="Protein",$C$53&gt;0,OR(Results!$E$4="Tissue",Results!$E$4="Cells")),((ED17*ED$51)/(ED$53)),IF(AND(Results!$E$5="Weight",$C$52&gt;0, Results!$E$4="Tissue",OR($B$52="g",$B$52="mg")),((ED17*ED$51)/(ED$52)),IF(AND(Results!$E$5="Volume",$C$54&gt;0,Results!$E$4="Fluid"),((ED17*ED$51)/(ED$54)),IF(AND(Results!$E$4="Cells",Results!$E$5="Million",$B$52="million"),((ED17*ED$51)/(ED$52)),"0")))))</f>
        <v>101.32588333333334</v>
      </c>
      <c r="EE70" s="20">
        <f>IF(EE17=0,"0",IF(AND(Results!$E$5="Protein",$C$53&gt;0,OR(Results!$E$4="Tissue",Results!$E$4="Cells")),((EE17*EE$51)/(EE$53)),IF(AND(Results!$E$5="Weight",$C$52&gt;0, Results!$E$4="Tissue",OR($B$52="g",$B$52="mg")),((EE17*EE$51)/(EE$52)),IF(AND(Results!$E$5="Volume",$C$54&gt;0,Results!$E$4="Fluid"),((EE17*EE$51)/(EE$54)),IF(AND(Results!$E$4="Cells",Results!$E$5="Million",$B$52="million"),((EE17*EE$51)/(EE$52)),"0")))))</f>
        <v>82.642466666666664</v>
      </c>
      <c r="EF70" s="20">
        <f>IF(EF17=0,"0",IF(AND(Results!$E$5="Protein",$C$53&gt;0,OR(Results!$E$4="Tissue",Results!$E$4="Cells")),((EF17*EF$51)/(EF$53)),IF(AND(Results!$E$5="Weight",$C$52&gt;0, Results!$E$4="Tissue",OR($B$52="g",$B$52="mg")),((EF17*EF$51)/(EF$52)),IF(AND(Results!$E$5="Volume",$C$54&gt;0,Results!$E$4="Fluid"),((EF17*EF$51)/(EF$54)),IF(AND(Results!$E$4="Cells",Results!$E$5="Million",$B$52="million"),((EF17*EF$51)/(EF$52)),"0")))))</f>
        <v>113.31355000000001</v>
      </c>
      <c r="EG70" s="20">
        <f>IF(EG17=0,"0",IF(AND(Results!$E$5="Protein",$C$53&gt;0,OR(Results!$E$4="Tissue",Results!$E$4="Cells")),((EG17*EG$51)/(EG$53)),IF(AND(Results!$E$5="Weight",$C$52&gt;0, Results!$E$4="Tissue",OR($B$52="g",$B$52="mg")),((EG17*EG$51)/(EG$52)),IF(AND(Results!$E$5="Volume",$C$54&gt;0,Results!$E$4="Fluid"),((EG17*EG$51)/(EG$54)),IF(AND(Results!$E$4="Cells",Results!$E$5="Million",$B$52="million"),((EG17*EG$51)/(EG$52)),"0")))))</f>
        <v>142.68658333333332</v>
      </c>
      <c r="EH70" s="20">
        <f>IF(EH17=0,"0",IF(AND(Results!$E$5="Protein",$C$53&gt;0,OR(Results!$E$4="Tissue",Results!$E$4="Cells")),((EH17*EH$51)/(EH$53)),IF(AND(Results!$E$5="Weight",$C$52&gt;0, Results!$E$4="Tissue",OR($B$52="g",$B$52="mg")),((EH17*EH$51)/(EH$52)),IF(AND(Results!$E$5="Volume",$C$54&gt;0,Results!$E$4="Fluid"),((EH17*EH$51)/(EH$54)),IF(AND(Results!$E$4="Cells",Results!$E$5="Million",$B$52="million"),((EH17*EH$51)/(EH$52)),"0")))))</f>
        <v>252.44239999999996</v>
      </c>
      <c r="EI70" s="20">
        <f>IF(EI17=0,"0",IF(AND(Results!$E$5="Protein",$C$53&gt;0,OR(Results!$E$4="Tissue",Results!$E$4="Cells")),((EI17*EI$51)/(EI$53)),IF(AND(Results!$E$5="Weight",$C$52&gt;0, Results!$E$4="Tissue",OR($B$52="g",$B$52="mg")),((EI17*EI$51)/(EI$52)),IF(AND(Results!$E$5="Volume",$C$54&gt;0,Results!$E$4="Fluid"),((EI17*EI$51)/(EI$54)),IF(AND(Results!$E$4="Cells",Results!$E$5="Million",$B$52="million"),((EI17*EI$51)/(EI$52)),"0")))))</f>
        <v>26.569366666666667</v>
      </c>
      <c r="EJ70" s="20">
        <f>IF(EJ17=0,"0",IF(AND(Results!$E$5="Protein",$C$53&gt;0,OR(Results!$E$4="Tissue",Results!$E$4="Cells")),((EJ17*EJ$51)/(EJ$53)),IF(AND(Results!$E$5="Weight",$C$52&gt;0, Results!$E$4="Tissue",OR($B$52="g",$B$52="mg")),((EJ17*EJ$51)/(EJ$52)),IF(AND(Results!$E$5="Volume",$C$54&gt;0,Results!$E$4="Fluid"),((EJ17*EJ$51)/(EJ$54)),IF(AND(Results!$E$4="Cells",Results!$E$5="Million",$B$52="million"),((EJ17*EJ$51)/(EJ$52)),"0")))))</f>
        <v>144.53558333333334</v>
      </c>
      <c r="EK70" s="20">
        <f>IF(EK17=0,"0",IF(AND(Results!$E$5="Protein",$C$53&gt;0,OR(Results!$E$4="Tissue",Results!$E$4="Cells")),((EK17*EK$51)/(EK$53)),IF(AND(Results!$E$5="Weight",$C$52&gt;0, Results!$E$4="Tissue",OR($B$52="g",$B$52="mg")),((EK17*EK$51)/(EK$52)),IF(AND(Results!$E$5="Volume",$C$54&gt;0,Results!$E$4="Fluid"),((EK17*EK$51)/(EK$54)),IF(AND(Results!$E$4="Cells",Results!$E$5="Million",$B$52="million"),((EK17*EK$51)/(EK$52)),"0")))))</f>
        <v>252.17774999999997</v>
      </c>
      <c r="EL70" s="20">
        <f>IF(EL17=0,"0",IF(AND(Results!$E$5="Protein",$C$53&gt;0,OR(Results!$E$4="Tissue",Results!$E$4="Cells")),((EL17*EL$51)/(EL$53)),IF(AND(Results!$E$5="Weight",$C$52&gt;0, Results!$E$4="Tissue",OR($B$52="g",$B$52="mg")),((EL17*EL$51)/(EL$52)),IF(AND(Results!$E$5="Volume",$C$54&gt;0,Results!$E$4="Fluid"),((EL17*EL$51)/(EL$54)),IF(AND(Results!$E$4="Cells",Results!$E$5="Million",$B$52="million"),((EL17*EL$51)/(EL$52)),"0")))))</f>
        <v>313.73031666666668</v>
      </c>
      <c r="EM70" s="20">
        <f>IF(EM17=0,"0",IF(AND(Results!$E$5="Protein",$C$53&gt;0,OR(Results!$E$4="Tissue",Results!$E$4="Cells")),((EM17*EM$51)/(EM$53)),IF(AND(Results!$E$5="Weight",$C$52&gt;0, Results!$E$4="Tissue",OR($B$52="g",$B$52="mg")),((EM17*EM$51)/(EM$52)),IF(AND(Results!$E$5="Volume",$C$54&gt;0,Results!$E$4="Fluid"),((EM17*EM$51)/(EM$54)),IF(AND(Results!$E$4="Cells",Results!$E$5="Million",$B$52="million"),((EM17*EM$51)/(EM$52)),"0")))))</f>
        <v>20.819166666666668</v>
      </c>
      <c r="EN70" s="20">
        <f>IF(EN17=0,"0",IF(AND(Results!$E$5="Protein",$C$53&gt;0,OR(Results!$E$4="Tissue",Results!$E$4="Cells")),((EN17*EN$51)/(EN$53)),IF(AND(Results!$E$5="Weight",$C$52&gt;0, Results!$E$4="Tissue",OR($B$52="g",$B$52="mg")),((EN17*EN$51)/(EN$52)),IF(AND(Results!$E$5="Volume",$C$54&gt;0,Results!$E$4="Fluid"),((EN17*EN$51)/(EN$54)),IF(AND(Results!$E$4="Cells",Results!$E$5="Million",$B$52="million"),((EN17*EN$51)/(EN$52)),"0")))))</f>
        <v>229.30823333333333</v>
      </c>
      <c r="EO70" s="20">
        <f>IF(EO17=0,"0",IF(AND(Results!$E$5="Protein",$C$53&gt;0,OR(Results!$E$4="Tissue",Results!$E$4="Cells")),((EO17*EO$51)/(EO$53)),IF(AND(Results!$E$5="Weight",$C$52&gt;0, Results!$E$4="Tissue",OR($B$52="g",$B$52="mg")),((EO17*EO$51)/(EO$52)),IF(AND(Results!$E$5="Volume",$C$54&gt;0,Results!$E$4="Fluid"),((EO17*EO$51)/(EO$54)),IF(AND(Results!$E$4="Cells",Results!$E$5="Million",$B$52="million"),((EO17*EO$51)/(EO$52)),"0")))))</f>
        <v>81.124916666666664</v>
      </c>
      <c r="EP70" s="20">
        <f>IF(EP17=0,"0",IF(AND(Results!$E$5="Protein",$C$53&gt;0,OR(Results!$E$4="Tissue",Results!$E$4="Cells")),((EP17*EP$51)/(EP$53)),IF(AND(Results!$E$5="Weight",$C$52&gt;0, Results!$E$4="Tissue",OR($B$52="g",$B$52="mg")),((EP17*EP$51)/(EP$52)),IF(AND(Results!$E$5="Volume",$C$54&gt;0,Results!$E$4="Fluid"),((EP17*EP$51)/(EP$54)),IF(AND(Results!$E$4="Cells",Results!$E$5="Million",$B$52="million"),((EP17*EP$51)/(EP$52)),"0")))))</f>
        <v>182.49086666666668</v>
      </c>
      <c r="EQ70" s="20">
        <f>IF(EQ17=0,"0",IF(AND(Results!$E$5="Protein",$C$53&gt;0,OR(Results!$E$4="Tissue",Results!$E$4="Cells")),((EQ17*EQ$51)/(EQ$53)),IF(AND(Results!$E$5="Weight",$C$52&gt;0, Results!$E$4="Tissue",OR($B$52="g",$B$52="mg")),((EQ17*EQ$51)/(EQ$52)),IF(AND(Results!$E$5="Volume",$C$54&gt;0,Results!$E$4="Fluid"),((EQ17*EQ$51)/(EQ$54)),IF(AND(Results!$E$4="Cells",Results!$E$5="Million",$B$52="million"),((EQ17*EQ$51)/(EQ$52)),"0")))))</f>
        <v>55.233116666666668</v>
      </c>
      <c r="ER70" s="20">
        <f>IF(ER17=0,"0",IF(AND(Results!$E$5="Protein",$C$53&gt;0,OR(Results!$E$4="Tissue",Results!$E$4="Cells")),((ER17*ER$51)/(ER$53)),IF(AND(Results!$E$5="Weight",$C$52&gt;0, Results!$E$4="Tissue",OR($B$52="g",$B$52="mg")),((ER17*ER$51)/(ER$52)),IF(AND(Results!$E$5="Volume",$C$54&gt;0,Results!$E$4="Fluid"),((ER17*ER$51)/(ER$54)),IF(AND(Results!$E$4="Cells",Results!$E$5="Million",$B$52="million"),((ER17*ER$51)/(ER$52)),"0")))))</f>
        <v>82.242300000000014</v>
      </c>
      <c r="ES70" s="20">
        <f>IF(ES17=0,"0",IF(AND(Results!$E$5="Protein",$C$53&gt;0,OR(Results!$E$4="Tissue",Results!$E$4="Cells")),((ES17*ES$51)/(ES$53)),IF(AND(Results!$E$5="Weight",$C$52&gt;0, Results!$E$4="Tissue",OR($B$52="g",$B$52="mg")),((ES17*ES$51)/(ES$52)),IF(AND(Results!$E$5="Volume",$C$54&gt;0,Results!$E$4="Fluid"),((ES17*ES$51)/(ES$54)),IF(AND(Results!$E$4="Cells",Results!$E$5="Million",$B$52="million"),((ES17*ES$51)/(ES$52)),"0")))))</f>
        <v>76.975766666666672</v>
      </c>
      <c r="ET70" s="20">
        <f>IF(ET17=0,"0",IF(AND(Results!$E$5="Protein",$C$53&gt;0,OR(Results!$E$4="Tissue",Results!$E$4="Cells")),((ET17*ET$51)/(ET$53)),IF(AND(Results!$E$5="Weight",$C$52&gt;0, Results!$E$4="Tissue",OR($B$52="g",$B$52="mg")),((ET17*ET$51)/(ET$52)),IF(AND(Results!$E$5="Volume",$C$54&gt;0,Results!$E$4="Fluid"),((ET17*ET$51)/(ET$54)),IF(AND(Results!$E$4="Cells",Results!$E$5="Million",$B$52="million"),((ET17*ET$51)/(ET$52)),"0")))))</f>
        <v>142.31935000000001</v>
      </c>
      <c r="EU70" s="20">
        <f>IF(EU17=0,"0",IF(AND(Results!$E$5="Protein",$C$53&gt;0,OR(Results!$E$4="Tissue",Results!$E$4="Cells")),((EU17*EU$51)/(EU$53)),IF(AND(Results!$E$5="Weight",$C$52&gt;0, Results!$E$4="Tissue",OR($B$52="g",$B$52="mg")),((EU17*EU$51)/(EU$52)),IF(AND(Results!$E$5="Volume",$C$54&gt;0,Results!$E$4="Fluid"),((EU17*EU$51)/(EU$54)),IF(AND(Results!$E$4="Cells",Results!$E$5="Million",$B$52="million"),((EU17*EU$51)/(EU$52)),"0")))))</f>
        <v>198.57679999999999</v>
      </c>
      <c r="EV70" s="20">
        <f>IF(EV17=0,"0",IF(AND(Results!$E$5="Protein",$C$53&gt;0,OR(Results!$E$4="Tissue",Results!$E$4="Cells")),((EV17*EV$51)/(EV$53)),IF(AND(Results!$E$5="Weight",$C$52&gt;0, Results!$E$4="Tissue",OR($B$52="g",$B$52="mg")),((EV17*EV$51)/(EV$52)),IF(AND(Results!$E$5="Volume",$C$54&gt;0,Results!$E$4="Fluid"),((EV17*EV$51)/(EV$54)),IF(AND(Results!$E$4="Cells",Results!$E$5="Million",$B$52="million"),((EV17*EV$51)/(EV$52)),"0")))))</f>
        <v>133.25809999999998</v>
      </c>
      <c r="EW70" s="20">
        <f>IF(EW17=0,"0",IF(AND(Results!$E$5="Protein",$C$53&gt;0,OR(Results!$E$4="Tissue",Results!$E$4="Cells")),((EW17*EW$51)/(EW$53)),IF(AND(Results!$E$5="Weight",$C$52&gt;0, Results!$E$4="Tissue",OR($B$52="g",$B$52="mg")),((EW17*EW$51)/(EW$52)),IF(AND(Results!$E$5="Volume",$C$54&gt;0,Results!$E$4="Fluid"),((EW17*EW$51)/(EW$54)),IF(AND(Results!$E$4="Cells",Results!$E$5="Million",$B$52="million"),((EW17*EW$51)/(EW$52)),"0")))))</f>
        <v>122.38018333333335</v>
      </c>
      <c r="EX70" s="20">
        <f>IF(EX17=0,"0",IF(AND(Results!$E$5="Protein",$C$53&gt;0,OR(Results!$E$4="Tissue",Results!$E$4="Cells")),((EX17*EX$51)/(EX$53)),IF(AND(Results!$E$5="Weight",$C$52&gt;0, Results!$E$4="Tissue",OR($B$52="g",$B$52="mg")),((EX17*EX$51)/(EX$52)),IF(AND(Results!$E$5="Volume",$C$54&gt;0,Results!$E$4="Fluid"),((EX17*EX$51)/(EX$54)),IF(AND(Results!$E$4="Cells",Results!$E$5="Million",$B$52="million"),((EX17*EX$51)/(EX$52)),"0")))))</f>
        <v>181.64563333333336</v>
      </c>
      <c r="EY70" s="20">
        <f>IF(EY17=0,"0",IF(AND(Results!$E$5="Protein",$C$53&gt;0,OR(Results!$E$4="Tissue",Results!$E$4="Cells")),((EY17*EY$51)/(EY$53)),IF(AND(Results!$E$5="Weight",$C$52&gt;0, Results!$E$4="Tissue",OR($B$52="g",$B$52="mg")),((EY17*EY$51)/(EY$52)),IF(AND(Results!$E$5="Volume",$C$54&gt;0,Results!$E$4="Fluid"),((EY17*EY$51)/(EY$54)),IF(AND(Results!$E$4="Cells",Results!$E$5="Million",$B$52="million"),((EY17*EY$51)/(EY$52)),"0")))))</f>
        <v>36.389483333333338</v>
      </c>
      <c r="EZ70" s="20">
        <f>IF(EZ17=0,"0",IF(AND(Results!$E$5="Protein",$C$53&gt;0,OR(Results!$E$4="Tissue",Results!$E$4="Cells")),((EZ17*EZ$51)/(EZ$53)),IF(AND(Results!$E$5="Weight",$C$52&gt;0, Results!$E$4="Tissue",OR($B$52="g",$B$52="mg")),((EZ17*EZ$51)/(EZ$52)),IF(AND(Results!$E$5="Volume",$C$54&gt;0,Results!$E$4="Fluid"),((EZ17*EZ$51)/(EZ$54)),IF(AND(Results!$E$4="Cells",Results!$E$5="Million",$B$52="million"),((EZ17*EZ$51)/(EZ$52)),"0")))))</f>
        <v>19.331466666666664</v>
      </c>
      <c r="FA70" s="20">
        <f>IF(FA17=0,"0",IF(AND(Results!$E$5="Protein",$C$53&gt;0,OR(Results!$E$4="Tissue",Results!$E$4="Cells")),((FA17*FA$51)/(FA$53)),IF(AND(Results!$E$5="Weight",$C$52&gt;0, Results!$E$4="Tissue",OR($B$52="g",$B$52="mg")),((FA17*FA$51)/(FA$52)),IF(AND(Results!$E$5="Volume",$C$54&gt;0,Results!$E$4="Fluid"),((FA17*FA$51)/(FA$54)),IF(AND(Results!$E$4="Cells",Results!$E$5="Million",$B$52="million"),((FA17*FA$51)/(FA$52)),"0")))))</f>
        <v>29.214416666666661</v>
      </c>
      <c r="FB70" s="20">
        <f>IF(FB17=0,"0",IF(AND(Results!$E$5="Protein",$C$53&gt;0,OR(Results!$E$4="Tissue",Results!$E$4="Cells")),((FB17*FB$51)/(FB$53)),IF(AND(Results!$E$5="Weight",$C$52&gt;0, Results!$E$4="Tissue",OR($B$52="g",$B$52="mg")),((FB17*FB$51)/(FB$52)),IF(AND(Results!$E$5="Volume",$C$54&gt;0,Results!$E$4="Fluid"),((FB17*FB$51)/(FB$54)),IF(AND(Results!$E$4="Cells",Results!$E$5="Million",$B$52="million"),((FB17*FB$51)/(FB$52)),"0")))))</f>
        <v>85.616216666666659</v>
      </c>
      <c r="FC70" s="20">
        <f>IF(FC17=0,"0",IF(AND(Results!$E$5="Protein",$C$53&gt;0,OR(Results!$E$4="Tissue",Results!$E$4="Cells")),((FC17*FC$51)/(FC$53)),IF(AND(Results!$E$5="Weight",$C$52&gt;0, Results!$E$4="Tissue",OR($B$52="g",$B$52="mg")),((FC17*FC$51)/(FC$52)),IF(AND(Results!$E$5="Volume",$C$54&gt;0,Results!$E$4="Fluid"),((FC17*FC$51)/(FC$54)),IF(AND(Results!$E$4="Cells",Results!$E$5="Million",$B$52="million"),((FC17*FC$51)/(FC$52)),"0")))))</f>
        <v>59.616216666666666</v>
      </c>
      <c r="FD70" s="20">
        <f>IF(FD17=0,"0",IF(AND(Results!$E$5="Protein",$C$53&gt;0,OR(Results!$E$4="Tissue",Results!$E$4="Cells")),((FD17*FD$51)/(FD$53)),IF(AND(Results!$E$5="Weight",$C$52&gt;0, Results!$E$4="Tissue",OR($B$52="g",$B$52="mg")),((FD17*FD$51)/(FD$52)),IF(AND(Results!$E$5="Volume",$C$54&gt;0,Results!$E$4="Fluid"),((FD17*FD$51)/(FD$54)),IF(AND(Results!$E$4="Cells",Results!$E$5="Million",$B$52="million"),((FD17*FD$51)/(FD$52)),"0")))))</f>
        <v>218.3559166666667</v>
      </c>
      <c r="FE70" s="20">
        <f>IF(FE17=0,"0",IF(AND(Results!$E$5="Protein",$C$53&gt;0,OR(Results!$E$4="Tissue",Results!$E$4="Cells")),((FE17*FE$51)/(FE$53)),IF(AND(Results!$E$5="Weight",$C$52&gt;0, Results!$E$4="Tissue",OR($B$52="g",$B$52="mg")),((FE17*FE$51)/(FE$52)),IF(AND(Results!$E$5="Volume",$C$54&gt;0,Results!$E$4="Fluid"),((FE17*FE$51)/(FE$54)),IF(AND(Results!$E$4="Cells",Results!$E$5="Million",$B$52="million"),((FE17*FE$51)/(FE$52)),"0")))))</f>
        <v>111.68713333333334</v>
      </c>
      <c r="FF70" s="20">
        <f>IF(FF17=0,"0",IF(AND(Results!$E$5="Protein",$C$53&gt;0,OR(Results!$E$4="Tissue",Results!$E$4="Cells")),((FF17*FF$51)/(FF$53)),IF(AND(Results!$E$5="Weight",$C$52&gt;0, Results!$E$4="Tissue",OR($B$52="g",$B$52="mg")),((FF17*FF$51)/(FF$52)),IF(AND(Results!$E$5="Volume",$C$54&gt;0,Results!$E$4="Fluid"),((FF17*FF$51)/(FF$54)),IF(AND(Results!$E$4="Cells",Results!$E$5="Million",$B$52="million"),((FF17*FF$51)/(FF$52)),"0")))))</f>
        <v>204.27706666666666</v>
      </c>
      <c r="FG70" s="20">
        <f>IF(FG17=0,"0",IF(AND(Results!$E$5="Protein",$C$53&gt;0,OR(Results!$E$4="Tissue",Results!$E$4="Cells")),((FG17*FG$51)/(FG$53)),IF(AND(Results!$E$5="Weight",$C$52&gt;0, Results!$E$4="Tissue",OR($B$52="g",$B$52="mg")),((FG17*FG$51)/(FG$52)),IF(AND(Results!$E$5="Volume",$C$54&gt;0,Results!$E$4="Fluid"),((FG17*FG$51)/(FG$54)),IF(AND(Results!$E$4="Cells",Results!$E$5="Million",$B$52="million"),((FG17*FG$51)/(FG$52)),"0")))))</f>
        <v>41.275049999999993</v>
      </c>
      <c r="FH70" s="20">
        <f>IF(FH17=0,"0",IF(AND(Results!$E$5="Protein",$C$53&gt;0,OR(Results!$E$4="Tissue",Results!$E$4="Cells")),((FH17*FH$51)/(FH$53)),IF(AND(Results!$E$5="Weight",$C$52&gt;0, Results!$E$4="Tissue",OR($B$52="g",$B$52="mg")),((FH17*FH$51)/(FH$52)),IF(AND(Results!$E$5="Volume",$C$54&gt;0,Results!$E$4="Fluid"),((FH17*FH$51)/(FH$54)),IF(AND(Results!$E$4="Cells",Results!$E$5="Million",$B$52="million"),((FH17*FH$51)/(FH$52)),"0")))))</f>
        <v>87.794900000000013</v>
      </c>
      <c r="FI70" s="20">
        <f>IF(FI17=0,"0",IF(AND(Results!$E$5="Protein",$C$53&gt;0,OR(Results!$E$4="Tissue",Results!$E$4="Cells")),((FI17*FI$51)/(FI$53)),IF(AND(Results!$E$5="Weight",$C$52&gt;0, Results!$E$4="Tissue",OR($B$52="g",$B$52="mg")),((FI17*FI$51)/(FI$52)),IF(AND(Results!$E$5="Volume",$C$54&gt;0,Results!$E$4="Fluid"),((FI17*FI$51)/(FI$54)),IF(AND(Results!$E$4="Cells",Results!$E$5="Million",$B$52="million"),((FI17*FI$51)/(FI$52)),"0")))))</f>
        <v>250.75799999999998</v>
      </c>
      <c r="FJ70" s="20">
        <f>IF(FJ17=0,"0",IF(AND(Results!$E$5="Protein",$C$53&gt;0,OR(Results!$E$4="Tissue",Results!$E$4="Cells")),((FJ17*FJ$51)/(FJ$53)),IF(AND(Results!$E$5="Weight",$C$52&gt;0, Results!$E$4="Tissue",OR($B$52="g",$B$52="mg")),((FJ17*FJ$51)/(FJ$52)),IF(AND(Results!$E$5="Volume",$C$54&gt;0,Results!$E$4="Fluid"),((FJ17*FJ$51)/(FJ$54)),IF(AND(Results!$E$4="Cells",Results!$E$5="Million",$B$52="million"),((FJ17*FJ$51)/(FJ$52)),"0")))))</f>
        <v>50.098316666666662</v>
      </c>
      <c r="FK70" s="20">
        <f>IF(FK17=0,"0",IF(AND(Results!$E$5="Protein",$C$53&gt;0,OR(Results!$E$4="Tissue",Results!$E$4="Cells")),((FK17*FK$51)/(FK$53)),IF(AND(Results!$E$5="Weight",$C$52&gt;0, Results!$E$4="Tissue",OR($B$52="g",$B$52="mg")),((FK17*FK$51)/(FK$52)),IF(AND(Results!$E$5="Volume",$C$54&gt;0,Results!$E$4="Fluid"),((FK17*FK$51)/(FK$54)),IF(AND(Results!$E$4="Cells",Results!$E$5="Million",$B$52="million"),((FK17*FK$51)/(FK$52)),"0")))))</f>
        <v>34.865733333333331</v>
      </c>
      <c r="FL70" s="20">
        <f>IF(FL17=0,"0",IF(AND(Results!$E$5="Protein",$C$53&gt;0,OR(Results!$E$4="Tissue",Results!$E$4="Cells")),((FL17*FL$51)/(FL$53)),IF(AND(Results!$E$5="Weight",$C$52&gt;0, Results!$E$4="Tissue",OR($B$52="g",$B$52="mg")),((FL17*FL$51)/(FL$52)),IF(AND(Results!$E$5="Volume",$C$54&gt;0,Results!$E$4="Fluid"),((FL17*FL$51)/(FL$54)),IF(AND(Results!$E$4="Cells",Results!$E$5="Million",$B$52="million"),((FL17*FL$51)/(FL$52)),"0")))))</f>
        <v>5.5661166666666677</v>
      </c>
      <c r="FM70" s="20">
        <f>IF(FM17=0,"0",IF(AND(Results!$E$5="Protein",$C$53&gt;0,OR(Results!$E$4="Tissue",Results!$E$4="Cells")),((FM17*FM$51)/(FM$53)),IF(AND(Results!$E$5="Weight",$C$52&gt;0, Results!$E$4="Tissue",OR($B$52="g",$B$52="mg")),((FM17*FM$51)/(FM$52)),IF(AND(Results!$E$5="Volume",$C$54&gt;0,Results!$E$4="Fluid"),((FM17*FM$51)/(FM$54)),IF(AND(Results!$E$4="Cells",Results!$E$5="Million",$B$52="million"),((FM17*FM$51)/(FM$52)),"0")))))</f>
        <v>11.948700000000001</v>
      </c>
      <c r="FN70" s="20">
        <f>IF(FN17=0,"0",IF(AND(Results!$E$5="Protein",$C$53&gt;0,OR(Results!$E$4="Tissue",Results!$E$4="Cells")),((FN17*FN$51)/(FN$53)),IF(AND(Results!$E$5="Weight",$C$52&gt;0, Results!$E$4="Tissue",OR($B$52="g",$B$52="mg")),((FN17*FN$51)/(FN$52)),IF(AND(Results!$E$5="Volume",$C$54&gt;0,Results!$E$4="Fluid"),((FN17*FN$51)/(FN$54)),IF(AND(Results!$E$4="Cells",Results!$E$5="Million",$B$52="million"),((FN17*FN$51)/(FN$52)),"0")))))</f>
        <v>97.012750000000011</v>
      </c>
      <c r="FO70" s="20">
        <f>IF(FO17=0,"0",IF(AND(Results!$E$5="Protein",$C$53&gt;0,OR(Results!$E$4="Tissue",Results!$E$4="Cells")),((FO17*FO$51)/(FO$53)),IF(AND(Results!$E$5="Weight",$C$52&gt;0, Results!$E$4="Tissue",OR($B$52="g",$B$52="mg")),((FO17*FO$51)/(FO$52)),IF(AND(Results!$E$5="Volume",$C$54&gt;0,Results!$E$4="Fluid"),((FO17*FO$51)/(FO$54)),IF(AND(Results!$E$4="Cells",Results!$E$5="Million",$B$52="million"),((FO17*FO$51)/(FO$52)),"0")))))</f>
        <v>28.531366666666667</v>
      </c>
    </row>
    <row r="71" spans="1:171" x14ac:dyDescent="0.2">
      <c r="A71" s="120" t="str">
        <f t="shared" si="0"/>
        <v>8-HETE</v>
      </c>
      <c r="B71" s="121"/>
      <c r="C71" s="20">
        <f>IF(C18=0,"0",IF(AND(Results!$E$5="Protein",$C$53&gt;0,OR(Results!$E$4="Tissue",Results!$E$4="Cells")),((C18*C$51)/(C$53)),IF(AND(Results!$E$5="Weight",$C$52&gt;0, Results!$E$4="Tissue",OR($B$52="g",$B$52="mg")),((C18*C$51)/(C$52)),IF(AND(Results!$E$5="Volume",$C$54&gt;0,Results!$E$4="Fluid"),((C18*C$51)/(C$54)),IF(AND(Results!$E$4="Cells",Results!$E$5="Million",$B$52="million"),((C18*C$51)/(C$52)),"0")))))</f>
        <v>5.1227499999999999</v>
      </c>
      <c r="D71" s="20">
        <f>IF(D18=0,"0",IF(AND(Results!$E$5="Protein",$C$53&gt;0,OR(Results!$E$4="Tissue",Results!$E$4="Cells")),((D18*D$51)/(D$53)),IF(AND(Results!$E$5="Weight",$C$52&gt;0, Results!$E$4="Tissue",OR($B$52="g",$B$52="mg")),((D18*D$51)/(D$52)),IF(AND(Results!$E$5="Volume",$C$54&gt;0,Results!$E$4="Fluid"),((D18*D$51)/(D$54)),IF(AND(Results!$E$4="Cells",Results!$E$5="Million",$B$52="million"),((D18*D$51)/(D$52)),"0")))))</f>
        <v>11.544283333333333</v>
      </c>
      <c r="E71" s="20">
        <f>IF(E18=0,"0",IF(AND(Results!$E$5="Protein",$C$53&gt;0,OR(Results!$E$4="Tissue",Results!$E$4="Cells")),((E18*E$51)/(E$53)),IF(AND(Results!$E$5="Weight",$C$52&gt;0, Results!$E$4="Tissue",OR($B$52="g",$B$52="mg")),((E18*E$51)/(E$52)),IF(AND(Results!$E$5="Volume",$C$54&gt;0,Results!$E$4="Fluid"),((E18*E$51)/(E$54)),IF(AND(Results!$E$4="Cells",Results!$E$5="Million",$B$52="million"),((E18*E$51)/(E$52)),"0")))))</f>
        <v>3.9440499999999998</v>
      </c>
      <c r="F71" s="20">
        <f>IF(F18=0,"0",IF(AND(Results!$E$5="Protein",$C$53&gt;0,OR(Results!$E$4="Tissue",Results!$E$4="Cells")),((F18*F$51)/(F$53)),IF(AND(Results!$E$5="Weight",$C$52&gt;0, Results!$E$4="Tissue",OR($B$52="g",$B$52="mg")),((F18*F$51)/(F$52)),IF(AND(Results!$E$5="Volume",$C$54&gt;0,Results!$E$4="Fluid"),((F18*F$51)/(F$54)),IF(AND(Results!$E$4="Cells",Results!$E$5="Million",$B$52="million"),((F18*F$51)/(F$52)),"0")))))</f>
        <v>11.911616666666667</v>
      </c>
      <c r="G71" s="20">
        <f>IF(G18=0,"0",IF(AND(Results!$E$5="Protein",$C$53&gt;0,OR(Results!$E$4="Tissue",Results!$E$4="Cells")),((G18*G$51)/(G$53)),IF(AND(Results!$E$5="Weight",$C$52&gt;0, Results!$E$4="Tissue",OR($B$52="g",$B$52="mg")),((G18*G$51)/(G$52)),IF(AND(Results!$E$5="Volume",$C$54&gt;0,Results!$E$4="Fluid"),((G18*G$51)/(G$54)),IF(AND(Results!$E$4="Cells",Results!$E$5="Million",$B$52="million"),((G18*G$51)/(G$52)),"0")))))</f>
        <v>7.9660833333333336</v>
      </c>
      <c r="H71" s="20">
        <f>IF(H18=0,"0",IF(AND(Results!$E$5="Protein",$C$53&gt;0,OR(Results!$E$4="Tissue",Results!$E$4="Cells")),((H18*H$51)/(H$53)),IF(AND(Results!$E$5="Weight",$C$52&gt;0, Results!$E$4="Tissue",OR($B$52="g",$B$52="mg")),((H18*H$51)/(H$52)),IF(AND(Results!$E$5="Volume",$C$54&gt;0,Results!$E$4="Fluid"),((H18*H$51)/(H$54)),IF(AND(Results!$E$4="Cells",Results!$E$5="Million",$B$52="million"),((H18*H$51)/(H$52)),"0")))))</f>
        <v>12.411300000000001</v>
      </c>
      <c r="I71" s="20">
        <f>IF(I18=0,"0",IF(AND(Results!$E$5="Protein",$C$53&gt;0,OR(Results!$E$4="Tissue",Results!$E$4="Cells")),((I18*I$51)/(I$53)),IF(AND(Results!$E$5="Weight",$C$52&gt;0, Results!$E$4="Tissue",OR($B$52="g",$B$52="mg")),((I18*I$51)/(I$52)),IF(AND(Results!$E$5="Volume",$C$54&gt;0,Results!$E$4="Fluid"),((I18*I$51)/(I$54)),IF(AND(Results!$E$4="Cells",Results!$E$5="Million",$B$52="million"),((I18*I$51)/(I$52)),"0")))))</f>
        <v>13.142166666666666</v>
      </c>
      <c r="J71" s="20">
        <f>IF(J18=0,"0",IF(AND(Results!$E$5="Protein",$C$53&gt;0,OR(Results!$E$4="Tissue",Results!$E$4="Cells")),((J18*J$51)/(J$53)),IF(AND(Results!$E$5="Weight",$C$52&gt;0, Results!$E$4="Tissue",OR($B$52="g",$B$52="mg")),((J18*J$51)/(J$52)),IF(AND(Results!$E$5="Volume",$C$54&gt;0,Results!$E$4="Fluid"),((J18*J$51)/(J$54)),IF(AND(Results!$E$4="Cells",Results!$E$5="Million",$B$52="million"),((J18*J$51)/(J$52)),"0")))))</f>
        <v>7.8844666666666674</v>
      </c>
      <c r="K71" s="20">
        <f>IF(K18=0,"0",IF(AND(Results!$E$5="Protein",$C$53&gt;0,OR(Results!$E$4="Tissue",Results!$E$4="Cells")),((K18*K$51)/(K$53)),IF(AND(Results!$E$5="Weight",$C$52&gt;0, Results!$E$4="Tissue",OR($B$52="g",$B$52="mg")),((K18*K$51)/(K$52)),IF(AND(Results!$E$5="Volume",$C$54&gt;0,Results!$E$4="Fluid"),((K18*K$51)/(K$54)),IF(AND(Results!$E$4="Cells",Results!$E$5="Million",$B$52="million"),((K18*K$51)/(K$52)),"0")))))</f>
        <v>6.4571166666666668</v>
      </c>
      <c r="L71" s="20">
        <f>IF(L18=0,"0",IF(AND(Results!$E$5="Protein",$C$53&gt;0,OR(Results!$E$4="Tissue",Results!$E$4="Cells")),((L18*L$51)/(L$53)),IF(AND(Results!$E$5="Weight",$C$52&gt;0, Results!$E$4="Tissue",OR($B$52="g",$B$52="mg")),((L18*L$51)/(L$52)),IF(AND(Results!$E$5="Volume",$C$54&gt;0,Results!$E$4="Fluid"),((L18*L$51)/(L$54)),IF(AND(Results!$E$4="Cells",Results!$E$5="Million",$B$52="million"),((L18*L$51)/(L$52)),"0")))))</f>
        <v>16.568716666666667</v>
      </c>
      <c r="M71" s="20">
        <f>IF(M18=0,"0",IF(AND(Results!$E$5="Protein",$C$53&gt;0,OR(Results!$E$4="Tissue",Results!$E$4="Cells")),((M18*M$51)/(M$53)),IF(AND(Results!$E$5="Weight",$C$52&gt;0, Results!$E$4="Tissue",OR($B$52="g",$B$52="mg")),((M18*M$51)/(M$52)),IF(AND(Results!$E$5="Volume",$C$54&gt;0,Results!$E$4="Fluid"),((M18*M$51)/(M$54)),IF(AND(Results!$E$4="Cells",Results!$E$5="Million",$B$52="million"),((M18*M$51)/(M$52)),"0")))))</f>
        <v>4.7501666666666669</v>
      </c>
      <c r="N71" s="20">
        <f>IF(N18=0,"0",IF(AND(Results!$E$5="Protein",$C$53&gt;0,OR(Results!$E$4="Tissue",Results!$E$4="Cells")),((N18*N$51)/(N$53)),IF(AND(Results!$E$5="Weight",$C$52&gt;0, Results!$E$4="Tissue",OR($B$52="g",$B$52="mg")),((N18*N$51)/(N$52)),IF(AND(Results!$E$5="Volume",$C$54&gt;0,Results!$E$4="Fluid"),((N18*N$51)/(N$54)),IF(AND(Results!$E$4="Cells",Results!$E$5="Million",$B$52="million"),((N18*N$51)/(N$52)),"0")))))</f>
        <v>8.940316666666666</v>
      </c>
      <c r="O71" s="20">
        <f>IF(O18=0,"0",IF(AND(Results!$E$5="Protein",$C$53&gt;0,OR(Results!$E$4="Tissue",Results!$E$4="Cells")),((O18*O$51)/(O$53)),IF(AND(Results!$E$5="Weight",$C$52&gt;0, Results!$E$4="Tissue",OR($B$52="g",$B$52="mg")),((O18*O$51)/(O$52)),IF(AND(Results!$E$5="Volume",$C$54&gt;0,Results!$E$4="Fluid"),((O18*O$51)/(O$54)),IF(AND(Results!$E$4="Cells",Results!$E$5="Million",$B$52="million"),((O18*O$51)/(O$52)),"0")))))</f>
        <v>10.454033333333335</v>
      </c>
      <c r="P71" s="20">
        <f>IF(P18=0,"0",IF(AND(Results!$E$5="Protein",$C$53&gt;0,OR(Results!$E$4="Tissue",Results!$E$4="Cells")),((P18*P$51)/(P$53)),IF(AND(Results!$E$5="Weight",$C$52&gt;0, Results!$E$4="Tissue",OR($B$52="g",$B$52="mg")),((P18*P$51)/(P$52)),IF(AND(Results!$E$5="Volume",$C$54&gt;0,Results!$E$4="Fluid"),((P18*P$51)/(P$54)),IF(AND(Results!$E$4="Cells",Results!$E$5="Million",$B$52="million"),((P18*P$51)/(P$52)),"0")))))</f>
        <v>11.161283333333332</v>
      </c>
      <c r="Q71" s="20">
        <f>IF(Q18=0,"0",IF(AND(Results!$E$5="Protein",$C$53&gt;0,OR(Results!$E$4="Tissue",Results!$E$4="Cells")),((Q18*Q$51)/(Q$53)),IF(AND(Results!$E$5="Weight",$C$52&gt;0, Results!$E$4="Tissue",OR($B$52="g",$B$52="mg")),((Q18*Q$51)/(Q$52)),IF(AND(Results!$E$5="Volume",$C$54&gt;0,Results!$E$4="Fluid"),((Q18*Q$51)/(Q$54)),IF(AND(Results!$E$4="Cells",Results!$E$5="Million",$B$52="million"),((Q18*Q$51)/(Q$52)),"0")))))</f>
        <v>6.681116666666667</v>
      </c>
      <c r="R71" s="20">
        <f>IF(R18=0,"0",IF(AND(Results!$E$5="Protein",$C$53&gt;0,OR(Results!$E$4="Tissue",Results!$E$4="Cells")),((R18*R$51)/(R$53)),IF(AND(Results!$E$5="Weight",$C$52&gt;0, Results!$E$4="Tissue",OR($B$52="g",$B$52="mg")),((R18*R$51)/(R$52)),IF(AND(Results!$E$5="Volume",$C$54&gt;0,Results!$E$4="Fluid"),((R18*R$51)/(R$54)),IF(AND(Results!$E$4="Cells",Results!$E$5="Million",$B$52="million"),((R18*R$51)/(R$52)),"0")))))</f>
        <v>60.126549999999995</v>
      </c>
      <c r="S71" s="20">
        <f>IF(S18=0,"0",IF(AND(Results!$E$5="Protein",$C$53&gt;0,OR(Results!$E$4="Tissue",Results!$E$4="Cells")),((S18*S$51)/(S$53)),IF(AND(Results!$E$5="Weight",$C$52&gt;0, Results!$E$4="Tissue",OR($B$52="g",$B$52="mg")),((S18*S$51)/(S$52)),IF(AND(Results!$E$5="Volume",$C$54&gt;0,Results!$E$4="Fluid"),((S18*S$51)/(S$54)),IF(AND(Results!$E$4="Cells",Results!$E$5="Million",$B$52="million"),((S18*S$51)/(S$52)),"0")))))</f>
        <v>6.3704333333333336</v>
      </c>
      <c r="T71" s="20">
        <f>IF(T18=0,"0",IF(AND(Results!$E$5="Protein",$C$53&gt;0,OR(Results!$E$4="Tissue",Results!$E$4="Cells")),((T18*T$51)/(T$53)),IF(AND(Results!$E$5="Weight",$C$52&gt;0, Results!$E$4="Tissue",OR($B$52="g",$B$52="mg")),((T18*T$51)/(T$52)),IF(AND(Results!$E$5="Volume",$C$54&gt;0,Results!$E$4="Fluid"),((T18*T$51)/(T$54)),IF(AND(Results!$E$4="Cells",Results!$E$5="Million",$B$52="million"),((T18*T$51)/(T$52)),"0")))))</f>
        <v>3.0799500000000006</v>
      </c>
      <c r="U71" s="20">
        <f>IF(U18=0,"0",IF(AND(Results!$E$5="Protein",$C$53&gt;0,OR(Results!$E$4="Tissue",Results!$E$4="Cells")),((U18*U$51)/(U$53)),IF(AND(Results!$E$5="Weight",$C$52&gt;0, Results!$E$4="Tissue",OR($B$52="g",$B$52="mg")),((U18*U$51)/(U$52)),IF(AND(Results!$E$5="Volume",$C$54&gt;0,Results!$E$4="Fluid"),((U18*U$51)/(U$54)),IF(AND(Results!$E$4="Cells",Results!$E$5="Million",$B$52="million"),((U18*U$51)/(U$52)),"0")))))</f>
        <v>6.9404166666666658</v>
      </c>
      <c r="V71" s="20">
        <f>IF(V18=0,"0",IF(AND(Results!$E$5="Protein",$C$53&gt;0,OR(Results!$E$4="Tissue",Results!$E$4="Cells")),((V18*V$51)/(V$53)),IF(AND(Results!$E$5="Weight",$C$52&gt;0, Results!$E$4="Tissue",OR($B$52="g",$B$52="mg")),((V18*V$51)/(V$52)),IF(AND(Results!$E$5="Volume",$C$54&gt;0,Results!$E$4="Fluid"),((V18*V$51)/(V$54)),IF(AND(Results!$E$4="Cells",Results!$E$5="Million",$B$52="million"),((V18*V$51)/(V$52)),"0")))))</f>
        <v>2.8482500000000002</v>
      </c>
      <c r="W71" s="20">
        <f>IF(W18=0,"0",IF(AND(Results!$E$5="Protein",$C$53&gt;0,OR(Results!$E$4="Tissue",Results!$E$4="Cells")),((W18*W$51)/(W$53)),IF(AND(Results!$E$5="Weight",$C$52&gt;0, Results!$E$4="Tissue",OR($B$52="g",$B$52="mg")),((W18*W$51)/(W$52)),IF(AND(Results!$E$5="Volume",$C$54&gt;0,Results!$E$4="Fluid"),((W18*W$51)/(W$54)),IF(AND(Results!$E$4="Cells",Results!$E$5="Million",$B$52="million"),((W18*W$51)/(W$52)),"0")))))</f>
        <v>22.416799999999999</v>
      </c>
      <c r="X71" s="20">
        <f>IF(X18=0,"0",IF(AND(Results!$E$5="Protein",$C$53&gt;0,OR(Results!$E$4="Tissue",Results!$E$4="Cells")),((X18*X$51)/(X$53)),IF(AND(Results!$E$5="Weight",$C$52&gt;0, Results!$E$4="Tissue",OR($B$52="g",$B$52="mg")),((X18*X$51)/(X$52)),IF(AND(Results!$E$5="Volume",$C$54&gt;0,Results!$E$4="Fluid"),((X18*X$51)/(X$54)),IF(AND(Results!$E$4="Cells",Results!$E$5="Million",$B$52="million"),((X18*X$51)/(X$52)),"0")))))</f>
        <v>12.516439999999999</v>
      </c>
      <c r="Y71" s="20">
        <f>IF(Y18=0,"0",IF(AND(Results!$E$5="Protein",$C$53&gt;0,OR(Results!$E$4="Tissue",Results!$E$4="Cells")),((Y18*Y$51)/(Y$53)),IF(AND(Results!$E$5="Weight",$C$52&gt;0, Results!$E$4="Tissue",OR($B$52="g",$B$52="mg")),((Y18*Y$51)/(Y$52)),IF(AND(Results!$E$5="Volume",$C$54&gt;0,Results!$E$4="Fluid"),((Y18*Y$51)/(Y$54)),IF(AND(Results!$E$4="Cells",Results!$E$5="Million",$B$52="million"),((Y18*Y$51)/(Y$52)),"0")))))</f>
        <v>12.222900000000001</v>
      </c>
      <c r="Z71" s="20">
        <f>IF(Z18=0,"0",IF(AND(Results!$E$5="Protein",$C$53&gt;0,OR(Results!$E$4="Tissue",Results!$E$4="Cells")),((Z18*Z$51)/(Z$53)),IF(AND(Results!$E$5="Weight",$C$52&gt;0, Results!$E$4="Tissue",OR($B$52="g",$B$52="mg")),((Z18*Z$51)/(Z$52)),IF(AND(Results!$E$5="Volume",$C$54&gt;0,Results!$E$4="Fluid"),((Z18*Z$51)/(Z$54)),IF(AND(Results!$E$4="Cells",Results!$E$5="Million",$B$52="million"),((Z18*Z$51)/(Z$52)),"0")))))</f>
        <v>74.304540000000003</v>
      </c>
      <c r="AA71" s="20">
        <f>IF(AA18=0,"0",IF(AND(Results!$E$5="Protein",$C$53&gt;0,OR(Results!$E$4="Tissue",Results!$E$4="Cells")),((AA18*AA$51)/(AA$53)),IF(AND(Results!$E$5="Weight",$C$52&gt;0, Results!$E$4="Tissue",OR($B$52="g",$B$52="mg")),((AA18*AA$51)/(AA$52)),IF(AND(Results!$E$5="Volume",$C$54&gt;0,Results!$E$4="Fluid"),((AA18*AA$51)/(AA$54)),IF(AND(Results!$E$4="Cells",Results!$E$5="Million",$B$52="million"),((AA18*AA$51)/(AA$52)),"0")))))</f>
        <v>4.4564000000000004</v>
      </c>
      <c r="AB71" s="20">
        <f>IF(AB18=0,"0",IF(AND(Results!$E$5="Protein",$C$53&gt;0,OR(Results!$E$4="Tissue",Results!$E$4="Cells")),((AB18*AB$51)/(AB$53)),IF(AND(Results!$E$5="Weight",$C$52&gt;0, Results!$E$4="Tissue",OR($B$52="g",$B$52="mg")),((AB18*AB$51)/(AB$52)),IF(AND(Results!$E$5="Volume",$C$54&gt;0,Results!$E$4="Fluid"),((AB18*AB$51)/(AB$54)),IF(AND(Results!$E$4="Cells",Results!$E$5="Million",$B$52="million"),((AB18*AB$51)/(AB$52)),"0")))))</f>
        <v>13.414733333333334</v>
      </c>
      <c r="AC71" s="20">
        <f>IF(AC18=0,"0",IF(AND(Results!$E$5="Protein",$C$53&gt;0,OR(Results!$E$4="Tissue",Results!$E$4="Cells")),((AC18*AC$51)/(AC$53)),IF(AND(Results!$E$5="Weight",$C$52&gt;0, Results!$E$4="Tissue",OR($B$52="g",$B$52="mg")),((AC18*AC$51)/(AC$52)),IF(AND(Results!$E$5="Volume",$C$54&gt;0,Results!$E$4="Fluid"),((AC18*AC$51)/(AC$54)),IF(AND(Results!$E$4="Cells",Results!$E$5="Million",$B$52="million"),((AC18*AC$51)/(AC$52)),"0")))))</f>
        <v>10.789499999999999</v>
      </c>
      <c r="AD71" s="20">
        <f>IF(AD18=0,"0",IF(AND(Results!$E$5="Protein",$C$53&gt;0,OR(Results!$E$4="Tissue",Results!$E$4="Cells")),((AD18*AD$51)/(AD$53)),IF(AND(Results!$E$5="Weight",$C$52&gt;0, Results!$E$4="Tissue",OR($B$52="g",$B$52="mg")),((AD18*AD$51)/(AD$52)),IF(AND(Results!$E$5="Volume",$C$54&gt;0,Results!$E$4="Fluid"),((AD18*AD$51)/(AD$54)),IF(AND(Results!$E$4="Cells",Results!$E$5="Million",$B$52="million"),((AD18*AD$51)/(AD$52)),"0")))))</f>
        <v>5.0983000000000001</v>
      </c>
      <c r="AE71" s="20">
        <f>IF(AE18=0,"0",IF(AND(Results!$E$5="Protein",$C$53&gt;0,OR(Results!$E$4="Tissue",Results!$E$4="Cells")),((AE18*AE$51)/(AE$53)),IF(AND(Results!$E$5="Weight",$C$52&gt;0, Results!$E$4="Tissue",OR($B$52="g",$B$52="mg")),((AE18*AE$51)/(AE$52)),IF(AND(Results!$E$5="Volume",$C$54&gt;0,Results!$E$4="Fluid"),((AE18*AE$51)/(AE$54)),IF(AND(Results!$E$4="Cells",Results!$E$5="Million",$B$52="million"),((AE18*AE$51)/(AE$52)),"0")))))</f>
        <v>3.3539499999999998</v>
      </c>
      <c r="AF71" s="20">
        <f>IF(AF18=0,"0",IF(AND(Results!$E$5="Protein",$C$53&gt;0,OR(Results!$E$4="Tissue",Results!$E$4="Cells")),((AF18*AF$51)/(AF$53)),IF(AND(Results!$E$5="Weight",$C$52&gt;0, Results!$E$4="Tissue",OR($B$52="g",$B$52="mg")),((AF18*AF$51)/(AF$52)),IF(AND(Results!$E$5="Volume",$C$54&gt;0,Results!$E$4="Fluid"),((AF18*AF$51)/(AF$54)),IF(AND(Results!$E$4="Cells",Results!$E$5="Million",$B$52="million"),((AF18*AF$51)/(AF$52)),"0")))))</f>
        <v>5.9813999999999989</v>
      </c>
      <c r="AG71" s="20">
        <f>IF(AG18=0,"0",IF(AND(Results!$E$5="Protein",$C$53&gt;0,OR(Results!$E$4="Tissue",Results!$E$4="Cells")),((AG18*AG$51)/(AG$53)),IF(AND(Results!$E$5="Weight",$C$52&gt;0, Results!$E$4="Tissue",OR($B$52="g",$B$52="mg")),((AG18*AG$51)/(AG$52)),IF(AND(Results!$E$5="Volume",$C$54&gt;0,Results!$E$4="Fluid"),((AG18*AG$51)/(AG$54)),IF(AND(Results!$E$4="Cells",Results!$E$5="Million",$B$52="million"),((AG18*AG$51)/(AG$52)),"0")))))</f>
        <v>22.491933333333336</v>
      </c>
      <c r="AH71" s="20">
        <f>IF(AH18=0,"0",IF(AND(Results!$E$5="Protein",$C$53&gt;0,OR(Results!$E$4="Tissue",Results!$E$4="Cells")),((AH18*AH$51)/(AH$53)),IF(AND(Results!$E$5="Weight",$C$52&gt;0, Results!$E$4="Tissue",OR($B$52="g",$B$52="mg")),((AH18*AH$51)/(AH$52)),IF(AND(Results!$E$5="Volume",$C$54&gt;0,Results!$E$4="Fluid"),((AH18*AH$51)/(AH$54)),IF(AND(Results!$E$4="Cells",Results!$E$5="Million",$B$52="million"),((AH18*AH$51)/(AH$52)),"0")))))</f>
        <v>4.7712166666666667</v>
      </c>
      <c r="AI71" s="20">
        <f>IF(AI18=0,"0",IF(AND(Results!$E$5="Protein",$C$53&gt;0,OR(Results!$E$4="Tissue",Results!$E$4="Cells")),((AI18*AI$51)/(AI$53)),IF(AND(Results!$E$5="Weight",$C$52&gt;0, Results!$E$4="Tissue",OR($B$52="g",$B$52="mg")),((AI18*AI$51)/(AI$52)),IF(AND(Results!$E$5="Volume",$C$54&gt;0,Results!$E$4="Fluid"),((AI18*AI$51)/(AI$54)),IF(AND(Results!$E$4="Cells",Results!$E$5="Million",$B$52="million"),((AI18*AI$51)/(AI$52)),"0")))))</f>
        <v>13.815850000000001</v>
      </c>
      <c r="AJ71" s="20">
        <f>IF(AJ18=0,"0",IF(AND(Results!$E$5="Protein",$C$53&gt;0,OR(Results!$E$4="Tissue",Results!$E$4="Cells")),((AJ18*AJ$51)/(AJ$53)),IF(AND(Results!$E$5="Weight",$C$52&gt;0, Results!$E$4="Tissue",OR($B$52="g",$B$52="mg")),((AJ18*AJ$51)/(AJ$52)),IF(AND(Results!$E$5="Volume",$C$54&gt;0,Results!$E$4="Fluid"),((AJ18*AJ$51)/(AJ$54)),IF(AND(Results!$E$4="Cells",Results!$E$5="Million",$B$52="million"),((AJ18*AJ$51)/(AJ$52)),"0")))))</f>
        <v>13.566366666666665</v>
      </c>
      <c r="AK71" s="20">
        <f>IF(AK18=0,"0",IF(AND(Results!$E$5="Protein",$C$53&gt;0,OR(Results!$E$4="Tissue",Results!$E$4="Cells")),((AK18*AK$51)/(AK$53)),IF(AND(Results!$E$5="Weight",$C$52&gt;0, Results!$E$4="Tissue",OR($B$52="g",$B$52="mg")),((AK18*AK$51)/(AK$52)),IF(AND(Results!$E$5="Volume",$C$54&gt;0,Results!$E$4="Fluid"),((AK18*AK$51)/(AK$54)),IF(AND(Results!$E$4="Cells",Results!$E$5="Million",$B$52="million"),((AK18*AK$51)/(AK$52)),"0")))))</f>
        <v>6.9360999999999997</v>
      </c>
      <c r="AL71" s="20">
        <f>IF(AL18=0,"0",IF(AND(Results!$E$5="Protein",$C$53&gt;0,OR(Results!$E$4="Tissue",Results!$E$4="Cells")),((AL18*AL$51)/(AL$53)),IF(AND(Results!$E$5="Weight",$C$52&gt;0, Results!$E$4="Tissue",OR($B$52="g",$B$52="mg")),((AL18*AL$51)/(AL$52)),IF(AND(Results!$E$5="Volume",$C$54&gt;0,Results!$E$4="Fluid"),((AL18*AL$51)/(AL$54)),IF(AND(Results!$E$4="Cells",Results!$E$5="Million",$B$52="million"),((AL18*AL$51)/(AL$52)),"0")))))</f>
        <v>6.1569833333333328</v>
      </c>
      <c r="AM71" s="20">
        <f>IF(AM18=0,"0",IF(AND(Results!$E$5="Protein",$C$53&gt;0,OR(Results!$E$4="Tissue",Results!$E$4="Cells")),((AM18*AM$51)/(AM$53)),IF(AND(Results!$E$5="Weight",$C$52&gt;0, Results!$E$4="Tissue",OR($B$52="g",$B$52="mg")),((AM18*AM$51)/(AM$52)),IF(AND(Results!$E$5="Volume",$C$54&gt;0,Results!$E$4="Fluid"),((AM18*AM$51)/(AM$54)),IF(AND(Results!$E$4="Cells",Results!$E$5="Million",$B$52="million"),((AM18*AM$51)/(AM$52)),"0")))))</f>
        <v>19.323950000000004</v>
      </c>
      <c r="AN71" s="20">
        <f>IF(AN18=0,"0",IF(AND(Results!$E$5="Protein",$C$53&gt;0,OR(Results!$E$4="Tissue",Results!$E$4="Cells")),((AN18*AN$51)/(AN$53)),IF(AND(Results!$E$5="Weight",$C$52&gt;0, Results!$E$4="Tissue",OR($B$52="g",$B$52="mg")),((AN18*AN$51)/(AN$52)),IF(AND(Results!$E$5="Volume",$C$54&gt;0,Results!$E$4="Fluid"),((AN18*AN$51)/(AN$54)),IF(AND(Results!$E$4="Cells",Results!$E$5="Million",$B$52="million"),((AN18*AN$51)/(AN$52)),"0")))))</f>
        <v>9.3495666666666679</v>
      </c>
      <c r="AO71" s="20">
        <f>IF(AO18=0,"0",IF(AND(Results!$E$5="Protein",$C$53&gt;0,OR(Results!$E$4="Tissue",Results!$E$4="Cells")),((AO18*AO$51)/(AO$53)),IF(AND(Results!$E$5="Weight",$C$52&gt;0, Results!$E$4="Tissue",OR($B$52="g",$B$52="mg")),((AO18*AO$51)/(AO$52)),IF(AND(Results!$E$5="Volume",$C$54&gt;0,Results!$E$4="Fluid"),((AO18*AO$51)/(AO$54)),IF(AND(Results!$E$4="Cells",Results!$E$5="Million",$B$52="million"),((AO18*AO$51)/(AO$52)),"0")))))</f>
        <v>4.8732499999999996</v>
      </c>
      <c r="AP71" s="20">
        <f>IF(AP18=0,"0",IF(AND(Results!$E$5="Protein",$C$53&gt;0,OR(Results!$E$4="Tissue",Results!$E$4="Cells")),((AP18*AP$51)/(AP$53)),IF(AND(Results!$E$5="Weight",$C$52&gt;0, Results!$E$4="Tissue",OR($B$52="g",$B$52="mg")),((AP18*AP$51)/(AP$52)),IF(AND(Results!$E$5="Volume",$C$54&gt;0,Results!$E$4="Fluid"),((AP18*AP$51)/(AP$54)),IF(AND(Results!$E$4="Cells",Results!$E$5="Million",$B$52="million"),((AP18*AP$51)/(AP$52)),"0")))))</f>
        <v>4.3388499999999999</v>
      </c>
      <c r="AQ71" s="20">
        <f>IF(AQ18=0,"0",IF(AND(Results!$E$5="Protein",$C$53&gt;0,OR(Results!$E$4="Tissue",Results!$E$4="Cells")),((AQ18*AQ$51)/(AQ$53)),IF(AND(Results!$E$5="Weight",$C$52&gt;0, Results!$E$4="Tissue",OR($B$52="g",$B$52="mg")),((AQ18*AQ$51)/(AQ$52)),IF(AND(Results!$E$5="Volume",$C$54&gt;0,Results!$E$4="Fluid"),((AQ18*AQ$51)/(AQ$54)),IF(AND(Results!$E$4="Cells",Results!$E$5="Million",$B$52="million"),((AQ18*AQ$51)/(AQ$52)),"0")))))</f>
        <v>11.781883333333333</v>
      </c>
      <c r="AR71" s="20">
        <f>IF(AR18=0,"0",IF(AND(Results!$E$5="Protein",$C$53&gt;0,OR(Results!$E$4="Tissue",Results!$E$4="Cells")),((AR18*AR$51)/(AR$53)),IF(AND(Results!$E$5="Weight",$C$52&gt;0, Results!$E$4="Tissue",OR($B$52="g",$B$52="mg")),((AR18*AR$51)/(AR$52)),IF(AND(Results!$E$5="Volume",$C$54&gt;0,Results!$E$4="Fluid"),((AR18*AR$51)/(AR$54)),IF(AND(Results!$E$4="Cells",Results!$E$5="Million",$B$52="million"),((AR18*AR$51)/(AR$52)),"0")))))</f>
        <v>4.0019499999999999</v>
      </c>
      <c r="AS71" s="20">
        <f>IF(AS18=0,"0",IF(AND(Results!$E$5="Protein",$C$53&gt;0,OR(Results!$E$4="Tissue",Results!$E$4="Cells")),((AS18*AS$51)/(AS$53)),IF(AND(Results!$E$5="Weight",$C$52&gt;0, Results!$E$4="Tissue",OR($B$52="g",$B$52="mg")),((AS18*AS$51)/(AS$52)),IF(AND(Results!$E$5="Volume",$C$54&gt;0,Results!$E$4="Fluid"),((AS18*AS$51)/(AS$54)),IF(AND(Results!$E$4="Cells",Results!$E$5="Million",$B$52="million"),((AS18*AS$51)/(AS$52)),"0")))))</f>
        <v>30.702216666666668</v>
      </c>
      <c r="AT71" s="20">
        <f>IF(AT18=0,"0",IF(AND(Results!$E$5="Protein",$C$53&gt;0,OR(Results!$E$4="Tissue",Results!$E$4="Cells")),((AT18*AT$51)/(AT$53)),IF(AND(Results!$E$5="Weight",$C$52&gt;0, Results!$E$4="Tissue",OR($B$52="g",$B$52="mg")),((AT18*AT$51)/(AT$52)),IF(AND(Results!$E$5="Volume",$C$54&gt;0,Results!$E$4="Fluid"),((AT18*AT$51)/(AT$54)),IF(AND(Results!$E$4="Cells",Results!$E$5="Million",$B$52="million"),((AT18*AT$51)/(AT$52)),"0")))))</f>
        <v>14.598800000000001</v>
      </c>
      <c r="AU71" s="20">
        <f>IF(AU18=0,"0",IF(AND(Results!$E$5="Protein",$C$53&gt;0,OR(Results!$E$4="Tissue",Results!$E$4="Cells")),((AU18*AU$51)/(AU$53)),IF(AND(Results!$E$5="Weight",$C$52&gt;0, Results!$E$4="Tissue",OR($B$52="g",$B$52="mg")),((AU18*AU$51)/(AU$52)),IF(AND(Results!$E$5="Volume",$C$54&gt;0,Results!$E$4="Fluid"),((AU18*AU$51)/(AU$54)),IF(AND(Results!$E$4="Cells",Results!$E$5="Million",$B$52="million"),((AU18*AU$51)/(AU$52)),"0")))))</f>
        <v>1.9552800000000001</v>
      </c>
      <c r="AV71" s="20">
        <f>IF(AV18=0,"0",IF(AND(Results!$E$5="Protein",$C$53&gt;0,OR(Results!$E$4="Tissue",Results!$E$4="Cells")),((AV18*AV$51)/(AV$53)),IF(AND(Results!$E$5="Weight",$C$52&gt;0, Results!$E$4="Tissue",OR($B$52="g",$B$52="mg")),((AV18*AV$51)/(AV$52)),IF(AND(Results!$E$5="Volume",$C$54&gt;0,Results!$E$4="Fluid"),((AV18*AV$51)/(AV$54)),IF(AND(Results!$E$4="Cells",Results!$E$5="Million",$B$52="million"),((AV18*AV$51)/(AV$52)),"0")))))</f>
        <v>4.0258399999999996</v>
      </c>
      <c r="AW71" s="20">
        <f>IF(AW18=0,"0",IF(AND(Results!$E$5="Protein",$C$53&gt;0,OR(Results!$E$4="Tissue",Results!$E$4="Cells")),((AW18*AW$51)/(AW$53)),IF(AND(Results!$E$5="Weight",$C$52&gt;0, Results!$E$4="Tissue",OR($B$52="g",$B$52="mg")),((AW18*AW$51)/(AW$52)),IF(AND(Results!$E$5="Volume",$C$54&gt;0,Results!$E$4="Fluid"),((AW18*AW$51)/(AW$54)),IF(AND(Results!$E$4="Cells",Results!$E$5="Million",$B$52="million"),((AW18*AW$51)/(AW$52)),"0")))))</f>
        <v>3.6421333333333332</v>
      </c>
      <c r="AX71" s="20">
        <f>IF(AX18=0,"0",IF(AND(Results!$E$5="Protein",$C$53&gt;0,OR(Results!$E$4="Tissue",Results!$E$4="Cells")),((AX18*AX$51)/(AX$53)),IF(AND(Results!$E$5="Weight",$C$52&gt;0, Results!$E$4="Tissue",OR($B$52="g",$B$52="mg")),((AX18*AX$51)/(AX$52)),IF(AND(Results!$E$5="Volume",$C$54&gt;0,Results!$E$4="Fluid"),((AX18*AX$51)/(AX$54)),IF(AND(Results!$E$4="Cells",Results!$E$5="Million",$B$52="million"),((AX18*AX$51)/(AX$52)),"0")))))</f>
        <v>4.8273333333333328</v>
      </c>
      <c r="AY71" s="20">
        <f>IF(AY18=0,"0",IF(AND(Results!$E$5="Protein",$C$53&gt;0,OR(Results!$E$4="Tissue",Results!$E$4="Cells")),((AY18*AY$51)/(AY$53)),IF(AND(Results!$E$5="Weight",$C$52&gt;0, Results!$E$4="Tissue",OR($B$52="g",$B$52="mg")),((AY18*AY$51)/(AY$52)),IF(AND(Results!$E$5="Volume",$C$54&gt;0,Results!$E$4="Fluid"),((AY18*AY$51)/(AY$54)),IF(AND(Results!$E$4="Cells",Results!$E$5="Million",$B$52="million"),((AY18*AY$51)/(AY$52)),"0")))))</f>
        <v>7.9563166666666669</v>
      </c>
      <c r="AZ71" s="20">
        <f>IF(AZ18=0,"0",IF(AND(Results!$E$5="Protein",$C$53&gt;0,OR(Results!$E$4="Tissue",Results!$E$4="Cells")),((AZ18*AZ$51)/(AZ$53)),IF(AND(Results!$E$5="Weight",$C$52&gt;0, Results!$E$4="Tissue",OR($B$52="g",$B$52="mg")),((AZ18*AZ$51)/(AZ$52)),IF(AND(Results!$E$5="Volume",$C$54&gt;0,Results!$E$4="Fluid"),((AZ18*AZ$51)/(AZ$54)),IF(AND(Results!$E$4="Cells",Results!$E$5="Million",$B$52="million"),((AZ18*AZ$51)/(AZ$52)),"0")))))</f>
        <v>1.4800833333333332</v>
      </c>
      <c r="BA71" s="20">
        <f>IF(BA18=0,"0",IF(AND(Results!$E$5="Protein",$C$53&gt;0,OR(Results!$E$4="Tissue",Results!$E$4="Cells")),((BA18*BA$51)/(BA$53)),IF(AND(Results!$E$5="Weight",$C$52&gt;0, Results!$E$4="Tissue",OR($B$52="g",$B$52="mg")),((BA18*BA$51)/(BA$52)),IF(AND(Results!$E$5="Volume",$C$54&gt;0,Results!$E$4="Fluid"),((BA18*BA$51)/(BA$54)),IF(AND(Results!$E$4="Cells",Results!$E$5="Million",$B$52="million"),((BA18*BA$51)/(BA$52)),"0")))))</f>
        <v>5.4782833333333336</v>
      </c>
      <c r="BB71" s="20">
        <f>IF(BB18=0,"0",IF(AND(Results!$E$5="Protein",$C$53&gt;0,OR(Results!$E$4="Tissue",Results!$E$4="Cells")),((BB18*BB$51)/(BB$53)),IF(AND(Results!$E$5="Weight",$C$52&gt;0, Results!$E$4="Tissue",OR($B$52="g",$B$52="mg")),((BB18*BB$51)/(BB$52)),IF(AND(Results!$E$5="Volume",$C$54&gt;0,Results!$E$4="Fluid"),((BB18*BB$51)/(BB$54)),IF(AND(Results!$E$4="Cells",Results!$E$5="Million",$B$52="million"),((BB18*BB$51)/(BB$52)),"0")))))</f>
        <v>3.1761166666666667</v>
      </c>
      <c r="BC71" s="20">
        <f>IF(BC18=0,"0",IF(AND(Results!$E$5="Protein",$C$53&gt;0,OR(Results!$E$4="Tissue",Results!$E$4="Cells")),((BC18*BC$51)/(BC$53)),IF(AND(Results!$E$5="Weight",$C$52&gt;0, Results!$E$4="Tissue",OR($B$52="g",$B$52="mg")),((BC18*BC$51)/(BC$52)),IF(AND(Results!$E$5="Volume",$C$54&gt;0,Results!$E$4="Fluid"),((BC18*BC$51)/(BC$54)),IF(AND(Results!$E$4="Cells",Results!$E$5="Million",$B$52="million"),((BC18*BC$51)/(BC$52)),"0")))))</f>
        <v>4.2630166666666671</v>
      </c>
      <c r="BD71" s="20">
        <f>IF(BD18=0,"0",IF(AND(Results!$E$5="Protein",$C$53&gt;0,OR(Results!$E$4="Tissue",Results!$E$4="Cells")),((BD18*BD$51)/(BD$53)),IF(AND(Results!$E$5="Weight",$C$52&gt;0, Results!$E$4="Tissue",OR($B$52="g",$B$52="mg")),((BD18*BD$51)/(BD$52)),IF(AND(Results!$E$5="Volume",$C$54&gt;0,Results!$E$4="Fluid"),((BD18*BD$51)/(BD$54)),IF(AND(Results!$E$4="Cells",Results!$E$5="Million",$B$52="million"),((BD18*BD$51)/(BD$52)),"0")))))</f>
        <v>5.5551333333333339</v>
      </c>
      <c r="BE71" s="20">
        <f>IF(BE18=0,"0",IF(AND(Results!$E$5="Protein",$C$53&gt;0,OR(Results!$E$4="Tissue",Results!$E$4="Cells")),((BE18*BE$51)/(BE$53)),IF(AND(Results!$E$5="Weight",$C$52&gt;0, Results!$E$4="Tissue",OR($B$52="g",$B$52="mg")),((BE18*BE$51)/(BE$52)),IF(AND(Results!$E$5="Volume",$C$54&gt;0,Results!$E$4="Fluid"),((BE18*BE$51)/(BE$54)),IF(AND(Results!$E$4="Cells",Results!$E$5="Million",$B$52="million"),((BE18*BE$51)/(BE$52)),"0")))))</f>
        <v>2.863633333333333</v>
      </c>
      <c r="BF71" s="20">
        <f>IF(BF18=0,"0",IF(AND(Results!$E$5="Protein",$C$53&gt;0,OR(Results!$E$4="Tissue",Results!$E$4="Cells")),((BF18*BF$51)/(BF$53)),IF(AND(Results!$E$5="Weight",$C$52&gt;0, Results!$E$4="Tissue",OR($B$52="g",$B$52="mg")),((BF18*BF$51)/(BF$52)),IF(AND(Results!$E$5="Volume",$C$54&gt;0,Results!$E$4="Fluid"),((BF18*BF$51)/(BF$54)),IF(AND(Results!$E$4="Cells",Results!$E$5="Million",$B$52="million"),((BF18*BF$51)/(BF$52)),"0")))))</f>
        <v>9.0152999999999999</v>
      </c>
      <c r="BG71" s="20">
        <f>IF(BG18=0,"0",IF(AND(Results!$E$5="Protein",$C$53&gt;0,OR(Results!$E$4="Tissue",Results!$E$4="Cells")),((BG18*BG$51)/(BG$53)),IF(AND(Results!$E$5="Weight",$C$52&gt;0, Results!$E$4="Tissue",OR($B$52="g",$B$52="mg")),((BG18*BG$51)/(BG$52)),IF(AND(Results!$E$5="Volume",$C$54&gt;0,Results!$E$4="Fluid"),((BG18*BG$51)/(BG$54)),IF(AND(Results!$E$4="Cells",Results!$E$5="Million",$B$52="million"),((BG18*BG$51)/(BG$52)),"0")))))</f>
        <v>1.4133333333333336</v>
      </c>
      <c r="BH71" s="20">
        <f>IF(BH18=0,"0",IF(AND(Results!$E$5="Protein",$C$53&gt;0,OR(Results!$E$4="Tissue",Results!$E$4="Cells")),((BH18*BH$51)/(BH$53)),IF(AND(Results!$E$5="Weight",$C$52&gt;0, Results!$E$4="Tissue",OR($B$52="g",$B$52="mg")),((BH18*BH$51)/(BH$52)),IF(AND(Results!$E$5="Volume",$C$54&gt;0,Results!$E$4="Fluid"),((BH18*BH$51)/(BH$54)),IF(AND(Results!$E$4="Cells",Results!$E$5="Million",$B$52="million"),((BH18*BH$51)/(BH$52)),"0")))))</f>
        <v>16.243649999999999</v>
      </c>
      <c r="BI71" s="20">
        <f>IF(BI18=0,"0",IF(AND(Results!$E$5="Protein",$C$53&gt;0,OR(Results!$E$4="Tissue",Results!$E$4="Cells")),((BI18*BI$51)/(BI$53)),IF(AND(Results!$E$5="Weight",$C$52&gt;0, Results!$E$4="Tissue",OR($B$52="g",$B$52="mg")),((BI18*BI$51)/(BI$52)),IF(AND(Results!$E$5="Volume",$C$54&gt;0,Results!$E$4="Fluid"),((BI18*BI$51)/(BI$54)),IF(AND(Results!$E$4="Cells",Results!$E$5="Million",$B$52="million"),((BI18*BI$51)/(BI$52)),"0")))))</f>
        <v>29.8309</v>
      </c>
      <c r="BJ71" s="20">
        <f>IF(BJ18=0,"0",IF(AND(Results!$E$5="Protein",$C$53&gt;0,OR(Results!$E$4="Tissue",Results!$E$4="Cells")),((BJ18*BJ$51)/(BJ$53)),IF(AND(Results!$E$5="Weight",$C$52&gt;0, Results!$E$4="Tissue",OR($B$52="g",$B$52="mg")),((BJ18*BJ$51)/(BJ$52)),IF(AND(Results!$E$5="Volume",$C$54&gt;0,Results!$E$4="Fluid"),((BJ18*BJ$51)/(BJ$54)),IF(AND(Results!$E$4="Cells",Results!$E$5="Million",$B$52="million"),((BJ18*BJ$51)/(BJ$52)),"0")))))</f>
        <v>37.944383333333334</v>
      </c>
      <c r="BK71" s="20">
        <f>IF(BK18=0,"0",IF(AND(Results!$E$5="Protein",$C$53&gt;0,OR(Results!$E$4="Tissue",Results!$E$4="Cells")),((BK18*BK$51)/(BK$53)),IF(AND(Results!$E$5="Weight",$C$52&gt;0, Results!$E$4="Tissue",OR($B$52="g",$B$52="mg")),((BK18*BK$51)/(BK$52)),IF(AND(Results!$E$5="Volume",$C$54&gt;0,Results!$E$4="Fluid"),((BK18*BK$51)/(BK$54)),IF(AND(Results!$E$4="Cells",Results!$E$5="Million",$B$52="million"),((BK18*BK$51)/(BK$52)),"0")))))</f>
        <v>25.1311</v>
      </c>
      <c r="BL71" s="20">
        <f>IF(BL18=0,"0",IF(AND(Results!$E$5="Protein",$C$53&gt;0,OR(Results!$E$4="Tissue",Results!$E$4="Cells")),((BL18*BL$51)/(BL$53)),IF(AND(Results!$E$5="Weight",$C$52&gt;0, Results!$E$4="Tissue",OR($B$52="g",$B$52="mg")),((BL18*BL$51)/(BL$52)),IF(AND(Results!$E$5="Volume",$C$54&gt;0,Results!$E$4="Fluid"),((BL18*BL$51)/(BL$54)),IF(AND(Results!$E$4="Cells",Results!$E$5="Million",$B$52="million"),((BL18*BL$51)/(BL$52)),"0")))))</f>
        <v>258.91165000000001</v>
      </c>
      <c r="BM71" s="20">
        <f>IF(BM18=0,"0",IF(AND(Results!$E$5="Protein",$C$53&gt;0,OR(Results!$E$4="Tissue",Results!$E$4="Cells")),((BM18*BM$51)/(BM$53)),IF(AND(Results!$E$5="Weight",$C$52&gt;0, Results!$E$4="Tissue",OR($B$52="g",$B$52="mg")),((BM18*BM$51)/(BM$52)),IF(AND(Results!$E$5="Volume",$C$54&gt;0,Results!$E$4="Fluid"),((BM18*BM$51)/(BM$54)),IF(AND(Results!$E$4="Cells",Results!$E$5="Million",$B$52="million"),((BM18*BM$51)/(BM$52)),"0")))))</f>
        <v>229.25377142857141</v>
      </c>
      <c r="BN71" s="20">
        <f>IF(BN18=0,"0",IF(AND(Results!$E$5="Protein",$C$53&gt;0,OR(Results!$E$4="Tissue",Results!$E$4="Cells")),((BN18*BN$51)/(BN$53)),IF(AND(Results!$E$5="Weight",$C$52&gt;0, Results!$E$4="Tissue",OR($B$52="g",$B$52="mg")),((BN18*BN$51)/(BN$52)),IF(AND(Results!$E$5="Volume",$C$54&gt;0,Results!$E$4="Fluid"),((BN18*BN$51)/(BN$54)),IF(AND(Results!$E$4="Cells",Results!$E$5="Million",$B$52="million"),((BN18*BN$51)/(BN$52)),"0")))))</f>
        <v>258.38666666666666</v>
      </c>
      <c r="BO71" s="20">
        <f>IF(BO18=0,"0",IF(AND(Results!$E$5="Protein",$C$53&gt;0,OR(Results!$E$4="Tissue",Results!$E$4="Cells")),((BO18*BO$51)/(BO$53)),IF(AND(Results!$E$5="Weight",$C$52&gt;0, Results!$E$4="Tissue",OR($B$52="g",$B$52="mg")),((BO18*BO$51)/(BO$52)),IF(AND(Results!$E$5="Volume",$C$54&gt;0,Results!$E$4="Fluid"),((BO18*BO$51)/(BO$54)),IF(AND(Results!$E$4="Cells",Results!$E$5="Million",$B$52="million"),((BO18*BO$51)/(BO$52)),"0")))))</f>
        <v>142.79788333333332</v>
      </c>
      <c r="BP71" s="20">
        <f>IF(BP18=0,"0",IF(AND(Results!$E$5="Protein",$C$53&gt;0,OR(Results!$E$4="Tissue",Results!$E$4="Cells")),((BP18*BP$51)/(BP$53)),IF(AND(Results!$E$5="Weight",$C$52&gt;0, Results!$E$4="Tissue",OR($B$52="g",$B$52="mg")),((BP18*BP$51)/(BP$52)),IF(AND(Results!$E$5="Volume",$C$54&gt;0,Results!$E$4="Fluid"),((BP18*BP$51)/(BP$54)),IF(AND(Results!$E$4="Cells",Results!$E$5="Million",$B$52="million"),((BP18*BP$51)/(BP$52)),"0")))))</f>
        <v>136.25606666666667</v>
      </c>
      <c r="BQ71" s="20">
        <f>IF(BQ18=0,"0",IF(AND(Results!$E$5="Protein",$C$53&gt;0,OR(Results!$E$4="Tissue",Results!$E$4="Cells")),((BQ18*BQ$51)/(BQ$53)),IF(AND(Results!$E$5="Weight",$C$52&gt;0, Results!$E$4="Tissue",OR($B$52="g",$B$52="mg")),((BQ18*BQ$51)/(BQ$52)),IF(AND(Results!$E$5="Volume",$C$54&gt;0,Results!$E$4="Fluid"),((BQ18*BQ$51)/(BQ$54)),IF(AND(Results!$E$4="Cells",Results!$E$5="Million",$B$52="million"),((BQ18*BQ$51)/(BQ$52)),"0")))))</f>
        <v>33.309033333333332</v>
      </c>
      <c r="BR71" s="20">
        <f>IF(BR18=0,"0",IF(AND(Results!$E$5="Protein",$C$53&gt;0,OR(Results!$E$4="Tissue",Results!$E$4="Cells")),((BR18*BR$51)/(BR$53)),IF(AND(Results!$E$5="Weight",$C$52&gt;0, Results!$E$4="Tissue",OR($B$52="g",$B$52="mg")),((BR18*BR$51)/(BR$52)),IF(AND(Results!$E$5="Volume",$C$54&gt;0,Results!$E$4="Fluid"),((BR18*BR$51)/(BR$54)),IF(AND(Results!$E$4="Cells",Results!$E$5="Million",$B$52="million"),((BR18*BR$51)/(BR$52)),"0")))))</f>
        <v>9.6425714285714292</v>
      </c>
      <c r="BS71" s="20">
        <f>IF(BS18=0,"0",IF(AND(Results!$E$5="Protein",$C$53&gt;0,OR(Results!$E$4="Tissue",Results!$E$4="Cells")),((BS18*BS$51)/(BS$53)),IF(AND(Results!$E$5="Weight",$C$52&gt;0, Results!$E$4="Tissue",OR($B$52="g",$B$52="mg")),((BS18*BS$51)/(BS$52)),IF(AND(Results!$E$5="Volume",$C$54&gt;0,Results!$E$4="Fluid"),((BS18*BS$51)/(BS$54)),IF(AND(Results!$E$4="Cells",Results!$E$5="Million",$B$52="million"),((BS18*BS$51)/(BS$52)),"0")))))</f>
        <v>243.05183333333332</v>
      </c>
      <c r="BT71" s="20">
        <f>IF(BT18=0,"0",IF(AND(Results!$E$5="Protein",$C$53&gt;0,OR(Results!$E$4="Tissue",Results!$E$4="Cells")),((BT18*BT$51)/(BT$53)),IF(AND(Results!$E$5="Weight",$C$52&gt;0, Results!$E$4="Tissue",OR($B$52="g",$B$52="mg")),((BT18*BT$51)/(BT$52)),IF(AND(Results!$E$5="Volume",$C$54&gt;0,Results!$E$4="Fluid"),((BT18*BT$51)/(BT$54)),IF(AND(Results!$E$4="Cells",Results!$E$5="Million",$B$52="million"),((BT18*BT$51)/(BT$52)),"0")))))</f>
        <v>74.041250000000005</v>
      </c>
      <c r="BU71" s="20">
        <f>IF(BU18=0,"0",IF(AND(Results!$E$5="Protein",$C$53&gt;0,OR(Results!$E$4="Tissue",Results!$E$4="Cells")),((BU18*BU$51)/(BU$53)),IF(AND(Results!$E$5="Weight",$C$52&gt;0, Results!$E$4="Tissue",OR($B$52="g",$B$52="mg")),((BU18*BU$51)/(BU$52)),IF(AND(Results!$E$5="Volume",$C$54&gt;0,Results!$E$4="Fluid"),((BU18*BU$51)/(BU$54)),IF(AND(Results!$E$4="Cells",Results!$E$5="Million",$B$52="million"),((BU18*BU$51)/(BU$52)),"0")))))</f>
        <v>35.93085</v>
      </c>
      <c r="BV71" s="20">
        <f>IF(BV18=0,"0",IF(AND(Results!$E$5="Protein",$C$53&gt;0,OR(Results!$E$4="Tissue",Results!$E$4="Cells")),((BV18*BV$51)/(BV$53)),IF(AND(Results!$E$5="Weight",$C$52&gt;0, Results!$E$4="Tissue",OR($B$52="g",$B$52="mg")),((BV18*BV$51)/(BV$52)),IF(AND(Results!$E$5="Volume",$C$54&gt;0,Results!$E$4="Fluid"),((BV18*BV$51)/(BV$54)),IF(AND(Results!$E$4="Cells",Results!$E$5="Million",$B$52="million"),((BV18*BV$51)/(BV$52)),"0")))))</f>
        <v>36.27055</v>
      </c>
      <c r="BW71" s="20">
        <f>IF(BW18=0,"0",IF(AND(Results!$E$5="Protein",$C$53&gt;0,OR(Results!$E$4="Tissue",Results!$E$4="Cells")),((BW18*BW$51)/(BW$53)),IF(AND(Results!$E$5="Weight",$C$52&gt;0, Results!$E$4="Tissue",OR($B$52="g",$B$52="mg")),((BW18*BW$51)/(BW$52)),IF(AND(Results!$E$5="Volume",$C$54&gt;0,Results!$E$4="Fluid"),((BW18*BW$51)/(BW$54)),IF(AND(Results!$E$4="Cells",Results!$E$5="Million",$B$52="million"),((BW18*BW$51)/(BW$52)),"0")))))</f>
        <v>15.773099999999999</v>
      </c>
      <c r="BX71" s="20">
        <f>IF(BX18=0,"0",IF(AND(Results!$E$5="Protein",$C$53&gt;0,OR(Results!$E$4="Tissue",Results!$E$4="Cells")),((BX18*BX$51)/(BX$53)),IF(AND(Results!$E$5="Weight",$C$52&gt;0, Results!$E$4="Tissue",OR($B$52="g",$B$52="mg")),((BX18*BX$51)/(BX$52)),IF(AND(Results!$E$5="Volume",$C$54&gt;0,Results!$E$4="Fluid"),((BX18*BX$51)/(BX$54)),IF(AND(Results!$E$4="Cells",Results!$E$5="Million",$B$52="million"),((BX18*BX$51)/(BX$52)),"0")))))</f>
        <v>4.3901833333333338</v>
      </c>
      <c r="BY71" s="20">
        <f>IF(BY18=0,"0",IF(AND(Results!$E$5="Protein",$C$53&gt;0,OR(Results!$E$4="Tissue",Results!$E$4="Cells")),((BY18*BY$51)/(BY$53)),IF(AND(Results!$E$5="Weight",$C$52&gt;0, Results!$E$4="Tissue",OR($B$52="g",$B$52="mg")),((BY18*BY$51)/(BY$52)),IF(AND(Results!$E$5="Volume",$C$54&gt;0,Results!$E$4="Fluid"),((BY18*BY$51)/(BY$54)),IF(AND(Results!$E$4="Cells",Results!$E$5="Million",$B$52="million"),((BY18*BY$51)/(BY$52)),"0")))))</f>
        <v>48.254466666666666</v>
      </c>
      <c r="BZ71" s="20">
        <f>IF(BZ18=0,"0",IF(AND(Results!$E$5="Protein",$C$53&gt;0,OR(Results!$E$4="Tissue",Results!$E$4="Cells")),((BZ18*BZ$51)/(BZ$53)),IF(AND(Results!$E$5="Weight",$C$52&gt;0, Results!$E$4="Tissue",OR($B$52="g",$B$52="mg")),((BZ18*BZ$51)/(BZ$52)),IF(AND(Results!$E$5="Volume",$C$54&gt;0,Results!$E$4="Fluid"),((BZ18*BZ$51)/(BZ$54)),IF(AND(Results!$E$4="Cells",Results!$E$5="Million",$B$52="million"),((BZ18*BZ$51)/(BZ$52)),"0")))))</f>
        <v>24.431049999999995</v>
      </c>
      <c r="CA71" s="20">
        <f>IF(CA18=0,"0",IF(AND(Results!$E$5="Protein",$C$53&gt;0,OR(Results!$E$4="Tissue",Results!$E$4="Cells")),((CA18*CA$51)/(CA$53)),IF(AND(Results!$E$5="Weight",$C$52&gt;0, Results!$E$4="Tissue",OR($B$52="g",$B$52="mg")),((CA18*CA$51)/(CA$52)),IF(AND(Results!$E$5="Volume",$C$54&gt;0,Results!$E$4="Fluid"),((CA18*CA$51)/(CA$54)),IF(AND(Results!$E$4="Cells",Results!$E$5="Million",$B$52="million"),((CA18*CA$51)/(CA$52)),"0")))))</f>
        <v>20.681449999999998</v>
      </c>
      <c r="CB71" s="20">
        <f>IF(CB18=0,"0",IF(AND(Results!$E$5="Protein",$C$53&gt;0,OR(Results!$E$4="Tissue",Results!$E$4="Cells")),((CB18*CB$51)/(CB$53)),IF(AND(Results!$E$5="Weight",$C$52&gt;0, Results!$E$4="Tissue",OR($B$52="g",$B$52="mg")),((CB18*CB$51)/(CB$52)),IF(AND(Results!$E$5="Volume",$C$54&gt;0,Results!$E$4="Fluid"),((CB18*CB$51)/(CB$54)),IF(AND(Results!$E$4="Cells",Results!$E$5="Million",$B$52="million"),((CB18*CB$51)/(CB$52)),"0")))))</f>
        <v>8.5188500000000005</v>
      </c>
      <c r="CC71" s="20">
        <f>IF(CC18=0,"0",IF(AND(Results!$E$5="Protein",$C$53&gt;0,OR(Results!$E$4="Tissue",Results!$E$4="Cells")),((CC18*CC$51)/(CC$53)),IF(AND(Results!$E$5="Weight",$C$52&gt;0, Results!$E$4="Tissue",OR($B$52="g",$B$52="mg")),((CC18*CC$51)/(CC$52)),IF(AND(Results!$E$5="Volume",$C$54&gt;0,Results!$E$4="Fluid"),((CC18*CC$51)/(CC$54)),IF(AND(Results!$E$4="Cells",Results!$E$5="Million",$B$52="million"),((CC18*CC$51)/(CC$52)),"0")))))</f>
        <v>13.411966666666668</v>
      </c>
      <c r="CD71" s="20">
        <f>IF(CD18=0,"0",IF(AND(Results!$E$5="Protein",$C$53&gt;0,OR(Results!$E$4="Tissue",Results!$E$4="Cells")),((CD18*CD$51)/(CD$53)),IF(AND(Results!$E$5="Weight",$C$52&gt;0, Results!$E$4="Tissue",OR($B$52="g",$B$52="mg")),((CD18*CD$51)/(CD$52)),IF(AND(Results!$E$5="Volume",$C$54&gt;0,Results!$E$4="Fluid"),((CD18*CD$51)/(CD$54)),IF(AND(Results!$E$4="Cells",Results!$E$5="Million",$B$52="million"),((CD18*CD$51)/(CD$52)),"0")))))</f>
        <v>5.6875999999999998</v>
      </c>
      <c r="CE71" s="20">
        <f>IF(CE18=0,"0",IF(AND(Results!$E$5="Protein",$C$53&gt;0,OR(Results!$E$4="Tissue",Results!$E$4="Cells")),((CE18*CE$51)/(CE$53)),IF(AND(Results!$E$5="Weight",$C$52&gt;0, Results!$E$4="Tissue",OR($B$52="g",$B$52="mg")),((CE18*CE$51)/(CE$52)),IF(AND(Results!$E$5="Volume",$C$54&gt;0,Results!$E$4="Fluid"),((CE18*CE$51)/(CE$54)),IF(AND(Results!$E$4="Cells",Results!$E$5="Million",$B$52="million"),((CE18*CE$51)/(CE$52)),"0")))))</f>
        <v>46.346216666666663</v>
      </c>
      <c r="CF71" s="20">
        <f>IF(CF18=0,"0",IF(AND(Results!$E$5="Protein",$C$53&gt;0,OR(Results!$E$4="Tissue",Results!$E$4="Cells")),((CF18*CF$51)/(CF$53)),IF(AND(Results!$E$5="Weight",$C$52&gt;0, Results!$E$4="Tissue",OR($B$52="g",$B$52="mg")),((CF18*CF$51)/(CF$52)),IF(AND(Results!$E$5="Volume",$C$54&gt;0,Results!$E$4="Fluid"),((CF18*CF$51)/(CF$54)),IF(AND(Results!$E$4="Cells",Results!$E$5="Million",$B$52="million"),((CF18*CF$51)/(CF$52)),"0")))))</f>
        <v>3.4651666666666667</v>
      </c>
      <c r="CG71" s="20">
        <f>IF(CG18=0,"0",IF(AND(Results!$E$5="Protein",$C$53&gt;0,OR(Results!$E$4="Tissue",Results!$E$4="Cells")),((CG18*CG$51)/(CG$53)),IF(AND(Results!$E$5="Weight",$C$52&gt;0, Results!$E$4="Tissue",OR($B$52="g",$B$52="mg")),((CG18*CG$51)/(CG$52)),IF(AND(Results!$E$5="Volume",$C$54&gt;0,Results!$E$4="Fluid"),((CG18*CG$51)/(CG$54)),IF(AND(Results!$E$4="Cells",Results!$E$5="Million",$B$52="million"),((CG18*CG$51)/(CG$52)),"0")))))</f>
        <v>4.3594166666666663</v>
      </c>
      <c r="CH71" s="20">
        <f>IF(CH18=0,"0",IF(AND(Results!$E$5="Protein",$C$53&gt;0,OR(Results!$E$4="Tissue",Results!$E$4="Cells")),((CH18*CH$51)/(CH$53)),IF(AND(Results!$E$5="Weight",$C$52&gt;0, Results!$E$4="Tissue",OR($B$52="g",$B$52="mg")),((CH18*CH$51)/(CH$52)),IF(AND(Results!$E$5="Volume",$C$54&gt;0,Results!$E$4="Fluid"),((CH18*CH$51)/(CH$54)),IF(AND(Results!$E$4="Cells",Results!$E$5="Million",$B$52="million"),((CH18*CH$51)/(CH$52)),"0")))))</f>
        <v>3.4619666666666666</v>
      </c>
      <c r="CI71" s="20">
        <f>IF(CI18=0,"0",IF(AND(Results!$E$5="Protein",$C$53&gt;0,OR(Results!$E$4="Tissue",Results!$E$4="Cells")),((CI18*CI$51)/(CI$53)),IF(AND(Results!$E$5="Weight",$C$52&gt;0, Results!$E$4="Tissue",OR($B$52="g",$B$52="mg")),((CI18*CI$51)/(CI$52)),IF(AND(Results!$E$5="Volume",$C$54&gt;0,Results!$E$4="Fluid"),((CI18*CI$51)/(CI$54)),IF(AND(Results!$E$4="Cells",Results!$E$5="Million",$B$52="million"),((CI18*CI$51)/(CI$52)),"0")))))</f>
        <v>14.682600000000001</v>
      </c>
      <c r="CJ71" s="20">
        <f>IF(CJ18=0,"0",IF(AND(Results!$E$5="Protein",$C$53&gt;0,OR(Results!$E$4="Tissue",Results!$E$4="Cells")),((CJ18*CJ$51)/(CJ$53)),IF(AND(Results!$E$5="Weight",$C$52&gt;0, Results!$E$4="Tissue",OR($B$52="g",$B$52="mg")),((CJ18*CJ$51)/(CJ$52)),IF(AND(Results!$E$5="Volume",$C$54&gt;0,Results!$E$4="Fluid"),((CJ18*CJ$51)/(CJ$54)),IF(AND(Results!$E$4="Cells",Results!$E$5="Million",$B$52="million"),((CJ18*CJ$51)/(CJ$52)),"0")))))</f>
        <v>4.3516000000000004</v>
      </c>
      <c r="CK71" s="20">
        <f>IF(CK18=0,"0",IF(AND(Results!$E$5="Protein",$C$53&gt;0,OR(Results!$E$4="Tissue",Results!$E$4="Cells")),((CK18*CK$51)/(CK$53)),IF(AND(Results!$E$5="Weight",$C$52&gt;0, Results!$E$4="Tissue",OR($B$52="g",$B$52="mg")),((CK18*CK$51)/(CK$52)),IF(AND(Results!$E$5="Volume",$C$54&gt;0,Results!$E$4="Fluid"),((CK18*CK$51)/(CK$54)),IF(AND(Results!$E$4="Cells",Results!$E$5="Million",$B$52="million"),((CK18*CK$51)/(CK$52)),"0")))))</f>
        <v>6.1311666666666671</v>
      </c>
      <c r="CL71" s="20">
        <f>IF(CL18=0,"0",IF(AND(Results!$E$5="Protein",$C$53&gt;0,OR(Results!$E$4="Tissue",Results!$E$4="Cells")),((CL18*CL$51)/(CL$53)),IF(AND(Results!$E$5="Weight",$C$52&gt;0, Results!$E$4="Tissue",OR($B$52="g",$B$52="mg")),((CL18*CL$51)/(CL$52)),IF(AND(Results!$E$5="Volume",$C$54&gt;0,Results!$E$4="Fluid"),((CL18*CL$51)/(CL$54)),IF(AND(Results!$E$4="Cells",Results!$E$5="Million",$B$52="million"),((CL18*CL$51)/(CL$52)),"0")))))</f>
        <v>12.245216666666666</v>
      </c>
      <c r="CM71" s="20">
        <f>IF(CM18=0,"0",IF(AND(Results!$E$5="Protein",$C$53&gt;0,OR(Results!$E$4="Tissue",Results!$E$4="Cells")),((CM18*CM$51)/(CM$53)),IF(AND(Results!$E$5="Weight",$C$52&gt;0, Results!$E$4="Tissue",OR($B$52="g",$B$52="mg")),((CM18*CM$51)/(CM$52)),IF(AND(Results!$E$5="Volume",$C$54&gt;0,Results!$E$4="Fluid"),((CM18*CM$51)/(CM$54)),IF(AND(Results!$E$4="Cells",Results!$E$5="Million",$B$52="million"),((CM18*CM$51)/(CM$52)),"0")))))</f>
        <v>7.6308333333333325</v>
      </c>
      <c r="CN71" s="20">
        <f>IF(CN18=0,"0",IF(AND(Results!$E$5="Protein",$C$53&gt;0,OR(Results!$E$4="Tissue",Results!$E$4="Cells")),((CN18*CN$51)/(CN$53)),IF(AND(Results!$E$5="Weight",$C$52&gt;0, Results!$E$4="Tissue",OR($B$52="g",$B$52="mg")),((CN18*CN$51)/(CN$52)),IF(AND(Results!$E$5="Volume",$C$54&gt;0,Results!$E$4="Fluid"),((CN18*CN$51)/(CN$54)),IF(AND(Results!$E$4="Cells",Results!$E$5="Million",$B$52="million"),((CN18*CN$51)/(CN$52)),"0")))))</f>
        <v>3.1765666666666665</v>
      </c>
      <c r="CO71" s="20">
        <f>IF(CO18=0,"0",IF(AND(Results!$E$5="Protein",$C$53&gt;0,OR(Results!$E$4="Tissue",Results!$E$4="Cells")),((CO18*CO$51)/(CO$53)),IF(AND(Results!$E$5="Weight",$C$52&gt;0, Results!$E$4="Tissue",OR($B$52="g",$B$52="mg")),((CO18*CO$51)/(CO$52)),IF(AND(Results!$E$5="Volume",$C$54&gt;0,Results!$E$4="Fluid"),((CO18*CO$51)/(CO$54)),IF(AND(Results!$E$4="Cells",Results!$E$5="Million",$B$52="million"),((CO18*CO$51)/(CO$52)),"0")))))</f>
        <v>6.6954333333333329</v>
      </c>
      <c r="CP71" s="20">
        <f>IF(CP18=0,"0",IF(AND(Results!$E$5="Protein",$C$53&gt;0,OR(Results!$E$4="Tissue",Results!$E$4="Cells")),((CP18*CP$51)/(CP$53)),IF(AND(Results!$E$5="Weight",$C$52&gt;0, Results!$E$4="Tissue",OR($B$52="g",$B$52="mg")),((CP18*CP$51)/(CP$52)),IF(AND(Results!$E$5="Volume",$C$54&gt;0,Results!$E$4="Fluid"),((CP18*CP$51)/(CP$54)),IF(AND(Results!$E$4="Cells",Results!$E$5="Million",$B$52="million"),((CP18*CP$51)/(CP$52)),"0")))))</f>
        <v>10.226166666666666</v>
      </c>
      <c r="CQ71" s="20">
        <f>IF(CQ18=0,"0",IF(AND(Results!$E$5="Protein",$C$53&gt;0,OR(Results!$E$4="Tissue",Results!$E$4="Cells")),((CQ18*CQ$51)/(CQ$53)),IF(AND(Results!$E$5="Weight",$C$52&gt;0, Results!$E$4="Tissue",OR($B$52="g",$B$52="mg")),((CQ18*CQ$51)/(CQ$52)),IF(AND(Results!$E$5="Volume",$C$54&gt;0,Results!$E$4="Fluid"),((CQ18*CQ$51)/(CQ$54)),IF(AND(Results!$E$4="Cells",Results!$E$5="Million",$B$52="million"),((CQ18*CQ$51)/(CQ$52)),"0")))))</f>
        <v>17.604966666666666</v>
      </c>
      <c r="CR71" s="20">
        <f>IF(CR18=0,"0",IF(AND(Results!$E$5="Protein",$C$53&gt;0,OR(Results!$E$4="Tissue",Results!$E$4="Cells")),((CR18*CR$51)/(CR$53)),IF(AND(Results!$E$5="Weight",$C$52&gt;0, Results!$E$4="Tissue",OR($B$52="g",$B$52="mg")),((CR18*CR$51)/(CR$52)),IF(AND(Results!$E$5="Volume",$C$54&gt;0,Results!$E$4="Fluid"),((CR18*CR$51)/(CR$54)),IF(AND(Results!$E$4="Cells",Results!$E$5="Million",$B$52="million"),((CR18*CR$51)/(CR$52)),"0")))))</f>
        <v>14.423533333333333</v>
      </c>
      <c r="CS71" s="20">
        <f>IF(CS18=0,"0",IF(AND(Results!$E$5="Protein",$C$53&gt;0,OR(Results!$E$4="Tissue",Results!$E$4="Cells")),((CS18*CS$51)/(CS$53)),IF(AND(Results!$E$5="Weight",$C$52&gt;0, Results!$E$4="Tissue",OR($B$52="g",$B$52="mg")),((CS18*CS$51)/(CS$52)),IF(AND(Results!$E$5="Volume",$C$54&gt;0,Results!$E$4="Fluid"),((CS18*CS$51)/(CS$54)),IF(AND(Results!$E$4="Cells",Results!$E$5="Million",$B$52="million"),((CS18*CS$51)/(CS$52)),"0")))))</f>
        <v>5.0686833333333334</v>
      </c>
      <c r="CT71" s="20">
        <f>IF(CT18=0,"0",IF(AND(Results!$E$5="Protein",$C$53&gt;0,OR(Results!$E$4="Tissue",Results!$E$4="Cells")),((CT18*CT$51)/(CT$53)),IF(AND(Results!$E$5="Weight",$C$52&gt;0, Results!$E$4="Tissue",OR($B$52="g",$B$52="mg")),((CT18*CT$51)/(CT$52)),IF(AND(Results!$E$5="Volume",$C$54&gt;0,Results!$E$4="Fluid"),((CT18*CT$51)/(CT$54)),IF(AND(Results!$E$4="Cells",Results!$E$5="Million",$B$52="million"),((CT18*CT$51)/(CT$52)),"0")))))</f>
        <v>4.6686666666666667</v>
      </c>
      <c r="CU71" s="20">
        <f>IF(CU18=0,"0",IF(AND(Results!$E$5="Protein",$C$53&gt;0,OR(Results!$E$4="Tissue",Results!$E$4="Cells")),((CU18*CU$51)/(CU$53)),IF(AND(Results!$E$5="Weight",$C$52&gt;0, Results!$E$4="Tissue",OR($B$52="g",$B$52="mg")),((CU18*CU$51)/(CU$52)),IF(AND(Results!$E$5="Volume",$C$54&gt;0,Results!$E$4="Fluid"),((CU18*CU$51)/(CU$54)),IF(AND(Results!$E$4="Cells",Results!$E$5="Million",$B$52="million"),((CU18*CU$51)/(CU$52)),"0")))))</f>
        <v>10.534233333333333</v>
      </c>
      <c r="CV71" s="20">
        <f>IF(CV18=0,"0",IF(AND(Results!$E$5="Protein",$C$53&gt;0,OR(Results!$E$4="Tissue",Results!$E$4="Cells")),((CV18*CV$51)/(CV$53)),IF(AND(Results!$E$5="Weight",$C$52&gt;0, Results!$E$4="Tissue",OR($B$52="g",$B$52="mg")),((CV18*CV$51)/(CV$52)),IF(AND(Results!$E$5="Volume",$C$54&gt;0,Results!$E$4="Fluid"),((CV18*CV$51)/(CV$54)),IF(AND(Results!$E$4="Cells",Results!$E$5="Million",$B$52="million"),((CV18*CV$51)/(CV$52)),"0")))))</f>
        <v>10.077833333333333</v>
      </c>
      <c r="CW71" s="20">
        <f>IF(CW18=0,"0",IF(AND(Results!$E$5="Protein",$C$53&gt;0,OR(Results!$E$4="Tissue",Results!$E$4="Cells")),((CW18*CW$51)/(CW$53)),IF(AND(Results!$E$5="Weight",$C$52&gt;0, Results!$E$4="Tissue",OR($B$52="g",$B$52="mg")),((CW18*CW$51)/(CW$52)),IF(AND(Results!$E$5="Volume",$C$54&gt;0,Results!$E$4="Fluid"),((CW18*CW$51)/(CW$54)),IF(AND(Results!$E$4="Cells",Results!$E$5="Million",$B$52="million"),((CW18*CW$51)/(CW$52)),"0")))))</f>
        <v>6.6107833333333339</v>
      </c>
      <c r="CX71" s="20">
        <f>IF(CX18=0,"0",IF(AND(Results!$E$5="Protein",$C$53&gt;0,OR(Results!$E$4="Tissue",Results!$E$4="Cells")),((CX18*CX$51)/(CX$53)),IF(AND(Results!$E$5="Weight",$C$52&gt;0, Results!$E$4="Tissue",OR($B$52="g",$B$52="mg")),((CX18*CX$51)/(CX$52)),IF(AND(Results!$E$5="Volume",$C$54&gt;0,Results!$E$4="Fluid"),((CX18*CX$51)/(CX$54)),IF(AND(Results!$E$4="Cells",Results!$E$5="Million",$B$52="million"),((CX18*CX$51)/(CX$52)),"0")))))</f>
        <v>2.1109833333333334</v>
      </c>
      <c r="CY71" s="20">
        <f>IF(CY18=0,"0",IF(AND(Results!$E$5="Protein",$C$53&gt;0,OR(Results!$E$4="Tissue",Results!$E$4="Cells")),((CY18*CY$51)/(CY$53)),IF(AND(Results!$E$5="Weight",$C$52&gt;0, Results!$E$4="Tissue",OR($B$52="g",$B$52="mg")),((CY18*CY$51)/(CY$52)),IF(AND(Results!$E$5="Volume",$C$54&gt;0,Results!$E$4="Fluid"),((CY18*CY$51)/(CY$54)),IF(AND(Results!$E$4="Cells",Results!$E$5="Million",$B$52="million"),((CY18*CY$51)/(CY$52)),"0")))))</f>
        <v>6.8549500000000005</v>
      </c>
      <c r="CZ71" s="20">
        <f>IF(CZ18=0,"0",IF(AND(Results!$E$5="Protein",$C$53&gt;0,OR(Results!$E$4="Tissue",Results!$E$4="Cells")),((CZ18*CZ$51)/(CZ$53)),IF(AND(Results!$E$5="Weight",$C$52&gt;0, Results!$E$4="Tissue",OR($B$52="g",$B$52="mg")),((CZ18*CZ$51)/(CZ$52)),IF(AND(Results!$E$5="Volume",$C$54&gt;0,Results!$E$4="Fluid"),((CZ18*CZ$51)/(CZ$54)),IF(AND(Results!$E$4="Cells",Results!$E$5="Million",$B$52="million"),((CZ18*CZ$51)/(CZ$52)),"0")))))</f>
        <v>2.4981333333333335</v>
      </c>
      <c r="DA71" s="20">
        <f>IF(DA18=0,"0",IF(AND(Results!$E$5="Protein",$C$53&gt;0,OR(Results!$E$4="Tissue",Results!$E$4="Cells")),((DA18*DA$51)/(DA$53)),IF(AND(Results!$E$5="Weight",$C$52&gt;0, Results!$E$4="Tissue",OR($B$52="g",$B$52="mg")),((DA18*DA$51)/(DA$52)),IF(AND(Results!$E$5="Volume",$C$54&gt;0,Results!$E$4="Fluid"),((DA18*DA$51)/(DA$54)),IF(AND(Results!$E$4="Cells",Results!$E$5="Million",$B$52="million"),((DA18*DA$51)/(DA$52)),"0")))))</f>
        <v>2.4120833333333334</v>
      </c>
      <c r="DB71" s="20">
        <f>IF(DB18=0,"0",IF(AND(Results!$E$5="Protein",$C$53&gt;0,OR(Results!$E$4="Tissue",Results!$E$4="Cells")),((DB18*DB$51)/(DB$53)),IF(AND(Results!$E$5="Weight",$C$52&gt;0, Results!$E$4="Tissue",OR($B$52="g",$B$52="mg")),((DB18*DB$51)/(DB$52)),IF(AND(Results!$E$5="Volume",$C$54&gt;0,Results!$E$4="Fluid"),((DB18*DB$51)/(DB$54)),IF(AND(Results!$E$4="Cells",Results!$E$5="Million",$B$52="million"),((DB18*DB$51)/(DB$52)),"0")))))</f>
        <v>15.348050000000001</v>
      </c>
      <c r="DC71" s="20">
        <f>IF(DC18=0,"0",IF(AND(Results!$E$5="Protein",$C$53&gt;0,OR(Results!$E$4="Tissue",Results!$E$4="Cells")),((DC18*DC$51)/(DC$53)),IF(AND(Results!$E$5="Weight",$C$52&gt;0, Results!$E$4="Tissue",OR($B$52="g",$B$52="mg")),((DC18*DC$51)/(DC$52)),IF(AND(Results!$E$5="Volume",$C$54&gt;0,Results!$E$4="Fluid"),((DC18*DC$51)/(DC$54)),IF(AND(Results!$E$4="Cells",Results!$E$5="Million",$B$52="million"),((DC18*DC$51)/(DC$52)),"0")))))</f>
        <v>9.7645500000000016</v>
      </c>
      <c r="DD71" s="20">
        <f>IF(DD18=0,"0",IF(AND(Results!$E$5="Protein",$C$53&gt;0,OR(Results!$E$4="Tissue",Results!$E$4="Cells")),((DD18*DD$51)/(DD$53)),IF(AND(Results!$E$5="Weight",$C$52&gt;0, Results!$E$4="Tissue",OR($B$52="g",$B$52="mg")),((DD18*DD$51)/(DD$52)),IF(AND(Results!$E$5="Volume",$C$54&gt;0,Results!$E$4="Fluid"),((DD18*DD$51)/(DD$54)),IF(AND(Results!$E$4="Cells",Results!$E$5="Million",$B$52="million"),((DD18*DD$51)/(DD$52)),"0")))))</f>
        <v>9.8413000000000004</v>
      </c>
      <c r="DE71" s="20">
        <f>IF(DE18=0,"0",IF(AND(Results!$E$5="Protein",$C$53&gt;0,OR(Results!$E$4="Tissue",Results!$E$4="Cells")),((DE18*DE$51)/(DE$53)),IF(AND(Results!$E$5="Weight",$C$52&gt;0, Results!$E$4="Tissue",OR($B$52="g",$B$52="mg")),((DE18*DE$51)/(DE$52)),IF(AND(Results!$E$5="Volume",$C$54&gt;0,Results!$E$4="Fluid"),((DE18*DE$51)/(DE$54)),IF(AND(Results!$E$4="Cells",Results!$E$5="Million",$B$52="million"),((DE18*DE$51)/(DE$52)),"0")))))</f>
        <v>8.2931499999999989</v>
      </c>
      <c r="DF71" s="20">
        <f>IF(DF18=0,"0",IF(AND(Results!$E$5="Protein",$C$53&gt;0,OR(Results!$E$4="Tissue",Results!$E$4="Cells")),((DF18*DF$51)/(DF$53)),IF(AND(Results!$E$5="Weight",$C$52&gt;0, Results!$E$4="Tissue",OR($B$52="g",$B$52="mg")),((DF18*DF$51)/(DF$52)),IF(AND(Results!$E$5="Volume",$C$54&gt;0,Results!$E$4="Fluid"),((DF18*DF$51)/(DF$54)),IF(AND(Results!$E$4="Cells",Results!$E$5="Million",$B$52="million"),((DF18*DF$51)/(DF$52)),"0")))))</f>
        <v>6.5299333333333331</v>
      </c>
      <c r="DG71" s="20">
        <f>IF(DG18=0,"0",IF(AND(Results!$E$5="Protein",$C$53&gt;0,OR(Results!$E$4="Tissue",Results!$E$4="Cells")),((DG18*DG$51)/(DG$53)),IF(AND(Results!$E$5="Weight",$C$52&gt;0, Results!$E$4="Tissue",OR($B$52="g",$B$52="mg")),((DG18*DG$51)/(DG$52)),IF(AND(Results!$E$5="Volume",$C$54&gt;0,Results!$E$4="Fluid"),((DG18*DG$51)/(DG$54)),IF(AND(Results!$E$4="Cells",Results!$E$5="Million",$B$52="million"),((DG18*DG$51)/(DG$52)),"0")))))</f>
        <v>15.088516666666665</v>
      </c>
      <c r="DH71" s="20">
        <f>IF(DH18=0,"0",IF(AND(Results!$E$5="Protein",$C$53&gt;0,OR(Results!$E$4="Tissue",Results!$E$4="Cells")),((DH18*DH$51)/(DH$53)),IF(AND(Results!$E$5="Weight",$C$52&gt;0, Results!$E$4="Tissue",OR($B$52="g",$B$52="mg")),((DH18*DH$51)/(DH$52)),IF(AND(Results!$E$5="Volume",$C$54&gt;0,Results!$E$4="Fluid"),((DH18*DH$51)/(DH$54)),IF(AND(Results!$E$4="Cells",Results!$E$5="Million",$B$52="million"),((DH18*DH$51)/(DH$52)),"0")))))</f>
        <v>1.7356833333333332</v>
      </c>
      <c r="DI71" s="20">
        <f>IF(DI18=0,"0",IF(AND(Results!$E$5="Protein",$C$53&gt;0,OR(Results!$E$4="Tissue",Results!$E$4="Cells")),((DI18*DI$51)/(DI$53)),IF(AND(Results!$E$5="Weight",$C$52&gt;0, Results!$E$4="Tissue",OR($B$52="g",$B$52="mg")),((DI18*DI$51)/(DI$52)),IF(AND(Results!$E$5="Volume",$C$54&gt;0,Results!$E$4="Fluid"),((DI18*DI$51)/(DI$54)),IF(AND(Results!$E$4="Cells",Results!$E$5="Million",$B$52="million"),((DI18*DI$51)/(DI$52)),"0")))))</f>
        <v>6.7020333333333335</v>
      </c>
      <c r="DJ71" s="20">
        <f>IF(DJ18=0,"0",IF(AND(Results!$E$5="Protein",$C$53&gt;0,OR(Results!$E$4="Tissue",Results!$E$4="Cells")),((DJ18*DJ$51)/(DJ$53)),IF(AND(Results!$E$5="Weight",$C$52&gt;0, Results!$E$4="Tissue",OR($B$52="g",$B$52="mg")),((DJ18*DJ$51)/(DJ$52)),IF(AND(Results!$E$5="Volume",$C$54&gt;0,Results!$E$4="Fluid"),((DJ18*DJ$51)/(DJ$54)),IF(AND(Results!$E$4="Cells",Results!$E$5="Million",$B$52="million"),((DJ18*DJ$51)/(DJ$52)),"0")))))</f>
        <v>18.423199999999998</v>
      </c>
      <c r="DK71" s="20">
        <f>IF(DK18=0,"0",IF(AND(Results!$E$5="Protein",$C$53&gt;0,OR(Results!$E$4="Tissue",Results!$E$4="Cells")),((DK18*DK$51)/(DK$53)),IF(AND(Results!$E$5="Weight",$C$52&gt;0, Results!$E$4="Tissue",OR($B$52="g",$B$52="mg")),((DK18*DK$51)/(DK$52)),IF(AND(Results!$E$5="Volume",$C$54&gt;0,Results!$E$4="Fluid"),((DK18*DK$51)/(DK$54)),IF(AND(Results!$E$4="Cells",Results!$E$5="Million",$B$52="million"),((DK18*DK$51)/(DK$52)),"0")))))</f>
        <v>18.30855</v>
      </c>
      <c r="DL71" s="20">
        <f>IF(DL18=0,"0",IF(AND(Results!$E$5="Protein",$C$53&gt;0,OR(Results!$E$4="Tissue",Results!$E$4="Cells")),((DL18*DL$51)/(DL$53)),IF(AND(Results!$E$5="Weight",$C$52&gt;0, Results!$E$4="Tissue",OR($B$52="g",$B$52="mg")),((DL18*DL$51)/(DL$52)),IF(AND(Results!$E$5="Volume",$C$54&gt;0,Results!$E$4="Fluid"),((DL18*DL$51)/(DL$54)),IF(AND(Results!$E$4="Cells",Results!$E$5="Million",$B$52="million"),((DL18*DL$51)/(DL$52)),"0")))))</f>
        <v>4.4598500000000003</v>
      </c>
      <c r="DM71" s="20">
        <f>IF(DM18=0,"0",IF(AND(Results!$E$5="Protein",$C$53&gt;0,OR(Results!$E$4="Tissue",Results!$E$4="Cells")),((DM18*DM$51)/(DM$53)),IF(AND(Results!$E$5="Weight",$C$52&gt;0, Results!$E$4="Tissue",OR($B$52="g",$B$52="mg")),((DM18*DM$51)/(DM$52)),IF(AND(Results!$E$5="Volume",$C$54&gt;0,Results!$E$4="Fluid"),((DM18*DM$51)/(DM$54)),IF(AND(Results!$E$4="Cells",Results!$E$5="Million",$B$52="million"),((DM18*DM$51)/(DM$52)),"0")))))</f>
        <v>10.7155</v>
      </c>
      <c r="DN71" s="20">
        <f>IF(DN18=0,"0",IF(AND(Results!$E$5="Protein",$C$53&gt;0,OR(Results!$E$4="Tissue",Results!$E$4="Cells")),((DN18*DN$51)/(DN$53)),IF(AND(Results!$E$5="Weight",$C$52&gt;0, Results!$E$4="Tissue",OR($B$52="g",$B$52="mg")),((DN18*DN$51)/(DN$52)),IF(AND(Results!$E$5="Volume",$C$54&gt;0,Results!$E$4="Fluid"),((DN18*DN$51)/(DN$54)),IF(AND(Results!$E$4="Cells",Results!$E$5="Million",$B$52="million"),((DN18*DN$51)/(DN$52)),"0")))))</f>
        <v>21.414550000000002</v>
      </c>
      <c r="DO71" s="20">
        <f>IF(DO18=0,"0",IF(AND(Results!$E$5="Protein",$C$53&gt;0,OR(Results!$E$4="Tissue",Results!$E$4="Cells")),((DO18*DO$51)/(DO$53)),IF(AND(Results!$E$5="Weight",$C$52&gt;0, Results!$E$4="Tissue",OR($B$52="g",$B$52="mg")),((DO18*DO$51)/(DO$52)),IF(AND(Results!$E$5="Volume",$C$54&gt;0,Results!$E$4="Fluid"),((DO18*DO$51)/(DO$54)),IF(AND(Results!$E$4="Cells",Results!$E$5="Million",$B$52="million"),((DO18*DO$51)/(DO$52)),"0")))))</f>
        <v>20.809816666666666</v>
      </c>
      <c r="DP71" s="20">
        <f>IF(DP18=0,"0",IF(AND(Results!$E$5="Protein",$C$53&gt;0,OR(Results!$E$4="Tissue",Results!$E$4="Cells")),((DP18*DP$51)/(DP$53)),IF(AND(Results!$E$5="Weight",$C$52&gt;0, Results!$E$4="Tissue",OR($B$52="g",$B$52="mg")),((DP18*DP$51)/(DP$52)),IF(AND(Results!$E$5="Volume",$C$54&gt;0,Results!$E$4="Fluid"),((DP18*DP$51)/(DP$54)),IF(AND(Results!$E$4="Cells",Results!$E$5="Million",$B$52="million"),((DP18*DP$51)/(DP$52)),"0")))))</f>
        <v>3.4028666666666672</v>
      </c>
      <c r="DQ71" s="20">
        <f>IF(DQ18=0,"0",IF(AND(Results!$E$5="Protein",$C$53&gt;0,OR(Results!$E$4="Tissue",Results!$E$4="Cells")),((DQ18*DQ$51)/(DQ$53)),IF(AND(Results!$E$5="Weight",$C$52&gt;0, Results!$E$4="Tissue",OR($B$52="g",$B$52="mg")),((DQ18*DQ$51)/(DQ$52)),IF(AND(Results!$E$5="Volume",$C$54&gt;0,Results!$E$4="Fluid"),((DQ18*DQ$51)/(DQ$54)),IF(AND(Results!$E$4="Cells",Results!$E$5="Million",$B$52="million"),((DQ18*DQ$51)/(DQ$52)),"0")))))</f>
        <v>6.0826500000000001</v>
      </c>
      <c r="DR71" s="20">
        <f>IF(DR18=0,"0",IF(AND(Results!$E$5="Protein",$C$53&gt;0,OR(Results!$E$4="Tissue",Results!$E$4="Cells")),((DR18*DR$51)/(DR$53)),IF(AND(Results!$E$5="Weight",$C$52&gt;0, Results!$E$4="Tissue",OR($B$52="g",$B$52="mg")),((DR18*DR$51)/(DR$52)),IF(AND(Results!$E$5="Volume",$C$54&gt;0,Results!$E$4="Fluid"),((DR18*DR$51)/(DR$54)),IF(AND(Results!$E$4="Cells",Results!$E$5="Million",$B$52="million"),((DR18*DR$51)/(DR$52)),"0")))))</f>
        <v>5.1641333333333339</v>
      </c>
      <c r="DS71" s="20">
        <f>IF(DS18=0,"0",IF(AND(Results!$E$5="Protein",$C$53&gt;0,OR(Results!$E$4="Tissue",Results!$E$4="Cells")),((DS18*DS$51)/(DS$53)),IF(AND(Results!$E$5="Weight",$C$52&gt;0, Results!$E$4="Tissue",OR($B$52="g",$B$52="mg")),((DS18*DS$51)/(DS$52)),IF(AND(Results!$E$5="Volume",$C$54&gt;0,Results!$E$4="Fluid"),((DS18*DS$51)/(DS$54)),IF(AND(Results!$E$4="Cells",Results!$E$5="Million",$B$52="million"),((DS18*DS$51)/(DS$52)),"0")))))</f>
        <v>4.0095000000000001</v>
      </c>
      <c r="DT71" s="20">
        <f>IF(DT18=0,"0",IF(AND(Results!$E$5="Protein",$C$53&gt;0,OR(Results!$E$4="Tissue",Results!$E$4="Cells")),((DT18*DT$51)/(DT$53)),IF(AND(Results!$E$5="Weight",$C$52&gt;0, Results!$E$4="Tissue",OR($B$52="g",$B$52="mg")),((DT18*DT$51)/(DT$52)),IF(AND(Results!$E$5="Volume",$C$54&gt;0,Results!$E$4="Fluid"),((DT18*DT$51)/(DT$54)),IF(AND(Results!$E$4="Cells",Results!$E$5="Million",$B$52="million"),((DT18*DT$51)/(DT$52)),"0")))))</f>
        <v>6.2557666666666671</v>
      </c>
      <c r="DU71" s="20">
        <f>IF(DU18=0,"0",IF(AND(Results!$E$5="Protein",$C$53&gt;0,OR(Results!$E$4="Tissue",Results!$E$4="Cells")),((DU18*DU$51)/(DU$53)),IF(AND(Results!$E$5="Weight",$C$52&gt;0, Results!$E$4="Tissue",OR($B$52="g",$B$52="mg")),((DU18*DU$51)/(DU$52)),IF(AND(Results!$E$5="Volume",$C$54&gt;0,Results!$E$4="Fluid"),((DU18*DU$51)/(DU$54)),IF(AND(Results!$E$4="Cells",Results!$E$5="Million",$B$52="million"),((DU18*DU$51)/(DU$52)),"0")))))</f>
        <v>21.165416666666669</v>
      </c>
      <c r="DV71" s="20">
        <f>IF(DV18=0,"0",IF(AND(Results!$E$5="Protein",$C$53&gt;0,OR(Results!$E$4="Tissue",Results!$E$4="Cells")),((DV18*DV$51)/(DV$53)),IF(AND(Results!$E$5="Weight",$C$52&gt;0, Results!$E$4="Tissue",OR($B$52="g",$B$52="mg")),((DV18*DV$51)/(DV$52)),IF(AND(Results!$E$5="Volume",$C$54&gt;0,Results!$E$4="Fluid"),((DV18*DV$51)/(DV$54)),IF(AND(Results!$E$4="Cells",Results!$E$5="Million",$B$52="million"),((DV18*DV$51)/(DV$52)),"0")))))</f>
        <v>5.2678166666666666</v>
      </c>
      <c r="DW71" s="20">
        <f>IF(DW18=0,"0",IF(AND(Results!$E$5="Protein",$C$53&gt;0,OR(Results!$E$4="Tissue",Results!$E$4="Cells")),((DW18*DW$51)/(DW$53)),IF(AND(Results!$E$5="Weight",$C$52&gt;0, Results!$E$4="Tissue",OR($B$52="g",$B$52="mg")),((DW18*DW$51)/(DW$52)),IF(AND(Results!$E$5="Volume",$C$54&gt;0,Results!$E$4="Fluid"),((DW18*DW$51)/(DW$54)),IF(AND(Results!$E$4="Cells",Results!$E$5="Million",$B$52="million"),((DW18*DW$51)/(DW$52)),"0")))))</f>
        <v>5.4405500000000009</v>
      </c>
      <c r="DX71" s="20">
        <f>IF(DX18=0,"0",IF(AND(Results!$E$5="Protein",$C$53&gt;0,OR(Results!$E$4="Tissue",Results!$E$4="Cells")),((DX18*DX$51)/(DX$53)),IF(AND(Results!$E$5="Weight",$C$52&gt;0, Results!$E$4="Tissue",OR($B$52="g",$B$52="mg")),((DX18*DX$51)/(DX$52)),IF(AND(Results!$E$5="Volume",$C$54&gt;0,Results!$E$4="Fluid"),((DX18*DX$51)/(DX$54)),IF(AND(Results!$E$4="Cells",Results!$E$5="Million",$B$52="million"),((DX18*DX$51)/(DX$52)),"0")))))</f>
        <v>4.6917833333333334</v>
      </c>
      <c r="DY71" s="20">
        <f>IF(DY18=0,"0",IF(AND(Results!$E$5="Protein",$C$53&gt;0,OR(Results!$E$4="Tissue",Results!$E$4="Cells")),((DY18*DY$51)/(DY$53)),IF(AND(Results!$E$5="Weight",$C$52&gt;0, Results!$E$4="Tissue",OR($B$52="g",$B$52="mg")),((DY18*DY$51)/(DY$52)),IF(AND(Results!$E$5="Volume",$C$54&gt;0,Results!$E$4="Fluid"),((DY18*DY$51)/(DY$54)),IF(AND(Results!$E$4="Cells",Results!$E$5="Million",$B$52="million"),((DY18*DY$51)/(DY$52)),"0")))))</f>
        <v>11.6869</v>
      </c>
      <c r="DZ71" s="20">
        <f>IF(DZ18=0,"0",IF(AND(Results!$E$5="Protein",$C$53&gt;0,OR(Results!$E$4="Tissue",Results!$E$4="Cells")),((DZ18*DZ$51)/(DZ$53)),IF(AND(Results!$E$5="Weight",$C$52&gt;0, Results!$E$4="Tissue",OR($B$52="g",$B$52="mg")),((DZ18*DZ$51)/(DZ$52)),IF(AND(Results!$E$5="Volume",$C$54&gt;0,Results!$E$4="Fluid"),((DZ18*DZ$51)/(DZ$54)),IF(AND(Results!$E$4="Cells",Results!$E$5="Million",$B$52="million"),((DZ18*DZ$51)/(DZ$52)),"0")))))</f>
        <v>7.2564500000000001</v>
      </c>
      <c r="EA71" s="20">
        <f>IF(EA18=0,"0",IF(AND(Results!$E$5="Protein",$C$53&gt;0,OR(Results!$E$4="Tissue",Results!$E$4="Cells")),((EA18*EA$51)/(EA$53)),IF(AND(Results!$E$5="Weight",$C$52&gt;0, Results!$E$4="Tissue",OR($B$52="g",$B$52="mg")),((EA18*EA$51)/(EA$52)),IF(AND(Results!$E$5="Volume",$C$54&gt;0,Results!$E$4="Fluid"),((EA18*EA$51)/(EA$54)),IF(AND(Results!$E$4="Cells",Results!$E$5="Million",$B$52="million"),((EA18*EA$51)/(EA$52)),"0")))))</f>
        <v>6.8685166666666664</v>
      </c>
      <c r="EB71" s="20">
        <f>IF(EB18=0,"0",IF(AND(Results!$E$5="Protein",$C$53&gt;0,OR(Results!$E$4="Tissue",Results!$E$4="Cells")),((EB18*EB$51)/(EB$53)),IF(AND(Results!$E$5="Weight",$C$52&gt;0, Results!$E$4="Tissue",OR($B$52="g",$B$52="mg")),((EB18*EB$51)/(EB$52)),IF(AND(Results!$E$5="Volume",$C$54&gt;0,Results!$E$4="Fluid"),((EB18*EB$51)/(EB$54)),IF(AND(Results!$E$4="Cells",Results!$E$5="Million",$B$52="million"),((EB18*EB$51)/(EB$52)),"0")))))</f>
        <v>6.3657500000000002</v>
      </c>
      <c r="EC71" s="20">
        <f>IF(EC18=0,"0",IF(AND(Results!$E$5="Protein",$C$53&gt;0,OR(Results!$E$4="Tissue",Results!$E$4="Cells")),((EC18*EC$51)/(EC$53)),IF(AND(Results!$E$5="Weight",$C$52&gt;0, Results!$E$4="Tissue",OR($B$52="g",$B$52="mg")),((EC18*EC$51)/(EC$52)),IF(AND(Results!$E$5="Volume",$C$54&gt;0,Results!$E$4="Fluid"),((EC18*EC$51)/(EC$54)),IF(AND(Results!$E$4="Cells",Results!$E$5="Million",$B$52="million"),((EC18*EC$51)/(EC$52)),"0")))))</f>
        <v>5.0129999999999999</v>
      </c>
      <c r="ED71" s="20">
        <f>IF(ED18=0,"0",IF(AND(Results!$E$5="Protein",$C$53&gt;0,OR(Results!$E$4="Tissue",Results!$E$4="Cells")),((ED18*ED$51)/(ED$53)),IF(AND(Results!$E$5="Weight",$C$52&gt;0, Results!$E$4="Tissue",OR($B$52="g",$B$52="mg")),((ED18*ED$51)/(ED$52)),IF(AND(Results!$E$5="Volume",$C$54&gt;0,Results!$E$4="Fluid"),((ED18*ED$51)/(ED$54)),IF(AND(Results!$E$4="Cells",Results!$E$5="Million",$B$52="million"),((ED18*ED$51)/(ED$52)),"0")))))</f>
        <v>6.4125499999999995</v>
      </c>
      <c r="EE71" s="20">
        <f>IF(EE18=0,"0",IF(AND(Results!$E$5="Protein",$C$53&gt;0,OR(Results!$E$4="Tissue",Results!$E$4="Cells")),((EE18*EE$51)/(EE$53)),IF(AND(Results!$E$5="Weight",$C$52&gt;0, Results!$E$4="Tissue",OR($B$52="g",$B$52="mg")),((EE18*EE$51)/(EE$52)),IF(AND(Results!$E$5="Volume",$C$54&gt;0,Results!$E$4="Fluid"),((EE18*EE$51)/(EE$54)),IF(AND(Results!$E$4="Cells",Results!$E$5="Million",$B$52="million"),((EE18*EE$51)/(EE$52)),"0")))))</f>
        <v>3.4882833333333334</v>
      </c>
      <c r="EF71" s="20">
        <f>IF(EF18=0,"0",IF(AND(Results!$E$5="Protein",$C$53&gt;0,OR(Results!$E$4="Tissue",Results!$E$4="Cells")),((EF18*EF$51)/(EF$53)),IF(AND(Results!$E$5="Weight",$C$52&gt;0, Results!$E$4="Tissue",OR($B$52="g",$B$52="mg")),((EF18*EF$51)/(EF$52)),IF(AND(Results!$E$5="Volume",$C$54&gt;0,Results!$E$4="Fluid"),((EF18*EF$51)/(EF$54)),IF(AND(Results!$E$4="Cells",Results!$E$5="Million",$B$52="million"),((EF18*EF$51)/(EF$52)),"0")))))</f>
        <v>5.3078500000000002</v>
      </c>
      <c r="EG71" s="20">
        <f>IF(EG18=0,"0",IF(AND(Results!$E$5="Protein",$C$53&gt;0,OR(Results!$E$4="Tissue",Results!$E$4="Cells")),((EG18*EG$51)/(EG$53)),IF(AND(Results!$E$5="Weight",$C$52&gt;0, Results!$E$4="Tissue",OR($B$52="g",$B$52="mg")),((EG18*EG$51)/(EG$52)),IF(AND(Results!$E$5="Volume",$C$54&gt;0,Results!$E$4="Fluid"),((EG18*EG$51)/(EG$54)),IF(AND(Results!$E$4="Cells",Results!$E$5="Million",$B$52="million"),((EG18*EG$51)/(EG$52)),"0")))))</f>
        <v>4.4604999999999997</v>
      </c>
      <c r="EH71" s="20">
        <f>IF(EH18=0,"0",IF(AND(Results!$E$5="Protein",$C$53&gt;0,OR(Results!$E$4="Tissue",Results!$E$4="Cells")),((EH18*EH$51)/(EH$53)),IF(AND(Results!$E$5="Weight",$C$52&gt;0, Results!$E$4="Tissue",OR($B$52="g",$B$52="mg")),((EH18*EH$51)/(EH$52)),IF(AND(Results!$E$5="Volume",$C$54&gt;0,Results!$E$4="Fluid"),((EH18*EH$51)/(EH$54)),IF(AND(Results!$E$4="Cells",Results!$E$5="Million",$B$52="million"),((EH18*EH$51)/(EH$52)),"0")))))</f>
        <v>6.6306833333333337</v>
      </c>
      <c r="EI71" s="20">
        <f>IF(EI18=0,"0",IF(AND(Results!$E$5="Protein",$C$53&gt;0,OR(Results!$E$4="Tissue",Results!$E$4="Cells")),((EI18*EI$51)/(EI$53)),IF(AND(Results!$E$5="Weight",$C$52&gt;0, Results!$E$4="Tissue",OR($B$52="g",$B$52="mg")),((EI18*EI$51)/(EI$52)),IF(AND(Results!$E$5="Volume",$C$54&gt;0,Results!$E$4="Fluid"),((EI18*EI$51)/(EI$54)),IF(AND(Results!$E$4="Cells",Results!$E$5="Million",$B$52="million"),((EI18*EI$51)/(EI$52)),"0")))))</f>
        <v>0.91484999999999994</v>
      </c>
      <c r="EJ71" s="20">
        <f>IF(EJ18=0,"0",IF(AND(Results!$E$5="Protein",$C$53&gt;0,OR(Results!$E$4="Tissue",Results!$E$4="Cells")),((EJ18*EJ$51)/(EJ$53)),IF(AND(Results!$E$5="Weight",$C$52&gt;0, Results!$E$4="Tissue",OR($B$52="g",$B$52="mg")),((EJ18*EJ$51)/(EJ$52)),IF(AND(Results!$E$5="Volume",$C$54&gt;0,Results!$E$4="Fluid"),((EJ18*EJ$51)/(EJ$54)),IF(AND(Results!$E$4="Cells",Results!$E$5="Million",$B$52="million"),((EJ18*EJ$51)/(EJ$52)),"0")))))</f>
        <v>5.0029333333333339</v>
      </c>
      <c r="EK71" s="20">
        <f>IF(EK18=0,"0",IF(AND(Results!$E$5="Protein",$C$53&gt;0,OR(Results!$E$4="Tissue",Results!$E$4="Cells")),((EK18*EK$51)/(EK$53)),IF(AND(Results!$E$5="Weight",$C$52&gt;0, Results!$E$4="Tissue",OR($B$52="g",$B$52="mg")),((EK18*EK$51)/(EK$52)),IF(AND(Results!$E$5="Volume",$C$54&gt;0,Results!$E$4="Fluid"),((EK18*EK$51)/(EK$54)),IF(AND(Results!$E$4="Cells",Results!$E$5="Million",$B$52="million"),((EK18*EK$51)/(EK$52)),"0")))))</f>
        <v>11.142983333333332</v>
      </c>
      <c r="EL71" s="20">
        <f>IF(EL18=0,"0",IF(AND(Results!$E$5="Protein",$C$53&gt;0,OR(Results!$E$4="Tissue",Results!$E$4="Cells")),((EL18*EL$51)/(EL$53)),IF(AND(Results!$E$5="Weight",$C$52&gt;0, Results!$E$4="Tissue",OR($B$52="g",$B$52="mg")),((EL18*EL$51)/(EL$52)),IF(AND(Results!$E$5="Volume",$C$54&gt;0,Results!$E$4="Fluid"),((EL18*EL$51)/(EL$54)),IF(AND(Results!$E$4="Cells",Results!$E$5="Million",$B$52="million"),((EL18*EL$51)/(EL$52)),"0")))))</f>
        <v>9.515366666666667</v>
      </c>
      <c r="EM71" s="20">
        <f>IF(EM18=0,"0",IF(AND(Results!$E$5="Protein",$C$53&gt;0,OR(Results!$E$4="Tissue",Results!$E$4="Cells")),((EM18*EM$51)/(EM$53)),IF(AND(Results!$E$5="Weight",$C$52&gt;0, Results!$E$4="Tissue",OR($B$52="g",$B$52="mg")),((EM18*EM$51)/(EM$52)),IF(AND(Results!$E$5="Volume",$C$54&gt;0,Results!$E$4="Fluid"),((EM18*EM$51)/(EM$54)),IF(AND(Results!$E$4="Cells",Results!$E$5="Million",$B$52="million"),((EM18*EM$51)/(EM$52)),"0")))))</f>
        <v>3.0046999999999997</v>
      </c>
      <c r="EN71" s="20">
        <f>IF(EN18=0,"0",IF(AND(Results!$E$5="Protein",$C$53&gt;0,OR(Results!$E$4="Tissue",Results!$E$4="Cells")),((EN18*EN$51)/(EN$53)),IF(AND(Results!$E$5="Weight",$C$52&gt;0, Results!$E$4="Tissue",OR($B$52="g",$B$52="mg")),((EN18*EN$51)/(EN$52)),IF(AND(Results!$E$5="Volume",$C$54&gt;0,Results!$E$4="Fluid"),((EN18*EN$51)/(EN$54)),IF(AND(Results!$E$4="Cells",Results!$E$5="Million",$B$52="million"),((EN18*EN$51)/(EN$52)),"0")))))</f>
        <v>8.2377166666666657</v>
      </c>
      <c r="EO71" s="20">
        <f>IF(EO18=0,"0",IF(AND(Results!$E$5="Protein",$C$53&gt;0,OR(Results!$E$4="Tissue",Results!$E$4="Cells")),((EO18*EO$51)/(EO$53)),IF(AND(Results!$E$5="Weight",$C$52&gt;0, Results!$E$4="Tissue",OR($B$52="g",$B$52="mg")),((EO18*EO$51)/(EO$52)),IF(AND(Results!$E$5="Volume",$C$54&gt;0,Results!$E$4="Fluid"),((EO18*EO$51)/(EO$54)),IF(AND(Results!$E$4="Cells",Results!$E$5="Million",$B$52="million"),((EO18*EO$51)/(EO$52)),"0")))))</f>
        <v>8.6413333333333338</v>
      </c>
      <c r="EP71" s="20">
        <f>IF(EP18=0,"0",IF(AND(Results!$E$5="Protein",$C$53&gt;0,OR(Results!$E$4="Tissue",Results!$E$4="Cells")),((EP18*EP$51)/(EP$53)),IF(AND(Results!$E$5="Weight",$C$52&gt;0, Results!$E$4="Tissue",OR($B$52="g",$B$52="mg")),((EP18*EP$51)/(EP$52)),IF(AND(Results!$E$5="Volume",$C$54&gt;0,Results!$E$4="Fluid"),((EP18*EP$51)/(EP$54)),IF(AND(Results!$E$4="Cells",Results!$E$5="Million",$B$52="million"),((EP18*EP$51)/(EP$52)),"0")))))</f>
        <v>6.4109166666666662</v>
      </c>
      <c r="EQ71" s="20">
        <f>IF(EQ18=0,"0",IF(AND(Results!$E$5="Protein",$C$53&gt;0,OR(Results!$E$4="Tissue",Results!$E$4="Cells")),((EQ18*EQ$51)/(EQ$53)),IF(AND(Results!$E$5="Weight",$C$52&gt;0, Results!$E$4="Tissue",OR($B$52="g",$B$52="mg")),((EQ18*EQ$51)/(EQ$52)),IF(AND(Results!$E$5="Volume",$C$54&gt;0,Results!$E$4="Fluid"),((EQ18*EQ$51)/(EQ$54)),IF(AND(Results!$E$4="Cells",Results!$E$5="Million",$B$52="million"),((EQ18*EQ$51)/(EQ$52)),"0")))))</f>
        <v>5.9122500000000002</v>
      </c>
      <c r="ER71" s="20">
        <f>IF(ER18=0,"0",IF(AND(Results!$E$5="Protein",$C$53&gt;0,OR(Results!$E$4="Tissue",Results!$E$4="Cells")),((ER18*ER$51)/(ER$53)),IF(AND(Results!$E$5="Weight",$C$52&gt;0, Results!$E$4="Tissue",OR($B$52="g",$B$52="mg")),((ER18*ER$51)/(ER$52)),IF(AND(Results!$E$5="Volume",$C$54&gt;0,Results!$E$4="Fluid"),((ER18*ER$51)/(ER$54)),IF(AND(Results!$E$4="Cells",Results!$E$5="Million",$B$52="million"),((ER18*ER$51)/(ER$52)),"0")))))</f>
        <v>8.580916666666667</v>
      </c>
      <c r="ES71" s="20">
        <f>IF(ES18=0,"0",IF(AND(Results!$E$5="Protein",$C$53&gt;0,OR(Results!$E$4="Tissue",Results!$E$4="Cells")),((ES18*ES$51)/(ES$53)),IF(AND(Results!$E$5="Weight",$C$52&gt;0, Results!$E$4="Tissue",OR($B$52="g",$B$52="mg")),((ES18*ES$51)/(ES$52)),IF(AND(Results!$E$5="Volume",$C$54&gt;0,Results!$E$4="Fluid"),((ES18*ES$51)/(ES$54)),IF(AND(Results!$E$4="Cells",Results!$E$5="Million",$B$52="million"),((ES18*ES$51)/(ES$52)),"0")))))</f>
        <v>7.3613833333333334</v>
      </c>
      <c r="ET71" s="20">
        <f>IF(ET18=0,"0",IF(AND(Results!$E$5="Protein",$C$53&gt;0,OR(Results!$E$4="Tissue",Results!$E$4="Cells")),((ET18*ET$51)/(ET$53)),IF(AND(Results!$E$5="Weight",$C$52&gt;0, Results!$E$4="Tissue",OR($B$52="g",$B$52="mg")),((ET18*ET$51)/(ET$52)),IF(AND(Results!$E$5="Volume",$C$54&gt;0,Results!$E$4="Fluid"),((ET18*ET$51)/(ET$54)),IF(AND(Results!$E$4="Cells",Results!$E$5="Million",$B$52="million"),((ET18*ET$51)/(ET$52)),"0")))))</f>
        <v>6.1471666666666671</v>
      </c>
      <c r="EU71" s="20">
        <f>IF(EU18=0,"0",IF(AND(Results!$E$5="Protein",$C$53&gt;0,OR(Results!$E$4="Tissue",Results!$E$4="Cells")),((EU18*EU$51)/(EU$53)),IF(AND(Results!$E$5="Weight",$C$52&gt;0, Results!$E$4="Tissue",OR($B$52="g",$B$52="mg")),((EU18*EU$51)/(EU$52)),IF(AND(Results!$E$5="Volume",$C$54&gt;0,Results!$E$4="Fluid"),((EU18*EU$51)/(EU$54)),IF(AND(Results!$E$4="Cells",Results!$E$5="Million",$B$52="million"),((EU18*EU$51)/(EU$52)),"0")))))</f>
        <v>9.0227166666666658</v>
      </c>
      <c r="EV71" s="20">
        <f>IF(EV18=0,"0",IF(AND(Results!$E$5="Protein",$C$53&gt;0,OR(Results!$E$4="Tissue",Results!$E$4="Cells")),((EV18*EV$51)/(EV$53)),IF(AND(Results!$E$5="Weight",$C$52&gt;0, Results!$E$4="Tissue",OR($B$52="g",$B$52="mg")),((EV18*EV$51)/(EV$52)),IF(AND(Results!$E$5="Volume",$C$54&gt;0,Results!$E$4="Fluid"),((EV18*EV$51)/(EV$54)),IF(AND(Results!$E$4="Cells",Results!$E$5="Million",$B$52="million"),((EV18*EV$51)/(EV$52)),"0")))))</f>
        <v>6.9765833333333331</v>
      </c>
      <c r="EW71" s="20">
        <f>IF(EW18=0,"0",IF(AND(Results!$E$5="Protein",$C$53&gt;0,OR(Results!$E$4="Tissue",Results!$E$4="Cells")),((EW18*EW$51)/(EW$53)),IF(AND(Results!$E$5="Weight",$C$52&gt;0, Results!$E$4="Tissue",OR($B$52="g",$B$52="mg")),((EW18*EW$51)/(EW$52)),IF(AND(Results!$E$5="Volume",$C$54&gt;0,Results!$E$4="Fluid"),((EW18*EW$51)/(EW$54)),IF(AND(Results!$E$4="Cells",Results!$E$5="Million",$B$52="million"),((EW18*EW$51)/(EW$52)),"0")))))</f>
        <v>4.3586166666666664</v>
      </c>
      <c r="EX71" s="20">
        <f>IF(EX18=0,"0",IF(AND(Results!$E$5="Protein",$C$53&gt;0,OR(Results!$E$4="Tissue",Results!$E$4="Cells")),((EX18*EX$51)/(EX$53)),IF(AND(Results!$E$5="Weight",$C$52&gt;0, Results!$E$4="Tissue",OR($B$52="g",$B$52="mg")),((EX18*EX$51)/(EX$52)),IF(AND(Results!$E$5="Volume",$C$54&gt;0,Results!$E$4="Fluid"),((EX18*EX$51)/(EX$54)),IF(AND(Results!$E$4="Cells",Results!$E$5="Million",$B$52="million"),((EX18*EX$51)/(EX$52)),"0")))))</f>
        <v>17.989316666666664</v>
      </c>
      <c r="EY71" s="20">
        <f>IF(EY18=0,"0",IF(AND(Results!$E$5="Protein",$C$53&gt;0,OR(Results!$E$4="Tissue",Results!$E$4="Cells")),((EY18*EY$51)/(EY$53)),IF(AND(Results!$E$5="Weight",$C$52&gt;0, Results!$E$4="Tissue",OR($B$52="g",$B$52="mg")),((EY18*EY$51)/(EY$52)),IF(AND(Results!$E$5="Volume",$C$54&gt;0,Results!$E$4="Fluid"),((EY18*EY$51)/(EY$54)),IF(AND(Results!$E$4="Cells",Results!$E$5="Million",$B$52="million"),((EY18*EY$51)/(EY$52)),"0")))))</f>
        <v>9.7361500000000003</v>
      </c>
      <c r="EZ71" s="20">
        <f>IF(EZ18=0,"0",IF(AND(Results!$E$5="Protein",$C$53&gt;0,OR(Results!$E$4="Tissue",Results!$E$4="Cells")),((EZ18*EZ$51)/(EZ$53)),IF(AND(Results!$E$5="Weight",$C$52&gt;0, Results!$E$4="Tissue",OR($B$52="g",$B$52="mg")),((EZ18*EZ$51)/(EZ$52)),IF(AND(Results!$E$5="Volume",$C$54&gt;0,Results!$E$4="Fluid"),((EZ18*EZ$51)/(EZ$54)),IF(AND(Results!$E$4="Cells",Results!$E$5="Million",$B$52="million"),((EZ18*EZ$51)/(EZ$52)),"0")))))</f>
        <v>4.2618333333333336</v>
      </c>
      <c r="FA71" s="20">
        <f>IF(FA18=0,"0",IF(AND(Results!$E$5="Protein",$C$53&gt;0,OR(Results!$E$4="Tissue",Results!$E$4="Cells")),((FA18*FA$51)/(FA$53)),IF(AND(Results!$E$5="Weight",$C$52&gt;0, Results!$E$4="Tissue",OR($B$52="g",$B$52="mg")),((FA18*FA$51)/(FA$52)),IF(AND(Results!$E$5="Volume",$C$54&gt;0,Results!$E$4="Fluid"),((FA18*FA$51)/(FA$54)),IF(AND(Results!$E$4="Cells",Results!$E$5="Million",$B$52="million"),((FA18*FA$51)/(FA$52)),"0")))))</f>
        <v>3.3644166666666662</v>
      </c>
      <c r="FB71" s="20">
        <f>IF(FB18=0,"0",IF(AND(Results!$E$5="Protein",$C$53&gt;0,OR(Results!$E$4="Tissue",Results!$E$4="Cells")),((FB18*FB$51)/(FB$53)),IF(AND(Results!$E$5="Weight",$C$52&gt;0, Results!$E$4="Tissue",OR($B$52="g",$B$52="mg")),((FB18*FB$51)/(FB$52)),IF(AND(Results!$E$5="Volume",$C$54&gt;0,Results!$E$4="Fluid"),((FB18*FB$51)/(FB$54)),IF(AND(Results!$E$4="Cells",Results!$E$5="Million",$B$52="million"),((FB18*FB$51)/(FB$52)),"0")))))</f>
        <v>2.638233333333333</v>
      </c>
      <c r="FC71" s="20">
        <f>IF(FC18=0,"0",IF(AND(Results!$E$5="Protein",$C$53&gt;0,OR(Results!$E$4="Tissue",Results!$E$4="Cells")),((FC18*FC$51)/(FC$53)),IF(AND(Results!$E$5="Weight",$C$52&gt;0, Results!$E$4="Tissue",OR($B$52="g",$B$52="mg")),((FC18*FC$51)/(FC$52)),IF(AND(Results!$E$5="Volume",$C$54&gt;0,Results!$E$4="Fluid"),((FC18*FC$51)/(FC$54)),IF(AND(Results!$E$4="Cells",Results!$E$5="Million",$B$52="million"),((FC18*FC$51)/(FC$52)),"0")))))</f>
        <v>5.9695166666666672</v>
      </c>
      <c r="FD71" s="20">
        <f>IF(FD18=0,"0",IF(AND(Results!$E$5="Protein",$C$53&gt;0,OR(Results!$E$4="Tissue",Results!$E$4="Cells")),((FD18*FD$51)/(FD$53)),IF(AND(Results!$E$5="Weight",$C$52&gt;0, Results!$E$4="Tissue",OR($B$52="g",$B$52="mg")),((FD18*FD$51)/(FD$52)),IF(AND(Results!$E$5="Volume",$C$54&gt;0,Results!$E$4="Fluid"),((FD18*FD$51)/(FD$54)),IF(AND(Results!$E$4="Cells",Results!$E$5="Million",$B$52="million"),((FD18*FD$51)/(FD$52)),"0")))))</f>
        <v>3.9125500000000004</v>
      </c>
      <c r="FE71" s="20">
        <f>IF(FE18=0,"0",IF(AND(Results!$E$5="Protein",$C$53&gt;0,OR(Results!$E$4="Tissue",Results!$E$4="Cells")),((FE18*FE$51)/(FE$53)),IF(AND(Results!$E$5="Weight",$C$52&gt;0, Results!$E$4="Tissue",OR($B$52="g",$B$52="mg")),((FE18*FE$51)/(FE$52)),IF(AND(Results!$E$5="Volume",$C$54&gt;0,Results!$E$4="Fluid"),((FE18*FE$51)/(FE$54)),IF(AND(Results!$E$4="Cells",Results!$E$5="Million",$B$52="million"),((FE18*FE$51)/(FE$52)),"0")))))</f>
        <v>3.1000999999999999</v>
      </c>
      <c r="FF71" s="20">
        <f>IF(FF18=0,"0",IF(AND(Results!$E$5="Protein",$C$53&gt;0,OR(Results!$E$4="Tissue",Results!$E$4="Cells")),((FF18*FF$51)/(FF$53)),IF(AND(Results!$E$5="Weight",$C$52&gt;0, Results!$E$4="Tissue",OR($B$52="g",$B$52="mg")),((FF18*FF$51)/(FF$52)),IF(AND(Results!$E$5="Volume",$C$54&gt;0,Results!$E$4="Fluid"),((FF18*FF$51)/(FF$54)),IF(AND(Results!$E$4="Cells",Results!$E$5="Million",$B$52="million"),((FF18*FF$51)/(FF$52)),"0")))))</f>
        <v>12.643333333333334</v>
      </c>
      <c r="FG71" s="20">
        <f>IF(FG18=0,"0",IF(AND(Results!$E$5="Protein",$C$53&gt;0,OR(Results!$E$4="Tissue",Results!$E$4="Cells")),((FG18*FG$51)/(FG$53)),IF(AND(Results!$E$5="Weight",$C$52&gt;0, Results!$E$4="Tissue",OR($B$52="g",$B$52="mg")),((FG18*FG$51)/(FG$52)),IF(AND(Results!$E$5="Volume",$C$54&gt;0,Results!$E$4="Fluid"),((FG18*FG$51)/(FG$54)),IF(AND(Results!$E$4="Cells",Results!$E$5="Million",$B$52="million"),((FG18*FG$51)/(FG$52)),"0")))))</f>
        <v>3.5760666666666667</v>
      </c>
      <c r="FH71" s="20">
        <f>IF(FH18=0,"0",IF(AND(Results!$E$5="Protein",$C$53&gt;0,OR(Results!$E$4="Tissue",Results!$E$4="Cells")),((FH18*FH$51)/(FH$53)),IF(AND(Results!$E$5="Weight",$C$52&gt;0, Results!$E$4="Tissue",OR($B$52="g",$B$52="mg")),((FH18*FH$51)/(FH$52)),IF(AND(Results!$E$5="Volume",$C$54&gt;0,Results!$E$4="Fluid"),((FH18*FH$51)/(FH$54)),IF(AND(Results!$E$4="Cells",Results!$E$5="Million",$B$52="million"),((FH18*FH$51)/(FH$52)),"0")))))</f>
        <v>5.9246166666666662</v>
      </c>
      <c r="FI71" s="20">
        <f>IF(FI18=0,"0",IF(AND(Results!$E$5="Protein",$C$53&gt;0,OR(Results!$E$4="Tissue",Results!$E$4="Cells")),((FI18*FI$51)/(FI$53)),IF(AND(Results!$E$5="Weight",$C$52&gt;0, Results!$E$4="Tissue",OR($B$52="g",$B$52="mg")),((FI18*FI$51)/(FI$52)),IF(AND(Results!$E$5="Volume",$C$54&gt;0,Results!$E$4="Fluid"),((FI18*FI$51)/(FI$54)),IF(AND(Results!$E$4="Cells",Results!$E$5="Million",$B$52="million"),((FI18*FI$51)/(FI$52)),"0")))))</f>
        <v>13.396283333333335</v>
      </c>
      <c r="FJ71" s="20">
        <f>IF(FJ18=0,"0",IF(AND(Results!$E$5="Protein",$C$53&gt;0,OR(Results!$E$4="Tissue",Results!$E$4="Cells")),((FJ18*FJ$51)/(FJ$53)),IF(AND(Results!$E$5="Weight",$C$52&gt;0, Results!$E$4="Tissue",OR($B$52="g",$B$52="mg")),((FJ18*FJ$51)/(FJ$52)),IF(AND(Results!$E$5="Volume",$C$54&gt;0,Results!$E$4="Fluid"),((FJ18*FJ$51)/(FJ$54)),IF(AND(Results!$E$4="Cells",Results!$E$5="Million",$B$52="million"),((FJ18*FJ$51)/(FJ$52)),"0")))))</f>
        <v>13.592616666666666</v>
      </c>
      <c r="FK71" s="20">
        <f>IF(FK18=0,"0",IF(AND(Results!$E$5="Protein",$C$53&gt;0,OR(Results!$E$4="Tissue",Results!$E$4="Cells")),((FK18*FK$51)/(FK$53)),IF(AND(Results!$E$5="Weight",$C$52&gt;0, Results!$E$4="Tissue",OR($B$52="g",$B$52="mg")),((FK18*FK$51)/(FK$52)),IF(AND(Results!$E$5="Volume",$C$54&gt;0,Results!$E$4="Fluid"),((FK18*FK$51)/(FK$54)),IF(AND(Results!$E$4="Cells",Results!$E$5="Million",$B$52="million"),((FK18*FK$51)/(FK$52)),"0")))))</f>
        <v>16.789116666666665</v>
      </c>
      <c r="FL71" s="20">
        <f>IF(FL18=0,"0",IF(AND(Results!$E$5="Protein",$C$53&gt;0,OR(Results!$E$4="Tissue",Results!$E$4="Cells")),((FL18*FL$51)/(FL$53)),IF(AND(Results!$E$5="Weight",$C$52&gt;0, Results!$E$4="Tissue",OR($B$52="g",$B$52="mg")),((FL18*FL$51)/(FL$52)),IF(AND(Results!$E$5="Volume",$C$54&gt;0,Results!$E$4="Fluid"),((FL18*FL$51)/(FL$54)),IF(AND(Results!$E$4="Cells",Results!$E$5="Million",$B$52="million"),((FL18*FL$51)/(FL$52)),"0")))))</f>
        <v>5.4099666666666666</v>
      </c>
      <c r="FM71" s="20">
        <f>IF(FM18=0,"0",IF(AND(Results!$E$5="Protein",$C$53&gt;0,OR(Results!$E$4="Tissue",Results!$E$4="Cells")),((FM18*FM$51)/(FM$53)),IF(AND(Results!$E$5="Weight",$C$52&gt;0, Results!$E$4="Tissue",OR($B$52="g",$B$52="mg")),((FM18*FM$51)/(FM$52)),IF(AND(Results!$E$5="Volume",$C$54&gt;0,Results!$E$4="Fluid"),((FM18*FM$51)/(FM$54)),IF(AND(Results!$E$4="Cells",Results!$E$5="Million",$B$52="million"),((FM18*FM$51)/(FM$52)),"0")))))</f>
        <v>4.4873000000000003</v>
      </c>
      <c r="FN71" s="20">
        <f>IF(FN18=0,"0",IF(AND(Results!$E$5="Protein",$C$53&gt;0,OR(Results!$E$4="Tissue",Results!$E$4="Cells")),((FN18*FN$51)/(FN$53)),IF(AND(Results!$E$5="Weight",$C$52&gt;0, Results!$E$4="Tissue",OR($B$52="g",$B$52="mg")),((FN18*FN$51)/(FN$52)),IF(AND(Results!$E$5="Volume",$C$54&gt;0,Results!$E$4="Fluid"),((FN18*FN$51)/(FN$54)),IF(AND(Results!$E$4="Cells",Results!$E$5="Million",$B$52="million"),((FN18*FN$51)/(FN$52)),"0")))))</f>
        <v>2.6546333333333334</v>
      </c>
      <c r="FO71" s="20">
        <f>IF(FO18=0,"0",IF(AND(Results!$E$5="Protein",$C$53&gt;0,OR(Results!$E$4="Tissue",Results!$E$4="Cells")),((FO18*FO$51)/(FO$53)),IF(AND(Results!$E$5="Weight",$C$52&gt;0, Results!$E$4="Tissue",OR($B$52="g",$B$52="mg")),((FO18*FO$51)/(FO$52)),IF(AND(Results!$E$5="Volume",$C$54&gt;0,Results!$E$4="Fluid"),((FO18*FO$51)/(FO$54)),IF(AND(Results!$E$4="Cells",Results!$E$5="Million",$B$52="million"),((FO18*FO$51)/(FO$52)),"0")))))</f>
        <v>2.1349833333333335</v>
      </c>
    </row>
    <row r="72" spans="1:171" x14ac:dyDescent="0.2">
      <c r="A72" s="120" t="str">
        <f t="shared" si="0"/>
        <v>12-HETE</v>
      </c>
      <c r="B72" s="121"/>
      <c r="C72" s="20">
        <f>IF(C19=0,"0",IF(AND(Results!$E$5="Protein",$C$53&gt;0,OR(Results!$E$4="Tissue",Results!$E$4="Cells")),((C19*C$51)/(C$53)),IF(AND(Results!$E$5="Weight",$C$52&gt;0, Results!$E$4="Tissue",OR($B$52="g",$B$52="mg")),((C19*C$51)/(C$52)),IF(AND(Results!$E$5="Volume",$C$54&gt;0,Results!$E$4="Fluid"),((C19*C$51)/(C$54)),IF(AND(Results!$E$4="Cells",Results!$E$5="Million",$B$52="million"),((C19*C$51)/(C$52)),"0")))))</f>
        <v>208.29615000000001</v>
      </c>
      <c r="D72" s="20">
        <f>IF(D19=0,"0",IF(AND(Results!$E$5="Protein",$C$53&gt;0,OR(Results!$E$4="Tissue",Results!$E$4="Cells")),((D19*D$51)/(D$53)),IF(AND(Results!$E$5="Weight",$C$52&gt;0, Results!$E$4="Tissue",OR($B$52="g",$B$52="mg")),((D19*D$51)/(D$52)),IF(AND(Results!$E$5="Volume",$C$54&gt;0,Results!$E$4="Fluid"),((D19*D$51)/(D$54)),IF(AND(Results!$E$4="Cells",Results!$E$5="Million",$B$52="million"),((D19*D$51)/(D$52)),"0")))))</f>
        <v>954.2748499999999</v>
      </c>
      <c r="E72" s="20">
        <f>IF(E19=0,"0",IF(AND(Results!$E$5="Protein",$C$53&gt;0,OR(Results!$E$4="Tissue",Results!$E$4="Cells")),((E19*E$51)/(E$53)),IF(AND(Results!$E$5="Weight",$C$52&gt;0, Results!$E$4="Tissue",OR($B$52="g",$B$52="mg")),((E19*E$51)/(E$52)),IF(AND(Results!$E$5="Volume",$C$54&gt;0,Results!$E$4="Fluid"),((E19*E$51)/(E$54)),IF(AND(Results!$E$4="Cells",Results!$E$5="Million",$B$52="million"),((E19*E$51)/(E$52)),"0")))))</f>
        <v>138.65638333333334</v>
      </c>
      <c r="F72" s="20">
        <f>IF(F19=0,"0",IF(AND(Results!$E$5="Protein",$C$53&gt;0,OR(Results!$E$4="Tissue",Results!$E$4="Cells")),((F19*F$51)/(F$53)),IF(AND(Results!$E$5="Weight",$C$52&gt;0, Results!$E$4="Tissue",OR($B$52="g",$B$52="mg")),((F19*F$51)/(F$52)),IF(AND(Results!$E$5="Volume",$C$54&gt;0,Results!$E$4="Fluid"),((F19*F$51)/(F$54)),IF(AND(Results!$E$4="Cells",Results!$E$5="Million",$B$52="million"),((F19*F$51)/(F$52)),"0")))))</f>
        <v>927.74048333333337</v>
      </c>
      <c r="G72" s="20">
        <f>IF(G19=0,"0",IF(AND(Results!$E$5="Protein",$C$53&gt;0,OR(Results!$E$4="Tissue",Results!$E$4="Cells")),((G19*G$51)/(G$53)),IF(AND(Results!$E$5="Weight",$C$52&gt;0, Results!$E$4="Tissue",OR($B$52="g",$B$52="mg")),((G19*G$51)/(G$52)),IF(AND(Results!$E$5="Volume",$C$54&gt;0,Results!$E$4="Fluid"),((G19*G$51)/(G$54)),IF(AND(Results!$E$4="Cells",Results!$E$5="Million",$B$52="million"),((G19*G$51)/(G$52)),"0")))))</f>
        <v>399.92991666666666</v>
      </c>
      <c r="H72" s="20">
        <f>IF(H19=0,"0",IF(AND(Results!$E$5="Protein",$C$53&gt;0,OR(Results!$E$4="Tissue",Results!$E$4="Cells")),((H19*H$51)/(H$53)),IF(AND(Results!$E$5="Weight",$C$52&gt;0, Results!$E$4="Tissue",OR($B$52="g",$B$52="mg")),((H19*H$51)/(H$52)),IF(AND(Results!$E$5="Volume",$C$54&gt;0,Results!$E$4="Fluid"),((H19*H$51)/(H$54)),IF(AND(Results!$E$4="Cells",Results!$E$5="Million",$B$52="million"),((H19*H$51)/(H$52)),"0")))))</f>
        <v>444.51615000000004</v>
      </c>
      <c r="I72" s="20">
        <f>IF(I19=0,"0",IF(AND(Results!$E$5="Protein",$C$53&gt;0,OR(Results!$E$4="Tissue",Results!$E$4="Cells")),((I19*I$51)/(I$53)),IF(AND(Results!$E$5="Weight",$C$52&gt;0, Results!$E$4="Tissue",OR($B$52="g",$B$52="mg")),((I19*I$51)/(I$52)),IF(AND(Results!$E$5="Volume",$C$54&gt;0,Results!$E$4="Fluid"),((I19*I$51)/(I$54)),IF(AND(Results!$E$4="Cells",Results!$E$5="Million",$B$52="million"),((I19*I$51)/(I$52)),"0")))))</f>
        <v>1101.6004</v>
      </c>
      <c r="J72" s="20">
        <f>IF(J19=0,"0",IF(AND(Results!$E$5="Protein",$C$53&gt;0,OR(Results!$E$4="Tissue",Results!$E$4="Cells")),((J19*J$51)/(J$53)),IF(AND(Results!$E$5="Weight",$C$52&gt;0, Results!$E$4="Tissue",OR($B$52="g",$B$52="mg")),((J19*J$51)/(J$52)),IF(AND(Results!$E$5="Volume",$C$54&gt;0,Results!$E$4="Fluid"),((J19*J$51)/(J$54)),IF(AND(Results!$E$4="Cells",Results!$E$5="Million",$B$52="million"),((J19*J$51)/(J$52)),"0")))))</f>
        <v>594.95651666666663</v>
      </c>
      <c r="K72" s="20">
        <f>IF(K19=0,"0",IF(AND(Results!$E$5="Protein",$C$53&gt;0,OR(Results!$E$4="Tissue",Results!$E$4="Cells")),((K19*K$51)/(K$53)),IF(AND(Results!$E$5="Weight",$C$52&gt;0, Results!$E$4="Tissue",OR($B$52="g",$B$52="mg")),((K19*K$51)/(K$52)),IF(AND(Results!$E$5="Volume",$C$54&gt;0,Results!$E$4="Fluid"),((K19*K$51)/(K$54)),IF(AND(Results!$E$4="Cells",Results!$E$5="Million",$B$52="million"),((K19*K$51)/(K$52)),"0")))))</f>
        <v>569.94891666666661</v>
      </c>
      <c r="L72" s="20">
        <f>IF(L19=0,"0",IF(AND(Results!$E$5="Protein",$C$53&gt;0,OR(Results!$E$4="Tissue",Results!$E$4="Cells")),((L19*L$51)/(L$53)),IF(AND(Results!$E$5="Weight",$C$52&gt;0, Results!$E$4="Tissue",OR($B$52="g",$B$52="mg")),((L19*L$51)/(L$52)),IF(AND(Results!$E$5="Volume",$C$54&gt;0,Results!$E$4="Fluid"),((L19*L$51)/(L$54)),IF(AND(Results!$E$4="Cells",Results!$E$5="Million",$B$52="million"),((L19*L$51)/(L$52)),"0")))))</f>
        <v>989.11405000000002</v>
      </c>
      <c r="M72" s="20">
        <f>IF(M19=0,"0",IF(AND(Results!$E$5="Protein",$C$53&gt;0,OR(Results!$E$4="Tissue",Results!$E$4="Cells")),((M19*M$51)/(M$53)),IF(AND(Results!$E$5="Weight",$C$52&gt;0, Results!$E$4="Tissue",OR($B$52="g",$B$52="mg")),((M19*M$51)/(M$52)),IF(AND(Results!$E$5="Volume",$C$54&gt;0,Results!$E$4="Fluid"),((M19*M$51)/(M$54)),IF(AND(Results!$E$4="Cells",Results!$E$5="Million",$B$52="million"),((M19*M$51)/(M$52)),"0")))))</f>
        <v>480.37016666666665</v>
      </c>
      <c r="N72" s="20">
        <f>IF(N19=0,"0",IF(AND(Results!$E$5="Protein",$C$53&gt;0,OR(Results!$E$4="Tissue",Results!$E$4="Cells")),((N19*N$51)/(N$53)),IF(AND(Results!$E$5="Weight",$C$52&gt;0, Results!$E$4="Tissue",OR($B$52="g",$B$52="mg")),((N19*N$51)/(N$52)),IF(AND(Results!$E$5="Volume",$C$54&gt;0,Results!$E$4="Fluid"),((N19*N$51)/(N$54)),IF(AND(Results!$E$4="Cells",Results!$E$5="Million",$B$52="million"),((N19*N$51)/(N$52)),"0")))))</f>
        <v>167.75941666666668</v>
      </c>
      <c r="O72" s="20">
        <f>IF(O19=0,"0",IF(AND(Results!$E$5="Protein",$C$53&gt;0,OR(Results!$E$4="Tissue",Results!$E$4="Cells")),((O19*O$51)/(O$53)),IF(AND(Results!$E$5="Weight",$C$52&gt;0, Results!$E$4="Tissue",OR($B$52="g",$B$52="mg")),((O19*O$51)/(O$52)),IF(AND(Results!$E$5="Volume",$C$54&gt;0,Results!$E$4="Fluid"),((O19*O$51)/(O$54)),IF(AND(Results!$E$4="Cells",Results!$E$5="Million",$B$52="million"),((O19*O$51)/(O$52)),"0")))))</f>
        <v>438.96519999999998</v>
      </c>
      <c r="P72" s="20">
        <f>IF(P19=0,"0",IF(AND(Results!$E$5="Protein",$C$53&gt;0,OR(Results!$E$4="Tissue",Results!$E$4="Cells")),((P19*P$51)/(P$53)),IF(AND(Results!$E$5="Weight",$C$52&gt;0, Results!$E$4="Tissue",OR($B$52="g",$B$52="mg")),((P19*P$51)/(P$52)),IF(AND(Results!$E$5="Volume",$C$54&gt;0,Results!$E$4="Fluid"),((P19*P$51)/(P$54)),IF(AND(Results!$E$4="Cells",Results!$E$5="Million",$B$52="million"),((P19*P$51)/(P$52)),"0")))))</f>
        <v>284.9972166666667</v>
      </c>
      <c r="Q72" s="20">
        <f>IF(Q19=0,"0",IF(AND(Results!$E$5="Protein",$C$53&gt;0,OR(Results!$E$4="Tissue",Results!$E$4="Cells")),((Q19*Q$51)/(Q$53)),IF(AND(Results!$E$5="Weight",$C$52&gt;0, Results!$E$4="Tissue",OR($B$52="g",$B$52="mg")),((Q19*Q$51)/(Q$52)),IF(AND(Results!$E$5="Volume",$C$54&gt;0,Results!$E$4="Fluid"),((Q19*Q$51)/(Q$54)),IF(AND(Results!$E$4="Cells",Results!$E$5="Million",$B$52="million"),((Q19*Q$51)/(Q$52)),"0")))))</f>
        <v>221.90058333333334</v>
      </c>
      <c r="R72" s="20">
        <f>IF(R19=0,"0",IF(AND(Results!$E$5="Protein",$C$53&gt;0,OR(Results!$E$4="Tissue",Results!$E$4="Cells")),((R19*R$51)/(R$53)),IF(AND(Results!$E$5="Weight",$C$52&gt;0, Results!$E$4="Tissue",OR($B$52="g",$B$52="mg")),((R19*R$51)/(R$52)),IF(AND(Results!$E$5="Volume",$C$54&gt;0,Results!$E$4="Fluid"),((R19*R$51)/(R$54)),IF(AND(Results!$E$4="Cells",Results!$E$5="Million",$B$52="million"),((R19*R$51)/(R$52)),"0")))))</f>
        <v>770.84855000000005</v>
      </c>
      <c r="S72" s="20">
        <f>IF(S19=0,"0",IF(AND(Results!$E$5="Protein",$C$53&gt;0,OR(Results!$E$4="Tissue",Results!$E$4="Cells")),((S19*S$51)/(S$53)),IF(AND(Results!$E$5="Weight",$C$52&gt;0, Results!$E$4="Tissue",OR($B$52="g",$B$52="mg")),((S19*S$51)/(S$52)),IF(AND(Results!$E$5="Volume",$C$54&gt;0,Results!$E$4="Fluid"),((S19*S$51)/(S$54)),IF(AND(Results!$E$4="Cells",Results!$E$5="Million",$B$52="million"),((S19*S$51)/(S$52)),"0")))))</f>
        <v>544.62098333333336</v>
      </c>
      <c r="T72" s="20">
        <f>IF(T19=0,"0",IF(AND(Results!$E$5="Protein",$C$53&gt;0,OR(Results!$E$4="Tissue",Results!$E$4="Cells")),((T19*T$51)/(T$53)),IF(AND(Results!$E$5="Weight",$C$52&gt;0, Results!$E$4="Tissue",OR($B$52="g",$B$52="mg")),((T19*T$51)/(T$52)),IF(AND(Results!$E$5="Volume",$C$54&gt;0,Results!$E$4="Fluid"),((T19*T$51)/(T$54)),IF(AND(Results!$E$4="Cells",Results!$E$5="Million",$B$52="million"),((T19*T$51)/(T$52)),"0")))))</f>
        <v>118.16533333333334</v>
      </c>
      <c r="U72" s="20">
        <f>IF(U19=0,"0",IF(AND(Results!$E$5="Protein",$C$53&gt;0,OR(Results!$E$4="Tissue",Results!$E$4="Cells")),((U19*U$51)/(U$53)),IF(AND(Results!$E$5="Weight",$C$52&gt;0, Results!$E$4="Tissue",OR($B$52="g",$B$52="mg")),((U19*U$51)/(U$52)),IF(AND(Results!$E$5="Volume",$C$54&gt;0,Results!$E$4="Fluid"),((U19*U$51)/(U$54)),IF(AND(Results!$E$4="Cells",Results!$E$5="Million",$B$52="million"),((U19*U$51)/(U$52)),"0")))))</f>
        <v>368.46401666666668</v>
      </c>
      <c r="V72" s="20">
        <f>IF(V19=0,"0",IF(AND(Results!$E$5="Protein",$C$53&gt;0,OR(Results!$E$4="Tissue",Results!$E$4="Cells")),((V19*V$51)/(V$53)),IF(AND(Results!$E$5="Weight",$C$52&gt;0, Results!$E$4="Tissue",OR($B$52="g",$B$52="mg")),((V19*V$51)/(V$52)),IF(AND(Results!$E$5="Volume",$C$54&gt;0,Results!$E$4="Fluid"),((V19*V$51)/(V$54)),IF(AND(Results!$E$4="Cells",Results!$E$5="Million",$B$52="million"),((V19*V$51)/(V$52)),"0")))))</f>
        <v>133.47001666666668</v>
      </c>
      <c r="W72" s="20">
        <f>IF(W19=0,"0",IF(AND(Results!$E$5="Protein",$C$53&gt;0,OR(Results!$E$4="Tissue",Results!$E$4="Cells")),((W19*W$51)/(W$53)),IF(AND(Results!$E$5="Weight",$C$52&gt;0, Results!$E$4="Tissue",OR($B$52="g",$B$52="mg")),((W19*W$51)/(W$52)),IF(AND(Results!$E$5="Volume",$C$54&gt;0,Results!$E$4="Fluid"),((W19*W$51)/(W$54)),IF(AND(Results!$E$4="Cells",Results!$E$5="Million",$B$52="million"),((W19*W$51)/(W$52)),"0")))))</f>
        <v>273.9361428571429</v>
      </c>
      <c r="X72" s="20">
        <f>IF(X19=0,"0",IF(AND(Results!$E$5="Protein",$C$53&gt;0,OR(Results!$E$4="Tissue",Results!$E$4="Cells")),((X19*X$51)/(X$53)),IF(AND(Results!$E$5="Weight",$C$52&gt;0, Results!$E$4="Tissue",OR($B$52="g",$B$52="mg")),((X19*X$51)/(X$52)),IF(AND(Results!$E$5="Volume",$C$54&gt;0,Results!$E$4="Fluid"),((X19*X$51)/(X$54)),IF(AND(Results!$E$4="Cells",Results!$E$5="Million",$B$52="million"),((X19*X$51)/(X$52)),"0")))))</f>
        <v>74.394120000000001</v>
      </c>
      <c r="Y72" s="20">
        <f>IF(Y19=0,"0",IF(AND(Results!$E$5="Protein",$C$53&gt;0,OR(Results!$E$4="Tissue",Results!$E$4="Cells")),((Y19*Y$51)/(Y$53)),IF(AND(Results!$E$5="Weight",$C$52&gt;0, Results!$E$4="Tissue",OR($B$52="g",$B$52="mg")),((Y19*Y$51)/(Y$52)),IF(AND(Results!$E$5="Volume",$C$54&gt;0,Results!$E$4="Fluid"),((Y19*Y$51)/(Y$54)),IF(AND(Results!$E$4="Cells",Results!$E$5="Million",$B$52="million"),((Y19*Y$51)/(Y$52)),"0")))))</f>
        <v>813.87490000000003</v>
      </c>
      <c r="Z72" s="20">
        <f>IF(Z19=0,"0",IF(AND(Results!$E$5="Protein",$C$53&gt;0,OR(Results!$E$4="Tissue",Results!$E$4="Cells")),((Z19*Z$51)/(Z$53)),IF(AND(Results!$E$5="Weight",$C$52&gt;0, Results!$E$4="Tissue",OR($B$52="g",$B$52="mg")),((Z19*Z$51)/(Z$52)),IF(AND(Results!$E$5="Volume",$C$54&gt;0,Results!$E$4="Fluid"),((Z19*Z$51)/(Z$54)),IF(AND(Results!$E$4="Cells",Results!$E$5="Million",$B$52="million"),((Z19*Z$51)/(Z$52)),"0")))))</f>
        <v>307.59179999999998</v>
      </c>
      <c r="AA72" s="20">
        <f>IF(AA19=0,"0",IF(AND(Results!$E$5="Protein",$C$53&gt;0,OR(Results!$E$4="Tissue",Results!$E$4="Cells")),((AA19*AA$51)/(AA$53)),IF(AND(Results!$E$5="Weight",$C$52&gt;0, Results!$E$4="Tissue",OR($B$52="g",$B$52="mg")),((AA19*AA$51)/(AA$52)),IF(AND(Results!$E$5="Volume",$C$54&gt;0,Results!$E$4="Fluid"),((AA19*AA$51)/(AA$54)),IF(AND(Results!$E$4="Cells",Results!$E$5="Million",$B$52="million"),((AA19*AA$51)/(AA$52)),"0")))))</f>
        <v>316.31490000000002</v>
      </c>
      <c r="AB72" s="20">
        <f>IF(AB19=0,"0",IF(AND(Results!$E$5="Protein",$C$53&gt;0,OR(Results!$E$4="Tissue",Results!$E$4="Cells")),((AB19*AB$51)/(AB$53)),IF(AND(Results!$E$5="Weight",$C$52&gt;0, Results!$E$4="Tissue",OR($B$52="g",$B$52="mg")),((AB19*AB$51)/(AB$52)),IF(AND(Results!$E$5="Volume",$C$54&gt;0,Results!$E$4="Fluid"),((AB19*AB$51)/(AB$54)),IF(AND(Results!$E$4="Cells",Results!$E$5="Million",$B$52="million"),((AB19*AB$51)/(AB$52)),"0")))))</f>
        <v>777.52753333333339</v>
      </c>
      <c r="AC72" s="20">
        <f>IF(AC19=0,"0",IF(AND(Results!$E$5="Protein",$C$53&gt;0,OR(Results!$E$4="Tissue",Results!$E$4="Cells")),((AC19*AC$51)/(AC$53)),IF(AND(Results!$E$5="Weight",$C$52&gt;0, Results!$E$4="Tissue",OR($B$52="g",$B$52="mg")),((AC19*AC$51)/(AC$52)),IF(AND(Results!$E$5="Volume",$C$54&gt;0,Results!$E$4="Fluid"),((AC19*AC$51)/(AC$54)),IF(AND(Results!$E$4="Cells",Results!$E$5="Million",$B$52="million"),((AC19*AC$51)/(AC$52)),"0")))))</f>
        <v>1052.9700833333334</v>
      </c>
      <c r="AD72" s="20">
        <f>IF(AD19=0,"0",IF(AND(Results!$E$5="Protein",$C$53&gt;0,OR(Results!$E$4="Tissue",Results!$E$4="Cells")),((AD19*AD$51)/(AD$53)),IF(AND(Results!$E$5="Weight",$C$52&gt;0, Results!$E$4="Tissue",OR($B$52="g",$B$52="mg")),((AD19*AD$51)/(AD$52)),IF(AND(Results!$E$5="Volume",$C$54&gt;0,Results!$E$4="Fluid"),((AD19*AD$51)/(AD$54)),IF(AND(Results!$E$4="Cells",Results!$E$5="Million",$B$52="million"),((AD19*AD$51)/(AD$52)),"0")))))</f>
        <v>214.27083333333334</v>
      </c>
      <c r="AE72" s="20">
        <f>IF(AE19=0,"0",IF(AND(Results!$E$5="Protein",$C$53&gt;0,OR(Results!$E$4="Tissue",Results!$E$4="Cells")),((AE19*AE$51)/(AE$53)),IF(AND(Results!$E$5="Weight",$C$52&gt;0, Results!$E$4="Tissue",OR($B$52="g",$B$52="mg")),((AE19*AE$51)/(AE$52)),IF(AND(Results!$E$5="Volume",$C$54&gt;0,Results!$E$4="Fluid"),((AE19*AE$51)/(AE$54)),IF(AND(Results!$E$4="Cells",Results!$E$5="Million",$B$52="million"),((AE19*AE$51)/(AE$52)),"0")))))</f>
        <v>240.28228333333334</v>
      </c>
      <c r="AF72" s="20">
        <f>IF(AF19=0,"0",IF(AND(Results!$E$5="Protein",$C$53&gt;0,OR(Results!$E$4="Tissue",Results!$E$4="Cells")),((AF19*AF$51)/(AF$53)),IF(AND(Results!$E$5="Weight",$C$52&gt;0, Results!$E$4="Tissue",OR($B$52="g",$B$52="mg")),((AF19*AF$51)/(AF$52)),IF(AND(Results!$E$5="Volume",$C$54&gt;0,Results!$E$4="Fluid"),((AF19*AF$51)/(AF$54)),IF(AND(Results!$E$4="Cells",Results!$E$5="Million",$B$52="million"),((AF19*AF$51)/(AF$52)),"0")))))</f>
        <v>15.52295</v>
      </c>
      <c r="AG72" s="20">
        <f>IF(AG19=0,"0",IF(AND(Results!$E$5="Protein",$C$53&gt;0,OR(Results!$E$4="Tissue",Results!$E$4="Cells")),((AG19*AG$51)/(AG$53)),IF(AND(Results!$E$5="Weight",$C$52&gt;0, Results!$E$4="Tissue",OR($B$52="g",$B$52="mg")),((AG19*AG$51)/(AG$52)),IF(AND(Results!$E$5="Volume",$C$54&gt;0,Results!$E$4="Fluid"),((AG19*AG$51)/(AG$54)),IF(AND(Results!$E$4="Cells",Results!$E$5="Million",$B$52="million"),((AG19*AG$51)/(AG$52)),"0")))))</f>
        <v>278.60861666666665</v>
      </c>
      <c r="AH72" s="20">
        <f>IF(AH19=0,"0",IF(AND(Results!$E$5="Protein",$C$53&gt;0,OR(Results!$E$4="Tissue",Results!$E$4="Cells")),((AH19*AH$51)/(AH$53)),IF(AND(Results!$E$5="Weight",$C$52&gt;0, Results!$E$4="Tissue",OR($B$52="g",$B$52="mg")),((AH19*AH$51)/(AH$52)),IF(AND(Results!$E$5="Volume",$C$54&gt;0,Results!$E$4="Fluid"),((AH19*AH$51)/(AH$54)),IF(AND(Results!$E$4="Cells",Results!$E$5="Million",$B$52="million"),((AH19*AH$51)/(AH$52)),"0")))))</f>
        <v>210.14044999999999</v>
      </c>
      <c r="AI72" s="20">
        <f>IF(AI19=0,"0",IF(AND(Results!$E$5="Protein",$C$53&gt;0,OR(Results!$E$4="Tissue",Results!$E$4="Cells")),((AI19*AI$51)/(AI$53)),IF(AND(Results!$E$5="Weight",$C$52&gt;0, Results!$E$4="Tissue",OR($B$52="g",$B$52="mg")),((AI19*AI$51)/(AI$52)),IF(AND(Results!$E$5="Volume",$C$54&gt;0,Results!$E$4="Fluid"),((AI19*AI$51)/(AI$54)),IF(AND(Results!$E$4="Cells",Results!$E$5="Million",$B$52="million"),((AI19*AI$51)/(AI$52)),"0")))))</f>
        <v>148.58415000000002</v>
      </c>
      <c r="AJ72" s="20">
        <f>IF(AJ19=0,"0",IF(AND(Results!$E$5="Protein",$C$53&gt;0,OR(Results!$E$4="Tissue",Results!$E$4="Cells")),((AJ19*AJ$51)/(AJ$53)),IF(AND(Results!$E$5="Weight",$C$52&gt;0, Results!$E$4="Tissue",OR($B$52="g",$B$52="mg")),((AJ19*AJ$51)/(AJ$52)),IF(AND(Results!$E$5="Volume",$C$54&gt;0,Results!$E$4="Fluid"),((AJ19*AJ$51)/(AJ$54)),IF(AND(Results!$E$4="Cells",Results!$E$5="Million",$B$52="million"),((AJ19*AJ$51)/(AJ$52)),"0")))))</f>
        <v>485.25783333333334</v>
      </c>
      <c r="AK72" s="20">
        <f>IF(AK19=0,"0",IF(AND(Results!$E$5="Protein",$C$53&gt;0,OR(Results!$E$4="Tissue",Results!$E$4="Cells")),((AK19*AK$51)/(AK$53)),IF(AND(Results!$E$5="Weight",$C$52&gt;0, Results!$E$4="Tissue",OR($B$52="g",$B$52="mg")),((AK19*AK$51)/(AK$52)),IF(AND(Results!$E$5="Volume",$C$54&gt;0,Results!$E$4="Fluid"),((AK19*AK$51)/(AK$54)),IF(AND(Results!$E$4="Cells",Results!$E$5="Million",$B$52="million"),((AK19*AK$51)/(AK$52)),"0")))))</f>
        <v>640.53073333333327</v>
      </c>
      <c r="AL72" s="20">
        <f>IF(AL19=0,"0",IF(AND(Results!$E$5="Protein",$C$53&gt;0,OR(Results!$E$4="Tissue",Results!$E$4="Cells")),((AL19*AL$51)/(AL$53)),IF(AND(Results!$E$5="Weight",$C$52&gt;0, Results!$E$4="Tissue",OR($B$52="g",$B$52="mg")),((AL19*AL$51)/(AL$52)),IF(AND(Results!$E$5="Volume",$C$54&gt;0,Results!$E$4="Fluid"),((AL19*AL$51)/(AL$54)),IF(AND(Results!$E$4="Cells",Results!$E$5="Million",$B$52="million"),((AL19*AL$51)/(AL$52)),"0")))))</f>
        <v>146.02453333333332</v>
      </c>
      <c r="AM72" s="20">
        <f>IF(AM19=0,"0",IF(AND(Results!$E$5="Protein",$C$53&gt;0,OR(Results!$E$4="Tissue",Results!$E$4="Cells")),((AM19*AM$51)/(AM$53)),IF(AND(Results!$E$5="Weight",$C$52&gt;0, Results!$E$4="Tissue",OR($B$52="g",$B$52="mg")),((AM19*AM$51)/(AM$52)),IF(AND(Results!$E$5="Volume",$C$54&gt;0,Results!$E$4="Fluid"),((AM19*AM$51)/(AM$54)),IF(AND(Results!$E$4="Cells",Results!$E$5="Million",$B$52="million"),((AM19*AM$51)/(AM$52)),"0")))))</f>
        <v>235.06438333333332</v>
      </c>
      <c r="AN72" s="20">
        <f>IF(AN19=0,"0",IF(AND(Results!$E$5="Protein",$C$53&gt;0,OR(Results!$E$4="Tissue",Results!$E$4="Cells")),((AN19*AN$51)/(AN$53)),IF(AND(Results!$E$5="Weight",$C$52&gt;0, Results!$E$4="Tissue",OR($B$52="g",$B$52="mg")),((AN19*AN$51)/(AN$52)),IF(AND(Results!$E$5="Volume",$C$54&gt;0,Results!$E$4="Fluid"),((AN19*AN$51)/(AN$54)),IF(AND(Results!$E$4="Cells",Results!$E$5="Million",$B$52="million"),((AN19*AN$51)/(AN$52)),"0")))))</f>
        <v>593.0157333333334</v>
      </c>
      <c r="AO72" s="20">
        <f>IF(AO19=0,"0",IF(AND(Results!$E$5="Protein",$C$53&gt;0,OR(Results!$E$4="Tissue",Results!$E$4="Cells")),((AO19*AO$51)/(AO$53)),IF(AND(Results!$E$5="Weight",$C$52&gt;0, Results!$E$4="Tissue",OR($B$52="g",$B$52="mg")),((AO19*AO$51)/(AO$52)),IF(AND(Results!$E$5="Volume",$C$54&gt;0,Results!$E$4="Fluid"),((AO19*AO$51)/(AO$54)),IF(AND(Results!$E$4="Cells",Results!$E$5="Million",$B$52="million"),((AO19*AO$51)/(AO$52)),"0")))))</f>
        <v>433.92586666666659</v>
      </c>
      <c r="AP72" s="20">
        <f>IF(AP19=0,"0",IF(AND(Results!$E$5="Protein",$C$53&gt;0,OR(Results!$E$4="Tissue",Results!$E$4="Cells")),((AP19*AP$51)/(AP$53)),IF(AND(Results!$E$5="Weight",$C$52&gt;0, Results!$E$4="Tissue",OR($B$52="g",$B$52="mg")),((AP19*AP$51)/(AP$52)),IF(AND(Results!$E$5="Volume",$C$54&gt;0,Results!$E$4="Fluid"),((AP19*AP$51)/(AP$54)),IF(AND(Results!$E$4="Cells",Results!$E$5="Million",$B$52="million"),((AP19*AP$51)/(AP$52)),"0")))))</f>
        <v>81.024766666666665</v>
      </c>
      <c r="AQ72" s="20">
        <f>IF(AQ19=0,"0",IF(AND(Results!$E$5="Protein",$C$53&gt;0,OR(Results!$E$4="Tissue",Results!$E$4="Cells")),((AQ19*AQ$51)/(AQ$53)),IF(AND(Results!$E$5="Weight",$C$52&gt;0, Results!$E$4="Tissue",OR($B$52="g",$B$52="mg")),((AQ19*AQ$51)/(AQ$52)),IF(AND(Results!$E$5="Volume",$C$54&gt;0,Results!$E$4="Fluid"),((AQ19*AQ$51)/(AQ$54)),IF(AND(Results!$E$4="Cells",Results!$E$5="Million",$B$52="million"),((AQ19*AQ$51)/(AQ$52)),"0")))))</f>
        <v>399.07468333333333</v>
      </c>
      <c r="AR72" s="20">
        <f>IF(AR19=0,"0",IF(AND(Results!$E$5="Protein",$C$53&gt;0,OR(Results!$E$4="Tissue",Results!$E$4="Cells")),((AR19*AR$51)/(AR$53)),IF(AND(Results!$E$5="Weight",$C$52&gt;0, Results!$E$4="Tissue",OR($B$52="g",$B$52="mg")),((AR19*AR$51)/(AR$52)),IF(AND(Results!$E$5="Volume",$C$54&gt;0,Results!$E$4="Fluid"),((AR19*AR$51)/(AR$54)),IF(AND(Results!$E$4="Cells",Results!$E$5="Million",$B$52="million"),((AR19*AR$51)/(AR$52)),"0")))))</f>
        <v>233.64596666666665</v>
      </c>
      <c r="AS72" s="20">
        <f>IF(AS19=0,"0",IF(AND(Results!$E$5="Protein",$C$53&gt;0,OR(Results!$E$4="Tissue",Results!$E$4="Cells")),((AS19*AS$51)/(AS$53)),IF(AND(Results!$E$5="Weight",$C$52&gt;0, Results!$E$4="Tissue",OR($B$52="g",$B$52="mg")),((AS19*AS$51)/(AS$52)),IF(AND(Results!$E$5="Volume",$C$54&gt;0,Results!$E$4="Fluid"),((AS19*AS$51)/(AS$54)),IF(AND(Results!$E$4="Cells",Results!$E$5="Million",$B$52="million"),((AS19*AS$51)/(AS$52)),"0")))))</f>
        <v>172.69731666666667</v>
      </c>
      <c r="AT72" s="20">
        <f>IF(AT19=0,"0",IF(AND(Results!$E$5="Protein",$C$53&gt;0,OR(Results!$E$4="Tissue",Results!$E$4="Cells")),((AT19*AT$51)/(AT$53)),IF(AND(Results!$E$5="Weight",$C$52&gt;0, Results!$E$4="Tissue",OR($B$52="g",$B$52="mg")),((AT19*AT$51)/(AT$52)),IF(AND(Results!$E$5="Volume",$C$54&gt;0,Results!$E$4="Fluid"),((AT19*AT$51)/(AT$54)),IF(AND(Results!$E$4="Cells",Results!$E$5="Million",$B$52="million"),((AT19*AT$51)/(AT$52)),"0")))))</f>
        <v>148.85865000000001</v>
      </c>
      <c r="AU72" s="20">
        <f>IF(AU19=0,"0",IF(AND(Results!$E$5="Protein",$C$53&gt;0,OR(Results!$E$4="Tissue",Results!$E$4="Cells")),((AU19*AU$51)/(AU$53)),IF(AND(Results!$E$5="Weight",$C$52&gt;0, Results!$E$4="Tissue",OR($B$52="g",$B$52="mg")),((AU19*AU$51)/(AU$52)),IF(AND(Results!$E$5="Volume",$C$54&gt;0,Results!$E$4="Fluid"),((AU19*AU$51)/(AU$54)),IF(AND(Results!$E$4="Cells",Results!$E$5="Million",$B$52="million"),((AU19*AU$51)/(AU$52)),"0")))))</f>
        <v>169.42099999999999</v>
      </c>
      <c r="AV72" s="20">
        <f>IF(AV19=0,"0",IF(AND(Results!$E$5="Protein",$C$53&gt;0,OR(Results!$E$4="Tissue",Results!$E$4="Cells")),((AV19*AV$51)/(AV$53)),IF(AND(Results!$E$5="Weight",$C$52&gt;0, Results!$E$4="Tissue",OR($B$52="g",$B$52="mg")),((AV19*AV$51)/(AV$52)),IF(AND(Results!$E$5="Volume",$C$54&gt;0,Results!$E$4="Fluid"),((AV19*AV$51)/(AV$54)),IF(AND(Results!$E$4="Cells",Results!$E$5="Million",$B$52="million"),((AV19*AV$51)/(AV$52)),"0")))))</f>
        <v>413.76472000000001</v>
      </c>
      <c r="AW72" s="20">
        <f>IF(AW19=0,"0",IF(AND(Results!$E$5="Protein",$C$53&gt;0,OR(Results!$E$4="Tissue",Results!$E$4="Cells")),((AW19*AW$51)/(AW$53)),IF(AND(Results!$E$5="Weight",$C$52&gt;0, Results!$E$4="Tissue",OR($B$52="g",$B$52="mg")),((AW19*AW$51)/(AW$52)),IF(AND(Results!$E$5="Volume",$C$54&gt;0,Results!$E$4="Fluid"),((AW19*AW$51)/(AW$54)),IF(AND(Results!$E$4="Cells",Results!$E$5="Million",$B$52="million"),((AW19*AW$51)/(AW$52)),"0")))))</f>
        <v>54.729533333333329</v>
      </c>
      <c r="AX72" s="20">
        <f>IF(AX19=0,"0",IF(AND(Results!$E$5="Protein",$C$53&gt;0,OR(Results!$E$4="Tissue",Results!$E$4="Cells")),((AX19*AX$51)/(AX$53)),IF(AND(Results!$E$5="Weight",$C$52&gt;0, Results!$E$4="Tissue",OR($B$52="g",$B$52="mg")),((AX19*AX$51)/(AX$52)),IF(AND(Results!$E$5="Volume",$C$54&gt;0,Results!$E$4="Fluid"),((AX19*AX$51)/(AX$54)),IF(AND(Results!$E$4="Cells",Results!$E$5="Million",$B$52="million"),((AX19*AX$51)/(AX$52)),"0")))))</f>
        <v>205.36454999999998</v>
      </c>
      <c r="AY72" s="20">
        <f>IF(AY19=0,"0",IF(AND(Results!$E$5="Protein",$C$53&gt;0,OR(Results!$E$4="Tissue",Results!$E$4="Cells")),((AY19*AY$51)/(AY$53)),IF(AND(Results!$E$5="Weight",$C$52&gt;0, Results!$E$4="Tissue",OR($B$52="g",$B$52="mg")),((AY19*AY$51)/(AY$52)),IF(AND(Results!$E$5="Volume",$C$54&gt;0,Results!$E$4="Fluid"),((AY19*AY$51)/(AY$54)),IF(AND(Results!$E$4="Cells",Results!$E$5="Million",$B$52="million"),((AY19*AY$51)/(AY$52)),"0")))))</f>
        <v>804.25903333333326</v>
      </c>
      <c r="AZ72" s="20">
        <f>IF(AZ19=0,"0",IF(AND(Results!$E$5="Protein",$C$53&gt;0,OR(Results!$E$4="Tissue",Results!$E$4="Cells")),((AZ19*AZ$51)/(AZ$53)),IF(AND(Results!$E$5="Weight",$C$52&gt;0, Results!$E$4="Tissue",OR($B$52="g",$B$52="mg")),((AZ19*AZ$51)/(AZ$52)),IF(AND(Results!$E$5="Volume",$C$54&gt;0,Results!$E$4="Fluid"),((AZ19*AZ$51)/(AZ$54)),IF(AND(Results!$E$4="Cells",Results!$E$5="Million",$B$52="million"),((AZ19*AZ$51)/(AZ$52)),"0")))))</f>
        <v>181.32031666666668</v>
      </c>
      <c r="BA72" s="20">
        <f>IF(BA19=0,"0",IF(AND(Results!$E$5="Protein",$C$53&gt;0,OR(Results!$E$4="Tissue",Results!$E$4="Cells")),((BA19*BA$51)/(BA$53)),IF(AND(Results!$E$5="Weight",$C$52&gt;0, Results!$E$4="Tissue",OR($B$52="g",$B$52="mg")),((BA19*BA$51)/(BA$52)),IF(AND(Results!$E$5="Volume",$C$54&gt;0,Results!$E$4="Fluid"),((BA19*BA$51)/(BA$54)),IF(AND(Results!$E$4="Cells",Results!$E$5="Million",$B$52="million"),((BA19*BA$51)/(BA$52)),"0")))))</f>
        <v>299.41070000000002</v>
      </c>
      <c r="BB72" s="20">
        <f>IF(BB19=0,"0",IF(AND(Results!$E$5="Protein",$C$53&gt;0,OR(Results!$E$4="Tissue",Results!$E$4="Cells")),((BB19*BB$51)/(BB$53)),IF(AND(Results!$E$5="Weight",$C$52&gt;0, Results!$E$4="Tissue",OR($B$52="g",$B$52="mg")),((BB19*BB$51)/(BB$52)),IF(AND(Results!$E$5="Volume",$C$54&gt;0,Results!$E$4="Fluid"),((BB19*BB$51)/(BB$54)),IF(AND(Results!$E$4="Cells",Results!$E$5="Million",$B$52="million"),((BB19*BB$51)/(BB$52)),"0")))))</f>
        <v>205.26735000000002</v>
      </c>
      <c r="BC72" s="20">
        <f>IF(BC19=0,"0",IF(AND(Results!$E$5="Protein",$C$53&gt;0,OR(Results!$E$4="Tissue",Results!$E$4="Cells")),((BC19*BC$51)/(BC$53)),IF(AND(Results!$E$5="Weight",$C$52&gt;0, Results!$E$4="Tissue",OR($B$52="g",$B$52="mg")),((BC19*BC$51)/(BC$52)),IF(AND(Results!$E$5="Volume",$C$54&gt;0,Results!$E$4="Fluid"),((BC19*BC$51)/(BC$54)),IF(AND(Results!$E$4="Cells",Results!$E$5="Million",$B$52="million"),((BC19*BC$51)/(BC$52)),"0")))))</f>
        <v>529.3593166666667</v>
      </c>
      <c r="BD72" s="20">
        <f>IF(BD19=0,"0",IF(AND(Results!$E$5="Protein",$C$53&gt;0,OR(Results!$E$4="Tissue",Results!$E$4="Cells")),((BD19*BD$51)/(BD$53)),IF(AND(Results!$E$5="Weight",$C$52&gt;0, Results!$E$4="Tissue",OR($B$52="g",$B$52="mg")),((BD19*BD$51)/(BD$52)),IF(AND(Results!$E$5="Volume",$C$54&gt;0,Results!$E$4="Fluid"),((BD19*BD$51)/(BD$54)),IF(AND(Results!$E$4="Cells",Results!$E$5="Million",$B$52="million"),((BD19*BD$51)/(BD$52)),"0")))))</f>
        <v>483.73651666666666</v>
      </c>
      <c r="BE72" s="20">
        <f>IF(BE19=0,"0",IF(AND(Results!$E$5="Protein",$C$53&gt;0,OR(Results!$E$4="Tissue",Results!$E$4="Cells")),((BE19*BE$51)/(BE$53)),IF(AND(Results!$E$5="Weight",$C$52&gt;0, Results!$E$4="Tissue",OR($B$52="g",$B$52="mg")),((BE19*BE$51)/(BE$52)),IF(AND(Results!$E$5="Volume",$C$54&gt;0,Results!$E$4="Fluid"),((BE19*BE$51)/(BE$54)),IF(AND(Results!$E$4="Cells",Results!$E$5="Million",$B$52="million"),((BE19*BE$51)/(BE$52)),"0")))))</f>
        <v>249.89201666666668</v>
      </c>
      <c r="BF72" s="20">
        <f>IF(BF19=0,"0",IF(AND(Results!$E$5="Protein",$C$53&gt;0,OR(Results!$E$4="Tissue",Results!$E$4="Cells")),((BF19*BF$51)/(BF$53)),IF(AND(Results!$E$5="Weight",$C$52&gt;0, Results!$E$4="Tissue",OR($B$52="g",$B$52="mg")),((BF19*BF$51)/(BF$52)),IF(AND(Results!$E$5="Volume",$C$54&gt;0,Results!$E$4="Fluid"),((BF19*BF$51)/(BF$54)),IF(AND(Results!$E$4="Cells",Results!$E$5="Million",$B$52="million"),((BF19*BF$51)/(BF$52)),"0")))))</f>
        <v>70.007849999999991</v>
      </c>
      <c r="BG72" s="20">
        <f>IF(BG19=0,"0",IF(AND(Results!$E$5="Protein",$C$53&gt;0,OR(Results!$E$4="Tissue",Results!$E$4="Cells")),((BG19*BG$51)/(BG$53)),IF(AND(Results!$E$5="Weight",$C$52&gt;0, Results!$E$4="Tissue",OR($B$52="g",$B$52="mg")),((BG19*BG$51)/(BG$52)),IF(AND(Results!$E$5="Volume",$C$54&gt;0,Results!$E$4="Fluid"),((BG19*BG$51)/(BG$54)),IF(AND(Results!$E$4="Cells",Results!$E$5="Million",$B$52="million"),((BG19*BG$51)/(BG$52)),"0")))))</f>
        <v>97.022483333333341</v>
      </c>
      <c r="BH72" s="20">
        <f>IF(BH19=0,"0",IF(AND(Results!$E$5="Protein",$C$53&gt;0,OR(Results!$E$4="Tissue",Results!$E$4="Cells")),((BH19*BH$51)/(BH$53)),IF(AND(Results!$E$5="Weight",$C$52&gt;0, Results!$E$4="Tissue",OR($B$52="g",$B$52="mg")),((BH19*BH$51)/(BH$52)),IF(AND(Results!$E$5="Volume",$C$54&gt;0,Results!$E$4="Fluid"),((BH19*BH$51)/(BH$54)),IF(AND(Results!$E$4="Cells",Results!$E$5="Million",$B$52="million"),((BH19*BH$51)/(BH$52)),"0")))))</f>
        <v>411.47064999999998</v>
      </c>
      <c r="BI72" s="20">
        <f>IF(BI19=0,"0",IF(AND(Results!$E$5="Protein",$C$53&gt;0,OR(Results!$E$4="Tissue",Results!$E$4="Cells")),((BI19*BI$51)/(BI$53)),IF(AND(Results!$E$5="Weight",$C$52&gt;0, Results!$E$4="Tissue",OR($B$52="g",$B$52="mg")),((BI19*BI$51)/(BI$52)),IF(AND(Results!$E$5="Volume",$C$54&gt;0,Results!$E$4="Fluid"),((BI19*BI$51)/(BI$54)),IF(AND(Results!$E$4="Cells",Results!$E$5="Million",$B$52="million"),((BI19*BI$51)/(BI$52)),"0")))))</f>
        <v>436.74831666666671</v>
      </c>
      <c r="BJ72" s="20">
        <f>IF(BJ19=0,"0",IF(AND(Results!$E$5="Protein",$C$53&gt;0,OR(Results!$E$4="Tissue",Results!$E$4="Cells")),((BJ19*BJ$51)/(BJ$53)),IF(AND(Results!$E$5="Weight",$C$52&gt;0, Results!$E$4="Tissue",OR($B$52="g",$B$52="mg")),((BJ19*BJ$51)/(BJ$52)),IF(AND(Results!$E$5="Volume",$C$54&gt;0,Results!$E$4="Fluid"),((BJ19*BJ$51)/(BJ$54)),IF(AND(Results!$E$4="Cells",Results!$E$5="Million",$B$52="million"),((BJ19*BJ$51)/(BJ$52)),"0")))))</f>
        <v>634.75688333333335</v>
      </c>
      <c r="BK72" s="20">
        <f>IF(BK19=0,"0",IF(AND(Results!$E$5="Protein",$C$53&gt;0,OR(Results!$E$4="Tissue",Results!$E$4="Cells")),((BK19*BK$51)/(BK$53)),IF(AND(Results!$E$5="Weight",$C$52&gt;0, Results!$E$4="Tissue",OR($B$52="g",$B$52="mg")),((BK19*BK$51)/(BK$52)),IF(AND(Results!$E$5="Volume",$C$54&gt;0,Results!$E$4="Fluid"),((BK19*BK$51)/(BK$54)),IF(AND(Results!$E$4="Cells",Results!$E$5="Million",$B$52="million"),((BK19*BK$51)/(BK$52)),"0")))))</f>
        <v>1829.6059666666667</v>
      </c>
      <c r="BL72" s="20">
        <f>IF(BL19=0,"0",IF(AND(Results!$E$5="Protein",$C$53&gt;0,OR(Results!$E$4="Tissue",Results!$E$4="Cells")),((BL19*BL$51)/(BL$53)),IF(AND(Results!$E$5="Weight",$C$52&gt;0, Results!$E$4="Tissue",OR($B$52="g",$B$52="mg")),((BL19*BL$51)/(BL$52)),IF(AND(Results!$E$5="Volume",$C$54&gt;0,Results!$E$4="Fluid"),((BL19*BL$51)/(BL$54)),IF(AND(Results!$E$4="Cells",Results!$E$5="Million",$B$52="million"),((BL19*BL$51)/(BL$52)),"0")))))</f>
        <v>1049.3517166666668</v>
      </c>
      <c r="BM72" s="20">
        <f>IF(BM19=0,"0",IF(AND(Results!$E$5="Protein",$C$53&gt;0,OR(Results!$E$4="Tissue",Results!$E$4="Cells")),((BM19*BM$51)/(BM$53)),IF(AND(Results!$E$5="Weight",$C$52&gt;0, Results!$E$4="Tissue",OR($B$52="g",$B$52="mg")),((BM19*BM$51)/(BM$52)),IF(AND(Results!$E$5="Volume",$C$54&gt;0,Results!$E$4="Fluid"),((BM19*BM$51)/(BM$54)),IF(AND(Results!$E$4="Cells",Results!$E$5="Million",$B$52="million"),((BM19*BM$51)/(BM$52)),"0")))))</f>
        <v>601.78620000000001</v>
      </c>
      <c r="BN72" s="20">
        <f>IF(BN19=0,"0",IF(AND(Results!$E$5="Protein",$C$53&gt;0,OR(Results!$E$4="Tissue",Results!$E$4="Cells")),((BN19*BN$51)/(BN$53)),IF(AND(Results!$E$5="Weight",$C$52&gt;0, Results!$E$4="Tissue",OR($B$52="g",$B$52="mg")),((BN19*BN$51)/(BN$52)),IF(AND(Results!$E$5="Volume",$C$54&gt;0,Results!$E$4="Fluid"),((BN19*BN$51)/(BN$54)),IF(AND(Results!$E$4="Cells",Results!$E$5="Million",$B$52="million"),((BN19*BN$51)/(BN$52)),"0")))))</f>
        <v>1269.2368333333334</v>
      </c>
      <c r="BO72" s="20">
        <f>IF(BO19=0,"0",IF(AND(Results!$E$5="Protein",$C$53&gt;0,OR(Results!$E$4="Tissue",Results!$E$4="Cells")),((BO19*BO$51)/(BO$53)),IF(AND(Results!$E$5="Weight",$C$52&gt;0, Results!$E$4="Tissue",OR($B$52="g",$B$52="mg")),((BO19*BO$51)/(BO$52)),IF(AND(Results!$E$5="Volume",$C$54&gt;0,Results!$E$4="Fluid"),((BO19*BO$51)/(BO$54)),IF(AND(Results!$E$4="Cells",Results!$E$5="Million",$B$52="million"),((BO19*BO$51)/(BO$52)),"0")))))</f>
        <v>439.25993333333338</v>
      </c>
      <c r="BP72" s="20">
        <f>IF(BP19=0,"0",IF(AND(Results!$E$5="Protein",$C$53&gt;0,OR(Results!$E$4="Tissue",Results!$E$4="Cells")),((BP19*BP$51)/(BP$53)),IF(AND(Results!$E$5="Weight",$C$52&gt;0, Results!$E$4="Tissue",OR($B$52="g",$B$52="mg")),((BP19*BP$51)/(BP$52)),IF(AND(Results!$E$5="Volume",$C$54&gt;0,Results!$E$4="Fluid"),((BP19*BP$51)/(BP$54)),IF(AND(Results!$E$4="Cells",Results!$E$5="Million",$B$52="million"),((BP19*BP$51)/(BP$52)),"0")))))</f>
        <v>881.73198333333323</v>
      </c>
      <c r="BQ72" s="20">
        <f>IF(BQ19=0,"0",IF(AND(Results!$E$5="Protein",$C$53&gt;0,OR(Results!$E$4="Tissue",Results!$E$4="Cells")),((BQ19*BQ$51)/(BQ$53)),IF(AND(Results!$E$5="Weight",$C$52&gt;0, Results!$E$4="Tissue",OR($B$52="g",$B$52="mg")),((BQ19*BQ$51)/(BQ$52)),IF(AND(Results!$E$5="Volume",$C$54&gt;0,Results!$E$4="Fluid"),((BQ19*BQ$51)/(BQ$54)),IF(AND(Results!$E$4="Cells",Results!$E$5="Million",$B$52="million"),((BQ19*BQ$51)/(BQ$52)),"0")))))</f>
        <v>339.48826666666662</v>
      </c>
      <c r="BR72" s="20">
        <f>IF(BR19=0,"0",IF(AND(Results!$E$5="Protein",$C$53&gt;0,OR(Results!$E$4="Tissue",Results!$E$4="Cells")),((BR19*BR$51)/(BR$53)),IF(AND(Results!$E$5="Weight",$C$52&gt;0, Results!$E$4="Tissue",OR($B$52="g",$B$52="mg")),((BR19*BR$51)/(BR$52)),IF(AND(Results!$E$5="Volume",$C$54&gt;0,Results!$E$4="Fluid"),((BR19*BR$51)/(BR$54)),IF(AND(Results!$E$4="Cells",Results!$E$5="Million",$B$52="million"),((BR19*BR$51)/(BR$52)),"0")))))</f>
        <v>235.93308571428571</v>
      </c>
      <c r="BS72" s="20">
        <f>IF(BS19=0,"0",IF(AND(Results!$E$5="Protein",$C$53&gt;0,OR(Results!$E$4="Tissue",Results!$E$4="Cells")),((BS19*BS$51)/(BS$53)),IF(AND(Results!$E$5="Weight",$C$52&gt;0, Results!$E$4="Tissue",OR($B$52="g",$B$52="mg")),((BS19*BS$51)/(BS$52)),IF(AND(Results!$E$5="Volume",$C$54&gt;0,Results!$E$4="Fluid"),((BS19*BS$51)/(BS$54)),IF(AND(Results!$E$4="Cells",Results!$E$5="Million",$B$52="million"),((BS19*BS$51)/(BS$52)),"0")))))</f>
        <v>644.46969999999999</v>
      </c>
      <c r="BT72" s="20">
        <f>IF(BT19=0,"0",IF(AND(Results!$E$5="Protein",$C$53&gt;0,OR(Results!$E$4="Tissue",Results!$E$4="Cells")),((BT19*BT$51)/(BT$53)),IF(AND(Results!$E$5="Weight",$C$52&gt;0, Results!$E$4="Tissue",OR($B$52="g",$B$52="mg")),((BT19*BT$51)/(BT$52)),IF(AND(Results!$E$5="Volume",$C$54&gt;0,Results!$E$4="Fluid"),((BT19*BT$51)/(BT$54)),IF(AND(Results!$E$4="Cells",Results!$E$5="Million",$B$52="million"),((BT19*BT$51)/(BT$52)),"0")))))</f>
        <v>250.2911666666667</v>
      </c>
      <c r="BU72" s="20">
        <f>IF(BU19=0,"0",IF(AND(Results!$E$5="Protein",$C$53&gt;0,OR(Results!$E$4="Tissue",Results!$E$4="Cells")),((BU19*BU$51)/(BU$53)),IF(AND(Results!$E$5="Weight",$C$52&gt;0, Results!$E$4="Tissue",OR($B$52="g",$B$52="mg")),((BU19*BU$51)/(BU$52)),IF(AND(Results!$E$5="Volume",$C$54&gt;0,Results!$E$4="Fluid"),((BU19*BU$51)/(BU$54)),IF(AND(Results!$E$4="Cells",Results!$E$5="Million",$B$52="million"),((BU19*BU$51)/(BU$52)),"0")))))</f>
        <v>264.27896666666669</v>
      </c>
      <c r="BV72" s="20">
        <f>IF(BV19=0,"0",IF(AND(Results!$E$5="Protein",$C$53&gt;0,OR(Results!$E$4="Tissue",Results!$E$4="Cells")),((BV19*BV$51)/(BV$53)),IF(AND(Results!$E$5="Weight",$C$52&gt;0, Results!$E$4="Tissue",OR($B$52="g",$B$52="mg")),((BV19*BV$51)/(BV$52)),IF(AND(Results!$E$5="Volume",$C$54&gt;0,Results!$E$4="Fluid"),((BV19*BV$51)/(BV$54)),IF(AND(Results!$E$4="Cells",Results!$E$5="Million",$B$52="million"),((BV19*BV$51)/(BV$52)),"0")))))</f>
        <v>192.96975000000003</v>
      </c>
      <c r="BW72" s="20">
        <f>IF(BW19=0,"0",IF(AND(Results!$E$5="Protein",$C$53&gt;0,OR(Results!$E$4="Tissue",Results!$E$4="Cells")),((BW19*BW$51)/(BW$53)),IF(AND(Results!$E$5="Weight",$C$52&gt;0, Results!$E$4="Tissue",OR($B$52="g",$B$52="mg")),((BW19*BW$51)/(BW$52)),IF(AND(Results!$E$5="Volume",$C$54&gt;0,Results!$E$4="Fluid"),((BW19*BW$51)/(BW$54)),IF(AND(Results!$E$4="Cells",Results!$E$5="Million",$B$52="million"),((BW19*BW$51)/(BW$52)),"0")))))</f>
        <v>641.18976666666663</v>
      </c>
      <c r="BX72" s="20">
        <f>IF(BX19=0,"0",IF(AND(Results!$E$5="Protein",$C$53&gt;0,OR(Results!$E$4="Tissue",Results!$E$4="Cells")),((BX19*BX$51)/(BX$53)),IF(AND(Results!$E$5="Weight",$C$52&gt;0, Results!$E$4="Tissue",OR($B$52="g",$B$52="mg")),((BX19*BX$51)/(BX$52)),IF(AND(Results!$E$5="Volume",$C$54&gt;0,Results!$E$4="Fluid"),((BX19*BX$51)/(BX$54)),IF(AND(Results!$E$4="Cells",Results!$E$5="Million",$B$52="million"),((BX19*BX$51)/(BX$52)),"0")))))</f>
        <v>252.69985</v>
      </c>
      <c r="BY72" s="20">
        <f>IF(BY19=0,"0",IF(AND(Results!$E$5="Protein",$C$53&gt;0,OR(Results!$E$4="Tissue",Results!$E$4="Cells")),((BY19*BY$51)/(BY$53)),IF(AND(Results!$E$5="Weight",$C$52&gt;0, Results!$E$4="Tissue",OR($B$52="g",$B$52="mg")),((BY19*BY$51)/(BY$52)),IF(AND(Results!$E$5="Volume",$C$54&gt;0,Results!$E$4="Fluid"),((BY19*BY$51)/(BY$54)),IF(AND(Results!$E$4="Cells",Results!$E$5="Million",$B$52="million"),((BY19*BY$51)/(BY$52)),"0")))))</f>
        <v>686.32090000000005</v>
      </c>
      <c r="BZ72" s="20">
        <f>IF(BZ19=0,"0",IF(AND(Results!$E$5="Protein",$C$53&gt;0,OR(Results!$E$4="Tissue",Results!$E$4="Cells")),((BZ19*BZ$51)/(BZ$53)),IF(AND(Results!$E$5="Weight",$C$52&gt;0, Results!$E$4="Tissue",OR($B$52="g",$B$52="mg")),((BZ19*BZ$51)/(BZ$52)),IF(AND(Results!$E$5="Volume",$C$54&gt;0,Results!$E$4="Fluid"),((BZ19*BZ$51)/(BZ$54)),IF(AND(Results!$E$4="Cells",Results!$E$5="Million",$B$52="million"),((BZ19*BZ$51)/(BZ$52)),"0")))))</f>
        <v>227.21941666666666</v>
      </c>
      <c r="CA72" s="20">
        <f>IF(CA19=0,"0",IF(AND(Results!$E$5="Protein",$C$53&gt;0,OR(Results!$E$4="Tissue",Results!$E$4="Cells")),((CA19*CA$51)/(CA$53)),IF(AND(Results!$E$5="Weight",$C$52&gt;0, Results!$E$4="Tissue",OR($B$52="g",$B$52="mg")),((CA19*CA$51)/(CA$52)),IF(AND(Results!$E$5="Volume",$C$54&gt;0,Results!$E$4="Fluid"),((CA19*CA$51)/(CA$54)),IF(AND(Results!$E$4="Cells",Results!$E$5="Million",$B$52="million"),((CA19*CA$51)/(CA$52)),"0")))))</f>
        <v>382.31733333333335</v>
      </c>
      <c r="CB72" s="20">
        <f>IF(CB19=0,"0",IF(AND(Results!$E$5="Protein",$C$53&gt;0,OR(Results!$E$4="Tissue",Results!$E$4="Cells")),((CB19*CB$51)/(CB$53)),IF(AND(Results!$E$5="Weight",$C$52&gt;0, Results!$E$4="Tissue",OR($B$52="g",$B$52="mg")),((CB19*CB$51)/(CB$52)),IF(AND(Results!$E$5="Volume",$C$54&gt;0,Results!$E$4="Fluid"),((CB19*CB$51)/(CB$54)),IF(AND(Results!$E$4="Cells",Results!$E$5="Million",$B$52="million"),((CB19*CB$51)/(CB$52)),"0")))))</f>
        <v>167.24761666666666</v>
      </c>
      <c r="CC72" s="20">
        <f>IF(CC19=0,"0",IF(AND(Results!$E$5="Protein",$C$53&gt;0,OR(Results!$E$4="Tissue",Results!$E$4="Cells")),((CC19*CC$51)/(CC$53)),IF(AND(Results!$E$5="Weight",$C$52&gt;0, Results!$E$4="Tissue",OR($B$52="g",$B$52="mg")),((CC19*CC$51)/(CC$52)),IF(AND(Results!$E$5="Volume",$C$54&gt;0,Results!$E$4="Fluid"),((CC19*CC$51)/(CC$54)),IF(AND(Results!$E$4="Cells",Results!$E$5="Million",$B$52="million"),((CC19*CC$51)/(CC$52)),"0")))))</f>
        <v>499.15445</v>
      </c>
      <c r="CD72" s="20">
        <f>IF(CD19=0,"0",IF(AND(Results!$E$5="Protein",$C$53&gt;0,OR(Results!$E$4="Tissue",Results!$E$4="Cells")),((CD19*CD$51)/(CD$53)),IF(AND(Results!$E$5="Weight",$C$52&gt;0, Results!$E$4="Tissue",OR($B$52="g",$B$52="mg")),((CD19*CD$51)/(CD$52)),IF(AND(Results!$E$5="Volume",$C$54&gt;0,Results!$E$4="Fluid"),((CD19*CD$51)/(CD$54)),IF(AND(Results!$E$4="Cells",Results!$E$5="Million",$B$52="million"),((CD19*CD$51)/(CD$52)),"0")))))</f>
        <v>282.60433333333333</v>
      </c>
      <c r="CE72" s="20">
        <f>IF(CE19=0,"0",IF(AND(Results!$E$5="Protein",$C$53&gt;0,OR(Results!$E$4="Tissue",Results!$E$4="Cells")),((CE19*CE$51)/(CE$53)),IF(AND(Results!$E$5="Weight",$C$52&gt;0, Results!$E$4="Tissue",OR($B$52="g",$B$52="mg")),((CE19*CE$51)/(CE$52)),IF(AND(Results!$E$5="Volume",$C$54&gt;0,Results!$E$4="Fluid"),((CE19*CE$51)/(CE$54)),IF(AND(Results!$E$4="Cells",Results!$E$5="Million",$B$52="million"),((CE19*CE$51)/(CE$52)),"0")))))</f>
        <v>263.32364999999999</v>
      </c>
      <c r="CF72" s="20">
        <f>IF(CF19=0,"0",IF(AND(Results!$E$5="Protein",$C$53&gt;0,OR(Results!$E$4="Tissue",Results!$E$4="Cells")),((CF19*CF$51)/(CF$53)),IF(AND(Results!$E$5="Weight",$C$52&gt;0, Results!$E$4="Tissue",OR($B$52="g",$B$52="mg")),((CF19*CF$51)/(CF$52)),IF(AND(Results!$E$5="Volume",$C$54&gt;0,Results!$E$4="Fluid"),((CF19*CF$51)/(CF$54)),IF(AND(Results!$E$4="Cells",Results!$E$5="Million",$B$52="million"),((CF19*CF$51)/(CF$52)),"0")))))</f>
        <v>173.61765</v>
      </c>
      <c r="CG72" s="20">
        <f>IF(CG19=0,"0",IF(AND(Results!$E$5="Protein",$C$53&gt;0,OR(Results!$E$4="Tissue",Results!$E$4="Cells")),((CG19*CG$51)/(CG$53)),IF(AND(Results!$E$5="Weight",$C$52&gt;0, Results!$E$4="Tissue",OR($B$52="g",$B$52="mg")),((CG19*CG$51)/(CG$52)),IF(AND(Results!$E$5="Volume",$C$54&gt;0,Results!$E$4="Fluid"),((CG19*CG$51)/(CG$54)),IF(AND(Results!$E$4="Cells",Results!$E$5="Million",$B$52="million"),((CG19*CG$51)/(CG$52)),"0")))))</f>
        <v>161.65234999999998</v>
      </c>
      <c r="CH72" s="20">
        <f>IF(CH19=0,"0",IF(AND(Results!$E$5="Protein",$C$53&gt;0,OR(Results!$E$4="Tissue",Results!$E$4="Cells")),((CH19*CH$51)/(CH$53)),IF(AND(Results!$E$5="Weight",$C$52&gt;0, Results!$E$4="Tissue",OR($B$52="g",$B$52="mg")),((CH19*CH$51)/(CH$52)),IF(AND(Results!$E$5="Volume",$C$54&gt;0,Results!$E$4="Fluid"),((CH19*CH$51)/(CH$54)),IF(AND(Results!$E$4="Cells",Results!$E$5="Million",$B$52="million"),((CH19*CH$51)/(CH$52)),"0")))))</f>
        <v>197.87791666666666</v>
      </c>
      <c r="CI72" s="20">
        <f>IF(CI19=0,"0",IF(AND(Results!$E$5="Protein",$C$53&gt;0,OR(Results!$E$4="Tissue",Results!$E$4="Cells")),((CI19*CI$51)/(CI$53)),IF(AND(Results!$E$5="Weight",$C$52&gt;0, Results!$E$4="Tissue",OR($B$52="g",$B$52="mg")),((CI19*CI$51)/(CI$52)),IF(AND(Results!$E$5="Volume",$C$54&gt;0,Results!$E$4="Fluid"),((CI19*CI$51)/(CI$54)),IF(AND(Results!$E$4="Cells",Results!$E$5="Million",$B$52="million"),((CI19*CI$51)/(CI$52)),"0")))))</f>
        <v>834.26673333333338</v>
      </c>
      <c r="CJ72" s="20">
        <f>IF(CJ19=0,"0",IF(AND(Results!$E$5="Protein",$C$53&gt;0,OR(Results!$E$4="Tissue",Results!$E$4="Cells")),((CJ19*CJ$51)/(CJ$53)),IF(AND(Results!$E$5="Weight",$C$52&gt;0, Results!$E$4="Tissue",OR($B$52="g",$B$52="mg")),((CJ19*CJ$51)/(CJ$52)),IF(AND(Results!$E$5="Volume",$C$54&gt;0,Results!$E$4="Fluid"),((CJ19*CJ$51)/(CJ$54)),IF(AND(Results!$E$4="Cells",Results!$E$5="Million",$B$52="million"),((CJ19*CJ$51)/(CJ$52)),"0")))))</f>
        <v>133.41717777777779</v>
      </c>
      <c r="CK72" s="20">
        <f>IF(CK19=0,"0",IF(AND(Results!$E$5="Protein",$C$53&gt;0,OR(Results!$E$4="Tissue",Results!$E$4="Cells")),((CK19*CK$51)/(CK$53)),IF(AND(Results!$E$5="Weight",$C$52&gt;0, Results!$E$4="Tissue",OR($B$52="g",$B$52="mg")),((CK19*CK$51)/(CK$52)),IF(AND(Results!$E$5="Volume",$C$54&gt;0,Results!$E$4="Fluid"),((CK19*CK$51)/(CK$54)),IF(AND(Results!$E$4="Cells",Results!$E$5="Million",$B$52="million"),((CK19*CK$51)/(CK$52)),"0")))))</f>
        <v>19.222383333333333</v>
      </c>
      <c r="CL72" s="20">
        <f>IF(CL19=0,"0",IF(AND(Results!$E$5="Protein",$C$53&gt;0,OR(Results!$E$4="Tissue",Results!$E$4="Cells")),((CL19*CL$51)/(CL$53)),IF(AND(Results!$E$5="Weight",$C$52&gt;0, Results!$E$4="Tissue",OR($B$52="g",$B$52="mg")),((CL19*CL$51)/(CL$52)),IF(AND(Results!$E$5="Volume",$C$54&gt;0,Results!$E$4="Fluid"),((CL19*CL$51)/(CL$54)),IF(AND(Results!$E$4="Cells",Results!$E$5="Million",$B$52="million"),((CL19*CL$51)/(CL$52)),"0")))))</f>
        <v>30.136050000000001</v>
      </c>
      <c r="CM72" s="20">
        <f>IF(CM19=0,"0",IF(AND(Results!$E$5="Protein",$C$53&gt;0,OR(Results!$E$4="Tissue",Results!$E$4="Cells")),((CM19*CM$51)/(CM$53)),IF(AND(Results!$E$5="Weight",$C$52&gt;0, Results!$E$4="Tissue",OR($B$52="g",$B$52="mg")),((CM19*CM$51)/(CM$52)),IF(AND(Results!$E$5="Volume",$C$54&gt;0,Results!$E$4="Fluid"),((CM19*CM$51)/(CM$54)),IF(AND(Results!$E$4="Cells",Results!$E$5="Million",$B$52="million"),((CM19*CM$51)/(CM$52)),"0")))))</f>
        <v>605.2746166666667</v>
      </c>
      <c r="CN72" s="20">
        <f>IF(CN19=0,"0",IF(AND(Results!$E$5="Protein",$C$53&gt;0,OR(Results!$E$4="Tissue",Results!$E$4="Cells")),((CN19*CN$51)/(CN$53)),IF(AND(Results!$E$5="Weight",$C$52&gt;0, Results!$E$4="Tissue",OR($B$52="g",$B$52="mg")),((CN19*CN$51)/(CN$52)),IF(AND(Results!$E$5="Volume",$C$54&gt;0,Results!$E$4="Fluid"),((CN19*CN$51)/(CN$54)),IF(AND(Results!$E$4="Cells",Results!$E$5="Million",$B$52="million"),((CN19*CN$51)/(CN$52)),"0")))))</f>
        <v>273.56620000000004</v>
      </c>
      <c r="CO72" s="20">
        <f>IF(CO19=0,"0",IF(AND(Results!$E$5="Protein",$C$53&gt;0,OR(Results!$E$4="Tissue",Results!$E$4="Cells")),((CO19*CO$51)/(CO$53)),IF(AND(Results!$E$5="Weight",$C$52&gt;0, Results!$E$4="Tissue",OR($B$52="g",$B$52="mg")),((CO19*CO$51)/(CO$52)),IF(AND(Results!$E$5="Volume",$C$54&gt;0,Results!$E$4="Fluid"),((CO19*CO$51)/(CO$54)),IF(AND(Results!$E$4="Cells",Results!$E$5="Million",$B$52="million"),((CO19*CO$51)/(CO$52)),"0")))))</f>
        <v>287.64508333333339</v>
      </c>
      <c r="CP72" s="20">
        <f>IF(CP19=0,"0",IF(AND(Results!$E$5="Protein",$C$53&gt;0,OR(Results!$E$4="Tissue",Results!$E$4="Cells")),((CP19*CP$51)/(CP$53)),IF(AND(Results!$E$5="Weight",$C$52&gt;0, Results!$E$4="Tissue",OR($B$52="g",$B$52="mg")),((CP19*CP$51)/(CP$52)),IF(AND(Results!$E$5="Volume",$C$54&gt;0,Results!$E$4="Fluid"),((CP19*CP$51)/(CP$54)),IF(AND(Results!$E$4="Cells",Results!$E$5="Million",$B$52="million"),((CP19*CP$51)/(CP$52)),"0")))))</f>
        <v>567.45931666666672</v>
      </c>
      <c r="CQ72" s="20">
        <f>IF(CQ19=0,"0",IF(AND(Results!$E$5="Protein",$C$53&gt;0,OR(Results!$E$4="Tissue",Results!$E$4="Cells")),((CQ19*CQ$51)/(CQ$53)),IF(AND(Results!$E$5="Weight",$C$52&gt;0, Results!$E$4="Tissue",OR($B$52="g",$B$52="mg")),((CQ19*CQ$51)/(CQ$52)),IF(AND(Results!$E$5="Volume",$C$54&gt;0,Results!$E$4="Fluid"),((CQ19*CQ$51)/(CQ$54)),IF(AND(Results!$E$4="Cells",Results!$E$5="Million",$B$52="million"),((CQ19*CQ$51)/(CQ$52)),"0")))))</f>
        <v>658.19275000000005</v>
      </c>
      <c r="CR72" s="20">
        <f>IF(CR19=0,"0",IF(AND(Results!$E$5="Protein",$C$53&gt;0,OR(Results!$E$4="Tissue",Results!$E$4="Cells")),((CR19*CR$51)/(CR$53)),IF(AND(Results!$E$5="Weight",$C$52&gt;0, Results!$E$4="Tissue",OR($B$52="g",$B$52="mg")),((CR19*CR$51)/(CR$52)),IF(AND(Results!$E$5="Volume",$C$54&gt;0,Results!$E$4="Fluid"),((CR19*CR$51)/(CR$54)),IF(AND(Results!$E$4="Cells",Results!$E$5="Million",$B$52="million"),((CR19*CR$51)/(CR$52)),"0")))))</f>
        <v>276.65078333333332</v>
      </c>
      <c r="CS72" s="20">
        <f>IF(CS19=0,"0",IF(AND(Results!$E$5="Protein",$C$53&gt;0,OR(Results!$E$4="Tissue",Results!$E$4="Cells")),((CS19*CS$51)/(CS$53)),IF(AND(Results!$E$5="Weight",$C$52&gt;0, Results!$E$4="Tissue",OR($B$52="g",$B$52="mg")),((CS19*CS$51)/(CS$52)),IF(AND(Results!$E$5="Volume",$C$54&gt;0,Results!$E$4="Fluid"),((CS19*CS$51)/(CS$54)),IF(AND(Results!$E$4="Cells",Results!$E$5="Million",$B$52="million"),((CS19*CS$51)/(CS$52)),"0")))))</f>
        <v>417.77751666666671</v>
      </c>
      <c r="CT72" s="20">
        <f>IF(CT19=0,"0",IF(AND(Results!$E$5="Protein",$C$53&gt;0,OR(Results!$E$4="Tissue",Results!$E$4="Cells")),((CT19*CT$51)/(CT$53)),IF(AND(Results!$E$5="Weight",$C$52&gt;0, Results!$E$4="Tissue",OR($B$52="g",$B$52="mg")),((CT19*CT$51)/(CT$52)),IF(AND(Results!$E$5="Volume",$C$54&gt;0,Results!$E$4="Fluid"),((CT19*CT$51)/(CT$54)),IF(AND(Results!$E$4="Cells",Results!$E$5="Million",$B$52="million"),((CT19*CT$51)/(CT$52)),"0")))))</f>
        <v>483.97148333333337</v>
      </c>
      <c r="CU72" s="20">
        <f>IF(CU19=0,"0",IF(AND(Results!$E$5="Protein",$C$53&gt;0,OR(Results!$E$4="Tissue",Results!$E$4="Cells")),((CU19*CU$51)/(CU$53)),IF(AND(Results!$E$5="Weight",$C$52&gt;0, Results!$E$4="Tissue",OR($B$52="g",$B$52="mg")),((CU19*CU$51)/(CU$52)),IF(AND(Results!$E$5="Volume",$C$54&gt;0,Results!$E$4="Fluid"),((CU19*CU$51)/(CU$54)),IF(AND(Results!$E$4="Cells",Results!$E$5="Million",$B$52="million"),((CU19*CU$51)/(CU$52)),"0")))))</f>
        <v>740.55664999999999</v>
      </c>
      <c r="CV72" s="20">
        <f>IF(CV19=0,"0",IF(AND(Results!$E$5="Protein",$C$53&gt;0,OR(Results!$E$4="Tissue",Results!$E$4="Cells")),((CV19*CV$51)/(CV$53)),IF(AND(Results!$E$5="Weight",$C$52&gt;0, Results!$E$4="Tissue",OR($B$52="g",$B$52="mg")),((CV19*CV$51)/(CV$52)),IF(AND(Results!$E$5="Volume",$C$54&gt;0,Results!$E$4="Fluid"),((CV19*CV$51)/(CV$54)),IF(AND(Results!$E$4="Cells",Results!$E$5="Million",$B$52="million"),((CV19*CV$51)/(CV$52)),"0")))))</f>
        <v>1286.6532166666666</v>
      </c>
      <c r="CW72" s="20">
        <f>IF(CW19=0,"0",IF(AND(Results!$E$5="Protein",$C$53&gt;0,OR(Results!$E$4="Tissue",Results!$E$4="Cells")),((CW19*CW$51)/(CW$53)),IF(AND(Results!$E$5="Weight",$C$52&gt;0, Results!$E$4="Tissue",OR($B$52="g",$B$52="mg")),((CW19*CW$51)/(CW$52)),IF(AND(Results!$E$5="Volume",$C$54&gt;0,Results!$E$4="Fluid"),((CW19*CW$51)/(CW$54)),IF(AND(Results!$E$4="Cells",Results!$E$5="Million",$B$52="million"),((CW19*CW$51)/(CW$52)),"0")))))</f>
        <v>294.73301666666669</v>
      </c>
      <c r="CX72" s="20">
        <f>IF(CX19=0,"0",IF(AND(Results!$E$5="Protein",$C$53&gt;0,OR(Results!$E$4="Tissue",Results!$E$4="Cells")),((CX19*CX$51)/(CX$53)),IF(AND(Results!$E$5="Weight",$C$52&gt;0, Results!$E$4="Tissue",OR($B$52="g",$B$52="mg")),((CX19*CX$51)/(CX$52)),IF(AND(Results!$E$5="Volume",$C$54&gt;0,Results!$E$4="Fluid"),((CX19*CX$51)/(CX$54)),IF(AND(Results!$E$4="Cells",Results!$E$5="Million",$B$52="million"),((CX19*CX$51)/(CX$52)),"0")))))</f>
        <v>159.16388333333333</v>
      </c>
      <c r="CY72" s="20">
        <f>IF(CY19=0,"0",IF(AND(Results!$E$5="Protein",$C$53&gt;0,OR(Results!$E$4="Tissue",Results!$E$4="Cells")),((CY19*CY$51)/(CY$53)),IF(AND(Results!$E$5="Weight",$C$52&gt;0, Results!$E$4="Tissue",OR($B$52="g",$B$52="mg")),((CY19*CY$51)/(CY$52)),IF(AND(Results!$E$5="Volume",$C$54&gt;0,Results!$E$4="Fluid"),((CY19*CY$51)/(CY$54)),IF(AND(Results!$E$4="Cells",Results!$E$5="Million",$B$52="million"),((CY19*CY$51)/(CY$52)),"0")))))</f>
        <v>291.71861666666666</v>
      </c>
      <c r="CZ72" s="20">
        <f>IF(CZ19=0,"0",IF(AND(Results!$E$5="Protein",$C$53&gt;0,OR(Results!$E$4="Tissue",Results!$E$4="Cells")),((CZ19*CZ$51)/(CZ$53)),IF(AND(Results!$E$5="Weight",$C$52&gt;0, Results!$E$4="Tissue",OR($B$52="g",$B$52="mg")),((CZ19*CZ$51)/(CZ$52)),IF(AND(Results!$E$5="Volume",$C$54&gt;0,Results!$E$4="Fluid"),((CZ19*CZ$51)/(CZ$54)),IF(AND(Results!$E$4="Cells",Results!$E$5="Million",$B$52="million"),((CZ19*CZ$51)/(CZ$52)),"0")))))</f>
        <v>129.83494999999999</v>
      </c>
      <c r="DA72" s="20">
        <f>IF(DA19=0,"0",IF(AND(Results!$E$5="Protein",$C$53&gt;0,OR(Results!$E$4="Tissue",Results!$E$4="Cells")),((DA19*DA$51)/(DA$53)),IF(AND(Results!$E$5="Weight",$C$52&gt;0, Results!$E$4="Tissue",OR($B$52="g",$B$52="mg")),((DA19*DA$51)/(DA$52)),IF(AND(Results!$E$5="Volume",$C$54&gt;0,Results!$E$4="Fluid"),((DA19*DA$51)/(DA$54)),IF(AND(Results!$E$4="Cells",Results!$E$5="Million",$B$52="million"),((DA19*DA$51)/(DA$52)),"0")))))</f>
        <v>198.63013333333336</v>
      </c>
      <c r="DB72" s="20">
        <f>IF(DB19=0,"0",IF(AND(Results!$E$5="Protein",$C$53&gt;0,OR(Results!$E$4="Tissue",Results!$E$4="Cells")),((DB19*DB$51)/(DB$53)),IF(AND(Results!$E$5="Weight",$C$52&gt;0, Results!$E$4="Tissue",OR($B$52="g",$B$52="mg")),((DB19*DB$51)/(DB$52)),IF(AND(Results!$E$5="Volume",$C$54&gt;0,Results!$E$4="Fluid"),((DB19*DB$51)/(DB$54)),IF(AND(Results!$E$4="Cells",Results!$E$5="Million",$B$52="million"),((DB19*DB$51)/(DB$52)),"0")))))</f>
        <v>554.73765000000014</v>
      </c>
      <c r="DC72" s="20">
        <f>IF(DC19=0,"0",IF(AND(Results!$E$5="Protein",$C$53&gt;0,OR(Results!$E$4="Tissue",Results!$E$4="Cells")),((DC19*DC$51)/(DC$53)),IF(AND(Results!$E$5="Weight",$C$52&gt;0, Results!$E$4="Tissue",OR($B$52="g",$B$52="mg")),((DC19*DC$51)/(DC$52)),IF(AND(Results!$E$5="Volume",$C$54&gt;0,Results!$E$4="Fluid"),((DC19*DC$51)/(DC$54)),IF(AND(Results!$E$4="Cells",Results!$E$5="Million",$B$52="million"),((DC19*DC$51)/(DC$52)),"0")))))</f>
        <v>387.32173333333338</v>
      </c>
      <c r="DD72" s="20">
        <f>IF(DD19=0,"0",IF(AND(Results!$E$5="Protein",$C$53&gt;0,OR(Results!$E$4="Tissue",Results!$E$4="Cells")),((DD19*DD$51)/(DD$53)),IF(AND(Results!$E$5="Weight",$C$52&gt;0, Results!$E$4="Tissue",OR($B$52="g",$B$52="mg")),((DD19*DD$51)/(DD$52)),IF(AND(Results!$E$5="Volume",$C$54&gt;0,Results!$E$4="Fluid"),((DD19*DD$51)/(DD$54)),IF(AND(Results!$E$4="Cells",Results!$E$5="Million",$B$52="million"),((DD19*DD$51)/(DD$52)),"0")))))</f>
        <v>1126.4889499999999</v>
      </c>
      <c r="DE72" s="20">
        <f>IF(DE19=0,"0",IF(AND(Results!$E$5="Protein",$C$53&gt;0,OR(Results!$E$4="Tissue",Results!$E$4="Cells")),((DE19*DE$51)/(DE$53)),IF(AND(Results!$E$5="Weight",$C$52&gt;0, Results!$E$4="Tissue",OR($B$52="g",$B$52="mg")),((DE19*DE$51)/(DE$52)),IF(AND(Results!$E$5="Volume",$C$54&gt;0,Results!$E$4="Fluid"),((DE19*DE$51)/(DE$54)),IF(AND(Results!$E$4="Cells",Results!$E$5="Million",$B$52="million"),((DE19*DE$51)/(DE$52)),"0")))))</f>
        <v>280.00830000000002</v>
      </c>
      <c r="DF72" s="20">
        <f>IF(DF19=0,"0",IF(AND(Results!$E$5="Protein",$C$53&gt;0,OR(Results!$E$4="Tissue",Results!$E$4="Cells")),((DF19*DF$51)/(DF$53)),IF(AND(Results!$E$5="Weight",$C$52&gt;0, Results!$E$4="Tissue",OR($B$52="g",$B$52="mg")),((DF19*DF$51)/(DF$52)),IF(AND(Results!$E$5="Volume",$C$54&gt;0,Results!$E$4="Fluid"),((DF19*DF$51)/(DF$54)),IF(AND(Results!$E$4="Cells",Results!$E$5="Million",$B$52="million"),((DF19*DF$51)/(DF$52)),"0")))))</f>
        <v>86.494083333333336</v>
      </c>
      <c r="DG72" s="20">
        <f>IF(DG19=0,"0",IF(AND(Results!$E$5="Protein",$C$53&gt;0,OR(Results!$E$4="Tissue",Results!$E$4="Cells")),((DG19*DG$51)/(DG$53)),IF(AND(Results!$E$5="Weight",$C$52&gt;0, Results!$E$4="Tissue",OR($B$52="g",$B$52="mg")),((DG19*DG$51)/(DG$52)),IF(AND(Results!$E$5="Volume",$C$54&gt;0,Results!$E$4="Fluid"),((DG19*DG$51)/(DG$54)),IF(AND(Results!$E$4="Cells",Results!$E$5="Million",$B$52="million"),((DG19*DG$51)/(DG$52)),"0")))))</f>
        <v>199.03556666666671</v>
      </c>
      <c r="DH72" s="20">
        <f>IF(DH19=0,"0",IF(AND(Results!$E$5="Protein",$C$53&gt;0,OR(Results!$E$4="Tissue",Results!$E$4="Cells")),((DH19*DH$51)/(DH$53)),IF(AND(Results!$E$5="Weight",$C$52&gt;0, Results!$E$4="Tissue",OR($B$52="g",$B$52="mg")),((DH19*DH$51)/(DH$52)),IF(AND(Results!$E$5="Volume",$C$54&gt;0,Results!$E$4="Fluid"),((DH19*DH$51)/(DH$54)),IF(AND(Results!$E$4="Cells",Results!$E$5="Million",$B$52="million"),((DH19*DH$51)/(DH$52)),"0")))))</f>
        <v>170.12871666666666</v>
      </c>
      <c r="DI72" s="20">
        <f>IF(DI19=0,"0",IF(AND(Results!$E$5="Protein",$C$53&gt;0,OR(Results!$E$4="Tissue",Results!$E$4="Cells")),((DI19*DI$51)/(DI$53)),IF(AND(Results!$E$5="Weight",$C$52&gt;0, Results!$E$4="Tissue",OR($B$52="g",$B$52="mg")),((DI19*DI$51)/(DI$52)),IF(AND(Results!$E$5="Volume",$C$54&gt;0,Results!$E$4="Fluid"),((DI19*DI$51)/(DI$54)),IF(AND(Results!$E$4="Cells",Results!$E$5="Million",$B$52="million"),((DI19*DI$51)/(DI$52)),"0")))))</f>
        <v>581.36626666666666</v>
      </c>
      <c r="DJ72" s="20">
        <f>IF(DJ19=0,"0",IF(AND(Results!$E$5="Protein",$C$53&gt;0,OR(Results!$E$4="Tissue",Results!$E$4="Cells")),((DJ19*DJ$51)/(DJ$53)),IF(AND(Results!$E$5="Weight",$C$52&gt;0, Results!$E$4="Tissue",OR($B$52="g",$B$52="mg")),((DJ19*DJ$51)/(DJ$52)),IF(AND(Results!$E$5="Volume",$C$54&gt;0,Results!$E$4="Fluid"),((DJ19*DJ$51)/(DJ$54)),IF(AND(Results!$E$4="Cells",Results!$E$5="Million",$B$52="million"),((DJ19*DJ$51)/(DJ$52)),"0")))))</f>
        <v>299.46948333333336</v>
      </c>
      <c r="DK72" s="20">
        <f>IF(DK19=0,"0",IF(AND(Results!$E$5="Protein",$C$53&gt;0,OR(Results!$E$4="Tissue",Results!$E$4="Cells")),((DK19*DK$51)/(DK$53)),IF(AND(Results!$E$5="Weight",$C$52&gt;0, Results!$E$4="Tissue",OR($B$52="g",$B$52="mg")),((DK19*DK$51)/(DK$52)),IF(AND(Results!$E$5="Volume",$C$54&gt;0,Results!$E$4="Fluid"),((DK19*DK$51)/(DK$54)),IF(AND(Results!$E$4="Cells",Results!$E$5="Million",$B$52="million"),((DK19*DK$51)/(DK$52)),"0")))))</f>
        <v>202.76486666666668</v>
      </c>
      <c r="DL72" s="20">
        <f>IF(DL19=0,"0",IF(AND(Results!$E$5="Protein",$C$53&gt;0,OR(Results!$E$4="Tissue",Results!$E$4="Cells")),((DL19*DL$51)/(DL$53)),IF(AND(Results!$E$5="Weight",$C$52&gt;0, Results!$E$4="Tissue",OR($B$52="g",$B$52="mg")),((DL19*DL$51)/(DL$52)),IF(AND(Results!$E$5="Volume",$C$54&gt;0,Results!$E$4="Fluid"),((DL19*DL$51)/(DL$54)),IF(AND(Results!$E$4="Cells",Results!$E$5="Million",$B$52="million"),((DL19*DL$51)/(DL$52)),"0")))))</f>
        <v>206.79088333333337</v>
      </c>
      <c r="DM72" s="20">
        <f>IF(DM19=0,"0",IF(AND(Results!$E$5="Protein",$C$53&gt;0,OR(Results!$E$4="Tissue",Results!$E$4="Cells")),((DM19*DM$51)/(DM$53)),IF(AND(Results!$E$5="Weight",$C$52&gt;0, Results!$E$4="Tissue",OR($B$52="g",$B$52="mg")),((DM19*DM$51)/(DM$52)),IF(AND(Results!$E$5="Volume",$C$54&gt;0,Results!$E$4="Fluid"),((DM19*DM$51)/(DM$54)),IF(AND(Results!$E$4="Cells",Results!$E$5="Million",$B$52="million"),((DM19*DM$51)/(DM$52)),"0")))))</f>
        <v>943.42393333333337</v>
      </c>
      <c r="DN72" s="20">
        <f>IF(DN19=0,"0",IF(AND(Results!$E$5="Protein",$C$53&gt;0,OR(Results!$E$4="Tissue",Results!$E$4="Cells")),((DN19*DN$51)/(DN$53)),IF(AND(Results!$E$5="Weight",$C$52&gt;0, Results!$E$4="Tissue",OR($B$52="g",$B$52="mg")),((DN19*DN$51)/(DN$52)),IF(AND(Results!$E$5="Volume",$C$54&gt;0,Results!$E$4="Fluid"),((DN19*DN$51)/(DN$54)),IF(AND(Results!$E$4="Cells",Results!$E$5="Million",$B$52="million"),((DN19*DN$51)/(DN$52)),"0")))))</f>
        <v>637.18926666666664</v>
      </c>
      <c r="DO72" s="20">
        <f>IF(DO19=0,"0",IF(AND(Results!$E$5="Protein",$C$53&gt;0,OR(Results!$E$4="Tissue",Results!$E$4="Cells")),((DO19*DO$51)/(DO$53)),IF(AND(Results!$E$5="Weight",$C$52&gt;0, Results!$E$4="Tissue",OR($B$52="g",$B$52="mg")),((DO19*DO$51)/(DO$52)),IF(AND(Results!$E$5="Volume",$C$54&gt;0,Results!$E$4="Fluid"),((DO19*DO$51)/(DO$54)),IF(AND(Results!$E$4="Cells",Results!$E$5="Million",$B$52="million"),((DO19*DO$51)/(DO$52)),"0")))))</f>
        <v>1046.1483833333334</v>
      </c>
      <c r="DP72" s="20">
        <f>IF(DP19=0,"0",IF(AND(Results!$E$5="Protein",$C$53&gt;0,OR(Results!$E$4="Tissue",Results!$E$4="Cells")),((DP19*DP$51)/(DP$53)),IF(AND(Results!$E$5="Weight",$C$52&gt;0, Results!$E$4="Tissue",OR($B$52="g",$B$52="mg")),((DP19*DP$51)/(DP$52)),IF(AND(Results!$E$5="Volume",$C$54&gt;0,Results!$E$4="Fluid"),((DP19*DP$51)/(DP$54)),IF(AND(Results!$E$4="Cells",Results!$E$5="Million",$B$52="million"),((DP19*DP$51)/(DP$52)),"0")))))</f>
        <v>135.34196666666668</v>
      </c>
      <c r="DQ72" s="20">
        <f>IF(DQ19=0,"0",IF(AND(Results!$E$5="Protein",$C$53&gt;0,OR(Results!$E$4="Tissue",Results!$E$4="Cells")),((DQ19*DQ$51)/(DQ$53)),IF(AND(Results!$E$5="Weight",$C$52&gt;0, Results!$E$4="Tissue",OR($B$52="g",$B$52="mg")),((DQ19*DQ$51)/(DQ$52)),IF(AND(Results!$E$5="Volume",$C$54&gt;0,Results!$E$4="Fluid"),((DQ19*DQ$51)/(DQ$54)),IF(AND(Results!$E$4="Cells",Results!$E$5="Million",$B$52="million"),((DQ19*DQ$51)/(DQ$52)),"0")))))</f>
        <v>250.42771666666667</v>
      </c>
      <c r="DR72" s="20">
        <f>IF(DR19=0,"0",IF(AND(Results!$E$5="Protein",$C$53&gt;0,OR(Results!$E$4="Tissue",Results!$E$4="Cells")),((DR19*DR$51)/(DR$53)),IF(AND(Results!$E$5="Weight",$C$52&gt;0, Results!$E$4="Tissue",OR($B$52="g",$B$52="mg")),((DR19*DR$51)/(DR$52)),IF(AND(Results!$E$5="Volume",$C$54&gt;0,Results!$E$4="Fluid"),((DR19*DR$51)/(DR$54)),IF(AND(Results!$E$4="Cells",Results!$E$5="Million",$B$52="million"),((DR19*DR$51)/(DR$52)),"0")))))</f>
        <v>523.596</v>
      </c>
      <c r="DS72" s="20">
        <f>IF(DS19=0,"0",IF(AND(Results!$E$5="Protein",$C$53&gt;0,OR(Results!$E$4="Tissue",Results!$E$4="Cells")),((DS19*DS$51)/(DS$53)),IF(AND(Results!$E$5="Weight",$C$52&gt;0, Results!$E$4="Tissue",OR($B$52="g",$B$52="mg")),((DS19*DS$51)/(DS$52)),IF(AND(Results!$E$5="Volume",$C$54&gt;0,Results!$E$4="Fluid"),((DS19*DS$51)/(DS$54)),IF(AND(Results!$E$4="Cells",Results!$E$5="Million",$B$52="million"),((DS19*DS$51)/(DS$52)),"0")))))</f>
        <v>336.97891666666669</v>
      </c>
      <c r="DT72" s="20">
        <f>IF(DT19=0,"0",IF(AND(Results!$E$5="Protein",$C$53&gt;0,OR(Results!$E$4="Tissue",Results!$E$4="Cells")),((DT19*DT$51)/(DT$53)),IF(AND(Results!$E$5="Weight",$C$52&gt;0, Results!$E$4="Tissue",OR($B$52="g",$B$52="mg")),((DT19*DT$51)/(DT$52)),IF(AND(Results!$E$5="Volume",$C$54&gt;0,Results!$E$4="Fluid"),((DT19*DT$51)/(DT$54)),IF(AND(Results!$E$4="Cells",Results!$E$5="Million",$B$52="million"),((DT19*DT$51)/(DT$52)),"0")))))</f>
        <v>346.07214999999997</v>
      </c>
      <c r="DU72" s="20">
        <f>IF(DU19=0,"0",IF(AND(Results!$E$5="Protein",$C$53&gt;0,OR(Results!$E$4="Tissue",Results!$E$4="Cells")),((DU19*DU$51)/(DU$53)),IF(AND(Results!$E$5="Weight",$C$52&gt;0, Results!$E$4="Tissue",OR($B$52="g",$B$52="mg")),((DU19*DU$51)/(DU$52)),IF(AND(Results!$E$5="Volume",$C$54&gt;0,Results!$E$4="Fluid"),((DU19*DU$51)/(DU$54)),IF(AND(Results!$E$4="Cells",Results!$E$5="Million",$B$52="million"),((DU19*DU$51)/(DU$52)),"0")))))</f>
        <v>187.03519999999997</v>
      </c>
      <c r="DV72" s="20">
        <f>IF(DV19=0,"0",IF(AND(Results!$E$5="Protein",$C$53&gt;0,OR(Results!$E$4="Tissue",Results!$E$4="Cells")),((DV19*DV$51)/(DV$53)),IF(AND(Results!$E$5="Weight",$C$52&gt;0, Results!$E$4="Tissue",OR($B$52="g",$B$52="mg")),((DV19*DV$51)/(DV$52)),IF(AND(Results!$E$5="Volume",$C$54&gt;0,Results!$E$4="Fluid"),((DV19*DV$51)/(DV$54)),IF(AND(Results!$E$4="Cells",Results!$E$5="Million",$B$52="million"),((DV19*DV$51)/(DV$52)),"0")))))</f>
        <v>346.6533</v>
      </c>
      <c r="DW72" s="20">
        <f>IF(DW19=0,"0",IF(AND(Results!$E$5="Protein",$C$53&gt;0,OR(Results!$E$4="Tissue",Results!$E$4="Cells")),((DW19*DW$51)/(DW$53)),IF(AND(Results!$E$5="Weight",$C$52&gt;0, Results!$E$4="Tissue",OR($B$52="g",$B$52="mg")),((DW19*DW$51)/(DW$52)),IF(AND(Results!$E$5="Volume",$C$54&gt;0,Results!$E$4="Fluid"),((DW19*DW$51)/(DW$54)),IF(AND(Results!$E$4="Cells",Results!$E$5="Million",$B$52="million"),((DW19*DW$51)/(DW$52)),"0")))))</f>
        <v>422.35511666666667</v>
      </c>
      <c r="DX72" s="20">
        <f>IF(DX19=0,"0",IF(AND(Results!$E$5="Protein",$C$53&gt;0,OR(Results!$E$4="Tissue",Results!$E$4="Cells")),((DX19*DX$51)/(DX$53)),IF(AND(Results!$E$5="Weight",$C$52&gt;0, Results!$E$4="Tissue",OR($B$52="g",$B$52="mg")),((DX19*DX$51)/(DX$52)),IF(AND(Results!$E$5="Volume",$C$54&gt;0,Results!$E$4="Fluid"),((DX19*DX$51)/(DX$54)),IF(AND(Results!$E$4="Cells",Results!$E$5="Million",$B$52="million"),((DX19*DX$51)/(DX$52)),"0")))))</f>
        <v>273.86118333333332</v>
      </c>
      <c r="DY72" s="20">
        <f>IF(DY19=0,"0",IF(AND(Results!$E$5="Protein",$C$53&gt;0,OR(Results!$E$4="Tissue",Results!$E$4="Cells")),((DY19*DY$51)/(DY$53)),IF(AND(Results!$E$5="Weight",$C$52&gt;0, Results!$E$4="Tissue",OR($B$52="g",$B$52="mg")),((DY19*DY$51)/(DY$52)),IF(AND(Results!$E$5="Volume",$C$54&gt;0,Results!$E$4="Fluid"),((DY19*DY$51)/(DY$54)),IF(AND(Results!$E$4="Cells",Results!$E$5="Million",$B$52="million"),((DY19*DY$51)/(DY$52)),"0")))))</f>
        <v>579.46629999999993</v>
      </c>
      <c r="DZ72" s="20">
        <f>IF(DZ19=0,"0",IF(AND(Results!$E$5="Protein",$C$53&gt;0,OR(Results!$E$4="Tissue",Results!$E$4="Cells")),((DZ19*DZ$51)/(DZ$53)),IF(AND(Results!$E$5="Weight",$C$52&gt;0, Results!$E$4="Tissue",OR($B$52="g",$B$52="mg")),((DZ19*DZ$51)/(DZ$52)),IF(AND(Results!$E$5="Volume",$C$54&gt;0,Results!$E$4="Fluid"),((DZ19*DZ$51)/(DZ$54)),IF(AND(Results!$E$4="Cells",Results!$E$5="Million",$B$52="million"),((DZ19*DZ$51)/(DZ$52)),"0")))))</f>
        <v>169.36228333333335</v>
      </c>
      <c r="EA72" s="20">
        <f>IF(EA19=0,"0",IF(AND(Results!$E$5="Protein",$C$53&gt;0,OR(Results!$E$4="Tissue",Results!$E$4="Cells")),((EA19*EA$51)/(EA$53)),IF(AND(Results!$E$5="Weight",$C$52&gt;0, Results!$E$4="Tissue",OR($B$52="g",$B$52="mg")),((EA19*EA$51)/(EA$52)),IF(AND(Results!$E$5="Volume",$C$54&gt;0,Results!$E$4="Fluid"),((EA19*EA$51)/(EA$54)),IF(AND(Results!$E$4="Cells",Results!$E$5="Million",$B$52="million"),((EA19*EA$51)/(EA$52)),"0")))))</f>
        <v>567.53261666666674</v>
      </c>
      <c r="EB72" s="20">
        <f>IF(EB19=0,"0",IF(AND(Results!$E$5="Protein",$C$53&gt;0,OR(Results!$E$4="Tissue",Results!$E$4="Cells")),((EB19*EB$51)/(EB$53)),IF(AND(Results!$E$5="Weight",$C$52&gt;0, Results!$E$4="Tissue",OR($B$52="g",$B$52="mg")),((EB19*EB$51)/(EB$52)),IF(AND(Results!$E$5="Volume",$C$54&gt;0,Results!$E$4="Fluid"),((EB19*EB$51)/(EB$54)),IF(AND(Results!$E$4="Cells",Results!$E$5="Million",$B$52="million"),((EB19*EB$51)/(EB$52)),"0")))))</f>
        <v>621.53793333333329</v>
      </c>
      <c r="EC72" s="20">
        <f>IF(EC19=0,"0",IF(AND(Results!$E$5="Protein",$C$53&gt;0,OR(Results!$E$4="Tissue",Results!$E$4="Cells")),((EC19*EC$51)/(EC$53)),IF(AND(Results!$E$5="Weight",$C$52&gt;0, Results!$E$4="Tissue",OR($B$52="g",$B$52="mg")),((EC19*EC$51)/(EC$52)),IF(AND(Results!$E$5="Volume",$C$54&gt;0,Results!$E$4="Fluid"),((EC19*EC$51)/(EC$54)),IF(AND(Results!$E$4="Cells",Results!$E$5="Million",$B$52="million"),((EC19*EC$51)/(EC$52)),"0")))))</f>
        <v>78.02621666666667</v>
      </c>
      <c r="ED72" s="20">
        <f>IF(ED19=0,"0",IF(AND(Results!$E$5="Protein",$C$53&gt;0,OR(Results!$E$4="Tissue",Results!$E$4="Cells")),((ED19*ED$51)/(ED$53)),IF(AND(Results!$E$5="Weight",$C$52&gt;0, Results!$E$4="Tissue",OR($B$52="g",$B$52="mg")),((ED19*ED$51)/(ED$52)),IF(AND(Results!$E$5="Volume",$C$54&gt;0,Results!$E$4="Fluid"),((ED19*ED$51)/(ED$54)),IF(AND(Results!$E$4="Cells",Results!$E$5="Million",$B$52="million"),((ED19*ED$51)/(ED$52)),"0")))))</f>
        <v>542.14088333333336</v>
      </c>
      <c r="EE72" s="20">
        <f>IF(EE19=0,"0",IF(AND(Results!$E$5="Protein",$C$53&gt;0,OR(Results!$E$4="Tissue",Results!$E$4="Cells")),((EE19*EE$51)/(EE$53)),IF(AND(Results!$E$5="Weight",$C$52&gt;0, Results!$E$4="Tissue",OR($B$52="g",$B$52="mg")),((EE19*EE$51)/(EE$52)),IF(AND(Results!$E$5="Volume",$C$54&gt;0,Results!$E$4="Fluid"),((EE19*EE$51)/(EE$54)),IF(AND(Results!$E$4="Cells",Results!$E$5="Million",$B$52="million"),((EE19*EE$51)/(EE$52)),"0")))))</f>
        <v>180.71965</v>
      </c>
      <c r="EF72" s="20">
        <f>IF(EF19=0,"0",IF(AND(Results!$E$5="Protein",$C$53&gt;0,OR(Results!$E$4="Tissue",Results!$E$4="Cells")),((EF19*EF$51)/(EF$53)),IF(AND(Results!$E$5="Weight",$C$52&gt;0, Results!$E$4="Tissue",OR($B$52="g",$B$52="mg")),((EF19*EF$51)/(EF$52)),IF(AND(Results!$E$5="Volume",$C$54&gt;0,Results!$E$4="Fluid"),((EF19*EF$51)/(EF$54)),IF(AND(Results!$E$4="Cells",Results!$E$5="Million",$B$52="million"),((EF19*EF$51)/(EF$52)),"0")))))</f>
        <v>74.368300000000005</v>
      </c>
      <c r="EG72" s="20">
        <f>IF(EG19=0,"0",IF(AND(Results!$E$5="Protein",$C$53&gt;0,OR(Results!$E$4="Tissue",Results!$E$4="Cells")),((EG19*EG$51)/(EG$53)),IF(AND(Results!$E$5="Weight",$C$52&gt;0, Results!$E$4="Tissue",OR($B$52="g",$B$52="mg")),((EG19*EG$51)/(EG$52)),IF(AND(Results!$E$5="Volume",$C$54&gt;0,Results!$E$4="Fluid"),((EG19*EG$51)/(EG$54)),IF(AND(Results!$E$4="Cells",Results!$E$5="Million",$B$52="million"),((EG19*EG$51)/(EG$52)),"0")))))</f>
        <v>90.374266666666671</v>
      </c>
      <c r="EH72" s="20">
        <f>IF(EH19=0,"0",IF(AND(Results!$E$5="Protein",$C$53&gt;0,OR(Results!$E$4="Tissue",Results!$E$4="Cells")),((EH19*EH$51)/(EH$53)),IF(AND(Results!$E$5="Weight",$C$52&gt;0, Results!$E$4="Tissue",OR($B$52="g",$B$52="mg")),((EH19*EH$51)/(EH$52)),IF(AND(Results!$E$5="Volume",$C$54&gt;0,Results!$E$4="Fluid"),((EH19*EH$51)/(EH$54)),IF(AND(Results!$E$4="Cells",Results!$E$5="Million",$B$52="million"),((EH19*EH$51)/(EH$52)),"0")))))</f>
        <v>149.26168333333334</v>
      </c>
      <c r="EI72" s="20">
        <f>IF(EI19=0,"0",IF(AND(Results!$E$5="Protein",$C$53&gt;0,OR(Results!$E$4="Tissue",Results!$E$4="Cells")),((EI19*EI$51)/(EI$53)),IF(AND(Results!$E$5="Weight",$C$52&gt;0, Results!$E$4="Tissue",OR($B$52="g",$B$52="mg")),((EI19*EI$51)/(EI$52)),IF(AND(Results!$E$5="Volume",$C$54&gt;0,Results!$E$4="Fluid"),((EI19*EI$51)/(EI$54)),IF(AND(Results!$E$4="Cells",Results!$E$5="Million",$B$52="million"),((EI19*EI$51)/(EI$52)),"0")))))</f>
        <v>88.996066666666664</v>
      </c>
      <c r="EJ72" s="20">
        <f>IF(EJ19=0,"0",IF(AND(Results!$E$5="Protein",$C$53&gt;0,OR(Results!$E$4="Tissue",Results!$E$4="Cells")),((EJ19*EJ$51)/(EJ$53)),IF(AND(Results!$E$5="Weight",$C$52&gt;0, Results!$E$4="Tissue",OR($B$52="g",$B$52="mg")),((EJ19*EJ$51)/(EJ$52)),IF(AND(Results!$E$5="Volume",$C$54&gt;0,Results!$E$4="Fluid"),((EJ19*EJ$51)/(EJ$54)),IF(AND(Results!$E$4="Cells",Results!$E$5="Million",$B$52="million"),((EJ19*EJ$51)/(EJ$52)),"0")))))</f>
        <v>359.34456666666665</v>
      </c>
      <c r="EK72" s="20">
        <f>IF(EK19=0,"0",IF(AND(Results!$E$5="Protein",$C$53&gt;0,OR(Results!$E$4="Tissue",Results!$E$4="Cells")),((EK19*EK$51)/(EK$53)),IF(AND(Results!$E$5="Weight",$C$52&gt;0, Results!$E$4="Tissue",OR($B$52="g",$B$52="mg")),((EK19*EK$51)/(EK$52)),IF(AND(Results!$E$5="Volume",$C$54&gt;0,Results!$E$4="Fluid"),((EK19*EK$51)/(EK$54)),IF(AND(Results!$E$4="Cells",Results!$E$5="Million",$B$52="million"),((EK19*EK$51)/(EK$52)),"0")))))</f>
        <v>592.94796666666673</v>
      </c>
      <c r="EL72" s="20">
        <f>IF(EL19=0,"0",IF(AND(Results!$E$5="Protein",$C$53&gt;0,OR(Results!$E$4="Tissue",Results!$E$4="Cells")),((EL19*EL$51)/(EL$53)),IF(AND(Results!$E$5="Weight",$C$52&gt;0, Results!$E$4="Tissue",OR($B$52="g",$B$52="mg")),((EL19*EL$51)/(EL$52)),IF(AND(Results!$E$5="Volume",$C$54&gt;0,Results!$E$4="Fluid"),((EL19*EL$51)/(EL$54)),IF(AND(Results!$E$4="Cells",Results!$E$5="Million",$B$52="million"),((EL19*EL$51)/(EL$52)),"0")))))</f>
        <v>174.66626666666664</v>
      </c>
      <c r="EM72" s="20">
        <f>IF(EM19=0,"0",IF(AND(Results!$E$5="Protein",$C$53&gt;0,OR(Results!$E$4="Tissue",Results!$E$4="Cells")),((EM19*EM$51)/(EM$53)),IF(AND(Results!$E$5="Weight",$C$52&gt;0, Results!$E$4="Tissue",OR($B$52="g",$B$52="mg")),((EM19*EM$51)/(EM$52)),IF(AND(Results!$E$5="Volume",$C$54&gt;0,Results!$E$4="Fluid"),((EM19*EM$51)/(EM$54)),IF(AND(Results!$E$4="Cells",Results!$E$5="Million",$B$52="million"),((EM19*EM$51)/(EM$52)),"0")))))</f>
        <v>321.05681666666663</v>
      </c>
      <c r="EN72" s="20">
        <f>IF(EN19=0,"0",IF(AND(Results!$E$5="Protein",$C$53&gt;0,OR(Results!$E$4="Tissue",Results!$E$4="Cells")),((EN19*EN$51)/(EN$53)),IF(AND(Results!$E$5="Weight",$C$52&gt;0, Results!$E$4="Tissue",OR($B$52="g",$B$52="mg")),((EN19*EN$51)/(EN$52)),IF(AND(Results!$E$5="Volume",$C$54&gt;0,Results!$E$4="Fluid"),((EN19*EN$51)/(EN$54)),IF(AND(Results!$E$4="Cells",Results!$E$5="Million",$B$52="million"),((EN19*EN$51)/(EN$52)),"0")))))</f>
        <v>227.80636666666666</v>
      </c>
      <c r="EO72" s="20">
        <f>IF(EO19=0,"0",IF(AND(Results!$E$5="Protein",$C$53&gt;0,OR(Results!$E$4="Tissue",Results!$E$4="Cells")),((EO19*EO$51)/(EO$53)),IF(AND(Results!$E$5="Weight",$C$52&gt;0, Results!$E$4="Tissue",OR($B$52="g",$B$52="mg")),((EO19*EO$51)/(EO$52)),IF(AND(Results!$E$5="Volume",$C$54&gt;0,Results!$E$4="Fluid"),((EO19*EO$51)/(EO$54)),IF(AND(Results!$E$4="Cells",Results!$E$5="Million",$B$52="million"),((EO19*EO$51)/(EO$52)),"0")))))</f>
        <v>60.341533333333331</v>
      </c>
      <c r="EP72" s="20">
        <f>IF(EP19=0,"0",IF(AND(Results!$E$5="Protein",$C$53&gt;0,OR(Results!$E$4="Tissue",Results!$E$4="Cells")),((EP19*EP$51)/(EP$53)),IF(AND(Results!$E$5="Weight",$C$52&gt;0, Results!$E$4="Tissue",OR($B$52="g",$B$52="mg")),((EP19*EP$51)/(EP$52)),IF(AND(Results!$E$5="Volume",$C$54&gt;0,Results!$E$4="Fluid"),((EP19*EP$51)/(EP$54)),IF(AND(Results!$E$4="Cells",Results!$E$5="Million",$B$52="million"),((EP19*EP$51)/(EP$52)),"0")))))</f>
        <v>151.71956666666668</v>
      </c>
      <c r="EQ72" s="20">
        <f>IF(EQ19=0,"0",IF(AND(Results!$E$5="Protein",$C$53&gt;0,OR(Results!$E$4="Tissue",Results!$E$4="Cells")),((EQ19*EQ$51)/(EQ$53)),IF(AND(Results!$E$5="Weight",$C$52&gt;0, Results!$E$4="Tissue",OR($B$52="g",$B$52="mg")),((EQ19*EQ$51)/(EQ$52)),IF(AND(Results!$E$5="Volume",$C$54&gt;0,Results!$E$4="Fluid"),((EQ19*EQ$51)/(EQ$54)),IF(AND(Results!$E$4="Cells",Results!$E$5="Million",$B$52="million"),((EQ19*EQ$51)/(EQ$52)),"0")))))</f>
        <v>461.10658333333339</v>
      </c>
      <c r="ER72" s="20">
        <f>IF(ER19=0,"0",IF(AND(Results!$E$5="Protein",$C$53&gt;0,OR(Results!$E$4="Tissue",Results!$E$4="Cells")),((ER19*ER$51)/(ER$53)),IF(AND(Results!$E$5="Weight",$C$52&gt;0, Results!$E$4="Tissue",OR($B$52="g",$B$52="mg")),((ER19*ER$51)/(ER$52)),IF(AND(Results!$E$5="Volume",$C$54&gt;0,Results!$E$4="Fluid"),((ER19*ER$51)/(ER$54)),IF(AND(Results!$E$4="Cells",Results!$E$5="Million",$B$52="million"),((ER19*ER$51)/(ER$52)),"0")))))</f>
        <v>688.53324999999995</v>
      </c>
      <c r="ES72" s="20">
        <f>IF(ES19=0,"0",IF(AND(Results!$E$5="Protein",$C$53&gt;0,OR(Results!$E$4="Tissue",Results!$E$4="Cells")),((ES19*ES$51)/(ES$53)),IF(AND(Results!$E$5="Weight",$C$52&gt;0, Results!$E$4="Tissue",OR($B$52="g",$B$52="mg")),((ES19*ES$51)/(ES$52)),IF(AND(Results!$E$5="Volume",$C$54&gt;0,Results!$E$4="Fluid"),((ES19*ES$51)/(ES$54)),IF(AND(Results!$E$4="Cells",Results!$E$5="Million",$B$52="million"),((ES19*ES$51)/(ES$52)),"0")))))</f>
        <v>610.12779999999998</v>
      </c>
      <c r="ET72" s="20">
        <f>IF(ET19=0,"0",IF(AND(Results!$E$5="Protein",$C$53&gt;0,OR(Results!$E$4="Tissue",Results!$E$4="Cells")),((ET19*ET$51)/(ET$53)),IF(AND(Results!$E$5="Weight",$C$52&gt;0, Results!$E$4="Tissue",OR($B$52="g",$B$52="mg")),((ET19*ET$51)/(ET$52)),IF(AND(Results!$E$5="Volume",$C$54&gt;0,Results!$E$4="Fluid"),((ET19*ET$51)/(ET$54)),IF(AND(Results!$E$4="Cells",Results!$E$5="Million",$B$52="million"),((ET19*ET$51)/(ET$52)),"0")))))</f>
        <v>221.6979</v>
      </c>
      <c r="EU72" s="20">
        <f>IF(EU19=0,"0",IF(AND(Results!$E$5="Protein",$C$53&gt;0,OR(Results!$E$4="Tissue",Results!$E$4="Cells")),((EU19*EU$51)/(EU$53)),IF(AND(Results!$E$5="Weight",$C$52&gt;0, Results!$E$4="Tissue",OR($B$52="g",$B$52="mg")),((EU19*EU$51)/(EU$52)),IF(AND(Results!$E$5="Volume",$C$54&gt;0,Results!$E$4="Fluid"),((EU19*EU$51)/(EU$54)),IF(AND(Results!$E$4="Cells",Results!$E$5="Million",$B$52="million"),((EU19*EU$51)/(EU$52)),"0")))))</f>
        <v>818.36933333333343</v>
      </c>
      <c r="EV72" s="20">
        <f>IF(EV19=0,"0",IF(AND(Results!$E$5="Protein",$C$53&gt;0,OR(Results!$E$4="Tissue",Results!$E$4="Cells")),((EV19*EV$51)/(EV$53)),IF(AND(Results!$E$5="Weight",$C$52&gt;0, Results!$E$4="Tissue",OR($B$52="g",$B$52="mg")),((EV19*EV$51)/(EV$52)),IF(AND(Results!$E$5="Volume",$C$54&gt;0,Results!$E$4="Fluid"),((EV19*EV$51)/(EV$54)),IF(AND(Results!$E$4="Cells",Results!$E$5="Million",$B$52="million"),((EV19*EV$51)/(EV$52)),"0")))))</f>
        <v>370.36768333333328</v>
      </c>
      <c r="EW72" s="20">
        <f>IF(EW19=0,"0",IF(AND(Results!$E$5="Protein",$C$53&gt;0,OR(Results!$E$4="Tissue",Results!$E$4="Cells")),((EW19*EW$51)/(EW$53)),IF(AND(Results!$E$5="Weight",$C$52&gt;0, Results!$E$4="Tissue",OR($B$52="g",$B$52="mg")),((EW19*EW$51)/(EW$52)),IF(AND(Results!$E$5="Volume",$C$54&gt;0,Results!$E$4="Fluid"),((EW19*EW$51)/(EW$54)),IF(AND(Results!$E$4="Cells",Results!$E$5="Million",$B$52="million"),((EW19*EW$51)/(EW$52)),"0")))))</f>
        <v>153.40625</v>
      </c>
      <c r="EX72" s="20">
        <f>IF(EX19=0,"0",IF(AND(Results!$E$5="Protein",$C$53&gt;0,OR(Results!$E$4="Tissue",Results!$E$4="Cells")),((EX19*EX$51)/(EX$53)),IF(AND(Results!$E$5="Weight",$C$52&gt;0, Results!$E$4="Tissue",OR($B$52="g",$B$52="mg")),((EX19*EX$51)/(EX$52)),IF(AND(Results!$E$5="Volume",$C$54&gt;0,Results!$E$4="Fluid"),((EX19*EX$51)/(EX$54)),IF(AND(Results!$E$4="Cells",Results!$E$5="Million",$B$52="million"),((EX19*EX$51)/(EX$52)),"0")))))</f>
        <v>2030.8532500000001</v>
      </c>
      <c r="EY72" s="20">
        <f>IF(EY19=0,"0",IF(AND(Results!$E$5="Protein",$C$53&gt;0,OR(Results!$E$4="Tissue",Results!$E$4="Cells")),((EY19*EY$51)/(EY$53)),IF(AND(Results!$E$5="Weight",$C$52&gt;0, Results!$E$4="Tissue",OR($B$52="g",$B$52="mg")),((EY19*EY$51)/(EY$52)),IF(AND(Results!$E$5="Volume",$C$54&gt;0,Results!$E$4="Fluid"),((EY19*EY$51)/(EY$54)),IF(AND(Results!$E$4="Cells",Results!$E$5="Million",$B$52="million"),((EY19*EY$51)/(EY$52)),"0")))))</f>
        <v>925.01698333333331</v>
      </c>
      <c r="EZ72" s="20">
        <f>IF(EZ19=0,"0",IF(AND(Results!$E$5="Protein",$C$53&gt;0,OR(Results!$E$4="Tissue",Results!$E$4="Cells")),((EZ19*EZ$51)/(EZ$53)),IF(AND(Results!$E$5="Weight",$C$52&gt;0, Results!$E$4="Tissue",OR($B$52="g",$B$52="mg")),((EZ19*EZ$51)/(EZ$52)),IF(AND(Results!$E$5="Volume",$C$54&gt;0,Results!$E$4="Fluid"),((EZ19*EZ$51)/(EZ$54)),IF(AND(Results!$E$4="Cells",Results!$E$5="Million",$B$52="million"),((EZ19*EZ$51)/(EZ$52)),"0")))))</f>
        <v>459.84988333333331</v>
      </c>
      <c r="FA72" s="20">
        <f>IF(FA19=0,"0",IF(AND(Results!$E$5="Protein",$C$53&gt;0,OR(Results!$E$4="Tissue",Results!$E$4="Cells")),((FA19*FA$51)/(FA$53)),IF(AND(Results!$E$5="Weight",$C$52&gt;0, Results!$E$4="Tissue",OR($B$52="g",$B$52="mg")),((FA19*FA$51)/(FA$52)),IF(AND(Results!$E$5="Volume",$C$54&gt;0,Results!$E$4="Fluid"),((FA19*FA$51)/(FA$54)),IF(AND(Results!$E$4="Cells",Results!$E$5="Million",$B$52="million"),((FA19*FA$51)/(FA$52)),"0")))))</f>
        <v>269.64536666666669</v>
      </c>
      <c r="FB72" s="20">
        <f>IF(FB19=0,"0",IF(AND(Results!$E$5="Protein",$C$53&gt;0,OR(Results!$E$4="Tissue",Results!$E$4="Cells")),((FB19*FB$51)/(FB$53)),IF(AND(Results!$E$5="Weight",$C$52&gt;0, Results!$E$4="Tissue",OR($B$52="g",$B$52="mg")),((FB19*FB$51)/(FB$52)),IF(AND(Results!$E$5="Volume",$C$54&gt;0,Results!$E$4="Fluid"),((FB19*FB$51)/(FB$54)),IF(AND(Results!$E$4="Cells",Results!$E$5="Million",$B$52="million"),((FB19*FB$51)/(FB$52)),"0")))))</f>
        <v>67.82501666666667</v>
      </c>
      <c r="FC72" s="20">
        <f>IF(FC19=0,"0",IF(AND(Results!$E$5="Protein",$C$53&gt;0,OR(Results!$E$4="Tissue",Results!$E$4="Cells")),((FC19*FC$51)/(FC$53)),IF(AND(Results!$E$5="Weight",$C$52&gt;0, Results!$E$4="Tissue",OR($B$52="g",$B$52="mg")),((FC19*FC$51)/(FC$52)),IF(AND(Results!$E$5="Volume",$C$54&gt;0,Results!$E$4="Fluid"),((FC19*FC$51)/(FC$54)),IF(AND(Results!$E$4="Cells",Results!$E$5="Million",$B$52="million"),((FC19*FC$51)/(FC$52)),"0")))))</f>
        <v>553.69624999999985</v>
      </c>
      <c r="FD72" s="20">
        <f>IF(FD19=0,"0",IF(AND(Results!$E$5="Protein",$C$53&gt;0,OR(Results!$E$4="Tissue",Results!$E$4="Cells")),((FD19*FD$51)/(FD$53)),IF(AND(Results!$E$5="Weight",$C$52&gt;0, Results!$E$4="Tissue",OR($B$52="g",$B$52="mg")),((FD19*FD$51)/(FD$52)),IF(AND(Results!$E$5="Volume",$C$54&gt;0,Results!$E$4="Fluid"),((FD19*FD$51)/(FD$54)),IF(AND(Results!$E$4="Cells",Results!$E$5="Million",$B$52="million"),((FD19*FD$51)/(FD$52)),"0")))))</f>
        <v>148.64535000000004</v>
      </c>
      <c r="FE72" s="20">
        <f>IF(FE19=0,"0",IF(AND(Results!$E$5="Protein",$C$53&gt;0,OR(Results!$E$4="Tissue",Results!$E$4="Cells")),((FE19*FE$51)/(FE$53)),IF(AND(Results!$E$5="Weight",$C$52&gt;0, Results!$E$4="Tissue",OR($B$52="g",$B$52="mg")),((FE19*FE$51)/(FE$52)),IF(AND(Results!$E$5="Volume",$C$54&gt;0,Results!$E$4="Fluid"),((FE19*FE$51)/(FE$54)),IF(AND(Results!$E$4="Cells",Results!$E$5="Million",$B$52="million"),((FE19*FE$51)/(FE$52)),"0")))))</f>
        <v>101.91023333333334</v>
      </c>
      <c r="FF72" s="20">
        <f>IF(FF19=0,"0",IF(AND(Results!$E$5="Protein",$C$53&gt;0,OR(Results!$E$4="Tissue",Results!$E$4="Cells")),((FF19*FF$51)/(FF$53)),IF(AND(Results!$E$5="Weight",$C$52&gt;0, Results!$E$4="Tissue",OR($B$52="g",$B$52="mg")),((FF19*FF$51)/(FF$52)),IF(AND(Results!$E$5="Volume",$C$54&gt;0,Results!$E$4="Fluid"),((FF19*FF$51)/(FF$54)),IF(AND(Results!$E$4="Cells",Results!$E$5="Million",$B$52="million"),((FF19*FF$51)/(FF$52)),"0")))))</f>
        <v>602.13591666666662</v>
      </c>
      <c r="FG72" s="20">
        <f>IF(FG19=0,"0",IF(AND(Results!$E$5="Protein",$C$53&gt;0,OR(Results!$E$4="Tissue",Results!$E$4="Cells")),((FG19*FG$51)/(FG$53)),IF(AND(Results!$E$5="Weight",$C$52&gt;0, Results!$E$4="Tissue",OR($B$52="g",$B$52="mg")),((FG19*FG$51)/(FG$52)),IF(AND(Results!$E$5="Volume",$C$54&gt;0,Results!$E$4="Fluid"),((FG19*FG$51)/(FG$54)),IF(AND(Results!$E$4="Cells",Results!$E$5="Million",$B$52="million"),((FG19*FG$51)/(FG$52)),"0")))))</f>
        <v>239.15995000000004</v>
      </c>
      <c r="FH72" s="20">
        <f>IF(FH19=0,"0",IF(AND(Results!$E$5="Protein",$C$53&gt;0,OR(Results!$E$4="Tissue",Results!$E$4="Cells")),((FH19*FH$51)/(FH$53)),IF(AND(Results!$E$5="Weight",$C$52&gt;0, Results!$E$4="Tissue",OR($B$52="g",$B$52="mg")),((FH19*FH$51)/(FH$52)),IF(AND(Results!$E$5="Volume",$C$54&gt;0,Results!$E$4="Fluid"),((FH19*FH$51)/(FH$54)),IF(AND(Results!$E$4="Cells",Results!$E$5="Million",$B$52="million"),((FH19*FH$51)/(FH$52)),"0")))))</f>
        <v>476.53466666666668</v>
      </c>
      <c r="FI72" s="20">
        <f>IF(FI19=0,"0",IF(AND(Results!$E$5="Protein",$C$53&gt;0,OR(Results!$E$4="Tissue",Results!$E$4="Cells")),((FI19*FI$51)/(FI$53)),IF(AND(Results!$E$5="Weight",$C$52&gt;0, Results!$E$4="Tissue",OR($B$52="g",$B$52="mg")),((FI19*FI$51)/(FI$52)),IF(AND(Results!$E$5="Volume",$C$54&gt;0,Results!$E$4="Fluid"),((FI19*FI$51)/(FI$54)),IF(AND(Results!$E$4="Cells",Results!$E$5="Million",$B$52="million"),((FI19*FI$51)/(FI$52)),"0")))))</f>
        <v>396.72839999999997</v>
      </c>
      <c r="FJ72" s="20">
        <f>IF(FJ19=0,"0",IF(AND(Results!$E$5="Protein",$C$53&gt;0,OR(Results!$E$4="Tissue",Results!$E$4="Cells")),((FJ19*FJ$51)/(FJ$53)),IF(AND(Results!$E$5="Weight",$C$52&gt;0, Results!$E$4="Tissue",OR($B$52="g",$B$52="mg")),((FJ19*FJ$51)/(FJ$52)),IF(AND(Results!$E$5="Volume",$C$54&gt;0,Results!$E$4="Fluid"),((FJ19*FJ$51)/(FJ$54)),IF(AND(Results!$E$4="Cells",Results!$E$5="Million",$B$52="million"),((FJ19*FJ$51)/(FJ$52)),"0")))))</f>
        <v>1245.4189666666666</v>
      </c>
      <c r="FK72" s="20">
        <f>IF(FK19=0,"0",IF(AND(Results!$E$5="Protein",$C$53&gt;0,OR(Results!$E$4="Tissue",Results!$E$4="Cells")),((FK19*FK$51)/(FK$53)),IF(AND(Results!$E$5="Weight",$C$52&gt;0, Results!$E$4="Tissue",OR($B$52="g",$B$52="mg")),((FK19*FK$51)/(FK$52)),IF(AND(Results!$E$5="Volume",$C$54&gt;0,Results!$E$4="Fluid"),((FK19*FK$51)/(FK$54)),IF(AND(Results!$E$4="Cells",Results!$E$5="Million",$B$52="million"),((FK19*FK$51)/(FK$52)),"0")))))</f>
        <v>1847.8667666666665</v>
      </c>
      <c r="FL72" s="20">
        <f>IF(FL19=0,"0",IF(AND(Results!$E$5="Protein",$C$53&gt;0,OR(Results!$E$4="Tissue",Results!$E$4="Cells")),((FL19*FL$51)/(FL$53)),IF(AND(Results!$E$5="Weight",$C$52&gt;0, Results!$E$4="Tissue",OR($B$52="g",$B$52="mg")),((FL19*FL$51)/(FL$52)),IF(AND(Results!$E$5="Volume",$C$54&gt;0,Results!$E$4="Fluid"),((FL19*FL$51)/(FL$54)),IF(AND(Results!$E$4="Cells",Results!$E$5="Million",$B$52="million"),((FL19*FL$51)/(FL$52)),"0")))))</f>
        <v>694.18961666666667</v>
      </c>
      <c r="FM72" s="20">
        <f>IF(FM19=0,"0",IF(AND(Results!$E$5="Protein",$C$53&gt;0,OR(Results!$E$4="Tissue",Results!$E$4="Cells")),((FM19*FM$51)/(FM$53)),IF(AND(Results!$E$5="Weight",$C$52&gt;0, Results!$E$4="Tissue",OR($B$52="g",$B$52="mg")),((FM19*FM$51)/(FM$52)),IF(AND(Results!$E$5="Volume",$C$54&gt;0,Results!$E$4="Fluid"),((FM19*FM$51)/(FM$54)),IF(AND(Results!$E$4="Cells",Results!$E$5="Million",$B$52="million"),((FM19*FM$51)/(FM$52)),"0")))))</f>
        <v>497.23676666666665</v>
      </c>
      <c r="FN72" s="20">
        <f>IF(FN19=0,"0",IF(AND(Results!$E$5="Protein",$C$53&gt;0,OR(Results!$E$4="Tissue",Results!$E$4="Cells")),((FN19*FN$51)/(FN$53)),IF(AND(Results!$E$5="Weight",$C$52&gt;0, Results!$E$4="Tissue",OR($B$52="g",$B$52="mg")),((FN19*FN$51)/(FN$52)),IF(AND(Results!$E$5="Volume",$C$54&gt;0,Results!$E$4="Fluid"),((FN19*FN$51)/(FN$54)),IF(AND(Results!$E$4="Cells",Results!$E$5="Million",$B$52="million"),((FN19*FN$51)/(FN$52)),"0")))))</f>
        <v>214.04519999999999</v>
      </c>
      <c r="FO72" s="20">
        <f>IF(FO19=0,"0",IF(AND(Results!$E$5="Protein",$C$53&gt;0,OR(Results!$E$4="Tissue",Results!$E$4="Cells")),((FO19*FO$51)/(FO$53)),IF(AND(Results!$E$5="Weight",$C$52&gt;0, Results!$E$4="Tissue",OR($B$52="g",$B$52="mg")),((FO19*FO$51)/(FO$52)),IF(AND(Results!$E$5="Volume",$C$54&gt;0,Results!$E$4="Fluid"),((FO19*FO$51)/(FO$54)),IF(AND(Results!$E$4="Cells",Results!$E$5="Million",$B$52="million"),((FO19*FO$51)/(FO$52)),"0")))))</f>
        <v>216.58351666666664</v>
      </c>
    </row>
    <row r="73" spans="1:171" x14ac:dyDescent="0.2">
      <c r="A73" s="120" t="str">
        <f t="shared" si="0"/>
        <v xml:space="preserve">15-HETE </v>
      </c>
      <c r="B73" s="121"/>
      <c r="C73" s="20">
        <f>IF(C20=0,"0",IF(AND(Results!$E$5="Protein",$C$53&gt;0,OR(Results!$E$4="Tissue",Results!$E$4="Cells")),((C20*C$51)/(C$53)),IF(AND(Results!$E$5="Weight",$C$52&gt;0, Results!$E$4="Tissue",OR($B$52="g",$B$52="mg")),((C20*C$51)/(C$52)),IF(AND(Results!$E$5="Volume",$C$54&gt;0,Results!$E$4="Fluid"),((C20*C$51)/(C$54)),IF(AND(Results!$E$4="Cells",Results!$E$5="Million",$B$52="million"),((C20*C$51)/(C$52)),"0")))))</f>
        <v>2.6258166666666662</v>
      </c>
      <c r="D73" s="20">
        <f>IF(D20=0,"0",IF(AND(Results!$E$5="Protein",$C$53&gt;0,OR(Results!$E$4="Tissue",Results!$E$4="Cells")),((D20*D$51)/(D$53)),IF(AND(Results!$E$5="Weight",$C$52&gt;0, Results!$E$4="Tissue",OR($B$52="g",$B$52="mg")),((D20*D$51)/(D$52)),IF(AND(Results!$E$5="Volume",$C$54&gt;0,Results!$E$4="Fluid"),((D20*D$51)/(D$54)),IF(AND(Results!$E$4="Cells",Results!$E$5="Million",$B$52="million"),((D20*D$51)/(D$52)),"0")))))</f>
        <v>7.1346999999999996</v>
      </c>
      <c r="E73" s="20">
        <f>IF(E20=0,"0",IF(AND(Results!$E$5="Protein",$C$53&gt;0,OR(Results!$E$4="Tissue",Results!$E$4="Cells")),((E20*E$51)/(E$53)),IF(AND(Results!$E$5="Weight",$C$52&gt;0, Results!$E$4="Tissue",OR($B$52="g",$B$52="mg")),((E20*E$51)/(E$52)),IF(AND(Results!$E$5="Volume",$C$54&gt;0,Results!$E$4="Fluid"),((E20*E$51)/(E$54)),IF(AND(Results!$E$4="Cells",Results!$E$5="Million",$B$52="million"),((E20*E$51)/(E$52)),"0")))))</f>
        <v>1.6251</v>
      </c>
      <c r="F73" s="20">
        <f>IF(F20=0,"0",IF(AND(Results!$E$5="Protein",$C$53&gt;0,OR(Results!$E$4="Tissue",Results!$E$4="Cells")),((F20*F$51)/(F$53)),IF(AND(Results!$E$5="Weight",$C$52&gt;0, Results!$E$4="Tissue",OR($B$52="g",$B$52="mg")),((F20*F$51)/(F$52)),IF(AND(Results!$E$5="Volume",$C$54&gt;0,Results!$E$4="Fluid"),((F20*F$51)/(F$54)),IF(AND(Results!$E$4="Cells",Results!$E$5="Million",$B$52="million"),((F20*F$51)/(F$52)),"0")))))</f>
        <v>7.2202000000000002</v>
      </c>
      <c r="G73" s="20">
        <f>IF(G20=0,"0",IF(AND(Results!$E$5="Protein",$C$53&gt;0,OR(Results!$E$4="Tissue",Results!$E$4="Cells")),((G20*G$51)/(G$53)),IF(AND(Results!$E$5="Weight",$C$52&gt;0, Results!$E$4="Tissue",OR($B$52="g",$B$52="mg")),((G20*G$51)/(G$52)),IF(AND(Results!$E$5="Volume",$C$54&gt;0,Results!$E$4="Fluid"),((G20*G$51)/(G$54)),IF(AND(Results!$E$4="Cells",Results!$E$5="Million",$B$52="million"),((G20*G$51)/(G$52)),"0")))))</f>
        <v>4.5138500000000006</v>
      </c>
      <c r="H73" s="20">
        <f>IF(H20=0,"0",IF(AND(Results!$E$5="Protein",$C$53&gt;0,OR(Results!$E$4="Tissue",Results!$E$4="Cells")),((H20*H$51)/(H$53)),IF(AND(Results!$E$5="Weight",$C$52&gt;0, Results!$E$4="Tissue",OR($B$52="g",$B$52="mg")),((H20*H$51)/(H$52)),IF(AND(Results!$E$5="Volume",$C$54&gt;0,Results!$E$4="Fluid"),((H20*H$51)/(H$54)),IF(AND(Results!$E$4="Cells",Results!$E$5="Million",$B$52="million"),((H20*H$51)/(H$52)),"0")))))</f>
        <v>6.9961500000000001</v>
      </c>
      <c r="I73" s="20">
        <f>IF(I20=0,"0",IF(AND(Results!$E$5="Protein",$C$53&gt;0,OR(Results!$E$4="Tissue",Results!$E$4="Cells")),((I20*I$51)/(I$53)),IF(AND(Results!$E$5="Weight",$C$52&gt;0, Results!$E$4="Tissue",OR($B$52="g",$B$52="mg")),((I20*I$51)/(I$52)),IF(AND(Results!$E$5="Volume",$C$54&gt;0,Results!$E$4="Fluid"),((I20*I$51)/(I$54)),IF(AND(Results!$E$4="Cells",Results!$E$5="Million",$B$52="million"),((I20*I$51)/(I$52)),"0")))))</f>
        <v>8.9310166666666664</v>
      </c>
      <c r="J73" s="20">
        <f>IF(J20=0,"0",IF(AND(Results!$E$5="Protein",$C$53&gt;0,OR(Results!$E$4="Tissue",Results!$E$4="Cells")),((J20*J$51)/(J$53)),IF(AND(Results!$E$5="Weight",$C$52&gt;0, Results!$E$4="Tissue",OR($B$52="g",$B$52="mg")),((J20*J$51)/(J$52)),IF(AND(Results!$E$5="Volume",$C$54&gt;0,Results!$E$4="Fluid"),((J20*J$51)/(J$54)),IF(AND(Results!$E$4="Cells",Results!$E$5="Million",$B$52="million"),((J20*J$51)/(J$52)),"0")))))</f>
        <v>5.3078000000000003</v>
      </c>
      <c r="K73" s="20">
        <f>IF(K20=0,"0",IF(AND(Results!$E$5="Protein",$C$53&gt;0,OR(Results!$E$4="Tissue",Results!$E$4="Cells")),((K20*K$51)/(K$53)),IF(AND(Results!$E$5="Weight",$C$52&gt;0, Results!$E$4="Tissue",OR($B$52="g",$B$52="mg")),((K20*K$51)/(K$52)),IF(AND(Results!$E$5="Volume",$C$54&gt;0,Results!$E$4="Fluid"),((K20*K$51)/(K$54)),IF(AND(Results!$E$4="Cells",Results!$E$5="Million",$B$52="million"),((K20*K$51)/(K$52)),"0")))))</f>
        <v>3.8795500000000001</v>
      </c>
      <c r="L73" s="20">
        <f>IF(L20=0,"0",IF(AND(Results!$E$5="Protein",$C$53&gt;0,OR(Results!$E$4="Tissue",Results!$E$4="Cells")),((L20*L$51)/(L$53)),IF(AND(Results!$E$5="Weight",$C$52&gt;0, Results!$E$4="Tissue",OR($B$52="g",$B$52="mg")),((L20*L$51)/(L$52)),IF(AND(Results!$E$5="Volume",$C$54&gt;0,Results!$E$4="Fluid"),((L20*L$51)/(L$54)),IF(AND(Results!$E$4="Cells",Results!$E$5="Million",$B$52="million"),((L20*L$51)/(L$52)),"0")))))</f>
        <v>5.2875833333333331</v>
      </c>
      <c r="M73" s="20">
        <f>IF(M20=0,"0",IF(AND(Results!$E$5="Protein",$C$53&gt;0,OR(Results!$E$4="Tissue",Results!$E$4="Cells")),((M20*M$51)/(M$53)),IF(AND(Results!$E$5="Weight",$C$52&gt;0, Results!$E$4="Tissue",OR($B$52="g",$B$52="mg")),((M20*M$51)/(M$52)),IF(AND(Results!$E$5="Volume",$C$54&gt;0,Results!$E$4="Fluid"),((M20*M$51)/(M$54)),IF(AND(Results!$E$4="Cells",Results!$E$5="Million",$B$52="million"),((M20*M$51)/(M$52)),"0")))))</f>
        <v>2.8511333333333329</v>
      </c>
      <c r="N73" s="20">
        <f>IF(N20=0,"0",IF(AND(Results!$E$5="Protein",$C$53&gt;0,OR(Results!$E$4="Tissue",Results!$E$4="Cells")),((N20*N$51)/(N$53)),IF(AND(Results!$E$5="Weight",$C$52&gt;0, Results!$E$4="Tissue",OR($B$52="g",$B$52="mg")),((N20*N$51)/(N$52)),IF(AND(Results!$E$5="Volume",$C$54&gt;0,Results!$E$4="Fluid"),((N20*N$51)/(N$54)),IF(AND(Results!$E$4="Cells",Results!$E$5="Million",$B$52="million"),((N20*N$51)/(N$52)),"0")))))</f>
        <v>4.2226166666666662</v>
      </c>
      <c r="O73" s="20">
        <f>IF(O20=0,"0",IF(AND(Results!$E$5="Protein",$C$53&gt;0,OR(Results!$E$4="Tissue",Results!$E$4="Cells")),((O20*O$51)/(O$53)),IF(AND(Results!$E$5="Weight",$C$52&gt;0, Results!$E$4="Tissue",OR($B$52="g",$B$52="mg")),((O20*O$51)/(O$52)),IF(AND(Results!$E$5="Volume",$C$54&gt;0,Results!$E$4="Fluid"),((O20*O$51)/(O$54)),IF(AND(Results!$E$4="Cells",Results!$E$5="Million",$B$52="million"),((O20*O$51)/(O$52)),"0")))))</f>
        <v>6.8487833333333334</v>
      </c>
      <c r="P73" s="20">
        <f>IF(P20=0,"0",IF(AND(Results!$E$5="Protein",$C$53&gt;0,OR(Results!$E$4="Tissue",Results!$E$4="Cells")),((P20*P$51)/(P$53)),IF(AND(Results!$E$5="Weight",$C$52&gt;0, Results!$E$4="Tissue",OR($B$52="g",$B$52="mg")),((P20*P$51)/(P$52)),IF(AND(Results!$E$5="Volume",$C$54&gt;0,Results!$E$4="Fluid"),((P20*P$51)/(P$54)),IF(AND(Results!$E$4="Cells",Results!$E$5="Million",$B$52="million"),((P20*P$51)/(P$52)),"0")))))</f>
        <v>5.5964166666666664</v>
      </c>
      <c r="Q73" s="20">
        <f>IF(Q20=0,"0",IF(AND(Results!$E$5="Protein",$C$53&gt;0,OR(Results!$E$4="Tissue",Results!$E$4="Cells")),((Q20*Q$51)/(Q$53)),IF(AND(Results!$E$5="Weight",$C$52&gt;0, Results!$E$4="Tissue",OR($B$52="g",$B$52="mg")),((Q20*Q$51)/(Q$52)),IF(AND(Results!$E$5="Volume",$C$54&gt;0,Results!$E$4="Fluid"),((Q20*Q$51)/(Q$54)),IF(AND(Results!$E$4="Cells",Results!$E$5="Million",$B$52="million"),((Q20*Q$51)/(Q$52)),"0")))))</f>
        <v>3.4638833333333334</v>
      </c>
      <c r="R73" s="20">
        <f>IF(R20=0,"0",IF(AND(Results!$E$5="Protein",$C$53&gt;0,OR(Results!$E$4="Tissue",Results!$E$4="Cells")),((R20*R$51)/(R$53)),IF(AND(Results!$E$5="Weight",$C$52&gt;0, Results!$E$4="Tissue",OR($B$52="g",$B$52="mg")),((R20*R$51)/(R$52)),IF(AND(Results!$E$5="Volume",$C$54&gt;0,Results!$E$4="Fluid"),((R20*R$51)/(R$54)),IF(AND(Results!$E$4="Cells",Results!$E$5="Million",$B$52="million"),((R20*R$51)/(R$52)),"0")))))</f>
        <v>41.959966666666666</v>
      </c>
      <c r="S73" s="20">
        <f>IF(S20=0,"0",IF(AND(Results!$E$5="Protein",$C$53&gt;0,OR(Results!$E$4="Tissue",Results!$E$4="Cells")),((S20*S$51)/(S$53)),IF(AND(Results!$E$5="Weight",$C$52&gt;0, Results!$E$4="Tissue",OR($B$52="g",$B$52="mg")),((S20*S$51)/(S$52)),IF(AND(Results!$E$5="Volume",$C$54&gt;0,Results!$E$4="Fluid"),((S20*S$51)/(S$54)),IF(AND(Results!$E$4="Cells",Results!$E$5="Million",$B$52="million"),((S20*S$51)/(S$52)),"0")))))</f>
        <v>4.6123666666666656</v>
      </c>
      <c r="T73" s="20">
        <f>IF(T20=0,"0",IF(AND(Results!$E$5="Protein",$C$53&gt;0,OR(Results!$E$4="Tissue",Results!$E$4="Cells")),((T20*T$51)/(T$53)),IF(AND(Results!$E$5="Weight",$C$52&gt;0, Results!$E$4="Tissue",OR($B$52="g",$B$52="mg")),((T20*T$51)/(T$52)),IF(AND(Results!$E$5="Volume",$C$54&gt;0,Results!$E$4="Fluid"),((T20*T$51)/(T$54)),IF(AND(Results!$E$4="Cells",Results!$E$5="Million",$B$52="million"),((T20*T$51)/(T$52)),"0")))))</f>
        <v>1.7943166666666668</v>
      </c>
      <c r="U73" s="20">
        <f>IF(U20=0,"0",IF(AND(Results!$E$5="Protein",$C$53&gt;0,OR(Results!$E$4="Tissue",Results!$E$4="Cells")),((U20*U$51)/(U$53)),IF(AND(Results!$E$5="Weight",$C$52&gt;0, Results!$E$4="Tissue",OR($B$52="g",$B$52="mg")),((U20*U$51)/(U$52)),IF(AND(Results!$E$5="Volume",$C$54&gt;0,Results!$E$4="Fluid"),((U20*U$51)/(U$54)),IF(AND(Results!$E$4="Cells",Results!$E$5="Million",$B$52="million"),((U20*U$51)/(U$52)),"0")))))</f>
        <v>4.5547166666666667</v>
      </c>
      <c r="V73" s="20">
        <f>IF(V20=0,"0",IF(AND(Results!$E$5="Protein",$C$53&gt;0,OR(Results!$E$4="Tissue",Results!$E$4="Cells")),((V20*V$51)/(V$53)),IF(AND(Results!$E$5="Weight",$C$52&gt;0, Results!$E$4="Tissue",OR($B$52="g",$B$52="mg")),((V20*V$51)/(V$52)),IF(AND(Results!$E$5="Volume",$C$54&gt;0,Results!$E$4="Fluid"),((V20*V$51)/(V$54)),IF(AND(Results!$E$4="Cells",Results!$E$5="Million",$B$52="million"),((V20*V$51)/(V$52)),"0")))))</f>
        <v>2.1001833333333333</v>
      </c>
      <c r="W73" s="20">
        <f>IF(W20=0,"0",IF(AND(Results!$E$5="Protein",$C$53&gt;0,OR(Results!$E$4="Tissue",Results!$E$4="Cells")),((W20*W$51)/(W$53)),IF(AND(Results!$E$5="Weight",$C$52&gt;0, Results!$E$4="Tissue",OR($B$52="g",$B$52="mg")),((W20*W$51)/(W$52)),IF(AND(Results!$E$5="Volume",$C$54&gt;0,Results!$E$4="Fluid"),((W20*W$51)/(W$54)),IF(AND(Results!$E$4="Cells",Results!$E$5="Million",$B$52="million"),((W20*W$51)/(W$52)),"0")))))</f>
        <v>14.07977142857143</v>
      </c>
      <c r="X73" s="20">
        <f>IF(X20=0,"0",IF(AND(Results!$E$5="Protein",$C$53&gt;0,OR(Results!$E$4="Tissue",Results!$E$4="Cells")),((X20*X$51)/(X$53)),IF(AND(Results!$E$5="Weight",$C$52&gt;0, Results!$E$4="Tissue",OR($B$52="g",$B$52="mg")),((X20*X$51)/(X$52)),IF(AND(Results!$E$5="Volume",$C$54&gt;0,Results!$E$4="Fluid"),((X20*X$51)/(X$54)),IF(AND(Results!$E$4="Cells",Results!$E$5="Million",$B$52="million"),((X20*X$51)/(X$52)),"0")))))</f>
        <v>6.5048400000000006</v>
      </c>
      <c r="Y73" s="20">
        <f>IF(Y20=0,"0",IF(AND(Results!$E$5="Protein",$C$53&gt;0,OR(Results!$E$4="Tissue",Results!$E$4="Cells")),((Y20*Y$51)/(Y$53)),IF(AND(Results!$E$5="Weight",$C$52&gt;0, Results!$E$4="Tissue",OR($B$52="g",$B$52="mg")),((Y20*Y$51)/(Y$52)),IF(AND(Results!$E$5="Volume",$C$54&gt;0,Results!$E$4="Fluid"),((Y20*Y$51)/(Y$54)),IF(AND(Results!$E$4="Cells",Results!$E$5="Million",$B$52="million"),((Y20*Y$51)/(Y$52)),"0")))))</f>
        <v>8.7395166666666668</v>
      </c>
      <c r="Z73" s="20">
        <f>IF(Z20=0,"0",IF(AND(Results!$E$5="Protein",$C$53&gt;0,OR(Results!$E$4="Tissue",Results!$E$4="Cells")),((Z20*Z$51)/(Z$53)),IF(AND(Results!$E$5="Weight",$C$52&gt;0, Results!$E$4="Tissue",OR($B$52="g",$B$52="mg")),((Z20*Z$51)/(Z$52)),IF(AND(Results!$E$5="Volume",$C$54&gt;0,Results!$E$4="Fluid"),((Z20*Z$51)/(Z$54)),IF(AND(Results!$E$4="Cells",Results!$E$5="Million",$B$52="million"),((Z20*Z$51)/(Z$52)),"0")))))</f>
        <v>33.1252</v>
      </c>
      <c r="AA73" s="20">
        <f>IF(AA20=0,"0",IF(AND(Results!$E$5="Protein",$C$53&gt;0,OR(Results!$E$4="Tissue",Results!$E$4="Cells")),((AA20*AA$51)/(AA$53)),IF(AND(Results!$E$5="Weight",$C$52&gt;0, Results!$E$4="Tissue",OR($B$52="g",$B$52="mg")),((AA20*AA$51)/(AA$52)),IF(AND(Results!$E$5="Volume",$C$54&gt;0,Results!$E$4="Fluid"),((AA20*AA$51)/(AA$54)),IF(AND(Results!$E$4="Cells",Results!$E$5="Million",$B$52="million"),((AA20*AA$51)/(AA$52)),"0")))))</f>
        <v>3.7121666666666666</v>
      </c>
      <c r="AB73" s="20">
        <f>IF(AB20=0,"0",IF(AND(Results!$E$5="Protein",$C$53&gt;0,OR(Results!$E$4="Tissue",Results!$E$4="Cells")),((AB20*AB$51)/(AB$53)),IF(AND(Results!$E$5="Weight",$C$52&gt;0, Results!$E$4="Tissue",OR($B$52="g",$B$52="mg")),((AB20*AB$51)/(AB$52)),IF(AND(Results!$E$5="Volume",$C$54&gt;0,Results!$E$4="Fluid"),((AB20*AB$51)/(AB$54)),IF(AND(Results!$E$4="Cells",Results!$E$5="Million",$B$52="million"),((AB20*AB$51)/(AB$52)),"0")))))</f>
        <v>8.0690333333333335</v>
      </c>
      <c r="AC73" s="20">
        <f>IF(AC20=0,"0",IF(AND(Results!$E$5="Protein",$C$53&gt;0,OR(Results!$E$4="Tissue",Results!$E$4="Cells")),((AC20*AC$51)/(AC$53)),IF(AND(Results!$E$5="Weight",$C$52&gt;0, Results!$E$4="Tissue",OR($B$52="g",$B$52="mg")),((AC20*AC$51)/(AC$52)),IF(AND(Results!$E$5="Volume",$C$54&gt;0,Results!$E$4="Fluid"),((AC20*AC$51)/(AC$54)),IF(AND(Results!$E$4="Cells",Results!$E$5="Million",$B$52="million"),((AC20*AC$51)/(AC$52)),"0")))))</f>
        <v>5.9821000000000009</v>
      </c>
      <c r="AD73" s="20">
        <f>IF(AD20=0,"0",IF(AND(Results!$E$5="Protein",$C$53&gt;0,OR(Results!$E$4="Tissue",Results!$E$4="Cells")),((AD20*AD$51)/(AD$53)),IF(AND(Results!$E$5="Weight",$C$52&gt;0, Results!$E$4="Tissue",OR($B$52="g",$B$52="mg")),((AD20*AD$51)/(AD$52)),IF(AND(Results!$E$5="Volume",$C$54&gt;0,Results!$E$4="Fluid"),((AD20*AD$51)/(AD$54)),IF(AND(Results!$E$4="Cells",Results!$E$5="Million",$B$52="million"),((AD20*AD$51)/(AD$52)),"0")))))</f>
        <v>4.27745</v>
      </c>
      <c r="AE73" s="20">
        <f>IF(AE20=0,"0",IF(AND(Results!$E$5="Protein",$C$53&gt;0,OR(Results!$E$4="Tissue",Results!$E$4="Cells")),((AE20*AE$51)/(AE$53)),IF(AND(Results!$E$5="Weight",$C$52&gt;0, Results!$E$4="Tissue",OR($B$52="g",$B$52="mg")),((AE20*AE$51)/(AE$52)),IF(AND(Results!$E$5="Volume",$C$54&gt;0,Results!$E$4="Fluid"),((AE20*AE$51)/(AE$54)),IF(AND(Results!$E$4="Cells",Results!$E$5="Million",$B$52="million"),((AE20*AE$51)/(AE$52)),"0")))))</f>
        <v>2.0497333333333336</v>
      </c>
      <c r="AF73" s="20">
        <f>IF(AF20=0,"0",IF(AND(Results!$E$5="Protein",$C$53&gt;0,OR(Results!$E$4="Tissue",Results!$E$4="Cells")),((AF20*AF$51)/(AF$53)),IF(AND(Results!$E$5="Weight",$C$52&gt;0, Results!$E$4="Tissue",OR($B$52="g",$B$52="mg")),((AF20*AF$51)/(AF$52)),IF(AND(Results!$E$5="Volume",$C$54&gt;0,Results!$E$4="Fluid"),((AF20*AF$51)/(AF$54)),IF(AND(Results!$E$4="Cells",Results!$E$5="Million",$B$52="million"),((AF20*AF$51)/(AF$52)),"0")))))</f>
        <v>2.1131666666666669</v>
      </c>
      <c r="AG73" s="20">
        <f>IF(AG20=0,"0",IF(AND(Results!$E$5="Protein",$C$53&gt;0,OR(Results!$E$4="Tissue",Results!$E$4="Cells")),((AG20*AG$51)/(AG$53)),IF(AND(Results!$E$5="Weight",$C$52&gt;0, Results!$E$4="Tissue",OR($B$52="g",$B$52="mg")),((AG20*AG$51)/(AG$52)),IF(AND(Results!$E$5="Volume",$C$54&gt;0,Results!$E$4="Fluid"),((AG20*AG$51)/(AG$54)),IF(AND(Results!$E$4="Cells",Results!$E$5="Million",$B$52="million"),((AG20*AG$51)/(AG$52)),"0")))))</f>
        <v>8.383916666666666</v>
      </c>
      <c r="AH73" s="20">
        <f>IF(AH20=0,"0",IF(AND(Results!$E$5="Protein",$C$53&gt;0,OR(Results!$E$4="Tissue",Results!$E$4="Cells")),((AH20*AH$51)/(AH$53)),IF(AND(Results!$E$5="Weight",$C$52&gt;0, Results!$E$4="Tissue",OR($B$52="g",$B$52="mg")),((AH20*AH$51)/(AH$52)),IF(AND(Results!$E$5="Volume",$C$54&gt;0,Results!$E$4="Fluid"),((AH20*AH$51)/(AH$54)),IF(AND(Results!$E$4="Cells",Results!$E$5="Million",$B$52="million"),((AH20*AH$51)/(AH$52)),"0")))))</f>
        <v>3.5447000000000002</v>
      </c>
      <c r="AI73" s="20">
        <f>IF(AI20=0,"0",IF(AND(Results!$E$5="Protein",$C$53&gt;0,OR(Results!$E$4="Tissue",Results!$E$4="Cells")),((AI20*AI$51)/(AI$53)),IF(AND(Results!$E$5="Weight",$C$52&gt;0, Results!$E$4="Tissue",OR($B$52="g",$B$52="mg")),((AI20*AI$51)/(AI$52)),IF(AND(Results!$E$5="Volume",$C$54&gt;0,Results!$E$4="Fluid"),((AI20*AI$51)/(AI$54)),IF(AND(Results!$E$4="Cells",Results!$E$5="Million",$B$52="million"),((AI20*AI$51)/(AI$52)),"0")))))</f>
        <v>5.6508833333333337</v>
      </c>
      <c r="AJ73" s="20">
        <f>IF(AJ20=0,"0",IF(AND(Results!$E$5="Protein",$C$53&gt;0,OR(Results!$E$4="Tissue",Results!$E$4="Cells")),((AJ20*AJ$51)/(AJ$53)),IF(AND(Results!$E$5="Weight",$C$52&gt;0, Results!$E$4="Tissue",OR($B$52="g",$B$52="mg")),((AJ20*AJ$51)/(AJ$52)),IF(AND(Results!$E$5="Volume",$C$54&gt;0,Results!$E$4="Fluid"),((AJ20*AJ$51)/(AJ$54)),IF(AND(Results!$E$4="Cells",Results!$E$5="Million",$B$52="million"),((AJ20*AJ$51)/(AJ$52)),"0")))))</f>
        <v>6.2525666666666666</v>
      </c>
      <c r="AK73" s="20">
        <f>IF(AK20=0,"0",IF(AND(Results!$E$5="Protein",$C$53&gt;0,OR(Results!$E$4="Tissue",Results!$E$4="Cells")),((AK20*AK$51)/(AK$53)),IF(AND(Results!$E$5="Weight",$C$52&gt;0, Results!$E$4="Tissue",OR($B$52="g",$B$52="mg")),((AK20*AK$51)/(AK$52)),IF(AND(Results!$E$5="Volume",$C$54&gt;0,Results!$E$4="Fluid"),((AK20*AK$51)/(AK$54)),IF(AND(Results!$E$4="Cells",Results!$E$5="Million",$B$52="million"),((AK20*AK$51)/(AK$52)),"0")))))</f>
        <v>2.7878666666666665</v>
      </c>
      <c r="AL73" s="20">
        <f>IF(AL20=0,"0",IF(AND(Results!$E$5="Protein",$C$53&gt;0,OR(Results!$E$4="Tissue",Results!$E$4="Cells")),((AL20*AL$51)/(AL$53)),IF(AND(Results!$E$5="Weight",$C$52&gt;0, Results!$E$4="Tissue",OR($B$52="g",$B$52="mg")),((AL20*AL$51)/(AL$52)),IF(AND(Results!$E$5="Volume",$C$54&gt;0,Results!$E$4="Fluid"),((AL20*AL$51)/(AL$54)),IF(AND(Results!$E$4="Cells",Results!$E$5="Million",$B$52="million"),((AL20*AL$51)/(AL$52)),"0")))))</f>
        <v>2.7332833333333331</v>
      </c>
      <c r="AM73" s="20">
        <f>IF(AM20=0,"0",IF(AND(Results!$E$5="Protein",$C$53&gt;0,OR(Results!$E$4="Tissue",Results!$E$4="Cells")),((AM20*AM$51)/(AM$53)),IF(AND(Results!$E$5="Weight",$C$52&gt;0, Results!$E$4="Tissue",OR($B$52="g",$B$52="mg")),((AM20*AM$51)/(AM$52)),IF(AND(Results!$E$5="Volume",$C$54&gt;0,Results!$E$4="Fluid"),((AM20*AM$51)/(AM$54)),IF(AND(Results!$E$4="Cells",Results!$E$5="Million",$B$52="million"),((AM20*AM$51)/(AM$52)),"0")))))</f>
        <v>11.044016666666666</v>
      </c>
      <c r="AN73" s="20">
        <f>IF(AN20=0,"0",IF(AND(Results!$E$5="Protein",$C$53&gt;0,OR(Results!$E$4="Tissue",Results!$E$4="Cells")),((AN20*AN$51)/(AN$53)),IF(AND(Results!$E$5="Weight",$C$52&gt;0, Results!$E$4="Tissue",OR($B$52="g",$B$52="mg")),((AN20*AN$51)/(AN$52)),IF(AND(Results!$E$5="Volume",$C$54&gt;0,Results!$E$4="Fluid"),((AN20*AN$51)/(AN$54)),IF(AND(Results!$E$4="Cells",Results!$E$5="Million",$B$52="million"),((AN20*AN$51)/(AN$52)),"0")))))</f>
        <v>9.4727333333333341</v>
      </c>
      <c r="AO73" s="20">
        <f>IF(AO20=0,"0",IF(AND(Results!$E$5="Protein",$C$53&gt;0,OR(Results!$E$4="Tissue",Results!$E$4="Cells")),((AO20*AO$51)/(AO$53)),IF(AND(Results!$E$5="Weight",$C$52&gt;0, Results!$E$4="Tissue",OR($B$52="g",$B$52="mg")),((AO20*AO$51)/(AO$52)),IF(AND(Results!$E$5="Volume",$C$54&gt;0,Results!$E$4="Fluid"),((AO20*AO$51)/(AO$54)),IF(AND(Results!$E$4="Cells",Results!$E$5="Million",$B$52="million"),((AO20*AO$51)/(AO$52)),"0")))))</f>
        <v>3.2707833333333336</v>
      </c>
      <c r="AP73" s="20">
        <f>IF(AP20=0,"0",IF(AND(Results!$E$5="Protein",$C$53&gt;0,OR(Results!$E$4="Tissue",Results!$E$4="Cells")),((AP20*AP$51)/(AP$53)),IF(AND(Results!$E$5="Weight",$C$52&gt;0, Results!$E$4="Tissue",OR($B$52="g",$B$52="mg")),((AP20*AP$51)/(AP$52)),IF(AND(Results!$E$5="Volume",$C$54&gt;0,Results!$E$4="Fluid"),((AP20*AP$51)/(AP$54)),IF(AND(Results!$E$4="Cells",Results!$E$5="Million",$B$52="million"),((AP20*AP$51)/(AP$52)),"0")))))</f>
        <v>1.9823333333333333</v>
      </c>
      <c r="AQ73" s="20">
        <f>IF(AQ20=0,"0",IF(AND(Results!$E$5="Protein",$C$53&gt;0,OR(Results!$E$4="Tissue",Results!$E$4="Cells")),((AQ20*AQ$51)/(AQ$53)),IF(AND(Results!$E$5="Weight",$C$52&gt;0, Results!$E$4="Tissue",OR($B$52="g",$B$52="mg")),((AQ20*AQ$51)/(AQ$52)),IF(AND(Results!$E$5="Volume",$C$54&gt;0,Results!$E$4="Fluid"),((AQ20*AQ$51)/(AQ$54)),IF(AND(Results!$E$4="Cells",Results!$E$5="Million",$B$52="million"),((AQ20*AQ$51)/(AQ$52)),"0")))))</f>
        <v>5.3709333333333324</v>
      </c>
      <c r="AR73" s="20">
        <f>IF(AR20=0,"0",IF(AND(Results!$E$5="Protein",$C$53&gt;0,OR(Results!$E$4="Tissue",Results!$E$4="Cells")),((AR20*AR$51)/(AR$53)),IF(AND(Results!$E$5="Weight",$C$52&gt;0, Results!$E$4="Tissue",OR($B$52="g",$B$52="mg")),((AR20*AR$51)/(AR$52)),IF(AND(Results!$E$5="Volume",$C$54&gt;0,Results!$E$4="Fluid"),((AR20*AR$51)/(AR$54)),IF(AND(Results!$E$4="Cells",Results!$E$5="Million",$B$52="million"),((AR20*AR$51)/(AR$52)),"0")))))</f>
        <v>2.0381499999999999</v>
      </c>
      <c r="AS73" s="20">
        <f>IF(AS20=0,"0",IF(AND(Results!$E$5="Protein",$C$53&gt;0,OR(Results!$E$4="Tissue",Results!$E$4="Cells")),((AS20*AS$51)/(AS$53)),IF(AND(Results!$E$5="Weight",$C$52&gt;0, Results!$E$4="Tissue",OR($B$52="g",$B$52="mg")),((AS20*AS$51)/(AS$52)),IF(AND(Results!$E$5="Volume",$C$54&gt;0,Results!$E$4="Fluid"),((AS20*AS$51)/(AS$54)),IF(AND(Results!$E$4="Cells",Results!$E$5="Million",$B$52="million"),((AS20*AS$51)/(AS$52)),"0")))))</f>
        <v>16.983166666666666</v>
      </c>
      <c r="AT73" s="20">
        <f>IF(AT20=0,"0",IF(AND(Results!$E$5="Protein",$C$53&gt;0,OR(Results!$E$4="Tissue",Results!$E$4="Cells")),((AT20*AT$51)/(AT$53)),IF(AND(Results!$E$5="Weight",$C$52&gt;0, Results!$E$4="Tissue",OR($B$52="g",$B$52="mg")),((AT20*AT$51)/(AT$52)),IF(AND(Results!$E$5="Volume",$C$54&gt;0,Results!$E$4="Fluid"),((AT20*AT$51)/(AT$54)),IF(AND(Results!$E$4="Cells",Results!$E$5="Million",$B$52="million"),((AT20*AT$51)/(AT$52)),"0")))))</f>
        <v>6.2506000000000004</v>
      </c>
      <c r="AU73" s="20">
        <f>IF(AU20=0,"0",IF(AND(Results!$E$5="Protein",$C$53&gt;0,OR(Results!$E$4="Tissue",Results!$E$4="Cells")),((AU20*AU$51)/(AU$53)),IF(AND(Results!$E$5="Weight",$C$52&gt;0, Results!$E$4="Tissue",OR($B$52="g",$B$52="mg")),((AU20*AU$51)/(AU$52)),IF(AND(Results!$E$5="Volume",$C$54&gt;0,Results!$E$4="Fluid"),((AU20*AU$51)/(AU$54)),IF(AND(Results!$E$4="Cells",Results!$E$5="Million",$B$52="million"),((AU20*AU$51)/(AU$52)),"0")))))</f>
        <v>0.96796000000000004</v>
      </c>
      <c r="AV73" s="20">
        <f>IF(AV20=0,"0",IF(AND(Results!$E$5="Protein",$C$53&gt;0,OR(Results!$E$4="Tissue",Results!$E$4="Cells")),((AV20*AV$51)/(AV$53)),IF(AND(Results!$E$5="Weight",$C$52&gt;0, Results!$E$4="Tissue",OR($B$52="g",$B$52="mg")),((AV20*AV$51)/(AV$52)),IF(AND(Results!$E$5="Volume",$C$54&gt;0,Results!$E$4="Fluid"),((AV20*AV$51)/(AV$54)),IF(AND(Results!$E$4="Cells",Results!$E$5="Million",$B$52="million"),((AV20*AV$51)/(AV$52)),"0")))))</f>
        <v>3.1446800000000001</v>
      </c>
      <c r="AW73" s="20">
        <f>IF(AW20=0,"0",IF(AND(Results!$E$5="Protein",$C$53&gt;0,OR(Results!$E$4="Tissue",Results!$E$4="Cells")),((AW20*AW$51)/(AW$53)),IF(AND(Results!$E$5="Weight",$C$52&gt;0, Results!$E$4="Tissue",OR($B$52="g",$B$52="mg")),((AW20*AW$51)/(AW$52)),IF(AND(Results!$E$5="Volume",$C$54&gt;0,Results!$E$4="Fluid"),((AW20*AW$51)/(AW$54)),IF(AND(Results!$E$4="Cells",Results!$E$5="Million",$B$52="million"),((AW20*AW$51)/(AW$52)),"0")))))</f>
        <v>1.5491999999999999</v>
      </c>
      <c r="AX73" s="20">
        <f>IF(AX20=0,"0",IF(AND(Results!$E$5="Protein",$C$53&gt;0,OR(Results!$E$4="Tissue",Results!$E$4="Cells")),((AX20*AX$51)/(AX$53)),IF(AND(Results!$E$5="Weight",$C$52&gt;0, Results!$E$4="Tissue",OR($B$52="g",$B$52="mg")),((AX20*AX$51)/(AX$52)),IF(AND(Results!$E$5="Volume",$C$54&gt;0,Results!$E$4="Fluid"),((AX20*AX$51)/(AX$54)),IF(AND(Results!$E$4="Cells",Results!$E$5="Million",$B$52="million"),((AX20*AX$51)/(AX$52)),"0")))))</f>
        <v>2.0534166666666662</v>
      </c>
      <c r="AY73" s="20">
        <f>IF(AY20=0,"0",IF(AND(Results!$E$5="Protein",$C$53&gt;0,OR(Results!$E$4="Tissue",Results!$E$4="Cells")),((AY20*AY$51)/(AY$53)),IF(AND(Results!$E$5="Weight",$C$52&gt;0, Results!$E$4="Tissue",OR($B$52="g",$B$52="mg")),((AY20*AY$51)/(AY$52)),IF(AND(Results!$E$5="Volume",$C$54&gt;0,Results!$E$4="Fluid"),((AY20*AY$51)/(AY$54)),IF(AND(Results!$E$4="Cells",Results!$E$5="Million",$B$52="million"),((AY20*AY$51)/(AY$52)),"0")))))</f>
        <v>5.5875000000000004</v>
      </c>
      <c r="AZ73" s="20">
        <f>IF(AZ20=0,"0",IF(AND(Results!$E$5="Protein",$C$53&gt;0,OR(Results!$E$4="Tissue",Results!$E$4="Cells")),((AZ20*AZ$51)/(AZ$53)),IF(AND(Results!$E$5="Weight",$C$52&gt;0, Results!$E$4="Tissue",OR($B$52="g",$B$52="mg")),((AZ20*AZ$51)/(AZ$52)),IF(AND(Results!$E$5="Volume",$C$54&gt;0,Results!$E$4="Fluid"),((AZ20*AZ$51)/(AZ$54)),IF(AND(Results!$E$4="Cells",Results!$E$5="Million",$B$52="million"),((AZ20*AZ$51)/(AZ$52)),"0")))))</f>
        <v>1.0527833333333334</v>
      </c>
      <c r="BA73" s="20">
        <f>IF(BA20=0,"0",IF(AND(Results!$E$5="Protein",$C$53&gt;0,OR(Results!$E$4="Tissue",Results!$E$4="Cells")),((BA20*BA$51)/(BA$53)),IF(AND(Results!$E$5="Weight",$C$52&gt;0, Results!$E$4="Tissue",OR($B$52="g",$B$52="mg")),((BA20*BA$51)/(BA$52)),IF(AND(Results!$E$5="Volume",$C$54&gt;0,Results!$E$4="Fluid"),((BA20*BA$51)/(BA$54)),IF(AND(Results!$E$4="Cells",Results!$E$5="Million",$B$52="million"),((BA20*BA$51)/(BA$52)),"0")))))</f>
        <v>3.0940166666666666</v>
      </c>
      <c r="BB73" s="20">
        <f>IF(BB20=0,"0",IF(AND(Results!$E$5="Protein",$C$53&gt;0,OR(Results!$E$4="Tissue",Results!$E$4="Cells")),((BB20*BB$51)/(BB$53)),IF(AND(Results!$E$5="Weight",$C$52&gt;0, Results!$E$4="Tissue",OR($B$52="g",$B$52="mg")),((BB20*BB$51)/(BB$52)),IF(AND(Results!$E$5="Volume",$C$54&gt;0,Results!$E$4="Fluid"),((BB20*BB$51)/(BB$54)),IF(AND(Results!$E$4="Cells",Results!$E$5="Million",$B$52="million"),((BB20*BB$51)/(BB$52)),"0")))))</f>
        <v>1.5156666666666667</v>
      </c>
      <c r="BC73" s="20">
        <f>IF(BC20=0,"0",IF(AND(Results!$E$5="Protein",$C$53&gt;0,OR(Results!$E$4="Tissue",Results!$E$4="Cells")),((BC20*BC$51)/(BC$53)),IF(AND(Results!$E$5="Weight",$C$52&gt;0, Results!$E$4="Tissue",OR($B$52="g",$B$52="mg")),((BC20*BC$51)/(BC$52)),IF(AND(Results!$E$5="Volume",$C$54&gt;0,Results!$E$4="Fluid"),((BC20*BC$51)/(BC$54)),IF(AND(Results!$E$4="Cells",Results!$E$5="Million",$B$52="million"),((BC20*BC$51)/(BC$52)),"0")))))</f>
        <v>2.3218000000000001</v>
      </c>
      <c r="BD73" s="20">
        <f>IF(BD20=0,"0",IF(AND(Results!$E$5="Protein",$C$53&gt;0,OR(Results!$E$4="Tissue",Results!$E$4="Cells")),((BD20*BD$51)/(BD$53)),IF(AND(Results!$E$5="Weight",$C$52&gt;0, Results!$E$4="Tissue",OR($B$52="g",$B$52="mg")),((BD20*BD$51)/(BD$52)),IF(AND(Results!$E$5="Volume",$C$54&gt;0,Results!$E$4="Fluid"),((BD20*BD$51)/(BD$54)),IF(AND(Results!$E$4="Cells",Results!$E$5="Million",$B$52="million"),((BD20*BD$51)/(BD$52)),"0")))))</f>
        <v>4.8200833333333328</v>
      </c>
      <c r="BE73" s="20">
        <f>IF(BE20=0,"0",IF(AND(Results!$E$5="Protein",$C$53&gt;0,OR(Results!$E$4="Tissue",Results!$E$4="Cells")),((BE20*BE$51)/(BE$53)),IF(AND(Results!$E$5="Weight",$C$52&gt;0, Results!$E$4="Tissue",OR($B$52="g",$B$52="mg")),((BE20*BE$51)/(BE$52)),IF(AND(Results!$E$5="Volume",$C$54&gt;0,Results!$E$4="Fluid"),((BE20*BE$51)/(BE$54)),IF(AND(Results!$E$4="Cells",Results!$E$5="Million",$B$52="million"),((BE20*BE$51)/(BE$52)),"0")))))</f>
        <v>1.8058000000000001</v>
      </c>
      <c r="BF73" s="20">
        <f>IF(BF20=0,"0",IF(AND(Results!$E$5="Protein",$C$53&gt;0,OR(Results!$E$4="Tissue",Results!$E$4="Cells")),((BF20*BF$51)/(BF$53)),IF(AND(Results!$E$5="Weight",$C$52&gt;0, Results!$E$4="Tissue",OR($B$52="g",$B$52="mg")),((BF20*BF$51)/(BF$52)),IF(AND(Results!$E$5="Volume",$C$54&gt;0,Results!$E$4="Fluid"),((BF20*BF$51)/(BF$54)),IF(AND(Results!$E$4="Cells",Results!$E$5="Million",$B$52="million"),((BF20*BF$51)/(BF$52)),"0")))))</f>
        <v>4.0068833333333336</v>
      </c>
      <c r="BG73" s="20">
        <f>IF(BG20=0,"0",IF(AND(Results!$E$5="Protein",$C$53&gt;0,OR(Results!$E$4="Tissue",Results!$E$4="Cells")),((BG20*BG$51)/(BG$53)),IF(AND(Results!$E$5="Weight",$C$52&gt;0, Results!$E$4="Tissue",OR($B$52="g",$B$52="mg")),((BG20*BG$51)/(BG$52)),IF(AND(Results!$E$5="Volume",$C$54&gt;0,Results!$E$4="Fluid"),((BG20*BG$51)/(BG$54)),IF(AND(Results!$E$4="Cells",Results!$E$5="Million",$B$52="million"),((BG20*BG$51)/(BG$52)),"0")))))</f>
        <v>0.63331666666666675</v>
      </c>
      <c r="BH73" s="20">
        <f>IF(BH20=0,"0",IF(AND(Results!$E$5="Protein",$C$53&gt;0,OR(Results!$E$4="Tissue",Results!$E$4="Cells")),((BH20*BH$51)/(BH$53)),IF(AND(Results!$E$5="Weight",$C$52&gt;0, Results!$E$4="Tissue",OR($B$52="g",$B$52="mg")),((BH20*BH$51)/(BH$52)),IF(AND(Results!$E$5="Volume",$C$54&gt;0,Results!$E$4="Fluid"),((BH20*BH$51)/(BH$54)),IF(AND(Results!$E$4="Cells",Results!$E$5="Million",$B$52="million"),((BH20*BH$51)/(BH$52)),"0")))))</f>
        <v>8.8280333333333338</v>
      </c>
      <c r="BI73" s="20">
        <f>IF(BI20=0,"0",IF(AND(Results!$E$5="Protein",$C$53&gt;0,OR(Results!$E$4="Tissue",Results!$E$4="Cells")),((BI20*BI$51)/(BI$53)),IF(AND(Results!$E$5="Weight",$C$52&gt;0, Results!$E$4="Tissue",OR($B$52="g",$B$52="mg")),((BI20*BI$51)/(BI$52)),IF(AND(Results!$E$5="Volume",$C$54&gt;0,Results!$E$4="Fluid"),((BI20*BI$51)/(BI$54)),IF(AND(Results!$E$4="Cells",Results!$E$5="Million",$B$52="million"),((BI20*BI$51)/(BI$52)),"0")))))</f>
        <v>15.588750000000001</v>
      </c>
      <c r="BJ73" s="20">
        <f>IF(BJ20=0,"0",IF(AND(Results!$E$5="Protein",$C$53&gt;0,OR(Results!$E$4="Tissue",Results!$E$4="Cells")),((BJ20*BJ$51)/(BJ$53)),IF(AND(Results!$E$5="Weight",$C$52&gt;0, Results!$E$4="Tissue",OR($B$52="g",$B$52="mg")),((BJ20*BJ$51)/(BJ$52)),IF(AND(Results!$E$5="Volume",$C$54&gt;0,Results!$E$4="Fluid"),((BJ20*BJ$51)/(BJ$54)),IF(AND(Results!$E$4="Cells",Results!$E$5="Million",$B$52="million"),((BJ20*BJ$51)/(BJ$52)),"0")))))</f>
        <v>26.416150000000002</v>
      </c>
      <c r="BK73" s="20">
        <f>IF(BK20=0,"0",IF(AND(Results!$E$5="Protein",$C$53&gt;0,OR(Results!$E$4="Tissue",Results!$E$4="Cells")),((BK20*BK$51)/(BK$53)),IF(AND(Results!$E$5="Weight",$C$52&gt;0, Results!$E$4="Tissue",OR($B$52="g",$B$52="mg")),((BK20*BK$51)/(BK$52)),IF(AND(Results!$E$5="Volume",$C$54&gt;0,Results!$E$4="Fluid"),((BK20*BK$51)/(BK$54)),IF(AND(Results!$E$4="Cells",Results!$E$5="Million",$B$52="million"),((BK20*BK$51)/(BK$52)),"0")))))</f>
        <v>14.12655</v>
      </c>
      <c r="BL73" s="20">
        <f>IF(BL20=0,"0",IF(AND(Results!$E$5="Protein",$C$53&gt;0,OR(Results!$E$4="Tissue",Results!$E$4="Cells")),((BL20*BL$51)/(BL$53)),IF(AND(Results!$E$5="Weight",$C$52&gt;0, Results!$E$4="Tissue",OR($B$52="g",$B$52="mg")),((BL20*BL$51)/(BL$52)),IF(AND(Results!$E$5="Volume",$C$54&gt;0,Results!$E$4="Fluid"),((BL20*BL$51)/(BL$54)),IF(AND(Results!$E$4="Cells",Results!$E$5="Million",$B$52="million"),((BL20*BL$51)/(BL$52)),"0")))))</f>
        <v>128.57378333333332</v>
      </c>
      <c r="BM73" s="20">
        <f>IF(BM20=0,"0",IF(AND(Results!$E$5="Protein",$C$53&gt;0,OR(Results!$E$4="Tissue",Results!$E$4="Cells")),((BM20*BM$51)/(BM$53)),IF(AND(Results!$E$5="Weight",$C$52&gt;0, Results!$E$4="Tissue",OR($B$52="g",$B$52="mg")),((BM20*BM$51)/(BM$52)),IF(AND(Results!$E$5="Volume",$C$54&gt;0,Results!$E$4="Fluid"),((BM20*BM$51)/(BM$54)),IF(AND(Results!$E$4="Cells",Results!$E$5="Million",$B$52="million"),((BM20*BM$51)/(BM$52)),"0")))))</f>
        <v>121.50745714285713</v>
      </c>
      <c r="BN73" s="20">
        <f>IF(BN20=0,"0",IF(AND(Results!$E$5="Protein",$C$53&gt;0,OR(Results!$E$4="Tissue",Results!$E$4="Cells")),((BN20*BN$51)/(BN$53)),IF(AND(Results!$E$5="Weight",$C$52&gt;0, Results!$E$4="Tissue",OR($B$52="g",$B$52="mg")),((BN20*BN$51)/(BN$52)),IF(AND(Results!$E$5="Volume",$C$54&gt;0,Results!$E$4="Fluid"),((BN20*BN$51)/(BN$54)),IF(AND(Results!$E$4="Cells",Results!$E$5="Million",$B$52="million"),((BN20*BN$51)/(BN$52)),"0")))))</f>
        <v>165.56954999999999</v>
      </c>
      <c r="BO73" s="20">
        <f>IF(BO20=0,"0",IF(AND(Results!$E$5="Protein",$C$53&gt;0,OR(Results!$E$4="Tissue",Results!$E$4="Cells")),((BO20*BO$51)/(BO$53)),IF(AND(Results!$E$5="Weight",$C$52&gt;0, Results!$E$4="Tissue",OR($B$52="g",$B$52="mg")),((BO20*BO$51)/(BO$52)),IF(AND(Results!$E$5="Volume",$C$54&gt;0,Results!$E$4="Fluid"),((BO20*BO$51)/(BO$54)),IF(AND(Results!$E$4="Cells",Results!$E$5="Million",$B$52="million"),((BO20*BO$51)/(BO$52)),"0")))))</f>
        <v>97.239516666666674</v>
      </c>
      <c r="BP73" s="20">
        <f>IF(BP20=0,"0",IF(AND(Results!$E$5="Protein",$C$53&gt;0,OR(Results!$E$4="Tissue",Results!$E$4="Cells")),((BP20*BP$51)/(BP$53)),IF(AND(Results!$E$5="Weight",$C$52&gt;0, Results!$E$4="Tissue",OR($B$52="g",$B$52="mg")),((BP20*BP$51)/(BP$52)),IF(AND(Results!$E$5="Volume",$C$54&gt;0,Results!$E$4="Fluid"),((BP20*BP$51)/(BP$54)),IF(AND(Results!$E$4="Cells",Results!$E$5="Million",$B$52="million"),((BP20*BP$51)/(BP$52)),"0")))))</f>
        <v>73.148316666666673</v>
      </c>
      <c r="BQ73" s="20">
        <f>IF(BQ20=0,"0",IF(AND(Results!$E$5="Protein",$C$53&gt;0,OR(Results!$E$4="Tissue",Results!$E$4="Cells")),((BQ20*BQ$51)/(BQ$53)),IF(AND(Results!$E$5="Weight",$C$52&gt;0, Results!$E$4="Tissue",OR($B$52="g",$B$52="mg")),((BQ20*BQ$51)/(BQ$52)),IF(AND(Results!$E$5="Volume",$C$54&gt;0,Results!$E$4="Fluid"),((BQ20*BQ$51)/(BQ$54)),IF(AND(Results!$E$4="Cells",Results!$E$5="Million",$B$52="million"),((BQ20*BQ$51)/(BQ$52)),"0")))))</f>
        <v>19.176766666666666</v>
      </c>
      <c r="BR73" s="20">
        <f>IF(BR20=0,"0",IF(AND(Results!$E$5="Protein",$C$53&gt;0,OR(Results!$E$4="Tissue",Results!$E$4="Cells")),((BR20*BR$51)/(BR$53)),IF(AND(Results!$E$5="Weight",$C$52&gt;0, Results!$E$4="Tissue",OR($B$52="g",$B$52="mg")),((BR20*BR$51)/(BR$52)),IF(AND(Results!$E$5="Volume",$C$54&gt;0,Results!$E$4="Fluid"),((BR20*BR$51)/(BR$54)),IF(AND(Results!$E$4="Cells",Results!$E$5="Million",$B$52="million"),((BR20*BR$51)/(BR$52)),"0")))))</f>
        <v>5.1632857142857143</v>
      </c>
      <c r="BS73" s="20">
        <f>IF(BS20=0,"0",IF(AND(Results!$E$5="Protein",$C$53&gt;0,OR(Results!$E$4="Tissue",Results!$E$4="Cells")),((BS20*BS$51)/(BS$53)),IF(AND(Results!$E$5="Weight",$C$52&gt;0, Results!$E$4="Tissue",OR($B$52="g",$B$52="mg")),((BS20*BS$51)/(BS$52)),IF(AND(Results!$E$5="Volume",$C$54&gt;0,Results!$E$4="Fluid"),((BS20*BS$51)/(BS$54)),IF(AND(Results!$E$4="Cells",Results!$E$5="Million",$B$52="million"),((BS20*BS$51)/(BS$52)),"0")))))</f>
        <v>123.93554999999999</v>
      </c>
      <c r="BT73" s="20">
        <f>IF(BT20=0,"0",IF(AND(Results!$E$5="Protein",$C$53&gt;0,OR(Results!$E$4="Tissue",Results!$E$4="Cells")),((BT20*BT$51)/(BT$53)),IF(AND(Results!$E$5="Weight",$C$52&gt;0, Results!$E$4="Tissue",OR($B$52="g",$B$52="mg")),((BT20*BT$51)/(BT$52)),IF(AND(Results!$E$5="Volume",$C$54&gt;0,Results!$E$4="Fluid"),((BT20*BT$51)/(BT$54)),IF(AND(Results!$E$4="Cells",Results!$E$5="Million",$B$52="million"),((BT20*BT$51)/(BT$52)),"0")))))</f>
        <v>33.249549999999999</v>
      </c>
      <c r="BU73" s="20">
        <f>IF(BU20=0,"0",IF(AND(Results!$E$5="Protein",$C$53&gt;0,OR(Results!$E$4="Tissue",Results!$E$4="Cells")),((BU20*BU$51)/(BU$53)),IF(AND(Results!$E$5="Weight",$C$52&gt;0, Results!$E$4="Tissue",OR($B$52="g",$B$52="mg")),((BU20*BU$51)/(BU$52)),IF(AND(Results!$E$5="Volume",$C$54&gt;0,Results!$E$4="Fluid"),((BU20*BU$51)/(BU$54)),IF(AND(Results!$E$4="Cells",Results!$E$5="Million",$B$52="million"),((BU20*BU$51)/(BU$52)),"0")))))</f>
        <v>15.296483333333333</v>
      </c>
      <c r="BV73" s="20">
        <f>IF(BV20=0,"0",IF(AND(Results!$E$5="Protein",$C$53&gt;0,OR(Results!$E$4="Tissue",Results!$E$4="Cells")),((BV20*BV$51)/(BV$53)),IF(AND(Results!$E$5="Weight",$C$52&gt;0, Results!$E$4="Tissue",OR($B$52="g",$B$52="mg")),((BV20*BV$51)/(BV$52)),IF(AND(Results!$E$5="Volume",$C$54&gt;0,Results!$E$4="Fluid"),((BV20*BV$51)/(BV$54)),IF(AND(Results!$E$4="Cells",Results!$E$5="Million",$B$52="million"),((BV20*BV$51)/(BV$52)),"0")))))</f>
        <v>18.390833333333333</v>
      </c>
      <c r="BW73" s="20">
        <f>IF(BW20=0,"0",IF(AND(Results!$E$5="Protein",$C$53&gt;0,OR(Results!$E$4="Tissue",Results!$E$4="Cells")),((BW20*BW$51)/(BW$53)),IF(AND(Results!$E$5="Weight",$C$52&gt;0, Results!$E$4="Tissue",OR($B$52="g",$B$52="mg")),((BW20*BW$51)/(BW$52)),IF(AND(Results!$E$5="Volume",$C$54&gt;0,Results!$E$4="Fluid"),((BW20*BW$51)/(BW$54)),IF(AND(Results!$E$4="Cells",Results!$E$5="Million",$B$52="million"),((BW20*BW$51)/(BW$52)),"0")))))</f>
        <v>6.6035166666666667</v>
      </c>
      <c r="BX73" s="20">
        <f>IF(BX20=0,"0",IF(AND(Results!$E$5="Protein",$C$53&gt;0,OR(Results!$E$4="Tissue",Results!$E$4="Cells")),((BX20*BX$51)/(BX$53)),IF(AND(Results!$E$5="Weight",$C$52&gt;0, Results!$E$4="Tissue",OR($B$52="g",$B$52="mg")),((BX20*BX$51)/(BX$52)),IF(AND(Results!$E$5="Volume",$C$54&gt;0,Results!$E$4="Fluid"),((BX20*BX$51)/(BX$54)),IF(AND(Results!$E$4="Cells",Results!$E$5="Million",$B$52="million"),((BX20*BX$51)/(BX$52)),"0")))))</f>
        <v>3.1821666666666668</v>
      </c>
      <c r="BY73" s="20">
        <f>IF(BY20=0,"0",IF(AND(Results!$E$5="Protein",$C$53&gt;0,OR(Results!$E$4="Tissue",Results!$E$4="Cells")),((BY20*BY$51)/(BY$53)),IF(AND(Results!$E$5="Weight",$C$52&gt;0, Results!$E$4="Tissue",OR($B$52="g",$B$52="mg")),((BY20*BY$51)/(BY$52)),IF(AND(Results!$E$5="Volume",$C$54&gt;0,Results!$E$4="Fluid"),((BY20*BY$51)/(BY$54)),IF(AND(Results!$E$4="Cells",Results!$E$5="Million",$B$52="million"),((BY20*BY$51)/(BY$52)),"0")))))</f>
        <v>22.218800000000002</v>
      </c>
      <c r="BZ73" s="20">
        <f>IF(BZ20=0,"0",IF(AND(Results!$E$5="Protein",$C$53&gt;0,OR(Results!$E$4="Tissue",Results!$E$4="Cells")),((BZ20*BZ$51)/(BZ$53)),IF(AND(Results!$E$5="Weight",$C$52&gt;0, Results!$E$4="Tissue",OR($B$52="g",$B$52="mg")),((BZ20*BZ$51)/(BZ$52)),IF(AND(Results!$E$5="Volume",$C$54&gt;0,Results!$E$4="Fluid"),((BZ20*BZ$51)/(BZ$54)),IF(AND(Results!$E$4="Cells",Results!$E$5="Million",$B$52="million"),((BZ20*BZ$51)/(BZ$52)),"0")))))</f>
        <v>11.916066666666666</v>
      </c>
      <c r="CA73" s="20">
        <f>IF(CA20=0,"0",IF(AND(Results!$E$5="Protein",$C$53&gt;0,OR(Results!$E$4="Tissue",Results!$E$4="Cells")),((CA20*CA$51)/(CA$53)),IF(AND(Results!$E$5="Weight",$C$52&gt;0, Results!$E$4="Tissue",OR($B$52="g",$B$52="mg")),((CA20*CA$51)/(CA$52)),IF(AND(Results!$E$5="Volume",$C$54&gt;0,Results!$E$4="Fluid"),((CA20*CA$51)/(CA$54)),IF(AND(Results!$E$4="Cells",Results!$E$5="Million",$B$52="million"),((CA20*CA$51)/(CA$52)),"0")))))</f>
        <v>9.5396000000000001</v>
      </c>
      <c r="CB73" s="20">
        <f>IF(CB20=0,"0",IF(AND(Results!$E$5="Protein",$C$53&gt;0,OR(Results!$E$4="Tissue",Results!$E$4="Cells")),((CB20*CB$51)/(CB$53)),IF(AND(Results!$E$5="Weight",$C$52&gt;0, Results!$E$4="Tissue",OR($B$52="g",$B$52="mg")),((CB20*CB$51)/(CB$52)),IF(AND(Results!$E$5="Volume",$C$54&gt;0,Results!$E$4="Fluid"),((CB20*CB$51)/(CB$54)),IF(AND(Results!$E$4="Cells",Results!$E$5="Million",$B$52="million"),((CB20*CB$51)/(CB$52)),"0")))))</f>
        <v>3.4175666666666671</v>
      </c>
      <c r="CC73" s="20">
        <f>IF(CC20=0,"0",IF(AND(Results!$E$5="Protein",$C$53&gt;0,OR(Results!$E$4="Tissue",Results!$E$4="Cells")),((CC20*CC$51)/(CC$53)),IF(AND(Results!$E$5="Weight",$C$52&gt;0, Results!$E$4="Tissue",OR($B$52="g",$B$52="mg")),((CC20*CC$51)/(CC$52)),IF(AND(Results!$E$5="Volume",$C$54&gt;0,Results!$E$4="Fluid"),((CC20*CC$51)/(CC$54)),IF(AND(Results!$E$4="Cells",Results!$E$5="Million",$B$52="million"),((CC20*CC$51)/(CC$52)),"0")))))</f>
        <v>6.045583333333334</v>
      </c>
      <c r="CD73" s="20">
        <f>IF(CD20=0,"0",IF(AND(Results!$E$5="Protein",$C$53&gt;0,OR(Results!$E$4="Tissue",Results!$E$4="Cells")),((CD20*CD$51)/(CD$53)),IF(AND(Results!$E$5="Weight",$C$52&gt;0, Results!$E$4="Tissue",OR($B$52="g",$B$52="mg")),((CD20*CD$51)/(CD$52)),IF(AND(Results!$E$5="Volume",$C$54&gt;0,Results!$E$4="Fluid"),((CD20*CD$51)/(CD$54)),IF(AND(Results!$E$4="Cells",Results!$E$5="Million",$B$52="million"),((CD20*CD$51)/(CD$52)),"0")))))</f>
        <v>3.8154166666666662</v>
      </c>
      <c r="CE73" s="20">
        <f>IF(CE20=0,"0",IF(AND(Results!$E$5="Protein",$C$53&gt;0,OR(Results!$E$4="Tissue",Results!$E$4="Cells")),((CE20*CE$51)/(CE$53)),IF(AND(Results!$E$5="Weight",$C$52&gt;0, Results!$E$4="Tissue",OR($B$52="g",$B$52="mg")),((CE20*CE$51)/(CE$52)),IF(AND(Results!$E$5="Volume",$C$54&gt;0,Results!$E$4="Fluid"),((CE20*CE$51)/(CE$54)),IF(AND(Results!$E$4="Cells",Results!$E$5="Million",$B$52="million"),((CE20*CE$51)/(CE$52)),"0")))))</f>
        <v>23.247116666666667</v>
      </c>
      <c r="CF73" s="20">
        <f>IF(CF20=0,"0",IF(AND(Results!$E$5="Protein",$C$53&gt;0,OR(Results!$E$4="Tissue",Results!$E$4="Cells")),((CF20*CF$51)/(CF$53)),IF(AND(Results!$E$5="Weight",$C$52&gt;0, Results!$E$4="Tissue",OR($B$52="g",$B$52="mg")),((CF20*CF$51)/(CF$52)),IF(AND(Results!$E$5="Volume",$C$54&gt;0,Results!$E$4="Fluid"),((CF20*CF$51)/(CF$54)),IF(AND(Results!$E$4="Cells",Results!$E$5="Million",$B$52="million"),((CF20*CF$51)/(CF$52)),"0")))))</f>
        <v>3.4717166666666666</v>
      </c>
      <c r="CG73" s="20">
        <f>IF(CG20=0,"0",IF(AND(Results!$E$5="Protein",$C$53&gt;0,OR(Results!$E$4="Tissue",Results!$E$4="Cells")),((CG20*CG$51)/(CG$53)),IF(AND(Results!$E$5="Weight",$C$52&gt;0, Results!$E$4="Tissue",OR($B$52="g",$B$52="mg")),((CG20*CG$51)/(CG$52)),IF(AND(Results!$E$5="Volume",$C$54&gt;0,Results!$E$4="Fluid"),((CG20*CG$51)/(CG$54)),IF(AND(Results!$E$4="Cells",Results!$E$5="Million",$B$52="million"),((CG20*CG$51)/(CG$52)),"0")))))</f>
        <v>2.8163333333333331</v>
      </c>
      <c r="CH73" s="20">
        <f>IF(CH20=0,"0",IF(AND(Results!$E$5="Protein",$C$53&gt;0,OR(Results!$E$4="Tissue",Results!$E$4="Cells")),((CH20*CH$51)/(CH$53)),IF(AND(Results!$E$5="Weight",$C$52&gt;0, Results!$E$4="Tissue",OR($B$52="g",$B$52="mg")),((CH20*CH$51)/(CH$52)),IF(AND(Results!$E$5="Volume",$C$54&gt;0,Results!$E$4="Fluid"),((CH20*CH$51)/(CH$54)),IF(AND(Results!$E$4="Cells",Results!$E$5="Million",$B$52="million"),((CH20*CH$51)/(CH$52)),"0")))))</f>
        <v>2.2328000000000001</v>
      </c>
      <c r="CI73" s="20">
        <f>IF(CI20=0,"0",IF(AND(Results!$E$5="Protein",$C$53&gt;0,OR(Results!$E$4="Tissue",Results!$E$4="Cells")),((CI20*CI$51)/(CI$53)),IF(AND(Results!$E$5="Weight",$C$52&gt;0, Results!$E$4="Tissue",OR($B$52="g",$B$52="mg")),((CI20*CI$51)/(CI$52)),IF(AND(Results!$E$5="Volume",$C$54&gt;0,Results!$E$4="Fluid"),((CI20*CI$51)/(CI$54)),IF(AND(Results!$E$4="Cells",Results!$E$5="Million",$B$52="million"),((CI20*CI$51)/(CI$52)),"0")))))</f>
        <v>9.1918166666666661</v>
      </c>
      <c r="CJ73" s="20">
        <f>IF(CJ20=0,"0",IF(AND(Results!$E$5="Protein",$C$53&gt;0,OR(Results!$E$4="Tissue",Results!$E$4="Cells")),((CJ20*CJ$51)/(CJ$53)),IF(AND(Results!$E$5="Weight",$C$52&gt;0, Results!$E$4="Tissue",OR($B$52="g",$B$52="mg")),((CJ20*CJ$51)/(CJ$52)),IF(AND(Results!$E$5="Volume",$C$54&gt;0,Results!$E$4="Fluid"),((CJ20*CJ$51)/(CJ$54)),IF(AND(Results!$E$4="Cells",Results!$E$5="Million",$B$52="million"),((CJ20*CJ$51)/(CJ$52)),"0")))))</f>
        <v>1.8668444444444448</v>
      </c>
      <c r="CK73" s="20">
        <f>IF(CK20=0,"0",IF(AND(Results!$E$5="Protein",$C$53&gt;0,OR(Results!$E$4="Tissue",Results!$E$4="Cells")),((CK20*CK$51)/(CK$53)),IF(AND(Results!$E$5="Weight",$C$52&gt;0, Results!$E$4="Tissue",OR($B$52="g",$B$52="mg")),((CK20*CK$51)/(CK$52)),IF(AND(Results!$E$5="Volume",$C$54&gt;0,Results!$E$4="Fluid"),((CK20*CK$51)/(CK$54)),IF(AND(Results!$E$4="Cells",Results!$E$5="Million",$B$52="million"),((CK20*CK$51)/(CK$52)),"0")))))</f>
        <v>3.1640333333333337</v>
      </c>
      <c r="CL73" s="20">
        <f>IF(CL20=0,"0",IF(AND(Results!$E$5="Protein",$C$53&gt;0,OR(Results!$E$4="Tissue",Results!$E$4="Cells")),((CL20*CL$51)/(CL$53)),IF(AND(Results!$E$5="Weight",$C$52&gt;0, Results!$E$4="Tissue",OR($B$52="g",$B$52="mg")),((CL20*CL$51)/(CL$52)),IF(AND(Results!$E$5="Volume",$C$54&gt;0,Results!$E$4="Fluid"),((CL20*CL$51)/(CL$54)),IF(AND(Results!$E$4="Cells",Results!$E$5="Million",$B$52="million"),((CL20*CL$51)/(CL$52)),"0")))))</f>
        <v>6.9398000000000009</v>
      </c>
      <c r="CM73" s="20">
        <f>IF(CM20=0,"0",IF(AND(Results!$E$5="Protein",$C$53&gt;0,OR(Results!$E$4="Tissue",Results!$E$4="Cells")),((CM20*CM$51)/(CM$53)),IF(AND(Results!$E$5="Weight",$C$52&gt;0, Results!$E$4="Tissue",OR($B$52="g",$B$52="mg")),((CM20*CM$51)/(CM$52)),IF(AND(Results!$E$5="Volume",$C$54&gt;0,Results!$E$4="Fluid"),((CM20*CM$51)/(CM$54)),IF(AND(Results!$E$4="Cells",Results!$E$5="Million",$B$52="million"),((CM20*CM$51)/(CM$52)),"0")))))</f>
        <v>3.9220833333333331</v>
      </c>
      <c r="CN73" s="20">
        <f>IF(CN20=0,"0",IF(AND(Results!$E$5="Protein",$C$53&gt;0,OR(Results!$E$4="Tissue",Results!$E$4="Cells")),((CN20*CN$51)/(CN$53)),IF(AND(Results!$E$5="Weight",$C$52&gt;0, Results!$E$4="Tissue",OR($B$52="g",$B$52="mg")),((CN20*CN$51)/(CN$52)),IF(AND(Results!$E$5="Volume",$C$54&gt;0,Results!$E$4="Fluid"),((CN20*CN$51)/(CN$54)),IF(AND(Results!$E$4="Cells",Results!$E$5="Million",$B$52="million"),((CN20*CN$51)/(CN$52)),"0")))))</f>
        <v>2.6310999999999996</v>
      </c>
      <c r="CO73" s="20">
        <f>IF(CO20=0,"0",IF(AND(Results!$E$5="Protein",$C$53&gt;0,OR(Results!$E$4="Tissue",Results!$E$4="Cells")),((CO20*CO$51)/(CO$53)),IF(AND(Results!$E$5="Weight",$C$52&gt;0, Results!$E$4="Tissue",OR($B$52="g",$B$52="mg")),((CO20*CO$51)/(CO$52)),IF(AND(Results!$E$5="Volume",$C$54&gt;0,Results!$E$4="Fluid"),((CO20*CO$51)/(CO$54)),IF(AND(Results!$E$4="Cells",Results!$E$5="Million",$B$52="million"),((CO20*CO$51)/(CO$52)),"0")))))</f>
        <v>3.7029333333333336</v>
      </c>
      <c r="CP73" s="20">
        <f>IF(CP20=0,"0",IF(AND(Results!$E$5="Protein",$C$53&gt;0,OR(Results!$E$4="Tissue",Results!$E$4="Cells")),((CP20*CP$51)/(CP$53)),IF(AND(Results!$E$5="Weight",$C$52&gt;0, Results!$E$4="Tissue",OR($B$52="g",$B$52="mg")),((CP20*CP$51)/(CP$52)),IF(AND(Results!$E$5="Volume",$C$54&gt;0,Results!$E$4="Fluid"),((CP20*CP$51)/(CP$54)),IF(AND(Results!$E$4="Cells",Results!$E$5="Million",$B$52="million"),((CP20*CP$51)/(CP$52)),"0")))))</f>
        <v>5.8373166666666663</v>
      </c>
      <c r="CQ73" s="20">
        <f>IF(CQ20=0,"0",IF(AND(Results!$E$5="Protein",$C$53&gt;0,OR(Results!$E$4="Tissue",Results!$E$4="Cells")),((CQ20*CQ$51)/(CQ$53)),IF(AND(Results!$E$5="Weight",$C$52&gt;0, Results!$E$4="Tissue",OR($B$52="g",$B$52="mg")),((CQ20*CQ$51)/(CQ$52)),IF(AND(Results!$E$5="Volume",$C$54&gt;0,Results!$E$4="Fluid"),((CQ20*CQ$51)/(CQ$54)),IF(AND(Results!$E$4="Cells",Results!$E$5="Million",$B$52="million"),((CQ20*CQ$51)/(CQ$52)),"0")))))</f>
        <v>7.0821833333333331</v>
      </c>
      <c r="CR73" s="20">
        <f>IF(CR20=0,"0",IF(AND(Results!$E$5="Protein",$C$53&gt;0,OR(Results!$E$4="Tissue",Results!$E$4="Cells")),((CR20*CR$51)/(CR$53)),IF(AND(Results!$E$5="Weight",$C$52&gt;0, Results!$E$4="Tissue",OR($B$52="g",$B$52="mg")),((CR20*CR$51)/(CR$52)),IF(AND(Results!$E$5="Volume",$C$54&gt;0,Results!$E$4="Fluid"),((CR20*CR$51)/(CR$54)),IF(AND(Results!$E$4="Cells",Results!$E$5="Million",$B$52="million"),((CR20*CR$51)/(CR$52)),"0")))))</f>
        <v>8.7559500000000003</v>
      </c>
      <c r="CS73" s="20">
        <f>IF(CS20=0,"0",IF(AND(Results!$E$5="Protein",$C$53&gt;0,OR(Results!$E$4="Tissue",Results!$E$4="Cells")),((CS20*CS$51)/(CS$53)),IF(AND(Results!$E$5="Weight",$C$52&gt;0, Results!$E$4="Tissue",OR($B$52="g",$B$52="mg")),((CS20*CS$51)/(CS$52)),IF(AND(Results!$E$5="Volume",$C$54&gt;0,Results!$E$4="Fluid"),((CS20*CS$51)/(CS$54)),IF(AND(Results!$E$4="Cells",Results!$E$5="Million",$B$52="million"),((CS20*CS$51)/(CS$52)),"0")))))</f>
        <v>3.4745166666666667</v>
      </c>
      <c r="CT73" s="20">
        <f>IF(CT20=0,"0",IF(AND(Results!$E$5="Protein",$C$53&gt;0,OR(Results!$E$4="Tissue",Results!$E$4="Cells")),((CT20*CT$51)/(CT$53)),IF(AND(Results!$E$5="Weight",$C$52&gt;0, Results!$E$4="Tissue",OR($B$52="g",$B$52="mg")),((CT20*CT$51)/(CT$52)),IF(AND(Results!$E$5="Volume",$C$54&gt;0,Results!$E$4="Fluid"),((CT20*CT$51)/(CT$54)),IF(AND(Results!$E$4="Cells",Results!$E$5="Million",$B$52="million"),((CT20*CT$51)/(CT$52)),"0")))))</f>
        <v>3.1052666666666662</v>
      </c>
      <c r="CU73" s="20">
        <f>IF(CU20=0,"0",IF(AND(Results!$E$5="Protein",$C$53&gt;0,OR(Results!$E$4="Tissue",Results!$E$4="Cells")),((CU20*CU$51)/(CU$53)),IF(AND(Results!$E$5="Weight",$C$52&gt;0, Results!$E$4="Tissue",OR($B$52="g",$B$52="mg")),((CU20*CU$51)/(CU$52)),IF(AND(Results!$E$5="Volume",$C$54&gt;0,Results!$E$4="Fluid"),((CU20*CU$51)/(CU$54)),IF(AND(Results!$E$4="Cells",Results!$E$5="Million",$B$52="million"),((CU20*CU$51)/(CU$52)),"0")))))</f>
        <v>4.2114666666666665</v>
      </c>
      <c r="CV73" s="20">
        <f>IF(CV20=0,"0",IF(AND(Results!$E$5="Protein",$C$53&gt;0,OR(Results!$E$4="Tissue",Results!$E$4="Cells")),((CV20*CV$51)/(CV$53)),IF(AND(Results!$E$5="Weight",$C$52&gt;0, Results!$E$4="Tissue",OR($B$52="g",$B$52="mg")),((CV20*CV$51)/(CV$52)),IF(AND(Results!$E$5="Volume",$C$54&gt;0,Results!$E$4="Fluid"),((CV20*CV$51)/(CV$54)),IF(AND(Results!$E$4="Cells",Results!$E$5="Million",$B$52="million"),((CV20*CV$51)/(CV$52)),"0")))))</f>
        <v>7.3066333333333331</v>
      </c>
      <c r="CW73" s="20">
        <f>IF(CW20=0,"0",IF(AND(Results!$E$5="Protein",$C$53&gt;0,OR(Results!$E$4="Tissue",Results!$E$4="Cells")),((CW20*CW$51)/(CW$53)),IF(AND(Results!$E$5="Weight",$C$52&gt;0, Results!$E$4="Tissue",OR($B$52="g",$B$52="mg")),((CW20*CW$51)/(CW$52)),IF(AND(Results!$E$5="Volume",$C$54&gt;0,Results!$E$4="Fluid"),((CW20*CW$51)/(CW$54)),IF(AND(Results!$E$4="Cells",Results!$E$5="Million",$B$52="million"),((CW20*CW$51)/(CW$52)),"0")))))</f>
        <v>2.7003333333333335</v>
      </c>
      <c r="CX73" s="20">
        <f>IF(CX20=0,"0",IF(AND(Results!$E$5="Protein",$C$53&gt;0,OR(Results!$E$4="Tissue",Results!$E$4="Cells")),((CX20*CX$51)/(CX$53)),IF(AND(Results!$E$5="Weight",$C$52&gt;0, Results!$E$4="Tissue",OR($B$52="g",$B$52="mg")),((CX20*CX$51)/(CX$52)),IF(AND(Results!$E$5="Volume",$C$54&gt;0,Results!$E$4="Fluid"),((CX20*CX$51)/(CX$54)),IF(AND(Results!$E$4="Cells",Results!$E$5="Million",$B$52="million"),((CX20*CX$51)/(CX$52)),"0")))))</f>
        <v>1.7725833333333334</v>
      </c>
      <c r="CY73" s="20">
        <f>IF(CY20=0,"0",IF(AND(Results!$E$5="Protein",$C$53&gt;0,OR(Results!$E$4="Tissue",Results!$E$4="Cells")),((CY20*CY$51)/(CY$53)),IF(AND(Results!$E$5="Weight",$C$52&gt;0, Results!$E$4="Tissue",OR($B$52="g",$B$52="mg")),((CY20*CY$51)/(CY$52)),IF(AND(Results!$E$5="Volume",$C$54&gt;0,Results!$E$4="Fluid"),((CY20*CY$51)/(CY$54)),IF(AND(Results!$E$4="Cells",Results!$E$5="Million",$B$52="million"),((CY20*CY$51)/(CY$52)),"0")))))</f>
        <v>2.8230500000000003</v>
      </c>
      <c r="CZ73" s="20">
        <f>IF(CZ20=0,"0",IF(AND(Results!$E$5="Protein",$C$53&gt;0,OR(Results!$E$4="Tissue",Results!$E$4="Cells")),((CZ20*CZ$51)/(CZ$53)),IF(AND(Results!$E$5="Weight",$C$52&gt;0, Results!$E$4="Tissue",OR($B$52="g",$B$52="mg")),((CZ20*CZ$51)/(CZ$52)),IF(AND(Results!$E$5="Volume",$C$54&gt;0,Results!$E$4="Fluid"),((CZ20*CZ$51)/(CZ$54)),IF(AND(Results!$E$4="Cells",Results!$E$5="Million",$B$52="million"),((CZ20*CZ$51)/(CZ$52)),"0")))))</f>
        <v>1.2238666666666667</v>
      </c>
      <c r="DA73" s="20">
        <f>IF(DA20=0,"0",IF(AND(Results!$E$5="Protein",$C$53&gt;0,OR(Results!$E$4="Tissue",Results!$E$4="Cells")),((DA20*DA$51)/(DA$53)),IF(AND(Results!$E$5="Weight",$C$52&gt;0, Results!$E$4="Tissue",OR($B$52="g",$B$52="mg")),((DA20*DA$51)/(DA$52)),IF(AND(Results!$E$5="Volume",$C$54&gt;0,Results!$E$4="Fluid"),((DA20*DA$51)/(DA$54)),IF(AND(Results!$E$4="Cells",Results!$E$5="Million",$B$52="million"),((DA20*DA$51)/(DA$52)),"0")))))</f>
        <v>1.2123666666666668</v>
      </c>
      <c r="DB73" s="20">
        <f>IF(DB20=0,"0",IF(AND(Results!$E$5="Protein",$C$53&gt;0,OR(Results!$E$4="Tissue",Results!$E$4="Cells")),((DB20*DB$51)/(DB$53)),IF(AND(Results!$E$5="Weight",$C$52&gt;0, Results!$E$4="Tissue",OR($B$52="g",$B$52="mg")),((DB20*DB$51)/(DB$52)),IF(AND(Results!$E$5="Volume",$C$54&gt;0,Results!$E$4="Fluid"),((DB20*DB$51)/(DB$54)),IF(AND(Results!$E$4="Cells",Results!$E$5="Million",$B$52="million"),((DB20*DB$51)/(DB$52)),"0")))))</f>
        <v>7.1037166666666671</v>
      </c>
      <c r="DC73" s="20">
        <f>IF(DC20=0,"0",IF(AND(Results!$E$5="Protein",$C$53&gt;0,OR(Results!$E$4="Tissue",Results!$E$4="Cells")),((DC20*DC$51)/(DC$53)),IF(AND(Results!$E$5="Weight",$C$52&gt;0, Results!$E$4="Tissue",OR($B$52="g",$B$52="mg")),((DC20*DC$51)/(DC$52)),IF(AND(Results!$E$5="Volume",$C$54&gt;0,Results!$E$4="Fluid"),((DC20*DC$51)/(DC$54)),IF(AND(Results!$E$4="Cells",Results!$E$5="Million",$B$52="million"),((DC20*DC$51)/(DC$52)),"0")))))</f>
        <v>5.5661666666666658</v>
      </c>
      <c r="DD73" s="20">
        <f>IF(DD20=0,"0",IF(AND(Results!$E$5="Protein",$C$53&gt;0,OR(Results!$E$4="Tissue",Results!$E$4="Cells")),((DD20*DD$51)/(DD$53)),IF(AND(Results!$E$5="Weight",$C$52&gt;0, Results!$E$4="Tissue",OR($B$52="g",$B$52="mg")),((DD20*DD$51)/(DD$52)),IF(AND(Results!$E$5="Volume",$C$54&gt;0,Results!$E$4="Fluid"),((DD20*DD$51)/(DD$54)),IF(AND(Results!$E$4="Cells",Results!$E$5="Million",$B$52="million"),((DD20*DD$51)/(DD$52)),"0")))))</f>
        <v>6.3972166666666661</v>
      </c>
      <c r="DE73" s="20">
        <f>IF(DE20=0,"0",IF(AND(Results!$E$5="Protein",$C$53&gt;0,OR(Results!$E$4="Tissue",Results!$E$4="Cells")),((DE20*DE$51)/(DE$53)),IF(AND(Results!$E$5="Weight",$C$52&gt;0, Results!$E$4="Tissue",OR($B$52="g",$B$52="mg")),((DE20*DE$51)/(DE$52)),IF(AND(Results!$E$5="Volume",$C$54&gt;0,Results!$E$4="Fluid"),((DE20*DE$51)/(DE$54)),IF(AND(Results!$E$4="Cells",Results!$E$5="Million",$B$52="million"),((DE20*DE$51)/(DE$52)),"0")))))</f>
        <v>3.19075</v>
      </c>
      <c r="DF73" s="20">
        <f>IF(DF20=0,"0",IF(AND(Results!$E$5="Protein",$C$53&gt;0,OR(Results!$E$4="Tissue",Results!$E$4="Cells")),((DF20*DF$51)/(DF$53)),IF(AND(Results!$E$5="Weight",$C$52&gt;0, Results!$E$4="Tissue",OR($B$52="g",$B$52="mg")),((DF20*DF$51)/(DF$52)),IF(AND(Results!$E$5="Volume",$C$54&gt;0,Results!$E$4="Fluid"),((DF20*DF$51)/(DF$54)),IF(AND(Results!$E$4="Cells",Results!$E$5="Million",$B$52="million"),((DF20*DF$51)/(DF$52)),"0")))))</f>
        <v>3.291233333333333</v>
      </c>
      <c r="DG73" s="20">
        <f>IF(DG20=0,"0",IF(AND(Results!$E$5="Protein",$C$53&gt;0,OR(Results!$E$4="Tissue",Results!$E$4="Cells")),((DG20*DG$51)/(DG$53)),IF(AND(Results!$E$5="Weight",$C$52&gt;0, Results!$E$4="Tissue",OR($B$52="g",$B$52="mg")),((DG20*DG$51)/(DG$52)),IF(AND(Results!$E$5="Volume",$C$54&gt;0,Results!$E$4="Fluid"),((DG20*DG$51)/(DG$54)),IF(AND(Results!$E$4="Cells",Results!$E$5="Million",$B$52="million"),((DG20*DG$51)/(DG$52)),"0")))))</f>
        <v>5.4610833333333337</v>
      </c>
      <c r="DH73" s="20">
        <f>IF(DH20=0,"0",IF(AND(Results!$E$5="Protein",$C$53&gt;0,OR(Results!$E$4="Tissue",Results!$E$4="Cells")),((DH20*DH$51)/(DH$53)),IF(AND(Results!$E$5="Weight",$C$52&gt;0, Results!$E$4="Tissue",OR($B$52="g",$B$52="mg")),((DH20*DH$51)/(DH$52)),IF(AND(Results!$E$5="Volume",$C$54&gt;0,Results!$E$4="Fluid"),((DH20*DH$51)/(DH$54)),IF(AND(Results!$E$4="Cells",Results!$E$5="Million",$B$52="million"),((DH20*DH$51)/(DH$52)),"0")))))</f>
        <v>1.7254166666666666</v>
      </c>
      <c r="DI73" s="20">
        <f>IF(DI20=0,"0",IF(AND(Results!$E$5="Protein",$C$53&gt;0,OR(Results!$E$4="Tissue",Results!$E$4="Cells")),((DI20*DI$51)/(DI$53)),IF(AND(Results!$E$5="Weight",$C$52&gt;0, Results!$E$4="Tissue",OR($B$52="g",$B$52="mg")),((DI20*DI$51)/(DI$52)),IF(AND(Results!$E$5="Volume",$C$54&gt;0,Results!$E$4="Fluid"),((DI20*DI$51)/(DI$54)),IF(AND(Results!$E$4="Cells",Results!$E$5="Million",$B$52="million"),((DI20*DI$51)/(DI$52)),"0")))))</f>
        <v>3.5508833333333332</v>
      </c>
      <c r="DJ73" s="20">
        <f>IF(DJ20=0,"0",IF(AND(Results!$E$5="Protein",$C$53&gt;0,OR(Results!$E$4="Tissue",Results!$E$4="Cells")),((DJ20*DJ$51)/(DJ$53)),IF(AND(Results!$E$5="Weight",$C$52&gt;0, Results!$E$4="Tissue",OR($B$52="g",$B$52="mg")),((DJ20*DJ$51)/(DJ$52)),IF(AND(Results!$E$5="Volume",$C$54&gt;0,Results!$E$4="Fluid"),((DJ20*DJ$51)/(DJ$54)),IF(AND(Results!$E$4="Cells",Results!$E$5="Million",$B$52="million"),((DJ20*DJ$51)/(DJ$52)),"0")))))</f>
        <v>10.047216666666666</v>
      </c>
      <c r="DK73" s="20">
        <f>IF(DK20=0,"0",IF(AND(Results!$E$5="Protein",$C$53&gt;0,OR(Results!$E$4="Tissue",Results!$E$4="Cells")),((DK20*DK$51)/(DK$53)),IF(AND(Results!$E$5="Weight",$C$52&gt;0, Results!$E$4="Tissue",OR($B$52="g",$B$52="mg")),((DK20*DK$51)/(DK$52)),IF(AND(Results!$E$5="Volume",$C$54&gt;0,Results!$E$4="Fluid"),((DK20*DK$51)/(DK$54)),IF(AND(Results!$E$4="Cells",Results!$E$5="Million",$B$52="million"),((DK20*DK$51)/(DK$52)),"0")))))</f>
        <v>7.3690500000000005</v>
      </c>
      <c r="DL73" s="20">
        <f>IF(DL20=0,"0",IF(AND(Results!$E$5="Protein",$C$53&gt;0,OR(Results!$E$4="Tissue",Results!$E$4="Cells")),((DL20*DL$51)/(DL$53)),IF(AND(Results!$E$5="Weight",$C$52&gt;0, Results!$E$4="Tissue",OR($B$52="g",$B$52="mg")),((DL20*DL$51)/(DL$52)),IF(AND(Results!$E$5="Volume",$C$54&gt;0,Results!$E$4="Fluid"),((DL20*DL$51)/(DL$54)),IF(AND(Results!$E$4="Cells",Results!$E$5="Million",$B$52="million"),((DL20*DL$51)/(DL$52)),"0")))))</f>
        <v>1.8178000000000003</v>
      </c>
      <c r="DM73" s="20">
        <f>IF(DM20=0,"0",IF(AND(Results!$E$5="Protein",$C$53&gt;0,OR(Results!$E$4="Tissue",Results!$E$4="Cells")),((DM20*DM$51)/(DM$53)),IF(AND(Results!$E$5="Weight",$C$52&gt;0, Results!$E$4="Tissue",OR($B$52="g",$B$52="mg")),((DM20*DM$51)/(DM$52)),IF(AND(Results!$E$5="Volume",$C$54&gt;0,Results!$E$4="Fluid"),((DM20*DM$51)/(DM$54)),IF(AND(Results!$E$4="Cells",Results!$E$5="Million",$B$52="million"),((DM20*DM$51)/(DM$52)),"0")))))</f>
        <v>5.7406833333333331</v>
      </c>
      <c r="DN73" s="20">
        <f>IF(DN20=0,"0",IF(AND(Results!$E$5="Protein",$C$53&gt;0,OR(Results!$E$4="Tissue",Results!$E$4="Cells")),((DN20*DN$51)/(DN$53)),IF(AND(Results!$E$5="Weight",$C$52&gt;0, Results!$E$4="Tissue",OR($B$52="g",$B$52="mg")),((DN20*DN$51)/(DN$52)),IF(AND(Results!$E$5="Volume",$C$54&gt;0,Results!$E$4="Fluid"),((DN20*DN$51)/(DN$54)),IF(AND(Results!$E$4="Cells",Results!$E$5="Million",$B$52="million"),((DN20*DN$51)/(DN$52)),"0")))))</f>
        <v>9.9145000000000003</v>
      </c>
      <c r="DO73" s="20">
        <f>IF(DO20=0,"0",IF(AND(Results!$E$5="Protein",$C$53&gt;0,OR(Results!$E$4="Tissue",Results!$E$4="Cells")),((DO20*DO$51)/(DO$53)),IF(AND(Results!$E$5="Weight",$C$52&gt;0, Results!$E$4="Tissue",OR($B$52="g",$B$52="mg")),((DO20*DO$51)/(DO$52)),IF(AND(Results!$E$5="Volume",$C$54&gt;0,Results!$E$4="Fluid"),((DO20*DO$51)/(DO$54)),IF(AND(Results!$E$4="Cells",Results!$E$5="Million",$B$52="million"),((DO20*DO$51)/(DO$52)),"0")))))</f>
        <v>10.631583333333333</v>
      </c>
      <c r="DP73" s="20">
        <f>IF(DP20=0,"0",IF(AND(Results!$E$5="Protein",$C$53&gt;0,OR(Results!$E$4="Tissue",Results!$E$4="Cells")),((DP20*DP$51)/(DP$53)),IF(AND(Results!$E$5="Weight",$C$52&gt;0, Results!$E$4="Tissue",OR($B$52="g",$B$52="mg")),((DP20*DP$51)/(DP$52)),IF(AND(Results!$E$5="Volume",$C$54&gt;0,Results!$E$4="Fluid"),((DP20*DP$51)/(DP$54)),IF(AND(Results!$E$4="Cells",Results!$E$5="Million",$B$52="million"),((DP20*DP$51)/(DP$52)),"0")))))</f>
        <v>2.5605333333333333</v>
      </c>
      <c r="DQ73" s="20">
        <f>IF(DQ20=0,"0",IF(AND(Results!$E$5="Protein",$C$53&gt;0,OR(Results!$E$4="Tissue",Results!$E$4="Cells")),((DQ20*DQ$51)/(DQ$53)),IF(AND(Results!$E$5="Weight",$C$52&gt;0, Results!$E$4="Tissue",OR($B$52="g",$B$52="mg")),((DQ20*DQ$51)/(DQ$52)),IF(AND(Results!$E$5="Volume",$C$54&gt;0,Results!$E$4="Fluid"),((DQ20*DQ$51)/(DQ$54)),IF(AND(Results!$E$4="Cells",Results!$E$5="Million",$B$52="million"),((DQ20*DQ$51)/(DQ$52)),"0")))))</f>
        <v>2.7203500000000003</v>
      </c>
      <c r="DR73" s="20">
        <f>IF(DR20=0,"0",IF(AND(Results!$E$5="Protein",$C$53&gt;0,OR(Results!$E$4="Tissue",Results!$E$4="Cells")),((DR20*DR$51)/(DR$53)),IF(AND(Results!$E$5="Weight",$C$52&gt;0, Results!$E$4="Tissue",OR($B$52="g",$B$52="mg")),((DR20*DR$51)/(DR$52)),IF(AND(Results!$E$5="Volume",$C$54&gt;0,Results!$E$4="Fluid"),((DR20*DR$51)/(DR$54)),IF(AND(Results!$E$4="Cells",Results!$E$5="Million",$B$52="million"),((DR20*DR$51)/(DR$52)),"0")))))</f>
        <v>3.4193333333333329</v>
      </c>
      <c r="DS73" s="20">
        <f>IF(DS20=0,"0",IF(AND(Results!$E$5="Protein",$C$53&gt;0,OR(Results!$E$4="Tissue",Results!$E$4="Cells")),((DS20*DS$51)/(DS$53)),IF(AND(Results!$E$5="Weight",$C$52&gt;0, Results!$E$4="Tissue",OR($B$52="g",$B$52="mg")),((DS20*DS$51)/(DS$52)),IF(AND(Results!$E$5="Volume",$C$54&gt;0,Results!$E$4="Fluid"),((DS20*DS$51)/(DS$54)),IF(AND(Results!$E$4="Cells",Results!$E$5="Million",$B$52="million"),((DS20*DS$51)/(DS$52)),"0")))))</f>
        <v>2.6596166666666665</v>
      </c>
      <c r="DT73" s="20">
        <f>IF(DT20=0,"0",IF(AND(Results!$E$5="Protein",$C$53&gt;0,OR(Results!$E$4="Tissue",Results!$E$4="Cells")),((DT20*DT$51)/(DT$53)),IF(AND(Results!$E$5="Weight",$C$52&gt;0, Results!$E$4="Tissue",OR($B$52="g",$B$52="mg")),((DT20*DT$51)/(DT$52)),IF(AND(Results!$E$5="Volume",$C$54&gt;0,Results!$E$4="Fluid"),((DT20*DT$51)/(DT$54)),IF(AND(Results!$E$4="Cells",Results!$E$5="Million",$B$52="million"),((DT20*DT$51)/(DT$52)),"0")))))</f>
        <v>4.0940833333333329</v>
      </c>
      <c r="DU73" s="20">
        <f>IF(DU20=0,"0",IF(AND(Results!$E$5="Protein",$C$53&gt;0,OR(Results!$E$4="Tissue",Results!$E$4="Cells")),((DU20*DU$51)/(DU$53)),IF(AND(Results!$E$5="Weight",$C$52&gt;0, Results!$E$4="Tissue",OR($B$52="g",$B$52="mg")),((DU20*DU$51)/(DU$52)),IF(AND(Results!$E$5="Volume",$C$54&gt;0,Results!$E$4="Fluid"),((DU20*DU$51)/(DU$54)),IF(AND(Results!$E$4="Cells",Results!$E$5="Million",$B$52="million"),((DU20*DU$51)/(DU$52)),"0")))))</f>
        <v>12.596116666666667</v>
      </c>
      <c r="DV73" s="20">
        <f>IF(DV20=0,"0",IF(AND(Results!$E$5="Protein",$C$53&gt;0,OR(Results!$E$4="Tissue",Results!$E$4="Cells")),((DV20*DV$51)/(DV$53)),IF(AND(Results!$E$5="Weight",$C$52&gt;0, Results!$E$4="Tissue",OR($B$52="g",$B$52="mg")),((DV20*DV$51)/(DV$52)),IF(AND(Results!$E$5="Volume",$C$54&gt;0,Results!$E$4="Fluid"),((DV20*DV$51)/(DV$54)),IF(AND(Results!$E$4="Cells",Results!$E$5="Million",$B$52="million"),((DV20*DV$51)/(DV$52)),"0")))))</f>
        <v>3.1739666666666668</v>
      </c>
      <c r="DW73" s="20">
        <f>IF(DW20=0,"0",IF(AND(Results!$E$5="Protein",$C$53&gt;0,OR(Results!$E$4="Tissue",Results!$E$4="Cells")),((DW20*DW$51)/(DW$53)),IF(AND(Results!$E$5="Weight",$C$52&gt;0, Results!$E$4="Tissue",OR($B$52="g",$B$52="mg")),((DW20*DW$51)/(DW$52)),IF(AND(Results!$E$5="Volume",$C$54&gt;0,Results!$E$4="Fluid"),((DW20*DW$51)/(DW$54)),IF(AND(Results!$E$4="Cells",Results!$E$5="Million",$B$52="million"),((DW20*DW$51)/(DW$52)),"0")))))</f>
        <v>4.4525500000000005</v>
      </c>
      <c r="DX73" s="20">
        <f>IF(DX20=0,"0",IF(AND(Results!$E$5="Protein",$C$53&gt;0,OR(Results!$E$4="Tissue",Results!$E$4="Cells")),((DX20*DX$51)/(DX$53)),IF(AND(Results!$E$5="Weight",$C$52&gt;0, Results!$E$4="Tissue",OR($B$52="g",$B$52="mg")),((DX20*DX$51)/(DX$52)),IF(AND(Results!$E$5="Volume",$C$54&gt;0,Results!$E$4="Fluid"),((DX20*DX$51)/(DX$54)),IF(AND(Results!$E$4="Cells",Results!$E$5="Million",$B$52="million"),((DX20*DX$51)/(DX$52)),"0")))))</f>
        <v>2.5810999999999997</v>
      </c>
      <c r="DY73" s="20">
        <f>IF(DY20=0,"0",IF(AND(Results!$E$5="Protein",$C$53&gt;0,OR(Results!$E$4="Tissue",Results!$E$4="Cells")),((DY20*DY$51)/(DY$53)),IF(AND(Results!$E$5="Weight",$C$52&gt;0, Results!$E$4="Tissue",OR($B$52="g",$B$52="mg")),((DY20*DY$51)/(DY$52)),IF(AND(Results!$E$5="Volume",$C$54&gt;0,Results!$E$4="Fluid"),((DY20*DY$51)/(DY$54)),IF(AND(Results!$E$4="Cells",Results!$E$5="Million",$B$52="million"),((DY20*DY$51)/(DY$52)),"0")))))</f>
        <v>8.1455000000000002</v>
      </c>
      <c r="DZ73" s="20">
        <f>IF(DZ20=0,"0",IF(AND(Results!$E$5="Protein",$C$53&gt;0,OR(Results!$E$4="Tissue",Results!$E$4="Cells")),((DZ20*DZ$51)/(DZ$53)),IF(AND(Results!$E$5="Weight",$C$52&gt;0, Results!$E$4="Tissue",OR($B$52="g",$B$52="mg")),((DZ20*DZ$51)/(DZ$52)),IF(AND(Results!$E$5="Volume",$C$54&gt;0,Results!$E$4="Fluid"),((DZ20*DZ$51)/(DZ$54)),IF(AND(Results!$E$4="Cells",Results!$E$5="Million",$B$52="million"),((DZ20*DZ$51)/(DZ$52)),"0")))))</f>
        <v>3.0210999999999997</v>
      </c>
      <c r="EA73" s="20">
        <f>IF(EA20=0,"0",IF(AND(Results!$E$5="Protein",$C$53&gt;0,OR(Results!$E$4="Tissue",Results!$E$4="Cells")),((EA20*EA$51)/(EA$53)),IF(AND(Results!$E$5="Weight",$C$52&gt;0, Results!$E$4="Tissue",OR($B$52="g",$B$52="mg")),((EA20*EA$51)/(EA$52)),IF(AND(Results!$E$5="Volume",$C$54&gt;0,Results!$E$4="Fluid"),((EA20*EA$51)/(EA$54)),IF(AND(Results!$E$4="Cells",Results!$E$5="Million",$B$52="million"),((EA20*EA$51)/(EA$52)),"0")))))</f>
        <v>4.8428499999999994</v>
      </c>
      <c r="EB73" s="20">
        <f>IF(EB20=0,"0",IF(AND(Results!$E$5="Protein",$C$53&gt;0,OR(Results!$E$4="Tissue",Results!$E$4="Cells")),((EB20*EB$51)/(EB$53)),IF(AND(Results!$E$5="Weight",$C$52&gt;0, Results!$E$4="Tissue",OR($B$52="g",$B$52="mg")),((EB20*EB$51)/(EB$52)),IF(AND(Results!$E$5="Volume",$C$54&gt;0,Results!$E$4="Fluid"),((EB20*EB$51)/(EB$54)),IF(AND(Results!$E$4="Cells",Results!$E$5="Million",$B$52="million"),((EB20*EB$51)/(EB$52)),"0")))))</f>
        <v>4.8647333333333336</v>
      </c>
      <c r="EC73" s="20">
        <f>IF(EC20=0,"0",IF(AND(Results!$E$5="Protein",$C$53&gt;0,OR(Results!$E$4="Tissue",Results!$E$4="Cells")),((EC20*EC$51)/(EC$53)),IF(AND(Results!$E$5="Weight",$C$52&gt;0, Results!$E$4="Tissue",OR($B$52="g",$B$52="mg")),((EC20*EC$51)/(EC$52)),IF(AND(Results!$E$5="Volume",$C$54&gt;0,Results!$E$4="Fluid"),((EC20*EC$51)/(EC$54)),IF(AND(Results!$E$4="Cells",Results!$E$5="Million",$B$52="million"),((EC20*EC$51)/(EC$52)),"0")))))</f>
        <v>2.3014833333333331</v>
      </c>
      <c r="ED73" s="20">
        <f>IF(ED20=0,"0",IF(AND(Results!$E$5="Protein",$C$53&gt;0,OR(Results!$E$4="Tissue",Results!$E$4="Cells")),((ED20*ED$51)/(ED$53)),IF(AND(Results!$E$5="Weight",$C$52&gt;0, Results!$E$4="Tissue",OR($B$52="g",$B$52="mg")),((ED20*ED$51)/(ED$52)),IF(AND(Results!$E$5="Volume",$C$54&gt;0,Results!$E$4="Fluid"),((ED20*ED$51)/(ED$54)),IF(AND(Results!$E$4="Cells",Results!$E$5="Million",$B$52="million"),((ED20*ED$51)/(ED$52)),"0")))))</f>
        <v>3.0166666666666666</v>
      </c>
      <c r="EE73" s="20">
        <f>IF(EE20=0,"0",IF(AND(Results!$E$5="Protein",$C$53&gt;0,OR(Results!$E$4="Tissue",Results!$E$4="Cells")),((EE20*EE$51)/(EE$53)),IF(AND(Results!$E$5="Weight",$C$52&gt;0, Results!$E$4="Tissue",OR($B$52="g",$B$52="mg")),((EE20*EE$51)/(EE$52)),IF(AND(Results!$E$5="Volume",$C$54&gt;0,Results!$E$4="Fluid"),((EE20*EE$51)/(EE$54)),IF(AND(Results!$E$4="Cells",Results!$E$5="Million",$B$52="million"),((EE20*EE$51)/(EE$52)),"0")))))</f>
        <v>1.6075666666666668</v>
      </c>
      <c r="EF73" s="20">
        <f>IF(EF20=0,"0",IF(AND(Results!$E$5="Protein",$C$53&gt;0,OR(Results!$E$4="Tissue",Results!$E$4="Cells")),((EF20*EF$51)/(EF$53)),IF(AND(Results!$E$5="Weight",$C$52&gt;0, Results!$E$4="Tissue",OR($B$52="g",$B$52="mg")),((EF20*EF$51)/(EF$52)),IF(AND(Results!$E$5="Volume",$C$54&gt;0,Results!$E$4="Fluid"),((EF20*EF$51)/(EF$54)),IF(AND(Results!$E$4="Cells",Results!$E$5="Million",$B$52="million"),((EF20*EF$51)/(EF$52)),"0")))))</f>
        <v>2.1014166666666667</v>
      </c>
      <c r="EG73" s="20">
        <f>IF(EG20=0,"0",IF(AND(Results!$E$5="Protein",$C$53&gt;0,OR(Results!$E$4="Tissue",Results!$E$4="Cells")),((EG20*EG$51)/(EG$53)),IF(AND(Results!$E$5="Weight",$C$52&gt;0, Results!$E$4="Tissue",OR($B$52="g",$B$52="mg")),((EG20*EG$51)/(EG$52)),IF(AND(Results!$E$5="Volume",$C$54&gt;0,Results!$E$4="Fluid"),((EG20*EG$51)/(EG$54)),IF(AND(Results!$E$4="Cells",Results!$E$5="Million",$B$52="million"),((EG20*EG$51)/(EG$52)),"0")))))</f>
        <v>2.5827333333333331</v>
      </c>
      <c r="EH73" s="20">
        <f>IF(EH20=0,"0",IF(AND(Results!$E$5="Protein",$C$53&gt;0,OR(Results!$E$4="Tissue",Results!$E$4="Cells")),((EH20*EH$51)/(EH$53)),IF(AND(Results!$E$5="Weight",$C$52&gt;0, Results!$E$4="Tissue",OR($B$52="g",$B$52="mg")),((EH20*EH$51)/(EH$52)),IF(AND(Results!$E$5="Volume",$C$54&gt;0,Results!$E$4="Fluid"),((EH20*EH$51)/(EH$54)),IF(AND(Results!$E$4="Cells",Results!$E$5="Million",$B$52="million"),((EH20*EH$51)/(EH$52)),"0")))))</f>
        <v>3.378716666666667</v>
      </c>
      <c r="EI73" s="20">
        <f>IF(EI20=0,"0",IF(AND(Results!$E$5="Protein",$C$53&gt;0,OR(Results!$E$4="Tissue",Results!$E$4="Cells")),((EI20*EI$51)/(EI$53)),IF(AND(Results!$E$5="Weight",$C$52&gt;0, Results!$E$4="Tissue",OR($B$52="g",$B$52="mg")),((EI20*EI$51)/(EI$52)),IF(AND(Results!$E$5="Volume",$C$54&gt;0,Results!$E$4="Fluid"),((EI20*EI$51)/(EI$54)),IF(AND(Results!$E$4="Cells",Results!$E$5="Million",$B$52="million"),((EI20*EI$51)/(EI$52)),"0")))))</f>
        <v>0.88926666666666665</v>
      </c>
      <c r="EJ73" s="20">
        <f>IF(EJ20=0,"0",IF(AND(Results!$E$5="Protein",$C$53&gt;0,OR(Results!$E$4="Tissue",Results!$E$4="Cells")),((EJ20*EJ$51)/(EJ$53)),IF(AND(Results!$E$5="Weight",$C$52&gt;0, Results!$E$4="Tissue",OR($B$52="g",$B$52="mg")),((EJ20*EJ$51)/(EJ$52)),IF(AND(Results!$E$5="Volume",$C$54&gt;0,Results!$E$4="Fluid"),((EJ20*EJ$51)/(EJ$54)),IF(AND(Results!$E$4="Cells",Results!$E$5="Million",$B$52="million"),((EJ20*EJ$51)/(EJ$52)),"0")))))</f>
        <v>3.8810333333333338</v>
      </c>
      <c r="EK73" s="20">
        <f>IF(EK20=0,"0",IF(AND(Results!$E$5="Protein",$C$53&gt;0,OR(Results!$E$4="Tissue",Results!$E$4="Cells")),((EK20*EK$51)/(EK$53)),IF(AND(Results!$E$5="Weight",$C$52&gt;0, Results!$E$4="Tissue",OR($B$52="g",$B$52="mg")),((EK20*EK$51)/(EK$52)),IF(AND(Results!$E$5="Volume",$C$54&gt;0,Results!$E$4="Fluid"),((EK20*EK$51)/(EK$54)),IF(AND(Results!$E$4="Cells",Results!$E$5="Million",$B$52="million"),((EK20*EK$51)/(EK$52)),"0")))))</f>
        <v>5.7586166666666658</v>
      </c>
      <c r="EL73" s="20">
        <f>IF(EL20=0,"0",IF(AND(Results!$E$5="Protein",$C$53&gt;0,OR(Results!$E$4="Tissue",Results!$E$4="Cells")),((EL20*EL$51)/(EL$53)),IF(AND(Results!$E$5="Weight",$C$52&gt;0, Results!$E$4="Tissue",OR($B$52="g",$B$52="mg")),((EL20*EL$51)/(EL$52)),IF(AND(Results!$E$5="Volume",$C$54&gt;0,Results!$E$4="Fluid"),((EL20*EL$51)/(EL$54)),IF(AND(Results!$E$4="Cells",Results!$E$5="Million",$B$52="million"),((EL20*EL$51)/(EL$52)),"0")))))</f>
        <v>4.0647666666666664</v>
      </c>
      <c r="EM73" s="20">
        <f>IF(EM20=0,"0",IF(AND(Results!$E$5="Protein",$C$53&gt;0,OR(Results!$E$4="Tissue",Results!$E$4="Cells")),((EM20*EM$51)/(EM$53)),IF(AND(Results!$E$5="Weight",$C$52&gt;0, Results!$E$4="Tissue",OR($B$52="g",$B$52="mg")),((EM20*EM$51)/(EM$52)),IF(AND(Results!$E$5="Volume",$C$54&gt;0,Results!$E$4="Fluid"),((EM20*EM$51)/(EM$54)),IF(AND(Results!$E$4="Cells",Results!$E$5="Million",$B$52="million"),((EM20*EM$51)/(EM$52)),"0")))))</f>
        <v>2.0231666666666666</v>
      </c>
      <c r="EN73" s="20">
        <f>IF(EN20=0,"0",IF(AND(Results!$E$5="Protein",$C$53&gt;0,OR(Results!$E$4="Tissue",Results!$E$4="Cells")),((EN20*EN$51)/(EN$53)),IF(AND(Results!$E$5="Weight",$C$52&gt;0, Results!$E$4="Tissue",OR($B$52="g",$B$52="mg")),((EN20*EN$51)/(EN$52)),IF(AND(Results!$E$5="Volume",$C$54&gt;0,Results!$E$4="Fluid"),((EN20*EN$51)/(EN$54)),IF(AND(Results!$E$4="Cells",Results!$E$5="Million",$B$52="million"),((EN20*EN$51)/(EN$52)),"0")))))</f>
        <v>3.9239999999999999</v>
      </c>
      <c r="EO73" s="20">
        <f>IF(EO20=0,"0",IF(AND(Results!$E$5="Protein",$C$53&gt;0,OR(Results!$E$4="Tissue",Results!$E$4="Cells")),((EO20*EO$51)/(EO$53)),IF(AND(Results!$E$5="Weight",$C$52&gt;0, Results!$E$4="Tissue",OR($B$52="g",$B$52="mg")),((EO20*EO$51)/(EO$52)),IF(AND(Results!$E$5="Volume",$C$54&gt;0,Results!$E$4="Fluid"),((EO20*EO$51)/(EO$54)),IF(AND(Results!$E$4="Cells",Results!$E$5="Million",$B$52="million"),((EO20*EO$51)/(EO$52)),"0")))))</f>
        <v>5.0020999999999995</v>
      </c>
      <c r="EP73" s="20">
        <f>IF(EP20=0,"0",IF(AND(Results!$E$5="Protein",$C$53&gt;0,OR(Results!$E$4="Tissue",Results!$E$4="Cells")),((EP20*EP$51)/(EP$53)),IF(AND(Results!$E$5="Weight",$C$52&gt;0, Results!$E$4="Tissue",OR($B$52="g",$B$52="mg")),((EP20*EP$51)/(EP$52)),IF(AND(Results!$E$5="Volume",$C$54&gt;0,Results!$E$4="Fluid"),((EP20*EP$51)/(EP$54)),IF(AND(Results!$E$4="Cells",Results!$E$5="Million",$B$52="million"),((EP20*EP$51)/(EP$52)),"0")))))</f>
        <v>2.8630500000000003</v>
      </c>
      <c r="EQ73" s="20">
        <f>IF(EQ20=0,"0",IF(AND(Results!$E$5="Protein",$C$53&gt;0,OR(Results!$E$4="Tissue",Results!$E$4="Cells")),((EQ20*EQ$51)/(EQ$53)),IF(AND(Results!$E$5="Weight",$C$52&gt;0, Results!$E$4="Tissue",OR($B$52="g",$B$52="mg")),((EQ20*EQ$51)/(EQ$52)),IF(AND(Results!$E$5="Volume",$C$54&gt;0,Results!$E$4="Fluid"),((EQ20*EQ$51)/(EQ$54)),IF(AND(Results!$E$4="Cells",Results!$E$5="Million",$B$52="million"),((EQ20*EQ$51)/(EQ$52)),"0")))))</f>
        <v>4.1570333333333336</v>
      </c>
      <c r="ER73" s="20">
        <f>IF(ER20=0,"0",IF(AND(Results!$E$5="Protein",$C$53&gt;0,OR(Results!$E$4="Tissue",Results!$E$4="Cells")),((ER20*ER$51)/(ER$53)),IF(AND(Results!$E$5="Weight",$C$52&gt;0, Results!$E$4="Tissue",OR($B$52="g",$B$52="mg")),((ER20*ER$51)/(ER$52)),IF(AND(Results!$E$5="Volume",$C$54&gt;0,Results!$E$4="Fluid"),((ER20*ER$51)/(ER$54)),IF(AND(Results!$E$4="Cells",Results!$E$5="Million",$B$52="million"),((ER20*ER$51)/(ER$52)),"0")))))</f>
        <v>5.1044166666666664</v>
      </c>
      <c r="ES73" s="20">
        <f>IF(ES20=0,"0",IF(AND(Results!$E$5="Protein",$C$53&gt;0,OR(Results!$E$4="Tissue",Results!$E$4="Cells")),((ES20*ES$51)/(ES$53)),IF(AND(Results!$E$5="Weight",$C$52&gt;0, Results!$E$4="Tissue",OR($B$52="g",$B$52="mg")),((ES20*ES$51)/(ES$52)),IF(AND(Results!$E$5="Volume",$C$54&gt;0,Results!$E$4="Fluid"),((ES20*ES$51)/(ES$54)),IF(AND(Results!$E$4="Cells",Results!$E$5="Million",$B$52="million"),((ES20*ES$51)/(ES$52)),"0")))))</f>
        <v>4.258866666666667</v>
      </c>
      <c r="ET73" s="20">
        <f>IF(ET20=0,"0",IF(AND(Results!$E$5="Protein",$C$53&gt;0,OR(Results!$E$4="Tissue",Results!$E$4="Cells")),((ET20*ET$51)/(ET$53)),IF(AND(Results!$E$5="Weight",$C$52&gt;0, Results!$E$4="Tissue",OR($B$52="g",$B$52="mg")),((ET20*ET$51)/(ET$52)),IF(AND(Results!$E$5="Volume",$C$54&gt;0,Results!$E$4="Fluid"),((ET20*ET$51)/(ET$54)),IF(AND(Results!$E$4="Cells",Results!$E$5="Million",$B$52="million"),((ET20*ET$51)/(ET$52)),"0")))))</f>
        <v>2.3380000000000001</v>
      </c>
      <c r="EU73" s="20">
        <f>IF(EU20=0,"0",IF(AND(Results!$E$5="Protein",$C$53&gt;0,OR(Results!$E$4="Tissue",Results!$E$4="Cells")),((EU20*EU$51)/(EU$53)),IF(AND(Results!$E$5="Weight",$C$52&gt;0, Results!$E$4="Tissue",OR($B$52="g",$B$52="mg")),((EU20*EU$51)/(EU$52)),IF(AND(Results!$E$5="Volume",$C$54&gt;0,Results!$E$4="Fluid"),((EU20*EU$51)/(EU$54)),IF(AND(Results!$E$4="Cells",Results!$E$5="Million",$B$52="million"),((EU20*EU$51)/(EU$52)),"0")))))</f>
        <v>5.5884999999999998</v>
      </c>
      <c r="EV73" s="20">
        <f>IF(EV20=0,"0",IF(AND(Results!$E$5="Protein",$C$53&gt;0,OR(Results!$E$4="Tissue",Results!$E$4="Cells")),((EV20*EV$51)/(EV$53)),IF(AND(Results!$E$5="Weight",$C$52&gt;0, Results!$E$4="Tissue",OR($B$52="g",$B$52="mg")),((EV20*EV$51)/(EV$52)),IF(AND(Results!$E$5="Volume",$C$54&gt;0,Results!$E$4="Fluid"),((EV20*EV$51)/(EV$54)),IF(AND(Results!$E$4="Cells",Results!$E$5="Million",$B$52="million"),((EV20*EV$51)/(EV$52)),"0")))))</f>
        <v>3.0195999999999996</v>
      </c>
      <c r="EW73" s="20">
        <f>IF(EW20=0,"0",IF(AND(Results!$E$5="Protein",$C$53&gt;0,OR(Results!$E$4="Tissue",Results!$E$4="Cells")),((EW20*EW$51)/(EW$53)),IF(AND(Results!$E$5="Weight",$C$52&gt;0, Results!$E$4="Tissue",OR($B$52="g",$B$52="mg")),((EW20*EW$51)/(EW$52)),IF(AND(Results!$E$5="Volume",$C$54&gt;0,Results!$E$4="Fluid"),((EW20*EW$51)/(EW$54)),IF(AND(Results!$E$4="Cells",Results!$E$5="Million",$B$52="million"),((EW20*EW$51)/(EW$52)),"0")))))</f>
        <v>2.0664500000000001</v>
      </c>
      <c r="EX73" s="20">
        <f>IF(EX20=0,"0",IF(AND(Results!$E$5="Protein",$C$53&gt;0,OR(Results!$E$4="Tissue",Results!$E$4="Cells")),((EX20*EX$51)/(EX$53)),IF(AND(Results!$E$5="Weight",$C$52&gt;0, Results!$E$4="Tissue",OR($B$52="g",$B$52="mg")),((EX20*EX$51)/(EX$52)),IF(AND(Results!$E$5="Volume",$C$54&gt;0,Results!$E$4="Fluid"),((EX20*EX$51)/(EX$54)),IF(AND(Results!$E$4="Cells",Results!$E$5="Million",$B$52="million"),((EX20*EX$51)/(EX$52)),"0")))))</f>
        <v>12.185283333333333</v>
      </c>
      <c r="EY73" s="20">
        <f>IF(EY20=0,"0",IF(AND(Results!$E$5="Protein",$C$53&gt;0,OR(Results!$E$4="Tissue",Results!$E$4="Cells")),((EY20*EY$51)/(EY$53)),IF(AND(Results!$E$5="Weight",$C$52&gt;0, Results!$E$4="Tissue",OR($B$52="g",$B$52="mg")),((EY20*EY$51)/(EY$52)),IF(AND(Results!$E$5="Volume",$C$54&gt;0,Results!$E$4="Fluid"),((EY20*EY$51)/(EY$54)),IF(AND(Results!$E$4="Cells",Results!$E$5="Million",$B$52="million"),((EY20*EY$51)/(EY$52)),"0")))))</f>
        <v>10.3817</v>
      </c>
      <c r="EZ73" s="20">
        <f>IF(EZ20=0,"0",IF(AND(Results!$E$5="Protein",$C$53&gt;0,OR(Results!$E$4="Tissue",Results!$E$4="Cells")),((EZ20*EZ$51)/(EZ$53)),IF(AND(Results!$E$5="Weight",$C$52&gt;0, Results!$E$4="Tissue",OR($B$52="g",$B$52="mg")),((EZ20*EZ$51)/(EZ$52)),IF(AND(Results!$E$5="Volume",$C$54&gt;0,Results!$E$4="Fluid"),((EZ20*EZ$51)/(EZ$54)),IF(AND(Results!$E$4="Cells",Results!$E$5="Million",$B$52="million"),((EZ20*EZ$51)/(EZ$52)),"0")))))</f>
        <v>2.9693666666666663</v>
      </c>
      <c r="FA73" s="20">
        <f>IF(FA20=0,"0",IF(AND(Results!$E$5="Protein",$C$53&gt;0,OR(Results!$E$4="Tissue",Results!$E$4="Cells")),((FA20*FA$51)/(FA$53)),IF(AND(Results!$E$5="Weight",$C$52&gt;0, Results!$E$4="Tissue",OR($B$52="g",$B$52="mg")),((FA20*FA$51)/(FA$52)),IF(AND(Results!$E$5="Volume",$C$54&gt;0,Results!$E$4="Fluid"),((FA20*FA$51)/(FA$54)),IF(AND(Results!$E$4="Cells",Results!$E$5="Million",$B$52="million"),((FA20*FA$51)/(FA$52)),"0")))))</f>
        <v>1.6402499999999998</v>
      </c>
      <c r="FB73" s="20">
        <f>IF(FB20=0,"0",IF(AND(Results!$E$5="Protein",$C$53&gt;0,OR(Results!$E$4="Tissue",Results!$E$4="Cells")),((FB20*FB$51)/(FB$53)),IF(AND(Results!$E$5="Weight",$C$52&gt;0, Results!$E$4="Tissue",OR($B$52="g",$B$52="mg")),((FB20*FB$51)/(FB$52)),IF(AND(Results!$E$5="Volume",$C$54&gt;0,Results!$E$4="Fluid"),((FB20*FB$51)/(FB$54)),IF(AND(Results!$E$4="Cells",Results!$E$5="Million",$B$52="million"),((FB20*FB$51)/(FB$52)),"0")))))</f>
        <v>1.1818833333333336</v>
      </c>
      <c r="FC73" s="20">
        <f>IF(FC20=0,"0",IF(AND(Results!$E$5="Protein",$C$53&gt;0,OR(Results!$E$4="Tissue",Results!$E$4="Cells")),((FC20*FC$51)/(FC$53)),IF(AND(Results!$E$5="Weight",$C$52&gt;0, Results!$E$4="Tissue",OR($B$52="g",$B$52="mg")),((FC20*FC$51)/(FC$52)),IF(AND(Results!$E$5="Volume",$C$54&gt;0,Results!$E$4="Fluid"),((FC20*FC$51)/(FC$54)),IF(AND(Results!$E$4="Cells",Results!$E$5="Million",$B$52="million"),((FC20*FC$51)/(FC$52)),"0")))))</f>
        <v>4.1858333333333331</v>
      </c>
      <c r="FD73" s="20">
        <f>IF(FD20=0,"0",IF(AND(Results!$E$5="Protein",$C$53&gt;0,OR(Results!$E$4="Tissue",Results!$E$4="Cells")),((FD20*FD$51)/(FD$53)),IF(AND(Results!$E$5="Weight",$C$52&gt;0, Results!$E$4="Tissue",OR($B$52="g",$B$52="mg")),((FD20*FD$51)/(FD$52)),IF(AND(Results!$E$5="Volume",$C$54&gt;0,Results!$E$4="Fluid"),((FD20*FD$51)/(FD$54)),IF(AND(Results!$E$4="Cells",Results!$E$5="Million",$B$52="million"),((FD20*FD$51)/(FD$52)),"0")))))</f>
        <v>1.6731833333333332</v>
      </c>
      <c r="FE73" s="20">
        <f>IF(FE20=0,"0",IF(AND(Results!$E$5="Protein",$C$53&gt;0,OR(Results!$E$4="Tissue",Results!$E$4="Cells")),((FE20*FE$51)/(FE$53)),IF(AND(Results!$E$5="Weight",$C$52&gt;0, Results!$E$4="Tissue",OR($B$52="g",$B$52="mg")),((FE20*FE$51)/(FE$52)),IF(AND(Results!$E$5="Volume",$C$54&gt;0,Results!$E$4="Fluid"),((FE20*FE$51)/(FE$54)),IF(AND(Results!$E$4="Cells",Results!$E$5="Million",$B$52="million"),((FE20*FE$51)/(FE$52)),"0")))))</f>
        <v>1.8888333333333334</v>
      </c>
      <c r="FF73" s="20">
        <f>IF(FF20=0,"0",IF(AND(Results!$E$5="Protein",$C$53&gt;0,OR(Results!$E$4="Tissue",Results!$E$4="Cells")),((FF20*FF$51)/(FF$53)),IF(AND(Results!$E$5="Weight",$C$52&gt;0, Results!$E$4="Tissue",OR($B$52="g",$B$52="mg")),((FF20*FF$51)/(FF$52)),IF(AND(Results!$E$5="Volume",$C$54&gt;0,Results!$E$4="Fluid"),((FF20*FF$51)/(FF$54)),IF(AND(Results!$E$4="Cells",Results!$E$5="Million",$B$52="million"),((FF20*FF$51)/(FF$52)),"0")))))</f>
        <v>6.5149333333333326</v>
      </c>
      <c r="FG73" s="20">
        <f>IF(FG20=0,"0",IF(AND(Results!$E$5="Protein",$C$53&gt;0,OR(Results!$E$4="Tissue",Results!$E$4="Cells")),((FG20*FG$51)/(FG$53)),IF(AND(Results!$E$5="Weight",$C$52&gt;0, Results!$E$4="Tissue",OR($B$52="g",$B$52="mg")),((FG20*FG$51)/(FG$52)),IF(AND(Results!$E$5="Volume",$C$54&gt;0,Results!$E$4="Fluid"),((FG20*FG$51)/(FG$54)),IF(AND(Results!$E$4="Cells",Results!$E$5="Million",$B$52="million"),((FG20*FG$51)/(FG$52)),"0")))))</f>
        <v>1.8955166666666667</v>
      </c>
      <c r="FH73" s="20">
        <f>IF(FH20=0,"0",IF(AND(Results!$E$5="Protein",$C$53&gt;0,OR(Results!$E$4="Tissue",Results!$E$4="Cells")),((FH20*FH$51)/(FH$53)),IF(AND(Results!$E$5="Weight",$C$52&gt;0, Results!$E$4="Tissue",OR($B$52="g",$B$52="mg")),((FH20*FH$51)/(FH$52)),IF(AND(Results!$E$5="Volume",$C$54&gt;0,Results!$E$4="Fluid"),((FH20*FH$51)/(FH$54)),IF(AND(Results!$E$4="Cells",Results!$E$5="Million",$B$52="million"),((FH20*FH$51)/(FH$52)),"0")))))</f>
        <v>3.4544000000000001</v>
      </c>
      <c r="FI73" s="20">
        <f>IF(FI20=0,"0",IF(AND(Results!$E$5="Protein",$C$53&gt;0,OR(Results!$E$4="Tissue",Results!$E$4="Cells")),((FI20*FI$51)/(FI$53)),IF(AND(Results!$E$5="Weight",$C$52&gt;0, Results!$E$4="Tissue",OR($B$52="g",$B$52="mg")),((FI20*FI$51)/(FI$52)),IF(AND(Results!$E$5="Volume",$C$54&gt;0,Results!$E$4="Fluid"),((FI20*FI$51)/(FI$54)),IF(AND(Results!$E$4="Cells",Results!$E$5="Million",$B$52="million"),((FI20*FI$51)/(FI$52)),"0")))))</f>
        <v>4.8866666666666667</v>
      </c>
      <c r="FJ73" s="20">
        <f>IF(FJ20=0,"0",IF(AND(Results!$E$5="Protein",$C$53&gt;0,OR(Results!$E$4="Tissue",Results!$E$4="Cells")),((FJ20*FJ$51)/(FJ$53)),IF(AND(Results!$E$5="Weight",$C$52&gt;0, Results!$E$4="Tissue",OR($B$52="g",$B$52="mg")),((FJ20*FJ$51)/(FJ$52)),IF(AND(Results!$E$5="Volume",$C$54&gt;0,Results!$E$4="Fluid"),((FJ20*FJ$51)/(FJ$54)),IF(AND(Results!$E$4="Cells",Results!$E$5="Million",$B$52="million"),((FJ20*FJ$51)/(FJ$52)),"0")))))</f>
        <v>9.2325833333333325</v>
      </c>
      <c r="FK73" s="20">
        <f>IF(FK20=0,"0",IF(AND(Results!$E$5="Protein",$C$53&gt;0,OR(Results!$E$4="Tissue",Results!$E$4="Cells")),((FK20*FK$51)/(FK$53)),IF(AND(Results!$E$5="Weight",$C$52&gt;0, Results!$E$4="Tissue",OR($B$52="g",$B$52="mg")),((FK20*FK$51)/(FK$52)),IF(AND(Results!$E$5="Volume",$C$54&gt;0,Results!$E$4="Fluid"),((FK20*FK$51)/(FK$54)),IF(AND(Results!$E$4="Cells",Results!$E$5="Million",$B$52="million"),((FK20*FK$51)/(FK$52)),"0")))))</f>
        <v>9.8156999999999996</v>
      </c>
      <c r="FL73" s="20">
        <f>IF(FL20=0,"0",IF(AND(Results!$E$5="Protein",$C$53&gt;0,OR(Results!$E$4="Tissue",Results!$E$4="Cells")),((FL20*FL$51)/(FL$53)),IF(AND(Results!$E$5="Weight",$C$52&gt;0, Results!$E$4="Tissue",OR($B$52="g",$B$52="mg")),((FL20*FL$51)/(FL$52)),IF(AND(Results!$E$5="Volume",$C$54&gt;0,Results!$E$4="Fluid"),((FL20*FL$51)/(FL$54)),IF(AND(Results!$E$4="Cells",Results!$E$5="Million",$B$52="million"),((FL20*FL$51)/(FL$52)),"0")))))</f>
        <v>6.0565333333333333</v>
      </c>
      <c r="FM73" s="20">
        <f>IF(FM20=0,"0",IF(AND(Results!$E$5="Protein",$C$53&gt;0,OR(Results!$E$4="Tissue",Results!$E$4="Cells")),((FM20*FM$51)/(FM$53)),IF(AND(Results!$E$5="Weight",$C$52&gt;0, Results!$E$4="Tissue",OR($B$52="g",$B$52="mg")),((FM20*FM$51)/(FM$52)),IF(AND(Results!$E$5="Volume",$C$54&gt;0,Results!$E$4="Fluid"),((FM20*FM$51)/(FM$54)),IF(AND(Results!$E$4="Cells",Results!$E$5="Million",$B$52="million"),((FM20*FM$51)/(FM$52)),"0")))))</f>
        <v>5.1306833333333337</v>
      </c>
      <c r="FN73" s="20">
        <f>IF(FN20=0,"0",IF(AND(Results!$E$5="Protein",$C$53&gt;0,OR(Results!$E$4="Tissue",Results!$E$4="Cells")),((FN20*FN$51)/(FN$53)),IF(AND(Results!$E$5="Weight",$C$52&gt;0, Results!$E$4="Tissue",OR($B$52="g",$B$52="mg")),((FN20*FN$51)/(FN$52)),IF(AND(Results!$E$5="Volume",$C$54&gt;0,Results!$E$4="Fluid"),((FN20*FN$51)/(FN$54)),IF(AND(Results!$E$4="Cells",Results!$E$5="Million",$B$52="million"),((FN20*FN$51)/(FN$52)),"0")))))</f>
        <v>5.9866333333333337</v>
      </c>
      <c r="FO73" s="20">
        <f>IF(FO20=0,"0",IF(AND(Results!$E$5="Protein",$C$53&gt;0,OR(Results!$E$4="Tissue",Results!$E$4="Cells")),((FO20*FO$51)/(FO$53)),IF(AND(Results!$E$5="Weight",$C$52&gt;0, Results!$E$4="Tissue",OR($B$52="g",$B$52="mg")),((FO20*FO$51)/(FO$52)),IF(AND(Results!$E$5="Volume",$C$54&gt;0,Results!$E$4="Fluid"),((FO20*FO$51)/(FO$54)),IF(AND(Results!$E$4="Cells",Results!$E$5="Million",$B$52="million"),((FO20*FO$51)/(FO$52)),"0")))))</f>
        <v>3.4712333333333332</v>
      </c>
    </row>
    <row r="74" spans="1:171" x14ac:dyDescent="0.2">
      <c r="A74" s="120" t="str">
        <f t="shared" si="0"/>
        <v>5-oxo-ETE</v>
      </c>
      <c r="B74" s="121"/>
      <c r="C74" s="20">
        <f>IF(C21=0,"0",IF(AND(Results!$E$5="Protein",$C$53&gt;0,OR(Results!$E$4="Tissue",Results!$E$4="Cells")),((C21*C$51)/(C$53)),IF(AND(Results!$E$5="Weight",$C$52&gt;0, Results!$E$4="Tissue",OR($B$52="g",$B$52="mg")),((C21*C$51)/(C$52)),IF(AND(Results!$E$5="Volume",$C$54&gt;0,Results!$E$4="Fluid"),((C21*C$51)/(C$54)),IF(AND(Results!$E$4="Cells",Results!$E$5="Million",$B$52="million"),((C21*C$51)/(C$52)),"0")))))</f>
        <v>3.5515666666666665</v>
      </c>
      <c r="D74" s="20">
        <f>IF(D21=0,"0",IF(AND(Results!$E$5="Protein",$C$53&gt;0,OR(Results!$E$4="Tissue",Results!$E$4="Cells")),((D21*D$51)/(D$53)),IF(AND(Results!$E$5="Weight",$C$52&gt;0, Results!$E$4="Tissue",OR($B$52="g",$B$52="mg")),((D21*D$51)/(D$52)),IF(AND(Results!$E$5="Volume",$C$54&gt;0,Results!$E$4="Fluid"),((D21*D$51)/(D$54)),IF(AND(Results!$E$4="Cells",Results!$E$5="Million",$B$52="million"),((D21*D$51)/(D$52)),"0")))))</f>
        <v>1.8797333333333333</v>
      </c>
      <c r="E74" s="20">
        <f>IF(E21=0,"0",IF(AND(Results!$E$5="Protein",$C$53&gt;0,OR(Results!$E$4="Tissue",Results!$E$4="Cells")),((E21*E$51)/(E$53)),IF(AND(Results!$E$5="Weight",$C$52&gt;0, Results!$E$4="Tissue",OR($B$52="g",$B$52="mg")),((E21*E$51)/(E$52)),IF(AND(Results!$E$5="Volume",$C$54&gt;0,Results!$E$4="Fluid"),((E21*E$51)/(E$54)),IF(AND(Results!$E$4="Cells",Results!$E$5="Million",$B$52="million"),((E21*E$51)/(E$52)),"0")))))</f>
        <v>1.2228833333333333</v>
      </c>
      <c r="F74" s="20">
        <f>IF(F21=0,"0",IF(AND(Results!$E$5="Protein",$C$53&gt;0,OR(Results!$E$4="Tissue",Results!$E$4="Cells")),((F21*F$51)/(F$53)),IF(AND(Results!$E$5="Weight",$C$52&gt;0, Results!$E$4="Tissue",OR($B$52="g",$B$52="mg")),((F21*F$51)/(F$52)),IF(AND(Results!$E$5="Volume",$C$54&gt;0,Results!$E$4="Fluid"),((F21*F$51)/(F$54)),IF(AND(Results!$E$4="Cells",Results!$E$5="Million",$B$52="million"),((F21*F$51)/(F$52)),"0")))))</f>
        <v>7.4822333333333324</v>
      </c>
      <c r="G74" s="20">
        <f>IF(G21=0,"0",IF(AND(Results!$E$5="Protein",$C$53&gt;0,OR(Results!$E$4="Tissue",Results!$E$4="Cells")),((G21*G$51)/(G$53)),IF(AND(Results!$E$5="Weight",$C$52&gt;0, Results!$E$4="Tissue",OR($B$52="g",$B$52="mg")),((G21*G$51)/(G$52)),IF(AND(Results!$E$5="Volume",$C$54&gt;0,Results!$E$4="Fluid"),((G21*G$51)/(G$54)),IF(AND(Results!$E$4="Cells",Results!$E$5="Million",$B$52="million"),((G21*G$51)/(G$52)),"0")))))</f>
        <v>2.1341166666666664</v>
      </c>
      <c r="H74" s="20">
        <f>IF(H21=0,"0",IF(AND(Results!$E$5="Protein",$C$53&gt;0,OR(Results!$E$4="Tissue",Results!$E$4="Cells")),((H21*H$51)/(H$53)),IF(AND(Results!$E$5="Weight",$C$52&gt;0, Results!$E$4="Tissue",OR($B$52="g",$B$52="mg")),((H21*H$51)/(H$52)),IF(AND(Results!$E$5="Volume",$C$54&gt;0,Results!$E$4="Fluid"),((H21*H$51)/(H$54)),IF(AND(Results!$E$4="Cells",Results!$E$5="Million",$B$52="million"),((H21*H$51)/(H$52)),"0")))))</f>
        <v>1.47055</v>
      </c>
      <c r="I74" s="20">
        <f>IF(I21=0,"0",IF(AND(Results!$E$5="Protein",$C$53&gt;0,OR(Results!$E$4="Tissue",Results!$E$4="Cells")),((I21*I$51)/(I$53)),IF(AND(Results!$E$5="Weight",$C$52&gt;0, Results!$E$4="Tissue",OR($B$52="g",$B$52="mg")),((I21*I$51)/(I$52)),IF(AND(Results!$E$5="Volume",$C$54&gt;0,Results!$E$4="Fluid"),((I21*I$51)/(I$54)),IF(AND(Results!$E$4="Cells",Results!$E$5="Million",$B$52="million"),((I21*I$51)/(I$52)),"0")))))</f>
        <v>0.86285000000000001</v>
      </c>
      <c r="J74" s="20">
        <f>IF(J21=0,"0",IF(AND(Results!$E$5="Protein",$C$53&gt;0,OR(Results!$E$4="Tissue",Results!$E$4="Cells")),((J21*J$51)/(J$53)),IF(AND(Results!$E$5="Weight",$C$52&gt;0, Results!$E$4="Tissue",OR($B$52="g",$B$52="mg")),((J21*J$51)/(J$52)),IF(AND(Results!$E$5="Volume",$C$54&gt;0,Results!$E$4="Fluid"),((J21*J$51)/(J$54)),IF(AND(Results!$E$4="Cells",Results!$E$5="Million",$B$52="million"),((J21*J$51)/(J$52)),"0")))))</f>
        <v>0.69088333333333329</v>
      </c>
      <c r="K74" s="20">
        <f>IF(K21=0,"0",IF(AND(Results!$E$5="Protein",$C$53&gt;0,OR(Results!$E$4="Tissue",Results!$E$4="Cells")),((K21*K$51)/(K$53)),IF(AND(Results!$E$5="Weight",$C$52&gt;0, Results!$E$4="Tissue",OR($B$52="g",$B$52="mg")),((K21*K$51)/(K$52)),IF(AND(Results!$E$5="Volume",$C$54&gt;0,Results!$E$4="Fluid"),((K21*K$51)/(K$54)),IF(AND(Results!$E$4="Cells",Results!$E$5="Million",$B$52="million"),((K21*K$51)/(K$52)),"0")))))</f>
        <v>0.3575666666666667</v>
      </c>
      <c r="L74" s="20">
        <f>IF(L21=0,"0",IF(AND(Results!$E$5="Protein",$C$53&gt;0,OR(Results!$E$4="Tissue",Results!$E$4="Cells")),((L21*L$51)/(L$53)),IF(AND(Results!$E$5="Weight",$C$52&gt;0, Results!$E$4="Tissue",OR($B$52="g",$B$52="mg")),((L21*L$51)/(L$52)),IF(AND(Results!$E$5="Volume",$C$54&gt;0,Results!$E$4="Fluid"),((L21*L$51)/(L$54)),IF(AND(Results!$E$4="Cells",Results!$E$5="Million",$B$52="million"),((L21*L$51)/(L$52)),"0")))))</f>
        <v>2.6386499999999997</v>
      </c>
      <c r="M74" s="20">
        <f>IF(M21=0,"0",IF(AND(Results!$E$5="Protein",$C$53&gt;0,OR(Results!$E$4="Tissue",Results!$E$4="Cells")),((M21*M$51)/(M$53)),IF(AND(Results!$E$5="Weight",$C$52&gt;0, Results!$E$4="Tissue",OR($B$52="g",$B$52="mg")),((M21*M$51)/(M$52)),IF(AND(Results!$E$5="Volume",$C$54&gt;0,Results!$E$4="Fluid"),((M21*M$51)/(M$54)),IF(AND(Results!$E$4="Cells",Results!$E$5="Million",$B$52="million"),((M21*M$51)/(M$52)),"0")))))</f>
        <v>0.78569999999999995</v>
      </c>
      <c r="N74" s="20">
        <f>IF(N21=0,"0",IF(AND(Results!$E$5="Protein",$C$53&gt;0,OR(Results!$E$4="Tissue",Results!$E$4="Cells")),((N21*N$51)/(N$53)),IF(AND(Results!$E$5="Weight",$C$52&gt;0, Results!$E$4="Tissue",OR($B$52="g",$B$52="mg")),((N21*N$51)/(N$52)),IF(AND(Results!$E$5="Volume",$C$54&gt;0,Results!$E$4="Fluid"),((N21*N$51)/(N$54)),IF(AND(Results!$E$4="Cells",Results!$E$5="Million",$B$52="million"),((N21*N$51)/(N$52)),"0")))))</f>
        <v>0.87558333333333327</v>
      </c>
      <c r="O74" s="20">
        <f>IF(O21=0,"0",IF(AND(Results!$E$5="Protein",$C$53&gt;0,OR(Results!$E$4="Tissue",Results!$E$4="Cells")),((O21*O$51)/(O$53)),IF(AND(Results!$E$5="Weight",$C$52&gt;0, Results!$E$4="Tissue",OR($B$52="g",$B$52="mg")),((O21*O$51)/(O$52)),IF(AND(Results!$E$5="Volume",$C$54&gt;0,Results!$E$4="Fluid"),((O21*O$51)/(O$54)),IF(AND(Results!$E$4="Cells",Results!$E$5="Million",$B$52="million"),((O21*O$51)/(O$52)),"0")))))</f>
        <v>0.83048333333333335</v>
      </c>
      <c r="P74" s="20">
        <f>IF(P21=0,"0",IF(AND(Results!$E$5="Protein",$C$53&gt;0,OR(Results!$E$4="Tissue",Results!$E$4="Cells")),((P21*P$51)/(P$53)),IF(AND(Results!$E$5="Weight",$C$52&gt;0, Results!$E$4="Tissue",OR($B$52="g",$B$52="mg")),((P21*P$51)/(P$52)),IF(AND(Results!$E$5="Volume",$C$54&gt;0,Results!$E$4="Fluid"),((P21*P$51)/(P$54)),IF(AND(Results!$E$4="Cells",Results!$E$5="Million",$B$52="million"),((P21*P$51)/(P$52)),"0")))))</f>
        <v>2.8135666666666665</v>
      </c>
      <c r="Q74" s="20">
        <f>IF(Q21=0,"0",IF(AND(Results!$E$5="Protein",$C$53&gt;0,OR(Results!$E$4="Tissue",Results!$E$4="Cells")),((Q21*Q$51)/(Q$53)),IF(AND(Results!$E$5="Weight",$C$52&gt;0, Results!$E$4="Tissue",OR($B$52="g",$B$52="mg")),((Q21*Q$51)/(Q$52)),IF(AND(Results!$E$5="Volume",$C$54&gt;0,Results!$E$4="Fluid"),((Q21*Q$51)/(Q$54)),IF(AND(Results!$E$4="Cells",Results!$E$5="Million",$B$52="million"),((Q21*Q$51)/(Q$52)),"0")))))</f>
        <v>2.2576666666666663</v>
      </c>
      <c r="R74" s="20">
        <f>IF(R21=0,"0",IF(AND(Results!$E$5="Protein",$C$53&gt;0,OR(Results!$E$4="Tissue",Results!$E$4="Cells")),((R21*R$51)/(R$53)),IF(AND(Results!$E$5="Weight",$C$52&gt;0, Results!$E$4="Tissue",OR($B$52="g",$B$52="mg")),((R21*R$51)/(R$52)),IF(AND(Results!$E$5="Volume",$C$54&gt;0,Results!$E$4="Fluid"),((R21*R$51)/(R$54)),IF(AND(Results!$E$4="Cells",Results!$E$5="Million",$B$52="million"),((R21*R$51)/(R$52)),"0")))))</f>
        <v>15.032549999999999</v>
      </c>
      <c r="S74" s="20">
        <f>IF(S21=0,"0",IF(AND(Results!$E$5="Protein",$C$53&gt;0,OR(Results!$E$4="Tissue",Results!$E$4="Cells")),((S21*S$51)/(S$53)),IF(AND(Results!$E$5="Weight",$C$52&gt;0, Results!$E$4="Tissue",OR($B$52="g",$B$52="mg")),((S21*S$51)/(S$52)),IF(AND(Results!$E$5="Volume",$C$54&gt;0,Results!$E$4="Fluid"),((S21*S$51)/(S$54)),IF(AND(Results!$E$4="Cells",Results!$E$5="Million",$B$52="million"),((S21*S$51)/(S$52)),"0")))))</f>
        <v>0.66316666666666668</v>
      </c>
      <c r="T74" s="20">
        <f>IF(T21=0,"0",IF(AND(Results!$E$5="Protein",$C$53&gt;0,OR(Results!$E$4="Tissue",Results!$E$4="Cells")),((T21*T$51)/(T$53)),IF(AND(Results!$E$5="Weight",$C$52&gt;0, Results!$E$4="Tissue",OR($B$52="g",$B$52="mg")),((T21*T$51)/(T$52)),IF(AND(Results!$E$5="Volume",$C$54&gt;0,Results!$E$4="Fluid"),((T21*T$51)/(T$54)),IF(AND(Results!$E$4="Cells",Results!$E$5="Million",$B$52="million"),((T21*T$51)/(T$52)),"0")))))</f>
        <v>0.40048333333333325</v>
      </c>
      <c r="U74" s="20">
        <f>IF(U21=0,"0",IF(AND(Results!$E$5="Protein",$C$53&gt;0,OR(Results!$E$4="Tissue",Results!$E$4="Cells")),((U21*U$51)/(U$53)),IF(AND(Results!$E$5="Weight",$C$52&gt;0, Results!$E$4="Tissue",OR($B$52="g",$B$52="mg")),((U21*U$51)/(U$52)),IF(AND(Results!$E$5="Volume",$C$54&gt;0,Results!$E$4="Fluid"),((U21*U$51)/(U$54)),IF(AND(Results!$E$4="Cells",Results!$E$5="Million",$B$52="million"),((U21*U$51)/(U$52)),"0")))))</f>
        <v>2.1985166666666669</v>
      </c>
      <c r="V74" s="20">
        <f>IF(V21=0,"0",IF(AND(Results!$E$5="Protein",$C$53&gt;0,OR(Results!$E$4="Tissue",Results!$E$4="Cells")),((V21*V$51)/(V$53)),IF(AND(Results!$E$5="Weight",$C$52&gt;0, Results!$E$4="Tissue",OR($B$52="g",$B$52="mg")),((V21*V$51)/(V$52)),IF(AND(Results!$E$5="Volume",$C$54&gt;0,Results!$E$4="Fluid"),((V21*V$51)/(V$54)),IF(AND(Results!$E$4="Cells",Results!$E$5="Million",$B$52="million"),((V21*V$51)/(V$52)),"0")))))</f>
        <v>9.141666666666666E-2</v>
      </c>
      <c r="W74" s="20">
        <f>IF(W21=0,"0",IF(AND(Results!$E$5="Protein",$C$53&gt;0,OR(Results!$E$4="Tissue",Results!$E$4="Cells")),((W21*W$51)/(W$53)),IF(AND(Results!$E$5="Weight",$C$52&gt;0, Results!$E$4="Tissue",OR($B$52="g",$B$52="mg")),((W21*W$51)/(W$52)),IF(AND(Results!$E$5="Volume",$C$54&gt;0,Results!$E$4="Fluid"),((W21*W$51)/(W$54)),IF(AND(Results!$E$4="Cells",Results!$E$5="Million",$B$52="million"),((W21*W$51)/(W$52)),"0")))))</f>
        <v>1.2348285714285714</v>
      </c>
      <c r="X74" s="20">
        <f>IF(X21=0,"0",IF(AND(Results!$E$5="Protein",$C$53&gt;0,OR(Results!$E$4="Tissue",Results!$E$4="Cells")),((X21*X$51)/(X$53)),IF(AND(Results!$E$5="Weight",$C$52&gt;0, Results!$E$4="Tissue",OR($B$52="g",$B$52="mg")),((X21*X$51)/(X$52)),IF(AND(Results!$E$5="Volume",$C$54&gt;0,Results!$E$4="Fluid"),((X21*X$51)/(X$54)),IF(AND(Results!$E$4="Cells",Results!$E$5="Million",$B$52="million"),((X21*X$51)/(X$52)),"0")))))</f>
        <v>0.35627999999999999</v>
      </c>
      <c r="Y74" s="20">
        <f>IF(Y21=0,"0",IF(AND(Results!$E$5="Protein",$C$53&gt;0,OR(Results!$E$4="Tissue",Results!$E$4="Cells")),((Y21*Y$51)/(Y$53)),IF(AND(Results!$E$5="Weight",$C$52&gt;0, Results!$E$4="Tissue",OR($B$52="g",$B$52="mg")),((Y21*Y$51)/(Y$52)),IF(AND(Results!$E$5="Volume",$C$54&gt;0,Results!$E$4="Fluid"),((Y21*Y$51)/(Y$54)),IF(AND(Results!$E$4="Cells",Results!$E$5="Million",$B$52="million"),((Y21*Y$51)/(Y$52)),"0")))))</f>
        <v>0.46311666666666673</v>
      </c>
      <c r="Z74" s="20">
        <f>IF(Z21=0,"0",IF(AND(Results!$E$5="Protein",$C$53&gt;0,OR(Results!$E$4="Tissue",Results!$E$4="Cells")),((Z21*Z$51)/(Z$53)),IF(AND(Results!$E$5="Weight",$C$52&gt;0, Results!$E$4="Tissue",OR($B$52="g",$B$52="mg")),((Z21*Z$51)/(Z$52)),IF(AND(Results!$E$5="Volume",$C$54&gt;0,Results!$E$4="Fluid"),((Z21*Z$51)/(Z$54)),IF(AND(Results!$E$4="Cells",Results!$E$5="Million",$B$52="million"),((Z21*Z$51)/(Z$52)),"0")))))</f>
        <v>1.8527999999999998</v>
      </c>
      <c r="AA74" s="20">
        <f>IF(AA21=0,"0",IF(AND(Results!$E$5="Protein",$C$53&gt;0,OR(Results!$E$4="Tissue",Results!$E$4="Cells")),((AA21*AA$51)/(AA$53)),IF(AND(Results!$E$5="Weight",$C$52&gt;0, Results!$E$4="Tissue",OR($B$52="g",$B$52="mg")),((AA21*AA$51)/(AA$52)),IF(AND(Results!$E$5="Volume",$C$54&gt;0,Results!$E$4="Fluid"),((AA21*AA$51)/(AA$54)),IF(AND(Results!$E$4="Cells",Results!$E$5="Million",$B$52="million"),((AA21*AA$51)/(AA$52)),"0")))))</f>
        <v>0.72400000000000009</v>
      </c>
      <c r="AB74" s="20">
        <f>IF(AB21=0,"0",IF(AND(Results!$E$5="Protein",$C$53&gt;0,OR(Results!$E$4="Tissue",Results!$E$4="Cells")),((AB21*AB$51)/(AB$53)),IF(AND(Results!$E$5="Weight",$C$52&gt;0, Results!$E$4="Tissue",OR($B$52="g",$B$52="mg")),((AB21*AB$51)/(AB$52)),IF(AND(Results!$E$5="Volume",$C$54&gt;0,Results!$E$4="Fluid"),((AB21*AB$51)/(AB$54)),IF(AND(Results!$E$4="Cells",Results!$E$5="Million",$B$52="million"),((AB21*AB$51)/(AB$52)),"0")))))</f>
        <v>0.54874999999999996</v>
      </c>
      <c r="AC74" s="20">
        <f>IF(AC21=0,"0",IF(AND(Results!$E$5="Protein",$C$53&gt;0,OR(Results!$E$4="Tissue",Results!$E$4="Cells")),((AC21*AC$51)/(AC$53)),IF(AND(Results!$E$5="Weight",$C$52&gt;0, Results!$E$4="Tissue",OR($B$52="g",$B$52="mg")),((AC21*AC$51)/(AC$52)),IF(AND(Results!$E$5="Volume",$C$54&gt;0,Results!$E$4="Fluid"),((AC21*AC$51)/(AC$54)),IF(AND(Results!$E$4="Cells",Results!$E$5="Million",$B$52="million"),((AC21*AC$51)/(AC$52)),"0")))))</f>
        <v>2.3289833333333334</v>
      </c>
      <c r="AD74" s="20">
        <f>IF(AD21=0,"0",IF(AND(Results!$E$5="Protein",$C$53&gt;0,OR(Results!$E$4="Tissue",Results!$E$4="Cells")),((AD21*AD$51)/(AD$53)),IF(AND(Results!$E$5="Weight",$C$52&gt;0, Results!$E$4="Tissue",OR($B$52="g",$B$52="mg")),((AD21*AD$51)/(AD$52)),IF(AND(Results!$E$5="Volume",$C$54&gt;0,Results!$E$4="Fluid"),((AD21*AD$51)/(AD$54)),IF(AND(Results!$E$4="Cells",Results!$E$5="Million",$B$52="million"),((AD21*AD$51)/(AD$52)),"0")))))</f>
        <v>2.4383500000000002</v>
      </c>
      <c r="AE74" s="20">
        <f>IF(AE21=0,"0",IF(AND(Results!$E$5="Protein",$C$53&gt;0,OR(Results!$E$4="Tissue",Results!$E$4="Cells")),((AE21*AE$51)/(AE$53)),IF(AND(Results!$E$5="Weight",$C$52&gt;0, Results!$E$4="Tissue",OR($B$52="g",$B$52="mg")),((AE21*AE$51)/(AE$52)),IF(AND(Results!$E$5="Volume",$C$54&gt;0,Results!$E$4="Fluid"),((AE21*AE$51)/(AE$54)),IF(AND(Results!$E$4="Cells",Results!$E$5="Million",$B$52="million"),((AE21*AE$51)/(AE$52)),"0")))))</f>
        <v>0.16014999999999999</v>
      </c>
      <c r="AF74" s="20">
        <f>IF(AF21=0,"0",IF(AND(Results!$E$5="Protein",$C$53&gt;0,OR(Results!$E$4="Tissue",Results!$E$4="Cells")),((AF21*AF$51)/(AF$53)),IF(AND(Results!$E$5="Weight",$C$52&gt;0, Results!$E$4="Tissue",OR($B$52="g",$B$52="mg")),((AF21*AF$51)/(AF$52)),IF(AND(Results!$E$5="Volume",$C$54&gt;0,Results!$E$4="Fluid"),((AF21*AF$51)/(AF$54)),IF(AND(Results!$E$4="Cells",Results!$E$5="Million",$B$52="million"),((AF21*AF$51)/(AF$52)),"0")))))</f>
        <v>3.273566666666667</v>
      </c>
      <c r="AG74" s="20">
        <f>IF(AG21=0,"0",IF(AND(Results!$E$5="Protein",$C$53&gt;0,OR(Results!$E$4="Tissue",Results!$E$4="Cells")),((AG21*AG$51)/(AG$53)),IF(AND(Results!$E$5="Weight",$C$52&gt;0, Results!$E$4="Tissue",OR($B$52="g",$B$52="mg")),((AG21*AG$51)/(AG$52)),IF(AND(Results!$E$5="Volume",$C$54&gt;0,Results!$E$4="Fluid"),((AG21*AG$51)/(AG$54)),IF(AND(Results!$E$4="Cells",Results!$E$5="Million",$B$52="million"),((AG21*AG$51)/(AG$52)),"0")))))</f>
        <v>5.8166833333333336</v>
      </c>
      <c r="AH74" s="20">
        <f>IF(AH21=0,"0",IF(AND(Results!$E$5="Protein",$C$53&gt;0,OR(Results!$E$4="Tissue",Results!$E$4="Cells")),((AH21*AH$51)/(AH$53)),IF(AND(Results!$E$5="Weight",$C$52&gt;0, Results!$E$4="Tissue",OR($B$52="g",$B$52="mg")),((AH21*AH$51)/(AH$52)),IF(AND(Results!$E$5="Volume",$C$54&gt;0,Results!$E$4="Fluid"),((AH21*AH$51)/(AH$54)),IF(AND(Results!$E$4="Cells",Results!$E$5="Million",$B$52="million"),((AH21*AH$51)/(AH$52)),"0")))))</f>
        <v>0.10206666666666668</v>
      </c>
      <c r="AI74" s="20">
        <f>IF(AI21=0,"0",IF(AND(Results!$E$5="Protein",$C$53&gt;0,OR(Results!$E$4="Tissue",Results!$E$4="Cells")),((AI21*AI$51)/(AI$53)),IF(AND(Results!$E$5="Weight",$C$52&gt;0, Results!$E$4="Tissue",OR($B$52="g",$B$52="mg")),((AI21*AI$51)/(AI$52)),IF(AND(Results!$E$5="Volume",$C$54&gt;0,Results!$E$4="Fluid"),((AI21*AI$51)/(AI$54)),IF(AND(Results!$E$4="Cells",Results!$E$5="Million",$B$52="million"),((AI21*AI$51)/(AI$52)),"0")))))</f>
        <v>5.1174333333333335</v>
      </c>
      <c r="AJ74" s="20">
        <f>IF(AJ21=0,"0",IF(AND(Results!$E$5="Protein",$C$53&gt;0,OR(Results!$E$4="Tissue",Results!$E$4="Cells")),((AJ21*AJ$51)/(AJ$53)),IF(AND(Results!$E$5="Weight",$C$52&gt;0, Results!$E$4="Tissue",OR($B$52="g",$B$52="mg")),((AJ21*AJ$51)/(AJ$52)),IF(AND(Results!$E$5="Volume",$C$54&gt;0,Results!$E$4="Fluid"),((AJ21*AJ$51)/(AJ$54)),IF(AND(Results!$E$4="Cells",Results!$E$5="Million",$B$52="million"),((AJ21*AJ$51)/(AJ$52)),"0")))))</f>
        <v>0.95766666666666678</v>
      </c>
      <c r="AK74" s="20">
        <f>IF(AK21=0,"0",IF(AND(Results!$E$5="Protein",$C$53&gt;0,OR(Results!$E$4="Tissue",Results!$E$4="Cells")),((AK21*AK$51)/(AK$53)),IF(AND(Results!$E$5="Weight",$C$52&gt;0, Results!$E$4="Tissue",OR($B$52="g",$B$52="mg")),((AK21*AK$51)/(AK$52)),IF(AND(Results!$E$5="Volume",$C$54&gt;0,Results!$E$4="Fluid"),((AK21*AK$51)/(AK$54)),IF(AND(Results!$E$4="Cells",Results!$E$5="Million",$B$52="million"),((AK21*AK$51)/(AK$52)),"0")))))</f>
        <v>1.6960166666666665</v>
      </c>
      <c r="AL74" s="20">
        <f>IF(AL21=0,"0",IF(AND(Results!$E$5="Protein",$C$53&gt;0,OR(Results!$E$4="Tissue",Results!$E$4="Cells")),((AL21*AL$51)/(AL$53)),IF(AND(Results!$E$5="Weight",$C$52&gt;0, Results!$E$4="Tissue",OR($B$52="g",$B$52="mg")),((AL21*AL$51)/(AL$52)),IF(AND(Results!$E$5="Volume",$C$54&gt;0,Results!$E$4="Fluid"),((AL21*AL$51)/(AL$54)),IF(AND(Results!$E$4="Cells",Results!$E$5="Million",$B$52="million"),((AL21*AL$51)/(AL$52)),"0")))))</f>
        <v>3.3905833333333333</v>
      </c>
      <c r="AM74" s="20">
        <f>IF(AM21=0,"0",IF(AND(Results!$E$5="Protein",$C$53&gt;0,OR(Results!$E$4="Tissue",Results!$E$4="Cells")),((AM21*AM$51)/(AM$53)),IF(AND(Results!$E$5="Weight",$C$52&gt;0, Results!$E$4="Tissue",OR($B$52="g",$B$52="mg")),((AM21*AM$51)/(AM$52)),IF(AND(Results!$E$5="Volume",$C$54&gt;0,Results!$E$4="Fluid"),((AM21*AM$51)/(AM$54)),IF(AND(Results!$E$4="Cells",Results!$E$5="Million",$B$52="million"),((AM21*AM$51)/(AM$52)),"0")))))</f>
        <v>0.59011666666666673</v>
      </c>
      <c r="AN74" s="20">
        <f>IF(AN21=0,"0",IF(AND(Results!$E$5="Protein",$C$53&gt;0,OR(Results!$E$4="Tissue",Results!$E$4="Cells")),((AN21*AN$51)/(AN$53)),IF(AND(Results!$E$5="Weight",$C$52&gt;0, Results!$E$4="Tissue",OR($B$52="g",$B$52="mg")),((AN21*AN$51)/(AN$52)),IF(AND(Results!$E$5="Volume",$C$54&gt;0,Results!$E$4="Fluid"),((AN21*AN$51)/(AN$54)),IF(AND(Results!$E$4="Cells",Results!$E$5="Million",$B$52="million"),((AN21*AN$51)/(AN$52)),"0")))))</f>
        <v>2.593433333333333</v>
      </c>
      <c r="AO74" s="20">
        <f>IF(AO21=0,"0",IF(AND(Results!$E$5="Protein",$C$53&gt;0,OR(Results!$E$4="Tissue",Results!$E$4="Cells")),((AO21*AO$51)/(AO$53)),IF(AND(Results!$E$5="Weight",$C$52&gt;0, Results!$E$4="Tissue",OR($B$52="g",$B$52="mg")),((AO21*AO$51)/(AO$52)),IF(AND(Results!$E$5="Volume",$C$54&gt;0,Results!$E$4="Fluid"),((AO21*AO$51)/(AO$54)),IF(AND(Results!$E$4="Cells",Results!$E$5="Million",$B$52="million"),((AO21*AO$51)/(AO$52)),"0")))))</f>
        <v>0.51773333333333338</v>
      </c>
      <c r="AP74" s="20">
        <f>IF(AP21=0,"0",IF(AND(Results!$E$5="Protein",$C$53&gt;0,OR(Results!$E$4="Tissue",Results!$E$4="Cells")),((AP21*AP$51)/(AP$53)),IF(AND(Results!$E$5="Weight",$C$52&gt;0, Results!$E$4="Tissue",OR($B$52="g",$B$52="mg")),((AP21*AP$51)/(AP$52)),IF(AND(Results!$E$5="Volume",$C$54&gt;0,Results!$E$4="Fluid"),((AP21*AP$51)/(AP$54)),IF(AND(Results!$E$4="Cells",Results!$E$5="Million",$B$52="million"),((AP21*AP$51)/(AP$52)),"0")))))</f>
        <v>3.8019333333333329</v>
      </c>
      <c r="AQ74" s="20">
        <f>IF(AQ21=0,"0",IF(AND(Results!$E$5="Protein",$C$53&gt;0,OR(Results!$E$4="Tissue",Results!$E$4="Cells")),((AQ21*AQ$51)/(AQ$53)),IF(AND(Results!$E$5="Weight",$C$52&gt;0, Results!$E$4="Tissue",OR($B$52="g",$B$52="mg")),((AQ21*AQ$51)/(AQ$52)),IF(AND(Results!$E$5="Volume",$C$54&gt;0,Results!$E$4="Fluid"),((AQ21*AQ$51)/(AQ$54)),IF(AND(Results!$E$4="Cells",Results!$E$5="Million",$B$52="million"),((AQ21*AQ$51)/(AQ$52)),"0")))))</f>
        <v>4.4898333333333333</v>
      </c>
      <c r="AR74" s="20">
        <f>IF(AR21=0,"0",IF(AND(Results!$E$5="Protein",$C$53&gt;0,OR(Results!$E$4="Tissue",Results!$E$4="Cells")),((AR21*AR$51)/(AR$53)),IF(AND(Results!$E$5="Weight",$C$52&gt;0, Results!$E$4="Tissue",OR($B$52="g",$B$52="mg")),((AR21*AR$51)/(AR$52)),IF(AND(Results!$E$5="Volume",$C$54&gt;0,Results!$E$4="Fluid"),((AR21*AR$51)/(AR$54)),IF(AND(Results!$E$4="Cells",Results!$E$5="Million",$B$52="million"),((AR21*AR$51)/(AR$52)),"0")))))</f>
        <v>1.7323666666666666</v>
      </c>
      <c r="AS74" s="20">
        <f>IF(AS21=0,"0",IF(AND(Results!$E$5="Protein",$C$53&gt;0,OR(Results!$E$4="Tissue",Results!$E$4="Cells")),((AS21*AS$51)/(AS$53)),IF(AND(Results!$E$5="Weight",$C$52&gt;0, Results!$E$4="Tissue",OR($B$52="g",$B$52="mg")),((AS21*AS$51)/(AS$52)),IF(AND(Results!$E$5="Volume",$C$54&gt;0,Results!$E$4="Fluid"),((AS21*AS$51)/(AS$54)),IF(AND(Results!$E$4="Cells",Results!$E$5="Million",$B$52="million"),((AS21*AS$51)/(AS$52)),"0")))))</f>
        <v>68.604733333333328</v>
      </c>
      <c r="AT74" s="20">
        <f>IF(AT21=0,"0",IF(AND(Results!$E$5="Protein",$C$53&gt;0,OR(Results!$E$4="Tissue",Results!$E$4="Cells")),((AT21*AT$51)/(AT$53)),IF(AND(Results!$E$5="Weight",$C$52&gt;0, Results!$E$4="Tissue",OR($B$52="g",$B$52="mg")),((AT21*AT$51)/(AT$52)),IF(AND(Results!$E$5="Volume",$C$54&gt;0,Results!$E$4="Fluid"),((AT21*AT$51)/(AT$54)),IF(AND(Results!$E$4="Cells",Results!$E$5="Million",$B$52="million"),((AT21*AT$51)/(AT$52)),"0")))))</f>
        <v>19.713450000000002</v>
      </c>
      <c r="AU74" s="20">
        <f>IF(AU21=0,"0",IF(AND(Results!$E$5="Protein",$C$53&gt;0,OR(Results!$E$4="Tissue",Results!$E$4="Cells")),((AU21*AU$51)/(AU$53)),IF(AND(Results!$E$5="Weight",$C$52&gt;0, Results!$E$4="Tissue",OR($B$52="g",$B$52="mg")),((AU21*AU$51)/(AU$52)),IF(AND(Results!$E$5="Volume",$C$54&gt;0,Results!$E$4="Fluid"),((AU21*AU$51)/(AU$54)),IF(AND(Results!$E$4="Cells",Results!$E$5="Million",$B$52="million"),((AU21*AU$51)/(AU$52)),"0")))))</f>
        <v>1.7422799999999998</v>
      </c>
      <c r="AV74" s="20">
        <f>IF(AV21=0,"0",IF(AND(Results!$E$5="Protein",$C$53&gt;0,OR(Results!$E$4="Tissue",Results!$E$4="Cells")),((AV21*AV$51)/(AV$53)),IF(AND(Results!$E$5="Weight",$C$52&gt;0, Results!$E$4="Tissue",OR($B$52="g",$B$52="mg")),((AV21*AV$51)/(AV$52)),IF(AND(Results!$E$5="Volume",$C$54&gt;0,Results!$E$4="Fluid"),((AV21*AV$51)/(AV$54)),IF(AND(Results!$E$4="Cells",Results!$E$5="Million",$B$52="million"),((AV21*AV$51)/(AV$52)),"0")))))</f>
        <v>0.78835999999999995</v>
      </c>
      <c r="AW74" s="20">
        <f>IF(AW21=0,"0",IF(AND(Results!$E$5="Protein",$C$53&gt;0,OR(Results!$E$4="Tissue",Results!$E$4="Cells")),((AW21*AW$51)/(AW$53)),IF(AND(Results!$E$5="Weight",$C$52&gt;0, Results!$E$4="Tissue",OR($B$52="g",$B$52="mg")),((AW21*AW$51)/(AW$52)),IF(AND(Results!$E$5="Volume",$C$54&gt;0,Results!$E$4="Fluid"),((AW21*AW$51)/(AW$54)),IF(AND(Results!$E$4="Cells",Results!$E$5="Million",$B$52="million"),((AW21*AW$51)/(AW$52)),"0")))))</f>
        <v>2.1162666666666667</v>
      </c>
      <c r="AX74" s="20">
        <f>IF(AX21=0,"0",IF(AND(Results!$E$5="Protein",$C$53&gt;0,OR(Results!$E$4="Tissue",Results!$E$4="Cells")),((AX21*AX$51)/(AX$53)),IF(AND(Results!$E$5="Weight",$C$52&gt;0, Results!$E$4="Tissue",OR($B$52="g",$B$52="mg")),((AX21*AX$51)/(AX$52)),IF(AND(Results!$E$5="Volume",$C$54&gt;0,Results!$E$4="Fluid"),((AX21*AX$51)/(AX$54)),IF(AND(Results!$E$4="Cells",Results!$E$5="Million",$B$52="million"),((AX21*AX$51)/(AX$52)),"0")))))</f>
        <v>2.8462499999999999</v>
      </c>
      <c r="AY74" s="20">
        <f>IF(AY21=0,"0",IF(AND(Results!$E$5="Protein",$C$53&gt;0,OR(Results!$E$4="Tissue",Results!$E$4="Cells")),((AY21*AY$51)/(AY$53)),IF(AND(Results!$E$5="Weight",$C$52&gt;0, Results!$E$4="Tissue",OR($B$52="g",$B$52="mg")),((AY21*AY$51)/(AY$52)),IF(AND(Results!$E$5="Volume",$C$54&gt;0,Results!$E$4="Fluid"),((AY21*AY$51)/(AY$54)),IF(AND(Results!$E$4="Cells",Results!$E$5="Million",$B$52="million"),((AY21*AY$51)/(AY$52)),"0")))))</f>
        <v>0.90778333333333328</v>
      </c>
      <c r="AZ74" s="20">
        <f>IF(AZ21=0,"0",IF(AND(Results!$E$5="Protein",$C$53&gt;0,OR(Results!$E$4="Tissue",Results!$E$4="Cells")),((AZ21*AZ$51)/(AZ$53)),IF(AND(Results!$E$5="Weight",$C$52&gt;0, Results!$E$4="Tissue",OR($B$52="g",$B$52="mg")),((AZ21*AZ$51)/(AZ$52)),IF(AND(Results!$E$5="Volume",$C$54&gt;0,Results!$E$4="Fluid"),((AZ21*AZ$51)/(AZ$54)),IF(AND(Results!$E$4="Cells",Results!$E$5="Million",$B$52="million"),((AZ21*AZ$51)/(AZ$52)),"0")))))</f>
        <v>0.77790000000000004</v>
      </c>
      <c r="BA74" s="20">
        <f>IF(BA21=0,"0",IF(AND(Results!$E$5="Protein",$C$53&gt;0,OR(Results!$E$4="Tissue",Results!$E$4="Cells")),((BA21*BA$51)/(BA$53)),IF(AND(Results!$E$5="Weight",$C$52&gt;0, Results!$E$4="Tissue",OR($B$52="g",$B$52="mg")),((BA21*BA$51)/(BA$52)),IF(AND(Results!$E$5="Volume",$C$54&gt;0,Results!$E$4="Fluid"),((BA21*BA$51)/(BA$54)),IF(AND(Results!$E$4="Cells",Results!$E$5="Million",$B$52="million"),((BA21*BA$51)/(BA$52)),"0")))))</f>
        <v>2.2794499999999998</v>
      </c>
      <c r="BB74" s="20">
        <f>IF(BB21=0,"0",IF(AND(Results!$E$5="Protein",$C$53&gt;0,OR(Results!$E$4="Tissue",Results!$E$4="Cells")),((BB21*BB$51)/(BB$53)),IF(AND(Results!$E$5="Weight",$C$52&gt;0, Results!$E$4="Tissue",OR($B$52="g",$B$52="mg")),((BB21*BB$51)/(BB$52)),IF(AND(Results!$E$5="Volume",$C$54&gt;0,Results!$E$4="Fluid"),((BB21*BB$51)/(BB$54)),IF(AND(Results!$E$4="Cells",Results!$E$5="Million",$B$52="million"),((BB21*BB$51)/(BB$52)),"0")))))</f>
        <v>0.27904999999999996</v>
      </c>
      <c r="BC74" s="20">
        <f>IF(BC21=0,"0",IF(AND(Results!$E$5="Protein",$C$53&gt;0,OR(Results!$E$4="Tissue",Results!$E$4="Cells")),((BC21*BC$51)/(BC$53)),IF(AND(Results!$E$5="Weight",$C$52&gt;0, Results!$E$4="Tissue",OR($B$52="g",$B$52="mg")),((BC21*BC$51)/(BC$52)),IF(AND(Results!$E$5="Volume",$C$54&gt;0,Results!$E$4="Fluid"),((BC21*BC$51)/(BC$54)),IF(AND(Results!$E$4="Cells",Results!$E$5="Million",$B$52="million"),((BC21*BC$51)/(BC$52)),"0")))))</f>
        <v>8.1716666666666674E-2</v>
      </c>
      <c r="BD74" s="20">
        <f>IF(BD21=0,"0",IF(AND(Results!$E$5="Protein",$C$53&gt;0,OR(Results!$E$4="Tissue",Results!$E$4="Cells")),((BD21*BD$51)/(BD$53)),IF(AND(Results!$E$5="Weight",$C$52&gt;0, Results!$E$4="Tissue",OR($B$52="g",$B$52="mg")),((BD21*BD$51)/(BD$52)),IF(AND(Results!$E$5="Volume",$C$54&gt;0,Results!$E$4="Fluid"),((BD21*BD$51)/(BD$54)),IF(AND(Results!$E$4="Cells",Results!$E$5="Million",$B$52="million"),((BD21*BD$51)/(BD$52)),"0")))))</f>
        <v>0.40859999999999996</v>
      </c>
      <c r="BE74" s="20">
        <f>IF(BE21=0,"0",IF(AND(Results!$E$5="Protein",$C$53&gt;0,OR(Results!$E$4="Tissue",Results!$E$4="Cells")),((BE21*BE$51)/(BE$53)),IF(AND(Results!$E$5="Weight",$C$52&gt;0, Results!$E$4="Tissue",OR($B$52="g",$B$52="mg")),((BE21*BE$51)/(BE$52)),IF(AND(Results!$E$5="Volume",$C$54&gt;0,Results!$E$4="Fluid"),((BE21*BE$51)/(BE$54)),IF(AND(Results!$E$4="Cells",Results!$E$5="Million",$B$52="million"),((BE21*BE$51)/(BE$52)),"0")))))</f>
        <v>0.39374999999999999</v>
      </c>
      <c r="BF74" s="20">
        <f>IF(BF21=0,"0",IF(AND(Results!$E$5="Protein",$C$53&gt;0,OR(Results!$E$4="Tissue",Results!$E$4="Cells")),((BF21*BF$51)/(BF$53)),IF(AND(Results!$E$5="Weight",$C$52&gt;0, Results!$E$4="Tissue",OR($B$52="g",$B$52="mg")),((BF21*BF$51)/(BF$52)),IF(AND(Results!$E$5="Volume",$C$54&gt;0,Results!$E$4="Fluid"),((BF21*BF$51)/(BF$54)),IF(AND(Results!$E$4="Cells",Results!$E$5="Million",$B$52="million"),((BF21*BF$51)/(BF$52)),"0")))))</f>
        <v>10.742366666666667</v>
      </c>
      <c r="BG74" s="20">
        <f>IF(BG21=0,"0",IF(AND(Results!$E$5="Protein",$C$53&gt;0,OR(Results!$E$4="Tissue",Results!$E$4="Cells")),((BG21*BG$51)/(BG$53)),IF(AND(Results!$E$5="Weight",$C$52&gt;0, Results!$E$4="Tissue",OR($B$52="g",$B$52="mg")),((BG21*BG$51)/(BG$52)),IF(AND(Results!$E$5="Volume",$C$54&gt;0,Results!$E$4="Fluid"),((BG21*BG$51)/(BG$54)),IF(AND(Results!$E$4="Cells",Results!$E$5="Million",$B$52="million"),((BG21*BG$51)/(BG$52)),"0")))))</f>
        <v>0.67525000000000002</v>
      </c>
      <c r="BH74" s="20">
        <f>IF(BH21=0,"0",IF(AND(Results!$E$5="Protein",$C$53&gt;0,OR(Results!$E$4="Tissue",Results!$E$4="Cells")),((BH21*BH$51)/(BH$53)),IF(AND(Results!$E$5="Weight",$C$52&gt;0, Results!$E$4="Tissue",OR($B$52="g",$B$52="mg")),((BH21*BH$51)/(BH$52)),IF(AND(Results!$E$5="Volume",$C$54&gt;0,Results!$E$4="Fluid"),((BH21*BH$51)/(BH$54)),IF(AND(Results!$E$4="Cells",Results!$E$5="Million",$B$52="million"),((BH21*BH$51)/(BH$52)),"0")))))</f>
        <v>1.7455166666666668</v>
      </c>
      <c r="BI74" s="20">
        <f>IF(BI21=0,"0",IF(AND(Results!$E$5="Protein",$C$53&gt;0,OR(Results!$E$4="Tissue",Results!$E$4="Cells")),((BI21*BI$51)/(BI$53)),IF(AND(Results!$E$5="Weight",$C$52&gt;0, Results!$E$4="Tissue",OR($B$52="g",$B$52="mg")),((BI21*BI$51)/(BI$52)),IF(AND(Results!$E$5="Volume",$C$54&gt;0,Results!$E$4="Fluid"),((BI21*BI$51)/(BI$54)),IF(AND(Results!$E$4="Cells",Results!$E$5="Million",$B$52="million"),((BI21*BI$51)/(BI$52)),"0")))))</f>
        <v>2.439516666666667</v>
      </c>
      <c r="BJ74" s="20">
        <f>IF(BJ21=0,"0",IF(AND(Results!$E$5="Protein",$C$53&gt;0,OR(Results!$E$4="Tissue",Results!$E$4="Cells")),((BJ21*BJ$51)/(BJ$53)),IF(AND(Results!$E$5="Weight",$C$52&gt;0, Results!$E$4="Tissue",OR($B$52="g",$B$52="mg")),((BJ21*BJ$51)/(BJ$52)),IF(AND(Results!$E$5="Volume",$C$54&gt;0,Results!$E$4="Fluid"),((BJ21*BJ$51)/(BJ$54)),IF(AND(Results!$E$4="Cells",Results!$E$5="Million",$B$52="million"),((BJ21*BJ$51)/(BJ$52)),"0")))))</f>
        <v>13.402500000000002</v>
      </c>
      <c r="BK74" s="20">
        <f>IF(BK21=0,"0",IF(AND(Results!$E$5="Protein",$C$53&gt;0,OR(Results!$E$4="Tissue",Results!$E$4="Cells")),((BK21*BK$51)/(BK$53)),IF(AND(Results!$E$5="Weight",$C$52&gt;0, Results!$E$4="Tissue",OR($B$52="g",$B$52="mg")),((BK21*BK$51)/(BK$52)),IF(AND(Results!$E$5="Volume",$C$54&gt;0,Results!$E$4="Fluid"),((BK21*BK$51)/(BK$54)),IF(AND(Results!$E$4="Cells",Results!$E$5="Million",$B$52="million"),((BK21*BK$51)/(BK$52)),"0")))))</f>
        <v>6.0016999999999996</v>
      </c>
      <c r="BL74" s="20">
        <f>IF(BL21=0,"0",IF(AND(Results!$E$5="Protein",$C$53&gt;0,OR(Results!$E$4="Tissue",Results!$E$4="Cells")),((BL21*BL$51)/(BL$53)),IF(AND(Results!$E$5="Weight",$C$52&gt;0, Results!$E$4="Tissue",OR($B$52="g",$B$52="mg")),((BL21*BL$51)/(BL$52)),IF(AND(Results!$E$5="Volume",$C$54&gt;0,Results!$E$4="Fluid"),((BL21*BL$51)/(BL$54)),IF(AND(Results!$E$4="Cells",Results!$E$5="Million",$B$52="million"),((BL21*BL$51)/(BL$52)),"0")))))</f>
        <v>37.299083333333336</v>
      </c>
      <c r="BM74" s="20">
        <f>IF(BM21=0,"0",IF(AND(Results!$E$5="Protein",$C$53&gt;0,OR(Results!$E$4="Tissue",Results!$E$4="Cells")),((BM21*BM$51)/(BM$53)),IF(AND(Results!$E$5="Weight",$C$52&gt;0, Results!$E$4="Tissue",OR($B$52="g",$B$52="mg")),((BM21*BM$51)/(BM$52)),IF(AND(Results!$E$5="Volume",$C$54&gt;0,Results!$E$4="Fluid"),((BM21*BM$51)/(BM$54)),IF(AND(Results!$E$4="Cells",Results!$E$5="Million",$B$52="million"),((BM21*BM$51)/(BM$52)),"0")))))</f>
        <v>17.189857142857143</v>
      </c>
      <c r="BN74" s="20">
        <f>IF(BN21=0,"0",IF(AND(Results!$E$5="Protein",$C$53&gt;0,OR(Results!$E$4="Tissue",Results!$E$4="Cells")),((BN21*BN$51)/(BN$53)),IF(AND(Results!$E$5="Weight",$C$52&gt;0, Results!$E$4="Tissue",OR($B$52="g",$B$52="mg")),((BN21*BN$51)/(BN$52)),IF(AND(Results!$E$5="Volume",$C$54&gt;0,Results!$E$4="Fluid"),((BN21*BN$51)/(BN$54)),IF(AND(Results!$E$4="Cells",Results!$E$5="Million",$B$52="million"),((BN21*BN$51)/(BN$52)),"0")))))</f>
        <v>45.885766666666662</v>
      </c>
      <c r="BO74" s="20">
        <f>IF(BO21=0,"0",IF(AND(Results!$E$5="Protein",$C$53&gt;0,OR(Results!$E$4="Tissue",Results!$E$4="Cells")),((BO21*BO$51)/(BO$53)),IF(AND(Results!$E$5="Weight",$C$52&gt;0, Results!$E$4="Tissue",OR($B$52="g",$B$52="mg")),((BO21*BO$51)/(BO$52)),IF(AND(Results!$E$5="Volume",$C$54&gt;0,Results!$E$4="Fluid"),((BO21*BO$51)/(BO$54)),IF(AND(Results!$E$4="Cells",Results!$E$5="Million",$B$52="million"),((BO21*BO$51)/(BO$52)),"0")))))</f>
        <v>42.103050000000003</v>
      </c>
      <c r="BP74" s="20">
        <f>IF(BP21=0,"0",IF(AND(Results!$E$5="Protein",$C$53&gt;0,OR(Results!$E$4="Tissue",Results!$E$4="Cells")),((BP21*BP$51)/(BP$53)),IF(AND(Results!$E$5="Weight",$C$52&gt;0, Results!$E$4="Tissue",OR($B$52="g",$B$52="mg")),((BP21*BP$51)/(BP$52)),IF(AND(Results!$E$5="Volume",$C$54&gt;0,Results!$E$4="Fluid"),((BP21*BP$51)/(BP$54)),IF(AND(Results!$E$4="Cells",Results!$E$5="Million",$B$52="million"),((BP21*BP$51)/(BP$52)),"0")))))</f>
        <v>29.012116666666664</v>
      </c>
      <c r="BQ74" s="20">
        <f>IF(BQ21=0,"0",IF(AND(Results!$E$5="Protein",$C$53&gt;0,OR(Results!$E$4="Tissue",Results!$E$4="Cells")),((BQ21*BQ$51)/(BQ$53)),IF(AND(Results!$E$5="Weight",$C$52&gt;0, Results!$E$4="Tissue",OR($B$52="g",$B$52="mg")),((BQ21*BQ$51)/(BQ$52)),IF(AND(Results!$E$5="Volume",$C$54&gt;0,Results!$E$4="Fluid"),((BQ21*BQ$51)/(BQ$54)),IF(AND(Results!$E$4="Cells",Results!$E$5="Million",$B$52="million"),((BQ21*BQ$51)/(BQ$52)),"0")))))</f>
        <v>1.8921333333333334</v>
      </c>
      <c r="BR74" s="20">
        <f>IF(BR21=0,"0",IF(AND(Results!$E$5="Protein",$C$53&gt;0,OR(Results!$E$4="Tissue",Results!$E$4="Cells")),((BR21*BR$51)/(BR$53)),IF(AND(Results!$E$5="Weight",$C$52&gt;0, Results!$E$4="Tissue",OR($B$52="g",$B$52="mg")),((BR21*BR$51)/(BR$52)),IF(AND(Results!$E$5="Volume",$C$54&gt;0,Results!$E$4="Fluid"),((BR21*BR$51)/(BR$54)),IF(AND(Results!$E$4="Cells",Results!$E$5="Million",$B$52="million"),((BR21*BR$51)/(BR$52)),"0")))))</f>
        <v>0.26117142857142855</v>
      </c>
      <c r="BS74" s="20">
        <f>IF(BS21=0,"0",IF(AND(Results!$E$5="Protein",$C$53&gt;0,OR(Results!$E$4="Tissue",Results!$E$4="Cells")),((BS21*BS$51)/(BS$53)),IF(AND(Results!$E$5="Weight",$C$52&gt;0, Results!$E$4="Tissue",OR($B$52="g",$B$52="mg")),((BS21*BS$51)/(BS$52)),IF(AND(Results!$E$5="Volume",$C$54&gt;0,Results!$E$4="Fluid"),((BS21*BS$51)/(BS$54)),IF(AND(Results!$E$4="Cells",Results!$E$5="Million",$B$52="million"),((BS21*BS$51)/(BS$52)),"0")))))</f>
        <v>18.124000000000002</v>
      </c>
      <c r="BT74" s="20">
        <f>IF(BT21=0,"0",IF(AND(Results!$E$5="Protein",$C$53&gt;0,OR(Results!$E$4="Tissue",Results!$E$4="Cells")),((BT21*BT$51)/(BT$53)),IF(AND(Results!$E$5="Weight",$C$52&gt;0, Results!$E$4="Tissue",OR($B$52="g",$B$52="mg")),((BT21*BT$51)/(BT$52)),IF(AND(Results!$E$5="Volume",$C$54&gt;0,Results!$E$4="Fluid"),((BT21*BT$51)/(BT$54)),IF(AND(Results!$E$4="Cells",Results!$E$5="Million",$B$52="million"),((BT21*BT$51)/(BT$52)),"0")))))</f>
        <v>11.912583333333334</v>
      </c>
      <c r="BU74" s="20">
        <f>IF(BU21=0,"0",IF(AND(Results!$E$5="Protein",$C$53&gt;0,OR(Results!$E$4="Tissue",Results!$E$4="Cells")),((BU21*BU$51)/(BU$53)),IF(AND(Results!$E$5="Weight",$C$52&gt;0, Results!$E$4="Tissue",OR($B$52="g",$B$52="mg")),((BU21*BU$51)/(BU$52)),IF(AND(Results!$E$5="Volume",$C$54&gt;0,Results!$E$4="Fluid"),((BU21*BU$51)/(BU$54)),IF(AND(Results!$E$4="Cells",Results!$E$5="Million",$B$52="million"),((BU21*BU$51)/(BU$52)),"0")))))</f>
        <v>4.2499333333333338</v>
      </c>
      <c r="BV74" s="20">
        <f>IF(BV21=0,"0",IF(AND(Results!$E$5="Protein",$C$53&gt;0,OR(Results!$E$4="Tissue",Results!$E$4="Cells")),((BV21*BV$51)/(BV$53)),IF(AND(Results!$E$5="Weight",$C$52&gt;0, Results!$E$4="Tissue",OR($B$52="g",$B$52="mg")),((BV21*BV$51)/(BV$52)),IF(AND(Results!$E$5="Volume",$C$54&gt;0,Results!$E$4="Fluid"),((BV21*BV$51)/(BV$54)),IF(AND(Results!$E$4="Cells",Results!$E$5="Million",$B$52="million"),((BV21*BV$51)/(BV$52)),"0")))))</f>
        <v>1.4889999999999999</v>
      </c>
      <c r="BW74" s="20">
        <f>IF(BW21=0,"0",IF(AND(Results!$E$5="Protein",$C$53&gt;0,OR(Results!$E$4="Tissue",Results!$E$4="Cells")),((BW21*BW$51)/(BW$53)),IF(AND(Results!$E$5="Weight",$C$52&gt;0, Results!$E$4="Tissue",OR($B$52="g",$B$52="mg")),((BW21*BW$51)/(BW$52)),IF(AND(Results!$E$5="Volume",$C$54&gt;0,Results!$E$4="Fluid"),((BW21*BW$51)/(BW$54)),IF(AND(Results!$E$4="Cells",Results!$E$5="Million",$B$52="million"),((BW21*BW$51)/(BW$52)),"0")))))</f>
        <v>10.56865</v>
      </c>
      <c r="BX74" s="20">
        <f>IF(BX21=0,"0",IF(AND(Results!$E$5="Protein",$C$53&gt;0,OR(Results!$E$4="Tissue",Results!$E$4="Cells")),((BX21*BX$51)/(BX$53)),IF(AND(Results!$E$5="Weight",$C$52&gt;0, Results!$E$4="Tissue",OR($B$52="g",$B$52="mg")),((BX21*BX$51)/(BX$52)),IF(AND(Results!$E$5="Volume",$C$54&gt;0,Results!$E$4="Fluid"),((BX21*BX$51)/(BX$54)),IF(AND(Results!$E$4="Cells",Results!$E$5="Million",$B$52="million"),((BX21*BX$51)/(BX$52)),"0")))))</f>
        <v>1.7334666666666669</v>
      </c>
      <c r="BY74" s="20">
        <f>IF(BY21=0,"0",IF(AND(Results!$E$5="Protein",$C$53&gt;0,OR(Results!$E$4="Tissue",Results!$E$4="Cells")),((BY21*BY$51)/(BY$53)),IF(AND(Results!$E$5="Weight",$C$52&gt;0, Results!$E$4="Tissue",OR($B$52="g",$B$52="mg")),((BY21*BY$51)/(BY$52)),IF(AND(Results!$E$5="Volume",$C$54&gt;0,Results!$E$4="Fluid"),((BY21*BY$51)/(BY$54)),IF(AND(Results!$E$4="Cells",Results!$E$5="Million",$B$52="million"),((BY21*BY$51)/(BY$52)),"0")))))</f>
        <v>1.7314333333333332</v>
      </c>
      <c r="BZ74" s="20">
        <f>IF(BZ21=0,"0",IF(AND(Results!$E$5="Protein",$C$53&gt;0,OR(Results!$E$4="Tissue",Results!$E$4="Cells")),((BZ21*BZ$51)/(BZ$53)),IF(AND(Results!$E$5="Weight",$C$52&gt;0, Results!$E$4="Tissue",OR($B$52="g",$B$52="mg")),((BZ21*BZ$51)/(BZ$52)),IF(AND(Results!$E$5="Volume",$C$54&gt;0,Results!$E$4="Fluid"),((BZ21*BZ$51)/(BZ$54)),IF(AND(Results!$E$4="Cells",Results!$E$5="Million",$B$52="million"),((BZ21*BZ$51)/(BZ$52)),"0")))))</f>
        <v>1.1416499999999998</v>
      </c>
      <c r="CA74" s="20">
        <f>IF(CA21=0,"0",IF(AND(Results!$E$5="Protein",$C$53&gt;0,OR(Results!$E$4="Tissue",Results!$E$4="Cells")),((CA21*CA$51)/(CA$53)),IF(AND(Results!$E$5="Weight",$C$52&gt;0, Results!$E$4="Tissue",OR($B$52="g",$B$52="mg")),((CA21*CA$51)/(CA$52)),IF(AND(Results!$E$5="Volume",$C$54&gt;0,Results!$E$4="Fluid"),((CA21*CA$51)/(CA$54)),IF(AND(Results!$E$4="Cells",Results!$E$5="Million",$B$52="million"),((CA21*CA$51)/(CA$52)),"0")))))</f>
        <v>4.0058666666666669</v>
      </c>
      <c r="CB74" s="20">
        <f>IF(CB21=0,"0",IF(AND(Results!$E$5="Protein",$C$53&gt;0,OR(Results!$E$4="Tissue",Results!$E$4="Cells")),((CB21*CB$51)/(CB$53)),IF(AND(Results!$E$5="Weight",$C$52&gt;0, Results!$E$4="Tissue",OR($B$52="g",$B$52="mg")),((CB21*CB$51)/(CB$52)),IF(AND(Results!$E$5="Volume",$C$54&gt;0,Results!$E$4="Fluid"),((CB21*CB$51)/(CB$54)),IF(AND(Results!$E$4="Cells",Results!$E$5="Million",$B$52="million"),((CB21*CB$51)/(CB$52)),"0")))))</f>
        <v>3.4410666666666665</v>
      </c>
      <c r="CC74" s="20">
        <f>IF(CC21=0,"0",IF(AND(Results!$E$5="Protein",$C$53&gt;0,OR(Results!$E$4="Tissue",Results!$E$4="Cells")),((CC21*CC$51)/(CC$53)),IF(AND(Results!$E$5="Weight",$C$52&gt;0, Results!$E$4="Tissue",OR($B$52="g",$B$52="mg")),((CC21*CC$51)/(CC$52)),IF(AND(Results!$E$5="Volume",$C$54&gt;0,Results!$E$4="Fluid"),((CC21*CC$51)/(CC$54)),IF(AND(Results!$E$4="Cells",Results!$E$5="Million",$B$52="million"),((CC21*CC$51)/(CC$52)),"0")))))</f>
        <v>1.3267333333333333</v>
      </c>
      <c r="CD74" s="20">
        <f>IF(CD21=0,"0",IF(AND(Results!$E$5="Protein",$C$53&gt;0,OR(Results!$E$4="Tissue",Results!$E$4="Cells")),((CD21*CD$51)/(CD$53)),IF(AND(Results!$E$5="Weight",$C$52&gt;0, Results!$E$4="Tissue",OR($B$52="g",$B$52="mg")),((CD21*CD$51)/(CD$52)),IF(AND(Results!$E$5="Volume",$C$54&gt;0,Results!$E$4="Fluid"),((CD21*CD$51)/(CD$54)),IF(AND(Results!$E$4="Cells",Results!$E$5="Million",$B$52="million"),((CD21*CD$51)/(CD$52)),"0")))))</f>
        <v>0.51850000000000007</v>
      </c>
      <c r="CE74" s="20">
        <f>IF(CE21=0,"0",IF(AND(Results!$E$5="Protein",$C$53&gt;0,OR(Results!$E$4="Tissue",Results!$E$4="Cells")),((CE21*CE$51)/(CE$53)),IF(AND(Results!$E$5="Weight",$C$52&gt;0, Results!$E$4="Tissue",OR($B$52="g",$B$52="mg")),((CE21*CE$51)/(CE$52)),IF(AND(Results!$E$5="Volume",$C$54&gt;0,Results!$E$4="Fluid"),((CE21*CE$51)/(CE$54)),IF(AND(Results!$E$4="Cells",Results!$E$5="Million",$B$52="million"),((CE21*CE$51)/(CE$52)),"0")))))</f>
        <v>2.71455</v>
      </c>
      <c r="CF74" s="20">
        <f>IF(CF21=0,"0",IF(AND(Results!$E$5="Protein",$C$53&gt;0,OR(Results!$E$4="Tissue",Results!$E$4="Cells")),((CF21*CF$51)/(CF$53)),IF(AND(Results!$E$5="Weight",$C$52&gt;0, Results!$E$4="Tissue",OR($B$52="g",$B$52="mg")),((CF21*CF$51)/(CF$52)),IF(AND(Results!$E$5="Volume",$C$54&gt;0,Results!$E$4="Fluid"),((CF21*CF$51)/(CF$54)),IF(AND(Results!$E$4="Cells",Results!$E$5="Million",$B$52="million"),((CF21*CF$51)/(CF$52)),"0")))))</f>
        <v>1.8916999999999999</v>
      </c>
      <c r="CG74" s="20">
        <f>IF(CG21=0,"0",IF(AND(Results!$E$5="Protein",$C$53&gt;0,OR(Results!$E$4="Tissue",Results!$E$4="Cells")),((CG21*CG$51)/(CG$53)),IF(AND(Results!$E$5="Weight",$C$52&gt;0, Results!$E$4="Tissue",OR($B$52="g",$B$52="mg")),((CG21*CG$51)/(CG$52)),IF(AND(Results!$E$5="Volume",$C$54&gt;0,Results!$E$4="Fluid"),((CG21*CG$51)/(CG$54)),IF(AND(Results!$E$4="Cells",Results!$E$5="Million",$B$52="million"),((CG21*CG$51)/(CG$52)),"0")))))</f>
        <v>0.40425</v>
      </c>
      <c r="CH74" s="20">
        <f>IF(CH21=0,"0",IF(AND(Results!$E$5="Protein",$C$53&gt;0,OR(Results!$E$4="Tissue",Results!$E$4="Cells")),((CH21*CH$51)/(CH$53)),IF(AND(Results!$E$5="Weight",$C$52&gt;0, Results!$E$4="Tissue",OR($B$52="g",$B$52="mg")),((CH21*CH$51)/(CH$52)),IF(AND(Results!$E$5="Volume",$C$54&gt;0,Results!$E$4="Fluid"),((CH21*CH$51)/(CH$54)),IF(AND(Results!$E$4="Cells",Results!$E$5="Million",$B$52="million"),((CH21*CH$51)/(CH$52)),"0")))))</f>
        <v>0.42481666666666668</v>
      </c>
      <c r="CI74" s="20">
        <f>IF(CI21=0,"0",IF(AND(Results!$E$5="Protein",$C$53&gt;0,OR(Results!$E$4="Tissue",Results!$E$4="Cells")),((CI21*CI$51)/(CI$53)),IF(AND(Results!$E$5="Weight",$C$52&gt;0, Results!$E$4="Tissue",OR($B$52="g",$B$52="mg")),((CI21*CI$51)/(CI$52)),IF(AND(Results!$E$5="Volume",$C$54&gt;0,Results!$E$4="Fluid"),((CI21*CI$51)/(CI$54)),IF(AND(Results!$E$4="Cells",Results!$E$5="Million",$B$52="million"),((CI21*CI$51)/(CI$52)),"0")))))</f>
        <v>2.5935666666666668</v>
      </c>
      <c r="CJ74" s="20">
        <f>IF(CJ21=0,"0",IF(AND(Results!$E$5="Protein",$C$53&gt;0,OR(Results!$E$4="Tissue",Results!$E$4="Cells")),((CJ21*CJ$51)/(CJ$53)),IF(AND(Results!$E$5="Weight",$C$52&gt;0, Results!$E$4="Tissue",OR($B$52="g",$B$52="mg")),((CJ21*CJ$51)/(CJ$52)),IF(AND(Results!$E$5="Volume",$C$54&gt;0,Results!$E$4="Fluid"),((CJ21*CJ$51)/(CJ$54)),IF(AND(Results!$E$4="Cells",Results!$E$5="Million",$B$52="million"),((CJ21*CJ$51)/(CJ$52)),"0")))))</f>
        <v>3.0512444444444449</v>
      </c>
      <c r="CK74" s="20">
        <f>IF(CK21=0,"0",IF(AND(Results!$E$5="Protein",$C$53&gt;0,OR(Results!$E$4="Tissue",Results!$E$4="Cells")),((CK21*CK$51)/(CK$53)),IF(AND(Results!$E$5="Weight",$C$52&gt;0, Results!$E$4="Tissue",OR($B$52="g",$B$52="mg")),((CK21*CK$51)/(CK$52)),IF(AND(Results!$E$5="Volume",$C$54&gt;0,Results!$E$4="Fluid"),((CK21*CK$51)/(CK$54)),IF(AND(Results!$E$4="Cells",Results!$E$5="Million",$B$52="million"),((CK21*CK$51)/(CK$52)),"0")))))</f>
        <v>4.9566666666666669E-2</v>
      </c>
      <c r="CL74" s="20">
        <f>IF(CL21=0,"0",IF(AND(Results!$E$5="Protein",$C$53&gt;0,OR(Results!$E$4="Tissue",Results!$E$4="Cells")),((CL21*CL$51)/(CL$53)),IF(AND(Results!$E$5="Weight",$C$52&gt;0, Results!$E$4="Tissue",OR($B$52="g",$B$52="mg")),((CL21*CL$51)/(CL$52)),IF(AND(Results!$E$5="Volume",$C$54&gt;0,Results!$E$4="Fluid"),((CL21*CL$51)/(CL$54)),IF(AND(Results!$E$4="Cells",Results!$E$5="Million",$B$52="million"),((CL21*CL$51)/(CL$52)),"0")))))</f>
        <v>0.26516666666666666</v>
      </c>
      <c r="CM74" s="20">
        <f>IF(CM21=0,"0",IF(AND(Results!$E$5="Protein",$C$53&gt;0,OR(Results!$E$4="Tissue",Results!$E$4="Cells")),((CM21*CM$51)/(CM$53)),IF(AND(Results!$E$5="Weight",$C$52&gt;0, Results!$E$4="Tissue",OR($B$52="g",$B$52="mg")),((CM21*CM$51)/(CM$52)),IF(AND(Results!$E$5="Volume",$C$54&gt;0,Results!$E$4="Fluid"),((CM21*CM$51)/(CM$54)),IF(AND(Results!$E$4="Cells",Results!$E$5="Million",$B$52="million"),((CM21*CM$51)/(CM$52)),"0")))))</f>
        <v>1.1201000000000001</v>
      </c>
      <c r="CN74" s="20">
        <f>IF(CN21=0,"0",IF(AND(Results!$E$5="Protein",$C$53&gt;0,OR(Results!$E$4="Tissue",Results!$E$4="Cells")),((CN21*CN$51)/(CN$53)),IF(AND(Results!$E$5="Weight",$C$52&gt;0, Results!$E$4="Tissue",OR($B$52="g",$B$52="mg")),((CN21*CN$51)/(CN$52)),IF(AND(Results!$E$5="Volume",$C$54&gt;0,Results!$E$4="Fluid"),((CN21*CN$51)/(CN$54)),IF(AND(Results!$E$4="Cells",Results!$E$5="Million",$B$52="million"),((CN21*CN$51)/(CN$52)),"0")))))</f>
        <v>0.32083333333333336</v>
      </c>
      <c r="CO74" s="20">
        <f>IF(CO21=0,"0",IF(AND(Results!$E$5="Protein",$C$53&gt;0,OR(Results!$E$4="Tissue",Results!$E$4="Cells")),((CO21*CO$51)/(CO$53)),IF(AND(Results!$E$5="Weight",$C$52&gt;0, Results!$E$4="Tissue",OR($B$52="g",$B$52="mg")),((CO21*CO$51)/(CO$52)),IF(AND(Results!$E$5="Volume",$C$54&gt;0,Results!$E$4="Fluid"),((CO21*CO$51)/(CO$54)),IF(AND(Results!$E$4="Cells",Results!$E$5="Million",$B$52="million"),((CO21*CO$51)/(CO$52)),"0")))))</f>
        <v>0.40166666666666667</v>
      </c>
      <c r="CP74" s="20">
        <f>IF(CP21=0,"0",IF(AND(Results!$E$5="Protein",$C$53&gt;0,OR(Results!$E$4="Tissue",Results!$E$4="Cells")),((CP21*CP$51)/(CP$53)),IF(AND(Results!$E$5="Weight",$C$52&gt;0, Results!$E$4="Tissue",OR($B$52="g",$B$52="mg")),((CP21*CP$51)/(CP$52)),IF(AND(Results!$E$5="Volume",$C$54&gt;0,Results!$E$4="Fluid"),((CP21*CP$51)/(CP$54)),IF(AND(Results!$E$4="Cells",Results!$E$5="Million",$B$52="million"),((CP21*CP$51)/(CP$52)),"0")))))</f>
        <v>1.5260833333333332</v>
      </c>
      <c r="CQ74" s="20">
        <f>IF(CQ21=0,"0",IF(AND(Results!$E$5="Protein",$C$53&gt;0,OR(Results!$E$4="Tissue",Results!$E$4="Cells")),((CQ21*CQ$51)/(CQ$53)),IF(AND(Results!$E$5="Weight",$C$52&gt;0, Results!$E$4="Tissue",OR($B$52="g",$B$52="mg")),((CQ21*CQ$51)/(CQ$52)),IF(AND(Results!$E$5="Volume",$C$54&gt;0,Results!$E$4="Fluid"),((CQ21*CQ$51)/(CQ$54)),IF(AND(Results!$E$4="Cells",Results!$E$5="Million",$B$52="million"),((CQ21*CQ$51)/(CQ$52)),"0")))))</f>
        <v>1.8708666666666667</v>
      </c>
      <c r="CR74" s="20">
        <f>IF(CR21=0,"0",IF(AND(Results!$E$5="Protein",$C$53&gt;0,OR(Results!$E$4="Tissue",Results!$E$4="Cells")),((CR21*CR$51)/(CR$53)),IF(AND(Results!$E$5="Weight",$C$52&gt;0, Results!$E$4="Tissue",OR($B$52="g",$B$52="mg")),((CR21*CR$51)/(CR$52)),IF(AND(Results!$E$5="Volume",$C$54&gt;0,Results!$E$4="Fluid"),((CR21*CR$51)/(CR$54)),IF(AND(Results!$E$4="Cells",Results!$E$5="Million",$B$52="million"),((CR21*CR$51)/(CR$52)),"0")))))</f>
        <v>6.2833499999999995</v>
      </c>
      <c r="CS74" s="20">
        <f>IF(CS21=0,"0",IF(AND(Results!$E$5="Protein",$C$53&gt;0,OR(Results!$E$4="Tissue",Results!$E$4="Cells")),((CS21*CS$51)/(CS$53)),IF(AND(Results!$E$5="Weight",$C$52&gt;0, Results!$E$4="Tissue",OR($B$52="g",$B$52="mg")),((CS21*CS$51)/(CS$52)),IF(AND(Results!$E$5="Volume",$C$54&gt;0,Results!$E$4="Fluid"),((CS21*CS$51)/(CS$54)),IF(AND(Results!$E$4="Cells",Results!$E$5="Million",$B$52="million"),((CS21*CS$51)/(CS$52)),"0")))))</f>
        <v>0.19511666666666669</v>
      </c>
      <c r="CT74" s="20">
        <f>IF(CT21=0,"0",IF(AND(Results!$E$5="Protein",$C$53&gt;0,OR(Results!$E$4="Tissue",Results!$E$4="Cells")),((CT21*CT$51)/(CT$53)),IF(AND(Results!$E$5="Weight",$C$52&gt;0, Results!$E$4="Tissue",OR($B$52="g",$B$52="mg")),((CT21*CT$51)/(CT$52)),IF(AND(Results!$E$5="Volume",$C$54&gt;0,Results!$E$4="Fluid"),((CT21*CT$51)/(CT$54)),IF(AND(Results!$E$4="Cells",Results!$E$5="Million",$B$52="million"),((CT21*CT$51)/(CT$52)),"0")))))</f>
        <v>0.10238333333333333</v>
      </c>
      <c r="CU74" s="20">
        <f>IF(CU21=0,"0",IF(AND(Results!$E$5="Protein",$C$53&gt;0,OR(Results!$E$4="Tissue",Results!$E$4="Cells")),((CU21*CU$51)/(CU$53)),IF(AND(Results!$E$5="Weight",$C$52&gt;0, Results!$E$4="Tissue",OR($B$52="g",$B$52="mg")),((CU21*CU$51)/(CU$52)),IF(AND(Results!$E$5="Volume",$C$54&gt;0,Results!$E$4="Fluid"),((CU21*CU$51)/(CU$54)),IF(AND(Results!$E$4="Cells",Results!$E$5="Million",$B$52="million"),((CU21*CU$51)/(CU$52)),"0")))))</f>
        <v>2.2044833333333336</v>
      </c>
      <c r="CV74" s="20">
        <f>IF(CV21=0,"0",IF(AND(Results!$E$5="Protein",$C$53&gt;0,OR(Results!$E$4="Tissue",Results!$E$4="Cells")),((CV21*CV$51)/(CV$53)),IF(AND(Results!$E$5="Weight",$C$52&gt;0, Results!$E$4="Tissue",OR($B$52="g",$B$52="mg")),((CV21*CV$51)/(CV$52)),IF(AND(Results!$E$5="Volume",$C$54&gt;0,Results!$E$4="Fluid"),((CV21*CV$51)/(CV$54)),IF(AND(Results!$E$4="Cells",Results!$E$5="Million",$B$52="million"),((CV21*CV$51)/(CV$52)),"0")))))</f>
        <v>0.42814999999999998</v>
      </c>
      <c r="CW74" s="20">
        <f>IF(CW21=0,"0",IF(AND(Results!$E$5="Protein",$C$53&gt;0,OR(Results!$E$4="Tissue",Results!$E$4="Cells")),((CW21*CW$51)/(CW$53)),IF(AND(Results!$E$5="Weight",$C$52&gt;0, Results!$E$4="Tissue",OR($B$52="g",$B$52="mg")),((CW21*CW$51)/(CW$52)),IF(AND(Results!$E$5="Volume",$C$54&gt;0,Results!$E$4="Fluid"),((CW21*CW$51)/(CW$54)),IF(AND(Results!$E$4="Cells",Results!$E$5="Million",$B$52="million"),((CW21*CW$51)/(CW$52)),"0")))))</f>
        <v>2.1862666666666666</v>
      </c>
      <c r="CX74" s="20">
        <f>IF(CX21=0,"0",IF(AND(Results!$E$5="Protein",$C$53&gt;0,OR(Results!$E$4="Tissue",Results!$E$4="Cells")),((CX21*CX$51)/(CX$53)),IF(AND(Results!$E$5="Weight",$C$52&gt;0, Results!$E$4="Tissue",OR($B$52="g",$B$52="mg")),((CX21*CX$51)/(CX$52)),IF(AND(Results!$E$5="Volume",$C$54&gt;0,Results!$E$4="Fluid"),((CX21*CX$51)/(CX$54)),IF(AND(Results!$E$4="Cells",Results!$E$5="Million",$B$52="million"),((CX21*CX$51)/(CX$52)),"0")))))</f>
        <v>0.31973333333333337</v>
      </c>
      <c r="CY74" s="20">
        <f>IF(CY21=0,"0",IF(AND(Results!$E$5="Protein",$C$53&gt;0,OR(Results!$E$4="Tissue",Results!$E$4="Cells")),((CY21*CY$51)/(CY$53)),IF(AND(Results!$E$5="Weight",$C$52&gt;0, Results!$E$4="Tissue",OR($B$52="g",$B$52="mg")),((CY21*CY$51)/(CY$52)),IF(AND(Results!$E$5="Volume",$C$54&gt;0,Results!$E$4="Fluid"),((CY21*CY$51)/(CY$54)),IF(AND(Results!$E$4="Cells",Results!$E$5="Million",$B$52="million"),((CY21*CY$51)/(CY$52)),"0")))))</f>
        <v>4.1179000000000006</v>
      </c>
      <c r="CZ74" s="20">
        <f>IF(CZ21=0,"0",IF(AND(Results!$E$5="Protein",$C$53&gt;0,OR(Results!$E$4="Tissue",Results!$E$4="Cells")),((CZ21*CZ$51)/(CZ$53)),IF(AND(Results!$E$5="Weight",$C$52&gt;0, Results!$E$4="Tissue",OR($B$52="g",$B$52="mg")),((CZ21*CZ$51)/(CZ$52)),IF(AND(Results!$E$5="Volume",$C$54&gt;0,Results!$E$4="Fluid"),((CZ21*CZ$51)/(CZ$54)),IF(AND(Results!$E$4="Cells",Results!$E$5="Million",$B$52="million"),((CZ21*CZ$51)/(CZ$52)),"0")))))</f>
        <v>1.0131666666666665</v>
      </c>
      <c r="DA74" s="20">
        <f>IF(DA21=0,"0",IF(AND(Results!$E$5="Protein",$C$53&gt;0,OR(Results!$E$4="Tissue",Results!$E$4="Cells")),((DA21*DA$51)/(DA$53)),IF(AND(Results!$E$5="Weight",$C$52&gt;0, Results!$E$4="Tissue",OR($B$52="g",$B$52="mg")),((DA21*DA$51)/(DA$52)),IF(AND(Results!$E$5="Volume",$C$54&gt;0,Results!$E$4="Fluid"),((DA21*DA$51)/(DA$54)),IF(AND(Results!$E$4="Cells",Results!$E$5="Million",$B$52="million"),((DA21*DA$51)/(DA$52)),"0")))))</f>
        <v>0.26373333333333332</v>
      </c>
      <c r="DB74" s="20">
        <f>IF(DB21=0,"0",IF(AND(Results!$E$5="Protein",$C$53&gt;0,OR(Results!$E$4="Tissue",Results!$E$4="Cells")),((DB21*DB$51)/(DB$53)),IF(AND(Results!$E$5="Weight",$C$52&gt;0, Results!$E$4="Tissue",OR($B$52="g",$B$52="mg")),((DB21*DB$51)/(DB$52)),IF(AND(Results!$E$5="Volume",$C$54&gt;0,Results!$E$4="Fluid"),((DB21*DB$51)/(DB$54)),IF(AND(Results!$E$4="Cells",Results!$E$5="Million",$B$52="million"),((DB21*DB$51)/(DB$52)),"0")))))</f>
        <v>0.91751666666666654</v>
      </c>
      <c r="DC74" s="20">
        <f>IF(DC21=0,"0",IF(AND(Results!$E$5="Protein",$C$53&gt;0,OR(Results!$E$4="Tissue",Results!$E$4="Cells")),((DC21*DC$51)/(DC$53)),IF(AND(Results!$E$5="Weight",$C$52&gt;0, Results!$E$4="Tissue",OR($B$52="g",$B$52="mg")),((DC21*DC$51)/(DC$52)),IF(AND(Results!$E$5="Volume",$C$54&gt;0,Results!$E$4="Fluid"),((DC21*DC$51)/(DC$54)),IF(AND(Results!$E$4="Cells",Results!$E$5="Million",$B$52="million"),((DC21*DC$51)/(DC$52)),"0")))))</f>
        <v>3.2697833333333337</v>
      </c>
      <c r="DD74" s="20">
        <f>IF(DD21=0,"0",IF(AND(Results!$E$5="Protein",$C$53&gt;0,OR(Results!$E$4="Tissue",Results!$E$4="Cells")),((DD21*DD$51)/(DD$53)),IF(AND(Results!$E$5="Weight",$C$52&gt;0, Results!$E$4="Tissue",OR($B$52="g",$B$52="mg")),((DD21*DD$51)/(DD$52)),IF(AND(Results!$E$5="Volume",$C$54&gt;0,Results!$E$4="Fluid"),((DD21*DD$51)/(DD$54)),IF(AND(Results!$E$4="Cells",Results!$E$5="Million",$B$52="million"),((DD21*DD$51)/(DD$52)),"0")))))</f>
        <v>0.52324999999999999</v>
      </c>
      <c r="DE74" s="20">
        <f>IF(DE21=0,"0",IF(AND(Results!$E$5="Protein",$C$53&gt;0,OR(Results!$E$4="Tissue",Results!$E$4="Cells")),((DE21*DE$51)/(DE$53)),IF(AND(Results!$E$5="Weight",$C$52&gt;0, Results!$E$4="Tissue",OR($B$52="g",$B$52="mg")),((DE21*DE$51)/(DE$52)),IF(AND(Results!$E$5="Volume",$C$54&gt;0,Results!$E$4="Fluid"),((DE21*DE$51)/(DE$54)),IF(AND(Results!$E$4="Cells",Results!$E$5="Million",$B$52="million"),((DE21*DE$51)/(DE$52)),"0")))))</f>
        <v>0.2820833333333333</v>
      </c>
      <c r="DF74" s="20">
        <f>IF(DF21=0,"0",IF(AND(Results!$E$5="Protein",$C$53&gt;0,OR(Results!$E$4="Tissue",Results!$E$4="Cells")),((DF21*DF$51)/(DF$53)),IF(AND(Results!$E$5="Weight",$C$52&gt;0, Results!$E$4="Tissue",OR($B$52="g",$B$52="mg")),((DF21*DF$51)/(DF$52)),IF(AND(Results!$E$5="Volume",$C$54&gt;0,Results!$E$4="Fluid"),((DF21*DF$51)/(DF$54)),IF(AND(Results!$E$4="Cells",Results!$E$5="Million",$B$52="million"),((DF21*DF$51)/(DF$52)),"0")))))</f>
        <v>0.40841666666666665</v>
      </c>
      <c r="DG74" s="20">
        <f>IF(DG21=0,"0",IF(AND(Results!$E$5="Protein",$C$53&gt;0,OR(Results!$E$4="Tissue",Results!$E$4="Cells")),((DG21*DG$51)/(DG$53)),IF(AND(Results!$E$5="Weight",$C$52&gt;0, Results!$E$4="Tissue",OR($B$52="g",$B$52="mg")),((DG21*DG$51)/(DG$52)),IF(AND(Results!$E$5="Volume",$C$54&gt;0,Results!$E$4="Fluid"),((DG21*DG$51)/(DG$54)),IF(AND(Results!$E$4="Cells",Results!$E$5="Million",$B$52="million"),((DG21*DG$51)/(DG$52)),"0")))))</f>
        <v>6.5539500000000004</v>
      </c>
      <c r="DH74" s="20">
        <f>IF(DH21=0,"0",IF(AND(Results!$E$5="Protein",$C$53&gt;0,OR(Results!$E$4="Tissue",Results!$E$4="Cells")),((DH21*DH$51)/(DH$53)),IF(AND(Results!$E$5="Weight",$C$52&gt;0, Results!$E$4="Tissue",OR($B$52="g",$B$52="mg")),((DH21*DH$51)/(DH$52)),IF(AND(Results!$E$5="Volume",$C$54&gt;0,Results!$E$4="Fluid"),((DH21*DH$51)/(DH$54)),IF(AND(Results!$E$4="Cells",Results!$E$5="Million",$B$52="million"),((DH21*DH$51)/(DH$52)),"0")))))</f>
        <v>0.17119999999999996</v>
      </c>
      <c r="DI74" s="20">
        <f>IF(DI21=0,"0",IF(AND(Results!$E$5="Protein",$C$53&gt;0,OR(Results!$E$4="Tissue",Results!$E$4="Cells")),((DI21*DI$51)/(DI$53)),IF(AND(Results!$E$5="Weight",$C$52&gt;0, Results!$E$4="Tissue",OR($B$52="g",$B$52="mg")),((DI21*DI$51)/(DI$52)),IF(AND(Results!$E$5="Volume",$C$54&gt;0,Results!$E$4="Fluid"),((DI21*DI$51)/(DI$54)),IF(AND(Results!$E$4="Cells",Results!$E$5="Million",$B$52="million"),((DI21*DI$51)/(DI$52)),"0")))))</f>
        <v>0.42381666666666662</v>
      </c>
      <c r="DJ74" s="20">
        <f>IF(DJ21=0,"0",IF(AND(Results!$E$5="Protein",$C$53&gt;0,OR(Results!$E$4="Tissue",Results!$E$4="Cells")),((DJ21*DJ$51)/(DJ$53)),IF(AND(Results!$E$5="Weight",$C$52&gt;0, Results!$E$4="Tissue",OR($B$52="g",$B$52="mg")),((DJ21*DJ$51)/(DJ$52)),IF(AND(Results!$E$5="Volume",$C$54&gt;0,Results!$E$4="Fluid"),((DJ21*DJ$51)/(DJ$54)),IF(AND(Results!$E$4="Cells",Results!$E$5="Million",$B$52="million"),((DJ21*DJ$51)/(DJ$52)),"0")))))</f>
        <v>2.62405</v>
      </c>
      <c r="DK74" s="20">
        <f>IF(DK21=0,"0",IF(AND(Results!$E$5="Protein",$C$53&gt;0,OR(Results!$E$4="Tissue",Results!$E$4="Cells")),((DK21*DK$51)/(DK$53)),IF(AND(Results!$E$5="Weight",$C$52&gt;0, Results!$E$4="Tissue",OR($B$52="g",$B$52="mg")),((DK21*DK$51)/(DK$52)),IF(AND(Results!$E$5="Volume",$C$54&gt;0,Results!$E$4="Fluid"),((DK21*DK$51)/(DK$54)),IF(AND(Results!$E$4="Cells",Results!$E$5="Million",$B$52="million"),((DK21*DK$51)/(DK$52)),"0")))))</f>
        <v>7.0392666666666663</v>
      </c>
      <c r="DL74" s="20">
        <f>IF(DL21=0,"0",IF(AND(Results!$E$5="Protein",$C$53&gt;0,OR(Results!$E$4="Tissue",Results!$E$4="Cells")),((DL21*DL$51)/(DL$53)),IF(AND(Results!$E$5="Weight",$C$52&gt;0, Results!$E$4="Tissue",OR($B$52="g",$B$52="mg")),((DL21*DL$51)/(DL$52)),IF(AND(Results!$E$5="Volume",$C$54&gt;0,Results!$E$4="Fluid"),((DL21*DL$51)/(DL$54)),IF(AND(Results!$E$4="Cells",Results!$E$5="Million",$B$52="million"),((DL21*DL$51)/(DL$52)),"0")))))</f>
        <v>1.5568</v>
      </c>
      <c r="DM74" s="20">
        <f>IF(DM21=0,"0",IF(AND(Results!$E$5="Protein",$C$53&gt;0,OR(Results!$E$4="Tissue",Results!$E$4="Cells")),((DM21*DM$51)/(DM$53)),IF(AND(Results!$E$5="Weight",$C$52&gt;0, Results!$E$4="Tissue",OR($B$52="g",$B$52="mg")),((DM21*DM$51)/(DM$52)),IF(AND(Results!$E$5="Volume",$C$54&gt;0,Results!$E$4="Fluid"),((DM21*DM$51)/(DM$54)),IF(AND(Results!$E$4="Cells",Results!$E$5="Million",$B$52="million"),((DM21*DM$51)/(DM$52)),"0")))))</f>
        <v>0.16716666666666666</v>
      </c>
      <c r="DN74" s="20">
        <f>IF(DN21=0,"0",IF(AND(Results!$E$5="Protein",$C$53&gt;0,OR(Results!$E$4="Tissue",Results!$E$4="Cells")),((DN21*DN$51)/(DN$53)),IF(AND(Results!$E$5="Weight",$C$52&gt;0, Results!$E$4="Tissue",OR($B$52="g",$B$52="mg")),((DN21*DN$51)/(DN$52)),IF(AND(Results!$E$5="Volume",$C$54&gt;0,Results!$E$4="Fluid"),((DN21*DN$51)/(DN$54)),IF(AND(Results!$E$4="Cells",Results!$E$5="Million",$B$52="million"),((DN21*DN$51)/(DN$52)),"0")))))</f>
        <v>1.4819833333333332</v>
      </c>
      <c r="DO74" s="20">
        <f>IF(DO21=0,"0",IF(AND(Results!$E$5="Protein",$C$53&gt;0,OR(Results!$E$4="Tissue",Results!$E$4="Cells")),((DO21*DO$51)/(DO$53)),IF(AND(Results!$E$5="Weight",$C$52&gt;0, Results!$E$4="Tissue",OR($B$52="g",$B$52="mg")),((DO21*DO$51)/(DO$52)),IF(AND(Results!$E$5="Volume",$C$54&gt;0,Results!$E$4="Fluid"),((DO21*DO$51)/(DO$54)),IF(AND(Results!$E$4="Cells",Results!$E$5="Million",$B$52="million"),((DO21*DO$51)/(DO$52)),"0")))))</f>
        <v>4.1026499999999997</v>
      </c>
      <c r="DP74" s="20">
        <f>IF(DP21=0,"0",IF(AND(Results!$E$5="Protein",$C$53&gt;0,OR(Results!$E$4="Tissue",Results!$E$4="Cells")),((DP21*DP$51)/(DP$53)),IF(AND(Results!$E$5="Weight",$C$52&gt;0, Results!$E$4="Tissue",OR($B$52="g",$B$52="mg")),((DP21*DP$51)/(DP$52)),IF(AND(Results!$E$5="Volume",$C$54&gt;0,Results!$E$4="Fluid"),((DP21*DP$51)/(DP$54)),IF(AND(Results!$E$4="Cells",Results!$E$5="Million",$B$52="million"),((DP21*DP$51)/(DP$52)),"0")))))</f>
        <v>3.162266666666667</v>
      </c>
      <c r="DQ74" s="20">
        <f>IF(DQ21=0,"0",IF(AND(Results!$E$5="Protein",$C$53&gt;0,OR(Results!$E$4="Tissue",Results!$E$4="Cells")),((DQ21*DQ$51)/(DQ$53)),IF(AND(Results!$E$5="Weight",$C$52&gt;0, Results!$E$4="Tissue",OR($B$52="g",$B$52="mg")),((DQ21*DQ$51)/(DQ$52)),IF(AND(Results!$E$5="Volume",$C$54&gt;0,Results!$E$4="Fluid"),((DQ21*DQ$51)/(DQ$54)),IF(AND(Results!$E$4="Cells",Results!$E$5="Million",$B$52="million"),((DQ21*DQ$51)/(DQ$52)),"0")))))</f>
        <v>1.3182833333333333</v>
      </c>
      <c r="DR74" s="20">
        <f>IF(DR21=0,"0",IF(AND(Results!$E$5="Protein",$C$53&gt;0,OR(Results!$E$4="Tissue",Results!$E$4="Cells")),((DR21*DR$51)/(DR$53)),IF(AND(Results!$E$5="Weight",$C$52&gt;0, Results!$E$4="Tissue",OR($B$52="g",$B$52="mg")),((DR21*DR$51)/(DR$52)),IF(AND(Results!$E$5="Volume",$C$54&gt;0,Results!$E$4="Fluid"),((DR21*DR$51)/(DR$54)),IF(AND(Results!$E$4="Cells",Results!$E$5="Million",$B$52="million"),((DR21*DR$51)/(DR$52)),"0")))))</f>
        <v>0.3843833333333333</v>
      </c>
      <c r="DS74" s="20">
        <f>IF(DS21=0,"0",IF(AND(Results!$E$5="Protein",$C$53&gt;0,OR(Results!$E$4="Tissue",Results!$E$4="Cells")),((DS21*DS$51)/(DS$53)),IF(AND(Results!$E$5="Weight",$C$52&gt;0, Results!$E$4="Tissue",OR($B$52="g",$B$52="mg")),((DS21*DS$51)/(DS$52)),IF(AND(Results!$E$5="Volume",$C$54&gt;0,Results!$E$4="Fluid"),((DS21*DS$51)/(DS$54)),IF(AND(Results!$E$4="Cells",Results!$E$5="Million",$B$52="million"),((DS21*DS$51)/(DS$52)),"0")))))</f>
        <v>0.94391666666666663</v>
      </c>
      <c r="DT74" s="20">
        <f>IF(DT21=0,"0",IF(AND(Results!$E$5="Protein",$C$53&gt;0,OR(Results!$E$4="Tissue",Results!$E$4="Cells")),((DT21*DT$51)/(DT$53)),IF(AND(Results!$E$5="Weight",$C$52&gt;0, Results!$E$4="Tissue",OR($B$52="g",$B$52="mg")),((DT21*DT$51)/(DT$52)),IF(AND(Results!$E$5="Volume",$C$54&gt;0,Results!$E$4="Fluid"),((DT21*DT$51)/(DT$54)),IF(AND(Results!$E$4="Cells",Results!$E$5="Million",$B$52="million"),((DT21*DT$51)/(DT$52)),"0")))))</f>
        <v>0.61043333333333327</v>
      </c>
      <c r="DU74" s="20">
        <f>IF(DU21=0,"0",IF(AND(Results!$E$5="Protein",$C$53&gt;0,OR(Results!$E$4="Tissue",Results!$E$4="Cells")),((DU21*DU$51)/(DU$53)),IF(AND(Results!$E$5="Weight",$C$52&gt;0, Results!$E$4="Tissue",OR($B$52="g",$B$52="mg")),((DU21*DU$51)/(DU$52)),IF(AND(Results!$E$5="Volume",$C$54&gt;0,Results!$E$4="Fluid"),((DU21*DU$51)/(DU$54)),IF(AND(Results!$E$4="Cells",Results!$E$5="Million",$B$52="million"),((DU21*DU$51)/(DU$52)),"0")))))</f>
        <v>3.0274999999999994</v>
      </c>
      <c r="DV74" s="20">
        <f>IF(DV21=0,"0",IF(AND(Results!$E$5="Protein",$C$53&gt;0,OR(Results!$E$4="Tissue",Results!$E$4="Cells")),((DV21*DV$51)/(DV$53)),IF(AND(Results!$E$5="Weight",$C$52&gt;0, Results!$E$4="Tissue",OR($B$52="g",$B$52="mg")),((DV21*DV$51)/(DV$52)),IF(AND(Results!$E$5="Volume",$C$54&gt;0,Results!$E$4="Fluid"),((DV21*DV$51)/(DV$54)),IF(AND(Results!$E$4="Cells",Results!$E$5="Million",$B$52="million"),((DV21*DV$51)/(DV$52)),"0")))))</f>
        <v>1.2035666666666667</v>
      </c>
      <c r="DW74" s="20">
        <f>IF(DW21=0,"0",IF(AND(Results!$E$5="Protein",$C$53&gt;0,OR(Results!$E$4="Tissue",Results!$E$4="Cells")),((DW21*DW$51)/(DW$53)),IF(AND(Results!$E$5="Weight",$C$52&gt;0, Results!$E$4="Tissue",OR($B$52="g",$B$52="mg")),((DW21*DW$51)/(DW$52)),IF(AND(Results!$E$5="Volume",$C$54&gt;0,Results!$E$4="Fluid"),((DW21*DW$51)/(DW$54)),IF(AND(Results!$E$4="Cells",Results!$E$5="Million",$B$52="million"),((DW21*DW$51)/(DW$52)),"0")))))</f>
        <v>0.37911666666666666</v>
      </c>
      <c r="DX74" s="20">
        <f>IF(DX21=0,"0",IF(AND(Results!$E$5="Protein",$C$53&gt;0,OR(Results!$E$4="Tissue",Results!$E$4="Cells")),((DX21*DX$51)/(DX$53)),IF(AND(Results!$E$5="Weight",$C$52&gt;0, Results!$E$4="Tissue",OR($B$52="g",$B$52="mg")),((DX21*DX$51)/(DX$52)),IF(AND(Results!$E$5="Volume",$C$54&gt;0,Results!$E$4="Fluid"),((DX21*DX$51)/(DX$54)),IF(AND(Results!$E$4="Cells",Results!$E$5="Million",$B$52="million"),((DX21*DX$51)/(DX$52)),"0")))))</f>
        <v>1.5260666666666665</v>
      </c>
      <c r="DY74" s="20">
        <f>IF(DY21=0,"0",IF(AND(Results!$E$5="Protein",$C$53&gt;0,OR(Results!$E$4="Tissue",Results!$E$4="Cells")),((DY21*DY$51)/(DY$53)),IF(AND(Results!$E$5="Weight",$C$52&gt;0, Results!$E$4="Tissue",OR($B$52="g",$B$52="mg")),((DY21*DY$51)/(DY$52)),IF(AND(Results!$E$5="Volume",$C$54&gt;0,Results!$E$4="Fluid"),((DY21*DY$51)/(DY$54)),IF(AND(Results!$E$4="Cells",Results!$E$5="Million",$B$52="million"),((DY21*DY$51)/(DY$52)),"0")))))</f>
        <v>0.68130000000000002</v>
      </c>
      <c r="DZ74" s="20">
        <f>IF(DZ21=0,"0",IF(AND(Results!$E$5="Protein",$C$53&gt;0,OR(Results!$E$4="Tissue",Results!$E$4="Cells")),((DZ21*DZ$51)/(DZ$53)),IF(AND(Results!$E$5="Weight",$C$52&gt;0, Results!$E$4="Tissue",OR($B$52="g",$B$52="mg")),((DZ21*DZ$51)/(DZ$52)),IF(AND(Results!$E$5="Volume",$C$54&gt;0,Results!$E$4="Fluid"),((DZ21*DZ$51)/(DZ$54)),IF(AND(Results!$E$4="Cells",Results!$E$5="Million",$B$52="million"),((DZ21*DZ$51)/(DZ$52)),"0")))))</f>
        <v>1.5365666666666666</v>
      </c>
      <c r="EA74" s="20">
        <f>IF(EA21=0,"0",IF(AND(Results!$E$5="Protein",$C$53&gt;0,OR(Results!$E$4="Tissue",Results!$E$4="Cells")),((EA21*EA$51)/(EA$53)),IF(AND(Results!$E$5="Weight",$C$52&gt;0, Results!$E$4="Tissue",OR($B$52="g",$B$52="mg")),((EA21*EA$51)/(EA$52)),IF(AND(Results!$E$5="Volume",$C$54&gt;0,Results!$E$4="Fluid"),((EA21*EA$51)/(EA$54)),IF(AND(Results!$E$4="Cells",Results!$E$5="Million",$B$52="million"),((EA21*EA$51)/(EA$52)),"0")))))</f>
        <v>0.75319999999999987</v>
      </c>
      <c r="EB74" s="20">
        <f>IF(EB21=0,"0",IF(AND(Results!$E$5="Protein",$C$53&gt;0,OR(Results!$E$4="Tissue",Results!$E$4="Cells")),((EB21*EB$51)/(EB$53)),IF(AND(Results!$E$5="Weight",$C$52&gt;0, Results!$E$4="Tissue",OR($B$52="g",$B$52="mg")),((EB21*EB$51)/(EB$52)),IF(AND(Results!$E$5="Volume",$C$54&gt;0,Results!$E$4="Fluid"),((EB21*EB$51)/(EB$54)),IF(AND(Results!$E$4="Cells",Results!$E$5="Million",$B$52="million"),((EB21*EB$51)/(EB$52)),"0")))))</f>
        <v>0.71640000000000004</v>
      </c>
      <c r="EC74" s="20">
        <f>IF(EC21=0,"0",IF(AND(Results!$E$5="Protein",$C$53&gt;0,OR(Results!$E$4="Tissue",Results!$E$4="Cells")),((EC21*EC$51)/(EC$53)),IF(AND(Results!$E$5="Weight",$C$52&gt;0, Results!$E$4="Tissue",OR($B$52="g",$B$52="mg")),((EC21*EC$51)/(EC$52)),IF(AND(Results!$E$5="Volume",$C$54&gt;0,Results!$E$4="Fluid"),((EC21*EC$51)/(EC$54)),IF(AND(Results!$E$4="Cells",Results!$E$5="Million",$B$52="million"),((EC21*EC$51)/(EC$52)),"0")))))</f>
        <v>1.8983166666666667</v>
      </c>
      <c r="ED74" s="20">
        <f>IF(ED21=0,"0",IF(AND(Results!$E$5="Protein",$C$53&gt;0,OR(Results!$E$4="Tissue",Results!$E$4="Cells")),((ED21*ED$51)/(ED$53)),IF(AND(Results!$E$5="Weight",$C$52&gt;0, Results!$E$4="Tissue",OR($B$52="g",$B$52="mg")),((ED21*ED$51)/(ED$52)),IF(AND(Results!$E$5="Volume",$C$54&gt;0,Results!$E$4="Fluid"),((ED21*ED$51)/(ED$54)),IF(AND(Results!$E$4="Cells",Results!$E$5="Million",$B$52="million"),((ED21*ED$51)/(ED$52)),"0")))))</f>
        <v>0.79349999999999998</v>
      </c>
      <c r="EE74" s="20">
        <f>IF(EE21=0,"0",IF(AND(Results!$E$5="Protein",$C$53&gt;0,OR(Results!$E$4="Tissue",Results!$E$4="Cells")),((EE21*EE$51)/(EE$53)),IF(AND(Results!$E$5="Weight",$C$52&gt;0, Results!$E$4="Tissue",OR($B$52="g",$B$52="mg")),((EE21*EE$51)/(EE$52)),IF(AND(Results!$E$5="Volume",$C$54&gt;0,Results!$E$4="Fluid"),((EE21*EE$51)/(EE$54)),IF(AND(Results!$E$4="Cells",Results!$E$5="Million",$B$52="million"),((EE21*EE$51)/(EE$52)),"0")))))</f>
        <v>1.2323999999999999</v>
      </c>
      <c r="EF74" s="20">
        <f>IF(EF21=0,"0",IF(AND(Results!$E$5="Protein",$C$53&gt;0,OR(Results!$E$4="Tissue",Results!$E$4="Cells")),((EF21*EF$51)/(EF$53)),IF(AND(Results!$E$5="Weight",$C$52&gt;0, Results!$E$4="Tissue",OR($B$52="g",$B$52="mg")),((EF21*EF$51)/(EF$52)),IF(AND(Results!$E$5="Volume",$C$54&gt;0,Results!$E$4="Fluid"),((EF21*EF$51)/(EF$54)),IF(AND(Results!$E$4="Cells",Results!$E$5="Million",$B$52="million"),((EF21*EF$51)/(EF$52)),"0")))))</f>
        <v>2.65985</v>
      </c>
      <c r="EG74" s="20">
        <f>IF(EG21=0,"0",IF(AND(Results!$E$5="Protein",$C$53&gt;0,OR(Results!$E$4="Tissue",Results!$E$4="Cells")),((EG21*EG$51)/(EG$53)),IF(AND(Results!$E$5="Weight",$C$52&gt;0, Results!$E$4="Tissue",OR($B$52="g",$B$52="mg")),((EG21*EG$51)/(EG$52)),IF(AND(Results!$E$5="Volume",$C$54&gt;0,Results!$E$4="Fluid"),((EG21*EG$51)/(EG$54)),IF(AND(Results!$E$4="Cells",Results!$E$5="Million",$B$52="million"),((EG21*EG$51)/(EG$52)),"0")))))</f>
        <v>2.0132333333333334</v>
      </c>
      <c r="EH74" s="20">
        <f>IF(EH21=0,"0",IF(AND(Results!$E$5="Protein",$C$53&gt;0,OR(Results!$E$4="Tissue",Results!$E$4="Cells")),((EH21*EH$51)/(EH$53)),IF(AND(Results!$E$5="Weight",$C$52&gt;0, Results!$E$4="Tissue",OR($B$52="g",$B$52="mg")),((EH21*EH$51)/(EH$52)),IF(AND(Results!$E$5="Volume",$C$54&gt;0,Results!$E$4="Fluid"),((EH21*EH$51)/(EH$54)),IF(AND(Results!$E$4="Cells",Results!$E$5="Million",$B$52="million"),((EH21*EH$51)/(EH$52)),"0")))))</f>
        <v>3.7483666666666671</v>
      </c>
      <c r="EI74" s="20">
        <f>IF(EI21=0,"0",IF(AND(Results!$E$5="Protein",$C$53&gt;0,OR(Results!$E$4="Tissue",Results!$E$4="Cells")),((EI21*EI$51)/(EI$53)),IF(AND(Results!$E$5="Weight",$C$52&gt;0, Results!$E$4="Tissue",OR($B$52="g",$B$52="mg")),((EI21*EI$51)/(EI$52)),IF(AND(Results!$E$5="Volume",$C$54&gt;0,Results!$E$4="Fluid"),((EI21*EI$51)/(EI$54)),IF(AND(Results!$E$4="Cells",Results!$E$5="Million",$B$52="million"),((EI21*EI$51)/(EI$52)),"0")))))</f>
        <v>0.3736666666666667</v>
      </c>
      <c r="EJ74" s="20">
        <f>IF(EJ21=0,"0",IF(AND(Results!$E$5="Protein",$C$53&gt;0,OR(Results!$E$4="Tissue",Results!$E$4="Cells")),((EJ21*EJ$51)/(EJ$53)),IF(AND(Results!$E$5="Weight",$C$52&gt;0, Results!$E$4="Tissue",OR($B$52="g",$B$52="mg")),((EJ21*EJ$51)/(EJ$52)),IF(AND(Results!$E$5="Volume",$C$54&gt;0,Results!$E$4="Fluid"),((EJ21*EJ$51)/(EJ$54)),IF(AND(Results!$E$4="Cells",Results!$E$5="Million",$B$52="million"),((EJ21*EJ$51)/(EJ$52)),"0")))))</f>
        <v>0.53664999999999996</v>
      </c>
      <c r="EK74" s="20">
        <f>IF(EK21=0,"0",IF(AND(Results!$E$5="Protein",$C$53&gt;0,OR(Results!$E$4="Tissue",Results!$E$4="Cells")),((EK21*EK$51)/(EK$53)),IF(AND(Results!$E$5="Weight",$C$52&gt;0, Results!$E$4="Tissue",OR($B$52="g",$B$52="mg")),((EK21*EK$51)/(EK$52)),IF(AND(Results!$E$5="Volume",$C$54&gt;0,Results!$E$4="Fluid"),((EK21*EK$51)/(EK$54)),IF(AND(Results!$E$4="Cells",Results!$E$5="Million",$B$52="million"),((EK21*EK$51)/(EK$52)),"0")))))</f>
        <v>1.1930499999999999</v>
      </c>
      <c r="EL74" s="20">
        <f>IF(EL21=0,"0",IF(AND(Results!$E$5="Protein",$C$53&gt;0,OR(Results!$E$4="Tissue",Results!$E$4="Cells")),((EL21*EL$51)/(EL$53)),IF(AND(Results!$E$5="Weight",$C$52&gt;0, Results!$E$4="Tissue",OR($B$52="g",$B$52="mg")),((EL21*EL$51)/(EL$52)),IF(AND(Results!$E$5="Volume",$C$54&gt;0,Results!$E$4="Fluid"),((EL21*EL$51)/(EL$54)),IF(AND(Results!$E$4="Cells",Results!$E$5="Million",$B$52="million"),((EL21*EL$51)/(EL$52)),"0")))))</f>
        <v>3.515333333333333</v>
      </c>
      <c r="EM74" s="20">
        <f>IF(EM21=0,"0",IF(AND(Results!$E$5="Protein",$C$53&gt;0,OR(Results!$E$4="Tissue",Results!$E$4="Cells")),((EM21*EM$51)/(EM$53)),IF(AND(Results!$E$5="Weight",$C$52&gt;0, Results!$E$4="Tissue",OR($B$52="g",$B$52="mg")),((EM21*EM$51)/(EM$52)),IF(AND(Results!$E$5="Volume",$C$54&gt;0,Results!$E$4="Fluid"),((EM21*EM$51)/(EM$54)),IF(AND(Results!$E$4="Cells",Results!$E$5="Million",$B$52="million"),((EM21*EM$51)/(EM$52)),"0")))))</f>
        <v>0.19061666666666666</v>
      </c>
      <c r="EN74" s="20">
        <f>IF(EN21=0,"0",IF(AND(Results!$E$5="Protein",$C$53&gt;0,OR(Results!$E$4="Tissue",Results!$E$4="Cells")),((EN21*EN$51)/(EN$53)),IF(AND(Results!$E$5="Weight",$C$52&gt;0, Results!$E$4="Tissue",OR($B$52="g",$B$52="mg")),((EN21*EN$51)/(EN$52)),IF(AND(Results!$E$5="Volume",$C$54&gt;0,Results!$E$4="Fluid"),((EN21*EN$51)/(EN$54)),IF(AND(Results!$E$4="Cells",Results!$E$5="Million",$B$52="million"),((EN21*EN$51)/(EN$52)),"0")))))</f>
        <v>6.6026500000000006</v>
      </c>
      <c r="EO74" s="20">
        <f>IF(EO21=0,"0",IF(AND(Results!$E$5="Protein",$C$53&gt;0,OR(Results!$E$4="Tissue",Results!$E$4="Cells")),((EO21*EO$51)/(EO$53)),IF(AND(Results!$E$5="Weight",$C$52&gt;0, Results!$E$4="Tissue",OR($B$52="g",$B$52="mg")),((EO21*EO$51)/(EO$52)),IF(AND(Results!$E$5="Volume",$C$54&gt;0,Results!$E$4="Fluid"),((EO21*EO$51)/(EO$54)),IF(AND(Results!$E$4="Cells",Results!$E$5="Million",$B$52="million"),((EO21*EO$51)/(EO$52)),"0")))))</f>
        <v>0.72756666666666669</v>
      </c>
      <c r="EP74" s="20">
        <f>IF(EP21=0,"0",IF(AND(Results!$E$5="Protein",$C$53&gt;0,OR(Results!$E$4="Tissue",Results!$E$4="Cells")),((EP21*EP$51)/(EP$53)),IF(AND(Results!$E$5="Weight",$C$52&gt;0, Results!$E$4="Tissue",OR($B$52="g",$B$52="mg")),((EP21*EP$51)/(EP$52)),IF(AND(Results!$E$5="Volume",$C$54&gt;0,Results!$E$4="Fluid"),((EP21*EP$51)/(EP$54)),IF(AND(Results!$E$4="Cells",Results!$E$5="Million",$B$52="million"),((EP21*EP$51)/(EP$52)),"0")))))</f>
        <v>2.8988500000000004</v>
      </c>
      <c r="EQ74" s="20">
        <f>IF(EQ21=0,"0",IF(AND(Results!$E$5="Protein",$C$53&gt;0,OR(Results!$E$4="Tissue",Results!$E$4="Cells")),((EQ21*EQ$51)/(EQ$53)),IF(AND(Results!$E$5="Weight",$C$52&gt;0, Results!$E$4="Tissue",OR($B$52="g",$B$52="mg")),((EQ21*EQ$51)/(EQ$52)),IF(AND(Results!$E$5="Volume",$C$54&gt;0,Results!$E$4="Fluid"),((EQ21*EQ$51)/(EQ$54)),IF(AND(Results!$E$4="Cells",Results!$E$5="Million",$B$52="million"),((EQ21*EQ$51)/(EQ$52)),"0")))))</f>
        <v>0.82565</v>
      </c>
      <c r="ER74" s="20">
        <f>IF(ER21=0,"0",IF(AND(Results!$E$5="Protein",$C$53&gt;0,OR(Results!$E$4="Tissue",Results!$E$4="Cells")),((ER21*ER$51)/(ER$53)),IF(AND(Results!$E$5="Weight",$C$52&gt;0, Results!$E$4="Tissue",OR($B$52="g",$B$52="mg")),((ER21*ER$51)/(ER$52)),IF(AND(Results!$E$5="Volume",$C$54&gt;0,Results!$E$4="Fluid"),((ER21*ER$51)/(ER$54)),IF(AND(Results!$E$4="Cells",Results!$E$5="Million",$B$52="million"),((ER21*ER$51)/(ER$52)),"0")))))</f>
        <v>0.39766666666666667</v>
      </c>
      <c r="ES74" s="20">
        <f>IF(ES21=0,"0",IF(AND(Results!$E$5="Protein",$C$53&gt;0,OR(Results!$E$4="Tissue",Results!$E$4="Cells")),((ES21*ES$51)/(ES$53)),IF(AND(Results!$E$5="Weight",$C$52&gt;0, Results!$E$4="Tissue",OR($B$52="g",$B$52="mg")),((ES21*ES$51)/(ES$52)),IF(AND(Results!$E$5="Volume",$C$54&gt;0,Results!$E$4="Fluid"),((ES21*ES$51)/(ES$54)),IF(AND(Results!$E$4="Cells",Results!$E$5="Million",$B$52="million"),((ES21*ES$51)/(ES$52)),"0")))))</f>
        <v>1.1470833333333335</v>
      </c>
      <c r="ET74" s="20">
        <f>IF(ET21=0,"0",IF(AND(Results!$E$5="Protein",$C$53&gt;0,OR(Results!$E$4="Tissue",Results!$E$4="Cells")),((ET21*ET$51)/(ET$53)),IF(AND(Results!$E$5="Weight",$C$52&gt;0, Results!$E$4="Tissue",OR($B$52="g",$B$52="mg")),((ET21*ET$51)/(ET$52)),IF(AND(Results!$E$5="Volume",$C$54&gt;0,Results!$E$4="Fluid"),((ET21*ET$51)/(ET$54)),IF(AND(Results!$E$4="Cells",Results!$E$5="Million",$B$52="million"),((ET21*ET$51)/(ET$52)),"0")))))</f>
        <v>3.4865333333333335</v>
      </c>
      <c r="EU74" s="20">
        <f>IF(EU21=0,"0",IF(AND(Results!$E$5="Protein",$C$53&gt;0,OR(Results!$E$4="Tissue",Results!$E$4="Cells")),((EU21*EU$51)/(EU$53)),IF(AND(Results!$E$5="Weight",$C$52&gt;0, Results!$E$4="Tissue",OR($B$52="g",$B$52="mg")),((EU21*EU$51)/(EU$52)),IF(AND(Results!$E$5="Volume",$C$54&gt;0,Results!$E$4="Fluid"),((EU21*EU$51)/(EU$54)),IF(AND(Results!$E$4="Cells",Results!$E$5="Million",$B$52="million"),((EU21*EU$51)/(EU$52)),"0")))))</f>
        <v>1.3916666666666666</v>
      </c>
      <c r="EV74" s="20">
        <f>IF(EV21=0,"0",IF(AND(Results!$E$5="Protein",$C$53&gt;0,OR(Results!$E$4="Tissue",Results!$E$4="Cells")),((EV21*EV$51)/(EV$53)),IF(AND(Results!$E$5="Weight",$C$52&gt;0, Results!$E$4="Tissue",OR($B$52="g",$B$52="mg")),((EV21*EV$51)/(EV$52)),IF(AND(Results!$E$5="Volume",$C$54&gt;0,Results!$E$4="Fluid"),((EV21*EV$51)/(EV$54)),IF(AND(Results!$E$4="Cells",Results!$E$5="Million",$B$52="million"),((EV21*EV$51)/(EV$52)),"0")))))</f>
        <v>2.6642166666666669</v>
      </c>
      <c r="EW74" s="20">
        <f>IF(EW21=0,"0",IF(AND(Results!$E$5="Protein",$C$53&gt;0,OR(Results!$E$4="Tissue",Results!$E$4="Cells")),((EW21*EW$51)/(EW$53)),IF(AND(Results!$E$5="Weight",$C$52&gt;0, Results!$E$4="Tissue",OR($B$52="g",$B$52="mg")),((EW21*EW$51)/(EW$52)),IF(AND(Results!$E$5="Volume",$C$54&gt;0,Results!$E$4="Fluid"),((EW21*EW$51)/(EW$54)),IF(AND(Results!$E$4="Cells",Results!$E$5="Million",$B$52="million"),((EW21*EW$51)/(EW$52)),"0")))))</f>
        <v>0.53015000000000001</v>
      </c>
      <c r="EX74" s="20">
        <f>IF(EX21=0,"0",IF(AND(Results!$E$5="Protein",$C$53&gt;0,OR(Results!$E$4="Tissue",Results!$E$4="Cells")),((EX21*EX$51)/(EX$53)),IF(AND(Results!$E$5="Weight",$C$52&gt;0, Results!$E$4="Tissue",OR($B$52="g",$B$52="mg")),((EX21*EX$51)/(EX$52)),IF(AND(Results!$E$5="Volume",$C$54&gt;0,Results!$E$4="Fluid"),((EX21*EX$51)/(EX$54)),IF(AND(Results!$E$4="Cells",Results!$E$5="Million",$B$52="million"),((EX21*EX$51)/(EX$52)),"0")))))</f>
        <v>1.6353499999999999</v>
      </c>
      <c r="EY74" s="20">
        <f>IF(EY21=0,"0",IF(AND(Results!$E$5="Protein",$C$53&gt;0,OR(Results!$E$4="Tissue",Results!$E$4="Cells")),((EY21*EY$51)/(EY$53)),IF(AND(Results!$E$5="Weight",$C$52&gt;0, Results!$E$4="Tissue",OR($B$52="g",$B$52="mg")),((EY21*EY$51)/(EY$52)),IF(AND(Results!$E$5="Volume",$C$54&gt;0,Results!$E$4="Fluid"),((EY21*EY$51)/(EY$54)),IF(AND(Results!$E$4="Cells",Results!$E$5="Million",$B$52="million"),((EY21*EY$51)/(EY$52)),"0")))))</f>
        <v>0.79088333333333338</v>
      </c>
      <c r="EZ74" s="20">
        <f>IF(EZ21=0,"0",IF(AND(Results!$E$5="Protein",$C$53&gt;0,OR(Results!$E$4="Tissue",Results!$E$4="Cells")),((EZ21*EZ$51)/(EZ$53)),IF(AND(Results!$E$5="Weight",$C$52&gt;0, Results!$E$4="Tissue",OR($B$52="g",$B$52="mg")),((EZ21*EZ$51)/(EZ$52)),IF(AND(Results!$E$5="Volume",$C$54&gt;0,Results!$E$4="Fluid"),((EZ21*EZ$51)/(EZ$54)),IF(AND(Results!$E$4="Cells",Results!$E$5="Million",$B$52="million"),((EZ21*EZ$51)/(EZ$52)),"0")))))</f>
        <v>1.1988666666666667</v>
      </c>
      <c r="FA74" s="20">
        <f>IF(FA21=0,"0",IF(AND(Results!$E$5="Protein",$C$53&gt;0,OR(Results!$E$4="Tissue",Results!$E$4="Cells")),((FA21*FA$51)/(FA$53)),IF(AND(Results!$E$5="Weight",$C$52&gt;0, Results!$E$4="Tissue",OR($B$52="g",$B$52="mg")),((FA21*FA$51)/(FA$52)),IF(AND(Results!$E$5="Volume",$C$54&gt;0,Results!$E$4="Fluid"),((FA21*FA$51)/(FA$54)),IF(AND(Results!$E$4="Cells",Results!$E$5="Million",$B$52="million"),((FA21*FA$51)/(FA$52)),"0")))))</f>
        <v>0.20331666666666667</v>
      </c>
      <c r="FB74" s="20">
        <f>IF(FB21=0,"0",IF(AND(Results!$E$5="Protein",$C$53&gt;0,OR(Results!$E$4="Tissue",Results!$E$4="Cells")),((FB21*FB$51)/(FB$53)),IF(AND(Results!$E$5="Weight",$C$52&gt;0, Results!$E$4="Tissue",OR($B$52="g",$B$52="mg")),((FB21*FB$51)/(FB$52)),IF(AND(Results!$E$5="Volume",$C$54&gt;0,Results!$E$4="Fluid"),((FB21*FB$51)/(FB$54)),IF(AND(Results!$E$4="Cells",Results!$E$5="Million",$B$52="million"),((FB21*FB$51)/(FB$52)),"0")))))</f>
        <v>0.95839999999999992</v>
      </c>
      <c r="FC74" s="20">
        <f>IF(FC21=0,"0",IF(AND(Results!$E$5="Protein",$C$53&gt;0,OR(Results!$E$4="Tissue",Results!$E$4="Cells")),((FC21*FC$51)/(FC$53)),IF(AND(Results!$E$5="Weight",$C$52&gt;0, Results!$E$4="Tissue",OR($B$52="g",$B$52="mg")),((FC21*FC$51)/(FC$52)),IF(AND(Results!$E$5="Volume",$C$54&gt;0,Results!$E$4="Fluid"),((FC21*FC$51)/(FC$54)),IF(AND(Results!$E$4="Cells",Results!$E$5="Million",$B$52="million"),((FC21*FC$51)/(FC$52)),"0")))))</f>
        <v>0.32028333333333331</v>
      </c>
      <c r="FD74" s="20">
        <f>IF(FD21=0,"0",IF(AND(Results!$E$5="Protein",$C$53&gt;0,OR(Results!$E$4="Tissue",Results!$E$4="Cells")),((FD21*FD$51)/(FD$53)),IF(AND(Results!$E$5="Weight",$C$52&gt;0, Results!$E$4="Tissue",OR($B$52="g",$B$52="mg")),((FD21*FD$51)/(FD$52)),IF(AND(Results!$E$5="Volume",$C$54&gt;0,Results!$E$4="Fluid"),((FD21*FD$51)/(FD$54)),IF(AND(Results!$E$4="Cells",Results!$E$5="Million",$B$52="million"),((FD21*FD$51)/(FD$52)),"0")))))</f>
        <v>3.9123000000000001</v>
      </c>
      <c r="FE74" s="20">
        <f>IF(FE21=0,"0",IF(AND(Results!$E$5="Protein",$C$53&gt;0,OR(Results!$E$4="Tissue",Results!$E$4="Cells")),((FE21*FE$51)/(FE$53)),IF(AND(Results!$E$5="Weight",$C$52&gt;0, Results!$E$4="Tissue",OR($B$52="g",$B$52="mg")),((FE21*FE$51)/(FE$52)),IF(AND(Results!$E$5="Volume",$C$54&gt;0,Results!$E$4="Fluid"),((FE21*FE$51)/(FE$54)),IF(AND(Results!$E$4="Cells",Results!$E$5="Million",$B$52="million"),((FE21*FE$51)/(FE$52)),"0")))))</f>
        <v>1.2454500000000002</v>
      </c>
      <c r="FF74" s="20">
        <f>IF(FF21=0,"0",IF(AND(Results!$E$5="Protein",$C$53&gt;0,OR(Results!$E$4="Tissue",Results!$E$4="Cells")),((FF21*FF$51)/(FF$53)),IF(AND(Results!$E$5="Weight",$C$52&gt;0, Results!$E$4="Tissue",OR($B$52="g",$B$52="mg")),((FF21*FF$51)/(FF$52)),IF(AND(Results!$E$5="Volume",$C$54&gt;0,Results!$E$4="Fluid"),((FF21*FF$51)/(FF$54)),IF(AND(Results!$E$4="Cells",Results!$E$5="Million",$B$52="million"),((FF21*FF$51)/(FF$52)),"0")))))</f>
        <v>1.6130833333333332</v>
      </c>
      <c r="FG74" s="20">
        <f>IF(FG21=0,"0",IF(AND(Results!$E$5="Protein",$C$53&gt;0,OR(Results!$E$4="Tissue",Results!$E$4="Cells")),((FG21*FG$51)/(FG$53)),IF(AND(Results!$E$5="Weight",$C$52&gt;0, Results!$E$4="Tissue",OR($B$52="g",$B$52="mg")),((FG21*FG$51)/(FG$52)),IF(AND(Results!$E$5="Volume",$C$54&gt;0,Results!$E$4="Fluid"),((FG21*FG$51)/(FG$54)),IF(AND(Results!$E$4="Cells",Results!$E$5="Million",$B$52="million"),((FG21*FG$51)/(FG$52)),"0")))))</f>
        <v>0.57353333333333334</v>
      </c>
      <c r="FH74" s="20">
        <f>IF(FH21=0,"0",IF(AND(Results!$E$5="Protein",$C$53&gt;0,OR(Results!$E$4="Tissue",Results!$E$4="Cells")),((FH21*FH$51)/(FH$53)),IF(AND(Results!$E$5="Weight",$C$52&gt;0, Results!$E$4="Tissue",OR($B$52="g",$B$52="mg")),((FH21*FH$51)/(FH$52)),IF(AND(Results!$E$5="Volume",$C$54&gt;0,Results!$E$4="Fluid"),((FH21*FH$51)/(FH$54)),IF(AND(Results!$E$4="Cells",Results!$E$5="Million",$B$52="million"),((FH21*FH$51)/(FH$52)),"0")))))</f>
        <v>1.2690166666666665</v>
      </c>
      <c r="FI74" s="20">
        <f>IF(FI21=0,"0",IF(AND(Results!$E$5="Protein",$C$53&gt;0,OR(Results!$E$4="Tissue",Results!$E$4="Cells")),((FI21*FI$51)/(FI$53)),IF(AND(Results!$E$5="Weight",$C$52&gt;0, Results!$E$4="Tissue",OR($B$52="g",$B$52="mg")),((FI21*FI$51)/(FI$52)),IF(AND(Results!$E$5="Volume",$C$54&gt;0,Results!$E$4="Fluid"),((FI21*FI$51)/(FI$54)),IF(AND(Results!$E$4="Cells",Results!$E$5="Million",$B$52="million"),((FI21*FI$51)/(FI$52)),"0")))))</f>
        <v>9.3750666666666671</v>
      </c>
      <c r="FJ74" s="20">
        <f>IF(FJ21=0,"0",IF(AND(Results!$E$5="Protein",$C$53&gt;0,OR(Results!$E$4="Tissue",Results!$E$4="Cells")),((FJ21*FJ$51)/(FJ$53)),IF(AND(Results!$E$5="Weight",$C$52&gt;0, Results!$E$4="Tissue",OR($B$52="g",$B$52="mg")),((FJ21*FJ$51)/(FJ$52)),IF(AND(Results!$E$5="Volume",$C$54&gt;0,Results!$E$4="Fluid"),((FJ21*FJ$51)/(FJ$54)),IF(AND(Results!$E$4="Cells",Results!$E$5="Million",$B$52="million"),((FJ21*FJ$51)/(FJ$52)),"0")))))</f>
        <v>2.0926499999999999</v>
      </c>
      <c r="FK74" s="20">
        <f>IF(FK21=0,"0",IF(AND(Results!$E$5="Protein",$C$53&gt;0,OR(Results!$E$4="Tissue",Results!$E$4="Cells")),((FK21*FK$51)/(FK$53)),IF(AND(Results!$E$5="Weight",$C$52&gt;0, Results!$E$4="Tissue",OR($B$52="g",$B$52="mg")),((FK21*FK$51)/(FK$52)),IF(AND(Results!$E$5="Volume",$C$54&gt;0,Results!$E$4="Fluid"),((FK21*FK$51)/(FK$54)),IF(AND(Results!$E$4="Cells",Results!$E$5="Million",$B$52="million"),((FK21*FK$51)/(FK$52)),"0")))))</f>
        <v>0.36200000000000004</v>
      </c>
      <c r="FL74" s="20">
        <f>IF(FL21=0,"0",IF(AND(Results!$E$5="Protein",$C$53&gt;0,OR(Results!$E$4="Tissue",Results!$E$4="Cells")),((FL21*FL$51)/(FL$53)),IF(AND(Results!$E$5="Weight",$C$52&gt;0, Results!$E$4="Tissue",OR($B$52="g",$B$52="mg")),((FL21*FL$51)/(FL$52)),IF(AND(Results!$E$5="Volume",$C$54&gt;0,Results!$E$4="Fluid"),((FL21*FL$51)/(FL$54)),IF(AND(Results!$E$4="Cells",Results!$E$5="Million",$B$52="million"),((FL21*FL$51)/(FL$52)),"0")))))</f>
        <v>0.21674999999999997</v>
      </c>
      <c r="FM74" s="20">
        <f>IF(FM21=0,"0",IF(AND(Results!$E$5="Protein",$C$53&gt;0,OR(Results!$E$4="Tissue",Results!$E$4="Cells")),((FM21*FM$51)/(FM$53)),IF(AND(Results!$E$5="Weight",$C$52&gt;0, Results!$E$4="Tissue",OR($B$52="g",$B$52="mg")),((FM21*FM$51)/(FM$52)),IF(AND(Results!$E$5="Volume",$C$54&gt;0,Results!$E$4="Fluid"),((FM21*FM$51)/(FM$54)),IF(AND(Results!$E$4="Cells",Results!$E$5="Million",$B$52="million"),((FM21*FM$51)/(FM$52)),"0")))))</f>
        <v>0.37361666666666665</v>
      </c>
      <c r="FN74" s="20">
        <f>IF(FN21=0,"0",IF(AND(Results!$E$5="Protein",$C$53&gt;0,OR(Results!$E$4="Tissue",Results!$E$4="Cells")),((FN21*FN$51)/(FN$53)),IF(AND(Results!$E$5="Weight",$C$52&gt;0, Results!$E$4="Tissue",OR($B$52="g",$B$52="mg")),((FN21*FN$51)/(FN$52)),IF(AND(Results!$E$5="Volume",$C$54&gt;0,Results!$E$4="Fluid"),((FN21*FN$51)/(FN$54)),IF(AND(Results!$E$4="Cells",Results!$E$5="Million",$B$52="million"),((FN21*FN$51)/(FN$52)),"0")))))</f>
        <v>1.5116000000000001</v>
      </c>
      <c r="FO74" s="20">
        <f>IF(FO21=0,"0",IF(AND(Results!$E$5="Protein",$C$53&gt;0,OR(Results!$E$4="Tissue",Results!$E$4="Cells")),((FO21*FO$51)/(FO$53)),IF(AND(Results!$E$5="Weight",$C$52&gt;0, Results!$E$4="Tissue",OR($B$52="g",$B$52="mg")),((FO21*FO$51)/(FO$52)),IF(AND(Results!$E$5="Volume",$C$54&gt;0,Results!$E$4="Fluid"),((FO21*FO$51)/(FO$54)),IF(AND(Results!$E$4="Cells",Results!$E$5="Million",$B$52="million"),((FO21*FO$51)/(FO$52)),"0")))))</f>
        <v>0.18694999999999998</v>
      </c>
    </row>
    <row r="75" spans="1:171" x14ac:dyDescent="0.2">
      <c r="A75" s="120" t="str">
        <f t="shared" si="0"/>
        <v xml:space="preserve">LTB4 </v>
      </c>
      <c r="B75" s="121"/>
      <c r="C75" s="20" t="str">
        <f>IF(C22=0,"0",IF(AND(Results!$E$5="Protein",$C$53&gt;0,OR(Results!$E$4="Tissue",Results!$E$4="Cells")),((C22*C$51)/(C$53)),IF(AND(Results!$E$5="Weight",$C$52&gt;0, Results!$E$4="Tissue",OR($B$52="g",$B$52="mg")),((C22*C$51)/(C$52)),IF(AND(Results!$E$5="Volume",$C$54&gt;0,Results!$E$4="Fluid"),((C22*C$51)/(C$54)),IF(AND(Results!$E$4="Cells",Results!$E$5="Million",$B$52="million"),((C22*C$51)/(C$52)),"0")))))</f>
        <v>0</v>
      </c>
      <c r="D75" s="20" t="str">
        <f>IF(D22=0,"0",IF(AND(Results!$E$5="Protein",$C$53&gt;0,OR(Results!$E$4="Tissue",Results!$E$4="Cells")),((D22*D$51)/(D$53)),IF(AND(Results!$E$5="Weight",$C$52&gt;0, Results!$E$4="Tissue",OR($B$52="g",$B$52="mg")),((D22*D$51)/(D$52)),IF(AND(Results!$E$5="Volume",$C$54&gt;0,Results!$E$4="Fluid"),((D22*D$51)/(D$54)),IF(AND(Results!$E$4="Cells",Results!$E$5="Million",$B$52="million"),((D22*D$51)/(D$52)),"0")))))</f>
        <v>0</v>
      </c>
      <c r="E75" s="20" t="str">
        <f>IF(E22=0,"0",IF(AND(Results!$E$5="Protein",$C$53&gt;0,OR(Results!$E$4="Tissue",Results!$E$4="Cells")),((E22*E$51)/(E$53)),IF(AND(Results!$E$5="Weight",$C$52&gt;0, Results!$E$4="Tissue",OR($B$52="g",$B$52="mg")),((E22*E$51)/(E$52)),IF(AND(Results!$E$5="Volume",$C$54&gt;0,Results!$E$4="Fluid"),((E22*E$51)/(E$54)),IF(AND(Results!$E$4="Cells",Results!$E$5="Million",$B$52="million"),((E22*E$51)/(E$52)),"0")))))</f>
        <v>0</v>
      </c>
      <c r="F75" s="20" t="str">
        <f>IF(F22=0,"0",IF(AND(Results!$E$5="Protein",$C$53&gt;0,OR(Results!$E$4="Tissue",Results!$E$4="Cells")),((F22*F$51)/(F$53)),IF(AND(Results!$E$5="Weight",$C$52&gt;0, Results!$E$4="Tissue",OR($B$52="g",$B$52="mg")),((F22*F$51)/(F$52)),IF(AND(Results!$E$5="Volume",$C$54&gt;0,Results!$E$4="Fluid"),((F22*F$51)/(F$54)),IF(AND(Results!$E$4="Cells",Results!$E$5="Million",$B$52="million"),((F22*F$51)/(F$52)),"0")))))</f>
        <v>0</v>
      </c>
      <c r="G75" s="20" t="str">
        <f>IF(G22=0,"0",IF(AND(Results!$E$5="Protein",$C$53&gt;0,OR(Results!$E$4="Tissue",Results!$E$4="Cells")),((G22*G$51)/(G$53)),IF(AND(Results!$E$5="Weight",$C$52&gt;0, Results!$E$4="Tissue",OR($B$52="g",$B$52="mg")),((G22*G$51)/(G$52)),IF(AND(Results!$E$5="Volume",$C$54&gt;0,Results!$E$4="Fluid"),((G22*G$51)/(G$54)),IF(AND(Results!$E$4="Cells",Results!$E$5="Million",$B$52="million"),((G22*G$51)/(G$52)),"0")))))</f>
        <v>0</v>
      </c>
      <c r="H75" s="20" t="str">
        <f>IF(H22=0,"0",IF(AND(Results!$E$5="Protein",$C$53&gt;0,OR(Results!$E$4="Tissue",Results!$E$4="Cells")),((H22*H$51)/(H$53)),IF(AND(Results!$E$5="Weight",$C$52&gt;0, Results!$E$4="Tissue",OR($B$52="g",$B$52="mg")),((H22*H$51)/(H$52)),IF(AND(Results!$E$5="Volume",$C$54&gt;0,Results!$E$4="Fluid"),((H22*H$51)/(H$54)),IF(AND(Results!$E$4="Cells",Results!$E$5="Million",$B$52="million"),((H22*H$51)/(H$52)),"0")))))</f>
        <v>0</v>
      </c>
      <c r="I75" s="20" t="str">
        <f>IF(I22=0,"0",IF(AND(Results!$E$5="Protein",$C$53&gt;0,OR(Results!$E$4="Tissue",Results!$E$4="Cells")),((I22*I$51)/(I$53)),IF(AND(Results!$E$5="Weight",$C$52&gt;0, Results!$E$4="Tissue",OR($B$52="g",$B$52="mg")),((I22*I$51)/(I$52)),IF(AND(Results!$E$5="Volume",$C$54&gt;0,Results!$E$4="Fluid"),((I22*I$51)/(I$54)),IF(AND(Results!$E$4="Cells",Results!$E$5="Million",$B$52="million"),((I22*I$51)/(I$52)),"0")))))</f>
        <v>0</v>
      </c>
      <c r="J75" s="20" t="str">
        <f>IF(J22=0,"0",IF(AND(Results!$E$5="Protein",$C$53&gt;0,OR(Results!$E$4="Tissue",Results!$E$4="Cells")),((J22*J$51)/(J$53)),IF(AND(Results!$E$5="Weight",$C$52&gt;0, Results!$E$4="Tissue",OR($B$52="g",$B$52="mg")),((J22*J$51)/(J$52)),IF(AND(Results!$E$5="Volume",$C$54&gt;0,Results!$E$4="Fluid"),((J22*J$51)/(J$54)),IF(AND(Results!$E$4="Cells",Results!$E$5="Million",$B$52="million"),((J22*J$51)/(J$52)),"0")))))</f>
        <v>0</v>
      </c>
      <c r="K75" s="20" t="str">
        <f>IF(K22=0,"0",IF(AND(Results!$E$5="Protein",$C$53&gt;0,OR(Results!$E$4="Tissue",Results!$E$4="Cells")),((K22*K$51)/(K$53)),IF(AND(Results!$E$5="Weight",$C$52&gt;0, Results!$E$4="Tissue",OR($B$52="g",$B$52="mg")),((K22*K$51)/(K$52)),IF(AND(Results!$E$5="Volume",$C$54&gt;0,Results!$E$4="Fluid"),((K22*K$51)/(K$54)),IF(AND(Results!$E$4="Cells",Results!$E$5="Million",$B$52="million"),((K22*K$51)/(K$52)),"0")))))</f>
        <v>0</v>
      </c>
      <c r="L75" s="20" t="str">
        <f>IF(L22=0,"0",IF(AND(Results!$E$5="Protein",$C$53&gt;0,OR(Results!$E$4="Tissue",Results!$E$4="Cells")),((L22*L$51)/(L$53)),IF(AND(Results!$E$5="Weight",$C$52&gt;0, Results!$E$4="Tissue",OR($B$52="g",$B$52="mg")),((L22*L$51)/(L$52)),IF(AND(Results!$E$5="Volume",$C$54&gt;0,Results!$E$4="Fluid"),((L22*L$51)/(L$54)),IF(AND(Results!$E$4="Cells",Results!$E$5="Million",$B$52="million"),((L22*L$51)/(L$52)),"0")))))</f>
        <v>0</v>
      </c>
      <c r="M75" s="20" t="str">
        <f>IF(M22=0,"0",IF(AND(Results!$E$5="Protein",$C$53&gt;0,OR(Results!$E$4="Tissue",Results!$E$4="Cells")),((M22*M$51)/(M$53)),IF(AND(Results!$E$5="Weight",$C$52&gt;0, Results!$E$4="Tissue",OR($B$52="g",$B$52="mg")),((M22*M$51)/(M$52)),IF(AND(Results!$E$5="Volume",$C$54&gt;0,Results!$E$4="Fluid"),((M22*M$51)/(M$54)),IF(AND(Results!$E$4="Cells",Results!$E$5="Million",$B$52="million"),((M22*M$51)/(M$52)),"0")))))</f>
        <v>0</v>
      </c>
      <c r="N75" s="20" t="str">
        <f>IF(N22=0,"0",IF(AND(Results!$E$5="Protein",$C$53&gt;0,OR(Results!$E$4="Tissue",Results!$E$4="Cells")),((N22*N$51)/(N$53)),IF(AND(Results!$E$5="Weight",$C$52&gt;0, Results!$E$4="Tissue",OR($B$52="g",$B$52="mg")),((N22*N$51)/(N$52)),IF(AND(Results!$E$5="Volume",$C$54&gt;0,Results!$E$4="Fluid"),((N22*N$51)/(N$54)),IF(AND(Results!$E$4="Cells",Results!$E$5="Million",$B$52="million"),((N22*N$51)/(N$52)),"0")))))</f>
        <v>0</v>
      </c>
      <c r="O75" s="20" t="str">
        <f>IF(O22=0,"0",IF(AND(Results!$E$5="Protein",$C$53&gt;0,OR(Results!$E$4="Tissue",Results!$E$4="Cells")),((O22*O$51)/(O$53)),IF(AND(Results!$E$5="Weight",$C$52&gt;0, Results!$E$4="Tissue",OR($B$52="g",$B$52="mg")),((O22*O$51)/(O$52)),IF(AND(Results!$E$5="Volume",$C$54&gt;0,Results!$E$4="Fluid"),((O22*O$51)/(O$54)),IF(AND(Results!$E$4="Cells",Results!$E$5="Million",$B$52="million"),((O22*O$51)/(O$52)),"0")))))</f>
        <v>0</v>
      </c>
      <c r="P75" s="20" t="str">
        <f>IF(P22=0,"0",IF(AND(Results!$E$5="Protein",$C$53&gt;0,OR(Results!$E$4="Tissue",Results!$E$4="Cells")),((P22*P$51)/(P$53)),IF(AND(Results!$E$5="Weight",$C$52&gt;0, Results!$E$4="Tissue",OR($B$52="g",$B$52="mg")),((P22*P$51)/(P$52)),IF(AND(Results!$E$5="Volume",$C$54&gt;0,Results!$E$4="Fluid"),((P22*P$51)/(P$54)),IF(AND(Results!$E$4="Cells",Results!$E$5="Million",$B$52="million"),((P22*P$51)/(P$52)),"0")))))</f>
        <v>0</v>
      </c>
      <c r="Q75" s="20" t="str">
        <f>IF(Q22=0,"0",IF(AND(Results!$E$5="Protein",$C$53&gt;0,OR(Results!$E$4="Tissue",Results!$E$4="Cells")),((Q22*Q$51)/(Q$53)),IF(AND(Results!$E$5="Weight",$C$52&gt;0, Results!$E$4="Tissue",OR($B$52="g",$B$52="mg")),((Q22*Q$51)/(Q$52)),IF(AND(Results!$E$5="Volume",$C$54&gt;0,Results!$E$4="Fluid"),((Q22*Q$51)/(Q$54)),IF(AND(Results!$E$4="Cells",Results!$E$5="Million",$B$52="million"),((Q22*Q$51)/(Q$52)),"0")))))</f>
        <v>0</v>
      </c>
      <c r="R75" s="20" t="str">
        <f>IF(R22=0,"0",IF(AND(Results!$E$5="Protein",$C$53&gt;0,OR(Results!$E$4="Tissue",Results!$E$4="Cells")),((R22*R$51)/(R$53)),IF(AND(Results!$E$5="Weight",$C$52&gt;0, Results!$E$4="Tissue",OR($B$52="g",$B$52="mg")),((R22*R$51)/(R$52)),IF(AND(Results!$E$5="Volume",$C$54&gt;0,Results!$E$4="Fluid"),((R22*R$51)/(R$54)),IF(AND(Results!$E$4="Cells",Results!$E$5="Million",$B$52="million"),((R22*R$51)/(R$52)),"0")))))</f>
        <v>0</v>
      </c>
      <c r="S75" s="20" t="str">
        <f>IF(S22=0,"0",IF(AND(Results!$E$5="Protein",$C$53&gt;0,OR(Results!$E$4="Tissue",Results!$E$4="Cells")),((S22*S$51)/(S$53)),IF(AND(Results!$E$5="Weight",$C$52&gt;0, Results!$E$4="Tissue",OR($B$52="g",$B$52="mg")),((S22*S$51)/(S$52)),IF(AND(Results!$E$5="Volume",$C$54&gt;0,Results!$E$4="Fluid"),((S22*S$51)/(S$54)),IF(AND(Results!$E$4="Cells",Results!$E$5="Million",$B$52="million"),((S22*S$51)/(S$52)),"0")))))</f>
        <v>0</v>
      </c>
      <c r="T75" s="20" t="str">
        <f>IF(T22=0,"0",IF(AND(Results!$E$5="Protein",$C$53&gt;0,OR(Results!$E$4="Tissue",Results!$E$4="Cells")),((T22*T$51)/(T$53)),IF(AND(Results!$E$5="Weight",$C$52&gt;0, Results!$E$4="Tissue",OR($B$52="g",$B$52="mg")),((T22*T$51)/(T$52)),IF(AND(Results!$E$5="Volume",$C$54&gt;0,Results!$E$4="Fluid"),((T22*T$51)/(T$54)),IF(AND(Results!$E$4="Cells",Results!$E$5="Million",$B$52="million"),((T22*T$51)/(T$52)),"0")))))</f>
        <v>0</v>
      </c>
      <c r="U75" s="20" t="str">
        <f>IF(U22=0,"0",IF(AND(Results!$E$5="Protein",$C$53&gt;0,OR(Results!$E$4="Tissue",Results!$E$4="Cells")),((U22*U$51)/(U$53)),IF(AND(Results!$E$5="Weight",$C$52&gt;0, Results!$E$4="Tissue",OR($B$52="g",$B$52="mg")),((U22*U$51)/(U$52)),IF(AND(Results!$E$5="Volume",$C$54&gt;0,Results!$E$4="Fluid"),((U22*U$51)/(U$54)),IF(AND(Results!$E$4="Cells",Results!$E$5="Million",$B$52="million"),((U22*U$51)/(U$52)),"0")))))</f>
        <v>0</v>
      </c>
      <c r="V75" s="20" t="str">
        <f>IF(V22=0,"0",IF(AND(Results!$E$5="Protein",$C$53&gt;0,OR(Results!$E$4="Tissue",Results!$E$4="Cells")),((V22*V$51)/(V$53)),IF(AND(Results!$E$5="Weight",$C$52&gt;0, Results!$E$4="Tissue",OR($B$52="g",$B$52="mg")),((V22*V$51)/(V$52)),IF(AND(Results!$E$5="Volume",$C$54&gt;0,Results!$E$4="Fluid"),((V22*V$51)/(V$54)),IF(AND(Results!$E$4="Cells",Results!$E$5="Million",$B$52="million"),((V22*V$51)/(V$52)),"0")))))</f>
        <v>0</v>
      </c>
      <c r="W75" s="20" t="str">
        <f>IF(W22=0,"0",IF(AND(Results!$E$5="Protein",$C$53&gt;0,OR(Results!$E$4="Tissue",Results!$E$4="Cells")),((W22*W$51)/(W$53)),IF(AND(Results!$E$5="Weight",$C$52&gt;0, Results!$E$4="Tissue",OR($B$52="g",$B$52="mg")),((W22*W$51)/(W$52)),IF(AND(Results!$E$5="Volume",$C$54&gt;0,Results!$E$4="Fluid"),((W22*W$51)/(W$54)),IF(AND(Results!$E$4="Cells",Results!$E$5="Million",$B$52="million"),((W22*W$51)/(W$52)),"0")))))</f>
        <v>0</v>
      </c>
      <c r="X75" s="20" t="str">
        <f>IF(X22=0,"0",IF(AND(Results!$E$5="Protein",$C$53&gt;0,OR(Results!$E$4="Tissue",Results!$E$4="Cells")),((X22*X$51)/(X$53)),IF(AND(Results!$E$5="Weight",$C$52&gt;0, Results!$E$4="Tissue",OR($B$52="g",$B$52="mg")),((X22*X$51)/(X$52)),IF(AND(Results!$E$5="Volume",$C$54&gt;0,Results!$E$4="Fluid"),((X22*X$51)/(X$54)),IF(AND(Results!$E$4="Cells",Results!$E$5="Million",$B$52="million"),((X22*X$51)/(X$52)),"0")))))</f>
        <v>0</v>
      </c>
      <c r="Y75" s="20" t="str">
        <f>IF(Y22=0,"0",IF(AND(Results!$E$5="Protein",$C$53&gt;0,OR(Results!$E$4="Tissue",Results!$E$4="Cells")),((Y22*Y$51)/(Y$53)),IF(AND(Results!$E$5="Weight",$C$52&gt;0, Results!$E$4="Tissue",OR($B$52="g",$B$52="mg")),((Y22*Y$51)/(Y$52)),IF(AND(Results!$E$5="Volume",$C$54&gt;0,Results!$E$4="Fluid"),((Y22*Y$51)/(Y$54)),IF(AND(Results!$E$4="Cells",Results!$E$5="Million",$B$52="million"),((Y22*Y$51)/(Y$52)),"0")))))</f>
        <v>0</v>
      </c>
      <c r="Z75" s="20" t="str">
        <f>IF(Z22=0,"0",IF(AND(Results!$E$5="Protein",$C$53&gt;0,OR(Results!$E$4="Tissue",Results!$E$4="Cells")),((Z22*Z$51)/(Z$53)),IF(AND(Results!$E$5="Weight",$C$52&gt;0, Results!$E$4="Tissue",OR($B$52="g",$B$52="mg")),((Z22*Z$51)/(Z$52)),IF(AND(Results!$E$5="Volume",$C$54&gt;0,Results!$E$4="Fluid"),((Z22*Z$51)/(Z$54)),IF(AND(Results!$E$4="Cells",Results!$E$5="Million",$B$52="million"),((Z22*Z$51)/(Z$52)),"0")))))</f>
        <v>0</v>
      </c>
      <c r="AA75" s="20" t="str">
        <f>IF(AA22=0,"0",IF(AND(Results!$E$5="Protein",$C$53&gt;0,OR(Results!$E$4="Tissue",Results!$E$4="Cells")),((AA22*AA$51)/(AA$53)),IF(AND(Results!$E$5="Weight",$C$52&gt;0, Results!$E$4="Tissue",OR($B$52="g",$B$52="mg")),((AA22*AA$51)/(AA$52)),IF(AND(Results!$E$5="Volume",$C$54&gt;0,Results!$E$4="Fluid"),((AA22*AA$51)/(AA$54)),IF(AND(Results!$E$4="Cells",Results!$E$5="Million",$B$52="million"),((AA22*AA$51)/(AA$52)),"0")))))</f>
        <v>0</v>
      </c>
      <c r="AB75" s="20" t="str">
        <f>IF(AB22=0,"0",IF(AND(Results!$E$5="Protein",$C$53&gt;0,OR(Results!$E$4="Tissue",Results!$E$4="Cells")),((AB22*AB$51)/(AB$53)),IF(AND(Results!$E$5="Weight",$C$52&gt;0, Results!$E$4="Tissue",OR($B$52="g",$B$52="mg")),((AB22*AB$51)/(AB$52)),IF(AND(Results!$E$5="Volume",$C$54&gt;0,Results!$E$4="Fluid"),((AB22*AB$51)/(AB$54)),IF(AND(Results!$E$4="Cells",Results!$E$5="Million",$B$52="million"),((AB22*AB$51)/(AB$52)),"0")))))</f>
        <v>0</v>
      </c>
      <c r="AC75" s="20" t="str">
        <f>IF(AC22=0,"0",IF(AND(Results!$E$5="Protein",$C$53&gt;0,OR(Results!$E$4="Tissue",Results!$E$4="Cells")),((AC22*AC$51)/(AC$53)),IF(AND(Results!$E$5="Weight",$C$52&gt;0, Results!$E$4="Tissue",OR($B$52="g",$B$52="mg")),((AC22*AC$51)/(AC$52)),IF(AND(Results!$E$5="Volume",$C$54&gt;0,Results!$E$4="Fluid"),((AC22*AC$51)/(AC$54)),IF(AND(Results!$E$4="Cells",Results!$E$5="Million",$B$52="million"),((AC22*AC$51)/(AC$52)),"0")))))</f>
        <v>0</v>
      </c>
      <c r="AD75" s="20" t="str">
        <f>IF(AD22=0,"0",IF(AND(Results!$E$5="Protein",$C$53&gt;0,OR(Results!$E$4="Tissue",Results!$E$4="Cells")),((AD22*AD$51)/(AD$53)),IF(AND(Results!$E$5="Weight",$C$52&gt;0, Results!$E$4="Tissue",OR($B$52="g",$B$52="mg")),((AD22*AD$51)/(AD$52)),IF(AND(Results!$E$5="Volume",$C$54&gt;0,Results!$E$4="Fluid"),((AD22*AD$51)/(AD$54)),IF(AND(Results!$E$4="Cells",Results!$E$5="Million",$B$52="million"),((AD22*AD$51)/(AD$52)),"0")))))</f>
        <v>0</v>
      </c>
      <c r="AE75" s="20" t="str">
        <f>IF(AE22=0,"0",IF(AND(Results!$E$5="Protein",$C$53&gt;0,OR(Results!$E$4="Tissue",Results!$E$4="Cells")),((AE22*AE$51)/(AE$53)),IF(AND(Results!$E$5="Weight",$C$52&gt;0, Results!$E$4="Tissue",OR($B$52="g",$B$52="mg")),((AE22*AE$51)/(AE$52)),IF(AND(Results!$E$5="Volume",$C$54&gt;0,Results!$E$4="Fluid"),((AE22*AE$51)/(AE$54)),IF(AND(Results!$E$4="Cells",Results!$E$5="Million",$B$52="million"),((AE22*AE$51)/(AE$52)),"0")))))</f>
        <v>0</v>
      </c>
      <c r="AF75" s="20" t="str">
        <f>IF(AF22=0,"0",IF(AND(Results!$E$5="Protein",$C$53&gt;0,OR(Results!$E$4="Tissue",Results!$E$4="Cells")),((AF22*AF$51)/(AF$53)),IF(AND(Results!$E$5="Weight",$C$52&gt;0, Results!$E$4="Tissue",OR($B$52="g",$B$52="mg")),((AF22*AF$51)/(AF$52)),IF(AND(Results!$E$5="Volume",$C$54&gt;0,Results!$E$4="Fluid"),((AF22*AF$51)/(AF$54)),IF(AND(Results!$E$4="Cells",Results!$E$5="Million",$B$52="million"),((AF22*AF$51)/(AF$52)),"0")))))</f>
        <v>0</v>
      </c>
      <c r="AG75" s="20" t="str">
        <f>IF(AG22=0,"0",IF(AND(Results!$E$5="Protein",$C$53&gt;0,OR(Results!$E$4="Tissue",Results!$E$4="Cells")),((AG22*AG$51)/(AG$53)),IF(AND(Results!$E$5="Weight",$C$52&gt;0, Results!$E$4="Tissue",OR($B$52="g",$B$52="mg")),((AG22*AG$51)/(AG$52)),IF(AND(Results!$E$5="Volume",$C$54&gt;0,Results!$E$4="Fluid"),((AG22*AG$51)/(AG$54)),IF(AND(Results!$E$4="Cells",Results!$E$5="Million",$B$52="million"),((AG22*AG$51)/(AG$52)),"0")))))</f>
        <v>0</v>
      </c>
      <c r="AH75" s="20" t="str">
        <f>IF(AH22=0,"0",IF(AND(Results!$E$5="Protein",$C$53&gt;0,OR(Results!$E$4="Tissue",Results!$E$4="Cells")),((AH22*AH$51)/(AH$53)),IF(AND(Results!$E$5="Weight",$C$52&gt;0, Results!$E$4="Tissue",OR($B$52="g",$B$52="mg")),((AH22*AH$51)/(AH$52)),IF(AND(Results!$E$5="Volume",$C$54&gt;0,Results!$E$4="Fluid"),((AH22*AH$51)/(AH$54)),IF(AND(Results!$E$4="Cells",Results!$E$5="Million",$B$52="million"),((AH22*AH$51)/(AH$52)),"0")))))</f>
        <v>0</v>
      </c>
      <c r="AI75" s="20" t="str">
        <f>IF(AI22=0,"0",IF(AND(Results!$E$5="Protein",$C$53&gt;0,OR(Results!$E$4="Tissue",Results!$E$4="Cells")),((AI22*AI$51)/(AI$53)),IF(AND(Results!$E$5="Weight",$C$52&gt;0, Results!$E$4="Tissue",OR($B$52="g",$B$52="mg")),((AI22*AI$51)/(AI$52)),IF(AND(Results!$E$5="Volume",$C$54&gt;0,Results!$E$4="Fluid"),((AI22*AI$51)/(AI$54)),IF(AND(Results!$E$4="Cells",Results!$E$5="Million",$B$52="million"),((AI22*AI$51)/(AI$52)),"0")))))</f>
        <v>0</v>
      </c>
      <c r="AJ75" s="20" t="str">
        <f>IF(AJ22=0,"0",IF(AND(Results!$E$5="Protein",$C$53&gt;0,OR(Results!$E$4="Tissue",Results!$E$4="Cells")),((AJ22*AJ$51)/(AJ$53)),IF(AND(Results!$E$5="Weight",$C$52&gt;0, Results!$E$4="Tissue",OR($B$52="g",$B$52="mg")),((AJ22*AJ$51)/(AJ$52)),IF(AND(Results!$E$5="Volume",$C$54&gt;0,Results!$E$4="Fluid"),((AJ22*AJ$51)/(AJ$54)),IF(AND(Results!$E$4="Cells",Results!$E$5="Million",$B$52="million"),((AJ22*AJ$51)/(AJ$52)),"0")))))</f>
        <v>0</v>
      </c>
      <c r="AK75" s="20" t="str">
        <f>IF(AK22=0,"0",IF(AND(Results!$E$5="Protein",$C$53&gt;0,OR(Results!$E$4="Tissue",Results!$E$4="Cells")),((AK22*AK$51)/(AK$53)),IF(AND(Results!$E$5="Weight",$C$52&gt;0, Results!$E$4="Tissue",OR($B$52="g",$B$52="mg")),((AK22*AK$51)/(AK$52)),IF(AND(Results!$E$5="Volume",$C$54&gt;0,Results!$E$4="Fluid"),((AK22*AK$51)/(AK$54)),IF(AND(Results!$E$4="Cells",Results!$E$5="Million",$B$52="million"),((AK22*AK$51)/(AK$52)),"0")))))</f>
        <v>0</v>
      </c>
      <c r="AL75" s="20" t="str">
        <f>IF(AL22=0,"0",IF(AND(Results!$E$5="Protein",$C$53&gt;0,OR(Results!$E$4="Tissue",Results!$E$4="Cells")),((AL22*AL$51)/(AL$53)),IF(AND(Results!$E$5="Weight",$C$52&gt;0, Results!$E$4="Tissue",OR($B$52="g",$B$52="mg")),((AL22*AL$51)/(AL$52)),IF(AND(Results!$E$5="Volume",$C$54&gt;0,Results!$E$4="Fluid"),((AL22*AL$51)/(AL$54)),IF(AND(Results!$E$4="Cells",Results!$E$5="Million",$B$52="million"),((AL22*AL$51)/(AL$52)),"0")))))</f>
        <v>0</v>
      </c>
      <c r="AM75" s="20" t="str">
        <f>IF(AM22=0,"0",IF(AND(Results!$E$5="Protein",$C$53&gt;0,OR(Results!$E$4="Tissue",Results!$E$4="Cells")),((AM22*AM$51)/(AM$53)),IF(AND(Results!$E$5="Weight",$C$52&gt;0, Results!$E$4="Tissue",OR($B$52="g",$B$52="mg")),((AM22*AM$51)/(AM$52)),IF(AND(Results!$E$5="Volume",$C$54&gt;0,Results!$E$4="Fluid"),((AM22*AM$51)/(AM$54)),IF(AND(Results!$E$4="Cells",Results!$E$5="Million",$B$52="million"),((AM22*AM$51)/(AM$52)),"0")))))</f>
        <v>0</v>
      </c>
      <c r="AN75" s="20" t="str">
        <f>IF(AN22=0,"0",IF(AND(Results!$E$5="Protein",$C$53&gt;0,OR(Results!$E$4="Tissue",Results!$E$4="Cells")),((AN22*AN$51)/(AN$53)),IF(AND(Results!$E$5="Weight",$C$52&gt;0, Results!$E$4="Tissue",OR($B$52="g",$B$52="mg")),((AN22*AN$51)/(AN$52)),IF(AND(Results!$E$5="Volume",$C$54&gt;0,Results!$E$4="Fluid"),((AN22*AN$51)/(AN$54)),IF(AND(Results!$E$4="Cells",Results!$E$5="Million",$B$52="million"),((AN22*AN$51)/(AN$52)),"0")))))</f>
        <v>0</v>
      </c>
      <c r="AO75" s="20" t="str">
        <f>IF(AO22=0,"0",IF(AND(Results!$E$5="Protein",$C$53&gt;0,OR(Results!$E$4="Tissue",Results!$E$4="Cells")),((AO22*AO$51)/(AO$53)),IF(AND(Results!$E$5="Weight",$C$52&gt;0, Results!$E$4="Tissue",OR($B$52="g",$B$52="mg")),((AO22*AO$51)/(AO$52)),IF(AND(Results!$E$5="Volume",$C$54&gt;0,Results!$E$4="Fluid"),((AO22*AO$51)/(AO$54)),IF(AND(Results!$E$4="Cells",Results!$E$5="Million",$B$52="million"),((AO22*AO$51)/(AO$52)),"0")))))</f>
        <v>0</v>
      </c>
      <c r="AP75" s="20" t="str">
        <f>IF(AP22=0,"0",IF(AND(Results!$E$5="Protein",$C$53&gt;0,OR(Results!$E$4="Tissue",Results!$E$4="Cells")),((AP22*AP$51)/(AP$53)),IF(AND(Results!$E$5="Weight",$C$52&gt;0, Results!$E$4="Tissue",OR($B$52="g",$B$52="mg")),((AP22*AP$51)/(AP$52)),IF(AND(Results!$E$5="Volume",$C$54&gt;0,Results!$E$4="Fluid"),((AP22*AP$51)/(AP$54)),IF(AND(Results!$E$4="Cells",Results!$E$5="Million",$B$52="million"),((AP22*AP$51)/(AP$52)),"0")))))</f>
        <v>0</v>
      </c>
      <c r="AQ75" s="20" t="str">
        <f>IF(AQ22=0,"0",IF(AND(Results!$E$5="Protein",$C$53&gt;0,OR(Results!$E$4="Tissue",Results!$E$4="Cells")),((AQ22*AQ$51)/(AQ$53)),IF(AND(Results!$E$5="Weight",$C$52&gt;0, Results!$E$4="Tissue",OR($B$52="g",$B$52="mg")),((AQ22*AQ$51)/(AQ$52)),IF(AND(Results!$E$5="Volume",$C$54&gt;0,Results!$E$4="Fluid"),((AQ22*AQ$51)/(AQ$54)),IF(AND(Results!$E$4="Cells",Results!$E$5="Million",$B$52="million"),((AQ22*AQ$51)/(AQ$52)),"0")))))</f>
        <v>0</v>
      </c>
      <c r="AR75" s="20" t="str">
        <f>IF(AR22=0,"0",IF(AND(Results!$E$5="Protein",$C$53&gt;0,OR(Results!$E$4="Tissue",Results!$E$4="Cells")),((AR22*AR$51)/(AR$53)),IF(AND(Results!$E$5="Weight",$C$52&gt;0, Results!$E$4="Tissue",OR($B$52="g",$B$52="mg")),((AR22*AR$51)/(AR$52)),IF(AND(Results!$E$5="Volume",$C$54&gt;0,Results!$E$4="Fluid"),((AR22*AR$51)/(AR$54)),IF(AND(Results!$E$4="Cells",Results!$E$5="Million",$B$52="million"),((AR22*AR$51)/(AR$52)),"0")))))</f>
        <v>0</v>
      </c>
      <c r="AS75" s="20" t="str">
        <f>IF(AS22=0,"0",IF(AND(Results!$E$5="Protein",$C$53&gt;0,OR(Results!$E$4="Tissue",Results!$E$4="Cells")),((AS22*AS$51)/(AS$53)),IF(AND(Results!$E$5="Weight",$C$52&gt;0, Results!$E$4="Tissue",OR($B$52="g",$B$52="mg")),((AS22*AS$51)/(AS$52)),IF(AND(Results!$E$5="Volume",$C$54&gt;0,Results!$E$4="Fluid"),((AS22*AS$51)/(AS$54)),IF(AND(Results!$E$4="Cells",Results!$E$5="Million",$B$52="million"),((AS22*AS$51)/(AS$52)),"0")))))</f>
        <v>0</v>
      </c>
      <c r="AT75" s="20" t="str">
        <f>IF(AT22=0,"0",IF(AND(Results!$E$5="Protein",$C$53&gt;0,OR(Results!$E$4="Tissue",Results!$E$4="Cells")),((AT22*AT$51)/(AT$53)),IF(AND(Results!$E$5="Weight",$C$52&gt;0, Results!$E$4="Tissue",OR($B$52="g",$B$52="mg")),((AT22*AT$51)/(AT$52)),IF(AND(Results!$E$5="Volume",$C$54&gt;0,Results!$E$4="Fluid"),((AT22*AT$51)/(AT$54)),IF(AND(Results!$E$4="Cells",Results!$E$5="Million",$B$52="million"),((AT22*AT$51)/(AT$52)),"0")))))</f>
        <v>0</v>
      </c>
      <c r="AU75" s="20" t="str">
        <f>IF(AU22=0,"0",IF(AND(Results!$E$5="Protein",$C$53&gt;0,OR(Results!$E$4="Tissue",Results!$E$4="Cells")),((AU22*AU$51)/(AU$53)),IF(AND(Results!$E$5="Weight",$C$52&gt;0, Results!$E$4="Tissue",OR($B$52="g",$B$52="mg")),((AU22*AU$51)/(AU$52)),IF(AND(Results!$E$5="Volume",$C$54&gt;0,Results!$E$4="Fluid"),((AU22*AU$51)/(AU$54)),IF(AND(Results!$E$4="Cells",Results!$E$5="Million",$B$52="million"),((AU22*AU$51)/(AU$52)),"0")))))</f>
        <v>0</v>
      </c>
      <c r="AV75" s="20" t="str">
        <f>IF(AV22=0,"0",IF(AND(Results!$E$5="Protein",$C$53&gt;0,OR(Results!$E$4="Tissue",Results!$E$4="Cells")),((AV22*AV$51)/(AV$53)),IF(AND(Results!$E$5="Weight",$C$52&gt;0, Results!$E$4="Tissue",OR($B$52="g",$B$52="mg")),((AV22*AV$51)/(AV$52)),IF(AND(Results!$E$5="Volume",$C$54&gt;0,Results!$E$4="Fluid"),((AV22*AV$51)/(AV$54)),IF(AND(Results!$E$4="Cells",Results!$E$5="Million",$B$52="million"),((AV22*AV$51)/(AV$52)),"0")))))</f>
        <v>0</v>
      </c>
      <c r="AW75" s="20" t="str">
        <f>IF(AW22=0,"0",IF(AND(Results!$E$5="Protein",$C$53&gt;0,OR(Results!$E$4="Tissue",Results!$E$4="Cells")),((AW22*AW$51)/(AW$53)),IF(AND(Results!$E$5="Weight",$C$52&gt;0, Results!$E$4="Tissue",OR($B$52="g",$B$52="mg")),((AW22*AW$51)/(AW$52)),IF(AND(Results!$E$5="Volume",$C$54&gt;0,Results!$E$4="Fluid"),((AW22*AW$51)/(AW$54)),IF(AND(Results!$E$4="Cells",Results!$E$5="Million",$B$52="million"),((AW22*AW$51)/(AW$52)),"0")))))</f>
        <v>0</v>
      </c>
      <c r="AX75" s="20" t="str">
        <f>IF(AX22=0,"0",IF(AND(Results!$E$5="Protein",$C$53&gt;0,OR(Results!$E$4="Tissue",Results!$E$4="Cells")),((AX22*AX$51)/(AX$53)),IF(AND(Results!$E$5="Weight",$C$52&gt;0, Results!$E$4="Tissue",OR($B$52="g",$B$52="mg")),((AX22*AX$51)/(AX$52)),IF(AND(Results!$E$5="Volume",$C$54&gt;0,Results!$E$4="Fluid"),((AX22*AX$51)/(AX$54)),IF(AND(Results!$E$4="Cells",Results!$E$5="Million",$B$52="million"),((AX22*AX$51)/(AX$52)),"0")))))</f>
        <v>0</v>
      </c>
      <c r="AY75" s="20" t="str">
        <f>IF(AY22=0,"0",IF(AND(Results!$E$5="Protein",$C$53&gt;0,OR(Results!$E$4="Tissue",Results!$E$4="Cells")),((AY22*AY$51)/(AY$53)),IF(AND(Results!$E$5="Weight",$C$52&gt;0, Results!$E$4="Tissue",OR($B$52="g",$B$52="mg")),((AY22*AY$51)/(AY$52)),IF(AND(Results!$E$5="Volume",$C$54&gt;0,Results!$E$4="Fluid"),((AY22*AY$51)/(AY$54)),IF(AND(Results!$E$4="Cells",Results!$E$5="Million",$B$52="million"),((AY22*AY$51)/(AY$52)),"0")))))</f>
        <v>0</v>
      </c>
      <c r="AZ75" s="20" t="str">
        <f>IF(AZ22=0,"0",IF(AND(Results!$E$5="Protein",$C$53&gt;0,OR(Results!$E$4="Tissue",Results!$E$4="Cells")),((AZ22*AZ$51)/(AZ$53)),IF(AND(Results!$E$5="Weight",$C$52&gt;0, Results!$E$4="Tissue",OR($B$52="g",$B$52="mg")),((AZ22*AZ$51)/(AZ$52)),IF(AND(Results!$E$5="Volume",$C$54&gt;0,Results!$E$4="Fluid"),((AZ22*AZ$51)/(AZ$54)),IF(AND(Results!$E$4="Cells",Results!$E$5="Million",$B$52="million"),((AZ22*AZ$51)/(AZ$52)),"0")))))</f>
        <v>0</v>
      </c>
      <c r="BA75" s="20" t="str">
        <f>IF(BA22=0,"0",IF(AND(Results!$E$5="Protein",$C$53&gt;0,OR(Results!$E$4="Tissue",Results!$E$4="Cells")),((BA22*BA$51)/(BA$53)),IF(AND(Results!$E$5="Weight",$C$52&gt;0, Results!$E$4="Tissue",OR($B$52="g",$B$52="mg")),((BA22*BA$51)/(BA$52)),IF(AND(Results!$E$5="Volume",$C$54&gt;0,Results!$E$4="Fluid"),((BA22*BA$51)/(BA$54)),IF(AND(Results!$E$4="Cells",Results!$E$5="Million",$B$52="million"),((BA22*BA$51)/(BA$52)),"0")))))</f>
        <v>0</v>
      </c>
      <c r="BB75" s="20" t="str">
        <f>IF(BB22=0,"0",IF(AND(Results!$E$5="Protein",$C$53&gt;0,OR(Results!$E$4="Tissue",Results!$E$4="Cells")),((BB22*BB$51)/(BB$53)),IF(AND(Results!$E$5="Weight",$C$52&gt;0, Results!$E$4="Tissue",OR($B$52="g",$B$52="mg")),((BB22*BB$51)/(BB$52)),IF(AND(Results!$E$5="Volume",$C$54&gt;0,Results!$E$4="Fluid"),((BB22*BB$51)/(BB$54)),IF(AND(Results!$E$4="Cells",Results!$E$5="Million",$B$52="million"),((BB22*BB$51)/(BB$52)),"0")))))</f>
        <v>0</v>
      </c>
      <c r="BC75" s="20" t="str">
        <f>IF(BC22=0,"0",IF(AND(Results!$E$5="Protein",$C$53&gt;0,OR(Results!$E$4="Tissue",Results!$E$4="Cells")),((BC22*BC$51)/(BC$53)),IF(AND(Results!$E$5="Weight",$C$52&gt;0, Results!$E$4="Tissue",OR($B$52="g",$B$52="mg")),((BC22*BC$51)/(BC$52)),IF(AND(Results!$E$5="Volume",$C$54&gt;0,Results!$E$4="Fluid"),((BC22*BC$51)/(BC$54)),IF(AND(Results!$E$4="Cells",Results!$E$5="Million",$B$52="million"),((BC22*BC$51)/(BC$52)),"0")))))</f>
        <v>0</v>
      </c>
      <c r="BD75" s="20" t="str">
        <f>IF(BD22=0,"0",IF(AND(Results!$E$5="Protein",$C$53&gt;0,OR(Results!$E$4="Tissue",Results!$E$4="Cells")),((BD22*BD$51)/(BD$53)),IF(AND(Results!$E$5="Weight",$C$52&gt;0, Results!$E$4="Tissue",OR($B$52="g",$B$52="mg")),((BD22*BD$51)/(BD$52)),IF(AND(Results!$E$5="Volume",$C$54&gt;0,Results!$E$4="Fluid"),((BD22*BD$51)/(BD$54)),IF(AND(Results!$E$4="Cells",Results!$E$5="Million",$B$52="million"),((BD22*BD$51)/(BD$52)),"0")))))</f>
        <v>0</v>
      </c>
      <c r="BE75" s="20" t="str">
        <f>IF(BE22=0,"0",IF(AND(Results!$E$5="Protein",$C$53&gt;0,OR(Results!$E$4="Tissue",Results!$E$4="Cells")),((BE22*BE$51)/(BE$53)),IF(AND(Results!$E$5="Weight",$C$52&gt;0, Results!$E$4="Tissue",OR($B$52="g",$B$52="mg")),((BE22*BE$51)/(BE$52)),IF(AND(Results!$E$5="Volume",$C$54&gt;0,Results!$E$4="Fluid"),((BE22*BE$51)/(BE$54)),IF(AND(Results!$E$4="Cells",Results!$E$5="Million",$B$52="million"),((BE22*BE$51)/(BE$52)),"0")))))</f>
        <v>0</v>
      </c>
      <c r="BF75" s="20" t="str">
        <f>IF(BF22=0,"0",IF(AND(Results!$E$5="Protein",$C$53&gt;0,OR(Results!$E$4="Tissue",Results!$E$4="Cells")),((BF22*BF$51)/(BF$53)),IF(AND(Results!$E$5="Weight",$C$52&gt;0, Results!$E$4="Tissue",OR($B$52="g",$B$52="mg")),((BF22*BF$51)/(BF$52)),IF(AND(Results!$E$5="Volume",$C$54&gt;0,Results!$E$4="Fluid"),((BF22*BF$51)/(BF$54)),IF(AND(Results!$E$4="Cells",Results!$E$5="Million",$B$52="million"),((BF22*BF$51)/(BF$52)),"0")))))</f>
        <v>0</v>
      </c>
      <c r="BG75" s="20" t="str">
        <f>IF(BG22=0,"0",IF(AND(Results!$E$5="Protein",$C$53&gt;0,OR(Results!$E$4="Tissue",Results!$E$4="Cells")),((BG22*BG$51)/(BG$53)),IF(AND(Results!$E$5="Weight",$C$52&gt;0, Results!$E$4="Tissue",OR($B$52="g",$B$52="mg")),((BG22*BG$51)/(BG$52)),IF(AND(Results!$E$5="Volume",$C$54&gt;0,Results!$E$4="Fluid"),((BG22*BG$51)/(BG$54)),IF(AND(Results!$E$4="Cells",Results!$E$5="Million",$B$52="million"),((BG22*BG$51)/(BG$52)),"0")))))</f>
        <v>0</v>
      </c>
      <c r="BH75" s="20" t="str">
        <f>IF(BH22=0,"0",IF(AND(Results!$E$5="Protein",$C$53&gt;0,OR(Results!$E$4="Tissue",Results!$E$4="Cells")),((BH22*BH$51)/(BH$53)),IF(AND(Results!$E$5="Weight",$C$52&gt;0, Results!$E$4="Tissue",OR($B$52="g",$B$52="mg")),((BH22*BH$51)/(BH$52)),IF(AND(Results!$E$5="Volume",$C$54&gt;0,Results!$E$4="Fluid"),((BH22*BH$51)/(BH$54)),IF(AND(Results!$E$4="Cells",Results!$E$5="Million",$B$52="million"),((BH22*BH$51)/(BH$52)),"0")))))</f>
        <v>0</v>
      </c>
      <c r="BI75" s="20" t="str">
        <f>IF(BI22=0,"0",IF(AND(Results!$E$5="Protein",$C$53&gt;0,OR(Results!$E$4="Tissue",Results!$E$4="Cells")),((BI22*BI$51)/(BI$53)),IF(AND(Results!$E$5="Weight",$C$52&gt;0, Results!$E$4="Tissue",OR($B$52="g",$B$52="mg")),((BI22*BI$51)/(BI$52)),IF(AND(Results!$E$5="Volume",$C$54&gt;0,Results!$E$4="Fluid"),((BI22*BI$51)/(BI$54)),IF(AND(Results!$E$4="Cells",Results!$E$5="Million",$B$52="million"),((BI22*BI$51)/(BI$52)),"0")))))</f>
        <v>0</v>
      </c>
      <c r="BJ75" s="20" t="str">
        <f>IF(BJ22=0,"0",IF(AND(Results!$E$5="Protein",$C$53&gt;0,OR(Results!$E$4="Tissue",Results!$E$4="Cells")),((BJ22*BJ$51)/(BJ$53)),IF(AND(Results!$E$5="Weight",$C$52&gt;0, Results!$E$4="Tissue",OR($B$52="g",$B$52="mg")),((BJ22*BJ$51)/(BJ$52)),IF(AND(Results!$E$5="Volume",$C$54&gt;0,Results!$E$4="Fluid"),((BJ22*BJ$51)/(BJ$54)),IF(AND(Results!$E$4="Cells",Results!$E$5="Million",$B$52="million"),((BJ22*BJ$51)/(BJ$52)),"0")))))</f>
        <v>0</v>
      </c>
      <c r="BK75" s="20" t="str">
        <f>IF(BK22=0,"0",IF(AND(Results!$E$5="Protein",$C$53&gt;0,OR(Results!$E$4="Tissue",Results!$E$4="Cells")),((BK22*BK$51)/(BK$53)),IF(AND(Results!$E$5="Weight",$C$52&gt;0, Results!$E$4="Tissue",OR($B$52="g",$B$52="mg")),((BK22*BK$51)/(BK$52)),IF(AND(Results!$E$5="Volume",$C$54&gt;0,Results!$E$4="Fluid"),((BK22*BK$51)/(BK$54)),IF(AND(Results!$E$4="Cells",Results!$E$5="Million",$B$52="million"),((BK22*BK$51)/(BK$52)),"0")))))</f>
        <v>0</v>
      </c>
      <c r="BL75" s="20" t="str">
        <f>IF(BL22=0,"0",IF(AND(Results!$E$5="Protein",$C$53&gt;0,OR(Results!$E$4="Tissue",Results!$E$4="Cells")),((BL22*BL$51)/(BL$53)),IF(AND(Results!$E$5="Weight",$C$52&gt;0, Results!$E$4="Tissue",OR($B$52="g",$B$52="mg")),((BL22*BL$51)/(BL$52)),IF(AND(Results!$E$5="Volume",$C$54&gt;0,Results!$E$4="Fluid"),((BL22*BL$51)/(BL$54)),IF(AND(Results!$E$4="Cells",Results!$E$5="Million",$B$52="million"),((BL22*BL$51)/(BL$52)),"0")))))</f>
        <v>0</v>
      </c>
      <c r="BM75" s="20" t="str">
        <f>IF(BM22=0,"0",IF(AND(Results!$E$5="Protein",$C$53&gt;0,OR(Results!$E$4="Tissue",Results!$E$4="Cells")),((BM22*BM$51)/(BM$53)),IF(AND(Results!$E$5="Weight",$C$52&gt;0, Results!$E$4="Tissue",OR($B$52="g",$B$52="mg")),((BM22*BM$51)/(BM$52)),IF(AND(Results!$E$5="Volume",$C$54&gt;0,Results!$E$4="Fluid"),((BM22*BM$51)/(BM$54)),IF(AND(Results!$E$4="Cells",Results!$E$5="Million",$B$52="million"),((BM22*BM$51)/(BM$52)),"0")))))</f>
        <v>0</v>
      </c>
      <c r="BN75" s="20" t="str">
        <f>IF(BN22=0,"0",IF(AND(Results!$E$5="Protein",$C$53&gt;0,OR(Results!$E$4="Tissue",Results!$E$4="Cells")),((BN22*BN$51)/(BN$53)),IF(AND(Results!$E$5="Weight",$C$52&gt;0, Results!$E$4="Tissue",OR($B$52="g",$B$52="mg")),((BN22*BN$51)/(BN$52)),IF(AND(Results!$E$5="Volume",$C$54&gt;0,Results!$E$4="Fluid"),((BN22*BN$51)/(BN$54)),IF(AND(Results!$E$4="Cells",Results!$E$5="Million",$B$52="million"),((BN22*BN$51)/(BN$52)),"0")))))</f>
        <v>0</v>
      </c>
      <c r="BO75" s="20" t="str">
        <f>IF(BO22=0,"0",IF(AND(Results!$E$5="Protein",$C$53&gt;0,OR(Results!$E$4="Tissue",Results!$E$4="Cells")),((BO22*BO$51)/(BO$53)),IF(AND(Results!$E$5="Weight",$C$52&gt;0, Results!$E$4="Tissue",OR($B$52="g",$B$52="mg")),((BO22*BO$51)/(BO$52)),IF(AND(Results!$E$5="Volume",$C$54&gt;0,Results!$E$4="Fluid"),((BO22*BO$51)/(BO$54)),IF(AND(Results!$E$4="Cells",Results!$E$5="Million",$B$52="million"),((BO22*BO$51)/(BO$52)),"0")))))</f>
        <v>0</v>
      </c>
      <c r="BP75" s="20" t="str">
        <f>IF(BP22=0,"0",IF(AND(Results!$E$5="Protein",$C$53&gt;0,OR(Results!$E$4="Tissue",Results!$E$4="Cells")),((BP22*BP$51)/(BP$53)),IF(AND(Results!$E$5="Weight",$C$52&gt;0, Results!$E$4="Tissue",OR($B$52="g",$B$52="mg")),((BP22*BP$51)/(BP$52)),IF(AND(Results!$E$5="Volume",$C$54&gt;0,Results!$E$4="Fluid"),((BP22*BP$51)/(BP$54)),IF(AND(Results!$E$4="Cells",Results!$E$5="Million",$B$52="million"),((BP22*BP$51)/(BP$52)),"0")))))</f>
        <v>0</v>
      </c>
      <c r="BQ75" s="20" t="str">
        <f>IF(BQ22=0,"0",IF(AND(Results!$E$5="Protein",$C$53&gt;0,OR(Results!$E$4="Tissue",Results!$E$4="Cells")),((BQ22*BQ$51)/(BQ$53)),IF(AND(Results!$E$5="Weight",$C$52&gt;0, Results!$E$4="Tissue",OR($B$52="g",$B$52="mg")),((BQ22*BQ$51)/(BQ$52)),IF(AND(Results!$E$5="Volume",$C$54&gt;0,Results!$E$4="Fluid"),((BQ22*BQ$51)/(BQ$54)),IF(AND(Results!$E$4="Cells",Results!$E$5="Million",$B$52="million"),((BQ22*BQ$51)/(BQ$52)),"0")))))</f>
        <v>0</v>
      </c>
      <c r="BR75" s="20" t="str">
        <f>IF(BR22=0,"0",IF(AND(Results!$E$5="Protein",$C$53&gt;0,OR(Results!$E$4="Tissue",Results!$E$4="Cells")),((BR22*BR$51)/(BR$53)),IF(AND(Results!$E$5="Weight",$C$52&gt;0, Results!$E$4="Tissue",OR($B$52="g",$B$52="mg")),((BR22*BR$51)/(BR$52)),IF(AND(Results!$E$5="Volume",$C$54&gt;0,Results!$E$4="Fluid"),((BR22*BR$51)/(BR$54)),IF(AND(Results!$E$4="Cells",Results!$E$5="Million",$B$52="million"),((BR22*BR$51)/(BR$52)),"0")))))</f>
        <v>0</v>
      </c>
      <c r="BS75" s="20" t="str">
        <f>IF(BS22=0,"0",IF(AND(Results!$E$5="Protein",$C$53&gt;0,OR(Results!$E$4="Tissue",Results!$E$4="Cells")),((BS22*BS$51)/(BS$53)),IF(AND(Results!$E$5="Weight",$C$52&gt;0, Results!$E$4="Tissue",OR($B$52="g",$B$52="mg")),((BS22*BS$51)/(BS$52)),IF(AND(Results!$E$5="Volume",$C$54&gt;0,Results!$E$4="Fluid"),((BS22*BS$51)/(BS$54)),IF(AND(Results!$E$4="Cells",Results!$E$5="Million",$B$52="million"),((BS22*BS$51)/(BS$52)),"0")))))</f>
        <v>0</v>
      </c>
      <c r="BT75" s="20" t="str">
        <f>IF(BT22=0,"0",IF(AND(Results!$E$5="Protein",$C$53&gt;0,OR(Results!$E$4="Tissue",Results!$E$4="Cells")),((BT22*BT$51)/(BT$53)),IF(AND(Results!$E$5="Weight",$C$52&gt;0, Results!$E$4="Tissue",OR($B$52="g",$B$52="mg")),((BT22*BT$51)/(BT$52)),IF(AND(Results!$E$5="Volume",$C$54&gt;0,Results!$E$4="Fluid"),((BT22*BT$51)/(BT$54)),IF(AND(Results!$E$4="Cells",Results!$E$5="Million",$B$52="million"),((BT22*BT$51)/(BT$52)),"0")))))</f>
        <v>0</v>
      </c>
      <c r="BU75" s="20" t="str">
        <f>IF(BU22=0,"0",IF(AND(Results!$E$5="Protein",$C$53&gt;0,OR(Results!$E$4="Tissue",Results!$E$4="Cells")),((BU22*BU$51)/(BU$53)),IF(AND(Results!$E$5="Weight",$C$52&gt;0, Results!$E$4="Tissue",OR($B$52="g",$B$52="mg")),((BU22*BU$51)/(BU$52)),IF(AND(Results!$E$5="Volume",$C$54&gt;0,Results!$E$4="Fluid"),((BU22*BU$51)/(BU$54)),IF(AND(Results!$E$4="Cells",Results!$E$5="Million",$B$52="million"),((BU22*BU$51)/(BU$52)),"0")))))</f>
        <v>0</v>
      </c>
      <c r="BV75" s="20" t="str">
        <f>IF(BV22=0,"0",IF(AND(Results!$E$5="Protein",$C$53&gt;0,OR(Results!$E$4="Tissue",Results!$E$4="Cells")),((BV22*BV$51)/(BV$53)),IF(AND(Results!$E$5="Weight",$C$52&gt;0, Results!$E$4="Tissue",OR($B$52="g",$B$52="mg")),((BV22*BV$51)/(BV$52)),IF(AND(Results!$E$5="Volume",$C$54&gt;0,Results!$E$4="Fluid"),((BV22*BV$51)/(BV$54)),IF(AND(Results!$E$4="Cells",Results!$E$5="Million",$B$52="million"),((BV22*BV$51)/(BV$52)),"0")))))</f>
        <v>0</v>
      </c>
      <c r="BW75" s="20" t="str">
        <f>IF(BW22=0,"0",IF(AND(Results!$E$5="Protein",$C$53&gt;0,OR(Results!$E$4="Tissue",Results!$E$4="Cells")),((BW22*BW$51)/(BW$53)),IF(AND(Results!$E$5="Weight",$C$52&gt;0, Results!$E$4="Tissue",OR($B$52="g",$B$52="mg")),((BW22*BW$51)/(BW$52)),IF(AND(Results!$E$5="Volume",$C$54&gt;0,Results!$E$4="Fluid"),((BW22*BW$51)/(BW$54)),IF(AND(Results!$E$4="Cells",Results!$E$5="Million",$B$52="million"),((BW22*BW$51)/(BW$52)),"0")))))</f>
        <v>0</v>
      </c>
      <c r="BX75" s="20" t="str">
        <f>IF(BX22=0,"0",IF(AND(Results!$E$5="Protein",$C$53&gt;0,OR(Results!$E$4="Tissue",Results!$E$4="Cells")),((BX22*BX$51)/(BX$53)),IF(AND(Results!$E$5="Weight",$C$52&gt;0, Results!$E$4="Tissue",OR($B$52="g",$B$52="mg")),((BX22*BX$51)/(BX$52)),IF(AND(Results!$E$5="Volume",$C$54&gt;0,Results!$E$4="Fluid"),((BX22*BX$51)/(BX$54)),IF(AND(Results!$E$4="Cells",Results!$E$5="Million",$B$52="million"),((BX22*BX$51)/(BX$52)),"0")))))</f>
        <v>0</v>
      </c>
      <c r="BY75" s="20" t="str">
        <f>IF(BY22=0,"0",IF(AND(Results!$E$5="Protein",$C$53&gt;0,OR(Results!$E$4="Tissue",Results!$E$4="Cells")),((BY22*BY$51)/(BY$53)),IF(AND(Results!$E$5="Weight",$C$52&gt;0, Results!$E$4="Tissue",OR($B$52="g",$B$52="mg")),((BY22*BY$51)/(BY$52)),IF(AND(Results!$E$5="Volume",$C$54&gt;0,Results!$E$4="Fluid"),((BY22*BY$51)/(BY$54)),IF(AND(Results!$E$4="Cells",Results!$E$5="Million",$B$52="million"),((BY22*BY$51)/(BY$52)),"0")))))</f>
        <v>0</v>
      </c>
      <c r="BZ75" s="20" t="str">
        <f>IF(BZ22=0,"0",IF(AND(Results!$E$5="Protein",$C$53&gt;0,OR(Results!$E$4="Tissue",Results!$E$4="Cells")),((BZ22*BZ$51)/(BZ$53)),IF(AND(Results!$E$5="Weight",$C$52&gt;0, Results!$E$4="Tissue",OR($B$52="g",$B$52="mg")),((BZ22*BZ$51)/(BZ$52)),IF(AND(Results!$E$5="Volume",$C$54&gt;0,Results!$E$4="Fluid"),((BZ22*BZ$51)/(BZ$54)),IF(AND(Results!$E$4="Cells",Results!$E$5="Million",$B$52="million"),((BZ22*BZ$51)/(BZ$52)),"0")))))</f>
        <v>0</v>
      </c>
      <c r="CA75" s="20" t="str">
        <f>IF(CA22=0,"0",IF(AND(Results!$E$5="Protein",$C$53&gt;0,OR(Results!$E$4="Tissue",Results!$E$4="Cells")),((CA22*CA$51)/(CA$53)),IF(AND(Results!$E$5="Weight",$C$52&gt;0, Results!$E$4="Tissue",OR($B$52="g",$B$52="mg")),((CA22*CA$51)/(CA$52)),IF(AND(Results!$E$5="Volume",$C$54&gt;0,Results!$E$4="Fluid"),((CA22*CA$51)/(CA$54)),IF(AND(Results!$E$4="Cells",Results!$E$5="Million",$B$52="million"),((CA22*CA$51)/(CA$52)),"0")))))</f>
        <v>0</v>
      </c>
      <c r="CB75" s="20" t="str">
        <f>IF(CB22=0,"0",IF(AND(Results!$E$5="Protein",$C$53&gt;0,OR(Results!$E$4="Tissue",Results!$E$4="Cells")),((CB22*CB$51)/(CB$53)),IF(AND(Results!$E$5="Weight",$C$52&gt;0, Results!$E$4="Tissue",OR($B$52="g",$B$52="mg")),((CB22*CB$51)/(CB$52)),IF(AND(Results!$E$5="Volume",$C$54&gt;0,Results!$E$4="Fluid"),((CB22*CB$51)/(CB$54)),IF(AND(Results!$E$4="Cells",Results!$E$5="Million",$B$52="million"),((CB22*CB$51)/(CB$52)),"0")))))</f>
        <v>0</v>
      </c>
      <c r="CC75" s="20" t="str">
        <f>IF(CC22=0,"0",IF(AND(Results!$E$5="Protein",$C$53&gt;0,OR(Results!$E$4="Tissue",Results!$E$4="Cells")),((CC22*CC$51)/(CC$53)),IF(AND(Results!$E$5="Weight",$C$52&gt;0, Results!$E$4="Tissue",OR($B$52="g",$B$52="mg")),((CC22*CC$51)/(CC$52)),IF(AND(Results!$E$5="Volume",$C$54&gt;0,Results!$E$4="Fluid"),((CC22*CC$51)/(CC$54)),IF(AND(Results!$E$4="Cells",Results!$E$5="Million",$B$52="million"),((CC22*CC$51)/(CC$52)),"0")))))</f>
        <v>0</v>
      </c>
      <c r="CD75" s="20" t="str">
        <f>IF(CD22=0,"0",IF(AND(Results!$E$5="Protein",$C$53&gt;0,OR(Results!$E$4="Tissue",Results!$E$4="Cells")),((CD22*CD$51)/(CD$53)),IF(AND(Results!$E$5="Weight",$C$52&gt;0, Results!$E$4="Tissue",OR($B$52="g",$B$52="mg")),((CD22*CD$51)/(CD$52)),IF(AND(Results!$E$5="Volume",$C$54&gt;0,Results!$E$4="Fluid"),((CD22*CD$51)/(CD$54)),IF(AND(Results!$E$4="Cells",Results!$E$5="Million",$B$52="million"),((CD22*CD$51)/(CD$52)),"0")))))</f>
        <v>0</v>
      </c>
      <c r="CE75" s="20" t="str">
        <f>IF(CE22=0,"0",IF(AND(Results!$E$5="Protein",$C$53&gt;0,OR(Results!$E$4="Tissue",Results!$E$4="Cells")),((CE22*CE$51)/(CE$53)),IF(AND(Results!$E$5="Weight",$C$52&gt;0, Results!$E$4="Tissue",OR($B$52="g",$B$52="mg")),((CE22*CE$51)/(CE$52)),IF(AND(Results!$E$5="Volume",$C$54&gt;0,Results!$E$4="Fluid"),((CE22*CE$51)/(CE$54)),IF(AND(Results!$E$4="Cells",Results!$E$5="Million",$B$52="million"),((CE22*CE$51)/(CE$52)),"0")))))</f>
        <v>0</v>
      </c>
      <c r="CF75" s="20" t="str">
        <f>IF(CF22=0,"0",IF(AND(Results!$E$5="Protein",$C$53&gt;0,OR(Results!$E$4="Tissue",Results!$E$4="Cells")),((CF22*CF$51)/(CF$53)),IF(AND(Results!$E$5="Weight",$C$52&gt;0, Results!$E$4="Tissue",OR($B$52="g",$B$52="mg")),((CF22*CF$51)/(CF$52)),IF(AND(Results!$E$5="Volume",$C$54&gt;0,Results!$E$4="Fluid"),((CF22*CF$51)/(CF$54)),IF(AND(Results!$E$4="Cells",Results!$E$5="Million",$B$52="million"),((CF22*CF$51)/(CF$52)),"0")))))</f>
        <v>0</v>
      </c>
      <c r="CG75" s="20" t="str">
        <f>IF(CG22=0,"0",IF(AND(Results!$E$5="Protein",$C$53&gt;0,OR(Results!$E$4="Tissue",Results!$E$4="Cells")),((CG22*CG$51)/(CG$53)),IF(AND(Results!$E$5="Weight",$C$52&gt;0, Results!$E$4="Tissue",OR($B$52="g",$B$52="mg")),((CG22*CG$51)/(CG$52)),IF(AND(Results!$E$5="Volume",$C$54&gt;0,Results!$E$4="Fluid"),((CG22*CG$51)/(CG$54)),IF(AND(Results!$E$4="Cells",Results!$E$5="Million",$B$52="million"),((CG22*CG$51)/(CG$52)),"0")))))</f>
        <v>0</v>
      </c>
      <c r="CH75" s="20" t="str">
        <f>IF(CH22=0,"0",IF(AND(Results!$E$5="Protein",$C$53&gt;0,OR(Results!$E$4="Tissue",Results!$E$4="Cells")),((CH22*CH$51)/(CH$53)),IF(AND(Results!$E$5="Weight",$C$52&gt;0, Results!$E$4="Tissue",OR($B$52="g",$B$52="mg")),((CH22*CH$51)/(CH$52)),IF(AND(Results!$E$5="Volume",$C$54&gt;0,Results!$E$4="Fluid"),((CH22*CH$51)/(CH$54)),IF(AND(Results!$E$4="Cells",Results!$E$5="Million",$B$52="million"),((CH22*CH$51)/(CH$52)),"0")))))</f>
        <v>0</v>
      </c>
      <c r="CI75" s="20" t="str">
        <f>IF(CI22=0,"0",IF(AND(Results!$E$5="Protein",$C$53&gt;0,OR(Results!$E$4="Tissue",Results!$E$4="Cells")),((CI22*CI$51)/(CI$53)),IF(AND(Results!$E$5="Weight",$C$52&gt;0, Results!$E$4="Tissue",OR($B$52="g",$B$52="mg")),((CI22*CI$51)/(CI$52)),IF(AND(Results!$E$5="Volume",$C$54&gt;0,Results!$E$4="Fluid"),((CI22*CI$51)/(CI$54)),IF(AND(Results!$E$4="Cells",Results!$E$5="Million",$B$52="million"),((CI22*CI$51)/(CI$52)),"0")))))</f>
        <v>0</v>
      </c>
      <c r="CJ75" s="20" t="str">
        <f>IF(CJ22=0,"0",IF(AND(Results!$E$5="Protein",$C$53&gt;0,OR(Results!$E$4="Tissue",Results!$E$4="Cells")),((CJ22*CJ$51)/(CJ$53)),IF(AND(Results!$E$5="Weight",$C$52&gt;0, Results!$E$4="Tissue",OR($B$52="g",$B$52="mg")),((CJ22*CJ$51)/(CJ$52)),IF(AND(Results!$E$5="Volume",$C$54&gt;0,Results!$E$4="Fluid"),((CJ22*CJ$51)/(CJ$54)),IF(AND(Results!$E$4="Cells",Results!$E$5="Million",$B$52="million"),((CJ22*CJ$51)/(CJ$52)),"0")))))</f>
        <v>0</v>
      </c>
      <c r="CK75" s="20" t="str">
        <f>IF(CK22=0,"0",IF(AND(Results!$E$5="Protein",$C$53&gt;0,OR(Results!$E$4="Tissue",Results!$E$4="Cells")),((CK22*CK$51)/(CK$53)),IF(AND(Results!$E$5="Weight",$C$52&gt;0, Results!$E$4="Tissue",OR($B$52="g",$B$52="mg")),((CK22*CK$51)/(CK$52)),IF(AND(Results!$E$5="Volume",$C$54&gt;0,Results!$E$4="Fluid"),((CK22*CK$51)/(CK$54)),IF(AND(Results!$E$4="Cells",Results!$E$5="Million",$B$52="million"),((CK22*CK$51)/(CK$52)),"0")))))</f>
        <v>0</v>
      </c>
      <c r="CL75" s="20" t="str">
        <f>IF(CL22=0,"0",IF(AND(Results!$E$5="Protein",$C$53&gt;0,OR(Results!$E$4="Tissue",Results!$E$4="Cells")),((CL22*CL$51)/(CL$53)),IF(AND(Results!$E$5="Weight",$C$52&gt;0, Results!$E$4="Tissue",OR($B$52="g",$B$52="mg")),((CL22*CL$51)/(CL$52)),IF(AND(Results!$E$5="Volume",$C$54&gt;0,Results!$E$4="Fluid"),((CL22*CL$51)/(CL$54)),IF(AND(Results!$E$4="Cells",Results!$E$5="Million",$B$52="million"),((CL22*CL$51)/(CL$52)),"0")))))</f>
        <v>0</v>
      </c>
      <c r="CM75" s="20" t="str">
        <f>IF(CM22=0,"0",IF(AND(Results!$E$5="Protein",$C$53&gt;0,OR(Results!$E$4="Tissue",Results!$E$4="Cells")),((CM22*CM$51)/(CM$53)),IF(AND(Results!$E$5="Weight",$C$52&gt;0, Results!$E$4="Tissue",OR($B$52="g",$B$52="mg")),((CM22*CM$51)/(CM$52)),IF(AND(Results!$E$5="Volume",$C$54&gt;0,Results!$E$4="Fluid"),((CM22*CM$51)/(CM$54)),IF(AND(Results!$E$4="Cells",Results!$E$5="Million",$B$52="million"),((CM22*CM$51)/(CM$52)),"0")))))</f>
        <v>0</v>
      </c>
      <c r="CN75" s="20" t="str">
        <f>IF(CN22=0,"0",IF(AND(Results!$E$5="Protein",$C$53&gt;0,OR(Results!$E$4="Tissue",Results!$E$4="Cells")),((CN22*CN$51)/(CN$53)),IF(AND(Results!$E$5="Weight",$C$52&gt;0, Results!$E$4="Tissue",OR($B$52="g",$B$52="mg")),((CN22*CN$51)/(CN$52)),IF(AND(Results!$E$5="Volume",$C$54&gt;0,Results!$E$4="Fluid"),((CN22*CN$51)/(CN$54)),IF(AND(Results!$E$4="Cells",Results!$E$5="Million",$B$52="million"),((CN22*CN$51)/(CN$52)),"0")))))</f>
        <v>0</v>
      </c>
      <c r="CO75" s="20" t="str">
        <f>IF(CO22=0,"0",IF(AND(Results!$E$5="Protein",$C$53&gt;0,OR(Results!$E$4="Tissue",Results!$E$4="Cells")),((CO22*CO$51)/(CO$53)),IF(AND(Results!$E$5="Weight",$C$52&gt;0, Results!$E$4="Tissue",OR($B$52="g",$B$52="mg")),((CO22*CO$51)/(CO$52)),IF(AND(Results!$E$5="Volume",$C$54&gt;0,Results!$E$4="Fluid"),((CO22*CO$51)/(CO$54)),IF(AND(Results!$E$4="Cells",Results!$E$5="Million",$B$52="million"),((CO22*CO$51)/(CO$52)),"0")))))</f>
        <v>0</v>
      </c>
      <c r="CP75" s="20" t="str">
        <f>IF(CP22=0,"0",IF(AND(Results!$E$5="Protein",$C$53&gt;0,OR(Results!$E$4="Tissue",Results!$E$4="Cells")),((CP22*CP$51)/(CP$53)),IF(AND(Results!$E$5="Weight",$C$52&gt;0, Results!$E$4="Tissue",OR($B$52="g",$B$52="mg")),((CP22*CP$51)/(CP$52)),IF(AND(Results!$E$5="Volume",$C$54&gt;0,Results!$E$4="Fluid"),((CP22*CP$51)/(CP$54)),IF(AND(Results!$E$4="Cells",Results!$E$5="Million",$B$52="million"),((CP22*CP$51)/(CP$52)),"0")))))</f>
        <v>0</v>
      </c>
      <c r="CQ75" s="20" t="str">
        <f>IF(CQ22=0,"0",IF(AND(Results!$E$5="Protein",$C$53&gt;0,OR(Results!$E$4="Tissue",Results!$E$4="Cells")),((CQ22*CQ$51)/(CQ$53)),IF(AND(Results!$E$5="Weight",$C$52&gt;0, Results!$E$4="Tissue",OR($B$52="g",$B$52="mg")),((CQ22*CQ$51)/(CQ$52)),IF(AND(Results!$E$5="Volume",$C$54&gt;0,Results!$E$4="Fluid"),((CQ22*CQ$51)/(CQ$54)),IF(AND(Results!$E$4="Cells",Results!$E$5="Million",$B$52="million"),((CQ22*CQ$51)/(CQ$52)),"0")))))</f>
        <v>0</v>
      </c>
      <c r="CR75" s="20" t="str">
        <f>IF(CR22=0,"0",IF(AND(Results!$E$5="Protein",$C$53&gt;0,OR(Results!$E$4="Tissue",Results!$E$4="Cells")),((CR22*CR$51)/(CR$53)),IF(AND(Results!$E$5="Weight",$C$52&gt;0, Results!$E$4="Tissue",OR($B$52="g",$B$52="mg")),((CR22*CR$51)/(CR$52)),IF(AND(Results!$E$5="Volume",$C$54&gt;0,Results!$E$4="Fluid"),((CR22*CR$51)/(CR$54)),IF(AND(Results!$E$4="Cells",Results!$E$5="Million",$B$52="million"),((CR22*CR$51)/(CR$52)),"0")))))</f>
        <v>0</v>
      </c>
      <c r="CS75" s="20" t="str">
        <f>IF(CS22=0,"0",IF(AND(Results!$E$5="Protein",$C$53&gt;0,OR(Results!$E$4="Tissue",Results!$E$4="Cells")),((CS22*CS$51)/(CS$53)),IF(AND(Results!$E$5="Weight",$C$52&gt;0, Results!$E$4="Tissue",OR($B$52="g",$B$52="mg")),((CS22*CS$51)/(CS$52)),IF(AND(Results!$E$5="Volume",$C$54&gt;0,Results!$E$4="Fluid"),((CS22*CS$51)/(CS$54)),IF(AND(Results!$E$4="Cells",Results!$E$5="Million",$B$52="million"),((CS22*CS$51)/(CS$52)),"0")))))</f>
        <v>0</v>
      </c>
      <c r="CT75" s="20" t="str">
        <f>IF(CT22=0,"0",IF(AND(Results!$E$5="Protein",$C$53&gt;0,OR(Results!$E$4="Tissue",Results!$E$4="Cells")),((CT22*CT$51)/(CT$53)),IF(AND(Results!$E$5="Weight",$C$52&gt;0, Results!$E$4="Tissue",OR($B$52="g",$B$52="mg")),((CT22*CT$51)/(CT$52)),IF(AND(Results!$E$5="Volume",$C$54&gt;0,Results!$E$4="Fluid"),((CT22*CT$51)/(CT$54)),IF(AND(Results!$E$4="Cells",Results!$E$5="Million",$B$52="million"),((CT22*CT$51)/(CT$52)),"0")))))</f>
        <v>0</v>
      </c>
      <c r="CU75" s="20" t="str">
        <f>IF(CU22=0,"0",IF(AND(Results!$E$5="Protein",$C$53&gt;0,OR(Results!$E$4="Tissue",Results!$E$4="Cells")),((CU22*CU$51)/(CU$53)),IF(AND(Results!$E$5="Weight",$C$52&gt;0, Results!$E$4="Tissue",OR($B$52="g",$B$52="mg")),((CU22*CU$51)/(CU$52)),IF(AND(Results!$E$5="Volume",$C$54&gt;0,Results!$E$4="Fluid"),((CU22*CU$51)/(CU$54)),IF(AND(Results!$E$4="Cells",Results!$E$5="Million",$B$52="million"),((CU22*CU$51)/(CU$52)),"0")))))</f>
        <v>0</v>
      </c>
      <c r="CV75" s="20" t="str">
        <f>IF(CV22=0,"0",IF(AND(Results!$E$5="Protein",$C$53&gt;0,OR(Results!$E$4="Tissue",Results!$E$4="Cells")),((CV22*CV$51)/(CV$53)),IF(AND(Results!$E$5="Weight",$C$52&gt;0, Results!$E$4="Tissue",OR($B$52="g",$B$52="mg")),((CV22*CV$51)/(CV$52)),IF(AND(Results!$E$5="Volume",$C$54&gt;0,Results!$E$4="Fluid"),((CV22*CV$51)/(CV$54)),IF(AND(Results!$E$4="Cells",Results!$E$5="Million",$B$52="million"),((CV22*CV$51)/(CV$52)),"0")))))</f>
        <v>0</v>
      </c>
      <c r="CW75" s="20" t="str">
        <f>IF(CW22=0,"0",IF(AND(Results!$E$5="Protein",$C$53&gt;0,OR(Results!$E$4="Tissue",Results!$E$4="Cells")),((CW22*CW$51)/(CW$53)),IF(AND(Results!$E$5="Weight",$C$52&gt;0, Results!$E$4="Tissue",OR($B$52="g",$B$52="mg")),((CW22*CW$51)/(CW$52)),IF(AND(Results!$E$5="Volume",$C$54&gt;0,Results!$E$4="Fluid"),((CW22*CW$51)/(CW$54)),IF(AND(Results!$E$4="Cells",Results!$E$5="Million",$B$52="million"),((CW22*CW$51)/(CW$52)),"0")))))</f>
        <v>0</v>
      </c>
      <c r="CX75" s="20" t="str">
        <f>IF(CX22=0,"0",IF(AND(Results!$E$5="Protein",$C$53&gt;0,OR(Results!$E$4="Tissue",Results!$E$4="Cells")),((CX22*CX$51)/(CX$53)),IF(AND(Results!$E$5="Weight",$C$52&gt;0, Results!$E$4="Tissue",OR($B$52="g",$B$52="mg")),((CX22*CX$51)/(CX$52)),IF(AND(Results!$E$5="Volume",$C$54&gt;0,Results!$E$4="Fluid"),((CX22*CX$51)/(CX$54)),IF(AND(Results!$E$4="Cells",Results!$E$5="Million",$B$52="million"),((CX22*CX$51)/(CX$52)),"0")))))</f>
        <v>0</v>
      </c>
      <c r="CY75" s="20" t="str">
        <f>IF(CY22=0,"0",IF(AND(Results!$E$5="Protein",$C$53&gt;0,OR(Results!$E$4="Tissue",Results!$E$4="Cells")),((CY22*CY$51)/(CY$53)),IF(AND(Results!$E$5="Weight",$C$52&gt;0, Results!$E$4="Tissue",OR($B$52="g",$B$52="mg")),((CY22*CY$51)/(CY$52)),IF(AND(Results!$E$5="Volume",$C$54&gt;0,Results!$E$4="Fluid"),((CY22*CY$51)/(CY$54)),IF(AND(Results!$E$4="Cells",Results!$E$5="Million",$B$52="million"),((CY22*CY$51)/(CY$52)),"0")))))</f>
        <v>0</v>
      </c>
      <c r="CZ75" s="20" t="str">
        <f>IF(CZ22=0,"0",IF(AND(Results!$E$5="Protein",$C$53&gt;0,OR(Results!$E$4="Tissue",Results!$E$4="Cells")),((CZ22*CZ$51)/(CZ$53)),IF(AND(Results!$E$5="Weight",$C$52&gt;0, Results!$E$4="Tissue",OR($B$52="g",$B$52="mg")),((CZ22*CZ$51)/(CZ$52)),IF(AND(Results!$E$5="Volume",$C$54&gt;0,Results!$E$4="Fluid"),((CZ22*CZ$51)/(CZ$54)),IF(AND(Results!$E$4="Cells",Results!$E$5="Million",$B$52="million"),((CZ22*CZ$51)/(CZ$52)),"0")))))</f>
        <v>0</v>
      </c>
      <c r="DA75" s="20" t="str">
        <f>IF(DA22=0,"0",IF(AND(Results!$E$5="Protein",$C$53&gt;0,OR(Results!$E$4="Tissue",Results!$E$4="Cells")),((DA22*DA$51)/(DA$53)),IF(AND(Results!$E$5="Weight",$C$52&gt;0, Results!$E$4="Tissue",OR($B$52="g",$B$52="mg")),((DA22*DA$51)/(DA$52)),IF(AND(Results!$E$5="Volume",$C$54&gt;0,Results!$E$4="Fluid"),((DA22*DA$51)/(DA$54)),IF(AND(Results!$E$4="Cells",Results!$E$5="Million",$B$52="million"),((DA22*DA$51)/(DA$52)),"0")))))</f>
        <v>0</v>
      </c>
      <c r="DB75" s="20" t="str">
        <f>IF(DB22=0,"0",IF(AND(Results!$E$5="Protein",$C$53&gt;0,OR(Results!$E$4="Tissue",Results!$E$4="Cells")),((DB22*DB$51)/(DB$53)),IF(AND(Results!$E$5="Weight",$C$52&gt;0, Results!$E$4="Tissue",OR($B$52="g",$B$52="mg")),((DB22*DB$51)/(DB$52)),IF(AND(Results!$E$5="Volume",$C$54&gt;0,Results!$E$4="Fluid"),((DB22*DB$51)/(DB$54)),IF(AND(Results!$E$4="Cells",Results!$E$5="Million",$B$52="million"),((DB22*DB$51)/(DB$52)),"0")))))</f>
        <v>0</v>
      </c>
      <c r="DC75" s="20" t="str">
        <f>IF(DC22=0,"0",IF(AND(Results!$E$5="Protein",$C$53&gt;0,OR(Results!$E$4="Tissue",Results!$E$4="Cells")),((DC22*DC$51)/(DC$53)),IF(AND(Results!$E$5="Weight",$C$52&gt;0, Results!$E$4="Tissue",OR($B$52="g",$B$52="mg")),((DC22*DC$51)/(DC$52)),IF(AND(Results!$E$5="Volume",$C$54&gt;0,Results!$E$4="Fluid"),((DC22*DC$51)/(DC$54)),IF(AND(Results!$E$4="Cells",Results!$E$5="Million",$B$52="million"),((DC22*DC$51)/(DC$52)),"0")))))</f>
        <v>0</v>
      </c>
      <c r="DD75" s="20" t="str">
        <f>IF(DD22=0,"0",IF(AND(Results!$E$5="Protein",$C$53&gt;0,OR(Results!$E$4="Tissue",Results!$E$4="Cells")),((DD22*DD$51)/(DD$53)),IF(AND(Results!$E$5="Weight",$C$52&gt;0, Results!$E$4="Tissue",OR($B$52="g",$B$52="mg")),((DD22*DD$51)/(DD$52)),IF(AND(Results!$E$5="Volume",$C$54&gt;0,Results!$E$4="Fluid"),((DD22*DD$51)/(DD$54)),IF(AND(Results!$E$4="Cells",Results!$E$5="Million",$B$52="million"),((DD22*DD$51)/(DD$52)),"0")))))</f>
        <v>0</v>
      </c>
      <c r="DE75" s="20" t="str">
        <f>IF(DE22=0,"0",IF(AND(Results!$E$5="Protein",$C$53&gt;0,OR(Results!$E$4="Tissue",Results!$E$4="Cells")),((DE22*DE$51)/(DE$53)),IF(AND(Results!$E$5="Weight",$C$52&gt;0, Results!$E$4="Tissue",OR($B$52="g",$B$52="mg")),((DE22*DE$51)/(DE$52)),IF(AND(Results!$E$5="Volume",$C$54&gt;0,Results!$E$4="Fluid"),((DE22*DE$51)/(DE$54)),IF(AND(Results!$E$4="Cells",Results!$E$5="Million",$B$52="million"),((DE22*DE$51)/(DE$52)),"0")))))</f>
        <v>0</v>
      </c>
      <c r="DF75" s="20" t="str">
        <f>IF(DF22=0,"0",IF(AND(Results!$E$5="Protein",$C$53&gt;0,OR(Results!$E$4="Tissue",Results!$E$4="Cells")),((DF22*DF$51)/(DF$53)),IF(AND(Results!$E$5="Weight",$C$52&gt;0, Results!$E$4="Tissue",OR($B$52="g",$B$52="mg")),((DF22*DF$51)/(DF$52)),IF(AND(Results!$E$5="Volume",$C$54&gt;0,Results!$E$4="Fluid"),((DF22*DF$51)/(DF$54)),IF(AND(Results!$E$4="Cells",Results!$E$5="Million",$B$52="million"),((DF22*DF$51)/(DF$52)),"0")))))</f>
        <v>0</v>
      </c>
      <c r="DG75" s="20" t="str">
        <f>IF(DG22=0,"0",IF(AND(Results!$E$5="Protein",$C$53&gt;0,OR(Results!$E$4="Tissue",Results!$E$4="Cells")),((DG22*DG$51)/(DG$53)),IF(AND(Results!$E$5="Weight",$C$52&gt;0, Results!$E$4="Tissue",OR($B$52="g",$B$52="mg")),((DG22*DG$51)/(DG$52)),IF(AND(Results!$E$5="Volume",$C$54&gt;0,Results!$E$4="Fluid"),((DG22*DG$51)/(DG$54)),IF(AND(Results!$E$4="Cells",Results!$E$5="Million",$B$52="million"),((DG22*DG$51)/(DG$52)),"0")))))</f>
        <v>0</v>
      </c>
      <c r="DH75" s="20" t="str">
        <f>IF(DH22=0,"0",IF(AND(Results!$E$5="Protein",$C$53&gt;0,OR(Results!$E$4="Tissue",Results!$E$4="Cells")),((DH22*DH$51)/(DH$53)),IF(AND(Results!$E$5="Weight",$C$52&gt;0, Results!$E$4="Tissue",OR($B$52="g",$B$52="mg")),((DH22*DH$51)/(DH$52)),IF(AND(Results!$E$5="Volume",$C$54&gt;0,Results!$E$4="Fluid"),((DH22*DH$51)/(DH$54)),IF(AND(Results!$E$4="Cells",Results!$E$5="Million",$B$52="million"),((DH22*DH$51)/(DH$52)),"0")))))</f>
        <v>0</v>
      </c>
      <c r="DI75" s="20" t="str">
        <f>IF(DI22=0,"0",IF(AND(Results!$E$5="Protein",$C$53&gt;0,OR(Results!$E$4="Tissue",Results!$E$4="Cells")),((DI22*DI$51)/(DI$53)),IF(AND(Results!$E$5="Weight",$C$52&gt;0, Results!$E$4="Tissue",OR($B$52="g",$B$52="mg")),((DI22*DI$51)/(DI$52)),IF(AND(Results!$E$5="Volume",$C$54&gt;0,Results!$E$4="Fluid"),((DI22*DI$51)/(DI$54)),IF(AND(Results!$E$4="Cells",Results!$E$5="Million",$B$52="million"),((DI22*DI$51)/(DI$52)),"0")))))</f>
        <v>0</v>
      </c>
      <c r="DJ75" s="20" t="str">
        <f>IF(DJ22=0,"0",IF(AND(Results!$E$5="Protein",$C$53&gt;0,OR(Results!$E$4="Tissue",Results!$E$4="Cells")),((DJ22*DJ$51)/(DJ$53)),IF(AND(Results!$E$5="Weight",$C$52&gt;0, Results!$E$4="Tissue",OR($B$52="g",$B$52="mg")),((DJ22*DJ$51)/(DJ$52)),IF(AND(Results!$E$5="Volume",$C$54&gt;0,Results!$E$4="Fluid"),((DJ22*DJ$51)/(DJ$54)),IF(AND(Results!$E$4="Cells",Results!$E$5="Million",$B$52="million"),((DJ22*DJ$51)/(DJ$52)),"0")))))</f>
        <v>0</v>
      </c>
      <c r="DK75" s="20" t="str">
        <f>IF(DK22=0,"0",IF(AND(Results!$E$5="Protein",$C$53&gt;0,OR(Results!$E$4="Tissue",Results!$E$4="Cells")),((DK22*DK$51)/(DK$53)),IF(AND(Results!$E$5="Weight",$C$52&gt;0, Results!$E$4="Tissue",OR($B$52="g",$B$52="mg")),((DK22*DK$51)/(DK$52)),IF(AND(Results!$E$5="Volume",$C$54&gt;0,Results!$E$4="Fluid"),((DK22*DK$51)/(DK$54)),IF(AND(Results!$E$4="Cells",Results!$E$5="Million",$B$52="million"),((DK22*DK$51)/(DK$52)),"0")))))</f>
        <v>0</v>
      </c>
      <c r="DL75" s="20" t="str">
        <f>IF(DL22=0,"0",IF(AND(Results!$E$5="Protein",$C$53&gt;0,OR(Results!$E$4="Tissue",Results!$E$4="Cells")),((DL22*DL$51)/(DL$53)),IF(AND(Results!$E$5="Weight",$C$52&gt;0, Results!$E$4="Tissue",OR($B$52="g",$B$52="mg")),((DL22*DL$51)/(DL$52)),IF(AND(Results!$E$5="Volume",$C$54&gt;0,Results!$E$4="Fluid"),((DL22*DL$51)/(DL$54)),IF(AND(Results!$E$4="Cells",Results!$E$5="Million",$B$52="million"),((DL22*DL$51)/(DL$52)),"0")))))</f>
        <v>0</v>
      </c>
      <c r="DM75" s="20" t="str">
        <f>IF(DM22=0,"0",IF(AND(Results!$E$5="Protein",$C$53&gt;0,OR(Results!$E$4="Tissue",Results!$E$4="Cells")),((DM22*DM$51)/(DM$53)),IF(AND(Results!$E$5="Weight",$C$52&gt;0, Results!$E$4="Tissue",OR($B$52="g",$B$52="mg")),((DM22*DM$51)/(DM$52)),IF(AND(Results!$E$5="Volume",$C$54&gt;0,Results!$E$4="Fluid"),((DM22*DM$51)/(DM$54)),IF(AND(Results!$E$4="Cells",Results!$E$5="Million",$B$52="million"),((DM22*DM$51)/(DM$52)),"0")))))</f>
        <v>0</v>
      </c>
      <c r="DN75" s="20" t="str">
        <f>IF(DN22=0,"0",IF(AND(Results!$E$5="Protein",$C$53&gt;0,OR(Results!$E$4="Tissue",Results!$E$4="Cells")),((DN22*DN$51)/(DN$53)),IF(AND(Results!$E$5="Weight",$C$52&gt;0, Results!$E$4="Tissue",OR($B$52="g",$B$52="mg")),((DN22*DN$51)/(DN$52)),IF(AND(Results!$E$5="Volume",$C$54&gt;0,Results!$E$4="Fluid"),((DN22*DN$51)/(DN$54)),IF(AND(Results!$E$4="Cells",Results!$E$5="Million",$B$52="million"),((DN22*DN$51)/(DN$52)),"0")))))</f>
        <v>0</v>
      </c>
      <c r="DO75" s="20" t="str">
        <f>IF(DO22=0,"0",IF(AND(Results!$E$5="Protein",$C$53&gt;0,OR(Results!$E$4="Tissue",Results!$E$4="Cells")),((DO22*DO$51)/(DO$53)),IF(AND(Results!$E$5="Weight",$C$52&gt;0, Results!$E$4="Tissue",OR($B$52="g",$B$52="mg")),((DO22*DO$51)/(DO$52)),IF(AND(Results!$E$5="Volume",$C$54&gt;0,Results!$E$4="Fluid"),((DO22*DO$51)/(DO$54)),IF(AND(Results!$E$4="Cells",Results!$E$5="Million",$B$52="million"),((DO22*DO$51)/(DO$52)),"0")))))</f>
        <v>0</v>
      </c>
      <c r="DP75" s="20" t="str">
        <f>IF(DP22=0,"0",IF(AND(Results!$E$5="Protein",$C$53&gt;0,OR(Results!$E$4="Tissue",Results!$E$4="Cells")),((DP22*DP$51)/(DP$53)),IF(AND(Results!$E$5="Weight",$C$52&gt;0, Results!$E$4="Tissue",OR($B$52="g",$B$52="mg")),((DP22*DP$51)/(DP$52)),IF(AND(Results!$E$5="Volume",$C$54&gt;0,Results!$E$4="Fluid"),((DP22*DP$51)/(DP$54)),IF(AND(Results!$E$4="Cells",Results!$E$5="Million",$B$52="million"),((DP22*DP$51)/(DP$52)),"0")))))</f>
        <v>0</v>
      </c>
      <c r="DQ75" s="20" t="str">
        <f>IF(DQ22=0,"0",IF(AND(Results!$E$5="Protein",$C$53&gt;0,OR(Results!$E$4="Tissue",Results!$E$4="Cells")),((DQ22*DQ$51)/(DQ$53)),IF(AND(Results!$E$5="Weight",$C$52&gt;0, Results!$E$4="Tissue",OR($B$52="g",$B$52="mg")),((DQ22*DQ$51)/(DQ$52)),IF(AND(Results!$E$5="Volume",$C$54&gt;0,Results!$E$4="Fluid"),((DQ22*DQ$51)/(DQ$54)),IF(AND(Results!$E$4="Cells",Results!$E$5="Million",$B$52="million"),((DQ22*DQ$51)/(DQ$52)),"0")))))</f>
        <v>0</v>
      </c>
      <c r="DR75" s="20" t="str">
        <f>IF(DR22=0,"0",IF(AND(Results!$E$5="Protein",$C$53&gt;0,OR(Results!$E$4="Tissue",Results!$E$4="Cells")),((DR22*DR$51)/(DR$53)),IF(AND(Results!$E$5="Weight",$C$52&gt;0, Results!$E$4="Tissue",OR($B$52="g",$B$52="mg")),((DR22*DR$51)/(DR$52)),IF(AND(Results!$E$5="Volume",$C$54&gt;0,Results!$E$4="Fluid"),((DR22*DR$51)/(DR$54)),IF(AND(Results!$E$4="Cells",Results!$E$5="Million",$B$52="million"),((DR22*DR$51)/(DR$52)),"0")))))</f>
        <v>0</v>
      </c>
      <c r="DS75" s="20" t="str">
        <f>IF(DS22=0,"0",IF(AND(Results!$E$5="Protein",$C$53&gt;0,OR(Results!$E$4="Tissue",Results!$E$4="Cells")),((DS22*DS$51)/(DS$53)),IF(AND(Results!$E$5="Weight",$C$52&gt;0, Results!$E$4="Tissue",OR($B$52="g",$B$52="mg")),((DS22*DS$51)/(DS$52)),IF(AND(Results!$E$5="Volume",$C$54&gt;0,Results!$E$4="Fluid"),((DS22*DS$51)/(DS$54)),IF(AND(Results!$E$4="Cells",Results!$E$5="Million",$B$52="million"),((DS22*DS$51)/(DS$52)),"0")))))</f>
        <v>0</v>
      </c>
      <c r="DT75" s="20" t="str">
        <f>IF(DT22=0,"0",IF(AND(Results!$E$5="Protein",$C$53&gt;0,OR(Results!$E$4="Tissue",Results!$E$4="Cells")),((DT22*DT$51)/(DT$53)),IF(AND(Results!$E$5="Weight",$C$52&gt;0, Results!$E$4="Tissue",OR($B$52="g",$B$52="mg")),((DT22*DT$51)/(DT$52)),IF(AND(Results!$E$5="Volume",$C$54&gt;0,Results!$E$4="Fluid"),((DT22*DT$51)/(DT$54)),IF(AND(Results!$E$4="Cells",Results!$E$5="Million",$B$52="million"),((DT22*DT$51)/(DT$52)),"0")))))</f>
        <v>0</v>
      </c>
      <c r="DU75" s="20" t="str">
        <f>IF(DU22=0,"0",IF(AND(Results!$E$5="Protein",$C$53&gt;0,OR(Results!$E$4="Tissue",Results!$E$4="Cells")),((DU22*DU$51)/(DU$53)),IF(AND(Results!$E$5="Weight",$C$52&gt;0, Results!$E$4="Tissue",OR($B$52="g",$B$52="mg")),((DU22*DU$51)/(DU$52)),IF(AND(Results!$E$5="Volume",$C$54&gt;0,Results!$E$4="Fluid"),((DU22*DU$51)/(DU$54)),IF(AND(Results!$E$4="Cells",Results!$E$5="Million",$B$52="million"),((DU22*DU$51)/(DU$52)),"0")))))</f>
        <v>0</v>
      </c>
      <c r="DV75" s="20" t="str">
        <f>IF(DV22=0,"0",IF(AND(Results!$E$5="Protein",$C$53&gt;0,OR(Results!$E$4="Tissue",Results!$E$4="Cells")),((DV22*DV$51)/(DV$53)),IF(AND(Results!$E$5="Weight",$C$52&gt;0, Results!$E$4="Tissue",OR($B$52="g",$B$52="mg")),((DV22*DV$51)/(DV$52)),IF(AND(Results!$E$5="Volume",$C$54&gt;0,Results!$E$4="Fluid"),((DV22*DV$51)/(DV$54)),IF(AND(Results!$E$4="Cells",Results!$E$5="Million",$B$52="million"),((DV22*DV$51)/(DV$52)),"0")))))</f>
        <v>0</v>
      </c>
      <c r="DW75" s="20" t="str">
        <f>IF(DW22=0,"0",IF(AND(Results!$E$5="Protein",$C$53&gt;0,OR(Results!$E$4="Tissue",Results!$E$4="Cells")),((DW22*DW$51)/(DW$53)),IF(AND(Results!$E$5="Weight",$C$52&gt;0, Results!$E$4="Tissue",OR($B$52="g",$B$52="mg")),((DW22*DW$51)/(DW$52)),IF(AND(Results!$E$5="Volume",$C$54&gt;0,Results!$E$4="Fluid"),((DW22*DW$51)/(DW$54)),IF(AND(Results!$E$4="Cells",Results!$E$5="Million",$B$52="million"),((DW22*DW$51)/(DW$52)),"0")))))</f>
        <v>0</v>
      </c>
      <c r="DX75" s="20" t="str">
        <f>IF(DX22=0,"0",IF(AND(Results!$E$5="Protein",$C$53&gt;0,OR(Results!$E$4="Tissue",Results!$E$4="Cells")),((DX22*DX$51)/(DX$53)),IF(AND(Results!$E$5="Weight",$C$52&gt;0, Results!$E$4="Tissue",OR($B$52="g",$B$52="mg")),((DX22*DX$51)/(DX$52)),IF(AND(Results!$E$5="Volume",$C$54&gt;0,Results!$E$4="Fluid"),((DX22*DX$51)/(DX$54)),IF(AND(Results!$E$4="Cells",Results!$E$5="Million",$B$52="million"),((DX22*DX$51)/(DX$52)),"0")))))</f>
        <v>0</v>
      </c>
      <c r="DY75" s="20" t="str">
        <f>IF(DY22=0,"0",IF(AND(Results!$E$5="Protein",$C$53&gt;0,OR(Results!$E$4="Tissue",Results!$E$4="Cells")),((DY22*DY$51)/(DY$53)),IF(AND(Results!$E$5="Weight",$C$52&gt;0, Results!$E$4="Tissue",OR($B$52="g",$B$52="mg")),((DY22*DY$51)/(DY$52)),IF(AND(Results!$E$5="Volume",$C$54&gt;0,Results!$E$4="Fluid"),((DY22*DY$51)/(DY$54)),IF(AND(Results!$E$4="Cells",Results!$E$5="Million",$B$52="million"),((DY22*DY$51)/(DY$52)),"0")))))</f>
        <v>0</v>
      </c>
      <c r="DZ75" s="20" t="str">
        <f>IF(DZ22=0,"0",IF(AND(Results!$E$5="Protein",$C$53&gt;0,OR(Results!$E$4="Tissue",Results!$E$4="Cells")),((DZ22*DZ$51)/(DZ$53)),IF(AND(Results!$E$5="Weight",$C$52&gt;0, Results!$E$4="Tissue",OR($B$52="g",$B$52="mg")),((DZ22*DZ$51)/(DZ$52)),IF(AND(Results!$E$5="Volume",$C$54&gt;0,Results!$E$4="Fluid"),((DZ22*DZ$51)/(DZ$54)),IF(AND(Results!$E$4="Cells",Results!$E$5="Million",$B$52="million"),((DZ22*DZ$51)/(DZ$52)),"0")))))</f>
        <v>0</v>
      </c>
      <c r="EA75" s="20" t="str">
        <f>IF(EA22=0,"0",IF(AND(Results!$E$5="Protein",$C$53&gt;0,OR(Results!$E$4="Tissue",Results!$E$4="Cells")),((EA22*EA$51)/(EA$53)),IF(AND(Results!$E$5="Weight",$C$52&gt;0, Results!$E$4="Tissue",OR($B$52="g",$B$52="mg")),((EA22*EA$51)/(EA$52)),IF(AND(Results!$E$5="Volume",$C$54&gt;0,Results!$E$4="Fluid"),((EA22*EA$51)/(EA$54)),IF(AND(Results!$E$4="Cells",Results!$E$5="Million",$B$52="million"),((EA22*EA$51)/(EA$52)),"0")))))</f>
        <v>0</v>
      </c>
      <c r="EB75" s="20" t="str">
        <f>IF(EB22=0,"0",IF(AND(Results!$E$5="Protein",$C$53&gt;0,OR(Results!$E$4="Tissue",Results!$E$4="Cells")),((EB22*EB$51)/(EB$53)),IF(AND(Results!$E$5="Weight",$C$52&gt;0, Results!$E$4="Tissue",OR($B$52="g",$B$52="mg")),((EB22*EB$51)/(EB$52)),IF(AND(Results!$E$5="Volume",$C$54&gt;0,Results!$E$4="Fluid"),((EB22*EB$51)/(EB$54)),IF(AND(Results!$E$4="Cells",Results!$E$5="Million",$B$52="million"),((EB22*EB$51)/(EB$52)),"0")))))</f>
        <v>0</v>
      </c>
      <c r="EC75" s="20" t="str">
        <f>IF(EC22=0,"0",IF(AND(Results!$E$5="Protein",$C$53&gt;0,OR(Results!$E$4="Tissue",Results!$E$4="Cells")),((EC22*EC$51)/(EC$53)),IF(AND(Results!$E$5="Weight",$C$52&gt;0, Results!$E$4="Tissue",OR($B$52="g",$B$52="mg")),((EC22*EC$51)/(EC$52)),IF(AND(Results!$E$5="Volume",$C$54&gt;0,Results!$E$4="Fluid"),((EC22*EC$51)/(EC$54)),IF(AND(Results!$E$4="Cells",Results!$E$5="Million",$B$52="million"),((EC22*EC$51)/(EC$52)),"0")))))</f>
        <v>0</v>
      </c>
      <c r="ED75" s="20" t="str">
        <f>IF(ED22=0,"0",IF(AND(Results!$E$5="Protein",$C$53&gt;0,OR(Results!$E$4="Tissue",Results!$E$4="Cells")),((ED22*ED$51)/(ED$53)),IF(AND(Results!$E$5="Weight",$C$52&gt;0, Results!$E$4="Tissue",OR($B$52="g",$B$52="mg")),((ED22*ED$51)/(ED$52)),IF(AND(Results!$E$5="Volume",$C$54&gt;0,Results!$E$4="Fluid"),((ED22*ED$51)/(ED$54)),IF(AND(Results!$E$4="Cells",Results!$E$5="Million",$B$52="million"),((ED22*ED$51)/(ED$52)),"0")))))</f>
        <v>0</v>
      </c>
      <c r="EE75" s="20" t="str">
        <f>IF(EE22=0,"0",IF(AND(Results!$E$5="Protein",$C$53&gt;0,OR(Results!$E$4="Tissue",Results!$E$4="Cells")),((EE22*EE$51)/(EE$53)),IF(AND(Results!$E$5="Weight",$C$52&gt;0, Results!$E$4="Tissue",OR($B$52="g",$B$52="mg")),((EE22*EE$51)/(EE$52)),IF(AND(Results!$E$5="Volume",$C$54&gt;0,Results!$E$4="Fluid"),((EE22*EE$51)/(EE$54)),IF(AND(Results!$E$4="Cells",Results!$E$5="Million",$B$52="million"),((EE22*EE$51)/(EE$52)),"0")))))</f>
        <v>0</v>
      </c>
      <c r="EF75" s="20" t="str">
        <f>IF(EF22=0,"0",IF(AND(Results!$E$5="Protein",$C$53&gt;0,OR(Results!$E$4="Tissue",Results!$E$4="Cells")),((EF22*EF$51)/(EF$53)),IF(AND(Results!$E$5="Weight",$C$52&gt;0, Results!$E$4="Tissue",OR($B$52="g",$B$52="mg")),((EF22*EF$51)/(EF$52)),IF(AND(Results!$E$5="Volume",$C$54&gt;0,Results!$E$4="Fluid"),((EF22*EF$51)/(EF$54)),IF(AND(Results!$E$4="Cells",Results!$E$5="Million",$B$52="million"),((EF22*EF$51)/(EF$52)),"0")))))</f>
        <v>0</v>
      </c>
      <c r="EG75" s="20" t="str">
        <f>IF(EG22=0,"0",IF(AND(Results!$E$5="Protein",$C$53&gt;0,OR(Results!$E$4="Tissue",Results!$E$4="Cells")),((EG22*EG$51)/(EG$53)),IF(AND(Results!$E$5="Weight",$C$52&gt;0, Results!$E$4="Tissue",OR($B$52="g",$B$52="mg")),((EG22*EG$51)/(EG$52)),IF(AND(Results!$E$5="Volume",$C$54&gt;0,Results!$E$4="Fluid"),((EG22*EG$51)/(EG$54)),IF(AND(Results!$E$4="Cells",Results!$E$5="Million",$B$52="million"),((EG22*EG$51)/(EG$52)),"0")))))</f>
        <v>0</v>
      </c>
      <c r="EH75" s="20" t="str">
        <f>IF(EH22=0,"0",IF(AND(Results!$E$5="Protein",$C$53&gt;0,OR(Results!$E$4="Tissue",Results!$E$4="Cells")),((EH22*EH$51)/(EH$53)),IF(AND(Results!$E$5="Weight",$C$52&gt;0, Results!$E$4="Tissue",OR($B$52="g",$B$52="mg")),((EH22*EH$51)/(EH$52)),IF(AND(Results!$E$5="Volume",$C$54&gt;0,Results!$E$4="Fluid"),((EH22*EH$51)/(EH$54)),IF(AND(Results!$E$4="Cells",Results!$E$5="Million",$B$52="million"),((EH22*EH$51)/(EH$52)),"0")))))</f>
        <v>0</v>
      </c>
      <c r="EI75" s="20" t="str">
        <f>IF(EI22=0,"0",IF(AND(Results!$E$5="Protein",$C$53&gt;0,OR(Results!$E$4="Tissue",Results!$E$4="Cells")),((EI22*EI$51)/(EI$53)),IF(AND(Results!$E$5="Weight",$C$52&gt;0, Results!$E$4="Tissue",OR($B$52="g",$B$52="mg")),((EI22*EI$51)/(EI$52)),IF(AND(Results!$E$5="Volume",$C$54&gt;0,Results!$E$4="Fluid"),((EI22*EI$51)/(EI$54)),IF(AND(Results!$E$4="Cells",Results!$E$5="Million",$B$52="million"),((EI22*EI$51)/(EI$52)),"0")))))</f>
        <v>0</v>
      </c>
      <c r="EJ75" s="20" t="str">
        <f>IF(EJ22=0,"0",IF(AND(Results!$E$5="Protein",$C$53&gt;0,OR(Results!$E$4="Tissue",Results!$E$4="Cells")),((EJ22*EJ$51)/(EJ$53)),IF(AND(Results!$E$5="Weight",$C$52&gt;0, Results!$E$4="Tissue",OR($B$52="g",$B$52="mg")),((EJ22*EJ$51)/(EJ$52)),IF(AND(Results!$E$5="Volume",$C$54&gt;0,Results!$E$4="Fluid"),((EJ22*EJ$51)/(EJ$54)),IF(AND(Results!$E$4="Cells",Results!$E$5="Million",$B$52="million"),((EJ22*EJ$51)/(EJ$52)),"0")))))</f>
        <v>0</v>
      </c>
      <c r="EK75" s="20" t="str">
        <f>IF(EK22=0,"0",IF(AND(Results!$E$5="Protein",$C$53&gt;0,OR(Results!$E$4="Tissue",Results!$E$4="Cells")),((EK22*EK$51)/(EK$53)),IF(AND(Results!$E$5="Weight",$C$52&gt;0, Results!$E$4="Tissue",OR($B$52="g",$B$52="mg")),((EK22*EK$51)/(EK$52)),IF(AND(Results!$E$5="Volume",$C$54&gt;0,Results!$E$4="Fluid"),((EK22*EK$51)/(EK$54)),IF(AND(Results!$E$4="Cells",Results!$E$5="Million",$B$52="million"),((EK22*EK$51)/(EK$52)),"0")))))</f>
        <v>0</v>
      </c>
      <c r="EL75" s="20" t="str">
        <f>IF(EL22=0,"0",IF(AND(Results!$E$5="Protein",$C$53&gt;0,OR(Results!$E$4="Tissue",Results!$E$4="Cells")),((EL22*EL$51)/(EL$53)),IF(AND(Results!$E$5="Weight",$C$52&gt;0, Results!$E$4="Tissue",OR($B$52="g",$B$52="mg")),((EL22*EL$51)/(EL$52)),IF(AND(Results!$E$5="Volume",$C$54&gt;0,Results!$E$4="Fluid"),((EL22*EL$51)/(EL$54)),IF(AND(Results!$E$4="Cells",Results!$E$5="Million",$B$52="million"),((EL22*EL$51)/(EL$52)),"0")))))</f>
        <v>0</v>
      </c>
      <c r="EM75" s="20" t="str">
        <f>IF(EM22=0,"0",IF(AND(Results!$E$5="Protein",$C$53&gt;0,OR(Results!$E$4="Tissue",Results!$E$4="Cells")),((EM22*EM$51)/(EM$53)),IF(AND(Results!$E$5="Weight",$C$52&gt;0, Results!$E$4="Tissue",OR($B$52="g",$B$52="mg")),((EM22*EM$51)/(EM$52)),IF(AND(Results!$E$5="Volume",$C$54&gt;0,Results!$E$4="Fluid"),((EM22*EM$51)/(EM$54)),IF(AND(Results!$E$4="Cells",Results!$E$5="Million",$B$52="million"),((EM22*EM$51)/(EM$52)),"0")))))</f>
        <v>0</v>
      </c>
      <c r="EN75" s="20" t="str">
        <f>IF(EN22=0,"0",IF(AND(Results!$E$5="Protein",$C$53&gt;0,OR(Results!$E$4="Tissue",Results!$E$4="Cells")),((EN22*EN$51)/(EN$53)),IF(AND(Results!$E$5="Weight",$C$52&gt;0, Results!$E$4="Tissue",OR($B$52="g",$B$52="mg")),((EN22*EN$51)/(EN$52)),IF(AND(Results!$E$5="Volume",$C$54&gt;0,Results!$E$4="Fluid"),((EN22*EN$51)/(EN$54)),IF(AND(Results!$E$4="Cells",Results!$E$5="Million",$B$52="million"),((EN22*EN$51)/(EN$52)),"0")))))</f>
        <v>0</v>
      </c>
      <c r="EO75" s="20" t="str">
        <f>IF(EO22=0,"0",IF(AND(Results!$E$5="Protein",$C$53&gt;0,OR(Results!$E$4="Tissue",Results!$E$4="Cells")),((EO22*EO$51)/(EO$53)),IF(AND(Results!$E$5="Weight",$C$52&gt;0, Results!$E$4="Tissue",OR($B$52="g",$B$52="mg")),((EO22*EO$51)/(EO$52)),IF(AND(Results!$E$5="Volume",$C$54&gt;0,Results!$E$4="Fluid"),((EO22*EO$51)/(EO$54)),IF(AND(Results!$E$4="Cells",Results!$E$5="Million",$B$52="million"),((EO22*EO$51)/(EO$52)),"0")))))</f>
        <v>0</v>
      </c>
      <c r="EP75" s="20" t="str">
        <f>IF(EP22=0,"0",IF(AND(Results!$E$5="Protein",$C$53&gt;0,OR(Results!$E$4="Tissue",Results!$E$4="Cells")),((EP22*EP$51)/(EP$53)),IF(AND(Results!$E$5="Weight",$C$52&gt;0, Results!$E$4="Tissue",OR($B$52="g",$B$52="mg")),((EP22*EP$51)/(EP$52)),IF(AND(Results!$E$5="Volume",$C$54&gt;0,Results!$E$4="Fluid"),((EP22*EP$51)/(EP$54)),IF(AND(Results!$E$4="Cells",Results!$E$5="Million",$B$52="million"),((EP22*EP$51)/(EP$52)),"0")))))</f>
        <v>0</v>
      </c>
      <c r="EQ75" s="20" t="str">
        <f>IF(EQ22=0,"0",IF(AND(Results!$E$5="Protein",$C$53&gt;0,OR(Results!$E$4="Tissue",Results!$E$4="Cells")),((EQ22*EQ$51)/(EQ$53)),IF(AND(Results!$E$5="Weight",$C$52&gt;0, Results!$E$4="Tissue",OR($B$52="g",$B$52="mg")),((EQ22*EQ$51)/(EQ$52)),IF(AND(Results!$E$5="Volume",$C$54&gt;0,Results!$E$4="Fluid"),((EQ22*EQ$51)/(EQ$54)),IF(AND(Results!$E$4="Cells",Results!$E$5="Million",$B$52="million"),((EQ22*EQ$51)/(EQ$52)),"0")))))</f>
        <v>0</v>
      </c>
      <c r="ER75" s="20" t="str">
        <f>IF(ER22=0,"0",IF(AND(Results!$E$5="Protein",$C$53&gt;0,OR(Results!$E$4="Tissue",Results!$E$4="Cells")),((ER22*ER$51)/(ER$53)),IF(AND(Results!$E$5="Weight",$C$52&gt;0, Results!$E$4="Tissue",OR($B$52="g",$B$52="mg")),((ER22*ER$51)/(ER$52)),IF(AND(Results!$E$5="Volume",$C$54&gt;0,Results!$E$4="Fluid"),((ER22*ER$51)/(ER$54)),IF(AND(Results!$E$4="Cells",Results!$E$5="Million",$B$52="million"),((ER22*ER$51)/(ER$52)),"0")))))</f>
        <v>0</v>
      </c>
      <c r="ES75" s="20" t="str">
        <f>IF(ES22=0,"0",IF(AND(Results!$E$5="Protein",$C$53&gt;0,OR(Results!$E$4="Tissue",Results!$E$4="Cells")),((ES22*ES$51)/(ES$53)),IF(AND(Results!$E$5="Weight",$C$52&gt;0, Results!$E$4="Tissue",OR($B$52="g",$B$52="mg")),((ES22*ES$51)/(ES$52)),IF(AND(Results!$E$5="Volume",$C$54&gt;0,Results!$E$4="Fluid"),((ES22*ES$51)/(ES$54)),IF(AND(Results!$E$4="Cells",Results!$E$5="Million",$B$52="million"),((ES22*ES$51)/(ES$52)),"0")))))</f>
        <v>0</v>
      </c>
      <c r="ET75" s="20" t="str">
        <f>IF(ET22=0,"0",IF(AND(Results!$E$5="Protein",$C$53&gt;0,OR(Results!$E$4="Tissue",Results!$E$4="Cells")),((ET22*ET$51)/(ET$53)),IF(AND(Results!$E$5="Weight",$C$52&gt;0, Results!$E$4="Tissue",OR($B$52="g",$B$52="mg")),((ET22*ET$51)/(ET$52)),IF(AND(Results!$E$5="Volume",$C$54&gt;0,Results!$E$4="Fluid"),((ET22*ET$51)/(ET$54)),IF(AND(Results!$E$4="Cells",Results!$E$5="Million",$B$52="million"),((ET22*ET$51)/(ET$52)),"0")))))</f>
        <v>0</v>
      </c>
      <c r="EU75" s="20" t="str">
        <f>IF(EU22=0,"0",IF(AND(Results!$E$5="Protein",$C$53&gt;0,OR(Results!$E$4="Tissue",Results!$E$4="Cells")),((EU22*EU$51)/(EU$53)),IF(AND(Results!$E$5="Weight",$C$52&gt;0, Results!$E$4="Tissue",OR($B$52="g",$B$52="mg")),((EU22*EU$51)/(EU$52)),IF(AND(Results!$E$5="Volume",$C$54&gt;0,Results!$E$4="Fluid"),((EU22*EU$51)/(EU$54)),IF(AND(Results!$E$4="Cells",Results!$E$5="Million",$B$52="million"),((EU22*EU$51)/(EU$52)),"0")))))</f>
        <v>0</v>
      </c>
      <c r="EV75" s="20" t="str">
        <f>IF(EV22=0,"0",IF(AND(Results!$E$5="Protein",$C$53&gt;0,OR(Results!$E$4="Tissue",Results!$E$4="Cells")),((EV22*EV$51)/(EV$53)),IF(AND(Results!$E$5="Weight",$C$52&gt;0, Results!$E$4="Tissue",OR($B$52="g",$B$52="mg")),((EV22*EV$51)/(EV$52)),IF(AND(Results!$E$5="Volume",$C$54&gt;0,Results!$E$4="Fluid"),((EV22*EV$51)/(EV$54)),IF(AND(Results!$E$4="Cells",Results!$E$5="Million",$B$52="million"),((EV22*EV$51)/(EV$52)),"0")))))</f>
        <v>0</v>
      </c>
      <c r="EW75" s="20" t="str">
        <f>IF(EW22=0,"0",IF(AND(Results!$E$5="Protein",$C$53&gt;0,OR(Results!$E$4="Tissue",Results!$E$4="Cells")),((EW22*EW$51)/(EW$53)),IF(AND(Results!$E$5="Weight",$C$52&gt;0, Results!$E$4="Tissue",OR($B$52="g",$B$52="mg")),((EW22*EW$51)/(EW$52)),IF(AND(Results!$E$5="Volume",$C$54&gt;0,Results!$E$4="Fluid"),((EW22*EW$51)/(EW$54)),IF(AND(Results!$E$4="Cells",Results!$E$5="Million",$B$52="million"),((EW22*EW$51)/(EW$52)),"0")))))</f>
        <v>0</v>
      </c>
      <c r="EX75" s="20" t="str">
        <f>IF(EX22=0,"0",IF(AND(Results!$E$5="Protein",$C$53&gt;0,OR(Results!$E$4="Tissue",Results!$E$4="Cells")),((EX22*EX$51)/(EX$53)),IF(AND(Results!$E$5="Weight",$C$52&gt;0, Results!$E$4="Tissue",OR($B$52="g",$B$52="mg")),((EX22*EX$51)/(EX$52)),IF(AND(Results!$E$5="Volume",$C$54&gt;0,Results!$E$4="Fluid"),((EX22*EX$51)/(EX$54)),IF(AND(Results!$E$4="Cells",Results!$E$5="Million",$B$52="million"),((EX22*EX$51)/(EX$52)),"0")))))</f>
        <v>0</v>
      </c>
      <c r="EY75" s="20" t="str">
        <f>IF(EY22=0,"0",IF(AND(Results!$E$5="Protein",$C$53&gt;0,OR(Results!$E$4="Tissue",Results!$E$4="Cells")),((EY22*EY$51)/(EY$53)),IF(AND(Results!$E$5="Weight",$C$52&gt;0, Results!$E$4="Tissue",OR($B$52="g",$B$52="mg")),((EY22*EY$51)/(EY$52)),IF(AND(Results!$E$5="Volume",$C$54&gt;0,Results!$E$4="Fluid"),((EY22*EY$51)/(EY$54)),IF(AND(Results!$E$4="Cells",Results!$E$5="Million",$B$52="million"),((EY22*EY$51)/(EY$52)),"0")))))</f>
        <v>0</v>
      </c>
      <c r="EZ75" s="20" t="str">
        <f>IF(EZ22=0,"0",IF(AND(Results!$E$5="Protein",$C$53&gt;0,OR(Results!$E$4="Tissue",Results!$E$4="Cells")),((EZ22*EZ$51)/(EZ$53)),IF(AND(Results!$E$5="Weight",$C$52&gt;0, Results!$E$4="Tissue",OR($B$52="g",$B$52="mg")),((EZ22*EZ$51)/(EZ$52)),IF(AND(Results!$E$5="Volume",$C$54&gt;0,Results!$E$4="Fluid"),((EZ22*EZ$51)/(EZ$54)),IF(AND(Results!$E$4="Cells",Results!$E$5="Million",$B$52="million"),((EZ22*EZ$51)/(EZ$52)),"0")))))</f>
        <v>0</v>
      </c>
      <c r="FA75" s="20" t="str">
        <f>IF(FA22=0,"0",IF(AND(Results!$E$5="Protein",$C$53&gt;0,OR(Results!$E$4="Tissue",Results!$E$4="Cells")),((FA22*FA$51)/(FA$53)),IF(AND(Results!$E$5="Weight",$C$52&gt;0, Results!$E$4="Tissue",OR($B$52="g",$B$52="mg")),((FA22*FA$51)/(FA$52)),IF(AND(Results!$E$5="Volume",$C$54&gt;0,Results!$E$4="Fluid"),((FA22*FA$51)/(FA$54)),IF(AND(Results!$E$4="Cells",Results!$E$5="Million",$B$52="million"),((FA22*FA$51)/(FA$52)),"0")))))</f>
        <v>0</v>
      </c>
      <c r="FB75" s="20" t="str">
        <f>IF(FB22=0,"0",IF(AND(Results!$E$5="Protein",$C$53&gt;0,OR(Results!$E$4="Tissue",Results!$E$4="Cells")),((FB22*FB$51)/(FB$53)),IF(AND(Results!$E$5="Weight",$C$52&gt;0, Results!$E$4="Tissue",OR($B$52="g",$B$52="mg")),((FB22*FB$51)/(FB$52)),IF(AND(Results!$E$5="Volume",$C$54&gt;0,Results!$E$4="Fluid"),((FB22*FB$51)/(FB$54)),IF(AND(Results!$E$4="Cells",Results!$E$5="Million",$B$52="million"),((FB22*FB$51)/(FB$52)),"0")))))</f>
        <v>0</v>
      </c>
      <c r="FC75" s="20" t="str">
        <f>IF(FC22=0,"0",IF(AND(Results!$E$5="Protein",$C$53&gt;0,OR(Results!$E$4="Tissue",Results!$E$4="Cells")),((FC22*FC$51)/(FC$53)),IF(AND(Results!$E$5="Weight",$C$52&gt;0, Results!$E$4="Tissue",OR($B$52="g",$B$52="mg")),((FC22*FC$51)/(FC$52)),IF(AND(Results!$E$5="Volume",$C$54&gt;0,Results!$E$4="Fluid"),((FC22*FC$51)/(FC$54)),IF(AND(Results!$E$4="Cells",Results!$E$5="Million",$B$52="million"),((FC22*FC$51)/(FC$52)),"0")))))</f>
        <v>0</v>
      </c>
      <c r="FD75" s="20" t="str">
        <f>IF(FD22=0,"0",IF(AND(Results!$E$5="Protein",$C$53&gt;0,OR(Results!$E$4="Tissue",Results!$E$4="Cells")),((FD22*FD$51)/(FD$53)),IF(AND(Results!$E$5="Weight",$C$52&gt;0, Results!$E$4="Tissue",OR($B$52="g",$B$52="mg")),((FD22*FD$51)/(FD$52)),IF(AND(Results!$E$5="Volume",$C$54&gt;0,Results!$E$4="Fluid"),((FD22*FD$51)/(FD$54)),IF(AND(Results!$E$4="Cells",Results!$E$5="Million",$B$52="million"),((FD22*FD$51)/(FD$52)),"0")))))</f>
        <v>0</v>
      </c>
      <c r="FE75" s="20" t="str">
        <f>IF(FE22=0,"0",IF(AND(Results!$E$5="Protein",$C$53&gt;0,OR(Results!$E$4="Tissue",Results!$E$4="Cells")),((FE22*FE$51)/(FE$53)),IF(AND(Results!$E$5="Weight",$C$52&gt;0, Results!$E$4="Tissue",OR($B$52="g",$B$52="mg")),((FE22*FE$51)/(FE$52)),IF(AND(Results!$E$5="Volume",$C$54&gt;0,Results!$E$4="Fluid"),((FE22*FE$51)/(FE$54)),IF(AND(Results!$E$4="Cells",Results!$E$5="Million",$B$52="million"),((FE22*FE$51)/(FE$52)),"0")))))</f>
        <v>0</v>
      </c>
      <c r="FF75" s="20" t="str">
        <f>IF(FF22=0,"0",IF(AND(Results!$E$5="Protein",$C$53&gt;0,OR(Results!$E$4="Tissue",Results!$E$4="Cells")),((FF22*FF$51)/(FF$53)),IF(AND(Results!$E$5="Weight",$C$52&gt;0, Results!$E$4="Tissue",OR($B$52="g",$B$52="mg")),((FF22*FF$51)/(FF$52)),IF(AND(Results!$E$5="Volume",$C$54&gt;0,Results!$E$4="Fluid"),((FF22*FF$51)/(FF$54)),IF(AND(Results!$E$4="Cells",Results!$E$5="Million",$B$52="million"),((FF22*FF$51)/(FF$52)),"0")))))</f>
        <v>0</v>
      </c>
      <c r="FG75" s="20" t="str">
        <f>IF(FG22=0,"0",IF(AND(Results!$E$5="Protein",$C$53&gt;0,OR(Results!$E$4="Tissue",Results!$E$4="Cells")),((FG22*FG$51)/(FG$53)),IF(AND(Results!$E$5="Weight",$C$52&gt;0, Results!$E$4="Tissue",OR($B$52="g",$B$52="mg")),((FG22*FG$51)/(FG$52)),IF(AND(Results!$E$5="Volume",$C$54&gt;0,Results!$E$4="Fluid"),((FG22*FG$51)/(FG$54)),IF(AND(Results!$E$4="Cells",Results!$E$5="Million",$B$52="million"),((FG22*FG$51)/(FG$52)),"0")))))</f>
        <v>0</v>
      </c>
      <c r="FH75" s="20" t="str">
        <f>IF(FH22=0,"0",IF(AND(Results!$E$5="Protein",$C$53&gt;0,OR(Results!$E$4="Tissue",Results!$E$4="Cells")),((FH22*FH$51)/(FH$53)),IF(AND(Results!$E$5="Weight",$C$52&gt;0, Results!$E$4="Tissue",OR($B$52="g",$B$52="mg")),((FH22*FH$51)/(FH$52)),IF(AND(Results!$E$5="Volume",$C$54&gt;0,Results!$E$4="Fluid"),((FH22*FH$51)/(FH$54)),IF(AND(Results!$E$4="Cells",Results!$E$5="Million",$B$52="million"),((FH22*FH$51)/(FH$52)),"0")))))</f>
        <v>0</v>
      </c>
      <c r="FI75" s="20" t="str">
        <f>IF(FI22=0,"0",IF(AND(Results!$E$5="Protein",$C$53&gt;0,OR(Results!$E$4="Tissue",Results!$E$4="Cells")),((FI22*FI$51)/(FI$53)),IF(AND(Results!$E$5="Weight",$C$52&gt;0, Results!$E$4="Tissue",OR($B$52="g",$B$52="mg")),((FI22*FI$51)/(FI$52)),IF(AND(Results!$E$5="Volume",$C$54&gt;0,Results!$E$4="Fluid"),((FI22*FI$51)/(FI$54)),IF(AND(Results!$E$4="Cells",Results!$E$5="Million",$B$52="million"),((FI22*FI$51)/(FI$52)),"0")))))</f>
        <v>0</v>
      </c>
      <c r="FJ75" s="20" t="str">
        <f>IF(FJ22=0,"0",IF(AND(Results!$E$5="Protein",$C$53&gt;0,OR(Results!$E$4="Tissue",Results!$E$4="Cells")),((FJ22*FJ$51)/(FJ$53)),IF(AND(Results!$E$5="Weight",$C$52&gt;0, Results!$E$4="Tissue",OR($B$52="g",$B$52="mg")),((FJ22*FJ$51)/(FJ$52)),IF(AND(Results!$E$5="Volume",$C$54&gt;0,Results!$E$4="Fluid"),((FJ22*FJ$51)/(FJ$54)),IF(AND(Results!$E$4="Cells",Results!$E$5="Million",$B$52="million"),((FJ22*FJ$51)/(FJ$52)),"0")))))</f>
        <v>0</v>
      </c>
      <c r="FK75" s="20" t="str">
        <f>IF(FK22=0,"0",IF(AND(Results!$E$5="Protein",$C$53&gt;0,OR(Results!$E$4="Tissue",Results!$E$4="Cells")),((FK22*FK$51)/(FK$53)),IF(AND(Results!$E$5="Weight",$C$52&gt;0, Results!$E$4="Tissue",OR($B$52="g",$B$52="mg")),((FK22*FK$51)/(FK$52)),IF(AND(Results!$E$5="Volume",$C$54&gt;0,Results!$E$4="Fluid"),((FK22*FK$51)/(FK$54)),IF(AND(Results!$E$4="Cells",Results!$E$5="Million",$B$52="million"),((FK22*FK$51)/(FK$52)),"0")))))</f>
        <v>0</v>
      </c>
      <c r="FL75" s="20" t="str">
        <f>IF(FL22=0,"0",IF(AND(Results!$E$5="Protein",$C$53&gt;0,OR(Results!$E$4="Tissue",Results!$E$4="Cells")),((FL22*FL$51)/(FL$53)),IF(AND(Results!$E$5="Weight",$C$52&gt;0, Results!$E$4="Tissue",OR($B$52="g",$B$52="mg")),((FL22*FL$51)/(FL$52)),IF(AND(Results!$E$5="Volume",$C$54&gt;0,Results!$E$4="Fluid"),((FL22*FL$51)/(FL$54)),IF(AND(Results!$E$4="Cells",Results!$E$5="Million",$B$52="million"),((FL22*FL$51)/(FL$52)),"0")))))</f>
        <v>0</v>
      </c>
      <c r="FM75" s="20" t="str">
        <f>IF(FM22=0,"0",IF(AND(Results!$E$5="Protein",$C$53&gt;0,OR(Results!$E$4="Tissue",Results!$E$4="Cells")),((FM22*FM$51)/(FM$53)),IF(AND(Results!$E$5="Weight",$C$52&gt;0, Results!$E$4="Tissue",OR($B$52="g",$B$52="mg")),((FM22*FM$51)/(FM$52)),IF(AND(Results!$E$5="Volume",$C$54&gt;0,Results!$E$4="Fluid"),((FM22*FM$51)/(FM$54)),IF(AND(Results!$E$4="Cells",Results!$E$5="Million",$B$52="million"),((FM22*FM$51)/(FM$52)),"0")))))</f>
        <v>0</v>
      </c>
      <c r="FN75" s="20" t="str">
        <f>IF(FN22=0,"0",IF(AND(Results!$E$5="Protein",$C$53&gt;0,OR(Results!$E$4="Tissue",Results!$E$4="Cells")),((FN22*FN$51)/(FN$53)),IF(AND(Results!$E$5="Weight",$C$52&gt;0, Results!$E$4="Tissue",OR($B$52="g",$B$52="mg")),((FN22*FN$51)/(FN$52)),IF(AND(Results!$E$5="Volume",$C$54&gt;0,Results!$E$4="Fluid"),((FN22*FN$51)/(FN$54)),IF(AND(Results!$E$4="Cells",Results!$E$5="Million",$B$52="million"),((FN22*FN$51)/(FN$52)),"0")))))</f>
        <v>0</v>
      </c>
      <c r="FO75" s="20" t="str">
        <f>IF(FO22=0,"0",IF(AND(Results!$E$5="Protein",$C$53&gt;0,OR(Results!$E$4="Tissue",Results!$E$4="Cells")),((FO22*FO$51)/(FO$53)),IF(AND(Results!$E$5="Weight",$C$52&gt;0, Results!$E$4="Tissue",OR($B$52="g",$B$52="mg")),((FO22*FO$51)/(FO$52)),IF(AND(Results!$E$5="Volume",$C$54&gt;0,Results!$E$4="Fluid"),((FO22*FO$51)/(FO$54)),IF(AND(Results!$E$4="Cells",Results!$E$5="Million",$B$52="million"),((FO22*FO$51)/(FO$52)),"0")))))</f>
        <v>0</v>
      </c>
    </row>
    <row r="76" spans="1:171" x14ac:dyDescent="0.2">
      <c r="A76" s="120" t="str">
        <f t="shared" si="0"/>
        <v xml:space="preserve">LxA4 </v>
      </c>
      <c r="B76" s="121"/>
      <c r="C76" s="20">
        <f>IF(C23=0,"0",IF(AND(Results!$E$5="Protein",$C$53&gt;0,OR(Results!$E$4="Tissue",Results!$E$4="Cells")),((C23*C$51)/(C$53)),IF(AND(Results!$E$5="Weight",$C$52&gt;0, Results!$E$4="Tissue",OR($B$52="g",$B$52="mg")),((C23*C$51)/(C$52)),IF(AND(Results!$E$5="Volume",$C$54&gt;0,Results!$E$4="Fluid"),((C23*C$51)/(C$54)),IF(AND(Results!$E$4="Cells",Results!$E$5="Million",$B$52="million"),((C23*C$51)/(C$52)),"0")))))</f>
        <v>0.46458333333333335</v>
      </c>
      <c r="D76" s="20">
        <f>IF(D23=0,"0",IF(AND(Results!$E$5="Protein",$C$53&gt;0,OR(Results!$E$4="Tissue",Results!$E$4="Cells")),((D23*D$51)/(D$53)),IF(AND(Results!$E$5="Weight",$C$52&gt;0, Results!$E$4="Tissue",OR($B$52="g",$B$52="mg")),((D23*D$51)/(D$52)),IF(AND(Results!$E$5="Volume",$C$54&gt;0,Results!$E$4="Fluid"),((D23*D$51)/(D$54)),IF(AND(Results!$E$4="Cells",Results!$E$5="Million",$B$52="million"),((D23*D$51)/(D$52)),"0")))))</f>
        <v>0.90194999999999992</v>
      </c>
      <c r="E76" s="20">
        <f>IF(E23=0,"0",IF(AND(Results!$E$5="Protein",$C$53&gt;0,OR(Results!$E$4="Tissue",Results!$E$4="Cells")),((E23*E$51)/(E$53)),IF(AND(Results!$E$5="Weight",$C$52&gt;0, Results!$E$4="Tissue",OR($B$52="g",$B$52="mg")),((E23*E$51)/(E$52)),IF(AND(Results!$E$5="Volume",$C$54&gt;0,Results!$E$4="Fluid"),((E23*E$51)/(E$54)),IF(AND(Results!$E$4="Cells",Results!$E$5="Million",$B$52="million"),((E23*E$51)/(E$52)),"0")))))</f>
        <v>1.21435</v>
      </c>
      <c r="F76" s="20">
        <f>IF(F23=0,"0",IF(AND(Results!$E$5="Protein",$C$53&gt;0,OR(Results!$E$4="Tissue",Results!$E$4="Cells")),((F23*F$51)/(F$53)),IF(AND(Results!$E$5="Weight",$C$52&gt;0, Results!$E$4="Tissue",OR($B$52="g",$B$52="mg")),((F23*F$51)/(F$52)),IF(AND(Results!$E$5="Volume",$C$54&gt;0,Results!$E$4="Fluid"),((F23*F$51)/(F$54)),IF(AND(Results!$E$4="Cells",Results!$E$5="Million",$B$52="million"),((F23*F$51)/(F$52)),"0")))))</f>
        <v>5.6536166666666663</v>
      </c>
      <c r="G76" s="20">
        <f>IF(G23=0,"0",IF(AND(Results!$E$5="Protein",$C$53&gt;0,OR(Results!$E$4="Tissue",Results!$E$4="Cells")),((G23*G$51)/(G$53)),IF(AND(Results!$E$5="Weight",$C$52&gt;0, Results!$E$4="Tissue",OR($B$52="g",$B$52="mg")),((G23*G$51)/(G$52)),IF(AND(Results!$E$5="Volume",$C$54&gt;0,Results!$E$4="Fluid"),((G23*G$51)/(G$54)),IF(AND(Results!$E$4="Cells",Results!$E$5="Million",$B$52="million"),((G23*G$51)/(G$52)),"0")))))</f>
        <v>1.0921166666666666</v>
      </c>
      <c r="H76" s="20">
        <f>IF(H23=0,"0",IF(AND(Results!$E$5="Protein",$C$53&gt;0,OR(Results!$E$4="Tissue",Results!$E$4="Cells")),((H23*H$51)/(H$53)),IF(AND(Results!$E$5="Weight",$C$52&gt;0, Results!$E$4="Tissue",OR($B$52="g",$B$52="mg")),((H23*H$51)/(H$52)),IF(AND(Results!$E$5="Volume",$C$54&gt;0,Results!$E$4="Fluid"),((H23*H$51)/(H$54)),IF(AND(Results!$E$4="Cells",Results!$E$5="Million",$B$52="million"),((H23*H$51)/(H$52)),"0")))))</f>
        <v>2.0305499999999999</v>
      </c>
      <c r="I76" s="20">
        <f>IF(I23=0,"0",IF(AND(Results!$E$5="Protein",$C$53&gt;0,OR(Results!$E$4="Tissue",Results!$E$4="Cells")),((I23*I$51)/(I$53)),IF(AND(Results!$E$5="Weight",$C$52&gt;0, Results!$E$4="Tissue",OR($B$52="g",$B$52="mg")),((I23*I$51)/(I$52)),IF(AND(Results!$E$5="Volume",$C$54&gt;0,Results!$E$4="Fluid"),((I23*I$51)/(I$54)),IF(AND(Results!$E$4="Cells",Results!$E$5="Million",$B$52="million"),((I23*I$51)/(I$52)),"0")))))</f>
        <v>0.68046666666666655</v>
      </c>
      <c r="J76" s="20" t="str">
        <f>IF(J23=0,"0",IF(AND(Results!$E$5="Protein",$C$53&gt;0,OR(Results!$E$4="Tissue",Results!$E$4="Cells")),((J23*J$51)/(J$53)),IF(AND(Results!$E$5="Weight",$C$52&gt;0, Results!$E$4="Tissue",OR($B$52="g",$B$52="mg")),((J23*J$51)/(J$52)),IF(AND(Results!$E$5="Volume",$C$54&gt;0,Results!$E$4="Fluid"),((J23*J$51)/(J$54)),IF(AND(Results!$E$4="Cells",Results!$E$5="Million",$B$52="million"),((J23*J$51)/(J$52)),"0")))))</f>
        <v>0</v>
      </c>
      <c r="K76" s="20">
        <f>IF(K23=0,"0",IF(AND(Results!$E$5="Protein",$C$53&gt;0,OR(Results!$E$4="Tissue",Results!$E$4="Cells")),((K23*K$51)/(K$53)),IF(AND(Results!$E$5="Weight",$C$52&gt;0, Results!$E$4="Tissue",OR($B$52="g",$B$52="mg")),((K23*K$51)/(K$52)),IF(AND(Results!$E$5="Volume",$C$54&gt;0,Results!$E$4="Fluid"),((K23*K$51)/(K$54)),IF(AND(Results!$E$4="Cells",Results!$E$5="Million",$B$52="million"),((K23*K$51)/(K$52)),"0")))))</f>
        <v>0.24193333333333333</v>
      </c>
      <c r="L76" s="20">
        <f>IF(L23=0,"0",IF(AND(Results!$E$5="Protein",$C$53&gt;0,OR(Results!$E$4="Tissue",Results!$E$4="Cells")),((L23*L$51)/(L$53)),IF(AND(Results!$E$5="Weight",$C$52&gt;0, Results!$E$4="Tissue",OR($B$52="g",$B$52="mg")),((L23*L$51)/(L$52)),IF(AND(Results!$E$5="Volume",$C$54&gt;0,Results!$E$4="Fluid"),((L23*L$51)/(L$54)),IF(AND(Results!$E$4="Cells",Results!$E$5="Million",$B$52="million"),((L23*L$51)/(L$52)),"0")))))</f>
        <v>1.46905</v>
      </c>
      <c r="M76" s="20" t="str">
        <f>IF(M23=0,"0",IF(AND(Results!$E$5="Protein",$C$53&gt;0,OR(Results!$E$4="Tissue",Results!$E$4="Cells")),((M23*M$51)/(M$53)),IF(AND(Results!$E$5="Weight",$C$52&gt;0, Results!$E$4="Tissue",OR($B$52="g",$B$52="mg")),((M23*M$51)/(M$52)),IF(AND(Results!$E$5="Volume",$C$54&gt;0,Results!$E$4="Fluid"),((M23*M$51)/(M$54)),IF(AND(Results!$E$4="Cells",Results!$E$5="Million",$B$52="million"),((M23*M$51)/(M$52)),"0")))))</f>
        <v>0</v>
      </c>
      <c r="N76" s="20">
        <f>IF(N23=0,"0",IF(AND(Results!$E$5="Protein",$C$53&gt;0,OR(Results!$E$4="Tissue",Results!$E$4="Cells")),((N23*N$51)/(N$53)),IF(AND(Results!$E$5="Weight",$C$52&gt;0, Results!$E$4="Tissue",OR($B$52="g",$B$52="mg")),((N23*N$51)/(N$52)),IF(AND(Results!$E$5="Volume",$C$54&gt;0,Results!$E$4="Fluid"),((N23*N$51)/(N$54)),IF(AND(Results!$E$4="Cells",Results!$E$5="Million",$B$52="million"),((N23*N$51)/(N$52)),"0")))))</f>
        <v>1.8282666666666667</v>
      </c>
      <c r="O76" s="20">
        <f>IF(O23=0,"0",IF(AND(Results!$E$5="Protein",$C$53&gt;0,OR(Results!$E$4="Tissue",Results!$E$4="Cells")),((O23*O$51)/(O$53)),IF(AND(Results!$E$5="Weight",$C$52&gt;0, Results!$E$4="Tissue",OR($B$52="g",$B$52="mg")),((O23*O$51)/(O$52)),IF(AND(Results!$E$5="Volume",$C$54&gt;0,Results!$E$4="Fluid"),((O23*O$51)/(O$54)),IF(AND(Results!$E$4="Cells",Results!$E$5="Million",$B$52="million"),((O23*O$51)/(O$52)),"0")))))</f>
        <v>1.6001666666666667</v>
      </c>
      <c r="P76" s="20">
        <f>IF(P23=0,"0",IF(AND(Results!$E$5="Protein",$C$53&gt;0,OR(Results!$E$4="Tissue",Results!$E$4="Cells")),((P23*P$51)/(P$53)),IF(AND(Results!$E$5="Weight",$C$52&gt;0, Results!$E$4="Tissue",OR($B$52="g",$B$52="mg")),((P23*P$51)/(P$52)),IF(AND(Results!$E$5="Volume",$C$54&gt;0,Results!$E$4="Fluid"),((P23*P$51)/(P$54)),IF(AND(Results!$E$4="Cells",Results!$E$5="Million",$B$52="million"),((P23*P$51)/(P$52)),"0")))))</f>
        <v>1.2433666666666667</v>
      </c>
      <c r="Q76" s="20">
        <f>IF(Q23=0,"0",IF(AND(Results!$E$5="Protein",$C$53&gt;0,OR(Results!$E$4="Tissue",Results!$E$4="Cells")),((Q23*Q$51)/(Q$53)),IF(AND(Results!$E$5="Weight",$C$52&gt;0, Results!$E$4="Tissue",OR($B$52="g",$B$52="mg")),((Q23*Q$51)/(Q$52)),IF(AND(Results!$E$5="Volume",$C$54&gt;0,Results!$E$4="Fluid"),((Q23*Q$51)/(Q$54)),IF(AND(Results!$E$4="Cells",Results!$E$5="Million",$B$52="million"),((Q23*Q$51)/(Q$52)),"0")))))</f>
        <v>2.0568666666666666</v>
      </c>
      <c r="R76" s="20">
        <f>IF(R23=0,"0",IF(AND(Results!$E$5="Protein",$C$53&gt;0,OR(Results!$E$4="Tissue",Results!$E$4="Cells")),((R23*R$51)/(R$53)),IF(AND(Results!$E$5="Weight",$C$52&gt;0, Results!$E$4="Tissue",OR($B$52="g",$B$52="mg")),((R23*R$51)/(R$52)),IF(AND(Results!$E$5="Volume",$C$54&gt;0,Results!$E$4="Fluid"),((R23*R$51)/(R$54)),IF(AND(Results!$E$4="Cells",Results!$E$5="Million",$B$52="million"),((R23*R$51)/(R$52)),"0")))))</f>
        <v>29.350883333333332</v>
      </c>
      <c r="S76" s="20">
        <f>IF(S23=0,"0",IF(AND(Results!$E$5="Protein",$C$53&gt;0,OR(Results!$E$4="Tissue",Results!$E$4="Cells")),((S23*S$51)/(S$53)),IF(AND(Results!$E$5="Weight",$C$52&gt;0, Results!$E$4="Tissue",OR($B$52="g",$B$52="mg")),((S23*S$51)/(S$52)),IF(AND(Results!$E$5="Volume",$C$54&gt;0,Results!$E$4="Fluid"),((S23*S$51)/(S$54)),IF(AND(Results!$E$4="Cells",Results!$E$5="Million",$B$52="million"),((S23*S$51)/(S$52)),"0")))))</f>
        <v>0.17413333333333333</v>
      </c>
      <c r="T76" s="20">
        <f>IF(T23=0,"0",IF(AND(Results!$E$5="Protein",$C$53&gt;0,OR(Results!$E$4="Tissue",Results!$E$4="Cells")),((T23*T$51)/(T$53)),IF(AND(Results!$E$5="Weight",$C$52&gt;0, Results!$E$4="Tissue",OR($B$52="g",$B$52="mg")),((T23*T$51)/(T$52)),IF(AND(Results!$E$5="Volume",$C$54&gt;0,Results!$E$4="Fluid"),((T23*T$51)/(T$54)),IF(AND(Results!$E$4="Cells",Results!$E$5="Million",$B$52="million"),((T23*T$51)/(T$52)),"0")))))</f>
        <v>0.38796666666666663</v>
      </c>
      <c r="U76" s="20">
        <f>IF(U23=0,"0",IF(AND(Results!$E$5="Protein",$C$53&gt;0,OR(Results!$E$4="Tissue",Results!$E$4="Cells")),((U23*U$51)/(U$53)),IF(AND(Results!$E$5="Weight",$C$52&gt;0, Results!$E$4="Tissue",OR($B$52="g",$B$52="mg")),((U23*U$51)/(U$52)),IF(AND(Results!$E$5="Volume",$C$54&gt;0,Results!$E$4="Fluid"),((U23*U$51)/(U$54)),IF(AND(Results!$E$4="Cells",Results!$E$5="Million",$B$52="million"),((U23*U$51)/(U$52)),"0")))))</f>
        <v>1.6592833333333334</v>
      </c>
      <c r="V76" s="20">
        <f>IF(V23=0,"0",IF(AND(Results!$E$5="Protein",$C$53&gt;0,OR(Results!$E$4="Tissue",Results!$E$4="Cells")),((V23*V$51)/(V$53)),IF(AND(Results!$E$5="Weight",$C$52&gt;0, Results!$E$4="Tissue",OR($B$52="g",$B$52="mg")),((V23*V$51)/(V$52)),IF(AND(Results!$E$5="Volume",$C$54&gt;0,Results!$E$4="Fluid"),((V23*V$51)/(V$54)),IF(AND(Results!$E$4="Cells",Results!$E$5="Million",$B$52="million"),((V23*V$51)/(V$52)),"0")))))</f>
        <v>0.44460000000000005</v>
      </c>
      <c r="W76" s="20">
        <f>IF(W23=0,"0",IF(AND(Results!$E$5="Protein",$C$53&gt;0,OR(Results!$E$4="Tissue",Results!$E$4="Cells")),((W23*W$51)/(W$53)),IF(AND(Results!$E$5="Weight",$C$52&gt;0, Results!$E$4="Tissue",OR($B$52="g",$B$52="mg")),((W23*W$51)/(W$52)),IF(AND(Results!$E$5="Volume",$C$54&gt;0,Results!$E$4="Fluid"),((W23*W$51)/(W$54)),IF(AND(Results!$E$4="Cells",Results!$E$5="Million",$B$52="million"),((W23*W$51)/(W$52)),"0")))))</f>
        <v>2.3193999999999999</v>
      </c>
      <c r="X76" s="20" t="str">
        <f>IF(X23=0,"0",IF(AND(Results!$E$5="Protein",$C$53&gt;0,OR(Results!$E$4="Tissue",Results!$E$4="Cells")),((X23*X$51)/(X$53)),IF(AND(Results!$E$5="Weight",$C$52&gt;0, Results!$E$4="Tissue",OR($B$52="g",$B$52="mg")),((X23*X$51)/(X$52)),IF(AND(Results!$E$5="Volume",$C$54&gt;0,Results!$E$4="Fluid"),((X23*X$51)/(X$54)),IF(AND(Results!$E$4="Cells",Results!$E$5="Million",$B$52="million"),((X23*X$51)/(X$52)),"0")))))</f>
        <v>0</v>
      </c>
      <c r="Y76" s="20">
        <f>IF(Y23=0,"0",IF(AND(Results!$E$5="Protein",$C$53&gt;0,OR(Results!$E$4="Tissue",Results!$E$4="Cells")),((Y23*Y$51)/(Y$53)),IF(AND(Results!$E$5="Weight",$C$52&gt;0, Results!$E$4="Tissue",OR($B$52="g",$B$52="mg")),((Y23*Y$51)/(Y$52)),IF(AND(Results!$E$5="Volume",$C$54&gt;0,Results!$E$4="Fluid"),((Y23*Y$51)/(Y$54)),IF(AND(Results!$E$4="Cells",Results!$E$5="Million",$B$52="million"),((Y23*Y$51)/(Y$52)),"0")))))</f>
        <v>0.78618333333333346</v>
      </c>
      <c r="Z76" s="20">
        <f>IF(Z23=0,"0",IF(AND(Results!$E$5="Protein",$C$53&gt;0,OR(Results!$E$4="Tissue",Results!$E$4="Cells")),((Z23*Z$51)/(Z$53)),IF(AND(Results!$E$5="Weight",$C$52&gt;0, Results!$E$4="Tissue",OR($B$52="g",$B$52="mg")),((Z23*Z$51)/(Z$52)),IF(AND(Results!$E$5="Volume",$C$54&gt;0,Results!$E$4="Fluid"),((Z23*Z$51)/(Z$54)),IF(AND(Results!$E$4="Cells",Results!$E$5="Million",$B$52="million"),((Z23*Z$51)/(Z$52)),"0")))))</f>
        <v>8.1737599999999997</v>
      </c>
      <c r="AA76" s="20">
        <f>IF(AA23=0,"0",IF(AND(Results!$E$5="Protein",$C$53&gt;0,OR(Results!$E$4="Tissue",Results!$E$4="Cells")),((AA23*AA$51)/(AA$53)),IF(AND(Results!$E$5="Weight",$C$52&gt;0, Results!$E$4="Tissue",OR($B$52="g",$B$52="mg")),((AA23*AA$51)/(AA$52)),IF(AND(Results!$E$5="Volume",$C$54&gt;0,Results!$E$4="Fluid"),((AA23*AA$51)/(AA$54)),IF(AND(Results!$E$4="Cells",Results!$E$5="Million",$B$52="million"),((AA23*AA$51)/(AA$52)),"0")))))</f>
        <v>0.19846666666666668</v>
      </c>
      <c r="AB76" s="20">
        <f>IF(AB23=0,"0",IF(AND(Results!$E$5="Protein",$C$53&gt;0,OR(Results!$E$4="Tissue",Results!$E$4="Cells")),((AB23*AB$51)/(AB$53)),IF(AND(Results!$E$5="Weight",$C$52&gt;0, Results!$E$4="Tissue",OR($B$52="g",$B$52="mg")),((AB23*AB$51)/(AB$52)),IF(AND(Results!$E$5="Volume",$C$54&gt;0,Results!$E$4="Fluid"),((AB23*AB$51)/(AB$54)),IF(AND(Results!$E$4="Cells",Results!$E$5="Million",$B$52="million"),((AB23*AB$51)/(AB$52)),"0")))))</f>
        <v>0.92841666666666667</v>
      </c>
      <c r="AC76" s="20">
        <f>IF(AC23=0,"0",IF(AND(Results!$E$5="Protein",$C$53&gt;0,OR(Results!$E$4="Tissue",Results!$E$4="Cells")),((AC23*AC$51)/(AC$53)),IF(AND(Results!$E$5="Weight",$C$52&gt;0, Results!$E$4="Tissue",OR($B$52="g",$B$52="mg")),((AC23*AC$51)/(AC$52)),IF(AND(Results!$E$5="Volume",$C$54&gt;0,Results!$E$4="Fluid"),((AC23*AC$51)/(AC$54)),IF(AND(Results!$E$4="Cells",Results!$E$5="Million",$B$52="million"),((AC23*AC$51)/(AC$52)),"0")))))</f>
        <v>1.1166000000000003</v>
      </c>
      <c r="AD76" s="20">
        <f>IF(AD23=0,"0",IF(AND(Results!$E$5="Protein",$C$53&gt;0,OR(Results!$E$4="Tissue",Results!$E$4="Cells")),((AD23*AD$51)/(AD$53)),IF(AND(Results!$E$5="Weight",$C$52&gt;0, Results!$E$4="Tissue",OR($B$52="g",$B$52="mg")),((AD23*AD$51)/(AD$52)),IF(AND(Results!$E$5="Volume",$C$54&gt;0,Results!$E$4="Fluid"),((AD23*AD$51)/(AD$54)),IF(AND(Results!$E$4="Cells",Results!$E$5="Million",$B$52="million"),((AD23*AD$51)/(AD$52)),"0")))))</f>
        <v>1.2274666666666667</v>
      </c>
      <c r="AE76" s="20" t="str">
        <f>IF(AE23=0,"0",IF(AND(Results!$E$5="Protein",$C$53&gt;0,OR(Results!$E$4="Tissue",Results!$E$4="Cells")),((AE23*AE$51)/(AE$53)),IF(AND(Results!$E$5="Weight",$C$52&gt;0, Results!$E$4="Tissue",OR($B$52="g",$B$52="mg")),((AE23*AE$51)/(AE$52)),IF(AND(Results!$E$5="Volume",$C$54&gt;0,Results!$E$4="Fluid"),((AE23*AE$51)/(AE$54)),IF(AND(Results!$E$4="Cells",Results!$E$5="Million",$B$52="million"),((AE23*AE$51)/(AE$52)),"0")))))</f>
        <v>0</v>
      </c>
      <c r="AF76" s="20">
        <f>IF(AF23=0,"0",IF(AND(Results!$E$5="Protein",$C$53&gt;0,OR(Results!$E$4="Tissue",Results!$E$4="Cells")),((AF23*AF$51)/(AF$53)),IF(AND(Results!$E$5="Weight",$C$52&gt;0, Results!$E$4="Tissue",OR($B$52="g",$B$52="mg")),((AF23*AF$51)/(AF$52)),IF(AND(Results!$E$5="Volume",$C$54&gt;0,Results!$E$4="Fluid"),((AF23*AF$51)/(AF$54)),IF(AND(Results!$E$4="Cells",Results!$E$5="Million",$B$52="million"),((AF23*AF$51)/(AF$52)),"0")))))</f>
        <v>0.58521666666666661</v>
      </c>
      <c r="AG76" s="20">
        <f>IF(AG23=0,"0",IF(AND(Results!$E$5="Protein",$C$53&gt;0,OR(Results!$E$4="Tissue",Results!$E$4="Cells")),((AG23*AG$51)/(AG$53)),IF(AND(Results!$E$5="Weight",$C$52&gt;0, Results!$E$4="Tissue",OR($B$52="g",$B$52="mg")),((AG23*AG$51)/(AG$52)),IF(AND(Results!$E$5="Volume",$C$54&gt;0,Results!$E$4="Fluid"),((AG23*AG$51)/(AG$54)),IF(AND(Results!$E$4="Cells",Results!$E$5="Million",$B$52="million"),((AG23*AG$51)/(AG$52)),"0")))))</f>
        <v>2.6840833333333336</v>
      </c>
      <c r="AH76" s="20">
        <f>IF(AH23=0,"0",IF(AND(Results!$E$5="Protein",$C$53&gt;0,OR(Results!$E$4="Tissue",Results!$E$4="Cells")),((AH23*AH$51)/(AH$53)),IF(AND(Results!$E$5="Weight",$C$52&gt;0, Results!$E$4="Tissue",OR($B$52="g",$B$52="mg")),((AH23*AH$51)/(AH$52)),IF(AND(Results!$E$5="Volume",$C$54&gt;0,Results!$E$4="Fluid"),((AH23*AH$51)/(AH$54)),IF(AND(Results!$E$4="Cells",Results!$E$5="Million",$B$52="million"),((AH23*AH$51)/(AH$52)),"0")))))</f>
        <v>0.63178333333333336</v>
      </c>
      <c r="AI76" s="20">
        <f>IF(AI23=0,"0",IF(AND(Results!$E$5="Protein",$C$53&gt;0,OR(Results!$E$4="Tissue",Results!$E$4="Cells")),((AI23*AI$51)/(AI$53)),IF(AND(Results!$E$5="Weight",$C$52&gt;0, Results!$E$4="Tissue",OR($B$52="g",$B$52="mg")),((AI23*AI$51)/(AI$52)),IF(AND(Results!$E$5="Volume",$C$54&gt;0,Results!$E$4="Fluid"),((AI23*AI$51)/(AI$54)),IF(AND(Results!$E$4="Cells",Results!$E$5="Million",$B$52="million"),((AI23*AI$51)/(AI$52)),"0")))))</f>
        <v>3.238466666666667</v>
      </c>
      <c r="AJ76" s="20">
        <f>IF(AJ23=0,"0",IF(AND(Results!$E$5="Protein",$C$53&gt;0,OR(Results!$E$4="Tissue",Results!$E$4="Cells")),((AJ23*AJ$51)/(AJ$53)),IF(AND(Results!$E$5="Weight",$C$52&gt;0, Results!$E$4="Tissue",OR($B$52="g",$B$52="mg")),((AJ23*AJ$51)/(AJ$52)),IF(AND(Results!$E$5="Volume",$C$54&gt;0,Results!$E$4="Fluid"),((AJ23*AJ$51)/(AJ$54)),IF(AND(Results!$E$4="Cells",Results!$E$5="Million",$B$52="million"),((AJ23*AJ$51)/(AJ$52)),"0")))))</f>
        <v>1.6343999999999999</v>
      </c>
      <c r="AK76" s="20">
        <f>IF(AK23=0,"0",IF(AND(Results!$E$5="Protein",$C$53&gt;0,OR(Results!$E$4="Tissue",Results!$E$4="Cells")),((AK23*AK$51)/(AK$53)),IF(AND(Results!$E$5="Weight",$C$52&gt;0, Results!$E$4="Tissue",OR($B$52="g",$B$52="mg")),((AK23*AK$51)/(AK$52)),IF(AND(Results!$E$5="Volume",$C$54&gt;0,Results!$E$4="Fluid"),((AK23*AK$51)/(AK$54)),IF(AND(Results!$E$4="Cells",Results!$E$5="Million",$B$52="million"),((AK23*AK$51)/(AK$52)),"0")))))</f>
        <v>0.63880000000000003</v>
      </c>
      <c r="AL76" s="20">
        <f>IF(AL23=0,"0",IF(AND(Results!$E$5="Protein",$C$53&gt;0,OR(Results!$E$4="Tissue",Results!$E$4="Cells")),((AL23*AL$51)/(AL$53)),IF(AND(Results!$E$5="Weight",$C$52&gt;0, Results!$E$4="Tissue",OR($B$52="g",$B$52="mg")),((AL23*AL$51)/(AL$52)),IF(AND(Results!$E$5="Volume",$C$54&gt;0,Results!$E$4="Fluid"),((AL23*AL$51)/(AL$54)),IF(AND(Results!$E$4="Cells",Results!$E$5="Million",$B$52="million"),((AL23*AL$51)/(AL$52)),"0")))))</f>
        <v>1.2262666666666666</v>
      </c>
      <c r="AM76" s="20">
        <f>IF(AM23=0,"0",IF(AND(Results!$E$5="Protein",$C$53&gt;0,OR(Results!$E$4="Tissue",Results!$E$4="Cells")),((AM23*AM$51)/(AM$53)),IF(AND(Results!$E$5="Weight",$C$52&gt;0, Results!$E$4="Tissue",OR($B$52="g",$B$52="mg")),((AM23*AM$51)/(AM$52)),IF(AND(Results!$E$5="Volume",$C$54&gt;0,Results!$E$4="Fluid"),((AM23*AM$51)/(AM$54)),IF(AND(Results!$E$4="Cells",Results!$E$5="Million",$B$52="million"),((AM23*AM$51)/(AM$52)),"0")))))</f>
        <v>1.2297</v>
      </c>
      <c r="AN76" s="20">
        <f>IF(AN23=0,"0",IF(AND(Results!$E$5="Protein",$C$53&gt;0,OR(Results!$E$4="Tissue",Results!$E$4="Cells")),((AN23*AN$51)/(AN$53)),IF(AND(Results!$E$5="Weight",$C$52&gt;0, Results!$E$4="Tissue",OR($B$52="g",$B$52="mg")),((AN23*AN$51)/(AN$52)),IF(AND(Results!$E$5="Volume",$C$54&gt;0,Results!$E$4="Fluid"),((AN23*AN$51)/(AN$54)),IF(AND(Results!$E$4="Cells",Results!$E$5="Million",$B$52="million"),((AN23*AN$51)/(AN$52)),"0")))))</f>
        <v>1.2309333333333332</v>
      </c>
      <c r="AO76" s="20" t="str">
        <f>IF(AO23=0,"0",IF(AND(Results!$E$5="Protein",$C$53&gt;0,OR(Results!$E$4="Tissue",Results!$E$4="Cells")),((AO23*AO$51)/(AO$53)),IF(AND(Results!$E$5="Weight",$C$52&gt;0, Results!$E$4="Tissue",OR($B$52="g",$B$52="mg")),((AO23*AO$51)/(AO$52)),IF(AND(Results!$E$5="Volume",$C$54&gt;0,Results!$E$4="Fluid"),((AO23*AO$51)/(AO$54)),IF(AND(Results!$E$4="Cells",Results!$E$5="Million",$B$52="million"),((AO23*AO$51)/(AO$52)),"0")))))</f>
        <v>0</v>
      </c>
      <c r="AP76" s="20">
        <f>IF(AP23=0,"0",IF(AND(Results!$E$5="Protein",$C$53&gt;0,OR(Results!$E$4="Tissue",Results!$E$4="Cells")),((AP23*AP$51)/(AP$53)),IF(AND(Results!$E$5="Weight",$C$52&gt;0, Results!$E$4="Tissue",OR($B$52="g",$B$52="mg")),((AP23*AP$51)/(AP$52)),IF(AND(Results!$E$5="Volume",$C$54&gt;0,Results!$E$4="Fluid"),((AP23*AP$51)/(AP$54)),IF(AND(Results!$E$4="Cells",Results!$E$5="Million",$B$52="million"),((AP23*AP$51)/(AP$52)),"0")))))</f>
        <v>1.1752833333333332</v>
      </c>
      <c r="AQ76" s="20">
        <f>IF(AQ23=0,"0",IF(AND(Results!$E$5="Protein",$C$53&gt;0,OR(Results!$E$4="Tissue",Results!$E$4="Cells")),((AQ23*AQ$51)/(AQ$53)),IF(AND(Results!$E$5="Weight",$C$52&gt;0, Results!$E$4="Tissue",OR($B$52="g",$B$52="mg")),((AQ23*AQ$51)/(AQ$52)),IF(AND(Results!$E$5="Volume",$C$54&gt;0,Results!$E$4="Fluid"),((AQ23*AQ$51)/(AQ$54)),IF(AND(Results!$E$4="Cells",Results!$E$5="Million",$B$52="million"),((AQ23*AQ$51)/(AQ$52)),"0")))))</f>
        <v>1.7554666666666667</v>
      </c>
      <c r="AR76" s="20">
        <f>IF(AR23=0,"0",IF(AND(Results!$E$5="Protein",$C$53&gt;0,OR(Results!$E$4="Tissue",Results!$E$4="Cells")),((AR23*AR$51)/(AR$53)),IF(AND(Results!$E$5="Weight",$C$52&gt;0, Results!$E$4="Tissue",OR($B$52="g",$B$52="mg")),((AR23*AR$51)/(AR$52)),IF(AND(Results!$E$5="Volume",$C$54&gt;0,Results!$E$4="Fluid"),((AR23*AR$51)/(AR$54)),IF(AND(Results!$E$4="Cells",Results!$E$5="Million",$B$52="million"),((AR23*AR$51)/(AR$52)),"0")))))</f>
        <v>0.55680000000000007</v>
      </c>
      <c r="AS76" s="20">
        <f>IF(AS23=0,"0",IF(AND(Results!$E$5="Protein",$C$53&gt;0,OR(Results!$E$4="Tissue",Results!$E$4="Cells")),((AS23*AS$51)/(AS$53)),IF(AND(Results!$E$5="Weight",$C$52&gt;0, Results!$E$4="Tissue",OR($B$52="g",$B$52="mg")),((AS23*AS$51)/(AS$52)),IF(AND(Results!$E$5="Volume",$C$54&gt;0,Results!$E$4="Fluid"),((AS23*AS$51)/(AS$54)),IF(AND(Results!$E$4="Cells",Results!$E$5="Million",$B$52="million"),((AS23*AS$51)/(AS$52)),"0")))))</f>
        <v>14.269433333333334</v>
      </c>
      <c r="AT76" s="20">
        <f>IF(AT23=0,"0",IF(AND(Results!$E$5="Protein",$C$53&gt;0,OR(Results!$E$4="Tissue",Results!$E$4="Cells")),((AT23*AT$51)/(AT$53)),IF(AND(Results!$E$5="Weight",$C$52&gt;0, Results!$E$4="Tissue",OR($B$52="g",$B$52="mg")),((AT23*AT$51)/(AT$52)),IF(AND(Results!$E$5="Volume",$C$54&gt;0,Results!$E$4="Fluid"),((AT23*AT$51)/(AT$54)),IF(AND(Results!$E$4="Cells",Results!$E$5="Million",$B$52="million"),((AT23*AT$51)/(AT$52)),"0")))))</f>
        <v>4.5469166666666663</v>
      </c>
      <c r="AU76" s="20" t="str">
        <f>IF(AU23=0,"0",IF(AND(Results!$E$5="Protein",$C$53&gt;0,OR(Results!$E$4="Tissue",Results!$E$4="Cells")),((AU23*AU$51)/(AU$53)),IF(AND(Results!$E$5="Weight",$C$52&gt;0, Results!$E$4="Tissue",OR($B$52="g",$B$52="mg")),((AU23*AU$51)/(AU$52)),IF(AND(Results!$E$5="Volume",$C$54&gt;0,Results!$E$4="Fluid"),((AU23*AU$51)/(AU$54)),IF(AND(Results!$E$4="Cells",Results!$E$5="Million",$B$52="million"),((AU23*AU$51)/(AU$52)),"0")))))</f>
        <v>0</v>
      </c>
      <c r="AV76" s="20" t="str">
        <f>IF(AV23=0,"0",IF(AND(Results!$E$5="Protein",$C$53&gt;0,OR(Results!$E$4="Tissue",Results!$E$4="Cells")),((AV23*AV$51)/(AV$53)),IF(AND(Results!$E$5="Weight",$C$52&gt;0, Results!$E$4="Tissue",OR($B$52="g",$B$52="mg")),((AV23*AV$51)/(AV$52)),IF(AND(Results!$E$5="Volume",$C$54&gt;0,Results!$E$4="Fluid"),((AV23*AV$51)/(AV$54)),IF(AND(Results!$E$4="Cells",Results!$E$5="Million",$B$52="million"),((AV23*AV$51)/(AV$52)),"0")))))</f>
        <v>0</v>
      </c>
      <c r="AW76" s="20" t="str">
        <f>IF(AW23=0,"0",IF(AND(Results!$E$5="Protein",$C$53&gt;0,OR(Results!$E$4="Tissue",Results!$E$4="Cells")),((AW23*AW$51)/(AW$53)),IF(AND(Results!$E$5="Weight",$C$52&gt;0, Results!$E$4="Tissue",OR($B$52="g",$B$52="mg")),((AW23*AW$51)/(AW$52)),IF(AND(Results!$E$5="Volume",$C$54&gt;0,Results!$E$4="Fluid"),((AW23*AW$51)/(AW$54)),IF(AND(Results!$E$4="Cells",Results!$E$5="Million",$B$52="million"),((AW23*AW$51)/(AW$52)),"0")))))</f>
        <v>0</v>
      </c>
      <c r="AX76" s="20">
        <f>IF(AX23=0,"0",IF(AND(Results!$E$5="Protein",$C$53&gt;0,OR(Results!$E$4="Tissue",Results!$E$4="Cells")),((AX23*AX$51)/(AX$53)),IF(AND(Results!$E$5="Weight",$C$52&gt;0, Results!$E$4="Tissue",OR($B$52="g",$B$52="mg")),((AX23*AX$51)/(AX$52)),IF(AND(Results!$E$5="Volume",$C$54&gt;0,Results!$E$4="Fluid"),((AX23*AX$51)/(AX$54)),IF(AND(Results!$E$4="Cells",Results!$E$5="Million",$B$52="million"),((AX23*AX$51)/(AX$52)),"0")))))</f>
        <v>1.0313000000000001</v>
      </c>
      <c r="AY76" s="20">
        <f>IF(AY23=0,"0",IF(AND(Results!$E$5="Protein",$C$53&gt;0,OR(Results!$E$4="Tissue",Results!$E$4="Cells")),((AY23*AY$51)/(AY$53)),IF(AND(Results!$E$5="Weight",$C$52&gt;0, Results!$E$4="Tissue",OR($B$52="g",$B$52="mg")),((AY23*AY$51)/(AY$52)),IF(AND(Results!$E$5="Volume",$C$54&gt;0,Results!$E$4="Fluid"),((AY23*AY$51)/(AY$54)),IF(AND(Results!$E$4="Cells",Results!$E$5="Million",$B$52="million"),((AY23*AY$51)/(AY$52)),"0")))))</f>
        <v>0.15261666666666668</v>
      </c>
      <c r="AZ76" s="20" t="str">
        <f>IF(AZ23=0,"0",IF(AND(Results!$E$5="Protein",$C$53&gt;0,OR(Results!$E$4="Tissue",Results!$E$4="Cells")),((AZ23*AZ$51)/(AZ$53)),IF(AND(Results!$E$5="Weight",$C$52&gt;0, Results!$E$4="Tissue",OR($B$52="g",$B$52="mg")),((AZ23*AZ$51)/(AZ$52)),IF(AND(Results!$E$5="Volume",$C$54&gt;0,Results!$E$4="Fluid"),((AZ23*AZ$51)/(AZ$54)),IF(AND(Results!$E$4="Cells",Results!$E$5="Million",$B$52="million"),((AZ23*AZ$51)/(AZ$52)),"0")))))</f>
        <v>0</v>
      </c>
      <c r="BA76" s="20">
        <f>IF(BA23=0,"0",IF(AND(Results!$E$5="Protein",$C$53&gt;0,OR(Results!$E$4="Tissue",Results!$E$4="Cells")),((BA23*BA$51)/(BA$53)),IF(AND(Results!$E$5="Weight",$C$52&gt;0, Results!$E$4="Tissue",OR($B$52="g",$B$52="mg")),((BA23*BA$51)/(BA$52)),IF(AND(Results!$E$5="Volume",$C$54&gt;0,Results!$E$4="Fluid"),((BA23*BA$51)/(BA$54)),IF(AND(Results!$E$4="Cells",Results!$E$5="Million",$B$52="million"),((BA23*BA$51)/(BA$52)),"0")))))</f>
        <v>0.41921666666666663</v>
      </c>
      <c r="BB76" s="20">
        <f>IF(BB23=0,"0",IF(AND(Results!$E$5="Protein",$C$53&gt;0,OR(Results!$E$4="Tissue",Results!$E$4="Cells")),((BB23*BB$51)/(BB$53)),IF(AND(Results!$E$5="Weight",$C$52&gt;0, Results!$E$4="Tissue",OR($B$52="g",$B$52="mg")),((BB23*BB$51)/(BB$52)),IF(AND(Results!$E$5="Volume",$C$54&gt;0,Results!$E$4="Fluid"),((BB23*BB$51)/(BB$54)),IF(AND(Results!$E$4="Cells",Results!$E$5="Million",$B$52="million"),((BB23*BB$51)/(BB$52)),"0")))))</f>
        <v>0.23538333333333336</v>
      </c>
      <c r="BC76" s="20" t="str">
        <f>IF(BC23=0,"0",IF(AND(Results!$E$5="Protein",$C$53&gt;0,OR(Results!$E$4="Tissue",Results!$E$4="Cells")),((BC23*BC$51)/(BC$53)),IF(AND(Results!$E$5="Weight",$C$52&gt;0, Results!$E$4="Tissue",OR($B$52="g",$B$52="mg")),((BC23*BC$51)/(BC$52)),IF(AND(Results!$E$5="Volume",$C$54&gt;0,Results!$E$4="Fluid"),((BC23*BC$51)/(BC$54)),IF(AND(Results!$E$4="Cells",Results!$E$5="Million",$B$52="million"),((BC23*BC$51)/(BC$52)),"0")))))</f>
        <v>0</v>
      </c>
      <c r="BD76" s="20" t="str">
        <f>IF(BD23=0,"0",IF(AND(Results!$E$5="Protein",$C$53&gt;0,OR(Results!$E$4="Tissue",Results!$E$4="Cells")),((BD23*BD$51)/(BD$53)),IF(AND(Results!$E$5="Weight",$C$52&gt;0, Results!$E$4="Tissue",OR($B$52="g",$B$52="mg")),((BD23*BD$51)/(BD$52)),IF(AND(Results!$E$5="Volume",$C$54&gt;0,Results!$E$4="Fluid"),((BD23*BD$51)/(BD$54)),IF(AND(Results!$E$4="Cells",Results!$E$5="Million",$B$52="million"),((BD23*BD$51)/(BD$52)),"0")))))</f>
        <v>0</v>
      </c>
      <c r="BE76" s="20" t="str">
        <f>IF(BE23=0,"0",IF(AND(Results!$E$5="Protein",$C$53&gt;0,OR(Results!$E$4="Tissue",Results!$E$4="Cells")),((BE23*BE$51)/(BE$53)),IF(AND(Results!$E$5="Weight",$C$52&gt;0, Results!$E$4="Tissue",OR($B$52="g",$B$52="mg")),((BE23*BE$51)/(BE$52)),IF(AND(Results!$E$5="Volume",$C$54&gt;0,Results!$E$4="Fluid"),((BE23*BE$51)/(BE$54)),IF(AND(Results!$E$4="Cells",Results!$E$5="Million",$B$52="million"),((BE23*BE$51)/(BE$52)),"0")))))</f>
        <v>0</v>
      </c>
      <c r="BF76" s="20">
        <f>IF(BF23=0,"0",IF(AND(Results!$E$5="Protein",$C$53&gt;0,OR(Results!$E$4="Tissue",Results!$E$4="Cells")),((BF23*BF$51)/(BF$53)),IF(AND(Results!$E$5="Weight",$C$52&gt;0, Results!$E$4="Tissue",OR($B$52="g",$B$52="mg")),((BF23*BF$51)/(BF$52)),IF(AND(Results!$E$5="Volume",$C$54&gt;0,Results!$E$4="Fluid"),((BF23*BF$51)/(BF$54)),IF(AND(Results!$E$4="Cells",Results!$E$5="Million",$B$52="million"),((BF23*BF$51)/(BF$52)),"0")))))</f>
        <v>4.6592000000000002</v>
      </c>
      <c r="BG76" s="20" t="str">
        <f>IF(BG23=0,"0",IF(AND(Results!$E$5="Protein",$C$53&gt;0,OR(Results!$E$4="Tissue",Results!$E$4="Cells")),((BG23*BG$51)/(BG$53)),IF(AND(Results!$E$5="Weight",$C$52&gt;0, Results!$E$4="Tissue",OR($B$52="g",$B$52="mg")),((BG23*BG$51)/(BG$52)),IF(AND(Results!$E$5="Volume",$C$54&gt;0,Results!$E$4="Fluid"),((BG23*BG$51)/(BG$54)),IF(AND(Results!$E$4="Cells",Results!$E$5="Million",$B$52="million"),((BG23*BG$51)/(BG$52)),"0")))))</f>
        <v>0</v>
      </c>
      <c r="BH76" s="20">
        <f>IF(BH23=0,"0",IF(AND(Results!$E$5="Protein",$C$53&gt;0,OR(Results!$E$4="Tissue",Results!$E$4="Cells")),((BH23*BH$51)/(BH$53)),IF(AND(Results!$E$5="Weight",$C$52&gt;0, Results!$E$4="Tissue",OR($B$52="g",$B$52="mg")),((BH23*BH$51)/(BH$52)),IF(AND(Results!$E$5="Volume",$C$54&gt;0,Results!$E$4="Fluid"),((BH23*BH$51)/(BH$54)),IF(AND(Results!$E$4="Cells",Results!$E$5="Million",$B$52="million"),((BH23*BH$51)/(BH$52)),"0")))))</f>
        <v>2.6139833333333331</v>
      </c>
      <c r="BI76" s="20">
        <f>IF(BI23=0,"0",IF(AND(Results!$E$5="Protein",$C$53&gt;0,OR(Results!$E$4="Tissue",Results!$E$4="Cells")),((BI23*BI$51)/(BI$53)),IF(AND(Results!$E$5="Weight",$C$52&gt;0, Results!$E$4="Tissue",OR($B$52="g",$B$52="mg")),((BI23*BI$51)/(BI$52)),IF(AND(Results!$E$5="Volume",$C$54&gt;0,Results!$E$4="Fluid"),((BI23*BI$51)/(BI$54)),IF(AND(Results!$E$4="Cells",Results!$E$5="Million",$B$52="million"),((BI23*BI$51)/(BI$52)),"0")))))</f>
        <v>2.5124166666666667</v>
      </c>
      <c r="BJ76" s="20">
        <f>IF(BJ23=0,"0",IF(AND(Results!$E$5="Protein",$C$53&gt;0,OR(Results!$E$4="Tissue",Results!$E$4="Cells")),((BJ23*BJ$51)/(BJ$53)),IF(AND(Results!$E$5="Weight",$C$52&gt;0, Results!$E$4="Tissue",OR($B$52="g",$B$52="mg")),((BJ23*BJ$51)/(BJ$52)),IF(AND(Results!$E$5="Volume",$C$54&gt;0,Results!$E$4="Fluid"),((BJ23*BJ$51)/(BJ$54)),IF(AND(Results!$E$4="Cells",Results!$E$5="Million",$B$52="million"),((BJ23*BJ$51)/(BJ$52)),"0")))))</f>
        <v>7.8987166666666671</v>
      </c>
      <c r="BK76" s="20">
        <f>IF(BK23=0,"0",IF(AND(Results!$E$5="Protein",$C$53&gt;0,OR(Results!$E$4="Tissue",Results!$E$4="Cells")),((BK23*BK$51)/(BK$53)),IF(AND(Results!$E$5="Weight",$C$52&gt;0, Results!$E$4="Tissue",OR($B$52="g",$B$52="mg")),((BK23*BK$51)/(BK$52)),IF(AND(Results!$E$5="Volume",$C$54&gt;0,Results!$E$4="Fluid"),((BK23*BK$51)/(BK$54)),IF(AND(Results!$E$4="Cells",Results!$E$5="Million",$B$52="million"),((BK23*BK$51)/(BK$52)),"0")))))</f>
        <v>2.4972333333333334</v>
      </c>
      <c r="BL76" s="20">
        <f>IF(BL23=0,"0",IF(AND(Results!$E$5="Protein",$C$53&gt;0,OR(Results!$E$4="Tissue",Results!$E$4="Cells")),((BL23*BL$51)/(BL$53)),IF(AND(Results!$E$5="Weight",$C$52&gt;0, Results!$E$4="Tissue",OR($B$52="g",$B$52="mg")),((BL23*BL$51)/(BL$52)),IF(AND(Results!$E$5="Volume",$C$54&gt;0,Results!$E$4="Fluid"),((BL23*BL$51)/(BL$54)),IF(AND(Results!$E$4="Cells",Results!$E$5="Million",$B$52="million"),((BL23*BL$51)/(BL$52)),"0")))))</f>
        <v>16.595333333333333</v>
      </c>
      <c r="BM76" s="20">
        <f>IF(BM23=0,"0",IF(AND(Results!$E$5="Protein",$C$53&gt;0,OR(Results!$E$4="Tissue",Results!$E$4="Cells")),((BM23*BM$51)/(BM$53)),IF(AND(Results!$E$5="Weight",$C$52&gt;0, Results!$E$4="Tissue",OR($B$52="g",$B$52="mg")),((BM23*BM$51)/(BM$52)),IF(AND(Results!$E$5="Volume",$C$54&gt;0,Results!$E$4="Fluid"),((BM23*BM$51)/(BM$54)),IF(AND(Results!$E$4="Cells",Results!$E$5="Million",$B$52="million"),((BM23*BM$51)/(BM$52)),"0")))))</f>
        <v>7.1669428571428568</v>
      </c>
      <c r="BN76" s="20">
        <f>IF(BN23=0,"0",IF(AND(Results!$E$5="Protein",$C$53&gt;0,OR(Results!$E$4="Tissue",Results!$E$4="Cells")),((BN23*BN$51)/(BN$53)),IF(AND(Results!$E$5="Weight",$C$52&gt;0, Results!$E$4="Tissue",OR($B$52="g",$B$52="mg")),((BN23*BN$51)/(BN$52)),IF(AND(Results!$E$5="Volume",$C$54&gt;0,Results!$E$4="Fluid"),((BN23*BN$51)/(BN$54)),IF(AND(Results!$E$4="Cells",Results!$E$5="Million",$B$52="million"),((BN23*BN$51)/(BN$52)),"0")))))</f>
        <v>30.100583333333329</v>
      </c>
      <c r="BO76" s="20">
        <f>IF(BO23=0,"0",IF(AND(Results!$E$5="Protein",$C$53&gt;0,OR(Results!$E$4="Tissue",Results!$E$4="Cells")),((BO23*BO$51)/(BO$53)),IF(AND(Results!$E$5="Weight",$C$52&gt;0, Results!$E$4="Tissue",OR($B$52="g",$B$52="mg")),((BO23*BO$51)/(BO$52)),IF(AND(Results!$E$5="Volume",$C$54&gt;0,Results!$E$4="Fluid"),((BO23*BO$51)/(BO$54)),IF(AND(Results!$E$4="Cells",Results!$E$5="Million",$B$52="million"),((BO23*BO$51)/(BO$52)),"0")))))</f>
        <v>11.893733333333332</v>
      </c>
      <c r="BP76" s="20">
        <f>IF(BP23=0,"0",IF(AND(Results!$E$5="Protein",$C$53&gt;0,OR(Results!$E$4="Tissue",Results!$E$4="Cells")),((BP23*BP$51)/(BP$53)),IF(AND(Results!$E$5="Weight",$C$52&gt;0, Results!$E$4="Tissue",OR($B$52="g",$B$52="mg")),((BP23*BP$51)/(BP$52)),IF(AND(Results!$E$5="Volume",$C$54&gt;0,Results!$E$4="Fluid"),((BP23*BP$51)/(BP$54)),IF(AND(Results!$E$4="Cells",Results!$E$5="Million",$B$52="million"),((BP23*BP$51)/(BP$52)),"0")))))</f>
        <v>14.796600000000002</v>
      </c>
      <c r="BQ76" s="20">
        <f>IF(BQ23=0,"0",IF(AND(Results!$E$5="Protein",$C$53&gt;0,OR(Results!$E$4="Tissue",Results!$E$4="Cells")),((BQ23*BQ$51)/(BQ$53)),IF(AND(Results!$E$5="Weight",$C$52&gt;0, Results!$E$4="Tissue",OR($B$52="g",$B$52="mg")),((BQ23*BQ$51)/(BQ$52)),IF(AND(Results!$E$5="Volume",$C$54&gt;0,Results!$E$4="Fluid"),((BQ23*BQ$51)/(BQ$54)),IF(AND(Results!$E$4="Cells",Results!$E$5="Million",$B$52="million"),((BQ23*BQ$51)/(BQ$52)),"0")))))</f>
        <v>2.740933333333333</v>
      </c>
      <c r="BR76" s="20">
        <f>IF(BR23=0,"0",IF(AND(Results!$E$5="Protein",$C$53&gt;0,OR(Results!$E$4="Tissue",Results!$E$4="Cells")),((BR23*BR$51)/(BR$53)),IF(AND(Results!$E$5="Weight",$C$52&gt;0, Results!$E$4="Tissue",OR($B$52="g",$B$52="mg")),((BR23*BR$51)/(BR$52)),IF(AND(Results!$E$5="Volume",$C$54&gt;0,Results!$E$4="Fluid"),((BR23*BR$51)/(BR$54)),IF(AND(Results!$E$4="Cells",Results!$E$5="Million",$B$52="million"),((BR23*BR$51)/(BR$52)),"0")))))</f>
        <v>0.43125714285714289</v>
      </c>
      <c r="BS76" s="20">
        <f>IF(BS23=0,"0",IF(AND(Results!$E$5="Protein",$C$53&gt;0,OR(Results!$E$4="Tissue",Results!$E$4="Cells")),((BS23*BS$51)/(BS$53)),IF(AND(Results!$E$5="Weight",$C$52&gt;0, Results!$E$4="Tissue",OR($B$52="g",$B$52="mg")),((BS23*BS$51)/(BS$52)),IF(AND(Results!$E$5="Volume",$C$54&gt;0,Results!$E$4="Fluid"),((BS23*BS$51)/(BS$54)),IF(AND(Results!$E$4="Cells",Results!$E$5="Million",$B$52="million"),((BS23*BS$51)/(BS$52)),"0")))))</f>
        <v>8.0312666666666672</v>
      </c>
      <c r="BT76" s="20">
        <f>IF(BT23=0,"0",IF(AND(Results!$E$5="Protein",$C$53&gt;0,OR(Results!$E$4="Tissue",Results!$E$4="Cells")),((BT23*BT$51)/(BT$53)),IF(AND(Results!$E$5="Weight",$C$52&gt;0, Results!$E$4="Tissue",OR($B$52="g",$B$52="mg")),((BT23*BT$51)/(BT$52)),IF(AND(Results!$E$5="Volume",$C$54&gt;0,Results!$E$4="Fluid"),((BT23*BT$51)/(BT$54)),IF(AND(Results!$E$4="Cells",Results!$E$5="Million",$B$52="million"),((BT23*BT$51)/(BT$52)),"0")))))</f>
        <v>8.0448833333333329</v>
      </c>
      <c r="BU76" s="20">
        <f>IF(BU23=0,"0",IF(AND(Results!$E$5="Protein",$C$53&gt;0,OR(Results!$E$4="Tissue",Results!$E$4="Cells")),((BU23*BU$51)/(BU$53)),IF(AND(Results!$E$5="Weight",$C$52&gt;0, Results!$E$4="Tissue",OR($B$52="g",$B$52="mg")),((BU23*BU$51)/(BU$52)),IF(AND(Results!$E$5="Volume",$C$54&gt;0,Results!$E$4="Fluid"),((BU23*BU$51)/(BU$54)),IF(AND(Results!$E$4="Cells",Results!$E$5="Million",$B$52="million"),((BU23*BU$51)/(BU$52)),"0")))))</f>
        <v>2.9572333333333338</v>
      </c>
      <c r="BV76" s="20">
        <f>IF(BV23=0,"0",IF(AND(Results!$E$5="Protein",$C$53&gt;0,OR(Results!$E$4="Tissue",Results!$E$4="Cells")),((BV23*BV$51)/(BV$53)),IF(AND(Results!$E$5="Weight",$C$52&gt;0, Results!$E$4="Tissue",OR($B$52="g",$B$52="mg")),((BV23*BV$51)/(BV$52)),IF(AND(Results!$E$5="Volume",$C$54&gt;0,Results!$E$4="Fluid"),((BV23*BV$51)/(BV$54)),IF(AND(Results!$E$4="Cells",Results!$E$5="Million",$B$52="million"),((BV23*BV$51)/(BV$52)),"0")))))</f>
        <v>1.4378833333333332</v>
      </c>
      <c r="BW76" s="20">
        <f>IF(BW23=0,"0",IF(AND(Results!$E$5="Protein",$C$53&gt;0,OR(Results!$E$4="Tissue",Results!$E$4="Cells")),((BW23*BW$51)/(BW$53)),IF(AND(Results!$E$5="Weight",$C$52&gt;0, Results!$E$4="Tissue",OR($B$52="g",$B$52="mg")),((BW23*BW$51)/(BW$52)),IF(AND(Results!$E$5="Volume",$C$54&gt;0,Results!$E$4="Fluid"),((BW23*BW$51)/(BW$54)),IF(AND(Results!$E$4="Cells",Results!$E$5="Million",$B$52="million"),((BW23*BW$51)/(BW$52)),"0")))))</f>
        <v>3.4052833333333337</v>
      </c>
      <c r="BX76" s="20">
        <f>IF(BX23=0,"0",IF(AND(Results!$E$5="Protein",$C$53&gt;0,OR(Results!$E$4="Tissue",Results!$E$4="Cells")),((BX23*BX$51)/(BX$53)),IF(AND(Results!$E$5="Weight",$C$52&gt;0, Results!$E$4="Tissue",OR($B$52="g",$B$52="mg")),((BX23*BX$51)/(BX$52)),IF(AND(Results!$E$5="Volume",$C$54&gt;0,Results!$E$4="Fluid"),((BX23*BX$51)/(BX$54)),IF(AND(Results!$E$4="Cells",Results!$E$5="Million",$B$52="million"),((BX23*BX$51)/(BX$52)),"0")))))</f>
        <v>1.0003500000000001</v>
      </c>
      <c r="BY76" s="20">
        <f>IF(BY23=0,"0",IF(AND(Results!$E$5="Protein",$C$53&gt;0,OR(Results!$E$4="Tissue",Results!$E$4="Cells")),((BY23*BY$51)/(BY$53)),IF(AND(Results!$E$5="Weight",$C$52&gt;0, Results!$E$4="Tissue",OR($B$52="g",$B$52="mg")),((BY23*BY$51)/(BY$52)),IF(AND(Results!$E$5="Volume",$C$54&gt;0,Results!$E$4="Fluid"),((BY23*BY$51)/(BY$54)),IF(AND(Results!$E$4="Cells",Results!$E$5="Million",$B$52="million"),((BY23*BY$51)/(BY$52)),"0")))))</f>
        <v>1.7591000000000001</v>
      </c>
      <c r="BZ76" s="20">
        <f>IF(BZ23=0,"0",IF(AND(Results!$E$5="Protein",$C$53&gt;0,OR(Results!$E$4="Tissue",Results!$E$4="Cells")),((BZ23*BZ$51)/(BZ$53)),IF(AND(Results!$E$5="Weight",$C$52&gt;0, Results!$E$4="Tissue",OR($B$52="g",$B$52="mg")),((BZ23*BZ$51)/(BZ$52)),IF(AND(Results!$E$5="Volume",$C$54&gt;0,Results!$E$4="Fluid"),((BZ23*BZ$51)/(BZ$54)),IF(AND(Results!$E$4="Cells",Results!$E$5="Million",$B$52="million"),((BZ23*BZ$51)/(BZ$52)),"0")))))</f>
        <v>1.3127666666666664</v>
      </c>
      <c r="CA76" s="20">
        <f>IF(CA23=0,"0",IF(AND(Results!$E$5="Protein",$C$53&gt;0,OR(Results!$E$4="Tissue",Results!$E$4="Cells")),((CA23*CA$51)/(CA$53)),IF(AND(Results!$E$5="Weight",$C$52&gt;0, Results!$E$4="Tissue",OR($B$52="g",$B$52="mg")),((CA23*CA$51)/(CA$52)),IF(AND(Results!$E$5="Volume",$C$54&gt;0,Results!$E$4="Fluid"),((CA23*CA$51)/(CA$54)),IF(AND(Results!$E$4="Cells",Results!$E$5="Million",$B$52="million"),((CA23*CA$51)/(CA$52)),"0")))))</f>
        <v>2.604916666666667</v>
      </c>
      <c r="CB76" s="20">
        <f>IF(CB23=0,"0",IF(AND(Results!$E$5="Protein",$C$53&gt;0,OR(Results!$E$4="Tissue",Results!$E$4="Cells")),((CB23*CB$51)/(CB$53)),IF(AND(Results!$E$5="Weight",$C$52&gt;0, Results!$E$4="Tissue",OR($B$52="g",$B$52="mg")),((CB23*CB$51)/(CB$52)),IF(AND(Results!$E$5="Volume",$C$54&gt;0,Results!$E$4="Fluid"),((CB23*CB$51)/(CB$54)),IF(AND(Results!$E$4="Cells",Results!$E$5="Million",$B$52="million"),((CB23*CB$51)/(CB$52)),"0")))))</f>
        <v>2.6385166666666664</v>
      </c>
      <c r="CC76" s="20">
        <f>IF(CC23=0,"0",IF(AND(Results!$E$5="Protein",$C$53&gt;0,OR(Results!$E$4="Tissue",Results!$E$4="Cells")),((CC23*CC$51)/(CC$53)),IF(AND(Results!$E$5="Weight",$C$52&gt;0, Results!$E$4="Tissue",OR($B$52="g",$B$52="mg")),((CC23*CC$51)/(CC$52)),IF(AND(Results!$E$5="Volume",$C$54&gt;0,Results!$E$4="Fluid"),((CC23*CC$51)/(CC$54)),IF(AND(Results!$E$4="Cells",Results!$E$5="Million",$B$52="million"),((CC23*CC$51)/(CC$52)),"0")))))</f>
        <v>1.3348500000000001</v>
      </c>
      <c r="CD76" s="20">
        <f>IF(CD23=0,"0",IF(AND(Results!$E$5="Protein",$C$53&gt;0,OR(Results!$E$4="Tissue",Results!$E$4="Cells")),((CD23*CD$51)/(CD$53)),IF(AND(Results!$E$5="Weight",$C$52&gt;0, Results!$E$4="Tissue",OR($B$52="g",$B$52="mg")),((CD23*CD$51)/(CD$52)),IF(AND(Results!$E$5="Volume",$C$54&gt;0,Results!$E$4="Fluid"),((CD23*CD$51)/(CD$54)),IF(AND(Results!$E$4="Cells",Results!$E$5="Million",$B$52="million"),((CD23*CD$51)/(CD$52)),"0")))))</f>
        <v>0.74483333333333346</v>
      </c>
      <c r="CE76" s="20">
        <f>IF(CE23=0,"0",IF(AND(Results!$E$5="Protein",$C$53&gt;0,OR(Results!$E$4="Tissue",Results!$E$4="Cells")),((CE23*CE$51)/(CE$53)),IF(AND(Results!$E$5="Weight",$C$52&gt;0, Results!$E$4="Tissue",OR($B$52="g",$B$52="mg")),((CE23*CE$51)/(CE$52)),IF(AND(Results!$E$5="Volume",$C$54&gt;0,Results!$E$4="Fluid"),((CE23*CE$51)/(CE$54)),IF(AND(Results!$E$4="Cells",Results!$E$5="Million",$B$52="million"),((CE23*CE$51)/(CE$52)),"0")))))</f>
        <v>8.4230333333333345</v>
      </c>
      <c r="CF76" s="20">
        <f>IF(CF23=0,"0",IF(AND(Results!$E$5="Protein",$C$53&gt;0,OR(Results!$E$4="Tissue",Results!$E$4="Cells")),((CF23*CF$51)/(CF$53)),IF(AND(Results!$E$5="Weight",$C$52&gt;0, Results!$E$4="Tissue",OR($B$52="g",$B$52="mg")),((CF23*CF$51)/(CF$52)),IF(AND(Results!$E$5="Volume",$C$54&gt;0,Results!$E$4="Fluid"),((CF23*CF$51)/(CF$54)),IF(AND(Results!$E$4="Cells",Results!$E$5="Million",$B$52="million"),((CF23*CF$51)/(CF$52)),"0")))))</f>
        <v>0.48153333333333337</v>
      </c>
      <c r="CG76" s="20">
        <f>IF(CG23=0,"0",IF(AND(Results!$E$5="Protein",$C$53&gt;0,OR(Results!$E$4="Tissue",Results!$E$4="Cells")),((CG23*CG$51)/(CG$53)),IF(AND(Results!$E$5="Weight",$C$52&gt;0, Results!$E$4="Tissue",OR($B$52="g",$B$52="mg")),((CG23*CG$51)/(CG$52)),IF(AND(Results!$E$5="Volume",$C$54&gt;0,Results!$E$4="Fluid"),((CG23*CG$51)/(CG$54)),IF(AND(Results!$E$4="Cells",Results!$E$5="Million",$B$52="million"),((CG23*CG$51)/(CG$52)),"0")))))</f>
        <v>0.63343333333333329</v>
      </c>
      <c r="CH76" s="20">
        <f>IF(CH23=0,"0",IF(AND(Results!$E$5="Protein",$C$53&gt;0,OR(Results!$E$4="Tissue",Results!$E$4="Cells")),((CH23*CH$51)/(CH$53)),IF(AND(Results!$E$5="Weight",$C$52&gt;0, Results!$E$4="Tissue",OR($B$52="g",$B$52="mg")),((CH23*CH$51)/(CH$52)),IF(AND(Results!$E$5="Volume",$C$54&gt;0,Results!$E$4="Fluid"),((CH23*CH$51)/(CH$54)),IF(AND(Results!$E$4="Cells",Results!$E$5="Million",$B$52="million"),((CH23*CH$51)/(CH$52)),"0")))))</f>
        <v>0.4451</v>
      </c>
      <c r="CI76" s="20">
        <f>IF(CI23=0,"0",IF(AND(Results!$E$5="Protein",$C$53&gt;0,OR(Results!$E$4="Tissue",Results!$E$4="Cells")),((CI23*CI$51)/(CI$53)),IF(AND(Results!$E$5="Weight",$C$52&gt;0, Results!$E$4="Tissue",OR($B$52="g",$B$52="mg")),((CI23*CI$51)/(CI$52)),IF(AND(Results!$E$5="Volume",$C$54&gt;0,Results!$E$4="Fluid"),((CI23*CI$51)/(CI$54)),IF(AND(Results!$E$4="Cells",Results!$E$5="Million",$B$52="million"),((CI23*CI$51)/(CI$52)),"0")))))</f>
        <v>1.8382833333333333</v>
      </c>
      <c r="CJ76" s="20">
        <f>IF(CJ23=0,"0",IF(AND(Results!$E$5="Protein",$C$53&gt;0,OR(Results!$E$4="Tissue",Results!$E$4="Cells")),((CJ23*CJ$51)/(CJ$53)),IF(AND(Results!$E$5="Weight",$C$52&gt;0, Results!$E$4="Tissue",OR($B$52="g",$B$52="mg")),((CJ23*CJ$51)/(CJ$52)),IF(AND(Results!$E$5="Volume",$C$54&gt;0,Results!$E$4="Fluid"),((CJ23*CJ$51)/(CJ$54)),IF(AND(Results!$E$4="Cells",Results!$E$5="Million",$B$52="million"),((CJ23*CJ$51)/(CJ$52)),"0")))))</f>
        <v>1.8436444444444444</v>
      </c>
      <c r="CK76" s="20" t="str">
        <f>IF(CK23=0,"0",IF(AND(Results!$E$5="Protein",$C$53&gt;0,OR(Results!$E$4="Tissue",Results!$E$4="Cells")),((CK23*CK$51)/(CK$53)),IF(AND(Results!$E$5="Weight",$C$52&gt;0, Results!$E$4="Tissue",OR($B$52="g",$B$52="mg")),((CK23*CK$51)/(CK$52)),IF(AND(Results!$E$5="Volume",$C$54&gt;0,Results!$E$4="Fluid"),((CK23*CK$51)/(CK$54)),IF(AND(Results!$E$4="Cells",Results!$E$5="Million",$B$52="million"),((CK23*CK$51)/(CK$52)),"0")))))</f>
        <v>0</v>
      </c>
      <c r="CL76" s="20">
        <f>IF(CL23=0,"0",IF(AND(Results!$E$5="Protein",$C$53&gt;0,OR(Results!$E$4="Tissue",Results!$E$4="Cells")),((CL23*CL$51)/(CL$53)),IF(AND(Results!$E$5="Weight",$C$52&gt;0, Results!$E$4="Tissue",OR($B$52="g",$B$52="mg")),((CL23*CL$51)/(CL$52)),IF(AND(Results!$E$5="Volume",$C$54&gt;0,Results!$E$4="Fluid"),((CL23*CL$51)/(CL$54)),IF(AND(Results!$E$4="Cells",Results!$E$5="Million",$B$52="million"),((CL23*CL$51)/(CL$52)),"0")))))</f>
        <v>0.92214999999999991</v>
      </c>
      <c r="CM76" s="20">
        <f>IF(CM23=0,"0",IF(AND(Results!$E$5="Protein",$C$53&gt;0,OR(Results!$E$4="Tissue",Results!$E$4="Cells")),((CM23*CM$51)/(CM$53)),IF(AND(Results!$E$5="Weight",$C$52&gt;0, Results!$E$4="Tissue",OR($B$52="g",$B$52="mg")),((CM23*CM$51)/(CM$52)),IF(AND(Results!$E$5="Volume",$C$54&gt;0,Results!$E$4="Fluid"),((CM23*CM$51)/(CM$54)),IF(AND(Results!$E$4="Cells",Results!$E$5="Million",$B$52="million"),((CM23*CM$51)/(CM$52)),"0")))))</f>
        <v>0.49251666666666666</v>
      </c>
      <c r="CN76" s="20" t="str">
        <f>IF(CN23=0,"0",IF(AND(Results!$E$5="Protein",$C$53&gt;0,OR(Results!$E$4="Tissue",Results!$E$4="Cells")),((CN23*CN$51)/(CN$53)),IF(AND(Results!$E$5="Weight",$C$52&gt;0, Results!$E$4="Tissue",OR($B$52="g",$B$52="mg")),((CN23*CN$51)/(CN$52)),IF(AND(Results!$E$5="Volume",$C$54&gt;0,Results!$E$4="Fluid"),((CN23*CN$51)/(CN$54)),IF(AND(Results!$E$4="Cells",Results!$E$5="Million",$B$52="million"),((CN23*CN$51)/(CN$52)),"0")))))</f>
        <v>0</v>
      </c>
      <c r="CO76" s="20">
        <f>IF(CO23=0,"0",IF(AND(Results!$E$5="Protein",$C$53&gt;0,OR(Results!$E$4="Tissue",Results!$E$4="Cells")),((CO23*CO$51)/(CO$53)),IF(AND(Results!$E$5="Weight",$C$52&gt;0, Results!$E$4="Tissue",OR($B$52="g",$B$52="mg")),((CO23*CO$51)/(CO$52)),IF(AND(Results!$E$5="Volume",$C$54&gt;0,Results!$E$4="Fluid"),((CO23*CO$51)/(CO$54)),IF(AND(Results!$E$4="Cells",Results!$E$5="Million",$B$52="million"),((CO23*CO$51)/(CO$52)),"0")))))</f>
        <v>0.30936666666666668</v>
      </c>
      <c r="CP76" s="20">
        <f>IF(CP23=0,"0",IF(AND(Results!$E$5="Protein",$C$53&gt;0,OR(Results!$E$4="Tissue",Results!$E$4="Cells")),((CP23*CP$51)/(CP$53)),IF(AND(Results!$E$5="Weight",$C$52&gt;0, Results!$E$4="Tissue",OR($B$52="g",$B$52="mg")),((CP23*CP$51)/(CP$52)),IF(AND(Results!$E$5="Volume",$C$54&gt;0,Results!$E$4="Fluid"),((CP23*CP$51)/(CP$54)),IF(AND(Results!$E$4="Cells",Results!$E$5="Million",$B$52="million"),((CP23*CP$51)/(CP$52)),"0")))))</f>
        <v>1.2778666666666667</v>
      </c>
      <c r="CQ76" s="20">
        <f>IF(CQ23=0,"0",IF(AND(Results!$E$5="Protein",$C$53&gt;0,OR(Results!$E$4="Tissue",Results!$E$4="Cells")),((CQ23*CQ$51)/(CQ$53)),IF(AND(Results!$E$5="Weight",$C$52&gt;0, Results!$E$4="Tissue",OR($B$52="g",$B$52="mg")),((CQ23*CQ$51)/(CQ$52)),IF(AND(Results!$E$5="Volume",$C$54&gt;0,Results!$E$4="Fluid"),((CQ23*CQ$51)/(CQ$54)),IF(AND(Results!$E$4="Cells",Results!$E$5="Million",$B$52="million"),((CQ23*CQ$51)/(CQ$52)),"0")))))</f>
        <v>2.6540166666666662</v>
      </c>
      <c r="CR76" s="20">
        <f>IF(CR23=0,"0",IF(AND(Results!$E$5="Protein",$C$53&gt;0,OR(Results!$E$4="Tissue",Results!$E$4="Cells")),((CR23*CR$51)/(CR$53)),IF(AND(Results!$E$5="Weight",$C$52&gt;0, Results!$E$4="Tissue",OR($B$52="g",$B$52="mg")),((CR23*CR$51)/(CR$52)),IF(AND(Results!$E$5="Volume",$C$54&gt;0,Results!$E$4="Fluid"),((CR23*CR$51)/(CR$54)),IF(AND(Results!$E$4="Cells",Results!$E$5="Million",$B$52="million"),((CR23*CR$51)/(CR$52)),"0")))))</f>
        <v>6.6844833333333336</v>
      </c>
      <c r="CS76" s="20">
        <f>IF(CS23=0,"0",IF(AND(Results!$E$5="Protein",$C$53&gt;0,OR(Results!$E$4="Tissue",Results!$E$4="Cells")),((CS23*CS$51)/(CS$53)),IF(AND(Results!$E$5="Weight",$C$52&gt;0, Results!$E$4="Tissue",OR($B$52="g",$B$52="mg")),((CS23*CS$51)/(CS$52)),IF(AND(Results!$E$5="Volume",$C$54&gt;0,Results!$E$4="Fluid"),((CS23*CS$51)/(CS$54)),IF(AND(Results!$E$4="Cells",Results!$E$5="Million",$B$52="million"),((CS23*CS$51)/(CS$52)),"0")))))</f>
        <v>0.19966666666666669</v>
      </c>
      <c r="CT76" s="20">
        <f>IF(CT23=0,"0",IF(AND(Results!$E$5="Protein",$C$53&gt;0,OR(Results!$E$4="Tissue",Results!$E$4="Cells")),((CT23*CT$51)/(CT$53)),IF(AND(Results!$E$5="Weight",$C$52&gt;0, Results!$E$4="Tissue",OR($B$52="g",$B$52="mg")),((CT23*CT$51)/(CT$52)),IF(AND(Results!$E$5="Volume",$C$54&gt;0,Results!$E$4="Fluid"),((CT23*CT$51)/(CT$54)),IF(AND(Results!$E$4="Cells",Results!$E$5="Million",$B$52="million"),((CT23*CT$51)/(CT$52)),"0")))))</f>
        <v>0.14601666666666666</v>
      </c>
      <c r="CU76" s="20">
        <f>IF(CU23=0,"0",IF(AND(Results!$E$5="Protein",$C$53&gt;0,OR(Results!$E$4="Tissue",Results!$E$4="Cells")),((CU23*CU$51)/(CU$53)),IF(AND(Results!$E$5="Weight",$C$52&gt;0, Results!$E$4="Tissue",OR($B$52="g",$B$52="mg")),((CU23*CU$51)/(CU$52)),IF(AND(Results!$E$5="Volume",$C$54&gt;0,Results!$E$4="Fluid"),((CU23*CU$51)/(CU$54)),IF(AND(Results!$E$4="Cells",Results!$E$5="Million",$B$52="million"),((CU23*CU$51)/(CU$52)),"0")))))</f>
        <v>1.0203833333333334</v>
      </c>
      <c r="CV76" s="20" t="str">
        <f>IF(CV23=0,"0",IF(AND(Results!$E$5="Protein",$C$53&gt;0,OR(Results!$E$4="Tissue",Results!$E$4="Cells")),((CV23*CV$51)/(CV$53)),IF(AND(Results!$E$5="Weight",$C$52&gt;0, Results!$E$4="Tissue",OR($B$52="g",$B$52="mg")),((CV23*CV$51)/(CV$52)),IF(AND(Results!$E$5="Volume",$C$54&gt;0,Results!$E$4="Fluid"),((CV23*CV$51)/(CV$54)),IF(AND(Results!$E$4="Cells",Results!$E$5="Million",$B$52="million"),((CV23*CV$51)/(CV$52)),"0")))))</f>
        <v>0</v>
      </c>
      <c r="CW76" s="20">
        <f>IF(CW23=0,"0",IF(AND(Results!$E$5="Protein",$C$53&gt;0,OR(Results!$E$4="Tissue",Results!$E$4="Cells")),((CW23*CW$51)/(CW$53)),IF(AND(Results!$E$5="Weight",$C$52&gt;0, Results!$E$4="Tissue",OR($B$52="g",$B$52="mg")),((CW23*CW$51)/(CW$52)),IF(AND(Results!$E$5="Volume",$C$54&gt;0,Results!$E$4="Fluid"),((CW23*CW$51)/(CW$54)),IF(AND(Results!$E$4="Cells",Results!$E$5="Million",$B$52="million"),((CW23*CW$51)/(CW$52)),"0")))))</f>
        <v>0.63044999999999995</v>
      </c>
      <c r="CX76" s="20" t="str">
        <f>IF(CX23=0,"0",IF(AND(Results!$E$5="Protein",$C$53&gt;0,OR(Results!$E$4="Tissue",Results!$E$4="Cells")),((CX23*CX$51)/(CX$53)),IF(AND(Results!$E$5="Weight",$C$52&gt;0, Results!$E$4="Tissue",OR($B$52="g",$B$52="mg")),((CX23*CX$51)/(CX$52)),IF(AND(Results!$E$5="Volume",$C$54&gt;0,Results!$E$4="Fluid"),((CX23*CX$51)/(CX$54)),IF(AND(Results!$E$4="Cells",Results!$E$5="Million",$B$52="million"),((CX23*CX$51)/(CX$52)),"0")))))</f>
        <v>0</v>
      </c>
      <c r="CY76" s="20">
        <f>IF(CY23=0,"0",IF(AND(Results!$E$5="Protein",$C$53&gt;0,OR(Results!$E$4="Tissue",Results!$E$4="Cells")),((CY23*CY$51)/(CY$53)),IF(AND(Results!$E$5="Weight",$C$52&gt;0, Results!$E$4="Tissue",OR($B$52="g",$B$52="mg")),((CY23*CY$51)/(CY$52)),IF(AND(Results!$E$5="Volume",$C$54&gt;0,Results!$E$4="Fluid"),((CY23*CY$51)/(CY$54)),IF(AND(Results!$E$4="Cells",Results!$E$5="Million",$B$52="million"),((CY23*CY$51)/(CY$52)),"0")))))</f>
        <v>2.5199833333333332</v>
      </c>
      <c r="CZ76" s="20">
        <f>IF(CZ23=0,"0",IF(AND(Results!$E$5="Protein",$C$53&gt;0,OR(Results!$E$4="Tissue",Results!$E$4="Cells")),((CZ23*CZ$51)/(CZ$53)),IF(AND(Results!$E$5="Weight",$C$52&gt;0, Results!$E$4="Tissue",OR($B$52="g",$B$52="mg")),((CZ23*CZ$51)/(CZ$52)),IF(AND(Results!$E$5="Volume",$C$54&gt;0,Results!$E$4="Fluid"),((CZ23*CZ$51)/(CZ$54)),IF(AND(Results!$E$4="Cells",Results!$E$5="Million",$B$52="million"),((CZ23*CZ$51)/(CZ$52)),"0")))))</f>
        <v>0.59628333333333339</v>
      </c>
      <c r="DA76" s="20">
        <f>IF(DA23=0,"0",IF(AND(Results!$E$5="Protein",$C$53&gt;0,OR(Results!$E$4="Tissue",Results!$E$4="Cells")),((DA23*DA$51)/(DA$53)),IF(AND(Results!$E$5="Weight",$C$52&gt;0, Results!$E$4="Tissue",OR($B$52="g",$B$52="mg")),((DA23*DA$51)/(DA$52)),IF(AND(Results!$E$5="Volume",$C$54&gt;0,Results!$E$4="Fluid"),((DA23*DA$51)/(DA$54)),IF(AND(Results!$E$4="Cells",Results!$E$5="Million",$B$52="million"),((DA23*DA$51)/(DA$52)),"0")))))</f>
        <v>0.15811666666666666</v>
      </c>
      <c r="DB76" s="20">
        <f>IF(DB23=0,"0",IF(AND(Results!$E$5="Protein",$C$53&gt;0,OR(Results!$E$4="Tissue",Results!$E$4="Cells")),((DB23*DB$51)/(DB$53)),IF(AND(Results!$E$5="Weight",$C$52&gt;0, Results!$E$4="Tissue",OR($B$52="g",$B$52="mg")),((DB23*DB$51)/(DB$52)),IF(AND(Results!$E$5="Volume",$C$54&gt;0,Results!$E$4="Fluid"),((DB23*DB$51)/(DB$54)),IF(AND(Results!$E$4="Cells",Results!$E$5="Million",$B$52="million"),((DB23*DB$51)/(DB$52)),"0")))))</f>
        <v>1.4204833333333333</v>
      </c>
      <c r="DC76" s="20">
        <f>IF(DC23=0,"0",IF(AND(Results!$E$5="Protein",$C$53&gt;0,OR(Results!$E$4="Tissue",Results!$E$4="Cells")),((DC23*DC$51)/(DC$53)),IF(AND(Results!$E$5="Weight",$C$52&gt;0, Results!$E$4="Tissue",OR($B$52="g",$B$52="mg")),((DC23*DC$51)/(DC$52)),IF(AND(Results!$E$5="Volume",$C$54&gt;0,Results!$E$4="Fluid"),((DC23*DC$51)/(DC$54)),IF(AND(Results!$E$4="Cells",Results!$E$5="Million",$B$52="million"),((DC23*DC$51)/(DC$52)),"0")))))</f>
        <v>1.9972666666666663</v>
      </c>
      <c r="DD76" s="20">
        <f>IF(DD23=0,"0",IF(AND(Results!$E$5="Protein",$C$53&gt;0,OR(Results!$E$4="Tissue",Results!$E$4="Cells")),((DD23*DD$51)/(DD$53)),IF(AND(Results!$E$5="Weight",$C$52&gt;0, Results!$E$4="Tissue",OR($B$52="g",$B$52="mg")),((DD23*DD$51)/(DD$52)),IF(AND(Results!$E$5="Volume",$C$54&gt;0,Results!$E$4="Fluid"),((DD23*DD$51)/(DD$54)),IF(AND(Results!$E$4="Cells",Results!$E$5="Million",$B$52="million"),((DD23*DD$51)/(DD$52)),"0")))))</f>
        <v>0.36270000000000002</v>
      </c>
      <c r="DE76" s="20">
        <f>IF(DE23=0,"0",IF(AND(Results!$E$5="Protein",$C$53&gt;0,OR(Results!$E$4="Tissue",Results!$E$4="Cells")),((DE23*DE$51)/(DE$53)),IF(AND(Results!$E$5="Weight",$C$52&gt;0, Results!$E$4="Tissue",OR($B$52="g",$B$52="mg")),((DE23*DE$51)/(DE$52)),IF(AND(Results!$E$5="Volume",$C$54&gt;0,Results!$E$4="Fluid"),((DE23*DE$51)/(DE$54)),IF(AND(Results!$E$4="Cells",Results!$E$5="Million",$B$52="million"),((DE23*DE$51)/(DE$52)),"0")))))</f>
        <v>0.96915000000000007</v>
      </c>
      <c r="DF76" s="20">
        <f>IF(DF23=0,"0",IF(AND(Results!$E$5="Protein",$C$53&gt;0,OR(Results!$E$4="Tissue",Results!$E$4="Cells")),((DF23*DF$51)/(DF$53)),IF(AND(Results!$E$5="Weight",$C$52&gt;0, Results!$E$4="Tissue",OR($B$52="g",$B$52="mg")),((DF23*DF$51)/(DF$52)),IF(AND(Results!$E$5="Volume",$C$54&gt;0,Results!$E$4="Fluid"),((DF23*DF$51)/(DF$54)),IF(AND(Results!$E$4="Cells",Results!$E$5="Million",$B$52="million"),((DF23*DF$51)/(DF$52)),"0")))))</f>
        <v>0.44743333333333335</v>
      </c>
      <c r="DG76" s="20">
        <f>IF(DG23=0,"0",IF(AND(Results!$E$5="Protein",$C$53&gt;0,OR(Results!$E$4="Tissue",Results!$E$4="Cells")),((DG23*DG$51)/(DG$53)),IF(AND(Results!$E$5="Weight",$C$52&gt;0, Results!$E$4="Tissue",OR($B$52="g",$B$52="mg")),((DG23*DG$51)/(DG$52)),IF(AND(Results!$E$5="Volume",$C$54&gt;0,Results!$E$4="Fluid"),((DG23*DG$51)/(DG$54)),IF(AND(Results!$E$4="Cells",Results!$E$5="Million",$B$52="million"),((DG23*DG$51)/(DG$52)),"0")))))</f>
        <v>4.0343333333333335</v>
      </c>
      <c r="DH76" s="20" t="str">
        <f>IF(DH23=0,"0",IF(AND(Results!$E$5="Protein",$C$53&gt;0,OR(Results!$E$4="Tissue",Results!$E$4="Cells")),((DH23*DH$51)/(DH$53)),IF(AND(Results!$E$5="Weight",$C$52&gt;0, Results!$E$4="Tissue",OR($B$52="g",$B$52="mg")),((DH23*DH$51)/(DH$52)),IF(AND(Results!$E$5="Volume",$C$54&gt;0,Results!$E$4="Fluid"),((DH23*DH$51)/(DH$54)),IF(AND(Results!$E$4="Cells",Results!$E$5="Million",$B$52="million"),((DH23*DH$51)/(DH$52)),"0")))))</f>
        <v>0</v>
      </c>
      <c r="DI76" s="20">
        <f>IF(DI23=0,"0",IF(AND(Results!$E$5="Protein",$C$53&gt;0,OR(Results!$E$4="Tissue",Results!$E$4="Cells")),((DI23*DI$51)/(DI$53)),IF(AND(Results!$E$5="Weight",$C$52&gt;0, Results!$E$4="Tissue",OR($B$52="g",$B$52="mg")),((DI23*DI$51)/(DI$52)),IF(AND(Results!$E$5="Volume",$C$54&gt;0,Results!$E$4="Fluid"),((DI23*DI$51)/(DI$54)),IF(AND(Results!$E$4="Cells",Results!$E$5="Million",$B$52="million"),((DI23*DI$51)/(DI$52)),"0")))))</f>
        <v>0.6808833333333334</v>
      </c>
      <c r="DJ76" s="20">
        <f>IF(DJ23=0,"0",IF(AND(Results!$E$5="Protein",$C$53&gt;0,OR(Results!$E$4="Tissue",Results!$E$4="Cells")),((DJ23*DJ$51)/(DJ$53)),IF(AND(Results!$E$5="Weight",$C$52&gt;0, Results!$E$4="Tissue",OR($B$52="g",$B$52="mg")),((DJ23*DJ$51)/(DJ$52)),IF(AND(Results!$E$5="Volume",$C$54&gt;0,Results!$E$4="Fluid"),((DJ23*DJ$51)/(DJ$54)),IF(AND(Results!$E$4="Cells",Results!$E$5="Million",$B$52="million"),((DJ23*DJ$51)/(DJ$52)),"0")))))</f>
        <v>4.0781999999999998</v>
      </c>
      <c r="DK76" s="20">
        <f>IF(DK23=0,"0",IF(AND(Results!$E$5="Protein",$C$53&gt;0,OR(Results!$E$4="Tissue",Results!$E$4="Cells")),((DK23*DK$51)/(DK$53)),IF(AND(Results!$E$5="Weight",$C$52&gt;0, Results!$E$4="Tissue",OR($B$52="g",$B$52="mg")),((DK23*DK$51)/(DK$52)),IF(AND(Results!$E$5="Volume",$C$54&gt;0,Results!$E$4="Fluid"),((DK23*DK$51)/(DK$54)),IF(AND(Results!$E$4="Cells",Results!$E$5="Million",$B$52="million"),((DK23*DK$51)/(DK$52)),"0")))))</f>
        <v>2.9774999999999996</v>
      </c>
      <c r="DL76" s="20">
        <f>IF(DL23=0,"0",IF(AND(Results!$E$5="Protein",$C$53&gt;0,OR(Results!$E$4="Tissue",Results!$E$4="Cells")),((DL23*DL$51)/(DL$53)),IF(AND(Results!$E$5="Weight",$C$52&gt;0, Results!$E$4="Tissue",OR($B$52="g",$B$52="mg")),((DL23*DL$51)/(DL$52)),IF(AND(Results!$E$5="Volume",$C$54&gt;0,Results!$E$4="Fluid"),((DL23*DL$51)/(DL$54)),IF(AND(Results!$E$4="Cells",Results!$E$5="Million",$B$52="million"),((DL23*DL$51)/(DL$52)),"0")))))</f>
        <v>0.91431666666666667</v>
      </c>
      <c r="DM76" s="20">
        <f>IF(DM23=0,"0",IF(AND(Results!$E$5="Protein",$C$53&gt;0,OR(Results!$E$4="Tissue",Results!$E$4="Cells")),((DM23*DM$51)/(DM$53)),IF(AND(Results!$E$5="Weight",$C$52&gt;0, Results!$E$4="Tissue",OR($B$52="g",$B$52="mg")),((DM23*DM$51)/(DM$52)),IF(AND(Results!$E$5="Volume",$C$54&gt;0,Results!$E$4="Fluid"),((DM23*DM$51)/(DM$54)),IF(AND(Results!$E$4="Cells",Results!$E$5="Million",$B$52="million"),((DM23*DM$51)/(DM$52)),"0")))))</f>
        <v>0.46265000000000001</v>
      </c>
      <c r="DN76" s="20">
        <f>IF(DN23=0,"0",IF(AND(Results!$E$5="Protein",$C$53&gt;0,OR(Results!$E$4="Tissue",Results!$E$4="Cells")),((DN23*DN$51)/(DN$53)),IF(AND(Results!$E$5="Weight",$C$52&gt;0, Results!$E$4="Tissue",OR($B$52="g",$B$52="mg")),((DN23*DN$51)/(DN$52)),IF(AND(Results!$E$5="Volume",$C$54&gt;0,Results!$E$4="Fluid"),((DN23*DN$51)/(DN$54)),IF(AND(Results!$E$4="Cells",Results!$E$5="Million",$B$52="million"),((DN23*DN$51)/(DN$52)),"0")))))</f>
        <v>2.1691500000000001</v>
      </c>
      <c r="DO76" s="20">
        <f>IF(DO23=0,"0",IF(AND(Results!$E$5="Protein",$C$53&gt;0,OR(Results!$E$4="Tissue",Results!$E$4="Cells")),((DO23*DO$51)/(DO$53)),IF(AND(Results!$E$5="Weight",$C$52&gt;0, Results!$E$4="Tissue",OR($B$52="g",$B$52="mg")),((DO23*DO$51)/(DO$52)),IF(AND(Results!$E$5="Volume",$C$54&gt;0,Results!$E$4="Fluid"),((DO23*DO$51)/(DO$54)),IF(AND(Results!$E$4="Cells",Results!$E$5="Million",$B$52="million"),((DO23*DO$51)/(DO$52)),"0")))))</f>
        <v>3.008033333333334</v>
      </c>
      <c r="DP76" s="20">
        <f>IF(DP23=0,"0",IF(AND(Results!$E$5="Protein",$C$53&gt;0,OR(Results!$E$4="Tissue",Results!$E$4="Cells")),((DP23*DP$51)/(DP$53)),IF(AND(Results!$E$5="Weight",$C$52&gt;0, Results!$E$4="Tissue",OR($B$52="g",$B$52="mg")),((DP23*DP$51)/(DP$52)),IF(AND(Results!$E$5="Volume",$C$54&gt;0,Results!$E$4="Fluid"),((DP23*DP$51)/(DP$54)),IF(AND(Results!$E$4="Cells",Results!$E$5="Million",$B$52="million"),((DP23*DP$51)/(DP$52)),"0")))))</f>
        <v>0.70706666666666662</v>
      </c>
      <c r="DQ76" s="20">
        <f>IF(DQ23=0,"0",IF(AND(Results!$E$5="Protein",$C$53&gt;0,OR(Results!$E$4="Tissue",Results!$E$4="Cells")),((DQ23*DQ$51)/(DQ$53)),IF(AND(Results!$E$5="Weight",$C$52&gt;0, Results!$E$4="Tissue",OR($B$52="g",$B$52="mg")),((DQ23*DQ$51)/(DQ$52)),IF(AND(Results!$E$5="Volume",$C$54&gt;0,Results!$E$4="Fluid"),((DQ23*DQ$51)/(DQ$54)),IF(AND(Results!$E$4="Cells",Results!$E$5="Million",$B$52="million"),((DQ23*DQ$51)/(DQ$52)),"0")))))</f>
        <v>0.45119999999999999</v>
      </c>
      <c r="DR76" s="20">
        <f>IF(DR23=0,"0",IF(AND(Results!$E$5="Protein",$C$53&gt;0,OR(Results!$E$4="Tissue",Results!$E$4="Cells")),((DR23*DR$51)/(DR$53)),IF(AND(Results!$E$5="Weight",$C$52&gt;0, Results!$E$4="Tissue",OR($B$52="g",$B$52="mg")),((DR23*DR$51)/(DR$52)),IF(AND(Results!$E$5="Volume",$C$54&gt;0,Results!$E$4="Fluid"),((DR23*DR$51)/(DR$54)),IF(AND(Results!$E$4="Cells",Results!$E$5="Million",$B$52="million"),((DR23*DR$51)/(DR$52)),"0")))))</f>
        <v>0.15308333333333335</v>
      </c>
      <c r="DS76" s="20">
        <f>IF(DS23=0,"0",IF(AND(Results!$E$5="Protein",$C$53&gt;0,OR(Results!$E$4="Tissue",Results!$E$4="Cells")),((DS23*DS$51)/(DS$53)),IF(AND(Results!$E$5="Weight",$C$52&gt;0, Results!$E$4="Tissue",OR($B$52="g",$B$52="mg")),((DS23*DS$51)/(DS$52)),IF(AND(Results!$E$5="Volume",$C$54&gt;0,Results!$E$4="Fluid"),((DS23*DS$51)/(DS$54)),IF(AND(Results!$E$4="Cells",Results!$E$5="Million",$B$52="million"),((DS23*DS$51)/(DS$52)),"0")))))</f>
        <v>0.51493333333333335</v>
      </c>
      <c r="DT76" s="20" t="str">
        <f>IF(DT23=0,"0",IF(AND(Results!$E$5="Protein",$C$53&gt;0,OR(Results!$E$4="Tissue",Results!$E$4="Cells")),((DT23*DT$51)/(DT$53)),IF(AND(Results!$E$5="Weight",$C$52&gt;0, Results!$E$4="Tissue",OR($B$52="g",$B$52="mg")),((DT23*DT$51)/(DT$52)),IF(AND(Results!$E$5="Volume",$C$54&gt;0,Results!$E$4="Fluid"),((DT23*DT$51)/(DT$54)),IF(AND(Results!$E$4="Cells",Results!$E$5="Million",$B$52="million"),((DT23*DT$51)/(DT$52)),"0")))))</f>
        <v>0</v>
      </c>
      <c r="DU76" s="20">
        <f>IF(DU23=0,"0",IF(AND(Results!$E$5="Protein",$C$53&gt;0,OR(Results!$E$4="Tissue",Results!$E$4="Cells")),((DU23*DU$51)/(DU$53)),IF(AND(Results!$E$5="Weight",$C$52&gt;0, Results!$E$4="Tissue",OR($B$52="g",$B$52="mg")),((DU23*DU$51)/(DU$52)),IF(AND(Results!$E$5="Volume",$C$54&gt;0,Results!$E$4="Fluid"),((DU23*DU$51)/(DU$54)),IF(AND(Results!$E$4="Cells",Results!$E$5="Million",$B$52="million"),((DU23*DU$51)/(DU$52)),"0")))))</f>
        <v>1.3974666666666666</v>
      </c>
      <c r="DV76" s="20">
        <f>IF(DV23=0,"0",IF(AND(Results!$E$5="Protein",$C$53&gt;0,OR(Results!$E$4="Tissue",Results!$E$4="Cells")),((DV23*DV$51)/(DV$53)),IF(AND(Results!$E$5="Weight",$C$52&gt;0, Results!$E$4="Tissue",OR($B$52="g",$B$52="mg")),((DV23*DV$51)/(DV$52)),IF(AND(Results!$E$5="Volume",$C$54&gt;0,Results!$E$4="Fluid"),((DV23*DV$51)/(DV$54)),IF(AND(Results!$E$4="Cells",Results!$E$5="Million",$B$52="million"),((DV23*DV$51)/(DV$52)),"0")))))</f>
        <v>0.43776666666666664</v>
      </c>
      <c r="DW76" s="20">
        <f>IF(DW23=0,"0",IF(AND(Results!$E$5="Protein",$C$53&gt;0,OR(Results!$E$4="Tissue",Results!$E$4="Cells")),((DW23*DW$51)/(DW$53)),IF(AND(Results!$E$5="Weight",$C$52&gt;0, Results!$E$4="Tissue",OR($B$52="g",$B$52="mg")),((DW23*DW$51)/(DW$52)),IF(AND(Results!$E$5="Volume",$C$54&gt;0,Results!$E$4="Fluid"),((DW23*DW$51)/(DW$54)),IF(AND(Results!$E$4="Cells",Results!$E$5="Million",$B$52="million"),((DW23*DW$51)/(DW$52)),"0")))))</f>
        <v>0.67368333333333319</v>
      </c>
      <c r="DX76" s="20">
        <f>IF(DX23=0,"0",IF(AND(Results!$E$5="Protein",$C$53&gt;0,OR(Results!$E$4="Tissue",Results!$E$4="Cells")),((DX23*DX$51)/(DX$53)),IF(AND(Results!$E$5="Weight",$C$52&gt;0, Results!$E$4="Tissue",OR($B$52="g",$B$52="mg")),((DX23*DX$51)/(DX$52)),IF(AND(Results!$E$5="Volume",$C$54&gt;0,Results!$E$4="Fluid"),((DX23*DX$51)/(DX$54)),IF(AND(Results!$E$4="Cells",Results!$E$5="Million",$B$52="million"),((DX23*DX$51)/(DX$52)),"0")))))</f>
        <v>1.2328666666666666</v>
      </c>
      <c r="DY76" s="20">
        <f>IF(DY23=0,"0",IF(AND(Results!$E$5="Protein",$C$53&gt;0,OR(Results!$E$4="Tissue",Results!$E$4="Cells")),((DY23*DY$51)/(DY$53)),IF(AND(Results!$E$5="Weight",$C$52&gt;0, Results!$E$4="Tissue",OR($B$52="g",$B$52="mg")),((DY23*DY$51)/(DY$52)),IF(AND(Results!$E$5="Volume",$C$54&gt;0,Results!$E$4="Fluid"),((DY23*DY$51)/(DY$54)),IF(AND(Results!$E$4="Cells",Results!$E$5="Million",$B$52="million"),((DY23*DY$51)/(DY$52)),"0")))))</f>
        <v>0.6735000000000001</v>
      </c>
      <c r="DZ76" s="20">
        <f>IF(DZ23=0,"0",IF(AND(Results!$E$5="Protein",$C$53&gt;0,OR(Results!$E$4="Tissue",Results!$E$4="Cells")),((DZ23*DZ$51)/(DZ$53)),IF(AND(Results!$E$5="Weight",$C$52&gt;0, Results!$E$4="Tissue",OR($B$52="g",$B$52="mg")),((DZ23*DZ$51)/(DZ$52)),IF(AND(Results!$E$5="Volume",$C$54&gt;0,Results!$E$4="Fluid"),((DZ23*DZ$51)/(DZ$54)),IF(AND(Results!$E$4="Cells",Results!$E$5="Million",$B$52="million"),((DZ23*DZ$51)/(DZ$52)),"0")))))</f>
        <v>2.2971500000000002</v>
      </c>
      <c r="EA76" s="20">
        <f>IF(EA23=0,"0",IF(AND(Results!$E$5="Protein",$C$53&gt;0,OR(Results!$E$4="Tissue",Results!$E$4="Cells")),((EA23*EA$51)/(EA$53)),IF(AND(Results!$E$5="Weight",$C$52&gt;0, Results!$E$4="Tissue",OR($B$52="g",$B$52="mg")),((EA23*EA$51)/(EA$52)),IF(AND(Results!$E$5="Volume",$C$54&gt;0,Results!$E$4="Fluid"),((EA23*EA$51)/(EA$54)),IF(AND(Results!$E$4="Cells",Results!$E$5="Million",$B$52="million"),((EA23*EA$51)/(EA$52)),"0")))))</f>
        <v>0.77434999999999998</v>
      </c>
      <c r="EB76" s="20">
        <f>IF(EB23=0,"0",IF(AND(Results!$E$5="Protein",$C$53&gt;0,OR(Results!$E$4="Tissue",Results!$E$4="Cells")),((EB23*EB$51)/(EB$53)),IF(AND(Results!$E$5="Weight",$C$52&gt;0, Results!$E$4="Tissue",OR($B$52="g",$B$52="mg")),((EB23*EB$51)/(EB$52)),IF(AND(Results!$E$5="Volume",$C$54&gt;0,Results!$E$4="Fluid"),((EB23*EB$51)/(EB$54)),IF(AND(Results!$E$4="Cells",Results!$E$5="Million",$B$52="million"),((EB23*EB$51)/(EB$52)),"0")))))</f>
        <v>0.22716666666666666</v>
      </c>
      <c r="EC76" s="20">
        <f>IF(EC23=0,"0",IF(AND(Results!$E$5="Protein",$C$53&gt;0,OR(Results!$E$4="Tissue",Results!$E$4="Cells")),((EC23*EC$51)/(EC$53)),IF(AND(Results!$E$5="Weight",$C$52&gt;0, Results!$E$4="Tissue",OR($B$52="g",$B$52="mg")),((EC23*EC$51)/(EC$52)),IF(AND(Results!$E$5="Volume",$C$54&gt;0,Results!$E$4="Fluid"),((EC23*EC$51)/(EC$54)),IF(AND(Results!$E$4="Cells",Results!$E$5="Million",$B$52="million"),((EC23*EC$51)/(EC$52)),"0")))))</f>
        <v>0.44658333333333339</v>
      </c>
      <c r="ED76" s="20">
        <f>IF(ED23=0,"0",IF(AND(Results!$E$5="Protein",$C$53&gt;0,OR(Results!$E$4="Tissue",Results!$E$4="Cells")),((ED23*ED$51)/(ED$53)),IF(AND(Results!$E$5="Weight",$C$52&gt;0, Results!$E$4="Tissue",OR($B$52="g",$B$52="mg")),((ED23*ED$51)/(ED$52)),IF(AND(Results!$E$5="Volume",$C$54&gt;0,Results!$E$4="Fluid"),((ED23*ED$51)/(ED$54)),IF(AND(Results!$E$4="Cells",Results!$E$5="Million",$B$52="million"),((ED23*ED$51)/(ED$52)),"0")))))</f>
        <v>0.64408333333333334</v>
      </c>
      <c r="EE76" s="20">
        <f>IF(EE23=0,"0",IF(AND(Results!$E$5="Protein",$C$53&gt;0,OR(Results!$E$4="Tissue",Results!$E$4="Cells")),((EE23*EE$51)/(EE$53)),IF(AND(Results!$E$5="Weight",$C$52&gt;0, Results!$E$4="Tissue",OR($B$52="g",$B$52="mg")),((EE23*EE$51)/(EE$52)),IF(AND(Results!$E$5="Volume",$C$54&gt;0,Results!$E$4="Fluid"),((EE23*EE$51)/(EE$54)),IF(AND(Results!$E$4="Cells",Results!$E$5="Million",$B$52="million"),((EE23*EE$51)/(EE$52)),"0")))))</f>
        <v>0.59786666666666666</v>
      </c>
      <c r="EF76" s="20">
        <f>IF(EF23=0,"0",IF(AND(Results!$E$5="Protein",$C$53&gt;0,OR(Results!$E$4="Tissue",Results!$E$4="Cells")),((EF23*EF$51)/(EF$53)),IF(AND(Results!$E$5="Weight",$C$52&gt;0, Results!$E$4="Tissue",OR($B$52="g",$B$52="mg")),((EF23*EF$51)/(EF$52)),IF(AND(Results!$E$5="Volume",$C$54&gt;0,Results!$E$4="Fluid"),((EF23*EF$51)/(EF$54)),IF(AND(Results!$E$4="Cells",Results!$E$5="Million",$B$52="million"),((EF23*EF$51)/(EF$52)),"0")))))</f>
        <v>0.9579333333333333</v>
      </c>
      <c r="EG76" s="20">
        <f>IF(EG23=0,"0",IF(AND(Results!$E$5="Protein",$C$53&gt;0,OR(Results!$E$4="Tissue",Results!$E$4="Cells")),((EG23*EG$51)/(EG$53)),IF(AND(Results!$E$5="Weight",$C$52&gt;0, Results!$E$4="Tissue",OR($B$52="g",$B$52="mg")),((EG23*EG$51)/(EG$52)),IF(AND(Results!$E$5="Volume",$C$54&gt;0,Results!$E$4="Fluid"),((EG23*EG$51)/(EG$54)),IF(AND(Results!$E$4="Cells",Results!$E$5="Million",$B$52="million"),((EG23*EG$51)/(EG$52)),"0")))))</f>
        <v>0.74171666666666669</v>
      </c>
      <c r="EH76" s="20">
        <f>IF(EH23=0,"0",IF(AND(Results!$E$5="Protein",$C$53&gt;0,OR(Results!$E$4="Tissue",Results!$E$4="Cells")),((EH23*EH$51)/(EH$53)),IF(AND(Results!$E$5="Weight",$C$52&gt;0, Results!$E$4="Tissue",OR($B$52="g",$B$52="mg")),((EH23*EH$51)/(EH$52)),IF(AND(Results!$E$5="Volume",$C$54&gt;0,Results!$E$4="Fluid"),((EH23*EH$51)/(EH$54)),IF(AND(Results!$E$4="Cells",Results!$E$5="Million",$B$52="million"),((EH23*EH$51)/(EH$52)),"0")))))</f>
        <v>2.9496666666666669</v>
      </c>
      <c r="EI76" s="20" t="str">
        <f>IF(EI23=0,"0",IF(AND(Results!$E$5="Protein",$C$53&gt;0,OR(Results!$E$4="Tissue",Results!$E$4="Cells")),((EI23*EI$51)/(EI$53)),IF(AND(Results!$E$5="Weight",$C$52&gt;0, Results!$E$4="Tissue",OR($B$52="g",$B$52="mg")),((EI23*EI$51)/(EI$52)),IF(AND(Results!$E$5="Volume",$C$54&gt;0,Results!$E$4="Fluid"),((EI23*EI$51)/(EI$54)),IF(AND(Results!$E$4="Cells",Results!$E$5="Million",$B$52="million"),((EI23*EI$51)/(EI$52)),"0")))))</f>
        <v>0</v>
      </c>
      <c r="EJ76" s="20">
        <f>IF(EJ23=0,"0",IF(AND(Results!$E$5="Protein",$C$53&gt;0,OR(Results!$E$4="Tissue",Results!$E$4="Cells")),((EJ23*EJ$51)/(EJ$53)),IF(AND(Results!$E$5="Weight",$C$52&gt;0, Results!$E$4="Tissue",OR($B$52="g",$B$52="mg")),((EJ23*EJ$51)/(EJ$52)),IF(AND(Results!$E$5="Volume",$C$54&gt;0,Results!$E$4="Fluid"),((EJ23*EJ$51)/(EJ$54)),IF(AND(Results!$E$4="Cells",Results!$E$5="Million",$B$52="million"),((EJ23*EJ$51)/(EJ$52)),"0")))))</f>
        <v>0.82321666666666671</v>
      </c>
      <c r="EK76" s="20">
        <f>IF(EK23=0,"0",IF(AND(Results!$E$5="Protein",$C$53&gt;0,OR(Results!$E$4="Tissue",Results!$E$4="Cells")),((EK23*EK$51)/(EK$53)),IF(AND(Results!$E$5="Weight",$C$52&gt;0, Results!$E$4="Tissue",OR($B$52="g",$B$52="mg")),((EK23*EK$51)/(EK$52)),IF(AND(Results!$E$5="Volume",$C$54&gt;0,Results!$E$4="Fluid"),((EK23*EK$51)/(EK$54)),IF(AND(Results!$E$4="Cells",Results!$E$5="Million",$B$52="million"),((EK23*EK$51)/(EK$52)),"0")))))</f>
        <v>2.3511499999999996</v>
      </c>
      <c r="EL76" s="20">
        <f>IF(EL23=0,"0",IF(AND(Results!$E$5="Protein",$C$53&gt;0,OR(Results!$E$4="Tissue",Results!$E$4="Cells")),((EL23*EL$51)/(EL$53)),IF(AND(Results!$E$5="Weight",$C$52&gt;0, Results!$E$4="Tissue",OR($B$52="g",$B$52="mg")),((EL23*EL$51)/(EL$52)),IF(AND(Results!$E$5="Volume",$C$54&gt;0,Results!$E$4="Fluid"),((EL23*EL$51)/(EL$54)),IF(AND(Results!$E$4="Cells",Results!$E$5="Million",$B$52="million"),((EL23*EL$51)/(EL$52)),"0")))))</f>
        <v>3.5039333333333333</v>
      </c>
      <c r="EM76" s="20" t="str">
        <f>IF(EM23=0,"0",IF(AND(Results!$E$5="Protein",$C$53&gt;0,OR(Results!$E$4="Tissue",Results!$E$4="Cells")),((EM23*EM$51)/(EM$53)),IF(AND(Results!$E$5="Weight",$C$52&gt;0, Results!$E$4="Tissue",OR($B$52="g",$B$52="mg")),((EM23*EM$51)/(EM$52)),IF(AND(Results!$E$5="Volume",$C$54&gt;0,Results!$E$4="Fluid"),((EM23*EM$51)/(EM$54)),IF(AND(Results!$E$4="Cells",Results!$E$5="Million",$B$52="million"),((EM23*EM$51)/(EM$52)),"0")))))</f>
        <v>0</v>
      </c>
      <c r="EN76" s="20">
        <f>IF(EN23=0,"0",IF(AND(Results!$E$5="Protein",$C$53&gt;0,OR(Results!$E$4="Tissue",Results!$E$4="Cells")),((EN23*EN$51)/(EN$53)),IF(AND(Results!$E$5="Weight",$C$52&gt;0, Results!$E$4="Tissue",OR($B$52="g",$B$52="mg")),((EN23*EN$51)/(EN$52)),IF(AND(Results!$E$5="Volume",$C$54&gt;0,Results!$E$4="Fluid"),((EN23*EN$51)/(EN$54)),IF(AND(Results!$E$4="Cells",Results!$E$5="Million",$B$52="million"),((EN23*EN$51)/(EN$52)),"0")))))</f>
        <v>2.0495833333333331</v>
      </c>
      <c r="EO76" s="20">
        <f>IF(EO23=0,"0",IF(AND(Results!$E$5="Protein",$C$53&gt;0,OR(Results!$E$4="Tissue",Results!$E$4="Cells")),((EO23*EO$51)/(EO$53)),IF(AND(Results!$E$5="Weight",$C$52&gt;0, Results!$E$4="Tissue",OR($B$52="g",$B$52="mg")),((EO23*EO$51)/(EO$52)),IF(AND(Results!$E$5="Volume",$C$54&gt;0,Results!$E$4="Fluid"),((EO23*EO$51)/(EO$54)),IF(AND(Results!$E$4="Cells",Results!$E$5="Million",$B$52="million"),((EO23*EO$51)/(EO$52)),"0")))))</f>
        <v>1.7577166666666668</v>
      </c>
      <c r="EP76" s="20">
        <f>IF(EP23=0,"0",IF(AND(Results!$E$5="Protein",$C$53&gt;0,OR(Results!$E$4="Tissue",Results!$E$4="Cells")),((EP23*EP$51)/(EP$53)),IF(AND(Results!$E$5="Weight",$C$52&gt;0, Results!$E$4="Tissue",OR($B$52="g",$B$52="mg")),((EP23*EP$51)/(EP$52)),IF(AND(Results!$E$5="Volume",$C$54&gt;0,Results!$E$4="Fluid"),((EP23*EP$51)/(EP$54)),IF(AND(Results!$E$4="Cells",Results!$E$5="Million",$B$52="million"),((EP23*EP$51)/(EP$52)),"0")))))</f>
        <v>1.5848666666666666</v>
      </c>
      <c r="EQ76" s="20">
        <f>IF(EQ23=0,"0",IF(AND(Results!$E$5="Protein",$C$53&gt;0,OR(Results!$E$4="Tissue",Results!$E$4="Cells")),((EQ23*EQ$51)/(EQ$53)),IF(AND(Results!$E$5="Weight",$C$52&gt;0, Results!$E$4="Tissue",OR($B$52="g",$B$52="mg")),((EQ23*EQ$51)/(EQ$52)),IF(AND(Results!$E$5="Volume",$C$54&gt;0,Results!$E$4="Fluid"),((EQ23*EQ$51)/(EQ$54)),IF(AND(Results!$E$4="Cells",Results!$E$5="Million",$B$52="million"),((EQ23*EQ$51)/(EQ$52)),"0")))))</f>
        <v>0.35011666666666663</v>
      </c>
      <c r="ER76" s="20">
        <f>IF(ER23=0,"0",IF(AND(Results!$E$5="Protein",$C$53&gt;0,OR(Results!$E$4="Tissue",Results!$E$4="Cells")),((ER23*ER$51)/(ER$53)),IF(AND(Results!$E$5="Weight",$C$52&gt;0, Results!$E$4="Tissue",OR($B$52="g",$B$52="mg")),((ER23*ER$51)/(ER$52)),IF(AND(Results!$E$5="Volume",$C$54&gt;0,Results!$E$4="Fluid"),((ER23*ER$51)/(ER$54)),IF(AND(Results!$E$4="Cells",Results!$E$5="Million",$B$52="million"),((ER23*ER$51)/(ER$52)),"0")))))</f>
        <v>0.43198333333333327</v>
      </c>
      <c r="ES76" s="20">
        <f>IF(ES23=0,"0",IF(AND(Results!$E$5="Protein",$C$53&gt;0,OR(Results!$E$4="Tissue",Results!$E$4="Cells")),((ES23*ES$51)/(ES$53)),IF(AND(Results!$E$5="Weight",$C$52&gt;0, Results!$E$4="Tissue",OR($B$52="g",$B$52="mg")),((ES23*ES$51)/(ES$52)),IF(AND(Results!$E$5="Volume",$C$54&gt;0,Results!$E$4="Fluid"),((ES23*ES$51)/(ES$54)),IF(AND(Results!$E$4="Cells",Results!$E$5="Million",$B$52="million"),((ES23*ES$51)/(ES$52)),"0")))))</f>
        <v>0.60303333333333342</v>
      </c>
      <c r="ET76" s="20">
        <f>IF(ET23=0,"0",IF(AND(Results!$E$5="Protein",$C$53&gt;0,OR(Results!$E$4="Tissue",Results!$E$4="Cells")),((ET23*ET$51)/(ET$53)),IF(AND(Results!$E$5="Weight",$C$52&gt;0, Results!$E$4="Tissue",OR($B$52="g",$B$52="mg")),((ET23*ET$51)/(ET$52)),IF(AND(Results!$E$5="Volume",$C$54&gt;0,Results!$E$4="Fluid"),((ET23*ET$51)/(ET$54)),IF(AND(Results!$E$4="Cells",Results!$E$5="Million",$B$52="million"),((ET23*ET$51)/(ET$52)),"0")))))</f>
        <v>0.7270833333333333</v>
      </c>
      <c r="EU76" s="20">
        <f>IF(EU23=0,"0",IF(AND(Results!$E$5="Protein",$C$53&gt;0,OR(Results!$E$4="Tissue",Results!$E$4="Cells")),((EU23*EU$51)/(EU$53)),IF(AND(Results!$E$5="Weight",$C$52&gt;0, Results!$E$4="Tissue",OR($B$52="g",$B$52="mg")),((EU23*EU$51)/(EU$52)),IF(AND(Results!$E$5="Volume",$C$54&gt;0,Results!$E$4="Fluid"),((EU23*EU$51)/(EU$54)),IF(AND(Results!$E$4="Cells",Results!$E$5="Million",$B$52="million"),((EU23*EU$51)/(EU$52)),"0")))))</f>
        <v>1.4694</v>
      </c>
      <c r="EV76" s="20">
        <f>IF(EV23=0,"0",IF(AND(Results!$E$5="Protein",$C$53&gt;0,OR(Results!$E$4="Tissue",Results!$E$4="Cells")),((EV23*EV$51)/(EV$53)),IF(AND(Results!$E$5="Weight",$C$52&gt;0, Results!$E$4="Tissue",OR($B$52="g",$B$52="mg")),((EV23*EV$51)/(EV$52)),IF(AND(Results!$E$5="Volume",$C$54&gt;0,Results!$E$4="Fluid"),((EV23*EV$51)/(EV$54)),IF(AND(Results!$E$4="Cells",Results!$E$5="Million",$B$52="million"),((EV23*EV$51)/(EV$52)),"0")))))</f>
        <v>1.2329000000000001</v>
      </c>
      <c r="EW76" s="20">
        <f>IF(EW23=0,"0",IF(AND(Results!$E$5="Protein",$C$53&gt;0,OR(Results!$E$4="Tissue",Results!$E$4="Cells")),((EW23*EW$51)/(EW$53)),IF(AND(Results!$E$5="Weight",$C$52&gt;0, Results!$E$4="Tissue",OR($B$52="g",$B$52="mg")),((EW23*EW$51)/(EW$52)),IF(AND(Results!$E$5="Volume",$C$54&gt;0,Results!$E$4="Fluid"),((EW23*EW$51)/(EW$54)),IF(AND(Results!$E$4="Cells",Results!$E$5="Million",$B$52="million"),((EW23*EW$51)/(EW$52)),"0")))))</f>
        <v>0.61003333333333343</v>
      </c>
      <c r="EX76" s="20">
        <f>IF(EX23=0,"0",IF(AND(Results!$E$5="Protein",$C$53&gt;0,OR(Results!$E$4="Tissue",Results!$E$4="Cells")),((EX23*EX$51)/(EX$53)),IF(AND(Results!$E$5="Weight",$C$52&gt;0, Results!$E$4="Tissue",OR($B$52="g",$B$52="mg")),((EX23*EX$51)/(EX$52)),IF(AND(Results!$E$5="Volume",$C$54&gt;0,Results!$E$4="Fluid"),((EX23*EX$51)/(EX$54)),IF(AND(Results!$E$4="Cells",Results!$E$5="Million",$B$52="million"),((EX23*EX$51)/(EX$52)),"0")))))</f>
        <v>1.0279833333333335</v>
      </c>
      <c r="EY76" s="20">
        <f>IF(EY23=0,"0",IF(AND(Results!$E$5="Protein",$C$53&gt;0,OR(Results!$E$4="Tissue",Results!$E$4="Cells")),((EY23*EY$51)/(EY$53)),IF(AND(Results!$E$5="Weight",$C$52&gt;0, Results!$E$4="Tissue",OR($B$52="g",$B$52="mg")),((EY23*EY$51)/(EY$52)),IF(AND(Results!$E$5="Volume",$C$54&gt;0,Results!$E$4="Fluid"),((EY23*EY$51)/(EY$54)),IF(AND(Results!$E$4="Cells",Results!$E$5="Million",$B$52="million"),((EY23*EY$51)/(EY$52)),"0")))))</f>
        <v>0.37803333333333339</v>
      </c>
      <c r="EZ76" s="20">
        <f>IF(EZ23=0,"0",IF(AND(Results!$E$5="Protein",$C$53&gt;0,OR(Results!$E$4="Tissue",Results!$E$4="Cells")),((EZ23*EZ$51)/(EZ$53)),IF(AND(Results!$E$5="Weight",$C$52&gt;0, Results!$E$4="Tissue",OR($B$52="g",$B$52="mg")),((EZ23*EZ$51)/(EZ$52)),IF(AND(Results!$E$5="Volume",$C$54&gt;0,Results!$E$4="Fluid"),((EZ23*EZ$51)/(EZ$54)),IF(AND(Results!$E$4="Cells",Results!$E$5="Million",$B$52="million"),((EZ23*EZ$51)/(EZ$52)),"0")))))</f>
        <v>0.24323333333333336</v>
      </c>
      <c r="FA76" s="20">
        <f>IF(FA23=0,"0",IF(AND(Results!$E$5="Protein",$C$53&gt;0,OR(Results!$E$4="Tissue",Results!$E$4="Cells")),((FA23*FA$51)/(FA$53)),IF(AND(Results!$E$5="Weight",$C$52&gt;0, Results!$E$4="Tissue",OR($B$52="g",$B$52="mg")),((FA23*FA$51)/(FA$52)),IF(AND(Results!$E$5="Volume",$C$54&gt;0,Results!$E$4="Fluid"),((FA23*FA$51)/(FA$54)),IF(AND(Results!$E$4="Cells",Results!$E$5="Million",$B$52="million"),((FA23*FA$51)/(FA$52)),"0")))))</f>
        <v>0.17671666666666666</v>
      </c>
      <c r="FB76" s="20">
        <f>IF(FB23=0,"0",IF(AND(Results!$E$5="Protein",$C$53&gt;0,OR(Results!$E$4="Tissue",Results!$E$4="Cells")),((FB23*FB$51)/(FB$53)),IF(AND(Results!$E$5="Weight",$C$52&gt;0, Results!$E$4="Tissue",OR($B$52="g",$B$52="mg")),((FB23*FB$51)/(FB$52)),IF(AND(Results!$E$5="Volume",$C$54&gt;0,Results!$E$4="Fluid"),((FB23*FB$51)/(FB$54)),IF(AND(Results!$E$4="Cells",Results!$E$5="Million",$B$52="million"),((FB23*FB$51)/(FB$52)),"0")))))</f>
        <v>0.57658333333333334</v>
      </c>
      <c r="FC76" s="20">
        <f>IF(FC23=0,"0",IF(AND(Results!$E$5="Protein",$C$53&gt;0,OR(Results!$E$4="Tissue",Results!$E$4="Cells")),((FC23*FC$51)/(FC$53)),IF(AND(Results!$E$5="Weight",$C$52&gt;0, Results!$E$4="Tissue",OR($B$52="g",$B$52="mg")),((FC23*FC$51)/(FC$52)),IF(AND(Results!$E$5="Volume",$C$54&gt;0,Results!$E$4="Fluid"),((FC23*FC$51)/(FC$54)),IF(AND(Results!$E$4="Cells",Results!$E$5="Million",$B$52="million"),((FC23*FC$51)/(FC$52)),"0")))))</f>
        <v>0.45821666666666666</v>
      </c>
      <c r="FD76" s="20">
        <f>IF(FD23=0,"0",IF(AND(Results!$E$5="Protein",$C$53&gt;0,OR(Results!$E$4="Tissue",Results!$E$4="Cells")),((FD23*FD$51)/(FD$53)),IF(AND(Results!$E$5="Weight",$C$52&gt;0, Results!$E$4="Tissue",OR($B$52="g",$B$52="mg")),((FD23*FD$51)/(FD$52)),IF(AND(Results!$E$5="Volume",$C$54&gt;0,Results!$E$4="Fluid"),((FD23*FD$51)/(FD$54)),IF(AND(Results!$E$4="Cells",Results!$E$5="Million",$B$52="million"),((FD23*FD$51)/(FD$52)),"0")))))</f>
        <v>1.2986166666666668</v>
      </c>
      <c r="FE76" s="20" t="str">
        <f>IF(FE23=0,"0",IF(AND(Results!$E$5="Protein",$C$53&gt;0,OR(Results!$E$4="Tissue",Results!$E$4="Cells")),((FE23*FE$51)/(FE$53)),IF(AND(Results!$E$5="Weight",$C$52&gt;0, Results!$E$4="Tissue",OR($B$52="g",$B$52="mg")),((FE23*FE$51)/(FE$52)),IF(AND(Results!$E$5="Volume",$C$54&gt;0,Results!$E$4="Fluid"),((FE23*FE$51)/(FE$54)),IF(AND(Results!$E$4="Cells",Results!$E$5="Million",$B$52="million"),((FE23*FE$51)/(FE$52)),"0")))))</f>
        <v>0</v>
      </c>
      <c r="FF76" s="20">
        <f>IF(FF23=0,"0",IF(AND(Results!$E$5="Protein",$C$53&gt;0,OR(Results!$E$4="Tissue",Results!$E$4="Cells")),((FF23*FF$51)/(FF$53)),IF(AND(Results!$E$5="Weight",$C$52&gt;0, Results!$E$4="Tissue",OR($B$52="g",$B$52="mg")),((FF23*FF$51)/(FF$52)),IF(AND(Results!$E$5="Volume",$C$54&gt;0,Results!$E$4="Fluid"),((FF23*FF$51)/(FF$54)),IF(AND(Results!$E$4="Cells",Results!$E$5="Million",$B$52="million"),((FF23*FF$51)/(FF$52)),"0")))))</f>
        <v>2.0124666666666666</v>
      </c>
      <c r="FG76" s="20">
        <f>IF(FG23=0,"0",IF(AND(Results!$E$5="Protein",$C$53&gt;0,OR(Results!$E$4="Tissue",Results!$E$4="Cells")),((FG23*FG$51)/(FG$53)),IF(AND(Results!$E$5="Weight",$C$52&gt;0, Results!$E$4="Tissue",OR($B$52="g",$B$52="mg")),((FG23*FG$51)/(FG$52)),IF(AND(Results!$E$5="Volume",$C$54&gt;0,Results!$E$4="Fluid"),((FG23*FG$51)/(FG$54)),IF(AND(Results!$E$4="Cells",Results!$E$5="Million",$B$52="million"),((FG23*FG$51)/(FG$52)),"0")))))</f>
        <v>0.15875</v>
      </c>
      <c r="FH76" s="20">
        <f>IF(FH23=0,"0",IF(AND(Results!$E$5="Protein",$C$53&gt;0,OR(Results!$E$4="Tissue",Results!$E$4="Cells")),((FH23*FH$51)/(FH$53)),IF(AND(Results!$E$5="Weight",$C$52&gt;0, Results!$E$4="Tissue",OR($B$52="g",$B$52="mg")),((FH23*FH$51)/(FH$52)),IF(AND(Results!$E$5="Volume",$C$54&gt;0,Results!$E$4="Fluid"),((FH23*FH$51)/(FH$54)),IF(AND(Results!$E$4="Cells",Results!$E$5="Million",$B$52="million"),((FH23*FH$51)/(FH$52)),"0")))))</f>
        <v>0.78733333333333333</v>
      </c>
      <c r="FI76" s="20">
        <f>IF(FI23=0,"0",IF(AND(Results!$E$5="Protein",$C$53&gt;0,OR(Results!$E$4="Tissue",Results!$E$4="Cells")),((FI23*FI$51)/(FI$53)),IF(AND(Results!$E$5="Weight",$C$52&gt;0, Results!$E$4="Tissue",OR($B$52="g",$B$52="mg")),((FI23*FI$51)/(FI$52)),IF(AND(Results!$E$5="Volume",$C$54&gt;0,Results!$E$4="Fluid"),((FI23*FI$51)/(FI$54)),IF(AND(Results!$E$4="Cells",Results!$E$5="Million",$B$52="million"),((FI23*FI$51)/(FI$52)),"0")))))</f>
        <v>2.2865500000000001</v>
      </c>
      <c r="FJ76" s="20">
        <f>IF(FJ23=0,"0",IF(AND(Results!$E$5="Protein",$C$53&gt;0,OR(Results!$E$4="Tissue",Results!$E$4="Cells")),((FJ23*FJ$51)/(FJ$53)),IF(AND(Results!$E$5="Weight",$C$52&gt;0, Results!$E$4="Tissue",OR($B$52="g",$B$52="mg")),((FJ23*FJ$51)/(FJ$52)),IF(AND(Results!$E$5="Volume",$C$54&gt;0,Results!$E$4="Fluid"),((FJ23*FJ$51)/(FJ$54)),IF(AND(Results!$E$4="Cells",Results!$E$5="Million",$B$52="million"),((FJ23*FJ$51)/(FJ$52)),"0")))))</f>
        <v>0.74108333333333343</v>
      </c>
      <c r="FK76" s="20">
        <f>IF(FK23=0,"0",IF(AND(Results!$E$5="Protein",$C$53&gt;0,OR(Results!$E$4="Tissue",Results!$E$4="Cells")),((FK23*FK$51)/(FK$53)),IF(AND(Results!$E$5="Weight",$C$52&gt;0, Results!$E$4="Tissue",OR($B$52="g",$B$52="mg")),((FK23*FK$51)/(FK$52)),IF(AND(Results!$E$5="Volume",$C$54&gt;0,Results!$E$4="Fluid"),((FK23*FK$51)/(FK$54)),IF(AND(Results!$E$4="Cells",Results!$E$5="Million",$B$52="million"),((FK23*FK$51)/(FK$52)),"0")))))</f>
        <v>0.28444999999999998</v>
      </c>
      <c r="FL76" s="20" t="str">
        <f>IF(FL23=0,"0",IF(AND(Results!$E$5="Protein",$C$53&gt;0,OR(Results!$E$4="Tissue",Results!$E$4="Cells")),((FL23*FL$51)/(FL$53)),IF(AND(Results!$E$5="Weight",$C$52&gt;0, Results!$E$4="Tissue",OR($B$52="g",$B$52="mg")),((FL23*FL$51)/(FL$52)),IF(AND(Results!$E$5="Volume",$C$54&gt;0,Results!$E$4="Fluid"),((FL23*FL$51)/(FL$54)),IF(AND(Results!$E$4="Cells",Results!$E$5="Million",$B$52="million"),((FL23*FL$51)/(FL$52)),"0")))))</f>
        <v>0</v>
      </c>
      <c r="FM76" s="20" t="str">
        <f>IF(FM23=0,"0",IF(AND(Results!$E$5="Protein",$C$53&gt;0,OR(Results!$E$4="Tissue",Results!$E$4="Cells")),((FM23*FM$51)/(FM$53)),IF(AND(Results!$E$5="Weight",$C$52&gt;0, Results!$E$4="Tissue",OR($B$52="g",$B$52="mg")),((FM23*FM$51)/(FM$52)),IF(AND(Results!$E$5="Volume",$C$54&gt;0,Results!$E$4="Fluid"),((FM23*FM$51)/(FM$54)),IF(AND(Results!$E$4="Cells",Results!$E$5="Million",$B$52="million"),((FM23*FM$51)/(FM$52)),"0")))))</f>
        <v>0</v>
      </c>
      <c r="FN76" s="20">
        <f>IF(FN23=0,"0",IF(AND(Results!$E$5="Protein",$C$53&gt;0,OR(Results!$E$4="Tissue",Results!$E$4="Cells")),((FN23*FN$51)/(FN$53)),IF(AND(Results!$E$5="Weight",$C$52&gt;0, Results!$E$4="Tissue",OR($B$52="g",$B$52="mg")),((FN23*FN$51)/(FN$52)),IF(AND(Results!$E$5="Volume",$C$54&gt;0,Results!$E$4="Fluid"),((FN23*FN$51)/(FN$54)),IF(AND(Results!$E$4="Cells",Results!$E$5="Million",$B$52="million"),((FN23*FN$51)/(FN$52)),"0")))))</f>
        <v>0.85479999999999989</v>
      </c>
      <c r="FO76" s="20">
        <f>IF(FO23=0,"0",IF(AND(Results!$E$5="Protein",$C$53&gt;0,OR(Results!$E$4="Tissue",Results!$E$4="Cells")),((FO23*FO$51)/(FO$53)),IF(AND(Results!$E$5="Weight",$C$52&gt;0, Results!$E$4="Tissue",OR($B$52="g",$B$52="mg")),((FO23*FO$51)/(FO$52)),IF(AND(Results!$E$5="Volume",$C$54&gt;0,Results!$E$4="Fluid"),((FO23*FO$51)/(FO$54)),IF(AND(Results!$E$4="Cells",Results!$E$5="Million",$B$52="million"),((FO23*FO$51)/(FO$52)),"0")))))</f>
        <v>0.12246666666666667</v>
      </c>
    </row>
    <row r="77" spans="1:171" x14ac:dyDescent="0.2">
      <c r="A77" s="120" t="str">
        <f t="shared" si="0"/>
        <v xml:space="preserve">LXB4 </v>
      </c>
      <c r="B77" s="121"/>
      <c r="C77" s="20" t="str">
        <f>IF(C24=0,"0",IF(AND(Results!$E$5="Protein",$C$53&gt;0,OR(Results!$E$4="Tissue",Results!$E$4="Cells")),((C24*C$51)/(C$53)),IF(AND(Results!$E$5="Weight",$C$52&gt;0, Results!$E$4="Tissue",OR($B$52="g",$B$52="mg")),((C24*C$51)/(C$52)),IF(AND(Results!$E$5="Volume",$C$54&gt;0,Results!$E$4="Fluid"),((C24*C$51)/(C$54)),IF(AND(Results!$E$4="Cells",Results!$E$5="Million",$B$52="million"),((C24*C$51)/(C$52)),"0")))))</f>
        <v>0</v>
      </c>
      <c r="D77" s="20" t="str">
        <f>IF(D24=0,"0",IF(AND(Results!$E$5="Protein",$C$53&gt;0,OR(Results!$E$4="Tissue",Results!$E$4="Cells")),((D24*D$51)/(D$53)),IF(AND(Results!$E$5="Weight",$C$52&gt;0, Results!$E$4="Tissue",OR($B$52="g",$B$52="mg")),((D24*D$51)/(D$52)),IF(AND(Results!$E$5="Volume",$C$54&gt;0,Results!$E$4="Fluid"),((D24*D$51)/(D$54)),IF(AND(Results!$E$4="Cells",Results!$E$5="Million",$B$52="million"),((D24*D$51)/(D$52)),"0")))))</f>
        <v>0</v>
      </c>
      <c r="E77" s="20" t="str">
        <f>IF(E24=0,"0",IF(AND(Results!$E$5="Protein",$C$53&gt;0,OR(Results!$E$4="Tissue",Results!$E$4="Cells")),((E24*E$51)/(E$53)),IF(AND(Results!$E$5="Weight",$C$52&gt;0, Results!$E$4="Tissue",OR($B$52="g",$B$52="mg")),((E24*E$51)/(E$52)),IF(AND(Results!$E$5="Volume",$C$54&gt;0,Results!$E$4="Fluid"),((E24*E$51)/(E$54)),IF(AND(Results!$E$4="Cells",Results!$E$5="Million",$B$52="million"),((E24*E$51)/(E$52)),"0")))))</f>
        <v>0</v>
      </c>
      <c r="F77" s="20" t="str">
        <f>IF(F24=0,"0",IF(AND(Results!$E$5="Protein",$C$53&gt;0,OR(Results!$E$4="Tissue",Results!$E$4="Cells")),((F24*F$51)/(F$53)),IF(AND(Results!$E$5="Weight",$C$52&gt;0, Results!$E$4="Tissue",OR($B$52="g",$B$52="mg")),((F24*F$51)/(F$52)),IF(AND(Results!$E$5="Volume",$C$54&gt;0,Results!$E$4="Fluid"),((F24*F$51)/(F$54)),IF(AND(Results!$E$4="Cells",Results!$E$5="Million",$B$52="million"),((F24*F$51)/(F$52)),"0")))))</f>
        <v>0</v>
      </c>
      <c r="G77" s="20" t="str">
        <f>IF(G24=0,"0",IF(AND(Results!$E$5="Protein",$C$53&gt;0,OR(Results!$E$4="Tissue",Results!$E$4="Cells")),((G24*G$51)/(G$53)),IF(AND(Results!$E$5="Weight",$C$52&gt;0, Results!$E$4="Tissue",OR($B$52="g",$B$52="mg")),((G24*G$51)/(G$52)),IF(AND(Results!$E$5="Volume",$C$54&gt;0,Results!$E$4="Fluid"),((G24*G$51)/(G$54)),IF(AND(Results!$E$4="Cells",Results!$E$5="Million",$B$52="million"),((G24*G$51)/(G$52)),"0")))))</f>
        <v>0</v>
      </c>
      <c r="H77" s="20" t="str">
        <f>IF(H24=0,"0",IF(AND(Results!$E$5="Protein",$C$53&gt;0,OR(Results!$E$4="Tissue",Results!$E$4="Cells")),((H24*H$51)/(H$53)),IF(AND(Results!$E$5="Weight",$C$52&gt;0, Results!$E$4="Tissue",OR($B$52="g",$B$52="mg")),((H24*H$51)/(H$52)),IF(AND(Results!$E$5="Volume",$C$54&gt;0,Results!$E$4="Fluid"),((H24*H$51)/(H$54)),IF(AND(Results!$E$4="Cells",Results!$E$5="Million",$B$52="million"),((H24*H$51)/(H$52)),"0")))))</f>
        <v>0</v>
      </c>
      <c r="I77" s="20" t="str">
        <f>IF(I24=0,"0",IF(AND(Results!$E$5="Protein",$C$53&gt;0,OR(Results!$E$4="Tissue",Results!$E$4="Cells")),((I24*I$51)/(I$53)),IF(AND(Results!$E$5="Weight",$C$52&gt;0, Results!$E$4="Tissue",OR($B$52="g",$B$52="mg")),((I24*I$51)/(I$52)),IF(AND(Results!$E$5="Volume",$C$54&gt;0,Results!$E$4="Fluid"),((I24*I$51)/(I$54)),IF(AND(Results!$E$4="Cells",Results!$E$5="Million",$B$52="million"),((I24*I$51)/(I$52)),"0")))))</f>
        <v>0</v>
      </c>
      <c r="J77" s="20" t="str">
        <f>IF(J24=0,"0",IF(AND(Results!$E$5="Protein",$C$53&gt;0,OR(Results!$E$4="Tissue",Results!$E$4="Cells")),((J24*J$51)/(J$53)),IF(AND(Results!$E$5="Weight",$C$52&gt;0, Results!$E$4="Tissue",OR($B$52="g",$B$52="mg")),((J24*J$51)/(J$52)),IF(AND(Results!$E$5="Volume",$C$54&gt;0,Results!$E$4="Fluid"),((J24*J$51)/(J$54)),IF(AND(Results!$E$4="Cells",Results!$E$5="Million",$B$52="million"),((J24*J$51)/(J$52)),"0")))))</f>
        <v>0</v>
      </c>
      <c r="K77" s="20" t="str">
        <f>IF(K24=0,"0",IF(AND(Results!$E$5="Protein",$C$53&gt;0,OR(Results!$E$4="Tissue",Results!$E$4="Cells")),((K24*K$51)/(K$53)),IF(AND(Results!$E$5="Weight",$C$52&gt;0, Results!$E$4="Tissue",OR($B$52="g",$B$52="mg")),((K24*K$51)/(K$52)),IF(AND(Results!$E$5="Volume",$C$54&gt;0,Results!$E$4="Fluid"),((K24*K$51)/(K$54)),IF(AND(Results!$E$4="Cells",Results!$E$5="Million",$B$52="million"),((K24*K$51)/(K$52)),"0")))))</f>
        <v>0</v>
      </c>
      <c r="L77" s="20" t="str">
        <f>IF(L24=0,"0",IF(AND(Results!$E$5="Protein",$C$53&gt;0,OR(Results!$E$4="Tissue",Results!$E$4="Cells")),((L24*L$51)/(L$53)),IF(AND(Results!$E$5="Weight",$C$52&gt;0, Results!$E$4="Tissue",OR($B$52="g",$B$52="mg")),((L24*L$51)/(L$52)),IF(AND(Results!$E$5="Volume",$C$54&gt;0,Results!$E$4="Fluid"),((L24*L$51)/(L$54)),IF(AND(Results!$E$4="Cells",Results!$E$5="Million",$B$52="million"),((L24*L$51)/(L$52)),"0")))))</f>
        <v>0</v>
      </c>
      <c r="M77" s="20" t="str">
        <f>IF(M24=0,"0",IF(AND(Results!$E$5="Protein",$C$53&gt;0,OR(Results!$E$4="Tissue",Results!$E$4="Cells")),((M24*M$51)/(M$53)),IF(AND(Results!$E$5="Weight",$C$52&gt;0, Results!$E$4="Tissue",OR($B$52="g",$B$52="mg")),((M24*M$51)/(M$52)),IF(AND(Results!$E$5="Volume",$C$54&gt;0,Results!$E$4="Fluid"),((M24*M$51)/(M$54)),IF(AND(Results!$E$4="Cells",Results!$E$5="Million",$B$52="million"),((M24*M$51)/(M$52)),"0")))))</f>
        <v>0</v>
      </c>
      <c r="N77" s="20" t="str">
        <f>IF(N24=0,"0",IF(AND(Results!$E$5="Protein",$C$53&gt;0,OR(Results!$E$4="Tissue",Results!$E$4="Cells")),((N24*N$51)/(N$53)),IF(AND(Results!$E$5="Weight",$C$52&gt;0, Results!$E$4="Tissue",OR($B$52="g",$B$52="mg")),((N24*N$51)/(N$52)),IF(AND(Results!$E$5="Volume",$C$54&gt;0,Results!$E$4="Fluid"),((N24*N$51)/(N$54)),IF(AND(Results!$E$4="Cells",Results!$E$5="Million",$B$52="million"),((N24*N$51)/(N$52)),"0")))))</f>
        <v>0</v>
      </c>
      <c r="O77" s="20" t="str">
        <f>IF(O24=0,"0",IF(AND(Results!$E$5="Protein",$C$53&gt;0,OR(Results!$E$4="Tissue",Results!$E$4="Cells")),((O24*O$51)/(O$53)),IF(AND(Results!$E$5="Weight",$C$52&gt;0, Results!$E$4="Tissue",OR($B$52="g",$B$52="mg")),((O24*O$51)/(O$52)),IF(AND(Results!$E$5="Volume",$C$54&gt;0,Results!$E$4="Fluid"),((O24*O$51)/(O$54)),IF(AND(Results!$E$4="Cells",Results!$E$5="Million",$B$52="million"),((O24*O$51)/(O$52)),"0")))))</f>
        <v>0</v>
      </c>
      <c r="P77" s="20" t="str">
        <f>IF(P24=0,"0",IF(AND(Results!$E$5="Protein",$C$53&gt;0,OR(Results!$E$4="Tissue",Results!$E$4="Cells")),((P24*P$51)/(P$53)),IF(AND(Results!$E$5="Weight",$C$52&gt;0, Results!$E$4="Tissue",OR($B$52="g",$B$52="mg")),((P24*P$51)/(P$52)),IF(AND(Results!$E$5="Volume",$C$54&gt;0,Results!$E$4="Fluid"),((P24*P$51)/(P$54)),IF(AND(Results!$E$4="Cells",Results!$E$5="Million",$B$52="million"),((P24*P$51)/(P$52)),"0")))))</f>
        <v>0</v>
      </c>
      <c r="Q77" s="20" t="str">
        <f>IF(Q24=0,"0",IF(AND(Results!$E$5="Protein",$C$53&gt;0,OR(Results!$E$4="Tissue",Results!$E$4="Cells")),((Q24*Q$51)/(Q$53)),IF(AND(Results!$E$5="Weight",$C$52&gt;0, Results!$E$4="Tissue",OR($B$52="g",$B$52="mg")),((Q24*Q$51)/(Q$52)),IF(AND(Results!$E$5="Volume",$C$54&gt;0,Results!$E$4="Fluid"),((Q24*Q$51)/(Q$54)),IF(AND(Results!$E$4="Cells",Results!$E$5="Million",$B$52="million"),((Q24*Q$51)/(Q$52)),"0")))))</f>
        <v>0</v>
      </c>
      <c r="R77" s="20" t="str">
        <f>IF(R24=0,"0",IF(AND(Results!$E$5="Protein",$C$53&gt;0,OR(Results!$E$4="Tissue",Results!$E$4="Cells")),((R24*R$51)/(R$53)),IF(AND(Results!$E$5="Weight",$C$52&gt;0, Results!$E$4="Tissue",OR($B$52="g",$B$52="mg")),((R24*R$51)/(R$52)),IF(AND(Results!$E$5="Volume",$C$54&gt;0,Results!$E$4="Fluid"),((R24*R$51)/(R$54)),IF(AND(Results!$E$4="Cells",Results!$E$5="Million",$B$52="million"),((R24*R$51)/(R$52)),"0")))))</f>
        <v>0</v>
      </c>
      <c r="S77" s="20" t="str">
        <f>IF(S24=0,"0",IF(AND(Results!$E$5="Protein",$C$53&gt;0,OR(Results!$E$4="Tissue",Results!$E$4="Cells")),((S24*S$51)/(S$53)),IF(AND(Results!$E$5="Weight",$C$52&gt;0, Results!$E$4="Tissue",OR($B$52="g",$B$52="mg")),((S24*S$51)/(S$52)),IF(AND(Results!$E$5="Volume",$C$54&gt;0,Results!$E$4="Fluid"),((S24*S$51)/(S$54)),IF(AND(Results!$E$4="Cells",Results!$E$5="Million",$B$52="million"),((S24*S$51)/(S$52)),"0")))))</f>
        <v>0</v>
      </c>
      <c r="T77" s="20" t="str">
        <f>IF(T24=0,"0",IF(AND(Results!$E$5="Protein",$C$53&gt;0,OR(Results!$E$4="Tissue",Results!$E$4="Cells")),((T24*T$51)/(T$53)),IF(AND(Results!$E$5="Weight",$C$52&gt;0, Results!$E$4="Tissue",OR($B$52="g",$B$52="mg")),((T24*T$51)/(T$52)),IF(AND(Results!$E$5="Volume",$C$54&gt;0,Results!$E$4="Fluid"),((T24*T$51)/(T$54)),IF(AND(Results!$E$4="Cells",Results!$E$5="Million",$B$52="million"),((T24*T$51)/(T$52)),"0")))))</f>
        <v>0</v>
      </c>
      <c r="U77" s="20" t="str">
        <f>IF(U24=0,"0",IF(AND(Results!$E$5="Protein",$C$53&gt;0,OR(Results!$E$4="Tissue",Results!$E$4="Cells")),((U24*U$51)/(U$53)),IF(AND(Results!$E$5="Weight",$C$52&gt;0, Results!$E$4="Tissue",OR($B$52="g",$B$52="mg")),((U24*U$51)/(U$52)),IF(AND(Results!$E$5="Volume",$C$54&gt;0,Results!$E$4="Fluid"),((U24*U$51)/(U$54)),IF(AND(Results!$E$4="Cells",Results!$E$5="Million",$B$52="million"),((U24*U$51)/(U$52)),"0")))))</f>
        <v>0</v>
      </c>
      <c r="V77" s="20" t="str">
        <f>IF(V24=0,"0",IF(AND(Results!$E$5="Protein",$C$53&gt;0,OR(Results!$E$4="Tissue",Results!$E$4="Cells")),((V24*V$51)/(V$53)),IF(AND(Results!$E$5="Weight",$C$52&gt;0, Results!$E$4="Tissue",OR($B$52="g",$B$52="mg")),((V24*V$51)/(V$52)),IF(AND(Results!$E$5="Volume",$C$54&gt;0,Results!$E$4="Fluid"),((V24*V$51)/(V$54)),IF(AND(Results!$E$4="Cells",Results!$E$5="Million",$B$52="million"),((V24*V$51)/(V$52)),"0")))))</f>
        <v>0</v>
      </c>
      <c r="W77" s="20" t="str">
        <f>IF(W24=0,"0",IF(AND(Results!$E$5="Protein",$C$53&gt;0,OR(Results!$E$4="Tissue",Results!$E$4="Cells")),((W24*W$51)/(W$53)),IF(AND(Results!$E$5="Weight",$C$52&gt;0, Results!$E$4="Tissue",OR($B$52="g",$B$52="mg")),((W24*W$51)/(W$52)),IF(AND(Results!$E$5="Volume",$C$54&gt;0,Results!$E$4="Fluid"),((W24*W$51)/(W$54)),IF(AND(Results!$E$4="Cells",Results!$E$5="Million",$B$52="million"),((W24*W$51)/(W$52)),"0")))))</f>
        <v>0</v>
      </c>
      <c r="X77" s="20" t="str">
        <f>IF(X24=0,"0",IF(AND(Results!$E$5="Protein",$C$53&gt;0,OR(Results!$E$4="Tissue",Results!$E$4="Cells")),((X24*X$51)/(X$53)),IF(AND(Results!$E$5="Weight",$C$52&gt;0, Results!$E$4="Tissue",OR($B$52="g",$B$52="mg")),((X24*X$51)/(X$52)),IF(AND(Results!$E$5="Volume",$C$54&gt;0,Results!$E$4="Fluid"),((X24*X$51)/(X$54)),IF(AND(Results!$E$4="Cells",Results!$E$5="Million",$B$52="million"),((X24*X$51)/(X$52)),"0")))))</f>
        <v>0</v>
      </c>
      <c r="Y77" s="20" t="str">
        <f>IF(Y24=0,"0",IF(AND(Results!$E$5="Protein",$C$53&gt;0,OR(Results!$E$4="Tissue",Results!$E$4="Cells")),((Y24*Y$51)/(Y$53)),IF(AND(Results!$E$5="Weight",$C$52&gt;0, Results!$E$4="Tissue",OR($B$52="g",$B$52="mg")),((Y24*Y$51)/(Y$52)),IF(AND(Results!$E$5="Volume",$C$54&gt;0,Results!$E$4="Fluid"),((Y24*Y$51)/(Y$54)),IF(AND(Results!$E$4="Cells",Results!$E$5="Million",$B$52="million"),((Y24*Y$51)/(Y$52)),"0")))))</f>
        <v>0</v>
      </c>
      <c r="Z77" s="20" t="str">
        <f>IF(Z24=0,"0",IF(AND(Results!$E$5="Protein",$C$53&gt;0,OR(Results!$E$4="Tissue",Results!$E$4="Cells")),((Z24*Z$51)/(Z$53)),IF(AND(Results!$E$5="Weight",$C$52&gt;0, Results!$E$4="Tissue",OR($B$52="g",$B$52="mg")),((Z24*Z$51)/(Z$52)),IF(AND(Results!$E$5="Volume",$C$54&gt;0,Results!$E$4="Fluid"),((Z24*Z$51)/(Z$54)),IF(AND(Results!$E$4="Cells",Results!$E$5="Million",$B$52="million"),((Z24*Z$51)/(Z$52)),"0")))))</f>
        <v>0</v>
      </c>
      <c r="AA77" s="20" t="str">
        <f>IF(AA24=0,"0",IF(AND(Results!$E$5="Protein",$C$53&gt;0,OR(Results!$E$4="Tissue",Results!$E$4="Cells")),((AA24*AA$51)/(AA$53)),IF(AND(Results!$E$5="Weight",$C$52&gt;0, Results!$E$4="Tissue",OR($B$52="g",$B$52="mg")),((AA24*AA$51)/(AA$52)),IF(AND(Results!$E$5="Volume",$C$54&gt;0,Results!$E$4="Fluid"),((AA24*AA$51)/(AA$54)),IF(AND(Results!$E$4="Cells",Results!$E$5="Million",$B$52="million"),((AA24*AA$51)/(AA$52)),"0")))))</f>
        <v>0</v>
      </c>
      <c r="AB77" s="20" t="str">
        <f>IF(AB24=0,"0",IF(AND(Results!$E$5="Protein",$C$53&gt;0,OR(Results!$E$4="Tissue",Results!$E$4="Cells")),((AB24*AB$51)/(AB$53)),IF(AND(Results!$E$5="Weight",$C$52&gt;0, Results!$E$4="Tissue",OR($B$52="g",$B$52="mg")),((AB24*AB$51)/(AB$52)),IF(AND(Results!$E$5="Volume",$C$54&gt;0,Results!$E$4="Fluid"),((AB24*AB$51)/(AB$54)),IF(AND(Results!$E$4="Cells",Results!$E$5="Million",$B$52="million"),((AB24*AB$51)/(AB$52)),"0")))))</f>
        <v>0</v>
      </c>
      <c r="AC77" s="20" t="str">
        <f>IF(AC24=0,"0",IF(AND(Results!$E$5="Protein",$C$53&gt;0,OR(Results!$E$4="Tissue",Results!$E$4="Cells")),((AC24*AC$51)/(AC$53)),IF(AND(Results!$E$5="Weight",$C$52&gt;0, Results!$E$4="Tissue",OR($B$52="g",$B$52="mg")),((AC24*AC$51)/(AC$52)),IF(AND(Results!$E$5="Volume",$C$54&gt;0,Results!$E$4="Fluid"),((AC24*AC$51)/(AC$54)),IF(AND(Results!$E$4="Cells",Results!$E$5="Million",$B$52="million"),((AC24*AC$51)/(AC$52)),"0")))))</f>
        <v>0</v>
      </c>
      <c r="AD77" s="20" t="str">
        <f>IF(AD24=0,"0",IF(AND(Results!$E$5="Protein",$C$53&gt;0,OR(Results!$E$4="Tissue",Results!$E$4="Cells")),((AD24*AD$51)/(AD$53)),IF(AND(Results!$E$5="Weight",$C$52&gt;0, Results!$E$4="Tissue",OR($B$52="g",$B$52="mg")),((AD24*AD$51)/(AD$52)),IF(AND(Results!$E$5="Volume",$C$54&gt;0,Results!$E$4="Fluid"),((AD24*AD$51)/(AD$54)),IF(AND(Results!$E$4="Cells",Results!$E$5="Million",$B$52="million"),((AD24*AD$51)/(AD$52)),"0")))))</f>
        <v>0</v>
      </c>
      <c r="AE77" s="20" t="str">
        <f>IF(AE24=0,"0",IF(AND(Results!$E$5="Protein",$C$53&gt;0,OR(Results!$E$4="Tissue",Results!$E$4="Cells")),((AE24*AE$51)/(AE$53)),IF(AND(Results!$E$5="Weight",$C$52&gt;0, Results!$E$4="Tissue",OR($B$52="g",$B$52="mg")),((AE24*AE$51)/(AE$52)),IF(AND(Results!$E$5="Volume",$C$54&gt;0,Results!$E$4="Fluid"),((AE24*AE$51)/(AE$54)),IF(AND(Results!$E$4="Cells",Results!$E$5="Million",$B$52="million"),((AE24*AE$51)/(AE$52)),"0")))))</f>
        <v>0</v>
      </c>
      <c r="AF77" s="20" t="str">
        <f>IF(AF24=0,"0",IF(AND(Results!$E$5="Protein",$C$53&gt;0,OR(Results!$E$4="Tissue",Results!$E$4="Cells")),((AF24*AF$51)/(AF$53)),IF(AND(Results!$E$5="Weight",$C$52&gt;0, Results!$E$4="Tissue",OR($B$52="g",$B$52="mg")),((AF24*AF$51)/(AF$52)),IF(AND(Results!$E$5="Volume",$C$54&gt;0,Results!$E$4="Fluid"),((AF24*AF$51)/(AF$54)),IF(AND(Results!$E$4="Cells",Results!$E$5="Million",$B$52="million"),((AF24*AF$51)/(AF$52)),"0")))))</f>
        <v>0</v>
      </c>
      <c r="AG77" s="20" t="str">
        <f>IF(AG24=0,"0",IF(AND(Results!$E$5="Protein",$C$53&gt;0,OR(Results!$E$4="Tissue",Results!$E$4="Cells")),((AG24*AG$51)/(AG$53)),IF(AND(Results!$E$5="Weight",$C$52&gt;0, Results!$E$4="Tissue",OR($B$52="g",$B$52="mg")),((AG24*AG$51)/(AG$52)),IF(AND(Results!$E$5="Volume",$C$54&gt;0,Results!$E$4="Fluid"),((AG24*AG$51)/(AG$54)),IF(AND(Results!$E$4="Cells",Results!$E$5="Million",$B$52="million"),((AG24*AG$51)/(AG$52)),"0")))))</f>
        <v>0</v>
      </c>
      <c r="AH77" s="20" t="str">
        <f>IF(AH24=0,"0",IF(AND(Results!$E$5="Protein",$C$53&gt;0,OR(Results!$E$4="Tissue",Results!$E$4="Cells")),((AH24*AH$51)/(AH$53)),IF(AND(Results!$E$5="Weight",$C$52&gt;0, Results!$E$4="Tissue",OR($B$52="g",$B$52="mg")),((AH24*AH$51)/(AH$52)),IF(AND(Results!$E$5="Volume",$C$54&gt;0,Results!$E$4="Fluid"),((AH24*AH$51)/(AH$54)),IF(AND(Results!$E$4="Cells",Results!$E$5="Million",$B$52="million"),((AH24*AH$51)/(AH$52)),"0")))))</f>
        <v>0</v>
      </c>
      <c r="AI77" s="20" t="str">
        <f>IF(AI24=0,"0",IF(AND(Results!$E$5="Protein",$C$53&gt;0,OR(Results!$E$4="Tissue",Results!$E$4="Cells")),((AI24*AI$51)/(AI$53)),IF(AND(Results!$E$5="Weight",$C$52&gt;0, Results!$E$4="Tissue",OR($B$52="g",$B$52="mg")),((AI24*AI$51)/(AI$52)),IF(AND(Results!$E$5="Volume",$C$54&gt;0,Results!$E$4="Fluid"),((AI24*AI$51)/(AI$54)),IF(AND(Results!$E$4="Cells",Results!$E$5="Million",$B$52="million"),((AI24*AI$51)/(AI$52)),"0")))))</f>
        <v>0</v>
      </c>
      <c r="AJ77" s="20" t="str">
        <f>IF(AJ24=0,"0",IF(AND(Results!$E$5="Protein",$C$53&gt;0,OR(Results!$E$4="Tissue",Results!$E$4="Cells")),((AJ24*AJ$51)/(AJ$53)),IF(AND(Results!$E$5="Weight",$C$52&gt;0, Results!$E$4="Tissue",OR($B$52="g",$B$52="mg")),((AJ24*AJ$51)/(AJ$52)),IF(AND(Results!$E$5="Volume",$C$54&gt;0,Results!$E$4="Fluid"),((AJ24*AJ$51)/(AJ$54)),IF(AND(Results!$E$4="Cells",Results!$E$5="Million",$B$52="million"),((AJ24*AJ$51)/(AJ$52)),"0")))))</f>
        <v>0</v>
      </c>
      <c r="AK77" s="20" t="str">
        <f>IF(AK24=0,"0",IF(AND(Results!$E$5="Protein",$C$53&gt;0,OR(Results!$E$4="Tissue",Results!$E$4="Cells")),((AK24*AK$51)/(AK$53)),IF(AND(Results!$E$5="Weight",$C$52&gt;0, Results!$E$4="Tissue",OR($B$52="g",$B$52="mg")),((AK24*AK$51)/(AK$52)),IF(AND(Results!$E$5="Volume",$C$54&gt;0,Results!$E$4="Fluid"),((AK24*AK$51)/(AK$54)),IF(AND(Results!$E$4="Cells",Results!$E$5="Million",$B$52="million"),((AK24*AK$51)/(AK$52)),"0")))))</f>
        <v>0</v>
      </c>
      <c r="AL77" s="20" t="str">
        <f>IF(AL24=0,"0",IF(AND(Results!$E$5="Protein",$C$53&gt;0,OR(Results!$E$4="Tissue",Results!$E$4="Cells")),((AL24*AL$51)/(AL$53)),IF(AND(Results!$E$5="Weight",$C$52&gt;0, Results!$E$4="Tissue",OR($B$52="g",$B$52="mg")),((AL24*AL$51)/(AL$52)),IF(AND(Results!$E$5="Volume",$C$54&gt;0,Results!$E$4="Fluid"),((AL24*AL$51)/(AL$54)),IF(AND(Results!$E$4="Cells",Results!$E$5="Million",$B$52="million"),((AL24*AL$51)/(AL$52)),"0")))))</f>
        <v>0</v>
      </c>
      <c r="AM77" s="20" t="str">
        <f>IF(AM24=0,"0",IF(AND(Results!$E$5="Protein",$C$53&gt;0,OR(Results!$E$4="Tissue",Results!$E$4="Cells")),((AM24*AM$51)/(AM$53)),IF(AND(Results!$E$5="Weight",$C$52&gt;0, Results!$E$4="Tissue",OR($B$52="g",$B$52="mg")),((AM24*AM$51)/(AM$52)),IF(AND(Results!$E$5="Volume",$C$54&gt;0,Results!$E$4="Fluid"),((AM24*AM$51)/(AM$54)),IF(AND(Results!$E$4="Cells",Results!$E$5="Million",$B$52="million"),((AM24*AM$51)/(AM$52)),"0")))))</f>
        <v>0</v>
      </c>
      <c r="AN77" s="20" t="str">
        <f>IF(AN24=0,"0",IF(AND(Results!$E$5="Protein",$C$53&gt;0,OR(Results!$E$4="Tissue",Results!$E$4="Cells")),((AN24*AN$51)/(AN$53)),IF(AND(Results!$E$5="Weight",$C$52&gt;0, Results!$E$4="Tissue",OR($B$52="g",$B$52="mg")),((AN24*AN$51)/(AN$52)),IF(AND(Results!$E$5="Volume",$C$54&gt;0,Results!$E$4="Fluid"),((AN24*AN$51)/(AN$54)),IF(AND(Results!$E$4="Cells",Results!$E$5="Million",$B$52="million"),((AN24*AN$51)/(AN$52)),"0")))))</f>
        <v>0</v>
      </c>
      <c r="AO77" s="20" t="str">
        <f>IF(AO24=0,"0",IF(AND(Results!$E$5="Protein",$C$53&gt;0,OR(Results!$E$4="Tissue",Results!$E$4="Cells")),((AO24*AO$51)/(AO$53)),IF(AND(Results!$E$5="Weight",$C$52&gt;0, Results!$E$4="Tissue",OR($B$52="g",$B$52="mg")),((AO24*AO$51)/(AO$52)),IF(AND(Results!$E$5="Volume",$C$54&gt;0,Results!$E$4="Fluid"),((AO24*AO$51)/(AO$54)),IF(AND(Results!$E$4="Cells",Results!$E$5="Million",$B$52="million"),((AO24*AO$51)/(AO$52)),"0")))))</f>
        <v>0</v>
      </c>
      <c r="AP77" s="20" t="str">
        <f>IF(AP24=0,"0",IF(AND(Results!$E$5="Protein",$C$53&gt;0,OR(Results!$E$4="Tissue",Results!$E$4="Cells")),((AP24*AP$51)/(AP$53)),IF(AND(Results!$E$5="Weight",$C$52&gt;0, Results!$E$4="Tissue",OR($B$52="g",$B$52="mg")),((AP24*AP$51)/(AP$52)),IF(AND(Results!$E$5="Volume",$C$54&gt;0,Results!$E$4="Fluid"),((AP24*AP$51)/(AP$54)),IF(AND(Results!$E$4="Cells",Results!$E$5="Million",$B$52="million"),((AP24*AP$51)/(AP$52)),"0")))))</f>
        <v>0</v>
      </c>
      <c r="AQ77" s="20" t="str">
        <f>IF(AQ24=0,"0",IF(AND(Results!$E$5="Protein",$C$53&gt;0,OR(Results!$E$4="Tissue",Results!$E$4="Cells")),((AQ24*AQ$51)/(AQ$53)),IF(AND(Results!$E$5="Weight",$C$52&gt;0, Results!$E$4="Tissue",OR($B$52="g",$B$52="mg")),((AQ24*AQ$51)/(AQ$52)),IF(AND(Results!$E$5="Volume",$C$54&gt;0,Results!$E$4="Fluid"),((AQ24*AQ$51)/(AQ$54)),IF(AND(Results!$E$4="Cells",Results!$E$5="Million",$B$52="million"),((AQ24*AQ$51)/(AQ$52)),"0")))))</f>
        <v>0</v>
      </c>
      <c r="AR77" s="20" t="str">
        <f>IF(AR24=0,"0",IF(AND(Results!$E$5="Protein",$C$53&gt;0,OR(Results!$E$4="Tissue",Results!$E$4="Cells")),((AR24*AR$51)/(AR$53)),IF(AND(Results!$E$5="Weight",$C$52&gt;0, Results!$E$4="Tissue",OR($B$52="g",$B$52="mg")),((AR24*AR$51)/(AR$52)),IF(AND(Results!$E$5="Volume",$C$54&gt;0,Results!$E$4="Fluid"),((AR24*AR$51)/(AR$54)),IF(AND(Results!$E$4="Cells",Results!$E$5="Million",$B$52="million"),((AR24*AR$51)/(AR$52)),"0")))))</f>
        <v>0</v>
      </c>
      <c r="AS77" s="20" t="str">
        <f>IF(AS24=0,"0",IF(AND(Results!$E$5="Protein",$C$53&gt;0,OR(Results!$E$4="Tissue",Results!$E$4="Cells")),((AS24*AS$51)/(AS$53)),IF(AND(Results!$E$5="Weight",$C$52&gt;0, Results!$E$4="Tissue",OR($B$52="g",$B$52="mg")),((AS24*AS$51)/(AS$52)),IF(AND(Results!$E$5="Volume",$C$54&gt;0,Results!$E$4="Fluid"),((AS24*AS$51)/(AS$54)),IF(AND(Results!$E$4="Cells",Results!$E$5="Million",$B$52="million"),((AS24*AS$51)/(AS$52)),"0")))))</f>
        <v>0</v>
      </c>
      <c r="AT77" s="20" t="str">
        <f>IF(AT24=0,"0",IF(AND(Results!$E$5="Protein",$C$53&gt;0,OR(Results!$E$4="Tissue",Results!$E$4="Cells")),((AT24*AT$51)/(AT$53)),IF(AND(Results!$E$5="Weight",$C$52&gt;0, Results!$E$4="Tissue",OR($B$52="g",$B$52="mg")),((AT24*AT$51)/(AT$52)),IF(AND(Results!$E$5="Volume",$C$54&gt;0,Results!$E$4="Fluid"),((AT24*AT$51)/(AT$54)),IF(AND(Results!$E$4="Cells",Results!$E$5="Million",$B$52="million"),((AT24*AT$51)/(AT$52)),"0")))))</f>
        <v>0</v>
      </c>
      <c r="AU77" s="20" t="str">
        <f>IF(AU24=0,"0",IF(AND(Results!$E$5="Protein",$C$53&gt;0,OR(Results!$E$4="Tissue",Results!$E$4="Cells")),((AU24*AU$51)/(AU$53)),IF(AND(Results!$E$5="Weight",$C$52&gt;0, Results!$E$4="Tissue",OR($B$52="g",$B$52="mg")),((AU24*AU$51)/(AU$52)),IF(AND(Results!$E$5="Volume",$C$54&gt;0,Results!$E$4="Fluid"),((AU24*AU$51)/(AU$54)),IF(AND(Results!$E$4="Cells",Results!$E$5="Million",$B$52="million"),((AU24*AU$51)/(AU$52)),"0")))))</f>
        <v>0</v>
      </c>
      <c r="AV77" s="20" t="str">
        <f>IF(AV24=0,"0",IF(AND(Results!$E$5="Protein",$C$53&gt;0,OR(Results!$E$4="Tissue",Results!$E$4="Cells")),((AV24*AV$51)/(AV$53)),IF(AND(Results!$E$5="Weight",$C$52&gt;0, Results!$E$4="Tissue",OR($B$52="g",$B$52="mg")),((AV24*AV$51)/(AV$52)),IF(AND(Results!$E$5="Volume",$C$54&gt;0,Results!$E$4="Fluid"),((AV24*AV$51)/(AV$54)),IF(AND(Results!$E$4="Cells",Results!$E$5="Million",$B$52="million"),((AV24*AV$51)/(AV$52)),"0")))))</f>
        <v>0</v>
      </c>
      <c r="AW77" s="20" t="str">
        <f>IF(AW24=0,"0",IF(AND(Results!$E$5="Protein",$C$53&gt;0,OR(Results!$E$4="Tissue",Results!$E$4="Cells")),((AW24*AW$51)/(AW$53)),IF(AND(Results!$E$5="Weight",$C$52&gt;0, Results!$E$4="Tissue",OR($B$52="g",$B$52="mg")),((AW24*AW$51)/(AW$52)),IF(AND(Results!$E$5="Volume",$C$54&gt;0,Results!$E$4="Fluid"),((AW24*AW$51)/(AW$54)),IF(AND(Results!$E$4="Cells",Results!$E$5="Million",$B$52="million"),((AW24*AW$51)/(AW$52)),"0")))))</f>
        <v>0</v>
      </c>
      <c r="AX77" s="20" t="str">
        <f>IF(AX24=0,"0",IF(AND(Results!$E$5="Protein",$C$53&gt;0,OR(Results!$E$4="Tissue",Results!$E$4="Cells")),((AX24*AX$51)/(AX$53)),IF(AND(Results!$E$5="Weight",$C$52&gt;0, Results!$E$4="Tissue",OR($B$52="g",$B$52="mg")),((AX24*AX$51)/(AX$52)),IF(AND(Results!$E$5="Volume",$C$54&gt;0,Results!$E$4="Fluid"),((AX24*AX$51)/(AX$54)),IF(AND(Results!$E$4="Cells",Results!$E$5="Million",$B$52="million"),((AX24*AX$51)/(AX$52)),"0")))))</f>
        <v>0</v>
      </c>
      <c r="AY77" s="20" t="str">
        <f>IF(AY24=0,"0",IF(AND(Results!$E$5="Protein",$C$53&gt;0,OR(Results!$E$4="Tissue",Results!$E$4="Cells")),((AY24*AY$51)/(AY$53)),IF(AND(Results!$E$5="Weight",$C$52&gt;0, Results!$E$4="Tissue",OR($B$52="g",$B$52="mg")),((AY24*AY$51)/(AY$52)),IF(AND(Results!$E$5="Volume",$C$54&gt;0,Results!$E$4="Fluid"),((AY24*AY$51)/(AY$54)),IF(AND(Results!$E$4="Cells",Results!$E$5="Million",$B$52="million"),((AY24*AY$51)/(AY$52)),"0")))))</f>
        <v>0</v>
      </c>
      <c r="AZ77" s="20" t="str">
        <f>IF(AZ24=0,"0",IF(AND(Results!$E$5="Protein",$C$53&gt;0,OR(Results!$E$4="Tissue",Results!$E$4="Cells")),((AZ24*AZ$51)/(AZ$53)),IF(AND(Results!$E$5="Weight",$C$52&gt;0, Results!$E$4="Tissue",OR($B$52="g",$B$52="mg")),((AZ24*AZ$51)/(AZ$52)),IF(AND(Results!$E$5="Volume",$C$54&gt;0,Results!$E$4="Fluid"),((AZ24*AZ$51)/(AZ$54)),IF(AND(Results!$E$4="Cells",Results!$E$5="Million",$B$52="million"),((AZ24*AZ$51)/(AZ$52)),"0")))))</f>
        <v>0</v>
      </c>
      <c r="BA77" s="20" t="str">
        <f>IF(BA24=0,"0",IF(AND(Results!$E$5="Protein",$C$53&gt;0,OR(Results!$E$4="Tissue",Results!$E$4="Cells")),((BA24*BA$51)/(BA$53)),IF(AND(Results!$E$5="Weight",$C$52&gt;0, Results!$E$4="Tissue",OR($B$52="g",$B$52="mg")),((BA24*BA$51)/(BA$52)),IF(AND(Results!$E$5="Volume",$C$54&gt;0,Results!$E$4="Fluid"),((BA24*BA$51)/(BA$54)),IF(AND(Results!$E$4="Cells",Results!$E$5="Million",$B$52="million"),((BA24*BA$51)/(BA$52)),"0")))))</f>
        <v>0</v>
      </c>
      <c r="BB77" s="20" t="str">
        <f>IF(BB24=0,"0",IF(AND(Results!$E$5="Protein",$C$53&gt;0,OR(Results!$E$4="Tissue",Results!$E$4="Cells")),((BB24*BB$51)/(BB$53)),IF(AND(Results!$E$5="Weight",$C$52&gt;0, Results!$E$4="Tissue",OR($B$52="g",$B$52="mg")),((BB24*BB$51)/(BB$52)),IF(AND(Results!$E$5="Volume",$C$54&gt;0,Results!$E$4="Fluid"),((BB24*BB$51)/(BB$54)),IF(AND(Results!$E$4="Cells",Results!$E$5="Million",$B$52="million"),((BB24*BB$51)/(BB$52)),"0")))))</f>
        <v>0</v>
      </c>
      <c r="BC77" s="20" t="str">
        <f>IF(BC24=0,"0",IF(AND(Results!$E$5="Protein",$C$53&gt;0,OR(Results!$E$4="Tissue",Results!$E$4="Cells")),((BC24*BC$51)/(BC$53)),IF(AND(Results!$E$5="Weight",$C$52&gt;0, Results!$E$4="Tissue",OR($B$52="g",$B$52="mg")),((BC24*BC$51)/(BC$52)),IF(AND(Results!$E$5="Volume",$C$54&gt;0,Results!$E$4="Fluid"),((BC24*BC$51)/(BC$54)),IF(AND(Results!$E$4="Cells",Results!$E$5="Million",$B$52="million"),((BC24*BC$51)/(BC$52)),"0")))))</f>
        <v>0</v>
      </c>
      <c r="BD77" s="20" t="str">
        <f>IF(BD24=0,"0",IF(AND(Results!$E$5="Protein",$C$53&gt;0,OR(Results!$E$4="Tissue",Results!$E$4="Cells")),((BD24*BD$51)/(BD$53)),IF(AND(Results!$E$5="Weight",$C$52&gt;0, Results!$E$4="Tissue",OR($B$52="g",$B$52="mg")),((BD24*BD$51)/(BD$52)),IF(AND(Results!$E$5="Volume",$C$54&gt;0,Results!$E$4="Fluid"),((BD24*BD$51)/(BD$54)),IF(AND(Results!$E$4="Cells",Results!$E$5="Million",$B$52="million"),((BD24*BD$51)/(BD$52)),"0")))))</f>
        <v>0</v>
      </c>
      <c r="BE77" s="20" t="str">
        <f>IF(BE24=0,"0",IF(AND(Results!$E$5="Protein",$C$53&gt;0,OR(Results!$E$4="Tissue",Results!$E$4="Cells")),((BE24*BE$51)/(BE$53)),IF(AND(Results!$E$5="Weight",$C$52&gt;0, Results!$E$4="Tissue",OR($B$52="g",$B$52="mg")),((BE24*BE$51)/(BE$52)),IF(AND(Results!$E$5="Volume",$C$54&gt;0,Results!$E$4="Fluid"),((BE24*BE$51)/(BE$54)),IF(AND(Results!$E$4="Cells",Results!$E$5="Million",$B$52="million"),((BE24*BE$51)/(BE$52)),"0")))))</f>
        <v>0</v>
      </c>
      <c r="BF77" s="20" t="str">
        <f>IF(BF24=0,"0",IF(AND(Results!$E$5="Protein",$C$53&gt;0,OR(Results!$E$4="Tissue",Results!$E$4="Cells")),((BF24*BF$51)/(BF$53)),IF(AND(Results!$E$5="Weight",$C$52&gt;0, Results!$E$4="Tissue",OR($B$52="g",$B$52="mg")),((BF24*BF$51)/(BF$52)),IF(AND(Results!$E$5="Volume",$C$54&gt;0,Results!$E$4="Fluid"),((BF24*BF$51)/(BF$54)),IF(AND(Results!$E$4="Cells",Results!$E$5="Million",$B$52="million"),((BF24*BF$51)/(BF$52)),"0")))))</f>
        <v>0</v>
      </c>
      <c r="BG77" s="20" t="str">
        <f>IF(BG24=0,"0",IF(AND(Results!$E$5="Protein",$C$53&gt;0,OR(Results!$E$4="Tissue",Results!$E$4="Cells")),((BG24*BG$51)/(BG$53)),IF(AND(Results!$E$5="Weight",$C$52&gt;0, Results!$E$4="Tissue",OR($B$52="g",$B$52="mg")),((BG24*BG$51)/(BG$52)),IF(AND(Results!$E$5="Volume",$C$54&gt;0,Results!$E$4="Fluid"),((BG24*BG$51)/(BG$54)),IF(AND(Results!$E$4="Cells",Results!$E$5="Million",$B$52="million"),((BG24*BG$51)/(BG$52)),"0")))))</f>
        <v>0</v>
      </c>
      <c r="BH77" s="20" t="str">
        <f>IF(BH24=0,"0",IF(AND(Results!$E$5="Protein",$C$53&gt;0,OR(Results!$E$4="Tissue",Results!$E$4="Cells")),((BH24*BH$51)/(BH$53)),IF(AND(Results!$E$5="Weight",$C$52&gt;0, Results!$E$4="Tissue",OR($B$52="g",$B$52="mg")),((BH24*BH$51)/(BH$52)),IF(AND(Results!$E$5="Volume",$C$54&gt;0,Results!$E$4="Fluid"),((BH24*BH$51)/(BH$54)),IF(AND(Results!$E$4="Cells",Results!$E$5="Million",$B$52="million"),((BH24*BH$51)/(BH$52)),"0")))))</f>
        <v>0</v>
      </c>
      <c r="BI77" s="20" t="str">
        <f>IF(BI24=0,"0",IF(AND(Results!$E$5="Protein",$C$53&gt;0,OR(Results!$E$4="Tissue",Results!$E$4="Cells")),((BI24*BI$51)/(BI$53)),IF(AND(Results!$E$5="Weight",$C$52&gt;0, Results!$E$4="Tissue",OR($B$52="g",$B$52="mg")),((BI24*BI$51)/(BI$52)),IF(AND(Results!$E$5="Volume",$C$54&gt;0,Results!$E$4="Fluid"),((BI24*BI$51)/(BI$54)),IF(AND(Results!$E$4="Cells",Results!$E$5="Million",$B$52="million"),((BI24*BI$51)/(BI$52)),"0")))))</f>
        <v>0</v>
      </c>
      <c r="BJ77" s="20" t="str">
        <f>IF(BJ24=0,"0",IF(AND(Results!$E$5="Protein",$C$53&gt;0,OR(Results!$E$4="Tissue",Results!$E$4="Cells")),((BJ24*BJ$51)/(BJ$53)),IF(AND(Results!$E$5="Weight",$C$52&gt;0, Results!$E$4="Tissue",OR($B$52="g",$B$52="mg")),((BJ24*BJ$51)/(BJ$52)),IF(AND(Results!$E$5="Volume",$C$54&gt;0,Results!$E$4="Fluid"),((BJ24*BJ$51)/(BJ$54)),IF(AND(Results!$E$4="Cells",Results!$E$5="Million",$B$52="million"),((BJ24*BJ$51)/(BJ$52)),"0")))))</f>
        <v>0</v>
      </c>
      <c r="BK77" s="20" t="str">
        <f>IF(BK24=0,"0",IF(AND(Results!$E$5="Protein",$C$53&gt;0,OR(Results!$E$4="Tissue",Results!$E$4="Cells")),((BK24*BK$51)/(BK$53)),IF(AND(Results!$E$5="Weight",$C$52&gt;0, Results!$E$4="Tissue",OR($B$52="g",$B$52="mg")),((BK24*BK$51)/(BK$52)),IF(AND(Results!$E$5="Volume",$C$54&gt;0,Results!$E$4="Fluid"),((BK24*BK$51)/(BK$54)),IF(AND(Results!$E$4="Cells",Results!$E$5="Million",$B$52="million"),((BK24*BK$51)/(BK$52)),"0")))))</f>
        <v>0</v>
      </c>
      <c r="BL77" s="20" t="str">
        <f>IF(BL24=0,"0",IF(AND(Results!$E$5="Protein",$C$53&gt;0,OR(Results!$E$4="Tissue",Results!$E$4="Cells")),((BL24*BL$51)/(BL$53)),IF(AND(Results!$E$5="Weight",$C$52&gt;0, Results!$E$4="Tissue",OR($B$52="g",$B$52="mg")),((BL24*BL$51)/(BL$52)),IF(AND(Results!$E$5="Volume",$C$54&gt;0,Results!$E$4="Fluid"),((BL24*BL$51)/(BL$54)),IF(AND(Results!$E$4="Cells",Results!$E$5="Million",$B$52="million"),((BL24*BL$51)/(BL$52)),"0")))))</f>
        <v>0</v>
      </c>
      <c r="BM77" s="20" t="str">
        <f>IF(BM24=0,"0",IF(AND(Results!$E$5="Protein",$C$53&gt;0,OR(Results!$E$4="Tissue",Results!$E$4="Cells")),((BM24*BM$51)/(BM$53)),IF(AND(Results!$E$5="Weight",$C$52&gt;0, Results!$E$4="Tissue",OR($B$52="g",$B$52="mg")),((BM24*BM$51)/(BM$52)),IF(AND(Results!$E$5="Volume",$C$54&gt;0,Results!$E$4="Fluid"),((BM24*BM$51)/(BM$54)),IF(AND(Results!$E$4="Cells",Results!$E$5="Million",$B$52="million"),((BM24*BM$51)/(BM$52)),"0")))))</f>
        <v>0</v>
      </c>
      <c r="BN77" s="20" t="str">
        <f>IF(BN24=0,"0",IF(AND(Results!$E$5="Protein",$C$53&gt;0,OR(Results!$E$4="Tissue",Results!$E$4="Cells")),((BN24*BN$51)/(BN$53)),IF(AND(Results!$E$5="Weight",$C$52&gt;0, Results!$E$4="Tissue",OR($B$52="g",$B$52="mg")),((BN24*BN$51)/(BN$52)),IF(AND(Results!$E$5="Volume",$C$54&gt;0,Results!$E$4="Fluid"),((BN24*BN$51)/(BN$54)),IF(AND(Results!$E$4="Cells",Results!$E$5="Million",$B$52="million"),((BN24*BN$51)/(BN$52)),"0")))))</f>
        <v>0</v>
      </c>
      <c r="BO77" s="20" t="str">
        <f>IF(BO24=0,"0",IF(AND(Results!$E$5="Protein",$C$53&gt;0,OR(Results!$E$4="Tissue",Results!$E$4="Cells")),((BO24*BO$51)/(BO$53)),IF(AND(Results!$E$5="Weight",$C$52&gt;0, Results!$E$4="Tissue",OR($B$52="g",$B$52="mg")),((BO24*BO$51)/(BO$52)),IF(AND(Results!$E$5="Volume",$C$54&gt;0,Results!$E$4="Fluid"),((BO24*BO$51)/(BO$54)),IF(AND(Results!$E$4="Cells",Results!$E$5="Million",$B$52="million"),((BO24*BO$51)/(BO$52)),"0")))))</f>
        <v>0</v>
      </c>
      <c r="BP77" s="20" t="str">
        <f>IF(BP24=0,"0",IF(AND(Results!$E$5="Protein",$C$53&gt;0,OR(Results!$E$4="Tissue",Results!$E$4="Cells")),((BP24*BP$51)/(BP$53)),IF(AND(Results!$E$5="Weight",$C$52&gt;0, Results!$E$4="Tissue",OR($B$52="g",$B$52="mg")),((BP24*BP$51)/(BP$52)),IF(AND(Results!$E$5="Volume",$C$54&gt;0,Results!$E$4="Fluid"),((BP24*BP$51)/(BP$54)),IF(AND(Results!$E$4="Cells",Results!$E$5="Million",$B$52="million"),((BP24*BP$51)/(BP$52)),"0")))))</f>
        <v>0</v>
      </c>
      <c r="BQ77" s="20" t="str">
        <f>IF(BQ24=0,"0",IF(AND(Results!$E$5="Protein",$C$53&gt;0,OR(Results!$E$4="Tissue",Results!$E$4="Cells")),((BQ24*BQ$51)/(BQ$53)),IF(AND(Results!$E$5="Weight",$C$52&gt;0, Results!$E$4="Tissue",OR($B$52="g",$B$52="mg")),((BQ24*BQ$51)/(BQ$52)),IF(AND(Results!$E$5="Volume",$C$54&gt;0,Results!$E$4="Fluid"),((BQ24*BQ$51)/(BQ$54)),IF(AND(Results!$E$4="Cells",Results!$E$5="Million",$B$52="million"),((BQ24*BQ$51)/(BQ$52)),"0")))))</f>
        <v>0</v>
      </c>
      <c r="BR77" s="20" t="str">
        <f>IF(BR24=0,"0",IF(AND(Results!$E$5="Protein",$C$53&gt;0,OR(Results!$E$4="Tissue",Results!$E$4="Cells")),((BR24*BR$51)/(BR$53)),IF(AND(Results!$E$5="Weight",$C$52&gt;0, Results!$E$4="Tissue",OR($B$52="g",$B$52="mg")),((BR24*BR$51)/(BR$52)),IF(AND(Results!$E$5="Volume",$C$54&gt;0,Results!$E$4="Fluid"),((BR24*BR$51)/(BR$54)),IF(AND(Results!$E$4="Cells",Results!$E$5="Million",$B$52="million"),((BR24*BR$51)/(BR$52)),"0")))))</f>
        <v>0</v>
      </c>
      <c r="BS77" s="20" t="str">
        <f>IF(BS24=0,"0",IF(AND(Results!$E$5="Protein",$C$53&gt;0,OR(Results!$E$4="Tissue",Results!$E$4="Cells")),((BS24*BS$51)/(BS$53)),IF(AND(Results!$E$5="Weight",$C$52&gt;0, Results!$E$4="Tissue",OR($B$52="g",$B$52="mg")),((BS24*BS$51)/(BS$52)),IF(AND(Results!$E$5="Volume",$C$54&gt;0,Results!$E$4="Fluid"),((BS24*BS$51)/(BS$54)),IF(AND(Results!$E$4="Cells",Results!$E$5="Million",$B$52="million"),((BS24*BS$51)/(BS$52)),"0")))))</f>
        <v>0</v>
      </c>
      <c r="BT77" s="20" t="str">
        <f>IF(BT24=0,"0",IF(AND(Results!$E$5="Protein",$C$53&gt;0,OR(Results!$E$4="Tissue",Results!$E$4="Cells")),((BT24*BT$51)/(BT$53)),IF(AND(Results!$E$5="Weight",$C$52&gt;0, Results!$E$4="Tissue",OR($B$52="g",$B$52="mg")),((BT24*BT$51)/(BT$52)),IF(AND(Results!$E$5="Volume",$C$54&gt;0,Results!$E$4="Fluid"),((BT24*BT$51)/(BT$54)),IF(AND(Results!$E$4="Cells",Results!$E$5="Million",$B$52="million"),((BT24*BT$51)/(BT$52)),"0")))))</f>
        <v>0</v>
      </c>
      <c r="BU77" s="20" t="str">
        <f>IF(BU24=0,"0",IF(AND(Results!$E$5="Protein",$C$53&gt;0,OR(Results!$E$4="Tissue",Results!$E$4="Cells")),((BU24*BU$51)/(BU$53)),IF(AND(Results!$E$5="Weight",$C$52&gt;0, Results!$E$4="Tissue",OR($B$52="g",$B$52="mg")),((BU24*BU$51)/(BU$52)),IF(AND(Results!$E$5="Volume",$C$54&gt;0,Results!$E$4="Fluid"),((BU24*BU$51)/(BU$54)),IF(AND(Results!$E$4="Cells",Results!$E$5="Million",$B$52="million"),((BU24*BU$51)/(BU$52)),"0")))))</f>
        <v>0</v>
      </c>
      <c r="BV77" s="20" t="str">
        <f>IF(BV24=0,"0",IF(AND(Results!$E$5="Protein",$C$53&gt;0,OR(Results!$E$4="Tissue",Results!$E$4="Cells")),((BV24*BV$51)/(BV$53)),IF(AND(Results!$E$5="Weight",$C$52&gt;0, Results!$E$4="Tissue",OR($B$52="g",$B$52="mg")),((BV24*BV$51)/(BV$52)),IF(AND(Results!$E$5="Volume",$C$54&gt;0,Results!$E$4="Fluid"),((BV24*BV$51)/(BV$54)),IF(AND(Results!$E$4="Cells",Results!$E$5="Million",$B$52="million"),((BV24*BV$51)/(BV$52)),"0")))))</f>
        <v>0</v>
      </c>
      <c r="BW77" s="20" t="str">
        <f>IF(BW24=0,"0",IF(AND(Results!$E$5="Protein",$C$53&gt;0,OR(Results!$E$4="Tissue",Results!$E$4="Cells")),((BW24*BW$51)/(BW$53)),IF(AND(Results!$E$5="Weight",$C$52&gt;0, Results!$E$4="Tissue",OR($B$52="g",$B$52="mg")),((BW24*BW$51)/(BW$52)),IF(AND(Results!$E$5="Volume",$C$54&gt;0,Results!$E$4="Fluid"),((BW24*BW$51)/(BW$54)),IF(AND(Results!$E$4="Cells",Results!$E$5="Million",$B$52="million"),((BW24*BW$51)/(BW$52)),"0")))))</f>
        <v>0</v>
      </c>
      <c r="BX77" s="20" t="str">
        <f>IF(BX24=0,"0",IF(AND(Results!$E$5="Protein",$C$53&gt;0,OR(Results!$E$4="Tissue",Results!$E$4="Cells")),((BX24*BX$51)/(BX$53)),IF(AND(Results!$E$5="Weight",$C$52&gt;0, Results!$E$4="Tissue",OR($B$52="g",$B$52="mg")),((BX24*BX$51)/(BX$52)),IF(AND(Results!$E$5="Volume",$C$54&gt;0,Results!$E$4="Fluid"),((BX24*BX$51)/(BX$54)),IF(AND(Results!$E$4="Cells",Results!$E$5="Million",$B$52="million"),((BX24*BX$51)/(BX$52)),"0")))))</f>
        <v>0</v>
      </c>
      <c r="BY77" s="20" t="str">
        <f>IF(BY24=0,"0",IF(AND(Results!$E$5="Protein",$C$53&gt;0,OR(Results!$E$4="Tissue",Results!$E$4="Cells")),((BY24*BY$51)/(BY$53)),IF(AND(Results!$E$5="Weight",$C$52&gt;0, Results!$E$4="Tissue",OR($B$52="g",$B$52="mg")),((BY24*BY$51)/(BY$52)),IF(AND(Results!$E$5="Volume",$C$54&gt;0,Results!$E$4="Fluid"),((BY24*BY$51)/(BY$54)),IF(AND(Results!$E$4="Cells",Results!$E$5="Million",$B$52="million"),((BY24*BY$51)/(BY$52)),"0")))))</f>
        <v>0</v>
      </c>
      <c r="BZ77" s="20" t="str">
        <f>IF(BZ24=0,"0",IF(AND(Results!$E$5="Protein",$C$53&gt;0,OR(Results!$E$4="Tissue",Results!$E$4="Cells")),((BZ24*BZ$51)/(BZ$53)),IF(AND(Results!$E$5="Weight",$C$52&gt;0, Results!$E$4="Tissue",OR($B$52="g",$B$52="mg")),((BZ24*BZ$51)/(BZ$52)),IF(AND(Results!$E$5="Volume",$C$54&gt;0,Results!$E$4="Fluid"),((BZ24*BZ$51)/(BZ$54)),IF(AND(Results!$E$4="Cells",Results!$E$5="Million",$B$52="million"),((BZ24*BZ$51)/(BZ$52)),"0")))))</f>
        <v>0</v>
      </c>
      <c r="CA77" s="20" t="str">
        <f>IF(CA24=0,"0",IF(AND(Results!$E$5="Protein",$C$53&gt;0,OR(Results!$E$4="Tissue",Results!$E$4="Cells")),((CA24*CA$51)/(CA$53)),IF(AND(Results!$E$5="Weight",$C$52&gt;0, Results!$E$4="Tissue",OR($B$52="g",$B$52="mg")),((CA24*CA$51)/(CA$52)),IF(AND(Results!$E$5="Volume",$C$54&gt;0,Results!$E$4="Fluid"),((CA24*CA$51)/(CA$54)),IF(AND(Results!$E$4="Cells",Results!$E$5="Million",$B$52="million"),((CA24*CA$51)/(CA$52)),"0")))))</f>
        <v>0</v>
      </c>
      <c r="CB77" s="20" t="str">
        <f>IF(CB24=0,"0",IF(AND(Results!$E$5="Protein",$C$53&gt;0,OR(Results!$E$4="Tissue",Results!$E$4="Cells")),((CB24*CB$51)/(CB$53)),IF(AND(Results!$E$5="Weight",$C$52&gt;0, Results!$E$4="Tissue",OR($B$52="g",$B$52="mg")),((CB24*CB$51)/(CB$52)),IF(AND(Results!$E$5="Volume",$C$54&gt;0,Results!$E$4="Fluid"),((CB24*CB$51)/(CB$54)),IF(AND(Results!$E$4="Cells",Results!$E$5="Million",$B$52="million"),((CB24*CB$51)/(CB$52)),"0")))))</f>
        <v>0</v>
      </c>
      <c r="CC77" s="20" t="str">
        <f>IF(CC24=0,"0",IF(AND(Results!$E$5="Protein",$C$53&gt;0,OR(Results!$E$4="Tissue",Results!$E$4="Cells")),((CC24*CC$51)/(CC$53)),IF(AND(Results!$E$5="Weight",$C$52&gt;0, Results!$E$4="Tissue",OR($B$52="g",$B$52="mg")),((CC24*CC$51)/(CC$52)),IF(AND(Results!$E$5="Volume",$C$54&gt;0,Results!$E$4="Fluid"),((CC24*CC$51)/(CC$54)),IF(AND(Results!$E$4="Cells",Results!$E$5="Million",$B$52="million"),((CC24*CC$51)/(CC$52)),"0")))))</f>
        <v>0</v>
      </c>
      <c r="CD77" s="20" t="str">
        <f>IF(CD24=0,"0",IF(AND(Results!$E$5="Protein",$C$53&gt;0,OR(Results!$E$4="Tissue",Results!$E$4="Cells")),((CD24*CD$51)/(CD$53)),IF(AND(Results!$E$5="Weight",$C$52&gt;0, Results!$E$4="Tissue",OR($B$52="g",$B$52="mg")),((CD24*CD$51)/(CD$52)),IF(AND(Results!$E$5="Volume",$C$54&gt;0,Results!$E$4="Fluid"),((CD24*CD$51)/(CD$54)),IF(AND(Results!$E$4="Cells",Results!$E$5="Million",$B$52="million"),((CD24*CD$51)/(CD$52)),"0")))))</f>
        <v>0</v>
      </c>
      <c r="CE77" s="20" t="str">
        <f>IF(CE24=0,"0",IF(AND(Results!$E$5="Protein",$C$53&gt;0,OR(Results!$E$4="Tissue",Results!$E$4="Cells")),((CE24*CE$51)/(CE$53)),IF(AND(Results!$E$5="Weight",$C$52&gt;0, Results!$E$4="Tissue",OR($B$52="g",$B$52="mg")),((CE24*CE$51)/(CE$52)),IF(AND(Results!$E$5="Volume",$C$54&gt;0,Results!$E$4="Fluid"),((CE24*CE$51)/(CE$54)),IF(AND(Results!$E$4="Cells",Results!$E$5="Million",$B$52="million"),((CE24*CE$51)/(CE$52)),"0")))))</f>
        <v>0</v>
      </c>
      <c r="CF77" s="20" t="str">
        <f>IF(CF24=0,"0",IF(AND(Results!$E$5="Protein",$C$53&gt;0,OR(Results!$E$4="Tissue",Results!$E$4="Cells")),((CF24*CF$51)/(CF$53)),IF(AND(Results!$E$5="Weight",$C$52&gt;0, Results!$E$4="Tissue",OR($B$52="g",$B$52="mg")),((CF24*CF$51)/(CF$52)),IF(AND(Results!$E$5="Volume",$C$54&gt;0,Results!$E$4="Fluid"),((CF24*CF$51)/(CF$54)),IF(AND(Results!$E$4="Cells",Results!$E$5="Million",$B$52="million"),((CF24*CF$51)/(CF$52)),"0")))))</f>
        <v>0</v>
      </c>
      <c r="CG77" s="20" t="str">
        <f>IF(CG24=0,"0",IF(AND(Results!$E$5="Protein",$C$53&gt;0,OR(Results!$E$4="Tissue",Results!$E$4="Cells")),((CG24*CG$51)/(CG$53)),IF(AND(Results!$E$5="Weight",$C$52&gt;0, Results!$E$4="Tissue",OR($B$52="g",$B$52="mg")),((CG24*CG$51)/(CG$52)),IF(AND(Results!$E$5="Volume",$C$54&gt;0,Results!$E$4="Fluid"),((CG24*CG$51)/(CG$54)),IF(AND(Results!$E$4="Cells",Results!$E$5="Million",$B$52="million"),((CG24*CG$51)/(CG$52)),"0")))))</f>
        <v>0</v>
      </c>
      <c r="CH77" s="20" t="str">
        <f>IF(CH24=0,"0",IF(AND(Results!$E$5="Protein",$C$53&gt;0,OR(Results!$E$4="Tissue",Results!$E$4="Cells")),((CH24*CH$51)/(CH$53)),IF(AND(Results!$E$5="Weight",$C$52&gt;0, Results!$E$4="Tissue",OR($B$52="g",$B$52="mg")),((CH24*CH$51)/(CH$52)),IF(AND(Results!$E$5="Volume",$C$54&gt;0,Results!$E$4="Fluid"),((CH24*CH$51)/(CH$54)),IF(AND(Results!$E$4="Cells",Results!$E$5="Million",$B$52="million"),((CH24*CH$51)/(CH$52)),"0")))))</f>
        <v>0</v>
      </c>
      <c r="CI77" s="20" t="str">
        <f>IF(CI24=0,"0",IF(AND(Results!$E$5="Protein",$C$53&gt;0,OR(Results!$E$4="Tissue",Results!$E$4="Cells")),((CI24*CI$51)/(CI$53)),IF(AND(Results!$E$5="Weight",$C$52&gt;0, Results!$E$4="Tissue",OR($B$52="g",$B$52="mg")),((CI24*CI$51)/(CI$52)),IF(AND(Results!$E$5="Volume",$C$54&gt;0,Results!$E$4="Fluid"),((CI24*CI$51)/(CI$54)),IF(AND(Results!$E$4="Cells",Results!$E$5="Million",$B$52="million"),((CI24*CI$51)/(CI$52)),"0")))))</f>
        <v>0</v>
      </c>
      <c r="CJ77" s="20" t="str">
        <f>IF(CJ24=0,"0",IF(AND(Results!$E$5="Protein",$C$53&gt;0,OR(Results!$E$4="Tissue",Results!$E$4="Cells")),((CJ24*CJ$51)/(CJ$53)),IF(AND(Results!$E$5="Weight",$C$52&gt;0, Results!$E$4="Tissue",OR($B$52="g",$B$52="mg")),((CJ24*CJ$51)/(CJ$52)),IF(AND(Results!$E$5="Volume",$C$54&gt;0,Results!$E$4="Fluid"),((CJ24*CJ$51)/(CJ$54)),IF(AND(Results!$E$4="Cells",Results!$E$5="Million",$B$52="million"),((CJ24*CJ$51)/(CJ$52)),"0")))))</f>
        <v>0</v>
      </c>
      <c r="CK77" s="20" t="str">
        <f>IF(CK24=0,"0",IF(AND(Results!$E$5="Protein",$C$53&gt;0,OR(Results!$E$4="Tissue",Results!$E$4="Cells")),((CK24*CK$51)/(CK$53)),IF(AND(Results!$E$5="Weight",$C$52&gt;0, Results!$E$4="Tissue",OR($B$52="g",$B$52="mg")),((CK24*CK$51)/(CK$52)),IF(AND(Results!$E$5="Volume",$C$54&gt;0,Results!$E$4="Fluid"),((CK24*CK$51)/(CK$54)),IF(AND(Results!$E$4="Cells",Results!$E$5="Million",$B$52="million"),((CK24*CK$51)/(CK$52)),"0")))))</f>
        <v>0</v>
      </c>
      <c r="CL77" s="20" t="str">
        <f>IF(CL24=0,"0",IF(AND(Results!$E$5="Protein",$C$53&gt;0,OR(Results!$E$4="Tissue",Results!$E$4="Cells")),((CL24*CL$51)/(CL$53)),IF(AND(Results!$E$5="Weight",$C$52&gt;0, Results!$E$4="Tissue",OR($B$52="g",$B$52="mg")),((CL24*CL$51)/(CL$52)),IF(AND(Results!$E$5="Volume",$C$54&gt;0,Results!$E$4="Fluid"),((CL24*CL$51)/(CL$54)),IF(AND(Results!$E$4="Cells",Results!$E$5="Million",$B$52="million"),((CL24*CL$51)/(CL$52)),"0")))))</f>
        <v>0</v>
      </c>
      <c r="CM77" s="20" t="str">
        <f>IF(CM24=0,"0",IF(AND(Results!$E$5="Protein",$C$53&gt;0,OR(Results!$E$4="Tissue",Results!$E$4="Cells")),((CM24*CM$51)/(CM$53)),IF(AND(Results!$E$5="Weight",$C$52&gt;0, Results!$E$4="Tissue",OR($B$52="g",$B$52="mg")),((CM24*CM$51)/(CM$52)),IF(AND(Results!$E$5="Volume",$C$54&gt;0,Results!$E$4="Fluid"),((CM24*CM$51)/(CM$54)),IF(AND(Results!$E$4="Cells",Results!$E$5="Million",$B$52="million"),((CM24*CM$51)/(CM$52)),"0")))))</f>
        <v>0</v>
      </c>
      <c r="CN77" s="20" t="str">
        <f>IF(CN24=0,"0",IF(AND(Results!$E$5="Protein",$C$53&gt;0,OR(Results!$E$4="Tissue",Results!$E$4="Cells")),((CN24*CN$51)/(CN$53)),IF(AND(Results!$E$5="Weight",$C$52&gt;0, Results!$E$4="Tissue",OR($B$52="g",$B$52="mg")),((CN24*CN$51)/(CN$52)),IF(AND(Results!$E$5="Volume",$C$54&gt;0,Results!$E$4="Fluid"),((CN24*CN$51)/(CN$54)),IF(AND(Results!$E$4="Cells",Results!$E$5="Million",$B$52="million"),((CN24*CN$51)/(CN$52)),"0")))))</f>
        <v>0</v>
      </c>
      <c r="CO77" s="20" t="str">
        <f>IF(CO24=0,"0",IF(AND(Results!$E$5="Protein",$C$53&gt;0,OR(Results!$E$4="Tissue",Results!$E$4="Cells")),((CO24*CO$51)/(CO$53)),IF(AND(Results!$E$5="Weight",$C$52&gt;0, Results!$E$4="Tissue",OR($B$52="g",$B$52="mg")),((CO24*CO$51)/(CO$52)),IF(AND(Results!$E$5="Volume",$C$54&gt;0,Results!$E$4="Fluid"),((CO24*CO$51)/(CO$54)),IF(AND(Results!$E$4="Cells",Results!$E$5="Million",$B$52="million"),((CO24*CO$51)/(CO$52)),"0")))))</f>
        <v>0</v>
      </c>
      <c r="CP77" s="20" t="str">
        <f>IF(CP24=0,"0",IF(AND(Results!$E$5="Protein",$C$53&gt;0,OR(Results!$E$4="Tissue",Results!$E$4="Cells")),((CP24*CP$51)/(CP$53)),IF(AND(Results!$E$5="Weight",$C$52&gt;0, Results!$E$4="Tissue",OR($B$52="g",$B$52="mg")),((CP24*CP$51)/(CP$52)),IF(AND(Results!$E$5="Volume",$C$54&gt;0,Results!$E$4="Fluid"),((CP24*CP$51)/(CP$54)),IF(AND(Results!$E$4="Cells",Results!$E$5="Million",$B$52="million"),((CP24*CP$51)/(CP$52)),"0")))))</f>
        <v>0</v>
      </c>
      <c r="CQ77" s="20" t="str">
        <f>IF(CQ24=0,"0",IF(AND(Results!$E$5="Protein",$C$53&gt;0,OR(Results!$E$4="Tissue",Results!$E$4="Cells")),((CQ24*CQ$51)/(CQ$53)),IF(AND(Results!$E$5="Weight",$C$52&gt;0, Results!$E$4="Tissue",OR($B$52="g",$B$52="mg")),((CQ24*CQ$51)/(CQ$52)),IF(AND(Results!$E$5="Volume",$C$54&gt;0,Results!$E$4="Fluid"),((CQ24*CQ$51)/(CQ$54)),IF(AND(Results!$E$4="Cells",Results!$E$5="Million",$B$52="million"),((CQ24*CQ$51)/(CQ$52)),"0")))))</f>
        <v>0</v>
      </c>
      <c r="CR77" s="20" t="str">
        <f>IF(CR24=0,"0",IF(AND(Results!$E$5="Protein",$C$53&gt;0,OR(Results!$E$4="Tissue",Results!$E$4="Cells")),((CR24*CR$51)/(CR$53)),IF(AND(Results!$E$5="Weight",$C$52&gt;0, Results!$E$4="Tissue",OR($B$52="g",$B$52="mg")),((CR24*CR$51)/(CR$52)),IF(AND(Results!$E$5="Volume",$C$54&gt;0,Results!$E$4="Fluid"),((CR24*CR$51)/(CR$54)),IF(AND(Results!$E$4="Cells",Results!$E$5="Million",$B$52="million"),((CR24*CR$51)/(CR$52)),"0")))))</f>
        <v>0</v>
      </c>
      <c r="CS77" s="20" t="str">
        <f>IF(CS24=0,"0",IF(AND(Results!$E$5="Protein",$C$53&gt;0,OR(Results!$E$4="Tissue",Results!$E$4="Cells")),((CS24*CS$51)/(CS$53)),IF(AND(Results!$E$5="Weight",$C$52&gt;0, Results!$E$4="Tissue",OR($B$52="g",$B$52="mg")),((CS24*CS$51)/(CS$52)),IF(AND(Results!$E$5="Volume",$C$54&gt;0,Results!$E$4="Fluid"),((CS24*CS$51)/(CS$54)),IF(AND(Results!$E$4="Cells",Results!$E$5="Million",$B$52="million"),((CS24*CS$51)/(CS$52)),"0")))))</f>
        <v>0</v>
      </c>
      <c r="CT77" s="20" t="str">
        <f>IF(CT24=0,"0",IF(AND(Results!$E$5="Protein",$C$53&gt;0,OR(Results!$E$4="Tissue",Results!$E$4="Cells")),((CT24*CT$51)/(CT$53)),IF(AND(Results!$E$5="Weight",$C$52&gt;0, Results!$E$4="Tissue",OR($B$52="g",$B$52="mg")),((CT24*CT$51)/(CT$52)),IF(AND(Results!$E$5="Volume",$C$54&gt;0,Results!$E$4="Fluid"),((CT24*CT$51)/(CT$54)),IF(AND(Results!$E$4="Cells",Results!$E$5="Million",$B$52="million"),((CT24*CT$51)/(CT$52)),"0")))))</f>
        <v>0</v>
      </c>
      <c r="CU77" s="20" t="str">
        <f>IF(CU24=0,"0",IF(AND(Results!$E$5="Protein",$C$53&gt;0,OR(Results!$E$4="Tissue",Results!$E$4="Cells")),((CU24*CU$51)/(CU$53)),IF(AND(Results!$E$5="Weight",$C$52&gt;0, Results!$E$4="Tissue",OR($B$52="g",$B$52="mg")),((CU24*CU$51)/(CU$52)),IF(AND(Results!$E$5="Volume",$C$54&gt;0,Results!$E$4="Fluid"),((CU24*CU$51)/(CU$54)),IF(AND(Results!$E$4="Cells",Results!$E$5="Million",$B$52="million"),((CU24*CU$51)/(CU$52)),"0")))))</f>
        <v>0</v>
      </c>
      <c r="CV77" s="20" t="str">
        <f>IF(CV24=0,"0",IF(AND(Results!$E$5="Protein",$C$53&gt;0,OR(Results!$E$4="Tissue",Results!$E$4="Cells")),((CV24*CV$51)/(CV$53)),IF(AND(Results!$E$5="Weight",$C$52&gt;0, Results!$E$4="Tissue",OR($B$52="g",$B$52="mg")),((CV24*CV$51)/(CV$52)),IF(AND(Results!$E$5="Volume",$C$54&gt;0,Results!$E$4="Fluid"),((CV24*CV$51)/(CV$54)),IF(AND(Results!$E$4="Cells",Results!$E$5="Million",$B$52="million"),((CV24*CV$51)/(CV$52)),"0")))))</f>
        <v>0</v>
      </c>
      <c r="CW77" s="20" t="str">
        <f>IF(CW24=0,"0",IF(AND(Results!$E$5="Protein",$C$53&gt;0,OR(Results!$E$4="Tissue",Results!$E$4="Cells")),((CW24*CW$51)/(CW$53)),IF(AND(Results!$E$5="Weight",$C$52&gt;0, Results!$E$4="Tissue",OR($B$52="g",$B$52="mg")),((CW24*CW$51)/(CW$52)),IF(AND(Results!$E$5="Volume",$C$54&gt;0,Results!$E$4="Fluid"),((CW24*CW$51)/(CW$54)),IF(AND(Results!$E$4="Cells",Results!$E$5="Million",$B$52="million"),((CW24*CW$51)/(CW$52)),"0")))))</f>
        <v>0</v>
      </c>
      <c r="CX77" s="20" t="str">
        <f>IF(CX24=0,"0",IF(AND(Results!$E$5="Protein",$C$53&gt;0,OR(Results!$E$4="Tissue",Results!$E$4="Cells")),((CX24*CX$51)/(CX$53)),IF(AND(Results!$E$5="Weight",$C$52&gt;0, Results!$E$4="Tissue",OR($B$52="g",$B$52="mg")),((CX24*CX$51)/(CX$52)),IF(AND(Results!$E$5="Volume",$C$54&gt;0,Results!$E$4="Fluid"),((CX24*CX$51)/(CX$54)),IF(AND(Results!$E$4="Cells",Results!$E$5="Million",$B$52="million"),((CX24*CX$51)/(CX$52)),"0")))))</f>
        <v>0</v>
      </c>
      <c r="CY77" s="20" t="str">
        <f>IF(CY24=0,"0",IF(AND(Results!$E$5="Protein",$C$53&gt;0,OR(Results!$E$4="Tissue",Results!$E$4="Cells")),((CY24*CY$51)/(CY$53)),IF(AND(Results!$E$5="Weight",$C$52&gt;0, Results!$E$4="Tissue",OR($B$52="g",$B$52="mg")),((CY24*CY$51)/(CY$52)),IF(AND(Results!$E$5="Volume",$C$54&gt;0,Results!$E$4="Fluid"),((CY24*CY$51)/(CY$54)),IF(AND(Results!$E$4="Cells",Results!$E$5="Million",$B$52="million"),((CY24*CY$51)/(CY$52)),"0")))))</f>
        <v>0</v>
      </c>
      <c r="CZ77" s="20" t="str">
        <f>IF(CZ24=0,"0",IF(AND(Results!$E$5="Protein",$C$53&gt;0,OR(Results!$E$4="Tissue",Results!$E$4="Cells")),((CZ24*CZ$51)/(CZ$53)),IF(AND(Results!$E$5="Weight",$C$52&gt;0, Results!$E$4="Tissue",OR($B$52="g",$B$52="mg")),((CZ24*CZ$51)/(CZ$52)),IF(AND(Results!$E$5="Volume",$C$54&gt;0,Results!$E$4="Fluid"),((CZ24*CZ$51)/(CZ$54)),IF(AND(Results!$E$4="Cells",Results!$E$5="Million",$B$52="million"),((CZ24*CZ$51)/(CZ$52)),"0")))))</f>
        <v>0</v>
      </c>
      <c r="DA77" s="20" t="str">
        <f>IF(DA24=0,"0",IF(AND(Results!$E$5="Protein",$C$53&gt;0,OR(Results!$E$4="Tissue",Results!$E$4="Cells")),((DA24*DA$51)/(DA$53)),IF(AND(Results!$E$5="Weight",$C$52&gt;0, Results!$E$4="Tissue",OR($B$52="g",$B$52="mg")),((DA24*DA$51)/(DA$52)),IF(AND(Results!$E$5="Volume",$C$54&gt;0,Results!$E$4="Fluid"),((DA24*DA$51)/(DA$54)),IF(AND(Results!$E$4="Cells",Results!$E$5="Million",$B$52="million"),((DA24*DA$51)/(DA$52)),"0")))))</f>
        <v>0</v>
      </c>
      <c r="DB77" s="20" t="str">
        <f>IF(DB24=0,"0",IF(AND(Results!$E$5="Protein",$C$53&gt;0,OR(Results!$E$4="Tissue",Results!$E$4="Cells")),((DB24*DB$51)/(DB$53)),IF(AND(Results!$E$5="Weight",$C$52&gt;0, Results!$E$4="Tissue",OR($B$52="g",$B$52="mg")),((DB24*DB$51)/(DB$52)),IF(AND(Results!$E$5="Volume",$C$54&gt;0,Results!$E$4="Fluid"),((DB24*DB$51)/(DB$54)),IF(AND(Results!$E$4="Cells",Results!$E$5="Million",$B$52="million"),((DB24*DB$51)/(DB$52)),"0")))))</f>
        <v>0</v>
      </c>
      <c r="DC77" s="20" t="str">
        <f>IF(DC24=0,"0",IF(AND(Results!$E$5="Protein",$C$53&gt;0,OR(Results!$E$4="Tissue",Results!$E$4="Cells")),((DC24*DC$51)/(DC$53)),IF(AND(Results!$E$5="Weight",$C$52&gt;0, Results!$E$4="Tissue",OR($B$52="g",$B$52="mg")),((DC24*DC$51)/(DC$52)),IF(AND(Results!$E$5="Volume",$C$54&gt;0,Results!$E$4="Fluid"),((DC24*DC$51)/(DC$54)),IF(AND(Results!$E$4="Cells",Results!$E$5="Million",$B$52="million"),((DC24*DC$51)/(DC$52)),"0")))))</f>
        <v>0</v>
      </c>
      <c r="DD77" s="20" t="str">
        <f>IF(DD24=0,"0",IF(AND(Results!$E$5="Protein",$C$53&gt;0,OR(Results!$E$4="Tissue",Results!$E$4="Cells")),((DD24*DD$51)/(DD$53)),IF(AND(Results!$E$5="Weight",$C$52&gt;0, Results!$E$4="Tissue",OR($B$52="g",$B$52="mg")),((DD24*DD$51)/(DD$52)),IF(AND(Results!$E$5="Volume",$C$54&gt;0,Results!$E$4="Fluid"),((DD24*DD$51)/(DD$54)),IF(AND(Results!$E$4="Cells",Results!$E$5="Million",$B$52="million"),((DD24*DD$51)/(DD$52)),"0")))))</f>
        <v>0</v>
      </c>
      <c r="DE77" s="20" t="str">
        <f>IF(DE24=0,"0",IF(AND(Results!$E$5="Protein",$C$53&gt;0,OR(Results!$E$4="Tissue",Results!$E$4="Cells")),((DE24*DE$51)/(DE$53)),IF(AND(Results!$E$5="Weight",$C$52&gt;0, Results!$E$4="Tissue",OR($B$52="g",$B$52="mg")),((DE24*DE$51)/(DE$52)),IF(AND(Results!$E$5="Volume",$C$54&gt;0,Results!$E$4="Fluid"),((DE24*DE$51)/(DE$54)),IF(AND(Results!$E$4="Cells",Results!$E$5="Million",$B$52="million"),((DE24*DE$51)/(DE$52)),"0")))))</f>
        <v>0</v>
      </c>
      <c r="DF77" s="20" t="str">
        <f>IF(DF24=0,"0",IF(AND(Results!$E$5="Protein",$C$53&gt;0,OR(Results!$E$4="Tissue",Results!$E$4="Cells")),((DF24*DF$51)/(DF$53)),IF(AND(Results!$E$5="Weight",$C$52&gt;0, Results!$E$4="Tissue",OR($B$52="g",$B$52="mg")),((DF24*DF$51)/(DF$52)),IF(AND(Results!$E$5="Volume",$C$54&gt;0,Results!$E$4="Fluid"),((DF24*DF$51)/(DF$54)),IF(AND(Results!$E$4="Cells",Results!$E$5="Million",$B$52="million"),((DF24*DF$51)/(DF$52)),"0")))))</f>
        <v>0</v>
      </c>
      <c r="DG77" s="20" t="str">
        <f>IF(DG24=0,"0",IF(AND(Results!$E$5="Protein",$C$53&gt;0,OR(Results!$E$4="Tissue",Results!$E$4="Cells")),((DG24*DG$51)/(DG$53)),IF(AND(Results!$E$5="Weight",$C$52&gt;0, Results!$E$4="Tissue",OR($B$52="g",$B$52="mg")),((DG24*DG$51)/(DG$52)),IF(AND(Results!$E$5="Volume",$C$54&gt;0,Results!$E$4="Fluid"),((DG24*DG$51)/(DG$54)),IF(AND(Results!$E$4="Cells",Results!$E$5="Million",$B$52="million"),((DG24*DG$51)/(DG$52)),"0")))))</f>
        <v>0</v>
      </c>
      <c r="DH77" s="20" t="str">
        <f>IF(DH24=0,"0",IF(AND(Results!$E$5="Protein",$C$53&gt;0,OR(Results!$E$4="Tissue",Results!$E$4="Cells")),((DH24*DH$51)/(DH$53)),IF(AND(Results!$E$5="Weight",$C$52&gt;0, Results!$E$4="Tissue",OR($B$52="g",$B$52="mg")),((DH24*DH$51)/(DH$52)),IF(AND(Results!$E$5="Volume",$C$54&gt;0,Results!$E$4="Fluid"),((DH24*DH$51)/(DH$54)),IF(AND(Results!$E$4="Cells",Results!$E$5="Million",$B$52="million"),((DH24*DH$51)/(DH$52)),"0")))))</f>
        <v>0</v>
      </c>
      <c r="DI77" s="20" t="str">
        <f>IF(DI24=0,"0",IF(AND(Results!$E$5="Protein",$C$53&gt;0,OR(Results!$E$4="Tissue",Results!$E$4="Cells")),((DI24*DI$51)/(DI$53)),IF(AND(Results!$E$5="Weight",$C$52&gt;0, Results!$E$4="Tissue",OR($B$52="g",$B$52="mg")),((DI24*DI$51)/(DI$52)),IF(AND(Results!$E$5="Volume",$C$54&gt;0,Results!$E$4="Fluid"),((DI24*DI$51)/(DI$54)),IF(AND(Results!$E$4="Cells",Results!$E$5="Million",$B$52="million"),((DI24*DI$51)/(DI$52)),"0")))))</f>
        <v>0</v>
      </c>
      <c r="DJ77" s="20" t="str">
        <f>IF(DJ24=0,"0",IF(AND(Results!$E$5="Protein",$C$53&gt;0,OR(Results!$E$4="Tissue",Results!$E$4="Cells")),((DJ24*DJ$51)/(DJ$53)),IF(AND(Results!$E$5="Weight",$C$52&gt;0, Results!$E$4="Tissue",OR($B$52="g",$B$52="mg")),((DJ24*DJ$51)/(DJ$52)),IF(AND(Results!$E$5="Volume",$C$54&gt;0,Results!$E$4="Fluid"),((DJ24*DJ$51)/(DJ$54)),IF(AND(Results!$E$4="Cells",Results!$E$5="Million",$B$52="million"),((DJ24*DJ$51)/(DJ$52)),"0")))))</f>
        <v>0</v>
      </c>
      <c r="DK77" s="20" t="str">
        <f>IF(DK24=0,"0",IF(AND(Results!$E$5="Protein",$C$53&gt;0,OR(Results!$E$4="Tissue",Results!$E$4="Cells")),((DK24*DK$51)/(DK$53)),IF(AND(Results!$E$5="Weight",$C$52&gt;0, Results!$E$4="Tissue",OR($B$52="g",$B$52="mg")),((DK24*DK$51)/(DK$52)),IF(AND(Results!$E$5="Volume",$C$54&gt;0,Results!$E$4="Fluid"),((DK24*DK$51)/(DK$54)),IF(AND(Results!$E$4="Cells",Results!$E$5="Million",$B$52="million"),((DK24*DK$51)/(DK$52)),"0")))))</f>
        <v>0</v>
      </c>
      <c r="DL77" s="20" t="str">
        <f>IF(DL24=0,"0",IF(AND(Results!$E$5="Protein",$C$53&gt;0,OR(Results!$E$4="Tissue",Results!$E$4="Cells")),((DL24*DL$51)/(DL$53)),IF(AND(Results!$E$5="Weight",$C$52&gt;0, Results!$E$4="Tissue",OR($B$52="g",$B$52="mg")),((DL24*DL$51)/(DL$52)),IF(AND(Results!$E$5="Volume",$C$54&gt;0,Results!$E$4="Fluid"),((DL24*DL$51)/(DL$54)),IF(AND(Results!$E$4="Cells",Results!$E$5="Million",$B$52="million"),((DL24*DL$51)/(DL$52)),"0")))))</f>
        <v>0</v>
      </c>
      <c r="DM77" s="20" t="str">
        <f>IF(DM24=0,"0",IF(AND(Results!$E$5="Protein",$C$53&gt;0,OR(Results!$E$4="Tissue",Results!$E$4="Cells")),((DM24*DM$51)/(DM$53)),IF(AND(Results!$E$5="Weight",$C$52&gt;0, Results!$E$4="Tissue",OR($B$52="g",$B$52="mg")),((DM24*DM$51)/(DM$52)),IF(AND(Results!$E$5="Volume",$C$54&gt;0,Results!$E$4="Fluid"),((DM24*DM$51)/(DM$54)),IF(AND(Results!$E$4="Cells",Results!$E$5="Million",$B$52="million"),((DM24*DM$51)/(DM$52)),"0")))))</f>
        <v>0</v>
      </c>
      <c r="DN77" s="20" t="str">
        <f>IF(DN24=0,"0",IF(AND(Results!$E$5="Protein",$C$53&gt;0,OR(Results!$E$4="Tissue",Results!$E$4="Cells")),((DN24*DN$51)/(DN$53)),IF(AND(Results!$E$5="Weight",$C$52&gt;0, Results!$E$4="Tissue",OR($B$52="g",$B$52="mg")),((DN24*DN$51)/(DN$52)),IF(AND(Results!$E$5="Volume",$C$54&gt;0,Results!$E$4="Fluid"),((DN24*DN$51)/(DN$54)),IF(AND(Results!$E$4="Cells",Results!$E$5="Million",$B$52="million"),((DN24*DN$51)/(DN$52)),"0")))))</f>
        <v>0</v>
      </c>
      <c r="DO77" s="20" t="str">
        <f>IF(DO24=0,"0",IF(AND(Results!$E$5="Protein",$C$53&gt;0,OR(Results!$E$4="Tissue",Results!$E$4="Cells")),((DO24*DO$51)/(DO$53)),IF(AND(Results!$E$5="Weight",$C$52&gt;0, Results!$E$4="Tissue",OR($B$52="g",$B$52="mg")),((DO24*DO$51)/(DO$52)),IF(AND(Results!$E$5="Volume",$C$54&gt;0,Results!$E$4="Fluid"),((DO24*DO$51)/(DO$54)),IF(AND(Results!$E$4="Cells",Results!$E$5="Million",$B$52="million"),((DO24*DO$51)/(DO$52)),"0")))))</f>
        <v>0</v>
      </c>
      <c r="DP77" s="20" t="str">
        <f>IF(DP24=0,"0",IF(AND(Results!$E$5="Protein",$C$53&gt;0,OR(Results!$E$4="Tissue",Results!$E$4="Cells")),((DP24*DP$51)/(DP$53)),IF(AND(Results!$E$5="Weight",$C$52&gt;0, Results!$E$4="Tissue",OR($B$52="g",$B$52="mg")),((DP24*DP$51)/(DP$52)),IF(AND(Results!$E$5="Volume",$C$54&gt;0,Results!$E$4="Fluid"),((DP24*DP$51)/(DP$54)),IF(AND(Results!$E$4="Cells",Results!$E$5="Million",$B$52="million"),((DP24*DP$51)/(DP$52)),"0")))))</f>
        <v>0</v>
      </c>
      <c r="DQ77" s="20" t="str">
        <f>IF(DQ24=0,"0",IF(AND(Results!$E$5="Protein",$C$53&gt;0,OR(Results!$E$4="Tissue",Results!$E$4="Cells")),((DQ24*DQ$51)/(DQ$53)),IF(AND(Results!$E$5="Weight",$C$52&gt;0, Results!$E$4="Tissue",OR($B$52="g",$B$52="mg")),((DQ24*DQ$51)/(DQ$52)),IF(AND(Results!$E$5="Volume",$C$54&gt;0,Results!$E$4="Fluid"),((DQ24*DQ$51)/(DQ$54)),IF(AND(Results!$E$4="Cells",Results!$E$5="Million",$B$52="million"),((DQ24*DQ$51)/(DQ$52)),"0")))))</f>
        <v>0</v>
      </c>
      <c r="DR77" s="20" t="str">
        <f>IF(DR24=0,"0",IF(AND(Results!$E$5="Protein",$C$53&gt;0,OR(Results!$E$4="Tissue",Results!$E$4="Cells")),((DR24*DR$51)/(DR$53)),IF(AND(Results!$E$5="Weight",$C$52&gt;0, Results!$E$4="Tissue",OR($B$52="g",$B$52="mg")),((DR24*DR$51)/(DR$52)),IF(AND(Results!$E$5="Volume",$C$54&gt;0,Results!$E$4="Fluid"),((DR24*DR$51)/(DR$54)),IF(AND(Results!$E$4="Cells",Results!$E$5="Million",$B$52="million"),((DR24*DR$51)/(DR$52)),"0")))))</f>
        <v>0</v>
      </c>
      <c r="DS77" s="20" t="str">
        <f>IF(DS24=0,"0",IF(AND(Results!$E$5="Protein",$C$53&gt;0,OR(Results!$E$4="Tissue",Results!$E$4="Cells")),((DS24*DS$51)/(DS$53)),IF(AND(Results!$E$5="Weight",$C$52&gt;0, Results!$E$4="Tissue",OR($B$52="g",$B$52="mg")),((DS24*DS$51)/(DS$52)),IF(AND(Results!$E$5="Volume",$C$54&gt;0,Results!$E$4="Fluid"),((DS24*DS$51)/(DS$54)),IF(AND(Results!$E$4="Cells",Results!$E$5="Million",$B$52="million"),((DS24*DS$51)/(DS$52)),"0")))))</f>
        <v>0</v>
      </c>
      <c r="DT77" s="20" t="str">
        <f>IF(DT24=0,"0",IF(AND(Results!$E$5="Protein",$C$53&gt;0,OR(Results!$E$4="Tissue",Results!$E$4="Cells")),((DT24*DT$51)/(DT$53)),IF(AND(Results!$E$5="Weight",$C$52&gt;0, Results!$E$4="Tissue",OR($B$52="g",$B$52="mg")),((DT24*DT$51)/(DT$52)),IF(AND(Results!$E$5="Volume",$C$54&gt;0,Results!$E$4="Fluid"),((DT24*DT$51)/(DT$54)),IF(AND(Results!$E$4="Cells",Results!$E$5="Million",$B$52="million"),((DT24*DT$51)/(DT$52)),"0")))))</f>
        <v>0</v>
      </c>
      <c r="DU77" s="20" t="str">
        <f>IF(DU24=0,"0",IF(AND(Results!$E$5="Protein",$C$53&gt;0,OR(Results!$E$4="Tissue",Results!$E$4="Cells")),((DU24*DU$51)/(DU$53)),IF(AND(Results!$E$5="Weight",$C$52&gt;0, Results!$E$4="Tissue",OR($B$52="g",$B$52="mg")),((DU24*DU$51)/(DU$52)),IF(AND(Results!$E$5="Volume",$C$54&gt;0,Results!$E$4="Fluid"),((DU24*DU$51)/(DU$54)),IF(AND(Results!$E$4="Cells",Results!$E$5="Million",$B$52="million"),((DU24*DU$51)/(DU$52)),"0")))))</f>
        <v>0</v>
      </c>
      <c r="DV77" s="20" t="str">
        <f>IF(DV24=0,"0",IF(AND(Results!$E$5="Protein",$C$53&gt;0,OR(Results!$E$4="Tissue",Results!$E$4="Cells")),((DV24*DV$51)/(DV$53)),IF(AND(Results!$E$5="Weight",$C$52&gt;0, Results!$E$4="Tissue",OR($B$52="g",$B$52="mg")),((DV24*DV$51)/(DV$52)),IF(AND(Results!$E$5="Volume",$C$54&gt;0,Results!$E$4="Fluid"),((DV24*DV$51)/(DV$54)),IF(AND(Results!$E$4="Cells",Results!$E$5="Million",$B$52="million"),((DV24*DV$51)/(DV$52)),"0")))))</f>
        <v>0</v>
      </c>
      <c r="DW77" s="20" t="str">
        <f>IF(DW24=0,"0",IF(AND(Results!$E$5="Protein",$C$53&gt;0,OR(Results!$E$4="Tissue",Results!$E$4="Cells")),((DW24*DW$51)/(DW$53)),IF(AND(Results!$E$5="Weight",$C$52&gt;0, Results!$E$4="Tissue",OR($B$52="g",$B$52="mg")),((DW24*DW$51)/(DW$52)),IF(AND(Results!$E$5="Volume",$C$54&gt;0,Results!$E$4="Fluid"),((DW24*DW$51)/(DW$54)),IF(AND(Results!$E$4="Cells",Results!$E$5="Million",$B$52="million"),((DW24*DW$51)/(DW$52)),"0")))))</f>
        <v>0</v>
      </c>
      <c r="DX77" s="20" t="str">
        <f>IF(DX24=0,"0",IF(AND(Results!$E$5="Protein",$C$53&gt;0,OR(Results!$E$4="Tissue",Results!$E$4="Cells")),((DX24*DX$51)/(DX$53)),IF(AND(Results!$E$5="Weight",$C$52&gt;0, Results!$E$4="Tissue",OR($B$52="g",$B$52="mg")),((DX24*DX$51)/(DX$52)),IF(AND(Results!$E$5="Volume",$C$54&gt;0,Results!$E$4="Fluid"),((DX24*DX$51)/(DX$54)),IF(AND(Results!$E$4="Cells",Results!$E$5="Million",$B$52="million"),((DX24*DX$51)/(DX$52)),"0")))))</f>
        <v>0</v>
      </c>
      <c r="DY77" s="20" t="str">
        <f>IF(DY24=0,"0",IF(AND(Results!$E$5="Protein",$C$53&gt;0,OR(Results!$E$4="Tissue",Results!$E$4="Cells")),((DY24*DY$51)/(DY$53)),IF(AND(Results!$E$5="Weight",$C$52&gt;0, Results!$E$4="Tissue",OR($B$52="g",$B$52="mg")),((DY24*DY$51)/(DY$52)),IF(AND(Results!$E$5="Volume",$C$54&gt;0,Results!$E$4="Fluid"),((DY24*DY$51)/(DY$54)),IF(AND(Results!$E$4="Cells",Results!$E$5="Million",$B$52="million"),((DY24*DY$51)/(DY$52)),"0")))))</f>
        <v>0</v>
      </c>
      <c r="DZ77" s="20" t="str">
        <f>IF(DZ24=0,"0",IF(AND(Results!$E$5="Protein",$C$53&gt;0,OR(Results!$E$4="Tissue",Results!$E$4="Cells")),((DZ24*DZ$51)/(DZ$53)),IF(AND(Results!$E$5="Weight",$C$52&gt;0, Results!$E$4="Tissue",OR($B$52="g",$B$52="mg")),((DZ24*DZ$51)/(DZ$52)),IF(AND(Results!$E$5="Volume",$C$54&gt;0,Results!$E$4="Fluid"),((DZ24*DZ$51)/(DZ$54)),IF(AND(Results!$E$4="Cells",Results!$E$5="Million",$B$52="million"),((DZ24*DZ$51)/(DZ$52)),"0")))))</f>
        <v>0</v>
      </c>
      <c r="EA77" s="20" t="str">
        <f>IF(EA24=0,"0",IF(AND(Results!$E$5="Protein",$C$53&gt;0,OR(Results!$E$4="Tissue",Results!$E$4="Cells")),((EA24*EA$51)/(EA$53)),IF(AND(Results!$E$5="Weight",$C$52&gt;0, Results!$E$4="Tissue",OR($B$52="g",$B$52="mg")),((EA24*EA$51)/(EA$52)),IF(AND(Results!$E$5="Volume",$C$54&gt;0,Results!$E$4="Fluid"),((EA24*EA$51)/(EA$54)),IF(AND(Results!$E$4="Cells",Results!$E$5="Million",$B$52="million"),((EA24*EA$51)/(EA$52)),"0")))))</f>
        <v>0</v>
      </c>
      <c r="EB77" s="20" t="str">
        <f>IF(EB24=0,"0",IF(AND(Results!$E$5="Protein",$C$53&gt;0,OR(Results!$E$4="Tissue",Results!$E$4="Cells")),((EB24*EB$51)/(EB$53)),IF(AND(Results!$E$5="Weight",$C$52&gt;0, Results!$E$4="Tissue",OR($B$52="g",$B$52="mg")),((EB24*EB$51)/(EB$52)),IF(AND(Results!$E$5="Volume",$C$54&gt;0,Results!$E$4="Fluid"),((EB24*EB$51)/(EB$54)),IF(AND(Results!$E$4="Cells",Results!$E$5="Million",$B$52="million"),((EB24*EB$51)/(EB$52)),"0")))))</f>
        <v>0</v>
      </c>
      <c r="EC77" s="20" t="str">
        <f>IF(EC24=0,"0",IF(AND(Results!$E$5="Protein",$C$53&gt;0,OR(Results!$E$4="Tissue",Results!$E$4="Cells")),((EC24*EC$51)/(EC$53)),IF(AND(Results!$E$5="Weight",$C$52&gt;0, Results!$E$4="Tissue",OR($B$52="g",$B$52="mg")),((EC24*EC$51)/(EC$52)),IF(AND(Results!$E$5="Volume",$C$54&gt;0,Results!$E$4="Fluid"),((EC24*EC$51)/(EC$54)),IF(AND(Results!$E$4="Cells",Results!$E$5="Million",$B$52="million"),((EC24*EC$51)/(EC$52)),"0")))))</f>
        <v>0</v>
      </c>
      <c r="ED77" s="20" t="str">
        <f>IF(ED24=0,"0",IF(AND(Results!$E$5="Protein",$C$53&gt;0,OR(Results!$E$4="Tissue",Results!$E$4="Cells")),((ED24*ED$51)/(ED$53)),IF(AND(Results!$E$5="Weight",$C$52&gt;0, Results!$E$4="Tissue",OR($B$52="g",$B$52="mg")),((ED24*ED$51)/(ED$52)),IF(AND(Results!$E$5="Volume",$C$54&gt;0,Results!$E$4="Fluid"),((ED24*ED$51)/(ED$54)),IF(AND(Results!$E$4="Cells",Results!$E$5="Million",$B$52="million"),((ED24*ED$51)/(ED$52)),"0")))))</f>
        <v>0</v>
      </c>
      <c r="EE77" s="20" t="str">
        <f>IF(EE24=0,"0",IF(AND(Results!$E$5="Protein",$C$53&gt;0,OR(Results!$E$4="Tissue",Results!$E$4="Cells")),((EE24*EE$51)/(EE$53)),IF(AND(Results!$E$5="Weight",$C$52&gt;0, Results!$E$4="Tissue",OR($B$52="g",$B$52="mg")),((EE24*EE$51)/(EE$52)),IF(AND(Results!$E$5="Volume",$C$54&gt;0,Results!$E$4="Fluid"),((EE24*EE$51)/(EE$54)),IF(AND(Results!$E$4="Cells",Results!$E$5="Million",$B$52="million"),((EE24*EE$51)/(EE$52)),"0")))))</f>
        <v>0</v>
      </c>
      <c r="EF77" s="20" t="str">
        <f>IF(EF24=0,"0",IF(AND(Results!$E$5="Protein",$C$53&gt;0,OR(Results!$E$4="Tissue",Results!$E$4="Cells")),((EF24*EF$51)/(EF$53)),IF(AND(Results!$E$5="Weight",$C$52&gt;0, Results!$E$4="Tissue",OR($B$52="g",$B$52="mg")),((EF24*EF$51)/(EF$52)),IF(AND(Results!$E$5="Volume",$C$54&gt;0,Results!$E$4="Fluid"),((EF24*EF$51)/(EF$54)),IF(AND(Results!$E$4="Cells",Results!$E$5="Million",$B$52="million"),((EF24*EF$51)/(EF$52)),"0")))))</f>
        <v>0</v>
      </c>
      <c r="EG77" s="20" t="str">
        <f>IF(EG24=0,"0",IF(AND(Results!$E$5="Protein",$C$53&gt;0,OR(Results!$E$4="Tissue",Results!$E$4="Cells")),((EG24*EG$51)/(EG$53)),IF(AND(Results!$E$5="Weight",$C$52&gt;0, Results!$E$4="Tissue",OR($B$52="g",$B$52="mg")),((EG24*EG$51)/(EG$52)),IF(AND(Results!$E$5="Volume",$C$54&gt;0,Results!$E$4="Fluid"),((EG24*EG$51)/(EG$54)),IF(AND(Results!$E$4="Cells",Results!$E$5="Million",$B$52="million"),((EG24*EG$51)/(EG$52)),"0")))))</f>
        <v>0</v>
      </c>
      <c r="EH77" s="20" t="str">
        <f>IF(EH24=0,"0",IF(AND(Results!$E$5="Protein",$C$53&gt;0,OR(Results!$E$4="Tissue",Results!$E$4="Cells")),((EH24*EH$51)/(EH$53)),IF(AND(Results!$E$5="Weight",$C$52&gt;0, Results!$E$4="Tissue",OR($B$52="g",$B$52="mg")),((EH24*EH$51)/(EH$52)),IF(AND(Results!$E$5="Volume",$C$54&gt;0,Results!$E$4="Fluid"),((EH24*EH$51)/(EH$54)),IF(AND(Results!$E$4="Cells",Results!$E$5="Million",$B$52="million"),((EH24*EH$51)/(EH$52)),"0")))))</f>
        <v>0</v>
      </c>
      <c r="EI77" s="20" t="str">
        <f>IF(EI24=0,"0",IF(AND(Results!$E$5="Protein",$C$53&gt;0,OR(Results!$E$4="Tissue",Results!$E$4="Cells")),((EI24*EI$51)/(EI$53)),IF(AND(Results!$E$5="Weight",$C$52&gt;0, Results!$E$4="Tissue",OR($B$52="g",$B$52="mg")),((EI24*EI$51)/(EI$52)),IF(AND(Results!$E$5="Volume",$C$54&gt;0,Results!$E$4="Fluid"),((EI24*EI$51)/(EI$54)),IF(AND(Results!$E$4="Cells",Results!$E$5="Million",$B$52="million"),((EI24*EI$51)/(EI$52)),"0")))))</f>
        <v>0</v>
      </c>
      <c r="EJ77" s="20" t="str">
        <f>IF(EJ24=0,"0",IF(AND(Results!$E$5="Protein",$C$53&gt;0,OR(Results!$E$4="Tissue",Results!$E$4="Cells")),((EJ24*EJ$51)/(EJ$53)),IF(AND(Results!$E$5="Weight",$C$52&gt;0, Results!$E$4="Tissue",OR($B$52="g",$B$52="mg")),((EJ24*EJ$51)/(EJ$52)),IF(AND(Results!$E$5="Volume",$C$54&gt;0,Results!$E$4="Fluid"),((EJ24*EJ$51)/(EJ$54)),IF(AND(Results!$E$4="Cells",Results!$E$5="Million",$B$52="million"),((EJ24*EJ$51)/(EJ$52)),"0")))))</f>
        <v>0</v>
      </c>
      <c r="EK77" s="20" t="str">
        <f>IF(EK24=0,"0",IF(AND(Results!$E$5="Protein",$C$53&gt;0,OR(Results!$E$4="Tissue",Results!$E$4="Cells")),((EK24*EK$51)/(EK$53)),IF(AND(Results!$E$5="Weight",$C$52&gt;0, Results!$E$4="Tissue",OR($B$52="g",$B$52="mg")),((EK24*EK$51)/(EK$52)),IF(AND(Results!$E$5="Volume",$C$54&gt;0,Results!$E$4="Fluid"),((EK24*EK$51)/(EK$54)),IF(AND(Results!$E$4="Cells",Results!$E$5="Million",$B$52="million"),((EK24*EK$51)/(EK$52)),"0")))))</f>
        <v>0</v>
      </c>
      <c r="EL77" s="20" t="str">
        <f>IF(EL24=0,"0",IF(AND(Results!$E$5="Protein",$C$53&gt;0,OR(Results!$E$4="Tissue",Results!$E$4="Cells")),((EL24*EL$51)/(EL$53)),IF(AND(Results!$E$5="Weight",$C$52&gt;0, Results!$E$4="Tissue",OR($B$52="g",$B$52="mg")),((EL24*EL$51)/(EL$52)),IF(AND(Results!$E$5="Volume",$C$54&gt;0,Results!$E$4="Fluid"),((EL24*EL$51)/(EL$54)),IF(AND(Results!$E$4="Cells",Results!$E$5="Million",$B$52="million"),((EL24*EL$51)/(EL$52)),"0")))))</f>
        <v>0</v>
      </c>
      <c r="EM77" s="20" t="str">
        <f>IF(EM24=0,"0",IF(AND(Results!$E$5="Protein",$C$53&gt;0,OR(Results!$E$4="Tissue",Results!$E$4="Cells")),((EM24*EM$51)/(EM$53)),IF(AND(Results!$E$5="Weight",$C$52&gt;0, Results!$E$4="Tissue",OR($B$52="g",$B$52="mg")),((EM24*EM$51)/(EM$52)),IF(AND(Results!$E$5="Volume",$C$54&gt;0,Results!$E$4="Fluid"),((EM24*EM$51)/(EM$54)),IF(AND(Results!$E$4="Cells",Results!$E$5="Million",$B$52="million"),((EM24*EM$51)/(EM$52)),"0")))))</f>
        <v>0</v>
      </c>
      <c r="EN77" s="20" t="str">
        <f>IF(EN24=0,"0",IF(AND(Results!$E$5="Protein",$C$53&gt;0,OR(Results!$E$4="Tissue",Results!$E$4="Cells")),((EN24*EN$51)/(EN$53)),IF(AND(Results!$E$5="Weight",$C$52&gt;0, Results!$E$4="Tissue",OR($B$52="g",$B$52="mg")),((EN24*EN$51)/(EN$52)),IF(AND(Results!$E$5="Volume",$C$54&gt;0,Results!$E$4="Fluid"),((EN24*EN$51)/(EN$54)),IF(AND(Results!$E$4="Cells",Results!$E$5="Million",$B$52="million"),((EN24*EN$51)/(EN$52)),"0")))))</f>
        <v>0</v>
      </c>
      <c r="EO77" s="20" t="str">
        <f>IF(EO24=0,"0",IF(AND(Results!$E$5="Protein",$C$53&gt;0,OR(Results!$E$4="Tissue",Results!$E$4="Cells")),((EO24*EO$51)/(EO$53)),IF(AND(Results!$E$5="Weight",$C$52&gt;0, Results!$E$4="Tissue",OR($B$52="g",$B$52="mg")),((EO24*EO$51)/(EO$52)),IF(AND(Results!$E$5="Volume",$C$54&gt;0,Results!$E$4="Fluid"),((EO24*EO$51)/(EO$54)),IF(AND(Results!$E$4="Cells",Results!$E$5="Million",$B$52="million"),((EO24*EO$51)/(EO$52)),"0")))))</f>
        <v>0</v>
      </c>
      <c r="EP77" s="20" t="str">
        <f>IF(EP24=0,"0",IF(AND(Results!$E$5="Protein",$C$53&gt;0,OR(Results!$E$4="Tissue",Results!$E$4="Cells")),((EP24*EP$51)/(EP$53)),IF(AND(Results!$E$5="Weight",$C$52&gt;0, Results!$E$4="Tissue",OR($B$52="g",$B$52="mg")),((EP24*EP$51)/(EP$52)),IF(AND(Results!$E$5="Volume",$C$54&gt;0,Results!$E$4="Fluid"),((EP24*EP$51)/(EP$54)),IF(AND(Results!$E$4="Cells",Results!$E$5="Million",$B$52="million"),((EP24*EP$51)/(EP$52)),"0")))))</f>
        <v>0</v>
      </c>
      <c r="EQ77" s="20" t="str">
        <f>IF(EQ24=0,"0",IF(AND(Results!$E$5="Protein",$C$53&gt;0,OR(Results!$E$4="Tissue",Results!$E$4="Cells")),((EQ24*EQ$51)/(EQ$53)),IF(AND(Results!$E$5="Weight",$C$52&gt;0, Results!$E$4="Tissue",OR($B$52="g",$B$52="mg")),((EQ24*EQ$51)/(EQ$52)),IF(AND(Results!$E$5="Volume",$C$54&gt;0,Results!$E$4="Fluid"),((EQ24*EQ$51)/(EQ$54)),IF(AND(Results!$E$4="Cells",Results!$E$5="Million",$B$52="million"),((EQ24*EQ$51)/(EQ$52)),"0")))))</f>
        <v>0</v>
      </c>
      <c r="ER77" s="20" t="str">
        <f>IF(ER24=0,"0",IF(AND(Results!$E$5="Protein",$C$53&gt;0,OR(Results!$E$4="Tissue",Results!$E$4="Cells")),((ER24*ER$51)/(ER$53)),IF(AND(Results!$E$5="Weight",$C$52&gt;0, Results!$E$4="Tissue",OR($B$52="g",$B$52="mg")),((ER24*ER$51)/(ER$52)),IF(AND(Results!$E$5="Volume",$C$54&gt;0,Results!$E$4="Fluid"),((ER24*ER$51)/(ER$54)),IF(AND(Results!$E$4="Cells",Results!$E$5="Million",$B$52="million"),((ER24*ER$51)/(ER$52)),"0")))))</f>
        <v>0</v>
      </c>
      <c r="ES77" s="20" t="str">
        <f>IF(ES24=0,"0",IF(AND(Results!$E$5="Protein",$C$53&gt;0,OR(Results!$E$4="Tissue",Results!$E$4="Cells")),((ES24*ES$51)/(ES$53)),IF(AND(Results!$E$5="Weight",$C$52&gt;0, Results!$E$4="Tissue",OR($B$52="g",$B$52="mg")),((ES24*ES$51)/(ES$52)),IF(AND(Results!$E$5="Volume",$C$54&gt;0,Results!$E$4="Fluid"),((ES24*ES$51)/(ES$54)),IF(AND(Results!$E$4="Cells",Results!$E$5="Million",$B$52="million"),((ES24*ES$51)/(ES$52)),"0")))))</f>
        <v>0</v>
      </c>
      <c r="ET77" s="20" t="str">
        <f>IF(ET24=0,"0",IF(AND(Results!$E$5="Protein",$C$53&gt;0,OR(Results!$E$4="Tissue",Results!$E$4="Cells")),((ET24*ET$51)/(ET$53)),IF(AND(Results!$E$5="Weight",$C$52&gt;0, Results!$E$4="Tissue",OR($B$52="g",$B$52="mg")),((ET24*ET$51)/(ET$52)),IF(AND(Results!$E$5="Volume",$C$54&gt;0,Results!$E$4="Fluid"),((ET24*ET$51)/(ET$54)),IF(AND(Results!$E$4="Cells",Results!$E$5="Million",$B$52="million"),((ET24*ET$51)/(ET$52)),"0")))))</f>
        <v>0</v>
      </c>
      <c r="EU77" s="20" t="str">
        <f>IF(EU24=0,"0",IF(AND(Results!$E$5="Protein",$C$53&gt;0,OR(Results!$E$4="Tissue",Results!$E$4="Cells")),((EU24*EU$51)/(EU$53)),IF(AND(Results!$E$5="Weight",$C$52&gt;0, Results!$E$4="Tissue",OR($B$52="g",$B$52="mg")),((EU24*EU$51)/(EU$52)),IF(AND(Results!$E$5="Volume",$C$54&gt;0,Results!$E$4="Fluid"),((EU24*EU$51)/(EU$54)),IF(AND(Results!$E$4="Cells",Results!$E$5="Million",$B$52="million"),((EU24*EU$51)/(EU$52)),"0")))))</f>
        <v>0</v>
      </c>
      <c r="EV77" s="20" t="str">
        <f>IF(EV24=0,"0",IF(AND(Results!$E$5="Protein",$C$53&gt;0,OR(Results!$E$4="Tissue",Results!$E$4="Cells")),((EV24*EV$51)/(EV$53)),IF(AND(Results!$E$5="Weight",$C$52&gt;0, Results!$E$4="Tissue",OR($B$52="g",$B$52="mg")),((EV24*EV$51)/(EV$52)),IF(AND(Results!$E$5="Volume",$C$54&gt;0,Results!$E$4="Fluid"),((EV24*EV$51)/(EV$54)),IF(AND(Results!$E$4="Cells",Results!$E$5="Million",$B$52="million"),((EV24*EV$51)/(EV$52)),"0")))))</f>
        <v>0</v>
      </c>
      <c r="EW77" s="20" t="str">
        <f>IF(EW24=0,"0",IF(AND(Results!$E$5="Protein",$C$53&gt;0,OR(Results!$E$4="Tissue",Results!$E$4="Cells")),((EW24*EW$51)/(EW$53)),IF(AND(Results!$E$5="Weight",$C$52&gt;0, Results!$E$4="Tissue",OR($B$52="g",$B$52="mg")),((EW24*EW$51)/(EW$52)),IF(AND(Results!$E$5="Volume",$C$54&gt;0,Results!$E$4="Fluid"),((EW24*EW$51)/(EW$54)),IF(AND(Results!$E$4="Cells",Results!$E$5="Million",$B$52="million"),((EW24*EW$51)/(EW$52)),"0")))))</f>
        <v>0</v>
      </c>
      <c r="EX77" s="20" t="str">
        <f>IF(EX24=0,"0",IF(AND(Results!$E$5="Protein",$C$53&gt;0,OR(Results!$E$4="Tissue",Results!$E$4="Cells")),((EX24*EX$51)/(EX$53)),IF(AND(Results!$E$5="Weight",$C$52&gt;0, Results!$E$4="Tissue",OR($B$52="g",$B$52="mg")),((EX24*EX$51)/(EX$52)),IF(AND(Results!$E$5="Volume",$C$54&gt;0,Results!$E$4="Fluid"),((EX24*EX$51)/(EX$54)),IF(AND(Results!$E$4="Cells",Results!$E$5="Million",$B$52="million"),((EX24*EX$51)/(EX$52)),"0")))))</f>
        <v>0</v>
      </c>
      <c r="EY77" s="20" t="str">
        <f>IF(EY24=0,"0",IF(AND(Results!$E$5="Protein",$C$53&gt;0,OR(Results!$E$4="Tissue",Results!$E$4="Cells")),((EY24*EY$51)/(EY$53)),IF(AND(Results!$E$5="Weight",$C$52&gt;0, Results!$E$4="Tissue",OR($B$52="g",$B$52="mg")),((EY24*EY$51)/(EY$52)),IF(AND(Results!$E$5="Volume",$C$54&gt;0,Results!$E$4="Fluid"),((EY24*EY$51)/(EY$54)),IF(AND(Results!$E$4="Cells",Results!$E$5="Million",$B$52="million"),((EY24*EY$51)/(EY$52)),"0")))))</f>
        <v>0</v>
      </c>
      <c r="EZ77" s="20" t="str">
        <f>IF(EZ24=0,"0",IF(AND(Results!$E$5="Protein",$C$53&gt;0,OR(Results!$E$4="Tissue",Results!$E$4="Cells")),((EZ24*EZ$51)/(EZ$53)),IF(AND(Results!$E$5="Weight",$C$52&gt;0, Results!$E$4="Tissue",OR($B$52="g",$B$52="mg")),((EZ24*EZ$51)/(EZ$52)),IF(AND(Results!$E$5="Volume",$C$54&gt;0,Results!$E$4="Fluid"),((EZ24*EZ$51)/(EZ$54)),IF(AND(Results!$E$4="Cells",Results!$E$5="Million",$B$52="million"),((EZ24*EZ$51)/(EZ$52)),"0")))))</f>
        <v>0</v>
      </c>
      <c r="FA77" s="20" t="str">
        <f>IF(FA24=0,"0",IF(AND(Results!$E$5="Protein",$C$53&gt;0,OR(Results!$E$4="Tissue",Results!$E$4="Cells")),((FA24*FA$51)/(FA$53)),IF(AND(Results!$E$5="Weight",$C$52&gt;0, Results!$E$4="Tissue",OR($B$52="g",$B$52="mg")),((FA24*FA$51)/(FA$52)),IF(AND(Results!$E$5="Volume",$C$54&gt;0,Results!$E$4="Fluid"),((FA24*FA$51)/(FA$54)),IF(AND(Results!$E$4="Cells",Results!$E$5="Million",$B$52="million"),((FA24*FA$51)/(FA$52)),"0")))))</f>
        <v>0</v>
      </c>
      <c r="FB77" s="20" t="str">
        <f>IF(FB24=0,"0",IF(AND(Results!$E$5="Protein",$C$53&gt;0,OR(Results!$E$4="Tissue",Results!$E$4="Cells")),((FB24*FB$51)/(FB$53)),IF(AND(Results!$E$5="Weight",$C$52&gt;0, Results!$E$4="Tissue",OR($B$52="g",$B$52="mg")),((FB24*FB$51)/(FB$52)),IF(AND(Results!$E$5="Volume",$C$54&gt;0,Results!$E$4="Fluid"),((FB24*FB$51)/(FB$54)),IF(AND(Results!$E$4="Cells",Results!$E$5="Million",$B$52="million"),((FB24*FB$51)/(FB$52)),"0")))))</f>
        <v>0</v>
      </c>
      <c r="FC77" s="20" t="str">
        <f>IF(FC24=0,"0",IF(AND(Results!$E$5="Protein",$C$53&gt;0,OR(Results!$E$4="Tissue",Results!$E$4="Cells")),((FC24*FC$51)/(FC$53)),IF(AND(Results!$E$5="Weight",$C$52&gt;0, Results!$E$4="Tissue",OR($B$52="g",$B$52="mg")),((FC24*FC$51)/(FC$52)),IF(AND(Results!$E$5="Volume",$C$54&gt;0,Results!$E$4="Fluid"),((FC24*FC$51)/(FC$54)),IF(AND(Results!$E$4="Cells",Results!$E$5="Million",$B$52="million"),((FC24*FC$51)/(FC$52)),"0")))))</f>
        <v>0</v>
      </c>
      <c r="FD77" s="20" t="str">
        <f>IF(FD24=0,"0",IF(AND(Results!$E$5="Protein",$C$53&gt;0,OR(Results!$E$4="Tissue",Results!$E$4="Cells")),((FD24*FD$51)/(FD$53)),IF(AND(Results!$E$5="Weight",$C$52&gt;0, Results!$E$4="Tissue",OR($B$52="g",$B$52="mg")),((FD24*FD$51)/(FD$52)),IF(AND(Results!$E$5="Volume",$C$54&gt;0,Results!$E$4="Fluid"),((FD24*FD$51)/(FD$54)),IF(AND(Results!$E$4="Cells",Results!$E$5="Million",$B$52="million"),((FD24*FD$51)/(FD$52)),"0")))))</f>
        <v>0</v>
      </c>
      <c r="FE77" s="20" t="str">
        <f>IF(FE24=0,"0",IF(AND(Results!$E$5="Protein",$C$53&gt;0,OR(Results!$E$4="Tissue",Results!$E$4="Cells")),((FE24*FE$51)/(FE$53)),IF(AND(Results!$E$5="Weight",$C$52&gt;0, Results!$E$4="Tissue",OR($B$52="g",$B$52="mg")),((FE24*FE$51)/(FE$52)),IF(AND(Results!$E$5="Volume",$C$54&gt;0,Results!$E$4="Fluid"),((FE24*FE$51)/(FE$54)),IF(AND(Results!$E$4="Cells",Results!$E$5="Million",$B$52="million"),((FE24*FE$51)/(FE$52)),"0")))))</f>
        <v>0</v>
      </c>
      <c r="FF77" s="20" t="str">
        <f>IF(FF24=0,"0",IF(AND(Results!$E$5="Protein",$C$53&gt;0,OR(Results!$E$4="Tissue",Results!$E$4="Cells")),((FF24*FF$51)/(FF$53)),IF(AND(Results!$E$5="Weight",$C$52&gt;0, Results!$E$4="Tissue",OR($B$52="g",$B$52="mg")),((FF24*FF$51)/(FF$52)),IF(AND(Results!$E$5="Volume",$C$54&gt;0,Results!$E$4="Fluid"),((FF24*FF$51)/(FF$54)),IF(AND(Results!$E$4="Cells",Results!$E$5="Million",$B$52="million"),((FF24*FF$51)/(FF$52)),"0")))))</f>
        <v>0</v>
      </c>
      <c r="FG77" s="20" t="str">
        <f>IF(FG24=0,"0",IF(AND(Results!$E$5="Protein",$C$53&gt;0,OR(Results!$E$4="Tissue",Results!$E$4="Cells")),((FG24*FG$51)/(FG$53)),IF(AND(Results!$E$5="Weight",$C$52&gt;0, Results!$E$4="Tissue",OR($B$52="g",$B$52="mg")),((FG24*FG$51)/(FG$52)),IF(AND(Results!$E$5="Volume",$C$54&gt;0,Results!$E$4="Fluid"),((FG24*FG$51)/(FG$54)),IF(AND(Results!$E$4="Cells",Results!$E$5="Million",$B$52="million"),((FG24*FG$51)/(FG$52)),"0")))))</f>
        <v>0</v>
      </c>
      <c r="FH77" s="20" t="str">
        <f>IF(FH24=0,"0",IF(AND(Results!$E$5="Protein",$C$53&gt;0,OR(Results!$E$4="Tissue",Results!$E$4="Cells")),((FH24*FH$51)/(FH$53)),IF(AND(Results!$E$5="Weight",$C$52&gt;0, Results!$E$4="Tissue",OR($B$52="g",$B$52="mg")),((FH24*FH$51)/(FH$52)),IF(AND(Results!$E$5="Volume",$C$54&gt;0,Results!$E$4="Fluid"),((FH24*FH$51)/(FH$54)),IF(AND(Results!$E$4="Cells",Results!$E$5="Million",$B$52="million"),((FH24*FH$51)/(FH$52)),"0")))))</f>
        <v>0</v>
      </c>
      <c r="FI77" s="20" t="str">
        <f>IF(FI24=0,"0",IF(AND(Results!$E$5="Protein",$C$53&gt;0,OR(Results!$E$4="Tissue",Results!$E$4="Cells")),((FI24*FI$51)/(FI$53)),IF(AND(Results!$E$5="Weight",$C$52&gt;0, Results!$E$4="Tissue",OR($B$52="g",$B$52="mg")),((FI24*FI$51)/(FI$52)),IF(AND(Results!$E$5="Volume",$C$54&gt;0,Results!$E$4="Fluid"),((FI24*FI$51)/(FI$54)),IF(AND(Results!$E$4="Cells",Results!$E$5="Million",$B$52="million"),((FI24*FI$51)/(FI$52)),"0")))))</f>
        <v>0</v>
      </c>
      <c r="FJ77" s="20" t="str">
        <f>IF(FJ24=0,"0",IF(AND(Results!$E$5="Protein",$C$53&gt;0,OR(Results!$E$4="Tissue",Results!$E$4="Cells")),((FJ24*FJ$51)/(FJ$53)),IF(AND(Results!$E$5="Weight",$C$52&gt;0, Results!$E$4="Tissue",OR($B$52="g",$B$52="mg")),((FJ24*FJ$51)/(FJ$52)),IF(AND(Results!$E$5="Volume",$C$54&gt;0,Results!$E$4="Fluid"),((FJ24*FJ$51)/(FJ$54)),IF(AND(Results!$E$4="Cells",Results!$E$5="Million",$B$52="million"),((FJ24*FJ$51)/(FJ$52)),"0")))))</f>
        <v>0</v>
      </c>
      <c r="FK77" s="20" t="str">
        <f>IF(FK24=0,"0",IF(AND(Results!$E$5="Protein",$C$53&gt;0,OR(Results!$E$4="Tissue",Results!$E$4="Cells")),((FK24*FK$51)/(FK$53)),IF(AND(Results!$E$5="Weight",$C$52&gt;0, Results!$E$4="Tissue",OR($B$52="g",$B$52="mg")),((FK24*FK$51)/(FK$52)),IF(AND(Results!$E$5="Volume",$C$54&gt;0,Results!$E$4="Fluid"),((FK24*FK$51)/(FK$54)),IF(AND(Results!$E$4="Cells",Results!$E$5="Million",$B$52="million"),((FK24*FK$51)/(FK$52)),"0")))))</f>
        <v>0</v>
      </c>
      <c r="FL77" s="20" t="str">
        <f>IF(FL24=0,"0",IF(AND(Results!$E$5="Protein",$C$53&gt;0,OR(Results!$E$4="Tissue",Results!$E$4="Cells")),((FL24*FL$51)/(FL$53)),IF(AND(Results!$E$5="Weight",$C$52&gt;0, Results!$E$4="Tissue",OR($B$52="g",$B$52="mg")),((FL24*FL$51)/(FL$52)),IF(AND(Results!$E$5="Volume",$C$54&gt;0,Results!$E$4="Fluid"),((FL24*FL$51)/(FL$54)),IF(AND(Results!$E$4="Cells",Results!$E$5="Million",$B$52="million"),((FL24*FL$51)/(FL$52)),"0")))))</f>
        <v>0</v>
      </c>
      <c r="FM77" s="20" t="str">
        <f>IF(FM24=0,"0",IF(AND(Results!$E$5="Protein",$C$53&gt;0,OR(Results!$E$4="Tissue",Results!$E$4="Cells")),((FM24*FM$51)/(FM$53)),IF(AND(Results!$E$5="Weight",$C$52&gt;0, Results!$E$4="Tissue",OR($B$52="g",$B$52="mg")),((FM24*FM$51)/(FM$52)),IF(AND(Results!$E$5="Volume",$C$54&gt;0,Results!$E$4="Fluid"),((FM24*FM$51)/(FM$54)),IF(AND(Results!$E$4="Cells",Results!$E$5="Million",$B$52="million"),((FM24*FM$51)/(FM$52)),"0")))))</f>
        <v>0</v>
      </c>
      <c r="FN77" s="20" t="str">
        <f>IF(FN24=0,"0",IF(AND(Results!$E$5="Protein",$C$53&gt;0,OR(Results!$E$4="Tissue",Results!$E$4="Cells")),((FN24*FN$51)/(FN$53)),IF(AND(Results!$E$5="Weight",$C$52&gt;0, Results!$E$4="Tissue",OR($B$52="g",$B$52="mg")),((FN24*FN$51)/(FN$52)),IF(AND(Results!$E$5="Volume",$C$54&gt;0,Results!$E$4="Fluid"),((FN24*FN$51)/(FN$54)),IF(AND(Results!$E$4="Cells",Results!$E$5="Million",$B$52="million"),((FN24*FN$51)/(FN$52)),"0")))))</f>
        <v>0</v>
      </c>
      <c r="FO77" s="20" t="str">
        <f>IF(FO24=0,"0",IF(AND(Results!$E$5="Protein",$C$53&gt;0,OR(Results!$E$4="Tissue",Results!$E$4="Cells")),((FO24*FO$51)/(FO$53)),IF(AND(Results!$E$5="Weight",$C$52&gt;0, Results!$E$4="Tissue",OR($B$52="g",$B$52="mg")),((FO24*FO$51)/(FO$52)),IF(AND(Results!$E$5="Volume",$C$54&gt;0,Results!$E$4="Fluid"),((FO24*FO$51)/(FO$54)),IF(AND(Results!$E$4="Cells",Results!$E$5="Million",$B$52="million"),((FO24*FO$51)/(FO$52)),"0")))))</f>
        <v>0</v>
      </c>
    </row>
    <row r="78" spans="1:171" x14ac:dyDescent="0.2">
      <c r="A78" s="120" t="str">
        <f t="shared" si="0"/>
        <v xml:space="preserve">8isoPGA2 </v>
      </c>
      <c r="B78" s="121"/>
      <c r="C78" s="20" t="str">
        <f>IF(C25=0,"0",IF(AND(Results!$E$5="Protein",$C$53&gt;0,OR(Results!$E$4="Tissue",Results!$E$4="Cells")),((C25*C$51)/(C$53)),IF(AND(Results!$E$5="Weight",$C$52&gt;0, Results!$E$4="Tissue",OR($B$52="g",$B$52="mg")),((C25*C$51)/(C$52)),IF(AND(Results!$E$5="Volume",$C$54&gt;0,Results!$E$4="Fluid"),((C25*C$51)/(C$54)),IF(AND(Results!$E$4="Cells",Results!$E$5="Million",$B$52="million"),((C25*C$51)/(C$52)),"0")))))</f>
        <v>0</v>
      </c>
      <c r="D78" s="20">
        <f>IF(D25=0,"0",IF(AND(Results!$E$5="Protein",$C$53&gt;0,OR(Results!$E$4="Tissue",Results!$E$4="Cells")),((D25*D$51)/(D$53)),IF(AND(Results!$E$5="Weight",$C$52&gt;0, Results!$E$4="Tissue",OR($B$52="g",$B$52="mg")),((D25*D$51)/(D$52)),IF(AND(Results!$E$5="Volume",$C$54&gt;0,Results!$E$4="Fluid"),((D25*D$51)/(D$54)),IF(AND(Results!$E$4="Cells",Results!$E$5="Million",$B$52="million"),((D25*D$51)/(D$52)),"0")))))</f>
        <v>0.17503333333333335</v>
      </c>
      <c r="E78" s="20" t="str">
        <f>IF(E25=0,"0",IF(AND(Results!$E$5="Protein",$C$53&gt;0,OR(Results!$E$4="Tissue",Results!$E$4="Cells")),((E25*E$51)/(E$53)),IF(AND(Results!$E$5="Weight",$C$52&gt;0, Results!$E$4="Tissue",OR($B$52="g",$B$52="mg")),((E25*E$51)/(E$52)),IF(AND(Results!$E$5="Volume",$C$54&gt;0,Results!$E$4="Fluid"),((E25*E$51)/(E$54)),IF(AND(Results!$E$4="Cells",Results!$E$5="Million",$B$52="million"),((E25*E$51)/(E$52)),"0")))))</f>
        <v>0</v>
      </c>
      <c r="F78" s="20">
        <f>IF(F25=0,"0",IF(AND(Results!$E$5="Protein",$C$53&gt;0,OR(Results!$E$4="Tissue",Results!$E$4="Cells")),((F25*F$51)/(F$53)),IF(AND(Results!$E$5="Weight",$C$52&gt;0, Results!$E$4="Tissue",OR($B$52="g",$B$52="mg")),((F25*F$51)/(F$52)),IF(AND(Results!$E$5="Volume",$C$54&gt;0,Results!$E$4="Fluid"),((F25*F$51)/(F$54)),IF(AND(Results!$E$4="Cells",Results!$E$5="Million",$B$52="million"),((F25*F$51)/(F$52)),"0")))))</f>
        <v>1.0163666666666666</v>
      </c>
      <c r="G78" s="20">
        <f>IF(G25=0,"0",IF(AND(Results!$E$5="Protein",$C$53&gt;0,OR(Results!$E$4="Tissue",Results!$E$4="Cells")),((G25*G$51)/(G$53)),IF(AND(Results!$E$5="Weight",$C$52&gt;0, Results!$E$4="Tissue",OR($B$52="g",$B$52="mg")),((G25*G$51)/(G$52)),IF(AND(Results!$E$5="Volume",$C$54&gt;0,Results!$E$4="Fluid"),((G25*G$51)/(G$54)),IF(AND(Results!$E$4="Cells",Results!$E$5="Million",$B$52="million"),((G25*G$51)/(G$52)),"0")))))</f>
        <v>0.11028333333333332</v>
      </c>
      <c r="H78" s="20">
        <f>IF(H25=0,"0",IF(AND(Results!$E$5="Protein",$C$53&gt;0,OR(Results!$E$4="Tissue",Results!$E$4="Cells")),((H25*H$51)/(H$53)),IF(AND(Results!$E$5="Weight",$C$52&gt;0, Results!$E$4="Tissue",OR($B$52="g",$B$52="mg")),((H25*H$51)/(H$52)),IF(AND(Results!$E$5="Volume",$C$54&gt;0,Results!$E$4="Fluid"),((H25*H$51)/(H$54)),IF(AND(Results!$E$4="Cells",Results!$E$5="Million",$B$52="million"),((H25*H$51)/(H$52)),"0")))))</f>
        <v>0.26415</v>
      </c>
      <c r="I78" s="20">
        <f>IF(I25=0,"0",IF(AND(Results!$E$5="Protein",$C$53&gt;0,OR(Results!$E$4="Tissue",Results!$E$4="Cells")),((I25*I$51)/(I$53)),IF(AND(Results!$E$5="Weight",$C$52&gt;0, Results!$E$4="Tissue",OR($B$52="g",$B$52="mg")),((I25*I$51)/(I$52)),IF(AND(Results!$E$5="Volume",$C$54&gt;0,Results!$E$4="Fluid"),((I25*I$51)/(I$54)),IF(AND(Results!$E$4="Cells",Results!$E$5="Million",$B$52="million"),((I25*I$51)/(I$52)),"0")))))</f>
        <v>0.20269999999999999</v>
      </c>
      <c r="J78" s="20">
        <f>IF(J25=0,"0",IF(AND(Results!$E$5="Protein",$C$53&gt;0,OR(Results!$E$4="Tissue",Results!$E$4="Cells")),((J25*J$51)/(J$53)),IF(AND(Results!$E$5="Weight",$C$52&gt;0, Results!$E$4="Tissue",OR($B$52="g",$B$52="mg")),((J25*J$51)/(J$52)),IF(AND(Results!$E$5="Volume",$C$54&gt;0,Results!$E$4="Fluid"),((J25*J$51)/(J$54)),IF(AND(Results!$E$4="Cells",Results!$E$5="Million",$B$52="million"),((J25*J$51)/(J$52)),"0")))))</f>
        <v>0.18293333333333331</v>
      </c>
      <c r="K78" s="20" t="str">
        <f>IF(K25=0,"0",IF(AND(Results!$E$5="Protein",$C$53&gt;0,OR(Results!$E$4="Tissue",Results!$E$4="Cells")),((K25*K$51)/(K$53)),IF(AND(Results!$E$5="Weight",$C$52&gt;0, Results!$E$4="Tissue",OR($B$52="g",$B$52="mg")),((K25*K$51)/(K$52)),IF(AND(Results!$E$5="Volume",$C$54&gt;0,Results!$E$4="Fluid"),((K25*K$51)/(K$54)),IF(AND(Results!$E$4="Cells",Results!$E$5="Million",$B$52="million"),((K25*K$51)/(K$52)),"0")))))</f>
        <v>0</v>
      </c>
      <c r="L78" s="20" t="str">
        <f>IF(L25=0,"0",IF(AND(Results!$E$5="Protein",$C$53&gt;0,OR(Results!$E$4="Tissue",Results!$E$4="Cells")),((L25*L$51)/(L$53)),IF(AND(Results!$E$5="Weight",$C$52&gt;0, Results!$E$4="Tissue",OR($B$52="g",$B$52="mg")),((L25*L$51)/(L$52)),IF(AND(Results!$E$5="Volume",$C$54&gt;0,Results!$E$4="Fluid"),((L25*L$51)/(L$54)),IF(AND(Results!$E$4="Cells",Results!$E$5="Million",$B$52="million"),((L25*L$51)/(L$52)),"0")))))</f>
        <v>0</v>
      </c>
      <c r="M78" s="20" t="str">
        <f>IF(M25=0,"0",IF(AND(Results!$E$5="Protein",$C$53&gt;0,OR(Results!$E$4="Tissue",Results!$E$4="Cells")),((M25*M$51)/(M$53)),IF(AND(Results!$E$5="Weight",$C$52&gt;0, Results!$E$4="Tissue",OR($B$52="g",$B$52="mg")),((M25*M$51)/(M$52)),IF(AND(Results!$E$5="Volume",$C$54&gt;0,Results!$E$4="Fluid"),((M25*M$51)/(M$54)),IF(AND(Results!$E$4="Cells",Results!$E$5="Million",$B$52="million"),((M25*M$51)/(M$52)),"0")))))</f>
        <v>0</v>
      </c>
      <c r="N78" s="20" t="str">
        <f>IF(N25=0,"0",IF(AND(Results!$E$5="Protein",$C$53&gt;0,OR(Results!$E$4="Tissue",Results!$E$4="Cells")),((N25*N$51)/(N$53)),IF(AND(Results!$E$5="Weight",$C$52&gt;0, Results!$E$4="Tissue",OR($B$52="g",$B$52="mg")),((N25*N$51)/(N$52)),IF(AND(Results!$E$5="Volume",$C$54&gt;0,Results!$E$4="Fluid"),((N25*N$51)/(N$54)),IF(AND(Results!$E$4="Cells",Results!$E$5="Million",$B$52="million"),((N25*N$51)/(N$52)),"0")))))</f>
        <v>0</v>
      </c>
      <c r="O78" s="20" t="str">
        <f>IF(O25=0,"0",IF(AND(Results!$E$5="Protein",$C$53&gt;0,OR(Results!$E$4="Tissue",Results!$E$4="Cells")),((O25*O$51)/(O$53)),IF(AND(Results!$E$5="Weight",$C$52&gt;0, Results!$E$4="Tissue",OR($B$52="g",$B$52="mg")),((O25*O$51)/(O$52)),IF(AND(Results!$E$5="Volume",$C$54&gt;0,Results!$E$4="Fluid"),((O25*O$51)/(O$54)),IF(AND(Results!$E$4="Cells",Results!$E$5="Million",$B$52="million"),((O25*O$51)/(O$52)),"0")))))</f>
        <v>0</v>
      </c>
      <c r="P78" s="20" t="str">
        <f>IF(P25=0,"0",IF(AND(Results!$E$5="Protein",$C$53&gt;0,OR(Results!$E$4="Tissue",Results!$E$4="Cells")),((P25*P$51)/(P$53)),IF(AND(Results!$E$5="Weight",$C$52&gt;0, Results!$E$4="Tissue",OR($B$52="g",$B$52="mg")),((P25*P$51)/(P$52)),IF(AND(Results!$E$5="Volume",$C$54&gt;0,Results!$E$4="Fluid"),((P25*P$51)/(P$54)),IF(AND(Results!$E$4="Cells",Results!$E$5="Million",$B$52="million"),((P25*P$51)/(P$52)),"0")))))</f>
        <v>0</v>
      </c>
      <c r="Q78" s="20" t="str">
        <f>IF(Q25=0,"0",IF(AND(Results!$E$5="Protein",$C$53&gt;0,OR(Results!$E$4="Tissue",Results!$E$4="Cells")),((Q25*Q$51)/(Q$53)),IF(AND(Results!$E$5="Weight",$C$52&gt;0, Results!$E$4="Tissue",OR($B$52="g",$B$52="mg")),((Q25*Q$51)/(Q$52)),IF(AND(Results!$E$5="Volume",$C$54&gt;0,Results!$E$4="Fluid"),((Q25*Q$51)/(Q$54)),IF(AND(Results!$E$4="Cells",Results!$E$5="Million",$B$52="million"),((Q25*Q$51)/(Q$52)),"0")))))</f>
        <v>0</v>
      </c>
      <c r="R78" s="20">
        <f>IF(R25=0,"0",IF(AND(Results!$E$5="Protein",$C$53&gt;0,OR(Results!$E$4="Tissue",Results!$E$4="Cells")),((R25*R$51)/(R$53)),IF(AND(Results!$E$5="Weight",$C$52&gt;0, Results!$E$4="Tissue",OR($B$52="g",$B$52="mg")),((R25*R$51)/(R$52)),IF(AND(Results!$E$5="Volume",$C$54&gt;0,Results!$E$4="Fluid"),((R25*R$51)/(R$54)),IF(AND(Results!$E$4="Cells",Results!$E$5="Million",$B$52="million"),((R25*R$51)/(R$52)),"0")))))</f>
        <v>3.9592666666666667</v>
      </c>
      <c r="S78" s="20" t="str">
        <f>IF(S25=0,"0",IF(AND(Results!$E$5="Protein",$C$53&gt;0,OR(Results!$E$4="Tissue",Results!$E$4="Cells")),((S25*S$51)/(S$53)),IF(AND(Results!$E$5="Weight",$C$52&gt;0, Results!$E$4="Tissue",OR($B$52="g",$B$52="mg")),((S25*S$51)/(S$52)),IF(AND(Results!$E$5="Volume",$C$54&gt;0,Results!$E$4="Fluid"),((S25*S$51)/(S$54)),IF(AND(Results!$E$4="Cells",Results!$E$5="Million",$B$52="million"),((S25*S$51)/(S$52)),"0")))))</f>
        <v>0</v>
      </c>
      <c r="T78" s="20" t="str">
        <f>IF(T25=0,"0",IF(AND(Results!$E$5="Protein",$C$53&gt;0,OR(Results!$E$4="Tissue",Results!$E$4="Cells")),((T25*T$51)/(T$53)),IF(AND(Results!$E$5="Weight",$C$52&gt;0, Results!$E$4="Tissue",OR($B$52="g",$B$52="mg")),((T25*T$51)/(T$52)),IF(AND(Results!$E$5="Volume",$C$54&gt;0,Results!$E$4="Fluid"),((T25*T$51)/(T$54)),IF(AND(Results!$E$4="Cells",Results!$E$5="Million",$B$52="million"),((T25*T$51)/(T$52)),"0")))))</f>
        <v>0</v>
      </c>
      <c r="U78" s="20">
        <f>IF(U25=0,"0",IF(AND(Results!$E$5="Protein",$C$53&gt;0,OR(Results!$E$4="Tissue",Results!$E$4="Cells")),((U25*U$51)/(U$53)),IF(AND(Results!$E$5="Weight",$C$52&gt;0, Results!$E$4="Tissue",OR($B$52="g",$B$52="mg")),((U25*U$51)/(U$52)),IF(AND(Results!$E$5="Volume",$C$54&gt;0,Results!$E$4="Fluid"),((U25*U$51)/(U$54)),IF(AND(Results!$E$4="Cells",Results!$E$5="Million",$B$52="million"),((U25*U$51)/(U$52)),"0")))))</f>
        <v>0.28851666666666664</v>
      </c>
      <c r="V78" s="20" t="str">
        <f>IF(V25=0,"0",IF(AND(Results!$E$5="Protein",$C$53&gt;0,OR(Results!$E$4="Tissue",Results!$E$4="Cells")),((V25*V$51)/(V$53)),IF(AND(Results!$E$5="Weight",$C$52&gt;0, Results!$E$4="Tissue",OR($B$52="g",$B$52="mg")),((V25*V$51)/(V$52)),IF(AND(Results!$E$5="Volume",$C$54&gt;0,Results!$E$4="Fluid"),((V25*V$51)/(V$54)),IF(AND(Results!$E$4="Cells",Results!$E$5="Million",$B$52="million"),((V25*V$51)/(V$52)),"0")))))</f>
        <v>0</v>
      </c>
      <c r="W78" s="20">
        <f>IF(W25=0,"0",IF(AND(Results!$E$5="Protein",$C$53&gt;0,OR(Results!$E$4="Tissue",Results!$E$4="Cells")),((W25*W$51)/(W$53)),IF(AND(Results!$E$5="Weight",$C$52&gt;0, Results!$E$4="Tissue",OR($B$52="g",$B$52="mg")),((W25*W$51)/(W$52)),IF(AND(Results!$E$5="Volume",$C$54&gt;0,Results!$E$4="Fluid"),((W25*W$51)/(W$54)),IF(AND(Results!$E$4="Cells",Results!$E$5="Million",$B$52="million"),((W25*W$51)/(W$52)),"0")))))</f>
        <v>0.23374285714285717</v>
      </c>
      <c r="X78" s="20" t="str">
        <f>IF(X25=0,"0",IF(AND(Results!$E$5="Protein",$C$53&gt;0,OR(Results!$E$4="Tissue",Results!$E$4="Cells")),((X25*X$51)/(X$53)),IF(AND(Results!$E$5="Weight",$C$52&gt;0, Results!$E$4="Tissue",OR($B$52="g",$B$52="mg")),((X25*X$51)/(X$52)),IF(AND(Results!$E$5="Volume",$C$54&gt;0,Results!$E$4="Fluid"),((X25*X$51)/(X$54)),IF(AND(Results!$E$4="Cells",Results!$E$5="Million",$B$52="million"),((X25*X$51)/(X$52)),"0")))))</f>
        <v>0</v>
      </c>
      <c r="Y78" s="20" t="str">
        <f>IF(Y25=0,"0",IF(AND(Results!$E$5="Protein",$C$53&gt;0,OR(Results!$E$4="Tissue",Results!$E$4="Cells")),((Y25*Y$51)/(Y$53)),IF(AND(Results!$E$5="Weight",$C$52&gt;0, Results!$E$4="Tissue",OR($B$52="g",$B$52="mg")),((Y25*Y$51)/(Y$52)),IF(AND(Results!$E$5="Volume",$C$54&gt;0,Results!$E$4="Fluid"),((Y25*Y$51)/(Y$54)),IF(AND(Results!$E$4="Cells",Results!$E$5="Million",$B$52="million"),((Y25*Y$51)/(Y$52)),"0")))))</f>
        <v>0</v>
      </c>
      <c r="Z78" s="20" t="str">
        <f>IF(Z25=0,"0",IF(AND(Results!$E$5="Protein",$C$53&gt;0,OR(Results!$E$4="Tissue",Results!$E$4="Cells")),((Z25*Z$51)/(Z$53)),IF(AND(Results!$E$5="Weight",$C$52&gt;0, Results!$E$4="Tissue",OR($B$52="g",$B$52="mg")),((Z25*Z$51)/(Z$52)),IF(AND(Results!$E$5="Volume",$C$54&gt;0,Results!$E$4="Fluid"),((Z25*Z$51)/(Z$54)),IF(AND(Results!$E$4="Cells",Results!$E$5="Million",$B$52="million"),((Z25*Z$51)/(Z$52)),"0")))))</f>
        <v>0</v>
      </c>
      <c r="AA78" s="20" t="str">
        <f>IF(AA25=0,"0",IF(AND(Results!$E$5="Protein",$C$53&gt;0,OR(Results!$E$4="Tissue",Results!$E$4="Cells")),((AA25*AA$51)/(AA$53)),IF(AND(Results!$E$5="Weight",$C$52&gt;0, Results!$E$4="Tissue",OR($B$52="g",$B$52="mg")),((AA25*AA$51)/(AA$52)),IF(AND(Results!$E$5="Volume",$C$54&gt;0,Results!$E$4="Fluid"),((AA25*AA$51)/(AA$54)),IF(AND(Results!$E$4="Cells",Results!$E$5="Million",$B$52="million"),((AA25*AA$51)/(AA$52)),"0")))))</f>
        <v>0</v>
      </c>
      <c r="AB78" s="20" t="str">
        <f>IF(AB25=0,"0",IF(AND(Results!$E$5="Protein",$C$53&gt;0,OR(Results!$E$4="Tissue",Results!$E$4="Cells")),((AB25*AB$51)/(AB$53)),IF(AND(Results!$E$5="Weight",$C$52&gt;0, Results!$E$4="Tissue",OR($B$52="g",$B$52="mg")),((AB25*AB$51)/(AB$52)),IF(AND(Results!$E$5="Volume",$C$54&gt;0,Results!$E$4="Fluid"),((AB25*AB$51)/(AB$54)),IF(AND(Results!$E$4="Cells",Results!$E$5="Million",$B$52="million"),((AB25*AB$51)/(AB$52)),"0")))))</f>
        <v>0</v>
      </c>
      <c r="AC78" s="20">
        <f>IF(AC25=0,"0",IF(AND(Results!$E$5="Protein",$C$53&gt;0,OR(Results!$E$4="Tissue",Results!$E$4="Cells")),((AC25*AC$51)/(AC$53)),IF(AND(Results!$E$5="Weight",$C$52&gt;0, Results!$E$4="Tissue",OR($B$52="g",$B$52="mg")),((AC25*AC$51)/(AC$52)),IF(AND(Results!$E$5="Volume",$C$54&gt;0,Results!$E$4="Fluid"),((AC25*AC$51)/(AC$54)),IF(AND(Results!$E$4="Cells",Results!$E$5="Million",$B$52="million"),((AC25*AC$51)/(AC$52)),"0")))))</f>
        <v>0.65368333333333328</v>
      </c>
      <c r="AD78" s="20">
        <f>IF(AD25=0,"0",IF(AND(Results!$E$5="Protein",$C$53&gt;0,OR(Results!$E$4="Tissue",Results!$E$4="Cells")),((AD25*AD$51)/(AD$53)),IF(AND(Results!$E$5="Weight",$C$52&gt;0, Results!$E$4="Tissue",OR($B$52="g",$B$52="mg")),((AD25*AD$51)/(AD$52)),IF(AND(Results!$E$5="Volume",$C$54&gt;0,Results!$E$4="Fluid"),((AD25*AD$51)/(AD$54)),IF(AND(Results!$E$4="Cells",Results!$E$5="Million",$B$52="million"),((AD25*AD$51)/(AD$52)),"0")))))</f>
        <v>0.34768333333333334</v>
      </c>
      <c r="AE78" s="20" t="str">
        <f>IF(AE25=0,"0",IF(AND(Results!$E$5="Protein",$C$53&gt;0,OR(Results!$E$4="Tissue",Results!$E$4="Cells")),((AE25*AE$51)/(AE$53)),IF(AND(Results!$E$5="Weight",$C$52&gt;0, Results!$E$4="Tissue",OR($B$52="g",$B$52="mg")),((AE25*AE$51)/(AE$52)),IF(AND(Results!$E$5="Volume",$C$54&gt;0,Results!$E$4="Fluid"),((AE25*AE$51)/(AE$54)),IF(AND(Results!$E$4="Cells",Results!$E$5="Million",$B$52="million"),((AE25*AE$51)/(AE$52)),"0")))))</f>
        <v>0</v>
      </c>
      <c r="AF78" s="20" t="str">
        <f>IF(AF25=0,"0",IF(AND(Results!$E$5="Protein",$C$53&gt;0,OR(Results!$E$4="Tissue",Results!$E$4="Cells")),((AF25*AF$51)/(AF$53)),IF(AND(Results!$E$5="Weight",$C$52&gt;0, Results!$E$4="Tissue",OR($B$52="g",$B$52="mg")),((AF25*AF$51)/(AF$52)),IF(AND(Results!$E$5="Volume",$C$54&gt;0,Results!$E$4="Fluid"),((AF25*AF$51)/(AF$54)),IF(AND(Results!$E$4="Cells",Results!$E$5="Million",$B$52="million"),((AF25*AF$51)/(AF$52)),"0")))))</f>
        <v>0</v>
      </c>
      <c r="AG78" s="20">
        <f>IF(AG25=0,"0",IF(AND(Results!$E$5="Protein",$C$53&gt;0,OR(Results!$E$4="Tissue",Results!$E$4="Cells")),((AG25*AG$51)/(AG$53)),IF(AND(Results!$E$5="Weight",$C$52&gt;0, Results!$E$4="Tissue",OR($B$52="g",$B$52="mg")),((AG25*AG$51)/(AG$52)),IF(AND(Results!$E$5="Volume",$C$54&gt;0,Results!$E$4="Fluid"),((AG25*AG$51)/(AG$54)),IF(AND(Results!$E$4="Cells",Results!$E$5="Million",$B$52="million"),((AG25*AG$51)/(AG$52)),"0")))))</f>
        <v>0.2769833333333333</v>
      </c>
      <c r="AH78" s="20" t="str">
        <f>IF(AH25=0,"0",IF(AND(Results!$E$5="Protein",$C$53&gt;0,OR(Results!$E$4="Tissue",Results!$E$4="Cells")),((AH25*AH$51)/(AH$53)),IF(AND(Results!$E$5="Weight",$C$52&gt;0, Results!$E$4="Tissue",OR($B$52="g",$B$52="mg")),((AH25*AH$51)/(AH$52)),IF(AND(Results!$E$5="Volume",$C$54&gt;0,Results!$E$4="Fluid"),((AH25*AH$51)/(AH$54)),IF(AND(Results!$E$4="Cells",Results!$E$5="Million",$B$52="million"),((AH25*AH$51)/(AH$52)),"0")))))</f>
        <v>0</v>
      </c>
      <c r="AI78" s="20" t="str">
        <f>IF(AI25=0,"0",IF(AND(Results!$E$5="Protein",$C$53&gt;0,OR(Results!$E$4="Tissue",Results!$E$4="Cells")),((AI25*AI$51)/(AI$53)),IF(AND(Results!$E$5="Weight",$C$52&gt;0, Results!$E$4="Tissue",OR($B$52="g",$B$52="mg")),((AI25*AI$51)/(AI$52)),IF(AND(Results!$E$5="Volume",$C$54&gt;0,Results!$E$4="Fluid"),((AI25*AI$51)/(AI$54)),IF(AND(Results!$E$4="Cells",Results!$E$5="Million",$B$52="million"),((AI25*AI$51)/(AI$52)),"0")))))</f>
        <v>0</v>
      </c>
      <c r="AJ78" s="20" t="str">
        <f>IF(AJ25=0,"0",IF(AND(Results!$E$5="Protein",$C$53&gt;0,OR(Results!$E$4="Tissue",Results!$E$4="Cells")),((AJ25*AJ$51)/(AJ$53)),IF(AND(Results!$E$5="Weight",$C$52&gt;0, Results!$E$4="Tissue",OR($B$52="g",$B$52="mg")),((AJ25*AJ$51)/(AJ$52)),IF(AND(Results!$E$5="Volume",$C$54&gt;0,Results!$E$4="Fluid"),((AJ25*AJ$51)/(AJ$54)),IF(AND(Results!$E$4="Cells",Results!$E$5="Million",$B$52="million"),((AJ25*AJ$51)/(AJ$52)),"0")))))</f>
        <v>0</v>
      </c>
      <c r="AK78" s="20">
        <f>IF(AK25=0,"0",IF(AND(Results!$E$5="Protein",$C$53&gt;0,OR(Results!$E$4="Tissue",Results!$E$4="Cells")),((AK25*AK$51)/(AK$53)),IF(AND(Results!$E$5="Weight",$C$52&gt;0, Results!$E$4="Tissue",OR($B$52="g",$B$52="mg")),((AK25*AK$51)/(AK$52)),IF(AND(Results!$E$5="Volume",$C$54&gt;0,Results!$E$4="Fluid"),((AK25*AK$51)/(AK$54)),IF(AND(Results!$E$4="Cells",Results!$E$5="Million",$B$52="million"),((AK25*AK$51)/(AK$52)),"0")))))</f>
        <v>0.24083333333333334</v>
      </c>
      <c r="AL78" s="20" t="str">
        <f>IF(AL25=0,"0",IF(AND(Results!$E$5="Protein",$C$53&gt;0,OR(Results!$E$4="Tissue",Results!$E$4="Cells")),((AL25*AL$51)/(AL$53)),IF(AND(Results!$E$5="Weight",$C$52&gt;0, Results!$E$4="Tissue",OR($B$52="g",$B$52="mg")),((AL25*AL$51)/(AL$52)),IF(AND(Results!$E$5="Volume",$C$54&gt;0,Results!$E$4="Fluid"),((AL25*AL$51)/(AL$54)),IF(AND(Results!$E$4="Cells",Results!$E$5="Million",$B$52="million"),((AL25*AL$51)/(AL$52)),"0")))))</f>
        <v>0</v>
      </c>
      <c r="AM78" s="20" t="str">
        <f>IF(AM25=0,"0",IF(AND(Results!$E$5="Protein",$C$53&gt;0,OR(Results!$E$4="Tissue",Results!$E$4="Cells")),((AM25*AM$51)/(AM$53)),IF(AND(Results!$E$5="Weight",$C$52&gt;0, Results!$E$4="Tissue",OR($B$52="g",$B$52="mg")),((AM25*AM$51)/(AM$52)),IF(AND(Results!$E$5="Volume",$C$54&gt;0,Results!$E$4="Fluid"),((AM25*AM$51)/(AM$54)),IF(AND(Results!$E$4="Cells",Results!$E$5="Million",$B$52="million"),((AM25*AM$51)/(AM$52)),"0")))))</f>
        <v>0</v>
      </c>
      <c r="AN78" s="20">
        <f>IF(AN25=0,"0",IF(AND(Results!$E$5="Protein",$C$53&gt;0,OR(Results!$E$4="Tissue",Results!$E$4="Cells")),((AN25*AN$51)/(AN$53)),IF(AND(Results!$E$5="Weight",$C$52&gt;0, Results!$E$4="Tissue",OR($B$52="g",$B$52="mg")),((AN25*AN$51)/(AN$52)),IF(AND(Results!$E$5="Volume",$C$54&gt;0,Results!$E$4="Fluid"),((AN25*AN$51)/(AN$54)),IF(AND(Results!$E$4="Cells",Results!$E$5="Million",$B$52="million"),((AN25*AN$51)/(AN$52)),"0")))))</f>
        <v>0.40183333333333332</v>
      </c>
      <c r="AO78" s="20">
        <f>IF(AO25=0,"0",IF(AND(Results!$E$5="Protein",$C$53&gt;0,OR(Results!$E$4="Tissue",Results!$E$4="Cells")),((AO25*AO$51)/(AO$53)),IF(AND(Results!$E$5="Weight",$C$52&gt;0, Results!$E$4="Tissue",OR($B$52="g",$B$52="mg")),((AO25*AO$51)/(AO$52)),IF(AND(Results!$E$5="Volume",$C$54&gt;0,Results!$E$4="Fluid"),((AO25*AO$51)/(AO$54)),IF(AND(Results!$E$4="Cells",Results!$E$5="Million",$B$52="million"),((AO25*AO$51)/(AO$52)),"0")))))</f>
        <v>0.10483333333333333</v>
      </c>
      <c r="AP78" s="20" t="str">
        <f>IF(AP25=0,"0",IF(AND(Results!$E$5="Protein",$C$53&gt;0,OR(Results!$E$4="Tissue",Results!$E$4="Cells")),((AP25*AP$51)/(AP$53)),IF(AND(Results!$E$5="Weight",$C$52&gt;0, Results!$E$4="Tissue",OR($B$52="g",$B$52="mg")),((AP25*AP$51)/(AP$52)),IF(AND(Results!$E$5="Volume",$C$54&gt;0,Results!$E$4="Fluid"),((AP25*AP$51)/(AP$54)),IF(AND(Results!$E$4="Cells",Results!$E$5="Million",$B$52="million"),((AP25*AP$51)/(AP$52)),"0")))))</f>
        <v>0</v>
      </c>
      <c r="AQ78" s="20">
        <f>IF(AQ25=0,"0",IF(AND(Results!$E$5="Protein",$C$53&gt;0,OR(Results!$E$4="Tissue",Results!$E$4="Cells")),((AQ25*AQ$51)/(AQ$53)),IF(AND(Results!$E$5="Weight",$C$52&gt;0, Results!$E$4="Tissue",OR($B$52="g",$B$52="mg")),((AQ25*AQ$51)/(AQ$52)),IF(AND(Results!$E$5="Volume",$C$54&gt;0,Results!$E$4="Fluid"),((AQ25*AQ$51)/(AQ$54)),IF(AND(Results!$E$4="Cells",Results!$E$5="Million",$B$52="million"),((AQ25*AQ$51)/(AQ$52)),"0")))))</f>
        <v>0.25495000000000001</v>
      </c>
      <c r="AR78" s="20">
        <f>IF(AR25=0,"0",IF(AND(Results!$E$5="Protein",$C$53&gt;0,OR(Results!$E$4="Tissue",Results!$E$4="Cells")),((AR25*AR$51)/(AR$53)),IF(AND(Results!$E$5="Weight",$C$52&gt;0, Results!$E$4="Tissue",OR($B$52="g",$B$52="mg")),((AR25*AR$51)/(AR$52)),IF(AND(Results!$E$5="Volume",$C$54&gt;0,Results!$E$4="Fluid"),((AR25*AR$51)/(AR$54)),IF(AND(Results!$E$4="Cells",Results!$E$5="Million",$B$52="million"),((AR25*AR$51)/(AR$52)),"0")))))</f>
        <v>2.7949999999999996E-2</v>
      </c>
      <c r="AS78" s="20">
        <f>IF(AS25=0,"0",IF(AND(Results!$E$5="Protein",$C$53&gt;0,OR(Results!$E$4="Tissue",Results!$E$4="Cells")),((AS25*AS$51)/(AS$53)),IF(AND(Results!$E$5="Weight",$C$52&gt;0, Results!$E$4="Tissue",OR($B$52="g",$B$52="mg")),((AS25*AS$51)/(AS$52)),IF(AND(Results!$E$5="Volume",$C$54&gt;0,Results!$E$4="Fluid"),((AS25*AS$51)/(AS$54)),IF(AND(Results!$E$4="Cells",Results!$E$5="Million",$B$52="million"),((AS25*AS$51)/(AS$52)),"0")))))</f>
        <v>1.0163</v>
      </c>
      <c r="AT78" s="20">
        <f>IF(AT25=0,"0",IF(AND(Results!$E$5="Protein",$C$53&gt;0,OR(Results!$E$4="Tissue",Results!$E$4="Cells")),((AT25*AT$51)/(AT$53)),IF(AND(Results!$E$5="Weight",$C$52&gt;0, Results!$E$4="Tissue",OR($B$52="g",$B$52="mg")),((AT25*AT$51)/(AT$52)),IF(AND(Results!$E$5="Volume",$C$54&gt;0,Results!$E$4="Fluid"),((AT25*AT$51)/(AT$54)),IF(AND(Results!$E$4="Cells",Results!$E$5="Million",$B$52="million"),((AT25*AT$51)/(AT$52)),"0")))))</f>
        <v>0.39296666666666674</v>
      </c>
      <c r="AU78" s="20" t="str">
        <f>IF(AU25=0,"0",IF(AND(Results!$E$5="Protein",$C$53&gt;0,OR(Results!$E$4="Tissue",Results!$E$4="Cells")),((AU25*AU$51)/(AU$53)),IF(AND(Results!$E$5="Weight",$C$52&gt;0, Results!$E$4="Tissue",OR($B$52="g",$B$52="mg")),((AU25*AU$51)/(AU$52)),IF(AND(Results!$E$5="Volume",$C$54&gt;0,Results!$E$4="Fluid"),((AU25*AU$51)/(AU$54)),IF(AND(Results!$E$4="Cells",Results!$E$5="Million",$B$52="million"),((AU25*AU$51)/(AU$52)),"0")))))</f>
        <v>0</v>
      </c>
      <c r="AV78" s="20">
        <f>IF(AV25=0,"0",IF(AND(Results!$E$5="Protein",$C$53&gt;0,OR(Results!$E$4="Tissue",Results!$E$4="Cells")),((AV25*AV$51)/(AV$53)),IF(AND(Results!$E$5="Weight",$C$52&gt;0, Results!$E$4="Tissue",OR($B$52="g",$B$52="mg")),((AV25*AV$51)/(AV$52)),IF(AND(Results!$E$5="Volume",$C$54&gt;0,Results!$E$4="Fluid"),((AV25*AV$51)/(AV$54)),IF(AND(Results!$E$4="Cells",Results!$E$5="Million",$B$52="million"),((AV25*AV$51)/(AV$52)),"0")))))</f>
        <v>0.20480000000000001</v>
      </c>
      <c r="AW78" s="20" t="str">
        <f>IF(AW25=0,"0",IF(AND(Results!$E$5="Protein",$C$53&gt;0,OR(Results!$E$4="Tissue",Results!$E$4="Cells")),((AW25*AW$51)/(AW$53)),IF(AND(Results!$E$5="Weight",$C$52&gt;0, Results!$E$4="Tissue",OR($B$52="g",$B$52="mg")),((AW25*AW$51)/(AW$52)),IF(AND(Results!$E$5="Volume",$C$54&gt;0,Results!$E$4="Fluid"),((AW25*AW$51)/(AW$54)),IF(AND(Results!$E$4="Cells",Results!$E$5="Million",$B$52="million"),((AW25*AW$51)/(AW$52)),"0")))))</f>
        <v>0</v>
      </c>
      <c r="AX78" s="20" t="str">
        <f>IF(AX25=0,"0",IF(AND(Results!$E$5="Protein",$C$53&gt;0,OR(Results!$E$4="Tissue",Results!$E$4="Cells")),((AX25*AX$51)/(AX$53)),IF(AND(Results!$E$5="Weight",$C$52&gt;0, Results!$E$4="Tissue",OR($B$52="g",$B$52="mg")),((AX25*AX$51)/(AX$52)),IF(AND(Results!$E$5="Volume",$C$54&gt;0,Results!$E$4="Fluid"),((AX25*AX$51)/(AX$54)),IF(AND(Results!$E$4="Cells",Results!$E$5="Million",$B$52="million"),((AX25*AX$51)/(AX$52)),"0")))))</f>
        <v>0</v>
      </c>
      <c r="AY78" s="20">
        <f>IF(AY25=0,"0",IF(AND(Results!$E$5="Protein",$C$53&gt;0,OR(Results!$E$4="Tissue",Results!$E$4="Cells")),((AY25*AY$51)/(AY$53)),IF(AND(Results!$E$5="Weight",$C$52&gt;0, Results!$E$4="Tissue",OR($B$52="g",$B$52="mg")),((AY25*AY$51)/(AY$52)),IF(AND(Results!$E$5="Volume",$C$54&gt;0,Results!$E$4="Fluid"),((AY25*AY$51)/(AY$54)),IF(AND(Results!$E$4="Cells",Results!$E$5="Million",$B$52="million"),((AY25*AY$51)/(AY$52)),"0")))))</f>
        <v>0.28663333333333335</v>
      </c>
      <c r="AZ78" s="20">
        <f>IF(AZ25=0,"0",IF(AND(Results!$E$5="Protein",$C$53&gt;0,OR(Results!$E$4="Tissue",Results!$E$4="Cells")),((AZ25*AZ$51)/(AZ$53)),IF(AND(Results!$E$5="Weight",$C$52&gt;0, Results!$E$4="Tissue",OR($B$52="g",$B$52="mg")),((AZ25*AZ$51)/(AZ$52)),IF(AND(Results!$E$5="Volume",$C$54&gt;0,Results!$E$4="Fluid"),((AZ25*AZ$51)/(AZ$54)),IF(AND(Results!$E$4="Cells",Results!$E$5="Million",$B$52="million"),((AZ25*AZ$51)/(AZ$52)),"0")))))</f>
        <v>5.2000000000000005E-2</v>
      </c>
      <c r="BA78" s="20">
        <f>IF(BA25=0,"0",IF(AND(Results!$E$5="Protein",$C$53&gt;0,OR(Results!$E$4="Tissue",Results!$E$4="Cells")),((BA25*BA$51)/(BA$53)),IF(AND(Results!$E$5="Weight",$C$52&gt;0, Results!$E$4="Tissue",OR($B$52="g",$B$52="mg")),((BA25*BA$51)/(BA$52)),IF(AND(Results!$E$5="Volume",$C$54&gt;0,Results!$E$4="Fluid"),((BA25*BA$51)/(BA$54)),IF(AND(Results!$E$4="Cells",Results!$E$5="Million",$B$52="million"),((BA25*BA$51)/(BA$52)),"0")))))</f>
        <v>6.0983333333333327E-2</v>
      </c>
      <c r="BB78" s="20" t="str">
        <f>IF(BB25=0,"0",IF(AND(Results!$E$5="Protein",$C$53&gt;0,OR(Results!$E$4="Tissue",Results!$E$4="Cells")),((BB25*BB$51)/(BB$53)),IF(AND(Results!$E$5="Weight",$C$52&gt;0, Results!$E$4="Tissue",OR($B$52="g",$B$52="mg")),((BB25*BB$51)/(BB$52)),IF(AND(Results!$E$5="Volume",$C$54&gt;0,Results!$E$4="Fluid"),((BB25*BB$51)/(BB$54)),IF(AND(Results!$E$4="Cells",Results!$E$5="Million",$B$52="million"),((BB25*BB$51)/(BB$52)),"0")))))</f>
        <v>0</v>
      </c>
      <c r="BC78" s="20">
        <f>IF(BC25=0,"0",IF(AND(Results!$E$5="Protein",$C$53&gt;0,OR(Results!$E$4="Tissue",Results!$E$4="Cells")),((BC25*BC$51)/(BC$53)),IF(AND(Results!$E$5="Weight",$C$52&gt;0, Results!$E$4="Tissue",OR($B$52="g",$B$52="mg")),((BC25*BC$51)/(BC$52)),IF(AND(Results!$E$5="Volume",$C$54&gt;0,Results!$E$4="Fluid"),((BC25*BC$51)/(BC$54)),IF(AND(Results!$E$4="Cells",Results!$E$5="Million",$B$52="million"),((BC25*BC$51)/(BC$52)),"0")))))</f>
        <v>0.13216666666666668</v>
      </c>
      <c r="BD78" s="20">
        <f>IF(BD25=0,"0",IF(AND(Results!$E$5="Protein",$C$53&gt;0,OR(Results!$E$4="Tissue",Results!$E$4="Cells")),((BD25*BD$51)/(BD$53)),IF(AND(Results!$E$5="Weight",$C$52&gt;0, Results!$E$4="Tissue",OR($B$52="g",$B$52="mg")),((BD25*BD$51)/(BD$52)),IF(AND(Results!$E$5="Volume",$C$54&gt;0,Results!$E$4="Fluid"),((BD25*BD$51)/(BD$54)),IF(AND(Results!$E$4="Cells",Results!$E$5="Million",$B$52="million"),((BD25*BD$51)/(BD$52)),"0")))))</f>
        <v>0.49054999999999999</v>
      </c>
      <c r="BE78" s="20" t="str">
        <f>IF(BE25=0,"0",IF(AND(Results!$E$5="Protein",$C$53&gt;0,OR(Results!$E$4="Tissue",Results!$E$4="Cells")),((BE25*BE$51)/(BE$53)),IF(AND(Results!$E$5="Weight",$C$52&gt;0, Results!$E$4="Tissue",OR($B$52="g",$B$52="mg")),((BE25*BE$51)/(BE$52)),IF(AND(Results!$E$5="Volume",$C$54&gt;0,Results!$E$4="Fluid"),((BE25*BE$51)/(BE$54)),IF(AND(Results!$E$4="Cells",Results!$E$5="Million",$B$52="million"),((BE25*BE$51)/(BE$52)),"0")))))</f>
        <v>0</v>
      </c>
      <c r="BF78" s="20" t="str">
        <f>IF(BF25=0,"0",IF(AND(Results!$E$5="Protein",$C$53&gt;0,OR(Results!$E$4="Tissue",Results!$E$4="Cells")),((BF25*BF$51)/(BF$53)),IF(AND(Results!$E$5="Weight",$C$52&gt;0, Results!$E$4="Tissue",OR($B$52="g",$B$52="mg")),((BF25*BF$51)/(BF$52)),IF(AND(Results!$E$5="Volume",$C$54&gt;0,Results!$E$4="Fluid"),((BF25*BF$51)/(BF$54)),IF(AND(Results!$E$4="Cells",Results!$E$5="Million",$B$52="million"),((BF25*BF$51)/(BF$52)),"0")))))</f>
        <v>0</v>
      </c>
      <c r="BG78" s="20" t="str">
        <f>IF(BG25=0,"0",IF(AND(Results!$E$5="Protein",$C$53&gt;0,OR(Results!$E$4="Tissue",Results!$E$4="Cells")),((BG25*BG$51)/(BG$53)),IF(AND(Results!$E$5="Weight",$C$52&gt;0, Results!$E$4="Tissue",OR($B$52="g",$B$52="mg")),((BG25*BG$51)/(BG$52)),IF(AND(Results!$E$5="Volume",$C$54&gt;0,Results!$E$4="Fluid"),((BG25*BG$51)/(BG$54)),IF(AND(Results!$E$4="Cells",Results!$E$5="Million",$B$52="million"),((BG25*BG$51)/(BG$52)),"0")))))</f>
        <v>0</v>
      </c>
      <c r="BH78" s="20">
        <f>IF(BH25=0,"0",IF(AND(Results!$E$5="Protein",$C$53&gt;0,OR(Results!$E$4="Tissue",Results!$E$4="Cells")),((BH25*BH$51)/(BH$53)),IF(AND(Results!$E$5="Weight",$C$52&gt;0, Results!$E$4="Tissue",OR($B$52="g",$B$52="mg")),((BH25*BH$51)/(BH$52)),IF(AND(Results!$E$5="Volume",$C$54&gt;0,Results!$E$4="Fluid"),((BH25*BH$51)/(BH$54)),IF(AND(Results!$E$4="Cells",Results!$E$5="Million",$B$52="million"),((BH25*BH$51)/(BH$52)),"0")))))</f>
        <v>0.34548333333333336</v>
      </c>
      <c r="BI78" s="20" t="str">
        <f>IF(BI25=0,"0",IF(AND(Results!$E$5="Protein",$C$53&gt;0,OR(Results!$E$4="Tissue",Results!$E$4="Cells")),((BI25*BI$51)/(BI$53)),IF(AND(Results!$E$5="Weight",$C$52&gt;0, Results!$E$4="Tissue",OR($B$52="g",$B$52="mg")),((BI25*BI$51)/(BI$52)),IF(AND(Results!$E$5="Volume",$C$54&gt;0,Results!$E$4="Fluid"),((BI25*BI$51)/(BI$54)),IF(AND(Results!$E$4="Cells",Results!$E$5="Million",$B$52="million"),((BI25*BI$51)/(BI$52)),"0")))))</f>
        <v>0</v>
      </c>
      <c r="BJ78" s="20" t="str">
        <f>IF(BJ25=0,"0",IF(AND(Results!$E$5="Protein",$C$53&gt;0,OR(Results!$E$4="Tissue",Results!$E$4="Cells")),((BJ25*BJ$51)/(BJ$53)),IF(AND(Results!$E$5="Weight",$C$52&gt;0, Results!$E$4="Tissue",OR($B$52="g",$B$52="mg")),((BJ25*BJ$51)/(BJ$52)),IF(AND(Results!$E$5="Volume",$C$54&gt;0,Results!$E$4="Fluid"),((BJ25*BJ$51)/(BJ$54)),IF(AND(Results!$E$4="Cells",Results!$E$5="Million",$B$52="million"),((BJ25*BJ$51)/(BJ$52)),"0")))))</f>
        <v>0</v>
      </c>
      <c r="BK78" s="20" t="str">
        <f>IF(BK25=0,"0",IF(AND(Results!$E$5="Protein",$C$53&gt;0,OR(Results!$E$4="Tissue",Results!$E$4="Cells")),((BK25*BK$51)/(BK$53)),IF(AND(Results!$E$5="Weight",$C$52&gt;0, Results!$E$4="Tissue",OR($B$52="g",$B$52="mg")),((BK25*BK$51)/(BK$52)),IF(AND(Results!$E$5="Volume",$C$54&gt;0,Results!$E$4="Fluid"),((BK25*BK$51)/(BK$54)),IF(AND(Results!$E$4="Cells",Results!$E$5="Million",$B$52="million"),((BK25*BK$51)/(BK$52)),"0")))))</f>
        <v>0</v>
      </c>
      <c r="BL78" s="20">
        <f>IF(BL25=0,"0",IF(AND(Results!$E$5="Protein",$C$53&gt;0,OR(Results!$E$4="Tissue",Results!$E$4="Cells")),((BL25*BL$51)/(BL$53)),IF(AND(Results!$E$5="Weight",$C$52&gt;0, Results!$E$4="Tissue",OR($B$52="g",$B$52="mg")),((BL25*BL$51)/(BL$52)),IF(AND(Results!$E$5="Volume",$C$54&gt;0,Results!$E$4="Fluid"),((BL25*BL$51)/(BL$54)),IF(AND(Results!$E$4="Cells",Results!$E$5="Million",$B$52="million"),((BL25*BL$51)/(BL$52)),"0")))))</f>
        <v>3.6180666666666665</v>
      </c>
      <c r="BM78" s="20">
        <f>IF(BM25=0,"0",IF(AND(Results!$E$5="Protein",$C$53&gt;0,OR(Results!$E$4="Tissue",Results!$E$4="Cells")),((BM25*BM$51)/(BM$53)),IF(AND(Results!$E$5="Weight",$C$52&gt;0, Results!$E$4="Tissue",OR($B$52="g",$B$52="mg")),((BM25*BM$51)/(BM$52)),IF(AND(Results!$E$5="Volume",$C$54&gt;0,Results!$E$4="Fluid"),((BM25*BM$51)/(BM$54)),IF(AND(Results!$E$4="Cells",Results!$E$5="Million",$B$52="million"),((BM25*BM$51)/(BM$52)),"0")))))</f>
        <v>1.2374857142857143</v>
      </c>
      <c r="BN78" s="20">
        <f>IF(BN25=0,"0",IF(AND(Results!$E$5="Protein",$C$53&gt;0,OR(Results!$E$4="Tissue",Results!$E$4="Cells")),((BN25*BN$51)/(BN$53)),IF(AND(Results!$E$5="Weight",$C$52&gt;0, Results!$E$4="Tissue",OR($B$52="g",$B$52="mg")),((BN25*BN$51)/(BN$52)),IF(AND(Results!$E$5="Volume",$C$54&gt;0,Results!$E$4="Fluid"),((BN25*BN$51)/(BN$54)),IF(AND(Results!$E$4="Cells",Results!$E$5="Million",$B$52="million"),((BN25*BN$51)/(BN$52)),"0")))))</f>
        <v>4.8739000000000008</v>
      </c>
      <c r="BO78" s="20">
        <f>IF(BO25=0,"0",IF(AND(Results!$E$5="Protein",$C$53&gt;0,OR(Results!$E$4="Tissue",Results!$E$4="Cells")),((BO25*BO$51)/(BO$53)),IF(AND(Results!$E$5="Weight",$C$52&gt;0, Results!$E$4="Tissue",OR($B$52="g",$B$52="mg")),((BO25*BO$51)/(BO$52)),IF(AND(Results!$E$5="Volume",$C$54&gt;0,Results!$E$4="Fluid"),((BO25*BO$51)/(BO$54)),IF(AND(Results!$E$4="Cells",Results!$E$5="Million",$B$52="million"),((BO25*BO$51)/(BO$52)),"0")))))</f>
        <v>1.6492333333333336</v>
      </c>
      <c r="BP78" s="20">
        <f>IF(BP25=0,"0",IF(AND(Results!$E$5="Protein",$C$53&gt;0,OR(Results!$E$4="Tissue",Results!$E$4="Cells")),((BP25*BP$51)/(BP$53)),IF(AND(Results!$E$5="Weight",$C$52&gt;0, Results!$E$4="Tissue",OR($B$52="g",$B$52="mg")),((BP25*BP$51)/(BP$52)),IF(AND(Results!$E$5="Volume",$C$54&gt;0,Results!$E$4="Fluid"),((BP25*BP$51)/(BP$54)),IF(AND(Results!$E$4="Cells",Results!$E$5="Million",$B$52="million"),((BP25*BP$51)/(BP$52)),"0")))))</f>
        <v>1.9778166666666666</v>
      </c>
      <c r="BQ78" s="20" t="str">
        <f>IF(BQ25=0,"0",IF(AND(Results!$E$5="Protein",$C$53&gt;0,OR(Results!$E$4="Tissue",Results!$E$4="Cells")),((BQ25*BQ$51)/(BQ$53)),IF(AND(Results!$E$5="Weight",$C$52&gt;0, Results!$E$4="Tissue",OR($B$52="g",$B$52="mg")),((BQ25*BQ$51)/(BQ$52)),IF(AND(Results!$E$5="Volume",$C$54&gt;0,Results!$E$4="Fluid"),((BQ25*BQ$51)/(BQ$54)),IF(AND(Results!$E$4="Cells",Results!$E$5="Million",$B$52="million"),((BQ25*BQ$51)/(BQ$52)),"0")))))</f>
        <v>0</v>
      </c>
      <c r="BR78" s="20" t="str">
        <f>IF(BR25=0,"0",IF(AND(Results!$E$5="Protein",$C$53&gt;0,OR(Results!$E$4="Tissue",Results!$E$4="Cells")),((BR25*BR$51)/(BR$53)),IF(AND(Results!$E$5="Weight",$C$52&gt;0, Results!$E$4="Tissue",OR($B$52="g",$B$52="mg")),((BR25*BR$51)/(BR$52)),IF(AND(Results!$E$5="Volume",$C$54&gt;0,Results!$E$4="Fluid"),((BR25*BR$51)/(BR$54)),IF(AND(Results!$E$4="Cells",Results!$E$5="Million",$B$52="million"),((BR25*BR$51)/(BR$52)),"0")))))</f>
        <v>0</v>
      </c>
      <c r="BS78" s="20">
        <f>IF(BS25=0,"0",IF(AND(Results!$E$5="Protein",$C$53&gt;0,OR(Results!$E$4="Tissue",Results!$E$4="Cells")),((BS25*BS$51)/(BS$53)),IF(AND(Results!$E$5="Weight",$C$52&gt;0, Results!$E$4="Tissue",OR($B$52="g",$B$52="mg")),((BS25*BS$51)/(BS$52)),IF(AND(Results!$E$5="Volume",$C$54&gt;0,Results!$E$4="Fluid"),((BS25*BS$51)/(BS$54)),IF(AND(Results!$E$4="Cells",Results!$E$5="Million",$B$52="million"),((BS25*BS$51)/(BS$52)),"0")))))</f>
        <v>1.1549833333333335</v>
      </c>
      <c r="BT78" s="20">
        <f>IF(BT25=0,"0",IF(AND(Results!$E$5="Protein",$C$53&gt;0,OR(Results!$E$4="Tissue",Results!$E$4="Cells")),((BT25*BT$51)/(BT$53)),IF(AND(Results!$E$5="Weight",$C$52&gt;0, Results!$E$4="Tissue",OR($B$52="g",$B$52="mg")),((BT25*BT$51)/(BT$52)),IF(AND(Results!$E$5="Volume",$C$54&gt;0,Results!$E$4="Fluid"),((BT25*BT$51)/(BT$54)),IF(AND(Results!$E$4="Cells",Results!$E$5="Million",$B$52="million"),((BT25*BT$51)/(BT$52)),"0")))))</f>
        <v>1.2461</v>
      </c>
      <c r="BU78" s="20">
        <f>IF(BU25=0,"0",IF(AND(Results!$E$5="Protein",$C$53&gt;0,OR(Results!$E$4="Tissue",Results!$E$4="Cells")),((BU25*BU$51)/(BU$53)),IF(AND(Results!$E$5="Weight",$C$52&gt;0, Results!$E$4="Tissue",OR($B$52="g",$B$52="mg")),((BU25*BU$51)/(BU$52)),IF(AND(Results!$E$5="Volume",$C$54&gt;0,Results!$E$4="Fluid"),((BU25*BU$51)/(BU$54)),IF(AND(Results!$E$4="Cells",Results!$E$5="Million",$B$52="million"),((BU25*BU$51)/(BU$52)),"0")))))</f>
        <v>0.5054833333333334</v>
      </c>
      <c r="BV78" s="20" t="str">
        <f>IF(BV25=0,"0",IF(AND(Results!$E$5="Protein",$C$53&gt;0,OR(Results!$E$4="Tissue",Results!$E$4="Cells")),((BV25*BV$51)/(BV$53)),IF(AND(Results!$E$5="Weight",$C$52&gt;0, Results!$E$4="Tissue",OR($B$52="g",$B$52="mg")),((BV25*BV$51)/(BV$52)),IF(AND(Results!$E$5="Volume",$C$54&gt;0,Results!$E$4="Fluid"),((BV25*BV$51)/(BV$54)),IF(AND(Results!$E$4="Cells",Results!$E$5="Million",$B$52="million"),((BV25*BV$51)/(BV$52)),"0")))))</f>
        <v>0</v>
      </c>
      <c r="BW78" s="20">
        <f>IF(BW25=0,"0",IF(AND(Results!$E$5="Protein",$C$53&gt;0,OR(Results!$E$4="Tissue",Results!$E$4="Cells")),((BW25*BW$51)/(BW$53)),IF(AND(Results!$E$5="Weight",$C$52&gt;0, Results!$E$4="Tissue",OR($B$52="g",$B$52="mg")),((BW25*BW$51)/(BW$52)),IF(AND(Results!$E$5="Volume",$C$54&gt;0,Results!$E$4="Fluid"),((BW25*BW$51)/(BW$54)),IF(AND(Results!$E$4="Cells",Results!$E$5="Million",$B$52="million"),((BW25*BW$51)/(BW$52)),"0")))))</f>
        <v>0.22511666666666666</v>
      </c>
      <c r="BX78" s="20">
        <f>IF(BX25=0,"0",IF(AND(Results!$E$5="Protein",$C$53&gt;0,OR(Results!$E$4="Tissue",Results!$E$4="Cells")),((BX25*BX$51)/(BX$53)),IF(AND(Results!$E$5="Weight",$C$52&gt;0, Results!$E$4="Tissue",OR($B$52="g",$B$52="mg")),((BX25*BX$51)/(BX$52)),IF(AND(Results!$E$5="Volume",$C$54&gt;0,Results!$E$4="Fluid"),((BX25*BX$51)/(BX$54)),IF(AND(Results!$E$4="Cells",Results!$E$5="Million",$B$52="million"),((BX25*BX$51)/(BX$52)),"0")))))</f>
        <v>0.11828333333333332</v>
      </c>
      <c r="BY78" s="20" t="str">
        <f>IF(BY25=0,"0",IF(AND(Results!$E$5="Protein",$C$53&gt;0,OR(Results!$E$4="Tissue",Results!$E$4="Cells")),((BY25*BY$51)/(BY$53)),IF(AND(Results!$E$5="Weight",$C$52&gt;0, Results!$E$4="Tissue",OR($B$52="g",$B$52="mg")),((BY25*BY$51)/(BY$52)),IF(AND(Results!$E$5="Volume",$C$54&gt;0,Results!$E$4="Fluid"),((BY25*BY$51)/(BY$54)),IF(AND(Results!$E$4="Cells",Results!$E$5="Million",$B$52="million"),((BY25*BY$51)/(BY$52)),"0")))))</f>
        <v>0</v>
      </c>
      <c r="BZ78" s="20" t="str">
        <f>IF(BZ25=0,"0",IF(AND(Results!$E$5="Protein",$C$53&gt;0,OR(Results!$E$4="Tissue",Results!$E$4="Cells")),((BZ25*BZ$51)/(BZ$53)),IF(AND(Results!$E$5="Weight",$C$52&gt;0, Results!$E$4="Tissue",OR($B$52="g",$B$52="mg")),((BZ25*BZ$51)/(BZ$52)),IF(AND(Results!$E$5="Volume",$C$54&gt;0,Results!$E$4="Fluid"),((BZ25*BZ$51)/(BZ$54)),IF(AND(Results!$E$4="Cells",Results!$E$5="Million",$B$52="million"),((BZ25*BZ$51)/(BZ$52)),"0")))))</f>
        <v>0</v>
      </c>
      <c r="CA78" s="20">
        <f>IF(CA25=0,"0",IF(AND(Results!$E$5="Protein",$C$53&gt;0,OR(Results!$E$4="Tissue",Results!$E$4="Cells")),((CA25*CA$51)/(CA$53)),IF(AND(Results!$E$5="Weight",$C$52&gt;0, Results!$E$4="Tissue",OR($B$52="g",$B$52="mg")),((CA25*CA$51)/(CA$52)),IF(AND(Results!$E$5="Volume",$C$54&gt;0,Results!$E$4="Fluid"),((CA25*CA$51)/(CA$54)),IF(AND(Results!$E$4="Cells",Results!$E$5="Million",$B$52="million"),((CA25*CA$51)/(CA$52)),"0")))))</f>
        <v>0.42509999999999998</v>
      </c>
      <c r="CB78" s="20" t="str">
        <f>IF(CB25=0,"0",IF(AND(Results!$E$5="Protein",$C$53&gt;0,OR(Results!$E$4="Tissue",Results!$E$4="Cells")),((CB25*CB$51)/(CB$53)),IF(AND(Results!$E$5="Weight",$C$52&gt;0, Results!$E$4="Tissue",OR($B$52="g",$B$52="mg")),((CB25*CB$51)/(CB$52)),IF(AND(Results!$E$5="Volume",$C$54&gt;0,Results!$E$4="Fluid"),((CB25*CB$51)/(CB$54)),IF(AND(Results!$E$4="Cells",Results!$E$5="Million",$B$52="million"),((CB25*CB$51)/(CB$52)),"0")))))</f>
        <v>0</v>
      </c>
      <c r="CC78" s="20">
        <f>IF(CC25=0,"0",IF(AND(Results!$E$5="Protein",$C$53&gt;0,OR(Results!$E$4="Tissue",Results!$E$4="Cells")),((CC25*CC$51)/(CC$53)),IF(AND(Results!$E$5="Weight",$C$52&gt;0, Results!$E$4="Tissue",OR($B$52="g",$B$52="mg")),((CC25*CC$51)/(CC$52)),IF(AND(Results!$E$5="Volume",$C$54&gt;0,Results!$E$4="Fluid"),((CC25*CC$51)/(CC$54)),IF(AND(Results!$E$4="Cells",Results!$E$5="Million",$B$52="million"),((CC25*CC$51)/(CC$52)),"0")))))</f>
        <v>0.14618333333333336</v>
      </c>
      <c r="CD78" s="20" t="str">
        <f>IF(CD25=0,"0",IF(AND(Results!$E$5="Protein",$C$53&gt;0,OR(Results!$E$4="Tissue",Results!$E$4="Cells")),((CD25*CD$51)/(CD$53)),IF(AND(Results!$E$5="Weight",$C$52&gt;0, Results!$E$4="Tissue",OR($B$52="g",$B$52="mg")),((CD25*CD$51)/(CD$52)),IF(AND(Results!$E$5="Volume",$C$54&gt;0,Results!$E$4="Fluid"),((CD25*CD$51)/(CD$54)),IF(AND(Results!$E$4="Cells",Results!$E$5="Million",$B$52="million"),((CD25*CD$51)/(CD$52)),"0")))))</f>
        <v>0</v>
      </c>
      <c r="CE78" s="20">
        <f>IF(CE25=0,"0",IF(AND(Results!$E$5="Protein",$C$53&gt;0,OR(Results!$E$4="Tissue",Results!$E$4="Cells")),((CE25*CE$51)/(CE$53)),IF(AND(Results!$E$5="Weight",$C$52&gt;0, Results!$E$4="Tissue",OR($B$52="g",$B$52="mg")),((CE25*CE$51)/(CE$52)),IF(AND(Results!$E$5="Volume",$C$54&gt;0,Results!$E$4="Fluid"),((CE25*CE$51)/(CE$54)),IF(AND(Results!$E$4="Cells",Results!$E$5="Million",$B$52="million"),((CE25*CE$51)/(CE$52)),"0")))))</f>
        <v>0.51119999999999999</v>
      </c>
      <c r="CF78" s="20">
        <f>IF(CF25=0,"0",IF(AND(Results!$E$5="Protein",$C$53&gt;0,OR(Results!$E$4="Tissue",Results!$E$4="Cells")),((CF25*CF$51)/(CF$53)),IF(AND(Results!$E$5="Weight",$C$52&gt;0, Results!$E$4="Tissue",OR($B$52="g",$B$52="mg")),((CF25*CF$51)/(CF$52)),IF(AND(Results!$E$5="Volume",$C$54&gt;0,Results!$E$4="Fluid"),((CF25*CF$51)/(CF$54)),IF(AND(Results!$E$4="Cells",Results!$E$5="Million",$B$52="million"),((CF25*CF$51)/(CF$52)),"0")))))</f>
        <v>6.5033333333333332E-2</v>
      </c>
      <c r="CG78" s="20" t="str">
        <f>IF(CG25=0,"0",IF(AND(Results!$E$5="Protein",$C$53&gt;0,OR(Results!$E$4="Tissue",Results!$E$4="Cells")),((CG25*CG$51)/(CG$53)),IF(AND(Results!$E$5="Weight",$C$52&gt;0, Results!$E$4="Tissue",OR($B$52="g",$B$52="mg")),((CG25*CG$51)/(CG$52)),IF(AND(Results!$E$5="Volume",$C$54&gt;0,Results!$E$4="Fluid"),((CG25*CG$51)/(CG$54)),IF(AND(Results!$E$4="Cells",Results!$E$5="Million",$B$52="million"),((CG25*CG$51)/(CG$52)),"0")))))</f>
        <v>0</v>
      </c>
      <c r="CH78" s="20" t="str">
        <f>IF(CH25=0,"0",IF(AND(Results!$E$5="Protein",$C$53&gt;0,OR(Results!$E$4="Tissue",Results!$E$4="Cells")),((CH25*CH$51)/(CH$53)),IF(AND(Results!$E$5="Weight",$C$52&gt;0, Results!$E$4="Tissue",OR($B$52="g",$B$52="mg")),((CH25*CH$51)/(CH$52)),IF(AND(Results!$E$5="Volume",$C$54&gt;0,Results!$E$4="Fluid"),((CH25*CH$51)/(CH$54)),IF(AND(Results!$E$4="Cells",Results!$E$5="Million",$B$52="million"),((CH25*CH$51)/(CH$52)),"0")))))</f>
        <v>0</v>
      </c>
      <c r="CI78" s="20" t="str">
        <f>IF(CI25=0,"0",IF(AND(Results!$E$5="Protein",$C$53&gt;0,OR(Results!$E$4="Tissue",Results!$E$4="Cells")),((CI25*CI$51)/(CI$53)),IF(AND(Results!$E$5="Weight",$C$52&gt;0, Results!$E$4="Tissue",OR($B$52="g",$B$52="mg")),((CI25*CI$51)/(CI$52)),IF(AND(Results!$E$5="Volume",$C$54&gt;0,Results!$E$4="Fluid"),((CI25*CI$51)/(CI$54)),IF(AND(Results!$E$4="Cells",Results!$E$5="Million",$B$52="million"),((CI25*CI$51)/(CI$52)),"0")))))</f>
        <v>0</v>
      </c>
      <c r="CJ78" s="20" t="str">
        <f>IF(CJ25=0,"0",IF(AND(Results!$E$5="Protein",$C$53&gt;0,OR(Results!$E$4="Tissue",Results!$E$4="Cells")),((CJ25*CJ$51)/(CJ$53)),IF(AND(Results!$E$5="Weight",$C$52&gt;0, Results!$E$4="Tissue",OR($B$52="g",$B$52="mg")),((CJ25*CJ$51)/(CJ$52)),IF(AND(Results!$E$5="Volume",$C$54&gt;0,Results!$E$4="Fluid"),((CJ25*CJ$51)/(CJ$54)),IF(AND(Results!$E$4="Cells",Results!$E$5="Million",$B$52="million"),((CJ25*CJ$51)/(CJ$52)),"0")))))</f>
        <v>0</v>
      </c>
      <c r="CK78" s="20">
        <f>IF(CK25=0,"0",IF(AND(Results!$E$5="Protein",$C$53&gt;0,OR(Results!$E$4="Tissue",Results!$E$4="Cells")),((CK25*CK$51)/(CK$53)),IF(AND(Results!$E$5="Weight",$C$52&gt;0, Results!$E$4="Tissue",OR($B$52="g",$B$52="mg")),((CK25*CK$51)/(CK$52)),IF(AND(Results!$E$5="Volume",$C$54&gt;0,Results!$E$4="Fluid"),((CK25*CK$51)/(CK$54)),IF(AND(Results!$E$4="Cells",Results!$E$5="Million",$B$52="million"),((CK25*CK$51)/(CK$52)),"0")))))</f>
        <v>8.5933333333333334E-2</v>
      </c>
      <c r="CL78" s="20">
        <f>IF(CL25=0,"0",IF(AND(Results!$E$5="Protein",$C$53&gt;0,OR(Results!$E$4="Tissue",Results!$E$4="Cells")),((CL25*CL$51)/(CL$53)),IF(AND(Results!$E$5="Weight",$C$52&gt;0, Results!$E$4="Tissue",OR($B$52="g",$B$52="mg")),((CL25*CL$51)/(CL$52)),IF(AND(Results!$E$5="Volume",$C$54&gt;0,Results!$E$4="Fluid"),((CL25*CL$51)/(CL$54)),IF(AND(Results!$E$4="Cells",Results!$E$5="Million",$B$52="million"),((CL25*CL$51)/(CL$52)),"0")))))</f>
        <v>0.4343833333333334</v>
      </c>
      <c r="CM78" s="20">
        <f>IF(CM25=0,"0",IF(AND(Results!$E$5="Protein",$C$53&gt;0,OR(Results!$E$4="Tissue",Results!$E$4="Cells")),((CM25*CM$51)/(CM$53)),IF(AND(Results!$E$5="Weight",$C$52&gt;0, Results!$E$4="Tissue",OR($B$52="g",$B$52="mg")),((CM25*CM$51)/(CM$52)),IF(AND(Results!$E$5="Volume",$C$54&gt;0,Results!$E$4="Fluid"),((CM25*CM$51)/(CM$54)),IF(AND(Results!$E$4="Cells",Results!$E$5="Million",$B$52="million"),((CM25*CM$51)/(CM$52)),"0")))))</f>
        <v>0.3217166666666666</v>
      </c>
      <c r="CN78" s="20">
        <f>IF(CN25=0,"0",IF(AND(Results!$E$5="Protein",$C$53&gt;0,OR(Results!$E$4="Tissue",Results!$E$4="Cells")),((CN25*CN$51)/(CN$53)),IF(AND(Results!$E$5="Weight",$C$52&gt;0, Results!$E$4="Tissue",OR($B$52="g",$B$52="mg")),((CN25*CN$51)/(CN$52)),IF(AND(Results!$E$5="Volume",$C$54&gt;0,Results!$E$4="Fluid"),((CN25*CN$51)/(CN$54)),IF(AND(Results!$E$4="Cells",Results!$E$5="Million",$B$52="million"),((CN25*CN$51)/(CN$52)),"0")))))</f>
        <v>0.13675000000000001</v>
      </c>
      <c r="CO78" s="20" t="str">
        <f>IF(CO25=0,"0",IF(AND(Results!$E$5="Protein",$C$53&gt;0,OR(Results!$E$4="Tissue",Results!$E$4="Cells")),((CO25*CO$51)/(CO$53)),IF(AND(Results!$E$5="Weight",$C$52&gt;0, Results!$E$4="Tissue",OR($B$52="g",$B$52="mg")),((CO25*CO$51)/(CO$52)),IF(AND(Results!$E$5="Volume",$C$54&gt;0,Results!$E$4="Fluid"),((CO25*CO$51)/(CO$54)),IF(AND(Results!$E$4="Cells",Results!$E$5="Million",$B$52="million"),((CO25*CO$51)/(CO$52)),"0")))))</f>
        <v>0</v>
      </c>
      <c r="CP78" s="20">
        <f>IF(CP25=0,"0",IF(AND(Results!$E$5="Protein",$C$53&gt;0,OR(Results!$E$4="Tissue",Results!$E$4="Cells")),((CP25*CP$51)/(CP$53)),IF(AND(Results!$E$5="Weight",$C$52&gt;0, Results!$E$4="Tissue",OR($B$52="g",$B$52="mg")),((CP25*CP$51)/(CP$52)),IF(AND(Results!$E$5="Volume",$C$54&gt;0,Results!$E$4="Fluid"),((CP25*CP$51)/(CP$54)),IF(AND(Results!$E$4="Cells",Results!$E$5="Million",$B$52="million"),((CP25*CP$51)/(CP$52)),"0")))))</f>
        <v>0.12281666666666666</v>
      </c>
      <c r="CQ78" s="20">
        <f>IF(CQ25=0,"0",IF(AND(Results!$E$5="Protein",$C$53&gt;0,OR(Results!$E$4="Tissue",Results!$E$4="Cells")),((CQ25*CQ$51)/(CQ$53)),IF(AND(Results!$E$5="Weight",$C$52&gt;0, Results!$E$4="Tissue",OR($B$52="g",$B$52="mg")),((CQ25*CQ$51)/(CQ$52)),IF(AND(Results!$E$5="Volume",$C$54&gt;0,Results!$E$4="Fluid"),((CQ25*CQ$51)/(CQ$54)),IF(AND(Results!$E$4="Cells",Results!$E$5="Million",$B$52="million"),((CQ25*CQ$51)/(CQ$52)),"0")))))</f>
        <v>0.38356666666666672</v>
      </c>
      <c r="CR78" s="20">
        <f>IF(CR25=0,"0",IF(AND(Results!$E$5="Protein",$C$53&gt;0,OR(Results!$E$4="Tissue",Results!$E$4="Cells")),((CR25*CR$51)/(CR$53)),IF(AND(Results!$E$5="Weight",$C$52&gt;0, Results!$E$4="Tissue",OR($B$52="g",$B$52="mg")),((CR25*CR$51)/(CR$52)),IF(AND(Results!$E$5="Volume",$C$54&gt;0,Results!$E$4="Fluid"),((CR25*CR$51)/(CR$54)),IF(AND(Results!$E$4="Cells",Results!$E$5="Million",$B$52="million"),((CR25*CR$51)/(CR$52)),"0")))))</f>
        <v>1.1779166666666667</v>
      </c>
      <c r="CS78" s="20" t="str">
        <f>IF(CS25=0,"0",IF(AND(Results!$E$5="Protein",$C$53&gt;0,OR(Results!$E$4="Tissue",Results!$E$4="Cells")),((CS25*CS$51)/(CS$53)),IF(AND(Results!$E$5="Weight",$C$52&gt;0, Results!$E$4="Tissue",OR($B$52="g",$B$52="mg")),((CS25*CS$51)/(CS$52)),IF(AND(Results!$E$5="Volume",$C$54&gt;0,Results!$E$4="Fluid"),((CS25*CS$51)/(CS$54)),IF(AND(Results!$E$4="Cells",Results!$E$5="Million",$B$52="million"),((CS25*CS$51)/(CS$52)),"0")))))</f>
        <v>0</v>
      </c>
      <c r="CT78" s="20" t="str">
        <f>IF(CT25=0,"0",IF(AND(Results!$E$5="Protein",$C$53&gt;0,OR(Results!$E$4="Tissue",Results!$E$4="Cells")),((CT25*CT$51)/(CT$53)),IF(AND(Results!$E$5="Weight",$C$52&gt;0, Results!$E$4="Tissue",OR($B$52="g",$B$52="mg")),((CT25*CT$51)/(CT$52)),IF(AND(Results!$E$5="Volume",$C$54&gt;0,Results!$E$4="Fluid"),((CT25*CT$51)/(CT$54)),IF(AND(Results!$E$4="Cells",Results!$E$5="Million",$B$52="million"),((CT25*CT$51)/(CT$52)),"0")))))</f>
        <v>0</v>
      </c>
      <c r="CU78" s="20">
        <f>IF(CU25=0,"0",IF(AND(Results!$E$5="Protein",$C$53&gt;0,OR(Results!$E$4="Tissue",Results!$E$4="Cells")),((CU25*CU$51)/(CU$53)),IF(AND(Results!$E$5="Weight",$C$52&gt;0, Results!$E$4="Tissue",OR($B$52="g",$B$52="mg")),((CU25*CU$51)/(CU$52)),IF(AND(Results!$E$5="Volume",$C$54&gt;0,Results!$E$4="Fluid"),((CU25*CU$51)/(CU$54)),IF(AND(Results!$E$4="Cells",Results!$E$5="Million",$B$52="million"),((CU25*CU$51)/(CU$52)),"0")))))</f>
        <v>0.28238333333333332</v>
      </c>
      <c r="CV78" s="20">
        <f>IF(CV25=0,"0",IF(AND(Results!$E$5="Protein",$C$53&gt;0,OR(Results!$E$4="Tissue",Results!$E$4="Cells")),((CV25*CV$51)/(CV$53)),IF(AND(Results!$E$5="Weight",$C$52&gt;0, Results!$E$4="Tissue",OR($B$52="g",$B$52="mg")),((CV25*CV$51)/(CV$52)),IF(AND(Results!$E$5="Volume",$C$54&gt;0,Results!$E$4="Fluid"),((CV25*CV$51)/(CV$54)),IF(AND(Results!$E$4="Cells",Results!$E$5="Million",$B$52="million"),((CV25*CV$51)/(CV$52)),"0")))))</f>
        <v>0.32271666666666665</v>
      </c>
      <c r="CW78" s="20" t="str">
        <f>IF(CW25=0,"0",IF(AND(Results!$E$5="Protein",$C$53&gt;0,OR(Results!$E$4="Tissue",Results!$E$4="Cells")),((CW25*CW$51)/(CW$53)),IF(AND(Results!$E$5="Weight",$C$52&gt;0, Results!$E$4="Tissue",OR($B$52="g",$B$52="mg")),((CW25*CW$51)/(CW$52)),IF(AND(Results!$E$5="Volume",$C$54&gt;0,Results!$E$4="Fluid"),((CW25*CW$51)/(CW$54)),IF(AND(Results!$E$4="Cells",Results!$E$5="Million",$B$52="million"),((CW25*CW$51)/(CW$52)),"0")))))</f>
        <v>0</v>
      </c>
      <c r="CX78" s="20" t="str">
        <f>IF(CX25=0,"0",IF(AND(Results!$E$5="Protein",$C$53&gt;0,OR(Results!$E$4="Tissue",Results!$E$4="Cells")),((CX25*CX$51)/(CX$53)),IF(AND(Results!$E$5="Weight",$C$52&gt;0, Results!$E$4="Tissue",OR($B$52="g",$B$52="mg")),((CX25*CX$51)/(CX$52)),IF(AND(Results!$E$5="Volume",$C$54&gt;0,Results!$E$4="Fluid"),((CX25*CX$51)/(CX$54)),IF(AND(Results!$E$4="Cells",Results!$E$5="Million",$B$52="million"),((CX25*CX$51)/(CX$52)),"0")))))</f>
        <v>0</v>
      </c>
      <c r="CY78" s="20" t="str">
        <f>IF(CY25=0,"0",IF(AND(Results!$E$5="Protein",$C$53&gt;0,OR(Results!$E$4="Tissue",Results!$E$4="Cells")),((CY25*CY$51)/(CY$53)),IF(AND(Results!$E$5="Weight",$C$52&gt;0, Results!$E$4="Tissue",OR($B$52="g",$B$52="mg")),((CY25*CY$51)/(CY$52)),IF(AND(Results!$E$5="Volume",$C$54&gt;0,Results!$E$4="Fluid"),((CY25*CY$51)/(CY$54)),IF(AND(Results!$E$4="Cells",Results!$E$5="Million",$B$52="million"),((CY25*CY$51)/(CY$52)),"0")))))</f>
        <v>0</v>
      </c>
      <c r="CZ78" s="20">
        <f>IF(CZ25=0,"0",IF(AND(Results!$E$5="Protein",$C$53&gt;0,OR(Results!$E$4="Tissue",Results!$E$4="Cells")),((CZ25*CZ$51)/(CZ$53)),IF(AND(Results!$E$5="Weight",$C$52&gt;0, Results!$E$4="Tissue",OR($B$52="g",$B$52="mg")),((CZ25*CZ$51)/(CZ$52)),IF(AND(Results!$E$5="Volume",$C$54&gt;0,Results!$E$4="Fluid"),((CZ25*CZ$51)/(CZ$54)),IF(AND(Results!$E$4="Cells",Results!$E$5="Million",$B$52="million"),((CZ25*CZ$51)/(CZ$52)),"0")))))</f>
        <v>2.6249999999999999E-2</v>
      </c>
      <c r="DA78" s="20" t="str">
        <f>IF(DA25=0,"0",IF(AND(Results!$E$5="Protein",$C$53&gt;0,OR(Results!$E$4="Tissue",Results!$E$4="Cells")),((DA25*DA$51)/(DA$53)),IF(AND(Results!$E$5="Weight",$C$52&gt;0, Results!$E$4="Tissue",OR($B$52="g",$B$52="mg")),((DA25*DA$51)/(DA$52)),IF(AND(Results!$E$5="Volume",$C$54&gt;0,Results!$E$4="Fluid"),((DA25*DA$51)/(DA$54)),IF(AND(Results!$E$4="Cells",Results!$E$5="Million",$B$52="million"),((DA25*DA$51)/(DA$52)),"0")))))</f>
        <v>0</v>
      </c>
      <c r="DB78" s="20" t="str">
        <f>IF(DB25=0,"0",IF(AND(Results!$E$5="Protein",$C$53&gt;0,OR(Results!$E$4="Tissue",Results!$E$4="Cells")),((DB25*DB$51)/(DB$53)),IF(AND(Results!$E$5="Weight",$C$52&gt;0, Results!$E$4="Tissue",OR($B$52="g",$B$52="mg")),((DB25*DB$51)/(DB$52)),IF(AND(Results!$E$5="Volume",$C$54&gt;0,Results!$E$4="Fluid"),((DB25*DB$51)/(DB$54)),IF(AND(Results!$E$4="Cells",Results!$E$5="Million",$B$52="million"),((DB25*DB$51)/(DB$52)),"0")))))</f>
        <v>0</v>
      </c>
      <c r="DC78" s="20" t="str">
        <f>IF(DC25=0,"0",IF(AND(Results!$E$5="Protein",$C$53&gt;0,OR(Results!$E$4="Tissue",Results!$E$4="Cells")),((DC25*DC$51)/(DC$53)),IF(AND(Results!$E$5="Weight",$C$52&gt;0, Results!$E$4="Tissue",OR($B$52="g",$B$52="mg")),((DC25*DC$51)/(DC$52)),IF(AND(Results!$E$5="Volume",$C$54&gt;0,Results!$E$4="Fluid"),((DC25*DC$51)/(DC$54)),IF(AND(Results!$E$4="Cells",Results!$E$5="Million",$B$52="million"),((DC25*DC$51)/(DC$52)),"0")))))</f>
        <v>0</v>
      </c>
      <c r="DD78" s="20">
        <f>IF(DD25=0,"0",IF(AND(Results!$E$5="Protein",$C$53&gt;0,OR(Results!$E$4="Tissue",Results!$E$4="Cells")),((DD25*DD$51)/(DD$53)),IF(AND(Results!$E$5="Weight",$C$52&gt;0, Results!$E$4="Tissue",OR($B$52="g",$B$52="mg")),((DD25*DD$51)/(DD$52)),IF(AND(Results!$E$5="Volume",$C$54&gt;0,Results!$E$4="Fluid"),((DD25*DD$51)/(DD$54)),IF(AND(Results!$E$4="Cells",Results!$E$5="Million",$B$52="million"),((DD25*DD$51)/(DD$52)),"0")))))</f>
        <v>0.78856666666666664</v>
      </c>
      <c r="DE78" s="20" t="str">
        <f>IF(DE25=0,"0",IF(AND(Results!$E$5="Protein",$C$53&gt;0,OR(Results!$E$4="Tissue",Results!$E$4="Cells")),((DE25*DE$51)/(DE$53)),IF(AND(Results!$E$5="Weight",$C$52&gt;0, Results!$E$4="Tissue",OR($B$52="g",$B$52="mg")),((DE25*DE$51)/(DE$52)),IF(AND(Results!$E$5="Volume",$C$54&gt;0,Results!$E$4="Fluid"),((DE25*DE$51)/(DE$54)),IF(AND(Results!$E$4="Cells",Results!$E$5="Million",$B$52="million"),((DE25*DE$51)/(DE$52)),"0")))))</f>
        <v>0</v>
      </c>
      <c r="DF78" s="20" t="str">
        <f>IF(DF25=0,"0",IF(AND(Results!$E$5="Protein",$C$53&gt;0,OR(Results!$E$4="Tissue",Results!$E$4="Cells")),((DF25*DF$51)/(DF$53)),IF(AND(Results!$E$5="Weight",$C$52&gt;0, Results!$E$4="Tissue",OR($B$52="g",$B$52="mg")),((DF25*DF$51)/(DF$52)),IF(AND(Results!$E$5="Volume",$C$54&gt;0,Results!$E$4="Fluid"),((DF25*DF$51)/(DF$54)),IF(AND(Results!$E$4="Cells",Results!$E$5="Million",$B$52="million"),((DF25*DF$51)/(DF$52)),"0")))))</f>
        <v>0</v>
      </c>
      <c r="DG78" s="20">
        <f>IF(DG25=0,"0",IF(AND(Results!$E$5="Protein",$C$53&gt;0,OR(Results!$E$4="Tissue",Results!$E$4="Cells")),((DG25*DG$51)/(DG$53)),IF(AND(Results!$E$5="Weight",$C$52&gt;0, Results!$E$4="Tissue",OR($B$52="g",$B$52="mg")),((DG25*DG$51)/(DG$52)),IF(AND(Results!$E$5="Volume",$C$54&gt;0,Results!$E$4="Fluid"),((DG25*DG$51)/(DG$54)),IF(AND(Results!$E$4="Cells",Results!$E$5="Million",$B$52="million"),((DG25*DG$51)/(DG$52)),"0")))))</f>
        <v>0.48364999999999997</v>
      </c>
      <c r="DH78" s="20">
        <f>IF(DH25=0,"0",IF(AND(Results!$E$5="Protein",$C$53&gt;0,OR(Results!$E$4="Tissue",Results!$E$4="Cells")),((DH25*DH$51)/(DH$53)),IF(AND(Results!$E$5="Weight",$C$52&gt;0, Results!$E$4="Tissue",OR($B$52="g",$B$52="mg")),((DH25*DH$51)/(DH$52)),IF(AND(Results!$E$5="Volume",$C$54&gt;0,Results!$E$4="Fluid"),((DH25*DH$51)/(DH$54)),IF(AND(Results!$E$4="Cells",Results!$E$5="Million",$B$52="million"),((DH25*DH$51)/(DH$52)),"0")))))</f>
        <v>5.0816666666666663E-2</v>
      </c>
      <c r="DI78" s="20" t="str">
        <f>IF(DI25=0,"0",IF(AND(Results!$E$5="Protein",$C$53&gt;0,OR(Results!$E$4="Tissue",Results!$E$4="Cells")),((DI25*DI$51)/(DI$53)),IF(AND(Results!$E$5="Weight",$C$52&gt;0, Results!$E$4="Tissue",OR($B$52="g",$B$52="mg")),((DI25*DI$51)/(DI$52)),IF(AND(Results!$E$5="Volume",$C$54&gt;0,Results!$E$4="Fluid"),((DI25*DI$51)/(DI$54)),IF(AND(Results!$E$4="Cells",Results!$E$5="Million",$B$52="million"),((DI25*DI$51)/(DI$52)),"0")))))</f>
        <v>0</v>
      </c>
      <c r="DJ78" s="20" t="str">
        <f>IF(DJ25=0,"0",IF(AND(Results!$E$5="Protein",$C$53&gt;0,OR(Results!$E$4="Tissue",Results!$E$4="Cells")),((DJ25*DJ$51)/(DJ$53)),IF(AND(Results!$E$5="Weight",$C$52&gt;0, Results!$E$4="Tissue",OR($B$52="g",$B$52="mg")),((DJ25*DJ$51)/(DJ$52)),IF(AND(Results!$E$5="Volume",$C$54&gt;0,Results!$E$4="Fluid"),((DJ25*DJ$51)/(DJ$54)),IF(AND(Results!$E$4="Cells",Results!$E$5="Million",$B$52="million"),((DJ25*DJ$51)/(DJ$52)),"0")))))</f>
        <v>0</v>
      </c>
      <c r="DK78" s="20">
        <f>IF(DK25=0,"0",IF(AND(Results!$E$5="Protein",$C$53&gt;0,OR(Results!$E$4="Tissue",Results!$E$4="Cells")),((DK25*DK$51)/(DK$53)),IF(AND(Results!$E$5="Weight",$C$52&gt;0, Results!$E$4="Tissue",OR($B$52="g",$B$52="mg")),((DK25*DK$51)/(DK$52)),IF(AND(Results!$E$5="Volume",$C$54&gt;0,Results!$E$4="Fluid"),((DK25*DK$51)/(DK$54)),IF(AND(Results!$E$4="Cells",Results!$E$5="Million",$B$52="million"),((DK25*DK$51)/(DK$52)),"0")))))</f>
        <v>0.18053333333333332</v>
      </c>
      <c r="DL78" s="20" t="str">
        <f>IF(DL25=0,"0",IF(AND(Results!$E$5="Protein",$C$53&gt;0,OR(Results!$E$4="Tissue",Results!$E$4="Cells")),((DL25*DL$51)/(DL$53)),IF(AND(Results!$E$5="Weight",$C$52&gt;0, Results!$E$4="Tissue",OR($B$52="g",$B$52="mg")),((DL25*DL$51)/(DL$52)),IF(AND(Results!$E$5="Volume",$C$54&gt;0,Results!$E$4="Fluid"),((DL25*DL$51)/(DL$54)),IF(AND(Results!$E$4="Cells",Results!$E$5="Million",$B$52="million"),((DL25*DL$51)/(DL$52)),"0")))))</f>
        <v>0</v>
      </c>
      <c r="DM78" s="20" t="str">
        <f>IF(DM25=0,"0",IF(AND(Results!$E$5="Protein",$C$53&gt;0,OR(Results!$E$4="Tissue",Results!$E$4="Cells")),((DM25*DM$51)/(DM$53)),IF(AND(Results!$E$5="Weight",$C$52&gt;0, Results!$E$4="Tissue",OR($B$52="g",$B$52="mg")),((DM25*DM$51)/(DM$52)),IF(AND(Results!$E$5="Volume",$C$54&gt;0,Results!$E$4="Fluid"),((DM25*DM$51)/(DM$54)),IF(AND(Results!$E$4="Cells",Results!$E$5="Million",$B$52="million"),((DM25*DM$51)/(DM$52)),"0")))))</f>
        <v>0</v>
      </c>
      <c r="DN78" s="20" t="str">
        <f>IF(DN25=0,"0",IF(AND(Results!$E$5="Protein",$C$53&gt;0,OR(Results!$E$4="Tissue",Results!$E$4="Cells")),((DN25*DN$51)/(DN$53)),IF(AND(Results!$E$5="Weight",$C$52&gt;0, Results!$E$4="Tissue",OR($B$52="g",$B$52="mg")),((DN25*DN$51)/(DN$52)),IF(AND(Results!$E$5="Volume",$C$54&gt;0,Results!$E$4="Fluid"),((DN25*DN$51)/(DN$54)),IF(AND(Results!$E$4="Cells",Results!$E$5="Million",$B$52="million"),((DN25*DN$51)/(DN$52)),"0")))))</f>
        <v>0</v>
      </c>
      <c r="DO78" s="20">
        <f>IF(DO25=0,"0",IF(AND(Results!$E$5="Protein",$C$53&gt;0,OR(Results!$E$4="Tissue",Results!$E$4="Cells")),((DO25*DO$51)/(DO$53)),IF(AND(Results!$E$5="Weight",$C$52&gt;0, Results!$E$4="Tissue",OR($B$52="g",$B$52="mg")),((DO25*DO$51)/(DO$52)),IF(AND(Results!$E$5="Volume",$C$54&gt;0,Results!$E$4="Fluid"),((DO25*DO$51)/(DO$54)),IF(AND(Results!$E$4="Cells",Results!$E$5="Million",$B$52="million"),((DO25*DO$51)/(DO$52)),"0")))))</f>
        <v>0.34984999999999999</v>
      </c>
      <c r="DP78" s="20">
        <f>IF(DP25=0,"0",IF(AND(Results!$E$5="Protein",$C$53&gt;0,OR(Results!$E$4="Tissue",Results!$E$4="Cells")),((DP25*DP$51)/(DP$53)),IF(AND(Results!$E$5="Weight",$C$52&gt;0, Results!$E$4="Tissue",OR($B$52="g",$B$52="mg")),((DP25*DP$51)/(DP$52)),IF(AND(Results!$E$5="Volume",$C$54&gt;0,Results!$E$4="Fluid"),((DP25*DP$51)/(DP$54)),IF(AND(Results!$E$4="Cells",Results!$E$5="Million",$B$52="million"),((DP25*DP$51)/(DP$52)),"0")))))</f>
        <v>8.2116666666666671E-2</v>
      </c>
      <c r="DQ78" s="20" t="str">
        <f>IF(DQ25=0,"0",IF(AND(Results!$E$5="Protein",$C$53&gt;0,OR(Results!$E$4="Tissue",Results!$E$4="Cells")),((DQ25*DQ$51)/(DQ$53)),IF(AND(Results!$E$5="Weight",$C$52&gt;0, Results!$E$4="Tissue",OR($B$52="g",$B$52="mg")),((DQ25*DQ$51)/(DQ$52)),IF(AND(Results!$E$5="Volume",$C$54&gt;0,Results!$E$4="Fluid"),((DQ25*DQ$51)/(DQ$54)),IF(AND(Results!$E$4="Cells",Results!$E$5="Million",$B$52="million"),((DQ25*DQ$51)/(DQ$52)),"0")))))</f>
        <v>0</v>
      </c>
      <c r="DR78" s="20" t="str">
        <f>IF(DR25=0,"0",IF(AND(Results!$E$5="Protein",$C$53&gt;0,OR(Results!$E$4="Tissue",Results!$E$4="Cells")),((DR25*DR$51)/(DR$53)),IF(AND(Results!$E$5="Weight",$C$52&gt;0, Results!$E$4="Tissue",OR($B$52="g",$B$52="mg")),((DR25*DR$51)/(DR$52)),IF(AND(Results!$E$5="Volume",$C$54&gt;0,Results!$E$4="Fluid"),((DR25*DR$51)/(DR$54)),IF(AND(Results!$E$4="Cells",Results!$E$5="Million",$B$52="million"),((DR25*DR$51)/(DR$52)),"0")))))</f>
        <v>0</v>
      </c>
      <c r="DS78" s="20">
        <f>IF(DS25=0,"0",IF(AND(Results!$E$5="Protein",$C$53&gt;0,OR(Results!$E$4="Tissue",Results!$E$4="Cells")),((DS25*DS$51)/(DS$53)),IF(AND(Results!$E$5="Weight",$C$52&gt;0, Results!$E$4="Tissue",OR($B$52="g",$B$52="mg")),((DS25*DS$51)/(DS$52)),IF(AND(Results!$E$5="Volume",$C$54&gt;0,Results!$E$4="Fluid"),((DS25*DS$51)/(DS$54)),IF(AND(Results!$E$4="Cells",Results!$E$5="Million",$B$52="million"),((DS25*DS$51)/(DS$52)),"0")))))</f>
        <v>0.17476666666666668</v>
      </c>
      <c r="DT78" s="20" t="str">
        <f>IF(DT25=0,"0",IF(AND(Results!$E$5="Protein",$C$53&gt;0,OR(Results!$E$4="Tissue",Results!$E$4="Cells")),((DT25*DT$51)/(DT$53)),IF(AND(Results!$E$5="Weight",$C$52&gt;0, Results!$E$4="Tissue",OR($B$52="g",$B$52="mg")),((DT25*DT$51)/(DT$52)),IF(AND(Results!$E$5="Volume",$C$54&gt;0,Results!$E$4="Fluid"),((DT25*DT$51)/(DT$54)),IF(AND(Results!$E$4="Cells",Results!$E$5="Million",$B$52="million"),((DT25*DT$51)/(DT$52)),"0")))))</f>
        <v>0</v>
      </c>
      <c r="DU78" s="20" t="str">
        <f>IF(DU25=0,"0",IF(AND(Results!$E$5="Protein",$C$53&gt;0,OR(Results!$E$4="Tissue",Results!$E$4="Cells")),((DU25*DU$51)/(DU$53)),IF(AND(Results!$E$5="Weight",$C$52&gt;0, Results!$E$4="Tissue",OR($B$52="g",$B$52="mg")),((DU25*DU$51)/(DU$52)),IF(AND(Results!$E$5="Volume",$C$54&gt;0,Results!$E$4="Fluid"),((DU25*DU$51)/(DU$54)),IF(AND(Results!$E$4="Cells",Results!$E$5="Million",$B$52="million"),((DU25*DU$51)/(DU$52)),"0")))))</f>
        <v>0</v>
      </c>
      <c r="DV78" s="20">
        <f>IF(DV25=0,"0",IF(AND(Results!$E$5="Protein",$C$53&gt;0,OR(Results!$E$4="Tissue",Results!$E$4="Cells")),((DV25*DV$51)/(DV$53)),IF(AND(Results!$E$5="Weight",$C$52&gt;0, Results!$E$4="Tissue",OR($B$52="g",$B$52="mg")),((DV25*DV$51)/(DV$52)),IF(AND(Results!$E$5="Volume",$C$54&gt;0,Results!$E$4="Fluid"),((DV25*DV$51)/(DV$54)),IF(AND(Results!$E$4="Cells",Results!$E$5="Million",$B$52="million"),((DV25*DV$51)/(DV$52)),"0")))))</f>
        <v>0.13248333333333334</v>
      </c>
      <c r="DW78" s="20">
        <f>IF(DW25=0,"0",IF(AND(Results!$E$5="Protein",$C$53&gt;0,OR(Results!$E$4="Tissue",Results!$E$4="Cells")),((DW25*DW$51)/(DW$53)),IF(AND(Results!$E$5="Weight",$C$52&gt;0, Results!$E$4="Tissue",OR($B$52="g",$B$52="mg")),((DW25*DW$51)/(DW$52)),IF(AND(Results!$E$5="Volume",$C$54&gt;0,Results!$E$4="Fluid"),((DW25*DW$51)/(DW$54)),IF(AND(Results!$E$4="Cells",Results!$E$5="Million",$B$52="million"),((DW25*DW$51)/(DW$52)),"0")))))</f>
        <v>0.1844166666666667</v>
      </c>
      <c r="DX78" s="20" t="str">
        <f>IF(DX25=0,"0",IF(AND(Results!$E$5="Protein",$C$53&gt;0,OR(Results!$E$4="Tissue",Results!$E$4="Cells")),((DX25*DX$51)/(DX$53)),IF(AND(Results!$E$5="Weight",$C$52&gt;0, Results!$E$4="Tissue",OR($B$52="g",$B$52="mg")),((DX25*DX$51)/(DX$52)),IF(AND(Results!$E$5="Volume",$C$54&gt;0,Results!$E$4="Fluid"),((DX25*DX$51)/(DX$54)),IF(AND(Results!$E$4="Cells",Results!$E$5="Million",$B$52="million"),((DX25*DX$51)/(DX$52)),"0")))))</f>
        <v>0</v>
      </c>
      <c r="DY78" s="20" t="str">
        <f>IF(DY25=0,"0",IF(AND(Results!$E$5="Protein",$C$53&gt;0,OR(Results!$E$4="Tissue",Results!$E$4="Cells")),((DY25*DY$51)/(DY$53)),IF(AND(Results!$E$5="Weight",$C$52&gt;0, Results!$E$4="Tissue",OR($B$52="g",$B$52="mg")),((DY25*DY$51)/(DY$52)),IF(AND(Results!$E$5="Volume",$C$54&gt;0,Results!$E$4="Fluid"),((DY25*DY$51)/(DY$54)),IF(AND(Results!$E$4="Cells",Results!$E$5="Million",$B$52="million"),((DY25*DY$51)/(DY$52)),"0")))))</f>
        <v>0</v>
      </c>
      <c r="DZ78" s="20" t="str">
        <f>IF(DZ25=0,"0",IF(AND(Results!$E$5="Protein",$C$53&gt;0,OR(Results!$E$4="Tissue",Results!$E$4="Cells")),((DZ25*DZ$51)/(DZ$53)),IF(AND(Results!$E$5="Weight",$C$52&gt;0, Results!$E$4="Tissue",OR($B$52="g",$B$52="mg")),((DZ25*DZ$51)/(DZ$52)),IF(AND(Results!$E$5="Volume",$C$54&gt;0,Results!$E$4="Fluid"),((DZ25*DZ$51)/(DZ$54)),IF(AND(Results!$E$4="Cells",Results!$E$5="Million",$B$52="million"),((DZ25*DZ$51)/(DZ$52)),"0")))))</f>
        <v>0</v>
      </c>
      <c r="EA78" s="20">
        <f>IF(EA25=0,"0",IF(AND(Results!$E$5="Protein",$C$53&gt;0,OR(Results!$E$4="Tissue",Results!$E$4="Cells")),((EA25*EA$51)/(EA$53)),IF(AND(Results!$E$5="Weight",$C$52&gt;0, Results!$E$4="Tissue",OR($B$52="g",$B$52="mg")),((EA25*EA$51)/(EA$52)),IF(AND(Results!$E$5="Volume",$C$54&gt;0,Results!$E$4="Fluid"),((EA25*EA$51)/(EA$54)),IF(AND(Results!$E$4="Cells",Results!$E$5="Million",$B$52="million"),((EA25*EA$51)/(EA$52)),"0")))))</f>
        <v>0.25935000000000002</v>
      </c>
      <c r="EB78" s="20" t="str">
        <f>IF(EB25=0,"0",IF(AND(Results!$E$5="Protein",$C$53&gt;0,OR(Results!$E$4="Tissue",Results!$E$4="Cells")),((EB25*EB$51)/(EB$53)),IF(AND(Results!$E$5="Weight",$C$52&gt;0, Results!$E$4="Tissue",OR($B$52="g",$B$52="mg")),((EB25*EB$51)/(EB$52)),IF(AND(Results!$E$5="Volume",$C$54&gt;0,Results!$E$4="Fluid"),((EB25*EB$51)/(EB$54)),IF(AND(Results!$E$4="Cells",Results!$E$5="Million",$B$52="million"),((EB25*EB$51)/(EB$52)),"0")))))</f>
        <v>0</v>
      </c>
      <c r="EC78" s="20" t="str">
        <f>IF(EC25=0,"0",IF(AND(Results!$E$5="Protein",$C$53&gt;0,OR(Results!$E$4="Tissue",Results!$E$4="Cells")),((EC25*EC$51)/(EC$53)),IF(AND(Results!$E$5="Weight",$C$52&gt;0, Results!$E$4="Tissue",OR($B$52="g",$B$52="mg")),((EC25*EC$51)/(EC$52)),IF(AND(Results!$E$5="Volume",$C$54&gt;0,Results!$E$4="Fluid"),((EC25*EC$51)/(EC$54)),IF(AND(Results!$E$4="Cells",Results!$E$5="Million",$B$52="million"),((EC25*EC$51)/(EC$52)),"0")))))</f>
        <v>0</v>
      </c>
      <c r="ED78" s="20">
        <f>IF(ED25=0,"0",IF(AND(Results!$E$5="Protein",$C$53&gt;0,OR(Results!$E$4="Tissue",Results!$E$4="Cells")),((ED25*ED$51)/(ED$53)),IF(AND(Results!$E$5="Weight",$C$52&gt;0, Results!$E$4="Tissue",OR($B$52="g",$B$52="mg")),((ED25*ED$51)/(ED$52)),IF(AND(Results!$E$5="Volume",$C$54&gt;0,Results!$E$4="Fluid"),((ED25*ED$51)/(ED$54)),IF(AND(Results!$E$4="Cells",Results!$E$5="Million",$B$52="million"),((ED25*ED$51)/(ED$52)),"0")))))</f>
        <v>0.13276666666666664</v>
      </c>
      <c r="EE78" s="20" t="str">
        <f>IF(EE25=0,"0",IF(AND(Results!$E$5="Protein",$C$53&gt;0,OR(Results!$E$4="Tissue",Results!$E$4="Cells")),((EE25*EE$51)/(EE$53)),IF(AND(Results!$E$5="Weight",$C$52&gt;0, Results!$E$4="Tissue",OR($B$52="g",$B$52="mg")),((EE25*EE$51)/(EE$52)),IF(AND(Results!$E$5="Volume",$C$54&gt;0,Results!$E$4="Fluid"),((EE25*EE$51)/(EE$54)),IF(AND(Results!$E$4="Cells",Results!$E$5="Million",$B$52="million"),((EE25*EE$51)/(EE$52)),"0")))))</f>
        <v>0</v>
      </c>
      <c r="EF78" s="20" t="str">
        <f>IF(EF25=0,"0",IF(AND(Results!$E$5="Protein",$C$53&gt;0,OR(Results!$E$4="Tissue",Results!$E$4="Cells")),((EF25*EF$51)/(EF$53)),IF(AND(Results!$E$5="Weight",$C$52&gt;0, Results!$E$4="Tissue",OR($B$52="g",$B$52="mg")),((EF25*EF$51)/(EF$52)),IF(AND(Results!$E$5="Volume",$C$54&gt;0,Results!$E$4="Fluid"),((EF25*EF$51)/(EF$54)),IF(AND(Results!$E$4="Cells",Results!$E$5="Million",$B$52="million"),((EF25*EF$51)/(EF$52)),"0")))))</f>
        <v>0</v>
      </c>
      <c r="EG78" s="20" t="str">
        <f>IF(EG25=0,"0",IF(AND(Results!$E$5="Protein",$C$53&gt;0,OR(Results!$E$4="Tissue",Results!$E$4="Cells")),((EG25*EG$51)/(EG$53)),IF(AND(Results!$E$5="Weight",$C$52&gt;0, Results!$E$4="Tissue",OR($B$52="g",$B$52="mg")),((EG25*EG$51)/(EG$52)),IF(AND(Results!$E$5="Volume",$C$54&gt;0,Results!$E$4="Fluid"),((EG25*EG$51)/(EG$54)),IF(AND(Results!$E$4="Cells",Results!$E$5="Million",$B$52="million"),((EG25*EG$51)/(EG$52)),"0")))))</f>
        <v>0</v>
      </c>
      <c r="EH78" s="20">
        <f>IF(EH25=0,"0",IF(AND(Results!$E$5="Protein",$C$53&gt;0,OR(Results!$E$4="Tissue",Results!$E$4="Cells")),((EH25*EH$51)/(EH$53)),IF(AND(Results!$E$5="Weight",$C$52&gt;0, Results!$E$4="Tissue",OR($B$52="g",$B$52="mg")),((EH25*EH$51)/(EH$52)),IF(AND(Results!$E$5="Volume",$C$54&gt;0,Results!$E$4="Fluid"),((EH25*EH$51)/(EH$54)),IF(AND(Results!$E$4="Cells",Results!$E$5="Million",$B$52="million"),((EH25*EH$51)/(EH$52)),"0")))))</f>
        <v>0.11183333333333335</v>
      </c>
      <c r="EI78" s="20" t="str">
        <f>IF(EI25=0,"0",IF(AND(Results!$E$5="Protein",$C$53&gt;0,OR(Results!$E$4="Tissue",Results!$E$4="Cells")),((EI25*EI$51)/(EI$53)),IF(AND(Results!$E$5="Weight",$C$52&gt;0, Results!$E$4="Tissue",OR($B$52="g",$B$52="mg")),((EI25*EI$51)/(EI$52)),IF(AND(Results!$E$5="Volume",$C$54&gt;0,Results!$E$4="Fluid"),((EI25*EI$51)/(EI$54)),IF(AND(Results!$E$4="Cells",Results!$E$5="Million",$B$52="million"),((EI25*EI$51)/(EI$52)),"0")))))</f>
        <v>0</v>
      </c>
      <c r="EJ78" s="20" t="str">
        <f>IF(EJ25=0,"0",IF(AND(Results!$E$5="Protein",$C$53&gt;0,OR(Results!$E$4="Tissue",Results!$E$4="Cells")),((EJ25*EJ$51)/(EJ$53)),IF(AND(Results!$E$5="Weight",$C$52&gt;0, Results!$E$4="Tissue",OR($B$52="g",$B$52="mg")),((EJ25*EJ$51)/(EJ$52)),IF(AND(Results!$E$5="Volume",$C$54&gt;0,Results!$E$4="Fluid"),((EJ25*EJ$51)/(EJ$54)),IF(AND(Results!$E$4="Cells",Results!$E$5="Million",$B$52="million"),((EJ25*EJ$51)/(EJ$52)),"0")))))</f>
        <v>0</v>
      </c>
      <c r="EK78" s="20">
        <f>IF(EK25=0,"0",IF(AND(Results!$E$5="Protein",$C$53&gt;0,OR(Results!$E$4="Tissue",Results!$E$4="Cells")),((EK25*EK$51)/(EK$53)),IF(AND(Results!$E$5="Weight",$C$52&gt;0, Results!$E$4="Tissue",OR($B$52="g",$B$52="mg")),((EK25*EK$51)/(EK$52)),IF(AND(Results!$E$5="Volume",$C$54&gt;0,Results!$E$4="Fluid"),((EK25*EK$51)/(EK$54)),IF(AND(Results!$E$4="Cells",Results!$E$5="Million",$B$52="million"),((EK25*EK$51)/(EK$52)),"0")))))</f>
        <v>0.57071666666666665</v>
      </c>
      <c r="EL78" s="20">
        <f>IF(EL25=0,"0",IF(AND(Results!$E$5="Protein",$C$53&gt;0,OR(Results!$E$4="Tissue",Results!$E$4="Cells")),((EL25*EL$51)/(EL$53)),IF(AND(Results!$E$5="Weight",$C$52&gt;0, Results!$E$4="Tissue",OR($B$52="g",$B$52="mg")),((EL25*EL$51)/(EL$52)),IF(AND(Results!$E$5="Volume",$C$54&gt;0,Results!$E$4="Fluid"),((EL25*EL$51)/(EL$54)),IF(AND(Results!$E$4="Cells",Results!$E$5="Million",$B$52="million"),((EL25*EL$51)/(EL$52)),"0")))))</f>
        <v>9.9733333333333327E-2</v>
      </c>
      <c r="EM78" s="20" t="str">
        <f>IF(EM25=0,"0",IF(AND(Results!$E$5="Protein",$C$53&gt;0,OR(Results!$E$4="Tissue",Results!$E$4="Cells")),((EM25*EM$51)/(EM$53)),IF(AND(Results!$E$5="Weight",$C$52&gt;0, Results!$E$4="Tissue",OR($B$52="g",$B$52="mg")),((EM25*EM$51)/(EM$52)),IF(AND(Results!$E$5="Volume",$C$54&gt;0,Results!$E$4="Fluid"),((EM25*EM$51)/(EM$54)),IF(AND(Results!$E$4="Cells",Results!$E$5="Million",$B$52="million"),((EM25*EM$51)/(EM$52)),"0")))))</f>
        <v>0</v>
      </c>
      <c r="EN78" s="20" t="str">
        <f>IF(EN25=0,"0",IF(AND(Results!$E$5="Protein",$C$53&gt;0,OR(Results!$E$4="Tissue",Results!$E$4="Cells")),((EN25*EN$51)/(EN$53)),IF(AND(Results!$E$5="Weight",$C$52&gt;0, Results!$E$4="Tissue",OR($B$52="g",$B$52="mg")),((EN25*EN$51)/(EN$52)),IF(AND(Results!$E$5="Volume",$C$54&gt;0,Results!$E$4="Fluid"),((EN25*EN$51)/(EN$54)),IF(AND(Results!$E$4="Cells",Results!$E$5="Million",$B$52="million"),((EN25*EN$51)/(EN$52)),"0")))))</f>
        <v>0</v>
      </c>
      <c r="EO78" s="20" t="str">
        <f>IF(EO25=0,"0",IF(AND(Results!$E$5="Protein",$C$53&gt;0,OR(Results!$E$4="Tissue",Results!$E$4="Cells")),((EO25*EO$51)/(EO$53)),IF(AND(Results!$E$5="Weight",$C$52&gt;0, Results!$E$4="Tissue",OR($B$52="g",$B$52="mg")),((EO25*EO$51)/(EO$52)),IF(AND(Results!$E$5="Volume",$C$54&gt;0,Results!$E$4="Fluid"),((EO25*EO$51)/(EO$54)),IF(AND(Results!$E$4="Cells",Results!$E$5="Million",$B$52="million"),((EO25*EO$51)/(EO$52)),"0")))))</f>
        <v>0</v>
      </c>
      <c r="EP78" s="20">
        <f>IF(EP25=0,"0",IF(AND(Results!$E$5="Protein",$C$53&gt;0,OR(Results!$E$4="Tissue",Results!$E$4="Cells")),((EP25*EP$51)/(EP$53)),IF(AND(Results!$E$5="Weight",$C$52&gt;0, Results!$E$4="Tissue",OR($B$52="g",$B$52="mg")),((EP25*EP$51)/(EP$52)),IF(AND(Results!$E$5="Volume",$C$54&gt;0,Results!$E$4="Fluid"),((EP25*EP$51)/(EP$54)),IF(AND(Results!$E$4="Cells",Results!$E$5="Million",$B$52="million"),((EP25*EP$51)/(EP$52)),"0")))))</f>
        <v>9.6966666666666659E-2</v>
      </c>
      <c r="EQ78" s="20">
        <f>IF(EQ25=0,"0",IF(AND(Results!$E$5="Protein",$C$53&gt;0,OR(Results!$E$4="Tissue",Results!$E$4="Cells")),((EQ25*EQ$51)/(EQ$53)),IF(AND(Results!$E$5="Weight",$C$52&gt;0, Results!$E$4="Tissue",OR($B$52="g",$B$52="mg")),((EQ25*EQ$51)/(EQ$52)),IF(AND(Results!$E$5="Volume",$C$54&gt;0,Results!$E$4="Fluid"),((EQ25*EQ$51)/(EQ$54)),IF(AND(Results!$E$4="Cells",Results!$E$5="Million",$B$52="million"),((EQ25*EQ$51)/(EQ$52)),"0")))))</f>
        <v>0.29378333333333334</v>
      </c>
      <c r="ER78" s="20">
        <f>IF(ER25=0,"0",IF(AND(Results!$E$5="Protein",$C$53&gt;0,OR(Results!$E$4="Tissue",Results!$E$4="Cells")),((ER25*ER$51)/(ER$53)),IF(AND(Results!$E$5="Weight",$C$52&gt;0, Results!$E$4="Tissue",OR($B$52="g",$B$52="mg")),((ER25*ER$51)/(ER$52)),IF(AND(Results!$E$5="Volume",$C$54&gt;0,Results!$E$4="Fluid"),((ER25*ER$51)/(ER$54)),IF(AND(Results!$E$4="Cells",Results!$E$5="Million",$B$52="million"),((ER25*ER$51)/(ER$52)),"0")))))</f>
        <v>4.8183333333333335E-2</v>
      </c>
      <c r="ES78" s="20">
        <f>IF(ES25=0,"0",IF(AND(Results!$E$5="Protein",$C$53&gt;0,OR(Results!$E$4="Tissue",Results!$E$4="Cells")),((ES25*ES$51)/(ES$53)),IF(AND(Results!$E$5="Weight",$C$52&gt;0, Results!$E$4="Tissue",OR($B$52="g",$B$52="mg")),((ES25*ES$51)/(ES$52)),IF(AND(Results!$E$5="Volume",$C$54&gt;0,Results!$E$4="Fluid"),((ES25*ES$51)/(ES$54)),IF(AND(Results!$E$4="Cells",Results!$E$5="Million",$B$52="million"),((ES25*ES$51)/(ES$52)),"0")))))</f>
        <v>0.26056666666666667</v>
      </c>
      <c r="ET78" s="20">
        <f>IF(ET25=0,"0",IF(AND(Results!$E$5="Protein",$C$53&gt;0,OR(Results!$E$4="Tissue",Results!$E$4="Cells")),((ET25*ET$51)/(ET$53)),IF(AND(Results!$E$5="Weight",$C$52&gt;0, Results!$E$4="Tissue",OR($B$52="g",$B$52="mg")),((ET25*ET$51)/(ET$52)),IF(AND(Results!$E$5="Volume",$C$54&gt;0,Results!$E$4="Fluid"),((ET25*ET$51)/(ET$54)),IF(AND(Results!$E$4="Cells",Results!$E$5="Million",$B$52="million"),((ET25*ET$51)/(ET$52)),"0")))))</f>
        <v>6.8066666666666664E-2</v>
      </c>
      <c r="EU78" s="20">
        <f>IF(EU25=0,"0",IF(AND(Results!$E$5="Protein",$C$53&gt;0,OR(Results!$E$4="Tissue",Results!$E$4="Cells")),((EU25*EU$51)/(EU$53)),IF(AND(Results!$E$5="Weight",$C$52&gt;0, Results!$E$4="Tissue",OR($B$52="g",$B$52="mg")),((EU25*EU$51)/(EU$52)),IF(AND(Results!$E$5="Volume",$C$54&gt;0,Results!$E$4="Fluid"),((EU25*EU$51)/(EU$54)),IF(AND(Results!$E$4="Cells",Results!$E$5="Million",$B$52="million"),((EU25*EU$51)/(EU$52)),"0")))))</f>
        <v>0.28661666666666663</v>
      </c>
      <c r="EV78" s="20" t="str">
        <f>IF(EV25=0,"0",IF(AND(Results!$E$5="Protein",$C$53&gt;0,OR(Results!$E$4="Tissue",Results!$E$4="Cells")),((EV25*EV$51)/(EV$53)),IF(AND(Results!$E$5="Weight",$C$52&gt;0, Results!$E$4="Tissue",OR($B$52="g",$B$52="mg")),((EV25*EV$51)/(EV$52)),IF(AND(Results!$E$5="Volume",$C$54&gt;0,Results!$E$4="Fluid"),((EV25*EV$51)/(EV$54)),IF(AND(Results!$E$4="Cells",Results!$E$5="Million",$B$52="million"),((EV25*EV$51)/(EV$52)),"0")))))</f>
        <v>0</v>
      </c>
      <c r="EW78" s="20" t="str">
        <f>IF(EW25=0,"0",IF(AND(Results!$E$5="Protein",$C$53&gt;0,OR(Results!$E$4="Tissue",Results!$E$4="Cells")),((EW25*EW$51)/(EW$53)),IF(AND(Results!$E$5="Weight",$C$52&gt;0, Results!$E$4="Tissue",OR($B$52="g",$B$52="mg")),((EW25*EW$51)/(EW$52)),IF(AND(Results!$E$5="Volume",$C$54&gt;0,Results!$E$4="Fluid"),((EW25*EW$51)/(EW$54)),IF(AND(Results!$E$4="Cells",Results!$E$5="Million",$B$52="million"),((EW25*EW$51)/(EW$52)),"0")))))</f>
        <v>0</v>
      </c>
      <c r="EX78" s="20">
        <f>IF(EX25=0,"0",IF(AND(Results!$E$5="Protein",$C$53&gt;0,OR(Results!$E$4="Tissue",Results!$E$4="Cells")),((EX25*EX$51)/(EX$53)),IF(AND(Results!$E$5="Weight",$C$52&gt;0, Results!$E$4="Tissue",OR($B$52="g",$B$52="mg")),((EX25*EX$51)/(EX$52)),IF(AND(Results!$E$5="Volume",$C$54&gt;0,Results!$E$4="Fluid"),((EX25*EX$51)/(EX$54)),IF(AND(Results!$E$4="Cells",Results!$E$5="Million",$B$52="million"),((EX25*EX$51)/(EX$52)),"0")))))</f>
        <v>0.47283333333333333</v>
      </c>
      <c r="EY78" s="20">
        <f>IF(EY25=0,"0",IF(AND(Results!$E$5="Protein",$C$53&gt;0,OR(Results!$E$4="Tissue",Results!$E$4="Cells")),((EY25*EY$51)/(EY$53)),IF(AND(Results!$E$5="Weight",$C$52&gt;0, Results!$E$4="Tissue",OR($B$52="g",$B$52="mg")),((EY25*EY$51)/(EY$52)),IF(AND(Results!$E$5="Volume",$C$54&gt;0,Results!$E$4="Fluid"),((EY25*EY$51)/(EY$54)),IF(AND(Results!$E$4="Cells",Results!$E$5="Million",$B$52="million"),((EY25*EY$51)/(EY$52)),"0")))))</f>
        <v>0.31393333333333329</v>
      </c>
      <c r="EZ78" s="20" t="str">
        <f>IF(EZ25=0,"0",IF(AND(Results!$E$5="Protein",$C$53&gt;0,OR(Results!$E$4="Tissue",Results!$E$4="Cells")),((EZ25*EZ$51)/(EZ$53)),IF(AND(Results!$E$5="Weight",$C$52&gt;0, Results!$E$4="Tissue",OR($B$52="g",$B$52="mg")),((EZ25*EZ$51)/(EZ$52)),IF(AND(Results!$E$5="Volume",$C$54&gt;0,Results!$E$4="Fluid"),((EZ25*EZ$51)/(EZ$54)),IF(AND(Results!$E$4="Cells",Results!$E$5="Million",$B$52="million"),((EZ25*EZ$51)/(EZ$52)),"0")))))</f>
        <v>0</v>
      </c>
      <c r="FA78" s="20" t="str">
        <f>IF(FA25=0,"0",IF(AND(Results!$E$5="Protein",$C$53&gt;0,OR(Results!$E$4="Tissue",Results!$E$4="Cells")),((FA25*FA$51)/(FA$53)),IF(AND(Results!$E$5="Weight",$C$52&gt;0, Results!$E$4="Tissue",OR($B$52="g",$B$52="mg")),((FA25*FA$51)/(FA$52)),IF(AND(Results!$E$5="Volume",$C$54&gt;0,Results!$E$4="Fluid"),((FA25*FA$51)/(FA$54)),IF(AND(Results!$E$4="Cells",Results!$E$5="Million",$B$52="million"),((FA25*FA$51)/(FA$52)),"0")))))</f>
        <v>0</v>
      </c>
      <c r="FB78" s="20" t="str">
        <f>IF(FB25=0,"0",IF(AND(Results!$E$5="Protein",$C$53&gt;0,OR(Results!$E$4="Tissue",Results!$E$4="Cells")),((FB25*FB$51)/(FB$53)),IF(AND(Results!$E$5="Weight",$C$52&gt;0, Results!$E$4="Tissue",OR($B$52="g",$B$52="mg")),((FB25*FB$51)/(FB$52)),IF(AND(Results!$E$5="Volume",$C$54&gt;0,Results!$E$4="Fluid"),((FB25*FB$51)/(FB$54)),IF(AND(Results!$E$4="Cells",Results!$E$5="Million",$B$52="million"),((FB25*FB$51)/(FB$52)),"0")))))</f>
        <v>0</v>
      </c>
      <c r="FC78" s="20">
        <f>IF(FC25=0,"0",IF(AND(Results!$E$5="Protein",$C$53&gt;0,OR(Results!$E$4="Tissue",Results!$E$4="Cells")),((FC25*FC$51)/(FC$53)),IF(AND(Results!$E$5="Weight",$C$52&gt;0, Results!$E$4="Tissue",OR($B$52="g",$B$52="mg")),((FC25*FC$51)/(FC$52)),IF(AND(Results!$E$5="Volume",$C$54&gt;0,Results!$E$4="Fluid"),((FC25*FC$51)/(FC$54)),IF(AND(Results!$E$4="Cells",Results!$E$5="Million",$B$52="million"),((FC25*FC$51)/(FC$52)),"0")))))</f>
        <v>0.11863333333333334</v>
      </c>
      <c r="FD78" s="20" t="str">
        <f>IF(FD25=0,"0",IF(AND(Results!$E$5="Protein",$C$53&gt;0,OR(Results!$E$4="Tissue",Results!$E$4="Cells")),((FD25*FD$51)/(FD$53)),IF(AND(Results!$E$5="Weight",$C$52&gt;0, Results!$E$4="Tissue",OR($B$52="g",$B$52="mg")),((FD25*FD$51)/(FD$52)),IF(AND(Results!$E$5="Volume",$C$54&gt;0,Results!$E$4="Fluid"),((FD25*FD$51)/(FD$54)),IF(AND(Results!$E$4="Cells",Results!$E$5="Million",$B$52="million"),((FD25*FD$51)/(FD$52)),"0")))))</f>
        <v>0</v>
      </c>
      <c r="FE78" s="20" t="str">
        <f>IF(FE25=0,"0",IF(AND(Results!$E$5="Protein",$C$53&gt;0,OR(Results!$E$4="Tissue",Results!$E$4="Cells")),((FE25*FE$51)/(FE$53)),IF(AND(Results!$E$5="Weight",$C$52&gt;0, Results!$E$4="Tissue",OR($B$52="g",$B$52="mg")),((FE25*FE$51)/(FE$52)),IF(AND(Results!$E$5="Volume",$C$54&gt;0,Results!$E$4="Fluid"),((FE25*FE$51)/(FE$54)),IF(AND(Results!$E$4="Cells",Results!$E$5="Million",$B$52="million"),((FE25*FE$51)/(FE$52)),"0")))))</f>
        <v>0</v>
      </c>
      <c r="FF78" s="20">
        <f>IF(FF25=0,"0",IF(AND(Results!$E$5="Protein",$C$53&gt;0,OR(Results!$E$4="Tissue",Results!$E$4="Cells")),((FF25*FF$51)/(FF$53)),IF(AND(Results!$E$5="Weight",$C$52&gt;0, Results!$E$4="Tissue",OR($B$52="g",$B$52="mg")),((FF25*FF$51)/(FF$52)),IF(AND(Results!$E$5="Volume",$C$54&gt;0,Results!$E$4="Fluid"),((FF25*FF$51)/(FF$54)),IF(AND(Results!$E$4="Cells",Results!$E$5="Million",$B$52="million"),((FF25*FF$51)/(FF$52)),"0")))))</f>
        <v>0.61616666666666664</v>
      </c>
      <c r="FG78" s="20">
        <f>IF(FG25=0,"0",IF(AND(Results!$E$5="Protein",$C$53&gt;0,OR(Results!$E$4="Tissue",Results!$E$4="Cells")),((FG25*FG$51)/(FG$53)),IF(AND(Results!$E$5="Weight",$C$52&gt;0, Results!$E$4="Tissue",OR($B$52="g",$B$52="mg")),((FG25*FG$51)/(FG$52)),IF(AND(Results!$E$5="Volume",$C$54&gt;0,Results!$E$4="Fluid"),((FG25*FG$51)/(FG$54)),IF(AND(Results!$E$4="Cells",Results!$E$5="Million",$B$52="million"),((FG25*FG$51)/(FG$52)),"0")))))</f>
        <v>9.501666666666668E-2</v>
      </c>
      <c r="FH78" s="20" t="str">
        <f>IF(FH25=0,"0",IF(AND(Results!$E$5="Protein",$C$53&gt;0,OR(Results!$E$4="Tissue",Results!$E$4="Cells")),((FH25*FH$51)/(FH$53)),IF(AND(Results!$E$5="Weight",$C$52&gt;0, Results!$E$4="Tissue",OR($B$52="g",$B$52="mg")),((FH25*FH$51)/(FH$52)),IF(AND(Results!$E$5="Volume",$C$54&gt;0,Results!$E$4="Fluid"),((FH25*FH$51)/(FH$54)),IF(AND(Results!$E$4="Cells",Results!$E$5="Million",$B$52="million"),((FH25*FH$51)/(FH$52)),"0")))))</f>
        <v>0</v>
      </c>
      <c r="FI78" s="20">
        <f>IF(FI25=0,"0",IF(AND(Results!$E$5="Protein",$C$53&gt;0,OR(Results!$E$4="Tissue",Results!$E$4="Cells")),((FI25*FI$51)/(FI$53)),IF(AND(Results!$E$5="Weight",$C$52&gt;0, Results!$E$4="Tissue",OR($B$52="g",$B$52="mg")),((FI25*FI$51)/(FI$52)),IF(AND(Results!$E$5="Volume",$C$54&gt;0,Results!$E$4="Fluid"),((FI25*FI$51)/(FI$54)),IF(AND(Results!$E$4="Cells",Results!$E$5="Million",$B$52="million"),((FI25*FI$51)/(FI$52)),"0")))))</f>
        <v>0.18573333333333333</v>
      </c>
      <c r="FJ78" s="20">
        <f>IF(FJ25=0,"0",IF(AND(Results!$E$5="Protein",$C$53&gt;0,OR(Results!$E$4="Tissue",Results!$E$4="Cells")),((FJ25*FJ$51)/(FJ$53)),IF(AND(Results!$E$5="Weight",$C$52&gt;0, Results!$E$4="Tissue",OR($B$52="g",$B$52="mg")),((FJ25*FJ$51)/(FJ$52)),IF(AND(Results!$E$5="Volume",$C$54&gt;0,Results!$E$4="Fluid"),((FJ25*FJ$51)/(FJ$54)),IF(AND(Results!$E$4="Cells",Results!$E$5="Million",$B$52="million"),((FJ25*FJ$51)/(FJ$52)),"0")))))</f>
        <v>0.54249999999999998</v>
      </c>
      <c r="FK78" s="20" t="str">
        <f>IF(FK25=0,"0",IF(AND(Results!$E$5="Protein",$C$53&gt;0,OR(Results!$E$4="Tissue",Results!$E$4="Cells")),((FK25*FK$51)/(FK$53)),IF(AND(Results!$E$5="Weight",$C$52&gt;0, Results!$E$4="Tissue",OR($B$52="g",$B$52="mg")),((FK25*FK$51)/(FK$52)),IF(AND(Results!$E$5="Volume",$C$54&gt;0,Results!$E$4="Fluid"),((FK25*FK$51)/(FK$54)),IF(AND(Results!$E$4="Cells",Results!$E$5="Million",$B$52="million"),((FK25*FK$51)/(FK$52)),"0")))))</f>
        <v>0</v>
      </c>
      <c r="FL78" s="20" t="str">
        <f>IF(FL25=0,"0",IF(AND(Results!$E$5="Protein",$C$53&gt;0,OR(Results!$E$4="Tissue",Results!$E$4="Cells")),((FL25*FL$51)/(FL$53)),IF(AND(Results!$E$5="Weight",$C$52&gt;0, Results!$E$4="Tissue",OR($B$52="g",$B$52="mg")),((FL25*FL$51)/(FL$52)),IF(AND(Results!$E$5="Volume",$C$54&gt;0,Results!$E$4="Fluid"),((FL25*FL$51)/(FL$54)),IF(AND(Results!$E$4="Cells",Results!$E$5="Million",$B$52="million"),((FL25*FL$51)/(FL$52)),"0")))))</f>
        <v>0</v>
      </c>
      <c r="FM78" s="20" t="str">
        <f>IF(FM25=0,"0",IF(AND(Results!$E$5="Protein",$C$53&gt;0,OR(Results!$E$4="Tissue",Results!$E$4="Cells")),((FM25*FM$51)/(FM$53)),IF(AND(Results!$E$5="Weight",$C$52&gt;0, Results!$E$4="Tissue",OR($B$52="g",$B$52="mg")),((FM25*FM$51)/(FM$52)),IF(AND(Results!$E$5="Volume",$C$54&gt;0,Results!$E$4="Fluid"),((FM25*FM$51)/(FM$54)),IF(AND(Results!$E$4="Cells",Results!$E$5="Million",$B$52="million"),((FM25*FM$51)/(FM$52)),"0")))))</f>
        <v>0</v>
      </c>
      <c r="FN78" s="20" t="str">
        <f>IF(FN25=0,"0",IF(AND(Results!$E$5="Protein",$C$53&gt;0,OR(Results!$E$4="Tissue",Results!$E$4="Cells")),((FN25*FN$51)/(FN$53)),IF(AND(Results!$E$5="Weight",$C$52&gt;0, Results!$E$4="Tissue",OR($B$52="g",$B$52="mg")),((FN25*FN$51)/(FN$52)),IF(AND(Results!$E$5="Volume",$C$54&gt;0,Results!$E$4="Fluid"),((FN25*FN$51)/(FN$54)),IF(AND(Results!$E$4="Cells",Results!$E$5="Million",$B$52="million"),((FN25*FN$51)/(FN$52)),"0")))))</f>
        <v>0</v>
      </c>
      <c r="FO78" s="20">
        <f>IF(FO25=0,"0",IF(AND(Results!$E$5="Protein",$C$53&gt;0,OR(Results!$E$4="Tissue",Results!$E$4="Cells")),((FO25*FO$51)/(FO$53)),IF(AND(Results!$E$5="Weight",$C$52&gt;0, Results!$E$4="Tissue",OR($B$52="g",$B$52="mg")),((FO25*FO$51)/(FO$52)),IF(AND(Results!$E$5="Volume",$C$54&gt;0,Results!$E$4="Fluid"),((FO25*FO$51)/(FO$54)),IF(AND(Results!$E$4="Cells",Results!$E$5="Million",$B$52="million"),((FO25*FO$51)/(FO$52)),"0")))))</f>
        <v>7.406666666666667E-2</v>
      </c>
    </row>
    <row r="79" spans="1:171" x14ac:dyDescent="0.2">
      <c r="A79" s="120" t="str">
        <f t="shared" si="0"/>
        <v xml:space="preserve">PGD2 </v>
      </c>
      <c r="B79" s="121"/>
      <c r="C79" s="20" t="str">
        <f>IF(C26=0,"0",IF(AND(Results!$E$5="Protein",$C$53&gt;0,OR(Results!$E$4="Tissue",Results!$E$4="Cells")),((C26*C$51)/(C$53)),IF(AND(Results!$E$5="Weight",$C$52&gt;0, Results!$E$4="Tissue",OR($B$52="g",$B$52="mg")),((C26*C$51)/(C$52)),IF(AND(Results!$E$5="Volume",$C$54&gt;0,Results!$E$4="Fluid"),((C26*C$51)/(C$54)),IF(AND(Results!$E$4="Cells",Results!$E$5="Million",$B$52="million"),((C26*C$51)/(C$52)),"0")))))</f>
        <v>0</v>
      </c>
      <c r="D79" s="20" t="str">
        <f>IF(D26=0,"0",IF(AND(Results!$E$5="Protein",$C$53&gt;0,OR(Results!$E$4="Tissue",Results!$E$4="Cells")),((D26*D$51)/(D$53)),IF(AND(Results!$E$5="Weight",$C$52&gt;0, Results!$E$4="Tissue",OR($B$52="g",$B$52="mg")),((D26*D$51)/(D$52)),IF(AND(Results!$E$5="Volume",$C$54&gt;0,Results!$E$4="Fluid"),((D26*D$51)/(D$54)),IF(AND(Results!$E$4="Cells",Results!$E$5="Million",$B$52="million"),((D26*D$51)/(D$52)),"0")))))</f>
        <v>0</v>
      </c>
      <c r="E79" s="20" t="str">
        <f>IF(E26=0,"0",IF(AND(Results!$E$5="Protein",$C$53&gt;0,OR(Results!$E$4="Tissue",Results!$E$4="Cells")),((E26*E$51)/(E$53)),IF(AND(Results!$E$5="Weight",$C$52&gt;0, Results!$E$4="Tissue",OR($B$52="g",$B$52="mg")),((E26*E$51)/(E$52)),IF(AND(Results!$E$5="Volume",$C$54&gt;0,Results!$E$4="Fluid"),((E26*E$51)/(E$54)),IF(AND(Results!$E$4="Cells",Results!$E$5="Million",$B$52="million"),((E26*E$51)/(E$52)),"0")))))</f>
        <v>0</v>
      </c>
      <c r="F79" s="20" t="str">
        <f>IF(F26=0,"0",IF(AND(Results!$E$5="Protein",$C$53&gt;0,OR(Results!$E$4="Tissue",Results!$E$4="Cells")),((F26*F$51)/(F$53)),IF(AND(Results!$E$5="Weight",$C$52&gt;0, Results!$E$4="Tissue",OR($B$52="g",$B$52="mg")),((F26*F$51)/(F$52)),IF(AND(Results!$E$5="Volume",$C$54&gt;0,Results!$E$4="Fluid"),((F26*F$51)/(F$54)),IF(AND(Results!$E$4="Cells",Results!$E$5="Million",$B$52="million"),((F26*F$51)/(F$52)),"0")))))</f>
        <v>0</v>
      </c>
      <c r="G79" s="20" t="str">
        <f>IF(G26=0,"0",IF(AND(Results!$E$5="Protein",$C$53&gt;0,OR(Results!$E$4="Tissue",Results!$E$4="Cells")),((G26*G$51)/(G$53)),IF(AND(Results!$E$5="Weight",$C$52&gt;0, Results!$E$4="Tissue",OR($B$52="g",$B$52="mg")),((G26*G$51)/(G$52)),IF(AND(Results!$E$5="Volume",$C$54&gt;0,Results!$E$4="Fluid"),((G26*G$51)/(G$54)),IF(AND(Results!$E$4="Cells",Results!$E$5="Million",$B$52="million"),((G26*G$51)/(G$52)),"0")))))</f>
        <v>0</v>
      </c>
      <c r="H79" s="20" t="str">
        <f>IF(H26=0,"0",IF(AND(Results!$E$5="Protein",$C$53&gt;0,OR(Results!$E$4="Tissue",Results!$E$4="Cells")),((H26*H$51)/(H$53)),IF(AND(Results!$E$5="Weight",$C$52&gt;0, Results!$E$4="Tissue",OR($B$52="g",$B$52="mg")),((H26*H$51)/(H$52)),IF(AND(Results!$E$5="Volume",$C$54&gt;0,Results!$E$4="Fluid"),((H26*H$51)/(H$54)),IF(AND(Results!$E$4="Cells",Results!$E$5="Million",$B$52="million"),((H26*H$51)/(H$52)),"0")))))</f>
        <v>0</v>
      </c>
      <c r="I79" s="20" t="str">
        <f>IF(I26=0,"0",IF(AND(Results!$E$5="Protein",$C$53&gt;0,OR(Results!$E$4="Tissue",Results!$E$4="Cells")),((I26*I$51)/(I$53)),IF(AND(Results!$E$5="Weight",$C$52&gt;0, Results!$E$4="Tissue",OR($B$52="g",$B$52="mg")),((I26*I$51)/(I$52)),IF(AND(Results!$E$5="Volume",$C$54&gt;0,Results!$E$4="Fluid"),((I26*I$51)/(I$54)),IF(AND(Results!$E$4="Cells",Results!$E$5="Million",$B$52="million"),((I26*I$51)/(I$52)),"0")))))</f>
        <v>0</v>
      </c>
      <c r="J79" s="20" t="str">
        <f>IF(J26=0,"0",IF(AND(Results!$E$5="Protein",$C$53&gt;0,OR(Results!$E$4="Tissue",Results!$E$4="Cells")),((J26*J$51)/(J$53)),IF(AND(Results!$E$5="Weight",$C$52&gt;0, Results!$E$4="Tissue",OR($B$52="g",$B$52="mg")),((J26*J$51)/(J$52)),IF(AND(Results!$E$5="Volume",$C$54&gt;0,Results!$E$4="Fluid"),((J26*J$51)/(J$54)),IF(AND(Results!$E$4="Cells",Results!$E$5="Million",$B$52="million"),((J26*J$51)/(J$52)),"0")))))</f>
        <v>0</v>
      </c>
      <c r="K79" s="20" t="str">
        <f>IF(K26=0,"0",IF(AND(Results!$E$5="Protein",$C$53&gt;0,OR(Results!$E$4="Tissue",Results!$E$4="Cells")),((K26*K$51)/(K$53)),IF(AND(Results!$E$5="Weight",$C$52&gt;0, Results!$E$4="Tissue",OR($B$52="g",$B$52="mg")),((K26*K$51)/(K$52)),IF(AND(Results!$E$5="Volume",$C$54&gt;0,Results!$E$4="Fluid"),((K26*K$51)/(K$54)),IF(AND(Results!$E$4="Cells",Results!$E$5="Million",$B$52="million"),((K26*K$51)/(K$52)),"0")))))</f>
        <v>0</v>
      </c>
      <c r="L79" s="20" t="str">
        <f>IF(L26=0,"0",IF(AND(Results!$E$5="Protein",$C$53&gt;0,OR(Results!$E$4="Tissue",Results!$E$4="Cells")),((L26*L$51)/(L$53)),IF(AND(Results!$E$5="Weight",$C$52&gt;0, Results!$E$4="Tissue",OR($B$52="g",$B$52="mg")),((L26*L$51)/(L$52)),IF(AND(Results!$E$5="Volume",$C$54&gt;0,Results!$E$4="Fluid"),((L26*L$51)/(L$54)),IF(AND(Results!$E$4="Cells",Results!$E$5="Million",$B$52="million"),((L26*L$51)/(L$52)),"0")))))</f>
        <v>0</v>
      </c>
      <c r="M79" s="20" t="str">
        <f>IF(M26=0,"0",IF(AND(Results!$E$5="Protein",$C$53&gt;0,OR(Results!$E$4="Tissue",Results!$E$4="Cells")),((M26*M$51)/(M$53)),IF(AND(Results!$E$5="Weight",$C$52&gt;0, Results!$E$4="Tissue",OR($B$52="g",$B$52="mg")),((M26*M$51)/(M$52)),IF(AND(Results!$E$5="Volume",$C$54&gt;0,Results!$E$4="Fluid"),((M26*M$51)/(M$54)),IF(AND(Results!$E$4="Cells",Results!$E$5="Million",$B$52="million"),((M26*M$51)/(M$52)),"0")))))</f>
        <v>0</v>
      </c>
      <c r="N79" s="20" t="str">
        <f>IF(N26=0,"0",IF(AND(Results!$E$5="Protein",$C$53&gt;0,OR(Results!$E$4="Tissue",Results!$E$4="Cells")),((N26*N$51)/(N$53)),IF(AND(Results!$E$5="Weight",$C$52&gt;0, Results!$E$4="Tissue",OR($B$52="g",$B$52="mg")),((N26*N$51)/(N$52)),IF(AND(Results!$E$5="Volume",$C$54&gt;0,Results!$E$4="Fluid"),((N26*N$51)/(N$54)),IF(AND(Results!$E$4="Cells",Results!$E$5="Million",$B$52="million"),((N26*N$51)/(N$52)),"0")))))</f>
        <v>0</v>
      </c>
      <c r="O79" s="20" t="str">
        <f>IF(O26=0,"0",IF(AND(Results!$E$5="Protein",$C$53&gt;0,OR(Results!$E$4="Tissue",Results!$E$4="Cells")),((O26*O$51)/(O$53)),IF(AND(Results!$E$5="Weight",$C$52&gt;0, Results!$E$4="Tissue",OR($B$52="g",$B$52="mg")),((O26*O$51)/(O$52)),IF(AND(Results!$E$5="Volume",$C$54&gt;0,Results!$E$4="Fluid"),((O26*O$51)/(O$54)),IF(AND(Results!$E$4="Cells",Results!$E$5="Million",$B$52="million"),((O26*O$51)/(O$52)),"0")))))</f>
        <v>0</v>
      </c>
      <c r="P79" s="20" t="str">
        <f>IF(P26=0,"0",IF(AND(Results!$E$5="Protein",$C$53&gt;0,OR(Results!$E$4="Tissue",Results!$E$4="Cells")),((P26*P$51)/(P$53)),IF(AND(Results!$E$5="Weight",$C$52&gt;0, Results!$E$4="Tissue",OR($B$52="g",$B$52="mg")),((P26*P$51)/(P$52)),IF(AND(Results!$E$5="Volume",$C$54&gt;0,Results!$E$4="Fluid"),((P26*P$51)/(P$54)),IF(AND(Results!$E$4="Cells",Results!$E$5="Million",$B$52="million"),((P26*P$51)/(P$52)),"0")))))</f>
        <v>0</v>
      </c>
      <c r="Q79" s="20" t="str">
        <f>IF(Q26=0,"0",IF(AND(Results!$E$5="Protein",$C$53&gt;0,OR(Results!$E$4="Tissue",Results!$E$4="Cells")),((Q26*Q$51)/(Q$53)),IF(AND(Results!$E$5="Weight",$C$52&gt;0, Results!$E$4="Tissue",OR($B$52="g",$B$52="mg")),((Q26*Q$51)/(Q$52)),IF(AND(Results!$E$5="Volume",$C$54&gt;0,Results!$E$4="Fluid"),((Q26*Q$51)/(Q$54)),IF(AND(Results!$E$4="Cells",Results!$E$5="Million",$B$52="million"),((Q26*Q$51)/(Q$52)),"0")))))</f>
        <v>0</v>
      </c>
      <c r="R79" s="20" t="str">
        <f>IF(R26=0,"0",IF(AND(Results!$E$5="Protein",$C$53&gt;0,OR(Results!$E$4="Tissue",Results!$E$4="Cells")),((R26*R$51)/(R$53)),IF(AND(Results!$E$5="Weight",$C$52&gt;0, Results!$E$4="Tissue",OR($B$52="g",$B$52="mg")),((R26*R$51)/(R$52)),IF(AND(Results!$E$5="Volume",$C$54&gt;0,Results!$E$4="Fluid"),((R26*R$51)/(R$54)),IF(AND(Results!$E$4="Cells",Results!$E$5="Million",$B$52="million"),((R26*R$51)/(R$52)),"0")))))</f>
        <v>0</v>
      </c>
      <c r="S79" s="20" t="str">
        <f>IF(S26=0,"0",IF(AND(Results!$E$5="Protein",$C$53&gt;0,OR(Results!$E$4="Tissue",Results!$E$4="Cells")),((S26*S$51)/(S$53)),IF(AND(Results!$E$5="Weight",$C$52&gt;0, Results!$E$4="Tissue",OR($B$52="g",$B$52="mg")),((S26*S$51)/(S$52)),IF(AND(Results!$E$5="Volume",$C$54&gt;0,Results!$E$4="Fluid"),((S26*S$51)/(S$54)),IF(AND(Results!$E$4="Cells",Results!$E$5="Million",$B$52="million"),((S26*S$51)/(S$52)),"0")))))</f>
        <v>0</v>
      </c>
      <c r="T79" s="20" t="str">
        <f>IF(T26=0,"0",IF(AND(Results!$E$5="Protein",$C$53&gt;0,OR(Results!$E$4="Tissue",Results!$E$4="Cells")),((T26*T$51)/(T$53)),IF(AND(Results!$E$5="Weight",$C$52&gt;0, Results!$E$4="Tissue",OR($B$52="g",$B$52="mg")),((T26*T$51)/(T$52)),IF(AND(Results!$E$5="Volume",$C$54&gt;0,Results!$E$4="Fluid"),((T26*T$51)/(T$54)),IF(AND(Results!$E$4="Cells",Results!$E$5="Million",$B$52="million"),((T26*T$51)/(T$52)),"0")))))</f>
        <v>0</v>
      </c>
      <c r="U79" s="20" t="str">
        <f>IF(U26=0,"0",IF(AND(Results!$E$5="Protein",$C$53&gt;0,OR(Results!$E$4="Tissue",Results!$E$4="Cells")),((U26*U$51)/(U$53)),IF(AND(Results!$E$5="Weight",$C$52&gt;0, Results!$E$4="Tissue",OR($B$52="g",$B$52="mg")),((U26*U$51)/(U$52)),IF(AND(Results!$E$5="Volume",$C$54&gt;0,Results!$E$4="Fluid"),((U26*U$51)/(U$54)),IF(AND(Results!$E$4="Cells",Results!$E$5="Million",$B$52="million"),((U26*U$51)/(U$52)),"0")))))</f>
        <v>0</v>
      </c>
      <c r="V79" s="20" t="str">
        <f>IF(V26=0,"0",IF(AND(Results!$E$5="Protein",$C$53&gt;0,OR(Results!$E$4="Tissue",Results!$E$4="Cells")),((V26*V$51)/(V$53)),IF(AND(Results!$E$5="Weight",$C$52&gt;0, Results!$E$4="Tissue",OR($B$52="g",$B$52="mg")),((V26*V$51)/(V$52)),IF(AND(Results!$E$5="Volume",$C$54&gt;0,Results!$E$4="Fluid"),((V26*V$51)/(V$54)),IF(AND(Results!$E$4="Cells",Results!$E$5="Million",$B$52="million"),((V26*V$51)/(V$52)),"0")))))</f>
        <v>0</v>
      </c>
      <c r="W79" s="20" t="str">
        <f>IF(W26=0,"0",IF(AND(Results!$E$5="Protein",$C$53&gt;0,OR(Results!$E$4="Tissue",Results!$E$4="Cells")),((W26*W$51)/(W$53)),IF(AND(Results!$E$5="Weight",$C$52&gt;0, Results!$E$4="Tissue",OR($B$52="g",$B$52="mg")),((W26*W$51)/(W$52)),IF(AND(Results!$E$5="Volume",$C$54&gt;0,Results!$E$4="Fluid"),((W26*W$51)/(W$54)),IF(AND(Results!$E$4="Cells",Results!$E$5="Million",$B$52="million"),((W26*W$51)/(W$52)),"0")))))</f>
        <v>0</v>
      </c>
      <c r="X79" s="20" t="str">
        <f>IF(X26=0,"0",IF(AND(Results!$E$5="Protein",$C$53&gt;0,OR(Results!$E$4="Tissue",Results!$E$4="Cells")),((X26*X$51)/(X$53)),IF(AND(Results!$E$5="Weight",$C$52&gt;0, Results!$E$4="Tissue",OR($B$52="g",$B$52="mg")),((X26*X$51)/(X$52)),IF(AND(Results!$E$5="Volume",$C$54&gt;0,Results!$E$4="Fluid"),((X26*X$51)/(X$54)),IF(AND(Results!$E$4="Cells",Results!$E$5="Million",$B$52="million"),((X26*X$51)/(X$52)),"0")))))</f>
        <v>0</v>
      </c>
      <c r="Y79" s="20" t="str">
        <f>IF(Y26=0,"0",IF(AND(Results!$E$5="Protein",$C$53&gt;0,OR(Results!$E$4="Tissue",Results!$E$4="Cells")),((Y26*Y$51)/(Y$53)),IF(AND(Results!$E$5="Weight",$C$52&gt;0, Results!$E$4="Tissue",OR($B$52="g",$B$52="mg")),((Y26*Y$51)/(Y$52)),IF(AND(Results!$E$5="Volume",$C$54&gt;0,Results!$E$4="Fluid"),((Y26*Y$51)/(Y$54)),IF(AND(Results!$E$4="Cells",Results!$E$5="Million",$B$52="million"),((Y26*Y$51)/(Y$52)),"0")))))</f>
        <v>0</v>
      </c>
      <c r="Z79" s="20" t="str">
        <f>IF(Z26=0,"0",IF(AND(Results!$E$5="Protein",$C$53&gt;0,OR(Results!$E$4="Tissue",Results!$E$4="Cells")),((Z26*Z$51)/(Z$53)),IF(AND(Results!$E$5="Weight",$C$52&gt;0, Results!$E$4="Tissue",OR($B$52="g",$B$52="mg")),((Z26*Z$51)/(Z$52)),IF(AND(Results!$E$5="Volume",$C$54&gt;0,Results!$E$4="Fluid"),((Z26*Z$51)/(Z$54)),IF(AND(Results!$E$4="Cells",Results!$E$5="Million",$B$52="million"),((Z26*Z$51)/(Z$52)),"0")))))</f>
        <v>0</v>
      </c>
      <c r="AA79" s="20" t="str">
        <f>IF(AA26=0,"0",IF(AND(Results!$E$5="Protein",$C$53&gt;0,OR(Results!$E$4="Tissue",Results!$E$4="Cells")),((AA26*AA$51)/(AA$53)),IF(AND(Results!$E$5="Weight",$C$52&gt;0, Results!$E$4="Tissue",OR($B$52="g",$B$52="mg")),((AA26*AA$51)/(AA$52)),IF(AND(Results!$E$5="Volume",$C$54&gt;0,Results!$E$4="Fluid"),((AA26*AA$51)/(AA$54)),IF(AND(Results!$E$4="Cells",Results!$E$5="Million",$B$52="million"),((AA26*AA$51)/(AA$52)),"0")))))</f>
        <v>0</v>
      </c>
      <c r="AB79" s="20" t="str">
        <f>IF(AB26=0,"0",IF(AND(Results!$E$5="Protein",$C$53&gt;0,OR(Results!$E$4="Tissue",Results!$E$4="Cells")),((AB26*AB$51)/(AB$53)),IF(AND(Results!$E$5="Weight",$C$52&gt;0, Results!$E$4="Tissue",OR($B$52="g",$B$52="mg")),((AB26*AB$51)/(AB$52)),IF(AND(Results!$E$5="Volume",$C$54&gt;0,Results!$E$4="Fluid"),((AB26*AB$51)/(AB$54)),IF(AND(Results!$E$4="Cells",Results!$E$5="Million",$B$52="million"),((AB26*AB$51)/(AB$52)),"0")))))</f>
        <v>0</v>
      </c>
      <c r="AC79" s="20" t="str">
        <f>IF(AC26=0,"0",IF(AND(Results!$E$5="Protein",$C$53&gt;0,OR(Results!$E$4="Tissue",Results!$E$4="Cells")),((AC26*AC$51)/(AC$53)),IF(AND(Results!$E$5="Weight",$C$52&gt;0, Results!$E$4="Tissue",OR($B$52="g",$B$52="mg")),((AC26*AC$51)/(AC$52)),IF(AND(Results!$E$5="Volume",$C$54&gt;0,Results!$E$4="Fluid"),((AC26*AC$51)/(AC$54)),IF(AND(Results!$E$4="Cells",Results!$E$5="Million",$B$52="million"),((AC26*AC$51)/(AC$52)),"0")))))</f>
        <v>0</v>
      </c>
      <c r="AD79" s="20" t="str">
        <f>IF(AD26=0,"0",IF(AND(Results!$E$5="Protein",$C$53&gt;0,OR(Results!$E$4="Tissue",Results!$E$4="Cells")),((AD26*AD$51)/(AD$53)),IF(AND(Results!$E$5="Weight",$C$52&gt;0, Results!$E$4="Tissue",OR($B$52="g",$B$52="mg")),((AD26*AD$51)/(AD$52)),IF(AND(Results!$E$5="Volume",$C$54&gt;0,Results!$E$4="Fluid"),((AD26*AD$51)/(AD$54)),IF(AND(Results!$E$4="Cells",Results!$E$5="Million",$B$52="million"),((AD26*AD$51)/(AD$52)),"0")))))</f>
        <v>0</v>
      </c>
      <c r="AE79" s="20" t="str">
        <f>IF(AE26=0,"0",IF(AND(Results!$E$5="Protein",$C$53&gt;0,OR(Results!$E$4="Tissue",Results!$E$4="Cells")),((AE26*AE$51)/(AE$53)),IF(AND(Results!$E$5="Weight",$C$52&gt;0, Results!$E$4="Tissue",OR($B$52="g",$B$52="mg")),((AE26*AE$51)/(AE$52)),IF(AND(Results!$E$5="Volume",$C$54&gt;0,Results!$E$4="Fluid"),((AE26*AE$51)/(AE$54)),IF(AND(Results!$E$4="Cells",Results!$E$5="Million",$B$52="million"),((AE26*AE$51)/(AE$52)),"0")))))</f>
        <v>0</v>
      </c>
      <c r="AF79" s="20" t="str">
        <f>IF(AF26=0,"0",IF(AND(Results!$E$5="Protein",$C$53&gt;0,OR(Results!$E$4="Tissue",Results!$E$4="Cells")),((AF26*AF$51)/(AF$53)),IF(AND(Results!$E$5="Weight",$C$52&gt;0, Results!$E$4="Tissue",OR($B$52="g",$B$52="mg")),((AF26*AF$51)/(AF$52)),IF(AND(Results!$E$5="Volume",$C$54&gt;0,Results!$E$4="Fluid"),((AF26*AF$51)/(AF$54)),IF(AND(Results!$E$4="Cells",Results!$E$5="Million",$B$52="million"),((AF26*AF$51)/(AF$52)),"0")))))</f>
        <v>0</v>
      </c>
      <c r="AG79" s="20" t="str">
        <f>IF(AG26=0,"0",IF(AND(Results!$E$5="Protein",$C$53&gt;0,OR(Results!$E$4="Tissue",Results!$E$4="Cells")),((AG26*AG$51)/(AG$53)),IF(AND(Results!$E$5="Weight",$C$52&gt;0, Results!$E$4="Tissue",OR($B$52="g",$B$52="mg")),((AG26*AG$51)/(AG$52)),IF(AND(Results!$E$5="Volume",$C$54&gt;0,Results!$E$4="Fluid"),((AG26*AG$51)/(AG$54)),IF(AND(Results!$E$4="Cells",Results!$E$5="Million",$B$52="million"),((AG26*AG$51)/(AG$52)),"0")))))</f>
        <v>0</v>
      </c>
      <c r="AH79" s="20" t="str">
        <f>IF(AH26=0,"0",IF(AND(Results!$E$5="Protein",$C$53&gt;0,OR(Results!$E$4="Tissue",Results!$E$4="Cells")),((AH26*AH$51)/(AH$53)),IF(AND(Results!$E$5="Weight",$C$52&gt;0, Results!$E$4="Tissue",OR($B$52="g",$B$52="mg")),((AH26*AH$51)/(AH$52)),IF(AND(Results!$E$5="Volume",$C$54&gt;0,Results!$E$4="Fluid"),((AH26*AH$51)/(AH$54)),IF(AND(Results!$E$4="Cells",Results!$E$5="Million",$B$52="million"),((AH26*AH$51)/(AH$52)),"0")))))</f>
        <v>0</v>
      </c>
      <c r="AI79" s="20" t="str">
        <f>IF(AI26=0,"0",IF(AND(Results!$E$5="Protein",$C$53&gt;0,OR(Results!$E$4="Tissue",Results!$E$4="Cells")),((AI26*AI$51)/(AI$53)),IF(AND(Results!$E$5="Weight",$C$52&gt;0, Results!$E$4="Tissue",OR($B$52="g",$B$52="mg")),((AI26*AI$51)/(AI$52)),IF(AND(Results!$E$5="Volume",$C$54&gt;0,Results!$E$4="Fluid"),((AI26*AI$51)/(AI$54)),IF(AND(Results!$E$4="Cells",Results!$E$5="Million",$B$52="million"),((AI26*AI$51)/(AI$52)),"0")))))</f>
        <v>0</v>
      </c>
      <c r="AJ79" s="20" t="str">
        <f>IF(AJ26=0,"0",IF(AND(Results!$E$5="Protein",$C$53&gt;0,OR(Results!$E$4="Tissue",Results!$E$4="Cells")),((AJ26*AJ$51)/(AJ$53)),IF(AND(Results!$E$5="Weight",$C$52&gt;0, Results!$E$4="Tissue",OR($B$52="g",$B$52="mg")),((AJ26*AJ$51)/(AJ$52)),IF(AND(Results!$E$5="Volume",$C$54&gt;0,Results!$E$4="Fluid"),((AJ26*AJ$51)/(AJ$54)),IF(AND(Results!$E$4="Cells",Results!$E$5="Million",$B$52="million"),((AJ26*AJ$51)/(AJ$52)),"0")))))</f>
        <v>0</v>
      </c>
      <c r="AK79" s="20" t="str">
        <f>IF(AK26=0,"0",IF(AND(Results!$E$5="Protein",$C$53&gt;0,OR(Results!$E$4="Tissue",Results!$E$4="Cells")),((AK26*AK$51)/(AK$53)),IF(AND(Results!$E$5="Weight",$C$52&gt;0, Results!$E$4="Tissue",OR($B$52="g",$B$52="mg")),((AK26*AK$51)/(AK$52)),IF(AND(Results!$E$5="Volume",$C$54&gt;0,Results!$E$4="Fluid"),((AK26*AK$51)/(AK$54)),IF(AND(Results!$E$4="Cells",Results!$E$5="Million",$B$52="million"),((AK26*AK$51)/(AK$52)),"0")))))</f>
        <v>0</v>
      </c>
      <c r="AL79" s="20" t="str">
        <f>IF(AL26=0,"0",IF(AND(Results!$E$5="Protein",$C$53&gt;0,OR(Results!$E$4="Tissue",Results!$E$4="Cells")),((AL26*AL$51)/(AL$53)),IF(AND(Results!$E$5="Weight",$C$52&gt;0, Results!$E$4="Tissue",OR($B$52="g",$B$52="mg")),((AL26*AL$51)/(AL$52)),IF(AND(Results!$E$5="Volume",$C$54&gt;0,Results!$E$4="Fluid"),((AL26*AL$51)/(AL$54)),IF(AND(Results!$E$4="Cells",Results!$E$5="Million",$B$52="million"),((AL26*AL$51)/(AL$52)),"0")))))</f>
        <v>0</v>
      </c>
      <c r="AM79" s="20" t="str">
        <f>IF(AM26=0,"0",IF(AND(Results!$E$5="Protein",$C$53&gt;0,OR(Results!$E$4="Tissue",Results!$E$4="Cells")),((AM26*AM$51)/(AM$53)),IF(AND(Results!$E$5="Weight",$C$52&gt;0, Results!$E$4="Tissue",OR($B$52="g",$B$52="mg")),((AM26*AM$51)/(AM$52)),IF(AND(Results!$E$5="Volume",$C$54&gt;0,Results!$E$4="Fluid"),((AM26*AM$51)/(AM$54)),IF(AND(Results!$E$4="Cells",Results!$E$5="Million",$B$52="million"),((AM26*AM$51)/(AM$52)),"0")))))</f>
        <v>0</v>
      </c>
      <c r="AN79" s="20" t="str">
        <f>IF(AN26=0,"0",IF(AND(Results!$E$5="Protein",$C$53&gt;0,OR(Results!$E$4="Tissue",Results!$E$4="Cells")),((AN26*AN$51)/(AN$53)),IF(AND(Results!$E$5="Weight",$C$52&gt;0, Results!$E$4="Tissue",OR($B$52="g",$B$52="mg")),((AN26*AN$51)/(AN$52)),IF(AND(Results!$E$5="Volume",$C$54&gt;0,Results!$E$4="Fluid"),((AN26*AN$51)/(AN$54)),IF(AND(Results!$E$4="Cells",Results!$E$5="Million",$B$52="million"),((AN26*AN$51)/(AN$52)),"0")))))</f>
        <v>0</v>
      </c>
      <c r="AO79" s="20" t="str">
        <f>IF(AO26=0,"0",IF(AND(Results!$E$5="Protein",$C$53&gt;0,OR(Results!$E$4="Tissue",Results!$E$4="Cells")),((AO26*AO$51)/(AO$53)),IF(AND(Results!$E$5="Weight",$C$52&gt;0, Results!$E$4="Tissue",OR($B$52="g",$B$52="mg")),((AO26*AO$51)/(AO$52)),IF(AND(Results!$E$5="Volume",$C$54&gt;0,Results!$E$4="Fluid"),((AO26*AO$51)/(AO$54)),IF(AND(Results!$E$4="Cells",Results!$E$5="Million",$B$52="million"),((AO26*AO$51)/(AO$52)),"0")))))</f>
        <v>0</v>
      </c>
      <c r="AP79" s="20" t="str">
        <f>IF(AP26=0,"0",IF(AND(Results!$E$5="Protein",$C$53&gt;0,OR(Results!$E$4="Tissue",Results!$E$4="Cells")),((AP26*AP$51)/(AP$53)),IF(AND(Results!$E$5="Weight",$C$52&gt;0, Results!$E$4="Tissue",OR($B$52="g",$B$52="mg")),((AP26*AP$51)/(AP$52)),IF(AND(Results!$E$5="Volume",$C$54&gt;0,Results!$E$4="Fluid"),((AP26*AP$51)/(AP$54)),IF(AND(Results!$E$4="Cells",Results!$E$5="Million",$B$52="million"),((AP26*AP$51)/(AP$52)),"0")))))</f>
        <v>0</v>
      </c>
      <c r="AQ79" s="20" t="str">
        <f>IF(AQ26=0,"0",IF(AND(Results!$E$5="Protein",$C$53&gt;0,OR(Results!$E$4="Tissue",Results!$E$4="Cells")),((AQ26*AQ$51)/(AQ$53)),IF(AND(Results!$E$5="Weight",$C$52&gt;0, Results!$E$4="Tissue",OR($B$52="g",$B$52="mg")),((AQ26*AQ$51)/(AQ$52)),IF(AND(Results!$E$5="Volume",$C$54&gt;0,Results!$E$4="Fluid"),((AQ26*AQ$51)/(AQ$54)),IF(AND(Results!$E$4="Cells",Results!$E$5="Million",$B$52="million"),((AQ26*AQ$51)/(AQ$52)),"0")))))</f>
        <v>0</v>
      </c>
      <c r="AR79" s="20" t="str">
        <f>IF(AR26=0,"0",IF(AND(Results!$E$5="Protein",$C$53&gt;0,OR(Results!$E$4="Tissue",Results!$E$4="Cells")),((AR26*AR$51)/(AR$53)),IF(AND(Results!$E$5="Weight",$C$52&gt;0, Results!$E$4="Tissue",OR($B$52="g",$B$52="mg")),((AR26*AR$51)/(AR$52)),IF(AND(Results!$E$5="Volume",$C$54&gt;0,Results!$E$4="Fluid"),((AR26*AR$51)/(AR$54)),IF(AND(Results!$E$4="Cells",Results!$E$5="Million",$B$52="million"),((AR26*AR$51)/(AR$52)),"0")))))</f>
        <v>0</v>
      </c>
      <c r="AS79" s="20" t="str">
        <f>IF(AS26=0,"0",IF(AND(Results!$E$5="Protein",$C$53&gt;0,OR(Results!$E$4="Tissue",Results!$E$4="Cells")),((AS26*AS$51)/(AS$53)),IF(AND(Results!$E$5="Weight",$C$52&gt;0, Results!$E$4="Tissue",OR($B$52="g",$B$52="mg")),((AS26*AS$51)/(AS$52)),IF(AND(Results!$E$5="Volume",$C$54&gt;0,Results!$E$4="Fluid"),((AS26*AS$51)/(AS$54)),IF(AND(Results!$E$4="Cells",Results!$E$5="Million",$B$52="million"),((AS26*AS$51)/(AS$52)),"0")))))</f>
        <v>0</v>
      </c>
      <c r="AT79" s="20" t="str">
        <f>IF(AT26=0,"0",IF(AND(Results!$E$5="Protein",$C$53&gt;0,OR(Results!$E$4="Tissue",Results!$E$4="Cells")),((AT26*AT$51)/(AT$53)),IF(AND(Results!$E$5="Weight",$C$52&gt;0, Results!$E$4="Tissue",OR($B$52="g",$B$52="mg")),((AT26*AT$51)/(AT$52)),IF(AND(Results!$E$5="Volume",$C$54&gt;0,Results!$E$4="Fluid"),((AT26*AT$51)/(AT$54)),IF(AND(Results!$E$4="Cells",Results!$E$5="Million",$B$52="million"),((AT26*AT$51)/(AT$52)),"0")))))</f>
        <v>0</v>
      </c>
      <c r="AU79" s="20" t="str">
        <f>IF(AU26=0,"0",IF(AND(Results!$E$5="Protein",$C$53&gt;0,OR(Results!$E$4="Tissue",Results!$E$4="Cells")),((AU26*AU$51)/(AU$53)),IF(AND(Results!$E$5="Weight",$C$52&gt;0, Results!$E$4="Tissue",OR($B$52="g",$B$52="mg")),((AU26*AU$51)/(AU$52)),IF(AND(Results!$E$5="Volume",$C$54&gt;0,Results!$E$4="Fluid"),((AU26*AU$51)/(AU$54)),IF(AND(Results!$E$4="Cells",Results!$E$5="Million",$B$52="million"),((AU26*AU$51)/(AU$52)),"0")))))</f>
        <v>0</v>
      </c>
      <c r="AV79" s="20" t="str">
        <f>IF(AV26=0,"0",IF(AND(Results!$E$5="Protein",$C$53&gt;0,OR(Results!$E$4="Tissue",Results!$E$4="Cells")),((AV26*AV$51)/(AV$53)),IF(AND(Results!$E$5="Weight",$C$52&gt;0, Results!$E$4="Tissue",OR($B$52="g",$B$52="mg")),((AV26*AV$51)/(AV$52)),IF(AND(Results!$E$5="Volume",$C$54&gt;0,Results!$E$4="Fluid"),((AV26*AV$51)/(AV$54)),IF(AND(Results!$E$4="Cells",Results!$E$5="Million",$B$52="million"),((AV26*AV$51)/(AV$52)),"0")))))</f>
        <v>0</v>
      </c>
      <c r="AW79" s="20" t="str">
        <f>IF(AW26=0,"0",IF(AND(Results!$E$5="Protein",$C$53&gt;0,OR(Results!$E$4="Tissue",Results!$E$4="Cells")),((AW26*AW$51)/(AW$53)),IF(AND(Results!$E$5="Weight",$C$52&gt;0, Results!$E$4="Tissue",OR($B$52="g",$B$52="mg")),((AW26*AW$51)/(AW$52)),IF(AND(Results!$E$5="Volume",$C$54&gt;0,Results!$E$4="Fluid"),((AW26*AW$51)/(AW$54)),IF(AND(Results!$E$4="Cells",Results!$E$5="Million",$B$52="million"),((AW26*AW$51)/(AW$52)),"0")))))</f>
        <v>0</v>
      </c>
      <c r="AX79" s="20" t="str">
        <f>IF(AX26=0,"0",IF(AND(Results!$E$5="Protein",$C$53&gt;0,OR(Results!$E$4="Tissue",Results!$E$4="Cells")),((AX26*AX$51)/(AX$53)),IF(AND(Results!$E$5="Weight",$C$52&gt;0, Results!$E$4="Tissue",OR($B$52="g",$B$52="mg")),((AX26*AX$51)/(AX$52)),IF(AND(Results!$E$5="Volume",$C$54&gt;0,Results!$E$4="Fluid"),((AX26*AX$51)/(AX$54)),IF(AND(Results!$E$4="Cells",Results!$E$5="Million",$B$52="million"),((AX26*AX$51)/(AX$52)),"0")))))</f>
        <v>0</v>
      </c>
      <c r="AY79" s="20" t="str">
        <f>IF(AY26=0,"0",IF(AND(Results!$E$5="Protein",$C$53&gt;0,OR(Results!$E$4="Tissue",Results!$E$4="Cells")),((AY26*AY$51)/(AY$53)),IF(AND(Results!$E$5="Weight",$C$52&gt;0, Results!$E$4="Tissue",OR($B$52="g",$B$52="mg")),((AY26*AY$51)/(AY$52)),IF(AND(Results!$E$5="Volume",$C$54&gt;0,Results!$E$4="Fluid"),((AY26*AY$51)/(AY$54)),IF(AND(Results!$E$4="Cells",Results!$E$5="Million",$B$52="million"),((AY26*AY$51)/(AY$52)),"0")))))</f>
        <v>0</v>
      </c>
      <c r="AZ79" s="20" t="str">
        <f>IF(AZ26=0,"0",IF(AND(Results!$E$5="Protein",$C$53&gt;0,OR(Results!$E$4="Tissue",Results!$E$4="Cells")),((AZ26*AZ$51)/(AZ$53)),IF(AND(Results!$E$5="Weight",$C$52&gt;0, Results!$E$4="Tissue",OR($B$52="g",$B$52="mg")),((AZ26*AZ$51)/(AZ$52)),IF(AND(Results!$E$5="Volume",$C$54&gt;0,Results!$E$4="Fluid"),((AZ26*AZ$51)/(AZ$54)),IF(AND(Results!$E$4="Cells",Results!$E$5="Million",$B$52="million"),((AZ26*AZ$51)/(AZ$52)),"0")))))</f>
        <v>0</v>
      </c>
      <c r="BA79" s="20" t="str">
        <f>IF(BA26=0,"0",IF(AND(Results!$E$5="Protein",$C$53&gt;0,OR(Results!$E$4="Tissue",Results!$E$4="Cells")),((BA26*BA$51)/(BA$53)),IF(AND(Results!$E$5="Weight",$C$52&gt;0, Results!$E$4="Tissue",OR($B$52="g",$B$52="mg")),((BA26*BA$51)/(BA$52)),IF(AND(Results!$E$5="Volume",$C$54&gt;0,Results!$E$4="Fluid"),((BA26*BA$51)/(BA$54)),IF(AND(Results!$E$4="Cells",Results!$E$5="Million",$B$52="million"),((BA26*BA$51)/(BA$52)),"0")))))</f>
        <v>0</v>
      </c>
      <c r="BB79" s="20" t="str">
        <f>IF(BB26=0,"0",IF(AND(Results!$E$5="Protein",$C$53&gt;0,OR(Results!$E$4="Tissue",Results!$E$4="Cells")),((BB26*BB$51)/(BB$53)),IF(AND(Results!$E$5="Weight",$C$52&gt;0, Results!$E$4="Tissue",OR($B$52="g",$B$52="mg")),((BB26*BB$51)/(BB$52)),IF(AND(Results!$E$5="Volume",$C$54&gt;0,Results!$E$4="Fluid"),((BB26*BB$51)/(BB$54)),IF(AND(Results!$E$4="Cells",Results!$E$5="Million",$B$52="million"),((BB26*BB$51)/(BB$52)),"0")))))</f>
        <v>0</v>
      </c>
      <c r="BC79" s="20" t="str">
        <f>IF(BC26=0,"0",IF(AND(Results!$E$5="Protein",$C$53&gt;0,OR(Results!$E$4="Tissue",Results!$E$4="Cells")),((BC26*BC$51)/(BC$53)),IF(AND(Results!$E$5="Weight",$C$52&gt;0, Results!$E$4="Tissue",OR($B$52="g",$B$52="mg")),((BC26*BC$51)/(BC$52)),IF(AND(Results!$E$5="Volume",$C$54&gt;0,Results!$E$4="Fluid"),((BC26*BC$51)/(BC$54)),IF(AND(Results!$E$4="Cells",Results!$E$5="Million",$B$52="million"),((BC26*BC$51)/(BC$52)),"0")))))</f>
        <v>0</v>
      </c>
      <c r="BD79" s="20" t="str">
        <f>IF(BD26=0,"0",IF(AND(Results!$E$5="Protein",$C$53&gt;0,OR(Results!$E$4="Tissue",Results!$E$4="Cells")),((BD26*BD$51)/(BD$53)),IF(AND(Results!$E$5="Weight",$C$52&gt;0, Results!$E$4="Tissue",OR($B$52="g",$B$52="mg")),((BD26*BD$51)/(BD$52)),IF(AND(Results!$E$5="Volume",$C$54&gt;0,Results!$E$4="Fluid"),((BD26*BD$51)/(BD$54)),IF(AND(Results!$E$4="Cells",Results!$E$5="Million",$B$52="million"),((BD26*BD$51)/(BD$52)),"0")))))</f>
        <v>0</v>
      </c>
      <c r="BE79" s="20" t="str">
        <f>IF(BE26=0,"0",IF(AND(Results!$E$5="Protein",$C$53&gt;0,OR(Results!$E$4="Tissue",Results!$E$4="Cells")),((BE26*BE$51)/(BE$53)),IF(AND(Results!$E$5="Weight",$C$52&gt;0, Results!$E$4="Tissue",OR($B$52="g",$B$52="mg")),((BE26*BE$51)/(BE$52)),IF(AND(Results!$E$5="Volume",$C$54&gt;0,Results!$E$4="Fluid"),((BE26*BE$51)/(BE$54)),IF(AND(Results!$E$4="Cells",Results!$E$5="Million",$B$52="million"),((BE26*BE$51)/(BE$52)),"0")))))</f>
        <v>0</v>
      </c>
      <c r="BF79" s="20" t="str">
        <f>IF(BF26=0,"0",IF(AND(Results!$E$5="Protein",$C$53&gt;0,OR(Results!$E$4="Tissue",Results!$E$4="Cells")),((BF26*BF$51)/(BF$53)),IF(AND(Results!$E$5="Weight",$C$52&gt;0, Results!$E$4="Tissue",OR($B$52="g",$B$52="mg")),((BF26*BF$51)/(BF$52)),IF(AND(Results!$E$5="Volume",$C$54&gt;0,Results!$E$4="Fluid"),((BF26*BF$51)/(BF$54)),IF(AND(Results!$E$4="Cells",Results!$E$5="Million",$B$52="million"),((BF26*BF$51)/(BF$52)),"0")))))</f>
        <v>0</v>
      </c>
      <c r="BG79" s="20" t="str">
        <f>IF(BG26=0,"0",IF(AND(Results!$E$5="Protein",$C$53&gt;0,OR(Results!$E$4="Tissue",Results!$E$4="Cells")),((BG26*BG$51)/(BG$53)),IF(AND(Results!$E$5="Weight",$C$52&gt;0, Results!$E$4="Tissue",OR($B$52="g",$B$52="mg")),((BG26*BG$51)/(BG$52)),IF(AND(Results!$E$5="Volume",$C$54&gt;0,Results!$E$4="Fluid"),((BG26*BG$51)/(BG$54)),IF(AND(Results!$E$4="Cells",Results!$E$5="Million",$B$52="million"),((BG26*BG$51)/(BG$52)),"0")))))</f>
        <v>0</v>
      </c>
      <c r="BH79" s="20" t="str">
        <f>IF(BH26=0,"0",IF(AND(Results!$E$5="Protein",$C$53&gt;0,OR(Results!$E$4="Tissue",Results!$E$4="Cells")),((BH26*BH$51)/(BH$53)),IF(AND(Results!$E$5="Weight",$C$52&gt;0, Results!$E$4="Tissue",OR($B$52="g",$B$52="mg")),((BH26*BH$51)/(BH$52)),IF(AND(Results!$E$5="Volume",$C$54&gt;0,Results!$E$4="Fluid"),((BH26*BH$51)/(BH$54)),IF(AND(Results!$E$4="Cells",Results!$E$5="Million",$B$52="million"),((BH26*BH$51)/(BH$52)),"0")))))</f>
        <v>0</v>
      </c>
      <c r="BI79" s="20" t="str">
        <f>IF(BI26=0,"0",IF(AND(Results!$E$5="Protein",$C$53&gt;0,OR(Results!$E$4="Tissue",Results!$E$4="Cells")),((BI26*BI$51)/(BI$53)),IF(AND(Results!$E$5="Weight",$C$52&gt;0, Results!$E$4="Tissue",OR($B$52="g",$B$52="mg")),((BI26*BI$51)/(BI$52)),IF(AND(Results!$E$5="Volume",$C$54&gt;0,Results!$E$4="Fluid"),((BI26*BI$51)/(BI$54)),IF(AND(Results!$E$4="Cells",Results!$E$5="Million",$B$52="million"),((BI26*BI$51)/(BI$52)),"0")))))</f>
        <v>0</v>
      </c>
      <c r="BJ79" s="20" t="str">
        <f>IF(BJ26=0,"0",IF(AND(Results!$E$5="Protein",$C$53&gt;0,OR(Results!$E$4="Tissue",Results!$E$4="Cells")),((BJ26*BJ$51)/(BJ$53)),IF(AND(Results!$E$5="Weight",$C$52&gt;0, Results!$E$4="Tissue",OR($B$52="g",$B$52="mg")),((BJ26*BJ$51)/(BJ$52)),IF(AND(Results!$E$5="Volume",$C$54&gt;0,Results!$E$4="Fluid"),((BJ26*BJ$51)/(BJ$54)),IF(AND(Results!$E$4="Cells",Results!$E$5="Million",$B$52="million"),((BJ26*BJ$51)/(BJ$52)),"0")))))</f>
        <v>0</v>
      </c>
      <c r="BK79" s="20" t="str">
        <f>IF(BK26=0,"0",IF(AND(Results!$E$5="Protein",$C$53&gt;0,OR(Results!$E$4="Tissue",Results!$E$4="Cells")),((BK26*BK$51)/(BK$53)),IF(AND(Results!$E$5="Weight",$C$52&gt;0, Results!$E$4="Tissue",OR($B$52="g",$B$52="mg")),((BK26*BK$51)/(BK$52)),IF(AND(Results!$E$5="Volume",$C$54&gt;0,Results!$E$4="Fluid"),((BK26*BK$51)/(BK$54)),IF(AND(Results!$E$4="Cells",Results!$E$5="Million",$B$52="million"),((BK26*BK$51)/(BK$52)),"0")))))</f>
        <v>0</v>
      </c>
      <c r="BL79" s="20" t="str">
        <f>IF(BL26=0,"0",IF(AND(Results!$E$5="Protein",$C$53&gt;0,OR(Results!$E$4="Tissue",Results!$E$4="Cells")),((BL26*BL$51)/(BL$53)),IF(AND(Results!$E$5="Weight",$C$52&gt;0, Results!$E$4="Tissue",OR($B$52="g",$B$52="mg")),((BL26*BL$51)/(BL$52)),IF(AND(Results!$E$5="Volume",$C$54&gt;0,Results!$E$4="Fluid"),((BL26*BL$51)/(BL$54)),IF(AND(Results!$E$4="Cells",Results!$E$5="Million",$B$52="million"),((BL26*BL$51)/(BL$52)),"0")))))</f>
        <v>0</v>
      </c>
      <c r="BM79" s="20" t="str">
        <f>IF(BM26=0,"0",IF(AND(Results!$E$5="Protein",$C$53&gt;0,OR(Results!$E$4="Tissue",Results!$E$4="Cells")),((BM26*BM$51)/(BM$53)),IF(AND(Results!$E$5="Weight",$C$52&gt;0, Results!$E$4="Tissue",OR($B$52="g",$B$52="mg")),((BM26*BM$51)/(BM$52)),IF(AND(Results!$E$5="Volume",$C$54&gt;0,Results!$E$4="Fluid"),((BM26*BM$51)/(BM$54)),IF(AND(Results!$E$4="Cells",Results!$E$5="Million",$B$52="million"),((BM26*BM$51)/(BM$52)),"0")))))</f>
        <v>0</v>
      </c>
      <c r="BN79" s="20" t="str">
        <f>IF(BN26=0,"0",IF(AND(Results!$E$5="Protein",$C$53&gt;0,OR(Results!$E$4="Tissue",Results!$E$4="Cells")),((BN26*BN$51)/(BN$53)),IF(AND(Results!$E$5="Weight",$C$52&gt;0, Results!$E$4="Tissue",OR($B$52="g",$B$52="mg")),((BN26*BN$51)/(BN$52)),IF(AND(Results!$E$5="Volume",$C$54&gt;0,Results!$E$4="Fluid"),((BN26*BN$51)/(BN$54)),IF(AND(Results!$E$4="Cells",Results!$E$5="Million",$B$52="million"),((BN26*BN$51)/(BN$52)),"0")))))</f>
        <v>0</v>
      </c>
      <c r="BO79" s="20" t="str">
        <f>IF(BO26=0,"0",IF(AND(Results!$E$5="Protein",$C$53&gt;0,OR(Results!$E$4="Tissue",Results!$E$4="Cells")),((BO26*BO$51)/(BO$53)),IF(AND(Results!$E$5="Weight",$C$52&gt;0, Results!$E$4="Tissue",OR($B$52="g",$B$52="mg")),((BO26*BO$51)/(BO$52)),IF(AND(Results!$E$5="Volume",$C$54&gt;0,Results!$E$4="Fluid"),((BO26*BO$51)/(BO$54)),IF(AND(Results!$E$4="Cells",Results!$E$5="Million",$B$52="million"),((BO26*BO$51)/(BO$52)),"0")))))</f>
        <v>0</v>
      </c>
      <c r="BP79" s="20" t="str">
        <f>IF(BP26=0,"0",IF(AND(Results!$E$5="Protein",$C$53&gt;0,OR(Results!$E$4="Tissue",Results!$E$4="Cells")),((BP26*BP$51)/(BP$53)),IF(AND(Results!$E$5="Weight",$C$52&gt;0, Results!$E$4="Tissue",OR($B$52="g",$B$52="mg")),((BP26*BP$51)/(BP$52)),IF(AND(Results!$E$5="Volume",$C$54&gt;0,Results!$E$4="Fluid"),((BP26*BP$51)/(BP$54)),IF(AND(Results!$E$4="Cells",Results!$E$5="Million",$B$52="million"),((BP26*BP$51)/(BP$52)),"0")))))</f>
        <v>0</v>
      </c>
      <c r="BQ79" s="20" t="str">
        <f>IF(BQ26=0,"0",IF(AND(Results!$E$5="Protein",$C$53&gt;0,OR(Results!$E$4="Tissue",Results!$E$4="Cells")),((BQ26*BQ$51)/(BQ$53)),IF(AND(Results!$E$5="Weight",$C$52&gt;0, Results!$E$4="Tissue",OR($B$52="g",$B$52="mg")),((BQ26*BQ$51)/(BQ$52)),IF(AND(Results!$E$5="Volume",$C$54&gt;0,Results!$E$4="Fluid"),((BQ26*BQ$51)/(BQ$54)),IF(AND(Results!$E$4="Cells",Results!$E$5="Million",$B$52="million"),((BQ26*BQ$51)/(BQ$52)),"0")))))</f>
        <v>0</v>
      </c>
      <c r="BR79" s="20" t="str">
        <f>IF(BR26=0,"0",IF(AND(Results!$E$5="Protein",$C$53&gt;0,OR(Results!$E$4="Tissue",Results!$E$4="Cells")),((BR26*BR$51)/(BR$53)),IF(AND(Results!$E$5="Weight",$C$52&gt;0, Results!$E$4="Tissue",OR($B$52="g",$B$52="mg")),((BR26*BR$51)/(BR$52)),IF(AND(Results!$E$5="Volume",$C$54&gt;0,Results!$E$4="Fluid"),((BR26*BR$51)/(BR$54)),IF(AND(Results!$E$4="Cells",Results!$E$5="Million",$B$52="million"),((BR26*BR$51)/(BR$52)),"0")))))</f>
        <v>0</v>
      </c>
      <c r="BS79" s="20" t="str">
        <f>IF(BS26=0,"0",IF(AND(Results!$E$5="Protein",$C$53&gt;0,OR(Results!$E$4="Tissue",Results!$E$4="Cells")),((BS26*BS$51)/(BS$53)),IF(AND(Results!$E$5="Weight",$C$52&gt;0, Results!$E$4="Tissue",OR($B$52="g",$B$52="mg")),((BS26*BS$51)/(BS$52)),IF(AND(Results!$E$5="Volume",$C$54&gt;0,Results!$E$4="Fluid"),((BS26*BS$51)/(BS$54)),IF(AND(Results!$E$4="Cells",Results!$E$5="Million",$B$52="million"),((BS26*BS$51)/(BS$52)),"0")))))</f>
        <v>0</v>
      </c>
      <c r="BT79" s="20" t="str">
        <f>IF(BT26=0,"0",IF(AND(Results!$E$5="Protein",$C$53&gt;0,OR(Results!$E$4="Tissue",Results!$E$4="Cells")),((BT26*BT$51)/(BT$53)),IF(AND(Results!$E$5="Weight",$C$52&gt;0, Results!$E$4="Tissue",OR($B$52="g",$B$52="mg")),((BT26*BT$51)/(BT$52)),IF(AND(Results!$E$5="Volume",$C$54&gt;0,Results!$E$4="Fluid"),((BT26*BT$51)/(BT$54)),IF(AND(Results!$E$4="Cells",Results!$E$5="Million",$B$52="million"),((BT26*BT$51)/(BT$52)),"0")))))</f>
        <v>0</v>
      </c>
      <c r="BU79" s="20" t="str">
        <f>IF(BU26=0,"0",IF(AND(Results!$E$5="Protein",$C$53&gt;0,OR(Results!$E$4="Tissue",Results!$E$4="Cells")),((BU26*BU$51)/(BU$53)),IF(AND(Results!$E$5="Weight",$C$52&gt;0, Results!$E$4="Tissue",OR($B$52="g",$B$52="mg")),((BU26*BU$51)/(BU$52)),IF(AND(Results!$E$5="Volume",$C$54&gt;0,Results!$E$4="Fluid"),((BU26*BU$51)/(BU$54)),IF(AND(Results!$E$4="Cells",Results!$E$5="Million",$B$52="million"),((BU26*BU$51)/(BU$52)),"0")))))</f>
        <v>0</v>
      </c>
      <c r="BV79" s="20" t="str">
        <f>IF(BV26=0,"0",IF(AND(Results!$E$5="Protein",$C$53&gt;0,OR(Results!$E$4="Tissue",Results!$E$4="Cells")),((BV26*BV$51)/(BV$53)),IF(AND(Results!$E$5="Weight",$C$52&gt;0, Results!$E$4="Tissue",OR($B$52="g",$B$52="mg")),((BV26*BV$51)/(BV$52)),IF(AND(Results!$E$5="Volume",$C$54&gt;0,Results!$E$4="Fluid"),((BV26*BV$51)/(BV$54)),IF(AND(Results!$E$4="Cells",Results!$E$5="Million",$B$52="million"),((BV26*BV$51)/(BV$52)),"0")))))</f>
        <v>0</v>
      </c>
      <c r="BW79" s="20" t="str">
        <f>IF(BW26=0,"0",IF(AND(Results!$E$5="Protein",$C$53&gt;0,OR(Results!$E$4="Tissue",Results!$E$4="Cells")),((BW26*BW$51)/(BW$53)),IF(AND(Results!$E$5="Weight",$C$52&gt;0, Results!$E$4="Tissue",OR($B$52="g",$B$52="mg")),((BW26*BW$51)/(BW$52)),IF(AND(Results!$E$5="Volume",$C$54&gt;0,Results!$E$4="Fluid"),((BW26*BW$51)/(BW$54)),IF(AND(Results!$E$4="Cells",Results!$E$5="Million",$B$52="million"),((BW26*BW$51)/(BW$52)),"0")))))</f>
        <v>0</v>
      </c>
      <c r="BX79" s="20" t="str">
        <f>IF(BX26=0,"0",IF(AND(Results!$E$5="Protein",$C$53&gt;0,OR(Results!$E$4="Tissue",Results!$E$4="Cells")),((BX26*BX$51)/(BX$53)),IF(AND(Results!$E$5="Weight",$C$52&gt;0, Results!$E$4="Tissue",OR($B$52="g",$B$52="mg")),((BX26*BX$51)/(BX$52)),IF(AND(Results!$E$5="Volume",$C$54&gt;0,Results!$E$4="Fluid"),((BX26*BX$51)/(BX$54)),IF(AND(Results!$E$4="Cells",Results!$E$5="Million",$B$52="million"),((BX26*BX$51)/(BX$52)),"0")))))</f>
        <v>0</v>
      </c>
      <c r="BY79" s="20" t="str">
        <f>IF(BY26=0,"0",IF(AND(Results!$E$5="Protein",$C$53&gt;0,OR(Results!$E$4="Tissue",Results!$E$4="Cells")),((BY26*BY$51)/(BY$53)),IF(AND(Results!$E$5="Weight",$C$52&gt;0, Results!$E$4="Tissue",OR($B$52="g",$B$52="mg")),((BY26*BY$51)/(BY$52)),IF(AND(Results!$E$5="Volume",$C$54&gt;0,Results!$E$4="Fluid"),((BY26*BY$51)/(BY$54)),IF(AND(Results!$E$4="Cells",Results!$E$5="Million",$B$52="million"),((BY26*BY$51)/(BY$52)),"0")))))</f>
        <v>0</v>
      </c>
      <c r="BZ79" s="20" t="str">
        <f>IF(BZ26=0,"0",IF(AND(Results!$E$5="Protein",$C$53&gt;0,OR(Results!$E$4="Tissue",Results!$E$4="Cells")),((BZ26*BZ$51)/(BZ$53)),IF(AND(Results!$E$5="Weight",$C$52&gt;0, Results!$E$4="Tissue",OR($B$52="g",$B$52="mg")),((BZ26*BZ$51)/(BZ$52)),IF(AND(Results!$E$5="Volume",$C$54&gt;0,Results!$E$4="Fluid"),((BZ26*BZ$51)/(BZ$54)),IF(AND(Results!$E$4="Cells",Results!$E$5="Million",$B$52="million"),((BZ26*BZ$51)/(BZ$52)),"0")))))</f>
        <v>0</v>
      </c>
      <c r="CA79" s="20" t="str">
        <f>IF(CA26=0,"0",IF(AND(Results!$E$5="Protein",$C$53&gt;0,OR(Results!$E$4="Tissue",Results!$E$4="Cells")),((CA26*CA$51)/(CA$53)),IF(AND(Results!$E$5="Weight",$C$52&gt;0, Results!$E$4="Tissue",OR($B$52="g",$B$52="mg")),((CA26*CA$51)/(CA$52)),IF(AND(Results!$E$5="Volume",$C$54&gt;0,Results!$E$4="Fluid"),((CA26*CA$51)/(CA$54)),IF(AND(Results!$E$4="Cells",Results!$E$5="Million",$B$52="million"),((CA26*CA$51)/(CA$52)),"0")))))</f>
        <v>0</v>
      </c>
      <c r="CB79" s="20" t="str">
        <f>IF(CB26=0,"0",IF(AND(Results!$E$5="Protein",$C$53&gt;0,OR(Results!$E$4="Tissue",Results!$E$4="Cells")),((CB26*CB$51)/(CB$53)),IF(AND(Results!$E$5="Weight",$C$52&gt;0, Results!$E$4="Tissue",OR($B$52="g",$B$52="mg")),((CB26*CB$51)/(CB$52)),IF(AND(Results!$E$5="Volume",$C$54&gt;0,Results!$E$4="Fluid"),((CB26*CB$51)/(CB$54)),IF(AND(Results!$E$4="Cells",Results!$E$5="Million",$B$52="million"),((CB26*CB$51)/(CB$52)),"0")))))</f>
        <v>0</v>
      </c>
      <c r="CC79" s="20" t="str">
        <f>IF(CC26=0,"0",IF(AND(Results!$E$5="Protein",$C$53&gt;0,OR(Results!$E$4="Tissue",Results!$E$4="Cells")),((CC26*CC$51)/(CC$53)),IF(AND(Results!$E$5="Weight",$C$52&gt;0, Results!$E$4="Tissue",OR($B$52="g",$B$52="mg")),((CC26*CC$51)/(CC$52)),IF(AND(Results!$E$5="Volume",$C$54&gt;0,Results!$E$4="Fluid"),((CC26*CC$51)/(CC$54)),IF(AND(Results!$E$4="Cells",Results!$E$5="Million",$B$52="million"),((CC26*CC$51)/(CC$52)),"0")))))</f>
        <v>0</v>
      </c>
      <c r="CD79" s="20" t="str">
        <f>IF(CD26=0,"0",IF(AND(Results!$E$5="Protein",$C$53&gt;0,OR(Results!$E$4="Tissue",Results!$E$4="Cells")),((CD26*CD$51)/(CD$53)),IF(AND(Results!$E$5="Weight",$C$52&gt;0, Results!$E$4="Tissue",OR($B$52="g",$B$52="mg")),((CD26*CD$51)/(CD$52)),IF(AND(Results!$E$5="Volume",$C$54&gt;0,Results!$E$4="Fluid"),((CD26*CD$51)/(CD$54)),IF(AND(Results!$E$4="Cells",Results!$E$5="Million",$B$52="million"),((CD26*CD$51)/(CD$52)),"0")))))</f>
        <v>0</v>
      </c>
      <c r="CE79" s="20" t="str">
        <f>IF(CE26=0,"0",IF(AND(Results!$E$5="Protein",$C$53&gt;0,OR(Results!$E$4="Tissue",Results!$E$4="Cells")),((CE26*CE$51)/(CE$53)),IF(AND(Results!$E$5="Weight",$C$52&gt;0, Results!$E$4="Tissue",OR($B$52="g",$B$52="mg")),((CE26*CE$51)/(CE$52)),IF(AND(Results!$E$5="Volume",$C$54&gt;0,Results!$E$4="Fluid"),((CE26*CE$51)/(CE$54)),IF(AND(Results!$E$4="Cells",Results!$E$5="Million",$B$52="million"),((CE26*CE$51)/(CE$52)),"0")))))</f>
        <v>0</v>
      </c>
      <c r="CF79" s="20" t="str">
        <f>IF(CF26=0,"0",IF(AND(Results!$E$5="Protein",$C$53&gt;0,OR(Results!$E$4="Tissue",Results!$E$4="Cells")),((CF26*CF$51)/(CF$53)),IF(AND(Results!$E$5="Weight",$C$52&gt;0, Results!$E$4="Tissue",OR($B$52="g",$B$52="mg")),((CF26*CF$51)/(CF$52)),IF(AND(Results!$E$5="Volume",$C$54&gt;0,Results!$E$4="Fluid"),((CF26*CF$51)/(CF$54)),IF(AND(Results!$E$4="Cells",Results!$E$5="Million",$B$52="million"),((CF26*CF$51)/(CF$52)),"0")))))</f>
        <v>0</v>
      </c>
      <c r="CG79" s="20" t="str">
        <f>IF(CG26=0,"0",IF(AND(Results!$E$5="Protein",$C$53&gt;0,OR(Results!$E$4="Tissue",Results!$E$4="Cells")),((CG26*CG$51)/(CG$53)),IF(AND(Results!$E$5="Weight",$C$52&gt;0, Results!$E$4="Tissue",OR($B$52="g",$B$52="mg")),((CG26*CG$51)/(CG$52)),IF(AND(Results!$E$5="Volume",$C$54&gt;0,Results!$E$4="Fluid"),((CG26*CG$51)/(CG$54)),IF(AND(Results!$E$4="Cells",Results!$E$5="Million",$B$52="million"),((CG26*CG$51)/(CG$52)),"0")))))</f>
        <v>0</v>
      </c>
      <c r="CH79" s="20" t="str">
        <f>IF(CH26=0,"0",IF(AND(Results!$E$5="Protein",$C$53&gt;0,OR(Results!$E$4="Tissue",Results!$E$4="Cells")),((CH26*CH$51)/(CH$53)),IF(AND(Results!$E$5="Weight",$C$52&gt;0, Results!$E$4="Tissue",OR($B$52="g",$B$52="mg")),((CH26*CH$51)/(CH$52)),IF(AND(Results!$E$5="Volume",$C$54&gt;0,Results!$E$4="Fluid"),((CH26*CH$51)/(CH$54)),IF(AND(Results!$E$4="Cells",Results!$E$5="Million",$B$52="million"),((CH26*CH$51)/(CH$52)),"0")))))</f>
        <v>0</v>
      </c>
      <c r="CI79" s="20" t="str">
        <f>IF(CI26=0,"0",IF(AND(Results!$E$5="Protein",$C$53&gt;0,OR(Results!$E$4="Tissue",Results!$E$4="Cells")),((CI26*CI$51)/(CI$53)),IF(AND(Results!$E$5="Weight",$C$52&gt;0, Results!$E$4="Tissue",OR($B$52="g",$B$52="mg")),((CI26*CI$51)/(CI$52)),IF(AND(Results!$E$5="Volume",$C$54&gt;0,Results!$E$4="Fluid"),((CI26*CI$51)/(CI$54)),IF(AND(Results!$E$4="Cells",Results!$E$5="Million",$B$52="million"),((CI26*CI$51)/(CI$52)),"0")))))</f>
        <v>0</v>
      </c>
      <c r="CJ79" s="20" t="str">
        <f>IF(CJ26=0,"0",IF(AND(Results!$E$5="Protein",$C$53&gt;0,OR(Results!$E$4="Tissue",Results!$E$4="Cells")),((CJ26*CJ$51)/(CJ$53)),IF(AND(Results!$E$5="Weight",$C$52&gt;0, Results!$E$4="Tissue",OR($B$52="g",$B$52="mg")),((CJ26*CJ$51)/(CJ$52)),IF(AND(Results!$E$5="Volume",$C$54&gt;0,Results!$E$4="Fluid"),((CJ26*CJ$51)/(CJ$54)),IF(AND(Results!$E$4="Cells",Results!$E$5="Million",$B$52="million"),((CJ26*CJ$51)/(CJ$52)),"0")))))</f>
        <v>0</v>
      </c>
      <c r="CK79" s="20" t="str">
        <f>IF(CK26=0,"0",IF(AND(Results!$E$5="Protein",$C$53&gt;0,OR(Results!$E$4="Tissue",Results!$E$4="Cells")),((CK26*CK$51)/(CK$53)),IF(AND(Results!$E$5="Weight",$C$52&gt;0, Results!$E$4="Tissue",OR($B$52="g",$B$52="mg")),((CK26*CK$51)/(CK$52)),IF(AND(Results!$E$5="Volume",$C$54&gt;0,Results!$E$4="Fluid"),((CK26*CK$51)/(CK$54)),IF(AND(Results!$E$4="Cells",Results!$E$5="Million",$B$52="million"),((CK26*CK$51)/(CK$52)),"0")))))</f>
        <v>0</v>
      </c>
      <c r="CL79" s="20" t="str">
        <f>IF(CL26=0,"0",IF(AND(Results!$E$5="Protein",$C$53&gt;0,OR(Results!$E$4="Tissue",Results!$E$4="Cells")),((CL26*CL$51)/(CL$53)),IF(AND(Results!$E$5="Weight",$C$52&gt;0, Results!$E$4="Tissue",OR($B$52="g",$B$52="mg")),((CL26*CL$51)/(CL$52)),IF(AND(Results!$E$5="Volume",$C$54&gt;0,Results!$E$4="Fluid"),((CL26*CL$51)/(CL$54)),IF(AND(Results!$E$4="Cells",Results!$E$5="Million",$B$52="million"),((CL26*CL$51)/(CL$52)),"0")))))</f>
        <v>0</v>
      </c>
      <c r="CM79" s="20" t="str">
        <f>IF(CM26=0,"0",IF(AND(Results!$E$5="Protein",$C$53&gt;0,OR(Results!$E$4="Tissue",Results!$E$4="Cells")),((CM26*CM$51)/(CM$53)),IF(AND(Results!$E$5="Weight",$C$52&gt;0, Results!$E$4="Tissue",OR($B$52="g",$B$52="mg")),((CM26*CM$51)/(CM$52)),IF(AND(Results!$E$5="Volume",$C$54&gt;0,Results!$E$4="Fluid"),((CM26*CM$51)/(CM$54)),IF(AND(Results!$E$4="Cells",Results!$E$5="Million",$B$52="million"),((CM26*CM$51)/(CM$52)),"0")))))</f>
        <v>0</v>
      </c>
      <c r="CN79" s="20" t="str">
        <f>IF(CN26=0,"0",IF(AND(Results!$E$5="Protein",$C$53&gt;0,OR(Results!$E$4="Tissue",Results!$E$4="Cells")),((CN26*CN$51)/(CN$53)),IF(AND(Results!$E$5="Weight",$C$52&gt;0, Results!$E$4="Tissue",OR($B$52="g",$B$52="mg")),((CN26*CN$51)/(CN$52)),IF(AND(Results!$E$5="Volume",$C$54&gt;0,Results!$E$4="Fluid"),((CN26*CN$51)/(CN$54)),IF(AND(Results!$E$4="Cells",Results!$E$5="Million",$B$52="million"),((CN26*CN$51)/(CN$52)),"0")))))</f>
        <v>0</v>
      </c>
      <c r="CO79" s="20" t="str">
        <f>IF(CO26=0,"0",IF(AND(Results!$E$5="Protein",$C$53&gt;0,OR(Results!$E$4="Tissue",Results!$E$4="Cells")),((CO26*CO$51)/(CO$53)),IF(AND(Results!$E$5="Weight",$C$52&gt;0, Results!$E$4="Tissue",OR($B$52="g",$B$52="mg")),((CO26*CO$51)/(CO$52)),IF(AND(Results!$E$5="Volume",$C$54&gt;0,Results!$E$4="Fluid"),((CO26*CO$51)/(CO$54)),IF(AND(Results!$E$4="Cells",Results!$E$5="Million",$B$52="million"),((CO26*CO$51)/(CO$52)),"0")))))</f>
        <v>0</v>
      </c>
      <c r="CP79" s="20" t="str">
        <f>IF(CP26=0,"0",IF(AND(Results!$E$5="Protein",$C$53&gt;0,OR(Results!$E$4="Tissue",Results!$E$4="Cells")),((CP26*CP$51)/(CP$53)),IF(AND(Results!$E$5="Weight",$C$52&gt;0, Results!$E$4="Tissue",OR($B$52="g",$B$52="mg")),((CP26*CP$51)/(CP$52)),IF(AND(Results!$E$5="Volume",$C$54&gt;0,Results!$E$4="Fluid"),((CP26*CP$51)/(CP$54)),IF(AND(Results!$E$4="Cells",Results!$E$5="Million",$B$52="million"),((CP26*CP$51)/(CP$52)),"0")))))</f>
        <v>0</v>
      </c>
      <c r="CQ79" s="20" t="str">
        <f>IF(CQ26=0,"0",IF(AND(Results!$E$5="Protein",$C$53&gt;0,OR(Results!$E$4="Tissue",Results!$E$4="Cells")),((CQ26*CQ$51)/(CQ$53)),IF(AND(Results!$E$5="Weight",$C$52&gt;0, Results!$E$4="Tissue",OR($B$52="g",$B$52="mg")),((CQ26*CQ$51)/(CQ$52)),IF(AND(Results!$E$5="Volume",$C$54&gt;0,Results!$E$4="Fluid"),((CQ26*CQ$51)/(CQ$54)),IF(AND(Results!$E$4="Cells",Results!$E$5="Million",$B$52="million"),((CQ26*CQ$51)/(CQ$52)),"0")))))</f>
        <v>0</v>
      </c>
      <c r="CR79" s="20" t="str">
        <f>IF(CR26=0,"0",IF(AND(Results!$E$5="Protein",$C$53&gt;0,OR(Results!$E$4="Tissue",Results!$E$4="Cells")),((CR26*CR$51)/(CR$53)),IF(AND(Results!$E$5="Weight",$C$52&gt;0, Results!$E$4="Tissue",OR($B$52="g",$B$52="mg")),((CR26*CR$51)/(CR$52)),IF(AND(Results!$E$5="Volume",$C$54&gt;0,Results!$E$4="Fluid"),((CR26*CR$51)/(CR$54)),IF(AND(Results!$E$4="Cells",Results!$E$5="Million",$B$52="million"),((CR26*CR$51)/(CR$52)),"0")))))</f>
        <v>0</v>
      </c>
      <c r="CS79" s="20" t="str">
        <f>IF(CS26=0,"0",IF(AND(Results!$E$5="Protein",$C$53&gt;0,OR(Results!$E$4="Tissue",Results!$E$4="Cells")),((CS26*CS$51)/(CS$53)),IF(AND(Results!$E$5="Weight",$C$52&gt;0, Results!$E$4="Tissue",OR($B$52="g",$B$52="mg")),((CS26*CS$51)/(CS$52)),IF(AND(Results!$E$5="Volume",$C$54&gt;0,Results!$E$4="Fluid"),((CS26*CS$51)/(CS$54)),IF(AND(Results!$E$4="Cells",Results!$E$5="Million",$B$52="million"),((CS26*CS$51)/(CS$52)),"0")))))</f>
        <v>0</v>
      </c>
      <c r="CT79" s="20" t="str">
        <f>IF(CT26=0,"0",IF(AND(Results!$E$5="Protein",$C$53&gt;0,OR(Results!$E$4="Tissue",Results!$E$4="Cells")),((CT26*CT$51)/(CT$53)),IF(AND(Results!$E$5="Weight",$C$52&gt;0, Results!$E$4="Tissue",OR($B$52="g",$B$52="mg")),((CT26*CT$51)/(CT$52)),IF(AND(Results!$E$5="Volume",$C$54&gt;0,Results!$E$4="Fluid"),((CT26*CT$51)/(CT$54)),IF(AND(Results!$E$4="Cells",Results!$E$5="Million",$B$52="million"),((CT26*CT$51)/(CT$52)),"0")))))</f>
        <v>0</v>
      </c>
      <c r="CU79" s="20" t="str">
        <f>IF(CU26=0,"0",IF(AND(Results!$E$5="Protein",$C$53&gt;0,OR(Results!$E$4="Tissue",Results!$E$4="Cells")),((CU26*CU$51)/(CU$53)),IF(AND(Results!$E$5="Weight",$C$52&gt;0, Results!$E$4="Tissue",OR($B$52="g",$B$52="mg")),((CU26*CU$51)/(CU$52)),IF(AND(Results!$E$5="Volume",$C$54&gt;0,Results!$E$4="Fluid"),((CU26*CU$51)/(CU$54)),IF(AND(Results!$E$4="Cells",Results!$E$5="Million",$B$52="million"),((CU26*CU$51)/(CU$52)),"0")))))</f>
        <v>0</v>
      </c>
      <c r="CV79" s="20" t="str">
        <f>IF(CV26=0,"0",IF(AND(Results!$E$5="Protein",$C$53&gt;0,OR(Results!$E$4="Tissue",Results!$E$4="Cells")),((CV26*CV$51)/(CV$53)),IF(AND(Results!$E$5="Weight",$C$52&gt;0, Results!$E$4="Tissue",OR($B$52="g",$B$52="mg")),((CV26*CV$51)/(CV$52)),IF(AND(Results!$E$5="Volume",$C$54&gt;0,Results!$E$4="Fluid"),((CV26*CV$51)/(CV$54)),IF(AND(Results!$E$4="Cells",Results!$E$5="Million",$B$52="million"),((CV26*CV$51)/(CV$52)),"0")))))</f>
        <v>0</v>
      </c>
      <c r="CW79" s="20" t="str">
        <f>IF(CW26=0,"0",IF(AND(Results!$E$5="Protein",$C$53&gt;0,OR(Results!$E$4="Tissue",Results!$E$4="Cells")),((CW26*CW$51)/(CW$53)),IF(AND(Results!$E$5="Weight",$C$52&gt;0, Results!$E$4="Tissue",OR($B$52="g",$B$52="mg")),((CW26*CW$51)/(CW$52)),IF(AND(Results!$E$5="Volume",$C$54&gt;0,Results!$E$4="Fluid"),((CW26*CW$51)/(CW$54)),IF(AND(Results!$E$4="Cells",Results!$E$5="Million",$B$52="million"),((CW26*CW$51)/(CW$52)),"0")))))</f>
        <v>0</v>
      </c>
      <c r="CX79" s="20" t="str">
        <f>IF(CX26=0,"0",IF(AND(Results!$E$5="Protein",$C$53&gt;0,OR(Results!$E$4="Tissue",Results!$E$4="Cells")),((CX26*CX$51)/(CX$53)),IF(AND(Results!$E$5="Weight",$C$52&gt;0, Results!$E$4="Tissue",OR($B$52="g",$B$52="mg")),((CX26*CX$51)/(CX$52)),IF(AND(Results!$E$5="Volume",$C$54&gt;0,Results!$E$4="Fluid"),((CX26*CX$51)/(CX$54)),IF(AND(Results!$E$4="Cells",Results!$E$5="Million",$B$52="million"),((CX26*CX$51)/(CX$52)),"0")))))</f>
        <v>0</v>
      </c>
      <c r="CY79" s="20" t="str">
        <f>IF(CY26=0,"0",IF(AND(Results!$E$5="Protein",$C$53&gt;0,OR(Results!$E$4="Tissue",Results!$E$4="Cells")),((CY26*CY$51)/(CY$53)),IF(AND(Results!$E$5="Weight",$C$52&gt;0, Results!$E$4="Tissue",OR($B$52="g",$B$52="mg")),((CY26*CY$51)/(CY$52)),IF(AND(Results!$E$5="Volume",$C$54&gt;0,Results!$E$4="Fluid"),((CY26*CY$51)/(CY$54)),IF(AND(Results!$E$4="Cells",Results!$E$5="Million",$B$52="million"),((CY26*CY$51)/(CY$52)),"0")))))</f>
        <v>0</v>
      </c>
      <c r="CZ79" s="20" t="str">
        <f>IF(CZ26=0,"0",IF(AND(Results!$E$5="Protein",$C$53&gt;0,OR(Results!$E$4="Tissue",Results!$E$4="Cells")),((CZ26*CZ$51)/(CZ$53)),IF(AND(Results!$E$5="Weight",$C$52&gt;0, Results!$E$4="Tissue",OR($B$52="g",$B$52="mg")),((CZ26*CZ$51)/(CZ$52)),IF(AND(Results!$E$5="Volume",$C$54&gt;0,Results!$E$4="Fluid"),((CZ26*CZ$51)/(CZ$54)),IF(AND(Results!$E$4="Cells",Results!$E$5="Million",$B$52="million"),((CZ26*CZ$51)/(CZ$52)),"0")))))</f>
        <v>0</v>
      </c>
      <c r="DA79" s="20" t="str">
        <f>IF(DA26=0,"0",IF(AND(Results!$E$5="Protein",$C$53&gt;0,OR(Results!$E$4="Tissue",Results!$E$4="Cells")),((DA26*DA$51)/(DA$53)),IF(AND(Results!$E$5="Weight",$C$52&gt;0, Results!$E$4="Tissue",OR($B$52="g",$B$52="mg")),((DA26*DA$51)/(DA$52)),IF(AND(Results!$E$5="Volume",$C$54&gt;0,Results!$E$4="Fluid"),((DA26*DA$51)/(DA$54)),IF(AND(Results!$E$4="Cells",Results!$E$5="Million",$B$52="million"),((DA26*DA$51)/(DA$52)),"0")))))</f>
        <v>0</v>
      </c>
      <c r="DB79" s="20" t="str">
        <f>IF(DB26=0,"0",IF(AND(Results!$E$5="Protein",$C$53&gt;0,OR(Results!$E$4="Tissue",Results!$E$4="Cells")),((DB26*DB$51)/(DB$53)),IF(AND(Results!$E$5="Weight",$C$52&gt;0, Results!$E$4="Tissue",OR($B$52="g",$B$52="mg")),((DB26*DB$51)/(DB$52)),IF(AND(Results!$E$5="Volume",$C$54&gt;0,Results!$E$4="Fluid"),((DB26*DB$51)/(DB$54)),IF(AND(Results!$E$4="Cells",Results!$E$5="Million",$B$52="million"),((DB26*DB$51)/(DB$52)),"0")))))</f>
        <v>0</v>
      </c>
      <c r="DC79" s="20" t="str">
        <f>IF(DC26=0,"0",IF(AND(Results!$E$5="Protein",$C$53&gt;0,OR(Results!$E$4="Tissue",Results!$E$4="Cells")),((DC26*DC$51)/(DC$53)),IF(AND(Results!$E$5="Weight",$C$52&gt;0, Results!$E$4="Tissue",OR($B$52="g",$B$52="mg")),((DC26*DC$51)/(DC$52)),IF(AND(Results!$E$5="Volume",$C$54&gt;0,Results!$E$4="Fluid"),((DC26*DC$51)/(DC$54)),IF(AND(Results!$E$4="Cells",Results!$E$5="Million",$B$52="million"),((DC26*DC$51)/(DC$52)),"0")))))</f>
        <v>0</v>
      </c>
      <c r="DD79" s="20" t="str">
        <f>IF(DD26=0,"0",IF(AND(Results!$E$5="Protein",$C$53&gt;0,OR(Results!$E$4="Tissue",Results!$E$4="Cells")),((DD26*DD$51)/(DD$53)),IF(AND(Results!$E$5="Weight",$C$52&gt;0, Results!$E$4="Tissue",OR($B$52="g",$B$52="mg")),((DD26*DD$51)/(DD$52)),IF(AND(Results!$E$5="Volume",$C$54&gt;0,Results!$E$4="Fluid"),((DD26*DD$51)/(DD$54)),IF(AND(Results!$E$4="Cells",Results!$E$5="Million",$B$52="million"),((DD26*DD$51)/(DD$52)),"0")))))</f>
        <v>0</v>
      </c>
      <c r="DE79" s="20" t="str">
        <f>IF(DE26=0,"0",IF(AND(Results!$E$5="Protein",$C$53&gt;0,OR(Results!$E$4="Tissue",Results!$E$4="Cells")),((DE26*DE$51)/(DE$53)),IF(AND(Results!$E$5="Weight",$C$52&gt;0, Results!$E$4="Tissue",OR($B$52="g",$B$52="mg")),((DE26*DE$51)/(DE$52)),IF(AND(Results!$E$5="Volume",$C$54&gt;0,Results!$E$4="Fluid"),((DE26*DE$51)/(DE$54)),IF(AND(Results!$E$4="Cells",Results!$E$5="Million",$B$52="million"),((DE26*DE$51)/(DE$52)),"0")))))</f>
        <v>0</v>
      </c>
      <c r="DF79" s="20" t="str">
        <f>IF(DF26=0,"0",IF(AND(Results!$E$5="Protein",$C$53&gt;0,OR(Results!$E$4="Tissue",Results!$E$4="Cells")),((DF26*DF$51)/(DF$53)),IF(AND(Results!$E$5="Weight",$C$52&gt;0, Results!$E$4="Tissue",OR($B$52="g",$B$52="mg")),((DF26*DF$51)/(DF$52)),IF(AND(Results!$E$5="Volume",$C$54&gt;0,Results!$E$4="Fluid"),((DF26*DF$51)/(DF$54)),IF(AND(Results!$E$4="Cells",Results!$E$5="Million",$B$52="million"),((DF26*DF$51)/(DF$52)),"0")))))</f>
        <v>0</v>
      </c>
      <c r="DG79" s="20" t="str">
        <f>IF(DG26=0,"0",IF(AND(Results!$E$5="Protein",$C$53&gt;0,OR(Results!$E$4="Tissue",Results!$E$4="Cells")),((DG26*DG$51)/(DG$53)),IF(AND(Results!$E$5="Weight",$C$52&gt;0, Results!$E$4="Tissue",OR($B$52="g",$B$52="mg")),((DG26*DG$51)/(DG$52)),IF(AND(Results!$E$5="Volume",$C$54&gt;0,Results!$E$4="Fluid"),((DG26*DG$51)/(DG$54)),IF(AND(Results!$E$4="Cells",Results!$E$5="Million",$B$52="million"),((DG26*DG$51)/(DG$52)),"0")))))</f>
        <v>0</v>
      </c>
      <c r="DH79" s="20" t="str">
        <f>IF(DH26=0,"0",IF(AND(Results!$E$5="Protein",$C$53&gt;0,OR(Results!$E$4="Tissue",Results!$E$4="Cells")),((DH26*DH$51)/(DH$53)),IF(AND(Results!$E$5="Weight",$C$52&gt;0, Results!$E$4="Tissue",OR($B$52="g",$B$52="mg")),((DH26*DH$51)/(DH$52)),IF(AND(Results!$E$5="Volume",$C$54&gt;0,Results!$E$4="Fluid"),((DH26*DH$51)/(DH$54)),IF(AND(Results!$E$4="Cells",Results!$E$5="Million",$B$52="million"),((DH26*DH$51)/(DH$52)),"0")))))</f>
        <v>0</v>
      </c>
      <c r="DI79" s="20" t="str">
        <f>IF(DI26=0,"0",IF(AND(Results!$E$5="Protein",$C$53&gt;0,OR(Results!$E$4="Tissue",Results!$E$4="Cells")),((DI26*DI$51)/(DI$53)),IF(AND(Results!$E$5="Weight",$C$52&gt;0, Results!$E$4="Tissue",OR($B$52="g",$B$52="mg")),((DI26*DI$51)/(DI$52)),IF(AND(Results!$E$5="Volume",$C$54&gt;0,Results!$E$4="Fluid"),((DI26*DI$51)/(DI$54)),IF(AND(Results!$E$4="Cells",Results!$E$5="Million",$B$52="million"),((DI26*DI$51)/(DI$52)),"0")))))</f>
        <v>0</v>
      </c>
      <c r="DJ79" s="20" t="str">
        <f>IF(DJ26=0,"0",IF(AND(Results!$E$5="Protein",$C$53&gt;0,OR(Results!$E$4="Tissue",Results!$E$4="Cells")),((DJ26*DJ$51)/(DJ$53)),IF(AND(Results!$E$5="Weight",$C$52&gt;0, Results!$E$4="Tissue",OR($B$52="g",$B$52="mg")),((DJ26*DJ$51)/(DJ$52)),IF(AND(Results!$E$5="Volume",$C$54&gt;0,Results!$E$4="Fluid"),((DJ26*DJ$51)/(DJ$54)),IF(AND(Results!$E$4="Cells",Results!$E$5="Million",$B$52="million"),((DJ26*DJ$51)/(DJ$52)),"0")))))</f>
        <v>0</v>
      </c>
      <c r="DK79" s="20" t="str">
        <f>IF(DK26=0,"0",IF(AND(Results!$E$5="Protein",$C$53&gt;0,OR(Results!$E$4="Tissue",Results!$E$4="Cells")),((DK26*DK$51)/(DK$53)),IF(AND(Results!$E$5="Weight",$C$52&gt;0, Results!$E$4="Tissue",OR($B$52="g",$B$52="mg")),((DK26*DK$51)/(DK$52)),IF(AND(Results!$E$5="Volume",$C$54&gt;0,Results!$E$4="Fluid"),((DK26*DK$51)/(DK$54)),IF(AND(Results!$E$4="Cells",Results!$E$5="Million",$B$52="million"),((DK26*DK$51)/(DK$52)),"0")))))</f>
        <v>0</v>
      </c>
      <c r="DL79" s="20" t="str">
        <f>IF(DL26=0,"0",IF(AND(Results!$E$5="Protein",$C$53&gt;0,OR(Results!$E$4="Tissue",Results!$E$4="Cells")),((DL26*DL$51)/(DL$53)),IF(AND(Results!$E$5="Weight",$C$52&gt;0, Results!$E$4="Tissue",OR($B$52="g",$B$52="mg")),((DL26*DL$51)/(DL$52)),IF(AND(Results!$E$5="Volume",$C$54&gt;0,Results!$E$4="Fluid"),((DL26*DL$51)/(DL$54)),IF(AND(Results!$E$4="Cells",Results!$E$5="Million",$B$52="million"),((DL26*DL$51)/(DL$52)),"0")))))</f>
        <v>0</v>
      </c>
      <c r="DM79" s="20" t="str">
        <f>IF(DM26=0,"0",IF(AND(Results!$E$5="Protein",$C$53&gt;0,OR(Results!$E$4="Tissue",Results!$E$4="Cells")),((DM26*DM$51)/(DM$53)),IF(AND(Results!$E$5="Weight",$C$52&gt;0, Results!$E$4="Tissue",OR($B$52="g",$B$52="mg")),((DM26*DM$51)/(DM$52)),IF(AND(Results!$E$5="Volume",$C$54&gt;0,Results!$E$4="Fluid"),((DM26*DM$51)/(DM$54)),IF(AND(Results!$E$4="Cells",Results!$E$5="Million",$B$52="million"),((DM26*DM$51)/(DM$52)),"0")))))</f>
        <v>0</v>
      </c>
      <c r="DN79" s="20" t="str">
        <f>IF(DN26=0,"0",IF(AND(Results!$E$5="Protein",$C$53&gt;0,OR(Results!$E$4="Tissue",Results!$E$4="Cells")),((DN26*DN$51)/(DN$53)),IF(AND(Results!$E$5="Weight",$C$52&gt;0, Results!$E$4="Tissue",OR($B$52="g",$B$52="mg")),((DN26*DN$51)/(DN$52)),IF(AND(Results!$E$5="Volume",$C$54&gt;0,Results!$E$4="Fluid"),((DN26*DN$51)/(DN$54)),IF(AND(Results!$E$4="Cells",Results!$E$5="Million",$B$52="million"),((DN26*DN$51)/(DN$52)),"0")))))</f>
        <v>0</v>
      </c>
      <c r="DO79" s="20" t="str">
        <f>IF(DO26=0,"0",IF(AND(Results!$E$5="Protein",$C$53&gt;0,OR(Results!$E$4="Tissue",Results!$E$4="Cells")),((DO26*DO$51)/(DO$53)),IF(AND(Results!$E$5="Weight",$C$52&gt;0, Results!$E$4="Tissue",OR($B$52="g",$B$52="mg")),((DO26*DO$51)/(DO$52)),IF(AND(Results!$E$5="Volume",$C$54&gt;0,Results!$E$4="Fluid"),((DO26*DO$51)/(DO$54)),IF(AND(Results!$E$4="Cells",Results!$E$5="Million",$B$52="million"),((DO26*DO$51)/(DO$52)),"0")))))</f>
        <v>0</v>
      </c>
      <c r="DP79" s="20" t="str">
        <f>IF(DP26=0,"0",IF(AND(Results!$E$5="Protein",$C$53&gt;0,OR(Results!$E$4="Tissue",Results!$E$4="Cells")),((DP26*DP$51)/(DP$53)),IF(AND(Results!$E$5="Weight",$C$52&gt;0, Results!$E$4="Tissue",OR($B$52="g",$B$52="mg")),((DP26*DP$51)/(DP$52)),IF(AND(Results!$E$5="Volume",$C$54&gt;0,Results!$E$4="Fluid"),((DP26*DP$51)/(DP$54)),IF(AND(Results!$E$4="Cells",Results!$E$5="Million",$B$52="million"),((DP26*DP$51)/(DP$52)),"0")))))</f>
        <v>0</v>
      </c>
      <c r="DQ79" s="20" t="str">
        <f>IF(DQ26=0,"0",IF(AND(Results!$E$5="Protein",$C$53&gt;0,OR(Results!$E$4="Tissue",Results!$E$4="Cells")),((DQ26*DQ$51)/(DQ$53)),IF(AND(Results!$E$5="Weight",$C$52&gt;0, Results!$E$4="Tissue",OR($B$52="g",$B$52="mg")),((DQ26*DQ$51)/(DQ$52)),IF(AND(Results!$E$5="Volume",$C$54&gt;0,Results!$E$4="Fluid"),((DQ26*DQ$51)/(DQ$54)),IF(AND(Results!$E$4="Cells",Results!$E$5="Million",$B$52="million"),((DQ26*DQ$51)/(DQ$52)),"0")))))</f>
        <v>0</v>
      </c>
      <c r="DR79" s="20" t="str">
        <f>IF(DR26=0,"0",IF(AND(Results!$E$5="Protein",$C$53&gt;0,OR(Results!$E$4="Tissue",Results!$E$4="Cells")),((DR26*DR$51)/(DR$53)),IF(AND(Results!$E$5="Weight",$C$52&gt;0, Results!$E$4="Tissue",OR($B$52="g",$B$52="mg")),((DR26*DR$51)/(DR$52)),IF(AND(Results!$E$5="Volume",$C$54&gt;0,Results!$E$4="Fluid"),((DR26*DR$51)/(DR$54)),IF(AND(Results!$E$4="Cells",Results!$E$5="Million",$B$52="million"),((DR26*DR$51)/(DR$52)),"0")))))</f>
        <v>0</v>
      </c>
      <c r="DS79" s="20" t="str">
        <f>IF(DS26=0,"0",IF(AND(Results!$E$5="Protein",$C$53&gt;0,OR(Results!$E$4="Tissue",Results!$E$4="Cells")),((DS26*DS$51)/(DS$53)),IF(AND(Results!$E$5="Weight",$C$52&gt;0, Results!$E$4="Tissue",OR($B$52="g",$B$52="mg")),((DS26*DS$51)/(DS$52)),IF(AND(Results!$E$5="Volume",$C$54&gt;0,Results!$E$4="Fluid"),((DS26*DS$51)/(DS$54)),IF(AND(Results!$E$4="Cells",Results!$E$5="Million",$B$52="million"),((DS26*DS$51)/(DS$52)),"0")))))</f>
        <v>0</v>
      </c>
      <c r="DT79" s="20" t="str">
        <f>IF(DT26=0,"0",IF(AND(Results!$E$5="Protein",$C$53&gt;0,OR(Results!$E$4="Tissue",Results!$E$4="Cells")),((DT26*DT$51)/(DT$53)),IF(AND(Results!$E$5="Weight",$C$52&gt;0, Results!$E$4="Tissue",OR($B$52="g",$B$52="mg")),((DT26*DT$51)/(DT$52)),IF(AND(Results!$E$5="Volume",$C$54&gt;0,Results!$E$4="Fluid"),((DT26*DT$51)/(DT$54)),IF(AND(Results!$E$4="Cells",Results!$E$5="Million",$B$52="million"),((DT26*DT$51)/(DT$52)),"0")))))</f>
        <v>0</v>
      </c>
      <c r="DU79" s="20" t="str">
        <f>IF(DU26=0,"0",IF(AND(Results!$E$5="Protein",$C$53&gt;0,OR(Results!$E$4="Tissue",Results!$E$4="Cells")),((DU26*DU$51)/(DU$53)),IF(AND(Results!$E$5="Weight",$C$52&gt;0, Results!$E$4="Tissue",OR($B$52="g",$B$52="mg")),((DU26*DU$51)/(DU$52)),IF(AND(Results!$E$5="Volume",$C$54&gt;0,Results!$E$4="Fluid"),((DU26*DU$51)/(DU$54)),IF(AND(Results!$E$4="Cells",Results!$E$5="Million",$B$52="million"),((DU26*DU$51)/(DU$52)),"0")))))</f>
        <v>0</v>
      </c>
      <c r="DV79" s="20" t="str">
        <f>IF(DV26=0,"0",IF(AND(Results!$E$5="Protein",$C$53&gt;0,OR(Results!$E$4="Tissue",Results!$E$4="Cells")),((DV26*DV$51)/(DV$53)),IF(AND(Results!$E$5="Weight",$C$52&gt;0, Results!$E$4="Tissue",OR($B$52="g",$B$52="mg")),((DV26*DV$51)/(DV$52)),IF(AND(Results!$E$5="Volume",$C$54&gt;0,Results!$E$4="Fluid"),((DV26*DV$51)/(DV$54)),IF(AND(Results!$E$4="Cells",Results!$E$5="Million",$B$52="million"),((DV26*DV$51)/(DV$52)),"0")))))</f>
        <v>0</v>
      </c>
      <c r="DW79" s="20" t="str">
        <f>IF(DW26=0,"0",IF(AND(Results!$E$5="Protein",$C$53&gt;0,OR(Results!$E$4="Tissue",Results!$E$4="Cells")),((DW26*DW$51)/(DW$53)),IF(AND(Results!$E$5="Weight",$C$52&gt;0, Results!$E$4="Tissue",OR($B$52="g",$B$52="mg")),((DW26*DW$51)/(DW$52)),IF(AND(Results!$E$5="Volume",$C$54&gt;0,Results!$E$4="Fluid"),((DW26*DW$51)/(DW$54)),IF(AND(Results!$E$4="Cells",Results!$E$5="Million",$B$52="million"),((DW26*DW$51)/(DW$52)),"0")))))</f>
        <v>0</v>
      </c>
      <c r="DX79" s="20" t="str">
        <f>IF(DX26=0,"0",IF(AND(Results!$E$5="Protein",$C$53&gt;0,OR(Results!$E$4="Tissue",Results!$E$4="Cells")),((DX26*DX$51)/(DX$53)),IF(AND(Results!$E$5="Weight",$C$52&gt;0, Results!$E$4="Tissue",OR($B$52="g",$B$52="mg")),((DX26*DX$51)/(DX$52)),IF(AND(Results!$E$5="Volume",$C$54&gt;0,Results!$E$4="Fluid"),((DX26*DX$51)/(DX$54)),IF(AND(Results!$E$4="Cells",Results!$E$5="Million",$B$52="million"),((DX26*DX$51)/(DX$52)),"0")))))</f>
        <v>0</v>
      </c>
      <c r="DY79" s="20" t="str">
        <f>IF(DY26=0,"0",IF(AND(Results!$E$5="Protein",$C$53&gt;0,OR(Results!$E$4="Tissue",Results!$E$4="Cells")),((DY26*DY$51)/(DY$53)),IF(AND(Results!$E$5="Weight",$C$52&gt;0, Results!$E$4="Tissue",OR($B$52="g",$B$52="mg")),((DY26*DY$51)/(DY$52)),IF(AND(Results!$E$5="Volume",$C$54&gt;0,Results!$E$4="Fluid"),((DY26*DY$51)/(DY$54)),IF(AND(Results!$E$4="Cells",Results!$E$5="Million",$B$52="million"),((DY26*DY$51)/(DY$52)),"0")))))</f>
        <v>0</v>
      </c>
      <c r="DZ79" s="20" t="str">
        <f>IF(DZ26=0,"0",IF(AND(Results!$E$5="Protein",$C$53&gt;0,OR(Results!$E$4="Tissue",Results!$E$4="Cells")),((DZ26*DZ$51)/(DZ$53)),IF(AND(Results!$E$5="Weight",$C$52&gt;0, Results!$E$4="Tissue",OR($B$52="g",$B$52="mg")),((DZ26*DZ$51)/(DZ$52)),IF(AND(Results!$E$5="Volume",$C$54&gt;0,Results!$E$4="Fluid"),((DZ26*DZ$51)/(DZ$54)),IF(AND(Results!$E$4="Cells",Results!$E$5="Million",$B$52="million"),((DZ26*DZ$51)/(DZ$52)),"0")))))</f>
        <v>0</v>
      </c>
      <c r="EA79" s="20" t="str">
        <f>IF(EA26=0,"0",IF(AND(Results!$E$5="Protein",$C$53&gt;0,OR(Results!$E$4="Tissue",Results!$E$4="Cells")),((EA26*EA$51)/(EA$53)),IF(AND(Results!$E$5="Weight",$C$52&gt;0, Results!$E$4="Tissue",OR($B$52="g",$B$52="mg")),((EA26*EA$51)/(EA$52)),IF(AND(Results!$E$5="Volume",$C$54&gt;0,Results!$E$4="Fluid"),((EA26*EA$51)/(EA$54)),IF(AND(Results!$E$4="Cells",Results!$E$5="Million",$B$52="million"),((EA26*EA$51)/(EA$52)),"0")))))</f>
        <v>0</v>
      </c>
      <c r="EB79" s="20" t="str">
        <f>IF(EB26=0,"0",IF(AND(Results!$E$5="Protein",$C$53&gt;0,OR(Results!$E$4="Tissue",Results!$E$4="Cells")),((EB26*EB$51)/(EB$53)),IF(AND(Results!$E$5="Weight",$C$52&gt;0, Results!$E$4="Tissue",OR($B$52="g",$B$52="mg")),((EB26*EB$51)/(EB$52)),IF(AND(Results!$E$5="Volume",$C$54&gt;0,Results!$E$4="Fluid"),((EB26*EB$51)/(EB$54)),IF(AND(Results!$E$4="Cells",Results!$E$5="Million",$B$52="million"),((EB26*EB$51)/(EB$52)),"0")))))</f>
        <v>0</v>
      </c>
      <c r="EC79" s="20" t="str">
        <f>IF(EC26=0,"0",IF(AND(Results!$E$5="Protein",$C$53&gt;0,OR(Results!$E$4="Tissue",Results!$E$4="Cells")),((EC26*EC$51)/(EC$53)),IF(AND(Results!$E$5="Weight",$C$52&gt;0, Results!$E$4="Tissue",OR($B$52="g",$B$52="mg")),((EC26*EC$51)/(EC$52)),IF(AND(Results!$E$5="Volume",$C$54&gt;0,Results!$E$4="Fluid"),((EC26*EC$51)/(EC$54)),IF(AND(Results!$E$4="Cells",Results!$E$5="Million",$B$52="million"),((EC26*EC$51)/(EC$52)),"0")))))</f>
        <v>0</v>
      </c>
      <c r="ED79" s="20" t="str">
        <f>IF(ED26=0,"0",IF(AND(Results!$E$5="Protein",$C$53&gt;0,OR(Results!$E$4="Tissue",Results!$E$4="Cells")),((ED26*ED$51)/(ED$53)),IF(AND(Results!$E$5="Weight",$C$52&gt;0, Results!$E$4="Tissue",OR($B$52="g",$B$52="mg")),((ED26*ED$51)/(ED$52)),IF(AND(Results!$E$5="Volume",$C$54&gt;0,Results!$E$4="Fluid"),((ED26*ED$51)/(ED$54)),IF(AND(Results!$E$4="Cells",Results!$E$5="Million",$B$52="million"),((ED26*ED$51)/(ED$52)),"0")))))</f>
        <v>0</v>
      </c>
      <c r="EE79" s="20" t="str">
        <f>IF(EE26=0,"0",IF(AND(Results!$E$5="Protein",$C$53&gt;0,OR(Results!$E$4="Tissue",Results!$E$4="Cells")),((EE26*EE$51)/(EE$53)),IF(AND(Results!$E$5="Weight",$C$52&gt;0, Results!$E$4="Tissue",OR($B$52="g",$B$52="mg")),((EE26*EE$51)/(EE$52)),IF(AND(Results!$E$5="Volume",$C$54&gt;0,Results!$E$4="Fluid"),((EE26*EE$51)/(EE$54)),IF(AND(Results!$E$4="Cells",Results!$E$5="Million",$B$52="million"),((EE26*EE$51)/(EE$52)),"0")))))</f>
        <v>0</v>
      </c>
      <c r="EF79" s="20" t="str">
        <f>IF(EF26=0,"0",IF(AND(Results!$E$5="Protein",$C$53&gt;0,OR(Results!$E$4="Tissue",Results!$E$4="Cells")),((EF26*EF$51)/(EF$53)),IF(AND(Results!$E$5="Weight",$C$52&gt;0, Results!$E$4="Tissue",OR($B$52="g",$B$52="mg")),((EF26*EF$51)/(EF$52)),IF(AND(Results!$E$5="Volume",$C$54&gt;0,Results!$E$4="Fluid"),((EF26*EF$51)/(EF$54)),IF(AND(Results!$E$4="Cells",Results!$E$5="Million",$B$52="million"),((EF26*EF$51)/(EF$52)),"0")))))</f>
        <v>0</v>
      </c>
      <c r="EG79" s="20" t="str">
        <f>IF(EG26=0,"0",IF(AND(Results!$E$5="Protein",$C$53&gt;0,OR(Results!$E$4="Tissue",Results!$E$4="Cells")),((EG26*EG$51)/(EG$53)),IF(AND(Results!$E$5="Weight",$C$52&gt;0, Results!$E$4="Tissue",OR($B$52="g",$B$52="mg")),((EG26*EG$51)/(EG$52)),IF(AND(Results!$E$5="Volume",$C$54&gt;0,Results!$E$4="Fluid"),((EG26*EG$51)/(EG$54)),IF(AND(Results!$E$4="Cells",Results!$E$5="Million",$B$52="million"),((EG26*EG$51)/(EG$52)),"0")))))</f>
        <v>0</v>
      </c>
      <c r="EH79" s="20" t="str">
        <f>IF(EH26=0,"0",IF(AND(Results!$E$5="Protein",$C$53&gt;0,OR(Results!$E$4="Tissue",Results!$E$4="Cells")),((EH26*EH$51)/(EH$53)),IF(AND(Results!$E$5="Weight",$C$52&gt;0, Results!$E$4="Tissue",OR($B$52="g",$B$52="mg")),((EH26*EH$51)/(EH$52)),IF(AND(Results!$E$5="Volume",$C$54&gt;0,Results!$E$4="Fluid"),((EH26*EH$51)/(EH$54)),IF(AND(Results!$E$4="Cells",Results!$E$5="Million",$B$52="million"),((EH26*EH$51)/(EH$52)),"0")))))</f>
        <v>0</v>
      </c>
      <c r="EI79" s="20" t="str">
        <f>IF(EI26=0,"0",IF(AND(Results!$E$5="Protein",$C$53&gt;0,OR(Results!$E$4="Tissue",Results!$E$4="Cells")),((EI26*EI$51)/(EI$53)),IF(AND(Results!$E$5="Weight",$C$52&gt;0, Results!$E$4="Tissue",OR($B$52="g",$B$52="mg")),((EI26*EI$51)/(EI$52)),IF(AND(Results!$E$5="Volume",$C$54&gt;0,Results!$E$4="Fluid"),((EI26*EI$51)/(EI$54)),IF(AND(Results!$E$4="Cells",Results!$E$5="Million",$B$52="million"),((EI26*EI$51)/(EI$52)),"0")))))</f>
        <v>0</v>
      </c>
      <c r="EJ79" s="20" t="str">
        <f>IF(EJ26=0,"0",IF(AND(Results!$E$5="Protein",$C$53&gt;0,OR(Results!$E$4="Tissue",Results!$E$4="Cells")),((EJ26*EJ$51)/(EJ$53)),IF(AND(Results!$E$5="Weight",$C$52&gt;0, Results!$E$4="Tissue",OR($B$52="g",$B$52="mg")),((EJ26*EJ$51)/(EJ$52)),IF(AND(Results!$E$5="Volume",$C$54&gt;0,Results!$E$4="Fluid"),((EJ26*EJ$51)/(EJ$54)),IF(AND(Results!$E$4="Cells",Results!$E$5="Million",$B$52="million"),((EJ26*EJ$51)/(EJ$52)),"0")))))</f>
        <v>0</v>
      </c>
      <c r="EK79" s="20" t="str">
        <f>IF(EK26=0,"0",IF(AND(Results!$E$5="Protein",$C$53&gt;0,OR(Results!$E$4="Tissue",Results!$E$4="Cells")),((EK26*EK$51)/(EK$53)),IF(AND(Results!$E$5="Weight",$C$52&gt;0, Results!$E$4="Tissue",OR($B$52="g",$B$52="mg")),((EK26*EK$51)/(EK$52)),IF(AND(Results!$E$5="Volume",$C$54&gt;0,Results!$E$4="Fluid"),((EK26*EK$51)/(EK$54)),IF(AND(Results!$E$4="Cells",Results!$E$5="Million",$B$52="million"),((EK26*EK$51)/(EK$52)),"0")))))</f>
        <v>0</v>
      </c>
      <c r="EL79" s="20" t="str">
        <f>IF(EL26=0,"0",IF(AND(Results!$E$5="Protein",$C$53&gt;0,OR(Results!$E$4="Tissue",Results!$E$4="Cells")),((EL26*EL$51)/(EL$53)),IF(AND(Results!$E$5="Weight",$C$52&gt;0, Results!$E$4="Tissue",OR($B$52="g",$B$52="mg")),((EL26*EL$51)/(EL$52)),IF(AND(Results!$E$5="Volume",$C$54&gt;0,Results!$E$4="Fluid"),((EL26*EL$51)/(EL$54)),IF(AND(Results!$E$4="Cells",Results!$E$5="Million",$B$52="million"),((EL26*EL$51)/(EL$52)),"0")))))</f>
        <v>0</v>
      </c>
      <c r="EM79" s="20" t="str">
        <f>IF(EM26=0,"0",IF(AND(Results!$E$5="Protein",$C$53&gt;0,OR(Results!$E$4="Tissue",Results!$E$4="Cells")),((EM26*EM$51)/(EM$53)),IF(AND(Results!$E$5="Weight",$C$52&gt;0, Results!$E$4="Tissue",OR($B$52="g",$B$52="mg")),((EM26*EM$51)/(EM$52)),IF(AND(Results!$E$5="Volume",$C$54&gt;0,Results!$E$4="Fluid"),((EM26*EM$51)/(EM$54)),IF(AND(Results!$E$4="Cells",Results!$E$5="Million",$B$52="million"),((EM26*EM$51)/(EM$52)),"0")))))</f>
        <v>0</v>
      </c>
      <c r="EN79" s="20" t="str">
        <f>IF(EN26=0,"0",IF(AND(Results!$E$5="Protein",$C$53&gt;0,OR(Results!$E$4="Tissue",Results!$E$4="Cells")),((EN26*EN$51)/(EN$53)),IF(AND(Results!$E$5="Weight",$C$52&gt;0, Results!$E$4="Tissue",OR($B$52="g",$B$52="mg")),((EN26*EN$51)/(EN$52)),IF(AND(Results!$E$5="Volume",$C$54&gt;0,Results!$E$4="Fluid"),((EN26*EN$51)/(EN$54)),IF(AND(Results!$E$4="Cells",Results!$E$5="Million",$B$52="million"),((EN26*EN$51)/(EN$52)),"0")))))</f>
        <v>0</v>
      </c>
      <c r="EO79" s="20" t="str">
        <f>IF(EO26=0,"0",IF(AND(Results!$E$5="Protein",$C$53&gt;0,OR(Results!$E$4="Tissue",Results!$E$4="Cells")),((EO26*EO$51)/(EO$53)),IF(AND(Results!$E$5="Weight",$C$52&gt;0, Results!$E$4="Tissue",OR($B$52="g",$B$52="mg")),((EO26*EO$51)/(EO$52)),IF(AND(Results!$E$5="Volume",$C$54&gt;0,Results!$E$4="Fluid"),((EO26*EO$51)/(EO$54)),IF(AND(Results!$E$4="Cells",Results!$E$5="Million",$B$52="million"),((EO26*EO$51)/(EO$52)),"0")))))</f>
        <v>0</v>
      </c>
      <c r="EP79" s="20" t="str">
        <f>IF(EP26=0,"0",IF(AND(Results!$E$5="Protein",$C$53&gt;0,OR(Results!$E$4="Tissue",Results!$E$4="Cells")),((EP26*EP$51)/(EP$53)),IF(AND(Results!$E$5="Weight",$C$52&gt;0, Results!$E$4="Tissue",OR($B$52="g",$B$52="mg")),((EP26*EP$51)/(EP$52)),IF(AND(Results!$E$5="Volume",$C$54&gt;0,Results!$E$4="Fluid"),((EP26*EP$51)/(EP$54)),IF(AND(Results!$E$4="Cells",Results!$E$5="Million",$B$52="million"),((EP26*EP$51)/(EP$52)),"0")))))</f>
        <v>0</v>
      </c>
      <c r="EQ79" s="20" t="str">
        <f>IF(EQ26=0,"0",IF(AND(Results!$E$5="Protein",$C$53&gt;0,OR(Results!$E$4="Tissue",Results!$E$4="Cells")),((EQ26*EQ$51)/(EQ$53)),IF(AND(Results!$E$5="Weight",$C$52&gt;0, Results!$E$4="Tissue",OR($B$52="g",$B$52="mg")),((EQ26*EQ$51)/(EQ$52)),IF(AND(Results!$E$5="Volume",$C$54&gt;0,Results!$E$4="Fluid"),((EQ26*EQ$51)/(EQ$54)),IF(AND(Results!$E$4="Cells",Results!$E$5="Million",$B$52="million"),((EQ26*EQ$51)/(EQ$52)),"0")))))</f>
        <v>0</v>
      </c>
      <c r="ER79" s="20" t="str">
        <f>IF(ER26=0,"0",IF(AND(Results!$E$5="Protein",$C$53&gt;0,OR(Results!$E$4="Tissue",Results!$E$4="Cells")),((ER26*ER$51)/(ER$53)),IF(AND(Results!$E$5="Weight",$C$52&gt;0, Results!$E$4="Tissue",OR($B$52="g",$B$52="mg")),((ER26*ER$51)/(ER$52)),IF(AND(Results!$E$5="Volume",$C$54&gt;0,Results!$E$4="Fluid"),((ER26*ER$51)/(ER$54)),IF(AND(Results!$E$4="Cells",Results!$E$5="Million",$B$52="million"),((ER26*ER$51)/(ER$52)),"0")))))</f>
        <v>0</v>
      </c>
      <c r="ES79" s="20" t="str">
        <f>IF(ES26=0,"0",IF(AND(Results!$E$5="Protein",$C$53&gt;0,OR(Results!$E$4="Tissue",Results!$E$4="Cells")),((ES26*ES$51)/(ES$53)),IF(AND(Results!$E$5="Weight",$C$52&gt;0, Results!$E$4="Tissue",OR($B$52="g",$B$52="mg")),((ES26*ES$51)/(ES$52)),IF(AND(Results!$E$5="Volume",$C$54&gt;0,Results!$E$4="Fluid"),((ES26*ES$51)/(ES$54)),IF(AND(Results!$E$4="Cells",Results!$E$5="Million",$B$52="million"),((ES26*ES$51)/(ES$52)),"0")))))</f>
        <v>0</v>
      </c>
      <c r="ET79" s="20" t="str">
        <f>IF(ET26=0,"0",IF(AND(Results!$E$5="Protein",$C$53&gt;0,OR(Results!$E$4="Tissue",Results!$E$4="Cells")),((ET26*ET$51)/(ET$53)),IF(AND(Results!$E$5="Weight",$C$52&gt;0, Results!$E$4="Tissue",OR($B$52="g",$B$52="mg")),((ET26*ET$51)/(ET$52)),IF(AND(Results!$E$5="Volume",$C$54&gt;0,Results!$E$4="Fluid"),((ET26*ET$51)/(ET$54)),IF(AND(Results!$E$4="Cells",Results!$E$5="Million",$B$52="million"),((ET26*ET$51)/(ET$52)),"0")))))</f>
        <v>0</v>
      </c>
      <c r="EU79" s="20" t="str">
        <f>IF(EU26=0,"0",IF(AND(Results!$E$5="Protein",$C$53&gt;0,OR(Results!$E$4="Tissue",Results!$E$4="Cells")),((EU26*EU$51)/(EU$53)),IF(AND(Results!$E$5="Weight",$C$52&gt;0, Results!$E$4="Tissue",OR($B$52="g",$B$52="mg")),((EU26*EU$51)/(EU$52)),IF(AND(Results!$E$5="Volume",$C$54&gt;0,Results!$E$4="Fluid"),((EU26*EU$51)/(EU$54)),IF(AND(Results!$E$4="Cells",Results!$E$5="Million",$B$52="million"),((EU26*EU$51)/(EU$52)),"0")))))</f>
        <v>0</v>
      </c>
      <c r="EV79" s="20" t="str">
        <f>IF(EV26=0,"0",IF(AND(Results!$E$5="Protein",$C$53&gt;0,OR(Results!$E$4="Tissue",Results!$E$4="Cells")),((EV26*EV$51)/(EV$53)),IF(AND(Results!$E$5="Weight",$C$52&gt;0, Results!$E$4="Tissue",OR($B$52="g",$B$52="mg")),((EV26*EV$51)/(EV$52)),IF(AND(Results!$E$5="Volume",$C$54&gt;0,Results!$E$4="Fluid"),((EV26*EV$51)/(EV$54)),IF(AND(Results!$E$4="Cells",Results!$E$5="Million",$B$52="million"),((EV26*EV$51)/(EV$52)),"0")))))</f>
        <v>0</v>
      </c>
      <c r="EW79" s="20" t="str">
        <f>IF(EW26=0,"0",IF(AND(Results!$E$5="Protein",$C$53&gt;0,OR(Results!$E$4="Tissue",Results!$E$4="Cells")),((EW26*EW$51)/(EW$53)),IF(AND(Results!$E$5="Weight",$C$52&gt;0, Results!$E$4="Tissue",OR($B$52="g",$B$52="mg")),((EW26*EW$51)/(EW$52)),IF(AND(Results!$E$5="Volume",$C$54&gt;0,Results!$E$4="Fluid"),((EW26*EW$51)/(EW$54)),IF(AND(Results!$E$4="Cells",Results!$E$5="Million",$B$52="million"),((EW26*EW$51)/(EW$52)),"0")))))</f>
        <v>0</v>
      </c>
      <c r="EX79" s="20" t="str">
        <f>IF(EX26=0,"0",IF(AND(Results!$E$5="Protein",$C$53&gt;0,OR(Results!$E$4="Tissue",Results!$E$4="Cells")),((EX26*EX$51)/(EX$53)),IF(AND(Results!$E$5="Weight",$C$52&gt;0, Results!$E$4="Tissue",OR($B$52="g",$B$52="mg")),((EX26*EX$51)/(EX$52)),IF(AND(Results!$E$5="Volume",$C$54&gt;0,Results!$E$4="Fluid"),((EX26*EX$51)/(EX$54)),IF(AND(Results!$E$4="Cells",Results!$E$5="Million",$B$52="million"),((EX26*EX$51)/(EX$52)),"0")))))</f>
        <v>0</v>
      </c>
      <c r="EY79" s="20" t="str">
        <f>IF(EY26=0,"0",IF(AND(Results!$E$5="Protein",$C$53&gt;0,OR(Results!$E$4="Tissue",Results!$E$4="Cells")),((EY26*EY$51)/(EY$53)),IF(AND(Results!$E$5="Weight",$C$52&gt;0, Results!$E$4="Tissue",OR($B$52="g",$B$52="mg")),((EY26*EY$51)/(EY$52)),IF(AND(Results!$E$5="Volume",$C$54&gt;0,Results!$E$4="Fluid"),((EY26*EY$51)/(EY$54)),IF(AND(Results!$E$4="Cells",Results!$E$5="Million",$B$52="million"),((EY26*EY$51)/(EY$52)),"0")))))</f>
        <v>0</v>
      </c>
      <c r="EZ79" s="20" t="str">
        <f>IF(EZ26=0,"0",IF(AND(Results!$E$5="Protein",$C$53&gt;0,OR(Results!$E$4="Tissue",Results!$E$4="Cells")),((EZ26*EZ$51)/(EZ$53)),IF(AND(Results!$E$5="Weight",$C$52&gt;0, Results!$E$4="Tissue",OR($B$52="g",$B$52="mg")),((EZ26*EZ$51)/(EZ$52)),IF(AND(Results!$E$5="Volume",$C$54&gt;0,Results!$E$4="Fluid"),((EZ26*EZ$51)/(EZ$54)),IF(AND(Results!$E$4="Cells",Results!$E$5="Million",$B$52="million"),((EZ26*EZ$51)/(EZ$52)),"0")))))</f>
        <v>0</v>
      </c>
      <c r="FA79" s="20" t="str">
        <f>IF(FA26=0,"0",IF(AND(Results!$E$5="Protein",$C$53&gt;0,OR(Results!$E$4="Tissue",Results!$E$4="Cells")),((FA26*FA$51)/(FA$53)),IF(AND(Results!$E$5="Weight",$C$52&gt;0, Results!$E$4="Tissue",OR($B$52="g",$B$52="mg")),((FA26*FA$51)/(FA$52)),IF(AND(Results!$E$5="Volume",$C$54&gt;0,Results!$E$4="Fluid"),((FA26*FA$51)/(FA$54)),IF(AND(Results!$E$4="Cells",Results!$E$5="Million",$B$52="million"),((FA26*FA$51)/(FA$52)),"0")))))</f>
        <v>0</v>
      </c>
      <c r="FB79" s="20" t="str">
        <f>IF(FB26=0,"0",IF(AND(Results!$E$5="Protein",$C$53&gt;0,OR(Results!$E$4="Tissue",Results!$E$4="Cells")),((FB26*FB$51)/(FB$53)),IF(AND(Results!$E$5="Weight",$C$52&gt;0, Results!$E$4="Tissue",OR($B$52="g",$B$52="mg")),((FB26*FB$51)/(FB$52)),IF(AND(Results!$E$5="Volume",$C$54&gt;0,Results!$E$4="Fluid"),((FB26*FB$51)/(FB$54)),IF(AND(Results!$E$4="Cells",Results!$E$5="Million",$B$52="million"),((FB26*FB$51)/(FB$52)),"0")))))</f>
        <v>0</v>
      </c>
      <c r="FC79" s="20" t="str">
        <f>IF(FC26=0,"0",IF(AND(Results!$E$5="Protein",$C$53&gt;0,OR(Results!$E$4="Tissue",Results!$E$4="Cells")),((FC26*FC$51)/(FC$53)),IF(AND(Results!$E$5="Weight",$C$52&gt;0, Results!$E$4="Tissue",OR($B$52="g",$B$52="mg")),((FC26*FC$51)/(FC$52)),IF(AND(Results!$E$5="Volume",$C$54&gt;0,Results!$E$4="Fluid"),((FC26*FC$51)/(FC$54)),IF(AND(Results!$E$4="Cells",Results!$E$5="Million",$B$52="million"),((FC26*FC$51)/(FC$52)),"0")))))</f>
        <v>0</v>
      </c>
      <c r="FD79" s="20" t="str">
        <f>IF(FD26=0,"0",IF(AND(Results!$E$5="Protein",$C$53&gt;0,OR(Results!$E$4="Tissue",Results!$E$4="Cells")),((FD26*FD$51)/(FD$53)),IF(AND(Results!$E$5="Weight",$C$52&gt;0, Results!$E$4="Tissue",OR($B$52="g",$B$52="mg")),((FD26*FD$51)/(FD$52)),IF(AND(Results!$E$5="Volume",$C$54&gt;0,Results!$E$4="Fluid"),((FD26*FD$51)/(FD$54)),IF(AND(Results!$E$4="Cells",Results!$E$5="Million",$B$52="million"),((FD26*FD$51)/(FD$52)),"0")))))</f>
        <v>0</v>
      </c>
      <c r="FE79" s="20" t="str">
        <f>IF(FE26=0,"0",IF(AND(Results!$E$5="Protein",$C$53&gt;0,OR(Results!$E$4="Tissue",Results!$E$4="Cells")),((FE26*FE$51)/(FE$53)),IF(AND(Results!$E$5="Weight",$C$52&gt;0, Results!$E$4="Tissue",OR($B$52="g",$B$52="mg")),((FE26*FE$51)/(FE$52)),IF(AND(Results!$E$5="Volume",$C$54&gt;0,Results!$E$4="Fluid"),((FE26*FE$51)/(FE$54)),IF(AND(Results!$E$4="Cells",Results!$E$5="Million",$B$52="million"),((FE26*FE$51)/(FE$52)),"0")))))</f>
        <v>0</v>
      </c>
      <c r="FF79" s="20" t="str">
        <f>IF(FF26=0,"0",IF(AND(Results!$E$5="Protein",$C$53&gt;0,OR(Results!$E$4="Tissue",Results!$E$4="Cells")),((FF26*FF$51)/(FF$53)),IF(AND(Results!$E$5="Weight",$C$52&gt;0, Results!$E$4="Tissue",OR($B$52="g",$B$52="mg")),((FF26*FF$51)/(FF$52)),IF(AND(Results!$E$5="Volume",$C$54&gt;0,Results!$E$4="Fluid"),((FF26*FF$51)/(FF$54)),IF(AND(Results!$E$4="Cells",Results!$E$5="Million",$B$52="million"),((FF26*FF$51)/(FF$52)),"0")))))</f>
        <v>0</v>
      </c>
      <c r="FG79" s="20" t="str">
        <f>IF(FG26=0,"0",IF(AND(Results!$E$5="Protein",$C$53&gt;0,OR(Results!$E$4="Tissue",Results!$E$4="Cells")),((FG26*FG$51)/(FG$53)),IF(AND(Results!$E$5="Weight",$C$52&gt;0, Results!$E$4="Tissue",OR($B$52="g",$B$52="mg")),((FG26*FG$51)/(FG$52)),IF(AND(Results!$E$5="Volume",$C$54&gt;0,Results!$E$4="Fluid"),((FG26*FG$51)/(FG$54)),IF(AND(Results!$E$4="Cells",Results!$E$5="Million",$B$52="million"),((FG26*FG$51)/(FG$52)),"0")))))</f>
        <v>0</v>
      </c>
      <c r="FH79" s="20" t="str">
        <f>IF(FH26=0,"0",IF(AND(Results!$E$5="Protein",$C$53&gt;0,OR(Results!$E$4="Tissue",Results!$E$4="Cells")),((FH26*FH$51)/(FH$53)),IF(AND(Results!$E$5="Weight",$C$52&gt;0, Results!$E$4="Tissue",OR($B$52="g",$B$52="mg")),((FH26*FH$51)/(FH$52)),IF(AND(Results!$E$5="Volume",$C$54&gt;0,Results!$E$4="Fluid"),((FH26*FH$51)/(FH$54)),IF(AND(Results!$E$4="Cells",Results!$E$5="Million",$B$52="million"),((FH26*FH$51)/(FH$52)),"0")))))</f>
        <v>0</v>
      </c>
      <c r="FI79" s="20" t="str">
        <f>IF(FI26=0,"0",IF(AND(Results!$E$5="Protein",$C$53&gt;0,OR(Results!$E$4="Tissue",Results!$E$4="Cells")),((FI26*FI$51)/(FI$53)),IF(AND(Results!$E$5="Weight",$C$52&gt;0, Results!$E$4="Tissue",OR($B$52="g",$B$52="mg")),((FI26*FI$51)/(FI$52)),IF(AND(Results!$E$5="Volume",$C$54&gt;0,Results!$E$4="Fluid"),((FI26*FI$51)/(FI$54)),IF(AND(Results!$E$4="Cells",Results!$E$5="Million",$B$52="million"),((FI26*FI$51)/(FI$52)),"0")))))</f>
        <v>0</v>
      </c>
      <c r="FJ79" s="20" t="str">
        <f>IF(FJ26=0,"0",IF(AND(Results!$E$5="Protein",$C$53&gt;0,OR(Results!$E$4="Tissue",Results!$E$4="Cells")),((FJ26*FJ$51)/(FJ$53)),IF(AND(Results!$E$5="Weight",$C$52&gt;0, Results!$E$4="Tissue",OR($B$52="g",$B$52="mg")),((FJ26*FJ$51)/(FJ$52)),IF(AND(Results!$E$5="Volume",$C$54&gt;0,Results!$E$4="Fluid"),((FJ26*FJ$51)/(FJ$54)),IF(AND(Results!$E$4="Cells",Results!$E$5="Million",$B$52="million"),((FJ26*FJ$51)/(FJ$52)),"0")))))</f>
        <v>0</v>
      </c>
      <c r="FK79" s="20" t="str">
        <f>IF(FK26=0,"0",IF(AND(Results!$E$5="Protein",$C$53&gt;0,OR(Results!$E$4="Tissue",Results!$E$4="Cells")),((FK26*FK$51)/(FK$53)),IF(AND(Results!$E$5="Weight",$C$52&gt;0, Results!$E$4="Tissue",OR($B$52="g",$B$52="mg")),((FK26*FK$51)/(FK$52)),IF(AND(Results!$E$5="Volume",$C$54&gt;0,Results!$E$4="Fluid"),((FK26*FK$51)/(FK$54)),IF(AND(Results!$E$4="Cells",Results!$E$5="Million",$B$52="million"),((FK26*FK$51)/(FK$52)),"0")))))</f>
        <v>0</v>
      </c>
      <c r="FL79" s="20" t="str">
        <f>IF(FL26=0,"0",IF(AND(Results!$E$5="Protein",$C$53&gt;0,OR(Results!$E$4="Tissue",Results!$E$4="Cells")),((FL26*FL$51)/(FL$53)),IF(AND(Results!$E$5="Weight",$C$52&gt;0, Results!$E$4="Tissue",OR($B$52="g",$B$52="mg")),((FL26*FL$51)/(FL$52)),IF(AND(Results!$E$5="Volume",$C$54&gt;0,Results!$E$4="Fluid"),((FL26*FL$51)/(FL$54)),IF(AND(Results!$E$4="Cells",Results!$E$5="Million",$B$52="million"),((FL26*FL$51)/(FL$52)),"0")))))</f>
        <v>0</v>
      </c>
      <c r="FM79" s="20" t="str">
        <f>IF(FM26=0,"0",IF(AND(Results!$E$5="Protein",$C$53&gt;0,OR(Results!$E$4="Tissue",Results!$E$4="Cells")),((FM26*FM$51)/(FM$53)),IF(AND(Results!$E$5="Weight",$C$52&gt;0, Results!$E$4="Tissue",OR($B$52="g",$B$52="mg")),((FM26*FM$51)/(FM$52)),IF(AND(Results!$E$5="Volume",$C$54&gt;0,Results!$E$4="Fluid"),((FM26*FM$51)/(FM$54)),IF(AND(Results!$E$4="Cells",Results!$E$5="Million",$B$52="million"),((FM26*FM$51)/(FM$52)),"0")))))</f>
        <v>0</v>
      </c>
      <c r="FN79" s="20" t="str">
        <f>IF(FN26=0,"0",IF(AND(Results!$E$5="Protein",$C$53&gt;0,OR(Results!$E$4="Tissue",Results!$E$4="Cells")),((FN26*FN$51)/(FN$53)),IF(AND(Results!$E$5="Weight",$C$52&gt;0, Results!$E$4="Tissue",OR($B$52="g",$B$52="mg")),((FN26*FN$51)/(FN$52)),IF(AND(Results!$E$5="Volume",$C$54&gt;0,Results!$E$4="Fluid"),((FN26*FN$51)/(FN$54)),IF(AND(Results!$E$4="Cells",Results!$E$5="Million",$B$52="million"),((FN26*FN$51)/(FN$52)),"0")))))</f>
        <v>0</v>
      </c>
      <c r="FO79" s="20" t="str">
        <f>IF(FO26=0,"0",IF(AND(Results!$E$5="Protein",$C$53&gt;0,OR(Results!$E$4="Tissue",Results!$E$4="Cells")),((FO26*FO$51)/(FO$53)),IF(AND(Results!$E$5="Weight",$C$52&gt;0, Results!$E$4="Tissue",OR($B$52="g",$B$52="mg")),((FO26*FO$51)/(FO$52)),IF(AND(Results!$E$5="Volume",$C$54&gt;0,Results!$E$4="Fluid"),((FO26*FO$51)/(FO$54)),IF(AND(Results!$E$4="Cells",Results!$E$5="Million",$B$52="million"),((FO26*FO$51)/(FO$52)),"0")))))</f>
        <v>0</v>
      </c>
    </row>
    <row r="80" spans="1:171" x14ac:dyDescent="0.2">
      <c r="A80" s="120" t="str">
        <f t="shared" si="0"/>
        <v xml:space="preserve">PGE2 </v>
      </c>
      <c r="B80" s="121"/>
      <c r="C80" s="20" t="str">
        <f>IF(C27=0,"0",IF(AND(Results!$E$5="Protein",$C$53&gt;0,OR(Results!$E$4="Tissue",Results!$E$4="Cells")),((C27*C$51)/(C$53)),IF(AND(Results!$E$5="Weight",$C$52&gt;0, Results!$E$4="Tissue",OR($B$52="g",$B$52="mg")),((C27*C$51)/(C$52)),IF(AND(Results!$E$5="Volume",$C$54&gt;0,Results!$E$4="Fluid"),((C27*C$51)/(C$54)),IF(AND(Results!$E$4="Cells",Results!$E$5="Million",$B$52="million"),((C27*C$51)/(C$52)),"0")))))</f>
        <v>0</v>
      </c>
      <c r="D80" s="20" t="str">
        <f>IF(D27=0,"0",IF(AND(Results!$E$5="Protein",$C$53&gt;0,OR(Results!$E$4="Tissue",Results!$E$4="Cells")),((D27*D$51)/(D$53)),IF(AND(Results!$E$5="Weight",$C$52&gt;0, Results!$E$4="Tissue",OR($B$52="g",$B$52="mg")),((D27*D$51)/(D$52)),IF(AND(Results!$E$5="Volume",$C$54&gt;0,Results!$E$4="Fluid"),((D27*D$51)/(D$54)),IF(AND(Results!$E$4="Cells",Results!$E$5="Million",$B$52="million"),((D27*D$51)/(D$52)),"0")))))</f>
        <v>0</v>
      </c>
      <c r="E80" s="20" t="str">
        <f>IF(E27=0,"0",IF(AND(Results!$E$5="Protein",$C$53&gt;0,OR(Results!$E$4="Tissue",Results!$E$4="Cells")),((E27*E$51)/(E$53)),IF(AND(Results!$E$5="Weight",$C$52&gt;0, Results!$E$4="Tissue",OR($B$52="g",$B$52="mg")),((E27*E$51)/(E$52)),IF(AND(Results!$E$5="Volume",$C$54&gt;0,Results!$E$4="Fluid"),((E27*E$51)/(E$54)),IF(AND(Results!$E$4="Cells",Results!$E$5="Million",$B$52="million"),((E27*E$51)/(E$52)),"0")))))</f>
        <v>0</v>
      </c>
      <c r="F80" s="20">
        <f>IF(F27=0,"0",IF(AND(Results!$E$5="Protein",$C$53&gt;0,OR(Results!$E$4="Tissue",Results!$E$4="Cells")),((F27*F$51)/(F$53)),IF(AND(Results!$E$5="Weight",$C$52&gt;0, Results!$E$4="Tissue",OR($B$52="g",$B$52="mg")),((F27*F$51)/(F$52)),IF(AND(Results!$E$5="Volume",$C$54&gt;0,Results!$E$4="Fluid"),((F27*F$51)/(F$54)),IF(AND(Results!$E$4="Cells",Results!$E$5="Million",$B$52="million"),((F27*F$51)/(F$52)),"0")))))</f>
        <v>1.8032333333333335</v>
      </c>
      <c r="G80" s="20">
        <f>IF(G27=0,"0",IF(AND(Results!$E$5="Protein",$C$53&gt;0,OR(Results!$E$4="Tissue",Results!$E$4="Cells")),((G27*G$51)/(G$53)),IF(AND(Results!$E$5="Weight",$C$52&gt;0, Results!$E$4="Tissue",OR($B$52="g",$B$52="mg")),((G27*G$51)/(G$52)),IF(AND(Results!$E$5="Volume",$C$54&gt;0,Results!$E$4="Fluid"),((G27*G$51)/(G$54)),IF(AND(Results!$E$4="Cells",Results!$E$5="Million",$B$52="million"),((G27*G$51)/(G$52)),"0")))))</f>
        <v>0.4966166666666666</v>
      </c>
      <c r="H80" s="20">
        <f>IF(H27=0,"0",IF(AND(Results!$E$5="Protein",$C$53&gt;0,OR(Results!$E$4="Tissue",Results!$E$4="Cells")),((H27*H$51)/(H$53)),IF(AND(Results!$E$5="Weight",$C$52&gt;0, Results!$E$4="Tissue",OR($B$52="g",$B$52="mg")),((H27*H$51)/(H$52)),IF(AND(Results!$E$5="Volume",$C$54&gt;0,Results!$E$4="Fluid"),((H27*H$51)/(H$54)),IF(AND(Results!$E$4="Cells",Results!$E$5="Million",$B$52="million"),((H27*H$51)/(H$52)),"0")))))</f>
        <v>0.53221666666666667</v>
      </c>
      <c r="I80" s="20">
        <f>IF(I27=0,"0",IF(AND(Results!$E$5="Protein",$C$53&gt;0,OR(Results!$E$4="Tissue",Results!$E$4="Cells")),((I27*I$51)/(I$53)),IF(AND(Results!$E$5="Weight",$C$52&gt;0, Results!$E$4="Tissue",OR($B$52="g",$B$52="mg")),((I27*I$51)/(I$52)),IF(AND(Results!$E$5="Volume",$C$54&gt;0,Results!$E$4="Fluid"),((I27*I$51)/(I$54)),IF(AND(Results!$E$4="Cells",Results!$E$5="Million",$B$52="million"),((I27*I$51)/(I$52)),"0")))))</f>
        <v>0.54988333333333339</v>
      </c>
      <c r="J80" s="20">
        <f>IF(J27=0,"0",IF(AND(Results!$E$5="Protein",$C$53&gt;0,OR(Results!$E$4="Tissue",Results!$E$4="Cells")),((J27*J$51)/(J$53)),IF(AND(Results!$E$5="Weight",$C$52&gt;0, Results!$E$4="Tissue",OR($B$52="g",$B$52="mg")),((J27*J$51)/(J$52)),IF(AND(Results!$E$5="Volume",$C$54&gt;0,Results!$E$4="Fluid"),((J27*J$51)/(J$54)),IF(AND(Results!$E$4="Cells",Results!$E$5="Million",$B$52="million"),((J27*J$51)/(J$52)),"0")))))</f>
        <v>0.5723166666666667</v>
      </c>
      <c r="K80" s="20" t="str">
        <f>IF(K27=0,"0",IF(AND(Results!$E$5="Protein",$C$53&gt;0,OR(Results!$E$4="Tissue",Results!$E$4="Cells")),((K27*K$51)/(K$53)),IF(AND(Results!$E$5="Weight",$C$52&gt;0, Results!$E$4="Tissue",OR($B$52="g",$B$52="mg")),((K27*K$51)/(K$52)),IF(AND(Results!$E$5="Volume",$C$54&gt;0,Results!$E$4="Fluid"),((K27*K$51)/(K$54)),IF(AND(Results!$E$4="Cells",Results!$E$5="Million",$B$52="million"),((K27*K$51)/(K$52)),"0")))))</f>
        <v>0</v>
      </c>
      <c r="L80" s="20">
        <f>IF(L27=0,"0",IF(AND(Results!$E$5="Protein",$C$53&gt;0,OR(Results!$E$4="Tissue",Results!$E$4="Cells")),((L27*L$51)/(L$53)),IF(AND(Results!$E$5="Weight",$C$52&gt;0, Results!$E$4="Tissue",OR($B$52="g",$B$52="mg")),((L27*L$51)/(L$52)),IF(AND(Results!$E$5="Volume",$C$54&gt;0,Results!$E$4="Fluid"),((L27*L$51)/(L$54)),IF(AND(Results!$E$4="Cells",Results!$E$5="Million",$B$52="million"),((L27*L$51)/(L$52)),"0")))))</f>
        <v>1.1946333333333332</v>
      </c>
      <c r="M80" s="20" t="str">
        <f>IF(M27=0,"0",IF(AND(Results!$E$5="Protein",$C$53&gt;0,OR(Results!$E$4="Tissue",Results!$E$4="Cells")),((M27*M$51)/(M$53)),IF(AND(Results!$E$5="Weight",$C$52&gt;0, Results!$E$4="Tissue",OR($B$52="g",$B$52="mg")),((M27*M$51)/(M$52)),IF(AND(Results!$E$5="Volume",$C$54&gt;0,Results!$E$4="Fluid"),((M27*M$51)/(M$54)),IF(AND(Results!$E$4="Cells",Results!$E$5="Million",$B$52="million"),((M27*M$51)/(M$52)),"0")))))</f>
        <v>0</v>
      </c>
      <c r="N80" s="20">
        <f>IF(N27=0,"0",IF(AND(Results!$E$5="Protein",$C$53&gt;0,OR(Results!$E$4="Tissue",Results!$E$4="Cells")),((N27*N$51)/(N$53)),IF(AND(Results!$E$5="Weight",$C$52&gt;0, Results!$E$4="Tissue",OR($B$52="g",$B$52="mg")),((N27*N$51)/(N$52)),IF(AND(Results!$E$5="Volume",$C$54&gt;0,Results!$E$4="Fluid"),((N27*N$51)/(N$54)),IF(AND(Results!$E$4="Cells",Results!$E$5="Million",$B$52="million"),((N27*N$51)/(N$52)),"0")))))</f>
        <v>0.46243333333333331</v>
      </c>
      <c r="O80" s="20">
        <f>IF(O27=0,"0",IF(AND(Results!$E$5="Protein",$C$53&gt;0,OR(Results!$E$4="Tissue",Results!$E$4="Cells")),((O27*O$51)/(O$53)),IF(AND(Results!$E$5="Weight",$C$52&gt;0, Results!$E$4="Tissue",OR($B$52="g",$B$52="mg")),((O27*O$51)/(O$52)),IF(AND(Results!$E$5="Volume",$C$54&gt;0,Results!$E$4="Fluid"),((O27*O$51)/(O$54)),IF(AND(Results!$E$4="Cells",Results!$E$5="Million",$B$52="million"),((O27*O$51)/(O$52)),"0")))))</f>
        <v>0.44046666666666662</v>
      </c>
      <c r="P80" s="20">
        <f>IF(P27=0,"0",IF(AND(Results!$E$5="Protein",$C$53&gt;0,OR(Results!$E$4="Tissue",Results!$E$4="Cells")),((P27*P$51)/(P$53)),IF(AND(Results!$E$5="Weight",$C$52&gt;0, Results!$E$4="Tissue",OR($B$52="g",$B$52="mg")),((P27*P$51)/(P$52)),IF(AND(Results!$E$5="Volume",$C$54&gt;0,Results!$E$4="Fluid"),((P27*P$51)/(P$54)),IF(AND(Results!$E$4="Cells",Results!$E$5="Million",$B$52="million"),((P27*P$51)/(P$52)),"0")))))</f>
        <v>0.47384999999999999</v>
      </c>
      <c r="Q80" s="20">
        <f>IF(Q27=0,"0",IF(AND(Results!$E$5="Protein",$C$53&gt;0,OR(Results!$E$4="Tissue",Results!$E$4="Cells")),((Q27*Q$51)/(Q$53)),IF(AND(Results!$E$5="Weight",$C$52&gt;0, Results!$E$4="Tissue",OR($B$52="g",$B$52="mg")),((Q27*Q$51)/(Q$52)),IF(AND(Results!$E$5="Volume",$C$54&gt;0,Results!$E$4="Fluid"),((Q27*Q$51)/(Q$54)),IF(AND(Results!$E$4="Cells",Results!$E$5="Million",$B$52="million"),((Q27*Q$51)/(Q$52)),"0")))))</f>
        <v>0.28350000000000003</v>
      </c>
      <c r="R80" s="20">
        <f>IF(R27=0,"0",IF(AND(Results!$E$5="Protein",$C$53&gt;0,OR(Results!$E$4="Tissue",Results!$E$4="Cells")),((R27*R$51)/(R$53)),IF(AND(Results!$E$5="Weight",$C$52&gt;0, Results!$E$4="Tissue",OR($B$52="g",$B$52="mg")),((R27*R$51)/(R$52)),IF(AND(Results!$E$5="Volume",$C$54&gt;0,Results!$E$4="Fluid"),((R27*R$51)/(R$54)),IF(AND(Results!$E$4="Cells",Results!$E$5="Million",$B$52="million"),((R27*R$51)/(R$52)),"0")))))</f>
        <v>10.152099999999999</v>
      </c>
      <c r="S80" s="20" t="str">
        <f>IF(S27=0,"0",IF(AND(Results!$E$5="Protein",$C$53&gt;0,OR(Results!$E$4="Tissue",Results!$E$4="Cells")),((S27*S$51)/(S$53)),IF(AND(Results!$E$5="Weight",$C$52&gt;0, Results!$E$4="Tissue",OR($B$52="g",$B$52="mg")),((S27*S$51)/(S$52)),IF(AND(Results!$E$5="Volume",$C$54&gt;0,Results!$E$4="Fluid"),((S27*S$51)/(S$54)),IF(AND(Results!$E$4="Cells",Results!$E$5="Million",$B$52="million"),((S27*S$51)/(S$52)),"0")))))</f>
        <v>0</v>
      </c>
      <c r="T80" s="20" t="str">
        <f>IF(T27=0,"0",IF(AND(Results!$E$5="Protein",$C$53&gt;0,OR(Results!$E$4="Tissue",Results!$E$4="Cells")),((T27*T$51)/(T$53)),IF(AND(Results!$E$5="Weight",$C$52&gt;0, Results!$E$4="Tissue",OR($B$52="g",$B$52="mg")),((T27*T$51)/(T$52)),IF(AND(Results!$E$5="Volume",$C$54&gt;0,Results!$E$4="Fluid"),((T27*T$51)/(T$54)),IF(AND(Results!$E$4="Cells",Results!$E$5="Million",$B$52="million"),((T27*T$51)/(T$52)),"0")))))</f>
        <v>0</v>
      </c>
      <c r="U80" s="20">
        <f>IF(U27=0,"0",IF(AND(Results!$E$5="Protein",$C$53&gt;0,OR(Results!$E$4="Tissue",Results!$E$4="Cells")),((U27*U$51)/(U$53)),IF(AND(Results!$E$5="Weight",$C$52&gt;0, Results!$E$4="Tissue",OR($B$52="g",$B$52="mg")),((U27*U$51)/(U$52)),IF(AND(Results!$E$5="Volume",$C$54&gt;0,Results!$E$4="Fluid"),((U27*U$51)/(U$54)),IF(AND(Results!$E$4="Cells",Results!$E$5="Million",$B$52="million"),((U27*U$51)/(U$52)),"0")))))</f>
        <v>0.57499999999999996</v>
      </c>
      <c r="V80" s="20" t="str">
        <f>IF(V27=0,"0",IF(AND(Results!$E$5="Protein",$C$53&gt;0,OR(Results!$E$4="Tissue",Results!$E$4="Cells")),((V27*V$51)/(V$53)),IF(AND(Results!$E$5="Weight",$C$52&gt;0, Results!$E$4="Tissue",OR($B$52="g",$B$52="mg")),((V27*V$51)/(V$52)),IF(AND(Results!$E$5="Volume",$C$54&gt;0,Results!$E$4="Fluid"),((V27*V$51)/(V$54)),IF(AND(Results!$E$4="Cells",Results!$E$5="Million",$B$52="million"),((V27*V$51)/(V$52)),"0")))))</f>
        <v>0</v>
      </c>
      <c r="W80" s="20" t="str">
        <f>IF(W27=0,"0",IF(AND(Results!$E$5="Protein",$C$53&gt;0,OR(Results!$E$4="Tissue",Results!$E$4="Cells")),((W27*W$51)/(W$53)),IF(AND(Results!$E$5="Weight",$C$52&gt;0, Results!$E$4="Tissue",OR($B$52="g",$B$52="mg")),((W27*W$51)/(W$52)),IF(AND(Results!$E$5="Volume",$C$54&gt;0,Results!$E$4="Fluid"),((W27*W$51)/(W$54)),IF(AND(Results!$E$4="Cells",Results!$E$5="Million",$B$52="million"),((W27*W$51)/(W$52)),"0")))))</f>
        <v>0</v>
      </c>
      <c r="X80" s="20" t="str">
        <f>IF(X27=0,"0",IF(AND(Results!$E$5="Protein",$C$53&gt;0,OR(Results!$E$4="Tissue",Results!$E$4="Cells")),((X27*X$51)/(X$53)),IF(AND(Results!$E$5="Weight",$C$52&gt;0, Results!$E$4="Tissue",OR($B$52="g",$B$52="mg")),((X27*X$51)/(X$52)),IF(AND(Results!$E$5="Volume",$C$54&gt;0,Results!$E$4="Fluid"),((X27*X$51)/(X$54)),IF(AND(Results!$E$4="Cells",Results!$E$5="Million",$B$52="million"),((X27*X$51)/(X$52)),"0")))))</f>
        <v>0</v>
      </c>
      <c r="Y80" s="20" t="str">
        <f>IF(Y27=0,"0",IF(AND(Results!$E$5="Protein",$C$53&gt;0,OR(Results!$E$4="Tissue",Results!$E$4="Cells")),((Y27*Y$51)/(Y$53)),IF(AND(Results!$E$5="Weight",$C$52&gt;0, Results!$E$4="Tissue",OR($B$52="g",$B$52="mg")),((Y27*Y$51)/(Y$52)),IF(AND(Results!$E$5="Volume",$C$54&gt;0,Results!$E$4="Fluid"),((Y27*Y$51)/(Y$54)),IF(AND(Results!$E$4="Cells",Results!$E$5="Million",$B$52="million"),((Y27*Y$51)/(Y$52)),"0")))))</f>
        <v>0</v>
      </c>
      <c r="Z80" s="20">
        <f>IF(Z27=0,"0",IF(AND(Results!$E$5="Protein",$C$53&gt;0,OR(Results!$E$4="Tissue",Results!$E$4="Cells")),((Z27*Z$51)/(Z$53)),IF(AND(Results!$E$5="Weight",$C$52&gt;0, Results!$E$4="Tissue",OR($B$52="g",$B$52="mg")),((Z27*Z$51)/(Z$52)),IF(AND(Results!$E$5="Volume",$C$54&gt;0,Results!$E$4="Fluid"),((Z27*Z$51)/(Z$54)),IF(AND(Results!$E$4="Cells",Results!$E$5="Million",$B$52="million"),((Z27*Z$51)/(Z$52)),"0")))))</f>
        <v>1.9187399999999999</v>
      </c>
      <c r="AA80" s="20" t="str">
        <f>IF(AA27=0,"0",IF(AND(Results!$E$5="Protein",$C$53&gt;0,OR(Results!$E$4="Tissue",Results!$E$4="Cells")),((AA27*AA$51)/(AA$53)),IF(AND(Results!$E$5="Weight",$C$52&gt;0, Results!$E$4="Tissue",OR($B$52="g",$B$52="mg")),((AA27*AA$51)/(AA$52)),IF(AND(Results!$E$5="Volume",$C$54&gt;0,Results!$E$4="Fluid"),((AA27*AA$51)/(AA$54)),IF(AND(Results!$E$4="Cells",Results!$E$5="Million",$B$52="million"),((AA27*AA$51)/(AA$52)),"0")))))</f>
        <v>0</v>
      </c>
      <c r="AB80" s="20" t="str">
        <f>IF(AB27=0,"0",IF(AND(Results!$E$5="Protein",$C$53&gt;0,OR(Results!$E$4="Tissue",Results!$E$4="Cells")),((AB27*AB$51)/(AB$53)),IF(AND(Results!$E$5="Weight",$C$52&gt;0, Results!$E$4="Tissue",OR($B$52="g",$B$52="mg")),((AB27*AB$51)/(AB$52)),IF(AND(Results!$E$5="Volume",$C$54&gt;0,Results!$E$4="Fluid"),((AB27*AB$51)/(AB$54)),IF(AND(Results!$E$4="Cells",Results!$E$5="Million",$B$52="million"),((AB27*AB$51)/(AB$52)),"0")))))</f>
        <v>0</v>
      </c>
      <c r="AC80" s="20">
        <f>IF(AC27=0,"0",IF(AND(Results!$E$5="Protein",$C$53&gt;0,OR(Results!$E$4="Tissue",Results!$E$4="Cells")),((AC27*AC$51)/(AC$53)),IF(AND(Results!$E$5="Weight",$C$52&gt;0, Results!$E$4="Tissue",OR($B$52="g",$B$52="mg")),((AC27*AC$51)/(AC$52)),IF(AND(Results!$E$5="Volume",$C$54&gt;0,Results!$E$4="Fluid"),((AC27*AC$51)/(AC$54)),IF(AND(Results!$E$4="Cells",Results!$E$5="Million",$B$52="million"),((AC27*AC$51)/(AC$52)),"0")))))</f>
        <v>1.6557500000000001</v>
      </c>
      <c r="AD80" s="20">
        <f>IF(AD27=0,"0",IF(AND(Results!$E$5="Protein",$C$53&gt;0,OR(Results!$E$4="Tissue",Results!$E$4="Cells")),((AD27*AD$51)/(AD$53)),IF(AND(Results!$E$5="Weight",$C$52&gt;0, Results!$E$4="Tissue",OR($B$52="g",$B$52="mg")),((AD27*AD$51)/(AD$52)),IF(AND(Results!$E$5="Volume",$C$54&gt;0,Results!$E$4="Fluid"),((AD27*AD$51)/(AD$54)),IF(AND(Results!$E$4="Cells",Results!$E$5="Million",$B$52="million"),((AD27*AD$51)/(AD$52)),"0")))))</f>
        <v>0.83786666666666665</v>
      </c>
      <c r="AE80" s="20" t="str">
        <f>IF(AE27=0,"0",IF(AND(Results!$E$5="Protein",$C$53&gt;0,OR(Results!$E$4="Tissue",Results!$E$4="Cells")),((AE27*AE$51)/(AE$53)),IF(AND(Results!$E$5="Weight",$C$52&gt;0, Results!$E$4="Tissue",OR($B$52="g",$B$52="mg")),((AE27*AE$51)/(AE$52)),IF(AND(Results!$E$5="Volume",$C$54&gt;0,Results!$E$4="Fluid"),((AE27*AE$51)/(AE$54)),IF(AND(Results!$E$4="Cells",Results!$E$5="Million",$B$52="million"),((AE27*AE$51)/(AE$52)),"0")))))</f>
        <v>0</v>
      </c>
      <c r="AF80" s="20" t="str">
        <f>IF(AF27=0,"0",IF(AND(Results!$E$5="Protein",$C$53&gt;0,OR(Results!$E$4="Tissue",Results!$E$4="Cells")),((AF27*AF$51)/(AF$53)),IF(AND(Results!$E$5="Weight",$C$52&gt;0, Results!$E$4="Tissue",OR($B$52="g",$B$52="mg")),((AF27*AF$51)/(AF$52)),IF(AND(Results!$E$5="Volume",$C$54&gt;0,Results!$E$4="Fluid"),((AF27*AF$51)/(AF$54)),IF(AND(Results!$E$4="Cells",Results!$E$5="Million",$B$52="million"),((AF27*AF$51)/(AF$52)),"0")))))</f>
        <v>0</v>
      </c>
      <c r="AG80" s="20" t="str">
        <f>IF(AG27=0,"0",IF(AND(Results!$E$5="Protein",$C$53&gt;0,OR(Results!$E$4="Tissue",Results!$E$4="Cells")),((AG27*AG$51)/(AG$53)),IF(AND(Results!$E$5="Weight",$C$52&gt;0, Results!$E$4="Tissue",OR($B$52="g",$B$52="mg")),((AG27*AG$51)/(AG$52)),IF(AND(Results!$E$5="Volume",$C$54&gt;0,Results!$E$4="Fluid"),((AG27*AG$51)/(AG$54)),IF(AND(Results!$E$4="Cells",Results!$E$5="Million",$B$52="million"),((AG27*AG$51)/(AG$52)),"0")))))</f>
        <v>0</v>
      </c>
      <c r="AH80" s="20">
        <f>IF(AH27=0,"0",IF(AND(Results!$E$5="Protein",$C$53&gt;0,OR(Results!$E$4="Tissue",Results!$E$4="Cells")),((AH27*AH$51)/(AH$53)),IF(AND(Results!$E$5="Weight",$C$52&gt;0, Results!$E$4="Tissue",OR($B$52="g",$B$52="mg")),((AH27*AH$51)/(AH$52)),IF(AND(Results!$E$5="Volume",$C$54&gt;0,Results!$E$4="Fluid"),((AH27*AH$51)/(AH$54)),IF(AND(Results!$E$4="Cells",Results!$E$5="Million",$B$52="million"),((AH27*AH$51)/(AH$52)),"0")))))</f>
        <v>0.48909999999999998</v>
      </c>
      <c r="AI80" s="20">
        <f>IF(AI27=0,"0",IF(AND(Results!$E$5="Protein",$C$53&gt;0,OR(Results!$E$4="Tissue",Results!$E$4="Cells")),((AI27*AI$51)/(AI$53)),IF(AND(Results!$E$5="Weight",$C$52&gt;0, Results!$E$4="Tissue",OR($B$52="g",$B$52="mg")),((AI27*AI$51)/(AI$52)),IF(AND(Results!$E$5="Volume",$C$54&gt;0,Results!$E$4="Fluid"),((AI27*AI$51)/(AI$54)),IF(AND(Results!$E$4="Cells",Results!$E$5="Million",$B$52="million"),((AI27*AI$51)/(AI$52)),"0")))))</f>
        <v>0.63815</v>
      </c>
      <c r="AJ80" s="20" t="str">
        <f>IF(AJ27=0,"0",IF(AND(Results!$E$5="Protein",$C$53&gt;0,OR(Results!$E$4="Tissue",Results!$E$4="Cells")),((AJ27*AJ$51)/(AJ$53)),IF(AND(Results!$E$5="Weight",$C$52&gt;0, Results!$E$4="Tissue",OR($B$52="g",$B$52="mg")),((AJ27*AJ$51)/(AJ$52)),IF(AND(Results!$E$5="Volume",$C$54&gt;0,Results!$E$4="Fluid"),((AJ27*AJ$51)/(AJ$54)),IF(AND(Results!$E$4="Cells",Results!$E$5="Million",$B$52="million"),((AJ27*AJ$51)/(AJ$52)),"0")))))</f>
        <v>0</v>
      </c>
      <c r="AK80" s="20">
        <f>IF(AK27=0,"0",IF(AND(Results!$E$5="Protein",$C$53&gt;0,OR(Results!$E$4="Tissue",Results!$E$4="Cells")),((AK27*AK$51)/(AK$53)),IF(AND(Results!$E$5="Weight",$C$52&gt;0, Results!$E$4="Tissue",OR($B$52="g",$B$52="mg")),((AK27*AK$51)/(AK$52)),IF(AND(Results!$E$5="Volume",$C$54&gt;0,Results!$E$4="Fluid"),((AK27*AK$51)/(AK$54)),IF(AND(Results!$E$4="Cells",Results!$E$5="Million",$B$52="million"),((AK27*AK$51)/(AK$52)),"0")))))</f>
        <v>0.52998333333333336</v>
      </c>
      <c r="AL80" s="20" t="str">
        <f>IF(AL27=0,"0",IF(AND(Results!$E$5="Protein",$C$53&gt;0,OR(Results!$E$4="Tissue",Results!$E$4="Cells")),((AL27*AL$51)/(AL$53)),IF(AND(Results!$E$5="Weight",$C$52&gt;0, Results!$E$4="Tissue",OR($B$52="g",$B$52="mg")),((AL27*AL$51)/(AL$52)),IF(AND(Results!$E$5="Volume",$C$54&gt;0,Results!$E$4="Fluid"),((AL27*AL$51)/(AL$54)),IF(AND(Results!$E$4="Cells",Results!$E$5="Million",$B$52="million"),((AL27*AL$51)/(AL$52)),"0")))))</f>
        <v>0</v>
      </c>
      <c r="AM80" s="20" t="str">
        <f>IF(AM27=0,"0",IF(AND(Results!$E$5="Protein",$C$53&gt;0,OR(Results!$E$4="Tissue",Results!$E$4="Cells")),((AM27*AM$51)/(AM$53)),IF(AND(Results!$E$5="Weight",$C$52&gt;0, Results!$E$4="Tissue",OR($B$52="g",$B$52="mg")),((AM27*AM$51)/(AM$52)),IF(AND(Results!$E$5="Volume",$C$54&gt;0,Results!$E$4="Fluid"),((AM27*AM$51)/(AM$54)),IF(AND(Results!$E$4="Cells",Results!$E$5="Million",$B$52="million"),((AM27*AM$51)/(AM$52)),"0")))))</f>
        <v>0</v>
      </c>
      <c r="AN80" s="20">
        <f>IF(AN27=0,"0",IF(AND(Results!$E$5="Protein",$C$53&gt;0,OR(Results!$E$4="Tissue",Results!$E$4="Cells")),((AN27*AN$51)/(AN$53)),IF(AND(Results!$E$5="Weight",$C$52&gt;0, Results!$E$4="Tissue",OR($B$52="g",$B$52="mg")),((AN27*AN$51)/(AN$52)),IF(AND(Results!$E$5="Volume",$C$54&gt;0,Results!$E$4="Fluid"),((AN27*AN$51)/(AN$54)),IF(AND(Results!$E$4="Cells",Results!$E$5="Million",$B$52="million"),((AN27*AN$51)/(AN$52)),"0")))))</f>
        <v>0.88796666666666668</v>
      </c>
      <c r="AO80" s="20" t="str">
        <f>IF(AO27=0,"0",IF(AND(Results!$E$5="Protein",$C$53&gt;0,OR(Results!$E$4="Tissue",Results!$E$4="Cells")),((AO27*AO$51)/(AO$53)),IF(AND(Results!$E$5="Weight",$C$52&gt;0, Results!$E$4="Tissue",OR($B$52="g",$B$52="mg")),((AO27*AO$51)/(AO$52)),IF(AND(Results!$E$5="Volume",$C$54&gt;0,Results!$E$4="Fluid"),((AO27*AO$51)/(AO$54)),IF(AND(Results!$E$4="Cells",Results!$E$5="Million",$B$52="million"),((AO27*AO$51)/(AO$52)),"0")))))</f>
        <v>0</v>
      </c>
      <c r="AP80" s="20" t="str">
        <f>IF(AP27=0,"0",IF(AND(Results!$E$5="Protein",$C$53&gt;0,OR(Results!$E$4="Tissue",Results!$E$4="Cells")),((AP27*AP$51)/(AP$53)),IF(AND(Results!$E$5="Weight",$C$52&gt;0, Results!$E$4="Tissue",OR($B$52="g",$B$52="mg")),((AP27*AP$51)/(AP$52)),IF(AND(Results!$E$5="Volume",$C$54&gt;0,Results!$E$4="Fluid"),((AP27*AP$51)/(AP$54)),IF(AND(Results!$E$4="Cells",Results!$E$5="Million",$B$52="million"),((AP27*AP$51)/(AP$52)),"0")))))</f>
        <v>0</v>
      </c>
      <c r="AQ80" s="20" t="str">
        <f>IF(AQ27=0,"0",IF(AND(Results!$E$5="Protein",$C$53&gt;0,OR(Results!$E$4="Tissue",Results!$E$4="Cells")),((AQ27*AQ$51)/(AQ$53)),IF(AND(Results!$E$5="Weight",$C$52&gt;0, Results!$E$4="Tissue",OR($B$52="g",$B$52="mg")),((AQ27*AQ$51)/(AQ$52)),IF(AND(Results!$E$5="Volume",$C$54&gt;0,Results!$E$4="Fluid"),((AQ27*AQ$51)/(AQ$54)),IF(AND(Results!$E$4="Cells",Results!$E$5="Million",$B$52="million"),((AQ27*AQ$51)/(AQ$52)),"0")))))</f>
        <v>0</v>
      </c>
      <c r="AR80" s="20" t="str">
        <f>IF(AR27=0,"0",IF(AND(Results!$E$5="Protein",$C$53&gt;0,OR(Results!$E$4="Tissue",Results!$E$4="Cells")),((AR27*AR$51)/(AR$53)),IF(AND(Results!$E$5="Weight",$C$52&gt;0, Results!$E$4="Tissue",OR($B$52="g",$B$52="mg")),((AR27*AR$51)/(AR$52)),IF(AND(Results!$E$5="Volume",$C$54&gt;0,Results!$E$4="Fluid"),((AR27*AR$51)/(AR$54)),IF(AND(Results!$E$4="Cells",Results!$E$5="Million",$B$52="million"),((AR27*AR$51)/(AR$52)),"0")))))</f>
        <v>0</v>
      </c>
      <c r="AS80" s="20">
        <f>IF(AS27=0,"0",IF(AND(Results!$E$5="Protein",$C$53&gt;0,OR(Results!$E$4="Tissue",Results!$E$4="Cells")),((AS27*AS$51)/(AS$53)),IF(AND(Results!$E$5="Weight",$C$52&gt;0, Results!$E$4="Tissue",OR($B$52="g",$B$52="mg")),((AS27*AS$51)/(AS$52)),IF(AND(Results!$E$5="Volume",$C$54&gt;0,Results!$E$4="Fluid"),((AS27*AS$51)/(AS$54)),IF(AND(Results!$E$4="Cells",Results!$E$5="Million",$B$52="million"),((AS27*AS$51)/(AS$52)),"0")))))</f>
        <v>4.8669666666666664</v>
      </c>
      <c r="AT80" s="20">
        <f>IF(AT27=0,"0",IF(AND(Results!$E$5="Protein",$C$53&gt;0,OR(Results!$E$4="Tissue",Results!$E$4="Cells")),((AT27*AT$51)/(AT$53)),IF(AND(Results!$E$5="Weight",$C$52&gt;0, Results!$E$4="Tissue",OR($B$52="g",$B$52="mg")),((AT27*AT$51)/(AT$52)),IF(AND(Results!$E$5="Volume",$C$54&gt;0,Results!$E$4="Fluid"),((AT27*AT$51)/(AT$54)),IF(AND(Results!$E$4="Cells",Results!$E$5="Million",$B$52="million"),((AT27*AT$51)/(AT$52)),"0")))))</f>
        <v>1.0176666666666667</v>
      </c>
      <c r="AU80" s="20" t="str">
        <f>IF(AU27=0,"0",IF(AND(Results!$E$5="Protein",$C$53&gt;0,OR(Results!$E$4="Tissue",Results!$E$4="Cells")),((AU27*AU$51)/(AU$53)),IF(AND(Results!$E$5="Weight",$C$52&gt;0, Results!$E$4="Tissue",OR($B$52="g",$B$52="mg")),((AU27*AU$51)/(AU$52)),IF(AND(Results!$E$5="Volume",$C$54&gt;0,Results!$E$4="Fluid"),((AU27*AU$51)/(AU$54)),IF(AND(Results!$E$4="Cells",Results!$E$5="Million",$B$52="million"),((AU27*AU$51)/(AU$52)),"0")))))</f>
        <v>0</v>
      </c>
      <c r="AV80" s="20" t="str">
        <f>IF(AV27=0,"0",IF(AND(Results!$E$5="Protein",$C$53&gt;0,OR(Results!$E$4="Tissue",Results!$E$4="Cells")),((AV27*AV$51)/(AV$53)),IF(AND(Results!$E$5="Weight",$C$52&gt;0, Results!$E$4="Tissue",OR($B$52="g",$B$52="mg")),((AV27*AV$51)/(AV$52)),IF(AND(Results!$E$5="Volume",$C$54&gt;0,Results!$E$4="Fluid"),((AV27*AV$51)/(AV$54)),IF(AND(Results!$E$4="Cells",Results!$E$5="Million",$B$52="million"),((AV27*AV$51)/(AV$52)),"0")))))</f>
        <v>0</v>
      </c>
      <c r="AW80" s="20" t="str">
        <f>IF(AW27=0,"0",IF(AND(Results!$E$5="Protein",$C$53&gt;0,OR(Results!$E$4="Tissue",Results!$E$4="Cells")),((AW27*AW$51)/(AW$53)),IF(AND(Results!$E$5="Weight",$C$52&gt;0, Results!$E$4="Tissue",OR($B$52="g",$B$52="mg")),((AW27*AW$51)/(AW$52)),IF(AND(Results!$E$5="Volume",$C$54&gt;0,Results!$E$4="Fluid"),((AW27*AW$51)/(AW$54)),IF(AND(Results!$E$4="Cells",Results!$E$5="Million",$B$52="million"),((AW27*AW$51)/(AW$52)),"0")))))</f>
        <v>0</v>
      </c>
      <c r="AX80" s="20" t="str">
        <f>IF(AX27=0,"0",IF(AND(Results!$E$5="Protein",$C$53&gt;0,OR(Results!$E$4="Tissue",Results!$E$4="Cells")),((AX27*AX$51)/(AX$53)),IF(AND(Results!$E$5="Weight",$C$52&gt;0, Results!$E$4="Tissue",OR($B$52="g",$B$52="mg")),((AX27*AX$51)/(AX$52)),IF(AND(Results!$E$5="Volume",$C$54&gt;0,Results!$E$4="Fluid"),((AX27*AX$51)/(AX$54)),IF(AND(Results!$E$4="Cells",Results!$E$5="Million",$B$52="million"),((AX27*AX$51)/(AX$52)),"0")))))</f>
        <v>0</v>
      </c>
      <c r="AY80" s="20">
        <f>IF(AY27=0,"0",IF(AND(Results!$E$5="Protein",$C$53&gt;0,OR(Results!$E$4="Tissue",Results!$E$4="Cells")),((AY27*AY$51)/(AY$53)),IF(AND(Results!$E$5="Weight",$C$52&gt;0, Results!$E$4="Tissue",OR($B$52="g",$B$52="mg")),((AY27*AY$51)/(AY$52)),IF(AND(Results!$E$5="Volume",$C$54&gt;0,Results!$E$4="Fluid"),((AY27*AY$51)/(AY$54)),IF(AND(Results!$E$4="Cells",Results!$E$5="Million",$B$52="million"),((AY27*AY$51)/(AY$52)),"0")))))</f>
        <v>0.72450000000000014</v>
      </c>
      <c r="AZ80" s="20">
        <f>IF(AZ27=0,"0",IF(AND(Results!$E$5="Protein",$C$53&gt;0,OR(Results!$E$4="Tissue",Results!$E$4="Cells")),((AZ27*AZ$51)/(AZ$53)),IF(AND(Results!$E$5="Weight",$C$52&gt;0, Results!$E$4="Tissue",OR($B$52="g",$B$52="mg")),((AZ27*AZ$51)/(AZ$52)),IF(AND(Results!$E$5="Volume",$C$54&gt;0,Results!$E$4="Fluid"),((AZ27*AZ$51)/(AZ$54)),IF(AND(Results!$E$4="Cells",Results!$E$5="Million",$B$52="million"),((AZ27*AZ$51)/(AZ$52)),"0")))))</f>
        <v>0.15909999999999999</v>
      </c>
      <c r="BA80" s="20" t="str">
        <f>IF(BA27=0,"0",IF(AND(Results!$E$5="Protein",$C$53&gt;0,OR(Results!$E$4="Tissue",Results!$E$4="Cells")),((BA27*BA$51)/(BA$53)),IF(AND(Results!$E$5="Weight",$C$52&gt;0, Results!$E$4="Tissue",OR($B$52="g",$B$52="mg")),((BA27*BA$51)/(BA$52)),IF(AND(Results!$E$5="Volume",$C$54&gt;0,Results!$E$4="Fluid"),((BA27*BA$51)/(BA$54)),IF(AND(Results!$E$4="Cells",Results!$E$5="Million",$B$52="million"),((BA27*BA$51)/(BA$52)),"0")))))</f>
        <v>0</v>
      </c>
      <c r="BB80" s="20" t="str">
        <f>IF(BB27=0,"0",IF(AND(Results!$E$5="Protein",$C$53&gt;0,OR(Results!$E$4="Tissue",Results!$E$4="Cells")),((BB27*BB$51)/(BB$53)),IF(AND(Results!$E$5="Weight",$C$52&gt;0, Results!$E$4="Tissue",OR($B$52="g",$B$52="mg")),((BB27*BB$51)/(BB$52)),IF(AND(Results!$E$5="Volume",$C$54&gt;0,Results!$E$4="Fluid"),((BB27*BB$51)/(BB$54)),IF(AND(Results!$E$4="Cells",Results!$E$5="Million",$B$52="million"),((BB27*BB$51)/(BB$52)),"0")))))</f>
        <v>0</v>
      </c>
      <c r="BC80" s="20">
        <f>IF(BC27=0,"0",IF(AND(Results!$E$5="Protein",$C$53&gt;0,OR(Results!$E$4="Tissue",Results!$E$4="Cells")),((BC27*BC$51)/(BC$53)),IF(AND(Results!$E$5="Weight",$C$52&gt;0, Results!$E$4="Tissue",OR($B$52="g",$B$52="mg")),((BC27*BC$51)/(BC$52)),IF(AND(Results!$E$5="Volume",$C$54&gt;0,Results!$E$4="Fluid"),((BC27*BC$51)/(BC$54)),IF(AND(Results!$E$4="Cells",Results!$E$5="Million",$B$52="million"),((BC27*BC$51)/(BC$52)),"0")))))</f>
        <v>0.52443333333333331</v>
      </c>
      <c r="BD80" s="20">
        <f>IF(BD27=0,"0",IF(AND(Results!$E$5="Protein",$C$53&gt;0,OR(Results!$E$4="Tissue",Results!$E$4="Cells")),((BD27*BD$51)/(BD$53)),IF(AND(Results!$E$5="Weight",$C$52&gt;0, Results!$E$4="Tissue",OR($B$52="g",$B$52="mg")),((BD27*BD$51)/(BD$52)),IF(AND(Results!$E$5="Volume",$C$54&gt;0,Results!$E$4="Fluid"),((BD27*BD$51)/(BD$54)),IF(AND(Results!$E$4="Cells",Results!$E$5="Million",$B$52="million"),((BD27*BD$51)/(BD$52)),"0")))))</f>
        <v>2.0274999999999999</v>
      </c>
      <c r="BE80" s="20" t="str">
        <f>IF(BE27=0,"0",IF(AND(Results!$E$5="Protein",$C$53&gt;0,OR(Results!$E$4="Tissue",Results!$E$4="Cells")),((BE27*BE$51)/(BE$53)),IF(AND(Results!$E$5="Weight",$C$52&gt;0, Results!$E$4="Tissue",OR($B$52="g",$B$52="mg")),((BE27*BE$51)/(BE$52)),IF(AND(Results!$E$5="Volume",$C$54&gt;0,Results!$E$4="Fluid"),((BE27*BE$51)/(BE$54)),IF(AND(Results!$E$4="Cells",Results!$E$5="Million",$B$52="million"),((BE27*BE$51)/(BE$52)),"0")))))</f>
        <v>0</v>
      </c>
      <c r="BF80" s="20">
        <f>IF(BF27=0,"0",IF(AND(Results!$E$5="Protein",$C$53&gt;0,OR(Results!$E$4="Tissue",Results!$E$4="Cells")),((BF27*BF$51)/(BF$53)),IF(AND(Results!$E$5="Weight",$C$52&gt;0, Results!$E$4="Tissue",OR($B$52="g",$B$52="mg")),((BF27*BF$51)/(BF$52)),IF(AND(Results!$E$5="Volume",$C$54&gt;0,Results!$E$4="Fluid"),((BF27*BF$51)/(BF$54)),IF(AND(Results!$E$4="Cells",Results!$E$5="Million",$B$52="million"),((BF27*BF$51)/(BF$52)),"0")))))</f>
        <v>0.60921666666666663</v>
      </c>
      <c r="BG80" s="20" t="str">
        <f>IF(BG27=0,"0",IF(AND(Results!$E$5="Protein",$C$53&gt;0,OR(Results!$E$4="Tissue",Results!$E$4="Cells")),((BG27*BG$51)/(BG$53)),IF(AND(Results!$E$5="Weight",$C$52&gt;0, Results!$E$4="Tissue",OR($B$52="g",$B$52="mg")),((BG27*BG$51)/(BG$52)),IF(AND(Results!$E$5="Volume",$C$54&gt;0,Results!$E$4="Fluid"),((BG27*BG$51)/(BG$54)),IF(AND(Results!$E$4="Cells",Results!$E$5="Million",$B$52="million"),((BG27*BG$51)/(BG$52)),"0")))))</f>
        <v>0</v>
      </c>
      <c r="BH80" s="20">
        <f>IF(BH27=0,"0",IF(AND(Results!$E$5="Protein",$C$53&gt;0,OR(Results!$E$4="Tissue",Results!$E$4="Cells")),((BH27*BH$51)/(BH$53)),IF(AND(Results!$E$5="Weight",$C$52&gt;0, Results!$E$4="Tissue",OR($B$52="g",$B$52="mg")),((BH27*BH$51)/(BH$52)),IF(AND(Results!$E$5="Volume",$C$54&gt;0,Results!$E$4="Fluid"),((BH27*BH$51)/(BH$54)),IF(AND(Results!$E$4="Cells",Results!$E$5="Million",$B$52="million"),((BH27*BH$51)/(BH$52)),"0")))))</f>
        <v>0.66021666666666667</v>
      </c>
      <c r="BI80" s="20" t="str">
        <f>IF(BI27=0,"0",IF(AND(Results!$E$5="Protein",$C$53&gt;0,OR(Results!$E$4="Tissue",Results!$E$4="Cells")),((BI27*BI$51)/(BI$53)),IF(AND(Results!$E$5="Weight",$C$52&gt;0, Results!$E$4="Tissue",OR($B$52="g",$B$52="mg")),((BI27*BI$51)/(BI$52)),IF(AND(Results!$E$5="Volume",$C$54&gt;0,Results!$E$4="Fluid"),((BI27*BI$51)/(BI$54)),IF(AND(Results!$E$4="Cells",Results!$E$5="Million",$B$52="million"),((BI27*BI$51)/(BI$52)),"0")))))</f>
        <v>0</v>
      </c>
      <c r="BJ80" s="20">
        <f>IF(BJ27=0,"0",IF(AND(Results!$E$5="Protein",$C$53&gt;0,OR(Results!$E$4="Tissue",Results!$E$4="Cells")),((BJ27*BJ$51)/(BJ$53)),IF(AND(Results!$E$5="Weight",$C$52&gt;0, Results!$E$4="Tissue",OR($B$52="g",$B$52="mg")),((BJ27*BJ$51)/(BJ$52)),IF(AND(Results!$E$5="Volume",$C$54&gt;0,Results!$E$4="Fluid"),((BJ27*BJ$51)/(BJ$54)),IF(AND(Results!$E$4="Cells",Results!$E$5="Million",$B$52="million"),((BJ27*BJ$51)/(BJ$52)),"0")))))</f>
        <v>1.1996</v>
      </c>
      <c r="BK80" s="20">
        <f>IF(BK27=0,"0",IF(AND(Results!$E$5="Protein",$C$53&gt;0,OR(Results!$E$4="Tissue",Results!$E$4="Cells")),((BK27*BK$51)/(BK$53)),IF(AND(Results!$E$5="Weight",$C$52&gt;0, Results!$E$4="Tissue",OR($B$52="g",$B$52="mg")),((BK27*BK$51)/(BK$52)),IF(AND(Results!$E$5="Volume",$C$54&gt;0,Results!$E$4="Fluid"),((BK27*BK$51)/(BK$54)),IF(AND(Results!$E$4="Cells",Results!$E$5="Million",$B$52="million"),((BK27*BK$51)/(BK$52)),"0")))))</f>
        <v>0.65778333333333328</v>
      </c>
      <c r="BL80" s="20">
        <f>IF(BL27=0,"0",IF(AND(Results!$E$5="Protein",$C$53&gt;0,OR(Results!$E$4="Tissue",Results!$E$4="Cells")),((BL27*BL$51)/(BL$53)),IF(AND(Results!$E$5="Weight",$C$52&gt;0, Results!$E$4="Tissue",OR($B$52="g",$B$52="mg")),((BL27*BL$51)/(BL$52)),IF(AND(Results!$E$5="Volume",$C$54&gt;0,Results!$E$4="Fluid"),((BL27*BL$51)/(BL$54)),IF(AND(Results!$E$4="Cells",Results!$E$5="Million",$B$52="million"),((BL27*BL$51)/(BL$52)),"0")))))</f>
        <v>7.0185166666666667</v>
      </c>
      <c r="BM80" s="20">
        <f>IF(BM27=0,"0",IF(AND(Results!$E$5="Protein",$C$53&gt;0,OR(Results!$E$4="Tissue",Results!$E$4="Cells")),((BM27*BM$51)/(BM$53)),IF(AND(Results!$E$5="Weight",$C$52&gt;0, Results!$E$4="Tissue",OR($B$52="g",$B$52="mg")),((BM27*BM$51)/(BM$52)),IF(AND(Results!$E$5="Volume",$C$54&gt;0,Results!$E$4="Fluid"),((BM27*BM$51)/(BM$54)),IF(AND(Results!$E$4="Cells",Results!$E$5="Million",$B$52="million"),((BM27*BM$51)/(BM$52)),"0")))))</f>
        <v>2.2317428571428568</v>
      </c>
      <c r="BN80" s="20">
        <f>IF(BN27=0,"0",IF(AND(Results!$E$5="Protein",$C$53&gt;0,OR(Results!$E$4="Tissue",Results!$E$4="Cells")),((BN27*BN$51)/(BN$53)),IF(AND(Results!$E$5="Weight",$C$52&gt;0, Results!$E$4="Tissue",OR($B$52="g",$B$52="mg")),((BN27*BN$51)/(BN$52)),IF(AND(Results!$E$5="Volume",$C$54&gt;0,Results!$E$4="Fluid"),((BN27*BN$51)/(BN$54)),IF(AND(Results!$E$4="Cells",Results!$E$5="Million",$B$52="million"),((BN27*BN$51)/(BN$52)),"0")))))</f>
        <v>6.1523000000000003</v>
      </c>
      <c r="BO80" s="20">
        <f>IF(BO27=0,"0",IF(AND(Results!$E$5="Protein",$C$53&gt;0,OR(Results!$E$4="Tissue",Results!$E$4="Cells")),((BO27*BO$51)/(BO$53)),IF(AND(Results!$E$5="Weight",$C$52&gt;0, Results!$E$4="Tissue",OR($B$52="g",$B$52="mg")),((BO27*BO$51)/(BO$52)),IF(AND(Results!$E$5="Volume",$C$54&gt;0,Results!$E$4="Fluid"),((BO27*BO$51)/(BO$54)),IF(AND(Results!$E$4="Cells",Results!$E$5="Million",$B$52="million"),((BO27*BO$51)/(BO$52)),"0")))))</f>
        <v>1.5463666666666667</v>
      </c>
      <c r="BP80" s="20">
        <f>IF(BP27=0,"0",IF(AND(Results!$E$5="Protein",$C$53&gt;0,OR(Results!$E$4="Tissue",Results!$E$4="Cells")),((BP27*BP$51)/(BP$53)),IF(AND(Results!$E$5="Weight",$C$52&gt;0, Results!$E$4="Tissue",OR($B$52="g",$B$52="mg")),((BP27*BP$51)/(BP$52)),IF(AND(Results!$E$5="Volume",$C$54&gt;0,Results!$E$4="Fluid"),((BP27*BP$51)/(BP$54)),IF(AND(Results!$E$4="Cells",Results!$E$5="Million",$B$52="million"),((BP27*BP$51)/(BP$52)),"0")))))</f>
        <v>4.6735333333333333</v>
      </c>
      <c r="BQ80" s="20">
        <f>IF(BQ27=0,"0",IF(AND(Results!$E$5="Protein",$C$53&gt;0,OR(Results!$E$4="Tissue",Results!$E$4="Cells")),((BQ27*BQ$51)/(BQ$53)),IF(AND(Results!$E$5="Weight",$C$52&gt;0, Results!$E$4="Tissue",OR($B$52="g",$B$52="mg")),((BQ27*BQ$51)/(BQ$52)),IF(AND(Results!$E$5="Volume",$C$54&gt;0,Results!$E$4="Fluid"),((BQ27*BQ$51)/(BQ$54)),IF(AND(Results!$E$4="Cells",Results!$E$5="Million",$B$52="million"),((BQ27*BQ$51)/(BQ$52)),"0")))))</f>
        <v>0.44330000000000003</v>
      </c>
      <c r="BR80" s="20" t="str">
        <f>IF(BR27=0,"0",IF(AND(Results!$E$5="Protein",$C$53&gt;0,OR(Results!$E$4="Tissue",Results!$E$4="Cells")),((BR27*BR$51)/(BR$53)),IF(AND(Results!$E$5="Weight",$C$52&gt;0, Results!$E$4="Tissue",OR($B$52="g",$B$52="mg")),((BR27*BR$51)/(BR$52)),IF(AND(Results!$E$5="Volume",$C$54&gt;0,Results!$E$4="Fluid"),((BR27*BR$51)/(BR$54)),IF(AND(Results!$E$4="Cells",Results!$E$5="Million",$B$52="million"),((BR27*BR$51)/(BR$52)),"0")))))</f>
        <v>0</v>
      </c>
      <c r="BS80" s="20">
        <f>IF(BS27=0,"0",IF(AND(Results!$E$5="Protein",$C$53&gt;0,OR(Results!$E$4="Tissue",Results!$E$4="Cells")),((BS27*BS$51)/(BS$53)),IF(AND(Results!$E$5="Weight",$C$52&gt;0, Results!$E$4="Tissue",OR($B$52="g",$B$52="mg")),((BS27*BS$51)/(BS$52)),IF(AND(Results!$E$5="Volume",$C$54&gt;0,Results!$E$4="Fluid"),((BS27*BS$51)/(BS$54)),IF(AND(Results!$E$4="Cells",Results!$E$5="Million",$B$52="million"),((BS27*BS$51)/(BS$52)),"0")))))</f>
        <v>2.2117500000000003</v>
      </c>
      <c r="BT80" s="20">
        <f>IF(BT27=0,"0",IF(AND(Results!$E$5="Protein",$C$53&gt;0,OR(Results!$E$4="Tissue",Results!$E$4="Cells")),((BT27*BT$51)/(BT$53)),IF(AND(Results!$E$5="Weight",$C$52&gt;0, Results!$E$4="Tissue",OR($B$52="g",$B$52="mg")),((BT27*BT$51)/(BT$52)),IF(AND(Results!$E$5="Volume",$C$54&gt;0,Results!$E$4="Fluid"),((BT27*BT$51)/(BT$54)),IF(AND(Results!$E$4="Cells",Results!$E$5="Million",$B$52="million"),((BT27*BT$51)/(BT$52)),"0")))))</f>
        <v>2.1893333333333329</v>
      </c>
      <c r="BU80" s="20">
        <f>IF(BU27=0,"0",IF(AND(Results!$E$5="Protein",$C$53&gt;0,OR(Results!$E$4="Tissue",Results!$E$4="Cells")),((BU27*BU$51)/(BU$53)),IF(AND(Results!$E$5="Weight",$C$52&gt;0, Results!$E$4="Tissue",OR($B$52="g",$B$52="mg")),((BU27*BU$51)/(BU$52)),IF(AND(Results!$E$5="Volume",$C$54&gt;0,Results!$E$4="Fluid"),((BU27*BU$51)/(BU$54)),IF(AND(Results!$E$4="Cells",Results!$E$5="Million",$B$52="million"),((BU27*BU$51)/(BU$52)),"0")))))</f>
        <v>0.97051666666666669</v>
      </c>
      <c r="BV80" s="20">
        <f>IF(BV27=0,"0",IF(AND(Results!$E$5="Protein",$C$53&gt;0,OR(Results!$E$4="Tissue",Results!$E$4="Cells")),((BV27*BV$51)/(BV$53)),IF(AND(Results!$E$5="Weight",$C$52&gt;0, Results!$E$4="Tissue",OR($B$52="g",$B$52="mg")),((BV27*BV$51)/(BV$52)),IF(AND(Results!$E$5="Volume",$C$54&gt;0,Results!$E$4="Fluid"),((BV27*BV$51)/(BV$54)),IF(AND(Results!$E$4="Cells",Results!$E$5="Million",$B$52="million"),((BV27*BV$51)/(BV$52)),"0")))))</f>
        <v>0.56194999999999995</v>
      </c>
      <c r="BW80" s="20">
        <f>IF(BW27=0,"0",IF(AND(Results!$E$5="Protein",$C$53&gt;0,OR(Results!$E$4="Tissue",Results!$E$4="Cells")),((BW27*BW$51)/(BW$53)),IF(AND(Results!$E$5="Weight",$C$52&gt;0, Results!$E$4="Tissue",OR($B$52="g",$B$52="mg")),((BW27*BW$51)/(BW$52)),IF(AND(Results!$E$5="Volume",$C$54&gt;0,Results!$E$4="Fluid"),((BW27*BW$51)/(BW$54)),IF(AND(Results!$E$4="Cells",Results!$E$5="Million",$B$52="million"),((BW27*BW$51)/(BW$52)),"0")))))</f>
        <v>0.65749999999999997</v>
      </c>
      <c r="BX80" s="20" t="str">
        <f>IF(BX27=0,"0",IF(AND(Results!$E$5="Protein",$C$53&gt;0,OR(Results!$E$4="Tissue",Results!$E$4="Cells")),((BX27*BX$51)/(BX$53)),IF(AND(Results!$E$5="Weight",$C$52&gt;0, Results!$E$4="Tissue",OR($B$52="g",$B$52="mg")),((BX27*BX$51)/(BX$52)),IF(AND(Results!$E$5="Volume",$C$54&gt;0,Results!$E$4="Fluid"),((BX27*BX$51)/(BX$54)),IF(AND(Results!$E$4="Cells",Results!$E$5="Million",$B$52="million"),((BX27*BX$51)/(BX$52)),"0")))))</f>
        <v>0</v>
      </c>
      <c r="BY80" s="20">
        <f>IF(BY27=0,"0",IF(AND(Results!$E$5="Protein",$C$53&gt;0,OR(Results!$E$4="Tissue",Results!$E$4="Cells")),((BY27*BY$51)/(BY$53)),IF(AND(Results!$E$5="Weight",$C$52&gt;0, Results!$E$4="Tissue",OR($B$52="g",$B$52="mg")),((BY27*BY$51)/(BY$52)),IF(AND(Results!$E$5="Volume",$C$54&gt;0,Results!$E$4="Fluid"),((BY27*BY$51)/(BY$54)),IF(AND(Results!$E$4="Cells",Results!$E$5="Million",$B$52="million"),((BY27*BY$51)/(BY$52)),"0")))))</f>
        <v>0.53966666666666674</v>
      </c>
      <c r="BZ80" s="20">
        <f>IF(BZ27=0,"0",IF(AND(Results!$E$5="Protein",$C$53&gt;0,OR(Results!$E$4="Tissue",Results!$E$4="Cells")),((BZ27*BZ$51)/(BZ$53)),IF(AND(Results!$E$5="Weight",$C$52&gt;0, Results!$E$4="Tissue",OR($B$52="g",$B$52="mg")),((BZ27*BZ$51)/(BZ$52)),IF(AND(Results!$E$5="Volume",$C$54&gt;0,Results!$E$4="Fluid"),((BZ27*BZ$51)/(BZ$54)),IF(AND(Results!$E$4="Cells",Results!$E$5="Million",$B$52="million"),((BZ27*BZ$51)/(BZ$52)),"0")))))</f>
        <v>0.32306666666666667</v>
      </c>
      <c r="CA80" s="20">
        <f>IF(CA27=0,"0",IF(AND(Results!$E$5="Protein",$C$53&gt;0,OR(Results!$E$4="Tissue",Results!$E$4="Cells")),((CA27*CA$51)/(CA$53)),IF(AND(Results!$E$5="Weight",$C$52&gt;0, Results!$E$4="Tissue",OR($B$52="g",$B$52="mg")),((CA27*CA$51)/(CA$52)),IF(AND(Results!$E$5="Volume",$C$54&gt;0,Results!$E$4="Fluid"),((CA27*CA$51)/(CA$54)),IF(AND(Results!$E$4="Cells",Results!$E$5="Million",$B$52="million"),((CA27*CA$51)/(CA$52)),"0")))))</f>
        <v>0.95421666666666671</v>
      </c>
      <c r="CB80" s="20">
        <f>IF(CB27=0,"0",IF(AND(Results!$E$5="Protein",$C$53&gt;0,OR(Results!$E$4="Tissue",Results!$E$4="Cells")),((CB27*CB$51)/(CB$53)),IF(AND(Results!$E$5="Weight",$C$52&gt;0, Results!$E$4="Tissue",OR($B$52="g",$B$52="mg")),((CB27*CB$51)/(CB$52)),IF(AND(Results!$E$5="Volume",$C$54&gt;0,Results!$E$4="Fluid"),((CB27*CB$51)/(CB$54)),IF(AND(Results!$E$4="Cells",Results!$E$5="Million",$B$52="million"),((CB27*CB$51)/(CB$52)),"0")))))</f>
        <v>0.63403333333333334</v>
      </c>
      <c r="CC80" s="20">
        <f>IF(CC27=0,"0",IF(AND(Results!$E$5="Protein",$C$53&gt;0,OR(Results!$E$4="Tissue",Results!$E$4="Cells")),((CC27*CC$51)/(CC$53)),IF(AND(Results!$E$5="Weight",$C$52&gt;0, Results!$E$4="Tissue",OR($B$52="g",$B$52="mg")),((CC27*CC$51)/(CC$52)),IF(AND(Results!$E$5="Volume",$C$54&gt;0,Results!$E$4="Fluid"),((CC27*CC$51)/(CC$54)),IF(AND(Results!$E$4="Cells",Results!$E$5="Million",$B$52="million"),((CC27*CC$51)/(CC$52)),"0")))))</f>
        <v>0.62109999999999999</v>
      </c>
      <c r="CD80" s="20" t="str">
        <f>IF(CD27=0,"0",IF(AND(Results!$E$5="Protein",$C$53&gt;0,OR(Results!$E$4="Tissue",Results!$E$4="Cells")),((CD27*CD$51)/(CD$53)),IF(AND(Results!$E$5="Weight",$C$52&gt;0, Results!$E$4="Tissue",OR($B$52="g",$B$52="mg")),((CD27*CD$51)/(CD$52)),IF(AND(Results!$E$5="Volume",$C$54&gt;0,Results!$E$4="Fluid"),((CD27*CD$51)/(CD$54)),IF(AND(Results!$E$4="Cells",Results!$E$5="Million",$B$52="million"),((CD27*CD$51)/(CD$52)),"0")))))</f>
        <v>0</v>
      </c>
      <c r="CE80" s="20">
        <f>IF(CE27=0,"0",IF(AND(Results!$E$5="Protein",$C$53&gt;0,OR(Results!$E$4="Tissue",Results!$E$4="Cells")),((CE27*CE$51)/(CE$53)),IF(AND(Results!$E$5="Weight",$C$52&gt;0, Results!$E$4="Tissue",OR($B$52="g",$B$52="mg")),((CE27*CE$51)/(CE$52)),IF(AND(Results!$E$5="Volume",$C$54&gt;0,Results!$E$4="Fluid"),((CE27*CE$51)/(CE$54)),IF(AND(Results!$E$4="Cells",Results!$E$5="Million",$B$52="million"),((CE27*CE$51)/(CE$52)),"0")))))</f>
        <v>2.18405</v>
      </c>
      <c r="CF80" s="20" t="str">
        <f>IF(CF27=0,"0",IF(AND(Results!$E$5="Protein",$C$53&gt;0,OR(Results!$E$4="Tissue",Results!$E$4="Cells")),((CF27*CF$51)/(CF$53)),IF(AND(Results!$E$5="Weight",$C$52&gt;0, Results!$E$4="Tissue",OR($B$52="g",$B$52="mg")),((CF27*CF$51)/(CF$52)),IF(AND(Results!$E$5="Volume",$C$54&gt;0,Results!$E$4="Fluid"),((CF27*CF$51)/(CF$54)),IF(AND(Results!$E$4="Cells",Results!$E$5="Million",$B$52="million"),((CF27*CF$51)/(CF$52)),"0")))))</f>
        <v>0</v>
      </c>
      <c r="CG80" s="20" t="str">
        <f>IF(CG27=0,"0",IF(AND(Results!$E$5="Protein",$C$53&gt;0,OR(Results!$E$4="Tissue",Results!$E$4="Cells")),((CG27*CG$51)/(CG$53)),IF(AND(Results!$E$5="Weight",$C$52&gt;0, Results!$E$4="Tissue",OR($B$52="g",$B$52="mg")),((CG27*CG$51)/(CG$52)),IF(AND(Results!$E$5="Volume",$C$54&gt;0,Results!$E$4="Fluid"),((CG27*CG$51)/(CG$54)),IF(AND(Results!$E$4="Cells",Results!$E$5="Million",$B$52="million"),((CG27*CG$51)/(CG$52)),"0")))))</f>
        <v>0</v>
      </c>
      <c r="CH80" s="20" t="str">
        <f>IF(CH27=0,"0",IF(AND(Results!$E$5="Protein",$C$53&gt;0,OR(Results!$E$4="Tissue",Results!$E$4="Cells")),((CH27*CH$51)/(CH$53)),IF(AND(Results!$E$5="Weight",$C$52&gt;0, Results!$E$4="Tissue",OR($B$52="g",$B$52="mg")),((CH27*CH$51)/(CH$52)),IF(AND(Results!$E$5="Volume",$C$54&gt;0,Results!$E$4="Fluid"),((CH27*CH$51)/(CH$54)),IF(AND(Results!$E$4="Cells",Results!$E$5="Million",$B$52="million"),((CH27*CH$51)/(CH$52)),"0")))))</f>
        <v>0</v>
      </c>
      <c r="CI80" s="20">
        <f>IF(CI27=0,"0",IF(AND(Results!$E$5="Protein",$C$53&gt;0,OR(Results!$E$4="Tissue",Results!$E$4="Cells")),((CI27*CI$51)/(CI$53)),IF(AND(Results!$E$5="Weight",$C$52&gt;0, Results!$E$4="Tissue",OR($B$52="g",$B$52="mg")),((CI27*CI$51)/(CI$52)),IF(AND(Results!$E$5="Volume",$C$54&gt;0,Results!$E$4="Fluid"),((CI27*CI$51)/(CI$54)),IF(AND(Results!$E$4="Cells",Results!$E$5="Million",$B$52="million"),((CI27*CI$51)/(CI$52)),"0")))))</f>
        <v>1.2604166666666667</v>
      </c>
      <c r="CJ80" s="20" t="str">
        <f>IF(CJ27=0,"0",IF(AND(Results!$E$5="Protein",$C$53&gt;0,OR(Results!$E$4="Tissue",Results!$E$4="Cells")),((CJ27*CJ$51)/(CJ$53)),IF(AND(Results!$E$5="Weight",$C$52&gt;0, Results!$E$4="Tissue",OR($B$52="g",$B$52="mg")),((CJ27*CJ$51)/(CJ$52)),IF(AND(Results!$E$5="Volume",$C$54&gt;0,Results!$E$4="Fluid"),((CJ27*CJ$51)/(CJ$54)),IF(AND(Results!$E$4="Cells",Results!$E$5="Million",$B$52="million"),((CJ27*CJ$51)/(CJ$52)),"0")))))</f>
        <v>0</v>
      </c>
      <c r="CK80" s="20" t="str">
        <f>IF(CK27=0,"0",IF(AND(Results!$E$5="Protein",$C$53&gt;0,OR(Results!$E$4="Tissue",Results!$E$4="Cells")),((CK27*CK$51)/(CK$53)),IF(AND(Results!$E$5="Weight",$C$52&gt;0, Results!$E$4="Tissue",OR($B$52="g",$B$52="mg")),((CK27*CK$51)/(CK$52)),IF(AND(Results!$E$5="Volume",$C$54&gt;0,Results!$E$4="Fluid"),((CK27*CK$51)/(CK$54)),IF(AND(Results!$E$4="Cells",Results!$E$5="Million",$B$52="million"),((CK27*CK$51)/(CK$52)),"0")))))</f>
        <v>0</v>
      </c>
      <c r="CL80" s="20">
        <f>IF(CL27=0,"0",IF(AND(Results!$E$5="Protein",$C$53&gt;0,OR(Results!$E$4="Tissue",Results!$E$4="Cells")),((CL27*CL$51)/(CL$53)),IF(AND(Results!$E$5="Weight",$C$52&gt;0, Results!$E$4="Tissue",OR($B$52="g",$B$52="mg")),((CL27*CL$51)/(CL$52)),IF(AND(Results!$E$5="Volume",$C$54&gt;0,Results!$E$4="Fluid"),((CL27*CL$51)/(CL$54)),IF(AND(Results!$E$4="Cells",Results!$E$5="Million",$B$52="million"),((CL27*CL$51)/(CL$52)),"0")))))</f>
        <v>0.54663333333333342</v>
      </c>
      <c r="CM80" s="20">
        <f>IF(CM27=0,"0",IF(AND(Results!$E$5="Protein",$C$53&gt;0,OR(Results!$E$4="Tissue",Results!$E$4="Cells")),((CM27*CM$51)/(CM$53)),IF(AND(Results!$E$5="Weight",$C$52&gt;0, Results!$E$4="Tissue",OR($B$52="g",$B$52="mg")),((CM27*CM$51)/(CM$52)),IF(AND(Results!$E$5="Volume",$C$54&gt;0,Results!$E$4="Fluid"),((CM27*CM$51)/(CM$54)),IF(AND(Results!$E$4="Cells",Results!$E$5="Million",$B$52="million"),((CM27*CM$51)/(CM$52)),"0")))))</f>
        <v>0.63746666666666674</v>
      </c>
      <c r="CN80" s="20" t="str">
        <f>IF(CN27=0,"0",IF(AND(Results!$E$5="Protein",$C$53&gt;0,OR(Results!$E$4="Tissue",Results!$E$4="Cells")),((CN27*CN$51)/(CN$53)),IF(AND(Results!$E$5="Weight",$C$52&gt;0, Results!$E$4="Tissue",OR($B$52="g",$B$52="mg")),((CN27*CN$51)/(CN$52)),IF(AND(Results!$E$5="Volume",$C$54&gt;0,Results!$E$4="Fluid"),((CN27*CN$51)/(CN$54)),IF(AND(Results!$E$4="Cells",Results!$E$5="Million",$B$52="million"),((CN27*CN$51)/(CN$52)),"0")))))</f>
        <v>0</v>
      </c>
      <c r="CO80" s="20" t="str">
        <f>IF(CO27=0,"0",IF(AND(Results!$E$5="Protein",$C$53&gt;0,OR(Results!$E$4="Tissue",Results!$E$4="Cells")),((CO27*CO$51)/(CO$53)),IF(AND(Results!$E$5="Weight",$C$52&gt;0, Results!$E$4="Tissue",OR($B$52="g",$B$52="mg")),((CO27*CO$51)/(CO$52)),IF(AND(Results!$E$5="Volume",$C$54&gt;0,Results!$E$4="Fluid"),((CO27*CO$51)/(CO$54)),IF(AND(Results!$E$4="Cells",Results!$E$5="Million",$B$52="million"),((CO27*CO$51)/(CO$52)),"0")))))</f>
        <v>0</v>
      </c>
      <c r="CP80" s="20" t="str">
        <f>IF(CP27=0,"0",IF(AND(Results!$E$5="Protein",$C$53&gt;0,OR(Results!$E$4="Tissue",Results!$E$4="Cells")),((CP27*CP$51)/(CP$53)),IF(AND(Results!$E$5="Weight",$C$52&gt;0, Results!$E$4="Tissue",OR($B$52="g",$B$52="mg")),((CP27*CP$51)/(CP$52)),IF(AND(Results!$E$5="Volume",$C$54&gt;0,Results!$E$4="Fluid"),((CP27*CP$51)/(CP$54)),IF(AND(Results!$E$4="Cells",Results!$E$5="Million",$B$52="million"),((CP27*CP$51)/(CP$52)),"0")))))</f>
        <v>0</v>
      </c>
      <c r="CQ80" s="20">
        <f>IF(CQ27=0,"0",IF(AND(Results!$E$5="Protein",$C$53&gt;0,OR(Results!$E$4="Tissue",Results!$E$4="Cells")),((CQ27*CQ$51)/(CQ$53)),IF(AND(Results!$E$5="Weight",$C$52&gt;0, Results!$E$4="Tissue",OR($B$52="g",$B$52="mg")),((CQ27*CQ$51)/(CQ$52)),IF(AND(Results!$E$5="Volume",$C$54&gt;0,Results!$E$4="Fluid"),((CQ27*CQ$51)/(CQ$54)),IF(AND(Results!$E$4="Cells",Results!$E$5="Million",$B$52="million"),((CQ27*CQ$51)/(CQ$52)),"0")))))</f>
        <v>0.83483333333333343</v>
      </c>
      <c r="CR80" s="20">
        <f>IF(CR27=0,"0",IF(AND(Results!$E$5="Protein",$C$53&gt;0,OR(Results!$E$4="Tissue",Results!$E$4="Cells")),((CR27*CR$51)/(CR$53)),IF(AND(Results!$E$5="Weight",$C$52&gt;0, Results!$E$4="Tissue",OR($B$52="g",$B$52="mg")),((CR27*CR$51)/(CR$52)),IF(AND(Results!$E$5="Volume",$C$54&gt;0,Results!$E$4="Fluid"),((CR27*CR$51)/(CR$54)),IF(AND(Results!$E$4="Cells",Results!$E$5="Million",$B$52="million"),((CR27*CR$51)/(CR$52)),"0")))))</f>
        <v>2.9416333333333333</v>
      </c>
      <c r="CS80" s="20" t="str">
        <f>IF(CS27=0,"0",IF(AND(Results!$E$5="Protein",$C$53&gt;0,OR(Results!$E$4="Tissue",Results!$E$4="Cells")),((CS27*CS$51)/(CS$53)),IF(AND(Results!$E$5="Weight",$C$52&gt;0, Results!$E$4="Tissue",OR($B$52="g",$B$52="mg")),((CS27*CS$51)/(CS$52)),IF(AND(Results!$E$5="Volume",$C$54&gt;0,Results!$E$4="Fluid"),((CS27*CS$51)/(CS$54)),IF(AND(Results!$E$4="Cells",Results!$E$5="Million",$B$52="million"),((CS27*CS$51)/(CS$52)),"0")))))</f>
        <v>0</v>
      </c>
      <c r="CT80" s="20" t="str">
        <f>IF(CT27=0,"0",IF(AND(Results!$E$5="Protein",$C$53&gt;0,OR(Results!$E$4="Tissue",Results!$E$4="Cells")),((CT27*CT$51)/(CT$53)),IF(AND(Results!$E$5="Weight",$C$52&gt;0, Results!$E$4="Tissue",OR($B$52="g",$B$52="mg")),((CT27*CT$51)/(CT$52)),IF(AND(Results!$E$5="Volume",$C$54&gt;0,Results!$E$4="Fluid"),((CT27*CT$51)/(CT$54)),IF(AND(Results!$E$4="Cells",Results!$E$5="Million",$B$52="million"),((CT27*CT$51)/(CT$52)),"0")))))</f>
        <v>0</v>
      </c>
      <c r="CU80" s="20">
        <f>IF(CU27=0,"0",IF(AND(Results!$E$5="Protein",$C$53&gt;0,OR(Results!$E$4="Tissue",Results!$E$4="Cells")),((CU27*CU$51)/(CU$53)),IF(AND(Results!$E$5="Weight",$C$52&gt;0, Results!$E$4="Tissue",OR($B$52="g",$B$52="mg")),((CU27*CU$51)/(CU$52)),IF(AND(Results!$E$5="Volume",$C$54&gt;0,Results!$E$4="Fluid"),((CU27*CU$51)/(CU$54)),IF(AND(Results!$E$4="Cells",Results!$E$5="Million",$B$52="million"),((CU27*CU$51)/(CU$52)),"0")))))</f>
        <v>0.78821666666666679</v>
      </c>
      <c r="CV80" s="20">
        <f>IF(CV27=0,"0",IF(AND(Results!$E$5="Protein",$C$53&gt;0,OR(Results!$E$4="Tissue",Results!$E$4="Cells")),((CV27*CV$51)/(CV$53)),IF(AND(Results!$E$5="Weight",$C$52&gt;0, Results!$E$4="Tissue",OR($B$52="g",$B$52="mg")),((CV27*CV$51)/(CV$52)),IF(AND(Results!$E$5="Volume",$C$54&gt;0,Results!$E$4="Fluid"),((CV27*CV$51)/(CV$54)),IF(AND(Results!$E$4="Cells",Results!$E$5="Million",$B$52="million"),((CV27*CV$51)/(CV$52)),"0")))))</f>
        <v>0.75755000000000006</v>
      </c>
      <c r="CW80" s="20" t="str">
        <f>IF(CW27=0,"0",IF(AND(Results!$E$5="Protein",$C$53&gt;0,OR(Results!$E$4="Tissue",Results!$E$4="Cells")),((CW27*CW$51)/(CW$53)),IF(AND(Results!$E$5="Weight",$C$52&gt;0, Results!$E$4="Tissue",OR($B$52="g",$B$52="mg")),((CW27*CW$51)/(CW$52)),IF(AND(Results!$E$5="Volume",$C$54&gt;0,Results!$E$4="Fluid"),((CW27*CW$51)/(CW$54)),IF(AND(Results!$E$4="Cells",Results!$E$5="Million",$B$52="million"),((CW27*CW$51)/(CW$52)),"0")))))</f>
        <v>0</v>
      </c>
      <c r="CX80" s="20" t="str">
        <f>IF(CX27=0,"0",IF(AND(Results!$E$5="Protein",$C$53&gt;0,OR(Results!$E$4="Tissue",Results!$E$4="Cells")),((CX27*CX$51)/(CX$53)),IF(AND(Results!$E$5="Weight",$C$52&gt;0, Results!$E$4="Tissue",OR($B$52="g",$B$52="mg")),((CX27*CX$51)/(CX$52)),IF(AND(Results!$E$5="Volume",$C$54&gt;0,Results!$E$4="Fluid"),((CX27*CX$51)/(CX$54)),IF(AND(Results!$E$4="Cells",Results!$E$5="Million",$B$52="million"),((CX27*CX$51)/(CX$52)),"0")))))</f>
        <v>0</v>
      </c>
      <c r="CY80" s="20" t="str">
        <f>IF(CY27=0,"0",IF(AND(Results!$E$5="Protein",$C$53&gt;0,OR(Results!$E$4="Tissue",Results!$E$4="Cells")),((CY27*CY$51)/(CY$53)),IF(AND(Results!$E$5="Weight",$C$52&gt;0, Results!$E$4="Tissue",OR($B$52="g",$B$52="mg")),((CY27*CY$51)/(CY$52)),IF(AND(Results!$E$5="Volume",$C$54&gt;0,Results!$E$4="Fluid"),((CY27*CY$51)/(CY$54)),IF(AND(Results!$E$4="Cells",Results!$E$5="Million",$B$52="million"),((CY27*CY$51)/(CY$52)),"0")))))</f>
        <v>0</v>
      </c>
      <c r="CZ80" s="20" t="str">
        <f>IF(CZ27=0,"0",IF(AND(Results!$E$5="Protein",$C$53&gt;0,OR(Results!$E$4="Tissue",Results!$E$4="Cells")),((CZ27*CZ$51)/(CZ$53)),IF(AND(Results!$E$5="Weight",$C$52&gt;0, Results!$E$4="Tissue",OR($B$52="g",$B$52="mg")),((CZ27*CZ$51)/(CZ$52)),IF(AND(Results!$E$5="Volume",$C$54&gt;0,Results!$E$4="Fluid"),((CZ27*CZ$51)/(CZ$54)),IF(AND(Results!$E$4="Cells",Results!$E$5="Million",$B$52="million"),((CZ27*CZ$51)/(CZ$52)),"0")))))</f>
        <v>0</v>
      </c>
      <c r="DA80" s="20" t="str">
        <f>IF(DA27=0,"0",IF(AND(Results!$E$5="Protein",$C$53&gt;0,OR(Results!$E$4="Tissue",Results!$E$4="Cells")),((DA27*DA$51)/(DA$53)),IF(AND(Results!$E$5="Weight",$C$52&gt;0, Results!$E$4="Tissue",OR($B$52="g",$B$52="mg")),((DA27*DA$51)/(DA$52)),IF(AND(Results!$E$5="Volume",$C$54&gt;0,Results!$E$4="Fluid"),((DA27*DA$51)/(DA$54)),IF(AND(Results!$E$4="Cells",Results!$E$5="Million",$B$52="million"),((DA27*DA$51)/(DA$52)),"0")))))</f>
        <v>0</v>
      </c>
      <c r="DB80" s="20" t="str">
        <f>IF(DB27=0,"0",IF(AND(Results!$E$5="Protein",$C$53&gt;0,OR(Results!$E$4="Tissue",Results!$E$4="Cells")),((DB27*DB$51)/(DB$53)),IF(AND(Results!$E$5="Weight",$C$52&gt;0, Results!$E$4="Tissue",OR($B$52="g",$B$52="mg")),((DB27*DB$51)/(DB$52)),IF(AND(Results!$E$5="Volume",$C$54&gt;0,Results!$E$4="Fluid"),((DB27*DB$51)/(DB$54)),IF(AND(Results!$E$4="Cells",Results!$E$5="Million",$B$52="million"),((DB27*DB$51)/(DB$52)),"0")))))</f>
        <v>0</v>
      </c>
      <c r="DC80" s="20">
        <f>IF(DC27=0,"0",IF(AND(Results!$E$5="Protein",$C$53&gt;0,OR(Results!$E$4="Tissue",Results!$E$4="Cells")),((DC27*DC$51)/(DC$53)),IF(AND(Results!$E$5="Weight",$C$52&gt;0, Results!$E$4="Tissue",OR($B$52="g",$B$52="mg")),((DC27*DC$51)/(DC$52)),IF(AND(Results!$E$5="Volume",$C$54&gt;0,Results!$E$4="Fluid"),((DC27*DC$51)/(DC$54)),IF(AND(Results!$E$4="Cells",Results!$E$5="Million",$B$52="million"),((DC27*DC$51)/(DC$52)),"0")))))</f>
        <v>0.71896666666666664</v>
      </c>
      <c r="DD80" s="20">
        <f>IF(DD27=0,"0",IF(AND(Results!$E$5="Protein",$C$53&gt;0,OR(Results!$E$4="Tissue",Results!$E$4="Cells")),((DD27*DD$51)/(DD$53)),IF(AND(Results!$E$5="Weight",$C$52&gt;0, Results!$E$4="Tissue",OR($B$52="g",$B$52="mg")),((DD27*DD$51)/(DD$52)),IF(AND(Results!$E$5="Volume",$C$54&gt;0,Results!$E$4="Fluid"),((DD27*DD$51)/(DD$54)),IF(AND(Results!$E$4="Cells",Results!$E$5="Million",$B$52="million"),((DD27*DD$51)/(DD$52)),"0")))))</f>
        <v>2.1157666666666666</v>
      </c>
      <c r="DE80" s="20" t="str">
        <f>IF(DE27=0,"0",IF(AND(Results!$E$5="Protein",$C$53&gt;0,OR(Results!$E$4="Tissue",Results!$E$4="Cells")),((DE27*DE$51)/(DE$53)),IF(AND(Results!$E$5="Weight",$C$52&gt;0, Results!$E$4="Tissue",OR($B$52="g",$B$52="mg")),((DE27*DE$51)/(DE$52)),IF(AND(Results!$E$5="Volume",$C$54&gt;0,Results!$E$4="Fluid"),((DE27*DE$51)/(DE$54)),IF(AND(Results!$E$4="Cells",Results!$E$5="Million",$B$52="million"),((DE27*DE$51)/(DE$52)),"0")))))</f>
        <v>0</v>
      </c>
      <c r="DF80" s="20" t="str">
        <f>IF(DF27=0,"0",IF(AND(Results!$E$5="Protein",$C$53&gt;0,OR(Results!$E$4="Tissue",Results!$E$4="Cells")),((DF27*DF$51)/(DF$53)),IF(AND(Results!$E$5="Weight",$C$52&gt;0, Results!$E$4="Tissue",OR($B$52="g",$B$52="mg")),((DF27*DF$51)/(DF$52)),IF(AND(Results!$E$5="Volume",$C$54&gt;0,Results!$E$4="Fluid"),((DF27*DF$51)/(DF$54)),IF(AND(Results!$E$4="Cells",Results!$E$5="Million",$B$52="million"),((DF27*DF$51)/(DF$52)),"0")))))</f>
        <v>0</v>
      </c>
      <c r="DG80" s="20">
        <f>IF(DG27=0,"0",IF(AND(Results!$E$5="Protein",$C$53&gt;0,OR(Results!$E$4="Tissue",Results!$E$4="Cells")),((DG27*DG$51)/(DG$53)),IF(AND(Results!$E$5="Weight",$C$52&gt;0, Results!$E$4="Tissue",OR($B$52="g",$B$52="mg")),((DG27*DG$51)/(DG$52)),IF(AND(Results!$E$5="Volume",$C$54&gt;0,Results!$E$4="Fluid"),((DG27*DG$51)/(DG$54)),IF(AND(Results!$E$4="Cells",Results!$E$5="Million",$B$52="million"),((DG27*DG$51)/(DG$52)),"0")))))</f>
        <v>1.7373000000000001</v>
      </c>
      <c r="DH80" s="20" t="str">
        <f>IF(DH27=0,"0",IF(AND(Results!$E$5="Protein",$C$53&gt;0,OR(Results!$E$4="Tissue",Results!$E$4="Cells")),((DH27*DH$51)/(DH$53)),IF(AND(Results!$E$5="Weight",$C$52&gt;0, Results!$E$4="Tissue",OR($B$52="g",$B$52="mg")),((DH27*DH$51)/(DH$52)),IF(AND(Results!$E$5="Volume",$C$54&gt;0,Results!$E$4="Fluid"),((DH27*DH$51)/(DH$54)),IF(AND(Results!$E$4="Cells",Results!$E$5="Million",$B$52="million"),((DH27*DH$51)/(DH$52)),"0")))))</f>
        <v>0</v>
      </c>
      <c r="DI80" s="20" t="str">
        <f>IF(DI27=0,"0",IF(AND(Results!$E$5="Protein",$C$53&gt;0,OR(Results!$E$4="Tissue",Results!$E$4="Cells")),((DI27*DI$51)/(DI$53)),IF(AND(Results!$E$5="Weight",$C$52&gt;0, Results!$E$4="Tissue",OR($B$52="g",$B$52="mg")),((DI27*DI$51)/(DI$52)),IF(AND(Results!$E$5="Volume",$C$54&gt;0,Results!$E$4="Fluid"),((DI27*DI$51)/(DI$54)),IF(AND(Results!$E$4="Cells",Results!$E$5="Million",$B$52="million"),((DI27*DI$51)/(DI$52)),"0")))))</f>
        <v>0</v>
      </c>
      <c r="DJ80" s="20">
        <f>IF(DJ27=0,"0",IF(AND(Results!$E$5="Protein",$C$53&gt;0,OR(Results!$E$4="Tissue",Results!$E$4="Cells")),((DJ27*DJ$51)/(DJ$53)),IF(AND(Results!$E$5="Weight",$C$52&gt;0, Results!$E$4="Tissue",OR($B$52="g",$B$52="mg")),((DJ27*DJ$51)/(DJ$52)),IF(AND(Results!$E$5="Volume",$C$54&gt;0,Results!$E$4="Fluid"),((DJ27*DJ$51)/(DJ$54)),IF(AND(Results!$E$4="Cells",Results!$E$5="Million",$B$52="million"),((DJ27*DJ$51)/(DJ$52)),"0")))))</f>
        <v>1.2381833333333332</v>
      </c>
      <c r="DK80" s="20">
        <f>IF(DK27=0,"0",IF(AND(Results!$E$5="Protein",$C$53&gt;0,OR(Results!$E$4="Tissue",Results!$E$4="Cells")),((DK27*DK$51)/(DK$53)),IF(AND(Results!$E$5="Weight",$C$52&gt;0, Results!$E$4="Tissue",OR($B$52="g",$B$52="mg")),((DK27*DK$51)/(DK$52)),IF(AND(Results!$E$5="Volume",$C$54&gt;0,Results!$E$4="Fluid"),((DK27*DK$51)/(DK$54)),IF(AND(Results!$E$4="Cells",Results!$E$5="Million",$B$52="million"),((DK27*DK$51)/(DK$52)),"0")))))</f>
        <v>1.0291333333333335</v>
      </c>
      <c r="DL80" s="20" t="str">
        <f>IF(DL27=0,"0",IF(AND(Results!$E$5="Protein",$C$53&gt;0,OR(Results!$E$4="Tissue",Results!$E$4="Cells")),((DL27*DL$51)/(DL$53)),IF(AND(Results!$E$5="Weight",$C$52&gt;0, Results!$E$4="Tissue",OR($B$52="g",$B$52="mg")),((DL27*DL$51)/(DL$52)),IF(AND(Results!$E$5="Volume",$C$54&gt;0,Results!$E$4="Fluid"),((DL27*DL$51)/(DL$54)),IF(AND(Results!$E$4="Cells",Results!$E$5="Million",$B$52="million"),((DL27*DL$51)/(DL$52)),"0")))))</f>
        <v>0</v>
      </c>
      <c r="DM80" s="20" t="str">
        <f>IF(DM27=0,"0",IF(AND(Results!$E$5="Protein",$C$53&gt;0,OR(Results!$E$4="Tissue",Results!$E$4="Cells")),((DM27*DM$51)/(DM$53)),IF(AND(Results!$E$5="Weight",$C$52&gt;0, Results!$E$4="Tissue",OR($B$52="g",$B$52="mg")),((DM27*DM$51)/(DM$52)),IF(AND(Results!$E$5="Volume",$C$54&gt;0,Results!$E$4="Fluid"),((DM27*DM$51)/(DM$54)),IF(AND(Results!$E$4="Cells",Results!$E$5="Million",$B$52="million"),((DM27*DM$51)/(DM$52)),"0")))))</f>
        <v>0</v>
      </c>
      <c r="DN80" s="20">
        <f>IF(DN27=0,"0",IF(AND(Results!$E$5="Protein",$C$53&gt;0,OR(Results!$E$4="Tissue",Results!$E$4="Cells")),((DN27*DN$51)/(DN$53)),IF(AND(Results!$E$5="Weight",$C$52&gt;0, Results!$E$4="Tissue",OR($B$52="g",$B$52="mg")),((DN27*DN$51)/(DN$52)),IF(AND(Results!$E$5="Volume",$C$54&gt;0,Results!$E$4="Fluid"),((DN27*DN$51)/(DN$54)),IF(AND(Results!$E$4="Cells",Results!$E$5="Million",$B$52="million"),((DN27*DN$51)/(DN$52)),"0")))))</f>
        <v>0.27901666666666664</v>
      </c>
      <c r="DO80" s="20">
        <f>IF(DO27=0,"0",IF(AND(Results!$E$5="Protein",$C$53&gt;0,OR(Results!$E$4="Tissue",Results!$E$4="Cells")),((DO27*DO$51)/(DO$53)),IF(AND(Results!$E$5="Weight",$C$52&gt;0, Results!$E$4="Tissue",OR($B$52="g",$B$52="mg")),((DO27*DO$51)/(DO$52)),IF(AND(Results!$E$5="Volume",$C$54&gt;0,Results!$E$4="Fluid"),((DO27*DO$51)/(DO$54)),IF(AND(Results!$E$4="Cells",Results!$E$5="Million",$B$52="million"),((DO27*DO$51)/(DO$52)),"0")))))</f>
        <v>2.1064333333333334</v>
      </c>
      <c r="DP80" s="20" t="str">
        <f>IF(DP27=0,"0",IF(AND(Results!$E$5="Protein",$C$53&gt;0,OR(Results!$E$4="Tissue",Results!$E$4="Cells")),((DP27*DP$51)/(DP$53)),IF(AND(Results!$E$5="Weight",$C$52&gt;0, Results!$E$4="Tissue",OR($B$52="g",$B$52="mg")),((DP27*DP$51)/(DP$52)),IF(AND(Results!$E$5="Volume",$C$54&gt;0,Results!$E$4="Fluid"),((DP27*DP$51)/(DP$54)),IF(AND(Results!$E$4="Cells",Results!$E$5="Million",$B$52="million"),((DP27*DP$51)/(DP$52)),"0")))))</f>
        <v>0</v>
      </c>
      <c r="DQ80" s="20" t="str">
        <f>IF(DQ27=0,"0",IF(AND(Results!$E$5="Protein",$C$53&gt;0,OR(Results!$E$4="Tissue",Results!$E$4="Cells")),((DQ27*DQ$51)/(DQ$53)),IF(AND(Results!$E$5="Weight",$C$52&gt;0, Results!$E$4="Tissue",OR($B$52="g",$B$52="mg")),((DQ27*DQ$51)/(DQ$52)),IF(AND(Results!$E$5="Volume",$C$54&gt;0,Results!$E$4="Fluid"),((DQ27*DQ$51)/(DQ$54)),IF(AND(Results!$E$4="Cells",Results!$E$5="Million",$B$52="million"),((DQ27*DQ$51)/(DQ$52)),"0")))))</f>
        <v>0</v>
      </c>
      <c r="DR80" s="20" t="str">
        <f>IF(DR27=0,"0",IF(AND(Results!$E$5="Protein",$C$53&gt;0,OR(Results!$E$4="Tissue",Results!$E$4="Cells")),((DR27*DR$51)/(DR$53)),IF(AND(Results!$E$5="Weight",$C$52&gt;0, Results!$E$4="Tissue",OR($B$52="g",$B$52="mg")),((DR27*DR$51)/(DR$52)),IF(AND(Results!$E$5="Volume",$C$54&gt;0,Results!$E$4="Fluid"),((DR27*DR$51)/(DR$54)),IF(AND(Results!$E$4="Cells",Results!$E$5="Million",$B$52="million"),((DR27*DR$51)/(DR$52)),"0")))))</f>
        <v>0</v>
      </c>
      <c r="DS80" s="20">
        <f>IF(DS27=0,"0",IF(AND(Results!$E$5="Protein",$C$53&gt;0,OR(Results!$E$4="Tissue",Results!$E$4="Cells")),((DS27*DS$51)/(DS$53)),IF(AND(Results!$E$5="Weight",$C$52&gt;0, Results!$E$4="Tissue",OR($B$52="g",$B$52="mg")),((DS27*DS$51)/(DS$52)),IF(AND(Results!$E$5="Volume",$C$54&gt;0,Results!$E$4="Fluid"),((DS27*DS$51)/(DS$54)),IF(AND(Results!$E$4="Cells",Results!$E$5="Million",$B$52="million"),((DS27*DS$51)/(DS$52)),"0")))))</f>
        <v>0.32006666666666667</v>
      </c>
      <c r="DT80" s="20" t="str">
        <f>IF(DT27=0,"0",IF(AND(Results!$E$5="Protein",$C$53&gt;0,OR(Results!$E$4="Tissue",Results!$E$4="Cells")),((DT27*DT$51)/(DT$53)),IF(AND(Results!$E$5="Weight",$C$52&gt;0, Results!$E$4="Tissue",OR($B$52="g",$B$52="mg")),((DT27*DT$51)/(DT$52)),IF(AND(Results!$E$5="Volume",$C$54&gt;0,Results!$E$4="Fluid"),((DT27*DT$51)/(DT$54)),IF(AND(Results!$E$4="Cells",Results!$E$5="Million",$B$52="million"),((DT27*DT$51)/(DT$52)),"0")))))</f>
        <v>0</v>
      </c>
      <c r="DU80" s="20">
        <f>IF(DU27=0,"0",IF(AND(Results!$E$5="Protein",$C$53&gt;0,OR(Results!$E$4="Tissue",Results!$E$4="Cells")),((DU27*DU$51)/(DU$53)),IF(AND(Results!$E$5="Weight",$C$52&gt;0, Results!$E$4="Tissue",OR($B$52="g",$B$52="mg")),((DU27*DU$51)/(DU$52)),IF(AND(Results!$E$5="Volume",$C$54&gt;0,Results!$E$4="Fluid"),((DU27*DU$51)/(DU$54)),IF(AND(Results!$E$4="Cells",Results!$E$5="Million",$B$52="million"),((DU27*DU$51)/(DU$52)),"0")))))</f>
        <v>0.35649999999999993</v>
      </c>
      <c r="DV80" s="20">
        <f>IF(DV27=0,"0",IF(AND(Results!$E$5="Protein",$C$53&gt;0,OR(Results!$E$4="Tissue",Results!$E$4="Cells")),((DV27*DV$51)/(DV$53)),IF(AND(Results!$E$5="Weight",$C$52&gt;0, Results!$E$4="Tissue",OR($B$52="g",$B$52="mg")),((DV27*DV$51)/(DV$52)),IF(AND(Results!$E$5="Volume",$C$54&gt;0,Results!$E$4="Fluid"),((DV27*DV$51)/(DV$54)),IF(AND(Results!$E$4="Cells",Results!$E$5="Million",$B$52="million"),((DV27*DV$51)/(DV$52)),"0")))))</f>
        <v>0.45279999999999998</v>
      </c>
      <c r="DW80" s="20">
        <f>IF(DW27=0,"0",IF(AND(Results!$E$5="Protein",$C$53&gt;0,OR(Results!$E$4="Tissue",Results!$E$4="Cells")),((DW27*DW$51)/(DW$53)),IF(AND(Results!$E$5="Weight",$C$52&gt;0, Results!$E$4="Tissue",OR($B$52="g",$B$52="mg")),((DW27*DW$51)/(DW$52)),IF(AND(Results!$E$5="Volume",$C$54&gt;0,Results!$E$4="Fluid"),((DW27*DW$51)/(DW$54)),IF(AND(Results!$E$4="Cells",Results!$E$5="Million",$B$52="million"),((DW27*DW$51)/(DW$52)),"0")))))</f>
        <v>0.69799999999999995</v>
      </c>
      <c r="DX80" s="20" t="str">
        <f>IF(DX27=0,"0",IF(AND(Results!$E$5="Protein",$C$53&gt;0,OR(Results!$E$4="Tissue",Results!$E$4="Cells")),((DX27*DX$51)/(DX$53)),IF(AND(Results!$E$5="Weight",$C$52&gt;0, Results!$E$4="Tissue",OR($B$52="g",$B$52="mg")),((DX27*DX$51)/(DX$52)),IF(AND(Results!$E$5="Volume",$C$54&gt;0,Results!$E$4="Fluid"),((DX27*DX$51)/(DX$54)),IF(AND(Results!$E$4="Cells",Results!$E$5="Million",$B$52="million"),((DX27*DX$51)/(DX$52)),"0")))))</f>
        <v>0</v>
      </c>
      <c r="DY80" s="20" t="str">
        <f>IF(DY27=0,"0",IF(AND(Results!$E$5="Protein",$C$53&gt;0,OR(Results!$E$4="Tissue",Results!$E$4="Cells")),((DY27*DY$51)/(DY$53)),IF(AND(Results!$E$5="Weight",$C$52&gt;0, Results!$E$4="Tissue",OR($B$52="g",$B$52="mg")),((DY27*DY$51)/(DY$52)),IF(AND(Results!$E$5="Volume",$C$54&gt;0,Results!$E$4="Fluid"),((DY27*DY$51)/(DY$54)),IF(AND(Results!$E$4="Cells",Results!$E$5="Million",$B$52="million"),((DY27*DY$51)/(DY$52)),"0")))))</f>
        <v>0</v>
      </c>
      <c r="DZ80" s="20" t="str">
        <f>IF(DZ27=0,"0",IF(AND(Results!$E$5="Protein",$C$53&gt;0,OR(Results!$E$4="Tissue",Results!$E$4="Cells")),((DZ27*DZ$51)/(DZ$53)),IF(AND(Results!$E$5="Weight",$C$52&gt;0, Results!$E$4="Tissue",OR($B$52="g",$B$52="mg")),((DZ27*DZ$51)/(DZ$52)),IF(AND(Results!$E$5="Volume",$C$54&gt;0,Results!$E$4="Fluid"),((DZ27*DZ$51)/(DZ$54)),IF(AND(Results!$E$4="Cells",Results!$E$5="Million",$B$52="million"),((DZ27*DZ$51)/(DZ$52)),"0")))))</f>
        <v>0</v>
      </c>
      <c r="EA80" s="20" t="str">
        <f>IF(EA27=0,"0",IF(AND(Results!$E$5="Protein",$C$53&gt;0,OR(Results!$E$4="Tissue",Results!$E$4="Cells")),((EA27*EA$51)/(EA$53)),IF(AND(Results!$E$5="Weight",$C$52&gt;0, Results!$E$4="Tissue",OR($B$52="g",$B$52="mg")),((EA27*EA$51)/(EA$52)),IF(AND(Results!$E$5="Volume",$C$54&gt;0,Results!$E$4="Fluid"),((EA27*EA$51)/(EA$54)),IF(AND(Results!$E$4="Cells",Results!$E$5="Million",$B$52="million"),((EA27*EA$51)/(EA$52)),"0")))))</f>
        <v>0</v>
      </c>
      <c r="EB80" s="20" t="str">
        <f>IF(EB27=0,"0",IF(AND(Results!$E$5="Protein",$C$53&gt;0,OR(Results!$E$4="Tissue",Results!$E$4="Cells")),((EB27*EB$51)/(EB$53)),IF(AND(Results!$E$5="Weight",$C$52&gt;0, Results!$E$4="Tissue",OR($B$52="g",$B$52="mg")),((EB27*EB$51)/(EB$52)),IF(AND(Results!$E$5="Volume",$C$54&gt;0,Results!$E$4="Fluid"),((EB27*EB$51)/(EB$54)),IF(AND(Results!$E$4="Cells",Results!$E$5="Million",$B$52="million"),((EB27*EB$51)/(EB$52)),"0")))))</f>
        <v>0</v>
      </c>
      <c r="EC80" s="20" t="str">
        <f>IF(EC27=0,"0",IF(AND(Results!$E$5="Protein",$C$53&gt;0,OR(Results!$E$4="Tissue",Results!$E$4="Cells")),((EC27*EC$51)/(EC$53)),IF(AND(Results!$E$5="Weight",$C$52&gt;0, Results!$E$4="Tissue",OR($B$52="g",$B$52="mg")),((EC27*EC$51)/(EC$52)),IF(AND(Results!$E$5="Volume",$C$54&gt;0,Results!$E$4="Fluid"),((EC27*EC$51)/(EC$54)),IF(AND(Results!$E$4="Cells",Results!$E$5="Million",$B$52="million"),((EC27*EC$51)/(EC$52)),"0")))))</f>
        <v>0</v>
      </c>
      <c r="ED80" s="20" t="str">
        <f>IF(ED27=0,"0",IF(AND(Results!$E$5="Protein",$C$53&gt;0,OR(Results!$E$4="Tissue",Results!$E$4="Cells")),((ED27*ED$51)/(ED$53)),IF(AND(Results!$E$5="Weight",$C$52&gt;0, Results!$E$4="Tissue",OR($B$52="g",$B$52="mg")),((ED27*ED$51)/(ED$52)),IF(AND(Results!$E$5="Volume",$C$54&gt;0,Results!$E$4="Fluid"),((ED27*ED$51)/(ED$54)),IF(AND(Results!$E$4="Cells",Results!$E$5="Million",$B$52="million"),((ED27*ED$51)/(ED$52)),"0")))))</f>
        <v>0</v>
      </c>
      <c r="EE80" s="20" t="str">
        <f>IF(EE27=0,"0",IF(AND(Results!$E$5="Protein",$C$53&gt;0,OR(Results!$E$4="Tissue",Results!$E$4="Cells")),((EE27*EE$51)/(EE$53)),IF(AND(Results!$E$5="Weight",$C$52&gt;0, Results!$E$4="Tissue",OR($B$52="g",$B$52="mg")),((EE27*EE$51)/(EE$52)),IF(AND(Results!$E$5="Volume",$C$54&gt;0,Results!$E$4="Fluid"),((EE27*EE$51)/(EE$54)),IF(AND(Results!$E$4="Cells",Results!$E$5="Million",$B$52="million"),((EE27*EE$51)/(EE$52)),"0")))))</f>
        <v>0</v>
      </c>
      <c r="EF80" s="20" t="str">
        <f>IF(EF27=0,"0",IF(AND(Results!$E$5="Protein",$C$53&gt;0,OR(Results!$E$4="Tissue",Results!$E$4="Cells")),((EF27*EF$51)/(EF$53)),IF(AND(Results!$E$5="Weight",$C$52&gt;0, Results!$E$4="Tissue",OR($B$52="g",$B$52="mg")),((EF27*EF$51)/(EF$52)),IF(AND(Results!$E$5="Volume",$C$54&gt;0,Results!$E$4="Fluid"),((EF27*EF$51)/(EF$54)),IF(AND(Results!$E$4="Cells",Results!$E$5="Million",$B$52="million"),((EF27*EF$51)/(EF$52)),"0")))))</f>
        <v>0</v>
      </c>
      <c r="EG80" s="20" t="str">
        <f>IF(EG27=0,"0",IF(AND(Results!$E$5="Protein",$C$53&gt;0,OR(Results!$E$4="Tissue",Results!$E$4="Cells")),((EG27*EG$51)/(EG$53)),IF(AND(Results!$E$5="Weight",$C$52&gt;0, Results!$E$4="Tissue",OR($B$52="g",$B$52="mg")),((EG27*EG$51)/(EG$52)),IF(AND(Results!$E$5="Volume",$C$54&gt;0,Results!$E$4="Fluid"),((EG27*EG$51)/(EG$54)),IF(AND(Results!$E$4="Cells",Results!$E$5="Million",$B$52="million"),((EG27*EG$51)/(EG$52)),"0")))))</f>
        <v>0</v>
      </c>
      <c r="EH80" s="20" t="str">
        <f>IF(EH27=0,"0",IF(AND(Results!$E$5="Protein",$C$53&gt;0,OR(Results!$E$4="Tissue",Results!$E$4="Cells")),((EH27*EH$51)/(EH$53)),IF(AND(Results!$E$5="Weight",$C$52&gt;0, Results!$E$4="Tissue",OR($B$52="g",$B$52="mg")),((EH27*EH$51)/(EH$52)),IF(AND(Results!$E$5="Volume",$C$54&gt;0,Results!$E$4="Fluid"),((EH27*EH$51)/(EH$54)),IF(AND(Results!$E$4="Cells",Results!$E$5="Million",$B$52="million"),((EH27*EH$51)/(EH$52)),"0")))))</f>
        <v>0</v>
      </c>
      <c r="EI80" s="20" t="str">
        <f>IF(EI27=0,"0",IF(AND(Results!$E$5="Protein",$C$53&gt;0,OR(Results!$E$4="Tissue",Results!$E$4="Cells")),((EI27*EI$51)/(EI$53)),IF(AND(Results!$E$5="Weight",$C$52&gt;0, Results!$E$4="Tissue",OR($B$52="g",$B$52="mg")),((EI27*EI$51)/(EI$52)),IF(AND(Results!$E$5="Volume",$C$54&gt;0,Results!$E$4="Fluid"),((EI27*EI$51)/(EI$54)),IF(AND(Results!$E$4="Cells",Results!$E$5="Million",$B$52="million"),((EI27*EI$51)/(EI$52)),"0")))))</f>
        <v>0</v>
      </c>
      <c r="EJ80" s="20" t="str">
        <f>IF(EJ27=0,"0",IF(AND(Results!$E$5="Protein",$C$53&gt;0,OR(Results!$E$4="Tissue",Results!$E$4="Cells")),((EJ27*EJ$51)/(EJ$53)),IF(AND(Results!$E$5="Weight",$C$52&gt;0, Results!$E$4="Tissue",OR($B$52="g",$B$52="mg")),((EJ27*EJ$51)/(EJ$52)),IF(AND(Results!$E$5="Volume",$C$54&gt;0,Results!$E$4="Fluid"),((EJ27*EJ$51)/(EJ$54)),IF(AND(Results!$E$4="Cells",Results!$E$5="Million",$B$52="million"),((EJ27*EJ$51)/(EJ$52)),"0")))))</f>
        <v>0</v>
      </c>
      <c r="EK80" s="20">
        <f>IF(EK27=0,"0",IF(AND(Results!$E$5="Protein",$C$53&gt;0,OR(Results!$E$4="Tissue",Results!$E$4="Cells")),((EK27*EK$51)/(EK$53)),IF(AND(Results!$E$5="Weight",$C$52&gt;0, Results!$E$4="Tissue",OR($B$52="g",$B$52="mg")),((EK27*EK$51)/(EK$52)),IF(AND(Results!$E$5="Volume",$C$54&gt;0,Results!$E$4="Fluid"),((EK27*EK$51)/(EK$54)),IF(AND(Results!$E$4="Cells",Results!$E$5="Million",$B$52="million"),((EK27*EK$51)/(EK$52)),"0")))))</f>
        <v>0.57786666666666664</v>
      </c>
      <c r="EL80" s="20" t="str">
        <f>IF(EL27=0,"0",IF(AND(Results!$E$5="Protein",$C$53&gt;0,OR(Results!$E$4="Tissue",Results!$E$4="Cells")),((EL27*EL$51)/(EL$53)),IF(AND(Results!$E$5="Weight",$C$52&gt;0, Results!$E$4="Tissue",OR($B$52="g",$B$52="mg")),((EL27*EL$51)/(EL$52)),IF(AND(Results!$E$5="Volume",$C$54&gt;0,Results!$E$4="Fluid"),((EL27*EL$51)/(EL$54)),IF(AND(Results!$E$4="Cells",Results!$E$5="Million",$B$52="million"),((EL27*EL$51)/(EL$52)),"0")))))</f>
        <v>0</v>
      </c>
      <c r="EM80" s="20" t="str">
        <f>IF(EM27=0,"0",IF(AND(Results!$E$5="Protein",$C$53&gt;0,OR(Results!$E$4="Tissue",Results!$E$4="Cells")),((EM27*EM$51)/(EM$53)),IF(AND(Results!$E$5="Weight",$C$52&gt;0, Results!$E$4="Tissue",OR($B$52="g",$B$52="mg")),((EM27*EM$51)/(EM$52)),IF(AND(Results!$E$5="Volume",$C$54&gt;0,Results!$E$4="Fluid"),((EM27*EM$51)/(EM$54)),IF(AND(Results!$E$4="Cells",Results!$E$5="Million",$B$52="million"),((EM27*EM$51)/(EM$52)),"0")))))</f>
        <v>0</v>
      </c>
      <c r="EN80" s="20">
        <f>IF(EN27=0,"0",IF(AND(Results!$E$5="Protein",$C$53&gt;0,OR(Results!$E$4="Tissue",Results!$E$4="Cells")),((EN27*EN$51)/(EN$53)),IF(AND(Results!$E$5="Weight",$C$52&gt;0, Results!$E$4="Tissue",OR($B$52="g",$B$52="mg")),((EN27*EN$51)/(EN$52)),IF(AND(Results!$E$5="Volume",$C$54&gt;0,Results!$E$4="Fluid"),((EN27*EN$51)/(EN$54)),IF(AND(Results!$E$4="Cells",Results!$E$5="Million",$B$52="million"),((EN27*EN$51)/(EN$52)),"0")))))</f>
        <v>0.40488333333333332</v>
      </c>
      <c r="EO80" s="20">
        <f>IF(EO27=0,"0",IF(AND(Results!$E$5="Protein",$C$53&gt;0,OR(Results!$E$4="Tissue",Results!$E$4="Cells")),((EO27*EO$51)/(EO$53)),IF(AND(Results!$E$5="Weight",$C$52&gt;0, Results!$E$4="Tissue",OR($B$52="g",$B$52="mg")),((EO27*EO$51)/(EO$52)),IF(AND(Results!$E$5="Volume",$C$54&gt;0,Results!$E$4="Fluid"),((EO27*EO$51)/(EO$54)),IF(AND(Results!$E$4="Cells",Results!$E$5="Million",$B$52="million"),((EO27*EO$51)/(EO$52)),"0")))))</f>
        <v>0.49440000000000001</v>
      </c>
      <c r="EP80" s="20">
        <f>IF(EP27=0,"0",IF(AND(Results!$E$5="Protein",$C$53&gt;0,OR(Results!$E$4="Tissue",Results!$E$4="Cells")),((EP27*EP$51)/(EP$53)),IF(AND(Results!$E$5="Weight",$C$52&gt;0, Results!$E$4="Tissue",OR($B$52="g",$B$52="mg")),((EP27*EP$51)/(EP$52)),IF(AND(Results!$E$5="Volume",$C$54&gt;0,Results!$E$4="Fluid"),((EP27*EP$51)/(EP$54)),IF(AND(Results!$E$4="Cells",Results!$E$5="Million",$B$52="million"),((EP27*EP$51)/(EP$52)),"0")))))</f>
        <v>0.46283333333333337</v>
      </c>
      <c r="EQ80" s="20">
        <f>IF(EQ27=0,"0",IF(AND(Results!$E$5="Protein",$C$53&gt;0,OR(Results!$E$4="Tissue",Results!$E$4="Cells")),((EQ27*EQ$51)/(EQ$53)),IF(AND(Results!$E$5="Weight",$C$52&gt;0, Results!$E$4="Tissue",OR($B$52="g",$B$52="mg")),((EQ27*EQ$51)/(EQ$52)),IF(AND(Results!$E$5="Volume",$C$54&gt;0,Results!$E$4="Fluid"),((EQ27*EQ$51)/(EQ$54)),IF(AND(Results!$E$4="Cells",Results!$E$5="Million",$B$52="million"),((EQ27*EQ$51)/(EQ$52)),"0")))))</f>
        <v>1.409616666666667</v>
      </c>
      <c r="ER80" s="20" t="str">
        <f>IF(ER27=0,"0",IF(AND(Results!$E$5="Protein",$C$53&gt;0,OR(Results!$E$4="Tissue",Results!$E$4="Cells")),((ER27*ER$51)/(ER$53)),IF(AND(Results!$E$5="Weight",$C$52&gt;0, Results!$E$4="Tissue",OR($B$52="g",$B$52="mg")),((ER27*ER$51)/(ER$52)),IF(AND(Results!$E$5="Volume",$C$54&gt;0,Results!$E$4="Fluid"),((ER27*ER$51)/(ER$54)),IF(AND(Results!$E$4="Cells",Results!$E$5="Million",$B$52="million"),((ER27*ER$51)/(ER$52)),"0")))))</f>
        <v>0</v>
      </c>
      <c r="ES80" s="20" t="str">
        <f>IF(ES27=0,"0",IF(AND(Results!$E$5="Protein",$C$53&gt;0,OR(Results!$E$4="Tissue",Results!$E$4="Cells")),((ES27*ES$51)/(ES$53)),IF(AND(Results!$E$5="Weight",$C$52&gt;0, Results!$E$4="Tissue",OR($B$52="g",$B$52="mg")),((ES27*ES$51)/(ES$52)),IF(AND(Results!$E$5="Volume",$C$54&gt;0,Results!$E$4="Fluid"),((ES27*ES$51)/(ES$54)),IF(AND(Results!$E$4="Cells",Results!$E$5="Million",$B$52="million"),((ES27*ES$51)/(ES$52)),"0")))))</f>
        <v>0</v>
      </c>
      <c r="ET80" s="20" t="str">
        <f>IF(ET27=0,"0",IF(AND(Results!$E$5="Protein",$C$53&gt;0,OR(Results!$E$4="Tissue",Results!$E$4="Cells")),((ET27*ET$51)/(ET$53)),IF(AND(Results!$E$5="Weight",$C$52&gt;0, Results!$E$4="Tissue",OR($B$52="g",$B$52="mg")),((ET27*ET$51)/(ET$52)),IF(AND(Results!$E$5="Volume",$C$54&gt;0,Results!$E$4="Fluid"),((ET27*ET$51)/(ET$54)),IF(AND(Results!$E$4="Cells",Results!$E$5="Million",$B$52="million"),((ET27*ET$51)/(ET$52)),"0")))))</f>
        <v>0</v>
      </c>
      <c r="EU80" s="20">
        <f>IF(EU27=0,"0",IF(AND(Results!$E$5="Protein",$C$53&gt;0,OR(Results!$E$4="Tissue",Results!$E$4="Cells")),((EU27*EU$51)/(EU$53)),IF(AND(Results!$E$5="Weight",$C$52&gt;0, Results!$E$4="Tissue",OR($B$52="g",$B$52="mg")),((EU27*EU$51)/(EU$52)),IF(AND(Results!$E$5="Volume",$C$54&gt;0,Results!$E$4="Fluid"),((EU27*EU$51)/(EU$54)),IF(AND(Results!$E$4="Cells",Results!$E$5="Million",$B$52="million"),((EU27*EU$51)/(EU$52)),"0")))))</f>
        <v>1.2648666666666666</v>
      </c>
      <c r="EV80" s="20" t="str">
        <f>IF(EV27=0,"0",IF(AND(Results!$E$5="Protein",$C$53&gt;0,OR(Results!$E$4="Tissue",Results!$E$4="Cells")),((EV27*EV$51)/(EV$53)),IF(AND(Results!$E$5="Weight",$C$52&gt;0, Results!$E$4="Tissue",OR($B$52="g",$B$52="mg")),((EV27*EV$51)/(EV$52)),IF(AND(Results!$E$5="Volume",$C$54&gt;0,Results!$E$4="Fluid"),((EV27*EV$51)/(EV$54)),IF(AND(Results!$E$4="Cells",Results!$E$5="Million",$B$52="million"),((EV27*EV$51)/(EV$52)),"0")))))</f>
        <v>0</v>
      </c>
      <c r="EW80" s="20" t="str">
        <f>IF(EW27=0,"0",IF(AND(Results!$E$5="Protein",$C$53&gt;0,OR(Results!$E$4="Tissue",Results!$E$4="Cells")),((EW27*EW$51)/(EW$53)),IF(AND(Results!$E$5="Weight",$C$52&gt;0, Results!$E$4="Tissue",OR($B$52="g",$B$52="mg")),((EW27*EW$51)/(EW$52)),IF(AND(Results!$E$5="Volume",$C$54&gt;0,Results!$E$4="Fluid"),((EW27*EW$51)/(EW$54)),IF(AND(Results!$E$4="Cells",Results!$E$5="Million",$B$52="million"),((EW27*EW$51)/(EW$52)),"0")))))</f>
        <v>0</v>
      </c>
      <c r="EX80" s="20">
        <f>IF(EX27=0,"0",IF(AND(Results!$E$5="Protein",$C$53&gt;0,OR(Results!$E$4="Tissue",Results!$E$4="Cells")),((EX27*EX$51)/(EX$53)),IF(AND(Results!$E$5="Weight",$C$52&gt;0, Results!$E$4="Tissue",OR($B$52="g",$B$52="mg")),((EX27*EX$51)/(EX$52)),IF(AND(Results!$E$5="Volume",$C$54&gt;0,Results!$E$4="Fluid"),((EX27*EX$51)/(EX$54)),IF(AND(Results!$E$4="Cells",Results!$E$5="Million",$B$52="million"),((EX27*EX$51)/(EX$52)),"0")))))</f>
        <v>0.92709999999999992</v>
      </c>
      <c r="EY80" s="20" t="str">
        <f>IF(EY27=0,"0",IF(AND(Results!$E$5="Protein",$C$53&gt;0,OR(Results!$E$4="Tissue",Results!$E$4="Cells")),((EY27*EY$51)/(EY$53)),IF(AND(Results!$E$5="Weight",$C$52&gt;0, Results!$E$4="Tissue",OR($B$52="g",$B$52="mg")),((EY27*EY$51)/(EY$52)),IF(AND(Results!$E$5="Volume",$C$54&gt;0,Results!$E$4="Fluid"),((EY27*EY$51)/(EY$54)),IF(AND(Results!$E$4="Cells",Results!$E$5="Million",$B$52="million"),((EY27*EY$51)/(EY$52)),"0")))))</f>
        <v>0</v>
      </c>
      <c r="EZ80" s="20" t="str">
        <f>IF(EZ27=0,"0",IF(AND(Results!$E$5="Protein",$C$53&gt;0,OR(Results!$E$4="Tissue",Results!$E$4="Cells")),((EZ27*EZ$51)/(EZ$53)),IF(AND(Results!$E$5="Weight",$C$52&gt;0, Results!$E$4="Tissue",OR($B$52="g",$B$52="mg")),((EZ27*EZ$51)/(EZ$52)),IF(AND(Results!$E$5="Volume",$C$54&gt;0,Results!$E$4="Fluid"),((EZ27*EZ$51)/(EZ$54)),IF(AND(Results!$E$4="Cells",Results!$E$5="Million",$B$52="million"),((EZ27*EZ$51)/(EZ$52)),"0")))))</f>
        <v>0</v>
      </c>
      <c r="FA80" s="20" t="str">
        <f>IF(FA27=0,"0",IF(AND(Results!$E$5="Protein",$C$53&gt;0,OR(Results!$E$4="Tissue",Results!$E$4="Cells")),((FA27*FA$51)/(FA$53)),IF(AND(Results!$E$5="Weight",$C$52&gt;0, Results!$E$4="Tissue",OR($B$52="g",$B$52="mg")),((FA27*FA$51)/(FA$52)),IF(AND(Results!$E$5="Volume",$C$54&gt;0,Results!$E$4="Fluid"),((FA27*FA$51)/(FA$54)),IF(AND(Results!$E$4="Cells",Results!$E$5="Million",$B$52="million"),((FA27*FA$51)/(FA$52)),"0")))))</f>
        <v>0</v>
      </c>
      <c r="FB80" s="20" t="str">
        <f>IF(FB27=0,"0",IF(AND(Results!$E$5="Protein",$C$53&gt;0,OR(Results!$E$4="Tissue",Results!$E$4="Cells")),((FB27*FB$51)/(FB$53)),IF(AND(Results!$E$5="Weight",$C$52&gt;0, Results!$E$4="Tissue",OR($B$52="g",$B$52="mg")),((FB27*FB$51)/(FB$52)),IF(AND(Results!$E$5="Volume",$C$54&gt;0,Results!$E$4="Fluid"),((FB27*FB$51)/(FB$54)),IF(AND(Results!$E$4="Cells",Results!$E$5="Million",$B$52="million"),((FB27*FB$51)/(FB$52)),"0")))))</f>
        <v>0</v>
      </c>
      <c r="FC80" s="20">
        <f>IF(FC27=0,"0",IF(AND(Results!$E$5="Protein",$C$53&gt;0,OR(Results!$E$4="Tissue",Results!$E$4="Cells")),((FC27*FC$51)/(FC$53)),IF(AND(Results!$E$5="Weight",$C$52&gt;0, Results!$E$4="Tissue",OR($B$52="g",$B$52="mg")),((FC27*FC$51)/(FC$52)),IF(AND(Results!$E$5="Volume",$C$54&gt;0,Results!$E$4="Fluid"),((FC27*FC$51)/(FC$54)),IF(AND(Results!$E$4="Cells",Results!$E$5="Million",$B$52="million"),((FC27*FC$51)/(FC$52)),"0")))))</f>
        <v>0.6852166666666667</v>
      </c>
      <c r="FD80" s="20" t="str">
        <f>IF(FD27=0,"0",IF(AND(Results!$E$5="Protein",$C$53&gt;0,OR(Results!$E$4="Tissue",Results!$E$4="Cells")),((FD27*FD$51)/(FD$53)),IF(AND(Results!$E$5="Weight",$C$52&gt;0, Results!$E$4="Tissue",OR($B$52="g",$B$52="mg")),((FD27*FD$51)/(FD$52)),IF(AND(Results!$E$5="Volume",$C$54&gt;0,Results!$E$4="Fluid"),((FD27*FD$51)/(FD$54)),IF(AND(Results!$E$4="Cells",Results!$E$5="Million",$B$52="million"),((FD27*FD$51)/(FD$52)),"0")))))</f>
        <v>0</v>
      </c>
      <c r="FE80" s="20" t="str">
        <f>IF(FE27=0,"0",IF(AND(Results!$E$5="Protein",$C$53&gt;0,OR(Results!$E$4="Tissue",Results!$E$4="Cells")),((FE27*FE$51)/(FE$53)),IF(AND(Results!$E$5="Weight",$C$52&gt;0, Results!$E$4="Tissue",OR($B$52="g",$B$52="mg")),((FE27*FE$51)/(FE$52)),IF(AND(Results!$E$5="Volume",$C$54&gt;0,Results!$E$4="Fluid"),((FE27*FE$51)/(FE$54)),IF(AND(Results!$E$4="Cells",Results!$E$5="Million",$B$52="million"),((FE27*FE$51)/(FE$52)),"0")))))</f>
        <v>0</v>
      </c>
      <c r="FF80" s="20">
        <f>IF(FF27=0,"0",IF(AND(Results!$E$5="Protein",$C$53&gt;0,OR(Results!$E$4="Tissue",Results!$E$4="Cells")),((FF27*FF$51)/(FF$53)),IF(AND(Results!$E$5="Weight",$C$52&gt;0, Results!$E$4="Tissue",OR($B$52="g",$B$52="mg")),((FF27*FF$51)/(FF$52)),IF(AND(Results!$E$5="Volume",$C$54&gt;0,Results!$E$4="Fluid"),((FF27*FF$51)/(FF$54)),IF(AND(Results!$E$4="Cells",Results!$E$5="Million",$B$52="million"),((FF27*FF$51)/(FF$52)),"0")))))</f>
        <v>1.2788999999999999</v>
      </c>
      <c r="FG80" s="20">
        <f>IF(FG27=0,"0",IF(AND(Results!$E$5="Protein",$C$53&gt;0,OR(Results!$E$4="Tissue",Results!$E$4="Cells")),((FG27*FG$51)/(FG$53)),IF(AND(Results!$E$5="Weight",$C$52&gt;0, Results!$E$4="Tissue",OR($B$52="g",$B$52="mg")),((FG27*FG$51)/(FG$52)),IF(AND(Results!$E$5="Volume",$C$54&gt;0,Results!$E$4="Fluid"),((FG27*FG$51)/(FG$54)),IF(AND(Results!$E$4="Cells",Results!$E$5="Million",$B$52="million"),((FG27*FG$51)/(FG$52)),"0")))))</f>
        <v>0.42739999999999995</v>
      </c>
      <c r="FH80" s="20">
        <f>IF(FH27=0,"0",IF(AND(Results!$E$5="Protein",$C$53&gt;0,OR(Results!$E$4="Tissue",Results!$E$4="Cells")),((FH27*FH$51)/(FH$53)),IF(AND(Results!$E$5="Weight",$C$52&gt;0, Results!$E$4="Tissue",OR($B$52="g",$B$52="mg")),((FH27*FH$51)/(FH$52)),IF(AND(Results!$E$5="Volume",$C$54&gt;0,Results!$E$4="Fluid"),((FH27*FH$51)/(FH$54)),IF(AND(Results!$E$4="Cells",Results!$E$5="Million",$B$52="million"),((FH27*FH$51)/(FH$52)),"0")))))</f>
        <v>0.36293333333333333</v>
      </c>
      <c r="FI80" s="20">
        <f>IF(FI27=0,"0",IF(AND(Results!$E$5="Protein",$C$53&gt;0,OR(Results!$E$4="Tissue",Results!$E$4="Cells")),((FI27*FI$51)/(FI$53)),IF(AND(Results!$E$5="Weight",$C$52&gt;0, Results!$E$4="Tissue",OR($B$52="g",$B$52="mg")),((FI27*FI$51)/(FI$52)),IF(AND(Results!$E$5="Volume",$C$54&gt;0,Results!$E$4="Fluid"),((FI27*FI$51)/(FI$54)),IF(AND(Results!$E$4="Cells",Results!$E$5="Million",$B$52="million"),((FI27*FI$51)/(FI$52)),"0")))))</f>
        <v>0.84398333333333342</v>
      </c>
      <c r="FJ80" s="20">
        <f>IF(FJ27=0,"0",IF(AND(Results!$E$5="Protein",$C$53&gt;0,OR(Results!$E$4="Tissue",Results!$E$4="Cells")),((FJ27*FJ$51)/(FJ$53)),IF(AND(Results!$E$5="Weight",$C$52&gt;0, Results!$E$4="Tissue",OR($B$52="g",$B$52="mg")),((FJ27*FJ$51)/(FJ$52)),IF(AND(Results!$E$5="Volume",$C$54&gt;0,Results!$E$4="Fluid"),((FJ27*FJ$51)/(FJ$54)),IF(AND(Results!$E$4="Cells",Results!$E$5="Million",$B$52="million"),((FJ27*FJ$51)/(FJ$52)),"0")))))</f>
        <v>1.2928333333333333</v>
      </c>
      <c r="FK80" s="20" t="str">
        <f>IF(FK27=0,"0",IF(AND(Results!$E$5="Protein",$C$53&gt;0,OR(Results!$E$4="Tissue",Results!$E$4="Cells")),((FK27*FK$51)/(FK$53)),IF(AND(Results!$E$5="Weight",$C$52&gt;0, Results!$E$4="Tissue",OR($B$52="g",$B$52="mg")),((FK27*FK$51)/(FK$52)),IF(AND(Results!$E$5="Volume",$C$54&gt;0,Results!$E$4="Fluid"),((FK27*FK$51)/(FK$54)),IF(AND(Results!$E$4="Cells",Results!$E$5="Million",$B$52="million"),((FK27*FK$51)/(FK$52)),"0")))))</f>
        <v>0</v>
      </c>
      <c r="FL80" s="20" t="str">
        <f>IF(FL27=0,"0",IF(AND(Results!$E$5="Protein",$C$53&gt;0,OR(Results!$E$4="Tissue",Results!$E$4="Cells")),((FL27*FL$51)/(FL$53)),IF(AND(Results!$E$5="Weight",$C$52&gt;0, Results!$E$4="Tissue",OR($B$52="g",$B$52="mg")),((FL27*FL$51)/(FL$52)),IF(AND(Results!$E$5="Volume",$C$54&gt;0,Results!$E$4="Fluid"),((FL27*FL$51)/(FL$54)),IF(AND(Results!$E$4="Cells",Results!$E$5="Million",$B$52="million"),((FL27*FL$51)/(FL$52)),"0")))))</f>
        <v>0</v>
      </c>
      <c r="FM80" s="20" t="str">
        <f>IF(FM27=0,"0",IF(AND(Results!$E$5="Protein",$C$53&gt;0,OR(Results!$E$4="Tissue",Results!$E$4="Cells")),((FM27*FM$51)/(FM$53)),IF(AND(Results!$E$5="Weight",$C$52&gt;0, Results!$E$4="Tissue",OR($B$52="g",$B$52="mg")),((FM27*FM$51)/(FM$52)),IF(AND(Results!$E$5="Volume",$C$54&gt;0,Results!$E$4="Fluid"),((FM27*FM$51)/(FM$54)),IF(AND(Results!$E$4="Cells",Results!$E$5="Million",$B$52="million"),((FM27*FM$51)/(FM$52)),"0")))))</f>
        <v>0</v>
      </c>
      <c r="FN80" s="20" t="str">
        <f>IF(FN27=0,"0",IF(AND(Results!$E$5="Protein",$C$53&gt;0,OR(Results!$E$4="Tissue",Results!$E$4="Cells")),((FN27*FN$51)/(FN$53)),IF(AND(Results!$E$5="Weight",$C$52&gt;0, Results!$E$4="Tissue",OR($B$52="g",$B$52="mg")),((FN27*FN$51)/(FN$52)),IF(AND(Results!$E$5="Volume",$C$54&gt;0,Results!$E$4="Fluid"),((FN27*FN$51)/(FN$54)),IF(AND(Results!$E$4="Cells",Results!$E$5="Million",$B$52="million"),((FN27*FN$51)/(FN$52)),"0")))))</f>
        <v>0</v>
      </c>
      <c r="FO80" s="20">
        <f>IF(FO27=0,"0",IF(AND(Results!$E$5="Protein",$C$53&gt;0,OR(Results!$E$4="Tissue",Results!$E$4="Cells")),((FO27*FO$51)/(FO$53)),IF(AND(Results!$E$5="Weight",$C$52&gt;0, Results!$E$4="Tissue",OR($B$52="g",$B$52="mg")),((FO27*FO$51)/(FO$52)),IF(AND(Results!$E$5="Volume",$C$54&gt;0,Results!$E$4="Fluid"),((FO27*FO$51)/(FO$54)),IF(AND(Results!$E$4="Cells",Results!$E$5="Million",$B$52="million"),((FO27*FO$51)/(FO$52)),"0")))))</f>
        <v>0.34343333333333337</v>
      </c>
    </row>
    <row r="81" spans="1:171" x14ac:dyDescent="0.2">
      <c r="A81" s="120" t="str">
        <f t="shared" si="0"/>
        <v xml:space="preserve">PGF2a </v>
      </c>
      <c r="B81" s="121"/>
      <c r="C81" s="20">
        <f>IF(C28=0,"0",IF(AND(Results!$E$5="Protein",$C$53&gt;0,OR(Results!$E$4="Tissue",Results!$E$4="Cells")),((C28*C$51)/(C$53)),IF(AND(Results!$E$5="Weight",$C$52&gt;0, Results!$E$4="Tissue",OR($B$52="g",$B$52="mg")),((C28*C$51)/(C$52)),IF(AND(Results!$E$5="Volume",$C$54&gt;0,Results!$E$4="Fluid"),((C28*C$51)/(C$54)),IF(AND(Results!$E$4="Cells",Results!$E$5="Million",$B$52="million"),((C28*C$51)/(C$52)),"0")))))</f>
        <v>0.81108333333333349</v>
      </c>
      <c r="D81" s="20">
        <f>IF(D28=0,"0",IF(AND(Results!$E$5="Protein",$C$53&gt;0,OR(Results!$E$4="Tissue",Results!$E$4="Cells")),((D28*D$51)/(D$53)),IF(AND(Results!$E$5="Weight",$C$52&gt;0, Results!$E$4="Tissue",OR($B$52="g",$B$52="mg")),((D28*D$51)/(D$52)),IF(AND(Results!$E$5="Volume",$C$54&gt;0,Results!$E$4="Fluid"),((D28*D$51)/(D$54)),IF(AND(Results!$E$4="Cells",Results!$E$5="Million",$B$52="million"),((D28*D$51)/(D$52)),"0")))))</f>
        <v>3.1465166666666664</v>
      </c>
      <c r="E81" s="20" t="str">
        <f>IF(E28=0,"0",IF(AND(Results!$E$5="Protein",$C$53&gt;0,OR(Results!$E$4="Tissue",Results!$E$4="Cells")),((E28*E$51)/(E$53)),IF(AND(Results!$E$5="Weight",$C$52&gt;0, Results!$E$4="Tissue",OR($B$52="g",$B$52="mg")),((E28*E$51)/(E$52)),IF(AND(Results!$E$5="Volume",$C$54&gt;0,Results!$E$4="Fluid"),((E28*E$51)/(E$54)),IF(AND(Results!$E$4="Cells",Results!$E$5="Million",$B$52="million"),((E28*E$51)/(E$52)),"0")))))</f>
        <v>0</v>
      </c>
      <c r="F81" s="20">
        <f>IF(F28=0,"0",IF(AND(Results!$E$5="Protein",$C$53&gt;0,OR(Results!$E$4="Tissue",Results!$E$4="Cells")),((F28*F$51)/(F$53)),IF(AND(Results!$E$5="Weight",$C$52&gt;0, Results!$E$4="Tissue",OR($B$52="g",$B$52="mg")),((F28*F$51)/(F$52)),IF(AND(Results!$E$5="Volume",$C$54&gt;0,Results!$E$4="Fluid"),((F28*F$51)/(F$54)),IF(AND(Results!$E$4="Cells",Results!$E$5="Million",$B$52="million"),((F28*F$51)/(F$52)),"0")))))</f>
        <v>11.769666666666666</v>
      </c>
      <c r="G81" s="20">
        <f>IF(G28=0,"0",IF(AND(Results!$E$5="Protein",$C$53&gt;0,OR(Results!$E$4="Tissue",Results!$E$4="Cells")),((G28*G$51)/(G$53)),IF(AND(Results!$E$5="Weight",$C$52&gt;0, Results!$E$4="Tissue",OR($B$52="g",$B$52="mg")),((G28*G$51)/(G$52)),IF(AND(Results!$E$5="Volume",$C$54&gt;0,Results!$E$4="Fluid"),((G28*G$51)/(G$54)),IF(AND(Results!$E$4="Cells",Results!$E$5="Million",$B$52="million"),((G28*G$51)/(G$52)),"0")))))</f>
        <v>1.9535499999999999</v>
      </c>
      <c r="H81" s="20">
        <f>IF(H28=0,"0",IF(AND(Results!$E$5="Protein",$C$53&gt;0,OR(Results!$E$4="Tissue",Results!$E$4="Cells")),((H28*H$51)/(H$53)),IF(AND(Results!$E$5="Weight",$C$52&gt;0, Results!$E$4="Tissue",OR($B$52="g",$B$52="mg")),((H28*H$51)/(H$52)),IF(AND(Results!$E$5="Volume",$C$54&gt;0,Results!$E$4="Fluid"),((H28*H$51)/(H$54)),IF(AND(Results!$E$4="Cells",Results!$E$5="Million",$B$52="million"),((H28*H$51)/(H$52)),"0")))))</f>
        <v>2.0054833333333333</v>
      </c>
      <c r="I81" s="20">
        <f>IF(I28=0,"0",IF(AND(Results!$E$5="Protein",$C$53&gt;0,OR(Results!$E$4="Tissue",Results!$E$4="Cells")),((I28*I$51)/(I$53)),IF(AND(Results!$E$5="Weight",$C$52&gt;0, Results!$E$4="Tissue",OR($B$52="g",$B$52="mg")),((I28*I$51)/(I$52)),IF(AND(Results!$E$5="Volume",$C$54&gt;0,Results!$E$4="Fluid"),((I28*I$51)/(I$54)),IF(AND(Results!$E$4="Cells",Results!$E$5="Million",$B$52="million"),((I28*I$51)/(I$52)),"0")))))</f>
        <v>5.8764333333333338</v>
      </c>
      <c r="J81" s="20">
        <f>IF(J28=0,"0",IF(AND(Results!$E$5="Protein",$C$53&gt;0,OR(Results!$E$4="Tissue",Results!$E$4="Cells")),((J28*J$51)/(J$53)),IF(AND(Results!$E$5="Weight",$C$52&gt;0, Results!$E$4="Tissue",OR($B$52="g",$B$52="mg")),((J28*J$51)/(J$52)),IF(AND(Results!$E$5="Volume",$C$54&gt;0,Results!$E$4="Fluid"),((J28*J$51)/(J$54)),IF(AND(Results!$E$4="Cells",Results!$E$5="Million",$B$52="million"),((J28*J$51)/(J$52)),"0")))))</f>
        <v>6.9467000000000008</v>
      </c>
      <c r="K81" s="20">
        <f>IF(K28=0,"0",IF(AND(Results!$E$5="Protein",$C$53&gt;0,OR(Results!$E$4="Tissue",Results!$E$4="Cells")),((K28*K$51)/(K$53)),IF(AND(Results!$E$5="Weight",$C$52&gt;0, Results!$E$4="Tissue",OR($B$52="g",$B$52="mg")),((K28*K$51)/(K$52)),IF(AND(Results!$E$5="Volume",$C$54&gt;0,Results!$E$4="Fluid"),((K28*K$51)/(K$54)),IF(AND(Results!$E$4="Cells",Results!$E$5="Million",$B$52="million"),((K28*K$51)/(K$52)),"0")))))</f>
        <v>1.7200166666666665</v>
      </c>
      <c r="L81" s="20">
        <f>IF(L28=0,"0",IF(AND(Results!$E$5="Protein",$C$53&gt;0,OR(Results!$E$4="Tissue",Results!$E$4="Cells")),((L28*L$51)/(L$53)),IF(AND(Results!$E$5="Weight",$C$52&gt;0, Results!$E$4="Tissue",OR($B$52="g",$B$52="mg")),((L28*L$51)/(L$52)),IF(AND(Results!$E$5="Volume",$C$54&gt;0,Results!$E$4="Fluid"),((L28*L$51)/(L$54)),IF(AND(Results!$E$4="Cells",Results!$E$5="Million",$B$52="million"),((L28*L$51)/(L$52)),"0")))))</f>
        <v>8.8204166666666666</v>
      </c>
      <c r="M81" s="20">
        <f>IF(M28=0,"0",IF(AND(Results!$E$5="Protein",$C$53&gt;0,OR(Results!$E$4="Tissue",Results!$E$4="Cells")),((M28*M$51)/(M$53)),IF(AND(Results!$E$5="Weight",$C$52&gt;0, Results!$E$4="Tissue",OR($B$52="g",$B$52="mg")),((M28*M$51)/(M$52)),IF(AND(Results!$E$5="Volume",$C$54&gt;0,Results!$E$4="Fluid"),((M28*M$51)/(M$54)),IF(AND(Results!$E$4="Cells",Results!$E$5="Million",$B$52="million"),((M28*M$51)/(M$52)),"0")))))</f>
        <v>2.1837499999999994</v>
      </c>
      <c r="N81" s="20">
        <f>IF(N28=0,"0",IF(AND(Results!$E$5="Protein",$C$53&gt;0,OR(Results!$E$4="Tissue",Results!$E$4="Cells")),((N28*N$51)/(N$53)),IF(AND(Results!$E$5="Weight",$C$52&gt;0, Results!$E$4="Tissue",OR($B$52="g",$B$52="mg")),((N28*N$51)/(N$52)),IF(AND(Results!$E$5="Volume",$C$54&gt;0,Results!$E$4="Fluid"),((N28*N$51)/(N$54)),IF(AND(Results!$E$4="Cells",Results!$E$5="Million",$B$52="million"),((N28*N$51)/(N$52)),"0")))))</f>
        <v>1.8338833333333331</v>
      </c>
      <c r="O81" s="20" t="str">
        <f>IF(O28=0,"0",IF(AND(Results!$E$5="Protein",$C$53&gt;0,OR(Results!$E$4="Tissue",Results!$E$4="Cells")),((O28*O$51)/(O$53)),IF(AND(Results!$E$5="Weight",$C$52&gt;0, Results!$E$4="Tissue",OR($B$52="g",$B$52="mg")),((O28*O$51)/(O$52)),IF(AND(Results!$E$5="Volume",$C$54&gt;0,Results!$E$4="Fluid"),((O28*O$51)/(O$54)),IF(AND(Results!$E$4="Cells",Results!$E$5="Million",$B$52="million"),((O28*O$51)/(O$52)),"0")))))</f>
        <v>0</v>
      </c>
      <c r="P81" s="20" t="str">
        <f>IF(P28=0,"0",IF(AND(Results!$E$5="Protein",$C$53&gt;0,OR(Results!$E$4="Tissue",Results!$E$4="Cells")),((P28*P$51)/(P$53)),IF(AND(Results!$E$5="Weight",$C$52&gt;0, Results!$E$4="Tissue",OR($B$52="g",$B$52="mg")),((P28*P$51)/(P$52)),IF(AND(Results!$E$5="Volume",$C$54&gt;0,Results!$E$4="Fluid"),((P28*P$51)/(P$54)),IF(AND(Results!$E$4="Cells",Results!$E$5="Million",$B$52="million"),((P28*P$51)/(P$52)),"0")))))</f>
        <v>0</v>
      </c>
      <c r="Q81" s="20">
        <f>IF(Q28=0,"0",IF(AND(Results!$E$5="Protein",$C$53&gt;0,OR(Results!$E$4="Tissue",Results!$E$4="Cells")),((Q28*Q$51)/(Q$53)),IF(AND(Results!$E$5="Weight",$C$52&gt;0, Results!$E$4="Tissue",OR($B$52="g",$B$52="mg")),((Q28*Q$51)/(Q$52)),IF(AND(Results!$E$5="Volume",$C$54&gt;0,Results!$E$4="Fluid"),((Q28*Q$51)/(Q$54)),IF(AND(Results!$E$4="Cells",Results!$E$5="Million",$B$52="million"),((Q28*Q$51)/(Q$52)),"0")))))</f>
        <v>1.0959333333333334</v>
      </c>
      <c r="R81" s="20" t="str">
        <f>IF(R28=0,"0",IF(AND(Results!$E$5="Protein",$C$53&gt;0,OR(Results!$E$4="Tissue",Results!$E$4="Cells")),((R28*R$51)/(R$53)),IF(AND(Results!$E$5="Weight",$C$52&gt;0, Results!$E$4="Tissue",OR($B$52="g",$B$52="mg")),((R28*R$51)/(R$52)),IF(AND(Results!$E$5="Volume",$C$54&gt;0,Results!$E$4="Fluid"),((R28*R$51)/(R$54)),IF(AND(Results!$E$4="Cells",Results!$E$5="Million",$B$52="million"),((R28*R$51)/(R$52)),"0")))))</f>
        <v>0</v>
      </c>
      <c r="S81" s="20">
        <f>IF(S28=0,"0",IF(AND(Results!$E$5="Protein",$C$53&gt;0,OR(Results!$E$4="Tissue",Results!$E$4="Cells")),((S28*S$51)/(S$53)),IF(AND(Results!$E$5="Weight",$C$52&gt;0, Results!$E$4="Tissue",OR($B$52="g",$B$52="mg")),((S28*S$51)/(S$52)),IF(AND(Results!$E$5="Volume",$C$54&gt;0,Results!$E$4="Fluid"),((S28*S$51)/(S$54)),IF(AND(Results!$E$4="Cells",Results!$E$5="Million",$B$52="million"),((S28*S$51)/(S$52)),"0")))))</f>
        <v>0.95136666666666658</v>
      </c>
      <c r="T81" s="20" t="str">
        <f>IF(T28=0,"0",IF(AND(Results!$E$5="Protein",$C$53&gt;0,OR(Results!$E$4="Tissue",Results!$E$4="Cells")),((T28*T$51)/(T$53)),IF(AND(Results!$E$5="Weight",$C$52&gt;0, Results!$E$4="Tissue",OR($B$52="g",$B$52="mg")),((T28*T$51)/(T$52)),IF(AND(Results!$E$5="Volume",$C$54&gt;0,Results!$E$4="Fluid"),((T28*T$51)/(T$54)),IF(AND(Results!$E$4="Cells",Results!$E$5="Million",$B$52="million"),((T28*T$51)/(T$52)),"0")))))</f>
        <v>0</v>
      </c>
      <c r="U81" s="20">
        <f>IF(U28=0,"0",IF(AND(Results!$E$5="Protein",$C$53&gt;0,OR(Results!$E$4="Tissue",Results!$E$4="Cells")),((U28*U$51)/(U$53)),IF(AND(Results!$E$5="Weight",$C$52&gt;0, Results!$E$4="Tissue",OR($B$52="g",$B$52="mg")),((U28*U$51)/(U$52)),IF(AND(Results!$E$5="Volume",$C$54&gt;0,Results!$E$4="Fluid"),((U28*U$51)/(U$54)),IF(AND(Results!$E$4="Cells",Results!$E$5="Million",$B$52="million"),((U28*U$51)/(U$52)),"0")))))</f>
        <v>3.9360166666666667</v>
      </c>
      <c r="V81" s="20" t="str">
        <f>IF(V28=0,"0",IF(AND(Results!$E$5="Protein",$C$53&gt;0,OR(Results!$E$4="Tissue",Results!$E$4="Cells")),((V28*V$51)/(V$53)),IF(AND(Results!$E$5="Weight",$C$52&gt;0, Results!$E$4="Tissue",OR($B$52="g",$B$52="mg")),((V28*V$51)/(V$52)),IF(AND(Results!$E$5="Volume",$C$54&gt;0,Results!$E$4="Fluid"),((V28*V$51)/(V$54)),IF(AND(Results!$E$4="Cells",Results!$E$5="Million",$B$52="million"),((V28*V$51)/(V$52)),"0")))))</f>
        <v>0</v>
      </c>
      <c r="W81" s="20" t="str">
        <f>IF(W28=0,"0",IF(AND(Results!$E$5="Protein",$C$53&gt;0,OR(Results!$E$4="Tissue",Results!$E$4="Cells")),((W28*W$51)/(W$53)),IF(AND(Results!$E$5="Weight",$C$52&gt;0, Results!$E$4="Tissue",OR($B$52="g",$B$52="mg")),((W28*W$51)/(W$52)),IF(AND(Results!$E$5="Volume",$C$54&gt;0,Results!$E$4="Fluid"),((W28*W$51)/(W$54)),IF(AND(Results!$E$4="Cells",Results!$E$5="Million",$B$52="million"),((W28*W$51)/(W$52)),"0")))))</f>
        <v>0</v>
      </c>
      <c r="X81" s="20" t="str">
        <f>IF(X28=0,"0",IF(AND(Results!$E$5="Protein",$C$53&gt;0,OR(Results!$E$4="Tissue",Results!$E$4="Cells")),((X28*X$51)/(X$53)),IF(AND(Results!$E$5="Weight",$C$52&gt;0, Results!$E$4="Tissue",OR($B$52="g",$B$52="mg")),((X28*X$51)/(X$52)),IF(AND(Results!$E$5="Volume",$C$54&gt;0,Results!$E$4="Fluid"),((X28*X$51)/(X$54)),IF(AND(Results!$E$4="Cells",Results!$E$5="Million",$B$52="million"),((X28*X$51)/(X$52)),"0")))))</f>
        <v>0</v>
      </c>
      <c r="Y81" s="20">
        <f>IF(Y28=0,"0",IF(AND(Results!$E$5="Protein",$C$53&gt;0,OR(Results!$E$4="Tissue",Results!$E$4="Cells")),((Y28*Y$51)/(Y$53)),IF(AND(Results!$E$5="Weight",$C$52&gt;0, Results!$E$4="Tissue",OR($B$52="g",$B$52="mg")),((Y28*Y$51)/(Y$52)),IF(AND(Results!$E$5="Volume",$C$54&gt;0,Results!$E$4="Fluid"),((Y28*Y$51)/(Y$54)),IF(AND(Results!$E$4="Cells",Results!$E$5="Million",$B$52="million"),((Y28*Y$51)/(Y$52)),"0")))))</f>
        <v>3.7842166666666666</v>
      </c>
      <c r="Z81" s="20" t="str">
        <f>IF(Z28=0,"0",IF(AND(Results!$E$5="Protein",$C$53&gt;0,OR(Results!$E$4="Tissue",Results!$E$4="Cells")),((Z28*Z$51)/(Z$53)),IF(AND(Results!$E$5="Weight",$C$52&gt;0, Results!$E$4="Tissue",OR($B$52="g",$B$52="mg")),((Z28*Z$51)/(Z$52)),IF(AND(Results!$E$5="Volume",$C$54&gt;0,Results!$E$4="Fluid"),((Z28*Z$51)/(Z$54)),IF(AND(Results!$E$4="Cells",Results!$E$5="Million",$B$52="million"),((Z28*Z$51)/(Z$52)),"0")))))</f>
        <v>0</v>
      </c>
      <c r="AA81" s="20">
        <f>IF(AA28=0,"0",IF(AND(Results!$E$5="Protein",$C$53&gt;0,OR(Results!$E$4="Tissue",Results!$E$4="Cells")),((AA28*AA$51)/(AA$53)),IF(AND(Results!$E$5="Weight",$C$52&gt;0, Results!$E$4="Tissue",OR($B$52="g",$B$52="mg")),((AA28*AA$51)/(AA$52)),IF(AND(Results!$E$5="Volume",$C$54&gt;0,Results!$E$4="Fluid"),((AA28*AA$51)/(AA$54)),IF(AND(Results!$E$4="Cells",Results!$E$5="Million",$B$52="million"),((AA28*AA$51)/(AA$52)),"0")))))</f>
        <v>1.2625</v>
      </c>
      <c r="AB81" s="20">
        <f>IF(AB28=0,"0",IF(AND(Results!$E$5="Protein",$C$53&gt;0,OR(Results!$E$4="Tissue",Results!$E$4="Cells")),((AB28*AB$51)/(AB$53)),IF(AND(Results!$E$5="Weight",$C$52&gt;0, Results!$E$4="Tissue",OR($B$52="g",$B$52="mg")),((AB28*AB$51)/(AB$52)),IF(AND(Results!$E$5="Volume",$C$54&gt;0,Results!$E$4="Fluid"),((AB28*AB$51)/(AB$54)),IF(AND(Results!$E$4="Cells",Results!$E$5="Million",$B$52="million"),((AB28*AB$51)/(AB$52)),"0")))))</f>
        <v>2.7008999999999999</v>
      </c>
      <c r="AC81" s="20">
        <f>IF(AC28=0,"0",IF(AND(Results!$E$5="Protein",$C$53&gt;0,OR(Results!$E$4="Tissue",Results!$E$4="Cells")),((AC28*AC$51)/(AC$53)),IF(AND(Results!$E$5="Weight",$C$52&gt;0, Results!$E$4="Tissue",OR($B$52="g",$B$52="mg")),((AC28*AC$51)/(AC$52)),IF(AND(Results!$E$5="Volume",$C$54&gt;0,Results!$E$4="Fluid"),((AC28*AC$51)/(AC$54)),IF(AND(Results!$E$4="Cells",Results!$E$5="Million",$B$52="million"),((AC28*AC$51)/(AC$52)),"0")))))</f>
        <v>8.3943500000000011</v>
      </c>
      <c r="AD81" s="20">
        <f>IF(AD28=0,"0",IF(AND(Results!$E$5="Protein",$C$53&gt;0,OR(Results!$E$4="Tissue",Results!$E$4="Cells")),((AD28*AD$51)/(AD$53)),IF(AND(Results!$E$5="Weight",$C$52&gt;0, Results!$E$4="Tissue",OR($B$52="g",$B$52="mg")),((AD28*AD$51)/(AD$52)),IF(AND(Results!$E$5="Volume",$C$54&gt;0,Results!$E$4="Fluid"),((AD28*AD$51)/(AD$54)),IF(AND(Results!$E$4="Cells",Results!$E$5="Million",$B$52="million"),((AD28*AD$51)/(AD$52)),"0")))))</f>
        <v>3.8487500000000003</v>
      </c>
      <c r="AE81" s="20" t="str">
        <f>IF(AE28=0,"0",IF(AND(Results!$E$5="Protein",$C$53&gt;0,OR(Results!$E$4="Tissue",Results!$E$4="Cells")),((AE28*AE$51)/(AE$53)),IF(AND(Results!$E$5="Weight",$C$52&gt;0, Results!$E$4="Tissue",OR($B$52="g",$B$52="mg")),((AE28*AE$51)/(AE$52)),IF(AND(Results!$E$5="Volume",$C$54&gt;0,Results!$E$4="Fluid"),((AE28*AE$51)/(AE$54)),IF(AND(Results!$E$4="Cells",Results!$E$5="Million",$B$52="million"),((AE28*AE$51)/(AE$52)),"0")))))</f>
        <v>0</v>
      </c>
      <c r="AF81" s="20" t="str">
        <f>IF(AF28=0,"0",IF(AND(Results!$E$5="Protein",$C$53&gt;0,OR(Results!$E$4="Tissue",Results!$E$4="Cells")),((AF28*AF$51)/(AF$53)),IF(AND(Results!$E$5="Weight",$C$52&gt;0, Results!$E$4="Tissue",OR($B$52="g",$B$52="mg")),((AF28*AF$51)/(AF$52)),IF(AND(Results!$E$5="Volume",$C$54&gt;0,Results!$E$4="Fluid"),((AF28*AF$51)/(AF$54)),IF(AND(Results!$E$4="Cells",Results!$E$5="Million",$B$52="million"),((AF28*AF$51)/(AF$52)),"0")))))</f>
        <v>0</v>
      </c>
      <c r="AG81" s="20">
        <f>IF(AG28=0,"0",IF(AND(Results!$E$5="Protein",$C$53&gt;0,OR(Results!$E$4="Tissue",Results!$E$4="Cells")),((AG28*AG$51)/(AG$53)),IF(AND(Results!$E$5="Weight",$C$52&gt;0, Results!$E$4="Tissue",OR($B$52="g",$B$52="mg")),((AG28*AG$51)/(AG$52)),IF(AND(Results!$E$5="Volume",$C$54&gt;0,Results!$E$4="Fluid"),((AG28*AG$51)/(AG$54)),IF(AND(Results!$E$4="Cells",Results!$E$5="Million",$B$52="million"),((AG28*AG$51)/(AG$52)),"0")))))</f>
        <v>2.4477500000000001</v>
      </c>
      <c r="AH81" s="20" t="str">
        <f>IF(AH28=0,"0",IF(AND(Results!$E$5="Protein",$C$53&gt;0,OR(Results!$E$4="Tissue",Results!$E$4="Cells")),((AH28*AH$51)/(AH$53)),IF(AND(Results!$E$5="Weight",$C$52&gt;0, Results!$E$4="Tissue",OR($B$52="g",$B$52="mg")),((AH28*AH$51)/(AH$52)),IF(AND(Results!$E$5="Volume",$C$54&gt;0,Results!$E$4="Fluid"),((AH28*AH$51)/(AH$54)),IF(AND(Results!$E$4="Cells",Results!$E$5="Million",$B$52="million"),((AH28*AH$51)/(AH$52)),"0")))))</f>
        <v>0</v>
      </c>
      <c r="AI81" s="20" t="str">
        <f>IF(AI28=0,"0",IF(AND(Results!$E$5="Protein",$C$53&gt;0,OR(Results!$E$4="Tissue",Results!$E$4="Cells")),((AI28*AI$51)/(AI$53)),IF(AND(Results!$E$5="Weight",$C$52&gt;0, Results!$E$4="Tissue",OR($B$52="g",$B$52="mg")),((AI28*AI$51)/(AI$52)),IF(AND(Results!$E$5="Volume",$C$54&gt;0,Results!$E$4="Fluid"),((AI28*AI$51)/(AI$54)),IF(AND(Results!$E$4="Cells",Results!$E$5="Million",$B$52="million"),((AI28*AI$51)/(AI$52)),"0")))))</f>
        <v>0</v>
      </c>
      <c r="AJ81" s="20" t="str">
        <f>IF(AJ28=0,"0",IF(AND(Results!$E$5="Protein",$C$53&gt;0,OR(Results!$E$4="Tissue",Results!$E$4="Cells")),((AJ28*AJ$51)/(AJ$53)),IF(AND(Results!$E$5="Weight",$C$52&gt;0, Results!$E$4="Tissue",OR($B$52="g",$B$52="mg")),((AJ28*AJ$51)/(AJ$52)),IF(AND(Results!$E$5="Volume",$C$54&gt;0,Results!$E$4="Fluid"),((AJ28*AJ$51)/(AJ$54)),IF(AND(Results!$E$4="Cells",Results!$E$5="Million",$B$52="million"),((AJ28*AJ$51)/(AJ$52)),"0")))))</f>
        <v>0</v>
      </c>
      <c r="AK81" s="20">
        <f>IF(AK28=0,"0",IF(AND(Results!$E$5="Protein",$C$53&gt;0,OR(Results!$E$4="Tissue",Results!$E$4="Cells")),((AK28*AK$51)/(AK$53)),IF(AND(Results!$E$5="Weight",$C$52&gt;0, Results!$E$4="Tissue",OR($B$52="g",$B$52="mg")),((AK28*AK$51)/(AK$52)),IF(AND(Results!$E$5="Volume",$C$54&gt;0,Results!$E$4="Fluid"),((AK28*AK$51)/(AK$54)),IF(AND(Results!$E$4="Cells",Results!$E$5="Million",$B$52="million"),((AK28*AK$51)/(AK$52)),"0")))))</f>
        <v>2.4838</v>
      </c>
      <c r="AL81" s="20" t="str">
        <f>IF(AL28=0,"0",IF(AND(Results!$E$5="Protein",$C$53&gt;0,OR(Results!$E$4="Tissue",Results!$E$4="Cells")),((AL28*AL$51)/(AL$53)),IF(AND(Results!$E$5="Weight",$C$52&gt;0, Results!$E$4="Tissue",OR($B$52="g",$B$52="mg")),((AL28*AL$51)/(AL$52)),IF(AND(Results!$E$5="Volume",$C$54&gt;0,Results!$E$4="Fluid"),((AL28*AL$51)/(AL$54)),IF(AND(Results!$E$4="Cells",Results!$E$5="Million",$B$52="million"),((AL28*AL$51)/(AL$52)),"0")))))</f>
        <v>0</v>
      </c>
      <c r="AM81" s="20" t="str">
        <f>IF(AM28=0,"0",IF(AND(Results!$E$5="Protein",$C$53&gt;0,OR(Results!$E$4="Tissue",Results!$E$4="Cells")),((AM28*AM$51)/(AM$53)),IF(AND(Results!$E$5="Weight",$C$52&gt;0, Results!$E$4="Tissue",OR($B$52="g",$B$52="mg")),((AM28*AM$51)/(AM$52)),IF(AND(Results!$E$5="Volume",$C$54&gt;0,Results!$E$4="Fluid"),((AM28*AM$51)/(AM$54)),IF(AND(Results!$E$4="Cells",Results!$E$5="Million",$B$52="million"),((AM28*AM$51)/(AM$52)),"0")))))</f>
        <v>0</v>
      </c>
      <c r="AN81" s="20">
        <f>IF(AN28=0,"0",IF(AND(Results!$E$5="Protein",$C$53&gt;0,OR(Results!$E$4="Tissue",Results!$E$4="Cells")),((AN28*AN$51)/(AN$53)),IF(AND(Results!$E$5="Weight",$C$52&gt;0, Results!$E$4="Tissue",OR($B$52="g",$B$52="mg")),((AN28*AN$51)/(AN$52)),IF(AND(Results!$E$5="Volume",$C$54&gt;0,Results!$E$4="Fluid"),((AN28*AN$51)/(AN$54)),IF(AND(Results!$E$4="Cells",Results!$E$5="Million",$B$52="million"),((AN28*AN$51)/(AN$52)),"0")))))</f>
        <v>7.1710166666666657</v>
      </c>
      <c r="AO81" s="20">
        <f>IF(AO28=0,"0",IF(AND(Results!$E$5="Protein",$C$53&gt;0,OR(Results!$E$4="Tissue",Results!$E$4="Cells")),((AO28*AO$51)/(AO$53)),IF(AND(Results!$E$5="Weight",$C$52&gt;0, Results!$E$4="Tissue",OR($B$52="g",$B$52="mg")),((AO28*AO$51)/(AO$52)),IF(AND(Results!$E$5="Volume",$C$54&gt;0,Results!$E$4="Fluid"),((AO28*AO$51)/(AO$54)),IF(AND(Results!$E$4="Cells",Results!$E$5="Million",$B$52="million"),((AO28*AO$51)/(AO$52)),"0")))))</f>
        <v>2.4753500000000002</v>
      </c>
      <c r="AP81" s="20" t="str">
        <f>IF(AP28=0,"0",IF(AND(Results!$E$5="Protein",$C$53&gt;0,OR(Results!$E$4="Tissue",Results!$E$4="Cells")),((AP28*AP$51)/(AP$53)),IF(AND(Results!$E$5="Weight",$C$52&gt;0, Results!$E$4="Tissue",OR($B$52="g",$B$52="mg")),((AP28*AP$51)/(AP$52)),IF(AND(Results!$E$5="Volume",$C$54&gt;0,Results!$E$4="Fluid"),((AP28*AP$51)/(AP$54)),IF(AND(Results!$E$4="Cells",Results!$E$5="Million",$B$52="million"),((AP28*AP$51)/(AP$52)),"0")))))</f>
        <v>0</v>
      </c>
      <c r="AQ81" s="20">
        <f>IF(AQ28=0,"0",IF(AND(Results!$E$5="Protein",$C$53&gt;0,OR(Results!$E$4="Tissue",Results!$E$4="Cells")),((AQ28*AQ$51)/(AQ$53)),IF(AND(Results!$E$5="Weight",$C$52&gt;0, Results!$E$4="Tissue",OR($B$52="g",$B$52="mg")),((AQ28*AQ$51)/(AQ$52)),IF(AND(Results!$E$5="Volume",$C$54&gt;0,Results!$E$4="Fluid"),((AQ28*AQ$51)/(AQ$54)),IF(AND(Results!$E$4="Cells",Results!$E$5="Million",$B$52="million"),((AQ28*AQ$51)/(AQ$52)),"0")))))</f>
        <v>1.2662499999999999</v>
      </c>
      <c r="AR81" s="20">
        <f>IF(AR28=0,"0",IF(AND(Results!$E$5="Protein",$C$53&gt;0,OR(Results!$E$4="Tissue",Results!$E$4="Cells")),((AR28*AR$51)/(AR$53)),IF(AND(Results!$E$5="Weight",$C$52&gt;0, Results!$E$4="Tissue",OR($B$52="g",$B$52="mg")),((AR28*AR$51)/(AR$52)),IF(AND(Results!$E$5="Volume",$C$54&gt;0,Results!$E$4="Fluid"),((AR28*AR$51)/(AR$54)),IF(AND(Results!$E$4="Cells",Results!$E$5="Million",$B$52="million"),((AR28*AR$51)/(AR$52)),"0")))))</f>
        <v>2.0163666666666669</v>
      </c>
      <c r="AS81" s="20" t="str">
        <f>IF(AS28=0,"0",IF(AND(Results!$E$5="Protein",$C$53&gt;0,OR(Results!$E$4="Tissue",Results!$E$4="Cells")),((AS28*AS$51)/(AS$53)),IF(AND(Results!$E$5="Weight",$C$52&gt;0, Results!$E$4="Tissue",OR($B$52="g",$B$52="mg")),((AS28*AS$51)/(AS$52)),IF(AND(Results!$E$5="Volume",$C$54&gt;0,Results!$E$4="Fluid"),((AS28*AS$51)/(AS$54)),IF(AND(Results!$E$4="Cells",Results!$E$5="Million",$B$52="million"),((AS28*AS$51)/(AS$52)),"0")))))</f>
        <v>0</v>
      </c>
      <c r="AT81" s="20" t="str">
        <f>IF(AT28=0,"0",IF(AND(Results!$E$5="Protein",$C$53&gt;0,OR(Results!$E$4="Tissue",Results!$E$4="Cells")),((AT28*AT$51)/(AT$53)),IF(AND(Results!$E$5="Weight",$C$52&gt;0, Results!$E$4="Tissue",OR($B$52="g",$B$52="mg")),((AT28*AT$51)/(AT$52)),IF(AND(Results!$E$5="Volume",$C$54&gt;0,Results!$E$4="Fluid"),((AT28*AT$51)/(AT$54)),IF(AND(Results!$E$4="Cells",Results!$E$5="Million",$B$52="million"),((AT28*AT$51)/(AT$52)),"0")))))</f>
        <v>0</v>
      </c>
      <c r="AU81" s="20">
        <f>IF(AU28=0,"0",IF(AND(Results!$E$5="Protein",$C$53&gt;0,OR(Results!$E$4="Tissue",Results!$E$4="Cells")),((AU28*AU$51)/(AU$53)),IF(AND(Results!$E$5="Weight",$C$52&gt;0, Results!$E$4="Tissue",OR($B$52="g",$B$52="mg")),((AU28*AU$51)/(AU$52)),IF(AND(Results!$E$5="Volume",$C$54&gt;0,Results!$E$4="Fluid"),((AU28*AU$51)/(AU$54)),IF(AND(Results!$E$4="Cells",Results!$E$5="Million",$B$52="million"),((AU28*AU$51)/(AU$52)),"0")))))</f>
        <v>1.4905200000000003</v>
      </c>
      <c r="AV81" s="20">
        <f>IF(AV28=0,"0",IF(AND(Results!$E$5="Protein",$C$53&gt;0,OR(Results!$E$4="Tissue",Results!$E$4="Cells")),((AV28*AV$51)/(AV$53)),IF(AND(Results!$E$5="Weight",$C$52&gt;0, Results!$E$4="Tissue",OR($B$52="g",$B$52="mg")),((AV28*AV$51)/(AV$52)),IF(AND(Results!$E$5="Volume",$C$54&gt;0,Results!$E$4="Fluid"),((AV28*AV$51)/(AV$54)),IF(AND(Results!$E$4="Cells",Results!$E$5="Million",$B$52="million"),((AV28*AV$51)/(AV$52)),"0")))))</f>
        <v>4.039159999999999</v>
      </c>
      <c r="AW81" s="20" t="str">
        <f>IF(AW28=0,"0",IF(AND(Results!$E$5="Protein",$C$53&gt;0,OR(Results!$E$4="Tissue",Results!$E$4="Cells")),((AW28*AW$51)/(AW$53)),IF(AND(Results!$E$5="Weight",$C$52&gt;0, Results!$E$4="Tissue",OR($B$52="g",$B$52="mg")),((AW28*AW$51)/(AW$52)),IF(AND(Results!$E$5="Volume",$C$54&gt;0,Results!$E$4="Fluid"),((AW28*AW$51)/(AW$54)),IF(AND(Results!$E$4="Cells",Results!$E$5="Million",$B$52="million"),((AW28*AW$51)/(AW$52)),"0")))))</f>
        <v>0</v>
      </c>
      <c r="AX81" s="20" t="str">
        <f>IF(AX28=0,"0",IF(AND(Results!$E$5="Protein",$C$53&gt;0,OR(Results!$E$4="Tissue",Results!$E$4="Cells")),((AX28*AX$51)/(AX$53)),IF(AND(Results!$E$5="Weight",$C$52&gt;0, Results!$E$4="Tissue",OR($B$52="g",$B$52="mg")),((AX28*AX$51)/(AX$52)),IF(AND(Results!$E$5="Volume",$C$54&gt;0,Results!$E$4="Fluid"),((AX28*AX$51)/(AX$54)),IF(AND(Results!$E$4="Cells",Results!$E$5="Million",$B$52="million"),((AX28*AX$51)/(AX$52)),"0")))))</f>
        <v>0</v>
      </c>
      <c r="AY81" s="20">
        <f>IF(AY28=0,"0",IF(AND(Results!$E$5="Protein",$C$53&gt;0,OR(Results!$E$4="Tissue",Results!$E$4="Cells")),((AY28*AY$51)/(AY$53)),IF(AND(Results!$E$5="Weight",$C$52&gt;0, Results!$E$4="Tissue",OR($B$52="g",$B$52="mg")),((AY28*AY$51)/(AY$52)),IF(AND(Results!$E$5="Volume",$C$54&gt;0,Results!$E$4="Fluid"),((AY28*AY$51)/(AY$54)),IF(AND(Results!$E$4="Cells",Results!$E$5="Million",$B$52="million"),((AY28*AY$51)/(AY$52)),"0")))))</f>
        <v>7.3167833333333334</v>
      </c>
      <c r="AZ81" s="20">
        <f>IF(AZ28=0,"0",IF(AND(Results!$E$5="Protein",$C$53&gt;0,OR(Results!$E$4="Tissue",Results!$E$4="Cells")),((AZ28*AZ$51)/(AZ$53)),IF(AND(Results!$E$5="Weight",$C$52&gt;0, Results!$E$4="Tissue",OR($B$52="g",$B$52="mg")),((AZ28*AZ$51)/(AZ$52)),IF(AND(Results!$E$5="Volume",$C$54&gt;0,Results!$E$4="Fluid"),((AZ28*AZ$51)/(AZ$54)),IF(AND(Results!$E$4="Cells",Results!$E$5="Million",$B$52="million"),((AZ28*AZ$51)/(AZ$52)),"0")))))</f>
        <v>1.3601166666666666</v>
      </c>
      <c r="BA81" s="20">
        <f>IF(BA28=0,"0",IF(AND(Results!$E$5="Protein",$C$53&gt;0,OR(Results!$E$4="Tissue",Results!$E$4="Cells")),((BA28*BA$51)/(BA$53)),IF(AND(Results!$E$5="Weight",$C$52&gt;0, Results!$E$4="Tissue",OR($B$52="g",$B$52="mg")),((BA28*BA$51)/(BA$52)),IF(AND(Results!$E$5="Volume",$C$54&gt;0,Results!$E$4="Fluid"),((BA28*BA$51)/(BA$54)),IF(AND(Results!$E$4="Cells",Results!$E$5="Million",$B$52="million"),((BA28*BA$51)/(BA$52)),"0")))))</f>
        <v>2.1952833333333333</v>
      </c>
      <c r="BB81" s="20">
        <f>IF(BB28=0,"0",IF(AND(Results!$E$5="Protein",$C$53&gt;0,OR(Results!$E$4="Tissue",Results!$E$4="Cells")),((BB28*BB$51)/(BB$53)),IF(AND(Results!$E$5="Weight",$C$52&gt;0, Results!$E$4="Tissue",OR($B$52="g",$B$52="mg")),((BB28*BB$51)/(BB$52)),IF(AND(Results!$E$5="Volume",$C$54&gt;0,Results!$E$4="Fluid"),((BB28*BB$51)/(BB$54)),IF(AND(Results!$E$4="Cells",Results!$E$5="Million",$B$52="million"),((BB28*BB$51)/(BB$52)),"0")))))</f>
        <v>0.51713333333333333</v>
      </c>
      <c r="BC81" s="20">
        <f>IF(BC28=0,"0",IF(AND(Results!$E$5="Protein",$C$53&gt;0,OR(Results!$E$4="Tissue",Results!$E$4="Cells")),((BC28*BC$51)/(BC$53)),IF(AND(Results!$E$5="Weight",$C$52&gt;0, Results!$E$4="Tissue",OR($B$52="g",$B$52="mg")),((BC28*BC$51)/(BC$52)),IF(AND(Results!$E$5="Volume",$C$54&gt;0,Results!$E$4="Fluid"),((BC28*BC$51)/(BC$54)),IF(AND(Results!$E$4="Cells",Results!$E$5="Million",$B$52="million"),((BC28*BC$51)/(BC$52)),"0")))))</f>
        <v>3.7424666666666666</v>
      </c>
      <c r="BD81" s="20">
        <f>IF(BD28=0,"0",IF(AND(Results!$E$5="Protein",$C$53&gt;0,OR(Results!$E$4="Tissue",Results!$E$4="Cells")),((BD28*BD$51)/(BD$53)),IF(AND(Results!$E$5="Weight",$C$52&gt;0, Results!$E$4="Tissue",OR($B$52="g",$B$52="mg")),((BD28*BD$51)/(BD$52)),IF(AND(Results!$E$5="Volume",$C$54&gt;0,Results!$E$4="Fluid"),((BD28*BD$51)/(BD$54)),IF(AND(Results!$E$4="Cells",Results!$E$5="Million",$B$52="million"),((BD28*BD$51)/(BD$52)),"0")))))</f>
        <v>8.8316000000000017</v>
      </c>
      <c r="BE81" s="20">
        <f>IF(BE28=0,"0",IF(AND(Results!$E$5="Protein",$C$53&gt;0,OR(Results!$E$4="Tissue",Results!$E$4="Cells")),((BE28*BE$51)/(BE$53)),IF(AND(Results!$E$5="Weight",$C$52&gt;0, Results!$E$4="Tissue",OR($B$52="g",$B$52="mg")),((BE28*BE$51)/(BE$52)),IF(AND(Results!$E$5="Volume",$C$54&gt;0,Results!$E$4="Fluid"),((BE28*BE$51)/(BE$54)),IF(AND(Results!$E$4="Cells",Results!$E$5="Million",$B$52="million"),((BE28*BE$51)/(BE$52)),"0")))))</f>
        <v>1.3700833333333333</v>
      </c>
      <c r="BF81" s="20" t="str">
        <f>IF(BF28=0,"0",IF(AND(Results!$E$5="Protein",$C$53&gt;0,OR(Results!$E$4="Tissue",Results!$E$4="Cells")),((BF28*BF$51)/(BF$53)),IF(AND(Results!$E$5="Weight",$C$52&gt;0, Results!$E$4="Tissue",OR($B$52="g",$B$52="mg")),((BF28*BF$51)/(BF$52)),IF(AND(Results!$E$5="Volume",$C$54&gt;0,Results!$E$4="Fluid"),((BF28*BF$51)/(BF$54)),IF(AND(Results!$E$4="Cells",Results!$E$5="Million",$B$52="million"),((BF28*BF$51)/(BF$52)),"0")))))</f>
        <v>0</v>
      </c>
      <c r="BG81" s="20" t="str">
        <f>IF(BG28=0,"0",IF(AND(Results!$E$5="Protein",$C$53&gt;0,OR(Results!$E$4="Tissue",Results!$E$4="Cells")),((BG28*BG$51)/(BG$53)),IF(AND(Results!$E$5="Weight",$C$52&gt;0, Results!$E$4="Tissue",OR($B$52="g",$B$52="mg")),((BG28*BG$51)/(BG$52)),IF(AND(Results!$E$5="Volume",$C$54&gt;0,Results!$E$4="Fluid"),((BG28*BG$51)/(BG$54)),IF(AND(Results!$E$4="Cells",Results!$E$5="Million",$B$52="million"),((BG28*BG$51)/(BG$52)),"0")))))</f>
        <v>0</v>
      </c>
      <c r="BH81" s="20">
        <f>IF(BH28=0,"0",IF(AND(Results!$E$5="Protein",$C$53&gt;0,OR(Results!$E$4="Tissue",Results!$E$4="Cells")),((BH28*BH$51)/(BH$53)),IF(AND(Results!$E$5="Weight",$C$52&gt;0, Results!$E$4="Tissue",OR($B$52="g",$B$52="mg")),((BH28*BH$51)/(BH$52)),IF(AND(Results!$E$5="Volume",$C$54&gt;0,Results!$E$4="Fluid"),((BH28*BH$51)/(BH$54)),IF(AND(Results!$E$4="Cells",Results!$E$5="Million",$B$52="million"),((BH28*BH$51)/(BH$52)),"0")))))</f>
        <v>5.0181166666666668</v>
      </c>
      <c r="BI81" s="20" t="str">
        <f>IF(BI28=0,"0",IF(AND(Results!$E$5="Protein",$C$53&gt;0,OR(Results!$E$4="Tissue",Results!$E$4="Cells")),((BI28*BI$51)/(BI$53)),IF(AND(Results!$E$5="Weight",$C$52&gt;0, Results!$E$4="Tissue",OR($B$52="g",$B$52="mg")),((BI28*BI$51)/(BI$52)),IF(AND(Results!$E$5="Volume",$C$54&gt;0,Results!$E$4="Fluid"),((BI28*BI$51)/(BI$54)),IF(AND(Results!$E$4="Cells",Results!$E$5="Million",$B$52="million"),((BI28*BI$51)/(BI$52)),"0")))))</f>
        <v>0</v>
      </c>
      <c r="BJ81" s="20">
        <f>IF(BJ28=0,"0",IF(AND(Results!$E$5="Protein",$C$53&gt;0,OR(Results!$E$4="Tissue",Results!$E$4="Cells")),((BJ28*BJ$51)/(BJ$53)),IF(AND(Results!$E$5="Weight",$C$52&gt;0, Results!$E$4="Tissue",OR($B$52="g",$B$52="mg")),((BJ28*BJ$51)/(BJ$52)),IF(AND(Results!$E$5="Volume",$C$54&gt;0,Results!$E$4="Fluid"),((BJ28*BJ$51)/(BJ$54)),IF(AND(Results!$E$4="Cells",Results!$E$5="Million",$B$52="million"),((BJ28*BJ$51)/(BJ$52)),"0")))))</f>
        <v>2.5586833333333336</v>
      </c>
      <c r="BK81" s="20">
        <f>IF(BK28=0,"0",IF(AND(Results!$E$5="Protein",$C$53&gt;0,OR(Results!$E$4="Tissue",Results!$E$4="Cells")),((BK28*BK$51)/(BK$53)),IF(AND(Results!$E$5="Weight",$C$52&gt;0, Results!$E$4="Tissue",OR($B$52="g",$B$52="mg")),((BK28*BK$51)/(BK$52)),IF(AND(Results!$E$5="Volume",$C$54&gt;0,Results!$E$4="Fluid"),((BK28*BK$51)/(BK$54)),IF(AND(Results!$E$4="Cells",Results!$E$5="Million",$B$52="million"),((BK28*BK$51)/(BK$52)),"0")))))</f>
        <v>10.336833333333335</v>
      </c>
      <c r="BL81" s="20">
        <f>IF(BL28=0,"0",IF(AND(Results!$E$5="Protein",$C$53&gt;0,OR(Results!$E$4="Tissue",Results!$E$4="Cells")),((BL28*BL$51)/(BL$53)),IF(AND(Results!$E$5="Weight",$C$52&gt;0, Results!$E$4="Tissue",OR($B$52="g",$B$52="mg")),((BL28*BL$51)/(BL$52)),IF(AND(Results!$E$5="Volume",$C$54&gt;0,Results!$E$4="Fluid"),((BL28*BL$51)/(BL$54)),IF(AND(Results!$E$4="Cells",Results!$E$5="Million",$B$52="million"),((BL28*BL$51)/(BL$52)),"0")))))</f>
        <v>8.0765333333333338</v>
      </c>
      <c r="BM81" s="20" t="str">
        <f>IF(BM28=0,"0",IF(AND(Results!$E$5="Protein",$C$53&gt;0,OR(Results!$E$4="Tissue",Results!$E$4="Cells")),((BM28*BM$51)/(BM$53)),IF(AND(Results!$E$5="Weight",$C$52&gt;0, Results!$E$4="Tissue",OR($B$52="g",$B$52="mg")),((BM28*BM$51)/(BM$52)),IF(AND(Results!$E$5="Volume",$C$54&gt;0,Results!$E$4="Fluid"),((BM28*BM$51)/(BM$54)),IF(AND(Results!$E$4="Cells",Results!$E$5="Million",$B$52="million"),((BM28*BM$51)/(BM$52)),"0")))))</f>
        <v>0</v>
      </c>
      <c r="BN81" s="20" t="str">
        <f>IF(BN28=0,"0",IF(AND(Results!$E$5="Protein",$C$53&gt;0,OR(Results!$E$4="Tissue",Results!$E$4="Cells")),((BN28*BN$51)/(BN$53)),IF(AND(Results!$E$5="Weight",$C$52&gt;0, Results!$E$4="Tissue",OR($B$52="g",$B$52="mg")),((BN28*BN$51)/(BN$52)),IF(AND(Results!$E$5="Volume",$C$54&gt;0,Results!$E$4="Fluid"),((BN28*BN$51)/(BN$54)),IF(AND(Results!$E$4="Cells",Results!$E$5="Million",$B$52="million"),((BN28*BN$51)/(BN$52)),"0")))))</f>
        <v>0</v>
      </c>
      <c r="BO81" s="20" t="str">
        <f>IF(BO28=0,"0",IF(AND(Results!$E$5="Protein",$C$53&gt;0,OR(Results!$E$4="Tissue",Results!$E$4="Cells")),((BO28*BO$51)/(BO$53)),IF(AND(Results!$E$5="Weight",$C$52&gt;0, Results!$E$4="Tissue",OR($B$52="g",$B$52="mg")),((BO28*BO$51)/(BO$52)),IF(AND(Results!$E$5="Volume",$C$54&gt;0,Results!$E$4="Fluid"),((BO28*BO$51)/(BO$54)),IF(AND(Results!$E$4="Cells",Results!$E$5="Million",$B$52="million"),((BO28*BO$51)/(BO$52)),"0")))))</f>
        <v>0</v>
      </c>
      <c r="BP81" s="20">
        <f>IF(BP28=0,"0",IF(AND(Results!$E$5="Protein",$C$53&gt;0,OR(Results!$E$4="Tissue",Results!$E$4="Cells")),((BP28*BP$51)/(BP$53)),IF(AND(Results!$E$5="Weight",$C$52&gt;0, Results!$E$4="Tissue",OR($B$52="g",$B$52="mg")),((BP28*BP$51)/(BP$52)),IF(AND(Results!$E$5="Volume",$C$54&gt;0,Results!$E$4="Fluid"),((BP28*BP$51)/(BP$54)),IF(AND(Results!$E$4="Cells",Results!$E$5="Million",$B$52="million"),((BP28*BP$51)/(BP$52)),"0")))))</f>
        <v>10.097916666666666</v>
      </c>
      <c r="BQ81" s="20" t="str">
        <f>IF(BQ28=0,"0",IF(AND(Results!$E$5="Protein",$C$53&gt;0,OR(Results!$E$4="Tissue",Results!$E$4="Cells")),((BQ28*BQ$51)/(BQ$53)),IF(AND(Results!$E$5="Weight",$C$52&gt;0, Results!$E$4="Tissue",OR($B$52="g",$B$52="mg")),((BQ28*BQ$51)/(BQ$52)),IF(AND(Results!$E$5="Volume",$C$54&gt;0,Results!$E$4="Fluid"),((BQ28*BQ$51)/(BQ$54)),IF(AND(Results!$E$4="Cells",Results!$E$5="Million",$B$52="million"),((BQ28*BQ$51)/(BQ$52)),"0")))))</f>
        <v>0</v>
      </c>
      <c r="BR81" s="20" t="str">
        <f>IF(BR28=0,"0",IF(AND(Results!$E$5="Protein",$C$53&gt;0,OR(Results!$E$4="Tissue",Results!$E$4="Cells")),((BR28*BR$51)/(BR$53)),IF(AND(Results!$E$5="Weight",$C$52&gt;0, Results!$E$4="Tissue",OR($B$52="g",$B$52="mg")),((BR28*BR$51)/(BR$52)),IF(AND(Results!$E$5="Volume",$C$54&gt;0,Results!$E$4="Fluid"),((BR28*BR$51)/(BR$54)),IF(AND(Results!$E$4="Cells",Results!$E$5="Million",$B$52="million"),((BR28*BR$51)/(BR$52)),"0")))))</f>
        <v>0</v>
      </c>
      <c r="BS81" s="20">
        <f>IF(BS28=0,"0",IF(AND(Results!$E$5="Protein",$C$53&gt;0,OR(Results!$E$4="Tissue",Results!$E$4="Cells")),((BS28*BS$51)/(BS$53)),IF(AND(Results!$E$5="Weight",$C$52&gt;0, Results!$E$4="Tissue",OR($B$52="g",$B$52="mg")),((BS28*BS$51)/(BS$52)),IF(AND(Results!$E$5="Volume",$C$54&gt;0,Results!$E$4="Fluid"),((BS28*BS$51)/(BS$54)),IF(AND(Results!$E$4="Cells",Results!$E$5="Million",$B$52="million"),((BS28*BS$51)/(BS$52)),"0")))))</f>
        <v>2.1078333333333332</v>
      </c>
      <c r="BT81" s="20" t="str">
        <f>IF(BT28=0,"0",IF(AND(Results!$E$5="Protein",$C$53&gt;0,OR(Results!$E$4="Tissue",Results!$E$4="Cells")),((BT28*BT$51)/(BT$53)),IF(AND(Results!$E$5="Weight",$C$52&gt;0, Results!$E$4="Tissue",OR($B$52="g",$B$52="mg")),((BT28*BT$51)/(BT$52)),IF(AND(Results!$E$5="Volume",$C$54&gt;0,Results!$E$4="Fluid"),((BT28*BT$51)/(BT$54)),IF(AND(Results!$E$4="Cells",Results!$E$5="Million",$B$52="million"),((BT28*BT$51)/(BT$52)),"0")))))</f>
        <v>0</v>
      </c>
      <c r="BU81" s="20" t="str">
        <f>IF(BU28=0,"0",IF(AND(Results!$E$5="Protein",$C$53&gt;0,OR(Results!$E$4="Tissue",Results!$E$4="Cells")),((BU28*BU$51)/(BU$53)),IF(AND(Results!$E$5="Weight",$C$52&gt;0, Results!$E$4="Tissue",OR($B$52="g",$B$52="mg")),((BU28*BU$51)/(BU$52)),IF(AND(Results!$E$5="Volume",$C$54&gt;0,Results!$E$4="Fluid"),((BU28*BU$51)/(BU$54)),IF(AND(Results!$E$4="Cells",Results!$E$5="Million",$B$52="million"),((BU28*BU$51)/(BU$52)),"0")))))</f>
        <v>0</v>
      </c>
      <c r="BV81" s="20" t="str">
        <f>IF(BV28=0,"0",IF(AND(Results!$E$5="Protein",$C$53&gt;0,OR(Results!$E$4="Tissue",Results!$E$4="Cells")),((BV28*BV$51)/(BV$53)),IF(AND(Results!$E$5="Weight",$C$52&gt;0, Results!$E$4="Tissue",OR($B$52="g",$B$52="mg")),((BV28*BV$51)/(BV$52)),IF(AND(Results!$E$5="Volume",$C$54&gt;0,Results!$E$4="Fluid"),((BV28*BV$51)/(BV$54)),IF(AND(Results!$E$4="Cells",Results!$E$5="Million",$B$52="million"),((BV28*BV$51)/(BV$52)),"0")))))</f>
        <v>0</v>
      </c>
      <c r="BW81" s="20">
        <f>IF(BW28=0,"0",IF(AND(Results!$E$5="Protein",$C$53&gt;0,OR(Results!$E$4="Tissue",Results!$E$4="Cells")),((BW28*BW$51)/(BW$53)),IF(AND(Results!$E$5="Weight",$C$52&gt;0, Results!$E$4="Tissue",OR($B$52="g",$B$52="mg")),((BW28*BW$51)/(BW$52)),IF(AND(Results!$E$5="Volume",$C$54&gt;0,Results!$E$4="Fluid"),((BW28*BW$51)/(BW$54)),IF(AND(Results!$E$4="Cells",Results!$E$5="Million",$B$52="million"),((BW28*BW$51)/(BW$52)),"0")))))</f>
        <v>2.4464166666666665</v>
      </c>
      <c r="BX81" s="20">
        <f>IF(BX28=0,"0",IF(AND(Results!$E$5="Protein",$C$53&gt;0,OR(Results!$E$4="Tissue",Results!$E$4="Cells")),((BX28*BX$51)/(BX$53)),IF(AND(Results!$E$5="Weight",$C$52&gt;0, Results!$E$4="Tissue",OR($B$52="g",$B$52="mg")),((BX28*BX$51)/(BX$52)),IF(AND(Results!$E$5="Volume",$C$54&gt;0,Results!$E$4="Fluid"),((BX28*BX$51)/(BX$54)),IF(AND(Results!$E$4="Cells",Results!$E$5="Million",$B$52="million"),((BX28*BX$51)/(BX$52)),"0")))))</f>
        <v>2.6590166666666666</v>
      </c>
      <c r="BY81" s="20" t="str">
        <f>IF(BY28=0,"0",IF(AND(Results!$E$5="Protein",$C$53&gt;0,OR(Results!$E$4="Tissue",Results!$E$4="Cells")),((BY28*BY$51)/(BY$53)),IF(AND(Results!$E$5="Weight",$C$52&gt;0, Results!$E$4="Tissue",OR($B$52="g",$B$52="mg")),((BY28*BY$51)/(BY$52)),IF(AND(Results!$E$5="Volume",$C$54&gt;0,Results!$E$4="Fluid"),((BY28*BY$51)/(BY$54)),IF(AND(Results!$E$4="Cells",Results!$E$5="Million",$B$52="million"),((BY28*BY$51)/(BY$52)),"0")))))</f>
        <v>0</v>
      </c>
      <c r="BZ81" s="20" t="str">
        <f>IF(BZ28=0,"0",IF(AND(Results!$E$5="Protein",$C$53&gt;0,OR(Results!$E$4="Tissue",Results!$E$4="Cells")),((BZ28*BZ$51)/(BZ$53)),IF(AND(Results!$E$5="Weight",$C$52&gt;0, Results!$E$4="Tissue",OR($B$52="g",$B$52="mg")),((BZ28*BZ$51)/(BZ$52)),IF(AND(Results!$E$5="Volume",$C$54&gt;0,Results!$E$4="Fluid"),((BZ28*BZ$51)/(BZ$54)),IF(AND(Results!$E$4="Cells",Results!$E$5="Million",$B$52="million"),((BZ28*BZ$51)/(BZ$52)),"0")))))</f>
        <v>0</v>
      </c>
      <c r="CA81" s="20" t="str">
        <f>IF(CA28=0,"0",IF(AND(Results!$E$5="Protein",$C$53&gt;0,OR(Results!$E$4="Tissue",Results!$E$4="Cells")),((CA28*CA$51)/(CA$53)),IF(AND(Results!$E$5="Weight",$C$52&gt;0, Results!$E$4="Tissue",OR($B$52="g",$B$52="mg")),((CA28*CA$51)/(CA$52)),IF(AND(Results!$E$5="Volume",$C$54&gt;0,Results!$E$4="Fluid"),((CA28*CA$51)/(CA$54)),IF(AND(Results!$E$4="Cells",Results!$E$5="Million",$B$52="million"),((CA28*CA$51)/(CA$52)),"0")))))</f>
        <v>0</v>
      </c>
      <c r="CB81" s="20">
        <f>IF(CB28=0,"0",IF(AND(Results!$E$5="Protein",$C$53&gt;0,OR(Results!$E$4="Tissue",Results!$E$4="Cells")),((CB28*CB$51)/(CB$53)),IF(AND(Results!$E$5="Weight",$C$52&gt;0, Results!$E$4="Tissue",OR($B$52="g",$B$52="mg")),((CB28*CB$51)/(CB$52)),IF(AND(Results!$E$5="Volume",$C$54&gt;0,Results!$E$4="Fluid"),((CB28*CB$51)/(CB$54)),IF(AND(Results!$E$4="Cells",Results!$E$5="Million",$B$52="million"),((CB28*CB$51)/(CB$52)),"0")))))</f>
        <v>2.1677833333333334</v>
      </c>
      <c r="CC81" s="20">
        <f>IF(CC28=0,"0",IF(AND(Results!$E$5="Protein",$C$53&gt;0,OR(Results!$E$4="Tissue",Results!$E$4="Cells")),((CC28*CC$51)/(CC$53)),IF(AND(Results!$E$5="Weight",$C$52&gt;0, Results!$E$4="Tissue",OR($B$52="g",$B$52="mg")),((CC28*CC$51)/(CC$52)),IF(AND(Results!$E$5="Volume",$C$54&gt;0,Results!$E$4="Fluid"),((CC28*CC$51)/(CC$54)),IF(AND(Results!$E$4="Cells",Results!$E$5="Million",$B$52="million"),((CC28*CC$51)/(CC$52)),"0")))))</f>
        <v>1.5627</v>
      </c>
      <c r="CD81" s="20">
        <f>IF(CD28=0,"0",IF(AND(Results!$E$5="Protein",$C$53&gt;0,OR(Results!$E$4="Tissue",Results!$E$4="Cells")),((CD28*CD$51)/(CD$53)),IF(AND(Results!$E$5="Weight",$C$52&gt;0, Results!$E$4="Tissue",OR($B$52="g",$B$52="mg")),((CD28*CD$51)/(CD$52)),IF(AND(Results!$E$5="Volume",$C$54&gt;0,Results!$E$4="Fluid"),((CD28*CD$51)/(CD$54)),IF(AND(Results!$E$4="Cells",Results!$E$5="Million",$B$52="million"),((CD28*CD$51)/(CD$52)),"0")))))</f>
        <v>1.0324333333333333</v>
      </c>
      <c r="CE81" s="20" t="str">
        <f>IF(CE28=0,"0",IF(AND(Results!$E$5="Protein",$C$53&gt;0,OR(Results!$E$4="Tissue",Results!$E$4="Cells")),((CE28*CE$51)/(CE$53)),IF(AND(Results!$E$5="Weight",$C$52&gt;0, Results!$E$4="Tissue",OR($B$52="g",$B$52="mg")),((CE28*CE$51)/(CE$52)),IF(AND(Results!$E$5="Volume",$C$54&gt;0,Results!$E$4="Fluid"),((CE28*CE$51)/(CE$54)),IF(AND(Results!$E$4="Cells",Results!$E$5="Million",$B$52="million"),((CE28*CE$51)/(CE$52)),"0")))))</f>
        <v>0</v>
      </c>
      <c r="CF81" s="20">
        <f>IF(CF28=0,"0",IF(AND(Results!$E$5="Protein",$C$53&gt;0,OR(Results!$E$4="Tissue",Results!$E$4="Cells")),((CF28*CF$51)/(CF$53)),IF(AND(Results!$E$5="Weight",$C$52&gt;0, Results!$E$4="Tissue",OR($B$52="g",$B$52="mg")),((CF28*CF$51)/(CF$52)),IF(AND(Results!$E$5="Volume",$C$54&gt;0,Results!$E$4="Fluid"),((CF28*CF$51)/(CF$54)),IF(AND(Results!$E$4="Cells",Results!$E$5="Million",$B$52="million"),((CF28*CF$51)/(CF$52)),"0")))))</f>
        <v>0.81991666666666663</v>
      </c>
      <c r="CG81" s="20" t="str">
        <f>IF(CG28=0,"0",IF(AND(Results!$E$5="Protein",$C$53&gt;0,OR(Results!$E$4="Tissue",Results!$E$4="Cells")),((CG28*CG$51)/(CG$53)),IF(AND(Results!$E$5="Weight",$C$52&gt;0, Results!$E$4="Tissue",OR($B$52="g",$B$52="mg")),((CG28*CG$51)/(CG$52)),IF(AND(Results!$E$5="Volume",$C$54&gt;0,Results!$E$4="Fluid"),((CG28*CG$51)/(CG$54)),IF(AND(Results!$E$4="Cells",Results!$E$5="Million",$B$52="million"),((CG28*CG$51)/(CG$52)),"0")))))</f>
        <v>0</v>
      </c>
      <c r="CH81" s="20" t="str">
        <f>IF(CH28=0,"0",IF(AND(Results!$E$5="Protein",$C$53&gt;0,OR(Results!$E$4="Tissue",Results!$E$4="Cells")),((CH28*CH$51)/(CH$53)),IF(AND(Results!$E$5="Weight",$C$52&gt;0, Results!$E$4="Tissue",OR($B$52="g",$B$52="mg")),((CH28*CH$51)/(CH$52)),IF(AND(Results!$E$5="Volume",$C$54&gt;0,Results!$E$4="Fluid"),((CH28*CH$51)/(CH$54)),IF(AND(Results!$E$4="Cells",Results!$E$5="Million",$B$52="million"),((CH28*CH$51)/(CH$52)),"0")))))</f>
        <v>0</v>
      </c>
      <c r="CI81" s="20">
        <f>IF(CI28=0,"0",IF(AND(Results!$E$5="Protein",$C$53&gt;0,OR(Results!$E$4="Tissue",Results!$E$4="Cells")),((CI28*CI$51)/(CI$53)),IF(AND(Results!$E$5="Weight",$C$52&gt;0, Results!$E$4="Tissue",OR($B$52="g",$B$52="mg")),((CI28*CI$51)/(CI$52)),IF(AND(Results!$E$5="Volume",$C$54&gt;0,Results!$E$4="Fluid"),((CI28*CI$51)/(CI$54)),IF(AND(Results!$E$4="Cells",Results!$E$5="Million",$B$52="million"),((CI28*CI$51)/(CI$52)),"0")))))</f>
        <v>7.6003666666666678</v>
      </c>
      <c r="CJ81" s="20" t="str">
        <f>IF(CJ28=0,"0",IF(AND(Results!$E$5="Protein",$C$53&gt;0,OR(Results!$E$4="Tissue",Results!$E$4="Cells")),((CJ28*CJ$51)/(CJ$53)),IF(AND(Results!$E$5="Weight",$C$52&gt;0, Results!$E$4="Tissue",OR($B$52="g",$B$52="mg")),((CJ28*CJ$51)/(CJ$52)),IF(AND(Results!$E$5="Volume",$C$54&gt;0,Results!$E$4="Fluid"),((CJ28*CJ$51)/(CJ$54)),IF(AND(Results!$E$4="Cells",Results!$E$5="Million",$B$52="million"),((CJ28*CJ$51)/(CJ$52)),"0")))))</f>
        <v>0</v>
      </c>
      <c r="CK81" s="20" t="str">
        <f>IF(CK28=0,"0",IF(AND(Results!$E$5="Protein",$C$53&gt;0,OR(Results!$E$4="Tissue",Results!$E$4="Cells")),((CK28*CK$51)/(CK$53)),IF(AND(Results!$E$5="Weight",$C$52&gt;0, Results!$E$4="Tissue",OR($B$52="g",$B$52="mg")),((CK28*CK$51)/(CK$52)),IF(AND(Results!$E$5="Volume",$C$54&gt;0,Results!$E$4="Fluid"),((CK28*CK$51)/(CK$54)),IF(AND(Results!$E$4="Cells",Results!$E$5="Million",$B$52="million"),((CK28*CK$51)/(CK$52)),"0")))))</f>
        <v>0</v>
      </c>
      <c r="CL81" s="20" t="str">
        <f>IF(CL28=0,"0",IF(AND(Results!$E$5="Protein",$C$53&gt;0,OR(Results!$E$4="Tissue",Results!$E$4="Cells")),((CL28*CL$51)/(CL$53)),IF(AND(Results!$E$5="Weight",$C$52&gt;0, Results!$E$4="Tissue",OR($B$52="g",$B$52="mg")),((CL28*CL$51)/(CL$52)),IF(AND(Results!$E$5="Volume",$C$54&gt;0,Results!$E$4="Fluid"),((CL28*CL$51)/(CL$54)),IF(AND(Results!$E$4="Cells",Results!$E$5="Million",$B$52="million"),((CL28*CL$51)/(CL$52)),"0")))))</f>
        <v>0</v>
      </c>
      <c r="CM81" s="20">
        <f>IF(CM28=0,"0",IF(AND(Results!$E$5="Protein",$C$53&gt;0,OR(Results!$E$4="Tissue",Results!$E$4="Cells")),((CM28*CM$51)/(CM$53)),IF(AND(Results!$E$5="Weight",$C$52&gt;0, Results!$E$4="Tissue",OR($B$52="g",$B$52="mg")),((CM28*CM$51)/(CM$52)),IF(AND(Results!$E$5="Volume",$C$54&gt;0,Results!$E$4="Fluid"),((CM28*CM$51)/(CM$54)),IF(AND(Results!$E$4="Cells",Results!$E$5="Million",$B$52="million"),((CM28*CM$51)/(CM$52)),"0")))))</f>
        <v>4.1228333333333333</v>
      </c>
      <c r="CN81" s="20">
        <f>IF(CN28=0,"0",IF(AND(Results!$E$5="Protein",$C$53&gt;0,OR(Results!$E$4="Tissue",Results!$E$4="Cells")),((CN28*CN$51)/(CN$53)),IF(AND(Results!$E$5="Weight",$C$52&gt;0, Results!$E$4="Tissue",OR($B$52="g",$B$52="mg")),((CN28*CN$51)/(CN$52)),IF(AND(Results!$E$5="Volume",$C$54&gt;0,Results!$E$4="Fluid"),((CN28*CN$51)/(CN$54)),IF(AND(Results!$E$4="Cells",Results!$E$5="Million",$B$52="million"),((CN28*CN$51)/(CN$52)),"0")))))</f>
        <v>3.6087166666666666</v>
      </c>
      <c r="CO81" s="20" t="str">
        <f>IF(CO28=0,"0",IF(AND(Results!$E$5="Protein",$C$53&gt;0,OR(Results!$E$4="Tissue",Results!$E$4="Cells")),((CO28*CO$51)/(CO$53)),IF(AND(Results!$E$5="Weight",$C$52&gt;0, Results!$E$4="Tissue",OR($B$52="g",$B$52="mg")),((CO28*CO$51)/(CO$52)),IF(AND(Results!$E$5="Volume",$C$54&gt;0,Results!$E$4="Fluid"),((CO28*CO$51)/(CO$54)),IF(AND(Results!$E$4="Cells",Results!$E$5="Million",$B$52="million"),((CO28*CO$51)/(CO$52)),"0")))))</f>
        <v>0</v>
      </c>
      <c r="CP81" s="20">
        <f>IF(CP28=0,"0",IF(AND(Results!$E$5="Protein",$C$53&gt;0,OR(Results!$E$4="Tissue",Results!$E$4="Cells")),((CP28*CP$51)/(CP$53)),IF(AND(Results!$E$5="Weight",$C$52&gt;0, Results!$E$4="Tissue",OR($B$52="g",$B$52="mg")),((CP28*CP$51)/(CP$52)),IF(AND(Results!$E$5="Volume",$C$54&gt;0,Results!$E$4="Fluid"),((CP28*CP$51)/(CP$54)),IF(AND(Results!$E$4="Cells",Results!$E$5="Million",$B$52="million"),((CP28*CP$51)/(CP$52)),"0")))))</f>
        <v>2.1637166666666667</v>
      </c>
      <c r="CQ81" s="20">
        <f>IF(CQ28=0,"0",IF(AND(Results!$E$5="Protein",$C$53&gt;0,OR(Results!$E$4="Tissue",Results!$E$4="Cells")),((CQ28*CQ$51)/(CQ$53)),IF(AND(Results!$E$5="Weight",$C$52&gt;0, Results!$E$4="Tissue",OR($B$52="g",$B$52="mg")),((CQ28*CQ$51)/(CQ$52)),IF(AND(Results!$E$5="Volume",$C$54&gt;0,Results!$E$4="Fluid"),((CQ28*CQ$51)/(CQ$54)),IF(AND(Results!$E$4="Cells",Results!$E$5="Million",$B$52="million"),((CQ28*CQ$51)/(CQ$52)),"0")))))</f>
        <v>2.3006666666666664</v>
      </c>
      <c r="CR81" s="20">
        <f>IF(CR28=0,"0",IF(AND(Results!$E$5="Protein",$C$53&gt;0,OR(Results!$E$4="Tissue",Results!$E$4="Cells")),((CR28*CR$51)/(CR$53)),IF(AND(Results!$E$5="Weight",$C$52&gt;0, Results!$E$4="Tissue",OR($B$52="g",$B$52="mg")),((CR28*CR$51)/(CR$52)),IF(AND(Results!$E$5="Volume",$C$54&gt;0,Results!$E$4="Fluid"),((CR28*CR$51)/(CR$54)),IF(AND(Results!$E$4="Cells",Results!$E$5="Million",$B$52="million"),((CR28*CR$51)/(CR$52)),"0")))))</f>
        <v>3.0596999999999999</v>
      </c>
      <c r="CS81" s="20">
        <f>IF(CS28=0,"0",IF(AND(Results!$E$5="Protein",$C$53&gt;0,OR(Results!$E$4="Tissue",Results!$E$4="Cells")),((CS28*CS$51)/(CS$53)),IF(AND(Results!$E$5="Weight",$C$52&gt;0, Results!$E$4="Tissue",OR($B$52="g",$B$52="mg")),((CS28*CS$51)/(CS$52)),IF(AND(Results!$E$5="Volume",$C$54&gt;0,Results!$E$4="Fluid"),((CS28*CS$51)/(CS$54)),IF(AND(Results!$E$4="Cells",Results!$E$5="Million",$B$52="million"),((CS28*CS$51)/(CS$52)),"0")))))</f>
        <v>1.27685</v>
      </c>
      <c r="CT81" s="20">
        <f>IF(CT28=0,"0",IF(AND(Results!$E$5="Protein",$C$53&gt;0,OR(Results!$E$4="Tissue",Results!$E$4="Cells")),((CT28*CT$51)/(CT$53)),IF(AND(Results!$E$5="Weight",$C$52&gt;0, Results!$E$4="Tissue",OR($B$52="g",$B$52="mg")),((CT28*CT$51)/(CT$52)),IF(AND(Results!$E$5="Volume",$C$54&gt;0,Results!$E$4="Fluid"),((CT28*CT$51)/(CT$54)),IF(AND(Results!$E$4="Cells",Results!$E$5="Million",$B$52="million"),((CT28*CT$51)/(CT$52)),"0")))))</f>
        <v>2.6612</v>
      </c>
      <c r="CU81" s="20">
        <f>IF(CU28=0,"0",IF(AND(Results!$E$5="Protein",$C$53&gt;0,OR(Results!$E$4="Tissue",Results!$E$4="Cells")),((CU28*CU$51)/(CU$53)),IF(AND(Results!$E$5="Weight",$C$52&gt;0, Results!$E$4="Tissue",OR($B$52="g",$B$52="mg")),((CU28*CU$51)/(CU$52)),IF(AND(Results!$E$5="Volume",$C$54&gt;0,Results!$E$4="Fluid"),((CU28*CU$51)/(CU$54)),IF(AND(Results!$E$4="Cells",Results!$E$5="Million",$B$52="million"),((CU28*CU$51)/(CU$52)),"0")))))</f>
        <v>4.6689999999999996</v>
      </c>
      <c r="CV81" s="20">
        <f>IF(CV28=0,"0",IF(AND(Results!$E$5="Protein",$C$53&gt;0,OR(Results!$E$4="Tissue",Results!$E$4="Cells")),((CV28*CV$51)/(CV$53)),IF(AND(Results!$E$5="Weight",$C$52&gt;0, Results!$E$4="Tissue",OR($B$52="g",$B$52="mg")),((CV28*CV$51)/(CV$52)),IF(AND(Results!$E$5="Volume",$C$54&gt;0,Results!$E$4="Fluid"),((CV28*CV$51)/(CV$54)),IF(AND(Results!$E$4="Cells",Results!$E$5="Million",$B$52="million"),((CV28*CV$51)/(CV$52)),"0")))))</f>
        <v>2.8646000000000003</v>
      </c>
      <c r="CW81" s="20" t="str">
        <f>IF(CW28=0,"0",IF(AND(Results!$E$5="Protein",$C$53&gt;0,OR(Results!$E$4="Tissue",Results!$E$4="Cells")),((CW28*CW$51)/(CW$53)),IF(AND(Results!$E$5="Weight",$C$52&gt;0, Results!$E$4="Tissue",OR($B$52="g",$B$52="mg")),((CW28*CW$51)/(CW$52)),IF(AND(Results!$E$5="Volume",$C$54&gt;0,Results!$E$4="Fluid"),((CW28*CW$51)/(CW$54)),IF(AND(Results!$E$4="Cells",Results!$E$5="Million",$B$52="million"),((CW28*CW$51)/(CW$52)),"0")))))</f>
        <v>0</v>
      </c>
      <c r="CX81" s="20">
        <f>IF(CX28=0,"0",IF(AND(Results!$E$5="Protein",$C$53&gt;0,OR(Results!$E$4="Tissue",Results!$E$4="Cells")),((CX28*CX$51)/(CX$53)),IF(AND(Results!$E$5="Weight",$C$52&gt;0, Results!$E$4="Tissue",OR($B$52="g",$B$52="mg")),((CX28*CX$51)/(CX$52)),IF(AND(Results!$E$5="Volume",$C$54&gt;0,Results!$E$4="Fluid"),((CX28*CX$51)/(CX$54)),IF(AND(Results!$E$4="Cells",Results!$E$5="Million",$B$52="million"),((CX28*CX$51)/(CX$52)),"0")))))</f>
        <v>0.62243333333333328</v>
      </c>
      <c r="CY81" s="20">
        <f>IF(CY28=0,"0",IF(AND(Results!$E$5="Protein",$C$53&gt;0,OR(Results!$E$4="Tissue",Results!$E$4="Cells")),((CY28*CY$51)/(CY$53)),IF(AND(Results!$E$5="Weight",$C$52&gt;0, Results!$E$4="Tissue",OR($B$52="g",$B$52="mg")),((CY28*CY$51)/(CY$52)),IF(AND(Results!$E$5="Volume",$C$54&gt;0,Results!$E$4="Fluid"),((CY28*CY$51)/(CY$54)),IF(AND(Results!$E$4="Cells",Results!$E$5="Million",$B$52="million"),((CY28*CY$51)/(CY$52)),"0")))))</f>
        <v>2.6598833333333336</v>
      </c>
      <c r="CZ81" s="20">
        <f>IF(CZ28=0,"0",IF(AND(Results!$E$5="Protein",$C$53&gt;0,OR(Results!$E$4="Tissue",Results!$E$4="Cells")),((CZ28*CZ$51)/(CZ$53)),IF(AND(Results!$E$5="Weight",$C$52&gt;0, Results!$E$4="Tissue",OR($B$52="g",$B$52="mg")),((CZ28*CZ$51)/(CZ$52)),IF(AND(Results!$E$5="Volume",$C$54&gt;0,Results!$E$4="Fluid"),((CZ28*CZ$51)/(CZ$54)),IF(AND(Results!$E$4="Cells",Results!$E$5="Million",$B$52="million"),((CZ28*CZ$51)/(CZ$52)),"0")))))</f>
        <v>1.0734833333333333</v>
      </c>
      <c r="DA81" s="20" t="str">
        <f>IF(DA28=0,"0",IF(AND(Results!$E$5="Protein",$C$53&gt;0,OR(Results!$E$4="Tissue",Results!$E$4="Cells")),((DA28*DA$51)/(DA$53)),IF(AND(Results!$E$5="Weight",$C$52&gt;0, Results!$E$4="Tissue",OR($B$52="g",$B$52="mg")),((DA28*DA$51)/(DA$52)),IF(AND(Results!$E$5="Volume",$C$54&gt;0,Results!$E$4="Fluid"),((DA28*DA$51)/(DA$54)),IF(AND(Results!$E$4="Cells",Results!$E$5="Million",$B$52="million"),((DA28*DA$51)/(DA$52)),"0")))))</f>
        <v>0</v>
      </c>
      <c r="DB81" s="20" t="str">
        <f>IF(DB28=0,"0",IF(AND(Results!$E$5="Protein",$C$53&gt;0,OR(Results!$E$4="Tissue",Results!$E$4="Cells")),((DB28*DB$51)/(DB$53)),IF(AND(Results!$E$5="Weight",$C$52&gt;0, Results!$E$4="Tissue",OR($B$52="g",$B$52="mg")),((DB28*DB$51)/(DB$52)),IF(AND(Results!$E$5="Volume",$C$54&gt;0,Results!$E$4="Fluid"),((DB28*DB$51)/(DB$54)),IF(AND(Results!$E$4="Cells",Results!$E$5="Million",$B$52="million"),((DB28*DB$51)/(DB$52)),"0")))))</f>
        <v>0</v>
      </c>
      <c r="DC81" s="20">
        <f>IF(DC28=0,"0",IF(AND(Results!$E$5="Protein",$C$53&gt;0,OR(Results!$E$4="Tissue",Results!$E$4="Cells")),((DC28*DC$51)/(DC$53)),IF(AND(Results!$E$5="Weight",$C$52&gt;0, Results!$E$4="Tissue",OR($B$52="g",$B$52="mg")),((DC28*DC$51)/(DC$52)),IF(AND(Results!$E$5="Volume",$C$54&gt;0,Results!$E$4="Fluid"),((DC28*DC$51)/(DC$54)),IF(AND(Results!$E$4="Cells",Results!$E$5="Million",$B$52="million"),((DC28*DC$51)/(DC$52)),"0")))))</f>
        <v>3.9828499999999996</v>
      </c>
      <c r="DD81" s="20">
        <f>IF(DD28=0,"0",IF(AND(Results!$E$5="Protein",$C$53&gt;0,OR(Results!$E$4="Tissue",Results!$E$4="Cells")),((DD28*DD$51)/(DD$53)),IF(AND(Results!$E$5="Weight",$C$52&gt;0, Results!$E$4="Tissue",OR($B$52="g",$B$52="mg")),((DD28*DD$51)/(DD$52)),IF(AND(Results!$E$5="Volume",$C$54&gt;0,Results!$E$4="Fluid"),((DD28*DD$51)/(DD$54)),IF(AND(Results!$E$4="Cells",Results!$E$5="Million",$B$52="million"),((DD28*DD$51)/(DD$52)),"0")))))</f>
        <v>9.4775166666666664</v>
      </c>
      <c r="DE81" s="20" t="str">
        <f>IF(DE28=0,"0",IF(AND(Results!$E$5="Protein",$C$53&gt;0,OR(Results!$E$4="Tissue",Results!$E$4="Cells")),((DE28*DE$51)/(DE$53)),IF(AND(Results!$E$5="Weight",$C$52&gt;0, Results!$E$4="Tissue",OR($B$52="g",$B$52="mg")),((DE28*DE$51)/(DE$52)),IF(AND(Results!$E$5="Volume",$C$54&gt;0,Results!$E$4="Fluid"),((DE28*DE$51)/(DE$54)),IF(AND(Results!$E$4="Cells",Results!$E$5="Million",$B$52="million"),((DE28*DE$51)/(DE$52)),"0")))))</f>
        <v>0</v>
      </c>
      <c r="DF81" s="20" t="str">
        <f>IF(DF28=0,"0",IF(AND(Results!$E$5="Protein",$C$53&gt;0,OR(Results!$E$4="Tissue",Results!$E$4="Cells")),((DF28*DF$51)/(DF$53)),IF(AND(Results!$E$5="Weight",$C$52&gt;0, Results!$E$4="Tissue",OR($B$52="g",$B$52="mg")),((DF28*DF$51)/(DF$52)),IF(AND(Results!$E$5="Volume",$C$54&gt;0,Results!$E$4="Fluid"),((DF28*DF$51)/(DF$54)),IF(AND(Results!$E$4="Cells",Results!$E$5="Million",$B$52="million"),((DF28*DF$51)/(DF$52)),"0")))))</f>
        <v>0</v>
      </c>
      <c r="DG81" s="20">
        <f>IF(DG28=0,"0",IF(AND(Results!$E$5="Protein",$C$53&gt;0,OR(Results!$E$4="Tissue",Results!$E$4="Cells")),((DG28*DG$51)/(DG$53)),IF(AND(Results!$E$5="Weight",$C$52&gt;0, Results!$E$4="Tissue",OR($B$52="g",$B$52="mg")),((DG28*DG$51)/(DG$52)),IF(AND(Results!$E$5="Volume",$C$54&gt;0,Results!$E$4="Fluid"),((DG28*DG$51)/(DG$54)),IF(AND(Results!$E$4="Cells",Results!$E$5="Million",$B$52="million"),((DG28*DG$51)/(DG$52)),"0")))))</f>
        <v>2.7706166666666667</v>
      </c>
      <c r="DH81" s="20">
        <f>IF(DH28=0,"0",IF(AND(Results!$E$5="Protein",$C$53&gt;0,OR(Results!$E$4="Tissue",Results!$E$4="Cells")),((DH28*DH$51)/(DH$53)),IF(AND(Results!$E$5="Weight",$C$52&gt;0, Results!$E$4="Tissue",OR($B$52="g",$B$52="mg")),((DH28*DH$51)/(DH$52)),IF(AND(Results!$E$5="Volume",$C$54&gt;0,Results!$E$4="Fluid"),((DH28*DH$51)/(DH$54)),IF(AND(Results!$E$4="Cells",Results!$E$5="Million",$B$52="million"),((DH28*DH$51)/(DH$52)),"0")))))</f>
        <v>1.4110333333333334</v>
      </c>
      <c r="DI81" s="20" t="str">
        <f>IF(DI28=0,"0",IF(AND(Results!$E$5="Protein",$C$53&gt;0,OR(Results!$E$4="Tissue",Results!$E$4="Cells")),((DI28*DI$51)/(DI$53)),IF(AND(Results!$E$5="Weight",$C$52&gt;0, Results!$E$4="Tissue",OR($B$52="g",$B$52="mg")),((DI28*DI$51)/(DI$52)),IF(AND(Results!$E$5="Volume",$C$54&gt;0,Results!$E$4="Fluid"),((DI28*DI$51)/(DI$54)),IF(AND(Results!$E$4="Cells",Results!$E$5="Million",$B$52="million"),((DI28*DI$51)/(DI$52)),"0")))))</f>
        <v>0</v>
      </c>
      <c r="DJ81" s="20">
        <f>IF(DJ28=0,"0",IF(AND(Results!$E$5="Protein",$C$53&gt;0,OR(Results!$E$4="Tissue",Results!$E$4="Cells")),((DJ28*DJ$51)/(DJ$53)),IF(AND(Results!$E$5="Weight",$C$52&gt;0, Results!$E$4="Tissue",OR($B$52="g",$B$52="mg")),((DJ28*DJ$51)/(DJ$52)),IF(AND(Results!$E$5="Volume",$C$54&gt;0,Results!$E$4="Fluid"),((DJ28*DJ$51)/(DJ$54)),IF(AND(Results!$E$4="Cells",Results!$E$5="Million",$B$52="million"),((DJ28*DJ$51)/(DJ$52)),"0")))))</f>
        <v>1.0654333333333335</v>
      </c>
      <c r="DK81" s="20">
        <f>IF(DK28=0,"0",IF(AND(Results!$E$5="Protein",$C$53&gt;0,OR(Results!$E$4="Tissue",Results!$E$4="Cells")),((DK28*DK$51)/(DK$53)),IF(AND(Results!$E$5="Weight",$C$52&gt;0, Results!$E$4="Tissue",OR($B$52="g",$B$52="mg")),((DK28*DK$51)/(DK$52)),IF(AND(Results!$E$5="Volume",$C$54&gt;0,Results!$E$4="Fluid"),((DK28*DK$51)/(DK$54)),IF(AND(Results!$E$4="Cells",Results!$E$5="Million",$B$52="million"),((DK28*DK$51)/(DK$52)),"0")))))</f>
        <v>1.8652666666666666</v>
      </c>
      <c r="DL81" s="20">
        <f>IF(DL28=0,"0",IF(AND(Results!$E$5="Protein",$C$53&gt;0,OR(Results!$E$4="Tissue",Results!$E$4="Cells")),((DL28*DL$51)/(DL$53)),IF(AND(Results!$E$5="Weight",$C$52&gt;0, Results!$E$4="Tissue",OR($B$52="g",$B$52="mg")),((DL28*DL$51)/(DL$52)),IF(AND(Results!$E$5="Volume",$C$54&gt;0,Results!$E$4="Fluid"),((DL28*DL$51)/(DL$54)),IF(AND(Results!$E$4="Cells",Results!$E$5="Million",$B$52="million"),((DL28*DL$51)/(DL$52)),"0")))))</f>
        <v>1.2272000000000001</v>
      </c>
      <c r="DM81" s="20">
        <f>IF(DM28=0,"0",IF(AND(Results!$E$5="Protein",$C$53&gt;0,OR(Results!$E$4="Tissue",Results!$E$4="Cells")),((DM28*DM$51)/(DM$53)),IF(AND(Results!$E$5="Weight",$C$52&gt;0, Results!$E$4="Tissue",OR($B$52="g",$B$52="mg")),((DM28*DM$51)/(DM$52)),IF(AND(Results!$E$5="Volume",$C$54&gt;0,Results!$E$4="Fluid"),((DM28*DM$51)/(DM$54)),IF(AND(Results!$E$4="Cells",Results!$E$5="Million",$B$52="million"),((DM28*DM$51)/(DM$52)),"0")))))</f>
        <v>3.7907500000000001</v>
      </c>
      <c r="DN81" s="20" t="str">
        <f>IF(DN28=0,"0",IF(AND(Results!$E$5="Protein",$C$53&gt;0,OR(Results!$E$4="Tissue",Results!$E$4="Cells")),((DN28*DN$51)/(DN$53)),IF(AND(Results!$E$5="Weight",$C$52&gt;0, Results!$E$4="Tissue",OR($B$52="g",$B$52="mg")),((DN28*DN$51)/(DN$52)),IF(AND(Results!$E$5="Volume",$C$54&gt;0,Results!$E$4="Fluid"),((DN28*DN$51)/(DN$54)),IF(AND(Results!$E$4="Cells",Results!$E$5="Million",$B$52="million"),((DN28*DN$51)/(DN$52)),"0")))))</f>
        <v>0</v>
      </c>
      <c r="DO81" s="20">
        <f>IF(DO28=0,"0",IF(AND(Results!$E$5="Protein",$C$53&gt;0,OR(Results!$E$4="Tissue",Results!$E$4="Cells")),((DO28*DO$51)/(DO$53)),IF(AND(Results!$E$5="Weight",$C$52&gt;0, Results!$E$4="Tissue",OR($B$52="g",$B$52="mg")),((DO28*DO$51)/(DO$52)),IF(AND(Results!$E$5="Volume",$C$54&gt;0,Results!$E$4="Fluid"),((DO28*DO$51)/(DO$54)),IF(AND(Results!$E$4="Cells",Results!$E$5="Million",$B$52="million"),((DO28*DO$51)/(DO$52)),"0")))))</f>
        <v>5.8945499999999997</v>
      </c>
      <c r="DP81" s="20" t="str">
        <f>IF(DP28=0,"0",IF(AND(Results!$E$5="Protein",$C$53&gt;0,OR(Results!$E$4="Tissue",Results!$E$4="Cells")),((DP28*DP$51)/(DP$53)),IF(AND(Results!$E$5="Weight",$C$52&gt;0, Results!$E$4="Tissue",OR($B$52="g",$B$52="mg")),((DP28*DP$51)/(DP$52)),IF(AND(Results!$E$5="Volume",$C$54&gt;0,Results!$E$4="Fluid"),((DP28*DP$51)/(DP$54)),IF(AND(Results!$E$4="Cells",Results!$E$5="Million",$B$52="million"),((DP28*DP$51)/(DP$52)),"0")))))</f>
        <v>0</v>
      </c>
      <c r="DQ81" s="20">
        <f>IF(DQ28=0,"0",IF(AND(Results!$E$5="Protein",$C$53&gt;0,OR(Results!$E$4="Tissue",Results!$E$4="Cells")),((DQ28*DQ$51)/(DQ$53)),IF(AND(Results!$E$5="Weight",$C$52&gt;0, Results!$E$4="Tissue",OR($B$52="g",$B$52="mg")),((DQ28*DQ$51)/(DQ$52)),IF(AND(Results!$E$5="Volume",$C$54&gt;0,Results!$E$4="Fluid"),((DQ28*DQ$51)/(DQ$54)),IF(AND(Results!$E$4="Cells",Results!$E$5="Million",$B$52="million"),((DQ28*DQ$51)/(DQ$52)),"0")))))</f>
        <v>2.0725666666666664</v>
      </c>
      <c r="DR81" s="20">
        <f>IF(DR28=0,"0",IF(AND(Results!$E$5="Protein",$C$53&gt;0,OR(Results!$E$4="Tissue",Results!$E$4="Cells")),((DR28*DR$51)/(DR$53)),IF(AND(Results!$E$5="Weight",$C$52&gt;0, Results!$E$4="Tissue",OR($B$52="g",$B$52="mg")),((DR28*DR$51)/(DR$52)),IF(AND(Results!$E$5="Volume",$C$54&gt;0,Results!$E$4="Fluid"),((DR28*DR$51)/(DR$54)),IF(AND(Results!$E$4="Cells",Results!$E$5="Million",$B$52="million"),((DR28*DR$51)/(DR$52)),"0")))))</f>
        <v>1.7430666666666665</v>
      </c>
      <c r="DS81" s="20">
        <f>IF(DS28=0,"0",IF(AND(Results!$E$5="Protein",$C$53&gt;0,OR(Results!$E$4="Tissue",Results!$E$4="Cells")),((DS28*DS$51)/(DS$53)),IF(AND(Results!$E$5="Weight",$C$52&gt;0, Results!$E$4="Tissue",OR($B$52="g",$B$52="mg")),((DS28*DS$51)/(DS$52)),IF(AND(Results!$E$5="Volume",$C$54&gt;0,Results!$E$4="Fluid"),((DS28*DS$51)/(DS$54)),IF(AND(Results!$E$4="Cells",Results!$E$5="Million",$B$52="million"),((DS28*DS$51)/(DS$52)),"0")))))</f>
        <v>3.7060833333333334</v>
      </c>
      <c r="DT81" s="20" t="str">
        <f>IF(DT28=0,"0",IF(AND(Results!$E$5="Protein",$C$53&gt;0,OR(Results!$E$4="Tissue",Results!$E$4="Cells")),((DT28*DT$51)/(DT$53)),IF(AND(Results!$E$5="Weight",$C$52&gt;0, Results!$E$4="Tissue",OR($B$52="g",$B$52="mg")),((DT28*DT$51)/(DT$52)),IF(AND(Results!$E$5="Volume",$C$54&gt;0,Results!$E$4="Fluid"),((DT28*DT$51)/(DT$54)),IF(AND(Results!$E$4="Cells",Results!$E$5="Million",$B$52="million"),((DT28*DT$51)/(DT$52)),"0")))))</f>
        <v>0</v>
      </c>
      <c r="DU81" s="20" t="str">
        <f>IF(DU28=0,"0",IF(AND(Results!$E$5="Protein",$C$53&gt;0,OR(Results!$E$4="Tissue",Results!$E$4="Cells")),((DU28*DU$51)/(DU$53)),IF(AND(Results!$E$5="Weight",$C$52&gt;0, Results!$E$4="Tissue",OR($B$52="g",$B$52="mg")),((DU28*DU$51)/(DU$52)),IF(AND(Results!$E$5="Volume",$C$54&gt;0,Results!$E$4="Fluid"),((DU28*DU$51)/(DU$54)),IF(AND(Results!$E$4="Cells",Results!$E$5="Million",$B$52="million"),((DU28*DU$51)/(DU$52)),"0")))))</f>
        <v>0</v>
      </c>
      <c r="DV81" s="20">
        <f>IF(DV28=0,"0",IF(AND(Results!$E$5="Protein",$C$53&gt;0,OR(Results!$E$4="Tissue",Results!$E$4="Cells")),((DV28*DV$51)/(DV$53)),IF(AND(Results!$E$5="Weight",$C$52&gt;0, Results!$E$4="Tissue",OR($B$52="g",$B$52="mg")),((DV28*DV$51)/(DV$52)),IF(AND(Results!$E$5="Volume",$C$54&gt;0,Results!$E$4="Fluid"),((DV28*DV$51)/(DV$54)),IF(AND(Results!$E$4="Cells",Results!$E$5="Million",$B$52="million"),((DV28*DV$51)/(DV$52)),"0")))))</f>
        <v>3.8067833333333332</v>
      </c>
      <c r="DW81" s="20">
        <f>IF(DW28=0,"0",IF(AND(Results!$E$5="Protein",$C$53&gt;0,OR(Results!$E$4="Tissue",Results!$E$4="Cells")),((DW28*DW$51)/(DW$53)),IF(AND(Results!$E$5="Weight",$C$52&gt;0, Results!$E$4="Tissue",OR($B$52="g",$B$52="mg")),((DW28*DW$51)/(DW$52)),IF(AND(Results!$E$5="Volume",$C$54&gt;0,Results!$E$4="Fluid"),((DW28*DW$51)/(DW$54)),IF(AND(Results!$E$4="Cells",Results!$E$5="Million",$B$52="million"),((DW28*DW$51)/(DW$52)),"0")))))</f>
        <v>4.7441500000000003</v>
      </c>
      <c r="DX81" s="20">
        <f>IF(DX28=0,"0",IF(AND(Results!$E$5="Protein",$C$53&gt;0,OR(Results!$E$4="Tissue",Results!$E$4="Cells")),((DX28*DX$51)/(DX$53)),IF(AND(Results!$E$5="Weight",$C$52&gt;0, Results!$E$4="Tissue",OR($B$52="g",$B$52="mg")),((DX28*DX$51)/(DX$52)),IF(AND(Results!$E$5="Volume",$C$54&gt;0,Results!$E$4="Fluid"),((DX28*DX$51)/(DX$54)),IF(AND(Results!$E$4="Cells",Results!$E$5="Million",$B$52="million"),((DX28*DX$51)/(DX$52)),"0")))))</f>
        <v>0.87983333333333336</v>
      </c>
      <c r="DY81" s="20" t="str">
        <f>IF(DY28=0,"0",IF(AND(Results!$E$5="Protein",$C$53&gt;0,OR(Results!$E$4="Tissue",Results!$E$4="Cells")),((DY28*DY$51)/(DY$53)),IF(AND(Results!$E$5="Weight",$C$52&gt;0, Results!$E$4="Tissue",OR($B$52="g",$B$52="mg")),((DY28*DY$51)/(DY$52)),IF(AND(Results!$E$5="Volume",$C$54&gt;0,Results!$E$4="Fluid"),((DY28*DY$51)/(DY$54)),IF(AND(Results!$E$4="Cells",Results!$E$5="Million",$B$52="million"),((DY28*DY$51)/(DY$52)),"0")))))</f>
        <v>0</v>
      </c>
      <c r="DZ81" s="20">
        <f>IF(DZ28=0,"0",IF(AND(Results!$E$5="Protein",$C$53&gt;0,OR(Results!$E$4="Tissue",Results!$E$4="Cells")),((DZ28*DZ$51)/(DZ$53)),IF(AND(Results!$E$5="Weight",$C$52&gt;0, Results!$E$4="Tissue",OR($B$52="g",$B$52="mg")),((DZ28*DZ$51)/(DZ$52)),IF(AND(Results!$E$5="Volume",$C$54&gt;0,Results!$E$4="Fluid"),((DZ28*DZ$51)/(DZ$54)),IF(AND(Results!$E$4="Cells",Results!$E$5="Million",$B$52="million"),((DZ28*DZ$51)/(DZ$52)),"0")))))</f>
        <v>0.7472833333333333</v>
      </c>
      <c r="EA81" s="20">
        <f>IF(EA28=0,"0",IF(AND(Results!$E$5="Protein",$C$53&gt;0,OR(Results!$E$4="Tissue",Results!$E$4="Cells")),((EA28*EA$51)/(EA$53)),IF(AND(Results!$E$5="Weight",$C$52&gt;0, Results!$E$4="Tissue",OR($B$52="g",$B$52="mg")),((EA28*EA$51)/(EA$52)),IF(AND(Results!$E$5="Volume",$C$54&gt;0,Results!$E$4="Fluid"),((EA28*EA$51)/(EA$54)),IF(AND(Results!$E$4="Cells",Results!$E$5="Million",$B$52="million"),((EA28*EA$51)/(EA$52)),"0")))))</f>
        <v>4.1116166666666665</v>
      </c>
      <c r="EB81" s="20">
        <f>IF(EB28=0,"0",IF(AND(Results!$E$5="Protein",$C$53&gt;0,OR(Results!$E$4="Tissue",Results!$E$4="Cells")),((EB28*EB$51)/(EB$53)),IF(AND(Results!$E$5="Weight",$C$52&gt;0, Results!$E$4="Tissue",OR($B$52="g",$B$52="mg")),((EB28*EB$51)/(EB$52)),IF(AND(Results!$E$5="Volume",$C$54&gt;0,Results!$E$4="Fluid"),((EB28*EB$51)/(EB$54)),IF(AND(Results!$E$4="Cells",Results!$E$5="Million",$B$52="million"),((EB28*EB$51)/(EB$52)),"0")))))</f>
        <v>3.2105833333333331</v>
      </c>
      <c r="EC81" s="20" t="str">
        <f>IF(EC28=0,"0",IF(AND(Results!$E$5="Protein",$C$53&gt;0,OR(Results!$E$4="Tissue",Results!$E$4="Cells")),((EC28*EC$51)/(EC$53)),IF(AND(Results!$E$5="Weight",$C$52&gt;0, Results!$E$4="Tissue",OR($B$52="g",$B$52="mg")),((EC28*EC$51)/(EC$52)),IF(AND(Results!$E$5="Volume",$C$54&gt;0,Results!$E$4="Fluid"),((EC28*EC$51)/(EC$54)),IF(AND(Results!$E$4="Cells",Results!$E$5="Million",$B$52="million"),((EC28*EC$51)/(EC$52)),"0")))))</f>
        <v>0</v>
      </c>
      <c r="ED81" s="20">
        <f>IF(ED28=0,"0",IF(AND(Results!$E$5="Protein",$C$53&gt;0,OR(Results!$E$4="Tissue",Results!$E$4="Cells")),((ED28*ED$51)/(ED$53)),IF(AND(Results!$E$5="Weight",$C$52&gt;0, Results!$E$4="Tissue",OR($B$52="g",$B$52="mg")),((ED28*ED$51)/(ED$52)),IF(AND(Results!$E$5="Volume",$C$54&gt;0,Results!$E$4="Fluid"),((ED28*ED$51)/(ED$54)),IF(AND(Results!$E$4="Cells",Results!$E$5="Million",$B$52="million"),((ED28*ED$51)/(ED$52)),"0")))))</f>
        <v>2.4615999999999998</v>
      </c>
      <c r="EE81" s="20">
        <f>IF(EE28=0,"0",IF(AND(Results!$E$5="Protein",$C$53&gt;0,OR(Results!$E$4="Tissue",Results!$E$4="Cells")),((EE28*EE$51)/(EE$53)),IF(AND(Results!$E$5="Weight",$C$52&gt;0, Results!$E$4="Tissue",OR($B$52="g",$B$52="mg")),((EE28*EE$51)/(EE$52)),IF(AND(Results!$E$5="Volume",$C$54&gt;0,Results!$E$4="Fluid"),((EE28*EE$51)/(EE$54)),IF(AND(Results!$E$4="Cells",Results!$E$5="Million",$B$52="million"),((EE28*EE$51)/(EE$52)),"0")))))</f>
        <v>0.39481666666666665</v>
      </c>
      <c r="EF81" s="20" t="str">
        <f>IF(EF28=0,"0",IF(AND(Results!$E$5="Protein",$C$53&gt;0,OR(Results!$E$4="Tissue",Results!$E$4="Cells")),((EF28*EF$51)/(EF$53)),IF(AND(Results!$E$5="Weight",$C$52&gt;0, Results!$E$4="Tissue",OR($B$52="g",$B$52="mg")),((EF28*EF$51)/(EF$52)),IF(AND(Results!$E$5="Volume",$C$54&gt;0,Results!$E$4="Fluid"),((EF28*EF$51)/(EF$54)),IF(AND(Results!$E$4="Cells",Results!$E$5="Million",$B$52="million"),((EF28*EF$51)/(EF$52)),"0")))))</f>
        <v>0</v>
      </c>
      <c r="EG81" s="20">
        <f>IF(EG28=0,"0",IF(AND(Results!$E$5="Protein",$C$53&gt;0,OR(Results!$E$4="Tissue",Results!$E$4="Cells")),((EG28*EG$51)/(EG$53)),IF(AND(Results!$E$5="Weight",$C$52&gt;0, Results!$E$4="Tissue",OR($B$52="g",$B$52="mg")),((EG28*EG$51)/(EG$52)),IF(AND(Results!$E$5="Volume",$C$54&gt;0,Results!$E$4="Fluid"),((EG28*EG$51)/(EG$54)),IF(AND(Results!$E$4="Cells",Results!$E$5="Million",$B$52="million"),((EG28*EG$51)/(EG$52)),"0")))))</f>
        <v>0.85196666666666654</v>
      </c>
      <c r="EH81" s="20">
        <f>IF(EH28=0,"0",IF(AND(Results!$E$5="Protein",$C$53&gt;0,OR(Results!$E$4="Tissue",Results!$E$4="Cells")),((EH28*EH$51)/(EH$53)),IF(AND(Results!$E$5="Weight",$C$52&gt;0, Results!$E$4="Tissue",OR($B$52="g",$B$52="mg")),((EH28*EH$51)/(EH$52)),IF(AND(Results!$E$5="Volume",$C$54&gt;0,Results!$E$4="Fluid"),((EH28*EH$51)/(EH$54)),IF(AND(Results!$E$4="Cells",Results!$E$5="Million",$B$52="million"),((EH28*EH$51)/(EH$52)),"0")))))</f>
        <v>0.68035000000000001</v>
      </c>
      <c r="EI81" s="20">
        <f>IF(EI28=0,"0",IF(AND(Results!$E$5="Protein",$C$53&gt;0,OR(Results!$E$4="Tissue",Results!$E$4="Cells")),((EI28*EI$51)/(EI$53)),IF(AND(Results!$E$5="Weight",$C$52&gt;0, Results!$E$4="Tissue",OR($B$52="g",$B$52="mg")),((EI28*EI$51)/(EI$52)),IF(AND(Results!$E$5="Volume",$C$54&gt;0,Results!$E$4="Fluid"),((EI28*EI$51)/(EI$54)),IF(AND(Results!$E$4="Cells",Results!$E$5="Million",$B$52="million"),((EI28*EI$51)/(EI$52)),"0")))))</f>
        <v>0.85123333333333329</v>
      </c>
      <c r="EJ81" s="20">
        <f>IF(EJ28=0,"0",IF(AND(Results!$E$5="Protein",$C$53&gt;0,OR(Results!$E$4="Tissue",Results!$E$4="Cells")),((EJ28*EJ$51)/(EJ$53)),IF(AND(Results!$E$5="Weight",$C$52&gt;0, Results!$E$4="Tissue",OR($B$52="g",$B$52="mg")),((EJ28*EJ$51)/(EJ$52)),IF(AND(Results!$E$5="Volume",$C$54&gt;0,Results!$E$4="Fluid"),((EJ28*EJ$51)/(EJ$54)),IF(AND(Results!$E$4="Cells",Results!$E$5="Million",$B$52="million"),((EJ28*EJ$51)/(EJ$52)),"0")))))</f>
        <v>1.4108166666666666</v>
      </c>
      <c r="EK81" s="20">
        <f>IF(EK28=0,"0",IF(AND(Results!$E$5="Protein",$C$53&gt;0,OR(Results!$E$4="Tissue",Results!$E$4="Cells")),((EK28*EK$51)/(EK$53)),IF(AND(Results!$E$5="Weight",$C$52&gt;0, Results!$E$4="Tissue",OR($B$52="g",$B$52="mg")),((EK28*EK$51)/(EK$52)),IF(AND(Results!$E$5="Volume",$C$54&gt;0,Results!$E$4="Fluid"),((EK28*EK$51)/(EK$54)),IF(AND(Results!$E$4="Cells",Results!$E$5="Million",$B$52="million"),((EK28*EK$51)/(EK$52)),"0")))))</f>
        <v>3.3922666666666665</v>
      </c>
      <c r="EL81" s="20" t="str">
        <f>IF(EL28=0,"0",IF(AND(Results!$E$5="Protein",$C$53&gt;0,OR(Results!$E$4="Tissue",Results!$E$4="Cells")),((EL28*EL$51)/(EL$53)),IF(AND(Results!$E$5="Weight",$C$52&gt;0, Results!$E$4="Tissue",OR($B$52="g",$B$52="mg")),((EL28*EL$51)/(EL$52)),IF(AND(Results!$E$5="Volume",$C$54&gt;0,Results!$E$4="Fluid"),((EL28*EL$51)/(EL$54)),IF(AND(Results!$E$4="Cells",Results!$E$5="Million",$B$52="million"),((EL28*EL$51)/(EL$52)),"0")))))</f>
        <v>0</v>
      </c>
      <c r="EM81" s="20">
        <f>IF(EM28=0,"0",IF(AND(Results!$E$5="Protein",$C$53&gt;0,OR(Results!$E$4="Tissue",Results!$E$4="Cells")),((EM28*EM$51)/(EM$53)),IF(AND(Results!$E$5="Weight",$C$52&gt;0, Results!$E$4="Tissue",OR($B$52="g",$B$52="mg")),((EM28*EM$51)/(EM$52)),IF(AND(Results!$E$5="Volume",$C$54&gt;0,Results!$E$4="Fluid"),((EM28*EM$51)/(EM$54)),IF(AND(Results!$E$4="Cells",Results!$E$5="Million",$B$52="million"),((EM28*EM$51)/(EM$52)),"0")))))</f>
        <v>2.3075999999999999</v>
      </c>
      <c r="EN81" s="20">
        <f>IF(EN28=0,"0",IF(AND(Results!$E$5="Protein",$C$53&gt;0,OR(Results!$E$4="Tissue",Results!$E$4="Cells")),((EN28*EN$51)/(EN$53)),IF(AND(Results!$E$5="Weight",$C$52&gt;0, Results!$E$4="Tissue",OR($B$52="g",$B$52="mg")),((EN28*EN$51)/(EN$52)),IF(AND(Results!$E$5="Volume",$C$54&gt;0,Results!$E$4="Fluid"),((EN28*EN$51)/(EN$54)),IF(AND(Results!$E$4="Cells",Results!$E$5="Million",$B$52="million"),((EN28*EN$51)/(EN$52)),"0")))))</f>
        <v>1.5876166666666667</v>
      </c>
      <c r="EO81" s="20" t="str">
        <f>IF(EO28=0,"0",IF(AND(Results!$E$5="Protein",$C$53&gt;0,OR(Results!$E$4="Tissue",Results!$E$4="Cells")),((EO28*EO$51)/(EO$53)),IF(AND(Results!$E$5="Weight",$C$52&gt;0, Results!$E$4="Tissue",OR($B$52="g",$B$52="mg")),((EO28*EO$51)/(EO$52)),IF(AND(Results!$E$5="Volume",$C$54&gt;0,Results!$E$4="Fluid"),((EO28*EO$51)/(EO$54)),IF(AND(Results!$E$4="Cells",Results!$E$5="Million",$B$52="million"),((EO28*EO$51)/(EO$52)),"0")))))</f>
        <v>0</v>
      </c>
      <c r="EP81" s="20" t="str">
        <f>IF(EP28=0,"0",IF(AND(Results!$E$5="Protein",$C$53&gt;0,OR(Results!$E$4="Tissue",Results!$E$4="Cells")),((EP28*EP$51)/(EP$53)),IF(AND(Results!$E$5="Weight",$C$52&gt;0, Results!$E$4="Tissue",OR($B$52="g",$B$52="mg")),((EP28*EP$51)/(EP$52)),IF(AND(Results!$E$5="Volume",$C$54&gt;0,Results!$E$4="Fluid"),((EP28*EP$51)/(EP$54)),IF(AND(Results!$E$4="Cells",Results!$E$5="Million",$B$52="million"),((EP28*EP$51)/(EP$52)),"0")))))</f>
        <v>0</v>
      </c>
      <c r="EQ81" s="20">
        <f>IF(EQ28=0,"0",IF(AND(Results!$E$5="Protein",$C$53&gt;0,OR(Results!$E$4="Tissue",Results!$E$4="Cells")),((EQ28*EQ$51)/(EQ$53)),IF(AND(Results!$E$5="Weight",$C$52&gt;0, Results!$E$4="Tissue",OR($B$52="g",$B$52="mg")),((EQ28*EQ$51)/(EQ$52)),IF(AND(Results!$E$5="Volume",$C$54&gt;0,Results!$E$4="Fluid"),((EQ28*EQ$51)/(EQ$54)),IF(AND(Results!$E$4="Cells",Results!$E$5="Million",$B$52="million"),((EQ28*EQ$51)/(EQ$52)),"0")))))</f>
        <v>6.3778833333333331</v>
      </c>
      <c r="ER81" s="20">
        <f>IF(ER28=0,"0",IF(AND(Results!$E$5="Protein",$C$53&gt;0,OR(Results!$E$4="Tissue",Results!$E$4="Cells")),((ER28*ER$51)/(ER$53)),IF(AND(Results!$E$5="Weight",$C$52&gt;0, Results!$E$4="Tissue",OR($B$52="g",$B$52="mg")),((ER28*ER$51)/(ER$52)),IF(AND(Results!$E$5="Volume",$C$54&gt;0,Results!$E$4="Fluid"),((ER28*ER$51)/(ER$54)),IF(AND(Results!$E$4="Cells",Results!$E$5="Million",$B$52="million"),((ER28*ER$51)/(ER$52)),"0")))))</f>
        <v>3.4591833333333333</v>
      </c>
      <c r="ES81" s="20">
        <f>IF(ES28=0,"0",IF(AND(Results!$E$5="Protein",$C$53&gt;0,OR(Results!$E$4="Tissue",Results!$E$4="Cells")),((ES28*ES$51)/(ES$53)),IF(AND(Results!$E$5="Weight",$C$52&gt;0, Results!$E$4="Tissue",OR($B$52="g",$B$52="mg")),((ES28*ES$51)/(ES$52)),IF(AND(Results!$E$5="Volume",$C$54&gt;0,Results!$E$4="Fluid"),((ES28*ES$51)/(ES$54)),IF(AND(Results!$E$4="Cells",Results!$E$5="Million",$B$52="million"),((ES28*ES$51)/(ES$52)),"0")))))</f>
        <v>3.4482499999999998</v>
      </c>
      <c r="ET81" s="20">
        <f>IF(ET28=0,"0",IF(AND(Results!$E$5="Protein",$C$53&gt;0,OR(Results!$E$4="Tissue",Results!$E$4="Cells")),((ET28*ET$51)/(ET$53)),IF(AND(Results!$E$5="Weight",$C$52&gt;0, Results!$E$4="Tissue",OR($B$52="g",$B$52="mg")),((ET28*ET$51)/(ET$52)),IF(AND(Results!$E$5="Volume",$C$54&gt;0,Results!$E$4="Fluid"),((ET28*ET$51)/(ET$54)),IF(AND(Results!$E$4="Cells",Results!$E$5="Million",$B$52="million"),((ET28*ET$51)/(ET$52)),"0")))))</f>
        <v>0.98724999999999996</v>
      </c>
      <c r="EU81" s="20">
        <f>IF(EU28=0,"0",IF(AND(Results!$E$5="Protein",$C$53&gt;0,OR(Results!$E$4="Tissue",Results!$E$4="Cells")),((EU28*EU$51)/(EU$53)),IF(AND(Results!$E$5="Weight",$C$52&gt;0, Results!$E$4="Tissue",OR($B$52="g",$B$52="mg")),((EU28*EU$51)/(EU$52)),IF(AND(Results!$E$5="Volume",$C$54&gt;0,Results!$E$4="Fluid"),((EU28*EU$51)/(EU$54)),IF(AND(Results!$E$4="Cells",Results!$E$5="Million",$B$52="million"),((EU28*EU$51)/(EU$52)),"0")))))</f>
        <v>10.427733333333332</v>
      </c>
      <c r="EV81" s="20">
        <f>IF(EV28=0,"0",IF(AND(Results!$E$5="Protein",$C$53&gt;0,OR(Results!$E$4="Tissue",Results!$E$4="Cells")),((EV28*EV$51)/(EV$53)),IF(AND(Results!$E$5="Weight",$C$52&gt;0, Results!$E$4="Tissue",OR($B$52="g",$B$52="mg")),((EV28*EV$51)/(EV$52)),IF(AND(Results!$E$5="Volume",$C$54&gt;0,Results!$E$4="Fluid"),((EV28*EV$51)/(EV$54)),IF(AND(Results!$E$4="Cells",Results!$E$5="Million",$B$52="million"),((EV28*EV$51)/(EV$52)),"0")))))</f>
        <v>1.2888500000000001</v>
      </c>
      <c r="EW81" s="20">
        <f>IF(EW28=0,"0",IF(AND(Results!$E$5="Protein",$C$53&gt;0,OR(Results!$E$4="Tissue",Results!$E$4="Cells")),((EW28*EW$51)/(EW$53)),IF(AND(Results!$E$5="Weight",$C$52&gt;0, Results!$E$4="Tissue",OR($B$52="g",$B$52="mg")),((EW28*EW$51)/(EW$52)),IF(AND(Results!$E$5="Volume",$C$54&gt;0,Results!$E$4="Fluid"),((EW28*EW$51)/(EW$54)),IF(AND(Results!$E$4="Cells",Results!$E$5="Million",$B$52="million"),((EW28*EW$51)/(EW$52)),"0")))))</f>
        <v>0.54178333333333339</v>
      </c>
      <c r="EX81" s="20">
        <f>IF(EX28=0,"0",IF(AND(Results!$E$5="Protein",$C$53&gt;0,OR(Results!$E$4="Tissue",Results!$E$4="Cells")),((EX28*EX$51)/(EX$53)),IF(AND(Results!$E$5="Weight",$C$52&gt;0, Results!$E$4="Tissue",OR($B$52="g",$B$52="mg")),((EX28*EX$51)/(EX$52)),IF(AND(Results!$E$5="Volume",$C$54&gt;0,Results!$E$4="Fluid"),((EX28*EX$51)/(EX$54)),IF(AND(Results!$E$4="Cells",Results!$E$5="Million",$B$52="million"),((EX28*EX$51)/(EX$52)),"0")))))</f>
        <v>7.1046166666666668</v>
      </c>
      <c r="EY81" s="20">
        <f>IF(EY28=0,"0",IF(AND(Results!$E$5="Protein",$C$53&gt;0,OR(Results!$E$4="Tissue",Results!$E$4="Cells")),((EY28*EY$51)/(EY$53)),IF(AND(Results!$E$5="Weight",$C$52&gt;0, Results!$E$4="Tissue",OR($B$52="g",$B$52="mg")),((EY28*EY$51)/(EY$52)),IF(AND(Results!$E$5="Volume",$C$54&gt;0,Results!$E$4="Fluid"),((EY28*EY$51)/(EY$54)),IF(AND(Results!$E$4="Cells",Results!$E$5="Million",$B$52="million"),((EY28*EY$51)/(EY$52)),"0")))))</f>
        <v>8.7318333333333324</v>
      </c>
      <c r="EZ81" s="20">
        <f>IF(EZ28=0,"0",IF(AND(Results!$E$5="Protein",$C$53&gt;0,OR(Results!$E$4="Tissue",Results!$E$4="Cells")),((EZ28*EZ$51)/(EZ$53)),IF(AND(Results!$E$5="Weight",$C$52&gt;0, Results!$E$4="Tissue",OR($B$52="g",$B$52="mg")),((EZ28*EZ$51)/(EZ$52)),IF(AND(Results!$E$5="Volume",$C$54&gt;0,Results!$E$4="Fluid"),((EZ28*EZ$51)/(EZ$54)),IF(AND(Results!$E$4="Cells",Results!$E$5="Million",$B$52="million"),((EZ28*EZ$51)/(EZ$52)),"0")))))</f>
        <v>2.6745333333333337</v>
      </c>
      <c r="FA81" s="20">
        <f>IF(FA28=0,"0",IF(AND(Results!$E$5="Protein",$C$53&gt;0,OR(Results!$E$4="Tissue",Results!$E$4="Cells")),((FA28*FA$51)/(FA$53)),IF(AND(Results!$E$5="Weight",$C$52&gt;0, Results!$E$4="Tissue",OR($B$52="g",$B$52="mg")),((FA28*FA$51)/(FA$52)),IF(AND(Results!$E$5="Volume",$C$54&gt;0,Results!$E$4="Fluid"),((FA28*FA$51)/(FA$54)),IF(AND(Results!$E$4="Cells",Results!$E$5="Million",$B$52="million"),((FA28*FA$51)/(FA$52)),"0")))))</f>
        <v>1.0346166666666667</v>
      </c>
      <c r="FB81" s="20" t="str">
        <f>IF(FB28=0,"0",IF(AND(Results!$E$5="Protein",$C$53&gt;0,OR(Results!$E$4="Tissue",Results!$E$4="Cells")),((FB28*FB$51)/(FB$53)),IF(AND(Results!$E$5="Weight",$C$52&gt;0, Results!$E$4="Tissue",OR($B$52="g",$B$52="mg")),((FB28*FB$51)/(FB$52)),IF(AND(Results!$E$5="Volume",$C$54&gt;0,Results!$E$4="Fluid"),((FB28*FB$51)/(FB$54)),IF(AND(Results!$E$4="Cells",Results!$E$5="Million",$B$52="million"),((FB28*FB$51)/(FB$52)),"0")))))</f>
        <v>0</v>
      </c>
      <c r="FC81" s="20">
        <f>IF(FC28=0,"0",IF(AND(Results!$E$5="Protein",$C$53&gt;0,OR(Results!$E$4="Tissue",Results!$E$4="Cells")),((FC28*FC$51)/(FC$53)),IF(AND(Results!$E$5="Weight",$C$52&gt;0, Results!$E$4="Tissue",OR($B$52="g",$B$52="mg")),((FC28*FC$51)/(FC$52)),IF(AND(Results!$E$5="Volume",$C$54&gt;0,Results!$E$4="Fluid"),((FC28*FC$51)/(FC$54)),IF(AND(Results!$E$4="Cells",Results!$E$5="Million",$B$52="million"),((FC28*FC$51)/(FC$52)),"0")))))</f>
        <v>2.4259666666666666</v>
      </c>
      <c r="FD81" s="20" t="str">
        <f>IF(FD28=0,"0",IF(AND(Results!$E$5="Protein",$C$53&gt;0,OR(Results!$E$4="Tissue",Results!$E$4="Cells")),((FD28*FD$51)/(FD$53)),IF(AND(Results!$E$5="Weight",$C$52&gt;0, Results!$E$4="Tissue",OR($B$52="g",$B$52="mg")),((FD28*FD$51)/(FD$52)),IF(AND(Results!$E$5="Volume",$C$54&gt;0,Results!$E$4="Fluid"),((FD28*FD$51)/(FD$54)),IF(AND(Results!$E$4="Cells",Results!$E$5="Million",$B$52="million"),((FD28*FD$51)/(FD$52)),"0")))))</f>
        <v>0</v>
      </c>
      <c r="FE81" s="20" t="str">
        <f>IF(FE28=0,"0",IF(AND(Results!$E$5="Protein",$C$53&gt;0,OR(Results!$E$4="Tissue",Results!$E$4="Cells")),((FE28*FE$51)/(FE$53)),IF(AND(Results!$E$5="Weight",$C$52&gt;0, Results!$E$4="Tissue",OR($B$52="g",$B$52="mg")),((FE28*FE$51)/(FE$52)),IF(AND(Results!$E$5="Volume",$C$54&gt;0,Results!$E$4="Fluid"),((FE28*FE$51)/(FE$54)),IF(AND(Results!$E$4="Cells",Results!$E$5="Million",$B$52="million"),((FE28*FE$51)/(FE$52)),"0")))))</f>
        <v>0</v>
      </c>
      <c r="FF81" s="20">
        <f>IF(FF28=0,"0",IF(AND(Results!$E$5="Protein",$C$53&gt;0,OR(Results!$E$4="Tissue",Results!$E$4="Cells")),((FF28*FF$51)/(FF$53)),IF(AND(Results!$E$5="Weight",$C$52&gt;0, Results!$E$4="Tissue",OR($B$52="g",$B$52="mg")),((FF28*FF$51)/(FF$52)),IF(AND(Results!$E$5="Volume",$C$54&gt;0,Results!$E$4="Fluid"),((FF28*FF$51)/(FF$54)),IF(AND(Results!$E$4="Cells",Results!$E$5="Million",$B$52="million"),((FF28*FF$51)/(FF$52)),"0")))))</f>
        <v>7.8145999999999995</v>
      </c>
      <c r="FG81" s="20">
        <f>IF(FG28=0,"0",IF(AND(Results!$E$5="Protein",$C$53&gt;0,OR(Results!$E$4="Tissue",Results!$E$4="Cells")),((FG28*FG$51)/(FG$53)),IF(AND(Results!$E$5="Weight",$C$52&gt;0, Results!$E$4="Tissue",OR($B$52="g",$B$52="mg")),((FG28*FG$51)/(FG$52)),IF(AND(Results!$E$5="Volume",$C$54&gt;0,Results!$E$4="Fluid"),((FG28*FG$51)/(FG$54)),IF(AND(Results!$E$4="Cells",Results!$E$5="Million",$B$52="million"),((FG28*FG$51)/(FG$52)),"0")))))</f>
        <v>1.7201333333333333</v>
      </c>
      <c r="FH81" s="20">
        <f>IF(FH28=0,"0",IF(AND(Results!$E$5="Protein",$C$53&gt;0,OR(Results!$E$4="Tissue",Results!$E$4="Cells")),((FH28*FH$51)/(FH$53)),IF(AND(Results!$E$5="Weight",$C$52&gt;0, Results!$E$4="Tissue",OR($B$52="g",$B$52="mg")),((FH28*FH$51)/(FH$52)),IF(AND(Results!$E$5="Volume",$C$54&gt;0,Results!$E$4="Fluid"),((FH28*FH$51)/(FH$54)),IF(AND(Results!$E$4="Cells",Results!$E$5="Million",$B$52="million"),((FH28*FH$51)/(FH$52)),"0")))))</f>
        <v>1.9694</v>
      </c>
      <c r="FI81" s="20">
        <f>IF(FI28=0,"0",IF(AND(Results!$E$5="Protein",$C$53&gt;0,OR(Results!$E$4="Tissue",Results!$E$4="Cells")),((FI28*FI$51)/(FI$53)),IF(AND(Results!$E$5="Weight",$C$52&gt;0, Results!$E$4="Tissue",OR($B$52="g",$B$52="mg")),((FI28*FI$51)/(FI$52)),IF(AND(Results!$E$5="Volume",$C$54&gt;0,Results!$E$4="Fluid"),((FI28*FI$51)/(FI$54)),IF(AND(Results!$E$4="Cells",Results!$E$5="Million",$B$52="million"),((FI28*FI$51)/(FI$52)),"0")))))</f>
        <v>2.1083500000000002</v>
      </c>
      <c r="FJ81" s="20">
        <f>IF(FJ28=0,"0",IF(AND(Results!$E$5="Protein",$C$53&gt;0,OR(Results!$E$4="Tissue",Results!$E$4="Cells")),((FJ28*FJ$51)/(FJ$53)),IF(AND(Results!$E$5="Weight",$C$52&gt;0, Results!$E$4="Tissue",OR($B$52="g",$B$52="mg")),((FJ28*FJ$51)/(FJ$52)),IF(AND(Results!$E$5="Volume",$C$54&gt;0,Results!$E$4="Fluid"),((FJ28*FJ$51)/(FJ$54)),IF(AND(Results!$E$4="Cells",Results!$E$5="Million",$B$52="million"),((FJ28*FJ$51)/(FJ$52)),"0")))))</f>
        <v>10.375333333333334</v>
      </c>
      <c r="FK81" s="20">
        <f>IF(FK28=0,"0",IF(AND(Results!$E$5="Protein",$C$53&gt;0,OR(Results!$E$4="Tissue",Results!$E$4="Cells")),((FK28*FK$51)/(FK$53)),IF(AND(Results!$E$5="Weight",$C$52&gt;0, Results!$E$4="Tissue",OR($B$52="g",$B$52="mg")),((FK28*FK$51)/(FK$52)),IF(AND(Results!$E$5="Volume",$C$54&gt;0,Results!$E$4="Fluid"),((FK28*FK$51)/(FK$54)),IF(AND(Results!$E$4="Cells",Results!$E$5="Million",$B$52="million"),((FK28*FK$51)/(FK$52)),"0")))))</f>
        <v>2.3200333333333334</v>
      </c>
      <c r="FL81" s="20">
        <f>IF(FL28=0,"0",IF(AND(Results!$E$5="Protein",$C$53&gt;0,OR(Results!$E$4="Tissue",Results!$E$4="Cells")),((FL28*FL$51)/(FL$53)),IF(AND(Results!$E$5="Weight",$C$52&gt;0, Results!$E$4="Tissue",OR($B$52="g",$B$52="mg")),((FL28*FL$51)/(FL$52)),IF(AND(Results!$E$5="Volume",$C$54&gt;0,Results!$E$4="Fluid"),((FL28*FL$51)/(FL$54)),IF(AND(Results!$E$4="Cells",Results!$E$5="Million",$B$52="million"),((FL28*FL$51)/(FL$52)),"0")))))</f>
        <v>1.8708</v>
      </c>
      <c r="FM81" s="20">
        <f>IF(FM28=0,"0",IF(AND(Results!$E$5="Protein",$C$53&gt;0,OR(Results!$E$4="Tissue",Results!$E$4="Cells")),((FM28*FM$51)/(FM$53)),IF(AND(Results!$E$5="Weight",$C$52&gt;0, Results!$E$4="Tissue",OR($B$52="g",$B$52="mg")),((FM28*FM$51)/(FM$52)),IF(AND(Results!$E$5="Volume",$C$54&gt;0,Results!$E$4="Fluid"),((FM28*FM$51)/(FM$54)),IF(AND(Results!$E$4="Cells",Results!$E$5="Million",$B$52="million"),((FM28*FM$51)/(FM$52)),"0")))))</f>
        <v>1.3322000000000001</v>
      </c>
      <c r="FN81" s="20" t="str">
        <f>IF(FN28=0,"0",IF(AND(Results!$E$5="Protein",$C$53&gt;0,OR(Results!$E$4="Tissue",Results!$E$4="Cells")),((FN28*FN$51)/(FN$53)),IF(AND(Results!$E$5="Weight",$C$52&gt;0, Results!$E$4="Tissue",OR($B$52="g",$B$52="mg")),((FN28*FN$51)/(FN$52)),IF(AND(Results!$E$5="Volume",$C$54&gt;0,Results!$E$4="Fluid"),((FN28*FN$51)/(FN$54)),IF(AND(Results!$E$4="Cells",Results!$E$5="Million",$B$52="million"),((FN28*FN$51)/(FN$52)),"0")))))</f>
        <v>0</v>
      </c>
      <c r="FO81" s="20">
        <f>IF(FO28=0,"0",IF(AND(Results!$E$5="Protein",$C$53&gt;0,OR(Results!$E$4="Tissue",Results!$E$4="Cells")),((FO28*FO$51)/(FO$53)),IF(AND(Results!$E$5="Weight",$C$52&gt;0, Results!$E$4="Tissue",OR($B$52="g",$B$52="mg")),((FO28*FO$51)/(FO$52)),IF(AND(Results!$E$5="Volume",$C$54&gt;0,Results!$E$4="Fluid"),((FO28*FO$51)/(FO$54)),IF(AND(Results!$E$4="Cells",Results!$E$5="Million",$B$52="million"),((FO28*FO$51)/(FO$52)),"0")))))</f>
        <v>2.4813666666666667</v>
      </c>
    </row>
    <row r="82" spans="1:171" x14ac:dyDescent="0.2">
      <c r="A82" s="120" t="str">
        <f t="shared" si="0"/>
        <v xml:space="preserve">11B-PGF2a </v>
      </c>
      <c r="B82" s="121"/>
      <c r="C82" s="20" t="str">
        <f>IF(C29=0,"0",IF(AND(Results!$E$5="Protein",$C$53&gt;0,OR(Results!$E$4="Tissue",Results!$E$4="Cells")),((C29*C$51)/(C$53)),IF(AND(Results!$E$5="Weight",$C$52&gt;0, Results!$E$4="Tissue",OR($B$52="g",$B$52="mg")),((C29*C$51)/(C$52)),IF(AND(Results!$E$5="Volume",$C$54&gt;0,Results!$E$4="Fluid"),((C29*C$51)/(C$54)),IF(AND(Results!$E$4="Cells",Results!$E$5="Million",$B$52="million"),((C29*C$51)/(C$52)),"0")))))</f>
        <v>0</v>
      </c>
      <c r="D82" s="20" t="str">
        <f>IF(D29=0,"0",IF(AND(Results!$E$5="Protein",$C$53&gt;0,OR(Results!$E$4="Tissue",Results!$E$4="Cells")),((D29*D$51)/(D$53)),IF(AND(Results!$E$5="Weight",$C$52&gt;0, Results!$E$4="Tissue",OR($B$52="g",$B$52="mg")),((D29*D$51)/(D$52)),IF(AND(Results!$E$5="Volume",$C$54&gt;0,Results!$E$4="Fluid"),((D29*D$51)/(D$54)),IF(AND(Results!$E$4="Cells",Results!$E$5="Million",$B$52="million"),((D29*D$51)/(D$52)),"0")))))</f>
        <v>0</v>
      </c>
      <c r="E82" s="20" t="str">
        <f>IF(E29=0,"0",IF(AND(Results!$E$5="Protein",$C$53&gt;0,OR(Results!$E$4="Tissue",Results!$E$4="Cells")),((E29*E$51)/(E$53)),IF(AND(Results!$E$5="Weight",$C$52&gt;0, Results!$E$4="Tissue",OR($B$52="g",$B$52="mg")),((E29*E$51)/(E$52)),IF(AND(Results!$E$5="Volume",$C$54&gt;0,Results!$E$4="Fluid"),((E29*E$51)/(E$54)),IF(AND(Results!$E$4="Cells",Results!$E$5="Million",$B$52="million"),((E29*E$51)/(E$52)),"0")))))</f>
        <v>0</v>
      </c>
      <c r="F82" s="20" t="str">
        <f>IF(F29=0,"0",IF(AND(Results!$E$5="Protein",$C$53&gt;0,OR(Results!$E$4="Tissue",Results!$E$4="Cells")),((F29*F$51)/(F$53)),IF(AND(Results!$E$5="Weight",$C$52&gt;0, Results!$E$4="Tissue",OR($B$52="g",$B$52="mg")),((F29*F$51)/(F$52)),IF(AND(Results!$E$5="Volume",$C$54&gt;0,Results!$E$4="Fluid"),((F29*F$51)/(F$54)),IF(AND(Results!$E$4="Cells",Results!$E$5="Million",$B$52="million"),((F29*F$51)/(F$52)),"0")))))</f>
        <v>0</v>
      </c>
      <c r="G82" s="20" t="str">
        <f>IF(G29=0,"0",IF(AND(Results!$E$5="Protein",$C$53&gt;0,OR(Results!$E$4="Tissue",Results!$E$4="Cells")),((G29*G$51)/(G$53)),IF(AND(Results!$E$5="Weight",$C$52&gt;0, Results!$E$4="Tissue",OR($B$52="g",$B$52="mg")),((G29*G$51)/(G$52)),IF(AND(Results!$E$5="Volume",$C$54&gt;0,Results!$E$4="Fluid"),((G29*G$51)/(G$54)),IF(AND(Results!$E$4="Cells",Results!$E$5="Million",$B$52="million"),((G29*G$51)/(G$52)),"0")))))</f>
        <v>0</v>
      </c>
      <c r="H82" s="20" t="str">
        <f>IF(H29=0,"0",IF(AND(Results!$E$5="Protein",$C$53&gt;0,OR(Results!$E$4="Tissue",Results!$E$4="Cells")),((H29*H$51)/(H$53)),IF(AND(Results!$E$5="Weight",$C$52&gt;0, Results!$E$4="Tissue",OR($B$52="g",$B$52="mg")),((H29*H$51)/(H$52)),IF(AND(Results!$E$5="Volume",$C$54&gt;0,Results!$E$4="Fluid"),((H29*H$51)/(H$54)),IF(AND(Results!$E$4="Cells",Results!$E$5="Million",$B$52="million"),((H29*H$51)/(H$52)),"0")))))</f>
        <v>0</v>
      </c>
      <c r="I82" s="20" t="str">
        <f>IF(I29=0,"0",IF(AND(Results!$E$5="Protein",$C$53&gt;0,OR(Results!$E$4="Tissue",Results!$E$4="Cells")),((I29*I$51)/(I$53)),IF(AND(Results!$E$5="Weight",$C$52&gt;0, Results!$E$4="Tissue",OR($B$52="g",$B$52="mg")),((I29*I$51)/(I$52)),IF(AND(Results!$E$5="Volume",$C$54&gt;0,Results!$E$4="Fluid"),((I29*I$51)/(I$54)),IF(AND(Results!$E$4="Cells",Results!$E$5="Million",$B$52="million"),((I29*I$51)/(I$52)),"0")))))</f>
        <v>0</v>
      </c>
      <c r="J82" s="20" t="str">
        <f>IF(J29=0,"0",IF(AND(Results!$E$5="Protein",$C$53&gt;0,OR(Results!$E$4="Tissue",Results!$E$4="Cells")),((J29*J$51)/(J$53)),IF(AND(Results!$E$5="Weight",$C$52&gt;0, Results!$E$4="Tissue",OR($B$52="g",$B$52="mg")),((J29*J$51)/(J$52)),IF(AND(Results!$E$5="Volume",$C$54&gt;0,Results!$E$4="Fluid"),((J29*J$51)/(J$54)),IF(AND(Results!$E$4="Cells",Results!$E$5="Million",$B$52="million"),((J29*J$51)/(J$52)),"0")))))</f>
        <v>0</v>
      </c>
      <c r="K82" s="20" t="str">
        <f>IF(K29=0,"0",IF(AND(Results!$E$5="Protein",$C$53&gt;0,OR(Results!$E$4="Tissue",Results!$E$4="Cells")),((K29*K$51)/(K$53)),IF(AND(Results!$E$5="Weight",$C$52&gt;0, Results!$E$4="Tissue",OR($B$52="g",$B$52="mg")),((K29*K$51)/(K$52)),IF(AND(Results!$E$5="Volume",$C$54&gt;0,Results!$E$4="Fluid"),((K29*K$51)/(K$54)),IF(AND(Results!$E$4="Cells",Results!$E$5="Million",$B$52="million"),((K29*K$51)/(K$52)),"0")))))</f>
        <v>0</v>
      </c>
      <c r="L82" s="20" t="str">
        <f>IF(L29=0,"0",IF(AND(Results!$E$5="Protein",$C$53&gt;0,OR(Results!$E$4="Tissue",Results!$E$4="Cells")),((L29*L$51)/(L$53)),IF(AND(Results!$E$5="Weight",$C$52&gt;0, Results!$E$4="Tissue",OR($B$52="g",$B$52="mg")),((L29*L$51)/(L$52)),IF(AND(Results!$E$5="Volume",$C$54&gt;0,Results!$E$4="Fluid"),((L29*L$51)/(L$54)),IF(AND(Results!$E$4="Cells",Results!$E$5="Million",$B$52="million"),((L29*L$51)/(L$52)),"0")))))</f>
        <v>0</v>
      </c>
      <c r="M82" s="20" t="str">
        <f>IF(M29=0,"0",IF(AND(Results!$E$5="Protein",$C$53&gt;0,OR(Results!$E$4="Tissue",Results!$E$4="Cells")),((M29*M$51)/(M$53)),IF(AND(Results!$E$5="Weight",$C$52&gt;0, Results!$E$4="Tissue",OR($B$52="g",$B$52="mg")),((M29*M$51)/(M$52)),IF(AND(Results!$E$5="Volume",$C$54&gt;0,Results!$E$4="Fluid"),((M29*M$51)/(M$54)),IF(AND(Results!$E$4="Cells",Results!$E$5="Million",$B$52="million"),((M29*M$51)/(M$52)),"0")))))</f>
        <v>0</v>
      </c>
      <c r="N82" s="20" t="str">
        <f>IF(N29=0,"0",IF(AND(Results!$E$5="Protein",$C$53&gt;0,OR(Results!$E$4="Tissue",Results!$E$4="Cells")),((N29*N$51)/(N$53)),IF(AND(Results!$E$5="Weight",$C$52&gt;0, Results!$E$4="Tissue",OR($B$52="g",$B$52="mg")),((N29*N$51)/(N$52)),IF(AND(Results!$E$5="Volume",$C$54&gt;0,Results!$E$4="Fluid"),((N29*N$51)/(N$54)),IF(AND(Results!$E$4="Cells",Results!$E$5="Million",$B$52="million"),((N29*N$51)/(N$52)),"0")))))</f>
        <v>0</v>
      </c>
      <c r="O82" s="20" t="str">
        <f>IF(O29=0,"0",IF(AND(Results!$E$5="Protein",$C$53&gt;0,OR(Results!$E$4="Tissue",Results!$E$4="Cells")),((O29*O$51)/(O$53)),IF(AND(Results!$E$5="Weight",$C$52&gt;0, Results!$E$4="Tissue",OR($B$52="g",$B$52="mg")),((O29*O$51)/(O$52)),IF(AND(Results!$E$5="Volume",$C$54&gt;0,Results!$E$4="Fluid"),((O29*O$51)/(O$54)),IF(AND(Results!$E$4="Cells",Results!$E$5="Million",$B$52="million"),((O29*O$51)/(O$52)),"0")))))</f>
        <v>0</v>
      </c>
      <c r="P82" s="20" t="str">
        <f>IF(P29=0,"0",IF(AND(Results!$E$5="Protein",$C$53&gt;0,OR(Results!$E$4="Tissue",Results!$E$4="Cells")),((P29*P$51)/(P$53)),IF(AND(Results!$E$5="Weight",$C$52&gt;0, Results!$E$4="Tissue",OR($B$52="g",$B$52="mg")),((P29*P$51)/(P$52)),IF(AND(Results!$E$5="Volume",$C$54&gt;0,Results!$E$4="Fluid"),((P29*P$51)/(P$54)),IF(AND(Results!$E$4="Cells",Results!$E$5="Million",$B$52="million"),((P29*P$51)/(P$52)),"0")))))</f>
        <v>0</v>
      </c>
      <c r="Q82" s="20" t="str">
        <f>IF(Q29=0,"0",IF(AND(Results!$E$5="Protein",$C$53&gt;0,OR(Results!$E$4="Tissue",Results!$E$4="Cells")),((Q29*Q$51)/(Q$53)),IF(AND(Results!$E$5="Weight",$C$52&gt;0, Results!$E$4="Tissue",OR($B$52="g",$B$52="mg")),((Q29*Q$51)/(Q$52)),IF(AND(Results!$E$5="Volume",$C$54&gt;0,Results!$E$4="Fluid"),((Q29*Q$51)/(Q$54)),IF(AND(Results!$E$4="Cells",Results!$E$5="Million",$B$52="million"),((Q29*Q$51)/(Q$52)),"0")))))</f>
        <v>0</v>
      </c>
      <c r="R82" s="20" t="str">
        <f>IF(R29=0,"0",IF(AND(Results!$E$5="Protein",$C$53&gt;0,OR(Results!$E$4="Tissue",Results!$E$4="Cells")),((R29*R$51)/(R$53)),IF(AND(Results!$E$5="Weight",$C$52&gt;0, Results!$E$4="Tissue",OR($B$52="g",$B$52="mg")),((R29*R$51)/(R$52)),IF(AND(Results!$E$5="Volume",$C$54&gt;0,Results!$E$4="Fluid"),((R29*R$51)/(R$54)),IF(AND(Results!$E$4="Cells",Results!$E$5="Million",$B$52="million"),((R29*R$51)/(R$52)),"0")))))</f>
        <v>0</v>
      </c>
      <c r="S82" s="20" t="str">
        <f>IF(S29=0,"0",IF(AND(Results!$E$5="Protein",$C$53&gt;0,OR(Results!$E$4="Tissue",Results!$E$4="Cells")),((S29*S$51)/(S$53)),IF(AND(Results!$E$5="Weight",$C$52&gt;0, Results!$E$4="Tissue",OR($B$52="g",$B$52="mg")),((S29*S$51)/(S$52)),IF(AND(Results!$E$5="Volume",$C$54&gt;0,Results!$E$4="Fluid"),((S29*S$51)/(S$54)),IF(AND(Results!$E$4="Cells",Results!$E$5="Million",$B$52="million"),((S29*S$51)/(S$52)),"0")))))</f>
        <v>0</v>
      </c>
      <c r="T82" s="20" t="str">
        <f>IF(T29=0,"0",IF(AND(Results!$E$5="Protein",$C$53&gt;0,OR(Results!$E$4="Tissue",Results!$E$4="Cells")),((T29*T$51)/(T$53)),IF(AND(Results!$E$5="Weight",$C$52&gt;0, Results!$E$4="Tissue",OR($B$52="g",$B$52="mg")),((T29*T$51)/(T$52)),IF(AND(Results!$E$5="Volume",$C$54&gt;0,Results!$E$4="Fluid"),((T29*T$51)/(T$54)),IF(AND(Results!$E$4="Cells",Results!$E$5="Million",$B$52="million"),((T29*T$51)/(T$52)),"0")))))</f>
        <v>0</v>
      </c>
      <c r="U82" s="20" t="str">
        <f>IF(U29=0,"0",IF(AND(Results!$E$5="Protein",$C$53&gt;0,OR(Results!$E$4="Tissue",Results!$E$4="Cells")),((U29*U$51)/(U$53)),IF(AND(Results!$E$5="Weight",$C$52&gt;0, Results!$E$4="Tissue",OR($B$52="g",$B$52="mg")),((U29*U$51)/(U$52)),IF(AND(Results!$E$5="Volume",$C$54&gt;0,Results!$E$4="Fluid"),((U29*U$51)/(U$54)),IF(AND(Results!$E$4="Cells",Results!$E$5="Million",$B$52="million"),((U29*U$51)/(U$52)),"0")))))</f>
        <v>0</v>
      </c>
      <c r="V82" s="20" t="str">
        <f>IF(V29=0,"0",IF(AND(Results!$E$5="Protein",$C$53&gt;0,OR(Results!$E$4="Tissue",Results!$E$4="Cells")),((V29*V$51)/(V$53)),IF(AND(Results!$E$5="Weight",$C$52&gt;0, Results!$E$4="Tissue",OR($B$52="g",$B$52="mg")),((V29*V$51)/(V$52)),IF(AND(Results!$E$5="Volume",$C$54&gt;0,Results!$E$4="Fluid"),((V29*V$51)/(V$54)),IF(AND(Results!$E$4="Cells",Results!$E$5="Million",$B$52="million"),((V29*V$51)/(V$52)),"0")))))</f>
        <v>0</v>
      </c>
      <c r="W82" s="20" t="str">
        <f>IF(W29=0,"0",IF(AND(Results!$E$5="Protein",$C$53&gt;0,OR(Results!$E$4="Tissue",Results!$E$4="Cells")),((W29*W$51)/(W$53)),IF(AND(Results!$E$5="Weight",$C$52&gt;0, Results!$E$4="Tissue",OR($B$52="g",$B$52="mg")),((W29*W$51)/(W$52)),IF(AND(Results!$E$5="Volume",$C$54&gt;0,Results!$E$4="Fluid"),((W29*W$51)/(W$54)),IF(AND(Results!$E$4="Cells",Results!$E$5="Million",$B$52="million"),((W29*W$51)/(W$52)),"0")))))</f>
        <v>0</v>
      </c>
      <c r="X82" s="20" t="str">
        <f>IF(X29=0,"0",IF(AND(Results!$E$5="Protein",$C$53&gt;0,OR(Results!$E$4="Tissue",Results!$E$4="Cells")),((X29*X$51)/(X$53)),IF(AND(Results!$E$5="Weight",$C$52&gt;0, Results!$E$4="Tissue",OR($B$52="g",$B$52="mg")),((X29*X$51)/(X$52)),IF(AND(Results!$E$5="Volume",$C$54&gt;0,Results!$E$4="Fluid"),((X29*X$51)/(X$54)),IF(AND(Results!$E$4="Cells",Results!$E$5="Million",$B$52="million"),((X29*X$51)/(X$52)),"0")))))</f>
        <v>0</v>
      </c>
      <c r="Y82" s="20" t="str">
        <f>IF(Y29=0,"0",IF(AND(Results!$E$5="Protein",$C$53&gt;0,OR(Results!$E$4="Tissue",Results!$E$4="Cells")),((Y29*Y$51)/(Y$53)),IF(AND(Results!$E$5="Weight",$C$52&gt;0, Results!$E$4="Tissue",OR($B$52="g",$B$52="mg")),((Y29*Y$51)/(Y$52)),IF(AND(Results!$E$5="Volume",$C$54&gt;0,Results!$E$4="Fluid"),((Y29*Y$51)/(Y$54)),IF(AND(Results!$E$4="Cells",Results!$E$5="Million",$B$52="million"),((Y29*Y$51)/(Y$52)),"0")))))</f>
        <v>0</v>
      </c>
      <c r="Z82" s="20" t="str">
        <f>IF(Z29=0,"0",IF(AND(Results!$E$5="Protein",$C$53&gt;0,OR(Results!$E$4="Tissue",Results!$E$4="Cells")),((Z29*Z$51)/(Z$53)),IF(AND(Results!$E$5="Weight",$C$52&gt;0, Results!$E$4="Tissue",OR($B$52="g",$B$52="mg")),((Z29*Z$51)/(Z$52)),IF(AND(Results!$E$5="Volume",$C$54&gt;0,Results!$E$4="Fluid"),((Z29*Z$51)/(Z$54)),IF(AND(Results!$E$4="Cells",Results!$E$5="Million",$B$52="million"),((Z29*Z$51)/(Z$52)),"0")))))</f>
        <v>0</v>
      </c>
      <c r="AA82" s="20" t="str">
        <f>IF(AA29=0,"0",IF(AND(Results!$E$5="Protein",$C$53&gt;0,OR(Results!$E$4="Tissue",Results!$E$4="Cells")),((AA29*AA$51)/(AA$53)),IF(AND(Results!$E$5="Weight",$C$52&gt;0, Results!$E$4="Tissue",OR($B$52="g",$B$52="mg")),((AA29*AA$51)/(AA$52)),IF(AND(Results!$E$5="Volume",$C$54&gt;0,Results!$E$4="Fluid"),((AA29*AA$51)/(AA$54)),IF(AND(Results!$E$4="Cells",Results!$E$5="Million",$B$52="million"),((AA29*AA$51)/(AA$52)),"0")))))</f>
        <v>0</v>
      </c>
      <c r="AB82" s="20" t="str">
        <f>IF(AB29=0,"0",IF(AND(Results!$E$5="Protein",$C$53&gt;0,OR(Results!$E$4="Tissue",Results!$E$4="Cells")),((AB29*AB$51)/(AB$53)),IF(AND(Results!$E$5="Weight",$C$52&gt;0, Results!$E$4="Tissue",OR($B$52="g",$B$52="mg")),((AB29*AB$51)/(AB$52)),IF(AND(Results!$E$5="Volume",$C$54&gt;0,Results!$E$4="Fluid"),((AB29*AB$51)/(AB$54)),IF(AND(Results!$E$4="Cells",Results!$E$5="Million",$B$52="million"),((AB29*AB$51)/(AB$52)),"0")))))</f>
        <v>0</v>
      </c>
      <c r="AC82" s="20" t="str">
        <f>IF(AC29=0,"0",IF(AND(Results!$E$5="Protein",$C$53&gt;0,OR(Results!$E$4="Tissue",Results!$E$4="Cells")),((AC29*AC$51)/(AC$53)),IF(AND(Results!$E$5="Weight",$C$52&gt;0, Results!$E$4="Tissue",OR($B$52="g",$B$52="mg")),((AC29*AC$51)/(AC$52)),IF(AND(Results!$E$5="Volume",$C$54&gt;0,Results!$E$4="Fluid"),((AC29*AC$51)/(AC$54)),IF(AND(Results!$E$4="Cells",Results!$E$5="Million",$B$52="million"),((AC29*AC$51)/(AC$52)),"0")))))</f>
        <v>0</v>
      </c>
      <c r="AD82" s="20" t="str">
        <f>IF(AD29=0,"0",IF(AND(Results!$E$5="Protein",$C$53&gt;0,OR(Results!$E$4="Tissue",Results!$E$4="Cells")),((AD29*AD$51)/(AD$53)),IF(AND(Results!$E$5="Weight",$C$52&gt;0, Results!$E$4="Tissue",OR($B$52="g",$B$52="mg")),((AD29*AD$51)/(AD$52)),IF(AND(Results!$E$5="Volume",$C$54&gt;0,Results!$E$4="Fluid"),((AD29*AD$51)/(AD$54)),IF(AND(Results!$E$4="Cells",Results!$E$5="Million",$B$52="million"),((AD29*AD$51)/(AD$52)),"0")))))</f>
        <v>0</v>
      </c>
      <c r="AE82" s="20" t="str">
        <f>IF(AE29=0,"0",IF(AND(Results!$E$5="Protein",$C$53&gt;0,OR(Results!$E$4="Tissue",Results!$E$4="Cells")),((AE29*AE$51)/(AE$53)),IF(AND(Results!$E$5="Weight",$C$52&gt;0, Results!$E$4="Tissue",OR($B$52="g",$B$52="mg")),((AE29*AE$51)/(AE$52)),IF(AND(Results!$E$5="Volume",$C$54&gt;0,Results!$E$4="Fluid"),((AE29*AE$51)/(AE$54)),IF(AND(Results!$E$4="Cells",Results!$E$5="Million",$B$52="million"),((AE29*AE$51)/(AE$52)),"0")))))</f>
        <v>0</v>
      </c>
      <c r="AF82" s="20" t="str">
        <f>IF(AF29=0,"0",IF(AND(Results!$E$5="Protein",$C$53&gt;0,OR(Results!$E$4="Tissue",Results!$E$4="Cells")),((AF29*AF$51)/(AF$53)),IF(AND(Results!$E$5="Weight",$C$52&gt;0, Results!$E$4="Tissue",OR($B$52="g",$B$52="mg")),((AF29*AF$51)/(AF$52)),IF(AND(Results!$E$5="Volume",$C$54&gt;0,Results!$E$4="Fluid"),((AF29*AF$51)/(AF$54)),IF(AND(Results!$E$4="Cells",Results!$E$5="Million",$B$52="million"),((AF29*AF$51)/(AF$52)),"0")))))</f>
        <v>0</v>
      </c>
      <c r="AG82" s="20" t="str">
        <f>IF(AG29=0,"0",IF(AND(Results!$E$5="Protein",$C$53&gt;0,OR(Results!$E$4="Tissue",Results!$E$4="Cells")),((AG29*AG$51)/(AG$53)),IF(AND(Results!$E$5="Weight",$C$52&gt;0, Results!$E$4="Tissue",OR($B$52="g",$B$52="mg")),((AG29*AG$51)/(AG$52)),IF(AND(Results!$E$5="Volume",$C$54&gt;0,Results!$E$4="Fluid"),((AG29*AG$51)/(AG$54)),IF(AND(Results!$E$4="Cells",Results!$E$5="Million",$B$52="million"),((AG29*AG$51)/(AG$52)),"0")))))</f>
        <v>0</v>
      </c>
      <c r="AH82" s="20" t="str">
        <f>IF(AH29=0,"0",IF(AND(Results!$E$5="Protein",$C$53&gt;0,OR(Results!$E$4="Tissue",Results!$E$4="Cells")),((AH29*AH$51)/(AH$53)),IF(AND(Results!$E$5="Weight",$C$52&gt;0, Results!$E$4="Tissue",OR($B$52="g",$B$52="mg")),((AH29*AH$51)/(AH$52)),IF(AND(Results!$E$5="Volume",$C$54&gt;0,Results!$E$4="Fluid"),((AH29*AH$51)/(AH$54)),IF(AND(Results!$E$4="Cells",Results!$E$5="Million",$B$52="million"),((AH29*AH$51)/(AH$52)),"0")))))</f>
        <v>0</v>
      </c>
      <c r="AI82" s="20" t="str">
        <f>IF(AI29=0,"0",IF(AND(Results!$E$5="Protein",$C$53&gt;0,OR(Results!$E$4="Tissue",Results!$E$4="Cells")),((AI29*AI$51)/(AI$53)),IF(AND(Results!$E$5="Weight",$C$52&gt;0, Results!$E$4="Tissue",OR($B$52="g",$B$52="mg")),((AI29*AI$51)/(AI$52)),IF(AND(Results!$E$5="Volume",$C$54&gt;0,Results!$E$4="Fluid"),((AI29*AI$51)/(AI$54)),IF(AND(Results!$E$4="Cells",Results!$E$5="Million",$B$52="million"),((AI29*AI$51)/(AI$52)),"0")))))</f>
        <v>0</v>
      </c>
      <c r="AJ82" s="20" t="str">
        <f>IF(AJ29=0,"0",IF(AND(Results!$E$5="Protein",$C$53&gt;0,OR(Results!$E$4="Tissue",Results!$E$4="Cells")),((AJ29*AJ$51)/(AJ$53)),IF(AND(Results!$E$5="Weight",$C$52&gt;0, Results!$E$4="Tissue",OR($B$52="g",$B$52="mg")),((AJ29*AJ$51)/(AJ$52)),IF(AND(Results!$E$5="Volume",$C$54&gt;0,Results!$E$4="Fluid"),((AJ29*AJ$51)/(AJ$54)),IF(AND(Results!$E$4="Cells",Results!$E$5="Million",$B$52="million"),((AJ29*AJ$51)/(AJ$52)),"0")))))</f>
        <v>0</v>
      </c>
      <c r="AK82" s="20" t="str">
        <f>IF(AK29=0,"0",IF(AND(Results!$E$5="Protein",$C$53&gt;0,OR(Results!$E$4="Tissue",Results!$E$4="Cells")),((AK29*AK$51)/(AK$53)),IF(AND(Results!$E$5="Weight",$C$52&gt;0, Results!$E$4="Tissue",OR($B$52="g",$B$52="mg")),((AK29*AK$51)/(AK$52)),IF(AND(Results!$E$5="Volume",$C$54&gt;0,Results!$E$4="Fluid"),((AK29*AK$51)/(AK$54)),IF(AND(Results!$E$4="Cells",Results!$E$5="Million",$B$52="million"),((AK29*AK$51)/(AK$52)),"0")))))</f>
        <v>0</v>
      </c>
      <c r="AL82" s="20" t="str">
        <f>IF(AL29=0,"0",IF(AND(Results!$E$5="Protein",$C$53&gt;0,OR(Results!$E$4="Tissue",Results!$E$4="Cells")),((AL29*AL$51)/(AL$53)),IF(AND(Results!$E$5="Weight",$C$52&gt;0, Results!$E$4="Tissue",OR($B$52="g",$B$52="mg")),((AL29*AL$51)/(AL$52)),IF(AND(Results!$E$5="Volume",$C$54&gt;0,Results!$E$4="Fluid"),((AL29*AL$51)/(AL$54)),IF(AND(Results!$E$4="Cells",Results!$E$5="Million",$B$52="million"),((AL29*AL$51)/(AL$52)),"0")))))</f>
        <v>0</v>
      </c>
      <c r="AM82" s="20" t="str">
        <f>IF(AM29=0,"0",IF(AND(Results!$E$5="Protein",$C$53&gt;0,OR(Results!$E$4="Tissue",Results!$E$4="Cells")),((AM29*AM$51)/(AM$53)),IF(AND(Results!$E$5="Weight",$C$52&gt;0, Results!$E$4="Tissue",OR($B$52="g",$B$52="mg")),((AM29*AM$51)/(AM$52)),IF(AND(Results!$E$5="Volume",$C$54&gt;0,Results!$E$4="Fluid"),((AM29*AM$51)/(AM$54)),IF(AND(Results!$E$4="Cells",Results!$E$5="Million",$B$52="million"),((AM29*AM$51)/(AM$52)),"0")))))</f>
        <v>0</v>
      </c>
      <c r="AN82" s="20" t="str">
        <f>IF(AN29=0,"0",IF(AND(Results!$E$5="Protein",$C$53&gt;0,OR(Results!$E$4="Tissue",Results!$E$4="Cells")),((AN29*AN$51)/(AN$53)),IF(AND(Results!$E$5="Weight",$C$52&gt;0, Results!$E$4="Tissue",OR($B$52="g",$B$52="mg")),((AN29*AN$51)/(AN$52)),IF(AND(Results!$E$5="Volume",$C$54&gt;0,Results!$E$4="Fluid"),((AN29*AN$51)/(AN$54)),IF(AND(Results!$E$4="Cells",Results!$E$5="Million",$B$52="million"),((AN29*AN$51)/(AN$52)),"0")))))</f>
        <v>0</v>
      </c>
      <c r="AO82" s="20" t="str">
        <f>IF(AO29=0,"0",IF(AND(Results!$E$5="Protein",$C$53&gt;0,OR(Results!$E$4="Tissue",Results!$E$4="Cells")),((AO29*AO$51)/(AO$53)),IF(AND(Results!$E$5="Weight",$C$52&gt;0, Results!$E$4="Tissue",OR($B$52="g",$B$52="mg")),((AO29*AO$51)/(AO$52)),IF(AND(Results!$E$5="Volume",$C$54&gt;0,Results!$E$4="Fluid"),((AO29*AO$51)/(AO$54)),IF(AND(Results!$E$4="Cells",Results!$E$5="Million",$B$52="million"),((AO29*AO$51)/(AO$52)),"0")))))</f>
        <v>0</v>
      </c>
      <c r="AP82" s="20" t="str">
        <f>IF(AP29=0,"0",IF(AND(Results!$E$5="Protein",$C$53&gt;0,OR(Results!$E$4="Tissue",Results!$E$4="Cells")),((AP29*AP$51)/(AP$53)),IF(AND(Results!$E$5="Weight",$C$52&gt;0, Results!$E$4="Tissue",OR($B$52="g",$B$52="mg")),((AP29*AP$51)/(AP$52)),IF(AND(Results!$E$5="Volume",$C$54&gt;0,Results!$E$4="Fluid"),((AP29*AP$51)/(AP$54)),IF(AND(Results!$E$4="Cells",Results!$E$5="Million",$B$52="million"),((AP29*AP$51)/(AP$52)),"0")))))</f>
        <v>0</v>
      </c>
      <c r="AQ82" s="20" t="str">
        <f>IF(AQ29=0,"0",IF(AND(Results!$E$5="Protein",$C$53&gt;0,OR(Results!$E$4="Tissue",Results!$E$4="Cells")),((AQ29*AQ$51)/(AQ$53)),IF(AND(Results!$E$5="Weight",$C$52&gt;0, Results!$E$4="Tissue",OR($B$52="g",$B$52="mg")),((AQ29*AQ$51)/(AQ$52)),IF(AND(Results!$E$5="Volume",$C$54&gt;0,Results!$E$4="Fluid"),((AQ29*AQ$51)/(AQ$54)),IF(AND(Results!$E$4="Cells",Results!$E$5="Million",$B$52="million"),((AQ29*AQ$51)/(AQ$52)),"0")))))</f>
        <v>0</v>
      </c>
      <c r="AR82" s="20" t="str">
        <f>IF(AR29=0,"0",IF(AND(Results!$E$5="Protein",$C$53&gt;0,OR(Results!$E$4="Tissue",Results!$E$4="Cells")),((AR29*AR$51)/(AR$53)),IF(AND(Results!$E$5="Weight",$C$52&gt;0, Results!$E$4="Tissue",OR($B$52="g",$B$52="mg")),((AR29*AR$51)/(AR$52)),IF(AND(Results!$E$5="Volume",$C$54&gt;0,Results!$E$4="Fluid"),((AR29*AR$51)/(AR$54)),IF(AND(Results!$E$4="Cells",Results!$E$5="Million",$B$52="million"),((AR29*AR$51)/(AR$52)),"0")))))</f>
        <v>0</v>
      </c>
      <c r="AS82" s="20" t="str">
        <f>IF(AS29=0,"0",IF(AND(Results!$E$5="Protein",$C$53&gt;0,OR(Results!$E$4="Tissue",Results!$E$4="Cells")),((AS29*AS$51)/(AS$53)),IF(AND(Results!$E$5="Weight",$C$52&gt;0, Results!$E$4="Tissue",OR($B$52="g",$B$52="mg")),((AS29*AS$51)/(AS$52)),IF(AND(Results!$E$5="Volume",$C$54&gt;0,Results!$E$4="Fluid"),((AS29*AS$51)/(AS$54)),IF(AND(Results!$E$4="Cells",Results!$E$5="Million",$B$52="million"),((AS29*AS$51)/(AS$52)),"0")))))</f>
        <v>0</v>
      </c>
      <c r="AT82" s="20" t="str">
        <f>IF(AT29=0,"0",IF(AND(Results!$E$5="Protein",$C$53&gt;0,OR(Results!$E$4="Tissue",Results!$E$4="Cells")),((AT29*AT$51)/(AT$53)),IF(AND(Results!$E$5="Weight",$C$52&gt;0, Results!$E$4="Tissue",OR($B$52="g",$B$52="mg")),((AT29*AT$51)/(AT$52)),IF(AND(Results!$E$5="Volume",$C$54&gt;0,Results!$E$4="Fluid"),((AT29*AT$51)/(AT$54)),IF(AND(Results!$E$4="Cells",Results!$E$5="Million",$B$52="million"),((AT29*AT$51)/(AT$52)),"0")))))</f>
        <v>0</v>
      </c>
      <c r="AU82" s="20" t="str">
        <f>IF(AU29=0,"0",IF(AND(Results!$E$5="Protein",$C$53&gt;0,OR(Results!$E$4="Tissue",Results!$E$4="Cells")),((AU29*AU$51)/(AU$53)),IF(AND(Results!$E$5="Weight",$C$52&gt;0, Results!$E$4="Tissue",OR($B$52="g",$B$52="mg")),((AU29*AU$51)/(AU$52)),IF(AND(Results!$E$5="Volume",$C$54&gt;0,Results!$E$4="Fluid"),((AU29*AU$51)/(AU$54)),IF(AND(Results!$E$4="Cells",Results!$E$5="Million",$B$52="million"),((AU29*AU$51)/(AU$52)),"0")))))</f>
        <v>0</v>
      </c>
      <c r="AV82" s="20" t="str">
        <f>IF(AV29=0,"0",IF(AND(Results!$E$5="Protein",$C$53&gt;0,OR(Results!$E$4="Tissue",Results!$E$4="Cells")),((AV29*AV$51)/(AV$53)),IF(AND(Results!$E$5="Weight",$C$52&gt;0, Results!$E$4="Tissue",OR($B$52="g",$B$52="mg")),((AV29*AV$51)/(AV$52)),IF(AND(Results!$E$5="Volume",$C$54&gt;0,Results!$E$4="Fluid"),((AV29*AV$51)/(AV$54)),IF(AND(Results!$E$4="Cells",Results!$E$5="Million",$B$52="million"),((AV29*AV$51)/(AV$52)),"0")))))</f>
        <v>0</v>
      </c>
      <c r="AW82" s="20" t="str">
        <f>IF(AW29=0,"0",IF(AND(Results!$E$5="Protein",$C$53&gt;0,OR(Results!$E$4="Tissue",Results!$E$4="Cells")),((AW29*AW$51)/(AW$53)),IF(AND(Results!$E$5="Weight",$C$52&gt;0, Results!$E$4="Tissue",OR($B$52="g",$B$52="mg")),((AW29*AW$51)/(AW$52)),IF(AND(Results!$E$5="Volume",$C$54&gt;0,Results!$E$4="Fluid"),((AW29*AW$51)/(AW$54)),IF(AND(Results!$E$4="Cells",Results!$E$5="Million",$B$52="million"),((AW29*AW$51)/(AW$52)),"0")))))</f>
        <v>0</v>
      </c>
      <c r="AX82" s="20" t="str">
        <f>IF(AX29=0,"0",IF(AND(Results!$E$5="Protein",$C$53&gt;0,OR(Results!$E$4="Tissue",Results!$E$4="Cells")),((AX29*AX$51)/(AX$53)),IF(AND(Results!$E$5="Weight",$C$52&gt;0, Results!$E$4="Tissue",OR($B$52="g",$B$52="mg")),((AX29*AX$51)/(AX$52)),IF(AND(Results!$E$5="Volume",$C$54&gt;0,Results!$E$4="Fluid"),((AX29*AX$51)/(AX$54)),IF(AND(Results!$E$4="Cells",Results!$E$5="Million",$B$52="million"),((AX29*AX$51)/(AX$52)),"0")))))</f>
        <v>0</v>
      </c>
      <c r="AY82" s="20" t="str">
        <f>IF(AY29=0,"0",IF(AND(Results!$E$5="Protein",$C$53&gt;0,OR(Results!$E$4="Tissue",Results!$E$4="Cells")),((AY29*AY$51)/(AY$53)),IF(AND(Results!$E$5="Weight",$C$52&gt;0, Results!$E$4="Tissue",OR($B$52="g",$B$52="mg")),((AY29*AY$51)/(AY$52)),IF(AND(Results!$E$5="Volume",$C$54&gt;0,Results!$E$4="Fluid"),((AY29*AY$51)/(AY$54)),IF(AND(Results!$E$4="Cells",Results!$E$5="Million",$B$52="million"),((AY29*AY$51)/(AY$52)),"0")))))</f>
        <v>0</v>
      </c>
      <c r="AZ82" s="20" t="str">
        <f>IF(AZ29=0,"0",IF(AND(Results!$E$5="Protein",$C$53&gt;0,OR(Results!$E$4="Tissue",Results!$E$4="Cells")),((AZ29*AZ$51)/(AZ$53)),IF(AND(Results!$E$5="Weight",$C$52&gt;0, Results!$E$4="Tissue",OR($B$52="g",$B$52="mg")),((AZ29*AZ$51)/(AZ$52)),IF(AND(Results!$E$5="Volume",$C$54&gt;0,Results!$E$4="Fluid"),((AZ29*AZ$51)/(AZ$54)),IF(AND(Results!$E$4="Cells",Results!$E$5="Million",$B$52="million"),((AZ29*AZ$51)/(AZ$52)),"0")))))</f>
        <v>0</v>
      </c>
      <c r="BA82" s="20" t="str">
        <f>IF(BA29=0,"0",IF(AND(Results!$E$5="Protein",$C$53&gt;0,OR(Results!$E$4="Tissue",Results!$E$4="Cells")),((BA29*BA$51)/(BA$53)),IF(AND(Results!$E$5="Weight",$C$52&gt;0, Results!$E$4="Tissue",OR($B$52="g",$B$52="mg")),((BA29*BA$51)/(BA$52)),IF(AND(Results!$E$5="Volume",$C$54&gt;0,Results!$E$4="Fluid"),((BA29*BA$51)/(BA$54)),IF(AND(Results!$E$4="Cells",Results!$E$5="Million",$B$52="million"),((BA29*BA$51)/(BA$52)),"0")))))</f>
        <v>0</v>
      </c>
      <c r="BB82" s="20" t="str">
        <f>IF(BB29=0,"0",IF(AND(Results!$E$5="Protein",$C$53&gt;0,OR(Results!$E$4="Tissue",Results!$E$4="Cells")),((BB29*BB$51)/(BB$53)),IF(AND(Results!$E$5="Weight",$C$52&gt;0, Results!$E$4="Tissue",OR($B$52="g",$B$52="mg")),((BB29*BB$51)/(BB$52)),IF(AND(Results!$E$5="Volume",$C$54&gt;0,Results!$E$4="Fluid"),((BB29*BB$51)/(BB$54)),IF(AND(Results!$E$4="Cells",Results!$E$5="Million",$B$52="million"),((BB29*BB$51)/(BB$52)),"0")))))</f>
        <v>0</v>
      </c>
      <c r="BC82" s="20" t="str">
        <f>IF(BC29=0,"0",IF(AND(Results!$E$5="Protein",$C$53&gt;0,OR(Results!$E$4="Tissue",Results!$E$4="Cells")),((BC29*BC$51)/(BC$53)),IF(AND(Results!$E$5="Weight",$C$52&gt;0, Results!$E$4="Tissue",OR($B$52="g",$B$52="mg")),((BC29*BC$51)/(BC$52)),IF(AND(Results!$E$5="Volume",$C$54&gt;0,Results!$E$4="Fluid"),((BC29*BC$51)/(BC$54)),IF(AND(Results!$E$4="Cells",Results!$E$5="Million",$B$52="million"),((BC29*BC$51)/(BC$52)),"0")))))</f>
        <v>0</v>
      </c>
      <c r="BD82" s="20" t="str">
        <f>IF(BD29=0,"0",IF(AND(Results!$E$5="Protein",$C$53&gt;0,OR(Results!$E$4="Tissue",Results!$E$4="Cells")),((BD29*BD$51)/(BD$53)),IF(AND(Results!$E$5="Weight",$C$52&gt;0, Results!$E$4="Tissue",OR($B$52="g",$B$52="mg")),((BD29*BD$51)/(BD$52)),IF(AND(Results!$E$5="Volume",$C$54&gt;0,Results!$E$4="Fluid"),((BD29*BD$51)/(BD$54)),IF(AND(Results!$E$4="Cells",Results!$E$5="Million",$B$52="million"),((BD29*BD$51)/(BD$52)),"0")))))</f>
        <v>0</v>
      </c>
      <c r="BE82" s="20" t="str">
        <f>IF(BE29=0,"0",IF(AND(Results!$E$5="Protein",$C$53&gt;0,OR(Results!$E$4="Tissue",Results!$E$4="Cells")),((BE29*BE$51)/(BE$53)),IF(AND(Results!$E$5="Weight",$C$52&gt;0, Results!$E$4="Tissue",OR($B$52="g",$B$52="mg")),((BE29*BE$51)/(BE$52)),IF(AND(Results!$E$5="Volume",$C$54&gt;0,Results!$E$4="Fluid"),((BE29*BE$51)/(BE$54)),IF(AND(Results!$E$4="Cells",Results!$E$5="Million",$B$52="million"),((BE29*BE$51)/(BE$52)),"0")))))</f>
        <v>0</v>
      </c>
      <c r="BF82" s="20" t="str">
        <f>IF(BF29=0,"0",IF(AND(Results!$E$5="Protein",$C$53&gt;0,OR(Results!$E$4="Tissue",Results!$E$4="Cells")),((BF29*BF$51)/(BF$53)),IF(AND(Results!$E$5="Weight",$C$52&gt;0, Results!$E$4="Tissue",OR($B$52="g",$B$52="mg")),((BF29*BF$51)/(BF$52)),IF(AND(Results!$E$5="Volume",$C$54&gt;0,Results!$E$4="Fluid"),((BF29*BF$51)/(BF$54)),IF(AND(Results!$E$4="Cells",Results!$E$5="Million",$B$52="million"),((BF29*BF$51)/(BF$52)),"0")))))</f>
        <v>0</v>
      </c>
      <c r="BG82" s="20" t="str">
        <f>IF(BG29=0,"0",IF(AND(Results!$E$5="Protein",$C$53&gt;0,OR(Results!$E$4="Tissue",Results!$E$4="Cells")),((BG29*BG$51)/(BG$53)),IF(AND(Results!$E$5="Weight",$C$52&gt;0, Results!$E$4="Tissue",OR($B$52="g",$B$52="mg")),((BG29*BG$51)/(BG$52)),IF(AND(Results!$E$5="Volume",$C$54&gt;0,Results!$E$4="Fluid"),((BG29*BG$51)/(BG$54)),IF(AND(Results!$E$4="Cells",Results!$E$5="Million",$B$52="million"),((BG29*BG$51)/(BG$52)),"0")))))</f>
        <v>0</v>
      </c>
      <c r="BH82" s="20" t="str">
        <f>IF(BH29=0,"0",IF(AND(Results!$E$5="Protein",$C$53&gt;0,OR(Results!$E$4="Tissue",Results!$E$4="Cells")),((BH29*BH$51)/(BH$53)),IF(AND(Results!$E$5="Weight",$C$52&gt;0, Results!$E$4="Tissue",OR($B$52="g",$B$52="mg")),((BH29*BH$51)/(BH$52)),IF(AND(Results!$E$5="Volume",$C$54&gt;0,Results!$E$4="Fluid"),((BH29*BH$51)/(BH$54)),IF(AND(Results!$E$4="Cells",Results!$E$5="Million",$B$52="million"),((BH29*BH$51)/(BH$52)),"0")))))</f>
        <v>0</v>
      </c>
      <c r="BI82" s="20" t="str">
        <f>IF(BI29=0,"0",IF(AND(Results!$E$5="Protein",$C$53&gt;0,OR(Results!$E$4="Tissue",Results!$E$4="Cells")),((BI29*BI$51)/(BI$53)),IF(AND(Results!$E$5="Weight",$C$52&gt;0, Results!$E$4="Tissue",OR($B$52="g",$B$52="mg")),((BI29*BI$51)/(BI$52)),IF(AND(Results!$E$5="Volume",$C$54&gt;0,Results!$E$4="Fluid"),((BI29*BI$51)/(BI$54)),IF(AND(Results!$E$4="Cells",Results!$E$5="Million",$B$52="million"),((BI29*BI$51)/(BI$52)),"0")))))</f>
        <v>0</v>
      </c>
      <c r="BJ82" s="20" t="str">
        <f>IF(BJ29=0,"0",IF(AND(Results!$E$5="Protein",$C$53&gt;0,OR(Results!$E$4="Tissue",Results!$E$4="Cells")),((BJ29*BJ$51)/(BJ$53)),IF(AND(Results!$E$5="Weight",$C$52&gt;0, Results!$E$4="Tissue",OR($B$52="g",$B$52="mg")),((BJ29*BJ$51)/(BJ$52)),IF(AND(Results!$E$5="Volume",$C$54&gt;0,Results!$E$4="Fluid"),((BJ29*BJ$51)/(BJ$54)),IF(AND(Results!$E$4="Cells",Results!$E$5="Million",$B$52="million"),((BJ29*BJ$51)/(BJ$52)),"0")))))</f>
        <v>0</v>
      </c>
      <c r="BK82" s="20" t="str">
        <f>IF(BK29=0,"0",IF(AND(Results!$E$5="Protein",$C$53&gt;0,OR(Results!$E$4="Tissue",Results!$E$4="Cells")),((BK29*BK$51)/(BK$53)),IF(AND(Results!$E$5="Weight",$C$52&gt;0, Results!$E$4="Tissue",OR($B$52="g",$B$52="mg")),((BK29*BK$51)/(BK$52)),IF(AND(Results!$E$5="Volume",$C$54&gt;0,Results!$E$4="Fluid"),((BK29*BK$51)/(BK$54)),IF(AND(Results!$E$4="Cells",Results!$E$5="Million",$B$52="million"),((BK29*BK$51)/(BK$52)),"0")))))</f>
        <v>0</v>
      </c>
      <c r="BL82" s="20" t="str">
        <f>IF(BL29=0,"0",IF(AND(Results!$E$5="Protein",$C$53&gt;0,OR(Results!$E$4="Tissue",Results!$E$4="Cells")),((BL29*BL$51)/(BL$53)),IF(AND(Results!$E$5="Weight",$C$52&gt;0, Results!$E$4="Tissue",OR($B$52="g",$B$52="mg")),((BL29*BL$51)/(BL$52)),IF(AND(Results!$E$5="Volume",$C$54&gt;0,Results!$E$4="Fluid"),((BL29*BL$51)/(BL$54)),IF(AND(Results!$E$4="Cells",Results!$E$5="Million",$B$52="million"),((BL29*BL$51)/(BL$52)),"0")))))</f>
        <v>0</v>
      </c>
      <c r="BM82" s="20" t="str">
        <f>IF(BM29=0,"0",IF(AND(Results!$E$5="Protein",$C$53&gt;0,OR(Results!$E$4="Tissue",Results!$E$4="Cells")),((BM29*BM$51)/(BM$53)),IF(AND(Results!$E$5="Weight",$C$52&gt;0, Results!$E$4="Tissue",OR($B$52="g",$B$52="mg")),((BM29*BM$51)/(BM$52)),IF(AND(Results!$E$5="Volume",$C$54&gt;0,Results!$E$4="Fluid"),((BM29*BM$51)/(BM$54)),IF(AND(Results!$E$4="Cells",Results!$E$5="Million",$B$52="million"),((BM29*BM$51)/(BM$52)),"0")))))</f>
        <v>0</v>
      </c>
      <c r="BN82" s="20" t="str">
        <f>IF(BN29=0,"0",IF(AND(Results!$E$5="Protein",$C$53&gt;0,OR(Results!$E$4="Tissue",Results!$E$4="Cells")),((BN29*BN$51)/(BN$53)),IF(AND(Results!$E$5="Weight",$C$52&gt;0, Results!$E$4="Tissue",OR($B$52="g",$B$52="mg")),((BN29*BN$51)/(BN$52)),IF(AND(Results!$E$5="Volume",$C$54&gt;0,Results!$E$4="Fluid"),((BN29*BN$51)/(BN$54)),IF(AND(Results!$E$4="Cells",Results!$E$5="Million",$B$52="million"),((BN29*BN$51)/(BN$52)),"0")))))</f>
        <v>0</v>
      </c>
      <c r="BO82" s="20" t="str">
        <f>IF(BO29=0,"0",IF(AND(Results!$E$5="Protein",$C$53&gt;0,OR(Results!$E$4="Tissue",Results!$E$4="Cells")),((BO29*BO$51)/(BO$53)),IF(AND(Results!$E$5="Weight",$C$52&gt;0, Results!$E$4="Tissue",OR($B$52="g",$B$52="mg")),((BO29*BO$51)/(BO$52)),IF(AND(Results!$E$5="Volume",$C$54&gt;0,Results!$E$4="Fluid"),((BO29*BO$51)/(BO$54)),IF(AND(Results!$E$4="Cells",Results!$E$5="Million",$B$52="million"),((BO29*BO$51)/(BO$52)),"0")))))</f>
        <v>0</v>
      </c>
      <c r="BP82" s="20" t="str">
        <f>IF(BP29=0,"0",IF(AND(Results!$E$5="Protein",$C$53&gt;0,OR(Results!$E$4="Tissue",Results!$E$4="Cells")),((BP29*BP$51)/(BP$53)),IF(AND(Results!$E$5="Weight",$C$52&gt;0, Results!$E$4="Tissue",OR($B$52="g",$B$52="mg")),((BP29*BP$51)/(BP$52)),IF(AND(Results!$E$5="Volume",$C$54&gt;0,Results!$E$4="Fluid"),((BP29*BP$51)/(BP$54)),IF(AND(Results!$E$4="Cells",Results!$E$5="Million",$B$52="million"),((BP29*BP$51)/(BP$52)),"0")))))</f>
        <v>0</v>
      </c>
      <c r="BQ82" s="20" t="str">
        <f>IF(BQ29=0,"0",IF(AND(Results!$E$5="Protein",$C$53&gt;0,OR(Results!$E$4="Tissue",Results!$E$4="Cells")),((BQ29*BQ$51)/(BQ$53)),IF(AND(Results!$E$5="Weight",$C$52&gt;0, Results!$E$4="Tissue",OR($B$52="g",$B$52="mg")),((BQ29*BQ$51)/(BQ$52)),IF(AND(Results!$E$5="Volume",$C$54&gt;0,Results!$E$4="Fluid"),((BQ29*BQ$51)/(BQ$54)),IF(AND(Results!$E$4="Cells",Results!$E$5="Million",$B$52="million"),((BQ29*BQ$51)/(BQ$52)),"0")))))</f>
        <v>0</v>
      </c>
      <c r="BR82" s="20" t="str">
        <f>IF(BR29=0,"0",IF(AND(Results!$E$5="Protein",$C$53&gt;0,OR(Results!$E$4="Tissue",Results!$E$4="Cells")),((BR29*BR$51)/(BR$53)),IF(AND(Results!$E$5="Weight",$C$52&gt;0, Results!$E$4="Tissue",OR($B$52="g",$B$52="mg")),((BR29*BR$51)/(BR$52)),IF(AND(Results!$E$5="Volume",$C$54&gt;0,Results!$E$4="Fluid"),((BR29*BR$51)/(BR$54)),IF(AND(Results!$E$4="Cells",Results!$E$5="Million",$B$52="million"),((BR29*BR$51)/(BR$52)),"0")))))</f>
        <v>0</v>
      </c>
      <c r="BS82" s="20" t="str">
        <f>IF(BS29=0,"0",IF(AND(Results!$E$5="Protein",$C$53&gt;0,OR(Results!$E$4="Tissue",Results!$E$4="Cells")),((BS29*BS$51)/(BS$53)),IF(AND(Results!$E$5="Weight",$C$52&gt;0, Results!$E$4="Tissue",OR($B$52="g",$B$52="mg")),((BS29*BS$51)/(BS$52)),IF(AND(Results!$E$5="Volume",$C$54&gt;0,Results!$E$4="Fluid"),((BS29*BS$51)/(BS$54)),IF(AND(Results!$E$4="Cells",Results!$E$5="Million",$B$52="million"),((BS29*BS$51)/(BS$52)),"0")))))</f>
        <v>0</v>
      </c>
      <c r="BT82" s="20" t="str">
        <f>IF(BT29=0,"0",IF(AND(Results!$E$5="Protein",$C$53&gt;0,OR(Results!$E$4="Tissue",Results!$E$4="Cells")),((BT29*BT$51)/(BT$53)),IF(AND(Results!$E$5="Weight",$C$52&gt;0, Results!$E$4="Tissue",OR($B$52="g",$B$52="mg")),((BT29*BT$51)/(BT$52)),IF(AND(Results!$E$5="Volume",$C$54&gt;0,Results!$E$4="Fluid"),((BT29*BT$51)/(BT$54)),IF(AND(Results!$E$4="Cells",Results!$E$5="Million",$B$52="million"),((BT29*BT$51)/(BT$52)),"0")))))</f>
        <v>0</v>
      </c>
      <c r="BU82" s="20" t="str">
        <f>IF(BU29=0,"0",IF(AND(Results!$E$5="Protein",$C$53&gt;0,OR(Results!$E$4="Tissue",Results!$E$4="Cells")),((BU29*BU$51)/(BU$53)),IF(AND(Results!$E$5="Weight",$C$52&gt;0, Results!$E$4="Tissue",OR($B$52="g",$B$52="mg")),((BU29*BU$51)/(BU$52)),IF(AND(Results!$E$5="Volume",$C$54&gt;0,Results!$E$4="Fluid"),((BU29*BU$51)/(BU$54)),IF(AND(Results!$E$4="Cells",Results!$E$5="Million",$B$52="million"),((BU29*BU$51)/(BU$52)),"0")))))</f>
        <v>0</v>
      </c>
      <c r="BV82" s="20" t="str">
        <f>IF(BV29=0,"0",IF(AND(Results!$E$5="Protein",$C$53&gt;0,OR(Results!$E$4="Tissue",Results!$E$4="Cells")),((BV29*BV$51)/(BV$53)),IF(AND(Results!$E$5="Weight",$C$52&gt;0, Results!$E$4="Tissue",OR($B$52="g",$B$52="mg")),((BV29*BV$51)/(BV$52)),IF(AND(Results!$E$5="Volume",$C$54&gt;0,Results!$E$4="Fluid"),((BV29*BV$51)/(BV$54)),IF(AND(Results!$E$4="Cells",Results!$E$5="Million",$B$52="million"),((BV29*BV$51)/(BV$52)),"0")))))</f>
        <v>0</v>
      </c>
      <c r="BW82" s="20" t="str">
        <f>IF(BW29=0,"0",IF(AND(Results!$E$5="Protein",$C$53&gt;0,OR(Results!$E$4="Tissue",Results!$E$4="Cells")),((BW29*BW$51)/(BW$53)),IF(AND(Results!$E$5="Weight",$C$52&gt;0, Results!$E$4="Tissue",OR($B$52="g",$B$52="mg")),((BW29*BW$51)/(BW$52)),IF(AND(Results!$E$5="Volume",$C$54&gt;0,Results!$E$4="Fluid"),((BW29*BW$51)/(BW$54)),IF(AND(Results!$E$4="Cells",Results!$E$5="Million",$B$52="million"),((BW29*BW$51)/(BW$52)),"0")))))</f>
        <v>0</v>
      </c>
      <c r="BX82" s="20" t="str">
        <f>IF(BX29=0,"0",IF(AND(Results!$E$5="Protein",$C$53&gt;0,OR(Results!$E$4="Tissue",Results!$E$4="Cells")),((BX29*BX$51)/(BX$53)),IF(AND(Results!$E$5="Weight",$C$52&gt;0, Results!$E$4="Tissue",OR($B$52="g",$B$52="mg")),((BX29*BX$51)/(BX$52)),IF(AND(Results!$E$5="Volume",$C$54&gt;0,Results!$E$4="Fluid"),((BX29*BX$51)/(BX$54)),IF(AND(Results!$E$4="Cells",Results!$E$5="Million",$B$52="million"),((BX29*BX$51)/(BX$52)),"0")))))</f>
        <v>0</v>
      </c>
      <c r="BY82" s="20" t="str">
        <f>IF(BY29=0,"0",IF(AND(Results!$E$5="Protein",$C$53&gt;0,OR(Results!$E$4="Tissue",Results!$E$4="Cells")),((BY29*BY$51)/(BY$53)),IF(AND(Results!$E$5="Weight",$C$52&gt;0, Results!$E$4="Tissue",OR($B$52="g",$B$52="mg")),((BY29*BY$51)/(BY$52)),IF(AND(Results!$E$5="Volume",$C$54&gt;0,Results!$E$4="Fluid"),((BY29*BY$51)/(BY$54)),IF(AND(Results!$E$4="Cells",Results!$E$5="Million",$B$52="million"),((BY29*BY$51)/(BY$52)),"0")))))</f>
        <v>0</v>
      </c>
      <c r="BZ82" s="20" t="str">
        <f>IF(BZ29=0,"0",IF(AND(Results!$E$5="Protein",$C$53&gt;0,OR(Results!$E$4="Tissue",Results!$E$4="Cells")),((BZ29*BZ$51)/(BZ$53)),IF(AND(Results!$E$5="Weight",$C$52&gt;0, Results!$E$4="Tissue",OR($B$52="g",$B$52="mg")),((BZ29*BZ$51)/(BZ$52)),IF(AND(Results!$E$5="Volume",$C$54&gt;0,Results!$E$4="Fluid"),((BZ29*BZ$51)/(BZ$54)),IF(AND(Results!$E$4="Cells",Results!$E$5="Million",$B$52="million"),((BZ29*BZ$51)/(BZ$52)),"0")))))</f>
        <v>0</v>
      </c>
      <c r="CA82" s="20" t="str">
        <f>IF(CA29=0,"0",IF(AND(Results!$E$5="Protein",$C$53&gt;0,OR(Results!$E$4="Tissue",Results!$E$4="Cells")),((CA29*CA$51)/(CA$53)),IF(AND(Results!$E$5="Weight",$C$52&gt;0, Results!$E$4="Tissue",OR($B$52="g",$B$52="mg")),((CA29*CA$51)/(CA$52)),IF(AND(Results!$E$5="Volume",$C$54&gt;0,Results!$E$4="Fluid"),((CA29*CA$51)/(CA$54)),IF(AND(Results!$E$4="Cells",Results!$E$5="Million",$B$52="million"),((CA29*CA$51)/(CA$52)),"0")))))</f>
        <v>0</v>
      </c>
      <c r="CB82" s="20" t="str">
        <f>IF(CB29=0,"0",IF(AND(Results!$E$5="Protein",$C$53&gt;0,OR(Results!$E$4="Tissue",Results!$E$4="Cells")),((CB29*CB$51)/(CB$53)),IF(AND(Results!$E$5="Weight",$C$52&gt;0, Results!$E$4="Tissue",OR($B$52="g",$B$52="mg")),((CB29*CB$51)/(CB$52)),IF(AND(Results!$E$5="Volume",$C$54&gt;0,Results!$E$4="Fluid"),((CB29*CB$51)/(CB$54)),IF(AND(Results!$E$4="Cells",Results!$E$5="Million",$B$52="million"),((CB29*CB$51)/(CB$52)),"0")))))</f>
        <v>0</v>
      </c>
      <c r="CC82" s="20" t="str">
        <f>IF(CC29=0,"0",IF(AND(Results!$E$5="Protein",$C$53&gt;0,OR(Results!$E$4="Tissue",Results!$E$4="Cells")),((CC29*CC$51)/(CC$53)),IF(AND(Results!$E$5="Weight",$C$52&gt;0, Results!$E$4="Tissue",OR($B$52="g",$B$52="mg")),((CC29*CC$51)/(CC$52)),IF(AND(Results!$E$5="Volume",$C$54&gt;0,Results!$E$4="Fluid"),((CC29*CC$51)/(CC$54)),IF(AND(Results!$E$4="Cells",Results!$E$5="Million",$B$52="million"),((CC29*CC$51)/(CC$52)),"0")))))</f>
        <v>0</v>
      </c>
      <c r="CD82" s="20" t="str">
        <f>IF(CD29=0,"0",IF(AND(Results!$E$5="Protein",$C$53&gt;0,OR(Results!$E$4="Tissue",Results!$E$4="Cells")),((CD29*CD$51)/(CD$53)),IF(AND(Results!$E$5="Weight",$C$52&gt;0, Results!$E$4="Tissue",OR($B$52="g",$B$52="mg")),((CD29*CD$51)/(CD$52)),IF(AND(Results!$E$5="Volume",$C$54&gt;0,Results!$E$4="Fluid"),((CD29*CD$51)/(CD$54)),IF(AND(Results!$E$4="Cells",Results!$E$5="Million",$B$52="million"),((CD29*CD$51)/(CD$52)),"0")))))</f>
        <v>0</v>
      </c>
      <c r="CE82" s="20" t="str">
        <f>IF(CE29=0,"0",IF(AND(Results!$E$5="Protein",$C$53&gt;0,OR(Results!$E$4="Tissue",Results!$E$4="Cells")),((CE29*CE$51)/(CE$53)),IF(AND(Results!$E$5="Weight",$C$52&gt;0, Results!$E$4="Tissue",OR($B$52="g",$B$52="mg")),((CE29*CE$51)/(CE$52)),IF(AND(Results!$E$5="Volume",$C$54&gt;0,Results!$E$4="Fluid"),((CE29*CE$51)/(CE$54)),IF(AND(Results!$E$4="Cells",Results!$E$5="Million",$B$52="million"),((CE29*CE$51)/(CE$52)),"0")))))</f>
        <v>0</v>
      </c>
      <c r="CF82" s="20" t="str">
        <f>IF(CF29=0,"0",IF(AND(Results!$E$5="Protein",$C$53&gt;0,OR(Results!$E$4="Tissue",Results!$E$4="Cells")),((CF29*CF$51)/(CF$53)),IF(AND(Results!$E$5="Weight",$C$52&gt;0, Results!$E$4="Tissue",OR($B$52="g",$B$52="mg")),((CF29*CF$51)/(CF$52)),IF(AND(Results!$E$5="Volume",$C$54&gt;0,Results!$E$4="Fluid"),((CF29*CF$51)/(CF$54)),IF(AND(Results!$E$4="Cells",Results!$E$5="Million",$B$52="million"),((CF29*CF$51)/(CF$52)),"0")))))</f>
        <v>0</v>
      </c>
      <c r="CG82" s="20" t="str">
        <f>IF(CG29=0,"0",IF(AND(Results!$E$5="Protein",$C$53&gt;0,OR(Results!$E$4="Tissue",Results!$E$4="Cells")),((CG29*CG$51)/(CG$53)),IF(AND(Results!$E$5="Weight",$C$52&gt;0, Results!$E$4="Tissue",OR($B$52="g",$B$52="mg")),((CG29*CG$51)/(CG$52)),IF(AND(Results!$E$5="Volume",$C$54&gt;0,Results!$E$4="Fluid"),((CG29*CG$51)/(CG$54)),IF(AND(Results!$E$4="Cells",Results!$E$5="Million",$B$52="million"),((CG29*CG$51)/(CG$52)),"0")))))</f>
        <v>0</v>
      </c>
      <c r="CH82" s="20" t="str">
        <f>IF(CH29=0,"0",IF(AND(Results!$E$5="Protein",$C$53&gt;0,OR(Results!$E$4="Tissue",Results!$E$4="Cells")),((CH29*CH$51)/(CH$53)),IF(AND(Results!$E$5="Weight",$C$52&gt;0, Results!$E$4="Tissue",OR($B$52="g",$B$52="mg")),((CH29*CH$51)/(CH$52)),IF(AND(Results!$E$5="Volume",$C$54&gt;0,Results!$E$4="Fluid"),((CH29*CH$51)/(CH$54)),IF(AND(Results!$E$4="Cells",Results!$E$5="Million",$B$52="million"),((CH29*CH$51)/(CH$52)),"0")))))</f>
        <v>0</v>
      </c>
      <c r="CI82" s="20" t="str">
        <f>IF(CI29=0,"0",IF(AND(Results!$E$5="Protein",$C$53&gt;0,OR(Results!$E$4="Tissue",Results!$E$4="Cells")),((CI29*CI$51)/(CI$53)),IF(AND(Results!$E$5="Weight",$C$52&gt;0, Results!$E$4="Tissue",OR($B$52="g",$B$52="mg")),((CI29*CI$51)/(CI$52)),IF(AND(Results!$E$5="Volume",$C$54&gt;0,Results!$E$4="Fluid"),((CI29*CI$51)/(CI$54)),IF(AND(Results!$E$4="Cells",Results!$E$5="Million",$B$52="million"),((CI29*CI$51)/(CI$52)),"0")))))</f>
        <v>0</v>
      </c>
      <c r="CJ82" s="20" t="str">
        <f>IF(CJ29=0,"0",IF(AND(Results!$E$5="Protein",$C$53&gt;0,OR(Results!$E$4="Tissue",Results!$E$4="Cells")),((CJ29*CJ$51)/(CJ$53)),IF(AND(Results!$E$5="Weight",$C$52&gt;0, Results!$E$4="Tissue",OR($B$52="g",$B$52="mg")),((CJ29*CJ$51)/(CJ$52)),IF(AND(Results!$E$5="Volume",$C$54&gt;0,Results!$E$4="Fluid"),((CJ29*CJ$51)/(CJ$54)),IF(AND(Results!$E$4="Cells",Results!$E$5="Million",$B$52="million"),((CJ29*CJ$51)/(CJ$52)),"0")))))</f>
        <v>0</v>
      </c>
      <c r="CK82" s="20" t="str">
        <f>IF(CK29=0,"0",IF(AND(Results!$E$5="Protein",$C$53&gt;0,OR(Results!$E$4="Tissue",Results!$E$4="Cells")),((CK29*CK$51)/(CK$53)),IF(AND(Results!$E$5="Weight",$C$52&gt;0, Results!$E$4="Tissue",OR($B$52="g",$B$52="mg")),((CK29*CK$51)/(CK$52)),IF(AND(Results!$E$5="Volume",$C$54&gt;0,Results!$E$4="Fluid"),((CK29*CK$51)/(CK$54)),IF(AND(Results!$E$4="Cells",Results!$E$5="Million",$B$52="million"),((CK29*CK$51)/(CK$52)),"0")))))</f>
        <v>0</v>
      </c>
      <c r="CL82" s="20" t="str">
        <f>IF(CL29=0,"0",IF(AND(Results!$E$5="Protein",$C$53&gt;0,OR(Results!$E$4="Tissue",Results!$E$4="Cells")),((CL29*CL$51)/(CL$53)),IF(AND(Results!$E$5="Weight",$C$52&gt;0, Results!$E$4="Tissue",OR($B$52="g",$B$52="mg")),((CL29*CL$51)/(CL$52)),IF(AND(Results!$E$5="Volume",$C$54&gt;0,Results!$E$4="Fluid"),((CL29*CL$51)/(CL$54)),IF(AND(Results!$E$4="Cells",Results!$E$5="Million",$B$52="million"),((CL29*CL$51)/(CL$52)),"0")))))</f>
        <v>0</v>
      </c>
      <c r="CM82" s="20" t="str">
        <f>IF(CM29=0,"0",IF(AND(Results!$E$5="Protein",$C$53&gt;0,OR(Results!$E$4="Tissue",Results!$E$4="Cells")),((CM29*CM$51)/(CM$53)),IF(AND(Results!$E$5="Weight",$C$52&gt;0, Results!$E$4="Tissue",OR($B$52="g",$B$52="mg")),((CM29*CM$51)/(CM$52)),IF(AND(Results!$E$5="Volume",$C$54&gt;0,Results!$E$4="Fluid"),((CM29*CM$51)/(CM$54)),IF(AND(Results!$E$4="Cells",Results!$E$5="Million",$B$52="million"),((CM29*CM$51)/(CM$52)),"0")))))</f>
        <v>0</v>
      </c>
      <c r="CN82" s="20" t="str">
        <f>IF(CN29=0,"0",IF(AND(Results!$E$5="Protein",$C$53&gt;0,OR(Results!$E$4="Tissue",Results!$E$4="Cells")),((CN29*CN$51)/(CN$53)),IF(AND(Results!$E$5="Weight",$C$52&gt;0, Results!$E$4="Tissue",OR($B$52="g",$B$52="mg")),((CN29*CN$51)/(CN$52)),IF(AND(Results!$E$5="Volume",$C$54&gt;0,Results!$E$4="Fluid"),((CN29*CN$51)/(CN$54)),IF(AND(Results!$E$4="Cells",Results!$E$5="Million",$B$52="million"),((CN29*CN$51)/(CN$52)),"0")))))</f>
        <v>0</v>
      </c>
      <c r="CO82" s="20" t="str">
        <f>IF(CO29=0,"0",IF(AND(Results!$E$5="Protein",$C$53&gt;0,OR(Results!$E$4="Tissue",Results!$E$4="Cells")),((CO29*CO$51)/(CO$53)),IF(AND(Results!$E$5="Weight",$C$52&gt;0, Results!$E$4="Tissue",OR($B$52="g",$B$52="mg")),((CO29*CO$51)/(CO$52)),IF(AND(Results!$E$5="Volume",$C$54&gt;0,Results!$E$4="Fluid"),((CO29*CO$51)/(CO$54)),IF(AND(Results!$E$4="Cells",Results!$E$5="Million",$B$52="million"),((CO29*CO$51)/(CO$52)),"0")))))</f>
        <v>0</v>
      </c>
      <c r="CP82" s="20" t="str">
        <f>IF(CP29=0,"0",IF(AND(Results!$E$5="Protein",$C$53&gt;0,OR(Results!$E$4="Tissue",Results!$E$4="Cells")),((CP29*CP$51)/(CP$53)),IF(AND(Results!$E$5="Weight",$C$52&gt;0, Results!$E$4="Tissue",OR($B$52="g",$B$52="mg")),((CP29*CP$51)/(CP$52)),IF(AND(Results!$E$5="Volume",$C$54&gt;0,Results!$E$4="Fluid"),((CP29*CP$51)/(CP$54)),IF(AND(Results!$E$4="Cells",Results!$E$5="Million",$B$52="million"),((CP29*CP$51)/(CP$52)),"0")))))</f>
        <v>0</v>
      </c>
      <c r="CQ82" s="20" t="str">
        <f>IF(CQ29=0,"0",IF(AND(Results!$E$5="Protein",$C$53&gt;0,OR(Results!$E$4="Tissue",Results!$E$4="Cells")),((CQ29*CQ$51)/(CQ$53)),IF(AND(Results!$E$5="Weight",$C$52&gt;0, Results!$E$4="Tissue",OR($B$52="g",$B$52="mg")),((CQ29*CQ$51)/(CQ$52)),IF(AND(Results!$E$5="Volume",$C$54&gt;0,Results!$E$4="Fluid"),((CQ29*CQ$51)/(CQ$54)),IF(AND(Results!$E$4="Cells",Results!$E$5="Million",$B$52="million"),((CQ29*CQ$51)/(CQ$52)),"0")))))</f>
        <v>0</v>
      </c>
      <c r="CR82" s="20" t="str">
        <f>IF(CR29=0,"0",IF(AND(Results!$E$5="Protein",$C$53&gt;0,OR(Results!$E$4="Tissue",Results!$E$4="Cells")),((CR29*CR$51)/(CR$53)),IF(AND(Results!$E$5="Weight",$C$52&gt;0, Results!$E$4="Tissue",OR($B$52="g",$B$52="mg")),((CR29*CR$51)/(CR$52)),IF(AND(Results!$E$5="Volume",$C$54&gt;0,Results!$E$4="Fluid"),((CR29*CR$51)/(CR$54)),IF(AND(Results!$E$4="Cells",Results!$E$5="Million",$B$52="million"),((CR29*CR$51)/(CR$52)),"0")))))</f>
        <v>0</v>
      </c>
      <c r="CS82" s="20" t="str">
        <f>IF(CS29=0,"0",IF(AND(Results!$E$5="Protein",$C$53&gt;0,OR(Results!$E$4="Tissue",Results!$E$4="Cells")),((CS29*CS$51)/(CS$53)),IF(AND(Results!$E$5="Weight",$C$52&gt;0, Results!$E$4="Tissue",OR($B$52="g",$B$52="mg")),((CS29*CS$51)/(CS$52)),IF(AND(Results!$E$5="Volume",$C$54&gt;0,Results!$E$4="Fluid"),((CS29*CS$51)/(CS$54)),IF(AND(Results!$E$4="Cells",Results!$E$5="Million",$B$52="million"),((CS29*CS$51)/(CS$52)),"0")))))</f>
        <v>0</v>
      </c>
      <c r="CT82" s="20" t="str">
        <f>IF(CT29=0,"0",IF(AND(Results!$E$5="Protein",$C$53&gt;0,OR(Results!$E$4="Tissue",Results!$E$4="Cells")),((CT29*CT$51)/(CT$53)),IF(AND(Results!$E$5="Weight",$C$52&gt;0, Results!$E$4="Tissue",OR($B$52="g",$B$52="mg")),((CT29*CT$51)/(CT$52)),IF(AND(Results!$E$5="Volume",$C$54&gt;0,Results!$E$4="Fluid"),((CT29*CT$51)/(CT$54)),IF(AND(Results!$E$4="Cells",Results!$E$5="Million",$B$52="million"),((CT29*CT$51)/(CT$52)),"0")))))</f>
        <v>0</v>
      </c>
      <c r="CU82" s="20" t="str">
        <f>IF(CU29=0,"0",IF(AND(Results!$E$5="Protein",$C$53&gt;0,OR(Results!$E$4="Tissue",Results!$E$4="Cells")),((CU29*CU$51)/(CU$53)),IF(AND(Results!$E$5="Weight",$C$52&gt;0, Results!$E$4="Tissue",OR($B$52="g",$B$52="mg")),((CU29*CU$51)/(CU$52)),IF(AND(Results!$E$5="Volume",$C$54&gt;0,Results!$E$4="Fluid"),((CU29*CU$51)/(CU$54)),IF(AND(Results!$E$4="Cells",Results!$E$5="Million",$B$52="million"),((CU29*CU$51)/(CU$52)),"0")))))</f>
        <v>0</v>
      </c>
      <c r="CV82" s="20" t="str">
        <f>IF(CV29=0,"0",IF(AND(Results!$E$5="Protein",$C$53&gt;0,OR(Results!$E$4="Tissue",Results!$E$4="Cells")),((CV29*CV$51)/(CV$53)),IF(AND(Results!$E$5="Weight",$C$52&gt;0, Results!$E$4="Tissue",OR($B$52="g",$B$52="mg")),((CV29*CV$51)/(CV$52)),IF(AND(Results!$E$5="Volume",$C$54&gt;0,Results!$E$4="Fluid"),((CV29*CV$51)/(CV$54)),IF(AND(Results!$E$4="Cells",Results!$E$5="Million",$B$52="million"),((CV29*CV$51)/(CV$52)),"0")))))</f>
        <v>0</v>
      </c>
      <c r="CW82" s="20" t="str">
        <f>IF(CW29=0,"0",IF(AND(Results!$E$5="Protein",$C$53&gt;0,OR(Results!$E$4="Tissue",Results!$E$4="Cells")),((CW29*CW$51)/(CW$53)),IF(AND(Results!$E$5="Weight",$C$52&gt;0, Results!$E$4="Tissue",OR($B$52="g",$B$52="mg")),((CW29*CW$51)/(CW$52)),IF(AND(Results!$E$5="Volume",$C$54&gt;0,Results!$E$4="Fluid"),((CW29*CW$51)/(CW$54)),IF(AND(Results!$E$4="Cells",Results!$E$5="Million",$B$52="million"),((CW29*CW$51)/(CW$52)),"0")))))</f>
        <v>0</v>
      </c>
      <c r="CX82" s="20" t="str">
        <f>IF(CX29=0,"0",IF(AND(Results!$E$5="Protein",$C$53&gt;0,OR(Results!$E$4="Tissue",Results!$E$4="Cells")),((CX29*CX$51)/(CX$53)),IF(AND(Results!$E$5="Weight",$C$52&gt;0, Results!$E$4="Tissue",OR($B$52="g",$B$52="mg")),((CX29*CX$51)/(CX$52)),IF(AND(Results!$E$5="Volume",$C$54&gt;0,Results!$E$4="Fluid"),((CX29*CX$51)/(CX$54)),IF(AND(Results!$E$4="Cells",Results!$E$5="Million",$B$52="million"),((CX29*CX$51)/(CX$52)),"0")))))</f>
        <v>0</v>
      </c>
      <c r="CY82" s="20" t="str">
        <f>IF(CY29=0,"0",IF(AND(Results!$E$5="Protein",$C$53&gt;0,OR(Results!$E$4="Tissue",Results!$E$4="Cells")),((CY29*CY$51)/(CY$53)),IF(AND(Results!$E$5="Weight",$C$52&gt;0, Results!$E$4="Tissue",OR($B$52="g",$B$52="mg")),((CY29*CY$51)/(CY$52)),IF(AND(Results!$E$5="Volume",$C$54&gt;0,Results!$E$4="Fluid"),((CY29*CY$51)/(CY$54)),IF(AND(Results!$E$4="Cells",Results!$E$5="Million",$B$52="million"),((CY29*CY$51)/(CY$52)),"0")))))</f>
        <v>0</v>
      </c>
      <c r="CZ82" s="20" t="str">
        <f>IF(CZ29=0,"0",IF(AND(Results!$E$5="Protein",$C$53&gt;0,OR(Results!$E$4="Tissue",Results!$E$4="Cells")),((CZ29*CZ$51)/(CZ$53)),IF(AND(Results!$E$5="Weight",$C$52&gt;0, Results!$E$4="Tissue",OR($B$52="g",$B$52="mg")),((CZ29*CZ$51)/(CZ$52)),IF(AND(Results!$E$5="Volume",$C$54&gt;0,Results!$E$4="Fluid"),((CZ29*CZ$51)/(CZ$54)),IF(AND(Results!$E$4="Cells",Results!$E$5="Million",$B$52="million"),((CZ29*CZ$51)/(CZ$52)),"0")))))</f>
        <v>0</v>
      </c>
      <c r="DA82" s="20" t="str">
        <f>IF(DA29=0,"0",IF(AND(Results!$E$5="Protein",$C$53&gt;0,OR(Results!$E$4="Tissue",Results!$E$4="Cells")),((DA29*DA$51)/(DA$53)),IF(AND(Results!$E$5="Weight",$C$52&gt;0, Results!$E$4="Tissue",OR($B$52="g",$B$52="mg")),((DA29*DA$51)/(DA$52)),IF(AND(Results!$E$5="Volume",$C$54&gt;0,Results!$E$4="Fluid"),((DA29*DA$51)/(DA$54)),IF(AND(Results!$E$4="Cells",Results!$E$5="Million",$B$52="million"),((DA29*DA$51)/(DA$52)),"0")))))</f>
        <v>0</v>
      </c>
      <c r="DB82" s="20" t="str">
        <f>IF(DB29=0,"0",IF(AND(Results!$E$5="Protein",$C$53&gt;0,OR(Results!$E$4="Tissue",Results!$E$4="Cells")),((DB29*DB$51)/(DB$53)),IF(AND(Results!$E$5="Weight",$C$52&gt;0, Results!$E$4="Tissue",OR($B$52="g",$B$52="mg")),((DB29*DB$51)/(DB$52)),IF(AND(Results!$E$5="Volume",$C$54&gt;0,Results!$E$4="Fluid"),((DB29*DB$51)/(DB$54)),IF(AND(Results!$E$4="Cells",Results!$E$5="Million",$B$52="million"),((DB29*DB$51)/(DB$52)),"0")))))</f>
        <v>0</v>
      </c>
      <c r="DC82" s="20" t="str">
        <f>IF(DC29=0,"0",IF(AND(Results!$E$5="Protein",$C$53&gt;0,OR(Results!$E$4="Tissue",Results!$E$4="Cells")),((DC29*DC$51)/(DC$53)),IF(AND(Results!$E$5="Weight",$C$52&gt;0, Results!$E$4="Tissue",OR($B$52="g",$B$52="mg")),((DC29*DC$51)/(DC$52)),IF(AND(Results!$E$5="Volume",$C$54&gt;0,Results!$E$4="Fluid"),((DC29*DC$51)/(DC$54)),IF(AND(Results!$E$4="Cells",Results!$E$5="Million",$B$52="million"),((DC29*DC$51)/(DC$52)),"0")))))</f>
        <v>0</v>
      </c>
      <c r="DD82" s="20" t="str">
        <f>IF(DD29=0,"0",IF(AND(Results!$E$5="Protein",$C$53&gt;0,OR(Results!$E$4="Tissue",Results!$E$4="Cells")),((DD29*DD$51)/(DD$53)),IF(AND(Results!$E$5="Weight",$C$52&gt;0, Results!$E$4="Tissue",OR($B$52="g",$B$52="mg")),((DD29*DD$51)/(DD$52)),IF(AND(Results!$E$5="Volume",$C$54&gt;0,Results!$E$4="Fluid"),((DD29*DD$51)/(DD$54)),IF(AND(Results!$E$4="Cells",Results!$E$5="Million",$B$52="million"),((DD29*DD$51)/(DD$52)),"0")))))</f>
        <v>0</v>
      </c>
      <c r="DE82" s="20" t="str">
        <f>IF(DE29=0,"0",IF(AND(Results!$E$5="Protein",$C$53&gt;0,OR(Results!$E$4="Tissue",Results!$E$4="Cells")),((DE29*DE$51)/(DE$53)),IF(AND(Results!$E$5="Weight",$C$52&gt;0, Results!$E$4="Tissue",OR($B$52="g",$B$52="mg")),((DE29*DE$51)/(DE$52)),IF(AND(Results!$E$5="Volume",$C$54&gt;0,Results!$E$4="Fluid"),((DE29*DE$51)/(DE$54)),IF(AND(Results!$E$4="Cells",Results!$E$5="Million",$B$52="million"),((DE29*DE$51)/(DE$52)),"0")))))</f>
        <v>0</v>
      </c>
      <c r="DF82" s="20" t="str">
        <f>IF(DF29=0,"0",IF(AND(Results!$E$5="Protein",$C$53&gt;0,OR(Results!$E$4="Tissue",Results!$E$4="Cells")),((DF29*DF$51)/(DF$53)),IF(AND(Results!$E$5="Weight",$C$52&gt;0, Results!$E$4="Tissue",OR($B$52="g",$B$52="mg")),((DF29*DF$51)/(DF$52)),IF(AND(Results!$E$5="Volume",$C$54&gt;0,Results!$E$4="Fluid"),((DF29*DF$51)/(DF$54)),IF(AND(Results!$E$4="Cells",Results!$E$5="Million",$B$52="million"),((DF29*DF$51)/(DF$52)),"0")))))</f>
        <v>0</v>
      </c>
      <c r="DG82" s="20" t="str">
        <f>IF(DG29=0,"0",IF(AND(Results!$E$5="Protein",$C$53&gt;0,OR(Results!$E$4="Tissue",Results!$E$4="Cells")),((DG29*DG$51)/(DG$53)),IF(AND(Results!$E$5="Weight",$C$52&gt;0, Results!$E$4="Tissue",OR($B$52="g",$B$52="mg")),((DG29*DG$51)/(DG$52)),IF(AND(Results!$E$5="Volume",$C$54&gt;0,Results!$E$4="Fluid"),((DG29*DG$51)/(DG$54)),IF(AND(Results!$E$4="Cells",Results!$E$5="Million",$B$52="million"),((DG29*DG$51)/(DG$52)),"0")))))</f>
        <v>0</v>
      </c>
      <c r="DH82" s="20" t="str">
        <f>IF(DH29=0,"0",IF(AND(Results!$E$5="Protein",$C$53&gt;0,OR(Results!$E$4="Tissue",Results!$E$4="Cells")),((DH29*DH$51)/(DH$53)),IF(AND(Results!$E$5="Weight",$C$52&gt;0, Results!$E$4="Tissue",OR($B$52="g",$B$52="mg")),((DH29*DH$51)/(DH$52)),IF(AND(Results!$E$5="Volume",$C$54&gt;0,Results!$E$4="Fluid"),((DH29*DH$51)/(DH$54)),IF(AND(Results!$E$4="Cells",Results!$E$5="Million",$B$52="million"),((DH29*DH$51)/(DH$52)),"0")))))</f>
        <v>0</v>
      </c>
      <c r="DI82" s="20" t="str">
        <f>IF(DI29=0,"0",IF(AND(Results!$E$5="Protein",$C$53&gt;0,OR(Results!$E$4="Tissue",Results!$E$4="Cells")),((DI29*DI$51)/(DI$53)),IF(AND(Results!$E$5="Weight",$C$52&gt;0, Results!$E$4="Tissue",OR($B$52="g",$B$52="mg")),((DI29*DI$51)/(DI$52)),IF(AND(Results!$E$5="Volume",$C$54&gt;0,Results!$E$4="Fluid"),((DI29*DI$51)/(DI$54)),IF(AND(Results!$E$4="Cells",Results!$E$5="Million",$B$52="million"),((DI29*DI$51)/(DI$52)),"0")))))</f>
        <v>0</v>
      </c>
      <c r="DJ82" s="20" t="str">
        <f>IF(DJ29=0,"0",IF(AND(Results!$E$5="Protein",$C$53&gt;0,OR(Results!$E$4="Tissue",Results!$E$4="Cells")),((DJ29*DJ$51)/(DJ$53)),IF(AND(Results!$E$5="Weight",$C$52&gt;0, Results!$E$4="Tissue",OR($B$52="g",$B$52="mg")),((DJ29*DJ$51)/(DJ$52)),IF(AND(Results!$E$5="Volume",$C$54&gt;0,Results!$E$4="Fluid"),((DJ29*DJ$51)/(DJ$54)),IF(AND(Results!$E$4="Cells",Results!$E$5="Million",$B$52="million"),((DJ29*DJ$51)/(DJ$52)),"0")))))</f>
        <v>0</v>
      </c>
      <c r="DK82" s="20" t="str">
        <f>IF(DK29=0,"0",IF(AND(Results!$E$5="Protein",$C$53&gt;0,OR(Results!$E$4="Tissue",Results!$E$4="Cells")),((DK29*DK$51)/(DK$53)),IF(AND(Results!$E$5="Weight",$C$52&gt;0, Results!$E$4="Tissue",OR($B$52="g",$B$52="mg")),((DK29*DK$51)/(DK$52)),IF(AND(Results!$E$5="Volume",$C$54&gt;0,Results!$E$4="Fluid"),((DK29*DK$51)/(DK$54)),IF(AND(Results!$E$4="Cells",Results!$E$5="Million",$B$52="million"),((DK29*DK$51)/(DK$52)),"0")))))</f>
        <v>0</v>
      </c>
      <c r="DL82" s="20" t="str">
        <f>IF(DL29=0,"0",IF(AND(Results!$E$5="Protein",$C$53&gt;0,OR(Results!$E$4="Tissue",Results!$E$4="Cells")),((DL29*DL$51)/(DL$53)),IF(AND(Results!$E$5="Weight",$C$52&gt;0, Results!$E$4="Tissue",OR($B$52="g",$B$52="mg")),((DL29*DL$51)/(DL$52)),IF(AND(Results!$E$5="Volume",$C$54&gt;0,Results!$E$4="Fluid"),((DL29*DL$51)/(DL$54)),IF(AND(Results!$E$4="Cells",Results!$E$5="Million",$B$52="million"),((DL29*DL$51)/(DL$52)),"0")))))</f>
        <v>0</v>
      </c>
      <c r="DM82" s="20" t="str">
        <f>IF(DM29=0,"0",IF(AND(Results!$E$5="Protein",$C$53&gt;0,OR(Results!$E$4="Tissue",Results!$E$4="Cells")),((DM29*DM$51)/(DM$53)),IF(AND(Results!$E$5="Weight",$C$52&gt;0, Results!$E$4="Tissue",OR($B$52="g",$B$52="mg")),((DM29*DM$51)/(DM$52)),IF(AND(Results!$E$5="Volume",$C$54&gt;0,Results!$E$4="Fluid"),((DM29*DM$51)/(DM$54)),IF(AND(Results!$E$4="Cells",Results!$E$5="Million",$B$52="million"),((DM29*DM$51)/(DM$52)),"0")))))</f>
        <v>0</v>
      </c>
      <c r="DN82" s="20" t="str">
        <f>IF(DN29=0,"0",IF(AND(Results!$E$5="Protein",$C$53&gt;0,OR(Results!$E$4="Tissue",Results!$E$4="Cells")),((DN29*DN$51)/(DN$53)),IF(AND(Results!$E$5="Weight",$C$52&gt;0, Results!$E$4="Tissue",OR($B$52="g",$B$52="mg")),((DN29*DN$51)/(DN$52)),IF(AND(Results!$E$5="Volume",$C$54&gt;0,Results!$E$4="Fluid"),((DN29*DN$51)/(DN$54)),IF(AND(Results!$E$4="Cells",Results!$E$5="Million",$B$52="million"),((DN29*DN$51)/(DN$52)),"0")))))</f>
        <v>0</v>
      </c>
      <c r="DO82" s="20" t="str">
        <f>IF(DO29=0,"0",IF(AND(Results!$E$5="Protein",$C$53&gt;0,OR(Results!$E$4="Tissue",Results!$E$4="Cells")),((DO29*DO$51)/(DO$53)),IF(AND(Results!$E$5="Weight",$C$52&gt;0, Results!$E$4="Tissue",OR($B$52="g",$B$52="mg")),((DO29*DO$51)/(DO$52)),IF(AND(Results!$E$5="Volume",$C$54&gt;0,Results!$E$4="Fluid"),((DO29*DO$51)/(DO$54)),IF(AND(Results!$E$4="Cells",Results!$E$5="Million",$B$52="million"),((DO29*DO$51)/(DO$52)),"0")))))</f>
        <v>0</v>
      </c>
      <c r="DP82" s="20" t="str">
        <f>IF(DP29=0,"0",IF(AND(Results!$E$5="Protein",$C$53&gt;0,OR(Results!$E$4="Tissue",Results!$E$4="Cells")),((DP29*DP$51)/(DP$53)),IF(AND(Results!$E$5="Weight",$C$52&gt;0, Results!$E$4="Tissue",OR($B$52="g",$B$52="mg")),((DP29*DP$51)/(DP$52)),IF(AND(Results!$E$5="Volume",$C$54&gt;0,Results!$E$4="Fluid"),((DP29*DP$51)/(DP$54)),IF(AND(Results!$E$4="Cells",Results!$E$5="Million",$B$52="million"),((DP29*DP$51)/(DP$52)),"0")))))</f>
        <v>0</v>
      </c>
      <c r="DQ82" s="20" t="str">
        <f>IF(DQ29=0,"0",IF(AND(Results!$E$5="Protein",$C$53&gt;0,OR(Results!$E$4="Tissue",Results!$E$4="Cells")),((DQ29*DQ$51)/(DQ$53)),IF(AND(Results!$E$5="Weight",$C$52&gt;0, Results!$E$4="Tissue",OR($B$52="g",$B$52="mg")),((DQ29*DQ$51)/(DQ$52)),IF(AND(Results!$E$5="Volume",$C$54&gt;0,Results!$E$4="Fluid"),((DQ29*DQ$51)/(DQ$54)),IF(AND(Results!$E$4="Cells",Results!$E$5="Million",$B$52="million"),((DQ29*DQ$51)/(DQ$52)),"0")))))</f>
        <v>0</v>
      </c>
      <c r="DR82" s="20" t="str">
        <f>IF(DR29=0,"0",IF(AND(Results!$E$5="Protein",$C$53&gt;0,OR(Results!$E$4="Tissue",Results!$E$4="Cells")),((DR29*DR$51)/(DR$53)),IF(AND(Results!$E$5="Weight",$C$52&gt;0, Results!$E$4="Tissue",OR($B$52="g",$B$52="mg")),((DR29*DR$51)/(DR$52)),IF(AND(Results!$E$5="Volume",$C$54&gt;0,Results!$E$4="Fluid"),((DR29*DR$51)/(DR$54)),IF(AND(Results!$E$4="Cells",Results!$E$5="Million",$B$52="million"),((DR29*DR$51)/(DR$52)),"0")))))</f>
        <v>0</v>
      </c>
      <c r="DS82" s="20" t="str">
        <f>IF(DS29=0,"0",IF(AND(Results!$E$5="Protein",$C$53&gt;0,OR(Results!$E$4="Tissue",Results!$E$4="Cells")),((DS29*DS$51)/(DS$53)),IF(AND(Results!$E$5="Weight",$C$52&gt;0, Results!$E$4="Tissue",OR($B$52="g",$B$52="mg")),((DS29*DS$51)/(DS$52)),IF(AND(Results!$E$5="Volume",$C$54&gt;0,Results!$E$4="Fluid"),((DS29*DS$51)/(DS$54)),IF(AND(Results!$E$4="Cells",Results!$E$5="Million",$B$52="million"),((DS29*DS$51)/(DS$52)),"0")))))</f>
        <v>0</v>
      </c>
      <c r="DT82" s="20" t="str">
        <f>IF(DT29=0,"0",IF(AND(Results!$E$5="Protein",$C$53&gt;0,OR(Results!$E$4="Tissue",Results!$E$4="Cells")),((DT29*DT$51)/(DT$53)),IF(AND(Results!$E$5="Weight",$C$52&gt;0, Results!$E$4="Tissue",OR($B$52="g",$B$52="mg")),((DT29*DT$51)/(DT$52)),IF(AND(Results!$E$5="Volume",$C$54&gt;0,Results!$E$4="Fluid"),((DT29*DT$51)/(DT$54)),IF(AND(Results!$E$4="Cells",Results!$E$5="Million",$B$52="million"),((DT29*DT$51)/(DT$52)),"0")))))</f>
        <v>0</v>
      </c>
      <c r="DU82" s="20" t="str">
        <f>IF(DU29=0,"0",IF(AND(Results!$E$5="Protein",$C$53&gt;0,OR(Results!$E$4="Tissue",Results!$E$4="Cells")),((DU29*DU$51)/(DU$53)),IF(AND(Results!$E$5="Weight",$C$52&gt;0, Results!$E$4="Tissue",OR($B$52="g",$B$52="mg")),((DU29*DU$51)/(DU$52)),IF(AND(Results!$E$5="Volume",$C$54&gt;0,Results!$E$4="Fluid"),((DU29*DU$51)/(DU$54)),IF(AND(Results!$E$4="Cells",Results!$E$5="Million",$B$52="million"),((DU29*DU$51)/(DU$52)),"0")))))</f>
        <v>0</v>
      </c>
      <c r="DV82" s="20" t="str">
        <f>IF(DV29=0,"0",IF(AND(Results!$E$5="Protein",$C$53&gt;0,OR(Results!$E$4="Tissue",Results!$E$4="Cells")),((DV29*DV$51)/(DV$53)),IF(AND(Results!$E$5="Weight",$C$52&gt;0, Results!$E$4="Tissue",OR($B$52="g",$B$52="mg")),((DV29*DV$51)/(DV$52)),IF(AND(Results!$E$5="Volume",$C$54&gt;0,Results!$E$4="Fluid"),((DV29*DV$51)/(DV$54)),IF(AND(Results!$E$4="Cells",Results!$E$5="Million",$B$52="million"),((DV29*DV$51)/(DV$52)),"0")))))</f>
        <v>0</v>
      </c>
      <c r="DW82" s="20" t="str">
        <f>IF(DW29=0,"0",IF(AND(Results!$E$5="Protein",$C$53&gt;0,OR(Results!$E$4="Tissue",Results!$E$4="Cells")),((DW29*DW$51)/(DW$53)),IF(AND(Results!$E$5="Weight",$C$52&gt;0, Results!$E$4="Tissue",OR($B$52="g",$B$52="mg")),((DW29*DW$51)/(DW$52)),IF(AND(Results!$E$5="Volume",$C$54&gt;0,Results!$E$4="Fluid"),((DW29*DW$51)/(DW$54)),IF(AND(Results!$E$4="Cells",Results!$E$5="Million",$B$52="million"),((DW29*DW$51)/(DW$52)),"0")))))</f>
        <v>0</v>
      </c>
      <c r="DX82" s="20" t="str">
        <f>IF(DX29=0,"0",IF(AND(Results!$E$5="Protein",$C$53&gt;0,OR(Results!$E$4="Tissue",Results!$E$4="Cells")),((DX29*DX$51)/(DX$53)),IF(AND(Results!$E$5="Weight",$C$52&gt;0, Results!$E$4="Tissue",OR($B$52="g",$B$52="mg")),((DX29*DX$51)/(DX$52)),IF(AND(Results!$E$5="Volume",$C$54&gt;0,Results!$E$4="Fluid"),((DX29*DX$51)/(DX$54)),IF(AND(Results!$E$4="Cells",Results!$E$5="Million",$B$52="million"),((DX29*DX$51)/(DX$52)),"0")))))</f>
        <v>0</v>
      </c>
      <c r="DY82" s="20" t="str">
        <f>IF(DY29=0,"0",IF(AND(Results!$E$5="Protein",$C$53&gt;0,OR(Results!$E$4="Tissue",Results!$E$4="Cells")),((DY29*DY$51)/(DY$53)),IF(AND(Results!$E$5="Weight",$C$52&gt;0, Results!$E$4="Tissue",OR($B$52="g",$B$52="mg")),((DY29*DY$51)/(DY$52)),IF(AND(Results!$E$5="Volume",$C$54&gt;0,Results!$E$4="Fluid"),((DY29*DY$51)/(DY$54)),IF(AND(Results!$E$4="Cells",Results!$E$5="Million",$B$52="million"),((DY29*DY$51)/(DY$52)),"0")))))</f>
        <v>0</v>
      </c>
      <c r="DZ82" s="20" t="str">
        <f>IF(DZ29=0,"0",IF(AND(Results!$E$5="Protein",$C$53&gt;0,OR(Results!$E$4="Tissue",Results!$E$4="Cells")),((DZ29*DZ$51)/(DZ$53)),IF(AND(Results!$E$5="Weight",$C$52&gt;0, Results!$E$4="Tissue",OR($B$52="g",$B$52="mg")),((DZ29*DZ$51)/(DZ$52)),IF(AND(Results!$E$5="Volume",$C$54&gt;0,Results!$E$4="Fluid"),((DZ29*DZ$51)/(DZ$54)),IF(AND(Results!$E$4="Cells",Results!$E$5="Million",$B$52="million"),((DZ29*DZ$51)/(DZ$52)),"0")))))</f>
        <v>0</v>
      </c>
      <c r="EA82" s="20" t="str">
        <f>IF(EA29=0,"0",IF(AND(Results!$E$5="Protein",$C$53&gt;0,OR(Results!$E$4="Tissue",Results!$E$4="Cells")),((EA29*EA$51)/(EA$53)),IF(AND(Results!$E$5="Weight",$C$52&gt;0, Results!$E$4="Tissue",OR($B$52="g",$B$52="mg")),((EA29*EA$51)/(EA$52)),IF(AND(Results!$E$5="Volume",$C$54&gt;0,Results!$E$4="Fluid"),((EA29*EA$51)/(EA$54)),IF(AND(Results!$E$4="Cells",Results!$E$5="Million",$B$52="million"),((EA29*EA$51)/(EA$52)),"0")))))</f>
        <v>0</v>
      </c>
      <c r="EB82" s="20" t="str">
        <f>IF(EB29=0,"0",IF(AND(Results!$E$5="Protein",$C$53&gt;0,OR(Results!$E$4="Tissue",Results!$E$4="Cells")),((EB29*EB$51)/(EB$53)),IF(AND(Results!$E$5="Weight",$C$52&gt;0, Results!$E$4="Tissue",OR($B$52="g",$B$52="mg")),((EB29*EB$51)/(EB$52)),IF(AND(Results!$E$5="Volume",$C$54&gt;0,Results!$E$4="Fluid"),((EB29*EB$51)/(EB$54)),IF(AND(Results!$E$4="Cells",Results!$E$5="Million",$B$52="million"),((EB29*EB$51)/(EB$52)),"0")))))</f>
        <v>0</v>
      </c>
      <c r="EC82" s="20" t="str">
        <f>IF(EC29=0,"0",IF(AND(Results!$E$5="Protein",$C$53&gt;0,OR(Results!$E$4="Tissue",Results!$E$4="Cells")),((EC29*EC$51)/(EC$53)),IF(AND(Results!$E$5="Weight",$C$52&gt;0, Results!$E$4="Tissue",OR($B$52="g",$B$52="mg")),((EC29*EC$51)/(EC$52)),IF(AND(Results!$E$5="Volume",$C$54&gt;0,Results!$E$4="Fluid"),((EC29*EC$51)/(EC$54)),IF(AND(Results!$E$4="Cells",Results!$E$5="Million",$B$52="million"),((EC29*EC$51)/(EC$52)),"0")))))</f>
        <v>0</v>
      </c>
      <c r="ED82" s="20" t="str">
        <f>IF(ED29=0,"0",IF(AND(Results!$E$5="Protein",$C$53&gt;0,OR(Results!$E$4="Tissue",Results!$E$4="Cells")),((ED29*ED$51)/(ED$53)),IF(AND(Results!$E$5="Weight",$C$52&gt;0, Results!$E$4="Tissue",OR($B$52="g",$B$52="mg")),((ED29*ED$51)/(ED$52)),IF(AND(Results!$E$5="Volume",$C$54&gt;0,Results!$E$4="Fluid"),((ED29*ED$51)/(ED$54)),IF(AND(Results!$E$4="Cells",Results!$E$5="Million",$B$52="million"),((ED29*ED$51)/(ED$52)),"0")))))</f>
        <v>0</v>
      </c>
      <c r="EE82" s="20" t="str">
        <f>IF(EE29=0,"0",IF(AND(Results!$E$5="Protein",$C$53&gt;0,OR(Results!$E$4="Tissue",Results!$E$4="Cells")),((EE29*EE$51)/(EE$53)),IF(AND(Results!$E$5="Weight",$C$52&gt;0, Results!$E$4="Tissue",OR($B$52="g",$B$52="mg")),((EE29*EE$51)/(EE$52)),IF(AND(Results!$E$5="Volume",$C$54&gt;0,Results!$E$4="Fluid"),((EE29*EE$51)/(EE$54)),IF(AND(Results!$E$4="Cells",Results!$E$5="Million",$B$52="million"),((EE29*EE$51)/(EE$52)),"0")))))</f>
        <v>0</v>
      </c>
      <c r="EF82" s="20" t="str">
        <f>IF(EF29=0,"0",IF(AND(Results!$E$5="Protein",$C$53&gt;0,OR(Results!$E$4="Tissue",Results!$E$4="Cells")),((EF29*EF$51)/(EF$53)),IF(AND(Results!$E$5="Weight",$C$52&gt;0, Results!$E$4="Tissue",OR($B$52="g",$B$52="mg")),((EF29*EF$51)/(EF$52)),IF(AND(Results!$E$5="Volume",$C$54&gt;0,Results!$E$4="Fluid"),((EF29*EF$51)/(EF$54)),IF(AND(Results!$E$4="Cells",Results!$E$5="Million",$B$52="million"),((EF29*EF$51)/(EF$52)),"0")))))</f>
        <v>0</v>
      </c>
      <c r="EG82" s="20" t="str">
        <f>IF(EG29=0,"0",IF(AND(Results!$E$5="Protein",$C$53&gt;0,OR(Results!$E$4="Tissue",Results!$E$4="Cells")),((EG29*EG$51)/(EG$53)),IF(AND(Results!$E$5="Weight",$C$52&gt;0, Results!$E$4="Tissue",OR($B$52="g",$B$52="mg")),((EG29*EG$51)/(EG$52)),IF(AND(Results!$E$5="Volume",$C$54&gt;0,Results!$E$4="Fluid"),((EG29*EG$51)/(EG$54)),IF(AND(Results!$E$4="Cells",Results!$E$5="Million",$B$52="million"),((EG29*EG$51)/(EG$52)),"0")))))</f>
        <v>0</v>
      </c>
      <c r="EH82" s="20" t="str">
        <f>IF(EH29=0,"0",IF(AND(Results!$E$5="Protein",$C$53&gt;0,OR(Results!$E$4="Tissue",Results!$E$4="Cells")),((EH29*EH$51)/(EH$53)),IF(AND(Results!$E$5="Weight",$C$52&gt;0, Results!$E$4="Tissue",OR($B$52="g",$B$52="mg")),((EH29*EH$51)/(EH$52)),IF(AND(Results!$E$5="Volume",$C$54&gt;0,Results!$E$4="Fluid"),((EH29*EH$51)/(EH$54)),IF(AND(Results!$E$4="Cells",Results!$E$5="Million",$B$52="million"),((EH29*EH$51)/(EH$52)),"0")))))</f>
        <v>0</v>
      </c>
      <c r="EI82" s="20" t="str">
        <f>IF(EI29=0,"0",IF(AND(Results!$E$5="Protein",$C$53&gt;0,OR(Results!$E$4="Tissue",Results!$E$4="Cells")),((EI29*EI$51)/(EI$53)),IF(AND(Results!$E$5="Weight",$C$52&gt;0, Results!$E$4="Tissue",OR($B$52="g",$B$52="mg")),((EI29*EI$51)/(EI$52)),IF(AND(Results!$E$5="Volume",$C$54&gt;0,Results!$E$4="Fluid"),((EI29*EI$51)/(EI$54)),IF(AND(Results!$E$4="Cells",Results!$E$5="Million",$B$52="million"),((EI29*EI$51)/(EI$52)),"0")))))</f>
        <v>0</v>
      </c>
      <c r="EJ82" s="20" t="str">
        <f>IF(EJ29=0,"0",IF(AND(Results!$E$5="Protein",$C$53&gt;0,OR(Results!$E$4="Tissue",Results!$E$4="Cells")),((EJ29*EJ$51)/(EJ$53)),IF(AND(Results!$E$5="Weight",$C$52&gt;0, Results!$E$4="Tissue",OR($B$52="g",$B$52="mg")),((EJ29*EJ$51)/(EJ$52)),IF(AND(Results!$E$5="Volume",$C$54&gt;0,Results!$E$4="Fluid"),((EJ29*EJ$51)/(EJ$54)),IF(AND(Results!$E$4="Cells",Results!$E$5="Million",$B$52="million"),((EJ29*EJ$51)/(EJ$52)),"0")))))</f>
        <v>0</v>
      </c>
      <c r="EK82" s="20" t="str">
        <f>IF(EK29=0,"0",IF(AND(Results!$E$5="Protein",$C$53&gt;0,OR(Results!$E$4="Tissue",Results!$E$4="Cells")),((EK29*EK$51)/(EK$53)),IF(AND(Results!$E$5="Weight",$C$52&gt;0, Results!$E$4="Tissue",OR($B$52="g",$B$52="mg")),((EK29*EK$51)/(EK$52)),IF(AND(Results!$E$5="Volume",$C$54&gt;0,Results!$E$4="Fluid"),((EK29*EK$51)/(EK$54)),IF(AND(Results!$E$4="Cells",Results!$E$5="Million",$B$52="million"),((EK29*EK$51)/(EK$52)),"0")))))</f>
        <v>0</v>
      </c>
      <c r="EL82" s="20" t="str">
        <f>IF(EL29=0,"0",IF(AND(Results!$E$5="Protein",$C$53&gt;0,OR(Results!$E$4="Tissue",Results!$E$4="Cells")),((EL29*EL$51)/(EL$53)),IF(AND(Results!$E$5="Weight",$C$52&gt;0, Results!$E$4="Tissue",OR($B$52="g",$B$52="mg")),((EL29*EL$51)/(EL$52)),IF(AND(Results!$E$5="Volume",$C$54&gt;0,Results!$E$4="Fluid"),((EL29*EL$51)/(EL$54)),IF(AND(Results!$E$4="Cells",Results!$E$5="Million",$B$52="million"),((EL29*EL$51)/(EL$52)),"0")))))</f>
        <v>0</v>
      </c>
      <c r="EM82" s="20" t="str">
        <f>IF(EM29=0,"0",IF(AND(Results!$E$5="Protein",$C$53&gt;0,OR(Results!$E$4="Tissue",Results!$E$4="Cells")),((EM29*EM$51)/(EM$53)),IF(AND(Results!$E$5="Weight",$C$52&gt;0, Results!$E$4="Tissue",OR($B$52="g",$B$52="mg")),((EM29*EM$51)/(EM$52)),IF(AND(Results!$E$5="Volume",$C$54&gt;0,Results!$E$4="Fluid"),((EM29*EM$51)/(EM$54)),IF(AND(Results!$E$4="Cells",Results!$E$5="Million",$B$52="million"),((EM29*EM$51)/(EM$52)),"0")))))</f>
        <v>0</v>
      </c>
      <c r="EN82" s="20" t="str">
        <f>IF(EN29=0,"0",IF(AND(Results!$E$5="Protein",$C$53&gt;0,OR(Results!$E$4="Tissue",Results!$E$4="Cells")),((EN29*EN$51)/(EN$53)),IF(AND(Results!$E$5="Weight",$C$52&gt;0, Results!$E$4="Tissue",OR($B$52="g",$B$52="mg")),((EN29*EN$51)/(EN$52)),IF(AND(Results!$E$5="Volume",$C$54&gt;0,Results!$E$4="Fluid"),((EN29*EN$51)/(EN$54)),IF(AND(Results!$E$4="Cells",Results!$E$5="Million",$B$52="million"),((EN29*EN$51)/(EN$52)),"0")))))</f>
        <v>0</v>
      </c>
      <c r="EO82" s="20" t="str">
        <f>IF(EO29=0,"0",IF(AND(Results!$E$5="Protein",$C$53&gt;0,OR(Results!$E$4="Tissue",Results!$E$4="Cells")),((EO29*EO$51)/(EO$53)),IF(AND(Results!$E$5="Weight",$C$52&gt;0, Results!$E$4="Tissue",OR($B$52="g",$B$52="mg")),((EO29*EO$51)/(EO$52)),IF(AND(Results!$E$5="Volume",$C$54&gt;0,Results!$E$4="Fluid"),((EO29*EO$51)/(EO$54)),IF(AND(Results!$E$4="Cells",Results!$E$5="Million",$B$52="million"),((EO29*EO$51)/(EO$52)),"0")))))</f>
        <v>0</v>
      </c>
      <c r="EP82" s="20" t="str">
        <f>IF(EP29=0,"0",IF(AND(Results!$E$5="Protein",$C$53&gt;0,OR(Results!$E$4="Tissue",Results!$E$4="Cells")),((EP29*EP$51)/(EP$53)),IF(AND(Results!$E$5="Weight",$C$52&gt;0, Results!$E$4="Tissue",OR($B$52="g",$B$52="mg")),((EP29*EP$51)/(EP$52)),IF(AND(Results!$E$5="Volume",$C$54&gt;0,Results!$E$4="Fluid"),((EP29*EP$51)/(EP$54)),IF(AND(Results!$E$4="Cells",Results!$E$5="Million",$B$52="million"),((EP29*EP$51)/(EP$52)),"0")))))</f>
        <v>0</v>
      </c>
      <c r="EQ82" s="20" t="str">
        <f>IF(EQ29=0,"0",IF(AND(Results!$E$5="Protein",$C$53&gt;0,OR(Results!$E$4="Tissue",Results!$E$4="Cells")),((EQ29*EQ$51)/(EQ$53)),IF(AND(Results!$E$5="Weight",$C$52&gt;0, Results!$E$4="Tissue",OR($B$52="g",$B$52="mg")),((EQ29*EQ$51)/(EQ$52)),IF(AND(Results!$E$5="Volume",$C$54&gt;0,Results!$E$4="Fluid"),((EQ29*EQ$51)/(EQ$54)),IF(AND(Results!$E$4="Cells",Results!$E$5="Million",$B$52="million"),((EQ29*EQ$51)/(EQ$52)),"0")))))</f>
        <v>0</v>
      </c>
      <c r="ER82" s="20" t="str">
        <f>IF(ER29=0,"0",IF(AND(Results!$E$5="Protein",$C$53&gt;0,OR(Results!$E$4="Tissue",Results!$E$4="Cells")),((ER29*ER$51)/(ER$53)),IF(AND(Results!$E$5="Weight",$C$52&gt;0, Results!$E$4="Tissue",OR($B$52="g",$B$52="mg")),((ER29*ER$51)/(ER$52)),IF(AND(Results!$E$5="Volume",$C$54&gt;0,Results!$E$4="Fluid"),((ER29*ER$51)/(ER$54)),IF(AND(Results!$E$4="Cells",Results!$E$5="Million",$B$52="million"),((ER29*ER$51)/(ER$52)),"0")))))</f>
        <v>0</v>
      </c>
      <c r="ES82" s="20" t="str">
        <f>IF(ES29=0,"0",IF(AND(Results!$E$5="Protein",$C$53&gt;0,OR(Results!$E$4="Tissue",Results!$E$4="Cells")),((ES29*ES$51)/(ES$53)),IF(AND(Results!$E$5="Weight",$C$52&gt;0, Results!$E$4="Tissue",OR($B$52="g",$B$52="mg")),((ES29*ES$51)/(ES$52)),IF(AND(Results!$E$5="Volume",$C$54&gt;0,Results!$E$4="Fluid"),((ES29*ES$51)/(ES$54)),IF(AND(Results!$E$4="Cells",Results!$E$5="Million",$B$52="million"),((ES29*ES$51)/(ES$52)),"0")))))</f>
        <v>0</v>
      </c>
      <c r="ET82" s="20" t="str">
        <f>IF(ET29=0,"0",IF(AND(Results!$E$5="Protein",$C$53&gt;0,OR(Results!$E$4="Tissue",Results!$E$4="Cells")),((ET29*ET$51)/(ET$53)),IF(AND(Results!$E$5="Weight",$C$52&gt;0, Results!$E$4="Tissue",OR($B$52="g",$B$52="mg")),((ET29*ET$51)/(ET$52)),IF(AND(Results!$E$5="Volume",$C$54&gt;0,Results!$E$4="Fluid"),((ET29*ET$51)/(ET$54)),IF(AND(Results!$E$4="Cells",Results!$E$5="Million",$B$52="million"),((ET29*ET$51)/(ET$52)),"0")))))</f>
        <v>0</v>
      </c>
      <c r="EU82" s="20" t="str">
        <f>IF(EU29=0,"0",IF(AND(Results!$E$5="Protein",$C$53&gt;0,OR(Results!$E$4="Tissue",Results!$E$4="Cells")),((EU29*EU$51)/(EU$53)),IF(AND(Results!$E$5="Weight",$C$52&gt;0, Results!$E$4="Tissue",OR($B$52="g",$B$52="mg")),((EU29*EU$51)/(EU$52)),IF(AND(Results!$E$5="Volume",$C$54&gt;0,Results!$E$4="Fluid"),((EU29*EU$51)/(EU$54)),IF(AND(Results!$E$4="Cells",Results!$E$5="Million",$B$52="million"),((EU29*EU$51)/(EU$52)),"0")))))</f>
        <v>0</v>
      </c>
      <c r="EV82" s="20" t="str">
        <f>IF(EV29=0,"0",IF(AND(Results!$E$5="Protein",$C$53&gt;0,OR(Results!$E$4="Tissue",Results!$E$4="Cells")),((EV29*EV$51)/(EV$53)),IF(AND(Results!$E$5="Weight",$C$52&gt;0, Results!$E$4="Tissue",OR($B$52="g",$B$52="mg")),((EV29*EV$51)/(EV$52)),IF(AND(Results!$E$5="Volume",$C$54&gt;0,Results!$E$4="Fluid"),((EV29*EV$51)/(EV$54)),IF(AND(Results!$E$4="Cells",Results!$E$5="Million",$B$52="million"),((EV29*EV$51)/(EV$52)),"0")))))</f>
        <v>0</v>
      </c>
      <c r="EW82" s="20" t="str">
        <f>IF(EW29=0,"0",IF(AND(Results!$E$5="Protein",$C$53&gt;0,OR(Results!$E$4="Tissue",Results!$E$4="Cells")),((EW29*EW$51)/(EW$53)),IF(AND(Results!$E$5="Weight",$C$52&gt;0, Results!$E$4="Tissue",OR($B$52="g",$B$52="mg")),((EW29*EW$51)/(EW$52)),IF(AND(Results!$E$5="Volume",$C$54&gt;0,Results!$E$4="Fluid"),((EW29*EW$51)/(EW$54)),IF(AND(Results!$E$4="Cells",Results!$E$5="Million",$B$52="million"),((EW29*EW$51)/(EW$52)),"0")))))</f>
        <v>0</v>
      </c>
      <c r="EX82" s="20" t="str">
        <f>IF(EX29=0,"0",IF(AND(Results!$E$5="Protein",$C$53&gt;0,OR(Results!$E$4="Tissue",Results!$E$4="Cells")),((EX29*EX$51)/(EX$53)),IF(AND(Results!$E$5="Weight",$C$52&gt;0, Results!$E$4="Tissue",OR($B$52="g",$B$52="mg")),((EX29*EX$51)/(EX$52)),IF(AND(Results!$E$5="Volume",$C$54&gt;0,Results!$E$4="Fluid"),((EX29*EX$51)/(EX$54)),IF(AND(Results!$E$4="Cells",Results!$E$5="Million",$B$52="million"),((EX29*EX$51)/(EX$52)),"0")))))</f>
        <v>0</v>
      </c>
      <c r="EY82" s="20" t="str">
        <f>IF(EY29=0,"0",IF(AND(Results!$E$5="Protein",$C$53&gt;0,OR(Results!$E$4="Tissue",Results!$E$4="Cells")),((EY29*EY$51)/(EY$53)),IF(AND(Results!$E$5="Weight",$C$52&gt;0, Results!$E$4="Tissue",OR($B$52="g",$B$52="mg")),((EY29*EY$51)/(EY$52)),IF(AND(Results!$E$5="Volume",$C$54&gt;0,Results!$E$4="Fluid"),((EY29*EY$51)/(EY$54)),IF(AND(Results!$E$4="Cells",Results!$E$5="Million",$B$52="million"),((EY29*EY$51)/(EY$52)),"0")))))</f>
        <v>0</v>
      </c>
      <c r="EZ82" s="20" t="str">
        <f>IF(EZ29=0,"0",IF(AND(Results!$E$5="Protein",$C$53&gt;0,OR(Results!$E$4="Tissue",Results!$E$4="Cells")),((EZ29*EZ$51)/(EZ$53)),IF(AND(Results!$E$5="Weight",$C$52&gt;0, Results!$E$4="Tissue",OR($B$52="g",$B$52="mg")),((EZ29*EZ$51)/(EZ$52)),IF(AND(Results!$E$5="Volume",$C$54&gt;0,Results!$E$4="Fluid"),((EZ29*EZ$51)/(EZ$54)),IF(AND(Results!$E$4="Cells",Results!$E$5="Million",$B$52="million"),((EZ29*EZ$51)/(EZ$52)),"0")))))</f>
        <v>0</v>
      </c>
      <c r="FA82" s="20" t="str">
        <f>IF(FA29=0,"0",IF(AND(Results!$E$5="Protein",$C$53&gt;0,OR(Results!$E$4="Tissue",Results!$E$4="Cells")),((FA29*FA$51)/(FA$53)),IF(AND(Results!$E$5="Weight",$C$52&gt;0, Results!$E$4="Tissue",OR($B$52="g",$B$52="mg")),((FA29*FA$51)/(FA$52)),IF(AND(Results!$E$5="Volume",$C$54&gt;0,Results!$E$4="Fluid"),((FA29*FA$51)/(FA$54)),IF(AND(Results!$E$4="Cells",Results!$E$5="Million",$B$52="million"),((FA29*FA$51)/(FA$52)),"0")))))</f>
        <v>0</v>
      </c>
      <c r="FB82" s="20" t="str">
        <f>IF(FB29=0,"0",IF(AND(Results!$E$5="Protein",$C$53&gt;0,OR(Results!$E$4="Tissue",Results!$E$4="Cells")),((FB29*FB$51)/(FB$53)),IF(AND(Results!$E$5="Weight",$C$52&gt;0, Results!$E$4="Tissue",OR($B$52="g",$B$52="mg")),((FB29*FB$51)/(FB$52)),IF(AND(Results!$E$5="Volume",$C$54&gt;0,Results!$E$4="Fluid"),((FB29*FB$51)/(FB$54)),IF(AND(Results!$E$4="Cells",Results!$E$5="Million",$B$52="million"),((FB29*FB$51)/(FB$52)),"0")))))</f>
        <v>0</v>
      </c>
      <c r="FC82" s="20" t="str">
        <f>IF(FC29=0,"0",IF(AND(Results!$E$5="Protein",$C$53&gt;0,OR(Results!$E$4="Tissue",Results!$E$4="Cells")),((FC29*FC$51)/(FC$53)),IF(AND(Results!$E$5="Weight",$C$52&gt;0, Results!$E$4="Tissue",OR($B$52="g",$B$52="mg")),((FC29*FC$51)/(FC$52)),IF(AND(Results!$E$5="Volume",$C$54&gt;0,Results!$E$4="Fluid"),((FC29*FC$51)/(FC$54)),IF(AND(Results!$E$4="Cells",Results!$E$5="Million",$B$52="million"),((FC29*FC$51)/(FC$52)),"0")))))</f>
        <v>0</v>
      </c>
      <c r="FD82" s="20" t="str">
        <f>IF(FD29=0,"0",IF(AND(Results!$E$5="Protein",$C$53&gt;0,OR(Results!$E$4="Tissue",Results!$E$4="Cells")),((FD29*FD$51)/(FD$53)),IF(AND(Results!$E$5="Weight",$C$52&gt;0, Results!$E$4="Tissue",OR($B$52="g",$B$52="mg")),((FD29*FD$51)/(FD$52)),IF(AND(Results!$E$5="Volume",$C$54&gt;0,Results!$E$4="Fluid"),((FD29*FD$51)/(FD$54)),IF(AND(Results!$E$4="Cells",Results!$E$5="Million",$B$52="million"),((FD29*FD$51)/(FD$52)),"0")))))</f>
        <v>0</v>
      </c>
      <c r="FE82" s="20" t="str">
        <f>IF(FE29=0,"0",IF(AND(Results!$E$5="Protein",$C$53&gt;0,OR(Results!$E$4="Tissue",Results!$E$4="Cells")),((FE29*FE$51)/(FE$53)),IF(AND(Results!$E$5="Weight",$C$52&gt;0, Results!$E$4="Tissue",OR($B$52="g",$B$52="mg")),((FE29*FE$51)/(FE$52)),IF(AND(Results!$E$5="Volume",$C$54&gt;0,Results!$E$4="Fluid"),((FE29*FE$51)/(FE$54)),IF(AND(Results!$E$4="Cells",Results!$E$5="Million",$B$52="million"),((FE29*FE$51)/(FE$52)),"0")))))</f>
        <v>0</v>
      </c>
      <c r="FF82" s="20" t="str">
        <f>IF(FF29=0,"0",IF(AND(Results!$E$5="Protein",$C$53&gt;0,OR(Results!$E$4="Tissue",Results!$E$4="Cells")),((FF29*FF$51)/(FF$53)),IF(AND(Results!$E$5="Weight",$C$52&gt;0, Results!$E$4="Tissue",OR($B$52="g",$B$52="mg")),((FF29*FF$51)/(FF$52)),IF(AND(Results!$E$5="Volume",$C$54&gt;0,Results!$E$4="Fluid"),((FF29*FF$51)/(FF$54)),IF(AND(Results!$E$4="Cells",Results!$E$5="Million",$B$52="million"),((FF29*FF$51)/(FF$52)),"0")))))</f>
        <v>0</v>
      </c>
      <c r="FG82" s="20" t="str">
        <f>IF(FG29=0,"0",IF(AND(Results!$E$5="Protein",$C$53&gt;0,OR(Results!$E$4="Tissue",Results!$E$4="Cells")),((FG29*FG$51)/(FG$53)),IF(AND(Results!$E$5="Weight",$C$52&gt;0, Results!$E$4="Tissue",OR($B$52="g",$B$52="mg")),((FG29*FG$51)/(FG$52)),IF(AND(Results!$E$5="Volume",$C$54&gt;0,Results!$E$4="Fluid"),((FG29*FG$51)/(FG$54)),IF(AND(Results!$E$4="Cells",Results!$E$5="Million",$B$52="million"),((FG29*FG$51)/(FG$52)),"0")))))</f>
        <v>0</v>
      </c>
      <c r="FH82" s="20" t="str">
        <f>IF(FH29=0,"0",IF(AND(Results!$E$5="Protein",$C$53&gt;0,OR(Results!$E$4="Tissue",Results!$E$4="Cells")),((FH29*FH$51)/(FH$53)),IF(AND(Results!$E$5="Weight",$C$52&gt;0, Results!$E$4="Tissue",OR($B$52="g",$B$52="mg")),((FH29*FH$51)/(FH$52)),IF(AND(Results!$E$5="Volume",$C$54&gt;0,Results!$E$4="Fluid"),((FH29*FH$51)/(FH$54)),IF(AND(Results!$E$4="Cells",Results!$E$5="Million",$B$52="million"),((FH29*FH$51)/(FH$52)),"0")))))</f>
        <v>0</v>
      </c>
      <c r="FI82" s="20" t="str">
        <f>IF(FI29=0,"0",IF(AND(Results!$E$5="Protein",$C$53&gt;0,OR(Results!$E$4="Tissue",Results!$E$4="Cells")),((FI29*FI$51)/(FI$53)),IF(AND(Results!$E$5="Weight",$C$52&gt;0, Results!$E$4="Tissue",OR($B$52="g",$B$52="mg")),((FI29*FI$51)/(FI$52)),IF(AND(Results!$E$5="Volume",$C$54&gt;0,Results!$E$4="Fluid"),((FI29*FI$51)/(FI$54)),IF(AND(Results!$E$4="Cells",Results!$E$5="Million",$B$52="million"),((FI29*FI$51)/(FI$52)),"0")))))</f>
        <v>0</v>
      </c>
      <c r="FJ82" s="20" t="str">
        <f>IF(FJ29=0,"0",IF(AND(Results!$E$5="Protein",$C$53&gt;0,OR(Results!$E$4="Tissue",Results!$E$4="Cells")),((FJ29*FJ$51)/(FJ$53)),IF(AND(Results!$E$5="Weight",$C$52&gt;0, Results!$E$4="Tissue",OR($B$52="g",$B$52="mg")),((FJ29*FJ$51)/(FJ$52)),IF(AND(Results!$E$5="Volume",$C$54&gt;0,Results!$E$4="Fluid"),((FJ29*FJ$51)/(FJ$54)),IF(AND(Results!$E$4="Cells",Results!$E$5="Million",$B$52="million"),((FJ29*FJ$51)/(FJ$52)),"0")))))</f>
        <v>0</v>
      </c>
      <c r="FK82" s="20" t="str">
        <f>IF(FK29=0,"0",IF(AND(Results!$E$5="Protein",$C$53&gt;0,OR(Results!$E$4="Tissue",Results!$E$4="Cells")),((FK29*FK$51)/(FK$53)),IF(AND(Results!$E$5="Weight",$C$52&gt;0, Results!$E$4="Tissue",OR($B$52="g",$B$52="mg")),((FK29*FK$51)/(FK$52)),IF(AND(Results!$E$5="Volume",$C$54&gt;0,Results!$E$4="Fluid"),((FK29*FK$51)/(FK$54)),IF(AND(Results!$E$4="Cells",Results!$E$5="Million",$B$52="million"),((FK29*FK$51)/(FK$52)),"0")))))</f>
        <v>0</v>
      </c>
      <c r="FL82" s="20" t="str">
        <f>IF(FL29=0,"0",IF(AND(Results!$E$5="Protein",$C$53&gt;0,OR(Results!$E$4="Tissue",Results!$E$4="Cells")),((FL29*FL$51)/(FL$53)),IF(AND(Results!$E$5="Weight",$C$52&gt;0, Results!$E$4="Tissue",OR($B$52="g",$B$52="mg")),((FL29*FL$51)/(FL$52)),IF(AND(Results!$E$5="Volume",$C$54&gt;0,Results!$E$4="Fluid"),((FL29*FL$51)/(FL$54)),IF(AND(Results!$E$4="Cells",Results!$E$5="Million",$B$52="million"),((FL29*FL$51)/(FL$52)),"0")))))</f>
        <v>0</v>
      </c>
      <c r="FM82" s="20" t="str">
        <f>IF(FM29=0,"0",IF(AND(Results!$E$5="Protein",$C$53&gt;0,OR(Results!$E$4="Tissue",Results!$E$4="Cells")),((FM29*FM$51)/(FM$53)),IF(AND(Results!$E$5="Weight",$C$52&gt;0, Results!$E$4="Tissue",OR($B$52="g",$B$52="mg")),((FM29*FM$51)/(FM$52)),IF(AND(Results!$E$5="Volume",$C$54&gt;0,Results!$E$4="Fluid"),((FM29*FM$51)/(FM$54)),IF(AND(Results!$E$4="Cells",Results!$E$5="Million",$B$52="million"),((FM29*FM$51)/(FM$52)),"0")))))</f>
        <v>0</v>
      </c>
      <c r="FN82" s="20" t="str">
        <f>IF(FN29=0,"0",IF(AND(Results!$E$5="Protein",$C$53&gt;0,OR(Results!$E$4="Tissue",Results!$E$4="Cells")),((FN29*FN$51)/(FN$53)),IF(AND(Results!$E$5="Weight",$C$52&gt;0, Results!$E$4="Tissue",OR($B$52="g",$B$52="mg")),((FN29*FN$51)/(FN$52)),IF(AND(Results!$E$5="Volume",$C$54&gt;0,Results!$E$4="Fluid"),((FN29*FN$51)/(FN$54)),IF(AND(Results!$E$4="Cells",Results!$E$5="Million",$B$52="million"),((FN29*FN$51)/(FN$52)),"0")))))</f>
        <v>0</v>
      </c>
      <c r="FO82" s="20" t="str">
        <f>IF(FO29=0,"0",IF(AND(Results!$E$5="Protein",$C$53&gt;0,OR(Results!$E$4="Tissue",Results!$E$4="Cells")),((FO29*FO$51)/(FO$53)),IF(AND(Results!$E$5="Weight",$C$52&gt;0, Results!$E$4="Tissue",OR($B$52="g",$B$52="mg")),((FO29*FO$51)/(FO$52)),IF(AND(Results!$E$5="Volume",$C$54&gt;0,Results!$E$4="Fluid"),((FO29*FO$51)/(FO$54)),IF(AND(Results!$E$4="Cells",Results!$E$5="Million",$B$52="million"),((FO29*FO$51)/(FO$52)),"0")))))</f>
        <v>0</v>
      </c>
    </row>
    <row r="83" spans="1:171" x14ac:dyDescent="0.2">
      <c r="A83" s="120" t="str">
        <f t="shared" si="0"/>
        <v>PGFM</v>
      </c>
      <c r="B83" s="121"/>
      <c r="C83" s="20" t="str">
        <f>IF(C30=0,"0",IF(AND(Results!$E$5="Protein",$C$53&gt;0,OR(Results!$E$4="Tissue",Results!$E$4="Cells")),((C30*C$51)/(C$53)),IF(AND(Results!$E$5="Weight",$C$52&gt;0, Results!$E$4="Tissue",OR($B$52="g",$B$52="mg")),((C30*C$51)/(C$52)),IF(AND(Results!$E$5="Volume",$C$54&gt;0,Results!$E$4="Fluid"),((C30*C$51)/(C$54)),IF(AND(Results!$E$4="Cells",Results!$E$5="Million",$B$52="million"),((C30*C$51)/(C$52)),"0")))))</f>
        <v>0</v>
      </c>
      <c r="D83" s="20" t="str">
        <f>IF(D30=0,"0",IF(AND(Results!$E$5="Protein",$C$53&gt;0,OR(Results!$E$4="Tissue",Results!$E$4="Cells")),((D30*D$51)/(D$53)),IF(AND(Results!$E$5="Weight",$C$52&gt;0, Results!$E$4="Tissue",OR($B$52="g",$B$52="mg")),((D30*D$51)/(D$52)),IF(AND(Results!$E$5="Volume",$C$54&gt;0,Results!$E$4="Fluid"),((D30*D$51)/(D$54)),IF(AND(Results!$E$4="Cells",Results!$E$5="Million",$B$52="million"),((D30*D$51)/(D$52)),"0")))))</f>
        <v>0</v>
      </c>
      <c r="E83" s="20" t="str">
        <f>IF(E30=0,"0",IF(AND(Results!$E$5="Protein",$C$53&gt;0,OR(Results!$E$4="Tissue",Results!$E$4="Cells")),((E30*E$51)/(E$53)),IF(AND(Results!$E$5="Weight",$C$52&gt;0, Results!$E$4="Tissue",OR($B$52="g",$B$52="mg")),((E30*E$51)/(E$52)),IF(AND(Results!$E$5="Volume",$C$54&gt;0,Results!$E$4="Fluid"),((E30*E$51)/(E$54)),IF(AND(Results!$E$4="Cells",Results!$E$5="Million",$B$52="million"),((E30*E$51)/(E$52)),"0")))))</f>
        <v>0</v>
      </c>
      <c r="F83" s="20" t="str">
        <f>IF(F30=0,"0",IF(AND(Results!$E$5="Protein",$C$53&gt;0,OR(Results!$E$4="Tissue",Results!$E$4="Cells")),((F30*F$51)/(F$53)),IF(AND(Results!$E$5="Weight",$C$52&gt;0, Results!$E$4="Tissue",OR($B$52="g",$B$52="mg")),((F30*F$51)/(F$52)),IF(AND(Results!$E$5="Volume",$C$54&gt;0,Results!$E$4="Fluid"),((F30*F$51)/(F$54)),IF(AND(Results!$E$4="Cells",Results!$E$5="Million",$B$52="million"),((F30*F$51)/(F$52)),"0")))))</f>
        <v>0</v>
      </c>
      <c r="G83" s="20" t="str">
        <f>IF(G30=0,"0",IF(AND(Results!$E$5="Protein",$C$53&gt;0,OR(Results!$E$4="Tissue",Results!$E$4="Cells")),((G30*G$51)/(G$53)),IF(AND(Results!$E$5="Weight",$C$52&gt;0, Results!$E$4="Tissue",OR($B$52="g",$B$52="mg")),((G30*G$51)/(G$52)),IF(AND(Results!$E$5="Volume",$C$54&gt;0,Results!$E$4="Fluid"),((G30*G$51)/(G$54)),IF(AND(Results!$E$4="Cells",Results!$E$5="Million",$B$52="million"),((G30*G$51)/(G$52)),"0")))))</f>
        <v>0</v>
      </c>
      <c r="H83" s="20" t="str">
        <f>IF(H30=0,"0",IF(AND(Results!$E$5="Protein",$C$53&gt;0,OR(Results!$E$4="Tissue",Results!$E$4="Cells")),((H30*H$51)/(H$53)),IF(AND(Results!$E$5="Weight",$C$52&gt;0, Results!$E$4="Tissue",OR($B$52="g",$B$52="mg")),((H30*H$51)/(H$52)),IF(AND(Results!$E$5="Volume",$C$54&gt;0,Results!$E$4="Fluid"),((H30*H$51)/(H$54)),IF(AND(Results!$E$4="Cells",Results!$E$5="Million",$B$52="million"),((H30*H$51)/(H$52)),"0")))))</f>
        <v>0</v>
      </c>
      <c r="I83" s="20" t="str">
        <f>IF(I30=0,"0",IF(AND(Results!$E$5="Protein",$C$53&gt;0,OR(Results!$E$4="Tissue",Results!$E$4="Cells")),((I30*I$51)/(I$53)),IF(AND(Results!$E$5="Weight",$C$52&gt;0, Results!$E$4="Tissue",OR($B$52="g",$B$52="mg")),((I30*I$51)/(I$52)),IF(AND(Results!$E$5="Volume",$C$54&gt;0,Results!$E$4="Fluid"),((I30*I$51)/(I$54)),IF(AND(Results!$E$4="Cells",Results!$E$5="Million",$B$52="million"),((I30*I$51)/(I$52)),"0")))))</f>
        <v>0</v>
      </c>
      <c r="J83" s="20" t="str">
        <f>IF(J30=0,"0",IF(AND(Results!$E$5="Protein",$C$53&gt;0,OR(Results!$E$4="Tissue",Results!$E$4="Cells")),((J30*J$51)/(J$53)),IF(AND(Results!$E$5="Weight",$C$52&gt;0, Results!$E$4="Tissue",OR($B$52="g",$B$52="mg")),((J30*J$51)/(J$52)),IF(AND(Results!$E$5="Volume",$C$54&gt;0,Results!$E$4="Fluid"),((J30*J$51)/(J$54)),IF(AND(Results!$E$4="Cells",Results!$E$5="Million",$B$52="million"),((J30*J$51)/(J$52)),"0")))))</f>
        <v>0</v>
      </c>
      <c r="K83" s="20" t="str">
        <f>IF(K30=0,"0",IF(AND(Results!$E$5="Protein",$C$53&gt;0,OR(Results!$E$4="Tissue",Results!$E$4="Cells")),((K30*K$51)/(K$53)),IF(AND(Results!$E$5="Weight",$C$52&gt;0, Results!$E$4="Tissue",OR($B$52="g",$B$52="mg")),((K30*K$51)/(K$52)),IF(AND(Results!$E$5="Volume",$C$54&gt;0,Results!$E$4="Fluid"),((K30*K$51)/(K$54)),IF(AND(Results!$E$4="Cells",Results!$E$5="Million",$B$52="million"),((K30*K$51)/(K$52)),"0")))))</f>
        <v>0</v>
      </c>
      <c r="L83" s="20" t="str">
        <f>IF(L30=0,"0",IF(AND(Results!$E$5="Protein",$C$53&gt;0,OR(Results!$E$4="Tissue",Results!$E$4="Cells")),((L30*L$51)/(L$53)),IF(AND(Results!$E$5="Weight",$C$52&gt;0, Results!$E$4="Tissue",OR($B$52="g",$B$52="mg")),((L30*L$51)/(L$52)),IF(AND(Results!$E$5="Volume",$C$54&gt;0,Results!$E$4="Fluid"),((L30*L$51)/(L$54)),IF(AND(Results!$E$4="Cells",Results!$E$5="Million",$B$52="million"),((L30*L$51)/(L$52)),"0")))))</f>
        <v>0</v>
      </c>
      <c r="M83" s="20" t="str">
        <f>IF(M30=0,"0",IF(AND(Results!$E$5="Protein",$C$53&gt;0,OR(Results!$E$4="Tissue",Results!$E$4="Cells")),((M30*M$51)/(M$53)),IF(AND(Results!$E$5="Weight",$C$52&gt;0, Results!$E$4="Tissue",OR($B$52="g",$B$52="mg")),((M30*M$51)/(M$52)),IF(AND(Results!$E$5="Volume",$C$54&gt;0,Results!$E$4="Fluid"),((M30*M$51)/(M$54)),IF(AND(Results!$E$4="Cells",Results!$E$5="Million",$B$52="million"),((M30*M$51)/(M$52)),"0")))))</f>
        <v>0</v>
      </c>
      <c r="N83" s="20" t="str">
        <f>IF(N30=0,"0",IF(AND(Results!$E$5="Protein",$C$53&gt;0,OR(Results!$E$4="Tissue",Results!$E$4="Cells")),((N30*N$51)/(N$53)),IF(AND(Results!$E$5="Weight",$C$52&gt;0, Results!$E$4="Tissue",OR($B$52="g",$B$52="mg")),((N30*N$51)/(N$52)),IF(AND(Results!$E$5="Volume",$C$54&gt;0,Results!$E$4="Fluid"),((N30*N$51)/(N$54)),IF(AND(Results!$E$4="Cells",Results!$E$5="Million",$B$52="million"),((N30*N$51)/(N$52)),"0")))))</f>
        <v>0</v>
      </c>
      <c r="O83" s="20" t="str">
        <f>IF(O30=0,"0",IF(AND(Results!$E$5="Protein",$C$53&gt;0,OR(Results!$E$4="Tissue",Results!$E$4="Cells")),((O30*O$51)/(O$53)),IF(AND(Results!$E$5="Weight",$C$52&gt;0, Results!$E$4="Tissue",OR($B$52="g",$B$52="mg")),((O30*O$51)/(O$52)),IF(AND(Results!$E$5="Volume",$C$54&gt;0,Results!$E$4="Fluid"),((O30*O$51)/(O$54)),IF(AND(Results!$E$4="Cells",Results!$E$5="Million",$B$52="million"),((O30*O$51)/(O$52)),"0")))))</f>
        <v>0</v>
      </c>
      <c r="P83" s="20" t="str">
        <f>IF(P30=0,"0",IF(AND(Results!$E$5="Protein",$C$53&gt;0,OR(Results!$E$4="Tissue",Results!$E$4="Cells")),((P30*P$51)/(P$53)),IF(AND(Results!$E$5="Weight",$C$52&gt;0, Results!$E$4="Tissue",OR($B$52="g",$B$52="mg")),((P30*P$51)/(P$52)),IF(AND(Results!$E$5="Volume",$C$54&gt;0,Results!$E$4="Fluid"),((P30*P$51)/(P$54)),IF(AND(Results!$E$4="Cells",Results!$E$5="Million",$B$52="million"),((P30*P$51)/(P$52)),"0")))))</f>
        <v>0</v>
      </c>
      <c r="Q83" s="20" t="str">
        <f>IF(Q30=0,"0",IF(AND(Results!$E$5="Protein",$C$53&gt;0,OR(Results!$E$4="Tissue",Results!$E$4="Cells")),((Q30*Q$51)/(Q$53)),IF(AND(Results!$E$5="Weight",$C$52&gt;0, Results!$E$4="Tissue",OR($B$52="g",$B$52="mg")),((Q30*Q$51)/(Q$52)),IF(AND(Results!$E$5="Volume",$C$54&gt;0,Results!$E$4="Fluid"),((Q30*Q$51)/(Q$54)),IF(AND(Results!$E$4="Cells",Results!$E$5="Million",$B$52="million"),((Q30*Q$51)/(Q$52)),"0")))))</f>
        <v>0</v>
      </c>
      <c r="R83" s="20" t="str">
        <f>IF(R30=0,"0",IF(AND(Results!$E$5="Protein",$C$53&gt;0,OR(Results!$E$4="Tissue",Results!$E$4="Cells")),((R30*R$51)/(R$53)),IF(AND(Results!$E$5="Weight",$C$52&gt;0, Results!$E$4="Tissue",OR($B$52="g",$B$52="mg")),((R30*R$51)/(R$52)),IF(AND(Results!$E$5="Volume",$C$54&gt;0,Results!$E$4="Fluid"),((R30*R$51)/(R$54)),IF(AND(Results!$E$4="Cells",Results!$E$5="Million",$B$52="million"),((R30*R$51)/(R$52)),"0")))))</f>
        <v>0</v>
      </c>
      <c r="S83" s="20" t="str">
        <f>IF(S30=0,"0",IF(AND(Results!$E$5="Protein",$C$53&gt;0,OR(Results!$E$4="Tissue",Results!$E$4="Cells")),((S30*S$51)/(S$53)),IF(AND(Results!$E$5="Weight",$C$52&gt;0, Results!$E$4="Tissue",OR($B$52="g",$B$52="mg")),((S30*S$51)/(S$52)),IF(AND(Results!$E$5="Volume",$C$54&gt;0,Results!$E$4="Fluid"),((S30*S$51)/(S$54)),IF(AND(Results!$E$4="Cells",Results!$E$5="Million",$B$52="million"),((S30*S$51)/(S$52)),"0")))))</f>
        <v>0</v>
      </c>
      <c r="T83" s="20" t="str">
        <f>IF(T30=0,"0",IF(AND(Results!$E$5="Protein",$C$53&gt;0,OR(Results!$E$4="Tissue",Results!$E$4="Cells")),((T30*T$51)/(T$53)),IF(AND(Results!$E$5="Weight",$C$52&gt;0, Results!$E$4="Tissue",OR($B$52="g",$B$52="mg")),((T30*T$51)/(T$52)),IF(AND(Results!$E$5="Volume",$C$54&gt;0,Results!$E$4="Fluid"),((T30*T$51)/(T$54)),IF(AND(Results!$E$4="Cells",Results!$E$5="Million",$B$52="million"),((T30*T$51)/(T$52)),"0")))))</f>
        <v>0</v>
      </c>
      <c r="U83" s="20" t="str">
        <f>IF(U30=0,"0",IF(AND(Results!$E$5="Protein",$C$53&gt;0,OR(Results!$E$4="Tissue",Results!$E$4="Cells")),((U30*U$51)/(U$53)),IF(AND(Results!$E$5="Weight",$C$52&gt;0, Results!$E$4="Tissue",OR($B$52="g",$B$52="mg")),((U30*U$51)/(U$52)),IF(AND(Results!$E$5="Volume",$C$54&gt;0,Results!$E$4="Fluid"),((U30*U$51)/(U$54)),IF(AND(Results!$E$4="Cells",Results!$E$5="Million",$B$52="million"),((U30*U$51)/(U$52)),"0")))))</f>
        <v>0</v>
      </c>
      <c r="V83" s="20" t="str">
        <f>IF(V30=0,"0",IF(AND(Results!$E$5="Protein",$C$53&gt;0,OR(Results!$E$4="Tissue",Results!$E$4="Cells")),((V30*V$51)/(V$53)),IF(AND(Results!$E$5="Weight",$C$52&gt;0, Results!$E$4="Tissue",OR($B$52="g",$B$52="mg")),((V30*V$51)/(V$52)),IF(AND(Results!$E$5="Volume",$C$54&gt;0,Results!$E$4="Fluid"),((V30*V$51)/(V$54)),IF(AND(Results!$E$4="Cells",Results!$E$5="Million",$B$52="million"),((V30*V$51)/(V$52)),"0")))))</f>
        <v>0</v>
      </c>
      <c r="W83" s="20" t="str">
        <f>IF(W30=0,"0",IF(AND(Results!$E$5="Protein",$C$53&gt;0,OR(Results!$E$4="Tissue",Results!$E$4="Cells")),((W30*W$51)/(W$53)),IF(AND(Results!$E$5="Weight",$C$52&gt;0, Results!$E$4="Tissue",OR($B$52="g",$B$52="mg")),((W30*W$51)/(W$52)),IF(AND(Results!$E$5="Volume",$C$54&gt;0,Results!$E$4="Fluid"),((W30*W$51)/(W$54)),IF(AND(Results!$E$4="Cells",Results!$E$5="Million",$B$52="million"),((W30*W$51)/(W$52)),"0")))))</f>
        <v>0</v>
      </c>
      <c r="X83" s="20" t="str">
        <f>IF(X30=0,"0",IF(AND(Results!$E$5="Protein",$C$53&gt;0,OR(Results!$E$4="Tissue",Results!$E$4="Cells")),((X30*X$51)/(X$53)),IF(AND(Results!$E$5="Weight",$C$52&gt;0, Results!$E$4="Tissue",OR($B$52="g",$B$52="mg")),((X30*X$51)/(X$52)),IF(AND(Results!$E$5="Volume",$C$54&gt;0,Results!$E$4="Fluid"),((X30*X$51)/(X$54)),IF(AND(Results!$E$4="Cells",Results!$E$5="Million",$B$52="million"),((X30*X$51)/(X$52)),"0")))))</f>
        <v>0</v>
      </c>
      <c r="Y83" s="20" t="str">
        <f>IF(Y30=0,"0",IF(AND(Results!$E$5="Protein",$C$53&gt;0,OR(Results!$E$4="Tissue",Results!$E$4="Cells")),((Y30*Y$51)/(Y$53)),IF(AND(Results!$E$5="Weight",$C$52&gt;0, Results!$E$4="Tissue",OR($B$52="g",$B$52="mg")),((Y30*Y$51)/(Y$52)),IF(AND(Results!$E$5="Volume",$C$54&gt;0,Results!$E$4="Fluid"),((Y30*Y$51)/(Y$54)),IF(AND(Results!$E$4="Cells",Results!$E$5="Million",$B$52="million"),((Y30*Y$51)/(Y$52)),"0")))))</f>
        <v>0</v>
      </c>
      <c r="Z83" s="20" t="str">
        <f>IF(Z30=0,"0",IF(AND(Results!$E$5="Protein",$C$53&gt;0,OR(Results!$E$4="Tissue",Results!$E$4="Cells")),((Z30*Z$51)/(Z$53)),IF(AND(Results!$E$5="Weight",$C$52&gt;0, Results!$E$4="Tissue",OR($B$52="g",$B$52="mg")),((Z30*Z$51)/(Z$52)),IF(AND(Results!$E$5="Volume",$C$54&gt;0,Results!$E$4="Fluid"),((Z30*Z$51)/(Z$54)),IF(AND(Results!$E$4="Cells",Results!$E$5="Million",$B$52="million"),((Z30*Z$51)/(Z$52)),"0")))))</f>
        <v>0</v>
      </c>
      <c r="AA83" s="20" t="str">
        <f>IF(AA30=0,"0",IF(AND(Results!$E$5="Protein",$C$53&gt;0,OR(Results!$E$4="Tissue",Results!$E$4="Cells")),((AA30*AA$51)/(AA$53)),IF(AND(Results!$E$5="Weight",$C$52&gt;0, Results!$E$4="Tissue",OR($B$52="g",$B$52="mg")),((AA30*AA$51)/(AA$52)),IF(AND(Results!$E$5="Volume",$C$54&gt;0,Results!$E$4="Fluid"),((AA30*AA$51)/(AA$54)),IF(AND(Results!$E$4="Cells",Results!$E$5="Million",$B$52="million"),((AA30*AA$51)/(AA$52)),"0")))))</f>
        <v>0</v>
      </c>
      <c r="AB83" s="20" t="str">
        <f>IF(AB30=0,"0",IF(AND(Results!$E$5="Protein",$C$53&gt;0,OR(Results!$E$4="Tissue",Results!$E$4="Cells")),((AB30*AB$51)/(AB$53)),IF(AND(Results!$E$5="Weight",$C$52&gt;0, Results!$E$4="Tissue",OR($B$52="g",$B$52="mg")),((AB30*AB$51)/(AB$52)),IF(AND(Results!$E$5="Volume",$C$54&gt;0,Results!$E$4="Fluid"),((AB30*AB$51)/(AB$54)),IF(AND(Results!$E$4="Cells",Results!$E$5="Million",$B$52="million"),((AB30*AB$51)/(AB$52)),"0")))))</f>
        <v>0</v>
      </c>
      <c r="AC83" s="20" t="str">
        <f>IF(AC30=0,"0",IF(AND(Results!$E$5="Protein",$C$53&gt;0,OR(Results!$E$4="Tissue",Results!$E$4="Cells")),((AC30*AC$51)/(AC$53)),IF(AND(Results!$E$5="Weight",$C$52&gt;0, Results!$E$4="Tissue",OR($B$52="g",$B$52="mg")),((AC30*AC$51)/(AC$52)),IF(AND(Results!$E$5="Volume",$C$54&gt;0,Results!$E$4="Fluid"),((AC30*AC$51)/(AC$54)),IF(AND(Results!$E$4="Cells",Results!$E$5="Million",$B$52="million"),((AC30*AC$51)/(AC$52)),"0")))))</f>
        <v>0</v>
      </c>
      <c r="AD83" s="20" t="str">
        <f>IF(AD30=0,"0",IF(AND(Results!$E$5="Protein",$C$53&gt;0,OR(Results!$E$4="Tissue",Results!$E$4="Cells")),((AD30*AD$51)/(AD$53)),IF(AND(Results!$E$5="Weight",$C$52&gt;0, Results!$E$4="Tissue",OR($B$52="g",$B$52="mg")),((AD30*AD$51)/(AD$52)),IF(AND(Results!$E$5="Volume",$C$54&gt;0,Results!$E$4="Fluid"),((AD30*AD$51)/(AD$54)),IF(AND(Results!$E$4="Cells",Results!$E$5="Million",$B$52="million"),((AD30*AD$51)/(AD$52)),"0")))))</f>
        <v>0</v>
      </c>
      <c r="AE83" s="20" t="str">
        <f>IF(AE30=0,"0",IF(AND(Results!$E$5="Protein",$C$53&gt;0,OR(Results!$E$4="Tissue",Results!$E$4="Cells")),((AE30*AE$51)/(AE$53)),IF(AND(Results!$E$5="Weight",$C$52&gt;0, Results!$E$4="Tissue",OR($B$52="g",$B$52="mg")),((AE30*AE$51)/(AE$52)),IF(AND(Results!$E$5="Volume",$C$54&gt;0,Results!$E$4="Fluid"),((AE30*AE$51)/(AE$54)),IF(AND(Results!$E$4="Cells",Results!$E$5="Million",$B$52="million"),((AE30*AE$51)/(AE$52)),"0")))))</f>
        <v>0</v>
      </c>
      <c r="AF83" s="20" t="str">
        <f>IF(AF30=0,"0",IF(AND(Results!$E$5="Protein",$C$53&gt;0,OR(Results!$E$4="Tissue",Results!$E$4="Cells")),((AF30*AF$51)/(AF$53)),IF(AND(Results!$E$5="Weight",$C$52&gt;0, Results!$E$4="Tissue",OR($B$52="g",$B$52="mg")),((AF30*AF$51)/(AF$52)),IF(AND(Results!$E$5="Volume",$C$54&gt;0,Results!$E$4="Fluid"),((AF30*AF$51)/(AF$54)),IF(AND(Results!$E$4="Cells",Results!$E$5="Million",$B$52="million"),((AF30*AF$51)/(AF$52)),"0")))))</f>
        <v>0</v>
      </c>
      <c r="AG83" s="20" t="str">
        <f>IF(AG30=0,"0",IF(AND(Results!$E$5="Protein",$C$53&gt;0,OR(Results!$E$4="Tissue",Results!$E$4="Cells")),((AG30*AG$51)/(AG$53)),IF(AND(Results!$E$5="Weight",$C$52&gt;0, Results!$E$4="Tissue",OR($B$52="g",$B$52="mg")),((AG30*AG$51)/(AG$52)),IF(AND(Results!$E$5="Volume",$C$54&gt;0,Results!$E$4="Fluid"),((AG30*AG$51)/(AG$54)),IF(AND(Results!$E$4="Cells",Results!$E$5="Million",$B$52="million"),((AG30*AG$51)/(AG$52)),"0")))))</f>
        <v>0</v>
      </c>
      <c r="AH83" s="20" t="str">
        <f>IF(AH30=0,"0",IF(AND(Results!$E$5="Protein",$C$53&gt;0,OR(Results!$E$4="Tissue",Results!$E$4="Cells")),((AH30*AH$51)/(AH$53)),IF(AND(Results!$E$5="Weight",$C$52&gt;0, Results!$E$4="Tissue",OR($B$52="g",$B$52="mg")),((AH30*AH$51)/(AH$52)),IF(AND(Results!$E$5="Volume",$C$54&gt;0,Results!$E$4="Fluid"),((AH30*AH$51)/(AH$54)),IF(AND(Results!$E$4="Cells",Results!$E$5="Million",$B$52="million"),((AH30*AH$51)/(AH$52)),"0")))))</f>
        <v>0</v>
      </c>
      <c r="AI83" s="20" t="str">
        <f>IF(AI30=0,"0",IF(AND(Results!$E$5="Protein",$C$53&gt;0,OR(Results!$E$4="Tissue",Results!$E$4="Cells")),((AI30*AI$51)/(AI$53)),IF(AND(Results!$E$5="Weight",$C$52&gt;0, Results!$E$4="Tissue",OR($B$52="g",$B$52="mg")),((AI30*AI$51)/(AI$52)),IF(AND(Results!$E$5="Volume",$C$54&gt;0,Results!$E$4="Fluid"),((AI30*AI$51)/(AI$54)),IF(AND(Results!$E$4="Cells",Results!$E$5="Million",$B$52="million"),((AI30*AI$51)/(AI$52)),"0")))))</f>
        <v>0</v>
      </c>
      <c r="AJ83" s="20" t="str">
        <f>IF(AJ30=0,"0",IF(AND(Results!$E$5="Protein",$C$53&gt;0,OR(Results!$E$4="Tissue",Results!$E$4="Cells")),((AJ30*AJ$51)/(AJ$53)),IF(AND(Results!$E$5="Weight",$C$52&gt;0, Results!$E$4="Tissue",OR($B$52="g",$B$52="mg")),((AJ30*AJ$51)/(AJ$52)),IF(AND(Results!$E$5="Volume",$C$54&gt;0,Results!$E$4="Fluid"),((AJ30*AJ$51)/(AJ$54)),IF(AND(Results!$E$4="Cells",Results!$E$5="Million",$B$52="million"),((AJ30*AJ$51)/(AJ$52)),"0")))))</f>
        <v>0</v>
      </c>
      <c r="AK83" s="20" t="str">
        <f>IF(AK30=0,"0",IF(AND(Results!$E$5="Protein",$C$53&gt;0,OR(Results!$E$4="Tissue",Results!$E$4="Cells")),((AK30*AK$51)/(AK$53)),IF(AND(Results!$E$5="Weight",$C$52&gt;0, Results!$E$4="Tissue",OR($B$52="g",$B$52="mg")),((AK30*AK$51)/(AK$52)),IF(AND(Results!$E$5="Volume",$C$54&gt;0,Results!$E$4="Fluid"),((AK30*AK$51)/(AK$54)),IF(AND(Results!$E$4="Cells",Results!$E$5="Million",$B$52="million"),((AK30*AK$51)/(AK$52)),"0")))))</f>
        <v>0</v>
      </c>
      <c r="AL83" s="20" t="str">
        <f>IF(AL30=0,"0",IF(AND(Results!$E$5="Protein",$C$53&gt;0,OR(Results!$E$4="Tissue",Results!$E$4="Cells")),((AL30*AL$51)/(AL$53)),IF(AND(Results!$E$5="Weight",$C$52&gt;0, Results!$E$4="Tissue",OR($B$52="g",$B$52="mg")),((AL30*AL$51)/(AL$52)),IF(AND(Results!$E$5="Volume",$C$54&gt;0,Results!$E$4="Fluid"),((AL30*AL$51)/(AL$54)),IF(AND(Results!$E$4="Cells",Results!$E$5="Million",$B$52="million"),((AL30*AL$51)/(AL$52)),"0")))))</f>
        <v>0</v>
      </c>
      <c r="AM83" s="20" t="str">
        <f>IF(AM30=0,"0",IF(AND(Results!$E$5="Protein",$C$53&gt;0,OR(Results!$E$4="Tissue",Results!$E$4="Cells")),((AM30*AM$51)/(AM$53)),IF(AND(Results!$E$5="Weight",$C$52&gt;0, Results!$E$4="Tissue",OR($B$52="g",$B$52="mg")),((AM30*AM$51)/(AM$52)),IF(AND(Results!$E$5="Volume",$C$54&gt;0,Results!$E$4="Fluid"),((AM30*AM$51)/(AM$54)),IF(AND(Results!$E$4="Cells",Results!$E$5="Million",$B$52="million"),((AM30*AM$51)/(AM$52)),"0")))))</f>
        <v>0</v>
      </c>
      <c r="AN83" s="20" t="str">
        <f>IF(AN30=0,"0",IF(AND(Results!$E$5="Protein",$C$53&gt;0,OR(Results!$E$4="Tissue",Results!$E$4="Cells")),((AN30*AN$51)/(AN$53)),IF(AND(Results!$E$5="Weight",$C$52&gt;0, Results!$E$4="Tissue",OR($B$52="g",$B$52="mg")),((AN30*AN$51)/(AN$52)),IF(AND(Results!$E$5="Volume",$C$54&gt;0,Results!$E$4="Fluid"),((AN30*AN$51)/(AN$54)),IF(AND(Results!$E$4="Cells",Results!$E$5="Million",$B$52="million"),((AN30*AN$51)/(AN$52)),"0")))))</f>
        <v>0</v>
      </c>
      <c r="AO83" s="20" t="str">
        <f>IF(AO30=0,"0",IF(AND(Results!$E$5="Protein",$C$53&gt;0,OR(Results!$E$4="Tissue",Results!$E$4="Cells")),((AO30*AO$51)/(AO$53)),IF(AND(Results!$E$5="Weight",$C$52&gt;0, Results!$E$4="Tissue",OR($B$52="g",$B$52="mg")),((AO30*AO$51)/(AO$52)),IF(AND(Results!$E$5="Volume",$C$54&gt;0,Results!$E$4="Fluid"),((AO30*AO$51)/(AO$54)),IF(AND(Results!$E$4="Cells",Results!$E$5="Million",$B$52="million"),((AO30*AO$51)/(AO$52)),"0")))))</f>
        <v>0</v>
      </c>
      <c r="AP83" s="20" t="str">
        <f>IF(AP30=0,"0",IF(AND(Results!$E$5="Protein",$C$53&gt;0,OR(Results!$E$4="Tissue",Results!$E$4="Cells")),((AP30*AP$51)/(AP$53)),IF(AND(Results!$E$5="Weight",$C$52&gt;0, Results!$E$4="Tissue",OR($B$52="g",$B$52="mg")),((AP30*AP$51)/(AP$52)),IF(AND(Results!$E$5="Volume",$C$54&gt;0,Results!$E$4="Fluid"),((AP30*AP$51)/(AP$54)),IF(AND(Results!$E$4="Cells",Results!$E$5="Million",$B$52="million"),((AP30*AP$51)/(AP$52)),"0")))))</f>
        <v>0</v>
      </c>
      <c r="AQ83" s="20" t="str">
        <f>IF(AQ30=0,"0",IF(AND(Results!$E$5="Protein",$C$53&gt;0,OR(Results!$E$4="Tissue",Results!$E$4="Cells")),((AQ30*AQ$51)/(AQ$53)),IF(AND(Results!$E$5="Weight",$C$52&gt;0, Results!$E$4="Tissue",OR($B$52="g",$B$52="mg")),((AQ30*AQ$51)/(AQ$52)),IF(AND(Results!$E$5="Volume",$C$54&gt;0,Results!$E$4="Fluid"),((AQ30*AQ$51)/(AQ$54)),IF(AND(Results!$E$4="Cells",Results!$E$5="Million",$B$52="million"),((AQ30*AQ$51)/(AQ$52)),"0")))))</f>
        <v>0</v>
      </c>
      <c r="AR83" s="20" t="str">
        <f>IF(AR30=0,"0",IF(AND(Results!$E$5="Protein",$C$53&gt;0,OR(Results!$E$4="Tissue",Results!$E$4="Cells")),((AR30*AR$51)/(AR$53)),IF(AND(Results!$E$5="Weight",$C$52&gt;0, Results!$E$4="Tissue",OR($B$52="g",$B$52="mg")),((AR30*AR$51)/(AR$52)),IF(AND(Results!$E$5="Volume",$C$54&gt;0,Results!$E$4="Fluid"),((AR30*AR$51)/(AR$54)),IF(AND(Results!$E$4="Cells",Results!$E$5="Million",$B$52="million"),((AR30*AR$51)/(AR$52)),"0")))))</f>
        <v>0</v>
      </c>
      <c r="AS83" s="20" t="str">
        <f>IF(AS30=0,"0",IF(AND(Results!$E$5="Protein",$C$53&gt;0,OR(Results!$E$4="Tissue",Results!$E$4="Cells")),((AS30*AS$51)/(AS$53)),IF(AND(Results!$E$5="Weight",$C$52&gt;0, Results!$E$4="Tissue",OR($B$52="g",$B$52="mg")),((AS30*AS$51)/(AS$52)),IF(AND(Results!$E$5="Volume",$C$54&gt;0,Results!$E$4="Fluid"),((AS30*AS$51)/(AS$54)),IF(AND(Results!$E$4="Cells",Results!$E$5="Million",$B$52="million"),((AS30*AS$51)/(AS$52)),"0")))))</f>
        <v>0</v>
      </c>
      <c r="AT83" s="20" t="str">
        <f>IF(AT30=0,"0",IF(AND(Results!$E$5="Protein",$C$53&gt;0,OR(Results!$E$4="Tissue",Results!$E$4="Cells")),((AT30*AT$51)/(AT$53)),IF(AND(Results!$E$5="Weight",$C$52&gt;0, Results!$E$4="Tissue",OR($B$52="g",$B$52="mg")),((AT30*AT$51)/(AT$52)),IF(AND(Results!$E$5="Volume",$C$54&gt;0,Results!$E$4="Fluid"),((AT30*AT$51)/(AT$54)),IF(AND(Results!$E$4="Cells",Results!$E$5="Million",$B$52="million"),((AT30*AT$51)/(AT$52)),"0")))))</f>
        <v>0</v>
      </c>
      <c r="AU83" s="20" t="str">
        <f>IF(AU30=0,"0",IF(AND(Results!$E$5="Protein",$C$53&gt;0,OR(Results!$E$4="Tissue",Results!$E$4="Cells")),((AU30*AU$51)/(AU$53)),IF(AND(Results!$E$5="Weight",$C$52&gt;0, Results!$E$4="Tissue",OR($B$52="g",$B$52="mg")),((AU30*AU$51)/(AU$52)),IF(AND(Results!$E$5="Volume",$C$54&gt;0,Results!$E$4="Fluid"),((AU30*AU$51)/(AU$54)),IF(AND(Results!$E$4="Cells",Results!$E$5="Million",$B$52="million"),((AU30*AU$51)/(AU$52)),"0")))))</f>
        <v>0</v>
      </c>
      <c r="AV83" s="20" t="str">
        <f>IF(AV30=0,"0",IF(AND(Results!$E$5="Protein",$C$53&gt;0,OR(Results!$E$4="Tissue",Results!$E$4="Cells")),((AV30*AV$51)/(AV$53)),IF(AND(Results!$E$5="Weight",$C$52&gt;0, Results!$E$4="Tissue",OR($B$52="g",$B$52="mg")),((AV30*AV$51)/(AV$52)),IF(AND(Results!$E$5="Volume",$C$54&gt;0,Results!$E$4="Fluid"),((AV30*AV$51)/(AV$54)),IF(AND(Results!$E$4="Cells",Results!$E$5="Million",$B$52="million"),((AV30*AV$51)/(AV$52)),"0")))))</f>
        <v>0</v>
      </c>
      <c r="AW83" s="20" t="str">
        <f>IF(AW30=0,"0",IF(AND(Results!$E$5="Protein",$C$53&gt;0,OR(Results!$E$4="Tissue",Results!$E$4="Cells")),((AW30*AW$51)/(AW$53)),IF(AND(Results!$E$5="Weight",$C$52&gt;0, Results!$E$4="Tissue",OR($B$52="g",$B$52="mg")),((AW30*AW$51)/(AW$52)),IF(AND(Results!$E$5="Volume",$C$54&gt;0,Results!$E$4="Fluid"),((AW30*AW$51)/(AW$54)),IF(AND(Results!$E$4="Cells",Results!$E$5="Million",$B$52="million"),((AW30*AW$51)/(AW$52)),"0")))))</f>
        <v>0</v>
      </c>
      <c r="AX83" s="20" t="str">
        <f>IF(AX30=0,"0",IF(AND(Results!$E$5="Protein",$C$53&gt;0,OR(Results!$E$4="Tissue",Results!$E$4="Cells")),((AX30*AX$51)/(AX$53)),IF(AND(Results!$E$5="Weight",$C$52&gt;0, Results!$E$4="Tissue",OR($B$52="g",$B$52="mg")),((AX30*AX$51)/(AX$52)),IF(AND(Results!$E$5="Volume",$C$54&gt;0,Results!$E$4="Fluid"),((AX30*AX$51)/(AX$54)),IF(AND(Results!$E$4="Cells",Results!$E$5="Million",$B$52="million"),((AX30*AX$51)/(AX$52)),"0")))))</f>
        <v>0</v>
      </c>
      <c r="AY83" s="20" t="str">
        <f>IF(AY30=0,"0",IF(AND(Results!$E$5="Protein",$C$53&gt;0,OR(Results!$E$4="Tissue",Results!$E$4="Cells")),((AY30*AY$51)/(AY$53)),IF(AND(Results!$E$5="Weight",$C$52&gt;0, Results!$E$4="Tissue",OR($B$52="g",$B$52="mg")),((AY30*AY$51)/(AY$52)),IF(AND(Results!$E$5="Volume",$C$54&gt;0,Results!$E$4="Fluid"),((AY30*AY$51)/(AY$54)),IF(AND(Results!$E$4="Cells",Results!$E$5="Million",$B$52="million"),((AY30*AY$51)/(AY$52)),"0")))))</f>
        <v>0</v>
      </c>
      <c r="AZ83" s="20" t="str">
        <f>IF(AZ30=0,"0",IF(AND(Results!$E$5="Protein",$C$53&gt;0,OR(Results!$E$4="Tissue",Results!$E$4="Cells")),((AZ30*AZ$51)/(AZ$53)),IF(AND(Results!$E$5="Weight",$C$52&gt;0, Results!$E$4="Tissue",OR($B$52="g",$B$52="mg")),((AZ30*AZ$51)/(AZ$52)),IF(AND(Results!$E$5="Volume",$C$54&gt;0,Results!$E$4="Fluid"),((AZ30*AZ$51)/(AZ$54)),IF(AND(Results!$E$4="Cells",Results!$E$5="Million",$B$52="million"),((AZ30*AZ$51)/(AZ$52)),"0")))))</f>
        <v>0</v>
      </c>
      <c r="BA83" s="20" t="str">
        <f>IF(BA30=0,"0",IF(AND(Results!$E$5="Protein",$C$53&gt;0,OR(Results!$E$4="Tissue",Results!$E$4="Cells")),((BA30*BA$51)/(BA$53)),IF(AND(Results!$E$5="Weight",$C$52&gt;0, Results!$E$4="Tissue",OR($B$52="g",$B$52="mg")),((BA30*BA$51)/(BA$52)),IF(AND(Results!$E$5="Volume",$C$54&gt;0,Results!$E$4="Fluid"),((BA30*BA$51)/(BA$54)),IF(AND(Results!$E$4="Cells",Results!$E$5="Million",$B$52="million"),((BA30*BA$51)/(BA$52)),"0")))))</f>
        <v>0</v>
      </c>
      <c r="BB83" s="20" t="str">
        <f>IF(BB30=0,"0",IF(AND(Results!$E$5="Protein",$C$53&gt;0,OR(Results!$E$4="Tissue",Results!$E$4="Cells")),((BB30*BB$51)/(BB$53)),IF(AND(Results!$E$5="Weight",$C$52&gt;0, Results!$E$4="Tissue",OR($B$52="g",$B$52="mg")),((BB30*BB$51)/(BB$52)),IF(AND(Results!$E$5="Volume",$C$54&gt;0,Results!$E$4="Fluid"),((BB30*BB$51)/(BB$54)),IF(AND(Results!$E$4="Cells",Results!$E$5="Million",$B$52="million"),((BB30*BB$51)/(BB$52)),"0")))))</f>
        <v>0</v>
      </c>
      <c r="BC83" s="20" t="str">
        <f>IF(BC30=0,"0",IF(AND(Results!$E$5="Protein",$C$53&gt;0,OR(Results!$E$4="Tissue",Results!$E$4="Cells")),((BC30*BC$51)/(BC$53)),IF(AND(Results!$E$5="Weight",$C$52&gt;0, Results!$E$4="Tissue",OR($B$52="g",$B$52="mg")),((BC30*BC$51)/(BC$52)),IF(AND(Results!$E$5="Volume",$C$54&gt;0,Results!$E$4="Fluid"),((BC30*BC$51)/(BC$54)),IF(AND(Results!$E$4="Cells",Results!$E$5="Million",$B$52="million"),((BC30*BC$51)/(BC$52)),"0")))))</f>
        <v>0</v>
      </c>
      <c r="BD83" s="20" t="str">
        <f>IF(BD30=0,"0",IF(AND(Results!$E$5="Protein",$C$53&gt;0,OR(Results!$E$4="Tissue",Results!$E$4="Cells")),((BD30*BD$51)/(BD$53)),IF(AND(Results!$E$5="Weight",$C$52&gt;0, Results!$E$4="Tissue",OR($B$52="g",$B$52="mg")),((BD30*BD$51)/(BD$52)),IF(AND(Results!$E$5="Volume",$C$54&gt;0,Results!$E$4="Fluid"),((BD30*BD$51)/(BD$54)),IF(AND(Results!$E$4="Cells",Results!$E$5="Million",$B$52="million"),((BD30*BD$51)/(BD$52)),"0")))))</f>
        <v>0</v>
      </c>
      <c r="BE83" s="20" t="str">
        <f>IF(BE30=0,"0",IF(AND(Results!$E$5="Protein",$C$53&gt;0,OR(Results!$E$4="Tissue",Results!$E$4="Cells")),((BE30*BE$51)/(BE$53)),IF(AND(Results!$E$5="Weight",$C$52&gt;0, Results!$E$4="Tissue",OR($B$52="g",$B$52="mg")),((BE30*BE$51)/(BE$52)),IF(AND(Results!$E$5="Volume",$C$54&gt;0,Results!$E$4="Fluid"),((BE30*BE$51)/(BE$54)),IF(AND(Results!$E$4="Cells",Results!$E$5="Million",$B$52="million"),((BE30*BE$51)/(BE$52)),"0")))))</f>
        <v>0</v>
      </c>
      <c r="BF83" s="20" t="str">
        <f>IF(BF30=0,"0",IF(AND(Results!$E$5="Protein",$C$53&gt;0,OR(Results!$E$4="Tissue",Results!$E$4="Cells")),((BF30*BF$51)/(BF$53)),IF(AND(Results!$E$5="Weight",$C$52&gt;0, Results!$E$4="Tissue",OR($B$52="g",$B$52="mg")),((BF30*BF$51)/(BF$52)),IF(AND(Results!$E$5="Volume",$C$54&gt;0,Results!$E$4="Fluid"),((BF30*BF$51)/(BF$54)),IF(AND(Results!$E$4="Cells",Results!$E$5="Million",$B$52="million"),((BF30*BF$51)/(BF$52)),"0")))))</f>
        <v>0</v>
      </c>
      <c r="BG83" s="20" t="str">
        <f>IF(BG30=0,"0",IF(AND(Results!$E$5="Protein",$C$53&gt;0,OR(Results!$E$4="Tissue",Results!$E$4="Cells")),((BG30*BG$51)/(BG$53)),IF(AND(Results!$E$5="Weight",$C$52&gt;0, Results!$E$4="Tissue",OR($B$52="g",$B$52="mg")),((BG30*BG$51)/(BG$52)),IF(AND(Results!$E$5="Volume",$C$54&gt;0,Results!$E$4="Fluid"),((BG30*BG$51)/(BG$54)),IF(AND(Results!$E$4="Cells",Results!$E$5="Million",$B$52="million"),((BG30*BG$51)/(BG$52)),"0")))))</f>
        <v>0</v>
      </c>
      <c r="BH83" s="20" t="str">
        <f>IF(BH30=0,"0",IF(AND(Results!$E$5="Protein",$C$53&gt;0,OR(Results!$E$4="Tissue",Results!$E$4="Cells")),((BH30*BH$51)/(BH$53)),IF(AND(Results!$E$5="Weight",$C$52&gt;0, Results!$E$4="Tissue",OR($B$52="g",$B$52="mg")),((BH30*BH$51)/(BH$52)),IF(AND(Results!$E$5="Volume",$C$54&gt;0,Results!$E$4="Fluid"),((BH30*BH$51)/(BH$54)),IF(AND(Results!$E$4="Cells",Results!$E$5="Million",$B$52="million"),((BH30*BH$51)/(BH$52)),"0")))))</f>
        <v>0</v>
      </c>
      <c r="BI83" s="20" t="str">
        <f>IF(BI30=0,"0",IF(AND(Results!$E$5="Protein",$C$53&gt;0,OR(Results!$E$4="Tissue",Results!$E$4="Cells")),((BI30*BI$51)/(BI$53)),IF(AND(Results!$E$5="Weight",$C$52&gt;0, Results!$E$4="Tissue",OR($B$52="g",$B$52="mg")),((BI30*BI$51)/(BI$52)),IF(AND(Results!$E$5="Volume",$C$54&gt;0,Results!$E$4="Fluid"),((BI30*BI$51)/(BI$54)),IF(AND(Results!$E$4="Cells",Results!$E$5="Million",$B$52="million"),((BI30*BI$51)/(BI$52)),"0")))))</f>
        <v>0</v>
      </c>
      <c r="BJ83" s="20" t="str">
        <f>IF(BJ30=0,"0",IF(AND(Results!$E$5="Protein",$C$53&gt;0,OR(Results!$E$4="Tissue",Results!$E$4="Cells")),((BJ30*BJ$51)/(BJ$53)),IF(AND(Results!$E$5="Weight",$C$52&gt;0, Results!$E$4="Tissue",OR($B$52="g",$B$52="mg")),((BJ30*BJ$51)/(BJ$52)),IF(AND(Results!$E$5="Volume",$C$54&gt;0,Results!$E$4="Fluid"),((BJ30*BJ$51)/(BJ$54)),IF(AND(Results!$E$4="Cells",Results!$E$5="Million",$B$52="million"),((BJ30*BJ$51)/(BJ$52)),"0")))))</f>
        <v>0</v>
      </c>
      <c r="BK83" s="20" t="str">
        <f>IF(BK30=0,"0",IF(AND(Results!$E$5="Protein",$C$53&gt;0,OR(Results!$E$4="Tissue",Results!$E$4="Cells")),((BK30*BK$51)/(BK$53)),IF(AND(Results!$E$5="Weight",$C$52&gt;0, Results!$E$4="Tissue",OR($B$52="g",$B$52="mg")),((BK30*BK$51)/(BK$52)),IF(AND(Results!$E$5="Volume",$C$54&gt;0,Results!$E$4="Fluid"),((BK30*BK$51)/(BK$54)),IF(AND(Results!$E$4="Cells",Results!$E$5="Million",$B$52="million"),((BK30*BK$51)/(BK$52)),"0")))))</f>
        <v>0</v>
      </c>
      <c r="BL83" s="20" t="str">
        <f>IF(BL30=0,"0",IF(AND(Results!$E$5="Protein",$C$53&gt;0,OR(Results!$E$4="Tissue",Results!$E$4="Cells")),((BL30*BL$51)/(BL$53)),IF(AND(Results!$E$5="Weight",$C$52&gt;0, Results!$E$4="Tissue",OR($B$52="g",$B$52="mg")),((BL30*BL$51)/(BL$52)),IF(AND(Results!$E$5="Volume",$C$54&gt;0,Results!$E$4="Fluid"),((BL30*BL$51)/(BL$54)),IF(AND(Results!$E$4="Cells",Results!$E$5="Million",$B$52="million"),((BL30*BL$51)/(BL$52)),"0")))))</f>
        <v>0</v>
      </c>
      <c r="BM83" s="20" t="str">
        <f>IF(BM30=0,"0",IF(AND(Results!$E$5="Protein",$C$53&gt;0,OR(Results!$E$4="Tissue",Results!$E$4="Cells")),((BM30*BM$51)/(BM$53)),IF(AND(Results!$E$5="Weight",$C$52&gt;0, Results!$E$4="Tissue",OR($B$52="g",$B$52="mg")),((BM30*BM$51)/(BM$52)),IF(AND(Results!$E$5="Volume",$C$54&gt;0,Results!$E$4="Fluid"),((BM30*BM$51)/(BM$54)),IF(AND(Results!$E$4="Cells",Results!$E$5="Million",$B$52="million"),((BM30*BM$51)/(BM$52)),"0")))))</f>
        <v>0</v>
      </c>
      <c r="BN83" s="20" t="str">
        <f>IF(BN30=0,"0",IF(AND(Results!$E$5="Protein",$C$53&gt;0,OR(Results!$E$4="Tissue",Results!$E$4="Cells")),((BN30*BN$51)/(BN$53)),IF(AND(Results!$E$5="Weight",$C$52&gt;0, Results!$E$4="Tissue",OR($B$52="g",$B$52="mg")),((BN30*BN$51)/(BN$52)),IF(AND(Results!$E$5="Volume",$C$54&gt;0,Results!$E$4="Fluid"),((BN30*BN$51)/(BN$54)),IF(AND(Results!$E$4="Cells",Results!$E$5="Million",$B$52="million"),((BN30*BN$51)/(BN$52)),"0")))))</f>
        <v>0</v>
      </c>
      <c r="BO83" s="20" t="str">
        <f>IF(BO30=0,"0",IF(AND(Results!$E$5="Protein",$C$53&gt;0,OR(Results!$E$4="Tissue",Results!$E$4="Cells")),((BO30*BO$51)/(BO$53)),IF(AND(Results!$E$5="Weight",$C$52&gt;0, Results!$E$4="Tissue",OR($B$52="g",$B$52="mg")),((BO30*BO$51)/(BO$52)),IF(AND(Results!$E$5="Volume",$C$54&gt;0,Results!$E$4="Fluid"),((BO30*BO$51)/(BO$54)),IF(AND(Results!$E$4="Cells",Results!$E$5="Million",$B$52="million"),((BO30*BO$51)/(BO$52)),"0")))))</f>
        <v>0</v>
      </c>
      <c r="BP83" s="20" t="str">
        <f>IF(BP30=0,"0",IF(AND(Results!$E$5="Protein",$C$53&gt;0,OR(Results!$E$4="Tissue",Results!$E$4="Cells")),((BP30*BP$51)/(BP$53)),IF(AND(Results!$E$5="Weight",$C$52&gt;0, Results!$E$4="Tissue",OR($B$52="g",$B$52="mg")),((BP30*BP$51)/(BP$52)),IF(AND(Results!$E$5="Volume",$C$54&gt;0,Results!$E$4="Fluid"),((BP30*BP$51)/(BP$54)),IF(AND(Results!$E$4="Cells",Results!$E$5="Million",$B$52="million"),((BP30*BP$51)/(BP$52)),"0")))))</f>
        <v>0</v>
      </c>
      <c r="BQ83" s="20" t="str">
        <f>IF(BQ30=0,"0",IF(AND(Results!$E$5="Protein",$C$53&gt;0,OR(Results!$E$4="Tissue",Results!$E$4="Cells")),((BQ30*BQ$51)/(BQ$53)),IF(AND(Results!$E$5="Weight",$C$52&gt;0, Results!$E$4="Tissue",OR($B$52="g",$B$52="mg")),((BQ30*BQ$51)/(BQ$52)),IF(AND(Results!$E$5="Volume",$C$54&gt;0,Results!$E$4="Fluid"),((BQ30*BQ$51)/(BQ$54)),IF(AND(Results!$E$4="Cells",Results!$E$5="Million",$B$52="million"),((BQ30*BQ$51)/(BQ$52)),"0")))))</f>
        <v>0</v>
      </c>
      <c r="BR83" s="20" t="str">
        <f>IF(BR30=0,"0",IF(AND(Results!$E$5="Protein",$C$53&gt;0,OR(Results!$E$4="Tissue",Results!$E$4="Cells")),((BR30*BR$51)/(BR$53)),IF(AND(Results!$E$5="Weight",$C$52&gt;0, Results!$E$4="Tissue",OR($B$52="g",$B$52="mg")),((BR30*BR$51)/(BR$52)),IF(AND(Results!$E$5="Volume",$C$54&gt;0,Results!$E$4="Fluid"),((BR30*BR$51)/(BR$54)),IF(AND(Results!$E$4="Cells",Results!$E$5="Million",$B$52="million"),((BR30*BR$51)/(BR$52)),"0")))))</f>
        <v>0</v>
      </c>
      <c r="BS83" s="20" t="str">
        <f>IF(BS30=0,"0",IF(AND(Results!$E$5="Protein",$C$53&gt;0,OR(Results!$E$4="Tissue",Results!$E$4="Cells")),((BS30*BS$51)/(BS$53)),IF(AND(Results!$E$5="Weight",$C$52&gt;0, Results!$E$4="Tissue",OR($B$52="g",$B$52="mg")),((BS30*BS$51)/(BS$52)),IF(AND(Results!$E$5="Volume",$C$54&gt;0,Results!$E$4="Fluid"),((BS30*BS$51)/(BS$54)),IF(AND(Results!$E$4="Cells",Results!$E$5="Million",$B$52="million"),((BS30*BS$51)/(BS$52)),"0")))))</f>
        <v>0</v>
      </c>
      <c r="BT83" s="20" t="str">
        <f>IF(BT30=0,"0",IF(AND(Results!$E$5="Protein",$C$53&gt;0,OR(Results!$E$4="Tissue",Results!$E$4="Cells")),((BT30*BT$51)/(BT$53)),IF(AND(Results!$E$5="Weight",$C$52&gt;0, Results!$E$4="Tissue",OR($B$52="g",$B$52="mg")),((BT30*BT$51)/(BT$52)),IF(AND(Results!$E$5="Volume",$C$54&gt;0,Results!$E$4="Fluid"),((BT30*BT$51)/(BT$54)),IF(AND(Results!$E$4="Cells",Results!$E$5="Million",$B$52="million"),((BT30*BT$51)/(BT$52)),"0")))))</f>
        <v>0</v>
      </c>
      <c r="BU83" s="20" t="str">
        <f>IF(BU30=0,"0",IF(AND(Results!$E$5="Protein",$C$53&gt;0,OR(Results!$E$4="Tissue",Results!$E$4="Cells")),((BU30*BU$51)/(BU$53)),IF(AND(Results!$E$5="Weight",$C$52&gt;0, Results!$E$4="Tissue",OR($B$52="g",$B$52="mg")),((BU30*BU$51)/(BU$52)),IF(AND(Results!$E$5="Volume",$C$54&gt;0,Results!$E$4="Fluid"),((BU30*BU$51)/(BU$54)),IF(AND(Results!$E$4="Cells",Results!$E$5="Million",$B$52="million"),((BU30*BU$51)/(BU$52)),"0")))))</f>
        <v>0</v>
      </c>
      <c r="BV83" s="20" t="str">
        <f>IF(BV30=0,"0",IF(AND(Results!$E$5="Protein",$C$53&gt;0,OR(Results!$E$4="Tissue",Results!$E$4="Cells")),((BV30*BV$51)/(BV$53)),IF(AND(Results!$E$5="Weight",$C$52&gt;0, Results!$E$4="Tissue",OR($B$52="g",$B$52="mg")),((BV30*BV$51)/(BV$52)),IF(AND(Results!$E$5="Volume",$C$54&gt;0,Results!$E$4="Fluid"),((BV30*BV$51)/(BV$54)),IF(AND(Results!$E$4="Cells",Results!$E$5="Million",$B$52="million"),((BV30*BV$51)/(BV$52)),"0")))))</f>
        <v>0</v>
      </c>
      <c r="BW83" s="20" t="str">
        <f>IF(BW30=0,"0",IF(AND(Results!$E$5="Protein",$C$53&gt;0,OR(Results!$E$4="Tissue",Results!$E$4="Cells")),((BW30*BW$51)/(BW$53)),IF(AND(Results!$E$5="Weight",$C$52&gt;0, Results!$E$4="Tissue",OR($B$52="g",$B$52="mg")),((BW30*BW$51)/(BW$52)),IF(AND(Results!$E$5="Volume",$C$54&gt;0,Results!$E$4="Fluid"),((BW30*BW$51)/(BW$54)),IF(AND(Results!$E$4="Cells",Results!$E$5="Million",$B$52="million"),((BW30*BW$51)/(BW$52)),"0")))))</f>
        <v>0</v>
      </c>
      <c r="BX83" s="20" t="str">
        <f>IF(BX30=0,"0",IF(AND(Results!$E$5="Protein",$C$53&gt;0,OR(Results!$E$4="Tissue",Results!$E$4="Cells")),((BX30*BX$51)/(BX$53)),IF(AND(Results!$E$5="Weight",$C$52&gt;0, Results!$E$4="Tissue",OR($B$52="g",$B$52="mg")),((BX30*BX$51)/(BX$52)),IF(AND(Results!$E$5="Volume",$C$54&gt;0,Results!$E$4="Fluid"),((BX30*BX$51)/(BX$54)),IF(AND(Results!$E$4="Cells",Results!$E$5="Million",$B$52="million"),((BX30*BX$51)/(BX$52)),"0")))))</f>
        <v>0</v>
      </c>
      <c r="BY83" s="20" t="str">
        <f>IF(BY30=0,"0",IF(AND(Results!$E$5="Protein",$C$53&gt;0,OR(Results!$E$4="Tissue",Results!$E$4="Cells")),((BY30*BY$51)/(BY$53)),IF(AND(Results!$E$5="Weight",$C$52&gt;0, Results!$E$4="Tissue",OR($B$52="g",$B$52="mg")),((BY30*BY$51)/(BY$52)),IF(AND(Results!$E$5="Volume",$C$54&gt;0,Results!$E$4="Fluid"),((BY30*BY$51)/(BY$54)),IF(AND(Results!$E$4="Cells",Results!$E$5="Million",$B$52="million"),((BY30*BY$51)/(BY$52)),"0")))))</f>
        <v>0</v>
      </c>
      <c r="BZ83" s="20" t="str">
        <f>IF(BZ30=0,"0",IF(AND(Results!$E$5="Protein",$C$53&gt;0,OR(Results!$E$4="Tissue",Results!$E$4="Cells")),((BZ30*BZ$51)/(BZ$53)),IF(AND(Results!$E$5="Weight",$C$52&gt;0, Results!$E$4="Tissue",OR($B$52="g",$B$52="mg")),((BZ30*BZ$51)/(BZ$52)),IF(AND(Results!$E$5="Volume",$C$54&gt;0,Results!$E$4="Fluid"),((BZ30*BZ$51)/(BZ$54)),IF(AND(Results!$E$4="Cells",Results!$E$5="Million",$B$52="million"),((BZ30*BZ$51)/(BZ$52)),"0")))))</f>
        <v>0</v>
      </c>
      <c r="CA83" s="20" t="str">
        <f>IF(CA30=0,"0",IF(AND(Results!$E$5="Protein",$C$53&gt;0,OR(Results!$E$4="Tissue",Results!$E$4="Cells")),((CA30*CA$51)/(CA$53)),IF(AND(Results!$E$5="Weight",$C$52&gt;0, Results!$E$4="Tissue",OR($B$52="g",$B$52="mg")),((CA30*CA$51)/(CA$52)),IF(AND(Results!$E$5="Volume",$C$54&gt;0,Results!$E$4="Fluid"),((CA30*CA$51)/(CA$54)),IF(AND(Results!$E$4="Cells",Results!$E$5="Million",$B$52="million"),((CA30*CA$51)/(CA$52)),"0")))))</f>
        <v>0</v>
      </c>
      <c r="CB83" s="20" t="str">
        <f>IF(CB30=0,"0",IF(AND(Results!$E$5="Protein",$C$53&gt;0,OR(Results!$E$4="Tissue",Results!$E$4="Cells")),((CB30*CB$51)/(CB$53)),IF(AND(Results!$E$5="Weight",$C$52&gt;0, Results!$E$4="Tissue",OR($B$52="g",$B$52="mg")),((CB30*CB$51)/(CB$52)),IF(AND(Results!$E$5="Volume",$C$54&gt;0,Results!$E$4="Fluid"),((CB30*CB$51)/(CB$54)),IF(AND(Results!$E$4="Cells",Results!$E$5="Million",$B$52="million"),((CB30*CB$51)/(CB$52)),"0")))))</f>
        <v>0</v>
      </c>
      <c r="CC83" s="20" t="str">
        <f>IF(CC30=0,"0",IF(AND(Results!$E$5="Protein",$C$53&gt;0,OR(Results!$E$4="Tissue",Results!$E$4="Cells")),((CC30*CC$51)/(CC$53)),IF(AND(Results!$E$5="Weight",$C$52&gt;0, Results!$E$4="Tissue",OR($B$52="g",$B$52="mg")),((CC30*CC$51)/(CC$52)),IF(AND(Results!$E$5="Volume",$C$54&gt;0,Results!$E$4="Fluid"),((CC30*CC$51)/(CC$54)),IF(AND(Results!$E$4="Cells",Results!$E$5="Million",$B$52="million"),((CC30*CC$51)/(CC$52)),"0")))))</f>
        <v>0</v>
      </c>
      <c r="CD83" s="20" t="str">
        <f>IF(CD30=0,"0",IF(AND(Results!$E$5="Protein",$C$53&gt;0,OR(Results!$E$4="Tissue",Results!$E$4="Cells")),((CD30*CD$51)/(CD$53)),IF(AND(Results!$E$5="Weight",$C$52&gt;0, Results!$E$4="Tissue",OR($B$52="g",$B$52="mg")),((CD30*CD$51)/(CD$52)),IF(AND(Results!$E$5="Volume",$C$54&gt;0,Results!$E$4="Fluid"),((CD30*CD$51)/(CD$54)),IF(AND(Results!$E$4="Cells",Results!$E$5="Million",$B$52="million"),((CD30*CD$51)/(CD$52)),"0")))))</f>
        <v>0</v>
      </c>
      <c r="CE83" s="20" t="str">
        <f>IF(CE30=0,"0",IF(AND(Results!$E$5="Protein",$C$53&gt;0,OR(Results!$E$4="Tissue",Results!$E$4="Cells")),((CE30*CE$51)/(CE$53)),IF(AND(Results!$E$5="Weight",$C$52&gt;0, Results!$E$4="Tissue",OR($B$52="g",$B$52="mg")),((CE30*CE$51)/(CE$52)),IF(AND(Results!$E$5="Volume",$C$54&gt;0,Results!$E$4="Fluid"),((CE30*CE$51)/(CE$54)),IF(AND(Results!$E$4="Cells",Results!$E$5="Million",$B$52="million"),((CE30*CE$51)/(CE$52)),"0")))))</f>
        <v>0</v>
      </c>
      <c r="CF83" s="20" t="str">
        <f>IF(CF30=0,"0",IF(AND(Results!$E$5="Protein",$C$53&gt;0,OR(Results!$E$4="Tissue",Results!$E$4="Cells")),((CF30*CF$51)/(CF$53)),IF(AND(Results!$E$5="Weight",$C$52&gt;0, Results!$E$4="Tissue",OR($B$52="g",$B$52="mg")),((CF30*CF$51)/(CF$52)),IF(AND(Results!$E$5="Volume",$C$54&gt;0,Results!$E$4="Fluid"),((CF30*CF$51)/(CF$54)),IF(AND(Results!$E$4="Cells",Results!$E$5="Million",$B$52="million"),((CF30*CF$51)/(CF$52)),"0")))))</f>
        <v>0</v>
      </c>
      <c r="CG83" s="20" t="str">
        <f>IF(CG30=0,"0",IF(AND(Results!$E$5="Protein",$C$53&gt;0,OR(Results!$E$4="Tissue",Results!$E$4="Cells")),((CG30*CG$51)/(CG$53)),IF(AND(Results!$E$5="Weight",$C$52&gt;0, Results!$E$4="Tissue",OR($B$52="g",$B$52="mg")),((CG30*CG$51)/(CG$52)),IF(AND(Results!$E$5="Volume",$C$54&gt;0,Results!$E$4="Fluid"),((CG30*CG$51)/(CG$54)),IF(AND(Results!$E$4="Cells",Results!$E$5="Million",$B$52="million"),((CG30*CG$51)/(CG$52)),"0")))))</f>
        <v>0</v>
      </c>
      <c r="CH83" s="20" t="str">
        <f>IF(CH30=0,"0",IF(AND(Results!$E$5="Protein",$C$53&gt;0,OR(Results!$E$4="Tissue",Results!$E$4="Cells")),((CH30*CH$51)/(CH$53)),IF(AND(Results!$E$5="Weight",$C$52&gt;0, Results!$E$4="Tissue",OR($B$52="g",$B$52="mg")),((CH30*CH$51)/(CH$52)),IF(AND(Results!$E$5="Volume",$C$54&gt;0,Results!$E$4="Fluid"),((CH30*CH$51)/(CH$54)),IF(AND(Results!$E$4="Cells",Results!$E$5="Million",$B$52="million"),((CH30*CH$51)/(CH$52)),"0")))))</f>
        <v>0</v>
      </c>
      <c r="CI83" s="20" t="str">
        <f>IF(CI30=0,"0",IF(AND(Results!$E$5="Protein",$C$53&gt;0,OR(Results!$E$4="Tissue",Results!$E$4="Cells")),((CI30*CI$51)/(CI$53)),IF(AND(Results!$E$5="Weight",$C$52&gt;0, Results!$E$4="Tissue",OR($B$52="g",$B$52="mg")),((CI30*CI$51)/(CI$52)),IF(AND(Results!$E$5="Volume",$C$54&gt;0,Results!$E$4="Fluid"),((CI30*CI$51)/(CI$54)),IF(AND(Results!$E$4="Cells",Results!$E$5="Million",$B$52="million"),((CI30*CI$51)/(CI$52)),"0")))))</f>
        <v>0</v>
      </c>
      <c r="CJ83" s="20" t="str">
        <f>IF(CJ30=0,"0",IF(AND(Results!$E$5="Protein",$C$53&gt;0,OR(Results!$E$4="Tissue",Results!$E$4="Cells")),((CJ30*CJ$51)/(CJ$53)),IF(AND(Results!$E$5="Weight",$C$52&gt;0, Results!$E$4="Tissue",OR($B$52="g",$B$52="mg")),((CJ30*CJ$51)/(CJ$52)),IF(AND(Results!$E$5="Volume",$C$54&gt;0,Results!$E$4="Fluid"),((CJ30*CJ$51)/(CJ$54)),IF(AND(Results!$E$4="Cells",Results!$E$5="Million",$B$52="million"),((CJ30*CJ$51)/(CJ$52)),"0")))))</f>
        <v>0</v>
      </c>
      <c r="CK83" s="20" t="str">
        <f>IF(CK30=0,"0",IF(AND(Results!$E$5="Protein",$C$53&gt;0,OR(Results!$E$4="Tissue",Results!$E$4="Cells")),((CK30*CK$51)/(CK$53)),IF(AND(Results!$E$5="Weight",$C$52&gt;0, Results!$E$4="Tissue",OR($B$52="g",$B$52="mg")),((CK30*CK$51)/(CK$52)),IF(AND(Results!$E$5="Volume",$C$54&gt;0,Results!$E$4="Fluid"),((CK30*CK$51)/(CK$54)),IF(AND(Results!$E$4="Cells",Results!$E$5="Million",$B$52="million"),((CK30*CK$51)/(CK$52)),"0")))))</f>
        <v>0</v>
      </c>
      <c r="CL83" s="20" t="str">
        <f>IF(CL30=0,"0",IF(AND(Results!$E$5="Protein",$C$53&gt;0,OR(Results!$E$4="Tissue",Results!$E$4="Cells")),((CL30*CL$51)/(CL$53)),IF(AND(Results!$E$5="Weight",$C$52&gt;0, Results!$E$4="Tissue",OR($B$52="g",$B$52="mg")),((CL30*CL$51)/(CL$52)),IF(AND(Results!$E$5="Volume",$C$54&gt;0,Results!$E$4="Fluid"),((CL30*CL$51)/(CL$54)),IF(AND(Results!$E$4="Cells",Results!$E$5="Million",$B$52="million"),((CL30*CL$51)/(CL$52)),"0")))))</f>
        <v>0</v>
      </c>
      <c r="CM83" s="20" t="str">
        <f>IF(CM30=0,"0",IF(AND(Results!$E$5="Protein",$C$53&gt;0,OR(Results!$E$4="Tissue",Results!$E$4="Cells")),((CM30*CM$51)/(CM$53)),IF(AND(Results!$E$5="Weight",$C$52&gt;0, Results!$E$4="Tissue",OR($B$52="g",$B$52="mg")),((CM30*CM$51)/(CM$52)),IF(AND(Results!$E$5="Volume",$C$54&gt;0,Results!$E$4="Fluid"),((CM30*CM$51)/(CM$54)),IF(AND(Results!$E$4="Cells",Results!$E$5="Million",$B$52="million"),((CM30*CM$51)/(CM$52)),"0")))))</f>
        <v>0</v>
      </c>
      <c r="CN83" s="20" t="str">
        <f>IF(CN30=0,"0",IF(AND(Results!$E$5="Protein",$C$53&gt;0,OR(Results!$E$4="Tissue",Results!$E$4="Cells")),((CN30*CN$51)/(CN$53)),IF(AND(Results!$E$5="Weight",$C$52&gt;0, Results!$E$4="Tissue",OR($B$52="g",$B$52="mg")),((CN30*CN$51)/(CN$52)),IF(AND(Results!$E$5="Volume",$C$54&gt;0,Results!$E$4="Fluid"),((CN30*CN$51)/(CN$54)),IF(AND(Results!$E$4="Cells",Results!$E$5="Million",$B$52="million"),((CN30*CN$51)/(CN$52)),"0")))))</f>
        <v>0</v>
      </c>
      <c r="CO83" s="20" t="str">
        <f>IF(CO30=0,"0",IF(AND(Results!$E$5="Protein",$C$53&gt;0,OR(Results!$E$4="Tissue",Results!$E$4="Cells")),((CO30*CO$51)/(CO$53)),IF(AND(Results!$E$5="Weight",$C$52&gt;0, Results!$E$4="Tissue",OR($B$52="g",$B$52="mg")),((CO30*CO$51)/(CO$52)),IF(AND(Results!$E$5="Volume",$C$54&gt;0,Results!$E$4="Fluid"),((CO30*CO$51)/(CO$54)),IF(AND(Results!$E$4="Cells",Results!$E$5="Million",$B$52="million"),((CO30*CO$51)/(CO$52)),"0")))))</f>
        <v>0</v>
      </c>
      <c r="CP83" s="20" t="str">
        <f>IF(CP30=0,"0",IF(AND(Results!$E$5="Protein",$C$53&gt;0,OR(Results!$E$4="Tissue",Results!$E$4="Cells")),((CP30*CP$51)/(CP$53)),IF(AND(Results!$E$5="Weight",$C$52&gt;0, Results!$E$4="Tissue",OR($B$52="g",$B$52="mg")),((CP30*CP$51)/(CP$52)),IF(AND(Results!$E$5="Volume",$C$54&gt;0,Results!$E$4="Fluid"),((CP30*CP$51)/(CP$54)),IF(AND(Results!$E$4="Cells",Results!$E$5="Million",$B$52="million"),((CP30*CP$51)/(CP$52)),"0")))))</f>
        <v>0</v>
      </c>
      <c r="CQ83" s="20" t="str">
        <f>IF(CQ30=0,"0",IF(AND(Results!$E$5="Protein",$C$53&gt;0,OR(Results!$E$4="Tissue",Results!$E$4="Cells")),((CQ30*CQ$51)/(CQ$53)),IF(AND(Results!$E$5="Weight",$C$52&gt;0, Results!$E$4="Tissue",OR($B$52="g",$B$52="mg")),((CQ30*CQ$51)/(CQ$52)),IF(AND(Results!$E$5="Volume",$C$54&gt;0,Results!$E$4="Fluid"),((CQ30*CQ$51)/(CQ$54)),IF(AND(Results!$E$4="Cells",Results!$E$5="Million",$B$52="million"),((CQ30*CQ$51)/(CQ$52)),"0")))))</f>
        <v>0</v>
      </c>
      <c r="CR83" s="20" t="str">
        <f>IF(CR30=0,"0",IF(AND(Results!$E$5="Protein",$C$53&gt;0,OR(Results!$E$4="Tissue",Results!$E$4="Cells")),((CR30*CR$51)/(CR$53)),IF(AND(Results!$E$5="Weight",$C$52&gt;0, Results!$E$4="Tissue",OR($B$52="g",$B$52="mg")),((CR30*CR$51)/(CR$52)),IF(AND(Results!$E$5="Volume",$C$54&gt;0,Results!$E$4="Fluid"),((CR30*CR$51)/(CR$54)),IF(AND(Results!$E$4="Cells",Results!$E$5="Million",$B$52="million"),((CR30*CR$51)/(CR$52)),"0")))))</f>
        <v>0</v>
      </c>
      <c r="CS83" s="20" t="str">
        <f>IF(CS30=0,"0",IF(AND(Results!$E$5="Protein",$C$53&gt;0,OR(Results!$E$4="Tissue",Results!$E$4="Cells")),((CS30*CS$51)/(CS$53)),IF(AND(Results!$E$5="Weight",$C$52&gt;0, Results!$E$4="Tissue",OR($B$52="g",$B$52="mg")),((CS30*CS$51)/(CS$52)),IF(AND(Results!$E$5="Volume",$C$54&gt;0,Results!$E$4="Fluid"),((CS30*CS$51)/(CS$54)),IF(AND(Results!$E$4="Cells",Results!$E$5="Million",$B$52="million"),((CS30*CS$51)/(CS$52)),"0")))))</f>
        <v>0</v>
      </c>
      <c r="CT83" s="20" t="str">
        <f>IF(CT30=0,"0",IF(AND(Results!$E$5="Protein",$C$53&gt;0,OR(Results!$E$4="Tissue",Results!$E$4="Cells")),((CT30*CT$51)/(CT$53)),IF(AND(Results!$E$5="Weight",$C$52&gt;0, Results!$E$4="Tissue",OR($B$52="g",$B$52="mg")),((CT30*CT$51)/(CT$52)),IF(AND(Results!$E$5="Volume",$C$54&gt;0,Results!$E$4="Fluid"),((CT30*CT$51)/(CT$54)),IF(AND(Results!$E$4="Cells",Results!$E$5="Million",$B$52="million"),((CT30*CT$51)/(CT$52)),"0")))))</f>
        <v>0</v>
      </c>
      <c r="CU83" s="20" t="str">
        <f>IF(CU30=0,"0",IF(AND(Results!$E$5="Protein",$C$53&gt;0,OR(Results!$E$4="Tissue",Results!$E$4="Cells")),((CU30*CU$51)/(CU$53)),IF(AND(Results!$E$5="Weight",$C$52&gt;0, Results!$E$4="Tissue",OR($B$52="g",$B$52="mg")),((CU30*CU$51)/(CU$52)),IF(AND(Results!$E$5="Volume",$C$54&gt;0,Results!$E$4="Fluid"),((CU30*CU$51)/(CU$54)),IF(AND(Results!$E$4="Cells",Results!$E$5="Million",$B$52="million"),((CU30*CU$51)/(CU$52)),"0")))))</f>
        <v>0</v>
      </c>
      <c r="CV83" s="20" t="str">
        <f>IF(CV30=0,"0",IF(AND(Results!$E$5="Protein",$C$53&gt;0,OR(Results!$E$4="Tissue",Results!$E$4="Cells")),((CV30*CV$51)/(CV$53)),IF(AND(Results!$E$5="Weight",$C$52&gt;0, Results!$E$4="Tissue",OR($B$52="g",$B$52="mg")),((CV30*CV$51)/(CV$52)),IF(AND(Results!$E$5="Volume",$C$54&gt;0,Results!$E$4="Fluid"),((CV30*CV$51)/(CV$54)),IF(AND(Results!$E$4="Cells",Results!$E$5="Million",$B$52="million"),((CV30*CV$51)/(CV$52)),"0")))))</f>
        <v>0</v>
      </c>
      <c r="CW83" s="20" t="str">
        <f>IF(CW30=0,"0",IF(AND(Results!$E$5="Protein",$C$53&gt;0,OR(Results!$E$4="Tissue",Results!$E$4="Cells")),((CW30*CW$51)/(CW$53)),IF(AND(Results!$E$5="Weight",$C$52&gt;0, Results!$E$4="Tissue",OR($B$52="g",$B$52="mg")),((CW30*CW$51)/(CW$52)),IF(AND(Results!$E$5="Volume",$C$54&gt;0,Results!$E$4="Fluid"),((CW30*CW$51)/(CW$54)),IF(AND(Results!$E$4="Cells",Results!$E$5="Million",$B$52="million"),((CW30*CW$51)/(CW$52)),"0")))))</f>
        <v>0</v>
      </c>
      <c r="CX83" s="20" t="str">
        <f>IF(CX30=0,"0",IF(AND(Results!$E$5="Protein",$C$53&gt;0,OR(Results!$E$4="Tissue",Results!$E$4="Cells")),((CX30*CX$51)/(CX$53)),IF(AND(Results!$E$5="Weight",$C$52&gt;0, Results!$E$4="Tissue",OR($B$52="g",$B$52="mg")),((CX30*CX$51)/(CX$52)),IF(AND(Results!$E$5="Volume",$C$54&gt;0,Results!$E$4="Fluid"),((CX30*CX$51)/(CX$54)),IF(AND(Results!$E$4="Cells",Results!$E$5="Million",$B$52="million"),((CX30*CX$51)/(CX$52)),"0")))))</f>
        <v>0</v>
      </c>
      <c r="CY83" s="20" t="str">
        <f>IF(CY30=0,"0",IF(AND(Results!$E$5="Protein",$C$53&gt;0,OR(Results!$E$4="Tissue",Results!$E$4="Cells")),((CY30*CY$51)/(CY$53)),IF(AND(Results!$E$5="Weight",$C$52&gt;0, Results!$E$4="Tissue",OR($B$52="g",$B$52="mg")),((CY30*CY$51)/(CY$52)),IF(AND(Results!$E$5="Volume",$C$54&gt;0,Results!$E$4="Fluid"),((CY30*CY$51)/(CY$54)),IF(AND(Results!$E$4="Cells",Results!$E$5="Million",$B$52="million"),((CY30*CY$51)/(CY$52)),"0")))))</f>
        <v>0</v>
      </c>
      <c r="CZ83" s="20" t="str">
        <f>IF(CZ30=0,"0",IF(AND(Results!$E$5="Protein",$C$53&gt;0,OR(Results!$E$4="Tissue",Results!$E$4="Cells")),((CZ30*CZ$51)/(CZ$53)),IF(AND(Results!$E$5="Weight",$C$52&gt;0, Results!$E$4="Tissue",OR($B$52="g",$B$52="mg")),((CZ30*CZ$51)/(CZ$52)),IF(AND(Results!$E$5="Volume",$C$54&gt;0,Results!$E$4="Fluid"),((CZ30*CZ$51)/(CZ$54)),IF(AND(Results!$E$4="Cells",Results!$E$5="Million",$B$52="million"),((CZ30*CZ$51)/(CZ$52)),"0")))))</f>
        <v>0</v>
      </c>
      <c r="DA83" s="20" t="str">
        <f>IF(DA30=0,"0",IF(AND(Results!$E$5="Protein",$C$53&gt;0,OR(Results!$E$4="Tissue",Results!$E$4="Cells")),((DA30*DA$51)/(DA$53)),IF(AND(Results!$E$5="Weight",$C$52&gt;0, Results!$E$4="Tissue",OR($B$52="g",$B$52="mg")),((DA30*DA$51)/(DA$52)),IF(AND(Results!$E$5="Volume",$C$54&gt;0,Results!$E$4="Fluid"),((DA30*DA$51)/(DA$54)),IF(AND(Results!$E$4="Cells",Results!$E$5="Million",$B$52="million"),((DA30*DA$51)/(DA$52)),"0")))))</f>
        <v>0</v>
      </c>
      <c r="DB83" s="20" t="str">
        <f>IF(DB30=0,"0",IF(AND(Results!$E$5="Protein",$C$53&gt;0,OR(Results!$E$4="Tissue",Results!$E$4="Cells")),((DB30*DB$51)/(DB$53)),IF(AND(Results!$E$5="Weight",$C$52&gt;0, Results!$E$4="Tissue",OR($B$52="g",$B$52="mg")),((DB30*DB$51)/(DB$52)),IF(AND(Results!$E$5="Volume",$C$54&gt;0,Results!$E$4="Fluid"),((DB30*DB$51)/(DB$54)),IF(AND(Results!$E$4="Cells",Results!$E$5="Million",$B$52="million"),((DB30*DB$51)/(DB$52)),"0")))))</f>
        <v>0</v>
      </c>
      <c r="DC83" s="20" t="str">
        <f>IF(DC30=0,"0",IF(AND(Results!$E$5="Protein",$C$53&gt;0,OR(Results!$E$4="Tissue",Results!$E$4="Cells")),((DC30*DC$51)/(DC$53)),IF(AND(Results!$E$5="Weight",$C$52&gt;0, Results!$E$4="Tissue",OR($B$52="g",$B$52="mg")),((DC30*DC$51)/(DC$52)),IF(AND(Results!$E$5="Volume",$C$54&gt;0,Results!$E$4="Fluid"),((DC30*DC$51)/(DC$54)),IF(AND(Results!$E$4="Cells",Results!$E$5="Million",$B$52="million"),((DC30*DC$51)/(DC$52)),"0")))))</f>
        <v>0</v>
      </c>
      <c r="DD83" s="20" t="str">
        <f>IF(DD30=0,"0",IF(AND(Results!$E$5="Protein",$C$53&gt;0,OR(Results!$E$4="Tissue",Results!$E$4="Cells")),((DD30*DD$51)/(DD$53)),IF(AND(Results!$E$5="Weight",$C$52&gt;0, Results!$E$4="Tissue",OR($B$52="g",$B$52="mg")),((DD30*DD$51)/(DD$52)),IF(AND(Results!$E$5="Volume",$C$54&gt;0,Results!$E$4="Fluid"),((DD30*DD$51)/(DD$54)),IF(AND(Results!$E$4="Cells",Results!$E$5="Million",$B$52="million"),((DD30*DD$51)/(DD$52)),"0")))))</f>
        <v>0</v>
      </c>
      <c r="DE83" s="20" t="str">
        <f>IF(DE30=0,"0",IF(AND(Results!$E$5="Protein",$C$53&gt;0,OR(Results!$E$4="Tissue",Results!$E$4="Cells")),((DE30*DE$51)/(DE$53)),IF(AND(Results!$E$5="Weight",$C$52&gt;0, Results!$E$4="Tissue",OR($B$52="g",$B$52="mg")),((DE30*DE$51)/(DE$52)),IF(AND(Results!$E$5="Volume",$C$54&gt;0,Results!$E$4="Fluid"),((DE30*DE$51)/(DE$54)),IF(AND(Results!$E$4="Cells",Results!$E$5="Million",$B$52="million"),((DE30*DE$51)/(DE$52)),"0")))))</f>
        <v>0</v>
      </c>
      <c r="DF83" s="20" t="str">
        <f>IF(DF30=0,"0",IF(AND(Results!$E$5="Protein",$C$53&gt;0,OR(Results!$E$4="Tissue",Results!$E$4="Cells")),((DF30*DF$51)/(DF$53)),IF(AND(Results!$E$5="Weight",$C$52&gt;0, Results!$E$4="Tissue",OR($B$52="g",$B$52="mg")),((DF30*DF$51)/(DF$52)),IF(AND(Results!$E$5="Volume",$C$54&gt;0,Results!$E$4="Fluid"),((DF30*DF$51)/(DF$54)),IF(AND(Results!$E$4="Cells",Results!$E$5="Million",$B$52="million"),((DF30*DF$51)/(DF$52)),"0")))))</f>
        <v>0</v>
      </c>
      <c r="DG83" s="20" t="str">
        <f>IF(DG30=0,"0",IF(AND(Results!$E$5="Protein",$C$53&gt;0,OR(Results!$E$4="Tissue",Results!$E$4="Cells")),((DG30*DG$51)/(DG$53)),IF(AND(Results!$E$5="Weight",$C$52&gt;0, Results!$E$4="Tissue",OR($B$52="g",$B$52="mg")),((DG30*DG$51)/(DG$52)),IF(AND(Results!$E$5="Volume",$C$54&gt;0,Results!$E$4="Fluid"),((DG30*DG$51)/(DG$54)),IF(AND(Results!$E$4="Cells",Results!$E$5="Million",$B$52="million"),((DG30*DG$51)/(DG$52)),"0")))))</f>
        <v>0</v>
      </c>
      <c r="DH83" s="20" t="str">
        <f>IF(DH30=0,"0",IF(AND(Results!$E$5="Protein",$C$53&gt;0,OR(Results!$E$4="Tissue",Results!$E$4="Cells")),((DH30*DH$51)/(DH$53)),IF(AND(Results!$E$5="Weight",$C$52&gt;0, Results!$E$4="Tissue",OR($B$52="g",$B$52="mg")),((DH30*DH$51)/(DH$52)),IF(AND(Results!$E$5="Volume",$C$54&gt;0,Results!$E$4="Fluid"),((DH30*DH$51)/(DH$54)),IF(AND(Results!$E$4="Cells",Results!$E$5="Million",$B$52="million"),((DH30*DH$51)/(DH$52)),"0")))))</f>
        <v>0</v>
      </c>
      <c r="DI83" s="20" t="str">
        <f>IF(DI30=0,"0",IF(AND(Results!$E$5="Protein",$C$53&gt;0,OR(Results!$E$4="Tissue",Results!$E$4="Cells")),((DI30*DI$51)/(DI$53)),IF(AND(Results!$E$5="Weight",$C$52&gt;0, Results!$E$4="Tissue",OR($B$52="g",$B$52="mg")),((DI30*DI$51)/(DI$52)),IF(AND(Results!$E$5="Volume",$C$54&gt;0,Results!$E$4="Fluid"),((DI30*DI$51)/(DI$54)),IF(AND(Results!$E$4="Cells",Results!$E$5="Million",$B$52="million"),((DI30*DI$51)/(DI$52)),"0")))))</f>
        <v>0</v>
      </c>
      <c r="DJ83" s="20" t="str">
        <f>IF(DJ30=0,"0",IF(AND(Results!$E$5="Protein",$C$53&gt;0,OR(Results!$E$4="Tissue",Results!$E$4="Cells")),((DJ30*DJ$51)/(DJ$53)),IF(AND(Results!$E$5="Weight",$C$52&gt;0, Results!$E$4="Tissue",OR($B$52="g",$B$52="mg")),((DJ30*DJ$51)/(DJ$52)),IF(AND(Results!$E$5="Volume",$C$54&gt;0,Results!$E$4="Fluid"),((DJ30*DJ$51)/(DJ$54)),IF(AND(Results!$E$4="Cells",Results!$E$5="Million",$B$52="million"),((DJ30*DJ$51)/(DJ$52)),"0")))))</f>
        <v>0</v>
      </c>
      <c r="DK83" s="20" t="str">
        <f>IF(DK30=0,"0",IF(AND(Results!$E$5="Protein",$C$53&gt;0,OR(Results!$E$4="Tissue",Results!$E$4="Cells")),((DK30*DK$51)/(DK$53)),IF(AND(Results!$E$5="Weight",$C$52&gt;0, Results!$E$4="Tissue",OR($B$52="g",$B$52="mg")),((DK30*DK$51)/(DK$52)),IF(AND(Results!$E$5="Volume",$C$54&gt;0,Results!$E$4="Fluid"),((DK30*DK$51)/(DK$54)),IF(AND(Results!$E$4="Cells",Results!$E$5="Million",$B$52="million"),((DK30*DK$51)/(DK$52)),"0")))))</f>
        <v>0</v>
      </c>
      <c r="DL83" s="20" t="str">
        <f>IF(DL30=0,"0",IF(AND(Results!$E$5="Protein",$C$53&gt;0,OR(Results!$E$4="Tissue",Results!$E$4="Cells")),((DL30*DL$51)/(DL$53)),IF(AND(Results!$E$5="Weight",$C$52&gt;0, Results!$E$4="Tissue",OR($B$52="g",$B$52="mg")),((DL30*DL$51)/(DL$52)),IF(AND(Results!$E$5="Volume",$C$54&gt;0,Results!$E$4="Fluid"),((DL30*DL$51)/(DL$54)),IF(AND(Results!$E$4="Cells",Results!$E$5="Million",$B$52="million"),((DL30*DL$51)/(DL$52)),"0")))))</f>
        <v>0</v>
      </c>
      <c r="DM83" s="20" t="str">
        <f>IF(DM30=0,"0",IF(AND(Results!$E$5="Protein",$C$53&gt;0,OR(Results!$E$4="Tissue",Results!$E$4="Cells")),((DM30*DM$51)/(DM$53)),IF(AND(Results!$E$5="Weight",$C$52&gt;0, Results!$E$4="Tissue",OR($B$52="g",$B$52="mg")),((DM30*DM$51)/(DM$52)),IF(AND(Results!$E$5="Volume",$C$54&gt;0,Results!$E$4="Fluid"),((DM30*DM$51)/(DM$54)),IF(AND(Results!$E$4="Cells",Results!$E$5="Million",$B$52="million"),((DM30*DM$51)/(DM$52)),"0")))))</f>
        <v>0</v>
      </c>
      <c r="DN83" s="20" t="str">
        <f>IF(DN30=0,"0",IF(AND(Results!$E$5="Protein",$C$53&gt;0,OR(Results!$E$4="Tissue",Results!$E$4="Cells")),((DN30*DN$51)/(DN$53)),IF(AND(Results!$E$5="Weight",$C$52&gt;0, Results!$E$4="Tissue",OR($B$52="g",$B$52="mg")),((DN30*DN$51)/(DN$52)),IF(AND(Results!$E$5="Volume",$C$54&gt;0,Results!$E$4="Fluid"),((DN30*DN$51)/(DN$54)),IF(AND(Results!$E$4="Cells",Results!$E$5="Million",$B$52="million"),((DN30*DN$51)/(DN$52)),"0")))))</f>
        <v>0</v>
      </c>
      <c r="DO83" s="20" t="str">
        <f>IF(DO30=0,"0",IF(AND(Results!$E$5="Protein",$C$53&gt;0,OR(Results!$E$4="Tissue",Results!$E$4="Cells")),((DO30*DO$51)/(DO$53)),IF(AND(Results!$E$5="Weight",$C$52&gt;0, Results!$E$4="Tissue",OR($B$52="g",$B$52="mg")),((DO30*DO$51)/(DO$52)),IF(AND(Results!$E$5="Volume",$C$54&gt;0,Results!$E$4="Fluid"),((DO30*DO$51)/(DO$54)),IF(AND(Results!$E$4="Cells",Results!$E$5="Million",$B$52="million"),((DO30*DO$51)/(DO$52)),"0")))))</f>
        <v>0</v>
      </c>
      <c r="DP83" s="20" t="str">
        <f>IF(DP30=0,"0",IF(AND(Results!$E$5="Protein",$C$53&gt;0,OR(Results!$E$4="Tissue",Results!$E$4="Cells")),((DP30*DP$51)/(DP$53)),IF(AND(Results!$E$5="Weight",$C$52&gt;0, Results!$E$4="Tissue",OR($B$52="g",$B$52="mg")),((DP30*DP$51)/(DP$52)),IF(AND(Results!$E$5="Volume",$C$54&gt;0,Results!$E$4="Fluid"),((DP30*DP$51)/(DP$54)),IF(AND(Results!$E$4="Cells",Results!$E$5="Million",$B$52="million"),((DP30*DP$51)/(DP$52)),"0")))))</f>
        <v>0</v>
      </c>
      <c r="DQ83" s="20" t="str">
        <f>IF(DQ30=0,"0",IF(AND(Results!$E$5="Protein",$C$53&gt;0,OR(Results!$E$4="Tissue",Results!$E$4="Cells")),((DQ30*DQ$51)/(DQ$53)),IF(AND(Results!$E$5="Weight",$C$52&gt;0, Results!$E$4="Tissue",OR($B$52="g",$B$52="mg")),((DQ30*DQ$51)/(DQ$52)),IF(AND(Results!$E$5="Volume",$C$54&gt;0,Results!$E$4="Fluid"),((DQ30*DQ$51)/(DQ$54)),IF(AND(Results!$E$4="Cells",Results!$E$5="Million",$B$52="million"),((DQ30*DQ$51)/(DQ$52)),"0")))))</f>
        <v>0</v>
      </c>
      <c r="DR83" s="20" t="str">
        <f>IF(DR30=0,"0",IF(AND(Results!$E$5="Protein",$C$53&gt;0,OR(Results!$E$4="Tissue",Results!$E$4="Cells")),((DR30*DR$51)/(DR$53)),IF(AND(Results!$E$5="Weight",$C$52&gt;0, Results!$E$4="Tissue",OR($B$52="g",$B$52="mg")),((DR30*DR$51)/(DR$52)),IF(AND(Results!$E$5="Volume",$C$54&gt;0,Results!$E$4="Fluid"),((DR30*DR$51)/(DR$54)),IF(AND(Results!$E$4="Cells",Results!$E$5="Million",$B$52="million"),((DR30*DR$51)/(DR$52)),"0")))))</f>
        <v>0</v>
      </c>
      <c r="DS83" s="20" t="str">
        <f>IF(DS30=0,"0",IF(AND(Results!$E$5="Protein",$C$53&gt;0,OR(Results!$E$4="Tissue",Results!$E$4="Cells")),((DS30*DS$51)/(DS$53)),IF(AND(Results!$E$5="Weight",$C$52&gt;0, Results!$E$4="Tissue",OR($B$52="g",$B$52="mg")),((DS30*DS$51)/(DS$52)),IF(AND(Results!$E$5="Volume",$C$54&gt;0,Results!$E$4="Fluid"),((DS30*DS$51)/(DS$54)),IF(AND(Results!$E$4="Cells",Results!$E$5="Million",$B$52="million"),((DS30*DS$51)/(DS$52)),"0")))))</f>
        <v>0</v>
      </c>
      <c r="DT83" s="20" t="str">
        <f>IF(DT30=0,"0",IF(AND(Results!$E$5="Protein",$C$53&gt;0,OR(Results!$E$4="Tissue",Results!$E$4="Cells")),((DT30*DT$51)/(DT$53)),IF(AND(Results!$E$5="Weight",$C$52&gt;0, Results!$E$4="Tissue",OR($B$52="g",$B$52="mg")),((DT30*DT$51)/(DT$52)),IF(AND(Results!$E$5="Volume",$C$54&gt;0,Results!$E$4="Fluid"),((DT30*DT$51)/(DT$54)),IF(AND(Results!$E$4="Cells",Results!$E$5="Million",$B$52="million"),((DT30*DT$51)/(DT$52)),"0")))))</f>
        <v>0</v>
      </c>
      <c r="DU83" s="20" t="str">
        <f>IF(DU30=0,"0",IF(AND(Results!$E$5="Protein",$C$53&gt;0,OR(Results!$E$4="Tissue",Results!$E$4="Cells")),((DU30*DU$51)/(DU$53)),IF(AND(Results!$E$5="Weight",$C$52&gt;0, Results!$E$4="Tissue",OR($B$52="g",$B$52="mg")),((DU30*DU$51)/(DU$52)),IF(AND(Results!$E$5="Volume",$C$54&gt;0,Results!$E$4="Fluid"),((DU30*DU$51)/(DU$54)),IF(AND(Results!$E$4="Cells",Results!$E$5="Million",$B$52="million"),((DU30*DU$51)/(DU$52)),"0")))))</f>
        <v>0</v>
      </c>
      <c r="DV83" s="20" t="str">
        <f>IF(DV30=0,"0",IF(AND(Results!$E$5="Protein",$C$53&gt;0,OR(Results!$E$4="Tissue",Results!$E$4="Cells")),((DV30*DV$51)/(DV$53)),IF(AND(Results!$E$5="Weight",$C$52&gt;0, Results!$E$4="Tissue",OR($B$52="g",$B$52="mg")),((DV30*DV$51)/(DV$52)),IF(AND(Results!$E$5="Volume",$C$54&gt;0,Results!$E$4="Fluid"),((DV30*DV$51)/(DV$54)),IF(AND(Results!$E$4="Cells",Results!$E$5="Million",$B$52="million"),((DV30*DV$51)/(DV$52)),"0")))))</f>
        <v>0</v>
      </c>
      <c r="DW83" s="20" t="str">
        <f>IF(DW30=0,"0",IF(AND(Results!$E$5="Protein",$C$53&gt;0,OR(Results!$E$4="Tissue",Results!$E$4="Cells")),((DW30*DW$51)/(DW$53)),IF(AND(Results!$E$5="Weight",$C$52&gt;0, Results!$E$4="Tissue",OR($B$52="g",$B$52="mg")),((DW30*DW$51)/(DW$52)),IF(AND(Results!$E$5="Volume",$C$54&gt;0,Results!$E$4="Fluid"),((DW30*DW$51)/(DW$54)),IF(AND(Results!$E$4="Cells",Results!$E$5="Million",$B$52="million"),((DW30*DW$51)/(DW$52)),"0")))))</f>
        <v>0</v>
      </c>
      <c r="DX83" s="20" t="str">
        <f>IF(DX30=0,"0",IF(AND(Results!$E$5="Protein",$C$53&gt;0,OR(Results!$E$4="Tissue",Results!$E$4="Cells")),((DX30*DX$51)/(DX$53)),IF(AND(Results!$E$5="Weight",$C$52&gt;0, Results!$E$4="Tissue",OR($B$52="g",$B$52="mg")),((DX30*DX$51)/(DX$52)),IF(AND(Results!$E$5="Volume",$C$54&gt;0,Results!$E$4="Fluid"),((DX30*DX$51)/(DX$54)),IF(AND(Results!$E$4="Cells",Results!$E$5="Million",$B$52="million"),((DX30*DX$51)/(DX$52)),"0")))))</f>
        <v>0</v>
      </c>
      <c r="DY83" s="20" t="str">
        <f>IF(DY30=0,"0",IF(AND(Results!$E$5="Protein",$C$53&gt;0,OR(Results!$E$4="Tissue",Results!$E$4="Cells")),((DY30*DY$51)/(DY$53)),IF(AND(Results!$E$5="Weight",$C$52&gt;0, Results!$E$4="Tissue",OR($B$52="g",$B$52="mg")),((DY30*DY$51)/(DY$52)),IF(AND(Results!$E$5="Volume",$C$54&gt;0,Results!$E$4="Fluid"),((DY30*DY$51)/(DY$54)),IF(AND(Results!$E$4="Cells",Results!$E$5="Million",$B$52="million"),((DY30*DY$51)/(DY$52)),"0")))))</f>
        <v>0</v>
      </c>
      <c r="DZ83" s="20" t="str">
        <f>IF(DZ30=0,"0",IF(AND(Results!$E$5="Protein",$C$53&gt;0,OR(Results!$E$4="Tissue",Results!$E$4="Cells")),((DZ30*DZ$51)/(DZ$53)),IF(AND(Results!$E$5="Weight",$C$52&gt;0, Results!$E$4="Tissue",OR($B$52="g",$B$52="mg")),((DZ30*DZ$51)/(DZ$52)),IF(AND(Results!$E$5="Volume",$C$54&gt;0,Results!$E$4="Fluid"),((DZ30*DZ$51)/(DZ$54)),IF(AND(Results!$E$4="Cells",Results!$E$5="Million",$B$52="million"),((DZ30*DZ$51)/(DZ$52)),"0")))))</f>
        <v>0</v>
      </c>
      <c r="EA83" s="20" t="str">
        <f>IF(EA30=0,"0",IF(AND(Results!$E$5="Protein",$C$53&gt;0,OR(Results!$E$4="Tissue",Results!$E$4="Cells")),((EA30*EA$51)/(EA$53)),IF(AND(Results!$E$5="Weight",$C$52&gt;0, Results!$E$4="Tissue",OR($B$52="g",$B$52="mg")),((EA30*EA$51)/(EA$52)),IF(AND(Results!$E$5="Volume",$C$54&gt;0,Results!$E$4="Fluid"),((EA30*EA$51)/(EA$54)),IF(AND(Results!$E$4="Cells",Results!$E$5="Million",$B$52="million"),((EA30*EA$51)/(EA$52)),"0")))))</f>
        <v>0</v>
      </c>
      <c r="EB83" s="20" t="str">
        <f>IF(EB30=0,"0",IF(AND(Results!$E$5="Protein",$C$53&gt;0,OR(Results!$E$4="Tissue",Results!$E$4="Cells")),((EB30*EB$51)/(EB$53)),IF(AND(Results!$E$5="Weight",$C$52&gt;0, Results!$E$4="Tissue",OR($B$52="g",$B$52="mg")),((EB30*EB$51)/(EB$52)),IF(AND(Results!$E$5="Volume",$C$54&gt;0,Results!$E$4="Fluid"),((EB30*EB$51)/(EB$54)),IF(AND(Results!$E$4="Cells",Results!$E$5="Million",$B$52="million"),((EB30*EB$51)/(EB$52)),"0")))))</f>
        <v>0</v>
      </c>
      <c r="EC83" s="20" t="str">
        <f>IF(EC30=0,"0",IF(AND(Results!$E$5="Protein",$C$53&gt;0,OR(Results!$E$4="Tissue",Results!$E$4="Cells")),((EC30*EC$51)/(EC$53)),IF(AND(Results!$E$5="Weight",$C$52&gt;0, Results!$E$4="Tissue",OR($B$52="g",$B$52="mg")),((EC30*EC$51)/(EC$52)),IF(AND(Results!$E$5="Volume",$C$54&gt;0,Results!$E$4="Fluid"),((EC30*EC$51)/(EC$54)),IF(AND(Results!$E$4="Cells",Results!$E$5="Million",$B$52="million"),((EC30*EC$51)/(EC$52)),"0")))))</f>
        <v>0</v>
      </c>
      <c r="ED83" s="20" t="str">
        <f>IF(ED30=0,"0",IF(AND(Results!$E$5="Protein",$C$53&gt;0,OR(Results!$E$4="Tissue",Results!$E$4="Cells")),((ED30*ED$51)/(ED$53)),IF(AND(Results!$E$5="Weight",$C$52&gt;0, Results!$E$4="Tissue",OR($B$52="g",$B$52="mg")),((ED30*ED$51)/(ED$52)),IF(AND(Results!$E$5="Volume",$C$54&gt;0,Results!$E$4="Fluid"),((ED30*ED$51)/(ED$54)),IF(AND(Results!$E$4="Cells",Results!$E$5="Million",$B$52="million"),((ED30*ED$51)/(ED$52)),"0")))))</f>
        <v>0</v>
      </c>
      <c r="EE83" s="20" t="str">
        <f>IF(EE30=0,"0",IF(AND(Results!$E$5="Protein",$C$53&gt;0,OR(Results!$E$4="Tissue",Results!$E$4="Cells")),((EE30*EE$51)/(EE$53)),IF(AND(Results!$E$5="Weight",$C$52&gt;0, Results!$E$4="Tissue",OR($B$52="g",$B$52="mg")),((EE30*EE$51)/(EE$52)),IF(AND(Results!$E$5="Volume",$C$54&gt;0,Results!$E$4="Fluid"),((EE30*EE$51)/(EE$54)),IF(AND(Results!$E$4="Cells",Results!$E$5="Million",$B$52="million"),((EE30*EE$51)/(EE$52)),"0")))))</f>
        <v>0</v>
      </c>
      <c r="EF83" s="20" t="str">
        <f>IF(EF30=0,"0",IF(AND(Results!$E$5="Protein",$C$53&gt;0,OR(Results!$E$4="Tissue",Results!$E$4="Cells")),((EF30*EF$51)/(EF$53)),IF(AND(Results!$E$5="Weight",$C$52&gt;0, Results!$E$4="Tissue",OR($B$52="g",$B$52="mg")),((EF30*EF$51)/(EF$52)),IF(AND(Results!$E$5="Volume",$C$54&gt;0,Results!$E$4="Fluid"),((EF30*EF$51)/(EF$54)),IF(AND(Results!$E$4="Cells",Results!$E$5="Million",$B$52="million"),((EF30*EF$51)/(EF$52)),"0")))))</f>
        <v>0</v>
      </c>
      <c r="EG83" s="20" t="str">
        <f>IF(EG30=0,"0",IF(AND(Results!$E$5="Protein",$C$53&gt;0,OR(Results!$E$4="Tissue",Results!$E$4="Cells")),((EG30*EG$51)/(EG$53)),IF(AND(Results!$E$5="Weight",$C$52&gt;0, Results!$E$4="Tissue",OR($B$52="g",$B$52="mg")),((EG30*EG$51)/(EG$52)),IF(AND(Results!$E$5="Volume",$C$54&gt;0,Results!$E$4="Fluid"),((EG30*EG$51)/(EG$54)),IF(AND(Results!$E$4="Cells",Results!$E$5="Million",$B$52="million"),((EG30*EG$51)/(EG$52)),"0")))))</f>
        <v>0</v>
      </c>
      <c r="EH83" s="20" t="str">
        <f>IF(EH30=0,"0",IF(AND(Results!$E$5="Protein",$C$53&gt;0,OR(Results!$E$4="Tissue",Results!$E$4="Cells")),((EH30*EH$51)/(EH$53)),IF(AND(Results!$E$5="Weight",$C$52&gt;0, Results!$E$4="Tissue",OR($B$52="g",$B$52="mg")),((EH30*EH$51)/(EH$52)),IF(AND(Results!$E$5="Volume",$C$54&gt;0,Results!$E$4="Fluid"),((EH30*EH$51)/(EH$54)),IF(AND(Results!$E$4="Cells",Results!$E$5="Million",$B$52="million"),((EH30*EH$51)/(EH$52)),"0")))))</f>
        <v>0</v>
      </c>
      <c r="EI83" s="20" t="str">
        <f>IF(EI30=0,"0",IF(AND(Results!$E$5="Protein",$C$53&gt;0,OR(Results!$E$4="Tissue",Results!$E$4="Cells")),((EI30*EI$51)/(EI$53)),IF(AND(Results!$E$5="Weight",$C$52&gt;0, Results!$E$4="Tissue",OR($B$52="g",$B$52="mg")),((EI30*EI$51)/(EI$52)),IF(AND(Results!$E$5="Volume",$C$54&gt;0,Results!$E$4="Fluid"),((EI30*EI$51)/(EI$54)),IF(AND(Results!$E$4="Cells",Results!$E$5="Million",$B$52="million"),((EI30*EI$51)/(EI$52)),"0")))))</f>
        <v>0</v>
      </c>
      <c r="EJ83" s="20" t="str">
        <f>IF(EJ30=0,"0",IF(AND(Results!$E$5="Protein",$C$53&gt;0,OR(Results!$E$4="Tissue",Results!$E$4="Cells")),((EJ30*EJ$51)/(EJ$53)),IF(AND(Results!$E$5="Weight",$C$52&gt;0, Results!$E$4="Tissue",OR($B$52="g",$B$52="mg")),((EJ30*EJ$51)/(EJ$52)),IF(AND(Results!$E$5="Volume",$C$54&gt;0,Results!$E$4="Fluid"),((EJ30*EJ$51)/(EJ$54)),IF(AND(Results!$E$4="Cells",Results!$E$5="Million",$B$52="million"),((EJ30*EJ$51)/(EJ$52)),"0")))))</f>
        <v>0</v>
      </c>
      <c r="EK83" s="20" t="str">
        <f>IF(EK30=0,"0",IF(AND(Results!$E$5="Protein",$C$53&gt;0,OR(Results!$E$4="Tissue",Results!$E$4="Cells")),((EK30*EK$51)/(EK$53)),IF(AND(Results!$E$5="Weight",$C$52&gt;0, Results!$E$4="Tissue",OR($B$52="g",$B$52="mg")),((EK30*EK$51)/(EK$52)),IF(AND(Results!$E$5="Volume",$C$54&gt;0,Results!$E$4="Fluid"),((EK30*EK$51)/(EK$54)),IF(AND(Results!$E$4="Cells",Results!$E$5="Million",$B$52="million"),((EK30*EK$51)/(EK$52)),"0")))))</f>
        <v>0</v>
      </c>
      <c r="EL83" s="20" t="str">
        <f>IF(EL30=0,"0",IF(AND(Results!$E$5="Protein",$C$53&gt;0,OR(Results!$E$4="Tissue",Results!$E$4="Cells")),((EL30*EL$51)/(EL$53)),IF(AND(Results!$E$5="Weight",$C$52&gt;0, Results!$E$4="Tissue",OR($B$52="g",$B$52="mg")),((EL30*EL$51)/(EL$52)),IF(AND(Results!$E$5="Volume",$C$54&gt;0,Results!$E$4="Fluid"),((EL30*EL$51)/(EL$54)),IF(AND(Results!$E$4="Cells",Results!$E$5="Million",$B$52="million"),((EL30*EL$51)/(EL$52)),"0")))))</f>
        <v>0</v>
      </c>
      <c r="EM83" s="20" t="str">
        <f>IF(EM30=0,"0",IF(AND(Results!$E$5="Protein",$C$53&gt;0,OR(Results!$E$4="Tissue",Results!$E$4="Cells")),((EM30*EM$51)/(EM$53)),IF(AND(Results!$E$5="Weight",$C$52&gt;0, Results!$E$4="Tissue",OR($B$52="g",$B$52="mg")),((EM30*EM$51)/(EM$52)),IF(AND(Results!$E$5="Volume",$C$54&gt;0,Results!$E$4="Fluid"),((EM30*EM$51)/(EM$54)),IF(AND(Results!$E$4="Cells",Results!$E$5="Million",$B$52="million"),((EM30*EM$51)/(EM$52)),"0")))))</f>
        <v>0</v>
      </c>
      <c r="EN83" s="20" t="str">
        <f>IF(EN30=0,"0",IF(AND(Results!$E$5="Protein",$C$53&gt;0,OR(Results!$E$4="Tissue",Results!$E$4="Cells")),((EN30*EN$51)/(EN$53)),IF(AND(Results!$E$5="Weight",$C$52&gt;0, Results!$E$4="Tissue",OR($B$52="g",$B$52="mg")),((EN30*EN$51)/(EN$52)),IF(AND(Results!$E$5="Volume",$C$54&gt;0,Results!$E$4="Fluid"),((EN30*EN$51)/(EN$54)),IF(AND(Results!$E$4="Cells",Results!$E$5="Million",$B$52="million"),((EN30*EN$51)/(EN$52)),"0")))))</f>
        <v>0</v>
      </c>
      <c r="EO83" s="20" t="str">
        <f>IF(EO30=0,"0",IF(AND(Results!$E$5="Protein",$C$53&gt;0,OR(Results!$E$4="Tissue",Results!$E$4="Cells")),((EO30*EO$51)/(EO$53)),IF(AND(Results!$E$5="Weight",$C$52&gt;0, Results!$E$4="Tissue",OR($B$52="g",$B$52="mg")),((EO30*EO$51)/(EO$52)),IF(AND(Results!$E$5="Volume",$C$54&gt;0,Results!$E$4="Fluid"),((EO30*EO$51)/(EO$54)),IF(AND(Results!$E$4="Cells",Results!$E$5="Million",$B$52="million"),((EO30*EO$51)/(EO$52)),"0")))))</f>
        <v>0</v>
      </c>
      <c r="EP83" s="20" t="str">
        <f>IF(EP30=0,"0",IF(AND(Results!$E$5="Protein",$C$53&gt;0,OR(Results!$E$4="Tissue",Results!$E$4="Cells")),((EP30*EP$51)/(EP$53)),IF(AND(Results!$E$5="Weight",$C$52&gt;0, Results!$E$4="Tissue",OR($B$52="g",$B$52="mg")),((EP30*EP$51)/(EP$52)),IF(AND(Results!$E$5="Volume",$C$54&gt;0,Results!$E$4="Fluid"),((EP30*EP$51)/(EP$54)),IF(AND(Results!$E$4="Cells",Results!$E$5="Million",$B$52="million"),((EP30*EP$51)/(EP$52)),"0")))))</f>
        <v>0</v>
      </c>
      <c r="EQ83" s="20" t="str">
        <f>IF(EQ30=0,"0",IF(AND(Results!$E$5="Protein",$C$53&gt;0,OR(Results!$E$4="Tissue",Results!$E$4="Cells")),((EQ30*EQ$51)/(EQ$53)),IF(AND(Results!$E$5="Weight",$C$52&gt;0, Results!$E$4="Tissue",OR($B$52="g",$B$52="mg")),((EQ30*EQ$51)/(EQ$52)),IF(AND(Results!$E$5="Volume",$C$54&gt;0,Results!$E$4="Fluid"),((EQ30*EQ$51)/(EQ$54)),IF(AND(Results!$E$4="Cells",Results!$E$5="Million",$B$52="million"),((EQ30*EQ$51)/(EQ$52)),"0")))))</f>
        <v>0</v>
      </c>
      <c r="ER83" s="20" t="str">
        <f>IF(ER30=0,"0",IF(AND(Results!$E$5="Protein",$C$53&gt;0,OR(Results!$E$4="Tissue",Results!$E$4="Cells")),((ER30*ER$51)/(ER$53)),IF(AND(Results!$E$5="Weight",$C$52&gt;0, Results!$E$4="Tissue",OR($B$52="g",$B$52="mg")),((ER30*ER$51)/(ER$52)),IF(AND(Results!$E$5="Volume",$C$54&gt;0,Results!$E$4="Fluid"),((ER30*ER$51)/(ER$54)),IF(AND(Results!$E$4="Cells",Results!$E$5="Million",$B$52="million"),((ER30*ER$51)/(ER$52)),"0")))))</f>
        <v>0</v>
      </c>
      <c r="ES83" s="20" t="str">
        <f>IF(ES30=0,"0",IF(AND(Results!$E$5="Protein",$C$53&gt;0,OR(Results!$E$4="Tissue",Results!$E$4="Cells")),((ES30*ES$51)/(ES$53)),IF(AND(Results!$E$5="Weight",$C$52&gt;0, Results!$E$4="Tissue",OR($B$52="g",$B$52="mg")),((ES30*ES$51)/(ES$52)),IF(AND(Results!$E$5="Volume",$C$54&gt;0,Results!$E$4="Fluid"),((ES30*ES$51)/(ES$54)),IF(AND(Results!$E$4="Cells",Results!$E$5="Million",$B$52="million"),((ES30*ES$51)/(ES$52)),"0")))))</f>
        <v>0</v>
      </c>
      <c r="ET83" s="20" t="str">
        <f>IF(ET30=0,"0",IF(AND(Results!$E$5="Protein",$C$53&gt;0,OR(Results!$E$4="Tissue",Results!$E$4="Cells")),((ET30*ET$51)/(ET$53)),IF(AND(Results!$E$5="Weight",$C$52&gt;0, Results!$E$4="Tissue",OR($B$52="g",$B$52="mg")),((ET30*ET$51)/(ET$52)),IF(AND(Results!$E$5="Volume",$C$54&gt;0,Results!$E$4="Fluid"),((ET30*ET$51)/(ET$54)),IF(AND(Results!$E$4="Cells",Results!$E$5="Million",$B$52="million"),((ET30*ET$51)/(ET$52)),"0")))))</f>
        <v>0</v>
      </c>
      <c r="EU83" s="20" t="str">
        <f>IF(EU30=0,"0",IF(AND(Results!$E$5="Protein",$C$53&gt;0,OR(Results!$E$4="Tissue",Results!$E$4="Cells")),((EU30*EU$51)/(EU$53)),IF(AND(Results!$E$5="Weight",$C$52&gt;0, Results!$E$4="Tissue",OR($B$52="g",$B$52="mg")),((EU30*EU$51)/(EU$52)),IF(AND(Results!$E$5="Volume",$C$54&gt;0,Results!$E$4="Fluid"),((EU30*EU$51)/(EU$54)),IF(AND(Results!$E$4="Cells",Results!$E$5="Million",$B$52="million"),((EU30*EU$51)/(EU$52)),"0")))))</f>
        <v>0</v>
      </c>
      <c r="EV83" s="20" t="str">
        <f>IF(EV30=0,"0",IF(AND(Results!$E$5="Protein",$C$53&gt;0,OR(Results!$E$4="Tissue",Results!$E$4="Cells")),((EV30*EV$51)/(EV$53)),IF(AND(Results!$E$5="Weight",$C$52&gt;0, Results!$E$4="Tissue",OR($B$52="g",$B$52="mg")),((EV30*EV$51)/(EV$52)),IF(AND(Results!$E$5="Volume",$C$54&gt;0,Results!$E$4="Fluid"),((EV30*EV$51)/(EV$54)),IF(AND(Results!$E$4="Cells",Results!$E$5="Million",$B$52="million"),((EV30*EV$51)/(EV$52)),"0")))))</f>
        <v>0</v>
      </c>
      <c r="EW83" s="20" t="str">
        <f>IF(EW30=0,"0",IF(AND(Results!$E$5="Protein",$C$53&gt;0,OR(Results!$E$4="Tissue",Results!$E$4="Cells")),((EW30*EW$51)/(EW$53)),IF(AND(Results!$E$5="Weight",$C$52&gt;0, Results!$E$4="Tissue",OR($B$52="g",$B$52="mg")),((EW30*EW$51)/(EW$52)),IF(AND(Results!$E$5="Volume",$C$54&gt;0,Results!$E$4="Fluid"),((EW30*EW$51)/(EW$54)),IF(AND(Results!$E$4="Cells",Results!$E$5="Million",$B$52="million"),((EW30*EW$51)/(EW$52)),"0")))))</f>
        <v>0</v>
      </c>
      <c r="EX83" s="20" t="str">
        <f>IF(EX30=0,"0",IF(AND(Results!$E$5="Protein",$C$53&gt;0,OR(Results!$E$4="Tissue",Results!$E$4="Cells")),((EX30*EX$51)/(EX$53)),IF(AND(Results!$E$5="Weight",$C$52&gt;0, Results!$E$4="Tissue",OR($B$52="g",$B$52="mg")),((EX30*EX$51)/(EX$52)),IF(AND(Results!$E$5="Volume",$C$54&gt;0,Results!$E$4="Fluid"),((EX30*EX$51)/(EX$54)),IF(AND(Results!$E$4="Cells",Results!$E$5="Million",$B$52="million"),((EX30*EX$51)/(EX$52)),"0")))))</f>
        <v>0</v>
      </c>
      <c r="EY83" s="20" t="str">
        <f>IF(EY30=0,"0",IF(AND(Results!$E$5="Protein",$C$53&gt;0,OR(Results!$E$4="Tissue",Results!$E$4="Cells")),((EY30*EY$51)/(EY$53)),IF(AND(Results!$E$5="Weight",$C$52&gt;0, Results!$E$4="Tissue",OR($B$52="g",$B$52="mg")),((EY30*EY$51)/(EY$52)),IF(AND(Results!$E$5="Volume",$C$54&gt;0,Results!$E$4="Fluid"),((EY30*EY$51)/(EY$54)),IF(AND(Results!$E$4="Cells",Results!$E$5="Million",$B$52="million"),((EY30*EY$51)/(EY$52)),"0")))))</f>
        <v>0</v>
      </c>
      <c r="EZ83" s="20" t="str">
        <f>IF(EZ30=0,"0",IF(AND(Results!$E$5="Protein",$C$53&gt;0,OR(Results!$E$4="Tissue",Results!$E$4="Cells")),((EZ30*EZ$51)/(EZ$53)),IF(AND(Results!$E$5="Weight",$C$52&gt;0, Results!$E$4="Tissue",OR($B$52="g",$B$52="mg")),((EZ30*EZ$51)/(EZ$52)),IF(AND(Results!$E$5="Volume",$C$54&gt;0,Results!$E$4="Fluid"),((EZ30*EZ$51)/(EZ$54)),IF(AND(Results!$E$4="Cells",Results!$E$5="Million",$B$52="million"),((EZ30*EZ$51)/(EZ$52)),"0")))))</f>
        <v>0</v>
      </c>
      <c r="FA83" s="20" t="str">
        <f>IF(FA30=0,"0",IF(AND(Results!$E$5="Protein",$C$53&gt;0,OR(Results!$E$4="Tissue",Results!$E$4="Cells")),((FA30*FA$51)/(FA$53)),IF(AND(Results!$E$5="Weight",$C$52&gt;0, Results!$E$4="Tissue",OR($B$52="g",$B$52="mg")),((FA30*FA$51)/(FA$52)),IF(AND(Results!$E$5="Volume",$C$54&gt;0,Results!$E$4="Fluid"),((FA30*FA$51)/(FA$54)),IF(AND(Results!$E$4="Cells",Results!$E$5="Million",$B$52="million"),((FA30*FA$51)/(FA$52)),"0")))))</f>
        <v>0</v>
      </c>
      <c r="FB83" s="20" t="str">
        <f>IF(FB30=0,"0",IF(AND(Results!$E$5="Protein",$C$53&gt;0,OR(Results!$E$4="Tissue",Results!$E$4="Cells")),((FB30*FB$51)/(FB$53)),IF(AND(Results!$E$5="Weight",$C$52&gt;0, Results!$E$4="Tissue",OR($B$52="g",$B$52="mg")),((FB30*FB$51)/(FB$52)),IF(AND(Results!$E$5="Volume",$C$54&gt;0,Results!$E$4="Fluid"),((FB30*FB$51)/(FB$54)),IF(AND(Results!$E$4="Cells",Results!$E$5="Million",$B$52="million"),((FB30*FB$51)/(FB$52)),"0")))))</f>
        <v>0</v>
      </c>
      <c r="FC83" s="20" t="str">
        <f>IF(FC30=0,"0",IF(AND(Results!$E$5="Protein",$C$53&gt;0,OR(Results!$E$4="Tissue",Results!$E$4="Cells")),((FC30*FC$51)/(FC$53)),IF(AND(Results!$E$5="Weight",$C$52&gt;0, Results!$E$4="Tissue",OR($B$52="g",$B$52="mg")),((FC30*FC$51)/(FC$52)),IF(AND(Results!$E$5="Volume",$C$54&gt;0,Results!$E$4="Fluid"),((FC30*FC$51)/(FC$54)),IF(AND(Results!$E$4="Cells",Results!$E$5="Million",$B$52="million"),((FC30*FC$51)/(FC$52)),"0")))))</f>
        <v>0</v>
      </c>
      <c r="FD83" s="20" t="str">
        <f>IF(FD30=0,"0",IF(AND(Results!$E$5="Protein",$C$53&gt;0,OR(Results!$E$4="Tissue",Results!$E$4="Cells")),((FD30*FD$51)/(FD$53)),IF(AND(Results!$E$5="Weight",$C$52&gt;0, Results!$E$4="Tissue",OR($B$52="g",$B$52="mg")),((FD30*FD$51)/(FD$52)),IF(AND(Results!$E$5="Volume",$C$54&gt;0,Results!$E$4="Fluid"),((FD30*FD$51)/(FD$54)),IF(AND(Results!$E$4="Cells",Results!$E$5="Million",$B$52="million"),((FD30*FD$51)/(FD$52)),"0")))))</f>
        <v>0</v>
      </c>
      <c r="FE83" s="20" t="str">
        <f>IF(FE30=0,"0",IF(AND(Results!$E$5="Protein",$C$53&gt;0,OR(Results!$E$4="Tissue",Results!$E$4="Cells")),((FE30*FE$51)/(FE$53)),IF(AND(Results!$E$5="Weight",$C$52&gt;0, Results!$E$4="Tissue",OR($B$52="g",$B$52="mg")),((FE30*FE$51)/(FE$52)),IF(AND(Results!$E$5="Volume",$C$54&gt;0,Results!$E$4="Fluid"),((FE30*FE$51)/(FE$54)),IF(AND(Results!$E$4="Cells",Results!$E$5="Million",$B$52="million"),((FE30*FE$51)/(FE$52)),"0")))))</f>
        <v>0</v>
      </c>
      <c r="FF83" s="20" t="str">
        <f>IF(FF30=0,"0",IF(AND(Results!$E$5="Protein",$C$53&gt;0,OR(Results!$E$4="Tissue",Results!$E$4="Cells")),((FF30*FF$51)/(FF$53)),IF(AND(Results!$E$5="Weight",$C$52&gt;0, Results!$E$4="Tissue",OR($B$52="g",$B$52="mg")),((FF30*FF$51)/(FF$52)),IF(AND(Results!$E$5="Volume",$C$54&gt;0,Results!$E$4="Fluid"),((FF30*FF$51)/(FF$54)),IF(AND(Results!$E$4="Cells",Results!$E$5="Million",$B$52="million"),((FF30*FF$51)/(FF$52)),"0")))))</f>
        <v>0</v>
      </c>
      <c r="FG83" s="20" t="str">
        <f>IF(FG30=0,"0",IF(AND(Results!$E$5="Protein",$C$53&gt;0,OR(Results!$E$4="Tissue",Results!$E$4="Cells")),((FG30*FG$51)/(FG$53)),IF(AND(Results!$E$5="Weight",$C$52&gt;0, Results!$E$4="Tissue",OR($B$52="g",$B$52="mg")),((FG30*FG$51)/(FG$52)),IF(AND(Results!$E$5="Volume",$C$54&gt;0,Results!$E$4="Fluid"),((FG30*FG$51)/(FG$54)),IF(AND(Results!$E$4="Cells",Results!$E$5="Million",$B$52="million"),((FG30*FG$51)/(FG$52)),"0")))))</f>
        <v>0</v>
      </c>
      <c r="FH83" s="20" t="str">
        <f>IF(FH30=0,"0",IF(AND(Results!$E$5="Protein",$C$53&gt;0,OR(Results!$E$4="Tissue",Results!$E$4="Cells")),((FH30*FH$51)/(FH$53)),IF(AND(Results!$E$5="Weight",$C$52&gt;0, Results!$E$4="Tissue",OR($B$52="g",$B$52="mg")),((FH30*FH$51)/(FH$52)),IF(AND(Results!$E$5="Volume",$C$54&gt;0,Results!$E$4="Fluid"),((FH30*FH$51)/(FH$54)),IF(AND(Results!$E$4="Cells",Results!$E$5="Million",$B$52="million"),((FH30*FH$51)/(FH$52)),"0")))))</f>
        <v>0</v>
      </c>
      <c r="FI83" s="20" t="str">
        <f>IF(FI30=0,"0",IF(AND(Results!$E$5="Protein",$C$53&gt;0,OR(Results!$E$4="Tissue",Results!$E$4="Cells")),((FI30*FI$51)/(FI$53)),IF(AND(Results!$E$5="Weight",$C$52&gt;0, Results!$E$4="Tissue",OR($B$52="g",$B$52="mg")),((FI30*FI$51)/(FI$52)),IF(AND(Results!$E$5="Volume",$C$54&gt;0,Results!$E$4="Fluid"),((FI30*FI$51)/(FI$54)),IF(AND(Results!$E$4="Cells",Results!$E$5="Million",$B$52="million"),((FI30*FI$51)/(FI$52)),"0")))))</f>
        <v>0</v>
      </c>
      <c r="FJ83" s="20" t="str">
        <f>IF(FJ30=0,"0",IF(AND(Results!$E$5="Protein",$C$53&gt;0,OR(Results!$E$4="Tissue",Results!$E$4="Cells")),((FJ30*FJ$51)/(FJ$53)),IF(AND(Results!$E$5="Weight",$C$52&gt;0, Results!$E$4="Tissue",OR($B$52="g",$B$52="mg")),((FJ30*FJ$51)/(FJ$52)),IF(AND(Results!$E$5="Volume",$C$54&gt;0,Results!$E$4="Fluid"),((FJ30*FJ$51)/(FJ$54)),IF(AND(Results!$E$4="Cells",Results!$E$5="Million",$B$52="million"),((FJ30*FJ$51)/(FJ$52)),"0")))))</f>
        <v>0</v>
      </c>
      <c r="FK83" s="20" t="str">
        <f>IF(FK30=0,"0",IF(AND(Results!$E$5="Protein",$C$53&gt;0,OR(Results!$E$4="Tissue",Results!$E$4="Cells")),((FK30*FK$51)/(FK$53)),IF(AND(Results!$E$5="Weight",$C$52&gt;0, Results!$E$4="Tissue",OR($B$52="g",$B$52="mg")),((FK30*FK$51)/(FK$52)),IF(AND(Results!$E$5="Volume",$C$54&gt;0,Results!$E$4="Fluid"),((FK30*FK$51)/(FK$54)),IF(AND(Results!$E$4="Cells",Results!$E$5="Million",$B$52="million"),((FK30*FK$51)/(FK$52)),"0")))))</f>
        <v>0</v>
      </c>
      <c r="FL83" s="20" t="str">
        <f>IF(FL30=0,"0",IF(AND(Results!$E$5="Protein",$C$53&gt;0,OR(Results!$E$4="Tissue",Results!$E$4="Cells")),((FL30*FL$51)/(FL$53)),IF(AND(Results!$E$5="Weight",$C$52&gt;0, Results!$E$4="Tissue",OR($B$52="g",$B$52="mg")),((FL30*FL$51)/(FL$52)),IF(AND(Results!$E$5="Volume",$C$54&gt;0,Results!$E$4="Fluid"),((FL30*FL$51)/(FL$54)),IF(AND(Results!$E$4="Cells",Results!$E$5="Million",$B$52="million"),((FL30*FL$51)/(FL$52)),"0")))))</f>
        <v>0</v>
      </c>
      <c r="FM83" s="20" t="str">
        <f>IF(FM30=0,"0",IF(AND(Results!$E$5="Protein",$C$53&gt;0,OR(Results!$E$4="Tissue",Results!$E$4="Cells")),((FM30*FM$51)/(FM$53)),IF(AND(Results!$E$5="Weight",$C$52&gt;0, Results!$E$4="Tissue",OR($B$52="g",$B$52="mg")),((FM30*FM$51)/(FM$52)),IF(AND(Results!$E$5="Volume",$C$54&gt;0,Results!$E$4="Fluid"),((FM30*FM$51)/(FM$54)),IF(AND(Results!$E$4="Cells",Results!$E$5="Million",$B$52="million"),((FM30*FM$51)/(FM$52)),"0")))))</f>
        <v>0</v>
      </c>
      <c r="FN83" s="20" t="str">
        <f>IF(FN30=0,"0",IF(AND(Results!$E$5="Protein",$C$53&gt;0,OR(Results!$E$4="Tissue",Results!$E$4="Cells")),((FN30*FN$51)/(FN$53)),IF(AND(Results!$E$5="Weight",$C$52&gt;0, Results!$E$4="Tissue",OR($B$52="g",$B$52="mg")),((FN30*FN$51)/(FN$52)),IF(AND(Results!$E$5="Volume",$C$54&gt;0,Results!$E$4="Fluid"),((FN30*FN$51)/(FN$54)),IF(AND(Results!$E$4="Cells",Results!$E$5="Million",$B$52="million"),((FN30*FN$51)/(FN$52)),"0")))))</f>
        <v>0</v>
      </c>
      <c r="FO83" s="20" t="str">
        <f>IF(FO30=0,"0",IF(AND(Results!$E$5="Protein",$C$53&gt;0,OR(Results!$E$4="Tissue",Results!$E$4="Cells")),((FO30*FO$51)/(FO$53)),IF(AND(Results!$E$5="Weight",$C$52&gt;0, Results!$E$4="Tissue",OR($B$52="g",$B$52="mg")),((FO30*FO$51)/(FO$52)),IF(AND(Results!$E$5="Volume",$C$54&gt;0,Results!$E$4="Fluid"),((FO30*FO$51)/(FO$54)),IF(AND(Results!$E$4="Cells",Results!$E$5="Million",$B$52="million"),((FO30*FO$51)/(FO$52)),"0")))))</f>
        <v>0</v>
      </c>
    </row>
    <row r="84" spans="1:171" x14ac:dyDescent="0.2">
      <c r="A84" s="120" t="str">
        <f t="shared" ref="A84:A97" si="1">A31</f>
        <v xml:space="preserve">15dPGJ2 </v>
      </c>
      <c r="B84" s="121"/>
      <c r="C84" s="20" t="str">
        <f>IF(C31=0,"0",IF(AND(Results!$E$5="Protein",$C$53&gt;0,OR(Results!$E$4="Tissue",Results!$E$4="Cells")),((C31*C$51)/(C$53)),IF(AND(Results!$E$5="Weight",$C$52&gt;0, Results!$E$4="Tissue",OR($B$52="g",$B$52="mg")),((C31*C$51)/(C$52)),IF(AND(Results!$E$5="Volume",$C$54&gt;0,Results!$E$4="Fluid"),((C31*C$51)/(C$54)),IF(AND(Results!$E$4="Cells",Results!$E$5="Million",$B$52="million"),((C31*C$51)/(C$52)),"0")))))</f>
        <v>0</v>
      </c>
      <c r="D84" s="20" t="str">
        <f>IF(D31=0,"0",IF(AND(Results!$E$5="Protein",$C$53&gt;0,OR(Results!$E$4="Tissue",Results!$E$4="Cells")),((D31*D$51)/(D$53)),IF(AND(Results!$E$5="Weight",$C$52&gt;0, Results!$E$4="Tissue",OR($B$52="g",$B$52="mg")),((D31*D$51)/(D$52)),IF(AND(Results!$E$5="Volume",$C$54&gt;0,Results!$E$4="Fluid"),((D31*D$51)/(D$54)),IF(AND(Results!$E$4="Cells",Results!$E$5="Million",$B$52="million"),((D31*D$51)/(D$52)),"0")))))</f>
        <v>0</v>
      </c>
      <c r="E84" s="20" t="str">
        <f>IF(E31=0,"0",IF(AND(Results!$E$5="Protein",$C$53&gt;0,OR(Results!$E$4="Tissue",Results!$E$4="Cells")),((E31*E$51)/(E$53)),IF(AND(Results!$E$5="Weight",$C$52&gt;0, Results!$E$4="Tissue",OR($B$52="g",$B$52="mg")),((E31*E$51)/(E$52)),IF(AND(Results!$E$5="Volume",$C$54&gt;0,Results!$E$4="Fluid"),((E31*E$51)/(E$54)),IF(AND(Results!$E$4="Cells",Results!$E$5="Million",$B$52="million"),((E31*E$51)/(E$52)),"0")))))</f>
        <v>0</v>
      </c>
      <c r="F84" s="20" t="str">
        <f>IF(F31=0,"0",IF(AND(Results!$E$5="Protein",$C$53&gt;0,OR(Results!$E$4="Tissue",Results!$E$4="Cells")),((F31*F$51)/(F$53)),IF(AND(Results!$E$5="Weight",$C$52&gt;0, Results!$E$4="Tissue",OR($B$52="g",$B$52="mg")),((F31*F$51)/(F$52)),IF(AND(Results!$E$5="Volume",$C$54&gt;0,Results!$E$4="Fluid"),((F31*F$51)/(F$54)),IF(AND(Results!$E$4="Cells",Results!$E$5="Million",$B$52="million"),((F31*F$51)/(F$52)),"0")))))</f>
        <v>0</v>
      </c>
      <c r="G84" s="20" t="str">
        <f>IF(G31=0,"0",IF(AND(Results!$E$5="Protein",$C$53&gt;0,OR(Results!$E$4="Tissue",Results!$E$4="Cells")),((G31*G$51)/(G$53)),IF(AND(Results!$E$5="Weight",$C$52&gt;0, Results!$E$4="Tissue",OR($B$52="g",$B$52="mg")),((G31*G$51)/(G$52)),IF(AND(Results!$E$5="Volume",$C$54&gt;0,Results!$E$4="Fluid"),((G31*G$51)/(G$54)),IF(AND(Results!$E$4="Cells",Results!$E$5="Million",$B$52="million"),((G31*G$51)/(G$52)),"0")))))</f>
        <v>0</v>
      </c>
      <c r="H84" s="20" t="str">
        <f>IF(H31=0,"0",IF(AND(Results!$E$5="Protein",$C$53&gt;0,OR(Results!$E$4="Tissue",Results!$E$4="Cells")),((H31*H$51)/(H$53)),IF(AND(Results!$E$5="Weight",$C$52&gt;0, Results!$E$4="Tissue",OR($B$52="g",$B$52="mg")),((H31*H$51)/(H$52)),IF(AND(Results!$E$5="Volume",$C$54&gt;0,Results!$E$4="Fluid"),((H31*H$51)/(H$54)),IF(AND(Results!$E$4="Cells",Results!$E$5="Million",$B$52="million"),((H31*H$51)/(H$52)),"0")))))</f>
        <v>0</v>
      </c>
      <c r="I84" s="20" t="str">
        <f>IF(I31=0,"0",IF(AND(Results!$E$5="Protein",$C$53&gt;0,OR(Results!$E$4="Tissue",Results!$E$4="Cells")),((I31*I$51)/(I$53)),IF(AND(Results!$E$5="Weight",$C$52&gt;0, Results!$E$4="Tissue",OR($B$52="g",$B$52="mg")),((I31*I$51)/(I$52)),IF(AND(Results!$E$5="Volume",$C$54&gt;0,Results!$E$4="Fluid"),((I31*I$51)/(I$54)),IF(AND(Results!$E$4="Cells",Results!$E$5="Million",$B$52="million"),((I31*I$51)/(I$52)),"0")))))</f>
        <v>0</v>
      </c>
      <c r="J84" s="20" t="str">
        <f>IF(J31=0,"0",IF(AND(Results!$E$5="Protein",$C$53&gt;0,OR(Results!$E$4="Tissue",Results!$E$4="Cells")),((J31*J$51)/(J$53)),IF(AND(Results!$E$5="Weight",$C$52&gt;0, Results!$E$4="Tissue",OR($B$52="g",$B$52="mg")),((J31*J$51)/(J$52)),IF(AND(Results!$E$5="Volume",$C$54&gt;0,Results!$E$4="Fluid"),((J31*J$51)/(J$54)),IF(AND(Results!$E$4="Cells",Results!$E$5="Million",$B$52="million"),((J31*J$51)/(J$52)),"0")))))</f>
        <v>0</v>
      </c>
      <c r="K84" s="20" t="str">
        <f>IF(K31=0,"0",IF(AND(Results!$E$5="Protein",$C$53&gt;0,OR(Results!$E$4="Tissue",Results!$E$4="Cells")),((K31*K$51)/(K$53)),IF(AND(Results!$E$5="Weight",$C$52&gt;0, Results!$E$4="Tissue",OR($B$52="g",$B$52="mg")),((K31*K$51)/(K$52)),IF(AND(Results!$E$5="Volume",$C$54&gt;0,Results!$E$4="Fluid"),((K31*K$51)/(K$54)),IF(AND(Results!$E$4="Cells",Results!$E$5="Million",$B$52="million"),((K31*K$51)/(K$52)),"0")))))</f>
        <v>0</v>
      </c>
      <c r="L84" s="20" t="str">
        <f>IF(L31=0,"0",IF(AND(Results!$E$5="Protein",$C$53&gt;0,OR(Results!$E$4="Tissue",Results!$E$4="Cells")),((L31*L$51)/(L$53)),IF(AND(Results!$E$5="Weight",$C$52&gt;0, Results!$E$4="Tissue",OR($B$52="g",$B$52="mg")),((L31*L$51)/(L$52)),IF(AND(Results!$E$5="Volume",$C$54&gt;0,Results!$E$4="Fluid"),((L31*L$51)/(L$54)),IF(AND(Results!$E$4="Cells",Results!$E$5="Million",$B$52="million"),((L31*L$51)/(L$52)),"0")))))</f>
        <v>0</v>
      </c>
      <c r="M84" s="20" t="str">
        <f>IF(M31=0,"0",IF(AND(Results!$E$5="Protein",$C$53&gt;0,OR(Results!$E$4="Tissue",Results!$E$4="Cells")),((M31*M$51)/(M$53)),IF(AND(Results!$E$5="Weight",$C$52&gt;0, Results!$E$4="Tissue",OR($B$52="g",$B$52="mg")),((M31*M$51)/(M$52)),IF(AND(Results!$E$5="Volume",$C$54&gt;0,Results!$E$4="Fluid"),((M31*M$51)/(M$54)),IF(AND(Results!$E$4="Cells",Results!$E$5="Million",$B$52="million"),((M31*M$51)/(M$52)),"0")))))</f>
        <v>0</v>
      </c>
      <c r="N84" s="20" t="str">
        <f>IF(N31=0,"0",IF(AND(Results!$E$5="Protein",$C$53&gt;0,OR(Results!$E$4="Tissue",Results!$E$4="Cells")),((N31*N$51)/(N$53)),IF(AND(Results!$E$5="Weight",$C$52&gt;0, Results!$E$4="Tissue",OR($B$52="g",$B$52="mg")),((N31*N$51)/(N$52)),IF(AND(Results!$E$5="Volume",$C$54&gt;0,Results!$E$4="Fluid"),((N31*N$51)/(N$54)),IF(AND(Results!$E$4="Cells",Results!$E$5="Million",$B$52="million"),((N31*N$51)/(N$52)),"0")))))</f>
        <v>0</v>
      </c>
      <c r="O84" s="20" t="str">
        <f>IF(O31=0,"0",IF(AND(Results!$E$5="Protein",$C$53&gt;0,OR(Results!$E$4="Tissue",Results!$E$4="Cells")),((O31*O$51)/(O$53)),IF(AND(Results!$E$5="Weight",$C$52&gt;0, Results!$E$4="Tissue",OR($B$52="g",$B$52="mg")),((O31*O$51)/(O$52)),IF(AND(Results!$E$5="Volume",$C$54&gt;0,Results!$E$4="Fluid"),((O31*O$51)/(O$54)),IF(AND(Results!$E$4="Cells",Results!$E$5="Million",$B$52="million"),((O31*O$51)/(O$52)),"0")))))</f>
        <v>0</v>
      </c>
      <c r="P84" s="20" t="str">
        <f>IF(P31=0,"0",IF(AND(Results!$E$5="Protein",$C$53&gt;0,OR(Results!$E$4="Tissue",Results!$E$4="Cells")),((P31*P$51)/(P$53)),IF(AND(Results!$E$5="Weight",$C$52&gt;0, Results!$E$4="Tissue",OR($B$52="g",$B$52="mg")),((P31*P$51)/(P$52)),IF(AND(Results!$E$5="Volume",$C$54&gt;0,Results!$E$4="Fluid"),((P31*P$51)/(P$54)),IF(AND(Results!$E$4="Cells",Results!$E$5="Million",$B$52="million"),((P31*P$51)/(P$52)),"0")))))</f>
        <v>0</v>
      </c>
      <c r="Q84" s="20" t="str">
        <f>IF(Q31=0,"0",IF(AND(Results!$E$5="Protein",$C$53&gt;0,OR(Results!$E$4="Tissue",Results!$E$4="Cells")),((Q31*Q$51)/(Q$53)),IF(AND(Results!$E$5="Weight",$C$52&gt;0, Results!$E$4="Tissue",OR($B$52="g",$B$52="mg")),((Q31*Q$51)/(Q$52)),IF(AND(Results!$E$5="Volume",$C$54&gt;0,Results!$E$4="Fluid"),((Q31*Q$51)/(Q$54)),IF(AND(Results!$E$4="Cells",Results!$E$5="Million",$B$52="million"),((Q31*Q$51)/(Q$52)),"0")))))</f>
        <v>0</v>
      </c>
      <c r="R84" s="20" t="str">
        <f>IF(R31=0,"0",IF(AND(Results!$E$5="Protein",$C$53&gt;0,OR(Results!$E$4="Tissue",Results!$E$4="Cells")),((R31*R$51)/(R$53)),IF(AND(Results!$E$5="Weight",$C$52&gt;0, Results!$E$4="Tissue",OR($B$52="g",$B$52="mg")),((R31*R$51)/(R$52)),IF(AND(Results!$E$5="Volume",$C$54&gt;0,Results!$E$4="Fluid"),((R31*R$51)/(R$54)),IF(AND(Results!$E$4="Cells",Results!$E$5="Million",$B$52="million"),((R31*R$51)/(R$52)),"0")))))</f>
        <v>0</v>
      </c>
      <c r="S84" s="20" t="str">
        <f>IF(S31=0,"0",IF(AND(Results!$E$5="Protein",$C$53&gt;0,OR(Results!$E$4="Tissue",Results!$E$4="Cells")),((S31*S$51)/(S$53)),IF(AND(Results!$E$5="Weight",$C$52&gt;0, Results!$E$4="Tissue",OR($B$52="g",$B$52="mg")),((S31*S$51)/(S$52)),IF(AND(Results!$E$5="Volume",$C$54&gt;0,Results!$E$4="Fluid"),((S31*S$51)/(S$54)),IF(AND(Results!$E$4="Cells",Results!$E$5="Million",$B$52="million"),((S31*S$51)/(S$52)),"0")))))</f>
        <v>0</v>
      </c>
      <c r="T84" s="20" t="str">
        <f>IF(T31=0,"0",IF(AND(Results!$E$5="Protein",$C$53&gt;0,OR(Results!$E$4="Tissue",Results!$E$4="Cells")),((T31*T$51)/(T$53)),IF(AND(Results!$E$5="Weight",$C$52&gt;0, Results!$E$4="Tissue",OR($B$52="g",$B$52="mg")),((T31*T$51)/(T$52)),IF(AND(Results!$E$5="Volume",$C$54&gt;0,Results!$E$4="Fluid"),((T31*T$51)/(T$54)),IF(AND(Results!$E$4="Cells",Results!$E$5="Million",$B$52="million"),((T31*T$51)/(T$52)),"0")))))</f>
        <v>0</v>
      </c>
      <c r="U84" s="20" t="str">
        <f>IF(U31=0,"0",IF(AND(Results!$E$5="Protein",$C$53&gt;0,OR(Results!$E$4="Tissue",Results!$E$4="Cells")),((U31*U$51)/(U$53)),IF(AND(Results!$E$5="Weight",$C$52&gt;0, Results!$E$4="Tissue",OR($B$52="g",$B$52="mg")),((U31*U$51)/(U$52)),IF(AND(Results!$E$5="Volume",$C$54&gt;0,Results!$E$4="Fluid"),((U31*U$51)/(U$54)),IF(AND(Results!$E$4="Cells",Results!$E$5="Million",$B$52="million"),((U31*U$51)/(U$52)),"0")))))</f>
        <v>0</v>
      </c>
      <c r="V84" s="20" t="str">
        <f>IF(V31=0,"0",IF(AND(Results!$E$5="Protein",$C$53&gt;0,OR(Results!$E$4="Tissue",Results!$E$4="Cells")),((V31*V$51)/(V$53)),IF(AND(Results!$E$5="Weight",$C$52&gt;0, Results!$E$4="Tissue",OR($B$52="g",$B$52="mg")),((V31*V$51)/(V$52)),IF(AND(Results!$E$5="Volume",$C$54&gt;0,Results!$E$4="Fluid"),((V31*V$51)/(V$54)),IF(AND(Results!$E$4="Cells",Results!$E$5="Million",$B$52="million"),((V31*V$51)/(V$52)),"0")))))</f>
        <v>0</v>
      </c>
      <c r="W84" s="20" t="str">
        <f>IF(W31=0,"0",IF(AND(Results!$E$5="Protein",$C$53&gt;0,OR(Results!$E$4="Tissue",Results!$E$4="Cells")),((W31*W$51)/(W$53)),IF(AND(Results!$E$5="Weight",$C$52&gt;0, Results!$E$4="Tissue",OR($B$52="g",$B$52="mg")),((W31*W$51)/(W$52)),IF(AND(Results!$E$5="Volume",$C$54&gt;0,Results!$E$4="Fluid"),((W31*W$51)/(W$54)),IF(AND(Results!$E$4="Cells",Results!$E$5="Million",$B$52="million"),((W31*W$51)/(W$52)),"0")))))</f>
        <v>0</v>
      </c>
      <c r="X84" s="20" t="str">
        <f>IF(X31=0,"0",IF(AND(Results!$E$5="Protein",$C$53&gt;0,OR(Results!$E$4="Tissue",Results!$E$4="Cells")),((X31*X$51)/(X$53)),IF(AND(Results!$E$5="Weight",$C$52&gt;0, Results!$E$4="Tissue",OR($B$52="g",$B$52="mg")),((X31*X$51)/(X$52)),IF(AND(Results!$E$5="Volume",$C$54&gt;0,Results!$E$4="Fluid"),((X31*X$51)/(X$54)),IF(AND(Results!$E$4="Cells",Results!$E$5="Million",$B$52="million"),((X31*X$51)/(X$52)),"0")))))</f>
        <v>0</v>
      </c>
      <c r="Y84" s="20" t="str">
        <f>IF(Y31=0,"0",IF(AND(Results!$E$5="Protein",$C$53&gt;0,OR(Results!$E$4="Tissue",Results!$E$4="Cells")),((Y31*Y$51)/(Y$53)),IF(AND(Results!$E$5="Weight",$C$52&gt;0, Results!$E$4="Tissue",OR($B$52="g",$B$52="mg")),((Y31*Y$51)/(Y$52)),IF(AND(Results!$E$5="Volume",$C$54&gt;0,Results!$E$4="Fluid"),((Y31*Y$51)/(Y$54)),IF(AND(Results!$E$4="Cells",Results!$E$5="Million",$B$52="million"),((Y31*Y$51)/(Y$52)),"0")))))</f>
        <v>0</v>
      </c>
      <c r="Z84" s="20" t="str">
        <f>IF(Z31=0,"0",IF(AND(Results!$E$5="Protein",$C$53&gt;0,OR(Results!$E$4="Tissue",Results!$E$4="Cells")),((Z31*Z$51)/(Z$53)),IF(AND(Results!$E$5="Weight",$C$52&gt;0, Results!$E$4="Tissue",OR($B$52="g",$B$52="mg")),((Z31*Z$51)/(Z$52)),IF(AND(Results!$E$5="Volume",$C$54&gt;0,Results!$E$4="Fluid"),((Z31*Z$51)/(Z$54)),IF(AND(Results!$E$4="Cells",Results!$E$5="Million",$B$52="million"),((Z31*Z$51)/(Z$52)),"0")))))</f>
        <v>0</v>
      </c>
      <c r="AA84" s="20" t="str">
        <f>IF(AA31=0,"0",IF(AND(Results!$E$5="Protein",$C$53&gt;0,OR(Results!$E$4="Tissue",Results!$E$4="Cells")),((AA31*AA$51)/(AA$53)),IF(AND(Results!$E$5="Weight",$C$52&gt;0, Results!$E$4="Tissue",OR($B$52="g",$B$52="mg")),((AA31*AA$51)/(AA$52)),IF(AND(Results!$E$5="Volume",$C$54&gt;0,Results!$E$4="Fluid"),((AA31*AA$51)/(AA$54)),IF(AND(Results!$E$4="Cells",Results!$E$5="Million",$B$52="million"),((AA31*AA$51)/(AA$52)),"0")))))</f>
        <v>0</v>
      </c>
      <c r="AB84" s="20" t="str">
        <f>IF(AB31=0,"0",IF(AND(Results!$E$5="Protein",$C$53&gt;0,OR(Results!$E$4="Tissue",Results!$E$4="Cells")),((AB31*AB$51)/(AB$53)),IF(AND(Results!$E$5="Weight",$C$52&gt;0, Results!$E$4="Tissue",OR($B$52="g",$B$52="mg")),((AB31*AB$51)/(AB$52)),IF(AND(Results!$E$5="Volume",$C$54&gt;0,Results!$E$4="Fluid"),((AB31*AB$51)/(AB$54)),IF(AND(Results!$E$4="Cells",Results!$E$5="Million",$B$52="million"),((AB31*AB$51)/(AB$52)),"0")))))</f>
        <v>0</v>
      </c>
      <c r="AC84" s="20" t="str">
        <f>IF(AC31=0,"0",IF(AND(Results!$E$5="Protein",$C$53&gt;0,OR(Results!$E$4="Tissue",Results!$E$4="Cells")),((AC31*AC$51)/(AC$53)),IF(AND(Results!$E$5="Weight",$C$52&gt;0, Results!$E$4="Tissue",OR($B$52="g",$B$52="mg")),((AC31*AC$51)/(AC$52)),IF(AND(Results!$E$5="Volume",$C$54&gt;0,Results!$E$4="Fluid"),((AC31*AC$51)/(AC$54)),IF(AND(Results!$E$4="Cells",Results!$E$5="Million",$B$52="million"),((AC31*AC$51)/(AC$52)),"0")))))</f>
        <v>0</v>
      </c>
      <c r="AD84" s="20" t="str">
        <f>IF(AD31=0,"0",IF(AND(Results!$E$5="Protein",$C$53&gt;0,OR(Results!$E$4="Tissue",Results!$E$4="Cells")),((AD31*AD$51)/(AD$53)),IF(AND(Results!$E$5="Weight",$C$52&gt;0, Results!$E$4="Tissue",OR($B$52="g",$B$52="mg")),((AD31*AD$51)/(AD$52)),IF(AND(Results!$E$5="Volume",$C$54&gt;0,Results!$E$4="Fluid"),((AD31*AD$51)/(AD$54)),IF(AND(Results!$E$4="Cells",Results!$E$5="Million",$B$52="million"),((AD31*AD$51)/(AD$52)),"0")))))</f>
        <v>0</v>
      </c>
      <c r="AE84" s="20" t="str">
        <f>IF(AE31=0,"0",IF(AND(Results!$E$5="Protein",$C$53&gt;0,OR(Results!$E$4="Tissue",Results!$E$4="Cells")),((AE31*AE$51)/(AE$53)),IF(AND(Results!$E$5="Weight",$C$52&gt;0, Results!$E$4="Tissue",OR($B$52="g",$B$52="mg")),((AE31*AE$51)/(AE$52)),IF(AND(Results!$E$5="Volume",$C$54&gt;0,Results!$E$4="Fluid"),((AE31*AE$51)/(AE$54)),IF(AND(Results!$E$4="Cells",Results!$E$5="Million",$B$52="million"),((AE31*AE$51)/(AE$52)),"0")))))</f>
        <v>0</v>
      </c>
      <c r="AF84" s="20" t="str">
        <f>IF(AF31=0,"0",IF(AND(Results!$E$5="Protein",$C$53&gt;0,OR(Results!$E$4="Tissue",Results!$E$4="Cells")),((AF31*AF$51)/(AF$53)),IF(AND(Results!$E$5="Weight",$C$52&gt;0, Results!$E$4="Tissue",OR($B$52="g",$B$52="mg")),((AF31*AF$51)/(AF$52)),IF(AND(Results!$E$5="Volume",$C$54&gt;0,Results!$E$4="Fluid"),((AF31*AF$51)/(AF$54)),IF(AND(Results!$E$4="Cells",Results!$E$5="Million",$B$52="million"),((AF31*AF$51)/(AF$52)),"0")))))</f>
        <v>0</v>
      </c>
      <c r="AG84" s="20" t="str">
        <f>IF(AG31=0,"0",IF(AND(Results!$E$5="Protein",$C$53&gt;0,OR(Results!$E$4="Tissue",Results!$E$4="Cells")),((AG31*AG$51)/(AG$53)),IF(AND(Results!$E$5="Weight",$C$52&gt;0, Results!$E$4="Tissue",OR($B$52="g",$B$52="mg")),((AG31*AG$51)/(AG$52)),IF(AND(Results!$E$5="Volume",$C$54&gt;0,Results!$E$4="Fluid"),((AG31*AG$51)/(AG$54)),IF(AND(Results!$E$4="Cells",Results!$E$5="Million",$B$52="million"),((AG31*AG$51)/(AG$52)),"0")))))</f>
        <v>0</v>
      </c>
      <c r="AH84" s="20" t="str">
        <f>IF(AH31=0,"0",IF(AND(Results!$E$5="Protein",$C$53&gt;0,OR(Results!$E$4="Tissue",Results!$E$4="Cells")),((AH31*AH$51)/(AH$53)),IF(AND(Results!$E$5="Weight",$C$52&gt;0, Results!$E$4="Tissue",OR($B$52="g",$B$52="mg")),((AH31*AH$51)/(AH$52)),IF(AND(Results!$E$5="Volume",$C$54&gt;0,Results!$E$4="Fluid"),((AH31*AH$51)/(AH$54)),IF(AND(Results!$E$4="Cells",Results!$E$5="Million",$B$52="million"),((AH31*AH$51)/(AH$52)),"0")))))</f>
        <v>0</v>
      </c>
      <c r="AI84" s="20" t="str">
        <f>IF(AI31=0,"0",IF(AND(Results!$E$5="Protein",$C$53&gt;0,OR(Results!$E$4="Tissue",Results!$E$4="Cells")),((AI31*AI$51)/(AI$53)),IF(AND(Results!$E$5="Weight",$C$52&gt;0, Results!$E$4="Tissue",OR($B$52="g",$B$52="mg")),((AI31*AI$51)/(AI$52)),IF(AND(Results!$E$5="Volume",$C$54&gt;0,Results!$E$4="Fluid"),((AI31*AI$51)/(AI$54)),IF(AND(Results!$E$4="Cells",Results!$E$5="Million",$B$52="million"),((AI31*AI$51)/(AI$52)),"0")))))</f>
        <v>0</v>
      </c>
      <c r="AJ84" s="20" t="str">
        <f>IF(AJ31=0,"0",IF(AND(Results!$E$5="Protein",$C$53&gt;0,OR(Results!$E$4="Tissue",Results!$E$4="Cells")),((AJ31*AJ$51)/(AJ$53)),IF(AND(Results!$E$5="Weight",$C$52&gt;0, Results!$E$4="Tissue",OR($B$52="g",$B$52="mg")),((AJ31*AJ$51)/(AJ$52)),IF(AND(Results!$E$5="Volume",$C$54&gt;0,Results!$E$4="Fluid"),((AJ31*AJ$51)/(AJ$54)),IF(AND(Results!$E$4="Cells",Results!$E$5="Million",$B$52="million"),((AJ31*AJ$51)/(AJ$52)),"0")))))</f>
        <v>0</v>
      </c>
      <c r="AK84" s="20" t="str">
        <f>IF(AK31=0,"0",IF(AND(Results!$E$5="Protein",$C$53&gt;0,OR(Results!$E$4="Tissue",Results!$E$4="Cells")),((AK31*AK$51)/(AK$53)),IF(AND(Results!$E$5="Weight",$C$52&gt;0, Results!$E$4="Tissue",OR($B$52="g",$B$52="mg")),((AK31*AK$51)/(AK$52)),IF(AND(Results!$E$5="Volume",$C$54&gt;0,Results!$E$4="Fluid"),((AK31*AK$51)/(AK$54)),IF(AND(Results!$E$4="Cells",Results!$E$5="Million",$B$52="million"),((AK31*AK$51)/(AK$52)),"0")))))</f>
        <v>0</v>
      </c>
      <c r="AL84" s="20" t="str">
        <f>IF(AL31=0,"0",IF(AND(Results!$E$5="Protein",$C$53&gt;0,OR(Results!$E$4="Tissue",Results!$E$4="Cells")),((AL31*AL$51)/(AL$53)),IF(AND(Results!$E$5="Weight",$C$52&gt;0, Results!$E$4="Tissue",OR($B$52="g",$B$52="mg")),((AL31*AL$51)/(AL$52)),IF(AND(Results!$E$5="Volume",$C$54&gt;0,Results!$E$4="Fluid"),((AL31*AL$51)/(AL$54)),IF(AND(Results!$E$4="Cells",Results!$E$5="Million",$B$52="million"),((AL31*AL$51)/(AL$52)),"0")))))</f>
        <v>0</v>
      </c>
      <c r="AM84" s="20" t="str">
        <f>IF(AM31=0,"0",IF(AND(Results!$E$5="Protein",$C$53&gt;0,OR(Results!$E$4="Tissue",Results!$E$4="Cells")),((AM31*AM$51)/(AM$53)),IF(AND(Results!$E$5="Weight",$C$52&gt;0, Results!$E$4="Tissue",OR($B$52="g",$B$52="mg")),((AM31*AM$51)/(AM$52)),IF(AND(Results!$E$5="Volume",$C$54&gt;0,Results!$E$4="Fluid"),((AM31*AM$51)/(AM$54)),IF(AND(Results!$E$4="Cells",Results!$E$5="Million",$B$52="million"),((AM31*AM$51)/(AM$52)),"0")))))</f>
        <v>0</v>
      </c>
      <c r="AN84" s="20" t="str">
        <f>IF(AN31=0,"0",IF(AND(Results!$E$5="Protein",$C$53&gt;0,OR(Results!$E$4="Tissue",Results!$E$4="Cells")),((AN31*AN$51)/(AN$53)),IF(AND(Results!$E$5="Weight",$C$52&gt;0, Results!$E$4="Tissue",OR($B$52="g",$B$52="mg")),((AN31*AN$51)/(AN$52)),IF(AND(Results!$E$5="Volume",$C$54&gt;0,Results!$E$4="Fluid"),((AN31*AN$51)/(AN$54)),IF(AND(Results!$E$4="Cells",Results!$E$5="Million",$B$52="million"),((AN31*AN$51)/(AN$52)),"0")))))</f>
        <v>0</v>
      </c>
      <c r="AO84" s="20" t="str">
        <f>IF(AO31=0,"0",IF(AND(Results!$E$5="Protein",$C$53&gt;0,OR(Results!$E$4="Tissue",Results!$E$4="Cells")),((AO31*AO$51)/(AO$53)),IF(AND(Results!$E$5="Weight",$C$52&gt;0, Results!$E$4="Tissue",OR($B$52="g",$B$52="mg")),((AO31*AO$51)/(AO$52)),IF(AND(Results!$E$5="Volume",$C$54&gt;0,Results!$E$4="Fluid"),((AO31*AO$51)/(AO$54)),IF(AND(Results!$E$4="Cells",Results!$E$5="Million",$B$52="million"),((AO31*AO$51)/(AO$52)),"0")))))</f>
        <v>0</v>
      </c>
      <c r="AP84" s="20" t="str">
        <f>IF(AP31=0,"0",IF(AND(Results!$E$5="Protein",$C$53&gt;0,OR(Results!$E$4="Tissue",Results!$E$4="Cells")),((AP31*AP$51)/(AP$53)),IF(AND(Results!$E$5="Weight",$C$52&gt;0, Results!$E$4="Tissue",OR($B$52="g",$B$52="mg")),((AP31*AP$51)/(AP$52)),IF(AND(Results!$E$5="Volume",$C$54&gt;0,Results!$E$4="Fluid"),((AP31*AP$51)/(AP$54)),IF(AND(Results!$E$4="Cells",Results!$E$5="Million",$B$52="million"),((AP31*AP$51)/(AP$52)),"0")))))</f>
        <v>0</v>
      </c>
      <c r="AQ84" s="20" t="str">
        <f>IF(AQ31=0,"0",IF(AND(Results!$E$5="Protein",$C$53&gt;0,OR(Results!$E$4="Tissue",Results!$E$4="Cells")),((AQ31*AQ$51)/(AQ$53)),IF(AND(Results!$E$5="Weight",$C$52&gt;0, Results!$E$4="Tissue",OR($B$52="g",$B$52="mg")),((AQ31*AQ$51)/(AQ$52)),IF(AND(Results!$E$5="Volume",$C$54&gt;0,Results!$E$4="Fluid"),((AQ31*AQ$51)/(AQ$54)),IF(AND(Results!$E$4="Cells",Results!$E$5="Million",$B$52="million"),((AQ31*AQ$51)/(AQ$52)),"0")))))</f>
        <v>0</v>
      </c>
      <c r="AR84" s="20" t="str">
        <f>IF(AR31=0,"0",IF(AND(Results!$E$5="Protein",$C$53&gt;0,OR(Results!$E$4="Tissue",Results!$E$4="Cells")),((AR31*AR$51)/(AR$53)),IF(AND(Results!$E$5="Weight",$C$52&gt;0, Results!$E$4="Tissue",OR($B$52="g",$B$52="mg")),((AR31*AR$51)/(AR$52)),IF(AND(Results!$E$5="Volume",$C$54&gt;0,Results!$E$4="Fluid"),((AR31*AR$51)/(AR$54)),IF(AND(Results!$E$4="Cells",Results!$E$5="Million",$B$52="million"),((AR31*AR$51)/(AR$52)),"0")))))</f>
        <v>0</v>
      </c>
      <c r="AS84" s="20" t="str">
        <f>IF(AS31=0,"0",IF(AND(Results!$E$5="Protein",$C$53&gt;0,OR(Results!$E$4="Tissue",Results!$E$4="Cells")),((AS31*AS$51)/(AS$53)),IF(AND(Results!$E$5="Weight",$C$52&gt;0, Results!$E$4="Tissue",OR($B$52="g",$B$52="mg")),((AS31*AS$51)/(AS$52)),IF(AND(Results!$E$5="Volume",$C$54&gt;0,Results!$E$4="Fluid"),((AS31*AS$51)/(AS$54)),IF(AND(Results!$E$4="Cells",Results!$E$5="Million",$B$52="million"),((AS31*AS$51)/(AS$52)),"0")))))</f>
        <v>0</v>
      </c>
      <c r="AT84" s="20" t="str">
        <f>IF(AT31=0,"0",IF(AND(Results!$E$5="Protein",$C$53&gt;0,OR(Results!$E$4="Tissue",Results!$E$4="Cells")),((AT31*AT$51)/(AT$53)),IF(AND(Results!$E$5="Weight",$C$52&gt;0, Results!$E$4="Tissue",OR($B$52="g",$B$52="mg")),((AT31*AT$51)/(AT$52)),IF(AND(Results!$E$5="Volume",$C$54&gt;0,Results!$E$4="Fluid"),((AT31*AT$51)/(AT$54)),IF(AND(Results!$E$4="Cells",Results!$E$5="Million",$B$52="million"),((AT31*AT$51)/(AT$52)),"0")))))</f>
        <v>0</v>
      </c>
      <c r="AU84" s="20" t="str">
        <f>IF(AU31=0,"0",IF(AND(Results!$E$5="Protein",$C$53&gt;0,OR(Results!$E$4="Tissue",Results!$E$4="Cells")),((AU31*AU$51)/(AU$53)),IF(AND(Results!$E$5="Weight",$C$52&gt;0, Results!$E$4="Tissue",OR($B$52="g",$B$52="mg")),((AU31*AU$51)/(AU$52)),IF(AND(Results!$E$5="Volume",$C$54&gt;0,Results!$E$4="Fluid"),((AU31*AU$51)/(AU$54)),IF(AND(Results!$E$4="Cells",Results!$E$5="Million",$B$52="million"),((AU31*AU$51)/(AU$52)),"0")))))</f>
        <v>0</v>
      </c>
      <c r="AV84" s="20" t="str">
        <f>IF(AV31=0,"0",IF(AND(Results!$E$5="Protein",$C$53&gt;0,OR(Results!$E$4="Tissue",Results!$E$4="Cells")),((AV31*AV$51)/(AV$53)),IF(AND(Results!$E$5="Weight",$C$52&gt;0, Results!$E$4="Tissue",OR($B$52="g",$B$52="mg")),((AV31*AV$51)/(AV$52)),IF(AND(Results!$E$5="Volume",$C$54&gt;0,Results!$E$4="Fluid"),((AV31*AV$51)/(AV$54)),IF(AND(Results!$E$4="Cells",Results!$E$5="Million",$B$52="million"),((AV31*AV$51)/(AV$52)),"0")))))</f>
        <v>0</v>
      </c>
      <c r="AW84" s="20" t="str">
        <f>IF(AW31=0,"0",IF(AND(Results!$E$5="Protein",$C$53&gt;0,OR(Results!$E$4="Tissue",Results!$E$4="Cells")),((AW31*AW$51)/(AW$53)),IF(AND(Results!$E$5="Weight",$C$52&gt;0, Results!$E$4="Tissue",OR($B$52="g",$B$52="mg")),((AW31*AW$51)/(AW$52)),IF(AND(Results!$E$5="Volume",$C$54&gt;0,Results!$E$4="Fluid"),((AW31*AW$51)/(AW$54)),IF(AND(Results!$E$4="Cells",Results!$E$5="Million",$B$52="million"),((AW31*AW$51)/(AW$52)),"0")))))</f>
        <v>0</v>
      </c>
      <c r="AX84" s="20" t="str">
        <f>IF(AX31=0,"0",IF(AND(Results!$E$5="Protein",$C$53&gt;0,OR(Results!$E$4="Tissue",Results!$E$4="Cells")),((AX31*AX$51)/(AX$53)),IF(AND(Results!$E$5="Weight",$C$52&gt;0, Results!$E$4="Tissue",OR($B$52="g",$B$52="mg")),((AX31*AX$51)/(AX$52)),IF(AND(Results!$E$5="Volume",$C$54&gt;0,Results!$E$4="Fluid"),((AX31*AX$51)/(AX$54)),IF(AND(Results!$E$4="Cells",Results!$E$5="Million",$B$52="million"),((AX31*AX$51)/(AX$52)),"0")))))</f>
        <v>0</v>
      </c>
      <c r="AY84" s="20" t="str">
        <f>IF(AY31=0,"0",IF(AND(Results!$E$5="Protein",$C$53&gt;0,OR(Results!$E$4="Tissue",Results!$E$4="Cells")),((AY31*AY$51)/(AY$53)),IF(AND(Results!$E$5="Weight",$C$52&gt;0, Results!$E$4="Tissue",OR($B$52="g",$B$52="mg")),((AY31*AY$51)/(AY$52)),IF(AND(Results!$E$5="Volume",$C$54&gt;0,Results!$E$4="Fluid"),((AY31*AY$51)/(AY$54)),IF(AND(Results!$E$4="Cells",Results!$E$5="Million",$B$52="million"),((AY31*AY$51)/(AY$52)),"0")))))</f>
        <v>0</v>
      </c>
      <c r="AZ84" s="20" t="str">
        <f>IF(AZ31=0,"0",IF(AND(Results!$E$5="Protein",$C$53&gt;0,OR(Results!$E$4="Tissue",Results!$E$4="Cells")),((AZ31*AZ$51)/(AZ$53)),IF(AND(Results!$E$5="Weight",$C$52&gt;0, Results!$E$4="Tissue",OR($B$52="g",$B$52="mg")),((AZ31*AZ$51)/(AZ$52)),IF(AND(Results!$E$5="Volume",$C$54&gt;0,Results!$E$4="Fluid"),((AZ31*AZ$51)/(AZ$54)),IF(AND(Results!$E$4="Cells",Results!$E$5="Million",$B$52="million"),((AZ31*AZ$51)/(AZ$52)),"0")))))</f>
        <v>0</v>
      </c>
      <c r="BA84" s="20" t="str">
        <f>IF(BA31=0,"0",IF(AND(Results!$E$5="Protein",$C$53&gt;0,OR(Results!$E$4="Tissue",Results!$E$4="Cells")),((BA31*BA$51)/(BA$53)),IF(AND(Results!$E$5="Weight",$C$52&gt;0, Results!$E$4="Tissue",OR($B$52="g",$B$52="mg")),((BA31*BA$51)/(BA$52)),IF(AND(Results!$E$5="Volume",$C$54&gt;0,Results!$E$4="Fluid"),((BA31*BA$51)/(BA$54)),IF(AND(Results!$E$4="Cells",Results!$E$5="Million",$B$52="million"),((BA31*BA$51)/(BA$52)),"0")))))</f>
        <v>0</v>
      </c>
      <c r="BB84" s="20" t="str">
        <f>IF(BB31=0,"0",IF(AND(Results!$E$5="Protein",$C$53&gt;0,OR(Results!$E$4="Tissue",Results!$E$4="Cells")),((BB31*BB$51)/(BB$53)),IF(AND(Results!$E$5="Weight",$C$52&gt;0, Results!$E$4="Tissue",OR($B$52="g",$B$52="mg")),((BB31*BB$51)/(BB$52)),IF(AND(Results!$E$5="Volume",$C$54&gt;0,Results!$E$4="Fluid"),((BB31*BB$51)/(BB$54)),IF(AND(Results!$E$4="Cells",Results!$E$5="Million",$B$52="million"),((BB31*BB$51)/(BB$52)),"0")))))</f>
        <v>0</v>
      </c>
      <c r="BC84" s="20" t="str">
        <f>IF(BC31=0,"0",IF(AND(Results!$E$5="Protein",$C$53&gt;0,OR(Results!$E$4="Tissue",Results!$E$4="Cells")),((BC31*BC$51)/(BC$53)),IF(AND(Results!$E$5="Weight",$C$52&gt;0, Results!$E$4="Tissue",OR($B$52="g",$B$52="mg")),((BC31*BC$51)/(BC$52)),IF(AND(Results!$E$5="Volume",$C$54&gt;0,Results!$E$4="Fluid"),((BC31*BC$51)/(BC$54)),IF(AND(Results!$E$4="Cells",Results!$E$5="Million",$B$52="million"),((BC31*BC$51)/(BC$52)),"0")))))</f>
        <v>0</v>
      </c>
      <c r="BD84" s="20" t="str">
        <f>IF(BD31=0,"0",IF(AND(Results!$E$5="Protein",$C$53&gt;0,OR(Results!$E$4="Tissue",Results!$E$4="Cells")),((BD31*BD$51)/(BD$53)),IF(AND(Results!$E$5="Weight",$C$52&gt;0, Results!$E$4="Tissue",OR($B$52="g",$B$52="mg")),((BD31*BD$51)/(BD$52)),IF(AND(Results!$E$5="Volume",$C$54&gt;0,Results!$E$4="Fluid"),((BD31*BD$51)/(BD$54)),IF(AND(Results!$E$4="Cells",Results!$E$5="Million",$B$52="million"),((BD31*BD$51)/(BD$52)),"0")))))</f>
        <v>0</v>
      </c>
      <c r="BE84" s="20" t="str">
        <f>IF(BE31=0,"0",IF(AND(Results!$E$5="Protein",$C$53&gt;0,OR(Results!$E$4="Tissue",Results!$E$4="Cells")),((BE31*BE$51)/(BE$53)),IF(AND(Results!$E$5="Weight",$C$52&gt;0, Results!$E$4="Tissue",OR($B$52="g",$B$52="mg")),((BE31*BE$51)/(BE$52)),IF(AND(Results!$E$5="Volume",$C$54&gt;0,Results!$E$4="Fluid"),((BE31*BE$51)/(BE$54)),IF(AND(Results!$E$4="Cells",Results!$E$5="Million",$B$52="million"),((BE31*BE$51)/(BE$52)),"0")))))</f>
        <v>0</v>
      </c>
      <c r="BF84" s="20" t="str">
        <f>IF(BF31=0,"0",IF(AND(Results!$E$5="Protein",$C$53&gt;0,OR(Results!$E$4="Tissue",Results!$E$4="Cells")),((BF31*BF$51)/(BF$53)),IF(AND(Results!$E$5="Weight",$C$52&gt;0, Results!$E$4="Tissue",OR($B$52="g",$B$52="mg")),((BF31*BF$51)/(BF$52)),IF(AND(Results!$E$5="Volume",$C$54&gt;0,Results!$E$4="Fluid"),((BF31*BF$51)/(BF$54)),IF(AND(Results!$E$4="Cells",Results!$E$5="Million",$B$52="million"),((BF31*BF$51)/(BF$52)),"0")))))</f>
        <v>0</v>
      </c>
      <c r="BG84" s="20" t="str">
        <f>IF(BG31=0,"0",IF(AND(Results!$E$5="Protein",$C$53&gt;0,OR(Results!$E$4="Tissue",Results!$E$4="Cells")),((BG31*BG$51)/(BG$53)),IF(AND(Results!$E$5="Weight",$C$52&gt;0, Results!$E$4="Tissue",OR($B$52="g",$B$52="mg")),((BG31*BG$51)/(BG$52)),IF(AND(Results!$E$5="Volume",$C$54&gt;0,Results!$E$4="Fluid"),((BG31*BG$51)/(BG$54)),IF(AND(Results!$E$4="Cells",Results!$E$5="Million",$B$52="million"),((BG31*BG$51)/(BG$52)),"0")))))</f>
        <v>0</v>
      </c>
      <c r="BH84" s="20" t="str">
        <f>IF(BH31=0,"0",IF(AND(Results!$E$5="Protein",$C$53&gt;0,OR(Results!$E$4="Tissue",Results!$E$4="Cells")),((BH31*BH$51)/(BH$53)),IF(AND(Results!$E$5="Weight",$C$52&gt;0, Results!$E$4="Tissue",OR($B$52="g",$B$52="mg")),((BH31*BH$51)/(BH$52)),IF(AND(Results!$E$5="Volume",$C$54&gt;0,Results!$E$4="Fluid"),((BH31*BH$51)/(BH$54)),IF(AND(Results!$E$4="Cells",Results!$E$5="Million",$B$52="million"),((BH31*BH$51)/(BH$52)),"0")))))</f>
        <v>0</v>
      </c>
      <c r="BI84" s="20" t="str">
        <f>IF(BI31=0,"0",IF(AND(Results!$E$5="Protein",$C$53&gt;0,OR(Results!$E$4="Tissue",Results!$E$4="Cells")),((BI31*BI$51)/(BI$53)),IF(AND(Results!$E$5="Weight",$C$52&gt;0, Results!$E$4="Tissue",OR($B$52="g",$B$52="mg")),((BI31*BI$51)/(BI$52)),IF(AND(Results!$E$5="Volume",$C$54&gt;0,Results!$E$4="Fluid"),((BI31*BI$51)/(BI$54)),IF(AND(Results!$E$4="Cells",Results!$E$5="Million",$B$52="million"),((BI31*BI$51)/(BI$52)),"0")))))</f>
        <v>0</v>
      </c>
      <c r="BJ84" s="20" t="str">
        <f>IF(BJ31=0,"0",IF(AND(Results!$E$5="Protein",$C$53&gt;0,OR(Results!$E$4="Tissue",Results!$E$4="Cells")),((BJ31*BJ$51)/(BJ$53)),IF(AND(Results!$E$5="Weight",$C$52&gt;0, Results!$E$4="Tissue",OR($B$52="g",$B$52="mg")),((BJ31*BJ$51)/(BJ$52)),IF(AND(Results!$E$5="Volume",$C$54&gt;0,Results!$E$4="Fluid"),((BJ31*BJ$51)/(BJ$54)),IF(AND(Results!$E$4="Cells",Results!$E$5="Million",$B$52="million"),((BJ31*BJ$51)/(BJ$52)),"0")))))</f>
        <v>0</v>
      </c>
      <c r="BK84" s="20" t="str">
        <f>IF(BK31=0,"0",IF(AND(Results!$E$5="Protein",$C$53&gt;0,OR(Results!$E$4="Tissue",Results!$E$4="Cells")),((BK31*BK$51)/(BK$53)),IF(AND(Results!$E$5="Weight",$C$52&gt;0, Results!$E$4="Tissue",OR($B$52="g",$B$52="mg")),((BK31*BK$51)/(BK$52)),IF(AND(Results!$E$5="Volume",$C$54&gt;0,Results!$E$4="Fluid"),((BK31*BK$51)/(BK$54)),IF(AND(Results!$E$4="Cells",Results!$E$5="Million",$B$52="million"),((BK31*BK$51)/(BK$52)),"0")))))</f>
        <v>0</v>
      </c>
      <c r="BL84" s="20" t="str">
        <f>IF(BL31=0,"0",IF(AND(Results!$E$5="Protein",$C$53&gt;0,OR(Results!$E$4="Tissue",Results!$E$4="Cells")),((BL31*BL$51)/(BL$53)),IF(AND(Results!$E$5="Weight",$C$52&gt;0, Results!$E$4="Tissue",OR($B$52="g",$B$52="mg")),((BL31*BL$51)/(BL$52)),IF(AND(Results!$E$5="Volume",$C$54&gt;0,Results!$E$4="Fluid"),((BL31*BL$51)/(BL$54)),IF(AND(Results!$E$4="Cells",Results!$E$5="Million",$B$52="million"),((BL31*BL$51)/(BL$52)),"0")))))</f>
        <v>0</v>
      </c>
      <c r="BM84" s="20" t="str">
        <f>IF(BM31=0,"0",IF(AND(Results!$E$5="Protein",$C$53&gt;0,OR(Results!$E$4="Tissue",Results!$E$4="Cells")),((BM31*BM$51)/(BM$53)),IF(AND(Results!$E$5="Weight",$C$52&gt;0, Results!$E$4="Tissue",OR($B$52="g",$B$52="mg")),((BM31*BM$51)/(BM$52)),IF(AND(Results!$E$5="Volume",$C$54&gt;0,Results!$E$4="Fluid"),((BM31*BM$51)/(BM$54)),IF(AND(Results!$E$4="Cells",Results!$E$5="Million",$B$52="million"),((BM31*BM$51)/(BM$52)),"0")))))</f>
        <v>0</v>
      </c>
      <c r="BN84" s="20" t="str">
        <f>IF(BN31=0,"0",IF(AND(Results!$E$5="Protein",$C$53&gt;0,OR(Results!$E$4="Tissue",Results!$E$4="Cells")),((BN31*BN$51)/(BN$53)),IF(AND(Results!$E$5="Weight",$C$52&gt;0, Results!$E$4="Tissue",OR($B$52="g",$B$52="mg")),((BN31*BN$51)/(BN$52)),IF(AND(Results!$E$5="Volume",$C$54&gt;0,Results!$E$4="Fluid"),((BN31*BN$51)/(BN$54)),IF(AND(Results!$E$4="Cells",Results!$E$5="Million",$B$52="million"),((BN31*BN$51)/(BN$52)),"0")))))</f>
        <v>0</v>
      </c>
      <c r="BO84" s="20" t="str">
        <f>IF(BO31=0,"0",IF(AND(Results!$E$5="Protein",$C$53&gt;0,OR(Results!$E$4="Tissue",Results!$E$4="Cells")),((BO31*BO$51)/(BO$53)),IF(AND(Results!$E$5="Weight",$C$52&gt;0, Results!$E$4="Tissue",OR($B$52="g",$B$52="mg")),((BO31*BO$51)/(BO$52)),IF(AND(Results!$E$5="Volume",$C$54&gt;0,Results!$E$4="Fluid"),((BO31*BO$51)/(BO$54)),IF(AND(Results!$E$4="Cells",Results!$E$5="Million",$B$52="million"),((BO31*BO$51)/(BO$52)),"0")))))</f>
        <v>0</v>
      </c>
      <c r="BP84" s="20" t="str">
        <f>IF(BP31=0,"0",IF(AND(Results!$E$5="Protein",$C$53&gt;0,OR(Results!$E$4="Tissue",Results!$E$4="Cells")),((BP31*BP$51)/(BP$53)),IF(AND(Results!$E$5="Weight",$C$52&gt;0, Results!$E$4="Tissue",OR($B$52="g",$B$52="mg")),((BP31*BP$51)/(BP$52)),IF(AND(Results!$E$5="Volume",$C$54&gt;0,Results!$E$4="Fluid"),((BP31*BP$51)/(BP$54)),IF(AND(Results!$E$4="Cells",Results!$E$5="Million",$B$52="million"),((BP31*BP$51)/(BP$52)),"0")))))</f>
        <v>0</v>
      </c>
      <c r="BQ84" s="20" t="str">
        <f>IF(BQ31=0,"0",IF(AND(Results!$E$5="Protein",$C$53&gt;0,OR(Results!$E$4="Tissue",Results!$E$4="Cells")),((BQ31*BQ$51)/(BQ$53)),IF(AND(Results!$E$5="Weight",$C$52&gt;0, Results!$E$4="Tissue",OR($B$52="g",$B$52="mg")),((BQ31*BQ$51)/(BQ$52)),IF(AND(Results!$E$5="Volume",$C$54&gt;0,Results!$E$4="Fluid"),((BQ31*BQ$51)/(BQ$54)),IF(AND(Results!$E$4="Cells",Results!$E$5="Million",$B$52="million"),((BQ31*BQ$51)/(BQ$52)),"0")))))</f>
        <v>0</v>
      </c>
      <c r="BR84" s="20" t="str">
        <f>IF(BR31=0,"0",IF(AND(Results!$E$5="Protein",$C$53&gt;0,OR(Results!$E$4="Tissue",Results!$E$4="Cells")),((BR31*BR$51)/(BR$53)),IF(AND(Results!$E$5="Weight",$C$52&gt;0, Results!$E$4="Tissue",OR($B$52="g",$B$52="mg")),((BR31*BR$51)/(BR$52)),IF(AND(Results!$E$5="Volume",$C$54&gt;0,Results!$E$4="Fluid"),((BR31*BR$51)/(BR$54)),IF(AND(Results!$E$4="Cells",Results!$E$5="Million",$B$52="million"),((BR31*BR$51)/(BR$52)),"0")))))</f>
        <v>0</v>
      </c>
      <c r="BS84" s="20" t="str">
        <f>IF(BS31=0,"0",IF(AND(Results!$E$5="Protein",$C$53&gt;0,OR(Results!$E$4="Tissue",Results!$E$4="Cells")),((BS31*BS$51)/(BS$53)),IF(AND(Results!$E$5="Weight",$C$52&gt;0, Results!$E$4="Tissue",OR($B$52="g",$B$52="mg")),((BS31*BS$51)/(BS$52)),IF(AND(Results!$E$5="Volume",$C$54&gt;0,Results!$E$4="Fluid"),((BS31*BS$51)/(BS$54)),IF(AND(Results!$E$4="Cells",Results!$E$5="Million",$B$52="million"),((BS31*BS$51)/(BS$52)),"0")))))</f>
        <v>0</v>
      </c>
      <c r="BT84" s="20" t="str">
        <f>IF(BT31=0,"0",IF(AND(Results!$E$5="Protein",$C$53&gt;0,OR(Results!$E$4="Tissue",Results!$E$4="Cells")),((BT31*BT$51)/(BT$53)),IF(AND(Results!$E$5="Weight",$C$52&gt;0, Results!$E$4="Tissue",OR($B$52="g",$B$52="mg")),((BT31*BT$51)/(BT$52)),IF(AND(Results!$E$5="Volume",$C$54&gt;0,Results!$E$4="Fluid"),((BT31*BT$51)/(BT$54)),IF(AND(Results!$E$4="Cells",Results!$E$5="Million",$B$52="million"),((BT31*BT$51)/(BT$52)),"0")))))</f>
        <v>0</v>
      </c>
      <c r="BU84" s="20" t="str">
        <f>IF(BU31=0,"0",IF(AND(Results!$E$5="Protein",$C$53&gt;0,OR(Results!$E$4="Tissue",Results!$E$4="Cells")),((BU31*BU$51)/(BU$53)),IF(AND(Results!$E$5="Weight",$C$52&gt;0, Results!$E$4="Tissue",OR($B$52="g",$B$52="mg")),((BU31*BU$51)/(BU$52)),IF(AND(Results!$E$5="Volume",$C$54&gt;0,Results!$E$4="Fluid"),((BU31*BU$51)/(BU$54)),IF(AND(Results!$E$4="Cells",Results!$E$5="Million",$B$52="million"),((BU31*BU$51)/(BU$52)),"0")))))</f>
        <v>0</v>
      </c>
      <c r="BV84" s="20" t="str">
        <f>IF(BV31=0,"0",IF(AND(Results!$E$5="Protein",$C$53&gt;0,OR(Results!$E$4="Tissue",Results!$E$4="Cells")),((BV31*BV$51)/(BV$53)),IF(AND(Results!$E$5="Weight",$C$52&gt;0, Results!$E$4="Tissue",OR($B$52="g",$B$52="mg")),((BV31*BV$51)/(BV$52)),IF(AND(Results!$E$5="Volume",$C$54&gt;0,Results!$E$4="Fluid"),((BV31*BV$51)/(BV$54)),IF(AND(Results!$E$4="Cells",Results!$E$5="Million",$B$52="million"),((BV31*BV$51)/(BV$52)),"0")))))</f>
        <v>0</v>
      </c>
      <c r="BW84" s="20" t="str">
        <f>IF(BW31=0,"0",IF(AND(Results!$E$5="Protein",$C$53&gt;0,OR(Results!$E$4="Tissue",Results!$E$4="Cells")),((BW31*BW$51)/(BW$53)),IF(AND(Results!$E$5="Weight",$C$52&gt;0, Results!$E$4="Tissue",OR($B$52="g",$B$52="mg")),((BW31*BW$51)/(BW$52)),IF(AND(Results!$E$5="Volume",$C$54&gt;0,Results!$E$4="Fluid"),((BW31*BW$51)/(BW$54)),IF(AND(Results!$E$4="Cells",Results!$E$5="Million",$B$52="million"),((BW31*BW$51)/(BW$52)),"0")))))</f>
        <v>0</v>
      </c>
      <c r="BX84" s="20" t="str">
        <f>IF(BX31=0,"0",IF(AND(Results!$E$5="Protein",$C$53&gt;0,OR(Results!$E$4="Tissue",Results!$E$4="Cells")),((BX31*BX$51)/(BX$53)),IF(AND(Results!$E$5="Weight",$C$52&gt;0, Results!$E$4="Tissue",OR($B$52="g",$B$52="mg")),((BX31*BX$51)/(BX$52)),IF(AND(Results!$E$5="Volume",$C$54&gt;0,Results!$E$4="Fluid"),((BX31*BX$51)/(BX$54)),IF(AND(Results!$E$4="Cells",Results!$E$5="Million",$B$52="million"),((BX31*BX$51)/(BX$52)),"0")))))</f>
        <v>0</v>
      </c>
      <c r="BY84" s="20" t="str">
        <f>IF(BY31=0,"0",IF(AND(Results!$E$5="Protein",$C$53&gt;0,OR(Results!$E$4="Tissue",Results!$E$4="Cells")),((BY31*BY$51)/(BY$53)),IF(AND(Results!$E$5="Weight",$C$52&gt;0, Results!$E$4="Tissue",OR($B$52="g",$B$52="mg")),((BY31*BY$51)/(BY$52)),IF(AND(Results!$E$5="Volume",$C$54&gt;0,Results!$E$4="Fluid"),((BY31*BY$51)/(BY$54)),IF(AND(Results!$E$4="Cells",Results!$E$5="Million",$B$52="million"),((BY31*BY$51)/(BY$52)),"0")))))</f>
        <v>0</v>
      </c>
      <c r="BZ84" s="20" t="str">
        <f>IF(BZ31=0,"0",IF(AND(Results!$E$5="Protein",$C$53&gt;0,OR(Results!$E$4="Tissue",Results!$E$4="Cells")),((BZ31*BZ$51)/(BZ$53)),IF(AND(Results!$E$5="Weight",$C$52&gt;0, Results!$E$4="Tissue",OR($B$52="g",$B$52="mg")),((BZ31*BZ$51)/(BZ$52)),IF(AND(Results!$E$5="Volume",$C$54&gt;0,Results!$E$4="Fluid"),((BZ31*BZ$51)/(BZ$54)),IF(AND(Results!$E$4="Cells",Results!$E$5="Million",$B$52="million"),((BZ31*BZ$51)/(BZ$52)),"0")))))</f>
        <v>0</v>
      </c>
      <c r="CA84" s="20" t="str">
        <f>IF(CA31=0,"0",IF(AND(Results!$E$5="Protein",$C$53&gt;0,OR(Results!$E$4="Tissue",Results!$E$4="Cells")),((CA31*CA$51)/(CA$53)),IF(AND(Results!$E$5="Weight",$C$52&gt;0, Results!$E$4="Tissue",OR($B$52="g",$B$52="mg")),((CA31*CA$51)/(CA$52)),IF(AND(Results!$E$5="Volume",$C$54&gt;0,Results!$E$4="Fluid"),((CA31*CA$51)/(CA$54)),IF(AND(Results!$E$4="Cells",Results!$E$5="Million",$B$52="million"),((CA31*CA$51)/(CA$52)),"0")))))</f>
        <v>0</v>
      </c>
      <c r="CB84" s="20" t="str">
        <f>IF(CB31=0,"0",IF(AND(Results!$E$5="Protein",$C$53&gt;0,OR(Results!$E$4="Tissue",Results!$E$4="Cells")),((CB31*CB$51)/(CB$53)),IF(AND(Results!$E$5="Weight",$C$52&gt;0, Results!$E$4="Tissue",OR($B$52="g",$B$52="mg")),((CB31*CB$51)/(CB$52)),IF(AND(Results!$E$5="Volume",$C$54&gt;0,Results!$E$4="Fluid"),((CB31*CB$51)/(CB$54)),IF(AND(Results!$E$4="Cells",Results!$E$5="Million",$B$52="million"),((CB31*CB$51)/(CB$52)),"0")))))</f>
        <v>0</v>
      </c>
      <c r="CC84" s="20" t="str">
        <f>IF(CC31=0,"0",IF(AND(Results!$E$5="Protein",$C$53&gt;0,OR(Results!$E$4="Tissue",Results!$E$4="Cells")),((CC31*CC$51)/(CC$53)),IF(AND(Results!$E$5="Weight",$C$52&gt;0, Results!$E$4="Tissue",OR($B$52="g",$B$52="mg")),((CC31*CC$51)/(CC$52)),IF(AND(Results!$E$5="Volume",$C$54&gt;0,Results!$E$4="Fluid"),((CC31*CC$51)/(CC$54)),IF(AND(Results!$E$4="Cells",Results!$E$5="Million",$B$52="million"),((CC31*CC$51)/(CC$52)),"0")))))</f>
        <v>0</v>
      </c>
      <c r="CD84" s="20" t="str">
        <f>IF(CD31=0,"0",IF(AND(Results!$E$5="Protein",$C$53&gt;0,OR(Results!$E$4="Tissue",Results!$E$4="Cells")),((CD31*CD$51)/(CD$53)),IF(AND(Results!$E$5="Weight",$C$52&gt;0, Results!$E$4="Tissue",OR($B$52="g",$B$52="mg")),((CD31*CD$51)/(CD$52)),IF(AND(Results!$E$5="Volume",$C$54&gt;0,Results!$E$4="Fluid"),((CD31*CD$51)/(CD$54)),IF(AND(Results!$E$4="Cells",Results!$E$5="Million",$B$52="million"),((CD31*CD$51)/(CD$52)),"0")))))</f>
        <v>0</v>
      </c>
      <c r="CE84" s="20" t="str">
        <f>IF(CE31=0,"0",IF(AND(Results!$E$5="Protein",$C$53&gt;0,OR(Results!$E$4="Tissue",Results!$E$4="Cells")),((CE31*CE$51)/(CE$53)),IF(AND(Results!$E$5="Weight",$C$52&gt;0, Results!$E$4="Tissue",OR($B$52="g",$B$52="mg")),((CE31*CE$51)/(CE$52)),IF(AND(Results!$E$5="Volume",$C$54&gt;0,Results!$E$4="Fluid"),((CE31*CE$51)/(CE$54)),IF(AND(Results!$E$4="Cells",Results!$E$5="Million",$B$52="million"),((CE31*CE$51)/(CE$52)),"0")))))</f>
        <v>0</v>
      </c>
      <c r="CF84" s="20" t="str">
        <f>IF(CF31=0,"0",IF(AND(Results!$E$5="Protein",$C$53&gt;0,OR(Results!$E$4="Tissue",Results!$E$4="Cells")),((CF31*CF$51)/(CF$53)),IF(AND(Results!$E$5="Weight",$C$52&gt;0, Results!$E$4="Tissue",OR($B$52="g",$B$52="mg")),((CF31*CF$51)/(CF$52)),IF(AND(Results!$E$5="Volume",$C$54&gt;0,Results!$E$4="Fluid"),((CF31*CF$51)/(CF$54)),IF(AND(Results!$E$4="Cells",Results!$E$5="Million",$B$52="million"),((CF31*CF$51)/(CF$52)),"0")))))</f>
        <v>0</v>
      </c>
      <c r="CG84" s="20" t="str">
        <f>IF(CG31=0,"0",IF(AND(Results!$E$5="Protein",$C$53&gt;0,OR(Results!$E$4="Tissue",Results!$E$4="Cells")),((CG31*CG$51)/(CG$53)),IF(AND(Results!$E$5="Weight",$C$52&gt;0, Results!$E$4="Tissue",OR($B$52="g",$B$52="mg")),((CG31*CG$51)/(CG$52)),IF(AND(Results!$E$5="Volume",$C$54&gt;0,Results!$E$4="Fluid"),((CG31*CG$51)/(CG$54)),IF(AND(Results!$E$4="Cells",Results!$E$5="Million",$B$52="million"),((CG31*CG$51)/(CG$52)),"0")))))</f>
        <v>0</v>
      </c>
      <c r="CH84" s="20" t="str">
        <f>IF(CH31=0,"0",IF(AND(Results!$E$5="Protein",$C$53&gt;0,OR(Results!$E$4="Tissue",Results!$E$4="Cells")),((CH31*CH$51)/(CH$53)),IF(AND(Results!$E$5="Weight",$C$52&gt;0, Results!$E$4="Tissue",OR($B$52="g",$B$52="mg")),((CH31*CH$51)/(CH$52)),IF(AND(Results!$E$5="Volume",$C$54&gt;0,Results!$E$4="Fluid"),((CH31*CH$51)/(CH$54)),IF(AND(Results!$E$4="Cells",Results!$E$5="Million",$B$52="million"),((CH31*CH$51)/(CH$52)),"0")))))</f>
        <v>0</v>
      </c>
      <c r="CI84" s="20" t="str">
        <f>IF(CI31=0,"0",IF(AND(Results!$E$5="Protein",$C$53&gt;0,OR(Results!$E$4="Tissue",Results!$E$4="Cells")),((CI31*CI$51)/(CI$53)),IF(AND(Results!$E$5="Weight",$C$52&gt;0, Results!$E$4="Tissue",OR($B$52="g",$B$52="mg")),((CI31*CI$51)/(CI$52)),IF(AND(Results!$E$5="Volume",$C$54&gt;0,Results!$E$4="Fluid"),((CI31*CI$51)/(CI$54)),IF(AND(Results!$E$4="Cells",Results!$E$5="Million",$B$52="million"),((CI31*CI$51)/(CI$52)),"0")))))</f>
        <v>0</v>
      </c>
      <c r="CJ84" s="20" t="str">
        <f>IF(CJ31=0,"0",IF(AND(Results!$E$5="Protein",$C$53&gt;0,OR(Results!$E$4="Tissue",Results!$E$4="Cells")),((CJ31*CJ$51)/(CJ$53)),IF(AND(Results!$E$5="Weight",$C$52&gt;0, Results!$E$4="Tissue",OR($B$52="g",$B$52="mg")),((CJ31*CJ$51)/(CJ$52)),IF(AND(Results!$E$5="Volume",$C$54&gt;0,Results!$E$4="Fluid"),((CJ31*CJ$51)/(CJ$54)),IF(AND(Results!$E$4="Cells",Results!$E$5="Million",$B$52="million"),((CJ31*CJ$51)/(CJ$52)),"0")))))</f>
        <v>0</v>
      </c>
      <c r="CK84" s="20" t="str">
        <f>IF(CK31=0,"0",IF(AND(Results!$E$5="Protein",$C$53&gt;0,OR(Results!$E$4="Tissue",Results!$E$4="Cells")),((CK31*CK$51)/(CK$53)),IF(AND(Results!$E$5="Weight",$C$52&gt;0, Results!$E$4="Tissue",OR($B$52="g",$B$52="mg")),((CK31*CK$51)/(CK$52)),IF(AND(Results!$E$5="Volume",$C$54&gt;0,Results!$E$4="Fluid"),((CK31*CK$51)/(CK$54)),IF(AND(Results!$E$4="Cells",Results!$E$5="Million",$B$52="million"),((CK31*CK$51)/(CK$52)),"0")))))</f>
        <v>0</v>
      </c>
      <c r="CL84" s="20" t="str">
        <f>IF(CL31=0,"0",IF(AND(Results!$E$5="Protein",$C$53&gt;0,OR(Results!$E$4="Tissue",Results!$E$4="Cells")),((CL31*CL$51)/(CL$53)),IF(AND(Results!$E$5="Weight",$C$52&gt;0, Results!$E$4="Tissue",OR($B$52="g",$B$52="mg")),((CL31*CL$51)/(CL$52)),IF(AND(Results!$E$5="Volume",$C$54&gt;0,Results!$E$4="Fluid"),((CL31*CL$51)/(CL$54)),IF(AND(Results!$E$4="Cells",Results!$E$5="Million",$B$52="million"),((CL31*CL$51)/(CL$52)),"0")))))</f>
        <v>0</v>
      </c>
      <c r="CM84" s="20" t="str">
        <f>IF(CM31=0,"0",IF(AND(Results!$E$5="Protein",$C$53&gt;0,OR(Results!$E$4="Tissue",Results!$E$4="Cells")),((CM31*CM$51)/(CM$53)),IF(AND(Results!$E$5="Weight",$C$52&gt;0, Results!$E$4="Tissue",OR($B$52="g",$B$52="mg")),((CM31*CM$51)/(CM$52)),IF(AND(Results!$E$5="Volume",$C$54&gt;0,Results!$E$4="Fluid"),((CM31*CM$51)/(CM$54)),IF(AND(Results!$E$4="Cells",Results!$E$5="Million",$B$52="million"),((CM31*CM$51)/(CM$52)),"0")))))</f>
        <v>0</v>
      </c>
      <c r="CN84" s="20" t="str">
        <f>IF(CN31=0,"0",IF(AND(Results!$E$5="Protein",$C$53&gt;0,OR(Results!$E$4="Tissue",Results!$E$4="Cells")),((CN31*CN$51)/(CN$53)),IF(AND(Results!$E$5="Weight",$C$52&gt;0, Results!$E$4="Tissue",OR($B$52="g",$B$52="mg")),((CN31*CN$51)/(CN$52)),IF(AND(Results!$E$5="Volume",$C$54&gt;0,Results!$E$4="Fluid"),((CN31*CN$51)/(CN$54)),IF(AND(Results!$E$4="Cells",Results!$E$5="Million",$B$52="million"),((CN31*CN$51)/(CN$52)),"0")))))</f>
        <v>0</v>
      </c>
      <c r="CO84" s="20" t="str">
        <f>IF(CO31=0,"0",IF(AND(Results!$E$5="Protein",$C$53&gt;0,OR(Results!$E$4="Tissue",Results!$E$4="Cells")),((CO31*CO$51)/(CO$53)),IF(AND(Results!$E$5="Weight",$C$52&gt;0, Results!$E$4="Tissue",OR($B$52="g",$B$52="mg")),((CO31*CO$51)/(CO$52)),IF(AND(Results!$E$5="Volume",$C$54&gt;0,Results!$E$4="Fluid"),((CO31*CO$51)/(CO$54)),IF(AND(Results!$E$4="Cells",Results!$E$5="Million",$B$52="million"),((CO31*CO$51)/(CO$52)),"0")))))</f>
        <v>0</v>
      </c>
      <c r="CP84" s="20" t="str">
        <f>IF(CP31=0,"0",IF(AND(Results!$E$5="Protein",$C$53&gt;0,OR(Results!$E$4="Tissue",Results!$E$4="Cells")),((CP31*CP$51)/(CP$53)),IF(AND(Results!$E$5="Weight",$C$52&gt;0, Results!$E$4="Tissue",OR($B$52="g",$B$52="mg")),((CP31*CP$51)/(CP$52)),IF(AND(Results!$E$5="Volume",$C$54&gt;0,Results!$E$4="Fluid"),((CP31*CP$51)/(CP$54)),IF(AND(Results!$E$4="Cells",Results!$E$5="Million",$B$52="million"),((CP31*CP$51)/(CP$52)),"0")))))</f>
        <v>0</v>
      </c>
      <c r="CQ84" s="20" t="str">
        <f>IF(CQ31=0,"0",IF(AND(Results!$E$5="Protein",$C$53&gt;0,OR(Results!$E$4="Tissue",Results!$E$4="Cells")),((CQ31*CQ$51)/(CQ$53)),IF(AND(Results!$E$5="Weight",$C$52&gt;0, Results!$E$4="Tissue",OR($B$52="g",$B$52="mg")),((CQ31*CQ$51)/(CQ$52)),IF(AND(Results!$E$5="Volume",$C$54&gt;0,Results!$E$4="Fluid"),((CQ31*CQ$51)/(CQ$54)),IF(AND(Results!$E$4="Cells",Results!$E$5="Million",$B$52="million"),((CQ31*CQ$51)/(CQ$52)),"0")))))</f>
        <v>0</v>
      </c>
      <c r="CR84" s="20" t="str">
        <f>IF(CR31=0,"0",IF(AND(Results!$E$5="Protein",$C$53&gt;0,OR(Results!$E$4="Tissue",Results!$E$4="Cells")),((CR31*CR$51)/(CR$53)),IF(AND(Results!$E$5="Weight",$C$52&gt;0, Results!$E$4="Tissue",OR($B$52="g",$B$52="mg")),((CR31*CR$51)/(CR$52)),IF(AND(Results!$E$5="Volume",$C$54&gt;0,Results!$E$4="Fluid"),((CR31*CR$51)/(CR$54)),IF(AND(Results!$E$4="Cells",Results!$E$5="Million",$B$52="million"),((CR31*CR$51)/(CR$52)),"0")))))</f>
        <v>0</v>
      </c>
      <c r="CS84" s="20" t="str">
        <f>IF(CS31=0,"0",IF(AND(Results!$E$5="Protein",$C$53&gt;0,OR(Results!$E$4="Tissue",Results!$E$4="Cells")),((CS31*CS$51)/(CS$53)),IF(AND(Results!$E$5="Weight",$C$52&gt;0, Results!$E$4="Tissue",OR($B$52="g",$B$52="mg")),((CS31*CS$51)/(CS$52)),IF(AND(Results!$E$5="Volume",$C$54&gt;0,Results!$E$4="Fluid"),((CS31*CS$51)/(CS$54)),IF(AND(Results!$E$4="Cells",Results!$E$5="Million",$B$52="million"),((CS31*CS$51)/(CS$52)),"0")))))</f>
        <v>0</v>
      </c>
      <c r="CT84" s="20" t="str">
        <f>IF(CT31=0,"0",IF(AND(Results!$E$5="Protein",$C$53&gt;0,OR(Results!$E$4="Tissue",Results!$E$4="Cells")),((CT31*CT$51)/(CT$53)),IF(AND(Results!$E$5="Weight",$C$52&gt;0, Results!$E$4="Tissue",OR($B$52="g",$B$52="mg")),((CT31*CT$51)/(CT$52)),IF(AND(Results!$E$5="Volume",$C$54&gt;0,Results!$E$4="Fluid"),((CT31*CT$51)/(CT$54)),IF(AND(Results!$E$4="Cells",Results!$E$5="Million",$B$52="million"),((CT31*CT$51)/(CT$52)),"0")))))</f>
        <v>0</v>
      </c>
      <c r="CU84" s="20" t="str">
        <f>IF(CU31=0,"0",IF(AND(Results!$E$5="Protein",$C$53&gt;0,OR(Results!$E$4="Tissue",Results!$E$4="Cells")),((CU31*CU$51)/(CU$53)),IF(AND(Results!$E$5="Weight",$C$52&gt;0, Results!$E$4="Tissue",OR($B$52="g",$B$52="mg")),((CU31*CU$51)/(CU$52)),IF(AND(Results!$E$5="Volume",$C$54&gt;0,Results!$E$4="Fluid"),((CU31*CU$51)/(CU$54)),IF(AND(Results!$E$4="Cells",Results!$E$5="Million",$B$52="million"),((CU31*CU$51)/(CU$52)),"0")))))</f>
        <v>0</v>
      </c>
      <c r="CV84" s="20" t="str">
        <f>IF(CV31=0,"0",IF(AND(Results!$E$5="Protein",$C$53&gt;0,OR(Results!$E$4="Tissue",Results!$E$4="Cells")),((CV31*CV$51)/(CV$53)),IF(AND(Results!$E$5="Weight",$C$52&gt;0, Results!$E$4="Tissue",OR($B$52="g",$B$52="mg")),((CV31*CV$51)/(CV$52)),IF(AND(Results!$E$5="Volume",$C$54&gt;0,Results!$E$4="Fluid"),((CV31*CV$51)/(CV$54)),IF(AND(Results!$E$4="Cells",Results!$E$5="Million",$B$52="million"),((CV31*CV$51)/(CV$52)),"0")))))</f>
        <v>0</v>
      </c>
      <c r="CW84" s="20" t="str">
        <f>IF(CW31=0,"0",IF(AND(Results!$E$5="Protein",$C$53&gt;0,OR(Results!$E$4="Tissue",Results!$E$4="Cells")),((CW31*CW$51)/(CW$53)),IF(AND(Results!$E$5="Weight",$C$52&gt;0, Results!$E$4="Tissue",OR($B$52="g",$B$52="mg")),((CW31*CW$51)/(CW$52)),IF(AND(Results!$E$5="Volume",$C$54&gt;0,Results!$E$4="Fluid"),((CW31*CW$51)/(CW$54)),IF(AND(Results!$E$4="Cells",Results!$E$5="Million",$B$52="million"),((CW31*CW$51)/(CW$52)),"0")))))</f>
        <v>0</v>
      </c>
      <c r="CX84" s="20" t="str">
        <f>IF(CX31=0,"0",IF(AND(Results!$E$5="Protein",$C$53&gt;0,OR(Results!$E$4="Tissue",Results!$E$4="Cells")),((CX31*CX$51)/(CX$53)),IF(AND(Results!$E$5="Weight",$C$52&gt;0, Results!$E$4="Tissue",OR($B$52="g",$B$52="mg")),((CX31*CX$51)/(CX$52)),IF(AND(Results!$E$5="Volume",$C$54&gt;0,Results!$E$4="Fluid"),((CX31*CX$51)/(CX$54)),IF(AND(Results!$E$4="Cells",Results!$E$5="Million",$B$52="million"),((CX31*CX$51)/(CX$52)),"0")))))</f>
        <v>0</v>
      </c>
      <c r="CY84" s="20" t="str">
        <f>IF(CY31=0,"0",IF(AND(Results!$E$5="Protein",$C$53&gt;0,OR(Results!$E$4="Tissue",Results!$E$4="Cells")),((CY31*CY$51)/(CY$53)),IF(AND(Results!$E$5="Weight",$C$52&gt;0, Results!$E$4="Tissue",OR($B$52="g",$B$52="mg")),((CY31*CY$51)/(CY$52)),IF(AND(Results!$E$5="Volume",$C$54&gt;0,Results!$E$4="Fluid"),((CY31*CY$51)/(CY$54)),IF(AND(Results!$E$4="Cells",Results!$E$5="Million",$B$52="million"),((CY31*CY$51)/(CY$52)),"0")))))</f>
        <v>0</v>
      </c>
      <c r="CZ84" s="20" t="str">
        <f>IF(CZ31=0,"0",IF(AND(Results!$E$5="Protein",$C$53&gt;0,OR(Results!$E$4="Tissue",Results!$E$4="Cells")),((CZ31*CZ$51)/(CZ$53)),IF(AND(Results!$E$5="Weight",$C$52&gt;0, Results!$E$4="Tissue",OR($B$52="g",$B$52="mg")),((CZ31*CZ$51)/(CZ$52)),IF(AND(Results!$E$5="Volume",$C$54&gt;0,Results!$E$4="Fluid"),((CZ31*CZ$51)/(CZ$54)),IF(AND(Results!$E$4="Cells",Results!$E$5="Million",$B$52="million"),((CZ31*CZ$51)/(CZ$52)),"0")))))</f>
        <v>0</v>
      </c>
      <c r="DA84" s="20" t="str">
        <f>IF(DA31=0,"0",IF(AND(Results!$E$5="Protein",$C$53&gt;0,OR(Results!$E$4="Tissue",Results!$E$4="Cells")),((DA31*DA$51)/(DA$53)),IF(AND(Results!$E$5="Weight",$C$52&gt;0, Results!$E$4="Tissue",OR($B$52="g",$B$52="mg")),((DA31*DA$51)/(DA$52)),IF(AND(Results!$E$5="Volume",$C$54&gt;0,Results!$E$4="Fluid"),((DA31*DA$51)/(DA$54)),IF(AND(Results!$E$4="Cells",Results!$E$5="Million",$B$52="million"),((DA31*DA$51)/(DA$52)),"0")))))</f>
        <v>0</v>
      </c>
      <c r="DB84" s="20" t="str">
        <f>IF(DB31=0,"0",IF(AND(Results!$E$5="Protein",$C$53&gt;0,OR(Results!$E$4="Tissue",Results!$E$4="Cells")),((DB31*DB$51)/(DB$53)),IF(AND(Results!$E$5="Weight",$C$52&gt;0, Results!$E$4="Tissue",OR($B$52="g",$B$52="mg")),((DB31*DB$51)/(DB$52)),IF(AND(Results!$E$5="Volume",$C$54&gt;0,Results!$E$4="Fluid"),((DB31*DB$51)/(DB$54)),IF(AND(Results!$E$4="Cells",Results!$E$5="Million",$B$52="million"),((DB31*DB$51)/(DB$52)),"0")))))</f>
        <v>0</v>
      </c>
      <c r="DC84" s="20" t="str">
        <f>IF(DC31=0,"0",IF(AND(Results!$E$5="Protein",$C$53&gt;0,OR(Results!$E$4="Tissue",Results!$E$4="Cells")),((DC31*DC$51)/(DC$53)),IF(AND(Results!$E$5="Weight",$C$52&gt;0, Results!$E$4="Tissue",OR($B$52="g",$B$52="mg")),((DC31*DC$51)/(DC$52)),IF(AND(Results!$E$5="Volume",$C$54&gt;0,Results!$E$4="Fluid"),((DC31*DC$51)/(DC$54)),IF(AND(Results!$E$4="Cells",Results!$E$5="Million",$B$52="million"),((DC31*DC$51)/(DC$52)),"0")))))</f>
        <v>0</v>
      </c>
      <c r="DD84" s="20" t="str">
        <f>IF(DD31=0,"0",IF(AND(Results!$E$5="Protein",$C$53&gt;0,OR(Results!$E$4="Tissue",Results!$E$4="Cells")),((DD31*DD$51)/(DD$53)),IF(AND(Results!$E$5="Weight",$C$52&gt;0, Results!$E$4="Tissue",OR($B$52="g",$B$52="mg")),((DD31*DD$51)/(DD$52)),IF(AND(Results!$E$5="Volume",$C$54&gt;0,Results!$E$4="Fluid"),((DD31*DD$51)/(DD$54)),IF(AND(Results!$E$4="Cells",Results!$E$5="Million",$B$52="million"),((DD31*DD$51)/(DD$52)),"0")))))</f>
        <v>0</v>
      </c>
      <c r="DE84" s="20" t="str">
        <f>IF(DE31=0,"0",IF(AND(Results!$E$5="Protein",$C$53&gt;0,OR(Results!$E$4="Tissue",Results!$E$4="Cells")),((DE31*DE$51)/(DE$53)),IF(AND(Results!$E$5="Weight",$C$52&gt;0, Results!$E$4="Tissue",OR($B$52="g",$B$52="mg")),((DE31*DE$51)/(DE$52)),IF(AND(Results!$E$5="Volume",$C$54&gt;0,Results!$E$4="Fluid"),((DE31*DE$51)/(DE$54)),IF(AND(Results!$E$4="Cells",Results!$E$5="Million",$B$52="million"),((DE31*DE$51)/(DE$52)),"0")))))</f>
        <v>0</v>
      </c>
      <c r="DF84" s="20" t="str">
        <f>IF(DF31=0,"0",IF(AND(Results!$E$5="Protein",$C$53&gt;0,OR(Results!$E$4="Tissue",Results!$E$4="Cells")),((DF31*DF$51)/(DF$53)),IF(AND(Results!$E$5="Weight",$C$52&gt;0, Results!$E$4="Tissue",OR($B$52="g",$B$52="mg")),((DF31*DF$51)/(DF$52)),IF(AND(Results!$E$5="Volume",$C$54&gt;0,Results!$E$4="Fluid"),((DF31*DF$51)/(DF$54)),IF(AND(Results!$E$4="Cells",Results!$E$5="Million",$B$52="million"),((DF31*DF$51)/(DF$52)),"0")))))</f>
        <v>0</v>
      </c>
      <c r="DG84" s="20" t="str">
        <f>IF(DG31=0,"0",IF(AND(Results!$E$5="Protein",$C$53&gt;0,OR(Results!$E$4="Tissue",Results!$E$4="Cells")),((DG31*DG$51)/(DG$53)),IF(AND(Results!$E$5="Weight",$C$52&gt;0, Results!$E$4="Tissue",OR($B$52="g",$B$52="mg")),((DG31*DG$51)/(DG$52)),IF(AND(Results!$E$5="Volume",$C$54&gt;0,Results!$E$4="Fluid"),((DG31*DG$51)/(DG$54)),IF(AND(Results!$E$4="Cells",Results!$E$5="Million",$B$52="million"),((DG31*DG$51)/(DG$52)),"0")))))</f>
        <v>0</v>
      </c>
      <c r="DH84" s="20" t="str">
        <f>IF(DH31=0,"0",IF(AND(Results!$E$5="Protein",$C$53&gt;0,OR(Results!$E$4="Tissue",Results!$E$4="Cells")),((DH31*DH$51)/(DH$53)),IF(AND(Results!$E$5="Weight",$C$52&gt;0, Results!$E$4="Tissue",OR($B$52="g",$B$52="mg")),((DH31*DH$51)/(DH$52)),IF(AND(Results!$E$5="Volume",$C$54&gt;0,Results!$E$4="Fluid"),((DH31*DH$51)/(DH$54)),IF(AND(Results!$E$4="Cells",Results!$E$5="Million",$B$52="million"),((DH31*DH$51)/(DH$52)),"0")))))</f>
        <v>0</v>
      </c>
      <c r="DI84" s="20" t="str">
        <f>IF(DI31=0,"0",IF(AND(Results!$E$5="Protein",$C$53&gt;0,OR(Results!$E$4="Tissue",Results!$E$4="Cells")),((DI31*DI$51)/(DI$53)),IF(AND(Results!$E$5="Weight",$C$52&gt;0, Results!$E$4="Tissue",OR($B$52="g",$B$52="mg")),((DI31*DI$51)/(DI$52)),IF(AND(Results!$E$5="Volume",$C$54&gt;0,Results!$E$4="Fluid"),((DI31*DI$51)/(DI$54)),IF(AND(Results!$E$4="Cells",Results!$E$5="Million",$B$52="million"),((DI31*DI$51)/(DI$52)),"0")))))</f>
        <v>0</v>
      </c>
      <c r="DJ84" s="20" t="str">
        <f>IF(DJ31=0,"0",IF(AND(Results!$E$5="Protein",$C$53&gt;0,OR(Results!$E$4="Tissue",Results!$E$4="Cells")),((DJ31*DJ$51)/(DJ$53)),IF(AND(Results!$E$5="Weight",$C$52&gt;0, Results!$E$4="Tissue",OR($B$52="g",$B$52="mg")),((DJ31*DJ$51)/(DJ$52)),IF(AND(Results!$E$5="Volume",$C$54&gt;0,Results!$E$4="Fluid"),((DJ31*DJ$51)/(DJ$54)),IF(AND(Results!$E$4="Cells",Results!$E$5="Million",$B$52="million"),((DJ31*DJ$51)/(DJ$52)),"0")))))</f>
        <v>0</v>
      </c>
      <c r="DK84" s="20" t="str">
        <f>IF(DK31=0,"0",IF(AND(Results!$E$5="Protein",$C$53&gt;0,OR(Results!$E$4="Tissue",Results!$E$4="Cells")),((DK31*DK$51)/(DK$53)),IF(AND(Results!$E$5="Weight",$C$52&gt;0, Results!$E$4="Tissue",OR($B$52="g",$B$52="mg")),((DK31*DK$51)/(DK$52)),IF(AND(Results!$E$5="Volume",$C$54&gt;0,Results!$E$4="Fluid"),((DK31*DK$51)/(DK$54)),IF(AND(Results!$E$4="Cells",Results!$E$5="Million",$B$52="million"),((DK31*DK$51)/(DK$52)),"0")))))</f>
        <v>0</v>
      </c>
      <c r="DL84" s="20" t="str">
        <f>IF(DL31=0,"0",IF(AND(Results!$E$5="Protein",$C$53&gt;0,OR(Results!$E$4="Tissue",Results!$E$4="Cells")),((DL31*DL$51)/(DL$53)),IF(AND(Results!$E$5="Weight",$C$52&gt;0, Results!$E$4="Tissue",OR($B$52="g",$B$52="mg")),((DL31*DL$51)/(DL$52)),IF(AND(Results!$E$5="Volume",$C$54&gt;0,Results!$E$4="Fluid"),((DL31*DL$51)/(DL$54)),IF(AND(Results!$E$4="Cells",Results!$E$5="Million",$B$52="million"),((DL31*DL$51)/(DL$52)),"0")))))</f>
        <v>0</v>
      </c>
      <c r="DM84" s="20" t="str">
        <f>IF(DM31=0,"0",IF(AND(Results!$E$5="Protein",$C$53&gt;0,OR(Results!$E$4="Tissue",Results!$E$4="Cells")),((DM31*DM$51)/(DM$53)),IF(AND(Results!$E$5="Weight",$C$52&gt;0, Results!$E$4="Tissue",OR($B$52="g",$B$52="mg")),((DM31*DM$51)/(DM$52)),IF(AND(Results!$E$5="Volume",$C$54&gt;0,Results!$E$4="Fluid"),((DM31*DM$51)/(DM$54)),IF(AND(Results!$E$4="Cells",Results!$E$5="Million",$B$52="million"),((DM31*DM$51)/(DM$52)),"0")))))</f>
        <v>0</v>
      </c>
      <c r="DN84" s="20" t="str">
        <f>IF(DN31=0,"0",IF(AND(Results!$E$5="Protein",$C$53&gt;0,OR(Results!$E$4="Tissue",Results!$E$4="Cells")),((DN31*DN$51)/(DN$53)),IF(AND(Results!$E$5="Weight",$C$52&gt;0, Results!$E$4="Tissue",OR($B$52="g",$B$52="mg")),((DN31*DN$51)/(DN$52)),IF(AND(Results!$E$5="Volume",$C$54&gt;0,Results!$E$4="Fluid"),((DN31*DN$51)/(DN$54)),IF(AND(Results!$E$4="Cells",Results!$E$5="Million",$B$52="million"),((DN31*DN$51)/(DN$52)),"0")))))</f>
        <v>0</v>
      </c>
      <c r="DO84" s="20" t="str">
        <f>IF(DO31=0,"0",IF(AND(Results!$E$5="Protein",$C$53&gt;0,OR(Results!$E$4="Tissue",Results!$E$4="Cells")),((DO31*DO$51)/(DO$53)),IF(AND(Results!$E$5="Weight",$C$52&gt;0, Results!$E$4="Tissue",OR($B$52="g",$B$52="mg")),((DO31*DO$51)/(DO$52)),IF(AND(Results!$E$5="Volume",$C$54&gt;0,Results!$E$4="Fluid"),((DO31*DO$51)/(DO$54)),IF(AND(Results!$E$4="Cells",Results!$E$5="Million",$B$52="million"),((DO31*DO$51)/(DO$52)),"0")))))</f>
        <v>0</v>
      </c>
      <c r="DP84" s="20" t="str">
        <f>IF(DP31=0,"0",IF(AND(Results!$E$5="Protein",$C$53&gt;0,OR(Results!$E$4="Tissue",Results!$E$4="Cells")),((DP31*DP$51)/(DP$53)),IF(AND(Results!$E$5="Weight",$C$52&gt;0, Results!$E$4="Tissue",OR($B$52="g",$B$52="mg")),((DP31*DP$51)/(DP$52)),IF(AND(Results!$E$5="Volume",$C$54&gt;0,Results!$E$4="Fluid"),((DP31*DP$51)/(DP$54)),IF(AND(Results!$E$4="Cells",Results!$E$5="Million",$B$52="million"),((DP31*DP$51)/(DP$52)),"0")))))</f>
        <v>0</v>
      </c>
      <c r="DQ84" s="20" t="str">
        <f>IF(DQ31=0,"0",IF(AND(Results!$E$5="Protein",$C$53&gt;0,OR(Results!$E$4="Tissue",Results!$E$4="Cells")),((DQ31*DQ$51)/(DQ$53)),IF(AND(Results!$E$5="Weight",$C$52&gt;0, Results!$E$4="Tissue",OR($B$52="g",$B$52="mg")),((DQ31*DQ$51)/(DQ$52)),IF(AND(Results!$E$5="Volume",$C$54&gt;0,Results!$E$4="Fluid"),((DQ31*DQ$51)/(DQ$54)),IF(AND(Results!$E$4="Cells",Results!$E$5="Million",$B$52="million"),((DQ31*DQ$51)/(DQ$52)),"0")))))</f>
        <v>0</v>
      </c>
      <c r="DR84" s="20" t="str">
        <f>IF(DR31=0,"0",IF(AND(Results!$E$5="Protein",$C$53&gt;0,OR(Results!$E$4="Tissue",Results!$E$4="Cells")),((DR31*DR$51)/(DR$53)),IF(AND(Results!$E$5="Weight",$C$52&gt;0, Results!$E$4="Tissue",OR($B$52="g",$B$52="mg")),((DR31*DR$51)/(DR$52)),IF(AND(Results!$E$5="Volume",$C$54&gt;0,Results!$E$4="Fluid"),((DR31*DR$51)/(DR$54)),IF(AND(Results!$E$4="Cells",Results!$E$5="Million",$B$52="million"),((DR31*DR$51)/(DR$52)),"0")))))</f>
        <v>0</v>
      </c>
      <c r="DS84" s="20" t="str">
        <f>IF(DS31=0,"0",IF(AND(Results!$E$5="Protein",$C$53&gt;0,OR(Results!$E$4="Tissue",Results!$E$4="Cells")),((DS31*DS$51)/(DS$53)),IF(AND(Results!$E$5="Weight",$C$52&gt;0, Results!$E$4="Tissue",OR($B$52="g",$B$52="mg")),((DS31*DS$51)/(DS$52)),IF(AND(Results!$E$5="Volume",$C$54&gt;0,Results!$E$4="Fluid"),((DS31*DS$51)/(DS$54)),IF(AND(Results!$E$4="Cells",Results!$E$5="Million",$B$52="million"),((DS31*DS$51)/(DS$52)),"0")))))</f>
        <v>0</v>
      </c>
      <c r="DT84" s="20" t="str">
        <f>IF(DT31=0,"0",IF(AND(Results!$E$5="Protein",$C$53&gt;0,OR(Results!$E$4="Tissue",Results!$E$4="Cells")),((DT31*DT$51)/(DT$53)),IF(AND(Results!$E$5="Weight",$C$52&gt;0, Results!$E$4="Tissue",OR($B$52="g",$B$52="mg")),((DT31*DT$51)/(DT$52)),IF(AND(Results!$E$5="Volume",$C$54&gt;0,Results!$E$4="Fluid"),((DT31*DT$51)/(DT$54)),IF(AND(Results!$E$4="Cells",Results!$E$5="Million",$B$52="million"),((DT31*DT$51)/(DT$52)),"0")))))</f>
        <v>0</v>
      </c>
      <c r="DU84" s="20" t="str">
        <f>IF(DU31=0,"0",IF(AND(Results!$E$5="Protein",$C$53&gt;0,OR(Results!$E$4="Tissue",Results!$E$4="Cells")),((DU31*DU$51)/(DU$53)),IF(AND(Results!$E$5="Weight",$C$52&gt;0, Results!$E$4="Tissue",OR($B$52="g",$B$52="mg")),((DU31*DU$51)/(DU$52)),IF(AND(Results!$E$5="Volume",$C$54&gt;0,Results!$E$4="Fluid"),((DU31*DU$51)/(DU$54)),IF(AND(Results!$E$4="Cells",Results!$E$5="Million",$B$52="million"),((DU31*DU$51)/(DU$52)),"0")))))</f>
        <v>0</v>
      </c>
      <c r="DV84" s="20" t="str">
        <f>IF(DV31=0,"0",IF(AND(Results!$E$5="Protein",$C$53&gt;0,OR(Results!$E$4="Tissue",Results!$E$4="Cells")),((DV31*DV$51)/(DV$53)),IF(AND(Results!$E$5="Weight",$C$52&gt;0, Results!$E$4="Tissue",OR($B$52="g",$B$52="mg")),((DV31*DV$51)/(DV$52)),IF(AND(Results!$E$5="Volume",$C$54&gt;0,Results!$E$4="Fluid"),((DV31*DV$51)/(DV$54)),IF(AND(Results!$E$4="Cells",Results!$E$5="Million",$B$52="million"),((DV31*DV$51)/(DV$52)),"0")))))</f>
        <v>0</v>
      </c>
      <c r="DW84" s="20" t="str">
        <f>IF(DW31=0,"0",IF(AND(Results!$E$5="Protein",$C$53&gt;0,OR(Results!$E$4="Tissue",Results!$E$4="Cells")),((DW31*DW$51)/(DW$53)),IF(AND(Results!$E$5="Weight",$C$52&gt;0, Results!$E$4="Tissue",OR($B$52="g",$B$52="mg")),((DW31*DW$51)/(DW$52)),IF(AND(Results!$E$5="Volume",$C$54&gt;0,Results!$E$4="Fluid"),((DW31*DW$51)/(DW$54)),IF(AND(Results!$E$4="Cells",Results!$E$5="Million",$B$52="million"),((DW31*DW$51)/(DW$52)),"0")))))</f>
        <v>0</v>
      </c>
      <c r="DX84" s="20" t="str">
        <f>IF(DX31=0,"0",IF(AND(Results!$E$5="Protein",$C$53&gt;0,OR(Results!$E$4="Tissue",Results!$E$4="Cells")),((DX31*DX$51)/(DX$53)),IF(AND(Results!$E$5="Weight",$C$52&gt;0, Results!$E$4="Tissue",OR($B$52="g",$B$52="mg")),((DX31*DX$51)/(DX$52)),IF(AND(Results!$E$5="Volume",$C$54&gt;0,Results!$E$4="Fluid"),((DX31*DX$51)/(DX$54)),IF(AND(Results!$E$4="Cells",Results!$E$5="Million",$B$52="million"),((DX31*DX$51)/(DX$52)),"0")))))</f>
        <v>0</v>
      </c>
      <c r="DY84" s="20" t="str">
        <f>IF(DY31=0,"0",IF(AND(Results!$E$5="Protein",$C$53&gt;0,OR(Results!$E$4="Tissue",Results!$E$4="Cells")),((DY31*DY$51)/(DY$53)),IF(AND(Results!$E$5="Weight",$C$52&gt;0, Results!$E$4="Tissue",OR($B$52="g",$B$52="mg")),((DY31*DY$51)/(DY$52)),IF(AND(Results!$E$5="Volume",$C$54&gt;0,Results!$E$4="Fluid"),((DY31*DY$51)/(DY$54)),IF(AND(Results!$E$4="Cells",Results!$E$5="Million",$B$52="million"),((DY31*DY$51)/(DY$52)),"0")))))</f>
        <v>0</v>
      </c>
      <c r="DZ84" s="20" t="str">
        <f>IF(DZ31=0,"0",IF(AND(Results!$E$5="Protein",$C$53&gt;0,OR(Results!$E$4="Tissue",Results!$E$4="Cells")),((DZ31*DZ$51)/(DZ$53)),IF(AND(Results!$E$5="Weight",$C$52&gt;0, Results!$E$4="Tissue",OR($B$52="g",$B$52="mg")),((DZ31*DZ$51)/(DZ$52)),IF(AND(Results!$E$5="Volume",$C$54&gt;0,Results!$E$4="Fluid"),((DZ31*DZ$51)/(DZ$54)),IF(AND(Results!$E$4="Cells",Results!$E$5="Million",$B$52="million"),((DZ31*DZ$51)/(DZ$52)),"0")))))</f>
        <v>0</v>
      </c>
      <c r="EA84" s="20" t="str">
        <f>IF(EA31=0,"0",IF(AND(Results!$E$5="Protein",$C$53&gt;0,OR(Results!$E$4="Tissue",Results!$E$4="Cells")),((EA31*EA$51)/(EA$53)),IF(AND(Results!$E$5="Weight",$C$52&gt;0, Results!$E$4="Tissue",OR($B$52="g",$B$52="mg")),((EA31*EA$51)/(EA$52)),IF(AND(Results!$E$5="Volume",$C$54&gt;0,Results!$E$4="Fluid"),((EA31*EA$51)/(EA$54)),IF(AND(Results!$E$4="Cells",Results!$E$5="Million",$B$52="million"),((EA31*EA$51)/(EA$52)),"0")))))</f>
        <v>0</v>
      </c>
      <c r="EB84" s="20" t="str">
        <f>IF(EB31=0,"0",IF(AND(Results!$E$5="Protein",$C$53&gt;0,OR(Results!$E$4="Tissue",Results!$E$4="Cells")),((EB31*EB$51)/(EB$53)),IF(AND(Results!$E$5="Weight",$C$52&gt;0, Results!$E$4="Tissue",OR($B$52="g",$B$52="mg")),((EB31*EB$51)/(EB$52)),IF(AND(Results!$E$5="Volume",$C$54&gt;0,Results!$E$4="Fluid"),((EB31*EB$51)/(EB$54)),IF(AND(Results!$E$4="Cells",Results!$E$5="Million",$B$52="million"),((EB31*EB$51)/(EB$52)),"0")))))</f>
        <v>0</v>
      </c>
      <c r="EC84" s="20" t="str">
        <f>IF(EC31=0,"0",IF(AND(Results!$E$5="Protein",$C$53&gt;0,OR(Results!$E$4="Tissue",Results!$E$4="Cells")),((EC31*EC$51)/(EC$53)),IF(AND(Results!$E$5="Weight",$C$52&gt;0, Results!$E$4="Tissue",OR($B$52="g",$B$52="mg")),((EC31*EC$51)/(EC$52)),IF(AND(Results!$E$5="Volume",$C$54&gt;0,Results!$E$4="Fluid"),((EC31*EC$51)/(EC$54)),IF(AND(Results!$E$4="Cells",Results!$E$5="Million",$B$52="million"),((EC31*EC$51)/(EC$52)),"0")))))</f>
        <v>0</v>
      </c>
      <c r="ED84" s="20" t="str">
        <f>IF(ED31=0,"0",IF(AND(Results!$E$5="Protein",$C$53&gt;0,OR(Results!$E$4="Tissue",Results!$E$4="Cells")),((ED31*ED$51)/(ED$53)),IF(AND(Results!$E$5="Weight",$C$52&gt;0, Results!$E$4="Tissue",OR($B$52="g",$B$52="mg")),((ED31*ED$51)/(ED$52)),IF(AND(Results!$E$5="Volume",$C$54&gt;0,Results!$E$4="Fluid"),((ED31*ED$51)/(ED$54)),IF(AND(Results!$E$4="Cells",Results!$E$5="Million",$B$52="million"),((ED31*ED$51)/(ED$52)),"0")))))</f>
        <v>0</v>
      </c>
      <c r="EE84" s="20" t="str">
        <f>IF(EE31=0,"0",IF(AND(Results!$E$5="Protein",$C$53&gt;0,OR(Results!$E$4="Tissue",Results!$E$4="Cells")),((EE31*EE$51)/(EE$53)),IF(AND(Results!$E$5="Weight",$C$52&gt;0, Results!$E$4="Tissue",OR($B$52="g",$B$52="mg")),((EE31*EE$51)/(EE$52)),IF(AND(Results!$E$5="Volume",$C$54&gt;0,Results!$E$4="Fluid"),((EE31*EE$51)/(EE$54)),IF(AND(Results!$E$4="Cells",Results!$E$5="Million",$B$52="million"),((EE31*EE$51)/(EE$52)),"0")))))</f>
        <v>0</v>
      </c>
      <c r="EF84" s="20" t="str">
        <f>IF(EF31=0,"0",IF(AND(Results!$E$5="Protein",$C$53&gt;0,OR(Results!$E$4="Tissue",Results!$E$4="Cells")),((EF31*EF$51)/(EF$53)),IF(AND(Results!$E$5="Weight",$C$52&gt;0, Results!$E$4="Tissue",OR($B$52="g",$B$52="mg")),((EF31*EF$51)/(EF$52)),IF(AND(Results!$E$5="Volume",$C$54&gt;0,Results!$E$4="Fluid"),((EF31*EF$51)/(EF$54)),IF(AND(Results!$E$4="Cells",Results!$E$5="Million",$B$52="million"),((EF31*EF$51)/(EF$52)),"0")))))</f>
        <v>0</v>
      </c>
      <c r="EG84" s="20" t="str">
        <f>IF(EG31=0,"0",IF(AND(Results!$E$5="Protein",$C$53&gt;0,OR(Results!$E$4="Tissue",Results!$E$4="Cells")),((EG31*EG$51)/(EG$53)),IF(AND(Results!$E$5="Weight",$C$52&gt;0, Results!$E$4="Tissue",OR($B$52="g",$B$52="mg")),((EG31*EG$51)/(EG$52)),IF(AND(Results!$E$5="Volume",$C$54&gt;0,Results!$E$4="Fluid"),((EG31*EG$51)/(EG$54)),IF(AND(Results!$E$4="Cells",Results!$E$5="Million",$B$52="million"),((EG31*EG$51)/(EG$52)),"0")))))</f>
        <v>0</v>
      </c>
      <c r="EH84" s="20" t="str">
        <f>IF(EH31=0,"0",IF(AND(Results!$E$5="Protein",$C$53&gt;0,OR(Results!$E$4="Tissue",Results!$E$4="Cells")),((EH31*EH$51)/(EH$53)),IF(AND(Results!$E$5="Weight",$C$52&gt;0, Results!$E$4="Tissue",OR($B$52="g",$B$52="mg")),((EH31*EH$51)/(EH$52)),IF(AND(Results!$E$5="Volume",$C$54&gt;0,Results!$E$4="Fluid"),((EH31*EH$51)/(EH$54)),IF(AND(Results!$E$4="Cells",Results!$E$5="Million",$B$52="million"),((EH31*EH$51)/(EH$52)),"0")))))</f>
        <v>0</v>
      </c>
      <c r="EI84" s="20" t="str">
        <f>IF(EI31=0,"0",IF(AND(Results!$E$5="Protein",$C$53&gt;0,OR(Results!$E$4="Tissue",Results!$E$4="Cells")),((EI31*EI$51)/(EI$53)),IF(AND(Results!$E$5="Weight",$C$52&gt;0, Results!$E$4="Tissue",OR($B$52="g",$B$52="mg")),((EI31*EI$51)/(EI$52)),IF(AND(Results!$E$5="Volume",$C$54&gt;0,Results!$E$4="Fluid"),((EI31*EI$51)/(EI$54)),IF(AND(Results!$E$4="Cells",Results!$E$5="Million",$B$52="million"),((EI31*EI$51)/(EI$52)),"0")))))</f>
        <v>0</v>
      </c>
      <c r="EJ84" s="20" t="str">
        <f>IF(EJ31=0,"0",IF(AND(Results!$E$5="Protein",$C$53&gt;0,OR(Results!$E$4="Tissue",Results!$E$4="Cells")),((EJ31*EJ$51)/(EJ$53)),IF(AND(Results!$E$5="Weight",$C$52&gt;0, Results!$E$4="Tissue",OR($B$52="g",$B$52="mg")),((EJ31*EJ$51)/(EJ$52)),IF(AND(Results!$E$5="Volume",$C$54&gt;0,Results!$E$4="Fluid"),((EJ31*EJ$51)/(EJ$54)),IF(AND(Results!$E$4="Cells",Results!$E$5="Million",$B$52="million"),((EJ31*EJ$51)/(EJ$52)),"0")))))</f>
        <v>0</v>
      </c>
      <c r="EK84" s="20" t="str">
        <f>IF(EK31=0,"0",IF(AND(Results!$E$5="Protein",$C$53&gt;0,OR(Results!$E$4="Tissue",Results!$E$4="Cells")),((EK31*EK$51)/(EK$53)),IF(AND(Results!$E$5="Weight",$C$52&gt;0, Results!$E$4="Tissue",OR($B$52="g",$B$52="mg")),((EK31*EK$51)/(EK$52)),IF(AND(Results!$E$5="Volume",$C$54&gt;0,Results!$E$4="Fluid"),((EK31*EK$51)/(EK$54)),IF(AND(Results!$E$4="Cells",Results!$E$5="Million",$B$52="million"),((EK31*EK$51)/(EK$52)),"0")))))</f>
        <v>0</v>
      </c>
      <c r="EL84" s="20" t="str">
        <f>IF(EL31=0,"0",IF(AND(Results!$E$5="Protein",$C$53&gt;0,OR(Results!$E$4="Tissue",Results!$E$4="Cells")),((EL31*EL$51)/(EL$53)),IF(AND(Results!$E$5="Weight",$C$52&gt;0, Results!$E$4="Tissue",OR($B$52="g",$B$52="mg")),((EL31*EL$51)/(EL$52)),IF(AND(Results!$E$5="Volume",$C$54&gt;0,Results!$E$4="Fluid"),((EL31*EL$51)/(EL$54)),IF(AND(Results!$E$4="Cells",Results!$E$5="Million",$B$52="million"),((EL31*EL$51)/(EL$52)),"0")))))</f>
        <v>0</v>
      </c>
      <c r="EM84" s="20" t="str">
        <f>IF(EM31=0,"0",IF(AND(Results!$E$5="Protein",$C$53&gt;0,OR(Results!$E$4="Tissue",Results!$E$4="Cells")),((EM31*EM$51)/(EM$53)),IF(AND(Results!$E$5="Weight",$C$52&gt;0, Results!$E$4="Tissue",OR($B$52="g",$B$52="mg")),((EM31*EM$51)/(EM$52)),IF(AND(Results!$E$5="Volume",$C$54&gt;0,Results!$E$4="Fluid"),((EM31*EM$51)/(EM$54)),IF(AND(Results!$E$4="Cells",Results!$E$5="Million",$B$52="million"),((EM31*EM$51)/(EM$52)),"0")))))</f>
        <v>0</v>
      </c>
      <c r="EN84" s="20" t="str">
        <f>IF(EN31=0,"0",IF(AND(Results!$E$5="Protein",$C$53&gt;0,OR(Results!$E$4="Tissue",Results!$E$4="Cells")),((EN31*EN$51)/(EN$53)),IF(AND(Results!$E$5="Weight",$C$52&gt;0, Results!$E$4="Tissue",OR($B$52="g",$B$52="mg")),((EN31*EN$51)/(EN$52)),IF(AND(Results!$E$5="Volume",$C$54&gt;0,Results!$E$4="Fluid"),((EN31*EN$51)/(EN$54)),IF(AND(Results!$E$4="Cells",Results!$E$5="Million",$B$52="million"),((EN31*EN$51)/(EN$52)),"0")))))</f>
        <v>0</v>
      </c>
      <c r="EO84" s="20" t="str">
        <f>IF(EO31=0,"0",IF(AND(Results!$E$5="Protein",$C$53&gt;0,OR(Results!$E$4="Tissue",Results!$E$4="Cells")),((EO31*EO$51)/(EO$53)),IF(AND(Results!$E$5="Weight",$C$52&gt;0, Results!$E$4="Tissue",OR($B$52="g",$B$52="mg")),((EO31*EO$51)/(EO$52)),IF(AND(Results!$E$5="Volume",$C$54&gt;0,Results!$E$4="Fluid"),((EO31*EO$51)/(EO$54)),IF(AND(Results!$E$4="Cells",Results!$E$5="Million",$B$52="million"),((EO31*EO$51)/(EO$52)),"0")))))</f>
        <v>0</v>
      </c>
      <c r="EP84" s="20" t="str">
        <f>IF(EP31=0,"0",IF(AND(Results!$E$5="Protein",$C$53&gt;0,OR(Results!$E$4="Tissue",Results!$E$4="Cells")),((EP31*EP$51)/(EP$53)),IF(AND(Results!$E$5="Weight",$C$52&gt;0, Results!$E$4="Tissue",OR($B$52="g",$B$52="mg")),((EP31*EP$51)/(EP$52)),IF(AND(Results!$E$5="Volume",$C$54&gt;0,Results!$E$4="Fluid"),((EP31*EP$51)/(EP$54)),IF(AND(Results!$E$4="Cells",Results!$E$5="Million",$B$52="million"),((EP31*EP$51)/(EP$52)),"0")))))</f>
        <v>0</v>
      </c>
      <c r="EQ84" s="20" t="str">
        <f>IF(EQ31=0,"0",IF(AND(Results!$E$5="Protein",$C$53&gt;0,OR(Results!$E$4="Tissue",Results!$E$4="Cells")),((EQ31*EQ$51)/(EQ$53)),IF(AND(Results!$E$5="Weight",$C$52&gt;0, Results!$E$4="Tissue",OR($B$52="g",$B$52="mg")),((EQ31*EQ$51)/(EQ$52)),IF(AND(Results!$E$5="Volume",$C$54&gt;0,Results!$E$4="Fluid"),((EQ31*EQ$51)/(EQ$54)),IF(AND(Results!$E$4="Cells",Results!$E$5="Million",$B$52="million"),((EQ31*EQ$51)/(EQ$52)),"0")))))</f>
        <v>0</v>
      </c>
      <c r="ER84" s="20" t="str">
        <f>IF(ER31=0,"0",IF(AND(Results!$E$5="Protein",$C$53&gt;0,OR(Results!$E$4="Tissue",Results!$E$4="Cells")),((ER31*ER$51)/(ER$53)),IF(AND(Results!$E$5="Weight",$C$52&gt;0, Results!$E$4="Tissue",OR($B$52="g",$B$52="mg")),((ER31*ER$51)/(ER$52)),IF(AND(Results!$E$5="Volume",$C$54&gt;0,Results!$E$4="Fluid"),((ER31*ER$51)/(ER$54)),IF(AND(Results!$E$4="Cells",Results!$E$5="Million",$B$52="million"),((ER31*ER$51)/(ER$52)),"0")))))</f>
        <v>0</v>
      </c>
      <c r="ES84" s="20" t="str">
        <f>IF(ES31=0,"0",IF(AND(Results!$E$5="Protein",$C$53&gt;0,OR(Results!$E$4="Tissue",Results!$E$4="Cells")),((ES31*ES$51)/(ES$53)),IF(AND(Results!$E$5="Weight",$C$52&gt;0, Results!$E$4="Tissue",OR($B$52="g",$B$52="mg")),((ES31*ES$51)/(ES$52)),IF(AND(Results!$E$5="Volume",$C$54&gt;0,Results!$E$4="Fluid"),((ES31*ES$51)/(ES$54)),IF(AND(Results!$E$4="Cells",Results!$E$5="Million",$B$52="million"),((ES31*ES$51)/(ES$52)),"0")))))</f>
        <v>0</v>
      </c>
      <c r="ET84" s="20" t="str">
        <f>IF(ET31=0,"0",IF(AND(Results!$E$5="Protein",$C$53&gt;0,OR(Results!$E$4="Tissue",Results!$E$4="Cells")),((ET31*ET$51)/(ET$53)),IF(AND(Results!$E$5="Weight",$C$52&gt;0, Results!$E$4="Tissue",OR($B$52="g",$B$52="mg")),((ET31*ET$51)/(ET$52)),IF(AND(Results!$E$5="Volume",$C$54&gt;0,Results!$E$4="Fluid"),((ET31*ET$51)/(ET$54)),IF(AND(Results!$E$4="Cells",Results!$E$5="Million",$B$52="million"),((ET31*ET$51)/(ET$52)),"0")))))</f>
        <v>0</v>
      </c>
      <c r="EU84" s="20" t="str">
        <f>IF(EU31=0,"0",IF(AND(Results!$E$5="Protein",$C$53&gt;0,OR(Results!$E$4="Tissue",Results!$E$4="Cells")),((EU31*EU$51)/(EU$53)),IF(AND(Results!$E$5="Weight",$C$52&gt;0, Results!$E$4="Tissue",OR($B$52="g",$B$52="mg")),((EU31*EU$51)/(EU$52)),IF(AND(Results!$E$5="Volume",$C$54&gt;0,Results!$E$4="Fluid"),((EU31*EU$51)/(EU$54)),IF(AND(Results!$E$4="Cells",Results!$E$5="Million",$B$52="million"),((EU31*EU$51)/(EU$52)),"0")))))</f>
        <v>0</v>
      </c>
      <c r="EV84" s="20" t="str">
        <f>IF(EV31=0,"0",IF(AND(Results!$E$5="Protein",$C$53&gt;0,OR(Results!$E$4="Tissue",Results!$E$4="Cells")),((EV31*EV$51)/(EV$53)),IF(AND(Results!$E$5="Weight",$C$52&gt;0, Results!$E$4="Tissue",OR($B$52="g",$B$52="mg")),((EV31*EV$51)/(EV$52)),IF(AND(Results!$E$5="Volume",$C$54&gt;0,Results!$E$4="Fluid"),((EV31*EV$51)/(EV$54)),IF(AND(Results!$E$4="Cells",Results!$E$5="Million",$B$52="million"),((EV31*EV$51)/(EV$52)),"0")))))</f>
        <v>0</v>
      </c>
      <c r="EW84" s="20" t="str">
        <f>IF(EW31=0,"0",IF(AND(Results!$E$5="Protein",$C$53&gt;0,OR(Results!$E$4="Tissue",Results!$E$4="Cells")),((EW31*EW$51)/(EW$53)),IF(AND(Results!$E$5="Weight",$C$52&gt;0, Results!$E$4="Tissue",OR($B$52="g",$B$52="mg")),((EW31*EW$51)/(EW$52)),IF(AND(Results!$E$5="Volume",$C$54&gt;0,Results!$E$4="Fluid"),((EW31*EW$51)/(EW$54)),IF(AND(Results!$E$4="Cells",Results!$E$5="Million",$B$52="million"),((EW31*EW$51)/(EW$52)),"0")))))</f>
        <v>0</v>
      </c>
      <c r="EX84" s="20" t="str">
        <f>IF(EX31=0,"0",IF(AND(Results!$E$5="Protein",$C$53&gt;0,OR(Results!$E$4="Tissue",Results!$E$4="Cells")),((EX31*EX$51)/(EX$53)),IF(AND(Results!$E$5="Weight",$C$52&gt;0, Results!$E$4="Tissue",OR($B$52="g",$B$52="mg")),((EX31*EX$51)/(EX$52)),IF(AND(Results!$E$5="Volume",$C$54&gt;0,Results!$E$4="Fluid"),((EX31*EX$51)/(EX$54)),IF(AND(Results!$E$4="Cells",Results!$E$5="Million",$B$52="million"),((EX31*EX$51)/(EX$52)),"0")))))</f>
        <v>0</v>
      </c>
      <c r="EY84" s="20" t="str">
        <f>IF(EY31=0,"0",IF(AND(Results!$E$5="Protein",$C$53&gt;0,OR(Results!$E$4="Tissue",Results!$E$4="Cells")),((EY31*EY$51)/(EY$53)),IF(AND(Results!$E$5="Weight",$C$52&gt;0, Results!$E$4="Tissue",OR($B$52="g",$B$52="mg")),((EY31*EY$51)/(EY$52)),IF(AND(Results!$E$5="Volume",$C$54&gt;0,Results!$E$4="Fluid"),((EY31*EY$51)/(EY$54)),IF(AND(Results!$E$4="Cells",Results!$E$5="Million",$B$52="million"),((EY31*EY$51)/(EY$52)),"0")))))</f>
        <v>0</v>
      </c>
      <c r="EZ84" s="20" t="str">
        <f>IF(EZ31=0,"0",IF(AND(Results!$E$5="Protein",$C$53&gt;0,OR(Results!$E$4="Tissue",Results!$E$4="Cells")),((EZ31*EZ$51)/(EZ$53)),IF(AND(Results!$E$5="Weight",$C$52&gt;0, Results!$E$4="Tissue",OR($B$52="g",$B$52="mg")),((EZ31*EZ$51)/(EZ$52)),IF(AND(Results!$E$5="Volume",$C$54&gt;0,Results!$E$4="Fluid"),((EZ31*EZ$51)/(EZ$54)),IF(AND(Results!$E$4="Cells",Results!$E$5="Million",$B$52="million"),((EZ31*EZ$51)/(EZ$52)),"0")))))</f>
        <v>0</v>
      </c>
      <c r="FA84" s="20" t="str">
        <f>IF(FA31=0,"0",IF(AND(Results!$E$5="Protein",$C$53&gt;0,OR(Results!$E$4="Tissue",Results!$E$4="Cells")),((FA31*FA$51)/(FA$53)),IF(AND(Results!$E$5="Weight",$C$52&gt;0, Results!$E$4="Tissue",OR($B$52="g",$B$52="mg")),((FA31*FA$51)/(FA$52)),IF(AND(Results!$E$5="Volume",$C$54&gt;0,Results!$E$4="Fluid"),((FA31*FA$51)/(FA$54)),IF(AND(Results!$E$4="Cells",Results!$E$5="Million",$B$52="million"),((FA31*FA$51)/(FA$52)),"0")))))</f>
        <v>0</v>
      </c>
      <c r="FB84" s="20" t="str">
        <f>IF(FB31=0,"0",IF(AND(Results!$E$5="Protein",$C$53&gt;0,OR(Results!$E$4="Tissue",Results!$E$4="Cells")),((FB31*FB$51)/(FB$53)),IF(AND(Results!$E$5="Weight",$C$52&gt;0, Results!$E$4="Tissue",OR($B$52="g",$B$52="mg")),((FB31*FB$51)/(FB$52)),IF(AND(Results!$E$5="Volume",$C$54&gt;0,Results!$E$4="Fluid"),((FB31*FB$51)/(FB$54)),IF(AND(Results!$E$4="Cells",Results!$E$5="Million",$B$52="million"),((FB31*FB$51)/(FB$52)),"0")))))</f>
        <v>0</v>
      </c>
      <c r="FC84" s="20" t="str">
        <f>IF(FC31=0,"0",IF(AND(Results!$E$5="Protein",$C$53&gt;0,OR(Results!$E$4="Tissue",Results!$E$4="Cells")),((FC31*FC$51)/(FC$53)),IF(AND(Results!$E$5="Weight",$C$52&gt;0, Results!$E$4="Tissue",OR($B$52="g",$B$52="mg")),((FC31*FC$51)/(FC$52)),IF(AND(Results!$E$5="Volume",$C$54&gt;0,Results!$E$4="Fluid"),((FC31*FC$51)/(FC$54)),IF(AND(Results!$E$4="Cells",Results!$E$5="Million",$B$52="million"),((FC31*FC$51)/(FC$52)),"0")))))</f>
        <v>0</v>
      </c>
      <c r="FD84" s="20" t="str">
        <f>IF(FD31=0,"0",IF(AND(Results!$E$5="Protein",$C$53&gt;0,OR(Results!$E$4="Tissue",Results!$E$4="Cells")),((FD31*FD$51)/(FD$53)),IF(AND(Results!$E$5="Weight",$C$52&gt;0, Results!$E$4="Tissue",OR($B$52="g",$B$52="mg")),((FD31*FD$51)/(FD$52)),IF(AND(Results!$E$5="Volume",$C$54&gt;0,Results!$E$4="Fluid"),((FD31*FD$51)/(FD$54)),IF(AND(Results!$E$4="Cells",Results!$E$5="Million",$B$52="million"),((FD31*FD$51)/(FD$52)),"0")))))</f>
        <v>0</v>
      </c>
      <c r="FE84" s="20" t="str">
        <f>IF(FE31=0,"0",IF(AND(Results!$E$5="Protein",$C$53&gt;0,OR(Results!$E$4="Tissue",Results!$E$4="Cells")),((FE31*FE$51)/(FE$53)),IF(AND(Results!$E$5="Weight",$C$52&gt;0, Results!$E$4="Tissue",OR($B$52="g",$B$52="mg")),((FE31*FE$51)/(FE$52)),IF(AND(Results!$E$5="Volume",$C$54&gt;0,Results!$E$4="Fluid"),((FE31*FE$51)/(FE$54)),IF(AND(Results!$E$4="Cells",Results!$E$5="Million",$B$52="million"),((FE31*FE$51)/(FE$52)),"0")))))</f>
        <v>0</v>
      </c>
      <c r="FF84" s="20" t="str">
        <f>IF(FF31=0,"0",IF(AND(Results!$E$5="Protein",$C$53&gt;0,OR(Results!$E$4="Tissue",Results!$E$4="Cells")),((FF31*FF$51)/(FF$53)),IF(AND(Results!$E$5="Weight",$C$52&gt;0, Results!$E$4="Tissue",OR($B$52="g",$B$52="mg")),((FF31*FF$51)/(FF$52)),IF(AND(Results!$E$5="Volume",$C$54&gt;0,Results!$E$4="Fluid"),((FF31*FF$51)/(FF$54)),IF(AND(Results!$E$4="Cells",Results!$E$5="Million",$B$52="million"),((FF31*FF$51)/(FF$52)),"0")))))</f>
        <v>0</v>
      </c>
      <c r="FG84" s="20" t="str">
        <f>IF(FG31=0,"0",IF(AND(Results!$E$5="Protein",$C$53&gt;0,OR(Results!$E$4="Tissue",Results!$E$4="Cells")),((FG31*FG$51)/(FG$53)),IF(AND(Results!$E$5="Weight",$C$52&gt;0, Results!$E$4="Tissue",OR($B$52="g",$B$52="mg")),((FG31*FG$51)/(FG$52)),IF(AND(Results!$E$5="Volume",$C$54&gt;0,Results!$E$4="Fluid"),((FG31*FG$51)/(FG$54)),IF(AND(Results!$E$4="Cells",Results!$E$5="Million",$B$52="million"),((FG31*FG$51)/(FG$52)),"0")))))</f>
        <v>0</v>
      </c>
      <c r="FH84" s="20" t="str">
        <f>IF(FH31=0,"0",IF(AND(Results!$E$5="Protein",$C$53&gt;0,OR(Results!$E$4="Tissue",Results!$E$4="Cells")),((FH31*FH$51)/(FH$53)),IF(AND(Results!$E$5="Weight",$C$52&gt;0, Results!$E$4="Tissue",OR($B$52="g",$B$52="mg")),((FH31*FH$51)/(FH$52)),IF(AND(Results!$E$5="Volume",$C$54&gt;0,Results!$E$4="Fluid"),((FH31*FH$51)/(FH$54)),IF(AND(Results!$E$4="Cells",Results!$E$5="Million",$B$52="million"),((FH31*FH$51)/(FH$52)),"0")))))</f>
        <v>0</v>
      </c>
      <c r="FI84" s="20" t="str">
        <f>IF(FI31=0,"0",IF(AND(Results!$E$5="Protein",$C$53&gt;0,OR(Results!$E$4="Tissue",Results!$E$4="Cells")),((FI31*FI$51)/(FI$53)),IF(AND(Results!$E$5="Weight",$C$52&gt;0, Results!$E$4="Tissue",OR($B$52="g",$B$52="mg")),((FI31*FI$51)/(FI$52)),IF(AND(Results!$E$5="Volume",$C$54&gt;0,Results!$E$4="Fluid"),((FI31*FI$51)/(FI$54)),IF(AND(Results!$E$4="Cells",Results!$E$5="Million",$B$52="million"),((FI31*FI$51)/(FI$52)),"0")))))</f>
        <v>0</v>
      </c>
      <c r="FJ84" s="20" t="str">
        <f>IF(FJ31=0,"0",IF(AND(Results!$E$5="Protein",$C$53&gt;0,OR(Results!$E$4="Tissue",Results!$E$4="Cells")),((FJ31*FJ$51)/(FJ$53)),IF(AND(Results!$E$5="Weight",$C$52&gt;0, Results!$E$4="Tissue",OR($B$52="g",$B$52="mg")),((FJ31*FJ$51)/(FJ$52)),IF(AND(Results!$E$5="Volume",$C$54&gt;0,Results!$E$4="Fluid"),((FJ31*FJ$51)/(FJ$54)),IF(AND(Results!$E$4="Cells",Results!$E$5="Million",$B$52="million"),((FJ31*FJ$51)/(FJ$52)),"0")))))</f>
        <v>0</v>
      </c>
      <c r="FK84" s="20" t="str">
        <f>IF(FK31=0,"0",IF(AND(Results!$E$5="Protein",$C$53&gt;0,OR(Results!$E$4="Tissue",Results!$E$4="Cells")),((FK31*FK$51)/(FK$53)),IF(AND(Results!$E$5="Weight",$C$52&gt;0, Results!$E$4="Tissue",OR($B$52="g",$B$52="mg")),((FK31*FK$51)/(FK$52)),IF(AND(Results!$E$5="Volume",$C$54&gt;0,Results!$E$4="Fluid"),((FK31*FK$51)/(FK$54)),IF(AND(Results!$E$4="Cells",Results!$E$5="Million",$B$52="million"),((FK31*FK$51)/(FK$52)),"0")))))</f>
        <v>0</v>
      </c>
      <c r="FL84" s="20" t="str">
        <f>IF(FL31=0,"0",IF(AND(Results!$E$5="Protein",$C$53&gt;0,OR(Results!$E$4="Tissue",Results!$E$4="Cells")),((FL31*FL$51)/(FL$53)),IF(AND(Results!$E$5="Weight",$C$52&gt;0, Results!$E$4="Tissue",OR($B$52="g",$B$52="mg")),((FL31*FL$51)/(FL$52)),IF(AND(Results!$E$5="Volume",$C$54&gt;0,Results!$E$4="Fluid"),((FL31*FL$51)/(FL$54)),IF(AND(Results!$E$4="Cells",Results!$E$5="Million",$B$52="million"),((FL31*FL$51)/(FL$52)),"0")))))</f>
        <v>0</v>
      </c>
      <c r="FM84" s="20" t="str">
        <f>IF(FM31=0,"0",IF(AND(Results!$E$5="Protein",$C$53&gt;0,OR(Results!$E$4="Tissue",Results!$E$4="Cells")),((FM31*FM$51)/(FM$53)),IF(AND(Results!$E$5="Weight",$C$52&gt;0, Results!$E$4="Tissue",OR($B$52="g",$B$52="mg")),((FM31*FM$51)/(FM$52)),IF(AND(Results!$E$5="Volume",$C$54&gt;0,Results!$E$4="Fluid"),((FM31*FM$51)/(FM$54)),IF(AND(Results!$E$4="Cells",Results!$E$5="Million",$B$52="million"),((FM31*FM$51)/(FM$52)),"0")))))</f>
        <v>0</v>
      </c>
      <c r="FN84" s="20" t="str">
        <f>IF(FN31=0,"0",IF(AND(Results!$E$5="Protein",$C$53&gt;0,OR(Results!$E$4="Tissue",Results!$E$4="Cells")),((FN31*FN$51)/(FN$53)),IF(AND(Results!$E$5="Weight",$C$52&gt;0, Results!$E$4="Tissue",OR($B$52="g",$B$52="mg")),((FN31*FN$51)/(FN$52)),IF(AND(Results!$E$5="Volume",$C$54&gt;0,Results!$E$4="Fluid"),((FN31*FN$51)/(FN$54)),IF(AND(Results!$E$4="Cells",Results!$E$5="Million",$B$52="million"),((FN31*FN$51)/(FN$52)),"0")))))</f>
        <v>0</v>
      </c>
      <c r="FO84" s="20" t="str">
        <f>IF(FO31=0,"0",IF(AND(Results!$E$5="Protein",$C$53&gt;0,OR(Results!$E$4="Tissue",Results!$E$4="Cells")),((FO31*FO$51)/(FO$53)),IF(AND(Results!$E$5="Weight",$C$52&gt;0, Results!$E$4="Tissue",OR($B$52="g",$B$52="mg")),((FO31*FO$51)/(FO$52)),IF(AND(Results!$E$5="Volume",$C$54&gt;0,Results!$E$4="Fluid"),((FO31*FO$51)/(FO$54)),IF(AND(Results!$E$4="Cells",Results!$E$5="Million",$B$52="million"),((FO31*FO$51)/(FO$52)),"0")))))</f>
        <v>0</v>
      </c>
    </row>
    <row r="85" spans="1:171" x14ac:dyDescent="0.2">
      <c r="A85" s="120" t="str">
        <f t="shared" si="1"/>
        <v xml:space="preserve">6kPGF1a </v>
      </c>
      <c r="B85" s="121"/>
      <c r="C85" s="20" t="str">
        <f>IF(C32=0,"0",IF(AND(Results!$E$5="Protein",$C$53&gt;0,OR(Results!$E$4="Tissue",Results!$E$4="Cells")),((C32*C$51)/(C$53)),IF(AND(Results!$E$5="Weight",$C$52&gt;0, Results!$E$4="Tissue",OR($B$52="g",$B$52="mg")),((C32*C$51)/(C$52)),IF(AND(Results!$E$5="Volume",$C$54&gt;0,Results!$E$4="Fluid"),((C32*C$51)/(C$54)),IF(AND(Results!$E$4="Cells",Results!$E$5="Million",$B$52="million"),((C32*C$51)/(C$52)),"0")))))</f>
        <v>0</v>
      </c>
      <c r="D85" s="20" t="str">
        <f>IF(D32=0,"0",IF(AND(Results!$E$5="Protein",$C$53&gt;0,OR(Results!$E$4="Tissue",Results!$E$4="Cells")),((D32*D$51)/(D$53)),IF(AND(Results!$E$5="Weight",$C$52&gt;0, Results!$E$4="Tissue",OR($B$52="g",$B$52="mg")),((D32*D$51)/(D$52)),IF(AND(Results!$E$5="Volume",$C$54&gt;0,Results!$E$4="Fluid"),((D32*D$51)/(D$54)),IF(AND(Results!$E$4="Cells",Results!$E$5="Million",$B$52="million"),((D32*D$51)/(D$52)),"0")))))</f>
        <v>0</v>
      </c>
      <c r="E85" s="20" t="str">
        <f>IF(E32=0,"0",IF(AND(Results!$E$5="Protein",$C$53&gt;0,OR(Results!$E$4="Tissue",Results!$E$4="Cells")),((E32*E$51)/(E$53)),IF(AND(Results!$E$5="Weight",$C$52&gt;0, Results!$E$4="Tissue",OR($B$52="g",$B$52="mg")),((E32*E$51)/(E$52)),IF(AND(Results!$E$5="Volume",$C$54&gt;0,Results!$E$4="Fluid"),((E32*E$51)/(E$54)),IF(AND(Results!$E$4="Cells",Results!$E$5="Million",$B$52="million"),((E32*E$51)/(E$52)),"0")))))</f>
        <v>0</v>
      </c>
      <c r="F85" s="20" t="str">
        <f>IF(F32=0,"0",IF(AND(Results!$E$5="Protein",$C$53&gt;0,OR(Results!$E$4="Tissue",Results!$E$4="Cells")),((F32*F$51)/(F$53)),IF(AND(Results!$E$5="Weight",$C$52&gt;0, Results!$E$4="Tissue",OR($B$52="g",$B$52="mg")),((F32*F$51)/(F$52)),IF(AND(Results!$E$5="Volume",$C$54&gt;0,Results!$E$4="Fluid"),((F32*F$51)/(F$54)),IF(AND(Results!$E$4="Cells",Results!$E$5="Million",$B$52="million"),((F32*F$51)/(F$52)),"0")))))</f>
        <v>0</v>
      </c>
      <c r="G85" s="20" t="str">
        <f>IF(G32=0,"0",IF(AND(Results!$E$5="Protein",$C$53&gt;0,OR(Results!$E$4="Tissue",Results!$E$4="Cells")),((G32*G$51)/(G$53)),IF(AND(Results!$E$5="Weight",$C$52&gt;0, Results!$E$4="Tissue",OR($B$52="g",$B$52="mg")),((G32*G$51)/(G$52)),IF(AND(Results!$E$5="Volume",$C$54&gt;0,Results!$E$4="Fluid"),((G32*G$51)/(G$54)),IF(AND(Results!$E$4="Cells",Results!$E$5="Million",$B$52="million"),((G32*G$51)/(G$52)),"0")))))</f>
        <v>0</v>
      </c>
      <c r="H85" s="20" t="str">
        <f>IF(H32=0,"0",IF(AND(Results!$E$5="Protein",$C$53&gt;0,OR(Results!$E$4="Tissue",Results!$E$4="Cells")),((H32*H$51)/(H$53)),IF(AND(Results!$E$5="Weight",$C$52&gt;0, Results!$E$4="Tissue",OR($B$52="g",$B$52="mg")),((H32*H$51)/(H$52)),IF(AND(Results!$E$5="Volume",$C$54&gt;0,Results!$E$4="Fluid"),((H32*H$51)/(H$54)),IF(AND(Results!$E$4="Cells",Results!$E$5="Million",$B$52="million"),((H32*H$51)/(H$52)),"0")))))</f>
        <v>0</v>
      </c>
      <c r="I85" s="20" t="str">
        <f>IF(I32=0,"0",IF(AND(Results!$E$5="Protein",$C$53&gt;0,OR(Results!$E$4="Tissue",Results!$E$4="Cells")),((I32*I$51)/(I$53)),IF(AND(Results!$E$5="Weight",$C$52&gt;0, Results!$E$4="Tissue",OR($B$52="g",$B$52="mg")),((I32*I$51)/(I$52)),IF(AND(Results!$E$5="Volume",$C$54&gt;0,Results!$E$4="Fluid"),((I32*I$51)/(I$54)),IF(AND(Results!$E$4="Cells",Results!$E$5="Million",$B$52="million"),((I32*I$51)/(I$52)),"0")))))</f>
        <v>0</v>
      </c>
      <c r="J85" s="20" t="str">
        <f>IF(J32=0,"0",IF(AND(Results!$E$5="Protein",$C$53&gt;0,OR(Results!$E$4="Tissue",Results!$E$4="Cells")),((J32*J$51)/(J$53)),IF(AND(Results!$E$5="Weight",$C$52&gt;0, Results!$E$4="Tissue",OR($B$52="g",$B$52="mg")),((J32*J$51)/(J$52)),IF(AND(Results!$E$5="Volume",$C$54&gt;0,Results!$E$4="Fluid"),((J32*J$51)/(J$54)),IF(AND(Results!$E$4="Cells",Results!$E$5="Million",$B$52="million"),((J32*J$51)/(J$52)),"0")))))</f>
        <v>0</v>
      </c>
      <c r="K85" s="20" t="str">
        <f>IF(K32=0,"0",IF(AND(Results!$E$5="Protein",$C$53&gt;0,OR(Results!$E$4="Tissue",Results!$E$4="Cells")),((K32*K$51)/(K$53)),IF(AND(Results!$E$5="Weight",$C$52&gt;0, Results!$E$4="Tissue",OR($B$52="g",$B$52="mg")),((K32*K$51)/(K$52)),IF(AND(Results!$E$5="Volume",$C$54&gt;0,Results!$E$4="Fluid"),((K32*K$51)/(K$54)),IF(AND(Results!$E$4="Cells",Results!$E$5="Million",$B$52="million"),((K32*K$51)/(K$52)),"0")))))</f>
        <v>0</v>
      </c>
      <c r="L85" s="20" t="str">
        <f>IF(L32=0,"0",IF(AND(Results!$E$5="Protein",$C$53&gt;0,OR(Results!$E$4="Tissue",Results!$E$4="Cells")),((L32*L$51)/(L$53)),IF(AND(Results!$E$5="Weight",$C$52&gt;0, Results!$E$4="Tissue",OR($B$52="g",$B$52="mg")),((L32*L$51)/(L$52)),IF(AND(Results!$E$5="Volume",$C$54&gt;0,Results!$E$4="Fluid"),((L32*L$51)/(L$54)),IF(AND(Results!$E$4="Cells",Results!$E$5="Million",$B$52="million"),((L32*L$51)/(L$52)),"0")))))</f>
        <v>0</v>
      </c>
      <c r="M85" s="20" t="str">
        <f>IF(M32=0,"0",IF(AND(Results!$E$5="Protein",$C$53&gt;0,OR(Results!$E$4="Tissue",Results!$E$4="Cells")),((M32*M$51)/(M$53)),IF(AND(Results!$E$5="Weight",$C$52&gt;0, Results!$E$4="Tissue",OR($B$52="g",$B$52="mg")),((M32*M$51)/(M$52)),IF(AND(Results!$E$5="Volume",$C$54&gt;0,Results!$E$4="Fluid"),((M32*M$51)/(M$54)),IF(AND(Results!$E$4="Cells",Results!$E$5="Million",$B$52="million"),((M32*M$51)/(M$52)),"0")))))</f>
        <v>0</v>
      </c>
      <c r="N85" s="20" t="str">
        <f>IF(N32=0,"0",IF(AND(Results!$E$5="Protein",$C$53&gt;0,OR(Results!$E$4="Tissue",Results!$E$4="Cells")),((N32*N$51)/(N$53)),IF(AND(Results!$E$5="Weight",$C$52&gt;0, Results!$E$4="Tissue",OR($B$52="g",$B$52="mg")),((N32*N$51)/(N$52)),IF(AND(Results!$E$5="Volume",$C$54&gt;0,Results!$E$4="Fluid"),((N32*N$51)/(N$54)),IF(AND(Results!$E$4="Cells",Results!$E$5="Million",$B$52="million"),((N32*N$51)/(N$52)),"0")))))</f>
        <v>0</v>
      </c>
      <c r="O85" s="20" t="str">
        <f>IF(O32=0,"0",IF(AND(Results!$E$5="Protein",$C$53&gt;0,OR(Results!$E$4="Tissue",Results!$E$4="Cells")),((O32*O$51)/(O$53)),IF(AND(Results!$E$5="Weight",$C$52&gt;0, Results!$E$4="Tissue",OR($B$52="g",$B$52="mg")),((O32*O$51)/(O$52)),IF(AND(Results!$E$5="Volume",$C$54&gt;0,Results!$E$4="Fluid"),((O32*O$51)/(O$54)),IF(AND(Results!$E$4="Cells",Results!$E$5="Million",$B$52="million"),((O32*O$51)/(O$52)),"0")))))</f>
        <v>0</v>
      </c>
      <c r="P85" s="20" t="str">
        <f>IF(P32=0,"0",IF(AND(Results!$E$5="Protein",$C$53&gt;0,OR(Results!$E$4="Tissue",Results!$E$4="Cells")),((P32*P$51)/(P$53)),IF(AND(Results!$E$5="Weight",$C$52&gt;0, Results!$E$4="Tissue",OR($B$52="g",$B$52="mg")),((P32*P$51)/(P$52)),IF(AND(Results!$E$5="Volume",$C$54&gt;0,Results!$E$4="Fluid"),((P32*P$51)/(P$54)),IF(AND(Results!$E$4="Cells",Results!$E$5="Million",$B$52="million"),((P32*P$51)/(P$52)),"0")))))</f>
        <v>0</v>
      </c>
      <c r="Q85" s="20" t="str">
        <f>IF(Q32=0,"0",IF(AND(Results!$E$5="Protein",$C$53&gt;0,OR(Results!$E$4="Tissue",Results!$E$4="Cells")),((Q32*Q$51)/(Q$53)),IF(AND(Results!$E$5="Weight",$C$52&gt;0, Results!$E$4="Tissue",OR($B$52="g",$B$52="mg")),((Q32*Q$51)/(Q$52)),IF(AND(Results!$E$5="Volume",$C$54&gt;0,Results!$E$4="Fluid"),((Q32*Q$51)/(Q$54)),IF(AND(Results!$E$4="Cells",Results!$E$5="Million",$B$52="million"),((Q32*Q$51)/(Q$52)),"0")))))</f>
        <v>0</v>
      </c>
      <c r="R85" s="20" t="str">
        <f>IF(R32=0,"0",IF(AND(Results!$E$5="Protein",$C$53&gt;0,OR(Results!$E$4="Tissue",Results!$E$4="Cells")),((R32*R$51)/(R$53)),IF(AND(Results!$E$5="Weight",$C$52&gt;0, Results!$E$4="Tissue",OR($B$52="g",$B$52="mg")),((R32*R$51)/(R$52)),IF(AND(Results!$E$5="Volume",$C$54&gt;0,Results!$E$4="Fluid"),((R32*R$51)/(R$54)),IF(AND(Results!$E$4="Cells",Results!$E$5="Million",$B$52="million"),((R32*R$51)/(R$52)),"0")))))</f>
        <v>0</v>
      </c>
      <c r="S85" s="20" t="str">
        <f>IF(S32=0,"0",IF(AND(Results!$E$5="Protein",$C$53&gt;0,OR(Results!$E$4="Tissue",Results!$E$4="Cells")),((S32*S$51)/(S$53)),IF(AND(Results!$E$5="Weight",$C$52&gt;0, Results!$E$4="Tissue",OR($B$52="g",$B$52="mg")),((S32*S$51)/(S$52)),IF(AND(Results!$E$5="Volume",$C$54&gt;0,Results!$E$4="Fluid"),((S32*S$51)/(S$54)),IF(AND(Results!$E$4="Cells",Results!$E$5="Million",$B$52="million"),((S32*S$51)/(S$52)),"0")))))</f>
        <v>0</v>
      </c>
      <c r="T85" s="20" t="str">
        <f>IF(T32=0,"0",IF(AND(Results!$E$5="Protein",$C$53&gt;0,OR(Results!$E$4="Tissue",Results!$E$4="Cells")),((T32*T$51)/(T$53)),IF(AND(Results!$E$5="Weight",$C$52&gt;0, Results!$E$4="Tissue",OR($B$52="g",$B$52="mg")),((T32*T$51)/(T$52)),IF(AND(Results!$E$5="Volume",$C$54&gt;0,Results!$E$4="Fluid"),((T32*T$51)/(T$54)),IF(AND(Results!$E$4="Cells",Results!$E$5="Million",$B$52="million"),((T32*T$51)/(T$52)),"0")))))</f>
        <v>0</v>
      </c>
      <c r="U85" s="20" t="str">
        <f>IF(U32=0,"0",IF(AND(Results!$E$5="Protein",$C$53&gt;0,OR(Results!$E$4="Tissue",Results!$E$4="Cells")),((U32*U$51)/(U$53)),IF(AND(Results!$E$5="Weight",$C$52&gt;0, Results!$E$4="Tissue",OR($B$52="g",$B$52="mg")),((U32*U$51)/(U$52)),IF(AND(Results!$E$5="Volume",$C$54&gt;0,Results!$E$4="Fluid"),((U32*U$51)/(U$54)),IF(AND(Results!$E$4="Cells",Results!$E$5="Million",$B$52="million"),((U32*U$51)/(U$52)),"0")))))</f>
        <v>0</v>
      </c>
      <c r="V85" s="20" t="str">
        <f>IF(V32=0,"0",IF(AND(Results!$E$5="Protein",$C$53&gt;0,OR(Results!$E$4="Tissue",Results!$E$4="Cells")),((V32*V$51)/(V$53)),IF(AND(Results!$E$5="Weight",$C$52&gt;0, Results!$E$4="Tissue",OR($B$52="g",$B$52="mg")),((V32*V$51)/(V$52)),IF(AND(Results!$E$5="Volume",$C$54&gt;0,Results!$E$4="Fluid"),((V32*V$51)/(V$54)),IF(AND(Results!$E$4="Cells",Results!$E$5="Million",$B$52="million"),((V32*V$51)/(V$52)),"0")))))</f>
        <v>0</v>
      </c>
      <c r="W85" s="20" t="str">
        <f>IF(W32=0,"0",IF(AND(Results!$E$5="Protein",$C$53&gt;0,OR(Results!$E$4="Tissue",Results!$E$4="Cells")),((W32*W$51)/(W$53)),IF(AND(Results!$E$5="Weight",$C$52&gt;0, Results!$E$4="Tissue",OR($B$52="g",$B$52="mg")),((W32*W$51)/(W$52)),IF(AND(Results!$E$5="Volume",$C$54&gt;0,Results!$E$4="Fluid"),((W32*W$51)/(W$54)),IF(AND(Results!$E$4="Cells",Results!$E$5="Million",$B$52="million"),((W32*W$51)/(W$52)),"0")))))</f>
        <v>0</v>
      </c>
      <c r="X85" s="20" t="str">
        <f>IF(X32=0,"0",IF(AND(Results!$E$5="Protein",$C$53&gt;0,OR(Results!$E$4="Tissue",Results!$E$4="Cells")),((X32*X$51)/(X$53)),IF(AND(Results!$E$5="Weight",$C$52&gt;0, Results!$E$4="Tissue",OR($B$52="g",$B$52="mg")),((X32*X$51)/(X$52)),IF(AND(Results!$E$5="Volume",$C$54&gt;0,Results!$E$4="Fluid"),((X32*X$51)/(X$54)),IF(AND(Results!$E$4="Cells",Results!$E$5="Million",$B$52="million"),((X32*X$51)/(X$52)),"0")))))</f>
        <v>0</v>
      </c>
      <c r="Y85" s="20" t="str">
        <f>IF(Y32=0,"0",IF(AND(Results!$E$5="Protein",$C$53&gt;0,OR(Results!$E$4="Tissue",Results!$E$4="Cells")),((Y32*Y$51)/(Y$53)),IF(AND(Results!$E$5="Weight",$C$52&gt;0, Results!$E$4="Tissue",OR($B$52="g",$B$52="mg")),((Y32*Y$51)/(Y$52)),IF(AND(Results!$E$5="Volume",$C$54&gt;0,Results!$E$4="Fluid"),((Y32*Y$51)/(Y$54)),IF(AND(Results!$E$4="Cells",Results!$E$5="Million",$B$52="million"),((Y32*Y$51)/(Y$52)),"0")))))</f>
        <v>0</v>
      </c>
      <c r="Z85" s="20" t="str">
        <f>IF(Z32=0,"0",IF(AND(Results!$E$5="Protein",$C$53&gt;0,OR(Results!$E$4="Tissue",Results!$E$4="Cells")),((Z32*Z$51)/(Z$53)),IF(AND(Results!$E$5="Weight",$C$52&gt;0, Results!$E$4="Tissue",OR($B$52="g",$B$52="mg")),((Z32*Z$51)/(Z$52)),IF(AND(Results!$E$5="Volume",$C$54&gt;0,Results!$E$4="Fluid"),((Z32*Z$51)/(Z$54)),IF(AND(Results!$E$4="Cells",Results!$E$5="Million",$B$52="million"),((Z32*Z$51)/(Z$52)),"0")))))</f>
        <v>0</v>
      </c>
      <c r="AA85" s="20" t="str">
        <f>IF(AA32=0,"0",IF(AND(Results!$E$5="Protein",$C$53&gt;0,OR(Results!$E$4="Tissue",Results!$E$4="Cells")),((AA32*AA$51)/(AA$53)),IF(AND(Results!$E$5="Weight",$C$52&gt;0, Results!$E$4="Tissue",OR($B$52="g",$B$52="mg")),((AA32*AA$51)/(AA$52)),IF(AND(Results!$E$5="Volume",$C$54&gt;0,Results!$E$4="Fluid"),((AA32*AA$51)/(AA$54)),IF(AND(Results!$E$4="Cells",Results!$E$5="Million",$B$52="million"),((AA32*AA$51)/(AA$52)),"0")))))</f>
        <v>0</v>
      </c>
      <c r="AB85" s="20" t="str">
        <f>IF(AB32=0,"0",IF(AND(Results!$E$5="Protein",$C$53&gt;0,OR(Results!$E$4="Tissue",Results!$E$4="Cells")),((AB32*AB$51)/(AB$53)),IF(AND(Results!$E$5="Weight",$C$52&gt;0, Results!$E$4="Tissue",OR($B$52="g",$B$52="mg")),((AB32*AB$51)/(AB$52)),IF(AND(Results!$E$5="Volume",$C$54&gt;0,Results!$E$4="Fluid"),((AB32*AB$51)/(AB$54)),IF(AND(Results!$E$4="Cells",Results!$E$5="Million",$B$52="million"),((AB32*AB$51)/(AB$52)),"0")))))</f>
        <v>0</v>
      </c>
      <c r="AC85" s="20" t="str">
        <f>IF(AC32=0,"0",IF(AND(Results!$E$5="Protein",$C$53&gt;0,OR(Results!$E$4="Tissue",Results!$E$4="Cells")),((AC32*AC$51)/(AC$53)),IF(AND(Results!$E$5="Weight",$C$52&gt;0, Results!$E$4="Tissue",OR($B$52="g",$B$52="mg")),((AC32*AC$51)/(AC$52)),IF(AND(Results!$E$5="Volume",$C$54&gt;0,Results!$E$4="Fluid"),((AC32*AC$51)/(AC$54)),IF(AND(Results!$E$4="Cells",Results!$E$5="Million",$B$52="million"),((AC32*AC$51)/(AC$52)),"0")))))</f>
        <v>0</v>
      </c>
      <c r="AD85" s="20" t="str">
        <f>IF(AD32=0,"0",IF(AND(Results!$E$5="Protein",$C$53&gt;0,OR(Results!$E$4="Tissue",Results!$E$4="Cells")),((AD32*AD$51)/(AD$53)),IF(AND(Results!$E$5="Weight",$C$52&gt;0, Results!$E$4="Tissue",OR($B$52="g",$B$52="mg")),((AD32*AD$51)/(AD$52)),IF(AND(Results!$E$5="Volume",$C$54&gt;0,Results!$E$4="Fluid"),((AD32*AD$51)/(AD$54)),IF(AND(Results!$E$4="Cells",Results!$E$5="Million",$B$52="million"),((AD32*AD$51)/(AD$52)),"0")))))</f>
        <v>0</v>
      </c>
      <c r="AE85" s="20" t="str">
        <f>IF(AE32=0,"0",IF(AND(Results!$E$5="Protein",$C$53&gt;0,OR(Results!$E$4="Tissue",Results!$E$4="Cells")),((AE32*AE$51)/(AE$53)),IF(AND(Results!$E$5="Weight",$C$52&gt;0, Results!$E$4="Tissue",OR($B$52="g",$B$52="mg")),((AE32*AE$51)/(AE$52)),IF(AND(Results!$E$5="Volume",$C$54&gt;0,Results!$E$4="Fluid"),((AE32*AE$51)/(AE$54)),IF(AND(Results!$E$4="Cells",Results!$E$5="Million",$B$52="million"),((AE32*AE$51)/(AE$52)),"0")))))</f>
        <v>0</v>
      </c>
      <c r="AF85" s="20" t="str">
        <f>IF(AF32=0,"0",IF(AND(Results!$E$5="Protein",$C$53&gt;0,OR(Results!$E$4="Tissue",Results!$E$4="Cells")),((AF32*AF$51)/(AF$53)),IF(AND(Results!$E$5="Weight",$C$52&gt;0, Results!$E$4="Tissue",OR($B$52="g",$B$52="mg")),((AF32*AF$51)/(AF$52)),IF(AND(Results!$E$5="Volume",$C$54&gt;0,Results!$E$4="Fluid"),((AF32*AF$51)/(AF$54)),IF(AND(Results!$E$4="Cells",Results!$E$5="Million",$B$52="million"),((AF32*AF$51)/(AF$52)),"0")))))</f>
        <v>0</v>
      </c>
      <c r="AG85" s="20" t="str">
        <f>IF(AG32=0,"0",IF(AND(Results!$E$5="Protein",$C$53&gt;0,OR(Results!$E$4="Tissue",Results!$E$4="Cells")),((AG32*AG$51)/(AG$53)),IF(AND(Results!$E$5="Weight",$C$52&gt;0, Results!$E$4="Tissue",OR($B$52="g",$B$52="mg")),((AG32*AG$51)/(AG$52)),IF(AND(Results!$E$5="Volume",$C$54&gt;0,Results!$E$4="Fluid"),((AG32*AG$51)/(AG$54)),IF(AND(Results!$E$4="Cells",Results!$E$5="Million",$B$52="million"),((AG32*AG$51)/(AG$52)),"0")))))</f>
        <v>0</v>
      </c>
      <c r="AH85" s="20" t="str">
        <f>IF(AH32=0,"0",IF(AND(Results!$E$5="Protein",$C$53&gt;0,OR(Results!$E$4="Tissue",Results!$E$4="Cells")),((AH32*AH$51)/(AH$53)),IF(AND(Results!$E$5="Weight",$C$52&gt;0, Results!$E$4="Tissue",OR($B$52="g",$B$52="mg")),((AH32*AH$51)/(AH$52)),IF(AND(Results!$E$5="Volume",$C$54&gt;0,Results!$E$4="Fluid"),((AH32*AH$51)/(AH$54)),IF(AND(Results!$E$4="Cells",Results!$E$5="Million",$B$52="million"),((AH32*AH$51)/(AH$52)),"0")))))</f>
        <v>0</v>
      </c>
      <c r="AI85" s="20" t="str">
        <f>IF(AI32=0,"0",IF(AND(Results!$E$5="Protein",$C$53&gt;0,OR(Results!$E$4="Tissue",Results!$E$4="Cells")),((AI32*AI$51)/(AI$53)),IF(AND(Results!$E$5="Weight",$C$52&gt;0, Results!$E$4="Tissue",OR($B$52="g",$B$52="mg")),((AI32*AI$51)/(AI$52)),IF(AND(Results!$E$5="Volume",$C$54&gt;0,Results!$E$4="Fluid"),((AI32*AI$51)/(AI$54)),IF(AND(Results!$E$4="Cells",Results!$E$5="Million",$B$52="million"),((AI32*AI$51)/(AI$52)),"0")))))</f>
        <v>0</v>
      </c>
      <c r="AJ85" s="20" t="str">
        <f>IF(AJ32=0,"0",IF(AND(Results!$E$5="Protein",$C$53&gt;0,OR(Results!$E$4="Tissue",Results!$E$4="Cells")),((AJ32*AJ$51)/(AJ$53)),IF(AND(Results!$E$5="Weight",$C$52&gt;0, Results!$E$4="Tissue",OR($B$52="g",$B$52="mg")),((AJ32*AJ$51)/(AJ$52)),IF(AND(Results!$E$5="Volume",$C$54&gt;0,Results!$E$4="Fluid"),((AJ32*AJ$51)/(AJ$54)),IF(AND(Results!$E$4="Cells",Results!$E$5="Million",$B$52="million"),((AJ32*AJ$51)/(AJ$52)),"0")))))</f>
        <v>0</v>
      </c>
      <c r="AK85" s="20" t="str">
        <f>IF(AK32=0,"0",IF(AND(Results!$E$5="Protein",$C$53&gt;0,OR(Results!$E$4="Tissue",Results!$E$4="Cells")),((AK32*AK$51)/(AK$53)),IF(AND(Results!$E$5="Weight",$C$52&gt;0, Results!$E$4="Tissue",OR($B$52="g",$B$52="mg")),((AK32*AK$51)/(AK$52)),IF(AND(Results!$E$5="Volume",$C$54&gt;0,Results!$E$4="Fluid"),((AK32*AK$51)/(AK$54)),IF(AND(Results!$E$4="Cells",Results!$E$5="Million",$B$52="million"),((AK32*AK$51)/(AK$52)),"0")))))</f>
        <v>0</v>
      </c>
      <c r="AL85" s="20" t="str">
        <f>IF(AL32=0,"0",IF(AND(Results!$E$5="Protein",$C$53&gt;0,OR(Results!$E$4="Tissue",Results!$E$4="Cells")),((AL32*AL$51)/(AL$53)),IF(AND(Results!$E$5="Weight",$C$52&gt;0, Results!$E$4="Tissue",OR($B$52="g",$B$52="mg")),((AL32*AL$51)/(AL$52)),IF(AND(Results!$E$5="Volume",$C$54&gt;0,Results!$E$4="Fluid"),((AL32*AL$51)/(AL$54)),IF(AND(Results!$E$4="Cells",Results!$E$5="Million",$B$52="million"),((AL32*AL$51)/(AL$52)),"0")))))</f>
        <v>0</v>
      </c>
      <c r="AM85" s="20" t="str">
        <f>IF(AM32=0,"0",IF(AND(Results!$E$5="Protein",$C$53&gt;0,OR(Results!$E$4="Tissue",Results!$E$4="Cells")),((AM32*AM$51)/(AM$53)),IF(AND(Results!$E$5="Weight",$C$52&gt;0, Results!$E$4="Tissue",OR($B$52="g",$B$52="mg")),((AM32*AM$51)/(AM$52)),IF(AND(Results!$E$5="Volume",$C$54&gt;0,Results!$E$4="Fluid"),((AM32*AM$51)/(AM$54)),IF(AND(Results!$E$4="Cells",Results!$E$5="Million",$B$52="million"),((AM32*AM$51)/(AM$52)),"0")))))</f>
        <v>0</v>
      </c>
      <c r="AN85" s="20" t="str">
        <f>IF(AN32=0,"0",IF(AND(Results!$E$5="Protein",$C$53&gt;0,OR(Results!$E$4="Tissue",Results!$E$4="Cells")),((AN32*AN$51)/(AN$53)),IF(AND(Results!$E$5="Weight",$C$52&gt;0, Results!$E$4="Tissue",OR($B$52="g",$B$52="mg")),((AN32*AN$51)/(AN$52)),IF(AND(Results!$E$5="Volume",$C$54&gt;0,Results!$E$4="Fluid"),((AN32*AN$51)/(AN$54)),IF(AND(Results!$E$4="Cells",Results!$E$5="Million",$B$52="million"),((AN32*AN$51)/(AN$52)),"0")))))</f>
        <v>0</v>
      </c>
      <c r="AO85" s="20" t="str">
        <f>IF(AO32=0,"0",IF(AND(Results!$E$5="Protein",$C$53&gt;0,OR(Results!$E$4="Tissue",Results!$E$4="Cells")),((AO32*AO$51)/(AO$53)),IF(AND(Results!$E$5="Weight",$C$52&gt;0, Results!$E$4="Tissue",OR($B$52="g",$B$52="mg")),((AO32*AO$51)/(AO$52)),IF(AND(Results!$E$5="Volume",$C$54&gt;0,Results!$E$4="Fluid"),((AO32*AO$51)/(AO$54)),IF(AND(Results!$E$4="Cells",Results!$E$5="Million",$B$52="million"),((AO32*AO$51)/(AO$52)),"0")))))</f>
        <v>0</v>
      </c>
      <c r="AP85" s="20" t="str">
        <f>IF(AP32=0,"0",IF(AND(Results!$E$5="Protein",$C$53&gt;0,OR(Results!$E$4="Tissue",Results!$E$4="Cells")),((AP32*AP$51)/(AP$53)),IF(AND(Results!$E$5="Weight",$C$52&gt;0, Results!$E$4="Tissue",OR($B$52="g",$B$52="mg")),((AP32*AP$51)/(AP$52)),IF(AND(Results!$E$5="Volume",$C$54&gt;0,Results!$E$4="Fluid"),((AP32*AP$51)/(AP$54)),IF(AND(Results!$E$4="Cells",Results!$E$5="Million",$B$52="million"),((AP32*AP$51)/(AP$52)),"0")))))</f>
        <v>0</v>
      </c>
      <c r="AQ85" s="20" t="str">
        <f>IF(AQ32=0,"0",IF(AND(Results!$E$5="Protein",$C$53&gt;0,OR(Results!$E$4="Tissue",Results!$E$4="Cells")),((AQ32*AQ$51)/(AQ$53)),IF(AND(Results!$E$5="Weight",$C$52&gt;0, Results!$E$4="Tissue",OR($B$52="g",$B$52="mg")),((AQ32*AQ$51)/(AQ$52)),IF(AND(Results!$E$5="Volume",$C$54&gt;0,Results!$E$4="Fluid"),((AQ32*AQ$51)/(AQ$54)),IF(AND(Results!$E$4="Cells",Results!$E$5="Million",$B$52="million"),((AQ32*AQ$51)/(AQ$52)),"0")))))</f>
        <v>0</v>
      </c>
      <c r="AR85" s="20" t="str">
        <f>IF(AR32=0,"0",IF(AND(Results!$E$5="Protein",$C$53&gt;0,OR(Results!$E$4="Tissue",Results!$E$4="Cells")),((AR32*AR$51)/(AR$53)),IF(AND(Results!$E$5="Weight",$C$52&gt;0, Results!$E$4="Tissue",OR($B$52="g",$B$52="mg")),((AR32*AR$51)/(AR$52)),IF(AND(Results!$E$5="Volume",$C$54&gt;0,Results!$E$4="Fluid"),((AR32*AR$51)/(AR$54)),IF(AND(Results!$E$4="Cells",Results!$E$5="Million",$B$52="million"),((AR32*AR$51)/(AR$52)),"0")))))</f>
        <v>0</v>
      </c>
      <c r="AS85" s="20" t="str">
        <f>IF(AS32=0,"0",IF(AND(Results!$E$5="Protein",$C$53&gt;0,OR(Results!$E$4="Tissue",Results!$E$4="Cells")),((AS32*AS$51)/(AS$53)),IF(AND(Results!$E$5="Weight",$C$52&gt;0, Results!$E$4="Tissue",OR($B$52="g",$B$52="mg")),((AS32*AS$51)/(AS$52)),IF(AND(Results!$E$5="Volume",$C$54&gt;0,Results!$E$4="Fluid"),((AS32*AS$51)/(AS$54)),IF(AND(Results!$E$4="Cells",Results!$E$5="Million",$B$52="million"),((AS32*AS$51)/(AS$52)),"0")))))</f>
        <v>0</v>
      </c>
      <c r="AT85" s="20" t="str">
        <f>IF(AT32=0,"0",IF(AND(Results!$E$5="Protein",$C$53&gt;0,OR(Results!$E$4="Tissue",Results!$E$4="Cells")),((AT32*AT$51)/(AT$53)),IF(AND(Results!$E$5="Weight",$C$52&gt;0, Results!$E$4="Tissue",OR($B$52="g",$B$52="mg")),((AT32*AT$51)/(AT$52)),IF(AND(Results!$E$5="Volume",$C$54&gt;0,Results!$E$4="Fluid"),((AT32*AT$51)/(AT$54)),IF(AND(Results!$E$4="Cells",Results!$E$5="Million",$B$52="million"),((AT32*AT$51)/(AT$52)),"0")))))</f>
        <v>0</v>
      </c>
      <c r="AU85" s="20" t="str">
        <f>IF(AU32=0,"0",IF(AND(Results!$E$5="Protein",$C$53&gt;0,OR(Results!$E$4="Tissue",Results!$E$4="Cells")),((AU32*AU$51)/(AU$53)),IF(AND(Results!$E$5="Weight",$C$52&gt;0, Results!$E$4="Tissue",OR($B$52="g",$B$52="mg")),((AU32*AU$51)/(AU$52)),IF(AND(Results!$E$5="Volume",$C$54&gt;0,Results!$E$4="Fluid"),((AU32*AU$51)/(AU$54)),IF(AND(Results!$E$4="Cells",Results!$E$5="Million",$B$52="million"),((AU32*AU$51)/(AU$52)),"0")))))</f>
        <v>0</v>
      </c>
      <c r="AV85" s="20" t="str">
        <f>IF(AV32=0,"0",IF(AND(Results!$E$5="Protein",$C$53&gt;0,OR(Results!$E$4="Tissue",Results!$E$4="Cells")),((AV32*AV$51)/(AV$53)),IF(AND(Results!$E$5="Weight",$C$52&gt;0, Results!$E$4="Tissue",OR($B$52="g",$B$52="mg")),((AV32*AV$51)/(AV$52)),IF(AND(Results!$E$5="Volume",$C$54&gt;0,Results!$E$4="Fluid"),((AV32*AV$51)/(AV$54)),IF(AND(Results!$E$4="Cells",Results!$E$5="Million",$B$52="million"),((AV32*AV$51)/(AV$52)),"0")))))</f>
        <v>0</v>
      </c>
      <c r="AW85" s="20" t="str">
        <f>IF(AW32=0,"0",IF(AND(Results!$E$5="Protein",$C$53&gt;0,OR(Results!$E$4="Tissue",Results!$E$4="Cells")),((AW32*AW$51)/(AW$53)),IF(AND(Results!$E$5="Weight",$C$52&gt;0, Results!$E$4="Tissue",OR($B$52="g",$B$52="mg")),((AW32*AW$51)/(AW$52)),IF(AND(Results!$E$5="Volume",$C$54&gt;0,Results!$E$4="Fluid"),((AW32*AW$51)/(AW$54)),IF(AND(Results!$E$4="Cells",Results!$E$5="Million",$B$52="million"),((AW32*AW$51)/(AW$52)),"0")))))</f>
        <v>0</v>
      </c>
      <c r="AX85" s="20" t="str">
        <f>IF(AX32=0,"0",IF(AND(Results!$E$5="Protein",$C$53&gt;0,OR(Results!$E$4="Tissue",Results!$E$4="Cells")),((AX32*AX$51)/(AX$53)),IF(AND(Results!$E$5="Weight",$C$52&gt;0, Results!$E$4="Tissue",OR($B$52="g",$B$52="mg")),((AX32*AX$51)/(AX$52)),IF(AND(Results!$E$5="Volume",$C$54&gt;0,Results!$E$4="Fluid"),((AX32*AX$51)/(AX$54)),IF(AND(Results!$E$4="Cells",Results!$E$5="Million",$B$52="million"),((AX32*AX$51)/(AX$52)),"0")))))</f>
        <v>0</v>
      </c>
      <c r="AY85" s="20" t="str">
        <f>IF(AY32=0,"0",IF(AND(Results!$E$5="Protein",$C$53&gt;0,OR(Results!$E$4="Tissue",Results!$E$4="Cells")),((AY32*AY$51)/(AY$53)),IF(AND(Results!$E$5="Weight",$C$52&gt;0, Results!$E$4="Tissue",OR($B$52="g",$B$52="mg")),((AY32*AY$51)/(AY$52)),IF(AND(Results!$E$5="Volume",$C$54&gt;0,Results!$E$4="Fluid"),((AY32*AY$51)/(AY$54)),IF(AND(Results!$E$4="Cells",Results!$E$5="Million",$B$52="million"),((AY32*AY$51)/(AY$52)),"0")))))</f>
        <v>0</v>
      </c>
      <c r="AZ85" s="20" t="str">
        <f>IF(AZ32=0,"0",IF(AND(Results!$E$5="Protein",$C$53&gt;0,OR(Results!$E$4="Tissue",Results!$E$4="Cells")),((AZ32*AZ$51)/(AZ$53)),IF(AND(Results!$E$5="Weight",$C$52&gt;0, Results!$E$4="Tissue",OR($B$52="g",$B$52="mg")),((AZ32*AZ$51)/(AZ$52)),IF(AND(Results!$E$5="Volume",$C$54&gt;0,Results!$E$4="Fluid"),((AZ32*AZ$51)/(AZ$54)),IF(AND(Results!$E$4="Cells",Results!$E$5="Million",$B$52="million"),((AZ32*AZ$51)/(AZ$52)),"0")))))</f>
        <v>0</v>
      </c>
      <c r="BA85" s="20" t="str">
        <f>IF(BA32=0,"0",IF(AND(Results!$E$5="Protein",$C$53&gt;0,OR(Results!$E$4="Tissue",Results!$E$4="Cells")),((BA32*BA$51)/(BA$53)),IF(AND(Results!$E$5="Weight",$C$52&gt;0, Results!$E$4="Tissue",OR($B$52="g",$B$52="mg")),((BA32*BA$51)/(BA$52)),IF(AND(Results!$E$5="Volume",$C$54&gt;0,Results!$E$4="Fluid"),((BA32*BA$51)/(BA$54)),IF(AND(Results!$E$4="Cells",Results!$E$5="Million",$B$52="million"),((BA32*BA$51)/(BA$52)),"0")))))</f>
        <v>0</v>
      </c>
      <c r="BB85" s="20" t="str">
        <f>IF(BB32=0,"0",IF(AND(Results!$E$5="Protein",$C$53&gt;0,OR(Results!$E$4="Tissue",Results!$E$4="Cells")),((BB32*BB$51)/(BB$53)),IF(AND(Results!$E$5="Weight",$C$52&gt;0, Results!$E$4="Tissue",OR($B$52="g",$B$52="mg")),((BB32*BB$51)/(BB$52)),IF(AND(Results!$E$5="Volume",$C$54&gt;0,Results!$E$4="Fluid"),((BB32*BB$51)/(BB$54)),IF(AND(Results!$E$4="Cells",Results!$E$5="Million",$B$52="million"),((BB32*BB$51)/(BB$52)),"0")))))</f>
        <v>0</v>
      </c>
      <c r="BC85" s="20" t="str">
        <f>IF(BC32=0,"0",IF(AND(Results!$E$5="Protein",$C$53&gt;0,OR(Results!$E$4="Tissue",Results!$E$4="Cells")),((BC32*BC$51)/(BC$53)),IF(AND(Results!$E$5="Weight",$C$52&gt;0, Results!$E$4="Tissue",OR($B$52="g",$B$52="mg")),((BC32*BC$51)/(BC$52)),IF(AND(Results!$E$5="Volume",$C$54&gt;0,Results!$E$4="Fluid"),((BC32*BC$51)/(BC$54)),IF(AND(Results!$E$4="Cells",Results!$E$5="Million",$B$52="million"),((BC32*BC$51)/(BC$52)),"0")))))</f>
        <v>0</v>
      </c>
      <c r="BD85" s="20" t="str">
        <f>IF(BD32=0,"0",IF(AND(Results!$E$5="Protein",$C$53&gt;0,OR(Results!$E$4="Tissue",Results!$E$4="Cells")),((BD32*BD$51)/(BD$53)),IF(AND(Results!$E$5="Weight",$C$52&gt;0, Results!$E$4="Tissue",OR($B$52="g",$B$52="mg")),((BD32*BD$51)/(BD$52)),IF(AND(Results!$E$5="Volume",$C$54&gt;0,Results!$E$4="Fluid"),((BD32*BD$51)/(BD$54)),IF(AND(Results!$E$4="Cells",Results!$E$5="Million",$B$52="million"),((BD32*BD$51)/(BD$52)),"0")))))</f>
        <v>0</v>
      </c>
      <c r="BE85" s="20" t="str">
        <f>IF(BE32=0,"0",IF(AND(Results!$E$5="Protein",$C$53&gt;0,OR(Results!$E$4="Tissue",Results!$E$4="Cells")),((BE32*BE$51)/(BE$53)),IF(AND(Results!$E$5="Weight",$C$52&gt;0, Results!$E$4="Tissue",OR($B$52="g",$B$52="mg")),((BE32*BE$51)/(BE$52)),IF(AND(Results!$E$5="Volume",$C$54&gt;0,Results!$E$4="Fluid"),((BE32*BE$51)/(BE$54)),IF(AND(Results!$E$4="Cells",Results!$E$5="Million",$B$52="million"),((BE32*BE$51)/(BE$52)),"0")))))</f>
        <v>0</v>
      </c>
      <c r="BF85" s="20" t="str">
        <f>IF(BF32=0,"0",IF(AND(Results!$E$5="Protein",$C$53&gt;0,OR(Results!$E$4="Tissue",Results!$E$4="Cells")),((BF32*BF$51)/(BF$53)),IF(AND(Results!$E$5="Weight",$C$52&gt;0, Results!$E$4="Tissue",OR($B$52="g",$B$52="mg")),((BF32*BF$51)/(BF$52)),IF(AND(Results!$E$5="Volume",$C$54&gt;0,Results!$E$4="Fluid"),((BF32*BF$51)/(BF$54)),IF(AND(Results!$E$4="Cells",Results!$E$5="Million",$B$52="million"),((BF32*BF$51)/(BF$52)),"0")))))</f>
        <v>0</v>
      </c>
      <c r="BG85" s="20" t="str">
        <f>IF(BG32=0,"0",IF(AND(Results!$E$5="Protein",$C$53&gt;0,OR(Results!$E$4="Tissue",Results!$E$4="Cells")),((BG32*BG$51)/(BG$53)),IF(AND(Results!$E$5="Weight",$C$52&gt;0, Results!$E$4="Tissue",OR($B$52="g",$B$52="mg")),((BG32*BG$51)/(BG$52)),IF(AND(Results!$E$5="Volume",$C$54&gt;0,Results!$E$4="Fluid"),((BG32*BG$51)/(BG$54)),IF(AND(Results!$E$4="Cells",Results!$E$5="Million",$B$52="million"),((BG32*BG$51)/(BG$52)),"0")))))</f>
        <v>0</v>
      </c>
      <c r="BH85" s="20" t="str">
        <f>IF(BH32=0,"0",IF(AND(Results!$E$5="Protein",$C$53&gt;0,OR(Results!$E$4="Tissue",Results!$E$4="Cells")),((BH32*BH$51)/(BH$53)),IF(AND(Results!$E$5="Weight",$C$52&gt;0, Results!$E$4="Tissue",OR($B$52="g",$B$52="mg")),((BH32*BH$51)/(BH$52)),IF(AND(Results!$E$5="Volume",$C$54&gt;0,Results!$E$4="Fluid"),((BH32*BH$51)/(BH$54)),IF(AND(Results!$E$4="Cells",Results!$E$5="Million",$B$52="million"),((BH32*BH$51)/(BH$52)),"0")))))</f>
        <v>0</v>
      </c>
      <c r="BI85" s="20" t="str">
        <f>IF(BI32=0,"0",IF(AND(Results!$E$5="Protein",$C$53&gt;0,OR(Results!$E$4="Tissue",Results!$E$4="Cells")),((BI32*BI$51)/(BI$53)),IF(AND(Results!$E$5="Weight",$C$52&gt;0, Results!$E$4="Tissue",OR($B$52="g",$B$52="mg")),((BI32*BI$51)/(BI$52)),IF(AND(Results!$E$5="Volume",$C$54&gt;0,Results!$E$4="Fluid"),((BI32*BI$51)/(BI$54)),IF(AND(Results!$E$4="Cells",Results!$E$5="Million",$B$52="million"),((BI32*BI$51)/(BI$52)),"0")))))</f>
        <v>0</v>
      </c>
      <c r="BJ85" s="20" t="str">
        <f>IF(BJ32=0,"0",IF(AND(Results!$E$5="Protein",$C$53&gt;0,OR(Results!$E$4="Tissue",Results!$E$4="Cells")),((BJ32*BJ$51)/(BJ$53)),IF(AND(Results!$E$5="Weight",$C$52&gt;0, Results!$E$4="Tissue",OR($B$52="g",$B$52="mg")),((BJ32*BJ$51)/(BJ$52)),IF(AND(Results!$E$5="Volume",$C$54&gt;0,Results!$E$4="Fluid"),((BJ32*BJ$51)/(BJ$54)),IF(AND(Results!$E$4="Cells",Results!$E$5="Million",$B$52="million"),((BJ32*BJ$51)/(BJ$52)),"0")))))</f>
        <v>0</v>
      </c>
      <c r="BK85" s="20" t="str">
        <f>IF(BK32=0,"0",IF(AND(Results!$E$5="Protein",$C$53&gt;0,OR(Results!$E$4="Tissue",Results!$E$4="Cells")),((BK32*BK$51)/(BK$53)),IF(AND(Results!$E$5="Weight",$C$52&gt;0, Results!$E$4="Tissue",OR($B$52="g",$B$52="mg")),((BK32*BK$51)/(BK$52)),IF(AND(Results!$E$5="Volume",$C$54&gt;0,Results!$E$4="Fluid"),((BK32*BK$51)/(BK$54)),IF(AND(Results!$E$4="Cells",Results!$E$5="Million",$B$52="million"),((BK32*BK$51)/(BK$52)),"0")))))</f>
        <v>0</v>
      </c>
      <c r="BL85" s="20" t="str">
        <f>IF(BL32=0,"0",IF(AND(Results!$E$5="Protein",$C$53&gt;0,OR(Results!$E$4="Tissue",Results!$E$4="Cells")),((BL32*BL$51)/(BL$53)),IF(AND(Results!$E$5="Weight",$C$52&gt;0, Results!$E$4="Tissue",OR($B$52="g",$B$52="mg")),((BL32*BL$51)/(BL$52)),IF(AND(Results!$E$5="Volume",$C$54&gt;0,Results!$E$4="Fluid"),((BL32*BL$51)/(BL$54)),IF(AND(Results!$E$4="Cells",Results!$E$5="Million",$B$52="million"),((BL32*BL$51)/(BL$52)),"0")))))</f>
        <v>0</v>
      </c>
      <c r="BM85" s="20" t="str">
        <f>IF(BM32=0,"0",IF(AND(Results!$E$5="Protein",$C$53&gt;0,OR(Results!$E$4="Tissue",Results!$E$4="Cells")),((BM32*BM$51)/(BM$53)),IF(AND(Results!$E$5="Weight",$C$52&gt;0, Results!$E$4="Tissue",OR($B$52="g",$B$52="mg")),((BM32*BM$51)/(BM$52)),IF(AND(Results!$E$5="Volume",$C$54&gt;0,Results!$E$4="Fluid"),((BM32*BM$51)/(BM$54)),IF(AND(Results!$E$4="Cells",Results!$E$5="Million",$B$52="million"),((BM32*BM$51)/(BM$52)),"0")))))</f>
        <v>0</v>
      </c>
      <c r="BN85" s="20" t="str">
        <f>IF(BN32=0,"0",IF(AND(Results!$E$5="Protein",$C$53&gt;0,OR(Results!$E$4="Tissue",Results!$E$4="Cells")),((BN32*BN$51)/(BN$53)),IF(AND(Results!$E$5="Weight",$C$52&gt;0, Results!$E$4="Tissue",OR($B$52="g",$B$52="mg")),((BN32*BN$51)/(BN$52)),IF(AND(Results!$E$5="Volume",$C$54&gt;0,Results!$E$4="Fluid"),((BN32*BN$51)/(BN$54)),IF(AND(Results!$E$4="Cells",Results!$E$5="Million",$B$52="million"),((BN32*BN$51)/(BN$52)),"0")))))</f>
        <v>0</v>
      </c>
      <c r="BO85" s="20" t="str">
        <f>IF(BO32=0,"0",IF(AND(Results!$E$5="Protein",$C$53&gt;0,OR(Results!$E$4="Tissue",Results!$E$4="Cells")),((BO32*BO$51)/(BO$53)),IF(AND(Results!$E$5="Weight",$C$52&gt;0, Results!$E$4="Tissue",OR($B$52="g",$B$52="mg")),((BO32*BO$51)/(BO$52)),IF(AND(Results!$E$5="Volume",$C$54&gt;0,Results!$E$4="Fluid"),((BO32*BO$51)/(BO$54)),IF(AND(Results!$E$4="Cells",Results!$E$5="Million",$B$52="million"),((BO32*BO$51)/(BO$52)),"0")))))</f>
        <v>0</v>
      </c>
      <c r="BP85" s="20" t="str">
        <f>IF(BP32=0,"0",IF(AND(Results!$E$5="Protein",$C$53&gt;0,OR(Results!$E$4="Tissue",Results!$E$4="Cells")),((BP32*BP$51)/(BP$53)),IF(AND(Results!$E$5="Weight",$C$52&gt;0, Results!$E$4="Tissue",OR($B$52="g",$B$52="mg")),((BP32*BP$51)/(BP$52)),IF(AND(Results!$E$5="Volume",$C$54&gt;0,Results!$E$4="Fluid"),((BP32*BP$51)/(BP$54)),IF(AND(Results!$E$4="Cells",Results!$E$5="Million",$B$52="million"),((BP32*BP$51)/(BP$52)),"0")))))</f>
        <v>0</v>
      </c>
      <c r="BQ85" s="20" t="str">
        <f>IF(BQ32=0,"0",IF(AND(Results!$E$5="Protein",$C$53&gt;0,OR(Results!$E$4="Tissue",Results!$E$4="Cells")),((BQ32*BQ$51)/(BQ$53)),IF(AND(Results!$E$5="Weight",$C$52&gt;0, Results!$E$4="Tissue",OR($B$52="g",$B$52="mg")),((BQ32*BQ$51)/(BQ$52)),IF(AND(Results!$E$5="Volume",$C$54&gt;0,Results!$E$4="Fluid"),((BQ32*BQ$51)/(BQ$54)),IF(AND(Results!$E$4="Cells",Results!$E$5="Million",$B$52="million"),((BQ32*BQ$51)/(BQ$52)),"0")))))</f>
        <v>0</v>
      </c>
      <c r="BR85" s="20" t="str">
        <f>IF(BR32=0,"0",IF(AND(Results!$E$5="Protein",$C$53&gt;0,OR(Results!$E$4="Tissue",Results!$E$4="Cells")),((BR32*BR$51)/(BR$53)),IF(AND(Results!$E$5="Weight",$C$52&gt;0, Results!$E$4="Tissue",OR($B$52="g",$B$52="mg")),((BR32*BR$51)/(BR$52)),IF(AND(Results!$E$5="Volume",$C$54&gt;0,Results!$E$4="Fluid"),((BR32*BR$51)/(BR$54)),IF(AND(Results!$E$4="Cells",Results!$E$5="Million",$B$52="million"),((BR32*BR$51)/(BR$52)),"0")))))</f>
        <v>0</v>
      </c>
      <c r="BS85" s="20" t="str">
        <f>IF(BS32=0,"0",IF(AND(Results!$E$5="Protein",$C$53&gt;0,OR(Results!$E$4="Tissue",Results!$E$4="Cells")),((BS32*BS$51)/(BS$53)),IF(AND(Results!$E$5="Weight",$C$52&gt;0, Results!$E$4="Tissue",OR($B$52="g",$B$52="mg")),((BS32*BS$51)/(BS$52)),IF(AND(Results!$E$5="Volume",$C$54&gt;0,Results!$E$4="Fluid"),((BS32*BS$51)/(BS$54)),IF(AND(Results!$E$4="Cells",Results!$E$5="Million",$B$52="million"),((BS32*BS$51)/(BS$52)),"0")))))</f>
        <v>0</v>
      </c>
      <c r="BT85" s="20" t="str">
        <f>IF(BT32=0,"0",IF(AND(Results!$E$5="Protein",$C$53&gt;0,OR(Results!$E$4="Tissue",Results!$E$4="Cells")),((BT32*BT$51)/(BT$53)),IF(AND(Results!$E$5="Weight",$C$52&gt;0, Results!$E$4="Tissue",OR($B$52="g",$B$52="mg")),((BT32*BT$51)/(BT$52)),IF(AND(Results!$E$5="Volume",$C$54&gt;0,Results!$E$4="Fluid"),((BT32*BT$51)/(BT$54)),IF(AND(Results!$E$4="Cells",Results!$E$5="Million",$B$52="million"),((BT32*BT$51)/(BT$52)),"0")))))</f>
        <v>0</v>
      </c>
      <c r="BU85" s="20" t="str">
        <f>IF(BU32=0,"0",IF(AND(Results!$E$5="Protein",$C$53&gt;0,OR(Results!$E$4="Tissue",Results!$E$4="Cells")),((BU32*BU$51)/(BU$53)),IF(AND(Results!$E$5="Weight",$C$52&gt;0, Results!$E$4="Tissue",OR($B$52="g",$B$52="mg")),((BU32*BU$51)/(BU$52)),IF(AND(Results!$E$5="Volume",$C$54&gt;0,Results!$E$4="Fluid"),((BU32*BU$51)/(BU$54)),IF(AND(Results!$E$4="Cells",Results!$E$5="Million",$B$52="million"),((BU32*BU$51)/(BU$52)),"0")))))</f>
        <v>0</v>
      </c>
      <c r="BV85" s="20" t="str">
        <f>IF(BV32=0,"0",IF(AND(Results!$E$5="Protein",$C$53&gt;0,OR(Results!$E$4="Tissue",Results!$E$4="Cells")),((BV32*BV$51)/(BV$53)),IF(AND(Results!$E$5="Weight",$C$52&gt;0, Results!$E$4="Tissue",OR($B$52="g",$B$52="mg")),((BV32*BV$51)/(BV$52)),IF(AND(Results!$E$5="Volume",$C$54&gt;0,Results!$E$4="Fluid"),((BV32*BV$51)/(BV$54)),IF(AND(Results!$E$4="Cells",Results!$E$5="Million",$B$52="million"),((BV32*BV$51)/(BV$52)),"0")))))</f>
        <v>0</v>
      </c>
      <c r="BW85" s="20" t="str">
        <f>IF(BW32=0,"0",IF(AND(Results!$E$5="Protein",$C$53&gt;0,OR(Results!$E$4="Tissue",Results!$E$4="Cells")),((BW32*BW$51)/(BW$53)),IF(AND(Results!$E$5="Weight",$C$52&gt;0, Results!$E$4="Tissue",OR($B$52="g",$B$52="mg")),((BW32*BW$51)/(BW$52)),IF(AND(Results!$E$5="Volume",$C$54&gt;0,Results!$E$4="Fluid"),((BW32*BW$51)/(BW$54)),IF(AND(Results!$E$4="Cells",Results!$E$5="Million",$B$52="million"),((BW32*BW$51)/(BW$52)),"0")))))</f>
        <v>0</v>
      </c>
      <c r="BX85" s="20" t="str">
        <f>IF(BX32=0,"0",IF(AND(Results!$E$5="Protein",$C$53&gt;0,OR(Results!$E$4="Tissue",Results!$E$4="Cells")),((BX32*BX$51)/(BX$53)),IF(AND(Results!$E$5="Weight",$C$52&gt;0, Results!$E$4="Tissue",OR($B$52="g",$B$52="mg")),((BX32*BX$51)/(BX$52)),IF(AND(Results!$E$5="Volume",$C$54&gt;0,Results!$E$4="Fluid"),((BX32*BX$51)/(BX$54)),IF(AND(Results!$E$4="Cells",Results!$E$5="Million",$B$52="million"),((BX32*BX$51)/(BX$52)),"0")))))</f>
        <v>0</v>
      </c>
      <c r="BY85" s="20" t="str">
        <f>IF(BY32=0,"0",IF(AND(Results!$E$5="Protein",$C$53&gt;0,OR(Results!$E$4="Tissue",Results!$E$4="Cells")),((BY32*BY$51)/(BY$53)),IF(AND(Results!$E$5="Weight",$C$52&gt;0, Results!$E$4="Tissue",OR($B$52="g",$B$52="mg")),((BY32*BY$51)/(BY$52)),IF(AND(Results!$E$5="Volume",$C$54&gt;0,Results!$E$4="Fluid"),((BY32*BY$51)/(BY$54)),IF(AND(Results!$E$4="Cells",Results!$E$5="Million",$B$52="million"),((BY32*BY$51)/(BY$52)),"0")))))</f>
        <v>0</v>
      </c>
      <c r="BZ85" s="20" t="str">
        <f>IF(BZ32=0,"0",IF(AND(Results!$E$5="Protein",$C$53&gt;0,OR(Results!$E$4="Tissue",Results!$E$4="Cells")),((BZ32*BZ$51)/(BZ$53)),IF(AND(Results!$E$5="Weight",$C$52&gt;0, Results!$E$4="Tissue",OR($B$52="g",$B$52="mg")),((BZ32*BZ$51)/(BZ$52)),IF(AND(Results!$E$5="Volume",$C$54&gt;0,Results!$E$4="Fluid"),((BZ32*BZ$51)/(BZ$54)),IF(AND(Results!$E$4="Cells",Results!$E$5="Million",$B$52="million"),((BZ32*BZ$51)/(BZ$52)),"0")))))</f>
        <v>0</v>
      </c>
      <c r="CA85" s="20" t="str">
        <f>IF(CA32=0,"0",IF(AND(Results!$E$5="Protein",$C$53&gt;0,OR(Results!$E$4="Tissue",Results!$E$4="Cells")),((CA32*CA$51)/(CA$53)),IF(AND(Results!$E$5="Weight",$C$52&gt;0, Results!$E$4="Tissue",OR($B$52="g",$B$52="mg")),((CA32*CA$51)/(CA$52)),IF(AND(Results!$E$5="Volume",$C$54&gt;0,Results!$E$4="Fluid"),((CA32*CA$51)/(CA$54)),IF(AND(Results!$E$4="Cells",Results!$E$5="Million",$B$52="million"),((CA32*CA$51)/(CA$52)),"0")))))</f>
        <v>0</v>
      </c>
      <c r="CB85" s="20" t="str">
        <f>IF(CB32=0,"0",IF(AND(Results!$E$5="Protein",$C$53&gt;0,OR(Results!$E$4="Tissue",Results!$E$4="Cells")),((CB32*CB$51)/(CB$53)),IF(AND(Results!$E$5="Weight",$C$52&gt;0, Results!$E$4="Tissue",OR($B$52="g",$B$52="mg")),((CB32*CB$51)/(CB$52)),IF(AND(Results!$E$5="Volume",$C$54&gt;0,Results!$E$4="Fluid"),((CB32*CB$51)/(CB$54)),IF(AND(Results!$E$4="Cells",Results!$E$5="Million",$B$52="million"),((CB32*CB$51)/(CB$52)),"0")))))</f>
        <v>0</v>
      </c>
      <c r="CC85" s="20" t="str">
        <f>IF(CC32=0,"0",IF(AND(Results!$E$5="Protein",$C$53&gt;0,OR(Results!$E$4="Tissue",Results!$E$4="Cells")),((CC32*CC$51)/(CC$53)),IF(AND(Results!$E$5="Weight",$C$52&gt;0, Results!$E$4="Tissue",OR($B$52="g",$B$52="mg")),((CC32*CC$51)/(CC$52)),IF(AND(Results!$E$5="Volume",$C$54&gt;0,Results!$E$4="Fluid"),((CC32*CC$51)/(CC$54)),IF(AND(Results!$E$4="Cells",Results!$E$5="Million",$B$52="million"),((CC32*CC$51)/(CC$52)),"0")))))</f>
        <v>0</v>
      </c>
      <c r="CD85" s="20" t="str">
        <f>IF(CD32=0,"0",IF(AND(Results!$E$5="Protein",$C$53&gt;0,OR(Results!$E$4="Tissue",Results!$E$4="Cells")),((CD32*CD$51)/(CD$53)),IF(AND(Results!$E$5="Weight",$C$52&gt;0, Results!$E$4="Tissue",OR($B$52="g",$B$52="mg")),((CD32*CD$51)/(CD$52)),IF(AND(Results!$E$5="Volume",$C$54&gt;0,Results!$E$4="Fluid"),((CD32*CD$51)/(CD$54)),IF(AND(Results!$E$4="Cells",Results!$E$5="Million",$B$52="million"),((CD32*CD$51)/(CD$52)),"0")))))</f>
        <v>0</v>
      </c>
      <c r="CE85" s="20" t="str">
        <f>IF(CE32=0,"0",IF(AND(Results!$E$5="Protein",$C$53&gt;0,OR(Results!$E$4="Tissue",Results!$E$4="Cells")),((CE32*CE$51)/(CE$53)),IF(AND(Results!$E$5="Weight",$C$52&gt;0, Results!$E$4="Tissue",OR($B$52="g",$B$52="mg")),((CE32*CE$51)/(CE$52)),IF(AND(Results!$E$5="Volume",$C$54&gt;0,Results!$E$4="Fluid"),((CE32*CE$51)/(CE$54)),IF(AND(Results!$E$4="Cells",Results!$E$5="Million",$B$52="million"),((CE32*CE$51)/(CE$52)),"0")))))</f>
        <v>0</v>
      </c>
      <c r="CF85" s="20" t="str">
        <f>IF(CF32=0,"0",IF(AND(Results!$E$5="Protein",$C$53&gt;0,OR(Results!$E$4="Tissue",Results!$E$4="Cells")),((CF32*CF$51)/(CF$53)),IF(AND(Results!$E$5="Weight",$C$52&gt;0, Results!$E$4="Tissue",OR($B$52="g",$B$52="mg")),((CF32*CF$51)/(CF$52)),IF(AND(Results!$E$5="Volume",$C$54&gt;0,Results!$E$4="Fluid"),((CF32*CF$51)/(CF$54)),IF(AND(Results!$E$4="Cells",Results!$E$5="Million",$B$52="million"),((CF32*CF$51)/(CF$52)),"0")))))</f>
        <v>0</v>
      </c>
      <c r="CG85" s="20" t="str">
        <f>IF(CG32=0,"0",IF(AND(Results!$E$5="Protein",$C$53&gt;0,OR(Results!$E$4="Tissue",Results!$E$4="Cells")),((CG32*CG$51)/(CG$53)),IF(AND(Results!$E$5="Weight",$C$52&gt;0, Results!$E$4="Tissue",OR($B$52="g",$B$52="mg")),((CG32*CG$51)/(CG$52)),IF(AND(Results!$E$5="Volume",$C$54&gt;0,Results!$E$4="Fluid"),((CG32*CG$51)/(CG$54)),IF(AND(Results!$E$4="Cells",Results!$E$5="Million",$B$52="million"),((CG32*CG$51)/(CG$52)),"0")))))</f>
        <v>0</v>
      </c>
      <c r="CH85" s="20" t="str">
        <f>IF(CH32=0,"0",IF(AND(Results!$E$5="Protein",$C$53&gt;0,OR(Results!$E$4="Tissue",Results!$E$4="Cells")),((CH32*CH$51)/(CH$53)),IF(AND(Results!$E$5="Weight",$C$52&gt;0, Results!$E$4="Tissue",OR($B$52="g",$B$52="mg")),((CH32*CH$51)/(CH$52)),IF(AND(Results!$E$5="Volume",$C$54&gt;0,Results!$E$4="Fluid"),((CH32*CH$51)/(CH$54)),IF(AND(Results!$E$4="Cells",Results!$E$5="Million",$B$52="million"),((CH32*CH$51)/(CH$52)),"0")))))</f>
        <v>0</v>
      </c>
      <c r="CI85" s="20" t="str">
        <f>IF(CI32=0,"0",IF(AND(Results!$E$5="Protein",$C$53&gt;0,OR(Results!$E$4="Tissue",Results!$E$4="Cells")),((CI32*CI$51)/(CI$53)),IF(AND(Results!$E$5="Weight",$C$52&gt;0, Results!$E$4="Tissue",OR($B$52="g",$B$52="mg")),((CI32*CI$51)/(CI$52)),IF(AND(Results!$E$5="Volume",$C$54&gt;0,Results!$E$4="Fluid"),((CI32*CI$51)/(CI$54)),IF(AND(Results!$E$4="Cells",Results!$E$5="Million",$B$52="million"),((CI32*CI$51)/(CI$52)),"0")))))</f>
        <v>0</v>
      </c>
      <c r="CJ85" s="20" t="str">
        <f>IF(CJ32=0,"0",IF(AND(Results!$E$5="Protein",$C$53&gt;0,OR(Results!$E$4="Tissue",Results!$E$4="Cells")),((CJ32*CJ$51)/(CJ$53)),IF(AND(Results!$E$5="Weight",$C$52&gt;0, Results!$E$4="Tissue",OR($B$52="g",$B$52="mg")),((CJ32*CJ$51)/(CJ$52)),IF(AND(Results!$E$5="Volume",$C$54&gt;0,Results!$E$4="Fluid"),((CJ32*CJ$51)/(CJ$54)),IF(AND(Results!$E$4="Cells",Results!$E$5="Million",$B$52="million"),((CJ32*CJ$51)/(CJ$52)),"0")))))</f>
        <v>0</v>
      </c>
      <c r="CK85" s="20" t="str">
        <f>IF(CK32=0,"0",IF(AND(Results!$E$5="Protein",$C$53&gt;0,OR(Results!$E$4="Tissue",Results!$E$4="Cells")),((CK32*CK$51)/(CK$53)),IF(AND(Results!$E$5="Weight",$C$52&gt;0, Results!$E$4="Tissue",OR($B$52="g",$B$52="mg")),((CK32*CK$51)/(CK$52)),IF(AND(Results!$E$5="Volume",$C$54&gt;0,Results!$E$4="Fluid"),((CK32*CK$51)/(CK$54)),IF(AND(Results!$E$4="Cells",Results!$E$5="Million",$B$52="million"),((CK32*CK$51)/(CK$52)),"0")))))</f>
        <v>0</v>
      </c>
      <c r="CL85" s="20" t="str">
        <f>IF(CL32=0,"0",IF(AND(Results!$E$5="Protein",$C$53&gt;0,OR(Results!$E$4="Tissue",Results!$E$4="Cells")),((CL32*CL$51)/(CL$53)),IF(AND(Results!$E$5="Weight",$C$52&gt;0, Results!$E$4="Tissue",OR($B$52="g",$B$52="mg")),((CL32*CL$51)/(CL$52)),IF(AND(Results!$E$5="Volume",$C$54&gt;0,Results!$E$4="Fluid"),((CL32*CL$51)/(CL$54)),IF(AND(Results!$E$4="Cells",Results!$E$5="Million",$B$52="million"),((CL32*CL$51)/(CL$52)),"0")))))</f>
        <v>0</v>
      </c>
      <c r="CM85" s="20" t="str">
        <f>IF(CM32=0,"0",IF(AND(Results!$E$5="Protein",$C$53&gt;0,OR(Results!$E$4="Tissue",Results!$E$4="Cells")),((CM32*CM$51)/(CM$53)),IF(AND(Results!$E$5="Weight",$C$52&gt;0, Results!$E$4="Tissue",OR($B$52="g",$B$52="mg")),((CM32*CM$51)/(CM$52)),IF(AND(Results!$E$5="Volume",$C$54&gt;0,Results!$E$4="Fluid"),((CM32*CM$51)/(CM$54)),IF(AND(Results!$E$4="Cells",Results!$E$5="Million",$B$52="million"),((CM32*CM$51)/(CM$52)),"0")))))</f>
        <v>0</v>
      </c>
      <c r="CN85" s="20" t="str">
        <f>IF(CN32=0,"0",IF(AND(Results!$E$5="Protein",$C$53&gt;0,OR(Results!$E$4="Tissue",Results!$E$4="Cells")),((CN32*CN$51)/(CN$53)),IF(AND(Results!$E$5="Weight",$C$52&gt;0, Results!$E$4="Tissue",OR($B$52="g",$B$52="mg")),((CN32*CN$51)/(CN$52)),IF(AND(Results!$E$5="Volume",$C$54&gt;0,Results!$E$4="Fluid"),((CN32*CN$51)/(CN$54)),IF(AND(Results!$E$4="Cells",Results!$E$5="Million",$B$52="million"),((CN32*CN$51)/(CN$52)),"0")))))</f>
        <v>0</v>
      </c>
      <c r="CO85" s="20" t="str">
        <f>IF(CO32=0,"0",IF(AND(Results!$E$5="Protein",$C$53&gt;0,OR(Results!$E$4="Tissue",Results!$E$4="Cells")),((CO32*CO$51)/(CO$53)),IF(AND(Results!$E$5="Weight",$C$52&gt;0, Results!$E$4="Tissue",OR($B$52="g",$B$52="mg")),((CO32*CO$51)/(CO$52)),IF(AND(Results!$E$5="Volume",$C$54&gt;0,Results!$E$4="Fluid"),((CO32*CO$51)/(CO$54)),IF(AND(Results!$E$4="Cells",Results!$E$5="Million",$B$52="million"),((CO32*CO$51)/(CO$52)),"0")))))</f>
        <v>0</v>
      </c>
      <c r="CP85" s="20" t="str">
        <f>IF(CP32=0,"0",IF(AND(Results!$E$5="Protein",$C$53&gt;0,OR(Results!$E$4="Tissue",Results!$E$4="Cells")),((CP32*CP$51)/(CP$53)),IF(AND(Results!$E$5="Weight",$C$52&gt;0, Results!$E$4="Tissue",OR($B$52="g",$B$52="mg")),((CP32*CP$51)/(CP$52)),IF(AND(Results!$E$5="Volume",$C$54&gt;0,Results!$E$4="Fluid"),((CP32*CP$51)/(CP$54)),IF(AND(Results!$E$4="Cells",Results!$E$5="Million",$B$52="million"),((CP32*CP$51)/(CP$52)),"0")))))</f>
        <v>0</v>
      </c>
      <c r="CQ85" s="20" t="str">
        <f>IF(CQ32=0,"0",IF(AND(Results!$E$5="Protein",$C$53&gt;0,OR(Results!$E$4="Tissue",Results!$E$4="Cells")),((CQ32*CQ$51)/(CQ$53)),IF(AND(Results!$E$5="Weight",$C$52&gt;0, Results!$E$4="Tissue",OR($B$52="g",$B$52="mg")),((CQ32*CQ$51)/(CQ$52)),IF(AND(Results!$E$5="Volume",$C$54&gt;0,Results!$E$4="Fluid"),((CQ32*CQ$51)/(CQ$54)),IF(AND(Results!$E$4="Cells",Results!$E$5="Million",$B$52="million"),((CQ32*CQ$51)/(CQ$52)),"0")))))</f>
        <v>0</v>
      </c>
      <c r="CR85" s="20" t="str">
        <f>IF(CR32=0,"0",IF(AND(Results!$E$5="Protein",$C$53&gt;0,OR(Results!$E$4="Tissue",Results!$E$4="Cells")),((CR32*CR$51)/(CR$53)),IF(AND(Results!$E$5="Weight",$C$52&gt;0, Results!$E$4="Tissue",OR($B$52="g",$B$52="mg")),((CR32*CR$51)/(CR$52)),IF(AND(Results!$E$5="Volume",$C$54&gt;0,Results!$E$4="Fluid"),((CR32*CR$51)/(CR$54)),IF(AND(Results!$E$4="Cells",Results!$E$5="Million",$B$52="million"),((CR32*CR$51)/(CR$52)),"0")))))</f>
        <v>0</v>
      </c>
      <c r="CS85" s="20" t="str">
        <f>IF(CS32=0,"0",IF(AND(Results!$E$5="Protein",$C$53&gt;0,OR(Results!$E$4="Tissue",Results!$E$4="Cells")),((CS32*CS$51)/(CS$53)),IF(AND(Results!$E$5="Weight",$C$52&gt;0, Results!$E$4="Tissue",OR($B$52="g",$B$52="mg")),((CS32*CS$51)/(CS$52)),IF(AND(Results!$E$5="Volume",$C$54&gt;0,Results!$E$4="Fluid"),((CS32*CS$51)/(CS$54)),IF(AND(Results!$E$4="Cells",Results!$E$5="Million",$B$52="million"),((CS32*CS$51)/(CS$52)),"0")))))</f>
        <v>0</v>
      </c>
      <c r="CT85" s="20" t="str">
        <f>IF(CT32=0,"0",IF(AND(Results!$E$5="Protein",$C$53&gt;0,OR(Results!$E$4="Tissue",Results!$E$4="Cells")),((CT32*CT$51)/(CT$53)),IF(AND(Results!$E$5="Weight",$C$52&gt;0, Results!$E$4="Tissue",OR($B$52="g",$B$52="mg")),((CT32*CT$51)/(CT$52)),IF(AND(Results!$E$5="Volume",$C$54&gt;0,Results!$E$4="Fluid"),((CT32*CT$51)/(CT$54)),IF(AND(Results!$E$4="Cells",Results!$E$5="Million",$B$52="million"),((CT32*CT$51)/(CT$52)),"0")))))</f>
        <v>0</v>
      </c>
      <c r="CU85" s="20" t="str">
        <f>IF(CU32=0,"0",IF(AND(Results!$E$5="Protein",$C$53&gt;0,OR(Results!$E$4="Tissue",Results!$E$4="Cells")),((CU32*CU$51)/(CU$53)),IF(AND(Results!$E$5="Weight",$C$52&gt;0, Results!$E$4="Tissue",OR($B$52="g",$B$52="mg")),((CU32*CU$51)/(CU$52)),IF(AND(Results!$E$5="Volume",$C$54&gt;0,Results!$E$4="Fluid"),((CU32*CU$51)/(CU$54)),IF(AND(Results!$E$4="Cells",Results!$E$5="Million",$B$52="million"),((CU32*CU$51)/(CU$52)),"0")))))</f>
        <v>0</v>
      </c>
      <c r="CV85" s="20" t="str">
        <f>IF(CV32=0,"0",IF(AND(Results!$E$5="Protein",$C$53&gt;0,OR(Results!$E$4="Tissue",Results!$E$4="Cells")),((CV32*CV$51)/(CV$53)),IF(AND(Results!$E$5="Weight",$C$52&gt;0, Results!$E$4="Tissue",OR($B$52="g",$B$52="mg")),((CV32*CV$51)/(CV$52)),IF(AND(Results!$E$5="Volume",$C$54&gt;0,Results!$E$4="Fluid"),((CV32*CV$51)/(CV$54)),IF(AND(Results!$E$4="Cells",Results!$E$5="Million",$B$52="million"),((CV32*CV$51)/(CV$52)),"0")))))</f>
        <v>0</v>
      </c>
      <c r="CW85" s="20" t="str">
        <f>IF(CW32=0,"0",IF(AND(Results!$E$5="Protein",$C$53&gt;0,OR(Results!$E$4="Tissue",Results!$E$4="Cells")),((CW32*CW$51)/(CW$53)),IF(AND(Results!$E$5="Weight",$C$52&gt;0, Results!$E$4="Tissue",OR($B$52="g",$B$52="mg")),((CW32*CW$51)/(CW$52)),IF(AND(Results!$E$5="Volume",$C$54&gt;0,Results!$E$4="Fluid"),((CW32*CW$51)/(CW$54)),IF(AND(Results!$E$4="Cells",Results!$E$5="Million",$B$52="million"),((CW32*CW$51)/(CW$52)),"0")))))</f>
        <v>0</v>
      </c>
      <c r="CX85" s="20" t="str">
        <f>IF(CX32=0,"0",IF(AND(Results!$E$5="Protein",$C$53&gt;0,OR(Results!$E$4="Tissue",Results!$E$4="Cells")),((CX32*CX$51)/(CX$53)),IF(AND(Results!$E$5="Weight",$C$52&gt;0, Results!$E$4="Tissue",OR($B$52="g",$B$52="mg")),((CX32*CX$51)/(CX$52)),IF(AND(Results!$E$5="Volume",$C$54&gt;0,Results!$E$4="Fluid"),((CX32*CX$51)/(CX$54)),IF(AND(Results!$E$4="Cells",Results!$E$5="Million",$B$52="million"),((CX32*CX$51)/(CX$52)),"0")))))</f>
        <v>0</v>
      </c>
      <c r="CY85" s="20" t="str">
        <f>IF(CY32=0,"0",IF(AND(Results!$E$5="Protein",$C$53&gt;0,OR(Results!$E$4="Tissue",Results!$E$4="Cells")),((CY32*CY$51)/(CY$53)),IF(AND(Results!$E$5="Weight",$C$52&gt;0, Results!$E$4="Tissue",OR($B$52="g",$B$52="mg")),((CY32*CY$51)/(CY$52)),IF(AND(Results!$E$5="Volume",$C$54&gt;0,Results!$E$4="Fluid"),((CY32*CY$51)/(CY$54)),IF(AND(Results!$E$4="Cells",Results!$E$5="Million",$B$52="million"),((CY32*CY$51)/(CY$52)),"0")))))</f>
        <v>0</v>
      </c>
      <c r="CZ85" s="20" t="str">
        <f>IF(CZ32=0,"0",IF(AND(Results!$E$5="Protein",$C$53&gt;0,OR(Results!$E$4="Tissue",Results!$E$4="Cells")),((CZ32*CZ$51)/(CZ$53)),IF(AND(Results!$E$5="Weight",$C$52&gt;0, Results!$E$4="Tissue",OR($B$52="g",$B$52="mg")),((CZ32*CZ$51)/(CZ$52)),IF(AND(Results!$E$5="Volume",$C$54&gt;0,Results!$E$4="Fluid"),((CZ32*CZ$51)/(CZ$54)),IF(AND(Results!$E$4="Cells",Results!$E$5="Million",$B$52="million"),((CZ32*CZ$51)/(CZ$52)),"0")))))</f>
        <v>0</v>
      </c>
      <c r="DA85" s="20" t="str">
        <f>IF(DA32=0,"0",IF(AND(Results!$E$5="Protein",$C$53&gt;0,OR(Results!$E$4="Tissue",Results!$E$4="Cells")),((DA32*DA$51)/(DA$53)),IF(AND(Results!$E$5="Weight",$C$52&gt;0, Results!$E$4="Tissue",OR($B$52="g",$B$52="mg")),((DA32*DA$51)/(DA$52)),IF(AND(Results!$E$5="Volume",$C$54&gt;0,Results!$E$4="Fluid"),((DA32*DA$51)/(DA$54)),IF(AND(Results!$E$4="Cells",Results!$E$5="Million",$B$52="million"),((DA32*DA$51)/(DA$52)),"0")))))</f>
        <v>0</v>
      </c>
      <c r="DB85" s="20" t="str">
        <f>IF(DB32=0,"0",IF(AND(Results!$E$5="Protein",$C$53&gt;0,OR(Results!$E$4="Tissue",Results!$E$4="Cells")),((DB32*DB$51)/(DB$53)),IF(AND(Results!$E$5="Weight",$C$52&gt;0, Results!$E$4="Tissue",OR($B$52="g",$B$52="mg")),((DB32*DB$51)/(DB$52)),IF(AND(Results!$E$5="Volume",$C$54&gt;0,Results!$E$4="Fluid"),((DB32*DB$51)/(DB$54)),IF(AND(Results!$E$4="Cells",Results!$E$5="Million",$B$52="million"),((DB32*DB$51)/(DB$52)),"0")))))</f>
        <v>0</v>
      </c>
      <c r="DC85" s="20" t="str">
        <f>IF(DC32=0,"0",IF(AND(Results!$E$5="Protein",$C$53&gt;0,OR(Results!$E$4="Tissue",Results!$E$4="Cells")),((DC32*DC$51)/(DC$53)),IF(AND(Results!$E$5="Weight",$C$52&gt;0, Results!$E$4="Tissue",OR($B$52="g",$B$52="mg")),((DC32*DC$51)/(DC$52)),IF(AND(Results!$E$5="Volume",$C$54&gt;0,Results!$E$4="Fluid"),((DC32*DC$51)/(DC$54)),IF(AND(Results!$E$4="Cells",Results!$E$5="Million",$B$52="million"),((DC32*DC$51)/(DC$52)),"0")))))</f>
        <v>0</v>
      </c>
      <c r="DD85" s="20" t="str">
        <f>IF(DD32=0,"0",IF(AND(Results!$E$5="Protein",$C$53&gt;0,OR(Results!$E$4="Tissue",Results!$E$4="Cells")),((DD32*DD$51)/(DD$53)),IF(AND(Results!$E$5="Weight",$C$52&gt;0, Results!$E$4="Tissue",OR($B$52="g",$B$52="mg")),((DD32*DD$51)/(DD$52)),IF(AND(Results!$E$5="Volume",$C$54&gt;0,Results!$E$4="Fluid"),((DD32*DD$51)/(DD$54)),IF(AND(Results!$E$4="Cells",Results!$E$5="Million",$B$52="million"),((DD32*DD$51)/(DD$52)),"0")))))</f>
        <v>0</v>
      </c>
      <c r="DE85" s="20" t="str">
        <f>IF(DE32=0,"0",IF(AND(Results!$E$5="Protein",$C$53&gt;0,OR(Results!$E$4="Tissue",Results!$E$4="Cells")),((DE32*DE$51)/(DE$53)),IF(AND(Results!$E$5="Weight",$C$52&gt;0, Results!$E$4="Tissue",OR($B$52="g",$B$52="mg")),((DE32*DE$51)/(DE$52)),IF(AND(Results!$E$5="Volume",$C$54&gt;0,Results!$E$4="Fluid"),((DE32*DE$51)/(DE$54)),IF(AND(Results!$E$4="Cells",Results!$E$5="Million",$B$52="million"),((DE32*DE$51)/(DE$52)),"0")))))</f>
        <v>0</v>
      </c>
      <c r="DF85" s="20" t="str">
        <f>IF(DF32=0,"0",IF(AND(Results!$E$5="Protein",$C$53&gt;0,OR(Results!$E$4="Tissue",Results!$E$4="Cells")),((DF32*DF$51)/(DF$53)),IF(AND(Results!$E$5="Weight",$C$52&gt;0, Results!$E$4="Tissue",OR($B$52="g",$B$52="mg")),((DF32*DF$51)/(DF$52)),IF(AND(Results!$E$5="Volume",$C$54&gt;0,Results!$E$4="Fluid"),((DF32*DF$51)/(DF$54)),IF(AND(Results!$E$4="Cells",Results!$E$5="Million",$B$52="million"),((DF32*DF$51)/(DF$52)),"0")))))</f>
        <v>0</v>
      </c>
      <c r="DG85" s="20" t="str">
        <f>IF(DG32=0,"0",IF(AND(Results!$E$5="Protein",$C$53&gt;0,OR(Results!$E$4="Tissue",Results!$E$4="Cells")),((DG32*DG$51)/(DG$53)),IF(AND(Results!$E$5="Weight",$C$52&gt;0, Results!$E$4="Tissue",OR($B$52="g",$B$52="mg")),((DG32*DG$51)/(DG$52)),IF(AND(Results!$E$5="Volume",$C$54&gt;0,Results!$E$4="Fluid"),((DG32*DG$51)/(DG$54)),IF(AND(Results!$E$4="Cells",Results!$E$5="Million",$B$52="million"),((DG32*DG$51)/(DG$52)),"0")))))</f>
        <v>0</v>
      </c>
      <c r="DH85" s="20" t="str">
        <f>IF(DH32=0,"0",IF(AND(Results!$E$5="Protein",$C$53&gt;0,OR(Results!$E$4="Tissue",Results!$E$4="Cells")),((DH32*DH$51)/(DH$53)),IF(AND(Results!$E$5="Weight",$C$52&gt;0, Results!$E$4="Tissue",OR($B$52="g",$B$52="mg")),((DH32*DH$51)/(DH$52)),IF(AND(Results!$E$5="Volume",$C$54&gt;0,Results!$E$4="Fluid"),((DH32*DH$51)/(DH$54)),IF(AND(Results!$E$4="Cells",Results!$E$5="Million",$B$52="million"),((DH32*DH$51)/(DH$52)),"0")))))</f>
        <v>0</v>
      </c>
      <c r="DI85" s="20" t="str">
        <f>IF(DI32=0,"0",IF(AND(Results!$E$5="Protein",$C$53&gt;0,OR(Results!$E$4="Tissue",Results!$E$4="Cells")),((DI32*DI$51)/(DI$53)),IF(AND(Results!$E$5="Weight",$C$52&gt;0, Results!$E$4="Tissue",OR($B$52="g",$B$52="mg")),((DI32*DI$51)/(DI$52)),IF(AND(Results!$E$5="Volume",$C$54&gt;0,Results!$E$4="Fluid"),((DI32*DI$51)/(DI$54)),IF(AND(Results!$E$4="Cells",Results!$E$5="Million",$B$52="million"),((DI32*DI$51)/(DI$52)),"0")))))</f>
        <v>0</v>
      </c>
      <c r="DJ85" s="20" t="str">
        <f>IF(DJ32=0,"0",IF(AND(Results!$E$5="Protein",$C$53&gt;0,OR(Results!$E$4="Tissue",Results!$E$4="Cells")),((DJ32*DJ$51)/(DJ$53)),IF(AND(Results!$E$5="Weight",$C$52&gt;0, Results!$E$4="Tissue",OR($B$52="g",$B$52="mg")),((DJ32*DJ$51)/(DJ$52)),IF(AND(Results!$E$5="Volume",$C$54&gt;0,Results!$E$4="Fluid"),((DJ32*DJ$51)/(DJ$54)),IF(AND(Results!$E$4="Cells",Results!$E$5="Million",$B$52="million"),((DJ32*DJ$51)/(DJ$52)),"0")))))</f>
        <v>0</v>
      </c>
      <c r="DK85" s="20" t="str">
        <f>IF(DK32=0,"0",IF(AND(Results!$E$5="Protein",$C$53&gt;0,OR(Results!$E$4="Tissue",Results!$E$4="Cells")),((DK32*DK$51)/(DK$53)),IF(AND(Results!$E$5="Weight",$C$52&gt;0, Results!$E$4="Tissue",OR($B$52="g",$B$52="mg")),((DK32*DK$51)/(DK$52)),IF(AND(Results!$E$5="Volume",$C$54&gt;0,Results!$E$4="Fluid"),((DK32*DK$51)/(DK$54)),IF(AND(Results!$E$4="Cells",Results!$E$5="Million",$B$52="million"),((DK32*DK$51)/(DK$52)),"0")))))</f>
        <v>0</v>
      </c>
      <c r="DL85" s="20" t="str">
        <f>IF(DL32=0,"0",IF(AND(Results!$E$5="Protein",$C$53&gt;0,OR(Results!$E$4="Tissue",Results!$E$4="Cells")),((DL32*DL$51)/(DL$53)),IF(AND(Results!$E$5="Weight",$C$52&gt;0, Results!$E$4="Tissue",OR($B$52="g",$B$52="mg")),((DL32*DL$51)/(DL$52)),IF(AND(Results!$E$5="Volume",$C$54&gt;0,Results!$E$4="Fluid"),((DL32*DL$51)/(DL$54)),IF(AND(Results!$E$4="Cells",Results!$E$5="Million",$B$52="million"),((DL32*DL$51)/(DL$52)),"0")))))</f>
        <v>0</v>
      </c>
      <c r="DM85" s="20" t="str">
        <f>IF(DM32=0,"0",IF(AND(Results!$E$5="Protein",$C$53&gt;0,OR(Results!$E$4="Tissue",Results!$E$4="Cells")),((DM32*DM$51)/(DM$53)),IF(AND(Results!$E$5="Weight",$C$52&gt;0, Results!$E$4="Tissue",OR($B$52="g",$B$52="mg")),((DM32*DM$51)/(DM$52)),IF(AND(Results!$E$5="Volume",$C$54&gt;0,Results!$E$4="Fluid"),((DM32*DM$51)/(DM$54)),IF(AND(Results!$E$4="Cells",Results!$E$5="Million",$B$52="million"),((DM32*DM$51)/(DM$52)),"0")))))</f>
        <v>0</v>
      </c>
      <c r="DN85" s="20" t="str">
        <f>IF(DN32=0,"0",IF(AND(Results!$E$5="Protein",$C$53&gt;0,OR(Results!$E$4="Tissue",Results!$E$4="Cells")),((DN32*DN$51)/(DN$53)),IF(AND(Results!$E$5="Weight",$C$52&gt;0, Results!$E$4="Tissue",OR($B$52="g",$B$52="mg")),((DN32*DN$51)/(DN$52)),IF(AND(Results!$E$5="Volume",$C$54&gt;0,Results!$E$4="Fluid"),((DN32*DN$51)/(DN$54)),IF(AND(Results!$E$4="Cells",Results!$E$5="Million",$B$52="million"),((DN32*DN$51)/(DN$52)),"0")))))</f>
        <v>0</v>
      </c>
      <c r="DO85" s="20" t="str">
        <f>IF(DO32=0,"0",IF(AND(Results!$E$5="Protein",$C$53&gt;0,OR(Results!$E$4="Tissue",Results!$E$4="Cells")),((DO32*DO$51)/(DO$53)),IF(AND(Results!$E$5="Weight",$C$52&gt;0, Results!$E$4="Tissue",OR($B$52="g",$B$52="mg")),((DO32*DO$51)/(DO$52)),IF(AND(Results!$E$5="Volume",$C$54&gt;0,Results!$E$4="Fluid"),((DO32*DO$51)/(DO$54)),IF(AND(Results!$E$4="Cells",Results!$E$5="Million",$B$52="million"),((DO32*DO$51)/(DO$52)),"0")))))</f>
        <v>0</v>
      </c>
      <c r="DP85" s="20" t="str">
        <f>IF(DP32=0,"0",IF(AND(Results!$E$5="Protein",$C$53&gt;0,OR(Results!$E$4="Tissue",Results!$E$4="Cells")),((DP32*DP$51)/(DP$53)),IF(AND(Results!$E$5="Weight",$C$52&gt;0, Results!$E$4="Tissue",OR($B$52="g",$B$52="mg")),((DP32*DP$51)/(DP$52)),IF(AND(Results!$E$5="Volume",$C$54&gt;0,Results!$E$4="Fluid"),((DP32*DP$51)/(DP$54)),IF(AND(Results!$E$4="Cells",Results!$E$5="Million",$B$52="million"),((DP32*DP$51)/(DP$52)),"0")))))</f>
        <v>0</v>
      </c>
      <c r="DQ85" s="20" t="str">
        <f>IF(DQ32=0,"0",IF(AND(Results!$E$5="Protein",$C$53&gt;0,OR(Results!$E$4="Tissue",Results!$E$4="Cells")),((DQ32*DQ$51)/(DQ$53)),IF(AND(Results!$E$5="Weight",$C$52&gt;0, Results!$E$4="Tissue",OR($B$52="g",$B$52="mg")),((DQ32*DQ$51)/(DQ$52)),IF(AND(Results!$E$5="Volume",$C$54&gt;0,Results!$E$4="Fluid"),((DQ32*DQ$51)/(DQ$54)),IF(AND(Results!$E$4="Cells",Results!$E$5="Million",$B$52="million"),((DQ32*DQ$51)/(DQ$52)),"0")))))</f>
        <v>0</v>
      </c>
      <c r="DR85" s="20" t="str">
        <f>IF(DR32=0,"0",IF(AND(Results!$E$5="Protein",$C$53&gt;0,OR(Results!$E$4="Tissue",Results!$E$4="Cells")),((DR32*DR$51)/(DR$53)),IF(AND(Results!$E$5="Weight",$C$52&gt;0, Results!$E$4="Tissue",OR($B$52="g",$B$52="mg")),((DR32*DR$51)/(DR$52)),IF(AND(Results!$E$5="Volume",$C$54&gt;0,Results!$E$4="Fluid"),((DR32*DR$51)/(DR$54)),IF(AND(Results!$E$4="Cells",Results!$E$5="Million",$B$52="million"),((DR32*DR$51)/(DR$52)),"0")))))</f>
        <v>0</v>
      </c>
      <c r="DS85" s="20" t="str">
        <f>IF(DS32=0,"0",IF(AND(Results!$E$5="Protein",$C$53&gt;0,OR(Results!$E$4="Tissue",Results!$E$4="Cells")),((DS32*DS$51)/(DS$53)),IF(AND(Results!$E$5="Weight",$C$52&gt;0, Results!$E$4="Tissue",OR($B$52="g",$B$52="mg")),((DS32*DS$51)/(DS$52)),IF(AND(Results!$E$5="Volume",$C$54&gt;0,Results!$E$4="Fluid"),((DS32*DS$51)/(DS$54)),IF(AND(Results!$E$4="Cells",Results!$E$5="Million",$B$52="million"),((DS32*DS$51)/(DS$52)),"0")))))</f>
        <v>0</v>
      </c>
      <c r="DT85" s="20" t="str">
        <f>IF(DT32=0,"0",IF(AND(Results!$E$5="Protein",$C$53&gt;0,OR(Results!$E$4="Tissue",Results!$E$4="Cells")),((DT32*DT$51)/(DT$53)),IF(AND(Results!$E$5="Weight",$C$52&gt;0, Results!$E$4="Tissue",OR($B$52="g",$B$52="mg")),((DT32*DT$51)/(DT$52)),IF(AND(Results!$E$5="Volume",$C$54&gt;0,Results!$E$4="Fluid"),((DT32*DT$51)/(DT$54)),IF(AND(Results!$E$4="Cells",Results!$E$5="Million",$B$52="million"),((DT32*DT$51)/(DT$52)),"0")))))</f>
        <v>0</v>
      </c>
      <c r="DU85" s="20" t="str">
        <f>IF(DU32=0,"0",IF(AND(Results!$E$5="Protein",$C$53&gt;0,OR(Results!$E$4="Tissue",Results!$E$4="Cells")),((DU32*DU$51)/(DU$53)),IF(AND(Results!$E$5="Weight",$C$52&gt;0, Results!$E$4="Tissue",OR($B$52="g",$B$52="mg")),((DU32*DU$51)/(DU$52)),IF(AND(Results!$E$5="Volume",$C$54&gt;0,Results!$E$4="Fluid"),((DU32*DU$51)/(DU$54)),IF(AND(Results!$E$4="Cells",Results!$E$5="Million",$B$52="million"),((DU32*DU$51)/(DU$52)),"0")))))</f>
        <v>0</v>
      </c>
      <c r="DV85" s="20" t="str">
        <f>IF(DV32=0,"0",IF(AND(Results!$E$5="Protein",$C$53&gt;0,OR(Results!$E$4="Tissue",Results!$E$4="Cells")),((DV32*DV$51)/(DV$53)),IF(AND(Results!$E$5="Weight",$C$52&gt;0, Results!$E$4="Tissue",OR($B$52="g",$B$52="mg")),((DV32*DV$51)/(DV$52)),IF(AND(Results!$E$5="Volume",$C$54&gt;0,Results!$E$4="Fluid"),((DV32*DV$51)/(DV$54)),IF(AND(Results!$E$4="Cells",Results!$E$5="Million",$B$52="million"),((DV32*DV$51)/(DV$52)),"0")))))</f>
        <v>0</v>
      </c>
      <c r="DW85" s="20" t="str">
        <f>IF(DW32=0,"0",IF(AND(Results!$E$5="Protein",$C$53&gt;0,OR(Results!$E$4="Tissue",Results!$E$4="Cells")),((DW32*DW$51)/(DW$53)),IF(AND(Results!$E$5="Weight",$C$52&gt;0, Results!$E$4="Tissue",OR($B$52="g",$B$52="mg")),((DW32*DW$51)/(DW$52)),IF(AND(Results!$E$5="Volume",$C$54&gt;0,Results!$E$4="Fluid"),((DW32*DW$51)/(DW$54)),IF(AND(Results!$E$4="Cells",Results!$E$5="Million",$B$52="million"),((DW32*DW$51)/(DW$52)),"0")))))</f>
        <v>0</v>
      </c>
      <c r="DX85" s="20" t="str">
        <f>IF(DX32=0,"0",IF(AND(Results!$E$5="Protein",$C$53&gt;0,OR(Results!$E$4="Tissue",Results!$E$4="Cells")),((DX32*DX$51)/(DX$53)),IF(AND(Results!$E$5="Weight",$C$52&gt;0, Results!$E$4="Tissue",OR($B$52="g",$B$52="mg")),((DX32*DX$51)/(DX$52)),IF(AND(Results!$E$5="Volume",$C$54&gt;0,Results!$E$4="Fluid"),((DX32*DX$51)/(DX$54)),IF(AND(Results!$E$4="Cells",Results!$E$5="Million",$B$52="million"),((DX32*DX$51)/(DX$52)),"0")))))</f>
        <v>0</v>
      </c>
      <c r="DY85" s="20" t="str">
        <f>IF(DY32=0,"0",IF(AND(Results!$E$5="Protein",$C$53&gt;0,OR(Results!$E$4="Tissue",Results!$E$4="Cells")),((DY32*DY$51)/(DY$53)),IF(AND(Results!$E$5="Weight",$C$52&gt;0, Results!$E$4="Tissue",OR($B$52="g",$B$52="mg")),((DY32*DY$51)/(DY$52)),IF(AND(Results!$E$5="Volume",$C$54&gt;0,Results!$E$4="Fluid"),((DY32*DY$51)/(DY$54)),IF(AND(Results!$E$4="Cells",Results!$E$5="Million",$B$52="million"),((DY32*DY$51)/(DY$52)),"0")))))</f>
        <v>0</v>
      </c>
      <c r="DZ85" s="20" t="str">
        <f>IF(DZ32=0,"0",IF(AND(Results!$E$5="Protein",$C$53&gt;0,OR(Results!$E$4="Tissue",Results!$E$4="Cells")),((DZ32*DZ$51)/(DZ$53)),IF(AND(Results!$E$5="Weight",$C$52&gt;0, Results!$E$4="Tissue",OR($B$52="g",$B$52="mg")),((DZ32*DZ$51)/(DZ$52)),IF(AND(Results!$E$5="Volume",$C$54&gt;0,Results!$E$4="Fluid"),((DZ32*DZ$51)/(DZ$54)),IF(AND(Results!$E$4="Cells",Results!$E$5="Million",$B$52="million"),((DZ32*DZ$51)/(DZ$52)),"0")))))</f>
        <v>0</v>
      </c>
      <c r="EA85" s="20" t="str">
        <f>IF(EA32=0,"0",IF(AND(Results!$E$5="Protein",$C$53&gt;0,OR(Results!$E$4="Tissue",Results!$E$4="Cells")),((EA32*EA$51)/(EA$53)),IF(AND(Results!$E$5="Weight",$C$52&gt;0, Results!$E$4="Tissue",OR($B$52="g",$B$52="mg")),((EA32*EA$51)/(EA$52)),IF(AND(Results!$E$5="Volume",$C$54&gt;0,Results!$E$4="Fluid"),((EA32*EA$51)/(EA$54)),IF(AND(Results!$E$4="Cells",Results!$E$5="Million",$B$52="million"),((EA32*EA$51)/(EA$52)),"0")))))</f>
        <v>0</v>
      </c>
      <c r="EB85" s="20" t="str">
        <f>IF(EB32=0,"0",IF(AND(Results!$E$5="Protein",$C$53&gt;0,OR(Results!$E$4="Tissue",Results!$E$4="Cells")),((EB32*EB$51)/(EB$53)),IF(AND(Results!$E$5="Weight",$C$52&gt;0, Results!$E$4="Tissue",OR($B$52="g",$B$52="mg")),((EB32*EB$51)/(EB$52)),IF(AND(Results!$E$5="Volume",$C$54&gt;0,Results!$E$4="Fluid"),((EB32*EB$51)/(EB$54)),IF(AND(Results!$E$4="Cells",Results!$E$5="Million",$B$52="million"),((EB32*EB$51)/(EB$52)),"0")))))</f>
        <v>0</v>
      </c>
      <c r="EC85" s="20" t="str">
        <f>IF(EC32=0,"0",IF(AND(Results!$E$5="Protein",$C$53&gt;0,OR(Results!$E$4="Tissue",Results!$E$4="Cells")),((EC32*EC$51)/(EC$53)),IF(AND(Results!$E$5="Weight",$C$52&gt;0, Results!$E$4="Tissue",OR($B$52="g",$B$52="mg")),((EC32*EC$51)/(EC$52)),IF(AND(Results!$E$5="Volume",$C$54&gt;0,Results!$E$4="Fluid"),((EC32*EC$51)/(EC$54)),IF(AND(Results!$E$4="Cells",Results!$E$5="Million",$B$52="million"),((EC32*EC$51)/(EC$52)),"0")))))</f>
        <v>0</v>
      </c>
      <c r="ED85" s="20" t="str">
        <f>IF(ED32=0,"0",IF(AND(Results!$E$5="Protein",$C$53&gt;0,OR(Results!$E$4="Tissue",Results!$E$4="Cells")),((ED32*ED$51)/(ED$53)),IF(AND(Results!$E$5="Weight",$C$52&gt;0, Results!$E$4="Tissue",OR($B$52="g",$B$52="mg")),((ED32*ED$51)/(ED$52)),IF(AND(Results!$E$5="Volume",$C$54&gt;0,Results!$E$4="Fluid"),((ED32*ED$51)/(ED$54)),IF(AND(Results!$E$4="Cells",Results!$E$5="Million",$B$52="million"),((ED32*ED$51)/(ED$52)),"0")))))</f>
        <v>0</v>
      </c>
      <c r="EE85" s="20" t="str">
        <f>IF(EE32=0,"0",IF(AND(Results!$E$5="Protein",$C$53&gt;0,OR(Results!$E$4="Tissue",Results!$E$4="Cells")),((EE32*EE$51)/(EE$53)),IF(AND(Results!$E$5="Weight",$C$52&gt;0, Results!$E$4="Tissue",OR($B$52="g",$B$52="mg")),((EE32*EE$51)/(EE$52)),IF(AND(Results!$E$5="Volume",$C$54&gt;0,Results!$E$4="Fluid"),((EE32*EE$51)/(EE$54)),IF(AND(Results!$E$4="Cells",Results!$E$5="Million",$B$52="million"),((EE32*EE$51)/(EE$52)),"0")))))</f>
        <v>0</v>
      </c>
      <c r="EF85" s="20" t="str">
        <f>IF(EF32=0,"0",IF(AND(Results!$E$5="Protein",$C$53&gt;0,OR(Results!$E$4="Tissue",Results!$E$4="Cells")),((EF32*EF$51)/(EF$53)),IF(AND(Results!$E$5="Weight",$C$52&gt;0, Results!$E$4="Tissue",OR($B$52="g",$B$52="mg")),((EF32*EF$51)/(EF$52)),IF(AND(Results!$E$5="Volume",$C$54&gt;0,Results!$E$4="Fluid"),((EF32*EF$51)/(EF$54)),IF(AND(Results!$E$4="Cells",Results!$E$5="Million",$B$52="million"),((EF32*EF$51)/(EF$52)),"0")))))</f>
        <v>0</v>
      </c>
      <c r="EG85" s="20" t="str">
        <f>IF(EG32=0,"0",IF(AND(Results!$E$5="Protein",$C$53&gt;0,OR(Results!$E$4="Tissue",Results!$E$4="Cells")),((EG32*EG$51)/(EG$53)),IF(AND(Results!$E$5="Weight",$C$52&gt;0, Results!$E$4="Tissue",OR($B$52="g",$B$52="mg")),((EG32*EG$51)/(EG$52)),IF(AND(Results!$E$5="Volume",$C$54&gt;0,Results!$E$4="Fluid"),((EG32*EG$51)/(EG$54)),IF(AND(Results!$E$4="Cells",Results!$E$5="Million",$B$52="million"),((EG32*EG$51)/(EG$52)),"0")))))</f>
        <v>0</v>
      </c>
      <c r="EH85" s="20" t="str">
        <f>IF(EH32=0,"0",IF(AND(Results!$E$5="Protein",$C$53&gt;0,OR(Results!$E$4="Tissue",Results!$E$4="Cells")),((EH32*EH$51)/(EH$53)),IF(AND(Results!$E$5="Weight",$C$52&gt;0, Results!$E$4="Tissue",OR($B$52="g",$B$52="mg")),((EH32*EH$51)/(EH$52)),IF(AND(Results!$E$5="Volume",$C$54&gt;0,Results!$E$4="Fluid"),((EH32*EH$51)/(EH$54)),IF(AND(Results!$E$4="Cells",Results!$E$5="Million",$B$52="million"),((EH32*EH$51)/(EH$52)),"0")))))</f>
        <v>0</v>
      </c>
      <c r="EI85" s="20" t="str">
        <f>IF(EI32=0,"0",IF(AND(Results!$E$5="Protein",$C$53&gt;0,OR(Results!$E$4="Tissue",Results!$E$4="Cells")),((EI32*EI$51)/(EI$53)),IF(AND(Results!$E$5="Weight",$C$52&gt;0, Results!$E$4="Tissue",OR($B$52="g",$B$52="mg")),((EI32*EI$51)/(EI$52)),IF(AND(Results!$E$5="Volume",$C$54&gt;0,Results!$E$4="Fluid"),((EI32*EI$51)/(EI$54)),IF(AND(Results!$E$4="Cells",Results!$E$5="Million",$B$52="million"),((EI32*EI$51)/(EI$52)),"0")))))</f>
        <v>0</v>
      </c>
      <c r="EJ85" s="20" t="str">
        <f>IF(EJ32=0,"0",IF(AND(Results!$E$5="Protein",$C$53&gt;0,OR(Results!$E$4="Tissue",Results!$E$4="Cells")),((EJ32*EJ$51)/(EJ$53)),IF(AND(Results!$E$5="Weight",$C$52&gt;0, Results!$E$4="Tissue",OR($B$52="g",$B$52="mg")),((EJ32*EJ$51)/(EJ$52)),IF(AND(Results!$E$5="Volume",$C$54&gt;0,Results!$E$4="Fluid"),((EJ32*EJ$51)/(EJ$54)),IF(AND(Results!$E$4="Cells",Results!$E$5="Million",$B$52="million"),((EJ32*EJ$51)/(EJ$52)),"0")))))</f>
        <v>0</v>
      </c>
      <c r="EK85" s="20" t="str">
        <f>IF(EK32=0,"0",IF(AND(Results!$E$5="Protein",$C$53&gt;0,OR(Results!$E$4="Tissue",Results!$E$4="Cells")),((EK32*EK$51)/(EK$53)),IF(AND(Results!$E$5="Weight",$C$52&gt;0, Results!$E$4="Tissue",OR($B$52="g",$B$52="mg")),((EK32*EK$51)/(EK$52)),IF(AND(Results!$E$5="Volume",$C$54&gt;0,Results!$E$4="Fluid"),((EK32*EK$51)/(EK$54)),IF(AND(Results!$E$4="Cells",Results!$E$5="Million",$B$52="million"),((EK32*EK$51)/(EK$52)),"0")))))</f>
        <v>0</v>
      </c>
      <c r="EL85" s="20" t="str">
        <f>IF(EL32=0,"0",IF(AND(Results!$E$5="Protein",$C$53&gt;0,OR(Results!$E$4="Tissue",Results!$E$4="Cells")),((EL32*EL$51)/(EL$53)),IF(AND(Results!$E$5="Weight",$C$52&gt;0, Results!$E$4="Tissue",OR($B$52="g",$B$52="mg")),((EL32*EL$51)/(EL$52)),IF(AND(Results!$E$5="Volume",$C$54&gt;0,Results!$E$4="Fluid"),((EL32*EL$51)/(EL$54)),IF(AND(Results!$E$4="Cells",Results!$E$5="Million",$B$52="million"),((EL32*EL$51)/(EL$52)),"0")))))</f>
        <v>0</v>
      </c>
      <c r="EM85" s="20" t="str">
        <f>IF(EM32=0,"0",IF(AND(Results!$E$5="Protein",$C$53&gt;0,OR(Results!$E$4="Tissue",Results!$E$4="Cells")),((EM32*EM$51)/(EM$53)),IF(AND(Results!$E$5="Weight",$C$52&gt;0, Results!$E$4="Tissue",OR($B$52="g",$B$52="mg")),((EM32*EM$51)/(EM$52)),IF(AND(Results!$E$5="Volume",$C$54&gt;0,Results!$E$4="Fluid"),((EM32*EM$51)/(EM$54)),IF(AND(Results!$E$4="Cells",Results!$E$5="Million",$B$52="million"),((EM32*EM$51)/(EM$52)),"0")))))</f>
        <v>0</v>
      </c>
      <c r="EN85" s="20" t="str">
        <f>IF(EN32=0,"0",IF(AND(Results!$E$5="Protein",$C$53&gt;0,OR(Results!$E$4="Tissue",Results!$E$4="Cells")),((EN32*EN$51)/(EN$53)),IF(AND(Results!$E$5="Weight",$C$52&gt;0, Results!$E$4="Tissue",OR($B$52="g",$B$52="mg")),((EN32*EN$51)/(EN$52)),IF(AND(Results!$E$5="Volume",$C$54&gt;0,Results!$E$4="Fluid"),((EN32*EN$51)/(EN$54)),IF(AND(Results!$E$4="Cells",Results!$E$5="Million",$B$52="million"),((EN32*EN$51)/(EN$52)),"0")))))</f>
        <v>0</v>
      </c>
      <c r="EO85" s="20" t="str">
        <f>IF(EO32=0,"0",IF(AND(Results!$E$5="Protein",$C$53&gt;0,OR(Results!$E$4="Tissue",Results!$E$4="Cells")),((EO32*EO$51)/(EO$53)),IF(AND(Results!$E$5="Weight",$C$52&gt;0, Results!$E$4="Tissue",OR($B$52="g",$B$52="mg")),((EO32*EO$51)/(EO$52)),IF(AND(Results!$E$5="Volume",$C$54&gt;0,Results!$E$4="Fluid"),((EO32*EO$51)/(EO$54)),IF(AND(Results!$E$4="Cells",Results!$E$5="Million",$B$52="million"),((EO32*EO$51)/(EO$52)),"0")))))</f>
        <v>0</v>
      </c>
      <c r="EP85" s="20" t="str">
        <f>IF(EP32=0,"0",IF(AND(Results!$E$5="Protein",$C$53&gt;0,OR(Results!$E$4="Tissue",Results!$E$4="Cells")),((EP32*EP$51)/(EP$53)),IF(AND(Results!$E$5="Weight",$C$52&gt;0, Results!$E$4="Tissue",OR($B$52="g",$B$52="mg")),((EP32*EP$51)/(EP$52)),IF(AND(Results!$E$5="Volume",$C$54&gt;0,Results!$E$4="Fluid"),((EP32*EP$51)/(EP$54)),IF(AND(Results!$E$4="Cells",Results!$E$5="Million",$B$52="million"),((EP32*EP$51)/(EP$52)),"0")))))</f>
        <v>0</v>
      </c>
      <c r="EQ85" s="20" t="str">
        <f>IF(EQ32=0,"0",IF(AND(Results!$E$5="Protein",$C$53&gt;0,OR(Results!$E$4="Tissue",Results!$E$4="Cells")),((EQ32*EQ$51)/(EQ$53)),IF(AND(Results!$E$5="Weight",$C$52&gt;0, Results!$E$4="Tissue",OR($B$52="g",$B$52="mg")),((EQ32*EQ$51)/(EQ$52)),IF(AND(Results!$E$5="Volume",$C$54&gt;0,Results!$E$4="Fluid"),((EQ32*EQ$51)/(EQ$54)),IF(AND(Results!$E$4="Cells",Results!$E$5="Million",$B$52="million"),((EQ32*EQ$51)/(EQ$52)),"0")))))</f>
        <v>0</v>
      </c>
      <c r="ER85" s="20" t="str">
        <f>IF(ER32=0,"0",IF(AND(Results!$E$5="Protein",$C$53&gt;0,OR(Results!$E$4="Tissue",Results!$E$4="Cells")),((ER32*ER$51)/(ER$53)),IF(AND(Results!$E$5="Weight",$C$52&gt;0, Results!$E$4="Tissue",OR($B$52="g",$B$52="mg")),((ER32*ER$51)/(ER$52)),IF(AND(Results!$E$5="Volume",$C$54&gt;0,Results!$E$4="Fluid"),((ER32*ER$51)/(ER$54)),IF(AND(Results!$E$4="Cells",Results!$E$5="Million",$B$52="million"),((ER32*ER$51)/(ER$52)),"0")))))</f>
        <v>0</v>
      </c>
      <c r="ES85" s="20" t="str">
        <f>IF(ES32=0,"0",IF(AND(Results!$E$5="Protein",$C$53&gt;0,OR(Results!$E$4="Tissue",Results!$E$4="Cells")),((ES32*ES$51)/(ES$53)),IF(AND(Results!$E$5="Weight",$C$52&gt;0, Results!$E$4="Tissue",OR($B$52="g",$B$52="mg")),((ES32*ES$51)/(ES$52)),IF(AND(Results!$E$5="Volume",$C$54&gt;0,Results!$E$4="Fluid"),((ES32*ES$51)/(ES$54)),IF(AND(Results!$E$4="Cells",Results!$E$5="Million",$B$52="million"),((ES32*ES$51)/(ES$52)),"0")))))</f>
        <v>0</v>
      </c>
      <c r="ET85" s="20" t="str">
        <f>IF(ET32=0,"0",IF(AND(Results!$E$5="Protein",$C$53&gt;0,OR(Results!$E$4="Tissue",Results!$E$4="Cells")),((ET32*ET$51)/(ET$53)),IF(AND(Results!$E$5="Weight",$C$52&gt;0, Results!$E$4="Tissue",OR($B$52="g",$B$52="mg")),((ET32*ET$51)/(ET$52)),IF(AND(Results!$E$5="Volume",$C$54&gt;0,Results!$E$4="Fluid"),((ET32*ET$51)/(ET$54)),IF(AND(Results!$E$4="Cells",Results!$E$5="Million",$B$52="million"),((ET32*ET$51)/(ET$52)),"0")))))</f>
        <v>0</v>
      </c>
      <c r="EU85" s="20" t="str">
        <f>IF(EU32=0,"0",IF(AND(Results!$E$5="Protein",$C$53&gt;0,OR(Results!$E$4="Tissue",Results!$E$4="Cells")),((EU32*EU$51)/(EU$53)),IF(AND(Results!$E$5="Weight",$C$52&gt;0, Results!$E$4="Tissue",OR($B$52="g",$B$52="mg")),((EU32*EU$51)/(EU$52)),IF(AND(Results!$E$5="Volume",$C$54&gt;0,Results!$E$4="Fluid"),((EU32*EU$51)/(EU$54)),IF(AND(Results!$E$4="Cells",Results!$E$5="Million",$B$52="million"),((EU32*EU$51)/(EU$52)),"0")))))</f>
        <v>0</v>
      </c>
      <c r="EV85" s="20" t="str">
        <f>IF(EV32=0,"0",IF(AND(Results!$E$5="Protein",$C$53&gt;0,OR(Results!$E$4="Tissue",Results!$E$4="Cells")),((EV32*EV$51)/(EV$53)),IF(AND(Results!$E$5="Weight",$C$52&gt;0, Results!$E$4="Tissue",OR($B$52="g",$B$52="mg")),((EV32*EV$51)/(EV$52)),IF(AND(Results!$E$5="Volume",$C$54&gt;0,Results!$E$4="Fluid"),((EV32*EV$51)/(EV$54)),IF(AND(Results!$E$4="Cells",Results!$E$5="Million",$B$52="million"),((EV32*EV$51)/(EV$52)),"0")))))</f>
        <v>0</v>
      </c>
      <c r="EW85" s="20" t="str">
        <f>IF(EW32=0,"0",IF(AND(Results!$E$5="Protein",$C$53&gt;0,OR(Results!$E$4="Tissue",Results!$E$4="Cells")),((EW32*EW$51)/(EW$53)),IF(AND(Results!$E$5="Weight",$C$52&gt;0, Results!$E$4="Tissue",OR($B$52="g",$B$52="mg")),((EW32*EW$51)/(EW$52)),IF(AND(Results!$E$5="Volume",$C$54&gt;0,Results!$E$4="Fluid"),((EW32*EW$51)/(EW$54)),IF(AND(Results!$E$4="Cells",Results!$E$5="Million",$B$52="million"),((EW32*EW$51)/(EW$52)),"0")))))</f>
        <v>0</v>
      </c>
      <c r="EX85" s="20" t="str">
        <f>IF(EX32=0,"0",IF(AND(Results!$E$5="Protein",$C$53&gt;0,OR(Results!$E$4="Tissue",Results!$E$4="Cells")),((EX32*EX$51)/(EX$53)),IF(AND(Results!$E$5="Weight",$C$52&gt;0, Results!$E$4="Tissue",OR($B$52="g",$B$52="mg")),((EX32*EX$51)/(EX$52)),IF(AND(Results!$E$5="Volume",$C$54&gt;0,Results!$E$4="Fluid"),((EX32*EX$51)/(EX$54)),IF(AND(Results!$E$4="Cells",Results!$E$5="Million",$B$52="million"),((EX32*EX$51)/(EX$52)),"0")))))</f>
        <v>0</v>
      </c>
      <c r="EY85" s="20" t="str">
        <f>IF(EY32=0,"0",IF(AND(Results!$E$5="Protein",$C$53&gt;0,OR(Results!$E$4="Tissue",Results!$E$4="Cells")),((EY32*EY$51)/(EY$53)),IF(AND(Results!$E$5="Weight",$C$52&gt;0, Results!$E$4="Tissue",OR($B$52="g",$B$52="mg")),((EY32*EY$51)/(EY$52)),IF(AND(Results!$E$5="Volume",$C$54&gt;0,Results!$E$4="Fluid"),((EY32*EY$51)/(EY$54)),IF(AND(Results!$E$4="Cells",Results!$E$5="Million",$B$52="million"),((EY32*EY$51)/(EY$52)),"0")))))</f>
        <v>0</v>
      </c>
      <c r="EZ85" s="20" t="str">
        <f>IF(EZ32=0,"0",IF(AND(Results!$E$5="Protein",$C$53&gt;0,OR(Results!$E$4="Tissue",Results!$E$4="Cells")),((EZ32*EZ$51)/(EZ$53)),IF(AND(Results!$E$5="Weight",$C$52&gt;0, Results!$E$4="Tissue",OR($B$52="g",$B$52="mg")),((EZ32*EZ$51)/(EZ$52)),IF(AND(Results!$E$5="Volume",$C$54&gt;0,Results!$E$4="Fluid"),((EZ32*EZ$51)/(EZ$54)),IF(AND(Results!$E$4="Cells",Results!$E$5="Million",$B$52="million"),((EZ32*EZ$51)/(EZ$52)),"0")))))</f>
        <v>0</v>
      </c>
      <c r="FA85" s="20" t="str">
        <f>IF(FA32=0,"0",IF(AND(Results!$E$5="Protein",$C$53&gt;0,OR(Results!$E$4="Tissue",Results!$E$4="Cells")),((FA32*FA$51)/(FA$53)),IF(AND(Results!$E$5="Weight",$C$52&gt;0, Results!$E$4="Tissue",OR($B$52="g",$B$52="mg")),((FA32*FA$51)/(FA$52)),IF(AND(Results!$E$5="Volume",$C$54&gt;0,Results!$E$4="Fluid"),((FA32*FA$51)/(FA$54)),IF(AND(Results!$E$4="Cells",Results!$E$5="Million",$B$52="million"),((FA32*FA$51)/(FA$52)),"0")))))</f>
        <v>0</v>
      </c>
      <c r="FB85" s="20" t="str">
        <f>IF(FB32=0,"0",IF(AND(Results!$E$5="Protein",$C$53&gt;0,OR(Results!$E$4="Tissue",Results!$E$4="Cells")),((FB32*FB$51)/(FB$53)),IF(AND(Results!$E$5="Weight",$C$52&gt;0, Results!$E$4="Tissue",OR($B$52="g",$B$52="mg")),((FB32*FB$51)/(FB$52)),IF(AND(Results!$E$5="Volume",$C$54&gt;0,Results!$E$4="Fluid"),((FB32*FB$51)/(FB$54)),IF(AND(Results!$E$4="Cells",Results!$E$5="Million",$B$52="million"),((FB32*FB$51)/(FB$52)),"0")))))</f>
        <v>0</v>
      </c>
      <c r="FC85" s="20" t="str">
        <f>IF(FC32=0,"0",IF(AND(Results!$E$5="Protein",$C$53&gt;0,OR(Results!$E$4="Tissue",Results!$E$4="Cells")),((FC32*FC$51)/(FC$53)),IF(AND(Results!$E$5="Weight",$C$52&gt;0, Results!$E$4="Tissue",OR($B$52="g",$B$52="mg")),((FC32*FC$51)/(FC$52)),IF(AND(Results!$E$5="Volume",$C$54&gt;0,Results!$E$4="Fluid"),((FC32*FC$51)/(FC$54)),IF(AND(Results!$E$4="Cells",Results!$E$5="Million",$B$52="million"),((FC32*FC$51)/(FC$52)),"0")))))</f>
        <v>0</v>
      </c>
      <c r="FD85" s="20" t="str">
        <f>IF(FD32=0,"0",IF(AND(Results!$E$5="Protein",$C$53&gt;0,OR(Results!$E$4="Tissue",Results!$E$4="Cells")),((FD32*FD$51)/(FD$53)),IF(AND(Results!$E$5="Weight",$C$52&gt;0, Results!$E$4="Tissue",OR($B$52="g",$B$52="mg")),((FD32*FD$51)/(FD$52)),IF(AND(Results!$E$5="Volume",$C$54&gt;0,Results!$E$4="Fluid"),((FD32*FD$51)/(FD$54)),IF(AND(Results!$E$4="Cells",Results!$E$5="Million",$B$52="million"),((FD32*FD$51)/(FD$52)),"0")))))</f>
        <v>0</v>
      </c>
      <c r="FE85" s="20" t="str">
        <f>IF(FE32=0,"0",IF(AND(Results!$E$5="Protein",$C$53&gt;0,OR(Results!$E$4="Tissue",Results!$E$4="Cells")),((FE32*FE$51)/(FE$53)),IF(AND(Results!$E$5="Weight",$C$52&gt;0, Results!$E$4="Tissue",OR($B$52="g",$B$52="mg")),((FE32*FE$51)/(FE$52)),IF(AND(Results!$E$5="Volume",$C$54&gt;0,Results!$E$4="Fluid"),((FE32*FE$51)/(FE$54)),IF(AND(Results!$E$4="Cells",Results!$E$5="Million",$B$52="million"),((FE32*FE$51)/(FE$52)),"0")))))</f>
        <v>0</v>
      </c>
      <c r="FF85" s="20" t="str">
        <f>IF(FF32=0,"0",IF(AND(Results!$E$5="Protein",$C$53&gt;0,OR(Results!$E$4="Tissue",Results!$E$4="Cells")),((FF32*FF$51)/(FF$53)),IF(AND(Results!$E$5="Weight",$C$52&gt;0, Results!$E$4="Tissue",OR($B$52="g",$B$52="mg")),((FF32*FF$51)/(FF$52)),IF(AND(Results!$E$5="Volume",$C$54&gt;0,Results!$E$4="Fluid"),((FF32*FF$51)/(FF$54)),IF(AND(Results!$E$4="Cells",Results!$E$5="Million",$B$52="million"),((FF32*FF$51)/(FF$52)),"0")))))</f>
        <v>0</v>
      </c>
      <c r="FG85" s="20" t="str">
        <f>IF(FG32=0,"0",IF(AND(Results!$E$5="Protein",$C$53&gt;0,OR(Results!$E$4="Tissue",Results!$E$4="Cells")),((FG32*FG$51)/(FG$53)),IF(AND(Results!$E$5="Weight",$C$52&gt;0, Results!$E$4="Tissue",OR($B$52="g",$B$52="mg")),((FG32*FG$51)/(FG$52)),IF(AND(Results!$E$5="Volume",$C$54&gt;0,Results!$E$4="Fluid"),((FG32*FG$51)/(FG$54)),IF(AND(Results!$E$4="Cells",Results!$E$5="Million",$B$52="million"),((FG32*FG$51)/(FG$52)),"0")))))</f>
        <v>0</v>
      </c>
      <c r="FH85" s="20" t="str">
        <f>IF(FH32=0,"0",IF(AND(Results!$E$5="Protein",$C$53&gt;0,OR(Results!$E$4="Tissue",Results!$E$4="Cells")),((FH32*FH$51)/(FH$53)),IF(AND(Results!$E$5="Weight",$C$52&gt;0, Results!$E$4="Tissue",OR($B$52="g",$B$52="mg")),((FH32*FH$51)/(FH$52)),IF(AND(Results!$E$5="Volume",$C$54&gt;0,Results!$E$4="Fluid"),((FH32*FH$51)/(FH$54)),IF(AND(Results!$E$4="Cells",Results!$E$5="Million",$B$52="million"),((FH32*FH$51)/(FH$52)),"0")))))</f>
        <v>0</v>
      </c>
      <c r="FI85" s="20" t="str">
        <f>IF(FI32=0,"0",IF(AND(Results!$E$5="Protein",$C$53&gt;0,OR(Results!$E$4="Tissue",Results!$E$4="Cells")),((FI32*FI$51)/(FI$53)),IF(AND(Results!$E$5="Weight",$C$52&gt;0, Results!$E$4="Tissue",OR($B$52="g",$B$52="mg")),((FI32*FI$51)/(FI$52)),IF(AND(Results!$E$5="Volume",$C$54&gt;0,Results!$E$4="Fluid"),((FI32*FI$51)/(FI$54)),IF(AND(Results!$E$4="Cells",Results!$E$5="Million",$B$52="million"),((FI32*FI$51)/(FI$52)),"0")))))</f>
        <v>0</v>
      </c>
      <c r="FJ85" s="20" t="str">
        <f>IF(FJ32=0,"0",IF(AND(Results!$E$5="Protein",$C$53&gt;0,OR(Results!$E$4="Tissue",Results!$E$4="Cells")),((FJ32*FJ$51)/(FJ$53)),IF(AND(Results!$E$5="Weight",$C$52&gt;0, Results!$E$4="Tissue",OR($B$52="g",$B$52="mg")),((FJ32*FJ$51)/(FJ$52)),IF(AND(Results!$E$5="Volume",$C$54&gt;0,Results!$E$4="Fluid"),((FJ32*FJ$51)/(FJ$54)),IF(AND(Results!$E$4="Cells",Results!$E$5="Million",$B$52="million"),((FJ32*FJ$51)/(FJ$52)),"0")))))</f>
        <v>0</v>
      </c>
      <c r="FK85" s="20" t="str">
        <f>IF(FK32=0,"0",IF(AND(Results!$E$5="Protein",$C$53&gt;0,OR(Results!$E$4="Tissue",Results!$E$4="Cells")),((FK32*FK$51)/(FK$53)),IF(AND(Results!$E$5="Weight",$C$52&gt;0, Results!$E$4="Tissue",OR($B$52="g",$B$52="mg")),((FK32*FK$51)/(FK$52)),IF(AND(Results!$E$5="Volume",$C$54&gt;0,Results!$E$4="Fluid"),((FK32*FK$51)/(FK$54)),IF(AND(Results!$E$4="Cells",Results!$E$5="Million",$B$52="million"),((FK32*FK$51)/(FK$52)),"0")))))</f>
        <v>0</v>
      </c>
      <c r="FL85" s="20" t="str">
        <f>IF(FL32=0,"0",IF(AND(Results!$E$5="Protein",$C$53&gt;0,OR(Results!$E$4="Tissue",Results!$E$4="Cells")),((FL32*FL$51)/(FL$53)),IF(AND(Results!$E$5="Weight",$C$52&gt;0, Results!$E$4="Tissue",OR($B$52="g",$B$52="mg")),((FL32*FL$51)/(FL$52)),IF(AND(Results!$E$5="Volume",$C$54&gt;0,Results!$E$4="Fluid"),((FL32*FL$51)/(FL$54)),IF(AND(Results!$E$4="Cells",Results!$E$5="Million",$B$52="million"),((FL32*FL$51)/(FL$52)),"0")))))</f>
        <v>0</v>
      </c>
      <c r="FM85" s="20" t="str">
        <f>IF(FM32=0,"0",IF(AND(Results!$E$5="Protein",$C$53&gt;0,OR(Results!$E$4="Tissue",Results!$E$4="Cells")),((FM32*FM$51)/(FM$53)),IF(AND(Results!$E$5="Weight",$C$52&gt;0, Results!$E$4="Tissue",OR($B$52="g",$B$52="mg")),((FM32*FM$51)/(FM$52)),IF(AND(Results!$E$5="Volume",$C$54&gt;0,Results!$E$4="Fluid"),((FM32*FM$51)/(FM$54)),IF(AND(Results!$E$4="Cells",Results!$E$5="Million",$B$52="million"),((FM32*FM$51)/(FM$52)),"0")))))</f>
        <v>0</v>
      </c>
      <c r="FN85" s="20" t="str">
        <f>IF(FN32=0,"0",IF(AND(Results!$E$5="Protein",$C$53&gt;0,OR(Results!$E$4="Tissue",Results!$E$4="Cells")),((FN32*FN$51)/(FN$53)),IF(AND(Results!$E$5="Weight",$C$52&gt;0, Results!$E$4="Tissue",OR($B$52="g",$B$52="mg")),((FN32*FN$51)/(FN$52)),IF(AND(Results!$E$5="Volume",$C$54&gt;0,Results!$E$4="Fluid"),((FN32*FN$51)/(FN$54)),IF(AND(Results!$E$4="Cells",Results!$E$5="Million",$B$52="million"),((FN32*FN$51)/(FN$52)),"0")))))</f>
        <v>0</v>
      </c>
      <c r="FO85" s="20" t="str">
        <f>IF(FO32=0,"0",IF(AND(Results!$E$5="Protein",$C$53&gt;0,OR(Results!$E$4="Tissue",Results!$E$4="Cells")),((FO32*FO$51)/(FO$53)),IF(AND(Results!$E$5="Weight",$C$52&gt;0, Results!$E$4="Tissue",OR($B$52="g",$B$52="mg")),((FO32*FO$51)/(FO$52)),IF(AND(Results!$E$5="Volume",$C$54&gt;0,Results!$E$4="Fluid"),((FO32*FO$51)/(FO$54)),IF(AND(Results!$E$4="Cells",Results!$E$5="Million",$B$52="million"),((FO32*FO$51)/(FO$52)),"0")))))</f>
        <v>0</v>
      </c>
    </row>
    <row r="86" spans="1:171" x14ac:dyDescent="0.2">
      <c r="A86" s="120" t="str">
        <f t="shared" si="1"/>
        <v xml:space="preserve">TXB2 </v>
      </c>
      <c r="B86" s="121"/>
      <c r="C86" s="20">
        <f>IF(C33=0,"0",IF(AND(Results!$E$5="Protein",$C$53&gt;0,OR(Results!$E$4="Tissue",Results!$E$4="Cells")),((C33*C$51)/(C$53)),IF(AND(Results!$E$5="Weight",$C$52&gt;0, Results!$E$4="Tissue",OR($B$52="g",$B$52="mg")),((C33*C$51)/(C$52)),IF(AND(Results!$E$5="Volume",$C$54&gt;0,Results!$E$4="Fluid"),((C33*C$51)/(C$54)),IF(AND(Results!$E$4="Cells",Results!$E$5="Million",$B$52="million"),((C33*C$51)/(C$52)),"0")))))</f>
        <v>11.630633333333332</v>
      </c>
      <c r="D86" s="20">
        <f>IF(D33=0,"0",IF(AND(Results!$E$5="Protein",$C$53&gt;0,OR(Results!$E$4="Tissue",Results!$E$4="Cells")),((D33*D$51)/(D$53)),IF(AND(Results!$E$5="Weight",$C$52&gt;0, Results!$E$4="Tissue",OR($B$52="g",$B$52="mg")),((D33*D$51)/(D$52)),IF(AND(Results!$E$5="Volume",$C$54&gt;0,Results!$E$4="Fluid"),((D33*D$51)/(D$54)),IF(AND(Results!$E$4="Cells",Results!$E$5="Million",$B$52="million"),((D33*D$51)/(D$52)),"0")))))</f>
        <v>21.740716666666668</v>
      </c>
      <c r="E86" s="20">
        <f>IF(E33=0,"0",IF(AND(Results!$E$5="Protein",$C$53&gt;0,OR(Results!$E$4="Tissue",Results!$E$4="Cells")),((E33*E$51)/(E$53)),IF(AND(Results!$E$5="Weight",$C$52&gt;0, Results!$E$4="Tissue",OR($B$52="g",$B$52="mg")),((E33*E$51)/(E$52)),IF(AND(Results!$E$5="Volume",$C$54&gt;0,Results!$E$4="Fluid"),((E33*E$51)/(E$54)),IF(AND(Results!$E$4="Cells",Results!$E$5="Million",$B$52="million"),((E33*E$51)/(E$52)),"0")))))</f>
        <v>3.3181999999999996</v>
      </c>
      <c r="F86" s="20">
        <f>IF(F33=0,"0",IF(AND(Results!$E$5="Protein",$C$53&gt;0,OR(Results!$E$4="Tissue",Results!$E$4="Cells")),((F33*F$51)/(F$53)),IF(AND(Results!$E$5="Weight",$C$52&gt;0, Results!$E$4="Tissue",OR($B$52="g",$B$52="mg")),((F33*F$51)/(F$52)),IF(AND(Results!$E$5="Volume",$C$54&gt;0,Results!$E$4="Fluid"),((F33*F$51)/(F$54)),IF(AND(Results!$E$4="Cells",Results!$E$5="Million",$B$52="million"),((F33*F$51)/(F$52)),"0")))))</f>
        <v>56.447400000000002</v>
      </c>
      <c r="G86" s="20">
        <f>IF(G33=0,"0",IF(AND(Results!$E$5="Protein",$C$53&gt;0,OR(Results!$E$4="Tissue",Results!$E$4="Cells")),((G33*G$51)/(G$53)),IF(AND(Results!$E$5="Weight",$C$52&gt;0, Results!$E$4="Tissue",OR($B$52="g",$B$52="mg")),((G33*G$51)/(G$52)),IF(AND(Results!$E$5="Volume",$C$54&gt;0,Results!$E$4="Fluid"),((G33*G$51)/(G$54)),IF(AND(Results!$E$4="Cells",Results!$E$5="Million",$B$52="million"),((G33*G$51)/(G$52)),"0")))))</f>
        <v>15.070783333333335</v>
      </c>
      <c r="H86" s="20">
        <f>IF(H33=0,"0",IF(AND(Results!$E$5="Protein",$C$53&gt;0,OR(Results!$E$4="Tissue",Results!$E$4="Cells")),((H33*H$51)/(H$53)),IF(AND(Results!$E$5="Weight",$C$52&gt;0, Results!$E$4="Tissue",OR($B$52="g",$B$52="mg")),((H33*H$51)/(H$52)),IF(AND(Results!$E$5="Volume",$C$54&gt;0,Results!$E$4="Fluid"),((H33*H$51)/(H$54)),IF(AND(Results!$E$4="Cells",Results!$E$5="Million",$B$52="million"),((H33*H$51)/(H$52)),"0")))))</f>
        <v>15.813233333333335</v>
      </c>
      <c r="I86" s="20">
        <f>IF(I33=0,"0",IF(AND(Results!$E$5="Protein",$C$53&gt;0,OR(Results!$E$4="Tissue",Results!$E$4="Cells")),((I33*I$51)/(I$53)),IF(AND(Results!$E$5="Weight",$C$52&gt;0, Results!$E$4="Tissue",OR($B$52="g",$B$52="mg")),((I33*I$51)/(I$52)),IF(AND(Results!$E$5="Volume",$C$54&gt;0,Results!$E$4="Fluid"),((I33*I$51)/(I$54)),IF(AND(Results!$E$4="Cells",Results!$E$5="Million",$B$52="million"),((I33*I$51)/(I$52)),"0")))))</f>
        <v>13.514316666666666</v>
      </c>
      <c r="J86" s="20">
        <f>IF(J33=0,"0",IF(AND(Results!$E$5="Protein",$C$53&gt;0,OR(Results!$E$4="Tissue",Results!$E$4="Cells")),((J33*J$51)/(J$53)),IF(AND(Results!$E$5="Weight",$C$52&gt;0, Results!$E$4="Tissue",OR($B$52="g",$B$52="mg")),((J33*J$51)/(J$52)),IF(AND(Results!$E$5="Volume",$C$54&gt;0,Results!$E$4="Fluid"),((J33*J$51)/(J$54)),IF(AND(Results!$E$4="Cells",Results!$E$5="Million",$B$52="million"),((J33*J$51)/(J$52)),"0")))))</f>
        <v>12.899650000000001</v>
      </c>
      <c r="K86" s="20">
        <f>IF(K33=0,"0",IF(AND(Results!$E$5="Protein",$C$53&gt;0,OR(Results!$E$4="Tissue",Results!$E$4="Cells")),((K33*K$51)/(K$53)),IF(AND(Results!$E$5="Weight",$C$52&gt;0, Results!$E$4="Tissue",OR($B$52="g",$B$52="mg")),((K33*K$51)/(K$52)),IF(AND(Results!$E$5="Volume",$C$54&gt;0,Results!$E$4="Fluid"),((K33*K$51)/(K$54)),IF(AND(Results!$E$4="Cells",Results!$E$5="Million",$B$52="million"),((K33*K$51)/(K$52)),"0")))))</f>
        <v>7.4378833333333327</v>
      </c>
      <c r="L86" s="20">
        <f>IF(L33=0,"0",IF(AND(Results!$E$5="Protein",$C$53&gt;0,OR(Results!$E$4="Tissue",Results!$E$4="Cells")),((L33*L$51)/(L$53)),IF(AND(Results!$E$5="Weight",$C$52&gt;0, Results!$E$4="Tissue",OR($B$52="g",$B$52="mg")),((L33*L$51)/(L$52)),IF(AND(Results!$E$5="Volume",$C$54&gt;0,Results!$E$4="Fluid"),((L33*L$51)/(L$54)),IF(AND(Results!$E$4="Cells",Results!$E$5="Million",$B$52="million"),((L33*L$51)/(L$52)),"0")))))</f>
        <v>46.136816666666661</v>
      </c>
      <c r="M86" s="20">
        <f>IF(M33=0,"0",IF(AND(Results!$E$5="Protein",$C$53&gt;0,OR(Results!$E$4="Tissue",Results!$E$4="Cells")),((M33*M$51)/(M$53)),IF(AND(Results!$E$5="Weight",$C$52&gt;0, Results!$E$4="Tissue",OR($B$52="g",$B$52="mg")),((M33*M$51)/(M$52)),IF(AND(Results!$E$5="Volume",$C$54&gt;0,Results!$E$4="Fluid"),((M33*M$51)/(M$54)),IF(AND(Results!$E$4="Cells",Results!$E$5="Million",$B$52="million"),((M33*M$51)/(M$52)),"0")))))</f>
        <v>11.6234</v>
      </c>
      <c r="N86" s="20">
        <f>IF(N33=0,"0",IF(AND(Results!$E$5="Protein",$C$53&gt;0,OR(Results!$E$4="Tissue",Results!$E$4="Cells")),((N33*N$51)/(N$53)),IF(AND(Results!$E$5="Weight",$C$52&gt;0, Results!$E$4="Tissue",OR($B$52="g",$B$52="mg")),((N33*N$51)/(N$52)),IF(AND(Results!$E$5="Volume",$C$54&gt;0,Results!$E$4="Fluid"),((N33*N$51)/(N$54)),IF(AND(Results!$E$4="Cells",Results!$E$5="Million",$B$52="million"),((N33*N$51)/(N$52)),"0")))))</f>
        <v>7.2766666666666664</v>
      </c>
      <c r="O86" s="20">
        <f>IF(O33=0,"0",IF(AND(Results!$E$5="Protein",$C$53&gt;0,OR(Results!$E$4="Tissue",Results!$E$4="Cells")),((O33*O$51)/(O$53)),IF(AND(Results!$E$5="Weight",$C$52&gt;0, Results!$E$4="Tissue",OR($B$52="g",$B$52="mg")),((O33*O$51)/(O$52)),IF(AND(Results!$E$5="Volume",$C$54&gt;0,Results!$E$4="Fluid"),((O33*O$51)/(O$54)),IF(AND(Results!$E$4="Cells",Results!$E$5="Million",$B$52="million"),((O33*O$51)/(O$52)),"0")))))</f>
        <v>3.2640333333333329</v>
      </c>
      <c r="P86" s="20">
        <f>IF(P33=0,"0",IF(AND(Results!$E$5="Protein",$C$53&gt;0,OR(Results!$E$4="Tissue",Results!$E$4="Cells")),((P33*P$51)/(P$53)),IF(AND(Results!$E$5="Weight",$C$52&gt;0, Results!$E$4="Tissue",OR($B$52="g",$B$52="mg")),((P33*P$51)/(P$52)),IF(AND(Results!$E$5="Volume",$C$54&gt;0,Results!$E$4="Fluid"),((P33*P$51)/(P$54)),IF(AND(Results!$E$4="Cells",Results!$E$5="Million",$B$52="million"),((P33*P$51)/(P$52)),"0")))))</f>
        <v>7.3103000000000007</v>
      </c>
      <c r="Q86" s="20">
        <f>IF(Q33=0,"0",IF(AND(Results!$E$5="Protein",$C$53&gt;0,OR(Results!$E$4="Tissue",Results!$E$4="Cells")),((Q33*Q$51)/(Q$53)),IF(AND(Results!$E$5="Weight",$C$52&gt;0, Results!$E$4="Tissue",OR($B$52="g",$B$52="mg")),((Q33*Q$51)/(Q$52)),IF(AND(Results!$E$5="Volume",$C$54&gt;0,Results!$E$4="Fluid"),((Q33*Q$51)/(Q$54)),IF(AND(Results!$E$4="Cells",Results!$E$5="Million",$B$52="million"),((Q33*Q$51)/(Q$52)),"0")))))</f>
        <v>6.3947499999999993</v>
      </c>
      <c r="R86" s="20">
        <f>IF(R33=0,"0",IF(AND(Results!$E$5="Protein",$C$53&gt;0,OR(Results!$E$4="Tissue",Results!$E$4="Cells")),((R33*R$51)/(R$53)),IF(AND(Results!$E$5="Weight",$C$52&gt;0, Results!$E$4="Tissue",OR($B$52="g",$B$52="mg")),((R33*R$51)/(R$52)),IF(AND(Results!$E$5="Volume",$C$54&gt;0,Results!$E$4="Fluid"),((R33*R$51)/(R$54)),IF(AND(Results!$E$4="Cells",Results!$E$5="Million",$B$52="million"),((R33*R$51)/(R$52)),"0")))))</f>
        <v>28.417950000000001</v>
      </c>
      <c r="S86" s="20">
        <f>IF(S33=0,"0",IF(AND(Results!$E$5="Protein",$C$53&gt;0,OR(Results!$E$4="Tissue",Results!$E$4="Cells")),((S33*S$51)/(S$53)),IF(AND(Results!$E$5="Weight",$C$52&gt;0, Results!$E$4="Tissue",OR($B$52="g",$B$52="mg")),((S33*S$51)/(S$52)),IF(AND(Results!$E$5="Volume",$C$54&gt;0,Results!$E$4="Fluid"),((S33*S$51)/(S$54)),IF(AND(Results!$E$4="Cells",Results!$E$5="Million",$B$52="million"),((S33*S$51)/(S$52)),"0")))))</f>
        <v>9.9231166666666653</v>
      </c>
      <c r="T86" s="20">
        <f>IF(T33=0,"0",IF(AND(Results!$E$5="Protein",$C$53&gt;0,OR(Results!$E$4="Tissue",Results!$E$4="Cells")),((T33*T$51)/(T$53)),IF(AND(Results!$E$5="Weight",$C$52&gt;0, Results!$E$4="Tissue",OR($B$52="g",$B$52="mg")),((T33*T$51)/(T$52)),IF(AND(Results!$E$5="Volume",$C$54&gt;0,Results!$E$4="Fluid"),((T33*T$51)/(T$54)),IF(AND(Results!$E$4="Cells",Results!$E$5="Million",$B$52="million"),((T33*T$51)/(T$52)),"0")))))</f>
        <v>3.5515833333333333</v>
      </c>
      <c r="U86" s="20">
        <f>IF(U33=0,"0",IF(AND(Results!$E$5="Protein",$C$53&gt;0,OR(Results!$E$4="Tissue",Results!$E$4="Cells")),((U33*U$51)/(U$53)),IF(AND(Results!$E$5="Weight",$C$52&gt;0, Results!$E$4="Tissue",OR($B$52="g",$B$52="mg")),((U33*U$51)/(U$52)),IF(AND(Results!$E$5="Volume",$C$54&gt;0,Results!$E$4="Fluid"),((U33*U$51)/(U$54)),IF(AND(Results!$E$4="Cells",Results!$E$5="Million",$B$52="million"),((U33*U$51)/(U$52)),"0")))))</f>
        <v>22.899799999999995</v>
      </c>
      <c r="V86" s="20">
        <f>IF(V33=0,"0",IF(AND(Results!$E$5="Protein",$C$53&gt;0,OR(Results!$E$4="Tissue",Results!$E$4="Cells")),((V33*V$51)/(V$53)),IF(AND(Results!$E$5="Weight",$C$52&gt;0, Results!$E$4="Tissue",OR($B$52="g",$B$52="mg")),((V33*V$51)/(V$52)),IF(AND(Results!$E$5="Volume",$C$54&gt;0,Results!$E$4="Fluid"),((V33*V$51)/(V$54)),IF(AND(Results!$E$4="Cells",Results!$E$5="Million",$B$52="million"),((V33*V$51)/(V$52)),"0")))))</f>
        <v>12.436816666666667</v>
      </c>
      <c r="W86" s="20">
        <f>IF(W33=0,"0",IF(AND(Results!$E$5="Protein",$C$53&gt;0,OR(Results!$E$4="Tissue",Results!$E$4="Cells")),((W33*W$51)/(W$53)),IF(AND(Results!$E$5="Weight",$C$52&gt;0, Results!$E$4="Tissue",OR($B$52="g",$B$52="mg")),((W33*W$51)/(W$52)),IF(AND(Results!$E$5="Volume",$C$54&gt;0,Results!$E$4="Fluid"),((W33*W$51)/(W$54)),IF(AND(Results!$E$4="Cells",Results!$E$5="Million",$B$52="million"),((W33*W$51)/(W$52)),"0")))))</f>
        <v>1.2789428571428574</v>
      </c>
      <c r="X86" s="20">
        <f>IF(X33=0,"0",IF(AND(Results!$E$5="Protein",$C$53&gt;0,OR(Results!$E$4="Tissue",Results!$E$4="Cells")),((X33*X$51)/(X$53)),IF(AND(Results!$E$5="Weight",$C$52&gt;0, Results!$E$4="Tissue",OR($B$52="g",$B$52="mg")),((X33*X$51)/(X$52)),IF(AND(Results!$E$5="Volume",$C$54&gt;0,Results!$E$4="Fluid"),((X33*X$51)/(X$54)),IF(AND(Results!$E$4="Cells",Results!$E$5="Million",$B$52="million"),((X33*X$51)/(X$52)),"0")))))</f>
        <v>0.45528000000000007</v>
      </c>
      <c r="Y86" s="20">
        <f>IF(Y33=0,"0",IF(AND(Results!$E$5="Protein",$C$53&gt;0,OR(Results!$E$4="Tissue",Results!$E$4="Cells")),((Y33*Y$51)/(Y$53)),IF(AND(Results!$E$5="Weight",$C$52&gt;0, Results!$E$4="Tissue",OR($B$52="g",$B$52="mg")),((Y33*Y$51)/(Y$52)),IF(AND(Results!$E$5="Volume",$C$54&gt;0,Results!$E$4="Fluid"),((Y33*Y$51)/(Y$54)),IF(AND(Results!$E$4="Cells",Results!$E$5="Million",$B$52="million"),((Y33*Y$51)/(Y$52)),"0")))))</f>
        <v>10.403333333333334</v>
      </c>
      <c r="Z86" s="20">
        <f>IF(Z33=0,"0",IF(AND(Results!$E$5="Protein",$C$53&gt;0,OR(Results!$E$4="Tissue",Results!$E$4="Cells")),((Z33*Z$51)/(Z$53)),IF(AND(Results!$E$5="Weight",$C$52&gt;0, Results!$E$4="Tissue",OR($B$52="g",$B$52="mg")),((Z33*Z$51)/(Z$52)),IF(AND(Results!$E$5="Volume",$C$54&gt;0,Results!$E$4="Fluid"),((Z33*Z$51)/(Z$54)),IF(AND(Results!$E$4="Cells",Results!$E$5="Million",$B$52="million"),((Z33*Z$51)/(Z$52)),"0")))))</f>
        <v>4.1745200000000002</v>
      </c>
      <c r="AA86" s="20">
        <f>IF(AA33=0,"0",IF(AND(Results!$E$5="Protein",$C$53&gt;0,OR(Results!$E$4="Tissue",Results!$E$4="Cells")),((AA33*AA$51)/(AA$53)),IF(AND(Results!$E$5="Weight",$C$52&gt;0, Results!$E$4="Tissue",OR($B$52="g",$B$52="mg")),((AA33*AA$51)/(AA$52)),IF(AND(Results!$E$5="Volume",$C$54&gt;0,Results!$E$4="Fluid"),((AA33*AA$51)/(AA$54)),IF(AND(Results!$E$4="Cells",Results!$E$5="Million",$B$52="million"),((AA33*AA$51)/(AA$52)),"0")))))</f>
        <v>2.5615000000000001</v>
      </c>
      <c r="AB86" s="20">
        <f>IF(AB33=0,"0",IF(AND(Results!$E$5="Protein",$C$53&gt;0,OR(Results!$E$4="Tissue",Results!$E$4="Cells")),((AB33*AB$51)/(AB$53)),IF(AND(Results!$E$5="Weight",$C$52&gt;0, Results!$E$4="Tissue",OR($B$52="g",$B$52="mg")),((AB33*AB$51)/(AB$52)),IF(AND(Results!$E$5="Volume",$C$54&gt;0,Results!$E$4="Fluid"),((AB33*AB$51)/(AB$54)),IF(AND(Results!$E$4="Cells",Results!$E$5="Million",$B$52="million"),((AB33*AB$51)/(AB$52)),"0")))))</f>
        <v>24.658966666666668</v>
      </c>
      <c r="AC86" s="20">
        <f>IF(AC33=0,"0",IF(AND(Results!$E$5="Protein",$C$53&gt;0,OR(Results!$E$4="Tissue",Results!$E$4="Cells")),((AC33*AC$51)/(AC$53)),IF(AND(Results!$E$5="Weight",$C$52&gt;0, Results!$E$4="Tissue",OR($B$52="g",$B$52="mg")),((AC33*AC$51)/(AC$52)),IF(AND(Results!$E$5="Volume",$C$54&gt;0,Results!$E$4="Fluid"),((AC33*AC$51)/(AC$54)),IF(AND(Results!$E$4="Cells",Results!$E$5="Million",$B$52="million"),((AC33*AC$51)/(AC$52)),"0")))))</f>
        <v>39.53841666666667</v>
      </c>
      <c r="AD86" s="20">
        <f>IF(AD33=0,"0",IF(AND(Results!$E$5="Protein",$C$53&gt;0,OR(Results!$E$4="Tissue",Results!$E$4="Cells")),((AD33*AD$51)/(AD$53)),IF(AND(Results!$E$5="Weight",$C$52&gt;0, Results!$E$4="Tissue",OR($B$52="g",$B$52="mg")),((AD33*AD$51)/(AD$52)),IF(AND(Results!$E$5="Volume",$C$54&gt;0,Results!$E$4="Fluid"),((AD33*AD$51)/(AD$54)),IF(AND(Results!$E$4="Cells",Results!$E$5="Million",$B$52="million"),((AD33*AD$51)/(AD$52)),"0")))))</f>
        <v>18.951750000000001</v>
      </c>
      <c r="AE86" s="20">
        <f>IF(AE33=0,"0",IF(AND(Results!$E$5="Protein",$C$53&gt;0,OR(Results!$E$4="Tissue",Results!$E$4="Cells")),((AE33*AE$51)/(AE$53)),IF(AND(Results!$E$5="Weight",$C$52&gt;0, Results!$E$4="Tissue",OR($B$52="g",$B$52="mg")),((AE33*AE$51)/(AE$52)),IF(AND(Results!$E$5="Volume",$C$54&gt;0,Results!$E$4="Fluid"),((AE33*AE$51)/(AE$54)),IF(AND(Results!$E$4="Cells",Results!$E$5="Million",$B$52="million"),((AE33*AE$51)/(AE$52)),"0")))))</f>
        <v>6.1028333333333329</v>
      </c>
      <c r="AF86" s="20">
        <f>IF(AF33=0,"0",IF(AND(Results!$E$5="Protein",$C$53&gt;0,OR(Results!$E$4="Tissue",Results!$E$4="Cells")),((AF33*AF$51)/(AF$53)),IF(AND(Results!$E$5="Weight",$C$52&gt;0, Results!$E$4="Tissue",OR($B$52="g",$B$52="mg")),((AF33*AF$51)/(AF$52)),IF(AND(Results!$E$5="Volume",$C$54&gt;0,Results!$E$4="Fluid"),((AF33*AF$51)/(AF$54)),IF(AND(Results!$E$4="Cells",Results!$E$5="Million",$B$52="million"),((AF33*AF$51)/(AF$52)),"0")))))</f>
        <v>0.92595000000000005</v>
      </c>
      <c r="AG86" s="20">
        <f>IF(AG33=0,"0",IF(AND(Results!$E$5="Protein",$C$53&gt;0,OR(Results!$E$4="Tissue",Results!$E$4="Cells")),((AG33*AG$51)/(AG$53)),IF(AND(Results!$E$5="Weight",$C$52&gt;0, Results!$E$4="Tissue",OR($B$52="g",$B$52="mg")),((AG33*AG$51)/(AG$52)),IF(AND(Results!$E$5="Volume",$C$54&gt;0,Results!$E$4="Fluid"),((AG33*AG$51)/(AG$54)),IF(AND(Results!$E$4="Cells",Results!$E$5="Million",$B$52="million"),((AG33*AG$51)/(AG$52)),"0")))))</f>
        <v>9.4377166666666668</v>
      </c>
      <c r="AH86" s="20">
        <f>IF(AH33=0,"0",IF(AND(Results!$E$5="Protein",$C$53&gt;0,OR(Results!$E$4="Tissue",Results!$E$4="Cells")),((AH33*AH$51)/(AH$53)),IF(AND(Results!$E$5="Weight",$C$52&gt;0, Results!$E$4="Tissue",OR($B$52="g",$B$52="mg")),((AH33*AH$51)/(AH$52)),IF(AND(Results!$E$5="Volume",$C$54&gt;0,Results!$E$4="Fluid"),((AH33*AH$51)/(AH$54)),IF(AND(Results!$E$4="Cells",Results!$E$5="Million",$B$52="million"),((AH33*AH$51)/(AH$52)),"0")))))</f>
        <v>6.8115166666666669</v>
      </c>
      <c r="AI86" s="20">
        <f>IF(AI33=0,"0",IF(AND(Results!$E$5="Protein",$C$53&gt;0,OR(Results!$E$4="Tissue",Results!$E$4="Cells")),((AI33*AI$51)/(AI$53)),IF(AND(Results!$E$5="Weight",$C$52&gt;0, Results!$E$4="Tissue",OR($B$52="g",$B$52="mg")),((AI33*AI$51)/(AI$52)),IF(AND(Results!$E$5="Volume",$C$54&gt;0,Results!$E$4="Fluid"),((AI33*AI$51)/(AI$54)),IF(AND(Results!$E$4="Cells",Results!$E$5="Million",$B$52="million"),((AI33*AI$51)/(AI$52)),"0")))))</f>
        <v>7.2039</v>
      </c>
      <c r="AJ86" s="20">
        <f>IF(AJ33=0,"0",IF(AND(Results!$E$5="Protein",$C$53&gt;0,OR(Results!$E$4="Tissue",Results!$E$4="Cells")),((AJ33*AJ$51)/(AJ$53)),IF(AND(Results!$E$5="Weight",$C$52&gt;0, Results!$E$4="Tissue",OR($B$52="g",$B$52="mg")),((AJ33*AJ$51)/(AJ$52)),IF(AND(Results!$E$5="Volume",$C$54&gt;0,Results!$E$4="Fluid"),((AJ33*AJ$51)/(AJ$54)),IF(AND(Results!$E$4="Cells",Results!$E$5="Million",$B$52="million"),((AJ33*AJ$51)/(AJ$52)),"0")))))</f>
        <v>2.0750666666666668</v>
      </c>
      <c r="AK86" s="20">
        <f>IF(AK33=0,"0",IF(AND(Results!$E$5="Protein",$C$53&gt;0,OR(Results!$E$4="Tissue",Results!$E$4="Cells")),((AK33*AK$51)/(AK$53)),IF(AND(Results!$E$5="Weight",$C$52&gt;0, Results!$E$4="Tissue",OR($B$52="g",$B$52="mg")),((AK33*AK$51)/(AK$52)),IF(AND(Results!$E$5="Volume",$C$54&gt;0,Results!$E$4="Fluid"),((AK33*AK$51)/(AK$54)),IF(AND(Results!$E$4="Cells",Results!$E$5="Million",$B$52="million"),((AK33*AK$51)/(AK$52)),"0")))))</f>
        <v>19.16641666666667</v>
      </c>
      <c r="AL86" s="20">
        <f>IF(AL33=0,"0",IF(AND(Results!$E$5="Protein",$C$53&gt;0,OR(Results!$E$4="Tissue",Results!$E$4="Cells")),((AL33*AL$51)/(AL$53)),IF(AND(Results!$E$5="Weight",$C$52&gt;0, Results!$E$4="Tissue",OR($B$52="g",$B$52="mg")),((AL33*AL$51)/(AL$52)),IF(AND(Results!$E$5="Volume",$C$54&gt;0,Results!$E$4="Fluid"),((AL33*AL$51)/(AL$54)),IF(AND(Results!$E$4="Cells",Results!$E$5="Million",$B$52="million"),((AL33*AL$51)/(AL$52)),"0")))))</f>
        <v>4.7368166666666669</v>
      </c>
      <c r="AM86" s="20">
        <f>IF(AM33=0,"0",IF(AND(Results!$E$5="Protein",$C$53&gt;0,OR(Results!$E$4="Tissue",Results!$E$4="Cells")),((AM33*AM$51)/(AM$53)),IF(AND(Results!$E$5="Weight",$C$52&gt;0, Results!$E$4="Tissue",OR($B$52="g",$B$52="mg")),((AM33*AM$51)/(AM$52)),IF(AND(Results!$E$5="Volume",$C$54&gt;0,Results!$E$4="Fluid"),((AM33*AM$51)/(AM$54)),IF(AND(Results!$E$4="Cells",Results!$E$5="Million",$B$52="million"),((AM33*AM$51)/(AM$52)),"0")))))</f>
        <v>0.20368333333333333</v>
      </c>
      <c r="AN86" s="20">
        <f>IF(AN33=0,"0",IF(AND(Results!$E$5="Protein",$C$53&gt;0,OR(Results!$E$4="Tissue",Results!$E$4="Cells")),((AN33*AN$51)/(AN$53)),IF(AND(Results!$E$5="Weight",$C$52&gt;0, Results!$E$4="Tissue",OR($B$52="g",$B$52="mg")),((AN33*AN$51)/(AN$52)),IF(AND(Results!$E$5="Volume",$C$54&gt;0,Results!$E$4="Fluid"),((AN33*AN$51)/(AN$54)),IF(AND(Results!$E$4="Cells",Results!$E$5="Million",$B$52="million"),((AN33*AN$51)/(AN$52)),"0")))))</f>
        <v>22.67486666666667</v>
      </c>
      <c r="AO86" s="20">
        <f>IF(AO33=0,"0",IF(AND(Results!$E$5="Protein",$C$53&gt;0,OR(Results!$E$4="Tissue",Results!$E$4="Cells")),((AO33*AO$51)/(AO$53)),IF(AND(Results!$E$5="Weight",$C$52&gt;0, Results!$E$4="Tissue",OR($B$52="g",$B$52="mg")),((AO33*AO$51)/(AO$52)),IF(AND(Results!$E$5="Volume",$C$54&gt;0,Results!$E$4="Fluid"),((AO33*AO$51)/(AO$54)),IF(AND(Results!$E$4="Cells",Results!$E$5="Million",$B$52="million"),((AO33*AO$51)/(AO$52)),"0")))))</f>
        <v>9.147216666666667</v>
      </c>
      <c r="AP86" s="20">
        <f>IF(AP33=0,"0",IF(AND(Results!$E$5="Protein",$C$53&gt;0,OR(Results!$E$4="Tissue",Results!$E$4="Cells")),((AP33*AP$51)/(AP$53)),IF(AND(Results!$E$5="Weight",$C$52&gt;0, Results!$E$4="Tissue",OR($B$52="g",$B$52="mg")),((AP33*AP$51)/(AP$52)),IF(AND(Results!$E$5="Volume",$C$54&gt;0,Results!$E$4="Fluid"),((AP33*AP$51)/(AP$54)),IF(AND(Results!$E$4="Cells",Results!$E$5="Million",$B$52="million"),((AP33*AP$51)/(AP$52)),"0")))))</f>
        <v>0.90989999999999993</v>
      </c>
      <c r="AQ86" s="20">
        <f>IF(AQ33=0,"0",IF(AND(Results!$E$5="Protein",$C$53&gt;0,OR(Results!$E$4="Tissue",Results!$E$4="Cells")),((AQ33*AQ$51)/(AQ$53)),IF(AND(Results!$E$5="Weight",$C$52&gt;0, Results!$E$4="Tissue",OR($B$52="g",$B$52="mg")),((AQ33*AQ$51)/(AQ$52)),IF(AND(Results!$E$5="Volume",$C$54&gt;0,Results!$E$4="Fluid"),((AQ33*AQ$51)/(AQ$54)),IF(AND(Results!$E$4="Cells",Results!$E$5="Million",$B$52="million"),((AQ33*AQ$51)/(AQ$52)),"0")))))</f>
        <v>7.9825000000000008</v>
      </c>
      <c r="AR86" s="20">
        <f>IF(AR33=0,"0",IF(AND(Results!$E$5="Protein",$C$53&gt;0,OR(Results!$E$4="Tissue",Results!$E$4="Cells")),((AR33*AR$51)/(AR$53)),IF(AND(Results!$E$5="Weight",$C$52&gt;0, Results!$E$4="Tissue",OR($B$52="g",$B$52="mg")),((AR33*AR$51)/(AR$52)),IF(AND(Results!$E$5="Volume",$C$54&gt;0,Results!$E$4="Fluid"),((AR33*AR$51)/(AR$54)),IF(AND(Results!$E$4="Cells",Results!$E$5="Million",$B$52="million"),((AR33*AR$51)/(AR$52)),"0")))))</f>
        <v>5.2208833333333331</v>
      </c>
      <c r="AS86" s="20">
        <f>IF(AS33=0,"0",IF(AND(Results!$E$5="Protein",$C$53&gt;0,OR(Results!$E$4="Tissue",Results!$E$4="Cells")),((AS33*AS$51)/(AS$53)),IF(AND(Results!$E$5="Weight",$C$52&gt;0, Results!$E$4="Tissue",OR($B$52="g",$B$52="mg")),((AS33*AS$51)/(AS$52)),IF(AND(Results!$E$5="Volume",$C$54&gt;0,Results!$E$4="Fluid"),((AS33*AS$51)/(AS$54)),IF(AND(Results!$E$4="Cells",Results!$E$5="Million",$B$52="million"),((AS33*AS$51)/(AS$52)),"0")))))</f>
        <v>0.27883333333333332</v>
      </c>
      <c r="AT86" s="20">
        <f>IF(AT33=0,"0",IF(AND(Results!$E$5="Protein",$C$53&gt;0,OR(Results!$E$4="Tissue",Results!$E$4="Cells")),((AT33*AT$51)/(AT$53)),IF(AND(Results!$E$5="Weight",$C$52&gt;0, Results!$E$4="Tissue",OR($B$52="g",$B$52="mg")),((AT33*AT$51)/(AT$52)),IF(AND(Results!$E$5="Volume",$C$54&gt;0,Results!$E$4="Fluid"),((AT33*AT$51)/(AT$54)),IF(AND(Results!$E$4="Cells",Results!$E$5="Million",$B$52="million"),((AT33*AT$51)/(AT$52)),"0")))))</f>
        <v>4.4530833333333337</v>
      </c>
      <c r="AU86" s="20">
        <f>IF(AU33=0,"0",IF(AND(Results!$E$5="Protein",$C$53&gt;0,OR(Results!$E$4="Tissue",Results!$E$4="Cells")),((AU33*AU$51)/(AU$53)),IF(AND(Results!$E$5="Weight",$C$52&gt;0, Results!$E$4="Tissue",OR($B$52="g",$B$52="mg")),((AU33*AU$51)/(AU$52)),IF(AND(Results!$E$5="Volume",$C$54&gt;0,Results!$E$4="Fluid"),((AU33*AU$51)/(AU$54)),IF(AND(Results!$E$4="Cells",Results!$E$5="Million",$B$52="million"),((AU33*AU$51)/(AU$52)),"0")))))</f>
        <v>3.9542000000000002</v>
      </c>
      <c r="AV86" s="20">
        <f>IF(AV33=0,"0",IF(AND(Results!$E$5="Protein",$C$53&gt;0,OR(Results!$E$4="Tissue",Results!$E$4="Cells")),((AV33*AV$51)/(AV$53)),IF(AND(Results!$E$5="Weight",$C$52&gt;0, Results!$E$4="Tissue",OR($B$52="g",$B$52="mg")),((AV33*AV$51)/(AV$52)),IF(AND(Results!$E$5="Volume",$C$54&gt;0,Results!$E$4="Fluid"),((AV33*AV$51)/(AV$54)),IF(AND(Results!$E$4="Cells",Results!$E$5="Million",$B$52="million"),((AV33*AV$51)/(AV$52)),"0")))))</f>
        <v>16.04524</v>
      </c>
      <c r="AW86" s="20">
        <f>IF(AW33=0,"0",IF(AND(Results!$E$5="Protein",$C$53&gt;0,OR(Results!$E$4="Tissue",Results!$E$4="Cells")),((AW33*AW$51)/(AW$53)),IF(AND(Results!$E$5="Weight",$C$52&gt;0, Results!$E$4="Tissue",OR($B$52="g",$B$52="mg")),((AW33*AW$51)/(AW$52)),IF(AND(Results!$E$5="Volume",$C$54&gt;0,Results!$E$4="Fluid"),((AW33*AW$51)/(AW$54)),IF(AND(Results!$E$4="Cells",Results!$E$5="Million",$B$52="million"),((AW33*AW$51)/(AW$52)),"0")))))</f>
        <v>0.71186666666666676</v>
      </c>
      <c r="AX86" s="20">
        <f>IF(AX33=0,"0",IF(AND(Results!$E$5="Protein",$C$53&gt;0,OR(Results!$E$4="Tissue",Results!$E$4="Cells")),((AX33*AX$51)/(AX$53)),IF(AND(Results!$E$5="Weight",$C$52&gt;0, Results!$E$4="Tissue",OR($B$52="g",$B$52="mg")),((AX33*AX$51)/(AX$52)),IF(AND(Results!$E$5="Volume",$C$54&gt;0,Results!$E$4="Fluid"),((AX33*AX$51)/(AX$54)),IF(AND(Results!$E$4="Cells",Results!$E$5="Million",$B$52="million"),((AX33*AX$51)/(AX$52)),"0")))))</f>
        <v>3.285566666666667</v>
      </c>
      <c r="AY86" s="20">
        <f>IF(AY33=0,"0",IF(AND(Results!$E$5="Protein",$C$53&gt;0,OR(Results!$E$4="Tissue",Results!$E$4="Cells")),((AY33*AY$51)/(AY$53)),IF(AND(Results!$E$5="Weight",$C$52&gt;0, Results!$E$4="Tissue",OR($B$52="g",$B$52="mg")),((AY33*AY$51)/(AY$52)),IF(AND(Results!$E$5="Volume",$C$54&gt;0,Results!$E$4="Fluid"),((AY33*AY$51)/(AY$54)),IF(AND(Results!$E$4="Cells",Results!$E$5="Million",$B$52="million"),((AY33*AY$51)/(AY$52)),"0")))))</f>
        <v>15.035816666666667</v>
      </c>
      <c r="AZ86" s="20">
        <f>IF(AZ33=0,"0",IF(AND(Results!$E$5="Protein",$C$53&gt;0,OR(Results!$E$4="Tissue",Results!$E$4="Cells")),((AZ33*AZ$51)/(AZ$53)),IF(AND(Results!$E$5="Weight",$C$52&gt;0, Results!$E$4="Tissue",OR($B$52="g",$B$52="mg")),((AZ33*AZ$51)/(AZ$52)),IF(AND(Results!$E$5="Volume",$C$54&gt;0,Results!$E$4="Fluid"),((AZ33*AZ$51)/(AZ$54)),IF(AND(Results!$E$4="Cells",Results!$E$5="Million",$B$52="million"),((AZ33*AZ$51)/(AZ$52)),"0")))))</f>
        <v>3.1983333333333333</v>
      </c>
      <c r="BA86" s="20">
        <f>IF(BA33=0,"0",IF(AND(Results!$E$5="Protein",$C$53&gt;0,OR(Results!$E$4="Tissue",Results!$E$4="Cells")),((BA33*BA$51)/(BA$53)),IF(AND(Results!$E$5="Weight",$C$52&gt;0, Results!$E$4="Tissue",OR($B$52="g",$B$52="mg")),((BA33*BA$51)/(BA$52)),IF(AND(Results!$E$5="Volume",$C$54&gt;0,Results!$E$4="Fluid"),((BA33*BA$51)/(BA$54)),IF(AND(Results!$E$4="Cells",Results!$E$5="Million",$B$52="million"),((BA33*BA$51)/(BA$52)),"0")))))</f>
        <v>21.553650000000001</v>
      </c>
      <c r="BB86" s="20">
        <f>IF(BB33=0,"0",IF(AND(Results!$E$5="Protein",$C$53&gt;0,OR(Results!$E$4="Tissue",Results!$E$4="Cells")),((BB33*BB$51)/(BB$53)),IF(AND(Results!$E$5="Weight",$C$52&gt;0, Results!$E$4="Tissue",OR($B$52="g",$B$52="mg")),((BB33*BB$51)/(BB$52)),IF(AND(Results!$E$5="Volume",$C$54&gt;0,Results!$E$4="Fluid"),((BB33*BB$51)/(BB$54)),IF(AND(Results!$E$4="Cells",Results!$E$5="Million",$B$52="million"),((BB33*BB$51)/(BB$52)),"0")))))</f>
        <v>6.7862666666666662</v>
      </c>
      <c r="BC86" s="20">
        <f>IF(BC33=0,"0",IF(AND(Results!$E$5="Protein",$C$53&gt;0,OR(Results!$E$4="Tissue",Results!$E$4="Cells")),((BC33*BC$51)/(BC$53)),IF(AND(Results!$E$5="Weight",$C$52&gt;0, Results!$E$4="Tissue",OR($B$52="g",$B$52="mg")),((BC33*BC$51)/(BC$52)),IF(AND(Results!$E$5="Volume",$C$54&gt;0,Results!$E$4="Fluid"),((BC33*BC$51)/(BC$54)),IF(AND(Results!$E$4="Cells",Results!$E$5="Million",$B$52="million"),((BC33*BC$51)/(BC$52)),"0")))))</f>
        <v>22.014300000000002</v>
      </c>
      <c r="BD86" s="20">
        <f>IF(BD33=0,"0",IF(AND(Results!$E$5="Protein",$C$53&gt;0,OR(Results!$E$4="Tissue",Results!$E$4="Cells")),((BD33*BD$51)/(BD$53)),IF(AND(Results!$E$5="Weight",$C$52&gt;0, Results!$E$4="Tissue",OR($B$52="g",$B$52="mg")),((BD33*BD$51)/(BD$52)),IF(AND(Results!$E$5="Volume",$C$54&gt;0,Results!$E$4="Fluid"),((BD33*BD$51)/(BD$54)),IF(AND(Results!$E$4="Cells",Results!$E$5="Million",$B$52="million"),((BD33*BD$51)/(BD$52)),"0")))))</f>
        <v>37.037483333333327</v>
      </c>
      <c r="BE86" s="20">
        <f>IF(BE33=0,"0",IF(AND(Results!$E$5="Protein",$C$53&gt;0,OR(Results!$E$4="Tissue",Results!$E$4="Cells")),((BE33*BE$51)/(BE$53)),IF(AND(Results!$E$5="Weight",$C$52&gt;0, Results!$E$4="Tissue",OR($B$52="g",$B$52="mg")),((BE33*BE$51)/(BE$52)),IF(AND(Results!$E$5="Volume",$C$54&gt;0,Results!$E$4="Fluid"),((BE33*BE$51)/(BE$54)),IF(AND(Results!$E$4="Cells",Results!$E$5="Million",$B$52="million"),((BE33*BE$51)/(BE$52)),"0")))))</f>
        <v>5.1648833333333339</v>
      </c>
      <c r="BF86" s="20">
        <f>IF(BF33=0,"0",IF(AND(Results!$E$5="Protein",$C$53&gt;0,OR(Results!$E$4="Tissue",Results!$E$4="Cells")),((BF33*BF$51)/(BF$53)),IF(AND(Results!$E$5="Weight",$C$52&gt;0, Results!$E$4="Tissue",OR($B$52="g",$B$52="mg")),((BF33*BF$51)/(BF$52)),IF(AND(Results!$E$5="Volume",$C$54&gt;0,Results!$E$4="Fluid"),((BF33*BF$51)/(BF$54)),IF(AND(Results!$E$4="Cells",Results!$E$5="Million",$B$52="million"),((BF33*BF$51)/(BF$52)),"0")))))</f>
        <v>1.4964999999999999</v>
      </c>
      <c r="BG86" s="20">
        <f>IF(BG33=0,"0",IF(AND(Results!$E$5="Protein",$C$53&gt;0,OR(Results!$E$4="Tissue",Results!$E$4="Cells")),((BG33*BG$51)/(BG$53)),IF(AND(Results!$E$5="Weight",$C$52&gt;0, Results!$E$4="Tissue",OR($B$52="g",$B$52="mg")),((BG33*BG$51)/(BG$52)),IF(AND(Results!$E$5="Volume",$C$54&gt;0,Results!$E$4="Fluid"),((BG33*BG$51)/(BG$54)),IF(AND(Results!$E$4="Cells",Results!$E$5="Million",$B$52="million"),((BG33*BG$51)/(BG$52)),"0")))))</f>
        <v>3.7897833333333333</v>
      </c>
      <c r="BH86" s="20">
        <f>IF(BH33=0,"0",IF(AND(Results!$E$5="Protein",$C$53&gt;0,OR(Results!$E$4="Tissue",Results!$E$4="Cells")),((BH33*BH$51)/(BH$53)),IF(AND(Results!$E$5="Weight",$C$52&gt;0, Results!$E$4="Tissue",OR($B$52="g",$B$52="mg")),((BH33*BH$51)/(BH$52)),IF(AND(Results!$E$5="Volume",$C$54&gt;0,Results!$E$4="Fluid"),((BH33*BH$51)/(BH$54)),IF(AND(Results!$E$4="Cells",Results!$E$5="Million",$B$52="million"),((BH33*BH$51)/(BH$52)),"0")))))</f>
        <v>15.598983333333335</v>
      </c>
      <c r="BI86" s="20">
        <f>IF(BI33=0,"0",IF(AND(Results!$E$5="Protein",$C$53&gt;0,OR(Results!$E$4="Tissue",Results!$E$4="Cells")),((BI33*BI$51)/(BI$53)),IF(AND(Results!$E$5="Weight",$C$52&gt;0, Results!$E$4="Tissue",OR($B$52="g",$B$52="mg")),((BI33*BI$51)/(BI$52)),IF(AND(Results!$E$5="Volume",$C$54&gt;0,Results!$E$4="Fluid"),((BI33*BI$51)/(BI$54)),IF(AND(Results!$E$4="Cells",Results!$E$5="Million",$B$52="million"),((BI33*BI$51)/(BI$52)),"0")))))</f>
        <v>3.2774166666666669</v>
      </c>
      <c r="BJ86" s="20">
        <f>IF(BJ33=0,"0",IF(AND(Results!$E$5="Protein",$C$53&gt;0,OR(Results!$E$4="Tissue",Results!$E$4="Cells")),((BJ33*BJ$51)/(BJ$53)),IF(AND(Results!$E$5="Weight",$C$52&gt;0, Results!$E$4="Tissue",OR($B$52="g",$B$52="mg")),((BJ33*BJ$51)/(BJ$52)),IF(AND(Results!$E$5="Volume",$C$54&gt;0,Results!$E$4="Fluid"),((BJ33*BJ$51)/(BJ$54)),IF(AND(Results!$E$4="Cells",Results!$E$5="Million",$B$52="million"),((BJ33*BJ$51)/(BJ$52)),"0")))))</f>
        <v>5.3867666666666674</v>
      </c>
      <c r="BK86" s="20">
        <f>IF(BK33=0,"0",IF(AND(Results!$E$5="Protein",$C$53&gt;0,OR(Results!$E$4="Tissue",Results!$E$4="Cells")),((BK33*BK$51)/(BK$53)),IF(AND(Results!$E$5="Weight",$C$52&gt;0, Results!$E$4="Tissue",OR($B$52="g",$B$52="mg")),((BK33*BK$51)/(BK$52)),IF(AND(Results!$E$5="Volume",$C$54&gt;0,Results!$E$4="Fluid"),((BK33*BK$51)/(BK$54)),IF(AND(Results!$E$4="Cells",Results!$E$5="Million",$B$52="million"),((BK33*BK$51)/(BK$52)),"0")))))</f>
        <v>52.609883333333329</v>
      </c>
      <c r="BL86" s="20">
        <f>IF(BL33=0,"0",IF(AND(Results!$E$5="Protein",$C$53&gt;0,OR(Results!$E$4="Tissue",Results!$E$4="Cells")),((BL33*BL$51)/(BL$53)),IF(AND(Results!$E$5="Weight",$C$52&gt;0, Results!$E$4="Tissue",OR($B$52="g",$B$52="mg")),((BL33*BL$51)/(BL$52)),IF(AND(Results!$E$5="Volume",$C$54&gt;0,Results!$E$4="Fluid"),((BL33*BL$51)/(BL$54)),IF(AND(Results!$E$4="Cells",Results!$E$5="Million",$B$52="million"),((BL33*BL$51)/(BL$52)),"0")))))</f>
        <v>35.871066666666671</v>
      </c>
      <c r="BM86" s="20">
        <f>IF(BM33=0,"0",IF(AND(Results!$E$5="Protein",$C$53&gt;0,OR(Results!$E$4="Tissue",Results!$E$4="Cells")),((BM33*BM$51)/(BM$53)),IF(AND(Results!$E$5="Weight",$C$52&gt;0, Results!$E$4="Tissue",OR($B$52="g",$B$52="mg")),((BM33*BM$51)/(BM$52)),IF(AND(Results!$E$5="Volume",$C$54&gt;0,Results!$E$4="Fluid"),((BM33*BM$51)/(BM$54)),IF(AND(Results!$E$4="Cells",Results!$E$5="Million",$B$52="million"),((BM33*BM$51)/(BM$52)),"0")))))</f>
        <v>5.0739714285714284</v>
      </c>
      <c r="BN86" s="20">
        <f>IF(BN33=0,"0",IF(AND(Results!$E$5="Protein",$C$53&gt;0,OR(Results!$E$4="Tissue",Results!$E$4="Cells")),((BN33*BN$51)/(BN$53)),IF(AND(Results!$E$5="Weight",$C$52&gt;0, Results!$E$4="Tissue",OR($B$52="g",$B$52="mg")),((BN33*BN$51)/(BN$52)),IF(AND(Results!$E$5="Volume",$C$54&gt;0,Results!$E$4="Fluid"),((BN33*BN$51)/(BN$54)),IF(AND(Results!$E$4="Cells",Results!$E$5="Million",$B$52="million"),((BN33*BN$51)/(BN$52)),"0")))))</f>
        <v>12.393633333333334</v>
      </c>
      <c r="BO86" s="20">
        <f>IF(BO33=0,"0",IF(AND(Results!$E$5="Protein",$C$53&gt;0,OR(Results!$E$4="Tissue",Results!$E$4="Cells")),((BO33*BO$51)/(BO$53)),IF(AND(Results!$E$5="Weight",$C$52&gt;0, Results!$E$4="Tissue",OR($B$52="g",$B$52="mg")),((BO33*BO$51)/(BO$52)),IF(AND(Results!$E$5="Volume",$C$54&gt;0,Results!$E$4="Fluid"),((BO33*BO$51)/(BO$54)),IF(AND(Results!$E$4="Cells",Results!$E$5="Million",$B$52="million"),((BO33*BO$51)/(BO$52)),"0")))))</f>
        <v>2.5946166666666666</v>
      </c>
      <c r="BP86" s="20">
        <f>IF(BP33=0,"0",IF(AND(Results!$E$5="Protein",$C$53&gt;0,OR(Results!$E$4="Tissue",Results!$E$4="Cells")),((BP33*BP$51)/(BP$53)),IF(AND(Results!$E$5="Weight",$C$52&gt;0, Results!$E$4="Tissue",OR($B$52="g",$B$52="mg")),((BP33*BP$51)/(BP$52)),IF(AND(Results!$E$5="Volume",$C$54&gt;0,Results!$E$4="Fluid"),((BP33*BP$51)/(BP$54)),IF(AND(Results!$E$4="Cells",Results!$E$5="Million",$B$52="million"),((BP33*BP$51)/(BP$52)),"0")))))</f>
        <v>34.629116666666661</v>
      </c>
      <c r="BQ86" s="20" t="str">
        <f>IF(BQ33=0,"0",IF(AND(Results!$E$5="Protein",$C$53&gt;0,OR(Results!$E$4="Tissue",Results!$E$4="Cells")),((BQ33*BQ$51)/(BQ$53)),IF(AND(Results!$E$5="Weight",$C$52&gt;0, Results!$E$4="Tissue",OR($B$52="g",$B$52="mg")),((BQ33*BQ$51)/(BQ$52)),IF(AND(Results!$E$5="Volume",$C$54&gt;0,Results!$E$4="Fluid"),((BQ33*BQ$51)/(BQ$54)),IF(AND(Results!$E$4="Cells",Results!$E$5="Million",$B$52="million"),((BQ33*BQ$51)/(BQ$52)),"0")))))</f>
        <v>0</v>
      </c>
      <c r="BR86" s="20">
        <f>IF(BR33=0,"0",IF(AND(Results!$E$5="Protein",$C$53&gt;0,OR(Results!$E$4="Tissue",Results!$E$4="Cells")),((BR33*BR$51)/(BR$53)),IF(AND(Results!$E$5="Weight",$C$52&gt;0, Results!$E$4="Tissue",OR($B$52="g",$B$52="mg")),((BR33*BR$51)/(BR$52)),IF(AND(Results!$E$5="Volume",$C$54&gt;0,Results!$E$4="Fluid"),((BR33*BR$51)/(BR$54)),IF(AND(Results!$E$4="Cells",Results!$E$5="Million",$B$52="million"),((BR33*BR$51)/(BR$52)),"0")))))</f>
        <v>0.41437142857142856</v>
      </c>
      <c r="BS86" s="20">
        <f>IF(BS33=0,"0",IF(AND(Results!$E$5="Protein",$C$53&gt;0,OR(Results!$E$4="Tissue",Results!$E$4="Cells")),((BS33*BS$51)/(BS$53)),IF(AND(Results!$E$5="Weight",$C$52&gt;0, Results!$E$4="Tissue",OR($B$52="g",$B$52="mg")),((BS33*BS$51)/(BS$52)),IF(AND(Results!$E$5="Volume",$C$54&gt;0,Results!$E$4="Fluid"),((BS33*BS$51)/(BS$54)),IF(AND(Results!$E$4="Cells",Results!$E$5="Million",$B$52="million"),((BS33*BS$51)/(BS$52)),"0")))))</f>
        <v>6.2191166666666673</v>
      </c>
      <c r="BT86" s="20">
        <f>IF(BT33=0,"0",IF(AND(Results!$E$5="Protein",$C$53&gt;0,OR(Results!$E$4="Tissue",Results!$E$4="Cells")),((BT33*BT$51)/(BT$53)),IF(AND(Results!$E$5="Weight",$C$52&gt;0, Results!$E$4="Tissue",OR($B$52="g",$B$52="mg")),((BT33*BT$51)/(BT$52)),IF(AND(Results!$E$5="Volume",$C$54&gt;0,Results!$E$4="Fluid"),((BT33*BT$51)/(BT$54)),IF(AND(Results!$E$4="Cells",Results!$E$5="Million",$B$52="million"),((BT33*BT$51)/(BT$52)),"0")))))</f>
        <v>4.0395500000000002</v>
      </c>
      <c r="BU86" s="20">
        <f>IF(BU33=0,"0",IF(AND(Results!$E$5="Protein",$C$53&gt;0,OR(Results!$E$4="Tissue",Results!$E$4="Cells")),((BU33*BU$51)/(BU$53)),IF(AND(Results!$E$5="Weight",$C$52&gt;0, Results!$E$4="Tissue",OR($B$52="g",$B$52="mg")),((BU33*BU$51)/(BU$52)),IF(AND(Results!$E$5="Volume",$C$54&gt;0,Results!$E$4="Fluid"),((BU33*BU$51)/(BU$54)),IF(AND(Results!$E$4="Cells",Results!$E$5="Million",$B$52="million"),((BU33*BU$51)/(BU$52)),"0")))))</f>
        <v>7.2727333333333339</v>
      </c>
      <c r="BV86" s="20">
        <f>IF(BV33=0,"0",IF(AND(Results!$E$5="Protein",$C$53&gt;0,OR(Results!$E$4="Tissue",Results!$E$4="Cells")),((BV33*BV$51)/(BV$53)),IF(AND(Results!$E$5="Weight",$C$52&gt;0, Results!$E$4="Tissue",OR($B$52="g",$B$52="mg")),((BV33*BV$51)/(BV$52)),IF(AND(Results!$E$5="Volume",$C$54&gt;0,Results!$E$4="Fluid"),((BV33*BV$51)/(BV$54)),IF(AND(Results!$E$4="Cells",Results!$E$5="Million",$B$52="million"),((BV33*BV$51)/(BV$52)),"0")))))</f>
        <v>4.4128500000000006</v>
      </c>
      <c r="BW86" s="20">
        <f>IF(BW33=0,"0",IF(AND(Results!$E$5="Protein",$C$53&gt;0,OR(Results!$E$4="Tissue",Results!$E$4="Cells")),((BW33*BW$51)/(BW$53)),IF(AND(Results!$E$5="Weight",$C$52&gt;0, Results!$E$4="Tissue",OR($B$52="g",$B$52="mg")),((BW33*BW$51)/(BW$52)),IF(AND(Results!$E$5="Volume",$C$54&gt;0,Results!$E$4="Fluid"),((BW33*BW$51)/(BW$54)),IF(AND(Results!$E$4="Cells",Results!$E$5="Million",$B$52="million"),((BW33*BW$51)/(BW$52)),"0")))))</f>
        <v>15.133000000000001</v>
      </c>
      <c r="BX86" s="20">
        <f>IF(BX33=0,"0",IF(AND(Results!$E$5="Protein",$C$53&gt;0,OR(Results!$E$4="Tissue",Results!$E$4="Cells")),((BX33*BX$51)/(BX$53)),IF(AND(Results!$E$5="Weight",$C$52&gt;0, Results!$E$4="Tissue",OR($B$52="g",$B$52="mg")),((BX33*BX$51)/(BX$52)),IF(AND(Results!$E$5="Volume",$C$54&gt;0,Results!$E$4="Fluid"),((BX33*BX$51)/(BX$54)),IF(AND(Results!$E$4="Cells",Results!$E$5="Million",$B$52="million"),((BX33*BX$51)/(BX$52)),"0")))))</f>
        <v>8.7187166666666673</v>
      </c>
      <c r="BY86" s="20">
        <f>IF(BY33=0,"0",IF(AND(Results!$E$5="Protein",$C$53&gt;0,OR(Results!$E$4="Tissue",Results!$E$4="Cells")),((BY33*BY$51)/(BY$53)),IF(AND(Results!$E$5="Weight",$C$52&gt;0, Results!$E$4="Tissue",OR($B$52="g",$B$52="mg")),((BY33*BY$51)/(BY$52)),IF(AND(Results!$E$5="Volume",$C$54&gt;0,Results!$E$4="Fluid"),((BY33*BY$51)/(BY$54)),IF(AND(Results!$E$4="Cells",Results!$E$5="Million",$B$52="million"),((BY33*BY$51)/(BY$52)),"0")))))</f>
        <v>16.320566666666668</v>
      </c>
      <c r="BZ86" s="20">
        <f>IF(BZ33=0,"0",IF(AND(Results!$E$5="Protein",$C$53&gt;0,OR(Results!$E$4="Tissue",Results!$E$4="Cells")),((BZ33*BZ$51)/(BZ$53)),IF(AND(Results!$E$5="Weight",$C$52&gt;0, Results!$E$4="Tissue",OR($B$52="g",$B$52="mg")),((BZ33*BZ$51)/(BZ$52)),IF(AND(Results!$E$5="Volume",$C$54&gt;0,Results!$E$4="Fluid"),((BZ33*BZ$51)/(BZ$54)),IF(AND(Results!$E$4="Cells",Results!$E$5="Million",$B$52="million"),((BZ33*BZ$51)/(BZ$52)),"0")))))</f>
        <v>5.2363</v>
      </c>
      <c r="CA86" s="20">
        <f>IF(CA33=0,"0",IF(AND(Results!$E$5="Protein",$C$53&gt;0,OR(Results!$E$4="Tissue",Results!$E$4="Cells")),((CA33*CA$51)/(CA$53)),IF(AND(Results!$E$5="Weight",$C$52&gt;0, Results!$E$4="Tissue",OR($B$52="g",$B$52="mg")),((CA33*CA$51)/(CA$52)),IF(AND(Results!$E$5="Volume",$C$54&gt;0,Results!$E$4="Fluid"),((CA33*CA$51)/(CA$54)),IF(AND(Results!$E$4="Cells",Results!$E$5="Million",$B$52="million"),((CA33*CA$51)/(CA$52)),"0")))))</f>
        <v>11.614116666666668</v>
      </c>
      <c r="CB86" s="20">
        <f>IF(CB33=0,"0",IF(AND(Results!$E$5="Protein",$C$53&gt;0,OR(Results!$E$4="Tissue",Results!$E$4="Cells")),((CB33*CB$51)/(CB$53)),IF(AND(Results!$E$5="Weight",$C$52&gt;0, Results!$E$4="Tissue",OR($B$52="g",$B$52="mg")),((CB33*CB$51)/(CB$52)),IF(AND(Results!$E$5="Volume",$C$54&gt;0,Results!$E$4="Fluid"),((CB33*CB$51)/(CB$54)),IF(AND(Results!$E$4="Cells",Results!$E$5="Million",$B$52="million"),((CB33*CB$51)/(CB$52)),"0")))))</f>
        <v>7.7537166666666666</v>
      </c>
      <c r="CC86" s="20">
        <f>IF(CC33=0,"0",IF(AND(Results!$E$5="Protein",$C$53&gt;0,OR(Results!$E$4="Tissue",Results!$E$4="Cells")),((CC33*CC$51)/(CC$53)),IF(AND(Results!$E$5="Weight",$C$52&gt;0, Results!$E$4="Tissue",OR($B$52="g",$B$52="mg")),((CC33*CC$51)/(CC$52)),IF(AND(Results!$E$5="Volume",$C$54&gt;0,Results!$E$4="Fluid"),((CC33*CC$51)/(CC$54)),IF(AND(Results!$E$4="Cells",Results!$E$5="Million",$B$52="million"),((CC33*CC$51)/(CC$52)),"0")))))</f>
        <v>10.656650000000001</v>
      </c>
      <c r="CD86" s="20">
        <f>IF(CD33=0,"0",IF(AND(Results!$E$5="Protein",$C$53&gt;0,OR(Results!$E$4="Tissue",Results!$E$4="Cells")),((CD33*CD$51)/(CD$53)),IF(AND(Results!$E$5="Weight",$C$52&gt;0, Results!$E$4="Tissue",OR($B$52="g",$B$52="mg")),((CD33*CD$51)/(CD$52)),IF(AND(Results!$E$5="Volume",$C$54&gt;0,Results!$E$4="Fluid"),((CD33*CD$51)/(CD$54)),IF(AND(Results!$E$4="Cells",Results!$E$5="Million",$B$52="million"),((CD33*CD$51)/(CD$52)),"0")))))</f>
        <v>10.155083333333334</v>
      </c>
      <c r="CE86" s="20">
        <f>IF(CE33=0,"0",IF(AND(Results!$E$5="Protein",$C$53&gt;0,OR(Results!$E$4="Tissue",Results!$E$4="Cells")),((CE33*CE$51)/(CE$53)),IF(AND(Results!$E$5="Weight",$C$52&gt;0, Results!$E$4="Tissue",OR($B$52="g",$B$52="mg")),((CE33*CE$51)/(CE$52)),IF(AND(Results!$E$5="Volume",$C$54&gt;0,Results!$E$4="Fluid"),((CE33*CE$51)/(CE$54)),IF(AND(Results!$E$4="Cells",Results!$E$5="Million",$B$52="million"),((CE33*CE$51)/(CE$52)),"0")))))</f>
        <v>9.6570333333333345</v>
      </c>
      <c r="CF86" s="20">
        <f>IF(CF33=0,"0",IF(AND(Results!$E$5="Protein",$C$53&gt;0,OR(Results!$E$4="Tissue",Results!$E$4="Cells")),((CF33*CF$51)/(CF$53)),IF(AND(Results!$E$5="Weight",$C$52&gt;0, Results!$E$4="Tissue",OR($B$52="g",$B$52="mg")),((CF33*CF$51)/(CF$52)),IF(AND(Results!$E$5="Volume",$C$54&gt;0,Results!$E$4="Fluid"),((CF33*CF$51)/(CF$54)),IF(AND(Results!$E$4="Cells",Results!$E$5="Million",$B$52="million"),((CF33*CF$51)/(CF$52)),"0")))))</f>
        <v>4.6548499999999997</v>
      </c>
      <c r="CG86" s="20">
        <f>IF(CG33=0,"0",IF(AND(Results!$E$5="Protein",$C$53&gt;0,OR(Results!$E$4="Tissue",Results!$E$4="Cells")),((CG33*CG$51)/(CG$53)),IF(AND(Results!$E$5="Weight",$C$52&gt;0, Results!$E$4="Tissue",OR($B$52="g",$B$52="mg")),((CG33*CG$51)/(CG$52)),IF(AND(Results!$E$5="Volume",$C$54&gt;0,Results!$E$4="Fluid"),((CG33*CG$51)/(CG$54)),IF(AND(Results!$E$4="Cells",Results!$E$5="Million",$B$52="million"),((CG33*CG$51)/(CG$52)),"0")))))</f>
        <v>0.32890000000000003</v>
      </c>
      <c r="CH86" s="20">
        <f>IF(CH33=0,"0",IF(AND(Results!$E$5="Protein",$C$53&gt;0,OR(Results!$E$4="Tissue",Results!$E$4="Cells")),((CH33*CH$51)/(CH$53)),IF(AND(Results!$E$5="Weight",$C$52&gt;0, Results!$E$4="Tissue",OR($B$52="g",$B$52="mg")),((CH33*CH$51)/(CH$52)),IF(AND(Results!$E$5="Volume",$C$54&gt;0,Results!$E$4="Fluid"),((CH33*CH$51)/(CH$54)),IF(AND(Results!$E$4="Cells",Results!$E$5="Million",$B$52="million"),((CH33*CH$51)/(CH$52)),"0")))))</f>
        <v>1.093</v>
      </c>
      <c r="CI86" s="20">
        <f>IF(CI33=0,"0",IF(AND(Results!$E$5="Protein",$C$53&gt;0,OR(Results!$E$4="Tissue",Results!$E$4="Cells")),((CI33*CI$51)/(CI$53)),IF(AND(Results!$E$5="Weight",$C$52&gt;0, Results!$E$4="Tissue",OR($B$52="g",$B$52="mg")),((CI33*CI$51)/(CI$52)),IF(AND(Results!$E$5="Volume",$C$54&gt;0,Results!$E$4="Fluid"),((CI33*CI$51)/(CI$54)),IF(AND(Results!$E$4="Cells",Results!$E$5="Million",$B$52="million"),((CI33*CI$51)/(CI$52)),"0")))))</f>
        <v>51.940416666666664</v>
      </c>
      <c r="CJ86" s="20">
        <f>IF(CJ33=0,"0",IF(AND(Results!$E$5="Protein",$C$53&gt;0,OR(Results!$E$4="Tissue",Results!$E$4="Cells")),((CJ33*CJ$51)/(CJ$53)),IF(AND(Results!$E$5="Weight",$C$52&gt;0, Results!$E$4="Tissue",OR($B$52="g",$B$52="mg")),((CJ33*CJ$51)/(CJ$52)),IF(AND(Results!$E$5="Volume",$C$54&gt;0,Results!$E$4="Fluid"),((CJ33*CJ$51)/(CJ$54)),IF(AND(Results!$E$4="Cells",Results!$E$5="Million",$B$52="million"),((CJ33*CJ$51)/(CJ$52)),"0")))))</f>
        <v>6.3094222222222216</v>
      </c>
      <c r="CK86" s="20">
        <f>IF(CK33=0,"0",IF(AND(Results!$E$5="Protein",$C$53&gt;0,OR(Results!$E$4="Tissue",Results!$E$4="Cells")),((CK33*CK$51)/(CK$53)),IF(AND(Results!$E$5="Weight",$C$52&gt;0, Results!$E$4="Tissue",OR($B$52="g",$B$52="mg")),((CK33*CK$51)/(CK$52)),IF(AND(Results!$E$5="Volume",$C$54&gt;0,Results!$E$4="Fluid"),((CK33*CK$51)/(CK$54)),IF(AND(Results!$E$4="Cells",Results!$E$5="Million",$B$52="million"),((CK33*CK$51)/(CK$52)),"0")))))</f>
        <v>0.16293333333333332</v>
      </c>
      <c r="CL86" s="20">
        <f>IF(CL33=0,"0",IF(AND(Results!$E$5="Protein",$C$53&gt;0,OR(Results!$E$4="Tissue",Results!$E$4="Cells")),((CL33*CL$51)/(CL$53)),IF(AND(Results!$E$5="Weight",$C$52&gt;0, Results!$E$4="Tissue",OR($B$52="g",$B$52="mg")),((CL33*CL$51)/(CL$52)),IF(AND(Results!$E$5="Volume",$C$54&gt;0,Results!$E$4="Fluid"),((CL33*CL$51)/(CL$54)),IF(AND(Results!$E$4="Cells",Results!$E$5="Million",$B$52="million"),((CL33*CL$51)/(CL$52)),"0")))))</f>
        <v>0.27315</v>
      </c>
      <c r="CM86" s="20">
        <f>IF(CM33=0,"0",IF(AND(Results!$E$5="Protein",$C$53&gt;0,OR(Results!$E$4="Tissue",Results!$E$4="Cells")),((CM33*CM$51)/(CM$53)),IF(AND(Results!$E$5="Weight",$C$52&gt;0, Results!$E$4="Tissue",OR($B$52="g",$B$52="mg")),((CM33*CM$51)/(CM$52)),IF(AND(Results!$E$5="Volume",$C$54&gt;0,Results!$E$4="Fluid"),((CM33*CM$51)/(CM$54)),IF(AND(Results!$E$4="Cells",Results!$E$5="Million",$B$52="million"),((CM33*CM$51)/(CM$52)),"0")))))</f>
        <v>36.889600000000002</v>
      </c>
      <c r="CN86" s="20">
        <f>IF(CN33=0,"0",IF(AND(Results!$E$5="Protein",$C$53&gt;0,OR(Results!$E$4="Tissue",Results!$E$4="Cells")),((CN33*CN$51)/(CN$53)),IF(AND(Results!$E$5="Weight",$C$52&gt;0, Results!$E$4="Tissue",OR($B$52="g",$B$52="mg")),((CN33*CN$51)/(CN$52)),IF(AND(Results!$E$5="Volume",$C$54&gt;0,Results!$E$4="Fluid"),((CN33*CN$51)/(CN$54)),IF(AND(Results!$E$4="Cells",Results!$E$5="Million",$B$52="million"),((CN33*CN$51)/(CN$52)),"0")))))</f>
        <v>20.179133333333333</v>
      </c>
      <c r="CO86" s="20">
        <f>IF(CO33=0,"0",IF(AND(Results!$E$5="Protein",$C$53&gt;0,OR(Results!$E$4="Tissue",Results!$E$4="Cells")),((CO33*CO$51)/(CO$53)),IF(AND(Results!$E$5="Weight",$C$52&gt;0, Results!$E$4="Tissue",OR($B$52="g",$B$52="mg")),((CO33*CO$51)/(CO$52)),IF(AND(Results!$E$5="Volume",$C$54&gt;0,Results!$E$4="Fluid"),((CO33*CO$51)/(CO$54)),IF(AND(Results!$E$4="Cells",Results!$E$5="Million",$B$52="million"),((CO33*CO$51)/(CO$52)),"0")))))</f>
        <v>1.0384833333333332</v>
      </c>
      <c r="CP86" s="20">
        <f>IF(CP33=0,"0",IF(AND(Results!$E$5="Protein",$C$53&gt;0,OR(Results!$E$4="Tissue",Results!$E$4="Cells")),((CP33*CP$51)/(CP$53)),IF(AND(Results!$E$5="Weight",$C$52&gt;0, Results!$E$4="Tissue",OR($B$52="g",$B$52="mg")),((CP33*CP$51)/(CP$52)),IF(AND(Results!$E$5="Volume",$C$54&gt;0,Results!$E$4="Fluid"),((CP33*CP$51)/(CP$54)),IF(AND(Results!$E$4="Cells",Results!$E$5="Million",$B$52="million"),((CP33*CP$51)/(CP$52)),"0")))))</f>
        <v>10.308433333333333</v>
      </c>
      <c r="CQ86" s="20">
        <f>IF(CQ33=0,"0",IF(AND(Results!$E$5="Protein",$C$53&gt;0,OR(Results!$E$4="Tissue",Results!$E$4="Cells")),((CQ33*CQ$51)/(CQ$53)),IF(AND(Results!$E$5="Weight",$C$52&gt;0, Results!$E$4="Tissue",OR($B$52="g",$B$52="mg")),((CQ33*CQ$51)/(CQ$52)),IF(AND(Results!$E$5="Volume",$C$54&gt;0,Results!$E$4="Fluid"),((CQ33*CQ$51)/(CQ$54)),IF(AND(Results!$E$4="Cells",Results!$E$5="Million",$B$52="million"),((CQ33*CQ$51)/(CQ$52)),"0")))))</f>
        <v>20.231850000000001</v>
      </c>
      <c r="CR86" s="20">
        <f>IF(CR33=0,"0",IF(AND(Results!$E$5="Protein",$C$53&gt;0,OR(Results!$E$4="Tissue",Results!$E$4="Cells")),((CR33*CR$51)/(CR$53)),IF(AND(Results!$E$5="Weight",$C$52&gt;0, Results!$E$4="Tissue",OR($B$52="g",$B$52="mg")),((CR33*CR$51)/(CR$52)),IF(AND(Results!$E$5="Volume",$C$54&gt;0,Results!$E$4="Fluid"),((CR33*CR$51)/(CR$54)),IF(AND(Results!$E$4="Cells",Results!$E$5="Million",$B$52="million"),((CR33*CR$51)/(CR$52)),"0")))))</f>
        <v>41.33443333333333</v>
      </c>
      <c r="CS86" s="20">
        <f>IF(CS33=0,"0",IF(AND(Results!$E$5="Protein",$C$53&gt;0,OR(Results!$E$4="Tissue",Results!$E$4="Cells")),((CS33*CS$51)/(CS$53)),IF(AND(Results!$E$5="Weight",$C$52&gt;0, Results!$E$4="Tissue",OR($B$52="g",$B$52="mg")),((CS33*CS$51)/(CS$52)),IF(AND(Results!$E$5="Volume",$C$54&gt;0,Results!$E$4="Fluid"),((CS33*CS$51)/(CS$54)),IF(AND(Results!$E$4="Cells",Results!$E$5="Million",$B$52="million"),((CS33*CS$51)/(CS$52)),"0")))))</f>
        <v>6.204366666666667</v>
      </c>
      <c r="CT86" s="20">
        <f>IF(CT33=0,"0",IF(AND(Results!$E$5="Protein",$C$53&gt;0,OR(Results!$E$4="Tissue",Results!$E$4="Cells")),((CT33*CT$51)/(CT$53)),IF(AND(Results!$E$5="Weight",$C$52&gt;0, Results!$E$4="Tissue",OR($B$52="g",$B$52="mg")),((CT33*CT$51)/(CT$52)),IF(AND(Results!$E$5="Volume",$C$54&gt;0,Results!$E$4="Fluid"),((CT33*CT$51)/(CT$54)),IF(AND(Results!$E$4="Cells",Results!$E$5="Million",$B$52="million"),((CT33*CT$51)/(CT$52)),"0")))))</f>
        <v>21.520883333333337</v>
      </c>
      <c r="CU86" s="20">
        <f>IF(CU33=0,"0",IF(AND(Results!$E$5="Protein",$C$53&gt;0,OR(Results!$E$4="Tissue",Results!$E$4="Cells")),((CU33*CU$51)/(CU$53)),IF(AND(Results!$E$5="Weight",$C$52&gt;0, Results!$E$4="Tissue",OR($B$52="g",$B$52="mg")),((CU33*CU$51)/(CU$52)),IF(AND(Results!$E$5="Volume",$C$54&gt;0,Results!$E$4="Fluid"),((CU33*CU$51)/(CU$54)),IF(AND(Results!$E$4="Cells",Results!$E$5="Million",$B$52="million"),((CU33*CU$51)/(CU$52)),"0")))))</f>
        <v>44.645133333333327</v>
      </c>
      <c r="CV86" s="20">
        <f>IF(CV33=0,"0",IF(AND(Results!$E$5="Protein",$C$53&gt;0,OR(Results!$E$4="Tissue",Results!$E$4="Cells")),((CV33*CV$51)/(CV$53)),IF(AND(Results!$E$5="Weight",$C$52&gt;0, Results!$E$4="Tissue",OR($B$52="g",$B$52="mg")),((CV33*CV$51)/(CV$52)),IF(AND(Results!$E$5="Volume",$C$54&gt;0,Results!$E$4="Fluid"),((CV33*CV$51)/(CV$54)),IF(AND(Results!$E$4="Cells",Results!$E$5="Million",$B$52="million"),((CV33*CV$51)/(CV$52)),"0")))))</f>
        <v>57.359850000000009</v>
      </c>
      <c r="CW86" s="20" t="str">
        <f>IF(CW33=0,"0",IF(AND(Results!$E$5="Protein",$C$53&gt;0,OR(Results!$E$4="Tissue",Results!$E$4="Cells")),((CW33*CW$51)/(CW$53)),IF(AND(Results!$E$5="Weight",$C$52&gt;0, Results!$E$4="Tissue",OR($B$52="g",$B$52="mg")),((CW33*CW$51)/(CW$52)),IF(AND(Results!$E$5="Volume",$C$54&gt;0,Results!$E$4="Fluid"),((CW33*CW$51)/(CW$54)),IF(AND(Results!$E$4="Cells",Results!$E$5="Million",$B$52="million"),((CW33*CW$51)/(CW$52)),"0")))))</f>
        <v>0</v>
      </c>
      <c r="CX86" s="20">
        <f>IF(CX33=0,"0",IF(AND(Results!$E$5="Protein",$C$53&gt;0,OR(Results!$E$4="Tissue",Results!$E$4="Cells")),((CX33*CX$51)/(CX$53)),IF(AND(Results!$E$5="Weight",$C$52&gt;0, Results!$E$4="Tissue",OR($B$52="g",$B$52="mg")),((CX33*CX$51)/(CX$52)),IF(AND(Results!$E$5="Volume",$C$54&gt;0,Results!$E$4="Fluid"),((CX33*CX$51)/(CX$54)),IF(AND(Results!$E$4="Cells",Results!$E$5="Million",$B$52="million"),((CX33*CX$51)/(CX$52)),"0")))))</f>
        <v>3.7555000000000001</v>
      </c>
      <c r="CY86" s="20">
        <f>IF(CY33=0,"0",IF(AND(Results!$E$5="Protein",$C$53&gt;0,OR(Results!$E$4="Tissue",Results!$E$4="Cells")),((CY33*CY$51)/(CY$53)),IF(AND(Results!$E$5="Weight",$C$52&gt;0, Results!$E$4="Tissue",OR($B$52="g",$B$52="mg")),((CY33*CY$51)/(CY$52)),IF(AND(Results!$E$5="Volume",$C$54&gt;0,Results!$E$4="Fluid"),((CY33*CY$51)/(CY$54)),IF(AND(Results!$E$4="Cells",Results!$E$5="Million",$B$52="million"),((CY33*CY$51)/(CY$52)),"0")))))</f>
        <v>19.541049999999998</v>
      </c>
      <c r="CZ86" s="20">
        <f>IF(CZ33=0,"0",IF(AND(Results!$E$5="Protein",$C$53&gt;0,OR(Results!$E$4="Tissue",Results!$E$4="Cells")),((CZ33*CZ$51)/(CZ$53)),IF(AND(Results!$E$5="Weight",$C$52&gt;0, Results!$E$4="Tissue",OR($B$52="g",$B$52="mg")),((CZ33*CZ$51)/(CZ$52)),IF(AND(Results!$E$5="Volume",$C$54&gt;0,Results!$E$4="Fluid"),((CZ33*CZ$51)/(CZ$54)),IF(AND(Results!$E$4="Cells",Results!$E$5="Million",$B$52="million"),((CZ33*CZ$51)/(CZ$52)),"0")))))</f>
        <v>3.2681833333333334</v>
      </c>
      <c r="DA86" s="20" t="str">
        <f>IF(DA33=0,"0",IF(AND(Results!$E$5="Protein",$C$53&gt;0,OR(Results!$E$4="Tissue",Results!$E$4="Cells")),((DA33*DA$51)/(DA$53)),IF(AND(Results!$E$5="Weight",$C$52&gt;0, Results!$E$4="Tissue",OR($B$52="g",$B$52="mg")),((DA33*DA$51)/(DA$52)),IF(AND(Results!$E$5="Volume",$C$54&gt;0,Results!$E$4="Fluid"),((DA33*DA$51)/(DA$54)),IF(AND(Results!$E$4="Cells",Results!$E$5="Million",$B$52="million"),((DA33*DA$51)/(DA$52)),"0")))))</f>
        <v>0</v>
      </c>
      <c r="DB86" s="20">
        <f>IF(DB33=0,"0",IF(AND(Results!$E$5="Protein",$C$53&gt;0,OR(Results!$E$4="Tissue",Results!$E$4="Cells")),((DB33*DB$51)/(DB$53)),IF(AND(Results!$E$5="Weight",$C$52&gt;0, Results!$E$4="Tissue",OR($B$52="g",$B$52="mg")),((DB33*DB$51)/(DB$52)),IF(AND(Results!$E$5="Volume",$C$54&gt;0,Results!$E$4="Fluid"),((DB33*DB$51)/(DB$54)),IF(AND(Results!$E$4="Cells",Results!$E$5="Million",$B$52="million"),((DB33*DB$51)/(DB$52)),"0")))))</f>
        <v>8.881333333333334</v>
      </c>
      <c r="DC86" s="20">
        <f>IF(DC33=0,"0",IF(AND(Results!$E$5="Protein",$C$53&gt;0,OR(Results!$E$4="Tissue",Results!$E$4="Cells")),((DC33*DC$51)/(DC$53)),IF(AND(Results!$E$5="Weight",$C$52&gt;0, Results!$E$4="Tissue",OR($B$52="g",$B$52="mg")),((DC33*DC$51)/(DC$52)),IF(AND(Results!$E$5="Volume",$C$54&gt;0,Results!$E$4="Fluid"),((DC33*DC$51)/(DC$54)),IF(AND(Results!$E$4="Cells",Results!$E$5="Million",$B$52="million"),((DC33*DC$51)/(DC$52)),"0")))))</f>
        <v>18.833816666666667</v>
      </c>
      <c r="DD86" s="20">
        <f>IF(DD33=0,"0",IF(AND(Results!$E$5="Protein",$C$53&gt;0,OR(Results!$E$4="Tissue",Results!$E$4="Cells")),((DD33*DD$51)/(DD$53)),IF(AND(Results!$E$5="Weight",$C$52&gt;0, Results!$E$4="Tissue",OR($B$52="g",$B$52="mg")),((DD33*DD$51)/(DD$52)),IF(AND(Results!$E$5="Volume",$C$54&gt;0,Results!$E$4="Fluid"),((DD33*DD$51)/(DD$54)),IF(AND(Results!$E$4="Cells",Results!$E$5="Million",$B$52="million"),((DD33*DD$51)/(DD$52)),"0")))))</f>
        <v>49.776966666666674</v>
      </c>
      <c r="DE86" s="20">
        <f>IF(DE33=0,"0",IF(AND(Results!$E$5="Protein",$C$53&gt;0,OR(Results!$E$4="Tissue",Results!$E$4="Cells")),((DE33*DE$51)/(DE$53)),IF(AND(Results!$E$5="Weight",$C$52&gt;0, Results!$E$4="Tissue",OR($B$52="g",$B$52="mg")),((DE33*DE$51)/(DE$52)),IF(AND(Results!$E$5="Volume",$C$54&gt;0,Results!$E$4="Fluid"),((DE33*DE$51)/(DE$54)),IF(AND(Results!$E$4="Cells",Results!$E$5="Million",$B$52="million"),((DE33*DE$51)/(DE$52)),"0")))))</f>
        <v>3.4343166666666662</v>
      </c>
      <c r="DF86" s="20">
        <f>IF(DF33=0,"0",IF(AND(Results!$E$5="Protein",$C$53&gt;0,OR(Results!$E$4="Tissue",Results!$E$4="Cells")),((DF33*DF$51)/(DF$53)),IF(AND(Results!$E$5="Weight",$C$52&gt;0, Results!$E$4="Tissue",OR($B$52="g",$B$52="mg")),((DF33*DF$51)/(DF$52)),IF(AND(Results!$E$5="Volume",$C$54&gt;0,Results!$E$4="Fluid"),((DF33*DF$51)/(DF$54)),IF(AND(Results!$E$4="Cells",Results!$E$5="Million",$B$52="million"),((DF33*DF$51)/(DF$52)),"0")))))</f>
        <v>2.8065333333333338</v>
      </c>
      <c r="DG86" s="20">
        <f>IF(DG33=0,"0",IF(AND(Results!$E$5="Protein",$C$53&gt;0,OR(Results!$E$4="Tissue",Results!$E$4="Cells")),((DG33*DG$51)/(DG$53)),IF(AND(Results!$E$5="Weight",$C$52&gt;0, Results!$E$4="Tissue",OR($B$52="g",$B$52="mg")),((DG33*DG$51)/(DG$52)),IF(AND(Results!$E$5="Volume",$C$54&gt;0,Results!$E$4="Fluid"),((DG33*DG$51)/(DG$54)),IF(AND(Results!$E$4="Cells",Results!$E$5="Million",$B$52="million"),((DG33*DG$51)/(DG$52)),"0")))))</f>
        <v>5.2702500000000008</v>
      </c>
      <c r="DH86" s="20">
        <f>IF(DH33=0,"0",IF(AND(Results!$E$5="Protein",$C$53&gt;0,OR(Results!$E$4="Tissue",Results!$E$4="Cells")),((DH33*DH$51)/(DH$53)),IF(AND(Results!$E$5="Weight",$C$52&gt;0, Results!$E$4="Tissue",OR($B$52="g",$B$52="mg")),((DH33*DH$51)/(DH$52)),IF(AND(Results!$E$5="Volume",$C$54&gt;0,Results!$E$4="Fluid"),((DH33*DH$51)/(DH$54)),IF(AND(Results!$E$4="Cells",Results!$E$5="Million",$B$52="million"),((DH33*DH$51)/(DH$52)),"0")))))</f>
        <v>13.167083333333332</v>
      </c>
      <c r="DI86" s="20">
        <f>IF(DI33=0,"0",IF(AND(Results!$E$5="Protein",$C$53&gt;0,OR(Results!$E$4="Tissue",Results!$E$4="Cells")),((DI33*DI$51)/(DI$53)),IF(AND(Results!$E$5="Weight",$C$52&gt;0, Results!$E$4="Tissue",OR($B$52="g",$B$52="mg")),((DI33*DI$51)/(DI$52)),IF(AND(Results!$E$5="Volume",$C$54&gt;0,Results!$E$4="Fluid"),((DI33*DI$51)/(DI$54)),IF(AND(Results!$E$4="Cells",Results!$E$5="Million",$B$52="million"),((DI33*DI$51)/(DI$52)),"0")))))</f>
        <v>4.5872666666666664</v>
      </c>
      <c r="DJ86" s="20">
        <f>IF(DJ33=0,"0",IF(AND(Results!$E$5="Protein",$C$53&gt;0,OR(Results!$E$4="Tissue",Results!$E$4="Cells")),((DJ33*DJ$51)/(DJ$53)),IF(AND(Results!$E$5="Weight",$C$52&gt;0, Results!$E$4="Tissue",OR($B$52="g",$B$52="mg")),((DJ33*DJ$51)/(DJ$52)),IF(AND(Results!$E$5="Volume",$C$54&gt;0,Results!$E$4="Fluid"),((DJ33*DJ$51)/(DJ$54)),IF(AND(Results!$E$4="Cells",Results!$E$5="Million",$B$52="million"),((DJ33*DJ$51)/(DJ$52)),"0")))))</f>
        <v>4.3364666666666665</v>
      </c>
      <c r="DK86" s="20">
        <f>IF(DK33=0,"0",IF(AND(Results!$E$5="Protein",$C$53&gt;0,OR(Results!$E$4="Tissue",Results!$E$4="Cells")),((DK33*DK$51)/(DK$53)),IF(AND(Results!$E$5="Weight",$C$52&gt;0, Results!$E$4="Tissue",OR($B$52="g",$B$52="mg")),((DK33*DK$51)/(DK$52)),IF(AND(Results!$E$5="Volume",$C$54&gt;0,Results!$E$4="Fluid"),((DK33*DK$51)/(DK$54)),IF(AND(Results!$E$4="Cells",Results!$E$5="Million",$B$52="million"),((DK33*DK$51)/(DK$52)),"0")))))</f>
        <v>4.6471</v>
      </c>
      <c r="DL86" s="20">
        <f>IF(DL33=0,"0",IF(AND(Results!$E$5="Protein",$C$53&gt;0,OR(Results!$E$4="Tissue",Results!$E$4="Cells")),((DL33*DL$51)/(DL$53)),IF(AND(Results!$E$5="Weight",$C$52&gt;0, Results!$E$4="Tissue",OR($B$52="g",$B$52="mg")),((DL33*DL$51)/(DL$52)),IF(AND(Results!$E$5="Volume",$C$54&gt;0,Results!$E$4="Fluid"),((DL33*DL$51)/(DL$54)),IF(AND(Results!$E$4="Cells",Results!$E$5="Million",$B$52="million"),((DL33*DL$51)/(DL$52)),"0")))))</f>
        <v>5.7600999999999996</v>
      </c>
      <c r="DM86" s="20">
        <f>IF(DM33=0,"0",IF(AND(Results!$E$5="Protein",$C$53&gt;0,OR(Results!$E$4="Tissue",Results!$E$4="Cells")),((DM33*DM$51)/(DM$53)),IF(AND(Results!$E$5="Weight",$C$52&gt;0, Results!$E$4="Tissue",OR($B$52="g",$B$52="mg")),((DM33*DM$51)/(DM$52)),IF(AND(Results!$E$5="Volume",$C$54&gt;0,Results!$E$4="Fluid"),((DM33*DM$51)/(DM$54)),IF(AND(Results!$E$4="Cells",Results!$E$5="Million",$B$52="million"),((DM33*DM$51)/(DM$52)),"0")))))</f>
        <v>14.007916666666667</v>
      </c>
      <c r="DN86" s="20">
        <f>IF(DN33=0,"0",IF(AND(Results!$E$5="Protein",$C$53&gt;0,OR(Results!$E$4="Tissue",Results!$E$4="Cells")),((DN33*DN$51)/(DN$53)),IF(AND(Results!$E$5="Weight",$C$52&gt;0, Results!$E$4="Tissue",OR($B$52="g",$B$52="mg")),((DN33*DN$51)/(DN$52)),IF(AND(Results!$E$5="Volume",$C$54&gt;0,Results!$E$4="Fluid"),((DN33*DN$51)/(DN$54)),IF(AND(Results!$E$4="Cells",Results!$E$5="Million",$B$52="million"),((DN33*DN$51)/(DN$52)),"0")))))</f>
        <v>22.077083333333334</v>
      </c>
      <c r="DO86" s="20">
        <f>IF(DO33=0,"0",IF(AND(Results!$E$5="Protein",$C$53&gt;0,OR(Results!$E$4="Tissue",Results!$E$4="Cells")),((DO33*DO$51)/(DO$53)),IF(AND(Results!$E$5="Weight",$C$52&gt;0, Results!$E$4="Tissue",OR($B$52="g",$B$52="mg")),((DO33*DO$51)/(DO$52)),IF(AND(Results!$E$5="Volume",$C$54&gt;0,Results!$E$4="Fluid"),((DO33*DO$51)/(DO$54)),IF(AND(Results!$E$4="Cells",Results!$E$5="Million",$B$52="million"),((DO33*DO$51)/(DO$52)),"0")))))</f>
        <v>41.120466666666665</v>
      </c>
      <c r="DP86" s="20">
        <f>IF(DP33=0,"0",IF(AND(Results!$E$5="Protein",$C$53&gt;0,OR(Results!$E$4="Tissue",Results!$E$4="Cells")),((DP33*DP$51)/(DP$53)),IF(AND(Results!$E$5="Weight",$C$52&gt;0, Results!$E$4="Tissue",OR($B$52="g",$B$52="mg")),((DP33*DP$51)/(DP$52)),IF(AND(Results!$E$5="Volume",$C$54&gt;0,Results!$E$4="Fluid"),((DP33*DP$51)/(DP$54)),IF(AND(Results!$E$4="Cells",Results!$E$5="Million",$B$52="million"),((DP33*DP$51)/(DP$52)),"0")))))</f>
        <v>5.9980833333333328</v>
      </c>
      <c r="DQ86" s="20">
        <f>IF(DQ33=0,"0",IF(AND(Results!$E$5="Protein",$C$53&gt;0,OR(Results!$E$4="Tissue",Results!$E$4="Cells")),((DQ33*DQ$51)/(DQ$53)),IF(AND(Results!$E$5="Weight",$C$52&gt;0, Results!$E$4="Tissue",OR($B$52="g",$B$52="mg")),((DQ33*DQ$51)/(DQ$52)),IF(AND(Results!$E$5="Volume",$C$54&gt;0,Results!$E$4="Fluid"),((DQ33*DQ$51)/(DQ$54)),IF(AND(Results!$E$4="Cells",Results!$E$5="Million",$B$52="million"),((DQ33*DQ$51)/(DQ$52)),"0")))))</f>
        <v>4.0332833333333333</v>
      </c>
      <c r="DR86" s="20">
        <f>IF(DR33=0,"0",IF(AND(Results!$E$5="Protein",$C$53&gt;0,OR(Results!$E$4="Tissue",Results!$E$4="Cells")),((DR33*DR$51)/(DR$53)),IF(AND(Results!$E$5="Weight",$C$52&gt;0, Results!$E$4="Tissue",OR($B$52="g",$B$52="mg")),((DR33*DR$51)/(DR$52)),IF(AND(Results!$E$5="Volume",$C$54&gt;0,Results!$E$4="Fluid"),((DR33*DR$51)/(DR$54)),IF(AND(Results!$E$4="Cells",Results!$E$5="Million",$B$52="million"),((DR33*DR$51)/(DR$52)),"0")))))</f>
        <v>8.1197166666666671</v>
      </c>
      <c r="DS86" s="20">
        <f>IF(DS33=0,"0",IF(AND(Results!$E$5="Protein",$C$53&gt;0,OR(Results!$E$4="Tissue",Results!$E$4="Cells")),((DS33*DS$51)/(DS$53)),IF(AND(Results!$E$5="Weight",$C$52&gt;0, Results!$E$4="Tissue",OR($B$52="g",$B$52="mg")),((DS33*DS$51)/(DS$52)),IF(AND(Results!$E$5="Volume",$C$54&gt;0,Results!$E$4="Fluid"),((DS33*DS$51)/(DS$54)),IF(AND(Results!$E$4="Cells",Results!$E$5="Million",$B$52="million"),((DS33*DS$51)/(DS$52)),"0")))))</f>
        <v>21.939983333333334</v>
      </c>
      <c r="DT86" s="20">
        <f>IF(DT33=0,"0",IF(AND(Results!$E$5="Protein",$C$53&gt;0,OR(Results!$E$4="Tissue",Results!$E$4="Cells")),((DT33*DT$51)/(DT$53)),IF(AND(Results!$E$5="Weight",$C$52&gt;0, Results!$E$4="Tissue",OR($B$52="g",$B$52="mg")),((DT33*DT$51)/(DT$52)),IF(AND(Results!$E$5="Volume",$C$54&gt;0,Results!$E$4="Fluid"),((DT33*DT$51)/(DT$54)),IF(AND(Results!$E$4="Cells",Results!$E$5="Million",$B$52="million"),((DT33*DT$51)/(DT$52)),"0")))))</f>
        <v>0.68779999999999997</v>
      </c>
      <c r="DU86" s="20">
        <f>IF(DU33=0,"0",IF(AND(Results!$E$5="Protein",$C$53&gt;0,OR(Results!$E$4="Tissue",Results!$E$4="Cells")),((DU33*DU$51)/(DU$53)),IF(AND(Results!$E$5="Weight",$C$52&gt;0, Results!$E$4="Tissue",OR($B$52="g",$B$52="mg")),((DU33*DU$51)/(DU$52)),IF(AND(Results!$E$5="Volume",$C$54&gt;0,Results!$E$4="Fluid"),((DU33*DU$51)/(DU$54)),IF(AND(Results!$E$4="Cells",Results!$E$5="Million",$B$52="million"),((DU33*DU$51)/(DU$52)),"0")))))</f>
        <v>3.4869500000000002</v>
      </c>
      <c r="DV86" s="20">
        <f>IF(DV33=0,"0",IF(AND(Results!$E$5="Protein",$C$53&gt;0,OR(Results!$E$4="Tissue",Results!$E$4="Cells")),((DV33*DV$51)/(DV$53)),IF(AND(Results!$E$5="Weight",$C$52&gt;0, Results!$E$4="Tissue",OR($B$52="g",$B$52="mg")),((DV33*DV$51)/(DV$52)),IF(AND(Results!$E$5="Volume",$C$54&gt;0,Results!$E$4="Fluid"),((DV33*DV$51)/(DV$54)),IF(AND(Results!$E$4="Cells",Results!$E$5="Million",$B$52="million"),((DV33*DV$51)/(DV$52)),"0")))))</f>
        <v>13.927433333333333</v>
      </c>
      <c r="DW86" s="20">
        <f>IF(DW33=0,"0",IF(AND(Results!$E$5="Protein",$C$53&gt;0,OR(Results!$E$4="Tissue",Results!$E$4="Cells")),((DW33*DW$51)/(DW$53)),IF(AND(Results!$E$5="Weight",$C$52&gt;0, Results!$E$4="Tissue",OR($B$52="g",$B$52="mg")),((DW33*DW$51)/(DW$52)),IF(AND(Results!$E$5="Volume",$C$54&gt;0,Results!$E$4="Fluid"),((DW33*DW$51)/(DW$54)),IF(AND(Results!$E$4="Cells",Results!$E$5="Million",$B$52="million"),((DW33*DW$51)/(DW$52)),"0")))))</f>
        <v>15.009099999999998</v>
      </c>
      <c r="DX86" s="20">
        <f>IF(DX33=0,"0",IF(AND(Results!$E$5="Protein",$C$53&gt;0,OR(Results!$E$4="Tissue",Results!$E$4="Cells")),((DX33*DX$51)/(DX$53)),IF(AND(Results!$E$5="Weight",$C$52&gt;0, Results!$E$4="Tissue",OR($B$52="g",$B$52="mg")),((DX33*DX$51)/(DX$52)),IF(AND(Results!$E$5="Volume",$C$54&gt;0,Results!$E$4="Fluid"),((DX33*DX$51)/(DX$54)),IF(AND(Results!$E$4="Cells",Results!$E$5="Million",$B$52="million"),((DX33*DX$51)/(DX$52)),"0")))))</f>
        <v>17.124466666666663</v>
      </c>
      <c r="DY86" s="20">
        <f>IF(DY33=0,"0",IF(AND(Results!$E$5="Protein",$C$53&gt;0,OR(Results!$E$4="Tissue",Results!$E$4="Cells")),((DY33*DY$51)/(DY$53)),IF(AND(Results!$E$5="Weight",$C$52&gt;0, Results!$E$4="Tissue",OR($B$52="g",$B$52="mg")),((DY33*DY$51)/(DY$52)),IF(AND(Results!$E$5="Volume",$C$54&gt;0,Results!$E$4="Fluid"),((DY33*DY$51)/(DY$54)),IF(AND(Results!$E$4="Cells",Results!$E$5="Million",$B$52="million"),((DY33*DY$51)/(DY$52)),"0")))))</f>
        <v>0.74453333333333327</v>
      </c>
      <c r="DZ86" s="20">
        <f>IF(DZ33=0,"0",IF(AND(Results!$E$5="Protein",$C$53&gt;0,OR(Results!$E$4="Tissue",Results!$E$4="Cells")),((DZ33*DZ$51)/(DZ$53)),IF(AND(Results!$E$5="Weight",$C$52&gt;0, Results!$E$4="Tissue",OR($B$52="g",$B$52="mg")),((DZ33*DZ$51)/(DZ$52)),IF(AND(Results!$E$5="Volume",$C$54&gt;0,Results!$E$4="Fluid"),((DZ33*DZ$51)/(DZ$54)),IF(AND(Results!$E$4="Cells",Results!$E$5="Million",$B$52="million"),((DZ33*DZ$51)/(DZ$52)),"0")))))</f>
        <v>4.460916666666666</v>
      </c>
      <c r="EA86" s="20">
        <f>IF(EA33=0,"0",IF(AND(Results!$E$5="Protein",$C$53&gt;0,OR(Results!$E$4="Tissue",Results!$E$4="Cells")),((EA33*EA$51)/(EA$53)),IF(AND(Results!$E$5="Weight",$C$52&gt;0, Results!$E$4="Tissue",OR($B$52="g",$B$52="mg")),((EA33*EA$51)/(EA$52)),IF(AND(Results!$E$5="Volume",$C$54&gt;0,Results!$E$4="Fluid"),((EA33*EA$51)/(EA$54)),IF(AND(Results!$E$4="Cells",Results!$E$5="Million",$B$52="million"),((EA33*EA$51)/(EA$52)),"0")))))</f>
        <v>20.170116666666669</v>
      </c>
      <c r="EB86" s="20">
        <f>IF(EB33=0,"0",IF(AND(Results!$E$5="Protein",$C$53&gt;0,OR(Results!$E$4="Tissue",Results!$E$4="Cells")),((EB33*EB$51)/(EB$53)),IF(AND(Results!$E$5="Weight",$C$52&gt;0, Results!$E$4="Tissue",OR($B$52="g",$B$52="mg")),((EB33*EB$51)/(EB$52)),IF(AND(Results!$E$5="Volume",$C$54&gt;0,Results!$E$4="Fluid"),((EB33*EB$51)/(EB$54)),IF(AND(Results!$E$4="Cells",Results!$E$5="Million",$B$52="million"),((EB33*EB$51)/(EB$52)),"0")))))</f>
        <v>21.534800000000001</v>
      </c>
      <c r="EC86" s="20">
        <f>IF(EC33=0,"0",IF(AND(Results!$E$5="Protein",$C$53&gt;0,OR(Results!$E$4="Tissue",Results!$E$4="Cells")),((EC33*EC$51)/(EC$53)),IF(AND(Results!$E$5="Weight",$C$52&gt;0, Results!$E$4="Tissue",OR($B$52="g",$B$52="mg")),((EC33*EC$51)/(EC$52)),IF(AND(Results!$E$5="Volume",$C$54&gt;0,Results!$E$4="Fluid"),((EC33*EC$51)/(EC$54)),IF(AND(Results!$E$4="Cells",Results!$E$5="Million",$B$52="million"),((EC33*EC$51)/(EC$52)),"0")))))</f>
        <v>1.7432166666666666</v>
      </c>
      <c r="ED86" s="20">
        <f>IF(ED33=0,"0",IF(AND(Results!$E$5="Protein",$C$53&gt;0,OR(Results!$E$4="Tissue",Results!$E$4="Cells")),((ED33*ED$51)/(ED$53)),IF(AND(Results!$E$5="Weight",$C$52&gt;0, Results!$E$4="Tissue",OR($B$52="g",$B$52="mg")),((ED33*ED$51)/(ED$52)),IF(AND(Results!$E$5="Volume",$C$54&gt;0,Results!$E$4="Fluid"),((ED33*ED$51)/(ED$54)),IF(AND(Results!$E$4="Cells",Results!$E$5="Million",$B$52="million"),((ED33*ED$51)/(ED$52)),"0")))))</f>
        <v>17.753166666666669</v>
      </c>
      <c r="EE86" s="20">
        <f>IF(EE33=0,"0",IF(AND(Results!$E$5="Protein",$C$53&gt;0,OR(Results!$E$4="Tissue",Results!$E$4="Cells")),((EE33*EE$51)/(EE$53)),IF(AND(Results!$E$5="Weight",$C$52&gt;0, Results!$E$4="Tissue",OR($B$52="g",$B$52="mg")),((EE33*EE$51)/(EE$52)),IF(AND(Results!$E$5="Volume",$C$54&gt;0,Results!$E$4="Fluid"),((EE33*EE$51)/(EE$54)),IF(AND(Results!$E$4="Cells",Results!$E$5="Million",$B$52="million"),((EE33*EE$51)/(EE$52)),"0")))))</f>
        <v>4.6029166666666672</v>
      </c>
      <c r="EF86" s="20">
        <f>IF(EF33=0,"0",IF(AND(Results!$E$5="Protein",$C$53&gt;0,OR(Results!$E$4="Tissue",Results!$E$4="Cells")),((EF33*EF$51)/(EF$53)),IF(AND(Results!$E$5="Weight",$C$52&gt;0, Results!$E$4="Tissue",OR($B$52="g",$B$52="mg")),((EF33*EF$51)/(EF$52)),IF(AND(Results!$E$5="Volume",$C$54&gt;0,Results!$E$4="Fluid"),((EF33*EF$51)/(EF$54)),IF(AND(Results!$E$4="Cells",Results!$E$5="Million",$B$52="million"),((EF33*EF$51)/(EF$52)),"0")))))</f>
        <v>1.5431999999999999</v>
      </c>
      <c r="EG86" s="20">
        <f>IF(EG33=0,"0",IF(AND(Results!$E$5="Protein",$C$53&gt;0,OR(Results!$E$4="Tissue",Results!$E$4="Cells")),((EG33*EG$51)/(EG$53)),IF(AND(Results!$E$5="Weight",$C$52&gt;0, Results!$E$4="Tissue",OR($B$52="g",$B$52="mg")),((EG33*EG$51)/(EG$52)),IF(AND(Results!$E$5="Volume",$C$54&gt;0,Results!$E$4="Fluid"),((EG33*EG$51)/(EG$54)),IF(AND(Results!$E$4="Cells",Results!$E$5="Million",$B$52="million"),((EG33*EG$51)/(EG$52)),"0")))))</f>
        <v>3.6987000000000001</v>
      </c>
      <c r="EH86" s="20">
        <f>IF(EH33=0,"0",IF(AND(Results!$E$5="Protein",$C$53&gt;0,OR(Results!$E$4="Tissue",Results!$E$4="Cells")),((EH33*EH$51)/(EH$53)),IF(AND(Results!$E$5="Weight",$C$52&gt;0, Results!$E$4="Tissue",OR($B$52="g",$B$52="mg")),((EH33*EH$51)/(EH$52)),IF(AND(Results!$E$5="Volume",$C$54&gt;0,Results!$E$4="Fluid"),((EH33*EH$51)/(EH$54)),IF(AND(Results!$E$4="Cells",Results!$E$5="Million",$B$52="million"),((EH33*EH$51)/(EH$52)),"0")))))</f>
        <v>7.6371166666666666</v>
      </c>
      <c r="EI86" s="20">
        <f>IF(EI33=0,"0",IF(AND(Results!$E$5="Protein",$C$53&gt;0,OR(Results!$E$4="Tissue",Results!$E$4="Cells")),((EI33*EI$51)/(EI$53)),IF(AND(Results!$E$5="Weight",$C$52&gt;0, Results!$E$4="Tissue",OR($B$52="g",$B$52="mg")),((EI33*EI$51)/(EI$52)),IF(AND(Results!$E$5="Volume",$C$54&gt;0,Results!$E$4="Fluid"),((EI33*EI$51)/(EI$54)),IF(AND(Results!$E$4="Cells",Results!$E$5="Million",$B$52="million"),((EI33*EI$51)/(EI$52)),"0")))))</f>
        <v>5.1902166666666671</v>
      </c>
      <c r="EJ86" s="20">
        <f>IF(EJ33=0,"0",IF(AND(Results!$E$5="Protein",$C$53&gt;0,OR(Results!$E$4="Tissue",Results!$E$4="Cells")),((EJ33*EJ$51)/(EJ$53)),IF(AND(Results!$E$5="Weight",$C$52&gt;0, Results!$E$4="Tissue",OR($B$52="g",$B$52="mg")),((EJ33*EJ$51)/(EJ$52)),IF(AND(Results!$E$5="Volume",$C$54&gt;0,Results!$E$4="Fluid"),((EJ33*EJ$51)/(EJ$54)),IF(AND(Results!$E$4="Cells",Results!$E$5="Million",$B$52="million"),((EJ33*EJ$51)/(EJ$52)),"0")))))</f>
        <v>3.8048833333333336</v>
      </c>
      <c r="EK86" s="20">
        <f>IF(EK33=0,"0",IF(AND(Results!$E$5="Protein",$C$53&gt;0,OR(Results!$E$4="Tissue",Results!$E$4="Cells")),((EK33*EK$51)/(EK$53)),IF(AND(Results!$E$5="Weight",$C$52&gt;0, Results!$E$4="Tissue",OR($B$52="g",$B$52="mg")),((EK33*EK$51)/(EK$52)),IF(AND(Results!$E$5="Volume",$C$54&gt;0,Results!$E$4="Fluid"),((EK33*EK$51)/(EK$54)),IF(AND(Results!$E$4="Cells",Results!$E$5="Million",$B$52="million"),((EK33*EK$51)/(EK$52)),"0")))))</f>
        <v>15.94675</v>
      </c>
      <c r="EL86" s="20">
        <f>IF(EL33=0,"0",IF(AND(Results!$E$5="Protein",$C$53&gt;0,OR(Results!$E$4="Tissue",Results!$E$4="Cells")),((EL33*EL$51)/(EL$53)),IF(AND(Results!$E$5="Weight",$C$52&gt;0, Results!$E$4="Tissue",OR($B$52="g",$B$52="mg")),((EL33*EL$51)/(EL$52)),IF(AND(Results!$E$5="Volume",$C$54&gt;0,Results!$E$4="Fluid"),((EL33*EL$51)/(EL$54)),IF(AND(Results!$E$4="Cells",Results!$E$5="Million",$B$52="million"),((EL33*EL$51)/(EL$52)),"0")))))</f>
        <v>3.1239166666666667</v>
      </c>
      <c r="EM86" s="20">
        <f>IF(EM33=0,"0",IF(AND(Results!$E$5="Protein",$C$53&gt;0,OR(Results!$E$4="Tissue",Results!$E$4="Cells")),((EM33*EM$51)/(EM$53)),IF(AND(Results!$E$5="Weight",$C$52&gt;0, Results!$E$4="Tissue",OR($B$52="g",$B$52="mg")),((EM33*EM$51)/(EM$52)),IF(AND(Results!$E$5="Volume",$C$54&gt;0,Results!$E$4="Fluid"),((EM33*EM$51)/(EM$54)),IF(AND(Results!$E$4="Cells",Results!$E$5="Million",$B$52="million"),((EM33*EM$51)/(EM$52)),"0")))))</f>
        <v>16.664533333333335</v>
      </c>
      <c r="EN86" s="20">
        <f>IF(EN33=0,"0",IF(AND(Results!$E$5="Protein",$C$53&gt;0,OR(Results!$E$4="Tissue",Results!$E$4="Cells")),((EN33*EN$51)/(EN$53)),IF(AND(Results!$E$5="Weight",$C$52&gt;0, Results!$E$4="Tissue",OR($B$52="g",$B$52="mg")),((EN33*EN$51)/(EN$52)),IF(AND(Results!$E$5="Volume",$C$54&gt;0,Results!$E$4="Fluid"),((EN33*EN$51)/(EN$54)),IF(AND(Results!$E$4="Cells",Results!$E$5="Million",$B$52="million"),((EN33*EN$51)/(EN$52)),"0")))))</f>
        <v>13.828016666666667</v>
      </c>
      <c r="EO86" s="20">
        <f>IF(EO33=0,"0",IF(AND(Results!$E$5="Protein",$C$53&gt;0,OR(Results!$E$4="Tissue",Results!$E$4="Cells")),((EO33*EO$51)/(EO$53)),IF(AND(Results!$E$5="Weight",$C$52&gt;0, Results!$E$4="Tissue",OR($B$52="g",$B$52="mg")),((EO33*EO$51)/(EO$52)),IF(AND(Results!$E$5="Volume",$C$54&gt;0,Results!$E$4="Fluid"),((EO33*EO$51)/(EO$54)),IF(AND(Results!$E$4="Cells",Results!$E$5="Million",$B$52="million"),((EO33*EO$51)/(EO$52)),"0")))))</f>
        <v>5.5758999999999999</v>
      </c>
      <c r="EP86" s="20">
        <f>IF(EP33=0,"0",IF(AND(Results!$E$5="Protein",$C$53&gt;0,OR(Results!$E$4="Tissue",Results!$E$4="Cells")),((EP33*EP$51)/(EP$53)),IF(AND(Results!$E$5="Weight",$C$52&gt;0, Results!$E$4="Tissue",OR($B$52="g",$B$52="mg")),((EP33*EP$51)/(EP$52)),IF(AND(Results!$E$5="Volume",$C$54&gt;0,Results!$E$4="Fluid"),((EP33*EP$51)/(EP$54)),IF(AND(Results!$E$4="Cells",Results!$E$5="Million",$B$52="million"),((EP33*EP$51)/(EP$52)),"0")))))</f>
        <v>3.3475999999999999</v>
      </c>
      <c r="EQ86" s="20">
        <f>IF(EQ33=0,"0",IF(AND(Results!$E$5="Protein",$C$53&gt;0,OR(Results!$E$4="Tissue",Results!$E$4="Cells")),((EQ33*EQ$51)/(EQ$53)),IF(AND(Results!$E$5="Weight",$C$52&gt;0, Results!$E$4="Tissue",OR($B$52="g",$B$52="mg")),((EQ33*EQ$51)/(EQ$52)),IF(AND(Results!$E$5="Volume",$C$54&gt;0,Results!$E$4="Fluid"),((EQ33*EQ$51)/(EQ$54)),IF(AND(Results!$E$4="Cells",Results!$E$5="Million",$B$52="million"),((EQ33*EQ$51)/(EQ$52)),"0")))))</f>
        <v>23.550216666666664</v>
      </c>
      <c r="ER86" s="20">
        <f>IF(ER33=0,"0",IF(AND(Results!$E$5="Protein",$C$53&gt;0,OR(Results!$E$4="Tissue",Results!$E$4="Cells")),((ER33*ER$51)/(ER$53)),IF(AND(Results!$E$5="Weight",$C$52&gt;0, Results!$E$4="Tissue",OR($B$52="g",$B$52="mg")),((ER33*ER$51)/(ER$52)),IF(AND(Results!$E$5="Volume",$C$54&gt;0,Results!$E$4="Fluid"),((ER33*ER$51)/(ER$54)),IF(AND(Results!$E$4="Cells",Results!$E$5="Million",$B$52="million"),((ER33*ER$51)/(ER$52)),"0")))))</f>
        <v>8.6441166666666653</v>
      </c>
      <c r="ES86" s="20">
        <f>IF(ES33=0,"0",IF(AND(Results!$E$5="Protein",$C$53&gt;0,OR(Results!$E$4="Tissue",Results!$E$4="Cells")),((ES33*ES$51)/(ES$53)),IF(AND(Results!$E$5="Weight",$C$52&gt;0, Results!$E$4="Tissue",OR($B$52="g",$B$52="mg")),((ES33*ES$51)/(ES$52)),IF(AND(Results!$E$5="Volume",$C$54&gt;0,Results!$E$4="Fluid"),((ES33*ES$51)/(ES$54)),IF(AND(Results!$E$4="Cells",Results!$E$5="Million",$B$52="million"),((ES33*ES$51)/(ES$52)),"0")))))</f>
        <v>30.076416666666663</v>
      </c>
      <c r="ET86" s="20">
        <f>IF(ET33=0,"0",IF(AND(Results!$E$5="Protein",$C$53&gt;0,OR(Results!$E$4="Tissue",Results!$E$4="Cells")),((ET33*ET$51)/(ET$53)),IF(AND(Results!$E$5="Weight",$C$52&gt;0, Results!$E$4="Tissue",OR($B$52="g",$B$52="mg")),((ET33*ET$51)/(ET$52)),IF(AND(Results!$E$5="Volume",$C$54&gt;0,Results!$E$4="Fluid"),((ET33*ET$51)/(ET$54)),IF(AND(Results!$E$4="Cells",Results!$E$5="Million",$B$52="million"),((ET33*ET$51)/(ET$52)),"0")))))</f>
        <v>6.4501833333333325</v>
      </c>
      <c r="EU86" s="20">
        <f>IF(EU33=0,"0",IF(AND(Results!$E$5="Protein",$C$53&gt;0,OR(Results!$E$4="Tissue",Results!$E$4="Cells")),((EU33*EU$51)/(EU$53)),IF(AND(Results!$E$5="Weight",$C$52&gt;0, Results!$E$4="Tissue",OR($B$52="g",$B$52="mg")),((EU33*EU$51)/(EU$52)),IF(AND(Results!$E$5="Volume",$C$54&gt;0,Results!$E$4="Fluid"),((EU33*EU$51)/(EU$54)),IF(AND(Results!$E$4="Cells",Results!$E$5="Million",$B$52="million"),((EU33*EU$51)/(EU$52)),"0")))))</f>
        <v>38.439949999999996</v>
      </c>
      <c r="EV86" s="20">
        <f>IF(EV33=0,"0",IF(AND(Results!$E$5="Protein",$C$53&gt;0,OR(Results!$E$4="Tissue",Results!$E$4="Cells")),((EV33*EV$51)/(EV$53)),IF(AND(Results!$E$5="Weight",$C$52&gt;0, Results!$E$4="Tissue",OR($B$52="g",$B$52="mg")),((EV33*EV$51)/(EV$52)),IF(AND(Results!$E$5="Volume",$C$54&gt;0,Results!$E$4="Fluid"),((EV33*EV$51)/(EV$54)),IF(AND(Results!$E$4="Cells",Results!$E$5="Million",$B$52="million"),((EV33*EV$51)/(EV$52)),"0")))))</f>
        <v>20.280316666666668</v>
      </c>
      <c r="EW86" s="20">
        <f>IF(EW33=0,"0",IF(AND(Results!$E$5="Protein",$C$53&gt;0,OR(Results!$E$4="Tissue",Results!$E$4="Cells")),((EW33*EW$51)/(EW$53)),IF(AND(Results!$E$5="Weight",$C$52&gt;0, Results!$E$4="Tissue",OR($B$52="g",$B$52="mg")),((EW33*EW$51)/(EW$52)),IF(AND(Results!$E$5="Volume",$C$54&gt;0,Results!$E$4="Fluid"),((EW33*EW$51)/(EW$54)),IF(AND(Results!$E$4="Cells",Results!$E$5="Million",$B$52="million"),((EW33*EW$51)/(EW$52)),"0")))))</f>
        <v>4.0983999999999998</v>
      </c>
      <c r="EX86" s="20">
        <f>IF(EX33=0,"0",IF(AND(Results!$E$5="Protein",$C$53&gt;0,OR(Results!$E$4="Tissue",Results!$E$4="Cells")),((EX33*EX$51)/(EX$53)),IF(AND(Results!$E$5="Weight",$C$52&gt;0, Results!$E$4="Tissue",OR($B$52="g",$B$52="mg")),((EX33*EX$51)/(EX$52)),IF(AND(Results!$E$5="Volume",$C$54&gt;0,Results!$E$4="Fluid"),((EX33*EX$51)/(EX$54)),IF(AND(Results!$E$4="Cells",Results!$E$5="Million",$B$52="million"),((EX33*EX$51)/(EX$52)),"0")))))</f>
        <v>62.067399999999999</v>
      </c>
      <c r="EY86" s="20">
        <f>IF(EY33=0,"0",IF(AND(Results!$E$5="Protein",$C$53&gt;0,OR(Results!$E$4="Tissue",Results!$E$4="Cells")),((EY33*EY$51)/(EY$53)),IF(AND(Results!$E$5="Weight",$C$52&gt;0, Results!$E$4="Tissue",OR($B$52="g",$B$52="mg")),((EY33*EY$51)/(EY$52)),IF(AND(Results!$E$5="Volume",$C$54&gt;0,Results!$E$4="Fluid"),((EY33*EY$51)/(EY$54)),IF(AND(Results!$E$4="Cells",Results!$E$5="Million",$B$52="million"),((EY33*EY$51)/(EY$52)),"0")))))</f>
        <v>46.949399999999997</v>
      </c>
      <c r="EZ86" s="20">
        <f>IF(EZ33=0,"0",IF(AND(Results!$E$5="Protein",$C$53&gt;0,OR(Results!$E$4="Tissue",Results!$E$4="Cells")),((EZ33*EZ$51)/(EZ$53)),IF(AND(Results!$E$5="Weight",$C$52&gt;0, Results!$E$4="Tissue",OR($B$52="g",$B$52="mg")),((EZ33*EZ$51)/(EZ$52)),IF(AND(Results!$E$5="Volume",$C$54&gt;0,Results!$E$4="Fluid"),((EZ33*EZ$51)/(EZ$54)),IF(AND(Results!$E$4="Cells",Results!$E$5="Million",$B$52="million"),((EZ33*EZ$51)/(EZ$52)),"0")))))</f>
        <v>5.2910833333333338</v>
      </c>
      <c r="FA86" s="20">
        <f>IF(FA33=0,"0",IF(AND(Results!$E$5="Protein",$C$53&gt;0,OR(Results!$E$4="Tissue",Results!$E$4="Cells")),((FA33*FA$51)/(FA$53)),IF(AND(Results!$E$5="Weight",$C$52&gt;0, Results!$E$4="Tissue",OR($B$52="g",$B$52="mg")),((FA33*FA$51)/(FA$52)),IF(AND(Results!$E$5="Volume",$C$54&gt;0,Results!$E$4="Fluid"),((FA33*FA$51)/(FA$54)),IF(AND(Results!$E$4="Cells",Results!$E$5="Million",$B$52="million"),((FA33*FA$51)/(FA$52)),"0")))))</f>
        <v>4.4891666666666659</v>
      </c>
      <c r="FB86" s="20">
        <f>IF(FB33=0,"0",IF(AND(Results!$E$5="Protein",$C$53&gt;0,OR(Results!$E$4="Tissue",Results!$E$4="Cells")),((FB33*FB$51)/(FB$53)),IF(AND(Results!$E$5="Weight",$C$52&gt;0, Results!$E$4="Tissue",OR($B$52="g",$B$52="mg")),((FB33*FB$51)/(FB$52)),IF(AND(Results!$E$5="Volume",$C$54&gt;0,Results!$E$4="Fluid"),((FB33*FB$51)/(FB$54)),IF(AND(Results!$E$4="Cells",Results!$E$5="Million",$B$52="million"),((FB33*FB$51)/(FB$52)),"0")))))</f>
        <v>2.5487333333333333</v>
      </c>
      <c r="FC86" s="20">
        <f>IF(FC33=0,"0",IF(AND(Results!$E$5="Protein",$C$53&gt;0,OR(Results!$E$4="Tissue",Results!$E$4="Cells")),((FC33*FC$51)/(FC$53)),IF(AND(Results!$E$5="Weight",$C$52&gt;0, Results!$E$4="Tissue",OR($B$52="g",$B$52="mg")),((FC33*FC$51)/(FC$52)),IF(AND(Results!$E$5="Volume",$C$54&gt;0,Results!$E$4="Fluid"),((FC33*FC$51)/(FC$54)),IF(AND(Results!$E$4="Cells",Results!$E$5="Million",$B$52="million"),((FC33*FC$51)/(FC$52)),"0")))))</f>
        <v>14.185116666666666</v>
      </c>
      <c r="FD86" s="20">
        <f>IF(FD33=0,"0",IF(AND(Results!$E$5="Protein",$C$53&gt;0,OR(Results!$E$4="Tissue",Results!$E$4="Cells")),((FD33*FD$51)/(FD$53)),IF(AND(Results!$E$5="Weight",$C$52&gt;0, Results!$E$4="Tissue",OR($B$52="g",$B$52="mg")),((FD33*FD$51)/(FD$52)),IF(AND(Results!$E$5="Volume",$C$54&gt;0,Results!$E$4="Fluid"),((FD33*FD$51)/(FD$54)),IF(AND(Results!$E$4="Cells",Results!$E$5="Million",$B$52="million"),((FD33*FD$51)/(FD$52)),"0")))))</f>
        <v>0.66839999999999999</v>
      </c>
      <c r="FE86" s="20">
        <f>IF(FE33=0,"0",IF(AND(Results!$E$5="Protein",$C$53&gt;0,OR(Results!$E$4="Tissue",Results!$E$4="Cells")),((FE33*FE$51)/(FE$53)),IF(AND(Results!$E$5="Weight",$C$52&gt;0, Results!$E$4="Tissue",OR($B$52="g",$B$52="mg")),((FE33*FE$51)/(FE$52)),IF(AND(Results!$E$5="Volume",$C$54&gt;0,Results!$E$4="Fluid"),((FE33*FE$51)/(FE$54)),IF(AND(Results!$E$4="Cells",Results!$E$5="Million",$B$52="million"),((FE33*FE$51)/(FE$52)),"0")))))</f>
        <v>1.1898500000000001</v>
      </c>
      <c r="FF86" s="20">
        <f>IF(FF33=0,"0",IF(AND(Results!$E$5="Protein",$C$53&gt;0,OR(Results!$E$4="Tissue",Results!$E$4="Cells")),((FF33*FF$51)/(FF$53)),IF(AND(Results!$E$5="Weight",$C$52&gt;0, Results!$E$4="Tissue",OR($B$52="g",$B$52="mg")),((FF33*FF$51)/(FF$52)),IF(AND(Results!$E$5="Volume",$C$54&gt;0,Results!$E$4="Fluid"),((FF33*FF$51)/(FF$54)),IF(AND(Results!$E$4="Cells",Results!$E$5="Million",$B$52="million"),((FF33*FF$51)/(FF$52)),"0")))))</f>
        <v>35.334533333333333</v>
      </c>
      <c r="FG86" s="20">
        <f>IF(FG33=0,"0",IF(AND(Results!$E$5="Protein",$C$53&gt;0,OR(Results!$E$4="Tissue",Results!$E$4="Cells")),((FG33*FG$51)/(FG$53)),IF(AND(Results!$E$5="Weight",$C$52&gt;0, Results!$E$4="Tissue",OR($B$52="g",$B$52="mg")),((FG33*FG$51)/(FG$52)),IF(AND(Results!$E$5="Volume",$C$54&gt;0,Results!$E$4="Fluid"),((FG33*FG$51)/(FG$54)),IF(AND(Results!$E$4="Cells",Results!$E$5="Million",$B$52="million"),((FG33*FG$51)/(FG$52)),"0")))))</f>
        <v>16.159983333333333</v>
      </c>
      <c r="FH86" s="20">
        <f>IF(FH33=0,"0",IF(AND(Results!$E$5="Protein",$C$53&gt;0,OR(Results!$E$4="Tissue",Results!$E$4="Cells")),((FH33*FH$51)/(FH$53)),IF(AND(Results!$E$5="Weight",$C$52&gt;0, Results!$E$4="Tissue",OR($B$52="g",$B$52="mg")),((FH33*FH$51)/(FH$52)),IF(AND(Results!$E$5="Volume",$C$54&gt;0,Results!$E$4="Fluid"),((FH33*FH$51)/(FH$54)),IF(AND(Results!$E$4="Cells",Results!$E$5="Million",$B$52="million"),((FH33*FH$51)/(FH$52)),"0")))))</f>
        <v>21.632583333333333</v>
      </c>
      <c r="FI86" s="20">
        <f>IF(FI33=0,"0",IF(AND(Results!$E$5="Protein",$C$53&gt;0,OR(Results!$E$4="Tissue",Results!$E$4="Cells")),((FI33*FI$51)/(FI$53)),IF(AND(Results!$E$5="Weight",$C$52&gt;0, Results!$E$4="Tissue",OR($B$52="g",$B$52="mg")),((FI33*FI$51)/(FI$52)),IF(AND(Results!$E$5="Volume",$C$54&gt;0,Results!$E$4="Fluid"),((FI33*FI$51)/(FI$54)),IF(AND(Results!$E$4="Cells",Results!$E$5="Million",$B$52="million"),((FI33*FI$51)/(FI$52)),"0")))))</f>
        <v>14.141216666666669</v>
      </c>
      <c r="FJ86" s="20">
        <f>IF(FJ33=0,"0",IF(AND(Results!$E$5="Protein",$C$53&gt;0,OR(Results!$E$4="Tissue",Results!$E$4="Cells")),((FJ33*FJ$51)/(FJ$53)),IF(AND(Results!$E$5="Weight",$C$52&gt;0, Results!$E$4="Tissue",OR($B$52="g",$B$52="mg")),((FJ33*FJ$51)/(FJ$52)),IF(AND(Results!$E$5="Volume",$C$54&gt;0,Results!$E$4="Fluid"),((FJ33*FJ$51)/(FJ$54)),IF(AND(Results!$E$4="Cells",Results!$E$5="Million",$B$52="million"),((FJ33*FJ$51)/(FJ$52)),"0")))))</f>
        <v>28.506433333333334</v>
      </c>
      <c r="FK86" s="20">
        <f>IF(FK33=0,"0",IF(AND(Results!$E$5="Protein",$C$53&gt;0,OR(Results!$E$4="Tissue",Results!$E$4="Cells")),((FK33*FK$51)/(FK$53)),IF(AND(Results!$E$5="Weight",$C$52&gt;0, Results!$E$4="Tissue",OR($B$52="g",$B$52="mg")),((FK33*FK$51)/(FK$52)),IF(AND(Results!$E$5="Volume",$C$54&gt;0,Results!$E$4="Fluid"),((FK33*FK$51)/(FK$54)),IF(AND(Results!$E$4="Cells",Results!$E$5="Million",$B$52="million"),((FK33*FK$51)/(FK$52)),"0")))))</f>
        <v>95.715766666666667</v>
      </c>
      <c r="FL86" s="20">
        <f>IF(FL33=0,"0",IF(AND(Results!$E$5="Protein",$C$53&gt;0,OR(Results!$E$4="Tissue",Results!$E$4="Cells")),((FL33*FL$51)/(FL$53)),IF(AND(Results!$E$5="Weight",$C$52&gt;0, Results!$E$4="Tissue",OR($B$52="g",$B$52="mg")),((FL33*FL$51)/(FL$52)),IF(AND(Results!$E$5="Volume",$C$54&gt;0,Results!$E$4="Fluid"),((FL33*FL$51)/(FL$54)),IF(AND(Results!$E$4="Cells",Results!$E$5="Million",$B$52="million"),((FL33*FL$51)/(FL$52)),"0")))))</f>
        <v>5.9485833333333327</v>
      </c>
      <c r="FM86" s="20">
        <f>IF(FM33=0,"0",IF(AND(Results!$E$5="Protein",$C$53&gt;0,OR(Results!$E$4="Tissue",Results!$E$4="Cells")),((FM33*FM$51)/(FM$53)),IF(AND(Results!$E$5="Weight",$C$52&gt;0, Results!$E$4="Tissue",OR($B$52="g",$B$52="mg")),((FM33*FM$51)/(FM$52)),IF(AND(Results!$E$5="Volume",$C$54&gt;0,Results!$E$4="Fluid"),((FM33*FM$51)/(FM$54)),IF(AND(Results!$E$4="Cells",Results!$E$5="Million",$B$52="million"),((FM33*FM$51)/(FM$52)),"0")))))</f>
        <v>8.3947333333333329</v>
      </c>
      <c r="FN86" s="20">
        <f>IF(FN33=0,"0",IF(AND(Results!$E$5="Protein",$C$53&gt;0,OR(Results!$E$4="Tissue",Results!$E$4="Cells")),((FN33*FN$51)/(FN$53)),IF(AND(Results!$E$5="Weight",$C$52&gt;0, Results!$E$4="Tissue",OR($B$52="g",$B$52="mg")),((FN33*FN$51)/(FN$52)),IF(AND(Results!$E$5="Volume",$C$54&gt;0,Results!$E$4="Fluid"),((FN33*FN$51)/(FN$54)),IF(AND(Results!$E$4="Cells",Results!$E$5="Million",$B$52="million"),((FN33*FN$51)/(FN$52)),"0")))))</f>
        <v>5.4581333333333344</v>
      </c>
      <c r="FO86" s="20">
        <f>IF(FO33=0,"0",IF(AND(Results!$E$5="Protein",$C$53&gt;0,OR(Results!$E$4="Tissue",Results!$E$4="Cells")),((FO33*FO$51)/(FO$53)),IF(AND(Results!$E$5="Weight",$C$52&gt;0, Results!$E$4="Tissue",OR($B$52="g",$B$52="mg")),((FO33*FO$51)/(FO$52)),IF(AND(Results!$E$5="Volume",$C$54&gt;0,Results!$E$4="Fluid"),((FO33*FO$51)/(FO$54)),IF(AND(Results!$E$4="Cells",Results!$E$5="Million",$B$52="million"),((FO33*FO$51)/(FO$52)),"0")))))</f>
        <v>9.6633166666666668</v>
      </c>
    </row>
    <row r="87" spans="1:171" x14ac:dyDescent="0.2">
      <c r="A87" s="120" t="str">
        <f t="shared" si="1"/>
        <v>9-HOTrE</v>
      </c>
      <c r="B87" s="121"/>
      <c r="C87" s="20">
        <f>IF(C34=0,"0",IF(AND(Results!$E$5="Protein",$C$53&gt;0,OR(Results!$E$4="Tissue",Results!$E$4="Cells")),((C34*C$51)/(C$53)),IF(AND(Results!$E$5="Weight",$C$52&gt;0, Results!$E$4="Tissue",OR($B$52="g",$B$52="mg")),((C34*C$51)/(C$52)),IF(AND(Results!$E$5="Volume",$C$54&gt;0,Results!$E$4="Fluid"),((C34*C$51)/(C$54)),IF(AND(Results!$E$4="Cells",Results!$E$5="Million",$B$52="million"),((C34*C$51)/(C$52)),"0")))))</f>
        <v>0.28581666666666666</v>
      </c>
      <c r="D87" s="20">
        <f>IF(D34=0,"0",IF(AND(Results!$E$5="Protein",$C$53&gt;0,OR(Results!$E$4="Tissue",Results!$E$4="Cells")),((D34*D$51)/(D$53)),IF(AND(Results!$E$5="Weight",$C$52&gt;0, Results!$E$4="Tissue",OR($B$52="g",$B$52="mg")),((D34*D$51)/(D$52)),IF(AND(Results!$E$5="Volume",$C$54&gt;0,Results!$E$4="Fluid"),((D34*D$51)/(D$54)),IF(AND(Results!$E$4="Cells",Results!$E$5="Million",$B$52="million"),((D34*D$51)/(D$52)),"0")))))</f>
        <v>0.20909999999999998</v>
      </c>
      <c r="E87" s="20">
        <f>IF(E34=0,"0",IF(AND(Results!$E$5="Protein",$C$53&gt;0,OR(Results!$E$4="Tissue",Results!$E$4="Cells")),((E34*E$51)/(E$53)),IF(AND(Results!$E$5="Weight",$C$52&gt;0, Results!$E$4="Tissue",OR($B$52="g",$B$52="mg")),((E34*E$51)/(E$52)),IF(AND(Results!$E$5="Volume",$C$54&gt;0,Results!$E$4="Fluid"),((E34*E$51)/(E$54)),IF(AND(Results!$E$4="Cells",Results!$E$5="Million",$B$52="million"),((E34*E$51)/(E$52)),"0")))))</f>
        <v>0.23959999999999998</v>
      </c>
      <c r="F87" s="20">
        <f>IF(F34=0,"0",IF(AND(Results!$E$5="Protein",$C$53&gt;0,OR(Results!$E$4="Tissue",Results!$E$4="Cells")),((F34*F$51)/(F$53)),IF(AND(Results!$E$5="Weight",$C$52&gt;0, Results!$E$4="Tissue",OR($B$52="g",$B$52="mg")),((F34*F$51)/(F$52)),IF(AND(Results!$E$5="Volume",$C$54&gt;0,Results!$E$4="Fluid"),((F34*F$51)/(F$54)),IF(AND(Results!$E$4="Cells",Results!$E$5="Million",$B$52="million"),((F34*F$51)/(F$52)),"0")))))</f>
        <v>2.0031666666666665</v>
      </c>
      <c r="G87" s="20">
        <f>IF(G34=0,"0",IF(AND(Results!$E$5="Protein",$C$53&gt;0,OR(Results!$E$4="Tissue",Results!$E$4="Cells")),((G34*G$51)/(G$53)),IF(AND(Results!$E$5="Weight",$C$52&gt;0, Results!$E$4="Tissue",OR($B$52="g",$B$52="mg")),((G34*G$51)/(G$52)),IF(AND(Results!$E$5="Volume",$C$54&gt;0,Results!$E$4="Fluid"),((G34*G$51)/(G$54)),IF(AND(Results!$E$4="Cells",Results!$E$5="Million",$B$52="million"),((G34*G$51)/(G$52)),"0")))))</f>
        <v>0.40756666666666663</v>
      </c>
      <c r="H87" s="20">
        <f>IF(H34=0,"0",IF(AND(Results!$E$5="Protein",$C$53&gt;0,OR(Results!$E$4="Tissue",Results!$E$4="Cells")),((H34*H$51)/(H$53)),IF(AND(Results!$E$5="Weight",$C$52&gt;0, Results!$E$4="Tissue",OR($B$52="g",$B$52="mg")),((H34*H$51)/(H$52)),IF(AND(Results!$E$5="Volume",$C$54&gt;0,Results!$E$4="Fluid"),((H34*H$51)/(H$54)),IF(AND(Results!$E$4="Cells",Results!$E$5="Million",$B$52="million"),((H34*H$51)/(H$52)),"0")))))</f>
        <v>0.23084999999999997</v>
      </c>
      <c r="I87" s="20">
        <f>IF(I34=0,"0",IF(AND(Results!$E$5="Protein",$C$53&gt;0,OR(Results!$E$4="Tissue",Results!$E$4="Cells")),((I34*I$51)/(I$53)),IF(AND(Results!$E$5="Weight",$C$52&gt;0, Results!$E$4="Tissue",OR($B$52="g",$B$52="mg")),((I34*I$51)/(I$52)),IF(AND(Results!$E$5="Volume",$C$54&gt;0,Results!$E$4="Fluid"),((I34*I$51)/(I$54)),IF(AND(Results!$E$4="Cells",Results!$E$5="Million",$B$52="million"),((I34*I$51)/(I$52)),"0")))))</f>
        <v>0.10843333333333333</v>
      </c>
      <c r="J87" s="20">
        <f>IF(J34=0,"0",IF(AND(Results!$E$5="Protein",$C$53&gt;0,OR(Results!$E$4="Tissue",Results!$E$4="Cells")),((J34*J$51)/(J$53)),IF(AND(Results!$E$5="Weight",$C$52&gt;0, Results!$E$4="Tissue",OR($B$52="g",$B$52="mg")),((J34*J$51)/(J$52)),IF(AND(Results!$E$5="Volume",$C$54&gt;0,Results!$E$4="Fluid"),((J34*J$51)/(J$54)),IF(AND(Results!$E$4="Cells",Results!$E$5="Million",$B$52="million"),((J34*J$51)/(J$52)),"0")))))</f>
        <v>7.8516666666666665E-2</v>
      </c>
      <c r="K87" s="20">
        <f>IF(K34=0,"0",IF(AND(Results!$E$5="Protein",$C$53&gt;0,OR(Results!$E$4="Tissue",Results!$E$4="Cells")),((K34*K$51)/(K$53)),IF(AND(Results!$E$5="Weight",$C$52&gt;0, Results!$E$4="Tissue",OR($B$52="g",$B$52="mg")),((K34*K$51)/(K$52)),IF(AND(Results!$E$5="Volume",$C$54&gt;0,Results!$E$4="Fluid"),((K34*K$51)/(K$54)),IF(AND(Results!$E$4="Cells",Results!$E$5="Million",$B$52="million"),((K34*K$51)/(K$52)),"0")))))</f>
        <v>0.43979999999999997</v>
      </c>
      <c r="L87" s="20">
        <f>IF(L34=0,"0",IF(AND(Results!$E$5="Protein",$C$53&gt;0,OR(Results!$E$4="Tissue",Results!$E$4="Cells")),((L34*L$51)/(L$53)),IF(AND(Results!$E$5="Weight",$C$52&gt;0, Results!$E$4="Tissue",OR($B$52="g",$B$52="mg")),((L34*L$51)/(L$52)),IF(AND(Results!$E$5="Volume",$C$54&gt;0,Results!$E$4="Fluid"),((L34*L$51)/(L$54)),IF(AND(Results!$E$4="Cells",Results!$E$5="Million",$B$52="million"),((L34*L$51)/(L$52)),"0")))))</f>
        <v>2.0112999999999999</v>
      </c>
      <c r="M87" s="20">
        <f>IF(M34=0,"0",IF(AND(Results!$E$5="Protein",$C$53&gt;0,OR(Results!$E$4="Tissue",Results!$E$4="Cells")),((M34*M$51)/(M$53)),IF(AND(Results!$E$5="Weight",$C$52&gt;0, Results!$E$4="Tissue",OR($B$52="g",$B$52="mg")),((M34*M$51)/(M$52)),IF(AND(Results!$E$5="Volume",$C$54&gt;0,Results!$E$4="Fluid"),((M34*M$51)/(M$54)),IF(AND(Results!$E$4="Cells",Results!$E$5="Million",$B$52="million"),((M34*M$51)/(M$52)),"0")))))</f>
        <v>0.29068333333333329</v>
      </c>
      <c r="N87" s="20">
        <f>IF(N34=0,"0",IF(AND(Results!$E$5="Protein",$C$53&gt;0,OR(Results!$E$4="Tissue",Results!$E$4="Cells")),((N34*N$51)/(N$53)),IF(AND(Results!$E$5="Weight",$C$52&gt;0, Results!$E$4="Tissue",OR($B$52="g",$B$52="mg")),((N34*N$51)/(N$52)),IF(AND(Results!$E$5="Volume",$C$54&gt;0,Results!$E$4="Fluid"),((N34*N$51)/(N$54)),IF(AND(Results!$E$4="Cells",Results!$E$5="Million",$B$52="million"),((N34*N$51)/(N$52)),"0")))))</f>
        <v>0.47341666666666671</v>
      </c>
      <c r="O87" s="20">
        <f>IF(O34=0,"0",IF(AND(Results!$E$5="Protein",$C$53&gt;0,OR(Results!$E$4="Tissue",Results!$E$4="Cells")),((O34*O$51)/(O$53)),IF(AND(Results!$E$5="Weight",$C$52&gt;0, Results!$E$4="Tissue",OR($B$52="g",$B$52="mg")),((O34*O$51)/(O$52)),IF(AND(Results!$E$5="Volume",$C$54&gt;0,Results!$E$4="Fluid"),((O34*O$51)/(O$54)),IF(AND(Results!$E$4="Cells",Results!$E$5="Million",$B$52="million"),((O34*O$51)/(O$52)),"0")))))</f>
        <v>0.24301666666666666</v>
      </c>
      <c r="P87" s="20">
        <f>IF(P34=0,"0",IF(AND(Results!$E$5="Protein",$C$53&gt;0,OR(Results!$E$4="Tissue",Results!$E$4="Cells")),((P34*P$51)/(P$53)),IF(AND(Results!$E$5="Weight",$C$52&gt;0, Results!$E$4="Tissue",OR($B$52="g",$B$52="mg")),((P34*P$51)/(P$52)),IF(AND(Results!$E$5="Volume",$C$54&gt;0,Results!$E$4="Fluid"),((P34*P$51)/(P$54)),IF(AND(Results!$E$4="Cells",Results!$E$5="Million",$B$52="million"),((P34*P$51)/(P$52)),"0")))))</f>
        <v>0.50816666666666666</v>
      </c>
      <c r="Q87" s="20">
        <f>IF(Q34=0,"0",IF(AND(Results!$E$5="Protein",$C$53&gt;0,OR(Results!$E$4="Tissue",Results!$E$4="Cells")),((Q34*Q$51)/(Q$53)),IF(AND(Results!$E$5="Weight",$C$52&gt;0, Results!$E$4="Tissue",OR($B$52="g",$B$52="mg")),((Q34*Q$51)/(Q$52)),IF(AND(Results!$E$5="Volume",$C$54&gt;0,Results!$E$4="Fluid"),((Q34*Q$51)/(Q$54)),IF(AND(Results!$E$4="Cells",Results!$E$5="Million",$B$52="million"),((Q34*Q$51)/(Q$52)),"0")))))</f>
        <v>1.7056666666666667</v>
      </c>
      <c r="R87" s="20">
        <f>IF(R34=0,"0",IF(AND(Results!$E$5="Protein",$C$53&gt;0,OR(Results!$E$4="Tissue",Results!$E$4="Cells")),((R34*R$51)/(R$53)),IF(AND(Results!$E$5="Weight",$C$52&gt;0, Results!$E$4="Tissue",OR($B$52="g",$B$52="mg")),((R34*R$51)/(R$52)),IF(AND(Results!$E$5="Volume",$C$54&gt;0,Results!$E$4="Fluid"),((R34*R$51)/(R$54)),IF(AND(Results!$E$4="Cells",Results!$E$5="Million",$B$52="million"),((R34*R$51)/(R$52)),"0")))))</f>
        <v>3.5438166666666664</v>
      </c>
      <c r="S87" s="20">
        <f>IF(S34=0,"0",IF(AND(Results!$E$5="Protein",$C$53&gt;0,OR(Results!$E$4="Tissue",Results!$E$4="Cells")),((S34*S$51)/(S$53)),IF(AND(Results!$E$5="Weight",$C$52&gt;0, Results!$E$4="Tissue",OR($B$52="g",$B$52="mg")),((S34*S$51)/(S$52)),IF(AND(Results!$E$5="Volume",$C$54&gt;0,Results!$E$4="Fluid"),((S34*S$51)/(S$54)),IF(AND(Results!$E$4="Cells",Results!$E$5="Million",$B$52="million"),((S34*S$51)/(S$52)),"0")))))</f>
        <v>0.56936666666666669</v>
      </c>
      <c r="T87" s="20">
        <f>IF(T34=0,"0",IF(AND(Results!$E$5="Protein",$C$53&gt;0,OR(Results!$E$4="Tissue",Results!$E$4="Cells")),((T34*T$51)/(T$53)),IF(AND(Results!$E$5="Weight",$C$52&gt;0, Results!$E$4="Tissue",OR($B$52="g",$B$52="mg")),((T34*T$51)/(T$52)),IF(AND(Results!$E$5="Volume",$C$54&gt;0,Results!$E$4="Fluid"),((T34*T$51)/(T$54)),IF(AND(Results!$E$4="Cells",Results!$E$5="Million",$B$52="million"),((T34*T$51)/(T$52)),"0")))))</f>
        <v>0.188</v>
      </c>
      <c r="U87" s="20">
        <f>IF(U34=0,"0",IF(AND(Results!$E$5="Protein",$C$53&gt;0,OR(Results!$E$4="Tissue",Results!$E$4="Cells")),((U34*U$51)/(U$53)),IF(AND(Results!$E$5="Weight",$C$52&gt;0, Results!$E$4="Tissue",OR($B$52="g",$B$52="mg")),((U34*U$51)/(U$52)),IF(AND(Results!$E$5="Volume",$C$54&gt;0,Results!$E$4="Fluid"),((U34*U$51)/(U$54)),IF(AND(Results!$E$4="Cells",Results!$E$5="Million",$B$52="million"),((U34*U$51)/(U$52)),"0")))))</f>
        <v>0.49278333333333335</v>
      </c>
      <c r="V87" s="20">
        <f>IF(V34=0,"0",IF(AND(Results!$E$5="Protein",$C$53&gt;0,OR(Results!$E$4="Tissue",Results!$E$4="Cells")),((V34*V$51)/(V$53)),IF(AND(Results!$E$5="Weight",$C$52&gt;0, Results!$E$4="Tissue",OR($B$52="g",$B$52="mg")),((V34*V$51)/(V$52)),IF(AND(Results!$E$5="Volume",$C$54&gt;0,Results!$E$4="Fluid"),((V34*V$51)/(V$54)),IF(AND(Results!$E$4="Cells",Results!$E$5="Million",$B$52="million"),((V34*V$51)/(V$52)),"0")))))</f>
        <v>0.45856666666666668</v>
      </c>
      <c r="W87" s="20">
        <f>IF(W34=0,"0",IF(AND(Results!$E$5="Protein",$C$53&gt;0,OR(Results!$E$4="Tissue",Results!$E$4="Cells")),((W34*W$51)/(W$53)),IF(AND(Results!$E$5="Weight",$C$52&gt;0, Results!$E$4="Tissue",OR($B$52="g",$B$52="mg")),((W34*W$51)/(W$52)),IF(AND(Results!$E$5="Volume",$C$54&gt;0,Results!$E$4="Fluid"),((W34*W$51)/(W$54)),IF(AND(Results!$E$4="Cells",Results!$E$5="Million",$B$52="million"),((W34*W$51)/(W$52)),"0")))))</f>
        <v>0.59477142857142862</v>
      </c>
      <c r="X87" s="20">
        <f>IF(X34=0,"0",IF(AND(Results!$E$5="Protein",$C$53&gt;0,OR(Results!$E$4="Tissue",Results!$E$4="Cells")),((X34*X$51)/(X$53)),IF(AND(Results!$E$5="Weight",$C$52&gt;0, Results!$E$4="Tissue",OR($B$52="g",$B$52="mg")),((X34*X$51)/(X$52)),IF(AND(Results!$E$5="Volume",$C$54&gt;0,Results!$E$4="Fluid"),((X34*X$51)/(X$54)),IF(AND(Results!$E$4="Cells",Results!$E$5="Million",$B$52="million"),((X34*X$51)/(X$52)),"0")))))</f>
        <v>6.6679999999999989E-2</v>
      </c>
      <c r="Y87" s="20">
        <f>IF(Y34=0,"0",IF(AND(Results!$E$5="Protein",$C$53&gt;0,OR(Results!$E$4="Tissue",Results!$E$4="Cells")),((Y34*Y$51)/(Y$53)),IF(AND(Results!$E$5="Weight",$C$52&gt;0, Results!$E$4="Tissue",OR($B$52="g",$B$52="mg")),((Y34*Y$51)/(Y$52)),IF(AND(Results!$E$5="Volume",$C$54&gt;0,Results!$E$4="Fluid"),((Y34*Y$51)/(Y$54)),IF(AND(Results!$E$4="Cells",Results!$E$5="Million",$B$52="million"),((Y34*Y$51)/(Y$52)),"0")))))</f>
        <v>0.16906666666666667</v>
      </c>
      <c r="Z87" s="20">
        <f>IF(Z34=0,"0",IF(AND(Results!$E$5="Protein",$C$53&gt;0,OR(Results!$E$4="Tissue",Results!$E$4="Cells")),((Z34*Z$51)/(Z$53)),IF(AND(Results!$E$5="Weight",$C$52&gt;0, Results!$E$4="Tissue",OR($B$52="g",$B$52="mg")),((Z34*Z$51)/(Z$52)),IF(AND(Results!$E$5="Volume",$C$54&gt;0,Results!$E$4="Fluid"),((Z34*Z$51)/(Z$54)),IF(AND(Results!$E$4="Cells",Results!$E$5="Million",$B$52="million"),((Z34*Z$51)/(Z$52)),"0")))))</f>
        <v>3.2901400000000001</v>
      </c>
      <c r="AA87" s="20">
        <f>IF(AA34=0,"0",IF(AND(Results!$E$5="Protein",$C$53&gt;0,OR(Results!$E$4="Tissue",Results!$E$4="Cells")),((AA34*AA$51)/(AA$53)),IF(AND(Results!$E$5="Weight",$C$52&gt;0, Results!$E$4="Tissue",OR($B$52="g",$B$52="mg")),((AA34*AA$51)/(AA$52)),IF(AND(Results!$E$5="Volume",$C$54&gt;0,Results!$E$4="Fluid"),((AA34*AA$51)/(AA$54)),IF(AND(Results!$E$4="Cells",Results!$E$5="Million",$B$52="million"),((AA34*AA$51)/(AA$52)),"0")))))</f>
        <v>0.16694999999999999</v>
      </c>
      <c r="AB87" s="20">
        <f>IF(AB34=0,"0",IF(AND(Results!$E$5="Protein",$C$53&gt;0,OR(Results!$E$4="Tissue",Results!$E$4="Cells")),((AB34*AB$51)/(AB$53)),IF(AND(Results!$E$5="Weight",$C$52&gt;0, Results!$E$4="Tissue",OR($B$52="g",$B$52="mg")),((AB34*AB$51)/(AB$52)),IF(AND(Results!$E$5="Volume",$C$54&gt;0,Results!$E$4="Fluid"),((AB34*AB$51)/(AB$54)),IF(AND(Results!$E$4="Cells",Results!$E$5="Million",$B$52="million"),((AB34*AB$51)/(AB$52)),"0")))))</f>
        <v>0.52861666666666662</v>
      </c>
      <c r="AC87" s="20">
        <f>IF(AC34=0,"0",IF(AND(Results!$E$5="Protein",$C$53&gt;0,OR(Results!$E$4="Tissue",Results!$E$4="Cells")),((AC34*AC$51)/(AC$53)),IF(AND(Results!$E$5="Weight",$C$52&gt;0, Results!$E$4="Tissue",OR($B$52="g",$B$52="mg")),((AC34*AC$51)/(AC$52)),IF(AND(Results!$E$5="Volume",$C$54&gt;0,Results!$E$4="Fluid"),((AC34*AC$51)/(AC$54)),IF(AND(Results!$E$4="Cells",Results!$E$5="Million",$B$52="million"),((AC34*AC$51)/(AC$52)),"0")))))</f>
        <v>0.22391666666666665</v>
      </c>
      <c r="AD87" s="20">
        <f>IF(AD34=0,"0",IF(AND(Results!$E$5="Protein",$C$53&gt;0,OR(Results!$E$4="Tissue",Results!$E$4="Cells")),((AD34*AD$51)/(AD$53)),IF(AND(Results!$E$5="Weight",$C$52&gt;0, Results!$E$4="Tissue",OR($B$52="g",$B$52="mg")),((AD34*AD$51)/(AD$52)),IF(AND(Results!$E$5="Volume",$C$54&gt;0,Results!$E$4="Fluid"),((AD34*AD$51)/(AD$54)),IF(AND(Results!$E$4="Cells",Results!$E$5="Million",$B$52="million"),((AD34*AD$51)/(AD$52)),"0")))))</f>
        <v>0.39091666666666663</v>
      </c>
      <c r="AE87" s="20">
        <f>IF(AE34=0,"0",IF(AND(Results!$E$5="Protein",$C$53&gt;0,OR(Results!$E$4="Tissue",Results!$E$4="Cells")),((AE34*AE$51)/(AE$53)),IF(AND(Results!$E$5="Weight",$C$52&gt;0, Results!$E$4="Tissue",OR($B$52="g",$B$52="mg")),((AE34*AE$51)/(AE$52)),IF(AND(Results!$E$5="Volume",$C$54&gt;0,Results!$E$4="Fluid"),((AE34*AE$51)/(AE$54)),IF(AND(Results!$E$4="Cells",Results!$E$5="Million",$B$52="million"),((AE34*AE$51)/(AE$52)),"0")))))</f>
        <v>0.14256666666666667</v>
      </c>
      <c r="AF87" s="20">
        <f>IF(AF34=0,"0",IF(AND(Results!$E$5="Protein",$C$53&gt;0,OR(Results!$E$4="Tissue",Results!$E$4="Cells")),((AF34*AF$51)/(AF$53)),IF(AND(Results!$E$5="Weight",$C$52&gt;0, Results!$E$4="Tissue",OR($B$52="g",$B$52="mg")),((AF34*AF$51)/(AF$52)),IF(AND(Results!$E$5="Volume",$C$54&gt;0,Results!$E$4="Fluid"),((AF34*AF$51)/(AF$54)),IF(AND(Results!$E$4="Cells",Results!$E$5="Million",$B$52="million"),((AF34*AF$51)/(AF$52)),"0")))))</f>
        <v>0.7825333333333333</v>
      </c>
      <c r="AG87" s="20">
        <f>IF(AG34=0,"0",IF(AND(Results!$E$5="Protein",$C$53&gt;0,OR(Results!$E$4="Tissue",Results!$E$4="Cells")),((AG34*AG$51)/(AG$53)),IF(AND(Results!$E$5="Weight",$C$52&gt;0, Results!$E$4="Tissue",OR($B$52="g",$B$52="mg")),((AG34*AG$51)/(AG$52)),IF(AND(Results!$E$5="Volume",$C$54&gt;0,Results!$E$4="Fluid"),((AG34*AG$51)/(AG$54)),IF(AND(Results!$E$4="Cells",Results!$E$5="Million",$B$52="million"),((AG34*AG$51)/(AG$52)),"0")))))</f>
        <v>1.4867833333333331</v>
      </c>
      <c r="AH87" s="20">
        <f>IF(AH34=0,"0",IF(AND(Results!$E$5="Protein",$C$53&gt;0,OR(Results!$E$4="Tissue",Results!$E$4="Cells")),((AH34*AH$51)/(AH$53)),IF(AND(Results!$E$5="Weight",$C$52&gt;0, Results!$E$4="Tissue",OR($B$52="g",$B$52="mg")),((AH34*AH$51)/(AH$52)),IF(AND(Results!$E$5="Volume",$C$54&gt;0,Results!$E$4="Fluid"),((AH34*AH$51)/(AH$54)),IF(AND(Results!$E$4="Cells",Results!$E$5="Million",$B$52="million"),((AH34*AH$51)/(AH$52)),"0")))))</f>
        <v>0.63180000000000003</v>
      </c>
      <c r="AI87" s="20">
        <f>IF(AI34=0,"0",IF(AND(Results!$E$5="Protein",$C$53&gt;0,OR(Results!$E$4="Tissue",Results!$E$4="Cells")),((AI34*AI$51)/(AI$53)),IF(AND(Results!$E$5="Weight",$C$52&gt;0, Results!$E$4="Tissue",OR($B$52="g",$B$52="mg")),((AI34*AI$51)/(AI$52)),IF(AND(Results!$E$5="Volume",$C$54&gt;0,Results!$E$4="Fluid"),((AI34*AI$51)/(AI$54)),IF(AND(Results!$E$4="Cells",Results!$E$5="Million",$B$52="million"),((AI34*AI$51)/(AI$52)),"0")))))</f>
        <v>0.85808333333333331</v>
      </c>
      <c r="AJ87" s="20">
        <f>IF(AJ34=0,"0",IF(AND(Results!$E$5="Protein",$C$53&gt;0,OR(Results!$E$4="Tissue",Results!$E$4="Cells")),((AJ34*AJ$51)/(AJ$53)),IF(AND(Results!$E$5="Weight",$C$52&gt;0, Results!$E$4="Tissue",OR($B$52="g",$B$52="mg")),((AJ34*AJ$51)/(AJ$52)),IF(AND(Results!$E$5="Volume",$C$54&gt;0,Results!$E$4="Fluid"),((AJ34*AJ$51)/(AJ$54)),IF(AND(Results!$E$4="Cells",Results!$E$5="Million",$B$52="million"),((AJ34*AJ$51)/(AJ$52)),"0")))))</f>
        <v>0.52823333333333333</v>
      </c>
      <c r="AK87" s="20">
        <f>IF(AK34=0,"0",IF(AND(Results!$E$5="Protein",$C$53&gt;0,OR(Results!$E$4="Tissue",Results!$E$4="Cells")),((AK34*AK$51)/(AK$53)),IF(AND(Results!$E$5="Weight",$C$52&gt;0, Results!$E$4="Tissue",OR($B$52="g",$B$52="mg")),((AK34*AK$51)/(AK$52)),IF(AND(Results!$E$5="Volume",$C$54&gt;0,Results!$E$4="Fluid"),((AK34*AK$51)/(AK$54)),IF(AND(Results!$E$4="Cells",Results!$E$5="Million",$B$52="million"),((AK34*AK$51)/(AK$52)),"0")))))</f>
        <v>0.27591666666666664</v>
      </c>
      <c r="AL87" s="20">
        <f>IF(AL34=0,"0",IF(AND(Results!$E$5="Protein",$C$53&gt;0,OR(Results!$E$4="Tissue",Results!$E$4="Cells")),((AL34*AL$51)/(AL$53)),IF(AND(Results!$E$5="Weight",$C$52&gt;0, Results!$E$4="Tissue",OR($B$52="g",$B$52="mg")),((AL34*AL$51)/(AL$52)),IF(AND(Results!$E$5="Volume",$C$54&gt;0,Results!$E$4="Fluid"),((AL34*AL$51)/(AL$54)),IF(AND(Results!$E$4="Cells",Results!$E$5="Million",$B$52="million"),((AL34*AL$51)/(AL$52)),"0")))))</f>
        <v>1.0558666666666667</v>
      </c>
      <c r="AM87" s="20">
        <f>IF(AM34=0,"0",IF(AND(Results!$E$5="Protein",$C$53&gt;0,OR(Results!$E$4="Tissue",Results!$E$4="Cells")),((AM34*AM$51)/(AM$53)),IF(AND(Results!$E$5="Weight",$C$52&gt;0, Results!$E$4="Tissue",OR($B$52="g",$B$52="mg")),((AM34*AM$51)/(AM$52)),IF(AND(Results!$E$5="Volume",$C$54&gt;0,Results!$E$4="Fluid"),((AM34*AM$51)/(AM$54)),IF(AND(Results!$E$4="Cells",Results!$E$5="Million",$B$52="million"),((AM34*AM$51)/(AM$52)),"0")))))</f>
        <v>1.2067000000000001</v>
      </c>
      <c r="AN87" s="20">
        <f>IF(AN34=0,"0",IF(AND(Results!$E$5="Protein",$C$53&gt;0,OR(Results!$E$4="Tissue",Results!$E$4="Cells")),((AN34*AN$51)/(AN$53)),IF(AND(Results!$E$5="Weight",$C$52&gt;0, Results!$E$4="Tissue",OR($B$52="g",$B$52="mg")),((AN34*AN$51)/(AN$52)),IF(AND(Results!$E$5="Volume",$C$54&gt;0,Results!$E$4="Fluid"),((AN34*AN$51)/(AN$54)),IF(AND(Results!$E$4="Cells",Results!$E$5="Million",$B$52="million"),((AN34*AN$51)/(AN$52)),"0")))))</f>
        <v>0.46768333333333334</v>
      </c>
      <c r="AO87" s="20">
        <f>IF(AO34=0,"0",IF(AND(Results!$E$5="Protein",$C$53&gt;0,OR(Results!$E$4="Tissue",Results!$E$4="Cells")),((AO34*AO$51)/(AO$53)),IF(AND(Results!$E$5="Weight",$C$52&gt;0, Results!$E$4="Tissue",OR($B$52="g",$B$52="mg")),((AO34*AO$51)/(AO$52)),IF(AND(Results!$E$5="Volume",$C$54&gt;0,Results!$E$4="Fluid"),((AO34*AO$51)/(AO$54)),IF(AND(Results!$E$4="Cells",Results!$E$5="Million",$B$52="million"),((AO34*AO$51)/(AO$52)),"0")))))</f>
        <v>0.17733333333333334</v>
      </c>
      <c r="AP87" s="20">
        <f>IF(AP34=0,"0",IF(AND(Results!$E$5="Protein",$C$53&gt;0,OR(Results!$E$4="Tissue",Results!$E$4="Cells")),((AP34*AP$51)/(AP$53)),IF(AND(Results!$E$5="Weight",$C$52&gt;0, Results!$E$4="Tissue",OR($B$52="g",$B$52="mg")),((AP34*AP$51)/(AP$52)),IF(AND(Results!$E$5="Volume",$C$54&gt;0,Results!$E$4="Fluid"),((AP34*AP$51)/(AP$54)),IF(AND(Results!$E$4="Cells",Results!$E$5="Million",$B$52="million"),((AP34*AP$51)/(AP$52)),"0")))))</f>
        <v>0.73061666666666669</v>
      </c>
      <c r="AQ87" s="20">
        <f>IF(AQ34=0,"0",IF(AND(Results!$E$5="Protein",$C$53&gt;0,OR(Results!$E$4="Tissue",Results!$E$4="Cells")),((AQ34*AQ$51)/(AQ$53)),IF(AND(Results!$E$5="Weight",$C$52&gt;0, Results!$E$4="Tissue",OR($B$52="g",$B$52="mg")),((AQ34*AQ$51)/(AQ$52)),IF(AND(Results!$E$5="Volume",$C$54&gt;0,Results!$E$4="Fluid"),((AQ34*AQ$51)/(AQ$54)),IF(AND(Results!$E$4="Cells",Results!$E$5="Million",$B$52="million"),((AQ34*AQ$51)/(AQ$52)),"0")))))</f>
        <v>2.6803833333333333</v>
      </c>
      <c r="AR87" s="20">
        <f>IF(AR34=0,"0",IF(AND(Results!$E$5="Protein",$C$53&gt;0,OR(Results!$E$4="Tissue",Results!$E$4="Cells")),((AR34*AR$51)/(AR$53)),IF(AND(Results!$E$5="Weight",$C$52&gt;0, Results!$E$4="Tissue",OR($B$52="g",$B$52="mg")),((AR34*AR$51)/(AR$52)),IF(AND(Results!$E$5="Volume",$C$54&gt;0,Results!$E$4="Fluid"),((AR34*AR$51)/(AR$54)),IF(AND(Results!$E$4="Cells",Results!$E$5="Million",$B$52="million"),((AR34*AR$51)/(AR$52)),"0")))))</f>
        <v>0.16786666666666669</v>
      </c>
      <c r="AS87" s="20">
        <f>IF(AS34=0,"0",IF(AND(Results!$E$5="Protein",$C$53&gt;0,OR(Results!$E$4="Tissue",Results!$E$4="Cells")),((AS34*AS$51)/(AS$53)),IF(AND(Results!$E$5="Weight",$C$52&gt;0, Results!$E$4="Tissue",OR($B$52="g",$B$52="mg")),((AS34*AS$51)/(AS$52)),IF(AND(Results!$E$5="Volume",$C$54&gt;0,Results!$E$4="Fluid"),((AS34*AS$51)/(AS$54)),IF(AND(Results!$E$4="Cells",Results!$E$5="Million",$B$52="million"),((AS34*AS$51)/(AS$52)),"0")))))</f>
        <v>1.7397666666666667</v>
      </c>
      <c r="AT87" s="20">
        <f>IF(AT34=0,"0",IF(AND(Results!$E$5="Protein",$C$53&gt;0,OR(Results!$E$4="Tissue",Results!$E$4="Cells")),((AT34*AT$51)/(AT$53)),IF(AND(Results!$E$5="Weight",$C$52&gt;0, Results!$E$4="Tissue",OR($B$52="g",$B$52="mg")),((AT34*AT$51)/(AT$52)),IF(AND(Results!$E$5="Volume",$C$54&gt;0,Results!$E$4="Fluid"),((AT34*AT$51)/(AT$54)),IF(AND(Results!$E$4="Cells",Results!$E$5="Million",$B$52="million"),((AT34*AT$51)/(AT$52)),"0")))))</f>
        <v>0.92558333333333331</v>
      </c>
      <c r="AU87" s="20">
        <f>IF(AU34=0,"0",IF(AND(Results!$E$5="Protein",$C$53&gt;0,OR(Results!$E$4="Tissue",Results!$E$4="Cells")),((AU34*AU$51)/(AU$53)),IF(AND(Results!$E$5="Weight",$C$52&gt;0, Results!$E$4="Tissue",OR($B$52="g",$B$52="mg")),((AU34*AU$51)/(AU$52)),IF(AND(Results!$E$5="Volume",$C$54&gt;0,Results!$E$4="Fluid"),((AU34*AU$51)/(AU$54)),IF(AND(Results!$E$4="Cells",Results!$E$5="Million",$B$52="million"),((AU34*AU$51)/(AU$52)),"0")))))</f>
        <v>0.13832</v>
      </c>
      <c r="AV87" s="20">
        <f>IF(AV34=0,"0",IF(AND(Results!$E$5="Protein",$C$53&gt;0,OR(Results!$E$4="Tissue",Results!$E$4="Cells")),((AV34*AV$51)/(AV$53)),IF(AND(Results!$E$5="Weight",$C$52&gt;0, Results!$E$4="Tissue",OR($B$52="g",$B$52="mg")),((AV34*AV$51)/(AV$52)),IF(AND(Results!$E$5="Volume",$C$54&gt;0,Results!$E$4="Fluid"),((AV34*AV$51)/(AV$54)),IF(AND(Results!$E$4="Cells",Results!$E$5="Million",$B$52="million"),((AV34*AV$51)/(AV$52)),"0")))))</f>
        <v>0.10183999999999999</v>
      </c>
      <c r="AW87" s="20">
        <f>IF(AW34=0,"0",IF(AND(Results!$E$5="Protein",$C$53&gt;0,OR(Results!$E$4="Tissue",Results!$E$4="Cells")),((AW34*AW$51)/(AW$53)),IF(AND(Results!$E$5="Weight",$C$52&gt;0, Results!$E$4="Tissue",OR($B$52="g",$B$52="mg")),((AW34*AW$51)/(AW$52)),IF(AND(Results!$E$5="Volume",$C$54&gt;0,Results!$E$4="Fluid"),((AW34*AW$51)/(AW$54)),IF(AND(Results!$E$4="Cells",Results!$E$5="Million",$B$52="million"),((AW34*AW$51)/(AW$52)),"0")))))</f>
        <v>0.33800000000000002</v>
      </c>
      <c r="AX87" s="20">
        <f>IF(AX34=0,"0",IF(AND(Results!$E$5="Protein",$C$53&gt;0,OR(Results!$E$4="Tissue",Results!$E$4="Cells")),((AX34*AX$51)/(AX$53)),IF(AND(Results!$E$5="Weight",$C$52&gt;0, Results!$E$4="Tissue",OR($B$52="g",$B$52="mg")),((AX34*AX$51)/(AX$52)),IF(AND(Results!$E$5="Volume",$C$54&gt;0,Results!$E$4="Fluid"),((AX34*AX$51)/(AX$54)),IF(AND(Results!$E$4="Cells",Results!$E$5="Million",$B$52="million"),((AX34*AX$51)/(AX$52)),"0")))))</f>
        <v>0.21903333333333333</v>
      </c>
      <c r="AY87" s="20">
        <f>IF(AY34=0,"0",IF(AND(Results!$E$5="Protein",$C$53&gt;0,OR(Results!$E$4="Tissue",Results!$E$4="Cells")),((AY34*AY$51)/(AY$53)),IF(AND(Results!$E$5="Weight",$C$52&gt;0, Results!$E$4="Tissue",OR($B$52="g",$B$52="mg")),((AY34*AY$51)/(AY$52)),IF(AND(Results!$E$5="Volume",$C$54&gt;0,Results!$E$4="Fluid"),((AY34*AY$51)/(AY$54)),IF(AND(Results!$E$4="Cells",Results!$E$5="Million",$B$52="million"),((AY34*AY$51)/(AY$52)),"0")))))</f>
        <v>0.92830000000000001</v>
      </c>
      <c r="AZ87" s="20">
        <f>IF(AZ34=0,"0",IF(AND(Results!$E$5="Protein",$C$53&gt;0,OR(Results!$E$4="Tissue",Results!$E$4="Cells")),((AZ34*AZ$51)/(AZ$53)),IF(AND(Results!$E$5="Weight",$C$52&gt;0, Results!$E$4="Tissue",OR($B$52="g",$B$52="mg")),((AZ34*AZ$51)/(AZ$52)),IF(AND(Results!$E$5="Volume",$C$54&gt;0,Results!$E$4="Fluid"),((AZ34*AZ$51)/(AZ$54)),IF(AND(Results!$E$4="Cells",Results!$E$5="Million",$B$52="million"),((AZ34*AZ$51)/(AZ$52)),"0")))))</f>
        <v>0.21791666666666668</v>
      </c>
      <c r="BA87" s="20">
        <f>IF(BA34=0,"0",IF(AND(Results!$E$5="Protein",$C$53&gt;0,OR(Results!$E$4="Tissue",Results!$E$4="Cells")),((BA34*BA$51)/(BA$53)),IF(AND(Results!$E$5="Weight",$C$52&gt;0, Results!$E$4="Tissue",OR($B$52="g",$B$52="mg")),((BA34*BA$51)/(BA$52)),IF(AND(Results!$E$5="Volume",$C$54&gt;0,Results!$E$4="Fluid"),((BA34*BA$51)/(BA$54)),IF(AND(Results!$E$4="Cells",Results!$E$5="Million",$B$52="million"),((BA34*BA$51)/(BA$52)),"0")))))</f>
        <v>0.32043333333333329</v>
      </c>
      <c r="BB87" s="20">
        <f>IF(BB34=0,"0",IF(AND(Results!$E$5="Protein",$C$53&gt;0,OR(Results!$E$4="Tissue",Results!$E$4="Cells")),((BB34*BB$51)/(BB$53)),IF(AND(Results!$E$5="Weight",$C$52&gt;0, Results!$E$4="Tissue",OR($B$52="g",$B$52="mg")),((BB34*BB$51)/(BB$52)),IF(AND(Results!$E$5="Volume",$C$54&gt;0,Results!$E$4="Fluid"),((BB34*BB$51)/(BB$54)),IF(AND(Results!$E$4="Cells",Results!$E$5="Million",$B$52="million"),((BB34*BB$51)/(BB$52)),"0")))))</f>
        <v>0.11741666666666667</v>
      </c>
      <c r="BC87" s="20">
        <f>IF(BC34=0,"0",IF(AND(Results!$E$5="Protein",$C$53&gt;0,OR(Results!$E$4="Tissue",Results!$E$4="Cells")),((BC34*BC$51)/(BC$53)),IF(AND(Results!$E$5="Weight",$C$52&gt;0, Results!$E$4="Tissue",OR($B$52="g",$B$52="mg")),((BC34*BC$51)/(BC$52)),IF(AND(Results!$E$5="Volume",$C$54&gt;0,Results!$E$4="Fluid"),((BC34*BC$51)/(BC$54)),IF(AND(Results!$E$4="Cells",Results!$E$5="Million",$B$52="million"),((BC34*BC$51)/(BC$52)),"0")))))</f>
        <v>0.28699999999999998</v>
      </c>
      <c r="BD87" s="20">
        <f>IF(BD34=0,"0",IF(AND(Results!$E$5="Protein",$C$53&gt;0,OR(Results!$E$4="Tissue",Results!$E$4="Cells")),((BD34*BD$51)/(BD$53)),IF(AND(Results!$E$5="Weight",$C$52&gt;0, Results!$E$4="Tissue",OR($B$52="g",$B$52="mg")),((BD34*BD$51)/(BD$52)),IF(AND(Results!$E$5="Volume",$C$54&gt;0,Results!$E$4="Fluid"),((BD34*BD$51)/(BD$54)),IF(AND(Results!$E$4="Cells",Results!$E$5="Million",$B$52="million"),((BD34*BD$51)/(BD$52)),"0")))))</f>
        <v>0.23415</v>
      </c>
      <c r="BE87" s="20">
        <f>IF(BE34=0,"0",IF(AND(Results!$E$5="Protein",$C$53&gt;0,OR(Results!$E$4="Tissue",Results!$E$4="Cells")),((BE34*BE$51)/(BE$53)),IF(AND(Results!$E$5="Weight",$C$52&gt;0, Results!$E$4="Tissue",OR($B$52="g",$B$52="mg")),((BE34*BE$51)/(BE$52)),IF(AND(Results!$E$5="Volume",$C$54&gt;0,Results!$E$4="Fluid"),((BE34*BE$51)/(BE$54)),IF(AND(Results!$E$4="Cells",Results!$E$5="Million",$B$52="million"),((BE34*BE$51)/(BE$52)),"0")))))</f>
        <v>0.21939999999999998</v>
      </c>
      <c r="BF87" s="20">
        <f>IF(BF34=0,"0",IF(AND(Results!$E$5="Protein",$C$53&gt;0,OR(Results!$E$4="Tissue",Results!$E$4="Cells")),((BF34*BF$51)/(BF$53)),IF(AND(Results!$E$5="Weight",$C$52&gt;0, Results!$E$4="Tissue",OR($B$52="g",$B$52="mg")),((BF34*BF$51)/(BF$52)),IF(AND(Results!$E$5="Volume",$C$54&gt;0,Results!$E$4="Fluid"),((BF34*BF$51)/(BF$54)),IF(AND(Results!$E$4="Cells",Results!$E$5="Million",$B$52="million"),((BF34*BF$51)/(BF$52)),"0")))))</f>
        <v>2.6203500000000002</v>
      </c>
      <c r="BG87" s="20">
        <f>IF(BG34=0,"0",IF(AND(Results!$E$5="Protein",$C$53&gt;0,OR(Results!$E$4="Tissue",Results!$E$4="Cells")),((BG34*BG$51)/(BG$53)),IF(AND(Results!$E$5="Weight",$C$52&gt;0, Results!$E$4="Tissue",OR($B$52="g",$B$52="mg")),((BG34*BG$51)/(BG$52)),IF(AND(Results!$E$5="Volume",$C$54&gt;0,Results!$E$4="Fluid"),((BG34*BG$51)/(BG$54)),IF(AND(Results!$E$4="Cells",Results!$E$5="Million",$B$52="million"),((BG34*BG$51)/(BG$52)),"0")))))</f>
        <v>0.16326666666666664</v>
      </c>
      <c r="BH87" s="20">
        <f>IF(BH34=0,"0",IF(AND(Results!$E$5="Protein",$C$53&gt;0,OR(Results!$E$4="Tissue",Results!$E$4="Cells")),((BH34*BH$51)/(BH$53)),IF(AND(Results!$E$5="Weight",$C$52&gt;0, Results!$E$4="Tissue",OR($B$52="g",$B$52="mg")),((BH34*BH$51)/(BH$52)),IF(AND(Results!$E$5="Volume",$C$54&gt;0,Results!$E$4="Fluid"),((BH34*BH$51)/(BH$54)),IF(AND(Results!$E$4="Cells",Results!$E$5="Million",$B$52="million"),((BH34*BH$51)/(BH$52)),"0")))))</f>
        <v>3.40265</v>
      </c>
      <c r="BI87" s="20">
        <f>IF(BI34=0,"0",IF(AND(Results!$E$5="Protein",$C$53&gt;0,OR(Results!$E$4="Tissue",Results!$E$4="Cells")),((BI34*BI$51)/(BI$53)),IF(AND(Results!$E$5="Weight",$C$52&gt;0, Results!$E$4="Tissue",OR($B$52="g",$B$52="mg")),((BI34*BI$51)/(BI$52)),IF(AND(Results!$E$5="Volume",$C$54&gt;0,Results!$E$4="Fluid"),((BI34*BI$51)/(BI$54)),IF(AND(Results!$E$4="Cells",Results!$E$5="Million",$B$52="million"),((BI34*BI$51)/(BI$52)),"0")))))</f>
        <v>2.1504833333333333</v>
      </c>
      <c r="BJ87" s="20">
        <f>IF(BJ34=0,"0",IF(AND(Results!$E$5="Protein",$C$53&gt;0,OR(Results!$E$4="Tissue",Results!$E$4="Cells")),((BJ34*BJ$51)/(BJ$53)),IF(AND(Results!$E$5="Weight",$C$52&gt;0, Results!$E$4="Tissue",OR($B$52="g",$B$52="mg")),((BJ34*BJ$51)/(BJ$52)),IF(AND(Results!$E$5="Volume",$C$54&gt;0,Results!$E$4="Fluid"),((BJ34*BJ$51)/(BJ$54)),IF(AND(Results!$E$4="Cells",Results!$E$5="Million",$B$52="million"),((BJ34*BJ$51)/(BJ$52)),"0")))))</f>
        <v>4.1920166666666665</v>
      </c>
      <c r="BK87" s="20">
        <f>IF(BK34=0,"0",IF(AND(Results!$E$5="Protein",$C$53&gt;0,OR(Results!$E$4="Tissue",Results!$E$4="Cells")),((BK34*BK$51)/(BK$53)),IF(AND(Results!$E$5="Weight",$C$52&gt;0, Results!$E$4="Tissue",OR($B$52="g",$B$52="mg")),((BK34*BK$51)/(BK$52)),IF(AND(Results!$E$5="Volume",$C$54&gt;0,Results!$E$4="Fluid"),((BK34*BK$51)/(BK$54)),IF(AND(Results!$E$4="Cells",Results!$E$5="Million",$B$52="million"),((BK34*BK$51)/(BK$52)),"0")))))</f>
        <v>0.67230000000000001</v>
      </c>
      <c r="BL87" s="20">
        <f>IF(BL34=0,"0",IF(AND(Results!$E$5="Protein",$C$53&gt;0,OR(Results!$E$4="Tissue",Results!$E$4="Cells")),((BL34*BL$51)/(BL$53)),IF(AND(Results!$E$5="Weight",$C$52&gt;0, Results!$E$4="Tissue",OR($B$52="g",$B$52="mg")),((BL34*BL$51)/(BL$52)),IF(AND(Results!$E$5="Volume",$C$54&gt;0,Results!$E$4="Fluid"),((BL34*BL$51)/(BL$54)),IF(AND(Results!$E$4="Cells",Results!$E$5="Million",$B$52="million"),((BL34*BL$51)/(BL$52)),"0")))))</f>
        <v>15.065666666666667</v>
      </c>
      <c r="BM87" s="20">
        <f>IF(BM34=0,"0",IF(AND(Results!$E$5="Protein",$C$53&gt;0,OR(Results!$E$4="Tissue",Results!$E$4="Cells")),((BM34*BM$51)/(BM$53)),IF(AND(Results!$E$5="Weight",$C$52&gt;0, Results!$E$4="Tissue",OR($B$52="g",$B$52="mg")),((BM34*BM$51)/(BM$52)),IF(AND(Results!$E$5="Volume",$C$54&gt;0,Results!$E$4="Fluid"),((BM34*BM$51)/(BM$54)),IF(AND(Results!$E$4="Cells",Results!$E$5="Million",$B$52="million"),((BM34*BM$51)/(BM$52)),"0")))))</f>
        <v>17.187428571428569</v>
      </c>
      <c r="BN87" s="20">
        <f>IF(BN34=0,"0",IF(AND(Results!$E$5="Protein",$C$53&gt;0,OR(Results!$E$4="Tissue",Results!$E$4="Cells")),((BN34*BN$51)/(BN$53)),IF(AND(Results!$E$5="Weight",$C$52&gt;0, Results!$E$4="Tissue",OR($B$52="g",$B$52="mg")),((BN34*BN$51)/(BN$52)),IF(AND(Results!$E$5="Volume",$C$54&gt;0,Results!$E$4="Fluid"),((BN34*BN$51)/(BN$54)),IF(AND(Results!$E$4="Cells",Results!$E$5="Million",$B$52="million"),((BN34*BN$51)/(BN$52)),"0")))))</f>
        <v>18.27313333333333</v>
      </c>
      <c r="BO87" s="20">
        <f>IF(BO34=0,"0",IF(AND(Results!$E$5="Protein",$C$53&gt;0,OR(Results!$E$4="Tissue",Results!$E$4="Cells")),((BO34*BO$51)/(BO$53)),IF(AND(Results!$E$5="Weight",$C$52&gt;0, Results!$E$4="Tissue",OR($B$52="g",$B$52="mg")),((BO34*BO$51)/(BO$52)),IF(AND(Results!$E$5="Volume",$C$54&gt;0,Results!$E$4="Fluid"),((BO34*BO$51)/(BO$54)),IF(AND(Results!$E$4="Cells",Results!$E$5="Million",$B$52="million"),((BO34*BO$51)/(BO$52)),"0")))))</f>
        <v>56.307699999999997</v>
      </c>
      <c r="BP87" s="20">
        <f>IF(BP34=0,"0",IF(AND(Results!$E$5="Protein",$C$53&gt;0,OR(Results!$E$4="Tissue",Results!$E$4="Cells")),((BP34*BP$51)/(BP$53)),IF(AND(Results!$E$5="Weight",$C$52&gt;0, Results!$E$4="Tissue",OR($B$52="g",$B$52="mg")),((BP34*BP$51)/(BP$52)),IF(AND(Results!$E$5="Volume",$C$54&gt;0,Results!$E$4="Fluid"),((BP34*BP$51)/(BP$54)),IF(AND(Results!$E$4="Cells",Results!$E$5="Million",$B$52="million"),((BP34*BP$51)/(BP$52)),"0")))))</f>
        <v>27.954116666666668</v>
      </c>
      <c r="BQ87" s="20">
        <f>IF(BQ34=0,"0",IF(AND(Results!$E$5="Protein",$C$53&gt;0,OR(Results!$E$4="Tissue",Results!$E$4="Cells")),((BQ34*BQ$51)/(BQ$53)),IF(AND(Results!$E$5="Weight",$C$52&gt;0, Results!$E$4="Tissue",OR($B$52="g",$B$52="mg")),((BQ34*BQ$51)/(BQ$52)),IF(AND(Results!$E$5="Volume",$C$54&gt;0,Results!$E$4="Fluid"),((BQ34*BQ$51)/(BQ$54)),IF(AND(Results!$E$4="Cells",Results!$E$5="Million",$B$52="million"),((BQ34*BQ$51)/(BQ$52)),"0")))))</f>
        <v>1.2273000000000001</v>
      </c>
      <c r="BR87" s="20">
        <f>IF(BR34=0,"0",IF(AND(Results!$E$5="Protein",$C$53&gt;0,OR(Results!$E$4="Tissue",Results!$E$4="Cells")),((BR34*BR$51)/(BR$53)),IF(AND(Results!$E$5="Weight",$C$52&gt;0, Results!$E$4="Tissue",OR($B$52="g",$B$52="mg")),((BR34*BR$51)/(BR$52)),IF(AND(Results!$E$5="Volume",$C$54&gt;0,Results!$E$4="Fluid"),((BR34*BR$51)/(BR$54)),IF(AND(Results!$E$4="Cells",Results!$E$5="Million",$B$52="million"),((BR34*BR$51)/(BR$52)),"0")))))</f>
        <v>0.50554285714285718</v>
      </c>
      <c r="BS87" s="20">
        <f>IF(BS34=0,"0",IF(AND(Results!$E$5="Protein",$C$53&gt;0,OR(Results!$E$4="Tissue",Results!$E$4="Cells")),((BS34*BS$51)/(BS$53)),IF(AND(Results!$E$5="Weight",$C$52&gt;0, Results!$E$4="Tissue",OR($B$52="g",$B$52="mg")),((BS34*BS$51)/(BS$52)),IF(AND(Results!$E$5="Volume",$C$54&gt;0,Results!$E$4="Fluid"),((BS34*BS$51)/(BS$54)),IF(AND(Results!$E$4="Cells",Results!$E$5="Million",$B$52="million"),((BS34*BS$51)/(BS$52)),"0")))))</f>
        <v>61.874050000000004</v>
      </c>
      <c r="BT87" s="20">
        <f>IF(BT34=0,"0",IF(AND(Results!$E$5="Protein",$C$53&gt;0,OR(Results!$E$4="Tissue",Results!$E$4="Cells")),((BT34*BT$51)/(BT$53)),IF(AND(Results!$E$5="Weight",$C$52&gt;0, Results!$E$4="Tissue",OR($B$52="g",$B$52="mg")),((BT34*BT$51)/(BT$52)),IF(AND(Results!$E$5="Volume",$C$54&gt;0,Results!$E$4="Fluid"),((BT34*BT$51)/(BT$54)),IF(AND(Results!$E$4="Cells",Results!$E$5="Million",$B$52="million"),((BT34*BT$51)/(BT$52)),"0")))))</f>
        <v>4.9980333333333338</v>
      </c>
      <c r="BU87" s="20">
        <f>IF(BU34=0,"0",IF(AND(Results!$E$5="Protein",$C$53&gt;0,OR(Results!$E$4="Tissue",Results!$E$4="Cells")),((BU34*BU$51)/(BU$53)),IF(AND(Results!$E$5="Weight",$C$52&gt;0, Results!$E$4="Tissue",OR($B$52="g",$B$52="mg")),((BU34*BU$51)/(BU$52)),IF(AND(Results!$E$5="Volume",$C$54&gt;0,Results!$E$4="Fluid"),((BU34*BU$51)/(BU$54)),IF(AND(Results!$E$4="Cells",Results!$E$5="Million",$B$52="million"),((BU34*BU$51)/(BU$52)),"0")))))</f>
        <v>1.8054833333333336</v>
      </c>
      <c r="BV87" s="20">
        <f>IF(BV34=0,"0",IF(AND(Results!$E$5="Protein",$C$53&gt;0,OR(Results!$E$4="Tissue",Results!$E$4="Cells")),((BV34*BV$51)/(BV$53)),IF(AND(Results!$E$5="Weight",$C$52&gt;0, Results!$E$4="Tissue",OR($B$52="g",$B$52="mg")),((BV34*BV$51)/(BV$52)),IF(AND(Results!$E$5="Volume",$C$54&gt;0,Results!$E$4="Fluid"),((BV34*BV$51)/(BV$54)),IF(AND(Results!$E$4="Cells",Results!$E$5="Million",$B$52="million"),((BV34*BV$51)/(BV$52)),"0")))))</f>
        <v>1.6138333333333332</v>
      </c>
      <c r="BW87" s="20">
        <f>IF(BW34=0,"0",IF(AND(Results!$E$5="Protein",$C$53&gt;0,OR(Results!$E$4="Tissue",Results!$E$4="Cells")),((BW34*BW$51)/(BW$53)),IF(AND(Results!$E$5="Weight",$C$52&gt;0, Results!$E$4="Tissue",OR($B$52="g",$B$52="mg")),((BW34*BW$51)/(BW$52)),IF(AND(Results!$E$5="Volume",$C$54&gt;0,Results!$E$4="Fluid"),((BW34*BW$51)/(BW$54)),IF(AND(Results!$E$4="Cells",Results!$E$5="Million",$B$52="million"),((BW34*BW$51)/(BW$52)),"0")))))</f>
        <v>2.0467666666666666</v>
      </c>
      <c r="BX87" s="20">
        <f>IF(BX34=0,"0",IF(AND(Results!$E$5="Protein",$C$53&gt;0,OR(Results!$E$4="Tissue",Results!$E$4="Cells")),((BX34*BX$51)/(BX$53)),IF(AND(Results!$E$5="Weight",$C$52&gt;0, Results!$E$4="Tissue",OR($B$52="g",$B$52="mg")),((BX34*BX$51)/(BX$52)),IF(AND(Results!$E$5="Volume",$C$54&gt;0,Results!$E$4="Fluid"),((BX34*BX$51)/(BX$54)),IF(AND(Results!$E$4="Cells",Results!$E$5="Million",$B$52="million"),((BX34*BX$51)/(BX$52)),"0")))))</f>
        <v>0.34921666666666668</v>
      </c>
      <c r="BY87" s="20">
        <f>IF(BY34=0,"0",IF(AND(Results!$E$5="Protein",$C$53&gt;0,OR(Results!$E$4="Tissue",Results!$E$4="Cells")),((BY34*BY$51)/(BY$53)),IF(AND(Results!$E$5="Weight",$C$52&gt;0, Results!$E$4="Tissue",OR($B$52="g",$B$52="mg")),((BY34*BY$51)/(BY$52)),IF(AND(Results!$E$5="Volume",$C$54&gt;0,Results!$E$4="Fluid"),((BY34*BY$51)/(BY$54)),IF(AND(Results!$E$4="Cells",Results!$E$5="Million",$B$52="million"),((BY34*BY$51)/(BY$52)),"0")))))</f>
        <v>1.4857666666666667</v>
      </c>
      <c r="BZ87" s="20">
        <f>IF(BZ34=0,"0",IF(AND(Results!$E$5="Protein",$C$53&gt;0,OR(Results!$E$4="Tissue",Results!$E$4="Cells")),((BZ34*BZ$51)/(BZ$53)),IF(AND(Results!$E$5="Weight",$C$52&gt;0, Results!$E$4="Tissue",OR($B$52="g",$B$52="mg")),((BZ34*BZ$51)/(BZ$52)),IF(AND(Results!$E$5="Volume",$C$54&gt;0,Results!$E$4="Fluid"),((BZ34*BZ$51)/(BZ$54)),IF(AND(Results!$E$4="Cells",Results!$E$5="Million",$B$52="million"),((BZ34*BZ$51)/(BZ$52)),"0")))))</f>
        <v>1.0634833333333333</v>
      </c>
      <c r="CA87" s="20">
        <f>IF(CA34=0,"0",IF(AND(Results!$E$5="Protein",$C$53&gt;0,OR(Results!$E$4="Tissue",Results!$E$4="Cells")),((CA34*CA$51)/(CA$53)),IF(AND(Results!$E$5="Weight",$C$52&gt;0, Results!$E$4="Tissue",OR($B$52="g",$B$52="mg")),((CA34*CA$51)/(CA$52)),IF(AND(Results!$E$5="Volume",$C$54&gt;0,Results!$E$4="Fluid"),((CA34*CA$51)/(CA$54)),IF(AND(Results!$E$4="Cells",Results!$E$5="Million",$B$52="million"),((CA34*CA$51)/(CA$52)),"0")))))</f>
        <v>1.5531000000000001</v>
      </c>
      <c r="CB87" s="20">
        <f>IF(CB34=0,"0",IF(AND(Results!$E$5="Protein",$C$53&gt;0,OR(Results!$E$4="Tissue",Results!$E$4="Cells")),((CB34*CB$51)/(CB$53)),IF(AND(Results!$E$5="Weight",$C$52&gt;0, Results!$E$4="Tissue",OR($B$52="g",$B$52="mg")),((CB34*CB$51)/(CB$52)),IF(AND(Results!$E$5="Volume",$C$54&gt;0,Results!$E$4="Fluid"),((CB34*CB$51)/(CB$54)),IF(AND(Results!$E$4="Cells",Results!$E$5="Million",$B$52="million"),((CB34*CB$51)/(CB$52)),"0")))))</f>
        <v>0.53120000000000001</v>
      </c>
      <c r="CC87" s="20">
        <f>IF(CC34=0,"0",IF(AND(Results!$E$5="Protein",$C$53&gt;0,OR(Results!$E$4="Tissue",Results!$E$4="Cells")),((CC34*CC$51)/(CC$53)),IF(AND(Results!$E$5="Weight",$C$52&gt;0, Results!$E$4="Tissue",OR($B$52="g",$B$52="mg")),((CC34*CC$51)/(CC$52)),IF(AND(Results!$E$5="Volume",$C$54&gt;0,Results!$E$4="Fluid"),((CC34*CC$51)/(CC$54)),IF(AND(Results!$E$4="Cells",Results!$E$5="Million",$B$52="million"),((CC34*CC$51)/(CC$52)),"0")))))</f>
        <v>0.25261666666666666</v>
      </c>
      <c r="CD87" s="20">
        <f>IF(CD34=0,"0",IF(AND(Results!$E$5="Protein",$C$53&gt;0,OR(Results!$E$4="Tissue",Results!$E$4="Cells")),((CD34*CD$51)/(CD$53)),IF(AND(Results!$E$5="Weight",$C$52&gt;0, Results!$E$4="Tissue",OR($B$52="g",$B$52="mg")),((CD34*CD$51)/(CD$52)),IF(AND(Results!$E$5="Volume",$C$54&gt;0,Results!$E$4="Fluid"),((CD34*CD$51)/(CD$54)),IF(AND(Results!$E$4="Cells",Results!$E$5="Million",$B$52="million"),((CD34*CD$51)/(CD$52)),"0")))))</f>
        <v>0.43086666666666668</v>
      </c>
      <c r="CE87" s="20">
        <f>IF(CE34=0,"0",IF(AND(Results!$E$5="Protein",$C$53&gt;0,OR(Results!$E$4="Tissue",Results!$E$4="Cells")),((CE34*CE$51)/(CE$53)),IF(AND(Results!$E$5="Weight",$C$52&gt;0, Results!$E$4="Tissue",OR($B$52="g",$B$52="mg")),((CE34*CE$51)/(CE$52)),IF(AND(Results!$E$5="Volume",$C$54&gt;0,Results!$E$4="Fluid"),((CE34*CE$51)/(CE$54)),IF(AND(Results!$E$4="Cells",Results!$E$5="Million",$B$52="million"),((CE34*CE$51)/(CE$52)),"0")))))</f>
        <v>3.0249499999999996</v>
      </c>
      <c r="CF87" s="20">
        <f>IF(CF34=0,"0",IF(AND(Results!$E$5="Protein",$C$53&gt;0,OR(Results!$E$4="Tissue",Results!$E$4="Cells")),((CF34*CF$51)/(CF$53)),IF(AND(Results!$E$5="Weight",$C$52&gt;0, Results!$E$4="Tissue",OR($B$52="g",$B$52="mg")),((CF34*CF$51)/(CF$52)),IF(AND(Results!$E$5="Volume",$C$54&gt;0,Results!$E$4="Fluid"),((CF34*CF$51)/(CF$54)),IF(AND(Results!$E$4="Cells",Results!$E$5="Million",$B$52="million"),((CF34*CF$51)/(CF$52)),"0")))))</f>
        <v>0.47503333333333336</v>
      </c>
      <c r="CG87" s="20">
        <f>IF(CG34=0,"0",IF(AND(Results!$E$5="Protein",$C$53&gt;0,OR(Results!$E$4="Tissue",Results!$E$4="Cells")),((CG34*CG$51)/(CG$53)),IF(AND(Results!$E$5="Weight",$C$52&gt;0, Results!$E$4="Tissue",OR($B$52="g",$B$52="mg")),((CG34*CG$51)/(CG$52)),IF(AND(Results!$E$5="Volume",$C$54&gt;0,Results!$E$4="Fluid"),((CG34*CG$51)/(CG$54)),IF(AND(Results!$E$4="Cells",Results!$E$5="Million",$B$52="million"),((CG34*CG$51)/(CG$52)),"0")))))</f>
        <v>0.59916666666666674</v>
      </c>
      <c r="CH87" s="20">
        <f>IF(CH34=0,"0",IF(AND(Results!$E$5="Protein",$C$53&gt;0,OR(Results!$E$4="Tissue",Results!$E$4="Cells")),((CH34*CH$51)/(CH$53)),IF(AND(Results!$E$5="Weight",$C$52&gt;0, Results!$E$4="Tissue",OR($B$52="g",$B$52="mg")),((CH34*CH$51)/(CH$52)),IF(AND(Results!$E$5="Volume",$C$54&gt;0,Results!$E$4="Fluid"),((CH34*CH$51)/(CH$54)),IF(AND(Results!$E$4="Cells",Results!$E$5="Million",$B$52="million"),((CH34*CH$51)/(CH$52)),"0")))))</f>
        <v>0.46100000000000002</v>
      </c>
      <c r="CI87" s="20">
        <f>IF(CI34=0,"0",IF(AND(Results!$E$5="Protein",$C$53&gt;0,OR(Results!$E$4="Tissue",Results!$E$4="Cells")),((CI34*CI$51)/(CI$53)),IF(AND(Results!$E$5="Weight",$C$52&gt;0, Results!$E$4="Tissue",OR($B$52="g",$B$52="mg")),((CI34*CI$51)/(CI$52)),IF(AND(Results!$E$5="Volume",$C$54&gt;0,Results!$E$4="Fluid"),((CI34*CI$51)/(CI$54)),IF(AND(Results!$E$4="Cells",Results!$E$5="Million",$B$52="million"),((CI34*CI$51)/(CI$52)),"0")))))</f>
        <v>1.7525833333333334</v>
      </c>
      <c r="CJ87" s="20">
        <f>IF(CJ34=0,"0",IF(AND(Results!$E$5="Protein",$C$53&gt;0,OR(Results!$E$4="Tissue",Results!$E$4="Cells")),((CJ34*CJ$51)/(CJ$53)),IF(AND(Results!$E$5="Weight",$C$52&gt;0, Results!$E$4="Tissue",OR($B$52="g",$B$52="mg")),((CJ34*CJ$51)/(CJ$52)),IF(AND(Results!$E$5="Volume",$C$54&gt;0,Results!$E$4="Fluid"),((CJ34*CJ$51)/(CJ$54)),IF(AND(Results!$E$4="Cells",Results!$E$5="Million",$B$52="million"),((CJ34*CJ$51)/(CJ$52)),"0")))))</f>
        <v>0.29657777777777777</v>
      </c>
      <c r="CK87" s="20">
        <f>IF(CK34=0,"0",IF(AND(Results!$E$5="Protein",$C$53&gt;0,OR(Results!$E$4="Tissue",Results!$E$4="Cells")),((CK34*CK$51)/(CK$53)),IF(AND(Results!$E$5="Weight",$C$52&gt;0, Results!$E$4="Tissue",OR($B$52="g",$B$52="mg")),((CK34*CK$51)/(CK$52)),IF(AND(Results!$E$5="Volume",$C$54&gt;0,Results!$E$4="Fluid"),((CK34*CK$51)/(CK$54)),IF(AND(Results!$E$4="Cells",Results!$E$5="Million",$B$52="million"),((CK34*CK$51)/(CK$52)),"0")))))</f>
        <v>0.18283333333333332</v>
      </c>
      <c r="CL87" s="20">
        <f>IF(CL34=0,"0",IF(AND(Results!$E$5="Protein",$C$53&gt;0,OR(Results!$E$4="Tissue",Results!$E$4="Cells")),((CL34*CL$51)/(CL$53)),IF(AND(Results!$E$5="Weight",$C$52&gt;0, Results!$E$4="Tissue",OR($B$52="g",$B$52="mg")),((CL34*CL$51)/(CL$52)),IF(AND(Results!$E$5="Volume",$C$54&gt;0,Results!$E$4="Fluid"),((CL34*CL$51)/(CL$54)),IF(AND(Results!$E$4="Cells",Results!$E$5="Million",$B$52="million"),((CL34*CL$51)/(CL$52)),"0")))))</f>
        <v>0.37719999999999998</v>
      </c>
      <c r="CM87" s="20">
        <f>IF(CM34=0,"0",IF(AND(Results!$E$5="Protein",$C$53&gt;0,OR(Results!$E$4="Tissue",Results!$E$4="Cells")),((CM34*CM$51)/(CM$53)),IF(AND(Results!$E$5="Weight",$C$52&gt;0, Results!$E$4="Tissue",OR($B$52="g",$B$52="mg")),((CM34*CM$51)/(CM$52)),IF(AND(Results!$E$5="Volume",$C$54&gt;0,Results!$E$4="Fluid"),((CM34*CM$51)/(CM$54)),IF(AND(Results!$E$4="Cells",Results!$E$5="Million",$B$52="million"),((CM34*CM$51)/(CM$52)),"0")))))</f>
        <v>0.25240000000000001</v>
      </c>
      <c r="CN87" s="20">
        <f>IF(CN34=0,"0",IF(AND(Results!$E$5="Protein",$C$53&gt;0,OR(Results!$E$4="Tissue",Results!$E$4="Cells")),((CN34*CN$51)/(CN$53)),IF(AND(Results!$E$5="Weight",$C$52&gt;0, Results!$E$4="Tissue",OR($B$52="g",$B$52="mg")),((CN34*CN$51)/(CN$52)),IF(AND(Results!$E$5="Volume",$C$54&gt;0,Results!$E$4="Fluid"),((CN34*CN$51)/(CN$54)),IF(AND(Results!$E$4="Cells",Results!$E$5="Million",$B$52="million"),((CN34*CN$51)/(CN$52)),"0")))))</f>
        <v>0.19738333333333333</v>
      </c>
      <c r="CO87" s="20">
        <f>IF(CO34=0,"0",IF(AND(Results!$E$5="Protein",$C$53&gt;0,OR(Results!$E$4="Tissue",Results!$E$4="Cells")),((CO34*CO$51)/(CO$53)),IF(AND(Results!$E$5="Weight",$C$52&gt;0, Results!$E$4="Tissue",OR($B$52="g",$B$52="mg")),((CO34*CO$51)/(CO$52)),IF(AND(Results!$E$5="Volume",$C$54&gt;0,Results!$E$4="Fluid"),((CO34*CO$51)/(CO$54)),IF(AND(Results!$E$4="Cells",Results!$E$5="Million",$B$52="million"),((CO34*CO$51)/(CO$52)),"0")))))</f>
        <v>0.11006666666666667</v>
      </c>
      <c r="CP87" s="20">
        <f>IF(CP34=0,"0",IF(AND(Results!$E$5="Protein",$C$53&gt;0,OR(Results!$E$4="Tissue",Results!$E$4="Cells")),((CP34*CP$51)/(CP$53)),IF(AND(Results!$E$5="Weight",$C$52&gt;0, Results!$E$4="Tissue",OR($B$52="g",$B$52="mg")),((CP34*CP$51)/(CP$52)),IF(AND(Results!$E$5="Volume",$C$54&gt;0,Results!$E$4="Fluid"),((CP34*CP$51)/(CP$54)),IF(AND(Results!$E$4="Cells",Results!$E$5="Million",$B$52="million"),((CP34*CP$51)/(CP$52)),"0")))))</f>
        <v>0.87616666666666654</v>
      </c>
      <c r="CQ87" s="20">
        <f>IF(CQ34=0,"0",IF(AND(Results!$E$5="Protein",$C$53&gt;0,OR(Results!$E$4="Tissue",Results!$E$4="Cells")),((CQ34*CQ$51)/(CQ$53)),IF(AND(Results!$E$5="Weight",$C$52&gt;0, Results!$E$4="Tissue",OR($B$52="g",$B$52="mg")),((CQ34*CQ$51)/(CQ$52)),IF(AND(Results!$E$5="Volume",$C$54&gt;0,Results!$E$4="Fluid"),((CQ34*CQ$51)/(CQ$54)),IF(AND(Results!$E$4="Cells",Results!$E$5="Million",$B$52="million"),((CQ34*CQ$51)/(CQ$52)),"0")))))</f>
        <v>0.71406666666666652</v>
      </c>
      <c r="CR87" s="20">
        <f>IF(CR34=0,"0",IF(AND(Results!$E$5="Protein",$C$53&gt;0,OR(Results!$E$4="Tissue",Results!$E$4="Cells")),((CR34*CR$51)/(CR$53)),IF(AND(Results!$E$5="Weight",$C$52&gt;0, Results!$E$4="Tissue",OR($B$52="g",$B$52="mg")),((CR34*CR$51)/(CR$52)),IF(AND(Results!$E$5="Volume",$C$54&gt;0,Results!$E$4="Fluid"),((CR34*CR$51)/(CR$54)),IF(AND(Results!$E$4="Cells",Results!$E$5="Million",$B$52="million"),((CR34*CR$51)/(CR$52)),"0")))))</f>
        <v>0.77436666666666676</v>
      </c>
      <c r="CS87" s="20">
        <f>IF(CS34=0,"0",IF(AND(Results!$E$5="Protein",$C$53&gt;0,OR(Results!$E$4="Tissue",Results!$E$4="Cells")),((CS34*CS$51)/(CS$53)),IF(AND(Results!$E$5="Weight",$C$52&gt;0, Results!$E$4="Tissue",OR($B$52="g",$B$52="mg")),((CS34*CS$51)/(CS$52)),IF(AND(Results!$E$5="Volume",$C$54&gt;0,Results!$E$4="Fluid"),((CS34*CS$51)/(CS$54)),IF(AND(Results!$E$4="Cells",Results!$E$5="Million",$B$52="million"),((CS34*CS$51)/(CS$52)),"0")))))</f>
        <v>0.11488333333333335</v>
      </c>
      <c r="CT87" s="20">
        <f>IF(CT34=0,"0",IF(AND(Results!$E$5="Protein",$C$53&gt;0,OR(Results!$E$4="Tissue",Results!$E$4="Cells")),((CT34*CT$51)/(CT$53)),IF(AND(Results!$E$5="Weight",$C$52&gt;0, Results!$E$4="Tissue",OR($B$52="g",$B$52="mg")),((CT34*CT$51)/(CT$52)),IF(AND(Results!$E$5="Volume",$C$54&gt;0,Results!$E$4="Fluid"),((CT34*CT$51)/(CT$54)),IF(AND(Results!$E$4="Cells",Results!$E$5="Million",$B$52="million"),((CT34*CT$51)/(CT$52)),"0")))))</f>
        <v>0.51626666666666665</v>
      </c>
      <c r="CU87" s="20">
        <f>IF(CU34=0,"0",IF(AND(Results!$E$5="Protein",$C$53&gt;0,OR(Results!$E$4="Tissue",Results!$E$4="Cells")),((CU34*CU$51)/(CU$53)),IF(AND(Results!$E$5="Weight",$C$52&gt;0, Results!$E$4="Tissue",OR($B$52="g",$B$52="mg")),((CU34*CU$51)/(CU$52)),IF(AND(Results!$E$5="Volume",$C$54&gt;0,Results!$E$4="Fluid"),((CU34*CU$51)/(CU$54)),IF(AND(Results!$E$4="Cells",Results!$E$5="Million",$B$52="million"),((CU34*CU$51)/(CU$52)),"0")))))</f>
        <v>0.19729999999999998</v>
      </c>
      <c r="CV87" s="20">
        <f>IF(CV34=0,"0",IF(AND(Results!$E$5="Protein",$C$53&gt;0,OR(Results!$E$4="Tissue",Results!$E$4="Cells")),((CV34*CV$51)/(CV$53)),IF(AND(Results!$E$5="Weight",$C$52&gt;0, Results!$E$4="Tissue",OR($B$52="g",$B$52="mg")),((CV34*CV$51)/(CV$52)),IF(AND(Results!$E$5="Volume",$C$54&gt;0,Results!$E$4="Fluid"),((CV34*CV$51)/(CV$54)),IF(AND(Results!$E$4="Cells",Results!$E$5="Million",$B$52="million"),((CV34*CV$51)/(CV$52)),"0")))))</f>
        <v>6.1050000000000007E-2</v>
      </c>
      <c r="CW87" s="20">
        <f>IF(CW34=0,"0",IF(AND(Results!$E$5="Protein",$C$53&gt;0,OR(Results!$E$4="Tissue",Results!$E$4="Cells")),((CW34*CW$51)/(CW$53)),IF(AND(Results!$E$5="Weight",$C$52&gt;0, Results!$E$4="Tissue",OR($B$52="g",$B$52="mg")),((CW34*CW$51)/(CW$52)),IF(AND(Results!$E$5="Volume",$C$54&gt;0,Results!$E$4="Fluid"),((CW34*CW$51)/(CW$54)),IF(AND(Results!$E$4="Cells",Results!$E$5="Million",$B$52="million"),((CW34*CW$51)/(CW$52)),"0")))))</f>
        <v>0.5158666666666667</v>
      </c>
      <c r="CX87" s="20">
        <f>IF(CX34=0,"0",IF(AND(Results!$E$5="Protein",$C$53&gt;0,OR(Results!$E$4="Tissue",Results!$E$4="Cells")),((CX34*CX$51)/(CX$53)),IF(AND(Results!$E$5="Weight",$C$52&gt;0, Results!$E$4="Tissue",OR($B$52="g",$B$52="mg")),((CX34*CX$51)/(CX$52)),IF(AND(Results!$E$5="Volume",$C$54&gt;0,Results!$E$4="Fluid"),((CX34*CX$51)/(CX$54)),IF(AND(Results!$E$4="Cells",Results!$E$5="Million",$B$52="million"),((CX34*CX$51)/(CX$52)),"0")))))</f>
        <v>0.22430000000000003</v>
      </c>
      <c r="CY87" s="20">
        <f>IF(CY34=0,"0",IF(AND(Results!$E$5="Protein",$C$53&gt;0,OR(Results!$E$4="Tissue",Results!$E$4="Cells")),((CY34*CY$51)/(CY$53)),IF(AND(Results!$E$5="Weight",$C$52&gt;0, Results!$E$4="Tissue",OR($B$52="g",$B$52="mg")),((CY34*CY$51)/(CY$52)),IF(AND(Results!$E$5="Volume",$C$54&gt;0,Results!$E$4="Fluid"),((CY34*CY$51)/(CY$54)),IF(AND(Results!$E$4="Cells",Results!$E$5="Million",$B$52="million"),((CY34*CY$51)/(CY$52)),"0")))))</f>
        <v>0.40798333333333336</v>
      </c>
      <c r="CZ87" s="20">
        <f>IF(CZ34=0,"0",IF(AND(Results!$E$5="Protein",$C$53&gt;0,OR(Results!$E$4="Tissue",Results!$E$4="Cells")),((CZ34*CZ$51)/(CZ$53)),IF(AND(Results!$E$5="Weight",$C$52&gt;0, Results!$E$4="Tissue",OR($B$52="g",$B$52="mg")),((CZ34*CZ$51)/(CZ$52)),IF(AND(Results!$E$5="Volume",$C$54&gt;0,Results!$E$4="Fluid"),((CZ34*CZ$51)/(CZ$54)),IF(AND(Results!$E$4="Cells",Results!$E$5="Million",$B$52="million"),((CZ34*CZ$51)/(CZ$52)),"0")))))</f>
        <v>0.37680000000000002</v>
      </c>
      <c r="DA87" s="20">
        <f>IF(DA34=0,"0",IF(AND(Results!$E$5="Protein",$C$53&gt;0,OR(Results!$E$4="Tissue",Results!$E$4="Cells")),((DA34*DA$51)/(DA$53)),IF(AND(Results!$E$5="Weight",$C$52&gt;0, Results!$E$4="Tissue",OR($B$52="g",$B$52="mg")),((DA34*DA$51)/(DA$52)),IF(AND(Results!$E$5="Volume",$C$54&gt;0,Results!$E$4="Fluid"),((DA34*DA$51)/(DA$54)),IF(AND(Results!$E$4="Cells",Results!$E$5="Million",$B$52="million"),((DA34*DA$51)/(DA$52)),"0")))))</f>
        <v>0.13793333333333332</v>
      </c>
      <c r="DB87" s="20">
        <f>IF(DB34=0,"0",IF(AND(Results!$E$5="Protein",$C$53&gt;0,OR(Results!$E$4="Tissue",Results!$E$4="Cells")),((DB34*DB$51)/(DB$53)),IF(AND(Results!$E$5="Weight",$C$52&gt;0, Results!$E$4="Tissue",OR($B$52="g",$B$52="mg")),((DB34*DB$51)/(DB$52)),IF(AND(Results!$E$5="Volume",$C$54&gt;0,Results!$E$4="Fluid"),((DB34*DB$51)/(DB$54)),IF(AND(Results!$E$4="Cells",Results!$E$5="Million",$B$52="million"),((DB34*DB$51)/(DB$52)),"0")))))</f>
        <v>0.31678333333333336</v>
      </c>
      <c r="DC87" s="20">
        <f>IF(DC34=0,"0",IF(AND(Results!$E$5="Protein",$C$53&gt;0,OR(Results!$E$4="Tissue",Results!$E$4="Cells")),((DC34*DC$51)/(DC$53)),IF(AND(Results!$E$5="Weight",$C$52&gt;0, Results!$E$4="Tissue",OR($B$52="g",$B$52="mg")),((DC34*DC$51)/(DC$52)),IF(AND(Results!$E$5="Volume",$C$54&gt;0,Results!$E$4="Fluid"),((DC34*DC$51)/(DC$54)),IF(AND(Results!$E$4="Cells",Results!$E$5="Million",$B$52="million"),((DC34*DC$51)/(DC$52)),"0")))))</f>
        <v>0.17706666666666668</v>
      </c>
      <c r="DD87" s="20">
        <f>IF(DD34=0,"0",IF(AND(Results!$E$5="Protein",$C$53&gt;0,OR(Results!$E$4="Tissue",Results!$E$4="Cells")),((DD34*DD$51)/(DD$53)),IF(AND(Results!$E$5="Weight",$C$52&gt;0, Results!$E$4="Tissue",OR($B$52="g",$B$52="mg")),((DD34*DD$51)/(DD$52)),IF(AND(Results!$E$5="Volume",$C$54&gt;0,Results!$E$4="Fluid"),((DD34*DD$51)/(DD$54)),IF(AND(Results!$E$4="Cells",Results!$E$5="Million",$B$52="million"),((DD34*DD$51)/(DD$52)),"0")))))</f>
        <v>9.0766666666666662E-2</v>
      </c>
      <c r="DE87" s="20">
        <f>IF(DE34=0,"0",IF(AND(Results!$E$5="Protein",$C$53&gt;0,OR(Results!$E$4="Tissue",Results!$E$4="Cells")),((DE34*DE$51)/(DE$53)),IF(AND(Results!$E$5="Weight",$C$52&gt;0, Results!$E$4="Tissue",OR($B$52="g",$B$52="mg")),((DE34*DE$51)/(DE$52)),IF(AND(Results!$E$5="Volume",$C$54&gt;0,Results!$E$4="Fluid"),((DE34*DE$51)/(DE$54)),IF(AND(Results!$E$4="Cells",Results!$E$5="Million",$B$52="million"),((DE34*DE$51)/(DE$52)),"0")))))</f>
        <v>0.53621666666666667</v>
      </c>
      <c r="DF87" s="20">
        <f>IF(DF34=0,"0",IF(AND(Results!$E$5="Protein",$C$53&gt;0,OR(Results!$E$4="Tissue",Results!$E$4="Cells")),((DF34*DF$51)/(DF$53)),IF(AND(Results!$E$5="Weight",$C$52&gt;0, Results!$E$4="Tissue",OR($B$52="g",$B$52="mg")),((DF34*DF$51)/(DF$52)),IF(AND(Results!$E$5="Volume",$C$54&gt;0,Results!$E$4="Fluid"),((DF34*DF$51)/(DF$54)),IF(AND(Results!$E$4="Cells",Results!$E$5="Million",$B$52="million"),((DF34*DF$51)/(DF$52)),"0")))))</f>
        <v>0.83791666666666664</v>
      </c>
      <c r="DG87" s="20">
        <f>IF(DG34=0,"0",IF(AND(Results!$E$5="Protein",$C$53&gt;0,OR(Results!$E$4="Tissue",Results!$E$4="Cells")),((DG34*DG$51)/(DG$53)),IF(AND(Results!$E$5="Weight",$C$52&gt;0, Results!$E$4="Tissue",OR($B$52="g",$B$52="mg")),((DG34*DG$51)/(DG$52)),IF(AND(Results!$E$5="Volume",$C$54&gt;0,Results!$E$4="Fluid"),((DG34*DG$51)/(DG$54)),IF(AND(Results!$E$4="Cells",Results!$E$5="Million",$B$52="million"),((DG34*DG$51)/(DG$52)),"0")))))</f>
        <v>0.9180666666666667</v>
      </c>
      <c r="DH87" s="20">
        <f>IF(DH34=0,"0",IF(AND(Results!$E$5="Protein",$C$53&gt;0,OR(Results!$E$4="Tissue",Results!$E$4="Cells")),((DH34*DH$51)/(DH$53)),IF(AND(Results!$E$5="Weight",$C$52&gt;0, Results!$E$4="Tissue",OR($B$52="g",$B$52="mg")),((DH34*DH$51)/(DH$52)),IF(AND(Results!$E$5="Volume",$C$54&gt;0,Results!$E$4="Fluid"),((DH34*DH$51)/(DH$54)),IF(AND(Results!$E$4="Cells",Results!$E$5="Million",$B$52="million"),((DH34*DH$51)/(DH$52)),"0")))))</f>
        <v>-5.0000000000000001E-4</v>
      </c>
      <c r="DI87" s="20">
        <f>IF(DI34=0,"0",IF(AND(Results!$E$5="Protein",$C$53&gt;0,OR(Results!$E$4="Tissue",Results!$E$4="Cells")),((DI34*DI$51)/(DI$53)),IF(AND(Results!$E$5="Weight",$C$52&gt;0, Results!$E$4="Tissue",OR($B$52="g",$B$52="mg")),((DI34*DI$51)/(DI$52)),IF(AND(Results!$E$5="Volume",$C$54&gt;0,Results!$E$4="Fluid"),((DI34*DI$51)/(DI$54)),IF(AND(Results!$E$4="Cells",Results!$E$5="Million",$B$52="million"),((DI34*DI$51)/(DI$52)),"0")))))</f>
        <v>0.26513333333333333</v>
      </c>
      <c r="DJ87" s="20">
        <f>IF(DJ34=0,"0",IF(AND(Results!$E$5="Protein",$C$53&gt;0,OR(Results!$E$4="Tissue",Results!$E$4="Cells")),((DJ34*DJ$51)/(DJ$53)),IF(AND(Results!$E$5="Weight",$C$52&gt;0, Results!$E$4="Tissue",OR($B$52="g",$B$52="mg")),((DJ34*DJ$51)/(DJ$52)),IF(AND(Results!$E$5="Volume",$C$54&gt;0,Results!$E$4="Fluid"),((DJ34*DJ$51)/(DJ$54)),IF(AND(Results!$E$4="Cells",Results!$E$5="Million",$B$52="million"),((DJ34*DJ$51)/(DJ$52)),"0")))))</f>
        <v>0.93394999999999995</v>
      </c>
      <c r="DK87" s="20">
        <f>IF(DK34=0,"0",IF(AND(Results!$E$5="Protein",$C$53&gt;0,OR(Results!$E$4="Tissue",Results!$E$4="Cells")),((DK34*DK$51)/(DK$53)),IF(AND(Results!$E$5="Weight",$C$52&gt;0, Results!$E$4="Tissue",OR($B$52="g",$B$52="mg")),((DK34*DK$51)/(DK$52)),IF(AND(Results!$E$5="Volume",$C$54&gt;0,Results!$E$4="Fluid"),((DK34*DK$51)/(DK$54)),IF(AND(Results!$E$4="Cells",Results!$E$5="Million",$B$52="million"),((DK34*DK$51)/(DK$52)),"0")))))</f>
        <v>3.965066666666667</v>
      </c>
      <c r="DL87" s="20">
        <f>IF(DL34=0,"0",IF(AND(Results!$E$5="Protein",$C$53&gt;0,OR(Results!$E$4="Tissue",Results!$E$4="Cells")),((DL34*DL$51)/(DL$53)),IF(AND(Results!$E$5="Weight",$C$52&gt;0, Results!$E$4="Tissue",OR($B$52="g",$B$52="mg")),((DL34*DL$51)/(DL$52)),IF(AND(Results!$E$5="Volume",$C$54&gt;0,Results!$E$4="Fluid"),((DL34*DL$51)/(DL$54)),IF(AND(Results!$E$4="Cells",Results!$E$5="Million",$B$52="million"),((DL34*DL$51)/(DL$52)),"0")))))</f>
        <v>-1.3500000000000002E-2</v>
      </c>
      <c r="DM87" s="20">
        <f>IF(DM34=0,"0",IF(AND(Results!$E$5="Protein",$C$53&gt;0,OR(Results!$E$4="Tissue",Results!$E$4="Cells")),((DM34*DM$51)/(DM$53)),IF(AND(Results!$E$5="Weight",$C$52&gt;0, Results!$E$4="Tissue",OR($B$52="g",$B$52="mg")),((DM34*DM$51)/(DM$52)),IF(AND(Results!$E$5="Volume",$C$54&gt;0,Results!$E$4="Fluid"),((DM34*DM$51)/(DM$54)),IF(AND(Results!$E$4="Cells",Results!$E$5="Million",$B$52="million"),((DM34*DM$51)/(DM$52)),"0")))))</f>
        <v>0.21195</v>
      </c>
      <c r="DN87" s="20">
        <f>IF(DN34=0,"0",IF(AND(Results!$E$5="Protein",$C$53&gt;0,OR(Results!$E$4="Tissue",Results!$E$4="Cells")),((DN34*DN$51)/(DN$53)),IF(AND(Results!$E$5="Weight",$C$52&gt;0, Results!$E$4="Tissue",OR($B$52="g",$B$52="mg")),((DN34*DN$51)/(DN$52)),IF(AND(Results!$E$5="Volume",$C$54&gt;0,Results!$E$4="Fluid"),((DN34*DN$51)/(DN$54)),IF(AND(Results!$E$4="Cells",Results!$E$5="Million",$B$52="million"),((DN34*DN$51)/(DN$52)),"0")))))</f>
        <v>0.42849999999999999</v>
      </c>
      <c r="DO87" s="20">
        <f>IF(DO34=0,"0",IF(AND(Results!$E$5="Protein",$C$53&gt;0,OR(Results!$E$4="Tissue",Results!$E$4="Cells")),((DO34*DO$51)/(DO$53)),IF(AND(Results!$E$5="Weight",$C$52&gt;0, Results!$E$4="Tissue",OR($B$52="g",$B$52="mg")),((DO34*DO$51)/(DO$52)),IF(AND(Results!$E$5="Volume",$C$54&gt;0,Results!$E$4="Fluid"),((DO34*DO$51)/(DO$54)),IF(AND(Results!$E$4="Cells",Results!$E$5="Million",$B$52="million"),((DO34*DO$51)/(DO$52)),"0")))))</f>
        <v>0.19748333333333334</v>
      </c>
      <c r="DP87" s="20">
        <f>IF(DP34=0,"0",IF(AND(Results!$E$5="Protein",$C$53&gt;0,OR(Results!$E$4="Tissue",Results!$E$4="Cells")),((DP34*DP$51)/(DP$53)),IF(AND(Results!$E$5="Weight",$C$52&gt;0, Results!$E$4="Tissue",OR($B$52="g",$B$52="mg")),((DP34*DP$51)/(DP$52)),IF(AND(Results!$E$5="Volume",$C$54&gt;0,Results!$E$4="Fluid"),((DP34*DP$51)/(DP$54)),IF(AND(Results!$E$4="Cells",Results!$E$5="Million",$B$52="million"),((DP34*DP$51)/(DP$52)),"0")))))</f>
        <v>0.98240000000000005</v>
      </c>
      <c r="DQ87" s="20">
        <f>IF(DQ34=0,"0",IF(AND(Results!$E$5="Protein",$C$53&gt;0,OR(Results!$E$4="Tissue",Results!$E$4="Cells")),((DQ34*DQ$51)/(DQ$53)),IF(AND(Results!$E$5="Weight",$C$52&gt;0, Results!$E$4="Tissue",OR($B$52="g",$B$52="mg")),((DQ34*DQ$51)/(DQ$52)),IF(AND(Results!$E$5="Volume",$C$54&gt;0,Results!$E$4="Fluid"),((DQ34*DQ$51)/(DQ$54)),IF(AND(Results!$E$4="Cells",Results!$E$5="Million",$B$52="million"),((DQ34*DQ$51)/(DQ$52)),"0")))))</f>
        <v>0.4467166666666666</v>
      </c>
      <c r="DR87" s="20">
        <f>IF(DR34=0,"0",IF(AND(Results!$E$5="Protein",$C$53&gt;0,OR(Results!$E$4="Tissue",Results!$E$4="Cells")),((DR34*DR$51)/(DR$53)),IF(AND(Results!$E$5="Weight",$C$52&gt;0, Results!$E$4="Tissue",OR($B$52="g",$B$52="mg")),((DR34*DR$51)/(DR$52)),IF(AND(Results!$E$5="Volume",$C$54&gt;0,Results!$E$4="Fluid"),((DR34*DR$51)/(DR$54)),IF(AND(Results!$E$4="Cells",Results!$E$5="Million",$B$52="million"),((DR34*DR$51)/(DR$52)),"0")))))</f>
        <v>0.1211</v>
      </c>
      <c r="DS87" s="20">
        <f>IF(DS34=0,"0",IF(AND(Results!$E$5="Protein",$C$53&gt;0,OR(Results!$E$4="Tissue",Results!$E$4="Cells")),((DS34*DS$51)/(DS$53)),IF(AND(Results!$E$5="Weight",$C$52&gt;0, Results!$E$4="Tissue",OR($B$52="g",$B$52="mg")),((DS34*DS$51)/(DS$52)),IF(AND(Results!$E$5="Volume",$C$54&gt;0,Results!$E$4="Fluid"),((DS34*DS$51)/(DS$54)),IF(AND(Results!$E$4="Cells",Results!$E$5="Million",$B$52="million"),((DS34*DS$51)/(DS$52)),"0")))))</f>
        <v>0.23773333333333332</v>
      </c>
      <c r="DT87" s="20">
        <f>IF(DT34=0,"0",IF(AND(Results!$E$5="Protein",$C$53&gt;0,OR(Results!$E$4="Tissue",Results!$E$4="Cells")),((DT34*DT$51)/(DT$53)),IF(AND(Results!$E$5="Weight",$C$52&gt;0, Results!$E$4="Tissue",OR($B$52="g",$B$52="mg")),((DT34*DT$51)/(DT$52)),IF(AND(Results!$E$5="Volume",$C$54&gt;0,Results!$E$4="Fluid"),((DT34*DT$51)/(DT$54)),IF(AND(Results!$E$4="Cells",Results!$E$5="Million",$B$52="million"),((DT34*DT$51)/(DT$52)),"0")))))</f>
        <v>0.20873333333333333</v>
      </c>
      <c r="DU87" s="20">
        <f>IF(DU34=0,"0",IF(AND(Results!$E$5="Protein",$C$53&gt;0,OR(Results!$E$4="Tissue",Results!$E$4="Cells")),((DU34*DU$51)/(DU$53)),IF(AND(Results!$E$5="Weight",$C$52&gt;0, Results!$E$4="Tissue",OR($B$52="g",$B$52="mg")),((DU34*DU$51)/(DU$52)),IF(AND(Results!$E$5="Volume",$C$54&gt;0,Results!$E$4="Fluid"),((DU34*DU$51)/(DU$54)),IF(AND(Results!$E$4="Cells",Results!$E$5="Million",$B$52="million"),((DU34*DU$51)/(DU$52)),"0")))))</f>
        <v>1.7006500000000002</v>
      </c>
      <c r="DV87" s="20">
        <f>IF(DV34=0,"0",IF(AND(Results!$E$5="Protein",$C$53&gt;0,OR(Results!$E$4="Tissue",Results!$E$4="Cells")),((DV34*DV$51)/(DV$53)),IF(AND(Results!$E$5="Weight",$C$52&gt;0, Results!$E$4="Tissue",OR($B$52="g",$B$52="mg")),((DV34*DV$51)/(DV$52)),IF(AND(Results!$E$5="Volume",$C$54&gt;0,Results!$E$4="Fluid"),((DV34*DV$51)/(DV$54)),IF(AND(Results!$E$4="Cells",Results!$E$5="Million",$B$52="million"),((DV34*DV$51)/(DV$52)),"0")))))</f>
        <v>0.36186666666666661</v>
      </c>
      <c r="DW87" s="20">
        <f>IF(DW34=0,"0",IF(AND(Results!$E$5="Protein",$C$53&gt;0,OR(Results!$E$4="Tissue",Results!$E$4="Cells")),((DW34*DW$51)/(DW$53)),IF(AND(Results!$E$5="Weight",$C$52&gt;0, Results!$E$4="Tissue",OR($B$52="g",$B$52="mg")),((DW34*DW$51)/(DW$52)),IF(AND(Results!$E$5="Volume",$C$54&gt;0,Results!$E$4="Fluid"),((DW34*DW$51)/(DW$54)),IF(AND(Results!$E$4="Cells",Results!$E$5="Million",$B$52="million"),((DW34*DW$51)/(DW$52)),"0")))))</f>
        <v>1.1689333333333332</v>
      </c>
      <c r="DX87" s="20">
        <f>IF(DX34=0,"0",IF(AND(Results!$E$5="Protein",$C$53&gt;0,OR(Results!$E$4="Tissue",Results!$E$4="Cells")),((DX34*DX$51)/(DX$53)),IF(AND(Results!$E$5="Weight",$C$52&gt;0, Results!$E$4="Tissue",OR($B$52="g",$B$52="mg")),((DX34*DX$51)/(DX$52)),IF(AND(Results!$E$5="Volume",$C$54&gt;0,Results!$E$4="Fluid"),((DX34*DX$51)/(DX$54)),IF(AND(Results!$E$4="Cells",Results!$E$5="Million",$B$52="million"),((DX34*DX$51)/(DX$52)),"0")))))</f>
        <v>0.16389999999999999</v>
      </c>
      <c r="DY87" s="20">
        <f>IF(DY34=0,"0",IF(AND(Results!$E$5="Protein",$C$53&gt;0,OR(Results!$E$4="Tissue",Results!$E$4="Cells")),((DY34*DY$51)/(DY$53)),IF(AND(Results!$E$5="Weight",$C$52&gt;0, Results!$E$4="Tissue",OR($B$52="g",$B$52="mg")),((DY34*DY$51)/(DY$52)),IF(AND(Results!$E$5="Volume",$C$54&gt;0,Results!$E$4="Fluid"),((DY34*DY$51)/(DY$54)),IF(AND(Results!$E$4="Cells",Results!$E$5="Million",$B$52="million"),((DY34*DY$51)/(DY$52)),"0")))))</f>
        <v>0.39838333333333331</v>
      </c>
      <c r="DZ87" s="20">
        <f>IF(DZ34=0,"0",IF(AND(Results!$E$5="Protein",$C$53&gt;0,OR(Results!$E$4="Tissue",Results!$E$4="Cells")),((DZ34*DZ$51)/(DZ$53)),IF(AND(Results!$E$5="Weight",$C$52&gt;0, Results!$E$4="Tissue",OR($B$52="g",$B$52="mg")),((DZ34*DZ$51)/(DZ$52)),IF(AND(Results!$E$5="Volume",$C$54&gt;0,Results!$E$4="Fluid"),((DZ34*DZ$51)/(DZ$54)),IF(AND(Results!$E$4="Cells",Results!$E$5="Million",$B$52="million"),((DZ34*DZ$51)/(DZ$52)),"0")))))</f>
        <v>0.97383333333333333</v>
      </c>
      <c r="EA87" s="20">
        <f>IF(EA34=0,"0",IF(AND(Results!$E$5="Protein",$C$53&gt;0,OR(Results!$E$4="Tissue",Results!$E$4="Cells")),((EA34*EA$51)/(EA$53)),IF(AND(Results!$E$5="Weight",$C$52&gt;0, Results!$E$4="Tissue",OR($B$52="g",$B$52="mg")),((EA34*EA$51)/(EA$52)),IF(AND(Results!$E$5="Volume",$C$54&gt;0,Results!$E$4="Fluid"),((EA34*EA$51)/(EA$54)),IF(AND(Results!$E$4="Cells",Results!$E$5="Million",$B$52="million"),((EA34*EA$51)/(EA$52)),"0")))))</f>
        <v>0.37233333333333335</v>
      </c>
      <c r="EB87" s="20">
        <f>IF(EB34=0,"0",IF(AND(Results!$E$5="Protein",$C$53&gt;0,OR(Results!$E$4="Tissue",Results!$E$4="Cells")),((EB34*EB$51)/(EB$53)),IF(AND(Results!$E$5="Weight",$C$52&gt;0, Results!$E$4="Tissue",OR($B$52="g",$B$52="mg")),((EB34*EB$51)/(EB$52)),IF(AND(Results!$E$5="Volume",$C$54&gt;0,Results!$E$4="Fluid"),((EB34*EB$51)/(EB$54)),IF(AND(Results!$E$4="Cells",Results!$E$5="Million",$B$52="million"),((EB34*EB$51)/(EB$52)),"0")))))</f>
        <v>0.21146666666666664</v>
      </c>
      <c r="EC87" s="20">
        <f>IF(EC34=0,"0",IF(AND(Results!$E$5="Protein",$C$53&gt;0,OR(Results!$E$4="Tissue",Results!$E$4="Cells")),((EC34*EC$51)/(EC$53)),IF(AND(Results!$E$5="Weight",$C$52&gt;0, Results!$E$4="Tissue",OR($B$52="g",$B$52="mg")),((EC34*EC$51)/(EC$52)),IF(AND(Results!$E$5="Volume",$C$54&gt;0,Results!$E$4="Fluid"),((EC34*EC$51)/(EC$54)),IF(AND(Results!$E$4="Cells",Results!$E$5="Million",$B$52="million"),((EC34*EC$51)/(EC$52)),"0")))))</f>
        <v>0.54273333333333329</v>
      </c>
      <c r="ED87" s="20">
        <f>IF(ED34=0,"0",IF(AND(Results!$E$5="Protein",$C$53&gt;0,OR(Results!$E$4="Tissue",Results!$E$4="Cells")),((ED34*ED$51)/(ED$53)),IF(AND(Results!$E$5="Weight",$C$52&gt;0, Results!$E$4="Tissue",OR($B$52="g",$B$52="mg")),((ED34*ED$51)/(ED$52)),IF(AND(Results!$E$5="Volume",$C$54&gt;0,Results!$E$4="Fluid"),((ED34*ED$51)/(ED$54)),IF(AND(Results!$E$4="Cells",Results!$E$5="Million",$B$52="million"),((ED34*ED$51)/(ED$52)),"0")))))</f>
        <v>0.33901666666666669</v>
      </c>
      <c r="EE87" s="20">
        <f>IF(EE34=0,"0",IF(AND(Results!$E$5="Protein",$C$53&gt;0,OR(Results!$E$4="Tissue",Results!$E$4="Cells")),((EE34*EE$51)/(EE$53)),IF(AND(Results!$E$5="Weight",$C$52&gt;0, Results!$E$4="Tissue",OR($B$52="g",$B$52="mg")),((EE34*EE$51)/(EE$52)),IF(AND(Results!$E$5="Volume",$C$54&gt;0,Results!$E$4="Fluid"),((EE34*EE$51)/(EE$54)),IF(AND(Results!$E$4="Cells",Results!$E$5="Million",$B$52="million"),((EE34*EE$51)/(EE$52)),"0")))))</f>
        <v>8.5833333333333345E-2</v>
      </c>
      <c r="EF87" s="20">
        <f>IF(EF34=0,"0",IF(AND(Results!$E$5="Protein",$C$53&gt;0,OR(Results!$E$4="Tissue",Results!$E$4="Cells")),((EF34*EF$51)/(EF$53)),IF(AND(Results!$E$5="Weight",$C$52&gt;0, Results!$E$4="Tissue",OR($B$52="g",$B$52="mg")),((EF34*EF$51)/(EF$52)),IF(AND(Results!$E$5="Volume",$C$54&gt;0,Results!$E$4="Fluid"),((EF34*EF$51)/(EF$54)),IF(AND(Results!$E$4="Cells",Results!$E$5="Million",$B$52="million"),((EF34*EF$51)/(EF$52)),"0")))))</f>
        <v>0.58991666666666664</v>
      </c>
      <c r="EG87" s="20">
        <f>IF(EG34=0,"0",IF(AND(Results!$E$5="Protein",$C$53&gt;0,OR(Results!$E$4="Tissue",Results!$E$4="Cells")),((EG34*EG$51)/(EG$53)),IF(AND(Results!$E$5="Weight",$C$52&gt;0, Results!$E$4="Tissue",OR($B$52="g",$B$52="mg")),((EG34*EG$51)/(EG$52)),IF(AND(Results!$E$5="Volume",$C$54&gt;0,Results!$E$4="Fluid"),((EG34*EG$51)/(EG$54)),IF(AND(Results!$E$4="Cells",Results!$E$5="Million",$B$52="million"),((EG34*EG$51)/(EG$52)),"0")))))</f>
        <v>0.64008333333333334</v>
      </c>
      <c r="EH87" s="20">
        <f>IF(EH34=0,"0",IF(AND(Results!$E$5="Protein",$C$53&gt;0,OR(Results!$E$4="Tissue",Results!$E$4="Cells")),((EH34*EH$51)/(EH$53)),IF(AND(Results!$E$5="Weight",$C$52&gt;0, Results!$E$4="Tissue",OR($B$52="g",$B$52="mg")),((EH34*EH$51)/(EH$52)),IF(AND(Results!$E$5="Volume",$C$54&gt;0,Results!$E$4="Fluid"),((EH34*EH$51)/(EH$54)),IF(AND(Results!$E$4="Cells",Results!$E$5="Million",$B$52="million"),((EH34*EH$51)/(EH$52)),"0")))))</f>
        <v>0.62423333333333331</v>
      </c>
      <c r="EI87" s="20">
        <f>IF(EI34=0,"0",IF(AND(Results!$E$5="Protein",$C$53&gt;0,OR(Results!$E$4="Tissue",Results!$E$4="Cells")),((EI34*EI$51)/(EI$53)),IF(AND(Results!$E$5="Weight",$C$52&gt;0, Results!$E$4="Tissue",OR($B$52="g",$B$52="mg")),((EI34*EI$51)/(EI$52)),IF(AND(Results!$E$5="Volume",$C$54&gt;0,Results!$E$4="Fluid"),((EI34*EI$51)/(EI$54)),IF(AND(Results!$E$4="Cells",Results!$E$5="Million",$B$52="million"),((EI34*EI$51)/(EI$52)),"0")))))</f>
        <v>5.0349999999999999E-2</v>
      </c>
      <c r="EJ87" s="20">
        <f>IF(EJ34=0,"0",IF(AND(Results!$E$5="Protein",$C$53&gt;0,OR(Results!$E$4="Tissue",Results!$E$4="Cells")),((EJ34*EJ$51)/(EJ$53)),IF(AND(Results!$E$5="Weight",$C$52&gt;0, Results!$E$4="Tissue",OR($B$52="g",$B$52="mg")),((EJ34*EJ$51)/(EJ$52)),IF(AND(Results!$E$5="Volume",$C$54&gt;0,Results!$E$4="Fluid"),((EJ34*EJ$51)/(EJ$54)),IF(AND(Results!$E$4="Cells",Results!$E$5="Million",$B$52="million"),((EJ34*EJ$51)/(EJ$52)),"0")))))</f>
        <v>0.78575000000000006</v>
      </c>
      <c r="EK87" s="20">
        <f>IF(EK34=0,"0",IF(AND(Results!$E$5="Protein",$C$53&gt;0,OR(Results!$E$4="Tissue",Results!$E$4="Cells")),((EK34*EK$51)/(EK$53)),IF(AND(Results!$E$5="Weight",$C$52&gt;0, Results!$E$4="Tissue",OR($B$52="g",$B$52="mg")),((EK34*EK$51)/(EK$52)),IF(AND(Results!$E$5="Volume",$C$54&gt;0,Results!$E$4="Fluid"),((EK34*EK$51)/(EK$54)),IF(AND(Results!$E$4="Cells",Results!$E$5="Million",$B$52="million"),((EK34*EK$51)/(EK$52)),"0")))))</f>
        <v>0.39265</v>
      </c>
      <c r="EL87" s="20">
        <f>IF(EL34=0,"0",IF(AND(Results!$E$5="Protein",$C$53&gt;0,OR(Results!$E$4="Tissue",Results!$E$4="Cells")),((EL34*EL$51)/(EL$53)),IF(AND(Results!$E$5="Weight",$C$52&gt;0, Results!$E$4="Tissue",OR($B$52="g",$B$52="mg")),((EL34*EL$51)/(EL$52)),IF(AND(Results!$E$5="Volume",$C$54&gt;0,Results!$E$4="Fluid"),((EL34*EL$51)/(EL$54)),IF(AND(Results!$E$4="Cells",Results!$E$5="Million",$B$52="million"),((EL34*EL$51)/(EL$52)),"0")))))</f>
        <v>0.2469166666666667</v>
      </c>
      <c r="EM87" s="20">
        <f>IF(EM34=0,"0",IF(AND(Results!$E$5="Protein",$C$53&gt;0,OR(Results!$E$4="Tissue",Results!$E$4="Cells")),((EM34*EM$51)/(EM$53)),IF(AND(Results!$E$5="Weight",$C$52&gt;0, Results!$E$4="Tissue",OR($B$52="g",$B$52="mg")),((EM34*EM$51)/(EM$52)),IF(AND(Results!$E$5="Volume",$C$54&gt;0,Results!$E$4="Fluid"),((EM34*EM$51)/(EM$54)),IF(AND(Results!$E$4="Cells",Results!$E$5="Million",$B$52="million"),((EM34*EM$51)/(EM$52)),"0")))))</f>
        <v>4.1524999999999999</v>
      </c>
      <c r="EN87" s="20">
        <f>IF(EN34=0,"0",IF(AND(Results!$E$5="Protein",$C$53&gt;0,OR(Results!$E$4="Tissue",Results!$E$4="Cells")),((EN34*EN$51)/(EN$53)),IF(AND(Results!$E$5="Weight",$C$52&gt;0, Results!$E$4="Tissue",OR($B$52="g",$B$52="mg")),((EN34*EN$51)/(EN$52)),IF(AND(Results!$E$5="Volume",$C$54&gt;0,Results!$E$4="Fluid"),((EN34*EN$51)/(EN$54)),IF(AND(Results!$E$4="Cells",Results!$E$5="Million",$B$52="million"),((EN34*EN$51)/(EN$52)),"0")))))</f>
        <v>0.88701666666666656</v>
      </c>
      <c r="EO87" s="20">
        <f>IF(EO34=0,"0",IF(AND(Results!$E$5="Protein",$C$53&gt;0,OR(Results!$E$4="Tissue",Results!$E$4="Cells")),((EO34*EO$51)/(EO$53)),IF(AND(Results!$E$5="Weight",$C$52&gt;0, Results!$E$4="Tissue",OR($B$52="g",$B$52="mg")),((EO34*EO$51)/(EO$52)),IF(AND(Results!$E$5="Volume",$C$54&gt;0,Results!$E$4="Fluid"),((EO34*EO$51)/(EO$54)),IF(AND(Results!$E$4="Cells",Results!$E$5="Million",$B$52="million"),((EO34*EO$51)/(EO$52)),"0")))))</f>
        <v>0.47591666666666665</v>
      </c>
      <c r="EP87" s="20">
        <f>IF(EP34=0,"0",IF(AND(Results!$E$5="Protein",$C$53&gt;0,OR(Results!$E$4="Tissue",Results!$E$4="Cells")),((EP34*EP$51)/(EP$53)),IF(AND(Results!$E$5="Weight",$C$52&gt;0, Results!$E$4="Tissue",OR($B$52="g",$B$52="mg")),((EP34*EP$51)/(EP$52)),IF(AND(Results!$E$5="Volume",$C$54&gt;0,Results!$E$4="Fluid"),((EP34*EP$51)/(EP$54)),IF(AND(Results!$E$4="Cells",Results!$E$5="Million",$B$52="million"),((EP34*EP$51)/(EP$52)),"0")))))</f>
        <v>1.4662333333333331</v>
      </c>
      <c r="EQ87" s="20">
        <f>IF(EQ34=0,"0",IF(AND(Results!$E$5="Protein",$C$53&gt;0,OR(Results!$E$4="Tissue",Results!$E$4="Cells")),((EQ34*EQ$51)/(EQ$53)),IF(AND(Results!$E$5="Weight",$C$52&gt;0, Results!$E$4="Tissue",OR($B$52="g",$B$52="mg")),((EQ34*EQ$51)/(EQ$52)),IF(AND(Results!$E$5="Volume",$C$54&gt;0,Results!$E$4="Fluid"),((EQ34*EQ$51)/(EQ$54)),IF(AND(Results!$E$4="Cells",Results!$E$5="Million",$B$52="million"),((EQ34*EQ$51)/(EQ$52)),"0")))))</f>
        <v>0.23551666666666668</v>
      </c>
      <c r="ER87" s="20">
        <f>IF(ER34=0,"0",IF(AND(Results!$E$5="Protein",$C$53&gt;0,OR(Results!$E$4="Tissue",Results!$E$4="Cells")),((ER34*ER$51)/(ER$53)),IF(AND(Results!$E$5="Weight",$C$52&gt;0, Results!$E$4="Tissue",OR($B$52="g",$B$52="mg")),((ER34*ER$51)/(ER$52)),IF(AND(Results!$E$5="Volume",$C$54&gt;0,Results!$E$4="Fluid"),((ER34*ER$51)/(ER$54)),IF(AND(Results!$E$4="Cells",Results!$E$5="Million",$B$52="million"),((ER34*ER$51)/(ER$52)),"0")))))</f>
        <v>0.20594999999999999</v>
      </c>
      <c r="ES87" s="20">
        <f>IF(ES34=0,"0",IF(AND(Results!$E$5="Protein",$C$53&gt;0,OR(Results!$E$4="Tissue",Results!$E$4="Cells")),((ES34*ES$51)/(ES$53)),IF(AND(Results!$E$5="Weight",$C$52&gt;0, Results!$E$4="Tissue",OR($B$52="g",$B$52="mg")),((ES34*ES$51)/(ES$52)),IF(AND(Results!$E$5="Volume",$C$54&gt;0,Results!$E$4="Fluid"),((ES34*ES$51)/(ES$54)),IF(AND(Results!$E$4="Cells",Results!$E$5="Million",$B$52="million"),((ES34*ES$51)/(ES$52)),"0")))))</f>
        <v>0.19196666666666665</v>
      </c>
      <c r="ET87" s="20">
        <f>IF(ET34=0,"0",IF(AND(Results!$E$5="Protein",$C$53&gt;0,OR(Results!$E$4="Tissue",Results!$E$4="Cells")),((ET34*ET$51)/(ET$53)),IF(AND(Results!$E$5="Weight",$C$52&gt;0, Results!$E$4="Tissue",OR($B$52="g",$B$52="mg")),((ET34*ET$51)/(ET$52)),IF(AND(Results!$E$5="Volume",$C$54&gt;0,Results!$E$4="Fluid"),((ET34*ET$51)/(ET$54)),IF(AND(Results!$E$4="Cells",Results!$E$5="Million",$B$52="million"),((ET34*ET$51)/(ET$52)),"0")))))</f>
        <v>0.79441666666666666</v>
      </c>
      <c r="EU87" s="20">
        <f>IF(EU34=0,"0",IF(AND(Results!$E$5="Protein",$C$53&gt;0,OR(Results!$E$4="Tissue",Results!$E$4="Cells")),((EU34*EU$51)/(EU$53)),IF(AND(Results!$E$5="Weight",$C$52&gt;0, Results!$E$4="Tissue",OR($B$52="g",$B$52="mg")),((EU34*EU$51)/(EU$52)),IF(AND(Results!$E$5="Volume",$C$54&gt;0,Results!$E$4="Fluid"),((EU34*EU$51)/(EU$54)),IF(AND(Results!$E$4="Cells",Results!$E$5="Million",$B$52="million"),((EU34*EU$51)/(EU$52)),"0")))))</f>
        <v>0.34598333333333336</v>
      </c>
      <c r="EV87" s="20">
        <f>IF(EV34=0,"0",IF(AND(Results!$E$5="Protein",$C$53&gt;0,OR(Results!$E$4="Tissue",Results!$E$4="Cells")),((EV34*EV$51)/(EV$53)),IF(AND(Results!$E$5="Weight",$C$52&gt;0, Results!$E$4="Tissue",OR($B$52="g",$B$52="mg")),((EV34*EV$51)/(EV$52)),IF(AND(Results!$E$5="Volume",$C$54&gt;0,Results!$E$4="Fluid"),((EV34*EV$51)/(EV$54)),IF(AND(Results!$E$4="Cells",Results!$E$5="Million",$B$52="million"),((EV34*EV$51)/(EV$52)),"0")))))</f>
        <v>0.28026666666666666</v>
      </c>
      <c r="EW87" s="20">
        <f>IF(EW34=0,"0",IF(AND(Results!$E$5="Protein",$C$53&gt;0,OR(Results!$E$4="Tissue",Results!$E$4="Cells")),((EW34*EW$51)/(EW$53)),IF(AND(Results!$E$5="Weight",$C$52&gt;0, Results!$E$4="Tissue",OR($B$52="g",$B$52="mg")),((EW34*EW$51)/(EW$52)),IF(AND(Results!$E$5="Volume",$C$54&gt;0,Results!$E$4="Fluid"),((EW34*EW$51)/(EW$54)),IF(AND(Results!$E$4="Cells",Results!$E$5="Million",$B$52="million"),((EW34*EW$51)/(EW$52)),"0")))))</f>
        <v>0.25159999999999999</v>
      </c>
      <c r="EX87" s="20">
        <f>IF(EX34=0,"0",IF(AND(Results!$E$5="Protein",$C$53&gt;0,OR(Results!$E$4="Tissue",Results!$E$4="Cells")),((EX34*EX$51)/(EX$53)),IF(AND(Results!$E$5="Weight",$C$52&gt;0, Results!$E$4="Tissue",OR($B$52="g",$B$52="mg")),((EX34*EX$51)/(EX$52)),IF(AND(Results!$E$5="Volume",$C$54&gt;0,Results!$E$4="Fluid"),((EX34*EX$51)/(EX$54)),IF(AND(Results!$E$4="Cells",Results!$E$5="Million",$B$52="million"),((EX34*EX$51)/(EX$52)),"0")))))</f>
        <v>0.15725</v>
      </c>
      <c r="EY87" s="20">
        <f>IF(EY34=0,"0",IF(AND(Results!$E$5="Protein",$C$53&gt;0,OR(Results!$E$4="Tissue",Results!$E$4="Cells")),((EY34*EY$51)/(EY$53)),IF(AND(Results!$E$5="Weight",$C$52&gt;0, Results!$E$4="Tissue",OR($B$52="g",$B$52="mg")),((EY34*EY$51)/(EY$52)),IF(AND(Results!$E$5="Volume",$C$54&gt;0,Results!$E$4="Fluid"),((EY34*EY$51)/(EY$54)),IF(AND(Results!$E$4="Cells",Results!$E$5="Million",$B$52="million"),((EY34*EY$51)/(EY$52)),"0")))))</f>
        <v>2.9873999999999996</v>
      </c>
      <c r="EZ87" s="20">
        <f>IF(EZ34=0,"0",IF(AND(Results!$E$5="Protein",$C$53&gt;0,OR(Results!$E$4="Tissue",Results!$E$4="Cells")),((EZ34*EZ$51)/(EZ$53)),IF(AND(Results!$E$5="Weight",$C$52&gt;0, Results!$E$4="Tissue",OR($B$52="g",$B$52="mg")),((EZ34*EZ$51)/(EZ$52)),IF(AND(Results!$E$5="Volume",$C$54&gt;0,Results!$E$4="Fluid"),((EZ34*EZ$51)/(EZ$54)),IF(AND(Results!$E$4="Cells",Results!$E$5="Million",$B$52="million"),((EZ34*EZ$51)/(EZ$52)),"0")))))</f>
        <v>0.32965</v>
      </c>
      <c r="FA87" s="20">
        <f>IF(FA34=0,"0",IF(AND(Results!$E$5="Protein",$C$53&gt;0,OR(Results!$E$4="Tissue",Results!$E$4="Cells")),((FA34*FA$51)/(FA$53)),IF(AND(Results!$E$5="Weight",$C$52&gt;0, Results!$E$4="Tissue",OR($B$52="g",$B$52="mg")),((FA34*FA$51)/(FA$52)),IF(AND(Results!$E$5="Volume",$C$54&gt;0,Results!$E$4="Fluid"),((FA34*FA$51)/(FA$54)),IF(AND(Results!$E$4="Cells",Results!$E$5="Million",$B$52="million"),((FA34*FA$51)/(FA$52)),"0")))))</f>
        <v>8.9699999999999988E-2</v>
      </c>
      <c r="FB87" s="20">
        <f>IF(FB34=0,"0",IF(AND(Results!$E$5="Protein",$C$53&gt;0,OR(Results!$E$4="Tissue",Results!$E$4="Cells")),((FB34*FB$51)/(FB$53)),IF(AND(Results!$E$5="Weight",$C$52&gt;0, Results!$E$4="Tissue",OR($B$52="g",$B$52="mg")),((FB34*FB$51)/(FB$52)),IF(AND(Results!$E$5="Volume",$C$54&gt;0,Results!$E$4="Fluid"),((FB34*FB$51)/(FB$54)),IF(AND(Results!$E$4="Cells",Results!$E$5="Million",$B$52="million"),((FB34*FB$51)/(FB$52)),"0")))))</f>
        <v>0.30941666666666667</v>
      </c>
      <c r="FC87" s="20">
        <f>IF(FC34=0,"0",IF(AND(Results!$E$5="Protein",$C$53&gt;0,OR(Results!$E$4="Tissue",Results!$E$4="Cells")),((FC34*FC$51)/(FC$53)),IF(AND(Results!$E$5="Weight",$C$52&gt;0, Results!$E$4="Tissue",OR($B$52="g",$B$52="mg")),((FC34*FC$51)/(FC$52)),IF(AND(Results!$E$5="Volume",$C$54&gt;0,Results!$E$4="Fluid"),((FC34*FC$51)/(FC$54)),IF(AND(Results!$E$4="Cells",Results!$E$5="Million",$B$52="million"),((FC34*FC$51)/(FC$52)),"0")))))</f>
        <v>1.2863</v>
      </c>
      <c r="FD87" s="20">
        <f>IF(FD34=0,"0",IF(AND(Results!$E$5="Protein",$C$53&gt;0,OR(Results!$E$4="Tissue",Results!$E$4="Cells")),((FD34*FD$51)/(FD$53)),IF(AND(Results!$E$5="Weight",$C$52&gt;0, Results!$E$4="Tissue",OR($B$52="g",$B$52="mg")),((FD34*FD$51)/(FD$52)),IF(AND(Results!$E$5="Volume",$C$54&gt;0,Results!$E$4="Fluid"),((FD34*FD$51)/(FD$54)),IF(AND(Results!$E$4="Cells",Results!$E$5="Million",$B$52="million"),((FD34*FD$51)/(FD$52)),"0")))))</f>
        <v>0.18129999999999999</v>
      </c>
      <c r="FE87" s="20">
        <f>IF(FE34=0,"0",IF(AND(Results!$E$5="Protein",$C$53&gt;0,OR(Results!$E$4="Tissue",Results!$E$4="Cells")),((FE34*FE$51)/(FE$53)),IF(AND(Results!$E$5="Weight",$C$52&gt;0, Results!$E$4="Tissue",OR($B$52="g",$B$52="mg")),((FE34*FE$51)/(FE$52)),IF(AND(Results!$E$5="Volume",$C$54&gt;0,Results!$E$4="Fluid"),((FE34*FE$51)/(FE$54)),IF(AND(Results!$E$4="Cells",Results!$E$5="Million",$B$52="million"),((FE34*FE$51)/(FE$52)),"0")))))</f>
        <v>0.39173333333333338</v>
      </c>
      <c r="FF87" s="20">
        <f>IF(FF34=0,"0",IF(AND(Results!$E$5="Protein",$C$53&gt;0,OR(Results!$E$4="Tissue",Results!$E$4="Cells")),((FF34*FF$51)/(FF$53)),IF(AND(Results!$E$5="Weight",$C$52&gt;0, Results!$E$4="Tissue",OR($B$52="g",$B$52="mg")),((FF34*FF$51)/(FF$52)),IF(AND(Results!$E$5="Volume",$C$54&gt;0,Results!$E$4="Fluid"),((FF34*FF$51)/(FF$54)),IF(AND(Results!$E$4="Cells",Results!$E$5="Million",$B$52="million"),((FF34*FF$51)/(FF$52)),"0")))))</f>
        <v>0.22998333333333332</v>
      </c>
      <c r="FG87" s="20">
        <f>IF(FG34=0,"0",IF(AND(Results!$E$5="Protein",$C$53&gt;0,OR(Results!$E$4="Tissue",Results!$E$4="Cells")),((FG34*FG$51)/(FG$53)),IF(AND(Results!$E$5="Weight",$C$52&gt;0, Results!$E$4="Tissue",OR($B$52="g",$B$52="mg")),((FG34*FG$51)/(FG$52)),IF(AND(Results!$E$5="Volume",$C$54&gt;0,Results!$E$4="Fluid"),((FG34*FG$51)/(FG$54)),IF(AND(Results!$E$4="Cells",Results!$E$5="Million",$B$52="million"),((FG34*FG$51)/(FG$52)),"0")))))</f>
        <v>0.38971666666666666</v>
      </c>
      <c r="FH87" s="20">
        <f>IF(FH34=0,"0",IF(AND(Results!$E$5="Protein",$C$53&gt;0,OR(Results!$E$4="Tissue",Results!$E$4="Cells")),((FH34*FH$51)/(FH$53)),IF(AND(Results!$E$5="Weight",$C$52&gt;0, Results!$E$4="Tissue",OR($B$52="g",$B$52="mg")),((FH34*FH$51)/(FH$52)),IF(AND(Results!$E$5="Volume",$C$54&gt;0,Results!$E$4="Fluid"),((FH34*FH$51)/(FH$54)),IF(AND(Results!$E$4="Cells",Results!$E$5="Million",$B$52="million"),((FH34*FH$51)/(FH$52)),"0")))))</f>
        <v>0.47683333333333339</v>
      </c>
      <c r="FI87" s="20">
        <f>IF(FI34=0,"0",IF(AND(Results!$E$5="Protein",$C$53&gt;0,OR(Results!$E$4="Tissue",Results!$E$4="Cells")),((FI34*FI$51)/(FI$53)),IF(AND(Results!$E$5="Weight",$C$52&gt;0, Results!$E$4="Tissue",OR($B$52="g",$B$52="mg")),((FI34*FI$51)/(FI$52)),IF(AND(Results!$E$5="Volume",$C$54&gt;0,Results!$E$4="Fluid"),((FI34*FI$51)/(FI$54)),IF(AND(Results!$E$4="Cells",Results!$E$5="Million",$B$52="million"),((FI34*FI$51)/(FI$52)),"0")))))</f>
        <v>0.5053833333333333</v>
      </c>
      <c r="FJ87" s="20">
        <f>IF(FJ34=0,"0",IF(AND(Results!$E$5="Protein",$C$53&gt;0,OR(Results!$E$4="Tissue",Results!$E$4="Cells")),((FJ34*FJ$51)/(FJ$53)),IF(AND(Results!$E$5="Weight",$C$52&gt;0, Results!$E$4="Tissue",OR($B$52="g",$B$52="mg")),((FJ34*FJ$51)/(FJ$52)),IF(AND(Results!$E$5="Volume",$C$54&gt;0,Results!$E$4="Fluid"),((FJ34*FJ$51)/(FJ$54)),IF(AND(Results!$E$4="Cells",Results!$E$5="Million",$B$52="million"),((FJ34*FJ$51)/(FJ$52)),"0")))))</f>
        <v>0.12831666666666666</v>
      </c>
      <c r="FK87" s="20">
        <f>IF(FK34=0,"0",IF(AND(Results!$E$5="Protein",$C$53&gt;0,OR(Results!$E$4="Tissue",Results!$E$4="Cells")),((FK34*FK$51)/(FK$53)),IF(AND(Results!$E$5="Weight",$C$52&gt;0, Results!$E$4="Tissue",OR($B$52="g",$B$52="mg")),((FK34*FK$51)/(FK$52)),IF(AND(Results!$E$5="Volume",$C$54&gt;0,Results!$E$4="Fluid"),((FK34*FK$51)/(FK$54)),IF(AND(Results!$E$4="Cells",Results!$E$5="Million",$B$52="million"),((FK34*FK$51)/(FK$52)),"0")))))</f>
        <v>7.091666666666667E-2</v>
      </c>
      <c r="FL87" s="20">
        <f>IF(FL34=0,"0",IF(AND(Results!$E$5="Protein",$C$53&gt;0,OR(Results!$E$4="Tissue",Results!$E$4="Cells")),((FL34*FL$51)/(FL$53)),IF(AND(Results!$E$5="Weight",$C$52&gt;0, Results!$E$4="Tissue",OR($B$52="g",$B$52="mg")),((FL34*FL$51)/(FL$52)),IF(AND(Results!$E$5="Volume",$C$54&gt;0,Results!$E$4="Fluid"),((FL34*FL$51)/(FL$54)),IF(AND(Results!$E$4="Cells",Results!$E$5="Million",$B$52="million"),((FL34*FL$51)/(FL$52)),"0")))))</f>
        <v>0.1767</v>
      </c>
      <c r="FM87" s="20">
        <f>IF(FM34=0,"0",IF(AND(Results!$E$5="Protein",$C$53&gt;0,OR(Results!$E$4="Tissue",Results!$E$4="Cells")),((FM34*FM$51)/(FM$53)),IF(AND(Results!$E$5="Weight",$C$52&gt;0, Results!$E$4="Tissue",OR($B$52="g",$B$52="mg")),((FM34*FM$51)/(FM$52)),IF(AND(Results!$E$5="Volume",$C$54&gt;0,Results!$E$4="Fluid"),((FM34*FM$51)/(FM$54)),IF(AND(Results!$E$4="Cells",Results!$E$5="Million",$B$52="million"),((FM34*FM$51)/(FM$52)),"0")))))</f>
        <v>0.89729999999999999</v>
      </c>
      <c r="FN87" s="20">
        <f>IF(FN34=0,"0",IF(AND(Results!$E$5="Protein",$C$53&gt;0,OR(Results!$E$4="Tissue",Results!$E$4="Cells")),((FN34*FN$51)/(FN$53)),IF(AND(Results!$E$5="Weight",$C$52&gt;0, Results!$E$4="Tissue",OR($B$52="g",$B$52="mg")),((FN34*FN$51)/(FN$52)),IF(AND(Results!$E$5="Volume",$C$54&gt;0,Results!$E$4="Fluid"),((FN34*FN$51)/(FN$54)),IF(AND(Results!$E$4="Cells",Results!$E$5="Million",$B$52="million"),((FN34*FN$51)/(FN$52)),"0")))))</f>
        <v>0.34221666666666667</v>
      </c>
      <c r="FO87" s="20">
        <f>IF(FO34=0,"0",IF(AND(Results!$E$5="Protein",$C$53&gt;0,OR(Results!$E$4="Tissue",Results!$E$4="Cells")),((FO34*FO$51)/(FO$53)),IF(AND(Results!$E$5="Weight",$C$52&gt;0, Results!$E$4="Tissue",OR($B$52="g",$B$52="mg")),((FO34*FO$51)/(FO$52)),IF(AND(Results!$E$5="Volume",$C$54&gt;0,Results!$E$4="Fluid"),((FO34*FO$51)/(FO$54)),IF(AND(Results!$E$4="Cells",Results!$E$5="Million",$B$52="million"),((FO34*FO$51)/(FO$52)),"0")))))</f>
        <v>0.78630000000000011</v>
      </c>
    </row>
    <row r="88" spans="1:171" x14ac:dyDescent="0.2">
      <c r="A88" s="120" t="str">
        <f t="shared" si="1"/>
        <v>13-HOTrE</v>
      </c>
      <c r="B88" s="121"/>
      <c r="C88" s="20">
        <f>IF(C35=0,"0",IF(AND(Results!$E$5="Protein",$C$53&gt;0,OR(Results!$E$4="Tissue",Results!$E$4="Cells")),((C35*C$51)/(C$53)),IF(AND(Results!$E$5="Weight",$C$52&gt;0, Results!$E$4="Tissue",OR($B$52="g",$B$52="mg")),((C35*C$51)/(C$52)),IF(AND(Results!$E$5="Volume",$C$54&gt;0,Results!$E$4="Fluid"),((C35*C$51)/(C$54)),IF(AND(Results!$E$4="Cells",Results!$E$5="Million",$B$52="million"),((C35*C$51)/(C$52)),"0")))))</f>
        <v>0.79061666666666663</v>
      </c>
      <c r="D88" s="20">
        <f>IF(D35=0,"0",IF(AND(Results!$E$5="Protein",$C$53&gt;0,OR(Results!$E$4="Tissue",Results!$E$4="Cells")),((D35*D$51)/(D$53)),IF(AND(Results!$E$5="Weight",$C$52&gt;0, Results!$E$4="Tissue",OR($B$52="g",$B$52="mg")),((D35*D$51)/(D$52)),IF(AND(Results!$E$5="Volume",$C$54&gt;0,Results!$E$4="Fluid"),((D35*D$51)/(D$54)),IF(AND(Results!$E$4="Cells",Results!$E$5="Million",$B$52="million"),((D35*D$51)/(D$52)),"0")))))</f>
        <v>0.85391666666666666</v>
      </c>
      <c r="E88" s="20">
        <f>IF(E35=0,"0",IF(AND(Results!$E$5="Protein",$C$53&gt;0,OR(Results!$E$4="Tissue",Results!$E$4="Cells")),((E35*E$51)/(E$53)),IF(AND(Results!$E$5="Weight",$C$52&gt;0, Results!$E$4="Tissue",OR($B$52="g",$B$52="mg")),((E35*E$51)/(E$52)),IF(AND(Results!$E$5="Volume",$C$54&gt;0,Results!$E$4="Fluid"),((E35*E$51)/(E$54)),IF(AND(Results!$E$4="Cells",Results!$E$5="Million",$B$52="million"),((E35*E$51)/(E$52)),"0")))))</f>
        <v>0.40044999999999997</v>
      </c>
      <c r="F88" s="20">
        <f>IF(F35=0,"0",IF(AND(Results!$E$5="Protein",$C$53&gt;0,OR(Results!$E$4="Tissue",Results!$E$4="Cells")),((F35*F$51)/(F$53)),IF(AND(Results!$E$5="Weight",$C$52&gt;0, Results!$E$4="Tissue",OR($B$52="g",$B$52="mg")),((F35*F$51)/(F$52)),IF(AND(Results!$E$5="Volume",$C$54&gt;0,Results!$E$4="Fluid"),((F35*F$51)/(F$54)),IF(AND(Results!$E$4="Cells",Results!$E$5="Million",$B$52="million"),((F35*F$51)/(F$52)),"0")))))</f>
        <v>2.1095999999999999</v>
      </c>
      <c r="G88" s="20">
        <f>IF(G35=0,"0",IF(AND(Results!$E$5="Protein",$C$53&gt;0,OR(Results!$E$4="Tissue",Results!$E$4="Cells")),((G35*G$51)/(G$53)),IF(AND(Results!$E$5="Weight",$C$52&gt;0, Results!$E$4="Tissue",OR($B$52="g",$B$52="mg")),((G35*G$51)/(G$52)),IF(AND(Results!$E$5="Volume",$C$54&gt;0,Results!$E$4="Fluid"),((G35*G$51)/(G$54)),IF(AND(Results!$E$4="Cells",Results!$E$5="Million",$B$52="million"),((G35*G$51)/(G$52)),"0")))))</f>
        <v>1.3896000000000002</v>
      </c>
      <c r="H88" s="20">
        <f>IF(H35=0,"0",IF(AND(Results!$E$5="Protein",$C$53&gt;0,OR(Results!$E$4="Tissue",Results!$E$4="Cells")),((H35*H$51)/(H$53)),IF(AND(Results!$E$5="Weight",$C$52&gt;0, Results!$E$4="Tissue",OR($B$52="g",$B$52="mg")),((H35*H$51)/(H$52)),IF(AND(Results!$E$5="Volume",$C$54&gt;0,Results!$E$4="Fluid"),((H35*H$51)/(H$54)),IF(AND(Results!$E$4="Cells",Results!$E$5="Million",$B$52="million"),((H35*H$51)/(H$52)),"0")))))</f>
        <v>0.5676000000000001</v>
      </c>
      <c r="I88" s="20">
        <f>IF(I35=0,"0",IF(AND(Results!$E$5="Protein",$C$53&gt;0,OR(Results!$E$4="Tissue",Results!$E$4="Cells")),((I35*I$51)/(I$53)),IF(AND(Results!$E$5="Weight",$C$52&gt;0, Results!$E$4="Tissue",OR($B$52="g",$B$52="mg")),((I35*I$51)/(I$52)),IF(AND(Results!$E$5="Volume",$C$54&gt;0,Results!$E$4="Fluid"),((I35*I$51)/(I$54)),IF(AND(Results!$E$4="Cells",Results!$E$5="Million",$B$52="million"),((I35*I$51)/(I$52)),"0")))))</f>
        <v>1.3167166666666668</v>
      </c>
      <c r="J88" s="20">
        <f>IF(J35=0,"0",IF(AND(Results!$E$5="Protein",$C$53&gt;0,OR(Results!$E$4="Tissue",Results!$E$4="Cells")),((J35*J$51)/(J$53)),IF(AND(Results!$E$5="Weight",$C$52&gt;0, Results!$E$4="Tissue",OR($B$52="g",$B$52="mg")),((J35*J$51)/(J$52)),IF(AND(Results!$E$5="Volume",$C$54&gt;0,Results!$E$4="Fluid"),((J35*J$51)/(J$54)),IF(AND(Results!$E$4="Cells",Results!$E$5="Million",$B$52="million"),((J35*J$51)/(J$52)),"0")))))</f>
        <v>0.56136666666666668</v>
      </c>
      <c r="K88" s="20">
        <f>IF(K35=0,"0",IF(AND(Results!$E$5="Protein",$C$53&gt;0,OR(Results!$E$4="Tissue",Results!$E$4="Cells")),((K35*K$51)/(K$53)),IF(AND(Results!$E$5="Weight",$C$52&gt;0, Results!$E$4="Tissue",OR($B$52="g",$B$52="mg")),((K35*K$51)/(K$52)),IF(AND(Results!$E$5="Volume",$C$54&gt;0,Results!$E$4="Fluid"),((K35*K$51)/(K$54)),IF(AND(Results!$E$4="Cells",Results!$E$5="Million",$B$52="million"),((K35*K$51)/(K$52)),"0")))))</f>
        <v>4.5957166666666662</v>
      </c>
      <c r="L88" s="20">
        <f>IF(L35=0,"0",IF(AND(Results!$E$5="Protein",$C$53&gt;0,OR(Results!$E$4="Tissue",Results!$E$4="Cells")),((L35*L$51)/(L$53)),IF(AND(Results!$E$5="Weight",$C$52&gt;0, Results!$E$4="Tissue",OR($B$52="g",$B$52="mg")),((L35*L$51)/(L$52)),IF(AND(Results!$E$5="Volume",$C$54&gt;0,Results!$E$4="Fluid"),((L35*L$51)/(L$54)),IF(AND(Results!$E$4="Cells",Results!$E$5="Million",$B$52="million"),((L35*L$51)/(L$52)),"0")))))</f>
        <v>2.0060500000000001</v>
      </c>
      <c r="M88" s="20">
        <f>IF(M35=0,"0",IF(AND(Results!$E$5="Protein",$C$53&gt;0,OR(Results!$E$4="Tissue",Results!$E$4="Cells")),((M35*M$51)/(M$53)),IF(AND(Results!$E$5="Weight",$C$52&gt;0, Results!$E$4="Tissue",OR($B$52="g",$B$52="mg")),((M35*M$51)/(M$52)),IF(AND(Results!$E$5="Volume",$C$54&gt;0,Results!$E$4="Fluid"),((M35*M$51)/(M$54)),IF(AND(Results!$E$4="Cells",Results!$E$5="Million",$B$52="million"),((M35*M$51)/(M$52)),"0")))))</f>
        <v>1.4151833333333335</v>
      </c>
      <c r="N88" s="20">
        <f>IF(N35=0,"0",IF(AND(Results!$E$5="Protein",$C$53&gt;0,OR(Results!$E$4="Tissue",Results!$E$4="Cells")),((N35*N$51)/(N$53)),IF(AND(Results!$E$5="Weight",$C$52&gt;0, Results!$E$4="Tissue",OR($B$52="g",$B$52="mg")),((N35*N$51)/(N$52)),IF(AND(Results!$E$5="Volume",$C$54&gt;0,Results!$E$4="Fluid"),((N35*N$51)/(N$54)),IF(AND(Results!$E$4="Cells",Results!$E$5="Million",$B$52="million"),((N35*N$51)/(N$52)),"0")))))</f>
        <v>0.77574999999999994</v>
      </c>
      <c r="O88" s="20">
        <f>IF(O35=0,"0",IF(AND(Results!$E$5="Protein",$C$53&gt;0,OR(Results!$E$4="Tissue",Results!$E$4="Cells")),((O35*O$51)/(O$53)),IF(AND(Results!$E$5="Weight",$C$52&gt;0, Results!$E$4="Tissue",OR($B$52="g",$B$52="mg")),((O35*O$51)/(O$52)),IF(AND(Results!$E$5="Volume",$C$54&gt;0,Results!$E$4="Fluid"),((O35*O$51)/(O$54)),IF(AND(Results!$E$4="Cells",Results!$E$5="Million",$B$52="million"),((O35*O$51)/(O$52)),"0")))))</f>
        <v>1.2581500000000001</v>
      </c>
      <c r="P88" s="20">
        <f>IF(P35=0,"0",IF(AND(Results!$E$5="Protein",$C$53&gt;0,OR(Results!$E$4="Tissue",Results!$E$4="Cells")),((P35*P$51)/(P$53)),IF(AND(Results!$E$5="Weight",$C$52&gt;0, Results!$E$4="Tissue",OR($B$52="g",$B$52="mg")),((P35*P$51)/(P$52)),IF(AND(Results!$E$5="Volume",$C$54&gt;0,Results!$E$4="Fluid"),((P35*P$51)/(P$54)),IF(AND(Results!$E$4="Cells",Results!$E$5="Million",$B$52="million"),((P35*P$51)/(P$52)),"0")))))</f>
        <v>1.4524833333333333</v>
      </c>
      <c r="Q88" s="20">
        <f>IF(Q35=0,"0",IF(AND(Results!$E$5="Protein",$C$53&gt;0,OR(Results!$E$4="Tissue",Results!$E$4="Cells")),((Q35*Q$51)/(Q$53)),IF(AND(Results!$E$5="Weight",$C$52&gt;0, Results!$E$4="Tissue",OR($B$52="g",$B$52="mg")),((Q35*Q$51)/(Q$52)),IF(AND(Results!$E$5="Volume",$C$54&gt;0,Results!$E$4="Fluid"),((Q35*Q$51)/(Q$54)),IF(AND(Results!$E$4="Cells",Results!$E$5="Million",$B$52="million"),((Q35*Q$51)/(Q$52)),"0")))))</f>
        <v>2.0669333333333335</v>
      </c>
      <c r="R88" s="20">
        <f>IF(R35=0,"0",IF(AND(Results!$E$5="Protein",$C$53&gt;0,OR(Results!$E$4="Tissue",Results!$E$4="Cells")),((R35*R$51)/(R$53)),IF(AND(Results!$E$5="Weight",$C$52&gt;0, Results!$E$4="Tissue",OR($B$52="g",$B$52="mg")),((R35*R$51)/(R$52)),IF(AND(Results!$E$5="Volume",$C$54&gt;0,Results!$E$4="Fluid"),((R35*R$51)/(R$54)),IF(AND(Results!$E$4="Cells",Results!$E$5="Million",$B$52="million"),((R35*R$51)/(R$52)),"0")))))</f>
        <v>4.7613666666666665</v>
      </c>
      <c r="S88" s="20">
        <f>IF(S35=0,"0",IF(AND(Results!$E$5="Protein",$C$53&gt;0,OR(Results!$E$4="Tissue",Results!$E$4="Cells")),((S35*S$51)/(S$53)),IF(AND(Results!$E$5="Weight",$C$52&gt;0, Results!$E$4="Tissue",OR($B$52="g",$B$52="mg")),((S35*S$51)/(S$52)),IF(AND(Results!$E$5="Volume",$C$54&gt;0,Results!$E$4="Fluid"),((S35*S$51)/(S$54)),IF(AND(Results!$E$4="Cells",Results!$E$5="Million",$B$52="million"),((S35*S$51)/(S$52)),"0")))))</f>
        <v>4.2172999999999998</v>
      </c>
      <c r="T88" s="20">
        <f>IF(T35=0,"0",IF(AND(Results!$E$5="Protein",$C$53&gt;0,OR(Results!$E$4="Tissue",Results!$E$4="Cells")),((T35*T$51)/(T$53)),IF(AND(Results!$E$5="Weight",$C$52&gt;0, Results!$E$4="Tissue",OR($B$52="g",$B$52="mg")),((T35*T$51)/(T$52)),IF(AND(Results!$E$5="Volume",$C$54&gt;0,Results!$E$4="Fluid"),((T35*T$51)/(T$54)),IF(AND(Results!$E$4="Cells",Results!$E$5="Million",$B$52="million"),((T35*T$51)/(T$52)),"0")))))</f>
        <v>0.24276666666666666</v>
      </c>
      <c r="U88" s="20">
        <f>IF(U35=0,"0",IF(AND(Results!$E$5="Protein",$C$53&gt;0,OR(Results!$E$4="Tissue",Results!$E$4="Cells")),((U35*U$51)/(U$53)),IF(AND(Results!$E$5="Weight",$C$52&gt;0, Results!$E$4="Tissue",OR($B$52="g",$B$52="mg")),((U35*U$51)/(U$52)),IF(AND(Results!$E$5="Volume",$C$54&gt;0,Results!$E$4="Fluid"),((U35*U$51)/(U$54)),IF(AND(Results!$E$4="Cells",Results!$E$5="Million",$B$52="million"),((U35*U$51)/(U$52)),"0")))))</f>
        <v>0.86763333333333337</v>
      </c>
      <c r="V88" s="20">
        <f>IF(V35=0,"0",IF(AND(Results!$E$5="Protein",$C$53&gt;0,OR(Results!$E$4="Tissue",Results!$E$4="Cells")),((V35*V$51)/(V$53)),IF(AND(Results!$E$5="Weight",$C$52&gt;0, Results!$E$4="Tissue",OR($B$52="g",$B$52="mg")),((V35*V$51)/(V$52)),IF(AND(Results!$E$5="Volume",$C$54&gt;0,Results!$E$4="Fluid"),((V35*V$51)/(V$54)),IF(AND(Results!$E$4="Cells",Results!$E$5="Million",$B$52="million"),((V35*V$51)/(V$52)),"0")))))</f>
        <v>2.1211500000000001</v>
      </c>
      <c r="W88" s="20">
        <f>IF(W35=0,"0",IF(AND(Results!$E$5="Protein",$C$53&gt;0,OR(Results!$E$4="Tissue",Results!$E$4="Cells")),((W35*W$51)/(W$53)),IF(AND(Results!$E$5="Weight",$C$52&gt;0, Results!$E$4="Tissue",OR($B$52="g",$B$52="mg")),((W35*W$51)/(W$52)),IF(AND(Results!$E$5="Volume",$C$54&gt;0,Results!$E$4="Fluid"),((W35*W$51)/(W$54)),IF(AND(Results!$E$4="Cells",Results!$E$5="Million",$B$52="million"),((W35*W$51)/(W$52)),"0")))))</f>
        <v>1.9643142857142859</v>
      </c>
      <c r="X88" s="20">
        <f>IF(X35=0,"0",IF(AND(Results!$E$5="Protein",$C$53&gt;0,OR(Results!$E$4="Tissue",Results!$E$4="Cells")),((X35*X$51)/(X$53)),IF(AND(Results!$E$5="Weight",$C$52&gt;0, Results!$E$4="Tissue",OR($B$52="g",$B$52="mg")),((X35*X$51)/(X$52)),IF(AND(Results!$E$5="Volume",$C$54&gt;0,Results!$E$4="Fluid"),((X35*X$51)/(X$54)),IF(AND(Results!$E$4="Cells",Results!$E$5="Million",$B$52="million"),((X35*X$51)/(X$52)),"0")))))</f>
        <v>0.60751999999999995</v>
      </c>
      <c r="Y88" s="20">
        <f>IF(Y35=0,"0",IF(AND(Results!$E$5="Protein",$C$53&gt;0,OR(Results!$E$4="Tissue",Results!$E$4="Cells")),((Y35*Y$51)/(Y$53)),IF(AND(Results!$E$5="Weight",$C$52&gt;0, Results!$E$4="Tissue",OR($B$52="g",$B$52="mg")),((Y35*Y$51)/(Y$52)),IF(AND(Results!$E$5="Volume",$C$54&gt;0,Results!$E$4="Fluid"),((Y35*Y$51)/(Y$54)),IF(AND(Results!$E$4="Cells",Results!$E$5="Million",$B$52="million"),((Y35*Y$51)/(Y$52)),"0")))))</f>
        <v>1.5137666666666665</v>
      </c>
      <c r="Z88" s="20">
        <f>IF(Z35=0,"0",IF(AND(Results!$E$5="Protein",$C$53&gt;0,OR(Results!$E$4="Tissue",Results!$E$4="Cells")),((Z35*Z$51)/(Z$53)),IF(AND(Results!$E$5="Weight",$C$52&gt;0, Results!$E$4="Tissue",OR($B$52="g",$B$52="mg")),((Z35*Z$51)/(Z$52)),IF(AND(Results!$E$5="Volume",$C$54&gt;0,Results!$E$4="Fluid"),((Z35*Z$51)/(Z$54)),IF(AND(Results!$E$4="Cells",Results!$E$5="Million",$B$52="million"),((Z35*Z$51)/(Z$52)),"0")))))</f>
        <v>6.04216</v>
      </c>
      <c r="AA88" s="20">
        <f>IF(AA35=0,"0",IF(AND(Results!$E$5="Protein",$C$53&gt;0,OR(Results!$E$4="Tissue",Results!$E$4="Cells")),((AA35*AA$51)/(AA$53)),IF(AND(Results!$E$5="Weight",$C$52&gt;0, Results!$E$4="Tissue",OR($B$52="g",$B$52="mg")),((AA35*AA$51)/(AA$52)),IF(AND(Results!$E$5="Volume",$C$54&gt;0,Results!$E$4="Fluid"),((AA35*AA$51)/(AA$54)),IF(AND(Results!$E$4="Cells",Results!$E$5="Million",$B$52="million"),((AA35*AA$51)/(AA$52)),"0")))))</f>
        <v>1.3471833333333334</v>
      </c>
      <c r="AB88" s="20">
        <f>IF(AB35=0,"0",IF(AND(Results!$E$5="Protein",$C$53&gt;0,OR(Results!$E$4="Tissue",Results!$E$4="Cells")),((AB35*AB$51)/(AB$53)),IF(AND(Results!$E$5="Weight",$C$52&gt;0, Results!$E$4="Tissue",OR($B$52="g",$B$52="mg")),((AB35*AB$51)/(AB$52)),IF(AND(Results!$E$5="Volume",$C$54&gt;0,Results!$E$4="Fluid"),((AB35*AB$51)/(AB$54)),IF(AND(Results!$E$4="Cells",Results!$E$5="Million",$B$52="million"),((AB35*AB$51)/(AB$52)),"0")))))</f>
        <v>1.8638833333333333</v>
      </c>
      <c r="AC88" s="20">
        <f>IF(AC35=0,"0",IF(AND(Results!$E$5="Protein",$C$53&gt;0,OR(Results!$E$4="Tissue",Results!$E$4="Cells")),((AC35*AC$51)/(AC$53)),IF(AND(Results!$E$5="Weight",$C$52&gt;0, Results!$E$4="Tissue",OR($B$52="g",$B$52="mg")),((AC35*AC$51)/(AC$52)),IF(AND(Results!$E$5="Volume",$C$54&gt;0,Results!$E$4="Fluid"),((AC35*AC$51)/(AC$54)),IF(AND(Results!$E$4="Cells",Results!$E$5="Million",$B$52="million"),((AC35*AC$51)/(AC$52)),"0")))))</f>
        <v>0.63491666666666668</v>
      </c>
      <c r="AD88" s="20">
        <f>IF(AD35=0,"0",IF(AND(Results!$E$5="Protein",$C$53&gt;0,OR(Results!$E$4="Tissue",Results!$E$4="Cells")),((AD35*AD$51)/(AD$53)),IF(AND(Results!$E$5="Weight",$C$52&gt;0, Results!$E$4="Tissue",OR($B$52="g",$B$52="mg")),((AD35*AD$51)/(AD$52)),IF(AND(Results!$E$5="Volume",$C$54&gt;0,Results!$E$4="Fluid"),((AD35*AD$51)/(AD$54)),IF(AND(Results!$E$4="Cells",Results!$E$5="Million",$B$52="million"),((AD35*AD$51)/(AD$52)),"0")))))</f>
        <v>1.1370833333333332</v>
      </c>
      <c r="AE88" s="20">
        <f>IF(AE35=0,"0",IF(AND(Results!$E$5="Protein",$C$53&gt;0,OR(Results!$E$4="Tissue",Results!$E$4="Cells")),((AE35*AE$51)/(AE$53)),IF(AND(Results!$E$5="Weight",$C$52&gt;0, Results!$E$4="Tissue",OR($B$52="g",$B$52="mg")),((AE35*AE$51)/(AE$52)),IF(AND(Results!$E$5="Volume",$C$54&gt;0,Results!$E$4="Fluid"),((AE35*AE$51)/(AE$54)),IF(AND(Results!$E$4="Cells",Results!$E$5="Million",$B$52="million"),((AE35*AE$51)/(AE$52)),"0")))))</f>
        <v>0.53525</v>
      </c>
      <c r="AF88" s="20">
        <f>IF(AF35=0,"0",IF(AND(Results!$E$5="Protein",$C$53&gt;0,OR(Results!$E$4="Tissue",Results!$E$4="Cells")),((AF35*AF$51)/(AF$53)),IF(AND(Results!$E$5="Weight",$C$52&gt;0, Results!$E$4="Tissue",OR($B$52="g",$B$52="mg")),((AF35*AF$51)/(AF$52)),IF(AND(Results!$E$5="Volume",$C$54&gt;0,Results!$E$4="Fluid"),((AF35*AF$51)/(AF$54)),IF(AND(Results!$E$4="Cells",Results!$E$5="Million",$B$52="million"),((AF35*AF$51)/(AF$52)),"0")))))</f>
        <v>0.93888333333333329</v>
      </c>
      <c r="AG88" s="20">
        <f>IF(AG35=0,"0",IF(AND(Results!$E$5="Protein",$C$53&gt;0,OR(Results!$E$4="Tissue",Results!$E$4="Cells")),((AG35*AG$51)/(AG$53)),IF(AND(Results!$E$5="Weight",$C$52&gt;0, Results!$E$4="Tissue",OR($B$52="g",$B$52="mg")),((AG35*AG$51)/(AG$52)),IF(AND(Results!$E$5="Volume",$C$54&gt;0,Results!$E$4="Fluid"),((AG35*AG$51)/(AG$54)),IF(AND(Results!$E$4="Cells",Results!$E$5="Million",$B$52="million"),((AG35*AG$51)/(AG$52)),"0")))))</f>
        <v>2.0918000000000001</v>
      </c>
      <c r="AH88" s="20">
        <f>IF(AH35=0,"0",IF(AND(Results!$E$5="Protein",$C$53&gt;0,OR(Results!$E$4="Tissue",Results!$E$4="Cells")),((AH35*AH$51)/(AH$53)),IF(AND(Results!$E$5="Weight",$C$52&gt;0, Results!$E$4="Tissue",OR($B$52="g",$B$52="mg")),((AH35*AH$51)/(AH$52)),IF(AND(Results!$E$5="Volume",$C$54&gt;0,Results!$E$4="Fluid"),((AH35*AH$51)/(AH$54)),IF(AND(Results!$E$4="Cells",Results!$E$5="Million",$B$52="million"),((AH35*AH$51)/(AH$52)),"0")))))</f>
        <v>1.1258000000000001</v>
      </c>
      <c r="AI88" s="20">
        <f>IF(AI35=0,"0",IF(AND(Results!$E$5="Protein",$C$53&gt;0,OR(Results!$E$4="Tissue",Results!$E$4="Cells")),((AI35*AI$51)/(AI$53)),IF(AND(Results!$E$5="Weight",$C$52&gt;0, Results!$E$4="Tissue",OR($B$52="g",$B$52="mg")),((AI35*AI$51)/(AI$52)),IF(AND(Results!$E$5="Volume",$C$54&gt;0,Results!$E$4="Fluid"),((AI35*AI$51)/(AI$54)),IF(AND(Results!$E$4="Cells",Results!$E$5="Million",$B$52="million"),((AI35*AI$51)/(AI$52)),"0")))))</f>
        <v>1.4144000000000001</v>
      </c>
      <c r="AJ88" s="20">
        <f>IF(AJ35=0,"0",IF(AND(Results!$E$5="Protein",$C$53&gt;0,OR(Results!$E$4="Tissue",Results!$E$4="Cells")),((AJ35*AJ$51)/(AJ$53)),IF(AND(Results!$E$5="Weight",$C$52&gt;0, Results!$E$4="Tissue",OR($B$52="g",$B$52="mg")),((AJ35*AJ$51)/(AJ$52)),IF(AND(Results!$E$5="Volume",$C$54&gt;0,Results!$E$4="Fluid"),((AJ35*AJ$51)/(AJ$54)),IF(AND(Results!$E$4="Cells",Results!$E$5="Million",$B$52="million"),((AJ35*AJ$51)/(AJ$52)),"0")))))</f>
        <v>1.7300833333333332</v>
      </c>
      <c r="AK88" s="20">
        <f>IF(AK35=0,"0",IF(AND(Results!$E$5="Protein",$C$53&gt;0,OR(Results!$E$4="Tissue",Results!$E$4="Cells")),((AK35*AK$51)/(AK$53)),IF(AND(Results!$E$5="Weight",$C$52&gt;0, Results!$E$4="Tissue",OR($B$52="g",$B$52="mg")),((AK35*AK$51)/(AK$52)),IF(AND(Results!$E$5="Volume",$C$54&gt;0,Results!$E$4="Fluid"),((AK35*AK$51)/(AK$54)),IF(AND(Results!$E$4="Cells",Results!$E$5="Million",$B$52="million"),((AK35*AK$51)/(AK$52)),"0")))))</f>
        <v>0.57756666666666656</v>
      </c>
      <c r="AL88" s="20">
        <f>IF(AL35=0,"0",IF(AND(Results!$E$5="Protein",$C$53&gt;0,OR(Results!$E$4="Tissue",Results!$E$4="Cells")),((AL35*AL$51)/(AL$53)),IF(AND(Results!$E$5="Weight",$C$52&gt;0, Results!$E$4="Tissue",OR($B$52="g",$B$52="mg")),((AL35*AL$51)/(AL$52)),IF(AND(Results!$E$5="Volume",$C$54&gt;0,Results!$E$4="Fluid"),((AL35*AL$51)/(AL$54)),IF(AND(Results!$E$4="Cells",Results!$E$5="Million",$B$52="million"),((AL35*AL$51)/(AL$52)),"0")))))</f>
        <v>1.2018500000000001</v>
      </c>
      <c r="AM88" s="20">
        <f>IF(AM35=0,"0",IF(AND(Results!$E$5="Protein",$C$53&gt;0,OR(Results!$E$4="Tissue",Results!$E$4="Cells")),((AM35*AM$51)/(AM$53)),IF(AND(Results!$E$5="Weight",$C$52&gt;0, Results!$E$4="Tissue",OR($B$52="g",$B$52="mg")),((AM35*AM$51)/(AM$52)),IF(AND(Results!$E$5="Volume",$C$54&gt;0,Results!$E$4="Fluid"),((AM35*AM$51)/(AM$54)),IF(AND(Results!$E$4="Cells",Results!$E$5="Million",$B$52="million"),((AM35*AM$51)/(AM$52)),"0")))))</f>
        <v>2.3552333333333331</v>
      </c>
      <c r="AN88" s="20">
        <f>IF(AN35=0,"0",IF(AND(Results!$E$5="Protein",$C$53&gt;0,OR(Results!$E$4="Tissue",Results!$E$4="Cells")),((AN35*AN$51)/(AN$53)),IF(AND(Results!$E$5="Weight",$C$52&gt;0, Results!$E$4="Tissue",OR($B$52="g",$B$52="mg")),((AN35*AN$51)/(AN$52)),IF(AND(Results!$E$5="Volume",$C$54&gt;0,Results!$E$4="Fluid"),((AN35*AN$51)/(AN$54)),IF(AND(Results!$E$4="Cells",Results!$E$5="Million",$B$52="million"),((AN35*AN$51)/(AN$52)),"0")))))</f>
        <v>1.4346500000000002</v>
      </c>
      <c r="AO88" s="20">
        <f>IF(AO35=0,"0",IF(AND(Results!$E$5="Protein",$C$53&gt;0,OR(Results!$E$4="Tissue",Results!$E$4="Cells")),((AO35*AO$51)/(AO$53)),IF(AND(Results!$E$5="Weight",$C$52&gt;0, Results!$E$4="Tissue",OR($B$52="g",$B$52="mg")),((AO35*AO$51)/(AO$52)),IF(AND(Results!$E$5="Volume",$C$54&gt;0,Results!$E$4="Fluid"),((AO35*AO$51)/(AO$54)),IF(AND(Results!$E$4="Cells",Results!$E$5="Million",$B$52="million"),((AO35*AO$51)/(AO$52)),"0")))))</f>
        <v>0.85391666666666666</v>
      </c>
      <c r="AP88" s="20">
        <f>IF(AP35=0,"0",IF(AND(Results!$E$5="Protein",$C$53&gt;0,OR(Results!$E$4="Tissue",Results!$E$4="Cells")),((AP35*AP$51)/(AP$53)),IF(AND(Results!$E$5="Weight",$C$52&gt;0, Results!$E$4="Tissue",OR($B$52="g",$B$52="mg")),((AP35*AP$51)/(AP$52)),IF(AND(Results!$E$5="Volume",$C$54&gt;0,Results!$E$4="Fluid"),((AP35*AP$51)/(AP$54)),IF(AND(Results!$E$4="Cells",Results!$E$5="Million",$B$52="million"),((AP35*AP$51)/(AP$52)),"0")))))</f>
        <v>1.1415833333333334</v>
      </c>
      <c r="AQ88" s="20">
        <f>IF(AQ35=0,"0",IF(AND(Results!$E$5="Protein",$C$53&gt;0,OR(Results!$E$4="Tissue",Results!$E$4="Cells")),((AQ35*AQ$51)/(AQ$53)),IF(AND(Results!$E$5="Weight",$C$52&gt;0, Results!$E$4="Tissue",OR($B$52="g",$B$52="mg")),((AQ35*AQ$51)/(AQ$52)),IF(AND(Results!$E$5="Volume",$C$54&gt;0,Results!$E$4="Fluid"),((AQ35*AQ$51)/(AQ$54)),IF(AND(Results!$E$4="Cells",Results!$E$5="Million",$B$52="million"),((AQ35*AQ$51)/(AQ$52)),"0")))))</f>
        <v>3.3933166666666663</v>
      </c>
      <c r="AR88" s="20">
        <f>IF(AR35=0,"0",IF(AND(Results!$E$5="Protein",$C$53&gt;0,OR(Results!$E$4="Tissue",Results!$E$4="Cells")),((AR35*AR$51)/(AR$53)),IF(AND(Results!$E$5="Weight",$C$52&gt;0, Results!$E$4="Tissue",OR($B$52="g",$B$52="mg")),((AR35*AR$51)/(AR$52)),IF(AND(Results!$E$5="Volume",$C$54&gt;0,Results!$E$4="Fluid"),((AR35*AR$51)/(AR$54)),IF(AND(Results!$E$4="Cells",Results!$E$5="Million",$B$52="million"),((AR35*AR$51)/(AR$52)),"0")))))</f>
        <v>0.3888833333333333</v>
      </c>
      <c r="AS88" s="20">
        <f>IF(AS35=0,"0",IF(AND(Results!$E$5="Protein",$C$53&gt;0,OR(Results!$E$4="Tissue",Results!$E$4="Cells")),((AS35*AS$51)/(AS$53)),IF(AND(Results!$E$5="Weight",$C$52&gt;0, Results!$E$4="Tissue",OR($B$52="g",$B$52="mg")),((AS35*AS$51)/(AS$52)),IF(AND(Results!$E$5="Volume",$C$54&gt;0,Results!$E$4="Fluid"),((AS35*AS$51)/(AS$54)),IF(AND(Results!$E$4="Cells",Results!$E$5="Million",$B$52="million"),((AS35*AS$51)/(AS$52)),"0")))))</f>
        <v>2.6600666666666664</v>
      </c>
      <c r="AT88" s="20">
        <f>IF(AT35=0,"0",IF(AND(Results!$E$5="Protein",$C$53&gt;0,OR(Results!$E$4="Tissue",Results!$E$4="Cells")),((AT35*AT$51)/(AT$53)),IF(AND(Results!$E$5="Weight",$C$52&gt;0, Results!$E$4="Tissue",OR($B$52="g",$B$52="mg")),((AT35*AT$51)/(AT$52)),IF(AND(Results!$E$5="Volume",$C$54&gt;0,Results!$E$4="Fluid"),((AT35*AT$51)/(AT$54)),IF(AND(Results!$E$4="Cells",Results!$E$5="Million",$B$52="million"),((AT35*AT$51)/(AT$52)),"0")))))</f>
        <v>1.6563666666666668</v>
      </c>
      <c r="AU88" s="20" t="str">
        <f>IF(AU35=0,"0",IF(AND(Results!$E$5="Protein",$C$53&gt;0,OR(Results!$E$4="Tissue",Results!$E$4="Cells")),((AU35*AU$51)/(AU$53)),IF(AND(Results!$E$5="Weight",$C$52&gt;0, Results!$E$4="Tissue",OR($B$52="g",$B$52="mg")),((AU35*AU$51)/(AU$52)),IF(AND(Results!$E$5="Volume",$C$54&gt;0,Results!$E$4="Fluid"),((AU35*AU$51)/(AU$54)),IF(AND(Results!$E$4="Cells",Results!$E$5="Million",$B$52="million"),((AU35*AU$51)/(AU$52)),"0")))))</f>
        <v>0</v>
      </c>
      <c r="AV88" s="20">
        <f>IF(AV35=0,"0",IF(AND(Results!$E$5="Protein",$C$53&gt;0,OR(Results!$E$4="Tissue",Results!$E$4="Cells")),((AV35*AV$51)/(AV$53)),IF(AND(Results!$E$5="Weight",$C$52&gt;0, Results!$E$4="Tissue",OR($B$52="g",$B$52="mg")),((AV35*AV$51)/(AV$52)),IF(AND(Results!$E$5="Volume",$C$54&gt;0,Results!$E$4="Fluid"),((AV35*AV$51)/(AV$54)),IF(AND(Results!$E$4="Cells",Results!$E$5="Million",$B$52="million"),((AV35*AV$51)/(AV$52)),"0")))))</f>
        <v>1.1708799999999999</v>
      </c>
      <c r="AW88" s="20">
        <f>IF(AW35=0,"0",IF(AND(Results!$E$5="Protein",$C$53&gt;0,OR(Results!$E$4="Tissue",Results!$E$4="Cells")),((AW35*AW$51)/(AW$53)),IF(AND(Results!$E$5="Weight",$C$52&gt;0, Results!$E$4="Tissue",OR($B$52="g",$B$52="mg")),((AW35*AW$51)/(AW$52)),IF(AND(Results!$E$5="Volume",$C$54&gt;0,Results!$E$4="Fluid"),((AW35*AW$51)/(AW$54)),IF(AND(Results!$E$4="Cells",Results!$E$5="Million",$B$52="million"),((AW35*AW$51)/(AW$52)),"0")))))</f>
        <v>0.68328333333333335</v>
      </c>
      <c r="AX88" s="20">
        <f>IF(AX35=0,"0",IF(AND(Results!$E$5="Protein",$C$53&gt;0,OR(Results!$E$4="Tissue",Results!$E$4="Cells")),((AX35*AX$51)/(AX$53)),IF(AND(Results!$E$5="Weight",$C$52&gt;0, Results!$E$4="Tissue",OR($B$52="g",$B$52="mg")),((AX35*AX$51)/(AX$52)),IF(AND(Results!$E$5="Volume",$C$54&gt;0,Results!$E$4="Fluid"),((AX35*AX$51)/(AX$54)),IF(AND(Results!$E$4="Cells",Results!$E$5="Million",$B$52="million"),((AX35*AX$51)/(AX$52)),"0")))))</f>
        <v>0.7698166666666667</v>
      </c>
      <c r="AY88" s="20">
        <f>IF(AY35=0,"0",IF(AND(Results!$E$5="Protein",$C$53&gt;0,OR(Results!$E$4="Tissue",Results!$E$4="Cells")),((AY35*AY$51)/(AY$53)),IF(AND(Results!$E$5="Weight",$C$52&gt;0, Results!$E$4="Tissue",OR($B$52="g",$B$52="mg")),((AY35*AY$51)/(AY$52)),IF(AND(Results!$E$5="Volume",$C$54&gt;0,Results!$E$4="Fluid"),((AY35*AY$51)/(AY$54)),IF(AND(Results!$E$4="Cells",Results!$E$5="Million",$B$52="million"),((AY35*AY$51)/(AY$52)),"0")))))</f>
        <v>1.0977833333333333</v>
      </c>
      <c r="AZ88" s="20">
        <f>IF(AZ35=0,"0",IF(AND(Results!$E$5="Protein",$C$53&gt;0,OR(Results!$E$4="Tissue",Results!$E$4="Cells")),((AZ35*AZ$51)/(AZ$53)),IF(AND(Results!$E$5="Weight",$C$52&gt;0, Results!$E$4="Tissue",OR($B$52="g",$B$52="mg")),((AZ35*AZ$51)/(AZ$52)),IF(AND(Results!$E$5="Volume",$C$54&gt;0,Results!$E$4="Fluid"),((AZ35*AZ$51)/(AZ$54)),IF(AND(Results!$E$4="Cells",Results!$E$5="Million",$B$52="million"),((AZ35*AZ$51)/(AZ$52)),"0")))))</f>
        <v>0.34009999999999996</v>
      </c>
      <c r="BA88" s="20">
        <f>IF(BA35=0,"0",IF(AND(Results!$E$5="Protein",$C$53&gt;0,OR(Results!$E$4="Tissue",Results!$E$4="Cells")),((BA35*BA$51)/(BA$53)),IF(AND(Results!$E$5="Weight",$C$52&gt;0, Results!$E$4="Tissue",OR($B$52="g",$B$52="mg")),((BA35*BA$51)/(BA$52)),IF(AND(Results!$E$5="Volume",$C$54&gt;0,Results!$E$4="Fluid"),((BA35*BA$51)/(BA$54)),IF(AND(Results!$E$4="Cells",Results!$E$5="Million",$B$52="million"),((BA35*BA$51)/(BA$52)),"0")))))</f>
        <v>0.9448833333333333</v>
      </c>
      <c r="BB88" s="20">
        <f>IF(BB35=0,"0",IF(AND(Results!$E$5="Protein",$C$53&gt;0,OR(Results!$E$4="Tissue",Results!$E$4="Cells")),((BB35*BB$51)/(BB$53)),IF(AND(Results!$E$5="Weight",$C$52&gt;0, Results!$E$4="Tissue",OR($B$52="g",$B$52="mg")),((BB35*BB$51)/(BB$52)),IF(AND(Results!$E$5="Volume",$C$54&gt;0,Results!$E$4="Fluid"),((BB35*BB$51)/(BB$54)),IF(AND(Results!$E$4="Cells",Results!$E$5="Million",$B$52="million"),((BB35*BB$51)/(BB$52)),"0")))))</f>
        <v>0.41339999999999999</v>
      </c>
      <c r="BC88" s="20">
        <f>IF(BC35=0,"0",IF(AND(Results!$E$5="Protein",$C$53&gt;0,OR(Results!$E$4="Tissue",Results!$E$4="Cells")),((BC35*BC$51)/(BC$53)),IF(AND(Results!$E$5="Weight",$C$52&gt;0, Results!$E$4="Tissue",OR($B$52="g",$B$52="mg")),((BC35*BC$51)/(BC$52)),IF(AND(Results!$E$5="Volume",$C$54&gt;0,Results!$E$4="Fluid"),((BC35*BC$51)/(BC$54)),IF(AND(Results!$E$4="Cells",Results!$E$5="Million",$B$52="million"),((BC35*BC$51)/(BC$52)),"0")))))</f>
        <v>1.0061333333333333</v>
      </c>
      <c r="BD88" s="20">
        <f>IF(BD35=0,"0",IF(AND(Results!$E$5="Protein",$C$53&gt;0,OR(Results!$E$4="Tissue",Results!$E$4="Cells")),((BD35*BD$51)/(BD$53)),IF(AND(Results!$E$5="Weight",$C$52&gt;0, Results!$E$4="Tissue",OR($B$52="g",$B$52="mg")),((BD35*BD$51)/(BD$52)),IF(AND(Results!$E$5="Volume",$C$54&gt;0,Results!$E$4="Fluid"),((BD35*BD$51)/(BD$54)),IF(AND(Results!$E$4="Cells",Results!$E$5="Million",$B$52="million"),((BD35*BD$51)/(BD$52)),"0")))))</f>
        <v>0.44236666666666663</v>
      </c>
      <c r="BE88" s="20">
        <f>IF(BE35=0,"0",IF(AND(Results!$E$5="Protein",$C$53&gt;0,OR(Results!$E$4="Tissue",Results!$E$4="Cells")),((BE35*BE$51)/(BE$53)),IF(AND(Results!$E$5="Weight",$C$52&gt;0, Results!$E$4="Tissue",OR($B$52="g",$B$52="mg")),((BE35*BE$51)/(BE$52)),IF(AND(Results!$E$5="Volume",$C$54&gt;0,Results!$E$4="Fluid"),((BE35*BE$51)/(BE$54)),IF(AND(Results!$E$4="Cells",Results!$E$5="Million",$B$52="million"),((BE35*BE$51)/(BE$52)),"0")))))</f>
        <v>1.5808166666666665</v>
      </c>
      <c r="BF88" s="20">
        <f>IF(BF35=0,"0",IF(AND(Results!$E$5="Protein",$C$53&gt;0,OR(Results!$E$4="Tissue",Results!$E$4="Cells")),((BF35*BF$51)/(BF$53)),IF(AND(Results!$E$5="Weight",$C$52&gt;0, Results!$E$4="Tissue",OR($B$52="g",$B$52="mg")),((BF35*BF$51)/(BF$52)),IF(AND(Results!$E$5="Volume",$C$54&gt;0,Results!$E$4="Fluid"),((BF35*BF$51)/(BF$54)),IF(AND(Results!$E$4="Cells",Results!$E$5="Million",$B$52="million"),((BF35*BF$51)/(BF$52)),"0")))))</f>
        <v>3.5002666666666666</v>
      </c>
      <c r="BG88" s="20">
        <f>IF(BG35=0,"0",IF(AND(Results!$E$5="Protein",$C$53&gt;0,OR(Results!$E$4="Tissue",Results!$E$4="Cells")),((BG35*BG$51)/(BG$53)),IF(AND(Results!$E$5="Weight",$C$52&gt;0, Results!$E$4="Tissue",OR($B$52="g",$B$52="mg")),((BG35*BG$51)/(BG$52)),IF(AND(Results!$E$5="Volume",$C$54&gt;0,Results!$E$4="Fluid"),((BG35*BG$51)/(BG$54)),IF(AND(Results!$E$4="Cells",Results!$E$5="Million",$B$52="million"),((BG35*BG$51)/(BG$52)),"0")))))</f>
        <v>0.29349999999999998</v>
      </c>
      <c r="BH88" s="20">
        <f>IF(BH35=0,"0",IF(AND(Results!$E$5="Protein",$C$53&gt;0,OR(Results!$E$4="Tissue",Results!$E$4="Cells")),((BH35*BH$51)/(BH$53)),IF(AND(Results!$E$5="Weight",$C$52&gt;0, Results!$E$4="Tissue",OR($B$52="g",$B$52="mg")),((BH35*BH$51)/(BH$52)),IF(AND(Results!$E$5="Volume",$C$54&gt;0,Results!$E$4="Fluid"),((BH35*BH$51)/(BH$54)),IF(AND(Results!$E$4="Cells",Results!$E$5="Million",$B$52="million"),((BH35*BH$51)/(BH$52)),"0")))))</f>
        <v>5.8533833333333325</v>
      </c>
      <c r="BI88" s="20">
        <f>IF(BI35=0,"0",IF(AND(Results!$E$5="Protein",$C$53&gt;0,OR(Results!$E$4="Tissue",Results!$E$4="Cells")),((BI35*BI$51)/(BI$53)),IF(AND(Results!$E$5="Weight",$C$52&gt;0, Results!$E$4="Tissue",OR($B$52="g",$B$52="mg")),((BI35*BI$51)/(BI$52)),IF(AND(Results!$E$5="Volume",$C$54&gt;0,Results!$E$4="Fluid"),((BI35*BI$51)/(BI$54)),IF(AND(Results!$E$4="Cells",Results!$E$5="Million",$B$52="million"),((BI35*BI$51)/(BI$52)),"0")))))</f>
        <v>4.6669999999999998</v>
      </c>
      <c r="BJ88" s="20">
        <f>IF(BJ35=0,"0",IF(AND(Results!$E$5="Protein",$C$53&gt;0,OR(Results!$E$4="Tissue",Results!$E$4="Cells")),((BJ35*BJ$51)/(BJ$53)),IF(AND(Results!$E$5="Weight",$C$52&gt;0, Results!$E$4="Tissue",OR($B$52="g",$B$52="mg")),((BJ35*BJ$51)/(BJ$52)),IF(AND(Results!$E$5="Volume",$C$54&gt;0,Results!$E$4="Fluid"),((BJ35*BJ$51)/(BJ$54)),IF(AND(Results!$E$4="Cells",Results!$E$5="Million",$B$52="million"),((BJ35*BJ$51)/(BJ$52)),"0")))))</f>
        <v>8.8222333333333331</v>
      </c>
      <c r="BK88" s="20">
        <f>IF(BK35=0,"0",IF(AND(Results!$E$5="Protein",$C$53&gt;0,OR(Results!$E$4="Tissue",Results!$E$4="Cells")),((BK35*BK$51)/(BK$53)),IF(AND(Results!$E$5="Weight",$C$52&gt;0, Results!$E$4="Tissue",OR($B$52="g",$B$52="mg")),((BK35*BK$51)/(BK$52)),IF(AND(Results!$E$5="Volume",$C$54&gt;0,Results!$E$4="Fluid"),((BK35*BK$51)/(BK$54)),IF(AND(Results!$E$4="Cells",Results!$E$5="Million",$B$52="million"),((BK35*BK$51)/(BK$52)),"0")))))</f>
        <v>1.4839166666666666</v>
      </c>
      <c r="BL88" s="20">
        <f>IF(BL35=0,"0",IF(AND(Results!$E$5="Protein",$C$53&gt;0,OR(Results!$E$4="Tissue",Results!$E$4="Cells")),((BL35*BL$51)/(BL$53)),IF(AND(Results!$E$5="Weight",$C$52&gt;0, Results!$E$4="Tissue",OR($B$52="g",$B$52="mg")),((BL35*BL$51)/(BL$52)),IF(AND(Results!$E$5="Volume",$C$54&gt;0,Results!$E$4="Fluid"),((BL35*BL$51)/(BL$54)),IF(AND(Results!$E$4="Cells",Results!$E$5="Million",$B$52="million"),((BL35*BL$51)/(BL$52)),"0")))))</f>
        <v>22.811400000000003</v>
      </c>
      <c r="BM88" s="20">
        <f>IF(BM35=0,"0",IF(AND(Results!$E$5="Protein",$C$53&gt;0,OR(Results!$E$4="Tissue",Results!$E$4="Cells")),((BM35*BM$51)/(BM$53)),IF(AND(Results!$E$5="Weight",$C$52&gt;0, Results!$E$4="Tissue",OR($B$52="g",$B$52="mg")),((BM35*BM$51)/(BM$52)),IF(AND(Results!$E$5="Volume",$C$54&gt;0,Results!$E$4="Fluid"),((BM35*BM$51)/(BM$54)),IF(AND(Results!$E$4="Cells",Results!$E$5="Million",$B$52="million"),((BM35*BM$51)/(BM$52)),"0")))))</f>
        <v>24.88597142857143</v>
      </c>
      <c r="BN88" s="20">
        <f>IF(BN35=0,"0",IF(AND(Results!$E$5="Protein",$C$53&gt;0,OR(Results!$E$4="Tissue",Results!$E$4="Cells")),((BN35*BN$51)/(BN$53)),IF(AND(Results!$E$5="Weight",$C$52&gt;0, Results!$E$4="Tissue",OR($B$52="g",$B$52="mg")),((BN35*BN$51)/(BN$52)),IF(AND(Results!$E$5="Volume",$C$54&gt;0,Results!$E$4="Fluid"),((BN35*BN$51)/(BN$54)),IF(AND(Results!$E$4="Cells",Results!$E$5="Million",$B$52="million"),((BN35*BN$51)/(BN$52)),"0")))))</f>
        <v>39.701483333333336</v>
      </c>
      <c r="BO88" s="20">
        <f>IF(BO35=0,"0",IF(AND(Results!$E$5="Protein",$C$53&gt;0,OR(Results!$E$4="Tissue",Results!$E$4="Cells")),((BO35*BO$51)/(BO$53)),IF(AND(Results!$E$5="Weight",$C$52&gt;0, Results!$E$4="Tissue",OR($B$52="g",$B$52="mg")),((BO35*BO$51)/(BO$52)),IF(AND(Results!$E$5="Volume",$C$54&gt;0,Results!$E$4="Fluid"),((BO35*BO$51)/(BO$54)),IF(AND(Results!$E$4="Cells",Results!$E$5="Million",$B$52="million"),((BO35*BO$51)/(BO$52)),"0")))))</f>
        <v>107.96598333333333</v>
      </c>
      <c r="BP88" s="20">
        <f>IF(BP35=0,"0",IF(AND(Results!$E$5="Protein",$C$53&gt;0,OR(Results!$E$4="Tissue",Results!$E$4="Cells")),((BP35*BP$51)/(BP$53)),IF(AND(Results!$E$5="Weight",$C$52&gt;0, Results!$E$4="Tissue",OR($B$52="g",$B$52="mg")),((BP35*BP$51)/(BP$52)),IF(AND(Results!$E$5="Volume",$C$54&gt;0,Results!$E$4="Fluid"),((BP35*BP$51)/(BP$54)),IF(AND(Results!$E$4="Cells",Results!$E$5="Million",$B$52="million"),((BP35*BP$51)/(BP$52)),"0")))))</f>
        <v>51.337800000000001</v>
      </c>
      <c r="BQ88" s="20">
        <f>IF(BQ35=0,"0",IF(AND(Results!$E$5="Protein",$C$53&gt;0,OR(Results!$E$4="Tissue",Results!$E$4="Cells")),((BQ35*BQ$51)/(BQ$53)),IF(AND(Results!$E$5="Weight",$C$52&gt;0, Results!$E$4="Tissue",OR($B$52="g",$B$52="mg")),((BQ35*BQ$51)/(BQ$52)),IF(AND(Results!$E$5="Volume",$C$54&gt;0,Results!$E$4="Fluid"),((BQ35*BQ$51)/(BQ$54)),IF(AND(Results!$E$4="Cells",Results!$E$5="Million",$B$52="million"),((BQ35*BQ$51)/(BQ$52)),"0")))))</f>
        <v>2.5672666666666668</v>
      </c>
      <c r="BR88" s="20">
        <f>IF(BR35=0,"0",IF(AND(Results!$E$5="Protein",$C$53&gt;0,OR(Results!$E$4="Tissue",Results!$E$4="Cells")),((BR35*BR$51)/(BR$53)),IF(AND(Results!$E$5="Weight",$C$52&gt;0, Results!$E$4="Tissue",OR($B$52="g",$B$52="mg")),((BR35*BR$51)/(BR$52)),IF(AND(Results!$E$5="Volume",$C$54&gt;0,Results!$E$4="Fluid"),((BR35*BR$51)/(BR$54)),IF(AND(Results!$E$4="Cells",Results!$E$5="Million",$B$52="million"),((BR35*BR$51)/(BR$52)),"0")))))</f>
        <v>0.77091428571428566</v>
      </c>
      <c r="BS88" s="20">
        <f>IF(BS35=0,"0",IF(AND(Results!$E$5="Protein",$C$53&gt;0,OR(Results!$E$4="Tissue",Results!$E$4="Cells")),((BS35*BS$51)/(BS$53)),IF(AND(Results!$E$5="Weight",$C$52&gt;0, Results!$E$4="Tissue",OR($B$52="g",$B$52="mg")),((BS35*BS$51)/(BS$52)),IF(AND(Results!$E$5="Volume",$C$54&gt;0,Results!$E$4="Fluid"),((BS35*BS$51)/(BS$54)),IF(AND(Results!$E$4="Cells",Results!$E$5="Million",$B$52="million"),((BS35*BS$51)/(BS$52)),"0")))))</f>
        <v>107.22805</v>
      </c>
      <c r="BT88" s="20">
        <f>IF(BT35=0,"0",IF(AND(Results!$E$5="Protein",$C$53&gt;0,OR(Results!$E$4="Tissue",Results!$E$4="Cells")),((BT35*BT$51)/(BT$53)),IF(AND(Results!$E$5="Weight",$C$52&gt;0, Results!$E$4="Tissue",OR($B$52="g",$B$52="mg")),((BT35*BT$51)/(BT$52)),IF(AND(Results!$E$5="Volume",$C$54&gt;0,Results!$E$4="Fluid"),((BT35*BT$51)/(BT$54)),IF(AND(Results!$E$4="Cells",Results!$E$5="Million",$B$52="million"),((BT35*BT$51)/(BT$52)),"0")))))</f>
        <v>8.6475833333333334</v>
      </c>
      <c r="BU88" s="20">
        <f>IF(BU35=0,"0",IF(AND(Results!$E$5="Protein",$C$53&gt;0,OR(Results!$E$4="Tissue",Results!$E$4="Cells")),((BU35*BU$51)/(BU$53)),IF(AND(Results!$E$5="Weight",$C$52&gt;0, Results!$E$4="Tissue",OR($B$52="g",$B$52="mg")),((BU35*BU$51)/(BU$52)),IF(AND(Results!$E$5="Volume",$C$54&gt;0,Results!$E$4="Fluid"),((BU35*BU$51)/(BU$54)),IF(AND(Results!$E$4="Cells",Results!$E$5="Million",$B$52="million"),((BU35*BU$51)/(BU$52)),"0")))))</f>
        <v>3.0842833333333335</v>
      </c>
      <c r="BV88" s="20">
        <f>IF(BV35=0,"0",IF(AND(Results!$E$5="Protein",$C$53&gt;0,OR(Results!$E$4="Tissue",Results!$E$4="Cells")),((BV35*BV$51)/(BV$53)),IF(AND(Results!$E$5="Weight",$C$52&gt;0, Results!$E$4="Tissue",OR($B$52="g",$B$52="mg")),((BV35*BV$51)/(BV$52)),IF(AND(Results!$E$5="Volume",$C$54&gt;0,Results!$E$4="Fluid"),((BV35*BV$51)/(BV$54)),IF(AND(Results!$E$4="Cells",Results!$E$5="Million",$B$52="million"),((BV35*BV$51)/(BV$52)),"0")))))</f>
        <v>2.5323333333333333</v>
      </c>
      <c r="BW88" s="20">
        <f>IF(BW35=0,"0",IF(AND(Results!$E$5="Protein",$C$53&gt;0,OR(Results!$E$4="Tissue",Results!$E$4="Cells")),((BW35*BW$51)/(BW$53)),IF(AND(Results!$E$5="Weight",$C$52&gt;0, Results!$E$4="Tissue",OR($B$52="g",$B$52="mg")),((BW35*BW$51)/(BW$52)),IF(AND(Results!$E$5="Volume",$C$54&gt;0,Results!$E$4="Fluid"),((BW35*BW$51)/(BW$54)),IF(AND(Results!$E$4="Cells",Results!$E$5="Million",$B$52="million"),((BW35*BW$51)/(BW$52)),"0")))))</f>
        <v>3.5411666666666668</v>
      </c>
      <c r="BX88" s="20">
        <f>IF(BX35=0,"0",IF(AND(Results!$E$5="Protein",$C$53&gt;0,OR(Results!$E$4="Tissue",Results!$E$4="Cells")),((BX35*BX$51)/(BX$53)),IF(AND(Results!$E$5="Weight",$C$52&gt;0, Results!$E$4="Tissue",OR($B$52="g",$B$52="mg")),((BX35*BX$51)/(BX$52)),IF(AND(Results!$E$5="Volume",$C$54&gt;0,Results!$E$4="Fluid"),((BX35*BX$51)/(BX$54)),IF(AND(Results!$E$4="Cells",Results!$E$5="Million",$B$52="million"),((BX35*BX$51)/(BX$52)),"0")))))</f>
        <v>0.85643333333333338</v>
      </c>
      <c r="BY88" s="20">
        <f>IF(BY35=0,"0",IF(AND(Results!$E$5="Protein",$C$53&gt;0,OR(Results!$E$4="Tissue",Results!$E$4="Cells")),((BY35*BY$51)/(BY$53)),IF(AND(Results!$E$5="Weight",$C$52&gt;0, Results!$E$4="Tissue",OR($B$52="g",$B$52="mg")),((BY35*BY$51)/(BY$52)),IF(AND(Results!$E$5="Volume",$C$54&gt;0,Results!$E$4="Fluid"),((BY35*BY$51)/(BY$54)),IF(AND(Results!$E$4="Cells",Results!$E$5="Million",$B$52="million"),((BY35*BY$51)/(BY$52)),"0")))))</f>
        <v>2.8419166666666671</v>
      </c>
      <c r="BZ88" s="20">
        <f>IF(BZ35=0,"0",IF(AND(Results!$E$5="Protein",$C$53&gt;0,OR(Results!$E$4="Tissue",Results!$E$4="Cells")),((BZ35*BZ$51)/(BZ$53)),IF(AND(Results!$E$5="Weight",$C$52&gt;0, Results!$E$4="Tissue",OR($B$52="g",$B$52="mg")),((BZ35*BZ$51)/(BZ$52)),IF(AND(Results!$E$5="Volume",$C$54&gt;0,Results!$E$4="Fluid"),((BZ35*BZ$51)/(BZ$54)),IF(AND(Results!$E$4="Cells",Results!$E$5="Million",$B$52="million"),((BZ35*BZ$51)/(BZ$52)),"0")))))</f>
        <v>1.2201333333333333</v>
      </c>
      <c r="CA88" s="20">
        <f>IF(CA35=0,"0",IF(AND(Results!$E$5="Protein",$C$53&gt;0,OR(Results!$E$4="Tissue",Results!$E$4="Cells")),((CA35*CA$51)/(CA$53)),IF(AND(Results!$E$5="Weight",$C$52&gt;0, Results!$E$4="Tissue",OR($B$52="g",$B$52="mg")),((CA35*CA$51)/(CA$52)),IF(AND(Results!$E$5="Volume",$C$54&gt;0,Results!$E$4="Fluid"),((CA35*CA$51)/(CA$54)),IF(AND(Results!$E$4="Cells",Results!$E$5="Million",$B$52="million"),((CA35*CA$51)/(CA$52)),"0")))))</f>
        <v>3.1940000000000004</v>
      </c>
      <c r="CB88" s="20">
        <f>IF(CB35=0,"0",IF(AND(Results!$E$5="Protein",$C$53&gt;0,OR(Results!$E$4="Tissue",Results!$E$4="Cells")),((CB35*CB$51)/(CB$53)),IF(AND(Results!$E$5="Weight",$C$52&gt;0, Results!$E$4="Tissue",OR($B$52="g",$B$52="mg")),((CB35*CB$51)/(CB$52)),IF(AND(Results!$E$5="Volume",$C$54&gt;0,Results!$E$4="Fluid"),((CB35*CB$51)/(CB$54)),IF(AND(Results!$E$4="Cells",Results!$E$5="Million",$B$52="million"),((CB35*CB$51)/(CB$52)),"0")))))</f>
        <v>0.60661666666666669</v>
      </c>
      <c r="CC88" s="20">
        <f>IF(CC35=0,"0",IF(AND(Results!$E$5="Protein",$C$53&gt;0,OR(Results!$E$4="Tissue",Results!$E$4="Cells")),((CC35*CC$51)/(CC$53)),IF(AND(Results!$E$5="Weight",$C$52&gt;0, Results!$E$4="Tissue",OR($B$52="g",$B$52="mg")),((CC35*CC$51)/(CC$52)),IF(AND(Results!$E$5="Volume",$C$54&gt;0,Results!$E$4="Fluid"),((CC35*CC$51)/(CC$54)),IF(AND(Results!$E$4="Cells",Results!$E$5="Million",$B$52="million"),((CC35*CC$51)/(CC$52)),"0")))))</f>
        <v>1.3842333333333334</v>
      </c>
      <c r="CD88" s="20">
        <f>IF(CD35=0,"0",IF(AND(Results!$E$5="Protein",$C$53&gt;0,OR(Results!$E$4="Tissue",Results!$E$4="Cells")),((CD35*CD$51)/(CD$53)),IF(AND(Results!$E$5="Weight",$C$52&gt;0, Results!$E$4="Tissue",OR($B$52="g",$B$52="mg")),((CD35*CD$51)/(CD$52)),IF(AND(Results!$E$5="Volume",$C$54&gt;0,Results!$E$4="Fluid"),((CD35*CD$51)/(CD$54)),IF(AND(Results!$E$4="Cells",Results!$E$5="Million",$B$52="million"),((CD35*CD$51)/(CD$52)),"0")))))</f>
        <v>1.1900166666666669</v>
      </c>
      <c r="CE88" s="20">
        <f>IF(CE35=0,"0",IF(AND(Results!$E$5="Protein",$C$53&gt;0,OR(Results!$E$4="Tissue",Results!$E$4="Cells")),((CE35*CE$51)/(CE$53)),IF(AND(Results!$E$5="Weight",$C$52&gt;0, Results!$E$4="Tissue",OR($B$52="g",$B$52="mg")),((CE35*CE$51)/(CE$52)),IF(AND(Results!$E$5="Volume",$C$54&gt;0,Results!$E$4="Fluid"),((CE35*CE$51)/(CE$54)),IF(AND(Results!$E$4="Cells",Results!$E$5="Million",$B$52="million"),((CE35*CE$51)/(CE$52)),"0")))))</f>
        <v>5.3199000000000005</v>
      </c>
      <c r="CF88" s="20">
        <f>IF(CF35=0,"0",IF(AND(Results!$E$5="Protein",$C$53&gt;0,OR(Results!$E$4="Tissue",Results!$E$4="Cells")),((CF35*CF$51)/(CF$53)),IF(AND(Results!$E$5="Weight",$C$52&gt;0, Results!$E$4="Tissue",OR($B$52="g",$B$52="mg")),((CF35*CF$51)/(CF$52)),IF(AND(Results!$E$5="Volume",$C$54&gt;0,Results!$E$4="Fluid"),((CF35*CF$51)/(CF$54)),IF(AND(Results!$E$4="Cells",Results!$E$5="Million",$B$52="million"),((CF35*CF$51)/(CF$52)),"0")))))</f>
        <v>0.69275000000000009</v>
      </c>
      <c r="CG88" s="20">
        <f>IF(CG35=0,"0",IF(AND(Results!$E$5="Protein",$C$53&gt;0,OR(Results!$E$4="Tissue",Results!$E$4="Cells")),((CG35*CG$51)/(CG$53)),IF(AND(Results!$E$5="Weight",$C$52&gt;0, Results!$E$4="Tissue",OR($B$52="g",$B$52="mg")),((CG35*CG$51)/(CG$52)),IF(AND(Results!$E$5="Volume",$C$54&gt;0,Results!$E$4="Fluid"),((CG35*CG$51)/(CG$54)),IF(AND(Results!$E$4="Cells",Results!$E$5="Million",$B$52="million"),((CG35*CG$51)/(CG$52)),"0")))))</f>
        <v>1.8363</v>
      </c>
      <c r="CH88" s="20">
        <f>IF(CH35=0,"0",IF(AND(Results!$E$5="Protein",$C$53&gt;0,OR(Results!$E$4="Tissue",Results!$E$4="Cells")),((CH35*CH$51)/(CH$53)),IF(AND(Results!$E$5="Weight",$C$52&gt;0, Results!$E$4="Tissue",OR($B$52="g",$B$52="mg")),((CH35*CH$51)/(CH$52)),IF(AND(Results!$E$5="Volume",$C$54&gt;0,Results!$E$4="Fluid"),((CH35*CH$51)/(CH$54)),IF(AND(Results!$E$4="Cells",Results!$E$5="Million",$B$52="million"),((CH35*CH$51)/(CH$52)),"0")))))</f>
        <v>1.1662999999999999</v>
      </c>
      <c r="CI88" s="20">
        <f>IF(CI35=0,"0",IF(AND(Results!$E$5="Protein",$C$53&gt;0,OR(Results!$E$4="Tissue",Results!$E$4="Cells")),((CI35*CI$51)/(CI$53)),IF(AND(Results!$E$5="Weight",$C$52&gt;0, Results!$E$4="Tissue",OR($B$52="g",$B$52="mg")),((CI35*CI$51)/(CI$52)),IF(AND(Results!$E$5="Volume",$C$54&gt;0,Results!$E$4="Fluid"),((CI35*CI$51)/(CI$54)),IF(AND(Results!$E$4="Cells",Results!$E$5="Million",$B$52="million"),((CI35*CI$51)/(CI$52)),"0")))))</f>
        <v>1.3339999999999999</v>
      </c>
      <c r="CJ88" s="20">
        <f>IF(CJ35=0,"0",IF(AND(Results!$E$5="Protein",$C$53&gt;0,OR(Results!$E$4="Tissue",Results!$E$4="Cells")),((CJ35*CJ$51)/(CJ$53)),IF(AND(Results!$E$5="Weight",$C$52&gt;0, Results!$E$4="Tissue",OR($B$52="g",$B$52="mg")),((CJ35*CJ$51)/(CJ$52)),IF(AND(Results!$E$5="Volume",$C$54&gt;0,Results!$E$4="Fluid"),((CJ35*CJ$51)/(CJ$54)),IF(AND(Results!$E$4="Cells",Results!$E$5="Million",$B$52="million"),((CJ35*CJ$51)/(CJ$52)),"0")))))</f>
        <v>0.53671111111111114</v>
      </c>
      <c r="CK88" s="20">
        <f>IF(CK35=0,"0",IF(AND(Results!$E$5="Protein",$C$53&gt;0,OR(Results!$E$4="Tissue",Results!$E$4="Cells")),((CK35*CK$51)/(CK$53)),IF(AND(Results!$E$5="Weight",$C$52&gt;0, Results!$E$4="Tissue",OR($B$52="g",$B$52="mg")),((CK35*CK$51)/(CK$52)),IF(AND(Results!$E$5="Volume",$C$54&gt;0,Results!$E$4="Fluid"),((CK35*CK$51)/(CK$54)),IF(AND(Results!$E$4="Cells",Results!$E$5="Million",$B$52="million"),((CK35*CK$51)/(CK$52)),"0")))))</f>
        <v>0.31470000000000004</v>
      </c>
      <c r="CL88" s="20">
        <f>IF(CL35=0,"0",IF(AND(Results!$E$5="Protein",$C$53&gt;0,OR(Results!$E$4="Tissue",Results!$E$4="Cells")),((CL35*CL$51)/(CL$53)),IF(AND(Results!$E$5="Weight",$C$52&gt;0, Results!$E$4="Tissue",OR($B$52="g",$B$52="mg")),((CL35*CL$51)/(CL$52)),IF(AND(Results!$E$5="Volume",$C$54&gt;0,Results!$E$4="Fluid"),((CL35*CL$51)/(CL$54)),IF(AND(Results!$E$4="Cells",Results!$E$5="Million",$B$52="million"),((CL35*CL$51)/(CL$52)),"0")))))</f>
        <v>0.73796666666666677</v>
      </c>
      <c r="CM88" s="20">
        <f>IF(CM35=0,"0",IF(AND(Results!$E$5="Protein",$C$53&gt;0,OR(Results!$E$4="Tissue",Results!$E$4="Cells")),((CM35*CM$51)/(CM$53)),IF(AND(Results!$E$5="Weight",$C$52&gt;0, Results!$E$4="Tissue",OR($B$52="g",$B$52="mg")),((CM35*CM$51)/(CM$52)),IF(AND(Results!$E$5="Volume",$C$54&gt;0,Results!$E$4="Fluid"),((CM35*CM$51)/(CM$54)),IF(AND(Results!$E$4="Cells",Results!$E$5="Million",$B$52="million"),((CM35*CM$51)/(CM$52)),"0")))))</f>
        <v>0.59843333333333326</v>
      </c>
      <c r="CN88" s="20">
        <f>IF(CN35=0,"0",IF(AND(Results!$E$5="Protein",$C$53&gt;0,OR(Results!$E$4="Tissue",Results!$E$4="Cells")),((CN35*CN$51)/(CN$53)),IF(AND(Results!$E$5="Weight",$C$52&gt;0, Results!$E$4="Tissue",OR($B$52="g",$B$52="mg")),((CN35*CN$51)/(CN$52)),IF(AND(Results!$E$5="Volume",$C$54&gt;0,Results!$E$4="Fluid"),((CN35*CN$51)/(CN$54)),IF(AND(Results!$E$4="Cells",Results!$E$5="Million",$B$52="million"),((CN35*CN$51)/(CN$52)),"0")))))</f>
        <v>0.38985000000000003</v>
      </c>
      <c r="CO88" s="20">
        <f>IF(CO35=0,"0",IF(AND(Results!$E$5="Protein",$C$53&gt;0,OR(Results!$E$4="Tissue",Results!$E$4="Cells")),((CO35*CO$51)/(CO$53)),IF(AND(Results!$E$5="Weight",$C$52&gt;0, Results!$E$4="Tissue",OR($B$52="g",$B$52="mg")),((CO35*CO$51)/(CO$52)),IF(AND(Results!$E$5="Volume",$C$54&gt;0,Results!$E$4="Fluid"),((CO35*CO$51)/(CO$54)),IF(AND(Results!$E$4="Cells",Results!$E$5="Million",$B$52="million"),((CO35*CO$51)/(CO$52)),"0")))))</f>
        <v>0.47430000000000005</v>
      </c>
      <c r="CP88" s="20">
        <f>IF(CP35=0,"0",IF(AND(Results!$E$5="Protein",$C$53&gt;0,OR(Results!$E$4="Tissue",Results!$E$4="Cells")),((CP35*CP$51)/(CP$53)),IF(AND(Results!$E$5="Weight",$C$52&gt;0, Results!$E$4="Tissue",OR($B$52="g",$B$52="mg")),((CP35*CP$51)/(CP$52)),IF(AND(Results!$E$5="Volume",$C$54&gt;0,Results!$E$4="Fluid"),((CP35*CP$51)/(CP$54)),IF(AND(Results!$E$4="Cells",Results!$E$5="Million",$B$52="million"),((CP35*CP$51)/(CP$52)),"0")))))</f>
        <v>2.1220166666666667</v>
      </c>
      <c r="CQ88" s="20">
        <f>IF(CQ35=0,"0",IF(AND(Results!$E$5="Protein",$C$53&gt;0,OR(Results!$E$4="Tissue",Results!$E$4="Cells")),((CQ35*CQ$51)/(CQ$53)),IF(AND(Results!$E$5="Weight",$C$52&gt;0, Results!$E$4="Tissue",OR($B$52="g",$B$52="mg")),((CQ35*CQ$51)/(CQ$52)),IF(AND(Results!$E$5="Volume",$C$54&gt;0,Results!$E$4="Fluid"),((CQ35*CQ$51)/(CQ$54)),IF(AND(Results!$E$4="Cells",Results!$E$5="Million",$B$52="million"),((CQ35*CQ$51)/(CQ$52)),"0")))))</f>
        <v>1.3571833333333336</v>
      </c>
      <c r="CR88" s="20">
        <f>IF(CR35=0,"0",IF(AND(Results!$E$5="Protein",$C$53&gt;0,OR(Results!$E$4="Tissue",Results!$E$4="Cells")),((CR35*CR$51)/(CR$53)),IF(AND(Results!$E$5="Weight",$C$52&gt;0, Results!$E$4="Tissue",OR($B$52="g",$B$52="mg")),((CR35*CR$51)/(CR$52)),IF(AND(Results!$E$5="Volume",$C$54&gt;0,Results!$E$4="Fluid"),((CR35*CR$51)/(CR$54)),IF(AND(Results!$E$4="Cells",Results!$E$5="Million",$B$52="million"),((CR35*CR$51)/(CR$52)),"0")))))</f>
        <v>1.0211833333333333</v>
      </c>
      <c r="CS88" s="20">
        <f>IF(CS35=0,"0",IF(AND(Results!$E$5="Protein",$C$53&gt;0,OR(Results!$E$4="Tissue",Results!$E$4="Cells")),((CS35*CS$51)/(CS$53)),IF(AND(Results!$E$5="Weight",$C$52&gt;0, Results!$E$4="Tissue",OR($B$52="g",$B$52="mg")),((CS35*CS$51)/(CS$52)),IF(AND(Results!$E$5="Volume",$C$54&gt;0,Results!$E$4="Fluid"),((CS35*CS$51)/(CS$54)),IF(AND(Results!$E$4="Cells",Results!$E$5="Million",$B$52="million"),((CS35*CS$51)/(CS$52)),"0")))))</f>
        <v>0.65981666666666661</v>
      </c>
      <c r="CT88" s="20">
        <f>IF(CT35=0,"0",IF(AND(Results!$E$5="Protein",$C$53&gt;0,OR(Results!$E$4="Tissue",Results!$E$4="Cells")),((CT35*CT$51)/(CT$53)),IF(AND(Results!$E$5="Weight",$C$52&gt;0, Results!$E$4="Tissue",OR($B$52="g",$B$52="mg")),((CT35*CT$51)/(CT$52)),IF(AND(Results!$E$5="Volume",$C$54&gt;0,Results!$E$4="Fluid"),((CT35*CT$51)/(CT$54)),IF(AND(Results!$E$4="Cells",Results!$E$5="Million",$B$52="million"),((CT35*CT$51)/(CT$52)),"0")))))</f>
        <v>2.0927666666666669</v>
      </c>
      <c r="CU88" s="20">
        <f>IF(CU35=0,"0",IF(AND(Results!$E$5="Protein",$C$53&gt;0,OR(Results!$E$4="Tissue",Results!$E$4="Cells")),((CU35*CU$51)/(CU$53)),IF(AND(Results!$E$5="Weight",$C$52&gt;0, Results!$E$4="Tissue",OR($B$52="g",$B$52="mg")),((CU35*CU$51)/(CU$52)),IF(AND(Results!$E$5="Volume",$C$54&gt;0,Results!$E$4="Fluid"),((CU35*CU$51)/(CU$54)),IF(AND(Results!$E$4="Cells",Results!$E$5="Million",$B$52="million"),((CU35*CU$51)/(CU$52)),"0")))))</f>
        <v>0.44483333333333336</v>
      </c>
      <c r="CV88" s="20">
        <f>IF(CV35=0,"0",IF(AND(Results!$E$5="Protein",$C$53&gt;0,OR(Results!$E$4="Tissue",Results!$E$4="Cells")),((CV35*CV$51)/(CV$53)),IF(AND(Results!$E$5="Weight",$C$52&gt;0, Results!$E$4="Tissue",OR($B$52="g",$B$52="mg")),((CV35*CV$51)/(CV$52)),IF(AND(Results!$E$5="Volume",$C$54&gt;0,Results!$E$4="Fluid"),((CV35*CV$51)/(CV$54)),IF(AND(Results!$E$4="Cells",Results!$E$5="Million",$B$52="million"),((CV35*CV$51)/(CV$52)),"0")))))</f>
        <v>0.80901666666666661</v>
      </c>
      <c r="CW88" s="20">
        <f>IF(CW35=0,"0",IF(AND(Results!$E$5="Protein",$C$53&gt;0,OR(Results!$E$4="Tissue",Results!$E$4="Cells")),((CW35*CW$51)/(CW$53)),IF(AND(Results!$E$5="Weight",$C$52&gt;0, Results!$E$4="Tissue",OR($B$52="g",$B$52="mg")),((CW35*CW$51)/(CW$52)),IF(AND(Results!$E$5="Volume",$C$54&gt;0,Results!$E$4="Fluid"),((CW35*CW$51)/(CW$54)),IF(AND(Results!$E$4="Cells",Results!$E$5="Million",$B$52="million"),((CW35*CW$51)/(CW$52)),"0")))))</f>
        <v>1.9278333333333333</v>
      </c>
      <c r="CX88" s="20">
        <f>IF(CX35=0,"0",IF(AND(Results!$E$5="Protein",$C$53&gt;0,OR(Results!$E$4="Tissue",Results!$E$4="Cells")),((CX35*CX$51)/(CX$53)),IF(AND(Results!$E$5="Weight",$C$52&gt;0, Results!$E$4="Tissue",OR($B$52="g",$B$52="mg")),((CX35*CX$51)/(CX$52)),IF(AND(Results!$E$5="Volume",$C$54&gt;0,Results!$E$4="Fluid"),((CX35*CX$51)/(CX$54)),IF(AND(Results!$E$4="Cells",Results!$E$5="Million",$B$52="million"),((CX35*CX$51)/(CX$52)),"0")))))</f>
        <v>1.0040500000000001</v>
      </c>
      <c r="CY88" s="20">
        <f>IF(CY35=0,"0",IF(AND(Results!$E$5="Protein",$C$53&gt;0,OR(Results!$E$4="Tissue",Results!$E$4="Cells")),((CY35*CY$51)/(CY$53)),IF(AND(Results!$E$5="Weight",$C$52&gt;0, Results!$E$4="Tissue",OR($B$52="g",$B$52="mg")),((CY35*CY$51)/(CY$52)),IF(AND(Results!$E$5="Volume",$C$54&gt;0,Results!$E$4="Fluid"),((CY35*CY$51)/(CY$54)),IF(AND(Results!$E$4="Cells",Results!$E$5="Million",$B$52="million"),((CY35*CY$51)/(CY$52)),"0")))))</f>
        <v>0.51161666666666672</v>
      </c>
      <c r="CZ88" s="20">
        <f>IF(CZ35=0,"0",IF(AND(Results!$E$5="Protein",$C$53&gt;0,OR(Results!$E$4="Tissue",Results!$E$4="Cells")),((CZ35*CZ$51)/(CZ$53)),IF(AND(Results!$E$5="Weight",$C$52&gt;0, Results!$E$4="Tissue",OR($B$52="g",$B$52="mg")),((CZ35*CZ$51)/(CZ$52)),IF(AND(Results!$E$5="Volume",$C$54&gt;0,Results!$E$4="Fluid"),((CZ35*CZ$51)/(CZ$54)),IF(AND(Results!$E$4="Cells",Results!$E$5="Million",$B$52="million"),((CZ35*CZ$51)/(CZ$52)),"0")))))</f>
        <v>0.48609999999999992</v>
      </c>
      <c r="DA88" s="20">
        <f>IF(DA35=0,"0",IF(AND(Results!$E$5="Protein",$C$53&gt;0,OR(Results!$E$4="Tissue",Results!$E$4="Cells")),((DA35*DA$51)/(DA$53)),IF(AND(Results!$E$5="Weight",$C$52&gt;0, Results!$E$4="Tissue",OR($B$52="g",$B$52="mg")),((DA35*DA$51)/(DA$52)),IF(AND(Results!$E$5="Volume",$C$54&gt;0,Results!$E$4="Fluid"),((DA35*DA$51)/(DA$54)),IF(AND(Results!$E$4="Cells",Results!$E$5="Million",$B$52="million"),((DA35*DA$51)/(DA$52)),"0")))))</f>
        <v>0.7001666666666666</v>
      </c>
      <c r="DB88" s="20">
        <f>IF(DB35=0,"0",IF(AND(Results!$E$5="Protein",$C$53&gt;0,OR(Results!$E$4="Tissue",Results!$E$4="Cells")),((DB35*DB$51)/(DB$53)),IF(AND(Results!$E$5="Weight",$C$52&gt;0, Results!$E$4="Tissue",OR($B$52="g",$B$52="mg")),((DB35*DB$51)/(DB$52)),IF(AND(Results!$E$5="Volume",$C$54&gt;0,Results!$E$4="Fluid"),((DB35*DB$51)/(DB$54)),IF(AND(Results!$E$4="Cells",Results!$E$5="Million",$B$52="million"),((DB35*DB$51)/(DB$52)),"0")))))</f>
        <v>1.0738166666666666</v>
      </c>
      <c r="DC88" s="20">
        <f>IF(DC35=0,"0",IF(AND(Results!$E$5="Protein",$C$53&gt;0,OR(Results!$E$4="Tissue",Results!$E$4="Cells")),((DC35*DC$51)/(DC$53)),IF(AND(Results!$E$5="Weight",$C$52&gt;0, Results!$E$4="Tissue",OR($B$52="g",$B$52="mg")),((DC35*DC$51)/(DC$52)),IF(AND(Results!$E$5="Volume",$C$54&gt;0,Results!$E$4="Fluid"),((DC35*DC$51)/(DC$54)),IF(AND(Results!$E$4="Cells",Results!$E$5="Million",$B$52="million"),((DC35*DC$51)/(DC$52)),"0")))))</f>
        <v>0.45666666666666672</v>
      </c>
      <c r="DD88" s="20">
        <f>IF(DD35=0,"0",IF(AND(Results!$E$5="Protein",$C$53&gt;0,OR(Results!$E$4="Tissue",Results!$E$4="Cells")),((DD35*DD$51)/(DD$53)),IF(AND(Results!$E$5="Weight",$C$52&gt;0, Results!$E$4="Tissue",OR($B$52="g",$B$52="mg")),((DD35*DD$51)/(DD$52)),IF(AND(Results!$E$5="Volume",$C$54&gt;0,Results!$E$4="Fluid"),((DD35*DD$51)/(DD$54)),IF(AND(Results!$E$4="Cells",Results!$E$5="Million",$B$52="million"),((DD35*DD$51)/(DD$52)),"0")))))</f>
        <v>0.78678333333333339</v>
      </c>
      <c r="DE88" s="20">
        <f>IF(DE35=0,"0",IF(AND(Results!$E$5="Protein",$C$53&gt;0,OR(Results!$E$4="Tissue",Results!$E$4="Cells")),((DE35*DE$51)/(DE$53)),IF(AND(Results!$E$5="Weight",$C$52&gt;0, Results!$E$4="Tissue",OR($B$52="g",$B$52="mg")),((DE35*DE$51)/(DE$52)),IF(AND(Results!$E$5="Volume",$C$54&gt;0,Results!$E$4="Fluid"),((DE35*DE$51)/(DE$54)),IF(AND(Results!$E$4="Cells",Results!$E$5="Million",$B$52="million"),((DE35*DE$51)/(DE$52)),"0")))))</f>
        <v>1.3071833333333334</v>
      </c>
      <c r="DF88" s="20">
        <f>IF(DF35=0,"0",IF(AND(Results!$E$5="Protein",$C$53&gt;0,OR(Results!$E$4="Tissue",Results!$E$4="Cells")),((DF35*DF$51)/(DF$53)),IF(AND(Results!$E$5="Weight",$C$52&gt;0, Results!$E$4="Tissue",OR($B$52="g",$B$52="mg")),((DF35*DF$51)/(DF$52)),IF(AND(Results!$E$5="Volume",$C$54&gt;0,Results!$E$4="Fluid"),((DF35*DF$51)/(DF$54)),IF(AND(Results!$E$4="Cells",Results!$E$5="Million",$B$52="million"),((DF35*DF$51)/(DF$52)),"0")))))</f>
        <v>1.0835499999999998</v>
      </c>
      <c r="DG88" s="20">
        <f>IF(DG35=0,"0",IF(AND(Results!$E$5="Protein",$C$53&gt;0,OR(Results!$E$4="Tissue",Results!$E$4="Cells")),((DG35*DG$51)/(DG$53)),IF(AND(Results!$E$5="Weight",$C$52&gt;0, Results!$E$4="Tissue",OR($B$52="g",$B$52="mg")),((DG35*DG$51)/(DG$52)),IF(AND(Results!$E$5="Volume",$C$54&gt;0,Results!$E$4="Fluid"),((DG35*DG$51)/(DG$54)),IF(AND(Results!$E$4="Cells",Results!$E$5="Million",$B$52="million"),((DG35*DG$51)/(DG$52)),"0")))))</f>
        <v>1.0376833333333333</v>
      </c>
      <c r="DH88" s="20">
        <f>IF(DH35=0,"0",IF(AND(Results!$E$5="Protein",$C$53&gt;0,OR(Results!$E$4="Tissue",Results!$E$4="Cells")),((DH35*DH$51)/(DH$53)),IF(AND(Results!$E$5="Weight",$C$52&gt;0, Results!$E$4="Tissue",OR($B$52="g",$B$52="mg")),((DH35*DH$51)/(DH$52)),IF(AND(Results!$E$5="Volume",$C$54&gt;0,Results!$E$4="Fluid"),((DH35*DH$51)/(DH$54)),IF(AND(Results!$E$4="Cells",Results!$E$5="Million",$B$52="million"),((DH35*DH$51)/(DH$52)),"0")))))</f>
        <v>6.8333333333333329E-2</v>
      </c>
      <c r="DI88" s="20">
        <f>IF(DI35=0,"0",IF(AND(Results!$E$5="Protein",$C$53&gt;0,OR(Results!$E$4="Tissue",Results!$E$4="Cells")),((DI35*DI$51)/(DI$53)),IF(AND(Results!$E$5="Weight",$C$52&gt;0, Results!$E$4="Tissue",OR($B$52="g",$B$52="mg")),((DI35*DI$51)/(DI$52)),IF(AND(Results!$E$5="Volume",$C$54&gt;0,Results!$E$4="Fluid"),((DI35*DI$51)/(DI$54)),IF(AND(Results!$E$4="Cells",Results!$E$5="Million",$B$52="million"),((DI35*DI$51)/(DI$52)),"0")))))</f>
        <v>1.2420499999999999</v>
      </c>
      <c r="DJ88" s="20">
        <f>IF(DJ35=0,"0",IF(AND(Results!$E$5="Protein",$C$53&gt;0,OR(Results!$E$4="Tissue",Results!$E$4="Cells")),((DJ35*DJ$51)/(DJ$53)),IF(AND(Results!$E$5="Weight",$C$52&gt;0, Results!$E$4="Tissue",OR($B$52="g",$B$52="mg")),((DJ35*DJ$51)/(DJ$52)),IF(AND(Results!$E$5="Volume",$C$54&gt;0,Results!$E$4="Fluid"),((DJ35*DJ$51)/(DJ$54)),IF(AND(Results!$E$4="Cells",Results!$E$5="Million",$B$52="million"),((DJ35*DJ$51)/(DJ$52)),"0")))))</f>
        <v>1.9496</v>
      </c>
      <c r="DK88" s="20">
        <f>IF(DK35=0,"0",IF(AND(Results!$E$5="Protein",$C$53&gt;0,OR(Results!$E$4="Tissue",Results!$E$4="Cells")),((DK35*DK$51)/(DK$53)),IF(AND(Results!$E$5="Weight",$C$52&gt;0, Results!$E$4="Tissue",OR($B$52="g",$B$52="mg")),((DK35*DK$51)/(DK$52)),IF(AND(Results!$E$5="Volume",$C$54&gt;0,Results!$E$4="Fluid"),((DK35*DK$51)/(DK$54)),IF(AND(Results!$E$4="Cells",Results!$E$5="Million",$B$52="million"),((DK35*DK$51)/(DK$52)),"0")))))</f>
        <v>1.9535666666666667</v>
      </c>
      <c r="DL88" s="20">
        <f>IF(DL35=0,"0",IF(AND(Results!$E$5="Protein",$C$53&gt;0,OR(Results!$E$4="Tissue",Results!$E$4="Cells")),((DL35*DL$51)/(DL$53)),IF(AND(Results!$E$5="Weight",$C$52&gt;0, Results!$E$4="Tissue",OR($B$52="g",$B$52="mg")),((DL35*DL$51)/(DL$52)),IF(AND(Results!$E$5="Volume",$C$54&gt;0,Results!$E$4="Fluid"),((DL35*DL$51)/(DL$54)),IF(AND(Results!$E$4="Cells",Results!$E$5="Million",$B$52="million"),((DL35*DL$51)/(DL$52)),"0")))))</f>
        <v>5.4683333333333334E-2</v>
      </c>
      <c r="DM88" s="20">
        <f>IF(DM35=0,"0",IF(AND(Results!$E$5="Protein",$C$53&gt;0,OR(Results!$E$4="Tissue",Results!$E$4="Cells")),((DM35*DM$51)/(DM$53)),IF(AND(Results!$E$5="Weight",$C$52&gt;0, Results!$E$4="Tissue",OR($B$52="g",$B$52="mg")),((DM35*DM$51)/(DM$52)),IF(AND(Results!$E$5="Volume",$C$54&gt;0,Results!$E$4="Fluid"),((DM35*DM$51)/(DM$54)),IF(AND(Results!$E$4="Cells",Results!$E$5="Million",$B$52="million"),((DM35*DM$51)/(DM$52)),"0")))))</f>
        <v>3.4924166666666663</v>
      </c>
      <c r="DN88" s="20">
        <f>IF(DN35=0,"0",IF(AND(Results!$E$5="Protein",$C$53&gt;0,OR(Results!$E$4="Tissue",Results!$E$4="Cells")),((DN35*DN$51)/(DN$53)),IF(AND(Results!$E$5="Weight",$C$52&gt;0, Results!$E$4="Tissue",OR($B$52="g",$B$52="mg")),((DN35*DN$51)/(DN$52)),IF(AND(Results!$E$5="Volume",$C$54&gt;0,Results!$E$4="Fluid"),((DN35*DN$51)/(DN$54)),IF(AND(Results!$E$4="Cells",Results!$E$5="Million",$B$52="million"),((DN35*DN$51)/(DN$52)),"0")))))</f>
        <v>1.1524333333333334</v>
      </c>
      <c r="DO88" s="20">
        <f>IF(DO35=0,"0",IF(AND(Results!$E$5="Protein",$C$53&gt;0,OR(Results!$E$4="Tissue",Results!$E$4="Cells")),((DO35*DO$51)/(DO$53)),IF(AND(Results!$E$5="Weight",$C$52&gt;0, Results!$E$4="Tissue",OR($B$52="g",$B$52="mg")),((DO35*DO$51)/(DO$52)),IF(AND(Results!$E$5="Volume",$C$54&gt;0,Results!$E$4="Fluid"),((DO35*DO$51)/(DO$54)),IF(AND(Results!$E$4="Cells",Results!$E$5="Million",$B$52="million"),((DO35*DO$51)/(DO$52)),"0")))))</f>
        <v>1.3812333333333333</v>
      </c>
      <c r="DP88" s="20">
        <f>IF(DP35=0,"0",IF(AND(Results!$E$5="Protein",$C$53&gt;0,OR(Results!$E$4="Tissue",Results!$E$4="Cells")),((DP35*DP$51)/(DP$53)),IF(AND(Results!$E$5="Weight",$C$52&gt;0, Results!$E$4="Tissue",OR($B$52="g",$B$52="mg")),((DP35*DP$51)/(DP$52)),IF(AND(Results!$E$5="Volume",$C$54&gt;0,Results!$E$4="Fluid"),((DP35*DP$51)/(DP$54)),IF(AND(Results!$E$4="Cells",Results!$E$5="Million",$B$52="million"),((DP35*DP$51)/(DP$52)),"0")))))</f>
        <v>1.3961666666666668</v>
      </c>
      <c r="DQ88" s="20">
        <f>IF(DQ35=0,"0",IF(AND(Results!$E$5="Protein",$C$53&gt;0,OR(Results!$E$4="Tissue",Results!$E$4="Cells")),((DQ35*DQ$51)/(DQ$53)),IF(AND(Results!$E$5="Weight",$C$52&gt;0, Results!$E$4="Tissue",OR($B$52="g",$B$52="mg")),((DQ35*DQ$51)/(DQ$52)),IF(AND(Results!$E$5="Volume",$C$54&gt;0,Results!$E$4="Fluid"),((DQ35*DQ$51)/(DQ$54)),IF(AND(Results!$E$4="Cells",Results!$E$5="Million",$B$52="million"),((DQ35*DQ$51)/(DQ$52)),"0")))))</f>
        <v>1.3978999999999999</v>
      </c>
      <c r="DR88" s="20">
        <f>IF(DR35=0,"0",IF(AND(Results!$E$5="Protein",$C$53&gt;0,OR(Results!$E$4="Tissue",Results!$E$4="Cells")),((DR35*DR$51)/(DR$53)),IF(AND(Results!$E$5="Weight",$C$52&gt;0, Results!$E$4="Tissue",OR($B$52="g",$B$52="mg")),((DR35*DR$51)/(DR$52)),IF(AND(Results!$E$5="Volume",$C$54&gt;0,Results!$E$4="Fluid"),((DR35*DR$51)/(DR$54)),IF(AND(Results!$E$4="Cells",Results!$E$5="Million",$B$52="million"),((DR35*DR$51)/(DR$52)),"0")))))</f>
        <v>1.4997666666666665</v>
      </c>
      <c r="DS88" s="20">
        <f>IF(DS35=0,"0",IF(AND(Results!$E$5="Protein",$C$53&gt;0,OR(Results!$E$4="Tissue",Results!$E$4="Cells")),((DS35*DS$51)/(DS$53)),IF(AND(Results!$E$5="Weight",$C$52&gt;0, Results!$E$4="Tissue",OR($B$52="g",$B$52="mg")),((DS35*DS$51)/(DS$52)),IF(AND(Results!$E$5="Volume",$C$54&gt;0,Results!$E$4="Fluid"),((DS35*DS$51)/(DS$54)),IF(AND(Results!$E$4="Cells",Results!$E$5="Million",$B$52="million"),((DS35*DS$51)/(DS$52)),"0")))))</f>
        <v>0.70761666666666667</v>
      </c>
      <c r="DT88" s="20">
        <f>IF(DT35=0,"0",IF(AND(Results!$E$5="Protein",$C$53&gt;0,OR(Results!$E$4="Tissue",Results!$E$4="Cells")),((DT35*DT$51)/(DT$53)),IF(AND(Results!$E$5="Weight",$C$52&gt;0, Results!$E$4="Tissue",OR($B$52="g",$B$52="mg")),((DT35*DT$51)/(DT$52)),IF(AND(Results!$E$5="Volume",$C$54&gt;0,Results!$E$4="Fluid"),((DT35*DT$51)/(DT$54)),IF(AND(Results!$E$4="Cells",Results!$E$5="Million",$B$52="million"),((DT35*DT$51)/(DT$52)),"0")))))</f>
        <v>1.0698833333333333</v>
      </c>
      <c r="DU88" s="20">
        <f>IF(DU35=0,"0",IF(AND(Results!$E$5="Protein",$C$53&gt;0,OR(Results!$E$4="Tissue",Results!$E$4="Cells")),((DU35*DU$51)/(DU$53)),IF(AND(Results!$E$5="Weight",$C$52&gt;0, Results!$E$4="Tissue",OR($B$52="g",$B$52="mg")),((DU35*DU$51)/(DU$52)),IF(AND(Results!$E$5="Volume",$C$54&gt;0,Results!$E$4="Fluid"),((DU35*DU$51)/(DU$54)),IF(AND(Results!$E$4="Cells",Results!$E$5="Million",$B$52="million"),((DU35*DU$51)/(DU$52)),"0")))))</f>
        <v>2.2540833333333334</v>
      </c>
      <c r="DV88" s="20">
        <f>IF(DV35=0,"0",IF(AND(Results!$E$5="Protein",$C$53&gt;0,OR(Results!$E$4="Tissue",Results!$E$4="Cells")),((DV35*DV$51)/(DV$53)),IF(AND(Results!$E$5="Weight",$C$52&gt;0, Results!$E$4="Tissue",OR($B$52="g",$B$52="mg")),((DV35*DV$51)/(DV$52)),IF(AND(Results!$E$5="Volume",$C$54&gt;0,Results!$E$4="Fluid"),((DV35*DV$51)/(DV$54)),IF(AND(Results!$E$4="Cells",Results!$E$5="Million",$B$52="million"),((DV35*DV$51)/(DV$52)),"0")))))</f>
        <v>0.67308333333333326</v>
      </c>
      <c r="DW88" s="20">
        <f>IF(DW35=0,"0",IF(AND(Results!$E$5="Protein",$C$53&gt;0,OR(Results!$E$4="Tissue",Results!$E$4="Cells")),((DW35*DW$51)/(DW$53)),IF(AND(Results!$E$5="Weight",$C$52&gt;0, Results!$E$4="Tissue",OR($B$52="g",$B$52="mg")),((DW35*DW$51)/(DW$52)),IF(AND(Results!$E$5="Volume",$C$54&gt;0,Results!$E$4="Fluid"),((DW35*DW$51)/(DW$54)),IF(AND(Results!$E$4="Cells",Results!$E$5="Million",$B$52="million"),((DW35*DW$51)/(DW$52)),"0")))))</f>
        <v>1.2669166666666667</v>
      </c>
      <c r="DX88" s="20">
        <f>IF(DX35=0,"0",IF(AND(Results!$E$5="Protein",$C$53&gt;0,OR(Results!$E$4="Tissue",Results!$E$4="Cells")),((DX35*DX$51)/(DX$53)),IF(AND(Results!$E$5="Weight",$C$52&gt;0, Results!$E$4="Tissue",OR($B$52="g",$B$52="mg")),((DX35*DX$51)/(DX$52)),IF(AND(Results!$E$5="Volume",$C$54&gt;0,Results!$E$4="Fluid"),((DX35*DX$51)/(DX$54)),IF(AND(Results!$E$4="Cells",Results!$E$5="Million",$B$52="million"),((DX35*DX$51)/(DX$52)),"0")))))</f>
        <v>0.4995666666666666</v>
      </c>
      <c r="DY88" s="20">
        <f>IF(DY35=0,"0",IF(AND(Results!$E$5="Protein",$C$53&gt;0,OR(Results!$E$4="Tissue",Results!$E$4="Cells")),((DY35*DY$51)/(DY$53)),IF(AND(Results!$E$5="Weight",$C$52&gt;0, Results!$E$4="Tissue",OR($B$52="g",$B$52="mg")),((DY35*DY$51)/(DY$52)),IF(AND(Results!$E$5="Volume",$C$54&gt;0,Results!$E$4="Fluid"),((DY35*DY$51)/(DY$54)),IF(AND(Results!$E$4="Cells",Results!$E$5="Million",$B$52="million"),((DY35*DY$51)/(DY$52)),"0")))))</f>
        <v>2.0196166666666664</v>
      </c>
      <c r="DZ88" s="20">
        <f>IF(DZ35=0,"0",IF(AND(Results!$E$5="Protein",$C$53&gt;0,OR(Results!$E$4="Tissue",Results!$E$4="Cells")),((DZ35*DZ$51)/(DZ$53)),IF(AND(Results!$E$5="Weight",$C$52&gt;0, Results!$E$4="Tissue",OR($B$52="g",$B$52="mg")),((DZ35*DZ$51)/(DZ$52)),IF(AND(Results!$E$5="Volume",$C$54&gt;0,Results!$E$4="Fluid"),((DZ35*DZ$51)/(DZ$54)),IF(AND(Results!$E$4="Cells",Results!$E$5="Million",$B$52="million"),((DZ35*DZ$51)/(DZ$52)),"0")))))</f>
        <v>2.4393000000000002</v>
      </c>
      <c r="EA88" s="20">
        <f>IF(EA35=0,"0",IF(AND(Results!$E$5="Protein",$C$53&gt;0,OR(Results!$E$4="Tissue",Results!$E$4="Cells")),((EA35*EA$51)/(EA$53)),IF(AND(Results!$E$5="Weight",$C$52&gt;0, Results!$E$4="Tissue",OR($B$52="g",$B$52="mg")),((EA35*EA$51)/(EA$52)),IF(AND(Results!$E$5="Volume",$C$54&gt;0,Results!$E$4="Fluid"),((EA35*EA$51)/(EA$54)),IF(AND(Results!$E$4="Cells",Results!$E$5="Million",$B$52="million"),((EA35*EA$51)/(EA$52)),"0")))))</f>
        <v>1.3855499999999998</v>
      </c>
      <c r="EB88" s="20">
        <f>IF(EB35=0,"0",IF(AND(Results!$E$5="Protein",$C$53&gt;0,OR(Results!$E$4="Tissue",Results!$E$4="Cells")),((EB35*EB$51)/(EB$53)),IF(AND(Results!$E$5="Weight",$C$52&gt;0, Results!$E$4="Tissue",OR($B$52="g",$B$52="mg")),((EB35*EB$51)/(EB$52)),IF(AND(Results!$E$5="Volume",$C$54&gt;0,Results!$E$4="Fluid"),((EB35*EB$51)/(EB$54)),IF(AND(Results!$E$4="Cells",Results!$E$5="Million",$B$52="million"),((EB35*EB$51)/(EB$52)),"0")))))</f>
        <v>1.9432833333333335</v>
      </c>
      <c r="EC88" s="20">
        <f>IF(EC35=0,"0",IF(AND(Results!$E$5="Protein",$C$53&gt;0,OR(Results!$E$4="Tissue",Results!$E$4="Cells")),((EC35*EC$51)/(EC$53)),IF(AND(Results!$E$5="Weight",$C$52&gt;0, Results!$E$4="Tissue",OR($B$52="g",$B$52="mg")),((EC35*EC$51)/(EC$52)),IF(AND(Results!$E$5="Volume",$C$54&gt;0,Results!$E$4="Fluid"),((EC35*EC$51)/(EC$54)),IF(AND(Results!$E$4="Cells",Results!$E$5="Million",$B$52="million"),((EC35*EC$51)/(EC$52)),"0")))))</f>
        <v>1.1539333333333335</v>
      </c>
      <c r="ED88" s="20">
        <f>IF(ED35=0,"0",IF(AND(Results!$E$5="Protein",$C$53&gt;0,OR(Results!$E$4="Tissue",Results!$E$4="Cells")),((ED35*ED$51)/(ED$53)),IF(AND(Results!$E$5="Weight",$C$52&gt;0, Results!$E$4="Tissue",OR($B$52="g",$B$52="mg")),((ED35*ED$51)/(ED$52)),IF(AND(Results!$E$5="Volume",$C$54&gt;0,Results!$E$4="Fluid"),((ED35*ED$51)/(ED$54)),IF(AND(Results!$E$4="Cells",Results!$E$5="Million",$B$52="million"),((ED35*ED$51)/(ED$52)),"0")))))</f>
        <v>1.1340000000000001</v>
      </c>
      <c r="EE88" s="20" t="str">
        <f>IF(EE35=0,"0",IF(AND(Results!$E$5="Protein",$C$53&gt;0,OR(Results!$E$4="Tissue",Results!$E$4="Cells")),((EE35*EE$51)/(EE$53)),IF(AND(Results!$E$5="Weight",$C$52&gt;0, Results!$E$4="Tissue",OR($B$52="g",$B$52="mg")),((EE35*EE$51)/(EE$52)),IF(AND(Results!$E$5="Volume",$C$54&gt;0,Results!$E$4="Fluid"),((EE35*EE$51)/(EE$54)),IF(AND(Results!$E$4="Cells",Results!$E$5="Million",$B$52="million"),((EE35*EE$51)/(EE$52)),"0")))))</f>
        <v>0</v>
      </c>
      <c r="EF88" s="20">
        <f>IF(EF35=0,"0",IF(AND(Results!$E$5="Protein",$C$53&gt;0,OR(Results!$E$4="Tissue",Results!$E$4="Cells")),((EF35*EF$51)/(EF$53)),IF(AND(Results!$E$5="Weight",$C$52&gt;0, Results!$E$4="Tissue",OR($B$52="g",$B$52="mg")),((EF35*EF$51)/(EF$52)),IF(AND(Results!$E$5="Volume",$C$54&gt;0,Results!$E$4="Fluid"),((EF35*EF$51)/(EF$54)),IF(AND(Results!$E$4="Cells",Results!$E$5="Million",$B$52="million"),((EF35*EF$51)/(EF$52)),"0")))))</f>
        <v>1.2531000000000001</v>
      </c>
      <c r="EG88" s="20">
        <f>IF(EG35=0,"0",IF(AND(Results!$E$5="Protein",$C$53&gt;0,OR(Results!$E$4="Tissue",Results!$E$4="Cells")),((EG35*EG$51)/(EG$53)),IF(AND(Results!$E$5="Weight",$C$52&gt;0, Results!$E$4="Tissue",OR($B$52="g",$B$52="mg")),((EG35*EG$51)/(EG$52)),IF(AND(Results!$E$5="Volume",$C$54&gt;0,Results!$E$4="Fluid"),((EG35*EG$51)/(EG$54)),IF(AND(Results!$E$4="Cells",Results!$E$5="Million",$B$52="million"),((EG35*EG$51)/(EG$52)),"0")))))</f>
        <v>1.2698500000000001</v>
      </c>
      <c r="EH88" s="20">
        <f>IF(EH35=0,"0",IF(AND(Results!$E$5="Protein",$C$53&gt;0,OR(Results!$E$4="Tissue",Results!$E$4="Cells")),((EH35*EH$51)/(EH$53)),IF(AND(Results!$E$5="Weight",$C$52&gt;0, Results!$E$4="Tissue",OR($B$52="g",$B$52="mg")),((EH35*EH$51)/(EH$52)),IF(AND(Results!$E$5="Volume",$C$54&gt;0,Results!$E$4="Fluid"),((EH35*EH$51)/(EH$54)),IF(AND(Results!$E$4="Cells",Results!$E$5="Million",$B$52="million"),((EH35*EH$51)/(EH$52)),"0")))))</f>
        <v>0.64075000000000004</v>
      </c>
      <c r="EI88" s="20">
        <f>IF(EI35=0,"0",IF(AND(Results!$E$5="Protein",$C$53&gt;0,OR(Results!$E$4="Tissue",Results!$E$4="Cells")),((EI35*EI$51)/(EI$53)),IF(AND(Results!$E$5="Weight",$C$52&gt;0, Results!$E$4="Tissue",OR($B$52="g",$B$52="mg")),((EI35*EI$51)/(EI$52)),IF(AND(Results!$E$5="Volume",$C$54&gt;0,Results!$E$4="Fluid"),((EI35*EI$51)/(EI$54)),IF(AND(Results!$E$4="Cells",Results!$E$5="Million",$B$52="million"),((EI35*EI$51)/(EI$52)),"0")))))</f>
        <v>0.30304999999999999</v>
      </c>
      <c r="EJ88" s="20">
        <f>IF(EJ35=0,"0",IF(AND(Results!$E$5="Protein",$C$53&gt;0,OR(Results!$E$4="Tissue",Results!$E$4="Cells")),((EJ35*EJ$51)/(EJ$53)),IF(AND(Results!$E$5="Weight",$C$52&gt;0, Results!$E$4="Tissue",OR($B$52="g",$B$52="mg")),((EJ35*EJ$51)/(EJ$52)),IF(AND(Results!$E$5="Volume",$C$54&gt;0,Results!$E$4="Fluid"),((EJ35*EJ$51)/(EJ$54)),IF(AND(Results!$E$4="Cells",Results!$E$5="Million",$B$52="million"),((EJ35*EJ$51)/(EJ$52)),"0")))))</f>
        <v>2.5122333333333331</v>
      </c>
      <c r="EK88" s="20">
        <f>IF(EK35=0,"0",IF(AND(Results!$E$5="Protein",$C$53&gt;0,OR(Results!$E$4="Tissue",Results!$E$4="Cells")),((EK35*EK$51)/(EK$53)),IF(AND(Results!$E$5="Weight",$C$52&gt;0, Results!$E$4="Tissue",OR($B$52="g",$B$52="mg")),((EK35*EK$51)/(EK$52)),IF(AND(Results!$E$5="Volume",$C$54&gt;0,Results!$E$4="Fluid"),((EK35*EK$51)/(EK$54)),IF(AND(Results!$E$4="Cells",Results!$E$5="Million",$B$52="million"),((EK35*EK$51)/(EK$52)),"0")))))</f>
        <v>0.57128333333333337</v>
      </c>
      <c r="EL88" s="20">
        <f>IF(EL35=0,"0",IF(AND(Results!$E$5="Protein",$C$53&gt;0,OR(Results!$E$4="Tissue",Results!$E$4="Cells")),((EL35*EL$51)/(EL$53)),IF(AND(Results!$E$5="Weight",$C$52&gt;0, Results!$E$4="Tissue",OR($B$52="g",$B$52="mg")),((EL35*EL$51)/(EL$52)),IF(AND(Results!$E$5="Volume",$C$54&gt;0,Results!$E$4="Fluid"),((EL35*EL$51)/(EL$54)),IF(AND(Results!$E$4="Cells",Results!$E$5="Million",$B$52="million"),((EL35*EL$51)/(EL$52)),"0")))))</f>
        <v>0.70296666666666674</v>
      </c>
      <c r="EM88" s="20">
        <f>IF(EM35=0,"0",IF(AND(Results!$E$5="Protein",$C$53&gt;0,OR(Results!$E$4="Tissue",Results!$E$4="Cells")),((EM35*EM$51)/(EM$53)),IF(AND(Results!$E$5="Weight",$C$52&gt;0, Results!$E$4="Tissue",OR($B$52="g",$B$52="mg")),((EM35*EM$51)/(EM$52)),IF(AND(Results!$E$5="Volume",$C$54&gt;0,Results!$E$4="Fluid"),((EM35*EM$51)/(EM$54)),IF(AND(Results!$E$4="Cells",Results!$E$5="Million",$B$52="million"),((EM35*EM$51)/(EM$52)),"0")))))</f>
        <v>2.0529666666666668</v>
      </c>
      <c r="EN88" s="20">
        <f>IF(EN35=0,"0",IF(AND(Results!$E$5="Protein",$C$53&gt;0,OR(Results!$E$4="Tissue",Results!$E$4="Cells")),((EN35*EN$51)/(EN$53)),IF(AND(Results!$E$5="Weight",$C$52&gt;0, Results!$E$4="Tissue",OR($B$52="g",$B$52="mg")),((EN35*EN$51)/(EN$52)),IF(AND(Results!$E$5="Volume",$C$54&gt;0,Results!$E$4="Fluid"),((EN35*EN$51)/(EN$54)),IF(AND(Results!$E$4="Cells",Results!$E$5="Million",$B$52="million"),((EN35*EN$51)/(EN$52)),"0")))))</f>
        <v>2.2278166666666666</v>
      </c>
      <c r="EO88" s="20">
        <f>IF(EO35=0,"0",IF(AND(Results!$E$5="Protein",$C$53&gt;0,OR(Results!$E$4="Tissue",Results!$E$4="Cells")),((EO35*EO$51)/(EO$53)),IF(AND(Results!$E$5="Weight",$C$52&gt;0, Results!$E$4="Tissue",OR($B$52="g",$B$52="mg")),((EO35*EO$51)/(EO$52)),IF(AND(Results!$E$5="Volume",$C$54&gt;0,Results!$E$4="Fluid"),((EO35*EO$51)/(EO$54)),IF(AND(Results!$E$4="Cells",Results!$E$5="Million",$B$52="million"),((EO35*EO$51)/(EO$52)),"0")))))</f>
        <v>0.76934999999999998</v>
      </c>
      <c r="EP88" s="20">
        <f>IF(EP35=0,"0",IF(AND(Results!$E$5="Protein",$C$53&gt;0,OR(Results!$E$4="Tissue",Results!$E$4="Cells")),((EP35*EP$51)/(EP$53)),IF(AND(Results!$E$5="Weight",$C$52&gt;0, Results!$E$4="Tissue",OR($B$52="g",$B$52="mg")),((EP35*EP$51)/(EP$52)),IF(AND(Results!$E$5="Volume",$C$54&gt;0,Results!$E$4="Fluid"),((EP35*EP$51)/(EP$54)),IF(AND(Results!$E$4="Cells",Results!$E$5="Million",$B$52="million"),((EP35*EP$51)/(EP$52)),"0")))))</f>
        <v>1.4181166666666665</v>
      </c>
      <c r="EQ88" s="20">
        <f>IF(EQ35=0,"0",IF(AND(Results!$E$5="Protein",$C$53&gt;0,OR(Results!$E$4="Tissue",Results!$E$4="Cells")),((EQ35*EQ$51)/(EQ$53)),IF(AND(Results!$E$5="Weight",$C$52&gt;0, Results!$E$4="Tissue",OR($B$52="g",$B$52="mg")),((EQ35*EQ$51)/(EQ$52)),IF(AND(Results!$E$5="Volume",$C$54&gt;0,Results!$E$4="Fluid"),((EQ35*EQ$51)/(EQ$54)),IF(AND(Results!$E$4="Cells",Results!$E$5="Million",$B$52="million"),((EQ35*EQ$51)/(EQ$52)),"0")))))</f>
        <v>0.7260833333333333</v>
      </c>
      <c r="ER88" s="20">
        <f>IF(ER35=0,"0",IF(AND(Results!$E$5="Protein",$C$53&gt;0,OR(Results!$E$4="Tissue",Results!$E$4="Cells")),((ER35*ER$51)/(ER$53)),IF(AND(Results!$E$5="Weight",$C$52&gt;0, Results!$E$4="Tissue",OR($B$52="g",$B$52="mg")),((ER35*ER$51)/(ER$52)),IF(AND(Results!$E$5="Volume",$C$54&gt;0,Results!$E$4="Fluid"),((ER35*ER$51)/(ER$54)),IF(AND(Results!$E$4="Cells",Results!$E$5="Million",$B$52="million"),((ER35*ER$51)/(ER$52)),"0")))))</f>
        <v>0.85088333333333332</v>
      </c>
      <c r="ES88" s="20">
        <f>IF(ES35=0,"0",IF(AND(Results!$E$5="Protein",$C$53&gt;0,OR(Results!$E$4="Tissue",Results!$E$4="Cells")),((ES35*ES$51)/(ES$53)),IF(AND(Results!$E$5="Weight",$C$52&gt;0, Results!$E$4="Tissue",OR($B$52="g",$B$52="mg")),((ES35*ES$51)/(ES$52)),IF(AND(Results!$E$5="Volume",$C$54&gt;0,Results!$E$4="Fluid"),((ES35*ES$51)/(ES$54)),IF(AND(Results!$E$4="Cells",Results!$E$5="Million",$B$52="million"),((ES35*ES$51)/(ES$52)),"0")))))</f>
        <v>0.72128333333333339</v>
      </c>
      <c r="ET88" s="20">
        <f>IF(ET35=0,"0",IF(AND(Results!$E$5="Protein",$C$53&gt;0,OR(Results!$E$4="Tissue",Results!$E$4="Cells")),((ET35*ET$51)/(ET$53)),IF(AND(Results!$E$5="Weight",$C$52&gt;0, Results!$E$4="Tissue",OR($B$52="g",$B$52="mg")),((ET35*ET$51)/(ET$52)),IF(AND(Results!$E$5="Volume",$C$54&gt;0,Results!$E$4="Fluid"),((ET35*ET$51)/(ET$54)),IF(AND(Results!$E$4="Cells",Results!$E$5="Million",$B$52="million"),((ET35*ET$51)/(ET$52)),"0")))))</f>
        <v>0.56723333333333337</v>
      </c>
      <c r="EU88" s="20">
        <f>IF(EU35=0,"0",IF(AND(Results!$E$5="Protein",$C$53&gt;0,OR(Results!$E$4="Tissue",Results!$E$4="Cells")),((EU35*EU$51)/(EU$53)),IF(AND(Results!$E$5="Weight",$C$52&gt;0, Results!$E$4="Tissue",OR($B$52="g",$B$52="mg")),((EU35*EU$51)/(EU$52)),IF(AND(Results!$E$5="Volume",$C$54&gt;0,Results!$E$4="Fluid"),((EU35*EU$51)/(EU$54)),IF(AND(Results!$E$4="Cells",Results!$E$5="Million",$B$52="million"),((EU35*EU$51)/(EU$52)),"0")))))</f>
        <v>1.0198166666666666</v>
      </c>
      <c r="EV88" s="20">
        <f>IF(EV35=0,"0",IF(AND(Results!$E$5="Protein",$C$53&gt;0,OR(Results!$E$4="Tissue",Results!$E$4="Cells")),((EV35*EV$51)/(EV$53)),IF(AND(Results!$E$5="Weight",$C$52&gt;0, Results!$E$4="Tissue",OR($B$52="g",$B$52="mg")),((EV35*EV$51)/(EV$52)),IF(AND(Results!$E$5="Volume",$C$54&gt;0,Results!$E$4="Fluid"),((EV35*EV$51)/(EV$54)),IF(AND(Results!$E$4="Cells",Results!$E$5="Million",$B$52="million"),((EV35*EV$51)/(EV$52)),"0")))))</f>
        <v>0.75296666666666678</v>
      </c>
      <c r="EW88" s="20">
        <f>IF(EW35=0,"0",IF(AND(Results!$E$5="Protein",$C$53&gt;0,OR(Results!$E$4="Tissue",Results!$E$4="Cells")),((EW35*EW$51)/(EW$53)),IF(AND(Results!$E$5="Weight",$C$52&gt;0, Results!$E$4="Tissue",OR($B$52="g",$B$52="mg")),((EW35*EW$51)/(EW$52)),IF(AND(Results!$E$5="Volume",$C$54&gt;0,Results!$E$4="Fluid"),((EW35*EW$51)/(EW$54)),IF(AND(Results!$E$4="Cells",Results!$E$5="Million",$B$52="million"),((EW35*EW$51)/(EW$52)),"0")))))</f>
        <v>0.75491666666666657</v>
      </c>
      <c r="EX88" s="20">
        <f>IF(EX35=0,"0",IF(AND(Results!$E$5="Protein",$C$53&gt;0,OR(Results!$E$4="Tissue",Results!$E$4="Cells")),((EX35*EX$51)/(EX$53)),IF(AND(Results!$E$5="Weight",$C$52&gt;0, Results!$E$4="Tissue",OR($B$52="g",$B$52="mg")),((EX35*EX$51)/(EX$52)),IF(AND(Results!$E$5="Volume",$C$54&gt;0,Results!$E$4="Fluid"),((EX35*EX$51)/(EX$54)),IF(AND(Results!$E$4="Cells",Results!$E$5="Million",$B$52="million"),((EX35*EX$51)/(EX$52)),"0")))))</f>
        <v>1.0623666666666667</v>
      </c>
      <c r="EY88" s="20">
        <f>IF(EY35=0,"0",IF(AND(Results!$E$5="Protein",$C$53&gt;0,OR(Results!$E$4="Tissue",Results!$E$4="Cells")),((EY35*EY$51)/(EY$53)),IF(AND(Results!$E$5="Weight",$C$52&gt;0, Results!$E$4="Tissue",OR($B$52="g",$B$52="mg")),((EY35*EY$51)/(EY$52)),IF(AND(Results!$E$5="Volume",$C$54&gt;0,Results!$E$4="Fluid"),((EY35*EY$51)/(EY$54)),IF(AND(Results!$E$4="Cells",Results!$E$5="Million",$B$52="million"),((EY35*EY$51)/(EY$52)),"0")))))</f>
        <v>10.383916666666666</v>
      </c>
      <c r="EZ88" s="20">
        <f>IF(EZ35=0,"0",IF(AND(Results!$E$5="Protein",$C$53&gt;0,OR(Results!$E$4="Tissue",Results!$E$4="Cells")),((EZ35*EZ$51)/(EZ$53)),IF(AND(Results!$E$5="Weight",$C$52&gt;0, Results!$E$4="Tissue",OR($B$52="g",$B$52="mg")),((EZ35*EZ$51)/(EZ$52)),IF(AND(Results!$E$5="Volume",$C$54&gt;0,Results!$E$4="Fluid"),((EZ35*EZ$51)/(EZ$54)),IF(AND(Results!$E$4="Cells",Results!$E$5="Million",$B$52="million"),((EZ35*EZ$51)/(EZ$52)),"0")))))</f>
        <v>1.7655833333333333</v>
      </c>
      <c r="FA88" s="20">
        <f>IF(FA35=0,"0",IF(AND(Results!$E$5="Protein",$C$53&gt;0,OR(Results!$E$4="Tissue",Results!$E$4="Cells")),((FA35*FA$51)/(FA$53)),IF(AND(Results!$E$5="Weight",$C$52&gt;0, Results!$E$4="Tissue",OR($B$52="g",$B$52="mg")),((FA35*FA$51)/(FA$52)),IF(AND(Results!$E$5="Volume",$C$54&gt;0,Results!$E$4="Fluid"),((FA35*FA$51)/(FA$54)),IF(AND(Results!$E$4="Cells",Results!$E$5="Million",$B$52="million"),((FA35*FA$51)/(FA$52)),"0")))))</f>
        <v>0.81225000000000003</v>
      </c>
      <c r="FB88" s="20">
        <f>IF(FB35=0,"0",IF(AND(Results!$E$5="Protein",$C$53&gt;0,OR(Results!$E$4="Tissue",Results!$E$4="Cells")),((FB35*FB$51)/(FB$53)),IF(AND(Results!$E$5="Weight",$C$52&gt;0, Results!$E$4="Tissue",OR($B$52="g",$B$52="mg")),((FB35*FB$51)/(FB$52)),IF(AND(Results!$E$5="Volume",$C$54&gt;0,Results!$E$4="Fluid"),((FB35*FB$51)/(FB$54)),IF(AND(Results!$E$4="Cells",Results!$E$5="Million",$B$52="million"),((FB35*FB$51)/(FB$52)),"0")))))</f>
        <v>0.50591666666666657</v>
      </c>
      <c r="FC88" s="20">
        <f>IF(FC35=0,"0",IF(AND(Results!$E$5="Protein",$C$53&gt;0,OR(Results!$E$4="Tissue",Results!$E$4="Cells")),((FC35*FC$51)/(FC$53)),IF(AND(Results!$E$5="Weight",$C$52&gt;0, Results!$E$4="Tissue",OR($B$52="g",$B$52="mg")),((FC35*FC$51)/(FC$52)),IF(AND(Results!$E$5="Volume",$C$54&gt;0,Results!$E$4="Fluid"),((FC35*FC$51)/(FC$54)),IF(AND(Results!$E$4="Cells",Results!$E$5="Million",$B$52="million"),((FC35*FC$51)/(FC$52)),"0")))))</f>
        <v>0.7920166666666667</v>
      </c>
      <c r="FD88" s="20">
        <f>IF(FD35=0,"0",IF(AND(Results!$E$5="Protein",$C$53&gt;0,OR(Results!$E$4="Tissue",Results!$E$4="Cells")),((FD35*FD$51)/(FD$53)),IF(AND(Results!$E$5="Weight",$C$52&gt;0, Results!$E$4="Tissue",OR($B$52="g",$B$52="mg")),((FD35*FD$51)/(FD$52)),IF(AND(Results!$E$5="Volume",$C$54&gt;0,Results!$E$4="Fluid"),((FD35*FD$51)/(FD$54)),IF(AND(Results!$E$4="Cells",Results!$E$5="Million",$B$52="million"),((FD35*FD$51)/(FD$52)),"0")))))</f>
        <v>0.63034999999999997</v>
      </c>
      <c r="FE88" s="20">
        <f>IF(FE35=0,"0",IF(AND(Results!$E$5="Protein",$C$53&gt;0,OR(Results!$E$4="Tissue",Results!$E$4="Cells")),((FE35*FE$51)/(FE$53)),IF(AND(Results!$E$5="Weight",$C$52&gt;0, Results!$E$4="Tissue",OR($B$52="g",$B$52="mg")),((FE35*FE$51)/(FE$52)),IF(AND(Results!$E$5="Volume",$C$54&gt;0,Results!$E$4="Fluid"),((FE35*FE$51)/(FE$54)),IF(AND(Results!$E$4="Cells",Results!$E$5="Million",$B$52="million"),((FE35*FE$51)/(FE$52)),"0")))))</f>
        <v>0.98933333333333329</v>
      </c>
      <c r="FF88" s="20">
        <f>IF(FF35=0,"0",IF(AND(Results!$E$5="Protein",$C$53&gt;0,OR(Results!$E$4="Tissue",Results!$E$4="Cells")),((FF35*FF$51)/(FF$53)),IF(AND(Results!$E$5="Weight",$C$52&gt;0, Results!$E$4="Tissue",OR($B$52="g",$B$52="mg")),((FF35*FF$51)/(FF$52)),IF(AND(Results!$E$5="Volume",$C$54&gt;0,Results!$E$4="Fluid"),((FF35*FF$51)/(FF$54)),IF(AND(Results!$E$4="Cells",Results!$E$5="Million",$B$52="million"),((FF35*FF$51)/(FF$52)),"0")))))</f>
        <v>0.72750000000000015</v>
      </c>
      <c r="FG88" s="20">
        <f>IF(FG35=0,"0",IF(AND(Results!$E$5="Protein",$C$53&gt;0,OR(Results!$E$4="Tissue",Results!$E$4="Cells")),((FG35*FG$51)/(FG$53)),IF(AND(Results!$E$5="Weight",$C$52&gt;0, Results!$E$4="Tissue",OR($B$52="g",$B$52="mg")),((FG35*FG$51)/(FG$52)),IF(AND(Results!$E$5="Volume",$C$54&gt;0,Results!$E$4="Fluid"),((FG35*FG$51)/(FG$54)),IF(AND(Results!$E$4="Cells",Results!$E$5="Million",$B$52="million"),((FG35*FG$51)/(FG$52)),"0")))))</f>
        <v>0.75321666666666676</v>
      </c>
      <c r="FH88" s="20">
        <f>IF(FH35=0,"0",IF(AND(Results!$E$5="Protein",$C$53&gt;0,OR(Results!$E$4="Tissue",Results!$E$4="Cells")),((FH35*FH$51)/(FH$53)),IF(AND(Results!$E$5="Weight",$C$52&gt;0, Results!$E$4="Tissue",OR($B$52="g",$B$52="mg")),((FH35*FH$51)/(FH$52)),IF(AND(Results!$E$5="Volume",$C$54&gt;0,Results!$E$4="Fluid"),((FH35*FH$51)/(FH$54)),IF(AND(Results!$E$4="Cells",Results!$E$5="Million",$B$52="million"),((FH35*FH$51)/(FH$52)),"0")))))</f>
        <v>1.7600666666666667</v>
      </c>
      <c r="FI88" s="20">
        <f>IF(FI35=0,"0",IF(AND(Results!$E$5="Protein",$C$53&gt;0,OR(Results!$E$4="Tissue",Results!$E$4="Cells")),((FI35*FI$51)/(FI$53)),IF(AND(Results!$E$5="Weight",$C$52&gt;0, Results!$E$4="Tissue",OR($B$52="g",$B$52="mg")),((FI35*FI$51)/(FI$52)),IF(AND(Results!$E$5="Volume",$C$54&gt;0,Results!$E$4="Fluid"),((FI35*FI$51)/(FI$54)),IF(AND(Results!$E$4="Cells",Results!$E$5="Million",$B$52="million"),((FI35*FI$51)/(FI$52)),"0")))))</f>
        <v>0.90793333333333348</v>
      </c>
      <c r="FJ88" s="20">
        <f>IF(FJ35=0,"0",IF(AND(Results!$E$5="Protein",$C$53&gt;0,OR(Results!$E$4="Tissue",Results!$E$4="Cells")),((FJ35*FJ$51)/(FJ$53)),IF(AND(Results!$E$5="Weight",$C$52&gt;0, Results!$E$4="Tissue",OR($B$52="g",$B$52="mg")),((FJ35*FJ$51)/(FJ$52)),IF(AND(Results!$E$5="Volume",$C$54&gt;0,Results!$E$4="Fluid"),((FJ35*FJ$51)/(FJ$54)),IF(AND(Results!$E$4="Cells",Results!$E$5="Million",$B$52="million"),((FJ35*FJ$51)/(FJ$52)),"0")))))</f>
        <v>1.1645833333333333</v>
      </c>
      <c r="FK88" s="20">
        <f>IF(FK35=0,"0",IF(AND(Results!$E$5="Protein",$C$53&gt;0,OR(Results!$E$4="Tissue",Results!$E$4="Cells")),((FK35*FK$51)/(FK$53)),IF(AND(Results!$E$5="Weight",$C$52&gt;0, Results!$E$4="Tissue",OR($B$52="g",$B$52="mg")),((FK35*FK$51)/(FK$52)),IF(AND(Results!$E$5="Volume",$C$54&gt;0,Results!$E$4="Fluid"),((FK35*FK$51)/(FK$54)),IF(AND(Results!$E$4="Cells",Results!$E$5="Million",$B$52="million"),((FK35*FK$51)/(FK$52)),"0")))))</f>
        <v>0.62070000000000003</v>
      </c>
      <c r="FL88" s="20">
        <f>IF(FL35=0,"0",IF(AND(Results!$E$5="Protein",$C$53&gt;0,OR(Results!$E$4="Tissue",Results!$E$4="Cells")),((FL35*FL$51)/(FL$53)),IF(AND(Results!$E$5="Weight",$C$52&gt;0, Results!$E$4="Tissue",OR($B$52="g",$B$52="mg")),((FL35*FL$51)/(FL$52)),IF(AND(Results!$E$5="Volume",$C$54&gt;0,Results!$E$4="Fluid"),((FL35*FL$51)/(FL$54)),IF(AND(Results!$E$4="Cells",Results!$E$5="Million",$B$52="million"),((FL35*FL$51)/(FL$52)),"0")))))</f>
        <v>2.7563666666666666</v>
      </c>
      <c r="FM88" s="20">
        <f>IF(FM35=0,"0",IF(AND(Results!$E$5="Protein",$C$53&gt;0,OR(Results!$E$4="Tissue",Results!$E$4="Cells")),((FM35*FM$51)/(FM$53)),IF(AND(Results!$E$5="Weight",$C$52&gt;0, Results!$E$4="Tissue",OR($B$52="g",$B$52="mg")),((FM35*FM$51)/(FM$52)),IF(AND(Results!$E$5="Volume",$C$54&gt;0,Results!$E$4="Fluid"),((FM35*FM$51)/(FM$54)),IF(AND(Results!$E$4="Cells",Results!$E$5="Million",$B$52="million"),((FM35*FM$51)/(FM$52)),"0")))))</f>
        <v>4.9281333333333333</v>
      </c>
      <c r="FN88" s="20">
        <f>IF(FN35=0,"0",IF(AND(Results!$E$5="Protein",$C$53&gt;0,OR(Results!$E$4="Tissue",Results!$E$4="Cells")),((FN35*FN$51)/(FN$53)),IF(AND(Results!$E$5="Weight",$C$52&gt;0, Results!$E$4="Tissue",OR($B$52="g",$B$52="mg")),((FN35*FN$51)/(FN$52)),IF(AND(Results!$E$5="Volume",$C$54&gt;0,Results!$E$4="Fluid"),((FN35*FN$51)/(FN$54)),IF(AND(Results!$E$4="Cells",Results!$E$5="Million",$B$52="million"),((FN35*FN$51)/(FN$52)),"0")))))</f>
        <v>2.1416499999999998</v>
      </c>
      <c r="FO88" s="20">
        <f>IF(FO35=0,"0",IF(AND(Results!$E$5="Protein",$C$53&gt;0,OR(Results!$E$4="Tissue",Results!$E$4="Cells")),((FO35*FO$51)/(FO$53)),IF(AND(Results!$E$5="Weight",$C$52&gt;0, Results!$E$4="Tissue",OR($B$52="g",$B$52="mg")),((FO35*FO$51)/(FO$52)),IF(AND(Results!$E$5="Volume",$C$54&gt;0,Results!$E$4="Fluid"),((FO35*FO$51)/(FO$54)),IF(AND(Results!$E$4="Cells",Results!$E$5="Million",$B$52="million"),((FO35*FO$51)/(FO$52)),"0")))))</f>
        <v>0.82583333333333331</v>
      </c>
    </row>
    <row r="89" spans="1:171" x14ac:dyDescent="0.2">
      <c r="A89" s="120" t="str">
        <f t="shared" si="1"/>
        <v>18-HEPE</v>
      </c>
      <c r="B89" s="121"/>
      <c r="C89" s="20" t="str">
        <f>IF(C36=0,"0",IF(AND(Results!$E$5="Protein",$C$53&gt;0,OR(Results!$E$4="Tissue",Results!$E$4="Cells")),((C36*C$51)/(C$53)),IF(AND(Results!$E$5="Weight",$C$52&gt;0, Results!$E$4="Tissue",OR($B$52="g",$B$52="mg")),((C36*C$51)/(C$52)),IF(AND(Results!$E$5="Volume",$C$54&gt;0,Results!$E$4="Fluid"),((C36*C$51)/(C$54)),IF(AND(Results!$E$4="Cells",Results!$E$5="Million",$B$52="million"),((C36*C$51)/(C$52)),"0")))))</f>
        <v>0</v>
      </c>
      <c r="D89" s="20">
        <f>IF(D36=0,"0",IF(AND(Results!$E$5="Protein",$C$53&gt;0,OR(Results!$E$4="Tissue",Results!$E$4="Cells")),((D36*D$51)/(D$53)),IF(AND(Results!$E$5="Weight",$C$52&gt;0, Results!$E$4="Tissue",OR($B$52="g",$B$52="mg")),((D36*D$51)/(D$52)),IF(AND(Results!$E$5="Volume",$C$54&gt;0,Results!$E$4="Fluid"),((D36*D$51)/(D$54)),IF(AND(Results!$E$4="Cells",Results!$E$5="Million",$B$52="million"),((D36*D$51)/(D$52)),"0")))))</f>
        <v>0.11438333333333334</v>
      </c>
      <c r="E89" s="20" t="str">
        <f>IF(E36=0,"0",IF(AND(Results!$E$5="Protein",$C$53&gt;0,OR(Results!$E$4="Tissue",Results!$E$4="Cells")),((E36*E$51)/(E$53)),IF(AND(Results!$E$5="Weight",$C$52&gt;0, Results!$E$4="Tissue",OR($B$52="g",$B$52="mg")),((E36*E$51)/(E$52)),IF(AND(Results!$E$5="Volume",$C$54&gt;0,Results!$E$4="Fluid"),((E36*E$51)/(E$54)),IF(AND(Results!$E$4="Cells",Results!$E$5="Million",$B$52="million"),((E36*E$51)/(E$52)),"0")))))</f>
        <v>0</v>
      </c>
      <c r="F89" s="20">
        <f>IF(F36=0,"0",IF(AND(Results!$E$5="Protein",$C$53&gt;0,OR(Results!$E$4="Tissue",Results!$E$4="Cells")),((F36*F$51)/(F$53)),IF(AND(Results!$E$5="Weight",$C$52&gt;0, Results!$E$4="Tissue",OR($B$52="g",$B$52="mg")),((F36*F$51)/(F$52)),IF(AND(Results!$E$5="Volume",$C$54&gt;0,Results!$E$4="Fluid"),((F36*F$51)/(F$54)),IF(AND(Results!$E$4="Cells",Results!$E$5="Million",$B$52="million"),((F36*F$51)/(F$52)),"0")))))</f>
        <v>0.26216666666666666</v>
      </c>
      <c r="G89" s="20">
        <f>IF(G36=0,"0",IF(AND(Results!$E$5="Protein",$C$53&gt;0,OR(Results!$E$4="Tissue",Results!$E$4="Cells")),((G36*G$51)/(G$53)),IF(AND(Results!$E$5="Weight",$C$52&gt;0, Results!$E$4="Tissue",OR($B$52="g",$B$52="mg")),((G36*G$51)/(G$52)),IF(AND(Results!$E$5="Volume",$C$54&gt;0,Results!$E$4="Fluid"),((G36*G$51)/(G$54)),IF(AND(Results!$E$4="Cells",Results!$E$5="Million",$B$52="million"),((G36*G$51)/(G$52)),"0")))))</f>
        <v>0.23558333333333334</v>
      </c>
      <c r="H89" s="20">
        <f>IF(H36=0,"0",IF(AND(Results!$E$5="Protein",$C$53&gt;0,OR(Results!$E$4="Tissue",Results!$E$4="Cells")),((H36*H$51)/(H$53)),IF(AND(Results!$E$5="Weight",$C$52&gt;0, Results!$E$4="Tissue",OR($B$52="g",$B$52="mg")),((H36*H$51)/(H$52)),IF(AND(Results!$E$5="Volume",$C$54&gt;0,Results!$E$4="Fluid"),((H36*H$51)/(H$54)),IF(AND(Results!$E$4="Cells",Results!$E$5="Million",$B$52="million"),((H36*H$51)/(H$52)),"0")))))</f>
        <v>0.14326666666666668</v>
      </c>
      <c r="I89" s="20">
        <f>IF(I36=0,"0",IF(AND(Results!$E$5="Protein",$C$53&gt;0,OR(Results!$E$4="Tissue",Results!$E$4="Cells")),((I36*I$51)/(I$53)),IF(AND(Results!$E$5="Weight",$C$52&gt;0, Results!$E$4="Tissue",OR($B$52="g",$B$52="mg")),((I36*I$51)/(I$52)),IF(AND(Results!$E$5="Volume",$C$54&gt;0,Results!$E$4="Fluid"),((I36*I$51)/(I$54)),IF(AND(Results!$E$4="Cells",Results!$E$5="Million",$B$52="million"),((I36*I$51)/(I$52)),"0")))))</f>
        <v>1.3614166666666667</v>
      </c>
      <c r="J89" s="20">
        <f>IF(J36=0,"0",IF(AND(Results!$E$5="Protein",$C$53&gt;0,OR(Results!$E$4="Tissue",Results!$E$4="Cells")),((J36*J$51)/(J$53)),IF(AND(Results!$E$5="Weight",$C$52&gt;0, Results!$E$4="Tissue",OR($B$52="g",$B$52="mg")),((J36*J$51)/(J$52)),IF(AND(Results!$E$5="Volume",$C$54&gt;0,Results!$E$4="Fluid"),((J36*J$51)/(J$54)),IF(AND(Results!$E$4="Cells",Results!$E$5="Million",$B$52="million"),((J36*J$51)/(J$52)),"0")))))</f>
        <v>0.30044999999999999</v>
      </c>
      <c r="K89" s="20" t="str">
        <f>IF(K36=0,"0",IF(AND(Results!$E$5="Protein",$C$53&gt;0,OR(Results!$E$4="Tissue",Results!$E$4="Cells")),((K36*K$51)/(K$53)),IF(AND(Results!$E$5="Weight",$C$52&gt;0, Results!$E$4="Tissue",OR($B$52="g",$B$52="mg")),((K36*K$51)/(K$52)),IF(AND(Results!$E$5="Volume",$C$54&gt;0,Results!$E$4="Fluid"),((K36*K$51)/(K$54)),IF(AND(Results!$E$4="Cells",Results!$E$5="Million",$B$52="million"),((K36*K$51)/(K$52)),"0")))))</f>
        <v>0</v>
      </c>
      <c r="L89" s="20" t="str">
        <f>IF(L36=0,"0",IF(AND(Results!$E$5="Protein",$C$53&gt;0,OR(Results!$E$4="Tissue",Results!$E$4="Cells")),((L36*L$51)/(L$53)),IF(AND(Results!$E$5="Weight",$C$52&gt;0, Results!$E$4="Tissue",OR($B$52="g",$B$52="mg")),((L36*L$51)/(L$52)),IF(AND(Results!$E$5="Volume",$C$54&gt;0,Results!$E$4="Fluid"),((L36*L$51)/(L$54)),IF(AND(Results!$E$4="Cells",Results!$E$5="Million",$B$52="million"),((L36*L$51)/(L$52)),"0")))))</f>
        <v>0</v>
      </c>
      <c r="M89" s="20">
        <f>IF(M36=0,"0",IF(AND(Results!$E$5="Protein",$C$53&gt;0,OR(Results!$E$4="Tissue",Results!$E$4="Cells")),((M36*M$51)/(M$53)),IF(AND(Results!$E$5="Weight",$C$52&gt;0, Results!$E$4="Tissue",OR($B$52="g",$B$52="mg")),((M36*M$51)/(M$52)),IF(AND(Results!$E$5="Volume",$C$54&gt;0,Results!$E$4="Fluid"),((M36*M$51)/(M$54)),IF(AND(Results!$E$4="Cells",Results!$E$5="Million",$B$52="million"),((M36*M$51)/(M$52)),"0")))))</f>
        <v>0.17911666666666667</v>
      </c>
      <c r="N89" s="20">
        <f>IF(N36=0,"0",IF(AND(Results!$E$5="Protein",$C$53&gt;0,OR(Results!$E$4="Tissue",Results!$E$4="Cells")),((N36*N$51)/(N$53)),IF(AND(Results!$E$5="Weight",$C$52&gt;0, Results!$E$4="Tissue",OR($B$52="g",$B$52="mg")),((N36*N$51)/(N$52)),IF(AND(Results!$E$5="Volume",$C$54&gt;0,Results!$E$4="Fluid"),((N36*N$51)/(N$54)),IF(AND(Results!$E$4="Cells",Results!$E$5="Million",$B$52="million"),((N36*N$51)/(N$52)),"0")))))</f>
        <v>1.9583333333333331E-2</v>
      </c>
      <c r="O89" s="20">
        <f>IF(O36=0,"0",IF(AND(Results!$E$5="Protein",$C$53&gt;0,OR(Results!$E$4="Tissue",Results!$E$4="Cells")),((O36*O$51)/(O$53)),IF(AND(Results!$E$5="Weight",$C$52&gt;0, Results!$E$4="Tissue",OR($B$52="g",$B$52="mg")),((O36*O$51)/(O$52)),IF(AND(Results!$E$5="Volume",$C$54&gt;0,Results!$E$4="Fluid"),((O36*O$51)/(O$54)),IF(AND(Results!$E$4="Cells",Results!$E$5="Million",$B$52="million"),((O36*O$51)/(O$52)),"0")))))</f>
        <v>0.18516666666666665</v>
      </c>
      <c r="P89" s="20">
        <f>IF(P36=0,"0",IF(AND(Results!$E$5="Protein",$C$53&gt;0,OR(Results!$E$4="Tissue",Results!$E$4="Cells")),((P36*P$51)/(P$53)),IF(AND(Results!$E$5="Weight",$C$52&gt;0, Results!$E$4="Tissue",OR($B$52="g",$B$52="mg")),((P36*P$51)/(P$52)),IF(AND(Results!$E$5="Volume",$C$54&gt;0,Results!$E$4="Fluid"),((P36*P$51)/(P$54)),IF(AND(Results!$E$4="Cells",Results!$E$5="Million",$B$52="million"),((P36*P$51)/(P$52)),"0")))))</f>
        <v>0.26108333333333333</v>
      </c>
      <c r="Q89" s="20">
        <f>IF(Q36=0,"0",IF(AND(Results!$E$5="Protein",$C$53&gt;0,OR(Results!$E$4="Tissue",Results!$E$4="Cells")),((Q36*Q$51)/(Q$53)),IF(AND(Results!$E$5="Weight",$C$52&gt;0, Results!$E$4="Tissue",OR($B$52="g",$B$52="mg")),((Q36*Q$51)/(Q$52)),IF(AND(Results!$E$5="Volume",$C$54&gt;0,Results!$E$4="Fluid"),((Q36*Q$51)/(Q$54)),IF(AND(Results!$E$4="Cells",Results!$E$5="Million",$B$52="million"),((Q36*Q$51)/(Q$52)),"0")))))</f>
        <v>8.3299999999999999E-2</v>
      </c>
      <c r="R89" s="20">
        <f>IF(R36=0,"0",IF(AND(Results!$E$5="Protein",$C$53&gt;0,OR(Results!$E$4="Tissue",Results!$E$4="Cells")),((R36*R$51)/(R$53)),IF(AND(Results!$E$5="Weight",$C$52&gt;0, Results!$E$4="Tissue",OR($B$52="g",$B$52="mg")),((R36*R$51)/(R$52)),IF(AND(Results!$E$5="Volume",$C$54&gt;0,Results!$E$4="Fluid"),((R36*R$51)/(R$54)),IF(AND(Results!$E$4="Cells",Results!$E$5="Million",$B$52="million"),((R36*R$51)/(R$52)),"0")))))</f>
        <v>1.1180833333333333</v>
      </c>
      <c r="S89" s="20">
        <f>IF(S36=0,"0",IF(AND(Results!$E$5="Protein",$C$53&gt;0,OR(Results!$E$4="Tissue",Results!$E$4="Cells")),((S36*S$51)/(S$53)),IF(AND(Results!$E$5="Weight",$C$52&gt;0, Results!$E$4="Tissue",OR($B$52="g",$B$52="mg")),((S36*S$51)/(S$52)),IF(AND(Results!$E$5="Volume",$C$54&gt;0,Results!$E$4="Fluid"),((S36*S$51)/(S$54)),IF(AND(Results!$E$4="Cells",Results!$E$5="Million",$B$52="million"),((S36*S$51)/(S$52)),"0")))))</f>
        <v>7.9250000000000001E-2</v>
      </c>
      <c r="T89" s="20" t="str">
        <f>IF(T36=0,"0",IF(AND(Results!$E$5="Protein",$C$53&gt;0,OR(Results!$E$4="Tissue",Results!$E$4="Cells")),((T36*T$51)/(T$53)),IF(AND(Results!$E$5="Weight",$C$52&gt;0, Results!$E$4="Tissue",OR($B$52="g",$B$52="mg")),((T36*T$51)/(T$52)),IF(AND(Results!$E$5="Volume",$C$54&gt;0,Results!$E$4="Fluid"),((T36*T$51)/(T$54)),IF(AND(Results!$E$4="Cells",Results!$E$5="Million",$B$52="million"),((T36*T$51)/(T$52)),"0")))))</f>
        <v>0</v>
      </c>
      <c r="U89" s="20">
        <f>IF(U36=0,"0",IF(AND(Results!$E$5="Protein",$C$53&gt;0,OR(Results!$E$4="Tissue",Results!$E$4="Cells")),((U36*U$51)/(U$53)),IF(AND(Results!$E$5="Weight",$C$52&gt;0, Results!$E$4="Tissue",OR($B$52="g",$B$52="mg")),((U36*U$51)/(U$52)),IF(AND(Results!$E$5="Volume",$C$54&gt;0,Results!$E$4="Fluid"),((U36*U$51)/(U$54)),IF(AND(Results!$E$4="Cells",Results!$E$5="Million",$B$52="million"),((U36*U$51)/(U$52)),"0")))))</f>
        <v>4.6149999999999997E-2</v>
      </c>
      <c r="V89" s="20">
        <f>IF(V36=0,"0",IF(AND(Results!$E$5="Protein",$C$53&gt;0,OR(Results!$E$4="Tissue",Results!$E$4="Cells")),((V36*V$51)/(V$53)),IF(AND(Results!$E$5="Weight",$C$52&gt;0, Results!$E$4="Tissue",OR($B$52="g",$B$52="mg")),((V36*V$51)/(V$52)),IF(AND(Results!$E$5="Volume",$C$54&gt;0,Results!$E$4="Fluid"),((V36*V$51)/(V$54)),IF(AND(Results!$E$4="Cells",Results!$E$5="Million",$B$52="million"),((V36*V$51)/(V$52)),"0")))))</f>
        <v>-2.6450000000000005E-2</v>
      </c>
      <c r="W89" s="20">
        <f>IF(W36=0,"0",IF(AND(Results!$E$5="Protein",$C$53&gt;0,OR(Results!$E$4="Tissue",Results!$E$4="Cells")),((W36*W$51)/(W$53)),IF(AND(Results!$E$5="Weight",$C$52&gt;0, Results!$E$4="Tissue",OR($B$52="g",$B$52="mg")),((W36*W$51)/(W$52)),IF(AND(Results!$E$5="Volume",$C$54&gt;0,Results!$E$4="Fluid"),((W36*W$51)/(W$54)),IF(AND(Results!$E$4="Cells",Results!$E$5="Million",$B$52="million"),((W36*W$51)/(W$52)),"0")))))</f>
        <v>1.4579714285714285</v>
      </c>
      <c r="X89" s="20">
        <f>IF(X36=0,"0",IF(AND(Results!$E$5="Protein",$C$53&gt;0,OR(Results!$E$4="Tissue",Results!$E$4="Cells")),((X36*X$51)/(X$53)),IF(AND(Results!$E$5="Weight",$C$52&gt;0, Results!$E$4="Tissue",OR($B$52="g",$B$52="mg")),((X36*X$51)/(X$52)),IF(AND(Results!$E$5="Volume",$C$54&gt;0,Results!$E$4="Fluid"),((X36*X$51)/(X$54)),IF(AND(Results!$E$4="Cells",Results!$E$5="Million",$B$52="million"),((X36*X$51)/(X$52)),"0")))))</f>
        <v>-2.6800000000000001E-2</v>
      </c>
      <c r="Y89" s="20">
        <f>IF(Y36=0,"0",IF(AND(Results!$E$5="Protein",$C$53&gt;0,OR(Results!$E$4="Tissue",Results!$E$4="Cells")),((Y36*Y$51)/(Y$53)),IF(AND(Results!$E$5="Weight",$C$52&gt;0, Results!$E$4="Tissue",OR($B$52="g",$B$52="mg")),((Y36*Y$51)/(Y$52)),IF(AND(Results!$E$5="Volume",$C$54&gt;0,Results!$E$4="Fluid"),((Y36*Y$51)/(Y$54)),IF(AND(Results!$E$4="Cells",Results!$E$5="Million",$B$52="million"),((Y36*Y$51)/(Y$52)),"0")))))</f>
        <v>0.3218166666666667</v>
      </c>
      <c r="Z89" s="20">
        <f>IF(Z36=0,"0",IF(AND(Results!$E$5="Protein",$C$53&gt;0,OR(Results!$E$4="Tissue",Results!$E$4="Cells")),((Z36*Z$51)/(Z$53)),IF(AND(Results!$E$5="Weight",$C$52&gt;0, Results!$E$4="Tissue",OR($B$52="g",$B$52="mg")),((Z36*Z$51)/(Z$52)),IF(AND(Results!$E$5="Volume",$C$54&gt;0,Results!$E$4="Fluid"),((Z36*Z$51)/(Z$54)),IF(AND(Results!$E$4="Cells",Results!$E$5="Million",$B$52="million"),((Z36*Z$51)/(Z$52)),"0")))))</f>
        <v>2.7280200000000003</v>
      </c>
      <c r="AA89" s="20">
        <f>IF(AA36=0,"0",IF(AND(Results!$E$5="Protein",$C$53&gt;0,OR(Results!$E$4="Tissue",Results!$E$4="Cells")),((AA36*AA$51)/(AA$53)),IF(AND(Results!$E$5="Weight",$C$52&gt;0, Results!$E$4="Tissue",OR($B$52="g",$B$52="mg")),((AA36*AA$51)/(AA$52)),IF(AND(Results!$E$5="Volume",$C$54&gt;0,Results!$E$4="Fluid"),((AA36*AA$51)/(AA$54)),IF(AND(Results!$E$4="Cells",Results!$E$5="Million",$B$52="million"),((AA36*AA$51)/(AA$52)),"0")))))</f>
        <v>0.13908333333333334</v>
      </c>
      <c r="AB89" s="20">
        <f>IF(AB36=0,"0",IF(AND(Results!$E$5="Protein",$C$53&gt;0,OR(Results!$E$4="Tissue",Results!$E$4="Cells")),((AB36*AB$51)/(AB$53)),IF(AND(Results!$E$5="Weight",$C$52&gt;0, Results!$E$4="Tissue",OR($B$52="g",$B$52="mg")),((AB36*AB$51)/(AB$52)),IF(AND(Results!$E$5="Volume",$C$54&gt;0,Results!$E$4="Fluid"),((AB36*AB$51)/(AB$54)),IF(AND(Results!$E$4="Cells",Results!$E$5="Million",$B$52="million"),((AB36*AB$51)/(AB$52)),"0")))))</f>
        <v>0.23815000000000003</v>
      </c>
      <c r="AC89" s="20">
        <f>IF(AC36=0,"0",IF(AND(Results!$E$5="Protein",$C$53&gt;0,OR(Results!$E$4="Tissue",Results!$E$4="Cells")),((AC36*AC$51)/(AC$53)),IF(AND(Results!$E$5="Weight",$C$52&gt;0, Results!$E$4="Tissue",OR($B$52="g",$B$52="mg")),((AC36*AC$51)/(AC$52)),IF(AND(Results!$E$5="Volume",$C$54&gt;0,Results!$E$4="Fluid"),((AC36*AC$51)/(AC$54)),IF(AND(Results!$E$4="Cells",Results!$E$5="Million",$B$52="million"),((AC36*AC$51)/(AC$52)),"0")))))</f>
        <v>0.22235000000000002</v>
      </c>
      <c r="AD89" s="20">
        <f>IF(AD36=0,"0",IF(AND(Results!$E$5="Protein",$C$53&gt;0,OR(Results!$E$4="Tissue",Results!$E$4="Cells")),((AD36*AD$51)/(AD$53)),IF(AND(Results!$E$5="Weight",$C$52&gt;0, Results!$E$4="Tissue",OR($B$52="g",$B$52="mg")),((AD36*AD$51)/(AD$52)),IF(AND(Results!$E$5="Volume",$C$54&gt;0,Results!$E$4="Fluid"),((AD36*AD$51)/(AD$54)),IF(AND(Results!$E$4="Cells",Results!$E$5="Million",$B$52="million"),((AD36*AD$51)/(AD$52)),"0")))))</f>
        <v>0.13621666666666668</v>
      </c>
      <c r="AE89" s="20" t="str">
        <f>IF(AE36=0,"0",IF(AND(Results!$E$5="Protein",$C$53&gt;0,OR(Results!$E$4="Tissue",Results!$E$4="Cells")),((AE36*AE$51)/(AE$53)),IF(AND(Results!$E$5="Weight",$C$52&gt;0, Results!$E$4="Tissue",OR($B$52="g",$B$52="mg")),((AE36*AE$51)/(AE$52)),IF(AND(Results!$E$5="Volume",$C$54&gt;0,Results!$E$4="Fluid"),((AE36*AE$51)/(AE$54)),IF(AND(Results!$E$4="Cells",Results!$E$5="Million",$B$52="million"),((AE36*AE$51)/(AE$52)),"0")))))</f>
        <v>0</v>
      </c>
      <c r="AF89" s="20" t="str">
        <f>IF(AF36=0,"0",IF(AND(Results!$E$5="Protein",$C$53&gt;0,OR(Results!$E$4="Tissue",Results!$E$4="Cells")),((AF36*AF$51)/(AF$53)),IF(AND(Results!$E$5="Weight",$C$52&gt;0, Results!$E$4="Tissue",OR($B$52="g",$B$52="mg")),((AF36*AF$51)/(AF$52)),IF(AND(Results!$E$5="Volume",$C$54&gt;0,Results!$E$4="Fluid"),((AF36*AF$51)/(AF$54)),IF(AND(Results!$E$4="Cells",Results!$E$5="Million",$B$52="million"),((AF36*AF$51)/(AF$52)),"0")))))</f>
        <v>0</v>
      </c>
      <c r="AG89" s="20">
        <f>IF(AG36=0,"0",IF(AND(Results!$E$5="Protein",$C$53&gt;0,OR(Results!$E$4="Tissue",Results!$E$4="Cells")),((AG36*AG$51)/(AG$53)),IF(AND(Results!$E$5="Weight",$C$52&gt;0, Results!$E$4="Tissue",OR($B$52="g",$B$52="mg")),((AG36*AG$51)/(AG$52)),IF(AND(Results!$E$5="Volume",$C$54&gt;0,Results!$E$4="Fluid"),((AG36*AG$51)/(AG$54)),IF(AND(Results!$E$4="Cells",Results!$E$5="Million",$B$52="million"),((AG36*AG$51)/(AG$52)),"0")))))</f>
        <v>0.23864999999999997</v>
      </c>
      <c r="AH89" s="20" t="str">
        <f>IF(AH36=0,"0",IF(AND(Results!$E$5="Protein",$C$53&gt;0,OR(Results!$E$4="Tissue",Results!$E$4="Cells")),((AH36*AH$51)/(AH$53)),IF(AND(Results!$E$5="Weight",$C$52&gt;0, Results!$E$4="Tissue",OR($B$52="g",$B$52="mg")),((AH36*AH$51)/(AH$52)),IF(AND(Results!$E$5="Volume",$C$54&gt;0,Results!$E$4="Fluid"),((AH36*AH$51)/(AH$54)),IF(AND(Results!$E$4="Cells",Results!$E$5="Million",$B$52="million"),((AH36*AH$51)/(AH$52)),"0")))))</f>
        <v>0</v>
      </c>
      <c r="AI89" s="20">
        <f>IF(AI36=0,"0",IF(AND(Results!$E$5="Protein",$C$53&gt;0,OR(Results!$E$4="Tissue",Results!$E$4="Cells")),((AI36*AI$51)/(AI$53)),IF(AND(Results!$E$5="Weight",$C$52&gt;0, Results!$E$4="Tissue",OR($B$52="g",$B$52="mg")),((AI36*AI$51)/(AI$52)),IF(AND(Results!$E$5="Volume",$C$54&gt;0,Results!$E$4="Fluid"),((AI36*AI$51)/(AI$54)),IF(AND(Results!$E$4="Cells",Results!$E$5="Million",$B$52="million"),((AI36*AI$51)/(AI$52)),"0")))))</f>
        <v>0.35160000000000002</v>
      </c>
      <c r="AJ89" s="20">
        <f>IF(AJ36=0,"0",IF(AND(Results!$E$5="Protein",$C$53&gt;0,OR(Results!$E$4="Tissue",Results!$E$4="Cells")),((AJ36*AJ$51)/(AJ$53)),IF(AND(Results!$E$5="Weight",$C$52&gt;0, Results!$E$4="Tissue",OR($B$52="g",$B$52="mg")),((AJ36*AJ$51)/(AJ$52)),IF(AND(Results!$E$5="Volume",$C$54&gt;0,Results!$E$4="Fluid"),((AJ36*AJ$51)/(AJ$54)),IF(AND(Results!$E$4="Cells",Results!$E$5="Million",$B$52="million"),((AJ36*AJ$51)/(AJ$52)),"0")))))</f>
        <v>0.59001666666666663</v>
      </c>
      <c r="AK89" s="20" t="str">
        <f>IF(AK36=0,"0",IF(AND(Results!$E$5="Protein",$C$53&gt;0,OR(Results!$E$4="Tissue",Results!$E$4="Cells")),((AK36*AK$51)/(AK$53)),IF(AND(Results!$E$5="Weight",$C$52&gt;0, Results!$E$4="Tissue",OR($B$52="g",$B$52="mg")),((AK36*AK$51)/(AK$52)),IF(AND(Results!$E$5="Volume",$C$54&gt;0,Results!$E$4="Fluid"),((AK36*AK$51)/(AK$54)),IF(AND(Results!$E$4="Cells",Results!$E$5="Million",$B$52="million"),((AK36*AK$51)/(AK$52)),"0")))))</f>
        <v>0</v>
      </c>
      <c r="AL89" s="20">
        <f>IF(AL36=0,"0",IF(AND(Results!$E$5="Protein",$C$53&gt;0,OR(Results!$E$4="Tissue",Results!$E$4="Cells")),((AL36*AL$51)/(AL$53)),IF(AND(Results!$E$5="Weight",$C$52&gt;0, Results!$E$4="Tissue",OR($B$52="g",$B$52="mg")),((AL36*AL$51)/(AL$52)),IF(AND(Results!$E$5="Volume",$C$54&gt;0,Results!$E$4="Fluid"),((AL36*AL$51)/(AL$54)),IF(AND(Results!$E$4="Cells",Results!$E$5="Million",$B$52="million"),((AL36*AL$51)/(AL$52)),"0")))))</f>
        <v>0.97791666666666666</v>
      </c>
      <c r="AM89" s="20">
        <f>IF(AM36=0,"0",IF(AND(Results!$E$5="Protein",$C$53&gt;0,OR(Results!$E$4="Tissue",Results!$E$4="Cells")),((AM36*AM$51)/(AM$53)),IF(AND(Results!$E$5="Weight",$C$52&gt;0, Results!$E$4="Tissue",OR($B$52="g",$B$52="mg")),((AM36*AM$51)/(AM$52)),IF(AND(Results!$E$5="Volume",$C$54&gt;0,Results!$E$4="Fluid"),((AM36*AM$51)/(AM$54)),IF(AND(Results!$E$4="Cells",Results!$E$5="Million",$B$52="million"),((AM36*AM$51)/(AM$52)),"0")))))</f>
        <v>0.17226666666666668</v>
      </c>
      <c r="AN89" s="20">
        <f>IF(AN36=0,"0",IF(AND(Results!$E$5="Protein",$C$53&gt;0,OR(Results!$E$4="Tissue",Results!$E$4="Cells")),((AN36*AN$51)/(AN$53)),IF(AND(Results!$E$5="Weight",$C$52&gt;0, Results!$E$4="Tissue",OR($B$52="g",$B$52="mg")),((AN36*AN$51)/(AN$52)),IF(AND(Results!$E$5="Volume",$C$54&gt;0,Results!$E$4="Fluid"),((AN36*AN$51)/(AN$54)),IF(AND(Results!$E$4="Cells",Results!$E$5="Million",$B$52="million"),((AN36*AN$51)/(AN$52)),"0")))))</f>
        <v>2.0983333333333336E-2</v>
      </c>
      <c r="AO89" s="20">
        <f>IF(AO36=0,"0",IF(AND(Results!$E$5="Protein",$C$53&gt;0,OR(Results!$E$4="Tissue",Results!$E$4="Cells")),((AO36*AO$51)/(AO$53)),IF(AND(Results!$E$5="Weight",$C$52&gt;0, Results!$E$4="Tissue",OR($B$52="g",$B$52="mg")),((AO36*AO$51)/(AO$52)),IF(AND(Results!$E$5="Volume",$C$54&gt;0,Results!$E$4="Fluid"),((AO36*AO$51)/(AO$54)),IF(AND(Results!$E$4="Cells",Results!$E$5="Million",$B$52="million"),((AO36*AO$51)/(AO$52)),"0")))))</f>
        <v>-1.0833333333333334E-2</v>
      </c>
      <c r="AP89" s="20" t="str">
        <f>IF(AP36=0,"0",IF(AND(Results!$E$5="Protein",$C$53&gt;0,OR(Results!$E$4="Tissue",Results!$E$4="Cells")),((AP36*AP$51)/(AP$53)),IF(AND(Results!$E$5="Weight",$C$52&gt;0, Results!$E$4="Tissue",OR($B$52="g",$B$52="mg")),((AP36*AP$51)/(AP$52)),IF(AND(Results!$E$5="Volume",$C$54&gt;0,Results!$E$4="Fluid"),((AP36*AP$51)/(AP$54)),IF(AND(Results!$E$4="Cells",Results!$E$5="Million",$B$52="million"),((AP36*AP$51)/(AP$52)),"0")))))</f>
        <v>0</v>
      </c>
      <c r="AQ89" s="20">
        <f>IF(AQ36=0,"0",IF(AND(Results!$E$5="Protein",$C$53&gt;0,OR(Results!$E$4="Tissue",Results!$E$4="Cells")),((AQ36*AQ$51)/(AQ$53)),IF(AND(Results!$E$5="Weight",$C$52&gt;0, Results!$E$4="Tissue",OR($B$52="g",$B$52="mg")),((AQ36*AQ$51)/(AQ$52)),IF(AND(Results!$E$5="Volume",$C$54&gt;0,Results!$E$4="Fluid"),((AQ36*AQ$51)/(AQ$54)),IF(AND(Results!$E$4="Cells",Results!$E$5="Million",$B$52="million"),((AQ36*AQ$51)/(AQ$52)),"0")))))</f>
        <v>9.7499999999999989E-2</v>
      </c>
      <c r="AR89" s="20">
        <f>IF(AR36=0,"0",IF(AND(Results!$E$5="Protein",$C$53&gt;0,OR(Results!$E$4="Tissue",Results!$E$4="Cells")),((AR36*AR$51)/(AR$53)),IF(AND(Results!$E$5="Weight",$C$52&gt;0, Results!$E$4="Tissue",OR($B$52="g",$B$52="mg")),((AR36*AR$51)/(AR$52)),IF(AND(Results!$E$5="Volume",$C$54&gt;0,Results!$E$4="Fluid"),((AR36*AR$51)/(AR$54)),IF(AND(Results!$E$4="Cells",Results!$E$5="Million",$B$52="million"),((AR36*AR$51)/(AR$52)),"0")))))</f>
        <v>-2.4233333333333332E-2</v>
      </c>
      <c r="AS89" s="20">
        <f>IF(AS36=0,"0",IF(AND(Results!$E$5="Protein",$C$53&gt;0,OR(Results!$E$4="Tissue",Results!$E$4="Cells")),((AS36*AS$51)/(AS$53)),IF(AND(Results!$E$5="Weight",$C$52&gt;0, Results!$E$4="Tissue",OR($B$52="g",$B$52="mg")),((AS36*AS$51)/(AS$52)),IF(AND(Results!$E$5="Volume",$C$54&gt;0,Results!$E$4="Fluid"),((AS36*AS$51)/(AS$54)),IF(AND(Results!$E$4="Cells",Results!$E$5="Million",$B$52="million"),((AS36*AS$51)/(AS$52)),"0")))))</f>
        <v>1.90005</v>
      </c>
      <c r="AT89" s="20">
        <f>IF(AT36=0,"0",IF(AND(Results!$E$5="Protein",$C$53&gt;0,OR(Results!$E$4="Tissue",Results!$E$4="Cells")),((AT36*AT$51)/(AT$53)),IF(AND(Results!$E$5="Weight",$C$52&gt;0, Results!$E$4="Tissue",OR($B$52="g",$B$52="mg")),((AT36*AT$51)/(AT$52)),IF(AND(Results!$E$5="Volume",$C$54&gt;0,Results!$E$4="Fluid"),((AT36*AT$51)/(AT$54)),IF(AND(Results!$E$4="Cells",Results!$E$5="Million",$B$52="million"),((AT36*AT$51)/(AT$52)),"0")))))</f>
        <v>0.21211666666666668</v>
      </c>
      <c r="AU89" s="20" t="str">
        <f>IF(AU36=0,"0",IF(AND(Results!$E$5="Protein",$C$53&gt;0,OR(Results!$E$4="Tissue",Results!$E$4="Cells")),((AU36*AU$51)/(AU$53)),IF(AND(Results!$E$5="Weight",$C$52&gt;0, Results!$E$4="Tissue",OR($B$52="g",$B$52="mg")),((AU36*AU$51)/(AU$52)),IF(AND(Results!$E$5="Volume",$C$54&gt;0,Results!$E$4="Fluid"),((AU36*AU$51)/(AU$54)),IF(AND(Results!$E$4="Cells",Results!$E$5="Million",$B$52="million"),((AU36*AU$51)/(AU$52)),"0")))))</f>
        <v>0</v>
      </c>
      <c r="AV89" s="20" t="str">
        <f>IF(AV36=0,"0",IF(AND(Results!$E$5="Protein",$C$53&gt;0,OR(Results!$E$4="Tissue",Results!$E$4="Cells")),((AV36*AV$51)/(AV$53)),IF(AND(Results!$E$5="Weight",$C$52&gt;0, Results!$E$4="Tissue",OR($B$52="g",$B$52="mg")),((AV36*AV$51)/(AV$52)),IF(AND(Results!$E$5="Volume",$C$54&gt;0,Results!$E$4="Fluid"),((AV36*AV$51)/(AV$54)),IF(AND(Results!$E$4="Cells",Results!$E$5="Million",$B$52="million"),((AV36*AV$51)/(AV$52)),"0")))))</f>
        <v>0</v>
      </c>
      <c r="AW89" s="20" t="str">
        <f>IF(AW36=0,"0",IF(AND(Results!$E$5="Protein",$C$53&gt;0,OR(Results!$E$4="Tissue",Results!$E$4="Cells")),((AW36*AW$51)/(AW$53)),IF(AND(Results!$E$5="Weight",$C$52&gt;0, Results!$E$4="Tissue",OR($B$52="g",$B$52="mg")),((AW36*AW$51)/(AW$52)),IF(AND(Results!$E$5="Volume",$C$54&gt;0,Results!$E$4="Fluid"),((AW36*AW$51)/(AW$54)),IF(AND(Results!$E$4="Cells",Results!$E$5="Million",$B$52="million"),((AW36*AW$51)/(AW$52)),"0")))))</f>
        <v>0</v>
      </c>
      <c r="AX89" s="20">
        <f>IF(AX36=0,"0",IF(AND(Results!$E$5="Protein",$C$53&gt;0,OR(Results!$E$4="Tissue",Results!$E$4="Cells")),((AX36*AX$51)/(AX$53)),IF(AND(Results!$E$5="Weight",$C$52&gt;0, Results!$E$4="Tissue",OR($B$52="g",$B$52="mg")),((AX36*AX$51)/(AX$52)),IF(AND(Results!$E$5="Volume",$C$54&gt;0,Results!$E$4="Fluid"),((AX36*AX$51)/(AX$54)),IF(AND(Results!$E$4="Cells",Results!$E$5="Million",$B$52="million"),((AX36*AX$51)/(AX$52)),"0")))))</f>
        <v>0.14025000000000001</v>
      </c>
      <c r="AY89" s="20">
        <f>IF(AY36=0,"0",IF(AND(Results!$E$5="Protein",$C$53&gt;0,OR(Results!$E$4="Tissue",Results!$E$4="Cells")),((AY36*AY$51)/(AY$53)),IF(AND(Results!$E$5="Weight",$C$52&gt;0, Results!$E$4="Tissue",OR($B$52="g",$B$52="mg")),((AY36*AY$51)/(AY$52)),IF(AND(Results!$E$5="Volume",$C$54&gt;0,Results!$E$4="Fluid"),((AY36*AY$51)/(AY$54)),IF(AND(Results!$E$4="Cells",Results!$E$5="Million",$B$52="million"),((AY36*AY$51)/(AY$52)),"0")))))</f>
        <v>0.27681666666666671</v>
      </c>
      <c r="AZ89" s="20" t="str">
        <f>IF(AZ36=0,"0",IF(AND(Results!$E$5="Protein",$C$53&gt;0,OR(Results!$E$4="Tissue",Results!$E$4="Cells")),((AZ36*AZ$51)/(AZ$53)),IF(AND(Results!$E$5="Weight",$C$52&gt;0, Results!$E$4="Tissue",OR($B$52="g",$B$52="mg")),((AZ36*AZ$51)/(AZ$52)),IF(AND(Results!$E$5="Volume",$C$54&gt;0,Results!$E$4="Fluid"),((AZ36*AZ$51)/(AZ$54)),IF(AND(Results!$E$4="Cells",Results!$E$5="Million",$B$52="million"),((AZ36*AZ$51)/(AZ$52)),"0")))))</f>
        <v>0</v>
      </c>
      <c r="BA89" s="20" t="str">
        <f>IF(BA36=0,"0",IF(AND(Results!$E$5="Protein",$C$53&gt;0,OR(Results!$E$4="Tissue",Results!$E$4="Cells")),((BA36*BA$51)/(BA$53)),IF(AND(Results!$E$5="Weight",$C$52&gt;0, Results!$E$4="Tissue",OR($B$52="g",$B$52="mg")),((BA36*BA$51)/(BA$52)),IF(AND(Results!$E$5="Volume",$C$54&gt;0,Results!$E$4="Fluid"),((BA36*BA$51)/(BA$54)),IF(AND(Results!$E$4="Cells",Results!$E$5="Million",$B$52="million"),((BA36*BA$51)/(BA$52)),"0")))))</f>
        <v>0</v>
      </c>
      <c r="BB89" s="20" t="str">
        <f>IF(BB36=0,"0",IF(AND(Results!$E$5="Protein",$C$53&gt;0,OR(Results!$E$4="Tissue",Results!$E$4="Cells")),((BB36*BB$51)/(BB$53)),IF(AND(Results!$E$5="Weight",$C$52&gt;0, Results!$E$4="Tissue",OR($B$52="g",$B$52="mg")),((BB36*BB$51)/(BB$52)),IF(AND(Results!$E$5="Volume",$C$54&gt;0,Results!$E$4="Fluid"),((BB36*BB$51)/(BB$54)),IF(AND(Results!$E$4="Cells",Results!$E$5="Million",$B$52="million"),((BB36*BB$51)/(BB$52)),"0")))))</f>
        <v>0</v>
      </c>
      <c r="BC89" s="20" t="str">
        <f>IF(BC36=0,"0",IF(AND(Results!$E$5="Protein",$C$53&gt;0,OR(Results!$E$4="Tissue",Results!$E$4="Cells")),((BC36*BC$51)/(BC$53)),IF(AND(Results!$E$5="Weight",$C$52&gt;0, Results!$E$4="Tissue",OR($B$52="g",$B$52="mg")),((BC36*BC$51)/(BC$52)),IF(AND(Results!$E$5="Volume",$C$54&gt;0,Results!$E$4="Fluid"),((BC36*BC$51)/(BC$54)),IF(AND(Results!$E$4="Cells",Results!$E$5="Million",$B$52="million"),((BC36*BC$51)/(BC$52)),"0")))))</f>
        <v>0</v>
      </c>
      <c r="BD89" s="20" t="str">
        <f>IF(BD36=0,"0",IF(AND(Results!$E$5="Protein",$C$53&gt;0,OR(Results!$E$4="Tissue",Results!$E$4="Cells")),((BD36*BD$51)/(BD$53)),IF(AND(Results!$E$5="Weight",$C$52&gt;0, Results!$E$4="Tissue",OR($B$52="g",$B$52="mg")),((BD36*BD$51)/(BD$52)),IF(AND(Results!$E$5="Volume",$C$54&gt;0,Results!$E$4="Fluid"),((BD36*BD$51)/(BD$54)),IF(AND(Results!$E$4="Cells",Results!$E$5="Million",$B$52="million"),((BD36*BD$51)/(BD$52)),"0")))))</f>
        <v>0</v>
      </c>
      <c r="BE89" s="20" t="str">
        <f>IF(BE36=0,"0",IF(AND(Results!$E$5="Protein",$C$53&gt;0,OR(Results!$E$4="Tissue",Results!$E$4="Cells")),((BE36*BE$51)/(BE$53)),IF(AND(Results!$E$5="Weight",$C$52&gt;0, Results!$E$4="Tissue",OR($B$52="g",$B$52="mg")),((BE36*BE$51)/(BE$52)),IF(AND(Results!$E$5="Volume",$C$54&gt;0,Results!$E$4="Fluid"),((BE36*BE$51)/(BE$54)),IF(AND(Results!$E$4="Cells",Results!$E$5="Million",$B$52="million"),((BE36*BE$51)/(BE$52)),"0")))))</f>
        <v>0</v>
      </c>
      <c r="BF89" s="20">
        <f>IF(BF36=0,"0",IF(AND(Results!$E$5="Protein",$C$53&gt;0,OR(Results!$E$4="Tissue",Results!$E$4="Cells")),((BF36*BF$51)/(BF$53)),IF(AND(Results!$E$5="Weight",$C$52&gt;0, Results!$E$4="Tissue",OR($B$52="g",$B$52="mg")),((BF36*BF$51)/(BF$52)),IF(AND(Results!$E$5="Volume",$C$54&gt;0,Results!$E$4="Fluid"),((BF36*BF$51)/(BF$54)),IF(AND(Results!$E$4="Cells",Results!$E$5="Million",$B$52="million"),((BF36*BF$51)/(BF$52)),"0")))))</f>
        <v>0.32533333333333331</v>
      </c>
      <c r="BG89" s="20" t="str">
        <f>IF(BG36=0,"0",IF(AND(Results!$E$5="Protein",$C$53&gt;0,OR(Results!$E$4="Tissue",Results!$E$4="Cells")),((BG36*BG$51)/(BG$53)),IF(AND(Results!$E$5="Weight",$C$52&gt;0, Results!$E$4="Tissue",OR($B$52="g",$B$52="mg")),((BG36*BG$51)/(BG$52)),IF(AND(Results!$E$5="Volume",$C$54&gt;0,Results!$E$4="Fluid"),((BG36*BG$51)/(BG$54)),IF(AND(Results!$E$4="Cells",Results!$E$5="Million",$B$52="million"),((BG36*BG$51)/(BG$52)),"0")))))</f>
        <v>0</v>
      </c>
      <c r="BH89" s="20">
        <f>IF(BH36=0,"0",IF(AND(Results!$E$5="Protein",$C$53&gt;0,OR(Results!$E$4="Tissue",Results!$E$4="Cells")),((BH36*BH$51)/(BH$53)),IF(AND(Results!$E$5="Weight",$C$52&gt;0, Results!$E$4="Tissue",OR($B$52="g",$B$52="mg")),((BH36*BH$51)/(BH$52)),IF(AND(Results!$E$5="Volume",$C$54&gt;0,Results!$E$4="Fluid"),((BH36*BH$51)/(BH$54)),IF(AND(Results!$E$4="Cells",Results!$E$5="Million",$B$52="million"),((BH36*BH$51)/(BH$52)),"0")))))</f>
        <v>0.70773333333333344</v>
      </c>
      <c r="BI89" s="20">
        <f>IF(BI36=0,"0",IF(AND(Results!$E$5="Protein",$C$53&gt;0,OR(Results!$E$4="Tissue",Results!$E$4="Cells")),((BI36*BI$51)/(BI$53)),IF(AND(Results!$E$5="Weight",$C$52&gt;0, Results!$E$4="Tissue",OR($B$52="g",$B$52="mg")),((BI36*BI$51)/(BI$52)),IF(AND(Results!$E$5="Volume",$C$54&gt;0,Results!$E$4="Fluid"),((BI36*BI$51)/(BI$54)),IF(AND(Results!$E$4="Cells",Results!$E$5="Million",$B$52="million"),((BI36*BI$51)/(BI$52)),"0")))))</f>
        <v>0.69168333333333343</v>
      </c>
      <c r="BJ89" s="20">
        <f>IF(BJ36=0,"0",IF(AND(Results!$E$5="Protein",$C$53&gt;0,OR(Results!$E$4="Tissue",Results!$E$4="Cells")),((BJ36*BJ$51)/(BJ$53)),IF(AND(Results!$E$5="Weight",$C$52&gt;0, Results!$E$4="Tissue",OR($B$52="g",$B$52="mg")),((BJ36*BJ$51)/(BJ$52)),IF(AND(Results!$E$5="Volume",$C$54&gt;0,Results!$E$4="Fluid"),((BJ36*BJ$51)/(BJ$54)),IF(AND(Results!$E$4="Cells",Results!$E$5="Million",$B$52="million"),((BJ36*BJ$51)/(BJ$52)),"0")))))</f>
        <v>1.7809999999999999</v>
      </c>
      <c r="BK89" s="20">
        <f>IF(BK36=0,"0",IF(AND(Results!$E$5="Protein",$C$53&gt;0,OR(Results!$E$4="Tissue",Results!$E$4="Cells")),((BK36*BK$51)/(BK$53)),IF(AND(Results!$E$5="Weight",$C$52&gt;0, Results!$E$4="Tissue",OR($B$52="g",$B$52="mg")),((BK36*BK$51)/(BK$52)),IF(AND(Results!$E$5="Volume",$C$54&gt;0,Results!$E$4="Fluid"),((BK36*BK$51)/(BK$54)),IF(AND(Results!$E$4="Cells",Results!$E$5="Million",$B$52="million"),((BK36*BK$51)/(BK$52)),"0")))))</f>
        <v>0.23905000000000001</v>
      </c>
      <c r="BL89" s="20">
        <f>IF(BL36=0,"0",IF(AND(Results!$E$5="Protein",$C$53&gt;0,OR(Results!$E$4="Tissue",Results!$E$4="Cells")),((BL36*BL$51)/(BL$53)),IF(AND(Results!$E$5="Weight",$C$52&gt;0, Results!$E$4="Tissue",OR($B$52="g",$B$52="mg")),((BL36*BL$51)/(BL$52)),IF(AND(Results!$E$5="Volume",$C$54&gt;0,Results!$E$4="Fluid"),((BL36*BL$51)/(BL$54)),IF(AND(Results!$E$4="Cells",Results!$E$5="Million",$B$52="million"),((BL36*BL$51)/(BL$52)),"0")))))</f>
        <v>11.661033333333334</v>
      </c>
      <c r="BM89" s="20">
        <f>IF(BM36=0,"0",IF(AND(Results!$E$5="Protein",$C$53&gt;0,OR(Results!$E$4="Tissue",Results!$E$4="Cells")),((BM36*BM$51)/(BM$53)),IF(AND(Results!$E$5="Weight",$C$52&gt;0, Results!$E$4="Tissue",OR($B$52="g",$B$52="mg")),((BM36*BM$51)/(BM$52)),IF(AND(Results!$E$5="Volume",$C$54&gt;0,Results!$E$4="Fluid"),((BM36*BM$51)/(BM$54)),IF(AND(Results!$E$4="Cells",Results!$E$5="Million",$B$52="million"),((BM36*BM$51)/(BM$52)),"0")))))</f>
        <v>13.175628571428572</v>
      </c>
      <c r="BN89" s="20">
        <f>IF(BN36=0,"0",IF(AND(Results!$E$5="Protein",$C$53&gt;0,OR(Results!$E$4="Tissue",Results!$E$4="Cells")),((BN36*BN$51)/(BN$53)),IF(AND(Results!$E$5="Weight",$C$52&gt;0, Results!$E$4="Tissue",OR($B$52="g",$B$52="mg")),((BN36*BN$51)/(BN$52)),IF(AND(Results!$E$5="Volume",$C$54&gt;0,Results!$E$4="Fluid"),((BN36*BN$51)/(BN$54)),IF(AND(Results!$E$4="Cells",Results!$E$5="Million",$B$52="million"),((BN36*BN$51)/(BN$52)),"0")))))</f>
        <v>12.500450000000001</v>
      </c>
      <c r="BO89" s="20">
        <f>IF(BO36=0,"0",IF(AND(Results!$E$5="Protein",$C$53&gt;0,OR(Results!$E$4="Tissue",Results!$E$4="Cells")),((BO36*BO$51)/(BO$53)),IF(AND(Results!$E$5="Weight",$C$52&gt;0, Results!$E$4="Tissue",OR($B$52="g",$B$52="mg")),((BO36*BO$51)/(BO$52)),IF(AND(Results!$E$5="Volume",$C$54&gt;0,Results!$E$4="Fluid"),((BO36*BO$51)/(BO$54)),IF(AND(Results!$E$4="Cells",Results!$E$5="Million",$B$52="million"),((BO36*BO$51)/(BO$52)),"0")))))</f>
        <v>25.832466666666665</v>
      </c>
      <c r="BP89" s="20">
        <f>IF(BP36=0,"0",IF(AND(Results!$E$5="Protein",$C$53&gt;0,OR(Results!$E$4="Tissue",Results!$E$4="Cells")),((BP36*BP$51)/(BP$53)),IF(AND(Results!$E$5="Weight",$C$52&gt;0, Results!$E$4="Tissue",OR($B$52="g",$B$52="mg")),((BP36*BP$51)/(BP$52)),IF(AND(Results!$E$5="Volume",$C$54&gt;0,Results!$E$4="Fluid"),((BP36*BP$51)/(BP$54)),IF(AND(Results!$E$4="Cells",Results!$E$5="Million",$B$52="million"),((BP36*BP$51)/(BP$52)),"0")))))</f>
        <v>10.46965</v>
      </c>
      <c r="BQ89" s="20">
        <f>IF(BQ36=0,"0",IF(AND(Results!$E$5="Protein",$C$53&gt;0,OR(Results!$E$4="Tissue",Results!$E$4="Cells")),((BQ36*BQ$51)/(BQ$53)),IF(AND(Results!$E$5="Weight",$C$52&gt;0, Results!$E$4="Tissue",OR($B$52="g",$B$52="mg")),((BQ36*BQ$51)/(BQ$52)),IF(AND(Results!$E$5="Volume",$C$54&gt;0,Results!$E$4="Fluid"),((BQ36*BQ$51)/(BQ$54)),IF(AND(Results!$E$4="Cells",Results!$E$5="Million",$B$52="million"),((BQ36*BQ$51)/(BQ$52)),"0")))))</f>
        <v>1.3425</v>
      </c>
      <c r="BR89" s="20" t="str">
        <f>IF(BR36=0,"0",IF(AND(Results!$E$5="Protein",$C$53&gt;0,OR(Results!$E$4="Tissue",Results!$E$4="Cells")),((BR36*BR$51)/(BR$53)),IF(AND(Results!$E$5="Weight",$C$52&gt;0, Results!$E$4="Tissue",OR($B$52="g",$B$52="mg")),((BR36*BR$51)/(BR$52)),IF(AND(Results!$E$5="Volume",$C$54&gt;0,Results!$E$4="Fluid"),((BR36*BR$51)/(BR$54)),IF(AND(Results!$E$4="Cells",Results!$E$5="Million",$B$52="million"),((BR36*BR$51)/(BR$52)),"0")))))</f>
        <v>0</v>
      </c>
      <c r="BS89" s="20">
        <f>IF(BS36=0,"0",IF(AND(Results!$E$5="Protein",$C$53&gt;0,OR(Results!$E$4="Tissue",Results!$E$4="Cells")),((BS36*BS$51)/(BS$53)),IF(AND(Results!$E$5="Weight",$C$52&gt;0, Results!$E$4="Tissue",OR($B$52="g",$B$52="mg")),((BS36*BS$51)/(BS$52)),IF(AND(Results!$E$5="Volume",$C$54&gt;0,Results!$E$4="Fluid"),((BS36*BS$51)/(BS$54)),IF(AND(Results!$E$4="Cells",Results!$E$5="Million",$B$52="million"),((BS36*BS$51)/(BS$52)),"0")))))</f>
        <v>10.907816666666667</v>
      </c>
      <c r="BT89" s="20">
        <f>IF(BT36=0,"0",IF(AND(Results!$E$5="Protein",$C$53&gt;0,OR(Results!$E$4="Tissue",Results!$E$4="Cells")),((BT36*BT$51)/(BT$53)),IF(AND(Results!$E$5="Weight",$C$52&gt;0, Results!$E$4="Tissue",OR($B$52="g",$B$52="mg")),((BT36*BT$51)/(BT$52)),IF(AND(Results!$E$5="Volume",$C$54&gt;0,Results!$E$4="Fluid"),((BT36*BT$51)/(BT$54)),IF(AND(Results!$E$4="Cells",Results!$E$5="Million",$B$52="million"),((BT36*BT$51)/(BT$52)),"0")))))</f>
        <v>2.9771000000000001</v>
      </c>
      <c r="BU89" s="20">
        <f>IF(BU36=0,"0",IF(AND(Results!$E$5="Protein",$C$53&gt;0,OR(Results!$E$4="Tissue",Results!$E$4="Cells")),((BU36*BU$51)/(BU$53)),IF(AND(Results!$E$5="Weight",$C$52&gt;0, Results!$E$4="Tissue",OR($B$52="g",$B$52="mg")),((BU36*BU$51)/(BU$52)),IF(AND(Results!$E$5="Volume",$C$54&gt;0,Results!$E$4="Fluid"),((BU36*BU$51)/(BU$54)),IF(AND(Results!$E$4="Cells",Results!$E$5="Million",$B$52="million"),((BU36*BU$51)/(BU$52)),"0")))))</f>
        <v>0.6014666666666667</v>
      </c>
      <c r="BV89" s="20">
        <f>IF(BV36=0,"0",IF(AND(Results!$E$5="Protein",$C$53&gt;0,OR(Results!$E$4="Tissue",Results!$E$4="Cells")),((BV36*BV$51)/(BV$53)),IF(AND(Results!$E$5="Weight",$C$52&gt;0, Results!$E$4="Tissue",OR($B$52="g",$B$52="mg")),((BV36*BV$51)/(BV$52)),IF(AND(Results!$E$5="Volume",$C$54&gt;0,Results!$E$4="Fluid"),((BV36*BV$51)/(BV$54)),IF(AND(Results!$E$4="Cells",Results!$E$5="Million",$B$52="million"),((BV36*BV$51)/(BV$52)),"0")))))</f>
        <v>1.2971000000000001</v>
      </c>
      <c r="BW89" s="20">
        <f>IF(BW36=0,"0",IF(AND(Results!$E$5="Protein",$C$53&gt;0,OR(Results!$E$4="Tissue",Results!$E$4="Cells")),((BW36*BW$51)/(BW$53)),IF(AND(Results!$E$5="Weight",$C$52&gt;0, Results!$E$4="Tissue",OR($B$52="g",$B$52="mg")),((BW36*BW$51)/(BW$52)),IF(AND(Results!$E$5="Volume",$C$54&gt;0,Results!$E$4="Fluid"),((BW36*BW$51)/(BW$54)),IF(AND(Results!$E$4="Cells",Results!$E$5="Million",$B$52="million"),((BW36*BW$51)/(BW$52)),"0")))))</f>
        <v>0.62841666666666662</v>
      </c>
      <c r="BX89" s="20" t="str">
        <f>IF(BX36=0,"0",IF(AND(Results!$E$5="Protein",$C$53&gt;0,OR(Results!$E$4="Tissue",Results!$E$4="Cells")),((BX36*BX$51)/(BX$53)),IF(AND(Results!$E$5="Weight",$C$52&gt;0, Results!$E$4="Tissue",OR($B$52="g",$B$52="mg")),((BX36*BX$51)/(BX$52)),IF(AND(Results!$E$5="Volume",$C$54&gt;0,Results!$E$4="Fluid"),((BX36*BX$51)/(BX$54)),IF(AND(Results!$E$4="Cells",Results!$E$5="Million",$B$52="million"),((BX36*BX$51)/(BX$52)),"0")))))</f>
        <v>0</v>
      </c>
      <c r="BY89" s="20">
        <f>IF(BY36=0,"0",IF(AND(Results!$E$5="Protein",$C$53&gt;0,OR(Results!$E$4="Tissue",Results!$E$4="Cells")),((BY36*BY$51)/(BY$53)),IF(AND(Results!$E$5="Weight",$C$52&gt;0, Results!$E$4="Tissue",OR($B$52="g",$B$52="mg")),((BY36*BY$51)/(BY$52)),IF(AND(Results!$E$5="Volume",$C$54&gt;0,Results!$E$4="Fluid"),((BY36*BY$51)/(BY$54)),IF(AND(Results!$E$4="Cells",Results!$E$5="Million",$B$52="million"),((BY36*BY$51)/(BY$52)),"0")))))</f>
        <v>0.95213333333333339</v>
      </c>
      <c r="BZ89" s="20">
        <f>IF(BZ36=0,"0",IF(AND(Results!$E$5="Protein",$C$53&gt;0,OR(Results!$E$4="Tissue",Results!$E$4="Cells")),((BZ36*BZ$51)/(BZ$53)),IF(AND(Results!$E$5="Weight",$C$52&gt;0, Results!$E$4="Tissue",OR($B$52="g",$B$52="mg")),((BZ36*BZ$51)/(BZ$52)),IF(AND(Results!$E$5="Volume",$C$54&gt;0,Results!$E$4="Fluid"),((BZ36*BZ$51)/(BZ$54)),IF(AND(Results!$E$4="Cells",Results!$E$5="Million",$B$52="million"),((BZ36*BZ$51)/(BZ$52)),"0")))))</f>
        <v>0.78896666666666659</v>
      </c>
      <c r="CA89" s="20">
        <f>IF(CA36=0,"0",IF(AND(Results!$E$5="Protein",$C$53&gt;0,OR(Results!$E$4="Tissue",Results!$E$4="Cells")),((CA36*CA$51)/(CA$53)),IF(AND(Results!$E$5="Weight",$C$52&gt;0, Results!$E$4="Tissue",OR($B$52="g",$B$52="mg")),((CA36*CA$51)/(CA$52)),IF(AND(Results!$E$5="Volume",$C$54&gt;0,Results!$E$4="Fluid"),((CA36*CA$51)/(CA$54)),IF(AND(Results!$E$4="Cells",Results!$E$5="Million",$B$52="million"),((CA36*CA$51)/(CA$52)),"0")))))</f>
        <v>0.6851666666666667</v>
      </c>
      <c r="CB89" s="20">
        <f>IF(CB36=0,"0",IF(AND(Results!$E$5="Protein",$C$53&gt;0,OR(Results!$E$4="Tissue",Results!$E$4="Cells")),((CB36*CB$51)/(CB$53)),IF(AND(Results!$E$5="Weight",$C$52&gt;0, Results!$E$4="Tissue",OR($B$52="g",$B$52="mg")),((CB36*CB$51)/(CB$52)),IF(AND(Results!$E$5="Volume",$C$54&gt;0,Results!$E$4="Fluid"),((CB36*CB$51)/(CB$54)),IF(AND(Results!$E$4="Cells",Results!$E$5="Million",$B$52="million"),((CB36*CB$51)/(CB$52)),"0")))))</f>
        <v>0.39558333333333334</v>
      </c>
      <c r="CC89" s="20">
        <f>IF(CC36=0,"0",IF(AND(Results!$E$5="Protein",$C$53&gt;0,OR(Results!$E$4="Tissue",Results!$E$4="Cells")),((CC36*CC$51)/(CC$53)),IF(AND(Results!$E$5="Weight",$C$52&gt;0, Results!$E$4="Tissue",OR($B$52="g",$B$52="mg")),((CC36*CC$51)/(CC$52)),IF(AND(Results!$E$5="Volume",$C$54&gt;0,Results!$E$4="Fluid"),((CC36*CC$51)/(CC$54)),IF(AND(Results!$E$4="Cells",Results!$E$5="Million",$B$52="million"),((CC36*CC$51)/(CC$52)),"0")))))</f>
        <v>0.11084999999999999</v>
      </c>
      <c r="CD89" s="20">
        <f>IF(CD36=0,"0",IF(AND(Results!$E$5="Protein",$C$53&gt;0,OR(Results!$E$4="Tissue",Results!$E$4="Cells")),((CD36*CD$51)/(CD$53)),IF(AND(Results!$E$5="Weight",$C$52&gt;0, Results!$E$4="Tissue",OR($B$52="g",$B$52="mg")),((CD36*CD$51)/(CD$52)),IF(AND(Results!$E$5="Volume",$C$54&gt;0,Results!$E$4="Fluid"),((CD36*CD$51)/(CD$54)),IF(AND(Results!$E$4="Cells",Results!$E$5="Million",$B$52="million"),((CD36*CD$51)/(CD$52)),"0")))))</f>
        <v>0.1360166666666667</v>
      </c>
      <c r="CE89" s="20">
        <f>IF(CE36=0,"0",IF(AND(Results!$E$5="Protein",$C$53&gt;0,OR(Results!$E$4="Tissue",Results!$E$4="Cells")),((CE36*CE$51)/(CE$53)),IF(AND(Results!$E$5="Weight",$C$52&gt;0, Results!$E$4="Tissue",OR($B$52="g",$B$52="mg")),((CE36*CE$51)/(CE$52)),IF(AND(Results!$E$5="Volume",$C$54&gt;0,Results!$E$4="Fluid"),((CE36*CE$51)/(CE$54)),IF(AND(Results!$E$4="Cells",Results!$E$5="Million",$B$52="million"),((CE36*CE$51)/(CE$52)),"0")))))</f>
        <v>2.8274333333333335</v>
      </c>
      <c r="CF89" s="20">
        <f>IF(CF36=0,"0",IF(AND(Results!$E$5="Protein",$C$53&gt;0,OR(Results!$E$4="Tissue",Results!$E$4="Cells")),((CF36*CF$51)/(CF$53)),IF(AND(Results!$E$5="Weight",$C$52&gt;0, Results!$E$4="Tissue",OR($B$52="g",$B$52="mg")),((CF36*CF$51)/(CF$52)),IF(AND(Results!$E$5="Volume",$C$54&gt;0,Results!$E$4="Fluid"),((CF36*CF$51)/(CF$54)),IF(AND(Results!$E$4="Cells",Results!$E$5="Million",$B$52="million"),((CF36*CF$51)/(CF$52)),"0")))))</f>
        <v>0.14256666666666667</v>
      </c>
      <c r="CG89" s="20">
        <f>IF(CG36=0,"0",IF(AND(Results!$E$5="Protein",$C$53&gt;0,OR(Results!$E$4="Tissue",Results!$E$4="Cells")),((CG36*CG$51)/(CG$53)),IF(AND(Results!$E$5="Weight",$C$52&gt;0, Results!$E$4="Tissue",OR($B$52="g",$B$52="mg")),((CG36*CG$51)/(CG$52)),IF(AND(Results!$E$5="Volume",$C$54&gt;0,Results!$E$4="Fluid"),((CG36*CG$51)/(CG$54)),IF(AND(Results!$E$4="Cells",Results!$E$5="Million",$B$52="million"),((CG36*CG$51)/(CG$52)),"0")))))</f>
        <v>3.7333333333333333E-3</v>
      </c>
      <c r="CH89" s="20" t="str">
        <f>IF(CH36=0,"0",IF(AND(Results!$E$5="Protein",$C$53&gt;0,OR(Results!$E$4="Tissue",Results!$E$4="Cells")),((CH36*CH$51)/(CH$53)),IF(AND(Results!$E$5="Weight",$C$52&gt;0, Results!$E$4="Tissue",OR($B$52="g",$B$52="mg")),((CH36*CH$51)/(CH$52)),IF(AND(Results!$E$5="Volume",$C$54&gt;0,Results!$E$4="Fluid"),((CH36*CH$51)/(CH$54)),IF(AND(Results!$E$4="Cells",Results!$E$5="Million",$B$52="million"),((CH36*CH$51)/(CH$52)),"0")))))</f>
        <v>0</v>
      </c>
      <c r="CI89" s="20">
        <f>IF(CI36=0,"0",IF(AND(Results!$E$5="Protein",$C$53&gt;0,OR(Results!$E$4="Tissue",Results!$E$4="Cells")),((CI36*CI$51)/(CI$53)),IF(AND(Results!$E$5="Weight",$C$52&gt;0, Results!$E$4="Tissue",OR($B$52="g",$B$52="mg")),((CI36*CI$51)/(CI$52)),IF(AND(Results!$E$5="Volume",$C$54&gt;0,Results!$E$4="Fluid"),((CI36*CI$51)/(CI$54)),IF(AND(Results!$E$4="Cells",Results!$E$5="Million",$B$52="million"),((CI36*CI$51)/(CI$52)),"0")))))</f>
        <v>0.3532333333333334</v>
      </c>
      <c r="CJ89" s="20" t="str">
        <f>IF(CJ36=0,"0",IF(AND(Results!$E$5="Protein",$C$53&gt;0,OR(Results!$E$4="Tissue",Results!$E$4="Cells")),((CJ36*CJ$51)/(CJ$53)),IF(AND(Results!$E$5="Weight",$C$52&gt;0, Results!$E$4="Tissue",OR($B$52="g",$B$52="mg")),((CJ36*CJ$51)/(CJ$52)),IF(AND(Results!$E$5="Volume",$C$54&gt;0,Results!$E$4="Fluid"),((CJ36*CJ$51)/(CJ$54)),IF(AND(Results!$E$4="Cells",Results!$E$5="Million",$B$52="million"),((CJ36*CJ$51)/(CJ$52)),"0")))))</f>
        <v>0</v>
      </c>
      <c r="CK89" s="20">
        <f>IF(CK36=0,"0",IF(AND(Results!$E$5="Protein",$C$53&gt;0,OR(Results!$E$4="Tissue",Results!$E$4="Cells")),((CK36*CK$51)/(CK$53)),IF(AND(Results!$E$5="Weight",$C$52&gt;0, Results!$E$4="Tissue",OR($B$52="g",$B$52="mg")),((CK36*CK$51)/(CK$52)),IF(AND(Results!$E$5="Volume",$C$54&gt;0,Results!$E$4="Fluid"),((CK36*CK$51)/(CK$54)),IF(AND(Results!$E$4="Cells",Results!$E$5="Million",$B$52="million"),((CK36*CK$51)/(CK$52)),"0")))))</f>
        <v>2.7733333333333332E-2</v>
      </c>
      <c r="CL89" s="20">
        <f>IF(CL36=0,"0",IF(AND(Results!$E$5="Protein",$C$53&gt;0,OR(Results!$E$4="Tissue",Results!$E$4="Cells")),((CL36*CL$51)/(CL$53)),IF(AND(Results!$E$5="Weight",$C$52&gt;0, Results!$E$4="Tissue",OR($B$52="g",$B$52="mg")),((CL36*CL$51)/(CL$52)),IF(AND(Results!$E$5="Volume",$C$54&gt;0,Results!$E$4="Fluid"),((CL36*CL$51)/(CL$54)),IF(AND(Results!$E$4="Cells",Results!$E$5="Million",$B$52="million"),((CL36*CL$51)/(CL$52)),"0")))))</f>
        <v>0.49035000000000001</v>
      </c>
      <c r="CM89" s="20">
        <f>IF(CM36=0,"0",IF(AND(Results!$E$5="Protein",$C$53&gt;0,OR(Results!$E$4="Tissue",Results!$E$4="Cells")),((CM36*CM$51)/(CM$53)),IF(AND(Results!$E$5="Weight",$C$52&gt;0, Results!$E$4="Tissue",OR($B$52="g",$B$52="mg")),((CM36*CM$51)/(CM$52)),IF(AND(Results!$E$5="Volume",$C$54&gt;0,Results!$E$4="Fluid"),((CM36*CM$51)/(CM$54)),IF(AND(Results!$E$4="Cells",Results!$E$5="Million",$B$52="million"),((CM36*CM$51)/(CM$52)),"0")))))</f>
        <v>3.5533333333333333E-2</v>
      </c>
      <c r="CN89" s="20" t="str">
        <f>IF(CN36=0,"0",IF(AND(Results!$E$5="Protein",$C$53&gt;0,OR(Results!$E$4="Tissue",Results!$E$4="Cells")),((CN36*CN$51)/(CN$53)),IF(AND(Results!$E$5="Weight",$C$52&gt;0, Results!$E$4="Tissue",OR($B$52="g",$B$52="mg")),((CN36*CN$51)/(CN$52)),IF(AND(Results!$E$5="Volume",$C$54&gt;0,Results!$E$4="Fluid"),((CN36*CN$51)/(CN$54)),IF(AND(Results!$E$4="Cells",Results!$E$5="Million",$B$52="million"),((CN36*CN$51)/(CN$52)),"0")))))</f>
        <v>0</v>
      </c>
      <c r="CO89" s="20">
        <f>IF(CO36=0,"0",IF(AND(Results!$E$5="Protein",$C$53&gt;0,OR(Results!$E$4="Tissue",Results!$E$4="Cells")),((CO36*CO$51)/(CO$53)),IF(AND(Results!$E$5="Weight",$C$52&gt;0, Results!$E$4="Tissue",OR($B$52="g",$B$52="mg")),((CO36*CO$51)/(CO$52)),IF(AND(Results!$E$5="Volume",$C$54&gt;0,Results!$E$4="Fluid"),((CO36*CO$51)/(CO$54)),IF(AND(Results!$E$4="Cells",Results!$E$5="Million",$B$52="million"),((CO36*CO$51)/(CO$52)),"0")))))</f>
        <v>0.19498333333333334</v>
      </c>
      <c r="CP89" s="20">
        <f>IF(CP36=0,"0",IF(AND(Results!$E$5="Protein",$C$53&gt;0,OR(Results!$E$4="Tissue",Results!$E$4="Cells")),((CP36*CP$51)/(CP$53)),IF(AND(Results!$E$5="Weight",$C$52&gt;0, Results!$E$4="Tissue",OR($B$52="g",$B$52="mg")),((CP36*CP$51)/(CP$52)),IF(AND(Results!$E$5="Volume",$C$54&gt;0,Results!$E$4="Fluid"),((CP36*CP$51)/(CP$54)),IF(AND(Results!$E$4="Cells",Results!$E$5="Million",$B$52="million"),((CP36*CP$51)/(CP$52)),"0")))))</f>
        <v>0.1711333333333333</v>
      </c>
      <c r="CQ89" s="20">
        <f>IF(CQ36=0,"0",IF(AND(Results!$E$5="Protein",$C$53&gt;0,OR(Results!$E$4="Tissue",Results!$E$4="Cells")),((CQ36*CQ$51)/(CQ$53)),IF(AND(Results!$E$5="Weight",$C$52&gt;0, Results!$E$4="Tissue",OR($B$52="g",$B$52="mg")),((CQ36*CQ$51)/(CQ$52)),IF(AND(Results!$E$5="Volume",$C$54&gt;0,Results!$E$4="Fluid"),((CQ36*CQ$51)/(CQ$54)),IF(AND(Results!$E$4="Cells",Results!$E$5="Million",$B$52="million"),((CQ36*CQ$51)/(CQ$52)),"0")))))</f>
        <v>0.12701666666666667</v>
      </c>
      <c r="CR89" s="20">
        <f>IF(CR36=0,"0",IF(AND(Results!$E$5="Protein",$C$53&gt;0,OR(Results!$E$4="Tissue",Results!$E$4="Cells")),((CR36*CR$51)/(CR$53)),IF(AND(Results!$E$5="Weight",$C$52&gt;0, Results!$E$4="Tissue",OR($B$52="g",$B$52="mg")),((CR36*CR$51)/(CR$52)),IF(AND(Results!$E$5="Volume",$C$54&gt;0,Results!$E$4="Fluid"),((CR36*CR$51)/(CR$54)),IF(AND(Results!$E$4="Cells",Results!$E$5="Million",$B$52="million"),((CR36*CR$51)/(CR$52)),"0")))))</f>
        <v>3.1651000000000002</v>
      </c>
      <c r="CS89" s="20">
        <f>IF(CS36=0,"0",IF(AND(Results!$E$5="Protein",$C$53&gt;0,OR(Results!$E$4="Tissue",Results!$E$4="Cells")),((CS36*CS$51)/(CS$53)),IF(AND(Results!$E$5="Weight",$C$52&gt;0, Results!$E$4="Tissue",OR($B$52="g",$B$52="mg")),((CS36*CS$51)/(CS$52)),IF(AND(Results!$E$5="Volume",$C$54&gt;0,Results!$E$4="Fluid"),((CS36*CS$51)/(CS$54)),IF(AND(Results!$E$4="Cells",Results!$E$5="Million",$B$52="million"),((CS36*CS$51)/(CS$52)),"0")))))</f>
        <v>-1.455E-2</v>
      </c>
      <c r="CT89" s="20" t="str">
        <f>IF(CT36=0,"0",IF(AND(Results!$E$5="Protein",$C$53&gt;0,OR(Results!$E$4="Tissue",Results!$E$4="Cells")),((CT36*CT$51)/(CT$53)),IF(AND(Results!$E$5="Weight",$C$52&gt;0, Results!$E$4="Tissue",OR($B$52="g",$B$52="mg")),((CT36*CT$51)/(CT$52)),IF(AND(Results!$E$5="Volume",$C$54&gt;0,Results!$E$4="Fluid"),((CT36*CT$51)/(CT$54)),IF(AND(Results!$E$4="Cells",Results!$E$5="Million",$B$52="million"),((CT36*CT$51)/(CT$52)),"0")))))</f>
        <v>0</v>
      </c>
      <c r="CU89" s="20">
        <f>IF(CU36=0,"0",IF(AND(Results!$E$5="Protein",$C$53&gt;0,OR(Results!$E$4="Tissue",Results!$E$4="Cells")),((CU36*CU$51)/(CU$53)),IF(AND(Results!$E$5="Weight",$C$52&gt;0, Results!$E$4="Tissue",OR($B$52="g",$B$52="mg")),((CU36*CU$51)/(CU$52)),IF(AND(Results!$E$5="Volume",$C$54&gt;0,Results!$E$4="Fluid"),((CU36*CU$51)/(CU$54)),IF(AND(Results!$E$4="Cells",Results!$E$5="Million",$B$52="million"),((CU36*CU$51)/(CU$52)),"0")))))</f>
        <v>7.8366666666666668E-2</v>
      </c>
      <c r="CV89" s="20" t="str">
        <f>IF(CV36=0,"0",IF(AND(Results!$E$5="Protein",$C$53&gt;0,OR(Results!$E$4="Tissue",Results!$E$4="Cells")),((CV36*CV$51)/(CV$53)),IF(AND(Results!$E$5="Weight",$C$52&gt;0, Results!$E$4="Tissue",OR($B$52="g",$B$52="mg")),((CV36*CV$51)/(CV$52)),IF(AND(Results!$E$5="Volume",$C$54&gt;0,Results!$E$4="Fluid"),((CV36*CV$51)/(CV$54)),IF(AND(Results!$E$4="Cells",Results!$E$5="Million",$B$52="million"),((CV36*CV$51)/(CV$52)),"0")))))</f>
        <v>0</v>
      </c>
      <c r="CW89" s="20">
        <f>IF(CW36=0,"0",IF(AND(Results!$E$5="Protein",$C$53&gt;0,OR(Results!$E$4="Tissue",Results!$E$4="Cells")),((CW36*CW$51)/(CW$53)),IF(AND(Results!$E$5="Weight",$C$52&gt;0, Results!$E$4="Tissue",OR($B$52="g",$B$52="mg")),((CW36*CW$51)/(CW$52)),IF(AND(Results!$E$5="Volume",$C$54&gt;0,Results!$E$4="Fluid"),((CW36*CW$51)/(CW$54)),IF(AND(Results!$E$4="Cells",Results!$E$5="Million",$B$52="million"),((CW36*CW$51)/(CW$52)),"0")))))</f>
        <v>2.3016666666666668E-2</v>
      </c>
      <c r="CX89" s="20" t="str">
        <f>IF(CX36=0,"0",IF(AND(Results!$E$5="Protein",$C$53&gt;0,OR(Results!$E$4="Tissue",Results!$E$4="Cells")),((CX36*CX$51)/(CX$53)),IF(AND(Results!$E$5="Weight",$C$52&gt;0, Results!$E$4="Tissue",OR($B$52="g",$B$52="mg")),((CX36*CX$51)/(CX$52)),IF(AND(Results!$E$5="Volume",$C$54&gt;0,Results!$E$4="Fluid"),((CX36*CX$51)/(CX$54)),IF(AND(Results!$E$4="Cells",Results!$E$5="Million",$B$52="million"),((CX36*CX$51)/(CX$52)),"0")))))</f>
        <v>0</v>
      </c>
      <c r="CY89" s="20">
        <f>IF(CY36=0,"0",IF(AND(Results!$E$5="Protein",$C$53&gt;0,OR(Results!$E$4="Tissue",Results!$E$4="Cells")),((CY36*CY$51)/(CY$53)),IF(AND(Results!$E$5="Weight",$C$52&gt;0, Results!$E$4="Tissue",OR($B$52="g",$B$52="mg")),((CY36*CY$51)/(CY$52)),IF(AND(Results!$E$5="Volume",$C$54&gt;0,Results!$E$4="Fluid"),((CY36*CY$51)/(CY$54)),IF(AND(Results!$E$4="Cells",Results!$E$5="Million",$B$52="million"),((CY36*CY$51)/(CY$52)),"0")))))</f>
        <v>7.1766666666666673E-2</v>
      </c>
      <c r="CZ89" s="20">
        <f>IF(CZ36=0,"0",IF(AND(Results!$E$5="Protein",$C$53&gt;0,OR(Results!$E$4="Tissue",Results!$E$4="Cells")),((CZ36*CZ$51)/(CZ$53)),IF(AND(Results!$E$5="Weight",$C$52&gt;0, Results!$E$4="Tissue",OR($B$52="g",$B$52="mg")),((CZ36*CZ$51)/(CZ$52)),IF(AND(Results!$E$5="Volume",$C$54&gt;0,Results!$E$4="Fluid"),((CZ36*CZ$51)/(CZ$54)),IF(AND(Results!$E$4="Cells",Results!$E$5="Million",$B$52="million"),((CZ36*CZ$51)/(CZ$52)),"0")))))</f>
        <v>-3.0200000000000001E-2</v>
      </c>
      <c r="DA89" s="20" t="str">
        <f>IF(DA36=0,"0",IF(AND(Results!$E$5="Protein",$C$53&gt;0,OR(Results!$E$4="Tissue",Results!$E$4="Cells")),((DA36*DA$51)/(DA$53)),IF(AND(Results!$E$5="Weight",$C$52&gt;0, Results!$E$4="Tissue",OR($B$52="g",$B$52="mg")),((DA36*DA$51)/(DA$52)),IF(AND(Results!$E$5="Volume",$C$54&gt;0,Results!$E$4="Fluid"),((DA36*DA$51)/(DA$54)),IF(AND(Results!$E$4="Cells",Results!$E$5="Million",$B$52="million"),((DA36*DA$51)/(DA$52)),"0")))))</f>
        <v>0</v>
      </c>
      <c r="DB89" s="20">
        <f>IF(DB36=0,"0",IF(AND(Results!$E$5="Protein",$C$53&gt;0,OR(Results!$E$4="Tissue",Results!$E$4="Cells")),((DB36*DB$51)/(DB$53)),IF(AND(Results!$E$5="Weight",$C$52&gt;0, Results!$E$4="Tissue",OR($B$52="g",$B$52="mg")),((DB36*DB$51)/(DB$52)),IF(AND(Results!$E$5="Volume",$C$54&gt;0,Results!$E$4="Fluid"),((DB36*DB$51)/(DB$54)),IF(AND(Results!$E$4="Cells",Results!$E$5="Million",$B$52="million"),((DB36*DB$51)/(DB$52)),"0")))))</f>
        <v>5.8050000000000004E-2</v>
      </c>
      <c r="DC89" s="20">
        <f>IF(DC36=0,"0",IF(AND(Results!$E$5="Protein",$C$53&gt;0,OR(Results!$E$4="Tissue",Results!$E$4="Cells")),((DC36*DC$51)/(DC$53)),IF(AND(Results!$E$5="Weight",$C$52&gt;0, Results!$E$4="Tissue",OR($B$52="g",$B$52="mg")),((DC36*DC$51)/(DC$52)),IF(AND(Results!$E$5="Volume",$C$54&gt;0,Results!$E$4="Fluid"),((DC36*DC$51)/(DC$54)),IF(AND(Results!$E$4="Cells",Results!$E$5="Million",$B$52="million"),((DC36*DC$51)/(DC$52)),"0")))))</f>
        <v>0.15493333333333331</v>
      </c>
      <c r="DD89" s="20" t="str">
        <f>IF(DD36=0,"0",IF(AND(Results!$E$5="Protein",$C$53&gt;0,OR(Results!$E$4="Tissue",Results!$E$4="Cells")),((DD36*DD$51)/(DD$53)),IF(AND(Results!$E$5="Weight",$C$52&gt;0, Results!$E$4="Tissue",OR($B$52="g",$B$52="mg")),((DD36*DD$51)/(DD$52)),IF(AND(Results!$E$5="Volume",$C$54&gt;0,Results!$E$4="Fluid"),((DD36*DD$51)/(DD$54)),IF(AND(Results!$E$4="Cells",Results!$E$5="Million",$B$52="million"),((DD36*DD$51)/(DD$52)),"0")))))</f>
        <v>0</v>
      </c>
      <c r="DE89" s="20">
        <f>IF(DE36=0,"0",IF(AND(Results!$E$5="Protein",$C$53&gt;0,OR(Results!$E$4="Tissue",Results!$E$4="Cells")),((DE36*DE$51)/(DE$53)),IF(AND(Results!$E$5="Weight",$C$52&gt;0, Results!$E$4="Tissue",OR($B$52="g",$B$52="mg")),((DE36*DE$51)/(DE$52)),IF(AND(Results!$E$5="Volume",$C$54&gt;0,Results!$E$4="Fluid"),((DE36*DE$51)/(DE$54)),IF(AND(Results!$E$4="Cells",Results!$E$5="Million",$B$52="million"),((DE36*DE$51)/(DE$52)),"0")))))</f>
        <v>4.4749999999999998E-2</v>
      </c>
      <c r="DF89" s="20" t="str">
        <f>IF(DF36=0,"0",IF(AND(Results!$E$5="Protein",$C$53&gt;0,OR(Results!$E$4="Tissue",Results!$E$4="Cells")),((DF36*DF$51)/(DF$53)),IF(AND(Results!$E$5="Weight",$C$52&gt;0, Results!$E$4="Tissue",OR($B$52="g",$B$52="mg")),((DF36*DF$51)/(DF$52)),IF(AND(Results!$E$5="Volume",$C$54&gt;0,Results!$E$4="Fluid"),((DF36*DF$51)/(DF$54)),IF(AND(Results!$E$4="Cells",Results!$E$5="Million",$B$52="million"),((DF36*DF$51)/(DF$52)),"0")))))</f>
        <v>0</v>
      </c>
      <c r="DG89" s="20">
        <f>IF(DG36=0,"0",IF(AND(Results!$E$5="Protein",$C$53&gt;0,OR(Results!$E$4="Tissue",Results!$E$4="Cells")),((DG36*DG$51)/(DG$53)),IF(AND(Results!$E$5="Weight",$C$52&gt;0, Results!$E$4="Tissue",OR($B$52="g",$B$52="mg")),((DG36*DG$51)/(DG$52)),IF(AND(Results!$E$5="Volume",$C$54&gt;0,Results!$E$4="Fluid"),((DG36*DG$51)/(DG$54)),IF(AND(Results!$E$4="Cells",Results!$E$5="Million",$B$52="million"),((DG36*DG$51)/(DG$52)),"0")))))</f>
        <v>0.49475000000000002</v>
      </c>
      <c r="DH89" s="20">
        <f>IF(DH36=0,"0",IF(AND(Results!$E$5="Protein",$C$53&gt;0,OR(Results!$E$4="Tissue",Results!$E$4="Cells")),((DH36*DH$51)/(DH$53)),IF(AND(Results!$E$5="Weight",$C$52&gt;0, Results!$E$4="Tissue",OR($B$52="g",$B$52="mg")),((DH36*DH$51)/(DH$52)),IF(AND(Results!$E$5="Volume",$C$54&gt;0,Results!$E$4="Fluid"),((DH36*DH$51)/(DH$54)),IF(AND(Results!$E$4="Cells",Results!$E$5="Million",$B$52="million"),((DH36*DH$51)/(DH$52)),"0")))))</f>
        <v>1.8600000000000002E-2</v>
      </c>
      <c r="DI89" s="20">
        <f>IF(DI36=0,"0",IF(AND(Results!$E$5="Protein",$C$53&gt;0,OR(Results!$E$4="Tissue",Results!$E$4="Cells")),((DI36*DI$51)/(DI$53)),IF(AND(Results!$E$5="Weight",$C$52&gt;0, Results!$E$4="Tissue",OR($B$52="g",$B$52="mg")),((DI36*DI$51)/(DI$52)),IF(AND(Results!$E$5="Volume",$C$54&gt;0,Results!$E$4="Fluid"),((DI36*DI$51)/(DI$54)),IF(AND(Results!$E$4="Cells",Results!$E$5="Million",$B$52="million"),((DI36*DI$51)/(DI$52)),"0")))))</f>
        <v>2.1233333333333333E-2</v>
      </c>
      <c r="DJ89" s="20">
        <f>IF(DJ36=0,"0",IF(AND(Results!$E$5="Protein",$C$53&gt;0,OR(Results!$E$4="Tissue",Results!$E$4="Cells")),((DJ36*DJ$51)/(DJ$53)),IF(AND(Results!$E$5="Weight",$C$52&gt;0, Results!$E$4="Tissue",OR($B$52="g",$B$52="mg")),((DJ36*DJ$51)/(DJ$52)),IF(AND(Results!$E$5="Volume",$C$54&gt;0,Results!$E$4="Fluid"),((DJ36*DJ$51)/(DJ$54)),IF(AND(Results!$E$4="Cells",Results!$E$5="Million",$B$52="million"),((DJ36*DJ$51)/(DJ$52)),"0")))))</f>
        <v>0.42313333333333336</v>
      </c>
      <c r="DK89" s="20">
        <f>IF(DK36=0,"0",IF(AND(Results!$E$5="Protein",$C$53&gt;0,OR(Results!$E$4="Tissue",Results!$E$4="Cells")),((DK36*DK$51)/(DK$53)),IF(AND(Results!$E$5="Weight",$C$52&gt;0, Results!$E$4="Tissue",OR($B$52="g",$B$52="mg")),((DK36*DK$51)/(DK$52)),IF(AND(Results!$E$5="Volume",$C$54&gt;0,Results!$E$4="Fluid"),((DK36*DK$51)/(DK$54)),IF(AND(Results!$E$4="Cells",Results!$E$5="Million",$B$52="million"),((DK36*DK$51)/(DK$52)),"0")))))</f>
        <v>0.45463333333333333</v>
      </c>
      <c r="DL89" s="20" t="str">
        <f>IF(DL36=0,"0",IF(AND(Results!$E$5="Protein",$C$53&gt;0,OR(Results!$E$4="Tissue",Results!$E$4="Cells")),((DL36*DL$51)/(DL$53)),IF(AND(Results!$E$5="Weight",$C$52&gt;0, Results!$E$4="Tissue",OR($B$52="g",$B$52="mg")),((DL36*DL$51)/(DL$52)),IF(AND(Results!$E$5="Volume",$C$54&gt;0,Results!$E$4="Fluid"),((DL36*DL$51)/(DL$54)),IF(AND(Results!$E$4="Cells",Results!$E$5="Million",$B$52="million"),((DL36*DL$51)/(DL$52)),"0")))))</f>
        <v>0</v>
      </c>
      <c r="DM89" s="20">
        <f>IF(DM36=0,"0",IF(AND(Results!$E$5="Protein",$C$53&gt;0,OR(Results!$E$4="Tissue",Results!$E$4="Cells")),((DM36*DM$51)/(DM$53)),IF(AND(Results!$E$5="Weight",$C$52&gt;0, Results!$E$4="Tissue",OR($B$52="g",$B$52="mg")),((DM36*DM$51)/(DM$52)),IF(AND(Results!$E$5="Volume",$C$54&gt;0,Results!$E$4="Fluid"),((DM36*DM$51)/(DM$54)),IF(AND(Results!$E$4="Cells",Results!$E$5="Million",$B$52="million"),((DM36*DM$51)/(DM$52)),"0")))))</f>
        <v>6.9833333333333327E-3</v>
      </c>
      <c r="DN89" s="20">
        <f>IF(DN36=0,"0",IF(AND(Results!$E$5="Protein",$C$53&gt;0,OR(Results!$E$4="Tissue",Results!$E$4="Cells")),((DN36*DN$51)/(DN$53)),IF(AND(Results!$E$5="Weight",$C$52&gt;0, Results!$E$4="Tissue",OR($B$52="g",$B$52="mg")),((DN36*DN$51)/(DN$52)),IF(AND(Results!$E$5="Volume",$C$54&gt;0,Results!$E$4="Fluid"),((DN36*DN$51)/(DN$54)),IF(AND(Results!$E$4="Cells",Results!$E$5="Million",$B$52="million"),((DN36*DN$51)/(DN$52)),"0")))))</f>
        <v>0.15258333333333332</v>
      </c>
      <c r="DO89" s="20">
        <f>IF(DO36=0,"0",IF(AND(Results!$E$5="Protein",$C$53&gt;0,OR(Results!$E$4="Tissue",Results!$E$4="Cells")),((DO36*DO$51)/(DO$53)),IF(AND(Results!$E$5="Weight",$C$52&gt;0, Results!$E$4="Tissue",OR($B$52="g",$B$52="mg")),((DO36*DO$51)/(DO$52)),IF(AND(Results!$E$5="Volume",$C$54&gt;0,Results!$E$4="Fluid"),((DO36*DO$51)/(DO$54)),IF(AND(Results!$E$4="Cells",Results!$E$5="Million",$B$52="million"),((DO36*DO$51)/(DO$52)),"0")))))</f>
        <v>0.13718333333333332</v>
      </c>
      <c r="DP89" s="20" t="str">
        <f>IF(DP36=0,"0",IF(AND(Results!$E$5="Protein",$C$53&gt;0,OR(Results!$E$4="Tissue",Results!$E$4="Cells")),((DP36*DP$51)/(DP$53)),IF(AND(Results!$E$5="Weight",$C$52&gt;0, Results!$E$4="Tissue",OR($B$52="g",$B$52="mg")),((DP36*DP$51)/(DP$52)),IF(AND(Results!$E$5="Volume",$C$54&gt;0,Results!$E$4="Fluid"),((DP36*DP$51)/(DP$54)),IF(AND(Results!$E$4="Cells",Results!$E$5="Million",$B$52="million"),((DP36*DP$51)/(DP$52)),"0")))))</f>
        <v>0</v>
      </c>
      <c r="DQ89" s="20">
        <f>IF(DQ36=0,"0",IF(AND(Results!$E$5="Protein",$C$53&gt;0,OR(Results!$E$4="Tissue",Results!$E$4="Cells")),((DQ36*DQ$51)/(DQ$53)),IF(AND(Results!$E$5="Weight",$C$52&gt;0, Results!$E$4="Tissue",OR($B$52="g",$B$52="mg")),((DQ36*DQ$51)/(DQ$52)),IF(AND(Results!$E$5="Volume",$C$54&gt;0,Results!$E$4="Fluid"),((DQ36*DQ$51)/(DQ$54)),IF(AND(Results!$E$4="Cells",Results!$E$5="Million",$B$52="million"),((DQ36*DQ$51)/(DQ$52)),"0")))))</f>
        <v>-1.8666666666666668E-2</v>
      </c>
      <c r="DR89" s="20" t="str">
        <f>IF(DR36=0,"0",IF(AND(Results!$E$5="Protein",$C$53&gt;0,OR(Results!$E$4="Tissue",Results!$E$4="Cells")),((DR36*DR$51)/(DR$53)),IF(AND(Results!$E$5="Weight",$C$52&gt;0, Results!$E$4="Tissue",OR($B$52="g",$B$52="mg")),((DR36*DR$51)/(DR$52)),IF(AND(Results!$E$5="Volume",$C$54&gt;0,Results!$E$4="Fluid"),((DR36*DR$51)/(DR$54)),IF(AND(Results!$E$4="Cells",Results!$E$5="Million",$B$52="million"),((DR36*DR$51)/(DR$52)),"0")))))</f>
        <v>0</v>
      </c>
      <c r="DS89" s="20">
        <f>IF(DS36=0,"0",IF(AND(Results!$E$5="Protein",$C$53&gt;0,OR(Results!$E$4="Tissue",Results!$E$4="Cells")),((DS36*DS$51)/(DS$53)),IF(AND(Results!$E$5="Weight",$C$52&gt;0, Results!$E$4="Tissue",OR($B$52="g",$B$52="mg")),((DS36*DS$51)/(DS$52)),IF(AND(Results!$E$5="Volume",$C$54&gt;0,Results!$E$4="Fluid"),((DS36*DS$51)/(DS$54)),IF(AND(Results!$E$4="Cells",Results!$E$5="Million",$B$52="million"),((DS36*DS$51)/(DS$52)),"0")))))</f>
        <v>-3.8E-3</v>
      </c>
      <c r="DT89" s="20">
        <f>IF(DT36=0,"0",IF(AND(Results!$E$5="Protein",$C$53&gt;0,OR(Results!$E$4="Tissue",Results!$E$4="Cells")),((DT36*DT$51)/(DT$53)),IF(AND(Results!$E$5="Weight",$C$52&gt;0, Results!$E$4="Tissue",OR($B$52="g",$B$52="mg")),((DT36*DT$51)/(DT$52)),IF(AND(Results!$E$5="Volume",$C$54&gt;0,Results!$E$4="Fluid"),((DT36*DT$51)/(DT$54)),IF(AND(Results!$E$4="Cells",Results!$E$5="Million",$B$52="million"),((DT36*DT$51)/(DT$52)),"0")))))</f>
        <v>-2.3516666666666668E-2</v>
      </c>
      <c r="DU89" s="20">
        <f>IF(DU36=0,"0",IF(AND(Results!$E$5="Protein",$C$53&gt;0,OR(Results!$E$4="Tissue",Results!$E$4="Cells")),((DU36*DU$51)/(DU$53)),IF(AND(Results!$E$5="Weight",$C$52&gt;0, Results!$E$4="Tissue",OR($B$52="g",$B$52="mg")),((DU36*DU$51)/(DU$52)),IF(AND(Results!$E$5="Volume",$C$54&gt;0,Results!$E$4="Fluid"),((DU36*DU$51)/(DU$54)),IF(AND(Results!$E$4="Cells",Results!$E$5="Million",$B$52="million"),((DU36*DU$51)/(DU$52)),"0")))))</f>
        <v>0.2268</v>
      </c>
      <c r="DV89" s="20" t="str">
        <f>IF(DV36=0,"0",IF(AND(Results!$E$5="Protein",$C$53&gt;0,OR(Results!$E$4="Tissue",Results!$E$4="Cells")),((DV36*DV$51)/(DV$53)),IF(AND(Results!$E$5="Weight",$C$52&gt;0, Results!$E$4="Tissue",OR($B$52="g",$B$52="mg")),((DV36*DV$51)/(DV$52)),IF(AND(Results!$E$5="Volume",$C$54&gt;0,Results!$E$4="Fluid"),((DV36*DV$51)/(DV$54)),IF(AND(Results!$E$4="Cells",Results!$E$5="Million",$B$52="million"),((DV36*DV$51)/(DV$52)),"0")))))</f>
        <v>0</v>
      </c>
      <c r="DW89" s="20" t="str">
        <f>IF(DW36=0,"0",IF(AND(Results!$E$5="Protein",$C$53&gt;0,OR(Results!$E$4="Tissue",Results!$E$4="Cells")),((DW36*DW$51)/(DW$53)),IF(AND(Results!$E$5="Weight",$C$52&gt;0, Results!$E$4="Tissue",OR($B$52="g",$B$52="mg")),((DW36*DW$51)/(DW$52)),IF(AND(Results!$E$5="Volume",$C$54&gt;0,Results!$E$4="Fluid"),((DW36*DW$51)/(DW$54)),IF(AND(Results!$E$4="Cells",Results!$E$5="Million",$B$52="million"),((DW36*DW$51)/(DW$52)),"0")))))</f>
        <v>0</v>
      </c>
      <c r="DX89" s="20">
        <f>IF(DX36=0,"0",IF(AND(Results!$E$5="Protein",$C$53&gt;0,OR(Results!$E$4="Tissue",Results!$E$4="Cells")),((DX36*DX$51)/(DX$53)),IF(AND(Results!$E$5="Weight",$C$52&gt;0, Results!$E$4="Tissue",OR($B$52="g",$B$52="mg")),((DX36*DX$51)/(DX$52)),IF(AND(Results!$E$5="Volume",$C$54&gt;0,Results!$E$4="Fluid"),((DX36*DX$51)/(DX$54)),IF(AND(Results!$E$4="Cells",Results!$E$5="Million",$B$52="million"),((DX36*DX$51)/(DX$52)),"0")))))</f>
        <v>0.13916666666666666</v>
      </c>
      <c r="DY89" s="20">
        <f>IF(DY36=0,"0",IF(AND(Results!$E$5="Protein",$C$53&gt;0,OR(Results!$E$4="Tissue",Results!$E$4="Cells")),((DY36*DY$51)/(DY$53)),IF(AND(Results!$E$5="Weight",$C$52&gt;0, Results!$E$4="Tissue",OR($B$52="g",$B$52="mg")),((DY36*DY$51)/(DY$52)),IF(AND(Results!$E$5="Volume",$C$54&gt;0,Results!$E$4="Fluid"),((DY36*DY$51)/(DY$54)),IF(AND(Results!$E$4="Cells",Results!$E$5="Million",$B$52="million"),((DY36*DY$51)/(DY$52)),"0")))))</f>
        <v>0.18545</v>
      </c>
      <c r="DZ89" s="20">
        <f>IF(DZ36=0,"0",IF(AND(Results!$E$5="Protein",$C$53&gt;0,OR(Results!$E$4="Tissue",Results!$E$4="Cells")),((DZ36*DZ$51)/(DZ$53)),IF(AND(Results!$E$5="Weight",$C$52&gt;0, Results!$E$4="Tissue",OR($B$52="g",$B$52="mg")),((DZ36*DZ$51)/(DZ$52)),IF(AND(Results!$E$5="Volume",$C$54&gt;0,Results!$E$4="Fluid"),((DZ36*DZ$51)/(DZ$54)),IF(AND(Results!$E$4="Cells",Results!$E$5="Million",$B$52="million"),((DZ36*DZ$51)/(DZ$52)),"0")))))</f>
        <v>4.0499999999999998E-3</v>
      </c>
      <c r="EA89" s="20">
        <f>IF(EA36=0,"0",IF(AND(Results!$E$5="Protein",$C$53&gt;0,OR(Results!$E$4="Tissue",Results!$E$4="Cells")),((EA36*EA$51)/(EA$53)),IF(AND(Results!$E$5="Weight",$C$52&gt;0, Results!$E$4="Tissue",OR($B$52="g",$B$52="mg")),((EA36*EA$51)/(EA$52)),IF(AND(Results!$E$5="Volume",$C$54&gt;0,Results!$E$4="Fluid"),((EA36*EA$51)/(EA$54)),IF(AND(Results!$E$4="Cells",Results!$E$5="Million",$B$52="million"),((EA36*EA$51)/(EA$52)),"0")))))</f>
        <v>7.0333333333333331E-2</v>
      </c>
      <c r="EB89" s="20">
        <f>IF(EB36=0,"0",IF(AND(Results!$E$5="Protein",$C$53&gt;0,OR(Results!$E$4="Tissue",Results!$E$4="Cells")),((EB36*EB$51)/(EB$53)),IF(AND(Results!$E$5="Weight",$C$52&gt;0, Results!$E$4="Tissue",OR($B$52="g",$B$52="mg")),((EB36*EB$51)/(EB$52)),IF(AND(Results!$E$5="Volume",$C$54&gt;0,Results!$E$4="Fluid"),((EB36*EB$51)/(EB$54)),IF(AND(Results!$E$4="Cells",Results!$E$5="Million",$B$52="million"),((EB36*EB$51)/(EB$52)),"0")))))</f>
        <v>-2.3916666666666662E-2</v>
      </c>
      <c r="EC89" s="20" t="str">
        <f>IF(EC36=0,"0",IF(AND(Results!$E$5="Protein",$C$53&gt;0,OR(Results!$E$4="Tissue",Results!$E$4="Cells")),((EC36*EC$51)/(EC$53)),IF(AND(Results!$E$5="Weight",$C$52&gt;0, Results!$E$4="Tissue",OR($B$52="g",$B$52="mg")),((EC36*EC$51)/(EC$52)),IF(AND(Results!$E$5="Volume",$C$54&gt;0,Results!$E$4="Fluid"),((EC36*EC$51)/(EC$54)),IF(AND(Results!$E$4="Cells",Results!$E$5="Million",$B$52="million"),((EC36*EC$51)/(EC$52)),"0")))))</f>
        <v>0</v>
      </c>
      <c r="ED89" s="20" t="str">
        <f>IF(ED36=0,"0",IF(AND(Results!$E$5="Protein",$C$53&gt;0,OR(Results!$E$4="Tissue",Results!$E$4="Cells")),((ED36*ED$51)/(ED$53)),IF(AND(Results!$E$5="Weight",$C$52&gt;0, Results!$E$4="Tissue",OR($B$52="g",$B$52="mg")),((ED36*ED$51)/(ED$52)),IF(AND(Results!$E$5="Volume",$C$54&gt;0,Results!$E$4="Fluid"),((ED36*ED$51)/(ED$54)),IF(AND(Results!$E$4="Cells",Results!$E$5="Million",$B$52="million"),((ED36*ED$51)/(ED$52)),"0")))))</f>
        <v>0</v>
      </c>
      <c r="EE89" s="20" t="str">
        <f>IF(EE36=0,"0",IF(AND(Results!$E$5="Protein",$C$53&gt;0,OR(Results!$E$4="Tissue",Results!$E$4="Cells")),((EE36*EE$51)/(EE$53)),IF(AND(Results!$E$5="Weight",$C$52&gt;0, Results!$E$4="Tissue",OR($B$52="g",$B$52="mg")),((EE36*EE$51)/(EE$52)),IF(AND(Results!$E$5="Volume",$C$54&gt;0,Results!$E$4="Fluid"),((EE36*EE$51)/(EE$54)),IF(AND(Results!$E$4="Cells",Results!$E$5="Million",$B$52="million"),((EE36*EE$51)/(EE$52)),"0")))))</f>
        <v>0</v>
      </c>
      <c r="EF89" s="20" t="str">
        <f>IF(EF36=0,"0",IF(AND(Results!$E$5="Protein",$C$53&gt;0,OR(Results!$E$4="Tissue",Results!$E$4="Cells")),((EF36*EF$51)/(EF$53)),IF(AND(Results!$E$5="Weight",$C$52&gt;0, Results!$E$4="Tissue",OR($B$52="g",$B$52="mg")),((EF36*EF$51)/(EF$52)),IF(AND(Results!$E$5="Volume",$C$54&gt;0,Results!$E$4="Fluid"),((EF36*EF$51)/(EF$54)),IF(AND(Results!$E$4="Cells",Results!$E$5="Million",$B$52="million"),((EF36*EF$51)/(EF$52)),"0")))))</f>
        <v>0</v>
      </c>
      <c r="EG89" s="20">
        <f>IF(EG36=0,"0",IF(AND(Results!$E$5="Protein",$C$53&gt;0,OR(Results!$E$4="Tissue",Results!$E$4="Cells")),((EG36*EG$51)/(EG$53)),IF(AND(Results!$E$5="Weight",$C$52&gt;0, Results!$E$4="Tissue",OR($B$52="g",$B$52="mg")),((EG36*EG$51)/(EG$52)),IF(AND(Results!$E$5="Volume",$C$54&gt;0,Results!$E$4="Fluid"),((EG36*EG$51)/(EG$54)),IF(AND(Results!$E$4="Cells",Results!$E$5="Million",$B$52="million"),((EG36*EG$51)/(EG$52)),"0")))))</f>
        <v>7.5800000000000006E-2</v>
      </c>
      <c r="EH89" s="20">
        <f>IF(EH36=0,"0",IF(AND(Results!$E$5="Protein",$C$53&gt;0,OR(Results!$E$4="Tissue",Results!$E$4="Cells")),((EH36*EH$51)/(EH$53)),IF(AND(Results!$E$5="Weight",$C$52&gt;0, Results!$E$4="Tissue",OR($B$52="g",$B$52="mg")),((EH36*EH$51)/(EH$52)),IF(AND(Results!$E$5="Volume",$C$54&gt;0,Results!$E$4="Fluid"),((EH36*EH$51)/(EH$54)),IF(AND(Results!$E$4="Cells",Results!$E$5="Million",$B$52="million"),((EH36*EH$51)/(EH$52)),"0")))))</f>
        <v>0.37414999999999998</v>
      </c>
      <c r="EI89" s="20" t="str">
        <f>IF(EI36=0,"0",IF(AND(Results!$E$5="Protein",$C$53&gt;0,OR(Results!$E$4="Tissue",Results!$E$4="Cells")),((EI36*EI$51)/(EI$53)),IF(AND(Results!$E$5="Weight",$C$52&gt;0, Results!$E$4="Tissue",OR($B$52="g",$B$52="mg")),((EI36*EI$51)/(EI$52)),IF(AND(Results!$E$5="Volume",$C$54&gt;0,Results!$E$4="Fluid"),((EI36*EI$51)/(EI$54)),IF(AND(Results!$E$4="Cells",Results!$E$5="Million",$B$52="million"),((EI36*EI$51)/(EI$52)),"0")))))</f>
        <v>0</v>
      </c>
      <c r="EJ89" s="20">
        <f>IF(EJ36=0,"0",IF(AND(Results!$E$5="Protein",$C$53&gt;0,OR(Results!$E$4="Tissue",Results!$E$4="Cells")),((EJ36*EJ$51)/(EJ$53)),IF(AND(Results!$E$5="Weight",$C$52&gt;0, Results!$E$4="Tissue",OR($B$52="g",$B$52="mg")),((EJ36*EJ$51)/(EJ$52)),IF(AND(Results!$E$5="Volume",$C$54&gt;0,Results!$E$4="Fluid"),((EJ36*EJ$51)/(EJ$54)),IF(AND(Results!$E$4="Cells",Results!$E$5="Million",$B$52="million"),((EJ36*EJ$51)/(EJ$52)),"0")))))</f>
        <v>-1.7166666666666667E-2</v>
      </c>
      <c r="EK89" s="20">
        <f>IF(EK36=0,"0",IF(AND(Results!$E$5="Protein",$C$53&gt;0,OR(Results!$E$4="Tissue",Results!$E$4="Cells")),((EK36*EK$51)/(EK$53)),IF(AND(Results!$E$5="Weight",$C$52&gt;0, Results!$E$4="Tissue",OR($B$52="g",$B$52="mg")),((EK36*EK$51)/(EK$52)),IF(AND(Results!$E$5="Volume",$C$54&gt;0,Results!$E$4="Fluid"),((EK36*EK$51)/(EK$54)),IF(AND(Results!$E$4="Cells",Results!$E$5="Million",$B$52="million"),((EK36*EK$51)/(EK$52)),"0")))))</f>
        <v>0.15435000000000001</v>
      </c>
      <c r="EL89" s="20">
        <f>IF(EL36=0,"0",IF(AND(Results!$E$5="Protein",$C$53&gt;0,OR(Results!$E$4="Tissue",Results!$E$4="Cells")),((EL36*EL$51)/(EL$53)),IF(AND(Results!$E$5="Weight",$C$52&gt;0, Results!$E$4="Tissue",OR($B$52="g",$B$52="mg")),((EL36*EL$51)/(EL$52)),IF(AND(Results!$E$5="Volume",$C$54&gt;0,Results!$E$4="Fluid"),((EL36*EL$51)/(EL$54)),IF(AND(Results!$E$4="Cells",Results!$E$5="Million",$B$52="million"),((EL36*EL$51)/(EL$52)),"0")))))</f>
        <v>4.7649999999999998E-2</v>
      </c>
      <c r="EM89" s="20" t="str">
        <f>IF(EM36=0,"0",IF(AND(Results!$E$5="Protein",$C$53&gt;0,OR(Results!$E$4="Tissue",Results!$E$4="Cells")),((EM36*EM$51)/(EM$53)),IF(AND(Results!$E$5="Weight",$C$52&gt;0, Results!$E$4="Tissue",OR($B$52="g",$B$52="mg")),((EM36*EM$51)/(EM$52)),IF(AND(Results!$E$5="Volume",$C$54&gt;0,Results!$E$4="Fluid"),((EM36*EM$51)/(EM$54)),IF(AND(Results!$E$4="Cells",Results!$E$5="Million",$B$52="million"),((EM36*EM$51)/(EM$52)),"0")))))</f>
        <v>0</v>
      </c>
      <c r="EN89" s="20">
        <f>IF(EN36=0,"0",IF(AND(Results!$E$5="Protein",$C$53&gt;0,OR(Results!$E$4="Tissue",Results!$E$4="Cells")),((EN36*EN$51)/(EN$53)),IF(AND(Results!$E$5="Weight",$C$52&gt;0, Results!$E$4="Tissue",OR($B$52="g",$B$52="mg")),((EN36*EN$51)/(EN$52)),IF(AND(Results!$E$5="Volume",$C$54&gt;0,Results!$E$4="Fluid"),((EN36*EN$51)/(EN$54)),IF(AND(Results!$E$4="Cells",Results!$E$5="Million",$B$52="million"),((EN36*EN$51)/(EN$52)),"0")))))</f>
        <v>0.43893333333333329</v>
      </c>
      <c r="EO89" s="20">
        <f>IF(EO36=0,"0",IF(AND(Results!$E$5="Protein",$C$53&gt;0,OR(Results!$E$4="Tissue",Results!$E$4="Cells")),((EO36*EO$51)/(EO$53)),IF(AND(Results!$E$5="Weight",$C$52&gt;0, Results!$E$4="Tissue",OR($B$52="g",$B$52="mg")),((EO36*EO$51)/(EO$52)),IF(AND(Results!$E$5="Volume",$C$54&gt;0,Results!$E$4="Fluid"),((EO36*EO$51)/(EO$54)),IF(AND(Results!$E$4="Cells",Results!$E$5="Million",$B$52="million"),((EO36*EO$51)/(EO$52)),"0")))))</f>
        <v>0.40383333333333332</v>
      </c>
      <c r="EP89" s="20">
        <f>IF(EP36=0,"0",IF(AND(Results!$E$5="Protein",$C$53&gt;0,OR(Results!$E$4="Tissue",Results!$E$4="Cells")),((EP36*EP$51)/(EP$53)),IF(AND(Results!$E$5="Weight",$C$52&gt;0, Results!$E$4="Tissue",OR($B$52="g",$B$52="mg")),((EP36*EP$51)/(EP$52)),IF(AND(Results!$E$5="Volume",$C$54&gt;0,Results!$E$4="Fluid"),((EP36*EP$51)/(EP$54)),IF(AND(Results!$E$4="Cells",Results!$E$5="Million",$B$52="million"),((EP36*EP$51)/(EP$52)),"0")))))</f>
        <v>0.14868333333333333</v>
      </c>
      <c r="EQ89" s="20">
        <f>IF(EQ36=0,"0",IF(AND(Results!$E$5="Protein",$C$53&gt;0,OR(Results!$E$4="Tissue",Results!$E$4="Cells")),((EQ36*EQ$51)/(EQ$53)),IF(AND(Results!$E$5="Weight",$C$52&gt;0, Results!$E$4="Tissue",OR($B$52="g",$B$52="mg")),((EQ36*EQ$51)/(EQ$52)),IF(AND(Results!$E$5="Volume",$C$54&gt;0,Results!$E$4="Fluid"),((EQ36*EQ$51)/(EQ$54)),IF(AND(Results!$E$4="Cells",Results!$E$5="Million",$B$52="million"),((EQ36*EQ$51)/(EQ$52)),"0")))))</f>
        <v>-1.4283333333333334E-2</v>
      </c>
      <c r="ER89" s="20">
        <f>IF(ER36=0,"0",IF(AND(Results!$E$5="Protein",$C$53&gt;0,OR(Results!$E$4="Tissue",Results!$E$4="Cells")),((ER36*ER$51)/(ER$53)),IF(AND(Results!$E$5="Weight",$C$52&gt;0, Results!$E$4="Tissue",OR($B$52="g",$B$52="mg")),((ER36*ER$51)/(ER$52)),IF(AND(Results!$E$5="Volume",$C$54&gt;0,Results!$E$4="Fluid"),((ER36*ER$51)/(ER$54)),IF(AND(Results!$E$4="Cells",Results!$E$5="Million",$B$52="million"),((ER36*ER$51)/(ER$52)),"0")))))</f>
        <v>8.7233333333333329E-2</v>
      </c>
      <c r="ES89" s="20">
        <f>IF(ES36=0,"0",IF(AND(Results!$E$5="Protein",$C$53&gt;0,OR(Results!$E$4="Tissue",Results!$E$4="Cells")),((ES36*ES$51)/(ES$53)),IF(AND(Results!$E$5="Weight",$C$52&gt;0, Results!$E$4="Tissue",OR($B$52="g",$B$52="mg")),((ES36*ES$51)/(ES$52)),IF(AND(Results!$E$5="Volume",$C$54&gt;0,Results!$E$4="Fluid"),((ES36*ES$51)/(ES$54)),IF(AND(Results!$E$4="Cells",Results!$E$5="Million",$B$52="million"),((ES36*ES$51)/(ES$52)),"0")))))</f>
        <v>1.0233333333333334E-2</v>
      </c>
      <c r="ET89" s="20">
        <f>IF(ET36=0,"0",IF(AND(Results!$E$5="Protein",$C$53&gt;0,OR(Results!$E$4="Tissue",Results!$E$4="Cells")),((ET36*ET$51)/(ET$53)),IF(AND(Results!$E$5="Weight",$C$52&gt;0, Results!$E$4="Tissue",OR($B$52="g",$B$52="mg")),((ET36*ET$51)/(ET$52)),IF(AND(Results!$E$5="Volume",$C$54&gt;0,Results!$E$4="Fluid"),((ET36*ET$51)/(ET$54)),IF(AND(Results!$E$4="Cells",Results!$E$5="Million",$B$52="million"),((ET36*ET$51)/(ET$52)),"0")))))</f>
        <v>0.13896666666666666</v>
      </c>
      <c r="EU89" s="20">
        <f>IF(EU36=0,"0",IF(AND(Results!$E$5="Protein",$C$53&gt;0,OR(Results!$E$4="Tissue",Results!$E$4="Cells")),((EU36*EU$51)/(EU$53)),IF(AND(Results!$E$5="Weight",$C$52&gt;0, Results!$E$4="Tissue",OR($B$52="g",$B$52="mg")),((EU36*EU$51)/(EU$52)),IF(AND(Results!$E$5="Volume",$C$54&gt;0,Results!$E$4="Fluid"),((EU36*EU$51)/(EU$54)),IF(AND(Results!$E$4="Cells",Results!$E$5="Million",$B$52="million"),((EU36*EU$51)/(EU$52)),"0")))))</f>
        <v>0.15483333333333335</v>
      </c>
      <c r="EV89" s="20" t="str">
        <f>IF(EV36=0,"0",IF(AND(Results!$E$5="Protein",$C$53&gt;0,OR(Results!$E$4="Tissue",Results!$E$4="Cells")),((EV36*EV$51)/(EV$53)),IF(AND(Results!$E$5="Weight",$C$52&gt;0, Results!$E$4="Tissue",OR($B$52="g",$B$52="mg")),((EV36*EV$51)/(EV$52)),IF(AND(Results!$E$5="Volume",$C$54&gt;0,Results!$E$4="Fluid"),((EV36*EV$51)/(EV$54)),IF(AND(Results!$E$4="Cells",Results!$E$5="Million",$B$52="million"),((EV36*EV$51)/(EV$52)),"0")))))</f>
        <v>0</v>
      </c>
      <c r="EW89" s="20" t="str">
        <f>IF(EW36=0,"0",IF(AND(Results!$E$5="Protein",$C$53&gt;0,OR(Results!$E$4="Tissue",Results!$E$4="Cells")),((EW36*EW$51)/(EW$53)),IF(AND(Results!$E$5="Weight",$C$52&gt;0, Results!$E$4="Tissue",OR($B$52="g",$B$52="mg")),((EW36*EW$51)/(EW$52)),IF(AND(Results!$E$5="Volume",$C$54&gt;0,Results!$E$4="Fluid"),((EW36*EW$51)/(EW$54)),IF(AND(Results!$E$4="Cells",Results!$E$5="Million",$B$52="million"),((EW36*EW$51)/(EW$52)),"0")))))</f>
        <v>0</v>
      </c>
      <c r="EX89" s="20">
        <f>IF(EX36=0,"0",IF(AND(Results!$E$5="Protein",$C$53&gt;0,OR(Results!$E$4="Tissue",Results!$E$4="Cells")),((EX36*EX$51)/(EX$53)),IF(AND(Results!$E$5="Weight",$C$52&gt;0, Results!$E$4="Tissue",OR($B$52="g",$B$52="mg")),((EX36*EX$51)/(EX$52)),IF(AND(Results!$E$5="Volume",$C$54&gt;0,Results!$E$4="Fluid"),((EX36*EX$51)/(EX$54)),IF(AND(Results!$E$4="Cells",Results!$E$5="Million",$B$52="million"),((EX36*EX$51)/(EX$52)),"0")))))</f>
        <v>0.55945</v>
      </c>
      <c r="EY89" s="20" t="str">
        <f>IF(EY36=0,"0",IF(AND(Results!$E$5="Protein",$C$53&gt;0,OR(Results!$E$4="Tissue",Results!$E$4="Cells")),((EY36*EY$51)/(EY$53)),IF(AND(Results!$E$5="Weight",$C$52&gt;0, Results!$E$4="Tissue",OR($B$52="g",$B$52="mg")),((EY36*EY$51)/(EY$52)),IF(AND(Results!$E$5="Volume",$C$54&gt;0,Results!$E$4="Fluid"),((EY36*EY$51)/(EY$54)),IF(AND(Results!$E$4="Cells",Results!$E$5="Million",$B$52="million"),((EY36*EY$51)/(EY$52)),"0")))))</f>
        <v>0</v>
      </c>
      <c r="EZ89" s="20">
        <f>IF(EZ36=0,"0",IF(AND(Results!$E$5="Protein",$C$53&gt;0,OR(Results!$E$4="Tissue",Results!$E$4="Cells")),((EZ36*EZ$51)/(EZ$53)),IF(AND(Results!$E$5="Weight",$C$52&gt;0, Results!$E$4="Tissue",OR($B$52="g",$B$52="mg")),((EZ36*EZ$51)/(EZ$52)),IF(AND(Results!$E$5="Volume",$C$54&gt;0,Results!$E$4="Fluid"),((EZ36*EZ$51)/(EZ$54)),IF(AND(Results!$E$4="Cells",Results!$E$5="Million",$B$52="million"),((EZ36*EZ$51)/(EZ$52)),"0")))))</f>
        <v>6.0433333333333332E-2</v>
      </c>
      <c r="FA89" s="20" t="str">
        <f>IF(FA36=0,"0",IF(AND(Results!$E$5="Protein",$C$53&gt;0,OR(Results!$E$4="Tissue",Results!$E$4="Cells")),((FA36*FA$51)/(FA$53)),IF(AND(Results!$E$5="Weight",$C$52&gt;0, Results!$E$4="Tissue",OR($B$52="g",$B$52="mg")),((FA36*FA$51)/(FA$52)),IF(AND(Results!$E$5="Volume",$C$54&gt;0,Results!$E$4="Fluid"),((FA36*FA$51)/(FA$54)),IF(AND(Results!$E$4="Cells",Results!$E$5="Million",$B$52="million"),((FA36*FA$51)/(FA$52)),"0")))))</f>
        <v>0</v>
      </c>
      <c r="FB89" s="20" t="str">
        <f>IF(FB36=0,"0",IF(AND(Results!$E$5="Protein",$C$53&gt;0,OR(Results!$E$4="Tissue",Results!$E$4="Cells")),((FB36*FB$51)/(FB$53)),IF(AND(Results!$E$5="Weight",$C$52&gt;0, Results!$E$4="Tissue",OR($B$52="g",$B$52="mg")),((FB36*FB$51)/(FB$52)),IF(AND(Results!$E$5="Volume",$C$54&gt;0,Results!$E$4="Fluid"),((FB36*FB$51)/(FB$54)),IF(AND(Results!$E$4="Cells",Results!$E$5="Million",$B$52="million"),((FB36*FB$51)/(FB$52)),"0")))))</f>
        <v>0</v>
      </c>
      <c r="FC89" s="20" t="str">
        <f>IF(FC36=0,"0",IF(AND(Results!$E$5="Protein",$C$53&gt;0,OR(Results!$E$4="Tissue",Results!$E$4="Cells")),((FC36*FC$51)/(FC$53)),IF(AND(Results!$E$5="Weight",$C$52&gt;0, Results!$E$4="Tissue",OR($B$52="g",$B$52="mg")),((FC36*FC$51)/(FC$52)),IF(AND(Results!$E$5="Volume",$C$54&gt;0,Results!$E$4="Fluid"),((FC36*FC$51)/(FC$54)),IF(AND(Results!$E$4="Cells",Results!$E$5="Million",$B$52="million"),((FC36*FC$51)/(FC$52)),"0")))))</f>
        <v>0</v>
      </c>
      <c r="FD89" s="20">
        <f>IF(FD36=0,"0",IF(AND(Results!$E$5="Protein",$C$53&gt;0,OR(Results!$E$4="Tissue",Results!$E$4="Cells")),((FD36*FD$51)/(FD$53)),IF(AND(Results!$E$5="Weight",$C$52&gt;0, Results!$E$4="Tissue",OR($B$52="g",$B$52="mg")),((FD36*FD$51)/(FD$52)),IF(AND(Results!$E$5="Volume",$C$54&gt;0,Results!$E$4="Fluid"),((FD36*FD$51)/(FD$54)),IF(AND(Results!$E$4="Cells",Results!$E$5="Million",$B$52="million"),((FD36*FD$51)/(FD$52)),"0")))))</f>
        <v>-2.1433333333333335E-2</v>
      </c>
      <c r="FE89" s="20">
        <f>IF(FE36=0,"0",IF(AND(Results!$E$5="Protein",$C$53&gt;0,OR(Results!$E$4="Tissue",Results!$E$4="Cells")),((FE36*FE$51)/(FE$53)),IF(AND(Results!$E$5="Weight",$C$52&gt;0, Results!$E$4="Tissue",OR($B$52="g",$B$52="mg")),((FE36*FE$51)/(FE$52)),IF(AND(Results!$E$5="Volume",$C$54&gt;0,Results!$E$4="Fluid"),((FE36*FE$51)/(FE$54)),IF(AND(Results!$E$4="Cells",Results!$E$5="Million",$B$52="million"),((FE36*FE$51)/(FE$52)),"0")))))</f>
        <v>1.7649999999999999E-2</v>
      </c>
      <c r="FF89" s="20">
        <f>IF(FF36=0,"0",IF(AND(Results!$E$5="Protein",$C$53&gt;0,OR(Results!$E$4="Tissue",Results!$E$4="Cells")),((FF36*FF$51)/(FF$53)),IF(AND(Results!$E$5="Weight",$C$52&gt;0, Results!$E$4="Tissue",OR($B$52="g",$B$52="mg")),((FF36*FF$51)/(FF$52)),IF(AND(Results!$E$5="Volume",$C$54&gt;0,Results!$E$4="Fluid"),((FF36*FF$51)/(FF$54)),IF(AND(Results!$E$4="Cells",Results!$E$5="Million",$B$52="million"),((FF36*FF$51)/(FF$52)),"0")))))</f>
        <v>0.10803333333333334</v>
      </c>
      <c r="FG89" s="20" t="str">
        <f>IF(FG36=0,"0",IF(AND(Results!$E$5="Protein",$C$53&gt;0,OR(Results!$E$4="Tissue",Results!$E$4="Cells")),((FG36*FG$51)/(FG$53)),IF(AND(Results!$E$5="Weight",$C$52&gt;0, Results!$E$4="Tissue",OR($B$52="g",$B$52="mg")),((FG36*FG$51)/(FG$52)),IF(AND(Results!$E$5="Volume",$C$54&gt;0,Results!$E$4="Fluid"),((FG36*FG$51)/(FG$54)),IF(AND(Results!$E$4="Cells",Results!$E$5="Million",$B$52="million"),((FG36*FG$51)/(FG$52)),"0")))))</f>
        <v>0</v>
      </c>
      <c r="FH89" s="20">
        <f>IF(FH36=0,"0",IF(AND(Results!$E$5="Protein",$C$53&gt;0,OR(Results!$E$4="Tissue",Results!$E$4="Cells")),((FH36*FH$51)/(FH$53)),IF(AND(Results!$E$5="Weight",$C$52&gt;0, Results!$E$4="Tissue",OR($B$52="g",$B$52="mg")),((FH36*FH$51)/(FH$52)),IF(AND(Results!$E$5="Volume",$C$54&gt;0,Results!$E$4="Fluid"),((FH36*FH$51)/(FH$54)),IF(AND(Results!$E$4="Cells",Results!$E$5="Million",$B$52="million"),((FH36*FH$51)/(FH$52)),"0")))))</f>
        <v>0.19223333333333331</v>
      </c>
      <c r="FI89" s="20">
        <f>IF(FI36=0,"0",IF(AND(Results!$E$5="Protein",$C$53&gt;0,OR(Results!$E$4="Tissue",Results!$E$4="Cells")),((FI36*FI$51)/(FI$53)),IF(AND(Results!$E$5="Weight",$C$52&gt;0, Results!$E$4="Tissue",OR($B$52="g",$B$52="mg")),((FI36*FI$51)/(FI$52)),IF(AND(Results!$E$5="Volume",$C$54&gt;0,Results!$E$4="Fluid"),((FI36*FI$51)/(FI$54)),IF(AND(Results!$E$4="Cells",Results!$E$5="Million",$B$52="million"),((FI36*FI$51)/(FI$52)),"0")))))</f>
        <v>0.27561666666666668</v>
      </c>
      <c r="FJ89" s="20">
        <f>IF(FJ36=0,"0",IF(AND(Results!$E$5="Protein",$C$53&gt;0,OR(Results!$E$4="Tissue",Results!$E$4="Cells")),((FJ36*FJ$51)/(FJ$53)),IF(AND(Results!$E$5="Weight",$C$52&gt;0, Results!$E$4="Tissue",OR($B$52="g",$B$52="mg")),((FJ36*FJ$51)/(FJ$52)),IF(AND(Results!$E$5="Volume",$C$54&gt;0,Results!$E$4="Fluid"),((FJ36*FJ$51)/(FJ$54)),IF(AND(Results!$E$4="Cells",Results!$E$5="Million",$B$52="million"),((FJ36*FJ$51)/(FJ$52)),"0")))))</f>
        <v>-8.483333333333334E-3</v>
      </c>
      <c r="FK89" s="20">
        <f>IF(FK36=0,"0",IF(AND(Results!$E$5="Protein",$C$53&gt;0,OR(Results!$E$4="Tissue",Results!$E$4="Cells")),((FK36*FK$51)/(FK$53)),IF(AND(Results!$E$5="Weight",$C$52&gt;0, Results!$E$4="Tissue",OR($B$52="g",$B$52="mg")),((FK36*FK$51)/(FK$52)),IF(AND(Results!$E$5="Volume",$C$54&gt;0,Results!$E$4="Fluid"),((FK36*FK$51)/(FK$54)),IF(AND(Results!$E$4="Cells",Results!$E$5="Million",$B$52="million"),((FK36*FK$51)/(FK$52)),"0")))))</f>
        <v>7.2700000000000001E-2</v>
      </c>
      <c r="FL89" s="20">
        <f>IF(FL36=0,"0",IF(AND(Results!$E$5="Protein",$C$53&gt;0,OR(Results!$E$4="Tissue",Results!$E$4="Cells")),((FL36*FL$51)/(FL$53)),IF(AND(Results!$E$5="Weight",$C$52&gt;0, Results!$E$4="Tissue",OR($B$52="g",$B$52="mg")),((FL36*FL$51)/(FL$52)),IF(AND(Results!$E$5="Volume",$C$54&gt;0,Results!$E$4="Fluid"),((FL36*FL$51)/(FL$54)),IF(AND(Results!$E$4="Cells",Results!$E$5="Million",$B$52="million"),((FL36*FL$51)/(FL$52)),"0")))))</f>
        <v>-1.3966666666666665E-2</v>
      </c>
      <c r="FM89" s="20">
        <f>IF(FM36=0,"0",IF(AND(Results!$E$5="Protein",$C$53&gt;0,OR(Results!$E$4="Tissue",Results!$E$4="Cells")),((FM36*FM$51)/(FM$53)),IF(AND(Results!$E$5="Weight",$C$52&gt;0, Results!$E$4="Tissue",OR($B$52="g",$B$52="mg")),((FM36*FM$51)/(FM$52)),IF(AND(Results!$E$5="Volume",$C$54&gt;0,Results!$E$4="Fluid"),((FM36*FM$51)/(FM$54)),IF(AND(Results!$E$4="Cells",Results!$E$5="Million",$B$52="million"),((FM36*FM$51)/(FM$52)),"0")))))</f>
        <v>5.2500000000000003E-3</v>
      </c>
      <c r="FN89" s="20" t="str">
        <f>IF(FN36=0,"0",IF(AND(Results!$E$5="Protein",$C$53&gt;0,OR(Results!$E$4="Tissue",Results!$E$4="Cells")),((FN36*FN$51)/(FN$53)),IF(AND(Results!$E$5="Weight",$C$52&gt;0, Results!$E$4="Tissue",OR($B$52="g",$B$52="mg")),((FN36*FN$51)/(FN$52)),IF(AND(Results!$E$5="Volume",$C$54&gt;0,Results!$E$4="Fluid"),((FN36*FN$51)/(FN$54)),IF(AND(Results!$E$4="Cells",Results!$E$5="Million",$B$52="million"),((FN36*FN$51)/(FN$52)),"0")))))</f>
        <v>0</v>
      </c>
      <c r="FO89" s="20" t="str">
        <f>IF(FO36=0,"0",IF(AND(Results!$E$5="Protein",$C$53&gt;0,OR(Results!$E$4="Tissue",Results!$E$4="Cells")),((FO36*FO$51)/(FO$53)),IF(AND(Results!$E$5="Weight",$C$52&gt;0, Results!$E$4="Tissue",OR($B$52="g",$B$52="mg")),((FO36*FO$51)/(FO$52)),IF(AND(Results!$E$5="Volume",$C$54&gt;0,Results!$E$4="Fluid"),((FO36*FO$51)/(FO$54)),IF(AND(Results!$E$4="Cells",Results!$E$5="Million",$B$52="million"),((FO36*FO$51)/(FO$52)),"0")))))</f>
        <v>0</v>
      </c>
    </row>
    <row r="90" spans="1:171" x14ac:dyDescent="0.2">
      <c r="A90" s="120" t="str">
        <f t="shared" si="1"/>
        <v xml:space="preserve">LTB5 </v>
      </c>
      <c r="B90" s="121"/>
      <c r="C90" s="20" t="str">
        <f>IF(C37=0,"0",IF(AND(Results!$E$5="Protein",$C$53&gt;0,OR(Results!$E$4="Tissue",Results!$E$4="Cells")),((C37*C$51)/(C$53)),IF(AND(Results!$E$5="Weight",$C$52&gt;0, Results!$E$4="Tissue",OR($B$52="g",$B$52="mg")),((C37*C$51)/(C$52)),IF(AND(Results!$E$5="Volume",$C$54&gt;0,Results!$E$4="Fluid"),((C37*C$51)/(C$54)),IF(AND(Results!$E$4="Cells",Results!$E$5="Million",$B$52="million"),((C37*C$51)/(C$52)),"0")))))</f>
        <v>0</v>
      </c>
      <c r="D90" s="20" t="str">
        <f>IF(D37=0,"0",IF(AND(Results!$E$5="Protein",$C$53&gt;0,OR(Results!$E$4="Tissue",Results!$E$4="Cells")),((D37*D$51)/(D$53)),IF(AND(Results!$E$5="Weight",$C$52&gt;0, Results!$E$4="Tissue",OR($B$52="g",$B$52="mg")),((D37*D$51)/(D$52)),IF(AND(Results!$E$5="Volume",$C$54&gt;0,Results!$E$4="Fluid"),((D37*D$51)/(D$54)),IF(AND(Results!$E$4="Cells",Results!$E$5="Million",$B$52="million"),((D37*D$51)/(D$52)),"0")))))</f>
        <v>0</v>
      </c>
      <c r="E90" s="20" t="str">
        <f>IF(E37=0,"0",IF(AND(Results!$E$5="Protein",$C$53&gt;0,OR(Results!$E$4="Tissue",Results!$E$4="Cells")),((E37*E$51)/(E$53)),IF(AND(Results!$E$5="Weight",$C$52&gt;0, Results!$E$4="Tissue",OR($B$52="g",$B$52="mg")),((E37*E$51)/(E$52)),IF(AND(Results!$E$5="Volume",$C$54&gt;0,Results!$E$4="Fluid"),((E37*E$51)/(E$54)),IF(AND(Results!$E$4="Cells",Results!$E$5="Million",$B$52="million"),((E37*E$51)/(E$52)),"0")))))</f>
        <v>0</v>
      </c>
      <c r="F90" s="20" t="str">
        <f>IF(F37=0,"0",IF(AND(Results!$E$5="Protein",$C$53&gt;0,OR(Results!$E$4="Tissue",Results!$E$4="Cells")),((F37*F$51)/(F$53)),IF(AND(Results!$E$5="Weight",$C$52&gt;0, Results!$E$4="Tissue",OR($B$52="g",$B$52="mg")),((F37*F$51)/(F$52)),IF(AND(Results!$E$5="Volume",$C$54&gt;0,Results!$E$4="Fluid"),((F37*F$51)/(F$54)),IF(AND(Results!$E$4="Cells",Results!$E$5="Million",$B$52="million"),((F37*F$51)/(F$52)),"0")))))</f>
        <v>0</v>
      </c>
      <c r="G90" s="20" t="str">
        <f>IF(G37=0,"0",IF(AND(Results!$E$5="Protein",$C$53&gt;0,OR(Results!$E$4="Tissue",Results!$E$4="Cells")),((G37*G$51)/(G$53)),IF(AND(Results!$E$5="Weight",$C$52&gt;0, Results!$E$4="Tissue",OR($B$52="g",$B$52="mg")),((G37*G$51)/(G$52)),IF(AND(Results!$E$5="Volume",$C$54&gt;0,Results!$E$4="Fluid"),((G37*G$51)/(G$54)),IF(AND(Results!$E$4="Cells",Results!$E$5="Million",$B$52="million"),((G37*G$51)/(G$52)),"0")))))</f>
        <v>0</v>
      </c>
      <c r="H90" s="20" t="str">
        <f>IF(H37=0,"0",IF(AND(Results!$E$5="Protein",$C$53&gt;0,OR(Results!$E$4="Tissue",Results!$E$4="Cells")),((H37*H$51)/(H$53)),IF(AND(Results!$E$5="Weight",$C$52&gt;0, Results!$E$4="Tissue",OR($B$52="g",$B$52="mg")),((H37*H$51)/(H$52)),IF(AND(Results!$E$5="Volume",$C$54&gt;0,Results!$E$4="Fluid"),((H37*H$51)/(H$54)),IF(AND(Results!$E$4="Cells",Results!$E$5="Million",$B$52="million"),((H37*H$51)/(H$52)),"0")))))</f>
        <v>0</v>
      </c>
      <c r="I90" s="20" t="str">
        <f>IF(I37=0,"0",IF(AND(Results!$E$5="Protein",$C$53&gt;0,OR(Results!$E$4="Tissue",Results!$E$4="Cells")),((I37*I$51)/(I$53)),IF(AND(Results!$E$5="Weight",$C$52&gt;0, Results!$E$4="Tissue",OR($B$52="g",$B$52="mg")),((I37*I$51)/(I$52)),IF(AND(Results!$E$5="Volume",$C$54&gt;0,Results!$E$4="Fluid"),((I37*I$51)/(I$54)),IF(AND(Results!$E$4="Cells",Results!$E$5="Million",$B$52="million"),((I37*I$51)/(I$52)),"0")))))</f>
        <v>0</v>
      </c>
      <c r="J90" s="20" t="str">
        <f>IF(J37=0,"0",IF(AND(Results!$E$5="Protein",$C$53&gt;0,OR(Results!$E$4="Tissue",Results!$E$4="Cells")),((J37*J$51)/(J$53)),IF(AND(Results!$E$5="Weight",$C$52&gt;0, Results!$E$4="Tissue",OR($B$52="g",$B$52="mg")),((J37*J$51)/(J$52)),IF(AND(Results!$E$5="Volume",$C$54&gt;0,Results!$E$4="Fluid"),((J37*J$51)/(J$54)),IF(AND(Results!$E$4="Cells",Results!$E$5="Million",$B$52="million"),((J37*J$51)/(J$52)),"0")))))</f>
        <v>0</v>
      </c>
      <c r="K90" s="20" t="str">
        <f>IF(K37=0,"0",IF(AND(Results!$E$5="Protein",$C$53&gt;0,OR(Results!$E$4="Tissue",Results!$E$4="Cells")),((K37*K$51)/(K$53)),IF(AND(Results!$E$5="Weight",$C$52&gt;0, Results!$E$4="Tissue",OR($B$52="g",$B$52="mg")),((K37*K$51)/(K$52)),IF(AND(Results!$E$5="Volume",$C$54&gt;0,Results!$E$4="Fluid"),((K37*K$51)/(K$54)),IF(AND(Results!$E$4="Cells",Results!$E$5="Million",$B$52="million"),((K37*K$51)/(K$52)),"0")))))</f>
        <v>0</v>
      </c>
      <c r="L90" s="20" t="str">
        <f>IF(L37=0,"0",IF(AND(Results!$E$5="Protein",$C$53&gt;0,OR(Results!$E$4="Tissue",Results!$E$4="Cells")),((L37*L$51)/(L$53)),IF(AND(Results!$E$5="Weight",$C$52&gt;0, Results!$E$4="Tissue",OR($B$52="g",$B$52="mg")),((L37*L$51)/(L$52)),IF(AND(Results!$E$5="Volume",$C$54&gt;0,Results!$E$4="Fluid"),((L37*L$51)/(L$54)),IF(AND(Results!$E$4="Cells",Results!$E$5="Million",$B$52="million"),((L37*L$51)/(L$52)),"0")))))</f>
        <v>0</v>
      </c>
      <c r="M90" s="20" t="str">
        <f>IF(M37=0,"0",IF(AND(Results!$E$5="Protein",$C$53&gt;0,OR(Results!$E$4="Tissue",Results!$E$4="Cells")),((M37*M$51)/(M$53)),IF(AND(Results!$E$5="Weight",$C$52&gt;0, Results!$E$4="Tissue",OR($B$52="g",$B$52="mg")),((M37*M$51)/(M$52)),IF(AND(Results!$E$5="Volume",$C$54&gt;0,Results!$E$4="Fluid"),((M37*M$51)/(M$54)),IF(AND(Results!$E$4="Cells",Results!$E$5="Million",$B$52="million"),((M37*M$51)/(M$52)),"0")))))</f>
        <v>0</v>
      </c>
      <c r="N90" s="20" t="str">
        <f>IF(N37=0,"0",IF(AND(Results!$E$5="Protein",$C$53&gt;0,OR(Results!$E$4="Tissue",Results!$E$4="Cells")),((N37*N$51)/(N$53)),IF(AND(Results!$E$5="Weight",$C$52&gt;0, Results!$E$4="Tissue",OR($B$52="g",$B$52="mg")),((N37*N$51)/(N$52)),IF(AND(Results!$E$5="Volume",$C$54&gt;0,Results!$E$4="Fluid"),((N37*N$51)/(N$54)),IF(AND(Results!$E$4="Cells",Results!$E$5="Million",$B$52="million"),((N37*N$51)/(N$52)),"0")))))</f>
        <v>0</v>
      </c>
      <c r="O90" s="20" t="str">
        <f>IF(O37=0,"0",IF(AND(Results!$E$5="Protein",$C$53&gt;0,OR(Results!$E$4="Tissue",Results!$E$4="Cells")),((O37*O$51)/(O$53)),IF(AND(Results!$E$5="Weight",$C$52&gt;0, Results!$E$4="Tissue",OR($B$52="g",$B$52="mg")),((O37*O$51)/(O$52)),IF(AND(Results!$E$5="Volume",$C$54&gt;0,Results!$E$4="Fluid"),((O37*O$51)/(O$54)),IF(AND(Results!$E$4="Cells",Results!$E$5="Million",$B$52="million"),((O37*O$51)/(O$52)),"0")))))</f>
        <v>0</v>
      </c>
      <c r="P90" s="20" t="str">
        <f>IF(P37=0,"0",IF(AND(Results!$E$5="Protein",$C$53&gt;0,OR(Results!$E$4="Tissue",Results!$E$4="Cells")),((P37*P$51)/(P$53)),IF(AND(Results!$E$5="Weight",$C$52&gt;0, Results!$E$4="Tissue",OR($B$52="g",$B$52="mg")),((P37*P$51)/(P$52)),IF(AND(Results!$E$5="Volume",$C$54&gt;0,Results!$E$4="Fluid"),((P37*P$51)/(P$54)),IF(AND(Results!$E$4="Cells",Results!$E$5="Million",$B$52="million"),((P37*P$51)/(P$52)),"0")))))</f>
        <v>0</v>
      </c>
      <c r="Q90" s="20" t="str">
        <f>IF(Q37=0,"0",IF(AND(Results!$E$5="Protein",$C$53&gt;0,OR(Results!$E$4="Tissue",Results!$E$4="Cells")),((Q37*Q$51)/(Q$53)),IF(AND(Results!$E$5="Weight",$C$52&gt;0, Results!$E$4="Tissue",OR($B$52="g",$B$52="mg")),((Q37*Q$51)/(Q$52)),IF(AND(Results!$E$5="Volume",$C$54&gt;0,Results!$E$4="Fluid"),((Q37*Q$51)/(Q$54)),IF(AND(Results!$E$4="Cells",Results!$E$5="Million",$B$52="million"),((Q37*Q$51)/(Q$52)),"0")))))</f>
        <v>0</v>
      </c>
      <c r="R90" s="20" t="str">
        <f>IF(R37=0,"0",IF(AND(Results!$E$5="Protein",$C$53&gt;0,OR(Results!$E$4="Tissue",Results!$E$4="Cells")),((R37*R$51)/(R$53)),IF(AND(Results!$E$5="Weight",$C$52&gt;0, Results!$E$4="Tissue",OR($B$52="g",$B$52="mg")),((R37*R$51)/(R$52)),IF(AND(Results!$E$5="Volume",$C$54&gt;0,Results!$E$4="Fluid"),((R37*R$51)/(R$54)),IF(AND(Results!$E$4="Cells",Results!$E$5="Million",$B$52="million"),((R37*R$51)/(R$52)),"0")))))</f>
        <v>0</v>
      </c>
      <c r="S90" s="20" t="str">
        <f>IF(S37=0,"0",IF(AND(Results!$E$5="Protein",$C$53&gt;0,OR(Results!$E$4="Tissue",Results!$E$4="Cells")),((S37*S$51)/(S$53)),IF(AND(Results!$E$5="Weight",$C$52&gt;0, Results!$E$4="Tissue",OR($B$52="g",$B$52="mg")),((S37*S$51)/(S$52)),IF(AND(Results!$E$5="Volume",$C$54&gt;0,Results!$E$4="Fluid"),((S37*S$51)/(S$54)),IF(AND(Results!$E$4="Cells",Results!$E$5="Million",$B$52="million"),((S37*S$51)/(S$52)),"0")))))</f>
        <v>0</v>
      </c>
      <c r="T90" s="20" t="str">
        <f>IF(T37=0,"0",IF(AND(Results!$E$5="Protein",$C$53&gt;0,OR(Results!$E$4="Tissue",Results!$E$4="Cells")),((T37*T$51)/(T$53)),IF(AND(Results!$E$5="Weight",$C$52&gt;0, Results!$E$4="Tissue",OR($B$52="g",$B$52="mg")),((T37*T$51)/(T$52)),IF(AND(Results!$E$5="Volume",$C$54&gt;0,Results!$E$4="Fluid"),((T37*T$51)/(T$54)),IF(AND(Results!$E$4="Cells",Results!$E$5="Million",$B$52="million"),((T37*T$51)/(T$52)),"0")))))</f>
        <v>0</v>
      </c>
      <c r="U90" s="20" t="str">
        <f>IF(U37=0,"0",IF(AND(Results!$E$5="Protein",$C$53&gt;0,OR(Results!$E$4="Tissue",Results!$E$4="Cells")),((U37*U$51)/(U$53)),IF(AND(Results!$E$5="Weight",$C$52&gt;0, Results!$E$4="Tissue",OR($B$52="g",$B$52="mg")),((U37*U$51)/(U$52)),IF(AND(Results!$E$5="Volume",$C$54&gt;0,Results!$E$4="Fluid"),((U37*U$51)/(U$54)),IF(AND(Results!$E$4="Cells",Results!$E$5="Million",$B$52="million"),((U37*U$51)/(U$52)),"0")))))</f>
        <v>0</v>
      </c>
      <c r="V90" s="20" t="str">
        <f>IF(V37=0,"0",IF(AND(Results!$E$5="Protein",$C$53&gt;0,OR(Results!$E$4="Tissue",Results!$E$4="Cells")),((V37*V$51)/(V$53)),IF(AND(Results!$E$5="Weight",$C$52&gt;0, Results!$E$4="Tissue",OR($B$52="g",$B$52="mg")),((V37*V$51)/(V$52)),IF(AND(Results!$E$5="Volume",$C$54&gt;0,Results!$E$4="Fluid"),((V37*V$51)/(V$54)),IF(AND(Results!$E$4="Cells",Results!$E$5="Million",$B$52="million"),((V37*V$51)/(V$52)),"0")))))</f>
        <v>0</v>
      </c>
      <c r="W90" s="20" t="str">
        <f>IF(W37=0,"0",IF(AND(Results!$E$5="Protein",$C$53&gt;0,OR(Results!$E$4="Tissue",Results!$E$4="Cells")),((W37*W$51)/(W$53)),IF(AND(Results!$E$5="Weight",$C$52&gt;0, Results!$E$4="Tissue",OR($B$52="g",$B$52="mg")),((W37*W$51)/(W$52)),IF(AND(Results!$E$5="Volume",$C$54&gt;0,Results!$E$4="Fluid"),((W37*W$51)/(W$54)),IF(AND(Results!$E$4="Cells",Results!$E$5="Million",$B$52="million"),((W37*W$51)/(W$52)),"0")))))</f>
        <v>0</v>
      </c>
      <c r="X90" s="20" t="str">
        <f>IF(X37=0,"0",IF(AND(Results!$E$5="Protein",$C$53&gt;0,OR(Results!$E$4="Tissue",Results!$E$4="Cells")),((X37*X$51)/(X$53)),IF(AND(Results!$E$5="Weight",$C$52&gt;0, Results!$E$4="Tissue",OR($B$52="g",$B$52="mg")),((X37*X$51)/(X$52)),IF(AND(Results!$E$5="Volume",$C$54&gt;0,Results!$E$4="Fluid"),((X37*X$51)/(X$54)),IF(AND(Results!$E$4="Cells",Results!$E$5="Million",$B$52="million"),((X37*X$51)/(X$52)),"0")))))</f>
        <v>0</v>
      </c>
      <c r="Y90" s="20" t="str">
        <f>IF(Y37=0,"0",IF(AND(Results!$E$5="Protein",$C$53&gt;0,OR(Results!$E$4="Tissue",Results!$E$4="Cells")),((Y37*Y$51)/(Y$53)),IF(AND(Results!$E$5="Weight",$C$52&gt;0, Results!$E$4="Tissue",OR($B$52="g",$B$52="mg")),((Y37*Y$51)/(Y$52)),IF(AND(Results!$E$5="Volume",$C$54&gt;0,Results!$E$4="Fluid"),((Y37*Y$51)/(Y$54)),IF(AND(Results!$E$4="Cells",Results!$E$5="Million",$B$52="million"),((Y37*Y$51)/(Y$52)),"0")))))</f>
        <v>0</v>
      </c>
      <c r="Z90" s="20" t="str">
        <f>IF(Z37=0,"0",IF(AND(Results!$E$5="Protein",$C$53&gt;0,OR(Results!$E$4="Tissue",Results!$E$4="Cells")),((Z37*Z$51)/(Z$53)),IF(AND(Results!$E$5="Weight",$C$52&gt;0, Results!$E$4="Tissue",OR($B$52="g",$B$52="mg")),((Z37*Z$51)/(Z$52)),IF(AND(Results!$E$5="Volume",$C$54&gt;0,Results!$E$4="Fluid"),((Z37*Z$51)/(Z$54)),IF(AND(Results!$E$4="Cells",Results!$E$5="Million",$B$52="million"),((Z37*Z$51)/(Z$52)),"0")))))</f>
        <v>0</v>
      </c>
      <c r="AA90" s="20" t="str">
        <f>IF(AA37=0,"0",IF(AND(Results!$E$5="Protein",$C$53&gt;0,OR(Results!$E$4="Tissue",Results!$E$4="Cells")),((AA37*AA$51)/(AA$53)),IF(AND(Results!$E$5="Weight",$C$52&gt;0, Results!$E$4="Tissue",OR($B$52="g",$B$52="mg")),((AA37*AA$51)/(AA$52)),IF(AND(Results!$E$5="Volume",$C$54&gt;0,Results!$E$4="Fluid"),((AA37*AA$51)/(AA$54)),IF(AND(Results!$E$4="Cells",Results!$E$5="Million",$B$52="million"),((AA37*AA$51)/(AA$52)),"0")))))</f>
        <v>0</v>
      </c>
      <c r="AB90" s="20" t="str">
        <f>IF(AB37=0,"0",IF(AND(Results!$E$5="Protein",$C$53&gt;0,OR(Results!$E$4="Tissue",Results!$E$4="Cells")),((AB37*AB$51)/(AB$53)),IF(AND(Results!$E$5="Weight",$C$52&gt;0, Results!$E$4="Tissue",OR($B$52="g",$B$52="mg")),((AB37*AB$51)/(AB$52)),IF(AND(Results!$E$5="Volume",$C$54&gt;0,Results!$E$4="Fluid"),((AB37*AB$51)/(AB$54)),IF(AND(Results!$E$4="Cells",Results!$E$5="Million",$B$52="million"),((AB37*AB$51)/(AB$52)),"0")))))</f>
        <v>0</v>
      </c>
      <c r="AC90" s="20" t="str">
        <f>IF(AC37=0,"0",IF(AND(Results!$E$5="Protein",$C$53&gt;0,OR(Results!$E$4="Tissue",Results!$E$4="Cells")),((AC37*AC$51)/(AC$53)),IF(AND(Results!$E$5="Weight",$C$52&gt;0, Results!$E$4="Tissue",OR($B$52="g",$B$52="mg")),((AC37*AC$51)/(AC$52)),IF(AND(Results!$E$5="Volume",$C$54&gt;0,Results!$E$4="Fluid"),((AC37*AC$51)/(AC$54)),IF(AND(Results!$E$4="Cells",Results!$E$5="Million",$B$52="million"),((AC37*AC$51)/(AC$52)),"0")))))</f>
        <v>0</v>
      </c>
      <c r="AD90" s="20" t="str">
        <f>IF(AD37=0,"0",IF(AND(Results!$E$5="Protein",$C$53&gt;0,OR(Results!$E$4="Tissue",Results!$E$4="Cells")),((AD37*AD$51)/(AD$53)),IF(AND(Results!$E$5="Weight",$C$52&gt;0, Results!$E$4="Tissue",OR($B$52="g",$B$52="mg")),((AD37*AD$51)/(AD$52)),IF(AND(Results!$E$5="Volume",$C$54&gt;0,Results!$E$4="Fluid"),((AD37*AD$51)/(AD$54)),IF(AND(Results!$E$4="Cells",Results!$E$5="Million",$B$52="million"),((AD37*AD$51)/(AD$52)),"0")))))</f>
        <v>0</v>
      </c>
      <c r="AE90" s="20" t="str">
        <f>IF(AE37=0,"0",IF(AND(Results!$E$5="Protein",$C$53&gt;0,OR(Results!$E$4="Tissue",Results!$E$4="Cells")),((AE37*AE$51)/(AE$53)),IF(AND(Results!$E$5="Weight",$C$52&gt;0, Results!$E$4="Tissue",OR($B$52="g",$B$52="mg")),((AE37*AE$51)/(AE$52)),IF(AND(Results!$E$5="Volume",$C$54&gt;0,Results!$E$4="Fluid"),((AE37*AE$51)/(AE$54)),IF(AND(Results!$E$4="Cells",Results!$E$5="Million",$B$52="million"),((AE37*AE$51)/(AE$52)),"0")))))</f>
        <v>0</v>
      </c>
      <c r="AF90" s="20" t="str">
        <f>IF(AF37=0,"0",IF(AND(Results!$E$5="Protein",$C$53&gt;0,OR(Results!$E$4="Tissue",Results!$E$4="Cells")),((AF37*AF$51)/(AF$53)),IF(AND(Results!$E$5="Weight",$C$52&gt;0, Results!$E$4="Tissue",OR($B$52="g",$B$52="mg")),((AF37*AF$51)/(AF$52)),IF(AND(Results!$E$5="Volume",$C$54&gt;0,Results!$E$4="Fluid"),((AF37*AF$51)/(AF$54)),IF(AND(Results!$E$4="Cells",Results!$E$5="Million",$B$52="million"),((AF37*AF$51)/(AF$52)),"0")))))</f>
        <v>0</v>
      </c>
      <c r="AG90" s="20" t="str">
        <f>IF(AG37=0,"0",IF(AND(Results!$E$5="Protein",$C$53&gt;0,OR(Results!$E$4="Tissue",Results!$E$4="Cells")),((AG37*AG$51)/(AG$53)),IF(AND(Results!$E$5="Weight",$C$52&gt;0, Results!$E$4="Tissue",OR($B$52="g",$B$52="mg")),((AG37*AG$51)/(AG$52)),IF(AND(Results!$E$5="Volume",$C$54&gt;0,Results!$E$4="Fluid"),((AG37*AG$51)/(AG$54)),IF(AND(Results!$E$4="Cells",Results!$E$5="Million",$B$52="million"),((AG37*AG$51)/(AG$52)),"0")))))</f>
        <v>0</v>
      </c>
      <c r="AH90" s="20" t="str">
        <f>IF(AH37=0,"0",IF(AND(Results!$E$5="Protein",$C$53&gt;0,OR(Results!$E$4="Tissue",Results!$E$4="Cells")),((AH37*AH$51)/(AH$53)),IF(AND(Results!$E$5="Weight",$C$52&gt;0, Results!$E$4="Tissue",OR($B$52="g",$B$52="mg")),((AH37*AH$51)/(AH$52)),IF(AND(Results!$E$5="Volume",$C$54&gt;0,Results!$E$4="Fluid"),((AH37*AH$51)/(AH$54)),IF(AND(Results!$E$4="Cells",Results!$E$5="Million",$B$52="million"),((AH37*AH$51)/(AH$52)),"0")))))</f>
        <v>0</v>
      </c>
      <c r="AI90" s="20" t="str">
        <f>IF(AI37=0,"0",IF(AND(Results!$E$5="Protein",$C$53&gt;0,OR(Results!$E$4="Tissue",Results!$E$4="Cells")),((AI37*AI$51)/(AI$53)),IF(AND(Results!$E$5="Weight",$C$52&gt;0, Results!$E$4="Tissue",OR($B$52="g",$B$52="mg")),((AI37*AI$51)/(AI$52)),IF(AND(Results!$E$5="Volume",$C$54&gt;0,Results!$E$4="Fluid"),((AI37*AI$51)/(AI$54)),IF(AND(Results!$E$4="Cells",Results!$E$5="Million",$B$52="million"),((AI37*AI$51)/(AI$52)),"0")))))</f>
        <v>0</v>
      </c>
      <c r="AJ90" s="20" t="str">
        <f>IF(AJ37=0,"0",IF(AND(Results!$E$5="Protein",$C$53&gt;0,OR(Results!$E$4="Tissue",Results!$E$4="Cells")),((AJ37*AJ$51)/(AJ$53)),IF(AND(Results!$E$5="Weight",$C$52&gt;0, Results!$E$4="Tissue",OR($B$52="g",$B$52="mg")),((AJ37*AJ$51)/(AJ$52)),IF(AND(Results!$E$5="Volume",$C$54&gt;0,Results!$E$4="Fluid"),((AJ37*AJ$51)/(AJ$54)),IF(AND(Results!$E$4="Cells",Results!$E$5="Million",$B$52="million"),((AJ37*AJ$51)/(AJ$52)),"0")))))</f>
        <v>0</v>
      </c>
      <c r="AK90" s="20" t="str">
        <f>IF(AK37=0,"0",IF(AND(Results!$E$5="Protein",$C$53&gt;0,OR(Results!$E$4="Tissue",Results!$E$4="Cells")),((AK37*AK$51)/(AK$53)),IF(AND(Results!$E$5="Weight",$C$52&gt;0, Results!$E$4="Tissue",OR($B$52="g",$B$52="mg")),((AK37*AK$51)/(AK$52)),IF(AND(Results!$E$5="Volume",$C$54&gt;0,Results!$E$4="Fluid"),((AK37*AK$51)/(AK$54)),IF(AND(Results!$E$4="Cells",Results!$E$5="Million",$B$52="million"),((AK37*AK$51)/(AK$52)),"0")))))</f>
        <v>0</v>
      </c>
      <c r="AL90" s="20" t="str">
        <f>IF(AL37=0,"0",IF(AND(Results!$E$5="Protein",$C$53&gt;0,OR(Results!$E$4="Tissue",Results!$E$4="Cells")),((AL37*AL$51)/(AL$53)),IF(AND(Results!$E$5="Weight",$C$52&gt;0, Results!$E$4="Tissue",OR($B$52="g",$B$52="mg")),((AL37*AL$51)/(AL$52)),IF(AND(Results!$E$5="Volume",$C$54&gt;0,Results!$E$4="Fluid"),((AL37*AL$51)/(AL$54)),IF(AND(Results!$E$4="Cells",Results!$E$5="Million",$B$52="million"),((AL37*AL$51)/(AL$52)),"0")))))</f>
        <v>0</v>
      </c>
      <c r="AM90" s="20" t="str">
        <f>IF(AM37=0,"0",IF(AND(Results!$E$5="Protein",$C$53&gt;0,OR(Results!$E$4="Tissue",Results!$E$4="Cells")),((AM37*AM$51)/(AM$53)),IF(AND(Results!$E$5="Weight",$C$52&gt;0, Results!$E$4="Tissue",OR($B$52="g",$B$52="mg")),((AM37*AM$51)/(AM$52)),IF(AND(Results!$E$5="Volume",$C$54&gt;0,Results!$E$4="Fluid"),((AM37*AM$51)/(AM$54)),IF(AND(Results!$E$4="Cells",Results!$E$5="Million",$B$52="million"),((AM37*AM$51)/(AM$52)),"0")))))</f>
        <v>0</v>
      </c>
      <c r="AN90" s="20" t="str">
        <f>IF(AN37=0,"0",IF(AND(Results!$E$5="Protein",$C$53&gt;0,OR(Results!$E$4="Tissue",Results!$E$4="Cells")),((AN37*AN$51)/(AN$53)),IF(AND(Results!$E$5="Weight",$C$52&gt;0, Results!$E$4="Tissue",OR($B$52="g",$B$52="mg")),((AN37*AN$51)/(AN$52)),IF(AND(Results!$E$5="Volume",$C$54&gt;0,Results!$E$4="Fluid"),((AN37*AN$51)/(AN$54)),IF(AND(Results!$E$4="Cells",Results!$E$5="Million",$B$52="million"),((AN37*AN$51)/(AN$52)),"0")))))</f>
        <v>0</v>
      </c>
      <c r="AO90" s="20" t="str">
        <f>IF(AO37=0,"0",IF(AND(Results!$E$5="Protein",$C$53&gt;0,OR(Results!$E$4="Tissue",Results!$E$4="Cells")),((AO37*AO$51)/(AO$53)),IF(AND(Results!$E$5="Weight",$C$52&gt;0, Results!$E$4="Tissue",OR($B$52="g",$B$52="mg")),((AO37*AO$51)/(AO$52)),IF(AND(Results!$E$5="Volume",$C$54&gt;0,Results!$E$4="Fluid"),((AO37*AO$51)/(AO$54)),IF(AND(Results!$E$4="Cells",Results!$E$5="Million",$B$52="million"),((AO37*AO$51)/(AO$52)),"0")))))</f>
        <v>0</v>
      </c>
      <c r="AP90" s="20" t="str">
        <f>IF(AP37=0,"0",IF(AND(Results!$E$5="Protein",$C$53&gt;0,OR(Results!$E$4="Tissue",Results!$E$4="Cells")),((AP37*AP$51)/(AP$53)),IF(AND(Results!$E$5="Weight",$C$52&gt;0, Results!$E$4="Tissue",OR($B$52="g",$B$52="mg")),((AP37*AP$51)/(AP$52)),IF(AND(Results!$E$5="Volume",$C$54&gt;0,Results!$E$4="Fluid"),((AP37*AP$51)/(AP$54)),IF(AND(Results!$E$4="Cells",Results!$E$5="Million",$B$52="million"),((AP37*AP$51)/(AP$52)),"0")))))</f>
        <v>0</v>
      </c>
      <c r="AQ90" s="20" t="str">
        <f>IF(AQ37=0,"0",IF(AND(Results!$E$5="Protein",$C$53&gt;0,OR(Results!$E$4="Tissue",Results!$E$4="Cells")),((AQ37*AQ$51)/(AQ$53)),IF(AND(Results!$E$5="Weight",$C$52&gt;0, Results!$E$4="Tissue",OR($B$52="g",$B$52="mg")),((AQ37*AQ$51)/(AQ$52)),IF(AND(Results!$E$5="Volume",$C$54&gt;0,Results!$E$4="Fluid"),((AQ37*AQ$51)/(AQ$54)),IF(AND(Results!$E$4="Cells",Results!$E$5="Million",$B$52="million"),((AQ37*AQ$51)/(AQ$52)),"0")))))</f>
        <v>0</v>
      </c>
      <c r="AR90" s="20" t="str">
        <f>IF(AR37=0,"0",IF(AND(Results!$E$5="Protein",$C$53&gt;0,OR(Results!$E$4="Tissue",Results!$E$4="Cells")),((AR37*AR$51)/(AR$53)),IF(AND(Results!$E$5="Weight",$C$52&gt;0, Results!$E$4="Tissue",OR($B$52="g",$B$52="mg")),((AR37*AR$51)/(AR$52)),IF(AND(Results!$E$5="Volume",$C$54&gt;0,Results!$E$4="Fluid"),((AR37*AR$51)/(AR$54)),IF(AND(Results!$E$4="Cells",Results!$E$5="Million",$B$52="million"),((AR37*AR$51)/(AR$52)),"0")))))</f>
        <v>0</v>
      </c>
      <c r="AS90" s="20" t="str">
        <f>IF(AS37=0,"0",IF(AND(Results!$E$5="Protein",$C$53&gt;0,OR(Results!$E$4="Tissue",Results!$E$4="Cells")),((AS37*AS$51)/(AS$53)),IF(AND(Results!$E$5="Weight",$C$52&gt;0, Results!$E$4="Tissue",OR($B$52="g",$B$52="mg")),((AS37*AS$51)/(AS$52)),IF(AND(Results!$E$5="Volume",$C$54&gt;0,Results!$E$4="Fluid"),((AS37*AS$51)/(AS$54)),IF(AND(Results!$E$4="Cells",Results!$E$5="Million",$B$52="million"),((AS37*AS$51)/(AS$52)),"0")))))</f>
        <v>0</v>
      </c>
      <c r="AT90" s="20" t="str">
        <f>IF(AT37=0,"0",IF(AND(Results!$E$5="Protein",$C$53&gt;0,OR(Results!$E$4="Tissue",Results!$E$4="Cells")),((AT37*AT$51)/(AT$53)),IF(AND(Results!$E$5="Weight",$C$52&gt;0, Results!$E$4="Tissue",OR($B$52="g",$B$52="mg")),((AT37*AT$51)/(AT$52)),IF(AND(Results!$E$5="Volume",$C$54&gt;0,Results!$E$4="Fluid"),((AT37*AT$51)/(AT$54)),IF(AND(Results!$E$4="Cells",Results!$E$5="Million",$B$52="million"),((AT37*AT$51)/(AT$52)),"0")))))</f>
        <v>0</v>
      </c>
      <c r="AU90" s="20" t="str">
        <f>IF(AU37=0,"0",IF(AND(Results!$E$5="Protein",$C$53&gt;0,OR(Results!$E$4="Tissue",Results!$E$4="Cells")),((AU37*AU$51)/(AU$53)),IF(AND(Results!$E$5="Weight",$C$52&gt;0, Results!$E$4="Tissue",OR($B$52="g",$B$52="mg")),((AU37*AU$51)/(AU$52)),IF(AND(Results!$E$5="Volume",$C$54&gt;0,Results!$E$4="Fluid"),((AU37*AU$51)/(AU$54)),IF(AND(Results!$E$4="Cells",Results!$E$5="Million",$B$52="million"),((AU37*AU$51)/(AU$52)),"0")))))</f>
        <v>0</v>
      </c>
      <c r="AV90" s="20" t="str">
        <f>IF(AV37=0,"0",IF(AND(Results!$E$5="Protein",$C$53&gt;0,OR(Results!$E$4="Tissue",Results!$E$4="Cells")),((AV37*AV$51)/(AV$53)),IF(AND(Results!$E$5="Weight",$C$52&gt;0, Results!$E$4="Tissue",OR($B$52="g",$B$52="mg")),((AV37*AV$51)/(AV$52)),IF(AND(Results!$E$5="Volume",$C$54&gt;0,Results!$E$4="Fluid"),((AV37*AV$51)/(AV$54)),IF(AND(Results!$E$4="Cells",Results!$E$5="Million",$B$52="million"),((AV37*AV$51)/(AV$52)),"0")))))</f>
        <v>0</v>
      </c>
      <c r="AW90" s="20" t="str">
        <f>IF(AW37=0,"0",IF(AND(Results!$E$5="Protein",$C$53&gt;0,OR(Results!$E$4="Tissue",Results!$E$4="Cells")),((AW37*AW$51)/(AW$53)),IF(AND(Results!$E$5="Weight",$C$52&gt;0, Results!$E$4="Tissue",OR($B$52="g",$B$52="mg")),((AW37*AW$51)/(AW$52)),IF(AND(Results!$E$5="Volume",$C$54&gt;0,Results!$E$4="Fluid"),((AW37*AW$51)/(AW$54)),IF(AND(Results!$E$4="Cells",Results!$E$5="Million",$B$52="million"),((AW37*AW$51)/(AW$52)),"0")))))</f>
        <v>0</v>
      </c>
      <c r="AX90" s="20" t="str">
        <f>IF(AX37=0,"0",IF(AND(Results!$E$5="Protein",$C$53&gt;0,OR(Results!$E$4="Tissue",Results!$E$4="Cells")),((AX37*AX$51)/(AX$53)),IF(AND(Results!$E$5="Weight",$C$52&gt;0, Results!$E$4="Tissue",OR($B$52="g",$B$52="mg")),((AX37*AX$51)/(AX$52)),IF(AND(Results!$E$5="Volume",$C$54&gt;0,Results!$E$4="Fluid"),((AX37*AX$51)/(AX$54)),IF(AND(Results!$E$4="Cells",Results!$E$5="Million",$B$52="million"),((AX37*AX$51)/(AX$52)),"0")))))</f>
        <v>0</v>
      </c>
      <c r="AY90" s="20" t="str">
        <f>IF(AY37=0,"0",IF(AND(Results!$E$5="Protein",$C$53&gt;0,OR(Results!$E$4="Tissue",Results!$E$4="Cells")),((AY37*AY$51)/(AY$53)),IF(AND(Results!$E$5="Weight",$C$52&gt;0, Results!$E$4="Tissue",OR($B$52="g",$B$52="mg")),((AY37*AY$51)/(AY$52)),IF(AND(Results!$E$5="Volume",$C$54&gt;0,Results!$E$4="Fluid"),((AY37*AY$51)/(AY$54)),IF(AND(Results!$E$4="Cells",Results!$E$5="Million",$B$52="million"),((AY37*AY$51)/(AY$52)),"0")))))</f>
        <v>0</v>
      </c>
      <c r="AZ90" s="20" t="str">
        <f>IF(AZ37=0,"0",IF(AND(Results!$E$5="Protein",$C$53&gt;0,OR(Results!$E$4="Tissue",Results!$E$4="Cells")),((AZ37*AZ$51)/(AZ$53)),IF(AND(Results!$E$5="Weight",$C$52&gt;0, Results!$E$4="Tissue",OR($B$52="g",$B$52="mg")),((AZ37*AZ$51)/(AZ$52)),IF(AND(Results!$E$5="Volume",$C$54&gt;0,Results!$E$4="Fluid"),((AZ37*AZ$51)/(AZ$54)),IF(AND(Results!$E$4="Cells",Results!$E$5="Million",$B$52="million"),((AZ37*AZ$51)/(AZ$52)),"0")))))</f>
        <v>0</v>
      </c>
      <c r="BA90" s="20" t="str">
        <f>IF(BA37=0,"0",IF(AND(Results!$E$5="Protein",$C$53&gt;0,OR(Results!$E$4="Tissue",Results!$E$4="Cells")),((BA37*BA$51)/(BA$53)),IF(AND(Results!$E$5="Weight",$C$52&gt;0, Results!$E$4="Tissue",OR($B$52="g",$B$52="mg")),((BA37*BA$51)/(BA$52)),IF(AND(Results!$E$5="Volume",$C$54&gt;0,Results!$E$4="Fluid"),((BA37*BA$51)/(BA$54)),IF(AND(Results!$E$4="Cells",Results!$E$5="Million",$B$52="million"),((BA37*BA$51)/(BA$52)),"0")))))</f>
        <v>0</v>
      </c>
      <c r="BB90" s="20" t="str">
        <f>IF(BB37=0,"0",IF(AND(Results!$E$5="Protein",$C$53&gt;0,OR(Results!$E$4="Tissue",Results!$E$4="Cells")),((BB37*BB$51)/(BB$53)),IF(AND(Results!$E$5="Weight",$C$52&gt;0, Results!$E$4="Tissue",OR($B$52="g",$B$52="mg")),((BB37*BB$51)/(BB$52)),IF(AND(Results!$E$5="Volume",$C$54&gt;0,Results!$E$4="Fluid"),((BB37*BB$51)/(BB$54)),IF(AND(Results!$E$4="Cells",Results!$E$5="Million",$B$52="million"),((BB37*BB$51)/(BB$52)),"0")))))</f>
        <v>0</v>
      </c>
      <c r="BC90" s="20" t="str">
        <f>IF(BC37=0,"0",IF(AND(Results!$E$5="Protein",$C$53&gt;0,OR(Results!$E$4="Tissue",Results!$E$4="Cells")),((BC37*BC$51)/(BC$53)),IF(AND(Results!$E$5="Weight",$C$52&gt;0, Results!$E$4="Tissue",OR($B$52="g",$B$52="mg")),((BC37*BC$51)/(BC$52)),IF(AND(Results!$E$5="Volume",$C$54&gt;0,Results!$E$4="Fluid"),((BC37*BC$51)/(BC$54)),IF(AND(Results!$E$4="Cells",Results!$E$5="Million",$B$52="million"),((BC37*BC$51)/(BC$52)),"0")))))</f>
        <v>0</v>
      </c>
      <c r="BD90" s="20" t="str">
        <f>IF(BD37=0,"0",IF(AND(Results!$E$5="Protein",$C$53&gt;0,OR(Results!$E$4="Tissue",Results!$E$4="Cells")),((BD37*BD$51)/(BD$53)),IF(AND(Results!$E$5="Weight",$C$52&gt;0, Results!$E$4="Tissue",OR($B$52="g",$B$52="mg")),((BD37*BD$51)/(BD$52)),IF(AND(Results!$E$5="Volume",$C$54&gt;0,Results!$E$4="Fluid"),((BD37*BD$51)/(BD$54)),IF(AND(Results!$E$4="Cells",Results!$E$5="Million",$B$52="million"),((BD37*BD$51)/(BD$52)),"0")))))</f>
        <v>0</v>
      </c>
      <c r="BE90" s="20" t="str">
        <f>IF(BE37=0,"0",IF(AND(Results!$E$5="Protein",$C$53&gt;0,OR(Results!$E$4="Tissue",Results!$E$4="Cells")),((BE37*BE$51)/(BE$53)),IF(AND(Results!$E$5="Weight",$C$52&gt;0, Results!$E$4="Tissue",OR($B$52="g",$B$52="mg")),((BE37*BE$51)/(BE$52)),IF(AND(Results!$E$5="Volume",$C$54&gt;0,Results!$E$4="Fluid"),((BE37*BE$51)/(BE$54)),IF(AND(Results!$E$4="Cells",Results!$E$5="Million",$B$52="million"),((BE37*BE$51)/(BE$52)),"0")))))</f>
        <v>0</v>
      </c>
      <c r="BF90" s="20" t="str">
        <f>IF(BF37=0,"0",IF(AND(Results!$E$5="Protein",$C$53&gt;0,OR(Results!$E$4="Tissue",Results!$E$4="Cells")),((BF37*BF$51)/(BF$53)),IF(AND(Results!$E$5="Weight",$C$52&gt;0, Results!$E$4="Tissue",OR($B$52="g",$B$52="mg")),((BF37*BF$51)/(BF$52)),IF(AND(Results!$E$5="Volume",$C$54&gt;0,Results!$E$4="Fluid"),((BF37*BF$51)/(BF$54)),IF(AND(Results!$E$4="Cells",Results!$E$5="Million",$B$52="million"),((BF37*BF$51)/(BF$52)),"0")))))</f>
        <v>0</v>
      </c>
      <c r="BG90" s="20" t="str">
        <f>IF(BG37=0,"0",IF(AND(Results!$E$5="Protein",$C$53&gt;0,OR(Results!$E$4="Tissue",Results!$E$4="Cells")),((BG37*BG$51)/(BG$53)),IF(AND(Results!$E$5="Weight",$C$52&gt;0, Results!$E$4="Tissue",OR($B$52="g",$B$52="mg")),((BG37*BG$51)/(BG$52)),IF(AND(Results!$E$5="Volume",$C$54&gt;0,Results!$E$4="Fluid"),((BG37*BG$51)/(BG$54)),IF(AND(Results!$E$4="Cells",Results!$E$5="Million",$B$52="million"),((BG37*BG$51)/(BG$52)),"0")))))</f>
        <v>0</v>
      </c>
      <c r="BH90" s="20" t="str">
        <f>IF(BH37=0,"0",IF(AND(Results!$E$5="Protein",$C$53&gt;0,OR(Results!$E$4="Tissue",Results!$E$4="Cells")),((BH37*BH$51)/(BH$53)),IF(AND(Results!$E$5="Weight",$C$52&gt;0, Results!$E$4="Tissue",OR($B$52="g",$B$52="mg")),((BH37*BH$51)/(BH$52)),IF(AND(Results!$E$5="Volume",$C$54&gt;0,Results!$E$4="Fluid"),((BH37*BH$51)/(BH$54)),IF(AND(Results!$E$4="Cells",Results!$E$5="Million",$B$52="million"),((BH37*BH$51)/(BH$52)),"0")))))</f>
        <v>0</v>
      </c>
      <c r="BI90" s="20" t="str">
        <f>IF(BI37=0,"0",IF(AND(Results!$E$5="Protein",$C$53&gt;0,OR(Results!$E$4="Tissue",Results!$E$4="Cells")),((BI37*BI$51)/(BI$53)),IF(AND(Results!$E$5="Weight",$C$52&gt;0, Results!$E$4="Tissue",OR($B$52="g",$B$52="mg")),((BI37*BI$51)/(BI$52)),IF(AND(Results!$E$5="Volume",$C$54&gt;0,Results!$E$4="Fluid"),((BI37*BI$51)/(BI$54)),IF(AND(Results!$E$4="Cells",Results!$E$5="Million",$B$52="million"),((BI37*BI$51)/(BI$52)),"0")))))</f>
        <v>0</v>
      </c>
      <c r="BJ90" s="20" t="str">
        <f>IF(BJ37=0,"0",IF(AND(Results!$E$5="Protein",$C$53&gt;0,OR(Results!$E$4="Tissue",Results!$E$4="Cells")),((BJ37*BJ$51)/(BJ$53)),IF(AND(Results!$E$5="Weight",$C$52&gt;0, Results!$E$4="Tissue",OR($B$52="g",$B$52="mg")),((BJ37*BJ$51)/(BJ$52)),IF(AND(Results!$E$5="Volume",$C$54&gt;0,Results!$E$4="Fluid"),((BJ37*BJ$51)/(BJ$54)),IF(AND(Results!$E$4="Cells",Results!$E$5="Million",$B$52="million"),((BJ37*BJ$51)/(BJ$52)),"0")))))</f>
        <v>0</v>
      </c>
      <c r="BK90" s="20" t="str">
        <f>IF(BK37=0,"0",IF(AND(Results!$E$5="Protein",$C$53&gt;0,OR(Results!$E$4="Tissue",Results!$E$4="Cells")),((BK37*BK$51)/(BK$53)),IF(AND(Results!$E$5="Weight",$C$52&gt;0, Results!$E$4="Tissue",OR($B$52="g",$B$52="mg")),((BK37*BK$51)/(BK$52)),IF(AND(Results!$E$5="Volume",$C$54&gt;0,Results!$E$4="Fluid"),((BK37*BK$51)/(BK$54)),IF(AND(Results!$E$4="Cells",Results!$E$5="Million",$B$52="million"),((BK37*BK$51)/(BK$52)),"0")))))</f>
        <v>0</v>
      </c>
      <c r="BL90" s="20" t="str">
        <f>IF(BL37=0,"0",IF(AND(Results!$E$5="Protein",$C$53&gt;0,OR(Results!$E$4="Tissue",Results!$E$4="Cells")),((BL37*BL$51)/(BL$53)),IF(AND(Results!$E$5="Weight",$C$52&gt;0, Results!$E$4="Tissue",OR($B$52="g",$B$52="mg")),((BL37*BL$51)/(BL$52)),IF(AND(Results!$E$5="Volume",$C$54&gt;0,Results!$E$4="Fluid"),((BL37*BL$51)/(BL$54)),IF(AND(Results!$E$4="Cells",Results!$E$5="Million",$B$52="million"),((BL37*BL$51)/(BL$52)),"0")))))</f>
        <v>0</v>
      </c>
      <c r="BM90" s="20" t="str">
        <f>IF(BM37=0,"0",IF(AND(Results!$E$5="Protein",$C$53&gt;0,OR(Results!$E$4="Tissue",Results!$E$4="Cells")),((BM37*BM$51)/(BM$53)),IF(AND(Results!$E$5="Weight",$C$52&gt;0, Results!$E$4="Tissue",OR($B$52="g",$B$52="mg")),((BM37*BM$51)/(BM$52)),IF(AND(Results!$E$5="Volume",$C$54&gt;0,Results!$E$4="Fluid"),((BM37*BM$51)/(BM$54)),IF(AND(Results!$E$4="Cells",Results!$E$5="Million",$B$52="million"),((BM37*BM$51)/(BM$52)),"0")))))</f>
        <v>0</v>
      </c>
      <c r="BN90" s="20" t="str">
        <f>IF(BN37=0,"0",IF(AND(Results!$E$5="Protein",$C$53&gt;0,OR(Results!$E$4="Tissue",Results!$E$4="Cells")),((BN37*BN$51)/(BN$53)),IF(AND(Results!$E$5="Weight",$C$52&gt;0, Results!$E$4="Tissue",OR($B$52="g",$B$52="mg")),((BN37*BN$51)/(BN$52)),IF(AND(Results!$E$5="Volume",$C$54&gt;0,Results!$E$4="Fluid"),((BN37*BN$51)/(BN$54)),IF(AND(Results!$E$4="Cells",Results!$E$5="Million",$B$52="million"),((BN37*BN$51)/(BN$52)),"0")))))</f>
        <v>0</v>
      </c>
      <c r="BO90" s="20" t="str">
        <f>IF(BO37=0,"0",IF(AND(Results!$E$5="Protein",$C$53&gt;0,OR(Results!$E$4="Tissue",Results!$E$4="Cells")),((BO37*BO$51)/(BO$53)),IF(AND(Results!$E$5="Weight",$C$52&gt;0, Results!$E$4="Tissue",OR($B$52="g",$B$52="mg")),((BO37*BO$51)/(BO$52)),IF(AND(Results!$E$5="Volume",$C$54&gt;0,Results!$E$4="Fluid"),((BO37*BO$51)/(BO$54)),IF(AND(Results!$E$4="Cells",Results!$E$5="Million",$B$52="million"),((BO37*BO$51)/(BO$52)),"0")))))</f>
        <v>0</v>
      </c>
      <c r="BP90" s="20" t="str">
        <f>IF(BP37=0,"0",IF(AND(Results!$E$5="Protein",$C$53&gt;0,OR(Results!$E$4="Tissue",Results!$E$4="Cells")),((BP37*BP$51)/(BP$53)),IF(AND(Results!$E$5="Weight",$C$52&gt;0, Results!$E$4="Tissue",OR($B$52="g",$B$52="mg")),((BP37*BP$51)/(BP$52)),IF(AND(Results!$E$5="Volume",$C$54&gt;0,Results!$E$4="Fluid"),((BP37*BP$51)/(BP$54)),IF(AND(Results!$E$4="Cells",Results!$E$5="Million",$B$52="million"),((BP37*BP$51)/(BP$52)),"0")))))</f>
        <v>0</v>
      </c>
      <c r="BQ90" s="20" t="str">
        <f>IF(BQ37=0,"0",IF(AND(Results!$E$5="Protein",$C$53&gt;0,OR(Results!$E$4="Tissue",Results!$E$4="Cells")),((BQ37*BQ$51)/(BQ$53)),IF(AND(Results!$E$5="Weight",$C$52&gt;0, Results!$E$4="Tissue",OR($B$52="g",$B$52="mg")),((BQ37*BQ$51)/(BQ$52)),IF(AND(Results!$E$5="Volume",$C$54&gt;0,Results!$E$4="Fluid"),((BQ37*BQ$51)/(BQ$54)),IF(AND(Results!$E$4="Cells",Results!$E$5="Million",$B$52="million"),((BQ37*BQ$51)/(BQ$52)),"0")))))</f>
        <v>0</v>
      </c>
      <c r="BR90" s="20" t="str">
        <f>IF(BR37=0,"0",IF(AND(Results!$E$5="Protein",$C$53&gt;0,OR(Results!$E$4="Tissue",Results!$E$4="Cells")),((BR37*BR$51)/(BR$53)),IF(AND(Results!$E$5="Weight",$C$52&gt;0, Results!$E$4="Tissue",OR($B$52="g",$B$52="mg")),((BR37*BR$51)/(BR$52)),IF(AND(Results!$E$5="Volume",$C$54&gt;0,Results!$E$4="Fluid"),((BR37*BR$51)/(BR$54)),IF(AND(Results!$E$4="Cells",Results!$E$5="Million",$B$52="million"),((BR37*BR$51)/(BR$52)),"0")))))</f>
        <v>0</v>
      </c>
      <c r="BS90" s="20" t="str">
        <f>IF(BS37=0,"0",IF(AND(Results!$E$5="Protein",$C$53&gt;0,OR(Results!$E$4="Tissue",Results!$E$4="Cells")),((BS37*BS$51)/(BS$53)),IF(AND(Results!$E$5="Weight",$C$52&gt;0, Results!$E$4="Tissue",OR($B$52="g",$B$52="mg")),((BS37*BS$51)/(BS$52)),IF(AND(Results!$E$5="Volume",$C$54&gt;0,Results!$E$4="Fluid"),((BS37*BS$51)/(BS$54)),IF(AND(Results!$E$4="Cells",Results!$E$5="Million",$B$52="million"),((BS37*BS$51)/(BS$52)),"0")))))</f>
        <v>0</v>
      </c>
      <c r="BT90" s="20" t="str">
        <f>IF(BT37=0,"0",IF(AND(Results!$E$5="Protein",$C$53&gt;0,OR(Results!$E$4="Tissue",Results!$E$4="Cells")),((BT37*BT$51)/(BT$53)),IF(AND(Results!$E$5="Weight",$C$52&gt;0, Results!$E$4="Tissue",OR($B$52="g",$B$52="mg")),((BT37*BT$51)/(BT$52)),IF(AND(Results!$E$5="Volume",$C$54&gt;0,Results!$E$4="Fluid"),((BT37*BT$51)/(BT$54)),IF(AND(Results!$E$4="Cells",Results!$E$5="Million",$B$52="million"),((BT37*BT$51)/(BT$52)),"0")))))</f>
        <v>0</v>
      </c>
      <c r="BU90" s="20" t="str">
        <f>IF(BU37=0,"0",IF(AND(Results!$E$5="Protein",$C$53&gt;0,OR(Results!$E$4="Tissue",Results!$E$4="Cells")),((BU37*BU$51)/(BU$53)),IF(AND(Results!$E$5="Weight",$C$52&gt;0, Results!$E$4="Tissue",OR($B$52="g",$B$52="mg")),((BU37*BU$51)/(BU$52)),IF(AND(Results!$E$5="Volume",$C$54&gt;0,Results!$E$4="Fluid"),((BU37*BU$51)/(BU$54)),IF(AND(Results!$E$4="Cells",Results!$E$5="Million",$B$52="million"),((BU37*BU$51)/(BU$52)),"0")))))</f>
        <v>0</v>
      </c>
      <c r="BV90" s="20" t="str">
        <f>IF(BV37=0,"0",IF(AND(Results!$E$5="Protein",$C$53&gt;0,OR(Results!$E$4="Tissue",Results!$E$4="Cells")),((BV37*BV$51)/(BV$53)),IF(AND(Results!$E$5="Weight",$C$52&gt;0, Results!$E$4="Tissue",OR($B$52="g",$B$52="mg")),((BV37*BV$51)/(BV$52)),IF(AND(Results!$E$5="Volume",$C$54&gt;0,Results!$E$4="Fluid"),((BV37*BV$51)/(BV$54)),IF(AND(Results!$E$4="Cells",Results!$E$5="Million",$B$52="million"),((BV37*BV$51)/(BV$52)),"0")))))</f>
        <v>0</v>
      </c>
      <c r="BW90" s="20" t="str">
        <f>IF(BW37=0,"0",IF(AND(Results!$E$5="Protein",$C$53&gt;0,OR(Results!$E$4="Tissue",Results!$E$4="Cells")),((BW37*BW$51)/(BW$53)),IF(AND(Results!$E$5="Weight",$C$52&gt;0, Results!$E$4="Tissue",OR($B$52="g",$B$52="mg")),((BW37*BW$51)/(BW$52)),IF(AND(Results!$E$5="Volume",$C$54&gt;0,Results!$E$4="Fluid"),((BW37*BW$51)/(BW$54)),IF(AND(Results!$E$4="Cells",Results!$E$5="Million",$B$52="million"),((BW37*BW$51)/(BW$52)),"0")))))</f>
        <v>0</v>
      </c>
      <c r="BX90" s="20" t="str">
        <f>IF(BX37=0,"0",IF(AND(Results!$E$5="Protein",$C$53&gt;0,OR(Results!$E$4="Tissue",Results!$E$4="Cells")),((BX37*BX$51)/(BX$53)),IF(AND(Results!$E$5="Weight",$C$52&gt;0, Results!$E$4="Tissue",OR($B$52="g",$B$52="mg")),((BX37*BX$51)/(BX$52)),IF(AND(Results!$E$5="Volume",$C$54&gt;0,Results!$E$4="Fluid"),((BX37*BX$51)/(BX$54)),IF(AND(Results!$E$4="Cells",Results!$E$5="Million",$B$52="million"),((BX37*BX$51)/(BX$52)),"0")))))</f>
        <v>0</v>
      </c>
      <c r="BY90" s="20" t="str">
        <f>IF(BY37=0,"0",IF(AND(Results!$E$5="Protein",$C$53&gt;0,OR(Results!$E$4="Tissue",Results!$E$4="Cells")),((BY37*BY$51)/(BY$53)),IF(AND(Results!$E$5="Weight",$C$52&gt;0, Results!$E$4="Tissue",OR($B$52="g",$B$52="mg")),((BY37*BY$51)/(BY$52)),IF(AND(Results!$E$5="Volume",$C$54&gt;0,Results!$E$4="Fluid"),((BY37*BY$51)/(BY$54)),IF(AND(Results!$E$4="Cells",Results!$E$5="Million",$B$52="million"),((BY37*BY$51)/(BY$52)),"0")))))</f>
        <v>0</v>
      </c>
      <c r="BZ90" s="20" t="str">
        <f>IF(BZ37=0,"0",IF(AND(Results!$E$5="Protein",$C$53&gt;0,OR(Results!$E$4="Tissue",Results!$E$4="Cells")),((BZ37*BZ$51)/(BZ$53)),IF(AND(Results!$E$5="Weight",$C$52&gt;0, Results!$E$4="Tissue",OR($B$52="g",$B$52="mg")),((BZ37*BZ$51)/(BZ$52)),IF(AND(Results!$E$5="Volume",$C$54&gt;0,Results!$E$4="Fluid"),((BZ37*BZ$51)/(BZ$54)),IF(AND(Results!$E$4="Cells",Results!$E$5="Million",$B$52="million"),((BZ37*BZ$51)/(BZ$52)),"0")))))</f>
        <v>0</v>
      </c>
      <c r="CA90" s="20" t="str">
        <f>IF(CA37=0,"0",IF(AND(Results!$E$5="Protein",$C$53&gt;0,OR(Results!$E$4="Tissue",Results!$E$4="Cells")),((CA37*CA$51)/(CA$53)),IF(AND(Results!$E$5="Weight",$C$52&gt;0, Results!$E$4="Tissue",OR($B$52="g",$B$52="mg")),((CA37*CA$51)/(CA$52)),IF(AND(Results!$E$5="Volume",$C$54&gt;0,Results!$E$4="Fluid"),((CA37*CA$51)/(CA$54)),IF(AND(Results!$E$4="Cells",Results!$E$5="Million",$B$52="million"),((CA37*CA$51)/(CA$52)),"0")))))</f>
        <v>0</v>
      </c>
      <c r="CB90" s="20" t="str">
        <f>IF(CB37=0,"0",IF(AND(Results!$E$5="Protein",$C$53&gt;0,OR(Results!$E$4="Tissue",Results!$E$4="Cells")),((CB37*CB$51)/(CB$53)),IF(AND(Results!$E$5="Weight",$C$52&gt;0, Results!$E$4="Tissue",OR($B$52="g",$B$52="mg")),((CB37*CB$51)/(CB$52)),IF(AND(Results!$E$5="Volume",$C$54&gt;0,Results!$E$4="Fluid"),((CB37*CB$51)/(CB$54)),IF(AND(Results!$E$4="Cells",Results!$E$5="Million",$B$52="million"),((CB37*CB$51)/(CB$52)),"0")))))</f>
        <v>0</v>
      </c>
      <c r="CC90" s="20" t="str">
        <f>IF(CC37=0,"0",IF(AND(Results!$E$5="Protein",$C$53&gt;0,OR(Results!$E$4="Tissue",Results!$E$4="Cells")),((CC37*CC$51)/(CC$53)),IF(AND(Results!$E$5="Weight",$C$52&gt;0, Results!$E$4="Tissue",OR($B$52="g",$B$52="mg")),((CC37*CC$51)/(CC$52)),IF(AND(Results!$E$5="Volume",$C$54&gt;0,Results!$E$4="Fluid"),((CC37*CC$51)/(CC$54)),IF(AND(Results!$E$4="Cells",Results!$E$5="Million",$B$52="million"),((CC37*CC$51)/(CC$52)),"0")))))</f>
        <v>0</v>
      </c>
      <c r="CD90" s="20" t="str">
        <f>IF(CD37=0,"0",IF(AND(Results!$E$5="Protein",$C$53&gt;0,OR(Results!$E$4="Tissue",Results!$E$4="Cells")),((CD37*CD$51)/(CD$53)),IF(AND(Results!$E$5="Weight",$C$52&gt;0, Results!$E$4="Tissue",OR($B$52="g",$B$52="mg")),((CD37*CD$51)/(CD$52)),IF(AND(Results!$E$5="Volume",$C$54&gt;0,Results!$E$4="Fluid"),((CD37*CD$51)/(CD$54)),IF(AND(Results!$E$4="Cells",Results!$E$5="Million",$B$52="million"),((CD37*CD$51)/(CD$52)),"0")))))</f>
        <v>0</v>
      </c>
      <c r="CE90" s="20" t="str">
        <f>IF(CE37=0,"0",IF(AND(Results!$E$5="Protein",$C$53&gt;0,OR(Results!$E$4="Tissue",Results!$E$4="Cells")),((CE37*CE$51)/(CE$53)),IF(AND(Results!$E$5="Weight",$C$52&gt;0, Results!$E$4="Tissue",OR($B$52="g",$B$52="mg")),((CE37*CE$51)/(CE$52)),IF(AND(Results!$E$5="Volume",$C$54&gt;0,Results!$E$4="Fluid"),((CE37*CE$51)/(CE$54)),IF(AND(Results!$E$4="Cells",Results!$E$5="Million",$B$52="million"),((CE37*CE$51)/(CE$52)),"0")))))</f>
        <v>0</v>
      </c>
      <c r="CF90" s="20" t="str">
        <f>IF(CF37=0,"0",IF(AND(Results!$E$5="Protein",$C$53&gt;0,OR(Results!$E$4="Tissue",Results!$E$4="Cells")),((CF37*CF$51)/(CF$53)),IF(AND(Results!$E$5="Weight",$C$52&gt;0, Results!$E$4="Tissue",OR($B$52="g",$B$52="mg")),((CF37*CF$51)/(CF$52)),IF(AND(Results!$E$5="Volume",$C$54&gt;0,Results!$E$4="Fluid"),((CF37*CF$51)/(CF$54)),IF(AND(Results!$E$4="Cells",Results!$E$5="Million",$B$52="million"),((CF37*CF$51)/(CF$52)),"0")))))</f>
        <v>0</v>
      </c>
      <c r="CG90" s="20" t="str">
        <f>IF(CG37=0,"0",IF(AND(Results!$E$5="Protein",$C$53&gt;0,OR(Results!$E$4="Tissue",Results!$E$4="Cells")),((CG37*CG$51)/(CG$53)),IF(AND(Results!$E$5="Weight",$C$52&gt;0, Results!$E$4="Tissue",OR($B$52="g",$B$52="mg")),((CG37*CG$51)/(CG$52)),IF(AND(Results!$E$5="Volume",$C$54&gt;0,Results!$E$4="Fluid"),((CG37*CG$51)/(CG$54)),IF(AND(Results!$E$4="Cells",Results!$E$5="Million",$B$52="million"),((CG37*CG$51)/(CG$52)),"0")))))</f>
        <v>0</v>
      </c>
      <c r="CH90" s="20" t="str">
        <f>IF(CH37=0,"0",IF(AND(Results!$E$5="Protein",$C$53&gt;0,OR(Results!$E$4="Tissue",Results!$E$4="Cells")),((CH37*CH$51)/(CH$53)),IF(AND(Results!$E$5="Weight",$C$52&gt;0, Results!$E$4="Tissue",OR($B$52="g",$B$52="mg")),((CH37*CH$51)/(CH$52)),IF(AND(Results!$E$5="Volume",$C$54&gt;0,Results!$E$4="Fluid"),((CH37*CH$51)/(CH$54)),IF(AND(Results!$E$4="Cells",Results!$E$5="Million",$B$52="million"),((CH37*CH$51)/(CH$52)),"0")))))</f>
        <v>0</v>
      </c>
      <c r="CI90" s="20" t="str">
        <f>IF(CI37=0,"0",IF(AND(Results!$E$5="Protein",$C$53&gt;0,OR(Results!$E$4="Tissue",Results!$E$4="Cells")),((CI37*CI$51)/(CI$53)),IF(AND(Results!$E$5="Weight",$C$52&gt;0, Results!$E$4="Tissue",OR($B$52="g",$B$52="mg")),((CI37*CI$51)/(CI$52)),IF(AND(Results!$E$5="Volume",$C$54&gt;0,Results!$E$4="Fluid"),((CI37*CI$51)/(CI$54)),IF(AND(Results!$E$4="Cells",Results!$E$5="Million",$B$52="million"),((CI37*CI$51)/(CI$52)),"0")))))</f>
        <v>0</v>
      </c>
      <c r="CJ90" s="20" t="str">
        <f>IF(CJ37=0,"0",IF(AND(Results!$E$5="Protein",$C$53&gt;0,OR(Results!$E$4="Tissue",Results!$E$4="Cells")),((CJ37*CJ$51)/(CJ$53)),IF(AND(Results!$E$5="Weight",$C$52&gt;0, Results!$E$4="Tissue",OR($B$52="g",$B$52="mg")),((CJ37*CJ$51)/(CJ$52)),IF(AND(Results!$E$5="Volume",$C$54&gt;0,Results!$E$4="Fluid"),((CJ37*CJ$51)/(CJ$54)),IF(AND(Results!$E$4="Cells",Results!$E$5="Million",$B$52="million"),((CJ37*CJ$51)/(CJ$52)),"0")))))</f>
        <v>0</v>
      </c>
      <c r="CK90" s="20" t="str">
        <f>IF(CK37=0,"0",IF(AND(Results!$E$5="Protein",$C$53&gt;0,OR(Results!$E$4="Tissue",Results!$E$4="Cells")),((CK37*CK$51)/(CK$53)),IF(AND(Results!$E$5="Weight",$C$52&gt;0, Results!$E$4="Tissue",OR($B$52="g",$B$52="mg")),((CK37*CK$51)/(CK$52)),IF(AND(Results!$E$5="Volume",$C$54&gt;0,Results!$E$4="Fluid"),((CK37*CK$51)/(CK$54)),IF(AND(Results!$E$4="Cells",Results!$E$5="Million",$B$52="million"),((CK37*CK$51)/(CK$52)),"0")))))</f>
        <v>0</v>
      </c>
      <c r="CL90" s="20" t="str">
        <f>IF(CL37=0,"0",IF(AND(Results!$E$5="Protein",$C$53&gt;0,OR(Results!$E$4="Tissue",Results!$E$4="Cells")),((CL37*CL$51)/(CL$53)),IF(AND(Results!$E$5="Weight",$C$52&gt;0, Results!$E$4="Tissue",OR($B$52="g",$B$52="mg")),((CL37*CL$51)/(CL$52)),IF(AND(Results!$E$5="Volume",$C$54&gt;0,Results!$E$4="Fluid"),((CL37*CL$51)/(CL$54)),IF(AND(Results!$E$4="Cells",Results!$E$5="Million",$B$52="million"),((CL37*CL$51)/(CL$52)),"0")))))</f>
        <v>0</v>
      </c>
      <c r="CM90" s="20" t="str">
        <f>IF(CM37=0,"0",IF(AND(Results!$E$5="Protein",$C$53&gt;0,OR(Results!$E$4="Tissue",Results!$E$4="Cells")),((CM37*CM$51)/(CM$53)),IF(AND(Results!$E$5="Weight",$C$52&gt;0, Results!$E$4="Tissue",OR($B$52="g",$B$52="mg")),((CM37*CM$51)/(CM$52)),IF(AND(Results!$E$5="Volume",$C$54&gt;0,Results!$E$4="Fluid"),((CM37*CM$51)/(CM$54)),IF(AND(Results!$E$4="Cells",Results!$E$5="Million",$B$52="million"),((CM37*CM$51)/(CM$52)),"0")))))</f>
        <v>0</v>
      </c>
      <c r="CN90" s="20" t="str">
        <f>IF(CN37=0,"0",IF(AND(Results!$E$5="Protein",$C$53&gt;0,OR(Results!$E$4="Tissue",Results!$E$4="Cells")),((CN37*CN$51)/(CN$53)),IF(AND(Results!$E$5="Weight",$C$52&gt;0, Results!$E$4="Tissue",OR($B$52="g",$B$52="mg")),((CN37*CN$51)/(CN$52)),IF(AND(Results!$E$5="Volume",$C$54&gt;0,Results!$E$4="Fluid"),((CN37*CN$51)/(CN$54)),IF(AND(Results!$E$4="Cells",Results!$E$5="Million",$B$52="million"),((CN37*CN$51)/(CN$52)),"0")))))</f>
        <v>0</v>
      </c>
      <c r="CO90" s="20" t="str">
        <f>IF(CO37=0,"0",IF(AND(Results!$E$5="Protein",$C$53&gt;0,OR(Results!$E$4="Tissue",Results!$E$4="Cells")),((CO37*CO$51)/(CO$53)),IF(AND(Results!$E$5="Weight",$C$52&gt;0, Results!$E$4="Tissue",OR($B$52="g",$B$52="mg")),((CO37*CO$51)/(CO$52)),IF(AND(Results!$E$5="Volume",$C$54&gt;0,Results!$E$4="Fluid"),((CO37*CO$51)/(CO$54)),IF(AND(Results!$E$4="Cells",Results!$E$5="Million",$B$52="million"),((CO37*CO$51)/(CO$52)),"0")))))</f>
        <v>0</v>
      </c>
      <c r="CP90" s="20" t="str">
        <f>IF(CP37=0,"0",IF(AND(Results!$E$5="Protein",$C$53&gt;0,OR(Results!$E$4="Tissue",Results!$E$4="Cells")),((CP37*CP$51)/(CP$53)),IF(AND(Results!$E$5="Weight",$C$52&gt;0, Results!$E$4="Tissue",OR($B$52="g",$B$52="mg")),((CP37*CP$51)/(CP$52)),IF(AND(Results!$E$5="Volume",$C$54&gt;0,Results!$E$4="Fluid"),((CP37*CP$51)/(CP$54)),IF(AND(Results!$E$4="Cells",Results!$E$5="Million",$B$52="million"),((CP37*CP$51)/(CP$52)),"0")))))</f>
        <v>0</v>
      </c>
      <c r="CQ90" s="20" t="str">
        <f>IF(CQ37=0,"0",IF(AND(Results!$E$5="Protein",$C$53&gt;0,OR(Results!$E$4="Tissue",Results!$E$4="Cells")),((CQ37*CQ$51)/(CQ$53)),IF(AND(Results!$E$5="Weight",$C$52&gt;0, Results!$E$4="Tissue",OR($B$52="g",$B$52="mg")),((CQ37*CQ$51)/(CQ$52)),IF(AND(Results!$E$5="Volume",$C$54&gt;0,Results!$E$4="Fluid"),((CQ37*CQ$51)/(CQ$54)),IF(AND(Results!$E$4="Cells",Results!$E$5="Million",$B$52="million"),((CQ37*CQ$51)/(CQ$52)),"0")))))</f>
        <v>0</v>
      </c>
      <c r="CR90" s="20" t="str">
        <f>IF(CR37=0,"0",IF(AND(Results!$E$5="Protein",$C$53&gt;0,OR(Results!$E$4="Tissue",Results!$E$4="Cells")),((CR37*CR$51)/(CR$53)),IF(AND(Results!$E$5="Weight",$C$52&gt;0, Results!$E$4="Tissue",OR($B$52="g",$B$52="mg")),((CR37*CR$51)/(CR$52)),IF(AND(Results!$E$5="Volume",$C$54&gt;0,Results!$E$4="Fluid"),((CR37*CR$51)/(CR$54)),IF(AND(Results!$E$4="Cells",Results!$E$5="Million",$B$52="million"),((CR37*CR$51)/(CR$52)),"0")))))</f>
        <v>0</v>
      </c>
      <c r="CS90" s="20" t="str">
        <f>IF(CS37=0,"0",IF(AND(Results!$E$5="Protein",$C$53&gt;0,OR(Results!$E$4="Tissue",Results!$E$4="Cells")),((CS37*CS$51)/(CS$53)),IF(AND(Results!$E$5="Weight",$C$52&gt;0, Results!$E$4="Tissue",OR($B$52="g",$B$52="mg")),((CS37*CS$51)/(CS$52)),IF(AND(Results!$E$5="Volume",$C$54&gt;0,Results!$E$4="Fluid"),((CS37*CS$51)/(CS$54)),IF(AND(Results!$E$4="Cells",Results!$E$5="Million",$B$52="million"),((CS37*CS$51)/(CS$52)),"0")))))</f>
        <v>0</v>
      </c>
      <c r="CT90" s="20" t="str">
        <f>IF(CT37=0,"0",IF(AND(Results!$E$5="Protein",$C$53&gt;0,OR(Results!$E$4="Tissue",Results!$E$4="Cells")),((CT37*CT$51)/(CT$53)),IF(AND(Results!$E$5="Weight",$C$52&gt;0, Results!$E$4="Tissue",OR($B$52="g",$B$52="mg")),((CT37*CT$51)/(CT$52)),IF(AND(Results!$E$5="Volume",$C$54&gt;0,Results!$E$4="Fluid"),((CT37*CT$51)/(CT$54)),IF(AND(Results!$E$4="Cells",Results!$E$5="Million",$B$52="million"),((CT37*CT$51)/(CT$52)),"0")))))</f>
        <v>0</v>
      </c>
      <c r="CU90" s="20" t="str">
        <f>IF(CU37=0,"0",IF(AND(Results!$E$5="Protein",$C$53&gt;0,OR(Results!$E$4="Tissue",Results!$E$4="Cells")),((CU37*CU$51)/(CU$53)),IF(AND(Results!$E$5="Weight",$C$52&gt;0, Results!$E$4="Tissue",OR($B$52="g",$B$52="mg")),((CU37*CU$51)/(CU$52)),IF(AND(Results!$E$5="Volume",$C$54&gt;0,Results!$E$4="Fluid"),((CU37*CU$51)/(CU$54)),IF(AND(Results!$E$4="Cells",Results!$E$5="Million",$B$52="million"),((CU37*CU$51)/(CU$52)),"0")))))</f>
        <v>0</v>
      </c>
      <c r="CV90" s="20" t="str">
        <f>IF(CV37=0,"0",IF(AND(Results!$E$5="Protein",$C$53&gt;0,OR(Results!$E$4="Tissue",Results!$E$4="Cells")),((CV37*CV$51)/(CV$53)),IF(AND(Results!$E$5="Weight",$C$52&gt;0, Results!$E$4="Tissue",OR($B$52="g",$B$52="mg")),((CV37*CV$51)/(CV$52)),IF(AND(Results!$E$5="Volume",$C$54&gt;0,Results!$E$4="Fluid"),((CV37*CV$51)/(CV$54)),IF(AND(Results!$E$4="Cells",Results!$E$5="Million",$B$52="million"),((CV37*CV$51)/(CV$52)),"0")))))</f>
        <v>0</v>
      </c>
      <c r="CW90" s="20" t="str">
        <f>IF(CW37=0,"0",IF(AND(Results!$E$5="Protein",$C$53&gt;0,OR(Results!$E$4="Tissue",Results!$E$4="Cells")),((CW37*CW$51)/(CW$53)),IF(AND(Results!$E$5="Weight",$C$52&gt;0, Results!$E$4="Tissue",OR($B$52="g",$B$52="mg")),((CW37*CW$51)/(CW$52)),IF(AND(Results!$E$5="Volume",$C$54&gt;0,Results!$E$4="Fluid"),((CW37*CW$51)/(CW$54)),IF(AND(Results!$E$4="Cells",Results!$E$5="Million",$B$52="million"),((CW37*CW$51)/(CW$52)),"0")))))</f>
        <v>0</v>
      </c>
      <c r="CX90" s="20" t="str">
        <f>IF(CX37=0,"0",IF(AND(Results!$E$5="Protein",$C$53&gt;0,OR(Results!$E$4="Tissue",Results!$E$4="Cells")),((CX37*CX$51)/(CX$53)),IF(AND(Results!$E$5="Weight",$C$52&gt;0, Results!$E$4="Tissue",OR($B$52="g",$B$52="mg")),((CX37*CX$51)/(CX$52)),IF(AND(Results!$E$5="Volume",$C$54&gt;0,Results!$E$4="Fluid"),((CX37*CX$51)/(CX$54)),IF(AND(Results!$E$4="Cells",Results!$E$5="Million",$B$52="million"),((CX37*CX$51)/(CX$52)),"0")))))</f>
        <v>0</v>
      </c>
      <c r="CY90" s="20" t="str">
        <f>IF(CY37=0,"0",IF(AND(Results!$E$5="Protein",$C$53&gt;0,OR(Results!$E$4="Tissue",Results!$E$4="Cells")),((CY37*CY$51)/(CY$53)),IF(AND(Results!$E$5="Weight",$C$52&gt;0, Results!$E$4="Tissue",OR($B$52="g",$B$52="mg")),((CY37*CY$51)/(CY$52)),IF(AND(Results!$E$5="Volume",$C$54&gt;0,Results!$E$4="Fluid"),((CY37*CY$51)/(CY$54)),IF(AND(Results!$E$4="Cells",Results!$E$5="Million",$B$52="million"),((CY37*CY$51)/(CY$52)),"0")))))</f>
        <v>0</v>
      </c>
      <c r="CZ90" s="20" t="str">
        <f>IF(CZ37=0,"0",IF(AND(Results!$E$5="Protein",$C$53&gt;0,OR(Results!$E$4="Tissue",Results!$E$4="Cells")),((CZ37*CZ$51)/(CZ$53)),IF(AND(Results!$E$5="Weight",$C$52&gt;0, Results!$E$4="Tissue",OR($B$52="g",$B$52="mg")),((CZ37*CZ$51)/(CZ$52)),IF(AND(Results!$E$5="Volume",$C$54&gt;0,Results!$E$4="Fluid"),((CZ37*CZ$51)/(CZ$54)),IF(AND(Results!$E$4="Cells",Results!$E$5="Million",$B$52="million"),((CZ37*CZ$51)/(CZ$52)),"0")))))</f>
        <v>0</v>
      </c>
      <c r="DA90" s="20" t="str">
        <f>IF(DA37=0,"0",IF(AND(Results!$E$5="Protein",$C$53&gt;0,OR(Results!$E$4="Tissue",Results!$E$4="Cells")),((DA37*DA$51)/(DA$53)),IF(AND(Results!$E$5="Weight",$C$52&gt;0, Results!$E$4="Tissue",OR($B$52="g",$B$52="mg")),((DA37*DA$51)/(DA$52)),IF(AND(Results!$E$5="Volume",$C$54&gt;0,Results!$E$4="Fluid"),((DA37*DA$51)/(DA$54)),IF(AND(Results!$E$4="Cells",Results!$E$5="Million",$B$52="million"),((DA37*DA$51)/(DA$52)),"0")))))</f>
        <v>0</v>
      </c>
      <c r="DB90" s="20" t="str">
        <f>IF(DB37=0,"0",IF(AND(Results!$E$5="Protein",$C$53&gt;0,OR(Results!$E$4="Tissue",Results!$E$4="Cells")),((DB37*DB$51)/(DB$53)),IF(AND(Results!$E$5="Weight",$C$52&gt;0, Results!$E$4="Tissue",OR($B$52="g",$B$52="mg")),((DB37*DB$51)/(DB$52)),IF(AND(Results!$E$5="Volume",$C$54&gt;0,Results!$E$4="Fluid"),((DB37*DB$51)/(DB$54)),IF(AND(Results!$E$4="Cells",Results!$E$5="Million",$B$52="million"),((DB37*DB$51)/(DB$52)),"0")))))</f>
        <v>0</v>
      </c>
      <c r="DC90" s="20" t="str">
        <f>IF(DC37=0,"0",IF(AND(Results!$E$5="Protein",$C$53&gt;0,OR(Results!$E$4="Tissue",Results!$E$4="Cells")),((DC37*DC$51)/(DC$53)),IF(AND(Results!$E$5="Weight",$C$52&gt;0, Results!$E$4="Tissue",OR($B$52="g",$B$52="mg")),((DC37*DC$51)/(DC$52)),IF(AND(Results!$E$5="Volume",$C$54&gt;0,Results!$E$4="Fluid"),((DC37*DC$51)/(DC$54)),IF(AND(Results!$E$4="Cells",Results!$E$5="Million",$B$52="million"),((DC37*DC$51)/(DC$52)),"0")))))</f>
        <v>0</v>
      </c>
      <c r="DD90" s="20" t="str">
        <f>IF(DD37=0,"0",IF(AND(Results!$E$5="Protein",$C$53&gt;0,OR(Results!$E$4="Tissue",Results!$E$4="Cells")),((DD37*DD$51)/(DD$53)),IF(AND(Results!$E$5="Weight",$C$52&gt;0, Results!$E$4="Tissue",OR($B$52="g",$B$52="mg")),((DD37*DD$51)/(DD$52)),IF(AND(Results!$E$5="Volume",$C$54&gt;0,Results!$E$4="Fluid"),((DD37*DD$51)/(DD$54)),IF(AND(Results!$E$4="Cells",Results!$E$5="Million",$B$52="million"),((DD37*DD$51)/(DD$52)),"0")))))</f>
        <v>0</v>
      </c>
      <c r="DE90" s="20" t="str">
        <f>IF(DE37=0,"0",IF(AND(Results!$E$5="Protein",$C$53&gt;0,OR(Results!$E$4="Tissue",Results!$E$4="Cells")),((DE37*DE$51)/(DE$53)),IF(AND(Results!$E$5="Weight",$C$52&gt;0, Results!$E$4="Tissue",OR($B$52="g",$B$52="mg")),((DE37*DE$51)/(DE$52)),IF(AND(Results!$E$5="Volume",$C$54&gt;0,Results!$E$4="Fluid"),((DE37*DE$51)/(DE$54)),IF(AND(Results!$E$4="Cells",Results!$E$5="Million",$B$52="million"),((DE37*DE$51)/(DE$52)),"0")))))</f>
        <v>0</v>
      </c>
      <c r="DF90" s="20" t="str">
        <f>IF(DF37=0,"0",IF(AND(Results!$E$5="Protein",$C$53&gt;0,OR(Results!$E$4="Tissue",Results!$E$4="Cells")),((DF37*DF$51)/(DF$53)),IF(AND(Results!$E$5="Weight",$C$52&gt;0, Results!$E$4="Tissue",OR($B$52="g",$B$52="mg")),((DF37*DF$51)/(DF$52)),IF(AND(Results!$E$5="Volume",$C$54&gt;0,Results!$E$4="Fluid"),((DF37*DF$51)/(DF$54)),IF(AND(Results!$E$4="Cells",Results!$E$5="Million",$B$52="million"),((DF37*DF$51)/(DF$52)),"0")))))</f>
        <v>0</v>
      </c>
      <c r="DG90" s="20" t="str">
        <f>IF(DG37=0,"0",IF(AND(Results!$E$5="Protein",$C$53&gt;0,OR(Results!$E$4="Tissue",Results!$E$4="Cells")),((DG37*DG$51)/(DG$53)),IF(AND(Results!$E$5="Weight",$C$52&gt;0, Results!$E$4="Tissue",OR($B$52="g",$B$52="mg")),((DG37*DG$51)/(DG$52)),IF(AND(Results!$E$5="Volume",$C$54&gt;0,Results!$E$4="Fluid"),((DG37*DG$51)/(DG$54)),IF(AND(Results!$E$4="Cells",Results!$E$5="Million",$B$52="million"),((DG37*DG$51)/(DG$52)),"0")))))</f>
        <v>0</v>
      </c>
      <c r="DH90" s="20" t="str">
        <f>IF(DH37=0,"0",IF(AND(Results!$E$5="Protein",$C$53&gt;0,OR(Results!$E$4="Tissue",Results!$E$4="Cells")),((DH37*DH$51)/(DH$53)),IF(AND(Results!$E$5="Weight",$C$52&gt;0, Results!$E$4="Tissue",OR($B$52="g",$B$52="mg")),((DH37*DH$51)/(DH$52)),IF(AND(Results!$E$5="Volume",$C$54&gt;0,Results!$E$4="Fluid"),((DH37*DH$51)/(DH$54)),IF(AND(Results!$E$4="Cells",Results!$E$5="Million",$B$52="million"),((DH37*DH$51)/(DH$52)),"0")))))</f>
        <v>0</v>
      </c>
      <c r="DI90" s="20" t="str">
        <f>IF(DI37=0,"0",IF(AND(Results!$E$5="Protein",$C$53&gt;0,OR(Results!$E$4="Tissue",Results!$E$4="Cells")),((DI37*DI$51)/(DI$53)),IF(AND(Results!$E$5="Weight",$C$52&gt;0, Results!$E$4="Tissue",OR($B$52="g",$B$52="mg")),((DI37*DI$51)/(DI$52)),IF(AND(Results!$E$5="Volume",$C$54&gt;0,Results!$E$4="Fluid"),((DI37*DI$51)/(DI$54)),IF(AND(Results!$E$4="Cells",Results!$E$5="Million",$B$52="million"),((DI37*DI$51)/(DI$52)),"0")))))</f>
        <v>0</v>
      </c>
      <c r="DJ90" s="20" t="str">
        <f>IF(DJ37=0,"0",IF(AND(Results!$E$5="Protein",$C$53&gt;0,OR(Results!$E$4="Tissue",Results!$E$4="Cells")),((DJ37*DJ$51)/(DJ$53)),IF(AND(Results!$E$5="Weight",$C$52&gt;0, Results!$E$4="Tissue",OR($B$52="g",$B$52="mg")),((DJ37*DJ$51)/(DJ$52)),IF(AND(Results!$E$5="Volume",$C$54&gt;0,Results!$E$4="Fluid"),((DJ37*DJ$51)/(DJ$54)),IF(AND(Results!$E$4="Cells",Results!$E$5="Million",$B$52="million"),((DJ37*DJ$51)/(DJ$52)),"0")))))</f>
        <v>0</v>
      </c>
      <c r="DK90" s="20" t="str">
        <f>IF(DK37=0,"0",IF(AND(Results!$E$5="Protein",$C$53&gt;0,OR(Results!$E$4="Tissue",Results!$E$4="Cells")),((DK37*DK$51)/(DK$53)),IF(AND(Results!$E$5="Weight",$C$52&gt;0, Results!$E$4="Tissue",OR($B$52="g",$B$52="mg")),((DK37*DK$51)/(DK$52)),IF(AND(Results!$E$5="Volume",$C$54&gt;0,Results!$E$4="Fluid"),((DK37*DK$51)/(DK$54)),IF(AND(Results!$E$4="Cells",Results!$E$5="Million",$B$52="million"),((DK37*DK$51)/(DK$52)),"0")))))</f>
        <v>0</v>
      </c>
      <c r="DL90" s="20" t="str">
        <f>IF(DL37=0,"0",IF(AND(Results!$E$5="Protein",$C$53&gt;0,OR(Results!$E$4="Tissue",Results!$E$4="Cells")),((DL37*DL$51)/(DL$53)),IF(AND(Results!$E$5="Weight",$C$52&gt;0, Results!$E$4="Tissue",OR($B$52="g",$B$52="mg")),((DL37*DL$51)/(DL$52)),IF(AND(Results!$E$5="Volume",$C$54&gt;0,Results!$E$4="Fluid"),((DL37*DL$51)/(DL$54)),IF(AND(Results!$E$4="Cells",Results!$E$5="Million",$B$52="million"),((DL37*DL$51)/(DL$52)),"0")))))</f>
        <v>0</v>
      </c>
      <c r="DM90" s="20" t="str">
        <f>IF(DM37=0,"0",IF(AND(Results!$E$5="Protein",$C$53&gt;0,OR(Results!$E$4="Tissue",Results!$E$4="Cells")),((DM37*DM$51)/(DM$53)),IF(AND(Results!$E$5="Weight",$C$52&gt;0, Results!$E$4="Tissue",OR($B$52="g",$B$52="mg")),((DM37*DM$51)/(DM$52)),IF(AND(Results!$E$5="Volume",$C$54&gt;0,Results!$E$4="Fluid"),((DM37*DM$51)/(DM$54)),IF(AND(Results!$E$4="Cells",Results!$E$5="Million",$B$52="million"),((DM37*DM$51)/(DM$52)),"0")))))</f>
        <v>0</v>
      </c>
      <c r="DN90" s="20" t="str">
        <f>IF(DN37=0,"0",IF(AND(Results!$E$5="Protein",$C$53&gt;0,OR(Results!$E$4="Tissue",Results!$E$4="Cells")),((DN37*DN$51)/(DN$53)),IF(AND(Results!$E$5="Weight",$C$52&gt;0, Results!$E$4="Tissue",OR($B$52="g",$B$52="mg")),((DN37*DN$51)/(DN$52)),IF(AND(Results!$E$5="Volume",$C$54&gt;0,Results!$E$4="Fluid"),((DN37*DN$51)/(DN$54)),IF(AND(Results!$E$4="Cells",Results!$E$5="Million",$B$52="million"),((DN37*DN$51)/(DN$52)),"0")))))</f>
        <v>0</v>
      </c>
      <c r="DO90" s="20" t="str">
        <f>IF(DO37=0,"0",IF(AND(Results!$E$5="Protein",$C$53&gt;0,OR(Results!$E$4="Tissue",Results!$E$4="Cells")),((DO37*DO$51)/(DO$53)),IF(AND(Results!$E$5="Weight",$C$52&gt;0, Results!$E$4="Tissue",OR($B$52="g",$B$52="mg")),((DO37*DO$51)/(DO$52)),IF(AND(Results!$E$5="Volume",$C$54&gt;0,Results!$E$4="Fluid"),((DO37*DO$51)/(DO$54)),IF(AND(Results!$E$4="Cells",Results!$E$5="Million",$B$52="million"),((DO37*DO$51)/(DO$52)),"0")))))</f>
        <v>0</v>
      </c>
      <c r="DP90" s="20" t="str">
        <f>IF(DP37=0,"0",IF(AND(Results!$E$5="Protein",$C$53&gt;0,OR(Results!$E$4="Tissue",Results!$E$4="Cells")),((DP37*DP$51)/(DP$53)),IF(AND(Results!$E$5="Weight",$C$52&gt;0, Results!$E$4="Tissue",OR($B$52="g",$B$52="mg")),((DP37*DP$51)/(DP$52)),IF(AND(Results!$E$5="Volume",$C$54&gt;0,Results!$E$4="Fluid"),((DP37*DP$51)/(DP$54)),IF(AND(Results!$E$4="Cells",Results!$E$5="Million",$B$52="million"),((DP37*DP$51)/(DP$52)),"0")))))</f>
        <v>0</v>
      </c>
      <c r="DQ90" s="20" t="str">
        <f>IF(DQ37=0,"0",IF(AND(Results!$E$5="Protein",$C$53&gt;0,OR(Results!$E$4="Tissue",Results!$E$4="Cells")),((DQ37*DQ$51)/(DQ$53)),IF(AND(Results!$E$5="Weight",$C$52&gt;0, Results!$E$4="Tissue",OR($B$52="g",$B$52="mg")),((DQ37*DQ$51)/(DQ$52)),IF(AND(Results!$E$5="Volume",$C$54&gt;0,Results!$E$4="Fluid"),((DQ37*DQ$51)/(DQ$54)),IF(AND(Results!$E$4="Cells",Results!$E$5="Million",$B$52="million"),((DQ37*DQ$51)/(DQ$52)),"0")))))</f>
        <v>0</v>
      </c>
      <c r="DR90" s="20" t="str">
        <f>IF(DR37=0,"0",IF(AND(Results!$E$5="Protein",$C$53&gt;0,OR(Results!$E$4="Tissue",Results!$E$4="Cells")),((DR37*DR$51)/(DR$53)),IF(AND(Results!$E$5="Weight",$C$52&gt;0, Results!$E$4="Tissue",OR($B$52="g",$B$52="mg")),((DR37*DR$51)/(DR$52)),IF(AND(Results!$E$5="Volume",$C$54&gt;0,Results!$E$4="Fluid"),((DR37*DR$51)/(DR$54)),IF(AND(Results!$E$4="Cells",Results!$E$5="Million",$B$52="million"),((DR37*DR$51)/(DR$52)),"0")))))</f>
        <v>0</v>
      </c>
      <c r="DS90" s="20" t="str">
        <f>IF(DS37=0,"0",IF(AND(Results!$E$5="Protein",$C$53&gt;0,OR(Results!$E$4="Tissue",Results!$E$4="Cells")),((DS37*DS$51)/(DS$53)),IF(AND(Results!$E$5="Weight",$C$52&gt;0, Results!$E$4="Tissue",OR($B$52="g",$B$52="mg")),((DS37*DS$51)/(DS$52)),IF(AND(Results!$E$5="Volume",$C$54&gt;0,Results!$E$4="Fluid"),((DS37*DS$51)/(DS$54)),IF(AND(Results!$E$4="Cells",Results!$E$5="Million",$B$52="million"),((DS37*DS$51)/(DS$52)),"0")))))</f>
        <v>0</v>
      </c>
      <c r="DT90" s="20" t="str">
        <f>IF(DT37=0,"0",IF(AND(Results!$E$5="Protein",$C$53&gt;0,OR(Results!$E$4="Tissue",Results!$E$4="Cells")),((DT37*DT$51)/(DT$53)),IF(AND(Results!$E$5="Weight",$C$52&gt;0, Results!$E$4="Tissue",OR($B$52="g",$B$52="mg")),((DT37*DT$51)/(DT$52)),IF(AND(Results!$E$5="Volume",$C$54&gt;0,Results!$E$4="Fluid"),((DT37*DT$51)/(DT$54)),IF(AND(Results!$E$4="Cells",Results!$E$5="Million",$B$52="million"),((DT37*DT$51)/(DT$52)),"0")))))</f>
        <v>0</v>
      </c>
      <c r="DU90" s="20" t="str">
        <f>IF(DU37=0,"0",IF(AND(Results!$E$5="Protein",$C$53&gt;0,OR(Results!$E$4="Tissue",Results!$E$4="Cells")),((DU37*DU$51)/(DU$53)),IF(AND(Results!$E$5="Weight",$C$52&gt;0, Results!$E$4="Tissue",OR($B$52="g",$B$52="mg")),((DU37*DU$51)/(DU$52)),IF(AND(Results!$E$5="Volume",$C$54&gt;0,Results!$E$4="Fluid"),((DU37*DU$51)/(DU$54)),IF(AND(Results!$E$4="Cells",Results!$E$5="Million",$B$52="million"),((DU37*DU$51)/(DU$52)),"0")))))</f>
        <v>0</v>
      </c>
      <c r="DV90" s="20" t="str">
        <f>IF(DV37=0,"0",IF(AND(Results!$E$5="Protein",$C$53&gt;0,OR(Results!$E$4="Tissue",Results!$E$4="Cells")),((DV37*DV$51)/(DV$53)),IF(AND(Results!$E$5="Weight",$C$52&gt;0, Results!$E$4="Tissue",OR($B$52="g",$B$52="mg")),((DV37*DV$51)/(DV$52)),IF(AND(Results!$E$5="Volume",$C$54&gt;0,Results!$E$4="Fluid"),((DV37*DV$51)/(DV$54)),IF(AND(Results!$E$4="Cells",Results!$E$5="Million",$B$52="million"),((DV37*DV$51)/(DV$52)),"0")))))</f>
        <v>0</v>
      </c>
      <c r="DW90" s="20" t="str">
        <f>IF(DW37=0,"0",IF(AND(Results!$E$5="Protein",$C$53&gt;0,OR(Results!$E$4="Tissue",Results!$E$4="Cells")),((DW37*DW$51)/(DW$53)),IF(AND(Results!$E$5="Weight",$C$52&gt;0, Results!$E$4="Tissue",OR($B$52="g",$B$52="mg")),((DW37*DW$51)/(DW$52)),IF(AND(Results!$E$5="Volume",$C$54&gt;0,Results!$E$4="Fluid"),((DW37*DW$51)/(DW$54)),IF(AND(Results!$E$4="Cells",Results!$E$5="Million",$B$52="million"),((DW37*DW$51)/(DW$52)),"0")))))</f>
        <v>0</v>
      </c>
      <c r="DX90" s="20" t="str">
        <f>IF(DX37=0,"0",IF(AND(Results!$E$5="Protein",$C$53&gt;0,OR(Results!$E$4="Tissue",Results!$E$4="Cells")),((DX37*DX$51)/(DX$53)),IF(AND(Results!$E$5="Weight",$C$52&gt;0, Results!$E$4="Tissue",OR($B$52="g",$B$52="mg")),((DX37*DX$51)/(DX$52)),IF(AND(Results!$E$5="Volume",$C$54&gt;0,Results!$E$4="Fluid"),((DX37*DX$51)/(DX$54)),IF(AND(Results!$E$4="Cells",Results!$E$5="Million",$B$52="million"),((DX37*DX$51)/(DX$52)),"0")))))</f>
        <v>0</v>
      </c>
      <c r="DY90" s="20" t="str">
        <f>IF(DY37=0,"0",IF(AND(Results!$E$5="Protein",$C$53&gt;0,OR(Results!$E$4="Tissue",Results!$E$4="Cells")),((DY37*DY$51)/(DY$53)),IF(AND(Results!$E$5="Weight",$C$52&gt;0, Results!$E$4="Tissue",OR($B$52="g",$B$52="mg")),((DY37*DY$51)/(DY$52)),IF(AND(Results!$E$5="Volume",$C$54&gt;0,Results!$E$4="Fluid"),((DY37*DY$51)/(DY$54)),IF(AND(Results!$E$4="Cells",Results!$E$5="Million",$B$52="million"),((DY37*DY$51)/(DY$52)),"0")))))</f>
        <v>0</v>
      </c>
      <c r="DZ90" s="20" t="str">
        <f>IF(DZ37=0,"0",IF(AND(Results!$E$5="Protein",$C$53&gt;0,OR(Results!$E$4="Tissue",Results!$E$4="Cells")),((DZ37*DZ$51)/(DZ$53)),IF(AND(Results!$E$5="Weight",$C$52&gt;0, Results!$E$4="Tissue",OR($B$52="g",$B$52="mg")),((DZ37*DZ$51)/(DZ$52)),IF(AND(Results!$E$5="Volume",$C$54&gt;0,Results!$E$4="Fluid"),((DZ37*DZ$51)/(DZ$54)),IF(AND(Results!$E$4="Cells",Results!$E$5="Million",$B$52="million"),((DZ37*DZ$51)/(DZ$52)),"0")))))</f>
        <v>0</v>
      </c>
      <c r="EA90" s="20" t="str">
        <f>IF(EA37=0,"0",IF(AND(Results!$E$5="Protein",$C$53&gt;0,OR(Results!$E$4="Tissue",Results!$E$4="Cells")),((EA37*EA$51)/(EA$53)),IF(AND(Results!$E$5="Weight",$C$52&gt;0, Results!$E$4="Tissue",OR($B$52="g",$B$52="mg")),((EA37*EA$51)/(EA$52)),IF(AND(Results!$E$5="Volume",$C$54&gt;0,Results!$E$4="Fluid"),((EA37*EA$51)/(EA$54)),IF(AND(Results!$E$4="Cells",Results!$E$5="Million",$B$52="million"),((EA37*EA$51)/(EA$52)),"0")))))</f>
        <v>0</v>
      </c>
      <c r="EB90" s="20" t="str">
        <f>IF(EB37=0,"0",IF(AND(Results!$E$5="Protein",$C$53&gt;0,OR(Results!$E$4="Tissue",Results!$E$4="Cells")),((EB37*EB$51)/(EB$53)),IF(AND(Results!$E$5="Weight",$C$52&gt;0, Results!$E$4="Tissue",OR($B$52="g",$B$52="mg")),((EB37*EB$51)/(EB$52)),IF(AND(Results!$E$5="Volume",$C$54&gt;0,Results!$E$4="Fluid"),((EB37*EB$51)/(EB$54)),IF(AND(Results!$E$4="Cells",Results!$E$5="Million",$B$52="million"),((EB37*EB$51)/(EB$52)),"0")))))</f>
        <v>0</v>
      </c>
      <c r="EC90" s="20" t="str">
        <f>IF(EC37=0,"0",IF(AND(Results!$E$5="Protein",$C$53&gt;0,OR(Results!$E$4="Tissue",Results!$E$4="Cells")),((EC37*EC$51)/(EC$53)),IF(AND(Results!$E$5="Weight",$C$52&gt;0, Results!$E$4="Tissue",OR($B$52="g",$B$52="mg")),((EC37*EC$51)/(EC$52)),IF(AND(Results!$E$5="Volume",$C$54&gt;0,Results!$E$4="Fluid"),((EC37*EC$51)/(EC$54)),IF(AND(Results!$E$4="Cells",Results!$E$5="Million",$B$52="million"),((EC37*EC$51)/(EC$52)),"0")))))</f>
        <v>0</v>
      </c>
      <c r="ED90" s="20" t="str">
        <f>IF(ED37=0,"0",IF(AND(Results!$E$5="Protein",$C$53&gt;0,OR(Results!$E$4="Tissue",Results!$E$4="Cells")),((ED37*ED$51)/(ED$53)),IF(AND(Results!$E$5="Weight",$C$52&gt;0, Results!$E$4="Tissue",OR($B$52="g",$B$52="mg")),((ED37*ED$51)/(ED$52)),IF(AND(Results!$E$5="Volume",$C$54&gt;0,Results!$E$4="Fluid"),((ED37*ED$51)/(ED$54)),IF(AND(Results!$E$4="Cells",Results!$E$5="Million",$B$52="million"),((ED37*ED$51)/(ED$52)),"0")))))</f>
        <v>0</v>
      </c>
      <c r="EE90" s="20" t="str">
        <f>IF(EE37=0,"0",IF(AND(Results!$E$5="Protein",$C$53&gt;0,OR(Results!$E$4="Tissue",Results!$E$4="Cells")),((EE37*EE$51)/(EE$53)),IF(AND(Results!$E$5="Weight",$C$52&gt;0, Results!$E$4="Tissue",OR($B$52="g",$B$52="mg")),((EE37*EE$51)/(EE$52)),IF(AND(Results!$E$5="Volume",$C$54&gt;0,Results!$E$4="Fluid"),((EE37*EE$51)/(EE$54)),IF(AND(Results!$E$4="Cells",Results!$E$5="Million",$B$52="million"),((EE37*EE$51)/(EE$52)),"0")))))</f>
        <v>0</v>
      </c>
      <c r="EF90" s="20" t="str">
        <f>IF(EF37=0,"0",IF(AND(Results!$E$5="Protein",$C$53&gt;0,OR(Results!$E$4="Tissue",Results!$E$4="Cells")),((EF37*EF$51)/(EF$53)),IF(AND(Results!$E$5="Weight",$C$52&gt;0, Results!$E$4="Tissue",OR($B$52="g",$B$52="mg")),((EF37*EF$51)/(EF$52)),IF(AND(Results!$E$5="Volume",$C$54&gt;0,Results!$E$4="Fluid"),((EF37*EF$51)/(EF$54)),IF(AND(Results!$E$4="Cells",Results!$E$5="Million",$B$52="million"),((EF37*EF$51)/(EF$52)),"0")))))</f>
        <v>0</v>
      </c>
      <c r="EG90" s="20" t="str">
        <f>IF(EG37=0,"0",IF(AND(Results!$E$5="Protein",$C$53&gt;0,OR(Results!$E$4="Tissue",Results!$E$4="Cells")),((EG37*EG$51)/(EG$53)),IF(AND(Results!$E$5="Weight",$C$52&gt;0, Results!$E$4="Tissue",OR($B$52="g",$B$52="mg")),((EG37*EG$51)/(EG$52)),IF(AND(Results!$E$5="Volume",$C$54&gt;0,Results!$E$4="Fluid"),((EG37*EG$51)/(EG$54)),IF(AND(Results!$E$4="Cells",Results!$E$5="Million",$B$52="million"),((EG37*EG$51)/(EG$52)),"0")))))</f>
        <v>0</v>
      </c>
      <c r="EH90" s="20" t="str">
        <f>IF(EH37=0,"0",IF(AND(Results!$E$5="Protein",$C$53&gt;0,OR(Results!$E$4="Tissue",Results!$E$4="Cells")),((EH37*EH$51)/(EH$53)),IF(AND(Results!$E$5="Weight",$C$52&gt;0, Results!$E$4="Tissue",OR($B$52="g",$B$52="mg")),((EH37*EH$51)/(EH$52)),IF(AND(Results!$E$5="Volume",$C$54&gt;0,Results!$E$4="Fluid"),((EH37*EH$51)/(EH$54)),IF(AND(Results!$E$4="Cells",Results!$E$5="Million",$B$52="million"),((EH37*EH$51)/(EH$52)),"0")))))</f>
        <v>0</v>
      </c>
      <c r="EI90" s="20" t="str">
        <f>IF(EI37=0,"0",IF(AND(Results!$E$5="Protein",$C$53&gt;0,OR(Results!$E$4="Tissue",Results!$E$4="Cells")),((EI37*EI$51)/(EI$53)),IF(AND(Results!$E$5="Weight",$C$52&gt;0, Results!$E$4="Tissue",OR($B$52="g",$B$52="mg")),((EI37*EI$51)/(EI$52)),IF(AND(Results!$E$5="Volume",$C$54&gt;0,Results!$E$4="Fluid"),((EI37*EI$51)/(EI$54)),IF(AND(Results!$E$4="Cells",Results!$E$5="Million",$B$52="million"),((EI37*EI$51)/(EI$52)),"0")))))</f>
        <v>0</v>
      </c>
      <c r="EJ90" s="20" t="str">
        <f>IF(EJ37=0,"0",IF(AND(Results!$E$5="Protein",$C$53&gt;0,OR(Results!$E$4="Tissue",Results!$E$4="Cells")),((EJ37*EJ$51)/(EJ$53)),IF(AND(Results!$E$5="Weight",$C$52&gt;0, Results!$E$4="Tissue",OR($B$52="g",$B$52="mg")),((EJ37*EJ$51)/(EJ$52)),IF(AND(Results!$E$5="Volume",$C$54&gt;0,Results!$E$4="Fluid"),((EJ37*EJ$51)/(EJ$54)),IF(AND(Results!$E$4="Cells",Results!$E$5="Million",$B$52="million"),((EJ37*EJ$51)/(EJ$52)),"0")))))</f>
        <v>0</v>
      </c>
      <c r="EK90" s="20" t="str">
        <f>IF(EK37=0,"0",IF(AND(Results!$E$5="Protein",$C$53&gt;0,OR(Results!$E$4="Tissue",Results!$E$4="Cells")),((EK37*EK$51)/(EK$53)),IF(AND(Results!$E$5="Weight",$C$52&gt;0, Results!$E$4="Tissue",OR($B$52="g",$B$52="mg")),((EK37*EK$51)/(EK$52)),IF(AND(Results!$E$5="Volume",$C$54&gt;0,Results!$E$4="Fluid"),((EK37*EK$51)/(EK$54)),IF(AND(Results!$E$4="Cells",Results!$E$5="Million",$B$52="million"),((EK37*EK$51)/(EK$52)),"0")))))</f>
        <v>0</v>
      </c>
      <c r="EL90" s="20" t="str">
        <f>IF(EL37=0,"0",IF(AND(Results!$E$5="Protein",$C$53&gt;0,OR(Results!$E$4="Tissue",Results!$E$4="Cells")),((EL37*EL$51)/(EL$53)),IF(AND(Results!$E$5="Weight",$C$52&gt;0, Results!$E$4="Tissue",OR($B$52="g",$B$52="mg")),((EL37*EL$51)/(EL$52)),IF(AND(Results!$E$5="Volume",$C$54&gt;0,Results!$E$4="Fluid"),((EL37*EL$51)/(EL$54)),IF(AND(Results!$E$4="Cells",Results!$E$5="Million",$B$52="million"),((EL37*EL$51)/(EL$52)),"0")))))</f>
        <v>0</v>
      </c>
      <c r="EM90" s="20" t="str">
        <f>IF(EM37=0,"0",IF(AND(Results!$E$5="Protein",$C$53&gt;0,OR(Results!$E$4="Tissue",Results!$E$4="Cells")),((EM37*EM$51)/(EM$53)),IF(AND(Results!$E$5="Weight",$C$52&gt;0, Results!$E$4="Tissue",OR($B$52="g",$B$52="mg")),((EM37*EM$51)/(EM$52)),IF(AND(Results!$E$5="Volume",$C$54&gt;0,Results!$E$4="Fluid"),((EM37*EM$51)/(EM$54)),IF(AND(Results!$E$4="Cells",Results!$E$5="Million",$B$52="million"),((EM37*EM$51)/(EM$52)),"0")))))</f>
        <v>0</v>
      </c>
      <c r="EN90" s="20" t="str">
        <f>IF(EN37=0,"0",IF(AND(Results!$E$5="Protein",$C$53&gt;0,OR(Results!$E$4="Tissue",Results!$E$4="Cells")),((EN37*EN$51)/(EN$53)),IF(AND(Results!$E$5="Weight",$C$52&gt;0, Results!$E$4="Tissue",OR($B$52="g",$B$52="mg")),((EN37*EN$51)/(EN$52)),IF(AND(Results!$E$5="Volume",$C$54&gt;0,Results!$E$4="Fluid"),((EN37*EN$51)/(EN$54)),IF(AND(Results!$E$4="Cells",Results!$E$5="Million",$B$52="million"),((EN37*EN$51)/(EN$52)),"0")))))</f>
        <v>0</v>
      </c>
      <c r="EO90" s="20" t="str">
        <f>IF(EO37=0,"0",IF(AND(Results!$E$5="Protein",$C$53&gt;0,OR(Results!$E$4="Tissue",Results!$E$4="Cells")),((EO37*EO$51)/(EO$53)),IF(AND(Results!$E$5="Weight",$C$52&gt;0, Results!$E$4="Tissue",OR($B$52="g",$B$52="mg")),((EO37*EO$51)/(EO$52)),IF(AND(Results!$E$5="Volume",$C$54&gt;0,Results!$E$4="Fluid"),((EO37*EO$51)/(EO$54)),IF(AND(Results!$E$4="Cells",Results!$E$5="Million",$B$52="million"),((EO37*EO$51)/(EO$52)),"0")))))</f>
        <v>0</v>
      </c>
      <c r="EP90" s="20" t="str">
        <f>IF(EP37=0,"0",IF(AND(Results!$E$5="Protein",$C$53&gt;0,OR(Results!$E$4="Tissue",Results!$E$4="Cells")),((EP37*EP$51)/(EP$53)),IF(AND(Results!$E$5="Weight",$C$52&gt;0, Results!$E$4="Tissue",OR($B$52="g",$B$52="mg")),((EP37*EP$51)/(EP$52)),IF(AND(Results!$E$5="Volume",$C$54&gt;0,Results!$E$4="Fluid"),((EP37*EP$51)/(EP$54)),IF(AND(Results!$E$4="Cells",Results!$E$5="Million",$B$52="million"),((EP37*EP$51)/(EP$52)),"0")))))</f>
        <v>0</v>
      </c>
      <c r="EQ90" s="20" t="str">
        <f>IF(EQ37=0,"0",IF(AND(Results!$E$5="Protein",$C$53&gt;0,OR(Results!$E$4="Tissue",Results!$E$4="Cells")),((EQ37*EQ$51)/(EQ$53)),IF(AND(Results!$E$5="Weight",$C$52&gt;0, Results!$E$4="Tissue",OR($B$52="g",$B$52="mg")),((EQ37*EQ$51)/(EQ$52)),IF(AND(Results!$E$5="Volume",$C$54&gt;0,Results!$E$4="Fluid"),((EQ37*EQ$51)/(EQ$54)),IF(AND(Results!$E$4="Cells",Results!$E$5="Million",$B$52="million"),((EQ37*EQ$51)/(EQ$52)),"0")))))</f>
        <v>0</v>
      </c>
      <c r="ER90" s="20" t="str">
        <f>IF(ER37=0,"0",IF(AND(Results!$E$5="Protein",$C$53&gt;0,OR(Results!$E$4="Tissue",Results!$E$4="Cells")),((ER37*ER$51)/(ER$53)),IF(AND(Results!$E$5="Weight",$C$52&gt;0, Results!$E$4="Tissue",OR($B$52="g",$B$52="mg")),((ER37*ER$51)/(ER$52)),IF(AND(Results!$E$5="Volume",$C$54&gt;0,Results!$E$4="Fluid"),((ER37*ER$51)/(ER$54)),IF(AND(Results!$E$4="Cells",Results!$E$5="Million",$B$52="million"),((ER37*ER$51)/(ER$52)),"0")))))</f>
        <v>0</v>
      </c>
      <c r="ES90" s="20" t="str">
        <f>IF(ES37=0,"0",IF(AND(Results!$E$5="Protein",$C$53&gt;0,OR(Results!$E$4="Tissue",Results!$E$4="Cells")),((ES37*ES$51)/(ES$53)),IF(AND(Results!$E$5="Weight",$C$52&gt;0, Results!$E$4="Tissue",OR($B$52="g",$B$52="mg")),((ES37*ES$51)/(ES$52)),IF(AND(Results!$E$5="Volume",$C$54&gt;0,Results!$E$4="Fluid"),((ES37*ES$51)/(ES$54)),IF(AND(Results!$E$4="Cells",Results!$E$5="Million",$B$52="million"),((ES37*ES$51)/(ES$52)),"0")))))</f>
        <v>0</v>
      </c>
      <c r="ET90" s="20" t="str">
        <f>IF(ET37=0,"0",IF(AND(Results!$E$5="Protein",$C$53&gt;0,OR(Results!$E$4="Tissue",Results!$E$4="Cells")),((ET37*ET$51)/(ET$53)),IF(AND(Results!$E$5="Weight",$C$52&gt;0, Results!$E$4="Tissue",OR($B$52="g",$B$52="mg")),((ET37*ET$51)/(ET$52)),IF(AND(Results!$E$5="Volume",$C$54&gt;0,Results!$E$4="Fluid"),((ET37*ET$51)/(ET$54)),IF(AND(Results!$E$4="Cells",Results!$E$5="Million",$B$52="million"),((ET37*ET$51)/(ET$52)),"0")))))</f>
        <v>0</v>
      </c>
      <c r="EU90" s="20" t="str">
        <f>IF(EU37=0,"0",IF(AND(Results!$E$5="Protein",$C$53&gt;0,OR(Results!$E$4="Tissue",Results!$E$4="Cells")),((EU37*EU$51)/(EU$53)),IF(AND(Results!$E$5="Weight",$C$52&gt;0, Results!$E$4="Tissue",OR($B$52="g",$B$52="mg")),((EU37*EU$51)/(EU$52)),IF(AND(Results!$E$5="Volume",$C$54&gt;0,Results!$E$4="Fluid"),((EU37*EU$51)/(EU$54)),IF(AND(Results!$E$4="Cells",Results!$E$5="Million",$B$52="million"),((EU37*EU$51)/(EU$52)),"0")))))</f>
        <v>0</v>
      </c>
      <c r="EV90" s="20" t="str">
        <f>IF(EV37=0,"0",IF(AND(Results!$E$5="Protein",$C$53&gt;0,OR(Results!$E$4="Tissue",Results!$E$4="Cells")),((EV37*EV$51)/(EV$53)),IF(AND(Results!$E$5="Weight",$C$52&gt;0, Results!$E$4="Tissue",OR($B$52="g",$B$52="mg")),((EV37*EV$51)/(EV$52)),IF(AND(Results!$E$5="Volume",$C$54&gt;0,Results!$E$4="Fluid"),((EV37*EV$51)/(EV$54)),IF(AND(Results!$E$4="Cells",Results!$E$5="Million",$B$52="million"),((EV37*EV$51)/(EV$52)),"0")))))</f>
        <v>0</v>
      </c>
      <c r="EW90" s="20" t="str">
        <f>IF(EW37=0,"0",IF(AND(Results!$E$5="Protein",$C$53&gt;0,OR(Results!$E$4="Tissue",Results!$E$4="Cells")),((EW37*EW$51)/(EW$53)),IF(AND(Results!$E$5="Weight",$C$52&gt;0, Results!$E$4="Tissue",OR($B$52="g",$B$52="mg")),((EW37*EW$51)/(EW$52)),IF(AND(Results!$E$5="Volume",$C$54&gt;0,Results!$E$4="Fluid"),((EW37*EW$51)/(EW$54)),IF(AND(Results!$E$4="Cells",Results!$E$5="Million",$B$52="million"),((EW37*EW$51)/(EW$52)),"0")))))</f>
        <v>0</v>
      </c>
      <c r="EX90" s="20" t="str">
        <f>IF(EX37=0,"0",IF(AND(Results!$E$5="Protein",$C$53&gt;0,OR(Results!$E$4="Tissue",Results!$E$4="Cells")),((EX37*EX$51)/(EX$53)),IF(AND(Results!$E$5="Weight",$C$52&gt;0, Results!$E$4="Tissue",OR($B$52="g",$B$52="mg")),((EX37*EX$51)/(EX$52)),IF(AND(Results!$E$5="Volume",$C$54&gt;0,Results!$E$4="Fluid"),((EX37*EX$51)/(EX$54)),IF(AND(Results!$E$4="Cells",Results!$E$5="Million",$B$52="million"),((EX37*EX$51)/(EX$52)),"0")))))</f>
        <v>0</v>
      </c>
      <c r="EY90" s="20" t="str">
        <f>IF(EY37=0,"0",IF(AND(Results!$E$5="Protein",$C$53&gt;0,OR(Results!$E$4="Tissue",Results!$E$4="Cells")),((EY37*EY$51)/(EY$53)),IF(AND(Results!$E$5="Weight",$C$52&gt;0, Results!$E$4="Tissue",OR($B$52="g",$B$52="mg")),((EY37*EY$51)/(EY$52)),IF(AND(Results!$E$5="Volume",$C$54&gt;0,Results!$E$4="Fluid"),((EY37*EY$51)/(EY$54)),IF(AND(Results!$E$4="Cells",Results!$E$5="Million",$B$52="million"),((EY37*EY$51)/(EY$52)),"0")))))</f>
        <v>0</v>
      </c>
      <c r="EZ90" s="20" t="str">
        <f>IF(EZ37=0,"0",IF(AND(Results!$E$5="Protein",$C$53&gt;0,OR(Results!$E$4="Tissue",Results!$E$4="Cells")),((EZ37*EZ$51)/(EZ$53)),IF(AND(Results!$E$5="Weight",$C$52&gt;0, Results!$E$4="Tissue",OR($B$52="g",$B$52="mg")),((EZ37*EZ$51)/(EZ$52)),IF(AND(Results!$E$5="Volume",$C$54&gt;0,Results!$E$4="Fluid"),((EZ37*EZ$51)/(EZ$54)),IF(AND(Results!$E$4="Cells",Results!$E$5="Million",$B$52="million"),((EZ37*EZ$51)/(EZ$52)),"0")))))</f>
        <v>0</v>
      </c>
      <c r="FA90" s="20" t="str">
        <f>IF(FA37=0,"0",IF(AND(Results!$E$5="Protein",$C$53&gt;0,OR(Results!$E$4="Tissue",Results!$E$4="Cells")),((FA37*FA$51)/(FA$53)),IF(AND(Results!$E$5="Weight",$C$52&gt;0, Results!$E$4="Tissue",OR($B$52="g",$B$52="mg")),((FA37*FA$51)/(FA$52)),IF(AND(Results!$E$5="Volume",$C$54&gt;0,Results!$E$4="Fluid"),((FA37*FA$51)/(FA$54)),IF(AND(Results!$E$4="Cells",Results!$E$5="Million",$B$52="million"),((FA37*FA$51)/(FA$52)),"0")))))</f>
        <v>0</v>
      </c>
      <c r="FB90" s="20" t="str">
        <f>IF(FB37=0,"0",IF(AND(Results!$E$5="Protein",$C$53&gt;0,OR(Results!$E$4="Tissue",Results!$E$4="Cells")),((FB37*FB$51)/(FB$53)),IF(AND(Results!$E$5="Weight",$C$52&gt;0, Results!$E$4="Tissue",OR($B$52="g",$B$52="mg")),((FB37*FB$51)/(FB$52)),IF(AND(Results!$E$5="Volume",$C$54&gt;0,Results!$E$4="Fluid"),((FB37*FB$51)/(FB$54)),IF(AND(Results!$E$4="Cells",Results!$E$5="Million",$B$52="million"),((FB37*FB$51)/(FB$52)),"0")))))</f>
        <v>0</v>
      </c>
      <c r="FC90" s="20" t="str">
        <f>IF(FC37=0,"0",IF(AND(Results!$E$5="Protein",$C$53&gt;0,OR(Results!$E$4="Tissue",Results!$E$4="Cells")),((FC37*FC$51)/(FC$53)),IF(AND(Results!$E$5="Weight",$C$52&gt;0, Results!$E$4="Tissue",OR($B$52="g",$B$52="mg")),((FC37*FC$51)/(FC$52)),IF(AND(Results!$E$5="Volume",$C$54&gt;0,Results!$E$4="Fluid"),((FC37*FC$51)/(FC$54)),IF(AND(Results!$E$4="Cells",Results!$E$5="Million",$B$52="million"),((FC37*FC$51)/(FC$52)),"0")))))</f>
        <v>0</v>
      </c>
      <c r="FD90" s="20" t="str">
        <f>IF(FD37=0,"0",IF(AND(Results!$E$5="Protein",$C$53&gt;0,OR(Results!$E$4="Tissue",Results!$E$4="Cells")),((FD37*FD$51)/(FD$53)),IF(AND(Results!$E$5="Weight",$C$52&gt;0, Results!$E$4="Tissue",OR($B$52="g",$B$52="mg")),((FD37*FD$51)/(FD$52)),IF(AND(Results!$E$5="Volume",$C$54&gt;0,Results!$E$4="Fluid"),((FD37*FD$51)/(FD$54)),IF(AND(Results!$E$4="Cells",Results!$E$5="Million",$B$52="million"),((FD37*FD$51)/(FD$52)),"0")))))</f>
        <v>0</v>
      </c>
      <c r="FE90" s="20" t="str">
        <f>IF(FE37=0,"0",IF(AND(Results!$E$5="Protein",$C$53&gt;0,OR(Results!$E$4="Tissue",Results!$E$4="Cells")),((FE37*FE$51)/(FE$53)),IF(AND(Results!$E$5="Weight",$C$52&gt;0, Results!$E$4="Tissue",OR($B$52="g",$B$52="mg")),((FE37*FE$51)/(FE$52)),IF(AND(Results!$E$5="Volume",$C$54&gt;0,Results!$E$4="Fluid"),((FE37*FE$51)/(FE$54)),IF(AND(Results!$E$4="Cells",Results!$E$5="Million",$B$52="million"),((FE37*FE$51)/(FE$52)),"0")))))</f>
        <v>0</v>
      </c>
      <c r="FF90" s="20" t="str">
        <f>IF(FF37=0,"0",IF(AND(Results!$E$5="Protein",$C$53&gt;0,OR(Results!$E$4="Tissue",Results!$E$4="Cells")),((FF37*FF$51)/(FF$53)),IF(AND(Results!$E$5="Weight",$C$52&gt;0, Results!$E$4="Tissue",OR($B$52="g",$B$52="mg")),((FF37*FF$51)/(FF$52)),IF(AND(Results!$E$5="Volume",$C$54&gt;0,Results!$E$4="Fluid"),((FF37*FF$51)/(FF$54)),IF(AND(Results!$E$4="Cells",Results!$E$5="Million",$B$52="million"),((FF37*FF$51)/(FF$52)),"0")))))</f>
        <v>0</v>
      </c>
      <c r="FG90" s="20" t="str">
        <f>IF(FG37=0,"0",IF(AND(Results!$E$5="Protein",$C$53&gt;0,OR(Results!$E$4="Tissue",Results!$E$4="Cells")),((FG37*FG$51)/(FG$53)),IF(AND(Results!$E$5="Weight",$C$52&gt;0, Results!$E$4="Tissue",OR($B$52="g",$B$52="mg")),((FG37*FG$51)/(FG$52)),IF(AND(Results!$E$5="Volume",$C$54&gt;0,Results!$E$4="Fluid"),((FG37*FG$51)/(FG$54)),IF(AND(Results!$E$4="Cells",Results!$E$5="Million",$B$52="million"),((FG37*FG$51)/(FG$52)),"0")))))</f>
        <v>0</v>
      </c>
      <c r="FH90" s="20" t="str">
        <f>IF(FH37=0,"0",IF(AND(Results!$E$5="Protein",$C$53&gt;0,OR(Results!$E$4="Tissue",Results!$E$4="Cells")),((FH37*FH$51)/(FH$53)),IF(AND(Results!$E$5="Weight",$C$52&gt;0, Results!$E$4="Tissue",OR($B$52="g",$B$52="mg")),((FH37*FH$51)/(FH$52)),IF(AND(Results!$E$5="Volume",$C$54&gt;0,Results!$E$4="Fluid"),((FH37*FH$51)/(FH$54)),IF(AND(Results!$E$4="Cells",Results!$E$5="Million",$B$52="million"),((FH37*FH$51)/(FH$52)),"0")))))</f>
        <v>0</v>
      </c>
      <c r="FI90" s="20" t="str">
        <f>IF(FI37=0,"0",IF(AND(Results!$E$5="Protein",$C$53&gt;0,OR(Results!$E$4="Tissue",Results!$E$4="Cells")),((FI37*FI$51)/(FI$53)),IF(AND(Results!$E$5="Weight",$C$52&gt;0, Results!$E$4="Tissue",OR($B$52="g",$B$52="mg")),((FI37*FI$51)/(FI$52)),IF(AND(Results!$E$5="Volume",$C$54&gt;0,Results!$E$4="Fluid"),((FI37*FI$51)/(FI$54)),IF(AND(Results!$E$4="Cells",Results!$E$5="Million",$B$52="million"),((FI37*FI$51)/(FI$52)),"0")))))</f>
        <v>0</v>
      </c>
      <c r="FJ90" s="20" t="str">
        <f>IF(FJ37=0,"0",IF(AND(Results!$E$5="Protein",$C$53&gt;0,OR(Results!$E$4="Tissue",Results!$E$4="Cells")),((FJ37*FJ$51)/(FJ$53)),IF(AND(Results!$E$5="Weight",$C$52&gt;0, Results!$E$4="Tissue",OR($B$52="g",$B$52="mg")),((FJ37*FJ$51)/(FJ$52)),IF(AND(Results!$E$5="Volume",$C$54&gt;0,Results!$E$4="Fluid"),((FJ37*FJ$51)/(FJ$54)),IF(AND(Results!$E$4="Cells",Results!$E$5="Million",$B$52="million"),((FJ37*FJ$51)/(FJ$52)),"0")))))</f>
        <v>0</v>
      </c>
      <c r="FK90" s="20" t="str">
        <f>IF(FK37=0,"0",IF(AND(Results!$E$5="Protein",$C$53&gt;0,OR(Results!$E$4="Tissue",Results!$E$4="Cells")),((FK37*FK$51)/(FK$53)),IF(AND(Results!$E$5="Weight",$C$52&gt;0, Results!$E$4="Tissue",OR($B$52="g",$B$52="mg")),((FK37*FK$51)/(FK$52)),IF(AND(Results!$E$5="Volume",$C$54&gt;0,Results!$E$4="Fluid"),((FK37*FK$51)/(FK$54)),IF(AND(Results!$E$4="Cells",Results!$E$5="Million",$B$52="million"),((FK37*FK$51)/(FK$52)),"0")))))</f>
        <v>0</v>
      </c>
      <c r="FL90" s="20" t="str">
        <f>IF(FL37=0,"0",IF(AND(Results!$E$5="Protein",$C$53&gt;0,OR(Results!$E$4="Tissue",Results!$E$4="Cells")),((FL37*FL$51)/(FL$53)),IF(AND(Results!$E$5="Weight",$C$52&gt;0, Results!$E$4="Tissue",OR($B$52="g",$B$52="mg")),((FL37*FL$51)/(FL$52)),IF(AND(Results!$E$5="Volume",$C$54&gt;0,Results!$E$4="Fluid"),((FL37*FL$51)/(FL$54)),IF(AND(Results!$E$4="Cells",Results!$E$5="Million",$B$52="million"),((FL37*FL$51)/(FL$52)),"0")))))</f>
        <v>0</v>
      </c>
      <c r="FM90" s="20" t="str">
        <f>IF(FM37=0,"0",IF(AND(Results!$E$5="Protein",$C$53&gt;0,OR(Results!$E$4="Tissue",Results!$E$4="Cells")),((FM37*FM$51)/(FM$53)),IF(AND(Results!$E$5="Weight",$C$52&gt;0, Results!$E$4="Tissue",OR($B$52="g",$B$52="mg")),((FM37*FM$51)/(FM$52)),IF(AND(Results!$E$5="Volume",$C$54&gt;0,Results!$E$4="Fluid"),((FM37*FM$51)/(FM$54)),IF(AND(Results!$E$4="Cells",Results!$E$5="Million",$B$52="million"),((FM37*FM$51)/(FM$52)),"0")))))</f>
        <v>0</v>
      </c>
      <c r="FN90" s="20" t="str">
        <f>IF(FN37=0,"0",IF(AND(Results!$E$5="Protein",$C$53&gt;0,OR(Results!$E$4="Tissue",Results!$E$4="Cells")),((FN37*FN$51)/(FN$53)),IF(AND(Results!$E$5="Weight",$C$52&gt;0, Results!$E$4="Tissue",OR($B$52="g",$B$52="mg")),((FN37*FN$51)/(FN$52)),IF(AND(Results!$E$5="Volume",$C$54&gt;0,Results!$E$4="Fluid"),((FN37*FN$51)/(FN$54)),IF(AND(Results!$E$4="Cells",Results!$E$5="Million",$B$52="million"),((FN37*FN$51)/(FN$52)),"0")))))</f>
        <v>0</v>
      </c>
      <c r="FO90" s="20" t="str">
        <f>IF(FO37=0,"0",IF(AND(Results!$E$5="Protein",$C$53&gt;0,OR(Results!$E$4="Tissue",Results!$E$4="Cells")),((FO37*FO$51)/(FO$53)),IF(AND(Results!$E$5="Weight",$C$52&gt;0, Results!$E$4="Tissue",OR($B$52="g",$B$52="mg")),((FO37*FO$51)/(FO$52)),IF(AND(Results!$E$5="Volume",$C$54&gt;0,Results!$E$4="Fluid"),((FO37*FO$51)/(FO$54)),IF(AND(Results!$E$4="Cells",Results!$E$5="Million",$B$52="million"),((FO37*FO$51)/(FO$52)),"0")))))</f>
        <v>0</v>
      </c>
    </row>
    <row r="91" spans="1:171" x14ac:dyDescent="0.2">
      <c r="A91" s="120" t="str">
        <f t="shared" si="1"/>
        <v xml:space="preserve">PGE3 </v>
      </c>
      <c r="B91" s="121"/>
      <c r="C91" s="20" t="str">
        <f>IF(C38=0,"0",IF(AND(Results!$E$5="Protein",$C$53&gt;0,OR(Results!$E$4="Tissue",Results!$E$4="Cells")),((C38*C$51)/(C$53)),IF(AND(Results!$E$5="Weight",$C$52&gt;0, Results!$E$4="Tissue",OR($B$52="g",$B$52="mg")),((C38*C$51)/(C$52)),IF(AND(Results!$E$5="Volume",$C$54&gt;0,Results!$E$4="Fluid"),((C38*C$51)/(C$54)),IF(AND(Results!$E$4="Cells",Results!$E$5="Million",$B$52="million"),((C38*C$51)/(C$52)),"0")))))</f>
        <v>0</v>
      </c>
      <c r="D91" s="20" t="str">
        <f>IF(D38=0,"0",IF(AND(Results!$E$5="Protein",$C$53&gt;0,OR(Results!$E$4="Tissue",Results!$E$4="Cells")),((D38*D$51)/(D$53)),IF(AND(Results!$E$5="Weight",$C$52&gt;0, Results!$E$4="Tissue",OR($B$52="g",$B$52="mg")),((D38*D$51)/(D$52)),IF(AND(Results!$E$5="Volume",$C$54&gt;0,Results!$E$4="Fluid"),((D38*D$51)/(D$54)),IF(AND(Results!$E$4="Cells",Results!$E$5="Million",$B$52="million"),((D38*D$51)/(D$52)),"0")))))</f>
        <v>0</v>
      </c>
      <c r="E91" s="20" t="str">
        <f>IF(E38=0,"0",IF(AND(Results!$E$5="Protein",$C$53&gt;0,OR(Results!$E$4="Tissue",Results!$E$4="Cells")),((E38*E$51)/(E$53)),IF(AND(Results!$E$5="Weight",$C$52&gt;0, Results!$E$4="Tissue",OR($B$52="g",$B$52="mg")),((E38*E$51)/(E$52)),IF(AND(Results!$E$5="Volume",$C$54&gt;0,Results!$E$4="Fluid"),((E38*E$51)/(E$54)),IF(AND(Results!$E$4="Cells",Results!$E$5="Million",$B$52="million"),((E38*E$51)/(E$52)),"0")))))</f>
        <v>0</v>
      </c>
      <c r="F91" s="20" t="str">
        <f>IF(F38=0,"0",IF(AND(Results!$E$5="Protein",$C$53&gt;0,OR(Results!$E$4="Tissue",Results!$E$4="Cells")),((F38*F$51)/(F$53)),IF(AND(Results!$E$5="Weight",$C$52&gt;0, Results!$E$4="Tissue",OR($B$52="g",$B$52="mg")),((F38*F$51)/(F$52)),IF(AND(Results!$E$5="Volume",$C$54&gt;0,Results!$E$4="Fluid"),((F38*F$51)/(F$54)),IF(AND(Results!$E$4="Cells",Results!$E$5="Million",$B$52="million"),((F38*F$51)/(F$52)),"0")))))</f>
        <v>0</v>
      </c>
      <c r="G91" s="20" t="str">
        <f>IF(G38=0,"0",IF(AND(Results!$E$5="Protein",$C$53&gt;0,OR(Results!$E$4="Tissue",Results!$E$4="Cells")),((G38*G$51)/(G$53)),IF(AND(Results!$E$5="Weight",$C$52&gt;0, Results!$E$4="Tissue",OR($B$52="g",$B$52="mg")),((G38*G$51)/(G$52)),IF(AND(Results!$E$5="Volume",$C$54&gt;0,Results!$E$4="Fluid"),((G38*G$51)/(G$54)),IF(AND(Results!$E$4="Cells",Results!$E$5="Million",$B$52="million"),((G38*G$51)/(G$52)),"0")))))</f>
        <v>0</v>
      </c>
      <c r="H91" s="20" t="str">
        <f>IF(H38=0,"0",IF(AND(Results!$E$5="Protein",$C$53&gt;0,OR(Results!$E$4="Tissue",Results!$E$4="Cells")),((H38*H$51)/(H$53)),IF(AND(Results!$E$5="Weight",$C$52&gt;0, Results!$E$4="Tissue",OR($B$52="g",$B$52="mg")),((H38*H$51)/(H$52)),IF(AND(Results!$E$5="Volume",$C$54&gt;0,Results!$E$4="Fluid"),((H38*H$51)/(H$54)),IF(AND(Results!$E$4="Cells",Results!$E$5="Million",$B$52="million"),((H38*H$51)/(H$52)),"0")))))</f>
        <v>0</v>
      </c>
      <c r="I91" s="20" t="str">
        <f>IF(I38=0,"0",IF(AND(Results!$E$5="Protein",$C$53&gt;0,OR(Results!$E$4="Tissue",Results!$E$4="Cells")),((I38*I$51)/(I$53)),IF(AND(Results!$E$5="Weight",$C$52&gt;0, Results!$E$4="Tissue",OR($B$52="g",$B$52="mg")),((I38*I$51)/(I$52)),IF(AND(Results!$E$5="Volume",$C$54&gt;0,Results!$E$4="Fluid"),((I38*I$51)/(I$54)),IF(AND(Results!$E$4="Cells",Results!$E$5="Million",$B$52="million"),((I38*I$51)/(I$52)),"0")))))</f>
        <v>0</v>
      </c>
      <c r="J91" s="20" t="str">
        <f>IF(J38=0,"0",IF(AND(Results!$E$5="Protein",$C$53&gt;0,OR(Results!$E$4="Tissue",Results!$E$4="Cells")),((J38*J$51)/(J$53)),IF(AND(Results!$E$5="Weight",$C$52&gt;0, Results!$E$4="Tissue",OR($B$52="g",$B$52="mg")),((J38*J$51)/(J$52)),IF(AND(Results!$E$5="Volume",$C$54&gt;0,Results!$E$4="Fluid"),((J38*J$51)/(J$54)),IF(AND(Results!$E$4="Cells",Results!$E$5="Million",$B$52="million"),((J38*J$51)/(J$52)),"0")))))</f>
        <v>0</v>
      </c>
      <c r="K91" s="20" t="str">
        <f>IF(K38=0,"0",IF(AND(Results!$E$5="Protein",$C$53&gt;0,OR(Results!$E$4="Tissue",Results!$E$4="Cells")),((K38*K$51)/(K$53)),IF(AND(Results!$E$5="Weight",$C$52&gt;0, Results!$E$4="Tissue",OR($B$52="g",$B$52="mg")),((K38*K$51)/(K$52)),IF(AND(Results!$E$5="Volume",$C$54&gt;0,Results!$E$4="Fluid"),((K38*K$51)/(K$54)),IF(AND(Results!$E$4="Cells",Results!$E$5="Million",$B$52="million"),((K38*K$51)/(K$52)),"0")))))</f>
        <v>0</v>
      </c>
      <c r="L91" s="20" t="str">
        <f>IF(L38=0,"0",IF(AND(Results!$E$5="Protein",$C$53&gt;0,OR(Results!$E$4="Tissue",Results!$E$4="Cells")),((L38*L$51)/(L$53)),IF(AND(Results!$E$5="Weight",$C$52&gt;0, Results!$E$4="Tissue",OR($B$52="g",$B$52="mg")),((L38*L$51)/(L$52)),IF(AND(Results!$E$5="Volume",$C$54&gt;0,Results!$E$4="Fluid"),((L38*L$51)/(L$54)),IF(AND(Results!$E$4="Cells",Results!$E$5="Million",$B$52="million"),((L38*L$51)/(L$52)),"0")))))</f>
        <v>0</v>
      </c>
      <c r="M91" s="20" t="str">
        <f>IF(M38=0,"0",IF(AND(Results!$E$5="Protein",$C$53&gt;0,OR(Results!$E$4="Tissue",Results!$E$4="Cells")),((M38*M$51)/(M$53)),IF(AND(Results!$E$5="Weight",$C$52&gt;0, Results!$E$4="Tissue",OR($B$52="g",$B$52="mg")),((M38*M$51)/(M$52)),IF(AND(Results!$E$5="Volume",$C$54&gt;0,Results!$E$4="Fluid"),((M38*M$51)/(M$54)),IF(AND(Results!$E$4="Cells",Results!$E$5="Million",$B$52="million"),((M38*M$51)/(M$52)),"0")))))</f>
        <v>0</v>
      </c>
      <c r="N91" s="20" t="str">
        <f>IF(N38=0,"0",IF(AND(Results!$E$5="Protein",$C$53&gt;0,OR(Results!$E$4="Tissue",Results!$E$4="Cells")),((N38*N$51)/(N$53)),IF(AND(Results!$E$5="Weight",$C$52&gt;0, Results!$E$4="Tissue",OR($B$52="g",$B$52="mg")),((N38*N$51)/(N$52)),IF(AND(Results!$E$5="Volume",$C$54&gt;0,Results!$E$4="Fluid"),((N38*N$51)/(N$54)),IF(AND(Results!$E$4="Cells",Results!$E$5="Million",$B$52="million"),((N38*N$51)/(N$52)),"0")))))</f>
        <v>0</v>
      </c>
      <c r="O91" s="20" t="str">
        <f>IF(O38=0,"0",IF(AND(Results!$E$5="Protein",$C$53&gt;0,OR(Results!$E$4="Tissue",Results!$E$4="Cells")),((O38*O$51)/(O$53)),IF(AND(Results!$E$5="Weight",$C$52&gt;0, Results!$E$4="Tissue",OR($B$52="g",$B$52="mg")),((O38*O$51)/(O$52)),IF(AND(Results!$E$5="Volume",$C$54&gt;0,Results!$E$4="Fluid"),((O38*O$51)/(O$54)),IF(AND(Results!$E$4="Cells",Results!$E$5="Million",$B$52="million"),((O38*O$51)/(O$52)),"0")))))</f>
        <v>0</v>
      </c>
      <c r="P91" s="20" t="str">
        <f>IF(P38=0,"0",IF(AND(Results!$E$5="Protein",$C$53&gt;0,OR(Results!$E$4="Tissue",Results!$E$4="Cells")),((P38*P$51)/(P$53)),IF(AND(Results!$E$5="Weight",$C$52&gt;0, Results!$E$4="Tissue",OR($B$52="g",$B$52="mg")),((P38*P$51)/(P$52)),IF(AND(Results!$E$5="Volume",$C$54&gt;0,Results!$E$4="Fluid"),((P38*P$51)/(P$54)),IF(AND(Results!$E$4="Cells",Results!$E$5="Million",$B$52="million"),((P38*P$51)/(P$52)),"0")))))</f>
        <v>0</v>
      </c>
      <c r="Q91" s="20" t="str">
        <f>IF(Q38=0,"0",IF(AND(Results!$E$5="Protein",$C$53&gt;0,OR(Results!$E$4="Tissue",Results!$E$4="Cells")),((Q38*Q$51)/(Q$53)),IF(AND(Results!$E$5="Weight",$C$52&gt;0, Results!$E$4="Tissue",OR($B$52="g",$B$52="mg")),((Q38*Q$51)/(Q$52)),IF(AND(Results!$E$5="Volume",$C$54&gt;0,Results!$E$4="Fluid"),((Q38*Q$51)/(Q$54)),IF(AND(Results!$E$4="Cells",Results!$E$5="Million",$B$52="million"),((Q38*Q$51)/(Q$52)),"0")))))</f>
        <v>0</v>
      </c>
      <c r="R91" s="20" t="str">
        <f>IF(R38=0,"0",IF(AND(Results!$E$5="Protein",$C$53&gt;0,OR(Results!$E$4="Tissue",Results!$E$4="Cells")),((R38*R$51)/(R$53)),IF(AND(Results!$E$5="Weight",$C$52&gt;0, Results!$E$4="Tissue",OR($B$52="g",$B$52="mg")),((R38*R$51)/(R$52)),IF(AND(Results!$E$5="Volume",$C$54&gt;0,Results!$E$4="Fluid"),((R38*R$51)/(R$54)),IF(AND(Results!$E$4="Cells",Results!$E$5="Million",$B$52="million"),((R38*R$51)/(R$52)),"0")))))</f>
        <v>0</v>
      </c>
      <c r="S91" s="20" t="str">
        <f>IF(S38=0,"0",IF(AND(Results!$E$5="Protein",$C$53&gt;0,OR(Results!$E$4="Tissue",Results!$E$4="Cells")),((S38*S$51)/(S$53)),IF(AND(Results!$E$5="Weight",$C$52&gt;0, Results!$E$4="Tissue",OR($B$52="g",$B$52="mg")),((S38*S$51)/(S$52)),IF(AND(Results!$E$5="Volume",$C$54&gt;0,Results!$E$4="Fluid"),((S38*S$51)/(S$54)),IF(AND(Results!$E$4="Cells",Results!$E$5="Million",$B$52="million"),((S38*S$51)/(S$52)),"0")))))</f>
        <v>0</v>
      </c>
      <c r="T91" s="20" t="str">
        <f>IF(T38=0,"0",IF(AND(Results!$E$5="Protein",$C$53&gt;0,OR(Results!$E$4="Tissue",Results!$E$4="Cells")),((T38*T$51)/(T$53)),IF(AND(Results!$E$5="Weight",$C$52&gt;0, Results!$E$4="Tissue",OR($B$52="g",$B$52="mg")),((T38*T$51)/(T$52)),IF(AND(Results!$E$5="Volume",$C$54&gt;0,Results!$E$4="Fluid"),((T38*T$51)/(T$54)),IF(AND(Results!$E$4="Cells",Results!$E$5="Million",$B$52="million"),((T38*T$51)/(T$52)),"0")))))</f>
        <v>0</v>
      </c>
      <c r="U91" s="20" t="str">
        <f>IF(U38=0,"0",IF(AND(Results!$E$5="Protein",$C$53&gt;0,OR(Results!$E$4="Tissue",Results!$E$4="Cells")),((U38*U$51)/(U$53)),IF(AND(Results!$E$5="Weight",$C$52&gt;0, Results!$E$4="Tissue",OR($B$52="g",$B$52="mg")),((U38*U$51)/(U$52)),IF(AND(Results!$E$5="Volume",$C$54&gt;0,Results!$E$4="Fluid"),((U38*U$51)/(U$54)),IF(AND(Results!$E$4="Cells",Results!$E$5="Million",$B$52="million"),((U38*U$51)/(U$52)),"0")))))</f>
        <v>0</v>
      </c>
      <c r="V91" s="20" t="str">
        <f>IF(V38=0,"0",IF(AND(Results!$E$5="Protein",$C$53&gt;0,OR(Results!$E$4="Tissue",Results!$E$4="Cells")),((V38*V$51)/(V$53)),IF(AND(Results!$E$5="Weight",$C$52&gt;0, Results!$E$4="Tissue",OR($B$52="g",$B$52="mg")),((V38*V$51)/(V$52)),IF(AND(Results!$E$5="Volume",$C$54&gt;0,Results!$E$4="Fluid"),((V38*V$51)/(V$54)),IF(AND(Results!$E$4="Cells",Results!$E$5="Million",$B$52="million"),((V38*V$51)/(V$52)),"0")))))</f>
        <v>0</v>
      </c>
      <c r="W91" s="20" t="str">
        <f>IF(W38=0,"0",IF(AND(Results!$E$5="Protein",$C$53&gt;0,OR(Results!$E$4="Tissue",Results!$E$4="Cells")),((W38*W$51)/(W$53)),IF(AND(Results!$E$5="Weight",$C$52&gt;0, Results!$E$4="Tissue",OR($B$52="g",$B$52="mg")),((W38*W$51)/(W$52)),IF(AND(Results!$E$5="Volume",$C$54&gt;0,Results!$E$4="Fluid"),((W38*W$51)/(W$54)),IF(AND(Results!$E$4="Cells",Results!$E$5="Million",$B$52="million"),((W38*W$51)/(W$52)),"0")))))</f>
        <v>0</v>
      </c>
      <c r="X91" s="20" t="str">
        <f>IF(X38=0,"0",IF(AND(Results!$E$5="Protein",$C$53&gt;0,OR(Results!$E$4="Tissue",Results!$E$4="Cells")),((X38*X$51)/(X$53)),IF(AND(Results!$E$5="Weight",$C$52&gt;0, Results!$E$4="Tissue",OR($B$52="g",$B$52="mg")),((X38*X$51)/(X$52)),IF(AND(Results!$E$5="Volume",$C$54&gt;0,Results!$E$4="Fluid"),((X38*X$51)/(X$54)),IF(AND(Results!$E$4="Cells",Results!$E$5="Million",$B$52="million"),((X38*X$51)/(X$52)),"0")))))</f>
        <v>0</v>
      </c>
      <c r="Y91" s="20" t="str">
        <f>IF(Y38=0,"0",IF(AND(Results!$E$5="Protein",$C$53&gt;0,OR(Results!$E$4="Tissue",Results!$E$4="Cells")),((Y38*Y$51)/(Y$53)),IF(AND(Results!$E$5="Weight",$C$52&gt;0, Results!$E$4="Tissue",OR($B$52="g",$B$52="mg")),((Y38*Y$51)/(Y$52)),IF(AND(Results!$E$5="Volume",$C$54&gt;0,Results!$E$4="Fluid"),((Y38*Y$51)/(Y$54)),IF(AND(Results!$E$4="Cells",Results!$E$5="Million",$B$52="million"),((Y38*Y$51)/(Y$52)),"0")))))</f>
        <v>0</v>
      </c>
      <c r="Z91" s="20" t="str">
        <f>IF(Z38=0,"0",IF(AND(Results!$E$5="Protein",$C$53&gt;0,OR(Results!$E$4="Tissue",Results!$E$4="Cells")),((Z38*Z$51)/(Z$53)),IF(AND(Results!$E$5="Weight",$C$52&gt;0, Results!$E$4="Tissue",OR($B$52="g",$B$52="mg")),((Z38*Z$51)/(Z$52)),IF(AND(Results!$E$5="Volume",$C$54&gt;0,Results!$E$4="Fluid"),((Z38*Z$51)/(Z$54)),IF(AND(Results!$E$4="Cells",Results!$E$5="Million",$B$52="million"),((Z38*Z$51)/(Z$52)),"0")))))</f>
        <v>0</v>
      </c>
      <c r="AA91" s="20" t="str">
        <f>IF(AA38=0,"0",IF(AND(Results!$E$5="Protein",$C$53&gt;0,OR(Results!$E$4="Tissue",Results!$E$4="Cells")),((AA38*AA$51)/(AA$53)),IF(AND(Results!$E$5="Weight",$C$52&gt;0, Results!$E$4="Tissue",OR($B$52="g",$B$52="mg")),((AA38*AA$51)/(AA$52)),IF(AND(Results!$E$5="Volume",$C$54&gt;0,Results!$E$4="Fluid"),((AA38*AA$51)/(AA$54)),IF(AND(Results!$E$4="Cells",Results!$E$5="Million",$B$52="million"),((AA38*AA$51)/(AA$52)),"0")))))</f>
        <v>0</v>
      </c>
      <c r="AB91" s="20" t="str">
        <f>IF(AB38=0,"0",IF(AND(Results!$E$5="Protein",$C$53&gt;0,OR(Results!$E$4="Tissue",Results!$E$4="Cells")),((AB38*AB$51)/(AB$53)),IF(AND(Results!$E$5="Weight",$C$52&gt;0, Results!$E$4="Tissue",OR($B$52="g",$B$52="mg")),((AB38*AB$51)/(AB$52)),IF(AND(Results!$E$5="Volume",$C$54&gt;0,Results!$E$4="Fluid"),((AB38*AB$51)/(AB$54)),IF(AND(Results!$E$4="Cells",Results!$E$5="Million",$B$52="million"),((AB38*AB$51)/(AB$52)),"0")))))</f>
        <v>0</v>
      </c>
      <c r="AC91" s="20" t="str">
        <f>IF(AC38=0,"0",IF(AND(Results!$E$5="Protein",$C$53&gt;0,OR(Results!$E$4="Tissue",Results!$E$4="Cells")),((AC38*AC$51)/(AC$53)),IF(AND(Results!$E$5="Weight",$C$52&gt;0, Results!$E$4="Tissue",OR($B$52="g",$B$52="mg")),((AC38*AC$51)/(AC$52)),IF(AND(Results!$E$5="Volume",$C$54&gt;0,Results!$E$4="Fluid"),((AC38*AC$51)/(AC$54)),IF(AND(Results!$E$4="Cells",Results!$E$5="Million",$B$52="million"),((AC38*AC$51)/(AC$52)),"0")))))</f>
        <v>0</v>
      </c>
      <c r="AD91" s="20" t="str">
        <f>IF(AD38=0,"0",IF(AND(Results!$E$5="Protein",$C$53&gt;0,OR(Results!$E$4="Tissue",Results!$E$4="Cells")),((AD38*AD$51)/(AD$53)),IF(AND(Results!$E$5="Weight",$C$52&gt;0, Results!$E$4="Tissue",OR($B$52="g",$B$52="mg")),((AD38*AD$51)/(AD$52)),IF(AND(Results!$E$5="Volume",$C$54&gt;0,Results!$E$4="Fluid"),((AD38*AD$51)/(AD$54)),IF(AND(Results!$E$4="Cells",Results!$E$5="Million",$B$52="million"),((AD38*AD$51)/(AD$52)),"0")))))</f>
        <v>0</v>
      </c>
      <c r="AE91" s="20" t="str">
        <f>IF(AE38=0,"0",IF(AND(Results!$E$5="Protein",$C$53&gt;0,OR(Results!$E$4="Tissue",Results!$E$4="Cells")),((AE38*AE$51)/(AE$53)),IF(AND(Results!$E$5="Weight",$C$52&gt;0, Results!$E$4="Tissue",OR($B$52="g",$B$52="mg")),((AE38*AE$51)/(AE$52)),IF(AND(Results!$E$5="Volume",$C$54&gt;0,Results!$E$4="Fluid"),((AE38*AE$51)/(AE$54)),IF(AND(Results!$E$4="Cells",Results!$E$5="Million",$B$52="million"),((AE38*AE$51)/(AE$52)),"0")))))</f>
        <v>0</v>
      </c>
      <c r="AF91" s="20" t="str">
        <f>IF(AF38=0,"0",IF(AND(Results!$E$5="Protein",$C$53&gt;0,OR(Results!$E$4="Tissue",Results!$E$4="Cells")),((AF38*AF$51)/(AF$53)),IF(AND(Results!$E$5="Weight",$C$52&gt;0, Results!$E$4="Tissue",OR($B$52="g",$B$52="mg")),((AF38*AF$51)/(AF$52)),IF(AND(Results!$E$5="Volume",$C$54&gt;0,Results!$E$4="Fluid"),((AF38*AF$51)/(AF$54)),IF(AND(Results!$E$4="Cells",Results!$E$5="Million",$B$52="million"),((AF38*AF$51)/(AF$52)),"0")))))</f>
        <v>0</v>
      </c>
      <c r="AG91" s="20" t="str">
        <f>IF(AG38=0,"0",IF(AND(Results!$E$5="Protein",$C$53&gt;0,OR(Results!$E$4="Tissue",Results!$E$4="Cells")),((AG38*AG$51)/(AG$53)),IF(AND(Results!$E$5="Weight",$C$52&gt;0, Results!$E$4="Tissue",OR($B$52="g",$B$52="mg")),((AG38*AG$51)/(AG$52)),IF(AND(Results!$E$5="Volume",$C$54&gt;0,Results!$E$4="Fluid"),((AG38*AG$51)/(AG$54)),IF(AND(Results!$E$4="Cells",Results!$E$5="Million",$B$52="million"),((AG38*AG$51)/(AG$52)),"0")))))</f>
        <v>0</v>
      </c>
      <c r="AH91" s="20" t="str">
        <f>IF(AH38=0,"0",IF(AND(Results!$E$5="Protein",$C$53&gt;0,OR(Results!$E$4="Tissue",Results!$E$4="Cells")),((AH38*AH$51)/(AH$53)),IF(AND(Results!$E$5="Weight",$C$52&gt;0, Results!$E$4="Tissue",OR($B$52="g",$B$52="mg")),((AH38*AH$51)/(AH$52)),IF(AND(Results!$E$5="Volume",$C$54&gt;0,Results!$E$4="Fluid"),((AH38*AH$51)/(AH$54)),IF(AND(Results!$E$4="Cells",Results!$E$5="Million",$B$52="million"),((AH38*AH$51)/(AH$52)),"0")))))</f>
        <v>0</v>
      </c>
      <c r="AI91" s="20" t="str">
        <f>IF(AI38=0,"0",IF(AND(Results!$E$5="Protein",$C$53&gt;0,OR(Results!$E$4="Tissue",Results!$E$4="Cells")),((AI38*AI$51)/(AI$53)),IF(AND(Results!$E$5="Weight",$C$52&gt;0, Results!$E$4="Tissue",OR($B$52="g",$B$52="mg")),((AI38*AI$51)/(AI$52)),IF(AND(Results!$E$5="Volume",$C$54&gt;0,Results!$E$4="Fluid"),((AI38*AI$51)/(AI$54)),IF(AND(Results!$E$4="Cells",Results!$E$5="Million",$B$52="million"),((AI38*AI$51)/(AI$52)),"0")))))</f>
        <v>0</v>
      </c>
      <c r="AJ91" s="20" t="str">
        <f>IF(AJ38=0,"0",IF(AND(Results!$E$5="Protein",$C$53&gt;0,OR(Results!$E$4="Tissue",Results!$E$4="Cells")),((AJ38*AJ$51)/(AJ$53)),IF(AND(Results!$E$5="Weight",$C$52&gt;0, Results!$E$4="Tissue",OR($B$52="g",$B$52="mg")),((AJ38*AJ$51)/(AJ$52)),IF(AND(Results!$E$5="Volume",$C$54&gt;0,Results!$E$4="Fluid"),((AJ38*AJ$51)/(AJ$54)),IF(AND(Results!$E$4="Cells",Results!$E$5="Million",$B$52="million"),((AJ38*AJ$51)/(AJ$52)),"0")))))</f>
        <v>0</v>
      </c>
      <c r="AK91" s="20" t="str">
        <f>IF(AK38=0,"0",IF(AND(Results!$E$5="Protein",$C$53&gt;0,OR(Results!$E$4="Tissue",Results!$E$4="Cells")),((AK38*AK$51)/(AK$53)),IF(AND(Results!$E$5="Weight",$C$52&gt;0, Results!$E$4="Tissue",OR($B$52="g",$B$52="mg")),((AK38*AK$51)/(AK$52)),IF(AND(Results!$E$5="Volume",$C$54&gt;0,Results!$E$4="Fluid"),((AK38*AK$51)/(AK$54)),IF(AND(Results!$E$4="Cells",Results!$E$5="Million",$B$52="million"),((AK38*AK$51)/(AK$52)),"0")))))</f>
        <v>0</v>
      </c>
      <c r="AL91" s="20" t="str">
        <f>IF(AL38=0,"0",IF(AND(Results!$E$5="Protein",$C$53&gt;0,OR(Results!$E$4="Tissue",Results!$E$4="Cells")),((AL38*AL$51)/(AL$53)),IF(AND(Results!$E$5="Weight",$C$52&gt;0, Results!$E$4="Tissue",OR($B$52="g",$B$52="mg")),((AL38*AL$51)/(AL$52)),IF(AND(Results!$E$5="Volume",$C$54&gt;0,Results!$E$4="Fluid"),((AL38*AL$51)/(AL$54)),IF(AND(Results!$E$4="Cells",Results!$E$5="Million",$B$52="million"),((AL38*AL$51)/(AL$52)),"0")))))</f>
        <v>0</v>
      </c>
      <c r="AM91" s="20" t="str">
        <f>IF(AM38=0,"0",IF(AND(Results!$E$5="Protein",$C$53&gt;0,OR(Results!$E$4="Tissue",Results!$E$4="Cells")),((AM38*AM$51)/(AM$53)),IF(AND(Results!$E$5="Weight",$C$52&gt;0, Results!$E$4="Tissue",OR($B$52="g",$B$52="mg")),((AM38*AM$51)/(AM$52)),IF(AND(Results!$E$5="Volume",$C$54&gt;0,Results!$E$4="Fluid"),((AM38*AM$51)/(AM$54)),IF(AND(Results!$E$4="Cells",Results!$E$5="Million",$B$52="million"),((AM38*AM$51)/(AM$52)),"0")))))</f>
        <v>0</v>
      </c>
      <c r="AN91" s="20" t="str">
        <f>IF(AN38=0,"0",IF(AND(Results!$E$5="Protein",$C$53&gt;0,OR(Results!$E$4="Tissue",Results!$E$4="Cells")),((AN38*AN$51)/(AN$53)),IF(AND(Results!$E$5="Weight",$C$52&gt;0, Results!$E$4="Tissue",OR($B$52="g",$B$52="mg")),((AN38*AN$51)/(AN$52)),IF(AND(Results!$E$5="Volume",$C$54&gt;0,Results!$E$4="Fluid"),((AN38*AN$51)/(AN$54)),IF(AND(Results!$E$4="Cells",Results!$E$5="Million",$B$52="million"),((AN38*AN$51)/(AN$52)),"0")))))</f>
        <v>0</v>
      </c>
      <c r="AO91" s="20" t="str">
        <f>IF(AO38=0,"0",IF(AND(Results!$E$5="Protein",$C$53&gt;0,OR(Results!$E$4="Tissue",Results!$E$4="Cells")),((AO38*AO$51)/(AO$53)),IF(AND(Results!$E$5="Weight",$C$52&gt;0, Results!$E$4="Tissue",OR($B$52="g",$B$52="mg")),((AO38*AO$51)/(AO$52)),IF(AND(Results!$E$5="Volume",$C$54&gt;0,Results!$E$4="Fluid"),((AO38*AO$51)/(AO$54)),IF(AND(Results!$E$4="Cells",Results!$E$5="Million",$B$52="million"),((AO38*AO$51)/(AO$52)),"0")))))</f>
        <v>0</v>
      </c>
      <c r="AP91" s="20" t="str">
        <f>IF(AP38=0,"0",IF(AND(Results!$E$5="Protein",$C$53&gt;0,OR(Results!$E$4="Tissue",Results!$E$4="Cells")),((AP38*AP$51)/(AP$53)),IF(AND(Results!$E$5="Weight",$C$52&gt;0, Results!$E$4="Tissue",OR($B$52="g",$B$52="mg")),((AP38*AP$51)/(AP$52)),IF(AND(Results!$E$5="Volume",$C$54&gt;0,Results!$E$4="Fluid"),((AP38*AP$51)/(AP$54)),IF(AND(Results!$E$4="Cells",Results!$E$5="Million",$B$52="million"),((AP38*AP$51)/(AP$52)),"0")))))</f>
        <v>0</v>
      </c>
      <c r="AQ91" s="20" t="str">
        <f>IF(AQ38=0,"0",IF(AND(Results!$E$5="Protein",$C$53&gt;0,OR(Results!$E$4="Tissue",Results!$E$4="Cells")),((AQ38*AQ$51)/(AQ$53)),IF(AND(Results!$E$5="Weight",$C$52&gt;0, Results!$E$4="Tissue",OR($B$52="g",$B$52="mg")),((AQ38*AQ$51)/(AQ$52)),IF(AND(Results!$E$5="Volume",$C$54&gt;0,Results!$E$4="Fluid"),((AQ38*AQ$51)/(AQ$54)),IF(AND(Results!$E$4="Cells",Results!$E$5="Million",$B$52="million"),((AQ38*AQ$51)/(AQ$52)),"0")))))</f>
        <v>0</v>
      </c>
      <c r="AR91" s="20" t="str">
        <f>IF(AR38=0,"0",IF(AND(Results!$E$5="Protein",$C$53&gt;0,OR(Results!$E$4="Tissue",Results!$E$4="Cells")),((AR38*AR$51)/(AR$53)),IF(AND(Results!$E$5="Weight",$C$52&gt;0, Results!$E$4="Tissue",OR($B$52="g",$B$52="mg")),((AR38*AR$51)/(AR$52)),IF(AND(Results!$E$5="Volume",$C$54&gt;0,Results!$E$4="Fluid"),((AR38*AR$51)/(AR$54)),IF(AND(Results!$E$4="Cells",Results!$E$5="Million",$B$52="million"),((AR38*AR$51)/(AR$52)),"0")))))</f>
        <v>0</v>
      </c>
      <c r="AS91" s="20" t="str">
        <f>IF(AS38=0,"0",IF(AND(Results!$E$5="Protein",$C$53&gt;0,OR(Results!$E$4="Tissue",Results!$E$4="Cells")),((AS38*AS$51)/(AS$53)),IF(AND(Results!$E$5="Weight",$C$52&gt;0, Results!$E$4="Tissue",OR($B$52="g",$B$52="mg")),((AS38*AS$51)/(AS$52)),IF(AND(Results!$E$5="Volume",$C$54&gt;0,Results!$E$4="Fluid"),((AS38*AS$51)/(AS$54)),IF(AND(Results!$E$4="Cells",Results!$E$5="Million",$B$52="million"),((AS38*AS$51)/(AS$52)),"0")))))</f>
        <v>0</v>
      </c>
      <c r="AT91" s="20" t="str">
        <f>IF(AT38=0,"0",IF(AND(Results!$E$5="Protein",$C$53&gt;0,OR(Results!$E$4="Tissue",Results!$E$4="Cells")),((AT38*AT$51)/(AT$53)),IF(AND(Results!$E$5="Weight",$C$52&gt;0, Results!$E$4="Tissue",OR($B$52="g",$B$52="mg")),((AT38*AT$51)/(AT$52)),IF(AND(Results!$E$5="Volume",$C$54&gt;0,Results!$E$4="Fluid"),((AT38*AT$51)/(AT$54)),IF(AND(Results!$E$4="Cells",Results!$E$5="Million",$B$52="million"),((AT38*AT$51)/(AT$52)),"0")))))</f>
        <v>0</v>
      </c>
      <c r="AU91" s="20" t="str">
        <f>IF(AU38=0,"0",IF(AND(Results!$E$5="Protein",$C$53&gt;0,OR(Results!$E$4="Tissue",Results!$E$4="Cells")),((AU38*AU$51)/(AU$53)),IF(AND(Results!$E$5="Weight",$C$52&gt;0, Results!$E$4="Tissue",OR($B$52="g",$B$52="mg")),((AU38*AU$51)/(AU$52)),IF(AND(Results!$E$5="Volume",$C$54&gt;0,Results!$E$4="Fluid"),((AU38*AU$51)/(AU$54)),IF(AND(Results!$E$4="Cells",Results!$E$5="Million",$B$52="million"),((AU38*AU$51)/(AU$52)),"0")))))</f>
        <v>0</v>
      </c>
      <c r="AV91" s="20" t="str">
        <f>IF(AV38=0,"0",IF(AND(Results!$E$5="Protein",$C$53&gt;0,OR(Results!$E$4="Tissue",Results!$E$4="Cells")),((AV38*AV$51)/(AV$53)),IF(AND(Results!$E$5="Weight",$C$52&gt;0, Results!$E$4="Tissue",OR($B$52="g",$B$52="mg")),((AV38*AV$51)/(AV$52)),IF(AND(Results!$E$5="Volume",$C$54&gt;0,Results!$E$4="Fluid"),((AV38*AV$51)/(AV$54)),IF(AND(Results!$E$4="Cells",Results!$E$5="Million",$B$52="million"),((AV38*AV$51)/(AV$52)),"0")))))</f>
        <v>0</v>
      </c>
      <c r="AW91" s="20" t="str">
        <f>IF(AW38=0,"0",IF(AND(Results!$E$5="Protein",$C$53&gt;0,OR(Results!$E$4="Tissue",Results!$E$4="Cells")),((AW38*AW$51)/(AW$53)),IF(AND(Results!$E$5="Weight",$C$52&gt;0, Results!$E$4="Tissue",OR($B$52="g",$B$52="mg")),((AW38*AW$51)/(AW$52)),IF(AND(Results!$E$5="Volume",$C$54&gt;0,Results!$E$4="Fluid"),((AW38*AW$51)/(AW$54)),IF(AND(Results!$E$4="Cells",Results!$E$5="Million",$B$52="million"),((AW38*AW$51)/(AW$52)),"0")))))</f>
        <v>0</v>
      </c>
      <c r="AX91" s="20" t="str">
        <f>IF(AX38=0,"0",IF(AND(Results!$E$5="Protein",$C$53&gt;0,OR(Results!$E$4="Tissue",Results!$E$4="Cells")),((AX38*AX$51)/(AX$53)),IF(AND(Results!$E$5="Weight",$C$52&gt;0, Results!$E$4="Tissue",OR($B$52="g",$B$52="mg")),((AX38*AX$51)/(AX$52)),IF(AND(Results!$E$5="Volume",$C$54&gt;0,Results!$E$4="Fluid"),((AX38*AX$51)/(AX$54)),IF(AND(Results!$E$4="Cells",Results!$E$5="Million",$B$52="million"),((AX38*AX$51)/(AX$52)),"0")))))</f>
        <v>0</v>
      </c>
      <c r="AY91" s="20" t="str">
        <f>IF(AY38=0,"0",IF(AND(Results!$E$5="Protein",$C$53&gt;0,OR(Results!$E$4="Tissue",Results!$E$4="Cells")),((AY38*AY$51)/(AY$53)),IF(AND(Results!$E$5="Weight",$C$52&gt;0, Results!$E$4="Tissue",OR($B$52="g",$B$52="mg")),((AY38*AY$51)/(AY$52)),IF(AND(Results!$E$5="Volume",$C$54&gt;0,Results!$E$4="Fluid"),((AY38*AY$51)/(AY$54)),IF(AND(Results!$E$4="Cells",Results!$E$5="Million",$B$52="million"),((AY38*AY$51)/(AY$52)),"0")))))</f>
        <v>0</v>
      </c>
      <c r="AZ91" s="20" t="str">
        <f>IF(AZ38=0,"0",IF(AND(Results!$E$5="Protein",$C$53&gt;0,OR(Results!$E$4="Tissue",Results!$E$4="Cells")),((AZ38*AZ$51)/(AZ$53)),IF(AND(Results!$E$5="Weight",$C$52&gt;0, Results!$E$4="Tissue",OR($B$52="g",$B$52="mg")),((AZ38*AZ$51)/(AZ$52)),IF(AND(Results!$E$5="Volume",$C$54&gt;0,Results!$E$4="Fluid"),((AZ38*AZ$51)/(AZ$54)),IF(AND(Results!$E$4="Cells",Results!$E$5="Million",$B$52="million"),((AZ38*AZ$51)/(AZ$52)),"0")))))</f>
        <v>0</v>
      </c>
      <c r="BA91" s="20" t="str">
        <f>IF(BA38=0,"0",IF(AND(Results!$E$5="Protein",$C$53&gt;0,OR(Results!$E$4="Tissue",Results!$E$4="Cells")),((BA38*BA$51)/(BA$53)),IF(AND(Results!$E$5="Weight",$C$52&gt;0, Results!$E$4="Tissue",OR($B$52="g",$B$52="mg")),((BA38*BA$51)/(BA$52)),IF(AND(Results!$E$5="Volume",$C$54&gt;0,Results!$E$4="Fluid"),((BA38*BA$51)/(BA$54)),IF(AND(Results!$E$4="Cells",Results!$E$5="Million",$B$52="million"),((BA38*BA$51)/(BA$52)),"0")))))</f>
        <v>0</v>
      </c>
      <c r="BB91" s="20" t="str">
        <f>IF(BB38=0,"0",IF(AND(Results!$E$5="Protein",$C$53&gt;0,OR(Results!$E$4="Tissue",Results!$E$4="Cells")),((BB38*BB$51)/(BB$53)),IF(AND(Results!$E$5="Weight",$C$52&gt;0, Results!$E$4="Tissue",OR($B$52="g",$B$52="mg")),((BB38*BB$51)/(BB$52)),IF(AND(Results!$E$5="Volume",$C$54&gt;0,Results!$E$4="Fluid"),((BB38*BB$51)/(BB$54)),IF(AND(Results!$E$4="Cells",Results!$E$5="Million",$B$52="million"),((BB38*BB$51)/(BB$52)),"0")))))</f>
        <v>0</v>
      </c>
      <c r="BC91" s="20" t="str">
        <f>IF(BC38=0,"0",IF(AND(Results!$E$5="Protein",$C$53&gt;0,OR(Results!$E$4="Tissue",Results!$E$4="Cells")),((BC38*BC$51)/(BC$53)),IF(AND(Results!$E$5="Weight",$C$52&gt;0, Results!$E$4="Tissue",OR($B$52="g",$B$52="mg")),((BC38*BC$51)/(BC$52)),IF(AND(Results!$E$5="Volume",$C$54&gt;0,Results!$E$4="Fluid"),((BC38*BC$51)/(BC$54)),IF(AND(Results!$E$4="Cells",Results!$E$5="Million",$B$52="million"),((BC38*BC$51)/(BC$52)),"0")))))</f>
        <v>0</v>
      </c>
      <c r="BD91" s="20" t="str">
        <f>IF(BD38=0,"0",IF(AND(Results!$E$5="Protein",$C$53&gt;0,OR(Results!$E$4="Tissue",Results!$E$4="Cells")),((BD38*BD$51)/(BD$53)),IF(AND(Results!$E$5="Weight",$C$52&gt;0, Results!$E$4="Tissue",OR($B$52="g",$B$52="mg")),((BD38*BD$51)/(BD$52)),IF(AND(Results!$E$5="Volume",$C$54&gt;0,Results!$E$4="Fluid"),((BD38*BD$51)/(BD$54)),IF(AND(Results!$E$4="Cells",Results!$E$5="Million",$B$52="million"),((BD38*BD$51)/(BD$52)),"0")))))</f>
        <v>0</v>
      </c>
      <c r="BE91" s="20" t="str">
        <f>IF(BE38=0,"0",IF(AND(Results!$E$5="Protein",$C$53&gt;0,OR(Results!$E$4="Tissue",Results!$E$4="Cells")),((BE38*BE$51)/(BE$53)),IF(AND(Results!$E$5="Weight",$C$52&gt;0, Results!$E$4="Tissue",OR($B$52="g",$B$52="mg")),((BE38*BE$51)/(BE$52)),IF(AND(Results!$E$5="Volume",$C$54&gt;0,Results!$E$4="Fluid"),((BE38*BE$51)/(BE$54)),IF(AND(Results!$E$4="Cells",Results!$E$5="Million",$B$52="million"),((BE38*BE$51)/(BE$52)),"0")))))</f>
        <v>0</v>
      </c>
      <c r="BF91" s="20" t="str">
        <f>IF(BF38=0,"0",IF(AND(Results!$E$5="Protein",$C$53&gt;0,OR(Results!$E$4="Tissue",Results!$E$4="Cells")),((BF38*BF$51)/(BF$53)),IF(AND(Results!$E$5="Weight",$C$52&gt;0, Results!$E$4="Tissue",OR($B$52="g",$B$52="mg")),((BF38*BF$51)/(BF$52)),IF(AND(Results!$E$5="Volume",$C$54&gt;0,Results!$E$4="Fluid"),((BF38*BF$51)/(BF$54)),IF(AND(Results!$E$4="Cells",Results!$E$5="Million",$B$52="million"),((BF38*BF$51)/(BF$52)),"0")))))</f>
        <v>0</v>
      </c>
      <c r="BG91" s="20" t="str">
        <f>IF(BG38=0,"0",IF(AND(Results!$E$5="Protein",$C$53&gt;0,OR(Results!$E$4="Tissue",Results!$E$4="Cells")),((BG38*BG$51)/(BG$53)),IF(AND(Results!$E$5="Weight",$C$52&gt;0, Results!$E$4="Tissue",OR($B$52="g",$B$52="mg")),((BG38*BG$51)/(BG$52)),IF(AND(Results!$E$5="Volume",$C$54&gt;0,Results!$E$4="Fluid"),((BG38*BG$51)/(BG$54)),IF(AND(Results!$E$4="Cells",Results!$E$5="Million",$B$52="million"),((BG38*BG$51)/(BG$52)),"0")))))</f>
        <v>0</v>
      </c>
      <c r="BH91" s="20" t="str">
        <f>IF(BH38=0,"0",IF(AND(Results!$E$5="Protein",$C$53&gt;0,OR(Results!$E$4="Tissue",Results!$E$4="Cells")),((BH38*BH$51)/(BH$53)),IF(AND(Results!$E$5="Weight",$C$52&gt;0, Results!$E$4="Tissue",OR($B$52="g",$B$52="mg")),((BH38*BH$51)/(BH$52)),IF(AND(Results!$E$5="Volume",$C$54&gt;0,Results!$E$4="Fluid"),((BH38*BH$51)/(BH$54)),IF(AND(Results!$E$4="Cells",Results!$E$5="Million",$B$52="million"),((BH38*BH$51)/(BH$52)),"0")))))</f>
        <v>0</v>
      </c>
      <c r="BI91" s="20" t="str">
        <f>IF(BI38=0,"0",IF(AND(Results!$E$5="Protein",$C$53&gt;0,OR(Results!$E$4="Tissue",Results!$E$4="Cells")),((BI38*BI$51)/(BI$53)),IF(AND(Results!$E$5="Weight",$C$52&gt;0, Results!$E$4="Tissue",OR($B$52="g",$B$52="mg")),((BI38*BI$51)/(BI$52)),IF(AND(Results!$E$5="Volume",$C$54&gt;0,Results!$E$4="Fluid"),((BI38*BI$51)/(BI$54)),IF(AND(Results!$E$4="Cells",Results!$E$5="Million",$B$52="million"),((BI38*BI$51)/(BI$52)),"0")))))</f>
        <v>0</v>
      </c>
      <c r="BJ91" s="20" t="str">
        <f>IF(BJ38=0,"0",IF(AND(Results!$E$5="Protein",$C$53&gt;0,OR(Results!$E$4="Tissue",Results!$E$4="Cells")),((BJ38*BJ$51)/(BJ$53)),IF(AND(Results!$E$5="Weight",$C$52&gt;0, Results!$E$4="Tissue",OR($B$52="g",$B$52="mg")),((BJ38*BJ$51)/(BJ$52)),IF(AND(Results!$E$5="Volume",$C$54&gt;0,Results!$E$4="Fluid"),((BJ38*BJ$51)/(BJ$54)),IF(AND(Results!$E$4="Cells",Results!$E$5="Million",$B$52="million"),((BJ38*BJ$51)/(BJ$52)),"0")))))</f>
        <v>0</v>
      </c>
      <c r="BK91" s="20" t="str">
        <f>IF(BK38=0,"0",IF(AND(Results!$E$5="Protein",$C$53&gt;0,OR(Results!$E$4="Tissue",Results!$E$4="Cells")),((BK38*BK$51)/(BK$53)),IF(AND(Results!$E$5="Weight",$C$52&gt;0, Results!$E$4="Tissue",OR($B$52="g",$B$52="mg")),((BK38*BK$51)/(BK$52)),IF(AND(Results!$E$5="Volume",$C$54&gt;0,Results!$E$4="Fluid"),((BK38*BK$51)/(BK$54)),IF(AND(Results!$E$4="Cells",Results!$E$5="Million",$B$52="million"),((BK38*BK$51)/(BK$52)),"0")))))</f>
        <v>0</v>
      </c>
      <c r="BL91" s="20" t="str">
        <f>IF(BL38=0,"0",IF(AND(Results!$E$5="Protein",$C$53&gt;0,OR(Results!$E$4="Tissue",Results!$E$4="Cells")),((BL38*BL$51)/(BL$53)),IF(AND(Results!$E$5="Weight",$C$52&gt;0, Results!$E$4="Tissue",OR($B$52="g",$B$52="mg")),((BL38*BL$51)/(BL$52)),IF(AND(Results!$E$5="Volume",$C$54&gt;0,Results!$E$4="Fluid"),((BL38*BL$51)/(BL$54)),IF(AND(Results!$E$4="Cells",Results!$E$5="Million",$B$52="million"),((BL38*BL$51)/(BL$52)),"0")))))</f>
        <v>0</v>
      </c>
      <c r="BM91" s="20" t="str">
        <f>IF(BM38=0,"0",IF(AND(Results!$E$5="Protein",$C$53&gt;0,OR(Results!$E$4="Tissue",Results!$E$4="Cells")),((BM38*BM$51)/(BM$53)),IF(AND(Results!$E$5="Weight",$C$52&gt;0, Results!$E$4="Tissue",OR($B$52="g",$B$52="mg")),((BM38*BM$51)/(BM$52)),IF(AND(Results!$E$5="Volume",$C$54&gt;0,Results!$E$4="Fluid"),((BM38*BM$51)/(BM$54)),IF(AND(Results!$E$4="Cells",Results!$E$5="Million",$B$52="million"),((BM38*BM$51)/(BM$52)),"0")))))</f>
        <v>0</v>
      </c>
      <c r="BN91" s="20" t="str">
        <f>IF(BN38=0,"0",IF(AND(Results!$E$5="Protein",$C$53&gt;0,OR(Results!$E$4="Tissue",Results!$E$4="Cells")),((BN38*BN$51)/(BN$53)),IF(AND(Results!$E$5="Weight",$C$52&gt;0, Results!$E$4="Tissue",OR($B$52="g",$B$52="mg")),((BN38*BN$51)/(BN$52)),IF(AND(Results!$E$5="Volume",$C$54&gt;0,Results!$E$4="Fluid"),((BN38*BN$51)/(BN$54)),IF(AND(Results!$E$4="Cells",Results!$E$5="Million",$B$52="million"),((BN38*BN$51)/(BN$52)),"0")))))</f>
        <v>0</v>
      </c>
      <c r="BO91" s="20" t="str">
        <f>IF(BO38=0,"0",IF(AND(Results!$E$5="Protein",$C$53&gt;0,OR(Results!$E$4="Tissue",Results!$E$4="Cells")),((BO38*BO$51)/(BO$53)),IF(AND(Results!$E$5="Weight",$C$52&gt;0, Results!$E$4="Tissue",OR($B$52="g",$B$52="mg")),((BO38*BO$51)/(BO$52)),IF(AND(Results!$E$5="Volume",$C$54&gt;0,Results!$E$4="Fluid"),((BO38*BO$51)/(BO$54)),IF(AND(Results!$E$4="Cells",Results!$E$5="Million",$B$52="million"),((BO38*BO$51)/(BO$52)),"0")))))</f>
        <v>0</v>
      </c>
      <c r="BP91" s="20" t="str">
        <f>IF(BP38=0,"0",IF(AND(Results!$E$5="Protein",$C$53&gt;0,OR(Results!$E$4="Tissue",Results!$E$4="Cells")),((BP38*BP$51)/(BP$53)),IF(AND(Results!$E$5="Weight",$C$52&gt;0, Results!$E$4="Tissue",OR($B$52="g",$B$52="mg")),((BP38*BP$51)/(BP$52)),IF(AND(Results!$E$5="Volume",$C$54&gt;0,Results!$E$4="Fluid"),((BP38*BP$51)/(BP$54)),IF(AND(Results!$E$4="Cells",Results!$E$5="Million",$B$52="million"),((BP38*BP$51)/(BP$52)),"0")))))</f>
        <v>0</v>
      </c>
      <c r="BQ91" s="20" t="str">
        <f>IF(BQ38=0,"0",IF(AND(Results!$E$5="Protein",$C$53&gt;0,OR(Results!$E$4="Tissue",Results!$E$4="Cells")),((BQ38*BQ$51)/(BQ$53)),IF(AND(Results!$E$5="Weight",$C$52&gt;0, Results!$E$4="Tissue",OR($B$52="g",$B$52="mg")),((BQ38*BQ$51)/(BQ$52)),IF(AND(Results!$E$5="Volume",$C$54&gt;0,Results!$E$4="Fluid"),((BQ38*BQ$51)/(BQ$54)),IF(AND(Results!$E$4="Cells",Results!$E$5="Million",$B$52="million"),((BQ38*BQ$51)/(BQ$52)),"0")))))</f>
        <v>0</v>
      </c>
      <c r="BR91" s="20" t="str">
        <f>IF(BR38=0,"0",IF(AND(Results!$E$5="Protein",$C$53&gt;0,OR(Results!$E$4="Tissue",Results!$E$4="Cells")),((BR38*BR$51)/(BR$53)),IF(AND(Results!$E$5="Weight",$C$52&gt;0, Results!$E$4="Tissue",OR($B$52="g",$B$52="mg")),((BR38*BR$51)/(BR$52)),IF(AND(Results!$E$5="Volume",$C$54&gt;0,Results!$E$4="Fluid"),((BR38*BR$51)/(BR$54)),IF(AND(Results!$E$4="Cells",Results!$E$5="Million",$B$52="million"),((BR38*BR$51)/(BR$52)),"0")))))</f>
        <v>0</v>
      </c>
      <c r="BS91" s="20" t="str">
        <f>IF(BS38=0,"0",IF(AND(Results!$E$5="Protein",$C$53&gt;0,OR(Results!$E$4="Tissue",Results!$E$4="Cells")),((BS38*BS$51)/(BS$53)),IF(AND(Results!$E$5="Weight",$C$52&gt;0, Results!$E$4="Tissue",OR($B$52="g",$B$52="mg")),((BS38*BS$51)/(BS$52)),IF(AND(Results!$E$5="Volume",$C$54&gt;0,Results!$E$4="Fluid"),((BS38*BS$51)/(BS$54)),IF(AND(Results!$E$4="Cells",Results!$E$5="Million",$B$52="million"),((BS38*BS$51)/(BS$52)),"0")))))</f>
        <v>0</v>
      </c>
      <c r="BT91" s="20" t="str">
        <f>IF(BT38=0,"0",IF(AND(Results!$E$5="Protein",$C$53&gt;0,OR(Results!$E$4="Tissue",Results!$E$4="Cells")),((BT38*BT$51)/(BT$53)),IF(AND(Results!$E$5="Weight",$C$52&gt;0, Results!$E$4="Tissue",OR($B$52="g",$B$52="mg")),((BT38*BT$51)/(BT$52)),IF(AND(Results!$E$5="Volume",$C$54&gt;0,Results!$E$4="Fluid"),((BT38*BT$51)/(BT$54)),IF(AND(Results!$E$4="Cells",Results!$E$5="Million",$B$52="million"),((BT38*BT$51)/(BT$52)),"0")))))</f>
        <v>0</v>
      </c>
      <c r="BU91" s="20" t="str">
        <f>IF(BU38=0,"0",IF(AND(Results!$E$5="Protein",$C$53&gt;0,OR(Results!$E$4="Tissue",Results!$E$4="Cells")),((BU38*BU$51)/(BU$53)),IF(AND(Results!$E$5="Weight",$C$52&gt;0, Results!$E$4="Tissue",OR($B$52="g",$B$52="mg")),((BU38*BU$51)/(BU$52)),IF(AND(Results!$E$5="Volume",$C$54&gt;0,Results!$E$4="Fluid"),((BU38*BU$51)/(BU$54)),IF(AND(Results!$E$4="Cells",Results!$E$5="Million",$B$52="million"),((BU38*BU$51)/(BU$52)),"0")))))</f>
        <v>0</v>
      </c>
      <c r="BV91" s="20" t="str">
        <f>IF(BV38=0,"0",IF(AND(Results!$E$5="Protein",$C$53&gt;0,OR(Results!$E$4="Tissue",Results!$E$4="Cells")),((BV38*BV$51)/(BV$53)),IF(AND(Results!$E$5="Weight",$C$52&gt;0, Results!$E$4="Tissue",OR($B$52="g",$B$52="mg")),((BV38*BV$51)/(BV$52)),IF(AND(Results!$E$5="Volume",$C$54&gt;0,Results!$E$4="Fluid"),((BV38*BV$51)/(BV$54)),IF(AND(Results!$E$4="Cells",Results!$E$5="Million",$B$52="million"),((BV38*BV$51)/(BV$52)),"0")))))</f>
        <v>0</v>
      </c>
      <c r="BW91" s="20" t="str">
        <f>IF(BW38=0,"0",IF(AND(Results!$E$5="Protein",$C$53&gt;0,OR(Results!$E$4="Tissue",Results!$E$4="Cells")),((BW38*BW$51)/(BW$53)),IF(AND(Results!$E$5="Weight",$C$52&gt;0, Results!$E$4="Tissue",OR($B$52="g",$B$52="mg")),((BW38*BW$51)/(BW$52)),IF(AND(Results!$E$5="Volume",$C$54&gt;0,Results!$E$4="Fluid"),((BW38*BW$51)/(BW$54)),IF(AND(Results!$E$4="Cells",Results!$E$5="Million",$B$52="million"),((BW38*BW$51)/(BW$52)),"0")))))</f>
        <v>0</v>
      </c>
      <c r="BX91" s="20" t="str">
        <f>IF(BX38=0,"0",IF(AND(Results!$E$5="Protein",$C$53&gt;0,OR(Results!$E$4="Tissue",Results!$E$4="Cells")),((BX38*BX$51)/(BX$53)),IF(AND(Results!$E$5="Weight",$C$52&gt;0, Results!$E$4="Tissue",OR($B$52="g",$B$52="mg")),((BX38*BX$51)/(BX$52)),IF(AND(Results!$E$5="Volume",$C$54&gt;0,Results!$E$4="Fluid"),((BX38*BX$51)/(BX$54)),IF(AND(Results!$E$4="Cells",Results!$E$5="Million",$B$52="million"),((BX38*BX$51)/(BX$52)),"0")))))</f>
        <v>0</v>
      </c>
      <c r="BY91" s="20" t="str">
        <f>IF(BY38=0,"0",IF(AND(Results!$E$5="Protein",$C$53&gt;0,OR(Results!$E$4="Tissue",Results!$E$4="Cells")),((BY38*BY$51)/(BY$53)),IF(AND(Results!$E$5="Weight",$C$52&gt;0, Results!$E$4="Tissue",OR($B$52="g",$B$52="mg")),((BY38*BY$51)/(BY$52)),IF(AND(Results!$E$5="Volume",$C$54&gt;0,Results!$E$4="Fluid"),((BY38*BY$51)/(BY$54)),IF(AND(Results!$E$4="Cells",Results!$E$5="Million",$B$52="million"),((BY38*BY$51)/(BY$52)),"0")))))</f>
        <v>0</v>
      </c>
      <c r="BZ91" s="20" t="str">
        <f>IF(BZ38=0,"0",IF(AND(Results!$E$5="Protein",$C$53&gt;0,OR(Results!$E$4="Tissue",Results!$E$4="Cells")),((BZ38*BZ$51)/(BZ$53)),IF(AND(Results!$E$5="Weight",$C$52&gt;0, Results!$E$4="Tissue",OR($B$52="g",$B$52="mg")),((BZ38*BZ$51)/(BZ$52)),IF(AND(Results!$E$5="Volume",$C$54&gt;0,Results!$E$4="Fluid"),((BZ38*BZ$51)/(BZ$54)),IF(AND(Results!$E$4="Cells",Results!$E$5="Million",$B$52="million"),((BZ38*BZ$51)/(BZ$52)),"0")))))</f>
        <v>0</v>
      </c>
      <c r="CA91" s="20" t="str">
        <f>IF(CA38=0,"0",IF(AND(Results!$E$5="Protein",$C$53&gt;0,OR(Results!$E$4="Tissue",Results!$E$4="Cells")),((CA38*CA$51)/(CA$53)),IF(AND(Results!$E$5="Weight",$C$52&gt;0, Results!$E$4="Tissue",OR($B$52="g",$B$52="mg")),((CA38*CA$51)/(CA$52)),IF(AND(Results!$E$5="Volume",$C$54&gt;0,Results!$E$4="Fluid"),((CA38*CA$51)/(CA$54)),IF(AND(Results!$E$4="Cells",Results!$E$5="Million",$B$52="million"),((CA38*CA$51)/(CA$52)),"0")))))</f>
        <v>0</v>
      </c>
      <c r="CB91" s="20" t="str">
        <f>IF(CB38=0,"0",IF(AND(Results!$E$5="Protein",$C$53&gt;0,OR(Results!$E$4="Tissue",Results!$E$4="Cells")),((CB38*CB$51)/(CB$53)),IF(AND(Results!$E$5="Weight",$C$52&gt;0, Results!$E$4="Tissue",OR($B$52="g",$B$52="mg")),((CB38*CB$51)/(CB$52)),IF(AND(Results!$E$5="Volume",$C$54&gt;0,Results!$E$4="Fluid"),((CB38*CB$51)/(CB$54)),IF(AND(Results!$E$4="Cells",Results!$E$5="Million",$B$52="million"),((CB38*CB$51)/(CB$52)),"0")))))</f>
        <v>0</v>
      </c>
      <c r="CC91" s="20" t="str">
        <f>IF(CC38=0,"0",IF(AND(Results!$E$5="Protein",$C$53&gt;0,OR(Results!$E$4="Tissue",Results!$E$4="Cells")),((CC38*CC$51)/(CC$53)),IF(AND(Results!$E$5="Weight",$C$52&gt;0, Results!$E$4="Tissue",OR($B$52="g",$B$52="mg")),((CC38*CC$51)/(CC$52)),IF(AND(Results!$E$5="Volume",$C$54&gt;0,Results!$E$4="Fluid"),((CC38*CC$51)/(CC$54)),IF(AND(Results!$E$4="Cells",Results!$E$5="Million",$B$52="million"),((CC38*CC$51)/(CC$52)),"0")))))</f>
        <v>0</v>
      </c>
      <c r="CD91" s="20" t="str">
        <f>IF(CD38=0,"0",IF(AND(Results!$E$5="Protein",$C$53&gt;0,OR(Results!$E$4="Tissue",Results!$E$4="Cells")),((CD38*CD$51)/(CD$53)),IF(AND(Results!$E$5="Weight",$C$52&gt;0, Results!$E$4="Tissue",OR($B$52="g",$B$52="mg")),((CD38*CD$51)/(CD$52)),IF(AND(Results!$E$5="Volume",$C$54&gt;0,Results!$E$4="Fluid"),((CD38*CD$51)/(CD$54)),IF(AND(Results!$E$4="Cells",Results!$E$5="Million",$B$52="million"),((CD38*CD$51)/(CD$52)),"0")))))</f>
        <v>0</v>
      </c>
      <c r="CE91" s="20" t="str">
        <f>IF(CE38=0,"0",IF(AND(Results!$E$5="Protein",$C$53&gt;0,OR(Results!$E$4="Tissue",Results!$E$4="Cells")),((CE38*CE$51)/(CE$53)),IF(AND(Results!$E$5="Weight",$C$52&gt;0, Results!$E$4="Tissue",OR($B$52="g",$B$52="mg")),((CE38*CE$51)/(CE$52)),IF(AND(Results!$E$5="Volume",$C$54&gt;0,Results!$E$4="Fluid"),((CE38*CE$51)/(CE$54)),IF(AND(Results!$E$4="Cells",Results!$E$5="Million",$B$52="million"),((CE38*CE$51)/(CE$52)),"0")))))</f>
        <v>0</v>
      </c>
      <c r="CF91" s="20" t="str">
        <f>IF(CF38=0,"0",IF(AND(Results!$E$5="Protein",$C$53&gt;0,OR(Results!$E$4="Tissue",Results!$E$4="Cells")),((CF38*CF$51)/(CF$53)),IF(AND(Results!$E$5="Weight",$C$52&gt;0, Results!$E$4="Tissue",OR($B$52="g",$B$52="mg")),((CF38*CF$51)/(CF$52)),IF(AND(Results!$E$5="Volume",$C$54&gt;0,Results!$E$4="Fluid"),((CF38*CF$51)/(CF$54)),IF(AND(Results!$E$4="Cells",Results!$E$5="Million",$B$52="million"),((CF38*CF$51)/(CF$52)),"0")))))</f>
        <v>0</v>
      </c>
      <c r="CG91" s="20" t="str">
        <f>IF(CG38=0,"0",IF(AND(Results!$E$5="Protein",$C$53&gt;0,OR(Results!$E$4="Tissue",Results!$E$4="Cells")),((CG38*CG$51)/(CG$53)),IF(AND(Results!$E$5="Weight",$C$52&gt;0, Results!$E$4="Tissue",OR($B$52="g",$B$52="mg")),((CG38*CG$51)/(CG$52)),IF(AND(Results!$E$5="Volume",$C$54&gt;0,Results!$E$4="Fluid"),((CG38*CG$51)/(CG$54)),IF(AND(Results!$E$4="Cells",Results!$E$5="Million",$B$52="million"),((CG38*CG$51)/(CG$52)),"0")))))</f>
        <v>0</v>
      </c>
      <c r="CH91" s="20" t="str">
        <f>IF(CH38=0,"0",IF(AND(Results!$E$5="Protein",$C$53&gt;0,OR(Results!$E$4="Tissue",Results!$E$4="Cells")),((CH38*CH$51)/(CH$53)),IF(AND(Results!$E$5="Weight",$C$52&gt;0, Results!$E$4="Tissue",OR($B$52="g",$B$52="mg")),((CH38*CH$51)/(CH$52)),IF(AND(Results!$E$5="Volume",$C$54&gt;0,Results!$E$4="Fluid"),((CH38*CH$51)/(CH$54)),IF(AND(Results!$E$4="Cells",Results!$E$5="Million",$B$52="million"),((CH38*CH$51)/(CH$52)),"0")))))</f>
        <v>0</v>
      </c>
      <c r="CI91" s="20" t="str">
        <f>IF(CI38=0,"0",IF(AND(Results!$E$5="Protein",$C$53&gt;0,OR(Results!$E$4="Tissue",Results!$E$4="Cells")),((CI38*CI$51)/(CI$53)),IF(AND(Results!$E$5="Weight",$C$52&gt;0, Results!$E$4="Tissue",OR($B$52="g",$B$52="mg")),((CI38*CI$51)/(CI$52)),IF(AND(Results!$E$5="Volume",$C$54&gt;0,Results!$E$4="Fluid"),((CI38*CI$51)/(CI$54)),IF(AND(Results!$E$4="Cells",Results!$E$5="Million",$B$52="million"),((CI38*CI$51)/(CI$52)),"0")))))</f>
        <v>0</v>
      </c>
      <c r="CJ91" s="20" t="str">
        <f>IF(CJ38=0,"0",IF(AND(Results!$E$5="Protein",$C$53&gt;0,OR(Results!$E$4="Tissue",Results!$E$4="Cells")),((CJ38*CJ$51)/(CJ$53)),IF(AND(Results!$E$5="Weight",$C$52&gt;0, Results!$E$4="Tissue",OR($B$52="g",$B$52="mg")),((CJ38*CJ$51)/(CJ$52)),IF(AND(Results!$E$5="Volume",$C$54&gt;0,Results!$E$4="Fluid"),((CJ38*CJ$51)/(CJ$54)),IF(AND(Results!$E$4="Cells",Results!$E$5="Million",$B$52="million"),((CJ38*CJ$51)/(CJ$52)),"0")))))</f>
        <v>0</v>
      </c>
      <c r="CK91" s="20" t="str">
        <f>IF(CK38=0,"0",IF(AND(Results!$E$5="Protein",$C$53&gt;0,OR(Results!$E$4="Tissue",Results!$E$4="Cells")),((CK38*CK$51)/(CK$53)),IF(AND(Results!$E$5="Weight",$C$52&gt;0, Results!$E$4="Tissue",OR($B$52="g",$B$52="mg")),((CK38*CK$51)/(CK$52)),IF(AND(Results!$E$5="Volume",$C$54&gt;0,Results!$E$4="Fluid"),((CK38*CK$51)/(CK$54)),IF(AND(Results!$E$4="Cells",Results!$E$5="Million",$B$52="million"),((CK38*CK$51)/(CK$52)),"0")))))</f>
        <v>0</v>
      </c>
      <c r="CL91" s="20" t="str">
        <f>IF(CL38=0,"0",IF(AND(Results!$E$5="Protein",$C$53&gt;0,OR(Results!$E$4="Tissue",Results!$E$4="Cells")),((CL38*CL$51)/(CL$53)),IF(AND(Results!$E$5="Weight",$C$52&gt;0, Results!$E$4="Tissue",OR($B$52="g",$B$52="mg")),((CL38*CL$51)/(CL$52)),IF(AND(Results!$E$5="Volume",$C$54&gt;0,Results!$E$4="Fluid"),((CL38*CL$51)/(CL$54)),IF(AND(Results!$E$4="Cells",Results!$E$5="Million",$B$52="million"),((CL38*CL$51)/(CL$52)),"0")))))</f>
        <v>0</v>
      </c>
      <c r="CM91" s="20" t="str">
        <f>IF(CM38=0,"0",IF(AND(Results!$E$5="Protein",$C$53&gt;0,OR(Results!$E$4="Tissue",Results!$E$4="Cells")),((CM38*CM$51)/(CM$53)),IF(AND(Results!$E$5="Weight",$C$52&gt;0, Results!$E$4="Tissue",OR($B$52="g",$B$52="mg")),((CM38*CM$51)/(CM$52)),IF(AND(Results!$E$5="Volume",$C$54&gt;0,Results!$E$4="Fluid"),((CM38*CM$51)/(CM$54)),IF(AND(Results!$E$4="Cells",Results!$E$5="Million",$B$52="million"),((CM38*CM$51)/(CM$52)),"0")))))</f>
        <v>0</v>
      </c>
      <c r="CN91" s="20" t="str">
        <f>IF(CN38=0,"0",IF(AND(Results!$E$5="Protein",$C$53&gt;0,OR(Results!$E$4="Tissue",Results!$E$4="Cells")),((CN38*CN$51)/(CN$53)),IF(AND(Results!$E$5="Weight",$C$52&gt;0, Results!$E$4="Tissue",OR($B$52="g",$B$52="mg")),((CN38*CN$51)/(CN$52)),IF(AND(Results!$E$5="Volume",$C$54&gt;0,Results!$E$4="Fluid"),((CN38*CN$51)/(CN$54)),IF(AND(Results!$E$4="Cells",Results!$E$5="Million",$B$52="million"),((CN38*CN$51)/(CN$52)),"0")))))</f>
        <v>0</v>
      </c>
      <c r="CO91" s="20" t="str">
        <f>IF(CO38=0,"0",IF(AND(Results!$E$5="Protein",$C$53&gt;0,OR(Results!$E$4="Tissue",Results!$E$4="Cells")),((CO38*CO$51)/(CO$53)),IF(AND(Results!$E$5="Weight",$C$52&gt;0, Results!$E$4="Tissue",OR($B$52="g",$B$52="mg")),((CO38*CO$51)/(CO$52)),IF(AND(Results!$E$5="Volume",$C$54&gt;0,Results!$E$4="Fluid"),((CO38*CO$51)/(CO$54)),IF(AND(Results!$E$4="Cells",Results!$E$5="Million",$B$52="million"),((CO38*CO$51)/(CO$52)),"0")))))</f>
        <v>0</v>
      </c>
      <c r="CP91" s="20" t="str">
        <f>IF(CP38=0,"0",IF(AND(Results!$E$5="Protein",$C$53&gt;0,OR(Results!$E$4="Tissue",Results!$E$4="Cells")),((CP38*CP$51)/(CP$53)),IF(AND(Results!$E$5="Weight",$C$52&gt;0, Results!$E$4="Tissue",OR($B$52="g",$B$52="mg")),((CP38*CP$51)/(CP$52)),IF(AND(Results!$E$5="Volume",$C$54&gt;0,Results!$E$4="Fluid"),((CP38*CP$51)/(CP$54)),IF(AND(Results!$E$4="Cells",Results!$E$5="Million",$B$52="million"),((CP38*CP$51)/(CP$52)),"0")))))</f>
        <v>0</v>
      </c>
      <c r="CQ91" s="20" t="str">
        <f>IF(CQ38=0,"0",IF(AND(Results!$E$5="Protein",$C$53&gt;0,OR(Results!$E$4="Tissue",Results!$E$4="Cells")),((CQ38*CQ$51)/(CQ$53)),IF(AND(Results!$E$5="Weight",$C$52&gt;0, Results!$E$4="Tissue",OR($B$52="g",$B$52="mg")),((CQ38*CQ$51)/(CQ$52)),IF(AND(Results!$E$5="Volume",$C$54&gt;0,Results!$E$4="Fluid"),((CQ38*CQ$51)/(CQ$54)),IF(AND(Results!$E$4="Cells",Results!$E$5="Million",$B$52="million"),((CQ38*CQ$51)/(CQ$52)),"0")))))</f>
        <v>0</v>
      </c>
      <c r="CR91" s="20" t="str">
        <f>IF(CR38=0,"0",IF(AND(Results!$E$5="Protein",$C$53&gt;0,OR(Results!$E$4="Tissue",Results!$E$4="Cells")),((CR38*CR$51)/(CR$53)),IF(AND(Results!$E$5="Weight",$C$52&gt;0, Results!$E$4="Tissue",OR($B$52="g",$B$52="mg")),((CR38*CR$51)/(CR$52)),IF(AND(Results!$E$5="Volume",$C$54&gt;0,Results!$E$4="Fluid"),((CR38*CR$51)/(CR$54)),IF(AND(Results!$E$4="Cells",Results!$E$5="Million",$B$52="million"),((CR38*CR$51)/(CR$52)),"0")))))</f>
        <v>0</v>
      </c>
      <c r="CS91" s="20" t="str">
        <f>IF(CS38=0,"0",IF(AND(Results!$E$5="Protein",$C$53&gt;0,OR(Results!$E$4="Tissue",Results!$E$4="Cells")),((CS38*CS$51)/(CS$53)),IF(AND(Results!$E$5="Weight",$C$52&gt;0, Results!$E$4="Tissue",OR($B$52="g",$B$52="mg")),((CS38*CS$51)/(CS$52)),IF(AND(Results!$E$5="Volume",$C$54&gt;0,Results!$E$4="Fluid"),((CS38*CS$51)/(CS$54)),IF(AND(Results!$E$4="Cells",Results!$E$5="Million",$B$52="million"),((CS38*CS$51)/(CS$52)),"0")))))</f>
        <v>0</v>
      </c>
      <c r="CT91" s="20" t="str">
        <f>IF(CT38=0,"0",IF(AND(Results!$E$5="Protein",$C$53&gt;0,OR(Results!$E$4="Tissue",Results!$E$4="Cells")),((CT38*CT$51)/(CT$53)),IF(AND(Results!$E$5="Weight",$C$52&gt;0, Results!$E$4="Tissue",OR($B$52="g",$B$52="mg")),((CT38*CT$51)/(CT$52)),IF(AND(Results!$E$5="Volume",$C$54&gt;0,Results!$E$4="Fluid"),((CT38*CT$51)/(CT$54)),IF(AND(Results!$E$4="Cells",Results!$E$5="Million",$B$52="million"),((CT38*CT$51)/(CT$52)),"0")))))</f>
        <v>0</v>
      </c>
      <c r="CU91" s="20" t="str">
        <f>IF(CU38=0,"0",IF(AND(Results!$E$5="Protein",$C$53&gt;0,OR(Results!$E$4="Tissue",Results!$E$4="Cells")),((CU38*CU$51)/(CU$53)),IF(AND(Results!$E$5="Weight",$C$52&gt;0, Results!$E$4="Tissue",OR($B$52="g",$B$52="mg")),((CU38*CU$51)/(CU$52)),IF(AND(Results!$E$5="Volume",$C$54&gt;0,Results!$E$4="Fluid"),((CU38*CU$51)/(CU$54)),IF(AND(Results!$E$4="Cells",Results!$E$5="Million",$B$52="million"),((CU38*CU$51)/(CU$52)),"0")))))</f>
        <v>0</v>
      </c>
      <c r="CV91" s="20" t="str">
        <f>IF(CV38=0,"0",IF(AND(Results!$E$5="Protein",$C$53&gt;0,OR(Results!$E$4="Tissue",Results!$E$4="Cells")),((CV38*CV$51)/(CV$53)),IF(AND(Results!$E$5="Weight",$C$52&gt;0, Results!$E$4="Tissue",OR($B$52="g",$B$52="mg")),((CV38*CV$51)/(CV$52)),IF(AND(Results!$E$5="Volume",$C$54&gt;0,Results!$E$4="Fluid"),((CV38*CV$51)/(CV$54)),IF(AND(Results!$E$4="Cells",Results!$E$5="Million",$B$52="million"),((CV38*CV$51)/(CV$52)),"0")))))</f>
        <v>0</v>
      </c>
      <c r="CW91" s="20" t="str">
        <f>IF(CW38=0,"0",IF(AND(Results!$E$5="Protein",$C$53&gt;0,OR(Results!$E$4="Tissue",Results!$E$4="Cells")),((CW38*CW$51)/(CW$53)),IF(AND(Results!$E$5="Weight",$C$52&gt;0, Results!$E$4="Tissue",OR($B$52="g",$B$52="mg")),((CW38*CW$51)/(CW$52)),IF(AND(Results!$E$5="Volume",$C$54&gt;0,Results!$E$4="Fluid"),((CW38*CW$51)/(CW$54)),IF(AND(Results!$E$4="Cells",Results!$E$5="Million",$B$52="million"),((CW38*CW$51)/(CW$52)),"0")))))</f>
        <v>0</v>
      </c>
      <c r="CX91" s="20" t="str">
        <f>IF(CX38=0,"0",IF(AND(Results!$E$5="Protein",$C$53&gt;0,OR(Results!$E$4="Tissue",Results!$E$4="Cells")),((CX38*CX$51)/(CX$53)),IF(AND(Results!$E$5="Weight",$C$52&gt;0, Results!$E$4="Tissue",OR($B$52="g",$B$52="mg")),((CX38*CX$51)/(CX$52)),IF(AND(Results!$E$5="Volume",$C$54&gt;0,Results!$E$4="Fluid"),((CX38*CX$51)/(CX$54)),IF(AND(Results!$E$4="Cells",Results!$E$5="Million",$B$52="million"),((CX38*CX$51)/(CX$52)),"0")))))</f>
        <v>0</v>
      </c>
      <c r="CY91" s="20" t="str">
        <f>IF(CY38=0,"0",IF(AND(Results!$E$5="Protein",$C$53&gt;0,OR(Results!$E$4="Tissue",Results!$E$4="Cells")),((CY38*CY$51)/(CY$53)),IF(AND(Results!$E$5="Weight",$C$52&gt;0, Results!$E$4="Tissue",OR($B$52="g",$B$52="mg")),((CY38*CY$51)/(CY$52)),IF(AND(Results!$E$5="Volume",$C$54&gt;0,Results!$E$4="Fluid"),((CY38*CY$51)/(CY$54)),IF(AND(Results!$E$4="Cells",Results!$E$5="Million",$B$52="million"),((CY38*CY$51)/(CY$52)),"0")))))</f>
        <v>0</v>
      </c>
      <c r="CZ91" s="20" t="str">
        <f>IF(CZ38=0,"0",IF(AND(Results!$E$5="Protein",$C$53&gt;0,OR(Results!$E$4="Tissue",Results!$E$4="Cells")),((CZ38*CZ$51)/(CZ$53)),IF(AND(Results!$E$5="Weight",$C$52&gt;0, Results!$E$4="Tissue",OR($B$52="g",$B$52="mg")),((CZ38*CZ$51)/(CZ$52)),IF(AND(Results!$E$5="Volume",$C$54&gt;0,Results!$E$4="Fluid"),((CZ38*CZ$51)/(CZ$54)),IF(AND(Results!$E$4="Cells",Results!$E$5="Million",$B$52="million"),((CZ38*CZ$51)/(CZ$52)),"0")))))</f>
        <v>0</v>
      </c>
      <c r="DA91" s="20" t="str">
        <f>IF(DA38=0,"0",IF(AND(Results!$E$5="Protein",$C$53&gt;0,OR(Results!$E$4="Tissue",Results!$E$4="Cells")),((DA38*DA$51)/(DA$53)),IF(AND(Results!$E$5="Weight",$C$52&gt;0, Results!$E$4="Tissue",OR($B$52="g",$B$52="mg")),((DA38*DA$51)/(DA$52)),IF(AND(Results!$E$5="Volume",$C$54&gt;0,Results!$E$4="Fluid"),((DA38*DA$51)/(DA$54)),IF(AND(Results!$E$4="Cells",Results!$E$5="Million",$B$52="million"),((DA38*DA$51)/(DA$52)),"0")))))</f>
        <v>0</v>
      </c>
      <c r="DB91" s="20" t="str">
        <f>IF(DB38=0,"0",IF(AND(Results!$E$5="Protein",$C$53&gt;0,OR(Results!$E$4="Tissue",Results!$E$4="Cells")),((DB38*DB$51)/(DB$53)),IF(AND(Results!$E$5="Weight",$C$52&gt;0, Results!$E$4="Tissue",OR($B$52="g",$B$52="mg")),((DB38*DB$51)/(DB$52)),IF(AND(Results!$E$5="Volume",$C$54&gt;0,Results!$E$4="Fluid"),((DB38*DB$51)/(DB$54)),IF(AND(Results!$E$4="Cells",Results!$E$5="Million",$B$52="million"),((DB38*DB$51)/(DB$52)),"0")))))</f>
        <v>0</v>
      </c>
      <c r="DC91" s="20" t="str">
        <f>IF(DC38=0,"0",IF(AND(Results!$E$5="Protein",$C$53&gt;0,OR(Results!$E$4="Tissue",Results!$E$4="Cells")),((DC38*DC$51)/(DC$53)),IF(AND(Results!$E$5="Weight",$C$52&gt;0, Results!$E$4="Tissue",OR($B$52="g",$B$52="mg")),((DC38*DC$51)/(DC$52)),IF(AND(Results!$E$5="Volume",$C$54&gt;0,Results!$E$4="Fluid"),((DC38*DC$51)/(DC$54)),IF(AND(Results!$E$4="Cells",Results!$E$5="Million",$B$52="million"),((DC38*DC$51)/(DC$52)),"0")))))</f>
        <v>0</v>
      </c>
      <c r="DD91" s="20" t="str">
        <f>IF(DD38=0,"0",IF(AND(Results!$E$5="Protein",$C$53&gt;0,OR(Results!$E$4="Tissue",Results!$E$4="Cells")),((DD38*DD$51)/(DD$53)),IF(AND(Results!$E$5="Weight",$C$52&gt;0, Results!$E$4="Tissue",OR($B$52="g",$B$52="mg")),((DD38*DD$51)/(DD$52)),IF(AND(Results!$E$5="Volume",$C$54&gt;0,Results!$E$4="Fluid"),((DD38*DD$51)/(DD$54)),IF(AND(Results!$E$4="Cells",Results!$E$5="Million",$B$52="million"),((DD38*DD$51)/(DD$52)),"0")))))</f>
        <v>0</v>
      </c>
      <c r="DE91" s="20" t="str">
        <f>IF(DE38=0,"0",IF(AND(Results!$E$5="Protein",$C$53&gt;0,OR(Results!$E$4="Tissue",Results!$E$4="Cells")),((DE38*DE$51)/(DE$53)),IF(AND(Results!$E$5="Weight",$C$52&gt;0, Results!$E$4="Tissue",OR($B$52="g",$B$52="mg")),((DE38*DE$51)/(DE$52)),IF(AND(Results!$E$5="Volume",$C$54&gt;0,Results!$E$4="Fluid"),((DE38*DE$51)/(DE$54)),IF(AND(Results!$E$4="Cells",Results!$E$5="Million",$B$52="million"),((DE38*DE$51)/(DE$52)),"0")))))</f>
        <v>0</v>
      </c>
      <c r="DF91" s="20" t="str">
        <f>IF(DF38=0,"0",IF(AND(Results!$E$5="Protein",$C$53&gt;0,OR(Results!$E$4="Tissue",Results!$E$4="Cells")),((DF38*DF$51)/(DF$53)),IF(AND(Results!$E$5="Weight",$C$52&gt;0, Results!$E$4="Tissue",OR($B$52="g",$B$52="mg")),((DF38*DF$51)/(DF$52)),IF(AND(Results!$E$5="Volume",$C$54&gt;0,Results!$E$4="Fluid"),((DF38*DF$51)/(DF$54)),IF(AND(Results!$E$4="Cells",Results!$E$5="Million",$B$52="million"),((DF38*DF$51)/(DF$52)),"0")))))</f>
        <v>0</v>
      </c>
      <c r="DG91" s="20" t="str">
        <f>IF(DG38=0,"0",IF(AND(Results!$E$5="Protein",$C$53&gt;0,OR(Results!$E$4="Tissue",Results!$E$4="Cells")),((DG38*DG$51)/(DG$53)),IF(AND(Results!$E$5="Weight",$C$52&gt;0, Results!$E$4="Tissue",OR($B$52="g",$B$52="mg")),((DG38*DG$51)/(DG$52)),IF(AND(Results!$E$5="Volume",$C$54&gt;0,Results!$E$4="Fluid"),((DG38*DG$51)/(DG$54)),IF(AND(Results!$E$4="Cells",Results!$E$5="Million",$B$52="million"),((DG38*DG$51)/(DG$52)),"0")))))</f>
        <v>0</v>
      </c>
      <c r="DH91" s="20" t="str">
        <f>IF(DH38=0,"0",IF(AND(Results!$E$5="Protein",$C$53&gt;0,OR(Results!$E$4="Tissue",Results!$E$4="Cells")),((DH38*DH$51)/(DH$53)),IF(AND(Results!$E$5="Weight",$C$52&gt;0, Results!$E$4="Tissue",OR($B$52="g",$B$52="mg")),((DH38*DH$51)/(DH$52)),IF(AND(Results!$E$5="Volume",$C$54&gt;0,Results!$E$4="Fluid"),((DH38*DH$51)/(DH$54)),IF(AND(Results!$E$4="Cells",Results!$E$5="Million",$B$52="million"),((DH38*DH$51)/(DH$52)),"0")))))</f>
        <v>0</v>
      </c>
      <c r="DI91" s="20" t="str">
        <f>IF(DI38=0,"0",IF(AND(Results!$E$5="Protein",$C$53&gt;0,OR(Results!$E$4="Tissue",Results!$E$4="Cells")),((DI38*DI$51)/(DI$53)),IF(AND(Results!$E$5="Weight",$C$52&gt;0, Results!$E$4="Tissue",OR($B$52="g",$B$52="mg")),((DI38*DI$51)/(DI$52)),IF(AND(Results!$E$5="Volume",$C$54&gt;0,Results!$E$4="Fluid"),((DI38*DI$51)/(DI$54)),IF(AND(Results!$E$4="Cells",Results!$E$5="Million",$B$52="million"),((DI38*DI$51)/(DI$52)),"0")))))</f>
        <v>0</v>
      </c>
      <c r="DJ91" s="20" t="str">
        <f>IF(DJ38=0,"0",IF(AND(Results!$E$5="Protein",$C$53&gt;0,OR(Results!$E$4="Tissue",Results!$E$4="Cells")),((DJ38*DJ$51)/(DJ$53)),IF(AND(Results!$E$5="Weight",$C$52&gt;0, Results!$E$4="Tissue",OR($B$52="g",$B$52="mg")),((DJ38*DJ$51)/(DJ$52)),IF(AND(Results!$E$5="Volume",$C$54&gt;0,Results!$E$4="Fluid"),((DJ38*DJ$51)/(DJ$54)),IF(AND(Results!$E$4="Cells",Results!$E$5="Million",$B$52="million"),((DJ38*DJ$51)/(DJ$52)),"0")))))</f>
        <v>0</v>
      </c>
      <c r="DK91" s="20" t="str">
        <f>IF(DK38=0,"0",IF(AND(Results!$E$5="Protein",$C$53&gt;0,OR(Results!$E$4="Tissue",Results!$E$4="Cells")),((DK38*DK$51)/(DK$53)),IF(AND(Results!$E$5="Weight",$C$52&gt;0, Results!$E$4="Tissue",OR($B$52="g",$B$52="mg")),((DK38*DK$51)/(DK$52)),IF(AND(Results!$E$5="Volume",$C$54&gt;0,Results!$E$4="Fluid"),((DK38*DK$51)/(DK$54)),IF(AND(Results!$E$4="Cells",Results!$E$5="Million",$B$52="million"),((DK38*DK$51)/(DK$52)),"0")))))</f>
        <v>0</v>
      </c>
      <c r="DL91" s="20" t="str">
        <f>IF(DL38=0,"0",IF(AND(Results!$E$5="Protein",$C$53&gt;0,OR(Results!$E$4="Tissue",Results!$E$4="Cells")),((DL38*DL$51)/(DL$53)),IF(AND(Results!$E$5="Weight",$C$52&gt;0, Results!$E$4="Tissue",OR($B$52="g",$B$52="mg")),((DL38*DL$51)/(DL$52)),IF(AND(Results!$E$5="Volume",$C$54&gt;0,Results!$E$4="Fluid"),((DL38*DL$51)/(DL$54)),IF(AND(Results!$E$4="Cells",Results!$E$5="Million",$B$52="million"),((DL38*DL$51)/(DL$52)),"0")))))</f>
        <v>0</v>
      </c>
      <c r="DM91" s="20" t="str">
        <f>IF(DM38=0,"0",IF(AND(Results!$E$5="Protein",$C$53&gt;0,OR(Results!$E$4="Tissue",Results!$E$4="Cells")),((DM38*DM$51)/(DM$53)),IF(AND(Results!$E$5="Weight",$C$52&gt;0, Results!$E$4="Tissue",OR($B$52="g",$B$52="mg")),((DM38*DM$51)/(DM$52)),IF(AND(Results!$E$5="Volume",$C$54&gt;0,Results!$E$4="Fluid"),((DM38*DM$51)/(DM$54)),IF(AND(Results!$E$4="Cells",Results!$E$5="Million",$B$52="million"),((DM38*DM$51)/(DM$52)),"0")))))</f>
        <v>0</v>
      </c>
      <c r="DN91" s="20" t="str">
        <f>IF(DN38=0,"0",IF(AND(Results!$E$5="Protein",$C$53&gt;0,OR(Results!$E$4="Tissue",Results!$E$4="Cells")),((DN38*DN$51)/(DN$53)),IF(AND(Results!$E$5="Weight",$C$52&gt;0, Results!$E$4="Tissue",OR($B$52="g",$B$52="mg")),((DN38*DN$51)/(DN$52)),IF(AND(Results!$E$5="Volume",$C$54&gt;0,Results!$E$4="Fluid"),((DN38*DN$51)/(DN$54)),IF(AND(Results!$E$4="Cells",Results!$E$5="Million",$B$52="million"),((DN38*DN$51)/(DN$52)),"0")))))</f>
        <v>0</v>
      </c>
      <c r="DO91" s="20" t="str">
        <f>IF(DO38=0,"0",IF(AND(Results!$E$5="Protein",$C$53&gt;0,OR(Results!$E$4="Tissue",Results!$E$4="Cells")),((DO38*DO$51)/(DO$53)),IF(AND(Results!$E$5="Weight",$C$52&gt;0, Results!$E$4="Tissue",OR($B$52="g",$B$52="mg")),((DO38*DO$51)/(DO$52)),IF(AND(Results!$E$5="Volume",$C$54&gt;0,Results!$E$4="Fluid"),((DO38*DO$51)/(DO$54)),IF(AND(Results!$E$4="Cells",Results!$E$5="Million",$B$52="million"),((DO38*DO$51)/(DO$52)),"0")))))</f>
        <v>0</v>
      </c>
      <c r="DP91" s="20" t="str">
        <f>IF(DP38=0,"0",IF(AND(Results!$E$5="Protein",$C$53&gt;0,OR(Results!$E$4="Tissue",Results!$E$4="Cells")),((DP38*DP$51)/(DP$53)),IF(AND(Results!$E$5="Weight",$C$52&gt;0, Results!$E$4="Tissue",OR($B$52="g",$B$52="mg")),((DP38*DP$51)/(DP$52)),IF(AND(Results!$E$5="Volume",$C$54&gt;0,Results!$E$4="Fluid"),((DP38*DP$51)/(DP$54)),IF(AND(Results!$E$4="Cells",Results!$E$5="Million",$B$52="million"),((DP38*DP$51)/(DP$52)),"0")))))</f>
        <v>0</v>
      </c>
      <c r="DQ91" s="20" t="str">
        <f>IF(DQ38=0,"0",IF(AND(Results!$E$5="Protein",$C$53&gt;0,OR(Results!$E$4="Tissue",Results!$E$4="Cells")),((DQ38*DQ$51)/(DQ$53)),IF(AND(Results!$E$5="Weight",$C$52&gt;0, Results!$E$4="Tissue",OR($B$52="g",$B$52="mg")),((DQ38*DQ$51)/(DQ$52)),IF(AND(Results!$E$5="Volume",$C$54&gt;0,Results!$E$4="Fluid"),((DQ38*DQ$51)/(DQ$54)),IF(AND(Results!$E$4="Cells",Results!$E$5="Million",$B$52="million"),((DQ38*DQ$51)/(DQ$52)),"0")))))</f>
        <v>0</v>
      </c>
      <c r="DR91" s="20" t="str">
        <f>IF(DR38=0,"0",IF(AND(Results!$E$5="Protein",$C$53&gt;0,OR(Results!$E$4="Tissue",Results!$E$4="Cells")),((DR38*DR$51)/(DR$53)),IF(AND(Results!$E$5="Weight",$C$52&gt;0, Results!$E$4="Tissue",OR($B$52="g",$B$52="mg")),((DR38*DR$51)/(DR$52)),IF(AND(Results!$E$5="Volume",$C$54&gt;0,Results!$E$4="Fluid"),((DR38*DR$51)/(DR$54)),IF(AND(Results!$E$4="Cells",Results!$E$5="Million",$B$52="million"),((DR38*DR$51)/(DR$52)),"0")))))</f>
        <v>0</v>
      </c>
      <c r="DS91" s="20" t="str">
        <f>IF(DS38=0,"0",IF(AND(Results!$E$5="Protein",$C$53&gt;0,OR(Results!$E$4="Tissue",Results!$E$4="Cells")),((DS38*DS$51)/(DS$53)),IF(AND(Results!$E$5="Weight",$C$52&gt;0, Results!$E$4="Tissue",OR($B$52="g",$B$52="mg")),((DS38*DS$51)/(DS$52)),IF(AND(Results!$E$5="Volume",$C$54&gt;0,Results!$E$4="Fluid"),((DS38*DS$51)/(DS$54)),IF(AND(Results!$E$4="Cells",Results!$E$5="Million",$B$52="million"),((DS38*DS$51)/(DS$52)),"0")))))</f>
        <v>0</v>
      </c>
      <c r="DT91" s="20" t="str">
        <f>IF(DT38=0,"0",IF(AND(Results!$E$5="Protein",$C$53&gt;0,OR(Results!$E$4="Tissue",Results!$E$4="Cells")),((DT38*DT$51)/(DT$53)),IF(AND(Results!$E$5="Weight",$C$52&gt;0, Results!$E$4="Tissue",OR($B$52="g",$B$52="mg")),((DT38*DT$51)/(DT$52)),IF(AND(Results!$E$5="Volume",$C$54&gt;0,Results!$E$4="Fluid"),((DT38*DT$51)/(DT$54)),IF(AND(Results!$E$4="Cells",Results!$E$5="Million",$B$52="million"),((DT38*DT$51)/(DT$52)),"0")))))</f>
        <v>0</v>
      </c>
      <c r="DU91" s="20" t="str">
        <f>IF(DU38=0,"0",IF(AND(Results!$E$5="Protein",$C$53&gt;0,OR(Results!$E$4="Tissue",Results!$E$4="Cells")),((DU38*DU$51)/(DU$53)),IF(AND(Results!$E$5="Weight",$C$52&gt;0, Results!$E$4="Tissue",OR($B$52="g",$B$52="mg")),((DU38*DU$51)/(DU$52)),IF(AND(Results!$E$5="Volume",$C$54&gt;0,Results!$E$4="Fluid"),((DU38*DU$51)/(DU$54)),IF(AND(Results!$E$4="Cells",Results!$E$5="Million",$B$52="million"),((DU38*DU$51)/(DU$52)),"0")))))</f>
        <v>0</v>
      </c>
      <c r="DV91" s="20" t="str">
        <f>IF(DV38=0,"0",IF(AND(Results!$E$5="Protein",$C$53&gt;0,OR(Results!$E$4="Tissue",Results!$E$4="Cells")),((DV38*DV$51)/(DV$53)),IF(AND(Results!$E$5="Weight",$C$52&gt;0, Results!$E$4="Tissue",OR($B$52="g",$B$52="mg")),((DV38*DV$51)/(DV$52)),IF(AND(Results!$E$5="Volume",$C$54&gt;0,Results!$E$4="Fluid"),((DV38*DV$51)/(DV$54)),IF(AND(Results!$E$4="Cells",Results!$E$5="Million",$B$52="million"),((DV38*DV$51)/(DV$52)),"0")))))</f>
        <v>0</v>
      </c>
      <c r="DW91" s="20" t="str">
        <f>IF(DW38=0,"0",IF(AND(Results!$E$5="Protein",$C$53&gt;0,OR(Results!$E$4="Tissue",Results!$E$4="Cells")),((DW38*DW$51)/(DW$53)),IF(AND(Results!$E$5="Weight",$C$52&gt;0, Results!$E$4="Tissue",OR($B$52="g",$B$52="mg")),((DW38*DW$51)/(DW$52)),IF(AND(Results!$E$5="Volume",$C$54&gt;0,Results!$E$4="Fluid"),((DW38*DW$51)/(DW$54)),IF(AND(Results!$E$4="Cells",Results!$E$5="Million",$B$52="million"),((DW38*DW$51)/(DW$52)),"0")))))</f>
        <v>0</v>
      </c>
      <c r="DX91" s="20" t="str">
        <f>IF(DX38=0,"0",IF(AND(Results!$E$5="Protein",$C$53&gt;0,OR(Results!$E$4="Tissue",Results!$E$4="Cells")),((DX38*DX$51)/(DX$53)),IF(AND(Results!$E$5="Weight",$C$52&gt;0, Results!$E$4="Tissue",OR($B$52="g",$B$52="mg")),((DX38*DX$51)/(DX$52)),IF(AND(Results!$E$5="Volume",$C$54&gt;0,Results!$E$4="Fluid"),((DX38*DX$51)/(DX$54)),IF(AND(Results!$E$4="Cells",Results!$E$5="Million",$B$52="million"),((DX38*DX$51)/(DX$52)),"0")))))</f>
        <v>0</v>
      </c>
      <c r="DY91" s="20" t="str">
        <f>IF(DY38=0,"0",IF(AND(Results!$E$5="Protein",$C$53&gt;0,OR(Results!$E$4="Tissue",Results!$E$4="Cells")),((DY38*DY$51)/(DY$53)),IF(AND(Results!$E$5="Weight",$C$52&gt;0, Results!$E$4="Tissue",OR($B$52="g",$B$52="mg")),((DY38*DY$51)/(DY$52)),IF(AND(Results!$E$5="Volume",$C$54&gt;0,Results!$E$4="Fluid"),((DY38*DY$51)/(DY$54)),IF(AND(Results!$E$4="Cells",Results!$E$5="Million",$B$52="million"),((DY38*DY$51)/(DY$52)),"0")))))</f>
        <v>0</v>
      </c>
      <c r="DZ91" s="20" t="str">
        <f>IF(DZ38=0,"0",IF(AND(Results!$E$5="Protein",$C$53&gt;0,OR(Results!$E$4="Tissue",Results!$E$4="Cells")),((DZ38*DZ$51)/(DZ$53)),IF(AND(Results!$E$5="Weight",$C$52&gt;0, Results!$E$4="Tissue",OR($B$52="g",$B$52="mg")),((DZ38*DZ$51)/(DZ$52)),IF(AND(Results!$E$5="Volume",$C$54&gt;0,Results!$E$4="Fluid"),((DZ38*DZ$51)/(DZ$54)),IF(AND(Results!$E$4="Cells",Results!$E$5="Million",$B$52="million"),((DZ38*DZ$51)/(DZ$52)),"0")))))</f>
        <v>0</v>
      </c>
      <c r="EA91" s="20" t="str">
        <f>IF(EA38=0,"0",IF(AND(Results!$E$5="Protein",$C$53&gt;0,OR(Results!$E$4="Tissue",Results!$E$4="Cells")),((EA38*EA$51)/(EA$53)),IF(AND(Results!$E$5="Weight",$C$52&gt;0, Results!$E$4="Tissue",OR($B$52="g",$B$52="mg")),((EA38*EA$51)/(EA$52)),IF(AND(Results!$E$5="Volume",$C$54&gt;0,Results!$E$4="Fluid"),((EA38*EA$51)/(EA$54)),IF(AND(Results!$E$4="Cells",Results!$E$5="Million",$B$52="million"),((EA38*EA$51)/(EA$52)),"0")))))</f>
        <v>0</v>
      </c>
      <c r="EB91" s="20" t="str">
        <f>IF(EB38=0,"0",IF(AND(Results!$E$5="Protein",$C$53&gt;0,OR(Results!$E$4="Tissue",Results!$E$4="Cells")),((EB38*EB$51)/(EB$53)),IF(AND(Results!$E$5="Weight",$C$52&gt;0, Results!$E$4="Tissue",OR($B$52="g",$B$52="mg")),((EB38*EB$51)/(EB$52)),IF(AND(Results!$E$5="Volume",$C$54&gt;0,Results!$E$4="Fluid"),((EB38*EB$51)/(EB$54)),IF(AND(Results!$E$4="Cells",Results!$E$5="Million",$B$52="million"),((EB38*EB$51)/(EB$52)),"0")))))</f>
        <v>0</v>
      </c>
      <c r="EC91" s="20" t="str">
        <f>IF(EC38=0,"0",IF(AND(Results!$E$5="Protein",$C$53&gt;0,OR(Results!$E$4="Tissue",Results!$E$4="Cells")),((EC38*EC$51)/(EC$53)),IF(AND(Results!$E$5="Weight",$C$52&gt;0, Results!$E$4="Tissue",OR($B$52="g",$B$52="mg")),((EC38*EC$51)/(EC$52)),IF(AND(Results!$E$5="Volume",$C$54&gt;0,Results!$E$4="Fluid"),((EC38*EC$51)/(EC$54)),IF(AND(Results!$E$4="Cells",Results!$E$5="Million",$B$52="million"),((EC38*EC$51)/(EC$52)),"0")))))</f>
        <v>0</v>
      </c>
      <c r="ED91" s="20" t="str">
        <f>IF(ED38=0,"0",IF(AND(Results!$E$5="Protein",$C$53&gt;0,OR(Results!$E$4="Tissue",Results!$E$4="Cells")),((ED38*ED$51)/(ED$53)),IF(AND(Results!$E$5="Weight",$C$52&gt;0, Results!$E$4="Tissue",OR($B$52="g",$B$52="mg")),((ED38*ED$51)/(ED$52)),IF(AND(Results!$E$5="Volume",$C$54&gt;0,Results!$E$4="Fluid"),((ED38*ED$51)/(ED$54)),IF(AND(Results!$E$4="Cells",Results!$E$5="Million",$B$52="million"),((ED38*ED$51)/(ED$52)),"0")))))</f>
        <v>0</v>
      </c>
      <c r="EE91" s="20" t="str">
        <f>IF(EE38=0,"0",IF(AND(Results!$E$5="Protein",$C$53&gt;0,OR(Results!$E$4="Tissue",Results!$E$4="Cells")),((EE38*EE$51)/(EE$53)),IF(AND(Results!$E$5="Weight",$C$52&gt;0, Results!$E$4="Tissue",OR($B$52="g",$B$52="mg")),((EE38*EE$51)/(EE$52)),IF(AND(Results!$E$5="Volume",$C$54&gt;0,Results!$E$4="Fluid"),((EE38*EE$51)/(EE$54)),IF(AND(Results!$E$4="Cells",Results!$E$5="Million",$B$52="million"),((EE38*EE$51)/(EE$52)),"0")))))</f>
        <v>0</v>
      </c>
      <c r="EF91" s="20" t="str">
        <f>IF(EF38=0,"0",IF(AND(Results!$E$5="Protein",$C$53&gt;0,OR(Results!$E$4="Tissue",Results!$E$4="Cells")),((EF38*EF$51)/(EF$53)),IF(AND(Results!$E$5="Weight",$C$52&gt;0, Results!$E$4="Tissue",OR($B$52="g",$B$52="mg")),((EF38*EF$51)/(EF$52)),IF(AND(Results!$E$5="Volume",$C$54&gt;0,Results!$E$4="Fluid"),((EF38*EF$51)/(EF$54)),IF(AND(Results!$E$4="Cells",Results!$E$5="Million",$B$52="million"),((EF38*EF$51)/(EF$52)),"0")))))</f>
        <v>0</v>
      </c>
      <c r="EG91" s="20" t="str">
        <f>IF(EG38=0,"0",IF(AND(Results!$E$5="Protein",$C$53&gt;0,OR(Results!$E$4="Tissue",Results!$E$4="Cells")),((EG38*EG$51)/(EG$53)),IF(AND(Results!$E$5="Weight",$C$52&gt;0, Results!$E$4="Tissue",OR($B$52="g",$B$52="mg")),((EG38*EG$51)/(EG$52)),IF(AND(Results!$E$5="Volume",$C$54&gt;0,Results!$E$4="Fluid"),((EG38*EG$51)/(EG$54)),IF(AND(Results!$E$4="Cells",Results!$E$5="Million",$B$52="million"),((EG38*EG$51)/(EG$52)),"0")))))</f>
        <v>0</v>
      </c>
      <c r="EH91" s="20" t="str">
        <f>IF(EH38=0,"0",IF(AND(Results!$E$5="Protein",$C$53&gt;0,OR(Results!$E$4="Tissue",Results!$E$4="Cells")),((EH38*EH$51)/(EH$53)),IF(AND(Results!$E$5="Weight",$C$52&gt;0, Results!$E$4="Tissue",OR($B$52="g",$B$52="mg")),((EH38*EH$51)/(EH$52)),IF(AND(Results!$E$5="Volume",$C$54&gt;0,Results!$E$4="Fluid"),((EH38*EH$51)/(EH$54)),IF(AND(Results!$E$4="Cells",Results!$E$5="Million",$B$52="million"),((EH38*EH$51)/(EH$52)),"0")))))</f>
        <v>0</v>
      </c>
      <c r="EI91" s="20" t="str">
        <f>IF(EI38=0,"0",IF(AND(Results!$E$5="Protein",$C$53&gt;0,OR(Results!$E$4="Tissue",Results!$E$4="Cells")),((EI38*EI$51)/(EI$53)),IF(AND(Results!$E$5="Weight",$C$52&gt;0, Results!$E$4="Tissue",OR($B$52="g",$B$52="mg")),((EI38*EI$51)/(EI$52)),IF(AND(Results!$E$5="Volume",$C$54&gt;0,Results!$E$4="Fluid"),((EI38*EI$51)/(EI$54)),IF(AND(Results!$E$4="Cells",Results!$E$5="Million",$B$52="million"),((EI38*EI$51)/(EI$52)),"0")))))</f>
        <v>0</v>
      </c>
      <c r="EJ91" s="20" t="str">
        <f>IF(EJ38=0,"0",IF(AND(Results!$E$5="Protein",$C$53&gt;0,OR(Results!$E$4="Tissue",Results!$E$4="Cells")),((EJ38*EJ$51)/(EJ$53)),IF(AND(Results!$E$5="Weight",$C$52&gt;0, Results!$E$4="Tissue",OR($B$52="g",$B$52="mg")),((EJ38*EJ$51)/(EJ$52)),IF(AND(Results!$E$5="Volume",$C$54&gt;0,Results!$E$4="Fluid"),((EJ38*EJ$51)/(EJ$54)),IF(AND(Results!$E$4="Cells",Results!$E$5="Million",$B$52="million"),((EJ38*EJ$51)/(EJ$52)),"0")))))</f>
        <v>0</v>
      </c>
      <c r="EK91" s="20" t="str">
        <f>IF(EK38=0,"0",IF(AND(Results!$E$5="Protein",$C$53&gt;0,OR(Results!$E$4="Tissue",Results!$E$4="Cells")),((EK38*EK$51)/(EK$53)),IF(AND(Results!$E$5="Weight",$C$52&gt;0, Results!$E$4="Tissue",OR($B$52="g",$B$52="mg")),((EK38*EK$51)/(EK$52)),IF(AND(Results!$E$5="Volume",$C$54&gt;0,Results!$E$4="Fluid"),((EK38*EK$51)/(EK$54)),IF(AND(Results!$E$4="Cells",Results!$E$5="Million",$B$52="million"),((EK38*EK$51)/(EK$52)),"0")))))</f>
        <v>0</v>
      </c>
      <c r="EL91" s="20" t="str">
        <f>IF(EL38=0,"0",IF(AND(Results!$E$5="Protein",$C$53&gt;0,OR(Results!$E$4="Tissue",Results!$E$4="Cells")),((EL38*EL$51)/(EL$53)),IF(AND(Results!$E$5="Weight",$C$52&gt;0, Results!$E$4="Tissue",OR($B$52="g",$B$52="mg")),((EL38*EL$51)/(EL$52)),IF(AND(Results!$E$5="Volume",$C$54&gt;0,Results!$E$4="Fluid"),((EL38*EL$51)/(EL$54)),IF(AND(Results!$E$4="Cells",Results!$E$5="Million",$B$52="million"),((EL38*EL$51)/(EL$52)),"0")))))</f>
        <v>0</v>
      </c>
      <c r="EM91" s="20" t="str">
        <f>IF(EM38=0,"0",IF(AND(Results!$E$5="Protein",$C$53&gt;0,OR(Results!$E$4="Tissue",Results!$E$4="Cells")),((EM38*EM$51)/(EM$53)),IF(AND(Results!$E$5="Weight",$C$52&gt;0, Results!$E$4="Tissue",OR($B$52="g",$B$52="mg")),((EM38*EM$51)/(EM$52)),IF(AND(Results!$E$5="Volume",$C$54&gt;0,Results!$E$4="Fluid"),((EM38*EM$51)/(EM$54)),IF(AND(Results!$E$4="Cells",Results!$E$5="Million",$B$52="million"),((EM38*EM$51)/(EM$52)),"0")))))</f>
        <v>0</v>
      </c>
      <c r="EN91" s="20" t="str">
        <f>IF(EN38=0,"0",IF(AND(Results!$E$5="Protein",$C$53&gt;0,OR(Results!$E$4="Tissue",Results!$E$4="Cells")),((EN38*EN$51)/(EN$53)),IF(AND(Results!$E$5="Weight",$C$52&gt;0, Results!$E$4="Tissue",OR($B$52="g",$B$52="mg")),((EN38*EN$51)/(EN$52)),IF(AND(Results!$E$5="Volume",$C$54&gt;0,Results!$E$4="Fluid"),((EN38*EN$51)/(EN$54)),IF(AND(Results!$E$4="Cells",Results!$E$5="Million",$B$52="million"),((EN38*EN$51)/(EN$52)),"0")))))</f>
        <v>0</v>
      </c>
      <c r="EO91" s="20" t="str">
        <f>IF(EO38=0,"0",IF(AND(Results!$E$5="Protein",$C$53&gt;0,OR(Results!$E$4="Tissue",Results!$E$4="Cells")),((EO38*EO$51)/(EO$53)),IF(AND(Results!$E$5="Weight",$C$52&gt;0, Results!$E$4="Tissue",OR($B$52="g",$B$52="mg")),((EO38*EO$51)/(EO$52)),IF(AND(Results!$E$5="Volume",$C$54&gt;0,Results!$E$4="Fluid"),((EO38*EO$51)/(EO$54)),IF(AND(Results!$E$4="Cells",Results!$E$5="Million",$B$52="million"),((EO38*EO$51)/(EO$52)),"0")))))</f>
        <v>0</v>
      </c>
      <c r="EP91" s="20" t="str">
        <f>IF(EP38=0,"0",IF(AND(Results!$E$5="Protein",$C$53&gt;0,OR(Results!$E$4="Tissue",Results!$E$4="Cells")),((EP38*EP$51)/(EP$53)),IF(AND(Results!$E$5="Weight",$C$52&gt;0, Results!$E$4="Tissue",OR($B$52="g",$B$52="mg")),((EP38*EP$51)/(EP$52)),IF(AND(Results!$E$5="Volume",$C$54&gt;0,Results!$E$4="Fluid"),((EP38*EP$51)/(EP$54)),IF(AND(Results!$E$4="Cells",Results!$E$5="Million",$B$52="million"),((EP38*EP$51)/(EP$52)),"0")))))</f>
        <v>0</v>
      </c>
      <c r="EQ91" s="20" t="str">
        <f>IF(EQ38=0,"0",IF(AND(Results!$E$5="Protein",$C$53&gt;0,OR(Results!$E$4="Tissue",Results!$E$4="Cells")),((EQ38*EQ$51)/(EQ$53)),IF(AND(Results!$E$5="Weight",$C$52&gt;0, Results!$E$4="Tissue",OR($B$52="g",$B$52="mg")),((EQ38*EQ$51)/(EQ$52)),IF(AND(Results!$E$5="Volume",$C$54&gt;0,Results!$E$4="Fluid"),((EQ38*EQ$51)/(EQ$54)),IF(AND(Results!$E$4="Cells",Results!$E$5="Million",$B$52="million"),((EQ38*EQ$51)/(EQ$52)),"0")))))</f>
        <v>0</v>
      </c>
      <c r="ER91" s="20" t="str">
        <f>IF(ER38=0,"0",IF(AND(Results!$E$5="Protein",$C$53&gt;0,OR(Results!$E$4="Tissue",Results!$E$4="Cells")),((ER38*ER$51)/(ER$53)),IF(AND(Results!$E$5="Weight",$C$52&gt;0, Results!$E$4="Tissue",OR($B$52="g",$B$52="mg")),((ER38*ER$51)/(ER$52)),IF(AND(Results!$E$5="Volume",$C$54&gt;0,Results!$E$4="Fluid"),((ER38*ER$51)/(ER$54)),IF(AND(Results!$E$4="Cells",Results!$E$5="Million",$B$52="million"),((ER38*ER$51)/(ER$52)),"0")))))</f>
        <v>0</v>
      </c>
      <c r="ES91" s="20" t="str">
        <f>IF(ES38=0,"0",IF(AND(Results!$E$5="Protein",$C$53&gt;0,OR(Results!$E$4="Tissue",Results!$E$4="Cells")),((ES38*ES$51)/(ES$53)),IF(AND(Results!$E$5="Weight",$C$52&gt;0, Results!$E$4="Tissue",OR($B$52="g",$B$52="mg")),((ES38*ES$51)/(ES$52)),IF(AND(Results!$E$5="Volume",$C$54&gt;0,Results!$E$4="Fluid"),((ES38*ES$51)/(ES$54)),IF(AND(Results!$E$4="Cells",Results!$E$5="Million",$B$52="million"),((ES38*ES$51)/(ES$52)),"0")))))</f>
        <v>0</v>
      </c>
      <c r="ET91" s="20" t="str">
        <f>IF(ET38=0,"0",IF(AND(Results!$E$5="Protein",$C$53&gt;0,OR(Results!$E$4="Tissue",Results!$E$4="Cells")),((ET38*ET$51)/(ET$53)),IF(AND(Results!$E$5="Weight",$C$52&gt;0, Results!$E$4="Tissue",OR($B$52="g",$B$52="mg")),((ET38*ET$51)/(ET$52)),IF(AND(Results!$E$5="Volume",$C$54&gt;0,Results!$E$4="Fluid"),((ET38*ET$51)/(ET$54)),IF(AND(Results!$E$4="Cells",Results!$E$5="Million",$B$52="million"),((ET38*ET$51)/(ET$52)),"0")))))</f>
        <v>0</v>
      </c>
      <c r="EU91" s="20" t="str">
        <f>IF(EU38=0,"0",IF(AND(Results!$E$5="Protein",$C$53&gt;0,OR(Results!$E$4="Tissue",Results!$E$4="Cells")),((EU38*EU$51)/(EU$53)),IF(AND(Results!$E$5="Weight",$C$52&gt;0, Results!$E$4="Tissue",OR($B$52="g",$B$52="mg")),((EU38*EU$51)/(EU$52)),IF(AND(Results!$E$5="Volume",$C$54&gt;0,Results!$E$4="Fluid"),((EU38*EU$51)/(EU$54)),IF(AND(Results!$E$4="Cells",Results!$E$5="Million",$B$52="million"),((EU38*EU$51)/(EU$52)),"0")))))</f>
        <v>0</v>
      </c>
      <c r="EV91" s="20" t="str">
        <f>IF(EV38=0,"0",IF(AND(Results!$E$5="Protein",$C$53&gt;0,OR(Results!$E$4="Tissue",Results!$E$4="Cells")),((EV38*EV$51)/(EV$53)),IF(AND(Results!$E$5="Weight",$C$52&gt;0, Results!$E$4="Tissue",OR($B$52="g",$B$52="mg")),((EV38*EV$51)/(EV$52)),IF(AND(Results!$E$5="Volume",$C$54&gt;0,Results!$E$4="Fluid"),((EV38*EV$51)/(EV$54)),IF(AND(Results!$E$4="Cells",Results!$E$5="Million",$B$52="million"),((EV38*EV$51)/(EV$52)),"0")))))</f>
        <v>0</v>
      </c>
      <c r="EW91" s="20" t="str">
        <f>IF(EW38=0,"0",IF(AND(Results!$E$5="Protein",$C$53&gt;0,OR(Results!$E$4="Tissue",Results!$E$4="Cells")),((EW38*EW$51)/(EW$53)),IF(AND(Results!$E$5="Weight",$C$52&gt;0, Results!$E$4="Tissue",OR($B$52="g",$B$52="mg")),((EW38*EW$51)/(EW$52)),IF(AND(Results!$E$5="Volume",$C$54&gt;0,Results!$E$4="Fluid"),((EW38*EW$51)/(EW$54)),IF(AND(Results!$E$4="Cells",Results!$E$5="Million",$B$52="million"),((EW38*EW$51)/(EW$52)),"0")))))</f>
        <v>0</v>
      </c>
      <c r="EX91" s="20" t="str">
        <f>IF(EX38=0,"0",IF(AND(Results!$E$5="Protein",$C$53&gt;0,OR(Results!$E$4="Tissue",Results!$E$4="Cells")),((EX38*EX$51)/(EX$53)),IF(AND(Results!$E$5="Weight",$C$52&gt;0, Results!$E$4="Tissue",OR($B$52="g",$B$52="mg")),((EX38*EX$51)/(EX$52)),IF(AND(Results!$E$5="Volume",$C$54&gt;0,Results!$E$4="Fluid"),((EX38*EX$51)/(EX$54)),IF(AND(Results!$E$4="Cells",Results!$E$5="Million",$B$52="million"),((EX38*EX$51)/(EX$52)),"0")))))</f>
        <v>0</v>
      </c>
      <c r="EY91" s="20" t="str">
        <f>IF(EY38=0,"0",IF(AND(Results!$E$5="Protein",$C$53&gt;0,OR(Results!$E$4="Tissue",Results!$E$4="Cells")),((EY38*EY$51)/(EY$53)),IF(AND(Results!$E$5="Weight",$C$52&gt;0, Results!$E$4="Tissue",OR($B$52="g",$B$52="mg")),((EY38*EY$51)/(EY$52)),IF(AND(Results!$E$5="Volume",$C$54&gt;0,Results!$E$4="Fluid"),((EY38*EY$51)/(EY$54)),IF(AND(Results!$E$4="Cells",Results!$E$5="Million",$B$52="million"),((EY38*EY$51)/(EY$52)),"0")))))</f>
        <v>0</v>
      </c>
      <c r="EZ91" s="20" t="str">
        <f>IF(EZ38=0,"0",IF(AND(Results!$E$5="Protein",$C$53&gt;0,OR(Results!$E$4="Tissue",Results!$E$4="Cells")),((EZ38*EZ$51)/(EZ$53)),IF(AND(Results!$E$5="Weight",$C$52&gt;0, Results!$E$4="Tissue",OR($B$52="g",$B$52="mg")),((EZ38*EZ$51)/(EZ$52)),IF(AND(Results!$E$5="Volume",$C$54&gt;0,Results!$E$4="Fluid"),((EZ38*EZ$51)/(EZ$54)),IF(AND(Results!$E$4="Cells",Results!$E$5="Million",$B$52="million"),((EZ38*EZ$51)/(EZ$52)),"0")))))</f>
        <v>0</v>
      </c>
      <c r="FA91" s="20" t="str">
        <f>IF(FA38=0,"0",IF(AND(Results!$E$5="Protein",$C$53&gt;0,OR(Results!$E$4="Tissue",Results!$E$4="Cells")),((FA38*FA$51)/(FA$53)),IF(AND(Results!$E$5="Weight",$C$52&gt;0, Results!$E$4="Tissue",OR($B$52="g",$B$52="mg")),((FA38*FA$51)/(FA$52)),IF(AND(Results!$E$5="Volume",$C$54&gt;0,Results!$E$4="Fluid"),((FA38*FA$51)/(FA$54)),IF(AND(Results!$E$4="Cells",Results!$E$5="Million",$B$52="million"),((FA38*FA$51)/(FA$52)),"0")))))</f>
        <v>0</v>
      </c>
      <c r="FB91" s="20" t="str">
        <f>IF(FB38=0,"0",IF(AND(Results!$E$5="Protein",$C$53&gt;0,OR(Results!$E$4="Tissue",Results!$E$4="Cells")),((FB38*FB$51)/(FB$53)),IF(AND(Results!$E$5="Weight",$C$52&gt;0, Results!$E$4="Tissue",OR($B$52="g",$B$52="mg")),((FB38*FB$51)/(FB$52)),IF(AND(Results!$E$5="Volume",$C$54&gt;0,Results!$E$4="Fluid"),((FB38*FB$51)/(FB$54)),IF(AND(Results!$E$4="Cells",Results!$E$5="Million",$B$52="million"),((FB38*FB$51)/(FB$52)),"0")))))</f>
        <v>0</v>
      </c>
      <c r="FC91" s="20" t="str">
        <f>IF(FC38=0,"0",IF(AND(Results!$E$5="Protein",$C$53&gt;0,OR(Results!$E$4="Tissue",Results!$E$4="Cells")),((FC38*FC$51)/(FC$53)),IF(AND(Results!$E$5="Weight",$C$52&gt;0, Results!$E$4="Tissue",OR($B$52="g",$B$52="mg")),((FC38*FC$51)/(FC$52)),IF(AND(Results!$E$5="Volume",$C$54&gt;0,Results!$E$4="Fluid"),((FC38*FC$51)/(FC$54)),IF(AND(Results!$E$4="Cells",Results!$E$5="Million",$B$52="million"),((FC38*FC$51)/(FC$52)),"0")))))</f>
        <v>0</v>
      </c>
      <c r="FD91" s="20" t="str">
        <f>IF(FD38=0,"0",IF(AND(Results!$E$5="Protein",$C$53&gt;0,OR(Results!$E$4="Tissue",Results!$E$4="Cells")),((FD38*FD$51)/(FD$53)),IF(AND(Results!$E$5="Weight",$C$52&gt;0, Results!$E$4="Tissue",OR($B$52="g",$B$52="mg")),((FD38*FD$51)/(FD$52)),IF(AND(Results!$E$5="Volume",$C$54&gt;0,Results!$E$4="Fluid"),((FD38*FD$51)/(FD$54)),IF(AND(Results!$E$4="Cells",Results!$E$5="Million",$B$52="million"),((FD38*FD$51)/(FD$52)),"0")))))</f>
        <v>0</v>
      </c>
      <c r="FE91" s="20" t="str">
        <f>IF(FE38=0,"0",IF(AND(Results!$E$5="Protein",$C$53&gt;0,OR(Results!$E$4="Tissue",Results!$E$4="Cells")),((FE38*FE$51)/(FE$53)),IF(AND(Results!$E$5="Weight",$C$52&gt;0, Results!$E$4="Tissue",OR($B$52="g",$B$52="mg")),((FE38*FE$51)/(FE$52)),IF(AND(Results!$E$5="Volume",$C$54&gt;0,Results!$E$4="Fluid"),((FE38*FE$51)/(FE$54)),IF(AND(Results!$E$4="Cells",Results!$E$5="Million",$B$52="million"),((FE38*FE$51)/(FE$52)),"0")))))</f>
        <v>0</v>
      </c>
      <c r="FF91" s="20" t="str">
        <f>IF(FF38=0,"0",IF(AND(Results!$E$5="Protein",$C$53&gt;0,OR(Results!$E$4="Tissue",Results!$E$4="Cells")),((FF38*FF$51)/(FF$53)),IF(AND(Results!$E$5="Weight",$C$52&gt;0, Results!$E$4="Tissue",OR($B$52="g",$B$52="mg")),((FF38*FF$51)/(FF$52)),IF(AND(Results!$E$5="Volume",$C$54&gt;0,Results!$E$4="Fluid"),((FF38*FF$51)/(FF$54)),IF(AND(Results!$E$4="Cells",Results!$E$5="Million",$B$52="million"),((FF38*FF$51)/(FF$52)),"0")))))</f>
        <v>0</v>
      </c>
      <c r="FG91" s="20" t="str">
        <f>IF(FG38=0,"0",IF(AND(Results!$E$5="Protein",$C$53&gt;0,OR(Results!$E$4="Tissue",Results!$E$4="Cells")),((FG38*FG$51)/(FG$53)),IF(AND(Results!$E$5="Weight",$C$52&gt;0, Results!$E$4="Tissue",OR($B$52="g",$B$52="mg")),((FG38*FG$51)/(FG$52)),IF(AND(Results!$E$5="Volume",$C$54&gt;0,Results!$E$4="Fluid"),((FG38*FG$51)/(FG$54)),IF(AND(Results!$E$4="Cells",Results!$E$5="Million",$B$52="million"),((FG38*FG$51)/(FG$52)),"0")))))</f>
        <v>0</v>
      </c>
      <c r="FH91" s="20" t="str">
        <f>IF(FH38=0,"0",IF(AND(Results!$E$5="Protein",$C$53&gt;0,OR(Results!$E$4="Tissue",Results!$E$4="Cells")),((FH38*FH$51)/(FH$53)),IF(AND(Results!$E$5="Weight",$C$52&gt;0, Results!$E$4="Tissue",OR($B$52="g",$B$52="mg")),((FH38*FH$51)/(FH$52)),IF(AND(Results!$E$5="Volume",$C$54&gt;0,Results!$E$4="Fluid"),((FH38*FH$51)/(FH$54)),IF(AND(Results!$E$4="Cells",Results!$E$5="Million",$B$52="million"),((FH38*FH$51)/(FH$52)),"0")))))</f>
        <v>0</v>
      </c>
      <c r="FI91" s="20" t="str">
        <f>IF(FI38=0,"0",IF(AND(Results!$E$5="Protein",$C$53&gt;0,OR(Results!$E$4="Tissue",Results!$E$4="Cells")),((FI38*FI$51)/(FI$53)),IF(AND(Results!$E$5="Weight",$C$52&gt;0, Results!$E$4="Tissue",OR($B$52="g",$B$52="mg")),((FI38*FI$51)/(FI$52)),IF(AND(Results!$E$5="Volume",$C$54&gt;0,Results!$E$4="Fluid"),((FI38*FI$51)/(FI$54)),IF(AND(Results!$E$4="Cells",Results!$E$5="Million",$B$52="million"),((FI38*FI$51)/(FI$52)),"0")))))</f>
        <v>0</v>
      </c>
      <c r="FJ91" s="20" t="str">
        <f>IF(FJ38=0,"0",IF(AND(Results!$E$5="Protein",$C$53&gt;0,OR(Results!$E$4="Tissue",Results!$E$4="Cells")),((FJ38*FJ$51)/(FJ$53)),IF(AND(Results!$E$5="Weight",$C$52&gt;0, Results!$E$4="Tissue",OR($B$52="g",$B$52="mg")),((FJ38*FJ$51)/(FJ$52)),IF(AND(Results!$E$5="Volume",$C$54&gt;0,Results!$E$4="Fluid"),((FJ38*FJ$51)/(FJ$54)),IF(AND(Results!$E$4="Cells",Results!$E$5="Million",$B$52="million"),((FJ38*FJ$51)/(FJ$52)),"0")))))</f>
        <v>0</v>
      </c>
      <c r="FK91" s="20" t="str">
        <f>IF(FK38=0,"0",IF(AND(Results!$E$5="Protein",$C$53&gt;0,OR(Results!$E$4="Tissue",Results!$E$4="Cells")),((FK38*FK$51)/(FK$53)),IF(AND(Results!$E$5="Weight",$C$52&gt;0, Results!$E$4="Tissue",OR($B$52="g",$B$52="mg")),((FK38*FK$51)/(FK$52)),IF(AND(Results!$E$5="Volume",$C$54&gt;0,Results!$E$4="Fluid"),((FK38*FK$51)/(FK$54)),IF(AND(Results!$E$4="Cells",Results!$E$5="Million",$B$52="million"),((FK38*FK$51)/(FK$52)),"0")))))</f>
        <v>0</v>
      </c>
      <c r="FL91" s="20" t="str">
        <f>IF(FL38=0,"0",IF(AND(Results!$E$5="Protein",$C$53&gt;0,OR(Results!$E$4="Tissue",Results!$E$4="Cells")),((FL38*FL$51)/(FL$53)),IF(AND(Results!$E$5="Weight",$C$52&gt;0, Results!$E$4="Tissue",OR($B$52="g",$B$52="mg")),((FL38*FL$51)/(FL$52)),IF(AND(Results!$E$5="Volume",$C$54&gt;0,Results!$E$4="Fluid"),((FL38*FL$51)/(FL$54)),IF(AND(Results!$E$4="Cells",Results!$E$5="Million",$B$52="million"),((FL38*FL$51)/(FL$52)),"0")))))</f>
        <v>0</v>
      </c>
      <c r="FM91" s="20" t="str">
        <f>IF(FM38=0,"0",IF(AND(Results!$E$5="Protein",$C$53&gt;0,OR(Results!$E$4="Tissue",Results!$E$4="Cells")),((FM38*FM$51)/(FM$53)),IF(AND(Results!$E$5="Weight",$C$52&gt;0, Results!$E$4="Tissue",OR($B$52="g",$B$52="mg")),((FM38*FM$51)/(FM$52)),IF(AND(Results!$E$5="Volume",$C$54&gt;0,Results!$E$4="Fluid"),((FM38*FM$51)/(FM$54)),IF(AND(Results!$E$4="Cells",Results!$E$5="Million",$B$52="million"),((FM38*FM$51)/(FM$52)),"0")))))</f>
        <v>0</v>
      </c>
      <c r="FN91" s="20" t="str">
        <f>IF(FN38=0,"0",IF(AND(Results!$E$5="Protein",$C$53&gt;0,OR(Results!$E$4="Tissue",Results!$E$4="Cells")),((FN38*FN$51)/(FN$53)),IF(AND(Results!$E$5="Weight",$C$52&gt;0, Results!$E$4="Tissue",OR($B$52="g",$B$52="mg")),((FN38*FN$51)/(FN$52)),IF(AND(Results!$E$5="Volume",$C$54&gt;0,Results!$E$4="Fluid"),((FN38*FN$51)/(FN$54)),IF(AND(Results!$E$4="Cells",Results!$E$5="Million",$B$52="million"),((FN38*FN$51)/(FN$52)),"0")))))</f>
        <v>0</v>
      </c>
      <c r="FO91" s="20" t="str">
        <f>IF(FO38=0,"0",IF(AND(Results!$E$5="Protein",$C$53&gt;0,OR(Results!$E$4="Tissue",Results!$E$4="Cells")),((FO38*FO$51)/(FO$53)),IF(AND(Results!$E$5="Weight",$C$52&gt;0, Results!$E$4="Tissue",OR($B$52="g",$B$52="mg")),((FO38*FO$51)/(FO$52)),IF(AND(Results!$E$5="Volume",$C$54&gt;0,Results!$E$4="Fluid"),((FO38*FO$51)/(FO$54)),IF(AND(Results!$E$4="Cells",Results!$E$5="Million",$B$52="million"),((FO38*FO$51)/(FO$52)),"0")))))</f>
        <v>0</v>
      </c>
    </row>
    <row r="92" spans="1:171" x14ac:dyDescent="0.2">
      <c r="A92" s="120" t="str">
        <f t="shared" si="1"/>
        <v xml:space="preserve">RvE1 </v>
      </c>
      <c r="B92" s="121"/>
      <c r="C92" s="20" t="str">
        <f>IF(C39=0,"0",IF(AND(Results!$E$5="Protein",$C$53&gt;0,OR(Results!$E$4="Tissue",Results!$E$4="Cells")),((C39*C$51)/(C$53)),IF(AND(Results!$E$5="Weight",$C$52&gt;0, Results!$E$4="Tissue",OR($B$52="g",$B$52="mg")),((C39*C$51)/(C$52)),IF(AND(Results!$E$5="Volume",$C$54&gt;0,Results!$E$4="Fluid"),((C39*C$51)/(C$54)),IF(AND(Results!$E$4="Cells",Results!$E$5="Million",$B$52="million"),((C39*C$51)/(C$52)),"0")))))</f>
        <v>0</v>
      </c>
      <c r="D92" s="20" t="str">
        <f>IF(D39=0,"0",IF(AND(Results!$E$5="Protein",$C$53&gt;0,OR(Results!$E$4="Tissue",Results!$E$4="Cells")),((D39*D$51)/(D$53)),IF(AND(Results!$E$5="Weight",$C$52&gt;0, Results!$E$4="Tissue",OR($B$52="g",$B$52="mg")),((D39*D$51)/(D$52)),IF(AND(Results!$E$5="Volume",$C$54&gt;0,Results!$E$4="Fluid"),((D39*D$51)/(D$54)),IF(AND(Results!$E$4="Cells",Results!$E$5="Million",$B$52="million"),((D39*D$51)/(D$52)),"0")))))</f>
        <v>0</v>
      </c>
      <c r="E92" s="20" t="str">
        <f>IF(E39=0,"0",IF(AND(Results!$E$5="Protein",$C$53&gt;0,OR(Results!$E$4="Tissue",Results!$E$4="Cells")),((E39*E$51)/(E$53)),IF(AND(Results!$E$5="Weight",$C$52&gt;0, Results!$E$4="Tissue",OR($B$52="g",$B$52="mg")),((E39*E$51)/(E$52)),IF(AND(Results!$E$5="Volume",$C$54&gt;0,Results!$E$4="Fluid"),((E39*E$51)/(E$54)),IF(AND(Results!$E$4="Cells",Results!$E$5="Million",$B$52="million"),((E39*E$51)/(E$52)),"0")))))</f>
        <v>0</v>
      </c>
      <c r="F92" s="20" t="str">
        <f>IF(F39=0,"0",IF(AND(Results!$E$5="Protein",$C$53&gt;0,OR(Results!$E$4="Tissue",Results!$E$4="Cells")),((F39*F$51)/(F$53)),IF(AND(Results!$E$5="Weight",$C$52&gt;0, Results!$E$4="Tissue",OR($B$52="g",$B$52="mg")),((F39*F$51)/(F$52)),IF(AND(Results!$E$5="Volume",$C$54&gt;0,Results!$E$4="Fluid"),((F39*F$51)/(F$54)),IF(AND(Results!$E$4="Cells",Results!$E$5="Million",$B$52="million"),((F39*F$51)/(F$52)),"0")))))</f>
        <v>0</v>
      </c>
      <c r="G92" s="20" t="str">
        <f>IF(G39=0,"0",IF(AND(Results!$E$5="Protein",$C$53&gt;0,OR(Results!$E$4="Tissue",Results!$E$4="Cells")),((G39*G$51)/(G$53)),IF(AND(Results!$E$5="Weight",$C$52&gt;0, Results!$E$4="Tissue",OR($B$52="g",$B$52="mg")),((G39*G$51)/(G$52)),IF(AND(Results!$E$5="Volume",$C$54&gt;0,Results!$E$4="Fluid"),((G39*G$51)/(G$54)),IF(AND(Results!$E$4="Cells",Results!$E$5="Million",$B$52="million"),((G39*G$51)/(G$52)),"0")))))</f>
        <v>0</v>
      </c>
      <c r="H92" s="20" t="str">
        <f>IF(H39=0,"0",IF(AND(Results!$E$5="Protein",$C$53&gt;0,OR(Results!$E$4="Tissue",Results!$E$4="Cells")),((H39*H$51)/(H$53)),IF(AND(Results!$E$5="Weight",$C$52&gt;0, Results!$E$4="Tissue",OR($B$52="g",$B$52="mg")),((H39*H$51)/(H$52)),IF(AND(Results!$E$5="Volume",$C$54&gt;0,Results!$E$4="Fluid"),((H39*H$51)/(H$54)),IF(AND(Results!$E$4="Cells",Results!$E$5="Million",$B$52="million"),((H39*H$51)/(H$52)),"0")))))</f>
        <v>0</v>
      </c>
      <c r="I92" s="20" t="str">
        <f>IF(I39=0,"0",IF(AND(Results!$E$5="Protein",$C$53&gt;0,OR(Results!$E$4="Tissue",Results!$E$4="Cells")),((I39*I$51)/(I$53)),IF(AND(Results!$E$5="Weight",$C$52&gt;0, Results!$E$4="Tissue",OR($B$52="g",$B$52="mg")),((I39*I$51)/(I$52)),IF(AND(Results!$E$5="Volume",$C$54&gt;0,Results!$E$4="Fluid"),((I39*I$51)/(I$54)),IF(AND(Results!$E$4="Cells",Results!$E$5="Million",$B$52="million"),((I39*I$51)/(I$52)),"0")))))</f>
        <v>0</v>
      </c>
      <c r="J92" s="20" t="str">
        <f>IF(J39=0,"0",IF(AND(Results!$E$5="Protein",$C$53&gt;0,OR(Results!$E$4="Tissue",Results!$E$4="Cells")),((J39*J$51)/(J$53)),IF(AND(Results!$E$5="Weight",$C$52&gt;0, Results!$E$4="Tissue",OR($B$52="g",$B$52="mg")),((J39*J$51)/(J$52)),IF(AND(Results!$E$5="Volume",$C$54&gt;0,Results!$E$4="Fluid"),((J39*J$51)/(J$54)),IF(AND(Results!$E$4="Cells",Results!$E$5="Million",$B$52="million"),((J39*J$51)/(J$52)),"0")))))</f>
        <v>0</v>
      </c>
      <c r="K92" s="20" t="str">
        <f>IF(K39=0,"0",IF(AND(Results!$E$5="Protein",$C$53&gt;0,OR(Results!$E$4="Tissue",Results!$E$4="Cells")),((K39*K$51)/(K$53)),IF(AND(Results!$E$5="Weight",$C$52&gt;0, Results!$E$4="Tissue",OR($B$52="g",$B$52="mg")),((K39*K$51)/(K$52)),IF(AND(Results!$E$5="Volume",$C$54&gt;0,Results!$E$4="Fluid"),((K39*K$51)/(K$54)),IF(AND(Results!$E$4="Cells",Results!$E$5="Million",$B$52="million"),((K39*K$51)/(K$52)),"0")))))</f>
        <v>0</v>
      </c>
      <c r="L92" s="20" t="str">
        <f>IF(L39=0,"0",IF(AND(Results!$E$5="Protein",$C$53&gt;0,OR(Results!$E$4="Tissue",Results!$E$4="Cells")),((L39*L$51)/(L$53)),IF(AND(Results!$E$5="Weight",$C$52&gt;0, Results!$E$4="Tissue",OR($B$52="g",$B$52="mg")),((L39*L$51)/(L$52)),IF(AND(Results!$E$5="Volume",$C$54&gt;0,Results!$E$4="Fluid"),((L39*L$51)/(L$54)),IF(AND(Results!$E$4="Cells",Results!$E$5="Million",$B$52="million"),((L39*L$51)/(L$52)),"0")))))</f>
        <v>0</v>
      </c>
      <c r="M92" s="20" t="str">
        <f>IF(M39=0,"0",IF(AND(Results!$E$5="Protein",$C$53&gt;0,OR(Results!$E$4="Tissue",Results!$E$4="Cells")),((M39*M$51)/(M$53)),IF(AND(Results!$E$5="Weight",$C$52&gt;0, Results!$E$4="Tissue",OR($B$52="g",$B$52="mg")),((M39*M$51)/(M$52)),IF(AND(Results!$E$5="Volume",$C$54&gt;0,Results!$E$4="Fluid"),((M39*M$51)/(M$54)),IF(AND(Results!$E$4="Cells",Results!$E$5="Million",$B$52="million"),((M39*M$51)/(M$52)),"0")))))</f>
        <v>0</v>
      </c>
      <c r="N92" s="20" t="str">
        <f>IF(N39=0,"0",IF(AND(Results!$E$5="Protein",$C$53&gt;0,OR(Results!$E$4="Tissue",Results!$E$4="Cells")),((N39*N$51)/(N$53)),IF(AND(Results!$E$5="Weight",$C$52&gt;0, Results!$E$4="Tissue",OR($B$52="g",$B$52="mg")),((N39*N$51)/(N$52)),IF(AND(Results!$E$5="Volume",$C$54&gt;0,Results!$E$4="Fluid"),((N39*N$51)/(N$54)),IF(AND(Results!$E$4="Cells",Results!$E$5="Million",$B$52="million"),((N39*N$51)/(N$52)),"0")))))</f>
        <v>0</v>
      </c>
      <c r="O92" s="20" t="str">
        <f>IF(O39=0,"0",IF(AND(Results!$E$5="Protein",$C$53&gt;0,OR(Results!$E$4="Tissue",Results!$E$4="Cells")),((O39*O$51)/(O$53)),IF(AND(Results!$E$5="Weight",$C$52&gt;0, Results!$E$4="Tissue",OR($B$52="g",$B$52="mg")),((O39*O$51)/(O$52)),IF(AND(Results!$E$5="Volume",$C$54&gt;0,Results!$E$4="Fluid"),((O39*O$51)/(O$54)),IF(AND(Results!$E$4="Cells",Results!$E$5="Million",$B$52="million"),((O39*O$51)/(O$52)),"0")))))</f>
        <v>0</v>
      </c>
      <c r="P92" s="20" t="str">
        <f>IF(P39=0,"0",IF(AND(Results!$E$5="Protein",$C$53&gt;0,OR(Results!$E$4="Tissue",Results!$E$4="Cells")),((P39*P$51)/(P$53)),IF(AND(Results!$E$5="Weight",$C$52&gt;0, Results!$E$4="Tissue",OR($B$52="g",$B$52="mg")),((P39*P$51)/(P$52)),IF(AND(Results!$E$5="Volume",$C$54&gt;0,Results!$E$4="Fluid"),((P39*P$51)/(P$54)),IF(AND(Results!$E$4="Cells",Results!$E$5="Million",$B$52="million"),((P39*P$51)/(P$52)),"0")))))</f>
        <v>0</v>
      </c>
      <c r="Q92" s="20" t="str">
        <f>IF(Q39=0,"0",IF(AND(Results!$E$5="Protein",$C$53&gt;0,OR(Results!$E$4="Tissue",Results!$E$4="Cells")),((Q39*Q$51)/(Q$53)),IF(AND(Results!$E$5="Weight",$C$52&gt;0, Results!$E$4="Tissue",OR($B$52="g",$B$52="mg")),((Q39*Q$51)/(Q$52)),IF(AND(Results!$E$5="Volume",$C$54&gt;0,Results!$E$4="Fluid"),((Q39*Q$51)/(Q$54)),IF(AND(Results!$E$4="Cells",Results!$E$5="Million",$B$52="million"),((Q39*Q$51)/(Q$52)),"0")))))</f>
        <v>0</v>
      </c>
      <c r="R92" s="20" t="str">
        <f>IF(R39=0,"0",IF(AND(Results!$E$5="Protein",$C$53&gt;0,OR(Results!$E$4="Tissue",Results!$E$4="Cells")),((R39*R$51)/(R$53)),IF(AND(Results!$E$5="Weight",$C$52&gt;0, Results!$E$4="Tissue",OR($B$52="g",$B$52="mg")),((R39*R$51)/(R$52)),IF(AND(Results!$E$5="Volume",$C$54&gt;0,Results!$E$4="Fluid"),((R39*R$51)/(R$54)),IF(AND(Results!$E$4="Cells",Results!$E$5="Million",$B$52="million"),((R39*R$51)/(R$52)),"0")))))</f>
        <v>0</v>
      </c>
      <c r="S92" s="20" t="str">
        <f>IF(S39=0,"0",IF(AND(Results!$E$5="Protein",$C$53&gt;0,OR(Results!$E$4="Tissue",Results!$E$4="Cells")),((S39*S$51)/(S$53)),IF(AND(Results!$E$5="Weight",$C$52&gt;0, Results!$E$4="Tissue",OR($B$52="g",$B$52="mg")),((S39*S$51)/(S$52)),IF(AND(Results!$E$5="Volume",$C$54&gt;0,Results!$E$4="Fluid"),((S39*S$51)/(S$54)),IF(AND(Results!$E$4="Cells",Results!$E$5="Million",$B$52="million"),((S39*S$51)/(S$52)),"0")))))</f>
        <v>0</v>
      </c>
      <c r="T92" s="20" t="str">
        <f>IF(T39=0,"0",IF(AND(Results!$E$5="Protein",$C$53&gt;0,OR(Results!$E$4="Tissue",Results!$E$4="Cells")),((T39*T$51)/(T$53)),IF(AND(Results!$E$5="Weight",$C$52&gt;0, Results!$E$4="Tissue",OR($B$52="g",$B$52="mg")),((T39*T$51)/(T$52)),IF(AND(Results!$E$5="Volume",$C$54&gt;0,Results!$E$4="Fluid"),((T39*T$51)/(T$54)),IF(AND(Results!$E$4="Cells",Results!$E$5="Million",$B$52="million"),((T39*T$51)/(T$52)),"0")))))</f>
        <v>0</v>
      </c>
      <c r="U92" s="20" t="str">
        <f>IF(U39=0,"0",IF(AND(Results!$E$5="Protein",$C$53&gt;0,OR(Results!$E$4="Tissue",Results!$E$4="Cells")),((U39*U$51)/(U$53)),IF(AND(Results!$E$5="Weight",$C$52&gt;0, Results!$E$4="Tissue",OR($B$52="g",$B$52="mg")),((U39*U$51)/(U$52)),IF(AND(Results!$E$5="Volume",$C$54&gt;0,Results!$E$4="Fluid"),((U39*U$51)/(U$54)),IF(AND(Results!$E$4="Cells",Results!$E$5="Million",$B$52="million"),((U39*U$51)/(U$52)),"0")))))</f>
        <v>0</v>
      </c>
      <c r="V92" s="20" t="str">
        <f>IF(V39=0,"0",IF(AND(Results!$E$5="Protein",$C$53&gt;0,OR(Results!$E$4="Tissue",Results!$E$4="Cells")),((V39*V$51)/(V$53)),IF(AND(Results!$E$5="Weight",$C$52&gt;0, Results!$E$4="Tissue",OR($B$52="g",$B$52="mg")),((V39*V$51)/(V$52)),IF(AND(Results!$E$5="Volume",$C$54&gt;0,Results!$E$4="Fluid"),((V39*V$51)/(V$54)),IF(AND(Results!$E$4="Cells",Results!$E$5="Million",$B$52="million"),((V39*V$51)/(V$52)),"0")))))</f>
        <v>0</v>
      </c>
      <c r="W92" s="20" t="str">
        <f>IF(W39=0,"0",IF(AND(Results!$E$5="Protein",$C$53&gt;0,OR(Results!$E$4="Tissue",Results!$E$4="Cells")),((W39*W$51)/(W$53)),IF(AND(Results!$E$5="Weight",$C$52&gt;0, Results!$E$4="Tissue",OR($B$52="g",$B$52="mg")),((W39*W$51)/(W$52)),IF(AND(Results!$E$5="Volume",$C$54&gt;0,Results!$E$4="Fluid"),((W39*W$51)/(W$54)),IF(AND(Results!$E$4="Cells",Results!$E$5="Million",$B$52="million"),((W39*W$51)/(W$52)),"0")))))</f>
        <v>0</v>
      </c>
      <c r="X92" s="20" t="str">
        <f>IF(X39=0,"0",IF(AND(Results!$E$5="Protein",$C$53&gt;0,OR(Results!$E$4="Tissue",Results!$E$4="Cells")),((X39*X$51)/(X$53)),IF(AND(Results!$E$5="Weight",$C$52&gt;0, Results!$E$4="Tissue",OR($B$52="g",$B$52="mg")),((X39*X$51)/(X$52)),IF(AND(Results!$E$5="Volume",$C$54&gt;0,Results!$E$4="Fluid"),((X39*X$51)/(X$54)),IF(AND(Results!$E$4="Cells",Results!$E$5="Million",$B$52="million"),((X39*X$51)/(X$52)),"0")))))</f>
        <v>0</v>
      </c>
      <c r="Y92" s="20" t="str">
        <f>IF(Y39=0,"0",IF(AND(Results!$E$5="Protein",$C$53&gt;0,OR(Results!$E$4="Tissue",Results!$E$4="Cells")),((Y39*Y$51)/(Y$53)),IF(AND(Results!$E$5="Weight",$C$52&gt;0, Results!$E$4="Tissue",OR($B$52="g",$B$52="mg")),((Y39*Y$51)/(Y$52)),IF(AND(Results!$E$5="Volume",$C$54&gt;0,Results!$E$4="Fluid"),((Y39*Y$51)/(Y$54)),IF(AND(Results!$E$4="Cells",Results!$E$5="Million",$B$52="million"),((Y39*Y$51)/(Y$52)),"0")))))</f>
        <v>0</v>
      </c>
      <c r="Z92" s="20" t="str">
        <f>IF(Z39=0,"0",IF(AND(Results!$E$5="Protein",$C$53&gt;0,OR(Results!$E$4="Tissue",Results!$E$4="Cells")),((Z39*Z$51)/(Z$53)),IF(AND(Results!$E$5="Weight",$C$52&gt;0, Results!$E$4="Tissue",OR($B$52="g",$B$52="mg")),((Z39*Z$51)/(Z$52)),IF(AND(Results!$E$5="Volume",$C$54&gt;0,Results!$E$4="Fluid"),((Z39*Z$51)/(Z$54)),IF(AND(Results!$E$4="Cells",Results!$E$5="Million",$B$52="million"),((Z39*Z$51)/(Z$52)),"0")))))</f>
        <v>0</v>
      </c>
      <c r="AA92" s="20" t="str">
        <f>IF(AA39=0,"0",IF(AND(Results!$E$5="Protein",$C$53&gt;0,OR(Results!$E$4="Tissue",Results!$E$4="Cells")),((AA39*AA$51)/(AA$53)),IF(AND(Results!$E$5="Weight",$C$52&gt;0, Results!$E$4="Tissue",OR($B$52="g",$B$52="mg")),((AA39*AA$51)/(AA$52)),IF(AND(Results!$E$5="Volume",$C$54&gt;0,Results!$E$4="Fluid"),((AA39*AA$51)/(AA$54)),IF(AND(Results!$E$4="Cells",Results!$E$5="Million",$B$52="million"),((AA39*AA$51)/(AA$52)),"0")))))</f>
        <v>0</v>
      </c>
      <c r="AB92" s="20" t="str">
        <f>IF(AB39=0,"0",IF(AND(Results!$E$5="Protein",$C$53&gt;0,OR(Results!$E$4="Tissue",Results!$E$4="Cells")),((AB39*AB$51)/(AB$53)),IF(AND(Results!$E$5="Weight",$C$52&gt;0, Results!$E$4="Tissue",OR($B$52="g",$B$52="mg")),((AB39*AB$51)/(AB$52)),IF(AND(Results!$E$5="Volume",$C$54&gt;0,Results!$E$4="Fluid"),((AB39*AB$51)/(AB$54)),IF(AND(Results!$E$4="Cells",Results!$E$5="Million",$B$52="million"),((AB39*AB$51)/(AB$52)),"0")))))</f>
        <v>0</v>
      </c>
      <c r="AC92" s="20" t="str">
        <f>IF(AC39=0,"0",IF(AND(Results!$E$5="Protein",$C$53&gt;0,OR(Results!$E$4="Tissue",Results!$E$4="Cells")),((AC39*AC$51)/(AC$53)),IF(AND(Results!$E$5="Weight",$C$52&gt;0, Results!$E$4="Tissue",OR($B$52="g",$B$52="mg")),((AC39*AC$51)/(AC$52)),IF(AND(Results!$E$5="Volume",$C$54&gt;0,Results!$E$4="Fluid"),((AC39*AC$51)/(AC$54)),IF(AND(Results!$E$4="Cells",Results!$E$5="Million",$B$52="million"),((AC39*AC$51)/(AC$52)),"0")))))</f>
        <v>0</v>
      </c>
      <c r="AD92" s="20" t="str">
        <f>IF(AD39=0,"0",IF(AND(Results!$E$5="Protein",$C$53&gt;0,OR(Results!$E$4="Tissue",Results!$E$4="Cells")),((AD39*AD$51)/(AD$53)),IF(AND(Results!$E$5="Weight",$C$52&gt;0, Results!$E$4="Tissue",OR($B$52="g",$B$52="mg")),((AD39*AD$51)/(AD$52)),IF(AND(Results!$E$5="Volume",$C$54&gt;0,Results!$E$4="Fluid"),((AD39*AD$51)/(AD$54)),IF(AND(Results!$E$4="Cells",Results!$E$5="Million",$B$52="million"),((AD39*AD$51)/(AD$52)),"0")))))</f>
        <v>0</v>
      </c>
      <c r="AE92" s="20" t="str">
        <f>IF(AE39=0,"0",IF(AND(Results!$E$5="Protein",$C$53&gt;0,OR(Results!$E$4="Tissue",Results!$E$4="Cells")),((AE39*AE$51)/(AE$53)),IF(AND(Results!$E$5="Weight",$C$52&gt;0, Results!$E$4="Tissue",OR($B$52="g",$B$52="mg")),((AE39*AE$51)/(AE$52)),IF(AND(Results!$E$5="Volume",$C$54&gt;0,Results!$E$4="Fluid"),((AE39*AE$51)/(AE$54)),IF(AND(Results!$E$4="Cells",Results!$E$5="Million",$B$52="million"),((AE39*AE$51)/(AE$52)),"0")))))</f>
        <v>0</v>
      </c>
      <c r="AF92" s="20" t="str">
        <f>IF(AF39=0,"0",IF(AND(Results!$E$5="Protein",$C$53&gt;0,OR(Results!$E$4="Tissue",Results!$E$4="Cells")),((AF39*AF$51)/(AF$53)),IF(AND(Results!$E$5="Weight",$C$52&gt;0, Results!$E$4="Tissue",OR($B$52="g",$B$52="mg")),((AF39*AF$51)/(AF$52)),IF(AND(Results!$E$5="Volume",$C$54&gt;0,Results!$E$4="Fluid"),((AF39*AF$51)/(AF$54)),IF(AND(Results!$E$4="Cells",Results!$E$5="Million",$B$52="million"),((AF39*AF$51)/(AF$52)),"0")))))</f>
        <v>0</v>
      </c>
      <c r="AG92" s="20" t="str">
        <f>IF(AG39=0,"0",IF(AND(Results!$E$5="Protein",$C$53&gt;0,OR(Results!$E$4="Tissue",Results!$E$4="Cells")),((AG39*AG$51)/(AG$53)),IF(AND(Results!$E$5="Weight",$C$52&gt;0, Results!$E$4="Tissue",OR($B$52="g",$B$52="mg")),((AG39*AG$51)/(AG$52)),IF(AND(Results!$E$5="Volume",$C$54&gt;0,Results!$E$4="Fluid"),((AG39*AG$51)/(AG$54)),IF(AND(Results!$E$4="Cells",Results!$E$5="Million",$B$52="million"),((AG39*AG$51)/(AG$52)),"0")))))</f>
        <v>0</v>
      </c>
      <c r="AH92" s="20" t="str">
        <f>IF(AH39=0,"0",IF(AND(Results!$E$5="Protein",$C$53&gt;0,OR(Results!$E$4="Tissue",Results!$E$4="Cells")),((AH39*AH$51)/(AH$53)),IF(AND(Results!$E$5="Weight",$C$52&gt;0, Results!$E$4="Tissue",OR($B$52="g",$B$52="mg")),((AH39*AH$51)/(AH$52)),IF(AND(Results!$E$5="Volume",$C$54&gt;0,Results!$E$4="Fluid"),((AH39*AH$51)/(AH$54)),IF(AND(Results!$E$4="Cells",Results!$E$5="Million",$B$52="million"),((AH39*AH$51)/(AH$52)),"0")))))</f>
        <v>0</v>
      </c>
      <c r="AI92" s="20" t="str">
        <f>IF(AI39=0,"0",IF(AND(Results!$E$5="Protein",$C$53&gt;0,OR(Results!$E$4="Tissue",Results!$E$4="Cells")),((AI39*AI$51)/(AI$53)),IF(AND(Results!$E$5="Weight",$C$52&gt;0, Results!$E$4="Tissue",OR($B$52="g",$B$52="mg")),((AI39*AI$51)/(AI$52)),IF(AND(Results!$E$5="Volume",$C$54&gt;0,Results!$E$4="Fluid"),((AI39*AI$51)/(AI$54)),IF(AND(Results!$E$4="Cells",Results!$E$5="Million",$B$52="million"),((AI39*AI$51)/(AI$52)),"0")))))</f>
        <v>0</v>
      </c>
      <c r="AJ92" s="20" t="str">
        <f>IF(AJ39=0,"0",IF(AND(Results!$E$5="Protein",$C$53&gt;0,OR(Results!$E$4="Tissue",Results!$E$4="Cells")),((AJ39*AJ$51)/(AJ$53)),IF(AND(Results!$E$5="Weight",$C$52&gt;0, Results!$E$4="Tissue",OR($B$52="g",$B$52="mg")),((AJ39*AJ$51)/(AJ$52)),IF(AND(Results!$E$5="Volume",$C$54&gt;0,Results!$E$4="Fluid"),((AJ39*AJ$51)/(AJ$54)),IF(AND(Results!$E$4="Cells",Results!$E$5="Million",$B$52="million"),((AJ39*AJ$51)/(AJ$52)),"0")))))</f>
        <v>0</v>
      </c>
      <c r="AK92" s="20" t="str">
        <f>IF(AK39=0,"0",IF(AND(Results!$E$5="Protein",$C$53&gt;0,OR(Results!$E$4="Tissue",Results!$E$4="Cells")),((AK39*AK$51)/(AK$53)),IF(AND(Results!$E$5="Weight",$C$52&gt;0, Results!$E$4="Tissue",OR($B$52="g",$B$52="mg")),((AK39*AK$51)/(AK$52)),IF(AND(Results!$E$5="Volume",$C$54&gt;0,Results!$E$4="Fluid"),((AK39*AK$51)/(AK$54)),IF(AND(Results!$E$4="Cells",Results!$E$5="Million",$B$52="million"),((AK39*AK$51)/(AK$52)),"0")))))</f>
        <v>0</v>
      </c>
      <c r="AL92" s="20" t="str">
        <f>IF(AL39=0,"0",IF(AND(Results!$E$5="Protein",$C$53&gt;0,OR(Results!$E$4="Tissue",Results!$E$4="Cells")),((AL39*AL$51)/(AL$53)),IF(AND(Results!$E$5="Weight",$C$52&gt;0, Results!$E$4="Tissue",OR($B$52="g",$B$52="mg")),((AL39*AL$51)/(AL$52)),IF(AND(Results!$E$5="Volume",$C$54&gt;0,Results!$E$4="Fluid"),((AL39*AL$51)/(AL$54)),IF(AND(Results!$E$4="Cells",Results!$E$5="Million",$B$52="million"),((AL39*AL$51)/(AL$52)),"0")))))</f>
        <v>0</v>
      </c>
      <c r="AM92" s="20" t="str">
        <f>IF(AM39=0,"0",IF(AND(Results!$E$5="Protein",$C$53&gt;0,OR(Results!$E$4="Tissue",Results!$E$4="Cells")),((AM39*AM$51)/(AM$53)),IF(AND(Results!$E$5="Weight",$C$52&gt;0, Results!$E$4="Tissue",OR($B$52="g",$B$52="mg")),((AM39*AM$51)/(AM$52)),IF(AND(Results!$E$5="Volume",$C$54&gt;0,Results!$E$4="Fluid"),((AM39*AM$51)/(AM$54)),IF(AND(Results!$E$4="Cells",Results!$E$5="Million",$B$52="million"),((AM39*AM$51)/(AM$52)),"0")))))</f>
        <v>0</v>
      </c>
      <c r="AN92" s="20" t="str">
        <f>IF(AN39=0,"0",IF(AND(Results!$E$5="Protein",$C$53&gt;0,OR(Results!$E$4="Tissue",Results!$E$4="Cells")),((AN39*AN$51)/(AN$53)),IF(AND(Results!$E$5="Weight",$C$52&gt;0, Results!$E$4="Tissue",OR($B$52="g",$B$52="mg")),((AN39*AN$51)/(AN$52)),IF(AND(Results!$E$5="Volume",$C$54&gt;0,Results!$E$4="Fluid"),((AN39*AN$51)/(AN$54)),IF(AND(Results!$E$4="Cells",Results!$E$5="Million",$B$52="million"),((AN39*AN$51)/(AN$52)),"0")))))</f>
        <v>0</v>
      </c>
      <c r="AO92" s="20" t="str">
        <f>IF(AO39=0,"0",IF(AND(Results!$E$5="Protein",$C$53&gt;0,OR(Results!$E$4="Tissue",Results!$E$4="Cells")),((AO39*AO$51)/(AO$53)),IF(AND(Results!$E$5="Weight",$C$52&gt;0, Results!$E$4="Tissue",OR($B$52="g",$B$52="mg")),((AO39*AO$51)/(AO$52)),IF(AND(Results!$E$5="Volume",$C$54&gt;0,Results!$E$4="Fluid"),((AO39*AO$51)/(AO$54)),IF(AND(Results!$E$4="Cells",Results!$E$5="Million",$B$52="million"),((AO39*AO$51)/(AO$52)),"0")))))</f>
        <v>0</v>
      </c>
      <c r="AP92" s="20" t="str">
        <f>IF(AP39=0,"0",IF(AND(Results!$E$5="Protein",$C$53&gt;0,OR(Results!$E$4="Tissue",Results!$E$4="Cells")),((AP39*AP$51)/(AP$53)),IF(AND(Results!$E$5="Weight",$C$52&gt;0, Results!$E$4="Tissue",OR($B$52="g",$B$52="mg")),((AP39*AP$51)/(AP$52)),IF(AND(Results!$E$5="Volume",$C$54&gt;0,Results!$E$4="Fluid"),((AP39*AP$51)/(AP$54)),IF(AND(Results!$E$4="Cells",Results!$E$5="Million",$B$52="million"),((AP39*AP$51)/(AP$52)),"0")))))</f>
        <v>0</v>
      </c>
      <c r="AQ92" s="20" t="str">
        <f>IF(AQ39=0,"0",IF(AND(Results!$E$5="Protein",$C$53&gt;0,OR(Results!$E$4="Tissue",Results!$E$4="Cells")),((AQ39*AQ$51)/(AQ$53)),IF(AND(Results!$E$5="Weight",$C$52&gt;0, Results!$E$4="Tissue",OR($B$52="g",$B$52="mg")),((AQ39*AQ$51)/(AQ$52)),IF(AND(Results!$E$5="Volume",$C$54&gt;0,Results!$E$4="Fluid"),((AQ39*AQ$51)/(AQ$54)),IF(AND(Results!$E$4="Cells",Results!$E$5="Million",$B$52="million"),((AQ39*AQ$51)/(AQ$52)),"0")))))</f>
        <v>0</v>
      </c>
      <c r="AR92" s="20" t="str">
        <f>IF(AR39=0,"0",IF(AND(Results!$E$5="Protein",$C$53&gt;0,OR(Results!$E$4="Tissue",Results!$E$4="Cells")),((AR39*AR$51)/(AR$53)),IF(AND(Results!$E$5="Weight",$C$52&gt;0, Results!$E$4="Tissue",OR($B$52="g",$B$52="mg")),((AR39*AR$51)/(AR$52)),IF(AND(Results!$E$5="Volume",$C$54&gt;0,Results!$E$4="Fluid"),((AR39*AR$51)/(AR$54)),IF(AND(Results!$E$4="Cells",Results!$E$5="Million",$B$52="million"),((AR39*AR$51)/(AR$52)),"0")))))</f>
        <v>0</v>
      </c>
      <c r="AS92" s="20" t="str">
        <f>IF(AS39=0,"0",IF(AND(Results!$E$5="Protein",$C$53&gt;0,OR(Results!$E$4="Tissue",Results!$E$4="Cells")),((AS39*AS$51)/(AS$53)),IF(AND(Results!$E$5="Weight",$C$52&gt;0, Results!$E$4="Tissue",OR($B$52="g",$B$52="mg")),((AS39*AS$51)/(AS$52)),IF(AND(Results!$E$5="Volume",$C$54&gt;0,Results!$E$4="Fluid"),((AS39*AS$51)/(AS$54)),IF(AND(Results!$E$4="Cells",Results!$E$5="Million",$B$52="million"),((AS39*AS$51)/(AS$52)),"0")))))</f>
        <v>0</v>
      </c>
      <c r="AT92" s="20" t="str">
        <f>IF(AT39=0,"0",IF(AND(Results!$E$5="Protein",$C$53&gt;0,OR(Results!$E$4="Tissue",Results!$E$4="Cells")),((AT39*AT$51)/(AT$53)),IF(AND(Results!$E$5="Weight",$C$52&gt;0, Results!$E$4="Tissue",OR($B$52="g",$B$52="mg")),((AT39*AT$51)/(AT$52)),IF(AND(Results!$E$5="Volume",$C$54&gt;0,Results!$E$4="Fluid"),((AT39*AT$51)/(AT$54)),IF(AND(Results!$E$4="Cells",Results!$E$5="Million",$B$52="million"),((AT39*AT$51)/(AT$52)),"0")))))</f>
        <v>0</v>
      </c>
      <c r="AU92" s="20" t="str">
        <f>IF(AU39=0,"0",IF(AND(Results!$E$5="Protein",$C$53&gt;0,OR(Results!$E$4="Tissue",Results!$E$4="Cells")),((AU39*AU$51)/(AU$53)),IF(AND(Results!$E$5="Weight",$C$52&gt;0, Results!$E$4="Tissue",OR($B$52="g",$B$52="mg")),((AU39*AU$51)/(AU$52)),IF(AND(Results!$E$5="Volume",$C$54&gt;0,Results!$E$4="Fluid"),((AU39*AU$51)/(AU$54)),IF(AND(Results!$E$4="Cells",Results!$E$5="Million",$B$52="million"),((AU39*AU$51)/(AU$52)),"0")))))</f>
        <v>0</v>
      </c>
      <c r="AV92" s="20" t="str">
        <f>IF(AV39=0,"0",IF(AND(Results!$E$5="Protein",$C$53&gt;0,OR(Results!$E$4="Tissue",Results!$E$4="Cells")),((AV39*AV$51)/(AV$53)),IF(AND(Results!$E$5="Weight",$C$52&gt;0, Results!$E$4="Tissue",OR($B$52="g",$B$52="mg")),((AV39*AV$51)/(AV$52)),IF(AND(Results!$E$5="Volume",$C$54&gt;0,Results!$E$4="Fluid"),((AV39*AV$51)/(AV$54)),IF(AND(Results!$E$4="Cells",Results!$E$5="Million",$B$52="million"),((AV39*AV$51)/(AV$52)),"0")))))</f>
        <v>0</v>
      </c>
      <c r="AW92" s="20" t="str">
        <f>IF(AW39=0,"0",IF(AND(Results!$E$5="Protein",$C$53&gt;0,OR(Results!$E$4="Tissue",Results!$E$4="Cells")),((AW39*AW$51)/(AW$53)),IF(AND(Results!$E$5="Weight",$C$52&gt;0, Results!$E$4="Tissue",OR($B$52="g",$B$52="mg")),((AW39*AW$51)/(AW$52)),IF(AND(Results!$E$5="Volume",$C$54&gt;0,Results!$E$4="Fluid"),((AW39*AW$51)/(AW$54)),IF(AND(Results!$E$4="Cells",Results!$E$5="Million",$B$52="million"),((AW39*AW$51)/(AW$52)),"0")))))</f>
        <v>0</v>
      </c>
      <c r="AX92" s="20" t="str">
        <f>IF(AX39=0,"0",IF(AND(Results!$E$5="Protein",$C$53&gt;0,OR(Results!$E$4="Tissue",Results!$E$4="Cells")),((AX39*AX$51)/(AX$53)),IF(AND(Results!$E$5="Weight",$C$52&gt;0, Results!$E$4="Tissue",OR($B$52="g",$B$52="mg")),((AX39*AX$51)/(AX$52)),IF(AND(Results!$E$5="Volume",$C$54&gt;0,Results!$E$4="Fluid"),((AX39*AX$51)/(AX$54)),IF(AND(Results!$E$4="Cells",Results!$E$5="Million",$B$52="million"),((AX39*AX$51)/(AX$52)),"0")))))</f>
        <v>0</v>
      </c>
      <c r="AY92" s="20" t="str">
        <f>IF(AY39=0,"0",IF(AND(Results!$E$5="Protein",$C$53&gt;0,OR(Results!$E$4="Tissue",Results!$E$4="Cells")),((AY39*AY$51)/(AY$53)),IF(AND(Results!$E$5="Weight",$C$52&gt;0, Results!$E$4="Tissue",OR($B$52="g",$B$52="mg")),((AY39*AY$51)/(AY$52)),IF(AND(Results!$E$5="Volume",$C$54&gt;0,Results!$E$4="Fluid"),((AY39*AY$51)/(AY$54)),IF(AND(Results!$E$4="Cells",Results!$E$5="Million",$B$52="million"),((AY39*AY$51)/(AY$52)),"0")))))</f>
        <v>0</v>
      </c>
      <c r="AZ92" s="20" t="str">
        <f>IF(AZ39=0,"0",IF(AND(Results!$E$5="Protein",$C$53&gt;0,OR(Results!$E$4="Tissue",Results!$E$4="Cells")),((AZ39*AZ$51)/(AZ$53)),IF(AND(Results!$E$5="Weight",$C$52&gt;0, Results!$E$4="Tissue",OR($B$52="g",$B$52="mg")),((AZ39*AZ$51)/(AZ$52)),IF(AND(Results!$E$5="Volume",$C$54&gt;0,Results!$E$4="Fluid"),((AZ39*AZ$51)/(AZ$54)),IF(AND(Results!$E$4="Cells",Results!$E$5="Million",$B$52="million"),((AZ39*AZ$51)/(AZ$52)),"0")))))</f>
        <v>0</v>
      </c>
      <c r="BA92" s="20" t="str">
        <f>IF(BA39=0,"0",IF(AND(Results!$E$5="Protein",$C$53&gt;0,OR(Results!$E$4="Tissue",Results!$E$4="Cells")),((BA39*BA$51)/(BA$53)),IF(AND(Results!$E$5="Weight",$C$52&gt;0, Results!$E$4="Tissue",OR($B$52="g",$B$52="mg")),((BA39*BA$51)/(BA$52)),IF(AND(Results!$E$5="Volume",$C$54&gt;0,Results!$E$4="Fluid"),((BA39*BA$51)/(BA$54)),IF(AND(Results!$E$4="Cells",Results!$E$5="Million",$B$52="million"),((BA39*BA$51)/(BA$52)),"0")))))</f>
        <v>0</v>
      </c>
      <c r="BB92" s="20" t="str">
        <f>IF(BB39=0,"0",IF(AND(Results!$E$5="Protein",$C$53&gt;0,OR(Results!$E$4="Tissue",Results!$E$4="Cells")),((BB39*BB$51)/(BB$53)),IF(AND(Results!$E$5="Weight",$C$52&gt;0, Results!$E$4="Tissue",OR($B$52="g",$B$52="mg")),((BB39*BB$51)/(BB$52)),IF(AND(Results!$E$5="Volume",$C$54&gt;0,Results!$E$4="Fluid"),((BB39*BB$51)/(BB$54)),IF(AND(Results!$E$4="Cells",Results!$E$5="Million",$B$52="million"),((BB39*BB$51)/(BB$52)),"0")))))</f>
        <v>0</v>
      </c>
      <c r="BC92" s="20" t="str">
        <f>IF(BC39=0,"0",IF(AND(Results!$E$5="Protein",$C$53&gt;0,OR(Results!$E$4="Tissue",Results!$E$4="Cells")),((BC39*BC$51)/(BC$53)),IF(AND(Results!$E$5="Weight",$C$52&gt;0, Results!$E$4="Tissue",OR($B$52="g",$B$52="mg")),((BC39*BC$51)/(BC$52)),IF(AND(Results!$E$5="Volume",$C$54&gt;0,Results!$E$4="Fluid"),((BC39*BC$51)/(BC$54)),IF(AND(Results!$E$4="Cells",Results!$E$5="Million",$B$52="million"),((BC39*BC$51)/(BC$52)),"0")))))</f>
        <v>0</v>
      </c>
      <c r="BD92" s="20" t="str">
        <f>IF(BD39=0,"0",IF(AND(Results!$E$5="Protein",$C$53&gt;0,OR(Results!$E$4="Tissue",Results!$E$4="Cells")),((BD39*BD$51)/(BD$53)),IF(AND(Results!$E$5="Weight",$C$52&gt;0, Results!$E$4="Tissue",OR($B$52="g",$B$52="mg")),((BD39*BD$51)/(BD$52)),IF(AND(Results!$E$5="Volume",$C$54&gt;0,Results!$E$4="Fluid"),((BD39*BD$51)/(BD$54)),IF(AND(Results!$E$4="Cells",Results!$E$5="Million",$B$52="million"),((BD39*BD$51)/(BD$52)),"0")))))</f>
        <v>0</v>
      </c>
      <c r="BE92" s="20" t="str">
        <f>IF(BE39=0,"0",IF(AND(Results!$E$5="Protein",$C$53&gt;0,OR(Results!$E$4="Tissue",Results!$E$4="Cells")),((BE39*BE$51)/(BE$53)),IF(AND(Results!$E$5="Weight",$C$52&gt;0, Results!$E$4="Tissue",OR($B$52="g",$B$52="mg")),((BE39*BE$51)/(BE$52)),IF(AND(Results!$E$5="Volume",$C$54&gt;0,Results!$E$4="Fluid"),((BE39*BE$51)/(BE$54)),IF(AND(Results!$E$4="Cells",Results!$E$5="Million",$B$52="million"),((BE39*BE$51)/(BE$52)),"0")))))</f>
        <v>0</v>
      </c>
      <c r="BF92" s="20" t="str">
        <f>IF(BF39=0,"0",IF(AND(Results!$E$5="Protein",$C$53&gt;0,OR(Results!$E$4="Tissue",Results!$E$4="Cells")),((BF39*BF$51)/(BF$53)),IF(AND(Results!$E$5="Weight",$C$52&gt;0, Results!$E$4="Tissue",OR($B$52="g",$B$52="mg")),((BF39*BF$51)/(BF$52)),IF(AND(Results!$E$5="Volume",$C$54&gt;0,Results!$E$4="Fluid"),((BF39*BF$51)/(BF$54)),IF(AND(Results!$E$4="Cells",Results!$E$5="Million",$B$52="million"),((BF39*BF$51)/(BF$52)),"0")))))</f>
        <v>0</v>
      </c>
      <c r="BG92" s="20" t="str">
        <f>IF(BG39=0,"0",IF(AND(Results!$E$5="Protein",$C$53&gt;0,OR(Results!$E$4="Tissue",Results!$E$4="Cells")),((BG39*BG$51)/(BG$53)),IF(AND(Results!$E$5="Weight",$C$52&gt;0, Results!$E$4="Tissue",OR($B$52="g",$B$52="mg")),((BG39*BG$51)/(BG$52)),IF(AND(Results!$E$5="Volume",$C$54&gt;0,Results!$E$4="Fluid"),((BG39*BG$51)/(BG$54)),IF(AND(Results!$E$4="Cells",Results!$E$5="Million",$B$52="million"),((BG39*BG$51)/(BG$52)),"0")))))</f>
        <v>0</v>
      </c>
      <c r="BH92" s="20" t="str">
        <f>IF(BH39=0,"0",IF(AND(Results!$E$5="Protein",$C$53&gt;0,OR(Results!$E$4="Tissue",Results!$E$4="Cells")),((BH39*BH$51)/(BH$53)),IF(AND(Results!$E$5="Weight",$C$52&gt;0, Results!$E$4="Tissue",OR($B$52="g",$B$52="mg")),((BH39*BH$51)/(BH$52)),IF(AND(Results!$E$5="Volume",$C$54&gt;0,Results!$E$4="Fluid"),((BH39*BH$51)/(BH$54)),IF(AND(Results!$E$4="Cells",Results!$E$5="Million",$B$52="million"),((BH39*BH$51)/(BH$52)),"0")))))</f>
        <v>0</v>
      </c>
      <c r="BI92" s="20" t="str">
        <f>IF(BI39=0,"0",IF(AND(Results!$E$5="Protein",$C$53&gt;0,OR(Results!$E$4="Tissue",Results!$E$4="Cells")),((BI39*BI$51)/(BI$53)),IF(AND(Results!$E$5="Weight",$C$52&gt;0, Results!$E$4="Tissue",OR($B$52="g",$B$52="mg")),((BI39*BI$51)/(BI$52)),IF(AND(Results!$E$5="Volume",$C$54&gt;0,Results!$E$4="Fluid"),((BI39*BI$51)/(BI$54)),IF(AND(Results!$E$4="Cells",Results!$E$5="Million",$B$52="million"),((BI39*BI$51)/(BI$52)),"0")))))</f>
        <v>0</v>
      </c>
      <c r="BJ92" s="20" t="str">
        <f>IF(BJ39=0,"0",IF(AND(Results!$E$5="Protein",$C$53&gt;0,OR(Results!$E$4="Tissue",Results!$E$4="Cells")),((BJ39*BJ$51)/(BJ$53)),IF(AND(Results!$E$5="Weight",$C$52&gt;0, Results!$E$4="Tissue",OR($B$52="g",$B$52="mg")),((BJ39*BJ$51)/(BJ$52)),IF(AND(Results!$E$5="Volume",$C$54&gt;0,Results!$E$4="Fluid"),((BJ39*BJ$51)/(BJ$54)),IF(AND(Results!$E$4="Cells",Results!$E$5="Million",$B$52="million"),((BJ39*BJ$51)/(BJ$52)),"0")))))</f>
        <v>0</v>
      </c>
      <c r="BK92" s="20" t="str">
        <f>IF(BK39=0,"0",IF(AND(Results!$E$5="Protein",$C$53&gt;0,OR(Results!$E$4="Tissue",Results!$E$4="Cells")),((BK39*BK$51)/(BK$53)),IF(AND(Results!$E$5="Weight",$C$52&gt;0, Results!$E$4="Tissue",OR($B$52="g",$B$52="mg")),((BK39*BK$51)/(BK$52)),IF(AND(Results!$E$5="Volume",$C$54&gt;0,Results!$E$4="Fluid"),((BK39*BK$51)/(BK$54)),IF(AND(Results!$E$4="Cells",Results!$E$5="Million",$B$52="million"),((BK39*BK$51)/(BK$52)),"0")))))</f>
        <v>0</v>
      </c>
      <c r="BL92" s="20" t="str">
        <f>IF(BL39=0,"0",IF(AND(Results!$E$5="Protein",$C$53&gt;0,OR(Results!$E$4="Tissue",Results!$E$4="Cells")),((BL39*BL$51)/(BL$53)),IF(AND(Results!$E$5="Weight",$C$52&gt;0, Results!$E$4="Tissue",OR($B$52="g",$B$52="mg")),((BL39*BL$51)/(BL$52)),IF(AND(Results!$E$5="Volume",$C$54&gt;0,Results!$E$4="Fluid"),((BL39*BL$51)/(BL$54)),IF(AND(Results!$E$4="Cells",Results!$E$5="Million",$B$52="million"),((BL39*BL$51)/(BL$52)),"0")))))</f>
        <v>0</v>
      </c>
      <c r="BM92" s="20" t="str">
        <f>IF(BM39=0,"0",IF(AND(Results!$E$5="Protein",$C$53&gt;0,OR(Results!$E$4="Tissue",Results!$E$4="Cells")),((BM39*BM$51)/(BM$53)),IF(AND(Results!$E$5="Weight",$C$52&gt;0, Results!$E$4="Tissue",OR($B$52="g",$B$52="mg")),((BM39*BM$51)/(BM$52)),IF(AND(Results!$E$5="Volume",$C$54&gt;0,Results!$E$4="Fluid"),((BM39*BM$51)/(BM$54)),IF(AND(Results!$E$4="Cells",Results!$E$5="Million",$B$52="million"),((BM39*BM$51)/(BM$52)),"0")))))</f>
        <v>0</v>
      </c>
      <c r="BN92" s="20" t="str">
        <f>IF(BN39=0,"0",IF(AND(Results!$E$5="Protein",$C$53&gt;0,OR(Results!$E$4="Tissue",Results!$E$4="Cells")),((BN39*BN$51)/(BN$53)),IF(AND(Results!$E$5="Weight",$C$52&gt;0, Results!$E$4="Tissue",OR($B$52="g",$B$52="mg")),((BN39*BN$51)/(BN$52)),IF(AND(Results!$E$5="Volume",$C$54&gt;0,Results!$E$4="Fluid"),((BN39*BN$51)/(BN$54)),IF(AND(Results!$E$4="Cells",Results!$E$5="Million",$B$52="million"),((BN39*BN$51)/(BN$52)),"0")))))</f>
        <v>0</v>
      </c>
      <c r="BO92" s="20" t="str">
        <f>IF(BO39=0,"0",IF(AND(Results!$E$5="Protein",$C$53&gt;0,OR(Results!$E$4="Tissue",Results!$E$4="Cells")),((BO39*BO$51)/(BO$53)),IF(AND(Results!$E$5="Weight",$C$52&gt;0, Results!$E$4="Tissue",OR($B$52="g",$B$52="mg")),((BO39*BO$51)/(BO$52)),IF(AND(Results!$E$5="Volume",$C$54&gt;0,Results!$E$4="Fluid"),((BO39*BO$51)/(BO$54)),IF(AND(Results!$E$4="Cells",Results!$E$5="Million",$B$52="million"),((BO39*BO$51)/(BO$52)),"0")))))</f>
        <v>0</v>
      </c>
      <c r="BP92" s="20" t="str">
        <f>IF(BP39=0,"0",IF(AND(Results!$E$5="Protein",$C$53&gt;0,OR(Results!$E$4="Tissue",Results!$E$4="Cells")),((BP39*BP$51)/(BP$53)),IF(AND(Results!$E$5="Weight",$C$52&gt;0, Results!$E$4="Tissue",OR($B$52="g",$B$52="mg")),((BP39*BP$51)/(BP$52)),IF(AND(Results!$E$5="Volume",$C$54&gt;0,Results!$E$4="Fluid"),((BP39*BP$51)/(BP$54)),IF(AND(Results!$E$4="Cells",Results!$E$5="Million",$B$52="million"),((BP39*BP$51)/(BP$52)),"0")))))</f>
        <v>0</v>
      </c>
      <c r="BQ92" s="20" t="str">
        <f>IF(BQ39=0,"0",IF(AND(Results!$E$5="Protein",$C$53&gt;0,OR(Results!$E$4="Tissue",Results!$E$4="Cells")),((BQ39*BQ$51)/(BQ$53)),IF(AND(Results!$E$5="Weight",$C$52&gt;0, Results!$E$4="Tissue",OR($B$52="g",$B$52="mg")),((BQ39*BQ$51)/(BQ$52)),IF(AND(Results!$E$5="Volume",$C$54&gt;0,Results!$E$4="Fluid"),((BQ39*BQ$51)/(BQ$54)),IF(AND(Results!$E$4="Cells",Results!$E$5="Million",$B$52="million"),((BQ39*BQ$51)/(BQ$52)),"0")))))</f>
        <v>0</v>
      </c>
      <c r="BR92" s="20" t="str">
        <f>IF(BR39=0,"0",IF(AND(Results!$E$5="Protein",$C$53&gt;0,OR(Results!$E$4="Tissue",Results!$E$4="Cells")),((BR39*BR$51)/(BR$53)),IF(AND(Results!$E$5="Weight",$C$52&gt;0, Results!$E$4="Tissue",OR($B$52="g",$B$52="mg")),((BR39*BR$51)/(BR$52)),IF(AND(Results!$E$5="Volume",$C$54&gt;0,Results!$E$4="Fluid"),((BR39*BR$51)/(BR$54)),IF(AND(Results!$E$4="Cells",Results!$E$5="Million",$B$52="million"),((BR39*BR$51)/(BR$52)),"0")))))</f>
        <v>0</v>
      </c>
      <c r="BS92" s="20" t="str">
        <f>IF(BS39=0,"0",IF(AND(Results!$E$5="Protein",$C$53&gt;0,OR(Results!$E$4="Tissue",Results!$E$4="Cells")),((BS39*BS$51)/(BS$53)),IF(AND(Results!$E$5="Weight",$C$52&gt;0, Results!$E$4="Tissue",OR($B$52="g",$B$52="mg")),((BS39*BS$51)/(BS$52)),IF(AND(Results!$E$5="Volume",$C$54&gt;0,Results!$E$4="Fluid"),((BS39*BS$51)/(BS$54)),IF(AND(Results!$E$4="Cells",Results!$E$5="Million",$B$52="million"),((BS39*BS$51)/(BS$52)),"0")))))</f>
        <v>0</v>
      </c>
      <c r="BT92" s="20" t="str">
        <f>IF(BT39=0,"0",IF(AND(Results!$E$5="Protein",$C$53&gt;0,OR(Results!$E$4="Tissue",Results!$E$4="Cells")),((BT39*BT$51)/(BT$53)),IF(AND(Results!$E$5="Weight",$C$52&gt;0, Results!$E$4="Tissue",OR($B$52="g",$B$52="mg")),((BT39*BT$51)/(BT$52)),IF(AND(Results!$E$5="Volume",$C$54&gt;0,Results!$E$4="Fluid"),((BT39*BT$51)/(BT$54)),IF(AND(Results!$E$4="Cells",Results!$E$5="Million",$B$52="million"),((BT39*BT$51)/(BT$52)),"0")))))</f>
        <v>0</v>
      </c>
      <c r="BU92" s="20" t="str">
        <f>IF(BU39=0,"0",IF(AND(Results!$E$5="Protein",$C$53&gt;0,OR(Results!$E$4="Tissue",Results!$E$4="Cells")),((BU39*BU$51)/(BU$53)),IF(AND(Results!$E$5="Weight",$C$52&gt;0, Results!$E$4="Tissue",OR($B$52="g",$B$52="mg")),((BU39*BU$51)/(BU$52)),IF(AND(Results!$E$5="Volume",$C$54&gt;0,Results!$E$4="Fluid"),((BU39*BU$51)/(BU$54)),IF(AND(Results!$E$4="Cells",Results!$E$5="Million",$B$52="million"),((BU39*BU$51)/(BU$52)),"0")))))</f>
        <v>0</v>
      </c>
      <c r="BV92" s="20" t="str">
        <f>IF(BV39=0,"0",IF(AND(Results!$E$5="Protein",$C$53&gt;0,OR(Results!$E$4="Tissue",Results!$E$4="Cells")),((BV39*BV$51)/(BV$53)),IF(AND(Results!$E$5="Weight",$C$52&gt;0, Results!$E$4="Tissue",OR($B$52="g",$B$52="mg")),((BV39*BV$51)/(BV$52)),IF(AND(Results!$E$5="Volume",$C$54&gt;0,Results!$E$4="Fluid"),((BV39*BV$51)/(BV$54)),IF(AND(Results!$E$4="Cells",Results!$E$5="Million",$B$52="million"),((BV39*BV$51)/(BV$52)),"0")))))</f>
        <v>0</v>
      </c>
      <c r="BW92" s="20" t="str">
        <f>IF(BW39=0,"0",IF(AND(Results!$E$5="Protein",$C$53&gt;0,OR(Results!$E$4="Tissue",Results!$E$4="Cells")),((BW39*BW$51)/(BW$53)),IF(AND(Results!$E$5="Weight",$C$52&gt;0, Results!$E$4="Tissue",OR($B$52="g",$B$52="mg")),((BW39*BW$51)/(BW$52)),IF(AND(Results!$E$5="Volume",$C$54&gt;0,Results!$E$4="Fluid"),((BW39*BW$51)/(BW$54)),IF(AND(Results!$E$4="Cells",Results!$E$5="Million",$B$52="million"),((BW39*BW$51)/(BW$52)),"0")))))</f>
        <v>0</v>
      </c>
      <c r="BX92" s="20" t="str">
        <f>IF(BX39=0,"0",IF(AND(Results!$E$5="Protein",$C$53&gt;0,OR(Results!$E$4="Tissue",Results!$E$4="Cells")),((BX39*BX$51)/(BX$53)),IF(AND(Results!$E$5="Weight",$C$52&gt;0, Results!$E$4="Tissue",OR($B$52="g",$B$52="mg")),((BX39*BX$51)/(BX$52)),IF(AND(Results!$E$5="Volume",$C$54&gt;0,Results!$E$4="Fluid"),((BX39*BX$51)/(BX$54)),IF(AND(Results!$E$4="Cells",Results!$E$5="Million",$B$52="million"),((BX39*BX$51)/(BX$52)),"0")))))</f>
        <v>0</v>
      </c>
      <c r="BY92" s="20" t="str">
        <f>IF(BY39=0,"0",IF(AND(Results!$E$5="Protein",$C$53&gt;0,OR(Results!$E$4="Tissue",Results!$E$4="Cells")),((BY39*BY$51)/(BY$53)),IF(AND(Results!$E$5="Weight",$C$52&gt;0, Results!$E$4="Tissue",OR($B$52="g",$B$52="mg")),((BY39*BY$51)/(BY$52)),IF(AND(Results!$E$5="Volume",$C$54&gt;0,Results!$E$4="Fluid"),((BY39*BY$51)/(BY$54)),IF(AND(Results!$E$4="Cells",Results!$E$5="Million",$B$52="million"),((BY39*BY$51)/(BY$52)),"0")))))</f>
        <v>0</v>
      </c>
      <c r="BZ92" s="20" t="str">
        <f>IF(BZ39=0,"0",IF(AND(Results!$E$5="Protein",$C$53&gt;0,OR(Results!$E$4="Tissue",Results!$E$4="Cells")),((BZ39*BZ$51)/(BZ$53)),IF(AND(Results!$E$5="Weight",$C$52&gt;0, Results!$E$4="Tissue",OR($B$52="g",$B$52="mg")),((BZ39*BZ$51)/(BZ$52)),IF(AND(Results!$E$5="Volume",$C$54&gt;0,Results!$E$4="Fluid"),((BZ39*BZ$51)/(BZ$54)),IF(AND(Results!$E$4="Cells",Results!$E$5="Million",$B$52="million"),((BZ39*BZ$51)/(BZ$52)),"0")))))</f>
        <v>0</v>
      </c>
      <c r="CA92" s="20" t="str">
        <f>IF(CA39=0,"0",IF(AND(Results!$E$5="Protein",$C$53&gt;0,OR(Results!$E$4="Tissue",Results!$E$4="Cells")),((CA39*CA$51)/(CA$53)),IF(AND(Results!$E$5="Weight",$C$52&gt;0, Results!$E$4="Tissue",OR($B$52="g",$B$52="mg")),((CA39*CA$51)/(CA$52)),IF(AND(Results!$E$5="Volume",$C$54&gt;0,Results!$E$4="Fluid"),((CA39*CA$51)/(CA$54)),IF(AND(Results!$E$4="Cells",Results!$E$5="Million",$B$52="million"),((CA39*CA$51)/(CA$52)),"0")))))</f>
        <v>0</v>
      </c>
      <c r="CB92" s="20" t="str">
        <f>IF(CB39=0,"0",IF(AND(Results!$E$5="Protein",$C$53&gt;0,OR(Results!$E$4="Tissue",Results!$E$4="Cells")),((CB39*CB$51)/(CB$53)),IF(AND(Results!$E$5="Weight",$C$52&gt;0, Results!$E$4="Tissue",OR($B$52="g",$B$52="mg")),((CB39*CB$51)/(CB$52)),IF(AND(Results!$E$5="Volume",$C$54&gt;0,Results!$E$4="Fluid"),((CB39*CB$51)/(CB$54)),IF(AND(Results!$E$4="Cells",Results!$E$5="Million",$B$52="million"),((CB39*CB$51)/(CB$52)),"0")))))</f>
        <v>0</v>
      </c>
      <c r="CC92" s="20" t="str">
        <f>IF(CC39=0,"0",IF(AND(Results!$E$5="Protein",$C$53&gt;0,OR(Results!$E$4="Tissue",Results!$E$4="Cells")),((CC39*CC$51)/(CC$53)),IF(AND(Results!$E$5="Weight",$C$52&gt;0, Results!$E$4="Tissue",OR($B$52="g",$B$52="mg")),((CC39*CC$51)/(CC$52)),IF(AND(Results!$E$5="Volume",$C$54&gt;0,Results!$E$4="Fluid"),((CC39*CC$51)/(CC$54)),IF(AND(Results!$E$4="Cells",Results!$E$5="Million",$B$52="million"),((CC39*CC$51)/(CC$52)),"0")))))</f>
        <v>0</v>
      </c>
      <c r="CD92" s="20" t="str">
        <f>IF(CD39=0,"0",IF(AND(Results!$E$5="Protein",$C$53&gt;0,OR(Results!$E$4="Tissue",Results!$E$4="Cells")),((CD39*CD$51)/(CD$53)),IF(AND(Results!$E$5="Weight",$C$52&gt;0, Results!$E$4="Tissue",OR($B$52="g",$B$52="mg")),((CD39*CD$51)/(CD$52)),IF(AND(Results!$E$5="Volume",$C$54&gt;0,Results!$E$4="Fluid"),((CD39*CD$51)/(CD$54)),IF(AND(Results!$E$4="Cells",Results!$E$5="Million",$B$52="million"),((CD39*CD$51)/(CD$52)),"0")))))</f>
        <v>0</v>
      </c>
      <c r="CE92" s="20" t="str">
        <f>IF(CE39=0,"0",IF(AND(Results!$E$5="Protein",$C$53&gt;0,OR(Results!$E$4="Tissue",Results!$E$4="Cells")),((CE39*CE$51)/(CE$53)),IF(AND(Results!$E$5="Weight",$C$52&gt;0, Results!$E$4="Tissue",OR($B$52="g",$B$52="mg")),((CE39*CE$51)/(CE$52)),IF(AND(Results!$E$5="Volume",$C$54&gt;0,Results!$E$4="Fluid"),((CE39*CE$51)/(CE$54)),IF(AND(Results!$E$4="Cells",Results!$E$5="Million",$B$52="million"),((CE39*CE$51)/(CE$52)),"0")))))</f>
        <v>0</v>
      </c>
      <c r="CF92" s="20" t="str">
        <f>IF(CF39=0,"0",IF(AND(Results!$E$5="Protein",$C$53&gt;0,OR(Results!$E$4="Tissue",Results!$E$4="Cells")),((CF39*CF$51)/(CF$53)),IF(AND(Results!$E$5="Weight",$C$52&gt;0, Results!$E$4="Tissue",OR($B$52="g",$B$52="mg")),((CF39*CF$51)/(CF$52)),IF(AND(Results!$E$5="Volume",$C$54&gt;0,Results!$E$4="Fluid"),((CF39*CF$51)/(CF$54)),IF(AND(Results!$E$4="Cells",Results!$E$5="Million",$B$52="million"),((CF39*CF$51)/(CF$52)),"0")))))</f>
        <v>0</v>
      </c>
      <c r="CG92" s="20" t="str">
        <f>IF(CG39=0,"0",IF(AND(Results!$E$5="Protein",$C$53&gt;0,OR(Results!$E$4="Tissue",Results!$E$4="Cells")),((CG39*CG$51)/(CG$53)),IF(AND(Results!$E$5="Weight",$C$52&gt;0, Results!$E$4="Tissue",OR($B$52="g",$B$52="mg")),((CG39*CG$51)/(CG$52)),IF(AND(Results!$E$5="Volume",$C$54&gt;0,Results!$E$4="Fluid"),((CG39*CG$51)/(CG$54)),IF(AND(Results!$E$4="Cells",Results!$E$5="Million",$B$52="million"),((CG39*CG$51)/(CG$52)),"0")))))</f>
        <v>0</v>
      </c>
      <c r="CH92" s="20" t="str">
        <f>IF(CH39=0,"0",IF(AND(Results!$E$5="Protein",$C$53&gt;0,OR(Results!$E$4="Tissue",Results!$E$4="Cells")),((CH39*CH$51)/(CH$53)),IF(AND(Results!$E$5="Weight",$C$52&gt;0, Results!$E$4="Tissue",OR($B$52="g",$B$52="mg")),((CH39*CH$51)/(CH$52)),IF(AND(Results!$E$5="Volume",$C$54&gt;0,Results!$E$4="Fluid"),((CH39*CH$51)/(CH$54)),IF(AND(Results!$E$4="Cells",Results!$E$5="Million",$B$52="million"),((CH39*CH$51)/(CH$52)),"0")))))</f>
        <v>0</v>
      </c>
      <c r="CI92" s="20" t="str">
        <f>IF(CI39=0,"0",IF(AND(Results!$E$5="Protein",$C$53&gt;0,OR(Results!$E$4="Tissue",Results!$E$4="Cells")),((CI39*CI$51)/(CI$53)),IF(AND(Results!$E$5="Weight",$C$52&gt;0, Results!$E$4="Tissue",OR($B$52="g",$B$52="mg")),((CI39*CI$51)/(CI$52)),IF(AND(Results!$E$5="Volume",$C$54&gt;0,Results!$E$4="Fluid"),((CI39*CI$51)/(CI$54)),IF(AND(Results!$E$4="Cells",Results!$E$5="Million",$B$52="million"),((CI39*CI$51)/(CI$52)),"0")))))</f>
        <v>0</v>
      </c>
      <c r="CJ92" s="20" t="str">
        <f>IF(CJ39=0,"0",IF(AND(Results!$E$5="Protein",$C$53&gt;0,OR(Results!$E$4="Tissue",Results!$E$4="Cells")),((CJ39*CJ$51)/(CJ$53)),IF(AND(Results!$E$5="Weight",$C$52&gt;0, Results!$E$4="Tissue",OR($B$52="g",$B$52="mg")),((CJ39*CJ$51)/(CJ$52)),IF(AND(Results!$E$5="Volume",$C$54&gt;0,Results!$E$4="Fluid"),((CJ39*CJ$51)/(CJ$54)),IF(AND(Results!$E$4="Cells",Results!$E$5="Million",$B$52="million"),((CJ39*CJ$51)/(CJ$52)),"0")))))</f>
        <v>0</v>
      </c>
      <c r="CK92" s="20" t="str">
        <f>IF(CK39=0,"0",IF(AND(Results!$E$5="Protein",$C$53&gt;0,OR(Results!$E$4="Tissue",Results!$E$4="Cells")),((CK39*CK$51)/(CK$53)),IF(AND(Results!$E$5="Weight",$C$52&gt;0, Results!$E$4="Tissue",OR($B$52="g",$B$52="mg")),((CK39*CK$51)/(CK$52)),IF(AND(Results!$E$5="Volume",$C$54&gt;0,Results!$E$4="Fluid"),((CK39*CK$51)/(CK$54)),IF(AND(Results!$E$4="Cells",Results!$E$5="Million",$B$52="million"),((CK39*CK$51)/(CK$52)),"0")))))</f>
        <v>0</v>
      </c>
      <c r="CL92" s="20" t="str">
        <f>IF(CL39=0,"0",IF(AND(Results!$E$5="Protein",$C$53&gt;0,OR(Results!$E$4="Tissue",Results!$E$4="Cells")),((CL39*CL$51)/(CL$53)),IF(AND(Results!$E$5="Weight",$C$52&gt;0, Results!$E$4="Tissue",OR($B$52="g",$B$52="mg")),((CL39*CL$51)/(CL$52)),IF(AND(Results!$E$5="Volume",$C$54&gt;0,Results!$E$4="Fluid"),((CL39*CL$51)/(CL$54)),IF(AND(Results!$E$4="Cells",Results!$E$5="Million",$B$52="million"),((CL39*CL$51)/(CL$52)),"0")))))</f>
        <v>0</v>
      </c>
      <c r="CM92" s="20" t="str">
        <f>IF(CM39=0,"0",IF(AND(Results!$E$5="Protein",$C$53&gt;0,OR(Results!$E$4="Tissue",Results!$E$4="Cells")),((CM39*CM$51)/(CM$53)),IF(AND(Results!$E$5="Weight",$C$52&gt;0, Results!$E$4="Tissue",OR($B$52="g",$B$52="mg")),((CM39*CM$51)/(CM$52)),IF(AND(Results!$E$5="Volume",$C$54&gt;0,Results!$E$4="Fluid"),((CM39*CM$51)/(CM$54)),IF(AND(Results!$E$4="Cells",Results!$E$5="Million",$B$52="million"),((CM39*CM$51)/(CM$52)),"0")))))</f>
        <v>0</v>
      </c>
      <c r="CN92" s="20" t="str">
        <f>IF(CN39=0,"0",IF(AND(Results!$E$5="Protein",$C$53&gt;0,OR(Results!$E$4="Tissue",Results!$E$4="Cells")),((CN39*CN$51)/(CN$53)),IF(AND(Results!$E$5="Weight",$C$52&gt;0, Results!$E$4="Tissue",OR($B$52="g",$B$52="mg")),((CN39*CN$51)/(CN$52)),IF(AND(Results!$E$5="Volume",$C$54&gt;0,Results!$E$4="Fluid"),((CN39*CN$51)/(CN$54)),IF(AND(Results!$E$4="Cells",Results!$E$5="Million",$B$52="million"),((CN39*CN$51)/(CN$52)),"0")))))</f>
        <v>0</v>
      </c>
      <c r="CO92" s="20" t="str">
        <f>IF(CO39=0,"0",IF(AND(Results!$E$5="Protein",$C$53&gt;0,OR(Results!$E$4="Tissue",Results!$E$4="Cells")),((CO39*CO$51)/(CO$53)),IF(AND(Results!$E$5="Weight",$C$52&gt;0, Results!$E$4="Tissue",OR($B$52="g",$B$52="mg")),((CO39*CO$51)/(CO$52)),IF(AND(Results!$E$5="Volume",$C$54&gt;0,Results!$E$4="Fluid"),((CO39*CO$51)/(CO$54)),IF(AND(Results!$E$4="Cells",Results!$E$5="Million",$B$52="million"),((CO39*CO$51)/(CO$52)),"0")))))</f>
        <v>0</v>
      </c>
      <c r="CP92" s="20" t="str">
        <f>IF(CP39=0,"0",IF(AND(Results!$E$5="Protein",$C$53&gt;0,OR(Results!$E$4="Tissue",Results!$E$4="Cells")),((CP39*CP$51)/(CP$53)),IF(AND(Results!$E$5="Weight",$C$52&gt;0, Results!$E$4="Tissue",OR($B$52="g",$B$52="mg")),((CP39*CP$51)/(CP$52)),IF(AND(Results!$E$5="Volume",$C$54&gt;0,Results!$E$4="Fluid"),((CP39*CP$51)/(CP$54)),IF(AND(Results!$E$4="Cells",Results!$E$5="Million",$B$52="million"),((CP39*CP$51)/(CP$52)),"0")))))</f>
        <v>0</v>
      </c>
      <c r="CQ92" s="20" t="str">
        <f>IF(CQ39=0,"0",IF(AND(Results!$E$5="Protein",$C$53&gt;0,OR(Results!$E$4="Tissue",Results!$E$4="Cells")),((CQ39*CQ$51)/(CQ$53)),IF(AND(Results!$E$5="Weight",$C$52&gt;0, Results!$E$4="Tissue",OR($B$52="g",$B$52="mg")),((CQ39*CQ$51)/(CQ$52)),IF(AND(Results!$E$5="Volume",$C$54&gt;0,Results!$E$4="Fluid"),((CQ39*CQ$51)/(CQ$54)),IF(AND(Results!$E$4="Cells",Results!$E$5="Million",$B$52="million"),((CQ39*CQ$51)/(CQ$52)),"0")))))</f>
        <v>0</v>
      </c>
      <c r="CR92" s="20" t="str">
        <f>IF(CR39=0,"0",IF(AND(Results!$E$5="Protein",$C$53&gt;0,OR(Results!$E$4="Tissue",Results!$E$4="Cells")),((CR39*CR$51)/(CR$53)),IF(AND(Results!$E$5="Weight",$C$52&gt;0, Results!$E$4="Tissue",OR($B$52="g",$B$52="mg")),((CR39*CR$51)/(CR$52)),IF(AND(Results!$E$5="Volume",$C$54&gt;0,Results!$E$4="Fluid"),((CR39*CR$51)/(CR$54)),IF(AND(Results!$E$4="Cells",Results!$E$5="Million",$B$52="million"),((CR39*CR$51)/(CR$52)),"0")))))</f>
        <v>0</v>
      </c>
      <c r="CS92" s="20" t="str">
        <f>IF(CS39=0,"0",IF(AND(Results!$E$5="Protein",$C$53&gt;0,OR(Results!$E$4="Tissue",Results!$E$4="Cells")),((CS39*CS$51)/(CS$53)),IF(AND(Results!$E$5="Weight",$C$52&gt;0, Results!$E$4="Tissue",OR($B$52="g",$B$52="mg")),((CS39*CS$51)/(CS$52)),IF(AND(Results!$E$5="Volume",$C$54&gt;0,Results!$E$4="Fluid"),((CS39*CS$51)/(CS$54)),IF(AND(Results!$E$4="Cells",Results!$E$5="Million",$B$52="million"),((CS39*CS$51)/(CS$52)),"0")))))</f>
        <v>0</v>
      </c>
      <c r="CT92" s="20" t="str">
        <f>IF(CT39=0,"0",IF(AND(Results!$E$5="Protein",$C$53&gt;0,OR(Results!$E$4="Tissue",Results!$E$4="Cells")),((CT39*CT$51)/(CT$53)),IF(AND(Results!$E$5="Weight",$C$52&gt;0, Results!$E$4="Tissue",OR($B$52="g",$B$52="mg")),((CT39*CT$51)/(CT$52)),IF(AND(Results!$E$5="Volume",$C$54&gt;0,Results!$E$4="Fluid"),((CT39*CT$51)/(CT$54)),IF(AND(Results!$E$4="Cells",Results!$E$5="Million",$B$52="million"),((CT39*CT$51)/(CT$52)),"0")))))</f>
        <v>0</v>
      </c>
      <c r="CU92" s="20" t="str">
        <f>IF(CU39=0,"0",IF(AND(Results!$E$5="Protein",$C$53&gt;0,OR(Results!$E$4="Tissue",Results!$E$4="Cells")),((CU39*CU$51)/(CU$53)),IF(AND(Results!$E$5="Weight",$C$52&gt;0, Results!$E$4="Tissue",OR($B$52="g",$B$52="mg")),((CU39*CU$51)/(CU$52)),IF(AND(Results!$E$5="Volume",$C$54&gt;0,Results!$E$4="Fluid"),((CU39*CU$51)/(CU$54)),IF(AND(Results!$E$4="Cells",Results!$E$5="Million",$B$52="million"),((CU39*CU$51)/(CU$52)),"0")))))</f>
        <v>0</v>
      </c>
      <c r="CV92" s="20" t="str">
        <f>IF(CV39=0,"0",IF(AND(Results!$E$5="Protein",$C$53&gt;0,OR(Results!$E$4="Tissue",Results!$E$4="Cells")),((CV39*CV$51)/(CV$53)),IF(AND(Results!$E$5="Weight",$C$52&gt;0, Results!$E$4="Tissue",OR($B$52="g",$B$52="mg")),((CV39*CV$51)/(CV$52)),IF(AND(Results!$E$5="Volume",$C$54&gt;0,Results!$E$4="Fluid"),((CV39*CV$51)/(CV$54)),IF(AND(Results!$E$4="Cells",Results!$E$5="Million",$B$52="million"),((CV39*CV$51)/(CV$52)),"0")))))</f>
        <v>0</v>
      </c>
      <c r="CW92" s="20" t="str">
        <f>IF(CW39=0,"0",IF(AND(Results!$E$5="Protein",$C$53&gt;0,OR(Results!$E$4="Tissue",Results!$E$4="Cells")),((CW39*CW$51)/(CW$53)),IF(AND(Results!$E$5="Weight",$C$52&gt;0, Results!$E$4="Tissue",OR($B$52="g",$B$52="mg")),((CW39*CW$51)/(CW$52)),IF(AND(Results!$E$5="Volume",$C$54&gt;0,Results!$E$4="Fluid"),((CW39*CW$51)/(CW$54)),IF(AND(Results!$E$4="Cells",Results!$E$5="Million",$B$52="million"),((CW39*CW$51)/(CW$52)),"0")))))</f>
        <v>0</v>
      </c>
      <c r="CX92" s="20" t="str">
        <f>IF(CX39=0,"0",IF(AND(Results!$E$5="Protein",$C$53&gt;0,OR(Results!$E$4="Tissue",Results!$E$4="Cells")),((CX39*CX$51)/(CX$53)),IF(AND(Results!$E$5="Weight",$C$52&gt;0, Results!$E$4="Tissue",OR($B$52="g",$B$52="mg")),((CX39*CX$51)/(CX$52)),IF(AND(Results!$E$5="Volume",$C$54&gt;0,Results!$E$4="Fluid"),((CX39*CX$51)/(CX$54)),IF(AND(Results!$E$4="Cells",Results!$E$5="Million",$B$52="million"),((CX39*CX$51)/(CX$52)),"0")))))</f>
        <v>0</v>
      </c>
      <c r="CY92" s="20" t="str">
        <f>IF(CY39=0,"0",IF(AND(Results!$E$5="Protein",$C$53&gt;0,OR(Results!$E$4="Tissue",Results!$E$4="Cells")),((CY39*CY$51)/(CY$53)),IF(AND(Results!$E$5="Weight",$C$52&gt;0, Results!$E$4="Tissue",OR($B$52="g",$B$52="mg")),((CY39*CY$51)/(CY$52)),IF(AND(Results!$E$5="Volume",$C$54&gt;0,Results!$E$4="Fluid"),((CY39*CY$51)/(CY$54)),IF(AND(Results!$E$4="Cells",Results!$E$5="Million",$B$52="million"),((CY39*CY$51)/(CY$52)),"0")))))</f>
        <v>0</v>
      </c>
      <c r="CZ92" s="20" t="str">
        <f>IF(CZ39=0,"0",IF(AND(Results!$E$5="Protein",$C$53&gt;0,OR(Results!$E$4="Tissue",Results!$E$4="Cells")),((CZ39*CZ$51)/(CZ$53)),IF(AND(Results!$E$5="Weight",$C$52&gt;0, Results!$E$4="Tissue",OR($B$52="g",$B$52="mg")),((CZ39*CZ$51)/(CZ$52)),IF(AND(Results!$E$5="Volume",$C$54&gt;0,Results!$E$4="Fluid"),((CZ39*CZ$51)/(CZ$54)),IF(AND(Results!$E$4="Cells",Results!$E$5="Million",$B$52="million"),((CZ39*CZ$51)/(CZ$52)),"0")))))</f>
        <v>0</v>
      </c>
      <c r="DA92" s="20" t="str">
        <f>IF(DA39=0,"0",IF(AND(Results!$E$5="Protein",$C$53&gt;0,OR(Results!$E$4="Tissue",Results!$E$4="Cells")),((DA39*DA$51)/(DA$53)),IF(AND(Results!$E$5="Weight",$C$52&gt;0, Results!$E$4="Tissue",OR($B$52="g",$B$52="mg")),((DA39*DA$51)/(DA$52)),IF(AND(Results!$E$5="Volume",$C$54&gt;0,Results!$E$4="Fluid"),((DA39*DA$51)/(DA$54)),IF(AND(Results!$E$4="Cells",Results!$E$5="Million",$B$52="million"),((DA39*DA$51)/(DA$52)),"0")))))</f>
        <v>0</v>
      </c>
      <c r="DB92" s="20" t="str">
        <f>IF(DB39=0,"0",IF(AND(Results!$E$5="Protein",$C$53&gt;0,OR(Results!$E$4="Tissue",Results!$E$4="Cells")),((DB39*DB$51)/(DB$53)),IF(AND(Results!$E$5="Weight",$C$52&gt;0, Results!$E$4="Tissue",OR($B$52="g",$B$52="mg")),((DB39*DB$51)/(DB$52)),IF(AND(Results!$E$5="Volume",$C$54&gt;0,Results!$E$4="Fluid"),((DB39*DB$51)/(DB$54)),IF(AND(Results!$E$4="Cells",Results!$E$5="Million",$B$52="million"),((DB39*DB$51)/(DB$52)),"0")))))</f>
        <v>0</v>
      </c>
      <c r="DC92" s="20" t="str">
        <f>IF(DC39=0,"0",IF(AND(Results!$E$5="Protein",$C$53&gt;0,OR(Results!$E$4="Tissue",Results!$E$4="Cells")),((DC39*DC$51)/(DC$53)),IF(AND(Results!$E$5="Weight",$C$52&gt;0, Results!$E$4="Tissue",OR($B$52="g",$B$52="mg")),((DC39*DC$51)/(DC$52)),IF(AND(Results!$E$5="Volume",$C$54&gt;0,Results!$E$4="Fluid"),((DC39*DC$51)/(DC$54)),IF(AND(Results!$E$4="Cells",Results!$E$5="Million",$B$52="million"),((DC39*DC$51)/(DC$52)),"0")))))</f>
        <v>0</v>
      </c>
      <c r="DD92" s="20" t="str">
        <f>IF(DD39=0,"0",IF(AND(Results!$E$5="Protein",$C$53&gt;0,OR(Results!$E$4="Tissue",Results!$E$4="Cells")),((DD39*DD$51)/(DD$53)),IF(AND(Results!$E$5="Weight",$C$52&gt;0, Results!$E$4="Tissue",OR($B$52="g",$B$52="mg")),((DD39*DD$51)/(DD$52)),IF(AND(Results!$E$5="Volume",$C$54&gt;0,Results!$E$4="Fluid"),((DD39*DD$51)/(DD$54)),IF(AND(Results!$E$4="Cells",Results!$E$5="Million",$B$52="million"),((DD39*DD$51)/(DD$52)),"0")))))</f>
        <v>0</v>
      </c>
      <c r="DE92" s="20" t="str">
        <f>IF(DE39=0,"0",IF(AND(Results!$E$5="Protein",$C$53&gt;0,OR(Results!$E$4="Tissue",Results!$E$4="Cells")),((DE39*DE$51)/(DE$53)),IF(AND(Results!$E$5="Weight",$C$52&gt;0, Results!$E$4="Tissue",OR($B$52="g",$B$52="mg")),((DE39*DE$51)/(DE$52)),IF(AND(Results!$E$5="Volume",$C$54&gt;0,Results!$E$4="Fluid"),((DE39*DE$51)/(DE$54)),IF(AND(Results!$E$4="Cells",Results!$E$5="Million",$B$52="million"),((DE39*DE$51)/(DE$52)),"0")))))</f>
        <v>0</v>
      </c>
      <c r="DF92" s="20" t="str">
        <f>IF(DF39=0,"0",IF(AND(Results!$E$5="Protein",$C$53&gt;0,OR(Results!$E$4="Tissue",Results!$E$4="Cells")),((DF39*DF$51)/(DF$53)),IF(AND(Results!$E$5="Weight",$C$52&gt;0, Results!$E$4="Tissue",OR($B$52="g",$B$52="mg")),((DF39*DF$51)/(DF$52)),IF(AND(Results!$E$5="Volume",$C$54&gt;0,Results!$E$4="Fluid"),((DF39*DF$51)/(DF$54)),IF(AND(Results!$E$4="Cells",Results!$E$5="Million",$B$52="million"),((DF39*DF$51)/(DF$52)),"0")))))</f>
        <v>0</v>
      </c>
      <c r="DG92" s="20" t="str">
        <f>IF(DG39=0,"0",IF(AND(Results!$E$5="Protein",$C$53&gt;0,OR(Results!$E$4="Tissue",Results!$E$4="Cells")),((DG39*DG$51)/(DG$53)),IF(AND(Results!$E$5="Weight",$C$52&gt;0, Results!$E$4="Tissue",OR($B$52="g",$B$52="mg")),((DG39*DG$51)/(DG$52)),IF(AND(Results!$E$5="Volume",$C$54&gt;0,Results!$E$4="Fluid"),((DG39*DG$51)/(DG$54)),IF(AND(Results!$E$4="Cells",Results!$E$5="Million",$B$52="million"),((DG39*DG$51)/(DG$52)),"0")))))</f>
        <v>0</v>
      </c>
      <c r="DH92" s="20" t="str">
        <f>IF(DH39=0,"0",IF(AND(Results!$E$5="Protein",$C$53&gt;0,OR(Results!$E$4="Tissue",Results!$E$4="Cells")),((DH39*DH$51)/(DH$53)),IF(AND(Results!$E$5="Weight",$C$52&gt;0, Results!$E$4="Tissue",OR($B$52="g",$B$52="mg")),((DH39*DH$51)/(DH$52)),IF(AND(Results!$E$5="Volume",$C$54&gt;0,Results!$E$4="Fluid"),((DH39*DH$51)/(DH$54)),IF(AND(Results!$E$4="Cells",Results!$E$5="Million",$B$52="million"),((DH39*DH$51)/(DH$52)),"0")))))</f>
        <v>0</v>
      </c>
      <c r="DI92" s="20" t="str">
        <f>IF(DI39=0,"0",IF(AND(Results!$E$5="Protein",$C$53&gt;0,OR(Results!$E$4="Tissue",Results!$E$4="Cells")),((DI39*DI$51)/(DI$53)),IF(AND(Results!$E$5="Weight",$C$52&gt;0, Results!$E$4="Tissue",OR($B$52="g",$B$52="mg")),((DI39*DI$51)/(DI$52)),IF(AND(Results!$E$5="Volume",$C$54&gt;0,Results!$E$4="Fluid"),((DI39*DI$51)/(DI$54)),IF(AND(Results!$E$4="Cells",Results!$E$5="Million",$B$52="million"),((DI39*DI$51)/(DI$52)),"0")))))</f>
        <v>0</v>
      </c>
      <c r="DJ92" s="20" t="str">
        <f>IF(DJ39=0,"0",IF(AND(Results!$E$5="Protein",$C$53&gt;0,OR(Results!$E$4="Tissue",Results!$E$4="Cells")),((DJ39*DJ$51)/(DJ$53)),IF(AND(Results!$E$5="Weight",$C$52&gt;0, Results!$E$4="Tissue",OR($B$52="g",$B$52="mg")),((DJ39*DJ$51)/(DJ$52)),IF(AND(Results!$E$5="Volume",$C$54&gt;0,Results!$E$4="Fluid"),((DJ39*DJ$51)/(DJ$54)),IF(AND(Results!$E$4="Cells",Results!$E$5="Million",$B$52="million"),((DJ39*DJ$51)/(DJ$52)),"0")))))</f>
        <v>0</v>
      </c>
      <c r="DK92" s="20" t="str">
        <f>IF(DK39=0,"0",IF(AND(Results!$E$5="Protein",$C$53&gt;0,OR(Results!$E$4="Tissue",Results!$E$4="Cells")),((DK39*DK$51)/(DK$53)),IF(AND(Results!$E$5="Weight",$C$52&gt;0, Results!$E$4="Tissue",OR($B$52="g",$B$52="mg")),((DK39*DK$51)/(DK$52)),IF(AND(Results!$E$5="Volume",$C$54&gt;0,Results!$E$4="Fluid"),((DK39*DK$51)/(DK$54)),IF(AND(Results!$E$4="Cells",Results!$E$5="Million",$B$52="million"),((DK39*DK$51)/(DK$52)),"0")))))</f>
        <v>0</v>
      </c>
      <c r="DL92" s="20" t="str">
        <f>IF(DL39=0,"0",IF(AND(Results!$E$5="Protein",$C$53&gt;0,OR(Results!$E$4="Tissue",Results!$E$4="Cells")),((DL39*DL$51)/(DL$53)),IF(AND(Results!$E$5="Weight",$C$52&gt;0, Results!$E$4="Tissue",OR($B$52="g",$B$52="mg")),((DL39*DL$51)/(DL$52)),IF(AND(Results!$E$5="Volume",$C$54&gt;0,Results!$E$4="Fluid"),((DL39*DL$51)/(DL$54)),IF(AND(Results!$E$4="Cells",Results!$E$5="Million",$B$52="million"),((DL39*DL$51)/(DL$52)),"0")))))</f>
        <v>0</v>
      </c>
      <c r="DM92" s="20" t="str">
        <f>IF(DM39=0,"0",IF(AND(Results!$E$5="Protein",$C$53&gt;0,OR(Results!$E$4="Tissue",Results!$E$4="Cells")),((DM39*DM$51)/(DM$53)),IF(AND(Results!$E$5="Weight",$C$52&gt;0, Results!$E$4="Tissue",OR($B$52="g",$B$52="mg")),((DM39*DM$51)/(DM$52)),IF(AND(Results!$E$5="Volume",$C$54&gt;0,Results!$E$4="Fluid"),((DM39*DM$51)/(DM$54)),IF(AND(Results!$E$4="Cells",Results!$E$5="Million",$B$52="million"),((DM39*DM$51)/(DM$52)),"0")))))</f>
        <v>0</v>
      </c>
      <c r="DN92" s="20" t="str">
        <f>IF(DN39=0,"0",IF(AND(Results!$E$5="Protein",$C$53&gt;0,OR(Results!$E$4="Tissue",Results!$E$4="Cells")),((DN39*DN$51)/(DN$53)),IF(AND(Results!$E$5="Weight",$C$52&gt;0, Results!$E$4="Tissue",OR($B$52="g",$B$52="mg")),((DN39*DN$51)/(DN$52)),IF(AND(Results!$E$5="Volume",$C$54&gt;0,Results!$E$4="Fluid"),((DN39*DN$51)/(DN$54)),IF(AND(Results!$E$4="Cells",Results!$E$5="Million",$B$52="million"),((DN39*DN$51)/(DN$52)),"0")))))</f>
        <v>0</v>
      </c>
      <c r="DO92" s="20" t="str">
        <f>IF(DO39=0,"0",IF(AND(Results!$E$5="Protein",$C$53&gt;0,OR(Results!$E$4="Tissue",Results!$E$4="Cells")),((DO39*DO$51)/(DO$53)),IF(AND(Results!$E$5="Weight",$C$52&gt;0, Results!$E$4="Tissue",OR($B$52="g",$B$52="mg")),((DO39*DO$51)/(DO$52)),IF(AND(Results!$E$5="Volume",$C$54&gt;0,Results!$E$4="Fluid"),((DO39*DO$51)/(DO$54)),IF(AND(Results!$E$4="Cells",Results!$E$5="Million",$B$52="million"),((DO39*DO$51)/(DO$52)),"0")))))</f>
        <v>0</v>
      </c>
      <c r="DP92" s="20" t="str">
        <f>IF(DP39=0,"0",IF(AND(Results!$E$5="Protein",$C$53&gt;0,OR(Results!$E$4="Tissue",Results!$E$4="Cells")),((DP39*DP$51)/(DP$53)),IF(AND(Results!$E$5="Weight",$C$52&gt;0, Results!$E$4="Tissue",OR($B$52="g",$B$52="mg")),((DP39*DP$51)/(DP$52)),IF(AND(Results!$E$5="Volume",$C$54&gt;0,Results!$E$4="Fluid"),((DP39*DP$51)/(DP$54)),IF(AND(Results!$E$4="Cells",Results!$E$5="Million",$B$52="million"),((DP39*DP$51)/(DP$52)),"0")))))</f>
        <v>0</v>
      </c>
      <c r="DQ92" s="20" t="str">
        <f>IF(DQ39=0,"0",IF(AND(Results!$E$5="Protein",$C$53&gt;0,OR(Results!$E$4="Tissue",Results!$E$4="Cells")),((DQ39*DQ$51)/(DQ$53)),IF(AND(Results!$E$5="Weight",$C$52&gt;0, Results!$E$4="Tissue",OR($B$52="g",$B$52="mg")),((DQ39*DQ$51)/(DQ$52)),IF(AND(Results!$E$5="Volume",$C$54&gt;0,Results!$E$4="Fluid"),((DQ39*DQ$51)/(DQ$54)),IF(AND(Results!$E$4="Cells",Results!$E$5="Million",$B$52="million"),((DQ39*DQ$51)/(DQ$52)),"0")))))</f>
        <v>0</v>
      </c>
      <c r="DR92" s="20" t="str">
        <f>IF(DR39=0,"0",IF(AND(Results!$E$5="Protein",$C$53&gt;0,OR(Results!$E$4="Tissue",Results!$E$4="Cells")),((DR39*DR$51)/(DR$53)),IF(AND(Results!$E$5="Weight",$C$52&gt;0, Results!$E$4="Tissue",OR($B$52="g",$B$52="mg")),((DR39*DR$51)/(DR$52)),IF(AND(Results!$E$5="Volume",$C$54&gt;0,Results!$E$4="Fluid"),((DR39*DR$51)/(DR$54)),IF(AND(Results!$E$4="Cells",Results!$E$5="Million",$B$52="million"),((DR39*DR$51)/(DR$52)),"0")))))</f>
        <v>0</v>
      </c>
      <c r="DS92" s="20" t="str">
        <f>IF(DS39=0,"0",IF(AND(Results!$E$5="Protein",$C$53&gt;0,OR(Results!$E$4="Tissue",Results!$E$4="Cells")),((DS39*DS$51)/(DS$53)),IF(AND(Results!$E$5="Weight",$C$52&gt;0, Results!$E$4="Tissue",OR($B$52="g",$B$52="mg")),((DS39*DS$51)/(DS$52)),IF(AND(Results!$E$5="Volume",$C$54&gt;0,Results!$E$4="Fluid"),((DS39*DS$51)/(DS$54)),IF(AND(Results!$E$4="Cells",Results!$E$5="Million",$B$52="million"),((DS39*DS$51)/(DS$52)),"0")))))</f>
        <v>0</v>
      </c>
      <c r="DT92" s="20" t="str">
        <f>IF(DT39=0,"0",IF(AND(Results!$E$5="Protein",$C$53&gt;0,OR(Results!$E$4="Tissue",Results!$E$4="Cells")),((DT39*DT$51)/(DT$53)),IF(AND(Results!$E$5="Weight",$C$52&gt;0, Results!$E$4="Tissue",OR($B$52="g",$B$52="mg")),((DT39*DT$51)/(DT$52)),IF(AND(Results!$E$5="Volume",$C$54&gt;0,Results!$E$4="Fluid"),((DT39*DT$51)/(DT$54)),IF(AND(Results!$E$4="Cells",Results!$E$5="Million",$B$52="million"),((DT39*DT$51)/(DT$52)),"0")))))</f>
        <v>0</v>
      </c>
      <c r="DU92" s="20" t="str">
        <f>IF(DU39=0,"0",IF(AND(Results!$E$5="Protein",$C$53&gt;0,OR(Results!$E$4="Tissue",Results!$E$4="Cells")),((DU39*DU$51)/(DU$53)),IF(AND(Results!$E$5="Weight",$C$52&gt;0, Results!$E$4="Tissue",OR($B$52="g",$B$52="mg")),((DU39*DU$51)/(DU$52)),IF(AND(Results!$E$5="Volume",$C$54&gt;0,Results!$E$4="Fluid"),((DU39*DU$51)/(DU$54)),IF(AND(Results!$E$4="Cells",Results!$E$5="Million",$B$52="million"),((DU39*DU$51)/(DU$52)),"0")))))</f>
        <v>0</v>
      </c>
      <c r="DV92" s="20" t="str">
        <f>IF(DV39=0,"0",IF(AND(Results!$E$5="Protein",$C$53&gt;0,OR(Results!$E$4="Tissue",Results!$E$4="Cells")),((DV39*DV$51)/(DV$53)),IF(AND(Results!$E$5="Weight",$C$52&gt;0, Results!$E$4="Tissue",OR($B$52="g",$B$52="mg")),((DV39*DV$51)/(DV$52)),IF(AND(Results!$E$5="Volume",$C$54&gt;0,Results!$E$4="Fluid"),((DV39*DV$51)/(DV$54)),IF(AND(Results!$E$4="Cells",Results!$E$5="Million",$B$52="million"),((DV39*DV$51)/(DV$52)),"0")))))</f>
        <v>0</v>
      </c>
      <c r="DW92" s="20" t="str">
        <f>IF(DW39=0,"0",IF(AND(Results!$E$5="Protein",$C$53&gt;0,OR(Results!$E$4="Tissue",Results!$E$4="Cells")),((DW39*DW$51)/(DW$53)),IF(AND(Results!$E$5="Weight",$C$52&gt;0, Results!$E$4="Tissue",OR($B$52="g",$B$52="mg")),((DW39*DW$51)/(DW$52)),IF(AND(Results!$E$5="Volume",$C$54&gt;0,Results!$E$4="Fluid"),((DW39*DW$51)/(DW$54)),IF(AND(Results!$E$4="Cells",Results!$E$5="Million",$B$52="million"),((DW39*DW$51)/(DW$52)),"0")))))</f>
        <v>0</v>
      </c>
      <c r="DX92" s="20" t="str">
        <f>IF(DX39=0,"0",IF(AND(Results!$E$5="Protein",$C$53&gt;0,OR(Results!$E$4="Tissue",Results!$E$4="Cells")),((DX39*DX$51)/(DX$53)),IF(AND(Results!$E$5="Weight",$C$52&gt;0, Results!$E$4="Tissue",OR($B$52="g",$B$52="mg")),((DX39*DX$51)/(DX$52)),IF(AND(Results!$E$5="Volume",$C$54&gt;0,Results!$E$4="Fluid"),((DX39*DX$51)/(DX$54)),IF(AND(Results!$E$4="Cells",Results!$E$5="Million",$B$52="million"),((DX39*DX$51)/(DX$52)),"0")))))</f>
        <v>0</v>
      </c>
      <c r="DY92" s="20" t="str">
        <f>IF(DY39=0,"0",IF(AND(Results!$E$5="Protein",$C$53&gt;0,OR(Results!$E$4="Tissue",Results!$E$4="Cells")),((DY39*DY$51)/(DY$53)),IF(AND(Results!$E$5="Weight",$C$52&gt;0, Results!$E$4="Tissue",OR($B$52="g",$B$52="mg")),((DY39*DY$51)/(DY$52)),IF(AND(Results!$E$5="Volume",$C$54&gt;0,Results!$E$4="Fluid"),((DY39*DY$51)/(DY$54)),IF(AND(Results!$E$4="Cells",Results!$E$5="Million",$B$52="million"),((DY39*DY$51)/(DY$52)),"0")))))</f>
        <v>0</v>
      </c>
      <c r="DZ92" s="20" t="str">
        <f>IF(DZ39=0,"0",IF(AND(Results!$E$5="Protein",$C$53&gt;0,OR(Results!$E$4="Tissue",Results!$E$4="Cells")),((DZ39*DZ$51)/(DZ$53)),IF(AND(Results!$E$5="Weight",$C$52&gt;0, Results!$E$4="Tissue",OR($B$52="g",$B$52="mg")),((DZ39*DZ$51)/(DZ$52)),IF(AND(Results!$E$5="Volume",$C$54&gt;0,Results!$E$4="Fluid"),((DZ39*DZ$51)/(DZ$54)),IF(AND(Results!$E$4="Cells",Results!$E$5="Million",$B$52="million"),((DZ39*DZ$51)/(DZ$52)),"0")))))</f>
        <v>0</v>
      </c>
      <c r="EA92" s="20" t="str">
        <f>IF(EA39=0,"0",IF(AND(Results!$E$5="Protein",$C$53&gt;0,OR(Results!$E$4="Tissue",Results!$E$4="Cells")),((EA39*EA$51)/(EA$53)),IF(AND(Results!$E$5="Weight",$C$52&gt;0, Results!$E$4="Tissue",OR($B$52="g",$B$52="mg")),((EA39*EA$51)/(EA$52)),IF(AND(Results!$E$5="Volume",$C$54&gt;0,Results!$E$4="Fluid"),((EA39*EA$51)/(EA$54)),IF(AND(Results!$E$4="Cells",Results!$E$5="Million",$B$52="million"),((EA39*EA$51)/(EA$52)),"0")))))</f>
        <v>0</v>
      </c>
      <c r="EB92" s="20" t="str">
        <f>IF(EB39=0,"0",IF(AND(Results!$E$5="Protein",$C$53&gt;0,OR(Results!$E$4="Tissue",Results!$E$4="Cells")),((EB39*EB$51)/(EB$53)),IF(AND(Results!$E$5="Weight",$C$52&gt;0, Results!$E$4="Tissue",OR($B$52="g",$B$52="mg")),((EB39*EB$51)/(EB$52)),IF(AND(Results!$E$5="Volume",$C$54&gt;0,Results!$E$4="Fluid"),((EB39*EB$51)/(EB$54)),IF(AND(Results!$E$4="Cells",Results!$E$5="Million",$B$52="million"),((EB39*EB$51)/(EB$52)),"0")))))</f>
        <v>0</v>
      </c>
      <c r="EC92" s="20" t="str">
        <f>IF(EC39=0,"0",IF(AND(Results!$E$5="Protein",$C$53&gt;0,OR(Results!$E$4="Tissue",Results!$E$4="Cells")),((EC39*EC$51)/(EC$53)),IF(AND(Results!$E$5="Weight",$C$52&gt;0, Results!$E$4="Tissue",OR($B$52="g",$B$52="mg")),((EC39*EC$51)/(EC$52)),IF(AND(Results!$E$5="Volume",$C$54&gt;0,Results!$E$4="Fluid"),((EC39*EC$51)/(EC$54)),IF(AND(Results!$E$4="Cells",Results!$E$5="Million",$B$52="million"),((EC39*EC$51)/(EC$52)),"0")))))</f>
        <v>0</v>
      </c>
      <c r="ED92" s="20" t="str">
        <f>IF(ED39=0,"0",IF(AND(Results!$E$5="Protein",$C$53&gt;0,OR(Results!$E$4="Tissue",Results!$E$4="Cells")),((ED39*ED$51)/(ED$53)),IF(AND(Results!$E$5="Weight",$C$52&gt;0, Results!$E$4="Tissue",OR($B$52="g",$B$52="mg")),((ED39*ED$51)/(ED$52)),IF(AND(Results!$E$5="Volume",$C$54&gt;0,Results!$E$4="Fluid"),((ED39*ED$51)/(ED$54)),IF(AND(Results!$E$4="Cells",Results!$E$5="Million",$B$52="million"),((ED39*ED$51)/(ED$52)),"0")))))</f>
        <v>0</v>
      </c>
      <c r="EE92" s="20" t="str">
        <f>IF(EE39=0,"0",IF(AND(Results!$E$5="Protein",$C$53&gt;0,OR(Results!$E$4="Tissue",Results!$E$4="Cells")),((EE39*EE$51)/(EE$53)),IF(AND(Results!$E$5="Weight",$C$52&gt;0, Results!$E$4="Tissue",OR($B$52="g",$B$52="mg")),((EE39*EE$51)/(EE$52)),IF(AND(Results!$E$5="Volume",$C$54&gt;0,Results!$E$4="Fluid"),((EE39*EE$51)/(EE$54)),IF(AND(Results!$E$4="Cells",Results!$E$5="Million",$B$52="million"),((EE39*EE$51)/(EE$52)),"0")))))</f>
        <v>0</v>
      </c>
      <c r="EF92" s="20" t="str">
        <f>IF(EF39=0,"0",IF(AND(Results!$E$5="Protein",$C$53&gt;0,OR(Results!$E$4="Tissue",Results!$E$4="Cells")),((EF39*EF$51)/(EF$53)),IF(AND(Results!$E$5="Weight",$C$52&gt;0, Results!$E$4="Tissue",OR($B$52="g",$B$52="mg")),((EF39*EF$51)/(EF$52)),IF(AND(Results!$E$5="Volume",$C$54&gt;0,Results!$E$4="Fluid"),((EF39*EF$51)/(EF$54)),IF(AND(Results!$E$4="Cells",Results!$E$5="Million",$B$52="million"),((EF39*EF$51)/(EF$52)),"0")))))</f>
        <v>0</v>
      </c>
      <c r="EG92" s="20" t="str">
        <f>IF(EG39=0,"0",IF(AND(Results!$E$5="Protein",$C$53&gt;0,OR(Results!$E$4="Tissue",Results!$E$4="Cells")),((EG39*EG$51)/(EG$53)),IF(AND(Results!$E$5="Weight",$C$52&gt;0, Results!$E$4="Tissue",OR($B$52="g",$B$52="mg")),((EG39*EG$51)/(EG$52)),IF(AND(Results!$E$5="Volume",$C$54&gt;0,Results!$E$4="Fluid"),((EG39*EG$51)/(EG$54)),IF(AND(Results!$E$4="Cells",Results!$E$5="Million",$B$52="million"),((EG39*EG$51)/(EG$52)),"0")))))</f>
        <v>0</v>
      </c>
      <c r="EH92" s="20" t="str">
        <f>IF(EH39=0,"0",IF(AND(Results!$E$5="Protein",$C$53&gt;0,OR(Results!$E$4="Tissue",Results!$E$4="Cells")),((EH39*EH$51)/(EH$53)),IF(AND(Results!$E$5="Weight",$C$52&gt;0, Results!$E$4="Tissue",OR($B$52="g",$B$52="mg")),((EH39*EH$51)/(EH$52)),IF(AND(Results!$E$5="Volume",$C$54&gt;0,Results!$E$4="Fluid"),((EH39*EH$51)/(EH$54)),IF(AND(Results!$E$4="Cells",Results!$E$5="Million",$B$52="million"),((EH39*EH$51)/(EH$52)),"0")))))</f>
        <v>0</v>
      </c>
      <c r="EI92" s="20" t="str">
        <f>IF(EI39=0,"0",IF(AND(Results!$E$5="Protein",$C$53&gt;0,OR(Results!$E$4="Tissue",Results!$E$4="Cells")),((EI39*EI$51)/(EI$53)),IF(AND(Results!$E$5="Weight",$C$52&gt;0, Results!$E$4="Tissue",OR($B$52="g",$B$52="mg")),((EI39*EI$51)/(EI$52)),IF(AND(Results!$E$5="Volume",$C$54&gt;0,Results!$E$4="Fluid"),((EI39*EI$51)/(EI$54)),IF(AND(Results!$E$4="Cells",Results!$E$5="Million",$B$52="million"),((EI39*EI$51)/(EI$52)),"0")))))</f>
        <v>0</v>
      </c>
      <c r="EJ92" s="20" t="str">
        <f>IF(EJ39=0,"0",IF(AND(Results!$E$5="Protein",$C$53&gt;0,OR(Results!$E$4="Tissue",Results!$E$4="Cells")),((EJ39*EJ$51)/(EJ$53)),IF(AND(Results!$E$5="Weight",$C$52&gt;0, Results!$E$4="Tissue",OR($B$52="g",$B$52="mg")),((EJ39*EJ$51)/(EJ$52)),IF(AND(Results!$E$5="Volume",$C$54&gt;0,Results!$E$4="Fluid"),((EJ39*EJ$51)/(EJ$54)),IF(AND(Results!$E$4="Cells",Results!$E$5="Million",$B$52="million"),((EJ39*EJ$51)/(EJ$52)),"0")))))</f>
        <v>0</v>
      </c>
      <c r="EK92" s="20" t="str">
        <f>IF(EK39=0,"0",IF(AND(Results!$E$5="Protein",$C$53&gt;0,OR(Results!$E$4="Tissue",Results!$E$4="Cells")),((EK39*EK$51)/(EK$53)),IF(AND(Results!$E$5="Weight",$C$52&gt;0, Results!$E$4="Tissue",OR($B$52="g",$B$52="mg")),((EK39*EK$51)/(EK$52)),IF(AND(Results!$E$5="Volume",$C$54&gt;0,Results!$E$4="Fluid"),((EK39*EK$51)/(EK$54)),IF(AND(Results!$E$4="Cells",Results!$E$5="Million",$B$52="million"),((EK39*EK$51)/(EK$52)),"0")))))</f>
        <v>0</v>
      </c>
      <c r="EL92" s="20" t="str">
        <f>IF(EL39=0,"0",IF(AND(Results!$E$5="Protein",$C$53&gt;0,OR(Results!$E$4="Tissue",Results!$E$4="Cells")),((EL39*EL$51)/(EL$53)),IF(AND(Results!$E$5="Weight",$C$52&gt;0, Results!$E$4="Tissue",OR($B$52="g",$B$52="mg")),((EL39*EL$51)/(EL$52)),IF(AND(Results!$E$5="Volume",$C$54&gt;0,Results!$E$4="Fluid"),((EL39*EL$51)/(EL$54)),IF(AND(Results!$E$4="Cells",Results!$E$5="Million",$B$52="million"),((EL39*EL$51)/(EL$52)),"0")))))</f>
        <v>0</v>
      </c>
      <c r="EM92" s="20" t="str">
        <f>IF(EM39=0,"0",IF(AND(Results!$E$5="Protein",$C$53&gt;0,OR(Results!$E$4="Tissue",Results!$E$4="Cells")),((EM39*EM$51)/(EM$53)),IF(AND(Results!$E$5="Weight",$C$52&gt;0, Results!$E$4="Tissue",OR($B$52="g",$B$52="mg")),((EM39*EM$51)/(EM$52)),IF(AND(Results!$E$5="Volume",$C$54&gt;0,Results!$E$4="Fluid"),((EM39*EM$51)/(EM$54)),IF(AND(Results!$E$4="Cells",Results!$E$5="Million",$B$52="million"),((EM39*EM$51)/(EM$52)),"0")))))</f>
        <v>0</v>
      </c>
      <c r="EN92" s="20" t="str">
        <f>IF(EN39=0,"0",IF(AND(Results!$E$5="Protein",$C$53&gt;0,OR(Results!$E$4="Tissue",Results!$E$4="Cells")),((EN39*EN$51)/(EN$53)),IF(AND(Results!$E$5="Weight",$C$52&gt;0, Results!$E$4="Tissue",OR($B$52="g",$B$52="mg")),((EN39*EN$51)/(EN$52)),IF(AND(Results!$E$5="Volume",$C$54&gt;0,Results!$E$4="Fluid"),((EN39*EN$51)/(EN$54)),IF(AND(Results!$E$4="Cells",Results!$E$5="Million",$B$52="million"),((EN39*EN$51)/(EN$52)),"0")))))</f>
        <v>0</v>
      </c>
      <c r="EO92" s="20" t="str">
        <f>IF(EO39=0,"0",IF(AND(Results!$E$5="Protein",$C$53&gt;0,OR(Results!$E$4="Tissue",Results!$E$4="Cells")),((EO39*EO$51)/(EO$53)),IF(AND(Results!$E$5="Weight",$C$52&gt;0, Results!$E$4="Tissue",OR($B$52="g",$B$52="mg")),((EO39*EO$51)/(EO$52)),IF(AND(Results!$E$5="Volume",$C$54&gt;0,Results!$E$4="Fluid"),((EO39*EO$51)/(EO$54)),IF(AND(Results!$E$4="Cells",Results!$E$5="Million",$B$52="million"),((EO39*EO$51)/(EO$52)),"0")))))</f>
        <v>0</v>
      </c>
      <c r="EP92" s="20" t="str">
        <f>IF(EP39=0,"0",IF(AND(Results!$E$5="Protein",$C$53&gt;0,OR(Results!$E$4="Tissue",Results!$E$4="Cells")),((EP39*EP$51)/(EP$53)),IF(AND(Results!$E$5="Weight",$C$52&gt;0, Results!$E$4="Tissue",OR($B$52="g",$B$52="mg")),((EP39*EP$51)/(EP$52)),IF(AND(Results!$E$5="Volume",$C$54&gt;0,Results!$E$4="Fluid"),((EP39*EP$51)/(EP$54)),IF(AND(Results!$E$4="Cells",Results!$E$5="Million",$B$52="million"),((EP39*EP$51)/(EP$52)),"0")))))</f>
        <v>0</v>
      </c>
      <c r="EQ92" s="20" t="str">
        <f>IF(EQ39=0,"0",IF(AND(Results!$E$5="Protein",$C$53&gt;0,OR(Results!$E$4="Tissue",Results!$E$4="Cells")),((EQ39*EQ$51)/(EQ$53)),IF(AND(Results!$E$5="Weight",$C$52&gt;0, Results!$E$4="Tissue",OR($B$52="g",$B$52="mg")),((EQ39*EQ$51)/(EQ$52)),IF(AND(Results!$E$5="Volume",$C$54&gt;0,Results!$E$4="Fluid"),((EQ39*EQ$51)/(EQ$54)),IF(AND(Results!$E$4="Cells",Results!$E$5="Million",$B$52="million"),((EQ39*EQ$51)/(EQ$52)),"0")))))</f>
        <v>0</v>
      </c>
      <c r="ER92" s="20" t="str">
        <f>IF(ER39=0,"0",IF(AND(Results!$E$5="Protein",$C$53&gt;0,OR(Results!$E$4="Tissue",Results!$E$4="Cells")),((ER39*ER$51)/(ER$53)),IF(AND(Results!$E$5="Weight",$C$52&gt;0, Results!$E$4="Tissue",OR($B$52="g",$B$52="mg")),((ER39*ER$51)/(ER$52)),IF(AND(Results!$E$5="Volume",$C$54&gt;0,Results!$E$4="Fluid"),((ER39*ER$51)/(ER$54)),IF(AND(Results!$E$4="Cells",Results!$E$5="Million",$B$52="million"),((ER39*ER$51)/(ER$52)),"0")))))</f>
        <v>0</v>
      </c>
      <c r="ES92" s="20" t="str">
        <f>IF(ES39=0,"0",IF(AND(Results!$E$5="Protein",$C$53&gt;0,OR(Results!$E$4="Tissue",Results!$E$4="Cells")),((ES39*ES$51)/(ES$53)),IF(AND(Results!$E$5="Weight",$C$52&gt;0, Results!$E$4="Tissue",OR($B$52="g",$B$52="mg")),((ES39*ES$51)/(ES$52)),IF(AND(Results!$E$5="Volume",$C$54&gt;0,Results!$E$4="Fluid"),((ES39*ES$51)/(ES$54)),IF(AND(Results!$E$4="Cells",Results!$E$5="Million",$B$52="million"),((ES39*ES$51)/(ES$52)),"0")))))</f>
        <v>0</v>
      </c>
      <c r="ET92" s="20" t="str">
        <f>IF(ET39=0,"0",IF(AND(Results!$E$5="Protein",$C$53&gt;0,OR(Results!$E$4="Tissue",Results!$E$4="Cells")),((ET39*ET$51)/(ET$53)),IF(AND(Results!$E$5="Weight",$C$52&gt;0, Results!$E$4="Tissue",OR($B$52="g",$B$52="mg")),((ET39*ET$51)/(ET$52)),IF(AND(Results!$E$5="Volume",$C$54&gt;0,Results!$E$4="Fluid"),((ET39*ET$51)/(ET$54)),IF(AND(Results!$E$4="Cells",Results!$E$5="Million",$B$52="million"),((ET39*ET$51)/(ET$52)),"0")))))</f>
        <v>0</v>
      </c>
      <c r="EU92" s="20" t="str">
        <f>IF(EU39=0,"0",IF(AND(Results!$E$5="Protein",$C$53&gt;0,OR(Results!$E$4="Tissue",Results!$E$4="Cells")),((EU39*EU$51)/(EU$53)),IF(AND(Results!$E$5="Weight",$C$52&gt;0, Results!$E$4="Tissue",OR($B$52="g",$B$52="mg")),((EU39*EU$51)/(EU$52)),IF(AND(Results!$E$5="Volume",$C$54&gt;0,Results!$E$4="Fluid"),((EU39*EU$51)/(EU$54)),IF(AND(Results!$E$4="Cells",Results!$E$5="Million",$B$52="million"),((EU39*EU$51)/(EU$52)),"0")))))</f>
        <v>0</v>
      </c>
      <c r="EV92" s="20" t="str">
        <f>IF(EV39=0,"0",IF(AND(Results!$E$5="Protein",$C$53&gt;0,OR(Results!$E$4="Tissue",Results!$E$4="Cells")),((EV39*EV$51)/(EV$53)),IF(AND(Results!$E$5="Weight",$C$52&gt;0, Results!$E$4="Tissue",OR($B$52="g",$B$52="mg")),((EV39*EV$51)/(EV$52)),IF(AND(Results!$E$5="Volume",$C$54&gt;0,Results!$E$4="Fluid"),((EV39*EV$51)/(EV$54)),IF(AND(Results!$E$4="Cells",Results!$E$5="Million",$B$52="million"),((EV39*EV$51)/(EV$52)),"0")))))</f>
        <v>0</v>
      </c>
      <c r="EW92" s="20" t="str">
        <f>IF(EW39=0,"0",IF(AND(Results!$E$5="Protein",$C$53&gt;0,OR(Results!$E$4="Tissue",Results!$E$4="Cells")),((EW39*EW$51)/(EW$53)),IF(AND(Results!$E$5="Weight",$C$52&gt;0, Results!$E$4="Tissue",OR($B$52="g",$B$52="mg")),((EW39*EW$51)/(EW$52)),IF(AND(Results!$E$5="Volume",$C$54&gt;0,Results!$E$4="Fluid"),((EW39*EW$51)/(EW$54)),IF(AND(Results!$E$4="Cells",Results!$E$5="Million",$B$52="million"),((EW39*EW$51)/(EW$52)),"0")))))</f>
        <v>0</v>
      </c>
      <c r="EX92" s="20" t="str">
        <f>IF(EX39=0,"0",IF(AND(Results!$E$5="Protein",$C$53&gt;0,OR(Results!$E$4="Tissue",Results!$E$4="Cells")),((EX39*EX$51)/(EX$53)),IF(AND(Results!$E$5="Weight",$C$52&gt;0, Results!$E$4="Tissue",OR($B$52="g",$B$52="mg")),((EX39*EX$51)/(EX$52)),IF(AND(Results!$E$5="Volume",$C$54&gt;0,Results!$E$4="Fluid"),((EX39*EX$51)/(EX$54)),IF(AND(Results!$E$4="Cells",Results!$E$5="Million",$B$52="million"),((EX39*EX$51)/(EX$52)),"0")))))</f>
        <v>0</v>
      </c>
      <c r="EY92" s="20" t="str">
        <f>IF(EY39=0,"0",IF(AND(Results!$E$5="Protein",$C$53&gt;0,OR(Results!$E$4="Tissue",Results!$E$4="Cells")),((EY39*EY$51)/(EY$53)),IF(AND(Results!$E$5="Weight",$C$52&gt;0, Results!$E$4="Tissue",OR($B$52="g",$B$52="mg")),((EY39*EY$51)/(EY$52)),IF(AND(Results!$E$5="Volume",$C$54&gt;0,Results!$E$4="Fluid"),((EY39*EY$51)/(EY$54)),IF(AND(Results!$E$4="Cells",Results!$E$5="Million",$B$52="million"),((EY39*EY$51)/(EY$52)),"0")))))</f>
        <v>0</v>
      </c>
      <c r="EZ92" s="20" t="str">
        <f>IF(EZ39=0,"0",IF(AND(Results!$E$5="Protein",$C$53&gt;0,OR(Results!$E$4="Tissue",Results!$E$4="Cells")),((EZ39*EZ$51)/(EZ$53)),IF(AND(Results!$E$5="Weight",$C$52&gt;0, Results!$E$4="Tissue",OR($B$52="g",$B$52="mg")),((EZ39*EZ$51)/(EZ$52)),IF(AND(Results!$E$5="Volume",$C$54&gt;0,Results!$E$4="Fluid"),((EZ39*EZ$51)/(EZ$54)),IF(AND(Results!$E$4="Cells",Results!$E$5="Million",$B$52="million"),((EZ39*EZ$51)/(EZ$52)),"0")))))</f>
        <v>0</v>
      </c>
      <c r="FA92" s="20" t="str">
        <f>IF(FA39=0,"0",IF(AND(Results!$E$5="Protein",$C$53&gt;0,OR(Results!$E$4="Tissue",Results!$E$4="Cells")),((FA39*FA$51)/(FA$53)),IF(AND(Results!$E$5="Weight",$C$52&gt;0, Results!$E$4="Tissue",OR($B$52="g",$B$52="mg")),((FA39*FA$51)/(FA$52)),IF(AND(Results!$E$5="Volume",$C$54&gt;0,Results!$E$4="Fluid"),((FA39*FA$51)/(FA$54)),IF(AND(Results!$E$4="Cells",Results!$E$5="Million",$B$52="million"),((FA39*FA$51)/(FA$52)),"0")))))</f>
        <v>0</v>
      </c>
      <c r="FB92" s="20" t="str">
        <f>IF(FB39=0,"0",IF(AND(Results!$E$5="Protein",$C$53&gt;0,OR(Results!$E$4="Tissue",Results!$E$4="Cells")),((FB39*FB$51)/(FB$53)),IF(AND(Results!$E$5="Weight",$C$52&gt;0, Results!$E$4="Tissue",OR($B$52="g",$B$52="mg")),((FB39*FB$51)/(FB$52)),IF(AND(Results!$E$5="Volume",$C$54&gt;0,Results!$E$4="Fluid"),((FB39*FB$51)/(FB$54)),IF(AND(Results!$E$4="Cells",Results!$E$5="Million",$B$52="million"),((FB39*FB$51)/(FB$52)),"0")))))</f>
        <v>0</v>
      </c>
      <c r="FC92" s="20" t="str">
        <f>IF(FC39=0,"0",IF(AND(Results!$E$5="Protein",$C$53&gt;0,OR(Results!$E$4="Tissue",Results!$E$4="Cells")),((FC39*FC$51)/(FC$53)),IF(AND(Results!$E$5="Weight",$C$52&gt;0, Results!$E$4="Tissue",OR($B$52="g",$B$52="mg")),((FC39*FC$51)/(FC$52)),IF(AND(Results!$E$5="Volume",$C$54&gt;0,Results!$E$4="Fluid"),((FC39*FC$51)/(FC$54)),IF(AND(Results!$E$4="Cells",Results!$E$5="Million",$B$52="million"),((FC39*FC$51)/(FC$52)),"0")))))</f>
        <v>0</v>
      </c>
      <c r="FD92" s="20" t="str">
        <f>IF(FD39=0,"0",IF(AND(Results!$E$5="Protein",$C$53&gt;0,OR(Results!$E$4="Tissue",Results!$E$4="Cells")),((FD39*FD$51)/(FD$53)),IF(AND(Results!$E$5="Weight",$C$52&gt;0, Results!$E$4="Tissue",OR($B$52="g",$B$52="mg")),((FD39*FD$51)/(FD$52)),IF(AND(Results!$E$5="Volume",$C$54&gt;0,Results!$E$4="Fluid"),((FD39*FD$51)/(FD$54)),IF(AND(Results!$E$4="Cells",Results!$E$5="Million",$B$52="million"),((FD39*FD$51)/(FD$52)),"0")))))</f>
        <v>0</v>
      </c>
      <c r="FE92" s="20" t="str">
        <f>IF(FE39=0,"0",IF(AND(Results!$E$5="Protein",$C$53&gt;0,OR(Results!$E$4="Tissue",Results!$E$4="Cells")),((FE39*FE$51)/(FE$53)),IF(AND(Results!$E$5="Weight",$C$52&gt;0, Results!$E$4="Tissue",OR($B$52="g",$B$52="mg")),((FE39*FE$51)/(FE$52)),IF(AND(Results!$E$5="Volume",$C$54&gt;0,Results!$E$4="Fluid"),((FE39*FE$51)/(FE$54)),IF(AND(Results!$E$4="Cells",Results!$E$5="Million",$B$52="million"),((FE39*FE$51)/(FE$52)),"0")))))</f>
        <v>0</v>
      </c>
      <c r="FF92" s="20" t="str">
        <f>IF(FF39=0,"0",IF(AND(Results!$E$5="Protein",$C$53&gt;0,OR(Results!$E$4="Tissue",Results!$E$4="Cells")),((FF39*FF$51)/(FF$53)),IF(AND(Results!$E$5="Weight",$C$52&gt;0, Results!$E$4="Tissue",OR($B$52="g",$B$52="mg")),((FF39*FF$51)/(FF$52)),IF(AND(Results!$E$5="Volume",$C$54&gt;0,Results!$E$4="Fluid"),((FF39*FF$51)/(FF$54)),IF(AND(Results!$E$4="Cells",Results!$E$5="Million",$B$52="million"),((FF39*FF$51)/(FF$52)),"0")))))</f>
        <v>0</v>
      </c>
      <c r="FG92" s="20" t="str">
        <f>IF(FG39=0,"0",IF(AND(Results!$E$5="Protein",$C$53&gt;0,OR(Results!$E$4="Tissue",Results!$E$4="Cells")),((FG39*FG$51)/(FG$53)),IF(AND(Results!$E$5="Weight",$C$52&gt;0, Results!$E$4="Tissue",OR($B$52="g",$B$52="mg")),((FG39*FG$51)/(FG$52)),IF(AND(Results!$E$5="Volume",$C$54&gt;0,Results!$E$4="Fluid"),((FG39*FG$51)/(FG$54)),IF(AND(Results!$E$4="Cells",Results!$E$5="Million",$B$52="million"),((FG39*FG$51)/(FG$52)),"0")))))</f>
        <v>0</v>
      </c>
      <c r="FH92" s="20" t="str">
        <f>IF(FH39=0,"0",IF(AND(Results!$E$5="Protein",$C$53&gt;0,OR(Results!$E$4="Tissue",Results!$E$4="Cells")),((FH39*FH$51)/(FH$53)),IF(AND(Results!$E$5="Weight",$C$52&gt;0, Results!$E$4="Tissue",OR($B$52="g",$B$52="mg")),((FH39*FH$51)/(FH$52)),IF(AND(Results!$E$5="Volume",$C$54&gt;0,Results!$E$4="Fluid"),((FH39*FH$51)/(FH$54)),IF(AND(Results!$E$4="Cells",Results!$E$5="Million",$B$52="million"),((FH39*FH$51)/(FH$52)),"0")))))</f>
        <v>0</v>
      </c>
      <c r="FI92" s="20" t="str">
        <f>IF(FI39=0,"0",IF(AND(Results!$E$5="Protein",$C$53&gt;0,OR(Results!$E$4="Tissue",Results!$E$4="Cells")),((FI39*FI$51)/(FI$53)),IF(AND(Results!$E$5="Weight",$C$52&gt;0, Results!$E$4="Tissue",OR($B$52="g",$B$52="mg")),((FI39*FI$51)/(FI$52)),IF(AND(Results!$E$5="Volume",$C$54&gt;0,Results!$E$4="Fluid"),((FI39*FI$51)/(FI$54)),IF(AND(Results!$E$4="Cells",Results!$E$5="Million",$B$52="million"),((FI39*FI$51)/(FI$52)),"0")))))</f>
        <v>0</v>
      </c>
      <c r="FJ92" s="20" t="str">
        <f>IF(FJ39=0,"0",IF(AND(Results!$E$5="Protein",$C$53&gt;0,OR(Results!$E$4="Tissue",Results!$E$4="Cells")),((FJ39*FJ$51)/(FJ$53)),IF(AND(Results!$E$5="Weight",$C$52&gt;0, Results!$E$4="Tissue",OR($B$52="g",$B$52="mg")),((FJ39*FJ$51)/(FJ$52)),IF(AND(Results!$E$5="Volume",$C$54&gt;0,Results!$E$4="Fluid"),((FJ39*FJ$51)/(FJ$54)),IF(AND(Results!$E$4="Cells",Results!$E$5="Million",$B$52="million"),((FJ39*FJ$51)/(FJ$52)),"0")))))</f>
        <v>0</v>
      </c>
      <c r="FK92" s="20" t="str">
        <f>IF(FK39=0,"0",IF(AND(Results!$E$5="Protein",$C$53&gt;0,OR(Results!$E$4="Tissue",Results!$E$4="Cells")),((FK39*FK$51)/(FK$53)),IF(AND(Results!$E$5="Weight",$C$52&gt;0, Results!$E$4="Tissue",OR($B$52="g",$B$52="mg")),((FK39*FK$51)/(FK$52)),IF(AND(Results!$E$5="Volume",$C$54&gt;0,Results!$E$4="Fluid"),((FK39*FK$51)/(FK$54)),IF(AND(Results!$E$4="Cells",Results!$E$5="Million",$B$52="million"),((FK39*FK$51)/(FK$52)),"0")))))</f>
        <v>0</v>
      </c>
      <c r="FL92" s="20" t="str">
        <f>IF(FL39=0,"0",IF(AND(Results!$E$5="Protein",$C$53&gt;0,OR(Results!$E$4="Tissue",Results!$E$4="Cells")),((FL39*FL$51)/(FL$53)),IF(AND(Results!$E$5="Weight",$C$52&gt;0, Results!$E$4="Tissue",OR($B$52="g",$B$52="mg")),((FL39*FL$51)/(FL$52)),IF(AND(Results!$E$5="Volume",$C$54&gt;0,Results!$E$4="Fluid"),((FL39*FL$51)/(FL$54)),IF(AND(Results!$E$4="Cells",Results!$E$5="Million",$B$52="million"),((FL39*FL$51)/(FL$52)),"0")))))</f>
        <v>0</v>
      </c>
      <c r="FM92" s="20" t="str">
        <f>IF(FM39=0,"0",IF(AND(Results!$E$5="Protein",$C$53&gt;0,OR(Results!$E$4="Tissue",Results!$E$4="Cells")),((FM39*FM$51)/(FM$53)),IF(AND(Results!$E$5="Weight",$C$52&gt;0, Results!$E$4="Tissue",OR($B$52="g",$B$52="mg")),((FM39*FM$51)/(FM$52)),IF(AND(Results!$E$5="Volume",$C$54&gt;0,Results!$E$4="Fluid"),((FM39*FM$51)/(FM$54)),IF(AND(Results!$E$4="Cells",Results!$E$5="Million",$B$52="million"),((FM39*FM$51)/(FM$52)),"0")))))</f>
        <v>0</v>
      </c>
      <c r="FN92" s="20" t="str">
        <f>IF(FN39=0,"0",IF(AND(Results!$E$5="Protein",$C$53&gt;0,OR(Results!$E$4="Tissue",Results!$E$4="Cells")),((FN39*FN$51)/(FN$53)),IF(AND(Results!$E$5="Weight",$C$52&gt;0, Results!$E$4="Tissue",OR($B$52="g",$B$52="mg")),((FN39*FN$51)/(FN$52)),IF(AND(Results!$E$5="Volume",$C$54&gt;0,Results!$E$4="Fluid"),((FN39*FN$51)/(FN$54)),IF(AND(Results!$E$4="Cells",Results!$E$5="Million",$B$52="million"),((FN39*FN$51)/(FN$52)),"0")))))</f>
        <v>0</v>
      </c>
      <c r="FO92" s="20" t="str">
        <f>IF(FO39=0,"0",IF(AND(Results!$E$5="Protein",$C$53&gt;0,OR(Results!$E$4="Tissue",Results!$E$4="Cells")),((FO39*FO$51)/(FO$53)),IF(AND(Results!$E$5="Weight",$C$52&gt;0, Results!$E$4="Tissue",OR($B$52="g",$B$52="mg")),((FO39*FO$51)/(FO$52)),IF(AND(Results!$E$5="Volume",$C$54&gt;0,Results!$E$4="Fluid"),((FO39*FO$51)/(FO$54)),IF(AND(Results!$E$4="Cells",Results!$E$5="Million",$B$52="million"),((FO39*FO$51)/(FO$52)),"0")))))</f>
        <v>0</v>
      </c>
    </row>
    <row r="93" spans="1:171" x14ac:dyDescent="0.2">
      <c r="A93" s="120" t="str">
        <f t="shared" si="1"/>
        <v>5,6-DiHETE</v>
      </c>
      <c r="B93" s="121"/>
      <c r="C93" s="20" t="str">
        <f>IF(C40=0,"0",IF(AND(Results!$E$5="Protein",$C$53&gt;0,OR(Results!$E$4="Tissue",Results!$E$4="Cells")),((C40*C$51)/(C$53)),IF(AND(Results!$E$5="Weight",$C$52&gt;0, Results!$E$4="Tissue",OR($B$52="g",$B$52="mg")),((C40*C$51)/(C$52)),IF(AND(Results!$E$5="Volume",$C$54&gt;0,Results!$E$4="Fluid"),((C40*C$51)/(C$54)),IF(AND(Results!$E$4="Cells",Results!$E$5="Million",$B$52="million"),((C40*C$51)/(C$52)),"0")))))</f>
        <v>0</v>
      </c>
      <c r="D93" s="20" t="str">
        <f>IF(D40=0,"0",IF(AND(Results!$E$5="Protein",$C$53&gt;0,OR(Results!$E$4="Tissue",Results!$E$4="Cells")),((D40*D$51)/(D$53)),IF(AND(Results!$E$5="Weight",$C$52&gt;0, Results!$E$4="Tissue",OR($B$52="g",$B$52="mg")),((D40*D$51)/(D$52)),IF(AND(Results!$E$5="Volume",$C$54&gt;0,Results!$E$4="Fluid"),((D40*D$51)/(D$54)),IF(AND(Results!$E$4="Cells",Results!$E$5="Million",$B$52="million"),((D40*D$51)/(D$52)),"0")))))</f>
        <v>0</v>
      </c>
      <c r="E93" s="20" t="str">
        <f>IF(E40=0,"0",IF(AND(Results!$E$5="Protein",$C$53&gt;0,OR(Results!$E$4="Tissue",Results!$E$4="Cells")),((E40*E$51)/(E$53)),IF(AND(Results!$E$5="Weight",$C$52&gt;0, Results!$E$4="Tissue",OR($B$52="g",$B$52="mg")),((E40*E$51)/(E$52)),IF(AND(Results!$E$5="Volume",$C$54&gt;0,Results!$E$4="Fluid"),((E40*E$51)/(E$54)),IF(AND(Results!$E$4="Cells",Results!$E$5="Million",$B$52="million"),((E40*E$51)/(E$52)),"0")))))</f>
        <v>0</v>
      </c>
      <c r="F93" s="20" t="str">
        <f>IF(F40=0,"0",IF(AND(Results!$E$5="Protein",$C$53&gt;0,OR(Results!$E$4="Tissue",Results!$E$4="Cells")),((F40*F$51)/(F$53)),IF(AND(Results!$E$5="Weight",$C$52&gt;0, Results!$E$4="Tissue",OR($B$52="g",$B$52="mg")),((F40*F$51)/(F$52)),IF(AND(Results!$E$5="Volume",$C$54&gt;0,Results!$E$4="Fluid"),((F40*F$51)/(F$54)),IF(AND(Results!$E$4="Cells",Results!$E$5="Million",$B$52="million"),((F40*F$51)/(F$52)),"0")))))</f>
        <v>0</v>
      </c>
      <c r="G93" s="20" t="str">
        <f>IF(G40=0,"0",IF(AND(Results!$E$5="Protein",$C$53&gt;0,OR(Results!$E$4="Tissue",Results!$E$4="Cells")),((G40*G$51)/(G$53)),IF(AND(Results!$E$5="Weight",$C$52&gt;0, Results!$E$4="Tissue",OR($B$52="g",$B$52="mg")),((G40*G$51)/(G$52)),IF(AND(Results!$E$5="Volume",$C$54&gt;0,Results!$E$4="Fluid"),((G40*G$51)/(G$54)),IF(AND(Results!$E$4="Cells",Results!$E$5="Million",$B$52="million"),((G40*G$51)/(G$52)),"0")))))</f>
        <v>0</v>
      </c>
      <c r="H93" s="20" t="str">
        <f>IF(H40=0,"0",IF(AND(Results!$E$5="Protein",$C$53&gt;0,OR(Results!$E$4="Tissue",Results!$E$4="Cells")),((H40*H$51)/(H$53)),IF(AND(Results!$E$5="Weight",$C$52&gt;0, Results!$E$4="Tissue",OR($B$52="g",$B$52="mg")),((H40*H$51)/(H$52)),IF(AND(Results!$E$5="Volume",$C$54&gt;0,Results!$E$4="Fluid"),((H40*H$51)/(H$54)),IF(AND(Results!$E$4="Cells",Results!$E$5="Million",$B$52="million"),((H40*H$51)/(H$52)),"0")))))</f>
        <v>0</v>
      </c>
      <c r="I93" s="20" t="str">
        <f>IF(I40=0,"0",IF(AND(Results!$E$5="Protein",$C$53&gt;0,OR(Results!$E$4="Tissue",Results!$E$4="Cells")),((I40*I$51)/(I$53)),IF(AND(Results!$E$5="Weight",$C$52&gt;0, Results!$E$4="Tissue",OR($B$52="g",$B$52="mg")),((I40*I$51)/(I$52)),IF(AND(Results!$E$5="Volume",$C$54&gt;0,Results!$E$4="Fluid"),((I40*I$51)/(I$54)),IF(AND(Results!$E$4="Cells",Results!$E$5="Million",$B$52="million"),((I40*I$51)/(I$52)),"0")))))</f>
        <v>0</v>
      </c>
      <c r="J93" s="20" t="str">
        <f>IF(J40=0,"0",IF(AND(Results!$E$5="Protein",$C$53&gt;0,OR(Results!$E$4="Tissue",Results!$E$4="Cells")),((J40*J$51)/(J$53)),IF(AND(Results!$E$5="Weight",$C$52&gt;0, Results!$E$4="Tissue",OR($B$52="g",$B$52="mg")),((J40*J$51)/(J$52)),IF(AND(Results!$E$5="Volume",$C$54&gt;0,Results!$E$4="Fluid"),((J40*J$51)/(J$54)),IF(AND(Results!$E$4="Cells",Results!$E$5="Million",$B$52="million"),((J40*J$51)/(J$52)),"0")))))</f>
        <v>0</v>
      </c>
      <c r="K93" s="20" t="str">
        <f>IF(K40=0,"0",IF(AND(Results!$E$5="Protein",$C$53&gt;0,OR(Results!$E$4="Tissue",Results!$E$4="Cells")),((K40*K$51)/(K$53)),IF(AND(Results!$E$5="Weight",$C$52&gt;0, Results!$E$4="Tissue",OR($B$52="g",$B$52="mg")),((K40*K$51)/(K$52)),IF(AND(Results!$E$5="Volume",$C$54&gt;0,Results!$E$4="Fluid"),((K40*K$51)/(K$54)),IF(AND(Results!$E$4="Cells",Results!$E$5="Million",$B$52="million"),((K40*K$51)/(K$52)),"0")))))</f>
        <v>0</v>
      </c>
      <c r="L93" s="20" t="str">
        <f>IF(L40=0,"0",IF(AND(Results!$E$5="Protein",$C$53&gt;0,OR(Results!$E$4="Tissue",Results!$E$4="Cells")),((L40*L$51)/(L$53)),IF(AND(Results!$E$5="Weight",$C$52&gt;0, Results!$E$4="Tissue",OR($B$52="g",$B$52="mg")),((L40*L$51)/(L$52)),IF(AND(Results!$E$5="Volume",$C$54&gt;0,Results!$E$4="Fluid"),((L40*L$51)/(L$54)),IF(AND(Results!$E$4="Cells",Results!$E$5="Million",$B$52="million"),((L40*L$51)/(L$52)),"0")))))</f>
        <v>0</v>
      </c>
      <c r="M93" s="20" t="str">
        <f>IF(M40=0,"0",IF(AND(Results!$E$5="Protein",$C$53&gt;0,OR(Results!$E$4="Tissue",Results!$E$4="Cells")),((M40*M$51)/(M$53)),IF(AND(Results!$E$5="Weight",$C$52&gt;0, Results!$E$4="Tissue",OR($B$52="g",$B$52="mg")),((M40*M$51)/(M$52)),IF(AND(Results!$E$5="Volume",$C$54&gt;0,Results!$E$4="Fluid"),((M40*M$51)/(M$54)),IF(AND(Results!$E$4="Cells",Results!$E$5="Million",$B$52="million"),((M40*M$51)/(M$52)),"0")))))</f>
        <v>0</v>
      </c>
      <c r="N93" s="20" t="str">
        <f>IF(N40=0,"0",IF(AND(Results!$E$5="Protein",$C$53&gt;0,OR(Results!$E$4="Tissue",Results!$E$4="Cells")),((N40*N$51)/(N$53)),IF(AND(Results!$E$5="Weight",$C$52&gt;0, Results!$E$4="Tissue",OR($B$52="g",$B$52="mg")),((N40*N$51)/(N$52)),IF(AND(Results!$E$5="Volume",$C$54&gt;0,Results!$E$4="Fluid"),((N40*N$51)/(N$54)),IF(AND(Results!$E$4="Cells",Results!$E$5="Million",$B$52="million"),((N40*N$51)/(N$52)),"0")))))</f>
        <v>0</v>
      </c>
      <c r="O93" s="20" t="str">
        <f>IF(O40=0,"0",IF(AND(Results!$E$5="Protein",$C$53&gt;0,OR(Results!$E$4="Tissue",Results!$E$4="Cells")),((O40*O$51)/(O$53)),IF(AND(Results!$E$5="Weight",$C$52&gt;0, Results!$E$4="Tissue",OR($B$52="g",$B$52="mg")),((O40*O$51)/(O$52)),IF(AND(Results!$E$5="Volume",$C$54&gt;0,Results!$E$4="Fluid"),((O40*O$51)/(O$54)),IF(AND(Results!$E$4="Cells",Results!$E$5="Million",$B$52="million"),((O40*O$51)/(O$52)),"0")))))</f>
        <v>0</v>
      </c>
      <c r="P93" s="20" t="str">
        <f>IF(P40=0,"0",IF(AND(Results!$E$5="Protein",$C$53&gt;0,OR(Results!$E$4="Tissue",Results!$E$4="Cells")),((P40*P$51)/(P$53)),IF(AND(Results!$E$5="Weight",$C$52&gt;0, Results!$E$4="Tissue",OR($B$52="g",$B$52="mg")),((P40*P$51)/(P$52)),IF(AND(Results!$E$5="Volume",$C$54&gt;0,Results!$E$4="Fluid"),((P40*P$51)/(P$54)),IF(AND(Results!$E$4="Cells",Results!$E$5="Million",$B$52="million"),((P40*P$51)/(P$52)),"0")))))</f>
        <v>0</v>
      </c>
      <c r="Q93" s="20" t="str">
        <f>IF(Q40=0,"0",IF(AND(Results!$E$5="Protein",$C$53&gt;0,OR(Results!$E$4="Tissue",Results!$E$4="Cells")),((Q40*Q$51)/(Q$53)),IF(AND(Results!$E$5="Weight",$C$52&gt;0, Results!$E$4="Tissue",OR($B$52="g",$B$52="mg")),((Q40*Q$51)/(Q$52)),IF(AND(Results!$E$5="Volume",$C$54&gt;0,Results!$E$4="Fluid"),((Q40*Q$51)/(Q$54)),IF(AND(Results!$E$4="Cells",Results!$E$5="Million",$B$52="million"),((Q40*Q$51)/(Q$52)),"0")))))</f>
        <v>0</v>
      </c>
      <c r="R93" s="20" t="str">
        <f>IF(R40=0,"0",IF(AND(Results!$E$5="Protein",$C$53&gt;0,OR(Results!$E$4="Tissue",Results!$E$4="Cells")),((R40*R$51)/(R$53)),IF(AND(Results!$E$5="Weight",$C$52&gt;0, Results!$E$4="Tissue",OR($B$52="g",$B$52="mg")),((R40*R$51)/(R$52)),IF(AND(Results!$E$5="Volume",$C$54&gt;0,Results!$E$4="Fluid"),((R40*R$51)/(R$54)),IF(AND(Results!$E$4="Cells",Results!$E$5="Million",$B$52="million"),((R40*R$51)/(R$52)),"0")))))</f>
        <v>0</v>
      </c>
      <c r="S93" s="20" t="str">
        <f>IF(S40=0,"0",IF(AND(Results!$E$5="Protein",$C$53&gt;0,OR(Results!$E$4="Tissue",Results!$E$4="Cells")),((S40*S$51)/(S$53)),IF(AND(Results!$E$5="Weight",$C$52&gt;0, Results!$E$4="Tissue",OR($B$52="g",$B$52="mg")),((S40*S$51)/(S$52)),IF(AND(Results!$E$5="Volume",$C$54&gt;0,Results!$E$4="Fluid"),((S40*S$51)/(S$54)),IF(AND(Results!$E$4="Cells",Results!$E$5="Million",$B$52="million"),((S40*S$51)/(S$52)),"0")))))</f>
        <v>0</v>
      </c>
      <c r="T93" s="20" t="str">
        <f>IF(T40=0,"0",IF(AND(Results!$E$5="Protein",$C$53&gt;0,OR(Results!$E$4="Tissue",Results!$E$4="Cells")),((T40*T$51)/(T$53)),IF(AND(Results!$E$5="Weight",$C$52&gt;0, Results!$E$4="Tissue",OR($B$52="g",$B$52="mg")),((T40*T$51)/(T$52)),IF(AND(Results!$E$5="Volume",$C$54&gt;0,Results!$E$4="Fluid"),((T40*T$51)/(T$54)),IF(AND(Results!$E$4="Cells",Results!$E$5="Million",$B$52="million"),((T40*T$51)/(T$52)),"0")))))</f>
        <v>0</v>
      </c>
      <c r="U93" s="20" t="str">
        <f>IF(U40=0,"0",IF(AND(Results!$E$5="Protein",$C$53&gt;0,OR(Results!$E$4="Tissue",Results!$E$4="Cells")),((U40*U$51)/(U$53)),IF(AND(Results!$E$5="Weight",$C$52&gt;0, Results!$E$4="Tissue",OR($B$52="g",$B$52="mg")),((U40*U$51)/(U$52)),IF(AND(Results!$E$5="Volume",$C$54&gt;0,Results!$E$4="Fluid"),((U40*U$51)/(U$54)),IF(AND(Results!$E$4="Cells",Results!$E$5="Million",$B$52="million"),((U40*U$51)/(U$52)),"0")))))</f>
        <v>0</v>
      </c>
      <c r="V93" s="20" t="str">
        <f>IF(V40=0,"0",IF(AND(Results!$E$5="Protein",$C$53&gt;0,OR(Results!$E$4="Tissue",Results!$E$4="Cells")),((V40*V$51)/(V$53)),IF(AND(Results!$E$5="Weight",$C$52&gt;0, Results!$E$4="Tissue",OR($B$52="g",$B$52="mg")),((V40*V$51)/(V$52)),IF(AND(Results!$E$5="Volume",$C$54&gt;0,Results!$E$4="Fluid"),((V40*V$51)/(V$54)),IF(AND(Results!$E$4="Cells",Results!$E$5="Million",$B$52="million"),((V40*V$51)/(V$52)),"0")))))</f>
        <v>0</v>
      </c>
      <c r="W93" s="20" t="str">
        <f>IF(W40=0,"0",IF(AND(Results!$E$5="Protein",$C$53&gt;0,OR(Results!$E$4="Tissue",Results!$E$4="Cells")),((W40*W$51)/(W$53)),IF(AND(Results!$E$5="Weight",$C$52&gt;0, Results!$E$4="Tissue",OR($B$52="g",$B$52="mg")),((W40*W$51)/(W$52)),IF(AND(Results!$E$5="Volume",$C$54&gt;0,Results!$E$4="Fluid"),((W40*W$51)/(W$54)),IF(AND(Results!$E$4="Cells",Results!$E$5="Million",$B$52="million"),((W40*W$51)/(W$52)),"0")))))</f>
        <v>0</v>
      </c>
      <c r="X93" s="20" t="str">
        <f>IF(X40=0,"0",IF(AND(Results!$E$5="Protein",$C$53&gt;0,OR(Results!$E$4="Tissue",Results!$E$4="Cells")),((X40*X$51)/(X$53)),IF(AND(Results!$E$5="Weight",$C$52&gt;0, Results!$E$4="Tissue",OR($B$52="g",$B$52="mg")),((X40*X$51)/(X$52)),IF(AND(Results!$E$5="Volume",$C$54&gt;0,Results!$E$4="Fluid"),((X40*X$51)/(X$54)),IF(AND(Results!$E$4="Cells",Results!$E$5="Million",$B$52="million"),((X40*X$51)/(X$52)),"0")))))</f>
        <v>0</v>
      </c>
      <c r="Y93" s="20" t="str">
        <f>IF(Y40=0,"0",IF(AND(Results!$E$5="Protein",$C$53&gt;0,OR(Results!$E$4="Tissue",Results!$E$4="Cells")),((Y40*Y$51)/(Y$53)),IF(AND(Results!$E$5="Weight",$C$52&gt;0, Results!$E$4="Tissue",OR($B$52="g",$B$52="mg")),((Y40*Y$51)/(Y$52)),IF(AND(Results!$E$5="Volume",$C$54&gt;0,Results!$E$4="Fluid"),((Y40*Y$51)/(Y$54)),IF(AND(Results!$E$4="Cells",Results!$E$5="Million",$B$52="million"),((Y40*Y$51)/(Y$52)),"0")))))</f>
        <v>0</v>
      </c>
      <c r="Z93" s="20" t="str">
        <f>IF(Z40=0,"0",IF(AND(Results!$E$5="Protein",$C$53&gt;0,OR(Results!$E$4="Tissue",Results!$E$4="Cells")),((Z40*Z$51)/(Z$53)),IF(AND(Results!$E$5="Weight",$C$52&gt;0, Results!$E$4="Tissue",OR($B$52="g",$B$52="mg")),((Z40*Z$51)/(Z$52)),IF(AND(Results!$E$5="Volume",$C$54&gt;0,Results!$E$4="Fluid"),((Z40*Z$51)/(Z$54)),IF(AND(Results!$E$4="Cells",Results!$E$5="Million",$B$52="million"),((Z40*Z$51)/(Z$52)),"0")))))</f>
        <v>0</v>
      </c>
      <c r="AA93" s="20" t="str">
        <f>IF(AA40=0,"0",IF(AND(Results!$E$5="Protein",$C$53&gt;0,OR(Results!$E$4="Tissue",Results!$E$4="Cells")),((AA40*AA$51)/(AA$53)),IF(AND(Results!$E$5="Weight",$C$52&gt;0, Results!$E$4="Tissue",OR($B$52="g",$B$52="mg")),((AA40*AA$51)/(AA$52)),IF(AND(Results!$E$5="Volume",$C$54&gt;0,Results!$E$4="Fluid"),((AA40*AA$51)/(AA$54)),IF(AND(Results!$E$4="Cells",Results!$E$5="Million",$B$52="million"),((AA40*AA$51)/(AA$52)),"0")))))</f>
        <v>0</v>
      </c>
      <c r="AB93" s="20" t="str">
        <f>IF(AB40=0,"0",IF(AND(Results!$E$5="Protein",$C$53&gt;0,OR(Results!$E$4="Tissue",Results!$E$4="Cells")),((AB40*AB$51)/(AB$53)),IF(AND(Results!$E$5="Weight",$C$52&gt;0, Results!$E$4="Tissue",OR($B$52="g",$B$52="mg")),((AB40*AB$51)/(AB$52)),IF(AND(Results!$E$5="Volume",$C$54&gt;0,Results!$E$4="Fluid"),((AB40*AB$51)/(AB$54)),IF(AND(Results!$E$4="Cells",Results!$E$5="Million",$B$52="million"),((AB40*AB$51)/(AB$52)),"0")))))</f>
        <v>0</v>
      </c>
      <c r="AC93" s="20" t="str">
        <f>IF(AC40=0,"0",IF(AND(Results!$E$5="Protein",$C$53&gt;0,OR(Results!$E$4="Tissue",Results!$E$4="Cells")),((AC40*AC$51)/(AC$53)),IF(AND(Results!$E$5="Weight",$C$52&gt;0, Results!$E$4="Tissue",OR($B$52="g",$B$52="mg")),((AC40*AC$51)/(AC$52)),IF(AND(Results!$E$5="Volume",$C$54&gt;0,Results!$E$4="Fluid"),((AC40*AC$51)/(AC$54)),IF(AND(Results!$E$4="Cells",Results!$E$5="Million",$B$52="million"),((AC40*AC$51)/(AC$52)),"0")))))</f>
        <v>0</v>
      </c>
      <c r="AD93" s="20" t="str">
        <f>IF(AD40=0,"0",IF(AND(Results!$E$5="Protein",$C$53&gt;0,OR(Results!$E$4="Tissue",Results!$E$4="Cells")),((AD40*AD$51)/(AD$53)),IF(AND(Results!$E$5="Weight",$C$52&gt;0, Results!$E$4="Tissue",OR($B$52="g",$B$52="mg")),((AD40*AD$51)/(AD$52)),IF(AND(Results!$E$5="Volume",$C$54&gt;0,Results!$E$4="Fluid"),((AD40*AD$51)/(AD$54)),IF(AND(Results!$E$4="Cells",Results!$E$5="Million",$B$52="million"),((AD40*AD$51)/(AD$52)),"0")))))</f>
        <v>0</v>
      </c>
      <c r="AE93" s="20" t="str">
        <f>IF(AE40=0,"0",IF(AND(Results!$E$5="Protein",$C$53&gt;0,OR(Results!$E$4="Tissue",Results!$E$4="Cells")),((AE40*AE$51)/(AE$53)),IF(AND(Results!$E$5="Weight",$C$52&gt;0, Results!$E$4="Tissue",OR($B$52="g",$B$52="mg")),((AE40*AE$51)/(AE$52)),IF(AND(Results!$E$5="Volume",$C$54&gt;0,Results!$E$4="Fluid"),((AE40*AE$51)/(AE$54)),IF(AND(Results!$E$4="Cells",Results!$E$5="Million",$B$52="million"),((AE40*AE$51)/(AE$52)),"0")))))</f>
        <v>0</v>
      </c>
      <c r="AF93" s="20" t="str">
        <f>IF(AF40=0,"0",IF(AND(Results!$E$5="Protein",$C$53&gt;0,OR(Results!$E$4="Tissue",Results!$E$4="Cells")),((AF40*AF$51)/(AF$53)),IF(AND(Results!$E$5="Weight",$C$52&gt;0, Results!$E$4="Tissue",OR($B$52="g",$B$52="mg")),((AF40*AF$51)/(AF$52)),IF(AND(Results!$E$5="Volume",$C$54&gt;0,Results!$E$4="Fluid"),((AF40*AF$51)/(AF$54)),IF(AND(Results!$E$4="Cells",Results!$E$5="Million",$B$52="million"),((AF40*AF$51)/(AF$52)),"0")))))</f>
        <v>0</v>
      </c>
      <c r="AG93" s="20" t="str">
        <f>IF(AG40=0,"0",IF(AND(Results!$E$5="Protein",$C$53&gt;0,OR(Results!$E$4="Tissue",Results!$E$4="Cells")),((AG40*AG$51)/(AG$53)),IF(AND(Results!$E$5="Weight",$C$52&gt;0, Results!$E$4="Tissue",OR($B$52="g",$B$52="mg")),((AG40*AG$51)/(AG$52)),IF(AND(Results!$E$5="Volume",$C$54&gt;0,Results!$E$4="Fluid"),((AG40*AG$51)/(AG$54)),IF(AND(Results!$E$4="Cells",Results!$E$5="Million",$B$52="million"),((AG40*AG$51)/(AG$52)),"0")))))</f>
        <v>0</v>
      </c>
      <c r="AH93" s="20" t="str">
        <f>IF(AH40=0,"0",IF(AND(Results!$E$5="Protein",$C$53&gt;0,OR(Results!$E$4="Tissue",Results!$E$4="Cells")),((AH40*AH$51)/(AH$53)),IF(AND(Results!$E$5="Weight",$C$52&gt;0, Results!$E$4="Tissue",OR($B$52="g",$B$52="mg")),((AH40*AH$51)/(AH$52)),IF(AND(Results!$E$5="Volume",$C$54&gt;0,Results!$E$4="Fluid"),((AH40*AH$51)/(AH$54)),IF(AND(Results!$E$4="Cells",Results!$E$5="Million",$B$52="million"),((AH40*AH$51)/(AH$52)),"0")))))</f>
        <v>0</v>
      </c>
      <c r="AI93" s="20" t="str">
        <f>IF(AI40=0,"0",IF(AND(Results!$E$5="Protein",$C$53&gt;0,OR(Results!$E$4="Tissue",Results!$E$4="Cells")),((AI40*AI$51)/(AI$53)),IF(AND(Results!$E$5="Weight",$C$52&gt;0, Results!$E$4="Tissue",OR($B$52="g",$B$52="mg")),((AI40*AI$51)/(AI$52)),IF(AND(Results!$E$5="Volume",$C$54&gt;0,Results!$E$4="Fluid"),((AI40*AI$51)/(AI$54)),IF(AND(Results!$E$4="Cells",Results!$E$5="Million",$B$52="million"),((AI40*AI$51)/(AI$52)),"0")))))</f>
        <v>0</v>
      </c>
      <c r="AJ93" s="20" t="str">
        <f>IF(AJ40=0,"0",IF(AND(Results!$E$5="Protein",$C$53&gt;0,OR(Results!$E$4="Tissue",Results!$E$4="Cells")),((AJ40*AJ$51)/(AJ$53)),IF(AND(Results!$E$5="Weight",$C$52&gt;0, Results!$E$4="Tissue",OR($B$52="g",$B$52="mg")),((AJ40*AJ$51)/(AJ$52)),IF(AND(Results!$E$5="Volume",$C$54&gt;0,Results!$E$4="Fluid"),((AJ40*AJ$51)/(AJ$54)),IF(AND(Results!$E$4="Cells",Results!$E$5="Million",$B$52="million"),((AJ40*AJ$51)/(AJ$52)),"0")))))</f>
        <v>0</v>
      </c>
      <c r="AK93" s="20" t="str">
        <f>IF(AK40=0,"0",IF(AND(Results!$E$5="Protein",$C$53&gt;0,OR(Results!$E$4="Tissue",Results!$E$4="Cells")),((AK40*AK$51)/(AK$53)),IF(AND(Results!$E$5="Weight",$C$52&gt;0, Results!$E$4="Tissue",OR($B$52="g",$B$52="mg")),((AK40*AK$51)/(AK$52)),IF(AND(Results!$E$5="Volume",$C$54&gt;0,Results!$E$4="Fluid"),((AK40*AK$51)/(AK$54)),IF(AND(Results!$E$4="Cells",Results!$E$5="Million",$B$52="million"),((AK40*AK$51)/(AK$52)),"0")))))</f>
        <v>0</v>
      </c>
      <c r="AL93" s="20" t="str">
        <f>IF(AL40=0,"0",IF(AND(Results!$E$5="Protein",$C$53&gt;0,OR(Results!$E$4="Tissue",Results!$E$4="Cells")),((AL40*AL$51)/(AL$53)),IF(AND(Results!$E$5="Weight",$C$52&gt;0, Results!$E$4="Tissue",OR($B$52="g",$B$52="mg")),((AL40*AL$51)/(AL$52)),IF(AND(Results!$E$5="Volume",$C$54&gt;0,Results!$E$4="Fluid"),((AL40*AL$51)/(AL$54)),IF(AND(Results!$E$4="Cells",Results!$E$5="Million",$B$52="million"),((AL40*AL$51)/(AL$52)),"0")))))</f>
        <v>0</v>
      </c>
      <c r="AM93" s="20" t="str">
        <f>IF(AM40=0,"0",IF(AND(Results!$E$5="Protein",$C$53&gt;0,OR(Results!$E$4="Tissue",Results!$E$4="Cells")),((AM40*AM$51)/(AM$53)),IF(AND(Results!$E$5="Weight",$C$52&gt;0, Results!$E$4="Tissue",OR($B$52="g",$B$52="mg")),((AM40*AM$51)/(AM$52)),IF(AND(Results!$E$5="Volume",$C$54&gt;0,Results!$E$4="Fluid"),((AM40*AM$51)/(AM$54)),IF(AND(Results!$E$4="Cells",Results!$E$5="Million",$B$52="million"),((AM40*AM$51)/(AM$52)),"0")))))</f>
        <v>0</v>
      </c>
      <c r="AN93" s="20" t="str">
        <f>IF(AN40=0,"0",IF(AND(Results!$E$5="Protein",$C$53&gt;0,OR(Results!$E$4="Tissue",Results!$E$4="Cells")),((AN40*AN$51)/(AN$53)),IF(AND(Results!$E$5="Weight",$C$52&gt;0, Results!$E$4="Tissue",OR($B$52="g",$B$52="mg")),((AN40*AN$51)/(AN$52)),IF(AND(Results!$E$5="Volume",$C$54&gt;0,Results!$E$4="Fluid"),((AN40*AN$51)/(AN$54)),IF(AND(Results!$E$4="Cells",Results!$E$5="Million",$B$52="million"),((AN40*AN$51)/(AN$52)),"0")))))</f>
        <v>0</v>
      </c>
      <c r="AO93" s="20" t="str">
        <f>IF(AO40=0,"0",IF(AND(Results!$E$5="Protein",$C$53&gt;0,OR(Results!$E$4="Tissue",Results!$E$4="Cells")),((AO40*AO$51)/(AO$53)),IF(AND(Results!$E$5="Weight",$C$52&gt;0, Results!$E$4="Tissue",OR($B$52="g",$B$52="mg")),((AO40*AO$51)/(AO$52)),IF(AND(Results!$E$5="Volume",$C$54&gt;0,Results!$E$4="Fluid"),((AO40*AO$51)/(AO$54)),IF(AND(Results!$E$4="Cells",Results!$E$5="Million",$B$52="million"),((AO40*AO$51)/(AO$52)),"0")))))</f>
        <v>0</v>
      </c>
      <c r="AP93" s="20" t="str">
        <f>IF(AP40=0,"0",IF(AND(Results!$E$5="Protein",$C$53&gt;0,OR(Results!$E$4="Tissue",Results!$E$4="Cells")),((AP40*AP$51)/(AP$53)),IF(AND(Results!$E$5="Weight",$C$52&gt;0, Results!$E$4="Tissue",OR($B$52="g",$B$52="mg")),((AP40*AP$51)/(AP$52)),IF(AND(Results!$E$5="Volume",$C$54&gt;0,Results!$E$4="Fluid"),((AP40*AP$51)/(AP$54)),IF(AND(Results!$E$4="Cells",Results!$E$5="Million",$B$52="million"),((AP40*AP$51)/(AP$52)),"0")))))</f>
        <v>0</v>
      </c>
      <c r="AQ93" s="20" t="str">
        <f>IF(AQ40=0,"0",IF(AND(Results!$E$5="Protein",$C$53&gt;0,OR(Results!$E$4="Tissue",Results!$E$4="Cells")),((AQ40*AQ$51)/(AQ$53)),IF(AND(Results!$E$5="Weight",$C$52&gt;0, Results!$E$4="Tissue",OR($B$52="g",$B$52="mg")),((AQ40*AQ$51)/(AQ$52)),IF(AND(Results!$E$5="Volume",$C$54&gt;0,Results!$E$4="Fluid"),((AQ40*AQ$51)/(AQ$54)),IF(AND(Results!$E$4="Cells",Results!$E$5="Million",$B$52="million"),((AQ40*AQ$51)/(AQ$52)),"0")))))</f>
        <v>0</v>
      </c>
      <c r="AR93" s="20" t="str">
        <f>IF(AR40=0,"0",IF(AND(Results!$E$5="Protein",$C$53&gt;0,OR(Results!$E$4="Tissue",Results!$E$4="Cells")),((AR40*AR$51)/(AR$53)),IF(AND(Results!$E$5="Weight",$C$52&gt;0, Results!$E$4="Tissue",OR($B$52="g",$B$52="mg")),((AR40*AR$51)/(AR$52)),IF(AND(Results!$E$5="Volume",$C$54&gt;0,Results!$E$4="Fluid"),((AR40*AR$51)/(AR$54)),IF(AND(Results!$E$4="Cells",Results!$E$5="Million",$B$52="million"),((AR40*AR$51)/(AR$52)),"0")))))</f>
        <v>0</v>
      </c>
      <c r="AS93" s="20" t="str">
        <f>IF(AS40=0,"0",IF(AND(Results!$E$5="Protein",$C$53&gt;0,OR(Results!$E$4="Tissue",Results!$E$4="Cells")),((AS40*AS$51)/(AS$53)),IF(AND(Results!$E$5="Weight",$C$52&gt;0, Results!$E$4="Tissue",OR($B$52="g",$B$52="mg")),((AS40*AS$51)/(AS$52)),IF(AND(Results!$E$5="Volume",$C$54&gt;0,Results!$E$4="Fluid"),((AS40*AS$51)/(AS$54)),IF(AND(Results!$E$4="Cells",Results!$E$5="Million",$B$52="million"),((AS40*AS$51)/(AS$52)),"0")))))</f>
        <v>0</v>
      </c>
      <c r="AT93" s="20" t="str">
        <f>IF(AT40=0,"0",IF(AND(Results!$E$5="Protein",$C$53&gt;0,OR(Results!$E$4="Tissue",Results!$E$4="Cells")),((AT40*AT$51)/(AT$53)),IF(AND(Results!$E$5="Weight",$C$52&gt;0, Results!$E$4="Tissue",OR($B$52="g",$B$52="mg")),((AT40*AT$51)/(AT$52)),IF(AND(Results!$E$5="Volume",$C$54&gt;0,Results!$E$4="Fluid"),((AT40*AT$51)/(AT$54)),IF(AND(Results!$E$4="Cells",Results!$E$5="Million",$B$52="million"),((AT40*AT$51)/(AT$52)),"0")))))</f>
        <v>0</v>
      </c>
      <c r="AU93" s="20" t="str">
        <f>IF(AU40=0,"0",IF(AND(Results!$E$5="Protein",$C$53&gt;0,OR(Results!$E$4="Tissue",Results!$E$4="Cells")),((AU40*AU$51)/(AU$53)),IF(AND(Results!$E$5="Weight",$C$52&gt;0, Results!$E$4="Tissue",OR($B$52="g",$B$52="mg")),((AU40*AU$51)/(AU$52)),IF(AND(Results!$E$5="Volume",$C$54&gt;0,Results!$E$4="Fluid"),((AU40*AU$51)/(AU$54)),IF(AND(Results!$E$4="Cells",Results!$E$5="Million",$B$52="million"),((AU40*AU$51)/(AU$52)),"0")))))</f>
        <v>0</v>
      </c>
      <c r="AV93" s="20" t="str">
        <f>IF(AV40=0,"0",IF(AND(Results!$E$5="Protein",$C$53&gt;0,OR(Results!$E$4="Tissue",Results!$E$4="Cells")),((AV40*AV$51)/(AV$53)),IF(AND(Results!$E$5="Weight",$C$52&gt;0, Results!$E$4="Tissue",OR($B$52="g",$B$52="mg")),((AV40*AV$51)/(AV$52)),IF(AND(Results!$E$5="Volume",$C$54&gt;0,Results!$E$4="Fluid"),((AV40*AV$51)/(AV$54)),IF(AND(Results!$E$4="Cells",Results!$E$5="Million",$B$52="million"),((AV40*AV$51)/(AV$52)),"0")))))</f>
        <v>0</v>
      </c>
      <c r="AW93" s="20" t="str">
        <f>IF(AW40=0,"0",IF(AND(Results!$E$5="Protein",$C$53&gt;0,OR(Results!$E$4="Tissue",Results!$E$4="Cells")),((AW40*AW$51)/(AW$53)),IF(AND(Results!$E$5="Weight",$C$52&gt;0, Results!$E$4="Tissue",OR($B$52="g",$B$52="mg")),((AW40*AW$51)/(AW$52)),IF(AND(Results!$E$5="Volume",$C$54&gt;0,Results!$E$4="Fluid"),((AW40*AW$51)/(AW$54)),IF(AND(Results!$E$4="Cells",Results!$E$5="Million",$B$52="million"),((AW40*AW$51)/(AW$52)),"0")))))</f>
        <v>0</v>
      </c>
      <c r="AX93" s="20" t="str">
        <f>IF(AX40=0,"0",IF(AND(Results!$E$5="Protein",$C$53&gt;0,OR(Results!$E$4="Tissue",Results!$E$4="Cells")),((AX40*AX$51)/(AX$53)),IF(AND(Results!$E$5="Weight",$C$52&gt;0, Results!$E$4="Tissue",OR($B$52="g",$B$52="mg")),((AX40*AX$51)/(AX$52)),IF(AND(Results!$E$5="Volume",$C$54&gt;0,Results!$E$4="Fluid"),((AX40*AX$51)/(AX$54)),IF(AND(Results!$E$4="Cells",Results!$E$5="Million",$B$52="million"),((AX40*AX$51)/(AX$52)),"0")))))</f>
        <v>0</v>
      </c>
      <c r="AY93" s="20" t="str">
        <f>IF(AY40=0,"0",IF(AND(Results!$E$5="Protein",$C$53&gt;0,OR(Results!$E$4="Tissue",Results!$E$4="Cells")),((AY40*AY$51)/(AY$53)),IF(AND(Results!$E$5="Weight",$C$52&gt;0, Results!$E$4="Tissue",OR($B$52="g",$B$52="mg")),((AY40*AY$51)/(AY$52)),IF(AND(Results!$E$5="Volume",$C$54&gt;0,Results!$E$4="Fluid"),((AY40*AY$51)/(AY$54)),IF(AND(Results!$E$4="Cells",Results!$E$5="Million",$B$52="million"),((AY40*AY$51)/(AY$52)),"0")))))</f>
        <v>0</v>
      </c>
      <c r="AZ93" s="20" t="str">
        <f>IF(AZ40=0,"0",IF(AND(Results!$E$5="Protein",$C$53&gt;0,OR(Results!$E$4="Tissue",Results!$E$4="Cells")),((AZ40*AZ$51)/(AZ$53)),IF(AND(Results!$E$5="Weight",$C$52&gt;0, Results!$E$4="Tissue",OR($B$52="g",$B$52="mg")),((AZ40*AZ$51)/(AZ$52)),IF(AND(Results!$E$5="Volume",$C$54&gt;0,Results!$E$4="Fluid"),((AZ40*AZ$51)/(AZ$54)),IF(AND(Results!$E$4="Cells",Results!$E$5="Million",$B$52="million"),((AZ40*AZ$51)/(AZ$52)),"0")))))</f>
        <v>0</v>
      </c>
      <c r="BA93" s="20" t="str">
        <f>IF(BA40=0,"0",IF(AND(Results!$E$5="Protein",$C$53&gt;0,OR(Results!$E$4="Tissue",Results!$E$4="Cells")),((BA40*BA$51)/(BA$53)),IF(AND(Results!$E$5="Weight",$C$52&gt;0, Results!$E$4="Tissue",OR($B$52="g",$B$52="mg")),((BA40*BA$51)/(BA$52)),IF(AND(Results!$E$5="Volume",$C$54&gt;0,Results!$E$4="Fluid"),((BA40*BA$51)/(BA$54)),IF(AND(Results!$E$4="Cells",Results!$E$5="Million",$B$52="million"),((BA40*BA$51)/(BA$52)),"0")))))</f>
        <v>0</v>
      </c>
      <c r="BB93" s="20" t="str">
        <f>IF(BB40=0,"0",IF(AND(Results!$E$5="Protein",$C$53&gt;0,OR(Results!$E$4="Tissue",Results!$E$4="Cells")),((BB40*BB$51)/(BB$53)),IF(AND(Results!$E$5="Weight",$C$52&gt;0, Results!$E$4="Tissue",OR($B$52="g",$B$52="mg")),((BB40*BB$51)/(BB$52)),IF(AND(Results!$E$5="Volume",$C$54&gt;0,Results!$E$4="Fluid"),((BB40*BB$51)/(BB$54)),IF(AND(Results!$E$4="Cells",Results!$E$5="Million",$B$52="million"),((BB40*BB$51)/(BB$52)),"0")))))</f>
        <v>0</v>
      </c>
      <c r="BC93" s="20" t="str">
        <f>IF(BC40=0,"0",IF(AND(Results!$E$5="Protein",$C$53&gt;0,OR(Results!$E$4="Tissue",Results!$E$4="Cells")),((BC40*BC$51)/(BC$53)),IF(AND(Results!$E$5="Weight",$C$52&gt;0, Results!$E$4="Tissue",OR($B$52="g",$B$52="mg")),((BC40*BC$51)/(BC$52)),IF(AND(Results!$E$5="Volume",$C$54&gt;0,Results!$E$4="Fluid"),((BC40*BC$51)/(BC$54)),IF(AND(Results!$E$4="Cells",Results!$E$5="Million",$B$52="million"),((BC40*BC$51)/(BC$52)),"0")))))</f>
        <v>0</v>
      </c>
      <c r="BD93" s="20" t="str">
        <f>IF(BD40=0,"0",IF(AND(Results!$E$5="Protein",$C$53&gt;0,OR(Results!$E$4="Tissue",Results!$E$4="Cells")),((BD40*BD$51)/(BD$53)),IF(AND(Results!$E$5="Weight",$C$52&gt;0, Results!$E$4="Tissue",OR($B$52="g",$B$52="mg")),((BD40*BD$51)/(BD$52)),IF(AND(Results!$E$5="Volume",$C$54&gt;0,Results!$E$4="Fluid"),((BD40*BD$51)/(BD$54)),IF(AND(Results!$E$4="Cells",Results!$E$5="Million",$B$52="million"),((BD40*BD$51)/(BD$52)),"0")))))</f>
        <v>0</v>
      </c>
      <c r="BE93" s="20" t="str">
        <f>IF(BE40=0,"0",IF(AND(Results!$E$5="Protein",$C$53&gt;0,OR(Results!$E$4="Tissue",Results!$E$4="Cells")),((BE40*BE$51)/(BE$53)),IF(AND(Results!$E$5="Weight",$C$52&gt;0, Results!$E$4="Tissue",OR($B$52="g",$B$52="mg")),((BE40*BE$51)/(BE$52)),IF(AND(Results!$E$5="Volume",$C$54&gt;0,Results!$E$4="Fluid"),((BE40*BE$51)/(BE$54)),IF(AND(Results!$E$4="Cells",Results!$E$5="Million",$B$52="million"),((BE40*BE$51)/(BE$52)),"0")))))</f>
        <v>0</v>
      </c>
      <c r="BF93" s="20" t="str">
        <f>IF(BF40=0,"0",IF(AND(Results!$E$5="Protein",$C$53&gt;0,OR(Results!$E$4="Tissue",Results!$E$4="Cells")),((BF40*BF$51)/(BF$53)),IF(AND(Results!$E$5="Weight",$C$52&gt;0, Results!$E$4="Tissue",OR($B$52="g",$B$52="mg")),((BF40*BF$51)/(BF$52)),IF(AND(Results!$E$5="Volume",$C$54&gt;0,Results!$E$4="Fluid"),((BF40*BF$51)/(BF$54)),IF(AND(Results!$E$4="Cells",Results!$E$5="Million",$B$52="million"),((BF40*BF$51)/(BF$52)),"0")))))</f>
        <v>0</v>
      </c>
      <c r="BG93" s="20" t="str">
        <f>IF(BG40=0,"0",IF(AND(Results!$E$5="Protein",$C$53&gt;0,OR(Results!$E$4="Tissue",Results!$E$4="Cells")),((BG40*BG$51)/(BG$53)),IF(AND(Results!$E$5="Weight",$C$52&gt;0, Results!$E$4="Tissue",OR($B$52="g",$B$52="mg")),((BG40*BG$51)/(BG$52)),IF(AND(Results!$E$5="Volume",$C$54&gt;0,Results!$E$4="Fluid"),((BG40*BG$51)/(BG$54)),IF(AND(Results!$E$4="Cells",Results!$E$5="Million",$B$52="million"),((BG40*BG$51)/(BG$52)),"0")))))</f>
        <v>0</v>
      </c>
      <c r="BH93" s="20" t="str">
        <f>IF(BH40=0,"0",IF(AND(Results!$E$5="Protein",$C$53&gt;0,OR(Results!$E$4="Tissue",Results!$E$4="Cells")),((BH40*BH$51)/(BH$53)),IF(AND(Results!$E$5="Weight",$C$52&gt;0, Results!$E$4="Tissue",OR($B$52="g",$B$52="mg")),((BH40*BH$51)/(BH$52)),IF(AND(Results!$E$5="Volume",$C$54&gt;0,Results!$E$4="Fluid"),((BH40*BH$51)/(BH$54)),IF(AND(Results!$E$4="Cells",Results!$E$5="Million",$B$52="million"),((BH40*BH$51)/(BH$52)),"0")))))</f>
        <v>0</v>
      </c>
      <c r="BI93" s="20" t="str">
        <f>IF(BI40=0,"0",IF(AND(Results!$E$5="Protein",$C$53&gt;0,OR(Results!$E$4="Tissue",Results!$E$4="Cells")),((BI40*BI$51)/(BI$53)),IF(AND(Results!$E$5="Weight",$C$52&gt;0, Results!$E$4="Tissue",OR($B$52="g",$B$52="mg")),((BI40*BI$51)/(BI$52)),IF(AND(Results!$E$5="Volume",$C$54&gt;0,Results!$E$4="Fluid"),((BI40*BI$51)/(BI$54)),IF(AND(Results!$E$4="Cells",Results!$E$5="Million",$B$52="million"),((BI40*BI$51)/(BI$52)),"0")))))</f>
        <v>0</v>
      </c>
      <c r="BJ93" s="20" t="str">
        <f>IF(BJ40=0,"0",IF(AND(Results!$E$5="Protein",$C$53&gt;0,OR(Results!$E$4="Tissue",Results!$E$4="Cells")),((BJ40*BJ$51)/(BJ$53)),IF(AND(Results!$E$5="Weight",$C$52&gt;0, Results!$E$4="Tissue",OR($B$52="g",$B$52="mg")),((BJ40*BJ$51)/(BJ$52)),IF(AND(Results!$E$5="Volume",$C$54&gt;0,Results!$E$4="Fluid"),((BJ40*BJ$51)/(BJ$54)),IF(AND(Results!$E$4="Cells",Results!$E$5="Million",$B$52="million"),((BJ40*BJ$51)/(BJ$52)),"0")))))</f>
        <v>0</v>
      </c>
      <c r="BK93" s="20" t="str">
        <f>IF(BK40=0,"0",IF(AND(Results!$E$5="Protein",$C$53&gt;0,OR(Results!$E$4="Tissue",Results!$E$4="Cells")),((BK40*BK$51)/(BK$53)),IF(AND(Results!$E$5="Weight",$C$52&gt;0, Results!$E$4="Tissue",OR($B$52="g",$B$52="mg")),((BK40*BK$51)/(BK$52)),IF(AND(Results!$E$5="Volume",$C$54&gt;0,Results!$E$4="Fluid"),((BK40*BK$51)/(BK$54)),IF(AND(Results!$E$4="Cells",Results!$E$5="Million",$B$52="million"),((BK40*BK$51)/(BK$52)),"0")))))</f>
        <v>0</v>
      </c>
      <c r="BL93" s="20" t="str">
        <f>IF(BL40=0,"0",IF(AND(Results!$E$5="Protein",$C$53&gt;0,OR(Results!$E$4="Tissue",Results!$E$4="Cells")),((BL40*BL$51)/(BL$53)),IF(AND(Results!$E$5="Weight",$C$52&gt;0, Results!$E$4="Tissue",OR($B$52="g",$B$52="mg")),((BL40*BL$51)/(BL$52)),IF(AND(Results!$E$5="Volume",$C$54&gt;0,Results!$E$4="Fluid"),((BL40*BL$51)/(BL$54)),IF(AND(Results!$E$4="Cells",Results!$E$5="Million",$B$52="million"),((BL40*BL$51)/(BL$52)),"0")))))</f>
        <v>0</v>
      </c>
      <c r="BM93" s="20" t="str">
        <f>IF(BM40=0,"0",IF(AND(Results!$E$5="Protein",$C$53&gt;0,OR(Results!$E$4="Tissue",Results!$E$4="Cells")),((BM40*BM$51)/(BM$53)),IF(AND(Results!$E$5="Weight",$C$52&gt;0, Results!$E$4="Tissue",OR($B$52="g",$B$52="mg")),((BM40*BM$51)/(BM$52)),IF(AND(Results!$E$5="Volume",$C$54&gt;0,Results!$E$4="Fluid"),((BM40*BM$51)/(BM$54)),IF(AND(Results!$E$4="Cells",Results!$E$5="Million",$B$52="million"),((BM40*BM$51)/(BM$52)),"0")))))</f>
        <v>0</v>
      </c>
      <c r="BN93" s="20" t="str">
        <f>IF(BN40=0,"0",IF(AND(Results!$E$5="Protein",$C$53&gt;0,OR(Results!$E$4="Tissue",Results!$E$4="Cells")),((BN40*BN$51)/(BN$53)),IF(AND(Results!$E$5="Weight",$C$52&gt;0, Results!$E$4="Tissue",OR($B$52="g",$B$52="mg")),((BN40*BN$51)/(BN$52)),IF(AND(Results!$E$5="Volume",$C$54&gt;0,Results!$E$4="Fluid"),((BN40*BN$51)/(BN$54)),IF(AND(Results!$E$4="Cells",Results!$E$5="Million",$B$52="million"),((BN40*BN$51)/(BN$52)),"0")))))</f>
        <v>0</v>
      </c>
      <c r="BO93" s="20" t="str">
        <f>IF(BO40=0,"0",IF(AND(Results!$E$5="Protein",$C$53&gt;0,OR(Results!$E$4="Tissue",Results!$E$4="Cells")),((BO40*BO$51)/(BO$53)),IF(AND(Results!$E$5="Weight",$C$52&gt;0, Results!$E$4="Tissue",OR($B$52="g",$B$52="mg")),((BO40*BO$51)/(BO$52)),IF(AND(Results!$E$5="Volume",$C$54&gt;0,Results!$E$4="Fluid"),((BO40*BO$51)/(BO$54)),IF(AND(Results!$E$4="Cells",Results!$E$5="Million",$B$52="million"),((BO40*BO$51)/(BO$52)),"0")))))</f>
        <v>0</v>
      </c>
      <c r="BP93" s="20" t="str">
        <f>IF(BP40=0,"0",IF(AND(Results!$E$5="Protein",$C$53&gt;0,OR(Results!$E$4="Tissue",Results!$E$4="Cells")),((BP40*BP$51)/(BP$53)),IF(AND(Results!$E$5="Weight",$C$52&gt;0, Results!$E$4="Tissue",OR($B$52="g",$B$52="mg")),((BP40*BP$51)/(BP$52)),IF(AND(Results!$E$5="Volume",$C$54&gt;0,Results!$E$4="Fluid"),((BP40*BP$51)/(BP$54)),IF(AND(Results!$E$4="Cells",Results!$E$5="Million",$B$52="million"),((BP40*BP$51)/(BP$52)),"0")))))</f>
        <v>0</v>
      </c>
      <c r="BQ93" s="20" t="str">
        <f>IF(BQ40=0,"0",IF(AND(Results!$E$5="Protein",$C$53&gt;0,OR(Results!$E$4="Tissue",Results!$E$4="Cells")),((BQ40*BQ$51)/(BQ$53)),IF(AND(Results!$E$5="Weight",$C$52&gt;0, Results!$E$4="Tissue",OR($B$52="g",$B$52="mg")),((BQ40*BQ$51)/(BQ$52)),IF(AND(Results!$E$5="Volume",$C$54&gt;0,Results!$E$4="Fluid"),((BQ40*BQ$51)/(BQ$54)),IF(AND(Results!$E$4="Cells",Results!$E$5="Million",$B$52="million"),((BQ40*BQ$51)/(BQ$52)),"0")))))</f>
        <v>0</v>
      </c>
      <c r="BR93" s="20" t="str">
        <f>IF(BR40=0,"0",IF(AND(Results!$E$5="Protein",$C$53&gt;0,OR(Results!$E$4="Tissue",Results!$E$4="Cells")),((BR40*BR$51)/(BR$53)),IF(AND(Results!$E$5="Weight",$C$52&gt;0, Results!$E$4="Tissue",OR($B$52="g",$B$52="mg")),((BR40*BR$51)/(BR$52)),IF(AND(Results!$E$5="Volume",$C$54&gt;0,Results!$E$4="Fluid"),((BR40*BR$51)/(BR$54)),IF(AND(Results!$E$4="Cells",Results!$E$5="Million",$B$52="million"),((BR40*BR$51)/(BR$52)),"0")))))</f>
        <v>0</v>
      </c>
      <c r="BS93" s="20" t="str">
        <f>IF(BS40=0,"0",IF(AND(Results!$E$5="Protein",$C$53&gt;0,OR(Results!$E$4="Tissue",Results!$E$4="Cells")),((BS40*BS$51)/(BS$53)),IF(AND(Results!$E$5="Weight",$C$52&gt;0, Results!$E$4="Tissue",OR($B$52="g",$B$52="mg")),((BS40*BS$51)/(BS$52)),IF(AND(Results!$E$5="Volume",$C$54&gt;0,Results!$E$4="Fluid"),((BS40*BS$51)/(BS$54)),IF(AND(Results!$E$4="Cells",Results!$E$5="Million",$B$52="million"),((BS40*BS$51)/(BS$52)),"0")))))</f>
        <v>0</v>
      </c>
      <c r="BT93" s="20" t="str">
        <f>IF(BT40=0,"0",IF(AND(Results!$E$5="Protein",$C$53&gt;0,OR(Results!$E$4="Tissue",Results!$E$4="Cells")),((BT40*BT$51)/(BT$53)),IF(AND(Results!$E$5="Weight",$C$52&gt;0, Results!$E$4="Tissue",OR($B$52="g",$B$52="mg")),((BT40*BT$51)/(BT$52)),IF(AND(Results!$E$5="Volume",$C$54&gt;0,Results!$E$4="Fluid"),((BT40*BT$51)/(BT$54)),IF(AND(Results!$E$4="Cells",Results!$E$5="Million",$B$52="million"),((BT40*BT$51)/(BT$52)),"0")))))</f>
        <v>0</v>
      </c>
      <c r="BU93" s="20" t="str">
        <f>IF(BU40=0,"0",IF(AND(Results!$E$5="Protein",$C$53&gt;0,OR(Results!$E$4="Tissue",Results!$E$4="Cells")),((BU40*BU$51)/(BU$53)),IF(AND(Results!$E$5="Weight",$C$52&gt;0, Results!$E$4="Tissue",OR($B$52="g",$B$52="mg")),((BU40*BU$51)/(BU$52)),IF(AND(Results!$E$5="Volume",$C$54&gt;0,Results!$E$4="Fluid"),((BU40*BU$51)/(BU$54)),IF(AND(Results!$E$4="Cells",Results!$E$5="Million",$B$52="million"),((BU40*BU$51)/(BU$52)),"0")))))</f>
        <v>0</v>
      </c>
      <c r="BV93" s="20" t="str">
        <f>IF(BV40=0,"0",IF(AND(Results!$E$5="Protein",$C$53&gt;0,OR(Results!$E$4="Tissue",Results!$E$4="Cells")),((BV40*BV$51)/(BV$53)),IF(AND(Results!$E$5="Weight",$C$52&gt;0, Results!$E$4="Tissue",OR($B$52="g",$B$52="mg")),((BV40*BV$51)/(BV$52)),IF(AND(Results!$E$5="Volume",$C$54&gt;0,Results!$E$4="Fluid"),((BV40*BV$51)/(BV$54)),IF(AND(Results!$E$4="Cells",Results!$E$5="Million",$B$52="million"),((BV40*BV$51)/(BV$52)),"0")))))</f>
        <v>0</v>
      </c>
      <c r="BW93" s="20" t="str">
        <f>IF(BW40=0,"0",IF(AND(Results!$E$5="Protein",$C$53&gt;0,OR(Results!$E$4="Tissue",Results!$E$4="Cells")),((BW40*BW$51)/(BW$53)),IF(AND(Results!$E$5="Weight",$C$52&gt;0, Results!$E$4="Tissue",OR($B$52="g",$B$52="mg")),((BW40*BW$51)/(BW$52)),IF(AND(Results!$E$5="Volume",$C$54&gt;0,Results!$E$4="Fluid"),((BW40*BW$51)/(BW$54)),IF(AND(Results!$E$4="Cells",Results!$E$5="Million",$B$52="million"),((BW40*BW$51)/(BW$52)),"0")))))</f>
        <v>0</v>
      </c>
      <c r="BX93" s="20" t="str">
        <f>IF(BX40=0,"0",IF(AND(Results!$E$5="Protein",$C$53&gt;0,OR(Results!$E$4="Tissue",Results!$E$4="Cells")),((BX40*BX$51)/(BX$53)),IF(AND(Results!$E$5="Weight",$C$52&gt;0, Results!$E$4="Tissue",OR($B$52="g",$B$52="mg")),((BX40*BX$51)/(BX$52)),IF(AND(Results!$E$5="Volume",$C$54&gt;0,Results!$E$4="Fluid"),((BX40*BX$51)/(BX$54)),IF(AND(Results!$E$4="Cells",Results!$E$5="Million",$B$52="million"),((BX40*BX$51)/(BX$52)),"0")))))</f>
        <v>0</v>
      </c>
      <c r="BY93" s="20" t="str">
        <f>IF(BY40=0,"0",IF(AND(Results!$E$5="Protein",$C$53&gt;0,OR(Results!$E$4="Tissue",Results!$E$4="Cells")),((BY40*BY$51)/(BY$53)),IF(AND(Results!$E$5="Weight",$C$52&gt;0, Results!$E$4="Tissue",OR($B$52="g",$B$52="mg")),((BY40*BY$51)/(BY$52)),IF(AND(Results!$E$5="Volume",$C$54&gt;0,Results!$E$4="Fluid"),((BY40*BY$51)/(BY$54)),IF(AND(Results!$E$4="Cells",Results!$E$5="Million",$B$52="million"),((BY40*BY$51)/(BY$52)),"0")))))</f>
        <v>0</v>
      </c>
      <c r="BZ93" s="20" t="str">
        <f>IF(BZ40=0,"0",IF(AND(Results!$E$5="Protein",$C$53&gt;0,OR(Results!$E$4="Tissue",Results!$E$4="Cells")),((BZ40*BZ$51)/(BZ$53)),IF(AND(Results!$E$5="Weight",$C$52&gt;0, Results!$E$4="Tissue",OR($B$52="g",$B$52="mg")),((BZ40*BZ$51)/(BZ$52)),IF(AND(Results!$E$5="Volume",$C$54&gt;0,Results!$E$4="Fluid"),((BZ40*BZ$51)/(BZ$54)),IF(AND(Results!$E$4="Cells",Results!$E$5="Million",$B$52="million"),((BZ40*BZ$51)/(BZ$52)),"0")))))</f>
        <v>0</v>
      </c>
      <c r="CA93" s="20" t="str">
        <f>IF(CA40=0,"0",IF(AND(Results!$E$5="Protein",$C$53&gt;0,OR(Results!$E$4="Tissue",Results!$E$4="Cells")),((CA40*CA$51)/(CA$53)),IF(AND(Results!$E$5="Weight",$C$52&gt;0, Results!$E$4="Tissue",OR($B$52="g",$B$52="mg")),((CA40*CA$51)/(CA$52)),IF(AND(Results!$E$5="Volume",$C$54&gt;0,Results!$E$4="Fluid"),((CA40*CA$51)/(CA$54)),IF(AND(Results!$E$4="Cells",Results!$E$5="Million",$B$52="million"),((CA40*CA$51)/(CA$52)),"0")))))</f>
        <v>0</v>
      </c>
      <c r="CB93" s="20" t="str">
        <f>IF(CB40=0,"0",IF(AND(Results!$E$5="Protein",$C$53&gt;0,OR(Results!$E$4="Tissue",Results!$E$4="Cells")),((CB40*CB$51)/(CB$53)),IF(AND(Results!$E$5="Weight",$C$52&gt;0, Results!$E$4="Tissue",OR($B$52="g",$B$52="mg")),((CB40*CB$51)/(CB$52)),IF(AND(Results!$E$5="Volume",$C$54&gt;0,Results!$E$4="Fluid"),((CB40*CB$51)/(CB$54)),IF(AND(Results!$E$4="Cells",Results!$E$5="Million",$B$52="million"),((CB40*CB$51)/(CB$52)),"0")))))</f>
        <v>0</v>
      </c>
      <c r="CC93" s="20" t="str">
        <f>IF(CC40=0,"0",IF(AND(Results!$E$5="Protein",$C$53&gt;0,OR(Results!$E$4="Tissue",Results!$E$4="Cells")),((CC40*CC$51)/(CC$53)),IF(AND(Results!$E$5="Weight",$C$52&gt;0, Results!$E$4="Tissue",OR($B$52="g",$B$52="mg")),((CC40*CC$51)/(CC$52)),IF(AND(Results!$E$5="Volume",$C$54&gt;0,Results!$E$4="Fluid"),((CC40*CC$51)/(CC$54)),IF(AND(Results!$E$4="Cells",Results!$E$5="Million",$B$52="million"),((CC40*CC$51)/(CC$52)),"0")))))</f>
        <v>0</v>
      </c>
      <c r="CD93" s="20" t="str">
        <f>IF(CD40=0,"0",IF(AND(Results!$E$5="Protein",$C$53&gt;0,OR(Results!$E$4="Tissue",Results!$E$4="Cells")),((CD40*CD$51)/(CD$53)),IF(AND(Results!$E$5="Weight",$C$52&gt;0, Results!$E$4="Tissue",OR($B$52="g",$B$52="mg")),((CD40*CD$51)/(CD$52)),IF(AND(Results!$E$5="Volume",$C$54&gt;0,Results!$E$4="Fluid"),((CD40*CD$51)/(CD$54)),IF(AND(Results!$E$4="Cells",Results!$E$5="Million",$B$52="million"),((CD40*CD$51)/(CD$52)),"0")))))</f>
        <v>0</v>
      </c>
      <c r="CE93" s="20" t="str">
        <f>IF(CE40=0,"0",IF(AND(Results!$E$5="Protein",$C$53&gt;0,OR(Results!$E$4="Tissue",Results!$E$4="Cells")),((CE40*CE$51)/(CE$53)),IF(AND(Results!$E$5="Weight",$C$52&gt;0, Results!$E$4="Tissue",OR($B$52="g",$B$52="mg")),((CE40*CE$51)/(CE$52)),IF(AND(Results!$E$5="Volume",$C$54&gt;0,Results!$E$4="Fluid"),((CE40*CE$51)/(CE$54)),IF(AND(Results!$E$4="Cells",Results!$E$5="Million",$B$52="million"),((CE40*CE$51)/(CE$52)),"0")))))</f>
        <v>0</v>
      </c>
      <c r="CF93" s="20" t="str">
        <f>IF(CF40=0,"0",IF(AND(Results!$E$5="Protein",$C$53&gt;0,OR(Results!$E$4="Tissue",Results!$E$4="Cells")),((CF40*CF$51)/(CF$53)),IF(AND(Results!$E$5="Weight",$C$52&gt;0, Results!$E$4="Tissue",OR($B$52="g",$B$52="mg")),((CF40*CF$51)/(CF$52)),IF(AND(Results!$E$5="Volume",$C$54&gt;0,Results!$E$4="Fluid"),((CF40*CF$51)/(CF$54)),IF(AND(Results!$E$4="Cells",Results!$E$5="Million",$B$52="million"),((CF40*CF$51)/(CF$52)),"0")))))</f>
        <v>0</v>
      </c>
      <c r="CG93" s="20" t="str">
        <f>IF(CG40=0,"0",IF(AND(Results!$E$5="Protein",$C$53&gt;0,OR(Results!$E$4="Tissue",Results!$E$4="Cells")),((CG40*CG$51)/(CG$53)),IF(AND(Results!$E$5="Weight",$C$52&gt;0, Results!$E$4="Tissue",OR($B$52="g",$B$52="mg")),((CG40*CG$51)/(CG$52)),IF(AND(Results!$E$5="Volume",$C$54&gt;0,Results!$E$4="Fluid"),((CG40*CG$51)/(CG$54)),IF(AND(Results!$E$4="Cells",Results!$E$5="Million",$B$52="million"),((CG40*CG$51)/(CG$52)),"0")))))</f>
        <v>0</v>
      </c>
      <c r="CH93" s="20" t="str">
        <f>IF(CH40=0,"0",IF(AND(Results!$E$5="Protein",$C$53&gt;0,OR(Results!$E$4="Tissue",Results!$E$4="Cells")),((CH40*CH$51)/(CH$53)),IF(AND(Results!$E$5="Weight",$C$52&gt;0, Results!$E$4="Tissue",OR($B$52="g",$B$52="mg")),((CH40*CH$51)/(CH$52)),IF(AND(Results!$E$5="Volume",$C$54&gt;0,Results!$E$4="Fluid"),((CH40*CH$51)/(CH$54)),IF(AND(Results!$E$4="Cells",Results!$E$5="Million",$B$52="million"),((CH40*CH$51)/(CH$52)),"0")))))</f>
        <v>0</v>
      </c>
      <c r="CI93" s="20" t="str">
        <f>IF(CI40=0,"0",IF(AND(Results!$E$5="Protein",$C$53&gt;0,OR(Results!$E$4="Tissue",Results!$E$4="Cells")),((CI40*CI$51)/(CI$53)),IF(AND(Results!$E$5="Weight",$C$52&gt;0, Results!$E$4="Tissue",OR($B$52="g",$B$52="mg")),((CI40*CI$51)/(CI$52)),IF(AND(Results!$E$5="Volume",$C$54&gt;0,Results!$E$4="Fluid"),((CI40*CI$51)/(CI$54)),IF(AND(Results!$E$4="Cells",Results!$E$5="Million",$B$52="million"),((CI40*CI$51)/(CI$52)),"0")))))</f>
        <v>0</v>
      </c>
      <c r="CJ93" s="20" t="str">
        <f>IF(CJ40=0,"0",IF(AND(Results!$E$5="Protein",$C$53&gt;0,OR(Results!$E$4="Tissue",Results!$E$4="Cells")),((CJ40*CJ$51)/(CJ$53)),IF(AND(Results!$E$5="Weight",$C$52&gt;0, Results!$E$4="Tissue",OR($B$52="g",$B$52="mg")),((CJ40*CJ$51)/(CJ$52)),IF(AND(Results!$E$5="Volume",$C$54&gt;0,Results!$E$4="Fluid"),((CJ40*CJ$51)/(CJ$54)),IF(AND(Results!$E$4="Cells",Results!$E$5="Million",$B$52="million"),((CJ40*CJ$51)/(CJ$52)),"0")))))</f>
        <v>0</v>
      </c>
      <c r="CK93" s="20" t="str">
        <f>IF(CK40=0,"0",IF(AND(Results!$E$5="Protein",$C$53&gt;0,OR(Results!$E$4="Tissue",Results!$E$4="Cells")),((CK40*CK$51)/(CK$53)),IF(AND(Results!$E$5="Weight",$C$52&gt;0, Results!$E$4="Tissue",OR($B$52="g",$B$52="mg")),((CK40*CK$51)/(CK$52)),IF(AND(Results!$E$5="Volume",$C$54&gt;0,Results!$E$4="Fluid"),((CK40*CK$51)/(CK$54)),IF(AND(Results!$E$4="Cells",Results!$E$5="Million",$B$52="million"),((CK40*CK$51)/(CK$52)),"0")))))</f>
        <v>0</v>
      </c>
      <c r="CL93" s="20" t="str">
        <f>IF(CL40=0,"0",IF(AND(Results!$E$5="Protein",$C$53&gt;0,OR(Results!$E$4="Tissue",Results!$E$4="Cells")),((CL40*CL$51)/(CL$53)),IF(AND(Results!$E$5="Weight",$C$52&gt;0, Results!$E$4="Tissue",OR($B$52="g",$B$52="mg")),((CL40*CL$51)/(CL$52)),IF(AND(Results!$E$5="Volume",$C$54&gt;0,Results!$E$4="Fluid"),((CL40*CL$51)/(CL$54)),IF(AND(Results!$E$4="Cells",Results!$E$5="Million",$B$52="million"),((CL40*CL$51)/(CL$52)),"0")))))</f>
        <v>0</v>
      </c>
      <c r="CM93" s="20" t="str">
        <f>IF(CM40=0,"0",IF(AND(Results!$E$5="Protein",$C$53&gt;0,OR(Results!$E$4="Tissue",Results!$E$4="Cells")),((CM40*CM$51)/(CM$53)),IF(AND(Results!$E$5="Weight",$C$52&gt;0, Results!$E$4="Tissue",OR($B$52="g",$B$52="mg")),((CM40*CM$51)/(CM$52)),IF(AND(Results!$E$5="Volume",$C$54&gt;0,Results!$E$4="Fluid"),((CM40*CM$51)/(CM$54)),IF(AND(Results!$E$4="Cells",Results!$E$5="Million",$B$52="million"),((CM40*CM$51)/(CM$52)),"0")))))</f>
        <v>0</v>
      </c>
      <c r="CN93" s="20" t="str">
        <f>IF(CN40=0,"0",IF(AND(Results!$E$5="Protein",$C$53&gt;0,OR(Results!$E$4="Tissue",Results!$E$4="Cells")),((CN40*CN$51)/(CN$53)),IF(AND(Results!$E$5="Weight",$C$52&gt;0, Results!$E$4="Tissue",OR($B$52="g",$B$52="mg")),((CN40*CN$51)/(CN$52)),IF(AND(Results!$E$5="Volume",$C$54&gt;0,Results!$E$4="Fluid"),((CN40*CN$51)/(CN$54)),IF(AND(Results!$E$4="Cells",Results!$E$5="Million",$B$52="million"),((CN40*CN$51)/(CN$52)),"0")))))</f>
        <v>0</v>
      </c>
      <c r="CO93" s="20" t="str">
        <f>IF(CO40=0,"0",IF(AND(Results!$E$5="Protein",$C$53&gt;0,OR(Results!$E$4="Tissue",Results!$E$4="Cells")),((CO40*CO$51)/(CO$53)),IF(AND(Results!$E$5="Weight",$C$52&gt;0, Results!$E$4="Tissue",OR($B$52="g",$B$52="mg")),((CO40*CO$51)/(CO$52)),IF(AND(Results!$E$5="Volume",$C$54&gt;0,Results!$E$4="Fluid"),((CO40*CO$51)/(CO$54)),IF(AND(Results!$E$4="Cells",Results!$E$5="Million",$B$52="million"),((CO40*CO$51)/(CO$52)),"0")))))</f>
        <v>0</v>
      </c>
      <c r="CP93" s="20" t="str">
        <f>IF(CP40=0,"0",IF(AND(Results!$E$5="Protein",$C$53&gt;0,OR(Results!$E$4="Tissue",Results!$E$4="Cells")),((CP40*CP$51)/(CP$53)),IF(AND(Results!$E$5="Weight",$C$52&gt;0, Results!$E$4="Tissue",OR($B$52="g",$B$52="mg")),((CP40*CP$51)/(CP$52)),IF(AND(Results!$E$5="Volume",$C$54&gt;0,Results!$E$4="Fluid"),((CP40*CP$51)/(CP$54)),IF(AND(Results!$E$4="Cells",Results!$E$5="Million",$B$52="million"),((CP40*CP$51)/(CP$52)),"0")))))</f>
        <v>0</v>
      </c>
      <c r="CQ93" s="20" t="str">
        <f>IF(CQ40=0,"0",IF(AND(Results!$E$5="Protein",$C$53&gt;0,OR(Results!$E$4="Tissue",Results!$E$4="Cells")),((CQ40*CQ$51)/(CQ$53)),IF(AND(Results!$E$5="Weight",$C$52&gt;0, Results!$E$4="Tissue",OR($B$52="g",$B$52="mg")),((CQ40*CQ$51)/(CQ$52)),IF(AND(Results!$E$5="Volume",$C$54&gt;0,Results!$E$4="Fluid"),((CQ40*CQ$51)/(CQ$54)),IF(AND(Results!$E$4="Cells",Results!$E$5="Million",$B$52="million"),((CQ40*CQ$51)/(CQ$52)),"0")))))</f>
        <v>0</v>
      </c>
      <c r="CR93" s="20" t="str">
        <f>IF(CR40=0,"0",IF(AND(Results!$E$5="Protein",$C$53&gt;0,OR(Results!$E$4="Tissue",Results!$E$4="Cells")),((CR40*CR$51)/(CR$53)),IF(AND(Results!$E$5="Weight",$C$52&gt;0, Results!$E$4="Tissue",OR($B$52="g",$B$52="mg")),((CR40*CR$51)/(CR$52)),IF(AND(Results!$E$5="Volume",$C$54&gt;0,Results!$E$4="Fluid"),((CR40*CR$51)/(CR$54)),IF(AND(Results!$E$4="Cells",Results!$E$5="Million",$B$52="million"),((CR40*CR$51)/(CR$52)),"0")))))</f>
        <v>0</v>
      </c>
      <c r="CS93" s="20" t="str">
        <f>IF(CS40=0,"0",IF(AND(Results!$E$5="Protein",$C$53&gt;0,OR(Results!$E$4="Tissue",Results!$E$4="Cells")),((CS40*CS$51)/(CS$53)),IF(AND(Results!$E$5="Weight",$C$52&gt;0, Results!$E$4="Tissue",OR($B$52="g",$B$52="mg")),((CS40*CS$51)/(CS$52)),IF(AND(Results!$E$5="Volume",$C$54&gt;0,Results!$E$4="Fluid"),((CS40*CS$51)/(CS$54)),IF(AND(Results!$E$4="Cells",Results!$E$5="Million",$B$52="million"),((CS40*CS$51)/(CS$52)),"0")))))</f>
        <v>0</v>
      </c>
      <c r="CT93" s="20" t="str">
        <f>IF(CT40=0,"0",IF(AND(Results!$E$5="Protein",$C$53&gt;0,OR(Results!$E$4="Tissue",Results!$E$4="Cells")),((CT40*CT$51)/(CT$53)),IF(AND(Results!$E$5="Weight",$C$52&gt;0, Results!$E$4="Tissue",OR($B$52="g",$B$52="mg")),((CT40*CT$51)/(CT$52)),IF(AND(Results!$E$5="Volume",$C$54&gt;0,Results!$E$4="Fluid"),((CT40*CT$51)/(CT$54)),IF(AND(Results!$E$4="Cells",Results!$E$5="Million",$B$52="million"),((CT40*CT$51)/(CT$52)),"0")))))</f>
        <v>0</v>
      </c>
      <c r="CU93" s="20" t="str">
        <f>IF(CU40=0,"0",IF(AND(Results!$E$5="Protein",$C$53&gt;0,OR(Results!$E$4="Tissue",Results!$E$4="Cells")),((CU40*CU$51)/(CU$53)),IF(AND(Results!$E$5="Weight",$C$52&gt;0, Results!$E$4="Tissue",OR($B$52="g",$B$52="mg")),((CU40*CU$51)/(CU$52)),IF(AND(Results!$E$5="Volume",$C$54&gt;0,Results!$E$4="Fluid"),((CU40*CU$51)/(CU$54)),IF(AND(Results!$E$4="Cells",Results!$E$5="Million",$B$52="million"),((CU40*CU$51)/(CU$52)),"0")))))</f>
        <v>0</v>
      </c>
      <c r="CV93" s="20" t="str">
        <f>IF(CV40=0,"0",IF(AND(Results!$E$5="Protein",$C$53&gt;0,OR(Results!$E$4="Tissue",Results!$E$4="Cells")),((CV40*CV$51)/(CV$53)),IF(AND(Results!$E$5="Weight",$C$52&gt;0, Results!$E$4="Tissue",OR($B$52="g",$B$52="mg")),((CV40*CV$51)/(CV$52)),IF(AND(Results!$E$5="Volume",$C$54&gt;0,Results!$E$4="Fluid"),((CV40*CV$51)/(CV$54)),IF(AND(Results!$E$4="Cells",Results!$E$5="Million",$B$52="million"),((CV40*CV$51)/(CV$52)),"0")))))</f>
        <v>0</v>
      </c>
      <c r="CW93" s="20" t="str">
        <f>IF(CW40=0,"0",IF(AND(Results!$E$5="Protein",$C$53&gt;0,OR(Results!$E$4="Tissue",Results!$E$4="Cells")),((CW40*CW$51)/(CW$53)),IF(AND(Results!$E$5="Weight",$C$52&gt;0, Results!$E$4="Tissue",OR($B$52="g",$B$52="mg")),((CW40*CW$51)/(CW$52)),IF(AND(Results!$E$5="Volume",$C$54&gt;0,Results!$E$4="Fluid"),((CW40*CW$51)/(CW$54)),IF(AND(Results!$E$4="Cells",Results!$E$5="Million",$B$52="million"),((CW40*CW$51)/(CW$52)),"0")))))</f>
        <v>0</v>
      </c>
      <c r="CX93" s="20" t="str">
        <f>IF(CX40=0,"0",IF(AND(Results!$E$5="Protein",$C$53&gt;0,OR(Results!$E$4="Tissue",Results!$E$4="Cells")),((CX40*CX$51)/(CX$53)),IF(AND(Results!$E$5="Weight",$C$52&gt;0, Results!$E$4="Tissue",OR($B$52="g",$B$52="mg")),((CX40*CX$51)/(CX$52)),IF(AND(Results!$E$5="Volume",$C$54&gt;0,Results!$E$4="Fluid"),((CX40*CX$51)/(CX$54)),IF(AND(Results!$E$4="Cells",Results!$E$5="Million",$B$52="million"),((CX40*CX$51)/(CX$52)),"0")))))</f>
        <v>0</v>
      </c>
      <c r="CY93" s="20" t="str">
        <f>IF(CY40=0,"0",IF(AND(Results!$E$5="Protein",$C$53&gt;0,OR(Results!$E$4="Tissue",Results!$E$4="Cells")),((CY40*CY$51)/(CY$53)),IF(AND(Results!$E$5="Weight",$C$52&gt;0, Results!$E$4="Tissue",OR($B$52="g",$B$52="mg")),((CY40*CY$51)/(CY$52)),IF(AND(Results!$E$5="Volume",$C$54&gt;0,Results!$E$4="Fluid"),((CY40*CY$51)/(CY$54)),IF(AND(Results!$E$4="Cells",Results!$E$5="Million",$B$52="million"),((CY40*CY$51)/(CY$52)),"0")))))</f>
        <v>0</v>
      </c>
      <c r="CZ93" s="20" t="str">
        <f>IF(CZ40=0,"0",IF(AND(Results!$E$5="Protein",$C$53&gt;0,OR(Results!$E$4="Tissue",Results!$E$4="Cells")),((CZ40*CZ$51)/(CZ$53)),IF(AND(Results!$E$5="Weight",$C$52&gt;0, Results!$E$4="Tissue",OR($B$52="g",$B$52="mg")),((CZ40*CZ$51)/(CZ$52)),IF(AND(Results!$E$5="Volume",$C$54&gt;0,Results!$E$4="Fluid"),((CZ40*CZ$51)/(CZ$54)),IF(AND(Results!$E$4="Cells",Results!$E$5="Million",$B$52="million"),((CZ40*CZ$51)/(CZ$52)),"0")))))</f>
        <v>0</v>
      </c>
      <c r="DA93" s="20" t="str">
        <f>IF(DA40=0,"0",IF(AND(Results!$E$5="Protein",$C$53&gt;0,OR(Results!$E$4="Tissue",Results!$E$4="Cells")),((DA40*DA$51)/(DA$53)),IF(AND(Results!$E$5="Weight",$C$52&gt;0, Results!$E$4="Tissue",OR($B$52="g",$B$52="mg")),((DA40*DA$51)/(DA$52)),IF(AND(Results!$E$5="Volume",$C$54&gt;0,Results!$E$4="Fluid"),((DA40*DA$51)/(DA$54)),IF(AND(Results!$E$4="Cells",Results!$E$5="Million",$B$52="million"),((DA40*DA$51)/(DA$52)),"0")))))</f>
        <v>0</v>
      </c>
      <c r="DB93" s="20" t="str">
        <f>IF(DB40=0,"0",IF(AND(Results!$E$5="Protein",$C$53&gt;0,OR(Results!$E$4="Tissue",Results!$E$4="Cells")),((DB40*DB$51)/(DB$53)),IF(AND(Results!$E$5="Weight",$C$52&gt;0, Results!$E$4="Tissue",OR($B$52="g",$B$52="mg")),((DB40*DB$51)/(DB$52)),IF(AND(Results!$E$5="Volume",$C$54&gt;0,Results!$E$4="Fluid"),((DB40*DB$51)/(DB$54)),IF(AND(Results!$E$4="Cells",Results!$E$5="Million",$B$52="million"),((DB40*DB$51)/(DB$52)),"0")))))</f>
        <v>0</v>
      </c>
      <c r="DC93" s="20" t="str">
        <f>IF(DC40=0,"0",IF(AND(Results!$E$5="Protein",$C$53&gt;0,OR(Results!$E$4="Tissue",Results!$E$4="Cells")),((DC40*DC$51)/(DC$53)),IF(AND(Results!$E$5="Weight",$C$52&gt;0, Results!$E$4="Tissue",OR($B$52="g",$B$52="mg")),((DC40*DC$51)/(DC$52)),IF(AND(Results!$E$5="Volume",$C$54&gt;0,Results!$E$4="Fluid"),((DC40*DC$51)/(DC$54)),IF(AND(Results!$E$4="Cells",Results!$E$5="Million",$B$52="million"),((DC40*DC$51)/(DC$52)),"0")))))</f>
        <v>0</v>
      </c>
      <c r="DD93" s="20" t="str">
        <f>IF(DD40=0,"0",IF(AND(Results!$E$5="Protein",$C$53&gt;0,OR(Results!$E$4="Tissue",Results!$E$4="Cells")),((DD40*DD$51)/(DD$53)),IF(AND(Results!$E$5="Weight",$C$52&gt;0, Results!$E$4="Tissue",OR($B$52="g",$B$52="mg")),((DD40*DD$51)/(DD$52)),IF(AND(Results!$E$5="Volume",$C$54&gt;0,Results!$E$4="Fluid"),((DD40*DD$51)/(DD$54)),IF(AND(Results!$E$4="Cells",Results!$E$5="Million",$B$52="million"),((DD40*DD$51)/(DD$52)),"0")))))</f>
        <v>0</v>
      </c>
      <c r="DE93" s="20" t="str">
        <f>IF(DE40=0,"0",IF(AND(Results!$E$5="Protein",$C$53&gt;0,OR(Results!$E$4="Tissue",Results!$E$4="Cells")),((DE40*DE$51)/(DE$53)),IF(AND(Results!$E$5="Weight",$C$52&gt;0, Results!$E$4="Tissue",OR($B$52="g",$B$52="mg")),((DE40*DE$51)/(DE$52)),IF(AND(Results!$E$5="Volume",$C$54&gt;0,Results!$E$4="Fluid"),((DE40*DE$51)/(DE$54)),IF(AND(Results!$E$4="Cells",Results!$E$5="Million",$B$52="million"),((DE40*DE$51)/(DE$52)),"0")))))</f>
        <v>0</v>
      </c>
      <c r="DF93" s="20" t="str">
        <f>IF(DF40=0,"0",IF(AND(Results!$E$5="Protein",$C$53&gt;0,OR(Results!$E$4="Tissue",Results!$E$4="Cells")),((DF40*DF$51)/(DF$53)),IF(AND(Results!$E$5="Weight",$C$52&gt;0, Results!$E$4="Tissue",OR($B$52="g",$B$52="mg")),((DF40*DF$51)/(DF$52)),IF(AND(Results!$E$5="Volume",$C$54&gt;0,Results!$E$4="Fluid"),((DF40*DF$51)/(DF$54)),IF(AND(Results!$E$4="Cells",Results!$E$5="Million",$B$52="million"),((DF40*DF$51)/(DF$52)),"0")))))</f>
        <v>0</v>
      </c>
      <c r="DG93" s="20" t="str">
        <f>IF(DG40=0,"0",IF(AND(Results!$E$5="Protein",$C$53&gt;0,OR(Results!$E$4="Tissue",Results!$E$4="Cells")),((DG40*DG$51)/(DG$53)),IF(AND(Results!$E$5="Weight",$C$52&gt;0, Results!$E$4="Tissue",OR($B$52="g",$B$52="mg")),((DG40*DG$51)/(DG$52)),IF(AND(Results!$E$5="Volume",$C$54&gt;0,Results!$E$4="Fluid"),((DG40*DG$51)/(DG$54)),IF(AND(Results!$E$4="Cells",Results!$E$5="Million",$B$52="million"),((DG40*DG$51)/(DG$52)),"0")))))</f>
        <v>0</v>
      </c>
      <c r="DH93" s="20" t="str">
        <f>IF(DH40=0,"0",IF(AND(Results!$E$5="Protein",$C$53&gt;0,OR(Results!$E$4="Tissue",Results!$E$4="Cells")),((DH40*DH$51)/(DH$53)),IF(AND(Results!$E$5="Weight",$C$52&gt;0, Results!$E$4="Tissue",OR($B$52="g",$B$52="mg")),((DH40*DH$51)/(DH$52)),IF(AND(Results!$E$5="Volume",$C$54&gt;0,Results!$E$4="Fluid"),((DH40*DH$51)/(DH$54)),IF(AND(Results!$E$4="Cells",Results!$E$5="Million",$B$52="million"),((DH40*DH$51)/(DH$52)),"0")))))</f>
        <v>0</v>
      </c>
      <c r="DI93" s="20" t="str">
        <f>IF(DI40=0,"0",IF(AND(Results!$E$5="Protein",$C$53&gt;0,OR(Results!$E$4="Tissue",Results!$E$4="Cells")),((DI40*DI$51)/(DI$53)),IF(AND(Results!$E$5="Weight",$C$52&gt;0, Results!$E$4="Tissue",OR($B$52="g",$B$52="mg")),((DI40*DI$51)/(DI$52)),IF(AND(Results!$E$5="Volume",$C$54&gt;0,Results!$E$4="Fluid"),((DI40*DI$51)/(DI$54)),IF(AND(Results!$E$4="Cells",Results!$E$5="Million",$B$52="million"),((DI40*DI$51)/(DI$52)),"0")))))</f>
        <v>0</v>
      </c>
      <c r="DJ93" s="20" t="str">
        <f>IF(DJ40=0,"0",IF(AND(Results!$E$5="Protein",$C$53&gt;0,OR(Results!$E$4="Tissue",Results!$E$4="Cells")),((DJ40*DJ$51)/(DJ$53)),IF(AND(Results!$E$5="Weight",$C$52&gt;0, Results!$E$4="Tissue",OR($B$52="g",$B$52="mg")),((DJ40*DJ$51)/(DJ$52)),IF(AND(Results!$E$5="Volume",$C$54&gt;0,Results!$E$4="Fluid"),((DJ40*DJ$51)/(DJ$54)),IF(AND(Results!$E$4="Cells",Results!$E$5="Million",$B$52="million"),((DJ40*DJ$51)/(DJ$52)),"0")))))</f>
        <v>0</v>
      </c>
      <c r="DK93" s="20" t="str">
        <f>IF(DK40=0,"0",IF(AND(Results!$E$5="Protein",$C$53&gt;0,OR(Results!$E$4="Tissue",Results!$E$4="Cells")),((DK40*DK$51)/(DK$53)),IF(AND(Results!$E$5="Weight",$C$52&gt;0, Results!$E$4="Tissue",OR($B$52="g",$B$52="mg")),((DK40*DK$51)/(DK$52)),IF(AND(Results!$E$5="Volume",$C$54&gt;0,Results!$E$4="Fluid"),((DK40*DK$51)/(DK$54)),IF(AND(Results!$E$4="Cells",Results!$E$5="Million",$B$52="million"),((DK40*DK$51)/(DK$52)),"0")))))</f>
        <v>0</v>
      </c>
      <c r="DL93" s="20" t="str">
        <f>IF(DL40=0,"0",IF(AND(Results!$E$5="Protein",$C$53&gt;0,OR(Results!$E$4="Tissue",Results!$E$4="Cells")),((DL40*DL$51)/(DL$53)),IF(AND(Results!$E$5="Weight",$C$52&gt;0, Results!$E$4="Tissue",OR($B$52="g",$B$52="mg")),((DL40*DL$51)/(DL$52)),IF(AND(Results!$E$5="Volume",$C$54&gt;0,Results!$E$4="Fluid"),((DL40*DL$51)/(DL$54)),IF(AND(Results!$E$4="Cells",Results!$E$5="Million",$B$52="million"),((DL40*DL$51)/(DL$52)),"0")))))</f>
        <v>0</v>
      </c>
      <c r="DM93" s="20" t="str">
        <f>IF(DM40=0,"0",IF(AND(Results!$E$5="Protein",$C$53&gt;0,OR(Results!$E$4="Tissue",Results!$E$4="Cells")),((DM40*DM$51)/(DM$53)),IF(AND(Results!$E$5="Weight",$C$52&gt;0, Results!$E$4="Tissue",OR($B$52="g",$B$52="mg")),((DM40*DM$51)/(DM$52)),IF(AND(Results!$E$5="Volume",$C$54&gt;0,Results!$E$4="Fluid"),((DM40*DM$51)/(DM$54)),IF(AND(Results!$E$4="Cells",Results!$E$5="Million",$B$52="million"),((DM40*DM$51)/(DM$52)),"0")))))</f>
        <v>0</v>
      </c>
      <c r="DN93" s="20" t="str">
        <f>IF(DN40=0,"0",IF(AND(Results!$E$5="Protein",$C$53&gt;0,OR(Results!$E$4="Tissue",Results!$E$4="Cells")),((DN40*DN$51)/(DN$53)),IF(AND(Results!$E$5="Weight",$C$52&gt;0, Results!$E$4="Tissue",OR($B$52="g",$B$52="mg")),((DN40*DN$51)/(DN$52)),IF(AND(Results!$E$5="Volume",$C$54&gt;0,Results!$E$4="Fluid"),((DN40*DN$51)/(DN$54)),IF(AND(Results!$E$4="Cells",Results!$E$5="Million",$B$52="million"),((DN40*DN$51)/(DN$52)),"0")))))</f>
        <v>0</v>
      </c>
      <c r="DO93" s="20" t="str">
        <f>IF(DO40=0,"0",IF(AND(Results!$E$5="Protein",$C$53&gt;0,OR(Results!$E$4="Tissue",Results!$E$4="Cells")),((DO40*DO$51)/(DO$53)),IF(AND(Results!$E$5="Weight",$C$52&gt;0, Results!$E$4="Tissue",OR($B$52="g",$B$52="mg")),((DO40*DO$51)/(DO$52)),IF(AND(Results!$E$5="Volume",$C$54&gt;0,Results!$E$4="Fluid"),((DO40*DO$51)/(DO$54)),IF(AND(Results!$E$4="Cells",Results!$E$5="Million",$B$52="million"),((DO40*DO$51)/(DO$52)),"0")))))</f>
        <v>0</v>
      </c>
      <c r="DP93" s="20" t="str">
        <f>IF(DP40=0,"0",IF(AND(Results!$E$5="Protein",$C$53&gt;0,OR(Results!$E$4="Tissue",Results!$E$4="Cells")),((DP40*DP$51)/(DP$53)),IF(AND(Results!$E$5="Weight",$C$52&gt;0, Results!$E$4="Tissue",OR($B$52="g",$B$52="mg")),((DP40*DP$51)/(DP$52)),IF(AND(Results!$E$5="Volume",$C$54&gt;0,Results!$E$4="Fluid"),((DP40*DP$51)/(DP$54)),IF(AND(Results!$E$4="Cells",Results!$E$5="Million",$B$52="million"),((DP40*DP$51)/(DP$52)),"0")))))</f>
        <v>0</v>
      </c>
      <c r="DQ93" s="20" t="str">
        <f>IF(DQ40=0,"0",IF(AND(Results!$E$5="Protein",$C$53&gt;0,OR(Results!$E$4="Tissue",Results!$E$4="Cells")),((DQ40*DQ$51)/(DQ$53)),IF(AND(Results!$E$5="Weight",$C$52&gt;0, Results!$E$4="Tissue",OR($B$52="g",$B$52="mg")),((DQ40*DQ$51)/(DQ$52)),IF(AND(Results!$E$5="Volume",$C$54&gt;0,Results!$E$4="Fluid"),((DQ40*DQ$51)/(DQ$54)),IF(AND(Results!$E$4="Cells",Results!$E$5="Million",$B$52="million"),((DQ40*DQ$51)/(DQ$52)),"0")))))</f>
        <v>0</v>
      </c>
      <c r="DR93" s="20" t="str">
        <f>IF(DR40=0,"0",IF(AND(Results!$E$5="Protein",$C$53&gt;0,OR(Results!$E$4="Tissue",Results!$E$4="Cells")),((DR40*DR$51)/(DR$53)),IF(AND(Results!$E$5="Weight",$C$52&gt;0, Results!$E$4="Tissue",OR($B$52="g",$B$52="mg")),((DR40*DR$51)/(DR$52)),IF(AND(Results!$E$5="Volume",$C$54&gt;0,Results!$E$4="Fluid"),((DR40*DR$51)/(DR$54)),IF(AND(Results!$E$4="Cells",Results!$E$5="Million",$B$52="million"),((DR40*DR$51)/(DR$52)),"0")))))</f>
        <v>0</v>
      </c>
      <c r="DS93" s="20" t="str">
        <f>IF(DS40=0,"0",IF(AND(Results!$E$5="Protein",$C$53&gt;0,OR(Results!$E$4="Tissue",Results!$E$4="Cells")),((DS40*DS$51)/(DS$53)),IF(AND(Results!$E$5="Weight",$C$52&gt;0, Results!$E$4="Tissue",OR($B$52="g",$B$52="mg")),((DS40*DS$51)/(DS$52)),IF(AND(Results!$E$5="Volume",$C$54&gt;0,Results!$E$4="Fluid"),((DS40*DS$51)/(DS$54)),IF(AND(Results!$E$4="Cells",Results!$E$5="Million",$B$52="million"),((DS40*DS$51)/(DS$52)),"0")))))</f>
        <v>0</v>
      </c>
      <c r="DT93" s="20" t="str">
        <f>IF(DT40=0,"0",IF(AND(Results!$E$5="Protein",$C$53&gt;0,OR(Results!$E$4="Tissue",Results!$E$4="Cells")),((DT40*DT$51)/(DT$53)),IF(AND(Results!$E$5="Weight",$C$52&gt;0, Results!$E$4="Tissue",OR($B$52="g",$B$52="mg")),((DT40*DT$51)/(DT$52)),IF(AND(Results!$E$5="Volume",$C$54&gt;0,Results!$E$4="Fluid"),((DT40*DT$51)/(DT$54)),IF(AND(Results!$E$4="Cells",Results!$E$5="Million",$B$52="million"),((DT40*DT$51)/(DT$52)),"0")))))</f>
        <v>0</v>
      </c>
      <c r="DU93" s="20" t="str">
        <f>IF(DU40=0,"0",IF(AND(Results!$E$5="Protein",$C$53&gt;0,OR(Results!$E$4="Tissue",Results!$E$4="Cells")),((DU40*DU$51)/(DU$53)),IF(AND(Results!$E$5="Weight",$C$52&gt;0, Results!$E$4="Tissue",OR($B$52="g",$B$52="mg")),((DU40*DU$51)/(DU$52)),IF(AND(Results!$E$5="Volume",$C$54&gt;0,Results!$E$4="Fluid"),((DU40*DU$51)/(DU$54)),IF(AND(Results!$E$4="Cells",Results!$E$5="Million",$B$52="million"),((DU40*DU$51)/(DU$52)),"0")))))</f>
        <v>0</v>
      </c>
      <c r="DV93" s="20" t="str">
        <f>IF(DV40=0,"0",IF(AND(Results!$E$5="Protein",$C$53&gt;0,OR(Results!$E$4="Tissue",Results!$E$4="Cells")),((DV40*DV$51)/(DV$53)),IF(AND(Results!$E$5="Weight",$C$52&gt;0, Results!$E$4="Tissue",OR($B$52="g",$B$52="mg")),((DV40*DV$51)/(DV$52)),IF(AND(Results!$E$5="Volume",$C$54&gt;0,Results!$E$4="Fluid"),((DV40*DV$51)/(DV$54)),IF(AND(Results!$E$4="Cells",Results!$E$5="Million",$B$52="million"),((DV40*DV$51)/(DV$52)),"0")))))</f>
        <v>0</v>
      </c>
      <c r="DW93" s="20" t="str">
        <f>IF(DW40=0,"0",IF(AND(Results!$E$5="Protein",$C$53&gt;0,OR(Results!$E$4="Tissue",Results!$E$4="Cells")),((DW40*DW$51)/(DW$53)),IF(AND(Results!$E$5="Weight",$C$52&gt;0, Results!$E$4="Tissue",OR($B$52="g",$B$52="mg")),((DW40*DW$51)/(DW$52)),IF(AND(Results!$E$5="Volume",$C$54&gt;0,Results!$E$4="Fluid"),((DW40*DW$51)/(DW$54)),IF(AND(Results!$E$4="Cells",Results!$E$5="Million",$B$52="million"),((DW40*DW$51)/(DW$52)),"0")))))</f>
        <v>0</v>
      </c>
      <c r="DX93" s="20" t="str">
        <f>IF(DX40=0,"0",IF(AND(Results!$E$5="Protein",$C$53&gt;0,OR(Results!$E$4="Tissue",Results!$E$4="Cells")),((DX40*DX$51)/(DX$53)),IF(AND(Results!$E$5="Weight",$C$52&gt;0, Results!$E$4="Tissue",OR($B$52="g",$B$52="mg")),((DX40*DX$51)/(DX$52)),IF(AND(Results!$E$5="Volume",$C$54&gt;0,Results!$E$4="Fluid"),((DX40*DX$51)/(DX$54)),IF(AND(Results!$E$4="Cells",Results!$E$5="Million",$B$52="million"),((DX40*DX$51)/(DX$52)),"0")))))</f>
        <v>0</v>
      </c>
      <c r="DY93" s="20" t="str">
        <f>IF(DY40=0,"0",IF(AND(Results!$E$5="Protein",$C$53&gt;0,OR(Results!$E$4="Tissue",Results!$E$4="Cells")),((DY40*DY$51)/(DY$53)),IF(AND(Results!$E$5="Weight",$C$52&gt;0, Results!$E$4="Tissue",OR($B$52="g",$B$52="mg")),((DY40*DY$51)/(DY$52)),IF(AND(Results!$E$5="Volume",$C$54&gt;0,Results!$E$4="Fluid"),((DY40*DY$51)/(DY$54)),IF(AND(Results!$E$4="Cells",Results!$E$5="Million",$B$52="million"),((DY40*DY$51)/(DY$52)),"0")))))</f>
        <v>0</v>
      </c>
      <c r="DZ93" s="20" t="str">
        <f>IF(DZ40=0,"0",IF(AND(Results!$E$5="Protein",$C$53&gt;0,OR(Results!$E$4="Tissue",Results!$E$4="Cells")),((DZ40*DZ$51)/(DZ$53)),IF(AND(Results!$E$5="Weight",$C$52&gt;0, Results!$E$4="Tissue",OR($B$52="g",$B$52="mg")),((DZ40*DZ$51)/(DZ$52)),IF(AND(Results!$E$5="Volume",$C$54&gt;0,Results!$E$4="Fluid"),((DZ40*DZ$51)/(DZ$54)),IF(AND(Results!$E$4="Cells",Results!$E$5="Million",$B$52="million"),((DZ40*DZ$51)/(DZ$52)),"0")))))</f>
        <v>0</v>
      </c>
      <c r="EA93" s="20" t="str">
        <f>IF(EA40=0,"0",IF(AND(Results!$E$5="Protein",$C$53&gt;0,OR(Results!$E$4="Tissue",Results!$E$4="Cells")),((EA40*EA$51)/(EA$53)),IF(AND(Results!$E$5="Weight",$C$52&gt;0, Results!$E$4="Tissue",OR($B$52="g",$B$52="mg")),((EA40*EA$51)/(EA$52)),IF(AND(Results!$E$5="Volume",$C$54&gt;0,Results!$E$4="Fluid"),((EA40*EA$51)/(EA$54)),IF(AND(Results!$E$4="Cells",Results!$E$5="Million",$B$52="million"),((EA40*EA$51)/(EA$52)),"0")))))</f>
        <v>0</v>
      </c>
      <c r="EB93" s="20" t="str">
        <f>IF(EB40=0,"0",IF(AND(Results!$E$5="Protein",$C$53&gt;0,OR(Results!$E$4="Tissue",Results!$E$4="Cells")),((EB40*EB$51)/(EB$53)),IF(AND(Results!$E$5="Weight",$C$52&gt;0, Results!$E$4="Tissue",OR($B$52="g",$B$52="mg")),((EB40*EB$51)/(EB$52)),IF(AND(Results!$E$5="Volume",$C$54&gt;0,Results!$E$4="Fluid"),((EB40*EB$51)/(EB$54)),IF(AND(Results!$E$4="Cells",Results!$E$5="Million",$B$52="million"),((EB40*EB$51)/(EB$52)),"0")))))</f>
        <v>0</v>
      </c>
      <c r="EC93" s="20" t="str">
        <f>IF(EC40=0,"0",IF(AND(Results!$E$5="Protein",$C$53&gt;0,OR(Results!$E$4="Tissue",Results!$E$4="Cells")),((EC40*EC$51)/(EC$53)),IF(AND(Results!$E$5="Weight",$C$52&gt;0, Results!$E$4="Tissue",OR($B$52="g",$B$52="mg")),((EC40*EC$51)/(EC$52)),IF(AND(Results!$E$5="Volume",$C$54&gt;0,Results!$E$4="Fluid"),((EC40*EC$51)/(EC$54)),IF(AND(Results!$E$4="Cells",Results!$E$5="Million",$B$52="million"),((EC40*EC$51)/(EC$52)),"0")))))</f>
        <v>0</v>
      </c>
      <c r="ED93" s="20" t="str">
        <f>IF(ED40=0,"0",IF(AND(Results!$E$5="Protein",$C$53&gt;0,OR(Results!$E$4="Tissue",Results!$E$4="Cells")),((ED40*ED$51)/(ED$53)),IF(AND(Results!$E$5="Weight",$C$52&gt;0, Results!$E$4="Tissue",OR($B$52="g",$B$52="mg")),((ED40*ED$51)/(ED$52)),IF(AND(Results!$E$5="Volume",$C$54&gt;0,Results!$E$4="Fluid"),((ED40*ED$51)/(ED$54)),IF(AND(Results!$E$4="Cells",Results!$E$5="Million",$B$52="million"),((ED40*ED$51)/(ED$52)),"0")))))</f>
        <v>0</v>
      </c>
      <c r="EE93" s="20" t="str">
        <f>IF(EE40=0,"0",IF(AND(Results!$E$5="Protein",$C$53&gt;0,OR(Results!$E$4="Tissue",Results!$E$4="Cells")),((EE40*EE$51)/(EE$53)),IF(AND(Results!$E$5="Weight",$C$52&gt;0, Results!$E$4="Tissue",OR($B$52="g",$B$52="mg")),((EE40*EE$51)/(EE$52)),IF(AND(Results!$E$5="Volume",$C$54&gt;0,Results!$E$4="Fluid"),((EE40*EE$51)/(EE$54)),IF(AND(Results!$E$4="Cells",Results!$E$5="Million",$B$52="million"),((EE40*EE$51)/(EE$52)),"0")))))</f>
        <v>0</v>
      </c>
      <c r="EF93" s="20" t="str">
        <f>IF(EF40=0,"0",IF(AND(Results!$E$5="Protein",$C$53&gt;0,OR(Results!$E$4="Tissue",Results!$E$4="Cells")),((EF40*EF$51)/(EF$53)),IF(AND(Results!$E$5="Weight",$C$52&gt;0, Results!$E$4="Tissue",OR($B$52="g",$B$52="mg")),((EF40*EF$51)/(EF$52)),IF(AND(Results!$E$5="Volume",$C$54&gt;0,Results!$E$4="Fluid"),((EF40*EF$51)/(EF$54)),IF(AND(Results!$E$4="Cells",Results!$E$5="Million",$B$52="million"),((EF40*EF$51)/(EF$52)),"0")))))</f>
        <v>0</v>
      </c>
      <c r="EG93" s="20" t="str">
        <f>IF(EG40=0,"0",IF(AND(Results!$E$5="Protein",$C$53&gt;0,OR(Results!$E$4="Tissue",Results!$E$4="Cells")),((EG40*EG$51)/(EG$53)),IF(AND(Results!$E$5="Weight",$C$52&gt;0, Results!$E$4="Tissue",OR($B$52="g",$B$52="mg")),((EG40*EG$51)/(EG$52)),IF(AND(Results!$E$5="Volume",$C$54&gt;0,Results!$E$4="Fluid"),((EG40*EG$51)/(EG$54)),IF(AND(Results!$E$4="Cells",Results!$E$5="Million",$B$52="million"),((EG40*EG$51)/(EG$52)),"0")))))</f>
        <v>0</v>
      </c>
      <c r="EH93" s="20" t="str">
        <f>IF(EH40=0,"0",IF(AND(Results!$E$5="Protein",$C$53&gt;0,OR(Results!$E$4="Tissue",Results!$E$4="Cells")),((EH40*EH$51)/(EH$53)),IF(AND(Results!$E$5="Weight",$C$52&gt;0, Results!$E$4="Tissue",OR($B$52="g",$B$52="mg")),((EH40*EH$51)/(EH$52)),IF(AND(Results!$E$5="Volume",$C$54&gt;0,Results!$E$4="Fluid"),((EH40*EH$51)/(EH$54)),IF(AND(Results!$E$4="Cells",Results!$E$5="Million",$B$52="million"),((EH40*EH$51)/(EH$52)),"0")))))</f>
        <v>0</v>
      </c>
      <c r="EI93" s="20" t="str">
        <f>IF(EI40=0,"0",IF(AND(Results!$E$5="Protein",$C$53&gt;0,OR(Results!$E$4="Tissue",Results!$E$4="Cells")),((EI40*EI$51)/(EI$53)),IF(AND(Results!$E$5="Weight",$C$52&gt;0, Results!$E$4="Tissue",OR($B$52="g",$B$52="mg")),((EI40*EI$51)/(EI$52)),IF(AND(Results!$E$5="Volume",$C$54&gt;0,Results!$E$4="Fluid"),((EI40*EI$51)/(EI$54)),IF(AND(Results!$E$4="Cells",Results!$E$5="Million",$B$52="million"),((EI40*EI$51)/(EI$52)),"0")))))</f>
        <v>0</v>
      </c>
      <c r="EJ93" s="20" t="str">
        <f>IF(EJ40=0,"0",IF(AND(Results!$E$5="Protein",$C$53&gt;0,OR(Results!$E$4="Tissue",Results!$E$4="Cells")),((EJ40*EJ$51)/(EJ$53)),IF(AND(Results!$E$5="Weight",$C$52&gt;0, Results!$E$4="Tissue",OR($B$52="g",$B$52="mg")),((EJ40*EJ$51)/(EJ$52)),IF(AND(Results!$E$5="Volume",$C$54&gt;0,Results!$E$4="Fluid"),((EJ40*EJ$51)/(EJ$54)),IF(AND(Results!$E$4="Cells",Results!$E$5="Million",$B$52="million"),((EJ40*EJ$51)/(EJ$52)),"0")))))</f>
        <v>0</v>
      </c>
      <c r="EK93" s="20" t="str">
        <f>IF(EK40=0,"0",IF(AND(Results!$E$5="Protein",$C$53&gt;0,OR(Results!$E$4="Tissue",Results!$E$4="Cells")),((EK40*EK$51)/(EK$53)),IF(AND(Results!$E$5="Weight",$C$52&gt;0, Results!$E$4="Tissue",OR($B$52="g",$B$52="mg")),((EK40*EK$51)/(EK$52)),IF(AND(Results!$E$5="Volume",$C$54&gt;0,Results!$E$4="Fluid"),((EK40*EK$51)/(EK$54)),IF(AND(Results!$E$4="Cells",Results!$E$5="Million",$B$52="million"),((EK40*EK$51)/(EK$52)),"0")))))</f>
        <v>0</v>
      </c>
      <c r="EL93" s="20" t="str">
        <f>IF(EL40=0,"0",IF(AND(Results!$E$5="Protein",$C$53&gt;0,OR(Results!$E$4="Tissue",Results!$E$4="Cells")),((EL40*EL$51)/(EL$53)),IF(AND(Results!$E$5="Weight",$C$52&gt;0, Results!$E$4="Tissue",OR($B$52="g",$B$52="mg")),((EL40*EL$51)/(EL$52)),IF(AND(Results!$E$5="Volume",$C$54&gt;0,Results!$E$4="Fluid"),((EL40*EL$51)/(EL$54)),IF(AND(Results!$E$4="Cells",Results!$E$5="Million",$B$52="million"),((EL40*EL$51)/(EL$52)),"0")))))</f>
        <v>0</v>
      </c>
      <c r="EM93" s="20" t="str">
        <f>IF(EM40=0,"0",IF(AND(Results!$E$5="Protein",$C$53&gt;0,OR(Results!$E$4="Tissue",Results!$E$4="Cells")),((EM40*EM$51)/(EM$53)),IF(AND(Results!$E$5="Weight",$C$52&gt;0, Results!$E$4="Tissue",OR($B$52="g",$B$52="mg")),((EM40*EM$51)/(EM$52)),IF(AND(Results!$E$5="Volume",$C$54&gt;0,Results!$E$4="Fluid"),((EM40*EM$51)/(EM$54)),IF(AND(Results!$E$4="Cells",Results!$E$5="Million",$B$52="million"),((EM40*EM$51)/(EM$52)),"0")))))</f>
        <v>0</v>
      </c>
      <c r="EN93" s="20" t="str">
        <f>IF(EN40=0,"0",IF(AND(Results!$E$5="Protein",$C$53&gt;0,OR(Results!$E$4="Tissue",Results!$E$4="Cells")),((EN40*EN$51)/(EN$53)),IF(AND(Results!$E$5="Weight",$C$52&gt;0, Results!$E$4="Tissue",OR($B$52="g",$B$52="mg")),((EN40*EN$51)/(EN$52)),IF(AND(Results!$E$5="Volume",$C$54&gt;0,Results!$E$4="Fluid"),((EN40*EN$51)/(EN$54)),IF(AND(Results!$E$4="Cells",Results!$E$5="Million",$B$52="million"),((EN40*EN$51)/(EN$52)),"0")))))</f>
        <v>0</v>
      </c>
      <c r="EO93" s="20" t="str">
        <f>IF(EO40=0,"0",IF(AND(Results!$E$5="Protein",$C$53&gt;0,OR(Results!$E$4="Tissue",Results!$E$4="Cells")),((EO40*EO$51)/(EO$53)),IF(AND(Results!$E$5="Weight",$C$52&gt;0, Results!$E$4="Tissue",OR($B$52="g",$B$52="mg")),((EO40*EO$51)/(EO$52)),IF(AND(Results!$E$5="Volume",$C$54&gt;0,Results!$E$4="Fluid"),((EO40*EO$51)/(EO$54)),IF(AND(Results!$E$4="Cells",Results!$E$5="Million",$B$52="million"),((EO40*EO$51)/(EO$52)),"0")))))</f>
        <v>0</v>
      </c>
      <c r="EP93" s="20" t="str">
        <f>IF(EP40=0,"0",IF(AND(Results!$E$5="Protein",$C$53&gt;0,OR(Results!$E$4="Tissue",Results!$E$4="Cells")),((EP40*EP$51)/(EP$53)),IF(AND(Results!$E$5="Weight",$C$52&gt;0, Results!$E$4="Tissue",OR($B$52="g",$B$52="mg")),((EP40*EP$51)/(EP$52)),IF(AND(Results!$E$5="Volume",$C$54&gt;0,Results!$E$4="Fluid"),((EP40*EP$51)/(EP$54)),IF(AND(Results!$E$4="Cells",Results!$E$5="Million",$B$52="million"),((EP40*EP$51)/(EP$52)),"0")))))</f>
        <v>0</v>
      </c>
      <c r="EQ93" s="20" t="str">
        <f>IF(EQ40=0,"0",IF(AND(Results!$E$5="Protein",$C$53&gt;0,OR(Results!$E$4="Tissue",Results!$E$4="Cells")),((EQ40*EQ$51)/(EQ$53)),IF(AND(Results!$E$5="Weight",$C$52&gt;0, Results!$E$4="Tissue",OR($B$52="g",$B$52="mg")),((EQ40*EQ$51)/(EQ$52)),IF(AND(Results!$E$5="Volume",$C$54&gt;0,Results!$E$4="Fluid"),((EQ40*EQ$51)/(EQ$54)),IF(AND(Results!$E$4="Cells",Results!$E$5="Million",$B$52="million"),((EQ40*EQ$51)/(EQ$52)),"0")))))</f>
        <v>0</v>
      </c>
      <c r="ER93" s="20" t="str">
        <f>IF(ER40=0,"0",IF(AND(Results!$E$5="Protein",$C$53&gt;0,OR(Results!$E$4="Tissue",Results!$E$4="Cells")),((ER40*ER$51)/(ER$53)),IF(AND(Results!$E$5="Weight",$C$52&gt;0, Results!$E$4="Tissue",OR($B$52="g",$B$52="mg")),((ER40*ER$51)/(ER$52)),IF(AND(Results!$E$5="Volume",$C$54&gt;0,Results!$E$4="Fluid"),((ER40*ER$51)/(ER$54)),IF(AND(Results!$E$4="Cells",Results!$E$5="Million",$B$52="million"),((ER40*ER$51)/(ER$52)),"0")))))</f>
        <v>0</v>
      </c>
      <c r="ES93" s="20" t="str">
        <f>IF(ES40=0,"0",IF(AND(Results!$E$5="Protein",$C$53&gt;0,OR(Results!$E$4="Tissue",Results!$E$4="Cells")),((ES40*ES$51)/(ES$53)),IF(AND(Results!$E$5="Weight",$C$52&gt;0, Results!$E$4="Tissue",OR($B$52="g",$B$52="mg")),((ES40*ES$51)/(ES$52)),IF(AND(Results!$E$5="Volume",$C$54&gt;0,Results!$E$4="Fluid"),((ES40*ES$51)/(ES$54)),IF(AND(Results!$E$4="Cells",Results!$E$5="Million",$B$52="million"),((ES40*ES$51)/(ES$52)),"0")))))</f>
        <v>0</v>
      </c>
      <c r="ET93" s="20" t="str">
        <f>IF(ET40=0,"0",IF(AND(Results!$E$5="Protein",$C$53&gt;0,OR(Results!$E$4="Tissue",Results!$E$4="Cells")),((ET40*ET$51)/(ET$53)),IF(AND(Results!$E$5="Weight",$C$52&gt;0, Results!$E$4="Tissue",OR($B$52="g",$B$52="mg")),((ET40*ET$51)/(ET$52)),IF(AND(Results!$E$5="Volume",$C$54&gt;0,Results!$E$4="Fluid"),((ET40*ET$51)/(ET$54)),IF(AND(Results!$E$4="Cells",Results!$E$5="Million",$B$52="million"),((ET40*ET$51)/(ET$52)),"0")))))</f>
        <v>0</v>
      </c>
      <c r="EU93" s="20" t="str">
        <f>IF(EU40=0,"0",IF(AND(Results!$E$5="Protein",$C$53&gt;0,OR(Results!$E$4="Tissue",Results!$E$4="Cells")),((EU40*EU$51)/(EU$53)),IF(AND(Results!$E$5="Weight",$C$52&gt;0, Results!$E$4="Tissue",OR($B$52="g",$B$52="mg")),((EU40*EU$51)/(EU$52)),IF(AND(Results!$E$5="Volume",$C$54&gt;0,Results!$E$4="Fluid"),((EU40*EU$51)/(EU$54)),IF(AND(Results!$E$4="Cells",Results!$E$5="Million",$B$52="million"),((EU40*EU$51)/(EU$52)),"0")))))</f>
        <v>0</v>
      </c>
      <c r="EV93" s="20" t="str">
        <f>IF(EV40=0,"0",IF(AND(Results!$E$5="Protein",$C$53&gt;0,OR(Results!$E$4="Tissue",Results!$E$4="Cells")),((EV40*EV$51)/(EV$53)),IF(AND(Results!$E$5="Weight",$C$52&gt;0, Results!$E$4="Tissue",OR($B$52="g",$B$52="mg")),((EV40*EV$51)/(EV$52)),IF(AND(Results!$E$5="Volume",$C$54&gt;0,Results!$E$4="Fluid"),((EV40*EV$51)/(EV$54)),IF(AND(Results!$E$4="Cells",Results!$E$5="Million",$B$52="million"),((EV40*EV$51)/(EV$52)),"0")))))</f>
        <v>0</v>
      </c>
      <c r="EW93" s="20" t="str">
        <f>IF(EW40=0,"0",IF(AND(Results!$E$5="Protein",$C$53&gt;0,OR(Results!$E$4="Tissue",Results!$E$4="Cells")),((EW40*EW$51)/(EW$53)),IF(AND(Results!$E$5="Weight",$C$52&gt;0, Results!$E$4="Tissue",OR($B$52="g",$B$52="mg")),((EW40*EW$51)/(EW$52)),IF(AND(Results!$E$5="Volume",$C$54&gt;0,Results!$E$4="Fluid"),((EW40*EW$51)/(EW$54)),IF(AND(Results!$E$4="Cells",Results!$E$5="Million",$B$52="million"),((EW40*EW$51)/(EW$52)),"0")))))</f>
        <v>0</v>
      </c>
      <c r="EX93" s="20" t="str">
        <f>IF(EX40=0,"0",IF(AND(Results!$E$5="Protein",$C$53&gt;0,OR(Results!$E$4="Tissue",Results!$E$4="Cells")),((EX40*EX$51)/(EX$53)),IF(AND(Results!$E$5="Weight",$C$52&gt;0, Results!$E$4="Tissue",OR($B$52="g",$B$52="mg")),((EX40*EX$51)/(EX$52)),IF(AND(Results!$E$5="Volume",$C$54&gt;0,Results!$E$4="Fluid"),((EX40*EX$51)/(EX$54)),IF(AND(Results!$E$4="Cells",Results!$E$5="Million",$B$52="million"),((EX40*EX$51)/(EX$52)),"0")))))</f>
        <v>0</v>
      </c>
      <c r="EY93" s="20" t="str">
        <f>IF(EY40=0,"0",IF(AND(Results!$E$5="Protein",$C$53&gt;0,OR(Results!$E$4="Tissue",Results!$E$4="Cells")),((EY40*EY$51)/(EY$53)),IF(AND(Results!$E$5="Weight",$C$52&gt;0, Results!$E$4="Tissue",OR($B$52="g",$B$52="mg")),((EY40*EY$51)/(EY$52)),IF(AND(Results!$E$5="Volume",$C$54&gt;0,Results!$E$4="Fluid"),((EY40*EY$51)/(EY$54)),IF(AND(Results!$E$4="Cells",Results!$E$5="Million",$B$52="million"),((EY40*EY$51)/(EY$52)),"0")))))</f>
        <v>0</v>
      </c>
      <c r="EZ93" s="20" t="str">
        <f>IF(EZ40=0,"0",IF(AND(Results!$E$5="Protein",$C$53&gt;0,OR(Results!$E$4="Tissue",Results!$E$4="Cells")),((EZ40*EZ$51)/(EZ$53)),IF(AND(Results!$E$5="Weight",$C$52&gt;0, Results!$E$4="Tissue",OR($B$52="g",$B$52="mg")),((EZ40*EZ$51)/(EZ$52)),IF(AND(Results!$E$5="Volume",$C$54&gt;0,Results!$E$4="Fluid"),((EZ40*EZ$51)/(EZ$54)),IF(AND(Results!$E$4="Cells",Results!$E$5="Million",$B$52="million"),((EZ40*EZ$51)/(EZ$52)),"0")))))</f>
        <v>0</v>
      </c>
      <c r="FA93" s="20" t="str">
        <f>IF(FA40=0,"0",IF(AND(Results!$E$5="Protein",$C$53&gt;0,OR(Results!$E$4="Tissue",Results!$E$4="Cells")),((FA40*FA$51)/(FA$53)),IF(AND(Results!$E$5="Weight",$C$52&gt;0, Results!$E$4="Tissue",OR($B$52="g",$B$52="mg")),((FA40*FA$51)/(FA$52)),IF(AND(Results!$E$5="Volume",$C$54&gt;0,Results!$E$4="Fluid"),((FA40*FA$51)/(FA$54)),IF(AND(Results!$E$4="Cells",Results!$E$5="Million",$B$52="million"),((FA40*FA$51)/(FA$52)),"0")))))</f>
        <v>0</v>
      </c>
      <c r="FB93" s="20" t="str">
        <f>IF(FB40=0,"0",IF(AND(Results!$E$5="Protein",$C$53&gt;0,OR(Results!$E$4="Tissue",Results!$E$4="Cells")),((FB40*FB$51)/(FB$53)),IF(AND(Results!$E$5="Weight",$C$52&gt;0, Results!$E$4="Tissue",OR($B$52="g",$B$52="mg")),((FB40*FB$51)/(FB$52)),IF(AND(Results!$E$5="Volume",$C$54&gt;0,Results!$E$4="Fluid"),((FB40*FB$51)/(FB$54)),IF(AND(Results!$E$4="Cells",Results!$E$5="Million",$B$52="million"),((FB40*FB$51)/(FB$52)),"0")))))</f>
        <v>0</v>
      </c>
      <c r="FC93" s="20" t="str">
        <f>IF(FC40=0,"0",IF(AND(Results!$E$5="Protein",$C$53&gt;0,OR(Results!$E$4="Tissue",Results!$E$4="Cells")),((FC40*FC$51)/(FC$53)),IF(AND(Results!$E$5="Weight",$C$52&gt;0, Results!$E$4="Tissue",OR($B$52="g",$B$52="mg")),((FC40*FC$51)/(FC$52)),IF(AND(Results!$E$5="Volume",$C$54&gt;0,Results!$E$4="Fluid"),((FC40*FC$51)/(FC$54)),IF(AND(Results!$E$4="Cells",Results!$E$5="Million",$B$52="million"),((FC40*FC$51)/(FC$52)),"0")))))</f>
        <v>0</v>
      </c>
      <c r="FD93" s="20" t="str">
        <f>IF(FD40=0,"0",IF(AND(Results!$E$5="Protein",$C$53&gt;0,OR(Results!$E$4="Tissue",Results!$E$4="Cells")),((FD40*FD$51)/(FD$53)),IF(AND(Results!$E$5="Weight",$C$52&gt;0, Results!$E$4="Tissue",OR($B$52="g",$B$52="mg")),((FD40*FD$51)/(FD$52)),IF(AND(Results!$E$5="Volume",$C$54&gt;0,Results!$E$4="Fluid"),((FD40*FD$51)/(FD$54)),IF(AND(Results!$E$4="Cells",Results!$E$5="Million",$B$52="million"),((FD40*FD$51)/(FD$52)),"0")))))</f>
        <v>0</v>
      </c>
      <c r="FE93" s="20" t="str">
        <f>IF(FE40=0,"0",IF(AND(Results!$E$5="Protein",$C$53&gt;0,OR(Results!$E$4="Tissue",Results!$E$4="Cells")),((FE40*FE$51)/(FE$53)),IF(AND(Results!$E$5="Weight",$C$52&gt;0, Results!$E$4="Tissue",OR($B$52="g",$B$52="mg")),((FE40*FE$51)/(FE$52)),IF(AND(Results!$E$5="Volume",$C$54&gt;0,Results!$E$4="Fluid"),((FE40*FE$51)/(FE$54)),IF(AND(Results!$E$4="Cells",Results!$E$5="Million",$B$52="million"),((FE40*FE$51)/(FE$52)),"0")))))</f>
        <v>0</v>
      </c>
      <c r="FF93" s="20" t="str">
        <f>IF(FF40=0,"0",IF(AND(Results!$E$5="Protein",$C$53&gt;0,OR(Results!$E$4="Tissue",Results!$E$4="Cells")),((FF40*FF$51)/(FF$53)),IF(AND(Results!$E$5="Weight",$C$52&gt;0, Results!$E$4="Tissue",OR($B$52="g",$B$52="mg")),((FF40*FF$51)/(FF$52)),IF(AND(Results!$E$5="Volume",$C$54&gt;0,Results!$E$4="Fluid"),((FF40*FF$51)/(FF$54)),IF(AND(Results!$E$4="Cells",Results!$E$5="Million",$B$52="million"),((FF40*FF$51)/(FF$52)),"0")))))</f>
        <v>0</v>
      </c>
      <c r="FG93" s="20" t="str">
        <f>IF(FG40=0,"0",IF(AND(Results!$E$5="Protein",$C$53&gt;0,OR(Results!$E$4="Tissue",Results!$E$4="Cells")),((FG40*FG$51)/(FG$53)),IF(AND(Results!$E$5="Weight",$C$52&gt;0, Results!$E$4="Tissue",OR($B$52="g",$B$52="mg")),((FG40*FG$51)/(FG$52)),IF(AND(Results!$E$5="Volume",$C$54&gt;0,Results!$E$4="Fluid"),((FG40*FG$51)/(FG$54)),IF(AND(Results!$E$4="Cells",Results!$E$5="Million",$B$52="million"),((FG40*FG$51)/(FG$52)),"0")))))</f>
        <v>0</v>
      </c>
      <c r="FH93" s="20" t="str">
        <f>IF(FH40=0,"0",IF(AND(Results!$E$5="Protein",$C$53&gt;0,OR(Results!$E$4="Tissue",Results!$E$4="Cells")),((FH40*FH$51)/(FH$53)),IF(AND(Results!$E$5="Weight",$C$52&gt;0, Results!$E$4="Tissue",OR($B$52="g",$B$52="mg")),((FH40*FH$51)/(FH$52)),IF(AND(Results!$E$5="Volume",$C$54&gt;0,Results!$E$4="Fluid"),((FH40*FH$51)/(FH$54)),IF(AND(Results!$E$4="Cells",Results!$E$5="Million",$B$52="million"),((FH40*FH$51)/(FH$52)),"0")))))</f>
        <v>0</v>
      </c>
      <c r="FI93" s="20" t="str">
        <f>IF(FI40=0,"0",IF(AND(Results!$E$5="Protein",$C$53&gt;0,OR(Results!$E$4="Tissue",Results!$E$4="Cells")),((FI40*FI$51)/(FI$53)),IF(AND(Results!$E$5="Weight",$C$52&gt;0, Results!$E$4="Tissue",OR($B$52="g",$B$52="mg")),((FI40*FI$51)/(FI$52)),IF(AND(Results!$E$5="Volume",$C$54&gt;0,Results!$E$4="Fluid"),((FI40*FI$51)/(FI$54)),IF(AND(Results!$E$4="Cells",Results!$E$5="Million",$B$52="million"),((FI40*FI$51)/(FI$52)),"0")))))</f>
        <v>0</v>
      </c>
      <c r="FJ93" s="20" t="str">
        <f>IF(FJ40=0,"0",IF(AND(Results!$E$5="Protein",$C$53&gt;0,OR(Results!$E$4="Tissue",Results!$E$4="Cells")),((FJ40*FJ$51)/(FJ$53)),IF(AND(Results!$E$5="Weight",$C$52&gt;0, Results!$E$4="Tissue",OR($B$52="g",$B$52="mg")),((FJ40*FJ$51)/(FJ$52)),IF(AND(Results!$E$5="Volume",$C$54&gt;0,Results!$E$4="Fluid"),((FJ40*FJ$51)/(FJ$54)),IF(AND(Results!$E$4="Cells",Results!$E$5="Million",$B$52="million"),((FJ40*FJ$51)/(FJ$52)),"0")))))</f>
        <v>0</v>
      </c>
      <c r="FK93" s="20" t="str">
        <f>IF(FK40=0,"0",IF(AND(Results!$E$5="Protein",$C$53&gt;0,OR(Results!$E$4="Tissue",Results!$E$4="Cells")),((FK40*FK$51)/(FK$53)),IF(AND(Results!$E$5="Weight",$C$52&gt;0, Results!$E$4="Tissue",OR($B$52="g",$B$52="mg")),((FK40*FK$51)/(FK$52)),IF(AND(Results!$E$5="Volume",$C$54&gt;0,Results!$E$4="Fluid"),((FK40*FK$51)/(FK$54)),IF(AND(Results!$E$4="Cells",Results!$E$5="Million",$B$52="million"),((FK40*FK$51)/(FK$52)),"0")))))</f>
        <v>0</v>
      </c>
      <c r="FL93" s="20" t="str">
        <f>IF(FL40=0,"0",IF(AND(Results!$E$5="Protein",$C$53&gt;0,OR(Results!$E$4="Tissue",Results!$E$4="Cells")),((FL40*FL$51)/(FL$53)),IF(AND(Results!$E$5="Weight",$C$52&gt;0, Results!$E$4="Tissue",OR($B$52="g",$B$52="mg")),((FL40*FL$51)/(FL$52)),IF(AND(Results!$E$5="Volume",$C$54&gt;0,Results!$E$4="Fluid"),((FL40*FL$51)/(FL$54)),IF(AND(Results!$E$4="Cells",Results!$E$5="Million",$B$52="million"),((FL40*FL$51)/(FL$52)),"0")))))</f>
        <v>0</v>
      </c>
      <c r="FM93" s="20" t="str">
        <f>IF(FM40=0,"0",IF(AND(Results!$E$5="Protein",$C$53&gt;0,OR(Results!$E$4="Tissue",Results!$E$4="Cells")),((FM40*FM$51)/(FM$53)),IF(AND(Results!$E$5="Weight",$C$52&gt;0, Results!$E$4="Tissue",OR($B$52="g",$B$52="mg")),((FM40*FM$51)/(FM$52)),IF(AND(Results!$E$5="Volume",$C$54&gt;0,Results!$E$4="Fluid"),((FM40*FM$51)/(FM$54)),IF(AND(Results!$E$4="Cells",Results!$E$5="Million",$B$52="million"),((FM40*FM$51)/(FM$52)),"0")))))</f>
        <v>0</v>
      </c>
      <c r="FN93" s="20" t="str">
        <f>IF(FN40=0,"0",IF(AND(Results!$E$5="Protein",$C$53&gt;0,OR(Results!$E$4="Tissue",Results!$E$4="Cells")),((FN40*FN$51)/(FN$53)),IF(AND(Results!$E$5="Weight",$C$52&gt;0, Results!$E$4="Tissue",OR($B$52="g",$B$52="mg")),((FN40*FN$51)/(FN$52)),IF(AND(Results!$E$5="Volume",$C$54&gt;0,Results!$E$4="Fluid"),((FN40*FN$51)/(FN$54)),IF(AND(Results!$E$4="Cells",Results!$E$5="Million",$B$52="million"),((FN40*FN$51)/(FN$52)),"0")))))</f>
        <v>0</v>
      </c>
      <c r="FO93" s="20" t="str">
        <f>IF(FO40=0,"0",IF(AND(Results!$E$5="Protein",$C$53&gt;0,OR(Results!$E$4="Tissue",Results!$E$4="Cells")),((FO40*FO$51)/(FO$53)),IF(AND(Results!$E$5="Weight",$C$52&gt;0, Results!$E$4="Tissue",OR($B$52="g",$B$52="mg")),((FO40*FO$51)/(FO$52)),IF(AND(Results!$E$5="Volume",$C$54&gt;0,Results!$E$4="Fluid"),((FO40*FO$51)/(FO$54)),IF(AND(Results!$E$4="Cells",Results!$E$5="Million",$B$52="million"),((FO40*FO$51)/(FO$52)),"0")))))</f>
        <v>0</v>
      </c>
    </row>
    <row r="94" spans="1:171" x14ac:dyDescent="0.2">
      <c r="A94" s="120" t="str">
        <f t="shared" si="1"/>
        <v>14-HDHA</v>
      </c>
      <c r="B94" s="121"/>
      <c r="C94" s="20">
        <f>IF(C41=0,"0",IF(AND(Results!$E$5="Protein",$C$53&gt;0,OR(Results!$E$4="Tissue",Results!$E$4="Cells")),((C41*C$51)/(C$53)),IF(AND(Results!$E$5="Weight",$C$52&gt;0, Results!$E$4="Tissue",OR($B$52="g",$B$52="mg")),((C41*C$51)/(C$52)),IF(AND(Results!$E$5="Volume",$C$54&gt;0,Results!$E$4="Fluid"),((C41*C$51)/(C$54)),IF(AND(Results!$E$4="Cells",Results!$E$5="Million",$B$52="million"),((C41*C$51)/(C$52)),"0")))))</f>
        <v>60.110000000000007</v>
      </c>
      <c r="D94" s="20">
        <f>IF(D41=0,"0",IF(AND(Results!$E$5="Protein",$C$53&gt;0,OR(Results!$E$4="Tissue",Results!$E$4="Cells")),((D41*D$51)/(D$53)),IF(AND(Results!$E$5="Weight",$C$52&gt;0, Results!$E$4="Tissue",OR($B$52="g",$B$52="mg")),((D41*D$51)/(D$52)),IF(AND(Results!$E$5="Volume",$C$54&gt;0,Results!$E$4="Fluid"),((D41*D$51)/(D$54)),IF(AND(Results!$E$4="Cells",Results!$E$5="Million",$B$52="million"),((D41*D$51)/(D$52)),"0")))))</f>
        <v>223.86981666666668</v>
      </c>
      <c r="E94" s="20">
        <f>IF(E41=0,"0",IF(AND(Results!$E$5="Protein",$C$53&gt;0,OR(Results!$E$4="Tissue",Results!$E$4="Cells")),((E41*E$51)/(E$53)),IF(AND(Results!$E$5="Weight",$C$52&gt;0, Results!$E$4="Tissue",OR($B$52="g",$B$52="mg")),((E41*E$51)/(E$52)),IF(AND(Results!$E$5="Volume",$C$54&gt;0,Results!$E$4="Fluid"),((E41*E$51)/(E$54)),IF(AND(Results!$E$4="Cells",Results!$E$5="Million",$B$52="million"),((E41*E$51)/(E$52)),"0")))))</f>
        <v>28.000933333333329</v>
      </c>
      <c r="F94" s="20">
        <f>IF(F41=0,"0",IF(AND(Results!$E$5="Protein",$C$53&gt;0,OR(Results!$E$4="Tissue",Results!$E$4="Cells")),((F41*F$51)/(F$53)),IF(AND(Results!$E$5="Weight",$C$52&gt;0, Results!$E$4="Tissue",OR($B$52="g",$B$52="mg")),((F41*F$51)/(F$52)),IF(AND(Results!$E$5="Volume",$C$54&gt;0,Results!$E$4="Fluid"),((F41*F$51)/(F$54)),IF(AND(Results!$E$4="Cells",Results!$E$5="Million",$B$52="million"),((F41*F$51)/(F$52)),"0")))))</f>
        <v>162.63759999999999</v>
      </c>
      <c r="G94" s="20">
        <f>IF(G41=0,"0",IF(AND(Results!$E$5="Protein",$C$53&gt;0,OR(Results!$E$4="Tissue",Results!$E$4="Cells")),((G41*G$51)/(G$53)),IF(AND(Results!$E$5="Weight",$C$52&gt;0, Results!$E$4="Tissue",OR($B$52="g",$B$52="mg")),((G41*G$51)/(G$52)),IF(AND(Results!$E$5="Volume",$C$54&gt;0,Results!$E$4="Fluid"),((G41*G$51)/(G$54)),IF(AND(Results!$E$4="Cells",Results!$E$5="Million",$B$52="million"),((G41*G$51)/(G$52)),"0")))))</f>
        <v>122.10464999999999</v>
      </c>
      <c r="H94" s="20">
        <f>IF(H41=0,"0",IF(AND(Results!$E$5="Protein",$C$53&gt;0,OR(Results!$E$4="Tissue",Results!$E$4="Cells")),((H41*H$51)/(H$53)),IF(AND(Results!$E$5="Weight",$C$52&gt;0, Results!$E$4="Tissue",OR($B$52="g",$B$52="mg")),((H41*H$51)/(H$52)),IF(AND(Results!$E$5="Volume",$C$54&gt;0,Results!$E$4="Fluid"),((H41*H$51)/(H$54)),IF(AND(Results!$E$4="Cells",Results!$E$5="Million",$B$52="million"),((H41*H$51)/(H$52)),"0")))))</f>
        <v>143.19369999999998</v>
      </c>
      <c r="I94" s="20">
        <f>IF(I41=0,"0",IF(AND(Results!$E$5="Protein",$C$53&gt;0,OR(Results!$E$4="Tissue",Results!$E$4="Cells")),((I41*I$51)/(I$53)),IF(AND(Results!$E$5="Weight",$C$52&gt;0, Results!$E$4="Tissue",OR($B$52="g",$B$52="mg")),((I41*I$51)/(I$52)),IF(AND(Results!$E$5="Volume",$C$54&gt;0,Results!$E$4="Fluid"),((I41*I$51)/(I$54)),IF(AND(Results!$E$4="Cells",Results!$E$5="Million",$B$52="million"),((I41*I$51)/(I$52)),"0")))))</f>
        <v>551.66066666666666</v>
      </c>
      <c r="J94" s="20">
        <f>IF(J41=0,"0",IF(AND(Results!$E$5="Protein",$C$53&gt;0,OR(Results!$E$4="Tissue",Results!$E$4="Cells")),((J41*J$51)/(J$53)),IF(AND(Results!$E$5="Weight",$C$52&gt;0, Results!$E$4="Tissue",OR($B$52="g",$B$52="mg")),((J41*J$51)/(J$52)),IF(AND(Results!$E$5="Volume",$C$54&gt;0,Results!$E$4="Fluid"),((J41*J$51)/(J$54)),IF(AND(Results!$E$4="Cells",Results!$E$5="Million",$B$52="million"),((J41*J$51)/(J$52)),"0")))))</f>
        <v>214.54028333333335</v>
      </c>
      <c r="K94" s="20">
        <f>IF(K41=0,"0",IF(AND(Results!$E$5="Protein",$C$53&gt;0,OR(Results!$E$4="Tissue",Results!$E$4="Cells")),((K41*K$51)/(K$53)),IF(AND(Results!$E$5="Weight",$C$52&gt;0, Results!$E$4="Tissue",OR($B$52="g",$B$52="mg")),((K41*K$51)/(K$52)),IF(AND(Results!$E$5="Volume",$C$54&gt;0,Results!$E$4="Fluid"),((K41*K$51)/(K$54)),IF(AND(Results!$E$4="Cells",Results!$E$5="Million",$B$52="million"),((K41*K$51)/(K$52)),"0")))))</f>
        <v>431.0721166666666</v>
      </c>
      <c r="L94" s="20">
        <f>IF(L41=0,"0",IF(AND(Results!$E$5="Protein",$C$53&gt;0,OR(Results!$E$4="Tissue",Results!$E$4="Cells")),((L41*L$51)/(L$53)),IF(AND(Results!$E$5="Weight",$C$52&gt;0, Results!$E$4="Tissue",OR($B$52="g",$B$52="mg")),((L41*L$51)/(L$52)),IF(AND(Results!$E$5="Volume",$C$54&gt;0,Results!$E$4="Fluid"),((L41*L$51)/(L$54)),IF(AND(Results!$E$4="Cells",Results!$E$5="Million",$B$52="million"),((L41*L$51)/(L$52)),"0")))))</f>
        <v>71.09086666666667</v>
      </c>
      <c r="M94" s="20">
        <f>IF(M41=0,"0",IF(AND(Results!$E$5="Protein",$C$53&gt;0,OR(Results!$E$4="Tissue",Results!$E$4="Cells")),((M41*M$51)/(M$53)),IF(AND(Results!$E$5="Weight",$C$52&gt;0, Results!$E$4="Tissue",OR($B$52="g",$B$52="mg")),((M41*M$51)/(M$52)),IF(AND(Results!$E$5="Volume",$C$54&gt;0,Results!$E$4="Fluid"),((M41*M$51)/(M$54)),IF(AND(Results!$E$4="Cells",Results!$E$5="Million",$B$52="million"),((M41*M$51)/(M$52)),"0")))))</f>
        <v>197.91578333333334</v>
      </c>
      <c r="N94" s="20">
        <f>IF(N41=0,"0",IF(AND(Results!$E$5="Protein",$C$53&gt;0,OR(Results!$E$4="Tissue",Results!$E$4="Cells")),((N41*N$51)/(N$53)),IF(AND(Results!$E$5="Weight",$C$52&gt;0, Results!$E$4="Tissue",OR($B$52="g",$B$52="mg")),((N41*N$51)/(N$52)),IF(AND(Results!$E$5="Volume",$C$54&gt;0,Results!$E$4="Fluid"),((N41*N$51)/(N$54)),IF(AND(Results!$E$4="Cells",Results!$E$5="Million",$B$52="million"),((N41*N$51)/(N$52)),"0")))))</f>
        <v>50.422766666666668</v>
      </c>
      <c r="O94" s="20">
        <f>IF(O41=0,"0",IF(AND(Results!$E$5="Protein",$C$53&gt;0,OR(Results!$E$4="Tissue",Results!$E$4="Cells")),((O41*O$51)/(O$53)),IF(AND(Results!$E$5="Weight",$C$52&gt;0, Results!$E$4="Tissue",OR($B$52="g",$B$52="mg")),((O41*O$51)/(O$52)),IF(AND(Results!$E$5="Volume",$C$54&gt;0,Results!$E$4="Fluid"),((O41*O$51)/(O$54)),IF(AND(Results!$E$4="Cells",Results!$E$5="Million",$B$52="million"),((O41*O$51)/(O$52)),"0")))))</f>
        <v>246.52026666666669</v>
      </c>
      <c r="P94" s="20">
        <f>IF(P41=0,"0",IF(AND(Results!$E$5="Protein",$C$53&gt;0,OR(Results!$E$4="Tissue",Results!$E$4="Cells")),((P41*P$51)/(P$53)),IF(AND(Results!$E$5="Weight",$C$52&gt;0, Results!$E$4="Tissue",OR($B$52="g",$B$52="mg")),((P41*P$51)/(P$52)),IF(AND(Results!$E$5="Volume",$C$54&gt;0,Results!$E$4="Fluid"),((P41*P$51)/(P$54)),IF(AND(Results!$E$4="Cells",Results!$E$5="Million",$B$52="million"),((P41*P$51)/(P$52)),"0")))))</f>
        <v>165.83494999999999</v>
      </c>
      <c r="Q94" s="20">
        <f>IF(Q41=0,"0",IF(AND(Results!$E$5="Protein",$C$53&gt;0,OR(Results!$E$4="Tissue",Results!$E$4="Cells")),((Q41*Q$51)/(Q$53)),IF(AND(Results!$E$5="Weight",$C$52&gt;0, Results!$E$4="Tissue",OR($B$52="g",$B$52="mg")),((Q41*Q$51)/(Q$52)),IF(AND(Results!$E$5="Volume",$C$54&gt;0,Results!$E$4="Fluid"),((Q41*Q$51)/(Q$54)),IF(AND(Results!$E$4="Cells",Results!$E$5="Million",$B$52="million"),((Q41*Q$51)/(Q$52)),"0")))))</f>
        <v>98.153166666666664</v>
      </c>
      <c r="R94" s="20">
        <f>IF(R41=0,"0",IF(AND(Results!$E$5="Protein",$C$53&gt;0,OR(Results!$E$4="Tissue",Results!$E$4="Cells")),((R41*R$51)/(R$53)),IF(AND(Results!$E$5="Weight",$C$52&gt;0, Results!$E$4="Tissue",OR($B$52="g",$B$52="mg")),((R41*R$51)/(R$52)),IF(AND(Results!$E$5="Volume",$C$54&gt;0,Results!$E$4="Fluid"),((R41*R$51)/(R$54)),IF(AND(Results!$E$4="Cells",Results!$E$5="Million",$B$52="million"),((R41*R$51)/(R$52)),"0")))))</f>
        <v>209.00958333333332</v>
      </c>
      <c r="S94" s="20">
        <f>IF(S41=0,"0",IF(AND(Results!$E$5="Protein",$C$53&gt;0,OR(Results!$E$4="Tissue",Results!$E$4="Cells")),((S41*S$51)/(S$53)),IF(AND(Results!$E$5="Weight",$C$52&gt;0, Results!$E$4="Tissue",OR($B$52="g",$B$52="mg")),((S41*S$51)/(S$52)),IF(AND(Results!$E$5="Volume",$C$54&gt;0,Results!$E$4="Fluid"),((S41*S$51)/(S$54)),IF(AND(Results!$E$4="Cells",Results!$E$5="Million",$B$52="million"),((S41*S$51)/(S$52)),"0")))))</f>
        <v>231.97386666666668</v>
      </c>
      <c r="T94" s="20">
        <f>IF(T41=0,"0",IF(AND(Results!$E$5="Protein",$C$53&gt;0,OR(Results!$E$4="Tissue",Results!$E$4="Cells")),((T41*T$51)/(T$53)),IF(AND(Results!$E$5="Weight",$C$52&gt;0, Results!$E$4="Tissue",OR($B$52="g",$B$52="mg")),((T41*T$51)/(T$52)),IF(AND(Results!$E$5="Volume",$C$54&gt;0,Results!$E$4="Fluid"),((T41*T$51)/(T$54)),IF(AND(Results!$E$4="Cells",Results!$E$5="Million",$B$52="million"),((T41*T$51)/(T$52)),"0")))))</f>
        <v>46.342333333333336</v>
      </c>
      <c r="U94" s="20">
        <f>IF(U41=0,"0",IF(AND(Results!$E$5="Protein",$C$53&gt;0,OR(Results!$E$4="Tissue",Results!$E$4="Cells")),((U41*U$51)/(U$53)),IF(AND(Results!$E$5="Weight",$C$52&gt;0, Results!$E$4="Tissue",OR($B$52="g",$B$52="mg")),((U41*U$51)/(U$52)),IF(AND(Results!$E$5="Volume",$C$54&gt;0,Results!$E$4="Fluid"),((U41*U$51)/(U$54)),IF(AND(Results!$E$4="Cells",Results!$E$5="Million",$B$52="million"),((U41*U$51)/(U$52)),"0")))))</f>
        <v>38.072733333333332</v>
      </c>
      <c r="V94" s="20">
        <f>IF(V41=0,"0",IF(AND(Results!$E$5="Protein",$C$53&gt;0,OR(Results!$E$4="Tissue",Results!$E$4="Cells")),((V41*V$51)/(V$53)),IF(AND(Results!$E$5="Weight",$C$52&gt;0, Results!$E$4="Tissue",OR($B$52="g",$B$52="mg")),((V41*V$51)/(V$52)),IF(AND(Results!$E$5="Volume",$C$54&gt;0,Results!$E$4="Fluid"),((V41*V$51)/(V$54)),IF(AND(Results!$E$4="Cells",Results!$E$5="Million",$B$52="million"),((V41*V$51)/(V$52)),"0")))))</f>
        <v>61.690666666666665</v>
      </c>
      <c r="W94" s="20">
        <f>IF(W41=0,"0",IF(AND(Results!$E$5="Protein",$C$53&gt;0,OR(Results!$E$4="Tissue",Results!$E$4="Cells")),((W41*W$51)/(W$53)),IF(AND(Results!$E$5="Weight",$C$52&gt;0, Results!$E$4="Tissue",OR($B$52="g",$B$52="mg")),((W41*W$51)/(W$52)),IF(AND(Results!$E$5="Volume",$C$54&gt;0,Results!$E$4="Fluid"),((W41*W$51)/(W$54)),IF(AND(Results!$E$4="Cells",Results!$E$5="Million",$B$52="million"),((W41*W$51)/(W$52)),"0")))))</f>
        <v>128.68354285714287</v>
      </c>
      <c r="X94" s="20">
        <f>IF(X41=0,"0",IF(AND(Results!$E$5="Protein",$C$53&gt;0,OR(Results!$E$4="Tissue",Results!$E$4="Cells")),((X41*X$51)/(X$53)),IF(AND(Results!$E$5="Weight",$C$52&gt;0, Results!$E$4="Tissue",OR($B$52="g",$B$52="mg")),((X41*X$51)/(X$52)),IF(AND(Results!$E$5="Volume",$C$54&gt;0,Results!$E$4="Fluid"),((X41*X$51)/(X$54)),IF(AND(Results!$E$4="Cells",Results!$E$5="Million",$B$52="million"),((X41*X$51)/(X$52)),"0")))))</f>
        <v>43.80348</v>
      </c>
      <c r="Y94" s="20">
        <f>IF(Y41=0,"0",IF(AND(Results!$E$5="Protein",$C$53&gt;0,OR(Results!$E$4="Tissue",Results!$E$4="Cells")),((Y41*Y$51)/(Y$53)),IF(AND(Results!$E$5="Weight",$C$52&gt;0, Results!$E$4="Tissue",OR($B$52="g",$B$52="mg")),((Y41*Y$51)/(Y$52)),IF(AND(Results!$E$5="Volume",$C$54&gt;0,Results!$E$4="Fluid"),((Y41*Y$51)/(Y$54)),IF(AND(Results!$E$4="Cells",Results!$E$5="Million",$B$52="million"),((Y41*Y$51)/(Y$52)),"0")))))</f>
        <v>308.68146666666667</v>
      </c>
      <c r="Z94" s="20">
        <f>IF(Z41=0,"0",IF(AND(Results!$E$5="Protein",$C$53&gt;0,OR(Results!$E$4="Tissue",Results!$E$4="Cells")),((Z41*Z$51)/(Z$53)),IF(AND(Results!$E$5="Weight",$C$52&gt;0, Results!$E$4="Tissue",OR($B$52="g",$B$52="mg")),((Z41*Z$51)/(Z$52)),IF(AND(Results!$E$5="Volume",$C$54&gt;0,Results!$E$4="Fluid"),((Z41*Z$51)/(Z$54)),IF(AND(Results!$E$4="Cells",Results!$E$5="Million",$B$52="million"),((Z41*Z$51)/(Z$52)),"0")))))</f>
        <v>157.71106</v>
      </c>
      <c r="AA94" s="20">
        <f>IF(AA41=0,"0",IF(AND(Results!$E$5="Protein",$C$53&gt;0,OR(Results!$E$4="Tissue",Results!$E$4="Cells")),((AA41*AA$51)/(AA$53)),IF(AND(Results!$E$5="Weight",$C$52&gt;0, Results!$E$4="Tissue",OR($B$52="g",$B$52="mg")),((AA41*AA$51)/(AA$52)),IF(AND(Results!$E$5="Volume",$C$54&gt;0,Results!$E$4="Fluid"),((AA41*AA$51)/(AA$54)),IF(AND(Results!$E$4="Cells",Results!$E$5="Million",$B$52="million"),((AA41*AA$51)/(AA$52)),"0")))))</f>
        <v>198.07669999999999</v>
      </c>
      <c r="AB94" s="20">
        <f>IF(AB41=0,"0",IF(AND(Results!$E$5="Protein",$C$53&gt;0,OR(Results!$E$4="Tissue",Results!$E$4="Cells")),((AB41*AB$51)/(AB$53)),IF(AND(Results!$E$5="Weight",$C$52&gt;0, Results!$E$4="Tissue",OR($B$52="g",$B$52="mg")),((AB41*AB$51)/(AB$52)),IF(AND(Results!$E$5="Volume",$C$54&gt;0,Results!$E$4="Fluid"),((AB41*AB$51)/(AB$54)),IF(AND(Results!$E$4="Cells",Results!$E$5="Million",$B$52="million"),((AB41*AB$51)/(AB$52)),"0")))))</f>
        <v>273.81428333333332</v>
      </c>
      <c r="AC94" s="20">
        <f>IF(AC41=0,"0",IF(AND(Results!$E$5="Protein",$C$53&gt;0,OR(Results!$E$4="Tissue",Results!$E$4="Cells")),((AC41*AC$51)/(AC$53)),IF(AND(Results!$E$5="Weight",$C$52&gt;0, Results!$E$4="Tissue",OR($B$52="g",$B$52="mg")),((AC41*AC$51)/(AC$52)),IF(AND(Results!$E$5="Volume",$C$54&gt;0,Results!$E$4="Fluid"),((AC41*AC$51)/(AC$54)),IF(AND(Results!$E$4="Cells",Results!$E$5="Million",$B$52="million"),((AC41*AC$51)/(AC$52)),"0")))))</f>
        <v>106.19616666666667</v>
      </c>
      <c r="AD94" s="20">
        <f>IF(AD41=0,"0",IF(AND(Results!$E$5="Protein",$C$53&gt;0,OR(Results!$E$4="Tissue",Results!$E$4="Cells")),((AD41*AD$51)/(AD$53)),IF(AND(Results!$E$5="Weight",$C$52&gt;0, Results!$E$4="Tissue",OR($B$52="g",$B$52="mg")),((AD41*AD$51)/(AD$52)),IF(AND(Results!$E$5="Volume",$C$54&gt;0,Results!$E$4="Fluid"),((AD41*AD$51)/(AD$54)),IF(AND(Results!$E$4="Cells",Results!$E$5="Million",$B$52="million"),((AD41*AD$51)/(AD$52)),"0")))))</f>
        <v>45.856133333333332</v>
      </c>
      <c r="AE94" s="20">
        <f>IF(AE41=0,"0",IF(AND(Results!$E$5="Protein",$C$53&gt;0,OR(Results!$E$4="Tissue",Results!$E$4="Cells")),((AE41*AE$51)/(AE$53)),IF(AND(Results!$E$5="Weight",$C$52&gt;0, Results!$E$4="Tissue",OR($B$52="g",$B$52="mg")),((AE41*AE$51)/(AE$52)),IF(AND(Results!$E$5="Volume",$C$54&gt;0,Results!$E$4="Fluid"),((AE41*AE$51)/(AE$54)),IF(AND(Results!$E$4="Cells",Results!$E$5="Million",$B$52="million"),((AE41*AE$51)/(AE$52)),"0")))))</f>
        <v>68.358866666666671</v>
      </c>
      <c r="AF94" s="20">
        <f>IF(AF41=0,"0",IF(AND(Results!$E$5="Protein",$C$53&gt;0,OR(Results!$E$4="Tissue",Results!$E$4="Cells")),((AF41*AF$51)/(AF$53)),IF(AND(Results!$E$5="Weight",$C$52&gt;0, Results!$E$4="Tissue",OR($B$52="g",$B$52="mg")),((AF41*AF$51)/(AF$52)),IF(AND(Results!$E$5="Volume",$C$54&gt;0,Results!$E$4="Fluid"),((AF41*AF$51)/(AF$54)),IF(AND(Results!$E$4="Cells",Results!$E$5="Million",$B$52="million"),((AF41*AF$51)/(AF$52)),"0")))))</f>
        <v>8.1821833333333327</v>
      </c>
      <c r="AG94" s="20">
        <f>IF(AG41=0,"0",IF(AND(Results!$E$5="Protein",$C$53&gt;0,OR(Results!$E$4="Tissue",Results!$E$4="Cells")),((AG41*AG$51)/(AG$53)),IF(AND(Results!$E$5="Weight",$C$52&gt;0, Results!$E$4="Tissue",OR($B$52="g",$B$52="mg")),((AG41*AG$51)/(AG$52)),IF(AND(Results!$E$5="Volume",$C$54&gt;0,Results!$E$4="Fluid"),((AG41*AG$51)/(AG$54)),IF(AND(Results!$E$4="Cells",Results!$E$5="Million",$B$52="million"),((AG41*AG$51)/(AG$52)),"0")))))</f>
        <v>63.621416666666661</v>
      </c>
      <c r="AH94" s="20">
        <f>IF(AH41=0,"0",IF(AND(Results!$E$5="Protein",$C$53&gt;0,OR(Results!$E$4="Tissue",Results!$E$4="Cells")),((AH41*AH$51)/(AH$53)),IF(AND(Results!$E$5="Weight",$C$52&gt;0, Results!$E$4="Tissue",OR($B$52="g",$B$52="mg")),((AH41*AH$51)/(AH$52)),IF(AND(Results!$E$5="Volume",$C$54&gt;0,Results!$E$4="Fluid"),((AH41*AH$51)/(AH$54)),IF(AND(Results!$E$4="Cells",Results!$E$5="Million",$B$52="million"),((AH41*AH$51)/(AH$52)),"0")))))</f>
        <v>71.286783333333332</v>
      </c>
      <c r="AI94" s="20">
        <f>IF(AI41=0,"0",IF(AND(Results!$E$5="Protein",$C$53&gt;0,OR(Results!$E$4="Tissue",Results!$E$4="Cells")),((AI41*AI$51)/(AI$53)),IF(AND(Results!$E$5="Weight",$C$52&gt;0, Results!$E$4="Tissue",OR($B$52="g",$B$52="mg")),((AI41*AI$51)/(AI$52)),IF(AND(Results!$E$5="Volume",$C$54&gt;0,Results!$E$4="Fluid"),((AI41*AI$51)/(AI$54)),IF(AND(Results!$E$4="Cells",Results!$E$5="Million",$B$52="million"),((AI41*AI$51)/(AI$52)),"0")))))</f>
        <v>106.37280000000001</v>
      </c>
      <c r="AJ94" s="20">
        <f>IF(AJ41=0,"0",IF(AND(Results!$E$5="Protein",$C$53&gt;0,OR(Results!$E$4="Tissue",Results!$E$4="Cells")),((AJ41*AJ$51)/(AJ$53)),IF(AND(Results!$E$5="Weight",$C$52&gt;0, Results!$E$4="Tissue",OR($B$52="g",$B$52="mg")),((AJ41*AJ$51)/(AJ$52)),IF(AND(Results!$E$5="Volume",$C$54&gt;0,Results!$E$4="Fluid"),((AJ41*AJ$51)/(AJ$54)),IF(AND(Results!$E$4="Cells",Results!$E$5="Million",$B$52="million"),((AJ41*AJ$51)/(AJ$52)),"0")))))</f>
        <v>290.3582833333333</v>
      </c>
      <c r="AK94" s="20">
        <f>IF(AK41=0,"0",IF(AND(Results!$E$5="Protein",$C$53&gt;0,OR(Results!$E$4="Tissue",Results!$E$4="Cells")),((AK41*AK$51)/(AK$53)),IF(AND(Results!$E$5="Weight",$C$52&gt;0, Results!$E$4="Tissue",OR($B$52="g",$B$52="mg")),((AK41*AK$51)/(AK$52)),IF(AND(Results!$E$5="Volume",$C$54&gt;0,Results!$E$4="Fluid"),((AK41*AK$51)/(AK$54)),IF(AND(Results!$E$4="Cells",Results!$E$5="Million",$B$52="million"),((AK41*AK$51)/(AK$52)),"0")))))</f>
        <v>104.91336666666666</v>
      </c>
      <c r="AL94" s="20">
        <f>IF(AL41=0,"0",IF(AND(Results!$E$5="Protein",$C$53&gt;0,OR(Results!$E$4="Tissue",Results!$E$4="Cells")),((AL41*AL$51)/(AL$53)),IF(AND(Results!$E$5="Weight",$C$52&gt;0, Results!$E$4="Tissue",OR($B$52="g",$B$52="mg")),((AL41*AL$51)/(AL$52)),IF(AND(Results!$E$5="Volume",$C$54&gt;0,Results!$E$4="Fluid"),((AL41*AL$51)/(AL$54)),IF(AND(Results!$E$4="Cells",Results!$E$5="Million",$B$52="million"),((AL41*AL$51)/(AL$52)),"0")))))</f>
        <v>75.81938333333332</v>
      </c>
      <c r="AM94" s="20">
        <f>IF(AM41=0,"0",IF(AND(Results!$E$5="Protein",$C$53&gt;0,OR(Results!$E$4="Tissue",Results!$E$4="Cells")),((AM41*AM$51)/(AM$53)),IF(AND(Results!$E$5="Weight",$C$52&gt;0, Results!$E$4="Tissue",OR($B$52="g",$B$52="mg")),((AM41*AM$51)/(AM$52)),IF(AND(Results!$E$5="Volume",$C$54&gt;0,Results!$E$4="Fluid"),((AM41*AM$51)/(AM$54)),IF(AND(Results!$E$4="Cells",Results!$E$5="Million",$B$52="million"),((AM41*AM$51)/(AM$52)),"0")))))</f>
        <v>137.45633333333336</v>
      </c>
      <c r="AN94" s="20">
        <f>IF(AN41=0,"0",IF(AND(Results!$E$5="Protein",$C$53&gt;0,OR(Results!$E$4="Tissue",Results!$E$4="Cells")),((AN41*AN$51)/(AN$53)),IF(AND(Results!$E$5="Weight",$C$52&gt;0, Results!$E$4="Tissue",OR($B$52="g",$B$52="mg")),((AN41*AN$51)/(AN$52)),IF(AND(Results!$E$5="Volume",$C$54&gt;0,Results!$E$4="Fluid"),((AN41*AN$51)/(AN$54)),IF(AND(Results!$E$4="Cells",Results!$E$5="Million",$B$52="million"),((AN41*AN$51)/(AN$52)),"0")))))</f>
        <v>108.55281666666666</v>
      </c>
      <c r="AO94" s="20">
        <f>IF(AO41=0,"0",IF(AND(Results!$E$5="Protein",$C$53&gt;0,OR(Results!$E$4="Tissue",Results!$E$4="Cells")),((AO41*AO$51)/(AO$53)),IF(AND(Results!$E$5="Weight",$C$52&gt;0, Results!$E$4="Tissue",OR($B$52="g",$B$52="mg")),((AO41*AO$51)/(AO$52)),IF(AND(Results!$E$5="Volume",$C$54&gt;0,Results!$E$4="Fluid"),((AO41*AO$51)/(AO$54)),IF(AND(Results!$E$4="Cells",Results!$E$5="Million",$B$52="million"),((AO41*AO$51)/(AO$52)),"0")))))</f>
        <v>95.268133333333324</v>
      </c>
      <c r="AP94" s="20">
        <f>IF(AP41=0,"0",IF(AND(Results!$E$5="Protein",$C$53&gt;0,OR(Results!$E$4="Tissue",Results!$E$4="Cells")),((AP41*AP$51)/(AP$53)),IF(AND(Results!$E$5="Weight",$C$52&gt;0, Results!$E$4="Tissue",OR($B$52="g",$B$52="mg")),((AP41*AP$51)/(AP$52)),IF(AND(Results!$E$5="Volume",$C$54&gt;0,Results!$E$4="Fluid"),((AP41*AP$51)/(AP$54)),IF(AND(Results!$E$4="Cells",Results!$E$5="Million",$B$52="million"),((AP41*AP$51)/(AP$52)),"0")))))</f>
        <v>36.071066666666667</v>
      </c>
      <c r="AQ94" s="20">
        <f>IF(AQ41=0,"0",IF(AND(Results!$E$5="Protein",$C$53&gt;0,OR(Results!$E$4="Tissue",Results!$E$4="Cells")),((AQ41*AQ$51)/(AQ$53)),IF(AND(Results!$E$5="Weight",$C$52&gt;0, Results!$E$4="Tissue",OR($B$52="g",$B$52="mg")),((AQ41*AQ$51)/(AQ$52)),IF(AND(Results!$E$5="Volume",$C$54&gt;0,Results!$E$4="Fluid"),((AQ41*AQ$51)/(AQ$54)),IF(AND(Results!$E$4="Cells",Results!$E$5="Million",$B$52="million"),((AQ41*AQ$51)/(AQ$52)),"0")))))</f>
        <v>132.92846666666665</v>
      </c>
      <c r="AR94" s="20">
        <f>IF(AR41=0,"0",IF(AND(Results!$E$5="Protein",$C$53&gt;0,OR(Results!$E$4="Tissue",Results!$E$4="Cells")),((AR41*AR$51)/(AR$53)),IF(AND(Results!$E$5="Weight",$C$52&gt;0, Results!$E$4="Tissue",OR($B$52="g",$B$52="mg")),((AR41*AR$51)/(AR$52)),IF(AND(Results!$E$5="Volume",$C$54&gt;0,Results!$E$4="Fluid"),((AR41*AR$51)/(AR$54)),IF(AND(Results!$E$4="Cells",Results!$E$5="Million",$B$52="million"),((AR41*AR$51)/(AR$52)),"0")))))</f>
        <v>51.000716666666669</v>
      </c>
      <c r="AS94" s="20">
        <f>IF(AS41=0,"0",IF(AND(Results!$E$5="Protein",$C$53&gt;0,OR(Results!$E$4="Tissue",Results!$E$4="Cells")),((AS41*AS$51)/(AS$53)),IF(AND(Results!$E$5="Weight",$C$52&gt;0, Results!$E$4="Tissue",OR($B$52="g",$B$52="mg")),((AS41*AS$51)/(AS$52)),IF(AND(Results!$E$5="Volume",$C$54&gt;0,Results!$E$4="Fluid"),((AS41*AS$51)/(AS$54)),IF(AND(Results!$E$4="Cells",Results!$E$5="Million",$B$52="million"),((AS41*AS$51)/(AS$52)),"0")))))</f>
        <v>89.817000000000007</v>
      </c>
      <c r="AT94" s="20">
        <f>IF(AT41=0,"0",IF(AND(Results!$E$5="Protein",$C$53&gt;0,OR(Results!$E$4="Tissue",Results!$E$4="Cells")),((AT41*AT$51)/(AT$53)),IF(AND(Results!$E$5="Weight",$C$52&gt;0, Results!$E$4="Tissue",OR($B$52="g",$B$52="mg")),((AT41*AT$51)/(AT$52)),IF(AND(Results!$E$5="Volume",$C$54&gt;0,Results!$E$4="Fluid"),((AT41*AT$51)/(AT$54)),IF(AND(Results!$E$4="Cells",Results!$E$5="Million",$B$52="million"),((AT41*AT$51)/(AT$52)),"0")))))</f>
        <v>93.929366666666667</v>
      </c>
      <c r="AU94" s="20">
        <f>IF(AU41=0,"0",IF(AND(Results!$E$5="Protein",$C$53&gt;0,OR(Results!$E$4="Tissue",Results!$E$4="Cells")),((AU41*AU$51)/(AU$53)),IF(AND(Results!$E$5="Weight",$C$52&gt;0, Results!$E$4="Tissue",OR($B$52="g",$B$52="mg")),((AU41*AU$51)/(AU$52)),IF(AND(Results!$E$5="Volume",$C$54&gt;0,Results!$E$4="Fluid"),((AU41*AU$51)/(AU$54)),IF(AND(Results!$E$4="Cells",Results!$E$5="Million",$B$52="million"),((AU41*AU$51)/(AU$52)),"0")))))</f>
        <v>47.361279999999994</v>
      </c>
      <c r="AV94" s="20">
        <f>IF(AV41=0,"0",IF(AND(Results!$E$5="Protein",$C$53&gt;0,OR(Results!$E$4="Tissue",Results!$E$4="Cells")),((AV41*AV$51)/(AV$53)),IF(AND(Results!$E$5="Weight",$C$52&gt;0, Results!$E$4="Tissue",OR($B$52="g",$B$52="mg")),((AV41*AV$51)/(AV$52)),IF(AND(Results!$E$5="Volume",$C$54&gt;0,Results!$E$4="Fluid"),((AV41*AV$51)/(AV$54)),IF(AND(Results!$E$4="Cells",Results!$E$5="Million",$B$52="million"),((AV41*AV$51)/(AV$52)),"0")))))</f>
        <v>67.896079999999998</v>
      </c>
      <c r="AW94" s="20">
        <f>IF(AW41=0,"0",IF(AND(Results!$E$5="Protein",$C$53&gt;0,OR(Results!$E$4="Tissue",Results!$E$4="Cells")),((AW41*AW$51)/(AW$53)),IF(AND(Results!$E$5="Weight",$C$52&gt;0, Results!$E$4="Tissue",OR($B$52="g",$B$52="mg")),((AW41*AW$51)/(AW$52)),IF(AND(Results!$E$5="Volume",$C$54&gt;0,Results!$E$4="Fluid"),((AW41*AW$51)/(AW$54)),IF(AND(Results!$E$4="Cells",Results!$E$5="Million",$B$52="million"),((AW41*AW$51)/(AW$52)),"0")))))</f>
        <v>34.700050000000005</v>
      </c>
      <c r="AX94" s="20">
        <f>IF(AX41=0,"0",IF(AND(Results!$E$5="Protein",$C$53&gt;0,OR(Results!$E$4="Tissue",Results!$E$4="Cells")),((AX41*AX$51)/(AX$53)),IF(AND(Results!$E$5="Weight",$C$52&gt;0, Results!$E$4="Tissue",OR($B$52="g",$B$52="mg")),((AX41*AX$51)/(AX$52)),IF(AND(Results!$E$5="Volume",$C$54&gt;0,Results!$E$4="Fluid"),((AX41*AX$51)/(AX$54)),IF(AND(Results!$E$4="Cells",Results!$E$5="Million",$B$52="million"),((AX41*AX$51)/(AX$52)),"0")))))</f>
        <v>131.32813333333334</v>
      </c>
      <c r="AY94" s="20">
        <f>IF(AY41=0,"0",IF(AND(Results!$E$5="Protein",$C$53&gt;0,OR(Results!$E$4="Tissue",Results!$E$4="Cells")),((AY41*AY$51)/(AY$53)),IF(AND(Results!$E$5="Weight",$C$52&gt;0, Results!$E$4="Tissue",OR($B$52="g",$B$52="mg")),((AY41*AY$51)/(AY$52)),IF(AND(Results!$E$5="Volume",$C$54&gt;0,Results!$E$4="Fluid"),((AY41*AY$51)/(AY$54)),IF(AND(Results!$E$4="Cells",Results!$E$5="Million",$B$52="million"),((AY41*AY$51)/(AY$52)),"0")))))</f>
        <v>173.6671</v>
      </c>
      <c r="AZ94" s="20">
        <f>IF(AZ41=0,"0",IF(AND(Results!$E$5="Protein",$C$53&gt;0,OR(Results!$E$4="Tissue",Results!$E$4="Cells")),((AZ41*AZ$51)/(AZ$53)),IF(AND(Results!$E$5="Weight",$C$52&gt;0, Results!$E$4="Tissue",OR($B$52="g",$B$52="mg")),((AZ41*AZ$51)/(AZ$52)),IF(AND(Results!$E$5="Volume",$C$54&gt;0,Results!$E$4="Fluid"),((AZ41*AZ$51)/(AZ$54)),IF(AND(Results!$E$4="Cells",Results!$E$5="Million",$B$52="million"),((AZ41*AZ$51)/(AZ$52)),"0")))))</f>
        <v>37.562750000000001</v>
      </c>
      <c r="BA94" s="20">
        <f>IF(BA41=0,"0",IF(AND(Results!$E$5="Protein",$C$53&gt;0,OR(Results!$E$4="Tissue",Results!$E$4="Cells")),((BA41*BA$51)/(BA$53)),IF(AND(Results!$E$5="Weight",$C$52&gt;0, Results!$E$4="Tissue",OR($B$52="g",$B$52="mg")),((BA41*BA$51)/(BA$52)),IF(AND(Results!$E$5="Volume",$C$54&gt;0,Results!$E$4="Fluid"),((BA41*BA$51)/(BA$54)),IF(AND(Results!$E$4="Cells",Results!$E$5="Million",$B$52="million"),((BA41*BA$51)/(BA$52)),"0")))))</f>
        <v>71.39703333333334</v>
      </c>
      <c r="BB94" s="20">
        <f>IF(BB41=0,"0",IF(AND(Results!$E$5="Protein",$C$53&gt;0,OR(Results!$E$4="Tissue",Results!$E$4="Cells")),((BB41*BB$51)/(BB$53)),IF(AND(Results!$E$5="Weight",$C$52&gt;0, Results!$E$4="Tissue",OR($B$52="g",$B$52="mg")),((BB41*BB$51)/(BB$52)),IF(AND(Results!$E$5="Volume",$C$54&gt;0,Results!$E$4="Fluid"),((BB41*BB$51)/(BB$54)),IF(AND(Results!$E$4="Cells",Results!$E$5="Million",$B$52="million"),((BB41*BB$51)/(BB$52)),"0")))))</f>
        <v>90.880966666666666</v>
      </c>
      <c r="BC94" s="20">
        <f>IF(BC41=0,"0",IF(AND(Results!$E$5="Protein",$C$53&gt;0,OR(Results!$E$4="Tissue",Results!$E$4="Cells")),((BC41*BC$51)/(BC$53)),IF(AND(Results!$E$5="Weight",$C$52&gt;0, Results!$E$4="Tissue",OR($B$52="g",$B$52="mg")),((BC41*BC$51)/(BC$52)),IF(AND(Results!$E$5="Volume",$C$54&gt;0,Results!$E$4="Fluid"),((BC41*BC$51)/(BC$54)),IF(AND(Results!$E$4="Cells",Results!$E$5="Million",$B$52="million"),((BC41*BC$51)/(BC$52)),"0")))))</f>
        <v>103.04704999999998</v>
      </c>
      <c r="BD94" s="20">
        <f>IF(BD41=0,"0",IF(AND(Results!$E$5="Protein",$C$53&gt;0,OR(Results!$E$4="Tissue",Results!$E$4="Cells")),((BD41*BD$51)/(BD$53)),IF(AND(Results!$E$5="Weight",$C$52&gt;0, Results!$E$4="Tissue",OR($B$52="g",$B$52="mg")),((BD41*BD$51)/(BD$52)),IF(AND(Results!$E$5="Volume",$C$54&gt;0,Results!$E$4="Fluid"),((BD41*BD$51)/(BD$54)),IF(AND(Results!$E$4="Cells",Results!$E$5="Million",$B$52="million"),((BD41*BD$51)/(BD$52)),"0")))))</f>
        <v>55.080199999999998</v>
      </c>
      <c r="BE94" s="20">
        <f>IF(BE41=0,"0",IF(AND(Results!$E$5="Protein",$C$53&gt;0,OR(Results!$E$4="Tissue",Results!$E$4="Cells")),((BE41*BE$51)/(BE$53)),IF(AND(Results!$E$5="Weight",$C$52&gt;0, Results!$E$4="Tissue",OR($B$52="g",$B$52="mg")),((BE41*BE$51)/(BE$52)),IF(AND(Results!$E$5="Volume",$C$54&gt;0,Results!$E$4="Fluid"),((BE41*BE$51)/(BE$54)),IF(AND(Results!$E$4="Cells",Results!$E$5="Million",$B$52="million"),((BE41*BE$51)/(BE$52)),"0")))))</f>
        <v>146.68530000000001</v>
      </c>
      <c r="BF94" s="20">
        <f>IF(BF41=0,"0",IF(AND(Results!$E$5="Protein",$C$53&gt;0,OR(Results!$E$4="Tissue",Results!$E$4="Cells")),((BF41*BF$51)/(BF$53)),IF(AND(Results!$E$5="Weight",$C$52&gt;0, Results!$E$4="Tissue",OR($B$52="g",$B$52="mg")),((BF41*BF$51)/(BF$52)),IF(AND(Results!$E$5="Volume",$C$54&gt;0,Results!$E$4="Fluid"),((BF41*BF$51)/(BF$54)),IF(AND(Results!$E$4="Cells",Results!$E$5="Million",$B$52="million"),((BF41*BF$51)/(BF$52)),"0")))))</f>
        <v>46.656483333333334</v>
      </c>
      <c r="BG94" s="20">
        <f>IF(BG41=0,"0",IF(AND(Results!$E$5="Protein",$C$53&gt;0,OR(Results!$E$4="Tissue",Results!$E$4="Cells")),((BG41*BG$51)/(BG$53)),IF(AND(Results!$E$5="Weight",$C$52&gt;0, Results!$E$4="Tissue",OR($B$52="g",$B$52="mg")),((BG41*BG$51)/(BG$52)),IF(AND(Results!$E$5="Volume",$C$54&gt;0,Results!$E$4="Fluid"),((BG41*BG$51)/(BG$54)),IF(AND(Results!$E$4="Cells",Results!$E$5="Million",$B$52="million"),((BG41*BG$51)/(BG$52)),"0")))))</f>
        <v>38.01423333333333</v>
      </c>
      <c r="BH94" s="20">
        <f>IF(BH41=0,"0",IF(AND(Results!$E$5="Protein",$C$53&gt;0,OR(Results!$E$4="Tissue",Results!$E$4="Cells")),((BH41*BH$51)/(BH$53)),IF(AND(Results!$E$5="Weight",$C$52&gt;0, Results!$E$4="Tissue",OR($B$52="g",$B$52="mg")),((BH41*BH$51)/(BH$52)),IF(AND(Results!$E$5="Volume",$C$54&gt;0,Results!$E$4="Fluid"),((BH41*BH$51)/(BH$54)),IF(AND(Results!$E$4="Cells",Results!$E$5="Million",$B$52="million"),((BH41*BH$51)/(BH$52)),"0")))))</f>
        <v>129.12803333333332</v>
      </c>
      <c r="BI94" s="20">
        <f>IF(BI41=0,"0",IF(AND(Results!$E$5="Protein",$C$53&gt;0,OR(Results!$E$4="Tissue",Results!$E$4="Cells")),((BI41*BI$51)/(BI$53)),IF(AND(Results!$E$5="Weight",$C$52&gt;0, Results!$E$4="Tissue",OR($B$52="g",$B$52="mg")),((BI41*BI$51)/(BI$52)),IF(AND(Results!$E$5="Volume",$C$54&gt;0,Results!$E$4="Fluid"),((BI41*BI$51)/(BI$54)),IF(AND(Results!$E$4="Cells",Results!$E$5="Million",$B$52="million"),((BI41*BI$51)/(BI$52)),"0")))))</f>
        <v>153.50790000000001</v>
      </c>
      <c r="BJ94" s="20">
        <f>IF(BJ41=0,"0",IF(AND(Results!$E$5="Protein",$C$53&gt;0,OR(Results!$E$4="Tissue",Results!$E$4="Cells")),((BJ41*BJ$51)/(BJ$53)),IF(AND(Results!$E$5="Weight",$C$52&gt;0, Results!$E$4="Tissue",OR($B$52="g",$B$52="mg")),((BJ41*BJ$51)/(BJ$52)),IF(AND(Results!$E$5="Volume",$C$54&gt;0,Results!$E$4="Fluid"),((BJ41*BJ$51)/(BJ$54)),IF(AND(Results!$E$4="Cells",Results!$E$5="Million",$B$52="million"),((BJ41*BJ$51)/(BJ$52)),"0")))))</f>
        <v>332.65163333333328</v>
      </c>
      <c r="BK94" s="20">
        <f>IF(BK41=0,"0",IF(AND(Results!$E$5="Protein",$C$53&gt;0,OR(Results!$E$4="Tissue",Results!$E$4="Cells")),((BK41*BK$51)/(BK$53)),IF(AND(Results!$E$5="Weight",$C$52&gt;0, Results!$E$4="Tissue",OR($B$52="g",$B$52="mg")),((BK41*BK$51)/(BK$52)),IF(AND(Results!$E$5="Volume",$C$54&gt;0,Results!$E$4="Fluid"),((BK41*BK$51)/(BK$54)),IF(AND(Results!$E$4="Cells",Results!$E$5="Million",$B$52="million"),((BK41*BK$51)/(BK$52)),"0")))))</f>
        <v>296.76788333333332</v>
      </c>
      <c r="BL94" s="20">
        <f>IF(BL41=0,"0",IF(AND(Results!$E$5="Protein",$C$53&gt;0,OR(Results!$E$4="Tissue",Results!$E$4="Cells")),((BL41*BL$51)/(BL$53)),IF(AND(Results!$E$5="Weight",$C$52&gt;0, Results!$E$4="Tissue",OR($B$52="g",$B$52="mg")),((BL41*BL$51)/(BL$52)),IF(AND(Results!$E$5="Volume",$C$54&gt;0,Results!$E$4="Fluid"),((BL41*BL$51)/(BL$54)),IF(AND(Results!$E$4="Cells",Results!$E$5="Million",$B$52="million"),((BL41*BL$51)/(BL$52)),"0")))))</f>
        <v>261.69086666666664</v>
      </c>
      <c r="BM94" s="20">
        <f>IF(BM41=0,"0",IF(AND(Results!$E$5="Protein",$C$53&gt;0,OR(Results!$E$4="Tissue",Results!$E$4="Cells")),((BM41*BM$51)/(BM$53)),IF(AND(Results!$E$5="Weight",$C$52&gt;0, Results!$E$4="Tissue",OR($B$52="g",$B$52="mg")),((BM41*BM$51)/(BM$52)),IF(AND(Results!$E$5="Volume",$C$54&gt;0,Results!$E$4="Fluid"),((BM41*BM$51)/(BM$54)),IF(AND(Results!$E$4="Cells",Results!$E$5="Million",$B$52="million"),((BM41*BM$51)/(BM$52)),"0")))))</f>
        <v>426.70885714285714</v>
      </c>
      <c r="BN94" s="20">
        <f>IF(BN41=0,"0",IF(AND(Results!$E$5="Protein",$C$53&gt;0,OR(Results!$E$4="Tissue",Results!$E$4="Cells")),((BN41*BN$51)/(BN$53)),IF(AND(Results!$E$5="Weight",$C$52&gt;0, Results!$E$4="Tissue",OR($B$52="g",$B$52="mg")),((BN41*BN$51)/(BN$52)),IF(AND(Results!$E$5="Volume",$C$54&gt;0,Results!$E$4="Fluid"),((BN41*BN$51)/(BN$54)),IF(AND(Results!$E$4="Cells",Results!$E$5="Million",$B$52="million"),((BN41*BN$51)/(BN$52)),"0")))))</f>
        <v>615.32083333333333</v>
      </c>
      <c r="BO94" s="20">
        <f>IF(BO41=0,"0",IF(AND(Results!$E$5="Protein",$C$53&gt;0,OR(Results!$E$4="Tissue",Results!$E$4="Cells")),((BO41*BO$51)/(BO$53)),IF(AND(Results!$E$5="Weight",$C$52&gt;0, Results!$E$4="Tissue",OR($B$52="g",$B$52="mg")),((BO41*BO$51)/(BO$52)),IF(AND(Results!$E$5="Volume",$C$54&gt;0,Results!$E$4="Fluid"),((BO41*BO$51)/(BO$54)),IF(AND(Results!$E$4="Cells",Results!$E$5="Million",$B$52="million"),((BO41*BO$51)/(BO$52)),"0")))))</f>
        <v>198.35104999999996</v>
      </c>
      <c r="BP94" s="20">
        <f>IF(BP41=0,"0",IF(AND(Results!$E$5="Protein",$C$53&gt;0,OR(Results!$E$4="Tissue",Results!$E$4="Cells")),((BP41*BP$51)/(BP$53)),IF(AND(Results!$E$5="Weight",$C$52&gt;0, Results!$E$4="Tissue",OR($B$52="g",$B$52="mg")),((BP41*BP$51)/(BP$52)),IF(AND(Results!$E$5="Volume",$C$54&gt;0,Results!$E$4="Fluid"),((BP41*BP$51)/(BP$54)),IF(AND(Results!$E$4="Cells",Results!$E$5="Million",$B$52="million"),((BP41*BP$51)/(BP$52)),"0")))))</f>
        <v>239.46855000000002</v>
      </c>
      <c r="BQ94" s="20">
        <f>IF(BQ41=0,"0",IF(AND(Results!$E$5="Protein",$C$53&gt;0,OR(Results!$E$4="Tissue",Results!$E$4="Cells")),((BQ41*BQ$51)/(BQ$53)),IF(AND(Results!$E$5="Weight",$C$52&gt;0, Results!$E$4="Tissue",OR($B$52="g",$B$52="mg")),((BQ41*BQ$51)/(BQ$52)),IF(AND(Results!$E$5="Volume",$C$54&gt;0,Results!$E$4="Fluid"),((BQ41*BQ$51)/(BQ$54)),IF(AND(Results!$E$4="Cells",Results!$E$5="Million",$B$52="million"),((BQ41*BQ$51)/(BQ$52)),"0")))))</f>
        <v>144.23748333333333</v>
      </c>
      <c r="BR94" s="20">
        <f>IF(BR41=0,"0",IF(AND(Results!$E$5="Protein",$C$53&gt;0,OR(Results!$E$4="Tissue",Results!$E$4="Cells")),((BR41*BR$51)/(BR$53)),IF(AND(Results!$E$5="Weight",$C$52&gt;0, Results!$E$4="Tissue",OR($B$52="g",$B$52="mg")),((BR41*BR$51)/(BR$52)),IF(AND(Results!$E$5="Volume",$C$54&gt;0,Results!$E$4="Fluid"),((BR41*BR$51)/(BR$54)),IF(AND(Results!$E$4="Cells",Results!$E$5="Million",$B$52="million"),((BR41*BR$51)/(BR$52)),"0")))))</f>
        <v>55.534942857142859</v>
      </c>
      <c r="BS94" s="20">
        <f>IF(BS41=0,"0",IF(AND(Results!$E$5="Protein",$C$53&gt;0,OR(Results!$E$4="Tissue",Results!$E$4="Cells")),((BS41*BS$51)/(BS$53)),IF(AND(Results!$E$5="Weight",$C$52&gt;0, Results!$E$4="Tissue",OR($B$52="g",$B$52="mg")),((BS41*BS$51)/(BS$52)),IF(AND(Results!$E$5="Volume",$C$54&gt;0,Results!$E$4="Fluid"),((BS41*BS$51)/(BS$54)),IF(AND(Results!$E$4="Cells",Results!$E$5="Million",$B$52="million"),((BS41*BS$51)/(BS$52)),"0")))))</f>
        <v>294.8271666666667</v>
      </c>
      <c r="BT94" s="20">
        <f>IF(BT41=0,"0",IF(AND(Results!$E$5="Protein",$C$53&gt;0,OR(Results!$E$4="Tissue",Results!$E$4="Cells")),((BT41*BT$51)/(BT$53)),IF(AND(Results!$E$5="Weight",$C$52&gt;0, Results!$E$4="Tissue",OR($B$52="g",$B$52="mg")),((BT41*BT$51)/(BT$52)),IF(AND(Results!$E$5="Volume",$C$54&gt;0,Results!$E$4="Fluid"),((BT41*BT$51)/(BT$54)),IF(AND(Results!$E$4="Cells",Results!$E$5="Million",$B$52="million"),((BT41*BT$51)/(BT$52)),"0")))))</f>
        <v>79.07371666666667</v>
      </c>
      <c r="BU94" s="20">
        <f>IF(BU41=0,"0",IF(AND(Results!$E$5="Protein",$C$53&gt;0,OR(Results!$E$4="Tissue",Results!$E$4="Cells")),((BU41*BU$51)/(BU$53)),IF(AND(Results!$E$5="Weight",$C$52&gt;0, Results!$E$4="Tissue",OR($B$52="g",$B$52="mg")),((BU41*BU$51)/(BU$52)),IF(AND(Results!$E$5="Volume",$C$54&gt;0,Results!$E$4="Fluid"),((BU41*BU$51)/(BU$54)),IF(AND(Results!$E$4="Cells",Results!$E$5="Million",$B$52="million"),((BU41*BU$51)/(BU$52)),"0")))))</f>
        <v>94.477000000000004</v>
      </c>
      <c r="BV94" s="20">
        <f>IF(BV41=0,"0",IF(AND(Results!$E$5="Protein",$C$53&gt;0,OR(Results!$E$4="Tissue",Results!$E$4="Cells")),((BV41*BV$51)/(BV$53)),IF(AND(Results!$E$5="Weight",$C$52&gt;0, Results!$E$4="Tissue",OR($B$52="g",$B$52="mg")),((BV41*BV$51)/(BV$52)),IF(AND(Results!$E$5="Volume",$C$54&gt;0,Results!$E$4="Fluid"),((BV41*BV$51)/(BV$54)),IF(AND(Results!$E$4="Cells",Results!$E$5="Million",$B$52="million"),((BV41*BV$51)/(BV$52)),"0")))))</f>
        <v>95.731849999999994</v>
      </c>
      <c r="BW94" s="20">
        <f>IF(BW41=0,"0",IF(AND(Results!$E$5="Protein",$C$53&gt;0,OR(Results!$E$4="Tissue",Results!$E$4="Cells")),((BW41*BW$51)/(BW$53)),IF(AND(Results!$E$5="Weight",$C$52&gt;0, Results!$E$4="Tissue",OR($B$52="g",$B$52="mg")),((BW41*BW$51)/(BW$52)),IF(AND(Results!$E$5="Volume",$C$54&gt;0,Results!$E$4="Fluid"),((BW41*BW$51)/(BW$54)),IF(AND(Results!$E$4="Cells",Results!$E$5="Million",$B$52="million"),((BW41*BW$51)/(BW$52)),"0")))))</f>
        <v>240.36003333333335</v>
      </c>
      <c r="BX94" s="20">
        <f>IF(BX41=0,"0",IF(AND(Results!$E$5="Protein",$C$53&gt;0,OR(Results!$E$4="Tissue",Results!$E$4="Cells")),((BX41*BX$51)/(BX$53)),IF(AND(Results!$E$5="Weight",$C$52&gt;0, Results!$E$4="Tissue",OR($B$52="g",$B$52="mg")),((BX41*BX$51)/(BX$52)),IF(AND(Results!$E$5="Volume",$C$54&gt;0,Results!$E$4="Fluid"),((BX41*BX$51)/(BX$54)),IF(AND(Results!$E$4="Cells",Results!$E$5="Million",$B$52="million"),((BX41*BX$51)/(BX$52)),"0")))))</f>
        <v>39.700150000000001</v>
      </c>
      <c r="BY94" s="20">
        <f>IF(BY41=0,"0",IF(AND(Results!$E$5="Protein",$C$53&gt;0,OR(Results!$E$4="Tissue",Results!$E$4="Cells")),((BY41*BY$51)/(BY$53)),IF(AND(Results!$E$5="Weight",$C$52&gt;0, Results!$E$4="Tissue",OR($B$52="g",$B$52="mg")),((BY41*BY$51)/(BY$52)),IF(AND(Results!$E$5="Volume",$C$54&gt;0,Results!$E$4="Fluid"),((BY41*BY$51)/(BY$54)),IF(AND(Results!$E$4="Cells",Results!$E$5="Million",$B$52="million"),((BY41*BY$51)/(BY$52)),"0")))))</f>
        <v>305.53213333333332</v>
      </c>
      <c r="BZ94" s="20">
        <f>IF(BZ41=0,"0",IF(AND(Results!$E$5="Protein",$C$53&gt;0,OR(Results!$E$4="Tissue",Results!$E$4="Cells")),((BZ41*BZ$51)/(BZ$53)),IF(AND(Results!$E$5="Weight",$C$52&gt;0, Results!$E$4="Tissue",OR($B$52="g",$B$52="mg")),((BZ41*BZ$51)/(BZ$52)),IF(AND(Results!$E$5="Volume",$C$54&gt;0,Results!$E$4="Fluid"),((BZ41*BZ$51)/(BZ$54)),IF(AND(Results!$E$4="Cells",Results!$E$5="Million",$B$52="million"),((BZ41*BZ$51)/(BZ$52)),"0")))))</f>
        <v>88.147233333333347</v>
      </c>
      <c r="CA94" s="20">
        <f>IF(CA41=0,"0",IF(AND(Results!$E$5="Protein",$C$53&gt;0,OR(Results!$E$4="Tissue",Results!$E$4="Cells")),((CA41*CA$51)/(CA$53)),IF(AND(Results!$E$5="Weight",$C$52&gt;0, Results!$E$4="Tissue",OR($B$52="g",$B$52="mg")),((CA41*CA$51)/(CA$52)),IF(AND(Results!$E$5="Volume",$C$54&gt;0,Results!$E$4="Fluid"),((CA41*CA$51)/(CA$54)),IF(AND(Results!$E$4="Cells",Results!$E$5="Million",$B$52="million"),((CA41*CA$51)/(CA$52)),"0")))))</f>
        <v>144.31963333333334</v>
      </c>
      <c r="CB94" s="20">
        <f>IF(CB41=0,"0",IF(AND(Results!$E$5="Protein",$C$53&gt;0,OR(Results!$E$4="Tissue",Results!$E$4="Cells")),((CB41*CB$51)/(CB$53)),IF(AND(Results!$E$5="Weight",$C$52&gt;0, Results!$E$4="Tissue",OR($B$52="g",$B$52="mg")),((CB41*CB$51)/(CB$52)),IF(AND(Results!$E$5="Volume",$C$54&gt;0,Results!$E$4="Fluid"),((CB41*CB$51)/(CB$54)),IF(AND(Results!$E$4="Cells",Results!$E$5="Million",$B$52="million"),((CB41*CB$51)/(CB$52)),"0")))))</f>
        <v>31.100300000000001</v>
      </c>
      <c r="CC94" s="20">
        <f>IF(CC41=0,"0",IF(AND(Results!$E$5="Protein",$C$53&gt;0,OR(Results!$E$4="Tissue",Results!$E$4="Cells")),((CC41*CC$51)/(CC$53)),IF(AND(Results!$E$5="Weight",$C$52&gt;0, Results!$E$4="Tissue",OR($B$52="g",$B$52="mg")),((CC41*CC$51)/(CC$52)),IF(AND(Results!$E$5="Volume",$C$54&gt;0,Results!$E$4="Fluid"),((CC41*CC$51)/(CC$54)),IF(AND(Results!$E$4="Cells",Results!$E$5="Million",$B$52="million"),((CC41*CC$51)/(CC$52)),"0")))))</f>
        <v>135.72261666666665</v>
      </c>
      <c r="CD94" s="20">
        <f>IF(CD41=0,"0",IF(AND(Results!$E$5="Protein",$C$53&gt;0,OR(Results!$E$4="Tissue",Results!$E$4="Cells")),((CD41*CD$51)/(CD$53)),IF(AND(Results!$E$5="Weight",$C$52&gt;0, Results!$E$4="Tissue",OR($B$52="g",$B$52="mg")),((CD41*CD$51)/(CD$52)),IF(AND(Results!$E$5="Volume",$C$54&gt;0,Results!$E$4="Fluid"),((CD41*CD$51)/(CD$54)),IF(AND(Results!$E$4="Cells",Results!$E$5="Million",$B$52="million"),((CD41*CD$51)/(CD$52)),"0")))))</f>
        <v>150.99146666666667</v>
      </c>
      <c r="CE94" s="20">
        <f>IF(CE41=0,"0",IF(AND(Results!$E$5="Protein",$C$53&gt;0,OR(Results!$E$4="Tissue",Results!$E$4="Cells")),((CE41*CE$51)/(CE$53)),IF(AND(Results!$E$5="Weight",$C$52&gt;0, Results!$E$4="Tissue",OR($B$52="g",$B$52="mg")),((CE41*CE$51)/(CE$52)),IF(AND(Results!$E$5="Volume",$C$54&gt;0,Results!$E$4="Fluid"),((CE41*CE$51)/(CE$54)),IF(AND(Results!$E$4="Cells",Results!$E$5="Million",$B$52="million"),((CE41*CE$51)/(CE$52)),"0")))))</f>
        <v>144.53834999999998</v>
      </c>
      <c r="CF94" s="20">
        <f>IF(CF41=0,"0",IF(AND(Results!$E$5="Protein",$C$53&gt;0,OR(Results!$E$4="Tissue",Results!$E$4="Cells")),((CF41*CF$51)/(CF$53)),IF(AND(Results!$E$5="Weight",$C$52&gt;0, Results!$E$4="Tissue",OR($B$52="g",$B$52="mg")),((CF41*CF$51)/(CF$52)),IF(AND(Results!$E$5="Volume",$C$54&gt;0,Results!$E$4="Fluid"),((CF41*CF$51)/(CF$54)),IF(AND(Results!$E$4="Cells",Results!$E$5="Million",$B$52="million"),((CF41*CF$51)/(CF$52)),"0")))))</f>
        <v>53.037633333333332</v>
      </c>
      <c r="CG94" s="20">
        <f>IF(CG41=0,"0",IF(AND(Results!$E$5="Protein",$C$53&gt;0,OR(Results!$E$4="Tissue",Results!$E$4="Cells")),((CG41*CG$51)/(CG$53)),IF(AND(Results!$E$5="Weight",$C$52&gt;0, Results!$E$4="Tissue",OR($B$52="g",$B$52="mg")),((CG41*CG$51)/(CG$52)),IF(AND(Results!$E$5="Volume",$C$54&gt;0,Results!$E$4="Fluid"),((CG41*CG$51)/(CG$54)),IF(AND(Results!$E$4="Cells",Results!$E$5="Million",$B$52="million"),((CG41*CG$51)/(CG$52)),"0")))))</f>
        <v>65.838000000000008</v>
      </c>
      <c r="CH94" s="20">
        <f>IF(CH41=0,"0",IF(AND(Results!$E$5="Protein",$C$53&gt;0,OR(Results!$E$4="Tissue",Results!$E$4="Cells")),((CH41*CH$51)/(CH$53)),IF(AND(Results!$E$5="Weight",$C$52&gt;0, Results!$E$4="Tissue",OR($B$52="g",$B$52="mg")),((CH41*CH$51)/(CH$52)),IF(AND(Results!$E$5="Volume",$C$54&gt;0,Results!$E$4="Fluid"),((CH41*CH$51)/(CH$54)),IF(AND(Results!$E$4="Cells",Results!$E$5="Million",$B$52="million"),((CH41*CH$51)/(CH$52)),"0")))))</f>
        <v>58.129983333333335</v>
      </c>
      <c r="CI94" s="20">
        <f>IF(CI41=0,"0",IF(AND(Results!$E$5="Protein",$C$53&gt;0,OR(Results!$E$4="Tissue",Results!$E$4="Cells")),((CI41*CI$51)/(CI$53)),IF(AND(Results!$E$5="Weight",$C$52&gt;0, Results!$E$4="Tissue",OR($B$52="g",$B$52="mg")),((CI41*CI$51)/(CI$52)),IF(AND(Results!$E$5="Volume",$C$54&gt;0,Results!$E$4="Fluid"),((CI41*CI$51)/(CI$54)),IF(AND(Results!$E$4="Cells",Results!$E$5="Million",$B$52="million"),((CI41*CI$51)/(CI$52)),"0")))))</f>
        <v>78.708816666666678</v>
      </c>
      <c r="CJ94" s="20">
        <f>IF(CJ41=0,"0",IF(AND(Results!$E$5="Protein",$C$53&gt;0,OR(Results!$E$4="Tissue",Results!$E$4="Cells")),((CJ41*CJ$51)/(CJ$53)),IF(AND(Results!$E$5="Weight",$C$52&gt;0, Results!$E$4="Tissue",OR($B$52="g",$B$52="mg")),((CJ41*CJ$51)/(CJ$52)),IF(AND(Results!$E$5="Volume",$C$54&gt;0,Results!$E$4="Fluid"),((CJ41*CJ$51)/(CJ$54)),IF(AND(Results!$E$4="Cells",Results!$E$5="Million",$B$52="million"),((CJ41*CJ$51)/(CJ$52)),"0")))))</f>
        <v>27.542755555555555</v>
      </c>
      <c r="CK94" s="20">
        <f>IF(CK41=0,"0",IF(AND(Results!$E$5="Protein",$C$53&gt;0,OR(Results!$E$4="Tissue",Results!$E$4="Cells")),((CK41*CK$51)/(CK$53)),IF(AND(Results!$E$5="Weight",$C$52&gt;0, Results!$E$4="Tissue",OR($B$52="g",$B$52="mg")),((CK41*CK$51)/(CK$52)),IF(AND(Results!$E$5="Volume",$C$54&gt;0,Results!$E$4="Fluid"),((CK41*CK$51)/(CK$54)),IF(AND(Results!$E$4="Cells",Results!$E$5="Million",$B$52="million"),((CK41*CK$51)/(CK$52)),"0")))))</f>
        <v>10.220233333333333</v>
      </c>
      <c r="CL94" s="20">
        <f>IF(CL41=0,"0",IF(AND(Results!$E$5="Protein",$C$53&gt;0,OR(Results!$E$4="Tissue",Results!$E$4="Cells")),((CL41*CL$51)/(CL$53)),IF(AND(Results!$E$5="Weight",$C$52&gt;0, Results!$E$4="Tissue",OR($B$52="g",$B$52="mg")),((CL41*CL$51)/(CL$52)),IF(AND(Results!$E$5="Volume",$C$54&gt;0,Results!$E$4="Fluid"),((CL41*CL$51)/(CL$54)),IF(AND(Results!$E$4="Cells",Results!$E$5="Million",$B$52="million"),((CL41*CL$51)/(CL$52)),"0")))))</f>
        <v>13.31475</v>
      </c>
      <c r="CM94" s="20">
        <f>IF(CM41=0,"0",IF(AND(Results!$E$5="Protein",$C$53&gt;0,OR(Results!$E$4="Tissue",Results!$E$4="Cells")),((CM41*CM$51)/(CM$53)),IF(AND(Results!$E$5="Weight",$C$52&gt;0, Results!$E$4="Tissue",OR($B$52="g",$B$52="mg")),((CM41*CM$51)/(CM$52)),IF(AND(Results!$E$5="Volume",$C$54&gt;0,Results!$E$4="Fluid"),((CM41*CM$51)/(CM$54)),IF(AND(Results!$E$4="Cells",Results!$E$5="Million",$B$52="million"),((CM41*CM$51)/(CM$52)),"0")))))</f>
        <v>96.036500000000004</v>
      </c>
      <c r="CN94" s="20">
        <f>IF(CN41=0,"0",IF(AND(Results!$E$5="Protein",$C$53&gt;0,OR(Results!$E$4="Tissue",Results!$E$4="Cells")),((CN41*CN$51)/(CN$53)),IF(AND(Results!$E$5="Weight",$C$52&gt;0, Results!$E$4="Tissue",OR($B$52="g",$B$52="mg")),((CN41*CN$51)/(CN$52)),IF(AND(Results!$E$5="Volume",$C$54&gt;0,Results!$E$4="Fluid"),((CN41*CN$51)/(CN$54)),IF(AND(Results!$E$4="Cells",Results!$E$5="Million",$B$52="million"),((CN41*CN$51)/(CN$52)),"0")))))</f>
        <v>49.148850000000003</v>
      </c>
      <c r="CO94" s="20">
        <f>IF(CO41=0,"0",IF(AND(Results!$E$5="Protein",$C$53&gt;0,OR(Results!$E$4="Tissue",Results!$E$4="Cells")),((CO41*CO$51)/(CO$53)),IF(AND(Results!$E$5="Weight",$C$52&gt;0, Results!$E$4="Tissue",OR($B$52="g",$B$52="mg")),((CO41*CO$51)/(CO$52)),IF(AND(Results!$E$5="Volume",$C$54&gt;0,Results!$E$4="Fluid"),((CO41*CO$51)/(CO$54)),IF(AND(Results!$E$4="Cells",Results!$E$5="Million",$B$52="million"),((CO41*CO$51)/(CO$52)),"0")))))</f>
        <v>162.41958333333335</v>
      </c>
      <c r="CP94" s="20">
        <f>IF(CP41=0,"0",IF(AND(Results!$E$5="Protein",$C$53&gt;0,OR(Results!$E$4="Tissue",Results!$E$4="Cells")),((CP41*CP$51)/(CP$53)),IF(AND(Results!$E$5="Weight",$C$52&gt;0, Results!$E$4="Tissue",OR($B$52="g",$B$52="mg")),((CP41*CP$51)/(CP$52)),IF(AND(Results!$E$5="Volume",$C$54&gt;0,Results!$E$4="Fluid"),((CP41*CP$51)/(CP$54)),IF(AND(Results!$E$4="Cells",Results!$E$5="Million",$B$52="million"),((CP41*CP$51)/(CP$52)),"0")))))</f>
        <v>198.42590000000001</v>
      </c>
      <c r="CQ94" s="20">
        <f>IF(CQ41=0,"0",IF(AND(Results!$E$5="Protein",$C$53&gt;0,OR(Results!$E$4="Tissue",Results!$E$4="Cells")),((CQ41*CQ$51)/(CQ$53)),IF(AND(Results!$E$5="Weight",$C$52&gt;0, Results!$E$4="Tissue",OR($B$52="g",$B$52="mg")),((CQ41*CQ$51)/(CQ$52)),IF(AND(Results!$E$5="Volume",$C$54&gt;0,Results!$E$4="Fluid"),((CQ41*CQ$51)/(CQ$54)),IF(AND(Results!$E$4="Cells",Results!$E$5="Million",$B$52="million"),((CQ41*CQ$51)/(CQ$52)),"0")))))</f>
        <v>186.84304999999998</v>
      </c>
      <c r="CR94" s="20">
        <f>IF(CR41=0,"0",IF(AND(Results!$E$5="Protein",$C$53&gt;0,OR(Results!$E$4="Tissue",Results!$E$4="Cells")),((CR41*CR$51)/(CR$53)),IF(AND(Results!$E$5="Weight",$C$52&gt;0, Results!$E$4="Tissue",OR($B$52="g",$B$52="mg")),((CR41*CR$51)/(CR$52)),IF(AND(Results!$E$5="Volume",$C$54&gt;0,Results!$E$4="Fluid"),((CR41*CR$51)/(CR$54)),IF(AND(Results!$E$4="Cells",Results!$E$5="Million",$B$52="million"),((CR41*CR$51)/(CR$52)),"0")))))</f>
        <v>53.327550000000002</v>
      </c>
      <c r="CS94" s="20">
        <f>IF(CS41=0,"0",IF(AND(Results!$E$5="Protein",$C$53&gt;0,OR(Results!$E$4="Tissue",Results!$E$4="Cells")),((CS41*CS$51)/(CS$53)),IF(AND(Results!$E$5="Weight",$C$52&gt;0, Results!$E$4="Tissue",OR($B$52="g",$B$52="mg")),((CS41*CS$51)/(CS$52)),IF(AND(Results!$E$5="Volume",$C$54&gt;0,Results!$E$4="Fluid"),((CS41*CS$51)/(CS$54)),IF(AND(Results!$E$4="Cells",Results!$E$5="Million",$B$52="million"),((CS41*CS$51)/(CS$52)),"0")))))</f>
        <v>129.19343333333333</v>
      </c>
      <c r="CT94" s="20">
        <f>IF(CT41=0,"0",IF(AND(Results!$E$5="Protein",$C$53&gt;0,OR(Results!$E$4="Tissue",Results!$E$4="Cells")),((CT41*CT$51)/(CT$53)),IF(AND(Results!$E$5="Weight",$C$52&gt;0, Results!$E$4="Tissue",OR($B$52="g",$B$52="mg")),((CT41*CT$51)/(CT$52)),IF(AND(Results!$E$5="Volume",$C$54&gt;0,Results!$E$4="Fluid"),((CT41*CT$51)/(CT$54)),IF(AND(Results!$E$4="Cells",Results!$E$5="Million",$B$52="million"),((CT41*CT$51)/(CT$52)),"0")))))</f>
        <v>160.35921666666667</v>
      </c>
      <c r="CU94" s="20">
        <f>IF(CU41=0,"0",IF(AND(Results!$E$5="Protein",$C$53&gt;0,OR(Results!$E$4="Tissue",Results!$E$4="Cells")),((CU41*CU$51)/(CU$53)),IF(AND(Results!$E$5="Weight",$C$52&gt;0, Results!$E$4="Tissue",OR($B$52="g",$B$52="mg")),((CU41*CU$51)/(CU$52)),IF(AND(Results!$E$5="Volume",$C$54&gt;0,Results!$E$4="Fluid"),((CU41*CU$51)/(CU$54)),IF(AND(Results!$E$4="Cells",Results!$E$5="Million",$B$52="million"),((CU41*CU$51)/(CU$52)),"0")))))</f>
        <v>115.63453333333334</v>
      </c>
      <c r="CV94" s="20">
        <f>IF(CV41=0,"0",IF(AND(Results!$E$5="Protein",$C$53&gt;0,OR(Results!$E$4="Tissue",Results!$E$4="Cells")),((CV41*CV$51)/(CV$53)),IF(AND(Results!$E$5="Weight",$C$52&gt;0, Results!$E$4="Tissue",OR($B$52="g",$B$52="mg")),((CV41*CV$51)/(CV$52)),IF(AND(Results!$E$5="Volume",$C$54&gt;0,Results!$E$4="Fluid"),((CV41*CV$51)/(CV$54)),IF(AND(Results!$E$4="Cells",Results!$E$5="Million",$B$52="million"),((CV41*CV$51)/(CV$52)),"0")))))</f>
        <v>154.85266666666666</v>
      </c>
      <c r="CW94" s="20">
        <f>IF(CW41=0,"0",IF(AND(Results!$E$5="Protein",$C$53&gt;0,OR(Results!$E$4="Tissue",Results!$E$4="Cells")),((CW41*CW$51)/(CW$53)),IF(AND(Results!$E$5="Weight",$C$52&gt;0, Results!$E$4="Tissue",OR($B$52="g",$B$52="mg")),((CW41*CW$51)/(CW$52)),IF(AND(Results!$E$5="Volume",$C$54&gt;0,Results!$E$4="Fluid"),((CW41*CW$51)/(CW$54)),IF(AND(Results!$E$4="Cells",Results!$E$5="Million",$B$52="million"),((CW41*CW$51)/(CW$52)),"0")))))</f>
        <v>180.17723333333333</v>
      </c>
      <c r="CX94" s="20">
        <f>IF(CX41=0,"0",IF(AND(Results!$E$5="Protein",$C$53&gt;0,OR(Results!$E$4="Tissue",Results!$E$4="Cells")),((CX41*CX$51)/(CX$53)),IF(AND(Results!$E$5="Weight",$C$52&gt;0, Results!$E$4="Tissue",OR($B$52="g",$B$52="mg")),((CX41*CX$51)/(CX$52)),IF(AND(Results!$E$5="Volume",$C$54&gt;0,Results!$E$4="Fluid"),((CX41*CX$51)/(CX$54)),IF(AND(Results!$E$4="Cells",Results!$E$5="Million",$B$52="million"),((CX41*CX$51)/(CX$52)),"0")))))</f>
        <v>77.618400000000008</v>
      </c>
      <c r="CY94" s="20">
        <f>IF(CY41=0,"0",IF(AND(Results!$E$5="Protein",$C$53&gt;0,OR(Results!$E$4="Tissue",Results!$E$4="Cells")),((CY41*CY$51)/(CY$53)),IF(AND(Results!$E$5="Weight",$C$52&gt;0, Results!$E$4="Tissue",OR($B$52="g",$B$52="mg")),((CY41*CY$51)/(CY$52)),IF(AND(Results!$E$5="Volume",$C$54&gt;0,Results!$E$4="Fluid"),((CY41*CY$51)/(CY$54)),IF(AND(Results!$E$4="Cells",Results!$E$5="Million",$B$52="million"),((CY41*CY$51)/(CY$52)),"0")))))</f>
        <v>34.482733333333336</v>
      </c>
      <c r="CZ94" s="20">
        <f>IF(CZ41=0,"0",IF(AND(Results!$E$5="Protein",$C$53&gt;0,OR(Results!$E$4="Tissue",Results!$E$4="Cells")),((CZ41*CZ$51)/(CZ$53)),IF(AND(Results!$E$5="Weight",$C$52&gt;0, Results!$E$4="Tissue",OR($B$52="g",$B$52="mg")),((CZ41*CZ$51)/(CZ$52)),IF(AND(Results!$E$5="Volume",$C$54&gt;0,Results!$E$4="Fluid"),((CZ41*CZ$51)/(CZ$54)),IF(AND(Results!$E$4="Cells",Results!$E$5="Million",$B$52="million"),((CZ41*CZ$51)/(CZ$52)),"0")))))</f>
        <v>35.850483333333337</v>
      </c>
      <c r="DA94" s="20">
        <f>IF(DA41=0,"0",IF(AND(Results!$E$5="Protein",$C$53&gt;0,OR(Results!$E$4="Tissue",Results!$E$4="Cells")),((DA41*DA$51)/(DA$53)),IF(AND(Results!$E$5="Weight",$C$52&gt;0, Results!$E$4="Tissue",OR($B$52="g",$B$52="mg")),((DA41*DA$51)/(DA$52)),IF(AND(Results!$E$5="Volume",$C$54&gt;0,Results!$E$4="Fluid"),((DA41*DA$51)/(DA$54)),IF(AND(Results!$E$4="Cells",Results!$E$5="Million",$B$52="million"),((DA41*DA$51)/(DA$52)),"0")))))</f>
        <v>95.413333333333341</v>
      </c>
      <c r="DB94" s="20">
        <f>IF(DB41=0,"0",IF(AND(Results!$E$5="Protein",$C$53&gt;0,OR(Results!$E$4="Tissue",Results!$E$4="Cells")),((DB41*DB$51)/(DB$53)),IF(AND(Results!$E$5="Weight",$C$52&gt;0, Results!$E$4="Tissue",OR($B$52="g",$B$52="mg")),((DB41*DB$51)/(DB$52)),IF(AND(Results!$E$5="Volume",$C$54&gt;0,Results!$E$4="Fluid"),((DB41*DB$51)/(DB$54)),IF(AND(Results!$E$4="Cells",Results!$E$5="Million",$B$52="million"),((DB41*DB$51)/(DB$52)),"0")))))</f>
        <v>157.41670000000002</v>
      </c>
      <c r="DC94" s="20">
        <f>IF(DC41=0,"0",IF(AND(Results!$E$5="Protein",$C$53&gt;0,OR(Results!$E$4="Tissue",Results!$E$4="Cells")),((DC41*DC$51)/(DC$53)),IF(AND(Results!$E$5="Weight",$C$52&gt;0, Results!$E$4="Tissue",OR($B$52="g",$B$52="mg")),((DC41*DC$51)/(DC$52)),IF(AND(Results!$E$5="Volume",$C$54&gt;0,Results!$E$4="Fluid"),((DC41*DC$51)/(DC$54)),IF(AND(Results!$E$4="Cells",Results!$E$5="Million",$B$52="million"),((DC41*DC$51)/(DC$52)),"0")))))</f>
        <v>65.941316666666665</v>
      </c>
      <c r="DD94" s="20">
        <f>IF(DD41=0,"0",IF(AND(Results!$E$5="Protein",$C$53&gt;0,OR(Results!$E$4="Tissue",Results!$E$4="Cells")),((DD41*DD$51)/(DD$53)),IF(AND(Results!$E$5="Weight",$C$52&gt;0, Results!$E$4="Tissue",OR($B$52="g",$B$52="mg")),((DD41*DD$51)/(DD$52)),IF(AND(Results!$E$5="Volume",$C$54&gt;0,Results!$E$4="Fluid"),((DD41*DD$51)/(DD$54)),IF(AND(Results!$E$4="Cells",Results!$E$5="Million",$B$52="million"),((DD41*DD$51)/(DD$52)),"0")))))</f>
        <v>173.68723333333335</v>
      </c>
      <c r="DE94" s="20">
        <f>IF(DE41=0,"0",IF(AND(Results!$E$5="Protein",$C$53&gt;0,OR(Results!$E$4="Tissue",Results!$E$4="Cells")),((DE41*DE$51)/(DE$53)),IF(AND(Results!$E$5="Weight",$C$52&gt;0, Results!$E$4="Tissue",OR($B$52="g",$B$52="mg")),((DE41*DE$51)/(DE$52)),IF(AND(Results!$E$5="Volume",$C$54&gt;0,Results!$E$4="Fluid"),((DE41*DE$51)/(DE$54)),IF(AND(Results!$E$4="Cells",Results!$E$5="Million",$B$52="million"),((DE41*DE$51)/(DE$52)),"0")))))</f>
        <v>83.265349999999998</v>
      </c>
      <c r="DF94" s="20">
        <f>IF(DF41=0,"0",IF(AND(Results!$E$5="Protein",$C$53&gt;0,OR(Results!$E$4="Tissue",Results!$E$4="Cells")),((DF41*DF$51)/(DF$53)),IF(AND(Results!$E$5="Weight",$C$52&gt;0, Results!$E$4="Tissue",OR($B$52="g",$B$52="mg")),((DF41*DF$51)/(DF$52)),IF(AND(Results!$E$5="Volume",$C$54&gt;0,Results!$E$4="Fluid"),((DF41*DF$51)/(DF$54)),IF(AND(Results!$E$4="Cells",Results!$E$5="Million",$B$52="million"),((DF41*DF$51)/(DF$52)),"0")))))</f>
        <v>51.319516666666672</v>
      </c>
      <c r="DG94" s="20">
        <f>IF(DG41=0,"0",IF(AND(Results!$E$5="Protein",$C$53&gt;0,OR(Results!$E$4="Tissue",Results!$E$4="Cells")),((DG41*DG$51)/(DG$53)),IF(AND(Results!$E$5="Weight",$C$52&gt;0, Results!$E$4="Tissue",OR($B$52="g",$B$52="mg")),((DG41*DG$51)/(DG$52)),IF(AND(Results!$E$5="Volume",$C$54&gt;0,Results!$E$4="Fluid"),((DG41*DG$51)/(DG$54)),IF(AND(Results!$E$4="Cells",Results!$E$5="Million",$B$52="million"),((DG41*DG$51)/(DG$52)),"0")))))</f>
        <v>44.327700000000007</v>
      </c>
      <c r="DH94" s="20">
        <f>IF(DH41=0,"0",IF(AND(Results!$E$5="Protein",$C$53&gt;0,OR(Results!$E$4="Tissue",Results!$E$4="Cells")),((DH41*DH$51)/(DH$53)),IF(AND(Results!$E$5="Weight",$C$52&gt;0, Results!$E$4="Tissue",OR($B$52="g",$B$52="mg")),((DH41*DH$51)/(DH$52)),IF(AND(Results!$E$5="Volume",$C$54&gt;0,Results!$E$4="Fluid"),((DH41*DH$51)/(DH$54)),IF(AND(Results!$E$4="Cells",Results!$E$5="Million",$B$52="million"),((DH41*DH$51)/(DH$52)),"0")))))</f>
        <v>19.648766666666667</v>
      </c>
      <c r="DI94" s="20">
        <f>IF(DI41=0,"0",IF(AND(Results!$E$5="Protein",$C$53&gt;0,OR(Results!$E$4="Tissue",Results!$E$4="Cells")),((DI41*DI$51)/(DI$53)),IF(AND(Results!$E$5="Weight",$C$52&gt;0, Results!$E$4="Tissue",OR($B$52="g",$B$52="mg")),((DI41*DI$51)/(DI$52)),IF(AND(Results!$E$5="Volume",$C$54&gt;0,Results!$E$4="Fluid"),((DI41*DI$51)/(DI$54)),IF(AND(Results!$E$4="Cells",Results!$E$5="Million",$B$52="million"),((DI41*DI$51)/(DI$52)),"0")))))</f>
        <v>175.00936666666666</v>
      </c>
      <c r="DJ94" s="20">
        <f>IF(DJ41=0,"0",IF(AND(Results!$E$5="Protein",$C$53&gt;0,OR(Results!$E$4="Tissue",Results!$E$4="Cells")),((DJ41*DJ$51)/(DJ$53)),IF(AND(Results!$E$5="Weight",$C$52&gt;0, Results!$E$4="Tissue",OR($B$52="g",$B$52="mg")),((DJ41*DJ$51)/(DJ$52)),IF(AND(Results!$E$5="Volume",$C$54&gt;0,Results!$E$4="Fluid"),((DJ41*DJ$51)/(DJ$54)),IF(AND(Results!$E$4="Cells",Results!$E$5="Million",$B$52="million"),((DJ41*DJ$51)/(DJ$52)),"0")))))</f>
        <v>133.89473333333333</v>
      </c>
      <c r="DK94" s="20">
        <f>IF(DK41=0,"0",IF(AND(Results!$E$5="Protein",$C$53&gt;0,OR(Results!$E$4="Tissue",Results!$E$4="Cells")),((DK41*DK$51)/(DK$53)),IF(AND(Results!$E$5="Weight",$C$52&gt;0, Results!$E$4="Tissue",OR($B$52="g",$B$52="mg")),((DK41*DK$51)/(DK$52)),IF(AND(Results!$E$5="Volume",$C$54&gt;0,Results!$E$4="Fluid"),((DK41*DK$51)/(DK$54)),IF(AND(Results!$E$4="Cells",Results!$E$5="Million",$B$52="million"),((DK41*DK$51)/(DK$52)),"0")))))</f>
        <v>40.030116666666665</v>
      </c>
      <c r="DL94" s="20">
        <f>IF(DL41=0,"0",IF(AND(Results!$E$5="Protein",$C$53&gt;0,OR(Results!$E$4="Tissue",Results!$E$4="Cells")),((DL41*DL$51)/(DL$53)),IF(AND(Results!$E$5="Weight",$C$52&gt;0, Results!$E$4="Tissue",OR($B$52="g",$B$52="mg")),((DL41*DL$51)/(DL$52)),IF(AND(Results!$E$5="Volume",$C$54&gt;0,Results!$E$4="Fluid"),((DL41*DL$51)/(DL$54)),IF(AND(Results!$E$4="Cells",Results!$E$5="Million",$B$52="million"),((DL41*DL$51)/(DL$52)),"0")))))</f>
        <v>24.660716666666666</v>
      </c>
      <c r="DM94" s="20">
        <f>IF(DM41=0,"0",IF(AND(Results!$E$5="Protein",$C$53&gt;0,OR(Results!$E$4="Tissue",Results!$E$4="Cells")),((DM41*DM$51)/(DM$53)),IF(AND(Results!$E$5="Weight",$C$52&gt;0, Results!$E$4="Tissue",OR($B$52="g",$B$52="mg")),((DM41*DM$51)/(DM$52)),IF(AND(Results!$E$5="Volume",$C$54&gt;0,Results!$E$4="Fluid"),((DM41*DM$51)/(DM$54)),IF(AND(Results!$E$4="Cells",Results!$E$5="Million",$B$52="million"),((DM41*DM$51)/(DM$52)),"0")))))</f>
        <v>213.22576666666663</v>
      </c>
      <c r="DN94" s="20">
        <f>IF(DN41=0,"0",IF(AND(Results!$E$5="Protein",$C$53&gt;0,OR(Results!$E$4="Tissue",Results!$E$4="Cells")),((DN41*DN$51)/(DN$53)),IF(AND(Results!$E$5="Weight",$C$52&gt;0, Results!$E$4="Tissue",OR($B$52="g",$B$52="mg")),((DN41*DN$51)/(DN$52)),IF(AND(Results!$E$5="Volume",$C$54&gt;0,Results!$E$4="Fluid"),((DN41*DN$51)/(DN$54)),IF(AND(Results!$E$4="Cells",Results!$E$5="Million",$B$52="million"),((DN41*DN$51)/(DN$52)),"0")))))</f>
        <v>210.98278333333334</v>
      </c>
      <c r="DO94" s="20">
        <f>IF(DO41=0,"0",IF(AND(Results!$E$5="Protein",$C$53&gt;0,OR(Results!$E$4="Tissue",Results!$E$4="Cells")),((DO41*DO$51)/(DO$53)),IF(AND(Results!$E$5="Weight",$C$52&gt;0, Results!$E$4="Tissue",OR($B$52="g",$B$52="mg")),((DO41*DO$51)/(DO$52)),IF(AND(Results!$E$5="Volume",$C$54&gt;0,Results!$E$4="Fluid"),((DO41*DO$51)/(DO$54)),IF(AND(Results!$E$4="Cells",Results!$E$5="Million",$B$52="million"),((DO41*DO$51)/(DO$52)),"0")))))</f>
        <v>252.16094999999999</v>
      </c>
      <c r="DP94" s="20">
        <f>IF(DP41=0,"0",IF(AND(Results!$E$5="Protein",$C$53&gt;0,OR(Results!$E$4="Tissue",Results!$E$4="Cells")),((DP41*DP$51)/(DP$53)),IF(AND(Results!$E$5="Weight",$C$52&gt;0, Results!$E$4="Tissue",OR($B$52="g",$B$52="mg")),((DP41*DP$51)/(DP$52)),IF(AND(Results!$E$5="Volume",$C$54&gt;0,Results!$E$4="Fluid"),((DP41*DP$51)/(DP$54)),IF(AND(Results!$E$4="Cells",Results!$E$5="Million",$B$52="million"),((DP41*DP$51)/(DP$52)),"0")))))</f>
        <v>49.504533333333335</v>
      </c>
      <c r="DQ94" s="20">
        <f>IF(DQ41=0,"0",IF(AND(Results!$E$5="Protein",$C$53&gt;0,OR(Results!$E$4="Tissue",Results!$E$4="Cells")),((DQ41*DQ$51)/(DQ$53)),IF(AND(Results!$E$5="Weight",$C$52&gt;0, Results!$E$4="Tissue",OR($B$52="g",$B$52="mg")),((DQ41*DQ$51)/(DQ$52)),IF(AND(Results!$E$5="Volume",$C$54&gt;0,Results!$E$4="Fluid"),((DQ41*DQ$51)/(DQ$54)),IF(AND(Results!$E$4="Cells",Results!$E$5="Million",$B$52="million"),((DQ41*DQ$51)/(DQ$52)),"0")))))</f>
        <v>124.75709999999999</v>
      </c>
      <c r="DR94" s="20">
        <f>IF(DR41=0,"0",IF(AND(Results!$E$5="Protein",$C$53&gt;0,OR(Results!$E$4="Tissue",Results!$E$4="Cells")),((DR41*DR$51)/(DR$53)),IF(AND(Results!$E$5="Weight",$C$52&gt;0, Results!$E$4="Tissue",OR($B$52="g",$B$52="mg")),((DR41*DR$51)/(DR$52)),IF(AND(Results!$E$5="Volume",$C$54&gt;0,Results!$E$4="Fluid"),((DR41*DR$51)/(DR$54)),IF(AND(Results!$E$4="Cells",Results!$E$5="Million",$B$52="million"),((DR41*DR$51)/(DR$52)),"0")))))</f>
        <v>318.23220000000003</v>
      </c>
      <c r="DS94" s="20">
        <f>IF(DS41=0,"0",IF(AND(Results!$E$5="Protein",$C$53&gt;0,OR(Results!$E$4="Tissue",Results!$E$4="Cells")),((DS41*DS$51)/(DS$53)),IF(AND(Results!$E$5="Weight",$C$52&gt;0, Results!$E$4="Tissue",OR($B$52="g",$B$52="mg")),((DS41*DS$51)/(DS$52)),IF(AND(Results!$E$5="Volume",$C$54&gt;0,Results!$E$4="Fluid"),((DS41*DS$51)/(DS$54)),IF(AND(Results!$E$4="Cells",Results!$E$5="Million",$B$52="million"),((DS41*DS$51)/(DS$52)),"0")))))</f>
        <v>52.696966666666668</v>
      </c>
      <c r="DT94" s="20">
        <f>IF(DT41=0,"0",IF(AND(Results!$E$5="Protein",$C$53&gt;0,OR(Results!$E$4="Tissue",Results!$E$4="Cells")),((DT41*DT$51)/(DT$53)),IF(AND(Results!$E$5="Weight",$C$52&gt;0, Results!$E$4="Tissue",OR($B$52="g",$B$52="mg")),((DT41*DT$51)/(DT$52)),IF(AND(Results!$E$5="Volume",$C$54&gt;0,Results!$E$4="Fluid"),((DT41*DT$51)/(DT$54)),IF(AND(Results!$E$4="Cells",Results!$E$5="Million",$B$52="million"),((DT41*DT$51)/(DT$52)),"0")))))</f>
        <v>117.27551666666666</v>
      </c>
      <c r="DU94" s="20">
        <f>IF(DU41=0,"0",IF(AND(Results!$E$5="Protein",$C$53&gt;0,OR(Results!$E$4="Tissue",Results!$E$4="Cells")),((DU41*DU$51)/(DU$53)),IF(AND(Results!$E$5="Weight",$C$52&gt;0, Results!$E$4="Tissue",OR($B$52="g",$B$52="mg")),((DU41*DU$51)/(DU$52)),IF(AND(Results!$E$5="Volume",$C$54&gt;0,Results!$E$4="Fluid"),((DU41*DU$51)/(DU$54)),IF(AND(Results!$E$4="Cells",Results!$E$5="Million",$B$52="million"),((DU41*DU$51)/(DU$52)),"0")))))</f>
        <v>92.306799999999996</v>
      </c>
      <c r="DV94" s="20">
        <f>IF(DV41=0,"0",IF(AND(Results!$E$5="Protein",$C$53&gt;0,OR(Results!$E$4="Tissue",Results!$E$4="Cells")),((DV41*DV$51)/(DV$53)),IF(AND(Results!$E$5="Weight",$C$52&gt;0, Results!$E$4="Tissue",OR($B$52="g",$B$52="mg")),((DV41*DV$51)/(DV$52)),IF(AND(Results!$E$5="Volume",$C$54&gt;0,Results!$E$4="Fluid"),((DV41*DV$51)/(DV$54)),IF(AND(Results!$E$4="Cells",Results!$E$5="Million",$B$52="million"),((DV41*DV$51)/(DV$52)),"0")))))</f>
        <v>78.499700000000004</v>
      </c>
      <c r="DW94" s="20">
        <f>IF(DW41=0,"0",IF(AND(Results!$E$5="Protein",$C$53&gt;0,OR(Results!$E$4="Tissue",Results!$E$4="Cells")),((DW41*DW$51)/(DW$53)),IF(AND(Results!$E$5="Weight",$C$52&gt;0, Results!$E$4="Tissue",OR($B$52="g",$B$52="mg")),((DW41*DW$51)/(DW$52)),IF(AND(Results!$E$5="Volume",$C$54&gt;0,Results!$E$4="Fluid"),((DW41*DW$51)/(DW$54)),IF(AND(Results!$E$4="Cells",Results!$E$5="Million",$B$52="million"),((DW41*DW$51)/(DW$52)),"0")))))</f>
        <v>151.16223333333335</v>
      </c>
      <c r="DX94" s="20">
        <f>IF(DX41=0,"0",IF(AND(Results!$E$5="Protein",$C$53&gt;0,OR(Results!$E$4="Tissue",Results!$E$4="Cells")),((DX41*DX$51)/(DX$53)),IF(AND(Results!$E$5="Weight",$C$52&gt;0, Results!$E$4="Tissue",OR($B$52="g",$B$52="mg")),((DX41*DX$51)/(DX$52)),IF(AND(Results!$E$5="Volume",$C$54&gt;0,Results!$E$4="Fluid"),((DX41*DX$51)/(DX$54)),IF(AND(Results!$E$4="Cells",Results!$E$5="Million",$B$52="million"),((DX41*DX$51)/(DX$52)),"0")))))</f>
        <v>74.189983333333345</v>
      </c>
      <c r="DY94" s="20">
        <f>IF(DY41=0,"0",IF(AND(Results!$E$5="Protein",$C$53&gt;0,OR(Results!$E$4="Tissue",Results!$E$4="Cells")),((DY41*DY$51)/(DY$53)),IF(AND(Results!$E$5="Weight",$C$52&gt;0, Results!$E$4="Tissue",OR($B$52="g",$B$52="mg")),((DY41*DY$51)/(DY$52)),IF(AND(Results!$E$5="Volume",$C$54&gt;0,Results!$E$4="Fluid"),((DY41*DY$51)/(DY$54)),IF(AND(Results!$E$4="Cells",Results!$E$5="Million",$B$52="million"),((DY41*DY$51)/(DY$52)),"0")))))</f>
        <v>237.51140000000001</v>
      </c>
      <c r="DZ94" s="20">
        <f>IF(DZ41=0,"0",IF(AND(Results!$E$5="Protein",$C$53&gt;0,OR(Results!$E$4="Tissue",Results!$E$4="Cells")),((DZ41*DZ$51)/(DZ$53)),IF(AND(Results!$E$5="Weight",$C$52&gt;0, Results!$E$4="Tissue",OR($B$52="g",$B$52="mg")),((DZ41*DZ$51)/(DZ$52)),IF(AND(Results!$E$5="Volume",$C$54&gt;0,Results!$E$4="Fluid"),((DZ41*DZ$51)/(DZ$54)),IF(AND(Results!$E$4="Cells",Results!$E$5="Million",$B$52="million"),((DZ41*DZ$51)/(DZ$52)),"0")))))</f>
        <v>77.507900000000006</v>
      </c>
      <c r="EA94" s="20">
        <f>IF(EA41=0,"0",IF(AND(Results!$E$5="Protein",$C$53&gt;0,OR(Results!$E$4="Tissue",Results!$E$4="Cells")),((EA41*EA$51)/(EA$53)),IF(AND(Results!$E$5="Weight",$C$52&gt;0, Results!$E$4="Tissue",OR($B$52="g",$B$52="mg")),((EA41*EA$51)/(EA$52)),IF(AND(Results!$E$5="Volume",$C$54&gt;0,Results!$E$4="Fluid"),((EA41*EA$51)/(EA$54)),IF(AND(Results!$E$4="Cells",Results!$E$5="Million",$B$52="million"),((EA41*EA$51)/(EA$52)),"0")))))</f>
        <v>169.70553333333334</v>
      </c>
      <c r="EB94" s="20">
        <f>IF(EB41=0,"0",IF(AND(Results!$E$5="Protein",$C$53&gt;0,OR(Results!$E$4="Tissue",Results!$E$4="Cells")),((EB41*EB$51)/(EB$53)),IF(AND(Results!$E$5="Weight",$C$52&gt;0, Results!$E$4="Tissue",OR($B$52="g",$B$52="mg")),((EB41*EB$51)/(EB$52)),IF(AND(Results!$E$5="Volume",$C$54&gt;0,Results!$E$4="Fluid"),((EB41*EB$51)/(EB$54)),IF(AND(Results!$E$4="Cells",Results!$E$5="Million",$B$52="million"),((EB41*EB$51)/(EB$52)),"0")))))</f>
        <v>172.69633333333334</v>
      </c>
      <c r="EC94" s="20">
        <f>IF(EC41=0,"0",IF(AND(Results!$E$5="Protein",$C$53&gt;0,OR(Results!$E$4="Tissue",Results!$E$4="Cells")),((EC41*EC$51)/(EC$53)),IF(AND(Results!$E$5="Weight",$C$52&gt;0, Results!$E$4="Tissue",OR($B$52="g",$B$52="mg")),((EC41*EC$51)/(EC$52)),IF(AND(Results!$E$5="Volume",$C$54&gt;0,Results!$E$4="Fluid"),((EC41*EC$51)/(EC$54)),IF(AND(Results!$E$4="Cells",Results!$E$5="Million",$B$52="million"),((EC41*EC$51)/(EC$52)),"0")))))</f>
        <v>37.097583333333333</v>
      </c>
      <c r="ED94" s="20">
        <f>IF(ED41=0,"0",IF(AND(Results!$E$5="Protein",$C$53&gt;0,OR(Results!$E$4="Tissue",Results!$E$4="Cells")),((ED41*ED$51)/(ED$53)),IF(AND(Results!$E$5="Weight",$C$52&gt;0, Results!$E$4="Tissue",OR($B$52="g",$B$52="mg")),((ED41*ED$51)/(ED$52)),IF(AND(Results!$E$5="Volume",$C$54&gt;0,Results!$E$4="Fluid"),((ED41*ED$51)/(ED$54)),IF(AND(Results!$E$4="Cells",Results!$E$5="Million",$B$52="million"),((ED41*ED$51)/(ED$52)),"0")))))</f>
        <v>155.67108333333334</v>
      </c>
      <c r="EE94" s="20">
        <f>IF(EE41=0,"0",IF(AND(Results!$E$5="Protein",$C$53&gt;0,OR(Results!$E$4="Tissue",Results!$E$4="Cells")),((EE41*EE$51)/(EE$53)),IF(AND(Results!$E$5="Weight",$C$52&gt;0, Results!$E$4="Tissue",OR($B$52="g",$B$52="mg")),((EE41*EE$51)/(EE$52)),IF(AND(Results!$E$5="Volume",$C$54&gt;0,Results!$E$4="Fluid"),((EE41*EE$51)/(EE$54)),IF(AND(Results!$E$4="Cells",Results!$E$5="Million",$B$52="million"),((EE41*EE$51)/(EE$52)),"0")))))</f>
        <v>49.364766666666668</v>
      </c>
      <c r="EF94" s="20">
        <f>IF(EF41=0,"0",IF(AND(Results!$E$5="Protein",$C$53&gt;0,OR(Results!$E$4="Tissue",Results!$E$4="Cells")),((EF41*EF$51)/(EF$53)),IF(AND(Results!$E$5="Weight",$C$52&gt;0, Results!$E$4="Tissue",OR($B$52="g",$B$52="mg")),((EF41*EF$51)/(EF$52)),IF(AND(Results!$E$5="Volume",$C$54&gt;0,Results!$E$4="Fluid"),((EF41*EF$51)/(EF$54)),IF(AND(Results!$E$4="Cells",Results!$E$5="Million",$B$52="million"),((EF41*EF$51)/(EF$52)),"0")))))</f>
        <v>32.975383333333333</v>
      </c>
      <c r="EG94" s="20">
        <f>IF(EG41=0,"0",IF(AND(Results!$E$5="Protein",$C$53&gt;0,OR(Results!$E$4="Tissue",Results!$E$4="Cells")),((EG41*EG$51)/(EG$53)),IF(AND(Results!$E$5="Weight",$C$52&gt;0, Results!$E$4="Tissue",OR($B$52="g",$B$52="mg")),((EG41*EG$51)/(EG$52)),IF(AND(Results!$E$5="Volume",$C$54&gt;0,Results!$E$4="Fluid"),((EG41*EG$51)/(EG$54)),IF(AND(Results!$E$4="Cells",Results!$E$5="Million",$B$52="million"),((EG41*EG$51)/(EG$52)),"0")))))</f>
        <v>42.758333333333333</v>
      </c>
      <c r="EH94" s="20">
        <f>IF(EH41=0,"0",IF(AND(Results!$E$5="Protein",$C$53&gt;0,OR(Results!$E$4="Tissue",Results!$E$4="Cells")),((EH41*EH$51)/(EH$53)),IF(AND(Results!$E$5="Weight",$C$52&gt;0, Results!$E$4="Tissue",OR($B$52="g",$B$52="mg")),((EH41*EH$51)/(EH$52)),IF(AND(Results!$E$5="Volume",$C$54&gt;0,Results!$E$4="Fluid"),((EH41*EH$51)/(EH$54)),IF(AND(Results!$E$4="Cells",Results!$E$5="Million",$B$52="million"),((EH41*EH$51)/(EH$52)),"0")))))</f>
        <v>35.724283333333332</v>
      </c>
      <c r="EI94" s="20">
        <f>IF(EI41=0,"0",IF(AND(Results!$E$5="Protein",$C$53&gt;0,OR(Results!$E$4="Tissue",Results!$E$4="Cells")),((EI41*EI$51)/(EI$53)),IF(AND(Results!$E$5="Weight",$C$52&gt;0, Results!$E$4="Tissue",OR($B$52="g",$B$52="mg")),((EI41*EI$51)/(EI$52)),IF(AND(Results!$E$5="Volume",$C$54&gt;0,Results!$E$4="Fluid"),((EI41*EI$51)/(EI$54)),IF(AND(Results!$E$4="Cells",Results!$E$5="Million",$B$52="million"),((EI41*EI$51)/(EI$52)),"0")))))</f>
        <v>18.386583333333338</v>
      </c>
      <c r="EJ94" s="20">
        <f>IF(EJ41=0,"0",IF(AND(Results!$E$5="Protein",$C$53&gt;0,OR(Results!$E$4="Tissue",Results!$E$4="Cells")),((EJ41*EJ$51)/(EJ$53)),IF(AND(Results!$E$5="Weight",$C$52&gt;0, Results!$E$4="Tissue",OR($B$52="g",$B$52="mg")),((EJ41*EJ$51)/(EJ$52)),IF(AND(Results!$E$5="Volume",$C$54&gt;0,Results!$E$4="Fluid"),((EJ41*EJ$51)/(EJ$54)),IF(AND(Results!$E$4="Cells",Results!$E$5="Million",$B$52="million"),((EJ41*EJ$51)/(EJ$52)),"0")))))</f>
        <v>132.05855000000003</v>
      </c>
      <c r="EK94" s="20">
        <f>IF(EK41=0,"0",IF(AND(Results!$E$5="Protein",$C$53&gt;0,OR(Results!$E$4="Tissue",Results!$E$4="Cells")),((EK41*EK$51)/(EK$53)),IF(AND(Results!$E$5="Weight",$C$52&gt;0, Results!$E$4="Tissue",OR($B$52="g",$B$52="mg")),((EK41*EK$51)/(EK$52)),IF(AND(Results!$E$5="Volume",$C$54&gt;0,Results!$E$4="Fluid"),((EK41*EK$51)/(EK$54)),IF(AND(Results!$E$4="Cells",Results!$E$5="Million",$B$52="million"),((EK41*EK$51)/(EK$52)),"0")))))</f>
        <v>115.3522</v>
      </c>
      <c r="EL94" s="20">
        <f>IF(EL41=0,"0",IF(AND(Results!$E$5="Protein",$C$53&gt;0,OR(Results!$E$4="Tissue",Results!$E$4="Cells")),((EL41*EL$51)/(EL$53)),IF(AND(Results!$E$5="Weight",$C$52&gt;0, Results!$E$4="Tissue",OR($B$52="g",$B$52="mg")),((EL41*EL$51)/(EL$52)),IF(AND(Results!$E$5="Volume",$C$54&gt;0,Results!$E$4="Fluid"),((EL41*EL$51)/(EL$54)),IF(AND(Results!$E$4="Cells",Results!$E$5="Million",$B$52="million"),((EL41*EL$51)/(EL$52)),"0")))))</f>
        <v>60.44636666666667</v>
      </c>
      <c r="EM94" s="20">
        <f>IF(EM41=0,"0",IF(AND(Results!$E$5="Protein",$C$53&gt;0,OR(Results!$E$4="Tissue",Results!$E$4="Cells")),((EM41*EM$51)/(EM$53)),IF(AND(Results!$E$5="Weight",$C$52&gt;0, Results!$E$4="Tissue",OR($B$52="g",$B$52="mg")),((EM41*EM$51)/(EM$52)),IF(AND(Results!$E$5="Volume",$C$54&gt;0,Results!$E$4="Fluid"),((EM41*EM$51)/(EM$54)),IF(AND(Results!$E$4="Cells",Results!$E$5="Million",$B$52="million"),((EM41*EM$51)/(EM$52)),"0")))))</f>
        <v>64.204016666666661</v>
      </c>
      <c r="EN94" s="20">
        <f>IF(EN41=0,"0",IF(AND(Results!$E$5="Protein",$C$53&gt;0,OR(Results!$E$4="Tissue",Results!$E$4="Cells")),((EN41*EN$51)/(EN$53)),IF(AND(Results!$E$5="Weight",$C$52&gt;0, Results!$E$4="Tissue",OR($B$52="g",$B$52="mg")),((EN41*EN$51)/(EN$52)),IF(AND(Results!$E$5="Volume",$C$54&gt;0,Results!$E$4="Fluid"),((EN41*EN$51)/(EN$54)),IF(AND(Results!$E$4="Cells",Results!$E$5="Million",$B$52="million"),((EN41*EN$51)/(EN$52)),"0")))))</f>
        <v>122.93671666666667</v>
      </c>
      <c r="EO94" s="20">
        <f>IF(EO41=0,"0",IF(AND(Results!$E$5="Protein",$C$53&gt;0,OR(Results!$E$4="Tissue",Results!$E$4="Cells")),((EO41*EO$51)/(EO$53)),IF(AND(Results!$E$5="Weight",$C$52&gt;0, Results!$E$4="Tissue",OR($B$52="g",$B$52="mg")),((EO41*EO$51)/(EO$52)),IF(AND(Results!$E$5="Volume",$C$54&gt;0,Results!$E$4="Fluid"),((EO41*EO$51)/(EO$54)),IF(AND(Results!$E$4="Cells",Results!$E$5="Million",$B$52="million"),((EO41*EO$51)/(EO$52)),"0")))))</f>
        <v>46.232566666666663</v>
      </c>
      <c r="EP94" s="20">
        <f>IF(EP41=0,"0",IF(AND(Results!$E$5="Protein",$C$53&gt;0,OR(Results!$E$4="Tissue",Results!$E$4="Cells")),((EP41*EP$51)/(EP$53)),IF(AND(Results!$E$5="Weight",$C$52&gt;0, Results!$E$4="Tissue",OR($B$52="g",$B$52="mg")),((EP41*EP$51)/(EP$52)),IF(AND(Results!$E$5="Volume",$C$54&gt;0,Results!$E$4="Fluid"),((EP41*EP$51)/(EP$54)),IF(AND(Results!$E$4="Cells",Results!$E$5="Million",$B$52="million"),((EP41*EP$51)/(EP$52)),"0")))))</f>
        <v>46.357733333333343</v>
      </c>
      <c r="EQ94" s="20">
        <f>IF(EQ41=0,"0",IF(AND(Results!$E$5="Protein",$C$53&gt;0,OR(Results!$E$4="Tissue",Results!$E$4="Cells")),((EQ41*EQ$51)/(EQ$53)),IF(AND(Results!$E$5="Weight",$C$52&gt;0, Results!$E$4="Tissue",OR($B$52="g",$B$52="mg")),((EQ41*EQ$51)/(EQ$52)),IF(AND(Results!$E$5="Volume",$C$54&gt;0,Results!$E$4="Fluid"),((EQ41*EQ$51)/(EQ$54)),IF(AND(Results!$E$4="Cells",Results!$E$5="Million",$B$52="million"),((EQ41*EQ$51)/(EQ$52)),"0")))))</f>
        <v>65.782883333333331</v>
      </c>
      <c r="ER94" s="20">
        <f>IF(ER41=0,"0",IF(AND(Results!$E$5="Protein",$C$53&gt;0,OR(Results!$E$4="Tissue",Results!$E$4="Cells")),((ER41*ER$51)/(ER$53)),IF(AND(Results!$E$5="Weight",$C$52&gt;0, Results!$E$4="Tissue",OR($B$52="g",$B$52="mg")),((ER41*ER$51)/(ER$52)),IF(AND(Results!$E$5="Volume",$C$54&gt;0,Results!$E$4="Fluid"),((ER41*ER$51)/(ER$54)),IF(AND(Results!$E$4="Cells",Results!$E$5="Million",$B$52="million"),((ER41*ER$51)/(ER$52)),"0")))))</f>
        <v>158.33530000000002</v>
      </c>
      <c r="ES94" s="20">
        <f>IF(ES41=0,"0",IF(AND(Results!$E$5="Protein",$C$53&gt;0,OR(Results!$E$4="Tissue",Results!$E$4="Cells")),((ES41*ES$51)/(ES$53)),IF(AND(Results!$E$5="Weight",$C$52&gt;0, Results!$E$4="Tissue",OR($B$52="g",$B$52="mg")),((ES41*ES$51)/(ES$52)),IF(AND(Results!$E$5="Volume",$C$54&gt;0,Results!$E$4="Fluid"),((ES41*ES$51)/(ES$54)),IF(AND(Results!$E$4="Cells",Results!$E$5="Million",$B$52="million"),((ES41*ES$51)/(ES$52)),"0")))))</f>
        <v>116.63046666666666</v>
      </c>
      <c r="ET94" s="20">
        <f>IF(ET41=0,"0",IF(AND(Results!$E$5="Protein",$C$53&gt;0,OR(Results!$E$4="Tissue",Results!$E$4="Cells")),((ET41*ET$51)/(ET$53)),IF(AND(Results!$E$5="Weight",$C$52&gt;0, Results!$E$4="Tissue",OR($B$52="g",$B$52="mg")),((ET41*ET$51)/(ET$52)),IF(AND(Results!$E$5="Volume",$C$54&gt;0,Results!$E$4="Fluid"),((ET41*ET$51)/(ET$54)),IF(AND(Results!$E$4="Cells",Results!$E$5="Million",$B$52="million"),((ET41*ET$51)/(ET$52)),"0")))))</f>
        <v>55.082349999999998</v>
      </c>
      <c r="EU94" s="20">
        <f>IF(EU41=0,"0",IF(AND(Results!$E$5="Protein",$C$53&gt;0,OR(Results!$E$4="Tissue",Results!$E$4="Cells")),((EU41*EU$51)/(EU$53)),IF(AND(Results!$E$5="Weight",$C$52&gt;0, Results!$E$4="Tissue",OR($B$52="g",$B$52="mg")),((EU41*EU$51)/(EU$52)),IF(AND(Results!$E$5="Volume",$C$54&gt;0,Results!$E$4="Fluid"),((EU41*EU$51)/(EU$54)),IF(AND(Results!$E$4="Cells",Results!$E$5="Million",$B$52="million"),((EU41*EU$51)/(EU$52)),"0")))))</f>
        <v>94.170466666666655</v>
      </c>
      <c r="EV94" s="20">
        <f>IF(EV41=0,"0",IF(AND(Results!$E$5="Protein",$C$53&gt;0,OR(Results!$E$4="Tissue",Results!$E$4="Cells")),((EV41*EV$51)/(EV$53)),IF(AND(Results!$E$5="Weight",$C$52&gt;0, Results!$E$4="Tissue",OR($B$52="g",$B$52="mg")),((EV41*EV$51)/(EV$52)),IF(AND(Results!$E$5="Volume",$C$54&gt;0,Results!$E$4="Fluid"),((EV41*EV$51)/(EV$54)),IF(AND(Results!$E$4="Cells",Results!$E$5="Million",$B$52="million"),((EV41*EV$51)/(EV$52)),"0")))))</f>
        <v>83.92968333333333</v>
      </c>
      <c r="EW94" s="20">
        <f>IF(EW41=0,"0",IF(AND(Results!$E$5="Protein",$C$53&gt;0,OR(Results!$E$4="Tissue",Results!$E$4="Cells")),((EW41*EW$51)/(EW$53)),IF(AND(Results!$E$5="Weight",$C$52&gt;0, Results!$E$4="Tissue",OR($B$52="g",$B$52="mg")),((EW41*EW$51)/(EW$52)),IF(AND(Results!$E$5="Volume",$C$54&gt;0,Results!$E$4="Fluid"),((EW41*EW$51)/(EW$54)),IF(AND(Results!$E$4="Cells",Results!$E$5="Million",$B$52="million"),((EW41*EW$51)/(EW$52)),"0")))))</f>
        <v>37.000183333333332</v>
      </c>
      <c r="EX94" s="20">
        <f>IF(EX41=0,"0",IF(AND(Results!$E$5="Protein",$C$53&gt;0,OR(Results!$E$4="Tissue",Results!$E$4="Cells")),((EX41*EX$51)/(EX$53)),IF(AND(Results!$E$5="Weight",$C$52&gt;0, Results!$E$4="Tissue",OR($B$52="g",$B$52="mg")),((EX41*EX$51)/(EX$52)),IF(AND(Results!$E$5="Volume",$C$54&gt;0,Results!$E$4="Fluid"),((EX41*EX$51)/(EX$54)),IF(AND(Results!$E$4="Cells",Results!$E$5="Million",$B$52="million"),((EX41*EX$51)/(EX$52)),"0")))))</f>
        <v>323.98106666666666</v>
      </c>
      <c r="EY94" s="20">
        <f>IF(EY41=0,"0",IF(AND(Results!$E$5="Protein",$C$53&gt;0,OR(Results!$E$4="Tissue",Results!$E$4="Cells")),((EY41*EY$51)/(EY$53)),IF(AND(Results!$E$5="Weight",$C$52&gt;0, Results!$E$4="Tissue",OR($B$52="g",$B$52="mg")),((EY41*EY$51)/(EY$52)),IF(AND(Results!$E$5="Volume",$C$54&gt;0,Results!$E$4="Fluid"),((EY41*EY$51)/(EY$54)),IF(AND(Results!$E$4="Cells",Results!$E$5="Million",$B$52="million"),((EY41*EY$51)/(EY$52)),"0")))))</f>
        <v>109.50086666666667</v>
      </c>
      <c r="EZ94" s="20">
        <f>IF(EZ41=0,"0",IF(AND(Results!$E$5="Protein",$C$53&gt;0,OR(Results!$E$4="Tissue",Results!$E$4="Cells")),((EZ41*EZ$51)/(EZ$53)),IF(AND(Results!$E$5="Weight",$C$52&gt;0, Results!$E$4="Tissue",OR($B$52="g",$B$52="mg")),((EZ41*EZ$51)/(EZ$52)),IF(AND(Results!$E$5="Volume",$C$54&gt;0,Results!$E$4="Fluid"),((EZ41*EZ$51)/(EZ$54)),IF(AND(Results!$E$4="Cells",Results!$E$5="Million",$B$52="million"),((EZ41*EZ$51)/(EZ$52)),"0")))))</f>
        <v>224.14035000000001</v>
      </c>
      <c r="FA94" s="20">
        <f>IF(FA41=0,"0",IF(AND(Results!$E$5="Protein",$C$53&gt;0,OR(Results!$E$4="Tissue",Results!$E$4="Cells")),((FA41*FA$51)/(FA$53)),IF(AND(Results!$E$5="Weight",$C$52&gt;0, Results!$E$4="Tissue",OR($B$52="g",$B$52="mg")),((FA41*FA$51)/(FA$52)),IF(AND(Results!$E$5="Volume",$C$54&gt;0,Results!$E$4="Fluid"),((FA41*FA$51)/(FA$54)),IF(AND(Results!$E$4="Cells",Results!$E$5="Million",$B$52="million"),((FA41*FA$51)/(FA$52)),"0")))))</f>
        <v>112.94586666666667</v>
      </c>
      <c r="FB94" s="20">
        <f>IF(FB41=0,"0",IF(AND(Results!$E$5="Protein",$C$53&gt;0,OR(Results!$E$4="Tissue",Results!$E$4="Cells")),((FB41*FB$51)/(FB$53)),IF(AND(Results!$E$5="Weight",$C$52&gt;0, Results!$E$4="Tissue",OR($B$52="g",$B$52="mg")),((FB41*FB$51)/(FB$52)),IF(AND(Results!$E$5="Volume",$C$54&gt;0,Results!$E$4="Fluid"),((FB41*FB$51)/(FB$54)),IF(AND(Results!$E$4="Cells",Results!$E$5="Million",$B$52="million"),((FB41*FB$51)/(FB$52)),"0")))))</f>
        <v>28.176499999999997</v>
      </c>
      <c r="FC94" s="20">
        <f>IF(FC41=0,"0",IF(AND(Results!$E$5="Protein",$C$53&gt;0,OR(Results!$E$4="Tissue",Results!$E$4="Cells")),((FC41*FC$51)/(FC$53)),IF(AND(Results!$E$5="Weight",$C$52&gt;0, Results!$E$4="Tissue",OR($B$52="g",$B$52="mg")),((FC41*FC$51)/(FC$52)),IF(AND(Results!$E$5="Volume",$C$54&gt;0,Results!$E$4="Fluid"),((FC41*FC$51)/(FC$54)),IF(AND(Results!$E$4="Cells",Results!$E$5="Million",$B$52="million"),((FC41*FC$51)/(FC$52)),"0")))))</f>
        <v>128.97808333333333</v>
      </c>
      <c r="FD94" s="20">
        <f>IF(FD41=0,"0",IF(AND(Results!$E$5="Protein",$C$53&gt;0,OR(Results!$E$4="Tissue",Results!$E$4="Cells")),((FD41*FD$51)/(FD$53)),IF(AND(Results!$E$5="Weight",$C$52&gt;0, Results!$E$4="Tissue",OR($B$52="g",$B$52="mg")),((FD41*FD$51)/(FD$52)),IF(AND(Results!$E$5="Volume",$C$54&gt;0,Results!$E$4="Fluid"),((FD41*FD$51)/(FD$54)),IF(AND(Results!$E$4="Cells",Results!$E$5="Million",$B$52="million"),((FD41*FD$51)/(FD$52)),"0")))))</f>
        <v>77.49733333333333</v>
      </c>
      <c r="FE94" s="20">
        <f>IF(FE41=0,"0",IF(AND(Results!$E$5="Protein",$C$53&gt;0,OR(Results!$E$4="Tissue",Results!$E$4="Cells")),((FE41*FE$51)/(FE$53)),IF(AND(Results!$E$5="Weight",$C$52&gt;0, Results!$E$4="Tissue",OR($B$52="g",$B$52="mg")),((FE41*FE$51)/(FE$52)),IF(AND(Results!$E$5="Volume",$C$54&gt;0,Results!$E$4="Fluid"),((FE41*FE$51)/(FE$54)),IF(AND(Results!$E$4="Cells",Results!$E$5="Million",$B$52="million"),((FE41*FE$51)/(FE$52)),"0")))))</f>
        <v>75.393133333333324</v>
      </c>
      <c r="FF94" s="20">
        <f>IF(FF41=0,"0",IF(AND(Results!$E$5="Protein",$C$53&gt;0,OR(Results!$E$4="Tissue",Results!$E$4="Cells")),((FF41*FF$51)/(FF$53)),IF(AND(Results!$E$5="Weight",$C$52&gt;0, Results!$E$4="Tissue",OR($B$52="g",$B$52="mg")),((FF41*FF$51)/(FF$52)),IF(AND(Results!$E$5="Volume",$C$54&gt;0,Results!$E$4="Fluid"),((FF41*FF$51)/(FF$54)),IF(AND(Results!$E$4="Cells",Results!$E$5="Million",$B$52="million"),((FF41*FF$51)/(FF$52)),"0")))))</f>
        <v>173.83825000000004</v>
      </c>
      <c r="FG94" s="20">
        <f>IF(FG41=0,"0",IF(AND(Results!$E$5="Protein",$C$53&gt;0,OR(Results!$E$4="Tissue",Results!$E$4="Cells")),((FG41*FG$51)/(FG$53)),IF(AND(Results!$E$5="Weight",$C$52&gt;0, Results!$E$4="Tissue",OR($B$52="g",$B$52="mg")),((FG41*FG$51)/(FG$52)),IF(AND(Results!$E$5="Volume",$C$54&gt;0,Results!$E$4="Fluid"),((FG41*FG$51)/(FG$54)),IF(AND(Results!$E$4="Cells",Results!$E$5="Million",$B$52="million"),((FG41*FG$51)/(FG$52)),"0")))))</f>
        <v>69.858133333333342</v>
      </c>
      <c r="FH94" s="20">
        <f>IF(FH41=0,"0",IF(AND(Results!$E$5="Protein",$C$53&gt;0,OR(Results!$E$4="Tissue",Results!$E$4="Cells")),((FH41*FH$51)/(FH$53)),IF(AND(Results!$E$5="Weight",$C$52&gt;0, Results!$E$4="Tissue",OR($B$52="g",$B$52="mg")),((FH41*FH$51)/(FH$52)),IF(AND(Results!$E$5="Volume",$C$54&gt;0,Results!$E$4="Fluid"),((FH41*FH$51)/(FH$54)),IF(AND(Results!$E$4="Cells",Results!$E$5="Million",$B$52="million"),((FH41*FH$51)/(FH$52)),"0")))))</f>
        <v>189.06283333333334</v>
      </c>
      <c r="FI94" s="20">
        <f>IF(FI41=0,"0",IF(AND(Results!$E$5="Protein",$C$53&gt;0,OR(Results!$E$4="Tissue",Results!$E$4="Cells")),((FI41*FI$51)/(FI$53)),IF(AND(Results!$E$5="Weight",$C$52&gt;0, Results!$E$4="Tissue",OR($B$52="g",$B$52="mg")),((FI41*FI$51)/(FI$52)),IF(AND(Results!$E$5="Volume",$C$54&gt;0,Results!$E$4="Fluid"),((FI41*FI$51)/(FI$54)),IF(AND(Results!$E$4="Cells",Results!$E$5="Million",$B$52="million"),((FI41*FI$51)/(FI$52)),"0")))))</f>
        <v>153.9187</v>
      </c>
      <c r="FJ94" s="20">
        <f>IF(FJ41=0,"0",IF(AND(Results!$E$5="Protein",$C$53&gt;0,OR(Results!$E$4="Tissue",Results!$E$4="Cells")),((FJ41*FJ$51)/(FJ$53)),IF(AND(Results!$E$5="Weight",$C$52&gt;0, Results!$E$4="Tissue",OR($B$52="g",$B$52="mg")),((FJ41*FJ$51)/(FJ$52)),IF(AND(Results!$E$5="Volume",$C$54&gt;0,Results!$E$4="Fluid"),((FJ41*FJ$51)/(FJ$54)),IF(AND(Results!$E$4="Cells",Results!$E$5="Million",$B$52="million"),((FJ41*FJ$51)/(FJ$52)),"0")))))</f>
        <v>300.14238333333327</v>
      </c>
      <c r="FK94" s="20">
        <f>IF(FK41=0,"0",IF(AND(Results!$E$5="Protein",$C$53&gt;0,OR(Results!$E$4="Tissue",Results!$E$4="Cells")),((FK41*FK$51)/(FK$53)),IF(AND(Results!$E$5="Weight",$C$52&gt;0, Results!$E$4="Tissue",OR($B$52="g",$B$52="mg")),((FK41*FK$51)/(FK$52)),IF(AND(Results!$E$5="Volume",$C$54&gt;0,Results!$E$4="Fluid"),((FK41*FK$51)/(FK$54)),IF(AND(Results!$E$4="Cells",Results!$E$5="Million",$B$52="million"),((FK41*FK$51)/(FK$52)),"0")))))</f>
        <v>199.86124999999998</v>
      </c>
      <c r="FL94" s="20">
        <f>IF(FL41=0,"0",IF(AND(Results!$E$5="Protein",$C$53&gt;0,OR(Results!$E$4="Tissue",Results!$E$4="Cells")),((FL41*FL$51)/(FL$53)),IF(AND(Results!$E$5="Weight",$C$52&gt;0, Results!$E$4="Tissue",OR($B$52="g",$B$52="mg")),((FL41*FL$51)/(FL$52)),IF(AND(Results!$E$5="Volume",$C$54&gt;0,Results!$E$4="Fluid"),((FL41*FL$51)/(FL$54)),IF(AND(Results!$E$4="Cells",Results!$E$5="Million",$B$52="million"),((FL41*FL$51)/(FL$52)),"0")))))</f>
        <v>282.9570333333333</v>
      </c>
      <c r="FM94" s="20">
        <f>IF(FM41=0,"0",IF(AND(Results!$E$5="Protein",$C$53&gt;0,OR(Results!$E$4="Tissue",Results!$E$4="Cells")),((FM41*FM$51)/(FM$53)),IF(AND(Results!$E$5="Weight",$C$52&gt;0, Results!$E$4="Tissue",OR($B$52="g",$B$52="mg")),((FM41*FM$51)/(FM$52)),IF(AND(Results!$E$5="Volume",$C$54&gt;0,Results!$E$4="Fluid"),((FM41*FM$51)/(FM$54)),IF(AND(Results!$E$4="Cells",Results!$E$5="Million",$B$52="million"),((FM41*FM$51)/(FM$52)),"0")))))</f>
        <v>218.71658333333335</v>
      </c>
      <c r="FN94" s="20">
        <f>IF(FN41=0,"0",IF(AND(Results!$E$5="Protein",$C$53&gt;0,OR(Results!$E$4="Tissue",Results!$E$4="Cells")),((FN41*FN$51)/(FN$53)),IF(AND(Results!$E$5="Weight",$C$52&gt;0, Results!$E$4="Tissue",OR($B$52="g",$B$52="mg")),((FN41*FN$51)/(FN$52)),IF(AND(Results!$E$5="Volume",$C$54&gt;0,Results!$E$4="Fluid"),((FN41*FN$51)/(FN$54)),IF(AND(Results!$E$4="Cells",Results!$E$5="Million",$B$52="million"),((FN41*FN$51)/(FN$52)),"0")))))</f>
        <v>83.043166666666664</v>
      </c>
      <c r="FO94" s="20">
        <f>IF(FO41=0,"0",IF(AND(Results!$E$5="Protein",$C$53&gt;0,OR(Results!$E$4="Tissue",Results!$E$4="Cells")),((FO41*FO$51)/(FO$53)),IF(AND(Results!$E$5="Weight",$C$52&gt;0, Results!$E$4="Tissue",OR($B$52="g",$B$52="mg")),((FO41*FO$51)/(FO$52)),IF(AND(Results!$E$5="Volume",$C$54&gt;0,Results!$E$4="Fluid"),((FO41*FO$51)/(FO$54)),IF(AND(Results!$E$4="Cells",Results!$E$5="Million",$B$52="million"),((FO41*FO$51)/(FO$52)),"0")))))</f>
        <v>78.768316666666664</v>
      </c>
    </row>
    <row r="95" spans="1:171" x14ac:dyDescent="0.2">
      <c r="A95" s="120" t="str">
        <f t="shared" si="1"/>
        <v>17-HDHA</v>
      </c>
      <c r="B95" s="121"/>
      <c r="C95" s="20">
        <f>IF(C42=0,"0",IF(AND(Results!$E$5="Protein",$C$53&gt;0,OR(Results!$E$4="Tissue",Results!$E$4="Cells")),((C42*C$51)/(C$53)),IF(AND(Results!$E$5="Weight",$C$52&gt;0, Results!$E$4="Tissue",OR($B$52="g",$B$52="mg")),((C42*C$51)/(C$52)),IF(AND(Results!$E$5="Volume",$C$54&gt;0,Results!$E$4="Fluid"),((C42*C$51)/(C$54)),IF(AND(Results!$E$4="Cells",Results!$E$5="Million",$B$52="million"),((C42*C$51)/(C$52)),"0")))))</f>
        <v>2.5767000000000002</v>
      </c>
      <c r="D95" s="20">
        <f>IF(D42=0,"0",IF(AND(Results!$E$5="Protein",$C$53&gt;0,OR(Results!$E$4="Tissue",Results!$E$4="Cells")),((D42*D$51)/(D$53)),IF(AND(Results!$E$5="Weight",$C$52&gt;0, Results!$E$4="Tissue",OR($B$52="g",$B$52="mg")),((D42*D$51)/(D$52)),IF(AND(Results!$E$5="Volume",$C$54&gt;0,Results!$E$4="Fluid"),((D42*D$51)/(D$54)),IF(AND(Results!$E$4="Cells",Results!$E$5="Million",$B$52="million"),((D42*D$51)/(D$52)),"0")))))</f>
        <v>4.1894833333333334</v>
      </c>
      <c r="E95" s="20">
        <f>IF(E42=0,"0",IF(AND(Results!$E$5="Protein",$C$53&gt;0,OR(Results!$E$4="Tissue",Results!$E$4="Cells")),((E42*E$51)/(E$53)),IF(AND(Results!$E$5="Weight",$C$52&gt;0, Results!$E$4="Tissue",OR($B$52="g",$B$52="mg")),((E42*E$51)/(E$52)),IF(AND(Results!$E$5="Volume",$C$54&gt;0,Results!$E$4="Fluid"),((E42*E$51)/(E$54)),IF(AND(Results!$E$4="Cells",Results!$E$5="Million",$B$52="million"),((E42*E$51)/(E$52)),"0")))))</f>
        <v>0.9401166666666666</v>
      </c>
      <c r="F95" s="20">
        <f>IF(F42=0,"0",IF(AND(Results!$E$5="Protein",$C$53&gt;0,OR(Results!$E$4="Tissue",Results!$E$4="Cells")),((F42*F$51)/(F$53)),IF(AND(Results!$E$5="Weight",$C$52&gt;0, Results!$E$4="Tissue",OR($B$52="g",$B$52="mg")),((F42*F$51)/(F$52)),IF(AND(Results!$E$5="Volume",$C$54&gt;0,Results!$E$4="Fluid"),((F42*F$51)/(F$54)),IF(AND(Results!$E$4="Cells",Results!$E$5="Million",$B$52="million"),((F42*F$51)/(F$52)),"0")))))</f>
        <v>2.8106000000000004</v>
      </c>
      <c r="G95" s="20">
        <f>IF(G42=0,"0",IF(AND(Results!$E$5="Protein",$C$53&gt;0,OR(Results!$E$4="Tissue",Results!$E$4="Cells")),((G42*G$51)/(G$53)),IF(AND(Results!$E$5="Weight",$C$52&gt;0, Results!$E$4="Tissue",OR($B$52="g",$B$52="mg")),((G42*G$51)/(G$52)),IF(AND(Results!$E$5="Volume",$C$54&gt;0,Results!$E$4="Fluid"),((G42*G$51)/(G$54)),IF(AND(Results!$E$4="Cells",Results!$E$5="Million",$B$52="million"),((G42*G$51)/(G$52)),"0")))))</f>
        <v>3.8370833333333336</v>
      </c>
      <c r="H95" s="20">
        <f>IF(H42=0,"0",IF(AND(Results!$E$5="Protein",$C$53&gt;0,OR(Results!$E$4="Tissue",Results!$E$4="Cells")),((H42*H$51)/(H$53)),IF(AND(Results!$E$5="Weight",$C$52&gt;0, Results!$E$4="Tissue",OR($B$52="g",$B$52="mg")),((H42*H$51)/(H$52)),IF(AND(Results!$E$5="Volume",$C$54&gt;0,Results!$E$4="Fluid"),((H42*H$51)/(H$54)),IF(AND(Results!$E$4="Cells",Results!$E$5="Million",$B$52="million"),((H42*H$51)/(H$52)),"0")))))</f>
        <v>4.9248000000000003</v>
      </c>
      <c r="I95" s="20">
        <f>IF(I42=0,"0",IF(AND(Results!$E$5="Protein",$C$53&gt;0,OR(Results!$E$4="Tissue",Results!$E$4="Cells")),((I42*I$51)/(I$53)),IF(AND(Results!$E$5="Weight",$C$52&gt;0, Results!$E$4="Tissue",OR($B$52="g",$B$52="mg")),((I42*I$51)/(I$52)),IF(AND(Results!$E$5="Volume",$C$54&gt;0,Results!$E$4="Fluid"),((I42*I$51)/(I$54)),IF(AND(Results!$E$4="Cells",Results!$E$5="Million",$B$52="million"),((I42*I$51)/(I$52)),"0")))))</f>
        <v>7.7584666666666671</v>
      </c>
      <c r="J95" s="20">
        <f>IF(J42=0,"0",IF(AND(Results!$E$5="Protein",$C$53&gt;0,OR(Results!$E$4="Tissue",Results!$E$4="Cells")),((J42*J$51)/(J$53)),IF(AND(Results!$E$5="Weight",$C$52&gt;0, Results!$E$4="Tissue",OR($B$52="g",$B$52="mg")),((J42*J$51)/(J$52)),IF(AND(Results!$E$5="Volume",$C$54&gt;0,Results!$E$4="Fluid"),((J42*J$51)/(J$54)),IF(AND(Results!$E$4="Cells",Results!$E$5="Million",$B$52="million"),((J42*J$51)/(J$52)),"0")))))</f>
        <v>4.0750166666666665</v>
      </c>
      <c r="K95" s="20">
        <f>IF(K42=0,"0",IF(AND(Results!$E$5="Protein",$C$53&gt;0,OR(Results!$E$4="Tissue",Results!$E$4="Cells")),((K42*K$51)/(K$53)),IF(AND(Results!$E$5="Weight",$C$52&gt;0, Results!$E$4="Tissue",OR($B$52="g",$B$52="mg")),((K42*K$51)/(K$52)),IF(AND(Results!$E$5="Volume",$C$54&gt;0,Results!$E$4="Fluid"),((K42*K$51)/(K$54)),IF(AND(Results!$E$4="Cells",Results!$E$5="Million",$B$52="million"),((K42*K$51)/(K$52)),"0")))))</f>
        <v>5.3613999999999997</v>
      </c>
      <c r="L95" s="20">
        <f>IF(L42=0,"0",IF(AND(Results!$E$5="Protein",$C$53&gt;0,OR(Results!$E$4="Tissue",Results!$E$4="Cells")),((L42*L$51)/(L$53)),IF(AND(Results!$E$5="Weight",$C$52&gt;0, Results!$E$4="Tissue",OR($B$52="g",$B$52="mg")),((L42*L$51)/(L$52)),IF(AND(Results!$E$5="Volume",$C$54&gt;0,Results!$E$4="Fluid"),((L42*L$51)/(L$54)),IF(AND(Results!$E$4="Cells",Results!$E$5="Million",$B$52="million"),((L42*L$51)/(L$52)),"0")))))</f>
        <v>1.9658833333333332</v>
      </c>
      <c r="M95" s="20">
        <f>IF(M42=0,"0",IF(AND(Results!$E$5="Protein",$C$53&gt;0,OR(Results!$E$4="Tissue",Results!$E$4="Cells")),((M42*M$51)/(M$53)),IF(AND(Results!$E$5="Weight",$C$52&gt;0, Results!$E$4="Tissue",OR($B$52="g",$B$52="mg")),((M42*M$51)/(M$52)),IF(AND(Results!$E$5="Volume",$C$54&gt;0,Results!$E$4="Fluid"),((M42*M$51)/(M$54)),IF(AND(Results!$E$4="Cells",Results!$E$5="Million",$B$52="million"),((M42*M$51)/(M$52)),"0")))))</f>
        <v>3.9744666666666668</v>
      </c>
      <c r="N95" s="20">
        <f>IF(N42=0,"0",IF(AND(Results!$E$5="Protein",$C$53&gt;0,OR(Results!$E$4="Tissue",Results!$E$4="Cells")),((N42*N$51)/(N$53)),IF(AND(Results!$E$5="Weight",$C$52&gt;0, Results!$E$4="Tissue",OR($B$52="g",$B$52="mg")),((N42*N$51)/(N$52)),IF(AND(Results!$E$5="Volume",$C$54&gt;0,Results!$E$4="Fluid"),((N42*N$51)/(N$54)),IF(AND(Results!$E$4="Cells",Results!$E$5="Million",$B$52="million"),((N42*N$51)/(N$52)),"0")))))</f>
        <v>5.2556666666666665</v>
      </c>
      <c r="O95" s="20">
        <f>IF(O42=0,"0",IF(AND(Results!$E$5="Protein",$C$53&gt;0,OR(Results!$E$4="Tissue",Results!$E$4="Cells")),((O42*O$51)/(O$53)),IF(AND(Results!$E$5="Weight",$C$52&gt;0, Results!$E$4="Tissue",OR($B$52="g",$B$52="mg")),((O42*O$51)/(O$52)),IF(AND(Results!$E$5="Volume",$C$54&gt;0,Results!$E$4="Fluid"),((O42*O$51)/(O$54)),IF(AND(Results!$E$4="Cells",Results!$E$5="Million",$B$52="million"),((O42*O$51)/(O$52)),"0")))))</f>
        <v>6.5911333333333326</v>
      </c>
      <c r="P95" s="20">
        <f>IF(P42=0,"0",IF(AND(Results!$E$5="Protein",$C$53&gt;0,OR(Results!$E$4="Tissue",Results!$E$4="Cells")),((P42*P$51)/(P$53)),IF(AND(Results!$E$5="Weight",$C$52&gt;0, Results!$E$4="Tissue",OR($B$52="g",$B$52="mg")),((P42*P$51)/(P$52)),IF(AND(Results!$E$5="Volume",$C$54&gt;0,Results!$E$4="Fluid"),((P42*P$51)/(P$54)),IF(AND(Results!$E$4="Cells",Results!$E$5="Million",$B$52="million"),((P42*P$51)/(P$52)),"0")))))</f>
        <v>8.3572333333333333</v>
      </c>
      <c r="Q95" s="20">
        <f>IF(Q42=0,"0",IF(AND(Results!$E$5="Protein",$C$53&gt;0,OR(Results!$E$4="Tissue",Results!$E$4="Cells")),((Q42*Q$51)/(Q$53)),IF(AND(Results!$E$5="Weight",$C$52&gt;0, Results!$E$4="Tissue",OR($B$52="g",$B$52="mg")),((Q42*Q$51)/(Q$52)),IF(AND(Results!$E$5="Volume",$C$54&gt;0,Results!$E$4="Fluid"),((Q42*Q$51)/(Q$54)),IF(AND(Results!$E$4="Cells",Results!$E$5="Million",$B$52="million"),((Q42*Q$51)/(Q$52)),"0")))))</f>
        <v>4.7140833333333338</v>
      </c>
      <c r="R95" s="20">
        <f>IF(R42=0,"0",IF(AND(Results!$E$5="Protein",$C$53&gt;0,OR(Results!$E$4="Tissue",Results!$E$4="Cells")),((R42*R$51)/(R$53)),IF(AND(Results!$E$5="Weight",$C$52&gt;0, Results!$E$4="Tissue",OR($B$52="g",$B$52="mg")),((R42*R$51)/(R$52)),IF(AND(Results!$E$5="Volume",$C$54&gt;0,Results!$E$4="Fluid"),((R42*R$51)/(R$54)),IF(AND(Results!$E$4="Cells",Results!$E$5="Million",$B$52="million"),((R42*R$51)/(R$52)),"0")))))</f>
        <v>20.597383333333333</v>
      </c>
      <c r="S95" s="20">
        <f>IF(S42=0,"0",IF(AND(Results!$E$5="Protein",$C$53&gt;0,OR(Results!$E$4="Tissue",Results!$E$4="Cells")),((S42*S$51)/(S$53)),IF(AND(Results!$E$5="Weight",$C$52&gt;0, Results!$E$4="Tissue",OR($B$52="g",$B$52="mg")),((S42*S$51)/(S$52)),IF(AND(Results!$E$5="Volume",$C$54&gt;0,Results!$E$4="Fluid"),((S42*S$51)/(S$54)),IF(AND(Results!$E$4="Cells",Results!$E$5="Million",$B$52="million"),((S42*S$51)/(S$52)),"0")))))</f>
        <v>4.7375166666666662</v>
      </c>
      <c r="T95" s="20">
        <f>IF(T42=0,"0",IF(AND(Results!$E$5="Protein",$C$53&gt;0,OR(Results!$E$4="Tissue",Results!$E$4="Cells")),((T42*T$51)/(T$53)),IF(AND(Results!$E$5="Weight",$C$52&gt;0, Results!$E$4="Tissue",OR($B$52="g",$B$52="mg")),((T42*T$51)/(T$52)),IF(AND(Results!$E$5="Volume",$C$54&gt;0,Results!$E$4="Fluid"),((T42*T$51)/(T$54)),IF(AND(Results!$E$4="Cells",Results!$E$5="Million",$B$52="million"),((T42*T$51)/(T$52)),"0")))))</f>
        <v>1.5780333333333332</v>
      </c>
      <c r="U95" s="20">
        <f>IF(U42=0,"0",IF(AND(Results!$E$5="Protein",$C$53&gt;0,OR(Results!$E$4="Tissue",Results!$E$4="Cells")),((U42*U$51)/(U$53)),IF(AND(Results!$E$5="Weight",$C$52&gt;0, Results!$E$4="Tissue",OR($B$52="g",$B$52="mg")),((U42*U$51)/(U$52)),IF(AND(Results!$E$5="Volume",$C$54&gt;0,Results!$E$4="Fluid"),((U42*U$51)/(U$54)),IF(AND(Results!$E$4="Cells",Results!$E$5="Million",$B$52="million"),((U42*U$51)/(U$52)),"0")))))</f>
        <v>1.4380499999999998</v>
      </c>
      <c r="V95" s="20">
        <f>IF(V42=0,"0",IF(AND(Results!$E$5="Protein",$C$53&gt;0,OR(Results!$E$4="Tissue",Results!$E$4="Cells")),((V42*V$51)/(V$53)),IF(AND(Results!$E$5="Weight",$C$52&gt;0, Results!$E$4="Tissue",OR($B$52="g",$B$52="mg")),((V42*V$51)/(V$52)),IF(AND(Results!$E$5="Volume",$C$54&gt;0,Results!$E$4="Fluid"),((V42*V$51)/(V$54)),IF(AND(Results!$E$4="Cells",Results!$E$5="Million",$B$52="million"),((V42*V$51)/(V$52)),"0")))))</f>
        <v>1.7859000000000003</v>
      </c>
      <c r="W95" s="20">
        <f>IF(W42=0,"0",IF(AND(Results!$E$5="Protein",$C$53&gt;0,OR(Results!$E$4="Tissue",Results!$E$4="Cells")),((W42*W$51)/(W$53)),IF(AND(Results!$E$5="Weight",$C$52&gt;0, Results!$E$4="Tissue",OR($B$52="g",$B$52="mg")),((W42*W$51)/(W$52)),IF(AND(Results!$E$5="Volume",$C$54&gt;0,Results!$E$4="Fluid"),((W42*W$51)/(W$54)),IF(AND(Results!$E$4="Cells",Results!$E$5="Million",$B$52="million"),((W42*W$51)/(W$52)),"0")))))</f>
        <v>12.638171428571429</v>
      </c>
      <c r="X95" s="20">
        <f>IF(X42=0,"0",IF(AND(Results!$E$5="Protein",$C$53&gt;0,OR(Results!$E$4="Tissue",Results!$E$4="Cells")),((X42*X$51)/(X$53)),IF(AND(Results!$E$5="Weight",$C$52&gt;0, Results!$E$4="Tissue",OR($B$52="g",$B$52="mg")),((X42*X$51)/(X$52)),IF(AND(Results!$E$5="Volume",$C$54&gt;0,Results!$E$4="Fluid"),((X42*X$51)/(X$54)),IF(AND(Results!$E$4="Cells",Results!$E$5="Million",$B$52="million"),((X42*X$51)/(X$52)),"0")))))</f>
        <v>6.1234799999999998</v>
      </c>
      <c r="Y95" s="20">
        <f>IF(Y42=0,"0",IF(AND(Results!$E$5="Protein",$C$53&gt;0,OR(Results!$E$4="Tissue",Results!$E$4="Cells")),((Y42*Y$51)/(Y$53)),IF(AND(Results!$E$5="Weight",$C$52&gt;0, Results!$E$4="Tissue",OR($B$52="g",$B$52="mg")),((Y42*Y$51)/(Y$52)),IF(AND(Results!$E$5="Volume",$C$54&gt;0,Results!$E$4="Fluid"),((Y42*Y$51)/(Y$54)),IF(AND(Results!$E$4="Cells",Results!$E$5="Million",$B$52="million"),((Y42*Y$51)/(Y$52)),"0")))))</f>
        <v>7.7328999999999999</v>
      </c>
      <c r="Z95" s="20">
        <f>IF(Z42=0,"0",IF(AND(Results!$E$5="Protein",$C$53&gt;0,OR(Results!$E$4="Tissue",Results!$E$4="Cells")),((Z42*Z$51)/(Z$53)),IF(AND(Results!$E$5="Weight",$C$52&gt;0, Results!$E$4="Tissue",OR($B$52="g",$B$52="mg")),((Z42*Z$51)/(Z$52)),IF(AND(Results!$E$5="Volume",$C$54&gt;0,Results!$E$4="Fluid"),((Z42*Z$51)/(Z$54)),IF(AND(Results!$E$4="Cells",Results!$E$5="Million",$B$52="million"),((Z42*Z$51)/(Z$52)),"0")))))</f>
        <v>25.379580000000001</v>
      </c>
      <c r="AA95" s="20">
        <f>IF(AA42=0,"0",IF(AND(Results!$E$5="Protein",$C$53&gt;0,OR(Results!$E$4="Tissue",Results!$E$4="Cells")),((AA42*AA$51)/(AA$53)),IF(AND(Results!$E$5="Weight",$C$52&gt;0, Results!$E$4="Tissue",OR($B$52="g",$B$52="mg")),((AA42*AA$51)/(AA$52)),IF(AND(Results!$E$5="Volume",$C$54&gt;0,Results!$E$4="Fluid"),((AA42*AA$51)/(AA$54)),IF(AND(Results!$E$4="Cells",Results!$E$5="Million",$B$52="million"),((AA42*AA$51)/(AA$52)),"0")))))</f>
        <v>3.5560499999999999</v>
      </c>
      <c r="AB95" s="20">
        <f>IF(AB42=0,"0",IF(AND(Results!$E$5="Protein",$C$53&gt;0,OR(Results!$E$4="Tissue",Results!$E$4="Cells")),((AB42*AB$51)/(AB$53)),IF(AND(Results!$E$5="Weight",$C$52&gt;0, Results!$E$4="Tissue",OR($B$52="g",$B$52="mg")),((AB42*AB$51)/(AB$52)),IF(AND(Results!$E$5="Volume",$C$54&gt;0,Results!$E$4="Fluid"),((AB42*AB$51)/(AB$54)),IF(AND(Results!$E$4="Cells",Results!$E$5="Million",$B$52="million"),((AB42*AB$51)/(AB$52)),"0")))))</f>
        <v>5.6275500000000003</v>
      </c>
      <c r="AC95" s="20">
        <f>IF(AC42=0,"0",IF(AND(Results!$E$5="Protein",$C$53&gt;0,OR(Results!$E$4="Tissue",Results!$E$4="Cells")),((AC42*AC$51)/(AC$53)),IF(AND(Results!$E$5="Weight",$C$52&gt;0, Results!$E$4="Tissue",OR($B$52="g",$B$52="mg")),((AC42*AC$51)/(AC$52)),IF(AND(Results!$E$5="Volume",$C$54&gt;0,Results!$E$4="Fluid"),((AC42*AC$51)/(AC$54)),IF(AND(Results!$E$4="Cells",Results!$E$5="Million",$B$52="million"),((AC42*AC$51)/(AC$52)),"0")))))</f>
        <v>1.9679166666666665</v>
      </c>
      <c r="AD95" s="20">
        <f>IF(AD42=0,"0",IF(AND(Results!$E$5="Protein",$C$53&gt;0,OR(Results!$E$4="Tissue",Results!$E$4="Cells")),((AD42*AD$51)/(AD$53)),IF(AND(Results!$E$5="Weight",$C$52&gt;0, Results!$E$4="Tissue",OR($B$52="g",$B$52="mg")),((AD42*AD$51)/(AD$52)),IF(AND(Results!$E$5="Volume",$C$54&gt;0,Results!$E$4="Fluid"),((AD42*AD$51)/(AD$54)),IF(AND(Results!$E$4="Cells",Results!$E$5="Million",$B$52="million"),((AD42*AD$51)/(AD$52)),"0")))))</f>
        <v>2.2875333333333332</v>
      </c>
      <c r="AE95" s="20">
        <f>IF(AE42=0,"0",IF(AND(Results!$E$5="Protein",$C$53&gt;0,OR(Results!$E$4="Tissue",Results!$E$4="Cells")),((AE42*AE$51)/(AE$53)),IF(AND(Results!$E$5="Weight",$C$52&gt;0, Results!$E$4="Tissue",OR($B$52="g",$B$52="mg")),((AE42*AE$51)/(AE$52)),IF(AND(Results!$E$5="Volume",$C$54&gt;0,Results!$E$4="Fluid"),((AE42*AE$51)/(AE$54)),IF(AND(Results!$E$4="Cells",Results!$E$5="Million",$B$52="million"),((AE42*AE$51)/(AE$52)),"0")))))</f>
        <v>1.4587000000000001</v>
      </c>
      <c r="AF95" s="20">
        <f>IF(AF42=0,"0",IF(AND(Results!$E$5="Protein",$C$53&gt;0,OR(Results!$E$4="Tissue",Results!$E$4="Cells")),((AF42*AF$51)/(AF$53)),IF(AND(Results!$E$5="Weight",$C$52&gt;0, Results!$E$4="Tissue",OR($B$52="g",$B$52="mg")),((AF42*AF$51)/(AF$52)),IF(AND(Results!$E$5="Volume",$C$54&gt;0,Results!$E$4="Fluid"),((AF42*AF$51)/(AF$54)),IF(AND(Results!$E$4="Cells",Results!$E$5="Million",$B$52="million"),((AF42*AF$51)/(AF$52)),"0")))))</f>
        <v>3.3823833333333329</v>
      </c>
      <c r="AG95" s="20">
        <f>IF(AG42=0,"0",IF(AND(Results!$E$5="Protein",$C$53&gt;0,OR(Results!$E$4="Tissue",Results!$E$4="Cells")),((AG42*AG$51)/(AG$53)),IF(AND(Results!$E$5="Weight",$C$52&gt;0, Results!$E$4="Tissue",OR($B$52="g",$B$52="mg")),((AG42*AG$51)/(AG$52)),IF(AND(Results!$E$5="Volume",$C$54&gt;0,Results!$E$4="Fluid"),((AG42*AG$51)/(AG$54)),IF(AND(Results!$E$4="Cells",Results!$E$5="Million",$B$52="million"),((AG42*AG$51)/(AG$52)),"0")))))</f>
        <v>7.5983999999999998</v>
      </c>
      <c r="AH95" s="20">
        <f>IF(AH42=0,"0",IF(AND(Results!$E$5="Protein",$C$53&gt;0,OR(Results!$E$4="Tissue",Results!$E$4="Cells")),((AH42*AH$51)/(AH$53)),IF(AND(Results!$E$5="Weight",$C$52&gt;0, Results!$E$4="Tissue",OR($B$52="g",$B$52="mg")),((AH42*AH$51)/(AH$52)),IF(AND(Results!$E$5="Volume",$C$54&gt;0,Results!$E$4="Fluid"),((AH42*AH$51)/(AH$54)),IF(AND(Results!$E$4="Cells",Results!$E$5="Million",$B$52="million"),((AH42*AH$51)/(AH$52)),"0")))))</f>
        <v>2.2536833333333335</v>
      </c>
      <c r="AI95" s="20">
        <f>IF(AI42=0,"0",IF(AND(Results!$E$5="Protein",$C$53&gt;0,OR(Results!$E$4="Tissue",Results!$E$4="Cells")),((AI42*AI$51)/(AI$53)),IF(AND(Results!$E$5="Weight",$C$52&gt;0, Results!$E$4="Tissue",OR($B$52="g",$B$52="mg")),((AI42*AI$51)/(AI$52)),IF(AND(Results!$E$5="Volume",$C$54&gt;0,Results!$E$4="Fluid"),((AI42*AI$51)/(AI$54)),IF(AND(Results!$E$4="Cells",Results!$E$5="Million",$B$52="million"),((AI42*AI$51)/(AI$52)),"0")))))</f>
        <v>7.0103666666666662</v>
      </c>
      <c r="AJ95" s="20">
        <f>IF(AJ42=0,"0",IF(AND(Results!$E$5="Protein",$C$53&gt;0,OR(Results!$E$4="Tissue",Results!$E$4="Cells")),((AJ42*AJ$51)/(AJ$53)),IF(AND(Results!$E$5="Weight",$C$52&gt;0, Results!$E$4="Tissue",OR($B$52="g",$B$52="mg")),((AJ42*AJ$51)/(AJ$52)),IF(AND(Results!$E$5="Volume",$C$54&gt;0,Results!$E$4="Fluid"),((AJ42*AJ$51)/(AJ$54)),IF(AND(Results!$E$4="Cells",Results!$E$5="Million",$B$52="million"),((AJ42*AJ$51)/(AJ$52)),"0")))))</f>
        <v>8.0372999999999983</v>
      </c>
      <c r="AK95" s="20">
        <f>IF(AK42=0,"0",IF(AND(Results!$E$5="Protein",$C$53&gt;0,OR(Results!$E$4="Tissue",Results!$E$4="Cells")),((AK42*AK$51)/(AK$53)),IF(AND(Results!$E$5="Weight",$C$52&gt;0, Results!$E$4="Tissue",OR($B$52="g",$B$52="mg")),((AK42*AK$51)/(AK$52)),IF(AND(Results!$E$5="Volume",$C$54&gt;0,Results!$E$4="Fluid"),((AK42*AK$51)/(AK$54)),IF(AND(Results!$E$4="Cells",Results!$E$5="Million",$B$52="million"),((AK42*AK$51)/(AK$52)),"0")))))</f>
        <v>1.8447166666666668</v>
      </c>
      <c r="AL95" s="20">
        <f>IF(AL42=0,"0",IF(AND(Results!$E$5="Protein",$C$53&gt;0,OR(Results!$E$4="Tissue",Results!$E$4="Cells")),((AL42*AL$51)/(AL$53)),IF(AND(Results!$E$5="Weight",$C$52&gt;0, Results!$E$4="Tissue",OR($B$52="g",$B$52="mg")),((AL42*AL$51)/(AL$52)),IF(AND(Results!$E$5="Volume",$C$54&gt;0,Results!$E$4="Fluid"),((AL42*AL$51)/(AL$54)),IF(AND(Results!$E$4="Cells",Results!$E$5="Million",$B$52="million"),((AL42*AL$51)/(AL$52)),"0")))))</f>
        <v>4.0986333333333338</v>
      </c>
      <c r="AM95" s="20">
        <f>IF(AM42=0,"0",IF(AND(Results!$E$5="Protein",$C$53&gt;0,OR(Results!$E$4="Tissue",Results!$E$4="Cells")),((AM42*AM$51)/(AM$53)),IF(AND(Results!$E$5="Weight",$C$52&gt;0, Results!$E$4="Tissue",OR($B$52="g",$B$52="mg")),((AM42*AM$51)/(AM$52)),IF(AND(Results!$E$5="Volume",$C$54&gt;0,Results!$E$4="Fluid"),((AM42*AM$51)/(AM$54)),IF(AND(Results!$E$4="Cells",Results!$E$5="Million",$B$52="million"),((AM42*AM$51)/(AM$52)),"0")))))</f>
        <v>11.123850000000001</v>
      </c>
      <c r="AN95" s="20">
        <f>IF(AN42=0,"0",IF(AND(Results!$E$5="Protein",$C$53&gt;0,OR(Results!$E$4="Tissue",Results!$E$4="Cells")),((AN42*AN$51)/(AN$53)),IF(AND(Results!$E$5="Weight",$C$52&gt;0, Results!$E$4="Tissue",OR($B$52="g",$B$52="mg")),((AN42*AN$51)/(AN$52)),IF(AND(Results!$E$5="Volume",$C$54&gt;0,Results!$E$4="Fluid"),((AN42*AN$51)/(AN$54)),IF(AND(Results!$E$4="Cells",Results!$E$5="Million",$B$52="million"),((AN42*AN$51)/(AN$52)),"0")))))</f>
        <v>3.6527000000000003</v>
      </c>
      <c r="AO95" s="20">
        <f>IF(AO42=0,"0",IF(AND(Results!$E$5="Protein",$C$53&gt;0,OR(Results!$E$4="Tissue",Results!$E$4="Cells")),((AO42*AO$51)/(AO$53)),IF(AND(Results!$E$5="Weight",$C$52&gt;0, Results!$E$4="Tissue",OR($B$52="g",$B$52="mg")),((AO42*AO$51)/(AO$52)),IF(AND(Results!$E$5="Volume",$C$54&gt;0,Results!$E$4="Fluid"),((AO42*AO$51)/(AO$54)),IF(AND(Results!$E$4="Cells",Results!$E$5="Million",$B$52="million"),((AO42*AO$51)/(AO$52)),"0")))))</f>
        <v>2.0621999999999998</v>
      </c>
      <c r="AP95" s="20">
        <f>IF(AP42=0,"0",IF(AND(Results!$E$5="Protein",$C$53&gt;0,OR(Results!$E$4="Tissue",Results!$E$4="Cells")),((AP42*AP$51)/(AP$53)),IF(AND(Results!$E$5="Weight",$C$52&gt;0, Results!$E$4="Tissue",OR($B$52="g",$B$52="mg")),((AP42*AP$51)/(AP$52)),IF(AND(Results!$E$5="Volume",$C$54&gt;0,Results!$E$4="Fluid"),((AP42*AP$51)/(AP$54)),IF(AND(Results!$E$4="Cells",Results!$E$5="Million",$B$52="million"),((AP42*AP$51)/(AP$52)),"0")))))</f>
        <v>2.1591333333333336</v>
      </c>
      <c r="AQ95" s="20">
        <f>IF(AQ42=0,"0",IF(AND(Results!$E$5="Protein",$C$53&gt;0,OR(Results!$E$4="Tissue",Results!$E$4="Cells")),((AQ42*AQ$51)/(AQ$53)),IF(AND(Results!$E$5="Weight",$C$52&gt;0, Results!$E$4="Tissue",OR($B$52="g",$B$52="mg")),((AQ42*AQ$51)/(AQ$52)),IF(AND(Results!$E$5="Volume",$C$54&gt;0,Results!$E$4="Fluid"),((AQ42*AQ$51)/(AQ$54)),IF(AND(Results!$E$4="Cells",Results!$E$5="Million",$B$52="million"),((AQ42*AQ$51)/(AQ$52)),"0")))))</f>
        <v>4.7780166666666668</v>
      </c>
      <c r="AR95" s="20">
        <f>IF(AR42=0,"0",IF(AND(Results!$E$5="Protein",$C$53&gt;0,OR(Results!$E$4="Tissue",Results!$E$4="Cells")),((AR42*AR$51)/(AR$53)),IF(AND(Results!$E$5="Weight",$C$52&gt;0, Results!$E$4="Tissue",OR($B$52="g",$B$52="mg")),((AR42*AR$51)/(AR$52)),IF(AND(Results!$E$5="Volume",$C$54&gt;0,Results!$E$4="Fluid"),((AR42*AR$51)/(AR$54)),IF(AND(Results!$E$4="Cells",Results!$E$5="Million",$B$52="million"),((AR42*AR$51)/(AR$52)),"0")))))</f>
        <v>1.2664333333333333</v>
      </c>
      <c r="AS95" s="20">
        <f>IF(AS42=0,"0",IF(AND(Results!$E$5="Protein",$C$53&gt;0,OR(Results!$E$4="Tissue",Results!$E$4="Cells")),((AS42*AS$51)/(AS$53)),IF(AND(Results!$E$5="Weight",$C$52&gt;0, Results!$E$4="Tissue",OR($B$52="g",$B$52="mg")),((AS42*AS$51)/(AS$52)),IF(AND(Results!$E$5="Volume",$C$54&gt;0,Results!$E$4="Fluid"),((AS42*AS$51)/(AS$54)),IF(AND(Results!$E$4="Cells",Results!$E$5="Million",$B$52="million"),((AS42*AS$51)/(AS$52)),"0")))))</f>
        <v>24.137483333333339</v>
      </c>
      <c r="AT95" s="20">
        <f>IF(AT42=0,"0",IF(AND(Results!$E$5="Protein",$C$53&gt;0,OR(Results!$E$4="Tissue",Results!$E$4="Cells")),((AT42*AT$51)/(AT$53)),IF(AND(Results!$E$5="Weight",$C$52&gt;0, Results!$E$4="Tissue",OR($B$52="g",$B$52="mg")),((AT42*AT$51)/(AT$52)),IF(AND(Results!$E$5="Volume",$C$54&gt;0,Results!$E$4="Fluid"),((AT42*AT$51)/(AT$54)),IF(AND(Results!$E$4="Cells",Results!$E$5="Million",$B$52="million"),((AT42*AT$51)/(AT$52)),"0")))))</f>
        <v>10.4259</v>
      </c>
      <c r="AU95" s="20">
        <f>IF(AU42=0,"0",IF(AND(Results!$E$5="Protein",$C$53&gt;0,OR(Results!$E$4="Tissue",Results!$E$4="Cells")),((AU42*AU$51)/(AU$53)),IF(AND(Results!$E$5="Weight",$C$52&gt;0, Results!$E$4="Tissue",OR($B$52="g",$B$52="mg")),((AU42*AU$51)/(AU$52)),IF(AND(Results!$E$5="Volume",$C$54&gt;0,Results!$E$4="Fluid"),((AU42*AU$51)/(AU$54)),IF(AND(Results!$E$4="Cells",Results!$E$5="Million",$B$52="million"),((AU42*AU$51)/(AU$52)),"0")))))</f>
        <v>1.49292</v>
      </c>
      <c r="AV95" s="20">
        <f>IF(AV42=0,"0",IF(AND(Results!$E$5="Protein",$C$53&gt;0,OR(Results!$E$4="Tissue",Results!$E$4="Cells")),((AV42*AV$51)/(AV$53)),IF(AND(Results!$E$5="Weight",$C$52&gt;0, Results!$E$4="Tissue",OR($B$52="g",$B$52="mg")),((AV42*AV$51)/(AV$52)),IF(AND(Results!$E$5="Volume",$C$54&gt;0,Results!$E$4="Fluid"),((AV42*AV$51)/(AV$54)),IF(AND(Results!$E$4="Cells",Results!$E$5="Million",$B$52="million"),((AV42*AV$51)/(AV$52)),"0")))))</f>
        <v>0.84928000000000015</v>
      </c>
      <c r="AW95" s="20">
        <f>IF(AW42=0,"0",IF(AND(Results!$E$5="Protein",$C$53&gt;0,OR(Results!$E$4="Tissue",Results!$E$4="Cells")),((AW42*AW$51)/(AW$53)),IF(AND(Results!$E$5="Weight",$C$52&gt;0, Results!$E$4="Tissue",OR($B$52="g",$B$52="mg")),((AW42*AW$51)/(AW$52)),IF(AND(Results!$E$5="Volume",$C$54&gt;0,Results!$E$4="Fluid"),((AW42*AW$51)/(AW$54)),IF(AND(Results!$E$4="Cells",Results!$E$5="Million",$B$52="million"),((AW42*AW$51)/(AW$52)),"0")))))</f>
        <v>1.8841833333333331</v>
      </c>
      <c r="AX95" s="20">
        <f>IF(AX42=0,"0",IF(AND(Results!$E$5="Protein",$C$53&gt;0,OR(Results!$E$4="Tissue",Results!$E$4="Cells")),((AX42*AX$51)/(AX$53)),IF(AND(Results!$E$5="Weight",$C$52&gt;0, Results!$E$4="Tissue",OR($B$52="g",$B$52="mg")),((AX42*AX$51)/(AX$52)),IF(AND(Results!$E$5="Volume",$C$54&gt;0,Results!$E$4="Fluid"),((AX42*AX$51)/(AX$54)),IF(AND(Results!$E$4="Cells",Results!$E$5="Million",$B$52="million"),((AX42*AX$51)/(AX$52)),"0")))))</f>
        <v>3.4001333333333337</v>
      </c>
      <c r="AY95" s="20">
        <f>IF(AY42=0,"0",IF(AND(Results!$E$5="Protein",$C$53&gt;0,OR(Results!$E$4="Tissue",Results!$E$4="Cells")),((AY42*AY$51)/(AY$53)),IF(AND(Results!$E$5="Weight",$C$52&gt;0, Results!$E$4="Tissue",OR($B$52="g",$B$52="mg")),((AY42*AY$51)/(AY$52)),IF(AND(Results!$E$5="Volume",$C$54&gt;0,Results!$E$4="Fluid"),((AY42*AY$51)/(AY$54)),IF(AND(Results!$E$4="Cells",Results!$E$5="Million",$B$52="million"),((AY42*AY$51)/(AY$52)),"0")))))</f>
        <v>2.9891166666666664</v>
      </c>
      <c r="AZ95" s="20">
        <f>IF(AZ42=0,"0",IF(AND(Results!$E$5="Protein",$C$53&gt;0,OR(Results!$E$4="Tissue",Results!$E$4="Cells")),((AZ42*AZ$51)/(AZ$53)),IF(AND(Results!$E$5="Weight",$C$52&gt;0, Results!$E$4="Tissue",OR($B$52="g",$B$52="mg")),((AZ42*AZ$51)/(AZ$52)),IF(AND(Results!$E$5="Volume",$C$54&gt;0,Results!$E$4="Fluid"),((AZ42*AZ$51)/(AZ$54)),IF(AND(Results!$E$4="Cells",Results!$E$5="Million",$B$52="million"),((AZ42*AZ$51)/(AZ$52)),"0")))))</f>
        <v>0.86456666666666671</v>
      </c>
      <c r="BA95" s="20">
        <f>IF(BA42=0,"0",IF(AND(Results!$E$5="Protein",$C$53&gt;0,OR(Results!$E$4="Tissue",Results!$E$4="Cells")),((BA42*BA$51)/(BA$53)),IF(AND(Results!$E$5="Weight",$C$52&gt;0, Results!$E$4="Tissue",OR($B$52="g",$B$52="mg")),((BA42*BA$51)/(BA$52)),IF(AND(Results!$E$5="Volume",$C$54&gt;0,Results!$E$4="Fluid"),((BA42*BA$51)/(BA$54)),IF(AND(Results!$E$4="Cells",Results!$E$5="Million",$B$52="million"),((BA42*BA$51)/(BA$52)),"0")))))</f>
        <v>2.7622666666666666</v>
      </c>
      <c r="BB95" s="20">
        <f>IF(BB42=0,"0",IF(AND(Results!$E$5="Protein",$C$53&gt;0,OR(Results!$E$4="Tissue",Results!$E$4="Cells")),((BB42*BB$51)/(BB$53)),IF(AND(Results!$E$5="Weight",$C$52&gt;0, Results!$E$4="Tissue",OR($B$52="g",$B$52="mg")),((BB42*BB$51)/(BB$52)),IF(AND(Results!$E$5="Volume",$C$54&gt;0,Results!$E$4="Fluid"),((BB42*BB$51)/(BB$54)),IF(AND(Results!$E$4="Cells",Results!$E$5="Million",$B$52="million"),((BB42*BB$51)/(BB$52)),"0")))))</f>
        <v>1.6281666666666665</v>
      </c>
      <c r="BC95" s="20">
        <f>IF(BC42=0,"0",IF(AND(Results!$E$5="Protein",$C$53&gt;0,OR(Results!$E$4="Tissue",Results!$E$4="Cells")),((BC42*BC$51)/(BC$53)),IF(AND(Results!$E$5="Weight",$C$52&gt;0, Results!$E$4="Tissue",OR($B$52="g",$B$52="mg")),((BC42*BC$51)/(BC$52)),IF(AND(Results!$E$5="Volume",$C$54&gt;0,Results!$E$4="Fluid"),((BC42*BC$51)/(BC$54)),IF(AND(Results!$E$4="Cells",Results!$E$5="Million",$B$52="million"),((BC42*BC$51)/(BC$52)),"0")))))</f>
        <v>1.2932833333333333</v>
      </c>
      <c r="BD95" s="20">
        <f>IF(BD42=0,"0",IF(AND(Results!$E$5="Protein",$C$53&gt;0,OR(Results!$E$4="Tissue",Results!$E$4="Cells")),((BD42*BD$51)/(BD$53)),IF(AND(Results!$E$5="Weight",$C$52&gt;0, Results!$E$4="Tissue",OR($B$52="g",$B$52="mg")),((BD42*BD$51)/(BD$52)),IF(AND(Results!$E$5="Volume",$C$54&gt;0,Results!$E$4="Fluid"),((BD42*BD$51)/(BD$54)),IF(AND(Results!$E$4="Cells",Results!$E$5="Million",$B$52="million"),((BD42*BD$51)/(BD$52)),"0")))))</f>
        <v>0.92774999999999985</v>
      </c>
      <c r="BE95" s="20">
        <f>IF(BE42=0,"0",IF(AND(Results!$E$5="Protein",$C$53&gt;0,OR(Results!$E$4="Tissue",Results!$E$4="Cells")),((BE42*BE$51)/(BE$53)),IF(AND(Results!$E$5="Weight",$C$52&gt;0, Results!$E$4="Tissue",OR($B$52="g",$B$52="mg")),((BE42*BE$51)/(BE$52)),IF(AND(Results!$E$5="Volume",$C$54&gt;0,Results!$E$4="Fluid"),((BE42*BE$51)/(BE$54)),IF(AND(Results!$E$4="Cells",Results!$E$5="Million",$B$52="million"),((BE42*BE$51)/(BE$52)),"0")))))</f>
        <v>2.0577666666666667</v>
      </c>
      <c r="BF95" s="20">
        <f>IF(BF42=0,"0",IF(AND(Results!$E$5="Protein",$C$53&gt;0,OR(Results!$E$4="Tissue",Results!$E$4="Cells")),((BF42*BF$51)/(BF$53)),IF(AND(Results!$E$5="Weight",$C$52&gt;0, Results!$E$4="Tissue",OR($B$52="g",$B$52="mg")),((BF42*BF$51)/(BF$52)),IF(AND(Results!$E$5="Volume",$C$54&gt;0,Results!$E$4="Fluid"),((BF42*BF$51)/(BF$54)),IF(AND(Results!$E$4="Cells",Results!$E$5="Million",$B$52="million"),((BF42*BF$51)/(BF$52)),"0")))))</f>
        <v>6.326833333333334</v>
      </c>
      <c r="BG95" s="20">
        <f>IF(BG42=0,"0",IF(AND(Results!$E$5="Protein",$C$53&gt;0,OR(Results!$E$4="Tissue",Results!$E$4="Cells")),((BG42*BG$51)/(BG$53)),IF(AND(Results!$E$5="Weight",$C$52&gt;0, Results!$E$4="Tissue",OR($B$52="g",$B$52="mg")),((BG42*BG$51)/(BG$52)),IF(AND(Results!$E$5="Volume",$C$54&gt;0,Results!$E$4="Fluid"),((BG42*BG$51)/(BG$54)),IF(AND(Results!$E$4="Cells",Results!$E$5="Million",$B$52="million"),((BG42*BG$51)/(BG$52)),"0")))))</f>
        <v>0.8652833333333334</v>
      </c>
      <c r="BH95" s="20">
        <f>IF(BH42=0,"0",IF(AND(Results!$E$5="Protein",$C$53&gt;0,OR(Results!$E$4="Tissue",Results!$E$4="Cells")),((BH42*BH$51)/(BH$53)),IF(AND(Results!$E$5="Weight",$C$52&gt;0, Results!$E$4="Tissue",OR($B$52="g",$B$52="mg")),((BH42*BH$51)/(BH$52)),IF(AND(Results!$E$5="Volume",$C$54&gt;0,Results!$E$4="Fluid"),((BH42*BH$51)/(BH$54)),IF(AND(Results!$E$4="Cells",Results!$E$5="Million",$B$52="million"),((BH42*BH$51)/(BH$52)),"0")))))</f>
        <v>10.407633333333333</v>
      </c>
      <c r="BI95" s="20">
        <f>IF(BI42=0,"0",IF(AND(Results!$E$5="Protein",$C$53&gt;0,OR(Results!$E$4="Tissue",Results!$E$4="Cells")),((BI42*BI$51)/(BI$53)),IF(AND(Results!$E$5="Weight",$C$52&gt;0, Results!$E$4="Tissue",OR($B$52="g",$B$52="mg")),((BI42*BI$51)/(BI$52)),IF(AND(Results!$E$5="Volume",$C$54&gt;0,Results!$E$4="Fluid"),((BI42*BI$51)/(BI$54)),IF(AND(Results!$E$4="Cells",Results!$E$5="Million",$B$52="million"),((BI42*BI$51)/(BI$52)),"0")))))</f>
        <v>14.6312</v>
      </c>
      <c r="BJ95" s="20">
        <f>IF(BJ42=0,"0",IF(AND(Results!$E$5="Protein",$C$53&gt;0,OR(Results!$E$4="Tissue",Results!$E$4="Cells")),((BJ42*BJ$51)/(BJ$53)),IF(AND(Results!$E$5="Weight",$C$52&gt;0, Results!$E$4="Tissue",OR($B$52="g",$B$52="mg")),((BJ42*BJ$51)/(BJ$52)),IF(AND(Results!$E$5="Volume",$C$54&gt;0,Results!$E$4="Fluid"),((BJ42*BJ$51)/(BJ$54)),IF(AND(Results!$E$4="Cells",Results!$E$5="Million",$B$52="million"),((BJ42*BJ$51)/(BJ$52)),"0")))))</f>
        <v>25.947600000000001</v>
      </c>
      <c r="BK95" s="20">
        <f>IF(BK42=0,"0",IF(AND(Results!$E$5="Protein",$C$53&gt;0,OR(Results!$E$4="Tissue",Results!$E$4="Cells")),((BK42*BK$51)/(BK$53)),IF(AND(Results!$E$5="Weight",$C$52&gt;0, Results!$E$4="Tissue",OR($B$52="g",$B$52="mg")),((BK42*BK$51)/(BK$52)),IF(AND(Results!$E$5="Volume",$C$54&gt;0,Results!$E$4="Fluid"),((BK42*BK$51)/(BK$54)),IF(AND(Results!$E$4="Cells",Results!$E$5="Million",$B$52="million"),((BK42*BK$51)/(BK$52)),"0")))))</f>
        <v>8.8493499999999994</v>
      </c>
      <c r="BL95" s="20">
        <f>IF(BL42=0,"0",IF(AND(Results!$E$5="Protein",$C$53&gt;0,OR(Results!$E$4="Tissue",Results!$E$4="Cells")),((BL42*BL$51)/(BL$53)),IF(AND(Results!$E$5="Weight",$C$52&gt;0, Results!$E$4="Tissue",OR($B$52="g",$B$52="mg")),((BL42*BL$51)/(BL$52)),IF(AND(Results!$E$5="Volume",$C$54&gt;0,Results!$E$4="Fluid"),((BL42*BL$51)/(BL$54)),IF(AND(Results!$E$4="Cells",Results!$E$5="Million",$B$52="million"),((BL42*BL$51)/(BL$52)),"0")))))</f>
        <v>98.393533333333352</v>
      </c>
      <c r="BM95" s="20">
        <f>IF(BM42=0,"0",IF(AND(Results!$E$5="Protein",$C$53&gt;0,OR(Results!$E$4="Tissue",Results!$E$4="Cells")),((BM42*BM$51)/(BM$53)),IF(AND(Results!$E$5="Weight",$C$52&gt;0, Results!$E$4="Tissue",OR($B$52="g",$B$52="mg")),((BM42*BM$51)/(BM$52)),IF(AND(Results!$E$5="Volume",$C$54&gt;0,Results!$E$4="Fluid"),((BM42*BM$51)/(BM$54)),IF(AND(Results!$E$4="Cells",Results!$E$5="Million",$B$52="million"),((BM42*BM$51)/(BM$52)),"0")))))</f>
        <v>159.55688571428573</v>
      </c>
      <c r="BN95" s="20">
        <f>IF(BN42=0,"0",IF(AND(Results!$E$5="Protein",$C$53&gt;0,OR(Results!$E$4="Tissue",Results!$E$4="Cells")),((BN42*BN$51)/(BN$53)),IF(AND(Results!$E$5="Weight",$C$52&gt;0, Results!$E$4="Tissue",OR($B$52="g",$B$52="mg")),((BN42*BN$51)/(BN$52)),IF(AND(Results!$E$5="Volume",$C$54&gt;0,Results!$E$4="Fluid"),((BN42*BN$51)/(BN$54)),IF(AND(Results!$E$4="Cells",Results!$E$5="Million",$B$52="million"),((BN42*BN$51)/(BN$52)),"0")))))</f>
        <v>164.33366666666669</v>
      </c>
      <c r="BO95" s="20">
        <f>IF(BO42=0,"0",IF(AND(Results!$E$5="Protein",$C$53&gt;0,OR(Results!$E$4="Tissue",Results!$E$4="Cells")),((BO42*BO$51)/(BO$53)),IF(AND(Results!$E$5="Weight",$C$52&gt;0, Results!$E$4="Tissue",OR($B$52="g",$B$52="mg")),((BO42*BO$51)/(BO$52)),IF(AND(Results!$E$5="Volume",$C$54&gt;0,Results!$E$4="Fluid"),((BO42*BO$51)/(BO$54)),IF(AND(Results!$E$4="Cells",Results!$E$5="Million",$B$52="million"),((BO42*BO$51)/(BO$52)),"0")))))</f>
        <v>133.52275</v>
      </c>
      <c r="BP95" s="20">
        <f>IF(BP42=0,"0",IF(AND(Results!$E$5="Protein",$C$53&gt;0,OR(Results!$E$4="Tissue",Results!$E$4="Cells")),((BP42*BP$51)/(BP$53)),IF(AND(Results!$E$5="Weight",$C$52&gt;0, Results!$E$4="Tissue",OR($B$52="g",$B$52="mg")),((BP42*BP$51)/(BP$52)),IF(AND(Results!$E$5="Volume",$C$54&gt;0,Results!$E$4="Fluid"),((BP42*BP$51)/(BP$54)),IF(AND(Results!$E$4="Cells",Results!$E$5="Million",$B$52="million"),((BP42*BP$51)/(BP$52)),"0")))))</f>
        <v>94.889733333333339</v>
      </c>
      <c r="BQ95" s="20">
        <f>IF(BQ42=0,"0",IF(AND(Results!$E$5="Protein",$C$53&gt;0,OR(Results!$E$4="Tissue",Results!$E$4="Cells")),((BQ42*BQ$51)/(BQ$53)),IF(AND(Results!$E$5="Weight",$C$52&gt;0, Results!$E$4="Tissue",OR($B$52="g",$B$52="mg")),((BQ42*BQ$51)/(BQ$52)),IF(AND(Results!$E$5="Volume",$C$54&gt;0,Results!$E$4="Fluid"),((BQ42*BQ$51)/(BQ$54)),IF(AND(Results!$E$4="Cells",Results!$E$5="Million",$B$52="million"),((BQ42*BQ$51)/(BQ$52)),"0")))))</f>
        <v>14.044199999999998</v>
      </c>
      <c r="BR95" s="20">
        <f>IF(BR42=0,"0",IF(AND(Results!$E$5="Protein",$C$53&gt;0,OR(Results!$E$4="Tissue",Results!$E$4="Cells")),((BR42*BR$51)/(BR$53)),IF(AND(Results!$E$5="Weight",$C$52&gt;0, Results!$E$4="Tissue",OR($B$52="g",$B$52="mg")),((BR42*BR$51)/(BR$52)),IF(AND(Results!$E$5="Volume",$C$54&gt;0,Results!$E$4="Fluid"),((BR42*BR$51)/(BR$54)),IF(AND(Results!$E$4="Cells",Results!$E$5="Million",$B$52="million"),((BR42*BR$51)/(BR$52)),"0")))))</f>
        <v>3.0154571428571426</v>
      </c>
      <c r="BS95" s="20">
        <f>IF(BS42=0,"0",IF(AND(Results!$E$5="Protein",$C$53&gt;0,OR(Results!$E$4="Tissue",Results!$E$4="Cells")),((BS42*BS$51)/(BS$53)),IF(AND(Results!$E$5="Weight",$C$52&gt;0, Results!$E$4="Tissue",OR($B$52="g",$B$52="mg")),((BS42*BS$51)/(BS$52)),IF(AND(Results!$E$5="Volume",$C$54&gt;0,Results!$E$4="Fluid"),((BS42*BS$51)/(BS$54)),IF(AND(Results!$E$4="Cells",Results!$E$5="Million",$B$52="million"),((BS42*BS$51)/(BS$52)),"0")))))</f>
        <v>109.65916666666666</v>
      </c>
      <c r="BT95" s="20">
        <f>IF(BT42=0,"0",IF(AND(Results!$E$5="Protein",$C$53&gt;0,OR(Results!$E$4="Tissue",Results!$E$4="Cells")),((BT42*BT$51)/(BT$53)),IF(AND(Results!$E$5="Weight",$C$52&gt;0, Results!$E$4="Tissue",OR($B$52="g",$B$52="mg")),((BT42*BT$51)/(BT$52)),IF(AND(Results!$E$5="Volume",$C$54&gt;0,Results!$E$4="Fluid"),((BT42*BT$51)/(BT$54)),IF(AND(Results!$E$4="Cells",Results!$E$5="Million",$B$52="million"),((BT42*BT$51)/(BT$52)),"0")))))</f>
        <v>25.338533333333334</v>
      </c>
      <c r="BU95" s="20">
        <f>IF(BU42=0,"0",IF(AND(Results!$E$5="Protein",$C$53&gt;0,OR(Results!$E$4="Tissue",Results!$E$4="Cells")),((BU42*BU$51)/(BU$53)),IF(AND(Results!$E$5="Weight",$C$52&gt;0, Results!$E$4="Tissue",OR($B$52="g",$B$52="mg")),((BU42*BU$51)/(BU$52)),IF(AND(Results!$E$5="Volume",$C$54&gt;0,Results!$E$4="Fluid"),((BU42*BU$51)/(BU$54)),IF(AND(Results!$E$4="Cells",Results!$E$5="Million",$B$52="million"),((BU42*BU$51)/(BU$52)),"0")))))</f>
        <v>13.243950000000002</v>
      </c>
      <c r="BV95" s="20">
        <f>IF(BV42=0,"0",IF(AND(Results!$E$5="Protein",$C$53&gt;0,OR(Results!$E$4="Tissue",Results!$E$4="Cells")),((BV42*BV$51)/(BV$53)),IF(AND(Results!$E$5="Weight",$C$52&gt;0, Results!$E$4="Tissue",OR($B$52="g",$B$52="mg")),((BV42*BV$51)/(BV$52)),IF(AND(Results!$E$5="Volume",$C$54&gt;0,Results!$E$4="Fluid"),((BV42*BV$51)/(BV$54)),IF(AND(Results!$E$4="Cells",Results!$E$5="Million",$B$52="million"),((BV42*BV$51)/(BV$52)),"0")))))</f>
        <v>21.580733333333335</v>
      </c>
      <c r="BW95" s="20">
        <f>IF(BW42=0,"0",IF(AND(Results!$E$5="Protein",$C$53&gt;0,OR(Results!$E$4="Tissue",Results!$E$4="Cells")),((BW42*BW$51)/(BW$53)),IF(AND(Results!$E$5="Weight",$C$52&gt;0, Results!$E$4="Tissue",OR($B$52="g",$B$52="mg")),((BW42*BW$51)/(BW$52)),IF(AND(Results!$E$5="Volume",$C$54&gt;0,Results!$E$4="Fluid"),((BW42*BW$51)/(BW$54)),IF(AND(Results!$E$4="Cells",Results!$E$5="Million",$B$52="million"),((BW42*BW$51)/(BW$52)),"0")))))</f>
        <v>6.8824500000000004</v>
      </c>
      <c r="BX95" s="20">
        <f>IF(BX42=0,"0",IF(AND(Results!$E$5="Protein",$C$53&gt;0,OR(Results!$E$4="Tissue",Results!$E$4="Cells")),((BX42*BX$51)/(BX$53)),IF(AND(Results!$E$5="Weight",$C$52&gt;0, Results!$E$4="Tissue",OR($B$52="g",$B$52="mg")),((BX42*BX$51)/(BX$52)),IF(AND(Results!$E$5="Volume",$C$54&gt;0,Results!$E$4="Fluid"),((BX42*BX$51)/(BX$54)),IF(AND(Results!$E$4="Cells",Results!$E$5="Million",$B$52="million"),((BX42*BX$51)/(BX$52)),"0")))))</f>
        <v>1.7989333333333333</v>
      </c>
      <c r="BY95" s="20">
        <f>IF(BY42=0,"0",IF(AND(Results!$E$5="Protein",$C$53&gt;0,OR(Results!$E$4="Tissue",Results!$E$4="Cells")),((BY42*BY$51)/(BY$53)),IF(AND(Results!$E$5="Weight",$C$52&gt;0, Results!$E$4="Tissue",OR($B$52="g",$B$52="mg")),((BY42*BY$51)/(BY$52)),IF(AND(Results!$E$5="Volume",$C$54&gt;0,Results!$E$4="Fluid"),((BY42*BY$51)/(BY$54)),IF(AND(Results!$E$4="Cells",Results!$E$5="Million",$B$52="million"),((BY42*BY$51)/(BY$52)),"0")))))</f>
        <v>25.862316666666668</v>
      </c>
      <c r="BZ95" s="20">
        <f>IF(BZ42=0,"0",IF(AND(Results!$E$5="Protein",$C$53&gt;0,OR(Results!$E$4="Tissue",Results!$E$4="Cells")),((BZ42*BZ$51)/(BZ$53)),IF(AND(Results!$E$5="Weight",$C$52&gt;0, Results!$E$4="Tissue",OR($B$52="g",$B$52="mg")),((BZ42*BZ$51)/(BZ$52)),IF(AND(Results!$E$5="Volume",$C$54&gt;0,Results!$E$4="Fluid"),((BZ42*BZ$51)/(BZ$54)),IF(AND(Results!$E$4="Cells",Results!$E$5="Million",$B$52="million"),((BZ42*BZ$51)/(BZ$52)),"0")))))</f>
        <v>12.863816666666668</v>
      </c>
      <c r="CA95" s="20">
        <f>IF(CA42=0,"0",IF(AND(Results!$E$5="Protein",$C$53&gt;0,OR(Results!$E$4="Tissue",Results!$E$4="Cells")),((CA42*CA$51)/(CA$53)),IF(AND(Results!$E$5="Weight",$C$52&gt;0, Results!$E$4="Tissue",OR($B$52="g",$B$52="mg")),((CA42*CA$51)/(CA$52)),IF(AND(Results!$E$5="Volume",$C$54&gt;0,Results!$E$4="Fluid"),((CA42*CA$51)/(CA$54)),IF(AND(Results!$E$4="Cells",Results!$E$5="Million",$B$52="million"),((CA42*CA$51)/(CA$52)),"0")))))</f>
        <v>7.8353666666666673</v>
      </c>
      <c r="CB95" s="20">
        <f>IF(CB42=0,"0",IF(AND(Results!$E$5="Protein",$C$53&gt;0,OR(Results!$E$4="Tissue",Results!$E$4="Cells")),((CB42*CB$51)/(CB$53)),IF(AND(Results!$E$5="Weight",$C$52&gt;0, Results!$E$4="Tissue",OR($B$52="g",$B$52="mg")),((CB42*CB$51)/(CB$52)),IF(AND(Results!$E$5="Volume",$C$54&gt;0,Results!$E$4="Fluid"),((CB42*CB$51)/(CB$54)),IF(AND(Results!$E$4="Cells",Results!$E$5="Million",$B$52="million"),((CB42*CB$51)/(CB$52)),"0")))))</f>
        <v>2.9450333333333334</v>
      </c>
      <c r="CC95" s="20">
        <f>IF(CC42=0,"0",IF(AND(Results!$E$5="Protein",$C$53&gt;0,OR(Results!$E$4="Tissue",Results!$E$4="Cells")),((CC42*CC$51)/(CC$53)),IF(AND(Results!$E$5="Weight",$C$52&gt;0, Results!$E$4="Tissue",OR($B$52="g",$B$52="mg")),((CC42*CC$51)/(CC$52)),IF(AND(Results!$E$5="Volume",$C$54&gt;0,Results!$E$4="Fluid"),((CC42*CC$51)/(CC$54)),IF(AND(Results!$E$4="Cells",Results!$E$5="Million",$B$52="million"),((CC42*CC$51)/(CC$52)),"0")))))</f>
        <v>5.1528833333333335</v>
      </c>
      <c r="CD95" s="20">
        <f>IF(CD42=0,"0",IF(AND(Results!$E$5="Protein",$C$53&gt;0,OR(Results!$E$4="Tissue",Results!$E$4="Cells")),((CD42*CD$51)/(CD$53)),IF(AND(Results!$E$5="Weight",$C$52&gt;0, Results!$E$4="Tissue",OR($B$52="g",$B$52="mg")),((CD42*CD$51)/(CD$52)),IF(AND(Results!$E$5="Volume",$C$54&gt;0,Results!$E$4="Fluid"),((CD42*CD$51)/(CD$54)),IF(AND(Results!$E$4="Cells",Results!$E$5="Million",$B$52="million"),((CD42*CD$51)/(CD$52)),"0")))))</f>
        <v>5.1805500000000002</v>
      </c>
      <c r="CE95" s="20">
        <f>IF(CE42=0,"0",IF(AND(Results!$E$5="Protein",$C$53&gt;0,OR(Results!$E$4="Tissue",Results!$E$4="Cells")),((CE42*CE$51)/(CE$53)),IF(AND(Results!$E$5="Weight",$C$52&gt;0, Results!$E$4="Tissue",OR($B$52="g",$B$52="mg")),((CE42*CE$51)/(CE$52)),IF(AND(Results!$E$5="Volume",$C$54&gt;0,Results!$E$4="Fluid"),((CE42*CE$51)/(CE$54)),IF(AND(Results!$E$4="Cells",Results!$E$5="Million",$B$52="million"),((CE42*CE$51)/(CE$52)),"0")))))</f>
        <v>29.586266666666667</v>
      </c>
      <c r="CF95" s="20">
        <f>IF(CF42=0,"0",IF(AND(Results!$E$5="Protein",$C$53&gt;0,OR(Results!$E$4="Tissue",Results!$E$4="Cells")),((CF42*CF$51)/(CF$53)),IF(AND(Results!$E$5="Weight",$C$52&gt;0, Results!$E$4="Tissue",OR($B$52="g",$B$52="mg")),((CF42*CF$51)/(CF$52)),IF(AND(Results!$E$5="Volume",$C$54&gt;0,Results!$E$4="Fluid"),((CF42*CF$51)/(CF$54)),IF(AND(Results!$E$4="Cells",Results!$E$5="Million",$B$52="million"),((CF42*CF$51)/(CF$52)),"0")))))</f>
        <v>4.2821833333333341</v>
      </c>
      <c r="CG95" s="20">
        <f>IF(CG42=0,"0",IF(AND(Results!$E$5="Protein",$C$53&gt;0,OR(Results!$E$4="Tissue",Results!$E$4="Cells")),((CG42*CG$51)/(CG$53)),IF(AND(Results!$E$5="Weight",$C$52&gt;0, Results!$E$4="Tissue",OR($B$52="g",$B$52="mg")),((CG42*CG$51)/(CG$52)),IF(AND(Results!$E$5="Volume",$C$54&gt;0,Results!$E$4="Fluid"),((CG42*CG$51)/(CG$54)),IF(AND(Results!$E$4="Cells",Results!$E$5="Million",$B$52="million"),((CG42*CG$51)/(CG$52)),"0")))))</f>
        <v>2.2539833333333332</v>
      </c>
      <c r="CH95" s="20">
        <f>IF(CH42=0,"0",IF(AND(Results!$E$5="Protein",$C$53&gt;0,OR(Results!$E$4="Tissue",Results!$E$4="Cells")),((CH42*CH$51)/(CH$53)),IF(AND(Results!$E$5="Weight",$C$52&gt;0, Results!$E$4="Tissue",OR($B$52="g",$B$52="mg")),((CH42*CH$51)/(CH$52)),IF(AND(Results!$E$5="Volume",$C$54&gt;0,Results!$E$4="Fluid"),((CH42*CH$51)/(CH$54)),IF(AND(Results!$E$4="Cells",Results!$E$5="Million",$B$52="million"),((CH42*CH$51)/(CH$52)),"0")))))</f>
        <v>1.6296500000000003</v>
      </c>
      <c r="CI95" s="20">
        <f>IF(CI42=0,"0",IF(AND(Results!$E$5="Protein",$C$53&gt;0,OR(Results!$E$4="Tissue",Results!$E$4="Cells")),((CI42*CI$51)/(CI$53)),IF(AND(Results!$E$5="Weight",$C$52&gt;0, Results!$E$4="Tissue",OR($B$52="g",$B$52="mg")),((CI42*CI$51)/(CI$52)),IF(AND(Results!$E$5="Volume",$C$54&gt;0,Results!$E$4="Fluid"),((CI42*CI$51)/(CI$54)),IF(AND(Results!$E$4="Cells",Results!$E$5="Million",$B$52="million"),((CI42*CI$51)/(CI$52)),"0")))))</f>
        <v>5.1645166666666675</v>
      </c>
      <c r="CJ95" s="20">
        <f>IF(CJ42=0,"0",IF(AND(Results!$E$5="Protein",$C$53&gt;0,OR(Results!$E$4="Tissue",Results!$E$4="Cells")),((CJ42*CJ$51)/(CJ$53)),IF(AND(Results!$E$5="Weight",$C$52&gt;0, Results!$E$4="Tissue",OR($B$52="g",$B$52="mg")),((CJ42*CJ$51)/(CJ$52)),IF(AND(Results!$E$5="Volume",$C$54&gt;0,Results!$E$4="Fluid"),((CJ42*CJ$51)/(CJ$54)),IF(AND(Results!$E$4="Cells",Results!$E$5="Million",$B$52="million"),((CJ42*CJ$51)/(CJ$52)),"0")))))</f>
        <v>1.3530222222222221</v>
      </c>
      <c r="CK95" s="20">
        <f>IF(CK42=0,"0",IF(AND(Results!$E$5="Protein",$C$53&gt;0,OR(Results!$E$4="Tissue",Results!$E$4="Cells")),((CK42*CK$51)/(CK$53)),IF(AND(Results!$E$5="Weight",$C$52&gt;0, Results!$E$4="Tissue",OR($B$52="g",$B$52="mg")),((CK42*CK$51)/(CK$52)),IF(AND(Results!$E$5="Volume",$C$54&gt;0,Results!$E$4="Fluid"),((CK42*CK$51)/(CK$54)),IF(AND(Results!$E$4="Cells",Results!$E$5="Million",$B$52="million"),((CK42*CK$51)/(CK$52)),"0")))))</f>
        <v>2.4565333333333332</v>
      </c>
      <c r="CL95" s="20">
        <f>IF(CL42=0,"0",IF(AND(Results!$E$5="Protein",$C$53&gt;0,OR(Results!$E$4="Tissue",Results!$E$4="Cells")),((CL42*CL$51)/(CL$53)),IF(AND(Results!$E$5="Weight",$C$52&gt;0, Results!$E$4="Tissue",OR($B$52="g",$B$52="mg")),((CL42*CL$51)/(CL$52)),IF(AND(Results!$E$5="Volume",$C$54&gt;0,Results!$E$4="Fluid"),((CL42*CL$51)/(CL$54)),IF(AND(Results!$E$4="Cells",Results!$E$5="Million",$B$52="million"),((CL42*CL$51)/(CL$52)),"0")))))</f>
        <v>7.2789166666666656</v>
      </c>
      <c r="CM95" s="20">
        <f>IF(CM42=0,"0",IF(AND(Results!$E$5="Protein",$C$53&gt;0,OR(Results!$E$4="Tissue",Results!$E$4="Cells")),((CM42*CM$51)/(CM$53)),IF(AND(Results!$E$5="Weight",$C$52&gt;0, Results!$E$4="Tissue",OR($B$52="g",$B$52="mg")),((CM42*CM$51)/(CM$52)),IF(AND(Results!$E$5="Volume",$C$54&gt;0,Results!$E$4="Fluid"),((CM42*CM$51)/(CM$54)),IF(AND(Results!$E$4="Cells",Results!$E$5="Million",$B$52="million"),((CM42*CM$51)/(CM$52)),"0")))))</f>
        <v>1.7586833333333332</v>
      </c>
      <c r="CN95" s="20">
        <f>IF(CN42=0,"0",IF(AND(Results!$E$5="Protein",$C$53&gt;0,OR(Results!$E$4="Tissue",Results!$E$4="Cells")),((CN42*CN$51)/(CN$53)),IF(AND(Results!$E$5="Weight",$C$52&gt;0, Results!$E$4="Tissue",OR($B$52="g",$B$52="mg")),((CN42*CN$51)/(CN$52)),IF(AND(Results!$E$5="Volume",$C$54&gt;0,Results!$E$4="Fluid"),((CN42*CN$51)/(CN$54)),IF(AND(Results!$E$4="Cells",Results!$E$5="Million",$B$52="million"),((CN42*CN$51)/(CN$52)),"0")))))</f>
        <v>1.1283666666666667</v>
      </c>
      <c r="CO95" s="20">
        <f>IF(CO42=0,"0",IF(AND(Results!$E$5="Protein",$C$53&gt;0,OR(Results!$E$4="Tissue",Results!$E$4="Cells")),((CO42*CO$51)/(CO$53)),IF(AND(Results!$E$5="Weight",$C$52&gt;0, Results!$E$4="Tissue",OR($B$52="g",$B$52="mg")),((CO42*CO$51)/(CO$52)),IF(AND(Results!$E$5="Volume",$C$54&gt;0,Results!$E$4="Fluid"),((CO42*CO$51)/(CO$54)),IF(AND(Results!$E$4="Cells",Results!$E$5="Million",$B$52="million"),((CO42*CO$51)/(CO$52)),"0")))))</f>
        <v>3.9622833333333336</v>
      </c>
      <c r="CP95" s="20">
        <f>IF(CP42=0,"0",IF(AND(Results!$E$5="Protein",$C$53&gt;0,OR(Results!$E$4="Tissue",Results!$E$4="Cells")),((CP42*CP$51)/(CP$53)),IF(AND(Results!$E$5="Weight",$C$52&gt;0, Results!$E$4="Tissue",OR($B$52="g",$B$52="mg")),((CP42*CP$51)/(CP$52)),IF(AND(Results!$E$5="Volume",$C$54&gt;0,Results!$E$4="Fluid"),((CP42*CP$51)/(CP$54)),IF(AND(Results!$E$4="Cells",Results!$E$5="Million",$B$52="million"),((CP42*CP$51)/(CP$52)),"0")))))</f>
        <v>5.3516166666666667</v>
      </c>
      <c r="CQ95" s="20">
        <f>IF(CQ42=0,"0",IF(AND(Results!$E$5="Protein",$C$53&gt;0,OR(Results!$E$4="Tissue",Results!$E$4="Cells")),((CQ42*CQ$51)/(CQ$53)),IF(AND(Results!$E$5="Weight",$C$52&gt;0, Results!$E$4="Tissue",OR($B$52="g",$B$52="mg")),((CQ42*CQ$51)/(CQ$52)),IF(AND(Results!$E$5="Volume",$C$54&gt;0,Results!$E$4="Fluid"),((CQ42*CQ$51)/(CQ$54)),IF(AND(Results!$E$4="Cells",Results!$E$5="Million",$B$52="million"),((CQ42*CQ$51)/(CQ$52)),"0")))))</f>
        <v>5.8603500000000004</v>
      </c>
      <c r="CR95" s="20">
        <f>IF(CR42=0,"0",IF(AND(Results!$E$5="Protein",$C$53&gt;0,OR(Results!$E$4="Tissue",Results!$E$4="Cells")),((CR42*CR$51)/(CR$53)),IF(AND(Results!$E$5="Weight",$C$52&gt;0, Results!$E$4="Tissue",OR($B$52="g",$B$52="mg")),((CR42*CR$51)/(CR$52)),IF(AND(Results!$E$5="Volume",$C$54&gt;0,Results!$E$4="Fluid"),((CR42*CR$51)/(CR$54)),IF(AND(Results!$E$4="Cells",Results!$E$5="Million",$B$52="million"),((CR42*CR$51)/(CR$52)),"0")))))</f>
        <v>5.3170999999999999</v>
      </c>
      <c r="CS95" s="20">
        <f>IF(CS42=0,"0",IF(AND(Results!$E$5="Protein",$C$53&gt;0,OR(Results!$E$4="Tissue",Results!$E$4="Cells")),((CS42*CS$51)/(CS$53)),IF(AND(Results!$E$5="Weight",$C$52&gt;0, Results!$E$4="Tissue",OR($B$52="g",$B$52="mg")),((CS42*CS$51)/(CS$52)),IF(AND(Results!$E$5="Volume",$C$54&gt;0,Results!$E$4="Fluid"),((CS42*CS$51)/(CS$54)),IF(AND(Results!$E$4="Cells",Results!$E$5="Million",$B$52="million"),((CS42*CS$51)/(CS$52)),"0")))))</f>
        <v>3.625</v>
      </c>
      <c r="CT95" s="20">
        <f>IF(CT42=0,"0",IF(AND(Results!$E$5="Protein",$C$53&gt;0,OR(Results!$E$4="Tissue",Results!$E$4="Cells")),((CT42*CT$51)/(CT$53)),IF(AND(Results!$E$5="Weight",$C$52&gt;0, Results!$E$4="Tissue",OR($B$52="g",$B$52="mg")),((CT42*CT$51)/(CT$52)),IF(AND(Results!$E$5="Volume",$C$54&gt;0,Results!$E$4="Fluid"),((CT42*CT$51)/(CT$54)),IF(AND(Results!$E$4="Cells",Results!$E$5="Million",$B$52="million"),((CT42*CT$51)/(CT$52)),"0")))))</f>
        <v>2.6280666666666668</v>
      </c>
      <c r="CU95" s="20">
        <f>IF(CU42=0,"0",IF(AND(Results!$E$5="Protein",$C$53&gt;0,OR(Results!$E$4="Tissue",Results!$E$4="Cells")),((CU42*CU$51)/(CU$53)),IF(AND(Results!$E$5="Weight",$C$52&gt;0, Results!$E$4="Tissue",OR($B$52="g",$B$52="mg")),((CU42*CU$51)/(CU$52)),IF(AND(Results!$E$5="Volume",$C$54&gt;0,Results!$E$4="Fluid"),((CU42*CU$51)/(CU$54)),IF(AND(Results!$E$4="Cells",Results!$E$5="Million",$B$52="million"),((CU42*CU$51)/(CU$52)),"0")))))</f>
        <v>3.4870833333333331</v>
      </c>
      <c r="CV95" s="20">
        <f>IF(CV42=0,"0",IF(AND(Results!$E$5="Protein",$C$53&gt;0,OR(Results!$E$4="Tissue",Results!$E$4="Cells")),((CV42*CV$51)/(CV$53)),IF(AND(Results!$E$5="Weight",$C$52&gt;0, Results!$E$4="Tissue",OR($B$52="g",$B$52="mg")),((CV42*CV$51)/(CV$52)),IF(AND(Results!$E$5="Volume",$C$54&gt;0,Results!$E$4="Fluid"),((CV42*CV$51)/(CV$54)),IF(AND(Results!$E$4="Cells",Results!$E$5="Million",$B$52="million"),((CV42*CV$51)/(CV$52)),"0")))))</f>
        <v>2.8436333333333339</v>
      </c>
      <c r="CW95" s="20">
        <f>IF(CW42=0,"0",IF(AND(Results!$E$5="Protein",$C$53&gt;0,OR(Results!$E$4="Tissue",Results!$E$4="Cells")),((CW42*CW$51)/(CW$53)),IF(AND(Results!$E$5="Weight",$C$52&gt;0, Results!$E$4="Tissue",OR($B$52="g",$B$52="mg")),((CW42*CW$51)/(CW$52)),IF(AND(Results!$E$5="Volume",$C$54&gt;0,Results!$E$4="Fluid"),((CW42*CW$51)/(CW$54)),IF(AND(Results!$E$4="Cells",Results!$E$5="Million",$B$52="million"),((CW42*CW$51)/(CW$52)),"0")))))</f>
        <v>4.1949500000000004</v>
      </c>
      <c r="CX95" s="20">
        <f>IF(CX42=0,"0",IF(AND(Results!$E$5="Protein",$C$53&gt;0,OR(Results!$E$4="Tissue",Results!$E$4="Cells")),((CX42*CX$51)/(CX$53)),IF(AND(Results!$E$5="Weight",$C$52&gt;0, Results!$E$4="Tissue",OR($B$52="g",$B$52="mg")),((CX42*CX$51)/(CX$52)),IF(AND(Results!$E$5="Volume",$C$54&gt;0,Results!$E$4="Fluid"),((CX42*CX$51)/(CX$54)),IF(AND(Results!$E$4="Cells",Results!$E$5="Million",$B$52="million"),((CX42*CX$51)/(CX$52)),"0")))))</f>
        <v>1.24285</v>
      </c>
      <c r="CY95" s="20">
        <f>IF(CY42=0,"0",IF(AND(Results!$E$5="Protein",$C$53&gt;0,OR(Results!$E$4="Tissue",Results!$E$4="Cells")),((CY42*CY$51)/(CY$53)),IF(AND(Results!$E$5="Weight",$C$52&gt;0, Results!$E$4="Tissue",OR($B$52="g",$B$52="mg")),((CY42*CY$51)/(CY$52)),IF(AND(Results!$E$5="Volume",$C$54&gt;0,Results!$E$4="Fluid"),((CY42*CY$51)/(CY$54)),IF(AND(Results!$E$4="Cells",Results!$E$5="Million",$B$52="million"),((CY42*CY$51)/(CY$52)),"0")))))</f>
        <v>1.9599166666666668</v>
      </c>
      <c r="CZ95" s="20">
        <f>IF(CZ42=0,"0",IF(AND(Results!$E$5="Protein",$C$53&gt;0,OR(Results!$E$4="Tissue",Results!$E$4="Cells")),((CZ42*CZ$51)/(CZ$53)),IF(AND(Results!$E$5="Weight",$C$52&gt;0, Results!$E$4="Tissue",OR($B$52="g",$B$52="mg")),((CZ42*CZ$51)/(CZ$52)),IF(AND(Results!$E$5="Volume",$C$54&gt;0,Results!$E$4="Fluid"),((CZ42*CZ$51)/(CZ$54)),IF(AND(Results!$E$4="Cells",Results!$E$5="Million",$B$52="million"),((CZ42*CZ$51)/(CZ$52)),"0")))))</f>
        <v>1.2513333333333334</v>
      </c>
      <c r="DA95" s="20">
        <f>IF(DA42=0,"0",IF(AND(Results!$E$5="Protein",$C$53&gt;0,OR(Results!$E$4="Tissue",Results!$E$4="Cells")),((DA42*DA$51)/(DA$53)),IF(AND(Results!$E$5="Weight",$C$52&gt;0, Results!$E$4="Tissue",OR($B$52="g",$B$52="mg")),((DA42*DA$51)/(DA$52)),IF(AND(Results!$E$5="Volume",$C$54&gt;0,Results!$E$4="Fluid"),((DA42*DA$51)/(DA$54)),IF(AND(Results!$E$4="Cells",Results!$E$5="Million",$B$52="million"),((DA42*DA$51)/(DA$52)),"0")))))</f>
        <v>1.4014499999999999</v>
      </c>
      <c r="DB95" s="20">
        <f>IF(DB42=0,"0",IF(AND(Results!$E$5="Protein",$C$53&gt;0,OR(Results!$E$4="Tissue",Results!$E$4="Cells")),((DB42*DB$51)/(DB$53)),IF(AND(Results!$E$5="Weight",$C$52&gt;0, Results!$E$4="Tissue",OR($B$52="g",$B$52="mg")),((DB42*DB$51)/(DB$52)),IF(AND(Results!$E$5="Volume",$C$54&gt;0,Results!$E$4="Fluid"),((DB42*DB$51)/(DB$54)),IF(AND(Results!$E$4="Cells",Results!$E$5="Million",$B$52="million"),((DB42*DB$51)/(DB$52)),"0")))))</f>
        <v>6.204933333333333</v>
      </c>
      <c r="DC95" s="20">
        <f>IF(DC42=0,"0",IF(AND(Results!$E$5="Protein",$C$53&gt;0,OR(Results!$E$4="Tissue",Results!$E$4="Cells")),((DC42*DC$51)/(DC$53)),IF(AND(Results!$E$5="Weight",$C$52&gt;0, Results!$E$4="Tissue",OR($B$52="g",$B$52="mg")),((DC42*DC$51)/(DC$52)),IF(AND(Results!$E$5="Volume",$C$54&gt;0,Results!$E$4="Fluid"),((DC42*DC$51)/(DC$54)),IF(AND(Results!$E$4="Cells",Results!$E$5="Million",$B$52="million"),((DC42*DC$51)/(DC$52)),"0")))))</f>
        <v>3.5921666666666665</v>
      </c>
      <c r="DD95" s="20">
        <f>IF(DD42=0,"0",IF(AND(Results!$E$5="Protein",$C$53&gt;0,OR(Results!$E$4="Tissue",Results!$E$4="Cells")),((DD42*DD$51)/(DD$53)),IF(AND(Results!$E$5="Weight",$C$52&gt;0, Results!$E$4="Tissue",OR($B$52="g",$B$52="mg")),((DD42*DD$51)/(DD$52)),IF(AND(Results!$E$5="Volume",$C$54&gt;0,Results!$E$4="Fluid"),((DD42*DD$51)/(DD$54)),IF(AND(Results!$E$4="Cells",Results!$E$5="Million",$B$52="million"),((DD42*DD$51)/(DD$52)),"0")))))</f>
        <v>3.2257833333333337</v>
      </c>
      <c r="DE95" s="20">
        <f>IF(DE42=0,"0",IF(AND(Results!$E$5="Protein",$C$53&gt;0,OR(Results!$E$4="Tissue",Results!$E$4="Cells")),((DE42*DE$51)/(DE$53)),IF(AND(Results!$E$5="Weight",$C$52&gt;0, Results!$E$4="Tissue",OR($B$52="g",$B$52="mg")),((DE42*DE$51)/(DE$52)),IF(AND(Results!$E$5="Volume",$C$54&gt;0,Results!$E$4="Fluid"),((DE42*DE$51)/(DE$54)),IF(AND(Results!$E$4="Cells",Results!$E$5="Million",$B$52="million"),((DE42*DE$51)/(DE$52)),"0")))))</f>
        <v>3.6208833333333335</v>
      </c>
      <c r="DF95" s="20">
        <f>IF(DF42=0,"0",IF(AND(Results!$E$5="Protein",$C$53&gt;0,OR(Results!$E$4="Tissue",Results!$E$4="Cells")),((DF42*DF$51)/(DF$53)),IF(AND(Results!$E$5="Weight",$C$52&gt;0, Results!$E$4="Tissue",OR($B$52="g",$B$52="mg")),((DF42*DF$51)/(DF$52)),IF(AND(Results!$E$5="Volume",$C$54&gt;0,Results!$E$4="Fluid"),((DF42*DF$51)/(DF$54)),IF(AND(Results!$E$4="Cells",Results!$E$5="Million",$B$52="million"),((DF42*DF$51)/(DF$52)),"0")))))</f>
        <v>4.2372000000000005</v>
      </c>
      <c r="DG95" s="20">
        <f>IF(DG42=0,"0",IF(AND(Results!$E$5="Protein",$C$53&gt;0,OR(Results!$E$4="Tissue",Results!$E$4="Cells")),((DG42*DG$51)/(DG$53)),IF(AND(Results!$E$5="Weight",$C$52&gt;0, Results!$E$4="Tissue",OR($B$52="g",$B$52="mg")),((DG42*DG$51)/(DG$52)),IF(AND(Results!$E$5="Volume",$C$54&gt;0,Results!$E$4="Fluid"),((DG42*DG$51)/(DG$54)),IF(AND(Results!$E$4="Cells",Results!$E$5="Million",$B$52="million"),((DG42*DG$51)/(DG$52)),"0")))))</f>
        <v>5.2802166666666661</v>
      </c>
      <c r="DH95" s="20">
        <f>IF(DH42=0,"0",IF(AND(Results!$E$5="Protein",$C$53&gt;0,OR(Results!$E$4="Tissue",Results!$E$4="Cells")),((DH42*DH$51)/(DH$53)),IF(AND(Results!$E$5="Weight",$C$52&gt;0, Results!$E$4="Tissue",OR($B$52="g",$B$52="mg")),((DH42*DH$51)/(DH$52)),IF(AND(Results!$E$5="Volume",$C$54&gt;0,Results!$E$4="Fluid"),((DH42*DH$51)/(DH$54)),IF(AND(Results!$E$4="Cells",Results!$E$5="Million",$B$52="million"),((DH42*DH$51)/(DH$52)),"0")))))</f>
        <v>0.70778333333333332</v>
      </c>
      <c r="DI95" s="20">
        <f>IF(DI42=0,"0",IF(AND(Results!$E$5="Protein",$C$53&gt;0,OR(Results!$E$4="Tissue",Results!$E$4="Cells")),((DI42*DI$51)/(DI$53)),IF(AND(Results!$E$5="Weight",$C$52&gt;0, Results!$E$4="Tissue",OR($B$52="g",$B$52="mg")),((DI42*DI$51)/(DI$52)),IF(AND(Results!$E$5="Volume",$C$54&gt;0,Results!$E$4="Fluid"),((DI42*DI$51)/(DI$54)),IF(AND(Results!$E$4="Cells",Results!$E$5="Million",$B$52="million"),((DI42*DI$51)/(DI$52)),"0")))))</f>
        <v>3.2064333333333339</v>
      </c>
      <c r="DJ95" s="20">
        <f>IF(DJ42=0,"0",IF(AND(Results!$E$5="Protein",$C$53&gt;0,OR(Results!$E$4="Tissue",Results!$E$4="Cells")),((DJ42*DJ$51)/(DJ$53)),IF(AND(Results!$E$5="Weight",$C$52&gt;0, Results!$E$4="Tissue",OR($B$52="g",$B$52="mg")),((DJ42*DJ$51)/(DJ$52)),IF(AND(Results!$E$5="Volume",$C$54&gt;0,Results!$E$4="Fluid"),((DJ42*DJ$51)/(DJ$54)),IF(AND(Results!$E$4="Cells",Results!$E$5="Million",$B$52="million"),((DJ42*DJ$51)/(DJ$52)),"0")))))</f>
        <v>9.7571833333333338</v>
      </c>
      <c r="DK95" s="20">
        <f>IF(DK42=0,"0",IF(AND(Results!$E$5="Protein",$C$53&gt;0,OR(Results!$E$4="Tissue",Results!$E$4="Cells")),((DK42*DK$51)/(DK$53)),IF(AND(Results!$E$5="Weight",$C$52&gt;0, Results!$E$4="Tissue",OR($B$52="g",$B$52="mg")),((DK42*DK$51)/(DK$52)),IF(AND(Results!$E$5="Volume",$C$54&gt;0,Results!$E$4="Fluid"),((DK42*DK$51)/(DK$54)),IF(AND(Results!$E$4="Cells",Results!$E$5="Million",$B$52="million"),((DK42*DK$51)/(DK$52)),"0")))))</f>
        <v>4.9753333333333334</v>
      </c>
      <c r="DL95" s="20">
        <f>IF(DL42=0,"0",IF(AND(Results!$E$5="Protein",$C$53&gt;0,OR(Results!$E$4="Tissue",Results!$E$4="Cells")),((DL42*DL$51)/(DL$53)),IF(AND(Results!$E$5="Weight",$C$52&gt;0, Results!$E$4="Tissue",OR($B$52="g",$B$52="mg")),((DL42*DL$51)/(DL$52)),IF(AND(Results!$E$5="Volume",$C$54&gt;0,Results!$E$4="Fluid"),((DL42*DL$51)/(DL$54)),IF(AND(Results!$E$4="Cells",Results!$E$5="Million",$B$52="million"),((DL42*DL$51)/(DL$52)),"0")))))</f>
        <v>1.4051499999999999</v>
      </c>
      <c r="DM95" s="20">
        <f>IF(DM42=0,"0",IF(AND(Results!$E$5="Protein",$C$53&gt;0,OR(Results!$E$4="Tissue",Results!$E$4="Cells")),((DM42*DM$51)/(DM$53)),IF(AND(Results!$E$5="Weight",$C$52&gt;0, Results!$E$4="Tissue",OR($B$52="g",$B$52="mg")),((DM42*DM$51)/(DM$52)),IF(AND(Results!$E$5="Volume",$C$54&gt;0,Results!$E$4="Fluid"),((DM42*DM$51)/(DM$54)),IF(AND(Results!$E$4="Cells",Results!$E$5="Million",$B$52="million"),((DM42*DM$51)/(DM$52)),"0")))))</f>
        <v>3.4744333333333328</v>
      </c>
      <c r="DN95" s="20">
        <f>IF(DN42=0,"0",IF(AND(Results!$E$5="Protein",$C$53&gt;0,OR(Results!$E$4="Tissue",Results!$E$4="Cells")),((DN42*DN$51)/(DN$53)),IF(AND(Results!$E$5="Weight",$C$52&gt;0, Results!$E$4="Tissue",OR($B$52="g",$B$52="mg")),((DN42*DN$51)/(DN$52)),IF(AND(Results!$E$5="Volume",$C$54&gt;0,Results!$E$4="Fluid"),((DN42*DN$51)/(DN$54)),IF(AND(Results!$E$4="Cells",Results!$E$5="Million",$B$52="million"),((DN42*DN$51)/(DN$52)),"0")))))</f>
        <v>8.6571833333333341</v>
      </c>
      <c r="DO95" s="20">
        <f>IF(DO42=0,"0",IF(AND(Results!$E$5="Protein",$C$53&gt;0,OR(Results!$E$4="Tissue",Results!$E$4="Cells")),((DO42*DO$51)/(DO$53)),IF(AND(Results!$E$5="Weight",$C$52&gt;0, Results!$E$4="Tissue",OR($B$52="g",$B$52="mg")),((DO42*DO$51)/(DO$52)),IF(AND(Results!$E$5="Volume",$C$54&gt;0,Results!$E$4="Fluid"),((DO42*DO$51)/(DO$54)),IF(AND(Results!$E$4="Cells",Results!$E$5="Million",$B$52="million"),((DO42*DO$51)/(DO$52)),"0")))))</f>
        <v>6.7615333333333334</v>
      </c>
      <c r="DP95" s="20">
        <f>IF(DP42=0,"0",IF(AND(Results!$E$5="Protein",$C$53&gt;0,OR(Results!$E$4="Tissue",Results!$E$4="Cells")),((DP42*DP$51)/(DP$53)),IF(AND(Results!$E$5="Weight",$C$52&gt;0, Results!$E$4="Tissue",OR($B$52="g",$B$52="mg")),((DP42*DP$51)/(DP$52)),IF(AND(Results!$E$5="Volume",$C$54&gt;0,Results!$E$4="Fluid"),((DP42*DP$51)/(DP$54)),IF(AND(Results!$E$4="Cells",Results!$E$5="Million",$B$52="million"),((DP42*DP$51)/(DP$52)),"0")))))</f>
        <v>2.0163500000000001</v>
      </c>
      <c r="DQ95" s="20">
        <f>IF(DQ42=0,"0",IF(AND(Results!$E$5="Protein",$C$53&gt;0,OR(Results!$E$4="Tissue",Results!$E$4="Cells")),((DQ42*DQ$51)/(DQ$53)),IF(AND(Results!$E$5="Weight",$C$52&gt;0, Results!$E$4="Tissue",OR($B$52="g",$B$52="mg")),((DQ42*DQ$51)/(DQ$52)),IF(AND(Results!$E$5="Volume",$C$54&gt;0,Results!$E$4="Fluid"),((DQ42*DQ$51)/(DQ$54)),IF(AND(Results!$E$4="Cells",Results!$E$5="Million",$B$52="million"),((DQ42*DQ$51)/(DQ$52)),"0")))))</f>
        <v>4.3710333333333331</v>
      </c>
      <c r="DR95" s="20">
        <f>IF(DR42=0,"0",IF(AND(Results!$E$5="Protein",$C$53&gt;0,OR(Results!$E$4="Tissue",Results!$E$4="Cells")),((DR42*DR$51)/(DR$53)),IF(AND(Results!$E$5="Weight",$C$52&gt;0, Results!$E$4="Tissue",OR($B$52="g",$B$52="mg")),((DR42*DR$51)/(DR$52)),IF(AND(Results!$E$5="Volume",$C$54&gt;0,Results!$E$4="Fluid"),((DR42*DR$51)/(DR$54)),IF(AND(Results!$E$4="Cells",Results!$E$5="Million",$B$52="million"),((DR42*DR$51)/(DR$52)),"0")))))</f>
        <v>4.7697666666666674</v>
      </c>
      <c r="DS95" s="20">
        <f>IF(DS42=0,"0",IF(AND(Results!$E$5="Protein",$C$53&gt;0,OR(Results!$E$4="Tissue",Results!$E$4="Cells")),((DS42*DS$51)/(DS$53)),IF(AND(Results!$E$5="Weight",$C$52&gt;0, Results!$E$4="Tissue",OR($B$52="g",$B$52="mg")),((DS42*DS$51)/(DS$52)),IF(AND(Results!$E$5="Volume",$C$54&gt;0,Results!$E$4="Fluid"),((DS42*DS$51)/(DS$54)),IF(AND(Results!$E$4="Cells",Results!$E$5="Million",$B$52="million"),((DS42*DS$51)/(DS$52)),"0")))))</f>
        <v>1.0911666666666666</v>
      </c>
      <c r="DT95" s="20">
        <f>IF(DT42=0,"0",IF(AND(Results!$E$5="Protein",$C$53&gt;0,OR(Results!$E$4="Tissue",Results!$E$4="Cells")),((DT42*DT$51)/(DT$53)),IF(AND(Results!$E$5="Weight",$C$52&gt;0, Results!$E$4="Tissue",OR($B$52="g",$B$52="mg")),((DT42*DT$51)/(DT$52)),IF(AND(Results!$E$5="Volume",$C$54&gt;0,Results!$E$4="Fluid"),((DT42*DT$51)/(DT$54)),IF(AND(Results!$E$4="Cells",Results!$E$5="Million",$B$52="million"),((DT42*DT$51)/(DT$52)),"0")))))</f>
        <v>3.0721500000000002</v>
      </c>
      <c r="DU95" s="20">
        <f>IF(DU42=0,"0",IF(AND(Results!$E$5="Protein",$C$53&gt;0,OR(Results!$E$4="Tissue",Results!$E$4="Cells")),((DU42*DU$51)/(DU$53)),IF(AND(Results!$E$5="Weight",$C$52&gt;0, Results!$E$4="Tissue",OR($B$52="g",$B$52="mg")),((DU42*DU$51)/(DU$52)),IF(AND(Results!$E$5="Volume",$C$54&gt;0,Results!$E$4="Fluid"),((DU42*DU$51)/(DU$54)),IF(AND(Results!$E$4="Cells",Results!$E$5="Million",$B$52="million"),((DU42*DU$51)/(DU$52)),"0")))))</f>
        <v>14.308483333333333</v>
      </c>
      <c r="DV95" s="20">
        <f>IF(DV42=0,"0",IF(AND(Results!$E$5="Protein",$C$53&gt;0,OR(Results!$E$4="Tissue",Results!$E$4="Cells")),((DV42*DV$51)/(DV$53)),IF(AND(Results!$E$5="Weight",$C$52&gt;0, Results!$E$4="Tissue",OR($B$52="g",$B$52="mg")),((DV42*DV$51)/(DV$52)),IF(AND(Results!$E$5="Volume",$C$54&gt;0,Results!$E$4="Fluid"),((DV42*DV$51)/(DV$54)),IF(AND(Results!$E$4="Cells",Results!$E$5="Million",$B$52="million"),((DV42*DV$51)/(DV$52)),"0")))))</f>
        <v>2.7908666666666666</v>
      </c>
      <c r="DW95" s="20">
        <f>IF(DW42=0,"0",IF(AND(Results!$E$5="Protein",$C$53&gt;0,OR(Results!$E$4="Tissue",Results!$E$4="Cells")),((DW42*DW$51)/(DW$53)),IF(AND(Results!$E$5="Weight",$C$52&gt;0, Results!$E$4="Tissue",OR($B$52="g",$B$52="mg")),((DW42*DW$51)/(DW$52)),IF(AND(Results!$E$5="Volume",$C$54&gt;0,Results!$E$4="Fluid"),((DW42*DW$51)/(DW$54)),IF(AND(Results!$E$4="Cells",Results!$E$5="Million",$B$52="million"),((DW42*DW$51)/(DW$52)),"0")))))</f>
        <v>3.197883333333333</v>
      </c>
      <c r="DX95" s="20">
        <f>IF(DX42=0,"0",IF(AND(Results!$E$5="Protein",$C$53&gt;0,OR(Results!$E$4="Tissue",Results!$E$4="Cells")),((DX42*DX$51)/(DX$53)),IF(AND(Results!$E$5="Weight",$C$52&gt;0, Results!$E$4="Tissue",OR($B$52="g",$B$52="mg")),((DX42*DX$51)/(DX$52)),IF(AND(Results!$E$5="Volume",$C$54&gt;0,Results!$E$4="Fluid"),((DX42*DX$51)/(DX$54)),IF(AND(Results!$E$4="Cells",Results!$E$5="Million",$B$52="million"),((DX42*DX$51)/(DX$52)),"0")))))</f>
        <v>2.6179000000000001</v>
      </c>
      <c r="DY95" s="20">
        <f>IF(DY42=0,"0",IF(AND(Results!$E$5="Protein",$C$53&gt;0,OR(Results!$E$4="Tissue",Results!$E$4="Cells")),((DY42*DY$51)/(DY$53)),IF(AND(Results!$E$5="Weight",$C$52&gt;0, Results!$E$4="Tissue",OR($B$52="g",$B$52="mg")),((DY42*DY$51)/(DY$52)),IF(AND(Results!$E$5="Volume",$C$54&gt;0,Results!$E$4="Fluid"),((DY42*DY$51)/(DY$54)),IF(AND(Results!$E$4="Cells",Results!$E$5="Million",$B$52="million"),((DY42*DY$51)/(DY$52)),"0")))))</f>
        <v>7.1657000000000002</v>
      </c>
      <c r="DZ95" s="20">
        <f>IF(DZ42=0,"0",IF(AND(Results!$E$5="Protein",$C$53&gt;0,OR(Results!$E$4="Tissue",Results!$E$4="Cells")),((DZ42*DZ$51)/(DZ$53)),IF(AND(Results!$E$5="Weight",$C$52&gt;0, Results!$E$4="Tissue",OR($B$52="g",$B$52="mg")),((DZ42*DZ$51)/(DZ$52)),IF(AND(Results!$E$5="Volume",$C$54&gt;0,Results!$E$4="Fluid"),((DZ42*DZ$51)/(DZ$54)),IF(AND(Results!$E$4="Cells",Results!$E$5="Million",$B$52="million"),((DZ42*DZ$51)/(DZ$52)),"0")))))</f>
        <v>2.8443166666666664</v>
      </c>
      <c r="EA95" s="20">
        <f>IF(EA42=0,"0",IF(AND(Results!$E$5="Protein",$C$53&gt;0,OR(Results!$E$4="Tissue",Results!$E$4="Cells")),((EA42*EA$51)/(EA$53)),IF(AND(Results!$E$5="Weight",$C$52&gt;0, Results!$E$4="Tissue",OR($B$52="g",$B$52="mg")),((EA42*EA$51)/(EA$52)),IF(AND(Results!$E$5="Volume",$C$54&gt;0,Results!$E$4="Fluid"),((EA42*EA$51)/(EA$54)),IF(AND(Results!$E$4="Cells",Results!$E$5="Million",$B$52="million"),((EA42*EA$51)/(EA$52)),"0")))))</f>
        <v>3.8538000000000001</v>
      </c>
      <c r="EB95" s="20">
        <f>IF(EB42=0,"0",IF(AND(Results!$E$5="Protein",$C$53&gt;0,OR(Results!$E$4="Tissue",Results!$E$4="Cells")),((EB42*EB$51)/(EB$53)),IF(AND(Results!$E$5="Weight",$C$52&gt;0, Results!$E$4="Tissue",OR($B$52="g",$B$52="mg")),((EB42*EB$51)/(EB$52)),IF(AND(Results!$E$5="Volume",$C$54&gt;0,Results!$E$4="Fluid"),((EB42*EB$51)/(EB$54)),IF(AND(Results!$E$4="Cells",Results!$E$5="Million",$B$52="million"),((EB42*EB$51)/(EB$52)),"0")))))</f>
        <v>2.9805499999999996</v>
      </c>
      <c r="EC95" s="20">
        <f>IF(EC42=0,"0",IF(AND(Results!$E$5="Protein",$C$53&gt;0,OR(Results!$E$4="Tissue",Results!$E$4="Cells")),((EC42*EC$51)/(EC$53)),IF(AND(Results!$E$5="Weight",$C$52&gt;0, Results!$E$4="Tissue",OR($B$52="g",$B$52="mg")),((EC42*EC$51)/(EC$52)),IF(AND(Results!$E$5="Volume",$C$54&gt;0,Results!$E$4="Fluid"),((EC42*EC$51)/(EC$54)),IF(AND(Results!$E$4="Cells",Results!$E$5="Million",$B$52="million"),((EC42*EC$51)/(EC$52)),"0")))))</f>
        <v>3.0992166666666674</v>
      </c>
      <c r="ED95" s="20">
        <f>IF(ED42=0,"0",IF(AND(Results!$E$5="Protein",$C$53&gt;0,OR(Results!$E$4="Tissue",Results!$E$4="Cells")),((ED42*ED$51)/(ED$53)),IF(AND(Results!$E$5="Weight",$C$52&gt;0, Results!$E$4="Tissue",OR($B$52="g",$B$52="mg")),((ED42*ED$51)/(ED$52)),IF(AND(Results!$E$5="Volume",$C$54&gt;0,Results!$E$4="Fluid"),((ED42*ED$51)/(ED$54)),IF(AND(Results!$E$4="Cells",Results!$E$5="Million",$B$52="million"),((ED42*ED$51)/(ED$52)),"0")))))</f>
        <v>2.5843333333333334</v>
      </c>
      <c r="EE95" s="20">
        <f>IF(EE42=0,"0",IF(AND(Results!$E$5="Protein",$C$53&gt;0,OR(Results!$E$4="Tissue",Results!$E$4="Cells")),((EE42*EE$51)/(EE$53)),IF(AND(Results!$E$5="Weight",$C$52&gt;0, Results!$E$4="Tissue",OR($B$52="g",$B$52="mg")),((EE42*EE$51)/(EE$52)),IF(AND(Results!$E$5="Volume",$C$54&gt;0,Results!$E$4="Fluid"),((EE42*EE$51)/(EE$54)),IF(AND(Results!$E$4="Cells",Results!$E$5="Million",$B$52="million"),((EE42*EE$51)/(EE$52)),"0")))))</f>
        <v>1.0931999999999999</v>
      </c>
      <c r="EF95" s="20">
        <f>IF(EF42=0,"0",IF(AND(Results!$E$5="Protein",$C$53&gt;0,OR(Results!$E$4="Tissue",Results!$E$4="Cells")),((EF42*EF$51)/(EF$53)),IF(AND(Results!$E$5="Weight",$C$52&gt;0, Results!$E$4="Tissue",OR($B$52="g",$B$52="mg")),((EF42*EF$51)/(EF$52)),IF(AND(Results!$E$5="Volume",$C$54&gt;0,Results!$E$4="Fluid"),((EF42*EF$51)/(EF$54)),IF(AND(Results!$E$4="Cells",Results!$E$5="Million",$B$52="million"),((EF42*EF$51)/(EF$52)),"0")))))</f>
        <v>2.7599</v>
      </c>
      <c r="EG95" s="20">
        <f>IF(EG42=0,"0",IF(AND(Results!$E$5="Protein",$C$53&gt;0,OR(Results!$E$4="Tissue",Results!$E$4="Cells")),((EG42*EG$51)/(EG$53)),IF(AND(Results!$E$5="Weight",$C$52&gt;0, Results!$E$4="Tissue",OR($B$52="g",$B$52="mg")),((EG42*EG$51)/(EG$52)),IF(AND(Results!$E$5="Volume",$C$54&gt;0,Results!$E$4="Fluid"),((EG42*EG$51)/(EG$54)),IF(AND(Results!$E$4="Cells",Results!$E$5="Million",$B$52="million"),((EG42*EG$51)/(EG$52)),"0")))))</f>
        <v>3.7599166666666668</v>
      </c>
      <c r="EH95" s="20">
        <f>IF(EH42=0,"0",IF(AND(Results!$E$5="Protein",$C$53&gt;0,OR(Results!$E$4="Tissue",Results!$E$4="Cells")),((EH42*EH$51)/(EH$53)),IF(AND(Results!$E$5="Weight",$C$52&gt;0, Results!$E$4="Tissue",OR($B$52="g",$B$52="mg")),((EH42*EH$51)/(EH$52)),IF(AND(Results!$E$5="Volume",$C$54&gt;0,Results!$E$4="Fluid"),((EH42*EH$51)/(EH$54)),IF(AND(Results!$E$4="Cells",Results!$E$5="Million",$B$52="million"),((EH42*EH$51)/(EH$52)),"0")))))</f>
        <v>2.80585</v>
      </c>
      <c r="EI95" s="20">
        <f>IF(EI42=0,"0",IF(AND(Results!$E$5="Protein",$C$53&gt;0,OR(Results!$E$4="Tissue",Results!$E$4="Cells")),((EI42*EI$51)/(EI$53)),IF(AND(Results!$E$5="Weight",$C$52&gt;0, Results!$E$4="Tissue",OR($B$52="g",$B$52="mg")),((EI42*EI$51)/(EI$52)),IF(AND(Results!$E$5="Volume",$C$54&gt;0,Results!$E$4="Fluid"),((EI42*EI$51)/(EI$54)),IF(AND(Results!$E$4="Cells",Results!$E$5="Million",$B$52="million"),((EI42*EI$51)/(EI$52)),"0")))))</f>
        <v>1.1154833333333334</v>
      </c>
      <c r="EJ95" s="20">
        <f>IF(EJ42=0,"0",IF(AND(Results!$E$5="Protein",$C$53&gt;0,OR(Results!$E$4="Tissue",Results!$E$4="Cells")),((EJ42*EJ$51)/(EJ$53)),IF(AND(Results!$E$5="Weight",$C$52&gt;0, Results!$E$4="Tissue",OR($B$52="g",$B$52="mg")),((EJ42*EJ$51)/(EJ$52)),IF(AND(Results!$E$5="Volume",$C$54&gt;0,Results!$E$4="Fluid"),((EJ42*EJ$51)/(EJ$54)),IF(AND(Results!$E$4="Cells",Results!$E$5="Million",$B$52="million"),((EJ42*EJ$51)/(EJ$52)),"0")))))</f>
        <v>3.2424833333333329</v>
      </c>
      <c r="EK95" s="20">
        <f>IF(EK42=0,"0",IF(AND(Results!$E$5="Protein",$C$53&gt;0,OR(Results!$E$4="Tissue",Results!$E$4="Cells")),((EK42*EK$51)/(EK$53)),IF(AND(Results!$E$5="Weight",$C$52&gt;0, Results!$E$4="Tissue",OR($B$52="g",$B$52="mg")),((EK42*EK$51)/(EK$52)),IF(AND(Results!$E$5="Volume",$C$54&gt;0,Results!$E$4="Fluid"),((EK42*EK$51)/(EK$54)),IF(AND(Results!$E$4="Cells",Results!$E$5="Million",$B$52="million"),((EK42*EK$51)/(EK$52)),"0")))))</f>
        <v>4.6827333333333332</v>
      </c>
      <c r="EL95" s="20">
        <f>IF(EL42=0,"0",IF(AND(Results!$E$5="Protein",$C$53&gt;0,OR(Results!$E$4="Tissue",Results!$E$4="Cells")),((EL42*EL$51)/(EL$53)),IF(AND(Results!$E$5="Weight",$C$52&gt;0, Results!$E$4="Tissue",OR($B$52="g",$B$52="mg")),((EL42*EL$51)/(EL$52)),IF(AND(Results!$E$5="Volume",$C$54&gt;0,Results!$E$4="Fluid"),((EL42*EL$51)/(EL$54)),IF(AND(Results!$E$4="Cells",Results!$E$5="Million",$B$52="million"),((EL42*EL$51)/(EL$52)),"0")))))</f>
        <v>2.8252499999999996</v>
      </c>
      <c r="EM95" s="20">
        <f>IF(EM42=0,"0",IF(AND(Results!$E$5="Protein",$C$53&gt;0,OR(Results!$E$4="Tissue",Results!$E$4="Cells")),((EM42*EM$51)/(EM$53)),IF(AND(Results!$E$5="Weight",$C$52&gt;0, Results!$E$4="Tissue",OR($B$52="g",$B$52="mg")),((EM42*EM$51)/(EM$52)),IF(AND(Results!$E$5="Volume",$C$54&gt;0,Results!$E$4="Fluid"),((EM42*EM$51)/(EM$54)),IF(AND(Results!$E$4="Cells",Results!$E$5="Million",$B$52="million"),((EM42*EM$51)/(EM$52)),"0")))))</f>
        <v>1.5647166666666665</v>
      </c>
      <c r="EN95" s="20">
        <f>IF(EN42=0,"0",IF(AND(Results!$E$5="Protein",$C$53&gt;0,OR(Results!$E$4="Tissue",Results!$E$4="Cells")),((EN42*EN$51)/(EN$53)),IF(AND(Results!$E$5="Weight",$C$52&gt;0, Results!$E$4="Tissue",OR($B$52="g",$B$52="mg")),((EN42*EN$51)/(EN$52)),IF(AND(Results!$E$5="Volume",$C$54&gt;0,Results!$E$4="Fluid"),((EN42*EN$51)/(EN$54)),IF(AND(Results!$E$4="Cells",Results!$E$5="Million",$B$52="million"),((EN42*EN$51)/(EN$52)),"0")))))</f>
        <v>5.7722833333333332</v>
      </c>
      <c r="EO95" s="20">
        <f>IF(EO42=0,"0",IF(AND(Results!$E$5="Protein",$C$53&gt;0,OR(Results!$E$4="Tissue",Results!$E$4="Cells")),((EO42*EO$51)/(EO$53)),IF(AND(Results!$E$5="Weight",$C$52&gt;0, Results!$E$4="Tissue",OR($B$52="g",$B$52="mg")),((EO42*EO$51)/(EO$52)),IF(AND(Results!$E$5="Volume",$C$54&gt;0,Results!$E$4="Fluid"),((EO42*EO$51)/(EO$54)),IF(AND(Results!$E$4="Cells",Results!$E$5="Million",$B$52="million"),((EO42*EO$51)/(EO$52)),"0")))))</f>
        <v>6.1697833333333332</v>
      </c>
      <c r="EP95" s="20">
        <f>IF(EP42=0,"0",IF(AND(Results!$E$5="Protein",$C$53&gt;0,OR(Results!$E$4="Tissue",Results!$E$4="Cells")),((EP42*EP$51)/(EP$53)),IF(AND(Results!$E$5="Weight",$C$52&gt;0, Results!$E$4="Tissue",OR($B$52="g",$B$52="mg")),((EP42*EP$51)/(EP$52)),IF(AND(Results!$E$5="Volume",$C$54&gt;0,Results!$E$4="Fluid"),((EP42*EP$51)/(EP$54)),IF(AND(Results!$E$4="Cells",Results!$E$5="Million",$B$52="million"),((EP42*EP$51)/(EP$52)),"0")))))</f>
        <v>3.254633333333333</v>
      </c>
      <c r="EQ95" s="20">
        <f>IF(EQ42=0,"0",IF(AND(Results!$E$5="Protein",$C$53&gt;0,OR(Results!$E$4="Tissue",Results!$E$4="Cells")),((EQ42*EQ$51)/(EQ$53)),IF(AND(Results!$E$5="Weight",$C$52&gt;0, Results!$E$4="Tissue",OR($B$52="g",$B$52="mg")),((EQ42*EQ$51)/(EQ$52)),IF(AND(Results!$E$5="Volume",$C$54&gt;0,Results!$E$4="Fluid"),((EQ42*EQ$51)/(EQ$54)),IF(AND(Results!$E$4="Cells",Results!$E$5="Million",$B$52="million"),((EQ42*EQ$51)/(EQ$52)),"0")))))</f>
        <v>2.6477166666666667</v>
      </c>
      <c r="ER95" s="20">
        <f>IF(ER42=0,"0",IF(AND(Results!$E$5="Protein",$C$53&gt;0,OR(Results!$E$4="Tissue",Results!$E$4="Cells")),((ER42*ER$51)/(ER$53)),IF(AND(Results!$E$5="Weight",$C$52&gt;0, Results!$E$4="Tissue",OR($B$52="g",$B$52="mg")),((ER42*ER$51)/(ER$52)),IF(AND(Results!$E$5="Volume",$C$54&gt;0,Results!$E$4="Fluid"),((ER42*ER$51)/(ER$54)),IF(AND(Results!$E$4="Cells",Results!$E$5="Million",$B$52="million"),((ER42*ER$51)/(ER$52)),"0")))))</f>
        <v>2.9037000000000002</v>
      </c>
      <c r="ES95" s="20">
        <f>IF(ES42=0,"0",IF(AND(Results!$E$5="Protein",$C$53&gt;0,OR(Results!$E$4="Tissue",Results!$E$4="Cells")),((ES42*ES$51)/(ES$53)),IF(AND(Results!$E$5="Weight",$C$52&gt;0, Results!$E$4="Tissue",OR($B$52="g",$B$52="mg")),((ES42*ES$51)/(ES$52)),IF(AND(Results!$E$5="Volume",$C$54&gt;0,Results!$E$4="Fluid"),((ES42*ES$51)/(ES$54)),IF(AND(Results!$E$4="Cells",Results!$E$5="Million",$B$52="million"),((ES42*ES$51)/(ES$52)),"0")))))</f>
        <v>2.3714666666666671</v>
      </c>
      <c r="ET95" s="20">
        <f>IF(ET42=0,"0",IF(AND(Results!$E$5="Protein",$C$53&gt;0,OR(Results!$E$4="Tissue",Results!$E$4="Cells")),((ET42*ET$51)/(ET$53)),IF(AND(Results!$E$5="Weight",$C$52&gt;0, Results!$E$4="Tissue",OR($B$52="g",$B$52="mg")),((ET42*ET$51)/(ET$52)),IF(AND(Results!$E$5="Volume",$C$54&gt;0,Results!$E$4="Fluid"),((ET42*ET$51)/(ET$54)),IF(AND(Results!$E$4="Cells",Results!$E$5="Million",$B$52="million"),((ET42*ET$51)/(ET$52)),"0")))))</f>
        <v>3.1059333333333332</v>
      </c>
      <c r="EU95" s="20">
        <f>IF(EU42=0,"0",IF(AND(Results!$E$5="Protein",$C$53&gt;0,OR(Results!$E$4="Tissue",Results!$E$4="Cells")),((EU42*EU$51)/(EU$53)),IF(AND(Results!$E$5="Weight",$C$52&gt;0, Results!$E$4="Tissue",OR($B$52="g",$B$52="mg")),((EU42*EU$51)/(EU$52)),IF(AND(Results!$E$5="Volume",$C$54&gt;0,Results!$E$4="Fluid"),((EU42*EU$51)/(EU$54)),IF(AND(Results!$E$4="Cells",Results!$E$5="Million",$B$52="million"),((EU42*EU$51)/(EU$52)),"0")))))</f>
        <v>2.8798666666666666</v>
      </c>
      <c r="EV95" s="20">
        <f>IF(EV42=0,"0",IF(AND(Results!$E$5="Protein",$C$53&gt;0,OR(Results!$E$4="Tissue",Results!$E$4="Cells")),((EV42*EV$51)/(EV$53)),IF(AND(Results!$E$5="Weight",$C$52&gt;0, Results!$E$4="Tissue",OR($B$52="g",$B$52="mg")),((EV42*EV$51)/(EV$52)),IF(AND(Results!$E$5="Volume",$C$54&gt;0,Results!$E$4="Fluid"),((EV42*EV$51)/(EV$54)),IF(AND(Results!$E$4="Cells",Results!$E$5="Million",$B$52="million"),((EV42*EV$51)/(EV$52)),"0")))))</f>
        <v>2.5556833333333335</v>
      </c>
      <c r="EW95" s="20">
        <f>IF(EW42=0,"0",IF(AND(Results!$E$5="Protein",$C$53&gt;0,OR(Results!$E$4="Tissue",Results!$E$4="Cells")),((EW42*EW$51)/(EW$53)),IF(AND(Results!$E$5="Weight",$C$52&gt;0, Results!$E$4="Tissue",OR($B$52="g",$B$52="mg")),((EW42*EW$51)/(EW$52)),IF(AND(Results!$E$5="Volume",$C$54&gt;0,Results!$E$4="Fluid"),((EW42*EW$51)/(EW$54)),IF(AND(Results!$E$4="Cells",Results!$E$5="Million",$B$52="million"),((EW42*EW$51)/(EW$52)),"0")))))</f>
        <v>1.9828000000000001</v>
      </c>
      <c r="EX95" s="20">
        <f>IF(EX42=0,"0",IF(AND(Results!$E$5="Protein",$C$53&gt;0,OR(Results!$E$4="Tissue",Results!$E$4="Cells")),((EX42*EX$51)/(EX$53)),IF(AND(Results!$E$5="Weight",$C$52&gt;0, Results!$E$4="Tissue",OR($B$52="g",$B$52="mg")),((EX42*EX$51)/(EX$52)),IF(AND(Results!$E$5="Volume",$C$54&gt;0,Results!$E$4="Fluid"),((EX42*EX$51)/(EX$54)),IF(AND(Results!$E$4="Cells",Results!$E$5="Million",$B$52="million"),((EX42*EX$51)/(EX$52)),"0")))))</f>
        <v>6.2151333333333323</v>
      </c>
      <c r="EY95" s="20">
        <f>IF(EY42=0,"0",IF(AND(Results!$E$5="Protein",$C$53&gt;0,OR(Results!$E$4="Tissue",Results!$E$4="Cells")),((EY42*EY$51)/(EY$53)),IF(AND(Results!$E$5="Weight",$C$52&gt;0, Results!$E$4="Tissue",OR($B$52="g",$B$52="mg")),((EY42*EY$51)/(EY$52)),IF(AND(Results!$E$5="Volume",$C$54&gt;0,Results!$E$4="Fluid"),((EY42*EY$51)/(EY$54)),IF(AND(Results!$E$4="Cells",Results!$E$5="Million",$B$52="million"),((EY42*EY$51)/(EY$52)),"0")))))</f>
        <v>3.9567166666666669</v>
      </c>
      <c r="EZ95" s="20">
        <f>IF(EZ42=0,"0",IF(AND(Results!$E$5="Protein",$C$53&gt;0,OR(Results!$E$4="Tissue",Results!$E$4="Cells")),((EZ42*EZ$51)/(EZ$53)),IF(AND(Results!$E$5="Weight",$C$52&gt;0, Results!$E$4="Tissue",OR($B$52="g",$B$52="mg")),((EZ42*EZ$51)/(EZ$52)),IF(AND(Results!$E$5="Volume",$C$54&gt;0,Results!$E$4="Fluid"),((EZ42*EZ$51)/(EZ$54)),IF(AND(Results!$E$4="Cells",Results!$E$5="Million",$B$52="million"),((EZ42*EZ$51)/(EZ$52)),"0")))))</f>
        <v>3.0473499999999998</v>
      </c>
      <c r="FA95" s="20">
        <f>IF(FA42=0,"0",IF(AND(Results!$E$5="Protein",$C$53&gt;0,OR(Results!$E$4="Tissue",Results!$E$4="Cells")),((FA42*FA$51)/(FA$53)),IF(AND(Results!$E$5="Weight",$C$52&gt;0, Results!$E$4="Tissue",OR($B$52="g",$B$52="mg")),((FA42*FA$51)/(FA$52)),IF(AND(Results!$E$5="Volume",$C$54&gt;0,Results!$E$4="Fluid"),((FA42*FA$51)/(FA$54)),IF(AND(Results!$E$4="Cells",Results!$E$5="Million",$B$52="million"),((FA42*FA$51)/(FA$52)),"0")))))</f>
        <v>1.3833666666666669</v>
      </c>
      <c r="FB95" s="20">
        <f>IF(FB42=0,"0",IF(AND(Results!$E$5="Protein",$C$53&gt;0,OR(Results!$E$4="Tissue",Results!$E$4="Cells")),((FB42*FB$51)/(FB$53)),IF(AND(Results!$E$5="Weight",$C$52&gt;0, Results!$E$4="Tissue",OR($B$52="g",$B$52="mg")),((FB42*FB$51)/(FB$52)),IF(AND(Results!$E$5="Volume",$C$54&gt;0,Results!$E$4="Fluid"),((FB42*FB$51)/(FB$54)),IF(AND(Results!$E$4="Cells",Results!$E$5="Million",$B$52="million"),((FB42*FB$51)/(FB$52)),"0")))))</f>
        <v>1.0095499999999999</v>
      </c>
      <c r="FC95" s="20">
        <f>IF(FC42=0,"0",IF(AND(Results!$E$5="Protein",$C$53&gt;0,OR(Results!$E$4="Tissue",Results!$E$4="Cells")),((FC42*FC$51)/(FC$53)),IF(AND(Results!$E$5="Weight",$C$52&gt;0, Results!$E$4="Tissue",OR($B$52="g",$B$52="mg")),((FC42*FC$51)/(FC$52)),IF(AND(Results!$E$5="Volume",$C$54&gt;0,Results!$E$4="Fluid"),((FC42*FC$51)/(FC$54)),IF(AND(Results!$E$4="Cells",Results!$E$5="Million",$B$52="million"),((FC42*FC$51)/(FC$52)),"0")))))</f>
        <v>2.4556833333333334</v>
      </c>
      <c r="FD95" s="20">
        <f>IF(FD42=0,"0",IF(AND(Results!$E$5="Protein",$C$53&gt;0,OR(Results!$E$4="Tissue",Results!$E$4="Cells")),((FD42*FD$51)/(FD$53)),IF(AND(Results!$E$5="Weight",$C$52&gt;0, Results!$E$4="Tissue",OR($B$52="g",$B$52="mg")),((FD42*FD$51)/(FD$52)),IF(AND(Results!$E$5="Volume",$C$54&gt;0,Results!$E$4="Fluid"),((FD42*FD$51)/(FD$54)),IF(AND(Results!$E$4="Cells",Results!$E$5="Million",$B$52="million"),((FD42*FD$51)/(FD$52)),"0")))))</f>
        <v>2.3445000000000005</v>
      </c>
      <c r="FE95" s="20">
        <f>IF(FE42=0,"0",IF(AND(Results!$E$5="Protein",$C$53&gt;0,OR(Results!$E$4="Tissue",Results!$E$4="Cells")),((FE42*FE$51)/(FE$53)),IF(AND(Results!$E$5="Weight",$C$52&gt;0, Results!$E$4="Tissue",OR($B$52="g",$B$52="mg")),((FE42*FE$51)/(FE$52)),IF(AND(Results!$E$5="Volume",$C$54&gt;0,Results!$E$4="Fluid"),((FE42*FE$51)/(FE$54)),IF(AND(Results!$E$4="Cells",Results!$E$5="Million",$B$52="million"),((FE42*FE$51)/(FE$52)),"0")))))</f>
        <v>3.5743833333333339</v>
      </c>
      <c r="FF95" s="20">
        <f>IF(FF42=0,"0",IF(AND(Results!$E$5="Protein",$C$53&gt;0,OR(Results!$E$4="Tissue",Results!$E$4="Cells")),((FF42*FF$51)/(FF$53)),IF(AND(Results!$E$5="Weight",$C$52&gt;0, Results!$E$4="Tissue",OR($B$52="g",$B$52="mg")),((FF42*FF$51)/(FF$52)),IF(AND(Results!$E$5="Volume",$C$54&gt;0,Results!$E$4="Fluid"),((FF42*FF$51)/(FF$54)),IF(AND(Results!$E$4="Cells",Results!$E$5="Million",$B$52="million"),((FF42*FF$51)/(FF$52)),"0")))))</f>
        <v>5.8794999999999993</v>
      </c>
      <c r="FG95" s="20">
        <f>IF(FG42=0,"0",IF(AND(Results!$E$5="Protein",$C$53&gt;0,OR(Results!$E$4="Tissue",Results!$E$4="Cells")),((FG42*FG$51)/(FG$53)),IF(AND(Results!$E$5="Weight",$C$52&gt;0, Results!$E$4="Tissue",OR($B$52="g",$B$52="mg")),((FG42*FG$51)/(FG$52)),IF(AND(Results!$E$5="Volume",$C$54&gt;0,Results!$E$4="Fluid"),((FG42*FG$51)/(FG$54)),IF(AND(Results!$E$4="Cells",Results!$E$5="Million",$B$52="million"),((FG42*FG$51)/(FG$52)),"0")))))</f>
        <v>1.8481999999999998</v>
      </c>
      <c r="FH95" s="20">
        <f>IF(FH42=0,"0",IF(AND(Results!$E$5="Protein",$C$53&gt;0,OR(Results!$E$4="Tissue",Results!$E$4="Cells")),((FH42*FH$51)/(FH$53)),IF(AND(Results!$E$5="Weight",$C$52&gt;0, Results!$E$4="Tissue",OR($B$52="g",$B$52="mg")),((FH42*FH$51)/(FH$52)),IF(AND(Results!$E$5="Volume",$C$54&gt;0,Results!$E$4="Fluid"),((FH42*FH$51)/(FH$54)),IF(AND(Results!$E$4="Cells",Results!$E$5="Million",$B$52="million"),((FH42*FH$51)/(FH$52)),"0")))))</f>
        <v>3.341366666666667</v>
      </c>
      <c r="FI95" s="20">
        <f>IF(FI42=0,"0",IF(AND(Results!$E$5="Protein",$C$53&gt;0,OR(Results!$E$4="Tissue",Results!$E$4="Cells")),((FI42*FI$51)/(FI$53)),IF(AND(Results!$E$5="Weight",$C$52&gt;0, Results!$E$4="Tissue",OR($B$52="g",$B$52="mg")),((FI42*FI$51)/(FI$52)),IF(AND(Results!$E$5="Volume",$C$54&gt;0,Results!$E$4="Fluid"),((FI42*FI$51)/(FI$54)),IF(AND(Results!$E$4="Cells",Results!$E$5="Million",$B$52="million"),((FI42*FI$51)/(FI$52)),"0")))))</f>
        <v>6.5809999999999995</v>
      </c>
      <c r="FJ95" s="20">
        <f>IF(FJ42=0,"0",IF(AND(Results!$E$5="Protein",$C$53&gt;0,OR(Results!$E$4="Tissue",Results!$E$4="Cells")),((FJ42*FJ$51)/(FJ$53)),IF(AND(Results!$E$5="Weight",$C$52&gt;0, Results!$E$4="Tissue",OR($B$52="g",$B$52="mg")),((FJ42*FJ$51)/(FJ$52)),IF(AND(Results!$E$5="Volume",$C$54&gt;0,Results!$E$4="Fluid"),((FJ42*FJ$51)/(FJ$54)),IF(AND(Results!$E$4="Cells",Results!$E$5="Million",$B$52="million"),((FJ42*FJ$51)/(FJ$52)),"0")))))</f>
        <v>5.7818000000000005</v>
      </c>
      <c r="FK95" s="20">
        <f>IF(FK42=0,"0",IF(AND(Results!$E$5="Protein",$C$53&gt;0,OR(Results!$E$4="Tissue",Results!$E$4="Cells")),((FK42*FK$51)/(FK$53)),IF(AND(Results!$E$5="Weight",$C$52&gt;0, Results!$E$4="Tissue",OR($B$52="g",$B$52="mg")),((FK42*FK$51)/(FK$52)),IF(AND(Results!$E$5="Volume",$C$54&gt;0,Results!$E$4="Fluid"),((FK42*FK$51)/(FK$54)),IF(AND(Results!$E$4="Cells",Results!$E$5="Million",$B$52="million"),((FK42*FK$51)/(FK$52)),"0")))))</f>
        <v>4.7500999999999998</v>
      </c>
      <c r="FL95" s="20">
        <f>IF(FL42=0,"0",IF(AND(Results!$E$5="Protein",$C$53&gt;0,OR(Results!$E$4="Tissue",Results!$E$4="Cells")),((FL42*FL$51)/(FL$53)),IF(AND(Results!$E$5="Weight",$C$52&gt;0, Results!$E$4="Tissue",OR($B$52="g",$B$52="mg")),((FL42*FL$51)/(FL$52)),IF(AND(Results!$E$5="Volume",$C$54&gt;0,Results!$E$4="Fluid"),((FL42*FL$51)/(FL$54)),IF(AND(Results!$E$4="Cells",Results!$E$5="Million",$B$52="million"),((FL42*FL$51)/(FL$52)),"0")))))</f>
        <v>7.6035166666666667</v>
      </c>
      <c r="FM95" s="20">
        <f>IF(FM42=0,"0",IF(AND(Results!$E$5="Protein",$C$53&gt;0,OR(Results!$E$4="Tissue",Results!$E$4="Cells")),((FM42*FM$51)/(FM$53)),IF(AND(Results!$E$5="Weight",$C$52&gt;0, Results!$E$4="Tissue",OR($B$52="g",$B$52="mg")),((FM42*FM$51)/(FM$52)),IF(AND(Results!$E$5="Volume",$C$54&gt;0,Results!$E$4="Fluid"),((FM42*FM$51)/(FM$54)),IF(AND(Results!$E$4="Cells",Results!$E$5="Million",$B$52="million"),((FM42*FM$51)/(FM$52)),"0")))))</f>
        <v>7.1265666666666663</v>
      </c>
      <c r="FN95" s="20">
        <f>IF(FN42=0,"0",IF(AND(Results!$E$5="Protein",$C$53&gt;0,OR(Results!$E$4="Tissue",Results!$E$4="Cells")),((FN42*FN$51)/(FN$53)),IF(AND(Results!$E$5="Weight",$C$52&gt;0, Results!$E$4="Tissue",OR($B$52="g",$B$52="mg")),((FN42*FN$51)/(FN$52)),IF(AND(Results!$E$5="Volume",$C$54&gt;0,Results!$E$4="Fluid"),((FN42*FN$51)/(FN$54)),IF(AND(Results!$E$4="Cells",Results!$E$5="Million",$B$52="million"),((FN42*FN$51)/(FN$52)),"0")))))</f>
        <v>3.898566666666667</v>
      </c>
      <c r="FO95" s="20">
        <f>IF(FO42=0,"0",IF(AND(Results!$E$5="Protein",$C$53&gt;0,OR(Results!$E$4="Tissue",Results!$E$4="Cells")),((FO42*FO$51)/(FO$53)),IF(AND(Results!$E$5="Weight",$C$52&gt;0, Results!$E$4="Tissue",OR($B$52="g",$B$52="mg")),((FO42*FO$51)/(FO$52)),IF(AND(Results!$E$5="Volume",$C$54&gt;0,Results!$E$4="Fluid"),((FO42*FO$51)/(FO$54)),IF(AND(Results!$E$4="Cells",Results!$E$5="Million",$B$52="million"),((FO42*FO$51)/(FO$52)),"0")))))</f>
        <v>1.9704166666666665</v>
      </c>
    </row>
    <row r="96" spans="1:171" x14ac:dyDescent="0.2">
      <c r="A96" s="120" t="str">
        <f t="shared" si="1"/>
        <v>7(S)-MaR1</v>
      </c>
      <c r="B96" s="121"/>
      <c r="C96" s="20" t="str">
        <f>IF(C43=0,"0",IF(AND(Results!$E$5="Protein",$C$53&gt;0,OR(Results!$E$4="Tissue",Results!$E$4="Cells")),((C43*C$51)/(C$53)),IF(AND(Results!$E$5="Weight",$C$52&gt;0, Results!$E$4="Tissue",OR($B$52="g",$B$52="mg")),((C43*C$51)/(C$52)),IF(AND(Results!$E$5="Volume",$C$54&gt;0,Results!$E$4="Fluid"),((C43*C$51)/(C$54)),IF(AND(Results!$E$4="Cells",Results!$E$5="Million",$B$52="million"),((C43*C$51)/(C$52)),"0")))))</f>
        <v>0</v>
      </c>
      <c r="D96" s="20" t="str">
        <f>IF(D43=0,"0",IF(AND(Results!$E$5="Protein",$C$53&gt;0,OR(Results!$E$4="Tissue",Results!$E$4="Cells")),((D43*D$51)/(D$53)),IF(AND(Results!$E$5="Weight",$C$52&gt;0, Results!$E$4="Tissue",OR($B$52="g",$B$52="mg")),((D43*D$51)/(D$52)),IF(AND(Results!$E$5="Volume",$C$54&gt;0,Results!$E$4="Fluid"),((D43*D$51)/(D$54)),IF(AND(Results!$E$4="Cells",Results!$E$5="Million",$B$52="million"),((D43*D$51)/(D$52)),"0")))))</f>
        <v>0</v>
      </c>
      <c r="E96" s="20" t="str">
        <f>IF(E43=0,"0",IF(AND(Results!$E$5="Protein",$C$53&gt;0,OR(Results!$E$4="Tissue",Results!$E$4="Cells")),((E43*E$51)/(E$53)),IF(AND(Results!$E$5="Weight",$C$52&gt;0, Results!$E$4="Tissue",OR($B$52="g",$B$52="mg")),((E43*E$51)/(E$52)),IF(AND(Results!$E$5="Volume",$C$54&gt;0,Results!$E$4="Fluid"),((E43*E$51)/(E$54)),IF(AND(Results!$E$4="Cells",Results!$E$5="Million",$B$52="million"),((E43*E$51)/(E$52)),"0")))))</f>
        <v>0</v>
      </c>
      <c r="F96" s="20" t="str">
        <f>IF(F43=0,"0",IF(AND(Results!$E$5="Protein",$C$53&gt;0,OR(Results!$E$4="Tissue",Results!$E$4="Cells")),((F43*F$51)/(F$53)),IF(AND(Results!$E$5="Weight",$C$52&gt;0, Results!$E$4="Tissue",OR($B$52="g",$B$52="mg")),((F43*F$51)/(F$52)),IF(AND(Results!$E$5="Volume",$C$54&gt;0,Results!$E$4="Fluid"),((F43*F$51)/(F$54)),IF(AND(Results!$E$4="Cells",Results!$E$5="Million",$B$52="million"),((F43*F$51)/(F$52)),"0")))))</f>
        <v>0</v>
      </c>
      <c r="G96" s="20" t="str">
        <f>IF(G43=0,"0",IF(AND(Results!$E$5="Protein",$C$53&gt;0,OR(Results!$E$4="Tissue",Results!$E$4="Cells")),((G43*G$51)/(G$53)),IF(AND(Results!$E$5="Weight",$C$52&gt;0, Results!$E$4="Tissue",OR($B$52="g",$B$52="mg")),((G43*G$51)/(G$52)),IF(AND(Results!$E$5="Volume",$C$54&gt;0,Results!$E$4="Fluid"),((G43*G$51)/(G$54)),IF(AND(Results!$E$4="Cells",Results!$E$5="Million",$B$52="million"),((G43*G$51)/(G$52)),"0")))))</f>
        <v>0</v>
      </c>
      <c r="H96" s="20" t="str">
        <f>IF(H43=0,"0",IF(AND(Results!$E$5="Protein",$C$53&gt;0,OR(Results!$E$4="Tissue",Results!$E$4="Cells")),((H43*H$51)/(H$53)),IF(AND(Results!$E$5="Weight",$C$52&gt;0, Results!$E$4="Tissue",OR($B$52="g",$B$52="mg")),((H43*H$51)/(H$52)),IF(AND(Results!$E$5="Volume",$C$54&gt;0,Results!$E$4="Fluid"),((H43*H$51)/(H$54)),IF(AND(Results!$E$4="Cells",Results!$E$5="Million",$B$52="million"),((H43*H$51)/(H$52)),"0")))))</f>
        <v>0</v>
      </c>
      <c r="I96" s="20" t="str">
        <f>IF(I43=0,"0",IF(AND(Results!$E$5="Protein",$C$53&gt;0,OR(Results!$E$4="Tissue",Results!$E$4="Cells")),((I43*I$51)/(I$53)),IF(AND(Results!$E$5="Weight",$C$52&gt;0, Results!$E$4="Tissue",OR($B$52="g",$B$52="mg")),((I43*I$51)/(I$52)),IF(AND(Results!$E$5="Volume",$C$54&gt;0,Results!$E$4="Fluid"),((I43*I$51)/(I$54)),IF(AND(Results!$E$4="Cells",Results!$E$5="Million",$B$52="million"),((I43*I$51)/(I$52)),"0")))))</f>
        <v>0</v>
      </c>
      <c r="J96" s="20" t="str">
        <f>IF(J43=0,"0",IF(AND(Results!$E$5="Protein",$C$53&gt;0,OR(Results!$E$4="Tissue",Results!$E$4="Cells")),((J43*J$51)/(J$53)),IF(AND(Results!$E$5="Weight",$C$52&gt;0, Results!$E$4="Tissue",OR($B$52="g",$B$52="mg")),((J43*J$51)/(J$52)),IF(AND(Results!$E$5="Volume",$C$54&gt;0,Results!$E$4="Fluid"),((J43*J$51)/(J$54)),IF(AND(Results!$E$4="Cells",Results!$E$5="Million",$B$52="million"),((J43*J$51)/(J$52)),"0")))))</f>
        <v>0</v>
      </c>
      <c r="K96" s="20" t="str">
        <f>IF(K43=0,"0",IF(AND(Results!$E$5="Protein",$C$53&gt;0,OR(Results!$E$4="Tissue",Results!$E$4="Cells")),((K43*K$51)/(K$53)),IF(AND(Results!$E$5="Weight",$C$52&gt;0, Results!$E$4="Tissue",OR($B$52="g",$B$52="mg")),((K43*K$51)/(K$52)),IF(AND(Results!$E$5="Volume",$C$54&gt;0,Results!$E$4="Fluid"),((K43*K$51)/(K$54)),IF(AND(Results!$E$4="Cells",Results!$E$5="Million",$B$52="million"),((K43*K$51)/(K$52)),"0")))))</f>
        <v>0</v>
      </c>
      <c r="L96" s="20" t="str">
        <f>IF(L43=0,"0",IF(AND(Results!$E$5="Protein",$C$53&gt;0,OR(Results!$E$4="Tissue",Results!$E$4="Cells")),((L43*L$51)/(L$53)),IF(AND(Results!$E$5="Weight",$C$52&gt;0, Results!$E$4="Tissue",OR($B$52="g",$B$52="mg")),((L43*L$51)/(L$52)),IF(AND(Results!$E$5="Volume",$C$54&gt;0,Results!$E$4="Fluid"),((L43*L$51)/(L$54)),IF(AND(Results!$E$4="Cells",Results!$E$5="Million",$B$52="million"),((L43*L$51)/(L$52)),"0")))))</f>
        <v>0</v>
      </c>
      <c r="M96" s="20" t="str">
        <f>IF(M43=0,"0",IF(AND(Results!$E$5="Protein",$C$53&gt;0,OR(Results!$E$4="Tissue",Results!$E$4="Cells")),((M43*M$51)/(M$53)),IF(AND(Results!$E$5="Weight",$C$52&gt;0, Results!$E$4="Tissue",OR($B$52="g",$B$52="mg")),((M43*M$51)/(M$52)),IF(AND(Results!$E$5="Volume",$C$54&gt;0,Results!$E$4="Fluid"),((M43*M$51)/(M$54)),IF(AND(Results!$E$4="Cells",Results!$E$5="Million",$B$52="million"),((M43*M$51)/(M$52)),"0")))))</f>
        <v>0</v>
      </c>
      <c r="N96" s="20" t="str">
        <f>IF(N43=0,"0",IF(AND(Results!$E$5="Protein",$C$53&gt;0,OR(Results!$E$4="Tissue",Results!$E$4="Cells")),((N43*N$51)/(N$53)),IF(AND(Results!$E$5="Weight",$C$52&gt;0, Results!$E$4="Tissue",OR($B$52="g",$B$52="mg")),((N43*N$51)/(N$52)),IF(AND(Results!$E$5="Volume",$C$54&gt;0,Results!$E$4="Fluid"),((N43*N$51)/(N$54)),IF(AND(Results!$E$4="Cells",Results!$E$5="Million",$B$52="million"),((N43*N$51)/(N$52)),"0")))))</f>
        <v>0</v>
      </c>
      <c r="O96" s="20" t="str">
        <f>IF(O43=0,"0",IF(AND(Results!$E$5="Protein",$C$53&gt;0,OR(Results!$E$4="Tissue",Results!$E$4="Cells")),((O43*O$51)/(O$53)),IF(AND(Results!$E$5="Weight",$C$52&gt;0, Results!$E$4="Tissue",OR($B$52="g",$B$52="mg")),((O43*O$51)/(O$52)),IF(AND(Results!$E$5="Volume",$C$54&gt;0,Results!$E$4="Fluid"),((O43*O$51)/(O$54)),IF(AND(Results!$E$4="Cells",Results!$E$5="Million",$B$52="million"),((O43*O$51)/(O$52)),"0")))))</f>
        <v>0</v>
      </c>
      <c r="P96" s="20" t="str">
        <f>IF(P43=0,"0",IF(AND(Results!$E$5="Protein",$C$53&gt;0,OR(Results!$E$4="Tissue",Results!$E$4="Cells")),((P43*P$51)/(P$53)),IF(AND(Results!$E$5="Weight",$C$52&gt;0, Results!$E$4="Tissue",OR($B$52="g",$B$52="mg")),((P43*P$51)/(P$52)),IF(AND(Results!$E$5="Volume",$C$54&gt;0,Results!$E$4="Fluid"),((P43*P$51)/(P$54)),IF(AND(Results!$E$4="Cells",Results!$E$5="Million",$B$52="million"),((P43*P$51)/(P$52)),"0")))))</f>
        <v>0</v>
      </c>
      <c r="Q96" s="20" t="str">
        <f>IF(Q43=0,"0",IF(AND(Results!$E$5="Protein",$C$53&gt;0,OR(Results!$E$4="Tissue",Results!$E$4="Cells")),((Q43*Q$51)/(Q$53)),IF(AND(Results!$E$5="Weight",$C$52&gt;0, Results!$E$4="Tissue",OR($B$52="g",$B$52="mg")),((Q43*Q$51)/(Q$52)),IF(AND(Results!$E$5="Volume",$C$54&gt;0,Results!$E$4="Fluid"),((Q43*Q$51)/(Q$54)),IF(AND(Results!$E$4="Cells",Results!$E$5="Million",$B$52="million"),((Q43*Q$51)/(Q$52)),"0")))))</f>
        <v>0</v>
      </c>
      <c r="R96" s="20" t="str">
        <f>IF(R43=0,"0",IF(AND(Results!$E$5="Protein",$C$53&gt;0,OR(Results!$E$4="Tissue",Results!$E$4="Cells")),((R43*R$51)/(R$53)),IF(AND(Results!$E$5="Weight",$C$52&gt;0, Results!$E$4="Tissue",OR($B$52="g",$B$52="mg")),((R43*R$51)/(R$52)),IF(AND(Results!$E$5="Volume",$C$54&gt;0,Results!$E$4="Fluid"),((R43*R$51)/(R$54)),IF(AND(Results!$E$4="Cells",Results!$E$5="Million",$B$52="million"),((R43*R$51)/(R$52)),"0")))))</f>
        <v>0</v>
      </c>
      <c r="S96" s="20" t="str">
        <f>IF(S43=0,"0",IF(AND(Results!$E$5="Protein",$C$53&gt;0,OR(Results!$E$4="Tissue",Results!$E$4="Cells")),((S43*S$51)/(S$53)),IF(AND(Results!$E$5="Weight",$C$52&gt;0, Results!$E$4="Tissue",OR($B$52="g",$B$52="mg")),((S43*S$51)/(S$52)),IF(AND(Results!$E$5="Volume",$C$54&gt;0,Results!$E$4="Fluid"),((S43*S$51)/(S$54)),IF(AND(Results!$E$4="Cells",Results!$E$5="Million",$B$52="million"),((S43*S$51)/(S$52)),"0")))))</f>
        <v>0</v>
      </c>
      <c r="T96" s="20" t="str">
        <f>IF(T43=0,"0",IF(AND(Results!$E$5="Protein",$C$53&gt;0,OR(Results!$E$4="Tissue",Results!$E$4="Cells")),((T43*T$51)/(T$53)),IF(AND(Results!$E$5="Weight",$C$52&gt;0, Results!$E$4="Tissue",OR($B$52="g",$B$52="mg")),((T43*T$51)/(T$52)),IF(AND(Results!$E$5="Volume",$C$54&gt;0,Results!$E$4="Fluid"),((T43*T$51)/(T$54)),IF(AND(Results!$E$4="Cells",Results!$E$5="Million",$B$52="million"),((T43*T$51)/(T$52)),"0")))))</f>
        <v>0</v>
      </c>
      <c r="U96" s="20" t="str">
        <f>IF(U43=0,"0",IF(AND(Results!$E$5="Protein",$C$53&gt;0,OR(Results!$E$4="Tissue",Results!$E$4="Cells")),((U43*U$51)/(U$53)),IF(AND(Results!$E$5="Weight",$C$52&gt;0, Results!$E$4="Tissue",OR($B$52="g",$B$52="mg")),((U43*U$51)/(U$52)),IF(AND(Results!$E$5="Volume",$C$54&gt;0,Results!$E$4="Fluid"),((U43*U$51)/(U$54)),IF(AND(Results!$E$4="Cells",Results!$E$5="Million",$B$52="million"),((U43*U$51)/(U$52)),"0")))))</f>
        <v>0</v>
      </c>
      <c r="V96" s="20" t="str">
        <f>IF(V43=0,"0",IF(AND(Results!$E$5="Protein",$C$53&gt;0,OR(Results!$E$4="Tissue",Results!$E$4="Cells")),((V43*V$51)/(V$53)),IF(AND(Results!$E$5="Weight",$C$52&gt;0, Results!$E$4="Tissue",OR($B$52="g",$B$52="mg")),((V43*V$51)/(V$52)),IF(AND(Results!$E$5="Volume",$C$54&gt;0,Results!$E$4="Fluid"),((V43*V$51)/(V$54)),IF(AND(Results!$E$4="Cells",Results!$E$5="Million",$B$52="million"),((V43*V$51)/(V$52)),"0")))))</f>
        <v>0</v>
      </c>
      <c r="W96" s="20" t="str">
        <f>IF(W43=0,"0",IF(AND(Results!$E$5="Protein",$C$53&gt;0,OR(Results!$E$4="Tissue",Results!$E$4="Cells")),((W43*W$51)/(W$53)),IF(AND(Results!$E$5="Weight",$C$52&gt;0, Results!$E$4="Tissue",OR($B$52="g",$B$52="mg")),((W43*W$51)/(W$52)),IF(AND(Results!$E$5="Volume",$C$54&gt;0,Results!$E$4="Fluid"),((W43*W$51)/(W$54)),IF(AND(Results!$E$4="Cells",Results!$E$5="Million",$B$52="million"),((W43*W$51)/(W$52)),"0")))))</f>
        <v>0</v>
      </c>
      <c r="X96" s="20" t="str">
        <f>IF(X43=0,"0",IF(AND(Results!$E$5="Protein",$C$53&gt;0,OR(Results!$E$4="Tissue",Results!$E$4="Cells")),((X43*X$51)/(X$53)),IF(AND(Results!$E$5="Weight",$C$52&gt;0, Results!$E$4="Tissue",OR($B$52="g",$B$52="mg")),((X43*X$51)/(X$52)),IF(AND(Results!$E$5="Volume",$C$54&gt;0,Results!$E$4="Fluid"),((X43*X$51)/(X$54)),IF(AND(Results!$E$4="Cells",Results!$E$5="Million",$B$52="million"),((X43*X$51)/(X$52)),"0")))))</f>
        <v>0</v>
      </c>
      <c r="Y96" s="20" t="str">
        <f>IF(Y43=0,"0",IF(AND(Results!$E$5="Protein",$C$53&gt;0,OR(Results!$E$4="Tissue",Results!$E$4="Cells")),((Y43*Y$51)/(Y$53)),IF(AND(Results!$E$5="Weight",$C$52&gt;0, Results!$E$4="Tissue",OR($B$52="g",$B$52="mg")),((Y43*Y$51)/(Y$52)),IF(AND(Results!$E$5="Volume",$C$54&gt;0,Results!$E$4="Fluid"),((Y43*Y$51)/(Y$54)),IF(AND(Results!$E$4="Cells",Results!$E$5="Million",$B$52="million"),((Y43*Y$51)/(Y$52)),"0")))))</f>
        <v>0</v>
      </c>
      <c r="Z96" s="20" t="str">
        <f>IF(Z43=0,"0",IF(AND(Results!$E$5="Protein",$C$53&gt;0,OR(Results!$E$4="Tissue",Results!$E$4="Cells")),((Z43*Z$51)/(Z$53)),IF(AND(Results!$E$5="Weight",$C$52&gt;0, Results!$E$4="Tissue",OR($B$52="g",$B$52="mg")),((Z43*Z$51)/(Z$52)),IF(AND(Results!$E$5="Volume",$C$54&gt;0,Results!$E$4="Fluid"),((Z43*Z$51)/(Z$54)),IF(AND(Results!$E$4="Cells",Results!$E$5="Million",$B$52="million"),((Z43*Z$51)/(Z$52)),"0")))))</f>
        <v>0</v>
      </c>
      <c r="AA96" s="20" t="str">
        <f>IF(AA43=0,"0",IF(AND(Results!$E$5="Protein",$C$53&gt;0,OR(Results!$E$4="Tissue",Results!$E$4="Cells")),((AA43*AA$51)/(AA$53)),IF(AND(Results!$E$5="Weight",$C$52&gt;0, Results!$E$4="Tissue",OR($B$52="g",$B$52="mg")),((AA43*AA$51)/(AA$52)),IF(AND(Results!$E$5="Volume",$C$54&gt;0,Results!$E$4="Fluid"),((AA43*AA$51)/(AA$54)),IF(AND(Results!$E$4="Cells",Results!$E$5="Million",$B$52="million"),((AA43*AA$51)/(AA$52)),"0")))))</f>
        <v>0</v>
      </c>
      <c r="AB96" s="20" t="str">
        <f>IF(AB43=0,"0",IF(AND(Results!$E$5="Protein",$C$53&gt;0,OR(Results!$E$4="Tissue",Results!$E$4="Cells")),((AB43*AB$51)/(AB$53)),IF(AND(Results!$E$5="Weight",$C$52&gt;0, Results!$E$4="Tissue",OR($B$52="g",$B$52="mg")),((AB43*AB$51)/(AB$52)),IF(AND(Results!$E$5="Volume",$C$54&gt;0,Results!$E$4="Fluid"),((AB43*AB$51)/(AB$54)),IF(AND(Results!$E$4="Cells",Results!$E$5="Million",$B$52="million"),((AB43*AB$51)/(AB$52)),"0")))))</f>
        <v>0</v>
      </c>
      <c r="AC96" s="20" t="str">
        <f>IF(AC43=0,"0",IF(AND(Results!$E$5="Protein",$C$53&gt;0,OR(Results!$E$4="Tissue",Results!$E$4="Cells")),((AC43*AC$51)/(AC$53)),IF(AND(Results!$E$5="Weight",$C$52&gt;0, Results!$E$4="Tissue",OR($B$52="g",$B$52="mg")),((AC43*AC$51)/(AC$52)),IF(AND(Results!$E$5="Volume",$C$54&gt;0,Results!$E$4="Fluid"),((AC43*AC$51)/(AC$54)),IF(AND(Results!$E$4="Cells",Results!$E$5="Million",$B$52="million"),((AC43*AC$51)/(AC$52)),"0")))))</f>
        <v>0</v>
      </c>
      <c r="AD96" s="20" t="str">
        <f>IF(AD43=0,"0",IF(AND(Results!$E$5="Protein",$C$53&gt;0,OR(Results!$E$4="Tissue",Results!$E$4="Cells")),((AD43*AD$51)/(AD$53)),IF(AND(Results!$E$5="Weight",$C$52&gt;0, Results!$E$4="Tissue",OR($B$52="g",$B$52="mg")),((AD43*AD$51)/(AD$52)),IF(AND(Results!$E$5="Volume",$C$54&gt;0,Results!$E$4="Fluid"),((AD43*AD$51)/(AD$54)),IF(AND(Results!$E$4="Cells",Results!$E$5="Million",$B$52="million"),((AD43*AD$51)/(AD$52)),"0")))))</f>
        <v>0</v>
      </c>
      <c r="AE96" s="20" t="str">
        <f>IF(AE43=0,"0",IF(AND(Results!$E$5="Protein",$C$53&gt;0,OR(Results!$E$4="Tissue",Results!$E$4="Cells")),((AE43*AE$51)/(AE$53)),IF(AND(Results!$E$5="Weight",$C$52&gt;0, Results!$E$4="Tissue",OR($B$52="g",$B$52="mg")),((AE43*AE$51)/(AE$52)),IF(AND(Results!$E$5="Volume",$C$54&gt;0,Results!$E$4="Fluid"),((AE43*AE$51)/(AE$54)),IF(AND(Results!$E$4="Cells",Results!$E$5="Million",$B$52="million"),((AE43*AE$51)/(AE$52)),"0")))))</f>
        <v>0</v>
      </c>
      <c r="AF96" s="20" t="str">
        <f>IF(AF43=0,"0",IF(AND(Results!$E$5="Protein",$C$53&gt;0,OR(Results!$E$4="Tissue",Results!$E$4="Cells")),((AF43*AF$51)/(AF$53)),IF(AND(Results!$E$5="Weight",$C$52&gt;0, Results!$E$4="Tissue",OR($B$52="g",$B$52="mg")),((AF43*AF$51)/(AF$52)),IF(AND(Results!$E$5="Volume",$C$54&gt;0,Results!$E$4="Fluid"),((AF43*AF$51)/(AF$54)),IF(AND(Results!$E$4="Cells",Results!$E$5="Million",$B$52="million"),((AF43*AF$51)/(AF$52)),"0")))))</f>
        <v>0</v>
      </c>
      <c r="AG96" s="20" t="str">
        <f>IF(AG43=0,"0",IF(AND(Results!$E$5="Protein",$C$53&gt;0,OR(Results!$E$4="Tissue",Results!$E$4="Cells")),((AG43*AG$51)/(AG$53)),IF(AND(Results!$E$5="Weight",$C$52&gt;0, Results!$E$4="Tissue",OR($B$52="g",$B$52="mg")),((AG43*AG$51)/(AG$52)),IF(AND(Results!$E$5="Volume",$C$54&gt;0,Results!$E$4="Fluid"),((AG43*AG$51)/(AG$54)),IF(AND(Results!$E$4="Cells",Results!$E$5="Million",$B$52="million"),((AG43*AG$51)/(AG$52)),"0")))))</f>
        <v>0</v>
      </c>
      <c r="AH96" s="20" t="str">
        <f>IF(AH43=0,"0",IF(AND(Results!$E$5="Protein",$C$53&gt;0,OR(Results!$E$4="Tissue",Results!$E$4="Cells")),((AH43*AH$51)/(AH$53)),IF(AND(Results!$E$5="Weight",$C$52&gt;0, Results!$E$4="Tissue",OR($B$52="g",$B$52="mg")),((AH43*AH$51)/(AH$52)),IF(AND(Results!$E$5="Volume",$C$54&gt;0,Results!$E$4="Fluid"),((AH43*AH$51)/(AH$54)),IF(AND(Results!$E$4="Cells",Results!$E$5="Million",$B$52="million"),((AH43*AH$51)/(AH$52)),"0")))))</f>
        <v>0</v>
      </c>
      <c r="AI96" s="20" t="str">
        <f>IF(AI43=0,"0",IF(AND(Results!$E$5="Protein",$C$53&gt;0,OR(Results!$E$4="Tissue",Results!$E$4="Cells")),((AI43*AI$51)/(AI$53)),IF(AND(Results!$E$5="Weight",$C$52&gt;0, Results!$E$4="Tissue",OR($B$52="g",$B$52="mg")),((AI43*AI$51)/(AI$52)),IF(AND(Results!$E$5="Volume",$C$54&gt;0,Results!$E$4="Fluid"),((AI43*AI$51)/(AI$54)),IF(AND(Results!$E$4="Cells",Results!$E$5="Million",$B$52="million"),((AI43*AI$51)/(AI$52)),"0")))))</f>
        <v>0</v>
      </c>
      <c r="AJ96" s="20" t="str">
        <f>IF(AJ43=0,"0",IF(AND(Results!$E$5="Protein",$C$53&gt;0,OR(Results!$E$4="Tissue",Results!$E$4="Cells")),((AJ43*AJ$51)/(AJ$53)),IF(AND(Results!$E$5="Weight",$C$52&gt;0, Results!$E$4="Tissue",OR($B$52="g",$B$52="mg")),((AJ43*AJ$51)/(AJ$52)),IF(AND(Results!$E$5="Volume",$C$54&gt;0,Results!$E$4="Fluid"),((AJ43*AJ$51)/(AJ$54)),IF(AND(Results!$E$4="Cells",Results!$E$5="Million",$B$52="million"),((AJ43*AJ$51)/(AJ$52)),"0")))))</f>
        <v>0</v>
      </c>
      <c r="AK96" s="20" t="str">
        <f>IF(AK43=0,"0",IF(AND(Results!$E$5="Protein",$C$53&gt;0,OR(Results!$E$4="Tissue",Results!$E$4="Cells")),((AK43*AK$51)/(AK$53)),IF(AND(Results!$E$5="Weight",$C$52&gt;0, Results!$E$4="Tissue",OR($B$52="g",$B$52="mg")),((AK43*AK$51)/(AK$52)),IF(AND(Results!$E$5="Volume",$C$54&gt;0,Results!$E$4="Fluid"),((AK43*AK$51)/(AK$54)),IF(AND(Results!$E$4="Cells",Results!$E$5="Million",$B$52="million"),((AK43*AK$51)/(AK$52)),"0")))))</f>
        <v>0</v>
      </c>
      <c r="AL96" s="20" t="str">
        <f>IF(AL43=0,"0",IF(AND(Results!$E$5="Protein",$C$53&gt;0,OR(Results!$E$4="Tissue",Results!$E$4="Cells")),((AL43*AL$51)/(AL$53)),IF(AND(Results!$E$5="Weight",$C$52&gt;0, Results!$E$4="Tissue",OR($B$52="g",$B$52="mg")),((AL43*AL$51)/(AL$52)),IF(AND(Results!$E$5="Volume",$C$54&gt;0,Results!$E$4="Fluid"),((AL43*AL$51)/(AL$54)),IF(AND(Results!$E$4="Cells",Results!$E$5="Million",$B$52="million"),((AL43*AL$51)/(AL$52)),"0")))))</f>
        <v>0</v>
      </c>
      <c r="AM96" s="20" t="str">
        <f>IF(AM43=0,"0",IF(AND(Results!$E$5="Protein",$C$53&gt;0,OR(Results!$E$4="Tissue",Results!$E$4="Cells")),((AM43*AM$51)/(AM$53)),IF(AND(Results!$E$5="Weight",$C$52&gt;0, Results!$E$4="Tissue",OR($B$52="g",$B$52="mg")),((AM43*AM$51)/(AM$52)),IF(AND(Results!$E$5="Volume",$C$54&gt;0,Results!$E$4="Fluid"),((AM43*AM$51)/(AM$54)),IF(AND(Results!$E$4="Cells",Results!$E$5="Million",$B$52="million"),((AM43*AM$51)/(AM$52)),"0")))))</f>
        <v>0</v>
      </c>
      <c r="AN96" s="20" t="str">
        <f>IF(AN43=0,"0",IF(AND(Results!$E$5="Protein",$C$53&gt;0,OR(Results!$E$4="Tissue",Results!$E$4="Cells")),((AN43*AN$51)/(AN$53)),IF(AND(Results!$E$5="Weight",$C$52&gt;0, Results!$E$4="Tissue",OR($B$52="g",$B$52="mg")),((AN43*AN$51)/(AN$52)),IF(AND(Results!$E$5="Volume",$C$54&gt;0,Results!$E$4="Fluid"),((AN43*AN$51)/(AN$54)),IF(AND(Results!$E$4="Cells",Results!$E$5="Million",$B$52="million"),((AN43*AN$51)/(AN$52)),"0")))))</f>
        <v>0</v>
      </c>
      <c r="AO96" s="20" t="str">
        <f>IF(AO43=0,"0",IF(AND(Results!$E$5="Protein",$C$53&gt;0,OR(Results!$E$4="Tissue",Results!$E$4="Cells")),((AO43*AO$51)/(AO$53)),IF(AND(Results!$E$5="Weight",$C$52&gt;0, Results!$E$4="Tissue",OR($B$52="g",$B$52="mg")),((AO43*AO$51)/(AO$52)),IF(AND(Results!$E$5="Volume",$C$54&gt;0,Results!$E$4="Fluid"),((AO43*AO$51)/(AO$54)),IF(AND(Results!$E$4="Cells",Results!$E$5="Million",$B$52="million"),((AO43*AO$51)/(AO$52)),"0")))))</f>
        <v>0</v>
      </c>
      <c r="AP96" s="20" t="str">
        <f>IF(AP43=0,"0",IF(AND(Results!$E$5="Protein",$C$53&gt;0,OR(Results!$E$4="Tissue",Results!$E$4="Cells")),((AP43*AP$51)/(AP$53)),IF(AND(Results!$E$5="Weight",$C$52&gt;0, Results!$E$4="Tissue",OR($B$52="g",$B$52="mg")),((AP43*AP$51)/(AP$52)),IF(AND(Results!$E$5="Volume",$C$54&gt;0,Results!$E$4="Fluid"),((AP43*AP$51)/(AP$54)),IF(AND(Results!$E$4="Cells",Results!$E$5="Million",$B$52="million"),((AP43*AP$51)/(AP$52)),"0")))))</f>
        <v>0</v>
      </c>
      <c r="AQ96" s="20" t="str">
        <f>IF(AQ43=0,"0",IF(AND(Results!$E$5="Protein",$C$53&gt;0,OR(Results!$E$4="Tissue",Results!$E$4="Cells")),((AQ43*AQ$51)/(AQ$53)),IF(AND(Results!$E$5="Weight",$C$52&gt;0, Results!$E$4="Tissue",OR($B$52="g",$B$52="mg")),((AQ43*AQ$51)/(AQ$52)),IF(AND(Results!$E$5="Volume",$C$54&gt;0,Results!$E$4="Fluid"),((AQ43*AQ$51)/(AQ$54)),IF(AND(Results!$E$4="Cells",Results!$E$5="Million",$B$52="million"),((AQ43*AQ$51)/(AQ$52)),"0")))))</f>
        <v>0</v>
      </c>
      <c r="AR96" s="20" t="str">
        <f>IF(AR43=0,"0",IF(AND(Results!$E$5="Protein",$C$53&gt;0,OR(Results!$E$4="Tissue",Results!$E$4="Cells")),((AR43*AR$51)/(AR$53)),IF(AND(Results!$E$5="Weight",$C$52&gt;0, Results!$E$4="Tissue",OR($B$52="g",$B$52="mg")),((AR43*AR$51)/(AR$52)),IF(AND(Results!$E$5="Volume",$C$54&gt;0,Results!$E$4="Fluid"),((AR43*AR$51)/(AR$54)),IF(AND(Results!$E$4="Cells",Results!$E$5="Million",$B$52="million"),((AR43*AR$51)/(AR$52)),"0")))))</f>
        <v>0</v>
      </c>
      <c r="AS96" s="20" t="str">
        <f>IF(AS43=0,"0",IF(AND(Results!$E$5="Protein",$C$53&gt;0,OR(Results!$E$4="Tissue",Results!$E$4="Cells")),((AS43*AS$51)/(AS$53)),IF(AND(Results!$E$5="Weight",$C$52&gt;0, Results!$E$4="Tissue",OR($B$52="g",$B$52="mg")),((AS43*AS$51)/(AS$52)),IF(AND(Results!$E$5="Volume",$C$54&gt;0,Results!$E$4="Fluid"),((AS43*AS$51)/(AS$54)),IF(AND(Results!$E$4="Cells",Results!$E$5="Million",$B$52="million"),((AS43*AS$51)/(AS$52)),"0")))))</f>
        <v>0</v>
      </c>
      <c r="AT96" s="20" t="str">
        <f>IF(AT43=0,"0",IF(AND(Results!$E$5="Protein",$C$53&gt;0,OR(Results!$E$4="Tissue",Results!$E$4="Cells")),((AT43*AT$51)/(AT$53)),IF(AND(Results!$E$5="Weight",$C$52&gt;0, Results!$E$4="Tissue",OR($B$52="g",$B$52="mg")),((AT43*AT$51)/(AT$52)),IF(AND(Results!$E$5="Volume",$C$54&gt;0,Results!$E$4="Fluid"),((AT43*AT$51)/(AT$54)),IF(AND(Results!$E$4="Cells",Results!$E$5="Million",$B$52="million"),((AT43*AT$51)/(AT$52)),"0")))))</f>
        <v>0</v>
      </c>
      <c r="AU96" s="20" t="str">
        <f>IF(AU43=0,"0",IF(AND(Results!$E$5="Protein",$C$53&gt;0,OR(Results!$E$4="Tissue",Results!$E$4="Cells")),((AU43*AU$51)/(AU$53)),IF(AND(Results!$E$5="Weight",$C$52&gt;0, Results!$E$4="Tissue",OR($B$52="g",$B$52="mg")),((AU43*AU$51)/(AU$52)),IF(AND(Results!$E$5="Volume",$C$54&gt;0,Results!$E$4="Fluid"),((AU43*AU$51)/(AU$54)),IF(AND(Results!$E$4="Cells",Results!$E$5="Million",$B$52="million"),((AU43*AU$51)/(AU$52)),"0")))))</f>
        <v>0</v>
      </c>
      <c r="AV96" s="20" t="str">
        <f>IF(AV43=0,"0",IF(AND(Results!$E$5="Protein",$C$53&gt;0,OR(Results!$E$4="Tissue",Results!$E$4="Cells")),((AV43*AV$51)/(AV$53)),IF(AND(Results!$E$5="Weight",$C$52&gt;0, Results!$E$4="Tissue",OR($B$52="g",$B$52="mg")),((AV43*AV$51)/(AV$52)),IF(AND(Results!$E$5="Volume",$C$54&gt;0,Results!$E$4="Fluid"),((AV43*AV$51)/(AV$54)),IF(AND(Results!$E$4="Cells",Results!$E$5="Million",$B$52="million"),((AV43*AV$51)/(AV$52)),"0")))))</f>
        <v>0</v>
      </c>
      <c r="AW96" s="20" t="str">
        <f>IF(AW43=0,"0",IF(AND(Results!$E$5="Protein",$C$53&gt;0,OR(Results!$E$4="Tissue",Results!$E$4="Cells")),((AW43*AW$51)/(AW$53)),IF(AND(Results!$E$5="Weight",$C$52&gt;0, Results!$E$4="Tissue",OR($B$52="g",$B$52="mg")),((AW43*AW$51)/(AW$52)),IF(AND(Results!$E$5="Volume",$C$54&gt;0,Results!$E$4="Fluid"),((AW43*AW$51)/(AW$54)),IF(AND(Results!$E$4="Cells",Results!$E$5="Million",$B$52="million"),((AW43*AW$51)/(AW$52)),"0")))))</f>
        <v>0</v>
      </c>
      <c r="AX96" s="20" t="str">
        <f>IF(AX43=0,"0",IF(AND(Results!$E$5="Protein",$C$53&gt;0,OR(Results!$E$4="Tissue",Results!$E$4="Cells")),((AX43*AX$51)/(AX$53)),IF(AND(Results!$E$5="Weight",$C$52&gt;0, Results!$E$4="Tissue",OR($B$52="g",$B$52="mg")),((AX43*AX$51)/(AX$52)),IF(AND(Results!$E$5="Volume",$C$54&gt;0,Results!$E$4="Fluid"),((AX43*AX$51)/(AX$54)),IF(AND(Results!$E$4="Cells",Results!$E$5="Million",$B$52="million"),((AX43*AX$51)/(AX$52)),"0")))))</f>
        <v>0</v>
      </c>
      <c r="AY96" s="20" t="str">
        <f>IF(AY43=0,"0",IF(AND(Results!$E$5="Protein",$C$53&gt;0,OR(Results!$E$4="Tissue",Results!$E$4="Cells")),((AY43*AY$51)/(AY$53)),IF(AND(Results!$E$5="Weight",$C$52&gt;0, Results!$E$4="Tissue",OR($B$52="g",$B$52="mg")),((AY43*AY$51)/(AY$52)),IF(AND(Results!$E$5="Volume",$C$54&gt;0,Results!$E$4="Fluid"),((AY43*AY$51)/(AY$54)),IF(AND(Results!$E$4="Cells",Results!$E$5="Million",$B$52="million"),((AY43*AY$51)/(AY$52)),"0")))))</f>
        <v>0</v>
      </c>
      <c r="AZ96" s="20" t="str">
        <f>IF(AZ43=0,"0",IF(AND(Results!$E$5="Protein",$C$53&gt;0,OR(Results!$E$4="Tissue",Results!$E$4="Cells")),((AZ43*AZ$51)/(AZ$53)),IF(AND(Results!$E$5="Weight",$C$52&gt;0, Results!$E$4="Tissue",OR($B$52="g",$B$52="mg")),((AZ43*AZ$51)/(AZ$52)),IF(AND(Results!$E$5="Volume",$C$54&gt;0,Results!$E$4="Fluid"),((AZ43*AZ$51)/(AZ$54)),IF(AND(Results!$E$4="Cells",Results!$E$5="Million",$B$52="million"),((AZ43*AZ$51)/(AZ$52)),"0")))))</f>
        <v>0</v>
      </c>
      <c r="BA96" s="20" t="str">
        <f>IF(BA43=0,"0",IF(AND(Results!$E$5="Protein",$C$53&gt;0,OR(Results!$E$4="Tissue",Results!$E$4="Cells")),((BA43*BA$51)/(BA$53)),IF(AND(Results!$E$5="Weight",$C$52&gt;0, Results!$E$4="Tissue",OR($B$52="g",$B$52="mg")),((BA43*BA$51)/(BA$52)),IF(AND(Results!$E$5="Volume",$C$54&gt;0,Results!$E$4="Fluid"),((BA43*BA$51)/(BA$54)),IF(AND(Results!$E$4="Cells",Results!$E$5="Million",$B$52="million"),((BA43*BA$51)/(BA$52)),"0")))))</f>
        <v>0</v>
      </c>
      <c r="BB96" s="20" t="str">
        <f>IF(BB43=0,"0",IF(AND(Results!$E$5="Protein",$C$53&gt;0,OR(Results!$E$4="Tissue",Results!$E$4="Cells")),((BB43*BB$51)/(BB$53)),IF(AND(Results!$E$5="Weight",$C$52&gt;0, Results!$E$4="Tissue",OR($B$52="g",$B$52="mg")),((BB43*BB$51)/(BB$52)),IF(AND(Results!$E$5="Volume",$C$54&gt;0,Results!$E$4="Fluid"),((BB43*BB$51)/(BB$54)),IF(AND(Results!$E$4="Cells",Results!$E$5="Million",$B$52="million"),((BB43*BB$51)/(BB$52)),"0")))))</f>
        <v>0</v>
      </c>
      <c r="BC96" s="20" t="str">
        <f>IF(BC43=0,"0",IF(AND(Results!$E$5="Protein",$C$53&gt;0,OR(Results!$E$4="Tissue",Results!$E$4="Cells")),((BC43*BC$51)/(BC$53)),IF(AND(Results!$E$5="Weight",$C$52&gt;0, Results!$E$4="Tissue",OR($B$52="g",$B$52="mg")),((BC43*BC$51)/(BC$52)),IF(AND(Results!$E$5="Volume",$C$54&gt;0,Results!$E$4="Fluid"),((BC43*BC$51)/(BC$54)),IF(AND(Results!$E$4="Cells",Results!$E$5="Million",$B$52="million"),((BC43*BC$51)/(BC$52)),"0")))))</f>
        <v>0</v>
      </c>
      <c r="BD96" s="20" t="str">
        <f>IF(BD43=0,"0",IF(AND(Results!$E$5="Protein",$C$53&gt;0,OR(Results!$E$4="Tissue",Results!$E$4="Cells")),((BD43*BD$51)/(BD$53)),IF(AND(Results!$E$5="Weight",$C$52&gt;0, Results!$E$4="Tissue",OR($B$52="g",$B$52="mg")),((BD43*BD$51)/(BD$52)),IF(AND(Results!$E$5="Volume",$C$54&gt;0,Results!$E$4="Fluid"),((BD43*BD$51)/(BD$54)),IF(AND(Results!$E$4="Cells",Results!$E$5="Million",$B$52="million"),((BD43*BD$51)/(BD$52)),"0")))))</f>
        <v>0</v>
      </c>
      <c r="BE96" s="20" t="str">
        <f>IF(BE43=0,"0",IF(AND(Results!$E$5="Protein",$C$53&gt;0,OR(Results!$E$4="Tissue",Results!$E$4="Cells")),((BE43*BE$51)/(BE$53)),IF(AND(Results!$E$5="Weight",$C$52&gt;0, Results!$E$4="Tissue",OR($B$52="g",$B$52="mg")),((BE43*BE$51)/(BE$52)),IF(AND(Results!$E$5="Volume",$C$54&gt;0,Results!$E$4="Fluid"),((BE43*BE$51)/(BE$54)),IF(AND(Results!$E$4="Cells",Results!$E$5="Million",$B$52="million"),((BE43*BE$51)/(BE$52)),"0")))))</f>
        <v>0</v>
      </c>
      <c r="BF96" s="20" t="str">
        <f>IF(BF43=0,"0",IF(AND(Results!$E$5="Protein",$C$53&gt;0,OR(Results!$E$4="Tissue",Results!$E$4="Cells")),((BF43*BF$51)/(BF$53)),IF(AND(Results!$E$5="Weight",$C$52&gt;0, Results!$E$4="Tissue",OR($B$52="g",$B$52="mg")),((BF43*BF$51)/(BF$52)),IF(AND(Results!$E$5="Volume",$C$54&gt;0,Results!$E$4="Fluid"),((BF43*BF$51)/(BF$54)),IF(AND(Results!$E$4="Cells",Results!$E$5="Million",$B$52="million"),((BF43*BF$51)/(BF$52)),"0")))))</f>
        <v>0</v>
      </c>
      <c r="BG96" s="20" t="str">
        <f>IF(BG43=0,"0",IF(AND(Results!$E$5="Protein",$C$53&gt;0,OR(Results!$E$4="Tissue",Results!$E$4="Cells")),((BG43*BG$51)/(BG$53)),IF(AND(Results!$E$5="Weight",$C$52&gt;0, Results!$E$4="Tissue",OR($B$52="g",$B$52="mg")),((BG43*BG$51)/(BG$52)),IF(AND(Results!$E$5="Volume",$C$54&gt;0,Results!$E$4="Fluid"),((BG43*BG$51)/(BG$54)),IF(AND(Results!$E$4="Cells",Results!$E$5="Million",$B$52="million"),((BG43*BG$51)/(BG$52)),"0")))))</f>
        <v>0</v>
      </c>
      <c r="BH96" s="20" t="str">
        <f>IF(BH43=0,"0",IF(AND(Results!$E$5="Protein",$C$53&gt;0,OR(Results!$E$4="Tissue",Results!$E$4="Cells")),((BH43*BH$51)/(BH$53)),IF(AND(Results!$E$5="Weight",$C$52&gt;0, Results!$E$4="Tissue",OR($B$52="g",$B$52="mg")),((BH43*BH$51)/(BH$52)),IF(AND(Results!$E$5="Volume",$C$54&gt;0,Results!$E$4="Fluid"),((BH43*BH$51)/(BH$54)),IF(AND(Results!$E$4="Cells",Results!$E$5="Million",$B$52="million"),((BH43*BH$51)/(BH$52)),"0")))))</f>
        <v>0</v>
      </c>
      <c r="BI96" s="20" t="str">
        <f>IF(BI43=0,"0",IF(AND(Results!$E$5="Protein",$C$53&gt;0,OR(Results!$E$4="Tissue",Results!$E$4="Cells")),((BI43*BI$51)/(BI$53)),IF(AND(Results!$E$5="Weight",$C$52&gt;0, Results!$E$4="Tissue",OR($B$52="g",$B$52="mg")),((BI43*BI$51)/(BI$52)),IF(AND(Results!$E$5="Volume",$C$54&gt;0,Results!$E$4="Fluid"),((BI43*BI$51)/(BI$54)),IF(AND(Results!$E$4="Cells",Results!$E$5="Million",$B$52="million"),((BI43*BI$51)/(BI$52)),"0")))))</f>
        <v>0</v>
      </c>
      <c r="BJ96" s="20" t="str">
        <f>IF(BJ43=0,"0",IF(AND(Results!$E$5="Protein",$C$53&gt;0,OR(Results!$E$4="Tissue",Results!$E$4="Cells")),((BJ43*BJ$51)/(BJ$53)),IF(AND(Results!$E$5="Weight",$C$52&gt;0, Results!$E$4="Tissue",OR($B$52="g",$B$52="mg")),((BJ43*BJ$51)/(BJ$52)),IF(AND(Results!$E$5="Volume",$C$54&gt;0,Results!$E$4="Fluid"),((BJ43*BJ$51)/(BJ$54)),IF(AND(Results!$E$4="Cells",Results!$E$5="Million",$B$52="million"),((BJ43*BJ$51)/(BJ$52)),"0")))))</f>
        <v>0</v>
      </c>
      <c r="BK96" s="20" t="str">
        <f>IF(BK43=0,"0",IF(AND(Results!$E$5="Protein",$C$53&gt;0,OR(Results!$E$4="Tissue",Results!$E$4="Cells")),((BK43*BK$51)/(BK$53)),IF(AND(Results!$E$5="Weight",$C$52&gt;0, Results!$E$4="Tissue",OR($B$52="g",$B$52="mg")),((BK43*BK$51)/(BK$52)),IF(AND(Results!$E$5="Volume",$C$54&gt;0,Results!$E$4="Fluid"),((BK43*BK$51)/(BK$54)),IF(AND(Results!$E$4="Cells",Results!$E$5="Million",$B$52="million"),((BK43*BK$51)/(BK$52)),"0")))))</f>
        <v>0</v>
      </c>
      <c r="BL96" s="20" t="str">
        <f>IF(BL43=0,"0",IF(AND(Results!$E$5="Protein",$C$53&gt;0,OR(Results!$E$4="Tissue",Results!$E$4="Cells")),((BL43*BL$51)/(BL$53)),IF(AND(Results!$E$5="Weight",$C$52&gt;0, Results!$E$4="Tissue",OR($B$52="g",$B$52="mg")),((BL43*BL$51)/(BL$52)),IF(AND(Results!$E$5="Volume",$C$54&gt;0,Results!$E$4="Fluid"),((BL43*BL$51)/(BL$54)),IF(AND(Results!$E$4="Cells",Results!$E$5="Million",$B$52="million"),((BL43*BL$51)/(BL$52)),"0")))))</f>
        <v>0</v>
      </c>
      <c r="BM96" s="20" t="str">
        <f>IF(BM43=0,"0",IF(AND(Results!$E$5="Protein",$C$53&gt;0,OR(Results!$E$4="Tissue",Results!$E$4="Cells")),((BM43*BM$51)/(BM$53)),IF(AND(Results!$E$5="Weight",$C$52&gt;0, Results!$E$4="Tissue",OR($B$52="g",$B$52="mg")),((BM43*BM$51)/(BM$52)),IF(AND(Results!$E$5="Volume",$C$54&gt;0,Results!$E$4="Fluid"),((BM43*BM$51)/(BM$54)),IF(AND(Results!$E$4="Cells",Results!$E$5="Million",$B$52="million"),((BM43*BM$51)/(BM$52)),"0")))))</f>
        <v>0</v>
      </c>
      <c r="BN96" s="20" t="str">
        <f>IF(BN43=0,"0",IF(AND(Results!$E$5="Protein",$C$53&gt;0,OR(Results!$E$4="Tissue",Results!$E$4="Cells")),((BN43*BN$51)/(BN$53)),IF(AND(Results!$E$5="Weight",$C$52&gt;0, Results!$E$4="Tissue",OR($B$52="g",$B$52="mg")),((BN43*BN$51)/(BN$52)),IF(AND(Results!$E$5="Volume",$C$54&gt;0,Results!$E$4="Fluid"),((BN43*BN$51)/(BN$54)),IF(AND(Results!$E$4="Cells",Results!$E$5="Million",$B$52="million"),((BN43*BN$51)/(BN$52)),"0")))))</f>
        <v>0</v>
      </c>
      <c r="BO96" s="20" t="str">
        <f>IF(BO43=0,"0",IF(AND(Results!$E$5="Protein",$C$53&gt;0,OR(Results!$E$4="Tissue",Results!$E$4="Cells")),((BO43*BO$51)/(BO$53)),IF(AND(Results!$E$5="Weight",$C$52&gt;0, Results!$E$4="Tissue",OR($B$52="g",$B$52="mg")),((BO43*BO$51)/(BO$52)),IF(AND(Results!$E$5="Volume",$C$54&gt;0,Results!$E$4="Fluid"),((BO43*BO$51)/(BO$54)),IF(AND(Results!$E$4="Cells",Results!$E$5="Million",$B$52="million"),((BO43*BO$51)/(BO$52)),"0")))))</f>
        <v>0</v>
      </c>
      <c r="BP96" s="20" t="str">
        <f>IF(BP43=0,"0",IF(AND(Results!$E$5="Protein",$C$53&gt;0,OR(Results!$E$4="Tissue",Results!$E$4="Cells")),((BP43*BP$51)/(BP$53)),IF(AND(Results!$E$5="Weight",$C$52&gt;0, Results!$E$4="Tissue",OR($B$52="g",$B$52="mg")),((BP43*BP$51)/(BP$52)),IF(AND(Results!$E$5="Volume",$C$54&gt;0,Results!$E$4="Fluid"),((BP43*BP$51)/(BP$54)),IF(AND(Results!$E$4="Cells",Results!$E$5="Million",$B$52="million"),((BP43*BP$51)/(BP$52)),"0")))))</f>
        <v>0</v>
      </c>
      <c r="BQ96" s="20" t="str">
        <f>IF(BQ43=0,"0",IF(AND(Results!$E$5="Protein",$C$53&gt;0,OR(Results!$E$4="Tissue",Results!$E$4="Cells")),((BQ43*BQ$51)/(BQ$53)),IF(AND(Results!$E$5="Weight",$C$52&gt;0, Results!$E$4="Tissue",OR($B$52="g",$B$52="mg")),((BQ43*BQ$51)/(BQ$52)),IF(AND(Results!$E$5="Volume",$C$54&gt;0,Results!$E$4="Fluid"),((BQ43*BQ$51)/(BQ$54)),IF(AND(Results!$E$4="Cells",Results!$E$5="Million",$B$52="million"),((BQ43*BQ$51)/(BQ$52)),"0")))))</f>
        <v>0</v>
      </c>
      <c r="BR96" s="20" t="str">
        <f>IF(BR43=0,"0",IF(AND(Results!$E$5="Protein",$C$53&gt;0,OR(Results!$E$4="Tissue",Results!$E$4="Cells")),((BR43*BR$51)/(BR$53)),IF(AND(Results!$E$5="Weight",$C$52&gt;0, Results!$E$4="Tissue",OR($B$52="g",$B$52="mg")),((BR43*BR$51)/(BR$52)),IF(AND(Results!$E$5="Volume",$C$54&gt;0,Results!$E$4="Fluid"),((BR43*BR$51)/(BR$54)),IF(AND(Results!$E$4="Cells",Results!$E$5="Million",$B$52="million"),((BR43*BR$51)/(BR$52)),"0")))))</f>
        <v>0</v>
      </c>
      <c r="BS96" s="20" t="str">
        <f>IF(BS43=0,"0",IF(AND(Results!$E$5="Protein",$C$53&gt;0,OR(Results!$E$4="Tissue",Results!$E$4="Cells")),((BS43*BS$51)/(BS$53)),IF(AND(Results!$E$5="Weight",$C$52&gt;0, Results!$E$4="Tissue",OR($B$52="g",$B$52="mg")),((BS43*BS$51)/(BS$52)),IF(AND(Results!$E$5="Volume",$C$54&gt;0,Results!$E$4="Fluid"),((BS43*BS$51)/(BS$54)),IF(AND(Results!$E$4="Cells",Results!$E$5="Million",$B$52="million"),((BS43*BS$51)/(BS$52)),"0")))))</f>
        <v>0</v>
      </c>
      <c r="BT96" s="20" t="str">
        <f>IF(BT43=0,"0",IF(AND(Results!$E$5="Protein",$C$53&gt;0,OR(Results!$E$4="Tissue",Results!$E$4="Cells")),((BT43*BT$51)/(BT$53)),IF(AND(Results!$E$5="Weight",$C$52&gt;0, Results!$E$4="Tissue",OR($B$52="g",$B$52="mg")),((BT43*BT$51)/(BT$52)),IF(AND(Results!$E$5="Volume",$C$54&gt;0,Results!$E$4="Fluid"),((BT43*BT$51)/(BT$54)),IF(AND(Results!$E$4="Cells",Results!$E$5="Million",$B$52="million"),((BT43*BT$51)/(BT$52)),"0")))))</f>
        <v>0</v>
      </c>
      <c r="BU96" s="20" t="str">
        <f>IF(BU43=0,"0",IF(AND(Results!$E$5="Protein",$C$53&gt;0,OR(Results!$E$4="Tissue",Results!$E$4="Cells")),((BU43*BU$51)/(BU$53)),IF(AND(Results!$E$5="Weight",$C$52&gt;0, Results!$E$4="Tissue",OR($B$52="g",$B$52="mg")),((BU43*BU$51)/(BU$52)),IF(AND(Results!$E$5="Volume",$C$54&gt;0,Results!$E$4="Fluid"),((BU43*BU$51)/(BU$54)),IF(AND(Results!$E$4="Cells",Results!$E$5="Million",$B$52="million"),((BU43*BU$51)/(BU$52)),"0")))))</f>
        <v>0</v>
      </c>
      <c r="BV96" s="20" t="str">
        <f>IF(BV43=0,"0",IF(AND(Results!$E$5="Protein",$C$53&gt;0,OR(Results!$E$4="Tissue",Results!$E$4="Cells")),((BV43*BV$51)/(BV$53)),IF(AND(Results!$E$5="Weight",$C$52&gt;0, Results!$E$4="Tissue",OR($B$52="g",$B$52="mg")),((BV43*BV$51)/(BV$52)),IF(AND(Results!$E$5="Volume",$C$54&gt;0,Results!$E$4="Fluid"),((BV43*BV$51)/(BV$54)),IF(AND(Results!$E$4="Cells",Results!$E$5="Million",$B$52="million"),((BV43*BV$51)/(BV$52)),"0")))))</f>
        <v>0</v>
      </c>
      <c r="BW96" s="20" t="str">
        <f>IF(BW43=0,"0",IF(AND(Results!$E$5="Protein",$C$53&gt;0,OR(Results!$E$4="Tissue",Results!$E$4="Cells")),((BW43*BW$51)/(BW$53)),IF(AND(Results!$E$5="Weight",$C$52&gt;0, Results!$E$4="Tissue",OR($B$52="g",$B$52="mg")),((BW43*BW$51)/(BW$52)),IF(AND(Results!$E$5="Volume",$C$54&gt;0,Results!$E$4="Fluid"),((BW43*BW$51)/(BW$54)),IF(AND(Results!$E$4="Cells",Results!$E$5="Million",$B$52="million"),((BW43*BW$51)/(BW$52)),"0")))))</f>
        <v>0</v>
      </c>
      <c r="BX96" s="20" t="str">
        <f>IF(BX43=0,"0",IF(AND(Results!$E$5="Protein",$C$53&gt;0,OR(Results!$E$4="Tissue",Results!$E$4="Cells")),((BX43*BX$51)/(BX$53)),IF(AND(Results!$E$5="Weight",$C$52&gt;0, Results!$E$4="Tissue",OR($B$52="g",$B$52="mg")),((BX43*BX$51)/(BX$52)),IF(AND(Results!$E$5="Volume",$C$54&gt;0,Results!$E$4="Fluid"),((BX43*BX$51)/(BX$54)),IF(AND(Results!$E$4="Cells",Results!$E$5="Million",$B$52="million"),((BX43*BX$51)/(BX$52)),"0")))))</f>
        <v>0</v>
      </c>
      <c r="BY96" s="20" t="str">
        <f>IF(BY43=0,"0",IF(AND(Results!$E$5="Protein",$C$53&gt;0,OR(Results!$E$4="Tissue",Results!$E$4="Cells")),((BY43*BY$51)/(BY$53)),IF(AND(Results!$E$5="Weight",$C$52&gt;0, Results!$E$4="Tissue",OR($B$52="g",$B$52="mg")),((BY43*BY$51)/(BY$52)),IF(AND(Results!$E$5="Volume",$C$54&gt;0,Results!$E$4="Fluid"),((BY43*BY$51)/(BY$54)),IF(AND(Results!$E$4="Cells",Results!$E$5="Million",$B$52="million"),((BY43*BY$51)/(BY$52)),"0")))))</f>
        <v>0</v>
      </c>
      <c r="BZ96" s="20" t="str">
        <f>IF(BZ43=0,"0",IF(AND(Results!$E$5="Protein",$C$53&gt;0,OR(Results!$E$4="Tissue",Results!$E$4="Cells")),((BZ43*BZ$51)/(BZ$53)),IF(AND(Results!$E$5="Weight",$C$52&gt;0, Results!$E$4="Tissue",OR($B$52="g",$B$52="mg")),((BZ43*BZ$51)/(BZ$52)),IF(AND(Results!$E$5="Volume",$C$54&gt;0,Results!$E$4="Fluid"),((BZ43*BZ$51)/(BZ$54)),IF(AND(Results!$E$4="Cells",Results!$E$5="Million",$B$52="million"),((BZ43*BZ$51)/(BZ$52)),"0")))))</f>
        <v>0</v>
      </c>
      <c r="CA96" s="20" t="str">
        <f>IF(CA43=0,"0",IF(AND(Results!$E$5="Protein",$C$53&gt;0,OR(Results!$E$4="Tissue",Results!$E$4="Cells")),((CA43*CA$51)/(CA$53)),IF(AND(Results!$E$5="Weight",$C$52&gt;0, Results!$E$4="Tissue",OR($B$52="g",$B$52="mg")),((CA43*CA$51)/(CA$52)),IF(AND(Results!$E$5="Volume",$C$54&gt;0,Results!$E$4="Fluid"),((CA43*CA$51)/(CA$54)),IF(AND(Results!$E$4="Cells",Results!$E$5="Million",$B$52="million"),((CA43*CA$51)/(CA$52)),"0")))))</f>
        <v>0</v>
      </c>
      <c r="CB96" s="20" t="str">
        <f>IF(CB43=0,"0",IF(AND(Results!$E$5="Protein",$C$53&gt;0,OR(Results!$E$4="Tissue",Results!$E$4="Cells")),((CB43*CB$51)/(CB$53)),IF(AND(Results!$E$5="Weight",$C$52&gt;0, Results!$E$4="Tissue",OR($B$52="g",$B$52="mg")),((CB43*CB$51)/(CB$52)),IF(AND(Results!$E$5="Volume",$C$54&gt;0,Results!$E$4="Fluid"),((CB43*CB$51)/(CB$54)),IF(AND(Results!$E$4="Cells",Results!$E$5="Million",$B$52="million"),((CB43*CB$51)/(CB$52)),"0")))))</f>
        <v>0</v>
      </c>
      <c r="CC96" s="20" t="str">
        <f>IF(CC43=0,"0",IF(AND(Results!$E$5="Protein",$C$53&gt;0,OR(Results!$E$4="Tissue",Results!$E$4="Cells")),((CC43*CC$51)/(CC$53)),IF(AND(Results!$E$5="Weight",$C$52&gt;0, Results!$E$4="Tissue",OR($B$52="g",$B$52="mg")),((CC43*CC$51)/(CC$52)),IF(AND(Results!$E$5="Volume",$C$54&gt;0,Results!$E$4="Fluid"),((CC43*CC$51)/(CC$54)),IF(AND(Results!$E$4="Cells",Results!$E$5="Million",$B$52="million"),((CC43*CC$51)/(CC$52)),"0")))))</f>
        <v>0</v>
      </c>
      <c r="CD96" s="20" t="str">
        <f>IF(CD43=0,"0",IF(AND(Results!$E$5="Protein",$C$53&gt;0,OR(Results!$E$4="Tissue",Results!$E$4="Cells")),((CD43*CD$51)/(CD$53)),IF(AND(Results!$E$5="Weight",$C$52&gt;0, Results!$E$4="Tissue",OR($B$52="g",$B$52="mg")),((CD43*CD$51)/(CD$52)),IF(AND(Results!$E$5="Volume",$C$54&gt;0,Results!$E$4="Fluid"),((CD43*CD$51)/(CD$54)),IF(AND(Results!$E$4="Cells",Results!$E$5="Million",$B$52="million"),((CD43*CD$51)/(CD$52)),"0")))))</f>
        <v>0</v>
      </c>
      <c r="CE96" s="20" t="str">
        <f>IF(CE43=0,"0",IF(AND(Results!$E$5="Protein",$C$53&gt;0,OR(Results!$E$4="Tissue",Results!$E$4="Cells")),((CE43*CE$51)/(CE$53)),IF(AND(Results!$E$5="Weight",$C$52&gt;0, Results!$E$4="Tissue",OR($B$52="g",$B$52="mg")),((CE43*CE$51)/(CE$52)),IF(AND(Results!$E$5="Volume",$C$54&gt;0,Results!$E$4="Fluid"),((CE43*CE$51)/(CE$54)),IF(AND(Results!$E$4="Cells",Results!$E$5="Million",$B$52="million"),((CE43*CE$51)/(CE$52)),"0")))))</f>
        <v>0</v>
      </c>
      <c r="CF96" s="20" t="str">
        <f>IF(CF43=0,"0",IF(AND(Results!$E$5="Protein",$C$53&gt;0,OR(Results!$E$4="Tissue",Results!$E$4="Cells")),((CF43*CF$51)/(CF$53)),IF(AND(Results!$E$5="Weight",$C$52&gt;0, Results!$E$4="Tissue",OR($B$52="g",$B$52="mg")),((CF43*CF$51)/(CF$52)),IF(AND(Results!$E$5="Volume",$C$54&gt;0,Results!$E$4="Fluid"),((CF43*CF$51)/(CF$54)),IF(AND(Results!$E$4="Cells",Results!$E$5="Million",$B$52="million"),((CF43*CF$51)/(CF$52)),"0")))))</f>
        <v>0</v>
      </c>
      <c r="CG96" s="20" t="str">
        <f>IF(CG43=0,"0",IF(AND(Results!$E$5="Protein",$C$53&gt;0,OR(Results!$E$4="Tissue",Results!$E$4="Cells")),((CG43*CG$51)/(CG$53)),IF(AND(Results!$E$5="Weight",$C$52&gt;0, Results!$E$4="Tissue",OR($B$52="g",$B$52="mg")),((CG43*CG$51)/(CG$52)),IF(AND(Results!$E$5="Volume",$C$54&gt;0,Results!$E$4="Fluid"),((CG43*CG$51)/(CG$54)),IF(AND(Results!$E$4="Cells",Results!$E$5="Million",$B$52="million"),((CG43*CG$51)/(CG$52)),"0")))))</f>
        <v>0</v>
      </c>
      <c r="CH96" s="20" t="str">
        <f>IF(CH43=0,"0",IF(AND(Results!$E$5="Protein",$C$53&gt;0,OR(Results!$E$4="Tissue",Results!$E$4="Cells")),((CH43*CH$51)/(CH$53)),IF(AND(Results!$E$5="Weight",$C$52&gt;0, Results!$E$4="Tissue",OR($B$52="g",$B$52="mg")),((CH43*CH$51)/(CH$52)),IF(AND(Results!$E$5="Volume",$C$54&gt;0,Results!$E$4="Fluid"),((CH43*CH$51)/(CH$54)),IF(AND(Results!$E$4="Cells",Results!$E$5="Million",$B$52="million"),((CH43*CH$51)/(CH$52)),"0")))))</f>
        <v>0</v>
      </c>
      <c r="CI96" s="20" t="str">
        <f>IF(CI43=0,"0",IF(AND(Results!$E$5="Protein",$C$53&gt;0,OR(Results!$E$4="Tissue",Results!$E$4="Cells")),((CI43*CI$51)/(CI$53)),IF(AND(Results!$E$5="Weight",$C$52&gt;0, Results!$E$4="Tissue",OR($B$52="g",$B$52="mg")),((CI43*CI$51)/(CI$52)),IF(AND(Results!$E$5="Volume",$C$54&gt;0,Results!$E$4="Fluid"),((CI43*CI$51)/(CI$54)),IF(AND(Results!$E$4="Cells",Results!$E$5="Million",$B$52="million"),((CI43*CI$51)/(CI$52)),"0")))))</f>
        <v>0</v>
      </c>
      <c r="CJ96" s="20" t="str">
        <f>IF(CJ43=0,"0",IF(AND(Results!$E$5="Protein",$C$53&gt;0,OR(Results!$E$4="Tissue",Results!$E$4="Cells")),((CJ43*CJ$51)/(CJ$53)),IF(AND(Results!$E$5="Weight",$C$52&gt;0, Results!$E$4="Tissue",OR($B$52="g",$B$52="mg")),((CJ43*CJ$51)/(CJ$52)),IF(AND(Results!$E$5="Volume",$C$54&gt;0,Results!$E$4="Fluid"),((CJ43*CJ$51)/(CJ$54)),IF(AND(Results!$E$4="Cells",Results!$E$5="Million",$B$52="million"),((CJ43*CJ$51)/(CJ$52)),"0")))))</f>
        <v>0</v>
      </c>
      <c r="CK96" s="20" t="str">
        <f>IF(CK43=0,"0",IF(AND(Results!$E$5="Protein",$C$53&gt;0,OR(Results!$E$4="Tissue",Results!$E$4="Cells")),((CK43*CK$51)/(CK$53)),IF(AND(Results!$E$5="Weight",$C$52&gt;0, Results!$E$4="Tissue",OR($B$52="g",$B$52="mg")),((CK43*CK$51)/(CK$52)),IF(AND(Results!$E$5="Volume",$C$54&gt;0,Results!$E$4="Fluid"),((CK43*CK$51)/(CK$54)),IF(AND(Results!$E$4="Cells",Results!$E$5="Million",$B$52="million"),((CK43*CK$51)/(CK$52)),"0")))))</f>
        <v>0</v>
      </c>
      <c r="CL96" s="20" t="str">
        <f>IF(CL43=0,"0",IF(AND(Results!$E$5="Protein",$C$53&gt;0,OR(Results!$E$4="Tissue",Results!$E$4="Cells")),((CL43*CL$51)/(CL$53)),IF(AND(Results!$E$5="Weight",$C$52&gt;0, Results!$E$4="Tissue",OR($B$52="g",$B$52="mg")),((CL43*CL$51)/(CL$52)),IF(AND(Results!$E$5="Volume",$C$54&gt;0,Results!$E$4="Fluid"),((CL43*CL$51)/(CL$54)),IF(AND(Results!$E$4="Cells",Results!$E$5="Million",$B$52="million"),((CL43*CL$51)/(CL$52)),"0")))))</f>
        <v>0</v>
      </c>
      <c r="CM96" s="20" t="str">
        <f>IF(CM43=0,"0",IF(AND(Results!$E$5="Protein",$C$53&gt;0,OR(Results!$E$4="Tissue",Results!$E$4="Cells")),((CM43*CM$51)/(CM$53)),IF(AND(Results!$E$5="Weight",$C$52&gt;0, Results!$E$4="Tissue",OR($B$52="g",$B$52="mg")),((CM43*CM$51)/(CM$52)),IF(AND(Results!$E$5="Volume",$C$54&gt;0,Results!$E$4="Fluid"),((CM43*CM$51)/(CM$54)),IF(AND(Results!$E$4="Cells",Results!$E$5="Million",$B$52="million"),((CM43*CM$51)/(CM$52)),"0")))))</f>
        <v>0</v>
      </c>
      <c r="CN96" s="20" t="str">
        <f>IF(CN43=0,"0",IF(AND(Results!$E$5="Protein",$C$53&gt;0,OR(Results!$E$4="Tissue",Results!$E$4="Cells")),((CN43*CN$51)/(CN$53)),IF(AND(Results!$E$5="Weight",$C$52&gt;0, Results!$E$4="Tissue",OR($B$52="g",$B$52="mg")),((CN43*CN$51)/(CN$52)),IF(AND(Results!$E$5="Volume",$C$54&gt;0,Results!$E$4="Fluid"),((CN43*CN$51)/(CN$54)),IF(AND(Results!$E$4="Cells",Results!$E$5="Million",$B$52="million"),((CN43*CN$51)/(CN$52)),"0")))))</f>
        <v>0</v>
      </c>
      <c r="CO96" s="20" t="str">
        <f>IF(CO43=0,"0",IF(AND(Results!$E$5="Protein",$C$53&gt;0,OR(Results!$E$4="Tissue",Results!$E$4="Cells")),((CO43*CO$51)/(CO$53)),IF(AND(Results!$E$5="Weight",$C$52&gt;0, Results!$E$4="Tissue",OR($B$52="g",$B$52="mg")),((CO43*CO$51)/(CO$52)),IF(AND(Results!$E$5="Volume",$C$54&gt;0,Results!$E$4="Fluid"),((CO43*CO$51)/(CO$54)),IF(AND(Results!$E$4="Cells",Results!$E$5="Million",$B$52="million"),((CO43*CO$51)/(CO$52)),"0")))))</f>
        <v>0</v>
      </c>
      <c r="CP96" s="20" t="str">
        <f>IF(CP43=0,"0",IF(AND(Results!$E$5="Protein",$C$53&gt;0,OR(Results!$E$4="Tissue",Results!$E$4="Cells")),((CP43*CP$51)/(CP$53)),IF(AND(Results!$E$5="Weight",$C$52&gt;0, Results!$E$4="Tissue",OR($B$52="g",$B$52="mg")),((CP43*CP$51)/(CP$52)),IF(AND(Results!$E$5="Volume",$C$54&gt;0,Results!$E$4="Fluid"),((CP43*CP$51)/(CP$54)),IF(AND(Results!$E$4="Cells",Results!$E$5="Million",$B$52="million"),((CP43*CP$51)/(CP$52)),"0")))))</f>
        <v>0</v>
      </c>
      <c r="CQ96" s="20" t="str">
        <f>IF(CQ43=0,"0",IF(AND(Results!$E$5="Protein",$C$53&gt;0,OR(Results!$E$4="Tissue",Results!$E$4="Cells")),((CQ43*CQ$51)/(CQ$53)),IF(AND(Results!$E$5="Weight",$C$52&gt;0, Results!$E$4="Tissue",OR($B$52="g",$B$52="mg")),((CQ43*CQ$51)/(CQ$52)),IF(AND(Results!$E$5="Volume",$C$54&gt;0,Results!$E$4="Fluid"),((CQ43*CQ$51)/(CQ$54)),IF(AND(Results!$E$4="Cells",Results!$E$5="Million",$B$52="million"),((CQ43*CQ$51)/(CQ$52)),"0")))))</f>
        <v>0</v>
      </c>
      <c r="CR96" s="20" t="str">
        <f>IF(CR43=0,"0",IF(AND(Results!$E$5="Protein",$C$53&gt;0,OR(Results!$E$4="Tissue",Results!$E$4="Cells")),((CR43*CR$51)/(CR$53)),IF(AND(Results!$E$5="Weight",$C$52&gt;0, Results!$E$4="Tissue",OR($B$52="g",$B$52="mg")),((CR43*CR$51)/(CR$52)),IF(AND(Results!$E$5="Volume",$C$54&gt;0,Results!$E$4="Fluid"),((CR43*CR$51)/(CR$54)),IF(AND(Results!$E$4="Cells",Results!$E$5="Million",$B$52="million"),((CR43*CR$51)/(CR$52)),"0")))))</f>
        <v>0</v>
      </c>
      <c r="CS96" s="20" t="str">
        <f>IF(CS43=0,"0",IF(AND(Results!$E$5="Protein",$C$53&gt;0,OR(Results!$E$4="Tissue",Results!$E$4="Cells")),((CS43*CS$51)/(CS$53)),IF(AND(Results!$E$5="Weight",$C$52&gt;0, Results!$E$4="Tissue",OR($B$52="g",$B$52="mg")),((CS43*CS$51)/(CS$52)),IF(AND(Results!$E$5="Volume",$C$54&gt;0,Results!$E$4="Fluid"),((CS43*CS$51)/(CS$54)),IF(AND(Results!$E$4="Cells",Results!$E$5="Million",$B$52="million"),((CS43*CS$51)/(CS$52)),"0")))))</f>
        <v>0</v>
      </c>
      <c r="CT96" s="20" t="str">
        <f>IF(CT43=0,"0",IF(AND(Results!$E$5="Protein",$C$53&gt;0,OR(Results!$E$4="Tissue",Results!$E$4="Cells")),((CT43*CT$51)/(CT$53)),IF(AND(Results!$E$5="Weight",$C$52&gt;0, Results!$E$4="Tissue",OR($B$52="g",$B$52="mg")),((CT43*CT$51)/(CT$52)),IF(AND(Results!$E$5="Volume",$C$54&gt;0,Results!$E$4="Fluid"),((CT43*CT$51)/(CT$54)),IF(AND(Results!$E$4="Cells",Results!$E$5="Million",$B$52="million"),((CT43*CT$51)/(CT$52)),"0")))))</f>
        <v>0</v>
      </c>
      <c r="CU96" s="20" t="str">
        <f>IF(CU43=0,"0",IF(AND(Results!$E$5="Protein",$C$53&gt;0,OR(Results!$E$4="Tissue",Results!$E$4="Cells")),((CU43*CU$51)/(CU$53)),IF(AND(Results!$E$5="Weight",$C$52&gt;0, Results!$E$4="Tissue",OR($B$52="g",$B$52="mg")),((CU43*CU$51)/(CU$52)),IF(AND(Results!$E$5="Volume",$C$54&gt;0,Results!$E$4="Fluid"),((CU43*CU$51)/(CU$54)),IF(AND(Results!$E$4="Cells",Results!$E$5="Million",$B$52="million"),((CU43*CU$51)/(CU$52)),"0")))))</f>
        <v>0</v>
      </c>
      <c r="CV96" s="20" t="str">
        <f>IF(CV43=0,"0",IF(AND(Results!$E$5="Protein",$C$53&gt;0,OR(Results!$E$4="Tissue",Results!$E$4="Cells")),((CV43*CV$51)/(CV$53)),IF(AND(Results!$E$5="Weight",$C$52&gt;0, Results!$E$4="Tissue",OR($B$52="g",$B$52="mg")),((CV43*CV$51)/(CV$52)),IF(AND(Results!$E$5="Volume",$C$54&gt;0,Results!$E$4="Fluid"),((CV43*CV$51)/(CV$54)),IF(AND(Results!$E$4="Cells",Results!$E$5="Million",$B$52="million"),((CV43*CV$51)/(CV$52)),"0")))))</f>
        <v>0</v>
      </c>
      <c r="CW96" s="20" t="str">
        <f>IF(CW43=0,"0",IF(AND(Results!$E$5="Protein",$C$53&gt;0,OR(Results!$E$4="Tissue",Results!$E$4="Cells")),((CW43*CW$51)/(CW$53)),IF(AND(Results!$E$5="Weight",$C$52&gt;0, Results!$E$4="Tissue",OR($B$52="g",$B$52="mg")),((CW43*CW$51)/(CW$52)),IF(AND(Results!$E$5="Volume",$C$54&gt;0,Results!$E$4="Fluid"),((CW43*CW$51)/(CW$54)),IF(AND(Results!$E$4="Cells",Results!$E$5="Million",$B$52="million"),((CW43*CW$51)/(CW$52)),"0")))))</f>
        <v>0</v>
      </c>
      <c r="CX96" s="20" t="str">
        <f>IF(CX43=0,"0",IF(AND(Results!$E$5="Protein",$C$53&gt;0,OR(Results!$E$4="Tissue",Results!$E$4="Cells")),((CX43*CX$51)/(CX$53)),IF(AND(Results!$E$5="Weight",$C$52&gt;0, Results!$E$4="Tissue",OR($B$52="g",$B$52="mg")),((CX43*CX$51)/(CX$52)),IF(AND(Results!$E$5="Volume",$C$54&gt;0,Results!$E$4="Fluid"),((CX43*CX$51)/(CX$54)),IF(AND(Results!$E$4="Cells",Results!$E$5="Million",$B$52="million"),((CX43*CX$51)/(CX$52)),"0")))))</f>
        <v>0</v>
      </c>
      <c r="CY96" s="20" t="str">
        <f>IF(CY43=0,"0",IF(AND(Results!$E$5="Protein",$C$53&gt;0,OR(Results!$E$4="Tissue",Results!$E$4="Cells")),((CY43*CY$51)/(CY$53)),IF(AND(Results!$E$5="Weight",$C$52&gt;0, Results!$E$4="Tissue",OR($B$52="g",$B$52="mg")),((CY43*CY$51)/(CY$52)),IF(AND(Results!$E$5="Volume",$C$54&gt;0,Results!$E$4="Fluid"),((CY43*CY$51)/(CY$54)),IF(AND(Results!$E$4="Cells",Results!$E$5="Million",$B$52="million"),((CY43*CY$51)/(CY$52)),"0")))))</f>
        <v>0</v>
      </c>
      <c r="CZ96" s="20" t="str">
        <f>IF(CZ43=0,"0",IF(AND(Results!$E$5="Protein",$C$53&gt;0,OR(Results!$E$4="Tissue",Results!$E$4="Cells")),((CZ43*CZ$51)/(CZ$53)),IF(AND(Results!$E$5="Weight",$C$52&gt;0, Results!$E$4="Tissue",OR($B$52="g",$B$52="mg")),((CZ43*CZ$51)/(CZ$52)),IF(AND(Results!$E$5="Volume",$C$54&gt;0,Results!$E$4="Fluid"),((CZ43*CZ$51)/(CZ$54)),IF(AND(Results!$E$4="Cells",Results!$E$5="Million",$B$52="million"),((CZ43*CZ$51)/(CZ$52)),"0")))))</f>
        <v>0</v>
      </c>
      <c r="DA96" s="20" t="str">
        <f>IF(DA43=0,"0",IF(AND(Results!$E$5="Protein",$C$53&gt;0,OR(Results!$E$4="Tissue",Results!$E$4="Cells")),((DA43*DA$51)/(DA$53)),IF(AND(Results!$E$5="Weight",$C$52&gt;0, Results!$E$4="Tissue",OR($B$52="g",$B$52="mg")),((DA43*DA$51)/(DA$52)),IF(AND(Results!$E$5="Volume",$C$54&gt;0,Results!$E$4="Fluid"),((DA43*DA$51)/(DA$54)),IF(AND(Results!$E$4="Cells",Results!$E$5="Million",$B$52="million"),((DA43*DA$51)/(DA$52)),"0")))))</f>
        <v>0</v>
      </c>
      <c r="DB96" s="20" t="str">
        <f>IF(DB43=0,"0",IF(AND(Results!$E$5="Protein",$C$53&gt;0,OR(Results!$E$4="Tissue",Results!$E$4="Cells")),((DB43*DB$51)/(DB$53)),IF(AND(Results!$E$5="Weight",$C$52&gt;0, Results!$E$4="Tissue",OR($B$52="g",$B$52="mg")),((DB43*DB$51)/(DB$52)),IF(AND(Results!$E$5="Volume",$C$54&gt;0,Results!$E$4="Fluid"),((DB43*DB$51)/(DB$54)),IF(AND(Results!$E$4="Cells",Results!$E$5="Million",$B$52="million"),((DB43*DB$51)/(DB$52)),"0")))))</f>
        <v>0</v>
      </c>
      <c r="DC96" s="20" t="str">
        <f>IF(DC43=0,"0",IF(AND(Results!$E$5="Protein",$C$53&gt;0,OR(Results!$E$4="Tissue",Results!$E$4="Cells")),((DC43*DC$51)/(DC$53)),IF(AND(Results!$E$5="Weight",$C$52&gt;0, Results!$E$4="Tissue",OR($B$52="g",$B$52="mg")),((DC43*DC$51)/(DC$52)),IF(AND(Results!$E$5="Volume",$C$54&gt;0,Results!$E$4="Fluid"),((DC43*DC$51)/(DC$54)),IF(AND(Results!$E$4="Cells",Results!$E$5="Million",$B$52="million"),((DC43*DC$51)/(DC$52)),"0")))))</f>
        <v>0</v>
      </c>
      <c r="DD96" s="20" t="str">
        <f>IF(DD43=0,"0",IF(AND(Results!$E$5="Protein",$C$53&gt;0,OR(Results!$E$4="Tissue",Results!$E$4="Cells")),((DD43*DD$51)/(DD$53)),IF(AND(Results!$E$5="Weight",$C$52&gt;0, Results!$E$4="Tissue",OR($B$52="g",$B$52="mg")),((DD43*DD$51)/(DD$52)),IF(AND(Results!$E$5="Volume",$C$54&gt;0,Results!$E$4="Fluid"),((DD43*DD$51)/(DD$54)),IF(AND(Results!$E$4="Cells",Results!$E$5="Million",$B$52="million"),((DD43*DD$51)/(DD$52)),"0")))))</f>
        <v>0</v>
      </c>
      <c r="DE96" s="20" t="str">
        <f>IF(DE43=0,"0",IF(AND(Results!$E$5="Protein",$C$53&gt;0,OR(Results!$E$4="Tissue",Results!$E$4="Cells")),((DE43*DE$51)/(DE$53)),IF(AND(Results!$E$5="Weight",$C$52&gt;0, Results!$E$4="Tissue",OR($B$52="g",$B$52="mg")),((DE43*DE$51)/(DE$52)),IF(AND(Results!$E$5="Volume",$C$54&gt;0,Results!$E$4="Fluid"),((DE43*DE$51)/(DE$54)),IF(AND(Results!$E$4="Cells",Results!$E$5="Million",$B$52="million"),((DE43*DE$51)/(DE$52)),"0")))))</f>
        <v>0</v>
      </c>
      <c r="DF96" s="20" t="str">
        <f>IF(DF43=0,"0",IF(AND(Results!$E$5="Protein",$C$53&gt;0,OR(Results!$E$4="Tissue",Results!$E$4="Cells")),((DF43*DF$51)/(DF$53)),IF(AND(Results!$E$5="Weight",$C$52&gt;0, Results!$E$4="Tissue",OR($B$52="g",$B$52="mg")),((DF43*DF$51)/(DF$52)),IF(AND(Results!$E$5="Volume",$C$54&gt;0,Results!$E$4="Fluid"),((DF43*DF$51)/(DF$54)),IF(AND(Results!$E$4="Cells",Results!$E$5="Million",$B$52="million"),((DF43*DF$51)/(DF$52)),"0")))))</f>
        <v>0</v>
      </c>
      <c r="DG96" s="20" t="str">
        <f>IF(DG43=0,"0",IF(AND(Results!$E$5="Protein",$C$53&gt;0,OR(Results!$E$4="Tissue",Results!$E$4="Cells")),((DG43*DG$51)/(DG$53)),IF(AND(Results!$E$5="Weight",$C$52&gt;0, Results!$E$4="Tissue",OR($B$52="g",$B$52="mg")),((DG43*DG$51)/(DG$52)),IF(AND(Results!$E$5="Volume",$C$54&gt;0,Results!$E$4="Fluid"),((DG43*DG$51)/(DG$54)),IF(AND(Results!$E$4="Cells",Results!$E$5="Million",$B$52="million"),((DG43*DG$51)/(DG$52)),"0")))))</f>
        <v>0</v>
      </c>
      <c r="DH96" s="20" t="str">
        <f>IF(DH43=0,"0",IF(AND(Results!$E$5="Protein",$C$53&gt;0,OR(Results!$E$4="Tissue",Results!$E$4="Cells")),((DH43*DH$51)/(DH$53)),IF(AND(Results!$E$5="Weight",$C$52&gt;0, Results!$E$4="Tissue",OR($B$52="g",$B$52="mg")),((DH43*DH$51)/(DH$52)),IF(AND(Results!$E$5="Volume",$C$54&gt;0,Results!$E$4="Fluid"),((DH43*DH$51)/(DH$54)),IF(AND(Results!$E$4="Cells",Results!$E$5="Million",$B$52="million"),((DH43*DH$51)/(DH$52)),"0")))))</f>
        <v>0</v>
      </c>
      <c r="DI96" s="20" t="str">
        <f>IF(DI43=0,"0",IF(AND(Results!$E$5="Protein",$C$53&gt;0,OR(Results!$E$4="Tissue",Results!$E$4="Cells")),((DI43*DI$51)/(DI$53)),IF(AND(Results!$E$5="Weight",$C$52&gt;0, Results!$E$4="Tissue",OR($B$52="g",$B$52="mg")),((DI43*DI$51)/(DI$52)),IF(AND(Results!$E$5="Volume",$C$54&gt;0,Results!$E$4="Fluid"),((DI43*DI$51)/(DI$54)),IF(AND(Results!$E$4="Cells",Results!$E$5="Million",$B$52="million"),((DI43*DI$51)/(DI$52)),"0")))))</f>
        <v>0</v>
      </c>
      <c r="DJ96" s="20" t="str">
        <f>IF(DJ43=0,"0",IF(AND(Results!$E$5="Protein",$C$53&gt;0,OR(Results!$E$4="Tissue",Results!$E$4="Cells")),((DJ43*DJ$51)/(DJ$53)),IF(AND(Results!$E$5="Weight",$C$52&gt;0, Results!$E$4="Tissue",OR($B$52="g",$B$52="mg")),((DJ43*DJ$51)/(DJ$52)),IF(AND(Results!$E$5="Volume",$C$54&gt;0,Results!$E$4="Fluid"),((DJ43*DJ$51)/(DJ$54)),IF(AND(Results!$E$4="Cells",Results!$E$5="Million",$B$52="million"),((DJ43*DJ$51)/(DJ$52)),"0")))))</f>
        <v>0</v>
      </c>
      <c r="DK96" s="20" t="str">
        <f>IF(DK43=0,"0",IF(AND(Results!$E$5="Protein",$C$53&gt;0,OR(Results!$E$4="Tissue",Results!$E$4="Cells")),((DK43*DK$51)/(DK$53)),IF(AND(Results!$E$5="Weight",$C$52&gt;0, Results!$E$4="Tissue",OR($B$52="g",$B$52="mg")),((DK43*DK$51)/(DK$52)),IF(AND(Results!$E$5="Volume",$C$54&gt;0,Results!$E$4="Fluid"),((DK43*DK$51)/(DK$54)),IF(AND(Results!$E$4="Cells",Results!$E$5="Million",$B$52="million"),((DK43*DK$51)/(DK$52)),"0")))))</f>
        <v>0</v>
      </c>
      <c r="DL96" s="20" t="str">
        <f>IF(DL43=0,"0",IF(AND(Results!$E$5="Protein",$C$53&gt;0,OR(Results!$E$4="Tissue",Results!$E$4="Cells")),((DL43*DL$51)/(DL$53)),IF(AND(Results!$E$5="Weight",$C$52&gt;0, Results!$E$4="Tissue",OR($B$52="g",$B$52="mg")),((DL43*DL$51)/(DL$52)),IF(AND(Results!$E$5="Volume",$C$54&gt;0,Results!$E$4="Fluid"),((DL43*DL$51)/(DL$54)),IF(AND(Results!$E$4="Cells",Results!$E$5="Million",$B$52="million"),((DL43*DL$51)/(DL$52)),"0")))))</f>
        <v>0</v>
      </c>
      <c r="DM96" s="20" t="str">
        <f>IF(DM43=0,"0",IF(AND(Results!$E$5="Protein",$C$53&gt;0,OR(Results!$E$4="Tissue",Results!$E$4="Cells")),((DM43*DM$51)/(DM$53)),IF(AND(Results!$E$5="Weight",$C$52&gt;0, Results!$E$4="Tissue",OR($B$52="g",$B$52="mg")),((DM43*DM$51)/(DM$52)),IF(AND(Results!$E$5="Volume",$C$54&gt;0,Results!$E$4="Fluid"),((DM43*DM$51)/(DM$54)),IF(AND(Results!$E$4="Cells",Results!$E$5="Million",$B$52="million"),((DM43*DM$51)/(DM$52)),"0")))))</f>
        <v>0</v>
      </c>
      <c r="DN96" s="20" t="str">
        <f>IF(DN43=0,"0",IF(AND(Results!$E$5="Protein",$C$53&gt;0,OR(Results!$E$4="Tissue",Results!$E$4="Cells")),((DN43*DN$51)/(DN$53)),IF(AND(Results!$E$5="Weight",$C$52&gt;0, Results!$E$4="Tissue",OR($B$52="g",$B$52="mg")),((DN43*DN$51)/(DN$52)),IF(AND(Results!$E$5="Volume",$C$54&gt;0,Results!$E$4="Fluid"),((DN43*DN$51)/(DN$54)),IF(AND(Results!$E$4="Cells",Results!$E$5="Million",$B$52="million"),((DN43*DN$51)/(DN$52)),"0")))))</f>
        <v>0</v>
      </c>
      <c r="DO96" s="20" t="str">
        <f>IF(DO43=0,"0",IF(AND(Results!$E$5="Protein",$C$53&gt;0,OR(Results!$E$4="Tissue",Results!$E$4="Cells")),((DO43*DO$51)/(DO$53)),IF(AND(Results!$E$5="Weight",$C$52&gt;0, Results!$E$4="Tissue",OR($B$52="g",$B$52="mg")),((DO43*DO$51)/(DO$52)),IF(AND(Results!$E$5="Volume",$C$54&gt;0,Results!$E$4="Fluid"),((DO43*DO$51)/(DO$54)),IF(AND(Results!$E$4="Cells",Results!$E$5="Million",$B$52="million"),((DO43*DO$51)/(DO$52)),"0")))))</f>
        <v>0</v>
      </c>
      <c r="DP96" s="20" t="str">
        <f>IF(DP43=0,"0",IF(AND(Results!$E$5="Protein",$C$53&gt;0,OR(Results!$E$4="Tissue",Results!$E$4="Cells")),((DP43*DP$51)/(DP$53)),IF(AND(Results!$E$5="Weight",$C$52&gt;0, Results!$E$4="Tissue",OR($B$52="g",$B$52="mg")),((DP43*DP$51)/(DP$52)),IF(AND(Results!$E$5="Volume",$C$54&gt;0,Results!$E$4="Fluid"),((DP43*DP$51)/(DP$54)),IF(AND(Results!$E$4="Cells",Results!$E$5="Million",$B$52="million"),((DP43*DP$51)/(DP$52)),"0")))))</f>
        <v>0</v>
      </c>
      <c r="DQ96" s="20" t="str">
        <f>IF(DQ43=0,"0",IF(AND(Results!$E$5="Protein",$C$53&gt;0,OR(Results!$E$4="Tissue",Results!$E$4="Cells")),((DQ43*DQ$51)/(DQ$53)),IF(AND(Results!$E$5="Weight",$C$52&gt;0, Results!$E$4="Tissue",OR($B$52="g",$B$52="mg")),((DQ43*DQ$51)/(DQ$52)),IF(AND(Results!$E$5="Volume",$C$54&gt;0,Results!$E$4="Fluid"),((DQ43*DQ$51)/(DQ$54)),IF(AND(Results!$E$4="Cells",Results!$E$5="Million",$B$52="million"),((DQ43*DQ$51)/(DQ$52)),"0")))))</f>
        <v>0</v>
      </c>
      <c r="DR96" s="20" t="str">
        <f>IF(DR43=0,"0",IF(AND(Results!$E$5="Protein",$C$53&gt;0,OR(Results!$E$4="Tissue",Results!$E$4="Cells")),((DR43*DR$51)/(DR$53)),IF(AND(Results!$E$5="Weight",$C$52&gt;0, Results!$E$4="Tissue",OR($B$52="g",$B$52="mg")),((DR43*DR$51)/(DR$52)),IF(AND(Results!$E$5="Volume",$C$54&gt;0,Results!$E$4="Fluid"),((DR43*DR$51)/(DR$54)),IF(AND(Results!$E$4="Cells",Results!$E$5="Million",$B$52="million"),((DR43*DR$51)/(DR$52)),"0")))))</f>
        <v>0</v>
      </c>
      <c r="DS96" s="20" t="str">
        <f>IF(DS43=0,"0",IF(AND(Results!$E$5="Protein",$C$53&gt;0,OR(Results!$E$4="Tissue",Results!$E$4="Cells")),((DS43*DS$51)/(DS$53)),IF(AND(Results!$E$5="Weight",$C$52&gt;0, Results!$E$4="Tissue",OR($B$52="g",$B$52="mg")),((DS43*DS$51)/(DS$52)),IF(AND(Results!$E$5="Volume",$C$54&gt;0,Results!$E$4="Fluid"),((DS43*DS$51)/(DS$54)),IF(AND(Results!$E$4="Cells",Results!$E$5="Million",$B$52="million"),((DS43*DS$51)/(DS$52)),"0")))))</f>
        <v>0</v>
      </c>
      <c r="DT96" s="20" t="str">
        <f>IF(DT43=0,"0",IF(AND(Results!$E$5="Protein",$C$53&gt;0,OR(Results!$E$4="Tissue",Results!$E$4="Cells")),((DT43*DT$51)/(DT$53)),IF(AND(Results!$E$5="Weight",$C$52&gt;0, Results!$E$4="Tissue",OR($B$52="g",$B$52="mg")),((DT43*DT$51)/(DT$52)),IF(AND(Results!$E$5="Volume",$C$54&gt;0,Results!$E$4="Fluid"),((DT43*DT$51)/(DT$54)),IF(AND(Results!$E$4="Cells",Results!$E$5="Million",$B$52="million"),((DT43*DT$51)/(DT$52)),"0")))))</f>
        <v>0</v>
      </c>
      <c r="DU96" s="20" t="str">
        <f>IF(DU43=0,"0",IF(AND(Results!$E$5="Protein",$C$53&gt;0,OR(Results!$E$4="Tissue",Results!$E$4="Cells")),((DU43*DU$51)/(DU$53)),IF(AND(Results!$E$5="Weight",$C$52&gt;0, Results!$E$4="Tissue",OR($B$52="g",$B$52="mg")),((DU43*DU$51)/(DU$52)),IF(AND(Results!$E$5="Volume",$C$54&gt;0,Results!$E$4="Fluid"),((DU43*DU$51)/(DU$54)),IF(AND(Results!$E$4="Cells",Results!$E$5="Million",$B$52="million"),((DU43*DU$51)/(DU$52)),"0")))))</f>
        <v>0</v>
      </c>
      <c r="DV96" s="20" t="str">
        <f>IF(DV43=0,"0",IF(AND(Results!$E$5="Protein",$C$53&gt;0,OR(Results!$E$4="Tissue",Results!$E$4="Cells")),((DV43*DV$51)/(DV$53)),IF(AND(Results!$E$5="Weight",$C$52&gt;0, Results!$E$4="Tissue",OR($B$52="g",$B$52="mg")),((DV43*DV$51)/(DV$52)),IF(AND(Results!$E$5="Volume",$C$54&gt;0,Results!$E$4="Fluid"),((DV43*DV$51)/(DV$54)),IF(AND(Results!$E$4="Cells",Results!$E$5="Million",$B$52="million"),((DV43*DV$51)/(DV$52)),"0")))))</f>
        <v>0</v>
      </c>
      <c r="DW96" s="20" t="str">
        <f>IF(DW43=0,"0",IF(AND(Results!$E$5="Protein",$C$53&gt;0,OR(Results!$E$4="Tissue",Results!$E$4="Cells")),((DW43*DW$51)/(DW$53)),IF(AND(Results!$E$5="Weight",$C$52&gt;0, Results!$E$4="Tissue",OR($B$52="g",$B$52="mg")),((DW43*DW$51)/(DW$52)),IF(AND(Results!$E$5="Volume",$C$54&gt;0,Results!$E$4="Fluid"),((DW43*DW$51)/(DW$54)),IF(AND(Results!$E$4="Cells",Results!$E$5="Million",$B$52="million"),((DW43*DW$51)/(DW$52)),"0")))))</f>
        <v>0</v>
      </c>
      <c r="DX96" s="20" t="str">
        <f>IF(DX43=0,"0",IF(AND(Results!$E$5="Protein",$C$53&gt;0,OR(Results!$E$4="Tissue",Results!$E$4="Cells")),((DX43*DX$51)/(DX$53)),IF(AND(Results!$E$5="Weight",$C$52&gt;0, Results!$E$4="Tissue",OR($B$52="g",$B$52="mg")),((DX43*DX$51)/(DX$52)),IF(AND(Results!$E$5="Volume",$C$54&gt;0,Results!$E$4="Fluid"),((DX43*DX$51)/(DX$54)),IF(AND(Results!$E$4="Cells",Results!$E$5="Million",$B$52="million"),((DX43*DX$51)/(DX$52)),"0")))))</f>
        <v>0</v>
      </c>
      <c r="DY96" s="20" t="str">
        <f>IF(DY43=0,"0",IF(AND(Results!$E$5="Protein",$C$53&gt;0,OR(Results!$E$4="Tissue",Results!$E$4="Cells")),((DY43*DY$51)/(DY$53)),IF(AND(Results!$E$5="Weight",$C$52&gt;0, Results!$E$4="Tissue",OR($B$52="g",$B$52="mg")),((DY43*DY$51)/(DY$52)),IF(AND(Results!$E$5="Volume",$C$54&gt;0,Results!$E$4="Fluid"),((DY43*DY$51)/(DY$54)),IF(AND(Results!$E$4="Cells",Results!$E$5="Million",$B$52="million"),((DY43*DY$51)/(DY$52)),"0")))))</f>
        <v>0</v>
      </c>
      <c r="DZ96" s="20" t="str">
        <f>IF(DZ43=0,"0",IF(AND(Results!$E$5="Protein",$C$53&gt;0,OR(Results!$E$4="Tissue",Results!$E$4="Cells")),((DZ43*DZ$51)/(DZ$53)),IF(AND(Results!$E$5="Weight",$C$52&gt;0, Results!$E$4="Tissue",OR($B$52="g",$B$52="mg")),((DZ43*DZ$51)/(DZ$52)),IF(AND(Results!$E$5="Volume",$C$54&gt;0,Results!$E$4="Fluid"),((DZ43*DZ$51)/(DZ$54)),IF(AND(Results!$E$4="Cells",Results!$E$5="Million",$B$52="million"),((DZ43*DZ$51)/(DZ$52)),"0")))))</f>
        <v>0</v>
      </c>
      <c r="EA96" s="20" t="str">
        <f>IF(EA43=0,"0",IF(AND(Results!$E$5="Protein",$C$53&gt;0,OR(Results!$E$4="Tissue",Results!$E$4="Cells")),((EA43*EA$51)/(EA$53)),IF(AND(Results!$E$5="Weight",$C$52&gt;0, Results!$E$4="Tissue",OR($B$52="g",$B$52="mg")),((EA43*EA$51)/(EA$52)),IF(AND(Results!$E$5="Volume",$C$54&gt;0,Results!$E$4="Fluid"),((EA43*EA$51)/(EA$54)),IF(AND(Results!$E$4="Cells",Results!$E$5="Million",$B$52="million"),((EA43*EA$51)/(EA$52)),"0")))))</f>
        <v>0</v>
      </c>
      <c r="EB96" s="20" t="str">
        <f>IF(EB43=0,"0",IF(AND(Results!$E$5="Protein",$C$53&gt;0,OR(Results!$E$4="Tissue",Results!$E$4="Cells")),((EB43*EB$51)/(EB$53)),IF(AND(Results!$E$5="Weight",$C$52&gt;0, Results!$E$4="Tissue",OR($B$52="g",$B$52="mg")),((EB43*EB$51)/(EB$52)),IF(AND(Results!$E$5="Volume",$C$54&gt;0,Results!$E$4="Fluid"),((EB43*EB$51)/(EB$54)),IF(AND(Results!$E$4="Cells",Results!$E$5="Million",$B$52="million"),((EB43*EB$51)/(EB$52)),"0")))))</f>
        <v>0</v>
      </c>
      <c r="EC96" s="20" t="str">
        <f>IF(EC43=0,"0",IF(AND(Results!$E$5="Protein",$C$53&gt;0,OR(Results!$E$4="Tissue",Results!$E$4="Cells")),((EC43*EC$51)/(EC$53)),IF(AND(Results!$E$5="Weight",$C$52&gt;0, Results!$E$4="Tissue",OR($B$52="g",$B$52="mg")),((EC43*EC$51)/(EC$52)),IF(AND(Results!$E$5="Volume",$C$54&gt;0,Results!$E$4="Fluid"),((EC43*EC$51)/(EC$54)),IF(AND(Results!$E$4="Cells",Results!$E$5="Million",$B$52="million"),((EC43*EC$51)/(EC$52)),"0")))))</f>
        <v>0</v>
      </c>
      <c r="ED96" s="20" t="str">
        <f>IF(ED43=0,"0",IF(AND(Results!$E$5="Protein",$C$53&gt;0,OR(Results!$E$4="Tissue",Results!$E$4="Cells")),((ED43*ED$51)/(ED$53)),IF(AND(Results!$E$5="Weight",$C$52&gt;0, Results!$E$4="Tissue",OR($B$52="g",$B$52="mg")),((ED43*ED$51)/(ED$52)),IF(AND(Results!$E$5="Volume",$C$54&gt;0,Results!$E$4="Fluid"),((ED43*ED$51)/(ED$54)),IF(AND(Results!$E$4="Cells",Results!$E$5="Million",$B$52="million"),((ED43*ED$51)/(ED$52)),"0")))))</f>
        <v>0</v>
      </c>
      <c r="EE96" s="20" t="str">
        <f>IF(EE43=0,"0",IF(AND(Results!$E$5="Protein",$C$53&gt;0,OR(Results!$E$4="Tissue",Results!$E$4="Cells")),((EE43*EE$51)/(EE$53)),IF(AND(Results!$E$5="Weight",$C$52&gt;0, Results!$E$4="Tissue",OR($B$52="g",$B$52="mg")),((EE43*EE$51)/(EE$52)),IF(AND(Results!$E$5="Volume",$C$54&gt;0,Results!$E$4="Fluid"),((EE43*EE$51)/(EE$54)),IF(AND(Results!$E$4="Cells",Results!$E$5="Million",$B$52="million"),((EE43*EE$51)/(EE$52)),"0")))))</f>
        <v>0</v>
      </c>
      <c r="EF96" s="20" t="str">
        <f>IF(EF43=0,"0",IF(AND(Results!$E$5="Protein",$C$53&gt;0,OR(Results!$E$4="Tissue",Results!$E$4="Cells")),((EF43*EF$51)/(EF$53)),IF(AND(Results!$E$5="Weight",$C$52&gt;0, Results!$E$4="Tissue",OR($B$52="g",$B$52="mg")),((EF43*EF$51)/(EF$52)),IF(AND(Results!$E$5="Volume",$C$54&gt;0,Results!$E$4="Fluid"),((EF43*EF$51)/(EF$54)),IF(AND(Results!$E$4="Cells",Results!$E$5="Million",$B$52="million"),((EF43*EF$51)/(EF$52)),"0")))))</f>
        <v>0</v>
      </c>
      <c r="EG96" s="20" t="str">
        <f>IF(EG43=0,"0",IF(AND(Results!$E$5="Protein",$C$53&gt;0,OR(Results!$E$4="Tissue",Results!$E$4="Cells")),((EG43*EG$51)/(EG$53)),IF(AND(Results!$E$5="Weight",$C$52&gt;0, Results!$E$4="Tissue",OR($B$52="g",$B$52="mg")),((EG43*EG$51)/(EG$52)),IF(AND(Results!$E$5="Volume",$C$54&gt;0,Results!$E$4="Fluid"),((EG43*EG$51)/(EG$54)),IF(AND(Results!$E$4="Cells",Results!$E$5="Million",$B$52="million"),((EG43*EG$51)/(EG$52)),"0")))))</f>
        <v>0</v>
      </c>
      <c r="EH96" s="20" t="str">
        <f>IF(EH43=0,"0",IF(AND(Results!$E$5="Protein",$C$53&gt;0,OR(Results!$E$4="Tissue",Results!$E$4="Cells")),((EH43*EH$51)/(EH$53)),IF(AND(Results!$E$5="Weight",$C$52&gt;0, Results!$E$4="Tissue",OR($B$52="g",$B$52="mg")),((EH43*EH$51)/(EH$52)),IF(AND(Results!$E$5="Volume",$C$54&gt;0,Results!$E$4="Fluid"),((EH43*EH$51)/(EH$54)),IF(AND(Results!$E$4="Cells",Results!$E$5="Million",$B$52="million"),((EH43*EH$51)/(EH$52)),"0")))))</f>
        <v>0</v>
      </c>
      <c r="EI96" s="20" t="str">
        <f>IF(EI43=0,"0",IF(AND(Results!$E$5="Protein",$C$53&gt;0,OR(Results!$E$4="Tissue",Results!$E$4="Cells")),((EI43*EI$51)/(EI$53)),IF(AND(Results!$E$5="Weight",$C$52&gt;0, Results!$E$4="Tissue",OR($B$52="g",$B$52="mg")),((EI43*EI$51)/(EI$52)),IF(AND(Results!$E$5="Volume",$C$54&gt;0,Results!$E$4="Fluid"),((EI43*EI$51)/(EI$54)),IF(AND(Results!$E$4="Cells",Results!$E$5="Million",$B$52="million"),((EI43*EI$51)/(EI$52)),"0")))))</f>
        <v>0</v>
      </c>
      <c r="EJ96" s="20" t="str">
        <f>IF(EJ43=0,"0",IF(AND(Results!$E$5="Protein",$C$53&gt;0,OR(Results!$E$4="Tissue",Results!$E$4="Cells")),((EJ43*EJ$51)/(EJ$53)),IF(AND(Results!$E$5="Weight",$C$52&gt;0, Results!$E$4="Tissue",OR($B$52="g",$B$52="mg")),((EJ43*EJ$51)/(EJ$52)),IF(AND(Results!$E$5="Volume",$C$54&gt;0,Results!$E$4="Fluid"),((EJ43*EJ$51)/(EJ$54)),IF(AND(Results!$E$4="Cells",Results!$E$5="Million",$B$52="million"),((EJ43*EJ$51)/(EJ$52)),"0")))))</f>
        <v>0</v>
      </c>
      <c r="EK96" s="20" t="str">
        <f>IF(EK43=0,"0",IF(AND(Results!$E$5="Protein",$C$53&gt;0,OR(Results!$E$4="Tissue",Results!$E$4="Cells")),((EK43*EK$51)/(EK$53)),IF(AND(Results!$E$5="Weight",$C$52&gt;0, Results!$E$4="Tissue",OR($B$52="g",$B$52="mg")),((EK43*EK$51)/(EK$52)),IF(AND(Results!$E$5="Volume",$C$54&gt;0,Results!$E$4="Fluid"),((EK43*EK$51)/(EK$54)),IF(AND(Results!$E$4="Cells",Results!$E$5="Million",$B$52="million"),((EK43*EK$51)/(EK$52)),"0")))))</f>
        <v>0</v>
      </c>
      <c r="EL96" s="20" t="str">
        <f>IF(EL43=0,"0",IF(AND(Results!$E$5="Protein",$C$53&gt;0,OR(Results!$E$4="Tissue",Results!$E$4="Cells")),((EL43*EL$51)/(EL$53)),IF(AND(Results!$E$5="Weight",$C$52&gt;0, Results!$E$4="Tissue",OR($B$52="g",$B$52="mg")),((EL43*EL$51)/(EL$52)),IF(AND(Results!$E$5="Volume",$C$54&gt;0,Results!$E$4="Fluid"),((EL43*EL$51)/(EL$54)),IF(AND(Results!$E$4="Cells",Results!$E$5="Million",$B$52="million"),((EL43*EL$51)/(EL$52)),"0")))))</f>
        <v>0</v>
      </c>
      <c r="EM96" s="20" t="str">
        <f>IF(EM43=0,"0",IF(AND(Results!$E$5="Protein",$C$53&gt;0,OR(Results!$E$4="Tissue",Results!$E$4="Cells")),((EM43*EM$51)/(EM$53)),IF(AND(Results!$E$5="Weight",$C$52&gt;0, Results!$E$4="Tissue",OR($B$52="g",$B$52="mg")),((EM43*EM$51)/(EM$52)),IF(AND(Results!$E$5="Volume",$C$54&gt;0,Results!$E$4="Fluid"),((EM43*EM$51)/(EM$54)),IF(AND(Results!$E$4="Cells",Results!$E$5="Million",$B$52="million"),((EM43*EM$51)/(EM$52)),"0")))))</f>
        <v>0</v>
      </c>
      <c r="EN96" s="20" t="str">
        <f>IF(EN43=0,"0",IF(AND(Results!$E$5="Protein",$C$53&gt;0,OR(Results!$E$4="Tissue",Results!$E$4="Cells")),((EN43*EN$51)/(EN$53)),IF(AND(Results!$E$5="Weight",$C$52&gt;0, Results!$E$4="Tissue",OR($B$52="g",$B$52="mg")),((EN43*EN$51)/(EN$52)),IF(AND(Results!$E$5="Volume",$C$54&gt;0,Results!$E$4="Fluid"),((EN43*EN$51)/(EN$54)),IF(AND(Results!$E$4="Cells",Results!$E$5="Million",$B$52="million"),((EN43*EN$51)/(EN$52)),"0")))))</f>
        <v>0</v>
      </c>
      <c r="EO96" s="20" t="str">
        <f>IF(EO43=0,"0",IF(AND(Results!$E$5="Protein",$C$53&gt;0,OR(Results!$E$4="Tissue",Results!$E$4="Cells")),((EO43*EO$51)/(EO$53)),IF(AND(Results!$E$5="Weight",$C$52&gt;0, Results!$E$4="Tissue",OR($B$52="g",$B$52="mg")),((EO43*EO$51)/(EO$52)),IF(AND(Results!$E$5="Volume",$C$54&gt;0,Results!$E$4="Fluid"),((EO43*EO$51)/(EO$54)),IF(AND(Results!$E$4="Cells",Results!$E$5="Million",$B$52="million"),((EO43*EO$51)/(EO$52)),"0")))))</f>
        <v>0</v>
      </c>
      <c r="EP96" s="20" t="str">
        <f>IF(EP43=0,"0",IF(AND(Results!$E$5="Protein",$C$53&gt;0,OR(Results!$E$4="Tissue",Results!$E$4="Cells")),((EP43*EP$51)/(EP$53)),IF(AND(Results!$E$5="Weight",$C$52&gt;0, Results!$E$4="Tissue",OR($B$52="g",$B$52="mg")),((EP43*EP$51)/(EP$52)),IF(AND(Results!$E$5="Volume",$C$54&gt;0,Results!$E$4="Fluid"),((EP43*EP$51)/(EP$54)),IF(AND(Results!$E$4="Cells",Results!$E$5="Million",$B$52="million"),((EP43*EP$51)/(EP$52)),"0")))))</f>
        <v>0</v>
      </c>
      <c r="EQ96" s="20" t="str">
        <f>IF(EQ43=0,"0",IF(AND(Results!$E$5="Protein",$C$53&gt;0,OR(Results!$E$4="Tissue",Results!$E$4="Cells")),((EQ43*EQ$51)/(EQ$53)),IF(AND(Results!$E$5="Weight",$C$52&gt;0, Results!$E$4="Tissue",OR($B$52="g",$B$52="mg")),((EQ43*EQ$51)/(EQ$52)),IF(AND(Results!$E$5="Volume",$C$54&gt;0,Results!$E$4="Fluid"),((EQ43*EQ$51)/(EQ$54)),IF(AND(Results!$E$4="Cells",Results!$E$5="Million",$B$52="million"),((EQ43*EQ$51)/(EQ$52)),"0")))))</f>
        <v>0</v>
      </c>
      <c r="ER96" s="20" t="str">
        <f>IF(ER43=0,"0",IF(AND(Results!$E$5="Protein",$C$53&gt;0,OR(Results!$E$4="Tissue",Results!$E$4="Cells")),((ER43*ER$51)/(ER$53)),IF(AND(Results!$E$5="Weight",$C$52&gt;0, Results!$E$4="Tissue",OR($B$52="g",$B$52="mg")),((ER43*ER$51)/(ER$52)),IF(AND(Results!$E$5="Volume",$C$54&gt;0,Results!$E$4="Fluid"),((ER43*ER$51)/(ER$54)),IF(AND(Results!$E$4="Cells",Results!$E$5="Million",$B$52="million"),((ER43*ER$51)/(ER$52)),"0")))))</f>
        <v>0</v>
      </c>
      <c r="ES96" s="20" t="str">
        <f>IF(ES43=0,"0",IF(AND(Results!$E$5="Protein",$C$53&gt;0,OR(Results!$E$4="Tissue",Results!$E$4="Cells")),((ES43*ES$51)/(ES$53)),IF(AND(Results!$E$5="Weight",$C$52&gt;0, Results!$E$4="Tissue",OR($B$52="g",$B$52="mg")),((ES43*ES$51)/(ES$52)),IF(AND(Results!$E$5="Volume",$C$54&gt;0,Results!$E$4="Fluid"),((ES43*ES$51)/(ES$54)),IF(AND(Results!$E$4="Cells",Results!$E$5="Million",$B$52="million"),((ES43*ES$51)/(ES$52)),"0")))))</f>
        <v>0</v>
      </c>
      <c r="ET96" s="20" t="str">
        <f>IF(ET43=0,"0",IF(AND(Results!$E$5="Protein",$C$53&gt;0,OR(Results!$E$4="Tissue",Results!$E$4="Cells")),((ET43*ET$51)/(ET$53)),IF(AND(Results!$E$5="Weight",$C$52&gt;0, Results!$E$4="Tissue",OR($B$52="g",$B$52="mg")),((ET43*ET$51)/(ET$52)),IF(AND(Results!$E$5="Volume",$C$54&gt;0,Results!$E$4="Fluid"),((ET43*ET$51)/(ET$54)),IF(AND(Results!$E$4="Cells",Results!$E$5="Million",$B$52="million"),((ET43*ET$51)/(ET$52)),"0")))))</f>
        <v>0</v>
      </c>
      <c r="EU96" s="20" t="str">
        <f>IF(EU43=0,"0",IF(AND(Results!$E$5="Protein",$C$53&gt;0,OR(Results!$E$4="Tissue",Results!$E$4="Cells")),((EU43*EU$51)/(EU$53)),IF(AND(Results!$E$5="Weight",$C$52&gt;0, Results!$E$4="Tissue",OR($B$52="g",$B$52="mg")),((EU43*EU$51)/(EU$52)),IF(AND(Results!$E$5="Volume",$C$54&gt;0,Results!$E$4="Fluid"),((EU43*EU$51)/(EU$54)),IF(AND(Results!$E$4="Cells",Results!$E$5="Million",$B$52="million"),((EU43*EU$51)/(EU$52)),"0")))))</f>
        <v>0</v>
      </c>
      <c r="EV96" s="20" t="str">
        <f>IF(EV43=0,"0",IF(AND(Results!$E$5="Protein",$C$53&gt;0,OR(Results!$E$4="Tissue",Results!$E$4="Cells")),((EV43*EV$51)/(EV$53)),IF(AND(Results!$E$5="Weight",$C$52&gt;0, Results!$E$4="Tissue",OR($B$52="g",$B$52="mg")),((EV43*EV$51)/(EV$52)),IF(AND(Results!$E$5="Volume",$C$54&gt;0,Results!$E$4="Fluid"),((EV43*EV$51)/(EV$54)),IF(AND(Results!$E$4="Cells",Results!$E$5="Million",$B$52="million"),((EV43*EV$51)/(EV$52)),"0")))))</f>
        <v>0</v>
      </c>
      <c r="EW96" s="20" t="str">
        <f>IF(EW43=0,"0",IF(AND(Results!$E$5="Protein",$C$53&gt;0,OR(Results!$E$4="Tissue",Results!$E$4="Cells")),((EW43*EW$51)/(EW$53)),IF(AND(Results!$E$5="Weight",$C$52&gt;0, Results!$E$4="Tissue",OR($B$52="g",$B$52="mg")),((EW43*EW$51)/(EW$52)),IF(AND(Results!$E$5="Volume",$C$54&gt;0,Results!$E$4="Fluid"),((EW43*EW$51)/(EW$54)),IF(AND(Results!$E$4="Cells",Results!$E$5="Million",$B$52="million"),((EW43*EW$51)/(EW$52)),"0")))))</f>
        <v>0</v>
      </c>
      <c r="EX96" s="20" t="str">
        <f>IF(EX43=0,"0",IF(AND(Results!$E$5="Protein",$C$53&gt;0,OR(Results!$E$4="Tissue",Results!$E$4="Cells")),((EX43*EX$51)/(EX$53)),IF(AND(Results!$E$5="Weight",$C$52&gt;0, Results!$E$4="Tissue",OR($B$52="g",$B$52="mg")),((EX43*EX$51)/(EX$52)),IF(AND(Results!$E$5="Volume",$C$54&gt;0,Results!$E$4="Fluid"),((EX43*EX$51)/(EX$54)),IF(AND(Results!$E$4="Cells",Results!$E$5="Million",$B$52="million"),((EX43*EX$51)/(EX$52)),"0")))))</f>
        <v>0</v>
      </c>
      <c r="EY96" s="20" t="str">
        <f>IF(EY43=0,"0",IF(AND(Results!$E$5="Protein",$C$53&gt;0,OR(Results!$E$4="Tissue",Results!$E$4="Cells")),((EY43*EY$51)/(EY$53)),IF(AND(Results!$E$5="Weight",$C$52&gt;0, Results!$E$4="Tissue",OR($B$52="g",$B$52="mg")),((EY43*EY$51)/(EY$52)),IF(AND(Results!$E$5="Volume",$C$54&gt;0,Results!$E$4="Fluid"),((EY43*EY$51)/(EY$54)),IF(AND(Results!$E$4="Cells",Results!$E$5="Million",$B$52="million"),((EY43*EY$51)/(EY$52)),"0")))))</f>
        <v>0</v>
      </c>
      <c r="EZ96" s="20" t="str">
        <f>IF(EZ43=0,"0",IF(AND(Results!$E$5="Protein",$C$53&gt;0,OR(Results!$E$4="Tissue",Results!$E$4="Cells")),((EZ43*EZ$51)/(EZ$53)),IF(AND(Results!$E$5="Weight",$C$52&gt;0, Results!$E$4="Tissue",OR($B$52="g",$B$52="mg")),((EZ43*EZ$51)/(EZ$52)),IF(AND(Results!$E$5="Volume",$C$54&gt;0,Results!$E$4="Fluid"),((EZ43*EZ$51)/(EZ$54)),IF(AND(Results!$E$4="Cells",Results!$E$5="Million",$B$52="million"),((EZ43*EZ$51)/(EZ$52)),"0")))))</f>
        <v>0</v>
      </c>
      <c r="FA96" s="20" t="str">
        <f>IF(FA43=0,"0",IF(AND(Results!$E$5="Protein",$C$53&gt;0,OR(Results!$E$4="Tissue",Results!$E$4="Cells")),((FA43*FA$51)/(FA$53)),IF(AND(Results!$E$5="Weight",$C$52&gt;0, Results!$E$4="Tissue",OR($B$52="g",$B$52="mg")),((FA43*FA$51)/(FA$52)),IF(AND(Results!$E$5="Volume",$C$54&gt;0,Results!$E$4="Fluid"),((FA43*FA$51)/(FA$54)),IF(AND(Results!$E$4="Cells",Results!$E$5="Million",$B$52="million"),((FA43*FA$51)/(FA$52)),"0")))))</f>
        <v>0</v>
      </c>
      <c r="FB96" s="20" t="str">
        <f>IF(FB43=0,"0",IF(AND(Results!$E$5="Protein",$C$53&gt;0,OR(Results!$E$4="Tissue",Results!$E$4="Cells")),((FB43*FB$51)/(FB$53)),IF(AND(Results!$E$5="Weight",$C$52&gt;0, Results!$E$4="Tissue",OR($B$52="g",$B$52="mg")),((FB43*FB$51)/(FB$52)),IF(AND(Results!$E$5="Volume",$C$54&gt;0,Results!$E$4="Fluid"),((FB43*FB$51)/(FB$54)),IF(AND(Results!$E$4="Cells",Results!$E$5="Million",$B$52="million"),((FB43*FB$51)/(FB$52)),"0")))))</f>
        <v>0</v>
      </c>
      <c r="FC96" s="20" t="str">
        <f>IF(FC43=0,"0",IF(AND(Results!$E$5="Protein",$C$53&gt;0,OR(Results!$E$4="Tissue",Results!$E$4="Cells")),((FC43*FC$51)/(FC$53)),IF(AND(Results!$E$5="Weight",$C$52&gt;0, Results!$E$4="Tissue",OR($B$52="g",$B$52="mg")),((FC43*FC$51)/(FC$52)),IF(AND(Results!$E$5="Volume",$C$54&gt;0,Results!$E$4="Fluid"),((FC43*FC$51)/(FC$54)),IF(AND(Results!$E$4="Cells",Results!$E$5="Million",$B$52="million"),((FC43*FC$51)/(FC$52)),"0")))))</f>
        <v>0</v>
      </c>
      <c r="FD96" s="20" t="str">
        <f>IF(FD43=0,"0",IF(AND(Results!$E$5="Protein",$C$53&gt;0,OR(Results!$E$4="Tissue",Results!$E$4="Cells")),((FD43*FD$51)/(FD$53)),IF(AND(Results!$E$5="Weight",$C$52&gt;0, Results!$E$4="Tissue",OR($B$52="g",$B$52="mg")),((FD43*FD$51)/(FD$52)),IF(AND(Results!$E$5="Volume",$C$54&gt;0,Results!$E$4="Fluid"),((FD43*FD$51)/(FD$54)),IF(AND(Results!$E$4="Cells",Results!$E$5="Million",$B$52="million"),((FD43*FD$51)/(FD$52)),"0")))))</f>
        <v>0</v>
      </c>
      <c r="FE96" s="20" t="str">
        <f>IF(FE43=0,"0",IF(AND(Results!$E$5="Protein",$C$53&gt;0,OR(Results!$E$4="Tissue",Results!$E$4="Cells")),((FE43*FE$51)/(FE$53)),IF(AND(Results!$E$5="Weight",$C$52&gt;0, Results!$E$4="Tissue",OR($B$52="g",$B$52="mg")),((FE43*FE$51)/(FE$52)),IF(AND(Results!$E$5="Volume",$C$54&gt;0,Results!$E$4="Fluid"),((FE43*FE$51)/(FE$54)),IF(AND(Results!$E$4="Cells",Results!$E$5="Million",$B$52="million"),((FE43*FE$51)/(FE$52)),"0")))))</f>
        <v>0</v>
      </c>
      <c r="FF96" s="20" t="str">
        <f>IF(FF43=0,"0",IF(AND(Results!$E$5="Protein",$C$53&gt;0,OR(Results!$E$4="Tissue",Results!$E$4="Cells")),((FF43*FF$51)/(FF$53)),IF(AND(Results!$E$5="Weight",$C$52&gt;0, Results!$E$4="Tissue",OR($B$52="g",$B$52="mg")),((FF43*FF$51)/(FF$52)),IF(AND(Results!$E$5="Volume",$C$54&gt;0,Results!$E$4="Fluid"),((FF43*FF$51)/(FF$54)),IF(AND(Results!$E$4="Cells",Results!$E$5="Million",$B$52="million"),((FF43*FF$51)/(FF$52)),"0")))))</f>
        <v>0</v>
      </c>
      <c r="FG96" s="20" t="str">
        <f>IF(FG43=0,"0",IF(AND(Results!$E$5="Protein",$C$53&gt;0,OR(Results!$E$4="Tissue",Results!$E$4="Cells")),((FG43*FG$51)/(FG$53)),IF(AND(Results!$E$5="Weight",$C$52&gt;0, Results!$E$4="Tissue",OR($B$52="g",$B$52="mg")),((FG43*FG$51)/(FG$52)),IF(AND(Results!$E$5="Volume",$C$54&gt;0,Results!$E$4="Fluid"),((FG43*FG$51)/(FG$54)),IF(AND(Results!$E$4="Cells",Results!$E$5="Million",$B$52="million"),((FG43*FG$51)/(FG$52)),"0")))))</f>
        <v>0</v>
      </c>
      <c r="FH96" s="20" t="str">
        <f>IF(FH43=0,"0",IF(AND(Results!$E$5="Protein",$C$53&gt;0,OR(Results!$E$4="Tissue",Results!$E$4="Cells")),((FH43*FH$51)/(FH$53)),IF(AND(Results!$E$5="Weight",$C$52&gt;0, Results!$E$4="Tissue",OR($B$52="g",$B$52="mg")),((FH43*FH$51)/(FH$52)),IF(AND(Results!$E$5="Volume",$C$54&gt;0,Results!$E$4="Fluid"),((FH43*FH$51)/(FH$54)),IF(AND(Results!$E$4="Cells",Results!$E$5="Million",$B$52="million"),((FH43*FH$51)/(FH$52)),"0")))))</f>
        <v>0</v>
      </c>
      <c r="FI96" s="20" t="str">
        <f>IF(FI43=0,"0",IF(AND(Results!$E$5="Protein",$C$53&gt;0,OR(Results!$E$4="Tissue",Results!$E$4="Cells")),((FI43*FI$51)/(FI$53)),IF(AND(Results!$E$5="Weight",$C$52&gt;0, Results!$E$4="Tissue",OR($B$52="g",$B$52="mg")),((FI43*FI$51)/(FI$52)),IF(AND(Results!$E$5="Volume",$C$54&gt;0,Results!$E$4="Fluid"),((FI43*FI$51)/(FI$54)),IF(AND(Results!$E$4="Cells",Results!$E$5="Million",$B$52="million"),((FI43*FI$51)/(FI$52)),"0")))))</f>
        <v>0</v>
      </c>
      <c r="FJ96" s="20" t="str">
        <f>IF(FJ43=0,"0",IF(AND(Results!$E$5="Protein",$C$53&gt;0,OR(Results!$E$4="Tissue",Results!$E$4="Cells")),((FJ43*FJ$51)/(FJ$53)),IF(AND(Results!$E$5="Weight",$C$52&gt;0, Results!$E$4="Tissue",OR($B$52="g",$B$52="mg")),((FJ43*FJ$51)/(FJ$52)),IF(AND(Results!$E$5="Volume",$C$54&gt;0,Results!$E$4="Fluid"),((FJ43*FJ$51)/(FJ$54)),IF(AND(Results!$E$4="Cells",Results!$E$5="Million",$B$52="million"),((FJ43*FJ$51)/(FJ$52)),"0")))))</f>
        <v>0</v>
      </c>
      <c r="FK96" s="20" t="str">
        <f>IF(FK43=0,"0",IF(AND(Results!$E$5="Protein",$C$53&gt;0,OR(Results!$E$4="Tissue",Results!$E$4="Cells")),((FK43*FK$51)/(FK$53)),IF(AND(Results!$E$5="Weight",$C$52&gt;0, Results!$E$4="Tissue",OR($B$52="g",$B$52="mg")),((FK43*FK$51)/(FK$52)),IF(AND(Results!$E$5="Volume",$C$54&gt;0,Results!$E$4="Fluid"),((FK43*FK$51)/(FK$54)),IF(AND(Results!$E$4="Cells",Results!$E$5="Million",$B$52="million"),((FK43*FK$51)/(FK$52)),"0")))))</f>
        <v>0</v>
      </c>
      <c r="FL96" s="20" t="str">
        <f>IF(FL43=0,"0",IF(AND(Results!$E$5="Protein",$C$53&gt;0,OR(Results!$E$4="Tissue",Results!$E$4="Cells")),((FL43*FL$51)/(FL$53)),IF(AND(Results!$E$5="Weight",$C$52&gt;0, Results!$E$4="Tissue",OR($B$52="g",$B$52="mg")),((FL43*FL$51)/(FL$52)),IF(AND(Results!$E$5="Volume",$C$54&gt;0,Results!$E$4="Fluid"),((FL43*FL$51)/(FL$54)),IF(AND(Results!$E$4="Cells",Results!$E$5="Million",$B$52="million"),((FL43*FL$51)/(FL$52)),"0")))))</f>
        <v>0</v>
      </c>
      <c r="FM96" s="20" t="str">
        <f>IF(FM43=0,"0",IF(AND(Results!$E$5="Protein",$C$53&gt;0,OR(Results!$E$4="Tissue",Results!$E$4="Cells")),((FM43*FM$51)/(FM$53)),IF(AND(Results!$E$5="Weight",$C$52&gt;0, Results!$E$4="Tissue",OR($B$52="g",$B$52="mg")),((FM43*FM$51)/(FM$52)),IF(AND(Results!$E$5="Volume",$C$54&gt;0,Results!$E$4="Fluid"),((FM43*FM$51)/(FM$54)),IF(AND(Results!$E$4="Cells",Results!$E$5="Million",$B$52="million"),((FM43*FM$51)/(FM$52)),"0")))))</f>
        <v>0</v>
      </c>
      <c r="FN96" s="20" t="str">
        <f>IF(FN43=0,"0",IF(AND(Results!$E$5="Protein",$C$53&gt;0,OR(Results!$E$4="Tissue",Results!$E$4="Cells")),((FN43*FN$51)/(FN$53)),IF(AND(Results!$E$5="Weight",$C$52&gt;0, Results!$E$4="Tissue",OR($B$52="g",$B$52="mg")),((FN43*FN$51)/(FN$52)),IF(AND(Results!$E$5="Volume",$C$54&gt;0,Results!$E$4="Fluid"),((FN43*FN$51)/(FN$54)),IF(AND(Results!$E$4="Cells",Results!$E$5="Million",$B$52="million"),((FN43*FN$51)/(FN$52)),"0")))))</f>
        <v>0</v>
      </c>
      <c r="FO96" s="20" t="str">
        <f>IF(FO43=0,"0",IF(AND(Results!$E$5="Protein",$C$53&gt;0,OR(Results!$E$4="Tissue",Results!$E$4="Cells")),((FO43*FO$51)/(FO$53)),IF(AND(Results!$E$5="Weight",$C$52&gt;0, Results!$E$4="Tissue",OR($B$52="g",$B$52="mg")),((FO43*FO$51)/(FO$52)),IF(AND(Results!$E$5="Volume",$C$54&gt;0,Results!$E$4="Fluid"),((FO43*FO$51)/(FO$54)),IF(AND(Results!$E$4="Cells",Results!$E$5="Million",$B$52="million"),((FO43*FO$51)/(FO$52)),"0")))))</f>
        <v>0</v>
      </c>
    </row>
    <row r="97" spans="1:171" x14ac:dyDescent="0.2">
      <c r="A97" s="120" t="str">
        <f t="shared" si="1"/>
        <v xml:space="preserve">PDx </v>
      </c>
      <c r="B97" s="121"/>
      <c r="C97" s="20" t="str">
        <f>IF(C44=0,"0",IF(AND(Results!$E$5="Protein",$C$53&gt;0,OR(Results!$E$4="Tissue",Results!$E$4="Cells")),((C44*C$51)/(C$53)),IF(AND(Results!$E$5="Weight",$C$52&gt;0, Results!$E$4="Tissue",OR($B$52="g",$B$52="mg")),((C44*C$51)/(C$52)),IF(AND(Results!$E$5="Volume",$C$54&gt;0,Results!$E$4="Fluid"),((C44*C$51)/(C$54)),IF(AND(Results!$E$4="Cells",Results!$E$5="Million",$B$52="million"),((C44*C$51)/(C$52)),"0")))))</f>
        <v>0</v>
      </c>
      <c r="D97" s="20" t="str">
        <f>IF(D44=0,"0",IF(AND(Results!$E$5="Protein",$C$53&gt;0,OR(Results!$E$4="Tissue",Results!$E$4="Cells")),((D44*D$51)/(D$53)),IF(AND(Results!$E$5="Weight",$C$52&gt;0, Results!$E$4="Tissue",OR($B$52="g",$B$52="mg")),((D44*D$51)/(D$52)),IF(AND(Results!$E$5="Volume",$C$54&gt;0,Results!$E$4="Fluid"),((D44*D$51)/(D$54)),IF(AND(Results!$E$4="Cells",Results!$E$5="Million",$B$52="million"),((D44*D$51)/(D$52)),"0")))))</f>
        <v>0</v>
      </c>
      <c r="E97" s="20" t="str">
        <f>IF(E44=0,"0",IF(AND(Results!$E$5="Protein",$C$53&gt;0,OR(Results!$E$4="Tissue",Results!$E$4="Cells")),((E44*E$51)/(E$53)),IF(AND(Results!$E$5="Weight",$C$52&gt;0, Results!$E$4="Tissue",OR($B$52="g",$B$52="mg")),((E44*E$51)/(E$52)),IF(AND(Results!$E$5="Volume",$C$54&gt;0,Results!$E$4="Fluid"),((E44*E$51)/(E$54)),IF(AND(Results!$E$4="Cells",Results!$E$5="Million",$B$52="million"),((E44*E$51)/(E$52)),"0")))))</f>
        <v>0</v>
      </c>
      <c r="F97" s="20" t="str">
        <f>IF(F44=0,"0",IF(AND(Results!$E$5="Protein",$C$53&gt;0,OR(Results!$E$4="Tissue",Results!$E$4="Cells")),((F44*F$51)/(F$53)),IF(AND(Results!$E$5="Weight",$C$52&gt;0, Results!$E$4="Tissue",OR($B$52="g",$B$52="mg")),((F44*F$51)/(F$52)),IF(AND(Results!$E$5="Volume",$C$54&gt;0,Results!$E$4="Fluid"),((F44*F$51)/(F$54)),IF(AND(Results!$E$4="Cells",Results!$E$5="Million",$B$52="million"),((F44*F$51)/(F$52)),"0")))))</f>
        <v>0</v>
      </c>
      <c r="G97" s="20" t="str">
        <f>IF(G44=0,"0",IF(AND(Results!$E$5="Protein",$C$53&gt;0,OR(Results!$E$4="Tissue",Results!$E$4="Cells")),((G44*G$51)/(G$53)),IF(AND(Results!$E$5="Weight",$C$52&gt;0, Results!$E$4="Tissue",OR($B$52="g",$B$52="mg")),((G44*G$51)/(G$52)),IF(AND(Results!$E$5="Volume",$C$54&gt;0,Results!$E$4="Fluid"),((G44*G$51)/(G$54)),IF(AND(Results!$E$4="Cells",Results!$E$5="Million",$B$52="million"),((G44*G$51)/(G$52)),"0")))))</f>
        <v>0</v>
      </c>
      <c r="H97" s="20" t="str">
        <f>IF(H44=0,"0",IF(AND(Results!$E$5="Protein",$C$53&gt;0,OR(Results!$E$4="Tissue",Results!$E$4="Cells")),((H44*H$51)/(H$53)),IF(AND(Results!$E$5="Weight",$C$52&gt;0, Results!$E$4="Tissue",OR($B$52="g",$B$52="mg")),((H44*H$51)/(H$52)),IF(AND(Results!$E$5="Volume",$C$54&gt;0,Results!$E$4="Fluid"),((H44*H$51)/(H$54)),IF(AND(Results!$E$4="Cells",Results!$E$5="Million",$B$52="million"),((H44*H$51)/(H$52)),"0")))))</f>
        <v>0</v>
      </c>
      <c r="I97" s="20" t="str">
        <f>IF(I44=0,"0",IF(AND(Results!$E$5="Protein",$C$53&gt;0,OR(Results!$E$4="Tissue",Results!$E$4="Cells")),((I44*I$51)/(I$53)),IF(AND(Results!$E$5="Weight",$C$52&gt;0, Results!$E$4="Tissue",OR($B$52="g",$B$52="mg")),((I44*I$51)/(I$52)),IF(AND(Results!$E$5="Volume",$C$54&gt;0,Results!$E$4="Fluid"),((I44*I$51)/(I$54)),IF(AND(Results!$E$4="Cells",Results!$E$5="Million",$B$52="million"),((I44*I$51)/(I$52)),"0")))))</f>
        <v>0</v>
      </c>
      <c r="J97" s="20" t="str">
        <f>IF(J44=0,"0",IF(AND(Results!$E$5="Protein",$C$53&gt;0,OR(Results!$E$4="Tissue",Results!$E$4="Cells")),((J44*J$51)/(J$53)),IF(AND(Results!$E$5="Weight",$C$52&gt;0, Results!$E$4="Tissue",OR($B$52="g",$B$52="mg")),((J44*J$51)/(J$52)),IF(AND(Results!$E$5="Volume",$C$54&gt;0,Results!$E$4="Fluid"),((J44*J$51)/(J$54)),IF(AND(Results!$E$4="Cells",Results!$E$5="Million",$B$52="million"),((J44*J$51)/(J$52)),"0")))))</f>
        <v>0</v>
      </c>
      <c r="K97" s="20" t="str">
        <f>IF(K44=0,"0",IF(AND(Results!$E$5="Protein",$C$53&gt;0,OR(Results!$E$4="Tissue",Results!$E$4="Cells")),((K44*K$51)/(K$53)),IF(AND(Results!$E$5="Weight",$C$52&gt;0, Results!$E$4="Tissue",OR($B$52="g",$B$52="mg")),((K44*K$51)/(K$52)),IF(AND(Results!$E$5="Volume",$C$54&gt;0,Results!$E$4="Fluid"),((K44*K$51)/(K$54)),IF(AND(Results!$E$4="Cells",Results!$E$5="Million",$B$52="million"),((K44*K$51)/(K$52)),"0")))))</f>
        <v>0</v>
      </c>
      <c r="L97" s="20" t="str">
        <f>IF(L44=0,"0",IF(AND(Results!$E$5="Protein",$C$53&gt;0,OR(Results!$E$4="Tissue",Results!$E$4="Cells")),((L44*L$51)/(L$53)),IF(AND(Results!$E$5="Weight",$C$52&gt;0, Results!$E$4="Tissue",OR($B$52="g",$B$52="mg")),((L44*L$51)/(L$52)),IF(AND(Results!$E$5="Volume",$C$54&gt;0,Results!$E$4="Fluid"),((L44*L$51)/(L$54)),IF(AND(Results!$E$4="Cells",Results!$E$5="Million",$B$52="million"),((L44*L$51)/(L$52)),"0")))))</f>
        <v>0</v>
      </c>
      <c r="M97" s="20" t="str">
        <f>IF(M44=0,"0",IF(AND(Results!$E$5="Protein",$C$53&gt;0,OR(Results!$E$4="Tissue",Results!$E$4="Cells")),((M44*M$51)/(M$53)),IF(AND(Results!$E$5="Weight",$C$52&gt;0, Results!$E$4="Tissue",OR($B$52="g",$B$52="mg")),((M44*M$51)/(M$52)),IF(AND(Results!$E$5="Volume",$C$54&gt;0,Results!$E$4="Fluid"),((M44*M$51)/(M$54)),IF(AND(Results!$E$4="Cells",Results!$E$5="Million",$B$52="million"),((M44*M$51)/(M$52)),"0")))))</f>
        <v>0</v>
      </c>
      <c r="N97" s="20" t="str">
        <f>IF(N44=0,"0",IF(AND(Results!$E$5="Protein",$C$53&gt;0,OR(Results!$E$4="Tissue",Results!$E$4="Cells")),((N44*N$51)/(N$53)),IF(AND(Results!$E$5="Weight",$C$52&gt;0, Results!$E$4="Tissue",OR($B$52="g",$B$52="mg")),((N44*N$51)/(N$52)),IF(AND(Results!$E$5="Volume",$C$54&gt;0,Results!$E$4="Fluid"),((N44*N$51)/(N$54)),IF(AND(Results!$E$4="Cells",Results!$E$5="Million",$B$52="million"),((N44*N$51)/(N$52)),"0")))))</f>
        <v>0</v>
      </c>
      <c r="O97" s="20" t="str">
        <f>IF(O44=0,"0",IF(AND(Results!$E$5="Protein",$C$53&gt;0,OR(Results!$E$4="Tissue",Results!$E$4="Cells")),((O44*O$51)/(O$53)),IF(AND(Results!$E$5="Weight",$C$52&gt;0, Results!$E$4="Tissue",OR($B$52="g",$B$52="mg")),((O44*O$51)/(O$52)),IF(AND(Results!$E$5="Volume",$C$54&gt;0,Results!$E$4="Fluid"),((O44*O$51)/(O$54)),IF(AND(Results!$E$4="Cells",Results!$E$5="Million",$B$52="million"),((O44*O$51)/(O$52)),"0")))))</f>
        <v>0</v>
      </c>
      <c r="P97" s="20" t="str">
        <f>IF(P44=0,"0",IF(AND(Results!$E$5="Protein",$C$53&gt;0,OR(Results!$E$4="Tissue",Results!$E$4="Cells")),((P44*P$51)/(P$53)),IF(AND(Results!$E$5="Weight",$C$52&gt;0, Results!$E$4="Tissue",OR($B$52="g",$B$52="mg")),((P44*P$51)/(P$52)),IF(AND(Results!$E$5="Volume",$C$54&gt;0,Results!$E$4="Fluid"),((P44*P$51)/(P$54)),IF(AND(Results!$E$4="Cells",Results!$E$5="Million",$B$52="million"),((P44*P$51)/(P$52)),"0")))))</f>
        <v>0</v>
      </c>
      <c r="Q97" s="20" t="str">
        <f>IF(Q44=0,"0",IF(AND(Results!$E$5="Protein",$C$53&gt;0,OR(Results!$E$4="Tissue",Results!$E$4="Cells")),((Q44*Q$51)/(Q$53)),IF(AND(Results!$E$5="Weight",$C$52&gt;0, Results!$E$4="Tissue",OR($B$52="g",$B$52="mg")),((Q44*Q$51)/(Q$52)),IF(AND(Results!$E$5="Volume",$C$54&gt;0,Results!$E$4="Fluid"),((Q44*Q$51)/(Q$54)),IF(AND(Results!$E$4="Cells",Results!$E$5="Million",$B$52="million"),((Q44*Q$51)/(Q$52)),"0")))))</f>
        <v>0</v>
      </c>
      <c r="R97" s="20" t="str">
        <f>IF(R44=0,"0",IF(AND(Results!$E$5="Protein",$C$53&gt;0,OR(Results!$E$4="Tissue",Results!$E$4="Cells")),((R44*R$51)/(R$53)),IF(AND(Results!$E$5="Weight",$C$52&gt;0, Results!$E$4="Tissue",OR($B$52="g",$B$52="mg")),((R44*R$51)/(R$52)),IF(AND(Results!$E$5="Volume",$C$54&gt;0,Results!$E$4="Fluid"),((R44*R$51)/(R$54)),IF(AND(Results!$E$4="Cells",Results!$E$5="Million",$B$52="million"),((R44*R$51)/(R$52)),"0")))))</f>
        <v>0</v>
      </c>
      <c r="S97" s="20" t="str">
        <f>IF(S44=0,"0",IF(AND(Results!$E$5="Protein",$C$53&gt;0,OR(Results!$E$4="Tissue",Results!$E$4="Cells")),((S44*S$51)/(S$53)),IF(AND(Results!$E$5="Weight",$C$52&gt;0, Results!$E$4="Tissue",OR($B$52="g",$B$52="mg")),((S44*S$51)/(S$52)),IF(AND(Results!$E$5="Volume",$C$54&gt;0,Results!$E$4="Fluid"),((S44*S$51)/(S$54)),IF(AND(Results!$E$4="Cells",Results!$E$5="Million",$B$52="million"),((S44*S$51)/(S$52)),"0")))))</f>
        <v>0</v>
      </c>
      <c r="T97" s="20" t="str">
        <f>IF(T44=0,"0",IF(AND(Results!$E$5="Protein",$C$53&gt;0,OR(Results!$E$4="Tissue",Results!$E$4="Cells")),((T44*T$51)/(T$53)),IF(AND(Results!$E$5="Weight",$C$52&gt;0, Results!$E$4="Tissue",OR($B$52="g",$B$52="mg")),((T44*T$51)/(T$52)),IF(AND(Results!$E$5="Volume",$C$54&gt;0,Results!$E$4="Fluid"),((T44*T$51)/(T$54)),IF(AND(Results!$E$4="Cells",Results!$E$5="Million",$B$52="million"),((T44*T$51)/(T$52)),"0")))))</f>
        <v>0</v>
      </c>
      <c r="U97" s="20" t="str">
        <f>IF(U44=0,"0",IF(AND(Results!$E$5="Protein",$C$53&gt;0,OR(Results!$E$4="Tissue",Results!$E$4="Cells")),((U44*U$51)/(U$53)),IF(AND(Results!$E$5="Weight",$C$52&gt;0, Results!$E$4="Tissue",OR($B$52="g",$B$52="mg")),((U44*U$51)/(U$52)),IF(AND(Results!$E$5="Volume",$C$54&gt;0,Results!$E$4="Fluid"),((U44*U$51)/(U$54)),IF(AND(Results!$E$4="Cells",Results!$E$5="Million",$B$52="million"),((U44*U$51)/(U$52)),"0")))))</f>
        <v>0</v>
      </c>
      <c r="V97" s="20" t="str">
        <f>IF(V44=0,"0",IF(AND(Results!$E$5="Protein",$C$53&gt;0,OR(Results!$E$4="Tissue",Results!$E$4="Cells")),((V44*V$51)/(V$53)),IF(AND(Results!$E$5="Weight",$C$52&gt;0, Results!$E$4="Tissue",OR($B$52="g",$B$52="mg")),((V44*V$51)/(V$52)),IF(AND(Results!$E$5="Volume",$C$54&gt;0,Results!$E$4="Fluid"),((V44*V$51)/(V$54)),IF(AND(Results!$E$4="Cells",Results!$E$5="Million",$B$52="million"),((V44*V$51)/(V$52)),"0")))))</f>
        <v>0</v>
      </c>
      <c r="W97" s="20" t="str">
        <f>IF(W44=0,"0",IF(AND(Results!$E$5="Protein",$C$53&gt;0,OR(Results!$E$4="Tissue",Results!$E$4="Cells")),((W44*W$51)/(W$53)),IF(AND(Results!$E$5="Weight",$C$52&gt;0, Results!$E$4="Tissue",OR($B$52="g",$B$52="mg")),((W44*W$51)/(W$52)),IF(AND(Results!$E$5="Volume",$C$54&gt;0,Results!$E$4="Fluid"),((W44*W$51)/(W$54)),IF(AND(Results!$E$4="Cells",Results!$E$5="Million",$B$52="million"),((W44*W$51)/(W$52)),"0")))))</f>
        <v>0</v>
      </c>
      <c r="X97" s="20" t="str">
        <f>IF(X44=0,"0",IF(AND(Results!$E$5="Protein",$C$53&gt;0,OR(Results!$E$4="Tissue",Results!$E$4="Cells")),((X44*X$51)/(X$53)),IF(AND(Results!$E$5="Weight",$C$52&gt;0, Results!$E$4="Tissue",OR($B$52="g",$B$52="mg")),((X44*X$51)/(X$52)),IF(AND(Results!$E$5="Volume",$C$54&gt;0,Results!$E$4="Fluid"),((X44*X$51)/(X$54)),IF(AND(Results!$E$4="Cells",Results!$E$5="Million",$B$52="million"),((X44*X$51)/(X$52)),"0")))))</f>
        <v>0</v>
      </c>
      <c r="Y97" s="20" t="str">
        <f>IF(Y44=0,"0",IF(AND(Results!$E$5="Protein",$C$53&gt;0,OR(Results!$E$4="Tissue",Results!$E$4="Cells")),((Y44*Y$51)/(Y$53)),IF(AND(Results!$E$5="Weight",$C$52&gt;0, Results!$E$4="Tissue",OR($B$52="g",$B$52="mg")),((Y44*Y$51)/(Y$52)),IF(AND(Results!$E$5="Volume",$C$54&gt;0,Results!$E$4="Fluid"),((Y44*Y$51)/(Y$54)),IF(AND(Results!$E$4="Cells",Results!$E$5="Million",$B$52="million"),((Y44*Y$51)/(Y$52)),"0")))))</f>
        <v>0</v>
      </c>
      <c r="Z97" s="20" t="str">
        <f>IF(Z44=0,"0",IF(AND(Results!$E$5="Protein",$C$53&gt;0,OR(Results!$E$4="Tissue",Results!$E$4="Cells")),((Z44*Z$51)/(Z$53)),IF(AND(Results!$E$5="Weight",$C$52&gt;0, Results!$E$4="Tissue",OR($B$52="g",$B$52="mg")),((Z44*Z$51)/(Z$52)),IF(AND(Results!$E$5="Volume",$C$54&gt;0,Results!$E$4="Fluid"),((Z44*Z$51)/(Z$54)),IF(AND(Results!$E$4="Cells",Results!$E$5="Million",$B$52="million"),((Z44*Z$51)/(Z$52)),"0")))))</f>
        <v>0</v>
      </c>
      <c r="AA97" s="20" t="str">
        <f>IF(AA44=0,"0",IF(AND(Results!$E$5="Protein",$C$53&gt;0,OR(Results!$E$4="Tissue",Results!$E$4="Cells")),((AA44*AA$51)/(AA$53)),IF(AND(Results!$E$5="Weight",$C$52&gt;0, Results!$E$4="Tissue",OR($B$52="g",$B$52="mg")),((AA44*AA$51)/(AA$52)),IF(AND(Results!$E$5="Volume",$C$54&gt;0,Results!$E$4="Fluid"),((AA44*AA$51)/(AA$54)),IF(AND(Results!$E$4="Cells",Results!$E$5="Million",$B$52="million"),((AA44*AA$51)/(AA$52)),"0")))))</f>
        <v>0</v>
      </c>
      <c r="AB97" s="20" t="str">
        <f>IF(AB44=0,"0",IF(AND(Results!$E$5="Protein",$C$53&gt;0,OR(Results!$E$4="Tissue",Results!$E$4="Cells")),((AB44*AB$51)/(AB$53)),IF(AND(Results!$E$5="Weight",$C$52&gt;0, Results!$E$4="Tissue",OR($B$52="g",$B$52="mg")),((AB44*AB$51)/(AB$52)),IF(AND(Results!$E$5="Volume",$C$54&gt;0,Results!$E$4="Fluid"),((AB44*AB$51)/(AB$54)),IF(AND(Results!$E$4="Cells",Results!$E$5="Million",$B$52="million"),((AB44*AB$51)/(AB$52)),"0")))))</f>
        <v>0</v>
      </c>
      <c r="AC97" s="20" t="str">
        <f>IF(AC44=0,"0",IF(AND(Results!$E$5="Protein",$C$53&gt;0,OR(Results!$E$4="Tissue",Results!$E$4="Cells")),((AC44*AC$51)/(AC$53)),IF(AND(Results!$E$5="Weight",$C$52&gt;0, Results!$E$4="Tissue",OR($B$52="g",$B$52="mg")),((AC44*AC$51)/(AC$52)),IF(AND(Results!$E$5="Volume",$C$54&gt;0,Results!$E$4="Fluid"),((AC44*AC$51)/(AC$54)),IF(AND(Results!$E$4="Cells",Results!$E$5="Million",$B$52="million"),((AC44*AC$51)/(AC$52)),"0")))))</f>
        <v>0</v>
      </c>
      <c r="AD97" s="20" t="str">
        <f>IF(AD44=0,"0",IF(AND(Results!$E$5="Protein",$C$53&gt;0,OR(Results!$E$4="Tissue",Results!$E$4="Cells")),((AD44*AD$51)/(AD$53)),IF(AND(Results!$E$5="Weight",$C$52&gt;0, Results!$E$4="Tissue",OR($B$52="g",$B$52="mg")),((AD44*AD$51)/(AD$52)),IF(AND(Results!$E$5="Volume",$C$54&gt;0,Results!$E$4="Fluid"),((AD44*AD$51)/(AD$54)),IF(AND(Results!$E$4="Cells",Results!$E$5="Million",$B$52="million"),((AD44*AD$51)/(AD$52)),"0")))))</f>
        <v>0</v>
      </c>
      <c r="AE97" s="20" t="str">
        <f>IF(AE44=0,"0",IF(AND(Results!$E$5="Protein",$C$53&gt;0,OR(Results!$E$4="Tissue",Results!$E$4="Cells")),((AE44*AE$51)/(AE$53)),IF(AND(Results!$E$5="Weight",$C$52&gt;0, Results!$E$4="Tissue",OR($B$52="g",$B$52="mg")),((AE44*AE$51)/(AE$52)),IF(AND(Results!$E$5="Volume",$C$54&gt;0,Results!$E$4="Fluid"),((AE44*AE$51)/(AE$54)),IF(AND(Results!$E$4="Cells",Results!$E$5="Million",$B$52="million"),((AE44*AE$51)/(AE$52)),"0")))))</f>
        <v>0</v>
      </c>
      <c r="AF97" s="20" t="str">
        <f>IF(AF44=0,"0",IF(AND(Results!$E$5="Protein",$C$53&gt;0,OR(Results!$E$4="Tissue",Results!$E$4="Cells")),((AF44*AF$51)/(AF$53)),IF(AND(Results!$E$5="Weight",$C$52&gt;0, Results!$E$4="Tissue",OR($B$52="g",$B$52="mg")),((AF44*AF$51)/(AF$52)),IF(AND(Results!$E$5="Volume",$C$54&gt;0,Results!$E$4="Fluid"),((AF44*AF$51)/(AF$54)),IF(AND(Results!$E$4="Cells",Results!$E$5="Million",$B$52="million"),((AF44*AF$51)/(AF$52)),"0")))))</f>
        <v>0</v>
      </c>
      <c r="AG97" s="20" t="str">
        <f>IF(AG44=0,"0",IF(AND(Results!$E$5="Protein",$C$53&gt;0,OR(Results!$E$4="Tissue",Results!$E$4="Cells")),((AG44*AG$51)/(AG$53)),IF(AND(Results!$E$5="Weight",$C$52&gt;0, Results!$E$4="Tissue",OR($B$52="g",$B$52="mg")),((AG44*AG$51)/(AG$52)),IF(AND(Results!$E$5="Volume",$C$54&gt;0,Results!$E$4="Fluid"),((AG44*AG$51)/(AG$54)),IF(AND(Results!$E$4="Cells",Results!$E$5="Million",$B$52="million"),((AG44*AG$51)/(AG$52)),"0")))))</f>
        <v>0</v>
      </c>
      <c r="AH97" s="20" t="str">
        <f>IF(AH44=0,"0",IF(AND(Results!$E$5="Protein",$C$53&gt;0,OR(Results!$E$4="Tissue",Results!$E$4="Cells")),((AH44*AH$51)/(AH$53)),IF(AND(Results!$E$5="Weight",$C$52&gt;0, Results!$E$4="Tissue",OR($B$52="g",$B$52="mg")),((AH44*AH$51)/(AH$52)),IF(AND(Results!$E$5="Volume",$C$54&gt;0,Results!$E$4="Fluid"),((AH44*AH$51)/(AH$54)),IF(AND(Results!$E$4="Cells",Results!$E$5="Million",$B$52="million"),((AH44*AH$51)/(AH$52)),"0")))))</f>
        <v>0</v>
      </c>
      <c r="AI97" s="20" t="str">
        <f>IF(AI44=0,"0",IF(AND(Results!$E$5="Protein",$C$53&gt;0,OR(Results!$E$4="Tissue",Results!$E$4="Cells")),((AI44*AI$51)/(AI$53)),IF(AND(Results!$E$5="Weight",$C$52&gt;0, Results!$E$4="Tissue",OR($B$52="g",$B$52="mg")),((AI44*AI$51)/(AI$52)),IF(AND(Results!$E$5="Volume",$C$54&gt;0,Results!$E$4="Fluid"),((AI44*AI$51)/(AI$54)),IF(AND(Results!$E$4="Cells",Results!$E$5="Million",$B$52="million"),((AI44*AI$51)/(AI$52)),"0")))))</f>
        <v>0</v>
      </c>
      <c r="AJ97" s="20" t="str">
        <f>IF(AJ44=0,"0",IF(AND(Results!$E$5="Protein",$C$53&gt;0,OR(Results!$E$4="Tissue",Results!$E$4="Cells")),((AJ44*AJ$51)/(AJ$53)),IF(AND(Results!$E$5="Weight",$C$52&gt;0, Results!$E$4="Tissue",OR($B$52="g",$B$52="mg")),((AJ44*AJ$51)/(AJ$52)),IF(AND(Results!$E$5="Volume",$C$54&gt;0,Results!$E$4="Fluid"),((AJ44*AJ$51)/(AJ$54)),IF(AND(Results!$E$4="Cells",Results!$E$5="Million",$B$52="million"),((AJ44*AJ$51)/(AJ$52)),"0")))))</f>
        <v>0</v>
      </c>
      <c r="AK97" s="20" t="str">
        <f>IF(AK44=0,"0",IF(AND(Results!$E$5="Protein",$C$53&gt;0,OR(Results!$E$4="Tissue",Results!$E$4="Cells")),((AK44*AK$51)/(AK$53)),IF(AND(Results!$E$5="Weight",$C$52&gt;0, Results!$E$4="Tissue",OR($B$52="g",$B$52="mg")),((AK44*AK$51)/(AK$52)),IF(AND(Results!$E$5="Volume",$C$54&gt;0,Results!$E$4="Fluid"),((AK44*AK$51)/(AK$54)),IF(AND(Results!$E$4="Cells",Results!$E$5="Million",$B$52="million"),((AK44*AK$51)/(AK$52)),"0")))))</f>
        <v>0</v>
      </c>
      <c r="AL97" s="20" t="str">
        <f>IF(AL44=0,"0",IF(AND(Results!$E$5="Protein",$C$53&gt;0,OR(Results!$E$4="Tissue",Results!$E$4="Cells")),((AL44*AL$51)/(AL$53)),IF(AND(Results!$E$5="Weight",$C$52&gt;0, Results!$E$4="Tissue",OR($B$52="g",$B$52="mg")),((AL44*AL$51)/(AL$52)),IF(AND(Results!$E$5="Volume",$C$54&gt;0,Results!$E$4="Fluid"),((AL44*AL$51)/(AL$54)),IF(AND(Results!$E$4="Cells",Results!$E$5="Million",$B$52="million"),((AL44*AL$51)/(AL$52)),"0")))))</f>
        <v>0</v>
      </c>
      <c r="AM97" s="20" t="str">
        <f>IF(AM44=0,"0",IF(AND(Results!$E$5="Protein",$C$53&gt;0,OR(Results!$E$4="Tissue",Results!$E$4="Cells")),((AM44*AM$51)/(AM$53)),IF(AND(Results!$E$5="Weight",$C$52&gt;0, Results!$E$4="Tissue",OR($B$52="g",$B$52="mg")),((AM44*AM$51)/(AM$52)),IF(AND(Results!$E$5="Volume",$C$54&gt;0,Results!$E$4="Fluid"),((AM44*AM$51)/(AM$54)),IF(AND(Results!$E$4="Cells",Results!$E$5="Million",$B$52="million"),((AM44*AM$51)/(AM$52)),"0")))))</f>
        <v>0</v>
      </c>
      <c r="AN97" s="20" t="str">
        <f>IF(AN44=0,"0",IF(AND(Results!$E$5="Protein",$C$53&gt;0,OR(Results!$E$4="Tissue",Results!$E$4="Cells")),((AN44*AN$51)/(AN$53)),IF(AND(Results!$E$5="Weight",$C$52&gt;0, Results!$E$4="Tissue",OR($B$52="g",$B$52="mg")),((AN44*AN$51)/(AN$52)),IF(AND(Results!$E$5="Volume",$C$54&gt;0,Results!$E$4="Fluid"),((AN44*AN$51)/(AN$54)),IF(AND(Results!$E$4="Cells",Results!$E$5="Million",$B$52="million"),((AN44*AN$51)/(AN$52)),"0")))))</f>
        <v>0</v>
      </c>
      <c r="AO97" s="20" t="str">
        <f>IF(AO44=0,"0",IF(AND(Results!$E$5="Protein",$C$53&gt;0,OR(Results!$E$4="Tissue",Results!$E$4="Cells")),((AO44*AO$51)/(AO$53)),IF(AND(Results!$E$5="Weight",$C$52&gt;0, Results!$E$4="Tissue",OR($B$52="g",$B$52="mg")),((AO44*AO$51)/(AO$52)),IF(AND(Results!$E$5="Volume",$C$54&gt;0,Results!$E$4="Fluid"),((AO44*AO$51)/(AO$54)),IF(AND(Results!$E$4="Cells",Results!$E$5="Million",$B$52="million"),((AO44*AO$51)/(AO$52)),"0")))))</f>
        <v>0</v>
      </c>
      <c r="AP97" s="20" t="str">
        <f>IF(AP44=0,"0",IF(AND(Results!$E$5="Protein",$C$53&gt;0,OR(Results!$E$4="Tissue",Results!$E$4="Cells")),((AP44*AP$51)/(AP$53)),IF(AND(Results!$E$5="Weight",$C$52&gt;0, Results!$E$4="Tissue",OR($B$52="g",$B$52="mg")),((AP44*AP$51)/(AP$52)),IF(AND(Results!$E$5="Volume",$C$54&gt;0,Results!$E$4="Fluid"),((AP44*AP$51)/(AP$54)),IF(AND(Results!$E$4="Cells",Results!$E$5="Million",$B$52="million"),((AP44*AP$51)/(AP$52)),"0")))))</f>
        <v>0</v>
      </c>
      <c r="AQ97" s="20" t="str">
        <f>IF(AQ44=0,"0",IF(AND(Results!$E$5="Protein",$C$53&gt;0,OR(Results!$E$4="Tissue",Results!$E$4="Cells")),((AQ44*AQ$51)/(AQ$53)),IF(AND(Results!$E$5="Weight",$C$52&gt;0, Results!$E$4="Tissue",OR($B$52="g",$B$52="mg")),((AQ44*AQ$51)/(AQ$52)),IF(AND(Results!$E$5="Volume",$C$54&gt;0,Results!$E$4="Fluid"),((AQ44*AQ$51)/(AQ$54)),IF(AND(Results!$E$4="Cells",Results!$E$5="Million",$B$52="million"),((AQ44*AQ$51)/(AQ$52)),"0")))))</f>
        <v>0</v>
      </c>
      <c r="AR97" s="20" t="str">
        <f>IF(AR44=0,"0",IF(AND(Results!$E$5="Protein",$C$53&gt;0,OR(Results!$E$4="Tissue",Results!$E$4="Cells")),((AR44*AR$51)/(AR$53)),IF(AND(Results!$E$5="Weight",$C$52&gt;0, Results!$E$4="Tissue",OR($B$52="g",$B$52="mg")),((AR44*AR$51)/(AR$52)),IF(AND(Results!$E$5="Volume",$C$54&gt;0,Results!$E$4="Fluid"),((AR44*AR$51)/(AR$54)),IF(AND(Results!$E$4="Cells",Results!$E$5="Million",$B$52="million"),((AR44*AR$51)/(AR$52)),"0")))))</f>
        <v>0</v>
      </c>
      <c r="AS97" s="20" t="str">
        <f>IF(AS44=0,"0",IF(AND(Results!$E$5="Protein",$C$53&gt;0,OR(Results!$E$4="Tissue",Results!$E$4="Cells")),((AS44*AS$51)/(AS$53)),IF(AND(Results!$E$5="Weight",$C$52&gt;0, Results!$E$4="Tissue",OR($B$52="g",$B$52="mg")),((AS44*AS$51)/(AS$52)),IF(AND(Results!$E$5="Volume",$C$54&gt;0,Results!$E$4="Fluid"),((AS44*AS$51)/(AS$54)),IF(AND(Results!$E$4="Cells",Results!$E$5="Million",$B$52="million"),((AS44*AS$51)/(AS$52)),"0")))))</f>
        <v>0</v>
      </c>
      <c r="AT97" s="20" t="str">
        <f>IF(AT44=0,"0",IF(AND(Results!$E$5="Protein",$C$53&gt;0,OR(Results!$E$4="Tissue",Results!$E$4="Cells")),((AT44*AT$51)/(AT$53)),IF(AND(Results!$E$5="Weight",$C$52&gt;0, Results!$E$4="Tissue",OR($B$52="g",$B$52="mg")),((AT44*AT$51)/(AT$52)),IF(AND(Results!$E$5="Volume",$C$54&gt;0,Results!$E$4="Fluid"),((AT44*AT$51)/(AT$54)),IF(AND(Results!$E$4="Cells",Results!$E$5="Million",$B$52="million"),((AT44*AT$51)/(AT$52)),"0")))))</f>
        <v>0</v>
      </c>
      <c r="AU97" s="20" t="str">
        <f>IF(AU44=0,"0",IF(AND(Results!$E$5="Protein",$C$53&gt;0,OR(Results!$E$4="Tissue",Results!$E$4="Cells")),((AU44*AU$51)/(AU$53)),IF(AND(Results!$E$5="Weight",$C$52&gt;0, Results!$E$4="Tissue",OR($B$52="g",$B$52="mg")),((AU44*AU$51)/(AU$52)),IF(AND(Results!$E$5="Volume",$C$54&gt;0,Results!$E$4="Fluid"),((AU44*AU$51)/(AU$54)),IF(AND(Results!$E$4="Cells",Results!$E$5="Million",$B$52="million"),((AU44*AU$51)/(AU$52)),"0")))))</f>
        <v>0</v>
      </c>
      <c r="AV97" s="20" t="str">
        <f>IF(AV44=0,"0",IF(AND(Results!$E$5="Protein",$C$53&gt;0,OR(Results!$E$4="Tissue",Results!$E$4="Cells")),((AV44*AV$51)/(AV$53)),IF(AND(Results!$E$5="Weight",$C$52&gt;0, Results!$E$4="Tissue",OR($B$52="g",$B$52="mg")),((AV44*AV$51)/(AV$52)),IF(AND(Results!$E$5="Volume",$C$54&gt;0,Results!$E$4="Fluid"),((AV44*AV$51)/(AV$54)),IF(AND(Results!$E$4="Cells",Results!$E$5="Million",$B$52="million"),((AV44*AV$51)/(AV$52)),"0")))))</f>
        <v>0</v>
      </c>
      <c r="AW97" s="20" t="str">
        <f>IF(AW44=0,"0",IF(AND(Results!$E$5="Protein",$C$53&gt;0,OR(Results!$E$4="Tissue",Results!$E$4="Cells")),((AW44*AW$51)/(AW$53)),IF(AND(Results!$E$5="Weight",$C$52&gt;0, Results!$E$4="Tissue",OR($B$52="g",$B$52="mg")),((AW44*AW$51)/(AW$52)),IF(AND(Results!$E$5="Volume",$C$54&gt;0,Results!$E$4="Fluid"),((AW44*AW$51)/(AW$54)),IF(AND(Results!$E$4="Cells",Results!$E$5="Million",$B$52="million"),((AW44*AW$51)/(AW$52)),"0")))))</f>
        <v>0</v>
      </c>
      <c r="AX97" s="20" t="str">
        <f>IF(AX44=0,"0",IF(AND(Results!$E$5="Protein",$C$53&gt;0,OR(Results!$E$4="Tissue",Results!$E$4="Cells")),((AX44*AX$51)/(AX$53)),IF(AND(Results!$E$5="Weight",$C$52&gt;0, Results!$E$4="Tissue",OR($B$52="g",$B$52="mg")),((AX44*AX$51)/(AX$52)),IF(AND(Results!$E$5="Volume",$C$54&gt;0,Results!$E$4="Fluid"),((AX44*AX$51)/(AX$54)),IF(AND(Results!$E$4="Cells",Results!$E$5="Million",$B$52="million"),((AX44*AX$51)/(AX$52)),"0")))))</f>
        <v>0</v>
      </c>
      <c r="AY97" s="20" t="str">
        <f>IF(AY44=0,"0",IF(AND(Results!$E$5="Protein",$C$53&gt;0,OR(Results!$E$4="Tissue",Results!$E$4="Cells")),((AY44*AY$51)/(AY$53)),IF(AND(Results!$E$5="Weight",$C$52&gt;0, Results!$E$4="Tissue",OR($B$52="g",$B$52="mg")),((AY44*AY$51)/(AY$52)),IF(AND(Results!$E$5="Volume",$C$54&gt;0,Results!$E$4="Fluid"),((AY44*AY$51)/(AY$54)),IF(AND(Results!$E$4="Cells",Results!$E$5="Million",$B$52="million"),((AY44*AY$51)/(AY$52)),"0")))))</f>
        <v>0</v>
      </c>
      <c r="AZ97" s="20" t="str">
        <f>IF(AZ44=0,"0",IF(AND(Results!$E$5="Protein",$C$53&gt;0,OR(Results!$E$4="Tissue",Results!$E$4="Cells")),((AZ44*AZ$51)/(AZ$53)),IF(AND(Results!$E$5="Weight",$C$52&gt;0, Results!$E$4="Tissue",OR($B$52="g",$B$52="mg")),((AZ44*AZ$51)/(AZ$52)),IF(AND(Results!$E$5="Volume",$C$54&gt;0,Results!$E$4="Fluid"),((AZ44*AZ$51)/(AZ$54)),IF(AND(Results!$E$4="Cells",Results!$E$5="Million",$B$52="million"),((AZ44*AZ$51)/(AZ$52)),"0")))))</f>
        <v>0</v>
      </c>
      <c r="BA97" s="20" t="str">
        <f>IF(BA44=0,"0",IF(AND(Results!$E$5="Protein",$C$53&gt;0,OR(Results!$E$4="Tissue",Results!$E$4="Cells")),((BA44*BA$51)/(BA$53)),IF(AND(Results!$E$5="Weight",$C$52&gt;0, Results!$E$4="Tissue",OR($B$52="g",$B$52="mg")),((BA44*BA$51)/(BA$52)),IF(AND(Results!$E$5="Volume",$C$54&gt;0,Results!$E$4="Fluid"),((BA44*BA$51)/(BA$54)),IF(AND(Results!$E$4="Cells",Results!$E$5="Million",$B$52="million"),((BA44*BA$51)/(BA$52)),"0")))))</f>
        <v>0</v>
      </c>
      <c r="BB97" s="20" t="str">
        <f>IF(BB44=0,"0",IF(AND(Results!$E$5="Protein",$C$53&gt;0,OR(Results!$E$4="Tissue",Results!$E$4="Cells")),((BB44*BB$51)/(BB$53)),IF(AND(Results!$E$5="Weight",$C$52&gt;0, Results!$E$4="Tissue",OR($B$52="g",$B$52="mg")),((BB44*BB$51)/(BB$52)),IF(AND(Results!$E$5="Volume",$C$54&gt;0,Results!$E$4="Fluid"),((BB44*BB$51)/(BB$54)),IF(AND(Results!$E$4="Cells",Results!$E$5="Million",$B$52="million"),((BB44*BB$51)/(BB$52)),"0")))))</f>
        <v>0</v>
      </c>
      <c r="BC97" s="20" t="str">
        <f>IF(BC44=0,"0",IF(AND(Results!$E$5="Protein",$C$53&gt;0,OR(Results!$E$4="Tissue",Results!$E$4="Cells")),((BC44*BC$51)/(BC$53)),IF(AND(Results!$E$5="Weight",$C$52&gt;0, Results!$E$4="Tissue",OR($B$52="g",$B$52="mg")),((BC44*BC$51)/(BC$52)),IF(AND(Results!$E$5="Volume",$C$54&gt;0,Results!$E$4="Fluid"),((BC44*BC$51)/(BC$54)),IF(AND(Results!$E$4="Cells",Results!$E$5="Million",$B$52="million"),((BC44*BC$51)/(BC$52)),"0")))))</f>
        <v>0</v>
      </c>
      <c r="BD97" s="20" t="str">
        <f>IF(BD44=0,"0",IF(AND(Results!$E$5="Protein",$C$53&gt;0,OR(Results!$E$4="Tissue",Results!$E$4="Cells")),((BD44*BD$51)/(BD$53)),IF(AND(Results!$E$5="Weight",$C$52&gt;0, Results!$E$4="Tissue",OR($B$52="g",$B$52="mg")),((BD44*BD$51)/(BD$52)),IF(AND(Results!$E$5="Volume",$C$54&gt;0,Results!$E$4="Fluid"),((BD44*BD$51)/(BD$54)),IF(AND(Results!$E$4="Cells",Results!$E$5="Million",$B$52="million"),((BD44*BD$51)/(BD$52)),"0")))))</f>
        <v>0</v>
      </c>
      <c r="BE97" s="20" t="str">
        <f>IF(BE44=0,"0",IF(AND(Results!$E$5="Protein",$C$53&gt;0,OR(Results!$E$4="Tissue",Results!$E$4="Cells")),((BE44*BE$51)/(BE$53)),IF(AND(Results!$E$5="Weight",$C$52&gt;0, Results!$E$4="Tissue",OR($B$52="g",$B$52="mg")),((BE44*BE$51)/(BE$52)),IF(AND(Results!$E$5="Volume",$C$54&gt;0,Results!$E$4="Fluid"),((BE44*BE$51)/(BE$54)),IF(AND(Results!$E$4="Cells",Results!$E$5="Million",$B$52="million"),((BE44*BE$51)/(BE$52)),"0")))))</f>
        <v>0</v>
      </c>
      <c r="BF97" s="20" t="str">
        <f>IF(BF44=0,"0",IF(AND(Results!$E$5="Protein",$C$53&gt;0,OR(Results!$E$4="Tissue",Results!$E$4="Cells")),((BF44*BF$51)/(BF$53)),IF(AND(Results!$E$5="Weight",$C$52&gt;0, Results!$E$4="Tissue",OR($B$52="g",$B$52="mg")),((BF44*BF$51)/(BF$52)),IF(AND(Results!$E$5="Volume",$C$54&gt;0,Results!$E$4="Fluid"),((BF44*BF$51)/(BF$54)),IF(AND(Results!$E$4="Cells",Results!$E$5="Million",$B$52="million"),((BF44*BF$51)/(BF$52)),"0")))))</f>
        <v>0</v>
      </c>
      <c r="BG97" s="20" t="str">
        <f>IF(BG44=0,"0",IF(AND(Results!$E$5="Protein",$C$53&gt;0,OR(Results!$E$4="Tissue",Results!$E$4="Cells")),((BG44*BG$51)/(BG$53)),IF(AND(Results!$E$5="Weight",$C$52&gt;0, Results!$E$4="Tissue",OR($B$52="g",$B$52="mg")),((BG44*BG$51)/(BG$52)),IF(AND(Results!$E$5="Volume",$C$54&gt;0,Results!$E$4="Fluid"),((BG44*BG$51)/(BG$54)),IF(AND(Results!$E$4="Cells",Results!$E$5="Million",$B$52="million"),((BG44*BG$51)/(BG$52)),"0")))))</f>
        <v>0</v>
      </c>
      <c r="BH97" s="20" t="str">
        <f>IF(BH44=0,"0",IF(AND(Results!$E$5="Protein",$C$53&gt;0,OR(Results!$E$4="Tissue",Results!$E$4="Cells")),((BH44*BH$51)/(BH$53)),IF(AND(Results!$E$5="Weight",$C$52&gt;0, Results!$E$4="Tissue",OR($B$52="g",$B$52="mg")),((BH44*BH$51)/(BH$52)),IF(AND(Results!$E$5="Volume",$C$54&gt;0,Results!$E$4="Fluid"),((BH44*BH$51)/(BH$54)),IF(AND(Results!$E$4="Cells",Results!$E$5="Million",$B$52="million"),((BH44*BH$51)/(BH$52)),"0")))))</f>
        <v>0</v>
      </c>
      <c r="BI97" s="20" t="str">
        <f>IF(BI44=0,"0",IF(AND(Results!$E$5="Protein",$C$53&gt;0,OR(Results!$E$4="Tissue",Results!$E$4="Cells")),((BI44*BI$51)/(BI$53)),IF(AND(Results!$E$5="Weight",$C$52&gt;0, Results!$E$4="Tissue",OR($B$52="g",$B$52="mg")),((BI44*BI$51)/(BI$52)),IF(AND(Results!$E$5="Volume",$C$54&gt;0,Results!$E$4="Fluid"),((BI44*BI$51)/(BI$54)),IF(AND(Results!$E$4="Cells",Results!$E$5="Million",$B$52="million"),((BI44*BI$51)/(BI$52)),"0")))))</f>
        <v>0</v>
      </c>
      <c r="BJ97" s="20" t="str">
        <f>IF(BJ44=0,"0",IF(AND(Results!$E$5="Protein",$C$53&gt;0,OR(Results!$E$4="Tissue",Results!$E$4="Cells")),((BJ44*BJ$51)/(BJ$53)),IF(AND(Results!$E$5="Weight",$C$52&gt;0, Results!$E$4="Tissue",OR($B$52="g",$B$52="mg")),((BJ44*BJ$51)/(BJ$52)),IF(AND(Results!$E$5="Volume",$C$54&gt;0,Results!$E$4="Fluid"),((BJ44*BJ$51)/(BJ$54)),IF(AND(Results!$E$4="Cells",Results!$E$5="Million",$B$52="million"),((BJ44*BJ$51)/(BJ$52)),"0")))))</f>
        <v>0</v>
      </c>
      <c r="BK97" s="20" t="str">
        <f>IF(BK44=0,"0",IF(AND(Results!$E$5="Protein",$C$53&gt;0,OR(Results!$E$4="Tissue",Results!$E$4="Cells")),((BK44*BK$51)/(BK$53)),IF(AND(Results!$E$5="Weight",$C$52&gt;0, Results!$E$4="Tissue",OR($B$52="g",$B$52="mg")),((BK44*BK$51)/(BK$52)),IF(AND(Results!$E$5="Volume",$C$54&gt;0,Results!$E$4="Fluid"),((BK44*BK$51)/(BK$54)),IF(AND(Results!$E$4="Cells",Results!$E$5="Million",$B$52="million"),((BK44*BK$51)/(BK$52)),"0")))))</f>
        <v>0</v>
      </c>
      <c r="BL97" s="20" t="str">
        <f>IF(BL44=0,"0",IF(AND(Results!$E$5="Protein",$C$53&gt;0,OR(Results!$E$4="Tissue",Results!$E$4="Cells")),((BL44*BL$51)/(BL$53)),IF(AND(Results!$E$5="Weight",$C$52&gt;0, Results!$E$4="Tissue",OR($B$52="g",$B$52="mg")),((BL44*BL$51)/(BL$52)),IF(AND(Results!$E$5="Volume",$C$54&gt;0,Results!$E$4="Fluid"),((BL44*BL$51)/(BL$54)),IF(AND(Results!$E$4="Cells",Results!$E$5="Million",$B$52="million"),((BL44*BL$51)/(BL$52)),"0")))))</f>
        <v>0</v>
      </c>
      <c r="BM97" s="20" t="str">
        <f>IF(BM44=0,"0",IF(AND(Results!$E$5="Protein",$C$53&gt;0,OR(Results!$E$4="Tissue",Results!$E$4="Cells")),((BM44*BM$51)/(BM$53)),IF(AND(Results!$E$5="Weight",$C$52&gt;0, Results!$E$4="Tissue",OR($B$52="g",$B$52="mg")),((BM44*BM$51)/(BM$52)),IF(AND(Results!$E$5="Volume",$C$54&gt;0,Results!$E$4="Fluid"),((BM44*BM$51)/(BM$54)),IF(AND(Results!$E$4="Cells",Results!$E$5="Million",$B$52="million"),((BM44*BM$51)/(BM$52)),"0")))))</f>
        <v>0</v>
      </c>
      <c r="BN97" s="20" t="str">
        <f>IF(BN44=0,"0",IF(AND(Results!$E$5="Protein",$C$53&gt;0,OR(Results!$E$4="Tissue",Results!$E$4="Cells")),((BN44*BN$51)/(BN$53)),IF(AND(Results!$E$5="Weight",$C$52&gt;0, Results!$E$4="Tissue",OR($B$52="g",$B$52="mg")),((BN44*BN$51)/(BN$52)),IF(AND(Results!$E$5="Volume",$C$54&gt;0,Results!$E$4="Fluid"),((BN44*BN$51)/(BN$54)),IF(AND(Results!$E$4="Cells",Results!$E$5="Million",$B$52="million"),((BN44*BN$51)/(BN$52)),"0")))))</f>
        <v>0</v>
      </c>
      <c r="BO97" s="20" t="str">
        <f>IF(BO44=0,"0",IF(AND(Results!$E$5="Protein",$C$53&gt;0,OR(Results!$E$4="Tissue",Results!$E$4="Cells")),((BO44*BO$51)/(BO$53)),IF(AND(Results!$E$5="Weight",$C$52&gt;0, Results!$E$4="Tissue",OR($B$52="g",$B$52="mg")),((BO44*BO$51)/(BO$52)),IF(AND(Results!$E$5="Volume",$C$54&gt;0,Results!$E$4="Fluid"),((BO44*BO$51)/(BO$54)),IF(AND(Results!$E$4="Cells",Results!$E$5="Million",$B$52="million"),((BO44*BO$51)/(BO$52)),"0")))))</f>
        <v>0</v>
      </c>
      <c r="BP97" s="20" t="str">
        <f>IF(BP44=0,"0",IF(AND(Results!$E$5="Protein",$C$53&gt;0,OR(Results!$E$4="Tissue",Results!$E$4="Cells")),((BP44*BP$51)/(BP$53)),IF(AND(Results!$E$5="Weight",$C$52&gt;0, Results!$E$4="Tissue",OR($B$52="g",$B$52="mg")),((BP44*BP$51)/(BP$52)),IF(AND(Results!$E$5="Volume",$C$54&gt;0,Results!$E$4="Fluid"),((BP44*BP$51)/(BP$54)),IF(AND(Results!$E$4="Cells",Results!$E$5="Million",$B$52="million"),((BP44*BP$51)/(BP$52)),"0")))))</f>
        <v>0</v>
      </c>
      <c r="BQ97" s="20" t="str">
        <f>IF(BQ44=0,"0",IF(AND(Results!$E$5="Protein",$C$53&gt;0,OR(Results!$E$4="Tissue",Results!$E$4="Cells")),((BQ44*BQ$51)/(BQ$53)),IF(AND(Results!$E$5="Weight",$C$52&gt;0, Results!$E$4="Tissue",OR($B$52="g",$B$52="mg")),((BQ44*BQ$51)/(BQ$52)),IF(AND(Results!$E$5="Volume",$C$54&gt;0,Results!$E$4="Fluid"),((BQ44*BQ$51)/(BQ$54)),IF(AND(Results!$E$4="Cells",Results!$E$5="Million",$B$52="million"),((BQ44*BQ$51)/(BQ$52)),"0")))))</f>
        <v>0</v>
      </c>
      <c r="BR97" s="20" t="str">
        <f>IF(BR44=0,"0",IF(AND(Results!$E$5="Protein",$C$53&gt;0,OR(Results!$E$4="Tissue",Results!$E$4="Cells")),((BR44*BR$51)/(BR$53)),IF(AND(Results!$E$5="Weight",$C$52&gt;0, Results!$E$4="Tissue",OR($B$52="g",$B$52="mg")),((BR44*BR$51)/(BR$52)),IF(AND(Results!$E$5="Volume",$C$54&gt;0,Results!$E$4="Fluid"),((BR44*BR$51)/(BR$54)),IF(AND(Results!$E$4="Cells",Results!$E$5="Million",$B$52="million"),((BR44*BR$51)/(BR$52)),"0")))))</f>
        <v>0</v>
      </c>
      <c r="BS97" s="20" t="str">
        <f>IF(BS44=0,"0",IF(AND(Results!$E$5="Protein",$C$53&gt;0,OR(Results!$E$4="Tissue",Results!$E$4="Cells")),((BS44*BS$51)/(BS$53)),IF(AND(Results!$E$5="Weight",$C$52&gt;0, Results!$E$4="Tissue",OR($B$52="g",$B$52="mg")),((BS44*BS$51)/(BS$52)),IF(AND(Results!$E$5="Volume",$C$54&gt;0,Results!$E$4="Fluid"),((BS44*BS$51)/(BS$54)),IF(AND(Results!$E$4="Cells",Results!$E$5="Million",$B$52="million"),((BS44*BS$51)/(BS$52)),"0")))))</f>
        <v>0</v>
      </c>
      <c r="BT97" s="20" t="str">
        <f>IF(BT44=0,"0",IF(AND(Results!$E$5="Protein",$C$53&gt;0,OR(Results!$E$4="Tissue",Results!$E$4="Cells")),((BT44*BT$51)/(BT$53)),IF(AND(Results!$E$5="Weight",$C$52&gt;0, Results!$E$4="Tissue",OR($B$52="g",$B$52="mg")),((BT44*BT$51)/(BT$52)),IF(AND(Results!$E$5="Volume",$C$54&gt;0,Results!$E$4="Fluid"),((BT44*BT$51)/(BT$54)),IF(AND(Results!$E$4="Cells",Results!$E$5="Million",$B$52="million"),((BT44*BT$51)/(BT$52)),"0")))))</f>
        <v>0</v>
      </c>
      <c r="BU97" s="20" t="str">
        <f>IF(BU44=0,"0",IF(AND(Results!$E$5="Protein",$C$53&gt;0,OR(Results!$E$4="Tissue",Results!$E$4="Cells")),((BU44*BU$51)/(BU$53)),IF(AND(Results!$E$5="Weight",$C$52&gt;0, Results!$E$4="Tissue",OR($B$52="g",$B$52="mg")),((BU44*BU$51)/(BU$52)),IF(AND(Results!$E$5="Volume",$C$54&gt;0,Results!$E$4="Fluid"),((BU44*BU$51)/(BU$54)),IF(AND(Results!$E$4="Cells",Results!$E$5="Million",$B$52="million"),((BU44*BU$51)/(BU$52)),"0")))))</f>
        <v>0</v>
      </c>
      <c r="BV97" s="20" t="str">
        <f>IF(BV44=0,"0",IF(AND(Results!$E$5="Protein",$C$53&gt;0,OR(Results!$E$4="Tissue",Results!$E$4="Cells")),((BV44*BV$51)/(BV$53)),IF(AND(Results!$E$5="Weight",$C$52&gt;0, Results!$E$4="Tissue",OR($B$52="g",$B$52="mg")),((BV44*BV$51)/(BV$52)),IF(AND(Results!$E$5="Volume",$C$54&gt;0,Results!$E$4="Fluid"),((BV44*BV$51)/(BV$54)),IF(AND(Results!$E$4="Cells",Results!$E$5="Million",$B$52="million"),((BV44*BV$51)/(BV$52)),"0")))))</f>
        <v>0</v>
      </c>
      <c r="BW97" s="20" t="str">
        <f>IF(BW44=0,"0",IF(AND(Results!$E$5="Protein",$C$53&gt;0,OR(Results!$E$4="Tissue",Results!$E$4="Cells")),((BW44*BW$51)/(BW$53)),IF(AND(Results!$E$5="Weight",$C$52&gt;0, Results!$E$4="Tissue",OR($B$52="g",$B$52="mg")),((BW44*BW$51)/(BW$52)),IF(AND(Results!$E$5="Volume",$C$54&gt;0,Results!$E$4="Fluid"),((BW44*BW$51)/(BW$54)),IF(AND(Results!$E$4="Cells",Results!$E$5="Million",$B$52="million"),((BW44*BW$51)/(BW$52)),"0")))))</f>
        <v>0</v>
      </c>
      <c r="BX97" s="20" t="str">
        <f>IF(BX44=0,"0",IF(AND(Results!$E$5="Protein",$C$53&gt;0,OR(Results!$E$4="Tissue",Results!$E$4="Cells")),((BX44*BX$51)/(BX$53)),IF(AND(Results!$E$5="Weight",$C$52&gt;0, Results!$E$4="Tissue",OR($B$52="g",$B$52="mg")),((BX44*BX$51)/(BX$52)),IF(AND(Results!$E$5="Volume",$C$54&gt;0,Results!$E$4="Fluid"),((BX44*BX$51)/(BX$54)),IF(AND(Results!$E$4="Cells",Results!$E$5="Million",$B$52="million"),((BX44*BX$51)/(BX$52)),"0")))))</f>
        <v>0</v>
      </c>
      <c r="BY97" s="20" t="str">
        <f>IF(BY44=0,"0",IF(AND(Results!$E$5="Protein",$C$53&gt;0,OR(Results!$E$4="Tissue",Results!$E$4="Cells")),((BY44*BY$51)/(BY$53)),IF(AND(Results!$E$5="Weight",$C$52&gt;0, Results!$E$4="Tissue",OR($B$52="g",$B$52="mg")),((BY44*BY$51)/(BY$52)),IF(AND(Results!$E$5="Volume",$C$54&gt;0,Results!$E$4="Fluid"),((BY44*BY$51)/(BY$54)),IF(AND(Results!$E$4="Cells",Results!$E$5="Million",$B$52="million"),((BY44*BY$51)/(BY$52)),"0")))))</f>
        <v>0</v>
      </c>
      <c r="BZ97" s="20" t="str">
        <f>IF(BZ44=0,"0",IF(AND(Results!$E$5="Protein",$C$53&gt;0,OR(Results!$E$4="Tissue",Results!$E$4="Cells")),((BZ44*BZ$51)/(BZ$53)),IF(AND(Results!$E$5="Weight",$C$52&gt;0, Results!$E$4="Tissue",OR($B$52="g",$B$52="mg")),((BZ44*BZ$51)/(BZ$52)),IF(AND(Results!$E$5="Volume",$C$54&gt;0,Results!$E$4="Fluid"),((BZ44*BZ$51)/(BZ$54)),IF(AND(Results!$E$4="Cells",Results!$E$5="Million",$B$52="million"),((BZ44*BZ$51)/(BZ$52)),"0")))))</f>
        <v>0</v>
      </c>
      <c r="CA97" s="20" t="str">
        <f>IF(CA44=0,"0",IF(AND(Results!$E$5="Protein",$C$53&gt;0,OR(Results!$E$4="Tissue",Results!$E$4="Cells")),((CA44*CA$51)/(CA$53)),IF(AND(Results!$E$5="Weight",$C$52&gt;0, Results!$E$4="Tissue",OR($B$52="g",$B$52="mg")),((CA44*CA$51)/(CA$52)),IF(AND(Results!$E$5="Volume",$C$54&gt;0,Results!$E$4="Fluid"),((CA44*CA$51)/(CA$54)),IF(AND(Results!$E$4="Cells",Results!$E$5="Million",$B$52="million"),((CA44*CA$51)/(CA$52)),"0")))))</f>
        <v>0</v>
      </c>
      <c r="CB97" s="20" t="str">
        <f>IF(CB44=0,"0",IF(AND(Results!$E$5="Protein",$C$53&gt;0,OR(Results!$E$4="Tissue",Results!$E$4="Cells")),((CB44*CB$51)/(CB$53)),IF(AND(Results!$E$5="Weight",$C$52&gt;0, Results!$E$4="Tissue",OR($B$52="g",$B$52="mg")),((CB44*CB$51)/(CB$52)),IF(AND(Results!$E$5="Volume",$C$54&gt;0,Results!$E$4="Fluid"),((CB44*CB$51)/(CB$54)),IF(AND(Results!$E$4="Cells",Results!$E$5="Million",$B$52="million"),((CB44*CB$51)/(CB$52)),"0")))))</f>
        <v>0</v>
      </c>
      <c r="CC97" s="20" t="str">
        <f>IF(CC44=0,"0",IF(AND(Results!$E$5="Protein",$C$53&gt;0,OR(Results!$E$4="Tissue",Results!$E$4="Cells")),((CC44*CC$51)/(CC$53)),IF(AND(Results!$E$5="Weight",$C$52&gt;0, Results!$E$4="Tissue",OR($B$52="g",$B$52="mg")),((CC44*CC$51)/(CC$52)),IF(AND(Results!$E$5="Volume",$C$54&gt;0,Results!$E$4="Fluid"),((CC44*CC$51)/(CC$54)),IF(AND(Results!$E$4="Cells",Results!$E$5="Million",$B$52="million"),((CC44*CC$51)/(CC$52)),"0")))))</f>
        <v>0</v>
      </c>
      <c r="CD97" s="20" t="str">
        <f>IF(CD44=0,"0",IF(AND(Results!$E$5="Protein",$C$53&gt;0,OR(Results!$E$4="Tissue",Results!$E$4="Cells")),((CD44*CD$51)/(CD$53)),IF(AND(Results!$E$5="Weight",$C$52&gt;0, Results!$E$4="Tissue",OR($B$52="g",$B$52="mg")),((CD44*CD$51)/(CD$52)),IF(AND(Results!$E$5="Volume",$C$54&gt;0,Results!$E$4="Fluid"),((CD44*CD$51)/(CD$54)),IF(AND(Results!$E$4="Cells",Results!$E$5="Million",$B$52="million"),((CD44*CD$51)/(CD$52)),"0")))))</f>
        <v>0</v>
      </c>
      <c r="CE97" s="20" t="str">
        <f>IF(CE44=0,"0",IF(AND(Results!$E$5="Protein",$C$53&gt;0,OR(Results!$E$4="Tissue",Results!$E$4="Cells")),((CE44*CE$51)/(CE$53)),IF(AND(Results!$E$5="Weight",$C$52&gt;0, Results!$E$4="Tissue",OR($B$52="g",$B$52="mg")),((CE44*CE$51)/(CE$52)),IF(AND(Results!$E$5="Volume",$C$54&gt;0,Results!$E$4="Fluid"),((CE44*CE$51)/(CE$54)),IF(AND(Results!$E$4="Cells",Results!$E$5="Million",$B$52="million"),((CE44*CE$51)/(CE$52)),"0")))))</f>
        <v>0</v>
      </c>
      <c r="CF97" s="20" t="str">
        <f>IF(CF44=0,"0",IF(AND(Results!$E$5="Protein",$C$53&gt;0,OR(Results!$E$4="Tissue",Results!$E$4="Cells")),((CF44*CF$51)/(CF$53)),IF(AND(Results!$E$5="Weight",$C$52&gt;0, Results!$E$4="Tissue",OR($B$52="g",$B$52="mg")),((CF44*CF$51)/(CF$52)),IF(AND(Results!$E$5="Volume",$C$54&gt;0,Results!$E$4="Fluid"),((CF44*CF$51)/(CF$54)),IF(AND(Results!$E$4="Cells",Results!$E$5="Million",$B$52="million"),((CF44*CF$51)/(CF$52)),"0")))))</f>
        <v>0</v>
      </c>
      <c r="CG97" s="20" t="str">
        <f>IF(CG44=0,"0",IF(AND(Results!$E$5="Protein",$C$53&gt;0,OR(Results!$E$4="Tissue",Results!$E$4="Cells")),((CG44*CG$51)/(CG$53)),IF(AND(Results!$E$5="Weight",$C$52&gt;0, Results!$E$4="Tissue",OR($B$52="g",$B$52="mg")),((CG44*CG$51)/(CG$52)),IF(AND(Results!$E$5="Volume",$C$54&gt;0,Results!$E$4="Fluid"),((CG44*CG$51)/(CG$54)),IF(AND(Results!$E$4="Cells",Results!$E$5="Million",$B$52="million"),((CG44*CG$51)/(CG$52)),"0")))))</f>
        <v>0</v>
      </c>
      <c r="CH97" s="20" t="str">
        <f>IF(CH44=0,"0",IF(AND(Results!$E$5="Protein",$C$53&gt;0,OR(Results!$E$4="Tissue",Results!$E$4="Cells")),((CH44*CH$51)/(CH$53)),IF(AND(Results!$E$5="Weight",$C$52&gt;0, Results!$E$4="Tissue",OR($B$52="g",$B$52="mg")),((CH44*CH$51)/(CH$52)),IF(AND(Results!$E$5="Volume",$C$54&gt;0,Results!$E$4="Fluid"),((CH44*CH$51)/(CH$54)),IF(AND(Results!$E$4="Cells",Results!$E$5="Million",$B$52="million"),((CH44*CH$51)/(CH$52)),"0")))))</f>
        <v>0</v>
      </c>
      <c r="CI97" s="20" t="str">
        <f>IF(CI44=0,"0",IF(AND(Results!$E$5="Protein",$C$53&gt;0,OR(Results!$E$4="Tissue",Results!$E$4="Cells")),((CI44*CI$51)/(CI$53)),IF(AND(Results!$E$5="Weight",$C$52&gt;0, Results!$E$4="Tissue",OR($B$52="g",$B$52="mg")),((CI44*CI$51)/(CI$52)),IF(AND(Results!$E$5="Volume",$C$54&gt;0,Results!$E$4="Fluid"),((CI44*CI$51)/(CI$54)),IF(AND(Results!$E$4="Cells",Results!$E$5="Million",$B$52="million"),((CI44*CI$51)/(CI$52)),"0")))))</f>
        <v>0</v>
      </c>
      <c r="CJ97" s="20" t="str">
        <f>IF(CJ44=0,"0",IF(AND(Results!$E$5="Protein",$C$53&gt;0,OR(Results!$E$4="Tissue",Results!$E$4="Cells")),((CJ44*CJ$51)/(CJ$53)),IF(AND(Results!$E$5="Weight",$C$52&gt;0, Results!$E$4="Tissue",OR($B$52="g",$B$52="mg")),((CJ44*CJ$51)/(CJ$52)),IF(AND(Results!$E$5="Volume",$C$54&gt;0,Results!$E$4="Fluid"),((CJ44*CJ$51)/(CJ$54)),IF(AND(Results!$E$4="Cells",Results!$E$5="Million",$B$52="million"),((CJ44*CJ$51)/(CJ$52)),"0")))))</f>
        <v>0</v>
      </c>
      <c r="CK97" s="20" t="str">
        <f>IF(CK44=0,"0",IF(AND(Results!$E$5="Protein",$C$53&gt;0,OR(Results!$E$4="Tissue",Results!$E$4="Cells")),((CK44*CK$51)/(CK$53)),IF(AND(Results!$E$5="Weight",$C$52&gt;0, Results!$E$4="Tissue",OR($B$52="g",$B$52="mg")),((CK44*CK$51)/(CK$52)),IF(AND(Results!$E$5="Volume",$C$54&gt;0,Results!$E$4="Fluid"),((CK44*CK$51)/(CK$54)),IF(AND(Results!$E$4="Cells",Results!$E$5="Million",$B$52="million"),((CK44*CK$51)/(CK$52)),"0")))))</f>
        <v>0</v>
      </c>
      <c r="CL97" s="20" t="str">
        <f>IF(CL44=0,"0",IF(AND(Results!$E$5="Protein",$C$53&gt;0,OR(Results!$E$4="Tissue",Results!$E$4="Cells")),((CL44*CL$51)/(CL$53)),IF(AND(Results!$E$5="Weight",$C$52&gt;0, Results!$E$4="Tissue",OR($B$52="g",$B$52="mg")),((CL44*CL$51)/(CL$52)),IF(AND(Results!$E$5="Volume",$C$54&gt;0,Results!$E$4="Fluid"),((CL44*CL$51)/(CL$54)),IF(AND(Results!$E$4="Cells",Results!$E$5="Million",$B$52="million"),((CL44*CL$51)/(CL$52)),"0")))))</f>
        <v>0</v>
      </c>
      <c r="CM97" s="20" t="str">
        <f>IF(CM44=0,"0",IF(AND(Results!$E$5="Protein",$C$53&gt;0,OR(Results!$E$4="Tissue",Results!$E$4="Cells")),((CM44*CM$51)/(CM$53)),IF(AND(Results!$E$5="Weight",$C$52&gt;0, Results!$E$4="Tissue",OR($B$52="g",$B$52="mg")),((CM44*CM$51)/(CM$52)),IF(AND(Results!$E$5="Volume",$C$54&gt;0,Results!$E$4="Fluid"),((CM44*CM$51)/(CM$54)),IF(AND(Results!$E$4="Cells",Results!$E$5="Million",$B$52="million"),((CM44*CM$51)/(CM$52)),"0")))))</f>
        <v>0</v>
      </c>
      <c r="CN97" s="20" t="str">
        <f>IF(CN44=0,"0",IF(AND(Results!$E$5="Protein",$C$53&gt;0,OR(Results!$E$4="Tissue",Results!$E$4="Cells")),((CN44*CN$51)/(CN$53)),IF(AND(Results!$E$5="Weight",$C$52&gt;0, Results!$E$4="Tissue",OR($B$52="g",$B$52="mg")),((CN44*CN$51)/(CN$52)),IF(AND(Results!$E$5="Volume",$C$54&gt;0,Results!$E$4="Fluid"),((CN44*CN$51)/(CN$54)),IF(AND(Results!$E$4="Cells",Results!$E$5="Million",$B$52="million"),((CN44*CN$51)/(CN$52)),"0")))))</f>
        <v>0</v>
      </c>
      <c r="CO97" s="20" t="str">
        <f>IF(CO44=0,"0",IF(AND(Results!$E$5="Protein",$C$53&gt;0,OR(Results!$E$4="Tissue",Results!$E$4="Cells")),((CO44*CO$51)/(CO$53)),IF(AND(Results!$E$5="Weight",$C$52&gt;0, Results!$E$4="Tissue",OR($B$52="g",$B$52="mg")),((CO44*CO$51)/(CO$52)),IF(AND(Results!$E$5="Volume",$C$54&gt;0,Results!$E$4="Fluid"),((CO44*CO$51)/(CO$54)),IF(AND(Results!$E$4="Cells",Results!$E$5="Million",$B$52="million"),((CO44*CO$51)/(CO$52)),"0")))))</f>
        <v>0</v>
      </c>
      <c r="CP97" s="20" t="str">
        <f>IF(CP44=0,"0",IF(AND(Results!$E$5="Protein",$C$53&gt;0,OR(Results!$E$4="Tissue",Results!$E$4="Cells")),((CP44*CP$51)/(CP$53)),IF(AND(Results!$E$5="Weight",$C$52&gt;0, Results!$E$4="Tissue",OR($B$52="g",$B$52="mg")),((CP44*CP$51)/(CP$52)),IF(AND(Results!$E$5="Volume",$C$54&gt;0,Results!$E$4="Fluid"),((CP44*CP$51)/(CP$54)),IF(AND(Results!$E$4="Cells",Results!$E$5="Million",$B$52="million"),((CP44*CP$51)/(CP$52)),"0")))))</f>
        <v>0</v>
      </c>
      <c r="CQ97" s="20" t="str">
        <f>IF(CQ44=0,"0",IF(AND(Results!$E$5="Protein",$C$53&gt;0,OR(Results!$E$4="Tissue",Results!$E$4="Cells")),((CQ44*CQ$51)/(CQ$53)),IF(AND(Results!$E$5="Weight",$C$52&gt;0, Results!$E$4="Tissue",OR($B$52="g",$B$52="mg")),((CQ44*CQ$51)/(CQ$52)),IF(AND(Results!$E$5="Volume",$C$54&gt;0,Results!$E$4="Fluid"),((CQ44*CQ$51)/(CQ$54)),IF(AND(Results!$E$4="Cells",Results!$E$5="Million",$B$52="million"),((CQ44*CQ$51)/(CQ$52)),"0")))))</f>
        <v>0</v>
      </c>
      <c r="CR97" s="20" t="str">
        <f>IF(CR44=0,"0",IF(AND(Results!$E$5="Protein",$C$53&gt;0,OR(Results!$E$4="Tissue",Results!$E$4="Cells")),((CR44*CR$51)/(CR$53)),IF(AND(Results!$E$5="Weight",$C$52&gt;0, Results!$E$4="Tissue",OR($B$52="g",$B$52="mg")),((CR44*CR$51)/(CR$52)),IF(AND(Results!$E$5="Volume",$C$54&gt;0,Results!$E$4="Fluid"),((CR44*CR$51)/(CR$54)),IF(AND(Results!$E$4="Cells",Results!$E$5="Million",$B$52="million"),((CR44*CR$51)/(CR$52)),"0")))))</f>
        <v>0</v>
      </c>
      <c r="CS97" s="20" t="str">
        <f>IF(CS44=0,"0",IF(AND(Results!$E$5="Protein",$C$53&gt;0,OR(Results!$E$4="Tissue",Results!$E$4="Cells")),((CS44*CS$51)/(CS$53)),IF(AND(Results!$E$5="Weight",$C$52&gt;0, Results!$E$4="Tissue",OR($B$52="g",$B$52="mg")),((CS44*CS$51)/(CS$52)),IF(AND(Results!$E$5="Volume",$C$54&gt;0,Results!$E$4="Fluid"),((CS44*CS$51)/(CS$54)),IF(AND(Results!$E$4="Cells",Results!$E$5="Million",$B$52="million"),((CS44*CS$51)/(CS$52)),"0")))))</f>
        <v>0</v>
      </c>
      <c r="CT97" s="20" t="str">
        <f>IF(CT44=0,"0",IF(AND(Results!$E$5="Protein",$C$53&gt;0,OR(Results!$E$4="Tissue",Results!$E$4="Cells")),((CT44*CT$51)/(CT$53)),IF(AND(Results!$E$5="Weight",$C$52&gt;0, Results!$E$4="Tissue",OR($B$52="g",$B$52="mg")),((CT44*CT$51)/(CT$52)),IF(AND(Results!$E$5="Volume",$C$54&gt;0,Results!$E$4="Fluid"),((CT44*CT$51)/(CT$54)),IF(AND(Results!$E$4="Cells",Results!$E$5="Million",$B$52="million"),((CT44*CT$51)/(CT$52)),"0")))))</f>
        <v>0</v>
      </c>
      <c r="CU97" s="20" t="str">
        <f>IF(CU44=0,"0",IF(AND(Results!$E$5="Protein",$C$53&gt;0,OR(Results!$E$4="Tissue",Results!$E$4="Cells")),((CU44*CU$51)/(CU$53)),IF(AND(Results!$E$5="Weight",$C$52&gt;0, Results!$E$4="Tissue",OR($B$52="g",$B$52="mg")),((CU44*CU$51)/(CU$52)),IF(AND(Results!$E$5="Volume",$C$54&gt;0,Results!$E$4="Fluid"),((CU44*CU$51)/(CU$54)),IF(AND(Results!$E$4="Cells",Results!$E$5="Million",$B$52="million"),((CU44*CU$51)/(CU$52)),"0")))))</f>
        <v>0</v>
      </c>
      <c r="CV97" s="20" t="str">
        <f>IF(CV44=0,"0",IF(AND(Results!$E$5="Protein",$C$53&gt;0,OR(Results!$E$4="Tissue",Results!$E$4="Cells")),((CV44*CV$51)/(CV$53)),IF(AND(Results!$E$5="Weight",$C$52&gt;0, Results!$E$4="Tissue",OR($B$52="g",$B$52="mg")),((CV44*CV$51)/(CV$52)),IF(AND(Results!$E$5="Volume",$C$54&gt;0,Results!$E$4="Fluid"),((CV44*CV$51)/(CV$54)),IF(AND(Results!$E$4="Cells",Results!$E$5="Million",$B$52="million"),((CV44*CV$51)/(CV$52)),"0")))))</f>
        <v>0</v>
      </c>
      <c r="CW97" s="20" t="str">
        <f>IF(CW44=0,"0",IF(AND(Results!$E$5="Protein",$C$53&gt;0,OR(Results!$E$4="Tissue",Results!$E$4="Cells")),((CW44*CW$51)/(CW$53)),IF(AND(Results!$E$5="Weight",$C$52&gt;0, Results!$E$4="Tissue",OR($B$52="g",$B$52="mg")),((CW44*CW$51)/(CW$52)),IF(AND(Results!$E$5="Volume",$C$54&gt;0,Results!$E$4="Fluid"),((CW44*CW$51)/(CW$54)),IF(AND(Results!$E$4="Cells",Results!$E$5="Million",$B$52="million"),((CW44*CW$51)/(CW$52)),"0")))))</f>
        <v>0</v>
      </c>
      <c r="CX97" s="20" t="str">
        <f>IF(CX44=0,"0",IF(AND(Results!$E$5="Protein",$C$53&gt;0,OR(Results!$E$4="Tissue",Results!$E$4="Cells")),((CX44*CX$51)/(CX$53)),IF(AND(Results!$E$5="Weight",$C$52&gt;0, Results!$E$4="Tissue",OR($B$52="g",$B$52="mg")),((CX44*CX$51)/(CX$52)),IF(AND(Results!$E$5="Volume",$C$54&gt;0,Results!$E$4="Fluid"),((CX44*CX$51)/(CX$54)),IF(AND(Results!$E$4="Cells",Results!$E$5="Million",$B$52="million"),((CX44*CX$51)/(CX$52)),"0")))))</f>
        <v>0</v>
      </c>
      <c r="CY97" s="20" t="str">
        <f>IF(CY44=0,"0",IF(AND(Results!$E$5="Protein",$C$53&gt;0,OR(Results!$E$4="Tissue",Results!$E$4="Cells")),((CY44*CY$51)/(CY$53)),IF(AND(Results!$E$5="Weight",$C$52&gt;0, Results!$E$4="Tissue",OR($B$52="g",$B$52="mg")),((CY44*CY$51)/(CY$52)),IF(AND(Results!$E$5="Volume",$C$54&gt;0,Results!$E$4="Fluid"),((CY44*CY$51)/(CY$54)),IF(AND(Results!$E$4="Cells",Results!$E$5="Million",$B$52="million"),((CY44*CY$51)/(CY$52)),"0")))))</f>
        <v>0</v>
      </c>
      <c r="CZ97" s="20" t="str">
        <f>IF(CZ44=0,"0",IF(AND(Results!$E$5="Protein",$C$53&gt;0,OR(Results!$E$4="Tissue",Results!$E$4="Cells")),((CZ44*CZ$51)/(CZ$53)),IF(AND(Results!$E$5="Weight",$C$52&gt;0, Results!$E$4="Tissue",OR($B$52="g",$B$52="mg")),((CZ44*CZ$51)/(CZ$52)),IF(AND(Results!$E$5="Volume",$C$54&gt;0,Results!$E$4="Fluid"),((CZ44*CZ$51)/(CZ$54)),IF(AND(Results!$E$4="Cells",Results!$E$5="Million",$B$52="million"),((CZ44*CZ$51)/(CZ$52)),"0")))))</f>
        <v>0</v>
      </c>
      <c r="DA97" s="20" t="str">
        <f>IF(DA44=0,"0",IF(AND(Results!$E$5="Protein",$C$53&gt;0,OR(Results!$E$4="Tissue",Results!$E$4="Cells")),((DA44*DA$51)/(DA$53)),IF(AND(Results!$E$5="Weight",$C$52&gt;0, Results!$E$4="Tissue",OR($B$52="g",$B$52="mg")),((DA44*DA$51)/(DA$52)),IF(AND(Results!$E$5="Volume",$C$54&gt;0,Results!$E$4="Fluid"),((DA44*DA$51)/(DA$54)),IF(AND(Results!$E$4="Cells",Results!$E$5="Million",$B$52="million"),((DA44*DA$51)/(DA$52)),"0")))))</f>
        <v>0</v>
      </c>
      <c r="DB97" s="20" t="str">
        <f>IF(DB44=0,"0",IF(AND(Results!$E$5="Protein",$C$53&gt;0,OR(Results!$E$4="Tissue",Results!$E$4="Cells")),((DB44*DB$51)/(DB$53)),IF(AND(Results!$E$5="Weight",$C$52&gt;0, Results!$E$4="Tissue",OR($B$52="g",$B$52="mg")),((DB44*DB$51)/(DB$52)),IF(AND(Results!$E$5="Volume",$C$54&gt;0,Results!$E$4="Fluid"),((DB44*DB$51)/(DB$54)),IF(AND(Results!$E$4="Cells",Results!$E$5="Million",$B$52="million"),((DB44*DB$51)/(DB$52)),"0")))))</f>
        <v>0</v>
      </c>
      <c r="DC97" s="20" t="str">
        <f>IF(DC44=0,"0",IF(AND(Results!$E$5="Protein",$C$53&gt;0,OR(Results!$E$4="Tissue",Results!$E$4="Cells")),((DC44*DC$51)/(DC$53)),IF(AND(Results!$E$5="Weight",$C$52&gt;0, Results!$E$4="Tissue",OR($B$52="g",$B$52="mg")),((DC44*DC$51)/(DC$52)),IF(AND(Results!$E$5="Volume",$C$54&gt;0,Results!$E$4="Fluid"),((DC44*DC$51)/(DC$54)),IF(AND(Results!$E$4="Cells",Results!$E$5="Million",$B$52="million"),((DC44*DC$51)/(DC$52)),"0")))))</f>
        <v>0</v>
      </c>
      <c r="DD97" s="20" t="str">
        <f>IF(DD44=0,"0",IF(AND(Results!$E$5="Protein",$C$53&gt;0,OR(Results!$E$4="Tissue",Results!$E$4="Cells")),((DD44*DD$51)/(DD$53)),IF(AND(Results!$E$5="Weight",$C$52&gt;0, Results!$E$4="Tissue",OR($B$52="g",$B$52="mg")),((DD44*DD$51)/(DD$52)),IF(AND(Results!$E$5="Volume",$C$54&gt;0,Results!$E$4="Fluid"),((DD44*DD$51)/(DD$54)),IF(AND(Results!$E$4="Cells",Results!$E$5="Million",$B$52="million"),((DD44*DD$51)/(DD$52)),"0")))))</f>
        <v>0</v>
      </c>
      <c r="DE97" s="20" t="str">
        <f>IF(DE44=0,"0",IF(AND(Results!$E$5="Protein",$C$53&gt;0,OR(Results!$E$4="Tissue",Results!$E$4="Cells")),((DE44*DE$51)/(DE$53)),IF(AND(Results!$E$5="Weight",$C$52&gt;0, Results!$E$4="Tissue",OR($B$52="g",$B$52="mg")),((DE44*DE$51)/(DE$52)),IF(AND(Results!$E$5="Volume",$C$54&gt;0,Results!$E$4="Fluid"),((DE44*DE$51)/(DE$54)),IF(AND(Results!$E$4="Cells",Results!$E$5="Million",$B$52="million"),((DE44*DE$51)/(DE$52)),"0")))))</f>
        <v>0</v>
      </c>
      <c r="DF97" s="20" t="str">
        <f>IF(DF44=0,"0",IF(AND(Results!$E$5="Protein",$C$53&gt;0,OR(Results!$E$4="Tissue",Results!$E$4="Cells")),((DF44*DF$51)/(DF$53)),IF(AND(Results!$E$5="Weight",$C$52&gt;0, Results!$E$4="Tissue",OR($B$52="g",$B$52="mg")),((DF44*DF$51)/(DF$52)),IF(AND(Results!$E$5="Volume",$C$54&gt;0,Results!$E$4="Fluid"),((DF44*DF$51)/(DF$54)),IF(AND(Results!$E$4="Cells",Results!$E$5="Million",$B$52="million"),((DF44*DF$51)/(DF$52)),"0")))))</f>
        <v>0</v>
      </c>
      <c r="DG97" s="20" t="str">
        <f>IF(DG44=0,"0",IF(AND(Results!$E$5="Protein",$C$53&gt;0,OR(Results!$E$4="Tissue",Results!$E$4="Cells")),((DG44*DG$51)/(DG$53)),IF(AND(Results!$E$5="Weight",$C$52&gt;0, Results!$E$4="Tissue",OR($B$52="g",$B$52="mg")),((DG44*DG$51)/(DG$52)),IF(AND(Results!$E$5="Volume",$C$54&gt;0,Results!$E$4="Fluid"),((DG44*DG$51)/(DG$54)),IF(AND(Results!$E$4="Cells",Results!$E$5="Million",$B$52="million"),((DG44*DG$51)/(DG$52)),"0")))))</f>
        <v>0</v>
      </c>
      <c r="DH97" s="20" t="str">
        <f>IF(DH44=0,"0",IF(AND(Results!$E$5="Protein",$C$53&gt;0,OR(Results!$E$4="Tissue",Results!$E$4="Cells")),((DH44*DH$51)/(DH$53)),IF(AND(Results!$E$5="Weight",$C$52&gt;0, Results!$E$4="Tissue",OR($B$52="g",$B$52="mg")),((DH44*DH$51)/(DH$52)),IF(AND(Results!$E$5="Volume",$C$54&gt;0,Results!$E$4="Fluid"),((DH44*DH$51)/(DH$54)),IF(AND(Results!$E$4="Cells",Results!$E$5="Million",$B$52="million"),((DH44*DH$51)/(DH$52)),"0")))))</f>
        <v>0</v>
      </c>
      <c r="DI97" s="20" t="str">
        <f>IF(DI44=0,"0",IF(AND(Results!$E$5="Protein",$C$53&gt;0,OR(Results!$E$4="Tissue",Results!$E$4="Cells")),((DI44*DI$51)/(DI$53)),IF(AND(Results!$E$5="Weight",$C$52&gt;0, Results!$E$4="Tissue",OR($B$52="g",$B$52="mg")),((DI44*DI$51)/(DI$52)),IF(AND(Results!$E$5="Volume",$C$54&gt;0,Results!$E$4="Fluid"),((DI44*DI$51)/(DI$54)),IF(AND(Results!$E$4="Cells",Results!$E$5="Million",$B$52="million"),((DI44*DI$51)/(DI$52)),"0")))))</f>
        <v>0</v>
      </c>
      <c r="DJ97" s="20" t="str">
        <f>IF(DJ44=0,"0",IF(AND(Results!$E$5="Protein",$C$53&gt;0,OR(Results!$E$4="Tissue",Results!$E$4="Cells")),((DJ44*DJ$51)/(DJ$53)),IF(AND(Results!$E$5="Weight",$C$52&gt;0, Results!$E$4="Tissue",OR($B$52="g",$B$52="mg")),((DJ44*DJ$51)/(DJ$52)),IF(AND(Results!$E$5="Volume",$C$54&gt;0,Results!$E$4="Fluid"),((DJ44*DJ$51)/(DJ$54)),IF(AND(Results!$E$4="Cells",Results!$E$5="Million",$B$52="million"),((DJ44*DJ$51)/(DJ$52)),"0")))))</f>
        <v>0</v>
      </c>
      <c r="DK97" s="20" t="str">
        <f>IF(DK44=0,"0",IF(AND(Results!$E$5="Protein",$C$53&gt;0,OR(Results!$E$4="Tissue",Results!$E$4="Cells")),((DK44*DK$51)/(DK$53)),IF(AND(Results!$E$5="Weight",$C$52&gt;0, Results!$E$4="Tissue",OR($B$52="g",$B$52="mg")),((DK44*DK$51)/(DK$52)),IF(AND(Results!$E$5="Volume",$C$54&gt;0,Results!$E$4="Fluid"),((DK44*DK$51)/(DK$54)),IF(AND(Results!$E$4="Cells",Results!$E$5="Million",$B$52="million"),((DK44*DK$51)/(DK$52)),"0")))))</f>
        <v>0</v>
      </c>
      <c r="DL97" s="20" t="str">
        <f>IF(DL44=0,"0",IF(AND(Results!$E$5="Protein",$C$53&gt;0,OR(Results!$E$4="Tissue",Results!$E$4="Cells")),((DL44*DL$51)/(DL$53)),IF(AND(Results!$E$5="Weight",$C$52&gt;0, Results!$E$4="Tissue",OR($B$52="g",$B$52="mg")),((DL44*DL$51)/(DL$52)),IF(AND(Results!$E$5="Volume",$C$54&gt;0,Results!$E$4="Fluid"),((DL44*DL$51)/(DL$54)),IF(AND(Results!$E$4="Cells",Results!$E$5="Million",$B$52="million"),((DL44*DL$51)/(DL$52)),"0")))))</f>
        <v>0</v>
      </c>
      <c r="DM97" s="20" t="str">
        <f>IF(DM44=0,"0",IF(AND(Results!$E$5="Protein",$C$53&gt;0,OR(Results!$E$4="Tissue",Results!$E$4="Cells")),((DM44*DM$51)/(DM$53)),IF(AND(Results!$E$5="Weight",$C$52&gt;0, Results!$E$4="Tissue",OR($B$52="g",$B$52="mg")),((DM44*DM$51)/(DM$52)),IF(AND(Results!$E$5="Volume",$C$54&gt;0,Results!$E$4="Fluid"),((DM44*DM$51)/(DM$54)),IF(AND(Results!$E$4="Cells",Results!$E$5="Million",$B$52="million"),((DM44*DM$51)/(DM$52)),"0")))))</f>
        <v>0</v>
      </c>
      <c r="DN97" s="20" t="str">
        <f>IF(DN44=0,"0",IF(AND(Results!$E$5="Protein",$C$53&gt;0,OR(Results!$E$4="Tissue",Results!$E$4="Cells")),((DN44*DN$51)/(DN$53)),IF(AND(Results!$E$5="Weight",$C$52&gt;0, Results!$E$4="Tissue",OR($B$52="g",$B$52="mg")),((DN44*DN$51)/(DN$52)),IF(AND(Results!$E$5="Volume",$C$54&gt;0,Results!$E$4="Fluid"),((DN44*DN$51)/(DN$54)),IF(AND(Results!$E$4="Cells",Results!$E$5="Million",$B$52="million"),((DN44*DN$51)/(DN$52)),"0")))))</f>
        <v>0</v>
      </c>
      <c r="DO97" s="20" t="str">
        <f>IF(DO44=0,"0",IF(AND(Results!$E$5="Protein",$C$53&gt;0,OR(Results!$E$4="Tissue",Results!$E$4="Cells")),((DO44*DO$51)/(DO$53)),IF(AND(Results!$E$5="Weight",$C$52&gt;0, Results!$E$4="Tissue",OR($B$52="g",$B$52="mg")),((DO44*DO$51)/(DO$52)),IF(AND(Results!$E$5="Volume",$C$54&gt;0,Results!$E$4="Fluid"),((DO44*DO$51)/(DO$54)),IF(AND(Results!$E$4="Cells",Results!$E$5="Million",$B$52="million"),((DO44*DO$51)/(DO$52)),"0")))))</f>
        <v>0</v>
      </c>
      <c r="DP97" s="20" t="str">
        <f>IF(DP44=0,"0",IF(AND(Results!$E$5="Protein",$C$53&gt;0,OR(Results!$E$4="Tissue",Results!$E$4="Cells")),((DP44*DP$51)/(DP$53)),IF(AND(Results!$E$5="Weight",$C$52&gt;0, Results!$E$4="Tissue",OR($B$52="g",$B$52="mg")),((DP44*DP$51)/(DP$52)),IF(AND(Results!$E$5="Volume",$C$54&gt;0,Results!$E$4="Fluid"),((DP44*DP$51)/(DP$54)),IF(AND(Results!$E$4="Cells",Results!$E$5="Million",$B$52="million"),((DP44*DP$51)/(DP$52)),"0")))))</f>
        <v>0</v>
      </c>
      <c r="DQ97" s="20" t="str">
        <f>IF(DQ44=0,"0",IF(AND(Results!$E$5="Protein",$C$53&gt;0,OR(Results!$E$4="Tissue",Results!$E$4="Cells")),((DQ44*DQ$51)/(DQ$53)),IF(AND(Results!$E$5="Weight",$C$52&gt;0, Results!$E$4="Tissue",OR($B$52="g",$B$52="mg")),((DQ44*DQ$51)/(DQ$52)),IF(AND(Results!$E$5="Volume",$C$54&gt;0,Results!$E$4="Fluid"),((DQ44*DQ$51)/(DQ$54)),IF(AND(Results!$E$4="Cells",Results!$E$5="Million",$B$52="million"),((DQ44*DQ$51)/(DQ$52)),"0")))))</f>
        <v>0</v>
      </c>
      <c r="DR97" s="20" t="str">
        <f>IF(DR44=0,"0",IF(AND(Results!$E$5="Protein",$C$53&gt;0,OR(Results!$E$4="Tissue",Results!$E$4="Cells")),((DR44*DR$51)/(DR$53)),IF(AND(Results!$E$5="Weight",$C$52&gt;0, Results!$E$4="Tissue",OR($B$52="g",$B$52="mg")),((DR44*DR$51)/(DR$52)),IF(AND(Results!$E$5="Volume",$C$54&gt;0,Results!$E$4="Fluid"),((DR44*DR$51)/(DR$54)),IF(AND(Results!$E$4="Cells",Results!$E$5="Million",$B$52="million"),((DR44*DR$51)/(DR$52)),"0")))))</f>
        <v>0</v>
      </c>
      <c r="DS97" s="20" t="str">
        <f>IF(DS44=0,"0",IF(AND(Results!$E$5="Protein",$C$53&gt;0,OR(Results!$E$4="Tissue",Results!$E$4="Cells")),((DS44*DS$51)/(DS$53)),IF(AND(Results!$E$5="Weight",$C$52&gt;0, Results!$E$4="Tissue",OR($B$52="g",$B$52="mg")),((DS44*DS$51)/(DS$52)),IF(AND(Results!$E$5="Volume",$C$54&gt;0,Results!$E$4="Fluid"),((DS44*DS$51)/(DS$54)),IF(AND(Results!$E$4="Cells",Results!$E$5="Million",$B$52="million"),((DS44*DS$51)/(DS$52)),"0")))))</f>
        <v>0</v>
      </c>
      <c r="DT97" s="20" t="str">
        <f>IF(DT44=0,"0",IF(AND(Results!$E$5="Protein",$C$53&gt;0,OR(Results!$E$4="Tissue",Results!$E$4="Cells")),((DT44*DT$51)/(DT$53)),IF(AND(Results!$E$5="Weight",$C$52&gt;0, Results!$E$4="Tissue",OR($B$52="g",$B$52="mg")),((DT44*DT$51)/(DT$52)),IF(AND(Results!$E$5="Volume",$C$54&gt;0,Results!$E$4="Fluid"),((DT44*DT$51)/(DT$54)),IF(AND(Results!$E$4="Cells",Results!$E$5="Million",$B$52="million"),((DT44*DT$51)/(DT$52)),"0")))))</f>
        <v>0</v>
      </c>
      <c r="DU97" s="20" t="str">
        <f>IF(DU44=0,"0",IF(AND(Results!$E$5="Protein",$C$53&gt;0,OR(Results!$E$4="Tissue",Results!$E$4="Cells")),((DU44*DU$51)/(DU$53)),IF(AND(Results!$E$5="Weight",$C$52&gt;0, Results!$E$4="Tissue",OR($B$52="g",$B$52="mg")),((DU44*DU$51)/(DU$52)),IF(AND(Results!$E$5="Volume",$C$54&gt;0,Results!$E$4="Fluid"),((DU44*DU$51)/(DU$54)),IF(AND(Results!$E$4="Cells",Results!$E$5="Million",$B$52="million"),((DU44*DU$51)/(DU$52)),"0")))))</f>
        <v>0</v>
      </c>
      <c r="DV97" s="20" t="str">
        <f>IF(DV44=0,"0",IF(AND(Results!$E$5="Protein",$C$53&gt;0,OR(Results!$E$4="Tissue",Results!$E$4="Cells")),((DV44*DV$51)/(DV$53)),IF(AND(Results!$E$5="Weight",$C$52&gt;0, Results!$E$4="Tissue",OR($B$52="g",$B$52="mg")),((DV44*DV$51)/(DV$52)),IF(AND(Results!$E$5="Volume",$C$54&gt;0,Results!$E$4="Fluid"),((DV44*DV$51)/(DV$54)),IF(AND(Results!$E$4="Cells",Results!$E$5="Million",$B$52="million"),((DV44*DV$51)/(DV$52)),"0")))))</f>
        <v>0</v>
      </c>
      <c r="DW97" s="20" t="str">
        <f>IF(DW44=0,"0",IF(AND(Results!$E$5="Protein",$C$53&gt;0,OR(Results!$E$4="Tissue",Results!$E$4="Cells")),((DW44*DW$51)/(DW$53)),IF(AND(Results!$E$5="Weight",$C$52&gt;0, Results!$E$4="Tissue",OR($B$52="g",$B$52="mg")),((DW44*DW$51)/(DW$52)),IF(AND(Results!$E$5="Volume",$C$54&gt;0,Results!$E$4="Fluid"),((DW44*DW$51)/(DW$54)),IF(AND(Results!$E$4="Cells",Results!$E$5="Million",$B$52="million"),((DW44*DW$51)/(DW$52)),"0")))))</f>
        <v>0</v>
      </c>
      <c r="DX97" s="20" t="str">
        <f>IF(DX44=0,"0",IF(AND(Results!$E$5="Protein",$C$53&gt;0,OR(Results!$E$4="Tissue",Results!$E$4="Cells")),((DX44*DX$51)/(DX$53)),IF(AND(Results!$E$5="Weight",$C$52&gt;0, Results!$E$4="Tissue",OR($B$52="g",$B$52="mg")),((DX44*DX$51)/(DX$52)),IF(AND(Results!$E$5="Volume",$C$54&gt;0,Results!$E$4="Fluid"),((DX44*DX$51)/(DX$54)),IF(AND(Results!$E$4="Cells",Results!$E$5="Million",$B$52="million"),((DX44*DX$51)/(DX$52)),"0")))))</f>
        <v>0</v>
      </c>
      <c r="DY97" s="20" t="str">
        <f>IF(DY44=0,"0",IF(AND(Results!$E$5="Protein",$C$53&gt;0,OR(Results!$E$4="Tissue",Results!$E$4="Cells")),((DY44*DY$51)/(DY$53)),IF(AND(Results!$E$5="Weight",$C$52&gt;0, Results!$E$4="Tissue",OR($B$52="g",$B$52="mg")),((DY44*DY$51)/(DY$52)),IF(AND(Results!$E$5="Volume",$C$54&gt;0,Results!$E$4="Fluid"),((DY44*DY$51)/(DY$54)),IF(AND(Results!$E$4="Cells",Results!$E$5="Million",$B$52="million"),((DY44*DY$51)/(DY$52)),"0")))))</f>
        <v>0</v>
      </c>
      <c r="DZ97" s="20" t="str">
        <f>IF(DZ44=0,"0",IF(AND(Results!$E$5="Protein",$C$53&gt;0,OR(Results!$E$4="Tissue",Results!$E$4="Cells")),((DZ44*DZ$51)/(DZ$53)),IF(AND(Results!$E$5="Weight",$C$52&gt;0, Results!$E$4="Tissue",OR($B$52="g",$B$52="mg")),((DZ44*DZ$51)/(DZ$52)),IF(AND(Results!$E$5="Volume",$C$54&gt;0,Results!$E$4="Fluid"),((DZ44*DZ$51)/(DZ$54)),IF(AND(Results!$E$4="Cells",Results!$E$5="Million",$B$52="million"),((DZ44*DZ$51)/(DZ$52)),"0")))))</f>
        <v>0</v>
      </c>
      <c r="EA97" s="20" t="str">
        <f>IF(EA44=0,"0",IF(AND(Results!$E$5="Protein",$C$53&gt;0,OR(Results!$E$4="Tissue",Results!$E$4="Cells")),((EA44*EA$51)/(EA$53)),IF(AND(Results!$E$5="Weight",$C$52&gt;0, Results!$E$4="Tissue",OR($B$52="g",$B$52="mg")),((EA44*EA$51)/(EA$52)),IF(AND(Results!$E$5="Volume",$C$54&gt;0,Results!$E$4="Fluid"),((EA44*EA$51)/(EA$54)),IF(AND(Results!$E$4="Cells",Results!$E$5="Million",$B$52="million"),((EA44*EA$51)/(EA$52)),"0")))))</f>
        <v>0</v>
      </c>
      <c r="EB97" s="20" t="str">
        <f>IF(EB44=0,"0",IF(AND(Results!$E$5="Protein",$C$53&gt;0,OR(Results!$E$4="Tissue",Results!$E$4="Cells")),((EB44*EB$51)/(EB$53)),IF(AND(Results!$E$5="Weight",$C$52&gt;0, Results!$E$4="Tissue",OR($B$52="g",$B$52="mg")),((EB44*EB$51)/(EB$52)),IF(AND(Results!$E$5="Volume",$C$54&gt;0,Results!$E$4="Fluid"),((EB44*EB$51)/(EB$54)),IF(AND(Results!$E$4="Cells",Results!$E$5="Million",$B$52="million"),((EB44*EB$51)/(EB$52)),"0")))))</f>
        <v>0</v>
      </c>
      <c r="EC97" s="20" t="str">
        <f>IF(EC44=0,"0",IF(AND(Results!$E$5="Protein",$C$53&gt;0,OR(Results!$E$4="Tissue",Results!$E$4="Cells")),((EC44*EC$51)/(EC$53)),IF(AND(Results!$E$5="Weight",$C$52&gt;0, Results!$E$4="Tissue",OR($B$52="g",$B$52="mg")),((EC44*EC$51)/(EC$52)),IF(AND(Results!$E$5="Volume",$C$54&gt;0,Results!$E$4="Fluid"),((EC44*EC$51)/(EC$54)),IF(AND(Results!$E$4="Cells",Results!$E$5="Million",$B$52="million"),((EC44*EC$51)/(EC$52)),"0")))))</f>
        <v>0</v>
      </c>
      <c r="ED97" s="20" t="str">
        <f>IF(ED44=0,"0",IF(AND(Results!$E$5="Protein",$C$53&gt;0,OR(Results!$E$4="Tissue",Results!$E$4="Cells")),((ED44*ED$51)/(ED$53)),IF(AND(Results!$E$5="Weight",$C$52&gt;0, Results!$E$4="Tissue",OR($B$52="g",$B$52="mg")),((ED44*ED$51)/(ED$52)),IF(AND(Results!$E$5="Volume",$C$54&gt;0,Results!$E$4="Fluid"),((ED44*ED$51)/(ED$54)),IF(AND(Results!$E$4="Cells",Results!$E$5="Million",$B$52="million"),((ED44*ED$51)/(ED$52)),"0")))))</f>
        <v>0</v>
      </c>
      <c r="EE97" s="20" t="str">
        <f>IF(EE44=0,"0",IF(AND(Results!$E$5="Protein",$C$53&gt;0,OR(Results!$E$4="Tissue",Results!$E$4="Cells")),((EE44*EE$51)/(EE$53)),IF(AND(Results!$E$5="Weight",$C$52&gt;0, Results!$E$4="Tissue",OR($B$52="g",$B$52="mg")),((EE44*EE$51)/(EE$52)),IF(AND(Results!$E$5="Volume",$C$54&gt;0,Results!$E$4="Fluid"),((EE44*EE$51)/(EE$54)),IF(AND(Results!$E$4="Cells",Results!$E$5="Million",$B$52="million"),((EE44*EE$51)/(EE$52)),"0")))))</f>
        <v>0</v>
      </c>
      <c r="EF97" s="20" t="str">
        <f>IF(EF44=0,"0",IF(AND(Results!$E$5="Protein",$C$53&gt;0,OR(Results!$E$4="Tissue",Results!$E$4="Cells")),((EF44*EF$51)/(EF$53)),IF(AND(Results!$E$5="Weight",$C$52&gt;0, Results!$E$4="Tissue",OR($B$52="g",$B$52="mg")),((EF44*EF$51)/(EF$52)),IF(AND(Results!$E$5="Volume",$C$54&gt;0,Results!$E$4="Fluid"),((EF44*EF$51)/(EF$54)),IF(AND(Results!$E$4="Cells",Results!$E$5="Million",$B$52="million"),((EF44*EF$51)/(EF$52)),"0")))))</f>
        <v>0</v>
      </c>
      <c r="EG97" s="20" t="str">
        <f>IF(EG44=0,"0",IF(AND(Results!$E$5="Protein",$C$53&gt;0,OR(Results!$E$4="Tissue",Results!$E$4="Cells")),((EG44*EG$51)/(EG$53)),IF(AND(Results!$E$5="Weight",$C$52&gt;0, Results!$E$4="Tissue",OR($B$52="g",$B$52="mg")),((EG44*EG$51)/(EG$52)),IF(AND(Results!$E$5="Volume",$C$54&gt;0,Results!$E$4="Fluid"),((EG44*EG$51)/(EG$54)),IF(AND(Results!$E$4="Cells",Results!$E$5="Million",$B$52="million"),((EG44*EG$51)/(EG$52)),"0")))))</f>
        <v>0</v>
      </c>
      <c r="EH97" s="20" t="str">
        <f>IF(EH44=0,"0",IF(AND(Results!$E$5="Protein",$C$53&gt;0,OR(Results!$E$4="Tissue",Results!$E$4="Cells")),((EH44*EH$51)/(EH$53)),IF(AND(Results!$E$5="Weight",$C$52&gt;0, Results!$E$4="Tissue",OR($B$52="g",$B$52="mg")),((EH44*EH$51)/(EH$52)),IF(AND(Results!$E$5="Volume",$C$54&gt;0,Results!$E$4="Fluid"),((EH44*EH$51)/(EH$54)),IF(AND(Results!$E$4="Cells",Results!$E$5="Million",$B$52="million"),((EH44*EH$51)/(EH$52)),"0")))))</f>
        <v>0</v>
      </c>
      <c r="EI97" s="20" t="str">
        <f>IF(EI44=0,"0",IF(AND(Results!$E$5="Protein",$C$53&gt;0,OR(Results!$E$4="Tissue",Results!$E$4="Cells")),((EI44*EI$51)/(EI$53)),IF(AND(Results!$E$5="Weight",$C$52&gt;0, Results!$E$4="Tissue",OR($B$52="g",$B$52="mg")),((EI44*EI$51)/(EI$52)),IF(AND(Results!$E$5="Volume",$C$54&gt;0,Results!$E$4="Fluid"),((EI44*EI$51)/(EI$54)),IF(AND(Results!$E$4="Cells",Results!$E$5="Million",$B$52="million"),((EI44*EI$51)/(EI$52)),"0")))))</f>
        <v>0</v>
      </c>
      <c r="EJ97" s="20" t="str">
        <f>IF(EJ44=0,"0",IF(AND(Results!$E$5="Protein",$C$53&gt;0,OR(Results!$E$4="Tissue",Results!$E$4="Cells")),((EJ44*EJ$51)/(EJ$53)),IF(AND(Results!$E$5="Weight",$C$52&gt;0, Results!$E$4="Tissue",OR($B$52="g",$B$52="mg")),((EJ44*EJ$51)/(EJ$52)),IF(AND(Results!$E$5="Volume",$C$54&gt;0,Results!$E$4="Fluid"),((EJ44*EJ$51)/(EJ$54)),IF(AND(Results!$E$4="Cells",Results!$E$5="Million",$B$52="million"),((EJ44*EJ$51)/(EJ$52)),"0")))))</f>
        <v>0</v>
      </c>
      <c r="EK97" s="20" t="str">
        <f>IF(EK44=0,"0",IF(AND(Results!$E$5="Protein",$C$53&gt;0,OR(Results!$E$4="Tissue",Results!$E$4="Cells")),((EK44*EK$51)/(EK$53)),IF(AND(Results!$E$5="Weight",$C$52&gt;0, Results!$E$4="Tissue",OR($B$52="g",$B$52="mg")),((EK44*EK$51)/(EK$52)),IF(AND(Results!$E$5="Volume",$C$54&gt;0,Results!$E$4="Fluid"),((EK44*EK$51)/(EK$54)),IF(AND(Results!$E$4="Cells",Results!$E$5="Million",$B$52="million"),((EK44*EK$51)/(EK$52)),"0")))))</f>
        <v>0</v>
      </c>
      <c r="EL97" s="20" t="str">
        <f>IF(EL44=0,"0",IF(AND(Results!$E$5="Protein",$C$53&gt;0,OR(Results!$E$4="Tissue",Results!$E$4="Cells")),((EL44*EL$51)/(EL$53)),IF(AND(Results!$E$5="Weight",$C$52&gt;0, Results!$E$4="Tissue",OR($B$52="g",$B$52="mg")),((EL44*EL$51)/(EL$52)),IF(AND(Results!$E$5="Volume",$C$54&gt;0,Results!$E$4="Fluid"),((EL44*EL$51)/(EL$54)),IF(AND(Results!$E$4="Cells",Results!$E$5="Million",$B$52="million"),((EL44*EL$51)/(EL$52)),"0")))))</f>
        <v>0</v>
      </c>
      <c r="EM97" s="20" t="str">
        <f>IF(EM44=0,"0",IF(AND(Results!$E$5="Protein",$C$53&gt;0,OR(Results!$E$4="Tissue",Results!$E$4="Cells")),((EM44*EM$51)/(EM$53)),IF(AND(Results!$E$5="Weight",$C$52&gt;0, Results!$E$4="Tissue",OR($B$52="g",$B$52="mg")),((EM44*EM$51)/(EM$52)),IF(AND(Results!$E$5="Volume",$C$54&gt;0,Results!$E$4="Fluid"),((EM44*EM$51)/(EM$54)),IF(AND(Results!$E$4="Cells",Results!$E$5="Million",$B$52="million"),((EM44*EM$51)/(EM$52)),"0")))))</f>
        <v>0</v>
      </c>
      <c r="EN97" s="20" t="str">
        <f>IF(EN44=0,"0",IF(AND(Results!$E$5="Protein",$C$53&gt;0,OR(Results!$E$4="Tissue",Results!$E$4="Cells")),((EN44*EN$51)/(EN$53)),IF(AND(Results!$E$5="Weight",$C$52&gt;0, Results!$E$4="Tissue",OR($B$52="g",$B$52="mg")),((EN44*EN$51)/(EN$52)),IF(AND(Results!$E$5="Volume",$C$54&gt;0,Results!$E$4="Fluid"),((EN44*EN$51)/(EN$54)),IF(AND(Results!$E$4="Cells",Results!$E$5="Million",$B$52="million"),((EN44*EN$51)/(EN$52)),"0")))))</f>
        <v>0</v>
      </c>
      <c r="EO97" s="20" t="str">
        <f>IF(EO44=0,"0",IF(AND(Results!$E$5="Protein",$C$53&gt;0,OR(Results!$E$4="Tissue",Results!$E$4="Cells")),((EO44*EO$51)/(EO$53)),IF(AND(Results!$E$5="Weight",$C$52&gt;0, Results!$E$4="Tissue",OR($B$52="g",$B$52="mg")),((EO44*EO$51)/(EO$52)),IF(AND(Results!$E$5="Volume",$C$54&gt;0,Results!$E$4="Fluid"),((EO44*EO$51)/(EO$54)),IF(AND(Results!$E$4="Cells",Results!$E$5="Million",$B$52="million"),((EO44*EO$51)/(EO$52)),"0")))))</f>
        <v>0</v>
      </c>
      <c r="EP97" s="20" t="str">
        <f>IF(EP44=0,"0",IF(AND(Results!$E$5="Protein",$C$53&gt;0,OR(Results!$E$4="Tissue",Results!$E$4="Cells")),((EP44*EP$51)/(EP$53)),IF(AND(Results!$E$5="Weight",$C$52&gt;0, Results!$E$4="Tissue",OR($B$52="g",$B$52="mg")),((EP44*EP$51)/(EP$52)),IF(AND(Results!$E$5="Volume",$C$54&gt;0,Results!$E$4="Fluid"),((EP44*EP$51)/(EP$54)),IF(AND(Results!$E$4="Cells",Results!$E$5="Million",$B$52="million"),((EP44*EP$51)/(EP$52)),"0")))))</f>
        <v>0</v>
      </c>
      <c r="EQ97" s="20" t="str">
        <f>IF(EQ44=0,"0",IF(AND(Results!$E$5="Protein",$C$53&gt;0,OR(Results!$E$4="Tissue",Results!$E$4="Cells")),((EQ44*EQ$51)/(EQ$53)),IF(AND(Results!$E$5="Weight",$C$52&gt;0, Results!$E$4="Tissue",OR($B$52="g",$B$52="mg")),((EQ44*EQ$51)/(EQ$52)),IF(AND(Results!$E$5="Volume",$C$54&gt;0,Results!$E$4="Fluid"),((EQ44*EQ$51)/(EQ$54)),IF(AND(Results!$E$4="Cells",Results!$E$5="Million",$B$52="million"),((EQ44*EQ$51)/(EQ$52)),"0")))))</f>
        <v>0</v>
      </c>
      <c r="ER97" s="20" t="str">
        <f>IF(ER44=0,"0",IF(AND(Results!$E$5="Protein",$C$53&gt;0,OR(Results!$E$4="Tissue",Results!$E$4="Cells")),((ER44*ER$51)/(ER$53)),IF(AND(Results!$E$5="Weight",$C$52&gt;0, Results!$E$4="Tissue",OR($B$52="g",$B$52="mg")),((ER44*ER$51)/(ER$52)),IF(AND(Results!$E$5="Volume",$C$54&gt;0,Results!$E$4="Fluid"),((ER44*ER$51)/(ER$54)),IF(AND(Results!$E$4="Cells",Results!$E$5="Million",$B$52="million"),((ER44*ER$51)/(ER$52)),"0")))))</f>
        <v>0</v>
      </c>
      <c r="ES97" s="20" t="str">
        <f>IF(ES44=0,"0",IF(AND(Results!$E$5="Protein",$C$53&gt;0,OR(Results!$E$4="Tissue",Results!$E$4="Cells")),((ES44*ES$51)/(ES$53)),IF(AND(Results!$E$5="Weight",$C$52&gt;0, Results!$E$4="Tissue",OR($B$52="g",$B$52="mg")),((ES44*ES$51)/(ES$52)),IF(AND(Results!$E$5="Volume",$C$54&gt;0,Results!$E$4="Fluid"),((ES44*ES$51)/(ES$54)),IF(AND(Results!$E$4="Cells",Results!$E$5="Million",$B$52="million"),((ES44*ES$51)/(ES$52)),"0")))))</f>
        <v>0</v>
      </c>
      <c r="ET97" s="20" t="str">
        <f>IF(ET44=0,"0",IF(AND(Results!$E$5="Protein",$C$53&gt;0,OR(Results!$E$4="Tissue",Results!$E$4="Cells")),((ET44*ET$51)/(ET$53)),IF(AND(Results!$E$5="Weight",$C$52&gt;0, Results!$E$4="Tissue",OR($B$52="g",$B$52="mg")),((ET44*ET$51)/(ET$52)),IF(AND(Results!$E$5="Volume",$C$54&gt;0,Results!$E$4="Fluid"),((ET44*ET$51)/(ET$54)),IF(AND(Results!$E$4="Cells",Results!$E$5="Million",$B$52="million"),((ET44*ET$51)/(ET$52)),"0")))))</f>
        <v>0</v>
      </c>
      <c r="EU97" s="20" t="str">
        <f>IF(EU44=0,"0",IF(AND(Results!$E$5="Protein",$C$53&gt;0,OR(Results!$E$4="Tissue",Results!$E$4="Cells")),((EU44*EU$51)/(EU$53)),IF(AND(Results!$E$5="Weight",$C$52&gt;0, Results!$E$4="Tissue",OR($B$52="g",$B$52="mg")),((EU44*EU$51)/(EU$52)),IF(AND(Results!$E$5="Volume",$C$54&gt;0,Results!$E$4="Fluid"),((EU44*EU$51)/(EU$54)),IF(AND(Results!$E$4="Cells",Results!$E$5="Million",$B$52="million"),((EU44*EU$51)/(EU$52)),"0")))))</f>
        <v>0</v>
      </c>
      <c r="EV97" s="20" t="str">
        <f>IF(EV44=0,"0",IF(AND(Results!$E$5="Protein",$C$53&gt;0,OR(Results!$E$4="Tissue",Results!$E$4="Cells")),((EV44*EV$51)/(EV$53)),IF(AND(Results!$E$5="Weight",$C$52&gt;0, Results!$E$4="Tissue",OR($B$52="g",$B$52="mg")),((EV44*EV$51)/(EV$52)),IF(AND(Results!$E$5="Volume",$C$54&gt;0,Results!$E$4="Fluid"),((EV44*EV$51)/(EV$54)),IF(AND(Results!$E$4="Cells",Results!$E$5="Million",$B$52="million"),((EV44*EV$51)/(EV$52)),"0")))))</f>
        <v>0</v>
      </c>
      <c r="EW97" s="20" t="str">
        <f>IF(EW44=0,"0",IF(AND(Results!$E$5="Protein",$C$53&gt;0,OR(Results!$E$4="Tissue",Results!$E$4="Cells")),((EW44*EW$51)/(EW$53)),IF(AND(Results!$E$5="Weight",$C$52&gt;0, Results!$E$4="Tissue",OR($B$52="g",$B$52="mg")),((EW44*EW$51)/(EW$52)),IF(AND(Results!$E$5="Volume",$C$54&gt;0,Results!$E$4="Fluid"),((EW44*EW$51)/(EW$54)),IF(AND(Results!$E$4="Cells",Results!$E$5="Million",$B$52="million"),((EW44*EW$51)/(EW$52)),"0")))))</f>
        <v>0</v>
      </c>
      <c r="EX97" s="20" t="str">
        <f>IF(EX44=0,"0",IF(AND(Results!$E$5="Protein",$C$53&gt;0,OR(Results!$E$4="Tissue",Results!$E$4="Cells")),((EX44*EX$51)/(EX$53)),IF(AND(Results!$E$5="Weight",$C$52&gt;0, Results!$E$4="Tissue",OR($B$52="g",$B$52="mg")),((EX44*EX$51)/(EX$52)),IF(AND(Results!$E$5="Volume",$C$54&gt;0,Results!$E$4="Fluid"),((EX44*EX$51)/(EX$54)),IF(AND(Results!$E$4="Cells",Results!$E$5="Million",$B$52="million"),((EX44*EX$51)/(EX$52)),"0")))))</f>
        <v>0</v>
      </c>
      <c r="EY97" s="20" t="str">
        <f>IF(EY44=0,"0",IF(AND(Results!$E$5="Protein",$C$53&gt;0,OR(Results!$E$4="Tissue",Results!$E$4="Cells")),((EY44*EY$51)/(EY$53)),IF(AND(Results!$E$5="Weight",$C$52&gt;0, Results!$E$4="Tissue",OR($B$52="g",$B$52="mg")),((EY44*EY$51)/(EY$52)),IF(AND(Results!$E$5="Volume",$C$54&gt;0,Results!$E$4="Fluid"),((EY44*EY$51)/(EY$54)),IF(AND(Results!$E$4="Cells",Results!$E$5="Million",$B$52="million"),((EY44*EY$51)/(EY$52)),"0")))))</f>
        <v>0</v>
      </c>
      <c r="EZ97" s="20" t="str">
        <f>IF(EZ44=0,"0",IF(AND(Results!$E$5="Protein",$C$53&gt;0,OR(Results!$E$4="Tissue",Results!$E$4="Cells")),((EZ44*EZ$51)/(EZ$53)),IF(AND(Results!$E$5="Weight",$C$52&gt;0, Results!$E$4="Tissue",OR($B$52="g",$B$52="mg")),((EZ44*EZ$51)/(EZ$52)),IF(AND(Results!$E$5="Volume",$C$54&gt;0,Results!$E$4="Fluid"),((EZ44*EZ$51)/(EZ$54)),IF(AND(Results!$E$4="Cells",Results!$E$5="Million",$B$52="million"),((EZ44*EZ$51)/(EZ$52)),"0")))))</f>
        <v>0</v>
      </c>
      <c r="FA97" s="20" t="str">
        <f>IF(FA44=0,"0",IF(AND(Results!$E$5="Protein",$C$53&gt;0,OR(Results!$E$4="Tissue",Results!$E$4="Cells")),((FA44*FA$51)/(FA$53)),IF(AND(Results!$E$5="Weight",$C$52&gt;0, Results!$E$4="Tissue",OR($B$52="g",$B$52="mg")),((FA44*FA$51)/(FA$52)),IF(AND(Results!$E$5="Volume",$C$54&gt;0,Results!$E$4="Fluid"),((FA44*FA$51)/(FA$54)),IF(AND(Results!$E$4="Cells",Results!$E$5="Million",$B$52="million"),((FA44*FA$51)/(FA$52)),"0")))))</f>
        <v>0</v>
      </c>
      <c r="FB97" s="20" t="str">
        <f>IF(FB44=0,"0",IF(AND(Results!$E$5="Protein",$C$53&gt;0,OR(Results!$E$4="Tissue",Results!$E$4="Cells")),((FB44*FB$51)/(FB$53)),IF(AND(Results!$E$5="Weight",$C$52&gt;0, Results!$E$4="Tissue",OR($B$52="g",$B$52="mg")),((FB44*FB$51)/(FB$52)),IF(AND(Results!$E$5="Volume",$C$54&gt;0,Results!$E$4="Fluid"),((FB44*FB$51)/(FB$54)),IF(AND(Results!$E$4="Cells",Results!$E$5="Million",$B$52="million"),((FB44*FB$51)/(FB$52)),"0")))))</f>
        <v>0</v>
      </c>
      <c r="FC97" s="20" t="str">
        <f>IF(FC44=0,"0",IF(AND(Results!$E$5="Protein",$C$53&gt;0,OR(Results!$E$4="Tissue",Results!$E$4="Cells")),((FC44*FC$51)/(FC$53)),IF(AND(Results!$E$5="Weight",$C$52&gt;0, Results!$E$4="Tissue",OR($B$52="g",$B$52="mg")),((FC44*FC$51)/(FC$52)),IF(AND(Results!$E$5="Volume",$C$54&gt;0,Results!$E$4="Fluid"),((FC44*FC$51)/(FC$54)),IF(AND(Results!$E$4="Cells",Results!$E$5="Million",$B$52="million"),((FC44*FC$51)/(FC$52)),"0")))))</f>
        <v>0</v>
      </c>
      <c r="FD97" s="20" t="str">
        <f>IF(FD44=0,"0",IF(AND(Results!$E$5="Protein",$C$53&gt;0,OR(Results!$E$4="Tissue",Results!$E$4="Cells")),((FD44*FD$51)/(FD$53)),IF(AND(Results!$E$5="Weight",$C$52&gt;0, Results!$E$4="Tissue",OR($B$52="g",$B$52="mg")),((FD44*FD$51)/(FD$52)),IF(AND(Results!$E$5="Volume",$C$54&gt;0,Results!$E$4="Fluid"),((FD44*FD$51)/(FD$54)),IF(AND(Results!$E$4="Cells",Results!$E$5="Million",$B$52="million"),((FD44*FD$51)/(FD$52)),"0")))))</f>
        <v>0</v>
      </c>
      <c r="FE97" s="20" t="str">
        <f>IF(FE44=0,"0",IF(AND(Results!$E$5="Protein",$C$53&gt;0,OR(Results!$E$4="Tissue",Results!$E$4="Cells")),((FE44*FE$51)/(FE$53)),IF(AND(Results!$E$5="Weight",$C$52&gt;0, Results!$E$4="Tissue",OR($B$52="g",$B$52="mg")),((FE44*FE$51)/(FE$52)),IF(AND(Results!$E$5="Volume",$C$54&gt;0,Results!$E$4="Fluid"),((FE44*FE$51)/(FE$54)),IF(AND(Results!$E$4="Cells",Results!$E$5="Million",$B$52="million"),((FE44*FE$51)/(FE$52)),"0")))))</f>
        <v>0</v>
      </c>
      <c r="FF97" s="20" t="str">
        <f>IF(FF44=0,"0",IF(AND(Results!$E$5="Protein",$C$53&gt;0,OR(Results!$E$4="Tissue",Results!$E$4="Cells")),((FF44*FF$51)/(FF$53)),IF(AND(Results!$E$5="Weight",$C$52&gt;0, Results!$E$4="Tissue",OR($B$52="g",$B$52="mg")),((FF44*FF$51)/(FF$52)),IF(AND(Results!$E$5="Volume",$C$54&gt;0,Results!$E$4="Fluid"),((FF44*FF$51)/(FF$54)),IF(AND(Results!$E$4="Cells",Results!$E$5="Million",$B$52="million"),((FF44*FF$51)/(FF$52)),"0")))))</f>
        <v>0</v>
      </c>
      <c r="FG97" s="20" t="str">
        <f>IF(FG44=0,"0",IF(AND(Results!$E$5="Protein",$C$53&gt;0,OR(Results!$E$4="Tissue",Results!$E$4="Cells")),((FG44*FG$51)/(FG$53)),IF(AND(Results!$E$5="Weight",$C$52&gt;0, Results!$E$4="Tissue",OR($B$52="g",$B$52="mg")),((FG44*FG$51)/(FG$52)),IF(AND(Results!$E$5="Volume",$C$54&gt;0,Results!$E$4="Fluid"),((FG44*FG$51)/(FG$54)),IF(AND(Results!$E$4="Cells",Results!$E$5="Million",$B$52="million"),((FG44*FG$51)/(FG$52)),"0")))))</f>
        <v>0</v>
      </c>
      <c r="FH97" s="20" t="str">
        <f>IF(FH44=0,"0",IF(AND(Results!$E$5="Protein",$C$53&gt;0,OR(Results!$E$4="Tissue",Results!$E$4="Cells")),((FH44*FH$51)/(FH$53)),IF(AND(Results!$E$5="Weight",$C$52&gt;0, Results!$E$4="Tissue",OR($B$52="g",$B$52="mg")),((FH44*FH$51)/(FH$52)),IF(AND(Results!$E$5="Volume",$C$54&gt;0,Results!$E$4="Fluid"),((FH44*FH$51)/(FH$54)),IF(AND(Results!$E$4="Cells",Results!$E$5="Million",$B$52="million"),((FH44*FH$51)/(FH$52)),"0")))))</f>
        <v>0</v>
      </c>
      <c r="FI97" s="20" t="str">
        <f>IF(FI44=0,"0",IF(AND(Results!$E$5="Protein",$C$53&gt;0,OR(Results!$E$4="Tissue",Results!$E$4="Cells")),((FI44*FI$51)/(FI$53)),IF(AND(Results!$E$5="Weight",$C$52&gt;0, Results!$E$4="Tissue",OR($B$52="g",$B$52="mg")),((FI44*FI$51)/(FI$52)),IF(AND(Results!$E$5="Volume",$C$54&gt;0,Results!$E$4="Fluid"),((FI44*FI$51)/(FI$54)),IF(AND(Results!$E$4="Cells",Results!$E$5="Million",$B$52="million"),((FI44*FI$51)/(FI$52)),"0")))))</f>
        <v>0</v>
      </c>
      <c r="FJ97" s="20" t="str">
        <f>IF(FJ44=0,"0",IF(AND(Results!$E$5="Protein",$C$53&gt;0,OR(Results!$E$4="Tissue",Results!$E$4="Cells")),((FJ44*FJ$51)/(FJ$53)),IF(AND(Results!$E$5="Weight",$C$52&gt;0, Results!$E$4="Tissue",OR($B$52="g",$B$52="mg")),((FJ44*FJ$51)/(FJ$52)),IF(AND(Results!$E$5="Volume",$C$54&gt;0,Results!$E$4="Fluid"),((FJ44*FJ$51)/(FJ$54)),IF(AND(Results!$E$4="Cells",Results!$E$5="Million",$B$52="million"),((FJ44*FJ$51)/(FJ$52)),"0")))))</f>
        <v>0</v>
      </c>
      <c r="FK97" s="20" t="str">
        <f>IF(FK44=0,"0",IF(AND(Results!$E$5="Protein",$C$53&gt;0,OR(Results!$E$4="Tissue",Results!$E$4="Cells")),((FK44*FK$51)/(FK$53)),IF(AND(Results!$E$5="Weight",$C$52&gt;0, Results!$E$4="Tissue",OR($B$52="g",$B$52="mg")),((FK44*FK$51)/(FK$52)),IF(AND(Results!$E$5="Volume",$C$54&gt;0,Results!$E$4="Fluid"),((FK44*FK$51)/(FK$54)),IF(AND(Results!$E$4="Cells",Results!$E$5="Million",$B$52="million"),((FK44*FK$51)/(FK$52)),"0")))))</f>
        <v>0</v>
      </c>
      <c r="FL97" s="20" t="str">
        <f>IF(FL44=0,"0",IF(AND(Results!$E$5="Protein",$C$53&gt;0,OR(Results!$E$4="Tissue",Results!$E$4="Cells")),((FL44*FL$51)/(FL$53)),IF(AND(Results!$E$5="Weight",$C$52&gt;0, Results!$E$4="Tissue",OR($B$52="g",$B$52="mg")),((FL44*FL$51)/(FL$52)),IF(AND(Results!$E$5="Volume",$C$54&gt;0,Results!$E$4="Fluid"),((FL44*FL$51)/(FL$54)),IF(AND(Results!$E$4="Cells",Results!$E$5="Million",$B$52="million"),((FL44*FL$51)/(FL$52)),"0")))))</f>
        <v>0</v>
      </c>
      <c r="FM97" s="20" t="str">
        <f>IF(FM44=0,"0",IF(AND(Results!$E$5="Protein",$C$53&gt;0,OR(Results!$E$4="Tissue",Results!$E$4="Cells")),((FM44*FM$51)/(FM$53)),IF(AND(Results!$E$5="Weight",$C$52&gt;0, Results!$E$4="Tissue",OR($B$52="g",$B$52="mg")),((FM44*FM$51)/(FM$52)),IF(AND(Results!$E$5="Volume",$C$54&gt;0,Results!$E$4="Fluid"),((FM44*FM$51)/(FM$54)),IF(AND(Results!$E$4="Cells",Results!$E$5="Million",$B$52="million"),((FM44*FM$51)/(FM$52)),"0")))))</f>
        <v>0</v>
      </c>
      <c r="FN97" s="20" t="str">
        <f>IF(FN44=0,"0",IF(AND(Results!$E$5="Protein",$C$53&gt;0,OR(Results!$E$4="Tissue",Results!$E$4="Cells")),((FN44*FN$51)/(FN$53)),IF(AND(Results!$E$5="Weight",$C$52&gt;0, Results!$E$4="Tissue",OR($B$52="g",$B$52="mg")),((FN44*FN$51)/(FN$52)),IF(AND(Results!$E$5="Volume",$C$54&gt;0,Results!$E$4="Fluid"),((FN44*FN$51)/(FN$54)),IF(AND(Results!$E$4="Cells",Results!$E$5="Million",$B$52="million"),((FN44*FN$51)/(FN$52)),"0")))))</f>
        <v>0</v>
      </c>
      <c r="FO97" s="20" t="str">
        <f>IF(FO44=0,"0",IF(AND(Results!$E$5="Protein",$C$53&gt;0,OR(Results!$E$4="Tissue",Results!$E$4="Cells")),((FO44*FO$51)/(FO$53)),IF(AND(Results!$E$5="Weight",$C$52&gt;0, Results!$E$4="Tissue",OR($B$52="g",$B$52="mg")),((FO44*FO$51)/(FO$52)),IF(AND(Results!$E$5="Volume",$C$54&gt;0,Results!$E$4="Fluid"),((FO44*FO$51)/(FO$54)),IF(AND(Results!$E$4="Cells",Results!$E$5="Million",$B$52="million"),((FO44*FO$51)/(FO$52)),"0")))))</f>
        <v>0</v>
      </c>
    </row>
    <row r="98" spans="1:171" x14ac:dyDescent="0.2">
      <c r="A98" s="120" t="s">
        <v>383</v>
      </c>
      <c r="B98" s="121"/>
      <c r="C98" s="20" t="str">
        <f>IF(C45=0,"0",IF(AND(Results!$E$5="Protein",$C$53&gt;0,OR(Results!$E$4="Tissue",Results!$E$4="Cells")),((C45*C$51)/(C$53)),IF(AND(Results!$E$5="Weight",$C$52&gt;0, Results!$E$4="Tissue",OR($B$52="g",$B$52="mg")),((C45*C$51)/(C$52)),IF(AND(Results!$E$5="Volume",$C$54&gt;0,Results!$E$4="Fluid"),((C45*C$51)/(C$54)),IF(AND(Results!$E$4="Cells",Results!$E$5="Million",$B$52="million"),((C45*C$51)/(C$52)),"0")))))</f>
        <v>0</v>
      </c>
      <c r="D98" s="20" t="str">
        <f>IF(D45=0,"0",IF(AND(Results!$E$5="Protein",$C$53&gt;0,OR(Results!$E$4="Tissue",Results!$E$4="Cells")),((D45*D$51)/(D$53)),IF(AND(Results!$E$5="Weight",$C$52&gt;0, Results!$E$4="Tissue",OR($B$52="g",$B$52="mg")),((D45*D$51)/(D$52)),IF(AND(Results!$E$5="Volume",$C$54&gt;0,Results!$E$4="Fluid"),((D45*D$51)/(D$54)),IF(AND(Results!$E$4="Cells",Results!$E$5="Million",$B$52="million"),((D45*D$51)/(D$52)),"0")))))</f>
        <v>0</v>
      </c>
      <c r="E98" s="20" t="str">
        <f>IF(E45=0,"0",IF(AND(Results!$E$5="Protein",$C$53&gt;0,OR(Results!$E$4="Tissue",Results!$E$4="Cells")),((E45*E$51)/(E$53)),IF(AND(Results!$E$5="Weight",$C$52&gt;0, Results!$E$4="Tissue",OR($B$52="g",$B$52="mg")),((E45*E$51)/(E$52)),IF(AND(Results!$E$5="Volume",$C$54&gt;0,Results!$E$4="Fluid"),((E45*E$51)/(E$54)),IF(AND(Results!$E$4="Cells",Results!$E$5="Million",$B$52="million"),((E45*E$51)/(E$52)),"0")))))</f>
        <v>0</v>
      </c>
      <c r="F98" s="20" t="str">
        <f>IF(F45=0,"0",IF(AND(Results!$E$5="Protein",$C$53&gt;0,OR(Results!$E$4="Tissue",Results!$E$4="Cells")),((F45*F$51)/(F$53)),IF(AND(Results!$E$5="Weight",$C$52&gt;0, Results!$E$4="Tissue",OR($B$52="g",$B$52="mg")),((F45*F$51)/(F$52)),IF(AND(Results!$E$5="Volume",$C$54&gt;0,Results!$E$4="Fluid"),((F45*F$51)/(F$54)),IF(AND(Results!$E$4="Cells",Results!$E$5="Million",$B$52="million"),((F45*F$51)/(F$52)),"0")))))</f>
        <v>0</v>
      </c>
      <c r="G98" s="20" t="str">
        <f>IF(G45=0,"0",IF(AND(Results!$E$5="Protein",$C$53&gt;0,OR(Results!$E$4="Tissue",Results!$E$4="Cells")),((G45*G$51)/(G$53)),IF(AND(Results!$E$5="Weight",$C$52&gt;0, Results!$E$4="Tissue",OR($B$52="g",$B$52="mg")),((G45*G$51)/(G$52)),IF(AND(Results!$E$5="Volume",$C$54&gt;0,Results!$E$4="Fluid"),((G45*G$51)/(G$54)),IF(AND(Results!$E$4="Cells",Results!$E$5="Million",$B$52="million"),((G45*G$51)/(G$52)),"0")))))</f>
        <v>0</v>
      </c>
      <c r="H98" s="20" t="str">
        <f>IF(H45=0,"0",IF(AND(Results!$E$5="Protein",$C$53&gt;0,OR(Results!$E$4="Tissue",Results!$E$4="Cells")),((H45*H$51)/(H$53)),IF(AND(Results!$E$5="Weight",$C$52&gt;0, Results!$E$4="Tissue",OR($B$52="g",$B$52="mg")),((H45*H$51)/(H$52)),IF(AND(Results!$E$5="Volume",$C$54&gt;0,Results!$E$4="Fluid"),((H45*H$51)/(H$54)),IF(AND(Results!$E$4="Cells",Results!$E$5="Million",$B$52="million"),((H45*H$51)/(H$52)),"0")))))</f>
        <v>0</v>
      </c>
      <c r="I98" s="20" t="str">
        <f>IF(I45=0,"0",IF(AND(Results!$E$5="Protein",$C$53&gt;0,OR(Results!$E$4="Tissue",Results!$E$4="Cells")),((I45*I$51)/(I$53)),IF(AND(Results!$E$5="Weight",$C$52&gt;0, Results!$E$4="Tissue",OR($B$52="g",$B$52="mg")),((I45*I$51)/(I$52)),IF(AND(Results!$E$5="Volume",$C$54&gt;0,Results!$E$4="Fluid"),((I45*I$51)/(I$54)),IF(AND(Results!$E$4="Cells",Results!$E$5="Million",$B$52="million"),((I45*I$51)/(I$52)),"0")))))</f>
        <v>0</v>
      </c>
      <c r="J98" s="20" t="str">
        <f>IF(J45=0,"0",IF(AND(Results!$E$5="Protein",$C$53&gt;0,OR(Results!$E$4="Tissue",Results!$E$4="Cells")),((J45*J$51)/(J$53)),IF(AND(Results!$E$5="Weight",$C$52&gt;0, Results!$E$4="Tissue",OR($B$52="g",$B$52="mg")),((J45*J$51)/(J$52)),IF(AND(Results!$E$5="Volume",$C$54&gt;0,Results!$E$4="Fluid"),((J45*J$51)/(J$54)),IF(AND(Results!$E$4="Cells",Results!$E$5="Million",$B$52="million"),((J45*J$51)/(J$52)),"0")))))</f>
        <v>0</v>
      </c>
      <c r="K98" s="20" t="str">
        <f>IF(K45=0,"0",IF(AND(Results!$E$5="Protein",$C$53&gt;0,OR(Results!$E$4="Tissue",Results!$E$4="Cells")),((K45*K$51)/(K$53)),IF(AND(Results!$E$5="Weight",$C$52&gt;0, Results!$E$4="Tissue",OR($B$52="g",$B$52="mg")),((K45*K$51)/(K$52)),IF(AND(Results!$E$5="Volume",$C$54&gt;0,Results!$E$4="Fluid"),((K45*K$51)/(K$54)),IF(AND(Results!$E$4="Cells",Results!$E$5="Million",$B$52="million"),((K45*K$51)/(K$52)),"0")))))</f>
        <v>0</v>
      </c>
      <c r="L98" s="20" t="str">
        <f>IF(L45=0,"0",IF(AND(Results!$E$5="Protein",$C$53&gt;0,OR(Results!$E$4="Tissue",Results!$E$4="Cells")),((L45*L$51)/(L$53)),IF(AND(Results!$E$5="Weight",$C$52&gt;0, Results!$E$4="Tissue",OR($B$52="g",$B$52="mg")),((L45*L$51)/(L$52)),IF(AND(Results!$E$5="Volume",$C$54&gt;0,Results!$E$4="Fluid"),((L45*L$51)/(L$54)),IF(AND(Results!$E$4="Cells",Results!$E$5="Million",$B$52="million"),((L45*L$51)/(L$52)),"0")))))</f>
        <v>0</v>
      </c>
      <c r="M98" s="20" t="str">
        <f>IF(M45=0,"0",IF(AND(Results!$E$5="Protein",$C$53&gt;0,OR(Results!$E$4="Tissue",Results!$E$4="Cells")),((M45*M$51)/(M$53)),IF(AND(Results!$E$5="Weight",$C$52&gt;0, Results!$E$4="Tissue",OR($B$52="g",$B$52="mg")),((M45*M$51)/(M$52)),IF(AND(Results!$E$5="Volume",$C$54&gt;0,Results!$E$4="Fluid"),((M45*M$51)/(M$54)),IF(AND(Results!$E$4="Cells",Results!$E$5="Million",$B$52="million"),((M45*M$51)/(M$52)),"0")))))</f>
        <v>0</v>
      </c>
      <c r="N98" s="20" t="str">
        <f>IF(N45=0,"0",IF(AND(Results!$E$5="Protein",$C$53&gt;0,OR(Results!$E$4="Tissue",Results!$E$4="Cells")),((N45*N$51)/(N$53)),IF(AND(Results!$E$5="Weight",$C$52&gt;0, Results!$E$4="Tissue",OR($B$52="g",$B$52="mg")),((N45*N$51)/(N$52)),IF(AND(Results!$E$5="Volume",$C$54&gt;0,Results!$E$4="Fluid"),((N45*N$51)/(N$54)),IF(AND(Results!$E$4="Cells",Results!$E$5="Million",$B$52="million"),((N45*N$51)/(N$52)),"0")))))</f>
        <v>0</v>
      </c>
      <c r="O98" s="20" t="str">
        <f>IF(O45=0,"0",IF(AND(Results!$E$5="Protein",$C$53&gt;0,OR(Results!$E$4="Tissue",Results!$E$4="Cells")),((O45*O$51)/(O$53)),IF(AND(Results!$E$5="Weight",$C$52&gt;0, Results!$E$4="Tissue",OR($B$52="g",$B$52="mg")),((O45*O$51)/(O$52)),IF(AND(Results!$E$5="Volume",$C$54&gt;0,Results!$E$4="Fluid"),((O45*O$51)/(O$54)),IF(AND(Results!$E$4="Cells",Results!$E$5="Million",$B$52="million"),((O45*O$51)/(O$52)),"0")))))</f>
        <v>0</v>
      </c>
      <c r="P98" s="20" t="str">
        <f>IF(P45=0,"0",IF(AND(Results!$E$5="Protein",$C$53&gt;0,OR(Results!$E$4="Tissue",Results!$E$4="Cells")),((P45*P$51)/(P$53)),IF(AND(Results!$E$5="Weight",$C$52&gt;0, Results!$E$4="Tissue",OR($B$52="g",$B$52="mg")),((P45*P$51)/(P$52)),IF(AND(Results!$E$5="Volume",$C$54&gt;0,Results!$E$4="Fluid"),((P45*P$51)/(P$54)),IF(AND(Results!$E$4="Cells",Results!$E$5="Million",$B$52="million"),((P45*P$51)/(P$52)),"0")))))</f>
        <v>0</v>
      </c>
      <c r="Q98" s="20" t="str">
        <f>IF(Q45=0,"0",IF(AND(Results!$E$5="Protein",$C$53&gt;0,OR(Results!$E$4="Tissue",Results!$E$4="Cells")),((Q45*Q$51)/(Q$53)),IF(AND(Results!$E$5="Weight",$C$52&gt;0, Results!$E$4="Tissue",OR($B$52="g",$B$52="mg")),((Q45*Q$51)/(Q$52)),IF(AND(Results!$E$5="Volume",$C$54&gt;0,Results!$E$4="Fluid"),((Q45*Q$51)/(Q$54)),IF(AND(Results!$E$4="Cells",Results!$E$5="Million",$B$52="million"),((Q45*Q$51)/(Q$52)),"0")))))</f>
        <v>0</v>
      </c>
      <c r="R98" s="20" t="str">
        <f>IF(R45=0,"0",IF(AND(Results!$E$5="Protein",$C$53&gt;0,OR(Results!$E$4="Tissue",Results!$E$4="Cells")),((R45*R$51)/(R$53)),IF(AND(Results!$E$5="Weight",$C$52&gt;0, Results!$E$4="Tissue",OR($B$52="g",$B$52="mg")),((R45*R$51)/(R$52)),IF(AND(Results!$E$5="Volume",$C$54&gt;0,Results!$E$4="Fluid"),((R45*R$51)/(R$54)),IF(AND(Results!$E$4="Cells",Results!$E$5="Million",$B$52="million"),((R45*R$51)/(R$52)),"0")))))</f>
        <v>0</v>
      </c>
      <c r="S98" s="20" t="str">
        <f>IF(S45=0,"0",IF(AND(Results!$E$5="Protein",$C$53&gt;0,OR(Results!$E$4="Tissue",Results!$E$4="Cells")),((S45*S$51)/(S$53)),IF(AND(Results!$E$5="Weight",$C$52&gt;0, Results!$E$4="Tissue",OR($B$52="g",$B$52="mg")),((S45*S$51)/(S$52)),IF(AND(Results!$E$5="Volume",$C$54&gt;0,Results!$E$4="Fluid"),((S45*S$51)/(S$54)),IF(AND(Results!$E$4="Cells",Results!$E$5="Million",$B$52="million"),((S45*S$51)/(S$52)),"0")))))</f>
        <v>0</v>
      </c>
      <c r="T98" s="20" t="str">
        <f>IF(T45=0,"0",IF(AND(Results!$E$5="Protein",$C$53&gt;0,OR(Results!$E$4="Tissue",Results!$E$4="Cells")),((T45*T$51)/(T$53)),IF(AND(Results!$E$5="Weight",$C$52&gt;0, Results!$E$4="Tissue",OR($B$52="g",$B$52="mg")),((T45*T$51)/(T$52)),IF(AND(Results!$E$5="Volume",$C$54&gt;0,Results!$E$4="Fluid"),((T45*T$51)/(T$54)),IF(AND(Results!$E$4="Cells",Results!$E$5="Million",$B$52="million"),((T45*T$51)/(T$52)),"0")))))</f>
        <v>0</v>
      </c>
      <c r="U98" s="20" t="str">
        <f>IF(U45=0,"0",IF(AND(Results!$E$5="Protein",$C$53&gt;0,OR(Results!$E$4="Tissue",Results!$E$4="Cells")),((U45*U$51)/(U$53)),IF(AND(Results!$E$5="Weight",$C$52&gt;0, Results!$E$4="Tissue",OR($B$52="g",$B$52="mg")),((U45*U$51)/(U$52)),IF(AND(Results!$E$5="Volume",$C$54&gt;0,Results!$E$4="Fluid"),((U45*U$51)/(U$54)),IF(AND(Results!$E$4="Cells",Results!$E$5="Million",$B$52="million"),((U45*U$51)/(U$52)),"0")))))</f>
        <v>0</v>
      </c>
      <c r="V98" s="20" t="str">
        <f>IF(V45=0,"0",IF(AND(Results!$E$5="Protein",$C$53&gt;0,OR(Results!$E$4="Tissue",Results!$E$4="Cells")),((V45*V$51)/(V$53)),IF(AND(Results!$E$5="Weight",$C$52&gt;0, Results!$E$4="Tissue",OR($B$52="g",$B$52="mg")),((V45*V$51)/(V$52)),IF(AND(Results!$E$5="Volume",$C$54&gt;0,Results!$E$4="Fluid"),((V45*V$51)/(V$54)),IF(AND(Results!$E$4="Cells",Results!$E$5="Million",$B$52="million"),((V45*V$51)/(V$52)),"0")))))</f>
        <v>0</v>
      </c>
      <c r="W98" s="20" t="str">
        <f>IF(W45=0,"0",IF(AND(Results!$E$5="Protein",$C$53&gt;0,OR(Results!$E$4="Tissue",Results!$E$4="Cells")),((W45*W$51)/(W$53)),IF(AND(Results!$E$5="Weight",$C$52&gt;0, Results!$E$4="Tissue",OR($B$52="g",$B$52="mg")),((W45*W$51)/(W$52)),IF(AND(Results!$E$5="Volume",$C$54&gt;0,Results!$E$4="Fluid"),((W45*W$51)/(W$54)),IF(AND(Results!$E$4="Cells",Results!$E$5="Million",$B$52="million"),((W45*W$51)/(W$52)),"0")))))</f>
        <v>0</v>
      </c>
      <c r="X98" s="20" t="str">
        <f>IF(X45=0,"0",IF(AND(Results!$E$5="Protein",$C$53&gt;0,OR(Results!$E$4="Tissue",Results!$E$4="Cells")),((X45*X$51)/(X$53)),IF(AND(Results!$E$5="Weight",$C$52&gt;0, Results!$E$4="Tissue",OR($B$52="g",$B$52="mg")),((X45*X$51)/(X$52)),IF(AND(Results!$E$5="Volume",$C$54&gt;0,Results!$E$4="Fluid"),((X45*X$51)/(X$54)),IF(AND(Results!$E$4="Cells",Results!$E$5="Million",$B$52="million"),((X45*X$51)/(X$52)),"0")))))</f>
        <v>0</v>
      </c>
      <c r="Y98" s="20" t="str">
        <f>IF(Y45=0,"0",IF(AND(Results!$E$5="Protein",$C$53&gt;0,OR(Results!$E$4="Tissue",Results!$E$4="Cells")),((Y45*Y$51)/(Y$53)),IF(AND(Results!$E$5="Weight",$C$52&gt;0, Results!$E$4="Tissue",OR($B$52="g",$B$52="mg")),((Y45*Y$51)/(Y$52)),IF(AND(Results!$E$5="Volume",$C$54&gt;0,Results!$E$4="Fluid"),((Y45*Y$51)/(Y$54)),IF(AND(Results!$E$4="Cells",Results!$E$5="Million",$B$52="million"),((Y45*Y$51)/(Y$52)),"0")))))</f>
        <v>0</v>
      </c>
      <c r="Z98" s="20" t="str">
        <f>IF(Z45=0,"0",IF(AND(Results!$E$5="Protein",$C$53&gt;0,OR(Results!$E$4="Tissue",Results!$E$4="Cells")),((Z45*Z$51)/(Z$53)),IF(AND(Results!$E$5="Weight",$C$52&gt;0, Results!$E$4="Tissue",OR($B$52="g",$B$52="mg")),((Z45*Z$51)/(Z$52)),IF(AND(Results!$E$5="Volume",$C$54&gt;0,Results!$E$4="Fluid"),((Z45*Z$51)/(Z$54)),IF(AND(Results!$E$4="Cells",Results!$E$5="Million",$B$52="million"),((Z45*Z$51)/(Z$52)),"0")))))</f>
        <v>0</v>
      </c>
      <c r="AA98" s="20" t="str">
        <f>IF(AA45=0,"0",IF(AND(Results!$E$5="Protein",$C$53&gt;0,OR(Results!$E$4="Tissue",Results!$E$4="Cells")),((AA45*AA$51)/(AA$53)),IF(AND(Results!$E$5="Weight",$C$52&gt;0, Results!$E$4="Tissue",OR($B$52="g",$B$52="mg")),((AA45*AA$51)/(AA$52)),IF(AND(Results!$E$5="Volume",$C$54&gt;0,Results!$E$4="Fluid"),((AA45*AA$51)/(AA$54)),IF(AND(Results!$E$4="Cells",Results!$E$5="Million",$B$52="million"),((AA45*AA$51)/(AA$52)),"0")))))</f>
        <v>0</v>
      </c>
      <c r="AB98" s="20" t="str">
        <f>IF(AB45=0,"0",IF(AND(Results!$E$5="Protein",$C$53&gt;0,OR(Results!$E$4="Tissue",Results!$E$4="Cells")),((AB45*AB$51)/(AB$53)),IF(AND(Results!$E$5="Weight",$C$52&gt;0, Results!$E$4="Tissue",OR($B$52="g",$B$52="mg")),((AB45*AB$51)/(AB$52)),IF(AND(Results!$E$5="Volume",$C$54&gt;0,Results!$E$4="Fluid"),((AB45*AB$51)/(AB$54)),IF(AND(Results!$E$4="Cells",Results!$E$5="Million",$B$52="million"),((AB45*AB$51)/(AB$52)),"0")))))</f>
        <v>0</v>
      </c>
      <c r="AC98" s="20" t="str">
        <f>IF(AC45=0,"0",IF(AND(Results!$E$5="Protein",$C$53&gt;0,OR(Results!$E$4="Tissue",Results!$E$4="Cells")),((AC45*AC$51)/(AC$53)),IF(AND(Results!$E$5="Weight",$C$52&gt;0, Results!$E$4="Tissue",OR($B$52="g",$B$52="mg")),((AC45*AC$51)/(AC$52)),IF(AND(Results!$E$5="Volume",$C$54&gt;0,Results!$E$4="Fluid"),((AC45*AC$51)/(AC$54)),IF(AND(Results!$E$4="Cells",Results!$E$5="Million",$B$52="million"),((AC45*AC$51)/(AC$52)),"0")))))</f>
        <v>0</v>
      </c>
      <c r="AD98" s="20" t="str">
        <f>IF(AD45=0,"0",IF(AND(Results!$E$5="Protein",$C$53&gt;0,OR(Results!$E$4="Tissue",Results!$E$4="Cells")),((AD45*AD$51)/(AD$53)),IF(AND(Results!$E$5="Weight",$C$52&gt;0, Results!$E$4="Tissue",OR($B$52="g",$B$52="mg")),((AD45*AD$51)/(AD$52)),IF(AND(Results!$E$5="Volume",$C$54&gt;0,Results!$E$4="Fluid"),((AD45*AD$51)/(AD$54)),IF(AND(Results!$E$4="Cells",Results!$E$5="Million",$B$52="million"),((AD45*AD$51)/(AD$52)),"0")))))</f>
        <v>0</v>
      </c>
      <c r="AE98" s="20" t="str">
        <f>IF(AE45=0,"0",IF(AND(Results!$E$5="Protein",$C$53&gt;0,OR(Results!$E$4="Tissue",Results!$E$4="Cells")),((AE45*AE$51)/(AE$53)),IF(AND(Results!$E$5="Weight",$C$52&gt;0, Results!$E$4="Tissue",OR($B$52="g",$B$52="mg")),((AE45*AE$51)/(AE$52)),IF(AND(Results!$E$5="Volume",$C$54&gt;0,Results!$E$4="Fluid"),((AE45*AE$51)/(AE$54)),IF(AND(Results!$E$4="Cells",Results!$E$5="Million",$B$52="million"),((AE45*AE$51)/(AE$52)),"0")))))</f>
        <v>0</v>
      </c>
      <c r="AF98" s="20" t="str">
        <f>IF(AF45=0,"0",IF(AND(Results!$E$5="Protein",$C$53&gt;0,OR(Results!$E$4="Tissue",Results!$E$4="Cells")),((AF45*AF$51)/(AF$53)),IF(AND(Results!$E$5="Weight",$C$52&gt;0, Results!$E$4="Tissue",OR($B$52="g",$B$52="mg")),((AF45*AF$51)/(AF$52)),IF(AND(Results!$E$5="Volume",$C$54&gt;0,Results!$E$4="Fluid"),((AF45*AF$51)/(AF$54)),IF(AND(Results!$E$4="Cells",Results!$E$5="Million",$B$52="million"),((AF45*AF$51)/(AF$52)),"0")))))</f>
        <v>0</v>
      </c>
      <c r="AG98" s="20" t="str">
        <f>IF(AG45=0,"0",IF(AND(Results!$E$5="Protein",$C$53&gt;0,OR(Results!$E$4="Tissue",Results!$E$4="Cells")),((AG45*AG$51)/(AG$53)),IF(AND(Results!$E$5="Weight",$C$52&gt;0, Results!$E$4="Tissue",OR($B$52="g",$B$52="mg")),((AG45*AG$51)/(AG$52)),IF(AND(Results!$E$5="Volume",$C$54&gt;0,Results!$E$4="Fluid"),((AG45*AG$51)/(AG$54)),IF(AND(Results!$E$4="Cells",Results!$E$5="Million",$B$52="million"),((AG45*AG$51)/(AG$52)),"0")))))</f>
        <v>0</v>
      </c>
      <c r="AH98" s="20" t="str">
        <f>IF(AH45=0,"0",IF(AND(Results!$E$5="Protein",$C$53&gt;0,OR(Results!$E$4="Tissue",Results!$E$4="Cells")),((AH45*AH$51)/(AH$53)),IF(AND(Results!$E$5="Weight",$C$52&gt;0, Results!$E$4="Tissue",OR($B$52="g",$B$52="mg")),((AH45*AH$51)/(AH$52)),IF(AND(Results!$E$5="Volume",$C$54&gt;0,Results!$E$4="Fluid"),((AH45*AH$51)/(AH$54)),IF(AND(Results!$E$4="Cells",Results!$E$5="Million",$B$52="million"),((AH45*AH$51)/(AH$52)),"0")))))</f>
        <v>0</v>
      </c>
      <c r="AI98" s="20" t="str">
        <f>IF(AI45=0,"0",IF(AND(Results!$E$5="Protein",$C$53&gt;0,OR(Results!$E$4="Tissue",Results!$E$4="Cells")),((AI45*AI$51)/(AI$53)),IF(AND(Results!$E$5="Weight",$C$52&gt;0, Results!$E$4="Tissue",OR($B$52="g",$B$52="mg")),((AI45*AI$51)/(AI$52)),IF(AND(Results!$E$5="Volume",$C$54&gt;0,Results!$E$4="Fluid"),((AI45*AI$51)/(AI$54)),IF(AND(Results!$E$4="Cells",Results!$E$5="Million",$B$52="million"),((AI45*AI$51)/(AI$52)),"0")))))</f>
        <v>0</v>
      </c>
      <c r="AJ98" s="20" t="str">
        <f>IF(AJ45=0,"0",IF(AND(Results!$E$5="Protein",$C$53&gt;0,OR(Results!$E$4="Tissue",Results!$E$4="Cells")),((AJ45*AJ$51)/(AJ$53)),IF(AND(Results!$E$5="Weight",$C$52&gt;0, Results!$E$4="Tissue",OR($B$52="g",$B$52="mg")),((AJ45*AJ$51)/(AJ$52)),IF(AND(Results!$E$5="Volume",$C$54&gt;0,Results!$E$4="Fluid"),((AJ45*AJ$51)/(AJ$54)),IF(AND(Results!$E$4="Cells",Results!$E$5="Million",$B$52="million"),((AJ45*AJ$51)/(AJ$52)),"0")))))</f>
        <v>0</v>
      </c>
      <c r="AK98" s="20" t="str">
        <f>IF(AK45=0,"0",IF(AND(Results!$E$5="Protein",$C$53&gt;0,OR(Results!$E$4="Tissue",Results!$E$4="Cells")),((AK45*AK$51)/(AK$53)),IF(AND(Results!$E$5="Weight",$C$52&gt;0, Results!$E$4="Tissue",OR($B$52="g",$B$52="mg")),((AK45*AK$51)/(AK$52)),IF(AND(Results!$E$5="Volume",$C$54&gt;0,Results!$E$4="Fluid"),((AK45*AK$51)/(AK$54)),IF(AND(Results!$E$4="Cells",Results!$E$5="Million",$B$52="million"),((AK45*AK$51)/(AK$52)),"0")))))</f>
        <v>0</v>
      </c>
      <c r="AL98" s="20" t="str">
        <f>IF(AL45=0,"0",IF(AND(Results!$E$5="Protein",$C$53&gt;0,OR(Results!$E$4="Tissue",Results!$E$4="Cells")),((AL45*AL$51)/(AL$53)),IF(AND(Results!$E$5="Weight",$C$52&gt;0, Results!$E$4="Tissue",OR($B$52="g",$B$52="mg")),((AL45*AL$51)/(AL$52)),IF(AND(Results!$E$5="Volume",$C$54&gt;0,Results!$E$4="Fluid"),((AL45*AL$51)/(AL$54)),IF(AND(Results!$E$4="Cells",Results!$E$5="Million",$B$52="million"),((AL45*AL$51)/(AL$52)),"0")))))</f>
        <v>0</v>
      </c>
      <c r="AM98" s="20" t="str">
        <f>IF(AM45=0,"0",IF(AND(Results!$E$5="Protein",$C$53&gt;0,OR(Results!$E$4="Tissue",Results!$E$4="Cells")),((AM45*AM$51)/(AM$53)),IF(AND(Results!$E$5="Weight",$C$52&gt;0, Results!$E$4="Tissue",OR($B$52="g",$B$52="mg")),((AM45*AM$51)/(AM$52)),IF(AND(Results!$E$5="Volume",$C$54&gt;0,Results!$E$4="Fluid"),((AM45*AM$51)/(AM$54)),IF(AND(Results!$E$4="Cells",Results!$E$5="Million",$B$52="million"),((AM45*AM$51)/(AM$52)),"0")))))</f>
        <v>0</v>
      </c>
      <c r="AN98" s="20" t="str">
        <f>IF(AN45=0,"0",IF(AND(Results!$E$5="Protein",$C$53&gt;0,OR(Results!$E$4="Tissue",Results!$E$4="Cells")),((AN45*AN$51)/(AN$53)),IF(AND(Results!$E$5="Weight",$C$52&gt;0, Results!$E$4="Tissue",OR($B$52="g",$B$52="mg")),((AN45*AN$51)/(AN$52)),IF(AND(Results!$E$5="Volume",$C$54&gt;0,Results!$E$4="Fluid"),((AN45*AN$51)/(AN$54)),IF(AND(Results!$E$4="Cells",Results!$E$5="Million",$B$52="million"),((AN45*AN$51)/(AN$52)),"0")))))</f>
        <v>0</v>
      </c>
      <c r="AO98" s="20" t="str">
        <f>IF(AO45=0,"0",IF(AND(Results!$E$5="Protein",$C$53&gt;0,OR(Results!$E$4="Tissue",Results!$E$4="Cells")),((AO45*AO$51)/(AO$53)),IF(AND(Results!$E$5="Weight",$C$52&gt;0, Results!$E$4="Tissue",OR($B$52="g",$B$52="mg")),((AO45*AO$51)/(AO$52)),IF(AND(Results!$E$5="Volume",$C$54&gt;0,Results!$E$4="Fluid"),((AO45*AO$51)/(AO$54)),IF(AND(Results!$E$4="Cells",Results!$E$5="Million",$B$52="million"),((AO45*AO$51)/(AO$52)),"0")))))</f>
        <v>0</v>
      </c>
      <c r="AP98" s="20" t="str">
        <f>IF(AP45=0,"0",IF(AND(Results!$E$5="Protein",$C$53&gt;0,OR(Results!$E$4="Tissue",Results!$E$4="Cells")),((AP45*AP$51)/(AP$53)),IF(AND(Results!$E$5="Weight",$C$52&gt;0, Results!$E$4="Tissue",OR($B$52="g",$B$52="mg")),((AP45*AP$51)/(AP$52)),IF(AND(Results!$E$5="Volume",$C$54&gt;0,Results!$E$4="Fluid"),((AP45*AP$51)/(AP$54)),IF(AND(Results!$E$4="Cells",Results!$E$5="Million",$B$52="million"),((AP45*AP$51)/(AP$52)),"0")))))</f>
        <v>0</v>
      </c>
      <c r="AQ98" s="20" t="str">
        <f>IF(AQ45=0,"0",IF(AND(Results!$E$5="Protein",$C$53&gt;0,OR(Results!$E$4="Tissue",Results!$E$4="Cells")),((AQ45*AQ$51)/(AQ$53)),IF(AND(Results!$E$5="Weight",$C$52&gt;0, Results!$E$4="Tissue",OR($B$52="g",$B$52="mg")),((AQ45*AQ$51)/(AQ$52)),IF(AND(Results!$E$5="Volume",$C$54&gt;0,Results!$E$4="Fluid"),((AQ45*AQ$51)/(AQ$54)),IF(AND(Results!$E$4="Cells",Results!$E$5="Million",$B$52="million"),((AQ45*AQ$51)/(AQ$52)),"0")))))</f>
        <v>0</v>
      </c>
      <c r="AR98" s="20" t="str">
        <f>IF(AR45=0,"0",IF(AND(Results!$E$5="Protein",$C$53&gt;0,OR(Results!$E$4="Tissue",Results!$E$4="Cells")),((AR45*AR$51)/(AR$53)),IF(AND(Results!$E$5="Weight",$C$52&gt;0, Results!$E$4="Tissue",OR($B$52="g",$B$52="mg")),((AR45*AR$51)/(AR$52)),IF(AND(Results!$E$5="Volume",$C$54&gt;0,Results!$E$4="Fluid"),((AR45*AR$51)/(AR$54)),IF(AND(Results!$E$4="Cells",Results!$E$5="Million",$B$52="million"),((AR45*AR$51)/(AR$52)),"0")))))</f>
        <v>0</v>
      </c>
      <c r="AS98" s="20" t="str">
        <f>IF(AS45=0,"0",IF(AND(Results!$E$5="Protein",$C$53&gt;0,OR(Results!$E$4="Tissue",Results!$E$4="Cells")),((AS45*AS$51)/(AS$53)),IF(AND(Results!$E$5="Weight",$C$52&gt;0, Results!$E$4="Tissue",OR($B$52="g",$B$52="mg")),((AS45*AS$51)/(AS$52)),IF(AND(Results!$E$5="Volume",$C$54&gt;0,Results!$E$4="Fluid"),((AS45*AS$51)/(AS$54)),IF(AND(Results!$E$4="Cells",Results!$E$5="Million",$B$52="million"),((AS45*AS$51)/(AS$52)),"0")))))</f>
        <v>0</v>
      </c>
      <c r="AT98" s="20" t="str">
        <f>IF(AT45=0,"0",IF(AND(Results!$E$5="Protein",$C$53&gt;0,OR(Results!$E$4="Tissue",Results!$E$4="Cells")),((AT45*AT$51)/(AT$53)),IF(AND(Results!$E$5="Weight",$C$52&gt;0, Results!$E$4="Tissue",OR($B$52="g",$B$52="mg")),((AT45*AT$51)/(AT$52)),IF(AND(Results!$E$5="Volume",$C$54&gt;0,Results!$E$4="Fluid"),((AT45*AT$51)/(AT$54)),IF(AND(Results!$E$4="Cells",Results!$E$5="Million",$B$52="million"),((AT45*AT$51)/(AT$52)),"0")))))</f>
        <v>0</v>
      </c>
      <c r="AU98" s="20" t="str">
        <f>IF(AU45=0,"0",IF(AND(Results!$E$5="Protein",$C$53&gt;0,OR(Results!$E$4="Tissue",Results!$E$4="Cells")),((AU45*AU$51)/(AU$53)),IF(AND(Results!$E$5="Weight",$C$52&gt;0, Results!$E$4="Tissue",OR($B$52="g",$B$52="mg")),((AU45*AU$51)/(AU$52)),IF(AND(Results!$E$5="Volume",$C$54&gt;0,Results!$E$4="Fluid"),((AU45*AU$51)/(AU$54)),IF(AND(Results!$E$4="Cells",Results!$E$5="Million",$B$52="million"),((AU45*AU$51)/(AU$52)),"0")))))</f>
        <v>0</v>
      </c>
      <c r="AV98" s="20" t="str">
        <f>IF(AV45=0,"0",IF(AND(Results!$E$5="Protein",$C$53&gt;0,OR(Results!$E$4="Tissue",Results!$E$4="Cells")),((AV45*AV$51)/(AV$53)),IF(AND(Results!$E$5="Weight",$C$52&gt;0, Results!$E$4="Tissue",OR($B$52="g",$B$52="mg")),((AV45*AV$51)/(AV$52)),IF(AND(Results!$E$5="Volume",$C$54&gt;0,Results!$E$4="Fluid"),((AV45*AV$51)/(AV$54)),IF(AND(Results!$E$4="Cells",Results!$E$5="Million",$B$52="million"),((AV45*AV$51)/(AV$52)),"0")))))</f>
        <v>0</v>
      </c>
      <c r="AW98" s="20" t="str">
        <f>IF(AW45=0,"0",IF(AND(Results!$E$5="Protein",$C$53&gt;0,OR(Results!$E$4="Tissue",Results!$E$4="Cells")),((AW45*AW$51)/(AW$53)),IF(AND(Results!$E$5="Weight",$C$52&gt;0, Results!$E$4="Tissue",OR($B$52="g",$B$52="mg")),((AW45*AW$51)/(AW$52)),IF(AND(Results!$E$5="Volume",$C$54&gt;0,Results!$E$4="Fluid"),((AW45*AW$51)/(AW$54)),IF(AND(Results!$E$4="Cells",Results!$E$5="Million",$B$52="million"),((AW45*AW$51)/(AW$52)),"0")))))</f>
        <v>0</v>
      </c>
      <c r="AX98" s="20" t="str">
        <f>IF(AX45=0,"0",IF(AND(Results!$E$5="Protein",$C$53&gt;0,OR(Results!$E$4="Tissue",Results!$E$4="Cells")),((AX45*AX$51)/(AX$53)),IF(AND(Results!$E$5="Weight",$C$52&gt;0, Results!$E$4="Tissue",OR($B$52="g",$B$52="mg")),((AX45*AX$51)/(AX$52)),IF(AND(Results!$E$5="Volume",$C$54&gt;0,Results!$E$4="Fluid"),((AX45*AX$51)/(AX$54)),IF(AND(Results!$E$4="Cells",Results!$E$5="Million",$B$52="million"),((AX45*AX$51)/(AX$52)),"0")))))</f>
        <v>0</v>
      </c>
      <c r="AY98" s="20" t="str">
        <f>IF(AY45=0,"0",IF(AND(Results!$E$5="Protein",$C$53&gt;0,OR(Results!$E$4="Tissue",Results!$E$4="Cells")),((AY45*AY$51)/(AY$53)),IF(AND(Results!$E$5="Weight",$C$52&gt;0, Results!$E$4="Tissue",OR($B$52="g",$B$52="mg")),((AY45*AY$51)/(AY$52)),IF(AND(Results!$E$5="Volume",$C$54&gt;0,Results!$E$4="Fluid"),((AY45*AY$51)/(AY$54)),IF(AND(Results!$E$4="Cells",Results!$E$5="Million",$B$52="million"),((AY45*AY$51)/(AY$52)),"0")))))</f>
        <v>0</v>
      </c>
      <c r="AZ98" s="20" t="str">
        <f>IF(AZ45=0,"0",IF(AND(Results!$E$5="Protein",$C$53&gt;0,OR(Results!$E$4="Tissue",Results!$E$4="Cells")),((AZ45*AZ$51)/(AZ$53)),IF(AND(Results!$E$5="Weight",$C$52&gt;0, Results!$E$4="Tissue",OR($B$52="g",$B$52="mg")),((AZ45*AZ$51)/(AZ$52)),IF(AND(Results!$E$5="Volume",$C$54&gt;0,Results!$E$4="Fluid"),((AZ45*AZ$51)/(AZ$54)),IF(AND(Results!$E$4="Cells",Results!$E$5="Million",$B$52="million"),((AZ45*AZ$51)/(AZ$52)),"0")))))</f>
        <v>0</v>
      </c>
      <c r="BA98" s="20" t="str">
        <f>IF(BA45=0,"0",IF(AND(Results!$E$5="Protein",$C$53&gt;0,OR(Results!$E$4="Tissue",Results!$E$4="Cells")),((BA45*BA$51)/(BA$53)),IF(AND(Results!$E$5="Weight",$C$52&gt;0, Results!$E$4="Tissue",OR($B$52="g",$B$52="mg")),((BA45*BA$51)/(BA$52)),IF(AND(Results!$E$5="Volume",$C$54&gt;0,Results!$E$4="Fluid"),((BA45*BA$51)/(BA$54)),IF(AND(Results!$E$4="Cells",Results!$E$5="Million",$B$52="million"),((BA45*BA$51)/(BA$52)),"0")))))</f>
        <v>0</v>
      </c>
      <c r="BB98" s="20" t="str">
        <f>IF(BB45=0,"0",IF(AND(Results!$E$5="Protein",$C$53&gt;0,OR(Results!$E$4="Tissue",Results!$E$4="Cells")),((BB45*BB$51)/(BB$53)),IF(AND(Results!$E$5="Weight",$C$52&gt;0, Results!$E$4="Tissue",OR($B$52="g",$B$52="mg")),((BB45*BB$51)/(BB$52)),IF(AND(Results!$E$5="Volume",$C$54&gt;0,Results!$E$4="Fluid"),((BB45*BB$51)/(BB$54)),IF(AND(Results!$E$4="Cells",Results!$E$5="Million",$B$52="million"),((BB45*BB$51)/(BB$52)),"0")))))</f>
        <v>0</v>
      </c>
      <c r="BC98" s="20" t="str">
        <f>IF(BC45=0,"0",IF(AND(Results!$E$5="Protein",$C$53&gt;0,OR(Results!$E$4="Tissue",Results!$E$4="Cells")),((BC45*BC$51)/(BC$53)),IF(AND(Results!$E$5="Weight",$C$52&gt;0, Results!$E$4="Tissue",OR($B$52="g",$B$52="mg")),((BC45*BC$51)/(BC$52)),IF(AND(Results!$E$5="Volume",$C$54&gt;0,Results!$E$4="Fluid"),((BC45*BC$51)/(BC$54)),IF(AND(Results!$E$4="Cells",Results!$E$5="Million",$B$52="million"),((BC45*BC$51)/(BC$52)),"0")))))</f>
        <v>0</v>
      </c>
      <c r="BD98" s="20" t="str">
        <f>IF(BD45=0,"0",IF(AND(Results!$E$5="Protein",$C$53&gt;0,OR(Results!$E$4="Tissue",Results!$E$4="Cells")),((BD45*BD$51)/(BD$53)),IF(AND(Results!$E$5="Weight",$C$52&gt;0, Results!$E$4="Tissue",OR($B$52="g",$B$52="mg")),((BD45*BD$51)/(BD$52)),IF(AND(Results!$E$5="Volume",$C$54&gt;0,Results!$E$4="Fluid"),((BD45*BD$51)/(BD$54)),IF(AND(Results!$E$4="Cells",Results!$E$5="Million",$B$52="million"),((BD45*BD$51)/(BD$52)),"0")))))</f>
        <v>0</v>
      </c>
      <c r="BE98" s="20" t="str">
        <f>IF(BE45=0,"0",IF(AND(Results!$E$5="Protein",$C$53&gt;0,OR(Results!$E$4="Tissue",Results!$E$4="Cells")),((BE45*BE$51)/(BE$53)),IF(AND(Results!$E$5="Weight",$C$52&gt;0, Results!$E$4="Tissue",OR($B$52="g",$B$52="mg")),((BE45*BE$51)/(BE$52)),IF(AND(Results!$E$5="Volume",$C$54&gt;0,Results!$E$4="Fluid"),((BE45*BE$51)/(BE$54)),IF(AND(Results!$E$4="Cells",Results!$E$5="Million",$B$52="million"),((BE45*BE$51)/(BE$52)),"0")))))</f>
        <v>0</v>
      </c>
      <c r="BF98" s="20" t="str">
        <f>IF(BF45=0,"0",IF(AND(Results!$E$5="Protein",$C$53&gt;0,OR(Results!$E$4="Tissue",Results!$E$4="Cells")),((BF45*BF$51)/(BF$53)),IF(AND(Results!$E$5="Weight",$C$52&gt;0, Results!$E$4="Tissue",OR($B$52="g",$B$52="mg")),((BF45*BF$51)/(BF$52)),IF(AND(Results!$E$5="Volume",$C$54&gt;0,Results!$E$4="Fluid"),((BF45*BF$51)/(BF$54)),IF(AND(Results!$E$4="Cells",Results!$E$5="Million",$B$52="million"),((BF45*BF$51)/(BF$52)),"0")))))</f>
        <v>0</v>
      </c>
      <c r="BG98" s="20" t="str">
        <f>IF(BG45=0,"0",IF(AND(Results!$E$5="Protein",$C$53&gt;0,OR(Results!$E$4="Tissue",Results!$E$4="Cells")),((BG45*BG$51)/(BG$53)),IF(AND(Results!$E$5="Weight",$C$52&gt;0, Results!$E$4="Tissue",OR($B$52="g",$B$52="mg")),((BG45*BG$51)/(BG$52)),IF(AND(Results!$E$5="Volume",$C$54&gt;0,Results!$E$4="Fluid"),((BG45*BG$51)/(BG$54)),IF(AND(Results!$E$4="Cells",Results!$E$5="Million",$B$52="million"),((BG45*BG$51)/(BG$52)),"0")))))</f>
        <v>0</v>
      </c>
      <c r="BH98" s="20" t="str">
        <f>IF(BH45=0,"0",IF(AND(Results!$E$5="Protein",$C$53&gt;0,OR(Results!$E$4="Tissue",Results!$E$4="Cells")),((BH45*BH$51)/(BH$53)),IF(AND(Results!$E$5="Weight",$C$52&gt;0, Results!$E$4="Tissue",OR($B$52="g",$B$52="mg")),((BH45*BH$51)/(BH$52)),IF(AND(Results!$E$5="Volume",$C$54&gt;0,Results!$E$4="Fluid"),((BH45*BH$51)/(BH$54)),IF(AND(Results!$E$4="Cells",Results!$E$5="Million",$B$52="million"),((BH45*BH$51)/(BH$52)),"0")))))</f>
        <v>0</v>
      </c>
      <c r="BI98" s="20" t="str">
        <f>IF(BI45=0,"0",IF(AND(Results!$E$5="Protein",$C$53&gt;0,OR(Results!$E$4="Tissue",Results!$E$4="Cells")),((BI45*BI$51)/(BI$53)),IF(AND(Results!$E$5="Weight",$C$52&gt;0, Results!$E$4="Tissue",OR($B$52="g",$B$52="mg")),((BI45*BI$51)/(BI$52)),IF(AND(Results!$E$5="Volume",$C$54&gt;0,Results!$E$4="Fluid"),((BI45*BI$51)/(BI$54)),IF(AND(Results!$E$4="Cells",Results!$E$5="Million",$B$52="million"),((BI45*BI$51)/(BI$52)),"0")))))</f>
        <v>0</v>
      </c>
      <c r="BJ98" s="20" t="str">
        <f>IF(BJ45=0,"0",IF(AND(Results!$E$5="Protein",$C$53&gt;0,OR(Results!$E$4="Tissue",Results!$E$4="Cells")),((BJ45*BJ$51)/(BJ$53)),IF(AND(Results!$E$5="Weight",$C$52&gt;0, Results!$E$4="Tissue",OR($B$52="g",$B$52="mg")),((BJ45*BJ$51)/(BJ$52)),IF(AND(Results!$E$5="Volume",$C$54&gt;0,Results!$E$4="Fluid"),((BJ45*BJ$51)/(BJ$54)),IF(AND(Results!$E$4="Cells",Results!$E$5="Million",$B$52="million"),((BJ45*BJ$51)/(BJ$52)),"0")))))</f>
        <v>0</v>
      </c>
      <c r="BK98" s="20" t="str">
        <f>IF(BK45=0,"0",IF(AND(Results!$E$5="Protein",$C$53&gt;0,OR(Results!$E$4="Tissue",Results!$E$4="Cells")),((BK45*BK$51)/(BK$53)),IF(AND(Results!$E$5="Weight",$C$52&gt;0, Results!$E$4="Tissue",OR($B$52="g",$B$52="mg")),((BK45*BK$51)/(BK$52)),IF(AND(Results!$E$5="Volume",$C$54&gt;0,Results!$E$4="Fluid"),((BK45*BK$51)/(BK$54)),IF(AND(Results!$E$4="Cells",Results!$E$5="Million",$B$52="million"),((BK45*BK$51)/(BK$52)),"0")))))</f>
        <v>0</v>
      </c>
      <c r="BL98" s="20" t="str">
        <f>IF(BL45=0,"0",IF(AND(Results!$E$5="Protein",$C$53&gt;0,OR(Results!$E$4="Tissue",Results!$E$4="Cells")),((BL45*BL$51)/(BL$53)),IF(AND(Results!$E$5="Weight",$C$52&gt;0, Results!$E$4="Tissue",OR($B$52="g",$B$52="mg")),((BL45*BL$51)/(BL$52)),IF(AND(Results!$E$5="Volume",$C$54&gt;0,Results!$E$4="Fluid"),((BL45*BL$51)/(BL$54)),IF(AND(Results!$E$4="Cells",Results!$E$5="Million",$B$52="million"),((BL45*BL$51)/(BL$52)),"0")))))</f>
        <v>0</v>
      </c>
      <c r="BM98" s="20" t="str">
        <f>IF(BM45=0,"0",IF(AND(Results!$E$5="Protein",$C$53&gt;0,OR(Results!$E$4="Tissue",Results!$E$4="Cells")),((BM45*BM$51)/(BM$53)),IF(AND(Results!$E$5="Weight",$C$52&gt;0, Results!$E$4="Tissue",OR($B$52="g",$B$52="mg")),((BM45*BM$51)/(BM$52)),IF(AND(Results!$E$5="Volume",$C$54&gt;0,Results!$E$4="Fluid"),((BM45*BM$51)/(BM$54)),IF(AND(Results!$E$4="Cells",Results!$E$5="Million",$B$52="million"),((BM45*BM$51)/(BM$52)),"0")))))</f>
        <v>0</v>
      </c>
      <c r="BN98" s="20" t="str">
        <f>IF(BN45=0,"0",IF(AND(Results!$E$5="Protein",$C$53&gt;0,OR(Results!$E$4="Tissue",Results!$E$4="Cells")),((BN45*BN$51)/(BN$53)),IF(AND(Results!$E$5="Weight",$C$52&gt;0, Results!$E$4="Tissue",OR($B$52="g",$B$52="mg")),((BN45*BN$51)/(BN$52)),IF(AND(Results!$E$5="Volume",$C$54&gt;0,Results!$E$4="Fluid"),((BN45*BN$51)/(BN$54)),IF(AND(Results!$E$4="Cells",Results!$E$5="Million",$B$52="million"),((BN45*BN$51)/(BN$52)),"0")))))</f>
        <v>0</v>
      </c>
      <c r="BO98" s="20" t="str">
        <f>IF(BO45=0,"0",IF(AND(Results!$E$5="Protein",$C$53&gt;0,OR(Results!$E$4="Tissue",Results!$E$4="Cells")),((BO45*BO$51)/(BO$53)),IF(AND(Results!$E$5="Weight",$C$52&gt;0, Results!$E$4="Tissue",OR($B$52="g",$B$52="mg")),((BO45*BO$51)/(BO$52)),IF(AND(Results!$E$5="Volume",$C$54&gt;0,Results!$E$4="Fluid"),((BO45*BO$51)/(BO$54)),IF(AND(Results!$E$4="Cells",Results!$E$5="Million",$B$52="million"),((BO45*BO$51)/(BO$52)),"0")))))</f>
        <v>0</v>
      </c>
      <c r="BP98" s="20" t="str">
        <f>IF(BP45=0,"0",IF(AND(Results!$E$5="Protein",$C$53&gt;0,OR(Results!$E$4="Tissue",Results!$E$4="Cells")),((BP45*BP$51)/(BP$53)),IF(AND(Results!$E$5="Weight",$C$52&gt;0, Results!$E$4="Tissue",OR($B$52="g",$B$52="mg")),((BP45*BP$51)/(BP$52)),IF(AND(Results!$E$5="Volume",$C$54&gt;0,Results!$E$4="Fluid"),((BP45*BP$51)/(BP$54)),IF(AND(Results!$E$4="Cells",Results!$E$5="Million",$B$52="million"),((BP45*BP$51)/(BP$52)),"0")))))</f>
        <v>0</v>
      </c>
      <c r="BQ98" s="20" t="str">
        <f>IF(BQ45=0,"0",IF(AND(Results!$E$5="Protein",$C$53&gt;0,OR(Results!$E$4="Tissue",Results!$E$4="Cells")),((BQ45*BQ$51)/(BQ$53)),IF(AND(Results!$E$5="Weight",$C$52&gt;0, Results!$E$4="Tissue",OR($B$52="g",$B$52="mg")),((BQ45*BQ$51)/(BQ$52)),IF(AND(Results!$E$5="Volume",$C$54&gt;0,Results!$E$4="Fluid"),((BQ45*BQ$51)/(BQ$54)),IF(AND(Results!$E$4="Cells",Results!$E$5="Million",$B$52="million"),((BQ45*BQ$51)/(BQ$52)),"0")))))</f>
        <v>0</v>
      </c>
      <c r="BR98" s="20" t="str">
        <f>IF(BR45=0,"0",IF(AND(Results!$E$5="Protein",$C$53&gt;0,OR(Results!$E$4="Tissue",Results!$E$4="Cells")),((BR45*BR$51)/(BR$53)),IF(AND(Results!$E$5="Weight",$C$52&gt;0, Results!$E$4="Tissue",OR($B$52="g",$B$52="mg")),((BR45*BR$51)/(BR$52)),IF(AND(Results!$E$5="Volume",$C$54&gt;0,Results!$E$4="Fluid"),((BR45*BR$51)/(BR$54)),IF(AND(Results!$E$4="Cells",Results!$E$5="Million",$B$52="million"),((BR45*BR$51)/(BR$52)),"0")))))</f>
        <v>0</v>
      </c>
      <c r="BS98" s="20" t="str">
        <f>IF(BS45=0,"0",IF(AND(Results!$E$5="Protein",$C$53&gt;0,OR(Results!$E$4="Tissue",Results!$E$4="Cells")),((BS45*BS$51)/(BS$53)),IF(AND(Results!$E$5="Weight",$C$52&gt;0, Results!$E$4="Tissue",OR($B$52="g",$B$52="mg")),((BS45*BS$51)/(BS$52)),IF(AND(Results!$E$5="Volume",$C$54&gt;0,Results!$E$4="Fluid"),((BS45*BS$51)/(BS$54)),IF(AND(Results!$E$4="Cells",Results!$E$5="Million",$B$52="million"),((BS45*BS$51)/(BS$52)),"0")))))</f>
        <v>0</v>
      </c>
      <c r="BT98" s="20" t="str">
        <f>IF(BT45=0,"0",IF(AND(Results!$E$5="Protein",$C$53&gt;0,OR(Results!$E$4="Tissue",Results!$E$4="Cells")),((BT45*BT$51)/(BT$53)),IF(AND(Results!$E$5="Weight",$C$52&gt;0, Results!$E$4="Tissue",OR($B$52="g",$B$52="mg")),((BT45*BT$51)/(BT$52)),IF(AND(Results!$E$5="Volume",$C$54&gt;0,Results!$E$4="Fluid"),((BT45*BT$51)/(BT$54)),IF(AND(Results!$E$4="Cells",Results!$E$5="Million",$B$52="million"),((BT45*BT$51)/(BT$52)),"0")))))</f>
        <v>0</v>
      </c>
      <c r="BU98" s="20" t="str">
        <f>IF(BU45=0,"0",IF(AND(Results!$E$5="Protein",$C$53&gt;0,OR(Results!$E$4="Tissue",Results!$E$4="Cells")),((BU45*BU$51)/(BU$53)),IF(AND(Results!$E$5="Weight",$C$52&gt;0, Results!$E$4="Tissue",OR($B$52="g",$B$52="mg")),((BU45*BU$51)/(BU$52)),IF(AND(Results!$E$5="Volume",$C$54&gt;0,Results!$E$4="Fluid"),((BU45*BU$51)/(BU$54)),IF(AND(Results!$E$4="Cells",Results!$E$5="Million",$B$52="million"),((BU45*BU$51)/(BU$52)),"0")))))</f>
        <v>0</v>
      </c>
      <c r="BV98" s="20" t="str">
        <f>IF(BV45=0,"0",IF(AND(Results!$E$5="Protein",$C$53&gt;0,OR(Results!$E$4="Tissue",Results!$E$4="Cells")),((BV45*BV$51)/(BV$53)),IF(AND(Results!$E$5="Weight",$C$52&gt;0, Results!$E$4="Tissue",OR($B$52="g",$B$52="mg")),((BV45*BV$51)/(BV$52)),IF(AND(Results!$E$5="Volume",$C$54&gt;0,Results!$E$4="Fluid"),((BV45*BV$51)/(BV$54)),IF(AND(Results!$E$4="Cells",Results!$E$5="Million",$B$52="million"),((BV45*BV$51)/(BV$52)),"0")))))</f>
        <v>0</v>
      </c>
      <c r="BW98" s="20" t="str">
        <f>IF(BW45=0,"0",IF(AND(Results!$E$5="Protein",$C$53&gt;0,OR(Results!$E$4="Tissue",Results!$E$4="Cells")),((BW45*BW$51)/(BW$53)),IF(AND(Results!$E$5="Weight",$C$52&gt;0, Results!$E$4="Tissue",OR($B$52="g",$B$52="mg")),((BW45*BW$51)/(BW$52)),IF(AND(Results!$E$5="Volume",$C$54&gt;0,Results!$E$4="Fluid"),((BW45*BW$51)/(BW$54)),IF(AND(Results!$E$4="Cells",Results!$E$5="Million",$B$52="million"),((BW45*BW$51)/(BW$52)),"0")))))</f>
        <v>0</v>
      </c>
      <c r="BX98" s="20" t="str">
        <f>IF(BX45=0,"0",IF(AND(Results!$E$5="Protein",$C$53&gt;0,OR(Results!$E$4="Tissue",Results!$E$4="Cells")),((BX45*BX$51)/(BX$53)),IF(AND(Results!$E$5="Weight",$C$52&gt;0, Results!$E$4="Tissue",OR($B$52="g",$B$52="mg")),((BX45*BX$51)/(BX$52)),IF(AND(Results!$E$5="Volume",$C$54&gt;0,Results!$E$4="Fluid"),((BX45*BX$51)/(BX$54)),IF(AND(Results!$E$4="Cells",Results!$E$5="Million",$B$52="million"),((BX45*BX$51)/(BX$52)),"0")))))</f>
        <v>0</v>
      </c>
      <c r="BY98" s="20" t="str">
        <f>IF(BY45=0,"0",IF(AND(Results!$E$5="Protein",$C$53&gt;0,OR(Results!$E$4="Tissue",Results!$E$4="Cells")),((BY45*BY$51)/(BY$53)),IF(AND(Results!$E$5="Weight",$C$52&gt;0, Results!$E$4="Tissue",OR($B$52="g",$B$52="mg")),((BY45*BY$51)/(BY$52)),IF(AND(Results!$E$5="Volume",$C$54&gt;0,Results!$E$4="Fluid"),((BY45*BY$51)/(BY$54)),IF(AND(Results!$E$4="Cells",Results!$E$5="Million",$B$52="million"),((BY45*BY$51)/(BY$52)),"0")))))</f>
        <v>0</v>
      </c>
      <c r="BZ98" s="20" t="str">
        <f>IF(BZ45=0,"0",IF(AND(Results!$E$5="Protein",$C$53&gt;0,OR(Results!$E$4="Tissue",Results!$E$4="Cells")),((BZ45*BZ$51)/(BZ$53)),IF(AND(Results!$E$5="Weight",$C$52&gt;0, Results!$E$4="Tissue",OR($B$52="g",$B$52="mg")),((BZ45*BZ$51)/(BZ$52)),IF(AND(Results!$E$5="Volume",$C$54&gt;0,Results!$E$4="Fluid"),((BZ45*BZ$51)/(BZ$54)),IF(AND(Results!$E$4="Cells",Results!$E$5="Million",$B$52="million"),((BZ45*BZ$51)/(BZ$52)),"0")))))</f>
        <v>0</v>
      </c>
      <c r="CA98" s="20" t="str">
        <f>IF(CA45=0,"0",IF(AND(Results!$E$5="Protein",$C$53&gt;0,OR(Results!$E$4="Tissue",Results!$E$4="Cells")),((CA45*CA$51)/(CA$53)),IF(AND(Results!$E$5="Weight",$C$52&gt;0, Results!$E$4="Tissue",OR($B$52="g",$B$52="mg")),((CA45*CA$51)/(CA$52)),IF(AND(Results!$E$5="Volume",$C$54&gt;0,Results!$E$4="Fluid"),((CA45*CA$51)/(CA$54)),IF(AND(Results!$E$4="Cells",Results!$E$5="Million",$B$52="million"),((CA45*CA$51)/(CA$52)),"0")))))</f>
        <v>0</v>
      </c>
      <c r="CB98" s="20" t="str">
        <f>IF(CB45=0,"0",IF(AND(Results!$E$5="Protein",$C$53&gt;0,OR(Results!$E$4="Tissue",Results!$E$4="Cells")),((CB45*CB$51)/(CB$53)),IF(AND(Results!$E$5="Weight",$C$52&gt;0, Results!$E$4="Tissue",OR($B$52="g",$B$52="mg")),((CB45*CB$51)/(CB$52)),IF(AND(Results!$E$5="Volume",$C$54&gt;0,Results!$E$4="Fluid"),((CB45*CB$51)/(CB$54)),IF(AND(Results!$E$4="Cells",Results!$E$5="Million",$B$52="million"),((CB45*CB$51)/(CB$52)),"0")))))</f>
        <v>0</v>
      </c>
      <c r="CC98" s="20" t="str">
        <f>IF(CC45=0,"0",IF(AND(Results!$E$5="Protein",$C$53&gt;0,OR(Results!$E$4="Tissue",Results!$E$4="Cells")),((CC45*CC$51)/(CC$53)),IF(AND(Results!$E$5="Weight",$C$52&gt;0, Results!$E$4="Tissue",OR($B$52="g",$B$52="mg")),((CC45*CC$51)/(CC$52)),IF(AND(Results!$E$5="Volume",$C$54&gt;0,Results!$E$4="Fluid"),((CC45*CC$51)/(CC$54)),IF(AND(Results!$E$4="Cells",Results!$E$5="Million",$B$52="million"),((CC45*CC$51)/(CC$52)),"0")))))</f>
        <v>0</v>
      </c>
      <c r="CD98" s="20" t="str">
        <f>IF(CD45=0,"0",IF(AND(Results!$E$5="Protein",$C$53&gt;0,OR(Results!$E$4="Tissue",Results!$E$4="Cells")),((CD45*CD$51)/(CD$53)),IF(AND(Results!$E$5="Weight",$C$52&gt;0, Results!$E$4="Tissue",OR($B$52="g",$B$52="mg")),((CD45*CD$51)/(CD$52)),IF(AND(Results!$E$5="Volume",$C$54&gt;0,Results!$E$4="Fluid"),((CD45*CD$51)/(CD$54)),IF(AND(Results!$E$4="Cells",Results!$E$5="Million",$B$52="million"),((CD45*CD$51)/(CD$52)),"0")))))</f>
        <v>0</v>
      </c>
      <c r="CE98" s="20" t="str">
        <f>IF(CE45=0,"0",IF(AND(Results!$E$5="Protein",$C$53&gt;0,OR(Results!$E$4="Tissue",Results!$E$4="Cells")),((CE45*CE$51)/(CE$53)),IF(AND(Results!$E$5="Weight",$C$52&gt;0, Results!$E$4="Tissue",OR($B$52="g",$B$52="mg")),((CE45*CE$51)/(CE$52)),IF(AND(Results!$E$5="Volume",$C$54&gt;0,Results!$E$4="Fluid"),((CE45*CE$51)/(CE$54)),IF(AND(Results!$E$4="Cells",Results!$E$5="Million",$B$52="million"),((CE45*CE$51)/(CE$52)),"0")))))</f>
        <v>0</v>
      </c>
      <c r="CF98" s="20" t="str">
        <f>IF(CF45=0,"0",IF(AND(Results!$E$5="Protein",$C$53&gt;0,OR(Results!$E$4="Tissue",Results!$E$4="Cells")),((CF45*CF$51)/(CF$53)),IF(AND(Results!$E$5="Weight",$C$52&gt;0, Results!$E$4="Tissue",OR($B$52="g",$B$52="mg")),((CF45*CF$51)/(CF$52)),IF(AND(Results!$E$5="Volume",$C$54&gt;0,Results!$E$4="Fluid"),((CF45*CF$51)/(CF$54)),IF(AND(Results!$E$4="Cells",Results!$E$5="Million",$B$52="million"),((CF45*CF$51)/(CF$52)),"0")))))</f>
        <v>0</v>
      </c>
      <c r="CG98" s="20" t="str">
        <f>IF(CG45=0,"0",IF(AND(Results!$E$5="Protein",$C$53&gt;0,OR(Results!$E$4="Tissue",Results!$E$4="Cells")),((CG45*CG$51)/(CG$53)),IF(AND(Results!$E$5="Weight",$C$52&gt;0, Results!$E$4="Tissue",OR($B$52="g",$B$52="mg")),((CG45*CG$51)/(CG$52)),IF(AND(Results!$E$5="Volume",$C$54&gt;0,Results!$E$4="Fluid"),((CG45*CG$51)/(CG$54)),IF(AND(Results!$E$4="Cells",Results!$E$5="Million",$B$52="million"),((CG45*CG$51)/(CG$52)),"0")))))</f>
        <v>0</v>
      </c>
      <c r="CH98" s="20" t="str">
        <f>IF(CH45=0,"0",IF(AND(Results!$E$5="Protein",$C$53&gt;0,OR(Results!$E$4="Tissue",Results!$E$4="Cells")),((CH45*CH$51)/(CH$53)),IF(AND(Results!$E$5="Weight",$C$52&gt;0, Results!$E$4="Tissue",OR($B$52="g",$B$52="mg")),((CH45*CH$51)/(CH$52)),IF(AND(Results!$E$5="Volume",$C$54&gt;0,Results!$E$4="Fluid"),((CH45*CH$51)/(CH$54)),IF(AND(Results!$E$4="Cells",Results!$E$5="Million",$B$52="million"),((CH45*CH$51)/(CH$52)),"0")))))</f>
        <v>0</v>
      </c>
      <c r="CI98" s="20" t="str">
        <f>IF(CI45=0,"0",IF(AND(Results!$E$5="Protein",$C$53&gt;0,OR(Results!$E$4="Tissue",Results!$E$4="Cells")),((CI45*CI$51)/(CI$53)),IF(AND(Results!$E$5="Weight",$C$52&gt;0, Results!$E$4="Tissue",OR($B$52="g",$B$52="mg")),((CI45*CI$51)/(CI$52)),IF(AND(Results!$E$5="Volume",$C$54&gt;0,Results!$E$4="Fluid"),((CI45*CI$51)/(CI$54)),IF(AND(Results!$E$4="Cells",Results!$E$5="Million",$B$52="million"),((CI45*CI$51)/(CI$52)),"0")))))</f>
        <v>0</v>
      </c>
      <c r="CJ98" s="20" t="str">
        <f>IF(CJ45=0,"0",IF(AND(Results!$E$5="Protein",$C$53&gt;0,OR(Results!$E$4="Tissue",Results!$E$4="Cells")),((CJ45*CJ$51)/(CJ$53)),IF(AND(Results!$E$5="Weight",$C$52&gt;0, Results!$E$4="Tissue",OR($B$52="g",$B$52="mg")),((CJ45*CJ$51)/(CJ$52)),IF(AND(Results!$E$5="Volume",$C$54&gt;0,Results!$E$4="Fluid"),((CJ45*CJ$51)/(CJ$54)),IF(AND(Results!$E$4="Cells",Results!$E$5="Million",$B$52="million"),((CJ45*CJ$51)/(CJ$52)),"0")))))</f>
        <v>0</v>
      </c>
      <c r="CK98" s="20" t="str">
        <f>IF(CK45=0,"0",IF(AND(Results!$E$5="Protein",$C$53&gt;0,OR(Results!$E$4="Tissue",Results!$E$4="Cells")),((CK45*CK$51)/(CK$53)),IF(AND(Results!$E$5="Weight",$C$52&gt;0, Results!$E$4="Tissue",OR($B$52="g",$B$52="mg")),((CK45*CK$51)/(CK$52)),IF(AND(Results!$E$5="Volume",$C$54&gt;0,Results!$E$4="Fluid"),((CK45*CK$51)/(CK$54)),IF(AND(Results!$E$4="Cells",Results!$E$5="Million",$B$52="million"),((CK45*CK$51)/(CK$52)),"0")))))</f>
        <v>0</v>
      </c>
      <c r="CL98" s="20" t="str">
        <f>IF(CL45=0,"0",IF(AND(Results!$E$5="Protein",$C$53&gt;0,OR(Results!$E$4="Tissue",Results!$E$4="Cells")),((CL45*CL$51)/(CL$53)),IF(AND(Results!$E$5="Weight",$C$52&gt;0, Results!$E$4="Tissue",OR($B$52="g",$B$52="mg")),((CL45*CL$51)/(CL$52)),IF(AND(Results!$E$5="Volume",$C$54&gt;0,Results!$E$4="Fluid"),((CL45*CL$51)/(CL$54)),IF(AND(Results!$E$4="Cells",Results!$E$5="Million",$B$52="million"),((CL45*CL$51)/(CL$52)),"0")))))</f>
        <v>0</v>
      </c>
      <c r="CM98" s="20" t="str">
        <f>IF(CM45=0,"0",IF(AND(Results!$E$5="Protein",$C$53&gt;0,OR(Results!$E$4="Tissue",Results!$E$4="Cells")),((CM45*CM$51)/(CM$53)),IF(AND(Results!$E$5="Weight",$C$52&gt;0, Results!$E$4="Tissue",OR($B$52="g",$B$52="mg")),((CM45*CM$51)/(CM$52)),IF(AND(Results!$E$5="Volume",$C$54&gt;0,Results!$E$4="Fluid"),((CM45*CM$51)/(CM$54)),IF(AND(Results!$E$4="Cells",Results!$E$5="Million",$B$52="million"),((CM45*CM$51)/(CM$52)),"0")))))</f>
        <v>0</v>
      </c>
      <c r="CN98" s="20" t="str">
        <f>IF(CN45=0,"0",IF(AND(Results!$E$5="Protein",$C$53&gt;0,OR(Results!$E$4="Tissue",Results!$E$4="Cells")),((CN45*CN$51)/(CN$53)),IF(AND(Results!$E$5="Weight",$C$52&gt;0, Results!$E$4="Tissue",OR($B$52="g",$B$52="mg")),((CN45*CN$51)/(CN$52)),IF(AND(Results!$E$5="Volume",$C$54&gt;0,Results!$E$4="Fluid"),((CN45*CN$51)/(CN$54)),IF(AND(Results!$E$4="Cells",Results!$E$5="Million",$B$52="million"),((CN45*CN$51)/(CN$52)),"0")))))</f>
        <v>0</v>
      </c>
      <c r="CO98" s="20" t="str">
        <f>IF(CO45=0,"0",IF(AND(Results!$E$5="Protein",$C$53&gt;0,OR(Results!$E$4="Tissue",Results!$E$4="Cells")),((CO45*CO$51)/(CO$53)),IF(AND(Results!$E$5="Weight",$C$52&gt;0, Results!$E$4="Tissue",OR($B$52="g",$B$52="mg")),((CO45*CO$51)/(CO$52)),IF(AND(Results!$E$5="Volume",$C$54&gt;0,Results!$E$4="Fluid"),((CO45*CO$51)/(CO$54)),IF(AND(Results!$E$4="Cells",Results!$E$5="Million",$B$52="million"),((CO45*CO$51)/(CO$52)),"0")))))</f>
        <v>0</v>
      </c>
      <c r="CP98" s="20" t="str">
        <f>IF(CP45=0,"0",IF(AND(Results!$E$5="Protein",$C$53&gt;0,OR(Results!$E$4="Tissue",Results!$E$4="Cells")),((CP45*CP$51)/(CP$53)),IF(AND(Results!$E$5="Weight",$C$52&gt;0, Results!$E$4="Tissue",OR($B$52="g",$B$52="mg")),((CP45*CP$51)/(CP$52)),IF(AND(Results!$E$5="Volume",$C$54&gt;0,Results!$E$4="Fluid"),((CP45*CP$51)/(CP$54)),IF(AND(Results!$E$4="Cells",Results!$E$5="Million",$B$52="million"),((CP45*CP$51)/(CP$52)),"0")))))</f>
        <v>0</v>
      </c>
      <c r="CQ98" s="20" t="str">
        <f>IF(CQ45=0,"0",IF(AND(Results!$E$5="Protein",$C$53&gt;0,OR(Results!$E$4="Tissue",Results!$E$4="Cells")),((CQ45*CQ$51)/(CQ$53)),IF(AND(Results!$E$5="Weight",$C$52&gt;0, Results!$E$4="Tissue",OR($B$52="g",$B$52="mg")),((CQ45*CQ$51)/(CQ$52)),IF(AND(Results!$E$5="Volume",$C$54&gt;0,Results!$E$4="Fluid"),((CQ45*CQ$51)/(CQ$54)),IF(AND(Results!$E$4="Cells",Results!$E$5="Million",$B$52="million"),((CQ45*CQ$51)/(CQ$52)),"0")))))</f>
        <v>0</v>
      </c>
      <c r="CR98" s="20" t="str">
        <f>IF(CR45=0,"0",IF(AND(Results!$E$5="Protein",$C$53&gt;0,OR(Results!$E$4="Tissue",Results!$E$4="Cells")),((CR45*CR$51)/(CR$53)),IF(AND(Results!$E$5="Weight",$C$52&gt;0, Results!$E$4="Tissue",OR($B$52="g",$B$52="mg")),((CR45*CR$51)/(CR$52)),IF(AND(Results!$E$5="Volume",$C$54&gt;0,Results!$E$4="Fluid"),((CR45*CR$51)/(CR$54)),IF(AND(Results!$E$4="Cells",Results!$E$5="Million",$B$52="million"),((CR45*CR$51)/(CR$52)),"0")))))</f>
        <v>0</v>
      </c>
      <c r="CS98" s="20" t="str">
        <f>IF(CS45=0,"0",IF(AND(Results!$E$5="Protein",$C$53&gt;0,OR(Results!$E$4="Tissue",Results!$E$4="Cells")),((CS45*CS$51)/(CS$53)),IF(AND(Results!$E$5="Weight",$C$52&gt;0, Results!$E$4="Tissue",OR($B$52="g",$B$52="mg")),((CS45*CS$51)/(CS$52)),IF(AND(Results!$E$5="Volume",$C$54&gt;0,Results!$E$4="Fluid"),((CS45*CS$51)/(CS$54)),IF(AND(Results!$E$4="Cells",Results!$E$5="Million",$B$52="million"),((CS45*CS$51)/(CS$52)),"0")))))</f>
        <v>0</v>
      </c>
      <c r="CT98" s="20" t="str">
        <f>IF(CT45=0,"0",IF(AND(Results!$E$5="Protein",$C$53&gt;0,OR(Results!$E$4="Tissue",Results!$E$4="Cells")),((CT45*CT$51)/(CT$53)),IF(AND(Results!$E$5="Weight",$C$52&gt;0, Results!$E$4="Tissue",OR($B$52="g",$B$52="mg")),((CT45*CT$51)/(CT$52)),IF(AND(Results!$E$5="Volume",$C$54&gt;0,Results!$E$4="Fluid"),((CT45*CT$51)/(CT$54)),IF(AND(Results!$E$4="Cells",Results!$E$5="Million",$B$52="million"),((CT45*CT$51)/(CT$52)),"0")))))</f>
        <v>0</v>
      </c>
      <c r="CU98" s="20" t="str">
        <f>IF(CU45=0,"0",IF(AND(Results!$E$5="Protein",$C$53&gt;0,OR(Results!$E$4="Tissue",Results!$E$4="Cells")),((CU45*CU$51)/(CU$53)),IF(AND(Results!$E$5="Weight",$C$52&gt;0, Results!$E$4="Tissue",OR($B$52="g",$B$52="mg")),((CU45*CU$51)/(CU$52)),IF(AND(Results!$E$5="Volume",$C$54&gt;0,Results!$E$4="Fluid"),((CU45*CU$51)/(CU$54)),IF(AND(Results!$E$4="Cells",Results!$E$5="Million",$B$52="million"),((CU45*CU$51)/(CU$52)),"0")))))</f>
        <v>0</v>
      </c>
      <c r="CV98" s="20" t="str">
        <f>IF(CV45=0,"0",IF(AND(Results!$E$5="Protein",$C$53&gt;0,OR(Results!$E$4="Tissue",Results!$E$4="Cells")),((CV45*CV$51)/(CV$53)),IF(AND(Results!$E$5="Weight",$C$52&gt;0, Results!$E$4="Tissue",OR($B$52="g",$B$52="mg")),((CV45*CV$51)/(CV$52)),IF(AND(Results!$E$5="Volume",$C$54&gt;0,Results!$E$4="Fluid"),((CV45*CV$51)/(CV$54)),IF(AND(Results!$E$4="Cells",Results!$E$5="Million",$B$52="million"),((CV45*CV$51)/(CV$52)),"0")))))</f>
        <v>0</v>
      </c>
      <c r="CW98" s="20" t="str">
        <f>IF(CW45=0,"0",IF(AND(Results!$E$5="Protein",$C$53&gt;0,OR(Results!$E$4="Tissue",Results!$E$4="Cells")),((CW45*CW$51)/(CW$53)),IF(AND(Results!$E$5="Weight",$C$52&gt;0, Results!$E$4="Tissue",OR($B$52="g",$B$52="mg")),((CW45*CW$51)/(CW$52)),IF(AND(Results!$E$5="Volume",$C$54&gt;0,Results!$E$4="Fluid"),((CW45*CW$51)/(CW$54)),IF(AND(Results!$E$4="Cells",Results!$E$5="Million",$B$52="million"),((CW45*CW$51)/(CW$52)),"0")))))</f>
        <v>0</v>
      </c>
      <c r="CX98" s="20" t="str">
        <f>IF(CX45=0,"0",IF(AND(Results!$E$5="Protein",$C$53&gt;0,OR(Results!$E$4="Tissue",Results!$E$4="Cells")),((CX45*CX$51)/(CX$53)),IF(AND(Results!$E$5="Weight",$C$52&gt;0, Results!$E$4="Tissue",OR($B$52="g",$B$52="mg")),((CX45*CX$51)/(CX$52)),IF(AND(Results!$E$5="Volume",$C$54&gt;0,Results!$E$4="Fluid"),((CX45*CX$51)/(CX$54)),IF(AND(Results!$E$4="Cells",Results!$E$5="Million",$B$52="million"),((CX45*CX$51)/(CX$52)),"0")))))</f>
        <v>0</v>
      </c>
      <c r="CY98" s="20" t="str">
        <f>IF(CY45=0,"0",IF(AND(Results!$E$5="Protein",$C$53&gt;0,OR(Results!$E$4="Tissue",Results!$E$4="Cells")),((CY45*CY$51)/(CY$53)),IF(AND(Results!$E$5="Weight",$C$52&gt;0, Results!$E$4="Tissue",OR($B$52="g",$B$52="mg")),((CY45*CY$51)/(CY$52)),IF(AND(Results!$E$5="Volume",$C$54&gt;0,Results!$E$4="Fluid"),((CY45*CY$51)/(CY$54)),IF(AND(Results!$E$4="Cells",Results!$E$5="Million",$B$52="million"),((CY45*CY$51)/(CY$52)),"0")))))</f>
        <v>0</v>
      </c>
      <c r="CZ98" s="20" t="str">
        <f>IF(CZ45=0,"0",IF(AND(Results!$E$5="Protein",$C$53&gt;0,OR(Results!$E$4="Tissue",Results!$E$4="Cells")),((CZ45*CZ$51)/(CZ$53)),IF(AND(Results!$E$5="Weight",$C$52&gt;0, Results!$E$4="Tissue",OR($B$52="g",$B$52="mg")),((CZ45*CZ$51)/(CZ$52)),IF(AND(Results!$E$5="Volume",$C$54&gt;0,Results!$E$4="Fluid"),((CZ45*CZ$51)/(CZ$54)),IF(AND(Results!$E$4="Cells",Results!$E$5="Million",$B$52="million"),((CZ45*CZ$51)/(CZ$52)),"0")))))</f>
        <v>0</v>
      </c>
      <c r="DA98" s="20" t="str">
        <f>IF(DA45=0,"0",IF(AND(Results!$E$5="Protein",$C$53&gt;0,OR(Results!$E$4="Tissue",Results!$E$4="Cells")),((DA45*DA$51)/(DA$53)),IF(AND(Results!$E$5="Weight",$C$52&gt;0, Results!$E$4="Tissue",OR($B$52="g",$B$52="mg")),((DA45*DA$51)/(DA$52)),IF(AND(Results!$E$5="Volume",$C$54&gt;0,Results!$E$4="Fluid"),((DA45*DA$51)/(DA$54)),IF(AND(Results!$E$4="Cells",Results!$E$5="Million",$B$52="million"),((DA45*DA$51)/(DA$52)),"0")))))</f>
        <v>0</v>
      </c>
      <c r="DB98" s="20" t="str">
        <f>IF(DB45=0,"0",IF(AND(Results!$E$5="Protein",$C$53&gt;0,OR(Results!$E$4="Tissue",Results!$E$4="Cells")),((DB45*DB$51)/(DB$53)),IF(AND(Results!$E$5="Weight",$C$52&gt;0, Results!$E$4="Tissue",OR($B$52="g",$B$52="mg")),((DB45*DB$51)/(DB$52)),IF(AND(Results!$E$5="Volume",$C$54&gt;0,Results!$E$4="Fluid"),((DB45*DB$51)/(DB$54)),IF(AND(Results!$E$4="Cells",Results!$E$5="Million",$B$52="million"),((DB45*DB$51)/(DB$52)),"0")))))</f>
        <v>0</v>
      </c>
      <c r="DC98" s="20" t="str">
        <f>IF(DC45=0,"0",IF(AND(Results!$E$5="Protein",$C$53&gt;0,OR(Results!$E$4="Tissue",Results!$E$4="Cells")),((DC45*DC$51)/(DC$53)),IF(AND(Results!$E$5="Weight",$C$52&gt;0, Results!$E$4="Tissue",OR($B$52="g",$B$52="mg")),((DC45*DC$51)/(DC$52)),IF(AND(Results!$E$5="Volume",$C$54&gt;0,Results!$E$4="Fluid"),((DC45*DC$51)/(DC$54)),IF(AND(Results!$E$4="Cells",Results!$E$5="Million",$B$52="million"),((DC45*DC$51)/(DC$52)),"0")))))</f>
        <v>0</v>
      </c>
      <c r="DD98" s="20" t="str">
        <f>IF(DD45=0,"0",IF(AND(Results!$E$5="Protein",$C$53&gt;0,OR(Results!$E$4="Tissue",Results!$E$4="Cells")),((DD45*DD$51)/(DD$53)),IF(AND(Results!$E$5="Weight",$C$52&gt;0, Results!$E$4="Tissue",OR($B$52="g",$B$52="mg")),((DD45*DD$51)/(DD$52)),IF(AND(Results!$E$5="Volume",$C$54&gt;0,Results!$E$4="Fluid"),((DD45*DD$51)/(DD$54)),IF(AND(Results!$E$4="Cells",Results!$E$5="Million",$B$52="million"),((DD45*DD$51)/(DD$52)),"0")))))</f>
        <v>0</v>
      </c>
      <c r="DE98" s="20" t="str">
        <f>IF(DE45=0,"0",IF(AND(Results!$E$5="Protein",$C$53&gt;0,OR(Results!$E$4="Tissue",Results!$E$4="Cells")),((DE45*DE$51)/(DE$53)),IF(AND(Results!$E$5="Weight",$C$52&gt;0, Results!$E$4="Tissue",OR($B$52="g",$B$52="mg")),((DE45*DE$51)/(DE$52)),IF(AND(Results!$E$5="Volume",$C$54&gt;0,Results!$E$4="Fluid"),((DE45*DE$51)/(DE$54)),IF(AND(Results!$E$4="Cells",Results!$E$5="Million",$B$52="million"),((DE45*DE$51)/(DE$52)),"0")))))</f>
        <v>0</v>
      </c>
      <c r="DF98" s="20" t="str">
        <f>IF(DF45=0,"0",IF(AND(Results!$E$5="Protein",$C$53&gt;0,OR(Results!$E$4="Tissue",Results!$E$4="Cells")),((DF45*DF$51)/(DF$53)),IF(AND(Results!$E$5="Weight",$C$52&gt;0, Results!$E$4="Tissue",OR($B$52="g",$B$52="mg")),((DF45*DF$51)/(DF$52)),IF(AND(Results!$E$5="Volume",$C$54&gt;0,Results!$E$4="Fluid"),((DF45*DF$51)/(DF$54)),IF(AND(Results!$E$4="Cells",Results!$E$5="Million",$B$52="million"),((DF45*DF$51)/(DF$52)),"0")))))</f>
        <v>0</v>
      </c>
      <c r="DG98" s="20" t="str">
        <f>IF(DG45=0,"0",IF(AND(Results!$E$5="Protein",$C$53&gt;0,OR(Results!$E$4="Tissue",Results!$E$4="Cells")),((DG45*DG$51)/(DG$53)),IF(AND(Results!$E$5="Weight",$C$52&gt;0, Results!$E$4="Tissue",OR($B$52="g",$B$52="mg")),((DG45*DG$51)/(DG$52)),IF(AND(Results!$E$5="Volume",$C$54&gt;0,Results!$E$4="Fluid"),((DG45*DG$51)/(DG$54)),IF(AND(Results!$E$4="Cells",Results!$E$5="Million",$B$52="million"),((DG45*DG$51)/(DG$52)),"0")))))</f>
        <v>0</v>
      </c>
      <c r="DH98" s="20" t="str">
        <f>IF(DH45=0,"0",IF(AND(Results!$E$5="Protein",$C$53&gt;0,OR(Results!$E$4="Tissue",Results!$E$4="Cells")),((DH45*DH$51)/(DH$53)),IF(AND(Results!$E$5="Weight",$C$52&gt;0, Results!$E$4="Tissue",OR($B$52="g",$B$52="mg")),((DH45*DH$51)/(DH$52)),IF(AND(Results!$E$5="Volume",$C$54&gt;0,Results!$E$4="Fluid"),((DH45*DH$51)/(DH$54)),IF(AND(Results!$E$4="Cells",Results!$E$5="Million",$B$52="million"),((DH45*DH$51)/(DH$52)),"0")))))</f>
        <v>0</v>
      </c>
      <c r="DI98" s="20" t="str">
        <f>IF(DI45=0,"0",IF(AND(Results!$E$5="Protein",$C$53&gt;0,OR(Results!$E$4="Tissue",Results!$E$4="Cells")),((DI45*DI$51)/(DI$53)),IF(AND(Results!$E$5="Weight",$C$52&gt;0, Results!$E$4="Tissue",OR($B$52="g",$B$52="mg")),((DI45*DI$51)/(DI$52)),IF(AND(Results!$E$5="Volume",$C$54&gt;0,Results!$E$4="Fluid"),((DI45*DI$51)/(DI$54)),IF(AND(Results!$E$4="Cells",Results!$E$5="Million",$B$52="million"),((DI45*DI$51)/(DI$52)),"0")))))</f>
        <v>0</v>
      </c>
      <c r="DJ98" s="20" t="str">
        <f>IF(DJ45=0,"0",IF(AND(Results!$E$5="Protein",$C$53&gt;0,OR(Results!$E$4="Tissue",Results!$E$4="Cells")),((DJ45*DJ$51)/(DJ$53)),IF(AND(Results!$E$5="Weight",$C$52&gt;0, Results!$E$4="Tissue",OR($B$52="g",$B$52="mg")),((DJ45*DJ$51)/(DJ$52)),IF(AND(Results!$E$5="Volume",$C$54&gt;0,Results!$E$4="Fluid"),((DJ45*DJ$51)/(DJ$54)),IF(AND(Results!$E$4="Cells",Results!$E$5="Million",$B$52="million"),((DJ45*DJ$51)/(DJ$52)),"0")))))</f>
        <v>0</v>
      </c>
      <c r="DK98" s="20" t="str">
        <f>IF(DK45=0,"0",IF(AND(Results!$E$5="Protein",$C$53&gt;0,OR(Results!$E$4="Tissue",Results!$E$4="Cells")),((DK45*DK$51)/(DK$53)),IF(AND(Results!$E$5="Weight",$C$52&gt;0, Results!$E$4="Tissue",OR($B$52="g",$B$52="mg")),((DK45*DK$51)/(DK$52)),IF(AND(Results!$E$5="Volume",$C$54&gt;0,Results!$E$4="Fluid"),((DK45*DK$51)/(DK$54)),IF(AND(Results!$E$4="Cells",Results!$E$5="Million",$B$52="million"),((DK45*DK$51)/(DK$52)),"0")))))</f>
        <v>0</v>
      </c>
      <c r="DL98" s="20" t="str">
        <f>IF(DL45=0,"0",IF(AND(Results!$E$5="Protein",$C$53&gt;0,OR(Results!$E$4="Tissue",Results!$E$4="Cells")),((DL45*DL$51)/(DL$53)),IF(AND(Results!$E$5="Weight",$C$52&gt;0, Results!$E$4="Tissue",OR($B$52="g",$B$52="mg")),((DL45*DL$51)/(DL$52)),IF(AND(Results!$E$5="Volume",$C$54&gt;0,Results!$E$4="Fluid"),((DL45*DL$51)/(DL$54)),IF(AND(Results!$E$4="Cells",Results!$E$5="Million",$B$52="million"),((DL45*DL$51)/(DL$52)),"0")))))</f>
        <v>0</v>
      </c>
      <c r="DM98" s="20" t="str">
        <f>IF(DM45=0,"0",IF(AND(Results!$E$5="Protein",$C$53&gt;0,OR(Results!$E$4="Tissue",Results!$E$4="Cells")),((DM45*DM$51)/(DM$53)),IF(AND(Results!$E$5="Weight",$C$52&gt;0, Results!$E$4="Tissue",OR($B$52="g",$B$52="mg")),((DM45*DM$51)/(DM$52)),IF(AND(Results!$E$5="Volume",$C$54&gt;0,Results!$E$4="Fluid"),((DM45*DM$51)/(DM$54)),IF(AND(Results!$E$4="Cells",Results!$E$5="Million",$B$52="million"),((DM45*DM$51)/(DM$52)),"0")))))</f>
        <v>0</v>
      </c>
      <c r="DN98" s="20" t="str">
        <f>IF(DN45=0,"0",IF(AND(Results!$E$5="Protein",$C$53&gt;0,OR(Results!$E$4="Tissue",Results!$E$4="Cells")),((DN45*DN$51)/(DN$53)),IF(AND(Results!$E$5="Weight",$C$52&gt;0, Results!$E$4="Tissue",OR($B$52="g",$B$52="mg")),((DN45*DN$51)/(DN$52)),IF(AND(Results!$E$5="Volume",$C$54&gt;0,Results!$E$4="Fluid"),((DN45*DN$51)/(DN$54)),IF(AND(Results!$E$4="Cells",Results!$E$5="Million",$B$52="million"),((DN45*DN$51)/(DN$52)),"0")))))</f>
        <v>0</v>
      </c>
      <c r="DO98" s="20" t="str">
        <f>IF(DO45=0,"0",IF(AND(Results!$E$5="Protein",$C$53&gt;0,OR(Results!$E$4="Tissue",Results!$E$4="Cells")),((DO45*DO$51)/(DO$53)),IF(AND(Results!$E$5="Weight",$C$52&gt;0, Results!$E$4="Tissue",OR($B$52="g",$B$52="mg")),((DO45*DO$51)/(DO$52)),IF(AND(Results!$E$5="Volume",$C$54&gt;0,Results!$E$4="Fluid"),((DO45*DO$51)/(DO$54)),IF(AND(Results!$E$4="Cells",Results!$E$5="Million",$B$52="million"),((DO45*DO$51)/(DO$52)),"0")))))</f>
        <v>0</v>
      </c>
      <c r="DP98" s="20" t="str">
        <f>IF(DP45=0,"0",IF(AND(Results!$E$5="Protein",$C$53&gt;0,OR(Results!$E$4="Tissue",Results!$E$4="Cells")),((DP45*DP$51)/(DP$53)),IF(AND(Results!$E$5="Weight",$C$52&gt;0, Results!$E$4="Tissue",OR($B$52="g",$B$52="mg")),((DP45*DP$51)/(DP$52)),IF(AND(Results!$E$5="Volume",$C$54&gt;0,Results!$E$4="Fluid"),((DP45*DP$51)/(DP$54)),IF(AND(Results!$E$4="Cells",Results!$E$5="Million",$B$52="million"),((DP45*DP$51)/(DP$52)),"0")))))</f>
        <v>0</v>
      </c>
      <c r="DQ98" s="20" t="str">
        <f>IF(DQ45=0,"0",IF(AND(Results!$E$5="Protein",$C$53&gt;0,OR(Results!$E$4="Tissue",Results!$E$4="Cells")),((DQ45*DQ$51)/(DQ$53)),IF(AND(Results!$E$5="Weight",$C$52&gt;0, Results!$E$4="Tissue",OR($B$52="g",$B$52="mg")),((DQ45*DQ$51)/(DQ$52)),IF(AND(Results!$E$5="Volume",$C$54&gt;0,Results!$E$4="Fluid"),((DQ45*DQ$51)/(DQ$54)),IF(AND(Results!$E$4="Cells",Results!$E$5="Million",$B$52="million"),((DQ45*DQ$51)/(DQ$52)),"0")))))</f>
        <v>0</v>
      </c>
      <c r="DR98" s="20" t="str">
        <f>IF(DR45=0,"0",IF(AND(Results!$E$5="Protein",$C$53&gt;0,OR(Results!$E$4="Tissue",Results!$E$4="Cells")),((DR45*DR$51)/(DR$53)),IF(AND(Results!$E$5="Weight",$C$52&gt;0, Results!$E$4="Tissue",OR($B$52="g",$B$52="mg")),((DR45*DR$51)/(DR$52)),IF(AND(Results!$E$5="Volume",$C$54&gt;0,Results!$E$4="Fluid"),((DR45*DR$51)/(DR$54)),IF(AND(Results!$E$4="Cells",Results!$E$5="Million",$B$52="million"),((DR45*DR$51)/(DR$52)),"0")))))</f>
        <v>0</v>
      </c>
      <c r="DS98" s="20" t="str">
        <f>IF(DS45=0,"0",IF(AND(Results!$E$5="Protein",$C$53&gt;0,OR(Results!$E$4="Tissue",Results!$E$4="Cells")),((DS45*DS$51)/(DS$53)),IF(AND(Results!$E$5="Weight",$C$52&gt;0, Results!$E$4="Tissue",OR($B$52="g",$B$52="mg")),((DS45*DS$51)/(DS$52)),IF(AND(Results!$E$5="Volume",$C$54&gt;0,Results!$E$4="Fluid"),((DS45*DS$51)/(DS$54)),IF(AND(Results!$E$4="Cells",Results!$E$5="Million",$B$52="million"),((DS45*DS$51)/(DS$52)),"0")))))</f>
        <v>0</v>
      </c>
      <c r="DT98" s="20" t="str">
        <f>IF(DT45=0,"0",IF(AND(Results!$E$5="Protein",$C$53&gt;0,OR(Results!$E$4="Tissue",Results!$E$4="Cells")),((DT45*DT$51)/(DT$53)),IF(AND(Results!$E$5="Weight",$C$52&gt;0, Results!$E$4="Tissue",OR($B$52="g",$B$52="mg")),((DT45*DT$51)/(DT$52)),IF(AND(Results!$E$5="Volume",$C$54&gt;0,Results!$E$4="Fluid"),((DT45*DT$51)/(DT$54)),IF(AND(Results!$E$4="Cells",Results!$E$5="Million",$B$52="million"),((DT45*DT$51)/(DT$52)),"0")))))</f>
        <v>0</v>
      </c>
      <c r="DU98" s="20" t="str">
        <f>IF(DU45=0,"0",IF(AND(Results!$E$5="Protein",$C$53&gt;0,OR(Results!$E$4="Tissue",Results!$E$4="Cells")),((DU45*DU$51)/(DU$53)),IF(AND(Results!$E$5="Weight",$C$52&gt;0, Results!$E$4="Tissue",OR($B$52="g",$B$52="mg")),((DU45*DU$51)/(DU$52)),IF(AND(Results!$E$5="Volume",$C$54&gt;0,Results!$E$4="Fluid"),((DU45*DU$51)/(DU$54)),IF(AND(Results!$E$4="Cells",Results!$E$5="Million",$B$52="million"),((DU45*DU$51)/(DU$52)),"0")))))</f>
        <v>0</v>
      </c>
      <c r="DV98" s="20" t="str">
        <f>IF(DV45=0,"0",IF(AND(Results!$E$5="Protein",$C$53&gt;0,OR(Results!$E$4="Tissue",Results!$E$4="Cells")),((DV45*DV$51)/(DV$53)),IF(AND(Results!$E$5="Weight",$C$52&gt;0, Results!$E$4="Tissue",OR($B$52="g",$B$52="mg")),((DV45*DV$51)/(DV$52)),IF(AND(Results!$E$5="Volume",$C$54&gt;0,Results!$E$4="Fluid"),((DV45*DV$51)/(DV$54)),IF(AND(Results!$E$4="Cells",Results!$E$5="Million",$B$52="million"),((DV45*DV$51)/(DV$52)),"0")))))</f>
        <v>0</v>
      </c>
      <c r="DW98" s="20" t="str">
        <f>IF(DW45=0,"0",IF(AND(Results!$E$5="Protein",$C$53&gt;0,OR(Results!$E$4="Tissue",Results!$E$4="Cells")),((DW45*DW$51)/(DW$53)),IF(AND(Results!$E$5="Weight",$C$52&gt;0, Results!$E$4="Tissue",OR($B$52="g",$B$52="mg")),((DW45*DW$51)/(DW$52)),IF(AND(Results!$E$5="Volume",$C$54&gt;0,Results!$E$4="Fluid"),((DW45*DW$51)/(DW$54)),IF(AND(Results!$E$4="Cells",Results!$E$5="Million",$B$52="million"),((DW45*DW$51)/(DW$52)),"0")))))</f>
        <v>0</v>
      </c>
      <c r="DX98" s="20" t="str">
        <f>IF(DX45=0,"0",IF(AND(Results!$E$5="Protein",$C$53&gt;0,OR(Results!$E$4="Tissue",Results!$E$4="Cells")),((DX45*DX$51)/(DX$53)),IF(AND(Results!$E$5="Weight",$C$52&gt;0, Results!$E$4="Tissue",OR($B$52="g",$B$52="mg")),((DX45*DX$51)/(DX$52)),IF(AND(Results!$E$5="Volume",$C$54&gt;0,Results!$E$4="Fluid"),((DX45*DX$51)/(DX$54)),IF(AND(Results!$E$4="Cells",Results!$E$5="Million",$B$52="million"),((DX45*DX$51)/(DX$52)),"0")))))</f>
        <v>0</v>
      </c>
      <c r="DY98" s="20" t="str">
        <f>IF(DY45=0,"0",IF(AND(Results!$E$5="Protein",$C$53&gt;0,OR(Results!$E$4="Tissue",Results!$E$4="Cells")),((DY45*DY$51)/(DY$53)),IF(AND(Results!$E$5="Weight",$C$52&gt;0, Results!$E$4="Tissue",OR($B$52="g",$B$52="mg")),((DY45*DY$51)/(DY$52)),IF(AND(Results!$E$5="Volume",$C$54&gt;0,Results!$E$4="Fluid"),((DY45*DY$51)/(DY$54)),IF(AND(Results!$E$4="Cells",Results!$E$5="Million",$B$52="million"),((DY45*DY$51)/(DY$52)),"0")))))</f>
        <v>0</v>
      </c>
      <c r="DZ98" s="20" t="str">
        <f>IF(DZ45=0,"0",IF(AND(Results!$E$5="Protein",$C$53&gt;0,OR(Results!$E$4="Tissue",Results!$E$4="Cells")),((DZ45*DZ$51)/(DZ$53)),IF(AND(Results!$E$5="Weight",$C$52&gt;0, Results!$E$4="Tissue",OR($B$52="g",$B$52="mg")),((DZ45*DZ$51)/(DZ$52)),IF(AND(Results!$E$5="Volume",$C$54&gt;0,Results!$E$4="Fluid"),((DZ45*DZ$51)/(DZ$54)),IF(AND(Results!$E$4="Cells",Results!$E$5="Million",$B$52="million"),((DZ45*DZ$51)/(DZ$52)),"0")))))</f>
        <v>0</v>
      </c>
      <c r="EA98" s="20" t="str">
        <f>IF(EA45=0,"0",IF(AND(Results!$E$5="Protein",$C$53&gt;0,OR(Results!$E$4="Tissue",Results!$E$4="Cells")),((EA45*EA$51)/(EA$53)),IF(AND(Results!$E$5="Weight",$C$52&gt;0, Results!$E$4="Tissue",OR($B$52="g",$B$52="mg")),((EA45*EA$51)/(EA$52)),IF(AND(Results!$E$5="Volume",$C$54&gt;0,Results!$E$4="Fluid"),((EA45*EA$51)/(EA$54)),IF(AND(Results!$E$4="Cells",Results!$E$5="Million",$B$52="million"),((EA45*EA$51)/(EA$52)),"0")))))</f>
        <v>0</v>
      </c>
      <c r="EB98" s="20" t="str">
        <f>IF(EB45=0,"0",IF(AND(Results!$E$5="Protein",$C$53&gt;0,OR(Results!$E$4="Tissue",Results!$E$4="Cells")),((EB45*EB$51)/(EB$53)),IF(AND(Results!$E$5="Weight",$C$52&gt;0, Results!$E$4="Tissue",OR($B$52="g",$B$52="mg")),((EB45*EB$51)/(EB$52)),IF(AND(Results!$E$5="Volume",$C$54&gt;0,Results!$E$4="Fluid"),((EB45*EB$51)/(EB$54)),IF(AND(Results!$E$4="Cells",Results!$E$5="Million",$B$52="million"),((EB45*EB$51)/(EB$52)),"0")))))</f>
        <v>0</v>
      </c>
      <c r="EC98" s="20" t="str">
        <f>IF(EC45=0,"0",IF(AND(Results!$E$5="Protein",$C$53&gt;0,OR(Results!$E$4="Tissue",Results!$E$4="Cells")),((EC45*EC$51)/(EC$53)),IF(AND(Results!$E$5="Weight",$C$52&gt;0, Results!$E$4="Tissue",OR($B$52="g",$B$52="mg")),((EC45*EC$51)/(EC$52)),IF(AND(Results!$E$5="Volume",$C$54&gt;0,Results!$E$4="Fluid"),((EC45*EC$51)/(EC$54)),IF(AND(Results!$E$4="Cells",Results!$E$5="Million",$B$52="million"),((EC45*EC$51)/(EC$52)),"0")))))</f>
        <v>0</v>
      </c>
      <c r="ED98" s="20" t="str">
        <f>IF(ED45=0,"0",IF(AND(Results!$E$5="Protein",$C$53&gt;0,OR(Results!$E$4="Tissue",Results!$E$4="Cells")),((ED45*ED$51)/(ED$53)),IF(AND(Results!$E$5="Weight",$C$52&gt;0, Results!$E$4="Tissue",OR($B$52="g",$B$52="mg")),((ED45*ED$51)/(ED$52)),IF(AND(Results!$E$5="Volume",$C$54&gt;0,Results!$E$4="Fluid"),((ED45*ED$51)/(ED$54)),IF(AND(Results!$E$4="Cells",Results!$E$5="Million",$B$52="million"),((ED45*ED$51)/(ED$52)),"0")))))</f>
        <v>0</v>
      </c>
      <c r="EE98" s="20" t="str">
        <f>IF(EE45=0,"0",IF(AND(Results!$E$5="Protein",$C$53&gt;0,OR(Results!$E$4="Tissue",Results!$E$4="Cells")),((EE45*EE$51)/(EE$53)),IF(AND(Results!$E$5="Weight",$C$52&gt;0, Results!$E$4="Tissue",OR($B$52="g",$B$52="mg")),((EE45*EE$51)/(EE$52)),IF(AND(Results!$E$5="Volume",$C$54&gt;0,Results!$E$4="Fluid"),((EE45*EE$51)/(EE$54)),IF(AND(Results!$E$4="Cells",Results!$E$5="Million",$B$52="million"),((EE45*EE$51)/(EE$52)),"0")))))</f>
        <v>0</v>
      </c>
      <c r="EF98" s="20" t="str">
        <f>IF(EF45=0,"0",IF(AND(Results!$E$5="Protein",$C$53&gt;0,OR(Results!$E$4="Tissue",Results!$E$4="Cells")),((EF45*EF$51)/(EF$53)),IF(AND(Results!$E$5="Weight",$C$52&gt;0, Results!$E$4="Tissue",OR($B$52="g",$B$52="mg")),((EF45*EF$51)/(EF$52)),IF(AND(Results!$E$5="Volume",$C$54&gt;0,Results!$E$4="Fluid"),((EF45*EF$51)/(EF$54)),IF(AND(Results!$E$4="Cells",Results!$E$5="Million",$B$52="million"),((EF45*EF$51)/(EF$52)),"0")))))</f>
        <v>0</v>
      </c>
      <c r="EG98" s="20" t="str">
        <f>IF(EG45=0,"0",IF(AND(Results!$E$5="Protein",$C$53&gt;0,OR(Results!$E$4="Tissue",Results!$E$4="Cells")),((EG45*EG$51)/(EG$53)),IF(AND(Results!$E$5="Weight",$C$52&gt;0, Results!$E$4="Tissue",OR($B$52="g",$B$52="mg")),((EG45*EG$51)/(EG$52)),IF(AND(Results!$E$5="Volume",$C$54&gt;0,Results!$E$4="Fluid"),((EG45*EG$51)/(EG$54)),IF(AND(Results!$E$4="Cells",Results!$E$5="Million",$B$52="million"),((EG45*EG$51)/(EG$52)),"0")))))</f>
        <v>0</v>
      </c>
      <c r="EH98" s="20" t="str">
        <f>IF(EH45=0,"0",IF(AND(Results!$E$5="Protein",$C$53&gt;0,OR(Results!$E$4="Tissue",Results!$E$4="Cells")),((EH45*EH$51)/(EH$53)),IF(AND(Results!$E$5="Weight",$C$52&gt;0, Results!$E$4="Tissue",OR($B$52="g",$B$52="mg")),((EH45*EH$51)/(EH$52)),IF(AND(Results!$E$5="Volume",$C$54&gt;0,Results!$E$4="Fluid"),((EH45*EH$51)/(EH$54)),IF(AND(Results!$E$4="Cells",Results!$E$5="Million",$B$52="million"),((EH45*EH$51)/(EH$52)),"0")))))</f>
        <v>0</v>
      </c>
      <c r="EI98" s="20" t="str">
        <f>IF(EI45=0,"0",IF(AND(Results!$E$5="Protein",$C$53&gt;0,OR(Results!$E$4="Tissue",Results!$E$4="Cells")),((EI45*EI$51)/(EI$53)),IF(AND(Results!$E$5="Weight",$C$52&gt;0, Results!$E$4="Tissue",OR($B$52="g",$B$52="mg")),((EI45*EI$51)/(EI$52)),IF(AND(Results!$E$5="Volume",$C$54&gt;0,Results!$E$4="Fluid"),((EI45*EI$51)/(EI$54)),IF(AND(Results!$E$4="Cells",Results!$E$5="Million",$B$52="million"),((EI45*EI$51)/(EI$52)),"0")))))</f>
        <v>0</v>
      </c>
      <c r="EJ98" s="20" t="str">
        <f>IF(EJ45=0,"0",IF(AND(Results!$E$5="Protein",$C$53&gt;0,OR(Results!$E$4="Tissue",Results!$E$4="Cells")),((EJ45*EJ$51)/(EJ$53)),IF(AND(Results!$E$5="Weight",$C$52&gt;0, Results!$E$4="Tissue",OR($B$52="g",$B$52="mg")),((EJ45*EJ$51)/(EJ$52)),IF(AND(Results!$E$5="Volume",$C$54&gt;0,Results!$E$4="Fluid"),((EJ45*EJ$51)/(EJ$54)),IF(AND(Results!$E$4="Cells",Results!$E$5="Million",$B$52="million"),((EJ45*EJ$51)/(EJ$52)),"0")))))</f>
        <v>0</v>
      </c>
      <c r="EK98" s="20" t="str">
        <f>IF(EK45=0,"0",IF(AND(Results!$E$5="Protein",$C$53&gt;0,OR(Results!$E$4="Tissue",Results!$E$4="Cells")),((EK45*EK$51)/(EK$53)),IF(AND(Results!$E$5="Weight",$C$52&gt;0, Results!$E$4="Tissue",OR($B$52="g",$B$52="mg")),((EK45*EK$51)/(EK$52)),IF(AND(Results!$E$5="Volume",$C$54&gt;0,Results!$E$4="Fluid"),((EK45*EK$51)/(EK$54)),IF(AND(Results!$E$4="Cells",Results!$E$5="Million",$B$52="million"),((EK45*EK$51)/(EK$52)),"0")))))</f>
        <v>0</v>
      </c>
      <c r="EL98" s="20" t="str">
        <f>IF(EL45=0,"0",IF(AND(Results!$E$5="Protein",$C$53&gt;0,OR(Results!$E$4="Tissue",Results!$E$4="Cells")),((EL45*EL$51)/(EL$53)),IF(AND(Results!$E$5="Weight",$C$52&gt;0, Results!$E$4="Tissue",OR($B$52="g",$B$52="mg")),((EL45*EL$51)/(EL$52)),IF(AND(Results!$E$5="Volume",$C$54&gt;0,Results!$E$4="Fluid"),((EL45*EL$51)/(EL$54)),IF(AND(Results!$E$4="Cells",Results!$E$5="Million",$B$52="million"),((EL45*EL$51)/(EL$52)),"0")))))</f>
        <v>0</v>
      </c>
      <c r="EM98" s="20" t="str">
        <f>IF(EM45=0,"0",IF(AND(Results!$E$5="Protein",$C$53&gt;0,OR(Results!$E$4="Tissue",Results!$E$4="Cells")),((EM45*EM$51)/(EM$53)),IF(AND(Results!$E$5="Weight",$C$52&gt;0, Results!$E$4="Tissue",OR($B$52="g",$B$52="mg")),((EM45*EM$51)/(EM$52)),IF(AND(Results!$E$5="Volume",$C$54&gt;0,Results!$E$4="Fluid"),((EM45*EM$51)/(EM$54)),IF(AND(Results!$E$4="Cells",Results!$E$5="Million",$B$52="million"),((EM45*EM$51)/(EM$52)),"0")))))</f>
        <v>0</v>
      </c>
      <c r="EN98" s="20" t="str">
        <f>IF(EN45=0,"0",IF(AND(Results!$E$5="Protein",$C$53&gt;0,OR(Results!$E$4="Tissue",Results!$E$4="Cells")),((EN45*EN$51)/(EN$53)),IF(AND(Results!$E$5="Weight",$C$52&gt;0, Results!$E$4="Tissue",OR($B$52="g",$B$52="mg")),((EN45*EN$51)/(EN$52)),IF(AND(Results!$E$5="Volume",$C$54&gt;0,Results!$E$4="Fluid"),((EN45*EN$51)/(EN$54)),IF(AND(Results!$E$4="Cells",Results!$E$5="Million",$B$52="million"),((EN45*EN$51)/(EN$52)),"0")))))</f>
        <v>0</v>
      </c>
      <c r="EO98" s="20" t="str">
        <f>IF(EO45=0,"0",IF(AND(Results!$E$5="Protein",$C$53&gt;0,OR(Results!$E$4="Tissue",Results!$E$4="Cells")),((EO45*EO$51)/(EO$53)),IF(AND(Results!$E$5="Weight",$C$52&gt;0, Results!$E$4="Tissue",OR($B$52="g",$B$52="mg")),((EO45*EO$51)/(EO$52)),IF(AND(Results!$E$5="Volume",$C$54&gt;0,Results!$E$4="Fluid"),((EO45*EO$51)/(EO$54)),IF(AND(Results!$E$4="Cells",Results!$E$5="Million",$B$52="million"),((EO45*EO$51)/(EO$52)),"0")))))</f>
        <v>0</v>
      </c>
      <c r="EP98" s="20" t="str">
        <f>IF(EP45=0,"0",IF(AND(Results!$E$5="Protein",$C$53&gt;0,OR(Results!$E$4="Tissue",Results!$E$4="Cells")),((EP45*EP$51)/(EP$53)),IF(AND(Results!$E$5="Weight",$C$52&gt;0, Results!$E$4="Tissue",OR($B$52="g",$B$52="mg")),((EP45*EP$51)/(EP$52)),IF(AND(Results!$E$5="Volume",$C$54&gt;0,Results!$E$4="Fluid"),((EP45*EP$51)/(EP$54)),IF(AND(Results!$E$4="Cells",Results!$E$5="Million",$B$52="million"),((EP45*EP$51)/(EP$52)),"0")))))</f>
        <v>0</v>
      </c>
      <c r="EQ98" s="20" t="str">
        <f>IF(EQ45=0,"0",IF(AND(Results!$E$5="Protein",$C$53&gt;0,OR(Results!$E$4="Tissue",Results!$E$4="Cells")),((EQ45*EQ$51)/(EQ$53)),IF(AND(Results!$E$5="Weight",$C$52&gt;0, Results!$E$4="Tissue",OR($B$52="g",$B$52="mg")),((EQ45*EQ$51)/(EQ$52)),IF(AND(Results!$E$5="Volume",$C$54&gt;0,Results!$E$4="Fluid"),((EQ45*EQ$51)/(EQ$54)),IF(AND(Results!$E$4="Cells",Results!$E$5="Million",$B$52="million"),((EQ45*EQ$51)/(EQ$52)),"0")))))</f>
        <v>0</v>
      </c>
      <c r="ER98" s="20" t="str">
        <f>IF(ER45=0,"0",IF(AND(Results!$E$5="Protein",$C$53&gt;0,OR(Results!$E$4="Tissue",Results!$E$4="Cells")),((ER45*ER$51)/(ER$53)),IF(AND(Results!$E$5="Weight",$C$52&gt;0, Results!$E$4="Tissue",OR($B$52="g",$B$52="mg")),((ER45*ER$51)/(ER$52)),IF(AND(Results!$E$5="Volume",$C$54&gt;0,Results!$E$4="Fluid"),((ER45*ER$51)/(ER$54)),IF(AND(Results!$E$4="Cells",Results!$E$5="Million",$B$52="million"),((ER45*ER$51)/(ER$52)),"0")))))</f>
        <v>0</v>
      </c>
      <c r="ES98" s="20" t="str">
        <f>IF(ES45=0,"0",IF(AND(Results!$E$5="Protein",$C$53&gt;0,OR(Results!$E$4="Tissue",Results!$E$4="Cells")),((ES45*ES$51)/(ES$53)),IF(AND(Results!$E$5="Weight",$C$52&gt;0, Results!$E$4="Tissue",OR($B$52="g",$B$52="mg")),((ES45*ES$51)/(ES$52)),IF(AND(Results!$E$5="Volume",$C$54&gt;0,Results!$E$4="Fluid"),((ES45*ES$51)/(ES$54)),IF(AND(Results!$E$4="Cells",Results!$E$5="Million",$B$52="million"),((ES45*ES$51)/(ES$52)),"0")))))</f>
        <v>0</v>
      </c>
      <c r="ET98" s="20" t="str">
        <f>IF(ET45=0,"0",IF(AND(Results!$E$5="Protein",$C$53&gt;0,OR(Results!$E$4="Tissue",Results!$E$4="Cells")),((ET45*ET$51)/(ET$53)),IF(AND(Results!$E$5="Weight",$C$52&gt;0, Results!$E$4="Tissue",OR($B$52="g",$B$52="mg")),((ET45*ET$51)/(ET$52)),IF(AND(Results!$E$5="Volume",$C$54&gt;0,Results!$E$4="Fluid"),((ET45*ET$51)/(ET$54)),IF(AND(Results!$E$4="Cells",Results!$E$5="Million",$B$52="million"),((ET45*ET$51)/(ET$52)),"0")))))</f>
        <v>0</v>
      </c>
      <c r="EU98" s="20" t="str">
        <f>IF(EU45=0,"0",IF(AND(Results!$E$5="Protein",$C$53&gt;0,OR(Results!$E$4="Tissue",Results!$E$4="Cells")),((EU45*EU$51)/(EU$53)),IF(AND(Results!$E$5="Weight",$C$52&gt;0, Results!$E$4="Tissue",OR($B$52="g",$B$52="mg")),((EU45*EU$51)/(EU$52)),IF(AND(Results!$E$5="Volume",$C$54&gt;0,Results!$E$4="Fluid"),((EU45*EU$51)/(EU$54)),IF(AND(Results!$E$4="Cells",Results!$E$5="Million",$B$52="million"),((EU45*EU$51)/(EU$52)),"0")))))</f>
        <v>0</v>
      </c>
      <c r="EV98" s="20" t="str">
        <f>IF(EV45=0,"0",IF(AND(Results!$E$5="Protein",$C$53&gt;0,OR(Results!$E$4="Tissue",Results!$E$4="Cells")),((EV45*EV$51)/(EV$53)),IF(AND(Results!$E$5="Weight",$C$52&gt;0, Results!$E$4="Tissue",OR($B$52="g",$B$52="mg")),((EV45*EV$51)/(EV$52)),IF(AND(Results!$E$5="Volume",$C$54&gt;0,Results!$E$4="Fluid"),((EV45*EV$51)/(EV$54)),IF(AND(Results!$E$4="Cells",Results!$E$5="Million",$B$52="million"),((EV45*EV$51)/(EV$52)),"0")))))</f>
        <v>0</v>
      </c>
      <c r="EW98" s="20" t="str">
        <f>IF(EW45=0,"0",IF(AND(Results!$E$5="Protein",$C$53&gt;0,OR(Results!$E$4="Tissue",Results!$E$4="Cells")),((EW45*EW$51)/(EW$53)),IF(AND(Results!$E$5="Weight",$C$52&gt;0, Results!$E$4="Tissue",OR($B$52="g",$B$52="mg")),((EW45*EW$51)/(EW$52)),IF(AND(Results!$E$5="Volume",$C$54&gt;0,Results!$E$4="Fluid"),((EW45*EW$51)/(EW$54)),IF(AND(Results!$E$4="Cells",Results!$E$5="Million",$B$52="million"),((EW45*EW$51)/(EW$52)),"0")))))</f>
        <v>0</v>
      </c>
      <c r="EX98" s="20" t="str">
        <f>IF(EX45=0,"0",IF(AND(Results!$E$5="Protein",$C$53&gt;0,OR(Results!$E$4="Tissue",Results!$E$4="Cells")),((EX45*EX$51)/(EX$53)),IF(AND(Results!$E$5="Weight",$C$52&gt;0, Results!$E$4="Tissue",OR($B$52="g",$B$52="mg")),((EX45*EX$51)/(EX$52)),IF(AND(Results!$E$5="Volume",$C$54&gt;0,Results!$E$4="Fluid"),((EX45*EX$51)/(EX$54)),IF(AND(Results!$E$4="Cells",Results!$E$5="Million",$B$52="million"),((EX45*EX$51)/(EX$52)),"0")))))</f>
        <v>0</v>
      </c>
      <c r="EY98" s="20" t="str">
        <f>IF(EY45=0,"0",IF(AND(Results!$E$5="Protein",$C$53&gt;0,OR(Results!$E$4="Tissue",Results!$E$4="Cells")),((EY45*EY$51)/(EY$53)),IF(AND(Results!$E$5="Weight",$C$52&gt;0, Results!$E$4="Tissue",OR($B$52="g",$B$52="mg")),((EY45*EY$51)/(EY$52)),IF(AND(Results!$E$5="Volume",$C$54&gt;0,Results!$E$4="Fluid"),((EY45*EY$51)/(EY$54)),IF(AND(Results!$E$4="Cells",Results!$E$5="Million",$B$52="million"),((EY45*EY$51)/(EY$52)),"0")))))</f>
        <v>0</v>
      </c>
      <c r="EZ98" s="20" t="str">
        <f>IF(EZ45=0,"0",IF(AND(Results!$E$5="Protein",$C$53&gt;0,OR(Results!$E$4="Tissue",Results!$E$4="Cells")),((EZ45*EZ$51)/(EZ$53)),IF(AND(Results!$E$5="Weight",$C$52&gt;0, Results!$E$4="Tissue",OR($B$52="g",$B$52="mg")),((EZ45*EZ$51)/(EZ$52)),IF(AND(Results!$E$5="Volume",$C$54&gt;0,Results!$E$4="Fluid"),((EZ45*EZ$51)/(EZ$54)),IF(AND(Results!$E$4="Cells",Results!$E$5="Million",$B$52="million"),((EZ45*EZ$51)/(EZ$52)),"0")))))</f>
        <v>0</v>
      </c>
      <c r="FA98" s="20" t="str">
        <f>IF(FA45=0,"0",IF(AND(Results!$E$5="Protein",$C$53&gt;0,OR(Results!$E$4="Tissue",Results!$E$4="Cells")),((FA45*FA$51)/(FA$53)),IF(AND(Results!$E$5="Weight",$C$52&gt;0, Results!$E$4="Tissue",OR($B$52="g",$B$52="mg")),((FA45*FA$51)/(FA$52)),IF(AND(Results!$E$5="Volume",$C$54&gt;0,Results!$E$4="Fluid"),((FA45*FA$51)/(FA$54)),IF(AND(Results!$E$4="Cells",Results!$E$5="Million",$B$52="million"),((FA45*FA$51)/(FA$52)),"0")))))</f>
        <v>0</v>
      </c>
      <c r="FB98" s="20" t="str">
        <f>IF(FB45=0,"0",IF(AND(Results!$E$5="Protein",$C$53&gt;0,OR(Results!$E$4="Tissue",Results!$E$4="Cells")),((FB45*FB$51)/(FB$53)),IF(AND(Results!$E$5="Weight",$C$52&gt;0, Results!$E$4="Tissue",OR($B$52="g",$B$52="mg")),((FB45*FB$51)/(FB$52)),IF(AND(Results!$E$5="Volume",$C$54&gt;0,Results!$E$4="Fluid"),((FB45*FB$51)/(FB$54)),IF(AND(Results!$E$4="Cells",Results!$E$5="Million",$B$52="million"),((FB45*FB$51)/(FB$52)),"0")))))</f>
        <v>0</v>
      </c>
      <c r="FC98" s="20" t="str">
        <f>IF(FC45=0,"0",IF(AND(Results!$E$5="Protein",$C$53&gt;0,OR(Results!$E$4="Tissue",Results!$E$4="Cells")),((FC45*FC$51)/(FC$53)),IF(AND(Results!$E$5="Weight",$C$52&gt;0, Results!$E$4="Tissue",OR($B$52="g",$B$52="mg")),((FC45*FC$51)/(FC$52)),IF(AND(Results!$E$5="Volume",$C$54&gt;0,Results!$E$4="Fluid"),((FC45*FC$51)/(FC$54)),IF(AND(Results!$E$4="Cells",Results!$E$5="Million",$B$52="million"),((FC45*FC$51)/(FC$52)),"0")))))</f>
        <v>0</v>
      </c>
      <c r="FD98" s="20" t="str">
        <f>IF(FD45=0,"0",IF(AND(Results!$E$5="Protein",$C$53&gt;0,OR(Results!$E$4="Tissue",Results!$E$4="Cells")),((FD45*FD$51)/(FD$53)),IF(AND(Results!$E$5="Weight",$C$52&gt;0, Results!$E$4="Tissue",OR($B$52="g",$B$52="mg")),((FD45*FD$51)/(FD$52)),IF(AND(Results!$E$5="Volume",$C$54&gt;0,Results!$E$4="Fluid"),((FD45*FD$51)/(FD$54)),IF(AND(Results!$E$4="Cells",Results!$E$5="Million",$B$52="million"),((FD45*FD$51)/(FD$52)),"0")))))</f>
        <v>0</v>
      </c>
      <c r="FE98" s="20" t="str">
        <f>IF(FE45=0,"0",IF(AND(Results!$E$5="Protein",$C$53&gt;0,OR(Results!$E$4="Tissue",Results!$E$4="Cells")),((FE45*FE$51)/(FE$53)),IF(AND(Results!$E$5="Weight",$C$52&gt;0, Results!$E$4="Tissue",OR($B$52="g",$B$52="mg")),((FE45*FE$51)/(FE$52)),IF(AND(Results!$E$5="Volume",$C$54&gt;0,Results!$E$4="Fluid"),((FE45*FE$51)/(FE$54)),IF(AND(Results!$E$4="Cells",Results!$E$5="Million",$B$52="million"),((FE45*FE$51)/(FE$52)),"0")))))</f>
        <v>0</v>
      </c>
      <c r="FF98" s="20" t="str">
        <f>IF(FF45=0,"0",IF(AND(Results!$E$5="Protein",$C$53&gt;0,OR(Results!$E$4="Tissue",Results!$E$4="Cells")),((FF45*FF$51)/(FF$53)),IF(AND(Results!$E$5="Weight",$C$52&gt;0, Results!$E$4="Tissue",OR($B$52="g",$B$52="mg")),((FF45*FF$51)/(FF$52)),IF(AND(Results!$E$5="Volume",$C$54&gt;0,Results!$E$4="Fluid"),((FF45*FF$51)/(FF$54)),IF(AND(Results!$E$4="Cells",Results!$E$5="Million",$B$52="million"),((FF45*FF$51)/(FF$52)),"0")))))</f>
        <v>0</v>
      </c>
      <c r="FG98" s="20" t="str">
        <f>IF(FG45=0,"0",IF(AND(Results!$E$5="Protein",$C$53&gt;0,OR(Results!$E$4="Tissue",Results!$E$4="Cells")),((FG45*FG$51)/(FG$53)),IF(AND(Results!$E$5="Weight",$C$52&gt;0, Results!$E$4="Tissue",OR($B$52="g",$B$52="mg")),((FG45*FG$51)/(FG$52)),IF(AND(Results!$E$5="Volume",$C$54&gt;0,Results!$E$4="Fluid"),((FG45*FG$51)/(FG$54)),IF(AND(Results!$E$4="Cells",Results!$E$5="Million",$B$52="million"),((FG45*FG$51)/(FG$52)),"0")))))</f>
        <v>0</v>
      </c>
      <c r="FH98" s="20" t="str">
        <f>IF(FH45=0,"0",IF(AND(Results!$E$5="Protein",$C$53&gt;0,OR(Results!$E$4="Tissue",Results!$E$4="Cells")),((FH45*FH$51)/(FH$53)),IF(AND(Results!$E$5="Weight",$C$52&gt;0, Results!$E$4="Tissue",OR($B$52="g",$B$52="mg")),((FH45*FH$51)/(FH$52)),IF(AND(Results!$E$5="Volume",$C$54&gt;0,Results!$E$4="Fluid"),((FH45*FH$51)/(FH$54)),IF(AND(Results!$E$4="Cells",Results!$E$5="Million",$B$52="million"),((FH45*FH$51)/(FH$52)),"0")))))</f>
        <v>0</v>
      </c>
      <c r="FI98" s="20" t="str">
        <f>IF(FI45=0,"0",IF(AND(Results!$E$5="Protein",$C$53&gt;0,OR(Results!$E$4="Tissue",Results!$E$4="Cells")),((FI45*FI$51)/(FI$53)),IF(AND(Results!$E$5="Weight",$C$52&gt;0, Results!$E$4="Tissue",OR($B$52="g",$B$52="mg")),((FI45*FI$51)/(FI$52)),IF(AND(Results!$E$5="Volume",$C$54&gt;0,Results!$E$4="Fluid"),((FI45*FI$51)/(FI$54)),IF(AND(Results!$E$4="Cells",Results!$E$5="Million",$B$52="million"),((FI45*FI$51)/(FI$52)),"0")))))</f>
        <v>0</v>
      </c>
      <c r="FJ98" s="20" t="str">
        <f>IF(FJ45=0,"0",IF(AND(Results!$E$5="Protein",$C$53&gt;0,OR(Results!$E$4="Tissue",Results!$E$4="Cells")),((FJ45*FJ$51)/(FJ$53)),IF(AND(Results!$E$5="Weight",$C$52&gt;0, Results!$E$4="Tissue",OR($B$52="g",$B$52="mg")),((FJ45*FJ$51)/(FJ$52)),IF(AND(Results!$E$5="Volume",$C$54&gt;0,Results!$E$4="Fluid"),((FJ45*FJ$51)/(FJ$54)),IF(AND(Results!$E$4="Cells",Results!$E$5="Million",$B$52="million"),((FJ45*FJ$51)/(FJ$52)),"0")))))</f>
        <v>0</v>
      </c>
      <c r="FK98" s="20" t="str">
        <f>IF(FK45=0,"0",IF(AND(Results!$E$5="Protein",$C$53&gt;0,OR(Results!$E$4="Tissue",Results!$E$4="Cells")),((FK45*FK$51)/(FK$53)),IF(AND(Results!$E$5="Weight",$C$52&gt;0, Results!$E$4="Tissue",OR($B$52="g",$B$52="mg")),((FK45*FK$51)/(FK$52)),IF(AND(Results!$E$5="Volume",$C$54&gt;0,Results!$E$4="Fluid"),((FK45*FK$51)/(FK$54)),IF(AND(Results!$E$4="Cells",Results!$E$5="Million",$B$52="million"),((FK45*FK$51)/(FK$52)),"0")))))</f>
        <v>0</v>
      </c>
      <c r="FL98" s="20" t="str">
        <f>IF(FL45=0,"0",IF(AND(Results!$E$5="Protein",$C$53&gt;0,OR(Results!$E$4="Tissue",Results!$E$4="Cells")),((FL45*FL$51)/(FL$53)),IF(AND(Results!$E$5="Weight",$C$52&gt;0, Results!$E$4="Tissue",OR($B$52="g",$B$52="mg")),((FL45*FL$51)/(FL$52)),IF(AND(Results!$E$5="Volume",$C$54&gt;0,Results!$E$4="Fluid"),((FL45*FL$51)/(FL$54)),IF(AND(Results!$E$4="Cells",Results!$E$5="Million",$B$52="million"),((FL45*FL$51)/(FL$52)),"0")))))</f>
        <v>0</v>
      </c>
      <c r="FM98" s="20" t="str">
        <f>IF(FM45=0,"0",IF(AND(Results!$E$5="Protein",$C$53&gt;0,OR(Results!$E$4="Tissue",Results!$E$4="Cells")),((FM45*FM$51)/(FM$53)),IF(AND(Results!$E$5="Weight",$C$52&gt;0, Results!$E$4="Tissue",OR($B$52="g",$B$52="mg")),((FM45*FM$51)/(FM$52)),IF(AND(Results!$E$5="Volume",$C$54&gt;0,Results!$E$4="Fluid"),((FM45*FM$51)/(FM$54)),IF(AND(Results!$E$4="Cells",Results!$E$5="Million",$B$52="million"),((FM45*FM$51)/(FM$52)),"0")))))</f>
        <v>0</v>
      </c>
      <c r="FN98" s="20" t="str">
        <f>IF(FN45=0,"0",IF(AND(Results!$E$5="Protein",$C$53&gt;0,OR(Results!$E$4="Tissue",Results!$E$4="Cells")),((FN45*FN$51)/(FN$53)),IF(AND(Results!$E$5="Weight",$C$52&gt;0, Results!$E$4="Tissue",OR($B$52="g",$B$52="mg")),((FN45*FN$51)/(FN$52)),IF(AND(Results!$E$5="Volume",$C$54&gt;0,Results!$E$4="Fluid"),((FN45*FN$51)/(FN$54)),IF(AND(Results!$E$4="Cells",Results!$E$5="Million",$B$52="million"),((FN45*FN$51)/(FN$52)),"0")))))</f>
        <v>0</v>
      </c>
      <c r="FO98" s="20" t="str">
        <f>IF(FO45=0,"0",IF(AND(Results!$E$5="Protein",$C$53&gt;0,OR(Results!$E$4="Tissue",Results!$E$4="Cells")),((FO45*FO$51)/(FO$53)),IF(AND(Results!$E$5="Weight",$C$52&gt;0, Results!$E$4="Tissue",OR($B$52="g",$B$52="mg")),((FO45*FO$51)/(FO$52)),IF(AND(Results!$E$5="Volume",$C$54&gt;0,Results!$E$4="Fluid"),((FO45*FO$51)/(FO$54)),IF(AND(Results!$E$4="Cells",Results!$E$5="Million",$B$52="million"),((FO45*FO$51)/(FO$52)),"0")))))</f>
        <v>0</v>
      </c>
    </row>
    <row r="99" spans="1:171" x14ac:dyDescent="0.2">
      <c r="A99" s="120" t="str">
        <f>A46</f>
        <v xml:space="preserve">RVD1 </v>
      </c>
      <c r="B99" s="121"/>
      <c r="C99" s="20" t="str">
        <f>IF(C46=0,"0",IF(AND(Results!$E$5="Protein",$C$53&gt;0,OR(Results!$E$4="Tissue",Results!$E$4="Cells")),((C46*C$51)/(C$53)),IF(AND(Results!$E$5="Weight",$C$52&gt;0, Results!$E$4="Tissue",OR($B$52="g",$B$52="mg")),((C46*C$51)/(C$52)),IF(AND(Results!$E$5="Volume",$C$54&gt;0,Results!$E$4="Fluid"),((C46*C$51)/(C$54)),IF(AND(Results!$E$4="Cells",Results!$E$5="Million",$B$52="million"),((C46*C$51)/(C$52)),"0")))))</f>
        <v>0</v>
      </c>
      <c r="D99" s="20" t="str">
        <f>IF(D46=0,"0",IF(AND(Results!$E$5="Protein",$C$53&gt;0,OR(Results!$E$4="Tissue",Results!$E$4="Cells")),((D46*D$51)/(D$53)),IF(AND(Results!$E$5="Weight",$C$52&gt;0, Results!$E$4="Tissue",OR($B$52="g",$B$52="mg")),((D46*D$51)/(D$52)),IF(AND(Results!$E$5="Volume",$C$54&gt;0,Results!$E$4="Fluid"),((D46*D$51)/(D$54)),IF(AND(Results!$E$4="Cells",Results!$E$5="Million",$B$52="million"),((D46*D$51)/(D$52)),"0")))))</f>
        <v>0</v>
      </c>
      <c r="E99" s="20" t="str">
        <f>IF(E46=0,"0",IF(AND(Results!$E$5="Protein",$C$53&gt;0,OR(Results!$E$4="Tissue",Results!$E$4="Cells")),((E46*E$51)/(E$53)),IF(AND(Results!$E$5="Weight",$C$52&gt;0, Results!$E$4="Tissue",OR($B$52="g",$B$52="mg")),((E46*E$51)/(E$52)),IF(AND(Results!$E$5="Volume",$C$54&gt;0,Results!$E$4="Fluid"),((E46*E$51)/(E$54)),IF(AND(Results!$E$4="Cells",Results!$E$5="Million",$B$52="million"),((E46*E$51)/(E$52)),"0")))))</f>
        <v>0</v>
      </c>
      <c r="F99" s="20" t="str">
        <f>IF(F46=0,"0",IF(AND(Results!$E$5="Protein",$C$53&gt;0,OR(Results!$E$4="Tissue",Results!$E$4="Cells")),((F46*F$51)/(F$53)),IF(AND(Results!$E$5="Weight",$C$52&gt;0, Results!$E$4="Tissue",OR($B$52="g",$B$52="mg")),((F46*F$51)/(F$52)),IF(AND(Results!$E$5="Volume",$C$54&gt;0,Results!$E$4="Fluid"),((F46*F$51)/(F$54)),IF(AND(Results!$E$4="Cells",Results!$E$5="Million",$B$52="million"),((F46*F$51)/(F$52)),"0")))))</f>
        <v>0</v>
      </c>
      <c r="G99" s="20" t="str">
        <f>IF(G46=0,"0",IF(AND(Results!$E$5="Protein",$C$53&gt;0,OR(Results!$E$4="Tissue",Results!$E$4="Cells")),((G46*G$51)/(G$53)),IF(AND(Results!$E$5="Weight",$C$52&gt;0, Results!$E$4="Tissue",OR($B$52="g",$B$52="mg")),((G46*G$51)/(G$52)),IF(AND(Results!$E$5="Volume",$C$54&gt;0,Results!$E$4="Fluid"),((G46*G$51)/(G$54)),IF(AND(Results!$E$4="Cells",Results!$E$5="Million",$B$52="million"),((G46*G$51)/(G$52)),"0")))))</f>
        <v>0</v>
      </c>
      <c r="H99" s="20" t="str">
        <f>IF(H46=0,"0",IF(AND(Results!$E$5="Protein",$C$53&gt;0,OR(Results!$E$4="Tissue",Results!$E$4="Cells")),((H46*H$51)/(H$53)),IF(AND(Results!$E$5="Weight",$C$52&gt;0, Results!$E$4="Tissue",OR($B$52="g",$B$52="mg")),((H46*H$51)/(H$52)),IF(AND(Results!$E$5="Volume",$C$54&gt;0,Results!$E$4="Fluid"),((H46*H$51)/(H$54)),IF(AND(Results!$E$4="Cells",Results!$E$5="Million",$B$52="million"),((H46*H$51)/(H$52)),"0")))))</f>
        <v>0</v>
      </c>
      <c r="I99" s="20" t="str">
        <f>IF(I46=0,"0",IF(AND(Results!$E$5="Protein",$C$53&gt;0,OR(Results!$E$4="Tissue",Results!$E$4="Cells")),((I46*I$51)/(I$53)),IF(AND(Results!$E$5="Weight",$C$52&gt;0, Results!$E$4="Tissue",OR($B$52="g",$B$52="mg")),((I46*I$51)/(I$52)),IF(AND(Results!$E$5="Volume",$C$54&gt;0,Results!$E$4="Fluid"),((I46*I$51)/(I$54)),IF(AND(Results!$E$4="Cells",Results!$E$5="Million",$B$52="million"),((I46*I$51)/(I$52)),"0")))))</f>
        <v>0</v>
      </c>
      <c r="J99" s="20" t="str">
        <f>IF(J46=0,"0",IF(AND(Results!$E$5="Protein",$C$53&gt;0,OR(Results!$E$4="Tissue",Results!$E$4="Cells")),((J46*J$51)/(J$53)),IF(AND(Results!$E$5="Weight",$C$52&gt;0, Results!$E$4="Tissue",OR($B$52="g",$B$52="mg")),((J46*J$51)/(J$52)),IF(AND(Results!$E$5="Volume",$C$54&gt;0,Results!$E$4="Fluid"),((J46*J$51)/(J$54)),IF(AND(Results!$E$4="Cells",Results!$E$5="Million",$B$52="million"),((J46*J$51)/(J$52)),"0")))))</f>
        <v>0</v>
      </c>
      <c r="K99" s="20" t="str">
        <f>IF(K46=0,"0",IF(AND(Results!$E$5="Protein",$C$53&gt;0,OR(Results!$E$4="Tissue",Results!$E$4="Cells")),((K46*K$51)/(K$53)),IF(AND(Results!$E$5="Weight",$C$52&gt;0, Results!$E$4="Tissue",OR($B$52="g",$B$52="mg")),((K46*K$51)/(K$52)),IF(AND(Results!$E$5="Volume",$C$54&gt;0,Results!$E$4="Fluid"),((K46*K$51)/(K$54)),IF(AND(Results!$E$4="Cells",Results!$E$5="Million",$B$52="million"),((K46*K$51)/(K$52)),"0")))))</f>
        <v>0</v>
      </c>
      <c r="L99" s="20" t="str">
        <f>IF(L46=0,"0",IF(AND(Results!$E$5="Protein",$C$53&gt;0,OR(Results!$E$4="Tissue",Results!$E$4="Cells")),((L46*L$51)/(L$53)),IF(AND(Results!$E$5="Weight",$C$52&gt;0, Results!$E$4="Tissue",OR($B$52="g",$B$52="mg")),((L46*L$51)/(L$52)),IF(AND(Results!$E$5="Volume",$C$54&gt;0,Results!$E$4="Fluid"),((L46*L$51)/(L$54)),IF(AND(Results!$E$4="Cells",Results!$E$5="Million",$B$52="million"),((L46*L$51)/(L$52)),"0")))))</f>
        <v>0</v>
      </c>
      <c r="M99" s="20" t="str">
        <f>IF(M46=0,"0",IF(AND(Results!$E$5="Protein",$C$53&gt;0,OR(Results!$E$4="Tissue",Results!$E$4="Cells")),((M46*M$51)/(M$53)),IF(AND(Results!$E$5="Weight",$C$52&gt;0, Results!$E$4="Tissue",OR($B$52="g",$B$52="mg")),((M46*M$51)/(M$52)),IF(AND(Results!$E$5="Volume",$C$54&gt;0,Results!$E$4="Fluid"),((M46*M$51)/(M$54)),IF(AND(Results!$E$4="Cells",Results!$E$5="Million",$B$52="million"),((M46*M$51)/(M$52)),"0")))))</f>
        <v>0</v>
      </c>
      <c r="N99" s="20" t="str">
        <f>IF(N46=0,"0",IF(AND(Results!$E$5="Protein",$C$53&gt;0,OR(Results!$E$4="Tissue",Results!$E$4="Cells")),((N46*N$51)/(N$53)),IF(AND(Results!$E$5="Weight",$C$52&gt;0, Results!$E$4="Tissue",OR($B$52="g",$B$52="mg")),((N46*N$51)/(N$52)),IF(AND(Results!$E$5="Volume",$C$54&gt;0,Results!$E$4="Fluid"),((N46*N$51)/(N$54)),IF(AND(Results!$E$4="Cells",Results!$E$5="Million",$B$52="million"),((N46*N$51)/(N$52)),"0")))))</f>
        <v>0</v>
      </c>
      <c r="O99" s="20" t="str">
        <f>IF(O46=0,"0",IF(AND(Results!$E$5="Protein",$C$53&gt;0,OR(Results!$E$4="Tissue",Results!$E$4="Cells")),((O46*O$51)/(O$53)),IF(AND(Results!$E$5="Weight",$C$52&gt;0, Results!$E$4="Tissue",OR($B$52="g",$B$52="mg")),((O46*O$51)/(O$52)),IF(AND(Results!$E$5="Volume",$C$54&gt;0,Results!$E$4="Fluid"),((O46*O$51)/(O$54)),IF(AND(Results!$E$4="Cells",Results!$E$5="Million",$B$52="million"),((O46*O$51)/(O$52)),"0")))))</f>
        <v>0</v>
      </c>
      <c r="P99" s="20" t="str">
        <f>IF(P46=0,"0",IF(AND(Results!$E$5="Protein",$C$53&gt;0,OR(Results!$E$4="Tissue",Results!$E$4="Cells")),((P46*P$51)/(P$53)),IF(AND(Results!$E$5="Weight",$C$52&gt;0, Results!$E$4="Tissue",OR($B$52="g",$B$52="mg")),((P46*P$51)/(P$52)),IF(AND(Results!$E$5="Volume",$C$54&gt;0,Results!$E$4="Fluid"),((P46*P$51)/(P$54)),IF(AND(Results!$E$4="Cells",Results!$E$5="Million",$B$52="million"),((P46*P$51)/(P$52)),"0")))))</f>
        <v>0</v>
      </c>
      <c r="Q99" s="20" t="str">
        <f>IF(Q46=0,"0",IF(AND(Results!$E$5="Protein",$C$53&gt;0,OR(Results!$E$4="Tissue",Results!$E$4="Cells")),((Q46*Q$51)/(Q$53)),IF(AND(Results!$E$5="Weight",$C$52&gt;0, Results!$E$4="Tissue",OR($B$52="g",$B$52="mg")),((Q46*Q$51)/(Q$52)),IF(AND(Results!$E$5="Volume",$C$54&gt;0,Results!$E$4="Fluid"),((Q46*Q$51)/(Q$54)),IF(AND(Results!$E$4="Cells",Results!$E$5="Million",$B$52="million"),((Q46*Q$51)/(Q$52)),"0")))))</f>
        <v>0</v>
      </c>
      <c r="R99" s="20" t="str">
        <f>IF(R46=0,"0",IF(AND(Results!$E$5="Protein",$C$53&gt;0,OR(Results!$E$4="Tissue",Results!$E$4="Cells")),((R46*R$51)/(R$53)),IF(AND(Results!$E$5="Weight",$C$52&gt;0, Results!$E$4="Tissue",OR($B$52="g",$B$52="mg")),((R46*R$51)/(R$52)),IF(AND(Results!$E$5="Volume",$C$54&gt;0,Results!$E$4="Fluid"),((R46*R$51)/(R$54)),IF(AND(Results!$E$4="Cells",Results!$E$5="Million",$B$52="million"),((R46*R$51)/(R$52)),"0")))))</f>
        <v>0</v>
      </c>
      <c r="S99" s="20" t="str">
        <f>IF(S46=0,"0",IF(AND(Results!$E$5="Protein",$C$53&gt;0,OR(Results!$E$4="Tissue",Results!$E$4="Cells")),((S46*S$51)/(S$53)),IF(AND(Results!$E$5="Weight",$C$52&gt;0, Results!$E$4="Tissue",OR($B$52="g",$B$52="mg")),((S46*S$51)/(S$52)),IF(AND(Results!$E$5="Volume",$C$54&gt;0,Results!$E$4="Fluid"),((S46*S$51)/(S$54)),IF(AND(Results!$E$4="Cells",Results!$E$5="Million",$B$52="million"),((S46*S$51)/(S$52)),"0")))))</f>
        <v>0</v>
      </c>
      <c r="T99" s="20" t="str">
        <f>IF(T46=0,"0",IF(AND(Results!$E$5="Protein",$C$53&gt;0,OR(Results!$E$4="Tissue",Results!$E$4="Cells")),((T46*T$51)/(T$53)),IF(AND(Results!$E$5="Weight",$C$52&gt;0, Results!$E$4="Tissue",OR($B$52="g",$B$52="mg")),((T46*T$51)/(T$52)),IF(AND(Results!$E$5="Volume",$C$54&gt;0,Results!$E$4="Fluid"),((T46*T$51)/(T$54)),IF(AND(Results!$E$4="Cells",Results!$E$5="Million",$B$52="million"),((T46*T$51)/(T$52)),"0")))))</f>
        <v>0</v>
      </c>
      <c r="U99" s="20" t="str">
        <f>IF(U46=0,"0",IF(AND(Results!$E$5="Protein",$C$53&gt;0,OR(Results!$E$4="Tissue",Results!$E$4="Cells")),((U46*U$51)/(U$53)),IF(AND(Results!$E$5="Weight",$C$52&gt;0, Results!$E$4="Tissue",OR($B$52="g",$B$52="mg")),((U46*U$51)/(U$52)),IF(AND(Results!$E$5="Volume",$C$54&gt;0,Results!$E$4="Fluid"),((U46*U$51)/(U$54)),IF(AND(Results!$E$4="Cells",Results!$E$5="Million",$B$52="million"),((U46*U$51)/(U$52)),"0")))))</f>
        <v>0</v>
      </c>
      <c r="V99" s="20" t="str">
        <f>IF(V46=0,"0",IF(AND(Results!$E$5="Protein",$C$53&gt;0,OR(Results!$E$4="Tissue",Results!$E$4="Cells")),((V46*V$51)/(V$53)),IF(AND(Results!$E$5="Weight",$C$52&gt;0, Results!$E$4="Tissue",OR($B$52="g",$B$52="mg")),((V46*V$51)/(V$52)),IF(AND(Results!$E$5="Volume",$C$54&gt;0,Results!$E$4="Fluid"),((V46*V$51)/(V$54)),IF(AND(Results!$E$4="Cells",Results!$E$5="Million",$B$52="million"),((V46*V$51)/(V$52)),"0")))))</f>
        <v>0</v>
      </c>
      <c r="W99" s="20" t="str">
        <f>IF(W46=0,"0",IF(AND(Results!$E$5="Protein",$C$53&gt;0,OR(Results!$E$4="Tissue",Results!$E$4="Cells")),((W46*W$51)/(W$53)),IF(AND(Results!$E$5="Weight",$C$52&gt;0, Results!$E$4="Tissue",OR($B$52="g",$B$52="mg")),((W46*W$51)/(W$52)),IF(AND(Results!$E$5="Volume",$C$54&gt;0,Results!$E$4="Fluid"),((W46*W$51)/(W$54)),IF(AND(Results!$E$4="Cells",Results!$E$5="Million",$B$52="million"),((W46*W$51)/(W$52)),"0")))))</f>
        <v>0</v>
      </c>
      <c r="X99" s="20" t="str">
        <f>IF(X46=0,"0",IF(AND(Results!$E$5="Protein",$C$53&gt;0,OR(Results!$E$4="Tissue",Results!$E$4="Cells")),((X46*X$51)/(X$53)),IF(AND(Results!$E$5="Weight",$C$52&gt;0, Results!$E$4="Tissue",OR($B$52="g",$B$52="mg")),((X46*X$51)/(X$52)),IF(AND(Results!$E$5="Volume",$C$54&gt;0,Results!$E$4="Fluid"),((X46*X$51)/(X$54)),IF(AND(Results!$E$4="Cells",Results!$E$5="Million",$B$52="million"),((X46*X$51)/(X$52)),"0")))))</f>
        <v>0</v>
      </c>
      <c r="Y99" s="20" t="str">
        <f>IF(Y46=0,"0",IF(AND(Results!$E$5="Protein",$C$53&gt;0,OR(Results!$E$4="Tissue",Results!$E$4="Cells")),((Y46*Y$51)/(Y$53)),IF(AND(Results!$E$5="Weight",$C$52&gt;0, Results!$E$4="Tissue",OR($B$52="g",$B$52="mg")),((Y46*Y$51)/(Y$52)),IF(AND(Results!$E$5="Volume",$C$54&gt;0,Results!$E$4="Fluid"),((Y46*Y$51)/(Y$54)),IF(AND(Results!$E$4="Cells",Results!$E$5="Million",$B$52="million"),((Y46*Y$51)/(Y$52)),"0")))))</f>
        <v>0</v>
      </c>
      <c r="Z99" s="20" t="str">
        <f>IF(Z46=0,"0",IF(AND(Results!$E$5="Protein",$C$53&gt;0,OR(Results!$E$4="Tissue",Results!$E$4="Cells")),((Z46*Z$51)/(Z$53)),IF(AND(Results!$E$5="Weight",$C$52&gt;0, Results!$E$4="Tissue",OR($B$52="g",$B$52="mg")),((Z46*Z$51)/(Z$52)),IF(AND(Results!$E$5="Volume",$C$54&gt;0,Results!$E$4="Fluid"),((Z46*Z$51)/(Z$54)),IF(AND(Results!$E$4="Cells",Results!$E$5="Million",$B$52="million"),((Z46*Z$51)/(Z$52)),"0")))))</f>
        <v>0</v>
      </c>
      <c r="AA99" s="20" t="str">
        <f>IF(AA46=0,"0",IF(AND(Results!$E$5="Protein",$C$53&gt;0,OR(Results!$E$4="Tissue",Results!$E$4="Cells")),((AA46*AA$51)/(AA$53)),IF(AND(Results!$E$5="Weight",$C$52&gt;0, Results!$E$4="Tissue",OR($B$52="g",$B$52="mg")),((AA46*AA$51)/(AA$52)),IF(AND(Results!$E$5="Volume",$C$54&gt;0,Results!$E$4="Fluid"),((AA46*AA$51)/(AA$54)),IF(AND(Results!$E$4="Cells",Results!$E$5="Million",$B$52="million"),((AA46*AA$51)/(AA$52)),"0")))))</f>
        <v>0</v>
      </c>
      <c r="AB99" s="20" t="str">
        <f>IF(AB46=0,"0",IF(AND(Results!$E$5="Protein",$C$53&gt;0,OR(Results!$E$4="Tissue",Results!$E$4="Cells")),((AB46*AB$51)/(AB$53)),IF(AND(Results!$E$5="Weight",$C$52&gt;0, Results!$E$4="Tissue",OR($B$52="g",$B$52="mg")),((AB46*AB$51)/(AB$52)),IF(AND(Results!$E$5="Volume",$C$54&gt;0,Results!$E$4="Fluid"),((AB46*AB$51)/(AB$54)),IF(AND(Results!$E$4="Cells",Results!$E$5="Million",$B$52="million"),((AB46*AB$51)/(AB$52)),"0")))))</f>
        <v>0</v>
      </c>
      <c r="AC99" s="20" t="str">
        <f>IF(AC46=0,"0",IF(AND(Results!$E$5="Protein",$C$53&gt;0,OR(Results!$E$4="Tissue",Results!$E$4="Cells")),((AC46*AC$51)/(AC$53)),IF(AND(Results!$E$5="Weight",$C$52&gt;0, Results!$E$4="Tissue",OR($B$52="g",$B$52="mg")),((AC46*AC$51)/(AC$52)),IF(AND(Results!$E$5="Volume",$C$54&gt;0,Results!$E$4="Fluid"),((AC46*AC$51)/(AC$54)),IF(AND(Results!$E$4="Cells",Results!$E$5="Million",$B$52="million"),((AC46*AC$51)/(AC$52)),"0")))))</f>
        <v>0</v>
      </c>
      <c r="AD99" s="20" t="str">
        <f>IF(AD46=0,"0",IF(AND(Results!$E$5="Protein",$C$53&gt;0,OR(Results!$E$4="Tissue",Results!$E$4="Cells")),((AD46*AD$51)/(AD$53)),IF(AND(Results!$E$5="Weight",$C$52&gt;0, Results!$E$4="Tissue",OR($B$52="g",$B$52="mg")),((AD46*AD$51)/(AD$52)),IF(AND(Results!$E$5="Volume",$C$54&gt;0,Results!$E$4="Fluid"),((AD46*AD$51)/(AD$54)),IF(AND(Results!$E$4="Cells",Results!$E$5="Million",$B$52="million"),((AD46*AD$51)/(AD$52)),"0")))))</f>
        <v>0</v>
      </c>
      <c r="AE99" s="20" t="str">
        <f>IF(AE46=0,"0",IF(AND(Results!$E$5="Protein",$C$53&gt;0,OR(Results!$E$4="Tissue",Results!$E$4="Cells")),((AE46*AE$51)/(AE$53)),IF(AND(Results!$E$5="Weight",$C$52&gt;0, Results!$E$4="Tissue",OR($B$52="g",$B$52="mg")),((AE46*AE$51)/(AE$52)),IF(AND(Results!$E$5="Volume",$C$54&gt;0,Results!$E$4="Fluid"),((AE46*AE$51)/(AE$54)),IF(AND(Results!$E$4="Cells",Results!$E$5="Million",$B$52="million"),((AE46*AE$51)/(AE$52)),"0")))))</f>
        <v>0</v>
      </c>
      <c r="AF99" s="20" t="str">
        <f>IF(AF46=0,"0",IF(AND(Results!$E$5="Protein",$C$53&gt;0,OR(Results!$E$4="Tissue",Results!$E$4="Cells")),((AF46*AF$51)/(AF$53)),IF(AND(Results!$E$5="Weight",$C$52&gt;0, Results!$E$4="Tissue",OR($B$52="g",$B$52="mg")),((AF46*AF$51)/(AF$52)),IF(AND(Results!$E$5="Volume",$C$54&gt;0,Results!$E$4="Fluid"),((AF46*AF$51)/(AF$54)),IF(AND(Results!$E$4="Cells",Results!$E$5="Million",$B$52="million"),((AF46*AF$51)/(AF$52)),"0")))))</f>
        <v>0</v>
      </c>
      <c r="AG99" s="20" t="str">
        <f>IF(AG46=0,"0",IF(AND(Results!$E$5="Protein",$C$53&gt;0,OR(Results!$E$4="Tissue",Results!$E$4="Cells")),((AG46*AG$51)/(AG$53)),IF(AND(Results!$E$5="Weight",$C$52&gt;0, Results!$E$4="Tissue",OR($B$52="g",$B$52="mg")),((AG46*AG$51)/(AG$52)),IF(AND(Results!$E$5="Volume",$C$54&gt;0,Results!$E$4="Fluid"),((AG46*AG$51)/(AG$54)),IF(AND(Results!$E$4="Cells",Results!$E$5="Million",$B$52="million"),((AG46*AG$51)/(AG$52)),"0")))))</f>
        <v>0</v>
      </c>
      <c r="AH99" s="20" t="str">
        <f>IF(AH46=0,"0",IF(AND(Results!$E$5="Protein",$C$53&gt;0,OR(Results!$E$4="Tissue",Results!$E$4="Cells")),((AH46*AH$51)/(AH$53)),IF(AND(Results!$E$5="Weight",$C$52&gt;0, Results!$E$4="Tissue",OR($B$52="g",$B$52="mg")),((AH46*AH$51)/(AH$52)),IF(AND(Results!$E$5="Volume",$C$54&gt;0,Results!$E$4="Fluid"),((AH46*AH$51)/(AH$54)),IF(AND(Results!$E$4="Cells",Results!$E$5="Million",$B$52="million"),((AH46*AH$51)/(AH$52)),"0")))))</f>
        <v>0</v>
      </c>
      <c r="AI99" s="20" t="str">
        <f>IF(AI46=0,"0",IF(AND(Results!$E$5="Protein",$C$53&gt;0,OR(Results!$E$4="Tissue",Results!$E$4="Cells")),((AI46*AI$51)/(AI$53)),IF(AND(Results!$E$5="Weight",$C$52&gt;0, Results!$E$4="Tissue",OR($B$52="g",$B$52="mg")),((AI46*AI$51)/(AI$52)),IF(AND(Results!$E$5="Volume",$C$54&gt;0,Results!$E$4="Fluid"),((AI46*AI$51)/(AI$54)),IF(AND(Results!$E$4="Cells",Results!$E$5="Million",$B$52="million"),((AI46*AI$51)/(AI$52)),"0")))))</f>
        <v>0</v>
      </c>
      <c r="AJ99" s="20" t="str">
        <f>IF(AJ46=0,"0",IF(AND(Results!$E$5="Protein",$C$53&gt;0,OR(Results!$E$4="Tissue",Results!$E$4="Cells")),((AJ46*AJ$51)/(AJ$53)),IF(AND(Results!$E$5="Weight",$C$52&gt;0, Results!$E$4="Tissue",OR($B$52="g",$B$52="mg")),((AJ46*AJ$51)/(AJ$52)),IF(AND(Results!$E$5="Volume",$C$54&gt;0,Results!$E$4="Fluid"),((AJ46*AJ$51)/(AJ$54)),IF(AND(Results!$E$4="Cells",Results!$E$5="Million",$B$52="million"),((AJ46*AJ$51)/(AJ$52)),"0")))))</f>
        <v>0</v>
      </c>
      <c r="AK99" s="20" t="str">
        <f>IF(AK46=0,"0",IF(AND(Results!$E$5="Protein",$C$53&gt;0,OR(Results!$E$4="Tissue",Results!$E$4="Cells")),((AK46*AK$51)/(AK$53)),IF(AND(Results!$E$5="Weight",$C$52&gt;0, Results!$E$4="Tissue",OR($B$52="g",$B$52="mg")),((AK46*AK$51)/(AK$52)),IF(AND(Results!$E$5="Volume",$C$54&gt;0,Results!$E$4="Fluid"),((AK46*AK$51)/(AK$54)),IF(AND(Results!$E$4="Cells",Results!$E$5="Million",$B$52="million"),((AK46*AK$51)/(AK$52)),"0")))))</f>
        <v>0</v>
      </c>
      <c r="AL99" s="20" t="str">
        <f>IF(AL46=0,"0",IF(AND(Results!$E$5="Protein",$C$53&gt;0,OR(Results!$E$4="Tissue",Results!$E$4="Cells")),((AL46*AL$51)/(AL$53)),IF(AND(Results!$E$5="Weight",$C$52&gt;0, Results!$E$4="Tissue",OR($B$52="g",$B$52="mg")),((AL46*AL$51)/(AL$52)),IF(AND(Results!$E$5="Volume",$C$54&gt;0,Results!$E$4="Fluid"),((AL46*AL$51)/(AL$54)),IF(AND(Results!$E$4="Cells",Results!$E$5="Million",$B$52="million"),((AL46*AL$51)/(AL$52)),"0")))))</f>
        <v>0</v>
      </c>
      <c r="AM99" s="20" t="str">
        <f>IF(AM46=0,"0",IF(AND(Results!$E$5="Protein",$C$53&gt;0,OR(Results!$E$4="Tissue",Results!$E$4="Cells")),((AM46*AM$51)/(AM$53)),IF(AND(Results!$E$5="Weight",$C$52&gt;0, Results!$E$4="Tissue",OR($B$52="g",$B$52="mg")),((AM46*AM$51)/(AM$52)),IF(AND(Results!$E$5="Volume",$C$54&gt;0,Results!$E$4="Fluid"),((AM46*AM$51)/(AM$54)),IF(AND(Results!$E$4="Cells",Results!$E$5="Million",$B$52="million"),((AM46*AM$51)/(AM$52)),"0")))))</f>
        <v>0</v>
      </c>
      <c r="AN99" s="20" t="str">
        <f>IF(AN46=0,"0",IF(AND(Results!$E$5="Protein",$C$53&gt;0,OR(Results!$E$4="Tissue",Results!$E$4="Cells")),((AN46*AN$51)/(AN$53)),IF(AND(Results!$E$5="Weight",$C$52&gt;0, Results!$E$4="Tissue",OR($B$52="g",$B$52="mg")),((AN46*AN$51)/(AN$52)),IF(AND(Results!$E$5="Volume",$C$54&gt;0,Results!$E$4="Fluid"),((AN46*AN$51)/(AN$54)),IF(AND(Results!$E$4="Cells",Results!$E$5="Million",$B$52="million"),((AN46*AN$51)/(AN$52)),"0")))))</f>
        <v>0</v>
      </c>
      <c r="AO99" s="20" t="str">
        <f>IF(AO46=0,"0",IF(AND(Results!$E$5="Protein",$C$53&gt;0,OR(Results!$E$4="Tissue",Results!$E$4="Cells")),((AO46*AO$51)/(AO$53)),IF(AND(Results!$E$5="Weight",$C$52&gt;0, Results!$E$4="Tissue",OR($B$52="g",$B$52="mg")),((AO46*AO$51)/(AO$52)),IF(AND(Results!$E$5="Volume",$C$54&gt;0,Results!$E$4="Fluid"),((AO46*AO$51)/(AO$54)),IF(AND(Results!$E$4="Cells",Results!$E$5="Million",$B$52="million"),((AO46*AO$51)/(AO$52)),"0")))))</f>
        <v>0</v>
      </c>
      <c r="AP99" s="20" t="str">
        <f>IF(AP46=0,"0",IF(AND(Results!$E$5="Protein",$C$53&gt;0,OR(Results!$E$4="Tissue",Results!$E$4="Cells")),((AP46*AP$51)/(AP$53)),IF(AND(Results!$E$5="Weight",$C$52&gt;0, Results!$E$4="Tissue",OR($B$52="g",$B$52="mg")),((AP46*AP$51)/(AP$52)),IF(AND(Results!$E$5="Volume",$C$54&gt;0,Results!$E$4="Fluid"),((AP46*AP$51)/(AP$54)),IF(AND(Results!$E$4="Cells",Results!$E$5="Million",$B$52="million"),((AP46*AP$51)/(AP$52)),"0")))))</f>
        <v>0</v>
      </c>
      <c r="AQ99" s="20" t="str">
        <f>IF(AQ46=0,"0",IF(AND(Results!$E$5="Protein",$C$53&gt;0,OR(Results!$E$4="Tissue",Results!$E$4="Cells")),((AQ46*AQ$51)/(AQ$53)),IF(AND(Results!$E$5="Weight",$C$52&gt;0, Results!$E$4="Tissue",OR($B$52="g",$B$52="mg")),((AQ46*AQ$51)/(AQ$52)),IF(AND(Results!$E$5="Volume",$C$54&gt;0,Results!$E$4="Fluid"),((AQ46*AQ$51)/(AQ$54)),IF(AND(Results!$E$4="Cells",Results!$E$5="Million",$B$52="million"),((AQ46*AQ$51)/(AQ$52)),"0")))))</f>
        <v>0</v>
      </c>
      <c r="AR99" s="20" t="str">
        <f>IF(AR46=0,"0",IF(AND(Results!$E$5="Protein",$C$53&gt;0,OR(Results!$E$4="Tissue",Results!$E$4="Cells")),((AR46*AR$51)/(AR$53)),IF(AND(Results!$E$5="Weight",$C$52&gt;0, Results!$E$4="Tissue",OR($B$52="g",$B$52="mg")),((AR46*AR$51)/(AR$52)),IF(AND(Results!$E$5="Volume",$C$54&gt;0,Results!$E$4="Fluid"),((AR46*AR$51)/(AR$54)),IF(AND(Results!$E$4="Cells",Results!$E$5="Million",$B$52="million"),((AR46*AR$51)/(AR$52)),"0")))))</f>
        <v>0</v>
      </c>
      <c r="AS99" s="20" t="str">
        <f>IF(AS46=0,"0",IF(AND(Results!$E$5="Protein",$C$53&gt;0,OR(Results!$E$4="Tissue",Results!$E$4="Cells")),((AS46*AS$51)/(AS$53)),IF(AND(Results!$E$5="Weight",$C$52&gt;0, Results!$E$4="Tissue",OR($B$52="g",$B$52="mg")),((AS46*AS$51)/(AS$52)),IF(AND(Results!$E$5="Volume",$C$54&gt;0,Results!$E$4="Fluid"),((AS46*AS$51)/(AS$54)),IF(AND(Results!$E$4="Cells",Results!$E$5="Million",$B$52="million"),((AS46*AS$51)/(AS$52)),"0")))))</f>
        <v>0</v>
      </c>
      <c r="AT99" s="20" t="str">
        <f>IF(AT46=0,"0",IF(AND(Results!$E$5="Protein",$C$53&gt;0,OR(Results!$E$4="Tissue",Results!$E$4="Cells")),((AT46*AT$51)/(AT$53)),IF(AND(Results!$E$5="Weight",$C$52&gt;0, Results!$E$4="Tissue",OR($B$52="g",$B$52="mg")),((AT46*AT$51)/(AT$52)),IF(AND(Results!$E$5="Volume",$C$54&gt;0,Results!$E$4="Fluid"),((AT46*AT$51)/(AT$54)),IF(AND(Results!$E$4="Cells",Results!$E$5="Million",$B$52="million"),((AT46*AT$51)/(AT$52)),"0")))))</f>
        <v>0</v>
      </c>
      <c r="AU99" s="20" t="str">
        <f>IF(AU46=0,"0",IF(AND(Results!$E$5="Protein",$C$53&gt;0,OR(Results!$E$4="Tissue",Results!$E$4="Cells")),((AU46*AU$51)/(AU$53)),IF(AND(Results!$E$5="Weight",$C$52&gt;0, Results!$E$4="Tissue",OR($B$52="g",$B$52="mg")),((AU46*AU$51)/(AU$52)),IF(AND(Results!$E$5="Volume",$C$54&gt;0,Results!$E$4="Fluid"),((AU46*AU$51)/(AU$54)),IF(AND(Results!$E$4="Cells",Results!$E$5="Million",$B$52="million"),((AU46*AU$51)/(AU$52)),"0")))))</f>
        <v>0</v>
      </c>
      <c r="AV99" s="20" t="str">
        <f>IF(AV46=0,"0",IF(AND(Results!$E$5="Protein",$C$53&gt;0,OR(Results!$E$4="Tissue",Results!$E$4="Cells")),((AV46*AV$51)/(AV$53)),IF(AND(Results!$E$5="Weight",$C$52&gt;0, Results!$E$4="Tissue",OR($B$52="g",$B$52="mg")),((AV46*AV$51)/(AV$52)),IF(AND(Results!$E$5="Volume",$C$54&gt;0,Results!$E$4="Fluid"),((AV46*AV$51)/(AV$54)),IF(AND(Results!$E$4="Cells",Results!$E$5="Million",$B$52="million"),((AV46*AV$51)/(AV$52)),"0")))))</f>
        <v>0</v>
      </c>
      <c r="AW99" s="20" t="str">
        <f>IF(AW46=0,"0",IF(AND(Results!$E$5="Protein",$C$53&gt;0,OR(Results!$E$4="Tissue",Results!$E$4="Cells")),((AW46*AW$51)/(AW$53)),IF(AND(Results!$E$5="Weight",$C$52&gt;0, Results!$E$4="Tissue",OR($B$52="g",$B$52="mg")),((AW46*AW$51)/(AW$52)),IF(AND(Results!$E$5="Volume",$C$54&gt;0,Results!$E$4="Fluid"),((AW46*AW$51)/(AW$54)),IF(AND(Results!$E$4="Cells",Results!$E$5="Million",$B$52="million"),((AW46*AW$51)/(AW$52)),"0")))))</f>
        <v>0</v>
      </c>
      <c r="AX99" s="20" t="str">
        <f>IF(AX46=0,"0",IF(AND(Results!$E$5="Protein",$C$53&gt;0,OR(Results!$E$4="Tissue",Results!$E$4="Cells")),((AX46*AX$51)/(AX$53)),IF(AND(Results!$E$5="Weight",$C$52&gt;0, Results!$E$4="Tissue",OR($B$52="g",$B$52="mg")),((AX46*AX$51)/(AX$52)),IF(AND(Results!$E$5="Volume",$C$54&gt;0,Results!$E$4="Fluid"),((AX46*AX$51)/(AX$54)),IF(AND(Results!$E$4="Cells",Results!$E$5="Million",$B$52="million"),((AX46*AX$51)/(AX$52)),"0")))))</f>
        <v>0</v>
      </c>
      <c r="AY99" s="20" t="str">
        <f>IF(AY46=0,"0",IF(AND(Results!$E$5="Protein",$C$53&gt;0,OR(Results!$E$4="Tissue",Results!$E$4="Cells")),((AY46*AY$51)/(AY$53)),IF(AND(Results!$E$5="Weight",$C$52&gt;0, Results!$E$4="Tissue",OR($B$52="g",$B$52="mg")),((AY46*AY$51)/(AY$52)),IF(AND(Results!$E$5="Volume",$C$54&gt;0,Results!$E$4="Fluid"),((AY46*AY$51)/(AY$54)),IF(AND(Results!$E$4="Cells",Results!$E$5="Million",$B$52="million"),((AY46*AY$51)/(AY$52)),"0")))))</f>
        <v>0</v>
      </c>
      <c r="AZ99" s="20" t="str">
        <f>IF(AZ46=0,"0",IF(AND(Results!$E$5="Protein",$C$53&gt;0,OR(Results!$E$4="Tissue",Results!$E$4="Cells")),((AZ46*AZ$51)/(AZ$53)),IF(AND(Results!$E$5="Weight",$C$52&gt;0, Results!$E$4="Tissue",OR($B$52="g",$B$52="mg")),((AZ46*AZ$51)/(AZ$52)),IF(AND(Results!$E$5="Volume",$C$54&gt;0,Results!$E$4="Fluid"),((AZ46*AZ$51)/(AZ$54)),IF(AND(Results!$E$4="Cells",Results!$E$5="Million",$B$52="million"),((AZ46*AZ$51)/(AZ$52)),"0")))))</f>
        <v>0</v>
      </c>
      <c r="BA99" s="20" t="str">
        <f>IF(BA46=0,"0",IF(AND(Results!$E$5="Protein",$C$53&gt;0,OR(Results!$E$4="Tissue",Results!$E$4="Cells")),((BA46*BA$51)/(BA$53)),IF(AND(Results!$E$5="Weight",$C$52&gt;0, Results!$E$4="Tissue",OR($B$52="g",$B$52="mg")),((BA46*BA$51)/(BA$52)),IF(AND(Results!$E$5="Volume",$C$54&gt;0,Results!$E$4="Fluid"),((BA46*BA$51)/(BA$54)),IF(AND(Results!$E$4="Cells",Results!$E$5="Million",$B$52="million"),((BA46*BA$51)/(BA$52)),"0")))))</f>
        <v>0</v>
      </c>
      <c r="BB99" s="20" t="str">
        <f>IF(BB46=0,"0",IF(AND(Results!$E$5="Protein",$C$53&gt;0,OR(Results!$E$4="Tissue",Results!$E$4="Cells")),((BB46*BB$51)/(BB$53)),IF(AND(Results!$E$5="Weight",$C$52&gt;0, Results!$E$4="Tissue",OR($B$52="g",$B$52="mg")),((BB46*BB$51)/(BB$52)),IF(AND(Results!$E$5="Volume",$C$54&gt;0,Results!$E$4="Fluid"),((BB46*BB$51)/(BB$54)),IF(AND(Results!$E$4="Cells",Results!$E$5="Million",$B$52="million"),((BB46*BB$51)/(BB$52)),"0")))))</f>
        <v>0</v>
      </c>
      <c r="BC99" s="20" t="str">
        <f>IF(BC46=0,"0",IF(AND(Results!$E$5="Protein",$C$53&gt;0,OR(Results!$E$4="Tissue",Results!$E$4="Cells")),((BC46*BC$51)/(BC$53)),IF(AND(Results!$E$5="Weight",$C$52&gt;0, Results!$E$4="Tissue",OR($B$52="g",$B$52="mg")),((BC46*BC$51)/(BC$52)),IF(AND(Results!$E$5="Volume",$C$54&gt;0,Results!$E$4="Fluid"),((BC46*BC$51)/(BC$54)),IF(AND(Results!$E$4="Cells",Results!$E$5="Million",$B$52="million"),((BC46*BC$51)/(BC$52)),"0")))))</f>
        <v>0</v>
      </c>
      <c r="BD99" s="20" t="str">
        <f>IF(BD46=0,"0",IF(AND(Results!$E$5="Protein",$C$53&gt;0,OR(Results!$E$4="Tissue",Results!$E$4="Cells")),((BD46*BD$51)/(BD$53)),IF(AND(Results!$E$5="Weight",$C$52&gt;0, Results!$E$4="Tissue",OR($B$52="g",$B$52="mg")),((BD46*BD$51)/(BD$52)),IF(AND(Results!$E$5="Volume",$C$54&gt;0,Results!$E$4="Fluid"),((BD46*BD$51)/(BD$54)),IF(AND(Results!$E$4="Cells",Results!$E$5="Million",$B$52="million"),((BD46*BD$51)/(BD$52)),"0")))))</f>
        <v>0</v>
      </c>
      <c r="BE99" s="20" t="str">
        <f>IF(BE46=0,"0",IF(AND(Results!$E$5="Protein",$C$53&gt;0,OR(Results!$E$4="Tissue",Results!$E$4="Cells")),((BE46*BE$51)/(BE$53)),IF(AND(Results!$E$5="Weight",$C$52&gt;0, Results!$E$4="Tissue",OR($B$52="g",$B$52="mg")),((BE46*BE$51)/(BE$52)),IF(AND(Results!$E$5="Volume",$C$54&gt;0,Results!$E$4="Fluid"),((BE46*BE$51)/(BE$54)),IF(AND(Results!$E$4="Cells",Results!$E$5="Million",$B$52="million"),((BE46*BE$51)/(BE$52)),"0")))))</f>
        <v>0</v>
      </c>
      <c r="BF99" s="20" t="str">
        <f>IF(BF46=0,"0",IF(AND(Results!$E$5="Protein",$C$53&gt;0,OR(Results!$E$4="Tissue",Results!$E$4="Cells")),((BF46*BF$51)/(BF$53)),IF(AND(Results!$E$5="Weight",$C$52&gt;0, Results!$E$4="Tissue",OR($B$52="g",$B$52="mg")),((BF46*BF$51)/(BF$52)),IF(AND(Results!$E$5="Volume",$C$54&gt;0,Results!$E$4="Fluid"),((BF46*BF$51)/(BF$54)),IF(AND(Results!$E$4="Cells",Results!$E$5="Million",$B$52="million"),((BF46*BF$51)/(BF$52)),"0")))))</f>
        <v>0</v>
      </c>
      <c r="BG99" s="20" t="str">
        <f>IF(BG46=0,"0",IF(AND(Results!$E$5="Protein",$C$53&gt;0,OR(Results!$E$4="Tissue",Results!$E$4="Cells")),((BG46*BG$51)/(BG$53)),IF(AND(Results!$E$5="Weight",$C$52&gt;0, Results!$E$4="Tissue",OR($B$52="g",$B$52="mg")),((BG46*BG$51)/(BG$52)),IF(AND(Results!$E$5="Volume",$C$54&gt;0,Results!$E$4="Fluid"),((BG46*BG$51)/(BG$54)),IF(AND(Results!$E$4="Cells",Results!$E$5="Million",$B$52="million"),((BG46*BG$51)/(BG$52)),"0")))))</f>
        <v>0</v>
      </c>
      <c r="BH99" s="20" t="str">
        <f>IF(BH46=0,"0",IF(AND(Results!$E$5="Protein",$C$53&gt;0,OR(Results!$E$4="Tissue",Results!$E$4="Cells")),((BH46*BH$51)/(BH$53)),IF(AND(Results!$E$5="Weight",$C$52&gt;0, Results!$E$4="Tissue",OR($B$52="g",$B$52="mg")),((BH46*BH$51)/(BH$52)),IF(AND(Results!$E$5="Volume",$C$54&gt;0,Results!$E$4="Fluid"),((BH46*BH$51)/(BH$54)),IF(AND(Results!$E$4="Cells",Results!$E$5="Million",$B$52="million"),((BH46*BH$51)/(BH$52)),"0")))))</f>
        <v>0</v>
      </c>
      <c r="BI99" s="20" t="str">
        <f>IF(BI46=0,"0",IF(AND(Results!$E$5="Protein",$C$53&gt;0,OR(Results!$E$4="Tissue",Results!$E$4="Cells")),((BI46*BI$51)/(BI$53)),IF(AND(Results!$E$5="Weight",$C$52&gt;0, Results!$E$4="Tissue",OR($B$52="g",$B$52="mg")),((BI46*BI$51)/(BI$52)),IF(AND(Results!$E$5="Volume",$C$54&gt;0,Results!$E$4="Fluid"),((BI46*BI$51)/(BI$54)),IF(AND(Results!$E$4="Cells",Results!$E$5="Million",$B$52="million"),((BI46*BI$51)/(BI$52)),"0")))))</f>
        <v>0</v>
      </c>
      <c r="BJ99" s="20" t="str">
        <f>IF(BJ46=0,"0",IF(AND(Results!$E$5="Protein",$C$53&gt;0,OR(Results!$E$4="Tissue",Results!$E$4="Cells")),((BJ46*BJ$51)/(BJ$53)),IF(AND(Results!$E$5="Weight",$C$52&gt;0, Results!$E$4="Tissue",OR($B$52="g",$B$52="mg")),((BJ46*BJ$51)/(BJ$52)),IF(AND(Results!$E$5="Volume",$C$54&gt;0,Results!$E$4="Fluid"),((BJ46*BJ$51)/(BJ$54)),IF(AND(Results!$E$4="Cells",Results!$E$5="Million",$B$52="million"),((BJ46*BJ$51)/(BJ$52)),"0")))))</f>
        <v>0</v>
      </c>
      <c r="BK99" s="20" t="str">
        <f>IF(BK46=0,"0",IF(AND(Results!$E$5="Protein",$C$53&gt;0,OR(Results!$E$4="Tissue",Results!$E$4="Cells")),((BK46*BK$51)/(BK$53)),IF(AND(Results!$E$5="Weight",$C$52&gt;0, Results!$E$4="Tissue",OR($B$52="g",$B$52="mg")),((BK46*BK$51)/(BK$52)),IF(AND(Results!$E$5="Volume",$C$54&gt;0,Results!$E$4="Fluid"),((BK46*BK$51)/(BK$54)),IF(AND(Results!$E$4="Cells",Results!$E$5="Million",$B$52="million"),((BK46*BK$51)/(BK$52)),"0")))))</f>
        <v>0</v>
      </c>
      <c r="BL99" s="20" t="str">
        <f>IF(BL46=0,"0",IF(AND(Results!$E$5="Protein",$C$53&gt;0,OR(Results!$E$4="Tissue",Results!$E$4="Cells")),((BL46*BL$51)/(BL$53)),IF(AND(Results!$E$5="Weight",$C$52&gt;0, Results!$E$4="Tissue",OR($B$52="g",$B$52="mg")),((BL46*BL$51)/(BL$52)),IF(AND(Results!$E$5="Volume",$C$54&gt;0,Results!$E$4="Fluid"),((BL46*BL$51)/(BL$54)),IF(AND(Results!$E$4="Cells",Results!$E$5="Million",$B$52="million"),((BL46*BL$51)/(BL$52)),"0")))))</f>
        <v>0</v>
      </c>
      <c r="BM99" s="20" t="str">
        <f>IF(BM46=0,"0",IF(AND(Results!$E$5="Protein",$C$53&gt;0,OR(Results!$E$4="Tissue",Results!$E$4="Cells")),((BM46*BM$51)/(BM$53)),IF(AND(Results!$E$5="Weight",$C$52&gt;0, Results!$E$4="Tissue",OR($B$52="g",$B$52="mg")),((BM46*BM$51)/(BM$52)),IF(AND(Results!$E$5="Volume",$C$54&gt;0,Results!$E$4="Fluid"),((BM46*BM$51)/(BM$54)),IF(AND(Results!$E$4="Cells",Results!$E$5="Million",$B$52="million"),((BM46*BM$51)/(BM$52)),"0")))))</f>
        <v>0</v>
      </c>
      <c r="BN99" s="20" t="str">
        <f>IF(BN46=0,"0",IF(AND(Results!$E$5="Protein",$C$53&gt;0,OR(Results!$E$4="Tissue",Results!$E$4="Cells")),((BN46*BN$51)/(BN$53)),IF(AND(Results!$E$5="Weight",$C$52&gt;0, Results!$E$4="Tissue",OR($B$52="g",$B$52="mg")),((BN46*BN$51)/(BN$52)),IF(AND(Results!$E$5="Volume",$C$54&gt;0,Results!$E$4="Fluid"),((BN46*BN$51)/(BN$54)),IF(AND(Results!$E$4="Cells",Results!$E$5="Million",$B$52="million"),((BN46*BN$51)/(BN$52)),"0")))))</f>
        <v>0</v>
      </c>
      <c r="BO99" s="20" t="str">
        <f>IF(BO46=0,"0",IF(AND(Results!$E$5="Protein",$C$53&gt;0,OR(Results!$E$4="Tissue",Results!$E$4="Cells")),((BO46*BO$51)/(BO$53)),IF(AND(Results!$E$5="Weight",$C$52&gt;0, Results!$E$4="Tissue",OR($B$52="g",$B$52="mg")),((BO46*BO$51)/(BO$52)),IF(AND(Results!$E$5="Volume",$C$54&gt;0,Results!$E$4="Fluid"),((BO46*BO$51)/(BO$54)),IF(AND(Results!$E$4="Cells",Results!$E$5="Million",$B$52="million"),((BO46*BO$51)/(BO$52)),"0")))))</f>
        <v>0</v>
      </c>
      <c r="BP99" s="20" t="str">
        <f>IF(BP46=0,"0",IF(AND(Results!$E$5="Protein",$C$53&gt;0,OR(Results!$E$4="Tissue",Results!$E$4="Cells")),((BP46*BP$51)/(BP$53)),IF(AND(Results!$E$5="Weight",$C$52&gt;0, Results!$E$4="Tissue",OR($B$52="g",$B$52="mg")),((BP46*BP$51)/(BP$52)),IF(AND(Results!$E$5="Volume",$C$54&gt;0,Results!$E$4="Fluid"),((BP46*BP$51)/(BP$54)),IF(AND(Results!$E$4="Cells",Results!$E$5="Million",$B$52="million"),((BP46*BP$51)/(BP$52)),"0")))))</f>
        <v>0</v>
      </c>
      <c r="BQ99" s="20" t="str">
        <f>IF(BQ46=0,"0",IF(AND(Results!$E$5="Protein",$C$53&gt;0,OR(Results!$E$4="Tissue",Results!$E$4="Cells")),((BQ46*BQ$51)/(BQ$53)),IF(AND(Results!$E$5="Weight",$C$52&gt;0, Results!$E$4="Tissue",OR($B$52="g",$B$52="mg")),((BQ46*BQ$51)/(BQ$52)),IF(AND(Results!$E$5="Volume",$C$54&gt;0,Results!$E$4="Fluid"),((BQ46*BQ$51)/(BQ$54)),IF(AND(Results!$E$4="Cells",Results!$E$5="Million",$B$52="million"),((BQ46*BQ$51)/(BQ$52)),"0")))))</f>
        <v>0</v>
      </c>
      <c r="BR99" s="20" t="str">
        <f>IF(BR46=0,"0",IF(AND(Results!$E$5="Protein",$C$53&gt;0,OR(Results!$E$4="Tissue",Results!$E$4="Cells")),((BR46*BR$51)/(BR$53)),IF(AND(Results!$E$5="Weight",$C$52&gt;0, Results!$E$4="Tissue",OR($B$52="g",$B$52="mg")),((BR46*BR$51)/(BR$52)),IF(AND(Results!$E$5="Volume",$C$54&gt;0,Results!$E$4="Fluid"),((BR46*BR$51)/(BR$54)),IF(AND(Results!$E$4="Cells",Results!$E$5="Million",$B$52="million"),((BR46*BR$51)/(BR$52)),"0")))))</f>
        <v>0</v>
      </c>
      <c r="BS99" s="20" t="str">
        <f>IF(BS46=0,"0",IF(AND(Results!$E$5="Protein",$C$53&gt;0,OR(Results!$E$4="Tissue",Results!$E$4="Cells")),((BS46*BS$51)/(BS$53)),IF(AND(Results!$E$5="Weight",$C$52&gt;0, Results!$E$4="Tissue",OR($B$52="g",$B$52="mg")),((BS46*BS$51)/(BS$52)),IF(AND(Results!$E$5="Volume",$C$54&gt;0,Results!$E$4="Fluid"),((BS46*BS$51)/(BS$54)),IF(AND(Results!$E$4="Cells",Results!$E$5="Million",$B$52="million"),((BS46*BS$51)/(BS$52)),"0")))))</f>
        <v>0</v>
      </c>
      <c r="BT99" s="20" t="str">
        <f>IF(BT46=0,"0",IF(AND(Results!$E$5="Protein",$C$53&gt;0,OR(Results!$E$4="Tissue",Results!$E$4="Cells")),((BT46*BT$51)/(BT$53)),IF(AND(Results!$E$5="Weight",$C$52&gt;0, Results!$E$4="Tissue",OR($B$52="g",$B$52="mg")),((BT46*BT$51)/(BT$52)),IF(AND(Results!$E$5="Volume",$C$54&gt;0,Results!$E$4="Fluid"),((BT46*BT$51)/(BT$54)),IF(AND(Results!$E$4="Cells",Results!$E$5="Million",$B$52="million"),((BT46*BT$51)/(BT$52)),"0")))))</f>
        <v>0</v>
      </c>
      <c r="BU99" s="20" t="str">
        <f>IF(BU46=0,"0",IF(AND(Results!$E$5="Protein",$C$53&gt;0,OR(Results!$E$4="Tissue",Results!$E$4="Cells")),((BU46*BU$51)/(BU$53)),IF(AND(Results!$E$5="Weight",$C$52&gt;0, Results!$E$4="Tissue",OR($B$52="g",$B$52="mg")),((BU46*BU$51)/(BU$52)),IF(AND(Results!$E$5="Volume",$C$54&gt;0,Results!$E$4="Fluid"),((BU46*BU$51)/(BU$54)),IF(AND(Results!$E$4="Cells",Results!$E$5="Million",$B$52="million"),((BU46*BU$51)/(BU$52)),"0")))))</f>
        <v>0</v>
      </c>
      <c r="BV99" s="20" t="str">
        <f>IF(BV46=0,"0",IF(AND(Results!$E$5="Protein",$C$53&gt;0,OR(Results!$E$4="Tissue",Results!$E$4="Cells")),((BV46*BV$51)/(BV$53)),IF(AND(Results!$E$5="Weight",$C$52&gt;0, Results!$E$4="Tissue",OR($B$52="g",$B$52="mg")),((BV46*BV$51)/(BV$52)),IF(AND(Results!$E$5="Volume",$C$54&gt;0,Results!$E$4="Fluid"),((BV46*BV$51)/(BV$54)),IF(AND(Results!$E$4="Cells",Results!$E$5="Million",$B$52="million"),((BV46*BV$51)/(BV$52)),"0")))))</f>
        <v>0</v>
      </c>
      <c r="BW99" s="20" t="str">
        <f>IF(BW46=0,"0",IF(AND(Results!$E$5="Protein",$C$53&gt;0,OR(Results!$E$4="Tissue",Results!$E$4="Cells")),((BW46*BW$51)/(BW$53)),IF(AND(Results!$E$5="Weight",$C$52&gt;0, Results!$E$4="Tissue",OR($B$52="g",$B$52="mg")),((BW46*BW$51)/(BW$52)),IF(AND(Results!$E$5="Volume",$C$54&gt;0,Results!$E$4="Fluid"),((BW46*BW$51)/(BW$54)),IF(AND(Results!$E$4="Cells",Results!$E$5="Million",$B$52="million"),((BW46*BW$51)/(BW$52)),"0")))))</f>
        <v>0</v>
      </c>
      <c r="BX99" s="20" t="str">
        <f>IF(BX46=0,"0",IF(AND(Results!$E$5="Protein",$C$53&gt;0,OR(Results!$E$4="Tissue",Results!$E$4="Cells")),((BX46*BX$51)/(BX$53)),IF(AND(Results!$E$5="Weight",$C$52&gt;0, Results!$E$4="Tissue",OR($B$52="g",$B$52="mg")),((BX46*BX$51)/(BX$52)),IF(AND(Results!$E$5="Volume",$C$54&gt;0,Results!$E$4="Fluid"),((BX46*BX$51)/(BX$54)),IF(AND(Results!$E$4="Cells",Results!$E$5="Million",$B$52="million"),((BX46*BX$51)/(BX$52)),"0")))))</f>
        <v>0</v>
      </c>
      <c r="BY99" s="20" t="str">
        <f>IF(BY46=0,"0",IF(AND(Results!$E$5="Protein",$C$53&gt;0,OR(Results!$E$4="Tissue",Results!$E$4="Cells")),((BY46*BY$51)/(BY$53)),IF(AND(Results!$E$5="Weight",$C$52&gt;0, Results!$E$4="Tissue",OR($B$52="g",$B$52="mg")),((BY46*BY$51)/(BY$52)),IF(AND(Results!$E$5="Volume",$C$54&gt;0,Results!$E$4="Fluid"),((BY46*BY$51)/(BY$54)),IF(AND(Results!$E$4="Cells",Results!$E$5="Million",$B$52="million"),((BY46*BY$51)/(BY$52)),"0")))))</f>
        <v>0</v>
      </c>
      <c r="BZ99" s="20" t="str">
        <f>IF(BZ46=0,"0",IF(AND(Results!$E$5="Protein",$C$53&gt;0,OR(Results!$E$4="Tissue",Results!$E$4="Cells")),((BZ46*BZ$51)/(BZ$53)),IF(AND(Results!$E$5="Weight",$C$52&gt;0, Results!$E$4="Tissue",OR($B$52="g",$B$52="mg")),((BZ46*BZ$51)/(BZ$52)),IF(AND(Results!$E$5="Volume",$C$54&gt;0,Results!$E$4="Fluid"),((BZ46*BZ$51)/(BZ$54)),IF(AND(Results!$E$4="Cells",Results!$E$5="Million",$B$52="million"),((BZ46*BZ$51)/(BZ$52)),"0")))))</f>
        <v>0</v>
      </c>
      <c r="CA99" s="20" t="str">
        <f>IF(CA46=0,"0",IF(AND(Results!$E$5="Protein",$C$53&gt;0,OR(Results!$E$4="Tissue",Results!$E$4="Cells")),((CA46*CA$51)/(CA$53)),IF(AND(Results!$E$5="Weight",$C$52&gt;0, Results!$E$4="Tissue",OR($B$52="g",$B$52="mg")),((CA46*CA$51)/(CA$52)),IF(AND(Results!$E$5="Volume",$C$54&gt;0,Results!$E$4="Fluid"),((CA46*CA$51)/(CA$54)),IF(AND(Results!$E$4="Cells",Results!$E$5="Million",$B$52="million"),((CA46*CA$51)/(CA$52)),"0")))))</f>
        <v>0</v>
      </c>
      <c r="CB99" s="20" t="str">
        <f>IF(CB46=0,"0",IF(AND(Results!$E$5="Protein",$C$53&gt;0,OR(Results!$E$4="Tissue",Results!$E$4="Cells")),((CB46*CB$51)/(CB$53)),IF(AND(Results!$E$5="Weight",$C$52&gt;0, Results!$E$4="Tissue",OR($B$52="g",$B$52="mg")),((CB46*CB$51)/(CB$52)),IF(AND(Results!$E$5="Volume",$C$54&gt;0,Results!$E$4="Fluid"),((CB46*CB$51)/(CB$54)),IF(AND(Results!$E$4="Cells",Results!$E$5="Million",$B$52="million"),((CB46*CB$51)/(CB$52)),"0")))))</f>
        <v>0</v>
      </c>
      <c r="CC99" s="20" t="str">
        <f>IF(CC46=0,"0",IF(AND(Results!$E$5="Protein",$C$53&gt;0,OR(Results!$E$4="Tissue",Results!$E$4="Cells")),((CC46*CC$51)/(CC$53)),IF(AND(Results!$E$5="Weight",$C$52&gt;0, Results!$E$4="Tissue",OR($B$52="g",$B$52="mg")),((CC46*CC$51)/(CC$52)),IF(AND(Results!$E$5="Volume",$C$54&gt;0,Results!$E$4="Fluid"),((CC46*CC$51)/(CC$54)),IF(AND(Results!$E$4="Cells",Results!$E$5="Million",$B$52="million"),((CC46*CC$51)/(CC$52)),"0")))))</f>
        <v>0</v>
      </c>
      <c r="CD99" s="20" t="str">
        <f>IF(CD46=0,"0",IF(AND(Results!$E$5="Protein",$C$53&gt;0,OR(Results!$E$4="Tissue",Results!$E$4="Cells")),((CD46*CD$51)/(CD$53)),IF(AND(Results!$E$5="Weight",$C$52&gt;0, Results!$E$4="Tissue",OR($B$52="g",$B$52="mg")),((CD46*CD$51)/(CD$52)),IF(AND(Results!$E$5="Volume",$C$54&gt;0,Results!$E$4="Fluid"),((CD46*CD$51)/(CD$54)),IF(AND(Results!$E$4="Cells",Results!$E$5="Million",$B$52="million"),((CD46*CD$51)/(CD$52)),"0")))))</f>
        <v>0</v>
      </c>
      <c r="CE99" s="20" t="str">
        <f>IF(CE46=0,"0",IF(AND(Results!$E$5="Protein",$C$53&gt;0,OR(Results!$E$4="Tissue",Results!$E$4="Cells")),((CE46*CE$51)/(CE$53)),IF(AND(Results!$E$5="Weight",$C$52&gt;0, Results!$E$4="Tissue",OR($B$52="g",$B$52="mg")),((CE46*CE$51)/(CE$52)),IF(AND(Results!$E$5="Volume",$C$54&gt;0,Results!$E$4="Fluid"),((CE46*CE$51)/(CE$54)),IF(AND(Results!$E$4="Cells",Results!$E$5="Million",$B$52="million"),((CE46*CE$51)/(CE$52)),"0")))))</f>
        <v>0</v>
      </c>
      <c r="CF99" s="20" t="str">
        <f>IF(CF46=0,"0",IF(AND(Results!$E$5="Protein",$C$53&gt;0,OR(Results!$E$4="Tissue",Results!$E$4="Cells")),((CF46*CF$51)/(CF$53)),IF(AND(Results!$E$5="Weight",$C$52&gt;0, Results!$E$4="Tissue",OR($B$52="g",$B$52="mg")),((CF46*CF$51)/(CF$52)),IF(AND(Results!$E$5="Volume",$C$54&gt;0,Results!$E$4="Fluid"),((CF46*CF$51)/(CF$54)),IF(AND(Results!$E$4="Cells",Results!$E$5="Million",$B$52="million"),((CF46*CF$51)/(CF$52)),"0")))))</f>
        <v>0</v>
      </c>
      <c r="CG99" s="20" t="str">
        <f>IF(CG46=0,"0",IF(AND(Results!$E$5="Protein",$C$53&gt;0,OR(Results!$E$4="Tissue",Results!$E$4="Cells")),((CG46*CG$51)/(CG$53)),IF(AND(Results!$E$5="Weight",$C$52&gt;0, Results!$E$4="Tissue",OR($B$52="g",$B$52="mg")),((CG46*CG$51)/(CG$52)),IF(AND(Results!$E$5="Volume",$C$54&gt;0,Results!$E$4="Fluid"),((CG46*CG$51)/(CG$54)),IF(AND(Results!$E$4="Cells",Results!$E$5="Million",$B$52="million"),((CG46*CG$51)/(CG$52)),"0")))))</f>
        <v>0</v>
      </c>
      <c r="CH99" s="20" t="str">
        <f>IF(CH46=0,"0",IF(AND(Results!$E$5="Protein",$C$53&gt;0,OR(Results!$E$4="Tissue",Results!$E$4="Cells")),((CH46*CH$51)/(CH$53)),IF(AND(Results!$E$5="Weight",$C$52&gt;0, Results!$E$4="Tissue",OR($B$52="g",$B$52="mg")),((CH46*CH$51)/(CH$52)),IF(AND(Results!$E$5="Volume",$C$54&gt;0,Results!$E$4="Fluid"),((CH46*CH$51)/(CH$54)),IF(AND(Results!$E$4="Cells",Results!$E$5="Million",$B$52="million"),((CH46*CH$51)/(CH$52)),"0")))))</f>
        <v>0</v>
      </c>
      <c r="CI99" s="20" t="str">
        <f>IF(CI46=0,"0",IF(AND(Results!$E$5="Protein",$C$53&gt;0,OR(Results!$E$4="Tissue",Results!$E$4="Cells")),((CI46*CI$51)/(CI$53)),IF(AND(Results!$E$5="Weight",$C$52&gt;0, Results!$E$4="Tissue",OR($B$52="g",$B$52="mg")),((CI46*CI$51)/(CI$52)),IF(AND(Results!$E$5="Volume",$C$54&gt;0,Results!$E$4="Fluid"),((CI46*CI$51)/(CI$54)),IF(AND(Results!$E$4="Cells",Results!$E$5="Million",$B$52="million"),((CI46*CI$51)/(CI$52)),"0")))))</f>
        <v>0</v>
      </c>
      <c r="CJ99" s="20" t="str">
        <f>IF(CJ46=0,"0",IF(AND(Results!$E$5="Protein",$C$53&gt;0,OR(Results!$E$4="Tissue",Results!$E$4="Cells")),((CJ46*CJ$51)/(CJ$53)),IF(AND(Results!$E$5="Weight",$C$52&gt;0, Results!$E$4="Tissue",OR($B$52="g",$B$52="mg")),((CJ46*CJ$51)/(CJ$52)),IF(AND(Results!$E$5="Volume",$C$54&gt;0,Results!$E$4="Fluid"),((CJ46*CJ$51)/(CJ$54)),IF(AND(Results!$E$4="Cells",Results!$E$5="Million",$B$52="million"),((CJ46*CJ$51)/(CJ$52)),"0")))))</f>
        <v>0</v>
      </c>
      <c r="CK99" s="20" t="str">
        <f>IF(CK46=0,"0",IF(AND(Results!$E$5="Protein",$C$53&gt;0,OR(Results!$E$4="Tissue",Results!$E$4="Cells")),((CK46*CK$51)/(CK$53)),IF(AND(Results!$E$5="Weight",$C$52&gt;0, Results!$E$4="Tissue",OR($B$52="g",$B$52="mg")),((CK46*CK$51)/(CK$52)),IF(AND(Results!$E$5="Volume",$C$54&gt;0,Results!$E$4="Fluid"),((CK46*CK$51)/(CK$54)),IF(AND(Results!$E$4="Cells",Results!$E$5="Million",$B$52="million"),((CK46*CK$51)/(CK$52)),"0")))))</f>
        <v>0</v>
      </c>
      <c r="CL99" s="20" t="str">
        <f>IF(CL46=0,"0",IF(AND(Results!$E$5="Protein",$C$53&gt;0,OR(Results!$E$4="Tissue",Results!$E$4="Cells")),((CL46*CL$51)/(CL$53)),IF(AND(Results!$E$5="Weight",$C$52&gt;0, Results!$E$4="Tissue",OR($B$52="g",$B$52="mg")),((CL46*CL$51)/(CL$52)),IF(AND(Results!$E$5="Volume",$C$54&gt;0,Results!$E$4="Fluid"),((CL46*CL$51)/(CL$54)),IF(AND(Results!$E$4="Cells",Results!$E$5="Million",$B$52="million"),((CL46*CL$51)/(CL$52)),"0")))))</f>
        <v>0</v>
      </c>
      <c r="CM99" s="20" t="str">
        <f>IF(CM46=0,"0",IF(AND(Results!$E$5="Protein",$C$53&gt;0,OR(Results!$E$4="Tissue",Results!$E$4="Cells")),((CM46*CM$51)/(CM$53)),IF(AND(Results!$E$5="Weight",$C$52&gt;0, Results!$E$4="Tissue",OR($B$52="g",$B$52="mg")),((CM46*CM$51)/(CM$52)),IF(AND(Results!$E$5="Volume",$C$54&gt;0,Results!$E$4="Fluid"),((CM46*CM$51)/(CM$54)),IF(AND(Results!$E$4="Cells",Results!$E$5="Million",$B$52="million"),((CM46*CM$51)/(CM$52)),"0")))))</f>
        <v>0</v>
      </c>
      <c r="CN99" s="20" t="str">
        <f>IF(CN46=0,"0",IF(AND(Results!$E$5="Protein",$C$53&gt;0,OR(Results!$E$4="Tissue",Results!$E$4="Cells")),((CN46*CN$51)/(CN$53)),IF(AND(Results!$E$5="Weight",$C$52&gt;0, Results!$E$4="Tissue",OR($B$52="g",$B$52="mg")),((CN46*CN$51)/(CN$52)),IF(AND(Results!$E$5="Volume",$C$54&gt;0,Results!$E$4="Fluid"),((CN46*CN$51)/(CN$54)),IF(AND(Results!$E$4="Cells",Results!$E$5="Million",$B$52="million"),((CN46*CN$51)/(CN$52)),"0")))))</f>
        <v>0</v>
      </c>
      <c r="CO99" s="20" t="str">
        <f>IF(CO46=0,"0",IF(AND(Results!$E$5="Protein",$C$53&gt;0,OR(Results!$E$4="Tissue",Results!$E$4="Cells")),((CO46*CO$51)/(CO$53)),IF(AND(Results!$E$5="Weight",$C$52&gt;0, Results!$E$4="Tissue",OR($B$52="g",$B$52="mg")),((CO46*CO$51)/(CO$52)),IF(AND(Results!$E$5="Volume",$C$54&gt;0,Results!$E$4="Fluid"),((CO46*CO$51)/(CO$54)),IF(AND(Results!$E$4="Cells",Results!$E$5="Million",$B$52="million"),((CO46*CO$51)/(CO$52)),"0")))))</f>
        <v>0</v>
      </c>
      <c r="CP99" s="20" t="str">
        <f>IF(CP46=0,"0",IF(AND(Results!$E$5="Protein",$C$53&gt;0,OR(Results!$E$4="Tissue",Results!$E$4="Cells")),((CP46*CP$51)/(CP$53)),IF(AND(Results!$E$5="Weight",$C$52&gt;0, Results!$E$4="Tissue",OR($B$52="g",$B$52="mg")),((CP46*CP$51)/(CP$52)),IF(AND(Results!$E$5="Volume",$C$54&gt;0,Results!$E$4="Fluid"),((CP46*CP$51)/(CP$54)),IF(AND(Results!$E$4="Cells",Results!$E$5="Million",$B$52="million"),((CP46*CP$51)/(CP$52)),"0")))))</f>
        <v>0</v>
      </c>
      <c r="CQ99" s="20" t="str">
        <f>IF(CQ46=0,"0",IF(AND(Results!$E$5="Protein",$C$53&gt;0,OR(Results!$E$4="Tissue",Results!$E$4="Cells")),((CQ46*CQ$51)/(CQ$53)),IF(AND(Results!$E$5="Weight",$C$52&gt;0, Results!$E$4="Tissue",OR($B$52="g",$B$52="mg")),((CQ46*CQ$51)/(CQ$52)),IF(AND(Results!$E$5="Volume",$C$54&gt;0,Results!$E$4="Fluid"),((CQ46*CQ$51)/(CQ$54)),IF(AND(Results!$E$4="Cells",Results!$E$5="Million",$B$52="million"),((CQ46*CQ$51)/(CQ$52)),"0")))))</f>
        <v>0</v>
      </c>
      <c r="CR99" s="20" t="str">
        <f>IF(CR46=0,"0",IF(AND(Results!$E$5="Protein",$C$53&gt;0,OR(Results!$E$4="Tissue",Results!$E$4="Cells")),((CR46*CR$51)/(CR$53)),IF(AND(Results!$E$5="Weight",$C$52&gt;0, Results!$E$4="Tissue",OR($B$52="g",$B$52="mg")),((CR46*CR$51)/(CR$52)),IF(AND(Results!$E$5="Volume",$C$54&gt;0,Results!$E$4="Fluid"),((CR46*CR$51)/(CR$54)),IF(AND(Results!$E$4="Cells",Results!$E$5="Million",$B$52="million"),((CR46*CR$51)/(CR$52)),"0")))))</f>
        <v>0</v>
      </c>
      <c r="CS99" s="20" t="str">
        <f>IF(CS46=0,"0",IF(AND(Results!$E$5="Protein",$C$53&gt;0,OR(Results!$E$4="Tissue",Results!$E$4="Cells")),((CS46*CS$51)/(CS$53)),IF(AND(Results!$E$5="Weight",$C$52&gt;0, Results!$E$4="Tissue",OR($B$52="g",$B$52="mg")),((CS46*CS$51)/(CS$52)),IF(AND(Results!$E$5="Volume",$C$54&gt;0,Results!$E$4="Fluid"),((CS46*CS$51)/(CS$54)),IF(AND(Results!$E$4="Cells",Results!$E$5="Million",$B$52="million"),((CS46*CS$51)/(CS$52)),"0")))))</f>
        <v>0</v>
      </c>
      <c r="CT99" s="20" t="str">
        <f>IF(CT46=0,"0",IF(AND(Results!$E$5="Protein",$C$53&gt;0,OR(Results!$E$4="Tissue",Results!$E$4="Cells")),((CT46*CT$51)/(CT$53)),IF(AND(Results!$E$5="Weight",$C$52&gt;0, Results!$E$4="Tissue",OR($B$52="g",$B$52="mg")),((CT46*CT$51)/(CT$52)),IF(AND(Results!$E$5="Volume",$C$54&gt;0,Results!$E$4="Fluid"),((CT46*CT$51)/(CT$54)),IF(AND(Results!$E$4="Cells",Results!$E$5="Million",$B$52="million"),((CT46*CT$51)/(CT$52)),"0")))))</f>
        <v>0</v>
      </c>
      <c r="CU99" s="20" t="str">
        <f>IF(CU46=0,"0",IF(AND(Results!$E$5="Protein",$C$53&gt;0,OR(Results!$E$4="Tissue",Results!$E$4="Cells")),((CU46*CU$51)/(CU$53)),IF(AND(Results!$E$5="Weight",$C$52&gt;0, Results!$E$4="Tissue",OR($B$52="g",$B$52="mg")),((CU46*CU$51)/(CU$52)),IF(AND(Results!$E$5="Volume",$C$54&gt;0,Results!$E$4="Fluid"),((CU46*CU$51)/(CU$54)),IF(AND(Results!$E$4="Cells",Results!$E$5="Million",$B$52="million"),((CU46*CU$51)/(CU$52)),"0")))))</f>
        <v>0</v>
      </c>
      <c r="CV99" s="20" t="str">
        <f>IF(CV46=0,"0",IF(AND(Results!$E$5="Protein",$C$53&gt;0,OR(Results!$E$4="Tissue",Results!$E$4="Cells")),((CV46*CV$51)/(CV$53)),IF(AND(Results!$E$5="Weight",$C$52&gt;0, Results!$E$4="Tissue",OR($B$52="g",$B$52="mg")),((CV46*CV$51)/(CV$52)),IF(AND(Results!$E$5="Volume",$C$54&gt;0,Results!$E$4="Fluid"),((CV46*CV$51)/(CV$54)),IF(AND(Results!$E$4="Cells",Results!$E$5="Million",$B$52="million"),((CV46*CV$51)/(CV$52)),"0")))))</f>
        <v>0</v>
      </c>
      <c r="CW99" s="20" t="str">
        <f>IF(CW46=0,"0",IF(AND(Results!$E$5="Protein",$C$53&gt;0,OR(Results!$E$4="Tissue",Results!$E$4="Cells")),((CW46*CW$51)/(CW$53)),IF(AND(Results!$E$5="Weight",$C$52&gt;0, Results!$E$4="Tissue",OR($B$52="g",$B$52="mg")),((CW46*CW$51)/(CW$52)),IF(AND(Results!$E$5="Volume",$C$54&gt;0,Results!$E$4="Fluid"),((CW46*CW$51)/(CW$54)),IF(AND(Results!$E$4="Cells",Results!$E$5="Million",$B$52="million"),((CW46*CW$51)/(CW$52)),"0")))))</f>
        <v>0</v>
      </c>
      <c r="CX99" s="20" t="str">
        <f>IF(CX46=0,"0",IF(AND(Results!$E$5="Protein",$C$53&gt;0,OR(Results!$E$4="Tissue",Results!$E$4="Cells")),((CX46*CX$51)/(CX$53)),IF(AND(Results!$E$5="Weight",$C$52&gt;0, Results!$E$4="Tissue",OR($B$52="g",$B$52="mg")),((CX46*CX$51)/(CX$52)),IF(AND(Results!$E$5="Volume",$C$54&gt;0,Results!$E$4="Fluid"),((CX46*CX$51)/(CX$54)),IF(AND(Results!$E$4="Cells",Results!$E$5="Million",$B$52="million"),((CX46*CX$51)/(CX$52)),"0")))))</f>
        <v>0</v>
      </c>
      <c r="CY99" s="20" t="str">
        <f>IF(CY46=0,"0",IF(AND(Results!$E$5="Protein",$C$53&gt;0,OR(Results!$E$4="Tissue",Results!$E$4="Cells")),((CY46*CY$51)/(CY$53)),IF(AND(Results!$E$5="Weight",$C$52&gt;0, Results!$E$4="Tissue",OR($B$52="g",$B$52="mg")),((CY46*CY$51)/(CY$52)),IF(AND(Results!$E$5="Volume",$C$54&gt;0,Results!$E$4="Fluid"),((CY46*CY$51)/(CY$54)),IF(AND(Results!$E$4="Cells",Results!$E$5="Million",$B$52="million"),((CY46*CY$51)/(CY$52)),"0")))))</f>
        <v>0</v>
      </c>
      <c r="CZ99" s="20" t="str">
        <f>IF(CZ46=0,"0",IF(AND(Results!$E$5="Protein",$C$53&gt;0,OR(Results!$E$4="Tissue",Results!$E$4="Cells")),((CZ46*CZ$51)/(CZ$53)),IF(AND(Results!$E$5="Weight",$C$52&gt;0, Results!$E$4="Tissue",OR($B$52="g",$B$52="mg")),((CZ46*CZ$51)/(CZ$52)),IF(AND(Results!$E$5="Volume",$C$54&gt;0,Results!$E$4="Fluid"),((CZ46*CZ$51)/(CZ$54)),IF(AND(Results!$E$4="Cells",Results!$E$5="Million",$B$52="million"),((CZ46*CZ$51)/(CZ$52)),"0")))))</f>
        <v>0</v>
      </c>
      <c r="DA99" s="20" t="str">
        <f>IF(DA46=0,"0",IF(AND(Results!$E$5="Protein",$C$53&gt;0,OR(Results!$E$4="Tissue",Results!$E$4="Cells")),((DA46*DA$51)/(DA$53)),IF(AND(Results!$E$5="Weight",$C$52&gt;0, Results!$E$4="Tissue",OR($B$52="g",$B$52="mg")),((DA46*DA$51)/(DA$52)),IF(AND(Results!$E$5="Volume",$C$54&gt;0,Results!$E$4="Fluid"),((DA46*DA$51)/(DA$54)),IF(AND(Results!$E$4="Cells",Results!$E$5="Million",$B$52="million"),((DA46*DA$51)/(DA$52)),"0")))))</f>
        <v>0</v>
      </c>
      <c r="DB99" s="20" t="str">
        <f>IF(DB46=0,"0",IF(AND(Results!$E$5="Protein",$C$53&gt;0,OR(Results!$E$4="Tissue",Results!$E$4="Cells")),((DB46*DB$51)/(DB$53)),IF(AND(Results!$E$5="Weight",$C$52&gt;0, Results!$E$4="Tissue",OR($B$52="g",$B$52="mg")),((DB46*DB$51)/(DB$52)),IF(AND(Results!$E$5="Volume",$C$54&gt;0,Results!$E$4="Fluid"),((DB46*DB$51)/(DB$54)),IF(AND(Results!$E$4="Cells",Results!$E$5="Million",$B$52="million"),((DB46*DB$51)/(DB$52)),"0")))))</f>
        <v>0</v>
      </c>
      <c r="DC99" s="20" t="str">
        <f>IF(DC46=0,"0",IF(AND(Results!$E$5="Protein",$C$53&gt;0,OR(Results!$E$4="Tissue",Results!$E$4="Cells")),((DC46*DC$51)/(DC$53)),IF(AND(Results!$E$5="Weight",$C$52&gt;0, Results!$E$4="Tissue",OR($B$52="g",$B$52="mg")),((DC46*DC$51)/(DC$52)),IF(AND(Results!$E$5="Volume",$C$54&gt;0,Results!$E$4="Fluid"),((DC46*DC$51)/(DC$54)),IF(AND(Results!$E$4="Cells",Results!$E$5="Million",$B$52="million"),((DC46*DC$51)/(DC$52)),"0")))))</f>
        <v>0</v>
      </c>
      <c r="DD99" s="20" t="str">
        <f>IF(DD46=0,"0",IF(AND(Results!$E$5="Protein",$C$53&gt;0,OR(Results!$E$4="Tissue",Results!$E$4="Cells")),((DD46*DD$51)/(DD$53)),IF(AND(Results!$E$5="Weight",$C$52&gt;0, Results!$E$4="Tissue",OR($B$52="g",$B$52="mg")),((DD46*DD$51)/(DD$52)),IF(AND(Results!$E$5="Volume",$C$54&gt;0,Results!$E$4="Fluid"),((DD46*DD$51)/(DD$54)),IF(AND(Results!$E$4="Cells",Results!$E$5="Million",$B$52="million"),((DD46*DD$51)/(DD$52)),"0")))))</f>
        <v>0</v>
      </c>
      <c r="DE99" s="20" t="str">
        <f>IF(DE46=0,"0",IF(AND(Results!$E$5="Protein",$C$53&gt;0,OR(Results!$E$4="Tissue",Results!$E$4="Cells")),((DE46*DE$51)/(DE$53)),IF(AND(Results!$E$5="Weight",$C$52&gt;0, Results!$E$4="Tissue",OR($B$52="g",$B$52="mg")),((DE46*DE$51)/(DE$52)),IF(AND(Results!$E$5="Volume",$C$54&gt;0,Results!$E$4="Fluid"),((DE46*DE$51)/(DE$54)),IF(AND(Results!$E$4="Cells",Results!$E$5="Million",$B$52="million"),((DE46*DE$51)/(DE$52)),"0")))))</f>
        <v>0</v>
      </c>
      <c r="DF99" s="20" t="str">
        <f>IF(DF46=0,"0",IF(AND(Results!$E$5="Protein",$C$53&gt;0,OR(Results!$E$4="Tissue",Results!$E$4="Cells")),((DF46*DF$51)/(DF$53)),IF(AND(Results!$E$5="Weight",$C$52&gt;0, Results!$E$4="Tissue",OR($B$52="g",$B$52="mg")),((DF46*DF$51)/(DF$52)),IF(AND(Results!$E$5="Volume",$C$54&gt;0,Results!$E$4="Fluid"),((DF46*DF$51)/(DF$54)),IF(AND(Results!$E$4="Cells",Results!$E$5="Million",$B$52="million"),((DF46*DF$51)/(DF$52)),"0")))))</f>
        <v>0</v>
      </c>
      <c r="DG99" s="20" t="str">
        <f>IF(DG46=0,"0",IF(AND(Results!$E$5="Protein",$C$53&gt;0,OR(Results!$E$4="Tissue",Results!$E$4="Cells")),((DG46*DG$51)/(DG$53)),IF(AND(Results!$E$5="Weight",$C$52&gt;0, Results!$E$4="Tissue",OR($B$52="g",$B$52="mg")),((DG46*DG$51)/(DG$52)),IF(AND(Results!$E$5="Volume",$C$54&gt;0,Results!$E$4="Fluid"),((DG46*DG$51)/(DG$54)),IF(AND(Results!$E$4="Cells",Results!$E$5="Million",$B$52="million"),((DG46*DG$51)/(DG$52)),"0")))))</f>
        <v>0</v>
      </c>
      <c r="DH99" s="20" t="str">
        <f>IF(DH46=0,"0",IF(AND(Results!$E$5="Protein",$C$53&gt;0,OR(Results!$E$4="Tissue",Results!$E$4="Cells")),((DH46*DH$51)/(DH$53)),IF(AND(Results!$E$5="Weight",$C$52&gt;0, Results!$E$4="Tissue",OR($B$52="g",$B$52="mg")),((DH46*DH$51)/(DH$52)),IF(AND(Results!$E$5="Volume",$C$54&gt;0,Results!$E$4="Fluid"),((DH46*DH$51)/(DH$54)),IF(AND(Results!$E$4="Cells",Results!$E$5="Million",$B$52="million"),((DH46*DH$51)/(DH$52)),"0")))))</f>
        <v>0</v>
      </c>
      <c r="DI99" s="20" t="str">
        <f>IF(DI46=0,"0",IF(AND(Results!$E$5="Protein",$C$53&gt;0,OR(Results!$E$4="Tissue",Results!$E$4="Cells")),((DI46*DI$51)/(DI$53)),IF(AND(Results!$E$5="Weight",$C$52&gt;0, Results!$E$4="Tissue",OR($B$52="g",$B$52="mg")),((DI46*DI$51)/(DI$52)),IF(AND(Results!$E$5="Volume",$C$54&gt;0,Results!$E$4="Fluid"),((DI46*DI$51)/(DI$54)),IF(AND(Results!$E$4="Cells",Results!$E$5="Million",$B$52="million"),((DI46*DI$51)/(DI$52)),"0")))))</f>
        <v>0</v>
      </c>
      <c r="DJ99" s="20" t="str">
        <f>IF(DJ46=0,"0",IF(AND(Results!$E$5="Protein",$C$53&gt;0,OR(Results!$E$4="Tissue",Results!$E$4="Cells")),((DJ46*DJ$51)/(DJ$53)),IF(AND(Results!$E$5="Weight",$C$52&gt;0, Results!$E$4="Tissue",OR($B$52="g",$B$52="mg")),((DJ46*DJ$51)/(DJ$52)),IF(AND(Results!$E$5="Volume",$C$54&gt;0,Results!$E$4="Fluid"),((DJ46*DJ$51)/(DJ$54)),IF(AND(Results!$E$4="Cells",Results!$E$5="Million",$B$52="million"),((DJ46*DJ$51)/(DJ$52)),"0")))))</f>
        <v>0</v>
      </c>
      <c r="DK99" s="20" t="str">
        <f>IF(DK46=0,"0",IF(AND(Results!$E$5="Protein",$C$53&gt;0,OR(Results!$E$4="Tissue",Results!$E$4="Cells")),((DK46*DK$51)/(DK$53)),IF(AND(Results!$E$5="Weight",$C$52&gt;0, Results!$E$4="Tissue",OR($B$52="g",$B$52="mg")),((DK46*DK$51)/(DK$52)),IF(AND(Results!$E$5="Volume",$C$54&gt;0,Results!$E$4="Fluid"),((DK46*DK$51)/(DK$54)),IF(AND(Results!$E$4="Cells",Results!$E$5="Million",$B$52="million"),((DK46*DK$51)/(DK$52)),"0")))))</f>
        <v>0</v>
      </c>
      <c r="DL99" s="20" t="str">
        <f>IF(DL46=0,"0",IF(AND(Results!$E$5="Protein",$C$53&gt;0,OR(Results!$E$4="Tissue",Results!$E$4="Cells")),((DL46*DL$51)/(DL$53)),IF(AND(Results!$E$5="Weight",$C$52&gt;0, Results!$E$4="Tissue",OR($B$52="g",$B$52="mg")),((DL46*DL$51)/(DL$52)),IF(AND(Results!$E$5="Volume",$C$54&gt;0,Results!$E$4="Fluid"),((DL46*DL$51)/(DL$54)),IF(AND(Results!$E$4="Cells",Results!$E$5="Million",$B$52="million"),((DL46*DL$51)/(DL$52)),"0")))))</f>
        <v>0</v>
      </c>
      <c r="DM99" s="20" t="str">
        <f>IF(DM46=0,"0",IF(AND(Results!$E$5="Protein",$C$53&gt;0,OR(Results!$E$4="Tissue",Results!$E$4="Cells")),((DM46*DM$51)/(DM$53)),IF(AND(Results!$E$5="Weight",$C$52&gt;0, Results!$E$4="Tissue",OR($B$52="g",$B$52="mg")),((DM46*DM$51)/(DM$52)),IF(AND(Results!$E$5="Volume",$C$54&gt;0,Results!$E$4="Fluid"),((DM46*DM$51)/(DM$54)),IF(AND(Results!$E$4="Cells",Results!$E$5="Million",$B$52="million"),((DM46*DM$51)/(DM$52)),"0")))))</f>
        <v>0</v>
      </c>
      <c r="DN99" s="20" t="str">
        <f>IF(DN46=0,"0",IF(AND(Results!$E$5="Protein",$C$53&gt;0,OR(Results!$E$4="Tissue",Results!$E$4="Cells")),((DN46*DN$51)/(DN$53)),IF(AND(Results!$E$5="Weight",$C$52&gt;0, Results!$E$4="Tissue",OR($B$52="g",$B$52="mg")),((DN46*DN$51)/(DN$52)),IF(AND(Results!$E$5="Volume",$C$54&gt;0,Results!$E$4="Fluid"),((DN46*DN$51)/(DN$54)),IF(AND(Results!$E$4="Cells",Results!$E$5="Million",$B$52="million"),((DN46*DN$51)/(DN$52)),"0")))))</f>
        <v>0</v>
      </c>
      <c r="DO99" s="20" t="str">
        <f>IF(DO46=0,"0",IF(AND(Results!$E$5="Protein",$C$53&gt;0,OR(Results!$E$4="Tissue",Results!$E$4="Cells")),((DO46*DO$51)/(DO$53)),IF(AND(Results!$E$5="Weight",$C$52&gt;0, Results!$E$4="Tissue",OR($B$52="g",$B$52="mg")),((DO46*DO$51)/(DO$52)),IF(AND(Results!$E$5="Volume",$C$54&gt;0,Results!$E$4="Fluid"),((DO46*DO$51)/(DO$54)),IF(AND(Results!$E$4="Cells",Results!$E$5="Million",$B$52="million"),((DO46*DO$51)/(DO$52)),"0")))))</f>
        <v>0</v>
      </c>
      <c r="DP99" s="20" t="str">
        <f>IF(DP46=0,"0",IF(AND(Results!$E$5="Protein",$C$53&gt;0,OR(Results!$E$4="Tissue",Results!$E$4="Cells")),((DP46*DP$51)/(DP$53)),IF(AND(Results!$E$5="Weight",$C$52&gt;0, Results!$E$4="Tissue",OR($B$52="g",$B$52="mg")),((DP46*DP$51)/(DP$52)),IF(AND(Results!$E$5="Volume",$C$54&gt;0,Results!$E$4="Fluid"),((DP46*DP$51)/(DP$54)),IF(AND(Results!$E$4="Cells",Results!$E$5="Million",$B$52="million"),((DP46*DP$51)/(DP$52)),"0")))))</f>
        <v>0</v>
      </c>
      <c r="DQ99" s="20" t="str">
        <f>IF(DQ46=0,"0",IF(AND(Results!$E$5="Protein",$C$53&gt;0,OR(Results!$E$4="Tissue",Results!$E$4="Cells")),((DQ46*DQ$51)/(DQ$53)),IF(AND(Results!$E$5="Weight",$C$52&gt;0, Results!$E$4="Tissue",OR($B$52="g",$B$52="mg")),((DQ46*DQ$51)/(DQ$52)),IF(AND(Results!$E$5="Volume",$C$54&gt;0,Results!$E$4="Fluid"),((DQ46*DQ$51)/(DQ$54)),IF(AND(Results!$E$4="Cells",Results!$E$5="Million",$B$52="million"),((DQ46*DQ$51)/(DQ$52)),"0")))))</f>
        <v>0</v>
      </c>
      <c r="DR99" s="20" t="str">
        <f>IF(DR46=0,"0",IF(AND(Results!$E$5="Protein",$C$53&gt;0,OR(Results!$E$4="Tissue",Results!$E$4="Cells")),((DR46*DR$51)/(DR$53)),IF(AND(Results!$E$5="Weight",$C$52&gt;0, Results!$E$4="Tissue",OR($B$52="g",$B$52="mg")),((DR46*DR$51)/(DR$52)),IF(AND(Results!$E$5="Volume",$C$54&gt;0,Results!$E$4="Fluid"),((DR46*DR$51)/(DR$54)),IF(AND(Results!$E$4="Cells",Results!$E$5="Million",$B$52="million"),((DR46*DR$51)/(DR$52)),"0")))))</f>
        <v>0</v>
      </c>
      <c r="DS99" s="20" t="str">
        <f>IF(DS46=0,"0",IF(AND(Results!$E$5="Protein",$C$53&gt;0,OR(Results!$E$4="Tissue",Results!$E$4="Cells")),((DS46*DS$51)/(DS$53)),IF(AND(Results!$E$5="Weight",$C$52&gt;0, Results!$E$4="Tissue",OR($B$52="g",$B$52="mg")),((DS46*DS$51)/(DS$52)),IF(AND(Results!$E$5="Volume",$C$54&gt;0,Results!$E$4="Fluid"),((DS46*DS$51)/(DS$54)),IF(AND(Results!$E$4="Cells",Results!$E$5="Million",$B$52="million"),((DS46*DS$51)/(DS$52)),"0")))))</f>
        <v>0</v>
      </c>
      <c r="DT99" s="20" t="str">
        <f>IF(DT46=0,"0",IF(AND(Results!$E$5="Protein",$C$53&gt;0,OR(Results!$E$4="Tissue",Results!$E$4="Cells")),((DT46*DT$51)/(DT$53)),IF(AND(Results!$E$5="Weight",$C$52&gt;0, Results!$E$4="Tissue",OR($B$52="g",$B$52="mg")),((DT46*DT$51)/(DT$52)),IF(AND(Results!$E$5="Volume",$C$54&gt;0,Results!$E$4="Fluid"),((DT46*DT$51)/(DT$54)),IF(AND(Results!$E$4="Cells",Results!$E$5="Million",$B$52="million"),((DT46*DT$51)/(DT$52)),"0")))))</f>
        <v>0</v>
      </c>
      <c r="DU99" s="20" t="str">
        <f>IF(DU46=0,"0",IF(AND(Results!$E$5="Protein",$C$53&gt;0,OR(Results!$E$4="Tissue",Results!$E$4="Cells")),((DU46*DU$51)/(DU$53)),IF(AND(Results!$E$5="Weight",$C$52&gt;0, Results!$E$4="Tissue",OR($B$52="g",$B$52="mg")),((DU46*DU$51)/(DU$52)),IF(AND(Results!$E$5="Volume",$C$54&gt;0,Results!$E$4="Fluid"),((DU46*DU$51)/(DU$54)),IF(AND(Results!$E$4="Cells",Results!$E$5="Million",$B$52="million"),((DU46*DU$51)/(DU$52)),"0")))))</f>
        <v>0</v>
      </c>
      <c r="DV99" s="20" t="str">
        <f>IF(DV46=0,"0",IF(AND(Results!$E$5="Protein",$C$53&gt;0,OR(Results!$E$4="Tissue",Results!$E$4="Cells")),((DV46*DV$51)/(DV$53)),IF(AND(Results!$E$5="Weight",$C$52&gt;0, Results!$E$4="Tissue",OR($B$52="g",$B$52="mg")),((DV46*DV$51)/(DV$52)),IF(AND(Results!$E$5="Volume",$C$54&gt;0,Results!$E$4="Fluid"),((DV46*DV$51)/(DV$54)),IF(AND(Results!$E$4="Cells",Results!$E$5="Million",$B$52="million"),((DV46*DV$51)/(DV$52)),"0")))))</f>
        <v>0</v>
      </c>
      <c r="DW99" s="20" t="str">
        <f>IF(DW46=0,"0",IF(AND(Results!$E$5="Protein",$C$53&gt;0,OR(Results!$E$4="Tissue",Results!$E$4="Cells")),((DW46*DW$51)/(DW$53)),IF(AND(Results!$E$5="Weight",$C$52&gt;0, Results!$E$4="Tissue",OR($B$52="g",$B$52="mg")),((DW46*DW$51)/(DW$52)),IF(AND(Results!$E$5="Volume",$C$54&gt;0,Results!$E$4="Fluid"),((DW46*DW$51)/(DW$54)),IF(AND(Results!$E$4="Cells",Results!$E$5="Million",$B$52="million"),((DW46*DW$51)/(DW$52)),"0")))))</f>
        <v>0</v>
      </c>
      <c r="DX99" s="20" t="str">
        <f>IF(DX46=0,"0",IF(AND(Results!$E$5="Protein",$C$53&gt;0,OR(Results!$E$4="Tissue",Results!$E$4="Cells")),((DX46*DX$51)/(DX$53)),IF(AND(Results!$E$5="Weight",$C$52&gt;0, Results!$E$4="Tissue",OR($B$52="g",$B$52="mg")),((DX46*DX$51)/(DX$52)),IF(AND(Results!$E$5="Volume",$C$54&gt;0,Results!$E$4="Fluid"),((DX46*DX$51)/(DX$54)),IF(AND(Results!$E$4="Cells",Results!$E$5="Million",$B$52="million"),((DX46*DX$51)/(DX$52)),"0")))))</f>
        <v>0</v>
      </c>
      <c r="DY99" s="20" t="str">
        <f>IF(DY46=0,"0",IF(AND(Results!$E$5="Protein",$C$53&gt;0,OR(Results!$E$4="Tissue",Results!$E$4="Cells")),((DY46*DY$51)/(DY$53)),IF(AND(Results!$E$5="Weight",$C$52&gt;0, Results!$E$4="Tissue",OR($B$52="g",$B$52="mg")),((DY46*DY$51)/(DY$52)),IF(AND(Results!$E$5="Volume",$C$54&gt;0,Results!$E$4="Fluid"),((DY46*DY$51)/(DY$54)),IF(AND(Results!$E$4="Cells",Results!$E$5="Million",$B$52="million"),((DY46*DY$51)/(DY$52)),"0")))))</f>
        <v>0</v>
      </c>
      <c r="DZ99" s="20" t="str">
        <f>IF(DZ46=0,"0",IF(AND(Results!$E$5="Protein",$C$53&gt;0,OR(Results!$E$4="Tissue",Results!$E$4="Cells")),((DZ46*DZ$51)/(DZ$53)),IF(AND(Results!$E$5="Weight",$C$52&gt;0, Results!$E$4="Tissue",OR($B$52="g",$B$52="mg")),((DZ46*DZ$51)/(DZ$52)),IF(AND(Results!$E$5="Volume",$C$54&gt;0,Results!$E$4="Fluid"),((DZ46*DZ$51)/(DZ$54)),IF(AND(Results!$E$4="Cells",Results!$E$5="Million",$B$52="million"),((DZ46*DZ$51)/(DZ$52)),"0")))))</f>
        <v>0</v>
      </c>
      <c r="EA99" s="20" t="str">
        <f>IF(EA46=0,"0",IF(AND(Results!$E$5="Protein",$C$53&gt;0,OR(Results!$E$4="Tissue",Results!$E$4="Cells")),((EA46*EA$51)/(EA$53)),IF(AND(Results!$E$5="Weight",$C$52&gt;0, Results!$E$4="Tissue",OR($B$52="g",$B$52="mg")),((EA46*EA$51)/(EA$52)),IF(AND(Results!$E$5="Volume",$C$54&gt;0,Results!$E$4="Fluid"),((EA46*EA$51)/(EA$54)),IF(AND(Results!$E$4="Cells",Results!$E$5="Million",$B$52="million"),((EA46*EA$51)/(EA$52)),"0")))))</f>
        <v>0</v>
      </c>
      <c r="EB99" s="20" t="str">
        <f>IF(EB46=0,"0",IF(AND(Results!$E$5="Protein",$C$53&gt;0,OR(Results!$E$4="Tissue",Results!$E$4="Cells")),((EB46*EB$51)/(EB$53)),IF(AND(Results!$E$5="Weight",$C$52&gt;0, Results!$E$4="Tissue",OR($B$52="g",$B$52="mg")),((EB46*EB$51)/(EB$52)),IF(AND(Results!$E$5="Volume",$C$54&gt;0,Results!$E$4="Fluid"),((EB46*EB$51)/(EB$54)),IF(AND(Results!$E$4="Cells",Results!$E$5="Million",$B$52="million"),((EB46*EB$51)/(EB$52)),"0")))))</f>
        <v>0</v>
      </c>
      <c r="EC99" s="20" t="str">
        <f>IF(EC46=0,"0",IF(AND(Results!$E$5="Protein",$C$53&gt;0,OR(Results!$E$4="Tissue",Results!$E$4="Cells")),((EC46*EC$51)/(EC$53)),IF(AND(Results!$E$5="Weight",$C$52&gt;0, Results!$E$4="Tissue",OR($B$52="g",$B$52="mg")),((EC46*EC$51)/(EC$52)),IF(AND(Results!$E$5="Volume",$C$54&gt;0,Results!$E$4="Fluid"),((EC46*EC$51)/(EC$54)),IF(AND(Results!$E$4="Cells",Results!$E$5="Million",$B$52="million"),((EC46*EC$51)/(EC$52)),"0")))))</f>
        <v>0</v>
      </c>
      <c r="ED99" s="20" t="str">
        <f>IF(ED46=0,"0",IF(AND(Results!$E$5="Protein",$C$53&gt;0,OR(Results!$E$4="Tissue",Results!$E$4="Cells")),((ED46*ED$51)/(ED$53)),IF(AND(Results!$E$5="Weight",$C$52&gt;0, Results!$E$4="Tissue",OR($B$52="g",$B$52="mg")),((ED46*ED$51)/(ED$52)),IF(AND(Results!$E$5="Volume",$C$54&gt;0,Results!$E$4="Fluid"),((ED46*ED$51)/(ED$54)),IF(AND(Results!$E$4="Cells",Results!$E$5="Million",$B$52="million"),((ED46*ED$51)/(ED$52)),"0")))))</f>
        <v>0</v>
      </c>
      <c r="EE99" s="20" t="str">
        <f>IF(EE46=0,"0",IF(AND(Results!$E$5="Protein",$C$53&gt;0,OR(Results!$E$4="Tissue",Results!$E$4="Cells")),((EE46*EE$51)/(EE$53)),IF(AND(Results!$E$5="Weight",$C$52&gt;0, Results!$E$4="Tissue",OR($B$52="g",$B$52="mg")),((EE46*EE$51)/(EE$52)),IF(AND(Results!$E$5="Volume",$C$54&gt;0,Results!$E$4="Fluid"),((EE46*EE$51)/(EE$54)),IF(AND(Results!$E$4="Cells",Results!$E$5="Million",$B$52="million"),((EE46*EE$51)/(EE$52)),"0")))))</f>
        <v>0</v>
      </c>
      <c r="EF99" s="20" t="str">
        <f>IF(EF46=0,"0",IF(AND(Results!$E$5="Protein",$C$53&gt;0,OR(Results!$E$4="Tissue",Results!$E$4="Cells")),((EF46*EF$51)/(EF$53)),IF(AND(Results!$E$5="Weight",$C$52&gt;0, Results!$E$4="Tissue",OR($B$52="g",$B$52="mg")),((EF46*EF$51)/(EF$52)),IF(AND(Results!$E$5="Volume",$C$54&gt;0,Results!$E$4="Fluid"),((EF46*EF$51)/(EF$54)),IF(AND(Results!$E$4="Cells",Results!$E$5="Million",$B$52="million"),((EF46*EF$51)/(EF$52)),"0")))))</f>
        <v>0</v>
      </c>
      <c r="EG99" s="20" t="str">
        <f>IF(EG46=0,"0",IF(AND(Results!$E$5="Protein",$C$53&gt;0,OR(Results!$E$4="Tissue",Results!$E$4="Cells")),((EG46*EG$51)/(EG$53)),IF(AND(Results!$E$5="Weight",$C$52&gt;0, Results!$E$4="Tissue",OR($B$52="g",$B$52="mg")),((EG46*EG$51)/(EG$52)),IF(AND(Results!$E$5="Volume",$C$54&gt;0,Results!$E$4="Fluid"),((EG46*EG$51)/(EG$54)),IF(AND(Results!$E$4="Cells",Results!$E$5="Million",$B$52="million"),((EG46*EG$51)/(EG$52)),"0")))))</f>
        <v>0</v>
      </c>
      <c r="EH99" s="20" t="str">
        <f>IF(EH46=0,"0",IF(AND(Results!$E$5="Protein",$C$53&gt;0,OR(Results!$E$4="Tissue",Results!$E$4="Cells")),((EH46*EH$51)/(EH$53)),IF(AND(Results!$E$5="Weight",$C$52&gt;0, Results!$E$4="Tissue",OR($B$52="g",$B$52="mg")),((EH46*EH$51)/(EH$52)),IF(AND(Results!$E$5="Volume",$C$54&gt;0,Results!$E$4="Fluid"),((EH46*EH$51)/(EH$54)),IF(AND(Results!$E$4="Cells",Results!$E$5="Million",$B$52="million"),((EH46*EH$51)/(EH$52)),"0")))))</f>
        <v>0</v>
      </c>
      <c r="EI99" s="20" t="str">
        <f>IF(EI46=0,"0",IF(AND(Results!$E$5="Protein",$C$53&gt;0,OR(Results!$E$4="Tissue",Results!$E$4="Cells")),((EI46*EI$51)/(EI$53)),IF(AND(Results!$E$5="Weight",$C$52&gt;0, Results!$E$4="Tissue",OR($B$52="g",$B$52="mg")),((EI46*EI$51)/(EI$52)),IF(AND(Results!$E$5="Volume",$C$54&gt;0,Results!$E$4="Fluid"),((EI46*EI$51)/(EI$54)),IF(AND(Results!$E$4="Cells",Results!$E$5="Million",$B$52="million"),((EI46*EI$51)/(EI$52)),"0")))))</f>
        <v>0</v>
      </c>
      <c r="EJ99" s="20" t="str">
        <f>IF(EJ46=0,"0",IF(AND(Results!$E$5="Protein",$C$53&gt;0,OR(Results!$E$4="Tissue",Results!$E$4="Cells")),((EJ46*EJ$51)/(EJ$53)),IF(AND(Results!$E$5="Weight",$C$52&gt;0, Results!$E$4="Tissue",OR($B$52="g",$B$52="mg")),((EJ46*EJ$51)/(EJ$52)),IF(AND(Results!$E$5="Volume",$C$54&gt;0,Results!$E$4="Fluid"),((EJ46*EJ$51)/(EJ$54)),IF(AND(Results!$E$4="Cells",Results!$E$5="Million",$B$52="million"),((EJ46*EJ$51)/(EJ$52)),"0")))))</f>
        <v>0</v>
      </c>
      <c r="EK99" s="20" t="str">
        <f>IF(EK46=0,"0",IF(AND(Results!$E$5="Protein",$C$53&gt;0,OR(Results!$E$4="Tissue",Results!$E$4="Cells")),((EK46*EK$51)/(EK$53)),IF(AND(Results!$E$5="Weight",$C$52&gt;0, Results!$E$4="Tissue",OR($B$52="g",$B$52="mg")),((EK46*EK$51)/(EK$52)),IF(AND(Results!$E$5="Volume",$C$54&gt;0,Results!$E$4="Fluid"),((EK46*EK$51)/(EK$54)),IF(AND(Results!$E$4="Cells",Results!$E$5="Million",$B$52="million"),((EK46*EK$51)/(EK$52)),"0")))))</f>
        <v>0</v>
      </c>
      <c r="EL99" s="20" t="str">
        <f>IF(EL46=0,"0",IF(AND(Results!$E$5="Protein",$C$53&gt;0,OR(Results!$E$4="Tissue",Results!$E$4="Cells")),((EL46*EL$51)/(EL$53)),IF(AND(Results!$E$5="Weight",$C$52&gt;0, Results!$E$4="Tissue",OR($B$52="g",$B$52="mg")),((EL46*EL$51)/(EL$52)),IF(AND(Results!$E$5="Volume",$C$54&gt;0,Results!$E$4="Fluid"),((EL46*EL$51)/(EL$54)),IF(AND(Results!$E$4="Cells",Results!$E$5="Million",$B$52="million"),((EL46*EL$51)/(EL$52)),"0")))))</f>
        <v>0</v>
      </c>
      <c r="EM99" s="20" t="str">
        <f>IF(EM46=0,"0",IF(AND(Results!$E$5="Protein",$C$53&gt;0,OR(Results!$E$4="Tissue",Results!$E$4="Cells")),((EM46*EM$51)/(EM$53)),IF(AND(Results!$E$5="Weight",$C$52&gt;0, Results!$E$4="Tissue",OR($B$52="g",$B$52="mg")),((EM46*EM$51)/(EM$52)),IF(AND(Results!$E$5="Volume",$C$54&gt;0,Results!$E$4="Fluid"),((EM46*EM$51)/(EM$54)),IF(AND(Results!$E$4="Cells",Results!$E$5="Million",$B$52="million"),((EM46*EM$51)/(EM$52)),"0")))))</f>
        <v>0</v>
      </c>
      <c r="EN99" s="20" t="str">
        <f>IF(EN46=0,"0",IF(AND(Results!$E$5="Protein",$C$53&gt;0,OR(Results!$E$4="Tissue",Results!$E$4="Cells")),((EN46*EN$51)/(EN$53)),IF(AND(Results!$E$5="Weight",$C$52&gt;0, Results!$E$4="Tissue",OR($B$52="g",$B$52="mg")),((EN46*EN$51)/(EN$52)),IF(AND(Results!$E$5="Volume",$C$54&gt;0,Results!$E$4="Fluid"),((EN46*EN$51)/(EN$54)),IF(AND(Results!$E$4="Cells",Results!$E$5="Million",$B$52="million"),((EN46*EN$51)/(EN$52)),"0")))))</f>
        <v>0</v>
      </c>
      <c r="EO99" s="20" t="str">
        <f>IF(EO46=0,"0",IF(AND(Results!$E$5="Protein",$C$53&gt;0,OR(Results!$E$4="Tissue",Results!$E$4="Cells")),((EO46*EO$51)/(EO$53)),IF(AND(Results!$E$5="Weight",$C$52&gt;0, Results!$E$4="Tissue",OR($B$52="g",$B$52="mg")),((EO46*EO$51)/(EO$52)),IF(AND(Results!$E$5="Volume",$C$54&gt;0,Results!$E$4="Fluid"),((EO46*EO$51)/(EO$54)),IF(AND(Results!$E$4="Cells",Results!$E$5="Million",$B$52="million"),((EO46*EO$51)/(EO$52)),"0")))))</f>
        <v>0</v>
      </c>
      <c r="EP99" s="20" t="str">
        <f>IF(EP46=0,"0",IF(AND(Results!$E$5="Protein",$C$53&gt;0,OR(Results!$E$4="Tissue",Results!$E$4="Cells")),((EP46*EP$51)/(EP$53)),IF(AND(Results!$E$5="Weight",$C$52&gt;0, Results!$E$4="Tissue",OR($B$52="g",$B$52="mg")),((EP46*EP$51)/(EP$52)),IF(AND(Results!$E$5="Volume",$C$54&gt;0,Results!$E$4="Fluid"),((EP46*EP$51)/(EP$54)),IF(AND(Results!$E$4="Cells",Results!$E$5="Million",$B$52="million"),((EP46*EP$51)/(EP$52)),"0")))))</f>
        <v>0</v>
      </c>
      <c r="EQ99" s="20" t="str">
        <f>IF(EQ46=0,"0",IF(AND(Results!$E$5="Protein",$C$53&gt;0,OR(Results!$E$4="Tissue",Results!$E$4="Cells")),((EQ46*EQ$51)/(EQ$53)),IF(AND(Results!$E$5="Weight",$C$52&gt;0, Results!$E$4="Tissue",OR($B$52="g",$B$52="mg")),((EQ46*EQ$51)/(EQ$52)),IF(AND(Results!$E$5="Volume",$C$54&gt;0,Results!$E$4="Fluid"),((EQ46*EQ$51)/(EQ$54)),IF(AND(Results!$E$4="Cells",Results!$E$5="Million",$B$52="million"),((EQ46*EQ$51)/(EQ$52)),"0")))))</f>
        <v>0</v>
      </c>
      <c r="ER99" s="20" t="str">
        <f>IF(ER46=0,"0",IF(AND(Results!$E$5="Protein",$C$53&gt;0,OR(Results!$E$4="Tissue",Results!$E$4="Cells")),((ER46*ER$51)/(ER$53)),IF(AND(Results!$E$5="Weight",$C$52&gt;0, Results!$E$4="Tissue",OR($B$52="g",$B$52="mg")),((ER46*ER$51)/(ER$52)),IF(AND(Results!$E$5="Volume",$C$54&gt;0,Results!$E$4="Fluid"),((ER46*ER$51)/(ER$54)),IF(AND(Results!$E$4="Cells",Results!$E$5="Million",$B$52="million"),((ER46*ER$51)/(ER$52)),"0")))))</f>
        <v>0</v>
      </c>
      <c r="ES99" s="20" t="str">
        <f>IF(ES46=0,"0",IF(AND(Results!$E$5="Protein",$C$53&gt;0,OR(Results!$E$4="Tissue",Results!$E$4="Cells")),((ES46*ES$51)/(ES$53)),IF(AND(Results!$E$5="Weight",$C$52&gt;0, Results!$E$4="Tissue",OR($B$52="g",$B$52="mg")),((ES46*ES$51)/(ES$52)),IF(AND(Results!$E$5="Volume",$C$54&gt;0,Results!$E$4="Fluid"),((ES46*ES$51)/(ES$54)),IF(AND(Results!$E$4="Cells",Results!$E$5="Million",$B$52="million"),((ES46*ES$51)/(ES$52)),"0")))))</f>
        <v>0</v>
      </c>
      <c r="ET99" s="20" t="str">
        <f>IF(ET46=0,"0",IF(AND(Results!$E$5="Protein",$C$53&gt;0,OR(Results!$E$4="Tissue",Results!$E$4="Cells")),((ET46*ET$51)/(ET$53)),IF(AND(Results!$E$5="Weight",$C$52&gt;0, Results!$E$4="Tissue",OR($B$52="g",$B$52="mg")),((ET46*ET$51)/(ET$52)),IF(AND(Results!$E$5="Volume",$C$54&gt;0,Results!$E$4="Fluid"),((ET46*ET$51)/(ET$54)),IF(AND(Results!$E$4="Cells",Results!$E$5="Million",$B$52="million"),((ET46*ET$51)/(ET$52)),"0")))))</f>
        <v>0</v>
      </c>
      <c r="EU99" s="20" t="str">
        <f>IF(EU46=0,"0",IF(AND(Results!$E$5="Protein",$C$53&gt;0,OR(Results!$E$4="Tissue",Results!$E$4="Cells")),((EU46*EU$51)/(EU$53)),IF(AND(Results!$E$5="Weight",$C$52&gt;0, Results!$E$4="Tissue",OR($B$52="g",$B$52="mg")),((EU46*EU$51)/(EU$52)),IF(AND(Results!$E$5="Volume",$C$54&gt;0,Results!$E$4="Fluid"),((EU46*EU$51)/(EU$54)),IF(AND(Results!$E$4="Cells",Results!$E$5="Million",$B$52="million"),((EU46*EU$51)/(EU$52)),"0")))))</f>
        <v>0</v>
      </c>
      <c r="EV99" s="20" t="str">
        <f>IF(EV46=0,"0",IF(AND(Results!$E$5="Protein",$C$53&gt;0,OR(Results!$E$4="Tissue",Results!$E$4="Cells")),((EV46*EV$51)/(EV$53)),IF(AND(Results!$E$5="Weight",$C$52&gt;0, Results!$E$4="Tissue",OR($B$52="g",$B$52="mg")),((EV46*EV$51)/(EV$52)),IF(AND(Results!$E$5="Volume",$C$54&gt;0,Results!$E$4="Fluid"),((EV46*EV$51)/(EV$54)),IF(AND(Results!$E$4="Cells",Results!$E$5="Million",$B$52="million"),((EV46*EV$51)/(EV$52)),"0")))))</f>
        <v>0</v>
      </c>
      <c r="EW99" s="20" t="str">
        <f>IF(EW46=0,"0",IF(AND(Results!$E$5="Protein",$C$53&gt;0,OR(Results!$E$4="Tissue",Results!$E$4="Cells")),((EW46*EW$51)/(EW$53)),IF(AND(Results!$E$5="Weight",$C$52&gt;0, Results!$E$4="Tissue",OR($B$52="g",$B$52="mg")),((EW46*EW$51)/(EW$52)),IF(AND(Results!$E$5="Volume",$C$54&gt;0,Results!$E$4="Fluid"),((EW46*EW$51)/(EW$54)),IF(AND(Results!$E$4="Cells",Results!$E$5="Million",$B$52="million"),((EW46*EW$51)/(EW$52)),"0")))))</f>
        <v>0</v>
      </c>
      <c r="EX99" s="20" t="str">
        <f>IF(EX46=0,"0",IF(AND(Results!$E$5="Protein",$C$53&gt;0,OR(Results!$E$4="Tissue",Results!$E$4="Cells")),((EX46*EX$51)/(EX$53)),IF(AND(Results!$E$5="Weight",$C$52&gt;0, Results!$E$4="Tissue",OR($B$52="g",$B$52="mg")),((EX46*EX$51)/(EX$52)),IF(AND(Results!$E$5="Volume",$C$54&gt;0,Results!$E$4="Fluid"),((EX46*EX$51)/(EX$54)),IF(AND(Results!$E$4="Cells",Results!$E$5="Million",$B$52="million"),((EX46*EX$51)/(EX$52)),"0")))))</f>
        <v>0</v>
      </c>
      <c r="EY99" s="20" t="str">
        <f>IF(EY46=0,"0",IF(AND(Results!$E$5="Protein",$C$53&gt;0,OR(Results!$E$4="Tissue",Results!$E$4="Cells")),((EY46*EY$51)/(EY$53)),IF(AND(Results!$E$5="Weight",$C$52&gt;0, Results!$E$4="Tissue",OR($B$52="g",$B$52="mg")),((EY46*EY$51)/(EY$52)),IF(AND(Results!$E$5="Volume",$C$54&gt;0,Results!$E$4="Fluid"),((EY46*EY$51)/(EY$54)),IF(AND(Results!$E$4="Cells",Results!$E$5="Million",$B$52="million"),((EY46*EY$51)/(EY$52)),"0")))))</f>
        <v>0</v>
      </c>
      <c r="EZ99" s="20" t="str">
        <f>IF(EZ46=0,"0",IF(AND(Results!$E$5="Protein",$C$53&gt;0,OR(Results!$E$4="Tissue",Results!$E$4="Cells")),((EZ46*EZ$51)/(EZ$53)),IF(AND(Results!$E$5="Weight",$C$52&gt;0, Results!$E$4="Tissue",OR($B$52="g",$B$52="mg")),((EZ46*EZ$51)/(EZ$52)),IF(AND(Results!$E$5="Volume",$C$54&gt;0,Results!$E$4="Fluid"),((EZ46*EZ$51)/(EZ$54)),IF(AND(Results!$E$4="Cells",Results!$E$5="Million",$B$52="million"),((EZ46*EZ$51)/(EZ$52)),"0")))))</f>
        <v>0</v>
      </c>
      <c r="FA99" s="20" t="str">
        <f>IF(FA46=0,"0",IF(AND(Results!$E$5="Protein",$C$53&gt;0,OR(Results!$E$4="Tissue",Results!$E$4="Cells")),((FA46*FA$51)/(FA$53)),IF(AND(Results!$E$5="Weight",$C$52&gt;0, Results!$E$4="Tissue",OR($B$52="g",$B$52="mg")),((FA46*FA$51)/(FA$52)),IF(AND(Results!$E$5="Volume",$C$54&gt;0,Results!$E$4="Fluid"),((FA46*FA$51)/(FA$54)),IF(AND(Results!$E$4="Cells",Results!$E$5="Million",$B$52="million"),((FA46*FA$51)/(FA$52)),"0")))))</f>
        <v>0</v>
      </c>
      <c r="FB99" s="20" t="str">
        <f>IF(FB46=0,"0",IF(AND(Results!$E$5="Protein",$C$53&gt;0,OR(Results!$E$4="Tissue",Results!$E$4="Cells")),((FB46*FB$51)/(FB$53)),IF(AND(Results!$E$5="Weight",$C$52&gt;0, Results!$E$4="Tissue",OR($B$52="g",$B$52="mg")),((FB46*FB$51)/(FB$52)),IF(AND(Results!$E$5="Volume",$C$54&gt;0,Results!$E$4="Fluid"),((FB46*FB$51)/(FB$54)),IF(AND(Results!$E$4="Cells",Results!$E$5="Million",$B$52="million"),((FB46*FB$51)/(FB$52)),"0")))))</f>
        <v>0</v>
      </c>
      <c r="FC99" s="20" t="str">
        <f>IF(FC46=0,"0",IF(AND(Results!$E$5="Protein",$C$53&gt;0,OR(Results!$E$4="Tissue",Results!$E$4="Cells")),((FC46*FC$51)/(FC$53)),IF(AND(Results!$E$5="Weight",$C$52&gt;0, Results!$E$4="Tissue",OR($B$52="g",$B$52="mg")),((FC46*FC$51)/(FC$52)),IF(AND(Results!$E$5="Volume",$C$54&gt;0,Results!$E$4="Fluid"),((FC46*FC$51)/(FC$54)),IF(AND(Results!$E$4="Cells",Results!$E$5="Million",$B$52="million"),((FC46*FC$51)/(FC$52)),"0")))))</f>
        <v>0</v>
      </c>
      <c r="FD99" s="20" t="str">
        <f>IF(FD46=0,"0",IF(AND(Results!$E$5="Protein",$C$53&gt;0,OR(Results!$E$4="Tissue",Results!$E$4="Cells")),((FD46*FD$51)/(FD$53)),IF(AND(Results!$E$5="Weight",$C$52&gt;0, Results!$E$4="Tissue",OR($B$52="g",$B$52="mg")),((FD46*FD$51)/(FD$52)),IF(AND(Results!$E$5="Volume",$C$54&gt;0,Results!$E$4="Fluid"),((FD46*FD$51)/(FD$54)),IF(AND(Results!$E$4="Cells",Results!$E$5="Million",$B$52="million"),((FD46*FD$51)/(FD$52)),"0")))))</f>
        <v>0</v>
      </c>
      <c r="FE99" s="20" t="str">
        <f>IF(FE46=0,"0",IF(AND(Results!$E$5="Protein",$C$53&gt;0,OR(Results!$E$4="Tissue",Results!$E$4="Cells")),((FE46*FE$51)/(FE$53)),IF(AND(Results!$E$5="Weight",$C$52&gt;0, Results!$E$4="Tissue",OR($B$52="g",$B$52="mg")),((FE46*FE$51)/(FE$52)),IF(AND(Results!$E$5="Volume",$C$54&gt;0,Results!$E$4="Fluid"),((FE46*FE$51)/(FE$54)),IF(AND(Results!$E$4="Cells",Results!$E$5="Million",$B$52="million"),((FE46*FE$51)/(FE$52)),"0")))))</f>
        <v>0</v>
      </c>
      <c r="FF99" s="20" t="str">
        <f>IF(FF46=0,"0",IF(AND(Results!$E$5="Protein",$C$53&gt;0,OR(Results!$E$4="Tissue",Results!$E$4="Cells")),((FF46*FF$51)/(FF$53)),IF(AND(Results!$E$5="Weight",$C$52&gt;0, Results!$E$4="Tissue",OR($B$52="g",$B$52="mg")),((FF46*FF$51)/(FF$52)),IF(AND(Results!$E$5="Volume",$C$54&gt;0,Results!$E$4="Fluid"),((FF46*FF$51)/(FF$54)),IF(AND(Results!$E$4="Cells",Results!$E$5="Million",$B$52="million"),((FF46*FF$51)/(FF$52)),"0")))))</f>
        <v>0</v>
      </c>
      <c r="FG99" s="20" t="str">
        <f>IF(FG46=0,"0",IF(AND(Results!$E$5="Protein",$C$53&gt;0,OR(Results!$E$4="Tissue",Results!$E$4="Cells")),((FG46*FG$51)/(FG$53)),IF(AND(Results!$E$5="Weight",$C$52&gt;0, Results!$E$4="Tissue",OR($B$52="g",$B$52="mg")),((FG46*FG$51)/(FG$52)),IF(AND(Results!$E$5="Volume",$C$54&gt;0,Results!$E$4="Fluid"),((FG46*FG$51)/(FG$54)),IF(AND(Results!$E$4="Cells",Results!$E$5="Million",$B$52="million"),((FG46*FG$51)/(FG$52)),"0")))))</f>
        <v>0</v>
      </c>
      <c r="FH99" s="20" t="str">
        <f>IF(FH46=0,"0",IF(AND(Results!$E$5="Protein",$C$53&gt;0,OR(Results!$E$4="Tissue",Results!$E$4="Cells")),((FH46*FH$51)/(FH$53)),IF(AND(Results!$E$5="Weight",$C$52&gt;0, Results!$E$4="Tissue",OR($B$52="g",$B$52="mg")),((FH46*FH$51)/(FH$52)),IF(AND(Results!$E$5="Volume",$C$54&gt;0,Results!$E$4="Fluid"),((FH46*FH$51)/(FH$54)),IF(AND(Results!$E$4="Cells",Results!$E$5="Million",$B$52="million"),((FH46*FH$51)/(FH$52)),"0")))))</f>
        <v>0</v>
      </c>
      <c r="FI99" s="20" t="str">
        <f>IF(FI46=0,"0",IF(AND(Results!$E$5="Protein",$C$53&gt;0,OR(Results!$E$4="Tissue",Results!$E$4="Cells")),((FI46*FI$51)/(FI$53)),IF(AND(Results!$E$5="Weight",$C$52&gt;0, Results!$E$4="Tissue",OR($B$52="g",$B$52="mg")),((FI46*FI$51)/(FI$52)),IF(AND(Results!$E$5="Volume",$C$54&gt;0,Results!$E$4="Fluid"),((FI46*FI$51)/(FI$54)),IF(AND(Results!$E$4="Cells",Results!$E$5="Million",$B$52="million"),((FI46*FI$51)/(FI$52)),"0")))))</f>
        <v>0</v>
      </c>
      <c r="FJ99" s="20" t="str">
        <f>IF(FJ46=0,"0",IF(AND(Results!$E$5="Protein",$C$53&gt;0,OR(Results!$E$4="Tissue",Results!$E$4="Cells")),((FJ46*FJ$51)/(FJ$53)),IF(AND(Results!$E$5="Weight",$C$52&gt;0, Results!$E$4="Tissue",OR($B$52="g",$B$52="mg")),((FJ46*FJ$51)/(FJ$52)),IF(AND(Results!$E$5="Volume",$C$54&gt;0,Results!$E$4="Fluid"),((FJ46*FJ$51)/(FJ$54)),IF(AND(Results!$E$4="Cells",Results!$E$5="Million",$B$52="million"),((FJ46*FJ$51)/(FJ$52)),"0")))))</f>
        <v>0</v>
      </c>
      <c r="FK99" s="20" t="str">
        <f>IF(FK46=0,"0",IF(AND(Results!$E$5="Protein",$C$53&gt;0,OR(Results!$E$4="Tissue",Results!$E$4="Cells")),((FK46*FK$51)/(FK$53)),IF(AND(Results!$E$5="Weight",$C$52&gt;0, Results!$E$4="Tissue",OR($B$52="g",$B$52="mg")),((FK46*FK$51)/(FK$52)),IF(AND(Results!$E$5="Volume",$C$54&gt;0,Results!$E$4="Fluid"),((FK46*FK$51)/(FK$54)),IF(AND(Results!$E$4="Cells",Results!$E$5="Million",$B$52="million"),((FK46*FK$51)/(FK$52)),"0")))))</f>
        <v>0</v>
      </c>
      <c r="FL99" s="20" t="str">
        <f>IF(FL46=0,"0",IF(AND(Results!$E$5="Protein",$C$53&gt;0,OR(Results!$E$4="Tissue",Results!$E$4="Cells")),((FL46*FL$51)/(FL$53)),IF(AND(Results!$E$5="Weight",$C$52&gt;0, Results!$E$4="Tissue",OR($B$52="g",$B$52="mg")),((FL46*FL$51)/(FL$52)),IF(AND(Results!$E$5="Volume",$C$54&gt;0,Results!$E$4="Fluid"),((FL46*FL$51)/(FL$54)),IF(AND(Results!$E$4="Cells",Results!$E$5="Million",$B$52="million"),((FL46*FL$51)/(FL$52)),"0")))))</f>
        <v>0</v>
      </c>
      <c r="FM99" s="20" t="str">
        <f>IF(FM46=0,"0",IF(AND(Results!$E$5="Protein",$C$53&gt;0,OR(Results!$E$4="Tissue",Results!$E$4="Cells")),((FM46*FM$51)/(FM$53)),IF(AND(Results!$E$5="Weight",$C$52&gt;0, Results!$E$4="Tissue",OR($B$52="g",$B$52="mg")),((FM46*FM$51)/(FM$52)),IF(AND(Results!$E$5="Volume",$C$54&gt;0,Results!$E$4="Fluid"),((FM46*FM$51)/(FM$54)),IF(AND(Results!$E$4="Cells",Results!$E$5="Million",$B$52="million"),((FM46*FM$51)/(FM$52)),"0")))))</f>
        <v>0</v>
      </c>
      <c r="FN99" s="20" t="str">
        <f>IF(FN46=0,"0",IF(AND(Results!$E$5="Protein",$C$53&gt;0,OR(Results!$E$4="Tissue",Results!$E$4="Cells")),((FN46*FN$51)/(FN$53)),IF(AND(Results!$E$5="Weight",$C$52&gt;0, Results!$E$4="Tissue",OR($B$52="g",$B$52="mg")),((FN46*FN$51)/(FN$52)),IF(AND(Results!$E$5="Volume",$C$54&gt;0,Results!$E$4="Fluid"),((FN46*FN$51)/(FN$54)),IF(AND(Results!$E$4="Cells",Results!$E$5="Million",$B$52="million"),((FN46*FN$51)/(FN$52)),"0")))))</f>
        <v>0</v>
      </c>
      <c r="FO99" s="20" t="str">
        <f>IF(FO46=0,"0",IF(AND(Results!$E$5="Protein",$C$53&gt;0,OR(Results!$E$4="Tissue",Results!$E$4="Cells")),((FO46*FO$51)/(FO$53)),IF(AND(Results!$E$5="Weight",$C$52&gt;0, Results!$E$4="Tissue",OR($B$52="g",$B$52="mg")),((FO46*FO$51)/(FO$52)),IF(AND(Results!$E$5="Volume",$C$54&gt;0,Results!$E$4="Fluid"),((FO46*FO$51)/(FO$54)),IF(AND(Results!$E$4="Cells",Results!$E$5="Million",$B$52="million"),((FO46*FO$51)/(FO$52)),"0")))))</f>
        <v>0</v>
      </c>
    </row>
    <row r="100" spans="1:171" x14ac:dyDescent="0.2">
      <c r="A100" s="120" t="str">
        <f>A47</f>
        <v xml:space="preserve">RvD2 </v>
      </c>
      <c r="B100" s="121"/>
      <c r="C100" s="20" t="str">
        <f>IF(C47=0,"0",IF(AND(Results!$E$5="Protein",$C$53&gt;0,OR(Results!$E$4="Tissue",Results!$E$4="Cells")),((C47*C$51)/(C$53)),IF(AND(Results!$E$5="Weight",$C$52&gt;0, Results!$E$4="Tissue",OR($B$52="g",$B$52="mg")),((C47*C$51)/(C$52)),IF(AND(Results!$E$5="Volume",$C$54&gt;0,Results!$E$4="Fluid"),((C47*C$51)/(C$54)),IF(AND(Results!$E$4="Cells",Results!$E$5="Million",$B$52="million"),((C47*C$51)/(C$52)),"0")))))</f>
        <v>0</v>
      </c>
      <c r="D100" s="20" t="str">
        <f>IF(D47=0,"0",IF(AND(Results!$E$5="Protein",$C$53&gt;0,OR(Results!$E$4="Tissue",Results!$E$4="Cells")),((D47*D$51)/(D$53)),IF(AND(Results!$E$5="Weight",$C$52&gt;0, Results!$E$4="Tissue",OR($B$52="g",$B$52="mg")),((D47*D$51)/(D$52)),IF(AND(Results!$E$5="Volume",$C$54&gt;0,Results!$E$4="Fluid"),((D47*D$51)/(D$54)),IF(AND(Results!$E$4="Cells",Results!$E$5="Million",$B$52="million"),((D47*D$51)/(D$52)),"0")))))</f>
        <v>0</v>
      </c>
      <c r="E100" s="20" t="str">
        <f>IF(E47=0,"0",IF(AND(Results!$E$5="Protein",$C$53&gt;0,OR(Results!$E$4="Tissue",Results!$E$4="Cells")),((E47*E$51)/(E$53)),IF(AND(Results!$E$5="Weight",$C$52&gt;0, Results!$E$4="Tissue",OR($B$52="g",$B$52="mg")),((E47*E$51)/(E$52)),IF(AND(Results!$E$5="Volume",$C$54&gt;0,Results!$E$4="Fluid"),((E47*E$51)/(E$54)),IF(AND(Results!$E$4="Cells",Results!$E$5="Million",$B$52="million"),((E47*E$51)/(E$52)),"0")))))</f>
        <v>0</v>
      </c>
      <c r="F100" s="20" t="str">
        <f>IF(F47=0,"0",IF(AND(Results!$E$5="Protein",$C$53&gt;0,OR(Results!$E$4="Tissue",Results!$E$4="Cells")),((F47*F$51)/(F$53)),IF(AND(Results!$E$5="Weight",$C$52&gt;0, Results!$E$4="Tissue",OR($B$52="g",$B$52="mg")),((F47*F$51)/(F$52)),IF(AND(Results!$E$5="Volume",$C$54&gt;0,Results!$E$4="Fluid"),((F47*F$51)/(F$54)),IF(AND(Results!$E$4="Cells",Results!$E$5="Million",$B$52="million"),((F47*F$51)/(F$52)),"0")))))</f>
        <v>0</v>
      </c>
      <c r="G100" s="20" t="str">
        <f>IF(G47=0,"0",IF(AND(Results!$E$5="Protein",$C$53&gt;0,OR(Results!$E$4="Tissue",Results!$E$4="Cells")),((G47*G$51)/(G$53)),IF(AND(Results!$E$5="Weight",$C$52&gt;0, Results!$E$4="Tissue",OR($B$52="g",$B$52="mg")),((G47*G$51)/(G$52)),IF(AND(Results!$E$5="Volume",$C$54&gt;0,Results!$E$4="Fluid"),((G47*G$51)/(G$54)),IF(AND(Results!$E$4="Cells",Results!$E$5="Million",$B$52="million"),((G47*G$51)/(G$52)),"0")))))</f>
        <v>0</v>
      </c>
      <c r="H100" s="20" t="str">
        <f>IF(H47=0,"0",IF(AND(Results!$E$5="Protein",$C$53&gt;0,OR(Results!$E$4="Tissue",Results!$E$4="Cells")),((H47*H$51)/(H$53)),IF(AND(Results!$E$5="Weight",$C$52&gt;0, Results!$E$4="Tissue",OR($B$52="g",$B$52="mg")),((H47*H$51)/(H$52)),IF(AND(Results!$E$5="Volume",$C$54&gt;0,Results!$E$4="Fluid"),((H47*H$51)/(H$54)),IF(AND(Results!$E$4="Cells",Results!$E$5="Million",$B$52="million"),((H47*H$51)/(H$52)),"0")))))</f>
        <v>0</v>
      </c>
      <c r="I100" s="20" t="str">
        <f>IF(I47=0,"0",IF(AND(Results!$E$5="Protein",$C$53&gt;0,OR(Results!$E$4="Tissue",Results!$E$4="Cells")),((I47*I$51)/(I$53)),IF(AND(Results!$E$5="Weight",$C$52&gt;0, Results!$E$4="Tissue",OR($B$52="g",$B$52="mg")),((I47*I$51)/(I$52)),IF(AND(Results!$E$5="Volume",$C$54&gt;0,Results!$E$4="Fluid"),((I47*I$51)/(I$54)),IF(AND(Results!$E$4="Cells",Results!$E$5="Million",$B$52="million"),((I47*I$51)/(I$52)),"0")))))</f>
        <v>0</v>
      </c>
      <c r="J100" s="20" t="str">
        <f>IF(J47=0,"0",IF(AND(Results!$E$5="Protein",$C$53&gt;0,OR(Results!$E$4="Tissue",Results!$E$4="Cells")),((J47*J$51)/(J$53)),IF(AND(Results!$E$5="Weight",$C$52&gt;0, Results!$E$4="Tissue",OR($B$52="g",$B$52="mg")),((J47*J$51)/(J$52)),IF(AND(Results!$E$5="Volume",$C$54&gt;0,Results!$E$4="Fluid"),((J47*J$51)/(J$54)),IF(AND(Results!$E$4="Cells",Results!$E$5="Million",$B$52="million"),((J47*J$51)/(J$52)),"0")))))</f>
        <v>0</v>
      </c>
      <c r="K100" s="20" t="str">
        <f>IF(K47=0,"0",IF(AND(Results!$E$5="Protein",$C$53&gt;0,OR(Results!$E$4="Tissue",Results!$E$4="Cells")),((K47*K$51)/(K$53)),IF(AND(Results!$E$5="Weight",$C$52&gt;0, Results!$E$4="Tissue",OR($B$52="g",$B$52="mg")),((K47*K$51)/(K$52)),IF(AND(Results!$E$5="Volume",$C$54&gt;0,Results!$E$4="Fluid"),((K47*K$51)/(K$54)),IF(AND(Results!$E$4="Cells",Results!$E$5="Million",$B$52="million"),((K47*K$51)/(K$52)),"0")))))</f>
        <v>0</v>
      </c>
      <c r="L100" s="20" t="str">
        <f>IF(L47=0,"0",IF(AND(Results!$E$5="Protein",$C$53&gt;0,OR(Results!$E$4="Tissue",Results!$E$4="Cells")),((L47*L$51)/(L$53)),IF(AND(Results!$E$5="Weight",$C$52&gt;0, Results!$E$4="Tissue",OR($B$52="g",$B$52="mg")),((L47*L$51)/(L$52)),IF(AND(Results!$E$5="Volume",$C$54&gt;0,Results!$E$4="Fluid"),((L47*L$51)/(L$54)),IF(AND(Results!$E$4="Cells",Results!$E$5="Million",$B$52="million"),((L47*L$51)/(L$52)),"0")))))</f>
        <v>0</v>
      </c>
      <c r="M100" s="20" t="str">
        <f>IF(M47=0,"0",IF(AND(Results!$E$5="Protein",$C$53&gt;0,OR(Results!$E$4="Tissue",Results!$E$4="Cells")),((M47*M$51)/(M$53)),IF(AND(Results!$E$5="Weight",$C$52&gt;0, Results!$E$4="Tissue",OR($B$52="g",$B$52="mg")),((M47*M$51)/(M$52)),IF(AND(Results!$E$5="Volume",$C$54&gt;0,Results!$E$4="Fluid"),((M47*M$51)/(M$54)),IF(AND(Results!$E$4="Cells",Results!$E$5="Million",$B$52="million"),((M47*M$51)/(M$52)),"0")))))</f>
        <v>0</v>
      </c>
      <c r="N100" s="20" t="str">
        <f>IF(N47=0,"0",IF(AND(Results!$E$5="Protein",$C$53&gt;0,OR(Results!$E$4="Tissue",Results!$E$4="Cells")),((N47*N$51)/(N$53)),IF(AND(Results!$E$5="Weight",$C$52&gt;0, Results!$E$4="Tissue",OR($B$52="g",$B$52="mg")),((N47*N$51)/(N$52)),IF(AND(Results!$E$5="Volume",$C$54&gt;0,Results!$E$4="Fluid"),((N47*N$51)/(N$54)),IF(AND(Results!$E$4="Cells",Results!$E$5="Million",$B$52="million"),((N47*N$51)/(N$52)),"0")))))</f>
        <v>0</v>
      </c>
      <c r="O100" s="20" t="str">
        <f>IF(O47=0,"0",IF(AND(Results!$E$5="Protein",$C$53&gt;0,OR(Results!$E$4="Tissue",Results!$E$4="Cells")),((O47*O$51)/(O$53)),IF(AND(Results!$E$5="Weight",$C$52&gt;0, Results!$E$4="Tissue",OR($B$52="g",$B$52="mg")),((O47*O$51)/(O$52)),IF(AND(Results!$E$5="Volume",$C$54&gt;0,Results!$E$4="Fluid"),((O47*O$51)/(O$54)),IF(AND(Results!$E$4="Cells",Results!$E$5="Million",$B$52="million"),((O47*O$51)/(O$52)),"0")))))</f>
        <v>0</v>
      </c>
      <c r="P100" s="20" t="str">
        <f>IF(P47=0,"0",IF(AND(Results!$E$5="Protein",$C$53&gt;0,OR(Results!$E$4="Tissue",Results!$E$4="Cells")),((P47*P$51)/(P$53)),IF(AND(Results!$E$5="Weight",$C$52&gt;0, Results!$E$4="Tissue",OR($B$52="g",$B$52="mg")),((P47*P$51)/(P$52)),IF(AND(Results!$E$5="Volume",$C$54&gt;0,Results!$E$4="Fluid"),((P47*P$51)/(P$54)),IF(AND(Results!$E$4="Cells",Results!$E$5="Million",$B$52="million"),((P47*P$51)/(P$52)),"0")))))</f>
        <v>0</v>
      </c>
      <c r="Q100" s="20" t="str">
        <f>IF(Q47=0,"0",IF(AND(Results!$E$5="Protein",$C$53&gt;0,OR(Results!$E$4="Tissue",Results!$E$4="Cells")),((Q47*Q$51)/(Q$53)),IF(AND(Results!$E$5="Weight",$C$52&gt;0, Results!$E$4="Tissue",OR($B$52="g",$B$52="mg")),((Q47*Q$51)/(Q$52)),IF(AND(Results!$E$5="Volume",$C$54&gt;0,Results!$E$4="Fluid"),((Q47*Q$51)/(Q$54)),IF(AND(Results!$E$4="Cells",Results!$E$5="Million",$B$52="million"),((Q47*Q$51)/(Q$52)),"0")))))</f>
        <v>0</v>
      </c>
      <c r="R100" s="20" t="str">
        <f>IF(R47=0,"0",IF(AND(Results!$E$5="Protein",$C$53&gt;0,OR(Results!$E$4="Tissue",Results!$E$4="Cells")),((R47*R$51)/(R$53)),IF(AND(Results!$E$5="Weight",$C$52&gt;0, Results!$E$4="Tissue",OR($B$52="g",$B$52="mg")),((R47*R$51)/(R$52)),IF(AND(Results!$E$5="Volume",$C$54&gt;0,Results!$E$4="Fluid"),((R47*R$51)/(R$54)),IF(AND(Results!$E$4="Cells",Results!$E$5="Million",$B$52="million"),((R47*R$51)/(R$52)),"0")))))</f>
        <v>0</v>
      </c>
      <c r="S100" s="20" t="str">
        <f>IF(S47=0,"0",IF(AND(Results!$E$5="Protein",$C$53&gt;0,OR(Results!$E$4="Tissue",Results!$E$4="Cells")),((S47*S$51)/(S$53)),IF(AND(Results!$E$5="Weight",$C$52&gt;0, Results!$E$4="Tissue",OR($B$52="g",$B$52="mg")),((S47*S$51)/(S$52)),IF(AND(Results!$E$5="Volume",$C$54&gt;0,Results!$E$4="Fluid"),((S47*S$51)/(S$54)),IF(AND(Results!$E$4="Cells",Results!$E$5="Million",$B$52="million"),((S47*S$51)/(S$52)),"0")))))</f>
        <v>0</v>
      </c>
      <c r="T100" s="20" t="str">
        <f>IF(T47=0,"0",IF(AND(Results!$E$5="Protein",$C$53&gt;0,OR(Results!$E$4="Tissue",Results!$E$4="Cells")),((T47*T$51)/(T$53)),IF(AND(Results!$E$5="Weight",$C$52&gt;0, Results!$E$4="Tissue",OR($B$52="g",$B$52="mg")),((T47*T$51)/(T$52)),IF(AND(Results!$E$5="Volume",$C$54&gt;0,Results!$E$4="Fluid"),((T47*T$51)/(T$54)),IF(AND(Results!$E$4="Cells",Results!$E$5="Million",$B$52="million"),((T47*T$51)/(T$52)),"0")))))</f>
        <v>0</v>
      </c>
      <c r="U100" s="20" t="str">
        <f>IF(U47=0,"0",IF(AND(Results!$E$5="Protein",$C$53&gt;0,OR(Results!$E$4="Tissue",Results!$E$4="Cells")),((U47*U$51)/(U$53)),IF(AND(Results!$E$5="Weight",$C$52&gt;0, Results!$E$4="Tissue",OR($B$52="g",$B$52="mg")),((U47*U$51)/(U$52)),IF(AND(Results!$E$5="Volume",$C$54&gt;0,Results!$E$4="Fluid"),((U47*U$51)/(U$54)),IF(AND(Results!$E$4="Cells",Results!$E$5="Million",$B$52="million"),((U47*U$51)/(U$52)),"0")))))</f>
        <v>0</v>
      </c>
      <c r="V100" s="20" t="str">
        <f>IF(V47=0,"0",IF(AND(Results!$E$5="Protein",$C$53&gt;0,OR(Results!$E$4="Tissue",Results!$E$4="Cells")),((V47*V$51)/(V$53)),IF(AND(Results!$E$5="Weight",$C$52&gt;0, Results!$E$4="Tissue",OR($B$52="g",$B$52="mg")),((V47*V$51)/(V$52)),IF(AND(Results!$E$5="Volume",$C$54&gt;0,Results!$E$4="Fluid"),((V47*V$51)/(V$54)),IF(AND(Results!$E$4="Cells",Results!$E$5="Million",$B$52="million"),((V47*V$51)/(V$52)),"0")))))</f>
        <v>0</v>
      </c>
      <c r="W100" s="20" t="str">
        <f>IF(W47=0,"0",IF(AND(Results!$E$5="Protein",$C$53&gt;0,OR(Results!$E$4="Tissue",Results!$E$4="Cells")),((W47*W$51)/(W$53)),IF(AND(Results!$E$5="Weight",$C$52&gt;0, Results!$E$4="Tissue",OR($B$52="g",$B$52="mg")),((W47*W$51)/(W$52)),IF(AND(Results!$E$5="Volume",$C$54&gt;0,Results!$E$4="Fluid"),((W47*W$51)/(W$54)),IF(AND(Results!$E$4="Cells",Results!$E$5="Million",$B$52="million"),((W47*W$51)/(W$52)),"0")))))</f>
        <v>0</v>
      </c>
      <c r="X100" s="20" t="str">
        <f>IF(X47=0,"0",IF(AND(Results!$E$5="Protein",$C$53&gt;0,OR(Results!$E$4="Tissue",Results!$E$4="Cells")),((X47*X$51)/(X$53)),IF(AND(Results!$E$5="Weight",$C$52&gt;0, Results!$E$4="Tissue",OR($B$52="g",$B$52="mg")),((X47*X$51)/(X$52)),IF(AND(Results!$E$5="Volume",$C$54&gt;0,Results!$E$4="Fluid"),((X47*X$51)/(X$54)),IF(AND(Results!$E$4="Cells",Results!$E$5="Million",$B$52="million"),((X47*X$51)/(X$52)),"0")))))</f>
        <v>0</v>
      </c>
      <c r="Y100" s="20" t="str">
        <f>IF(Y47=0,"0",IF(AND(Results!$E$5="Protein",$C$53&gt;0,OR(Results!$E$4="Tissue",Results!$E$4="Cells")),((Y47*Y$51)/(Y$53)),IF(AND(Results!$E$5="Weight",$C$52&gt;0, Results!$E$4="Tissue",OR($B$52="g",$B$52="mg")),((Y47*Y$51)/(Y$52)),IF(AND(Results!$E$5="Volume",$C$54&gt;0,Results!$E$4="Fluid"),((Y47*Y$51)/(Y$54)),IF(AND(Results!$E$4="Cells",Results!$E$5="Million",$B$52="million"),((Y47*Y$51)/(Y$52)),"0")))))</f>
        <v>0</v>
      </c>
      <c r="Z100" s="20" t="str">
        <f>IF(Z47=0,"0",IF(AND(Results!$E$5="Protein",$C$53&gt;0,OR(Results!$E$4="Tissue",Results!$E$4="Cells")),((Z47*Z$51)/(Z$53)),IF(AND(Results!$E$5="Weight",$C$52&gt;0, Results!$E$4="Tissue",OR($B$52="g",$B$52="mg")),((Z47*Z$51)/(Z$52)),IF(AND(Results!$E$5="Volume",$C$54&gt;0,Results!$E$4="Fluid"),((Z47*Z$51)/(Z$54)),IF(AND(Results!$E$4="Cells",Results!$E$5="Million",$B$52="million"),((Z47*Z$51)/(Z$52)),"0")))))</f>
        <v>0</v>
      </c>
      <c r="AA100" s="20" t="str">
        <f>IF(AA47=0,"0",IF(AND(Results!$E$5="Protein",$C$53&gt;0,OR(Results!$E$4="Tissue",Results!$E$4="Cells")),((AA47*AA$51)/(AA$53)),IF(AND(Results!$E$5="Weight",$C$52&gt;0, Results!$E$4="Tissue",OR($B$52="g",$B$52="mg")),((AA47*AA$51)/(AA$52)),IF(AND(Results!$E$5="Volume",$C$54&gt;0,Results!$E$4="Fluid"),((AA47*AA$51)/(AA$54)),IF(AND(Results!$E$4="Cells",Results!$E$5="Million",$B$52="million"),((AA47*AA$51)/(AA$52)),"0")))))</f>
        <v>0</v>
      </c>
      <c r="AB100" s="20" t="str">
        <f>IF(AB47=0,"0",IF(AND(Results!$E$5="Protein",$C$53&gt;0,OR(Results!$E$4="Tissue",Results!$E$4="Cells")),((AB47*AB$51)/(AB$53)),IF(AND(Results!$E$5="Weight",$C$52&gt;0, Results!$E$4="Tissue",OR($B$52="g",$B$52="mg")),((AB47*AB$51)/(AB$52)),IF(AND(Results!$E$5="Volume",$C$54&gt;0,Results!$E$4="Fluid"),((AB47*AB$51)/(AB$54)),IF(AND(Results!$E$4="Cells",Results!$E$5="Million",$B$52="million"),((AB47*AB$51)/(AB$52)),"0")))))</f>
        <v>0</v>
      </c>
      <c r="AC100" s="20" t="str">
        <f>IF(AC47=0,"0",IF(AND(Results!$E$5="Protein",$C$53&gt;0,OR(Results!$E$4="Tissue",Results!$E$4="Cells")),((AC47*AC$51)/(AC$53)),IF(AND(Results!$E$5="Weight",$C$52&gt;0, Results!$E$4="Tissue",OR($B$52="g",$B$52="mg")),((AC47*AC$51)/(AC$52)),IF(AND(Results!$E$5="Volume",$C$54&gt;0,Results!$E$4="Fluid"),((AC47*AC$51)/(AC$54)),IF(AND(Results!$E$4="Cells",Results!$E$5="Million",$B$52="million"),((AC47*AC$51)/(AC$52)),"0")))))</f>
        <v>0</v>
      </c>
      <c r="AD100" s="20" t="str">
        <f>IF(AD47=0,"0",IF(AND(Results!$E$5="Protein",$C$53&gt;0,OR(Results!$E$4="Tissue",Results!$E$4="Cells")),((AD47*AD$51)/(AD$53)),IF(AND(Results!$E$5="Weight",$C$52&gt;0, Results!$E$4="Tissue",OR($B$52="g",$B$52="mg")),((AD47*AD$51)/(AD$52)),IF(AND(Results!$E$5="Volume",$C$54&gt;0,Results!$E$4="Fluid"),((AD47*AD$51)/(AD$54)),IF(AND(Results!$E$4="Cells",Results!$E$5="Million",$B$52="million"),((AD47*AD$51)/(AD$52)),"0")))))</f>
        <v>0</v>
      </c>
      <c r="AE100" s="20" t="str">
        <f>IF(AE47=0,"0",IF(AND(Results!$E$5="Protein",$C$53&gt;0,OR(Results!$E$4="Tissue",Results!$E$4="Cells")),((AE47*AE$51)/(AE$53)),IF(AND(Results!$E$5="Weight",$C$52&gt;0, Results!$E$4="Tissue",OR($B$52="g",$B$52="mg")),((AE47*AE$51)/(AE$52)),IF(AND(Results!$E$5="Volume",$C$54&gt;0,Results!$E$4="Fluid"),((AE47*AE$51)/(AE$54)),IF(AND(Results!$E$4="Cells",Results!$E$5="Million",$B$52="million"),((AE47*AE$51)/(AE$52)),"0")))))</f>
        <v>0</v>
      </c>
      <c r="AF100" s="20" t="str">
        <f>IF(AF47=0,"0",IF(AND(Results!$E$5="Protein",$C$53&gt;0,OR(Results!$E$4="Tissue",Results!$E$4="Cells")),((AF47*AF$51)/(AF$53)),IF(AND(Results!$E$5="Weight",$C$52&gt;0, Results!$E$4="Tissue",OR($B$52="g",$B$52="mg")),((AF47*AF$51)/(AF$52)),IF(AND(Results!$E$5="Volume",$C$54&gt;0,Results!$E$4="Fluid"),((AF47*AF$51)/(AF$54)),IF(AND(Results!$E$4="Cells",Results!$E$5="Million",$B$52="million"),((AF47*AF$51)/(AF$52)),"0")))))</f>
        <v>0</v>
      </c>
      <c r="AG100" s="20" t="str">
        <f>IF(AG47=0,"0",IF(AND(Results!$E$5="Protein",$C$53&gt;0,OR(Results!$E$4="Tissue",Results!$E$4="Cells")),((AG47*AG$51)/(AG$53)),IF(AND(Results!$E$5="Weight",$C$52&gt;0, Results!$E$4="Tissue",OR($B$52="g",$B$52="mg")),((AG47*AG$51)/(AG$52)),IF(AND(Results!$E$5="Volume",$C$54&gt;0,Results!$E$4="Fluid"),((AG47*AG$51)/(AG$54)),IF(AND(Results!$E$4="Cells",Results!$E$5="Million",$B$52="million"),((AG47*AG$51)/(AG$52)),"0")))))</f>
        <v>0</v>
      </c>
      <c r="AH100" s="20" t="str">
        <f>IF(AH47=0,"0",IF(AND(Results!$E$5="Protein",$C$53&gt;0,OR(Results!$E$4="Tissue",Results!$E$4="Cells")),((AH47*AH$51)/(AH$53)),IF(AND(Results!$E$5="Weight",$C$52&gt;0, Results!$E$4="Tissue",OR($B$52="g",$B$52="mg")),((AH47*AH$51)/(AH$52)),IF(AND(Results!$E$5="Volume",$C$54&gt;0,Results!$E$4="Fluid"),((AH47*AH$51)/(AH$54)),IF(AND(Results!$E$4="Cells",Results!$E$5="Million",$B$52="million"),((AH47*AH$51)/(AH$52)),"0")))))</f>
        <v>0</v>
      </c>
      <c r="AI100" s="20" t="str">
        <f>IF(AI47=0,"0",IF(AND(Results!$E$5="Protein",$C$53&gt;0,OR(Results!$E$4="Tissue",Results!$E$4="Cells")),((AI47*AI$51)/(AI$53)),IF(AND(Results!$E$5="Weight",$C$52&gt;0, Results!$E$4="Tissue",OR($B$52="g",$B$52="mg")),((AI47*AI$51)/(AI$52)),IF(AND(Results!$E$5="Volume",$C$54&gt;0,Results!$E$4="Fluid"),((AI47*AI$51)/(AI$54)),IF(AND(Results!$E$4="Cells",Results!$E$5="Million",$B$52="million"),((AI47*AI$51)/(AI$52)),"0")))))</f>
        <v>0</v>
      </c>
      <c r="AJ100" s="20" t="str">
        <f>IF(AJ47=0,"0",IF(AND(Results!$E$5="Protein",$C$53&gt;0,OR(Results!$E$4="Tissue",Results!$E$4="Cells")),((AJ47*AJ$51)/(AJ$53)),IF(AND(Results!$E$5="Weight",$C$52&gt;0, Results!$E$4="Tissue",OR($B$52="g",$B$52="mg")),((AJ47*AJ$51)/(AJ$52)),IF(AND(Results!$E$5="Volume",$C$54&gt;0,Results!$E$4="Fluid"),((AJ47*AJ$51)/(AJ$54)),IF(AND(Results!$E$4="Cells",Results!$E$5="Million",$B$52="million"),((AJ47*AJ$51)/(AJ$52)),"0")))))</f>
        <v>0</v>
      </c>
      <c r="AK100" s="20" t="str">
        <f>IF(AK47=0,"0",IF(AND(Results!$E$5="Protein",$C$53&gt;0,OR(Results!$E$4="Tissue",Results!$E$4="Cells")),((AK47*AK$51)/(AK$53)),IF(AND(Results!$E$5="Weight",$C$52&gt;0, Results!$E$4="Tissue",OR($B$52="g",$B$52="mg")),((AK47*AK$51)/(AK$52)),IF(AND(Results!$E$5="Volume",$C$54&gt;0,Results!$E$4="Fluid"),((AK47*AK$51)/(AK$54)),IF(AND(Results!$E$4="Cells",Results!$E$5="Million",$B$52="million"),((AK47*AK$51)/(AK$52)),"0")))))</f>
        <v>0</v>
      </c>
      <c r="AL100" s="20" t="str">
        <f>IF(AL47=0,"0",IF(AND(Results!$E$5="Protein",$C$53&gt;0,OR(Results!$E$4="Tissue",Results!$E$4="Cells")),((AL47*AL$51)/(AL$53)),IF(AND(Results!$E$5="Weight",$C$52&gt;0, Results!$E$4="Tissue",OR($B$52="g",$B$52="mg")),((AL47*AL$51)/(AL$52)),IF(AND(Results!$E$5="Volume",$C$54&gt;0,Results!$E$4="Fluid"),((AL47*AL$51)/(AL$54)),IF(AND(Results!$E$4="Cells",Results!$E$5="Million",$B$52="million"),((AL47*AL$51)/(AL$52)),"0")))))</f>
        <v>0</v>
      </c>
      <c r="AM100" s="20" t="str">
        <f>IF(AM47=0,"0",IF(AND(Results!$E$5="Protein",$C$53&gt;0,OR(Results!$E$4="Tissue",Results!$E$4="Cells")),((AM47*AM$51)/(AM$53)),IF(AND(Results!$E$5="Weight",$C$52&gt;0, Results!$E$4="Tissue",OR($B$52="g",$B$52="mg")),((AM47*AM$51)/(AM$52)),IF(AND(Results!$E$5="Volume",$C$54&gt;0,Results!$E$4="Fluid"),((AM47*AM$51)/(AM$54)),IF(AND(Results!$E$4="Cells",Results!$E$5="Million",$B$52="million"),((AM47*AM$51)/(AM$52)),"0")))))</f>
        <v>0</v>
      </c>
      <c r="AN100" s="20" t="str">
        <f>IF(AN47=0,"0",IF(AND(Results!$E$5="Protein",$C$53&gt;0,OR(Results!$E$4="Tissue",Results!$E$4="Cells")),((AN47*AN$51)/(AN$53)),IF(AND(Results!$E$5="Weight",$C$52&gt;0, Results!$E$4="Tissue",OR($B$52="g",$B$52="mg")),((AN47*AN$51)/(AN$52)),IF(AND(Results!$E$5="Volume",$C$54&gt;0,Results!$E$4="Fluid"),((AN47*AN$51)/(AN$54)),IF(AND(Results!$E$4="Cells",Results!$E$5="Million",$B$52="million"),((AN47*AN$51)/(AN$52)),"0")))))</f>
        <v>0</v>
      </c>
      <c r="AO100" s="20" t="str">
        <f>IF(AO47=0,"0",IF(AND(Results!$E$5="Protein",$C$53&gt;0,OR(Results!$E$4="Tissue",Results!$E$4="Cells")),((AO47*AO$51)/(AO$53)),IF(AND(Results!$E$5="Weight",$C$52&gt;0, Results!$E$4="Tissue",OR($B$52="g",$B$52="mg")),((AO47*AO$51)/(AO$52)),IF(AND(Results!$E$5="Volume",$C$54&gt;0,Results!$E$4="Fluid"),((AO47*AO$51)/(AO$54)),IF(AND(Results!$E$4="Cells",Results!$E$5="Million",$B$52="million"),((AO47*AO$51)/(AO$52)),"0")))))</f>
        <v>0</v>
      </c>
      <c r="AP100" s="20" t="str">
        <f>IF(AP47=0,"0",IF(AND(Results!$E$5="Protein",$C$53&gt;0,OR(Results!$E$4="Tissue",Results!$E$4="Cells")),((AP47*AP$51)/(AP$53)),IF(AND(Results!$E$5="Weight",$C$52&gt;0, Results!$E$4="Tissue",OR($B$52="g",$B$52="mg")),((AP47*AP$51)/(AP$52)),IF(AND(Results!$E$5="Volume",$C$54&gt;0,Results!$E$4="Fluid"),((AP47*AP$51)/(AP$54)),IF(AND(Results!$E$4="Cells",Results!$E$5="Million",$B$52="million"),((AP47*AP$51)/(AP$52)),"0")))))</f>
        <v>0</v>
      </c>
      <c r="AQ100" s="20" t="str">
        <f>IF(AQ47=0,"0",IF(AND(Results!$E$5="Protein",$C$53&gt;0,OR(Results!$E$4="Tissue",Results!$E$4="Cells")),((AQ47*AQ$51)/(AQ$53)),IF(AND(Results!$E$5="Weight",$C$52&gt;0, Results!$E$4="Tissue",OR($B$52="g",$B$52="mg")),((AQ47*AQ$51)/(AQ$52)),IF(AND(Results!$E$5="Volume",$C$54&gt;0,Results!$E$4="Fluid"),((AQ47*AQ$51)/(AQ$54)),IF(AND(Results!$E$4="Cells",Results!$E$5="Million",$B$52="million"),((AQ47*AQ$51)/(AQ$52)),"0")))))</f>
        <v>0</v>
      </c>
      <c r="AR100" s="20" t="str">
        <f>IF(AR47=0,"0",IF(AND(Results!$E$5="Protein",$C$53&gt;0,OR(Results!$E$4="Tissue",Results!$E$4="Cells")),((AR47*AR$51)/(AR$53)),IF(AND(Results!$E$5="Weight",$C$52&gt;0, Results!$E$4="Tissue",OR($B$52="g",$B$52="mg")),((AR47*AR$51)/(AR$52)),IF(AND(Results!$E$5="Volume",$C$54&gt;0,Results!$E$4="Fluid"),((AR47*AR$51)/(AR$54)),IF(AND(Results!$E$4="Cells",Results!$E$5="Million",$B$52="million"),((AR47*AR$51)/(AR$52)),"0")))))</f>
        <v>0</v>
      </c>
      <c r="AS100" s="20" t="str">
        <f>IF(AS47=0,"0",IF(AND(Results!$E$5="Protein",$C$53&gt;0,OR(Results!$E$4="Tissue",Results!$E$4="Cells")),((AS47*AS$51)/(AS$53)),IF(AND(Results!$E$5="Weight",$C$52&gt;0, Results!$E$4="Tissue",OR($B$52="g",$B$52="mg")),((AS47*AS$51)/(AS$52)),IF(AND(Results!$E$5="Volume",$C$54&gt;0,Results!$E$4="Fluid"),((AS47*AS$51)/(AS$54)),IF(AND(Results!$E$4="Cells",Results!$E$5="Million",$B$52="million"),((AS47*AS$51)/(AS$52)),"0")))))</f>
        <v>0</v>
      </c>
      <c r="AT100" s="20" t="str">
        <f>IF(AT47=0,"0",IF(AND(Results!$E$5="Protein",$C$53&gt;0,OR(Results!$E$4="Tissue",Results!$E$4="Cells")),((AT47*AT$51)/(AT$53)),IF(AND(Results!$E$5="Weight",$C$52&gt;0, Results!$E$4="Tissue",OR($B$52="g",$B$52="mg")),((AT47*AT$51)/(AT$52)),IF(AND(Results!$E$5="Volume",$C$54&gt;0,Results!$E$4="Fluid"),((AT47*AT$51)/(AT$54)),IF(AND(Results!$E$4="Cells",Results!$E$5="Million",$B$52="million"),((AT47*AT$51)/(AT$52)),"0")))))</f>
        <v>0</v>
      </c>
      <c r="AU100" s="20" t="str">
        <f>IF(AU47=0,"0",IF(AND(Results!$E$5="Protein",$C$53&gt;0,OR(Results!$E$4="Tissue",Results!$E$4="Cells")),((AU47*AU$51)/(AU$53)),IF(AND(Results!$E$5="Weight",$C$52&gt;0, Results!$E$4="Tissue",OR($B$52="g",$B$52="mg")),((AU47*AU$51)/(AU$52)),IF(AND(Results!$E$5="Volume",$C$54&gt;0,Results!$E$4="Fluid"),((AU47*AU$51)/(AU$54)),IF(AND(Results!$E$4="Cells",Results!$E$5="Million",$B$52="million"),((AU47*AU$51)/(AU$52)),"0")))))</f>
        <v>0</v>
      </c>
      <c r="AV100" s="20" t="str">
        <f>IF(AV47=0,"0",IF(AND(Results!$E$5="Protein",$C$53&gt;0,OR(Results!$E$4="Tissue",Results!$E$4="Cells")),((AV47*AV$51)/(AV$53)),IF(AND(Results!$E$5="Weight",$C$52&gt;0, Results!$E$4="Tissue",OR($B$52="g",$B$52="mg")),((AV47*AV$51)/(AV$52)),IF(AND(Results!$E$5="Volume",$C$54&gt;0,Results!$E$4="Fluid"),((AV47*AV$51)/(AV$54)),IF(AND(Results!$E$4="Cells",Results!$E$5="Million",$B$52="million"),((AV47*AV$51)/(AV$52)),"0")))))</f>
        <v>0</v>
      </c>
      <c r="AW100" s="20" t="str">
        <f>IF(AW47=0,"0",IF(AND(Results!$E$5="Protein",$C$53&gt;0,OR(Results!$E$4="Tissue",Results!$E$4="Cells")),((AW47*AW$51)/(AW$53)),IF(AND(Results!$E$5="Weight",$C$52&gt;0, Results!$E$4="Tissue",OR($B$52="g",$B$52="mg")),((AW47*AW$51)/(AW$52)),IF(AND(Results!$E$5="Volume",$C$54&gt;0,Results!$E$4="Fluid"),((AW47*AW$51)/(AW$54)),IF(AND(Results!$E$4="Cells",Results!$E$5="Million",$B$52="million"),((AW47*AW$51)/(AW$52)),"0")))))</f>
        <v>0</v>
      </c>
      <c r="AX100" s="20" t="str">
        <f>IF(AX47=0,"0",IF(AND(Results!$E$5="Protein",$C$53&gt;0,OR(Results!$E$4="Tissue",Results!$E$4="Cells")),((AX47*AX$51)/(AX$53)),IF(AND(Results!$E$5="Weight",$C$52&gt;0, Results!$E$4="Tissue",OR($B$52="g",$B$52="mg")),((AX47*AX$51)/(AX$52)),IF(AND(Results!$E$5="Volume",$C$54&gt;0,Results!$E$4="Fluid"),((AX47*AX$51)/(AX$54)),IF(AND(Results!$E$4="Cells",Results!$E$5="Million",$B$52="million"),((AX47*AX$51)/(AX$52)),"0")))))</f>
        <v>0</v>
      </c>
      <c r="AY100" s="20" t="str">
        <f>IF(AY47=0,"0",IF(AND(Results!$E$5="Protein",$C$53&gt;0,OR(Results!$E$4="Tissue",Results!$E$4="Cells")),((AY47*AY$51)/(AY$53)),IF(AND(Results!$E$5="Weight",$C$52&gt;0, Results!$E$4="Tissue",OR($B$52="g",$B$52="mg")),((AY47*AY$51)/(AY$52)),IF(AND(Results!$E$5="Volume",$C$54&gt;0,Results!$E$4="Fluid"),((AY47*AY$51)/(AY$54)),IF(AND(Results!$E$4="Cells",Results!$E$5="Million",$B$52="million"),((AY47*AY$51)/(AY$52)),"0")))))</f>
        <v>0</v>
      </c>
      <c r="AZ100" s="20" t="str">
        <f>IF(AZ47=0,"0",IF(AND(Results!$E$5="Protein",$C$53&gt;0,OR(Results!$E$4="Tissue",Results!$E$4="Cells")),((AZ47*AZ$51)/(AZ$53)),IF(AND(Results!$E$5="Weight",$C$52&gt;0, Results!$E$4="Tissue",OR($B$52="g",$B$52="mg")),((AZ47*AZ$51)/(AZ$52)),IF(AND(Results!$E$5="Volume",$C$54&gt;0,Results!$E$4="Fluid"),((AZ47*AZ$51)/(AZ$54)),IF(AND(Results!$E$4="Cells",Results!$E$5="Million",$B$52="million"),((AZ47*AZ$51)/(AZ$52)),"0")))))</f>
        <v>0</v>
      </c>
      <c r="BA100" s="20" t="str">
        <f>IF(BA47=0,"0",IF(AND(Results!$E$5="Protein",$C$53&gt;0,OR(Results!$E$4="Tissue",Results!$E$4="Cells")),((BA47*BA$51)/(BA$53)),IF(AND(Results!$E$5="Weight",$C$52&gt;0, Results!$E$4="Tissue",OR($B$52="g",$B$52="mg")),((BA47*BA$51)/(BA$52)),IF(AND(Results!$E$5="Volume",$C$54&gt;0,Results!$E$4="Fluid"),((BA47*BA$51)/(BA$54)),IF(AND(Results!$E$4="Cells",Results!$E$5="Million",$B$52="million"),((BA47*BA$51)/(BA$52)),"0")))))</f>
        <v>0</v>
      </c>
      <c r="BB100" s="20" t="str">
        <f>IF(BB47=0,"0",IF(AND(Results!$E$5="Protein",$C$53&gt;0,OR(Results!$E$4="Tissue",Results!$E$4="Cells")),((BB47*BB$51)/(BB$53)),IF(AND(Results!$E$5="Weight",$C$52&gt;0, Results!$E$4="Tissue",OR($B$52="g",$B$52="mg")),((BB47*BB$51)/(BB$52)),IF(AND(Results!$E$5="Volume",$C$54&gt;0,Results!$E$4="Fluid"),((BB47*BB$51)/(BB$54)),IF(AND(Results!$E$4="Cells",Results!$E$5="Million",$B$52="million"),((BB47*BB$51)/(BB$52)),"0")))))</f>
        <v>0</v>
      </c>
      <c r="BC100" s="20" t="str">
        <f>IF(BC47=0,"0",IF(AND(Results!$E$5="Protein",$C$53&gt;0,OR(Results!$E$4="Tissue",Results!$E$4="Cells")),((BC47*BC$51)/(BC$53)),IF(AND(Results!$E$5="Weight",$C$52&gt;0, Results!$E$4="Tissue",OR($B$52="g",$B$52="mg")),((BC47*BC$51)/(BC$52)),IF(AND(Results!$E$5="Volume",$C$54&gt;0,Results!$E$4="Fluid"),((BC47*BC$51)/(BC$54)),IF(AND(Results!$E$4="Cells",Results!$E$5="Million",$B$52="million"),((BC47*BC$51)/(BC$52)),"0")))))</f>
        <v>0</v>
      </c>
      <c r="BD100" s="20" t="str">
        <f>IF(BD47=0,"0",IF(AND(Results!$E$5="Protein",$C$53&gt;0,OR(Results!$E$4="Tissue",Results!$E$4="Cells")),((BD47*BD$51)/(BD$53)),IF(AND(Results!$E$5="Weight",$C$52&gt;0, Results!$E$4="Tissue",OR($B$52="g",$B$52="mg")),((BD47*BD$51)/(BD$52)),IF(AND(Results!$E$5="Volume",$C$54&gt;0,Results!$E$4="Fluid"),((BD47*BD$51)/(BD$54)),IF(AND(Results!$E$4="Cells",Results!$E$5="Million",$B$52="million"),((BD47*BD$51)/(BD$52)),"0")))))</f>
        <v>0</v>
      </c>
      <c r="BE100" s="20" t="str">
        <f>IF(BE47=0,"0",IF(AND(Results!$E$5="Protein",$C$53&gt;0,OR(Results!$E$4="Tissue",Results!$E$4="Cells")),((BE47*BE$51)/(BE$53)),IF(AND(Results!$E$5="Weight",$C$52&gt;0, Results!$E$4="Tissue",OR($B$52="g",$B$52="mg")),((BE47*BE$51)/(BE$52)),IF(AND(Results!$E$5="Volume",$C$54&gt;0,Results!$E$4="Fluid"),((BE47*BE$51)/(BE$54)),IF(AND(Results!$E$4="Cells",Results!$E$5="Million",$B$52="million"),((BE47*BE$51)/(BE$52)),"0")))))</f>
        <v>0</v>
      </c>
      <c r="BF100" s="20" t="str">
        <f>IF(BF47=0,"0",IF(AND(Results!$E$5="Protein",$C$53&gt;0,OR(Results!$E$4="Tissue",Results!$E$4="Cells")),((BF47*BF$51)/(BF$53)),IF(AND(Results!$E$5="Weight",$C$52&gt;0, Results!$E$4="Tissue",OR($B$52="g",$B$52="mg")),((BF47*BF$51)/(BF$52)),IF(AND(Results!$E$5="Volume",$C$54&gt;0,Results!$E$4="Fluid"),((BF47*BF$51)/(BF$54)),IF(AND(Results!$E$4="Cells",Results!$E$5="Million",$B$52="million"),((BF47*BF$51)/(BF$52)),"0")))))</f>
        <v>0</v>
      </c>
      <c r="BG100" s="20" t="str">
        <f>IF(BG47=0,"0",IF(AND(Results!$E$5="Protein",$C$53&gt;0,OR(Results!$E$4="Tissue",Results!$E$4="Cells")),((BG47*BG$51)/(BG$53)),IF(AND(Results!$E$5="Weight",$C$52&gt;0, Results!$E$4="Tissue",OR($B$52="g",$B$52="mg")),((BG47*BG$51)/(BG$52)),IF(AND(Results!$E$5="Volume",$C$54&gt;0,Results!$E$4="Fluid"),((BG47*BG$51)/(BG$54)),IF(AND(Results!$E$4="Cells",Results!$E$5="Million",$B$52="million"),((BG47*BG$51)/(BG$52)),"0")))))</f>
        <v>0</v>
      </c>
      <c r="BH100" s="20" t="str">
        <f>IF(BH47=0,"0",IF(AND(Results!$E$5="Protein",$C$53&gt;0,OR(Results!$E$4="Tissue",Results!$E$4="Cells")),((BH47*BH$51)/(BH$53)),IF(AND(Results!$E$5="Weight",$C$52&gt;0, Results!$E$4="Tissue",OR($B$52="g",$B$52="mg")),((BH47*BH$51)/(BH$52)),IF(AND(Results!$E$5="Volume",$C$54&gt;0,Results!$E$4="Fluid"),((BH47*BH$51)/(BH$54)),IF(AND(Results!$E$4="Cells",Results!$E$5="Million",$B$52="million"),((BH47*BH$51)/(BH$52)),"0")))))</f>
        <v>0</v>
      </c>
      <c r="BI100" s="20" t="str">
        <f>IF(BI47=0,"0",IF(AND(Results!$E$5="Protein",$C$53&gt;0,OR(Results!$E$4="Tissue",Results!$E$4="Cells")),((BI47*BI$51)/(BI$53)),IF(AND(Results!$E$5="Weight",$C$52&gt;0, Results!$E$4="Tissue",OR($B$52="g",$B$52="mg")),((BI47*BI$51)/(BI$52)),IF(AND(Results!$E$5="Volume",$C$54&gt;0,Results!$E$4="Fluid"),((BI47*BI$51)/(BI$54)),IF(AND(Results!$E$4="Cells",Results!$E$5="Million",$B$52="million"),((BI47*BI$51)/(BI$52)),"0")))))</f>
        <v>0</v>
      </c>
      <c r="BJ100" s="20" t="str">
        <f>IF(BJ47=0,"0",IF(AND(Results!$E$5="Protein",$C$53&gt;0,OR(Results!$E$4="Tissue",Results!$E$4="Cells")),((BJ47*BJ$51)/(BJ$53)),IF(AND(Results!$E$5="Weight",$C$52&gt;0, Results!$E$4="Tissue",OR($B$52="g",$B$52="mg")),((BJ47*BJ$51)/(BJ$52)),IF(AND(Results!$E$5="Volume",$C$54&gt;0,Results!$E$4="Fluid"),((BJ47*BJ$51)/(BJ$54)),IF(AND(Results!$E$4="Cells",Results!$E$5="Million",$B$52="million"),((BJ47*BJ$51)/(BJ$52)),"0")))))</f>
        <v>0</v>
      </c>
      <c r="BK100" s="20" t="str">
        <f>IF(BK47=0,"0",IF(AND(Results!$E$5="Protein",$C$53&gt;0,OR(Results!$E$4="Tissue",Results!$E$4="Cells")),((BK47*BK$51)/(BK$53)),IF(AND(Results!$E$5="Weight",$C$52&gt;0, Results!$E$4="Tissue",OR($B$52="g",$B$52="mg")),((BK47*BK$51)/(BK$52)),IF(AND(Results!$E$5="Volume",$C$54&gt;0,Results!$E$4="Fluid"),((BK47*BK$51)/(BK$54)),IF(AND(Results!$E$4="Cells",Results!$E$5="Million",$B$52="million"),((BK47*BK$51)/(BK$52)),"0")))))</f>
        <v>0</v>
      </c>
      <c r="BL100" s="20" t="str">
        <f>IF(BL47=0,"0",IF(AND(Results!$E$5="Protein",$C$53&gt;0,OR(Results!$E$4="Tissue",Results!$E$4="Cells")),((BL47*BL$51)/(BL$53)),IF(AND(Results!$E$5="Weight",$C$52&gt;0, Results!$E$4="Tissue",OR($B$52="g",$B$52="mg")),((BL47*BL$51)/(BL$52)),IF(AND(Results!$E$5="Volume",$C$54&gt;0,Results!$E$4="Fluid"),((BL47*BL$51)/(BL$54)),IF(AND(Results!$E$4="Cells",Results!$E$5="Million",$B$52="million"),((BL47*BL$51)/(BL$52)),"0")))))</f>
        <v>0</v>
      </c>
      <c r="BM100" s="20" t="str">
        <f>IF(BM47=0,"0",IF(AND(Results!$E$5="Protein",$C$53&gt;0,OR(Results!$E$4="Tissue",Results!$E$4="Cells")),((BM47*BM$51)/(BM$53)),IF(AND(Results!$E$5="Weight",$C$52&gt;0, Results!$E$4="Tissue",OR($B$52="g",$B$52="mg")),((BM47*BM$51)/(BM$52)),IF(AND(Results!$E$5="Volume",$C$54&gt;0,Results!$E$4="Fluid"),((BM47*BM$51)/(BM$54)),IF(AND(Results!$E$4="Cells",Results!$E$5="Million",$B$52="million"),((BM47*BM$51)/(BM$52)),"0")))))</f>
        <v>0</v>
      </c>
      <c r="BN100" s="20" t="str">
        <f>IF(BN47=0,"0",IF(AND(Results!$E$5="Protein",$C$53&gt;0,OR(Results!$E$4="Tissue",Results!$E$4="Cells")),((BN47*BN$51)/(BN$53)),IF(AND(Results!$E$5="Weight",$C$52&gt;0, Results!$E$4="Tissue",OR($B$52="g",$B$52="mg")),((BN47*BN$51)/(BN$52)),IF(AND(Results!$E$5="Volume",$C$54&gt;0,Results!$E$4="Fluid"),((BN47*BN$51)/(BN$54)),IF(AND(Results!$E$4="Cells",Results!$E$5="Million",$B$52="million"),((BN47*BN$51)/(BN$52)),"0")))))</f>
        <v>0</v>
      </c>
      <c r="BO100" s="20" t="str">
        <f>IF(BO47=0,"0",IF(AND(Results!$E$5="Protein",$C$53&gt;0,OR(Results!$E$4="Tissue",Results!$E$4="Cells")),((BO47*BO$51)/(BO$53)),IF(AND(Results!$E$5="Weight",$C$52&gt;0, Results!$E$4="Tissue",OR($B$52="g",$B$52="mg")),((BO47*BO$51)/(BO$52)),IF(AND(Results!$E$5="Volume",$C$54&gt;0,Results!$E$4="Fluid"),((BO47*BO$51)/(BO$54)),IF(AND(Results!$E$4="Cells",Results!$E$5="Million",$B$52="million"),((BO47*BO$51)/(BO$52)),"0")))))</f>
        <v>0</v>
      </c>
      <c r="BP100" s="20" t="str">
        <f>IF(BP47=0,"0",IF(AND(Results!$E$5="Protein",$C$53&gt;0,OR(Results!$E$4="Tissue",Results!$E$4="Cells")),((BP47*BP$51)/(BP$53)),IF(AND(Results!$E$5="Weight",$C$52&gt;0, Results!$E$4="Tissue",OR($B$52="g",$B$52="mg")),((BP47*BP$51)/(BP$52)),IF(AND(Results!$E$5="Volume",$C$54&gt;0,Results!$E$4="Fluid"),((BP47*BP$51)/(BP$54)),IF(AND(Results!$E$4="Cells",Results!$E$5="Million",$B$52="million"),((BP47*BP$51)/(BP$52)),"0")))))</f>
        <v>0</v>
      </c>
      <c r="BQ100" s="20" t="str">
        <f>IF(BQ47=0,"0",IF(AND(Results!$E$5="Protein",$C$53&gt;0,OR(Results!$E$4="Tissue",Results!$E$4="Cells")),((BQ47*BQ$51)/(BQ$53)),IF(AND(Results!$E$5="Weight",$C$52&gt;0, Results!$E$4="Tissue",OR($B$52="g",$B$52="mg")),((BQ47*BQ$51)/(BQ$52)),IF(AND(Results!$E$5="Volume",$C$54&gt;0,Results!$E$4="Fluid"),((BQ47*BQ$51)/(BQ$54)),IF(AND(Results!$E$4="Cells",Results!$E$5="Million",$B$52="million"),((BQ47*BQ$51)/(BQ$52)),"0")))))</f>
        <v>0</v>
      </c>
      <c r="BR100" s="20" t="str">
        <f>IF(BR47=0,"0",IF(AND(Results!$E$5="Protein",$C$53&gt;0,OR(Results!$E$4="Tissue",Results!$E$4="Cells")),((BR47*BR$51)/(BR$53)),IF(AND(Results!$E$5="Weight",$C$52&gt;0, Results!$E$4="Tissue",OR($B$52="g",$B$52="mg")),((BR47*BR$51)/(BR$52)),IF(AND(Results!$E$5="Volume",$C$54&gt;0,Results!$E$4="Fluid"),((BR47*BR$51)/(BR$54)),IF(AND(Results!$E$4="Cells",Results!$E$5="Million",$B$52="million"),((BR47*BR$51)/(BR$52)),"0")))))</f>
        <v>0</v>
      </c>
      <c r="BS100" s="20" t="str">
        <f>IF(BS47=0,"0",IF(AND(Results!$E$5="Protein",$C$53&gt;0,OR(Results!$E$4="Tissue",Results!$E$4="Cells")),((BS47*BS$51)/(BS$53)),IF(AND(Results!$E$5="Weight",$C$52&gt;0, Results!$E$4="Tissue",OR($B$52="g",$B$52="mg")),((BS47*BS$51)/(BS$52)),IF(AND(Results!$E$5="Volume",$C$54&gt;0,Results!$E$4="Fluid"),((BS47*BS$51)/(BS$54)),IF(AND(Results!$E$4="Cells",Results!$E$5="Million",$B$52="million"),((BS47*BS$51)/(BS$52)),"0")))))</f>
        <v>0</v>
      </c>
      <c r="BT100" s="20" t="str">
        <f>IF(BT47=0,"0",IF(AND(Results!$E$5="Protein",$C$53&gt;0,OR(Results!$E$4="Tissue",Results!$E$4="Cells")),((BT47*BT$51)/(BT$53)),IF(AND(Results!$E$5="Weight",$C$52&gt;0, Results!$E$4="Tissue",OR($B$52="g",$B$52="mg")),((BT47*BT$51)/(BT$52)),IF(AND(Results!$E$5="Volume",$C$54&gt;0,Results!$E$4="Fluid"),((BT47*BT$51)/(BT$54)),IF(AND(Results!$E$4="Cells",Results!$E$5="Million",$B$52="million"),((BT47*BT$51)/(BT$52)),"0")))))</f>
        <v>0</v>
      </c>
      <c r="BU100" s="20" t="str">
        <f>IF(BU47=0,"0",IF(AND(Results!$E$5="Protein",$C$53&gt;0,OR(Results!$E$4="Tissue",Results!$E$4="Cells")),((BU47*BU$51)/(BU$53)),IF(AND(Results!$E$5="Weight",$C$52&gt;0, Results!$E$4="Tissue",OR($B$52="g",$B$52="mg")),((BU47*BU$51)/(BU$52)),IF(AND(Results!$E$5="Volume",$C$54&gt;0,Results!$E$4="Fluid"),((BU47*BU$51)/(BU$54)),IF(AND(Results!$E$4="Cells",Results!$E$5="Million",$B$52="million"),((BU47*BU$51)/(BU$52)),"0")))))</f>
        <v>0</v>
      </c>
      <c r="BV100" s="20" t="str">
        <f>IF(BV47=0,"0",IF(AND(Results!$E$5="Protein",$C$53&gt;0,OR(Results!$E$4="Tissue",Results!$E$4="Cells")),((BV47*BV$51)/(BV$53)),IF(AND(Results!$E$5="Weight",$C$52&gt;0, Results!$E$4="Tissue",OR($B$52="g",$B$52="mg")),((BV47*BV$51)/(BV$52)),IF(AND(Results!$E$5="Volume",$C$54&gt;0,Results!$E$4="Fluid"),((BV47*BV$51)/(BV$54)),IF(AND(Results!$E$4="Cells",Results!$E$5="Million",$B$52="million"),((BV47*BV$51)/(BV$52)),"0")))))</f>
        <v>0</v>
      </c>
      <c r="BW100" s="20" t="str">
        <f>IF(BW47=0,"0",IF(AND(Results!$E$5="Protein",$C$53&gt;0,OR(Results!$E$4="Tissue",Results!$E$4="Cells")),((BW47*BW$51)/(BW$53)),IF(AND(Results!$E$5="Weight",$C$52&gt;0, Results!$E$4="Tissue",OR($B$52="g",$B$52="mg")),((BW47*BW$51)/(BW$52)),IF(AND(Results!$E$5="Volume",$C$54&gt;0,Results!$E$4="Fluid"),((BW47*BW$51)/(BW$54)),IF(AND(Results!$E$4="Cells",Results!$E$5="Million",$B$52="million"),((BW47*BW$51)/(BW$52)),"0")))))</f>
        <v>0</v>
      </c>
      <c r="BX100" s="20" t="str">
        <f>IF(BX47=0,"0",IF(AND(Results!$E$5="Protein",$C$53&gt;0,OR(Results!$E$4="Tissue",Results!$E$4="Cells")),((BX47*BX$51)/(BX$53)),IF(AND(Results!$E$5="Weight",$C$52&gt;0, Results!$E$4="Tissue",OR($B$52="g",$B$52="mg")),((BX47*BX$51)/(BX$52)),IF(AND(Results!$E$5="Volume",$C$54&gt;0,Results!$E$4="Fluid"),((BX47*BX$51)/(BX$54)),IF(AND(Results!$E$4="Cells",Results!$E$5="Million",$B$52="million"),((BX47*BX$51)/(BX$52)),"0")))))</f>
        <v>0</v>
      </c>
      <c r="BY100" s="20" t="str">
        <f>IF(BY47=0,"0",IF(AND(Results!$E$5="Protein",$C$53&gt;0,OR(Results!$E$4="Tissue",Results!$E$4="Cells")),((BY47*BY$51)/(BY$53)),IF(AND(Results!$E$5="Weight",$C$52&gt;0, Results!$E$4="Tissue",OR($B$52="g",$B$52="mg")),((BY47*BY$51)/(BY$52)),IF(AND(Results!$E$5="Volume",$C$54&gt;0,Results!$E$4="Fluid"),((BY47*BY$51)/(BY$54)),IF(AND(Results!$E$4="Cells",Results!$E$5="Million",$B$52="million"),((BY47*BY$51)/(BY$52)),"0")))))</f>
        <v>0</v>
      </c>
      <c r="BZ100" s="20" t="str">
        <f>IF(BZ47=0,"0",IF(AND(Results!$E$5="Protein",$C$53&gt;0,OR(Results!$E$4="Tissue",Results!$E$4="Cells")),((BZ47*BZ$51)/(BZ$53)),IF(AND(Results!$E$5="Weight",$C$52&gt;0, Results!$E$4="Tissue",OR($B$52="g",$B$52="mg")),((BZ47*BZ$51)/(BZ$52)),IF(AND(Results!$E$5="Volume",$C$54&gt;0,Results!$E$4="Fluid"),((BZ47*BZ$51)/(BZ$54)),IF(AND(Results!$E$4="Cells",Results!$E$5="Million",$B$52="million"),((BZ47*BZ$51)/(BZ$52)),"0")))))</f>
        <v>0</v>
      </c>
      <c r="CA100" s="20" t="str">
        <f>IF(CA47=0,"0",IF(AND(Results!$E$5="Protein",$C$53&gt;0,OR(Results!$E$4="Tissue",Results!$E$4="Cells")),((CA47*CA$51)/(CA$53)),IF(AND(Results!$E$5="Weight",$C$52&gt;0, Results!$E$4="Tissue",OR($B$52="g",$B$52="mg")),((CA47*CA$51)/(CA$52)),IF(AND(Results!$E$5="Volume",$C$54&gt;0,Results!$E$4="Fluid"),((CA47*CA$51)/(CA$54)),IF(AND(Results!$E$4="Cells",Results!$E$5="Million",$B$52="million"),((CA47*CA$51)/(CA$52)),"0")))))</f>
        <v>0</v>
      </c>
      <c r="CB100" s="20" t="str">
        <f>IF(CB47=0,"0",IF(AND(Results!$E$5="Protein",$C$53&gt;0,OR(Results!$E$4="Tissue",Results!$E$4="Cells")),((CB47*CB$51)/(CB$53)),IF(AND(Results!$E$5="Weight",$C$52&gt;0, Results!$E$4="Tissue",OR($B$52="g",$B$52="mg")),((CB47*CB$51)/(CB$52)),IF(AND(Results!$E$5="Volume",$C$54&gt;0,Results!$E$4="Fluid"),((CB47*CB$51)/(CB$54)),IF(AND(Results!$E$4="Cells",Results!$E$5="Million",$B$52="million"),((CB47*CB$51)/(CB$52)),"0")))))</f>
        <v>0</v>
      </c>
      <c r="CC100" s="20" t="str">
        <f>IF(CC47=0,"0",IF(AND(Results!$E$5="Protein",$C$53&gt;0,OR(Results!$E$4="Tissue",Results!$E$4="Cells")),((CC47*CC$51)/(CC$53)),IF(AND(Results!$E$5="Weight",$C$52&gt;0, Results!$E$4="Tissue",OR($B$52="g",$B$52="mg")),((CC47*CC$51)/(CC$52)),IF(AND(Results!$E$5="Volume",$C$54&gt;0,Results!$E$4="Fluid"),((CC47*CC$51)/(CC$54)),IF(AND(Results!$E$4="Cells",Results!$E$5="Million",$B$52="million"),((CC47*CC$51)/(CC$52)),"0")))))</f>
        <v>0</v>
      </c>
      <c r="CD100" s="20" t="str">
        <f>IF(CD47=0,"0",IF(AND(Results!$E$5="Protein",$C$53&gt;0,OR(Results!$E$4="Tissue",Results!$E$4="Cells")),((CD47*CD$51)/(CD$53)),IF(AND(Results!$E$5="Weight",$C$52&gt;0, Results!$E$4="Tissue",OR($B$52="g",$B$52="mg")),((CD47*CD$51)/(CD$52)),IF(AND(Results!$E$5="Volume",$C$54&gt;0,Results!$E$4="Fluid"),((CD47*CD$51)/(CD$54)),IF(AND(Results!$E$4="Cells",Results!$E$5="Million",$B$52="million"),((CD47*CD$51)/(CD$52)),"0")))))</f>
        <v>0</v>
      </c>
      <c r="CE100" s="20" t="str">
        <f>IF(CE47=0,"0",IF(AND(Results!$E$5="Protein",$C$53&gt;0,OR(Results!$E$4="Tissue",Results!$E$4="Cells")),((CE47*CE$51)/(CE$53)),IF(AND(Results!$E$5="Weight",$C$52&gt;0, Results!$E$4="Tissue",OR($B$52="g",$B$52="mg")),((CE47*CE$51)/(CE$52)),IF(AND(Results!$E$5="Volume",$C$54&gt;0,Results!$E$4="Fluid"),((CE47*CE$51)/(CE$54)),IF(AND(Results!$E$4="Cells",Results!$E$5="Million",$B$52="million"),((CE47*CE$51)/(CE$52)),"0")))))</f>
        <v>0</v>
      </c>
      <c r="CF100" s="20" t="str">
        <f>IF(CF47=0,"0",IF(AND(Results!$E$5="Protein",$C$53&gt;0,OR(Results!$E$4="Tissue",Results!$E$4="Cells")),((CF47*CF$51)/(CF$53)),IF(AND(Results!$E$5="Weight",$C$52&gt;0, Results!$E$4="Tissue",OR($B$52="g",$B$52="mg")),((CF47*CF$51)/(CF$52)),IF(AND(Results!$E$5="Volume",$C$54&gt;0,Results!$E$4="Fluid"),((CF47*CF$51)/(CF$54)),IF(AND(Results!$E$4="Cells",Results!$E$5="Million",$B$52="million"),((CF47*CF$51)/(CF$52)),"0")))))</f>
        <v>0</v>
      </c>
      <c r="CG100" s="20" t="str">
        <f>IF(CG47=0,"0",IF(AND(Results!$E$5="Protein",$C$53&gt;0,OR(Results!$E$4="Tissue",Results!$E$4="Cells")),((CG47*CG$51)/(CG$53)),IF(AND(Results!$E$5="Weight",$C$52&gt;0, Results!$E$4="Tissue",OR($B$52="g",$B$52="mg")),((CG47*CG$51)/(CG$52)),IF(AND(Results!$E$5="Volume",$C$54&gt;0,Results!$E$4="Fluid"),((CG47*CG$51)/(CG$54)),IF(AND(Results!$E$4="Cells",Results!$E$5="Million",$B$52="million"),((CG47*CG$51)/(CG$52)),"0")))))</f>
        <v>0</v>
      </c>
      <c r="CH100" s="20" t="str">
        <f>IF(CH47=0,"0",IF(AND(Results!$E$5="Protein",$C$53&gt;0,OR(Results!$E$4="Tissue",Results!$E$4="Cells")),((CH47*CH$51)/(CH$53)),IF(AND(Results!$E$5="Weight",$C$52&gt;0, Results!$E$4="Tissue",OR($B$52="g",$B$52="mg")),((CH47*CH$51)/(CH$52)),IF(AND(Results!$E$5="Volume",$C$54&gt;0,Results!$E$4="Fluid"),((CH47*CH$51)/(CH$54)),IF(AND(Results!$E$4="Cells",Results!$E$5="Million",$B$52="million"),((CH47*CH$51)/(CH$52)),"0")))))</f>
        <v>0</v>
      </c>
      <c r="CI100" s="20" t="str">
        <f>IF(CI47=0,"0",IF(AND(Results!$E$5="Protein",$C$53&gt;0,OR(Results!$E$4="Tissue",Results!$E$4="Cells")),((CI47*CI$51)/(CI$53)),IF(AND(Results!$E$5="Weight",$C$52&gt;0, Results!$E$4="Tissue",OR($B$52="g",$B$52="mg")),((CI47*CI$51)/(CI$52)),IF(AND(Results!$E$5="Volume",$C$54&gt;0,Results!$E$4="Fluid"),((CI47*CI$51)/(CI$54)),IF(AND(Results!$E$4="Cells",Results!$E$5="Million",$B$52="million"),((CI47*CI$51)/(CI$52)),"0")))))</f>
        <v>0</v>
      </c>
      <c r="CJ100" s="20" t="str">
        <f>IF(CJ47=0,"0",IF(AND(Results!$E$5="Protein",$C$53&gt;0,OR(Results!$E$4="Tissue",Results!$E$4="Cells")),((CJ47*CJ$51)/(CJ$53)),IF(AND(Results!$E$5="Weight",$C$52&gt;0, Results!$E$4="Tissue",OR($B$52="g",$B$52="mg")),((CJ47*CJ$51)/(CJ$52)),IF(AND(Results!$E$5="Volume",$C$54&gt;0,Results!$E$4="Fluid"),((CJ47*CJ$51)/(CJ$54)),IF(AND(Results!$E$4="Cells",Results!$E$5="Million",$B$52="million"),((CJ47*CJ$51)/(CJ$52)),"0")))))</f>
        <v>0</v>
      </c>
      <c r="CK100" s="20" t="str">
        <f>IF(CK47=0,"0",IF(AND(Results!$E$5="Protein",$C$53&gt;0,OR(Results!$E$4="Tissue",Results!$E$4="Cells")),((CK47*CK$51)/(CK$53)),IF(AND(Results!$E$5="Weight",$C$52&gt;0, Results!$E$4="Tissue",OR($B$52="g",$B$52="mg")),((CK47*CK$51)/(CK$52)),IF(AND(Results!$E$5="Volume",$C$54&gt;0,Results!$E$4="Fluid"),((CK47*CK$51)/(CK$54)),IF(AND(Results!$E$4="Cells",Results!$E$5="Million",$B$52="million"),((CK47*CK$51)/(CK$52)),"0")))))</f>
        <v>0</v>
      </c>
      <c r="CL100" s="20" t="str">
        <f>IF(CL47=0,"0",IF(AND(Results!$E$5="Protein",$C$53&gt;0,OR(Results!$E$4="Tissue",Results!$E$4="Cells")),((CL47*CL$51)/(CL$53)),IF(AND(Results!$E$5="Weight",$C$52&gt;0, Results!$E$4="Tissue",OR($B$52="g",$B$52="mg")),((CL47*CL$51)/(CL$52)),IF(AND(Results!$E$5="Volume",$C$54&gt;0,Results!$E$4="Fluid"),((CL47*CL$51)/(CL$54)),IF(AND(Results!$E$4="Cells",Results!$E$5="Million",$B$52="million"),((CL47*CL$51)/(CL$52)),"0")))))</f>
        <v>0</v>
      </c>
      <c r="CM100" s="20" t="str">
        <f>IF(CM47=0,"0",IF(AND(Results!$E$5="Protein",$C$53&gt;0,OR(Results!$E$4="Tissue",Results!$E$4="Cells")),((CM47*CM$51)/(CM$53)),IF(AND(Results!$E$5="Weight",$C$52&gt;0, Results!$E$4="Tissue",OR($B$52="g",$B$52="mg")),((CM47*CM$51)/(CM$52)),IF(AND(Results!$E$5="Volume",$C$54&gt;0,Results!$E$4="Fluid"),((CM47*CM$51)/(CM$54)),IF(AND(Results!$E$4="Cells",Results!$E$5="Million",$B$52="million"),((CM47*CM$51)/(CM$52)),"0")))))</f>
        <v>0</v>
      </c>
      <c r="CN100" s="20" t="str">
        <f>IF(CN47=0,"0",IF(AND(Results!$E$5="Protein",$C$53&gt;0,OR(Results!$E$4="Tissue",Results!$E$4="Cells")),((CN47*CN$51)/(CN$53)),IF(AND(Results!$E$5="Weight",$C$52&gt;0, Results!$E$4="Tissue",OR($B$52="g",$B$52="mg")),((CN47*CN$51)/(CN$52)),IF(AND(Results!$E$5="Volume",$C$54&gt;0,Results!$E$4="Fluid"),((CN47*CN$51)/(CN$54)),IF(AND(Results!$E$4="Cells",Results!$E$5="Million",$B$52="million"),((CN47*CN$51)/(CN$52)),"0")))))</f>
        <v>0</v>
      </c>
      <c r="CO100" s="20" t="str">
        <f>IF(CO47=0,"0",IF(AND(Results!$E$5="Protein",$C$53&gt;0,OR(Results!$E$4="Tissue",Results!$E$4="Cells")),((CO47*CO$51)/(CO$53)),IF(AND(Results!$E$5="Weight",$C$52&gt;0, Results!$E$4="Tissue",OR($B$52="g",$B$52="mg")),((CO47*CO$51)/(CO$52)),IF(AND(Results!$E$5="Volume",$C$54&gt;0,Results!$E$4="Fluid"),((CO47*CO$51)/(CO$54)),IF(AND(Results!$E$4="Cells",Results!$E$5="Million",$B$52="million"),((CO47*CO$51)/(CO$52)),"0")))))</f>
        <v>0</v>
      </c>
      <c r="CP100" s="20" t="str">
        <f>IF(CP47=0,"0",IF(AND(Results!$E$5="Protein",$C$53&gt;0,OR(Results!$E$4="Tissue",Results!$E$4="Cells")),((CP47*CP$51)/(CP$53)),IF(AND(Results!$E$5="Weight",$C$52&gt;0, Results!$E$4="Tissue",OR($B$52="g",$B$52="mg")),((CP47*CP$51)/(CP$52)),IF(AND(Results!$E$5="Volume",$C$54&gt;0,Results!$E$4="Fluid"),((CP47*CP$51)/(CP$54)),IF(AND(Results!$E$4="Cells",Results!$E$5="Million",$B$52="million"),((CP47*CP$51)/(CP$52)),"0")))))</f>
        <v>0</v>
      </c>
      <c r="CQ100" s="20" t="str">
        <f>IF(CQ47=0,"0",IF(AND(Results!$E$5="Protein",$C$53&gt;0,OR(Results!$E$4="Tissue",Results!$E$4="Cells")),((CQ47*CQ$51)/(CQ$53)),IF(AND(Results!$E$5="Weight",$C$52&gt;0, Results!$E$4="Tissue",OR($B$52="g",$B$52="mg")),((CQ47*CQ$51)/(CQ$52)),IF(AND(Results!$E$5="Volume",$C$54&gt;0,Results!$E$4="Fluid"),((CQ47*CQ$51)/(CQ$54)),IF(AND(Results!$E$4="Cells",Results!$E$5="Million",$B$52="million"),((CQ47*CQ$51)/(CQ$52)),"0")))))</f>
        <v>0</v>
      </c>
      <c r="CR100" s="20" t="str">
        <f>IF(CR47=0,"0",IF(AND(Results!$E$5="Protein",$C$53&gt;0,OR(Results!$E$4="Tissue",Results!$E$4="Cells")),((CR47*CR$51)/(CR$53)),IF(AND(Results!$E$5="Weight",$C$52&gt;0, Results!$E$4="Tissue",OR($B$52="g",$B$52="mg")),((CR47*CR$51)/(CR$52)),IF(AND(Results!$E$5="Volume",$C$54&gt;0,Results!$E$4="Fluid"),((CR47*CR$51)/(CR$54)),IF(AND(Results!$E$4="Cells",Results!$E$5="Million",$B$52="million"),((CR47*CR$51)/(CR$52)),"0")))))</f>
        <v>0</v>
      </c>
      <c r="CS100" s="20" t="str">
        <f>IF(CS47=0,"0",IF(AND(Results!$E$5="Protein",$C$53&gt;0,OR(Results!$E$4="Tissue",Results!$E$4="Cells")),((CS47*CS$51)/(CS$53)),IF(AND(Results!$E$5="Weight",$C$52&gt;0, Results!$E$4="Tissue",OR($B$52="g",$B$52="mg")),((CS47*CS$51)/(CS$52)),IF(AND(Results!$E$5="Volume",$C$54&gt;0,Results!$E$4="Fluid"),((CS47*CS$51)/(CS$54)),IF(AND(Results!$E$4="Cells",Results!$E$5="Million",$B$52="million"),((CS47*CS$51)/(CS$52)),"0")))))</f>
        <v>0</v>
      </c>
      <c r="CT100" s="20" t="str">
        <f>IF(CT47=0,"0",IF(AND(Results!$E$5="Protein",$C$53&gt;0,OR(Results!$E$4="Tissue",Results!$E$4="Cells")),((CT47*CT$51)/(CT$53)),IF(AND(Results!$E$5="Weight",$C$52&gt;0, Results!$E$4="Tissue",OR($B$52="g",$B$52="mg")),((CT47*CT$51)/(CT$52)),IF(AND(Results!$E$5="Volume",$C$54&gt;0,Results!$E$4="Fluid"),((CT47*CT$51)/(CT$54)),IF(AND(Results!$E$4="Cells",Results!$E$5="Million",$B$52="million"),((CT47*CT$51)/(CT$52)),"0")))))</f>
        <v>0</v>
      </c>
      <c r="CU100" s="20" t="str">
        <f>IF(CU47=0,"0",IF(AND(Results!$E$5="Protein",$C$53&gt;0,OR(Results!$E$4="Tissue",Results!$E$4="Cells")),((CU47*CU$51)/(CU$53)),IF(AND(Results!$E$5="Weight",$C$52&gt;0, Results!$E$4="Tissue",OR($B$52="g",$B$52="mg")),((CU47*CU$51)/(CU$52)),IF(AND(Results!$E$5="Volume",$C$54&gt;0,Results!$E$4="Fluid"),((CU47*CU$51)/(CU$54)),IF(AND(Results!$E$4="Cells",Results!$E$5="Million",$B$52="million"),((CU47*CU$51)/(CU$52)),"0")))))</f>
        <v>0</v>
      </c>
      <c r="CV100" s="20" t="str">
        <f>IF(CV47=0,"0",IF(AND(Results!$E$5="Protein",$C$53&gt;0,OR(Results!$E$4="Tissue",Results!$E$4="Cells")),((CV47*CV$51)/(CV$53)),IF(AND(Results!$E$5="Weight",$C$52&gt;0, Results!$E$4="Tissue",OR($B$52="g",$B$52="mg")),((CV47*CV$51)/(CV$52)),IF(AND(Results!$E$5="Volume",$C$54&gt;0,Results!$E$4="Fluid"),((CV47*CV$51)/(CV$54)),IF(AND(Results!$E$4="Cells",Results!$E$5="Million",$B$52="million"),((CV47*CV$51)/(CV$52)),"0")))))</f>
        <v>0</v>
      </c>
      <c r="CW100" s="20" t="str">
        <f>IF(CW47=0,"0",IF(AND(Results!$E$5="Protein",$C$53&gt;0,OR(Results!$E$4="Tissue",Results!$E$4="Cells")),((CW47*CW$51)/(CW$53)),IF(AND(Results!$E$5="Weight",$C$52&gt;0, Results!$E$4="Tissue",OR($B$52="g",$B$52="mg")),((CW47*CW$51)/(CW$52)),IF(AND(Results!$E$5="Volume",$C$54&gt;0,Results!$E$4="Fluid"),((CW47*CW$51)/(CW$54)),IF(AND(Results!$E$4="Cells",Results!$E$5="Million",$B$52="million"),((CW47*CW$51)/(CW$52)),"0")))))</f>
        <v>0</v>
      </c>
      <c r="CX100" s="20" t="str">
        <f>IF(CX47=0,"0",IF(AND(Results!$E$5="Protein",$C$53&gt;0,OR(Results!$E$4="Tissue",Results!$E$4="Cells")),((CX47*CX$51)/(CX$53)),IF(AND(Results!$E$5="Weight",$C$52&gt;0, Results!$E$4="Tissue",OR($B$52="g",$B$52="mg")),((CX47*CX$51)/(CX$52)),IF(AND(Results!$E$5="Volume",$C$54&gt;0,Results!$E$4="Fluid"),((CX47*CX$51)/(CX$54)),IF(AND(Results!$E$4="Cells",Results!$E$5="Million",$B$52="million"),((CX47*CX$51)/(CX$52)),"0")))))</f>
        <v>0</v>
      </c>
      <c r="CY100" s="20" t="str">
        <f>IF(CY47=0,"0",IF(AND(Results!$E$5="Protein",$C$53&gt;0,OR(Results!$E$4="Tissue",Results!$E$4="Cells")),((CY47*CY$51)/(CY$53)),IF(AND(Results!$E$5="Weight",$C$52&gt;0, Results!$E$4="Tissue",OR($B$52="g",$B$52="mg")),((CY47*CY$51)/(CY$52)),IF(AND(Results!$E$5="Volume",$C$54&gt;0,Results!$E$4="Fluid"),((CY47*CY$51)/(CY$54)),IF(AND(Results!$E$4="Cells",Results!$E$5="Million",$B$52="million"),((CY47*CY$51)/(CY$52)),"0")))))</f>
        <v>0</v>
      </c>
      <c r="CZ100" s="20" t="str">
        <f>IF(CZ47=0,"0",IF(AND(Results!$E$5="Protein",$C$53&gt;0,OR(Results!$E$4="Tissue",Results!$E$4="Cells")),((CZ47*CZ$51)/(CZ$53)),IF(AND(Results!$E$5="Weight",$C$52&gt;0, Results!$E$4="Tissue",OR($B$52="g",$B$52="mg")),((CZ47*CZ$51)/(CZ$52)),IF(AND(Results!$E$5="Volume",$C$54&gt;0,Results!$E$4="Fluid"),((CZ47*CZ$51)/(CZ$54)),IF(AND(Results!$E$4="Cells",Results!$E$5="Million",$B$52="million"),((CZ47*CZ$51)/(CZ$52)),"0")))))</f>
        <v>0</v>
      </c>
      <c r="DA100" s="20" t="str">
        <f>IF(DA47=0,"0",IF(AND(Results!$E$5="Protein",$C$53&gt;0,OR(Results!$E$4="Tissue",Results!$E$4="Cells")),((DA47*DA$51)/(DA$53)),IF(AND(Results!$E$5="Weight",$C$52&gt;0, Results!$E$4="Tissue",OR($B$52="g",$B$52="mg")),((DA47*DA$51)/(DA$52)),IF(AND(Results!$E$5="Volume",$C$54&gt;0,Results!$E$4="Fluid"),((DA47*DA$51)/(DA$54)),IF(AND(Results!$E$4="Cells",Results!$E$5="Million",$B$52="million"),((DA47*DA$51)/(DA$52)),"0")))))</f>
        <v>0</v>
      </c>
      <c r="DB100" s="20" t="str">
        <f>IF(DB47=0,"0",IF(AND(Results!$E$5="Protein",$C$53&gt;0,OR(Results!$E$4="Tissue",Results!$E$4="Cells")),((DB47*DB$51)/(DB$53)),IF(AND(Results!$E$5="Weight",$C$52&gt;0, Results!$E$4="Tissue",OR($B$52="g",$B$52="mg")),((DB47*DB$51)/(DB$52)),IF(AND(Results!$E$5="Volume",$C$54&gt;0,Results!$E$4="Fluid"),((DB47*DB$51)/(DB$54)),IF(AND(Results!$E$4="Cells",Results!$E$5="Million",$B$52="million"),((DB47*DB$51)/(DB$52)),"0")))))</f>
        <v>0</v>
      </c>
      <c r="DC100" s="20" t="str">
        <f>IF(DC47=0,"0",IF(AND(Results!$E$5="Protein",$C$53&gt;0,OR(Results!$E$4="Tissue",Results!$E$4="Cells")),((DC47*DC$51)/(DC$53)),IF(AND(Results!$E$5="Weight",$C$52&gt;0, Results!$E$4="Tissue",OR($B$52="g",$B$52="mg")),((DC47*DC$51)/(DC$52)),IF(AND(Results!$E$5="Volume",$C$54&gt;0,Results!$E$4="Fluid"),((DC47*DC$51)/(DC$54)),IF(AND(Results!$E$4="Cells",Results!$E$5="Million",$B$52="million"),((DC47*DC$51)/(DC$52)),"0")))))</f>
        <v>0</v>
      </c>
      <c r="DD100" s="20" t="str">
        <f>IF(DD47=0,"0",IF(AND(Results!$E$5="Protein",$C$53&gt;0,OR(Results!$E$4="Tissue",Results!$E$4="Cells")),((DD47*DD$51)/(DD$53)),IF(AND(Results!$E$5="Weight",$C$52&gt;0, Results!$E$4="Tissue",OR($B$52="g",$B$52="mg")),((DD47*DD$51)/(DD$52)),IF(AND(Results!$E$5="Volume",$C$54&gt;0,Results!$E$4="Fluid"),((DD47*DD$51)/(DD$54)),IF(AND(Results!$E$4="Cells",Results!$E$5="Million",$B$52="million"),((DD47*DD$51)/(DD$52)),"0")))))</f>
        <v>0</v>
      </c>
      <c r="DE100" s="20" t="str">
        <f>IF(DE47=0,"0",IF(AND(Results!$E$5="Protein",$C$53&gt;0,OR(Results!$E$4="Tissue",Results!$E$4="Cells")),((DE47*DE$51)/(DE$53)),IF(AND(Results!$E$5="Weight",$C$52&gt;0, Results!$E$4="Tissue",OR($B$52="g",$B$52="mg")),((DE47*DE$51)/(DE$52)),IF(AND(Results!$E$5="Volume",$C$54&gt;0,Results!$E$4="Fluid"),((DE47*DE$51)/(DE$54)),IF(AND(Results!$E$4="Cells",Results!$E$5="Million",$B$52="million"),((DE47*DE$51)/(DE$52)),"0")))))</f>
        <v>0</v>
      </c>
      <c r="DF100" s="20" t="str">
        <f>IF(DF47=0,"0",IF(AND(Results!$E$5="Protein",$C$53&gt;0,OR(Results!$E$4="Tissue",Results!$E$4="Cells")),((DF47*DF$51)/(DF$53)),IF(AND(Results!$E$5="Weight",$C$52&gt;0, Results!$E$4="Tissue",OR($B$52="g",$B$52="mg")),((DF47*DF$51)/(DF$52)),IF(AND(Results!$E$5="Volume",$C$54&gt;0,Results!$E$4="Fluid"),((DF47*DF$51)/(DF$54)),IF(AND(Results!$E$4="Cells",Results!$E$5="Million",$B$52="million"),((DF47*DF$51)/(DF$52)),"0")))))</f>
        <v>0</v>
      </c>
      <c r="DG100" s="20" t="str">
        <f>IF(DG47=0,"0",IF(AND(Results!$E$5="Protein",$C$53&gt;0,OR(Results!$E$4="Tissue",Results!$E$4="Cells")),((DG47*DG$51)/(DG$53)),IF(AND(Results!$E$5="Weight",$C$52&gt;0, Results!$E$4="Tissue",OR($B$52="g",$B$52="mg")),((DG47*DG$51)/(DG$52)),IF(AND(Results!$E$5="Volume",$C$54&gt;0,Results!$E$4="Fluid"),((DG47*DG$51)/(DG$54)),IF(AND(Results!$E$4="Cells",Results!$E$5="Million",$B$52="million"),((DG47*DG$51)/(DG$52)),"0")))))</f>
        <v>0</v>
      </c>
      <c r="DH100" s="20" t="str">
        <f>IF(DH47=0,"0",IF(AND(Results!$E$5="Protein",$C$53&gt;0,OR(Results!$E$4="Tissue",Results!$E$4="Cells")),((DH47*DH$51)/(DH$53)),IF(AND(Results!$E$5="Weight",$C$52&gt;0, Results!$E$4="Tissue",OR($B$52="g",$B$52="mg")),((DH47*DH$51)/(DH$52)),IF(AND(Results!$E$5="Volume",$C$54&gt;0,Results!$E$4="Fluid"),((DH47*DH$51)/(DH$54)),IF(AND(Results!$E$4="Cells",Results!$E$5="Million",$B$52="million"),((DH47*DH$51)/(DH$52)),"0")))))</f>
        <v>0</v>
      </c>
      <c r="DI100" s="20" t="str">
        <f>IF(DI47=0,"0",IF(AND(Results!$E$5="Protein",$C$53&gt;0,OR(Results!$E$4="Tissue",Results!$E$4="Cells")),((DI47*DI$51)/(DI$53)),IF(AND(Results!$E$5="Weight",$C$52&gt;0, Results!$E$4="Tissue",OR($B$52="g",$B$52="mg")),((DI47*DI$51)/(DI$52)),IF(AND(Results!$E$5="Volume",$C$54&gt;0,Results!$E$4="Fluid"),((DI47*DI$51)/(DI$54)),IF(AND(Results!$E$4="Cells",Results!$E$5="Million",$B$52="million"),((DI47*DI$51)/(DI$52)),"0")))))</f>
        <v>0</v>
      </c>
      <c r="DJ100" s="20" t="str">
        <f>IF(DJ47=0,"0",IF(AND(Results!$E$5="Protein",$C$53&gt;0,OR(Results!$E$4="Tissue",Results!$E$4="Cells")),((DJ47*DJ$51)/(DJ$53)),IF(AND(Results!$E$5="Weight",$C$52&gt;0, Results!$E$4="Tissue",OR($B$52="g",$B$52="mg")),((DJ47*DJ$51)/(DJ$52)),IF(AND(Results!$E$5="Volume",$C$54&gt;0,Results!$E$4="Fluid"),((DJ47*DJ$51)/(DJ$54)),IF(AND(Results!$E$4="Cells",Results!$E$5="Million",$B$52="million"),((DJ47*DJ$51)/(DJ$52)),"0")))))</f>
        <v>0</v>
      </c>
      <c r="DK100" s="20" t="str">
        <f>IF(DK47=0,"0",IF(AND(Results!$E$5="Protein",$C$53&gt;0,OR(Results!$E$4="Tissue",Results!$E$4="Cells")),((DK47*DK$51)/(DK$53)),IF(AND(Results!$E$5="Weight",$C$52&gt;0, Results!$E$4="Tissue",OR($B$52="g",$B$52="mg")),((DK47*DK$51)/(DK$52)),IF(AND(Results!$E$5="Volume",$C$54&gt;0,Results!$E$4="Fluid"),((DK47*DK$51)/(DK$54)),IF(AND(Results!$E$4="Cells",Results!$E$5="Million",$B$52="million"),((DK47*DK$51)/(DK$52)),"0")))))</f>
        <v>0</v>
      </c>
      <c r="DL100" s="20" t="str">
        <f>IF(DL47=0,"0",IF(AND(Results!$E$5="Protein",$C$53&gt;0,OR(Results!$E$4="Tissue",Results!$E$4="Cells")),((DL47*DL$51)/(DL$53)),IF(AND(Results!$E$5="Weight",$C$52&gt;0, Results!$E$4="Tissue",OR($B$52="g",$B$52="mg")),((DL47*DL$51)/(DL$52)),IF(AND(Results!$E$5="Volume",$C$54&gt;0,Results!$E$4="Fluid"),((DL47*DL$51)/(DL$54)),IF(AND(Results!$E$4="Cells",Results!$E$5="Million",$B$52="million"),((DL47*DL$51)/(DL$52)),"0")))))</f>
        <v>0</v>
      </c>
      <c r="DM100" s="20" t="str">
        <f>IF(DM47=0,"0",IF(AND(Results!$E$5="Protein",$C$53&gt;0,OR(Results!$E$4="Tissue",Results!$E$4="Cells")),((DM47*DM$51)/(DM$53)),IF(AND(Results!$E$5="Weight",$C$52&gt;0, Results!$E$4="Tissue",OR($B$52="g",$B$52="mg")),((DM47*DM$51)/(DM$52)),IF(AND(Results!$E$5="Volume",$C$54&gt;0,Results!$E$4="Fluid"),((DM47*DM$51)/(DM$54)),IF(AND(Results!$E$4="Cells",Results!$E$5="Million",$B$52="million"),((DM47*DM$51)/(DM$52)),"0")))))</f>
        <v>0</v>
      </c>
      <c r="DN100" s="20" t="str">
        <f>IF(DN47=0,"0",IF(AND(Results!$E$5="Protein",$C$53&gt;0,OR(Results!$E$4="Tissue",Results!$E$4="Cells")),((DN47*DN$51)/(DN$53)),IF(AND(Results!$E$5="Weight",$C$52&gt;0, Results!$E$4="Tissue",OR($B$52="g",$B$52="mg")),((DN47*DN$51)/(DN$52)),IF(AND(Results!$E$5="Volume",$C$54&gt;0,Results!$E$4="Fluid"),((DN47*DN$51)/(DN$54)),IF(AND(Results!$E$4="Cells",Results!$E$5="Million",$B$52="million"),((DN47*DN$51)/(DN$52)),"0")))))</f>
        <v>0</v>
      </c>
      <c r="DO100" s="20" t="str">
        <f>IF(DO47=0,"0",IF(AND(Results!$E$5="Protein",$C$53&gt;0,OR(Results!$E$4="Tissue",Results!$E$4="Cells")),((DO47*DO$51)/(DO$53)),IF(AND(Results!$E$5="Weight",$C$52&gt;0, Results!$E$4="Tissue",OR($B$52="g",$B$52="mg")),((DO47*DO$51)/(DO$52)),IF(AND(Results!$E$5="Volume",$C$54&gt;0,Results!$E$4="Fluid"),((DO47*DO$51)/(DO$54)),IF(AND(Results!$E$4="Cells",Results!$E$5="Million",$B$52="million"),((DO47*DO$51)/(DO$52)),"0")))))</f>
        <v>0</v>
      </c>
      <c r="DP100" s="20" t="str">
        <f>IF(DP47=0,"0",IF(AND(Results!$E$5="Protein",$C$53&gt;0,OR(Results!$E$4="Tissue",Results!$E$4="Cells")),((DP47*DP$51)/(DP$53)),IF(AND(Results!$E$5="Weight",$C$52&gt;0, Results!$E$4="Tissue",OR($B$52="g",$B$52="mg")),((DP47*DP$51)/(DP$52)),IF(AND(Results!$E$5="Volume",$C$54&gt;0,Results!$E$4="Fluid"),((DP47*DP$51)/(DP$54)),IF(AND(Results!$E$4="Cells",Results!$E$5="Million",$B$52="million"),((DP47*DP$51)/(DP$52)),"0")))))</f>
        <v>0</v>
      </c>
      <c r="DQ100" s="20" t="str">
        <f>IF(DQ47=0,"0",IF(AND(Results!$E$5="Protein",$C$53&gt;0,OR(Results!$E$4="Tissue",Results!$E$4="Cells")),((DQ47*DQ$51)/(DQ$53)),IF(AND(Results!$E$5="Weight",$C$52&gt;0, Results!$E$4="Tissue",OR($B$52="g",$B$52="mg")),((DQ47*DQ$51)/(DQ$52)),IF(AND(Results!$E$5="Volume",$C$54&gt;0,Results!$E$4="Fluid"),((DQ47*DQ$51)/(DQ$54)),IF(AND(Results!$E$4="Cells",Results!$E$5="Million",$B$52="million"),((DQ47*DQ$51)/(DQ$52)),"0")))))</f>
        <v>0</v>
      </c>
      <c r="DR100" s="20" t="str">
        <f>IF(DR47=0,"0",IF(AND(Results!$E$5="Protein",$C$53&gt;0,OR(Results!$E$4="Tissue",Results!$E$4="Cells")),((DR47*DR$51)/(DR$53)),IF(AND(Results!$E$5="Weight",$C$52&gt;0, Results!$E$4="Tissue",OR($B$52="g",$B$52="mg")),((DR47*DR$51)/(DR$52)),IF(AND(Results!$E$5="Volume",$C$54&gt;0,Results!$E$4="Fluid"),((DR47*DR$51)/(DR$54)),IF(AND(Results!$E$4="Cells",Results!$E$5="Million",$B$52="million"),((DR47*DR$51)/(DR$52)),"0")))))</f>
        <v>0</v>
      </c>
      <c r="DS100" s="20" t="str">
        <f>IF(DS47=0,"0",IF(AND(Results!$E$5="Protein",$C$53&gt;0,OR(Results!$E$4="Tissue",Results!$E$4="Cells")),((DS47*DS$51)/(DS$53)),IF(AND(Results!$E$5="Weight",$C$52&gt;0, Results!$E$4="Tissue",OR($B$52="g",$B$52="mg")),((DS47*DS$51)/(DS$52)),IF(AND(Results!$E$5="Volume",$C$54&gt;0,Results!$E$4="Fluid"),((DS47*DS$51)/(DS$54)),IF(AND(Results!$E$4="Cells",Results!$E$5="Million",$B$52="million"),((DS47*DS$51)/(DS$52)),"0")))))</f>
        <v>0</v>
      </c>
      <c r="DT100" s="20" t="str">
        <f>IF(DT47=0,"0",IF(AND(Results!$E$5="Protein",$C$53&gt;0,OR(Results!$E$4="Tissue",Results!$E$4="Cells")),((DT47*DT$51)/(DT$53)),IF(AND(Results!$E$5="Weight",$C$52&gt;0, Results!$E$4="Tissue",OR($B$52="g",$B$52="mg")),((DT47*DT$51)/(DT$52)),IF(AND(Results!$E$5="Volume",$C$54&gt;0,Results!$E$4="Fluid"),((DT47*DT$51)/(DT$54)),IF(AND(Results!$E$4="Cells",Results!$E$5="Million",$B$52="million"),((DT47*DT$51)/(DT$52)),"0")))))</f>
        <v>0</v>
      </c>
      <c r="DU100" s="20" t="str">
        <f>IF(DU47=0,"0",IF(AND(Results!$E$5="Protein",$C$53&gt;0,OR(Results!$E$4="Tissue",Results!$E$4="Cells")),((DU47*DU$51)/(DU$53)),IF(AND(Results!$E$5="Weight",$C$52&gt;0, Results!$E$4="Tissue",OR($B$52="g",$B$52="mg")),((DU47*DU$51)/(DU$52)),IF(AND(Results!$E$5="Volume",$C$54&gt;0,Results!$E$4="Fluid"),((DU47*DU$51)/(DU$54)),IF(AND(Results!$E$4="Cells",Results!$E$5="Million",$B$52="million"),((DU47*DU$51)/(DU$52)),"0")))))</f>
        <v>0</v>
      </c>
      <c r="DV100" s="20" t="str">
        <f>IF(DV47=0,"0",IF(AND(Results!$E$5="Protein",$C$53&gt;0,OR(Results!$E$4="Tissue",Results!$E$4="Cells")),((DV47*DV$51)/(DV$53)),IF(AND(Results!$E$5="Weight",$C$52&gt;0, Results!$E$4="Tissue",OR($B$52="g",$B$52="mg")),((DV47*DV$51)/(DV$52)),IF(AND(Results!$E$5="Volume",$C$54&gt;0,Results!$E$4="Fluid"),((DV47*DV$51)/(DV$54)),IF(AND(Results!$E$4="Cells",Results!$E$5="Million",$B$52="million"),((DV47*DV$51)/(DV$52)),"0")))))</f>
        <v>0</v>
      </c>
      <c r="DW100" s="20" t="str">
        <f>IF(DW47=0,"0",IF(AND(Results!$E$5="Protein",$C$53&gt;0,OR(Results!$E$4="Tissue",Results!$E$4="Cells")),((DW47*DW$51)/(DW$53)),IF(AND(Results!$E$5="Weight",$C$52&gt;0, Results!$E$4="Tissue",OR($B$52="g",$B$52="mg")),((DW47*DW$51)/(DW$52)),IF(AND(Results!$E$5="Volume",$C$54&gt;0,Results!$E$4="Fluid"),((DW47*DW$51)/(DW$54)),IF(AND(Results!$E$4="Cells",Results!$E$5="Million",$B$52="million"),((DW47*DW$51)/(DW$52)),"0")))))</f>
        <v>0</v>
      </c>
      <c r="DX100" s="20" t="str">
        <f>IF(DX47=0,"0",IF(AND(Results!$E$5="Protein",$C$53&gt;0,OR(Results!$E$4="Tissue",Results!$E$4="Cells")),((DX47*DX$51)/(DX$53)),IF(AND(Results!$E$5="Weight",$C$52&gt;0, Results!$E$4="Tissue",OR($B$52="g",$B$52="mg")),((DX47*DX$51)/(DX$52)),IF(AND(Results!$E$5="Volume",$C$54&gt;0,Results!$E$4="Fluid"),((DX47*DX$51)/(DX$54)),IF(AND(Results!$E$4="Cells",Results!$E$5="Million",$B$52="million"),((DX47*DX$51)/(DX$52)),"0")))))</f>
        <v>0</v>
      </c>
      <c r="DY100" s="20" t="str">
        <f>IF(DY47=0,"0",IF(AND(Results!$E$5="Protein",$C$53&gt;0,OR(Results!$E$4="Tissue",Results!$E$4="Cells")),((DY47*DY$51)/(DY$53)),IF(AND(Results!$E$5="Weight",$C$52&gt;0, Results!$E$4="Tissue",OR($B$52="g",$B$52="mg")),((DY47*DY$51)/(DY$52)),IF(AND(Results!$E$5="Volume",$C$54&gt;0,Results!$E$4="Fluid"),((DY47*DY$51)/(DY$54)),IF(AND(Results!$E$4="Cells",Results!$E$5="Million",$B$52="million"),((DY47*DY$51)/(DY$52)),"0")))))</f>
        <v>0</v>
      </c>
      <c r="DZ100" s="20" t="str">
        <f>IF(DZ47=0,"0",IF(AND(Results!$E$5="Protein",$C$53&gt;0,OR(Results!$E$4="Tissue",Results!$E$4="Cells")),((DZ47*DZ$51)/(DZ$53)),IF(AND(Results!$E$5="Weight",$C$52&gt;0, Results!$E$4="Tissue",OR($B$52="g",$B$52="mg")),((DZ47*DZ$51)/(DZ$52)),IF(AND(Results!$E$5="Volume",$C$54&gt;0,Results!$E$4="Fluid"),((DZ47*DZ$51)/(DZ$54)),IF(AND(Results!$E$4="Cells",Results!$E$5="Million",$B$52="million"),((DZ47*DZ$51)/(DZ$52)),"0")))))</f>
        <v>0</v>
      </c>
      <c r="EA100" s="20" t="str">
        <f>IF(EA47=0,"0",IF(AND(Results!$E$5="Protein",$C$53&gt;0,OR(Results!$E$4="Tissue",Results!$E$4="Cells")),((EA47*EA$51)/(EA$53)),IF(AND(Results!$E$5="Weight",$C$52&gt;0, Results!$E$4="Tissue",OR($B$52="g",$B$52="mg")),((EA47*EA$51)/(EA$52)),IF(AND(Results!$E$5="Volume",$C$54&gt;0,Results!$E$4="Fluid"),((EA47*EA$51)/(EA$54)),IF(AND(Results!$E$4="Cells",Results!$E$5="Million",$B$52="million"),((EA47*EA$51)/(EA$52)),"0")))))</f>
        <v>0</v>
      </c>
      <c r="EB100" s="20" t="str">
        <f>IF(EB47=0,"0",IF(AND(Results!$E$5="Protein",$C$53&gt;0,OR(Results!$E$4="Tissue",Results!$E$4="Cells")),((EB47*EB$51)/(EB$53)),IF(AND(Results!$E$5="Weight",$C$52&gt;0, Results!$E$4="Tissue",OR($B$52="g",$B$52="mg")),((EB47*EB$51)/(EB$52)),IF(AND(Results!$E$5="Volume",$C$54&gt;0,Results!$E$4="Fluid"),((EB47*EB$51)/(EB$54)),IF(AND(Results!$E$4="Cells",Results!$E$5="Million",$B$52="million"),((EB47*EB$51)/(EB$52)),"0")))))</f>
        <v>0</v>
      </c>
      <c r="EC100" s="20" t="str">
        <f>IF(EC47=0,"0",IF(AND(Results!$E$5="Protein",$C$53&gt;0,OR(Results!$E$4="Tissue",Results!$E$4="Cells")),((EC47*EC$51)/(EC$53)),IF(AND(Results!$E$5="Weight",$C$52&gt;0, Results!$E$4="Tissue",OR($B$52="g",$B$52="mg")),((EC47*EC$51)/(EC$52)),IF(AND(Results!$E$5="Volume",$C$54&gt;0,Results!$E$4="Fluid"),((EC47*EC$51)/(EC$54)),IF(AND(Results!$E$4="Cells",Results!$E$5="Million",$B$52="million"),((EC47*EC$51)/(EC$52)),"0")))))</f>
        <v>0</v>
      </c>
      <c r="ED100" s="20" t="str">
        <f>IF(ED47=0,"0",IF(AND(Results!$E$5="Protein",$C$53&gt;0,OR(Results!$E$4="Tissue",Results!$E$4="Cells")),((ED47*ED$51)/(ED$53)),IF(AND(Results!$E$5="Weight",$C$52&gt;0, Results!$E$4="Tissue",OR($B$52="g",$B$52="mg")),((ED47*ED$51)/(ED$52)),IF(AND(Results!$E$5="Volume",$C$54&gt;0,Results!$E$4="Fluid"),((ED47*ED$51)/(ED$54)),IF(AND(Results!$E$4="Cells",Results!$E$5="Million",$B$52="million"),((ED47*ED$51)/(ED$52)),"0")))))</f>
        <v>0</v>
      </c>
      <c r="EE100" s="20" t="str">
        <f>IF(EE47=0,"0",IF(AND(Results!$E$5="Protein",$C$53&gt;0,OR(Results!$E$4="Tissue",Results!$E$4="Cells")),((EE47*EE$51)/(EE$53)),IF(AND(Results!$E$5="Weight",$C$52&gt;0, Results!$E$4="Tissue",OR($B$52="g",$B$52="mg")),((EE47*EE$51)/(EE$52)),IF(AND(Results!$E$5="Volume",$C$54&gt;0,Results!$E$4="Fluid"),((EE47*EE$51)/(EE$54)),IF(AND(Results!$E$4="Cells",Results!$E$5="Million",$B$52="million"),((EE47*EE$51)/(EE$52)),"0")))))</f>
        <v>0</v>
      </c>
      <c r="EF100" s="20" t="str">
        <f>IF(EF47=0,"0",IF(AND(Results!$E$5="Protein",$C$53&gt;0,OR(Results!$E$4="Tissue",Results!$E$4="Cells")),((EF47*EF$51)/(EF$53)),IF(AND(Results!$E$5="Weight",$C$52&gt;0, Results!$E$4="Tissue",OR($B$52="g",$B$52="mg")),((EF47*EF$51)/(EF$52)),IF(AND(Results!$E$5="Volume",$C$54&gt;0,Results!$E$4="Fluid"),((EF47*EF$51)/(EF$54)),IF(AND(Results!$E$4="Cells",Results!$E$5="Million",$B$52="million"),((EF47*EF$51)/(EF$52)),"0")))))</f>
        <v>0</v>
      </c>
      <c r="EG100" s="20" t="str">
        <f>IF(EG47=0,"0",IF(AND(Results!$E$5="Protein",$C$53&gt;0,OR(Results!$E$4="Tissue",Results!$E$4="Cells")),((EG47*EG$51)/(EG$53)),IF(AND(Results!$E$5="Weight",$C$52&gt;0, Results!$E$4="Tissue",OR($B$52="g",$B$52="mg")),((EG47*EG$51)/(EG$52)),IF(AND(Results!$E$5="Volume",$C$54&gt;0,Results!$E$4="Fluid"),((EG47*EG$51)/(EG$54)),IF(AND(Results!$E$4="Cells",Results!$E$5="Million",$B$52="million"),((EG47*EG$51)/(EG$52)),"0")))))</f>
        <v>0</v>
      </c>
      <c r="EH100" s="20" t="str">
        <f>IF(EH47=0,"0",IF(AND(Results!$E$5="Protein",$C$53&gt;0,OR(Results!$E$4="Tissue",Results!$E$4="Cells")),((EH47*EH$51)/(EH$53)),IF(AND(Results!$E$5="Weight",$C$52&gt;0, Results!$E$4="Tissue",OR($B$52="g",$B$52="mg")),((EH47*EH$51)/(EH$52)),IF(AND(Results!$E$5="Volume",$C$54&gt;0,Results!$E$4="Fluid"),((EH47*EH$51)/(EH$54)),IF(AND(Results!$E$4="Cells",Results!$E$5="Million",$B$52="million"),((EH47*EH$51)/(EH$52)),"0")))))</f>
        <v>0</v>
      </c>
      <c r="EI100" s="20" t="str">
        <f>IF(EI47=0,"0",IF(AND(Results!$E$5="Protein",$C$53&gt;0,OR(Results!$E$4="Tissue",Results!$E$4="Cells")),((EI47*EI$51)/(EI$53)),IF(AND(Results!$E$5="Weight",$C$52&gt;0, Results!$E$4="Tissue",OR($B$52="g",$B$52="mg")),((EI47*EI$51)/(EI$52)),IF(AND(Results!$E$5="Volume",$C$54&gt;0,Results!$E$4="Fluid"),((EI47*EI$51)/(EI$54)),IF(AND(Results!$E$4="Cells",Results!$E$5="Million",$B$52="million"),((EI47*EI$51)/(EI$52)),"0")))))</f>
        <v>0</v>
      </c>
      <c r="EJ100" s="20" t="str">
        <f>IF(EJ47=0,"0",IF(AND(Results!$E$5="Protein",$C$53&gt;0,OR(Results!$E$4="Tissue",Results!$E$4="Cells")),((EJ47*EJ$51)/(EJ$53)),IF(AND(Results!$E$5="Weight",$C$52&gt;0, Results!$E$4="Tissue",OR($B$52="g",$B$52="mg")),((EJ47*EJ$51)/(EJ$52)),IF(AND(Results!$E$5="Volume",$C$54&gt;0,Results!$E$4="Fluid"),((EJ47*EJ$51)/(EJ$54)),IF(AND(Results!$E$4="Cells",Results!$E$5="Million",$B$52="million"),((EJ47*EJ$51)/(EJ$52)),"0")))))</f>
        <v>0</v>
      </c>
      <c r="EK100" s="20" t="str">
        <f>IF(EK47=0,"0",IF(AND(Results!$E$5="Protein",$C$53&gt;0,OR(Results!$E$4="Tissue",Results!$E$4="Cells")),((EK47*EK$51)/(EK$53)),IF(AND(Results!$E$5="Weight",$C$52&gt;0, Results!$E$4="Tissue",OR($B$52="g",$B$52="mg")),((EK47*EK$51)/(EK$52)),IF(AND(Results!$E$5="Volume",$C$54&gt;0,Results!$E$4="Fluid"),((EK47*EK$51)/(EK$54)),IF(AND(Results!$E$4="Cells",Results!$E$5="Million",$B$52="million"),((EK47*EK$51)/(EK$52)),"0")))))</f>
        <v>0</v>
      </c>
      <c r="EL100" s="20" t="str">
        <f>IF(EL47=0,"0",IF(AND(Results!$E$5="Protein",$C$53&gt;0,OR(Results!$E$4="Tissue",Results!$E$4="Cells")),((EL47*EL$51)/(EL$53)),IF(AND(Results!$E$5="Weight",$C$52&gt;0, Results!$E$4="Tissue",OR($B$52="g",$B$52="mg")),((EL47*EL$51)/(EL$52)),IF(AND(Results!$E$5="Volume",$C$54&gt;0,Results!$E$4="Fluid"),((EL47*EL$51)/(EL$54)),IF(AND(Results!$E$4="Cells",Results!$E$5="Million",$B$52="million"),((EL47*EL$51)/(EL$52)),"0")))))</f>
        <v>0</v>
      </c>
      <c r="EM100" s="20" t="str">
        <f>IF(EM47=0,"0",IF(AND(Results!$E$5="Protein",$C$53&gt;0,OR(Results!$E$4="Tissue",Results!$E$4="Cells")),((EM47*EM$51)/(EM$53)),IF(AND(Results!$E$5="Weight",$C$52&gt;0, Results!$E$4="Tissue",OR($B$52="g",$B$52="mg")),((EM47*EM$51)/(EM$52)),IF(AND(Results!$E$5="Volume",$C$54&gt;0,Results!$E$4="Fluid"),((EM47*EM$51)/(EM$54)),IF(AND(Results!$E$4="Cells",Results!$E$5="Million",$B$52="million"),((EM47*EM$51)/(EM$52)),"0")))))</f>
        <v>0</v>
      </c>
      <c r="EN100" s="20" t="str">
        <f>IF(EN47=0,"0",IF(AND(Results!$E$5="Protein",$C$53&gt;0,OR(Results!$E$4="Tissue",Results!$E$4="Cells")),((EN47*EN$51)/(EN$53)),IF(AND(Results!$E$5="Weight",$C$52&gt;0, Results!$E$4="Tissue",OR($B$52="g",$B$52="mg")),((EN47*EN$51)/(EN$52)),IF(AND(Results!$E$5="Volume",$C$54&gt;0,Results!$E$4="Fluid"),((EN47*EN$51)/(EN$54)),IF(AND(Results!$E$4="Cells",Results!$E$5="Million",$B$52="million"),((EN47*EN$51)/(EN$52)),"0")))))</f>
        <v>0</v>
      </c>
      <c r="EO100" s="20" t="str">
        <f>IF(EO47=0,"0",IF(AND(Results!$E$5="Protein",$C$53&gt;0,OR(Results!$E$4="Tissue",Results!$E$4="Cells")),((EO47*EO$51)/(EO$53)),IF(AND(Results!$E$5="Weight",$C$52&gt;0, Results!$E$4="Tissue",OR($B$52="g",$B$52="mg")),((EO47*EO$51)/(EO$52)),IF(AND(Results!$E$5="Volume",$C$54&gt;0,Results!$E$4="Fluid"),((EO47*EO$51)/(EO$54)),IF(AND(Results!$E$4="Cells",Results!$E$5="Million",$B$52="million"),((EO47*EO$51)/(EO$52)),"0")))))</f>
        <v>0</v>
      </c>
      <c r="EP100" s="20" t="str">
        <f>IF(EP47=0,"0",IF(AND(Results!$E$5="Protein",$C$53&gt;0,OR(Results!$E$4="Tissue",Results!$E$4="Cells")),((EP47*EP$51)/(EP$53)),IF(AND(Results!$E$5="Weight",$C$52&gt;0, Results!$E$4="Tissue",OR($B$52="g",$B$52="mg")),((EP47*EP$51)/(EP$52)),IF(AND(Results!$E$5="Volume",$C$54&gt;0,Results!$E$4="Fluid"),((EP47*EP$51)/(EP$54)),IF(AND(Results!$E$4="Cells",Results!$E$5="Million",$B$52="million"),((EP47*EP$51)/(EP$52)),"0")))))</f>
        <v>0</v>
      </c>
      <c r="EQ100" s="20" t="str">
        <f>IF(EQ47=0,"0",IF(AND(Results!$E$5="Protein",$C$53&gt;0,OR(Results!$E$4="Tissue",Results!$E$4="Cells")),((EQ47*EQ$51)/(EQ$53)),IF(AND(Results!$E$5="Weight",$C$52&gt;0, Results!$E$4="Tissue",OR($B$52="g",$B$52="mg")),((EQ47*EQ$51)/(EQ$52)),IF(AND(Results!$E$5="Volume",$C$54&gt;0,Results!$E$4="Fluid"),((EQ47*EQ$51)/(EQ$54)),IF(AND(Results!$E$4="Cells",Results!$E$5="Million",$B$52="million"),((EQ47*EQ$51)/(EQ$52)),"0")))))</f>
        <v>0</v>
      </c>
      <c r="ER100" s="20" t="str">
        <f>IF(ER47=0,"0",IF(AND(Results!$E$5="Protein",$C$53&gt;0,OR(Results!$E$4="Tissue",Results!$E$4="Cells")),((ER47*ER$51)/(ER$53)),IF(AND(Results!$E$5="Weight",$C$52&gt;0, Results!$E$4="Tissue",OR($B$52="g",$B$52="mg")),((ER47*ER$51)/(ER$52)),IF(AND(Results!$E$5="Volume",$C$54&gt;0,Results!$E$4="Fluid"),((ER47*ER$51)/(ER$54)),IF(AND(Results!$E$4="Cells",Results!$E$5="Million",$B$52="million"),((ER47*ER$51)/(ER$52)),"0")))))</f>
        <v>0</v>
      </c>
      <c r="ES100" s="20" t="str">
        <f>IF(ES47=0,"0",IF(AND(Results!$E$5="Protein",$C$53&gt;0,OR(Results!$E$4="Tissue",Results!$E$4="Cells")),((ES47*ES$51)/(ES$53)),IF(AND(Results!$E$5="Weight",$C$52&gt;0, Results!$E$4="Tissue",OR($B$52="g",$B$52="mg")),((ES47*ES$51)/(ES$52)),IF(AND(Results!$E$5="Volume",$C$54&gt;0,Results!$E$4="Fluid"),((ES47*ES$51)/(ES$54)),IF(AND(Results!$E$4="Cells",Results!$E$5="Million",$B$52="million"),((ES47*ES$51)/(ES$52)),"0")))))</f>
        <v>0</v>
      </c>
      <c r="ET100" s="20" t="str">
        <f>IF(ET47=0,"0",IF(AND(Results!$E$5="Protein",$C$53&gt;0,OR(Results!$E$4="Tissue",Results!$E$4="Cells")),((ET47*ET$51)/(ET$53)),IF(AND(Results!$E$5="Weight",$C$52&gt;0, Results!$E$4="Tissue",OR($B$52="g",$B$52="mg")),((ET47*ET$51)/(ET$52)),IF(AND(Results!$E$5="Volume",$C$54&gt;0,Results!$E$4="Fluid"),((ET47*ET$51)/(ET$54)),IF(AND(Results!$E$4="Cells",Results!$E$5="Million",$B$52="million"),((ET47*ET$51)/(ET$52)),"0")))))</f>
        <v>0</v>
      </c>
      <c r="EU100" s="20" t="str">
        <f>IF(EU47=0,"0",IF(AND(Results!$E$5="Protein",$C$53&gt;0,OR(Results!$E$4="Tissue",Results!$E$4="Cells")),((EU47*EU$51)/(EU$53)),IF(AND(Results!$E$5="Weight",$C$52&gt;0, Results!$E$4="Tissue",OR($B$52="g",$B$52="mg")),((EU47*EU$51)/(EU$52)),IF(AND(Results!$E$5="Volume",$C$54&gt;0,Results!$E$4="Fluid"),((EU47*EU$51)/(EU$54)),IF(AND(Results!$E$4="Cells",Results!$E$5="Million",$B$52="million"),((EU47*EU$51)/(EU$52)),"0")))))</f>
        <v>0</v>
      </c>
      <c r="EV100" s="20" t="str">
        <f>IF(EV47=0,"0",IF(AND(Results!$E$5="Protein",$C$53&gt;0,OR(Results!$E$4="Tissue",Results!$E$4="Cells")),((EV47*EV$51)/(EV$53)),IF(AND(Results!$E$5="Weight",$C$52&gt;0, Results!$E$4="Tissue",OR($B$52="g",$B$52="mg")),((EV47*EV$51)/(EV$52)),IF(AND(Results!$E$5="Volume",$C$54&gt;0,Results!$E$4="Fluid"),((EV47*EV$51)/(EV$54)),IF(AND(Results!$E$4="Cells",Results!$E$5="Million",$B$52="million"),((EV47*EV$51)/(EV$52)),"0")))))</f>
        <v>0</v>
      </c>
      <c r="EW100" s="20" t="str">
        <f>IF(EW47=0,"0",IF(AND(Results!$E$5="Protein",$C$53&gt;0,OR(Results!$E$4="Tissue",Results!$E$4="Cells")),((EW47*EW$51)/(EW$53)),IF(AND(Results!$E$5="Weight",$C$52&gt;0, Results!$E$4="Tissue",OR($B$52="g",$B$52="mg")),((EW47*EW$51)/(EW$52)),IF(AND(Results!$E$5="Volume",$C$54&gt;0,Results!$E$4="Fluid"),((EW47*EW$51)/(EW$54)),IF(AND(Results!$E$4="Cells",Results!$E$5="Million",$B$52="million"),((EW47*EW$51)/(EW$52)),"0")))))</f>
        <v>0</v>
      </c>
      <c r="EX100" s="20" t="str">
        <f>IF(EX47=0,"0",IF(AND(Results!$E$5="Protein",$C$53&gt;0,OR(Results!$E$4="Tissue",Results!$E$4="Cells")),((EX47*EX$51)/(EX$53)),IF(AND(Results!$E$5="Weight",$C$52&gt;0, Results!$E$4="Tissue",OR($B$52="g",$B$52="mg")),((EX47*EX$51)/(EX$52)),IF(AND(Results!$E$5="Volume",$C$54&gt;0,Results!$E$4="Fluid"),((EX47*EX$51)/(EX$54)),IF(AND(Results!$E$4="Cells",Results!$E$5="Million",$B$52="million"),((EX47*EX$51)/(EX$52)),"0")))))</f>
        <v>0</v>
      </c>
      <c r="EY100" s="20" t="str">
        <f>IF(EY47=0,"0",IF(AND(Results!$E$5="Protein",$C$53&gt;0,OR(Results!$E$4="Tissue",Results!$E$4="Cells")),((EY47*EY$51)/(EY$53)),IF(AND(Results!$E$5="Weight",$C$52&gt;0, Results!$E$4="Tissue",OR($B$52="g",$B$52="mg")),((EY47*EY$51)/(EY$52)),IF(AND(Results!$E$5="Volume",$C$54&gt;0,Results!$E$4="Fluid"),((EY47*EY$51)/(EY$54)),IF(AND(Results!$E$4="Cells",Results!$E$5="Million",$B$52="million"),((EY47*EY$51)/(EY$52)),"0")))))</f>
        <v>0</v>
      </c>
      <c r="EZ100" s="20" t="str">
        <f>IF(EZ47=0,"0",IF(AND(Results!$E$5="Protein",$C$53&gt;0,OR(Results!$E$4="Tissue",Results!$E$4="Cells")),((EZ47*EZ$51)/(EZ$53)),IF(AND(Results!$E$5="Weight",$C$52&gt;0, Results!$E$4="Tissue",OR($B$52="g",$B$52="mg")),((EZ47*EZ$51)/(EZ$52)),IF(AND(Results!$E$5="Volume",$C$54&gt;0,Results!$E$4="Fluid"),((EZ47*EZ$51)/(EZ$54)),IF(AND(Results!$E$4="Cells",Results!$E$5="Million",$B$52="million"),((EZ47*EZ$51)/(EZ$52)),"0")))))</f>
        <v>0</v>
      </c>
      <c r="FA100" s="20" t="str">
        <f>IF(FA47=0,"0",IF(AND(Results!$E$5="Protein",$C$53&gt;0,OR(Results!$E$4="Tissue",Results!$E$4="Cells")),((FA47*FA$51)/(FA$53)),IF(AND(Results!$E$5="Weight",$C$52&gt;0, Results!$E$4="Tissue",OR($B$52="g",$B$52="mg")),((FA47*FA$51)/(FA$52)),IF(AND(Results!$E$5="Volume",$C$54&gt;0,Results!$E$4="Fluid"),((FA47*FA$51)/(FA$54)),IF(AND(Results!$E$4="Cells",Results!$E$5="Million",$B$52="million"),((FA47*FA$51)/(FA$52)),"0")))))</f>
        <v>0</v>
      </c>
      <c r="FB100" s="20" t="str">
        <f>IF(FB47=0,"0",IF(AND(Results!$E$5="Protein",$C$53&gt;0,OR(Results!$E$4="Tissue",Results!$E$4="Cells")),((FB47*FB$51)/(FB$53)),IF(AND(Results!$E$5="Weight",$C$52&gt;0, Results!$E$4="Tissue",OR($B$52="g",$B$52="mg")),((FB47*FB$51)/(FB$52)),IF(AND(Results!$E$5="Volume",$C$54&gt;0,Results!$E$4="Fluid"),((FB47*FB$51)/(FB$54)),IF(AND(Results!$E$4="Cells",Results!$E$5="Million",$B$52="million"),((FB47*FB$51)/(FB$52)),"0")))))</f>
        <v>0</v>
      </c>
      <c r="FC100" s="20" t="str">
        <f>IF(FC47=0,"0",IF(AND(Results!$E$5="Protein",$C$53&gt;0,OR(Results!$E$4="Tissue",Results!$E$4="Cells")),((FC47*FC$51)/(FC$53)),IF(AND(Results!$E$5="Weight",$C$52&gt;0, Results!$E$4="Tissue",OR($B$52="g",$B$52="mg")),((FC47*FC$51)/(FC$52)),IF(AND(Results!$E$5="Volume",$C$54&gt;0,Results!$E$4="Fluid"),((FC47*FC$51)/(FC$54)),IF(AND(Results!$E$4="Cells",Results!$E$5="Million",$B$52="million"),((FC47*FC$51)/(FC$52)),"0")))))</f>
        <v>0</v>
      </c>
      <c r="FD100" s="20" t="str">
        <f>IF(FD47=0,"0",IF(AND(Results!$E$5="Protein",$C$53&gt;0,OR(Results!$E$4="Tissue",Results!$E$4="Cells")),((FD47*FD$51)/(FD$53)),IF(AND(Results!$E$5="Weight",$C$52&gt;0, Results!$E$4="Tissue",OR($B$52="g",$B$52="mg")),((FD47*FD$51)/(FD$52)),IF(AND(Results!$E$5="Volume",$C$54&gt;0,Results!$E$4="Fluid"),((FD47*FD$51)/(FD$54)),IF(AND(Results!$E$4="Cells",Results!$E$5="Million",$B$52="million"),((FD47*FD$51)/(FD$52)),"0")))))</f>
        <v>0</v>
      </c>
      <c r="FE100" s="20" t="str">
        <f>IF(FE47=0,"0",IF(AND(Results!$E$5="Protein",$C$53&gt;0,OR(Results!$E$4="Tissue",Results!$E$4="Cells")),((FE47*FE$51)/(FE$53)),IF(AND(Results!$E$5="Weight",$C$52&gt;0, Results!$E$4="Tissue",OR($B$52="g",$B$52="mg")),((FE47*FE$51)/(FE$52)),IF(AND(Results!$E$5="Volume",$C$54&gt;0,Results!$E$4="Fluid"),((FE47*FE$51)/(FE$54)),IF(AND(Results!$E$4="Cells",Results!$E$5="Million",$B$52="million"),((FE47*FE$51)/(FE$52)),"0")))))</f>
        <v>0</v>
      </c>
      <c r="FF100" s="20" t="str">
        <f>IF(FF47=0,"0",IF(AND(Results!$E$5="Protein",$C$53&gt;0,OR(Results!$E$4="Tissue",Results!$E$4="Cells")),((FF47*FF$51)/(FF$53)),IF(AND(Results!$E$5="Weight",$C$52&gt;0, Results!$E$4="Tissue",OR($B$52="g",$B$52="mg")),((FF47*FF$51)/(FF$52)),IF(AND(Results!$E$5="Volume",$C$54&gt;0,Results!$E$4="Fluid"),((FF47*FF$51)/(FF$54)),IF(AND(Results!$E$4="Cells",Results!$E$5="Million",$B$52="million"),((FF47*FF$51)/(FF$52)),"0")))))</f>
        <v>0</v>
      </c>
      <c r="FG100" s="20" t="str">
        <f>IF(FG47=0,"0",IF(AND(Results!$E$5="Protein",$C$53&gt;0,OR(Results!$E$4="Tissue",Results!$E$4="Cells")),((FG47*FG$51)/(FG$53)),IF(AND(Results!$E$5="Weight",$C$52&gt;0, Results!$E$4="Tissue",OR($B$52="g",$B$52="mg")),((FG47*FG$51)/(FG$52)),IF(AND(Results!$E$5="Volume",$C$54&gt;0,Results!$E$4="Fluid"),((FG47*FG$51)/(FG$54)),IF(AND(Results!$E$4="Cells",Results!$E$5="Million",$B$52="million"),((FG47*FG$51)/(FG$52)),"0")))))</f>
        <v>0</v>
      </c>
      <c r="FH100" s="20" t="str">
        <f>IF(FH47=0,"0",IF(AND(Results!$E$5="Protein",$C$53&gt;0,OR(Results!$E$4="Tissue",Results!$E$4="Cells")),((FH47*FH$51)/(FH$53)),IF(AND(Results!$E$5="Weight",$C$52&gt;0, Results!$E$4="Tissue",OR($B$52="g",$B$52="mg")),((FH47*FH$51)/(FH$52)),IF(AND(Results!$E$5="Volume",$C$54&gt;0,Results!$E$4="Fluid"),((FH47*FH$51)/(FH$54)),IF(AND(Results!$E$4="Cells",Results!$E$5="Million",$B$52="million"),((FH47*FH$51)/(FH$52)),"0")))))</f>
        <v>0</v>
      </c>
      <c r="FI100" s="20" t="str">
        <f>IF(FI47=0,"0",IF(AND(Results!$E$5="Protein",$C$53&gt;0,OR(Results!$E$4="Tissue",Results!$E$4="Cells")),((FI47*FI$51)/(FI$53)),IF(AND(Results!$E$5="Weight",$C$52&gt;0, Results!$E$4="Tissue",OR($B$52="g",$B$52="mg")),((FI47*FI$51)/(FI$52)),IF(AND(Results!$E$5="Volume",$C$54&gt;0,Results!$E$4="Fluid"),((FI47*FI$51)/(FI$54)),IF(AND(Results!$E$4="Cells",Results!$E$5="Million",$B$52="million"),((FI47*FI$51)/(FI$52)),"0")))))</f>
        <v>0</v>
      </c>
      <c r="FJ100" s="20" t="str">
        <f>IF(FJ47=0,"0",IF(AND(Results!$E$5="Protein",$C$53&gt;0,OR(Results!$E$4="Tissue",Results!$E$4="Cells")),((FJ47*FJ$51)/(FJ$53)),IF(AND(Results!$E$5="Weight",$C$52&gt;0, Results!$E$4="Tissue",OR($B$52="g",$B$52="mg")),((FJ47*FJ$51)/(FJ$52)),IF(AND(Results!$E$5="Volume",$C$54&gt;0,Results!$E$4="Fluid"),((FJ47*FJ$51)/(FJ$54)),IF(AND(Results!$E$4="Cells",Results!$E$5="Million",$B$52="million"),((FJ47*FJ$51)/(FJ$52)),"0")))))</f>
        <v>0</v>
      </c>
      <c r="FK100" s="20" t="str">
        <f>IF(FK47=0,"0",IF(AND(Results!$E$5="Protein",$C$53&gt;0,OR(Results!$E$4="Tissue",Results!$E$4="Cells")),((FK47*FK$51)/(FK$53)),IF(AND(Results!$E$5="Weight",$C$52&gt;0, Results!$E$4="Tissue",OR($B$52="g",$B$52="mg")),((FK47*FK$51)/(FK$52)),IF(AND(Results!$E$5="Volume",$C$54&gt;0,Results!$E$4="Fluid"),((FK47*FK$51)/(FK$54)),IF(AND(Results!$E$4="Cells",Results!$E$5="Million",$B$52="million"),((FK47*FK$51)/(FK$52)),"0")))))</f>
        <v>0</v>
      </c>
      <c r="FL100" s="20" t="str">
        <f>IF(FL47=0,"0",IF(AND(Results!$E$5="Protein",$C$53&gt;0,OR(Results!$E$4="Tissue",Results!$E$4="Cells")),((FL47*FL$51)/(FL$53)),IF(AND(Results!$E$5="Weight",$C$52&gt;0, Results!$E$4="Tissue",OR($B$52="g",$B$52="mg")),((FL47*FL$51)/(FL$52)),IF(AND(Results!$E$5="Volume",$C$54&gt;0,Results!$E$4="Fluid"),((FL47*FL$51)/(FL$54)),IF(AND(Results!$E$4="Cells",Results!$E$5="Million",$B$52="million"),((FL47*FL$51)/(FL$52)),"0")))))</f>
        <v>0</v>
      </c>
      <c r="FM100" s="20" t="str">
        <f>IF(FM47=0,"0",IF(AND(Results!$E$5="Protein",$C$53&gt;0,OR(Results!$E$4="Tissue",Results!$E$4="Cells")),((FM47*FM$51)/(FM$53)),IF(AND(Results!$E$5="Weight",$C$52&gt;0, Results!$E$4="Tissue",OR($B$52="g",$B$52="mg")),((FM47*FM$51)/(FM$52)),IF(AND(Results!$E$5="Volume",$C$54&gt;0,Results!$E$4="Fluid"),((FM47*FM$51)/(FM$54)),IF(AND(Results!$E$4="Cells",Results!$E$5="Million",$B$52="million"),((FM47*FM$51)/(FM$52)),"0")))))</f>
        <v>0</v>
      </c>
      <c r="FN100" s="20" t="str">
        <f>IF(FN47=0,"0",IF(AND(Results!$E$5="Protein",$C$53&gt;0,OR(Results!$E$4="Tissue",Results!$E$4="Cells")),((FN47*FN$51)/(FN$53)),IF(AND(Results!$E$5="Weight",$C$52&gt;0, Results!$E$4="Tissue",OR($B$52="g",$B$52="mg")),((FN47*FN$51)/(FN$52)),IF(AND(Results!$E$5="Volume",$C$54&gt;0,Results!$E$4="Fluid"),((FN47*FN$51)/(FN$54)),IF(AND(Results!$E$4="Cells",Results!$E$5="Million",$B$52="million"),((FN47*FN$51)/(FN$52)),"0")))))</f>
        <v>0</v>
      </c>
      <c r="FO100" s="20" t="str">
        <f>IF(FO47=0,"0",IF(AND(Results!$E$5="Protein",$C$53&gt;0,OR(Results!$E$4="Tissue",Results!$E$4="Cells")),((FO47*FO$51)/(FO$53)),IF(AND(Results!$E$5="Weight",$C$52&gt;0, Results!$E$4="Tissue",OR($B$52="g",$B$52="mg")),((FO47*FO$51)/(FO$52)),IF(AND(Results!$E$5="Volume",$C$54&gt;0,Results!$E$4="Fluid"),((FO47*FO$51)/(FO$54)),IF(AND(Results!$E$4="Cells",Results!$E$5="Million",$B$52="million"),((FO47*FO$51)/(FO$52)),"0")))))</f>
        <v>0</v>
      </c>
    </row>
    <row r="101" spans="1:171" x14ac:dyDescent="0.2">
      <c r="A101" s="120" t="str">
        <f>A48</f>
        <v xml:space="preserve">RvD3 </v>
      </c>
      <c r="B101" s="121"/>
      <c r="C101" s="20" t="str">
        <f>IF(C48=0,"0",IF(AND(Results!$E$5="Protein",$C$53&gt;0,OR(Results!$E$4="Tissue",Results!$E$4="Cells")),((C48*C$51)/(C$53)),IF(AND(Results!$E$5="Weight",$C$52&gt;0, Results!$E$4="Tissue",OR($B$52="g",$B$52="mg")),((C48*C$51)/(C$52)),IF(AND(Results!$E$5="Volume",$C$54&gt;0,Results!$E$4="Fluid"),((C48*C$51)/(C$54)),IF(AND(Results!$E$4="Cells",Results!$E$5="Million",$B$52="million"),((C48*C$51)/(C$52)),"0")))))</f>
        <v>0</v>
      </c>
      <c r="D101" s="20" t="str">
        <f>IF(D48=0,"0",IF(AND(Results!$E$5="Protein",$C$53&gt;0,OR(Results!$E$4="Tissue",Results!$E$4="Cells")),((D48*D$51)/(D$53)),IF(AND(Results!$E$5="Weight",$C$52&gt;0, Results!$E$4="Tissue",OR($B$52="g",$B$52="mg")),((D48*D$51)/(D$52)),IF(AND(Results!$E$5="Volume",$C$54&gt;0,Results!$E$4="Fluid"),((D48*D$51)/(D$54)),IF(AND(Results!$E$4="Cells",Results!$E$5="Million",$B$52="million"),((D48*D$51)/(D$52)),"0")))))</f>
        <v>0</v>
      </c>
      <c r="E101" s="20" t="str">
        <f>IF(E48=0,"0",IF(AND(Results!$E$5="Protein",$C$53&gt;0,OR(Results!$E$4="Tissue",Results!$E$4="Cells")),((E48*E$51)/(E$53)),IF(AND(Results!$E$5="Weight",$C$52&gt;0, Results!$E$4="Tissue",OR($B$52="g",$B$52="mg")),((E48*E$51)/(E$52)),IF(AND(Results!$E$5="Volume",$C$54&gt;0,Results!$E$4="Fluid"),((E48*E$51)/(E$54)),IF(AND(Results!$E$4="Cells",Results!$E$5="Million",$B$52="million"),((E48*E$51)/(E$52)),"0")))))</f>
        <v>0</v>
      </c>
      <c r="F101" s="20" t="str">
        <f>IF(F48=0,"0",IF(AND(Results!$E$5="Protein",$C$53&gt;0,OR(Results!$E$4="Tissue",Results!$E$4="Cells")),((F48*F$51)/(F$53)),IF(AND(Results!$E$5="Weight",$C$52&gt;0, Results!$E$4="Tissue",OR($B$52="g",$B$52="mg")),((F48*F$51)/(F$52)),IF(AND(Results!$E$5="Volume",$C$54&gt;0,Results!$E$4="Fluid"),((F48*F$51)/(F$54)),IF(AND(Results!$E$4="Cells",Results!$E$5="Million",$B$52="million"),((F48*F$51)/(F$52)),"0")))))</f>
        <v>0</v>
      </c>
      <c r="G101" s="20" t="str">
        <f>IF(G48=0,"0",IF(AND(Results!$E$5="Protein",$C$53&gt;0,OR(Results!$E$4="Tissue",Results!$E$4="Cells")),((G48*G$51)/(G$53)),IF(AND(Results!$E$5="Weight",$C$52&gt;0, Results!$E$4="Tissue",OR($B$52="g",$B$52="mg")),((G48*G$51)/(G$52)),IF(AND(Results!$E$5="Volume",$C$54&gt;0,Results!$E$4="Fluid"),((G48*G$51)/(G$54)),IF(AND(Results!$E$4="Cells",Results!$E$5="Million",$B$52="million"),((G48*G$51)/(G$52)),"0")))))</f>
        <v>0</v>
      </c>
      <c r="H101" s="20" t="str">
        <f>IF(H48=0,"0",IF(AND(Results!$E$5="Protein",$C$53&gt;0,OR(Results!$E$4="Tissue",Results!$E$4="Cells")),((H48*H$51)/(H$53)),IF(AND(Results!$E$5="Weight",$C$52&gt;0, Results!$E$4="Tissue",OR($B$52="g",$B$52="mg")),((H48*H$51)/(H$52)),IF(AND(Results!$E$5="Volume",$C$54&gt;0,Results!$E$4="Fluid"),((H48*H$51)/(H$54)),IF(AND(Results!$E$4="Cells",Results!$E$5="Million",$B$52="million"),((H48*H$51)/(H$52)),"0")))))</f>
        <v>0</v>
      </c>
      <c r="I101" s="20" t="str">
        <f>IF(I48=0,"0",IF(AND(Results!$E$5="Protein",$C$53&gt;0,OR(Results!$E$4="Tissue",Results!$E$4="Cells")),((I48*I$51)/(I$53)),IF(AND(Results!$E$5="Weight",$C$52&gt;0, Results!$E$4="Tissue",OR($B$52="g",$B$52="mg")),((I48*I$51)/(I$52)),IF(AND(Results!$E$5="Volume",$C$54&gt;0,Results!$E$4="Fluid"),((I48*I$51)/(I$54)),IF(AND(Results!$E$4="Cells",Results!$E$5="Million",$B$52="million"),((I48*I$51)/(I$52)),"0")))))</f>
        <v>0</v>
      </c>
      <c r="J101" s="20" t="str">
        <f>IF(J48=0,"0",IF(AND(Results!$E$5="Protein",$C$53&gt;0,OR(Results!$E$4="Tissue",Results!$E$4="Cells")),((J48*J$51)/(J$53)),IF(AND(Results!$E$5="Weight",$C$52&gt;0, Results!$E$4="Tissue",OR($B$52="g",$B$52="mg")),((J48*J$51)/(J$52)),IF(AND(Results!$E$5="Volume",$C$54&gt;0,Results!$E$4="Fluid"),((J48*J$51)/(J$54)),IF(AND(Results!$E$4="Cells",Results!$E$5="Million",$B$52="million"),((J48*J$51)/(J$52)),"0")))))</f>
        <v>0</v>
      </c>
      <c r="K101" s="20" t="str">
        <f>IF(K48=0,"0",IF(AND(Results!$E$5="Protein",$C$53&gt;0,OR(Results!$E$4="Tissue",Results!$E$4="Cells")),((K48*K$51)/(K$53)),IF(AND(Results!$E$5="Weight",$C$52&gt;0, Results!$E$4="Tissue",OR($B$52="g",$B$52="mg")),((K48*K$51)/(K$52)),IF(AND(Results!$E$5="Volume",$C$54&gt;0,Results!$E$4="Fluid"),((K48*K$51)/(K$54)),IF(AND(Results!$E$4="Cells",Results!$E$5="Million",$B$52="million"),((K48*K$51)/(K$52)),"0")))))</f>
        <v>0</v>
      </c>
      <c r="L101" s="20" t="str">
        <f>IF(L48=0,"0",IF(AND(Results!$E$5="Protein",$C$53&gt;0,OR(Results!$E$4="Tissue",Results!$E$4="Cells")),((L48*L$51)/(L$53)),IF(AND(Results!$E$5="Weight",$C$52&gt;0, Results!$E$4="Tissue",OR($B$52="g",$B$52="mg")),((L48*L$51)/(L$52)),IF(AND(Results!$E$5="Volume",$C$54&gt;0,Results!$E$4="Fluid"),((L48*L$51)/(L$54)),IF(AND(Results!$E$4="Cells",Results!$E$5="Million",$B$52="million"),((L48*L$51)/(L$52)),"0")))))</f>
        <v>0</v>
      </c>
      <c r="M101" s="20" t="str">
        <f>IF(M48=0,"0",IF(AND(Results!$E$5="Protein",$C$53&gt;0,OR(Results!$E$4="Tissue",Results!$E$4="Cells")),((M48*M$51)/(M$53)),IF(AND(Results!$E$5="Weight",$C$52&gt;0, Results!$E$4="Tissue",OR($B$52="g",$B$52="mg")),((M48*M$51)/(M$52)),IF(AND(Results!$E$5="Volume",$C$54&gt;0,Results!$E$4="Fluid"),((M48*M$51)/(M$54)),IF(AND(Results!$E$4="Cells",Results!$E$5="Million",$B$52="million"),((M48*M$51)/(M$52)),"0")))))</f>
        <v>0</v>
      </c>
      <c r="N101" s="20" t="str">
        <f>IF(N48=0,"0",IF(AND(Results!$E$5="Protein",$C$53&gt;0,OR(Results!$E$4="Tissue",Results!$E$4="Cells")),((N48*N$51)/(N$53)),IF(AND(Results!$E$5="Weight",$C$52&gt;0, Results!$E$4="Tissue",OR($B$52="g",$B$52="mg")),((N48*N$51)/(N$52)),IF(AND(Results!$E$5="Volume",$C$54&gt;0,Results!$E$4="Fluid"),((N48*N$51)/(N$54)),IF(AND(Results!$E$4="Cells",Results!$E$5="Million",$B$52="million"),((N48*N$51)/(N$52)),"0")))))</f>
        <v>0</v>
      </c>
      <c r="O101" s="20" t="str">
        <f>IF(O48=0,"0",IF(AND(Results!$E$5="Protein",$C$53&gt;0,OR(Results!$E$4="Tissue",Results!$E$4="Cells")),((O48*O$51)/(O$53)),IF(AND(Results!$E$5="Weight",$C$52&gt;0, Results!$E$4="Tissue",OR($B$52="g",$B$52="mg")),((O48*O$51)/(O$52)),IF(AND(Results!$E$5="Volume",$C$54&gt;0,Results!$E$4="Fluid"),((O48*O$51)/(O$54)),IF(AND(Results!$E$4="Cells",Results!$E$5="Million",$B$52="million"),((O48*O$51)/(O$52)),"0")))))</f>
        <v>0</v>
      </c>
      <c r="P101" s="20" t="str">
        <f>IF(P48=0,"0",IF(AND(Results!$E$5="Protein",$C$53&gt;0,OR(Results!$E$4="Tissue",Results!$E$4="Cells")),((P48*P$51)/(P$53)),IF(AND(Results!$E$5="Weight",$C$52&gt;0, Results!$E$4="Tissue",OR($B$52="g",$B$52="mg")),((P48*P$51)/(P$52)),IF(AND(Results!$E$5="Volume",$C$54&gt;0,Results!$E$4="Fluid"),((P48*P$51)/(P$54)),IF(AND(Results!$E$4="Cells",Results!$E$5="Million",$B$52="million"),((P48*P$51)/(P$52)),"0")))))</f>
        <v>0</v>
      </c>
      <c r="Q101" s="20" t="str">
        <f>IF(Q48=0,"0",IF(AND(Results!$E$5="Protein",$C$53&gt;0,OR(Results!$E$4="Tissue",Results!$E$4="Cells")),((Q48*Q$51)/(Q$53)),IF(AND(Results!$E$5="Weight",$C$52&gt;0, Results!$E$4="Tissue",OR($B$52="g",$B$52="mg")),((Q48*Q$51)/(Q$52)),IF(AND(Results!$E$5="Volume",$C$54&gt;0,Results!$E$4="Fluid"),((Q48*Q$51)/(Q$54)),IF(AND(Results!$E$4="Cells",Results!$E$5="Million",$B$52="million"),((Q48*Q$51)/(Q$52)),"0")))))</f>
        <v>0</v>
      </c>
      <c r="R101" s="20" t="str">
        <f>IF(R48=0,"0",IF(AND(Results!$E$5="Protein",$C$53&gt;0,OR(Results!$E$4="Tissue",Results!$E$4="Cells")),((R48*R$51)/(R$53)),IF(AND(Results!$E$5="Weight",$C$52&gt;0, Results!$E$4="Tissue",OR($B$52="g",$B$52="mg")),((R48*R$51)/(R$52)),IF(AND(Results!$E$5="Volume",$C$54&gt;0,Results!$E$4="Fluid"),((R48*R$51)/(R$54)),IF(AND(Results!$E$4="Cells",Results!$E$5="Million",$B$52="million"),((R48*R$51)/(R$52)),"0")))))</f>
        <v>0</v>
      </c>
      <c r="S101" s="20" t="str">
        <f>IF(S48=0,"0",IF(AND(Results!$E$5="Protein",$C$53&gt;0,OR(Results!$E$4="Tissue",Results!$E$4="Cells")),((S48*S$51)/(S$53)),IF(AND(Results!$E$5="Weight",$C$52&gt;0, Results!$E$4="Tissue",OR($B$52="g",$B$52="mg")),((S48*S$51)/(S$52)),IF(AND(Results!$E$5="Volume",$C$54&gt;0,Results!$E$4="Fluid"),((S48*S$51)/(S$54)),IF(AND(Results!$E$4="Cells",Results!$E$5="Million",$B$52="million"),((S48*S$51)/(S$52)),"0")))))</f>
        <v>0</v>
      </c>
      <c r="T101" s="20" t="str">
        <f>IF(T48=0,"0",IF(AND(Results!$E$5="Protein",$C$53&gt;0,OR(Results!$E$4="Tissue",Results!$E$4="Cells")),((T48*T$51)/(T$53)),IF(AND(Results!$E$5="Weight",$C$52&gt;0, Results!$E$4="Tissue",OR($B$52="g",$B$52="mg")),((T48*T$51)/(T$52)),IF(AND(Results!$E$5="Volume",$C$54&gt;0,Results!$E$4="Fluid"),((T48*T$51)/(T$54)),IF(AND(Results!$E$4="Cells",Results!$E$5="Million",$B$52="million"),((T48*T$51)/(T$52)),"0")))))</f>
        <v>0</v>
      </c>
      <c r="U101" s="20" t="str">
        <f>IF(U48=0,"0",IF(AND(Results!$E$5="Protein",$C$53&gt;0,OR(Results!$E$4="Tissue",Results!$E$4="Cells")),((U48*U$51)/(U$53)),IF(AND(Results!$E$5="Weight",$C$52&gt;0, Results!$E$4="Tissue",OR($B$52="g",$B$52="mg")),((U48*U$51)/(U$52)),IF(AND(Results!$E$5="Volume",$C$54&gt;0,Results!$E$4="Fluid"),((U48*U$51)/(U$54)),IF(AND(Results!$E$4="Cells",Results!$E$5="Million",$B$52="million"),((U48*U$51)/(U$52)),"0")))))</f>
        <v>0</v>
      </c>
      <c r="V101" s="20" t="str">
        <f>IF(V48=0,"0",IF(AND(Results!$E$5="Protein",$C$53&gt;0,OR(Results!$E$4="Tissue",Results!$E$4="Cells")),((V48*V$51)/(V$53)),IF(AND(Results!$E$5="Weight",$C$52&gt;0, Results!$E$4="Tissue",OR($B$52="g",$B$52="mg")),((V48*V$51)/(V$52)),IF(AND(Results!$E$5="Volume",$C$54&gt;0,Results!$E$4="Fluid"),((V48*V$51)/(V$54)),IF(AND(Results!$E$4="Cells",Results!$E$5="Million",$B$52="million"),((V48*V$51)/(V$52)),"0")))))</f>
        <v>0</v>
      </c>
      <c r="W101" s="20" t="str">
        <f>IF(W48=0,"0",IF(AND(Results!$E$5="Protein",$C$53&gt;0,OR(Results!$E$4="Tissue",Results!$E$4="Cells")),((W48*W$51)/(W$53)),IF(AND(Results!$E$5="Weight",$C$52&gt;0, Results!$E$4="Tissue",OR($B$52="g",$B$52="mg")),((W48*W$51)/(W$52)),IF(AND(Results!$E$5="Volume",$C$54&gt;0,Results!$E$4="Fluid"),((W48*W$51)/(W$54)),IF(AND(Results!$E$4="Cells",Results!$E$5="Million",$B$52="million"),((W48*W$51)/(W$52)),"0")))))</f>
        <v>0</v>
      </c>
      <c r="X101" s="20" t="str">
        <f>IF(X48=0,"0",IF(AND(Results!$E$5="Protein",$C$53&gt;0,OR(Results!$E$4="Tissue",Results!$E$4="Cells")),((X48*X$51)/(X$53)),IF(AND(Results!$E$5="Weight",$C$52&gt;0, Results!$E$4="Tissue",OR($B$52="g",$B$52="mg")),((X48*X$51)/(X$52)),IF(AND(Results!$E$5="Volume",$C$54&gt;0,Results!$E$4="Fluid"),((X48*X$51)/(X$54)),IF(AND(Results!$E$4="Cells",Results!$E$5="Million",$B$52="million"),((X48*X$51)/(X$52)),"0")))))</f>
        <v>0</v>
      </c>
      <c r="Y101" s="20" t="str">
        <f>IF(Y48=0,"0",IF(AND(Results!$E$5="Protein",$C$53&gt;0,OR(Results!$E$4="Tissue",Results!$E$4="Cells")),((Y48*Y$51)/(Y$53)),IF(AND(Results!$E$5="Weight",$C$52&gt;0, Results!$E$4="Tissue",OR($B$52="g",$B$52="mg")),((Y48*Y$51)/(Y$52)),IF(AND(Results!$E$5="Volume",$C$54&gt;0,Results!$E$4="Fluid"),((Y48*Y$51)/(Y$54)),IF(AND(Results!$E$4="Cells",Results!$E$5="Million",$B$52="million"),((Y48*Y$51)/(Y$52)),"0")))))</f>
        <v>0</v>
      </c>
      <c r="Z101" s="20" t="str">
        <f>IF(Z48=0,"0",IF(AND(Results!$E$5="Protein",$C$53&gt;0,OR(Results!$E$4="Tissue",Results!$E$4="Cells")),((Z48*Z$51)/(Z$53)),IF(AND(Results!$E$5="Weight",$C$52&gt;0, Results!$E$4="Tissue",OR($B$52="g",$B$52="mg")),((Z48*Z$51)/(Z$52)),IF(AND(Results!$E$5="Volume",$C$54&gt;0,Results!$E$4="Fluid"),((Z48*Z$51)/(Z$54)),IF(AND(Results!$E$4="Cells",Results!$E$5="Million",$B$52="million"),((Z48*Z$51)/(Z$52)),"0")))))</f>
        <v>0</v>
      </c>
      <c r="AA101" s="20" t="str">
        <f>IF(AA48=0,"0",IF(AND(Results!$E$5="Protein",$C$53&gt;0,OR(Results!$E$4="Tissue",Results!$E$4="Cells")),((AA48*AA$51)/(AA$53)),IF(AND(Results!$E$5="Weight",$C$52&gt;0, Results!$E$4="Tissue",OR($B$52="g",$B$52="mg")),((AA48*AA$51)/(AA$52)),IF(AND(Results!$E$5="Volume",$C$54&gt;0,Results!$E$4="Fluid"),((AA48*AA$51)/(AA$54)),IF(AND(Results!$E$4="Cells",Results!$E$5="Million",$B$52="million"),((AA48*AA$51)/(AA$52)),"0")))))</f>
        <v>0</v>
      </c>
      <c r="AB101" s="20" t="str">
        <f>IF(AB48=0,"0",IF(AND(Results!$E$5="Protein",$C$53&gt;0,OR(Results!$E$4="Tissue",Results!$E$4="Cells")),((AB48*AB$51)/(AB$53)),IF(AND(Results!$E$5="Weight",$C$52&gt;0, Results!$E$4="Tissue",OR($B$52="g",$B$52="mg")),((AB48*AB$51)/(AB$52)),IF(AND(Results!$E$5="Volume",$C$54&gt;0,Results!$E$4="Fluid"),((AB48*AB$51)/(AB$54)),IF(AND(Results!$E$4="Cells",Results!$E$5="Million",$B$52="million"),((AB48*AB$51)/(AB$52)),"0")))))</f>
        <v>0</v>
      </c>
      <c r="AC101" s="20" t="str">
        <f>IF(AC48=0,"0",IF(AND(Results!$E$5="Protein",$C$53&gt;0,OR(Results!$E$4="Tissue",Results!$E$4="Cells")),((AC48*AC$51)/(AC$53)),IF(AND(Results!$E$5="Weight",$C$52&gt;0, Results!$E$4="Tissue",OR($B$52="g",$B$52="mg")),((AC48*AC$51)/(AC$52)),IF(AND(Results!$E$5="Volume",$C$54&gt;0,Results!$E$4="Fluid"),((AC48*AC$51)/(AC$54)),IF(AND(Results!$E$4="Cells",Results!$E$5="Million",$B$52="million"),((AC48*AC$51)/(AC$52)),"0")))))</f>
        <v>0</v>
      </c>
      <c r="AD101" s="20" t="str">
        <f>IF(AD48=0,"0",IF(AND(Results!$E$5="Protein",$C$53&gt;0,OR(Results!$E$4="Tissue",Results!$E$4="Cells")),((AD48*AD$51)/(AD$53)),IF(AND(Results!$E$5="Weight",$C$52&gt;0, Results!$E$4="Tissue",OR($B$52="g",$B$52="mg")),((AD48*AD$51)/(AD$52)),IF(AND(Results!$E$5="Volume",$C$54&gt;0,Results!$E$4="Fluid"),((AD48*AD$51)/(AD$54)),IF(AND(Results!$E$4="Cells",Results!$E$5="Million",$B$52="million"),((AD48*AD$51)/(AD$52)),"0")))))</f>
        <v>0</v>
      </c>
      <c r="AE101" s="20" t="str">
        <f>IF(AE48=0,"0",IF(AND(Results!$E$5="Protein",$C$53&gt;0,OR(Results!$E$4="Tissue",Results!$E$4="Cells")),((AE48*AE$51)/(AE$53)),IF(AND(Results!$E$5="Weight",$C$52&gt;0, Results!$E$4="Tissue",OR($B$52="g",$B$52="mg")),((AE48*AE$51)/(AE$52)),IF(AND(Results!$E$5="Volume",$C$54&gt;0,Results!$E$4="Fluid"),((AE48*AE$51)/(AE$54)),IF(AND(Results!$E$4="Cells",Results!$E$5="Million",$B$52="million"),((AE48*AE$51)/(AE$52)),"0")))))</f>
        <v>0</v>
      </c>
      <c r="AF101" s="20" t="str">
        <f>IF(AF48=0,"0",IF(AND(Results!$E$5="Protein",$C$53&gt;0,OR(Results!$E$4="Tissue",Results!$E$4="Cells")),((AF48*AF$51)/(AF$53)),IF(AND(Results!$E$5="Weight",$C$52&gt;0, Results!$E$4="Tissue",OR($B$52="g",$B$52="mg")),((AF48*AF$51)/(AF$52)),IF(AND(Results!$E$5="Volume",$C$54&gt;0,Results!$E$4="Fluid"),((AF48*AF$51)/(AF$54)),IF(AND(Results!$E$4="Cells",Results!$E$5="Million",$B$52="million"),((AF48*AF$51)/(AF$52)),"0")))))</f>
        <v>0</v>
      </c>
      <c r="AG101" s="20" t="str">
        <f>IF(AG48=0,"0",IF(AND(Results!$E$5="Protein",$C$53&gt;0,OR(Results!$E$4="Tissue",Results!$E$4="Cells")),((AG48*AG$51)/(AG$53)),IF(AND(Results!$E$5="Weight",$C$52&gt;0, Results!$E$4="Tissue",OR($B$52="g",$B$52="mg")),((AG48*AG$51)/(AG$52)),IF(AND(Results!$E$5="Volume",$C$54&gt;0,Results!$E$4="Fluid"),((AG48*AG$51)/(AG$54)),IF(AND(Results!$E$4="Cells",Results!$E$5="Million",$B$52="million"),((AG48*AG$51)/(AG$52)),"0")))))</f>
        <v>0</v>
      </c>
      <c r="AH101" s="20" t="str">
        <f>IF(AH48=0,"0",IF(AND(Results!$E$5="Protein",$C$53&gt;0,OR(Results!$E$4="Tissue",Results!$E$4="Cells")),((AH48*AH$51)/(AH$53)),IF(AND(Results!$E$5="Weight",$C$52&gt;0, Results!$E$4="Tissue",OR($B$52="g",$B$52="mg")),((AH48*AH$51)/(AH$52)),IF(AND(Results!$E$5="Volume",$C$54&gt;0,Results!$E$4="Fluid"),((AH48*AH$51)/(AH$54)),IF(AND(Results!$E$4="Cells",Results!$E$5="Million",$B$52="million"),((AH48*AH$51)/(AH$52)),"0")))))</f>
        <v>0</v>
      </c>
      <c r="AI101" s="20" t="str">
        <f>IF(AI48=0,"0",IF(AND(Results!$E$5="Protein",$C$53&gt;0,OR(Results!$E$4="Tissue",Results!$E$4="Cells")),((AI48*AI$51)/(AI$53)),IF(AND(Results!$E$5="Weight",$C$52&gt;0, Results!$E$4="Tissue",OR($B$52="g",$B$52="mg")),((AI48*AI$51)/(AI$52)),IF(AND(Results!$E$5="Volume",$C$54&gt;0,Results!$E$4="Fluid"),((AI48*AI$51)/(AI$54)),IF(AND(Results!$E$4="Cells",Results!$E$5="Million",$B$52="million"),((AI48*AI$51)/(AI$52)),"0")))))</f>
        <v>0</v>
      </c>
      <c r="AJ101" s="20" t="str">
        <f>IF(AJ48=0,"0",IF(AND(Results!$E$5="Protein",$C$53&gt;0,OR(Results!$E$4="Tissue",Results!$E$4="Cells")),((AJ48*AJ$51)/(AJ$53)),IF(AND(Results!$E$5="Weight",$C$52&gt;0, Results!$E$4="Tissue",OR($B$52="g",$B$52="mg")),((AJ48*AJ$51)/(AJ$52)),IF(AND(Results!$E$5="Volume",$C$54&gt;0,Results!$E$4="Fluid"),((AJ48*AJ$51)/(AJ$54)),IF(AND(Results!$E$4="Cells",Results!$E$5="Million",$B$52="million"),((AJ48*AJ$51)/(AJ$52)),"0")))))</f>
        <v>0</v>
      </c>
      <c r="AK101" s="20" t="str">
        <f>IF(AK48=0,"0",IF(AND(Results!$E$5="Protein",$C$53&gt;0,OR(Results!$E$4="Tissue",Results!$E$4="Cells")),((AK48*AK$51)/(AK$53)),IF(AND(Results!$E$5="Weight",$C$52&gt;0, Results!$E$4="Tissue",OR($B$52="g",$B$52="mg")),((AK48*AK$51)/(AK$52)),IF(AND(Results!$E$5="Volume",$C$54&gt;0,Results!$E$4="Fluid"),((AK48*AK$51)/(AK$54)),IF(AND(Results!$E$4="Cells",Results!$E$5="Million",$B$52="million"),((AK48*AK$51)/(AK$52)),"0")))))</f>
        <v>0</v>
      </c>
      <c r="AL101" s="20" t="str">
        <f>IF(AL48=0,"0",IF(AND(Results!$E$5="Protein",$C$53&gt;0,OR(Results!$E$4="Tissue",Results!$E$4="Cells")),((AL48*AL$51)/(AL$53)),IF(AND(Results!$E$5="Weight",$C$52&gt;0, Results!$E$4="Tissue",OR($B$52="g",$B$52="mg")),((AL48*AL$51)/(AL$52)),IF(AND(Results!$E$5="Volume",$C$54&gt;0,Results!$E$4="Fluid"),((AL48*AL$51)/(AL$54)),IF(AND(Results!$E$4="Cells",Results!$E$5="Million",$B$52="million"),((AL48*AL$51)/(AL$52)),"0")))))</f>
        <v>0</v>
      </c>
      <c r="AM101" s="20" t="str">
        <f>IF(AM48=0,"0",IF(AND(Results!$E$5="Protein",$C$53&gt;0,OR(Results!$E$4="Tissue",Results!$E$4="Cells")),((AM48*AM$51)/(AM$53)),IF(AND(Results!$E$5="Weight",$C$52&gt;0, Results!$E$4="Tissue",OR($B$52="g",$B$52="mg")),((AM48*AM$51)/(AM$52)),IF(AND(Results!$E$5="Volume",$C$54&gt;0,Results!$E$4="Fluid"),((AM48*AM$51)/(AM$54)),IF(AND(Results!$E$4="Cells",Results!$E$5="Million",$B$52="million"),((AM48*AM$51)/(AM$52)),"0")))))</f>
        <v>0</v>
      </c>
      <c r="AN101" s="20" t="str">
        <f>IF(AN48=0,"0",IF(AND(Results!$E$5="Protein",$C$53&gt;0,OR(Results!$E$4="Tissue",Results!$E$4="Cells")),((AN48*AN$51)/(AN$53)),IF(AND(Results!$E$5="Weight",$C$52&gt;0, Results!$E$4="Tissue",OR($B$52="g",$B$52="mg")),((AN48*AN$51)/(AN$52)),IF(AND(Results!$E$5="Volume",$C$54&gt;0,Results!$E$4="Fluid"),((AN48*AN$51)/(AN$54)),IF(AND(Results!$E$4="Cells",Results!$E$5="Million",$B$52="million"),((AN48*AN$51)/(AN$52)),"0")))))</f>
        <v>0</v>
      </c>
      <c r="AO101" s="20" t="str">
        <f>IF(AO48=0,"0",IF(AND(Results!$E$5="Protein",$C$53&gt;0,OR(Results!$E$4="Tissue",Results!$E$4="Cells")),((AO48*AO$51)/(AO$53)),IF(AND(Results!$E$5="Weight",$C$52&gt;0, Results!$E$4="Tissue",OR($B$52="g",$B$52="mg")),((AO48*AO$51)/(AO$52)),IF(AND(Results!$E$5="Volume",$C$54&gt;0,Results!$E$4="Fluid"),((AO48*AO$51)/(AO$54)),IF(AND(Results!$E$4="Cells",Results!$E$5="Million",$B$52="million"),((AO48*AO$51)/(AO$52)),"0")))))</f>
        <v>0</v>
      </c>
      <c r="AP101" s="20" t="str">
        <f>IF(AP48=0,"0",IF(AND(Results!$E$5="Protein",$C$53&gt;0,OR(Results!$E$4="Tissue",Results!$E$4="Cells")),((AP48*AP$51)/(AP$53)),IF(AND(Results!$E$5="Weight",$C$52&gt;0, Results!$E$4="Tissue",OR($B$52="g",$B$52="mg")),((AP48*AP$51)/(AP$52)),IF(AND(Results!$E$5="Volume",$C$54&gt;0,Results!$E$4="Fluid"),((AP48*AP$51)/(AP$54)),IF(AND(Results!$E$4="Cells",Results!$E$5="Million",$B$52="million"),((AP48*AP$51)/(AP$52)),"0")))))</f>
        <v>0</v>
      </c>
      <c r="AQ101" s="20" t="str">
        <f>IF(AQ48=0,"0",IF(AND(Results!$E$5="Protein",$C$53&gt;0,OR(Results!$E$4="Tissue",Results!$E$4="Cells")),((AQ48*AQ$51)/(AQ$53)),IF(AND(Results!$E$5="Weight",$C$52&gt;0, Results!$E$4="Tissue",OR($B$52="g",$B$52="mg")),((AQ48*AQ$51)/(AQ$52)),IF(AND(Results!$E$5="Volume",$C$54&gt;0,Results!$E$4="Fluid"),((AQ48*AQ$51)/(AQ$54)),IF(AND(Results!$E$4="Cells",Results!$E$5="Million",$B$52="million"),((AQ48*AQ$51)/(AQ$52)),"0")))))</f>
        <v>0</v>
      </c>
      <c r="AR101" s="20" t="str">
        <f>IF(AR48=0,"0",IF(AND(Results!$E$5="Protein",$C$53&gt;0,OR(Results!$E$4="Tissue",Results!$E$4="Cells")),((AR48*AR$51)/(AR$53)),IF(AND(Results!$E$5="Weight",$C$52&gt;0, Results!$E$4="Tissue",OR($B$52="g",$B$52="mg")),((AR48*AR$51)/(AR$52)),IF(AND(Results!$E$5="Volume",$C$54&gt;0,Results!$E$4="Fluid"),((AR48*AR$51)/(AR$54)),IF(AND(Results!$E$4="Cells",Results!$E$5="Million",$B$52="million"),((AR48*AR$51)/(AR$52)),"0")))))</f>
        <v>0</v>
      </c>
      <c r="AS101" s="20" t="str">
        <f>IF(AS48=0,"0",IF(AND(Results!$E$5="Protein",$C$53&gt;0,OR(Results!$E$4="Tissue",Results!$E$4="Cells")),((AS48*AS$51)/(AS$53)),IF(AND(Results!$E$5="Weight",$C$52&gt;0, Results!$E$4="Tissue",OR($B$52="g",$B$52="mg")),((AS48*AS$51)/(AS$52)),IF(AND(Results!$E$5="Volume",$C$54&gt;0,Results!$E$4="Fluid"),((AS48*AS$51)/(AS$54)),IF(AND(Results!$E$4="Cells",Results!$E$5="Million",$B$52="million"),((AS48*AS$51)/(AS$52)),"0")))))</f>
        <v>0</v>
      </c>
      <c r="AT101" s="20" t="str">
        <f>IF(AT48=0,"0",IF(AND(Results!$E$5="Protein",$C$53&gt;0,OR(Results!$E$4="Tissue",Results!$E$4="Cells")),((AT48*AT$51)/(AT$53)),IF(AND(Results!$E$5="Weight",$C$52&gt;0, Results!$E$4="Tissue",OR($B$52="g",$B$52="mg")),((AT48*AT$51)/(AT$52)),IF(AND(Results!$E$5="Volume",$C$54&gt;0,Results!$E$4="Fluid"),((AT48*AT$51)/(AT$54)),IF(AND(Results!$E$4="Cells",Results!$E$5="Million",$B$52="million"),((AT48*AT$51)/(AT$52)),"0")))))</f>
        <v>0</v>
      </c>
      <c r="AU101" s="20" t="str">
        <f>IF(AU48=0,"0",IF(AND(Results!$E$5="Protein",$C$53&gt;0,OR(Results!$E$4="Tissue",Results!$E$4="Cells")),((AU48*AU$51)/(AU$53)),IF(AND(Results!$E$5="Weight",$C$52&gt;0, Results!$E$4="Tissue",OR($B$52="g",$B$52="mg")),((AU48*AU$51)/(AU$52)),IF(AND(Results!$E$5="Volume",$C$54&gt;0,Results!$E$4="Fluid"),((AU48*AU$51)/(AU$54)),IF(AND(Results!$E$4="Cells",Results!$E$5="Million",$B$52="million"),((AU48*AU$51)/(AU$52)),"0")))))</f>
        <v>0</v>
      </c>
      <c r="AV101" s="20" t="str">
        <f>IF(AV48=0,"0",IF(AND(Results!$E$5="Protein",$C$53&gt;0,OR(Results!$E$4="Tissue",Results!$E$4="Cells")),((AV48*AV$51)/(AV$53)),IF(AND(Results!$E$5="Weight",$C$52&gt;0, Results!$E$4="Tissue",OR($B$52="g",$B$52="mg")),((AV48*AV$51)/(AV$52)),IF(AND(Results!$E$5="Volume",$C$54&gt;0,Results!$E$4="Fluid"),((AV48*AV$51)/(AV$54)),IF(AND(Results!$E$4="Cells",Results!$E$5="Million",$B$52="million"),((AV48*AV$51)/(AV$52)),"0")))))</f>
        <v>0</v>
      </c>
      <c r="AW101" s="20" t="str">
        <f>IF(AW48=0,"0",IF(AND(Results!$E$5="Protein",$C$53&gt;0,OR(Results!$E$4="Tissue",Results!$E$4="Cells")),((AW48*AW$51)/(AW$53)),IF(AND(Results!$E$5="Weight",$C$52&gt;0, Results!$E$4="Tissue",OR($B$52="g",$B$52="mg")),((AW48*AW$51)/(AW$52)),IF(AND(Results!$E$5="Volume",$C$54&gt;0,Results!$E$4="Fluid"),((AW48*AW$51)/(AW$54)),IF(AND(Results!$E$4="Cells",Results!$E$5="Million",$B$52="million"),((AW48*AW$51)/(AW$52)),"0")))))</f>
        <v>0</v>
      </c>
      <c r="AX101" s="20" t="str">
        <f>IF(AX48=0,"0",IF(AND(Results!$E$5="Protein",$C$53&gt;0,OR(Results!$E$4="Tissue",Results!$E$4="Cells")),((AX48*AX$51)/(AX$53)),IF(AND(Results!$E$5="Weight",$C$52&gt;0, Results!$E$4="Tissue",OR($B$52="g",$B$52="mg")),((AX48*AX$51)/(AX$52)),IF(AND(Results!$E$5="Volume",$C$54&gt;0,Results!$E$4="Fluid"),((AX48*AX$51)/(AX$54)),IF(AND(Results!$E$4="Cells",Results!$E$5="Million",$B$52="million"),((AX48*AX$51)/(AX$52)),"0")))))</f>
        <v>0</v>
      </c>
      <c r="AY101" s="20" t="str">
        <f>IF(AY48=0,"0",IF(AND(Results!$E$5="Protein",$C$53&gt;0,OR(Results!$E$4="Tissue",Results!$E$4="Cells")),((AY48*AY$51)/(AY$53)),IF(AND(Results!$E$5="Weight",$C$52&gt;0, Results!$E$4="Tissue",OR($B$52="g",$B$52="mg")),((AY48*AY$51)/(AY$52)),IF(AND(Results!$E$5="Volume",$C$54&gt;0,Results!$E$4="Fluid"),((AY48*AY$51)/(AY$54)),IF(AND(Results!$E$4="Cells",Results!$E$5="Million",$B$52="million"),((AY48*AY$51)/(AY$52)),"0")))))</f>
        <v>0</v>
      </c>
      <c r="AZ101" s="20" t="str">
        <f>IF(AZ48=0,"0",IF(AND(Results!$E$5="Protein",$C$53&gt;0,OR(Results!$E$4="Tissue",Results!$E$4="Cells")),((AZ48*AZ$51)/(AZ$53)),IF(AND(Results!$E$5="Weight",$C$52&gt;0, Results!$E$4="Tissue",OR($B$52="g",$B$52="mg")),((AZ48*AZ$51)/(AZ$52)),IF(AND(Results!$E$5="Volume",$C$54&gt;0,Results!$E$4="Fluid"),((AZ48*AZ$51)/(AZ$54)),IF(AND(Results!$E$4="Cells",Results!$E$5="Million",$B$52="million"),((AZ48*AZ$51)/(AZ$52)),"0")))))</f>
        <v>0</v>
      </c>
      <c r="BA101" s="20" t="str">
        <f>IF(BA48=0,"0",IF(AND(Results!$E$5="Protein",$C$53&gt;0,OR(Results!$E$4="Tissue",Results!$E$4="Cells")),((BA48*BA$51)/(BA$53)),IF(AND(Results!$E$5="Weight",$C$52&gt;0, Results!$E$4="Tissue",OR($B$52="g",$B$52="mg")),((BA48*BA$51)/(BA$52)),IF(AND(Results!$E$5="Volume",$C$54&gt;0,Results!$E$4="Fluid"),((BA48*BA$51)/(BA$54)),IF(AND(Results!$E$4="Cells",Results!$E$5="Million",$B$52="million"),((BA48*BA$51)/(BA$52)),"0")))))</f>
        <v>0</v>
      </c>
      <c r="BB101" s="20" t="str">
        <f>IF(BB48=0,"0",IF(AND(Results!$E$5="Protein",$C$53&gt;0,OR(Results!$E$4="Tissue",Results!$E$4="Cells")),((BB48*BB$51)/(BB$53)),IF(AND(Results!$E$5="Weight",$C$52&gt;0, Results!$E$4="Tissue",OR($B$52="g",$B$52="mg")),((BB48*BB$51)/(BB$52)),IF(AND(Results!$E$5="Volume",$C$54&gt;0,Results!$E$4="Fluid"),((BB48*BB$51)/(BB$54)),IF(AND(Results!$E$4="Cells",Results!$E$5="Million",$B$52="million"),((BB48*BB$51)/(BB$52)),"0")))))</f>
        <v>0</v>
      </c>
      <c r="BC101" s="20" t="str">
        <f>IF(BC48=0,"0",IF(AND(Results!$E$5="Protein",$C$53&gt;0,OR(Results!$E$4="Tissue",Results!$E$4="Cells")),((BC48*BC$51)/(BC$53)),IF(AND(Results!$E$5="Weight",$C$52&gt;0, Results!$E$4="Tissue",OR($B$52="g",$B$52="mg")),((BC48*BC$51)/(BC$52)),IF(AND(Results!$E$5="Volume",$C$54&gt;0,Results!$E$4="Fluid"),((BC48*BC$51)/(BC$54)),IF(AND(Results!$E$4="Cells",Results!$E$5="Million",$B$52="million"),((BC48*BC$51)/(BC$52)),"0")))))</f>
        <v>0</v>
      </c>
      <c r="BD101" s="20" t="str">
        <f>IF(BD48=0,"0",IF(AND(Results!$E$5="Protein",$C$53&gt;0,OR(Results!$E$4="Tissue",Results!$E$4="Cells")),((BD48*BD$51)/(BD$53)),IF(AND(Results!$E$5="Weight",$C$52&gt;0, Results!$E$4="Tissue",OR($B$52="g",$B$52="mg")),((BD48*BD$51)/(BD$52)),IF(AND(Results!$E$5="Volume",$C$54&gt;0,Results!$E$4="Fluid"),((BD48*BD$51)/(BD$54)),IF(AND(Results!$E$4="Cells",Results!$E$5="Million",$B$52="million"),((BD48*BD$51)/(BD$52)),"0")))))</f>
        <v>0</v>
      </c>
      <c r="BE101" s="20" t="str">
        <f>IF(BE48=0,"0",IF(AND(Results!$E$5="Protein",$C$53&gt;0,OR(Results!$E$4="Tissue",Results!$E$4="Cells")),((BE48*BE$51)/(BE$53)),IF(AND(Results!$E$5="Weight",$C$52&gt;0, Results!$E$4="Tissue",OR($B$52="g",$B$52="mg")),((BE48*BE$51)/(BE$52)),IF(AND(Results!$E$5="Volume",$C$54&gt;0,Results!$E$4="Fluid"),((BE48*BE$51)/(BE$54)),IF(AND(Results!$E$4="Cells",Results!$E$5="Million",$B$52="million"),((BE48*BE$51)/(BE$52)),"0")))))</f>
        <v>0</v>
      </c>
      <c r="BF101" s="20" t="str">
        <f>IF(BF48=0,"0",IF(AND(Results!$E$5="Protein",$C$53&gt;0,OR(Results!$E$4="Tissue",Results!$E$4="Cells")),((BF48*BF$51)/(BF$53)),IF(AND(Results!$E$5="Weight",$C$52&gt;0, Results!$E$4="Tissue",OR($B$52="g",$B$52="mg")),((BF48*BF$51)/(BF$52)),IF(AND(Results!$E$5="Volume",$C$54&gt;0,Results!$E$4="Fluid"),((BF48*BF$51)/(BF$54)),IF(AND(Results!$E$4="Cells",Results!$E$5="Million",$B$52="million"),((BF48*BF$51)/(BF$52)),"0")))))</f>
        <v>0</v>
      </c>
      <c r="BG101" s="20" t="str">
        <f>IF(BG48=0,"0",IF(AND(Results!$E$5="Protein",$C$53&gt;0,OR(Results!$E$4="Tissue",Results!$E$4="Cells")),((BG48*BG$51)/(BG$53)),IF(AND(Results!$E$5="Weight",$C$52&gt;0, Results!$E$4="Tissue",OR($B$52="g",$B$52="mg")),((BG48*BG$51)/(BG$52)),IF(AND(Results!$E$5="Volume",$C$54&gt;0,Results!$E$4="Fluid"),((BG48*BG$51)/(BG$54)),IF(AND(Results!$E$4="Cells",Results!$E$5="Million",$B$52="million"),((BG48*BG$51)/(BG$52)),"0")))))</f>
        <v>0</v>
      </c>
      <c r="BH101" s="20" t="str">
        <f>IF(BH48=0,"0",IF(AND(Results!$E$5="Protein",$C$53&gt;0,OR(Results!$E$4="Tissue",Results!$E$4="Cells")),((BH48*BH$51)/(BH$53)),IF(AND(Results!$E$5="Weight",$C$52&gt;0, Results!$E$4="Tissue",OR($B$52="g",$B$52="mg")),((BH48*BH$51)/(BH$52)),IF(AND(Results!$E$5="Volume",$C$54&gt;0,Results!$E$4="Fluid"),((BH48*BH$51)/(BH$54)),IF(AND(Results!$E$4="Cells",Results!$E$5="Million",$B$52="million"),((BH48*BH$51)/(BH$52)),"0")))))</f>
        <v>0</v>
      </c>
      <c r="BI101" s="20" t="str">
        <f>IF(BI48=0,"0",IF(AND(Results!$E$5="Protein",$C$53&gt;0,OR(Results!$E$4="Tissue",Results!$E$4="Cells")),((BI48*BI$51)/(BI$53)),IF(AND(Results!$E$5="Weight",$C$52&gt;0, Results!$E$4="Tissue",OR($B$52="g",$B$52="mg")),((BI48*BI$51)/(BI$52)),IF(AND(Results!$E$5="Volume",$C$54&gt;0,Results!$E$4="Fluid"),((BI48*BI$51)/(BI$54)),IF(AND(Results!$E$4="Cells",Results!$E$5="Million",$B$52="million"),((BI48*BI$51)/(BI$52)),"0")))))</f>
        <v>0</v>
      </c>
      <c r="BJ101" s="20" t="str">
        <f>IF(BJ48=0,"0",IF(AND(Results!$E$5="Protein",$C$53&gt;0,OR(Results!$E$4="Tissue",Results!$E$4="Cells")),((BJ48*BJ$51)/(BJ$53)),IF(AND(Results!$E$5="Weight",$C$52&gt;0, Results!$E$4="Tissue",OR($B$52="g",$B$52="mg")),((BJ48*BJ$51)/(BJ$52)),IF(AND(Results!$E$5="Volume",$C$54&gt;0,Results!$E$4="Fluid"),((BJ48*BJ$51)/(BJ$54)),IF(AND(Results!$E$4="Cells",Results!$E$5="Million",$B$52="million"),((BJ48*BJ$51)/(BJ$52)),"0")))))</f>
        <v>0</v>
      </c>
      <c r="BK101" s="20" t="str">
        <f>IF(BK48=0,"0",IF(AND(Results!$E$5="Protein",$C$53&gt;0,OR(Results!$E$4="Tissue",Results!$E$4="Cells")),((BK48*BK$51)/(BK$53)),IF(AND(Results!$E$5="Weight",$C$52&gt;0, Results!$E$4="Tissue",OR($B$52="g",$B$52="mg")),((BK48*BK$51)/(BK$52)),IF(AND(Results!$E$5="Volume",$C$54&gt;0,Results!$E$4="Fluid"),((BK48*BK$51)/(BK$54)),IF(AND(Results!$E$4="Cells",Results!$E$5="Million",$B$52="million"),((BK48*BK$51)/(BK$52)),"0")))))</f>
        <v>0</v>
      </c>
      <c r="BL101" s="20" t="str">
        <f>IF(BL48=0,"0",IF(AND(Results!$E$5="Protein",$C$53&gt;0,OR(Results!$E$4="Tissue",Results!$E$4="Cells")),((BL48*BL$51)/(BL$53)),IF(AND(Results!$E$5="Weight",$C$52&gt;0, Results!$E$4="Tissue",OR($B$52="g",$B$52="mg")),((BL48*BL$51)/(BL$52)),IF(AND(Results!$E$5="Volume",$C$54&gt;0,Results!$E$4="Fluid"),((BL48*BL$51)/(BL$54)),IF(AND(Results!$E$4="Cells",Results!$E$5="Million",$B$52="million"),((BL48*BL$51)/(BL$52)),"0")))))</f>
        <v>0</v>
      </c>
      <c r="BM101" s="20" t="str">
        <f>IF(BM48=0,"0",IF(AND(Results!$E$5="Protein",$C$53&gt;0,OR(Results!$E$4="Tissue",Results!$E$4="Cells")),((BM48*BM$51)/(BM$53)),IF(AND(Results!$E$5="Weight",$C$52&gt;0, Results!$E$4="Tissue",OR($B$52="g",$B$52="mg")),((BM48*BM$51)/(BM$52)),IF(AND(Results!$E$5="Volume",$C$54&gt;0,Results!$E$4="Fluid"),((BM48*BM$51)/(BM$54)),IF(AND(Results!$E$4="Cells",Results!$E$5="Million",$B$52="million"),((BM48*BM$51)/(BM$52)),"0")))))</f>
        <v>0</v>
      </c>
      <c r="BN101" s="20" t="str">
        <f>IF(BN48=0,"0",IF(AND(Results!$E$5="Protein",$C$53&gt;0,OR(Results!$E$4="Tissue",Results!$E$4="Cells")),((BN48*BN$51)/(BN$53)),IF(AND(Results!$E$5="Weight",$C$52&gt;0, Results!$E$4="Tissue",OR($B$52="g",$B$52="mg")),((BN48*BN$51)/(BN$52)),IF(AND(Results!$E$5="Volume",$C$54&gt;0,Results!$E$4="Fluid"),((BN48*BN$51)/(BN$54)),IF(AND(Results!$E$4="Cells",Results!$E$5="Million",$B$52="million"),((BN48*BN$51)/(BN$52)),"0")))))</f>
        <v>0</v>
      </c>
      <c r="BO101" s="20" t="str">
        <f>IF(BO48=0,"0",IF(AND(Results!$E$5="Protein",$C$53&gt;0,OR(Results!$E$4="Tissue",Results!$E$4="Cells")),((BO48*BO$51)/(BO$53)),IF(AND(Results!$E$5="Weight",$C$52&gt;0, Results!$E$4="Tissue",OR($B$52="g",$B$52="mg")),((BO48*BO$51)/(BO$52)),IF(AND(Results!$E$5="Volume",$C$54&gt;0,Results!$E$4="Fluid"),((BO48*BO$51)/(BO$54)),IF(AND(Results!$E$4="Cells",Results!$E$5="Million",$B$52="million"),((BO48*BO$51)/(BO$52)),"0")))))</f>
        <v>0</v>
      </c>
      <c r="BP101" s="20" t="str">
        <f>IF(BP48=0,"0",IF(AND(Results!$E$5="Protein",$C$53&gt;0,OR(Results!$E$4="Tissue",Results!$E$4="Cells")),((BP48*BP$51)/(BP$53)),IF(AND(Results!$E$5="Weight",$C$52&gt;0, Results!$E$4="Tissue",OR($B$52="g",$B$52="mg")),((BP48*BP$51)/(BP$52)),IF(AND(Results!$E$5="Volume",$C$54&gt;0,Results!$E$4="Fluid"),((BP48*BP$51)/(BP$54)),IF(AND(Results!$E$4="Cells",Results!$E$5="Million",$B$52="million"),((BP48*BP$51)/(BP$52)),"0")))))</f>
        <v>0</v>
      </c>
      <c r="BQ101" s="20" t="str">
        <f>IF(BQ48=0,"0",IF(AND(Results!$E$5="Protein",$C$53&gt;0,OR(Results!$E$4="Tissue",Results!$E$4="Cells")),((BQ48*BQ$51)/(BQ$53)),IF(AND(Results!$E$5="Weight",$C$52&gt;0, Results!$E$4="Tissue",OR($B$52="g",$B$52="mg")),((BQ48*BQ$51)/(BQ$52)),IF(AND(Results!$E$5="Volume",$C$54&gt;0,Results!$E$4="Fluid"),((BQ48*BQ$51)/(BQ$54)),IF(AND(Results!$E$4="Cells",Results!$E$5="Million",$B$52="million"),((BQ48*BQ$51)/(BQ$52)),"0")))))</f>
        <v>0</v>
      </c>
      <c r="BR101" s="20" t="str">
        <f>IF(BR48=0,"0",IF(AND(Results!$E$5="Protein",$C$53&gt;0,OR(Results!$E$4="Tissue",Results!$E$4="Cells")),((BR48*BR$51)/(BR$53)),IF(AND(Results!$E$5="Weight",$C$52&gt;0, Results!$E$4="Tissue",OR($B$52="g",$B$52="mg")),((BR48*BR$51)/(BR$52)),IF(AND(Results!$E$5="Volume",$C$54&gt;0,Results!$E$4="Fluid"),((BR48*BR$51)/(BR$54)),IF(AND(Results!$E$4="Cells",Results!$E$5="Million",$B$52="million"),((BR48*BR$51)/(BR$52)),"0")))))</f>
        <v>0</v>
      </c>
      <c r="BS101" s="20" t="str">
        <f>IF(BS48=0,"0",IF(AND(Results!$E$5="Protein",$C$53&gt;0,OR(Results!$E$4="Tissue",Results!$E$4="Cells")),((BS48*BS$51)/(BS$53)),IF(AND(Results!$E$5="Weight",$C$52&gt;0, Results!$E$4="Tissue",OR($B$52="g",$B$52="mg")),((BS48*BS$51)/(BS$52)),IF(AND(Results!$E$5="Volume",$C$54&gt;0,Results!$E$4="Fluid"),((BS48*BS$51)/(BS$54)),IF(AND(Results!$E$4="Cells",Results!$E$5="Million",$B$52="million"),((BS48*BS$51)/(BS$52)),"0")))))</f>
        <v>0</v>
      </c>
      <c r="BT101" s="20" t="str">
        <f>IF(BT48=0,"0",IF(AND(Results!$E$5="Protein",$C$53&gt;0,OR(Results!$E$4="Tissue",Results!$E$4="Cells")),((BT48*BT$51)/(BT$53)),IF(AND(Results!$E$5="Weight",$C$52&gt;0, Results!$E$4="Tissue",OR($B$52="g",$B$52="mg")),((BT48*BT$51)/(BT$52)),IF(AND(Results!$E$5="Volume",$C$54&gt;0,Results!$E$4="Fluid"),((BT48*BT$51)/(BT$54)),IF(AND(Results!$E$4="Cells",Results!$E$5="Million",$B$52="million"),((BT48*BT$51)/(BT$52)),"0")))))</f>
        <v>0</v>
      </c>
      <c r="BU101" s="20" t="str">
        <f>IF(BU48=0,"0",IF(AND(Results!$E$5="Protein",$C$53&gt;0,OR(Results!$E$4="Tissue",Results!$E$4="Cells")),((BU48*BU$51)/(BU$53)),IF(AND(Results!$E$5="Weight",$C$52&gt;0, Results!$E$4="Tissue",OR($B$52="g",$B$52="mg")),((BU48*BU$51)/(BU$52)),IF(AND(Results!$E$5="Volume",$C$54&gt;0,Results!$E$4="Fluid"),((BU48*BU$51)/(BU$54)),IF(AND(Results!$E$4="Cells",Results!$E$5="Million",$B$52="million"),((BU48*BU$51)/(BU$52)),"0")))))</f>
        <v>0</v>
      </c>
      <c r="BV101" s="20" t="str">
        <f>IF(BV48=0,"0",IF(AND(Results!$E$5="Protein",$C$53&gt;0,OR(Results!$E$4="Tissue",Results!$E$4="Cells")),((BV48*BV$51)/(BV$53)),IF(AND(Results!$E$5="Weight",$C$52&gt;0, Results!$E$4="Tissue",OR($B$52="g",$B$52="mg")),((BV48*BV$51)/(BV$52)),IF(AND(Results!$E$5="Volume",$C$54&gt;0,Results!$E$4="Fluid"),((BV48*BV$51)/(BV$54)),IF(AND(Results!$E$4="Cells",Results!$E$5="Million",$B$52="million"),((BV48*BV$51)/(BV$52)),"0")))))</f>
        <v>0</v>
      </c>
      <c r="BW101" s="20" t="str">
        <f>IF(BW48=0,"0",IF(AND(Results!$E$5="Protein",$C$53&gt;0,OR(Results!$E$4="Tissue",Results!$E$4="Cells")),((BW48*BW$51)/(BW$53)),IF(AND(Results!$E$5="Weight",$C$52&gt;0, Results!$E$4="Tissue",OR($B$52="g",$B$52="mg")),((BW48*BW$51)/(BW$52)),IF(AND(Results!$E$5="Volume",$C$54&gt;0,Results!$E$4="Fluid"),((BW48*BW$51)/(BW$54)),IF(AND(Results!$E$4="Cells",Results!$E$5="Million",$B$52="million"),((BW48*BW$51)/(BW$52)),"0")))))</f>
        <v>0</v>
      </c>
      <c r="BX101" s="20" t="str">
        <f>IF(BX48=0,"0",IF(AND(Results!$E$5="Protein",$C$53&gt;0,OR(Results!$E$4="Tissue",Results!$E$4="Cells")),((BX48*BX$51)/(BX$53)),IF(AND(Results!$E$5="Weight",$C$52&gt;0, Results!$E$4="Tissue",OR($B$52="g",$B$52="mg")),((BX48*BX$51)/(BX$52)),IF(AND(Results!$E$5="Volume",$C$54&gt;0,Results!$E$4="Fluid"),((BX48*BX$51)/(BX$54)),IF(AND(Results!$E$4="Cells",Results!$E$5="Million",$B$52="million"),((BX48*BX$51)/(BX$52)),"0")))))</f>
        <v>0</v>
      </c>
      <c r="BY101" s="20" t="str">
        <f>IF(BY48=0,"0",IF(AND(Results!$E$5="Protein",$C$53&gt;0,OR(Results!$E$4="Tissue",Results!$E$4="Cells")),((BY48*BY$51)/(BY$53)),IF(AND(Results!$E$5="Weight",$C$52&gt;0, Results!$E$4="Tissue",OR($B$52="g",$B$52="mg")),((BY48*BY$51)/(BY$52)),IF(AND(Results!$E$5="Volume",$C$54&gt;0,Results!$E$4="Fluid"),((BY48*BY$51)/(BY$54)),IF(AND(Results!$E$4="Cells",Results!$E$5="Million",$B$52="million"),((BY48*BY$51)/(BY$52)),"0")))))</f>
        <v>0</v>
      </c>
      <c r="BZ101" s="20" t="str">
        <f>IF(BZ48=0,"0",IF(AND(Results!$E$5="Protein",$C$53&gt;0,OR(Results!$E$4="Tissue",Results!$E$4="Cells")),((BZ48*BZ$51)/(BZ$53)),IF(AND(Results!$E$5="Weight",$C$52&gt;0, Results!$E$4="Tissue",OR($B$52="g",$B$52="mg")),((BZ48*BZ$51)/(BZ$52)),IF(AND(Results!$E$5="Volume",$C$54&gt;0,Results!$E$4="Fluid"),((BZ48*BZ$51)/(BZ$54)),IF(AND(Results!$E$4="Cells",Results!$E$5="Million",$B$52="million"),((BZ48*BZ$51)/(BZ$52)),"0")))))</f>
        <v>0</v>
      </c>
      <c r="CA101" s="20" t="str">
        <f>IF(CA48=0,"0",IF(AND(Results!$E$5="Protein",$C$53&gt;0,OR(Results!$E$4="Tissue",Results!$E$4="Cells")),((CA48*CA$51)/(CA$53)),IF(AND(Results!$E$5="Weight",$C$52&gt;0, Results!$E$4="Tissue",OR($B$52="g",$B$52="mg")),((CA48*CA$51)/(CA$52)),IF(AND(Results!$E$5="Volume",$C$54&gt;0,Results!$E$4="Fluid"),((CA48*CA$51)/(CA$54)),IF(AND(Results!$E$4="Cells",Results!$E$5="Million",$B$52="million"),((CA48*CA$51)/(CA$52)),"0")))))</f>
        <v>0</v>
      </c>
      <c r="CB101" s="20" t="str">
        <f>IF(CB48=0,"0",IF(AND(Results!$E$5="Protein",$C$53&gt;0,OR(Results!$E$4="Tissue",Results!$E$4="Cells")),((CB48*CB$51)/(CB$53)),IF(AND(Results!$E$5="Weight",$C$52&gt;0, Results!$E$4="Tissue",OR($B$52="g",$B$52="mg")),((CB48*CB$51)/(CB$52)),IF(AND(Results!$E$5="Volume",$C$54&gt;0,Results!$E$4="Fluid"),((CB48*CB$51)/(CB$54)),IF(AND(Results!$E$4="Cells",Results!$E$5="Million",$B$52="million"),((CB48*CB$51)/(CB$52)),"0")))))</f>
        <v>0</v>
      </c>
      <c r="CC101" s="20" t="str">
        <f>IF(CC48=0,"0",IF(AND(Results!$E$5="Protein",$C$53&gt;0,OR(Results!$E$4="Tissue",Results!$E$4="Cells")),((CC48*CC$51)/(CC$53)),IF(AND(Results!$E$5="Weight",$C$52&gt;0, Results!$E$4="Tissue",OR($B$52="g",$B$52="mg")),((CC48*CC$51)/(CC$52)),IF(AND(Results!$E$5="Volume",$C$54&gt;0,Results!$E$4="Fluid"),((CC48*CC$51)/(CC$54)),IF(AND(Results!$E$4="Cells",Results!$E$5="Million",$B$52="million"),((CC48*CC$51)/(CC$52)),"0")))))</f>
        <v>0</v>
      </c>
      <c r="CD101" s="20" t="str">
        <f>IF(CD48=0,"0",IF(AND(Results!$E$5="Protein",$C$53&gt;0,OR(Results!$E$4="Tissue",Results!$E$4="Cells")),((CD48*CD$51)/(CD$53)),IF(AND(Results!$E$5="Weight",$C$52&gt;0, Results!$E$4="Tissue",OR($B$52="g",$B$52="mg")),((CD48*CD$51)/(CD$52)),IF(AND(Results!$E$5="Volume",$C$54&gt;0,Results!$E$4="Fluid"),((CD48*CD$51)/(CD$54)),IF(AND(Results!$E$4="Cells",Results!$E$5="Million",$B$52="million"),((CD48*CD$51)/(CD$52)),"0")))))</f>
        <v>0</v>
      </c>
      <c r="CE101" s="20" t="str">
        <f>IF(CE48=0,"0",IF(AND(Results!$E$5="Protein",$C$53&gt;0,OR(Results!$E$4="Tissue",Results!$E$4="Cells")),((CE48*CE$51)/(CE$53)),IF(AND(Results!$E$5="Weight",$C$52&gt;0, Results!$E$4="Tissue",OR($B$52="g",$B$52="mg")),((CE48*CE$51)/(CE$52)),IF(AND(Results!$E$5="Volume",$C$54&gt;0,Results!$E$4="Fluid"),((CE48*CE$51)/(CE$54)),IF(AND(Results!$E$4="Cells",Results!$E$5="Million",$B$52="million"),((CE48*CE$51)/(CE$52)),"0")))))</f>
        <v>0</v>
      </c>
      <c r="CF101" s="20" t="str">
        <f>IF(CF48=0,"0",IF(AND(Results!$E$5="Protein",$C$53&gt;0,OR(Results!$E$4="Tissue",Results!$E$4="Cells")),((CF48*CF$51)/(CF$53)),IF(AND(Results!$E$5="Weight",$C$52&gt;0, Results!$E$4="Tissue",OR($B$52="g",$B$52="mg")),((CF48*CF$51)/(CF$52)),IF(AND(Results!$E$5="Volume",$C$54&gt;0,Results!$E$4="Fluid"),((CF48*CF$51)/(CF$54)),IF(AND(Results!$E$4="Cells",Results!$E$5="Million",$B$52="million"),((CF48*CF$51)/(CF$52)),"0")))))</f>
        <v>0</v>
      </c>
      <c r="CG101" s="20" t="str">
        <f>IF(CG48=0,"0",IF(AND(Results!$E$5="Protein",$C$53&gt;0,OR(Results!$E$4="Tissue",Results!$E$4="Cells")),((CG48*CG$51)/(CG$53)),IF(AND(Results!$E$5="Weight",$C$52&gt;0, Results!$E$4="Tissue",OR($B$52="g",$B$52="mg")),((CG48*CG$51)/(CG$52)),IF(AND(Results!$E$5="Volume",$C$54&gt;0,Results!$E$4="Fluid"),((CG48*CG$51)/(CG$54)),IF(AND(Results!$E$4="Cells",Results!$E$5="Million",$B$52="million"),((CG48*CG$51)/(CG$52)),"0")))))</f>
        <v>0</v>
      </c>
      <c r="CH101" s="20" t="str">
        <f>IF(CH48=0,"0",IF(AND(Results!$E$5="Protein",$C$53&gt;0,OR(Results!$E$4="Tissue",Results!$E$4="Cells")),((CH48*CH$51)/(CH$53)),IF(AND(Results!$E$5="Weight",$C$52&gt;0, Results!$E$4="Tissue",OR($B$52="g",$B$52="mg")),((CH48*CH$51)/(CH$52)),IF(AND(Results!$E$5="Volume",$C$54&gt;0,Results!$E$4="Fluid"),((CH48*CH$51)/(CH$54)),IF(AND(Results!$E$4="Cells",Results!$E$5="Million",$B$52="million"),((CH48*CH$51)/(CH$52)),"0")))))</f>
        <v>0</v>
      </c>
      <c r="CI101" s="20" t="str">
        <f>IF(CI48=0,"0",IF(AND(Results!$E$5="Protein",$C$53&gt;0,OR(Results!$E$4="Tissue",Results!$E$4="Cells")),((CI48*CI$51)/(CI$53)),IF(AND(Results!$E$5="Weight",$C$52&gt;0, Results!$E$4="Tissue",OR($B$52="g",$B$52="mg")),((CI48*CI$51)/(CI$52)),IF(AND(Results!$E$5="Volume",$C$54&gt;0,Results!$E$4="Fluid"),((CI48*CI$51)/(CI$54)),IF(AND(Results!$E$4="Cells",Results!$E$5="Million",$B$52="million"),((CI48*CI$51)/(CI$52)),"0")))))</f>
        <v>0</v>
      </c>
      <c r="CJ101" s="20" t="str">
        <f>IF(CJ48=0,"0",IF(AND(Results!$E$5="Protein",$C$53&gt;0,OR(Results!$E$4="Tissue",Results!$E$4="Cells")),((CJ48*CJ$51)/(CJ$53)),IF(AND(Results!$E$5="Weight",$C$52&gt;0, Results!$E$4="Tissue",OR($B$52="g",$B$52="mg")),((CJ48*CJ$51)/(CJ$52)),IF(AND(Results!$E$5="Volume",$C$54&gt;0,Results!$E$4="Fluid"),((CJ48*CJ$51)/(CJ$54)),IF(AND(Results!$E$4="Cells",Results!$E$5="Million",$B$52="million"),((CJ48*CJ$51)/(CJ$52)),"0")))))</f>
        <v>0</v>
      </c>
      <c r="CK101" s="20" t="str">
        <f>IF(CK48=0,"0",IF(AND(Results!$E$5="Protein",$C$53&gt;0,OR(Results!$E$4="Tissue",Results!$E$4="Cells")),((CK48*CK$51)/(CK$53)),IF(AND(Results!$E$5="Weight",$C$52&gt;0, Results!$E$4="Tissue",OR($B$52="g",$B$52="mg")),((CK48*CK$51)/(CK$52)),IF(AND(Results!$E$5="Volume",$C$54&gt;0,Results!$E$4="Fluid"),((CK48*CK$51)/(CK$54)),IF(AND(Results!$E$4="Cells",Results!$E$5="Million",$B$52="million"),((CK48*CK$51)/(CK$52)),"0")))))</f>
        <v>0</v>
      </c>
      <c r="CL101" s="20" t="str">
        <f>IF(CL48=0,"0",IF(AND(Results!$E$5="Protein",$C$53&gt;0,OR(Results!$E$4="Tissue",Results!$E$4="Cells")),((CL48*CL$51)/(CL$53)),IF(AND(Results!$E$5="Weight",$C$52&gt;0, Results!$E$4="Tissue",OR($B$52="g",$B$52="mg")),((CL48*CL$51)/(CL$52)),IF(AND(Results!$E$5="Volume",$C$54&gt;0,Results!$E$4="Fluid"),((CL48*CL$51)/(CL$54)),IF(AND(Results!$E$4="Cells",Results!$E$5="Million",$B$52="million"),((CL48*CL$51)/(CL$52)),"0")))))</f>
        <v>0</v>
      </c>
      <c r="CM101" s="20" t="str">
        <f>IF(CM48=0,"0",IF(AND(Results!$E$5="Protein",$C$53&gt;0,OR(Results!$E$4="Tissue",Results!$E$4="Cells")),((CM48*CM$51)/(CM$53)),IF(AND(Results!$E$5="Weight",$C$52&gt;0, Results!$E$4="Tissue",OR($B$52="g",$B$52="mg")),((CM48*CM$51)/(CM$52)),IF(AND(Results!$E$5="Volume",$C$54&gt;0,Results!$E$4="Fluid"),((CM48*CM$51)/(CM$54)),IF(AND(Results!$E$4="Cells",Results!$E$5="Million",$B$52="million"),((CM48*CM$51)/(CM$52)),"0")))))</f>
        <v>0</v>
      </c>
      <c r="CN101" s="20" t="str">
        <f>IF(CN48=0,"0",IF(AND(Results!$E$5="Protein",$C$53&gt;0,OR(Results!$E$4="Tissue",Results!$E$4="Cells")),((CN48*CN$51)/(CN$53)),IF(AND(Results!$E$5="Weight",$C$52&gt;0, Results!$E$4="Tissue",OR($B$52="g",$B$52="mg")),((CN48*CN$51)/(CN$52)),IF(AND(Results!$E$5="Volume",$C$54&gt;0,Results!$E$4="Fluid"),((CN48*CN$51)/(CN$54)),IF(AND(Results!$E$4="Cells",Results!$E$5="Million",$B$52="million"),((CN48*CN$51)/(CN$52)),"0")))))</f>
        <v>0</v>
      </c>
      <c r="CO101" s="20" t="str">
        <f>IF(CO48=0,"0",IF(AND(Results!$E$5="Protein",$C$53&gt;0,OR(Results!$E$4="Tissue",Results!$E$4="Cells")),((CO48*CO$51)/(CO$53)),IF(AND(Results!$E$5="Weight",$C$52&gt;0, Results!$E$4="Tissue",OR($B$52="g",$B$52="mg")),((CO48*CO$51)/(CO$52)),IF(AND(Results!$E$5="Volume",$C$54&gt;0,Results!$E$4="Fluid"),((CO48*CO$51)/(CO$54)),IF(AND(Results!$E$4="Cells",Results!$E$5="Million",$B$52="million"),((CO48*CO$51)/(CO$52)),"0")))))</f>
        <v>0</v>
      </c>
      <c r="CP101" s="20" t="str">
        <f>IF(CP48=0,"0",IF(AND(Results!$E$5="Protein",$C$53&gt;0,OR(Results!$E$4="Tissue",Results!$E$4="Cells")),((CP48*CP$51)/(CP$53)),IF(AND(Results!$E$5="Weight",$C$52&gt;0, Results!$E$4="Tissue",OR($B$52="g",$B$52="mg")),((CP48*CP$51)/(CP$52)),IF(AND(Results!$E$5="Volume",$C$54&gt;0,Results!$E$4="Fluid"),((CP48*CP$51)/(CP$54)),IF(AND(Results!$E$4="Cells",Results!$E$5="Million",$B$52="million"),((CP48*CP$51)/(CP$52)),"0")))))</f>
        <v>0</v>
      </c>
      <c r="CQ101" s="20" t="str">
        <f>IF(CQ48=0,"0",IF(AND(Results!$E$5="Protein",$C$53&gt;0,OR(Results!$E$4="Tissue",Results!$E$4="Cells")),((CQ48*CQ$51)/(CQ$53)),IF(AND(Results!$E$5="Weight",$C$52&gt;0, Results!$E$4="Tissue",OR($B$52="g",$B$52="mg")),((CQ48*CQ$51)/(CQ$52)),IF(AND(Results!$E$5="Volume",$C$54&gt;0,Results!$E$4="Fluid"),((CQ48*CQ$51)/(CQ$54)),IF(AND(Results!$E$4="Cells",Results!$E$5="Million",$B$52="million"),((CQ48*CQ$51)/(CQ$52)),"0")))))</f>
        <v>0</v>
      </c>
      <c r="CR101" s="20" t="str">
        <f>IF(CR48=0,"0",IF(AND(Results!$E$5="Protein",$C$53&gt;0,OR(Results!$E$4="Tissue",Results!$E$4="Cells")),((CR48*CR$51)/(CR$53)),IF(AND(Results!$E$5="Weight",$C$52&gt;0, Results!$E$4="Tissue",OR($B$52="g",$B$52="mg")),((CR48*CR$51)/(CR$52)),IF(AND(Results!$E$5="Volume",$C$54&gt;0,Results!$E$4="Fluid"),((CR48*CR$51)/(CR$54)),IF(AND(Results!$E$4="Cells",Results!$E$5="Million",$B$52="million"),((CR48*CR$51)/(CR$52)),"0")))))</f>
        <v>0</v>
      </c>
      <c r="CS101" s="20" t="str">
        <f>IF(CS48=0,"0",IF(AND(Results!$E$5="Protein",$C$53&gt;0,OR(Results!$E$4="Tissue",Results!$E$4="Cells")),((CS48*CS$51)/(CS$53)),IF(AND(Results!$E$5="Weight",$C$52&gt;0, Results!$E$4="Tissue",OR($B$52="g",$B$52="mg")),((CS48*CS$51)/(CS$52)),IF(AND(Results!$E$5="Volume",$C$54&gt;0,Results!$E$4="Fluid"),((CS48*CS$51)/(CS$54)),IF(AND(Results!$E$4="Cells",Results!$E$5="Million",$B$52="million"),((CS48*CS$51)/(CS$52)),"0")))))</f>
        <v>0</v>
      </c>
      <c r="CT101" s="20" t="str">
        <f>IF(CT48=0,"0",IF(AND(Results!$E$5="Protein",$C$53&gt;0,OR(Results!$E$4="Tissue",Results!$E$4="Cells")),((CT48*CT$51)/(CT$53)),IF(AND(Results!$E$5="Weight",$C$52&gt;0, Results!$E$4="Tissue",OR($B$52="g",$B$52="mg")),((CT48*CT$51)/(CT$52)),IF(AND(Results!$E$5="Volume",$C$54&gt;0,Results!$E$4="Fluid"),((CT48*CT$51)/(CT$54)),IF(AND(Results!$E$4="Cells",Results!$E$5="Million",$B$52="million"),((CT48*CT$51)/(CT$52)),"0")))))</f>
        <v>0</v>
      </c>
      <c r="CU101" s="20" t="str">
        <f>IF(CU48=0,"0",IF(AND(Results!$E$5="Protein",$C$53&gt;0,OR(Results!$E$4="Tissue",Results!$E$4="Cells")),((CU48*CU$51)/(CU$53)),IF(AND(Results!$E$5="Weight",$C$52&gt;0, Results!$E$4="Tissue",OR($B$52="g",$B$52="mg")),((CU48*CU$51)/(CU$52)),IF(AND(Results!$E$5="Volume",$C$54&gt;0,Results!$E$4="Fluid"),((CU48*CU$51)/(CU$54)),IF(AND(Results!$E$4="Cells",Results!$E$5="Million",$B$52="million"),((CU48*CU$51)/(CU$52)),"0")))))</f>
        <v>0</v>
      </c>
      <c r="CV101" s="20" t="str">
        <f>IF(CV48=0,"0",IF(AND(Results!$E$5="Protein",$C$53&gt;0,OR(Results!$E$4="Tissue",Results!$E$4="Cells")),((CV48*CV$51)/(CV$53)),IF(AND(Results!$E$5="Weight",$C$52&gt;0, Results!$E$4="Tissue",OR($B$52="g",$B$52="mg")),((CV48*CV$51)/(CV$52)),IF(AND(Results!$E$5="Volume",$C$54&gt;0,Results!$E$4="Fluid"),((CV48*CV$51)/(CV$54)),IF(AND(Results!$E$4="Cells",Results!$E$5="Million",$B$52="million"),((CV48*CV$51)/(CV$52)),"0")))))</f>
        <v>0</v>
      </c>
      <c r="CW101" s="20" t="str">
        <f>IF(CW48=0,"0",IF(AND(Results!$E$5="Protein",$C$53&gt;0,OR(Results!$E$4="Tissue",Results!$E$4="Cells")),((CW48*CW$51)/(CW$53)),IF(AND(Results!$E$5="Weight",$C$52&gt;0, Results!$E$4="Tissue",OR($B$52="g",$B$52="mg")),((CW48*CW$51)/(CW$52)),IF(AND(Results!$E$5="Volume",$C$54&gt;0,Results!$E$4="Fluid"),((CW48*CW$51)/(CW$54)),IF(AND(Results!$E$4="Cells",Results!$E$5="Million",$B$52="million"),((CW48*CW$51)/(CW$52)),"0")))))</f>
        <v>0</v>
      </c>
      <c r="CX101" s="20" t="str">
        <f>IF(CX48=0,"0",IF(AND(Results!$E$5="Protein",$C$53&gt;0,OR(Results!$E$4="Tissue",Results!$E$4="Cells")),((CX48*CX$51)/(CX$53)),IF(AND(Results!$E$5="Weight",$C$52&gt;0, Results!$E$4="Tissue",OR($B$52="g",$B$52="mg")),((CX48*CX$51)/(CX$52)),IF(AND(Results!$E$5="Volume",$C$54&gt;0,Results!$E$4="Fluid"),((CX48*CX$51)/(CX$54)),IF(AND(Results!$E$4="Cells",Results!$E$5="Million",$B$52="million"),((CX48*CX$51)/(CX$52)),"0")))))</f>
        <v>0</v>
      </c>
      <c r="CY101" s="20" t="str">
        <f>IF(CY48=0,"0",IF(AND(Results!$E$5="Protein",$C$53&gt;0,OR(Results!$E$4="Tissue",Results!$E$4="Cells")),((CY48*CY$51)/(CY$53)),IF(AND(Results!$E$5="Weight",$C$52&gt;0, Results!$E$4="Tissue",OR($B$52="g",$B$52="mg")),((CY48*CY$51)/(CY$52)),IF(AND(Results!$E$5="Volume",$C$54&gt;0,Results!$E$4="Fluid"),((CY48*CY$51)/(CY$54)),IF(AND(Results!$E$4="Cells",Results!$E$5="Million",$B$52="million"),((CY48*CY$51)/(CY$52)),"0")))))</f>
        <v>0</v>
      </c>
      <c r="CZ101" s="20" t="str">
        <f>IF(CZ48=0,"0",IF(AND(Results!$E$5="Protein",$C$53&gt;0,OR(Results!$E$4="Tissue",Results!$E$4="Cells")),((CZ48*CZ$51)/(CZ$53)),IF(AND(Results!$E$5="Weight",$C$52&gt;0, Results!$E$4="Tissue",OR($B$52="g",$B$52="mg")),((CZ48*CZ$51)/(CZ$52)),IF(AND(Results!$E$5="Volume",$C$54&gt;0,Results!$E$4="Fluid"),((CZ48*CZ$51)/(CZ$54)),IF(AND(Results!$E$4="Cells",Results!$E$5="Million",$B$52="million"),((CZ48*CZ$51)/(CZ$52)),"0")))))</f>
        <v>0</v>
      </c>
      <c r="DA101" s="20" t="str">
        <f>IF(DA48=0,"0",IF(AND(Results!$E$5="Protein",$C$53&gt;0,OR(Results!$E$4="Tissue",Results!$E$4="Cells")),((DA48*DA$51)/(DA$53)),IF(AND(Results!$E$5="Weight",$C$52&gt;0, Results!$E$4="Tissue",OR($B$52="g",$B$52="mg")),((DA48*DA$51)/(DA$52)),IF(AND(Results!$E$5="Volume",$C$54&gt;0,Results!$E$4="Fluid"),((DA48*DA$51)/(DA$54)),IF(AND(Results!$E$4="Cells",Results!$E$5="Million",$B$52="million"),((DA48*DA$51)/(DA$52)),"0")))))</f>
        <v>0</v>
      </c>
      <c r="DB101" s="20" t="str">
        <f>IF(DB48=0,"0",IF(AND(Results!$E$5="Protein",$C$53&gt;0,OR(Results!$E$4="Tissue",Results!$E$4="Cells")),((DB48*DB$51)/(DB$53)),IF(AND(Results!$E$5="Weight",$C$52&gt;0, Results!$E$4="Tissue",OR($B$52="g",$B$52="mg")),((DB48*DB$51)/(DB$52)),IF(AND(Results!$E$5="Volume",$C$54&gt;0,Results!$E$4="Fluid"),((DB48*DB$51)/(DB$54)),IF(AND(Results!$E$4="Cells",Results!$E$5="Million",$B$52="million"),((DB48*DB$51)/(DB$52)),"0")))))</f>
        <v>0</v>
      </c>
      <c r="DC101" s="20" t="str">
        <f>IF(DC48=0,"0",IF(AND(Results!$E$5="Protein",$C$53&gt;0,OR(Results!$E$4="Tissue",Results!$E$4="Cells")),((DC48*DC$51)/(DC$53)),IF(AND(Results!$E$5="Weight",$C$52&gt;0, Results!$E$4="Tissue",OR($B$52="g",$B$52="mg")),((DC48*DC$51)/(DC$52)),IF(AND(Results!$E$5="Volume",$C$54&gt;0,Results!$E$4="Fluid"),((DC48*DC$51)/(DC$54)),IF(AND(Results!$E$4="Cells",Results!$E$5="Million",$B$52="million"),((DC48*DC$51)/(DC$52)),"0")))))</f>
        <v>0</v>
      </c>
      <c r="DD101" s="20" t="str">
        <f>IF(DD48=0,"0",IF(AND(Results!$E$5="Protein",$C$53&gt;0,OR(Results!$E$4="Tissue",Results!$E$4="Cells")),((DD48*DD$51)/(DD$53)),IF(AND(Results!$E$5="Weight",$C$52&gt;0, Results!$E$4="Tissue",OR($B$52="g",$B$52="mg")),((DD48*DD$51)/(DD$52)),IF(AND(Results!$E$5="Volume",$C$54&gt;0,Results!$E$4="Fluid"),((DD48*DD$51)/(DD$54)),IF(AND(Results!$E$4="Cells",Results!$E$5="Million",$B$52="million"),((DD48*DD$51)/(DD$52)),"0")))))</f>
        <v>0</v>
      </c>
      <c r="DE101" s="20" t="str">
        <f>IF(DE48=0,"0",IF(AND(Results!$E$5="Protein",$C$53&gt;0,OR(Results!$E$4="Tissue",Results!$E$4="Cells")),((DE48*DE$51)/(DE$53)),IF(AND(Results!$E$5="Weight",$C$52&gt;0, Results!$E$4="Tissue",OR($B$52="g",$B$52="mg")),((DE48*DE$51)/(DE$52)),IF(AND(Results!$E$5="Volume",$C$54&gt;0,Results!$E$4="Fluid"),((DE48*DE$51)/(DE$54)),IF(AND(Results!$E$4="Cells",Results!$E$5="Million",$B$52="million"),((DE48*DE$51)/(DE$52)),"0")))))</f>
        <v>0</v>
      </c>
      <c r="DF101" s="20" t="str">
        <f>IF(DF48=0,"0",IF(AND(Results!$E$5="Protein",$C$53&gt;0,OR(Results!$E$4="Tissue",Results!$E$4="Cells")),((DF48*DF$51)/(DF$53)),IF(AND(Results!$E$5="Weight",$C$52&gt;0, Results!$E$4="Tissue",OR($B$52="g",$B$52="mg")),((DF48*DF$51)/(DF$52)),IF(AND(Results!$E$5="Volume",$C$54&gt;0,Results!$E$4="Fluid"),((DF48*DF$51)/(DF$54)),IF(AND(Results!$E$4="Cells",Results!$E$5="Million",$B$52="million"),((DF48*DF$51)/(DF$52)),"0")))))</f>
        <v>0</v>
      </c>
      <c r="DG101" s="20" t="str">
        <f>IF(DG48=0,"0",IF(AND(Results!$E$5="Protein",$C$53&gt;0,OR(Results!$E$4="Tissue",Results!$E$4="Cells")),((DG48*DG$51)/(DG$53)),IF(AND(Results!$E$5="Weight",$C$52&gt;0, Results!$E$4="Tissue",OR($B$52="g",$B$52="mg")),((DG48*DG$51)/(DG$52)),IF(AND(Results!$E$5="Volume",$C$54&gt;0,Results!$E$4="Fluid"),((DG48*DG$51)/(DG$54)),IF(AND(Results!$E$4="Cells",Results!$E$5="Million",$B$52="million"),((DG48*DG$51)/(DG$52)),"0")))))</f>
        <v>0</v>
      </c>
      <c r="DH101" s="20" t="str">
        <f>IF(DH48=0,"0",IF(AND(Results!$E$5="Protein",$C$53&gt;0,OR(Results!$E$4="Tissue",Results!$E$4="Cells")),((DH48*DH$51)/(DH$53)),IF(AND(Results!$E$5="Weight",$C$52&gt;0, Results!$E$4="Tissue",OR($B$52="g",$B$52="mg")),((DH48*DH$51)/(DH$52)),IF(AND(Results!$E$5="Volume",$C$54&gt;0,Results!$E$4="Fluid"),((DH48*DH$51)/(DH$54)),IF(AND(Results!$E$4="Cells",Results!$E$5="Million",$B$52="million"),((DH48*DH$51)/(DH$52)),"0")))))</f>
        <v>0</v>
      </c>
      <c r="DI101" s="20" t="str">
        <f>IF(DI48=0,"0",IF(AND(Results!$E$5="Protein",$C$53&gt;0,OR(Results!$E$4="Tissue",Results!$E$4="Cells")),((DI48*DI$51)/(DI$53)),IF(AND(Results!$E$5="Weight",$C$52&gt;0, Results!$E$4="Tissue",OR($B$52="g",$B$52="mg")),((DI48*DI$51)/(DI$52)),IF(AND(Results!$E$5="Volume",$C$54&gt;0,Results!$E$4="Fluid"),((DI48*DI$51)/(DI$54)),IF(AND(Results!$E$4="Cells",Results!$E$5="Million",$B$52="million"),((DI48*DI$51)/(DI$52)),"0")))))</f>
        <v>0</v>
      </c>
      <c r="DJ101" s="20" t="str">
        <f>IF(DJ48=0,"0",IF(AND(Results!$E$5="Protein",$C$53&gt;0,OR(Results!$E$4="Tissue",Results!$E$4="Cells")),((DJ48*DJ$51)/(DJ$53)),IF(AND(Results!$E$5="Weight",$C$52&gt;0, Results!$E$4="Tissue",OR($B$52="g",$B$52="mg")),((DJ48*DJ$51)/(DJ$52)),IF(AND(Results!$E$5="Volume",$C$54&gt;0,Results!$E$4="Fluid"),((DJ48*DJ$51)/(DJ$54)),IF(AND(Results!$E$4="Cells",Results!$E$5="Million",$B$52="million"),((DJ48*DJ$51)/(DJ$52)),"0")))))</f>
        <v>0</v>
      </c>
      <c r="DK101" s="20" t="str">
        <f>IF(DK48=0,"0",IF(AND(Results!$E$5="Protein",$C$53&gt;0,OR(Results!$E$4="Tissue",Results!$E$4="Cells")),((DK48*DK$51)/(DK$53)),IF(AND(Results!$E$5="Weight",$C$52&gt;0, Results!$E$4="Tissue",OR($B$52="g",$B$52="mg")),((DK48*DK$51)/(DK$52)),IF(AND(Results!$E$5="Volume",$C$54&gt;0,Results!$E$4="Fluid"),((DK48*DK$51)/(DK$54)),IF(AND(Results!$E$4="Cells",Results!$E$5="Million",$B$52="million"),((DK48*DK$51)/(DK$52)),"0")))))</f>
        <v>0</v>
      </c>
      <c r="DL101" s="20" t="str">
        <f>IF(DL48=0,"0",IF(AND(Results!$E$5="Protein",$C$53&gt;0,OR(Results!$E$4="Tissue",Results!$E$4="Cells")),((DL48*DL$51)/(DL$53)),IF(AND(Results!$E$5="Weight",$C$52&gt;0, Results!$E$4="Tissue",OR($B$52="g",$B$52="mg")),((DL48*DL$51)/(DL$52)),IF(AND(Results!$E$5="Volume",$C$54&gt;0,Results!$E$4="Fluid"),((DL48*DL$51)/(DL$54)),IF(AND(Results!$E$4="Cells",Results!$E$5="Million",$B$52="million"),((DL48*DL$51)/(DL$52)),"0")))))</f>
        <v>0</v>
      </c>
      <c r="DM101" s="20" t="str">
        <f>IF(DM48=0,"0",IF(AND(Results!$E$5="Protein",$C$53&gt;0,OR(Results!$E$4="Tissue",Results!$E$4="Cells")),((DM48*DM$51)/(DM$53)),IF(AND(Results!$E$5="Weight",$C$52&gt;0, Results!$E$4="Tissue",OR($B$52="g",$B$52="mg")),((DM48*DM$51)/(DM$52)),IF(AND(Results!$E$5="Volume",$C$54&gt;0,Results!$E$4="Fluid"),((DM48*DM$51)/(DM$54)),IF(AND(Results!$E$4="Cells",Results!$E$5="Million",$B$52="million"),((DM48*DM$51)/(DM$52)),"0")))))</f>
        <v>0</v>
      </c>
      <c r="DN101" s="20" t="str">
        <f>IF(DN48=0,"0",IF(AND(Results!$E$5="Protein",$C$53&gt;0,OR(Results!$E$4="Tissue",Results!$E$4="Cells")),((DN48*DN$51)/(DN$53)),IF(AND(Results!$E$5="Weight",$C$52&gt;0, Results!$E$4="Tissue",OR($B$52="g",$B$52="mg")),((DN48*DN$51)/(DN$52)),IF(AND(Results!$E$5="Volume",$C$54&gt;0,Results!$E$4="Fluid"),((DN48*DN$51)/(DN$54)),IF(AND(Results!$E$4="Cells",Results!$E$5="Million",$B$52="million"),((DN48*DN$51)/(DN$52)),"0")))))</f>
        <v>0</v>
      </c>
      <c r="DO101" s="20" t="str">
        <f>IF(DO48=0,"0",IF(AND(Results!$E$5="Protein",$C$53&gt;0,OR(Results!$E$4="Tissue",Results!$E$4="Cells")),((DO48*DO$51)/(DO$53)),IF(AND(Results!$E$5="Weight",$C$52&gt;0, Results!$E$4="Tissue",OR($B$52="g",$B$52="mg")),((DO48*DO$51)/(DO$52)),IF(AND(Results!$E$5="Volume",$C$54&gt;0,Results!$E$4="Fluid"),((DO48*DO$51)/(DO$54)),IF(AND(Results!$E$4="Cells",Results!$E$5="Million",$B$52="million"),((DO48*DO$51)/(DO$52)),"0")))))</f>
        <v>0</v>
      </c>
      <c r="DP101" s="20" t="str">
        <f>IF(DP48=0,"0",IF(AND(Results!$E$5="Protein",$C$53&gt;0,OR(Results!$E$4="Tissue",Results!$E$4="Cells")),((DP48*DP$51)/(DP$53)),IF(AND(Results!$E$5="Weight",$C$52&gt;0, Results!$E$4="Tissue",OR($B$52="g",$B$52="mg")),((DP48*DP$51)/(DP$52)),IF(AND(Results!$E$5="Volume",$C$54&gt;0,Results!$E$4="Fluid"),((DP48*DP$51)/(DP$54)),IF(AND(Results!$E$4="Cells",Results!$E$5="Million",$B$52="million"),((DP48*DP$51)/(DP$52)),"0")))))</f>
        <v>0</v>
      </c>
      <c r="DQ101" s="20" t="str">
        <f>IF(DQ48=0,"0",IF(AND(Results!$E$5="Protein",$C$53&gt;0,OR(Results!$E$4="Tissue",Results!$E$4="Cells")),((DQ48*DQ$51)/(DQ$53)),IF(AND(Results!$E$5="Weight",$C$52&gt;0, Results!$E$4="Tissue",OR($B$52="g",$B$52="mg")),((DQ48*DQ$51)/(DQ$52)),IF(AND(Results!$E$5="Volume",$C$54&gt;0,Results!$E$4="Fluid"),((DQ48*DQ$51)/(DQ$54)),IF(AND(Results!$E$4="Cells",Results!$E$5="Million",$B$52="million"),((DQ48*DQ$51)/(DQ$52)),"0")))))</f>
        <v>0</v>
      </c>
      <c r="DR101" s="20" t="str">
        <f>IF(DR48=0,"0",IF(AND(Results!$E$5="Protein",$C$53&gt;0,OR(Results!$E$4="Tissue",Results!$E$4="Cells")),((DR48*DR$51)/(DR$53)),IF(AND(Results!$E$5="Weight",$C$52&gt;0, Results!$E$4="Tissue",OR($B$52="g",$B$52="mg")),((DR48*DR$51)/(DR$52)),IF(AND(Results!$E$5="Volume",$C$54&gt;0,Results!$E$4="Fluid"),((DR48*DR$51)/(DR$54)),IF(AND(Results!$E$4="Cells",Results!$E$5="Million",$B$52="million"),((DR48*DR$51)/(DR$52)),"0")))))</f>
        <v>0</v>
      </c>
      <c r="DS101" s="20" t="str">
        <f>IF(DS48=0,"0",IF(AND(Results!$E$5="Protein",$C$53&gt;0,OR(Results!$E$4="Tissue",Results!$E$4="Cells")),((DS48*DS$51)/(DS$53)),IF(AND(Results!$E$5="Weight",$C$52&gt;0, Results!$E$4="Tissue",OR($B$52="g",$B$52="mg")),((DS48*DS$51)/(DS$52)),IF(AND(Results!$E$5="Volume",$C$54&gt;0,Results!$E$4="Fluid"),((DS48*DS$51)/(DS$54)),IF(AND(Results!$E$4="Cells",Results!$E$5="Million",$B$52="million"),((DS48*DS$51)/(DS$52)),"0")))))</f>
        <v>0</v>
      </c>
      <c r="DT101" s="20" t="str">
        <f>IF(DT48=0,"0",IF(AND(Results!$E$5="Protein",$C$53&gt;0,OR(Results!$E$4="Tissue",Results!$E$4="Cells")),((DT48*DT$51)/(DT$53)),IF(AND(Results!$E$5="Weight",$C$52&gt;0, Results!$E$4="Tissue",OR($B$52="g",$B$52="mg")),((DT48*DT$51)/(DT$52)),IF(AND(Results!$E$5="Volume",$C$54&gt;0,Results!$E$4="Fluid"),((DT48*DT$51)/(DT$54)),IF(AND(Results!$E$4="Cells",Results!$E$5="Million",$B$52="million"),((DT48*DT$51)/(DT$52)),"0")))))</f>
        <v>0</v>
      </c>
      <c r="DU101" s="20" t="str">
        <f>IF(DU48=0,"0",IF(AND(Results!$E$5="Protein",$C$53&gt;0,OR(Results!$E$4="Tissue",Results!$E$4="Cells")),((DU48*DU$51)/(DU$53)),IF(AND(Results!$E$5="Weight",$C$52&gt;0, Results!$E$4="Tissue",OR($B$52="g",$B$52="mg")),((DU48*DU$51)/(DU$52)),IF(AND(Results!$E$5="Volume",$C$54&gt;0,Results!$E$4="Fluid"),((DU48*DU$51)/(DU$54)),IF(AND(Results!$E$4="Cells",Results!$E$5="Million",$B$52="million"),((DU48*DU$51)/(DU$52)),"0")))))</f>
        <v>0</v>
      </c>
      <c r="DV101" s="20" t="str">
        <f>IF(DV48=0,"0",IF(AND(Results!$E$5="Protein",$C$53&gt;0,OR(Results!$E$4="Tissue",Results!$E$4="Cells")),((DV48*DV$51)/(DV$53)),IF(AND(Results!$E$5="Weight",$C$52&gt;0, Results!$E$4="Tissue",OR($B$52="g",$B$52="mg")),((DV48*DV$51)/(DV$52)),IF(AND(Results!$E$5="Volume",$C$54&gt;0,Results!$E$4="Fluid"),((DV48*DV$51)/(DV$54)),IF(AND(Results!$E$4="Cells",Results!$E$5="Million",$B$52="million"),((DV48*DV$51)/(DV$52)),"0")))))</f>
        <v>0</v>
      </c>
      <c r="DW101" s="20" t="str">
        <f>IF(DW48=0,"0",IF(AND(Results!$E$5="Protein",$C$53&gt;0,OR(Results!$E$4="Tissue",Results!$E$4="Cells")),((DW48*DW$51)/(DW$53)),IF(AND(Results!$E$5="Weight",$C$52&gt;0, Results!$E$4="Tissue",OR($B$52="g",$B$52="mg")),((DW48*DW$51)/(DW$52)),IF(AND(Results!$E$5="Volume",$C$54&gt;0,Results!$E$4="Fluid"),((DW48*DW$51)/(DW$54)),IF(AND(Results!$E$4="Cells",Results!$E$5="Million",$B$52="million"),((DW48*DW$51)/(DW$52)),"0")))))</f>
        <v>0</v>
      </c>
      <c r="DX101" s="20" t="str">
        <f>IF(DX48=0,"0",IF(AND(Results!$E$5="Protein",$C$53&gt;0,OR(Results!$E$4="Tissue",Results!$E$4="Cells")),((DX48*DX$51)/(DX$53)),IF(AND(Results!$E$5="Weight",$C$52&gt;0, Results!$E$4="Tissue",OR($B$52="g",$B$52="mg")),((DX48*DX$51)/(DX$52)),IF(AND(Results!$E$5="Volume",$C$54&gt;0,Results!$E$4="Fluid"),((DX48*DX$51)/(DX$54)),IF(AND(Results!$E$4="Cells",Results!$E$5="Million",$B$52="million"),((DX48*DX$51)/(DX$52)),"0")))))</f>
        <v>0</v>
      </c>
      <c r="DY101" s="20" t="str">
        <f>IF(DY48=0,"0",IF(AND(Results!$E$5="Protein",$C$53&gt;0,OR(Results!$E$4="Tissue",Results!$E$4="Cells")),((DY48*DY$51)/(DY$53)),IF(AND(Results!$E$5="Weight",$C$52&gt;0, Results!$E$4="Tissue",OR($B$52="g",$B$52="mg")),((DY48*DY$51)/(DY$52)),IF(AND(Results!$E$5="Volume",$C$54&gt;0,Results!$E$4="Fluid"),((DY48*DY$51)/(DY$54)),IF(AND(Results!$E$4="Cells",Results!$E$5="Million",$B$52="million"),((DY48*DY$51)/(DY$52)),"0")))))</f>
        <v>0</v>
      </c>
      <c r="DZ101" s="20" t="str">
        <f>IF(DZ48=0,"0",IF(AND(Results!$E$5="Protein",$C$53&gt;0,OR(Results!$E$4="Tissue",Results!$E$4="Cells")),((DZ48*DZ$51)/(DZ$53)),IF(AND(Results!$E$5="Weight",$C$52&gt;0, Results!$E$4="Tissue",OR($B$52="g",$B$52="mg")),((DZ48*DZ$51)/(DZ$52)),IF(AND(Results!$E$5="Volume",$C$54&gt;0,Results!$E$4="Fluid"),((DZ48*DZ$51)/(DZ$54)),IF(AND(Results!$E$4="Cells",Results!$E$5="Million",$B$52="million"),((DZ48*DZ$51)/(DZ$52)),"0")))))</f>
        <v>0</v>
      </c>
      <c r="EA101" s="20" t="str">
        <f>IF(EA48=0,"0",IF(AND(Results!$E$5="Protein",$C$53&gt;0,OR(Results!$E$4="Tissue",Results!$E$4="Cells")),((EA48*EA$51)/(EA$53)),IF(AND(Results!$E$5="Weight",$C$52&gt;0, Results!$E$4="Tissue",OR($B$52="g",$B$52="mg")),((EA48*EA$51)/(EA$52)),IF(AND(Results!$E$5="Volume",$C$54&gt;0,Results!$E$4="Fluid"),((EA48*EA$51)/(EA$54)),IF(AND(Results!$E$4="Cells",Results!$E$5="Million",$B$52="million"),((EA48*EA$51)/(EA$52)),"0")))))</f>
        <v>0</v>
      </c>
      <c r="EB101" s="20" t="str">
        <f>IF(EB48=0,"0",IF(AND(Results!$E$5="Protein",$C$53&gt;0,OR(Results!$E$4="Tissue",Results!$E$4="Cells")),((EB48*EB$51)/(EB$53)),IF(AND(Results!$E$5="Weight",$C$52&gt;0, Results!$E$4="Tissue",OR($B$52="g",$B$52="mg")),((EB48*EB$51)/(EB$52)),IF(AND(Results!$E$5="Volume",$C$54&gt;0,Results!$E$4="Fluid"),((EB48*EB$51)/(EB$54)),IF(AND(Results!$E$4="Cells",Results!$E$5="Million",$B$52="million"),((EB48*EB$51)/(EB$52)),"0")))))</f>
        <v>0</v>
      </c>
      <c r="EC101" s="20" t="str">
        <f>IF(EC48=0,"0",IF(AND(Results!$E$5="Protein",$C$53&gt;0,OR(Results!$E$4="Tissue",Results!$E$4="Cells")),((EC48*EC$51)/(EC$53)),IF(AND(Results!$E$5="Weight",$C$52&gt;0, Results!$E$4="Tissue",OR($B$52="g",$B$52="mg")),((EC48*EC$51)/(EC$52)),IF(AND(Results!$E$5="Volume",$C$54&gt;0,Results!$E$4="Fluid"),((EC48*EC$51)/(EC$54)),IF(AND(Results!$E$4="Cells",Results!$E$5="Million",$B$52="million"),((EC48*EC$51)/(EC$52)),"0")))))</f>
        <v>0</v>
      </c>
      <c r="ED101" s="20" t="str">
        <f>IF(ED48=0,"0",IF(AND(Results!$E$5="Protein",$C$53&gt;0,OR(Results!$E$4="Tissue",Results!$E$4="Cells")),((ED48*ED$51)/(ED$53)),IF(AND(Results!$E$5="Weight",$C$52&gt;0, Results!$E$4="Tissue",OR($B$52="g",$B$52="mg")),((ED48*ED$51)/(ED$52)),IF(AND(Results!$E$5="Volume",$C$54&gt;0,Results!$E$4="Fluid"),((ED48*ED$51)/(ED$54)),IF(AND(Results!$E$4="Cells",Results!$E$5="Million",$B$52="million"),((ED48*ED$51)/(ED$52)),"0")))))</f>
        <v>0</v>
      </c>
      <c r="EE101" s="20" t="str">
        <f>IF(EE48=0,"0",IF(AND(Results!$E$5="Protein",$C$53&gt;0,OR(Results!$E$4="Tissue",Results!$E$4="Cells")),((EE48*EE$51)/(EE$53)),IF(AND(Results!$E$5="Weight",$C$52&gt;0, Results!$E$4="Tissue",OR($B$52="g",$B$52="mg")),((EE48*EE$51)/(EE$52)),IF(AND(Results!$E$5="Volume",$C$54&gt;0,Results!$E$4="Fluid"),((EE48*EE$51)/(EE$54)),IF(AND(Results!$E$4="Cells",Results!$E$5="Million",$B$52="million"),((EE48*EE$51)/(EE$52)),"0")))))</f>
        <v>0</v>
      </c>
      <c r="EF101" s="20" t="str">
        <f>IF(EF48=0,"0",IF(AND(Results!$E$5="Protein",$C$53&gt;0,OR(Results!$E$4="Tissue",Results!$E$4="Cells")),((EF48*EF$51)/(EF$53)),IF(AND(Results!$E$5="Weight",$C$52&gt;0, Results!$E$4="Tissue",OR($B$52="g",$B$52="mg")),((EF48*EF$51)/(EF$52)),IF(AND(Results!$E$5="Volume",$C$54&gt;0,Results!$E$4="Fluid"),((EF48*EF$51)/(EF$54)),IF(AND(Results!$E$4="Cells",Results!$E$5="Million",$B$52="million"),((EF48*EF$51)/(EF$52)),"0")))))</f>
        <v>0</v>
      </c>
      <c r="EG101" s="20" t="str">
        <f>IF(EG48=0,"0",IF(AND(Results!$E$5="Protein",$C$53&gt;0,OR(Results!$E$4="Tissue",Results!$E$4="Cells")),((EG48*EG$51)/(EG$53)),IF(AND(Results!$E$5="Weight",$C$52&gt;0, Results!$E$4="Tissue",OR($B$52="g",$B$52="mg")),((EG48*EG$51)/(EG$52)),IF(AND(Results!$E$5="Volume",$C$54&gt;0,Results!$E$4="Fluid"),((EG48*EG$51)/(EG$54)),IF(AND(Results!$E$4="Cells",Results!$E$5="Million",$B$52="million"),((EG48*EG$51)/(EG$52)),"0")))))</f>
        <v>0</v>
      </c>
      <c r="EH101" s="20" t="str">
        <f>IF(EH48=0,"0",IF(AND(Results!$E$5="Protein",$C$53&gt;0,OR(Results!$E$4="Tissue",Results!$E$4="Cells")),((EH48*EH$51)/(EH$53)),IF(AND(Results!$E$5="Weight",$C$52&gt;0, Results!$E$4="Tissue",OR($B$52="g",$B$52="mg")),((EH48*EH$51)/(EH$52)),IF(AND(Results!$E$5="Volume",$C$54&gt;0,Results!$E$4="Fluid"),((EH48*EH$51)/(EH$54)),IF(AND(Results!$E$4="Cells",Results!$E$5="Million",$B$52="million"),((EH48*EH$51)/(EH$52)),"0")))))</f>
        <v>0</v>
      </c>
      <c r="EI101" s="20" t="str">
        <f>IF(EI48=0,"0",IF(AND(Results!$E$5="Protein",$C$53&gt;0,OR(Results!$E$4="Tissue",Results!$E$4="Cells")),((EI48*EI$51)/(EI$53)),IF(AND(Results!$E$5="Weight",$C$52&gt;0, Results!$E$4="Tissue",OR($B$52="g",$B$52="mg")),((EI48*EI$51)/(EI$52)),IF(AND(Results!$E$5="Volume",$C$54&gt;0,Results!$E$4="Fluid"),((EI48*EI$51)/(EI$54)),IF(AND(Results!$E$4="Cells",Results!$E$5="Million",$B$52="million"),((EI48*EI$51)/(EI$52)),"0")))))</f>
        <v>0</v>
      </c>
      <c r="EJ101" s="20" t="str">
        <f>IF(EJ48=0,"0",IF(AND(Results!$E$5="Protein",$C$53&gt;0,OR(Results!$E$4="Tissue",Results!$E$4="Cells")),((EJ48*EJ$51)/(EJ$53)),IF(AND(Results!$E$5="Weight",$C$52&gt;0, Results!$E$4="Tissue",OR($B$52="g",$B$52="mg")),((EJ48*EJ$51)/(EJ$52)),IF(AND(Results!$E$5="Volume",$C$54&gt;0,Results!$E$4="Fluid"),((EJ48*EJ$51)/(EJ$54)),IF(AND(Results!$E$4="Cells",Results!$E$5="Million",$B$52="million"),((EJ48*EJ$51)/(EJ$52)),"0")))))</f>
        <v>0</v>
      </c>
      <c r="EK101" s="20" t="str">
        <f>IF(EK48=0,"0",IF(AND(Results!$E$5="Protein",$C$53&gt;0,OR(Results!$E$4="Tissue",Results!$E$4="Cells")),((EK48*EK$51)/(EK$53)),IF(AND(Results!$E$5="Weight",$C$52&gt;0, Results!$E$4="Tissue",OR($B$52="g",$B$52="mg")),((EK48*EK$51)/(EK$52)),IF(AND(Results!$E$5="Volume",$C$54&gt;0,Results!$E$4="Fluid"),((EK48*EK$51)/(EK$54)),IF(AND(Results!$E$4="Cells",Results!$E$5="Million",$B$52="million"),((EK48*EK$51)/(EK$52)),"0")))))</f>
        <v>0</v>
      </c>
      <c r="EL101" s="20" t="str">
        <f>IF(EL48=0,"0",IF(AND(Results!$E$5="Protein",$C$53&gt;0,OR(Results!$E$4="Tissue",Results!$E$4="Cells")),((EL48*EL$51)/(EL$53)),IF(AND(Results!$E$5="Weight",$C$52&gt;0, Results!$E$4="Tissue",OR($B$52="g",$B$52="mg")),((EL48*EL$51)/(EL$52)),IF(AND(Results!$E$5="Volume",$C$54&gt;0,Results!$E$4="Fluid"),((EL48*EL$51)/(EL$54)),IF(AND(Results!$E$4="Cells",Results!$E$5="Million",$B$52="million"),((EL48*EL$51)/(EL$52)),"0")))))</f>
        <v>0</v>
      </c>
      <c r="EM101" s="20" t="str">
        <f>IF(EM48=0,"0",IF(AND(Results!$E$5="Protein",$C$53&gt;0,OR(Results!$E$4="Tissue",Results!$E$4="Cells")),((EM48*EM$51)/(EM$53)),IF(AND(Results!$E$5="Weight",$C$52&gt;0, Results!$E$4="Tissue",OR($B$52="g",$B$52="mg")),((EM48*EM$51)/(EM$52)),IF(AND(Results!$E$5="Volume",$C$54&gt;0,Results!$E$4="Fluid"),((EM48*EM$51)/(EM$54)),IF(AND(Results!$E$4="Cells",Results!$E$5="Million",$B$52="million"),((EM48*EM$51)/(EM$52)),"0")))))</f>
        <v>0</v>
      </c>
      <c r="EN101" s="20" t="str">
        <f>IF(EN48=0,"0",IF(AND(Results!$E$5="Protein",$C$53&gt;0,OR(Results!$E$4="Tissue",Results!$E$4="Cells")),((EN48*EN$51)/(EN$53)),IF(AND(Results!$E$5="Weight",$C$52&gt;0, Results!$E$4="Tissue",OR($B$52="g",$B$52="mg")),((EN48*EN$51)/(EN$52)),IF(AND(Results!$E$5="Volume",$C$54&gt;0,Results!$E$4="Fluid"),((EN48*EN$51)/(EN$54)),IF(AND(Results!$E$4="Cells",Results!$E$5="Million",$B$52="million"),((EN48*EN$51)/(EN$52)),"0")))))</f>
        <v>0</v>
      </c>
      <c r="EO101" s="20" t="str">
        <f>IF(EO48=0,"0",IF(AND(Results!$E$5="Protein",$C$53&gt;0,OR(Results!$E$4="Tissue",Results!$E$4="Cells")),((EO48*EO$51)/(EO$53)),IF(AND(Results!$E$5="Weight",$C$52&gt;0, Results!$E$4="Tissue",OR($B$52="g",$B$52="mg")),((EO48*EO$51)/(EO$52)),IF(AND(Results!$E$5="Volume",$C$54&gt;0,Results!$E$4="Fluid"),((EO48*EO$51)/(EO$54)),IF(AND(Results!$E$4="Cells",Results!$E$5="Million",$B$52="million"),((EO48*EO$51)/(EO$52)),"0")))))</f>
        <v>0</v>
      </c>
      <c r="EP101" s="20" t="str">
        <f>IF(EP48=0,"0",IF(AND(Results!$E$5="Protein",$C$53&gt;0,OR(Results!$E$4="Tissue",Results!$E$4="Cells")),((EP48*EP$51)/(EP$53)),IF(AND(Results!$E$5="Weight",$C$52&gt;0, Results!$E$4="Tissue",OR($B$52="g",$B$52="mg")),((EP48*EP$51)/(EP$52)),IF(AND(Results!$E$5="Volume",$C$54&gt;0,Results!$E$4="Fluid"),((EP48*EP$51)/(EP$54)),IF(AND(Results!$E$4="Cells",Results!$E$5="Million",$B$52="million"),((EP48*EP$51)/(EP$52)),"0")))))</f>
        <v>0</v>
      </c>
      <c r="EQ101" s="20" t="str">
        <f>IF(EQ48=0,"0",IF(AND(Results!$E$5="Protein",$C$53&gt;0,OR(Results!$E$4="Tissue",Results!$E$4="Cells")),((EQ48*EQ$51)/(EQ$53)),IF(AND(Results!$E$5="Weight",$C$52&gt;0, Results!$E$4="Tissue",OR($B$52="g",$B$52="mg")),((EQ48*EQ$51)/(EQ$52)),IF(AND(Results!$E$5="Volume",$C$54&gt;0,Results!$E$4="Fluid"),((EQ48*EQ$51)/(EQ$54)),IF(AND(Results!$E$4="Cells",Results!$E$5="Million",$B$52="million"),((EQ48*EQ$51)/(EQ$52)),"0")))))</f>
        <v>0</v>
      </c>
      <c r="ER101" s="20" t="str">
        <f>IF(ER48=0,"0",IF(AND(Results!$E$5="Protein",$C$53&gt;0,OR(Results!$E$4="Tissue",Results!$E$4="Cells")),((ER48*ER$51)/(ER$53)),IF(AND(Results!$E$5="Weight",$C$52&gt;0, Results!$E$4="Tissue",OR($B$52="g",$B$52="mg")),((ER48*ER$51)/(ER$52)),IF(AND(Results!$E$5="Volume",$C$54&gt;0,Results!$E$4="Fluid"),((ER48*ER$51)/(ER$54)),IF(AND(Results!$E$4="Cells",Results!$E$5="Million",$B$52="million"),((ER48*ER$51)/(ER$52)),"0")))))</f>
        <v>0</v>
      </c>
      <c r="ES101" s="20" t="str">
        <f>IF(ES48=0,"0",IF(AND(Results!$E$5="Protein",$C$53&gt;0,OR(Results!$E$4="Tissue",Results!$E$4="Cells")),((ES48*ES$51)/(ES$53)),IF(AND(Results!$E$5="Weight",$C$52&gt;0, Results!$E$4="Tissue",OR($B$52="g",$B$52="mg")),((ES48*ES$51)/(ES$52)),IF(AND(Results!$E$5="Volume",$C$54&gt;0,Results!$E$4="Fluid"),((ES48*ES$51)/(ES$54)),IF(AND(Results!$E$4="Cells",Results!$E$5="Million",$B$52="million"),((ES48*ES$51)/(ES$52)),"0")))))</f>
        <v>0</v>
      </c>
      <c r="ET101" s="20" t="str">
        <f>IF(ET48=0,"0",IF(AND(Results!$E$5="Protein",$C$53&gt;0,OR(Results!$E$4="Tissue",Results!$E$4="Cells")),((ET48*ET$51)/(ET$53)),IF(AND(Results!$E$5="Weight",$C$52&gt;0, Results!$E$4="Tissue",OR($B$52="g",$B$52="mg")),((ET48*ET$51)/(ET$52)),IF(AND(Results!$E$5="Volume",$C$54&gt;0,Results!$E$4="Fluid"),((ET48*ET$51)/(ET$54)),IF(AND(Results!$E$4="Cells",Results!$E$5="Million",$B$52="million"),((ET48*ET$51)/(ET$52)),"0")))))</f>
        <v>0</v>
      </c>
      <c r="EU101" s="20" t="str">
        <f>IF(EU48=0,"0",IF(AND(Results!$E$5="Protein",$C$53&gt;0,OR(Results!$E$4="Tissue",Results!$E$4="Cells")),((EU48*EU$51)/(EU$53)),IF(AND(Results!$E$5="Weight",$C$52&gt;0, Results!$E$4="Tissue",OR($B$52="g",$B$52="mg")),((EU48*EU$51)/(EU$52)),IF(AND(Results!$E$5="Volume",$C$54&gt;0,Results!$E$4="Fluid"),((EU48*EU$51)/(EU$54)),IF(AND(Results!$E$4="Cells",Results!$E$5="Million",$B$52="million"),((EU48*EU$51)/(EU$52)),"0")))))</f>
        <v>0</v>
      </c>
      <c r="EV101" s="20" t="str">
        <f>IF(EV48=0,"0",IF(AND(Results!$E$5="Protein",$C$53&gt;0,OR(Results!$E$4="Tissue",Results!$E$4="Cells")),((EV48*EV$51)/(EV$53)),IF(AND(Results!$E$5="Weight",$C$52&gt;0, Results!$E$4="Tissue",OR($B$52="g",$B$52="mg")),((EV48*EV$51)/(EV$52)),IF(AND(Results!$E$5="Volume",$C$54&gt;0,Results!$E$4="Fluid"),((EV48*EV$51)/(EV$54)),IF(AND(Results!$E$4="Cells",Results!$E$5="Million",$B$52="million"),((EV48*EV$51)/(EV$52)),"0")))))</f>
        <v>0</v>
      </c>
      <c r="EW101" s="20" t="str">
        <f>IF(EW48=0,"0",IF(AND(Results!$E$5="Protein",$C$53&gt;0,OR(Results!$E$4="Tissue",Results!$E$4="Cells")),((EW48*EW$51)/(EW$53)),IF(AND(Results!$E$5="Weight",$C$52&gt;0, Results!$E$4="Tissue",OR($B$52="g",$B$52="mg")),((EW48*EW$51)/(EW$52)),IF(AND(Results!$E$5="Volume",$C$54&gt;0,Results!$E$4="Fluid"),((EW48*EW$51)/(EW$54)),IF(AND(Results!$E$4="Cells",Results!$E$5="Million",$B$52="million"),((EW48*EW$51)/(EW$52)),"0")))))</f>
        <v>0</v>
      </c>
      <c r="EX101" s="20" t="str">
        <f>IF(EX48=0,"0",IF(AND(Results!$E$5="Protein",$C$53&gt;0,OR(Results!$E$4="Tissue",Results!$E$4="Cells")),((EX48*EX$51)/(EX$53)),IF(AND(Results!$E$5="Weight",$C$52&gt;0, Results!$E$4="Tissue",OR($B$52="g",$B$52="mg")),((EX48*EX$51)/(EX$52)),IF(AND(Results!$E$5="Volume",$C$54&gt;0,Results!$E$4="Fluid"),((EX48*EX$51)/(EX$54)),IF(AND(Results!$E$4="Cells",Results!$E$5="Million",$B$52="million"),((EX48*EX$51)/(EX$52)),"0")))))</f>
        <v>0</v>
      </c>
      <c r="EY101" s="20" t="str">
        <f>IF(EY48=0,"0",IF(AND(Results!$E$5="Protein",$C$53&gt;0,OR(Results!$E$4="Tissue",Results!$E$4="Cells")),((EY48*EY$51)/(EY$53)),IF(AND(Results!$E$5="Weight",$C$52&gt;0, Results!$E$4="Tissue",OR($B$52="g",$B$52="mg")),((EY48*EY$51)/(EY$52)),IF(AND(Results!$E$5="Volume",$C$54&gt;0,Results!$E$4="Fluid"),((EY48*EY$51)/(EY$54)),IF(AND(Results!$E$4="Cells",Results!$E$5="Million",$B$52="million"),((EY48*EY$51)/(EY$52)),"0")))))</f>
        <v>0</v>
      </c>
      <c r="EZ101" s="20" t="str">
        <f>IF(EZ48=0,"0",IF(AND(Results!$E$5="Protein",$C$53&gt;0,OR(Results!$E$4="Tissue",Results!$E$4="Cells")),((EZ48*EZ$51)/(EZ$53)),IF(AND(Results!$E$5="Weight",$C$52&gt;0, Results!$E$4="Tissue",OR($B$52="g",$B$52="mg")),((EZ48*EZ$51)/(EZ$52)),IF(AND(Results!$E$5="Volume",$C$54&gt;0,Results!$E$4="Fluid"),((EZ48*EZ$51)/(EZ$54)),IF(AND(Results!$E$4="Cells",Results!$E$5="Million",$B$52="million"),((EZ48*EZ$51)/(EZ$52)),"0")))))</f>
        <v>0</v>
      </c>
      <c r="FA101" s="20" t="str">
        <f>IF(FA48=0,"0",IF(AND(Results!$E$5="Protein",$C$53&gt;0,OR(Results!$E$4="Tissue",Results!$E$4="Cells")),((FA48*FA$51)/(FA$53)),IF(AND(Results!$E$5="Weight",$C$52&gt;0, Results!$E$4="Tissue",OR($B$52="g",$B$52="mg")),((FA48*FA$51)/(FA$52)),IF(AND(Results!$E$5="Volume",$C$54&gt;0,Results!$E$4="Fluid"),((FA48*FA$51)/(FA$54)),IF(AND(Results!$E$4="Cells",Results!$E$5="Million",$B$52="million"),((FA48*FA$51)/(FA$52)),"0")))))</f>
        <v>0</v>
      </c>
      <c r="FB101" s="20" t="str">
        <f>IF(FB48=0,"0",IF(AND(Results!$E$5="Protein",$C$53&gt;0,OR(Results!$E$4="Tissue",Results!$E$4="Cells")),((FB48*FB$51)/(FB$53)),IF(AND(Results!$E$5="Weight",$C$52&gt;0, Results!$E$4="Tissue",OR($B$52="g",$B$52="mg")),((FB48*FB$51)/(FB$52)),IF(AND(Results!$E$5="Volume",$C$54&gt;0,Results!$E$4="Fluid"),((FB48*FB$51)/(FB$54)),IF(AND(Results!$E$4="Cells",Results!$E$5="Million",$B$52="million"),((FB48*FB$51)/(FB$52)),"0")))))</f>
        <v>0</v>
      </c>
      <c r="FC101" s="20" t="str">
        <f>IF(FC48=0,"0",IF(AND(Results!$E$5="Protein",$C$53&gt;0,OR(Results!$E$4="Tissue",Results!$E$4="Cells")),((FC48*FC$51)/(FC$53)),IF(AND(Results!$E$5="Weight",$C$52&gt;0, Results!$E$4="Tissue",OR($B$52="g",$B$52="mg")),((FC48*FC$51)/(FC$52)),IF(AND(Results!$E$5="Volume",$C$54&gt;0,Results!$E$4="Fluid"),((FC48*FC$51)/(FC$54)),IF(AND(Results!$E$4="Cells",Results!$E$5="Million",$B$52="million"),((FC48*FC$51)/(FC$52)),"0")))))</f>
        <v>0</v>
      </c>
      <c r="FD101" s="20" t="str">
        <f>IF(FD48=0,"0",IF(AND(Results!$E$5="Protein",$C$53&gt;0,OR(Results!$E$4="Tissue",Results!$E$4="Cells")),((FD48*FD$51)/(FD$53)),IF(AND(Results!$E$5="Weight",$C$52&gt;0, Results!$E$4="Tissue",OR($B$52="g",$B$52="mg")),((FD48*FD$51)/(FD$52)),IF(AND(Results!$E$5="Volume",$C$54&gt;0,Results!$E$4="Fluid"),((FD48*FD$51)/(FD$54)),IF(AND(Results!$E$4="Cells",Results!$E$5="Million",$B$52="million"),((FD48*FD$51)/(FD$52)),"0")))))</f>
        <v>0</v>
      </c>
      <c r="FE101" s="20" t="str">
        <f>IF(FE48=0,"0",IF(AND(Results!$E$5="Protein",$C$53&gt;0,OR(Results!$E$4="Tissue",Results!$E$4="Cells")),((FE48*FE$51)/(FE$53)),IF(AND(Results!$E$5="Weight",$C$52&gt;0, Results!$E$4="Tissue",OR($B$52="g",$B$52="mg")),((FE48*FE$51)/(FE$52)),IF(AND(Results!$E$5="Volume",$C$54&gt;0,Results!$E$4="Fluid"),((FE48*FE$51)/(FE$54)),IF(AND(Results!$E$4="Cells",Results!$E$5="Million",$B$52="million"),((FE48*FE$51)/(FE$52)),"0")))))</f>
        <v>0</v>
      </c>
      <c r="FF101" s="20" t="str">
        <f>IF(FF48=0,"0",IF(AND(Results!$E$5="Protein",$C$53&gt;0,OR(Results!$E$4="Tissue",Results!$E$4="Cells")),((FF48*FF$51)/(FF$53)),IF(AND(Results!$E$5="Weight",$C$52&gt;0, Results!$E$4="Tissue",OR($B$52="g",$B$52="mg")),((FF48*FF$51)/(FF$52)),IF(AND(Results!$E$5="Volume",$C$54&gt;0,Results!$E$4="Fluid"),((FF48*FF$51)/(FF$54)),IF(AND(Results!$E$4="Cells",Results!$E$5="Million",$B$52="million"),((FF48*FF$51)/(FF$52)),"0")))))</f>
        <v>0</v>
      </c>
      <c r="FG101" s="20" t="str">
        <f>IF(FG48=0,"0",IF(AND(Results!$E$5="Protein",$C$53&gt;0,OR(Results!$E$4="Tissue",Results!$E$4="Cells")),((FG48*FG$51)/(FG$53)),IF(AND(Results!$E$5="Weight",$C$52&gt;0, Results!$E$4="Tissue",OR($B$52="g",$B$52="mg")),((FG48*FG$51)/(FG$52)),IF(AND(Results!$E$5="Volume",$C$54&gt;0,Results!$E$4="Fluid"),((FG48*FG$51)/(FG$54)),IF(AND(Results!$E$4="Cells",Results!$E$5="Million",$B$52="million"),((FG48*FG$51)/(FG$52)),"0")))))</f>
        <v>0</v>
      </c>
      <c r="FH101" s="20" t="str">
        <f>IF(FH48=0,"0",IF(AND(Results!$E$5="Protein",$C$53&gt;0,OR(Results!$E$4="Tissue",Results!$E$4="Cells")),((FH48*FH$51)/(FH$53)),IF(AND(Results!$E$5="Weight",$C$52&gt;0, Results!$E$4="Tissue",OR($B$52="g",$B$52="mg")),((FH48*FH$51)/(FH$52)),IF(AND(Results!$E$5="Volume",$C$54&gt;0,Results!$E$4="Fluid"),((FH48*FH$51)/(FH$54)),IF(AND(Results!$E$4="Cells",Results!$E$5="Million",$B$52="million"),((FH48*FH$51)/(FH$52)),"0")))))</f>
        <v>0</v>
      </c>
      <c r="FI101" s="20" t="str">
        <f>IF(FI48=0,"0",IF(AND(Results!$E$5="Protein",$C$53&gt;0,OR(Results!$E$4="Tissue",Results!$E$4="Cells")),((FI48*FI$51)/(FI$53)),IF(AND(Results!$E$5="Weight",$C$52&gt;0, Results!$E$4="Tissue",OR($B$52="g",$B$52="mg")),((FI48*FI$51)/(FI$52)),IF(AND(Results!$E$5="Volume",$C$54&gt;0,Results!$E$4="Fluid"),((FI48*FI$51)/(FI$54)),IF(AND(Results!$E$4="Cells",Results!$E$5="Million",$B$52="million"),((FI48*FI$51)/(FI$52)),"0")))))</f>
        <v>0</v>
      </c>
      <c r="FJ101" s="20" t="str">
        <f>IF(FJ48=0,"0",IF(AND(Results!$E$5="Protein",$C$53&gt;0,OR(Results!$E$4="Tissue",Results!$E$4="Cells")),((FJ48*FJ$51)/(FJ$53)),IF(AND(Results!$E$5="Weight",$C$52&gt;0, Results!$E$4="Tissue",OR($B$52="g",$B$52="mg")),((FJ48*FJ$51)/(FJ$52)),IF(AND(Results!$E$5="Volume",$C$54&gt;0,Results!$E$4="Fluid"),((FJ48*FJ$51)/(FJ$54)),IF(AND(Results!$E$4="Cells",Results!$E$5="Million",$B$52="million"),((FJ48*FJ$51)/(FJ$52)),"0")))))</f>
        <v>0</v>
      </c>
      <c r="FK101" s="20" t="str">
        <f>IF(FK48=0,"0",IF(AND(Results!$E$5="Protein",$C$53&gt;0,OR(Results!$E$4="Tissue",Results!$E$4="Cells")),((FK48*FK$51)/(FK$53)),IF(AND(Results!$E$5="Weight",$C$52&gt;0, Results!$E$4="Tissue",OR($B$52="g",$B$52="mg")),((FK48*FK$51)/(FK$52)),IF(AND(Results!$E$5="Volume",$C$54&gt;0,Results!$E$4="Fluid"),((FK48*FK$51)/(FK$54)),IF(AND(Results!$E$4="Cells",Results!$E$5="Million",$B$52="million"),((FK48*FK$51)/(FK$52)),"0")))))</f>
        <v>0</v>
      </c>
      <c r="FL101" s="20" t="str">
        <f>IF(FL48=0,"0",IF(AND(Results!$E$5="Protein",$C$53&gt;0,OR(Results!$E$4="Tissue",Results!$E$4="Cells")),((FL48*FL$51)/(FL$53)),IF(AND(Results!$E$5="Weight",$C$52&gt;0, Results!$E$4="Tissue",OR($B$52="g",$B$52="mg")),((FL48*FL$51)/(FL$52)),IF(AND(Results!$E$5="Volume",$C$54&gt;0,Results!$E$4="Fluid"),((FL48*FL$51)/(FL$54)),IF(AND(Results!$E$4="Cells",Results!$E$5="Million",$B$52="million"),((FL48*FL$51)/(FL$52)),"0")))))</f>
        <v>0</v>
      </c>
      <c r="FM101" s="20" t="str">
        <f>IF(FM48=0,"0",IF(AND(Results!$E$5="Protein",$C$53&gt;0,OR(Results!$E$4="Tissue",Results!$E$4="Cells")),((FM48*FM$51)/(FM$53)),IF(AND(Results!$E$5="Weight",$C$52&gt;0, Results!$E$4="Tissue",OR($B$52="g",$B$52="mg")),((FM48*FM$51)/(FM$52)),IF(AND(Results!$E$5="Volume",$C$54&gt;0,Results!$E$4="Fluid"),((FM48*FM$51)/(FM$54)),IF(AND(Results!$E$4="Cells",Results!$E$5="Million",$B$52="million"),((FM48*FM$51)/(FM$52)),"0")))))</f>
        <v>0</v>
      </c>
      <c r="FN101" s="20" t="str">
        <f>IF(FN48=0,"0",IF(AND(Results!$E$5="Protein",$C$53&gt;0,OR(Results!$E$4="Tissue",Results!$E$4="Cells")),((FN48*FN$51)/(FN$53)),IF(AND(Results!$E$5="Weight",$C$52&gt;0, Results!$E$4="Tissue",OR($B$52="g",$B$52="mg")),((FN48*FN$51)/(FN$52)),IF(AND(Results!$E$5="Volume",$C$54&gt;0,Results!$E$4="Fluid"),((FN48*FN$51)/(FN$54)),IF(AND(Results!$E$4="Cells",Results!$E$5="Million",$B$52="million"),((FN48*FN$51)/(FN$52)),"0")))))</f>
        <v>0</v>
      </c>
      <c r="FO101" s="20" t="str">
        <f>IF(FO48=0,"0",IF(AND(Results!$E$5="Protein",$C$53&gt;0,OR(Results!$E$4="Tissue",Results!$E$4="Cells")),((FO48*FO$51)/(FO$53)),IF(AND(Results!$E$5="Weight",$C$52&gt;0, Results!$E$4="Tissue",OR($B$52="g",$B$52="mg")),((FO48*FO$51)/(FO$52)),IF(AND(Results!$E$5="Volume",$C$54&gt;0,Results!$E$4="Fluid"),((FO48*FO$51)/(FO$54)),IF(AND(Results!$E$4="Cells",Results!$E$5="Million",$B$52="million"),((FO48*FO$51)/(FO$52)),"0")))))</f>
        <v>0</v>
      </c>
    </row>
    <row r="102" spans="1:171" x14ac:dyDescent="0.2">
      <c r="A102" s="120" t="str">
        <f>A49</f>
        <v xml:space="preserve">RvD5 </v>
      </c>
      <c r="B102" s="121"/>
      <c r="C102" s="20" t="str">
        <f>IF(C49=0,"0",IF(AND(Results!$E$5="Protein",$C$53&gt;0,OR(Results!$E$4="Tissue",Results!$E$4="Cells")),((C49*C$51)/(C$53)),IF(AND(Results!$E$5="Weight",$C$52&gt;0, Results!$E$4="Tissue",OR($B$52="g",$B$52="mg")),((C49*C$51)/(C$52)),IF(AND(Results!$E$5="Volume",$C$54&gt;0,Results!$E$4="Fluid"),((C49*C$51)/(C$54)),IF(AND(Results!$E$4="Cells",Results!$E$5="Million",$B$52="million"),((C49*C$51)/(C$52)),"0")))))</f>
        <v>0</v>
      </c>
      <c r="D102" s="20" t="str">
        <f>IF(D49=0,"0",IF(AND(Results!$E$5="Protein",$C$53&gt;0,OR(Results!$E$4="Tissue",Results!$E$4="Cells")),((D49*D$51)/(D$53)),IF(AND(Results!$E$5="Weight",$C$52&gt;0, Results!$E$4="Tissue",OR($B$52="g",$B$52="mg")),((D49*D$51)/(D$52)),IF(AND(Results!$E$5="Volume",$C$54&gt;0,Results!$E$4="Fluid"),((D49*D$51)/(D$54)),IF(AND(Results!$E$4="Cells",Results!$E$5="Million",$B$52="million"),((D49*D$51)/(D$52)),"0")))))</f>
        <v>0</v>
      </c>
      <c r="E102" s="20" t="str">
        <f>IF(E49=0,"0",IF(AND(Results!$E$5="Protein",$C$53&gt;0,OR(Results!$E$4="Tissue",Results!$E$4="Cells")),((E49*E$51)/(E$53)),IF(AND(Results!$E$5="Weight",$C$52&gt;0, Results!$E$4="Tissue",OR($B$52="g",$B$52="mg")),((E49*E$51)/(E$52)),IF(AND(Results!$E$5="Volume",$C$54&gt;0,Results!$E$4="Fluid"),((E49*E$51)/(E$54)),IF(AND(Results!$E$4="Cells",Results!$E$5="Million",$B$52="million"),((E49*E$51)/(E$52)),"0")))))</f>
        <v>0</v>
      </c>
      <c r="F102" s="20" t="str">
        <f>IF(F49=0,"0",IF(AND(Results!$E$5="Protein",$C$53&gt;0,OR(Results!$E$4="Tissue",Results!$E$4="Cells")),((F49*F$51)/(F$53)),IF(AND(Results!$E$5="Weight",$C$52&gt;0, Results!$E$4="Tissue",OR($B$52="g",$B$52="mg")),((F49*F$51)/(F$52)),IF(AND(Results!$E$5="Volume",$C$54&gt;0,Results!$E$4="Fluid"),((F49*F$51)/(F$54)),IF(AND(Results!$E$4="Cells",Results!$E$5="Million",$B$52="million"),((F49*F$51)/(F$52)),"0")))))</f>
        <v>0</v>
      </c>
      <c r="G102" s="20" t="str">
        <f>IF(G49=0,"0",IF(AND(Results!$E$5="Protein",$C$53&gt;0,OR(Results!$E$4="Tissue",Results!$E$4="Cells")),((G49*G$51)/(G$53)),IF(AND(Results!$E$5="Weight",$C$52&gt;0, Results!$E$4="Tissue",OR($B$52="g",$B$52="mg")),((G49*G$51)/(G$52)),IF(AND(Results!$E$5="Volume",$C$54&gt;0,Results!$E$4="Fluid"),((G49*G$51)/(G$54)),IF(AND(Results!$E$4="Cells",Results!$E$5="Million",$B$52="million"),((G49*G$51)/(G$52)),"0")))))</f>
        <v>0</v>
      </c>
      <c r="H102" s="20" t="str">
        <f>IF(H49=0,"0",IF(AND(Results!$E$5="Protein",$C$53&gt;0,OR(Results!$E$4="Tissue",Results!$E$4="Cells")),((H49*H$51)/(H$53)),IF(AND(Results!$E$5="Weight",$C$52&gt;0, Results!$E$4="Tissue",OR($B$52="g",$B$52="mg")),((H49*H$51)/(H$52)),IF(AND(Results!$E$5="Volume",$C$54&gt;0,Results!$E$4="Fluid"),((H49*H$51)/(H$54)),IF(AND(Results!$E$4="Cells",Results!$E$5="Million",$B$52="million"),((H49*H$51)/(H$52)),"0")))))</f>
        <v>0</v>
      </c>
      <c r="I102" s="20" t="str">
        <f>IF(I49=0,"0",IF(AND(Results!$E$5="Protein",$C$53&gt;0,OR(Results!$E$4="Tissue",Results!$E$4="Cells")),((I49*I$51)/(I$53)),IF(AND(Results!$E$5="Weight",$C$52&gt;0, Results!$E$4="Tissue",OR($B$52="g",$B$52="mg")),((I49*I$51)/(I$52)),IF(AND(Results!$E$5="Volume",$C$54&gt;0,Results!$E$4="Fluid"),((I49*I$51)/(I$54)),IF(AND(Results!$E$4="Cells",Results!$E$5="Million",$B$52="million"),((I49*I$51)/(I$52)),"0")))))</f>
        <v>0</v>
      </c>
      <c r="J102" s="20" t="str">
        <f>IF(J49=0,"0",IF(AND(Results!$E$5="Protein",$C$53&gt;0,OR(Results!$E$4="Tissue",Results!$E$4="Cells")),((J49*J$51)/(J$53)),IF(AND(Results!$E$5="Weight",$C$52&gt;0, Results!$E$4="Tissue",OR($B$52="g",$B$52="mg")),((J49*J$51)/(J$52)),IF(AND(Results!$E$5="Volume",$C$54&gt;0,Results!$E$4="Fluid"),((J49*J$51)/(J$54)),IF(AND(Results!$E$4="Cells",Results!$E$5="Million",$B$52="million"),((J49*J$51)/(J$52)),"0")))))</f>
        <v>0</v>
      </c>
      <c r="K102" s="20" t="str">
        <f>IF(K49=0,"0",IF(AND(Results!$E$5="Protein",$C$53&gt;0,OR(Results!$E$4="Tissue",Results!$E$4="Cells")),((K49*K$51)/(K$53)),IF(AND(Results!$E$5="Weight",$C$52&gt;0, Results!$E$4="Tissue",OR($B$52="g",$B$52="mg")),((K49*K$51)/(K$52)),IF(AND(Results!$E$5="Volume",$C$54&gt;0,Results!$E$4="Fluid"),((K49*K$51)/(K$54)),IF(AND(Results!$E$4="Cells",Results!$E$5="Million",$B$52="million"),((K49*K$51)/(K$52)),"0")))))</f>
        <v>0</v>
      </c>
      <c r="L102" s="20" t="str">
        <f>IF(L49=0,"0",IF(AND(Results!$E$5="Protein",$C$53&gt;0,OR(Results!$E$4="Tissue",Results!$E$4="Cells")),((L49*L$51)/(L$53)),IF(AND(Results!$E$5="Weight",$C$52&gt;0, Results!$E$4="Tissue",OR($B$52="g",$B$52="mg")),((L49*L$51)/(L$52)),IF(AND(Results!$E$5="Volume",$C$54&gt;0,Results!$E$4="Fluid"),((L49*L$51)/(L$54)),IF(AND(Results!$E$4="Cells",Results!$E$5="Million",$B$52="million"),((L49*L$51)/(L$52)),"0")))))</f>
        <v>0</v>
      </c>
      <c r="M102" s="20" t="str">
        <f>IF(M49=0,"0",IF(AND(Results!$E$5="Protein",$C$53&gt;0,OR(Results!$E$4="Tissue",Results!$E$4="Cells")),((M49*M$51)/(M$53)),IF(AND(Results!$E$5="Weight",$C$52&gt;0, Results!$E$4="Tissue",OR($B$52="g",$B$52="mg")),((M49*M$51)/(M$52)),IF(AND(Results!$E$5="Volume",$C$54&gt;0,Results!$E$4="Fluid"),((M49*M$51)/(M$54)),IF(AND(Results!$E$4="Cells",Results!$E$5="Million",$B$52="million"),((M49*M$51)/(M$52)),"0")))))</f>
        <v>0</v>
      </c>
      <c r="N102" s="20" t="str">
        <f>IF(N49=0,"0",IF(AND(Results!$E$5="Protein",$C$53&gt;0,OR(Results!$E$4="Tissue",Results!$E$4="Cells")),((N49*N$51)/(N$53)),IF(AND(Results!$E$5="Weight",$C$52&gt;0, Results!$E$4="Tissue",OR($B$52="g",$B$52="mg")),((N49*N$51)/(N$52)),IF(AND(Results!$E$5="Volume",$C$54&gt;0,Results!$E$4="Fluid"),((N49*N$51)/(N$54)),IF(AND(Results!$E$4="Cells",Results!$E$5="Million",$B$52="million"),((N49*N$51)/(N$52)),"0")))))</f>
        <v>0</v>
      </c>
      <c r="O102" s="20" t="str">
        <f>IF(O49=0,"0",IF(AND(Results!$E$5="Protein",$C$53&gt;0,OR(Results!$E$4="Tissue",Results!$E$4="Cells")),((O49*O$51)/(O$53)),IF(AND(Results!$E$5="Weight",$C$52&gt;0, Results!$E$4="Tissue",OR($B$52="g",$B$52="mg")),((O49*O$51)/(O$52)),IF(AND(Results!$E$5="Volume",$C$54&gt;0,Results!$E$4="Fluid"),((O49*O$51)/(O$54)),IF(AND(Results!$E$4="Cells",Results!$E$5="Million",$B$52="million"),((O49*O$51)/(O$52)),"0")))))</f>
        <v>0</v>
      </c>
      <c r="P102" s="20" t="str">
        <f>IF(P49=0,"0",IF(AND(Results!$E$5="Protein",$C$53&gt;0,OR(Results!$E$4="Tissue",Results!$E$4="Cells")),((P49*P$51)/(P$53)),IF(AND(Results!$E$5="Weight",$C$52&gt;0, Results!$E$4="Tissue",OR($B$52="g",$B$52="mg")),((P49*P$51)/(P$52)),IF(AND(Results!$E$5="Volume",$C$54&gt;0,Results!$E$4="Fluid"),((P49*P$51)/(P$54)),IF(AND(Results!$E$4="Cells",Results!$E$5="Million",$B$52="million"),((P49*P$51)/(P$52)),"0")))))</f>
        <v>0</v>
      </c>
      <c r="Q102" s="20" t="str">
        <f>IF(Q49=0,"0",IF(AND(Results!$E$5="Protein",$C$53&gt;0,OR(Results!$E$4="Tissue",Results!$E$4="Cells")),((Q49*Q$51)/(Q$53)),IF(AND(Results!$E$5="Weight",$C$52&gt;0, Results!$E$4="Tissue",OR($B$52="g",$B$52="mg")),((Q49*Q$51)/(Q$52)),IF(AND(Results!$E$5="Volume",$C$54&gt;0,Results!$E$4="Fluid"),((Q49*Q$51)/(Q$54)),IF(AND(Results!$E$4="Cells",Results!$E$5="Million",$B$52="million"),((Q49*Q$51)/(Q$52)),"0")))))</f>
        <v>0</v>
      </c>
      <c r="R102" s="20" t="str">
        <f>IF(R49=0,"0",IF(AND(Results!$E$5="Protein",$C$53&gt;0,OR(Results!$E$4="Tissue",Results!$E$4="Cells")),((R49*R$51)/(R$53)),IF(AND(Results!$E$5="Weight",$C$52&gt;0, Results!$E$4="Tissue",OR($B$52="g",$B$52="mg")),((R49*R$51)/(R$52)),IF(AND(Results!$E$5="Volume",$C$54&gt;0,Results!$E$4="Fluid"),((R49*R$51)/(R$54)),IF(AND(Results!$E$4="Cells",Results!$E$5="Million",$B$52="million"),((R49*R$51)/(R$52)),"0")))))</f>
        <v>0</v>
      </c>
      <c r="S102" s="20" t="str">
        <f>IF(S49=0,"0",IF(AND(Results!$E$5="Protein",$C$53&gt;0,OR(Results!$E$4="Tissue",Results!$E$4="Cells")),((S49*S$51)/(S$53)),IF(AND(Results!$E$5="Weight",$C$52&gt;0, Results!$E$4="Tissue",OR($B$52="g",$B$52="mg")),((S49*S$51)/(S$52)),IF(AND(Results!$E$5="Volume",$C$54&gt;0,Results!$E$4="Fluid"),((S49*S$51)/(S$54)),IF(AND(Results!$E$4="Cells",Results!$E$5="Million",$B$52="million"),((S49*S$51)/(S$52)),"0")))))</f>
        <v>0</v>
      </c>
      <c r="T102" s="20" t="str">
        <f>IF(T49=0,"0",IF(AND(Results!$E$5="Protein",$C$53&gt;0,OR(Results!$E$4="Tissue",Results!$E$4="Cells")),((T49*T$51)/(T$53)),IF(AND(Results!$E$5="Weight",$C$52&gt;0, Results!$E$4="Tissue",OR($B$52="g",$B$52="mg")),((T49*T$51)/(T$52)),IF(AND(Results!$E$5="Volume",$C$54&gt;0,Results!$E$4="Fluid"),((T49*T$51)/(T$54)),IF(AND(Results!$E$4="Cells",Results!$E$5="Million",$B$52="million"),((T49*T$51)/(T$52)),"0")))))</f>
        <v>0</v>
      </c>
      <c r="U102" s="20" t="str">
        <f>IF(U49=0,"0",IF(AND(Results!$E$5="Protein",$C$53&gt;0,OR(Results!$E$4="Tissue",Results!$E$4="Cells")),((U49*U$51)/(U$53)),IF(AND(Results!$E$5="Weight",$C$52&gt;0, Results!$E$4="Tissue",OR($B$52="g",$B$52="mg")),((U49*U$51)/(U$52)),IF(AND(Results!$E$5="Volume",$C$54&gt;0,Results!$E$4="Fluid"),((U49*U$51)/(U$54)),IF(AND(Results!$E$4="Cells",Results!$E$5="Million",$B$52="million"),((U49*U$51)/(U$52)),"0")))))</f>
        <v>0</v>
      </c>
      <c r="V102" s="20" t="str">
        <f>IF(V49=0,"0",IF(AND(Results!$E$5="Protein",$C$53&gt;0,OR(Results!$E$4="Tissue",Results!$E$4="Cells")),((V49*V$51)/(V$53)),IF(AND(Results!$E$5="Weight",$C$52&gt;0, Results!$E$4="Tissue",OR($B$52="g",$B$52="mg")),((V49*V$51)/(V$52)),IF(AND(Results!$E$5="Volume",$C$54&gt;0,Results!$E$4="Fluid"),((V49*V$51)/(V$54)),IF(AND(Results!$E$4="Cells",Results!$E$5="Million",$B$52="million"),((V49*V$51)/(V$52)),"0")))))</f>
        <v>0</v>
      </c>
      <c r="W102" s="20" t="str">
        <f>IF(W49=0,"0",IF(AND(Results!$E$5="Protein",$C$53&gt;0,OR(Results!$E$4="Tissue",Results!$E$4="Cells")),((W49*W$51)/(W$53)),IF(AND(Results!$E$5="Weight",$C$52&gt;0, Results!$E$4="Tissue",OR($B$52="g",$B$52="mg")),((W49*W$51)/(W$52)),IF(AND(Results!$E$5="Volume",$C$54&gt;0,Results!$E$4="Fluid"),((W49*W$51)/(W$54)),IF(AND(Results!$E$4="Cells",Results!$E$5="Million",$B$52="million"),((W49*W$51)/(W$52)),"0")))))</f>
        <v>0</v>
      </c>
      <c r="X102" s="20" t="str">
        <f>IF(X49=0,"0",IF(AND(Results!$E$5="Protein",$C$53&gt;0,OR(Results!$E$4="Tissue",Results!$E$4="Cells")),((X49*X$51)/(X$53)),IF(AND(Results!$E$5="Weight",$C$52&gt;0, Results!$E$4="Tissue",OR($B$52="g",$B$52="mg")),((X49*X$51)/(X$52)),IF(AND(Results!$E$5="Volume",$C$54&gt;0,Results!$E$4="Fluid"),((X49*X$51)/(X$54)),IF(AND(Results!$E$4="Cells",Results!$E$5="Million",$B$52="million"),((X49*X$51)/(X$52)),"0")))))</f>
        <v>0</v>
      </c>
      <c r="Y102" s="20" t="str">
        <f>IF(Y49=0,"0",IF(AND(Results!$E$5="Protein",$C$53&gt;0,OR(Results!$E$4="Tissue",Results!$E$4="Cells")),((Y49*Y$51)/(Y$53)),IF(AND(Results!$E$5="Weight",$C$52&gt;0, Results!$E$4="Tissue",OR($B$52="g",$B$52="mg")),((Y49*Y$51)/(Y$52)),IF(AND(Results!$E$5="Volume",$C$54&gt;0,Results!$E$4="Fluid"),((Y49*Y$51)/(Y$54)),IF(AND(Results!$E$4="Cells",Results!$E$5="Million",$B$52="million"),((Y49*Y$51)/(Y$52)),"0")))))</f>
        <v>0</v>
      </c>
      <c r="Z102" s="20" t="str">
        <f>IF(Z49=0,"0",IF(AND(Results!$E$5="Protein",$C$53&gt;0,OR(Results!$E$4="Tissue",Results!$E$4="Cells")),((Z49*Z$51)/(Z$53)),IF(AND(Results!$E$5="Weight",$C$52&gt;0, Results!$E$4="Tissue",OR($B$52="g",$B$52="mg")),((Z49*Z$51)/(Z$52)),IF(AND(Results!$E$5="Volume",$C$54&gt;0,Results!$E$4="Fluid"),((Z49*Z$51)/(Z$54)),IF(AND(Results!$E$4="Cells",Results!$E$5="Million",$B$52="million"),((Z49*Z$51)/(Z$52)),"0")))))</f>
        <v>0</v>
      </c>
      <c r="AA102" s="20" t="str">
        <f>IF(AA49=0,"0",IF(AND(Results!$E$5="Protein",$C$53&gt;0,OR(Results!$E$4="Tissue",Results!$E$4="Cells")),((AA49*AA$51)/(AA$53)),IF(AND(Results!$E$5="Weight",$C$52&gt;0, Results!$E$4="Tissue",OR($B$52="g",$B$52="mg")),((AA49*AA$51)/(AA$52)),IF(AND(Results!$E$5="Volume",$C$54&gt;0,Results!$E$4="Fluid"),((AA49*AA$51)/(AA$54)),IF(AND(Results!$E$4="Cells",Results!$E$5="Million",$B$52="million"),((AA49*AA$51)/(AA$52)),"0")))))</f>
        <v>0</v>
      </c>
      <c r="AB102" s="20" t="str">
        <f>IF(AB49=0,"0",IF(AND(Results!$E$5="Protein",$C$53&gt;0,OR(Results!$E$4="Tissue",Results!$E$4="Cells")),((AB49*AB$51)/(AB$53)),IF(AND(Results!$E$5="Weight",$C$52&gt;0, Results!$E$4="Tissue",OR($B$52="g",$B$52="mg")),((AB49*AB$51)/(AB$52)),IF(AND(Results!$E$5="Volume",$C$54&gt;0,Results!$E$4="Fluid"),((AB49*AB$51)/(AB$54)),IF(AND(Results!$E$4="Cells",Results!$E$5="Million",$B$52="million"),((AB49*AB$51)/(AB$52)),"0")))))</f>
        <v>0</v>
      </c>
      <c r="AC102" s="20" t="str">
        <f>IF(AC49=0,"0",IF(AND(Results!$E$5="Protein",$C$53&gt;0,OR(Results!$E$4="Tissue",Results!$E$4="Cells")),((AC49*AC$51)/(AC$53)),IF(AND(Results!$E$5="Weight",$C$52&gt;0, Results!$E$4="Tissue",OR($B$52="g",$B$52="mg")),((AC49*AC$51)/(AC$52)),IF(AND(Results!$E$5="Volume",$C$54&gt;0,Results!$E$4="Fluid"),((AC49*AC$51)/(AC$54)),IF(AND(Results!$E$4="Cells",Results!$E$5="Million",$B$52="million"),((AC49*AC$51)/(AC$52)),"0")))))</f>
        <v>0</v>
      </c>
      <c r="AD102" s="20" t="str">
        <f>IF(AD49=0,"0",IF(AND(Results!$E$5="Protein",$C$53&gt;0,OR(Results!$E$4="Tissue",Results!$E$4="Cells")),((AD49*AD$51)/(AD$53)),IF(AND(Results!$E$5="Weight",$C$52&gt;0, Results!$E$4="Tissue",OR($B$52="g",$B$52="mg")),((AD49*AD$51)/(AD$52)),IF(AND(Results!$E$5="Volume",$C$54&gt;0,Results!$E$4="Fluid"),((AD49*AD$51)/(AD$54)),IF(AND(Results!$E$4="Cells",Results!$E$5="Million",$B$52="million"),((AD49*AD$51)/(AD$52)),"0")))))</f>
        <v>0</v>
      </c>
      <c r="AE102" s="20" t="str">
        <f>IF(AE49=0,"0",IF(AND(Results!$E$5="Protein",$C$53&gt;0,OR(Results!$E$4="Tissue",Results!$E$4="Cells")),((AE49*AE$51)/(AE$53)),IF(AND(Results!$E$5="Weight",$C$52&gt;0, Results!$E$4="Tissue",OR($B$52="g",$B$52="mg")),((AE49*AE$51)/(AE$52)),IF(AND(Results!$E$5="Volume",$C$54&gt;0,Results!$E$4="Fluid"),((AE49*AE$51)/(AE$54)),IF(AND(Results!$E$4="Cells",Results!$E$5="Million",$B$52="million"),((AE49*AE$51)/(AE$52)),"0")))))</f>
        <v>0</v>
      </c>
      <c r="AF102" s="20" t="str">
        <f>IF(AF49=0,"0",IF(AND(Results!$E$5="Protein",$C$53&gt;0,OR(Results!$E$4="Tissue",Results!$E$4="Cells")),((AF49*AF$51)/(AF$53)),IF(AND(Results!$E$5="Weight",$C$52&gt;0, Results!$E$4="Tissue",OR($B$52="g",$B$52="mg")),((AF49*AF$51)/(AF$52)),IF(AND(Results!$E$5="Volume",$C$54&gt;0,Results!$E$4="Fluid"),((AF49*AF$51)/(AF$54)),IF(AND(Results!$E$4="Cells",Results!$E$5="Million",$B$52="million"),((AF49*AF$51)/(AF$52)),"0")))))</f>
        <v>0</v>
      </c>
      <c r="AG102" s="20" t="str">
        <f>IF(AG49=0,"0",IF(AND(Results!$E$5="Protein",$C$53&gt;0,OR(Results!$E$4="Tissue",Results!$E$4="Cells")),((AG49*AG$51)/(AG$53)),IF(AND(Results!$E$5="Weight",$C$52&gt;0, Results!$E$4="Tissue",OR($B$52="g",$B$52="mg")),((AG49*AG$51)/(AG$52)),IF(AND(Results!$E$5="Volume",$C$54&gt;0,Results!$E$4="Fluid"),((AG49*AG$51)/(AG$54)),IF(AND(Results!$E$4="Cells",Results!$E$5="Million",$B$52="million"),((AG49*AG$51)/(AG$52)),"0")))))</f>
        <v>0</v>
      </c>
      <c r="AH102" s="20" t="str">
        <f>IF(AH49=0,"0",IF(AND(Results!$E$5="Protein",$C$53&gt;0,OR(Results!$E$4="Tissue",Results!$E$4="Cells")),((AH49*AH$51)/(AH$53)),IF(AND(Results!$E$5="Weight",$C$52&gt;0, Results!$E$4="Tissue",OR($B$52="g",$B$52="mg")),((AH49*AH$51)/(AH$52)),IF(AND(Results!$E$5="Volume",$C$54&gt;0,Results!$E$4="Fluid"),((AH49*AH$51)/(AH$54)),IF(AND(Results!$E$4="Cells",Results!$E$5="Million",$B$52="million"),((AH49*AH$51)/(AH$52)),"0")))))</f>
        <v>0</v>
      </c>
      <c r="AI102" s="20" t="str">
        <f>IF(AI49=0,"0",IF(AND(Results!$E$5="Protein",$C$53&gt;0,OR(Results!$E$4="Tissue",Results!$E$4="Cells")),((AI49*AI$51)/(AI$53)),IF(AND(Results!$E$5="Weight",$C$52&gt;0, Results!$E$4="Tissue",OR($B$52="g",$B$52="mg")),((AI49*AI$51)/(AI$52)),IF(AND(Results!$E$5="Volume",$C$54&gt;0,Results!$E$4="Fluid"),((AI49*AI$51)/(AI$54)),IF(AND(Results!$E$4="Cells",Results!$E$5="Million",$B$52="million"),((AI49*AI$51)/(AI$52)),"0")))))</f>
        <v>0</v>
      </c>
      <c r="AJ102" s="20" t="str">
        <f>IF(AJ49=0,"0",IF(AND(Results!$E$5="Protein",$C$53&gt;0,OR(Results!$E$4="Tissue",Results!$E$4="Cells")),((AJ49*AJ$51)/(AJ$53)),IF(AND(Results!$E$5="Weight",$C$52&gt;0, Results!$E$4="Tissue",OR($B$52="g",$B$52="mg")),((AJ49*AJ$51)/(AJ$52)),IF(AND(Results!$E$5="Volume",$C$54&gt;0,Results!$E$4="Fluid"),((AJ49*AJ$51)/(AJ$54)),IF(AND(Results!$E$4="Cells",Results!$E$5="Million",$B$52="million"),((AJ49*AJ$51)/(AJ$52)),"0")))))</f>
        <v>0</v>
      </c>
      <c r="AK102" s="20" t="str">
        <f>IF(AK49=0,"0",IF(AND(Results!$E$5="Protein",$C$53&gt;0,OR(Results!$E$4="Tissue",Results!$E$4="Cells")),((AK49*AK$51)/(AK$53)),IF(AND(Results!$E$5="Weight",$C$52&gt;0, Results!$E$4="Tissue",OR($B$52="g",$B$52="mg")),((AK49*AK$51)/(AK$52)),IF(AND(Results!$E$5="Volume",$C$54&gt;0,Results!$E$4="Fluid"),((AK49*AK$51)/(AK$54)),IF(AND(Results!$E$4="Cells",Results!$E$5="Million",$B$52="million"),((AK49*AK$51)/(AK$52)),"0")))))</f>
        <v>0</v>
      </c>
      <c r="AL102" s="20" t="str">
        <f>IF(AL49=0,"0",IF(AND(Results!$E$5="Protein",$C$53&gt;0,OR(Results!$E$4="Tissue",Results!$E$4="Cells")),((AL49*AL$51)/(AL$53)),IF(AND(Results!$E$5="Weight",$C$52&gt;0, Results!$E$4="Tissue",OR($B$52="g",$B$52="mg")),((AL49*AL$51)/(AL$52)),IF(AND(Results!$E$5="Volume",$C$54&gt;0,Results!$E$4="Fluid"),((AL49*AL$51)/(AL$54)),IF(AND(Results!$E$4="Cells",Results!$E$5="Million",$B$52="million"),((AL49*AL$51)/(AL$52)),"0")))))</f>
        <v>0</v>
      </c>
      <c r="AM102" s="20" t="str">
        <f>IF(AM49=0,"0",IF(AND(Results!$E$5="Protein",$C$53&gt;0,OR(Results!$E$4="Tissue",Results!$E$4="Cells")),((AM49*AM$51)/(AM$53)),IF(AND(Results!$E$5="Weight",$C$52&gt;0, Results!$E$4="Tissue",OR($B$52="g",$B$52="mg")),((AM49*AM$51)/(AM$52)),IF(AND(Results!$E$5="Volume",$C$54&gt;0,Results!$E$4="Fluid"),((AM49*AM$51)/(AM$54)),IF(AND(Results!$E$4="Cells",Results!$E$5="Million",$B$52="million"),((AM49*AM$51)/(AM$52)),"0")))))</f>
        <v>0</v>
      </c>
      <c r="AN102" s="20" t="str">
        <f>IF(AN49=0,"0",IF(AND(Results!$E$5="Protein",$C$53&gt;0,OR(Results!$E$4="Tissue",Results!$E$4="Cells")),((AN49*AN$51)/(AN$53)),IF(AND(Results!$E$5="Weight",$C$52&gt;0, Results!$E$4="Tissue",OR($B$52="g",$B$52="mg")),((AN49*AN$51)/(AN$52)),IF(AND(Results!$E$5="Volume",$C$54&gt;0,Results!$E$4="Fluid"),((AN49*AN$51)/(AN$54)),IF(AND(Results!$E$4="Cells",Results!$E$5="Million",$B$52="million"),((AN49*AN$51)/(AN$52)),"0")))))</f>
        <v>0</v>
      </c>
      <c r="AO102" s="20" t="str">
        <f>IF(AO49=0,"0",IF(AND(Results!$E$5="Protein",$C$53&gt;0,OR(Results!$E$4="Tissue",Results!$E$4="Cells")),((AO49*AO$51)/(AO$53)),IF(AND(Results!$E$5="Weight",$C$52&gt;0, Results!$E$4="Tissue",OR($B$52="g",$B$52="mg")),((AO49*AO$51)/(AO$52)),IF(AND(Results!$E$5="Volume",$C$54&gt;0,Results!$E$4="Fluid"),((AO49*AO$51)/(AO$54)),IF(AND(Results!$E$4="Cells",Results!$E$5="Million",$B$52="million"),((AO49*AO$51)/(AO$52)),"0")))))</f>
        <v>0</v>
      </c>
      <c r="AP102" s="20" t="str">
        <f>IF(AP49=0,"0",IF(AND(Results!$E$5="Protein",$C$53&gt;0,OR(Results!$E$4="Tissue",Results!$E$4="Cells")),((AP49*AP$51)/(AP$53)),IF(AND(Results!$E$5="Weight",$C$52&gt;0, Results!$E$4="Tissue",OR($B$52="g",$B$52="mg")),((AP49*AP$51)/(AP$52)),IF(AND(Results!$E$5="Volume",$C$54&gt;0,Results!$E$4="Fluid"),((AP49*AP$51)/(AP$54)),IF(AND(Results!$E$4="Cells",Results!$E$5="Million",$B$52="million"),((AP49*AP$51)/(AP$52)),"0")))))</f>
        <v>0</v>
      </c>
      <c r="AQ102" s="20" t="str">
        <f>IF(AQ49=0,"0",IF(AND(Results!$E$5="Protein",$C$53&gt;0,OR(Results!$E$4="Tissue",Results!$E$4="Cells")),((AQ49*AQ$51)/(AQ$53)),IF(AND(Results!$E$5="Weight",$C$52&gt;0, Results!$E$4="Tissue",OR($B$52="g",$B$52="mg")),((AQ49*AQ$51)/(AQ$52)),IF(AND(Results!$E$5="Volume",$C$54&gt;0,Results!$E$4="Fluid"),((AQ49*AQ$51)/(AQ$54)),IF(AND(Results!$E$4="Cells",Results!$E$5="Million",$B$52="million"),((AQ49*AQ$51)/(AQ$52)),"0")))))</f>
        <v>0</v>
      </c>
      <c r="AR102" s="20" t="str">
        <f>IF(AR49=0,"0",IF(AND(Results!$E$5="Protein",$C$53&gt;0,OR(Results!$E$4="Tissue",Results!$E$4="Cells")),((AR49*AR$51)/(AR$53)),IF(AND(Results!$E$5="Weight",$C$52&gt;0, Results!$E$4="Tissue",OR($B$52="g",$B$52="mg")),((AR49*AR$51)/(AR$52)),IF(AND(Results!$E$5="Volume",$C$54&gt;0,Results!$E$4="Fluid"),((AR49*AR$51)/(AR$54)),IF(AND(Results!$E$4="Cells",Results!$E$5="Million",$B$52="million"),((AR49*AR$51)/(AR$52)),"0")))))</f>
        <v>0</v>
      </c>
      <c r="AS102" s="20" t="str">
        <f>IF(AS49=0,"0",IF(AND(Results!$E$5="Protein",$C$53&gt;0,OR(Results!$E$4="Tissue",Results!$E$4="Cells")),((AS49*AS$51)/(AS$53)),IF(AND(Results!$E$5="Weight",$C$52&gt;0, Results!$E$4="Tissue",OR($B$52="g",$B$52="mg")),((AS49*AS$51)/(AS$52)),IF(AND(Results!$E$5="Volume",$C$54&gt;0,Results!$E$4="Fluid"),((AS49*AS$51)/(AS$54)),IF(AND(Results!$E$4="Cells",Results!$E$5="Million",$B$52="million"),((AS49*AS$51)/(AS$52)),"0")))))</f>
        <v>0</v>
      </c>
      <c r="AT102" s="20" t="str">
        <f>IF(AT49=0,"0",IF(AND(Results!$E$5="Protein",$C$53&gt;0,OR(Results!$E$4="Tissue",Results!$E$4="Cells")),((AT49*AT$51)/(AT$53)),IF(AND(Results!$E$5="Weight",$C$52&gt;0, Results!$E$4="Tissue",OR($B$52="g",$B$52="mg")),((AT49*AT$51)/(AT$52)),IF(AND(Results!$E$5="Volume",$C$54&gt;0,Results!$E$4="Fluid"),((AT49*AT$51)/(AT$54)),IF(AND(Results!$E$4="Cells",Results!$E$5="Million",$B$52="million"),((AT49*AT$51)/(AT$52)),"0")))))</f>
        <v>0</v>
      </c>
      <c r="AU102" s="20" t="str">
        <f>IF(AU49=0,"0",IF(AND(Results!$E$5="Protein",$C$53&gt;0,OR(Results!$E$4="Tissue",Results!$E$4="Cells")),((AU49*AU$51)/(AU$53)),IF(AND(Results!$E$5="Weight",$C$52&gt;0, Results!$E$4="Tissue",OR($B$52="g",$B$52="mg")),((AU49*AU$51)/(AU$52)),IF(AND(Results!$E$5="Volume",$C$54&gt;0,Results!$E$4="Fluid"),((AU49*AU$51)/(AU$54)),IF(AND(Results!$E$4="Cells",Results!$E$5="Million",$B$52="million"),((AU49*AU$51)/(AU$52)),"0")))))</f>
        <v>0</v>
      </c>
      <c r="AV102" s="20" t="str">
        <f>IF(AV49=0,"0",IF(AND(Results!$E$5="Protein",$C$53&gt;0,OR(Results!$E$4="Tissue",Results!$E$4="Cells")),((AV49*AV$51)/(AV$53)),IF(AND(Results!$E$5="Weight",$C$52&gt;0, Results!$E$4="Tissue",OR($B$52="g",$B$52="mg")),((AV49*AV$51)/(AV$52)),IF(AND(Results!$E$5="Volume",$C$54&gt;0,Results!$E$4="Fluid"),((AV49*AV$51)/(AV$54)),IF(AND(Results!$E$4="Cells",Results!$E$5="Million",$B$52="million"),((AV49*AV$51)/(AV$52)),"0")))))</f>
        <v>0</v>
      </c>
      <c r="AW102" s="20" t="str">
        <f>IF(AW49=0,"0",IF(AND(Results!$E$5="Protein",$C$53&gt;0,OR(Results!$E$4="Tissue",Results!$E$4="Cells")),((AW49*AW$51)/(AW$53)),IF(AND(Results!$E$5="Weight",$C$52&gt;0, Results!$E$4="Tissue",OR($B$52="g",$B$52="mg")),((AW49*AW$51)/(AW$52)),IF(AND(Results!$E$5="Volume",$C$54&gt;0,Results!$E$4="Fluid"),((AW49*AW$51)/(AW$54)),IF(AND(Results!$E$4="Cells",Results!$E$5="Million",$B$52="million"),((AW49*AW$51)/(AW$52)),"0")))))</f>
        <v>0</v>
      </c>
      <c r="AX102" s="20" t="str">
        <f>IF(AX49=0,"0",IF(AND(Results!$E$5="Protein",$C$53&gt;0,OR(Results!$E$4="Tissue",Results!$E$4="Cells")),((AX49*AX$51)/(AX$53)),IF(AND(Results!$E$5="Weight",$C$52&gt;0, Results!$E$4="Tissue",OR($B$52="g",$B$52="mg")),((AX49*AX$51)/(AX$52)),IF(AND(Results!$E$5="Volume",$C$54&gt;0,Results!$E$4="Fluid"),((AX49*AX$51)/(AX$54)),IF(AND(Results!$E$4="Cells",Results!$E$5="Million",$B$52="million"),((AX49*AX$51)/(AX$52)),"0")))))</f>
        <v>0</v>
      </c>
      <c r="AY102" s="20" t="str">
        <f>IF(AY49=0,"0",IF(AND(Results!$E$5="Protein",$C$53&gt;0,OR(Results!$E$4="Tissue",Results!$E$4="Cells")),((AY49*AY$51)/(AY$53)),IF(AND(Results!$E$5="Weight",$C$52&gt;0, Results!$E$4="Tissue",OR($B$52="g",$B$52="mg")),((AY49*AY$51)/(AY$52)),IF(AND(Results!$E$5="Volume",$C$54&gt;0,Results!$E$4="Fluid"),((AY49*AY$51)/(AY$54)),IF(AND(Results!$E$4="Cells",Results!$E$5="Million",$B$52="million"),((AY49*AY$51)/(AY$52)),"0")))))</f>
        <v>0</v>
      </c>
      <c r="AZ102" s="20" t="str">
        <f>IF(AZ49=0,"0",IF(AND(Results!$E$5="Protein",$C$53&gt;0,OR(Results!$E$4="Tissue",Results!$E$4="Cells")),((AZ49*AZ$51)/(AZ$53)),IF(AND(Results!$E$5="Weight",$C$52&gt;0, Results!$E$4="Tissue",OR($B$52="g",$B$52="mg")),((AZ49*AZ$51)/(AZ$52)),IF(AND(Results!$E$5="Volume",$C$54&gt;0,Results!$E$4="Fluid"),((AZ49*AZ$51)/(AZ$54)),IF(AND(Results!$E$4="Cells",Results!$E$5="Million",$B$52="million"),((AZ49*AZ$51)/(AZ$52)),"0")))))</f>
        <v>0</v>
      </c>
      <c r="BA102" s="20" t="str">
        <f>IF(BA49=0,"0",IF(AND(Results!$E$5="Protein",$C$53&gt;0,OR(Results!$E$4="Tissue",Results!$E$4="Cells")),((BA49*BA$51)/(BA$53)),IF(AND(Results!$E$5="Weight",$C$52&gt;0, Results!$E$4="Tissue",OR($B$52="g",$B$52="mg")),((BA49*BA$51)/(BA$52)),IF(AND(Results!$E$5="Volume",$C$54&gt;0,Results!$E$4="Fluid"),((BA49*BA$51)/(BA$54)),IF(AND(Results!$E$4="Cells",Results!$E$5="Million",$B$52="million"),((BA49*BA$51)/(BA$52)),"0")))))</f>
        <v>0</v>
      </c>
      <c r="BB102" s="20" t="str">
        <f>IF(BB49=0,"0",IF(AND(Results!$E$5="Protein",$C$53&gt;0,OR(Results!$E$4="Tissue",Results!$E$4="Cells")),((BB49*BB$51)/(BB$53)),IF(AND(Results!$E$5="Weight",$C$52&gt;0, Results!$E$4="Tissue",OR($B$52="g",$B$52="mg")),((BB49*BB$51)/(BB$52)),IF(AND(Results!$E$5="Volume",$C$54&gt;0,Results!$E$4="Fluid"),((BB49*BB$51)/(BB$54)),IF(AND(Results!$E$4="Cells",Results!$E$5="Million",$B$52="million"),((BB49*BB$51)/(BB$52)),"0")))))</f>
        <v>0</v>
      </c>
      <c r="BC102" s="20" t="str">
        <f>IF(BC49=0,"0",IF(AND(Results!$E$5="Protein",$C$53&gt;0,OR(Results!$E$4="Tissue",Results!$E$4="Cells")),((BC49*BC$51)/(BC$53)),IF(AND(Results!$E$5="Weight",$C$52&gt;0, Results!$E$4="Tissue",OR($B$52="g",$B$52="mg")),((BC49*BC$51)/(BC$52)),IF(AND(Results!$E$5="Volume",$C$54&gt;0,Results!$E$4="Fluid"),((BC49*BC$51)/(BC$54)),IF(AND(Results!$E$4="Cells",Results!$E$5="Million",$B$52="million"),((BC49*BC$51)/(BC$52)),"0")))))</f>
        <v>0</v>
      </c>
      <c r="BD102" s="20" t="str">
        <f>IF(BD49=0,"0",IF(AND(Results!$E$5="Protein",$C$53&gt;0,OR(Results!$E$4="Tissue",Results!$E$4="Cells")),((BD49*BD$51)/(BD$53)),IF(AND(Results!$E$5="Weight",$C$52&gt;0, Results!$E$4="Tissue",OR($B$52="g",$B$52="mg")),((BD49*BD$51)/(BD$52)),IF(AND(Results!$E$5="Volume",$C$54&gt;0,Results!$E$4="Fluid"),((BD49*BD$51)/(BD$54)),IF(AND(Results!$E$4="Cells",Results!$E$5="Million",$B$52="million"),((BD49*BD$51)/(BD$52)),"0")))))</f>
        <v>0</v>
      </c>
      <c r="BE102" s="20" t="str">
        <f>IF(BE49=0,"0",IF(AND(Results!$E$5="Protein",$C$53&gt;0,OR(Results!$E$4="Tissue",Results!$E$4="Cells")),((BE49*BE$51)/(BE$53)),IF(AND(Results!$E$5="Weight",$C$52&gt;0, Results!$E$4="Tissue",OR($B$52="g",$B$52="mg")),((BE49*BE$51)/(BE$52)),IF(AND(Results!$E$5="Volume",$C$54&gt;0,Results!$E$4="Fluid"),((BE49*BE$51)/(BE$54)),IF(AND(Results!$E$4="Cells",Results!$E$5="Million",$B$52="million"),((BE49*BE$51)/(BE$52)),"0")))))</f>
        <v>0</v>
      </c>
      <c r="BF102" s="20" t="str">
        <f>IF(BF49=0,"0",IF(AND(Results!$E$5="Protein",$C$53&gt;0,OR(Results!$E$4="Tissue",Results!$E$4="Cells")),((BF49*BF$51)/(BF$53)),IF(AND(Results!$E$5="Weight",$C$52&gt;0, Results!$E$4="Tissue",OR($B$52="g",$B$52="mg")),((BF49*BF$51)/(BF$52)),IF(AND(Results!$E$5="Volume",$C$54&gt;0,Results!$E$4="Fluid"),((BF49*BF$51)/(BF$54)),IF(AND(Results!$E$4="Cells",Results!$E$5="Million",$B$52="million"),((BF49*BF$51)/(BF$52)),"0")))))</f>
        <v>0</v>
      </c>
      <c r="BG102" s="20" t="str">
        <f>IF(BG49=0,"0",IF(AND(Results!$E$5="Protein",$C$53&gt;0,OR(Results!$E$4="Tissue",Results!$E$4="Cells")),((BG49*BG$51)/(BG$53)),IF(AND(Results!$E$5="Weight",$C$52&gt;0, Results!$E$4="Tissue",OR($B$52="g",$B$52="mg")),((BG49*BG$51)/(BG$52)),IF(AND(Results!$E$5="Volume",$C$54&gt;0,Results!$E$4="Fluid"),((BG49*BG$51)/(BG$54)),IF(AND(Results!$E$4="Cells",Results!$E$5="Million",$B$52="million"),((BG49*BG$51)/(BG$52)),"0")))))</f>
        <v>0</v>
      </c>
      <c r="BH102" s="20" t="str">
        <f>IF(BH49=0,"0",IF(AND(Results!$E$5="Protein",$C$53&gt;0,OR(Results!$E$4="Tissue",Results!$E$4="Cells")),((BH49*BH$51)/(BH$53)),IF(AND(Results!$E$5="Weight",$C$52&gt;0, Results!$E$4="Tissue",OR($B$52="g",$B$52="mg")),((BH49*BH$51)/(BH$52)),IF(AND(Results!$E$5="Volume",$C$54&gt;0,Results!$E$4="Fluid"),((BH49*BH$51)/(BH$54)),IF(AND(Results!$E$4="Cells",Results!$E$5="Million",$B$52="million"),((BH49*BH$51)/(BH$52)),"0")))))</f>
        <v>0</v>
      </c>
      <c r="BI102" s="20" t="str">
        <f>IF(BI49=0,"0",IF(AND(Results!$E$5="Protein",$C$53&gt;0,OR(Results!$E$4="Tissue",Results!$E$4="Cells")),((BI49*BI$51)/(BI$53)),IF(AND(Results!$E$5="Weight",$C$52&gt;0, Results!$E$4="Tissue",OR($B$52="g",$B$52="mg")),((BI49*BI$51)/(BI$52)),IF(AND(Results!$E$5="Volume",$C$54&gt;0,Results!$E$4="Fluid"),((BI49*BI$51)/(BI$54)),IF(AND(Results!$E$4="Cells",Results!$E$5="Million",$B$52="million"),((BI49*BI$51)/(BI$52)),"0")))))</f>
        <v>0</v>
      </c>
      <c r="BJ102" s="20" t="str">
        <f>IF(BJ49=0,"0",IF(AND(Results!$E$5="Protein",$C$53&gt;0,OR(Results!$E$4="Tissue",Results!$E$4="Cells")),((BJ49*BJ$51)/(BJ$53)),IF(AND(Results!$E$5="Weight",$C$52&gt;0, Results!$E$4="Tissue",OR($B$52="g",$B$52="mg")),((BJ49*BJ$51)/(BJ$52)),IF(AND(Results!$E$5="Volume",$C$54&gt;0,Results!$E$4="Fluid"),((BJ49*BJ$51)/(BJ$54)),IF(AND(Results!$E$4="Cells",Results!$E$5="Million",$B$52="million"),((BJ49*BJ$51)/(BJ$52)),"0")))))</f>
        <v>0</v>
      </c>
      <c r="BK102" s="20" t="str">
        <f>IF(BK49=0,"0",IF(AND(Results!$E$5="Protein",$C$53&gt;0,OR(Results!$E$4="Tissue",Results!$E$4="Cells")),((BK49*BK$51)/(BK$53)),IF(AND(Results!$E$5="Weight",$C$52&gt;0, Results!$E$4="Tissue",OR($B$52="g",$B$52="mg")),((BK49*BK$51)/(BK$52)),IF(AND(Results!$E$5="Volume",$C$54&gt;0,Results!$E$4="Fluid"),((BK49*BK$51)/(BK$54)),IF(AND(Results!$E$4="Cells",Results!$E$5="Million",$B$52="million"),((BK49*BK$51)/(BK$52)),"0")))))</f>
        <v>0</v>
      </c>
      <c r="BL102" s="20" t="str">
        <f>IF(BL49=0,"0",IF(AND(Results!$E$5="Protein",$C$53&gt;0,OR(Results!$E$4="Tissue",Results!$E$4="Cells")),((BL49*BL$51)/(BL$53)),IF(AND(Results!$E$5="Weight",$C$52&gt;0, Results!$E$4="Tissue",OR($B$52="g",$B$52="mg")),((BL49*BL$51)/(BL$52)),IF(AND(Results!$E$5="Volume",$C$54&gt;0,Results!$E$4="Fluid"),((BL49*BL$51)/(BL$54)),IF(AND(Results!$E$4="Cells",Results!$E$5="Million",$B$52="million"),((BL49*BL$51)/(BL$52)),"0")))))</f>
        <v>0</v>
      </c>
      <c r="BM102" s="20" t="str">
        <f>IF(BM49=0,"0",IF(AND(Results!$E$5="Protein",$C$53&gt;0,OR(Results!$E$4="Tissue",Results!$E$4="Cells")),((BM49*BM$51)/(BM$53)),IF(AND(Results!$E$5="Weight",$C$52&gt;0, Results!$E$4="Tissue",OR($B$52="g",$B$52="mg")),((BM49*BM$51)/(BM$52)),IF(AND(Results!$E$5="Volume",$C$54&gt;0,Results!$E$4="Fluid"),((BM49*BM$51)/(BM$54)),IF(AND(Results!$E$4="Cells",Results!$E$5="Million",$B$52="million"),((BM49*BM$51)/(BM$52)),"0")))))</f>
        <v>0</v>
      </c>
      <c r="BN102" s="20" t="str">
        <f>IF(BN49=0,"0",IF(AND(Results!$E$5="Protein",$C$53&gt;0,OR(Results!$E$4="Tissue",Results!$E$4="Cells")),((BN49*BN$51)/(BN$53)),IF(AND(Results!$E$5="Weight",$C$52&gt;0, Results!$E$4="Tissue",OR($B$52="g",$B$52="mg")),((BN49*BN$51)/(BN$52)),IF(AND(Results!$E$5="Volume",$C$54&gt;0,Results!$E$4="Fluid"),((BN49*BN$51)/(BN$54)),IF(AND(Results!$E$4="Cells",Results!$E$5="Million",$B$52="million"),((BN49*BN$51)/(BN$52)),"0")))))</f>
        <v>0</v>
      </c>
      <c r="BO102" s="20" t="str">
        <f>IF(BO49=0,"0",IF(AND(Results!$E$5="Protein",$C$53&gt;0,OR(Results!$E$4="Tissue",Results!$E$4="Cells")),((BO49*BO$51)/(BO$53)),IF(AND(Results!$E$5="Weight",$C$52&gt;0, Results!$E$4="Tissue",OR($B$52="g",$B$52="mg")),((BO49*BO$51)/(BO$52)),IF(AND(Results!$E$5="Volume",$C$54&gt;0,Results!$E$4="Fluid"),((BO49*BO$51)/(BO$54)),IF(AND(Results!$E$4="Cells",Results!$E$5="Million",$B$52="million"),((BO49*BO$51)/(BO$52)),"0")))))</f>
        <v>0</v>
      </c>
      <c r="BP102" s="20" t="str">
        <f>IF(BP49=0,"0",IF(AND(Results!$E$5="Protein",$C$53&gt;0,OR(Results!$E$4="Tissue",Results!$E$4="Cells")),((BP49*BP$51)/(BP$53)),IF(AND(Results!$E$5="Weight",$C$52&gt;0, Results!$E$4="Tissue",OR($B$52="g",$B$52="mg")),((BP49*BP$51)/(BP$52)),IF(AND(Results!$E$5="Volume",$C$54&gt;0,Results!$E$4="Fluid"),((BP49*BP$51)/(BP$54)),IF(AND(Results!$E$4="Cells",Results!$E$5="Million",$B$52="million"),((BP49*BP$51)/(BP$52)),"0")))))</f>
        <v>0</v>
      </c>
      <c r="BQ102" s="20" t="str">
        <f>IF(BQ49=0,"0",IF(AND(Results!$E$5="Protein",$C$53&gt;0,OR(Results!$E$4="Tissue",Results!$E$4="Cells")),((BQ49*BQ$51)/(BQ$53)),IF(AND(Results!$E$5="Weight",$C$52&gt;0, Results!$E$4="Tissue",OR($B$52="g",$B$52="mg")),((BQ49*BQ$51)/(BQ$52)),IF(AND(Results!$E$5="Volume",$C$54&gt;0,Results!$E$4="Fluid"),((BQ49*BQ$51)/(BQ$54)),IF(AND(Results!$E$4="Cells",Results!$E$5="Million",$B$52="million"),((BQ49*BQ$51)/(BQ$52)),"0")))))</f>
        <v>0</v>
      </c>
      <c r="BR102" s="20" t="str">
        <f>IF(BR49=0,"0",IF(AND(Results!$E$5="Protein",$C$53&gt;0,OR(Results!$E$4="Tissue",Results!$E$4="Cells")),((BR49*BR$51)/(BR$53)),IF(AND(Results!$E$5="Weight",$C$52&gt;0, Results!$E$4="Tissue",OR($B$52="g",$B$52="mg")),((BR49*BR$51)/(BR$52)),IF(AND(Results!$E$5="Volume",$C$54&gt;0,Results!$E$4="Fluid"),((BR49*BR$51)/(BR$54)),IF(AND(Results!$E$4="Cells",Results!$E$5="Million",$B$52="million"),((BR49*BR$51)/(BR$52)),"0")))))</f>
        <v>0</v>
      </c>
      <c r="BS102" s="20" t="str">
        <f>IF(BS49=0,"0",IF(AND(Results!$E$5="Protein",$C$53&gt;0,OR(Results!$E$4="Tissue",Results!$E$4="Cells")),((BS49*BS$51)/(BS$53)),IF(AND(Results!$E$5="Weight",$C$52&gt;0, Results!$E$4="Tissue",OR($B$52="g",$B$52="mg")),((BS49*BS$51)/(BS$52)),IF(AND(Results!$E$5="Volume",$C$54&gt;0,Results!$E$4="Fluid"),((BS49*BS$51)/(BS$54)),IF(AND(Results!$E$4="Cells",Results!$E$5="Million",$B$52="million"),((BS49*BS$51)/(BS$52)),"0")))))</f>
        <v>0</v>
      </c>
      <c r="BT102" s="20" t="str">
        <f>IF(BT49=0,"0",IF(AND(Results!$E$5="Protein",$C$53&gt;0,OR(Results!$E$4="Tissue",Results!$E$4="Cells")),((BT49*BT$51)/(BT$53)),IF(AND(Results!$E$5="Weight",$C$52&gt;0, Results!$E$4="Tissue",OR($B$52="g",$B$52="mg")),((BT49*BT$51)/(BT$52)),IF(AND(Results!$E$5="Volume",$C$54&gt;0,Results!$E$4="Fluid"),((BT49*BT$51)/(BT$54)),IF(AND(Results!$E$4="Cells",Results!$E$5="Million",$B$52="million"),((BT49*BT$51)/(BT$52)),"0")))))</f>
        <v>0</v>
      </c>
      <c r="BU102" s="20" t="str">
        <f>IF(BU49=0,"0",IF(AND(Results!$E$5="Protein",$C$53&gt;0,OR(Results!$E$4="Tissue",Results!$E$4="Cells")),((BU49*BU$51)/(BU$53)),IF(AND(Results!$E$5="Weight",$C$52&gt;0, Results!$E$4="Tissue",OR($B$52="g",$B$52="mg")),((BU49*BU$51)/(BU$52)),IF(AND(Results!$E$5="Volume",$C$54&gt;0,Results!$E$4="Fluid"),((BU49*BU$51)/(BU$54)),IF(AND(Results!$E$4="Cells",Results!$E$5="Million",$B$52="million"),((BU49*BU$51)/(BU$52)),"0")))))</f>
        <v>0</v>
      </c>
      <c r="BV102" s="20" t="str">
        <f>IF(BV49=0,"0",IF(AND(Results!$E$5="Protein",$C$53&gt;0,OR(Results!$E$4="Tissue",Results!$E$4="Cells")),((BV49*BV$51)/(BV$53)),IF(AND(Results!$E$5="Weight",$C$52&gt;0, Results!$E$4="Tissue",OR($B$52="g",$B$52="mg")),((BV49*BV$51)/(BV$52)),IF(AND(Results!$E$5="Volume",$C$54&gt;0,Results!$E$4="Fluid"),((BV49*BV$51)/(BV$54)),IF(AND(Results!$E$4="Cells",Results!$E$5="Million",$B$52="million"),((BV49*BV$51)/(BV$52)),"0")))))</f>
        <v>0</v>
      </c>
      <c r="BW102" s="20" t="str">
        <f>IF(BW49=0,"0",IF(AND(Results!$E$5="Protein",$C$53&gt;0,OR(Results!$E$4="Tissue",Results!$E$4="Cells")),((BW49*BW$51)/(BW$53)),IF(AND(Results!$E$5="Weight",$C$52&gt;0, Results!$E$4="Tissue",OR($B$52="g",$B$52="mg")),((BW49*BW$51)/(BW$52)),IF(AND(Results!$E$5="Volume",$C$54&gt;0,Results!$E$4="Fluid"),((BW49*BW$51)/(BW$54)),IF(AND(Results!$E$4="Cells",Results!$E$5="Million",$B$52="million"),((BW49*BW$51)/(BW$52)),"0")))))</f>
        <v>0</v>
      </c>
      <c r="BX102" s="20" t="str">
        <f>IF(BX49=0,"0",IF(AND(Results!$E$5="Protein",$C$53&gt;0,OR(Results!$E$4="Tissue",Results!$E$4="Cells")),((BX49*BX$51)/(BX$53)),IF(AND(Results!$E$5="Weight",$C$52&gt;0, Results!$E$4="Tissue",OR($B$52="g",$B$52="mg")),((BX49*BX$51)/(BX$52)),IF(AND(Results!$E$5="Volume",$C$54&gt;0,Results!$E$4="Fluid"),((BX49*BX$51)/(BX$54)),IF(AND(Results!$E$4="Cells",Results!$E$5="Million",$B$52="million"),((BX49*BX$51)/(BX$52)),"0")))))</f>
        <v>0</v>
      </c>
      <c r="BY102" s="20" t="str">
        <f>IF(BY49=0,"0",IF(AND(Results!$E$5="Protein",$C$53&gt;0,OR(Results!$E$4="Tissue",Results!$E$4="Cells")),((BY49*BY$51)/(BY$53)),IF(AND(Results!$E$5="Weight",$C$52&gt;0, Results!$E$4="Tissue",OR($B$52="g",$B$52="mg")),((BY49*BY$51)/(BY$52)),IF(AND(Results!$E$5="Volume",$C$54&gt;0,Results!$E$4="Fluid"),((BY49*BY$51)/(BY$54)),IF(AND(Results!$E$4="Cells",Results!$E$5="Million",$B$52="million"),((BY49*BY$51)/(BY$52)),"0")))))</f>
        <v>0</v>
      </c>
      <c r="BZ102" s="20" t="str">
        <f>IF(BZ49=0,"0",IF(AND(Results!$E$5="Protein",$C$53&gt;0,OR(Results!$E$4="Tissue",Results!$E$4="Cells")),((BZ49*BZ$51)/(BZ$53)),IF(AND(Results!$E$5="Weight",$C$52&gt;0, Results!$E$4="Tissue",OR($B$52="g",$B$52="mg")),((BZ49*BZ$51)/(BZ$52)),IF(AND(Results!$E$5="Volume",$C$54&gt;0,Results!$E$4="Fluid"),((BZ49*BZ$51)/(BZ$54)),IF(AND(Results!$E$4="Cells",Results!$E$5="Million",$B$52="million"),((BZ49*BZ$51)/(BZ$52)),"0")))))</f>
        <v>0</v>
      </c>
      <c r="CA102" s="20" t="str">
        <f>IF(CA49=0,"0",IF(AND(Results!$E$5="Protein",$C$53&gt;0,OR(Results!$E$4="Tissue",Results!$E$4="Cells")),((CA49*CA$51)/(CA$53)),IF(AND(Results!$E$5="Weight",$C$52&gt;0, Results!$E$4="Tissue",OR($B$52="g",$B$52="mg")),((CA49*CA$51)/(CA$52)),IF(AND(Results!$E$5="Volume",$C$54&gt;0,Results!$E$4="Fluid"),((CA49*CA$51)/(CA$54)),IF(AND(Results!$E$4="Cells",Results!$E$5="Million",$B$52="million"),((CA49*CA$51)/(CA$52)),"0")))))</f>
        <v>0</v>
      </c>
      <c r="CB102" s="20" t="str">
        <f>IF(CB49=0,"0",IF(AND(Results!$E$5="Protein",$C$53&gt;0,OR(Results!$E$4="Tissue",Results!$E$4="Cells")),((CB49*CB$51)/(CB$53)),IF(AND(Results!$E$5="Weight",$C$52&gt;0, Results!$E$4="Tissue",OR($B$52="g",$B$52="mg")),((CB49*CB$51)/(CB$52)),IF(AND(Results!$E$5="Volume",$C$54&gt;0,Results!$E$4="Fluid"),((CB49*CB$51)/(CB$54)),IF(AND(Results!$E$4="Cells",Results!$E$5="Million",$B$52="million"),((CB49*CB$51)/(CB$52)),"0")))))</f>
        <v>0</v>
      </c>
      <c r="CC102" s="20" t="str">
        <f>IF(CC49=0,"0",IF(AND(Results!$E$5="Protein",$C$53&gt;0,OR(Results!$E$4="Tissue",Results!$E$4="Cells")),((CC49*CC$51)/(CC$53)),IF(AND(Results!$E$5="Weight",$C$52&gt;0, Results!$E$4="Tissue",OR($B$52="g",$B$52="mg")),((CC49*CC$51)/(CC$52)),IF(AND(Results!$E$5="Volume",$C$54&gt;0,Results!$E$4="Fluid"),((CC49*CC$51)/(CC$54)),IF(AND(Results!$E$4="Cells",Results!$E$5="Million",$B$52="million"),((CC49*CC$51)/(CC$52)),"0")))))</f>
        <v>0</v>
      </c>
      <c r="CD102" s="20" t="str">
        <f>IF(CD49=0,"0",IF(AND(Results!$E$5="Protein",$C$53&gt;0,OR(Results!$E$4="Tissue",Results!$E$4="Cells")),((CD49*CD$51)/(CD$53)),IF(AND(Results!$E$5="Weight",$C$52&gt;0, Results!$E$4="Tissue",OR($B$52="g",$B$52="mg")),((CD49*CD$51)/(CD$52)),IF(AND(Results!$E$5="Volume",$C$54&gt;0,Results!$E$4="Fluid"),((CD49*CD$51)/(CD$54)),IF(AND(Results!$E$4="Cells",Results!$E$5="Million",$B$52="million"),((CD49*CD$51)/(CD$52)),"0")))))</f>
        <v>0</v>
      </c>
      <c r="CE102" s="20" t="str">
        <f>IF(CE49=0,"0",IF(AND(Results!$E$5="Protein",$C$53&gt;0,OR(Results!$E$4="Tissue",Results!$E$4="Cells")),((CE49*CE$51)/(CE$53)),IF(AND(Results!$E$5="Weight",$C$52&gt;0, Results!$E$4="Tissue",OR($B$52="g",$B$52="mg")),((CE49*CE$51)/(CE$52)),IF(AND(Results!$E$5="Volume",$C$54&gt;0,Results!$E$4="Fluid"),((CE49*CE$51)/(CE$54)),IF(AND(Results!$E$4="Cells",Results!$E$5="Million",$B$52="million"),((CE49*CE$51)/(CE$52)),"0")))))</f>
        <v>0</v>
      </c>
      <c r="CF102" s="20" t="str">
        <f>IF(CF49=0,"0",IF(AND(Results!$E$5="Protein",$C$53&gt;0,OR(Results!$E$4="Tissue",Results!$E$4="Cells")),((CF49*CF$51)/(CF$53)),IF(AND(Results!$E$5="Weight",$C$52&gt;0, Results!$E$4="Tissue",OR($B$52="g",$B$52="mg")),((CF49*CF$51)/(CF$52)),IF(AND(Results!$E$5="Volume",$C$54&gt;0,Results!$E$4="Fluid"),((CF49*CF$51)/(CF$54)),IF(AND(Results!$E$4="Cells",Results!$E$5="Million",$B$52="million"),((CF49*CF$51)/(CF$52)),"0")))))</f>
        <v>0</v>
      </c>
      <c r="CG102" s="20" t="str">
        <f>IF(CG49=0,"0",IF(AND(Results!$E$5="Protein",$C$53&gt;0,OR(Results!$E$4="Tissue",Results!$E$4="Cells")),((CG49*CG$51)/(CG$53)),IF(AND(Results!$E$5="Weight",$C$52&gt;0, Results!$E$4="Tissue",OR($B$52="g",$B$52="mg")),((CG49*CG$51)/(CG$52)),IF(AND(Results!$E$5="Volume",$C$54&gt;0,Results!$E$4="Fluid"),((CG49*CG$51)/(CG$54)),IF(AND(Results!$E$4="Cells",Results!$E$5="Million",$B$52="million"),((CG49*CG$51)/(CG$52)),"0")))))</f>
        <v>0</v>
      </c>
      <c r="CH102" s="20" t="str">
        <f>IF(CH49=0,"0",IF(AND(Results!$E$5="Protein",$C$53&gt;0,OR(Results!$E$4="Tissue",Results!$E$4="Cells")),((CH49*CH$51)/(CH$53)),IF(AND(Results!$E$5="Weight",$C$52&gt;0, Results!$E$4="Tissue",OR($B$52="g",$B$52="mg")),((CH49*CH$51)/(CH$52)),IF(AND(Results!$E$5="Volume",$C$54&gt;0,Results!$E$4="Fluid"),((CH49*CH$51)/(CH$54)),IF(AND(Results!$E$4="Cells",Results!$E$5="Million",$B$52="million"),((CH49*CH$51)/(CH$52)),"0")))))</f>
        <v>0</v>
      </c>
      <c r="CI102" s="20" t="str">
        <f>IF(CI49=0,"0",IF(AND(Results!$E$5="Protein",$C$53&gt;0,OR(Results!$E$4="Tissue",Results!$E$4="Cells")),((CI49*CI$51)/(CI$53)),IF(AND(Results!$E$5="Weight",$C$52&gt;0, Results!$E$4="Tissue",OR($B$52="g",$B$52="mg")),((CI49*CI$51)/(CI$52)),IF(AND(Results!$E$5="Volume",$C$54&gt;0,Results!$E$4="Fluid"),((CI49*CI$51)/(CI$54)),IF(AND(Results!$E$4="Cells",Results!$E$5="Million",$B$52="million"),((CI49*CI$51)/(CI$52)),"0")))))</f>
        <v>0</v>
      </c>
      <c r="CJ102" s="20" t="str">
        <f>IF(CJ49=0,"0",IF(AND(Results!$E$5="Protein",$C$53&gt;0,OR(Results!$E$4="Tissue",Results!$E$4="Cells")),((CJ49*CJ$51)/(CJ$53)),IF(AND(Results!$E$5="Weight",$C$52&gt;0, Results!$E$4="Tissue",OR($B$52="g",$B$52="mg")),((CJ49*CJ$51)/(CJ$52)),IF(AND(Results!$E$5="Volume",$C$54&gt;0,Results!$E$4="Fluid"),((CJ49*CJ$51)/(CJ$54)),IF(AND(Results!$E$4="Cells",Results!$E$5="Million",$B$52="million"),((CJ49*CJ$51)/(CJ$52)),"0")))))</f>
        <v>0</v>
      </c>
      <c r="CK102" s="20" t="str">
        <f>IF(CK49=0,"0",IF(AND(Results!$E$5="Protein",$C$53&gt;0,OR(Results!$E$4="Tissue",Results!$E$4="Cells")),((CK49*CK$51)/(CK$53)),IF(AND(Results!$E$5="Weight",$C$52&gt;0, Results!$E$4="Tissue",OR($B$52="g",$B$52="mg")),((CK49*CK$51)/(CK$52)),IF(AND(Results!$E$5="Volume",$C$54&gt;0,Results!$E$4="Fluid"),((CK49*CK$51)/(CK$54)),IF(AND(Results!$E$4="Cells",Results!$E$5="Million",$B$52="million"),((CK49*CK$51)/(CK$52)),"0")))))</f>
        <v>0</v>
      </c>
      <c r="CL102" s="20" t="str">
        <f>IF(CL49=0,"0",IF(AND(Results!$E$5="Protein",$C$53&gt;0,OR(Results!$E$4="Tissue",Results!$E$4="Cells")),((CL49*CL$51)/(CL$53)),IF(AND(Results!$E$5="Weight",$C$52&gt;0, Results!$E$4="Tissue",OR($B$52="g",$B$52="mg")),((CL49*CL$51)/(CL$52)),IF(AND(Results!$E$5="Volume",$C$54&gt;0,Results!$E$4="Fluid"),((CL49*CL$51)/(CL$54)),IF(AND(Results!$E$4="Cells",Results!$E$5="Million",$B$52="million"),((CL49*CL$51)/(CL$52)),"0")))))</f>
        <v>0</v>
      </c>
      <c r="CM102" s="20" t="str">
        <f>IF(CM49=0,"0",IF(AND(Results!$E$5="Protein",$C$53&gt;0,OR(Results!$E$4="Tissue",Results!$E$4="Cells")),((CM49*CM$51)/(CM$53)),IF(AND(Results!$E$5="Weight",$C$52&gt;0, Results!$E$4="Tissue",OR($B$52="g",$B$52="mg")),((CM49*CM$51)/(CM$52)),IF(AND(Results!$E$5="Volume",$C$54&gt;0,Results!$E$4="Fluid"),((CM49*CM$51)/(CM$54)),IF(AND(Results!$E$4="Cells",Results!$E$5="Million",$B$52="million"),((CM49*CM$51)/(CM$52)),"0")))))</f>
        <v>0</v>
      </c>
      <c r="CN102" s="20" t="str">
        <f>IF(CN49=0,"0",IF(AND(Results!$E$5="Protein",$C$53&gt;0,OR(Results!$E$4="Tissue",Results!$E$4="Cells")),((CN49*CN$51)/(CN$53)),IF(AND(Results!$E$5="Weight",$C$52&gt;0, Results!$E$4="Tissue",OR($B$52="g",$B$52="mg")),((CN49*CN$51)/(CN$52)),IF(AND(Results!$E$5="Volume",$C$54&gt;0,Results!$E$4="Fluid"),((CN49*CN$51)/(CN$54)),IF(AND(Results!$E$4="Cells",Results!$E$5="Million",$B$52="million"),((CN49*CN$51)/(CN$52)),"0")))))</f>
        <v>0</v>
      </c>
      <c r="CO102" s="20" t="str">
        <f>IF(CO49=0,"0",IF(AND(Results!$E$5="Protein",$C$53&gt;0,OR(Results!$E$4="Tissue",Results!$E$4="Cells")),((CO49*CO$51)/(CO$53)),IF(AND(Results!$E$5="Weight",$C$52&gt;0, Results!$E$4="Tissue",OR($B$52="g",$B$52="mg")),((CO49*CO$51)/(CO$52)),IF(AND(Results!$E$5="Volume",$C$54&gt;0,Results!$E$4="Fluid"),((CO49*CO$51)/(CO$54)),IF(AND(Results!$E$4="Cells",Results!$E$5="Million",$B$52="million"),((CO49*CO$51)/(CO$52)),"0")))))</f>
        <v>0</v>
      </c>
      <c r="CP102" s="20" t="str">
        <f>IF(CP49=0,"0",IF(AND(Results!$E$5="Protein",$C$53&gt;0,OR(Results!$E$4="Tissue",Results!$E$4="Cells")),((CP49*CP$51)/(CP$53)),IF(AND(Results!$E$5="Weight",$C$52&gt;0, Results!$E$4="Tissue",OR($B$52="g",$B$52="mg")),((CP49*CP$51)/(CP$52)),IF(AND(Results!$E$5="Volume",$C$54&gt;0,Results!$E$4="Fluid"),((CP49*CP$51)/(CP$54)),IF(AND(Results!$E$4="Cells",Results!$E$5="Million",$B$52="million"),((CP49*CP$51)/(CP$52)),"0")))))</f>
        <v>0</v>
      </c>
      <c r="CQ102" s="20" t="str">
        <f>IF(CQ49=0,"0",IF(AND(Results!$E$5="Protein",$C$53&gt;0,OR(Results!$E$4="Tissue",Results!$E$4="Cells")),((CQ49*CQ$51)/(CQ$53)),IF(AND(Results!$E$5="Weight",$C$52&gt;0, Results!$E$4="Tissue",OR($B$52="g",$B$52="mg")),((CQ49*CQ$51)/(CQ$52)),IF(AND(Results!$E$5="Volume",$C$54&gt;0,Results!$E$4="Fluid"),((CQ49*CQ$51)/(CQ$54)),IF(AND(Results!$E$4="Cells",Results!$E$5="Million",$B$52="million"),((CQ49*CQ$51)/(CQ$52)),"0")))))</f>
        <v>0</v>
      </c>
      <c r="CR102" s="20" t="str">
        <f>IF(CR49=0,"0",IF(AND(Results!$E$5="Protein",$C$53&gt;0,OR(Results!$E$4="Tissue",Results!$E$4="Cells")),((CR49*CR$51)/(CR$53)),IF(AND(Results!$E$5="Weight",$C$52&gt;0, Results!$E$4="Tissue",OR($B$52="g",$B$52="mg")),((CR49*CR$51)/(CR$52)),IF(AND(Results!$E$5="Volume",$C$54&gt;0,Results!$E$4="Fluid"),((CR49*CR$51)/(CR$54)),IF(AND(Results!$E$4="Cells",Results!$E$5="Million",$B$52="million"),((CR49*CR$51)/(CR$52)),"0")))))</f>
        <v>0</v>
      </c>
      <c r="CS102" s="20" t="str">
        <f>IF(CS49=0,"0",IF(AND(Results!$E$5="Protein",$C$53&gt;0,OR(Results!$E$4="Tissue",Results!$E$4="Cells")),((CS49*CS$51)/(CS$53)),IF(AND(Results!$E$5="Weight",$C$52&gt;0, Results!$E$4="Tissue",OR($B$52="g",$B$52="mg")),((CS49*CS$51)/(CS$52)),IF(AND(Results!$E$5="Volume",$C$54&gt;0,Results!$E$4="Fluid"),((CS49*CS$51)/(CS$54)),IF(AND(Results!$E$4="Cells",Results!$E$5="Million",$B$52="million"),((CS49*CS$51)/(CS$52)),"0")))))</f>
        <v>0</v>
      </c>
      <c r="CT102" s="20" t="str">
        <f>IF(CT49=0,"0",IF(AND(Results!$E$5="Protein",$C$53&gt;0,OR(Results!$E$4="Tissue",Results!$E$4="Cells")),((CT49*CT$51)/(CT$53)),IF(AND(Results!$E$5="Weight",$C$52&gt;0, Results!$E$4="Tissue",OR($B$52="g",$B$52="mg")),((CT49*CT$51)/(CT$52)),IF(AND(Results!$E$5="Volume",$C$54&gt;0,Results!$E$4="Fluid"),((CT49*CT$51)/(CT$54)),IF(AND(Results!$E$4="Cells",Results!$E$5="Million",$B$52="million"),((CT49*CT$51)/(CT$52)),"0")))))</f>
        <v>0</v>
      </c>
      <c r="CU102" s="20" t="str">
        <f>IF(CU49=0,"0",IF(AND(Results!$E$5="Protein",$C$53&gt;0,OR(Results!$E$4="Tissue",Results!$E$4="Cells")),((CU49*CU$51)/(CU$53)),IF(AND(Results!$E$5="Weight",$C$52&gt;0, Results!$E$4="Tissue",OR($B$52="g",$B$52="mg")),((CU49*CU$51)/(CU$52)),IF(AND(Results!$E$5="Volume",$C$54&gt;0,Results!$E$4="Fluid"),((CU49*CU$51)/(CU$54)),IF(AND(Results!$E$4="Cells",Results!$E$5="Million",$B$52="million"),((CU49*CU$51)/(CU$52)),"0")))))</f>
        <v>0</v>
      </c>
      <c r="CV102" s="20" t="str">
        <f>IF(CV49=0,"0",IF(AND(Results!$E$5="Protein",$C$53&gt;0,OR(Results!$E$4="Tissue",Results!$E$4="Cells")),((CV49*CV$51)/(CV$53)),IF(AND(Results!$E$5="Weight",$C$52&gt;0, Results!$E$4="Tissue",OR($B$52="g",$B$52="mg")),((CV49*CV$51)/(CV$52)),IF(AND(Results!$E$5="Volume",$C$54&gt;0,Results!$E$4="Fluid"),((CV49*CV$51)/(CV$54)),IF(AND(Results!$E$4="Cells",Results!$E$5="Million",$B$52="million"),((CV49*CV$51)/(CV$52)),"0")))))</f>
        <v>0</v>
      </c>
      <c r="CW102" s="20" t="str">
        <f>IF(CW49=0,"0",IF(AND(Results!$E$5="Protein",$C$53&gt;0,OR(Results!$E$4="Tissue",Results!$E$4="Cells")),((CW49*CW$51)/(CW$53)),IF(AND(Results!$E$5="Weight",$C$52&gt;0, Results!$E$4="Tissue",OR($B$52="g",$B$52="mg")),((CW49*CW$51)/(CW$52)),IF(AND(Results!$E$5="Volume",$C$54&gt;0,Results!$E$4="Fluid"),((CW49*CW$51)/(CW$54)),IF(AND(Results!$E$4="Cells",Results!$E$5="Million",$B$52="million"),((CW49*CW$51)/(CW$52)),"0")))))</f>
        <v>0</v>
      </c>
      <c r="CX102" s="20" t="str">
        <f>IF(CX49=0,"0",IF(AND(Results!$E$5="Protein",$C$53&gt;0,OR(Results!$E$4="Tissue",Results!$E$4="Cells")),((CX49*CX$51)/(CX$53)),IF(AND(Results!$E$5="Weight",$C$52&gt;0, Results!$E$4="Tissue",OR($B$52="g",$B$52="mg")),((CX49*CX$51)/(CX$52)),IF(AND(Results!$E$5="Volume",$C$54&gt;0,Results!$E$4="Fluid"),((CX49*CX$51)/(CX$54)),IF(AND(Results!$E$4="Cells",Results!$E$5="Million",$B$52="million"),((CX49*CX$51)/(CX$52)),"0")))))</f>
        <v>0</v>
      </c>
      <c r="CY102" s="20" t="str">
        <f>IF(CY49=0,"0",IF(AND(Results!$E$5="Protein",$C$53&gt;0,OR(Results!$E$4="Tissue",Results!$E$4="Cells")),((CY49*CY$51)/(CY$53)),IF(AND(Results!$E$5="Weight",$C$52&gt;0, Results!$E$4="Tissue",OR($B$52="g",$B$52="mg")),((CY49*CY$51)/(CY$52)),IF(AND(Results!$E$5="Volume",$C$54&gt;0,Results!$E$4="Fluid"),((CY49*CY$51)/(CY$54)),IF(AND(Results!$E$4="Cells",Results!$E$5="Million",$B$52="million"),((CY49*CY$51)/(CY$52)),"0")))))</f>
        <v>0</v>
      </c>
      <c r="CZ102" s="20" t="str">
        <f>IF(CZ49=0,"0",IF(AND(Results!$E$5="Protein",$C$53&gt;0,OR(Results!$E$4="Tissue",Results!$E$4="Cells")),((CZ49*CZ$51)/(CZ$53)),IF(AND(Results!$E$5="Weight",$C$52&gt;0, Results!$E$4="Tissue",OR($B$52="g",$B$52="mg")),((CZ49*CZ$51)/(CZ$52)),IF(AND(Results!$E$5="Volume",$C$54&gt;0,Results!$E$4="Fluid"),((CZ49*CZ$51)/(CZ$54)),IF(AND(Results!$E$4="Cells",Results!$E$5="Million",$B$52="million"),((CZ49*CZ$51)/(CZ$52)),"0")))))</f>
        <v>0</v>
      </c>
      <c r="DA102" s="20" t="str">
        <f>IF(DA49=0,"0",IF(AND(Results!$E$5="Protein",$C$53&gt;0,OR(Results!$E$4="Tissue",Results!$E$4="Cells")),((DA49*DA$51)/(DA$53)),IF(AND(Results!$E$5="Weight",$C$52&gt;0, Results!$E$4="Tissue",OR($B$52="g",$B$52="mg")),((DA49*DA$51)/(DA$52)),IF(AND(Results!$E$5="Volume",$C$54&gt;0,Results!$E$4="Fluid"),((DA49*DA$51)/(DA$54)),IF(AND(Results!$E$4="Cells",Results!$E$5="Million",$B$52="million"),((DA49*DA$51)/(DA$52)),"0")))))</f>
        <v>0</v>
      </c>
      <c r="DB102" s="20" t="str">
        <f>IF(DB49=0,"0",IF(AND(Results!$E$5="Protein",$C$53&gt;0,OR(Results!$E$4="Tissue",Results!$E$4="Cells")),((DB49*DB$51)/(DB$53)),IF(AND(Results!$E$5="Weight",$C$52&gt;0, Results!$E$4="Tissue",OR($B$52="g",$B$52="mg")),((DB49*DB$51)/(DB$52)),IF(AND(Results!$E$5="Volume",$C$54&gt;0,Results!$E$4="Fluid"),((DB49*DB$51)/(DB$54)),IF(AND(Results!$E$4="Cells",Results!$E$5="Million",$B$52="million"),((DB49*DB$51)/(DB$52)),"0")))))</f>
        <v>0</v>
      </c>
      <c r="DC102" s="20" t="str">
        <f>IF(DC49=0,"0",IF(AND(Results!$E$5="Protein",$C$53&gt;0,OR(Results!$E$4="Tissue",Results!$E$4="Cells")),((DC49*DC$51)/(DC$53)),IF(AND(Results!$E$5="Weight",$C$52&gt;0, Results!$E$4="Tissue",OR($B$52="g",$B$52="mg")),((DC49*DC$51)/(DC$52)),IF(AND(Results!$E$5="Volume",$C$54&gt;0,Results!$E$4="Fluid"),((DC49*DC$51)/(DC$54)),IF(AND(Results!$E$4="Cells",Results!$E$5="Million",$B$52="million"),((DC49*DC$51)/(DC$52)),"0")))))</f>
        <v>0</v>
      </c>
      <c r="DD102" s="20" t="str">
        <f>IF(DD49=0,"0",IF(AND(Results!$E$5="Protein",$C$53&gt;0,OR(Results!$E$4="Tissue",Results!$E$4="Cells")),((DD49*DD$51)/(DD$53)),IF(AND(Results!$E$5="Weight",$C$52&gt;0, Results!$E$4="Tissue",OR($B$52="g",$B$52="mg")),((DD49*DD$51)/(DD$52)),IF(AND(Results!$E$5="Volume",$C$54&gt;0,Results!$E$4="Fluid"),((DD49*DD$51)/(DD$54)),IF(AND(Results!$E$4="Cells",Results!$E$5="Million",$B$52="million"),((DD49*DD$51)/(DD$52)),"0")))))</f>
        <v>0</v>
      </c>
      <c r="DE102" s="20" t="str">
        <f>IF(DE49=0,"0",IF(AND(Results!$E$5="Protein",$C$53&gt;0,OR(Results!$E$4="Tissue",Results!$E$4="Cells")),((DE49*DE$51)/(DE$53)),IF(AND(Results!$E$5="Weight",$C$52&gt;0, Results!$E$4="Tissue",OR($B$52="g",$B$52="mg")),((DE49*DE$51)/(DE$52)),IF(AND(Results!$E$5="Volume",$C$54&gt;0,Results!$E$4="Fluid"),((DE49*DE$51)/(DE$54)),IF(AND(Results!$E$4="Cells",Results!$E$5="Million",$B$52="million"),((DE49*DE$51)/(DE$52)),"0")))))</f>
        <v>0</v>
      </c>
      <c r="DF102" s="20" t="str">
        <f>IF(DF49=0,"0",IF(AND(Results!$E$5="Protein",$C$53&gt;0,OR(Results!$E$4="Tissue",Results!$E$4="Cells")),((DF49*DF$51)/(DF$53)),IF(AND(Results!$E$5="Weight",$C$52&gt;0, Results!$E$4="Tissue",OR($B$52="g",$B$52="mg")),((DF49*DF$51)/(DF$52)),IF(AND(Results!$E$5="Volume",$C$54&gt;0,Results!$E$4="Fluid"),((DF49*DF$51)/(DF$54)),IF(AND(Results!$E$4="Cells",Results!$E$5="Million",$B$52="million"),((DF49*DF$51)/(DF$52)),"0")))))</f>
        <v>0</v>
      </c>
      <c r="DG102" s="20" t="str">
        <f>IF(DG49=0,"0",IF(AND(Results!$E$5="Protein",$C$53&gt;0,OR(Results!$E$4="Tissue",Results!$E$4="Cells")),((DG49*DG$51)/(DG$53)),IF(AND(Results!$E$5="Weight",$C$52&gt;0, Results!$E$4="Tissue",OR($B$52="g",$B$52="mg")),((DG49*DG$51)/(DG$52)),IF(AND(Results!$E$5="Volume",$C$54&gt;0,Results!$E$4="Fluid"),((DG49*DG$51)/(DG$54)),IF(AND(Results!$E$4="Cells",Results!$E$5="Million",$B$52="million"),((DG49*DG$51)/(DG$52)),"0")))))</f>
        <v>0</v>
      </c>
      <c r="DH102" s="20" t="str">
        <f>IF(DH49=0,"0",IF(AND(Results!$E$5="Protein",$C$53&gt;0,OR(Results!$E$4="Tissue",Results!$E$4="Cells")),((DH49*DH$51)/(DH$53)),IF(AND(Results!$E$5="Weight",$C$52&gt;0, Results!$E$4="Tissue",OR($B$52="g",$B$52="mg")),((DH49*DH$51)/(DH$52)),IF(AND(Results!$E$5="Volume",$C$54&gt;0,Results!$E$4="Fluid"),((DH49*DH$51)/(DH$54)),IF(AND(Results!$E$4="Cells",Results!$E$5="Million",$B$52="million"),((DH49*DH$51)/(DH$52)),"0")))))</f>
        <v>0</v>
      </c>
      <c r="DI102" s="20" t="str">
        <f>IF(DI49=0,"0",IF(AND(Results!$E$5="Protein",$C$53&gt;0,OR(Results!$E$4="Tissue",Results!$E$4="Cells")),((DI49*DI$51)/(DI$53)),IF(AND(Results!$E$5="Weight",$C$52&gt;0, Results!$E$4="Tissue",OR($B$52="g",$B$52="mg")),((DI49*DI$51)/(DI$52)),IF(AND(Results!$E$5="Volume",$C$54&gt;0,Results!$E$4="Fluid"),((DI49*DI$51)/(DI$54)),IF(AND(Results!$E$4="Cells",Results!$E$5="Million",$B$52="million"),((DI49*DI$51)/(DI$52)),"0")))))</f>
        <v>0</v>
      </c>
      <c r="DJ102" s="20" t="str">
        <f>IF(DJ49=0,"0",IF(AND(Results!$E$5="Protein",$C$53&gt;0,OR(Results!$E$4="Tissue",Results!$E$4="Cells")),((DJ49*DJ$51)/(DJ$53)),IF(AND(Results!$E$5="Weight",$C$52&gt;0, Results!$E$4="Tissue",OR($B$52="g",$B$52="mg")),((DJ49*DJ$51)/(DJ$52)),IF(AND(Results!$E$5="Volume",$C$54&gt;0,Results!$E$4="Fluid"),((DJ49*DJ$51)/(DJ$54)),IF(AND(Results!$E$4="Cells",Results!$E$5="Million",$B$52="million"),((DJ49*DJ$51)/(DJ$52)),"0")))))</f>
        <v>0</v>
      </c>
      <c r="DK102" s="20" t="str">
        <f>IF(DK49=0,"0",IF(AND(Results!$E$5="Protein",$C$53&gt;0,OR(Results!$E$4="Tissue",Results!$E$4="Cells")),((DK49*DK$51)/(DK$53)),IF(AND(Results!$E$5="Weight",$C$52&gt;0, Results!$E$4="Tissue",OR($B$52="g",$B$52="mg")),((DK49*DK$51)/(DK$52)),IF(AND(Results!$E$5="Volume",$C$54&gt;0,Results!$E$4="Fluid"),((DK49*DK$51)/(DK$54)),IF(AND(Results!$E$4="Cells",Results!$E$5="Million",$B$52="million"),((DK49*DK$51)/(DK$52)),"0")))))</f>
        <v>0</v>
      </c>
      <c r="DL102" s="20" t="str">
        <f>IF(DL49=0,"0",IF(AND(Results!$E$5="Protein",$C$53&gt;0,OR(Results!$E$4="Tissue",Results!$E$4="Cells")),((DL49*DL$51)/(DL$53)),IF(AND(Results!$E$5="Weight",$C$52&gt;0, Results!$E$4="Tissue",OR($B$52="g",$B$52="mg")),((DL49*DL$51)/(DL$52)),IF(AND(Results!$E$5="Volume",$C$54&gt;0,Results!$E$4="Fluid"),((DL49*DL$51)/(DL$54)),IF(AND(Results!$E$4="Cells",Results!$E$5="Million",$B$52="million"),((DL49*DL$51)/(DL$52)),"0")))))</f>
        <v>0</v>
      </c>
      <c r="DM102" s="20" t="str">
        <f>IF(DM49=0,"0",IF(AND(Results!$E$5="Protein",$C$53&gt;0,OR(Results!$E$4="Tissue",Results!$E$4="Cells")),((DM49*DM$51)/(DM$53)),IF(AND(Results!$E$5="Weight",$C$52&gt;0, Results!$E$4="Tissue",OR($B$52="g",$B$52="mg")),((DM49*DM$51)/(DM$52)),IF(AND(Results!$E$5="Volume",$C$54&gt;0,Results!$E$4="Fluid"),((DM49*DM$51)/(DM$54)),IF(AND(Results!$E$4="Cells",Results!$E$5="Million",$B$52="million"),((DM49*DM$51)/(DM$52)),"0")))))</f>
        <v>0</v>
      </c>
      <c r="DN102" s="20" t="str">
        <f>IF(DN49=0,"0",IF(AND(Results!$E$5="Protein",$C$53&gt;0,OR(Results!$E$4="Tissue",Results!$E$4="Cells")),((DN49*DN$51)/(DN$53)),IF(AND(Results!$E$5="Weight",$C$52&gt;0, Results!$E$4="Tissue",OR($B$52="g",$B$52="mg")),((DN49*DN$51)/(DN$52)),IF(AND(Results!$E$5="Volume",$C$54&gt;0,Results!$E$4="Fluid"),((DN49*DN$51)/(DN$54)),IF(AND(Results!$E$4="Cells",Results!$E$5="Million",$B$52="million"),((DN49*DN$51)/(DN$52)),"0")))))</f>
        <v>0</v>
      </c>
      <c r="DO102" s="20" t="str">
        <f>IF(DO49=0,"0",IF(AND(Results!$E$5="Protein",$C$53&gt;0,OR(Results!$E$4="Tissue",Results!$E$4="Cells")),((DO49*DO$51)/(DO$53)),IF(AND(Results!$E$5="Weight",$C$52&gt;0, Results!$E$4="Tissue",OR($B$52="g",$B$52="mg")),((DO49*DO$51)/(DO$52)),IF(AND(Results!$E$5="Volume",$C$54&gt;0,Results!$E$4="Fluid"),((DO49*DO$51)/(DO$54)),IF(AND(Results!$E$4="Cells",Results!$E$5="Million",$B$52="million"),((DO49*DO$51)/(DO$52)),"0")))))</f>
        <v>0</v>
      </c>
      <c r="DP102" s="20" t="str">
        <f>IF(DP49=0,"0",IF(AND(Results!$E$5="Protein",$C$53&gt;0,OR(Results!$E$4="Tissue",Results!$E$4="Cells")),((DP49*DP$51)/(DP$53)),IF(AND(Results!$E$5="Weight",$C$52&gt;0, Results!$E$4="Tissue",OR($B$52="g",$B$52="mg")),((DP49*DP$51)/(DP$52)),IF(AND(Results!$E$5="Volume",$C$54&gt;0,Results!$E$4="Fluid"),((DP49*DP$51)/(DP$54)),IF(AND(Results!$E$4="Cells",Results!$E$5="Million",$B$52="million"),((DP49*DP$51)/(DP$52)),"0")))))</f>
        <v>0</v>
      </c>
      <c r="DQ102" s="20" t="str">
        <f>IF(DQ49=0,"0",IF(AND(Results!$E$5="Protein",$C$53&gt;0,OR(Results!$E$4="Tissue",Results!$E$4="Cells")),((DQ49*DQ$51)/(DQ$53)),IF(AND(Results!$E$5="Weight",$C$52&gt;0, Results!$E$4="Tissue",OR($B$52="g",$B$52="mg")),((DQ49*DQ$51)/(DQ$52)),IF(AND(Results!$E$5="Volume",$C$54&gt;0,Results!$E$4="Fluid"),((DQ49*DQ$51)/(DQ$54)),IF(AND(Results!$E$4="Cells",Results!$E$5="Million",$B$52="million"),((DQ49*DQ$51)/(DQ$52)),"0")))))</f>
        <v>0</v>
      </c>
      <c r="DR102" s="20" t="str">
        <f>IF(DR49=0,"0",IF(AND(Results!$E$5="Protein",$C$53&gt;0,OR(Results!$E$4="Tissue",Results!$E$4="Cells")),((DR49*DR$51)/(DR$53)),IF(AND(Results!$E$5="Weight",$C$52&gt;0, Results!$E$4="Tissue",OR($B$52="g",$B$52="mg")),((DR49*DR$51)/(DR$52)),IF(AND(Results!$E$5="Volume",$C$54&gt;0,Results!$E$4="Fluid"),((DR49*DR$51)/(DR$54)),IF(AND(Results!$E$4="Cells",Results!$E$5="Million",$B$52="million"),((DR49*DR$51)/(DR$52)),"0")))))</f>
        <v>0</v>
      </c>
      <c r="DS102" s="20" t="str">
        <f>IF(DS49=0,"0",IF(AND(Results!$E$5="Protein",$C$53&gt;0,OR(Results!$E$4="Tissue",Results!$E$4="Cells")),((DS49*DS$51)/(DS$53)),IF(AND(Results!$E$5="Weight",$C$52&gt;0, Results!$E$4="Tissue",OR($B$52="g",$B$52="mg")),((DS49*DS$51)/(DS$52)),IF(AND(Results!$E$5="Volume",$C$54&gt;0,Results!$E$4="Fluid"),((DS49*DS$51)/(DS$54)),IF(AND(Results!$E$4="Cells",Results!$E$5="Million",$B$52="million"),((DS49*DS$51)/(DS$52)),"0")))))</f>
        <v>0</v>
      </c>
      <c r="DT102" s="20" t="str">
        <f>IF(DT49=0,"0",IF(AND(Results!$E$5="Protein",$C$53&gt;0,OR(Results!$E$4="Tissue",Results!$E$4="Cells")),((DT49*DT$51)/(DT$53)),IF(AND(Results!$E$5="Weight",$C$52&gt;0, Results!$E$4="Tissue",OR($B$52="g",$B$52="mg")),((DT49*DT$51)/(DT$52)),IF(AND(Results!$E$5="Volume",$C$54&gt;0,Results!$E$4="Fluid"),((DT49*DT$51)/(DT$54)),IF(AND(Results!$E$4="Cells",Results!$E$5="Million",$B$52="million"),((DT49*DT$51)/(DT$52)),"0")))))</f>
        <v>0</v>
      </c>
      <c r="DU102" s="20" t="str">
        <f>IF(DU49=0,"0",IF(AND(Results!$E$5="Protein",$C$53&gt;0,OR(Results!$E$4="Tissue",Results!$E$4="Cells")),((DU49*DU$51)/(DU$53)),IF(AND(Results!$E$5="Weight",$C$52&gt;0, Results!$E$4="Tissue",OR($B$52="g",$B$52="mg")),((DU49*DU$51)/(DU$52)),IF(AND(Results!$E$5="Volume",$C$54&gt;0,Results!$E$4="Fluid"),((DU49*DU$51)/(DU$54)),IF(AND(Results!$E$4="Cells",Results!$E$5="Million",$B$52="million"),((DU49*DU$51)/(DU$52)),"0")))))</f>
        <v>0</v>
      </c>
      <c r="DV102" s="20" t="str">
        <f>IF(DV49=0,"0",IF(AND(Results!$E$5="Protein",$C$53&gt;0,OR(Results!$E$4="Tissue",Results!$E$4="Cells")),((DV49*DV$51)/(DV$53)),IF(AND(Results!$E$5="Weight",$C$52&gt;0, Results!$E$4="Tissue",OR($B$52="g",$B$52="mg")),((DV49*DV$51)/(DV$52)),IF(AND(Results!$E$5="Volume",$C$54&gt;0,Results!$E$4="Fluid"),((DV49*DV$51)/(DV$54)),IF(AND(Results!$E$4="Cells",Results!$E$5="Million",$B$52="million"),((DV49*DV$51)/(DV$52)),"0")))))</f>
        <v>0</v>
      </c>
      <c r="DW102" s="20" t="str">
        <f>IF(DW49=0,"0",IF(AND(Results!$E$5="Protein",$C$53&gt;0,OR(Results!$E$4="Tissue",Results!$E$4="Cells")),((DW49*DW$51)/(DW$53)),IF(AND(Results!$E$5="Weight",$C$52&gt;0, Results!$E$4="Tissue",OR($B$52="g",$B$52="mg")),((DW49*DW$51)/(DW$52)),IF(AND(Results!$E$5="Volume",$C$54&gt;0,Results!$E$4="Fluid"),((DW49*DW$51)/(DW$54)),IF(AND(Results!$E$4="Cells",Results!$E$5="Million",$B$52="million"),((DW49*DW$51)/(DW$52)),"0")))))</f>
        <v>0</v>
      </c>
      <c r="DX102" s="20" t="str">
        <f>IF(DX49=0,"0",IF(AND(Results!$E$5="Protein",$C$53&gt;0,OR(Results!$E$4="Tissue",Results!$E$4="Cells")),((DX49*DX$51)/(DX$53)),IF(AND(Results!$E$5="Weight",$C$52&gt;0, Results!$E$4="Tissue",OR($B$52="g",$B$52="mg")),((DX49*DX$51)/(DX$52)),IF(AND(Results!$E$5="Volume",$C$54&gt;0,Results!$E$4="Fluid"),((DX49*DX$51)/(DX$54)),IF(AND(Results!$E$4="Cells",Results!$E$5="Million",$B$52="million"),((DX49*DX$51)/(DX$52)),"0")))))</f>
        <v>0</v>
      </c>
      <c r="DY102" s="20" t="str">
        <f>IF(DY49=0,"0",IF(AND(Results!$E$5="Protein",$C$53&gt;0,OR(Results!$E$4="Tissue",Results!$E$4="Cells")),((DY49*DY$51)/(DY$53)),IF(AND(Results!$E$5="Weight",$C$52&gt;0, Results!$E$4="Tissue",OR($B$52="g",$B$52="mg")),((DY49*DY$51)/(DY$52)),IF(AND(Results!$E$5="Volume",$C$54&gt;0,Results!$E$4="Fluid"),((DY49*DY$51)/(DY$54)),IF(AND(Results!$E$4="Cells",Results!$E$5="Million",$B$52="million"),((DY49*DY$51)/(DY$52)),"0")))))</f>
        <v>0</v>
      </c>
      <c r="DZ102" s="20" t="str">
        <f>IF(DZ49=0,"0",IF(AND(Results!$E$5="Protein",$C$53&gt;0,OR(Results!$E$4="Tissue",Results!$E$4="Cells")),((DZ49*DZ$51)/(DZ$53)),IF(AND(Results!$E$5="Weight",$C$52&gt;0, Results!$E$4="Tissue",OR($B$52="g",$B$52="mg")),((DZ49*DZ$51)/(DZ$52)),IF(AND(Results!$E$5="Volume",$C$54&gt;0,Results!$E$4="Fluid"),((DZ49*DZ$51)/(DZ$54)),IF(AND(Results!$E$4="Cells",Results!$E$5="Million",$B$52="million"),((DZ49*DZ$51)/(DZ$52)),"0")))))</f>
        <v>0</v>
      </c>
      <c r="EA102" s="20" t="str">
        <f>IF(EA49=0,"0",IF(AND(Results!$E$5="Protein",$C$53&gt;0,OR(Results!$E$4="Tissue",Results!$E$4="Cells")),((EA49*EA$51)/(EA$53)),IF(AND(Results!$E$5="Weight",$C$52&gt;0, Results!$E$4="Tissue",OR($B$52="g",$B$52="mg")),((EA49*EA$51)/(EA$52)),IF(AND(Results!$E$5="Volume",$C$54&gt;0,Results!$E$4="Fluid"),((EA49*EA$51)/(EA$54)),IF(AND(Results!$E$4="Cells",Results!$E$5="Million",$B$52="million"),((EA49*EA$51)/(EA$52)),"0")))))</f>
        <v>0</v>
      </c>
      <c r="EB102" s="20" t="str">
        <f>IF(EB49=0,"0",IF(AND(Results!$E$5="Protein",$C$53&gt;0,OR(Results!$E$4="Tissue",Results!$E$4="Cells")),((EB49*EB$51)/(EB$53)),IF(AND(Results!$E$5="Weight",$C$52&gt;0, Results!$E$4="Tissue",OR($B$52="g",$B$52="mg")),((EB49*EB$51)/(EB$52)),IF(AND(Results!$E$5="Volume",$C$54&gt;0,Results!$E$4="Fluid"),((EB49*EB$51)/(EB$54)),IF(AND(Results!$E$4="Cells",Results!$E$5="Million",$B$52="million"),((EB49*EB$51)/(EB$52)),"0")))))</f>
        <v>0</v>
      </c>
      <c r="EC102" s="20" t="str">
        <f>IF(EC49=0,"0",IF(AND(Results!$E$5="Protein",$C$53&gt;0,OR(Results!$E$4="Tissue",Results!$E$4="Cells")),((EC49*EC$51)/(EC$53)),IF(AND(Results!$E$5="Weight",$C$52&gt;0, Results!$E$4="Tissue",OR($B$52="g",$B$52="mg")),((EC49*EC$51)/(EC$52)),IF(AND(Results!$E$5="Volume",$C$54&gt;0,Results!$E$4="Fluid"),((EC49*EC$51)/(EC$54)),IF(AND(Results!$E$4="Cells",Results!$E$5="Million",$B$52="million"),((EC49*EC$51)/(EC$52)),"0")))))</f>
        <v>0</v>
      </c>
      <c r="ED102" s="20" t="str">
        <f>IF(ED49=0,"0",IF(AND(Results!$E$5="Protein",$C$53&gt;0,OR(Results!$E$4="Tissue",Results!$E$4="Cells")),((ED49*ED$51)/(ED$53)),IF(AND(Results!$E$5="Weight",$C$52&gt;0, Results!$E$4="Tissue",OR($B$52="g",$B$52="mg")),((ED49*ED$51)/(ED$52)),IF(AND(Results!$E$5="Volume",$C$54&gt;0,Results!$E$4="Fluid"),((ED49*ED$51)/(ED$54)),IF(AND(Results!$E$4="Cells",Results!$E$5="Million",$B$52="million"),((ED49*ED$51)/(ED$52)),"0")))))</f>
        <v>0</v>
      </c>
      <c r="EE102" s="20" t="str">
        <f>IF(EE49=0,"0",IF(AND(Results!$E$5="Protein",$C$53&gt;0,OR(Results!$E$4="Tissue",Results!$E$4="Cells")),((EE49*EE$51)/(EE$53)),IF(AND(Results!$E$5="Weight",$C$52&gt;0, Results!$E$4="Tissue",OR($B$52="g",$B$52="mg")),((EE49*EE$51)/(EE$52)),IF(AND(Results!$E$5="Volume",$C$54&gt;0,Results!$E$4="Fluid"),((EE49*EE$51)/(EE$54)),IF(AND(Results!$E$4="Cells",Results!$E$5="Million",$B$52="million"),((EE49*EE$51)/(EE$52)),"0")))))</f>
        <v>0</v>
      </c>
      <c r="EF102" s="20" t="str">
        <f>IF(EF49=0,"0",IF(AND(Results!$E$5="Protein",$C$53&gt;0,OR(Results!$E$4="Tissue",Results!$E$4="Cells")),((EF49*EF$51)/(EF$53)),IF(AND(Results!$E$5="Weight",$C$52&gt;0, Results!$E$4="Tissue",OR($B$52="g",$B$52="mg")),((EF49*EF$51)/(EF$52)),IF(AND(Results!$E$5="Volume",$C$54&gt;0,Results!$E$4="Fluid"),((EF49*EF$51)/(EF$54)),IF(AND(Results!$E$4="Cells",Results!$E$5="Million",$B$52="million"),((EF49*EF$51)/(EF$52)),"0")))))</f>
        <v>0</v>
      </c>
      <c r="EG102" s="20" t="str">
        <f>IF(EG49=0,"0",IF(AND(Results!$E$5="Protein",$C$53&gt;0,OR(Results!$E$4="Tissue",Results!$E$4="Cells")),((EG49*EG$51)/(EG$53)),IF(AND(Results!$E$5="Weight",$C$52&gt;0, Results!$E$4="Tissue",OR($B$52="g",$B$52="mg")),((EG49*EG$51)/(EG$52)),IF(AND(Results!$E$5="Volume",$C$54&gt;0,Results!$E$4="Fluid"),((EG49*EG$51)/(EG$54)),IF(AND(Results!$E$4="Cells",Results!$E$5="Million",$B$52="million"),((EG49*EG$51)/(EG$52)),"0")))))</f>
        <v>0</v>
      </c>
      <c r="EH102" s="20" t="str">
        <f>IF(EH49=0,"0",IF(AND(Results!$E$5="Protein",$C$53&gt;0,OR(Results!$E$4="Tissue",Results!$E$4="Cells")),((EH49*EH$51)/(EH$53)),IF(AND(Results!$E$5="Weight",$C$52&gt;0, Results!$E$4="Tissue",OR($B$52="g",$B$52="mg")),((EH49*EH$51)/(EH$52)),IF(AND(Results!$E$5="Volume",$C$54&gt;0,Results!$E$4="Fluid"),((EH49*EH$51)/(EH$54)),IF(AND(Results!$E$4="Cells",Results!$E$5="Million",$B$52="million"),((EH49*EH$51)/(EH$52)),"0")))))</f>
        <v>0</v>
      </c>
      <c r="EI102" s="20" t="str">
        <f>IF(EI49=0,"0",IF(AND(Results!$E$5="Protein",$C$53&gt;0,OR(Results!$E$4="Tissue",Results!$E$4="Cells")),((EI49*EI$51)/(EI$53)),IF(AND(Results!$E$5="Weight",$C$52&gt;0, Results!$E$4="Tissue",OR($B$52="g",$B$52="mg")),((EI49*EI$51)/(EI$52)),IF(AND(Results!$E$5="Volume",$C$54&gt;0,Results!$E$4="Fluid"),((EI49*EI$51)/(EI$54)),IF(AND(Results!$E$4="Cells",Results!$E$5="Million",$B$52="million"),((EI49*EI$51)/(EI$52)),"0")))))</f>
        <v>0</v>
      </c>
      <c r="EJ102" s="20" t="str">
        <f>IF(EJ49=0,"0",IF(AND(Results!$E$5="Protein",$C$53&gt;0,OR(Results!$E$4="Tissue",Results!$E$4="Cells")),((EJ49*EJ$51)/(EJ$53)),IF(AND(Results!$E$5="Weight",$C$52&gt;0, Results!$E$4="Tissue",OR($B$52="g",$B$52="mg")),((EJ49*EJ$51)/(EJ$52)),IF(AND(Results!$E$5="Volume",$C$54&gt;0,Results!$E$4="Fluid"),((EJ49*EJ$51)/(EJ$54)),IF(AND(Results!$E$4="Cells",Results!$E$5="Million",$B$52="million"),((EJ49*EJ$51)/(EJ$52)),"0")))))</f>
        <v>0</v>
      </c>
      <c r="EK102" s="20" t="str">
        <f>IF(EK49=0,"0",IF(AND(Results!$E$5="Protein",$C$53&gt;0,OR(Results!$E$4="Tissue",Results!$E$4="Cells")),((EK49*EK$51)/(EK$53)),IF(AND(Results!$E$5="Weight",$C$52&gt;0, Results!$E$4="Tissue",OR($B$52="g",$B$52="mg")),((EK49*EK$51)/(EK$52)),IF(AND(Results!$E$5="Volume",$C$54&gt;0,Results!$E$4="Fluid"),((EK49*EK$51)/(EK$54)),IF(AND(Results!$E$4="Cells",Results!$E$5="Million",$B$52="million"),((EK49*EK$51)/(EK$52)),"0")))))</f>
        <v>0</v>
      </c>
      <c r="EL102" s="20" t="str">
        <f>IF(EL49=0,"0",IF(AND(Results!$E$5="Protein",$C$53&gt;0,OR(Results!$E$4="Tissue",Results!$E$4="Cells")),((EL49*EL$51)/(EL$53)),IF(AND(Results!$E$5="Weight",$C$52&gt;0, Results!$E$4="Tissue",OR($B$52="g",$B$52="mg")),((EL49*EL$51)/(EL$52)),IF(AND(Results!$E$5="Volume",$C$54&gt;0,Results!$E$4="Fluid"),((EL49*EL$51)/(EL$54)),IF(AND(Results!$E$4="Cells",Results!$E$5="Million",$B$52="million"),((EL49*EL$51)/(EL$52)),"0")))))</f>
        <v>0</v>
      </c>
      <c r="EM102" s="20" t="str">
        <f>IF(EM49=0,"0",IF(AND(Results!$E$5="Protein",$C$53&gt;0,OR(Results!$E$4="Tissue",Results!$E$4="Cells")),((EM49*EM$51)/(EM$53)),IF(AND(Results!$E$5="Weight",$C$52&gt;0, Results!$E$4="Tissue",OR($B$52="g",$B$52="mg")),((EM49*EM$51)/(EM$52)),IF(AND(Results!$E$5="Volume",$C$54&gt;0,Results!$E$4="Fluid"),((EM49*EM$51)/(EM$54)),IF(AND(Results!$E$4="Cells",Results!$E$5="Million",$B$52="million"),((EM49*EM$51)/(EM$52)),"0")))))</f>
        <v>0</v>
      </c>
      <c r="EN102" s="20" t="str">
        <f>IF(EN49=0,"0",IF(AND(Results!$E$5="Protein",$C$53&gt;0,OR(Results!$E$4="Tissue",Results!$E$4="Cells")),((EN49*EN$51)/(EN$53)),IF(AND(Results!$E$5="Weight",$C$52&gt;0, Results!$E$4="Tissue",OR($B$52="g",$B$52="mg")),((EN49*EN$51)/(EN$52)),IF(AND(Results!$E$5="Volume",$C$54&gt;0,Results!$E$4="Fluid"),((EN49*EN$51)/(EN$54)),IF(AND(Results!$E$4="Cells",Results!$E$5="Million",$B$52="million"),((EN49*EN$51)/(EN$52)),"0")))))</f>
        <v>0</v>
      </c>
      <c r="EO102" s="20" t="str">
        <f>IF(EO49=0,"0",IF(AND(Results!$E$5="Protein",$C$53&gt;0,OR(Results!$E$4="Tissue",Results!$E$4="Cells")),((EO49*EO$51)/(EO$53)),IF(AND(Results!$E$5="Weight",$C$52&gt;0, Results!$E$4="Tissue",OR($B$52="g",$B$52="mg")),((EO49*EO$51)/(EO$52)),IF(AND(Results!$E$5="Volume",$C$54&gt;0,Results!$E$4="Fluid"),((EO49*EO$51)/(EO$54)),IF(AND(Results!$E$4="Cells",Results!$E$5="Million",$B$52="million"),((EO49*EO$51)/(EO$52)),"0")))))</f>
        <v>0</v>
      </c>
      <c r="EP102" s="20" t="str">
        <f>IF(EP49=0,"0",IF(AND(Results!$E$5="Protein",$C$53&gt;0,OR(Results!$E$4="Tissue",Results!$E$4="Cells")),((EP49*EP$51)/(EP$53)),IF(AND(Results!$E$5="Weight",$C$52&gt;0, Results!$E$4="Tissue",OR($B$52="g",$B$52="mg")),((EP49*EP$51)/(EP$52)),IF(AND(Results!$E$5="Volume",$C$54&gt;0,Results!$E$4="Fluid"),((EP49*EP$51)/(EP$54)),IF(AND(Results!$E$4="Cells",Results!$E$5="Million",$B$52="million"),((EP49*EP$51)/(EP$52)),"0")))))</f>
        <v>0</v>
      </c>
      <c r="EQ102" s="20" t="str">
        <f>IF(EQ49=0,"0",IF(AND(Results!$E$5="Protein",$C$53&gt;0,OR(Results!$E$4="Tissue",Results!$E$4="Cells")),((EQ49*EQ$51)/(EQ$53)),IF(AND(Results!$E$5="Weight",$C$52&gt;0, Results!$E$4="Tissue",OR($B$52="g",$B$52="mg")),((EQ49*EQ$51)/(EQ$52)),IF(AND(Results!$E$5="Volume",$C$54&gt;0,Results!$E$4="Fluid"),((EQ49*EQ$51)/(EQ$54)),IF(AND(Results!$E$4="Cells",Results!$E$5="Million",$B$52="million"),((EQ49*EQ$51)/(EQ$52)),"0")))))</f>
        <v>0</v>
      </c>
      <c r="ER102" s="20" t="str">
        <f>IF(ER49=0,"0",IF(AND(Results!$E$5="Protein",$C$53&gt;0,OR(Results!$E$4="Tissue",Results!$E$4="Cells")),((ER49*ER$51)/(ER$53)),IF(AND(Results!$E$5="Weight",$C$52&gt;0, Results!$E$4="Tissue",OR($B$52="g",$B$52="mg")),((ER49*ER$51)/(ER$52)),IF(AND(Results!$E$5="Volume",$C$54&gt;0,Results!$E$4="Fluid"),((ER49*ER$51)/(ER$54)),IF(AND(Results!$E$4="Cells",Results!$E$5="Million",$B$52="million"),((ER49*ER$51)/(ER$52)),"0")))))</f>
        <v>0</v>
      </c>
      <c r="ES102" s="20" t="str">
        <f>IF(ES49=0,"0",IF(AND(Results!$E$5="Protein",$C$53&gt;0,OR(Results!$E$4="Tissue",Results!$E$4="Cells")),((ES49*ES$51)/(ES$53)),IF(AND(Results!$E$5="Weight",$C$52&gt;0, Results!$E$4="Tissue",OR($B$52="g",$B$52="mg")),((ES49*ES$51)/(ES$52)),IF(AND(Results!$E$5="Volume",$C$54&gt;0,Results!$E$4="Fluid"),((ES49*ES$51)/(ES$54)),IF(AND(Results!$E$4="Cells",Results!$E$5="Million",$B$52="million"),((ES49*ES$51)/(ES$52)),"0")))))</f>
        <v>0</v>
      </c>
      <c r="ET102" s="20" t="str">
        <f>IF(ET49=0,"0",IF(AND(Results!$E$5="Protein",$C$53&gt;0,OR(Results!$E$4="Tissue",Results!$E$4="Cells")),((ET49*ET$51)/(ET$53)),IF(AND(Results!$E$5="Weight",$C$52&gt;0, Results!$E$4="Tissue",OR($B$52="g",$B$52="mg")),((ET49*ET$51)/(ET$52)),IF(AND(Results!$E$5="Volume",$C$54&gt;0,Results!$E$4="Fluid"),((ET49*ET$51)/(ET$54)),IF(AND(Results!$E$4="Cells",Results!$E$5="Million",$B$52="million"),((ET49*ET$51)/(ET$52)),"0")))))</f>
        <v>0</v>
      </c>
      <c r="EU102" s="20" t="str">
        <f>IF(EU49=0,"0",IF(AND(Results!$E$5="Protein",$C$53&gt;0,OR(Results!$E$4="Tissue",Results!$E$4="Cells")),((EU49*EU$51)/(EU$53)),IF(AND(Results!$E$5="Weight",$C$52&gt;0, Results!$E$4="Tissue",OR($B$52="g",$B$52="mg")),((EU49*EU$51)/(EU$52)),IF(AND(Results!$E$5="Volume",$C$54&gt;0,Results!$E$4="Fluid"),((EU49*EU$51)/(EU$54)),IF(AND(Results!$E$4="Cells",Results!$E$5="Million",$B$52="million"),((EU49*EU$51)/(EU$52)),"0")))))</f>
        <v>0</v>
      </c>
      <c r="EV102" s="20" t="str">
        <f>IF(EV49=0,"0",IF(AND(Results!$E$5="Protein",$C$53&gt;0,OR(Results!$E$4="Tissue",Results!$E$4="Cells")),((EV49*EV$51)/(EV$53)),IF(AND(Results!$E$5="Weight",$C$52&gt;0, Results!$E$4="Tissue",OR($B$52="g",$B$52="mg")),((EV49*EV$51)/(EV$52)),IF(AND(Results!$E$5="Volume",$C$54&gt;0,Results!$E$4="Fluid"),((EV49*EV$51)/(EV$54)),IF(AND(Results!$E$4="Cells",Results!$E$5="Million",$B$52="million"),((EV49*EV$51)/(EV$52)),"0")))))</f>
        <v>0</v>
      </c>
      <c r="EW102" s="20" t="str">
        <f>IF(EW49=0,"0",IF(AND(Results!$E$5="Protein",$C$53&gt;0,OR(Results!$E$4="Tissue",Results!$E$4="Cells")),((EW49*EW$51)/(EW$53)),IF(AND(Results!$E$5="Weight",$C$52&gt;0, Results!$E$4="Tissue",OR($B$52="g",$B$52="mg")),((EW49*EW$51)/(EW$52)),IF(AND(Results!$E$5="Volume",$C$54&gt;0,Results!$E$4="Fluid"),((EW49*EW$51)/(EW$54)),IF(AND(Results!$E$4="Cells",Results!$E$5="Million",$B$52="million"),((EW49*EW$51)/(EW$52)),"0")))))</f>
        <v>0</v>
      </c>
      <c r="EX102" s="20" t="str">
        <f>IF(EX49=0,"0",IF(AND(Results!$E$5="Protein",$C$53&gt;0,OR(Results!$E$4="Tissue",Results!$E$4="Cells")),((EX49*EX$51)/(EX$53)),IF(AND(Results!$E$5="Weight",$C$52&gt;0, Results!$E$4="Tissue",OR($B$52="g",$B$52="mg")),((EX49*EX$51)/(EX$52)),IF(AND(Results!$E$5="Volume",$C$54&gt;0,Results!$E$4="Fluid"),((EX49*EX$51)/(EX$54)),IF(AND(Results!$E$4="Cells",Results!$E$5="Million",$B$52="million"),((EX49*EX$51)/(EX$52)),"0")))))</f>
        <v>0</v>
      </c>
      <c r="EY102" s="20" t="str">
        <f>IF(EY49=0,"0",IF(AND(Results!$E$5="Protein",$C$53&gt;0,OR(Results!$E$4="Tissue",Results!$E$4="Cells")),((EY49*EY$51)/(EY$53)),IF(AND(Results!$E$5="Weight",$C$52&gt;0, Results!$E$4="Tissue",OR($B$52="g",$B$52="mg")),((EY49*EY$51)/(EY$52)),IF(AND(Results!$E$5="Volume",$C$54&gt;0,Results!$E$4="Fluid"),((EY49*EY$51)/(EY$54)),IF(AND(Results!$E$4="Cells",Results!$E$5="Million",$B$52="million"),((EY49*EY$51)/(EY$52)),"0")))))</f>
        <v>0</v>
      </c>
      <c r="EZ102" s="20" t="str">
        <f>IF(EZ49=0,"0",IF(AND(Results!$E$5="Protein",$C$53&gt;0,OR(Results!$E$4="Tissue",Results!$E$4="Cells")),((EZ49*EZ$51)/(EZ$53)),IF(AND(Results!$E$5="Weight",$C$52&gt;0, Results!$E$4="Tissue",OR($B$52="g",$B$52="mg")),((EZ49*EZ$51)/(EZ$52)),IF(AND(Results!$E$5="Volume",$C$54&gt;0,Results!$E$4="Fluid"),((EZ49*EZ$51)/(EZ$54)),IF(AND(Results!$E$4="Cells",Results!$E$5="Million",$B$52="million"),((EZ49*EZ$51)/(EZ$52)),"0")))))</f>
        <v>0</v>
      </c>
      <c r="FA102" s="20" t="str">
        <f>IF(FA49=0,"0",IF(AND(Results!$E$5="Protein",$C$53&gt;0,OR(Results!$E$4="Tissue",Results!$E$4="Cells")),((FA49*FA$51)/(FA$53)),IF(AND(Results!$E$5="Weight",$C$52&gt;0, Results!$E$4="Tissue",OR($B$52="g",$B$52="mg")),((FA49*FA$51)/(FA$52)),IF(AND(Results!$E$5="Volume",$C$54&gt;0,Results!$E$4="Fluid"),((FA49*FA$51)/(FA$54)),IF(AND(Results!$E$4="Cells",Results!$E$5="Million",$B$52="million"),((FA49*FA$51)/(FA$52)),"0")))))</f>
        <v>0</v>
      </c>
      <c r="FB102" s="20" t="str">
        <f>IF(FB49=0,"0",IF(AND(Results!$E$5="Protein",$C$53&gt;0,OR(Results!$E$4="Tissue",Results!$E$4="Cells")),((FB49*FB$51)/(FB$53)),IF(AND(Results!$E$5="Weight",$C$52&gt;0, Results!$E$4="Tissue",OR($B$52="g",$B$52="mg")),((FB49*FB$51)/(FB$52)),IF(AND(Results!$E$5="Volume",$C$54&gt;0,Results!$E$4="Fluid"),((FB49*FB$51)/(FB$54)),IF(AND(Results!$E$4="Cells",Results!$E$5="Million",$B$52="million"),((FB49*FB$51)/(FB$52)),"0")))))</f>
        <v>0</v>
      </c>
      <c r="FC102" s="20" t="str">
        <f>IF(FC49=0,"0",IF(AND(Results!$E$5="Protein",$C$53&gt;0,OR(Results!$E$4="Tissue",Results!$E$4="Cells")),((FC49*FC$51)/(FC$53)),IF(AND(Results!$E$5="Weight",$C$52&gt;0, Results!$E$4="Tissue",OR($B$52="g",$B$52="mg")),((FC49*FC$51)/(FC$52)),IF(AND(Results!$E$5="Volume",$C$54&gt;0,Results!$E$4="Fluid"),((FC49*FC$51)/(FC$54)),IF(AND(Results!$E$4="Cells",Results!$E$5="Million",$B$52="million"),((FC49*FC$51)/(FC$52)),"0")))))</f>
        <v>0</v>
      </c>
      <c r="FD102" s="20" t="str">
        <f>IF(FD49=0,"0",IF(AND(Results!$E$5="Protein",$C$53&gt;0,OR(Results!$E$4="Tissue",Results!$E$4="Cells")),((FD49*FD$51)/(FD$53)),IF(AND(Results!$E$5="Weight",$C$52&gt;0, Results!$E$4="Tissue",OR($B$52="g",$B$52="mg")),((FD49*FD$51)/(FD$52)),IF(AND(Results!$E$5="Volume",$C$54&gt;0,Results!$E$4="Fluid"),((FD49*FD$51)/(FD$54)),IF(AND(Results!$E$4="Cells",Results!$E$5="Million",$B$52="million"),((FD49*FD$51)/(FD$52)),"0")))))</f>
        <v>0</v>
      </c>
      <c r="FE102" s="20" t="str">
        <f>IF(FE49=0,"0",IF(AND(Results!$E$5="Protein",$C$53&gt;0,OR(Results!$E$4="Tissue",Results!$E$4="Cells")),((FE49*FE$51)/(FE$53)),IF(AND(Results!$E$5="Weight",$C$52&gt;0, Results!$E$4="Tissue",OR($B$52="g",$B$52="mg")),((FE49*FE$51)/(FE$52)),IF(AND(Results!$E$5="Volume",$C$54&gt;0,Results!$E$4="Fluid"),((FE49*FE$51)/(FE$54)),IF(AND(Results!$E$4="Cells",Results!$E$5="Million",$B$52="million"),((FE49*FE$51)/(FE$52)),"0")))))</f>
        <v>0</v>
      </c>
      <c r="FF102" s="20" t="str">
        <f>IF(FF49=0,"0",IF(AND(Results!$E$5="Protein",$C$53&gt;0,OR(Results!$E$4="Tissue",Results!$E$4="Cells")),((FF49*FF$51)/(FF$53)),IF(AND(Results!$E$5="Weight",$C$52&gt;0, Results!$E$4="Tissue",OR($B$52="g",$B$52="mg")),((FF49*FF$51)/(FF$52)),IF(AND(Results!$E$5="Volume",$C$54&gt;0,Results!$E$4="Fluid"),((FF49*FF$51)/(FF$54)),IF(AND(Results!$E$4="Cells",Results!$E$5="Million",$B$52="million"),((FF49*FF$51)/(FF$52)),"0")))))</f>
        <v>0</v>
      </c>
      <c r="FG102" s="20" t="str">
        <f>IF(FG49=0,"0",IF(AND(Results!$E$5="Protein",$C$53&gt;0,OR(Results!$E$4="Tissue",Results!$E$4="Cells")),((FG49*FG$51)/(FG$53)),IF(AND(Results!$E$5="Weight",$C$52&gt;0, Results!$E$4="Tissue",OR($B$52="g",$B$52="mg")),((FG49*FG$51)/(FG$52)),IF(AND(Results!$E$5="Volume",$C$54&gt;0,Results!$E$4="Fluid"),((FG49*FG$51)/(FG$54)),IF(AND(Results!$E$4="Cells",Results!$E$5="Million",$B$52="million"),((FG49*FG$51)/(FG$52)),"0")))))</f>
        <v>0</v>
      </c>
      <c r="FH102" s="20" t="str">
        <f>IF(FH49=0,"0",IF(AND(Results!$E$5="Protein",$C$53&gt;0,OR(Results!$E$4="Tissue",Results!$E$4="Cells")),((FH49*FH$51)/(FH$53)),IF(AND(Results!$E$5="Weight",$C$52&gt;0, Results!$E$4="Tissue",OR($B$52="g",$B$52="mg")),((FH49*FH$51)/(FH$52)),IF(AND(Results!$E$5="Volume",$C$54&gt;0,Results!$E$4="Fluid"),((FH49*FH$51)/(FH$54)),IF(AND(Results!$E$4="Cells",Results!$E$5="Million",$B$52="million"),((FH49*FH$51)/(FH$52)),"0")))))</f>
        <v>0</v>
      </c>
      <c r="FI102" s="20" t="str">
        <f>IF(FI49=0,"0",IF(AND(Results!$E$5="Protein",$C$53&gt;0,OR(Results!$E$4="Tissue",Results!$E$4="Cells")),((FI49*FI$51)/(FI$53)),IF(AND(Results!$E$5="Weight",$C$52&gt;0, Results!$E$4="Tissue",OR($B$52="g",$B$52="mg")),((FI49*FI$51)/(FI$52)),IF(AND(Results!$E$5="Volume",$C$54&gt;0,Results!$E$4="Fluid"),((FI49*FI$51)/(FI$54)),IF(AND(Results!$E$4="Cells",Results!$E$5="Million",$B$52="million"),((FI49*FI$51)/(FI$52)),"0")))))</f>
        <v>0</v>
      </c>
      <c r="FJ102" s="20" t="str">
        <f>IF(FJ49=0,"0",IF(AND(Results!$E$5="Protein",$C$53&gt;0,OR(Results!$E$4="Tissue",Results!$E$4="Cells")),((FJ49*FJ$51)/(FJ$53)),IF(AND(Results!$E$5="Weight",$C$52&gt;0, Results!$E$4="Tissue",OR($B$52="g",$B$52="mg")),((FJ49*FJ$51)/(FJ$52)),IF(AND(Results!$E$5="Volume",$C$54&gt;0,Results!$E$4="Fluid"),((FJ49*FJ$51)/(FJ$54)),IF(AND(Results!$E$4="Cells",Results!$E$5="Million",$B$52="million"),((FJ49*FJ$51)/(FJ$52)),"0")))))</f>
        <v>0</v>
      </c>
      <c r="FK102" s="20" t="str">
        <f>IF(FK49=0,"0",IF(AND(Results!$E$5="Protein",$C$53&gt;0,OR(Results!$E$4="Tissue",Results!$E$4="Cells")),((FK49*FK$51)/(FK$53)),IF(AND(Results!$E$5="Weight",$C$52&gt;0, Results!$E$4="Tissue",OR($B$52="g",$B$52="mg")),((FK49*FK$51)/(FK$52)),IF(AND(Results!$E$5="Volume",$C$54&gt;0,Results!$E$4="Fluid"),((FK49*FK$51)/(FK$54)),IF(AND(Results!$E$4="Cells",Results!$E$5="Million",$B$52="million"),((FK49*FK$51)/(FK$52)),"0")))))</f>
        <v>0</v>
      </c>
      <c r="FL102" s="20" t="str">
        <f>IF(FL49=0,"0",IF(AND(Results!$E$5="Protein",$C$53&gt;0,OR(Results!$E$4="Tissue",Results!$E$4="Cells")),((FL49*FL$51)/(FL$53)),IF(AND(Results!$E$5="Weight",$C$52&gt;0, Results!$E$4="Tissue",OR($B$52="g",$B$52="mg")),((FL49*FL$51)/(FL$52)),IF(AND(Results!$E$5="Volume",$C$54&gt;0,Results!$E$4="Fluid"),((FL49*FL$51)/(FL$54)),IF(AND(Results!$E$4="Cells",Results!$E$5="Million",$B$52="million"),((FL49*FL$51)/(FL$52)),"0")))))</f>
        <v>0</v>
      </c>
      <c r="FM102" s="20" t="str">
        <f>IF(FM49=0,"0",IF(AND(Results!$E$5="Protein",$C$53&gt;0,OR(Results!$E$4="Tissue",Results!$E$4="Cells")),((FM49*FM$51)/(FM$53)),IF(AND(Results!$E$5="Weight",$C$52&gt;0, Results!$E$4="Tissue",OR($B$52="g",$B$52="mg")),((FM49*FM$51)/(FM$52)),IF(AND(Results!$E$5="Volume",$C$54&gt;0,Results!$E$4="Fluid"),((FM49*FM$51)/(FM$54)),IF(AND(Results!$E$4="Cells",Results!$E$5="Million",$B$52="million"),((FM49*FM$51)/(FM$52)),"0")))))</f>
        <v>0</v>
      </c>
      <c r="FN102" s="20" t="str">
        <f>IF(FN49=0,"0",IF(AND(Results!$E$5="Protein",$C$53&gt;0,OR(Results!$E$4="Tissue",Results!$E$4="Cells")),((FN49*FN$51)/(FN$53)),IF(AND(Results!$E$5="Weight",$C$52&gt;0, Results!$E$4="Tissue",OR($B$52="g",$B$52="mg")),((FN49*FN$51)/(FN$52)),IF(AND(Results!$E$5="Volume",$C$54&gt;0,Results!$E$4="Fluid"),((FN49*FN$51)/(FN$54)),IF(AND(Results!$E$4="Cells",Results!$E$5="Million",$B$52="million"),((FN49*FN$51)/(FN$52)),"0")))))</f>
        <v>0</v>
      </c>
      <c r="FO102" s="20" t="str">
        <f>IF(FO49=0,"0",IF(AND(Results!$E$5="Protein",$C$53&gt;0,OR(Results!$E$4="Tissue",Results!$E$4="Cells")),((FO49*FO$51)/(FO$53)),IF(AND(Results!$E$5="Weight",$C$52&gt;0, Results!$E$4="Tissue",OR($B$52="g",$B$52="mg")),((FO49*FO$51)/(FO$52)),IF(AND(Results!$E$5="Volume",$C$54&gt;0,Results!$E$4="Fluid"),((FO49*FO$51)/(FO$54)),IF(AND(Results!$E$4="Cells",Results!$E$5="Million",$B$52="million"),((FO49*FO$51)/(FO$52)),"0")))))</f>
        <v>0</v>
      </c>
    </row>
  </sheetData>
  <sortState xmlns:xlrd2="http://schemas.microsoft.com/office/spreadsheetml/2017/richdata2" ref="A3:K30">
    <sortCondition ref="A3"/>
  </sortState>
  <mergeCells count="94">
    <mergeCell ref="A56:B56"/>
    <mergeCell ref="A57:B57"/>
    <mergeCell ref="A58:B58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1:B31"/>
    <mergeCell ref="A32:B32"/>
    <mergeCell ref="A30:B30"/>
    <mergeCell ref="A33:B33"/>
    <mergeCell ref="A34:B34"/>
    <mergeCell ref="A35:B35"/>
    <mergeCell ref="A26:B26"/>
    <mergeCell ref="A27:B27"/>
    <mergeCell ref="A28:B28"/>
    <mergeCell ref="A29:B29"/>
    <mergeCell ref="A41:B41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48:B48"/>
    <mergeCell ref="A49:B49"/>
    <mergeCell ref="A59:B5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90:B90"/>
    <mergeCell ref="A91:B91"/>
    <mergeCell ref="A84:B84"/>
    <mergeCell ref="A85:B85"/>
    <mergeCell ref="A86:B86"/>
    <mergeCell ref="A87:B87"/>
    <mergeCell ref="A88:B88"/>
    <mergeCell ref="A89:B89"/>
    <mergeCell ref="A83:B83"/>
    <mergeCell ref="A97:B97"/>
    <mergeCell ref="A99:B99"/>
    <mergeCell ref="A100:B100"/>
    <mergeCell ref="A92:B92"/>
    <mergeCell ref="A93:B93"/>
    <mergeCell ref="A94:B94"/>
    <mergeCell ref="A95:B95"/>
    <mergeCell ref="A96:B96"/>
    <mergeCell ref="A98:B98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01:B101"/>
    <mergeCell ref="A102:B102"/>
    <mergeCell ref="A42:B42"/>
    <mergeCell ref="A43:B43"/>
    <mergeCell ref="A44:B44"/>
    <mergeCell ref="A46:B46"/>
    <mergeCell ref="A36:B36"/>
    <mergeCell ref="A37:B37"/>
    <mergeCell ref="A38:B38"/>
    <mergeCell ref="A39:B39"/>
    <mergeCell ref="A40:B40"/>
    <mergeCell ref="A45:B45"/>
    <mergeCell ref="A47:B47"/>
  </mergeCells>
  <dataValidations count="3">
    <dataValidation type="list" allowBlank="1" showInputMessage="1" showErrorMessage="1" sqref="B54" xr:uid="{00000000-0002-0000-0100-000000000000}">
      <formula1>"ml,µl"</formula1>
    </dataValidation>
    <dataValidation type="list" allowBlank="1" showInputMessage="1" showErrorMessage="1" sqref="B53" xr:uid="{00000000-0002-0000-0100-000001000000}">
      <formula1>"mg, µg"</formula1>
    </dataValidation>
    <dataValidation type="list" allowBlank="1" showInputMessage="1" showErrorMessage="1" sqref="B52" xr:uid="{00000000-0002-0000-0100-000002000000}">
      <formula1>"g, mg, million"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"/>
  <sheetViews>
    <sheetView zoomScaleNormal="100" workbookViewId="0">
      <selection activeCell="F14" sqref="F14"/>
    </sheetView>
  </sheetViews>
  <sheetFormatPr baseColWidth="10" defaultRowHeight="17.25" customHeight="1" x14ac:dyDescent="0.2"/>
  <cols>
    <col min="1" max="1" width="15.6640625" bestFit="1" customWidth="1"/>
    <col min="2" max="2" width="31.5" bestFit="1" customWidth="1"/>
    <col min="3" max="3" width="33" style="28" bestFit="1" customWidth="1"/>
    <col min="4" max="4" width="61" style="28" bestFit="1" customWidth="1"/>
    <col min="5" max="5" width="11.33203125" customWidth="1"/>
    <col min="6" max="6" width="36.6640625" bestFit="1" customWidth="1"/>
    <col min="7" max="7" width="189.1640625" bestFit="1" customWidth="1"/>
  </cols>
  <sheetData>
    <row r="1" spans="1:7" ht="17.25" customHeight="1" x14ac:dyDescent="0.2">
      <c r="C1" s="51" t="s">
        <v>90</v>
      </c>
      <c r="D1" s="38" t="s">
        <v>281</v>
      </c>
      <c r="E1" s="37" t="s">
        <v>57</v>
      </c>
      <c r="F1" s="39" t="s">
        <v>53</v>
      </c>
      <c r="G1" s="45" t="s">
        <v>55</v>
      </c>
    </row>
    <row r="2" spans="1:7" ht="17.25" customHeight="1" x14ac:dyDescent="0.2">
      <c r="A2" s="22" t="s">
        <v>9</v>
      </c>
      <c r="C2" s="52" t="s">
        <v>52</v>
      </c>
      <c r="D2" s="29" t="s">
        <v>282</v>
      </c>
      <c r="E2" s="31">
        <v>34450</v>
      </c>
      <c r="F2" s="40" t="s">
        <v>54</v>
      </c>
      <c r="G2" s="46" t="s">
        <v>56</v>
      </c>
    </row>
    <row r="3" spans="1:7" ht="17.25" customHeight="1" x14ac:dyDescent="0.2">
      <c r="A3" s="22" t="s">
        <v>13</v>
      </c>
      <c r="C3" s="52" t="s">
        <v>58</v>
      </c>
      <c r="D3" s="29" t="s">
        <v>283</v>
      </c>
      <c r="E3" s="32">
        <v>34490</v>
      </c>
      <c r="F3" s="41" t="s">
        <v>59</v>
      </c>
      <c r="G3" s="47" t="s">
        <v>60</v>
      </c>
    </row>
    <row r="4" spans="1:7" ht="17.25" customHeight="1" x14ac:dyDescent="0.2">
      <c r="A4" s="22" t="s">
        <v>2</v>
      </c>
      <c r="C4" s="52" t="s">
        <v>61</v>
      </c>
      <c r="D4" s="29" t="s">
        <v>284</v>
      </c>
      <c r="E4" s="32">
        <v>34130</v>
      </c>
      <c r="F4" s="41" t="s">
        <v>62</v>
      </c>
      <c r="G4" s="47" t="s">
        <v>63</v>
      </c>
    </row>
    <row r="5" spans="1:7" ht="17.25" customHeight="1" x14ac:dyDescent="0.2">
      <c r="A5" s="22" t="s">
        <v>5</v>
      </c>
      <c r="C5" s="52" t="s">
        <v>64</v>
      </c>
      <c r="D5" s="29" t="s">
        <v>740</v>
      </c>
      <c r="E5" s="32">
        <v>34157</v>
      </c>
      <c r="F5" s="41" t="s">
        <v>65</v>
      </c>
      <c r="G5" s="47" t="s">
        <v>66</v>
      </c>
    </row>
    <row r="6" spans="1:7" ht="17.25" customHeight="1" x14ac:dyDescent="0.2">
      <c r="A6" s="25" t="s">
        <v>10</v>
      </c>
      <c r="B6" s="22"/>
      <c r="C6" s="52"/>
      <c r="D6" s="29" t="s">
        <v>69</v>
      </c>
      <c r="E6" s="32">
        <v>28209</v>
      </c>
      <c r="F6" s="41" t="s">
        <v>67</v>
      </c>
      <c r="G6" s="47" t="s">
        <v>68</v>
      </c>
    </row>
    <row r="7" spans="1:7" ht="17.25" customHeight="1" x14ac:dyDescent="0.2">
      <c r="A7" s="25" t="s">
        <v>14</v>
      </c>
      <c r="B7" s="22"/>
      <c r="C7" s="52"/>
      <c r="D7" s="29" t="s">
        <v>76</v>
      </c>
      <c r="E7" s="32">
        <v>72643</v>
      </c>
      <c r="F7" s="41" t="s">
        <v>70</v>
      </c>
      <c r="G7" s="47" t="s">
        <v>71</v>
      </c>
    </row>
    <row r="8" spans="1:7" ht="17.25" customHeight="1" x14ac:dyDescent="0.2">
      <c r="A8" s="25" t="s">
        <v>4</v>
      </c>
      <c r="B8" s="22"/>
      <c r="C8" s="52"/>
      <c r="D8" s="29" t="s">
        <v>77</v>
      </c>
      <c r="E8" s="32">
        <v>84447</v>
      </c>
      <c r="F8" s="41" t="s">
        <v>72</v>
      </c>
      <c r="G8" s="47" t="s">
        <v>73</v>
      </c>
    </row>
    <row r="9" spans="1:7" ht="17.25" customHeight="1" x14ac:dyDescent="0.2">
      <c r="A9" s="25" t="s">
        <v>7</v>
      </c>
      <c r="B9" s="22"/>
      <c r="C9" s="52"/>
      <c r="D9" s="29" t="s">
        <v>78</v>
      </c>
      <c r="E9" s="32">
        <v>64017</v>
      </c>
      <c r="F9" s="41" t="s">
        <v>74</v>
      </c>
      <c r="G9" s="47" t="s">
        <v>75</v>
      </c>
    </row>
    <row r="10" spans="1:7" ht="17.25" customHeight="1" x14ac:dyDescent="0.2">
      <c r="A10" s="25" t="s">
        <v>11</v>
      </c>
      <c r="B10" s="22"/>
      <c r="C10" s="53" t="s">
        <v>214</v>
      </c>
      <c r="D10" s="29" t="s">
        <v>83</v>
      </c>
      <c r="E10" s="32">
        <v>52449</v>
      </c>
      <c r="F10" s="41" t="s">
        <v>81</v>
      </c>
      <c r="G10" s="47" t="s">
        <v>82</v>
      </c>
    </row>
    <row r="11" spans="1:7" ht="17.25" customHeight="1" x14ac:dyDescent="0.2">
      <c r="A11" s="25" t="s">
        <v>16</v>
      </c>
      <c r="B11" s="26" t="s">
        <v>222</v>
      </c>
      <c r="C11" s="54"/>
      <c r="D11" s="29" t="s">
        <v>86</v>
      </c>
      <c r="E11" s="32">
        <v>15647</v>
      </c>
      <c r="F11" s="42" t="s">
        <v>84</v>
      </c>
      <c r="G11" s="48" t="s">
        <v>85</v>
      </c>
    </row>
    <row r="12" spans="1:7" ht="17.25" customHeight="1" x14ac:dyDescent="0.2">
      <c r="A12" s="25" t="s">
        <v>17</v>
      </c>
      <c r="B12" s="26" t="s">
        <v>96</v>
      </c>
      <c r="C12" s="55" t="s">
        <v>91</v>
      </c>
      <c r="D12" s="29" t="s">
        <v>89</v>
      </c>
      <c r="E12" s="32">
        <v>6498</v>
      </c>
      <c r="F12" s="42" t="s">
        <v>87</v>
      </c>
      <c r="G12" s="48" t="s">
        <v>88</v>
      </c>
    </row>
    <row r="13" spans="1:7" ht="17.25" customHeight="1" x14ac:dyDescent="0.2">
      <c r="A13" s="25" t="s">
        <v>18</v>
      </c>
      <c r="B13" s="26" t="s">
        <v>95</v>
      </c>
      <c r="C13" s="55" t="s">
        <v>364</v>
      </c>
      <c r="D13" s="29" t="s">
        <v>94</v>
      </c>
      <c r="E13" s="33">
        <v>6499</v>
      </c>
      <c r="F13" s="40" t="s">
        <v>92</v>
      </c>
      <c r="G13" s="46" t="s">
        <v>93</v>
      </c>
    </row>
    <row r="14" spans="1:7" ht="17.25" customHeight="1" x14ac:dyDescent="0.25">
      <c r="A14" s="25" t="s">
        <v>15</v>
      </c>
      <c r="B14" s="26" t="s">
        <v>218</v>
      </c>
      <c r="C14" s="55" t="s">
        <v>97</v>
      </c>
      <c r="D14" s="29" t="s">
        <v>98</v>
      </c>
      <c r="E14" s="31" t="s">
        <v>227</v>
      </c>
      <c r="F14" s="40" t="s">
        <v>99</v>
      </c>
      <c r="G14" s="46" t="s">
        <v>100</v>
      </c>
    </row>
    <row r="15" spans="1:7" ht="17.25" customHeight="1" x14ac:dyDescent="0.2">
      <c r="A15" s="25" t="s">
        <v>19</v>
      </c>
      <c r="B15" s="26" t="s">
        <v>219</v>
      </c>
      <c r="C15" s="54"/>
      <c r="D15" s="29" t="s">
        <v>101</v>
      </c>
      <c r="E15" s="33">
        <v>15555</v>
      </c>
      <c r="F15" s="40" t="s">
        <v>102</v>
      </c>
      <c r="G15" s="46" t="s">
        <v>103</v>
      </c>
    </row>
    <row r="16" spans="1:7" ht="17.25" customHeight="1" x14ac:dyDescent="0.2">
      <c r="A16" s="25" t="s">
        <v>20</v>
      </c>
      <c r="B16" s="26" t="s">
        <v>220</v>
      </c>
      <c r="C16" s="54"/>
      <c r="D16" s="29" t="s">
        <v>104</v>
      </c>
      <c r="E16" s="34">
        <v>15551</v>
      </c>
      <c r="F16" s="40" t="s">
        <v>105</v>
      </c>
      <c r="G16" s="46" t="s">
        <v>106</v>
      </c>
    </row>
    <row r="17" spans="1:7" ht="17.25" customHeight="1" x14ac:dyDescent="0.2">
      <c r="A17" s="25" t="s">
        <v>21</v>
      </c>
      <c r="B17" s="26" t="s">
        <v>221</v>
      </c>
      <c r="C17" s="53"/>
      <c r="D17" s="29" t="s">
        <v>107</v>
      </c>
      <c r="E17" s="32">
        <v>15553</v>
      </c>
      <c r="F17" s="42" t="s">
        <v>108</v>
      </c>
      <c r="G17" s="48" t="s">
        <v>109</v>
      </c>
    </row>
    <row r="18" spans="1:7" ht="17.25" customHeight="1" x14ac:dyDescent="0.2">
      <c r="A18" s="25" t="s">
        <v>3</v>
      </c>
      <c r="B18" s="26" t="s">
        <v>217</v>
      </c>
      <c r="C18" s="53"/>
      <c r="D18" s="29" t="s">
        <v>213</v>
      </c>
      <c r="E18" s="35">
        <v>27595</v>
      </c>
      <c r="F18" s="40" t="s">
        <v>117</v>
      </c>
      <c r="G18" s="46" t="s">
        <v>118</v>
      </c>
    </row>
    <row r="19" spans="1:7" ht="17.25" customHeight="1" x14ac:dyDescent="0.25">
      <c r="A19" s="25" t="s">
        <v>235</v>
      </c>
      <c r="B19" t="s">
        <v>246</v>
      </c>
      <c r="C19" s="53"/>
      <c r="D19" s="29" t="s">
        <v>243</v>
      </c>
      <c r="E19" s="35">
        <v>63976</v>
      </c>
      <c r="F19" s="43" t="s">
        <v>244</v>
      </c>
      <c r="G19" s="49" t="s">
        <v>245</v>
      </c>
    </row>
    <row r="20" spans="1:7" ht="17.25" customHeight="1" x14ac:dyDescent="0.2">
      <c r="A20" s="25" t="s">
        <v>6</v>
      </c>
      <c r="B20" s="26" t="s">
        <v>215</v>
      </c>
      <c r="C20" s="53" t="s">
        <v>226</v>
      </c>
      <c r="D20" s="29" t="s">
        <v>110</v>
      </c>
      <c r="E20" s="35">
        <v>34159</v>
      </c>
      <c r="F20" s="43" t="s">
        <v>111</v>
      </c>
      <c r="G20" s="49" t="s">
        <v>112</v>
      </c>
    </row>
    <row r="21" spans="1:7" ht="17.25" customHeight="1" x14ac:dyDescent="0.2">
      <c r="A21" s="25" t="s">
        <v>12</v>
      </c>
      <c r="B21" s="26" t="s">
        <v>216</v>
      </c>
      <c r="C21" s="53"/>
      <c r="D21" s="29" t="s">
        <v>210</v>
      </c>
      <c r="E21" s="35">
        <v>28158</v>
      </c>
      <c r="F21" s="40" t="s">
        <v>211</v>
      </c>
      <c r="G21" s="46" t="s">
        <v>212</v>
      </c>
    </row>
    <row r="22" spans="1:7" ht="17.25" customHeight="1" x14ac:dyDescent="0.2">
      <c r="A22" s="25" t="s">
        <v>22</v>
      </c>
      <c r="B22" s="26" t="s">
        <v>113</v>
      </c>
      <c r="C22" s="53"/>
      <c r="D22" s="29" t="s">
        <v>114</v>
      </c>
      <c r="E22" s="33">
        <v>28728</v>
      </c>
      <c r="F22" s="43" t="s">
        <v>115</v>
      </c>
      <c r="G22" s="49" t="s">
        <v>116</v>
      </c>
    </row>
    <row r="23" spans="1:7" ht="17.25" customHeight="1" x14ac:dyDescent="0.2">
      <c r="A23" s="25" t="s">
        <v>30</v>
      </c>
      <c r="B23" s="26" t="s">
        <v>223</v>
      </c>
      <c r="C23" s="53"/>
      <c r="D23" s="29" t="s">
        <v>119</v>
      </c>
      <c r="E23" s="33">
        <v>15545</v>
      </c>
      <c r="F23" s="40" t="s">
        <v>120</v>
      </c>
      <c r="G23" s="46" t="s">
        <v>121</v>
      </c>
    </row>
    <row r="24" spans="1:7" ht="17.25" customHeight="1" x14ac:dyDescent="0.2">
      <c r="A24" s="25" t="s">
        <v>122</v>
      </c>
      <c r="B24" s="26" t="s">
        <v>123</v>
      </c>
      <c r="C24" s="53" t="s">
        <v>23</v>
      </c>
      <c r="D24" s="29" t="s">
        <v>126</v>
      </c>
      <c r="E24" s="32">
        <v>72647</v>
      </c>
      <c r="F24" s="41" t="s">
        <v>127</v>
      </c>
      <c r="G24" s="47" t="s">
        <v>128</v>
      </c>
    </row>
    <row r="25" spans="1:7" ht="17.25" customHeight="1" x14ac:dyDescent="0.2">
      <c r="A25" s="25" t="s">
        <v>125</v>
      </c>
      <c r="B25" s="26" t="s">
        <v>124</v>
      </c>
      <c r="C25" s="53" t="s">
        <v>24</v>
      </c>
      <c r="D25" s="29" t="s">
        <v>131</v>
      </c>
      <c r="E25" s="32">
        <v>72637</v>
      </c>
      <c r="F25" s="41" t="s">
        <v>129</v>
      </c>
      <c r="G25" s="47" t="s">
        <v>130</v>
      </c>
    </row>
    <row r="26" spans="1:7" ht="17.25" customHeight="1" x14ac:dyDescent="0.2">
      <c r="A26" s="87" t="s">
        <v>379</v>
      </c>
      <c r="B26" t="s">
        <v>378</v>
      </c>
      <c r="C26" s="53" t="s">
        <v>132</v>
      </c>
      <c r="D26" s="29" t="s">
        <v>133</v>
      </c>
      <c r="E26" s="31" t="s">
        <v>227</v>
      </c>
      <c r="F26" s="40" t="s">
        <v>134</v>
      </c>
      <c r="G26" s="46" t="s">
        <v>135</v>
      </c>
    </row>
    <row r="27" spans="1:7" ht="17.25" customHeight="1" x14ac:dyDescent="0.2">
      <c r="A27" s="25" t="s">
        <v>25</v>
      </c>
      <c r="B27" s="26" t="s">
        <v>360</v>
      </c>
      <c r="C27" s="53" t="s">
        <v>136</v>
      </c>
      <c r="D27" s="29" t="s">
        <v>139</v>
      </c>
      <c r="E27" s="32">
        <v>140930</v>
      </c>
      <c r="F27" s="40" t="s">
        <v>137</v>
      </c>
      <c r="G27" s="46" t="s">
        <v>138</v>
      </c>
    </row>
    <row r="28" spans="1:7" ht="17.25" customHeight="1" x14ac:dyDescent="0.2">
      <c r="A28" s="25" t="s">
        <v>26</v>
      </c>
      <c r="B28" s="26" t="s">
        <v>140</v>
      </c>
      <c r="C28" s="55" t="s">
        <v>149</v>
      </c>
      <c r="D28" s="30" t="s">
        <v>141</v>
      </c>
      <c r="E28" s="33">
        <v>81564</v>
      </c>
      <c r="F28" s="43" t="s">
        <v>142</v>
      </c>
      <c r="G28" s="49" t="s">
        <v>143</v>
      </c>
    </row>
    <row r="29" spans="1:7" ht="17.25" customHeight="1" x14ac:dyDescent="0.2">
      <c r="A29" s="25" t="s">
        <v>27</v>
      </c>
      <c r="B29" s="26" t="s">
        <v>144</v>
      </c>
      <c r="C29" s="55" t="s">
        <v>148</v>
      </c>
      <c r="D29" s="30" t="s">
        <v>150</v>
      </c>
      <c r="E29" s="33">
        <v>81565</v>
      </c>
      <c r="F29" s="43" t="s">
        <v>153</v>
      </c>
      <c r="G29" s="49" t="s">
        <v>154</v>
      </c>
    </row>
    <row r="30" spans="1:7" ht="17.25" customHeight="1" x14ac:dyDescent="0.2">
      <c r="A30" s="25" t="s">
        <v>28</v>
      </c>
      <c r="B30" s="26" t="s">
        <v>145</v>
      </c>
      <c r="C30" s="53"/>
      <c r="D30" s="30" t="s">
        <v>151</v>
      </c>
      <c r="E30" s="33">
        <v>138648</v>
      </c>
      <c r="F30" s="43" t="s">
        <v>155</v>
      </c>
      <c r="G30" s="49" t="s">
        <v>156</v>
      </c>
    </row>
    <row r="31" spans="1:7" ht="17.25" customHeight="1" x14ac:dyDescent="0.2">
      <c r="A31" s="25" t="s">
        <v>29</v>
      </c>
      <c r="B31" s="26" t="s">
        <v>146</v>
      </c>
      <c r="C31" s="55" t="s">
        <v>147</v>
      </c>
      <c r="D31" s="30" t="s">
        <v>152</v>
      </c>
      <c r="E31" s="33">
        <v>138645</v>
      </c>
      <c r="F31" s="43" t="s">
        <v>157</v>
      </c>
      <c r="G31" s="49" t="s">
        <v>158</v>
      </c>
    </row>
    <row r="32" spans="1:7" ht="17.25" customHeight="1" x14ac:dyDescent="0.2">
      <c r="A32" s="25" t="s">
        <v>31</v>
      </c>
      <c r="B32" s="26"/>
      <c r="C32" s="53"/>
      <c r="D32" s="29" t="s">
        <v>161</v>
      </c>
      <c r="E32" s="32">
        <v>72802</v>
      </c>
      <c r="F32" s="44" t="s">
        <v>159</v>
      </c>
      <c r="G32" s="50" t="s">
        <v>160</v>
      </c>
    </row>
    <row r="33" spans="1:7" ht="17.25" customHeight="1" x14ac:dyDescent="0.2">
      <c r="A33" s="25" t="s">
        <v>32</v>
      </c>
      <c r="B33" s="26" t="s">
        <v>224</v>
      </c>
      <c r="C33" s="53"/>
      <c r="D33" s="30" t="s">
        <v>162</v>
      </c>
      <c r="E33" s="33">
        <v>88493</v>
      </c>
      <c r="F33" s="43" t="s">
        <v>163</v>
      </c>
      <c r="G33" s="49" t="s">
        <v>164</v>
      </c>
    </row>
    <row r="34" spans="1:7" ht="17.25" customHeight="1" x14ac:dyDescent="0.2">
      <c r="A34" s="25" t="s">
        <v>33</v>
      </c>
      <c r="B34" s="26" t="s">
        <v>225</v>
      </c>
      <c r="C34" s="53"/>
      <c r="D34" s="30" t="s">
        <v>166</v>
      </c>
      <c r="E34" s="33">
        <v>28031</v>
      </c>
      <c r="F34" s="43" t="s">
        <v>167</v>
      </c>
      <c r="G34" s="49" t="s">
        <v>168</v>
      </c>
    </row>
    <row r="35" spans="1:7" ht="17.25" customHeight="1" x14ac:dyDescent="0.2">
      <c r="A35" s="25" t="s">
        <v>34</v>
      </c>
      <c r="B35" s="26" t="s">
        <v>165</v>
      </c>
      <c r="C35" s="55" t="s">
        <v>169</v>
      </c>
      <c r="D35" s="30" t="s">
        <v>170</v>
      </c>
      <c r="E35" s="33">
        <v>81559</v>
      </c>
      <c r="F35" s="40" t="s">
        <v>171</v>
      </c>
      <c r="G35" s="49" t="s">
        <v>172</v>
      </c>
    </row>
    <row r="36" spans="1:7" ht="17.25" customHeight="1" x14ac:dyDescent="0.2">
      <c r="A36" s="25" t="s">
        <v>8</v>
      </c>
      <c r="B36" s="26"/>
      <c r="C36" s="53"/>
      <c r="D36" s="29" t="s">
        <v>173</v>
      </c>
      <c r="E36" s="31">
        <v>165283</v>
      </c>
      <c r="F36" s="40" t="s">
        <v>79</v>
      </c>
      <c r="G36" s="46" t="s">
        <v>80</v>
      </c>
    </row>
    <row r="37" spans="1:7" ht="17.25" customHeight="1" x14ac:dyDescent="0.2">
      <c r="A37" s="25" t="s">
        <v>35</v>
      </c>
      <c r="B37" s="26"/>
      <c r="C37" s="53"/>
      <c r="D37" s="29" t="s">
        <v>176</v>
      </c>
      <c r="E37" s="36">
        <v>34154</v>
      </c>
      <c r="F37" s="41" t="s">
        <v>174</v>
      </c>
      <c r="G37" s="47" t="s">
        <v>175</v>
      </c>
    </row>
    <row r="38" spans="1:7" ht="17.25" customHeight="1" x14ac:dyDescent="0.2">
      <c r="A38" s="25" t="s">
        <v>36</v>
      </c>
      <c r="B38" s="26"/>
      <c r="C38" s="53"/>
      <c r="D38" s="29" t="s">
        <v>177</v>
      </c>
      <c r="E38" s="36">
        <v>72651</v>
      </c>
      <c r="F38" s="42" t="s">
        <v>178</v>
      </c>
      <c r="G38" s="48" t="s">
        <v>179</v>
      </c>
    </row>
    <row r="39" spans="1:7" ht="17.25" customHeight="1" x14ac:dyDescent="0.2">
      <c r="A39" s="25" t="s">
        <v>46</v>
      </c>
      <c r="B39" s="27"/>
      <c r="C39" s="52" t="s">
        <v>182</v>
      </c>
      <c r="D39" s="29" t="s">
        <v>183</v>
      </c>
      <c r="E39" s="36">
        <v>72665</v>
      </c>
      <c r="F39" s="41" t="s">
        <v>180</v>
      </c>
      <c r="G39" s="47" t="s">
        <v>181</v>
      </c>
    </row>
    <row r="40" spans="1:7" ht="17.25" customHeight="1" x14ac:dyDescent="0.2">
      <c r="A40" s="25" t="s">
        <v>47</v>
      </c>
      <c r="B40" s="26"/>
      <c r="C40" s="52" t="s">
        <v>186</v>
      </c>
      <c r="D40" s="29" t="s">
        <v>184</v>
      </c>
      <c r="E40" s="36">
        <v>72663</v>
      </c>
      <c r="F40" s="41" t="s">
        <v>194</v>
      </c>
      <c r="G40" s="47" t="s">
        <v>195</v>
      </c>
    </row>
    <row r="41" spans="1:7" ht="17.25" customHeight="1" x14ac:dyDescent="0.2">
      <c r="A41" s="25" t="s">
        <v>48</v>
      </c>
      <c r="B41" s="26"/>
      <c r="C41" s="53" t="s">
        <v>185</v>
      </c>
      <c r="D41" s="29" t="s">
        <v>193</v>
      </c>
      <c r="E41" s="36">
        <v>68947</v>
      </c>
      <c r="F41" s="41" t="s">
        <v>191</v>
      </c>
      <c r="G41" s="47" t="s">
        <v>192</v>
      </c>
    </row>
    <row r="42" spans="1:7" ht="17.25" customHeight="1" x14ac:dyDescent="0.2">
      <c r="A42" s="25" t="s">
        <v>49</v>
      </c>
      <c r="B42" s="26"/>
      <c r="C42" s="53" t="s">
        <v>187</v>
      </c>
      <c r="D42" s="29" t="s">
        <v>188</v>
      </c>
      <c r="E42" s="36">
        <v>72842</v>
      </c>
      <c r="F42" s="41" t="s">
        <v>189</v>
      </c>
      <c r="G42" s="47" t="s">
        <v>190</v>
      </c>
    </row>
    <row r="43" spans="1:7" ht="17.25" customHeight="1" x14ac:dyDescent="0.2">
      <c r="A43" s="25" t="s">
        <v>50</v>
      </c>
      <c r="B43" s="26"/>
      <c r="C43" s="53"/>
      <c r="D43" s="29" t="s">
        <v>201</v>
      </c>
      <c r="E43" s="36">
        <v>34499</v>
      </c>
      <c r="F43" s="41" t="s">
        <v>196</v>
      </c>
      <c r="G43" s="47" t="s">
        <v>197</v>
      </c>
    </row>
    <row r="44" spans="1:7" ht="17.25" customHeight="1" x14ac:dyDescent="0.2">
      <c r="A44" s="25" t="s">
        <v>51</v>
      </c>
      <c r="B44" s="26"/>
      <c r="C44" s="55" t="s">
        <v>202</v>
      </c>
      <c r="D44" s="29" t="s">
        <v>200</v>
      </c>
      <c r="E44" s="36">
        <v>34506</v>
      </c>
      <c r="F44" s="41" t="s">
        <v>198</v>
      </c>
      <c r="G44" s="47" t="s">
        <v>199</v>
      </c>
    </row>
    <row r="45" spans="1:7" ht="17.25" customHeight="1" x14ac:dyDescent="0.2">
      <c r="A45" s="25" t="s">
        <v>203</v>
      </c>
      <c r="B45" s="26"/>
      <c r="C45" s="54"/>
      <c r="D45" s="29" t="s">
        <v>204</v>
      </c>
      <c r="E45" s="36">
        <v>80447</v>
      </c>
      <c r="F45" s="41" t="s">
        <v>205</v>
      </c>
      <c r="G45" s="47" t="s">
        <v>206</v>
      </c>
    </row>
    <row r="46" spans="1:7" ht="17.25" customHeight="1" x14ac:dyDescent="0.2">
      <c r="A46" s="25" t="s">
        <v>247</v>
      </c>
      <c r="B46" s="26"/>
      <c r="C46" s="54"/>
      <c r="D46" s="29" t="s">
        <v>209</v>
      </c>
      <c r="E46" s="36">
        <v>84441</v>
      </c>
      <c r="F46" s="41" t="s">
        <v>207</v>
      </c>
      <c r="G46" s="47" t="s">
        <v>208</v>
      </c>
    </row>
    <row r="47" spans="1:7" ht="17.25" customHeight="1" x14ac:dyDescent="0.2">
      <c r="A47" s="25" t="s">
        <v>248</v>
      </c>
      <c r="B47" s="26"/>
      <c r="C47" s="54"/>
      <c r="D47" s="29" t="s">
        <v>240</v>
      </c>
      <c r="E47" s="36">
        <v>165768</v>
      </c>
      <c r="F47" s="41" t="s">
        <v>241</v>
      </c>
      <c r="G47" s="47" t="s">
        <v>242</v>
      </c>
    </row>
    <row r="48" spans="1:7" ht="17.25" customHeight="1" x14ac:dyDescent="0.2">
      <c r="A48" s="25" t="s">
        <v>228</v>
      </c>
      <c r="C48" s="55" t="s">
        <v>252</v>
      </c>
      <c r="D48" s="29" t="s">
        <v>250</v>
      </c>
      <c r="E48" s="36">
        <v>65101</v>
      </c>
      <c r="F48" s="41" t="s">
        <v>254</v>
      </c>
      <c r="G48" s="47" t="s">
        <v>253</v>
      </c>
    </row>
    <row r="49" spans="1:7" ht="17.25" customHeight="1" x14ac:dyDescent="0.2">
      <c r="A49" s="25" t="s">
        <v>229</v>
      </c>
      <c r="C49" s="55" t="s">
        <v>257</v>
      </c>
      <c r="D49" s="29" t="s">
        <v>251</v>
      </c>
      <c r="E49" s="36">
        <v>37248</v>
      </c>
      <c r="F49" s="41" t="s">
        <v>256</v>
      </c>
      <c r="G49" s="47" t="s">
        <v>255</v>
      </c>
    </row>
    <row r="50" spans="1:7" ht="17.25" customHeight="1" x14ac:dyDescent="0.2">
      <c r="A50" s="25" t="s">
        <v>230</v>
      </c>
      <c r="C50" s="55"/>
      <c r="D50" s="29"/>
      <c r="E50" s="36"/>
      <c r="F50" s="41"/>
      <c r="G50" s="47"/>
    </row>
    <row r="51" spans="1:7" ht="17.25" customHeight="1" x14ac:dyDescent="0.2">
      <c r="A51" s="25" t="s">
        <v>231</v>
      </c>
      <c r="C51" s="55" t="s">
        <v>262</v>
      </c>
      <c r="D51" s="29" t="s">
        <v>261</v>
      </c>
      <c r="E51" s="36">
        <v>19660</v>
      </c>
      <c r="F51" s="41" t="s">
        <v>264</v>
      </c>
      <c r="G51" s="47" t="s">
        <v>263</v>
      </c>
    </row>
    <row r="52" spans="1:7" ht="17.25" customHeight="1" x14ac:dyDescent="0.2">
      <c r="A52" s="25" t="s">
        <v>232</v>
      </c>
      <c r="C52" s="55" t="s">
        <v>260</v>
      </c>
      <c r="D52" s="29" t="s">
        <v>249</v>
      </c>
      <c r="E52" s="36">
        <v>50578</v>
      </c>
      <c r="F52" s="41" t="s">
        <v>259</v>
      </c>
      <c r="G52" s="47" t="s">
        <v>258</v>
      </c>
    </row>
    <row r="53" spans="1:7" ht="17.25" customHeight="1" x14ac:dyDescent="0.2">
      <c r="A53" s="25" t="s">
        <v>233</v>
      </c>
      <c r="C53" s="55"/>
      <c r="D53" s="29"/>
      <c r="E53" s="36"/>
      <c r="F53" s="41"/>
      <c r="G53" s="47"/>
    </row>
    <row r="54" spans="1:7" ht="17.25" customHeight="1" x14ac:dyDescent="0.2">
      <c r="A54" s="25" t="s">
        <v>234</v>
      </c>
      <c r="C54" s="55" t="s">
        <v>268</v>
      </c>
      <c r="D54" s="29" t="s">
        <v>265</v>
      </c>
      <c r="E54" s="36">
        <v>37098</v>
      </c>
      <c r="F54" s="41" t="s">
        <v>267</v>
      </c>
      <c r="G54" s="47" t="s">
        <v>266</v>
      </c>
    </row>
    <row r="55" spans="1:7" ht="17.25" customHeight="1" x14ac:dyDescent="0.2">
      <c r="A55" s="25" t="s">
        <v>237</v>
      </c>
      <c r="C55" s="55" t="s">
        <v>272</v>
      </c>
      <c r="D55" s="29" t="s">
        <v>269</v>
      </c>
      <c r="E55" s="36">
        <v>132983</v>
      </c>
      <c r="F55" s="41" t="s">
        <v>271</v>
      </c>
      <c r="G55" s="47" t="s">
        <v>270</v>
      </c>
    </row>
    <row r="56" spans="1:7" ht="17.25" customHeight="1" x14ac:dyDescent="0.2">
      <c r="A56" s="25" t="s">
        <v>238</v>
      </c>
      <c r="C56" s="55" t="s">
        <v>273</v>
      </c>
      <c r="D56" s="29" t="s">
        <v>276</v>
      </c>
      <c r="E56" s="36">
        <v>36206</v>
      </c>
      <c r="F56" s="41" t="s">
        <v>275</v>
      </c>
      <c r="G56" s="47" t="s">
        <v>274</v>
      </c>
    </row>
    <row r="57" spans="1:7" ht="17.25" customHeight="1" x14ac:dyDescent="0.2">
      <c r="A57" s="25" t="s">
        <v>239</v>
      </c>
      <c r="C57" s="55" t="s">
        <v>280</v>
      </c>
      <c r="D57" s="29" t="s">
        <v>277</v>
      </c>
      <c r="E57" s="36">
        <v>85148</v>
      </c>
      <c r="F57" s="41" t="s">
        <v>279</v>
      </c>
      <c r="G57" s="47" t="s">
        <v>278</v>
      </c>
    </row>
    <row r="58" spans="1:7" ht="17.25" customHeight="1" x14ac:dyDescent="0.2">
      <c r="A58" s="25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P36"/>
  <sheetViews>
    <sheetView showGridLines="0" topLeftCell="B1" zoomScale="70" zoomScaleNormal="70" workbookViewId="0">
      <selection activeCell="AB17" sqref="AB17"/>
    </sheetView>
  </sheetViews>
  <sheetFormatPr baseColWidth="10" defaultColWidth="11.5" defaultRowHeight="16" x14ac:dyDescent="0.2"/>
  <cols>
    <col min="1" max="1" width="8.5" style="68" bestFit="1" customWidth="1"/>
    <col min="2" max="2" width="4" style="68" bestFit="1" customWidth="1"/>
    <col min="3" max="3" width="16.6640625" style="68" bestFit="1" customWidth="1"/>
    <col min="4" max="4" width="4" style="68" bestFit="1" customWidth="1"/>
    <col min="5" max="5" width="16.6640625" style="68" bestFit="1" customWidth="1"/>
    <col min="6" max="6" width="4" style="68" bestFit="1" customWidth="1"/>
    <col min="7" max="7" width="14.1640625" style="68" bestFit="1" customWidth="1"/>
    <col min="8" max="8" width="4" style="68" bestFit="1" customWidth="1"/>
    <col min="9" max="9" width="19.5" style="68" bestFit="1" customWidth="1"/>
    <col min="10" max="10" width="4" style="68" bestFit="1" customWidth="1"/>
    <col min="11" max="11" width="22.33203125" style="68" bestFit="1" customWidth="1"/>
    <col min="12" max="12" width="3.1640625" style="68" bestFit="1" customWidth="1"/>
    <col min="13" max="13" width="15.1640625" style="68" bestFit="1" customWidth="1"/>
    <col min="14" max="14" width="34.1640625" style="68" bestFit="1" customWidth="1"/>
    <col min="15" max="16" width="16.6640625" style="68" bestFit="1" customWidth="1"/>
    <col min="17" max="17" width="4" style="68" bestFit="1" customWidth="1"/>
    <col min="18" max="18" width="17" style="68" bestFit="1" customWidth="1"/>
    <col min="19" max="19" width="4" style="68" bestFit="1" customWidth="1"/>
    <col min="20" max="20" width="14.1640625" style="68" bestFit="1" customWidth="1"/>
    <col min="21" max="21" width="4" style="68" bestFit="1" customWidth="1"/>
    <col min="22" max="22" width="14.1640625" style="68" bestFit="1" customWidth="1"/>
    <col min="23" max="23" width="4" style="68" bestFit="1" customWidth="1"/>
    <col min="24" max="24" width="15.5" style="68" bestFit="1" customWidth="1"/>
    <col min="25" max="25" width="4" style="68" bestFit="1" customWidth="1"/>
    <col min="26" max="26" width="19.1640625" style="68" bestFit="1" customWidth="1"/>
    <col min="27" max="28" width="11.5" style="68"/>
    <col min="29" max="29" width="3" style="68" bestFit="1" customWidth="1"/>
    <col min="30" max="30" width="11.5" style="68"/>
    <col min="31" max="31" width="3" style="68" bestFit="1" customWidth="1"/>
    <col min="32" max="37" width="11.5" style="68"/>
    <col min="38" max="38" width="13.5" style="68" bestFit="1" customWidth="1"/>
    <col min="39" max="39" width="3" style="68" bestFit="1" customWidth="1"/>
    <col min="40" max="40" width="10.5" style="68" bestFit="1" customWidth="1"/>
    <col min="41" max="41" width="3" style="68" bestFit="1" customWidth="1"/>
    <col min="42" max="42" width="11.5" style="68" bestFit="1" customWidth="1"/>
    <col min="43" max="16384" width="11.5" style="68"/>
  </cols>
  <sheetData>
    <row r="3" spans="7:42" x14ac:dyDescent="0.2">
      <c r="I3" s="77" t="s">
        <v>51</v>
      </c>
      <c r="K3" s="77" t="s">
        <v>50</v>
      </c>
    </row>
    <row r="4" spans="7:42" ht="15.75" customHeight="1" x14ac:dyDescent="0.2">
      <c r="I4" s="70" t="s">
        <v>286</v>
      </c>
      <c r="K4" s="70" t="s">
        <v>286</v>
      </c>
      <c r="AB4" s="73" t="s">
        <v>287</v>
      </c>
      <c r="AC4" s="70" t="s">
        <v>288</v>
      </c>
      <c r="AD4" s="68" t="s">
        <v>289</v>
      </c>
      <c r="AE4" s="70" t="s">
        <v>288</v>
      </c>
      <c r="AF4" s="68" t="s">
        <v>290</v>
      </c>
      <c r="AG4" s="71" t="s">
        <v>291</v>
      </c>
      <c r="AH4" s="137" t="s">
        <v>292</v>
      </c>
      <c r="AI4" s="138"/>
      <c r="AJ4" s="139"/>
      <c r="AK4" s="72" t="s">
        <v>300</v>
      </c>
      <c r="AL4" s="68" t="s">
        <v>293</v>
      </c>
      <c r="AM4" s="70" t="s">
        <v>294</v>
      </c>
      <c r="AN4" s="68" t="s">
        <v>295</v>
      </c>
      <c r="AO4" s="70" t="s">
        <v>294</v>
      </c>
      <c r="AP4" s="73" t="s">
        <v>296</v>
      </c>
    </row>
    <row r="5" spans="7:42" x14ac:dyDescent="0.2">
      <c r="G5" s="77" t="s">
        <v>297</v>
      </c>
      <c r="H5" s="70" t="s">
        <v>288</v>
      </c>
      <c r="I5" s="78" t="s">
        <v>298</v>
      </c>
      <c r="J5" s="70" t="s">
        <v>288</v>
      </c>
      <c r="K5" s="69" t="s">
        <v>299</v>
      </c>
      <c r="AH5" s="140"/>
      <c r="AI5" s="141"/>
      <c r="AJ5" s="142"/>
    </row>
    <row r="6" spans="7:42" x14ac:dyDescent="0.2">
      <c r="L6" s="70" t="s">
        <v>367</v>
      </c>
      <c r="M6" s="71" t="s">
        <v>300</v>
      </c>
      <c r="N6" s="143" t="s">
        <v>301</v>
      </c>
      <c r="O6" s="71" t="s">
        <v>302</v>
      </c>
      <c r="P6" s="68" t="s">
        <v>303</v>
      </c>
      <c r="Q6" s="70" t="s">
        <v>294</v>
      </c>
      <c r="R6" s="73" t="s">
        <v>46</v>
      </c>
      <c r="AK6" s="71" t="s">
        <v>302</v>
      </c>
    </row>
    <row r="7" spans="7:42" x14ac:dyDescent="0.2">
      <c r="L7" s="70" t="s">
        <v>336</v>
      </c>
      <c r="N7" s="144"/>
      <c r="P7" s="68" t="s">
        <v>304</v>
      </c>
      <c r="Q7" s="70" t="s">
        <v>294</v>
      </c>
      <c r="R7" s="73" t="s">
        <v>47</v>
      </c>
      <c r="AB7" s="73" t="s">
        <v>305</v>
      </c>
      <c r="AC7" s="70" t="s">
        <v>288</v>
      </c>
      <c r="AD7" s="73" t="s">
        <v>31</v>
      </c>
      <c r="AE7" s="70" t="s">
        <v>288</v>
      </c>
      <c r="AF7" s="68" t="s">
        <v>306</v>
      </c>
    </row>
    <row r="8" spans="7:42" x14ac:dyDescent="0.2">
      <c r="G8" s="77" t="s">
        <v>307</v>
      </c>
      <c r="H8" s="70" t="s">
        <v>288</v>
      </c>
      <c r="I8" s="77" t="s">
        <v>285</v>
      </c>
      <c r="J8" s="70" t="s">
        <v>288</v>
      </c>
      <c r="K8" s="69" t="s">
        <v>308</v>
      </c>
      <c r="AL8" s="68" t="s">
        <v>309</v>
      </c>
      <c r="AM8" s="70" t="s">
        <v>294</v>
      </c>
      <c r="AN8" s="73" t="s">
        <v>8</v>
      </c>
    </row>
    <row r="9" spans="7:42" x14ac:dyDescent="0.2">
      <c r="K9" s="70" t="s">
        <v>310</v>
      </c>
      <c r="O9" s="83" t="s">
        <v>365</v>
      </c>
      <c r="P9" s="80" t="s">
        <v>359</v>
      </c>
      <c r="Q9" s="81" t="s">
        <v>294</v>
      </c>
      <c r="R9" s="80" t="s">
        <v>236</v>
      </c>
      <c r="AI9" s="70"/>
    </row>
    <row r="10" spans="7:42" x14ac:dyDescent="0.2">
      <c r="K10" s="78" t="s">
        <v>51</v>
      </c>
      <c r="P10" s="82" t="s">
        <v>363</v>
      </c>
      <c r="R10" s="82" t="s">
        <v>363</v>
      </c>
    </row>
    <row r="12" spans="7:42" ht="18.75" customHeight="1" x14ac:dyDescent="0.2">
      <c r="M12" s="125" t="s">
        <v>358</v>
      </c>
      <c r="N12" s="126"/>
    </row>
    <row r="13" spans="7:42" ht="15.75" customHeight="1" x14ac:dyDescent="0.2">
      <c r="M13" s="127"/>
      <c r="N13" s="128"/>
      <c r="O13" s="72" t="s">
        <v>291</v>
      </c>
      <c r="P13" s="68" t="s">
        <v>311</v>
      </c>
      <c r="Q13" s="70" t="s">
        <v>294</v>
      </c>
      <c r="R13" s="68" t="s">
        <v>312</v>
      </c>
      <c r="S13" s="70" t="s">
        <v>294</v>
      </c>
      <c r="T13" s="73" t="s">
        <v>30</v>
      </c>
    </row>
    <row r="14" spans="7:42" ht="15.75" customHeight="1" x14ac:dyDescent="0.2">
      <c r="M14" s="127"/>
      <c r="N14" s="128"/>
      <c r="O14" s="74"/>
    </row>
    <row r="15" spans="7:42" x14ac:dyDescent="0.2">
      <c r="M15" s="129"/>
      <c r="N15" s="130"/>
      <c r="AP15" s="73" t="s">
        <v>314</v>
      </c>
    </row>
    <row r="16" spans="7:42" x14ac:dyDescent="0.2">
      <c r="P16" s="70"/>
      <c r="Q16" s="70"/>
      <c r="R16" s="68" t="s">
        <v>313</v>
      </c>
      <c r="S16" s="70" t="s">
        <v>294</v>
      </c>
      <c r="T16" s="73" t="s">
        <v>14</v>
      </c>
      <c r="AP16" s="73" t="s">
        <v>321</v>
      </c>
    </row>
    <row r="17" spans="2:42" x14ac:dyDescent="0.2">
      <c r="K17" s="73" t="s">
        <v>315</v>
      </c>
      <c r="AB17" s="79" t="s">
        <v>377</v>
      </c>
      <c r="AC17" s="70" t="s">
        <v>288</v>
      </c>
      <c r="AD17" s="73" t="s">
        <v>316</v>
      </c>
      <c r="AE17" s="70" t="s">
        <v>288</v>
      </c>
      <c r="AF17" s="68" t="s">
        <v>317</v>
      </c>
      <c r="AG17" s="72" t="s">
        <v>300</v>
      </c>
      <c r="AH17" s="145" t="s">
        <v>318</v>
      </c>
      <c r="AI17" s="146"/>
      <c r="AJ17" s="147"/>
      <c r="AK17" s="72" t="s">
        <v>300</v>
      </c>
      <c r="AL17" s="68" t="s">
        <v>319</v>
      </c>
      <c r="AM17" s="70" t="s">
        <v>294</v>
      </c>
      <c r="AN17" s="73" t="s">
        <v>320</v>
      </c>
      <c r="AO17" s="70"/>
      <c r="AP17" s="73" t="s">
        <v>322</v>
      </c>
    </row>
    <row r="18" spans="2:42" x14ac:dyDescent="0.2">
      <c r="K18" s="70" t="s">
        <v>286</v>
      </c>
      <c r="R18" s="73" t="s">
        <v>10</v>
      </c>
      <c r="S18" s="68" t="s">
        <v>294</v>
      </c>
      <c r="T18" s="73" t="s">
        <v>11</v>
      </c>
      <c r="W18" s="70"/>
      <c r="Y18" s="70"/>
      <c r="AH18" s="148"/>
      <c r="AI18" s="149"/>
      <c r="AJ18" s="150"/>
      <c r="AL18" s="70"/>
      <c r="AP18" s="73" t="s">
        <v>325</v>
      </c>
    </row>
    <row r="19" spans="2:42" x14ac:dyDescent="0.2">
      <c r="K19" s="68" t="s">
        <v>323</v>
      </c>
      <c r="R19" s="70" t="s">
        <v>286</v>
      </c>
      <c r="S19" s="70"/>
      <c r="U19" s="70"/>
      <c r="AJ19" s="83" t="s">
        <v>366</v>
      </c>
      <c r="AL19" s="84"/>
    </row>
    <row r="20" spans="2:42" ht="15.75" customHeight="1" x14ac:dyDescent="0.2">
      <c r="K20" s="70" t="s">
        <v>286</v>
      </c>
      <c r="P20" s="70"/>
      <c r="Q20" s="70"/>
      <c r="R20" s="68" t="s">
        <v>326</v>
      </c>
      <c r="S20" s="70" t="s">
        <v>294</v>
      </c>
      <c r="T20" s="68" t="s">
        <v>327</v>
      </c>
      <c r="U20" s="70" t="s">
        <v>294</v>
      </c>
      <c r="V20" s="73" t="s">
        <v>328</v>
      </c>
      <c r="W20" s="70"/>
      <c r="Y20" s="70"/>
      <c r="AL20" s="85"/>
    </row>
    <row r="21" spans="2:42" ht="15.75" customHeight="1" x14ac:dyDescent="0.2">
      <c r="C21" s="68" t="s">
        <v>329</v>
      </c>
      <c r="D21" s="70" t="s">
        <v>288</v>
      </c>
      <c r="E21" s="73" t="s">
        <v>330</v>
      </c>
      <c r="F21" s="70" t="s">
        <v>288</v>
      </c>
      <c r="G21" s="68" t="s">
        <v>331</v>
      </c>
      <c r="H21" s="70" t="s">
        <v>288</v>
      </c>
      <c r="I21" s="68" t="s">
        <v>332</v>
      </c>
      <c r="J21" s="70" t="s">
        <v>288</v>
      </c>
      <c r="K21" s="68" t="s">
        <v>333</v>
      </c>
      <c r="M21" s="71" t="s">
        <v>291</v>
      </c>
      <c r="N21" s="122" t="s">
        <v>334</v>
      </c>
      <c r="O21" s="75" t="s">
        <v>300</v>
      </c>
      <c r="T21" s="70" t="s">
        <v>310</v>
      </c>
      <c r="U21" s="70" t="s">
        <v>335</v>
      </c>
      <c r="AK21" s="80" t="s">
        <v>374</v>
      </c>
      <c r="AL21" s="80" t="s">
        <v>361</v>
      </c>
      <c r="AM21" s="70"/>
      <c r="AO21" s="70"/>
    </row>
    <row r="22" spans="2:42" ht="15.75" customHeight="1" x14ac:dyDescent="0.2">
      <c r="H22" s="68" t="s">
        <v>336</v>
      </c>
      <c r="I22" s="70" t="s">
        <v>310</v>
      </c>
      <c r="J22" s="70" t="s">
        <v>335</v>
      </c>
      <c r="K22" s="76"/>
      <c r="L22" s="70"/>
      <c r="N22" s="123"/>
      <c r="T22" s="73" t="s">
        <v>337</v>
      </c>
      <c r="V22" s="73" t="s">
        <v>338</v>
      </c>
    </row>
    <row r="23" spans="2:42" x14ac:dyDescent="0.2">
      <c r="B23" s="70"/>
      <c r="D23" s="70"/>
      <c r="F23" s="70"/>
      <c r="G23" s="73" t="s">
        <v>339</v>
      </c>
      <c r="H23" s="70" t="s">
        <v>294</v>
      </c>
      <c r="I23" s="73" t="s">
        <v>340</v>
      </c>
      <c r="K23" s="73" t="s">
        <v>341</v>
      </c>
      <c r="L23" s="70"/>
      <c r="M23" s="83" t="s">
        <v>365</v>
      </c>
      <c r="N23" s="124"/>
      <c r="P23" s="70"/>
      <c r="Q23" s="70"/>
      <c r="T23" s="70" t="s">
        <v>286</v>
      </c>
      <c r="U23" s="70" t="s">
        <v>324</v>
      </c>
    </row>
    <row r="24" spans="2:42" x14ac:dyDescent="0.2">
      <c r="I24" s="70" t="s">
        <v>310</v>
      </c>
      <c r="K24" s="70" t="s">
        <v>310</v>
      </c>
      <c r="L24" s="70"/>
      <c r="P24" s="70"/>
      <c r="Q24" s="70"/>
      <c r="R24" s="68" t="s">
        <v>342</v>
      </c>
      <c r="S24" s="70" t="s">
        <v>294</v>
      </c>
      <c r="T24" s="73" t="s">
        <v>343</v>
      </c>
      <c r="U24" s="70"/>
    </row>
    <row r="25" spans="2:42" ht="18.75" customHeight="1" x14ac:dyDescent="0.2">
      <c r="I25" s="73" t="s">
        <v>344</v>
      </c>
      <c r="K25" s="73" t="s">
        <v>356</v>
      </c>
      <c r="N25" s="71" t="s">
        <v>302</v>
      </c>
      <c r="AH25" s="131" t="s">
        <v>357</v>
      </c>
      <c r="AI25" s="132"/>
      <c r="AJ25" s="133"/>
      <c r="AK25" s="72" t="s">
        <v>300</v>
      </c>
      <c r="AL25" s="73" t="s">
        <v>345</v>
      </c>
    </row>
    <row r="26" spans="2:42" x14ac:dyDescent="0.2">
      <c r="I26" s="70" t="s">
        <v>310</v>
      </c>
      <c r="K26" s="70"/>
      <c r="P26" s="70"/>
      <c r="Q26" s="70"/>
      <c r="R26" s="68" t="s">
        <v>346</v>
      </c>
      <c r="S26" s="70" t="s">
        <v>294</v>
      </c>
      <c r="T26" s="73" t="s">
        <v>4</v>
      </c>
      <c r="U26" s="70"/>
      <c r="AH26" s="134"/>
      <c r="AI26" s="135"/>
      <c r="AJ26" s="136"/>
      <c r="AL26" s="73" t="s">
        <v>347</v>
      </c>
    </row>
    <row r="27" spans="2:42" x14ac:dyDescent="0.2">
      <c r="I27" s="73" t="s">
        <v>235</v>
      </c>
      <c r="K27" s="70"/>
      <c r="R27" s="70"/>
      <c r="S27" s="70"/>
    </row>
    <row r="28" spans="2:42" x14ac:dyDescent="0.2">
      <c r="K28" s="70"/>
    </row>
    <row r="30" spans="2:42" x14ac:dyDescent="0.2">
      <c r="K30" s="80" t="s">
        <v>362</v>
      </c>
    </row>
    <row r="31" spans="2:42" x14ac:dyDescent="0.2">
      <c r="K31" s="82" t="s">
        <v>363</v>
      </c>
    </row>
    <row r="34" spans="13:16" x14ac:dyDescent="0.2">
      <c r="M34" s="73" t="s">
        <v>348</v>
      </c>
      <c r="N34" s="73" t="s">
        <v>349</v>
      </c>
      <c r="O34" s="73" t="s">
        <v>350</v>
      </c>
      <c r="P34" s="73" t="s">
        <v>351</v>
      </c>
    </row>
    <row r="35" spans="13:16" x14ac:dyDescent="0.2">
      <c r="M35" s="70" t="s">
        <v>310</v>
      </c>
      <c r="N35" s="70" t="s">
        <v>310</v>
      </c>
      <c r="O35" s="70" t="s">
        <v>310</v>
      </c>
      <c r="P35" s="70" t="s">
        <v>310</v>
      </c>
    </row>
    <row r="36" spans="13:16" x14ac:dyDescent="0.2">
      <c r="M36" s="68" t="s">
        <v>355</v>
      </c>
      <c r="N36" s="68" t="s">
        <v>352</v>
      </c>
      <c r="O36" s="68" t="s">
        <v>353</v>
      </c>
      <c r="P36" s="68" t="s">
        <v>354</v>
      </c>
    </row>
  </sheetData>
  <mergeCells count="6">
    <mergeCell ref="N21:N23"/>
    <mergeCell ref="M12:N15"/>
    <mergeCell ref="AH25:AJ26"/>
    <mergeCell ref="AH4:AJ5"/>
    <mergeCell ref="N6:N7"/>
    <mergeCell ref="AH17:AJ1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x0020_de_x0020_document xmlns="7b6a087e-a11d-4f06-8ae6-022eca126b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669CE6A7D2B4380E46325873835BB" ma:contentTypeVersion="" ma:contentTypeDescription="Crée un document." ma:contentTypeScope="" ma:versionID="4ff881ca51d1354232c90b46a429ded2">
  <xsd:schema xmlns:xsd="http://www.w3.org/2001/XMLSchema" xmlns:xs="http://www.w3.org/2001/XMLSchema" xmlns:p="http://schemas.microsoft.com/office/2006/metadata/properties" xmlns:ns2="7b6a087e-a11d-4f06-8ae6-022eca126b7e" xmlns:ns3="e68a6edb-406f-4ece-ad46-1736b5fcf761" targetNamespace="http://schemas.microsoft.com/office/2006/metadata/properties" ma:root="true" ma:fieldsID="1c837692f4a1a746ea9b902cdb0fe603" ns2:_="" ns3:_="">
    <xsd:import namespace="7b6a087e-a11d-4f06-8ae6-022eca126b7e"/>
    <xsd:import namespace="e68a6edb-406f-4ece-ad46-1736b5fcf761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087e-a11d-4f06-8ae6-022eca126b7e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a6edb-406f-4ece-ad46-1736b5fcf76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6741BC-132F-4F72-ADA5-9AA1D87B7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C89268-67F3-40FE-B71B-DB7FC25A5FC3}">
  <ds:schemaRefs>
    <ds:schemaRef ds:uri="http://schemas.microsoft.com/office/2006/metadata/properties"/>
    <ds:schemaRef ds:uri="http://schemas.microsoft.com/office/infopath/2007/PartnerControls"/>
    <ds:schemaRef ds:uri="7b6a087e-a11d-4f06-8ae6-022eca126b7e"/>
  </ds:schemaRefs>
</ds:datastoreItem>
</file>

<file path=customXml/itemProps3.xml><?xml version="1.0" encoding="utf-8"?>
<ds:datastoreItem xmlns:ds="http://schemas.openxmlformats.org/officeDocument/2006/customXml" ds:itemID="{95FCECA2-AC5A-4B01-AAA3-96CD877E04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a087e-a11d-4f06-8ae6-022eca126b7e"/>
    <ds:schemaRef ds:uri="e68a6edb-406f-4ece-ad46-1736b5fcf7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Results</vt:lpstr>
      <vt:lpstr>Feuil1</vt:lpstr>
      <vt:lpstr>Feuil2</vt:lpstr>
      <vt:lpstr>Feuil3</vt:lpstr>
      <vt:lpstr>Raw Datas</vt:lpstr>
      <vt:lpstr>Identifiants</vt:lpstr>
      <vt:lpstr>PUFA's metabolismes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Anne.Tailleux</dc:creator>
  <cp:lastModifiedBy>Loic Talignani</cp:lastModifiedBy>
  <cp:lastPrinted>2021-07-21T08:54:34Z</cp:lastPrinted>
  <dcterms:created xsi:type="dcterms:W3CDTF">2020-12-06T14:02:17Z</dcterms:created>
  <dcterms:modified xsi:type="dcterms:W3CDTF">2025-03-25T10:48:57Z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0x010100780669CE6A7D2B4380E46325873835BB</vt:lpwstr>
  </property>
</Properties>
</file>